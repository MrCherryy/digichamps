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marcocerri_1/Downloads/M1S2E5/"/>
    </mc:Choice>
  </mc:AlternateContent>
  <xr:revisionPtr revIDLastSave="0" documentId="8_{98529B27-8CF2-324C-B067-DCD9EB133AEE}" xr6:coauthVersionLast="47" xr6:coauthVersionMax="47" xr10:uidLastSave="{00000000-0000-0000-0000-000000000000}"/>
  <bookViews>
    <workbookView xWindow="0" yWindow="500" windowWidth="28360" windowHeight="16580" activeTab="1" xr2:uid="{C714FD69-59B6-2D43-A827-388B6C9D23F0}"/>
  </bookViews>
  <sheets>
    <sheet name="covid19_italy_region" sheetId="5" r:id="rId1"/>
    <sheet name="Comuni (ESERCIZIO)" sheetId="3" r:id="rId2"/>
    <sheet name="RIPARTIZIONE GEOGRAFICA" sheetId="4" r:id="rId3"/>
    <sheet name="Comuni (ORIGINALE)" sheetId="2" r:id="rId4"/>
    <sheet name="Foglio1" sheetId="1" r:id="rId5"/>
  </sheets>
  <definedNames>
    <definedName name="DatiEsterni_1" localSheetId="3" hidden="1">'Comuni (ORIGINALE)'!$A$1:$D$7910</definedName>
    <definedName name="DatiEsterni_2" localSheetId="1" hidden="1">'Comuni (ESERCIZIO)'!$A$1:$D$7910</definedName>
    <definedName name="DatiEsterni_3" localSheetId="0" hidden="1">'covid19_italy_region'!$A$1:$D$6028</definedName>
    <definedName name="DatiEsterni_3" localSheetId="2" hidden="1">'RIPARTIZIONE GEOGRAFICA'!$A$1:$B$21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P3" i="3"/>
  <c r="H2547" i="3"/>
  <c r="H842" i="3"/>
  <c r="H4417" i="3"/>
  <c r="H6230" i="3"/>
  <c r="H2313" i="3"/>
  <c r="H1392" i="3"/>
  <c r="H6620" i="3"/>
  <c r="H5598" i="3"/>
  <c r="H6231" i="3"/>
  <c r="H7347" i="3"/>
  <c r="H7348" i="3"/>
  <c r="H6232" i="3"/>
  <c r="H7349" i="3"/>
  <c r="H1720" i="3"/>
  <c r="H5599" i="3"/>
  <c r="H2548" i="3"/>
  <c r="H6621" i="3"/>
  <c r="H438" i="3"/>
  <c r="H1393" i="3"/>
  <c r="H1394" i="3"/>
  <c r="H7181" i="3"/>
  <c r="H1395" i="3"/>
  <c r="H6622" i="3"/>
  <c r="H1396" i="3"/>
  <c r="H5854" i="3"/>
  <c r="H5600" i="3"/>
  <c r="H1397" i="3"/>
  <c r="H843" i="3"/>
  <c r="H1398" i="3"/>
  <c r="H5855" i="3"/>
  <c r="H2549" i="3"/>
  <c r="H6233" i="3"/>
  <c r="H1936" i="3"/>
  <c r="H2" i="3"/>
  <c r="H1399" i="3"/>
  <c r="H2550" i="3"/>
  <c r="H6893" i="3"/>
  <c r="H7350" i="3"/>
  <c r="H7182" i="3"/>
  <c r="H844" i="3"/>
  <c r="H6894" i="3"/>
  <c r="H4418" i="3"/>
  <c r="H4054" i="3"/>
  <c r="H1400" i="3"/>
  <c r="H5601" i="3"/>
  <c r="H1721" i="3"/>
  <c r="H6623" i="3"/>
  <c r="H1401" i="3"/>
  <c r="H5602" i="3"/>
  <c r="H4055" i="3"/>
  <c r="H2314" i="3"/>
  <c r="H5603" i="3"/>
  <c r="H4419" i="3"/>
  <c r="H439" i="3"/>
  <c r="H6624" i="3"/>
  <c r="H5604" i="3"/>
  <c r="H6625" i="3"/>
  <c r="H845" i="3"/>
  <c r="H6626" i="3"/>
  <c r="H2551" i="3"/>
  <c r="H1937" i="3"/>
  <c r="H7351" i="3"/>
  <c r="H846" i="3"/>
  <c r="H6234" i="3"/>
  <c r="H2552" i="3"/>
  <c r="H2553" i="3"/>
  <c r="H847" i="3"/>
  <c r="H6627" i="3"/>
  <c r="H2554" i="3"/>
  <c r="H6235" i="3"/>
  <c r="H848" i="3"/>
  <c r="H440" i="3"/>
  <c r="H4420" i="3"/>
  <c r="H2555" i="3"/>
  <c r="H441" i="3"/>
  <c r="H6236" i="3"/>
  <c r="H2556" i="3"/>
  <c r="H5605" i="3"/>
  <c r="H442" i="3"/>
  <c r="H5856" i="3"/>
  <c r="H6237" i="3"/>
  <c r="H6628" i="3"/>
  <c r="H2557" i="3"/>
  <c r="H1402" i="3"/>
  <c r="H1938" i="3"/>
  <c r="H1403" i="3"/>
  <c r="H1939" i="3"/>
  <c r="H3" i="3"/>
  <c r="H307" i="3"/>
  <c r="H849" i="3"/>
  <c r="H6629" i="3"/>
  <c r="H850" i="3"/>
  <c r="H1940" i="3"/>
  <c r="H4056" i="3"/>
  <c r="H6630" i="3"/>
  <c r="H6238" i="3"/>
  <c r="H851" i="3"/>
  <c r="H6239" i="3"/>
  <c r="H2315" i="3"/>
  <c r="H5606" i="3"/>
  <c r="H2558" i="3"/>
  <c r="H308" i="3"/>
  <c r="H443" i="3"/>
  <c r="H6240" i="3"/>
  <c r="H1404" i="3"/>
  <c r="H2559" i="3"/>
  <c r="H852" i="3"/>
  <c r="H5607" i="3"/>
  <c r="H853" i="3"/>
  <c r="H1941" i="3"/>
  <c r="H5608" i="3"/>
  <c r="H5609" i="3"/>
  <c r="H7183" i="3"/>
  <c r="H4421" i="3"/>
  <c r="H5610" i="3"/>
  <c r="H854" i="3"/>
  <c r="H4422" i="3"/>
  <c r="H5611" i="3"/>
  <c r="H5612" i="3"/>
  <c r="H4" i="3"/>
  <c r="H6241" i="3"/>
  <c r="H855" i="3"/>
  <c r="H2316" i="3"/>
  <c r="H6242" i="3"/>
  <c r="H856" i="3"/>
  <c r="H857" i="3"/>
  <c r="H5857" i="3"/>
  <c r="H1942" i="3"/>
  <c r="H6631" i="3"/>
  <c r="H858" i="3"/>
  <c r="H1943" i="3"/>
  <c r="H5" i="3"/>
  <c r="H6243" i="3"/>
  <c r="H1944" i="3"/>
  <c r="H1722" i="3"/>
  <c r="H859" i="3"/>
  <c r="H2560" i="3"/>
  <c r="H6" i="3"/>
  <c r="H7352" i="3"/>
  <c r="H2561" i="3"/>
  <c r="H860" i="3"/>
  <c r="H6244" i="3"/>
  <c r="H4057" i="3"/>
  <c r="H6632" i="3"/>
  <c r="H7353" i="3"/>
  <c r="H1945" i="3"/>
  <c r="H4423" i="3"/>
  <c r="H5613" i="3"/>
  <c r="H4281" i="3"/>
  <c r="H4424" i="3"/>
  <c r="H861" i="3"/>
  <c r="H5614" i="3"/>
  <c r="H5615" i="3"/>
  <c r="H6245" i="3"/>
  <c r="H4425" i="3"/>
  <c r="H6633" i="3"/>
  <c r="H6246" i="3"/>
  <c r="H4058" i="3"/>
  <c r="H4426" i="3"/>
  <c r="H2562" i="3"/>
  <c r="H2563" i="3"/>
  <c r="H1946" i="3"/>
  <c r="H862" i="3"/>
  <c r="H2564" i="3"/>
  <c r="H6634" i="3"/>
  <c r="H4427" i="3"/>
  <c r="H1947" i="3"/>
  <c r="H2565" i="3"/>
  <c r="H863" i="3"/>
  <c r="H1948" i="3"/>
  <c r="H6247" i="3"/>
  <c r="H6635" i="3"/>
  <c r="H4059" i="3"/>
  <c r="H1949" i="3"/>
  <c r="H1950" i="3"/>
  <c r="H6636" i="3"/>
  <c r="H4428" i="3"/>
  <c r="H5616" i="3"/>
  <c r="H864" i="3"/>
  <c r="H2566" i="3"/>
  <c r="H2567" i="3"/>
  <c r="H7354" i="3"/>
  <c r="H6637" i="3"/>
  <c r="H2317" i="3"/>
  <c r="H2568" i="3"/>
  <c r="H4060" i="3"/>
  <c r="H6248" i="3"/>
  <c r="H6249" i="3"/>
  <c r="H7" i="3"/>
  <c r="H7355" i="3"/>
  <c r="H5858" i="3"/>
  <c r="H2569" i="3"/>
  <c r="H4061" i="3"/>
  <c r="H865" i="3"/>
  <c r="H4062" i="3"/>
  <c r="H866" i="3"/>
  <c r="H7184" i="3"/>
  <c r="H2570" i="3"/>
  <c r="H1405" i="3"/>
  <c r="H1951" i="3"/>
  <c r="H5617" i="3"/>
  <c r="H867" i="3"/>
  <c r="H868" i="3"/>
  <c r="H7356" i="3"/>
  <c r="H8" i="3"/>
  <c r="H2571" i="3"/>
  <c r="H2572" i="3"/>
  <c r="H7357" i="3"/>
  <c r="H1952" i="3"/>
  <c r="H7185" i="3"/>
  <c r="H1953" i="3"/>
  <c r="H869" i="3"/>
  <c r="H2573" i="3"/>
  <c r="H6250" i="3"/>
  <c r="H6251" i="3"/>
  <c r="H6252" i="3"/>
  <c r="H6895" i="3"/>
  <c r="H870" i="3"/>
  <c r="H5618" i="3"/>
  <c r="H6896" i="3"/>
  <c r="H1954" i="3"/>
  <c r="H1955" i="3"/>
  <c r="H4429" i="3"/>
  <c r="H1956" i="3"/>
  <c r="H4063" i="3"/>
  <c r="H2574" i="3"/>
  <c r="H5619" i="3"/>
  <c r="H871" i="3"/>
  <c r="H5859" i="3"/>
  <c r="H1957" i="3"/>
  <c r="H6253" i="3"/>
  <c r="H2575" i="3"/>
  <c r="H4430" i="3"/>
  <c r="H9" i="3"/>
  <c r="H6254" i="3"/>
  <c r="H7358" i="3"/>
  <c r="H2576" i="3"/>
  <c r="H1958" i="3"/>
  <c r="H6255" i="3"/>
  <c r="H1723" i="3"/>
  <c r="H1959" i="3"/>
  <c r="H1406" i="3"/>
  <c r="H2577" i="3"/>
  <c r="H872" i="3"/>
  <c r="H6256" i="3"/>
  <c r="H4431" i="3"/>
  <c r="H4432" i="3"/>
  <c r="H1407" i="3"/>
  <c r="H873" i="3"/>
  <c r="H874" i="3"/>
  <c r="H1408" i="3"/>
  <c r="H875" i="3"/>
  <c r="H7359" i="3"/>
  <c r="H6638" i="3"/>
  <c r="H5620" i="3"/>
  <c r="H876" i="3"/>
  <c r="H7273" i="3"/>
  <c r="H4064" i="3"/>
  <c r="H877" i="3"/>
  <c r="H2578" i="3"/>
  <c r="H4433" i="3"/>
  <c r="H2579" i="3"/>
  <c r="H1409" i="3"/>
  <c r="H1960" i="3"/>
  <c r="H444" i="3"/>
  <c r="H2580" i="3"/>
  <c r="H445" i="3"/>
  <c r="H2581" i="3"/>
  <c r="H2582" i="3"/>
  <c r="H6257" i="3"/>
  <c r="H7360" i="3"/>
  <c r="H4282" i="3"/>
  <c r="H7361" i="3"/>
  <c r="H878" i="3"/>
  <c r="H879" i="3"/>
  <c r="H5621" i="3"/>
  <c r="H7186" i="3"/>
  <c r="H5622" i="3"/>
  <c r="H6258" i="3"/>
  <c r="H6639" i="3"/>
  <c r="H1410" i="3"/>
  <c r="H5623" i="3"/>
  <c r="H6259" i="3"/>
  <c r="H6640" i="3"/>
  <c r="H5624" i="3"/>
  <c r="H1411" i="3"/>
  <c r="H6260" i="3"/>
  <c r="H6261" i="3"/>
  <c r="H5860" i="3"/>
  <c r="H6641" i="3"/>
  <c r="H1412" i="3"/>
  <c r="H880" i="3"/>
  <c r="H4065" i="3"/>
  <c r="H2583" i="3"/>
  <c r="H2584" i="3"/>
  <c r="H5625" i="3"/>
  <c r="H4434" i="3"/>
  <c r="H7362" i="3"/>
  <c r="H2585" i="3"/>
  <c r="H1961" i="3"/>
  <c r="H5626" i="3"/>
  <c r="H4435" i="3"/>
  <c r="H881" i="3"/>
  <c r="H882" i="3"/>
  <c r="H883" i="3"/>
  <c r="H6262" i="3"/>
  <c r="H884" i="3"/>
  <c r="H1413" i="3"/>
  <c r="H2318" i="3"/>
  <c r="H6263" i="3"/>
  <c r="H6642" i="3"/>
  <c r="H4436" i="3"/>
  <c r="H1414" i="3"/>
  <c r="H5861" i="3"/>
  <c r="H6264" i="3"/>
  <c r="H5862" i="3"/>
  <c r="H7363" i="3"/>
  <c r="H1962" i="3"/>
  <c r="H4437" i="3"/>
  <c r="H2586" i="3"/>
  <c r="H6265" i="3"/>
  <c r="H6643" i="3"/>
  <c r="H6266" i="3"/>
  <c r="H6644" i="3"/>
  <c r="H6267" i="3"/>
  <c r="H6268" i="3"/>
  <c r="H5627" i="3"/>
  <c r="H5628" i="3"/>
  <c r="H4438" i="3"/>
  <c r="H5863" i="3"/>
  <c r="H7364" i="3"/>
  <c r="H6645" i="3"/>
  <c r="H6269" i="3"/>
  <c r="H885" i="3"/>
  <c r="H886" i="3"/>
  <c r="H7187" i="3"/>
  <c r="H2319" i="3"/>
  <c r="H5629" i="3"/>
  <c r="H887" i="3"/>
  <c r="H5630" i="3"/>
  <c r="H5631" i="3"/>
  <c r="H888" i="3"/>
  <c r="H1724" i="3"/>
  <c r="H5632" i="3"/>
  <c r="H1415" i="3"/>
  <c r="H5633" i="3"/>
  <c r="H7365" i="3"/>
  <c r="H2587" i="3"/>
  <c r="H5634" i="3"/>
  <c r="H4066" i="3"/>
  <c r="H889" i="3"/>
  <c r="H5864" i="3"/>
  <c r="H2588" i="3"/>
  <c r="H7366" i="3"/>
  <c r="H6270" i="3"/>
  <c r="H2589" i="3"/>
  <c r="H7367" i="3"/>
  <c r="H6271" i="3"/>
  <c r="H2590" i="3"/>
  <c r="H1963" i="3"/>
  <c r="H6272" i="3"/>
  <c r="H4439" i="3"/>
  <c r="H6273" i="3"/>
  <c r="H4440" i="3"/>
  <c r="H2591" i="3"/>
  <c r="H5635" i="3"/>
  <c r="H5636" i="3"/>
  <c r="H5637" i="3"/>
  <c r="H7368" i="3"/>
  <c r="H5638" i="3"/>
  <c r="H1416" i="3"/>
  <c r="H890" i="3"/>
  <c r="H1417" i="3"/>
  <c r="H6646" i="3"/>
  <c r="H6647" i="3"/>
  <c r="H4067" i="3"/>
  <c r="H2592" i="3"/>
  <c r="H7369" i="3"/>
  <c r="H891" i="3"/>
  <c r="H2593" i="3"/>
  <c r="H7370" i="3"/>
  <c r="H10" i="3"/>
  <c r="H1418" i="3"/>
  <c r="H892" i="3"/>
  <c r="H1419" i="3"/>
  <c r="H893" i="3"/>
  <c r="H4441" i="3"/>
  <c r="H2594" i="3"/>
  <c r="H6274" i="3"/>
  <c r="H7371" i="3"/>
  <c r="H1420" i="3"/>
  <c r="H2595" i="3"/>
  <c r="H11" i="3"/>
  <c r="H6648" i="3"/>
  <c r="H894" i="3"/>
  <c r="H7372" i="3"/>
  <c r="H1964" i="3"/>
  <c r="H6649" i="3"/>
  <c r="H1421" i="3"/>
  <c r="H2320" i="3"/>
  <c r="H5639" i="3"/>
  <c r="H12" i="3"/>
  <c r="H1965" i="3"/>
  <c r="H2596" i="3"/>
  <c r="H6275" i="3"/>
  <c r="H6276" i="3"/>
  <c r="H6277" i="3"/>
  <c r="H4442" i="3"/>
  <c r="H2321" i="3"/>
  <c r="H895" i="3"/>
  <c r="H2597" i="3"/>
  <c r="H7373" i="3"/>
  <c r="H13" i="3"/>
  <c r="H6278" i="3"/>
  <c r="H2598" i="3"/>
  <c r="H2599" i="3"/>
  <c r="H7374" i="3"/>
  <c r="H5865" i="3"/>
  <c r="H7375" i="3"/>
  <c r="H2600" i="3"/>
  <c r="H14" i="3"/>
  <c r="H6650" i="3"/>
  <c r="H1966" i="3"/>
  <c r="H2601" i="3"/>
  <c r="H896" i="3"/>
  <c r="H897" i="3"/>
  <c r="H2602" i="3"/>
  <c r="H2603" i="3"/>
  <c r="H6651" i="3"/>
  <c r="H2604" i="3"/>
  <c r="H6279" i="3"/>
  <c r="H1422" i="3"/>
  <c r="H5640" i="3"/>
  <c r="H4443" i="3"/>
  <c r="H898" i="3"/>
  <c r="H446" i="3"/>
  <c r="H6652" i="3"/>
  <c r="H5866" i="3"/>
  <c r="H6653" i="3"/>
  <c r="H899" i="3"/>
  <c r="H2605" i="3"/>
  <c r="H2606" i="3"/>
  <c r="H4444" i="3"/>
  <c r="H900" i="3"/>
  <c r="H6280" i="3"/>
  <c r="H7376" i="3"/>
  <c r="H1423" i="3"/>
  <c r="H6281" i="3"/>
  <c r="H2607" i="3"/>
  <c r="H6282" i="3"/>
  <c r="H901" i="3"/>
  <c r="H4283" i="3"/>
  <c r="H902" i="3"/>
  <c r="H7377" i="3"/>
  <c r="H2322" i="3"/>
  <c r="H7188" i="3"/>
  <c r="H2608" i="3"/>
  <c r="H1967" i="3"/>
  <c r="H5641" i="3"/>
  <c r="H6283" i="3"/>
  <c r="H6654" i="3"/>
  <c r="H447" i="3"/>
  <c r="H1968" i="3"/>
  <c r="H7378" i="3"/>
  <c r="H4068" i="3"/>
  <c r="H2609" i="3"/>
  <c r="H6655" i="3"/>
  <c r="H903" i="3"/>
  <c r="H7379" i="3"/>
  <c r="H4445" i="3"/>
  <c r="H904" i="3"/>
  <c r="H7189" i="3"/>
  <c r="H5642" i="3"/>
  <c r="H6284" i="3"/>
  <c r="H1969" i="3"/>
  <c r="H4446" i="3"/>
  <c r="H2610" i="3"/>
  <c r="H905" i="3"/>
  <c r="H1424" i="3"/>
  <c r="H906" i="3"/>
  <c r="H1970" i="3"/>
  <c r="H6656" i="3"/>
  <c r="H1971" i="3"/>
  <c r="H1972" i="3"/>
  <c r="H1973" i="3"/>
  <c r="H6897" i="3"/>
  <c r="H907" i="3"/>
  <c r="H2611" i="3"/>
  <c r="H6657" i="3"/>
  <c r="H7380" i="3"/>
  <c r="H1974" i="3"/>
  <c r="H5643" i="3"/>
  <c r="H1425" i="3"/>
  <c r="H5867" i="3"/>
  <c r="H6898" i="3"/>
  <c r="H5644" i="3"/>
  <c r="H5645" i="3"/>
  <c r="H4069" i="3"/>
  <c r="H7381" i="3"/>
  <c r="H7190" i="3"/>
  <c r="H7382" i="3"/>
  <c r="H5646" i="3"/>
  <c r="H2612" i="3"/>
  <c r="H7383" i="3"/>
  <c r="H4447" i="3"/>
  <c r="H7191" i="3"/>
  <c r="H2613" i="3"/>
  <c r="H7384" i="3"/>
  <c r="H2614" i="3"/>
  <c r="H2615" i="3"/>
  <c r="H1725" i="3"/>
  <c r="H5868" i="3"/>
  <c r="H4448" i="3"/>
  <c r="H6285" i="3"/>
  <c r="H6658" i="3"/>
  <c r="H4449" i="3"/>
  <c r="H5647" i="3"/>
  <c r="H908" i="3"/>
  <c r="H1426" i="3"/>
  <c r="H7385" i="3"/>
  <c r="H2616" i="3"/>
  <c r="H1975" i="3"/>
  <c r="H909" i="3"/>
  <c r="H6659" i="3"/>
  <c r="H2617" i="3"/>
  <c r="H7386" i="3"/>
  <c r="H5648" i="3"/>
  <c r="H6286" i="3"/>
  <c r="H5649" i="3"/>
  <c r="H5650" i="3"/>
  <c r="H4450" i="3"/>
  <c r="H6287" i="3"/>
  <c r="H2618" i="3"/>
  <c r="H1976" i="3"/>
  <c r="H2619" i="3"/>
  <c r="H2620" i="3"/>
  <c r="H7387" i="3"/>
  <c r="H448" i="3"/>
  <c r="H910" i="3"/>
  <c r="H6660" i="3"/>
  <c r="H6288" i="3"/>
  <c r="H4451" i="3"/>
  <c r="H2621" i="3"/>
  <c r="H7388" i="3"/>
  <c r="H15" i="3"/>
  <c r="H1977" i="3"/>
  <c r="H2622" i="3"/>
  <c r="H449" i="3"/>
  <c r="H7192" i="3"/>
  <c r="H911" i="3"/>
  <c r="H912" i="3"/>
  <c r="H4070" i="3"/>
  <c r="H1427" i="3"/>
  <c r="H1428" i="3"/>
  <c r="H1978" i="3"/>
  <c r="H16" i="3"/>
  <c r="H2623" i="3"/>
  <c r="H1979" i="3"/>
  <c r="H5651" i="3"/>
  <c r="H4452" i="3"/>
  <c r="H2624" i="3"/>
  <c r="H2625" i="3"/>
  <c r="H1980" i="3"/>
  <c r="H2626" i="3"/>
  <c r="H1726" i="3"/>
  <c r="H1429" i="3"/>
  <c r="H4453" i="3"/>
  <c r="H4454" i="3"/>
  <c r="H2323" i="3"/>
  <c r="H450" i="3"/>
  <c r="H913" i="3"/>
  <c r="H6289" i="3"/>
  <c r="H4455" i="3"/>
  <c r="H2627" i="3"/>
  <c r="H914" i="3"/>
  <c r="H1430" i="3"/>
  <c r="H6290" i="3"/>
  <c r="H451" i="3"/>
  <c r="H6661" i="3"/>
  <c r="H5652" i="3"/>
  <c r="H7389" i="3"/>
  <c r="H6662" i="3"/>
  <c r="H915" i="3"/>
  <c r="H2628" i="3"/>
  <c r="H2629" i="3"/>
  <c r="H5653" i="3"/>
  <c r="H5654" i="3"/>
  <c r="H2630" i="3"/>
  <c r="H1431" i="3"/>
  <c r="H1432" i="3"/>
  <c r="H6663" i="3"/>
  <c r="H2631" i="3"/>
  <c r="H7390" i="3"/>
  <c r="H6664" i="3"/>
  <c r="H309" i="3"/>
  <c r="H1981" i="3"/>
  <c r="H916" i="3"/>
  <c r="H5655" i="3"/>
  <c r="H310" i="3"/>
  <c r="H7391" i="3"/>
  <c r="H2632" i="3"/>
  <c r="H452" i="3"/>
  <c r="H6291" i="3"/>
  <c r="H4456" i="3"/>
  <c r="H1433" i="3"/>
  <c r="H6292" i="3"/>
  <c r="H5656" i="3"/>
  <c r="H917" i="3"/>
  <c r="H5657" i="3"/>
  <c r="H2633" i="3"/>
  <c r="H2634" i="3"/>
  <c r="H7392" i="3"/>
  <c r="H1434" i="3"/>
  <c r="H5658" i="3"/>
  <c r="H4071" i="3"/>
  <c r="H1435" i="3"/>
  <c r="H7393" i="3"/>
  <c r="H1982" i="3"/>
  <c r="H6899" i="3"/>
  <c r="H2635" i="3"/>
  <c r="H7193" i="3"/>
  <c r="H4457" i="3"/>
  <c r="H1436" i="3"/>
  <c r="H6665" i="3"/>
  <c r="H6666" i="3"/>
  <c r="H453" i="3"/>
  <c r="H6900" i="3"/>
  <c r="H6293" i="3"/>
  <c r="H6667" i="3"/>
  <c r="H918" i="3"/>
  <c r="H2636" i="3"/>
  <c r="H7394" i="3"/>
  <c r="H5869" i="3"/>
  <c r="H1437" i="3"/>
  <c r="H6668" i="3"/>
  <c r="H6669" i="3"/>
  <c r="H1438" i="3"/>
  <c r="H2637" i="3"/>
  <c r="H919" i="3"/>
  <c r="H2638" i="3"/>
  <c r="H7395" i="3"/>
  <c r="H920" i="3"/>
  <c r="H1439" i="3"/>
  <c r="H6294" i="3"/>
  <c r="H1440" i="3"/>
  <c r="H2639" i="3"/>
  <c r="H5659" i="3"/>
  <c r="H7194" i="3"/>
  <c r="H7396" i="3"/>
  <c r="H2640" i="3"/>
  <c r="H454" i="3"/>
  <c r="H2641" i="3"/>
  <c r="H2642" i="3"/>
  <c r="H7397" i="3"/>
  <c r="H4458" i="3"/>
  <c r="H7398" i="3"/>
  <c r="H5660" i="3"/>
  <c r="H7399" i="3"/>
  <c r="H2643" i="3"/>
  <c r="H6670" i="3"/>
  <c r="H6671" i="3"/>
  <c r="H5661" i="3"/>
  <c r="H1983" i="3"/>
  <c r="H921" i="3"/>
  <c r="H311" i="3"/>
  <c r="H7400" i="3"/>
  <c r="H4072" i="3"/>
  <c r="H922" i="3"/>
  <c r="H6672" i="3"/>
  <c r="H5662" i="3"/>
  <c r="H2644" i="3"/>
  <c r="H5663" i="3"/>
  <c r="H2645" i="3"/>
  <c r="H7401" i="3"/>
  <c r="H4073" i="3"/>
  <c r="H6901" i="3"/>
  <c r="H455" i="3"/>
  <c r="H1727" i="3"/>
  <c r="H5664" i="3"/>
  <c r="H4459" i="3"/>
  <c r="H1441" i="3"/>
  <c r="H923" i="3"/>
  <c r="H7402" i="3"/>
  <c r="H5665" i="3"/>
  <c r="H7403" i="3"/>
  <c r="H1442" i="3"/>
  <c r="H4074" i="3"/>
  <c r="H1984" i="3"/>
  <c r="H7404" i="3"/>
  <c r="H1985" i="3"/>
  <c r="H2646" i="3"/>
  <c r="H1728" i="3"/>
  <c r="H2647" i="3"/>
  <c r="H2648" i="3"/>
  <c r="H4075" i="3"/>
  <c r="H924" i="3"/>
  <c r="H2649" i="3"/>
  <c r="H17" i="3"/>
  <c r="H7195" i="3"/>
  <c r="H7196" i="3"/>
  <c r="H18" i="3"/>
  <c r="H6902" i="3"/>
  <c r="H5666" i="3"/>
  <c r="H2650" i="3"/>
  <c r="H4076" i="3"/>
  <c r="H4460" i="3"/>
  <c r="H456" i="3"/>
  <c r="H5667" i="3"/>
  <c r="H1729" i="3"/>
  <c r="H6673" i="3"/>
  <c r="H5668" i="3"/>
  <c r="H2651" i="3"/>
  <c r="H1443" i="3"/>
  <c r="H2652" i="3"/>
  <c r="H6295" i="3"/>
  <c r="H1444" i="3"/>
  <c r="H2653" i="3"/>
  <c r="H6674" i="3"/>
  <c r="H1445" i="3"/>
  <c r="H457" i="3"/>
  <c r="H5669" i="3"/>
  <c r="H1730" i="3"/>
  <c r="H4461" i="3"/>
  <c r="H4462" i="3"/>
  <c r="H7405" i="3"/>
  <c r="H1986" i="3"/>
  <c r="H925" i="3"/>
  <c r="H1446" i="3"/>
  <c r="H2654" i="3"/>
  <c r="H4077" i="3"/>
  <c r="H2655" i="3"/>
  <c r="H5670" i="3"/>
  <c r="H1447" i="3"/>
  <c r="H5671" i="3"/>
  <c r="H7406" i="3"/>
  <c r="H4078" i="3"/>
  <c r="H2656" i="3"/>
  <c r="H4463" i="3"/>
  <c r="H1448" i="3"/>
  <c r="H2657" i="3"/>
  <c r="H2658" i="3"/>
  <c r="H6675" i="3"/>
  <c r="H6676" i="3"/>
  <c r="H7407" i="3"/>
  <c r="H7408" i="3"/>
  <c r="H19" i="3"/>
  <c r="H7409" i="3"/>
  <c r="H6296" i="3"/>
  <c r="H7197" i="3"/>
  <c r="H2659" i="3"/>
  <c r="H2660" i="3"/>
  <c r="H1449" i="3"/>
  <c r="H926" i="3"/>
  <c r="H7410" i="3"/>
  <c r="H5672" i="3"/>
  <c r="H1450" i="3"/>
  <c r="H7411" i="3"/>
  <c r="H2661" i="3"/>
  <c r="H458" i="3"/>
  <c r="H20" i="3"/>
  <c r="H2662" i="3"/>
  <c r="H6297" i="3"/>
  <c r="H1451" i="3"/>
  <c r="H5673" i="3"/>
  <c r="H7412" i="3"/>
  <c r="H5870" i="3"/>
  <c r="H5674" i="3"/>
  <c r="H7413" i="3"/>
  <c r="H5871" i="3"/>
  <c r="H5675" i="3"/>
  <c r="H2663" i="3"/>
  <c r="H6298" i="3"/>
  <c r="H5676" i="3"/>
  <c r="H1731" i="3"/>
  <c r="H2664" i="3"/>
  <c r="H6677" i="3"/>
  <c r="H5677" i="3"/>
  <c r="H4464" i="3"/>
  <c r="H5678" i="3"/>
  <c r="H6299" i="3"/>
  <c r="H2665" i="3"/>
  <c r="H7414" i="3"/>
  <c r="H4465" i="3"/>
  <c r="H5679" i="3"/>
  <c r="H2666" i="3"/>
  <c r="H927" i="3"/>
  <c r="H7415" i="3"/>
  <c r="H1452" i="3"/>
  <c r="H4466" i="3"/>
  <c r="H6678" i="3"/>
  <c r="H928" i="3"/>
  <c r="H7416" i="3"/>
  <c r="H5680" i="3"/>
  <c r="H6679" i="3"/>
  <c r="H7417" i="3"/>
  <c r="H2324" i="3"/>
  <c r="H929" i="3"/>
  <c r="H2667" i="3"/>
  <c r="H7418" i="3"/>
  <c r="H6680" i="3"/>
  <c r="H6681" i="3"/>
  <c r="H6903" i="3"/>
  <c r="H6300" i="3"/>
  <c r="H5681" i="3"/>
  <c r="H5872" i="3"/>
  <c r="H2668" i="3"/>
  <c r="H5682" i="3"/>
  <c r="H1453" i="3"/>
  <c r="H1987" i="3"/>
  <c r="H2669" i="3"/>
  <c r="H7419" i="3"/>
  <c r="H6682" i="3"/>
  <c r="H5683" i="3"/>
  <c r="H6301" i="3"/>
  <c r="H2670" i="3"/>
  <c r="H1988" i="3"/>
  <c r="H1989" i="3"/>
  <c r="H6302" i="3"/>
  <c r="H7420" i="3"/>
  <c r="H459" i="3"/>
  <c r="H930" i="3"/>
  <c r="H931" i="3"/>
  <c r="H1990" i="3"/>
  <c r="H6683" i="3"/>
  <c r="H4467" i="3"/>
  <c r="H1732" i="3"/>
  <c r="H1454" i="3"/>
  <c r="H2671" i="3"/>
  <c r="H932" i="3"/>
  <c r="H2672" i="3"/>
  <c r="H312" i="3"/>
  <c r="H2673" i="3"/>
  <c r="H5684" i="3"/>
  <c r="H1455" i="3"/>
  <c r="H933" i="3"/>
  <c r="H1991" i="3"/>
  <c r="H2674" i="3"/>
  <c r="H2675" i="3"/>
  <c r="H2325" i="3"/>
  <c r="H1456" i="3"/>
  <c r="H2676" i="3"/>
  <c r="H313" i="3"/>
  <c r="H5685" i="3"/>
  <c r="H934" i="3"/>
  <c r="H935" i="3"/>
  <c r="H1733" i="3"/>
  <c r="H460" i="3"/>
  <c r="H4468" i="3"/>
  <c r="H1992" i="3"/>
  <c r="H6303" i="3"/>
  <c r="H936" i="3"/>
  <c r="H5686" i="3"/>
  <c r="H314" i="3"/>
  <c r="H6304" i="3"/>
  <c r="H6684" i="3"/>
  <c r="H7421" i="3"/>
  <c r="H2326" i="3"/>
  <c r="H2677" i="3"/>
  <c r="H1993" i="3"/>
  <c r="H6685" i="3"/>
  <c r="H2678" i="3"/>
  <c r="H937" i="3"/>
  <c r="H6686" i="3"/>
  <c r="H6687" i="3"/>
  <c r="H7422" i="3"/>
  <c r="H4079" i="3"/>
  <c r="H1457" i="3"/>
  <c r="H5687" i="3"/>
  <c r="H6305" i="3"/>
  <c r="H6306" i="3"/>
  <c r="H1994" i="3"/>
  <c r="H7423" i="3"/>
  <c r="H7424" i="3"/>
  <c r="H7425" i="3"/>
  <c r="H4469" i="3"/>
  <c r="H1734" i="3"/>
  <c r="H4080" i="3"/>
  <c r="H1995" i="3"/>
  <c r="H938" i="3"/>
  <c r="H1458" i="3"/>
  <c r="H1459" i="3"/>
  <c r="H939" i="3"/>
  <c r="H940" i="3"/>
  <c r="H5688" i="3"/>
  <c r="H2679" i="3"/>
  <c r="H7426" i="3"/>
  <c r="H6307" i="3"/>
  <c r="H7427" i="3"/>
  <c r="H1460" i="3"/>
  <c r="H6688" i="3"/>
  <c r="H6308" i="3"/>
  <c r="H1996" i="3"/>
  <c r="H7428" i="3"/>
  <c r="H1997" i="3"/>
  <c r="H1461" i="3"/>
  <c r="H2680" i="3"/>
  <c r="H7429" i="3"/>
  <c r="H6689" i="3"/>
  <c r="H6309" i="3"/>
  <c r="H5873" i="3"/>
  <c r="H6310" i="3"/>
  <c r="H2681" i="3"/>
  <c r="H5689" i="3"/>
  <c r="H21" i="3"/>
  <c r="H7430" i="3"/>
  <c r="H22" i="3"/>
  <c r="H6311" i="3"/>
  <c r="H1462" i="3"/>
  <c r="H941" i="3"/>
  <c r="H2682" i="3"/>
  <c r="H7431" i="3"/>
  <c r="H7432" i="3"/>
  <c r="H2683" i="3"/>
  <c r="H2684" i="3"/>
  <c r="H2685" i="3"/>
  <c r="H942" i="3"/>
  <c r="H5690" i="3"/>
  <c r="H2686" i="3"/>
  <c r="H7433" i="3"/>
  <c r="H2687" i="3"/>
  <c r="H943" i="3"/>
  <c r="H7434" i="3"/>
  <c r="H2327" i="3"/>
  <c r="H6690" i="3"/>
  <c r="H944" i="3"/>
  <c r="H945" i="3"/>
  <c r="H4081" i="3"/>
  <c r="H5691" i="3"/>
  <c r="H6691" i="3"/>
  <c r="H461" i="3"/>
  <c r="H2688" i="3"/>
  <c r="H946" i="3"/>
  <c r="H947" i="3"/>
  <c r="H948" i="3"/>
  <c r="H1463" i="3"/>
  <c r="H4470" i="3"/>
  <c r="H6692" i="3"/>
  <c r="H6693" i="3"/>
  <c r="H4471" i="3"/>
  <c r="H2689" i="3"/>
  <c r="H6312" i="3"/>
  <c r="H1998" i="3"/>
  <c r="H6694" i="3"/>
  <c r="H6695" i="3"/>
  <c r="H5874" i="3"/>
  <c r="H315" i="3"/>
  <c r="H949" i="3"/>
  <c r="H1464" i="3"/>
  <c r="H1465" i="3"/>
  <c r="H2690" i="3"/>
  <c r="H4082" i="3"/>
  <c r="H7435" i="3"/>
  <c r="H7436" i="3"/>
  <c r="H5692" i="3"/>
  <c r="H1466" i="3"/>
  <c r="H1999" i="3"/>
  <c r="H6313" i="3"/>
  <c r="H316" i="3"/>
  <c r="H4083" i="3"/>
  <c r="H2691" i="3"/>
  <c r="H1467" i="3"/>
  <c r="H4472" i="3"/>
  <c r="H6314" i="3"/>
  <c r="H5693" i="3"/>
  <c r="H1468" i="3"/>
  <c r="H2692" i="3"/>
  <c r="H2693" i="3"/>
  <c r="H4473" i="3"/>
  <c r="H2694" i="3"/>
  <c r="H7437" i="3"/>
  <c r="H6315" i="3"/>
  <c r="H7438" i="3"/>
  <c r="H6696" i="3"/>
  <c r="H950" i="3"/>
  <c r="H7439" i="3"/>
  <c r="H7440" i="3"/>
  <c r="H5694" i="3"/>
  <c r="H6316" i="3"/>
  <c r="H7441" i="3"/>
  <c r="H6697" i="3"/>
  <c r="H2000" i="3"/>
  <c r="H1735" i="3"/>
  <c r="H6317" i="3"/>
  <c r="H7442" i="3"/>
  <c r="H5695" i="3"/>
  <c r="H2001" i="3"/>
  <c r="H951" i="3"/>
  <c r="H1736" i="3"/>
  <c r="H2695" i="3"/>
  <c r="H1469" i="3"/>
  <c r="H1737" i="3"/>
  <c r="H2696" i="3"/>
  <c r="H6318" i="3"/>
  <c r="H5696" i="3"/>
  <c r="H317" i="3"/>
  <c r="H7443" i="3"/>
  <c r="H2697" i="3"/>
  <c r="H7198" i="3"/>
  <c r="H7444" i="3"/>
  <c r="H7445" i="3"/>
  <c r="H2698" i="3"/>
  <c r="H5697" i="3"/>
  <c r="H7446" i="3"/>
  <c r="H1470" i="3"/>
  <c r="H4084" i="3"/>
  <c r="H952" i="3"/>
  <c r="H2328" i="3"/>
  <c r="H4474" i="3"/>
  <c r="H5698" i="3"/>
  <c r="H7447" i="3"/>
  <c r="H2699" i="3"/>
  <c r="H2700" i="3"/>
  <c r="H2701" i="3"/>
  <c r="H4475" i="3"/>
  <c r="H6698" i="3"/>
  <c r="H7448" i="3"/>
  <c r="H6319" i="3"/>
  <c r="H1471" i="3"/>
  <c r="H6699" i="3"/>
  <c r="H2702" i="3"/>
  <c r="H2703" i="3"/>
  <c r="H2329" i="3"/>
  <c r="H6320" i="3"/>
  <c r="H23" i="3"/>
  <c r="H2330" i="3"/>
  <c r="H5699" i="3"/>
  <c r="H2704" i="3"/>
  <c r="H1738" i="3"/>
  <c r="H7449" i="3"/>
  <c r="H6700" i="3"/>
  <c r="H953" i="3"/>
  <c r="H6321" i="3"/>
  <c r="H5875" i="3"/>
  <c r="H2705" i="3"/>
  <c r="H4085" i="3"/>
  <c r="H2706" i="3"/>
  <c r="H6322" i="3"/>
  <c r="H1739" i="3"/>
  <c r="H6323" i="3"/>
  <c r="H2707" i="3"/>
  <c r="H5876" i="3"/>
  <c r="H7450" i="3"/>
  <c r="H5877" i="3"/>
  <c r="H7451" i="3"/>
  <c r="H2708" i="3"/>
  <c r="H6324" i="3"/>
  <c r="H1740" i="3"/>
  <c r="H7452" i="3"/>
  <c r="H7199" i="3"/>
  <c r="H954" i="3"/>
  <c r="H6325" i="3"/>
  <c r="H6701" i="3"/>
  <c r="H2709" i="3"/>
  <c r="H2710" i="3"/>
  <c r="H6904" i="3"/>
  <c r="H4284" i="3"/>
  <c r="H2002" i="3"/>
  <c r="H7453" i="3"/>
  <c r="H6702" i="3"/>
  <c r="H2711" i="3"/>
  <c r="H6326" i="3"/>
  <c r="H1741" i="3"/>
  <c r="H7454" i="3"/>
  <c r="H7455" i="3"/>
  <c r="H462" i="3"/>
  <c r="H24" i="3"/>
  <c r="H6327" i="3"/>
  <c r="H2003" i="3"/>
  <c r="H1472" i="3"/>
  <c r="H6328" i="3"/>
  <c r="H7456" i="3"/>
  <c r="H955" i="3"/>
  <c r="H5700" i="3"/>
  <c r="H7457" i="3"/>
  <c r="H6329" i="3"/>
  <c r="H1473" i="3"/>
  <c r="H2331" i="3"/>
  <c r="H2004" i="3"/>
  <c r="H7458" i="3"/>
  <c r="H2712" i="3"/>
  <c r="H956" i="3"/>
  <c r="H1474" i="3"/>
  <c r="H6330" i="3"/>
  <c r="H2713" i="3"/>
  <c r="H7459" i="3"/>
  <c r="H1475" i="3"/>
  <c r="H7460" i="3"/>
  <c r="H2714" i="3"/>
  <c r="H2715" i="3"/>
  <c r="H1476" i="3"/>
  <c r="H5878" i="3"/>
  <c r="H957" i="3"/>
  <c r="H5701" i="3"/>
  <c r="H4476" i="3"/>
  <c r="H6331" i="3"/>
  <c r="H7461" i="3"/>
  <c r="H5879" i="3"/>
  <c r="H958" i="3"/>
  <c r="H5702" i="3"/>
  <c r="H6332" i="3"/>
  <c r="H7462" i="3"/>
  <c r="H6333" i="3"/>
  <c r="H2716" i="3"/>
  <c r="H25" i="3"/>
  <c r="H7463" i="3"/>
  <c r="H1477" i="3"/>
  <c r="H2717" i="3"/>
  <c r="H2005" i="3"/>
  <c r="H1478" i="3"/>
  <c r="H2718" i="3"/>
  <c r="H2719" i="3"/>
  <c r="H6334" i="3"/>
  <c r="H4477" i="3"/>
  <c r="H1479" i="3"/>
  <c r="H26" i="3"/>
  <c r="H5703" i="3"/>
  <c r="H2720" i="3"/>
  <c r="H6335" i="3"/>
  <c r="H5880" i="3"/>
  <c r="H463" i="3"/>
  <c r="H4478" i="3"/>
  <c r="H5704" i="3"/>
  <c r="H959" i="3"/>
  <c r="H5705" i="3"/>
  <c r="H7464" i="3"/>
  <c r="H6703" i="3"/>
  <c r="H6704" i="3"/>
  <c r="H7465" i="3"/>
  <c r="H1480" i="3"/>
  <c r="H7466" i="3"/>
  <c r="H7467" i="3"/>
  <c r="H464" i="3"/>
  <c r="H2721" i="3"/>
  <c r="H960" i="3"/>
  <c r="H2722" i="3"/>
  <c r="H1481" i="3"/>
  <c r="H1742" i="3"/>
  <c r="H4479" i="3"/>
  <c r="H7468" i="3"/>
  <c r="H961" i="3"/>
  <c r="H962" i="3"/>
  <c r="H2723" i="3"/>
  <c r="H2724" i="3"/>
  <c r="H7469" i="3"/>
  <c r="H5881" i="3"/>
  <c r="H4086" i="3"/>
  <c r="H5706" i="3"/>
  <c r="H6336" i="3"/>
  <c r="H1482" i="3"/>
  <c r="H1483" i="3"/>
  <c r="H6705" i="3"/>
  <c r="H2006" i="3"/>
  <c r="H1484" i="3"/>
  <c r="H27" i="3"/>
  <c r="H2725" i="3"/>
  <c r="H28" i="3"/>
  <c r="H5882" i="3"/>
  <c r="H963" i="3"/>
  <c r="H6337" i="3"/>
  <c r="H2007" i="3"/>
  <c r="H964" i="3"/>
  <c r="H2332" i="3"/>
  <c r="H2726" i="3"/>
  <c r="H1485" i="3"/>
  <c r="H2333" i="3"/>
  <c r="H465" i="3"/>
  <c r="H4480" i="3"/>
  <c r="H6706" i="3"/>
  <c r="H2727" i="3"/>
  <c r="H6338" i="3"/>
  <c r="H2728" i="3"/>
  <c r="H466" i="3"/>
  <c r="H7470" i="3"/>
  <c r="H2729" i="3"/>
  <c r="H467" i="3"/>
  <c r="H2334" i="3"/>
  <c r="H2730" i="3"/>
  <c r="H7471" i="3"/>
  <c r="H2731" i="3"/>
  <c r="H2732" i="3"/>
  <c r="H5707" i="3"/>
  <c r="H4087" i="3"/>
  <c r="H6339" i="3"/>
  <c r="H468" i="3"/>
  <c r="H1486" i="3"/>
  <c r="H5708" i="3"/>
  <c r="H965" i="3"/>
  <c r="H6707" i="3"/>
  <c r="H966" i="3"/>
  <c r="H4481" i="3"/>
  <c r="H1487" i="3"/>
  <c r="H4088" i="3"/>
  <c r="H469" i="3"/>
  <c r="H6708" i="3"/>
  <c r="H4482" i="3"/>
  <c r="H4089" i="3"/>
  <c r="H2335" i="3"/>
  <c r="H318" i="3"/>
  <c r="H2336" i="3"/>
  <c r="H2733" i="3"/>
  <c r="H4483" i="3"/>
  <c r="H7472" i="3"/>
  <c r="H2734" i="3"/>
  <c r="H967" i="3"/>
  <c r="H470" i="3"/>
  <c r="H7473" i="3"/>
  <c r="H7474" i="3"/>
  <c r="H7475" i="3"/>
  <c r="H2735" i="3"/>
  <c r="H6709" i="3"/>
  <c r="H4484" i="3"/>
  <c r="H1488" i="3"/>
  <c r="H968" i="3"/>
  <c r="H4485" i="3"/>
  <c r="H969" i="3"/>
  <c r="H1489" i="3"/>
  <c r="H2736" i="3"/>
  <c r="H7476" i="3"/>
  <c r="H970" i="3"/>
  <c r="H471" i="3"/>
  <c r="H1490" i="3"/>
  <c r="H1491" i="3"/>
  <c r="H6710" i="3"/>
  <c r="H7477" i="3"/>
  <c r="H2737" i="3"/>
  <c r="H4486" i="3"/>
  <c r="H7478" i="3"/>
  <c r="H7479" i="3"/>
  <c r="H971" i="3"/>
  <c r="H4090" i="3"/>
  <c r="H5709" i="3"/>
  <c r="H2738" i="3"/>
  <c r="H1492" i="3"/>
  <c r="H2739" i="3"/>
  <c r="H6340" i="3"/>
  <c r="H6711" i="3"/>
  <c r="H972" i="3"/>
  <c r="H7480" i="3"/>
  <c r="H2740" i="3"/>
  <c r="H1493" i="3"/>
  <c r="H2741" i="3"/>
  <c r="H973" i="3"/>
  <c r="H1494" i="3"/>
  <c r="H5710" i="3"/>
  <c r="H7481" i="3"/>
  <c r="H4091" i="3"/>
  <c r="H4487" i="3"/>
  <c r="H5711" i="3"/>
  <c r="H2337" i="3"/>
  <c r="H1495" i="3"/>
  <c r="H6341" i="3"/>
  <c r="H1496" i="3"/>
  <c r="H29" i="3"/>
  <c r="H7482" i="3"/>
  <c r="H7483" i="3"/>
  <c r="H1497" i="3"/>
  <c r="H2742" i="3"/>
  <c r="H4488" i="3"/>
  <c r="H5712" i="3"/>
  <c r="H2008" i="3"/>
  <c r="H7484" i="3"/>
  <c r="H6342" i="3"/>
  <c r="H6712" i="3"/>
  <c r="H4092" i="3"/>
  <c r="H2743" i="3"/>
  <c r="H7485" i="3"/>
  <c r="H6343" i="3"/>
  <c r="H2009" i="3"/>
  <c r="H2744" i="3"/>
  <c r="H472" i="3"/>
  <c r="H2745" i="3"/>
  <c r="H2010" i="3"/>
  <c r="H4489" i="3"/>
  <c r="H1498" i="3"/>
  <c r="H1499" i="3"/>
  <c r="H6713" i="3"/>
  <c r="H2746" i="3"/>
  <c r="H6344" i="3"/>
  <c r="H2011" i="3"/>
  <c r="H473" i="3"/>
  <c r="H6714" i="3"/>
  <c r="H6715" i="3"/>
  <c r="H6905" i="3"/>
  <c r="H7200" i="3"/>
  <c r="H6345" i="3"/>
  <c r="H7486" i="3"/>
  <c r="H2747" i="3"/>
  <c r="H7487" i="3"/>
  <c r="H7488" i="3"/>
  <c r="H5883" i="3"/>
  <c r="H1500" i="3"/>
  <c r="H6716" i="3"/>
  <c r="H4490" i="3"/>
  <c r="H1743" i="3"/>
  <c r="H30" i="3"/>
  <c r="H2012" i="3"/>
  <c r="H6717" i="3"/>
  <c r="H5713" i="3"/>
  <c r="H5714" i="3"/>
  <c r="H5715" i="3"/>
  <c r="H4093" i="3"/>
  <c r="H7489" i="3"/>
  <c r="H7490" i="3"/>
  <c r="H7491" i="3"/>
  <c r="H1501" i="3"/>
  <c r="H2748" i="3"/>
  <c r="H1502" i="3"/>
  <c r="H5716" i="3"/>
  <c r="H6346" i="3"/>
  <c r="H474" i="3"/>
  <c r="H2749" i="3"/>
  <c r="H6718" i="3"/>
  <c r="H5884" i="3"/>
  <c r="H1744" i="3"/>
  <c r="H31" i="3"/>
  <c r="H6347" i="3"/>
  <c r="H6348" i="3"/>
  <c r="H475" i="3"/>
  <c r="H1503" i="3"/>
  <c r="H2750" i="3"/>
  <c r="H2751" i="3"/>
  <c r="H2752" i="3"/>
  <c r="H5717" i="3"/>
  <c r="H1504" i="3"/>
  <c r="H974" i="3"/>
  <c r="H6349" i="3"/>
  <c r="H7492" i="3"/>
  <c r="H4491" i="3"/>
  <c r="H2338" i="3"/>
  <c r="H2753" i="3"/>
  <c r="H2013" i="3"/>
  <c r="H975" i="3"/>
  <c r="H476" i="3"/>
  <c r="H976" i="3"/>
  <c r="H2754" i="3"/>
  <c r="H6719" i="3"/>
  <c r="H2014" i="3"/>
  <c r="H2755" i="3"/>
  <c r="H2756" i="3"/>
  <c r="H7493" i="3"/>
  <c r="H1745" i="3"/>
  <c r="H2757" i="3"/>
  <c r="H6350" i="3"/>
  <c r="H2758" i="3"/>
  <c r="H7494" i="3"/>
  <c r="H2759" i="3"/>
  <c r="H2760" i="3"/>
  <c r="H2015" i="3"/>
  <c r="H2761" i="3"/>
  <c r="H2762" i="3"/>
  <c r="H2763" i="3"/>
  <c r="H7495" i="3"/>
  <c r="H7496" i="3"/>
  <c r="H5885" i="3"/>
  <c r="H977" i="3"/>
  <c r="H1746" i="3"/>
  <c r="H2764" i="3"/>
  <c r="H4094" i="3"/>
  <c r="H2765" i="3"/>
  <c r="H2766" i="3"/>
  <c r="H1505" i="3"/>
  <c r="H2767" i="3"/>
  <c r="H1506" i="3"/>
  <c r="H319" i="3"/>
  <c r="H1507" i="3"/>
  <c r="H2768" i="3"/>
  <c r="H5718" i="3"/>
  <c r="H7497" i="3"/>
  <c r="H7498" i="3"/>
  <c r="H2769" i="3"/>
  <c r="H5886" i="3"/>
  <c r="H7499" i="3"/>
  <c r="H2770" i="3"/>
  <c r="H2771" i="3"/>
  <c r="H2772" i="3"/>
  <c r="H1508" i="3"/>
  <c r="H2773" i="3"/>
  <c r="H1509" i="3"/>
  <c r="H6351" i="3"/>
  <c r="H2774" i="3"/>
  <c r="H5887" i="3"/>
  <c r="H6906" i="3"/>
  <c r="H2775" i="3"/>
  <c r="H477" i="3"/>
  <c r="H2339" i="3"/>
  <c r="H5888" i="3"/>
  <c r="H7500" i="3"/>
  <c r="H478" i="3"/>
  <c r="H6720" i="3"/>
  <c r="H4492" i="3"/>
  <c r="H479" i="3"/>
  <c r="H2016" i="3"/>
  <c r="H7501" i="3"/>
  <c r="H2776" i="3"/>
  <c r="H2340" i="3"/>
  <c r="H6721" i="3"/>
  <c r="H2017" i="3"/>
  <c r="H5719" i="3"/>
  <c r="H1510" i="3"/>
  <c r="H6722" i="3"/>
  <c r="H2018" i="3"/>
  <c r="H1511" i="3"/>
  <c r="H2777" i="3"/>
  <c r="H6352" i="3"/>
  <c r="H6723" i="3"/>
  <c r="H6724" i="3"/>
  <c r="H2019" i="3"/>
  <c r="H6725" i="3"/>
  <c r="H480" i="3"/>
  <c r="H978" i="3"/>
  <c r="H979" i="3"/>
  <c r="H2020" i="3"/>
  <c r="H7502" i="3"/>
  <c r="H4493" i="3"/>
  <c r="H980" i="3"/>
  <c r="H2778" i="3"/>
  <c r="H1512" i="3"/>
  <c r="H2021" i="3"/>
  <c r="H2779" i="3"/>
  <c r="H6726" i="3"/>
  <c r="H4494" i="3"/>
  <c r="H481" i="3"/>
  <c r="H5720" i="3"/>
  <c r="H6907" i="3"/>
  <c r="H4495" i="3"/>
  <c r="H7201" i="3"/>
  <c r="H5721" i="3"/>
  <c r="H1513" i="3"/>
  <c r="H7503" i="3"/>
  <c r="H2022" i="3"/>
  <c r="H4095" i="3"/>
  <c r="H6727" i="3"/>
  <c r="H2780" i="3"/>
  <c r="H7504" i="3"/>
  <c r="H6728" i="3"/>
  <c r="H6729" i="3"/>
  <c r="H1514" i="3"/>
  <c r="H2781" i="3"/>
  <c r="H1747" i="3"/>
  <c r="H2782" i="3"/>
  <c r="H7505" i="3"/>
  <c r="H5722" i="3"/>
  <c r="H2783" i="3"/>
  <c r="H2023" i="3"/>
  <c r="H7506" i="3"/>
  <c r="H2784" i="3"/>
  <c r="H2785" i="3"/>
  <c r="H5889" i="3"/>
  <c r="H1515" i="3"/>
  <c r="H6353" i="3"/>
  <c r="H1516" i="3"/>
  <c r="H2786" i="3"/>
  <c r="H981" i="3"/>
  <c r="H7507" i="3"/>
  <c r="H6354" i="3"/>
  <c r="H4496" i="3"/>
  <c r="H2787" i="3"/>
  <c r="H4497" i="3"/>
  <c r="H6730" i="3"/>
  <c r="H7508" i="3"/>
  <c r="H4096" i="3"/>
  <c r="H2788" i="3"/>
  <c r="H6731" i="3"/>
  <c r="H6732" i="3"/>
  <c r="H1748" i="3"/>
  <c r="H5890" i="3"/>
  <c r="H1749" i="3"/>
  <c r="H2789" i="3"/>
  <c r="H2790" i="3"/>
  <c r="H1750" i="3"/>
  <c r="H32" i="3"/>
  <c r="H4498" i="3"/>
  <c r="H6355" i="3"/>
  <c r="H1751" i="3"/>
  <c r="H7509" i="3"/>
  <c r="H2341" i="3"/>
  <c r="H4499" i="3"/>
  <c r="H2791" i="3"/>
  <c r="H7510" i="3"/>
  <c r="H2792" i="3"/>
  <c r="H7511" i="3"/>
  <c r="H4500" i="3"/>
  <c r="H6356" i="3"/>
  <c r="H6357" i="3"/>
  <c r="H7202" i="3"/>
  <c r="H2793" i="3"/>
  <c r="H7512" i="3"/>
  <c r="H2024" i="3"/>
  <c r="H982" i="3"/>
  <c r="H5723" i="3"/>
  <c r="H6358" i="3"/>
  <c r="H7513" i="3"/>
  <c r="H2794" i="3"/>
  <c r="H2795" i="3"/>
  <c r="H4097" i="3"/>
  <c r="H4501" i="3"/>
  <c r="H2342" i="3"/>
  <c r="H6733" i="3"/>
  <c r="H1517" i="3"/>
  <c r="H2796" i="3"/>
  <c r="H1518" i="3"/>
  <c r="H2797" i="3"/>
  <c r="H2343" i="3"/>
  <c r="H7514" i="3"/>
  <c r="H6359" i="3"/>
  <c r="H5724" i="3"/>
  <c r="H983" i="3"/>
  <c r="H2798" i="3"/>
  <c r="H984" i="3"/>
  <c r="H1519" i="3"/>
  <c r="H33" i="3"/>
  <c r="H7515" i="3"/>
  <c r="H2799" i="3"/>
  <c r="H985" i="3"/>
  <c r="H6360" i="3"/>
  <c r="H986" i="3"/>
  <c r="H4502" i="3"/>
  <c r="H7516" i="3"/>
  <c r="H6361" i="3"/>
  <c r="H2800" i="3"/>
  <c r="H987" i="3"/>
  <c r="H2025" i="3"/>
  <c r="H2026" i="3"/>
  <c r="H2801" i="3"/>
  <c r="H2802" i="3"/>
  <c r="H7517" i="3"/>
  <c r="H2027" i="3"/>
  <c r="H2803" i="3"/>
  <c r="H6362" i="3"/>
  <c r="H2804" i="3"/>
  <c r="H2805" i="3"/>
  <c r="H2028" i="3"/>
  <c r="H6734" i="3"/>
  <c r="H2806" i="3"/>
  <c r="H6363" i="3"/>
  <c r="H7518" i="3"/>
  <c r="H2807" i="3"/>
  <c r="H988" i="3"/>
  <c r="H989" i="3"/>
  <c r="H482" i="3"/>
  <c r="H1752" i="3"/>
  <c r="H4098" i="3"/>
  <c r="H2808" i="3"/>
  <c r="H7519" i="3"/>
  <c r="H990" i="3"/>
  <c r="H2029" i="3"/>
  <c r="H991" i="3"/>
  <c r="H2809" i="3"/>
  <c r="H2810" i="3"/>
  <c r="H5891" i="3"/>
  <c r="H1520" i="3"/>
  <c r="H4503" i="3"/>
  <c r="H2811" i="3"/>
  <c r="H1521" i="3"/>
  <c r="H4504" i="3"/>
  <c r="H2812" i="3"/>
  <c r="H5892" i="3"/>
  <c r="H992" i="3"/>
  <c r="H4505" i="3"/>
  <c r="H4285" i="3"/>
  <c r="H7520" i="3"/>
  <c r="H2344" i="3"/>
  <c r="H7521" i="3"/>
  <c r="H2813" i="3"/>
  <c r="H2814" i="3"/>
  <c r="H993" i="3"/>
  <c r="H7522" i="3"/>
  <c r="H994" i="3"/>
  <c r="H4099" i="3"/>
  <c r="H4506" i="3"/>
  <c r="H5725" i="3"/>
  <c r="H5893" i="3"/>
  <c r="H5726" i="3"/>
  <c r="H6364" i="3"/>
  <c r="H4100" i="3"/>
  <c r="H1753" i="3"/>
  <c r="H34" i="3"/>
  <c r="H2815" i="3"/>
  <c r="H5894" i="3"/>
  <c r="H2816" i="3"/>
  <c r="H4507" i="3"/>
  <c r="H6365" i="3"/>
  <c r="H483" i="3"/>
  <c r="H7203" i="3"/>
  <c r="H5727" i="3"/>
  <c r="H2817" i="3"/>
  <c r="H995" i="3"/>
  <c r="H6735" i="3"/>
  <c r="H2818" i="3"/>
  <c r="H1522" i="3"/>
  <c r="H2819" i="3"/>
  <c r="H6736" i="3"/>
  <c r="H6366" i="3"/>
  <c r="H2820" i="3"/>
  <c r="H2345" i="3"/>
  <c r="H4508" i="3"/>
  <c r="H7523" i="3"/>
  <c r="H2821" i="3"/>
  <c r="H2030" i="3"/>
  <c r="H7524" i="3"/>
  <c r="H2822" i="3"/>
  <c r="H2823" i="3"/>
  <c r="H996" i="3"/>
  <c r="H2824" i="3"/>
  <c r="H6367" i="3"/>
  <c r="H2825" i="3"/>
  <c r="H7525" i="3"/>
  <c r="H997" i="3"/>
  <c r="H1754" i="3"/>
  <c r="H1755" i="3"/>
  <c r="H6737" i="3"/>
  <c r="H2826" i="3"/>
  <c r="H1523" i="3"/>
  <c r="H998" i="3"/>
  <c r="H6738" i="3"/>
  <c r="H6908" i="3"/>
  <c r="H2827" i="3"/>
  <c r="H7526" i="3"/>
  <c r="H1524" i="3"/>
  <c r="H6909" i="3"/>
  <c r="H2828" i="3"/>
  <c r="H6739" i="3"/>
  <c r="H2829" i="3"/>
  <c r="H1525" i="3"/>
  <c r="H2830" i="3"/>
  <c r="H35" i="3"/>
  <c r="H999" i="3"/>
  <c r="H1756" i="3"/>
  <c r="H2831" i="3"/>
  <c r="H2832" i="3"/>
  <c r="H2833" i="3"/>
  <c r="H6740" i="3"/>
  <c r="H4101" i="3"/>
  <c r="H7527" i="3"/>
  <c r="H1000" i="3"/>
  <c r="H2834" i="3"/>
  <c r="H7528" i="3"/>
  <c r="H2835" i="3"/>
  <c r="H1757" i="3"/>
  <c r="H4509" i="3"/>
  <c r="H7529" i="3"/>
  <c r="H1526" i="3"/>
  <c r="H2031" i="3"/>
  <c r="H2836" i="3"/>
  <c r="H4102" i="3"/>
  <c r="H4510" i="3"/>
  <c r="H5895" i="3"/>
  <c r="H6910" i="3"/>
  <c r="H1001" i="3"/>
  <c r="H6741" i="3"/>
  <c r="H6368" i="3"/>
  <c r="H2837" i="3"/>
  <c r="H4511" i="3"/>
  <c r="H2838" i="3"/>
  <c r="H2346" i="3"/>
  <c r="H2839" i="3"/>
  <c r="H1527" i="3"/>
  <c r="H1002" i="3"/>
  <c r="H5728" i="3"/>
  <c r="H2840" i="3"/>
  <c r="H4512" i="3"/>
  <c r="H1528" i="3"/>
  <c r="H6369" i="3"/>
  <c r="H320" i="3"/>
  <c r="H2841" i="3"/>
  <c r="H6370" i="3"/>
  <c r="H484" i="3"/>
  <c r="H2842" i="3"/>
  <c r="H2843" i="3"/>
  <c r="H7530" i="3"/>
  <c r="H2347" i="3"/>
  <c r="H2844" i="3"/>
  <c r="H6371" i="3"/>
  <c r="H2032" i="3"/>
  <c r="H1529" i="3"/>
  <c r="H6742" i="3"/>
  <c r="H2845" i="3"/>
  <c r="H5896" i="3"/>
  <c r="H7531" i="3"/>
  <c r="H1003" i="3"/>
  <c r="H1530" i="3"/>
  <c r="H36" i="3"/>
  <c r="H6743" i="3"/>
  <c r="H2846" i="3"/>
  <c r="H5897" i="3"/>
  <c r="H1004" i="3"/>
  <c r="H2847" i="3"/>
  <c r="H2348" i="3"/>
  <c r="H5729" i="3"/>
  <c r="H2848" i="3"/>
  <c r="H2033" i="3"/>
  <c r="H6372" i="3"/>
  <c r="H5730" i="3"/>
  <c r="H2349" i="3"/>
  <c r="H2849" i="3"/>
  <c r="H2850" i="3"/>
  <c r="H2851" i="3"/>
  <c r="H6744" i="3"/>
  <c r="H2852" i="3"/>
  <c r="H7532" i="3"/>
  <c r="H5731" i="3"/>
  <c r="H1531" i="3"/>
  <c r="H485" i="3"/>
  <c r="H2034" i="3"/>
  <c r="H37" i="3"/>
  <c r="H1532" i="3"/>
  <c r="H6373" i="3"/>
  <c r="H5732" i="3"/>
  <c r="H6745" i="3"/>
  <c r="H2853" i="3"/>
  <c r="H2854" i="3"/>
  <c r="H6746" i="3"/>
  <c r="H486" i="3"/>
  <c r="H6374" i="3"/>
  <c r="H6747" i="3"/>
  <c r="H6375" i="3"/>
  <c r="H4103" i="3"/>
  <c r="H2855" i="3"/>
  <c r="H7533" i="3"/>
  <c r="H4513" i="3"/>
  <c r="H2856" i="3"/>
  <c r="H1758" i="3"/>
  <c r="H1533" i="3"/>
  <c r="H6376" i="3"/>
  <c r="H4104" i="3"/>
  <c r="H2857" i="3"/>
  <c r="H7534" i="3"/>
  <c r="H2858" i="3"/>
  <c r="H7535" i="3"/>
  <c r="H7536" i="3"/>
  <c r="H321" i="3"/>
  <c r="H322" i="3"/>
  <c r="H1005" i="3"/>
  <c r="H7537" i="3"/>
  <c r="H38" i="3"/>
  <c r="H2859" i="3"/>
  <c r="H487" i="3"/>
  <c r="H6377" i="3"/>
  <c r="H4286" i="3"/>
  <c r="H5898" i="3"/>
  <c r="H1534" i="3"/>
  <c r="H1535" i="3"/>
  <c r="H2860" i="3"/>
  <c r="H7538" i="3"/>
  <c r="H2861" i="3"/>
  <c r="H1006" i="3"/>
  <c r="H323" i="3"/>
  <c r="H2862" i="3"/>
  <c r="H2863" i="3"/>
  <c r="H2864" i="3"/>
  <c r="H6378" i="3"/>
  <c r="H1007" i="3"/>
  <c r="H4105" i="3"/>
  <c r="H2865" i="3"/>
  <c r="H6379" i="3"/>
  <c r="H6380" i="3"/>
  <c r="H7539" i="3"/>
  <c r="H1008" i="3"/>
  <c r="H1009" i="3"/>
  <c r="H2866" i="3"/>
  <c r="H2035" i="3"/>
  <c r="H2867" i="3"/>
  <c r="H4106" i="3"/>
  <c r="H6748" i="3"/>
  <c r="H4287" i="3"/>
  <c r="H6381" i="3"/>
  <c r="H7540" i="3"/>
  <c r="H6382" i="3"/>
  <c r="H488" i="3"/>
  <c r="H6749" i="3"/>
  <c r="H1536" i="3"/>
  <c r="H1537" i="3"/>
  <c r="H7541" i="3"/>
  <c r="H7542" i="3"/>
  <c r="H2350" i="3"/>
  <c r="H5733" i="3"/>
  <c r="H6750" i="3"/>
  <c r="H6383" i="3"/>
  <c r="H1010" i="3"/>
  <c r="H489" i="3"/>
  <c r="H7543" i="3"/>
  <c r="H4514" i="3"/>
  <c r="H7544" i="3"/>
  <c r="H39" i="3"/>
  <c r="H7545" i="3"/>
  <c r="H1011" i="3"/>
  <c r="H1538" i="3"/>
  <c r="H490" i="3"/>
  <c r="H7546" i="3"/>
  <c r="H5734" i="3"/>
  <c r="H1539" i="3"/>
  <c r="H4107" i="3"/>
  <c r="H1012" i="3"/>
  <c r="H1540" i="3"/>
  <c r="H2868" i="3"/>
  <c r="H2869" i="3"/>
  <c r="H40" i="3"/>
  <c r="H6384" i="3"/>
  <c r="H7547" i="3"/>
  <c r="H6385" i="3"/>
  <c r="H6386" i="3"/>
  <c r="H4108" i="3"/>
  <c r="H2870" i="3"/>
  <c r="H2871" i="3"/>
  <c r="H4515" i="3"/>
  <c r="H7548" i="3"/>
  <c r="H4109" i="3"/>
  <c r="H2036" i="3"/>
  <c r="H2037" i="3"/>
  <c r="H1541" i="3"/>
  <c r="H2872" i="3"/>
  <c r="H491" i="3"/>
  <c r="H1542" i="3"/>
  <c r="H6911" i="3"/>
  <c r="H1013" i="3"/>
  <c r="H2873" i="3"/>
  <c r="H1014" i="3"/>
  <c r="H2038" i="3"/>
  <c r="H7549" i="3"/>
  <c r="H1759" i="3"/>
  <c r="H2874" i="3"/>
  <c r="H5735" i="3"/>
  <c r="H2875" i="3"/>
  <c r="H7550" i="3"/>
  <c r="H41" i="3"/>
  <c r="H5899" i="3"/>
  <c r="H7551" i="3"/>
  <c r="H1543" i="3"/>
  <c r="H2876" i="3"/>
  <c r="H492" i="3"/>
  <c r="H7552" i="3"/>
  <c r="H2877" i="3"/>
  <c r="H1544" i="3"/>
  <c r="H2878" i="3"/>
  <c r="H5736" i="3"/>
  <c r="H1015" i="3"/>
  <c r="H2879" i="3"/>
  <c r="H2880" i="3"/>
  <c r="H6912" i="3"/>
  <c r="H4516" i="3"/>
  <c r="H6913" i="3"/>
  <c r="H2881" i="3"/>
  <c r="H7553" i="3"/>
  <c r="H7554" i="3"/>
  <c r="H2882" i="3"/>
  <c r="H1016" i="3"/>
  <c r="H5737" i="3"/>
  <c r="H1760" i="3"/>
  <c r="H5900" i="3"/>
  <c r="H2883" i="3"/>
  <c r="H2884" i="3"/>
  <c r="H7555" i="3"/>
  <c r="H1017" i="3"/>
  <c r="H6387" i="3"/>
  <c r="H4517" i="3"/>
  <c r="H6914" i="3"/>
  <c r="H7556" i="3"/>
  <c r="H7557" i="3"/>
  <c r="H1545" i="3"/>
  <c r="H6751" i="3"/>
  <c r="H4518" i="3"/>
  <c r="H5738" i="3"/>
  <c r="H1018" i="3"/>
  <c r="H4110" i="3"/>
  <c r="H2039" i="3"/>
  <c r="H6388" i="3"/>
  <c r="H2885" i="3"/>
  <c r="H4519" i="3"/>
  <c r="H7558" i="3"/>
  <c r="H7559" i="3"/>
  <c r="H4111" i="3"/>
  <c r="H493" i="3"/>
  <c r="H5739" i="3"/>
  <c r="H7560" i="3"/>
  <c r="H494" i="3"/>
  <c r="H2351" i="3"/>
  <c r="H4112" i="3"/>
  <c r="H2886" i="3"/>
  <c r="H5901" i="3"/>
  <c r="H324" i="3"/>
  <c r="H1546" i="3"/>
  <c r="H7561" i="3"/>
  <c r="H7562" i="3"/>
  <c r="H1547" i="3"/>
  <c r="H2040" i="3"/>
  <c r="H1019" i="3"/>
  <c r="H5740" i="3"/>
  <c r="H1020" i="3"/>
  <c r="H4288" i="3"/>
  <c r="H2041" i="3"/>
  <c r="H1021" i="3"/>
  <c r="H7563" i="3"/>
  <c r="H7564" i="3"/>
  <c r="H1548" i="3"/>
  <c r="H4520" i="3"/>
  <c r="H1761" i="3"/>
  <c r="H2887" i="3"/>
  <c r="H1549" i="3"/>
  <c r="H7565" i="3"/>
  <c r="H325" i="3"/>
  <c r="H2888" i="3"/>
  <c r="H2889" i="3"/>
  <c r="H4113" i="3"/>
  <c r="H1762" i="3"/>
  <c r="H5902" i="3"/>
  <c r="H6752" i="3"/>
  <c r="H495" i="3"/>
  <c r="H4114" i="3"/>
  <c r="H2890" i="3"/>
  <c r="H2042" i="3"/>
  <c r="H1022" i="3"/>
  <c r="H6389" i="3"/>
  <c r="H6390" i="3"/>
  <c r="H5903" i="3"/>
  <c r="H7566" i="3"/>
  <c r="H1763" i="3"/>
  <c r="H2891" i="3"/>
  <c r="H5741" i="3"/>
  <c r="H6915" i="3"/>
  <c r="H2892" i="3"/>
  <c r="H7204" i="3"/>
  <c r="H1550" i="3"/>
  <c r="H496" i="3"/>
  <c r="H1551" i="3"/>
  <c r="H7567" i="3"/>
  <c r="H2893" i="3"/>
  <c r="H326" i="3"/>
  <c r="H1764" i="3"/>
  <c r="H1023" i="3"/>
  <c r="H2894" i="3"/>
  <c r="H497" i="3"/>
  <c r="H498" i="3"/>
  <c r="H499" i="3"/>
  <c r="H500" i="3"/>
  <c r="H7568" i="3"/>
  <c r="H5742" i="3"/>
  <c r="H7569" i="3"/>
  <c r="H6916" i="3"/>
  <c r="H1552" i="3"/>
  <c r="H2895" i="3"/>
  <c r="H2896" i="3"/>
  <c r="H7570" i="3"/>
  <c r="H1553" i="3"/>
  <c r="H1765" i="3"/>
  <c r="H2897" i="3"/>
  <c r="H1554" i="3"/>
  <c r="H501" i="3"/>
  <c r="H6391" i="3"/>
  <c r="H6753" i="3"/>
  <c r="H5904" i="3"/>
  <c r="H2898" i="3"/>
  <c r="H6392" i="3"/>
  <c r="H6393" i="3"/>
  <c r="H4521" i="3"/>
  <c r="H6754" i="3"/>
  <c r="H1766" i="3"/>
  <c r="H1767" i="3"/>
  <c r="H4522" i="3"/>
  <c r="H7571" i="3"/>
  <c r="H2899" i="3"/>
  <c r="H2900" i="3"/>
  <c r="H6917" i="3"/>
  <c r="H6394" i="3"/>
  <c r="H4523" i="3"/>
  <c r="H1555" i="3"/>
  <c r="H5743" i="3"/>
  <c r="H2901" i="3"/>
  <c r="H4524" i="3"/>
  <c r="H4525" i="3"/>
  <c r="H5744" i="3"/>
  <c r="H7572" i="3"/>
  <c r="H5745" i="3"/>
  <c r="H2902" i="3"/>
  <c r="H2352" i="3"/>
  <c r="H4526" i="3"/>
  <c r="H1024" i="3"/>
  <c r="H7573" i="3"/>
  <c r="H2903" i="3"/>
  <c r="H4527" i="3"/>
  <c r="H1556" i="3"/>
  <c r="H5746" i="3"/>
  <c r="H1768" i="3"/>
  <c r="H1769" i="3"/>
  <c r="H1025" i="3"/>
  <c r="H4528" i="3"/>
  <c r="H42" i="3"/>
  <c r="H5905" i="3"/>
  <c r="H6755" i="3"/>
  <c r="H2904" i="3"/>
  <c r="H1770" i="3"/>
  <c r="H7205" i="3"/>
  <c r="H6395" i="3"/>
  <c r="H2905" i="3"/>
  <c r="H6396" i="3"/>
  <c r="H2906" i="3"/>
  <c r="H2907" i="3"/>
  <c r="H7574" i="3"/>
  <c r="H2908" i="3"/>
  <c r="H502" i="3"/>
  <c r="H2909" i="3"/>
  <c r="H1026" i="3"/>
  <c r="H2910" i="3"/>
  <c r="H2043" i="3"/>
  <c r="H1027" i="3"/>
  <c r="H7575" i="3"/>
  <c r="H43" i="3"/>
  <c r="H4529" i="3"/>
  <c r="H7576" i="3"/>
  <c r="H6756" i="3"/>
  <c r="H6757" i="3"/>
  <c r="H7577" i="3"/>
  <c r="H6758" i="3"/>
  <c r="H5747" i="3"/>
  <c r="H1557" i="3"/>
  <c r="H2911" i="3"/>
  <c r="H2912" i="3"/>
  <c r="H7578" i="3"/>
  <c r="H4115" i="3"/>
  <c r="H7579" i="3"/>
  <c r="H1558" i="3"/>
  <c r="H2913" i="3"/>
  <c r="H1028" i="3"/>
  <c r="H2914" i="3"/>
  <c r="H2915" i="3"/>
  <c r="H2044" i="3"/>
  <c r="H7580" i="3"/>
  <c r="H44" i="3"/>
  <c r="H1559" i="3"/>
  <c r="H7581" i="3"/>
  <c r="H1560" i="3"/>
  <c r="H503" i="3"/>
  <c r="H504" i="3"/>
  <c r="H5748" i="3"/>
  <c r="H1561" i="3"/>
  <c r="H1771" i="3"/>
  <c r="H6397" i="3"/>
  <c r="H7582" i="3"/>
  <c r="H7583" i="3"/>
  <c r="H6398" i="3"/>
  <c r="H2916" i="3"/>
  <c r="H2917" i="3"/>
  <c r="H7584" i="3"/>
  <c r="H1562" i="3"/>
  <c r="H327" i="3"/>
  <c r="H7585" i="3"/>
  <c r="H4530" i="3"/>
  <c r="H1029" i="3"/>
  <c r="H1772" i="3"/>
  <c r="H6759" i="3"/>
  <c r="H1563" i="3"/>
  <c r="H1773" i="3"/>
  <c r="H6760" i="3"/>
  <c r="H4531" i="3"/>
  <c r="H2045" i="3"/>
  <c r="H2918" i="3"/>
  <c r="H2919" i="3"/>
  <c r="H2920" i="3"/>
  <c r="H7586" i="3"/>
  <c r="H5906" i="3"/>
  <c r="H7587" i="3"/>
  <c r="H6761" i="3"/>
  <c r="H6762" i="3"/>
  <c r="H6399" i="3"/>
  <c r="H2353" i="3"/>
  <c r="H1030" i="3"/>
  <c r="H505" i="3"/>
  <c r="H2046" i="3"/>
  <c r="H7588" i="3"/>
  <c r="H2921" i="3"/>
  <c r="H45" i="3"/>
  <c r="H2047" i="3"/>
  <c r="H2922" i="3"/>
  <c r="H4532" i="3"/>
  <c r="H2923" i="3"/>
  <c r="H2924" i="3"/>
  <c r="H2048" i="3"/>
  <c r="H7206" i="3"/>
  <c r="H1564" i="3"/>
  <c r="H6918" i="3"/>
  <c r="H506" i="3"/>
  <c r="H7589" i="3"/>
  <c r="H2925" i="3"/>
  <c r="H5749" i="3"/>
  <c r="H2926" i="3"/>
  <c r="H7590" i="3"/>
  <c r="H2927" i="3"/>
  <c r="H2928" i="3"/>
  <c r="H2929" i="3"/>
  <c r="H328" i="3"/>
  <c r="H7591" i="3"/>
  <c r="H1774" i="3"/>
  <c r="H2354" i="3"/>
  <c r="H6919" i="3"/>
  <c r="H46" i="3"/>
  <c r="H5750" i="3"/>
  <c r="H5751" i="3"/>
  <c r="H1565" i="3"/>
  <c r="H6763" i="3"/>
  <c r="H7592" i="3"/>
  <c r="H507" i="3"/>
  <c r="H7593" i="3"/>
  <c r="H5907" i="3"/>
  <c r="H2930" i="3"/>
  <c r="H7594" i="3"/>
  <c r="H1566" i="3"/>
  <c r="H2931" i="3"/>
  <c r="H47" i="3"/>
  <c r="H2932" i="3"/>
  <c r="H1567" i="3"/>
  <c r="H2933" i="3"/>
  <c r="H48" i="3"/>
  <c r="H6764" i="3"/>
  <c r="H4116" i="3"/>
  <c r="H2934" i="3"/>
  <c r="H7595" i="3"/>
  <c r="H1568" i="3"/>
  <c r="H6400" i="3"/>
  <c r="H2935" i="3"/>
  <c r="H6401" i="3"/>
  <c r="H1569" i="3"/>
  <c r="H2355" i="3"/>
  <c r="H2936" i="3"/>
  <c r="H2937" i="3"/>
  <c r="H7596" i="3"/>
  <c r="H1031" i="3"/>
  <c r="H2938" i="3"/>
  <c r="H2939" i="3"/>
  <c r="H5752" i="3"/>
  <c r="H1032" i="3"/>
  <c r="H2049" i="3"/>
  <c r="H2940" i="3"/>
  <c r="H1775" i="3"/>
  <c r="H1570" i="3"/>
  <c r="H1033" i="3"/>
  <c r="H4533" i="3"/>
  <c r="H2941" i="3"/>
  <c r="H6765" i="3"/>
  <c r="H5753" i="3"/>
  <c r="H4534" i="3"/>
  <c r="H2942" i="3"/>
  <c r="H4535" i="3"/>
  <c r="H2050" i="3"/>
  <c r="H7597" i="3"/>
  <c r="H6402" i="3"/>
  <c r="H2356" i="3"/>
  <c r="H2943" i="3"/>
  <c r="H5908" i="3"/>
  <c r="H7207" i="3"/>
  <c r="H2944" i="3"/>
  <c r="H6403" i="3"/>
  <c r="H2945" i="3"/>
  <c r="H329" i="3"/>
  <c r="H7598" i="3"/>
  <c r="H2946" i="3"/>
  <c r="H2947" i="3"/>
  <c r="H2948" i="3"/>
  <c r="H2949" i="3"/>
  <c r="H1034" i="3"/>
  <c r="H2950" i="3"/>
  <c r="H7599" i="3"/>
  <c r="H1776" i="3"/>
  <c r="H508" i="3"/>
  <c r="H7600" i="3"/>
  <c r="H7208" i="3"/>
  <c r="H6766" i="3"/>
  <c r="H2951" i="3"/>
  <c r="H6767" i="3"/>
  <c r="H6768" i="3"/>
  <c r="H330" i="3"/>
  <c r="H2952" i="3"/>
  <c r="H2953" i="3"/>
  <c r="H2954" i="3"/>
  <c r="H2955" i="3"/>
  <c r="H1035" i="3"/>
  <c r="H2956" i="3"/>
  <c r="H2051" i="3"/>
  <c r="H7601" i="3"/>
  <c r="H2957" i="3"/>
  <c r="H2958" i="3"/>
  <c r="H2357" i="3"/>
  <c r="H2959" i="3"/>
  <c r="H509" i="3"/>
  <c r="H4536" i="3"/>
  <c r="H5754" i="3"/>
  <c r="H4117" i="3"/>
  <c r="H2960" i="3"/>
  <c r="H5755" i="3"/>
  <c r="H2961" i="3"/>
  <c r="H4537" i="3"/>
  <c r="H5756" i="3"/>
  <c r="H2358" i="3"/>
  <c r="H4538" i="3"/>
  <c r="H6404" i="3"/>
  <c r="H510" i="3"/>
  <c r="H1036" i="3"/>
  <c r="H1571" i="3"/>
  <c r="H1037" i="3"/>
  <c r="H2962" i="3"/>
  <c r="H2963" i="3"/>
  <c r="H2964" i="3"/>
  <c r="H1038" i="3"/>
  <c r="H1777" i="3"/>
  <c r="H4539" i="3"/>
  <c r="H331" i="3"/>
  <c r="H4540" i="3"/>
  <c r="H2359" i="3"/>
  <c r="H7602" i="3"/>
  <c r="H6920" i="3"/>
  <c r="H1572" i="3"/>
  <c r="H5757" i="3"/>
  <c r="H2965" i="3"/>
  <c r="H5758" i="3"/>
  <c r="H7209" i="3"/>
  <c r="H1573" i="3"/>
  <c r="H5759" i="3"/>
  <c r="H2966" i="3"/>
  <c r="H2360" i="3"/>
  <c r="H7603" i="3"/>
  <c r="H2967" i="3"/>
  <c r="H1574" i="3"/>
  <c r="H5909" i="3"/>
  <c r="H5760" i="3"/>
  <c r="H7604" i="3"/>
  <c r="H4541" i="3"/>
  <c r="H2361" i="3"/>
  <c r="H2968" i="3"/>
  <c r="H6405" i="3"/>
  <c r="H7605" i="3"/>
  <c r="H4542" i="3"/>
  <c r="H7606" i="3"/>
  <c r="H2969" i="3"/>
  <c r="H1575" i="3"/>
  <c r="H5761" i="3"/>
  <c r="H7607" i="3"/>
  <c r="H49" i="3"/>
  <c r="H4289" i="3"/>
  <c r="H5762" i="3"/>
  <c r="H6921" i="3"/>
  <c r="H1039" i="3"/>
  <c r="H511" i="3"/>
  <c r="H1576" i="3"/>
  <c r="H1040" i="3"/>
  <c r="H1577" i="3"/>
  <c r="H1578" i="3"/>
  <c r="H6769" i="3"/>
  <c r="H2362" i="3"/>
  <c r="H50" i="3"/>
  <c r="H6406" i="3"/>
  <c r="H2970" i="3"/>
  <c r="H4543" i="3"/>
  <c r="H5763" i="3"/>
  <c r="H1778" i="3"/>
  <c r="H512" i="3"/>
  <c r="H513" i="3"/>
  <c r="H6922" i="3"/>
  <c r="H4290" i="3"/>
  <c r="H5764" i="3"/>
  <c r="H2971" i="3"/>
  <c r="H1041" i="3"/>
  <c r="H2972" i="3"/>
  <c r="H332" i="3"/>
  <c r="H2973" i="3"/>
  <c r="H6407" i="3"/>
  <c r="H1579" i="3"/>
  <c r="H6408" i="3"/>
  <c r="H2974" i="3"/>
  <c r="H7608" i="3"/>
  <c r="H6409" i="3"/>
  <c r="H4544" i="3"/>
  <c r="H4118" i="3"/>
  <c r="H4545" i="3"/>
  <c r="H6410" i="3"/>
  <c r="H1042" i="3"/>
  <c r="H1043" i="3"/>
  <c r="H2975" i="3"/>
  <c r="H1580" i="3"/>
  <c r="H2976" i="3"/>
  <c r="H7609" i="3"/>
  <c r="H5765" i="3"/>
  <c r="H2363" i="3"/>
  <c r="H1779" i="3"/>
  <c r="H2977" i="3"/>
  <c r="H2052" i="3"/>
  <c r="H2053" i="3"/>
  <c r="H2978" i="3"/>
  <c r="H51" i="3"/>
  <c r="H333" i="3"/>
  <c r="H2979" i="3"/>
  <c r="H2980" i="3"/>
  <c r="H5766" i="3"/>
  <c r="H1044" i="3"/>
  <c r="H52" i="3"/>
  <c r="H1045" i="3"/>
  <c r="H6770" i="3"/>
  <c r="H5910" i="3"/>
  <c r="H2981" i="3"/>
  <c r="H53" i="3"/>
  <c r="H1046" i="3"/>
  <c r="H7610" i="3"/>
  <c r="H2054" i="3"/>
  <c r="H2982" i="3"/>
  <c r="H5767" i="3"/>
  <c r="H7611" i="3"/>
  <c r="H7612" i="3"/>
  <c r="H2983" i="3"/>
  <c r="H514" i="3"/>
  <c r="H1047" i="3"/>
  <c r="H2055" i="3"/>
  <c r="H6923" i="3"/>
  <c r="H2056" i="3"/>
  <c r="H5768" i="3"/>
  <c r="H1581" i="3"/>
  <c r="H1048" i="3"/>
  <c r="H2984" i="3"/>
  <c r="H1049" i="3"/>
  <c r="H1050" i="3"/>
  <c r="H334" i="3"/>
  <c r="H4291" i="3"/>
  <c r="H2985" i="3"/>
  <c r="H5911" i="3"/>
  <c r="H2986" i="3"/>
  <c r="H1582" i="3"/>
  <c r="H7613" i="3"/>
  <c r="H6771" i="3"/>
  <c r="H4546" i="3"/>
  <c r="H2987" i="3"/>
  <c r="H2988" i="3"/>
  <c r="H54" i="3"/>
  <c r="H55" i="3"/>
  <c r="H2989" i="3"/>
  <c r="H4547" i="3"/>
  <c r="H6411" i="3"/>
  <c r="H4119" i="3"/>
  <c r="H2057" i="3"/>
  <c r="H2990" i="3"/>
  <c r="H2991" i="3"/>
  <c r="H4548" i="3"/>
  <c r="H5912" i="3"/>
  <c r="H2992" i="3"/>
  <c r="H6412" i="3"/>
  <c r="H7210" i="3"/>
  <c r="H7614" i="3"/>
  <c r="H1780" i="3"/>
  <c r="H2993" i="3"/>
  <c r="H515" i="3"/>
  <c r="H2994" i="3"/>
  <c r="H7615" i="3"/>
  <c r="H2995" i="3"/>
  <c r="H2996" i="3"/>
  <c r="H1051" i="3"/>
  <c r="H5913" i="3"/>
  <c r="H6924" i="3"/>
  <c r="H2997" i="3"/>
  <c r="H2998" i="3"/>
  <c r="H2364" i="3"/>
  <c r="H335" i="3"/>
  <c r="H4549" i="3"/>
  <c r="H336" i="3"/>
  <c r="H2058" i="3"/>
  <c r="H7616" i="3"/>
  <c r="H6925" i="3"/>
  <c r="H4550" i="3"/>
  <c r="H5914" i="3"/>
  <c r="H6413" i="3"/>
  <c r="H6772" i="3"/>
  <c r="H6926" i="3"/>
  <c r="H516" i="3"/>
  <c r="H1583" i="3"/>
  <c r="H2999" i="3"/>
  <c r="H7617" i="3"/>
  <c r="H3000" i="3"/>
  <c r="H4120" i="3"/>
  <c r="H337" i="3"/>
  <c r="H6414" i="3"/>
  <c r="H6415" i="3"/>
  <c r="H5769" i="3"/>
  <c r="H1052" i="3"/>
  <c r="H6927" i="3"/>
  <c r="H3001" i="3"/>
  <c r="H3002" i="3"/>
  <c r="H4121" i="3"/>
  <c r="H3003" i="3"/>
  <c r="H3004" i="3"/>
  <c r="H56" i="3"/>
  <c r="H517" i="3"/>
  <c r="H7211" i="3"/>
  <c r="H1053" i="3"/>
  <c r="H3005" i="3"/>
  <c r="H7618" i="3"/>
  <c r="H1584" i="3"/>
  <c r="H6773" i="3"/>
  <c r="H1054" i="3"/>
  <c r="H7619" i="3"/>
  <c r="H6416" i="3"/>
  <c r="H518" i="3"/>
  <c r="H7620" i="3"/>
  <c r="H3006" i="3"/>
  <c r="H519" i="3"/>
  <c r="H1781" i="3"/>
  <c r="H3007" i="3"/>
  <c r="H1782" i="3"/>
  <c r="H1055" i="3"/>
  <c r="H1783" i="3"/>
  <c r="H3008" i="3"/>
  <c r="H5915" i="3"/>
  <c r="H338" i="3"/>
  <c r="H1056" i="3"/>
  <c r="H5770" i="3"/>
  <c r="H3009" i="3"/>
  <c r="H5916" i="3"/>
  <c r="H6417" i="3"/>
  <c r="H3010" i="3"/>
  <c r="H4551" i="3"/>
  <c r="H6418" i="3"/>
  <c r="H520" i="3"/>
  <c r="H1057" i="3"/>
  <c r="H3011" i="3"/>
  <c r="H4552" i="3"/>
  <c r="H6928" i="3"/>
  <c r="H7621" i="3"/>
  <c r="H3012" i="3"/>
  <c r="H7622" i="3"/>
  <c r="H6774" i="3"/>
  <c r="H7623" i="3"/>
  <c r="H4553" i="3"/>
  <c r="H5771" i="3"/>
  <c r="H1585" i="3"/>
  <c r="H3013" i="3"/>
  <c r="H2059" i="3"/>
  <c r="H6775" i="3"/>
  <c r="H1586" i="3"/>
  <c r="H3014" i="3"/>
  <c r="H7624" i="3"/>
  <c r="H7274" i="3"/>
  <c r="H3015" i="3"/>
  <c r="H3016" i="3"/>
  <c r="H6776" i="3"/>
  <c r="H1058" i="3"/>
  <c r="H6419" i="3"/>
  <c r="H1587" i="3"/>
  <c r="H3017" i="3"/>
  <c r="H7625" i="3"/>
  <c r="H6420" i="3"/>
  <c r="H7626" i="3"/>
  <c r="H4554" i="3"/>
  <c r="H7212" i="3"/>
  <c r="H6929" i="3"/>
  <c r="H7627" i="3"/>
  <c r="H7213" i="3"/>
  <c r="H1059" i="3"/>
  <c r="H1060" i="3"/>
  <c r="H5917" i="3"/>
  <c r="H7214" i="3"/>
  <c r="H3018" i="3"/>
  <c r="H4555" i="3"/>
  <c r="H3019" i="3"/>
  <c r="H7215" i="3"/>
  <c r="H1061" i="3"/>
  <c r="H4122" i="3"/>
  <c r="H4556" i="3"/>
  <c r="H521" i="3"/>
  <c r="H2060" i="3"/>
  <c r="H3020" i="3"/>
  <c r="H6930" i="3"/>
  <c r="H6777" i="3"/>
  <c r="H3021" i="3"/>
  <c r="H6421" i="3"/>
  <c r="H522" i="3"/>
  <c r="H2061" i="3"/>
  <c r="H1588" i="3"/>
  <c r="H6931" i="3"/>
  <c r="H1589" i="3"/>
  <c r="H4123" i="3"/>
  <c r="H3022" i="3"/>
  <c r="H7628" i="3"/>
  <c r="H4557" i="3"/>
  <c r="H3023" i="3"/>
  <c r="H3024" i="3"/>
  <c r="H3025" i="3"/>
  <c r="H7275" i="3"/>
  <c r="H57" i="3"/>
  <c r="H5918" i="3"/>
  <c r="H3026" i="3"/>
  <c r="H3027" i="3"/>
  <c r="H58" i="3"/>
  <c r="H4124" i="3"/>
  <c r="H59" i="3"/>
  <c r="H4125" i="3"/>
  <c r="H3028" i="3"/>
  <c r="H5919" i="3"/>
  <c r="H3029" i="3"/>
  <c r="H2062" i="3"/>
  <c r="H7629" i="3"/>
  <c r="H1590" i="3"/>
  <c r="H6422" i="3"/>
  <c r="H6778" i="3"/>
  <c r="H2063" i="3"/>
  <c r="H4558" i="3"/>
  <c r="H4559" i="3"/>
  <c r="H1591" i="3"/>
  <c r="H3030" i="3"/>
  <c r="H4560" i="3"/>
  <c r="H4292" i="3"/>
  <c r="H5920" i="3"/>
  <c r="H3031" i="3"/>
  <c r="H5772" i="3"/>
  <c r="H4561" i="3"/>
  <c r="H4562" i="3"/>
  <c r="H6932" i="3"/>
  <c r="H3032" i="3"/>
  <c r="H6933" i="3"/>
  <c r="H4293" i="3"/>
  <c r="H1784" i="3"/>
  <c r="H3033" i="3"/>
  <c r="H3034" i="3"/>
  <c r="H1592" i="3"/>
  <c r="H5921" i="3"/>
  <c r="H7630" i="3"/>
  <c r="H3035" i="3"/>
  <c r="H3036" i="3"/>
  <c r="H4126" i="3"/>
  <c r="H3037" i="3"/>
  <c r="H3038" i="3"/>
  <c r="H523" i="3"/>
  <c r="H4127" i="3"/>
  <c r="H524" i="3"/>
  <c r="H1593" i="3"/>
  <c r="H4128" i="3"/>
  <c r="H3039" i="3"/>
  <c r="H4563" i="3"/>
  <c r="H525" i="3"/>
  <c r="H3040" i="3"/>
  <c r="H3041" i="3"/>
  <c r="H526" i="3"/>
  <c r="H60" i="3"/>
  <c r="H6423" i="3"/>
  <c r="H339" i="3"/>
  <c r="H1062" i="3"/>
  <c r="H6424" i="3"/>
  <c r="H6779" i="3"/>
  <c r="H4129" i="3"/>
  <c r="H7631" i="3"/>
  <c r="H5773" i="3"/>
  <c r="H3042" i="3"/>
  <c r="H3043" i="3"/>
  <c r="H1063" i="3"/>
  <c r="H6780" i="3"/>
  <c r="H4564" i="3"/>
  <c r="H1594" i="3"/>
  <c r="H527" i="3"/>
  <c r="H4565" i="3"/>
  <c r="H1595" i="3"/>
  <c r="H4566" i="3"/>
  <c r="H3044" i="3"/>
  <c r="H3045" i="3"/>
  <c r="H3046" i="3"/>
  <c r="H4294" i="3"/>
  <c r="H4567" i="3"/>
  <c r="H3047" i="3"/>
  <c r="H340" i="3"/>
  <c r="H7632" i="3"/>
  <c r="H528" i="3"/>
  <c r="H3048" i="3"/>
  <c r="H7633" i="3"/>
  <c r="H3049" i="3"/>
  <c r="H1064" i="3"/>
  <c r="H6425" i="3"/>
  <c r="H3050" i="3"/>
  <c r="H6781" i="3"/>
  <c r="H7634" i="3"/>
  <c r="H4568" i="3"/>
  <c r="H7635" i="3"/>
  <c r="H3051" i="3"/>
  <c r="H3052" i="3"/>
  <c r="H7636" i="3"/>
  <c r="H1065" i="3"/>
  <c r="H2064" i="3"/>
  <c r="H6934" i="3"/>
  <c r="H3053" i="3"/>
  <c r="H7276" i="3"/>
  <c r="H5922" i="3"/>
  <c r="H6935" i="3"/>
  <c r="H2065" i="3"/>
  <c r="H529" i="3"/>
  <c r="H3054" i="3"/>
  <c r="H1596" i="3"/>
  <c r="H7637" i="3"/>
  <c r="H3055" i="3"/>
  <c r="H6426" i="3"/>
  <c r="H6427" i="3"/>
  <c r="H7638" i="3"/>
  <c r="H3056" i="3"/>
  <c r="H4569" i="3"/>
  <c r="H3057" i="3"/>
  <c r="H2066" i="3"/>
  <c r="H530" i="3"/>
  <c r="H5923" i="3"/>
  <c r="H2067" i="3"/>
  <c r="H3058" i="3"/>
  <c r="H7639" i="3"/>
  <c r="H3059" i="3"/>
  <c r="H3060" i="3"/>
  <c r="H3061" i="3"/>
  <c r="H7640" i="3"/>
  <c r="H1785" i="3"/>
  <c r="H7641" i="3"/>
  <c r="H3062" i="3"/>
  <c r="H4570" i="3"/>
  <c r="H531" i="3"/>
  <c r="H6782" i="3"/>
  <c r="H3063" i="3"/>
  <c r="H4571" i="3"/>
  <c r="H6936" i="3"/>
  <c r="H4130" i="3"/>
  <c r="H2365" i="3"/>
  <c r="H3064" i="3"/>
  <c r="H7642" i="3"/>
  <c r="H3065" i="3"/>
  <c r="H6783" i="3"/>
  <c r="H2068" i="3"/>
  <c r="H1066" i="3"/>
  <c r="H3066" i="3"/>
  <c r="H4572" i="3"/>
  <c r="H7643" i="3"/>
  <c r="H3067" i="3"/>
  <c r="H1597" i="3"/>
  <c r="H6784" i="3"/>
  <c r="H6937" i="3"/>
  <c r="H1786" i="3"/>
  <c r="H3068" i="3"/>
  <c r="H3069" i="3"/>
  <c r="H532" i="3"/>
  <c r="H4573" i="3"/>
  <c r="H1787" i="3"/>
  <c r="H6428" i="3"/>
  <c r="H3070" i="3"/>
  <c r="H6785" i="3"/>
  <c r="H3071" i="3"/>
  <c r="H5774" i="3"/>
  <c r="H5924" i="3"/>
  <c r="H3072" i="3"/>
  <c r="H4131" i="3"/>
  <c r="H533" i="3"/>
  <c r="H1598" i="3"/>
  <c r="H2069" i="3"/>
  <c r="H6429" i="3"/>
  <c r="H2366" i="3"/>
  <c r="H2367" i="3"/>
  <c r="H5775" i="3"/>
  <c r="H6786" i="3"/>
  <c r="H6430" i="3"/>
  <c r="H534" i="3"/>
  <c r="H61" i="3"/>
  <c r="H3073" i="3"/>
  <c r="H3074" i="3"/>
  <c r="H7644" i="3"/>
  <c r="H4574" i="3"/>
  <c r="H7645" i="3"/>
  <c r="H3075" i="3"/>
  <c r="H2070" i="3"/>
  <c r="H3076" i="3"/>
  <c r="H535" i="3"/>
  <c r="H7646" i="3"/>
  <c r="H1599" i="3"/>
  <c r="H536" i="3"/>
  <c r="H1600" i="3"/>
  <c r="H6787" i="3"/>
  <c r="H3077" i="3"/>
  <c r="H4575" i="3"/>
  <c r="H4576" i="3"/>
  <c r="H537" i="3"/>
  <c r="H3078" i="3"/>
  <c r="H1601" i="3"/>
  <c r="H7647" i="3"/>
  <c r="H341" i="3"/>
  <c r="H7648" i="3"/>
  <c r="H4577" i="3"/>
  <c r="H1067" i="3"/>
  <c r="H7649" i="3"/>
  <c r="H6431" i="3"/>
  <c r="H538" i="3"/>
  <c r="H1602" i="3"/>
  <c r="H3079" i="3"/>
  <c r="H2368" i="3"/>
  <c r="H3080" i="3"/>
  <c r="H2071" i="3"/>
  <c r="H7650" i="3"/>
  <c r="H3081" i="3"/>
  <c r="H1603" i="3"/>
  <c r="H6938" i="3"/>
  <c r="H1604" i="3"/>
  <c r="H3082" i="3"/>
  <c r="H3083" i="3"/>
  <c r="H7651" i="3"/>
  <c r="H7652" i="3"/>
  <c r="H3084" i="3"/>
  <c r="H3085" i="3"/>
  <c r="H342" i="3"/>
  <c r="H5925" i="3"/>
  <c r="H3086" i="3"/>
  <c r="H5926" i="3"/>
  <c r="H3087" i="3"/>
  <c r="H539" i="3"/>
  <c r="H4132" i="3"/>
  <c r="H3088" i="3"/>
  <c r="H4578" i="3"/>
  <c r="H7653" i="3"/>
  <c r="H3089" i="3"/>
  <c r="H4133" i="3"/>
  <c r="H6432" i="3"/>
  <c r="H5927" i="3"/>
  <c r="H7654" i="3"/>
  <c r="H5776" i="3"/>
  <c r="H540" i="3"/>
  <c r="H5928" i="3"/>
  <c r="H2072" i="3"/>
  <c r="H3090" i="3"/>
  <c r="H6788" i="3"/>
  <c r="H62" i="3"/>
  <c r="H3091" i="3"/>
  <c r="H7216" i="3"/>
  <c r="H541" i="3"/>
  <c r="H5777" i="3"/>
  <c r="H1068" i="3"/>
  <c r="H3092" i="3"/>
  <c r="H2073" i="3"/>
  <c r="H7217" i="3"/>
  <c r="H542" i="3"/>
  <c r="H543" i="3"/>
  <c r="H3093" i="3"/>
  <c r="H3094" i="3"/>
  <c r="H7655" i="3"/>
  <c r="H3095" i="3"/>
  <c r="H7656" i="3"/>
  <c r="H7657" i="3"/>
  <c r="H5929" i="3"/>
  <c r="H343" i="3"/>
  <c r="H1069" i="3"/>
  <c r="H1605" i="3"/>
  <c r="H3096" i="3"/>
  <c r="H7658" i="3"/>
  <c r="H3097" i="3"/>
  <c r="H3098" i="3"/>
  <c r="H1788" i="3"/>
  <c r="H3099" i="3"/>
  <c r="H1606" i="3"/>
  <c r="H3100" i="3"/>
  <c r="H5930" i="3"/>
  <c r="H344" i="3"/>
  <c r="H1070" i="3"/>
  <c r="H6433" i="3"/>
  <c r="H63" i="3"/>
  <c r="H3101" i="3"/>
  <c r="H1071" i="3"/>
  <c r="H4579" i="3"/>
  <c r="H6939" i="3"/>
  <c r="H5778" i="3"/>
  <c r="H7659" i="3"/>
  <c r="H4580" i="3"/>
  <c r="H3102" i="3"/>
  <c r="H6434" i="3"/>
  <c r="H345" i="3"/>
  <c r="H3103" i="3"/>
  <c r="H3104" i="3"/>
  <c r="H4581" i="3"/>
  <c r="H5779" i="3"/>
  <c r="H3105" i="3"/>
  <c r="H2074" i="3"/>
  <c r="H4582" i="3"/>
  <c r="H3106" i="3"/>
  <c r="H3107" i="3"/>
  <c r="H3108" i="3"/>
  <c r="H7660" i="3"/>
  <c r="H1607" i="3"/>
  <c r="H4134" i="3"/>
  <c r="H3109" i="3"/>
  <c r="H3110" i="3"/>
  <c r="H4583" i="3"/>
  <c r="H4584" i="3"/>
  <c r="H4135" i="3"/>
  <c r="H5780" i="3"/>
  <c r="H3111" i="3"/>
  <c r="H1608" i="3"/>
  <c r="H3112" i="3"/>
  <c r="H64" i="3"/>
  <c r="H1789" i="3"/>
  <c r="H3113" i="3"/>
  <c r="H1072" i="3"/>
  <c r="H6435" i="3"/>
  <c r="H7661" i="3"/>
  <c r="H346" i="3"/>
  <c r="H3114" i="3"/>
  <c r="H1609" i="3"/>
  <c r="H3115" i="3"/>
  <c r="H6789" i="3"/>
  <c r="H6436" i="3"/>
  <c r="H4585" i="3"/>
  <c r="H5931" i="3"/>
  <c r="H3116" i="3"/>
  <c r="H3117" i="3"/>
  <c r="H2075" i="3"/>
  <c r="H3118" i="3"/>
  <c r="H2076" i="3"/>
  <c r="H1610" i="3"/>
  <c r="H3119" i="3"/>
  <c r="H4586" i="3"/>
  <c r="H7662" i="3"/>
  <c r="H4587" i="3"/>
  <c r="H7663" i="3"/>
  <c r="H1790" i="3"/>
  <c r="H544" i="3"/>
  <c r="H6437" i="3"/>
  <c r="H7664" i="3"/>
  <c r="H6940" i="3"/>
  <c r="H2077" i="3"/>
  <c r="H3120" i="3"/>
  <c r="H2078" i="3"/>
  <c r="H3121" i="3"/>
  <c r="H545" i="3"/>
  <c r="H3122" i="3"/>
  <c r="H1073" i="3"/>
  <c r="H6941" i="3"/>
  <c r="H4136" i="3"/>
  <c r="H3123" i="3"/>
  <c r="H6438" i="3"/>
  <c r="H3124" i="3"/>
  <c r="H6439" i="3"/>
  <c r="H65" i="3"/>
  <c r="H3125" i="3"/>
  <c r="H5932" i="3"/>
  <c r="H5781" i="3"/>
  <c r="H7665" i="3"/>
  <c r="H1074" i="3"/>
  <c r="H1075" i="3"/>
  <c r="H347" i="3"/>
  <c r="H1076" i="3"/>
  <c r="H6440" i="3"/>
  <c r="H7666" i="3"/>
  <c r="H6441" i="3"/>
  <c r="H1077" i="3"/>
  <c r="H2079" i="3"/>
  <c r="H66" i="3"/>
  <c r="H5782" i="3"/>
  <c r="H5783" i="3"/>
  <c r="H3126" i="3"/>
  <c r="H3127" i="3"/>
  <c r="H6790" i="3"/>
  <c r="H5784" i="3"/>
  <c r="H5933" i="3"/>
  <c r="H3128" i="3"/>
  <c r="H546" i="3"/>
  <c r="H547" i="3"/>
  <c r="H3129" i="3"/>
  <c r="H1078" i="3"/>
  <c r="H4588" i="3"/>
  <c r="H5934" i="3"/>
  <c r="H3130" i="3"/>
  <c r="H3131" i="3"/>
  <c r="H548" i="3"/>
  <c r="H1791" i="3"/>
  <c r="H3132" i="3"/>
  <c r="H1079" i="3"/>
  <c r="H1611" i="3"/>
  <c r="H3133" i="3"/>
  <c r="H2080" i="3"/>
  <c r="H7667" i="3"/>
  <c r="H3134" i="3"/>
  <c r="H3135" i="3"/>
  <c r="H3136" i="3"/>
  <c r="H3137" i="3"/>
  <c r="H6442" i="3"/>
  <c r="H6443" i="3"/>
  <c r="H3138" i="3"/>
  <c r="H67" i="3"/>
  <c r="H2369" i="3"/>
  <c r="H7277" i="3"/>
  <c r="H2081" i="3"/>
  <c r="H5935" i="3"/>
  <c r="H1612" i="3"/>
  <c r="H5936" i="3"/>
  <c r="H3139" i="3"/>
  <c r="H3140" i="3"/>
  <c r="H3141" i="3"/>
  <c r="H6444" i="3"/>
  <c r="H4589" i="3"/>
  <c r="H1613" i="3"/>
  <c r="H549" i="3"/>
  <c r="H3142" i="3"/>
  <c r="H1614" i="3"/>
  <c r="H4590" i="3"/>
  <c r="H5937" i="3"/>
  <c r="H7668" i="3"/>
  <c r="H4591" i="3"/>
  <c r="H3143" i="3"/>
  <c r="H7669" i="3"/>
  <c r="H6445" i="3"/>
  <c r="H3144" i="3"/>
  <c r="H1080" i="3"/>
  <c r="H2082" i="3"/>
  <c r="H4137" i="3"/>
  <c r="H1792" i="3"/>
  <c r="H1081" i="3"/>
  <c r="H6446" i="3"/>
  <c r="H550" i="3"/>
  <c r="H68" i="3"/>
  <c r="H3145" i="3"/>
  <c r="H1082" i="3"/>
  <c r="H1083" i="3"/>
  <c r="H7670" i="3"/>
  <c r="H3146" i="3"/>
  <c r="H5785" i="3"/>
  <c r="H6942" i="3"/>
  <c r="H551" i="3"/>
  <c r="H3147" i="3"/>
  <c r="H7671" i="3"/>
  <c r="H6447" i="3"/>
  <c r="H3148" i="3"/>
  <c r="H7672" i="3"/>
  <c r="H5938" i="3"/>
  <c r="H2083" i="3"/>
  <c r="H1793" i="3"/>
  <c r="H1084" i="3"/>
  <c r="H7673" i="3"/>
  <c r="H6448" i="3"/>
  <c r="H6943" i="3"/>
  <c r="H7674" i="3"/>
  <c r="H4138" i="3"/>
  <c r="H4592" i="3"/>
  <c r="H4295" i="3"/>
  <c r="H3149" i="3"/>
  <c r="H1085" i="3"/>
  <c r="H5786" i="3"/>
  <c r="H7675" i="3"/>
  <c r="H7676" i="3"/>
  <c r="H3150" i="3"/>
  <c r="H69" i="3"/>
  <c r="H3151" i="3"/>
  <c r="H1086" i="3"/>
  <c r="H6449" i="3"/>
  <c r="H6944" i="3"/>
  <c r="H2084" i="3"/>
  <c r="H7677" i="3"/>
  <c r="H6450" i="3"/>
  <c r="H7678" i="3"/>
  <c r="H1615" i="3"/>
  <c r="H4593" i="3"/>
  <c r="H6945" i="3"/>
  <c r="H552" i="3"/>
  <c r="H1616" i="3"/>
  <c r="H3152" i="3"/>
  <c r="H3153" i="3"/>
  <c r="H3154" i="3"/>
  <c r="H4594" i="3"/>
  <c r="H3155" i="3"/>
  <c r="H3156" i="3"/>
  <c r="H6791" i="3"/>
  <c r="H2370" i="3"/>
  <c r="H1794" i="3"/>
  <c r="H3157" i="3"/>
  <c r="H6451" i="3"/>
  <c r="H6792" i="3"/>
  <c r="H6946" i="3"/>
  <c r="H3158" i="3"/>
  <c r="H4595" i="3"/>
  <c r="H3159" i="3"/>
  <c r="H4596" i="3"/>
  <c r="H3160" i="3"/>
  <c r="H4597" i="3"/>
  <c r="H3161" i="3"/>
  <c r="H7278" i="3"/>
  <c r="H6793" i="3"/>
  <c r="H3162" i="3"/>
  <c r="H2085" i="3"/>
  <c r="H3163" i="3"/>
  <c r="H1795" i="3"/>
  <c r="H3164" i="3"/>
  <c r="H3165" i="3"/>
  <c r="H348" i="3"/>
  <c r="H349" i="3"/>
  <c r="H1087" i="3"/>
  <c r="H4139" i="3"/>
  <c r="H6452" i="3"/>
  <c r="H1088" i="3"/>
  <c r="H3166" i="3"/>
  <c r="H4598" i="3"/>
  <c r="H7218" i="3"/>
  <c r="H3167" i="3"/>
  <c r="H4140" i="3"/>
  <c r="H1617" i="3"/>
  <c r="H6453" i="3"/>
  <c r="H70" i="3"/>
  <c r="H7679" i="3"/>
  <c r="H1089" i="3"/>
  <c r="H3168" i="3"/>
  <c r="H3169" i="3"/>
  <c r="H6794" i="3"/>
  <c r="H553" i="3"/>
  <c r="H5939" i="3"/>
  <c r="H7219" i="3"/>
  <c r="H4599" i="3"/>
  <c r="H1090" i="3"/>
  <c r="H7220" i="3"/>
  <c r="H5940" i="3"/>
  <c r="H4600" i="3"/>
  <c r="H3170" i="3"/>
  <c r="H4601" i="3"/>
  <c r="H6454" i="3"/>
  <c r="H1618" i="3"/>
  <c r="H3171" i="3"/>
  <c r="H7680" i="3"/>
  <c r="H554" i="3"/>
  <c r="H2086" i="3"/>
  <c r="H7221" i="3"/>
  <c r="H3172" i="3"/>
  <c r="H3173" i="3"/>
  <c r="H3174" i="3"/>
  <c r="H3175" i="3"/>
  <c r="H1619" i="3"/>
  <c r="H3176" i="3"/>
  <c r="H1091" i="3"/>
  <c r="H4602" i="3"/>
  <c r="H1620" i="3"/>
  <c r="H4603" i="3"/>
  <c r="H4604" i="3"/>
  <c r="H6795" i="3"/>
  <c r="H1621" i="3"/>
  <c r="H5941" i="3"/>
  <c r="H71" i="3"/>
  <c r="H5942" i="3"/>
  <c r="H7681" i="3"/>
  <c r="H72" i="3"/>
  <c r="H6947" i="3"/>
  <c r="H1092" i="3"/>
  <c r="H6796" i="3"/>
  <c r="H3177" i="3"/>
  <c r="H2371" i="3"/>
  <c r="H3178" i="3"/>
  <c r="H2372" i="3"/>
  <c r="H73" i="3"/>
  <c r="H6455" i="3"/>
  <c r="H6456" i="3"/>
  <c r="H7682" i="3"/>
  <c r="H5787" i="3"/>
  <c r="H7683" i="3"/>
  <c r="H2087" i="3"/>
  <c r="H7684" i="3"/>
  <c r="H4605" i="3"/>
  <c r="H4606" i="3"/>
  <c r="H5788" i="3"/>
  <c r="H7685" i="3"/>
  <c r="H3179" i="3"/>
  <c r="H6457" i="3"/>
  <c r="H6458" i="3"/>
  <c r="H4141" i="3"/>
  <c r="H3180" i="3"/>
  <c r="H5943" i="3"/>
  <c r="H4142" i="3"/>
  <c r="H4607" i="3"/>
  <c r="H1622" i="3"/>
  <c r="H555" i="3"/>
  <c r="H4143" i="3"/>
  <c r="H1093" i="3"/>
  <c r="H2088" i="3"/>
  <c r="H2373" i="3"/>
  <c r="H1796" i="3"/>
  <c r="H3181" i="3"/>
  <c r="H6797" i="3"/>
  <c r="H1094" i="3"/>
  <c r="H7686" i="3"/>
  <c r="H6948" i="3"/>
  <c r="H7687" i="3"/>
  <c r="H1623" i="3"/>
  <c r="H7688" i="3"/>
  <c r="H5789" i="3"/>
  <c r="H5790" i="3"/>
  <c r="H2374" i="3"/>
  <c r="H6459" i="3"/>
  <c r="H4608" i="3"/>
  <c r="H2089" i="3"/>
  <c r="H1095" i="3"/>
  <c r="H6460" i="3"/>
  <c r="H4609" i="3"/>
  <c r="H5944" i="3"/>
  <c r="H6461" i="3"/>
  <c r="H556" i="3"/>
  <c r="H5791" i="3"/>
  <c r="H74" i="3"/>
  <c r="H3182" i="3"/>
  <c r="H4144" i="3"/>
  <c r="H1096" i="3"/>
  <c r="H5945" i="3"/>
  <c r="H75" i="3"/>
  <c r="H7689" i="3"/>
  <c r="H557" i="3"/>
  <c r="H2375" i="3"/>
  <c r="H2090" i="3"/>
  <c r="H7690" i="3"/>
  <c r="H6798" i="3"/>
  <c r="H4145" i="3"/>
  <c r="H4610" i="3"/>
  <c r="H6462" i="3"/>
  <c r="H1097" i="3"/>
  <c r="H4611" i="3"/>
  <c r="H3183" i="3"/>
  <c r="H4296" i="3"/>
  <c r="H5946" i="3"/>
  <c r="H6799" i="3"/>
  <c r="H3184" i="3"/>
  <c r="H3185" i="3"/>
  <c r="H3186" i="3"/>
  <c r="H76" i="3"/>
  <c r="H1098" i="3"/>
  <c r="H7691" i="3"/>
  <c r="H3187" i="3"/>
  <c r="H4612" i="3"/>
  <c r="H3188" i="3"/>
  <c r="H1099" i="3"/>
  <c r="H558" i="3"/>
  <c r="H1624" i="3"/>
  <c r="H4613" i="3"/>
  <c r="H1625" i="3"/>
  <c r="H6800" i="3"/>
  <c r="H4614" i="3"/>
  <c r="H1100" i="3"/>
  <c r="H4615" i="3"/>
  <c r="H77" i="3"/>
  <c r="H6949" i="3"/>
  <c r="H6463" i="3"/>
  <c r="H3189" i="3"/>
  <c r="H1101" i="3"/>
  <c r="H1626" i="3"/>
  <c r="H2091" i="3"/>
  <c r="H5792" i="3"/>
  <c r="H3190" i="3"/>
  <c r="H6801" i="3"/>
  <c r="H7692" i="3"/>
  <c r="H6802" i="3"/>
  <c r="H3191" i="3"/>
  <c r="H7693" i="3"/>
  <c r="H7694" i="3"/>
  <c r="H1102" i="3"/>
  <c r="H7222" i="3"/>
  <c r="H1797" i="3"/>
  <c r="H3192" i="3"/>
  <c r="H3193" i="3"/>
  <c r="H5947" i="3"/>
  <c r="H7695" i="3"/>
  <c r="H6464" i="3"/>
  <c r="H4146" i="3"/>
  <c r="H5793" i="3"/>
  <c r="H4616" i="3"/>
  <c r="H4147" i="3"/>
  <c r="H6950" i="3"/>
  <c r="H3194" i="3"/>
  <c r="H6465" i="3"/>
  <c r="H7696" i="3"/>
  <c r="H1103" i="3"/>
  <c r="H350" i="3"/>
  <c r="H5794" i="3"/>
  <c r="H1104" i="3"/>
  <c r="H2376" i="3"/>
  <c r="H1798" i="3"/>
  <c r="H6951" i="3"/>
  <c r="H3195" i="3"/>
  <c r="H3196" i="3"/>
  <c r="H2092" i="3"/>
  <c r="H6952" i="3"/>
  <c r="H4617" i="3"/>
  <c r="H559" i="3"/>
  <c r="H2093" i="3"/>
  <c r="H3197" i="3"/>
  <c r="H351" i="3"/>
  <c r="H6466" i="3"/>
  <c r="H4618" i="3"/>
  <c r="H1105" i="3"/>
  <c r="H6953" i="3"/>
  <c r="H3198" i="3"/>
  <c r="H7223" i="3"/>
  <c r="H6467" i="3"/>
  <c r="H6468" i="3"/>
  <c r="H560" i="3"/>
  <c r="H4148" i="3"/>
  <c r="H3199" i="3"/>
  <c r="H3200" i="3"/>
  <c r="H4149" i="3"/>
  <c r="H1627" i="3"/>
  <c r="H561" i="3"/>
  <c r="H4619" i="3"/>
  <c r="H562" i="3"/>
  <c r="H4150" i="3"/>
  <c r="H1799" i="3"/>
  <c r="H563" i="3"/>
  <c r="H564" i="3"/>
  <c r="H3201" i="3"/>
  <c r="H7697" i="3"/>
  <c r="H6469" i="3"/>
  <c r="H6470" i="3"/>
  <c r="H565" i="3"/>
  <c r="H3202" i="3"/>
  <c r="H1628" i="3"/>
  <c r="H7224" i="3"/>
  <c r="H3203" i="3"/>
  <c r="H7698" i="3"/>
  <c r="H7699" i="3"/>
  <c r="H4620" i="3"/>
  <c r="H6954" i="3"/>
  <c r="H3204" i="3"/>
  <c r="H4621" i="3"/>
  <c r="H4622" i="3"/>
  <c r="H6471" i="3"/>
  <c r="H6472" i="3"/>
  <c r="H1106" i="3"/>
  <c r="H1800" i="3"/>
  <c r="H1107" i="3"/>
  <c r="H3205" i="3"/>
  <c r="H7700" i="3"/>
  <c r="H566" i="3"/>
  <c r="H5948" i="3"/>
  <c r="H4623" i="3"/>
  <c r="H6473" i="3"/>
  <c r="H3206" i="3"/>
  <c r="H2377" i="3"/>
  <c r="H352" i="3"/>
  <c r="H1108" i="3"/>
  <c r="H6803" i="3"/>
  <c r="H567" i="3"/>
  <c r="H5949" i="3"/>
  <c r="H1109" i="3"/>
  <c r="H7701" i="3"/>
  <c r="H5795" i="3"/>
  <c r="H7702" i="3"/>
  <c r="H3207" i="3"/>
  <c r="H2094" i="3"/>
  <c r="H4624" i="3"/>
  <c r="H4625" i="3"/>
  <c r="H3208" i="3"/>
  <c r="H4626" i="3"/>
  <c r="H6804" i="3"/>
  <c r="H568" i="3"/>
  <c r="H3209" i="3"/>
  <c r="H1629" i="3"/>
  <c r="H1110" i="3"/>
  <c r="H7703" i="3"/>
  <c r="H569" i="3"/>
  <c r="H78" i="3"/>
  <c r="H3210" i="3"/>
  <c r="H4627" i="3"/>
  <c r="H1630" i="3"/>
  <c r="H4151" i="3"/>
  <c r="H3211" i="3"/>
  <c r="H7704" i="3"/>
  <c r="H3212" i="3"/>
  <c r="H3213" i="3"/>
  <c r="H2378" i="3"/>
  <c r="H3214" i="3"/>
  <c r="H3215" i="3"/>
  <c r="H6955" i="3"/>
  <c r="H6474" i="3"/>
  <c r="H1631" i="3"/>
  <c r="H4628" i="3"/>
  <c r="H5950" i="3"/>
  <c r="H1111" i="3"/>
  <c r="H79" i="3"/>
  <c r="H5951" i="3"/>
  <c r="H3216" i="3"/>
  <c r="H3217" i="3"/>
  <c r="H570" i="3"/>
  <c r="H4152" i="3"/>
  <c r="H1112" i="3"/>
  <c r="H2095" i="3"/>
  <c r="H3218" i="3"/>
  <c r="H4629" i="3"/>
  <c r="H353" i="3"/>
  <c r="H6956" i="3"/>
  <c r="H1632" i="3"/>
  <c r="H2096" i="3"/>
  <c r="H6957" i="3"/>
  <c r="H7279" i="3"/>
  <c r="H3219" i="3"/>
  <c r="H4153" i="3"/>
  <c r="H7705" i="3"/>
  <c r="H1633" i="3"/>
  <c r="H1634" i="3"/>
  <c r="H6475" i="3"/>
  <c r="H7706" i="3"/>
  <c r="H6958" i="3"/>
  <c r="H4630" i="3"/>
  <c r="H7707" i="3"/>
  <c r="H4631" i="3"/>
  <c r="H6959" i="3"/>
  <c r="H7708" i="3"/>
  <c r="H1113" i="3"/>
  <c r="H3220" i="3"/>
  <c r="H3221" i="3"/>
  <c r="H2097" i="3"/>
  <c r="H4632" i="3"/>
  <c r="H4633" i="3"/>
  <c r="H3222" i="3"/>
  <c r="H7709" i="3"/>
  <c r="H5796" i="3"/>
  <c r="H571" i="3"/>
  <c r="H4634" i="3"/>
  <c r="H7710" i="3"/>
  <c r="H3223" i="3"/>
  <c r="H3224" i="3"/>
  <c r="H7711" i="3"/>
  <c r="H7225" i="3"/>
  <c r="H6805" i="3"/>
  <c r="H572" i="3"/>
  <c r="H6960" i="3"/>
  <c r="H3225" i="3"/>
  <c r="H3226" i="3"/>
  <c r="H6961" i="3"/>
  <c r="H7280" i="3"/>
  <c r="H3227" i="3"/>
  <c r="H6962" i="3"/>
  <c r="H7712" i="3"/>
  <c r="H4635" i="3"/>
  <c r="H1635" i="3"/>
  <c r="H1114" i="3"/>
  <c r="H6476" i="3"/>
  <c r="H6477" i="3"/>
  <c r="H6478" i="3"/>
  <c r="H3228" i="3"/>
  <c r="H573" i="3"/>
  <c r="H4154" i="3"/>
  <c r="H4297" i="3"/>
  <c r="H3229" i="3"/>
  <c r="H7713" i="3"/>
  <c r="H80" i="3"/>
  <c r="H6479" i="3"/>
  <c r="H4636" i="3"/>
  <c r="H1115" i="3"/>
  <c r="H574" i="3"/>
  <c r="H1116" i="3"/>
  <c r="H3230" i="3"/>
  <c r="H575" i="3"/>
  <c r="H3231" i="3"/>
  <c r="H1801" i="3"/>
  <c r="H2098" i="3"/>
  <c r="H3232" i="3"/>
  <c r="H576" i="3"/>
  <c r="H81" i="3"/>
  <c r="H3233" i="3"/>
  <c r="H4637" i="3"/>
  <c r="H1117" i="3"/>
  <c r="H6806" i="3"/>
  <c r="H2099" i="3"/>
  <c r="H7714" i="3"/>
  <c r="H4298" i="3"/>
  <c r="H5952" i="3"/>
  <c r="H577" i="3"/>
  <c r="H1636" i="3"/>
  <c r="H6963" i="3"/>
  <c r="H4638" i="3"/>
  <c r="H3234" i="3"/>
  <c r="H3235" i="3"/>
  <c r="H578" i="3"/>
  <c r="H7226" i="3"/>
  <c r="H579" i="3"/>
  <c r="H6807" i="3"/>
  <c r="H3236" i="3"/>
  <c r="H1118" i="3"/>
  <c r="H4299" i="3"/>
  <c r="H1119" i="3"/>
  <c r="H3237" i="3"/>
  <c r="H1120" i="3"/>
  <c r="H5953" i="3"/>
  <c r="H4155" i="3"/>
  <c r="H2379" i="3"/>
  <c r="H5954" i="3"/>
  <c r="H3238" i="3"/>
  <c r="H2380" i="3"/>
  <c r="H3239" i="3"/>
  <c r="H6480" i="3"/>
  <c r="H3240" i="3"/>
  <c r="H7715" i="3"/>
  <c r="H4639" i="3"/>
  <c r="H580" i="3"/>
  <c r="H6481" i="3"/>
  <c r="H3241" i="3"/>
  <c r="H581" i="3"/>
  <c r="H4640" i="3"/>
  <c r="H6808" i="3"/>
  <c r="H5955" i="3"/>
  <c r="H4156" i="3"/>
  <c r="H6964" i="3"/>
  <c r="H6809" i="3"/>
  <c r="H6482" i="3"/>
  <c r="H4641" i="3"/>
  <c r="H3242" i="3"/>
  <c r="H6810" i="3"/>
  <c r="H4642" i="3"/>
  <c r="H6483" i="3"/>
  <c r="H582" i="3"/>
  <c r="H5956" i="3"/>
  <c r="H3243" i="3"/>
  <c r="H6811" i="3"/>
  <c r="H3244" i="3"/>
  <c r="H7716" i="3"/>
  <c r="H7717" i="3"/>
  <c r="H6484" i="3"/>
  <c r="H3245" i="3"/>
  <c r="H1802" i="3"/>
  <c r="H3246" i="3"/>
  <c r="H6485" i="3"/>
  <c r="H7718" i="3"/>
  <c r="H7719" i="3"/>
  <c r="H82" i="3"/>
  <c r="H3247" i="3"/>
  <c r="H3248" i="3"/>
  <c r="H3249" i="3"/>
  <c r="H1637" i="3"/>
  <c r="H7720" i="3"/>
  <c r="H354" i="3"/>
  <c r="H4643" i="3"/>
  <c r="H6965" i="3"/>
  <c r="H1121" i="3"/>
  <c r="H2100" i="3"/>
  <c r="H1122" i="3"/>
  <c r="H4644" i="3"/>
  <c r="H4645" i="3"/>
  <c r="H4646" i="3"/>
  <c r="H583" i="3"/>
  <c r="H355" i="3"/>
  <c r="H3250" i="3"/>
  <c r="H3251" i="3"/>
  <c r="H83" i="3"/>
  <c r="H7721" i="3"/>
  <c r="H3252" i="3"/>
  <c r="H2101" i="3"/>
  <c r="H584" i="3"/>
  <c r="H3253" i="3"/>
  <c r="H3254" i="3"/>
  <c r="H6486" i="3"/>
  <c r="H6812" i="3"/>
  <c r="H1123" i="3"/>
  <c r="H6487" i="3"/>
  <c r="H585" i="3"/>
  <c r="H6813" i="3"/>
  <c r="H6966" i="3"/>
  <c r="H3255" i="3"/>
  <c r="H6967" i="3"/>
  <c r="H3256" i="3"/>
  <c r="H2381" i="3"/>
  <c r="H586" i="3"/>
  <c r="H6968" i="3"/>
  <c r="H356" i="3"/>
  <c r="H357" i="3"/>
  <c r="H587" i="3"/>
  <c r="H6488" i="3"/>
  <c r="H6969" i="3"/>
  <c r="H3257" i="3"/>
  <c r="H7722" i="3"/>
  <c r="H7281" i="3"/>
  <c r="H6970" i="3"/>
  <c r="H7723" i="3"/>
  <c r="H7724" i="3"/>
  <c r="H3258" i="3"/>
  <c r="H4647" i="3"/>
  <c r="H7725" i="3"/>
  <c r="H4648" i="3"/>
  <c r="H6814" i="3"/>
  <c r="H3259" i="3"/>
  <c r="H84" i="3"/>
  <c r="H7726" i="3"/>
  <c r="H3260" i="3"/>
  <c r="H358" i="3"/>
  <c r="H2102" i="3"/>
  <c r="H4649" i="3"/>
  <c r="H7727" i="3"/>
  <c r="H6489" i="3"/>
  <c r="H7728" i="3"/>
  <c r="H1124" i="3"/>
  <c r="H2103" i="3"/>
  <c r="H588" i="3"/>
  <c r="H589" i="3"/>
  <c r="H3261" i="3"/>
  <c r="H3262" i="3"/>
  <c r="H3263" i="3"/>
  <c r="H5797" i="3"/>
  <c r="H3264" i="3"/>
  <c r="H3265" i="3"/>
  <c r="H3266" i="3"/>
  <c r="H3267" i="3"/>
  <c r="H2104" i="3"/>
  <c r="H1638" i="3"/>
  <c r="H3268" i="3"/>
  <c r="H2382" i="3"/>
  <c r="H2105" i="3"/>
  <c r="H4650" i="3"/>
  <c r="H4651" i="3"/>
  <c r="H1803" i="3"/>
  <c r="H6490" i="3"/>
  <c r="H1125" i="3"/>
  <c r="H4652" i="3"/>
  <c r="H4157" i="3"/>
  <c r="H4653" i="3"/>
  <c r="H4654" i="3"/>
  <c r="H6491" i="3"/>
  <c r="H7729" i="3"/>
  <c r="H7730" i="3"/>
  <c r="H1126" i="3"/>
  <c r="H2383" i="3"/>
  <c r="H85" i="3"/>
  <c r="H6971" i="3"/>
  <c r="H3269" i="3"/>
  <c r="H4655" i="3"/>
  <c r="H5798" i="3"/>
  <c r="H3270" i="3"/>
  <c r="H6492" i="3"/>
  <c r="H1639" i="3"/>
  <c r="H1640" i="3"/>
  <c r="H7227" i="3"/>
  <c r="H4158" i="3"/>
  <c r="H590" i="3"/>
  <c r="H7731" i="3"/>
  <c r="H3271" i="3"/>
  <c r="H4656" i="3"/>
  <c r="H1804" i="3"/>
  <c r="H3272" i="3"/>
  <c r="H3273" i="3"/>
  <c r="H6493" i="3"/>
  <c r="H6494" i="3"/>
  <c r="H5957" i="3"/>
  <c r="H86" i="3"/>
  <c r="H1127" i="3"/>
  <c r="H1641" i="3"/>
  <c r="H5958" i="3"/>
  <c r="H6495" i="3"/>
  <c r="H1805" i="3"/>
  <c r="H3274" i="3"/>
  <c r="H6972" i="3"/>
  <c r="H7732" i="3"/>
  <c r="H1806" i="3"/>
  <c r="H5959" i="3"/>
  <c r="H1807" i="3"/>
  <c r="H1128" i="3"/>
  <c r="H1129" i="3"/>
  <c r="H5960" i="3"/>
  <c r="H2106" i="3"/>
  <c r="H7733" i="3"/>
  <c r="H1642" i="3"/>
  <c r="H3275" i="3"/>
  <c r="H591" i="3"/>
  <c r="H1643" i="3"/>
  <c r="H6496" i="3"/>
  <c r="H3276" i="3"/>
  <c r="H7734" i="3"/>
  <c r="H1808" i="3"/>
  <c r="H2107" i="3"/>
  <c r="H2108" i="3"/>
  <c r="H2109" i="3"/>
  <c r="H3277" i="3"/>
  <c r="H1130" i="3"/>
  <c r="H592" i="3"/>
  <c r="H4657" i="3"/>
  <c r="H6497" i="3"/>
  <c r="H5799" i="3"/>
  <c r="H3278" i="3"/>
  <c r="H4300" i="3"/>
  <c r="H593" i="3"/>
  <c r="H1644" i="3"/>
  <c r="H3279" i="3"/>
  <c r="H6498" i="3"/>
  <c r="H1809" i="3"/>
  <c r="H3280" i="3"/>
  <c r="H594" i="3"/>
  <c r="H4159" i="3"/>
  <c r="H5961" i="3"/>
  <c r="H5962" i="3"/>
  <c r="H3281" i="3"/>
  <c r="H6499" i="3"/>
  <c r="H7735" i="3"/>
  <c r="H595" i="3"/>
  <c r="H4658" i="3"/>
  <c r="H3282" i="3"/>
  <c r="H2110" i="3"/>
  <c r="H6500" i="3"/>
  <c r="H5963" i="3"/>
  <c r="H7736" i="3"/>
  <c r="H4160" i="3"/>
  <c r="H7282" i="3"/>
  <c r="H4659" i="3"/>
  <c r="H6973" i="3"/>
  <c r="H87" i="3"/>
  <c r="H2111" i="3"/>
  <c r="H359" i="3"/>
  <c r="H2112" i="3"/>
  <c r="H2384" i="3"/>
  <c r="H88" i="3"/>
  <c r="H3283" i="3"/>
  <c r="H7737" i="3"/>
  <c r="H4660" i="3"/>
  <c r="H5800" i="3"/>
  <c r="H1131" i="3"/>
  <c r="H3284" i="3"/>
  <c r="H7738" i="3"/>
  <c r="H3285" i="3"/>
  <c r="H3286" i="3"/>
  <c r="H1132" i="3"/>
  <c r="H6974" i="3"/>
  <c r="H1645" i="3"/>
  <c r="H6975" i="3"/>
  <c r="H360" i="3"/>
  <c r="H6976" i="3"/>
  <c r="H5801" i="3"/>
  <c r="H6977" i="3"/>
  <c r="H3287" i="3"/>
  <c r="H596" i="3"/>
  <c r="H6978" i="3"/>
  <c r="H6501" i="3"/>
  <c r="H1810" i="3"/>
  <c r="H6979" i="3"/>
  <c r="H6980" i="3"/>
  <c r="H7228" i="3"/>
  <c r="H3288" i="3"/>
  <c r="H361" i="3"/>
  <c r="H2113" i="3"/>
  <c r="H4661" i="3"/>
  <c r="H597" i="3"/>
  <c r="H4662" i="3"/>
  <c r="H5964" i="3"/>
  <c r="H3289" i="3"/>
  <c r="H5965" i="3"/>
  <c r="H2114" i="3"/>
  <c r="H4663" i="3"/>
  <c r="H7739" i="3"/>
  <c r="H5966" i="3"/>
  <c r="H3290" i="3"/>
  <c r="H2385" i="3"/>
  <c r="H3291" i="3"/>
  <c r="H3292" i="3"/>
  <c r="H7740" i="3"/>
  <c r="H6981" i="3"/>
  <c r="H3293" i="3"/>
  <c r="H3294" i="3"/>
  <c r="H598" i="3"/>
  <c r="H3295" i="3"/>
  <c r="H1811" i="3"/>
  <c r="H6502" i="3"/>
  <c r="H1133" i="3"/>
  <c r="H1812" i="3"/>
  <c r="H4664" i="3"/>
  <c r="H6503" i="3"/>
  <c r="H3296" i="3"/>
  <c r="H3297" i="3"/>
  <c r="H1134" i="3"/>
  <c r="H5802" i="3"/>
  <c r="H5967" i="3"/>
  <c r="H6982" i="3"/>
  <c r="H4665" i="3"/>
  <c r="H6983" i="3"/>
  <c r="H2115" i="3"/>
  <c r="H1813" i="3"/>
  <c r="H6815" i="3"/>
  <c r="H3298" i="3"/>
  <c r="H2386" i="3"/>
  <c r="H7741" i="3"/>
  <c r="H1135" i="3"/>
  <c r="H599" i="3"/>
  <c r="H7742" i="3"/>
  <c r="H2116" i="3"/>
  <c r="H5803" i="3"/>
  <c r="H5968" i="3"/>
  <c r="H5969" i="3"/>
  <c r="H6816" i="3"/>
  <c r="H1646" i="3"/>
  <c r="H362" i="3"/>
  <c r="H3299" i="3"/>
  <c r="H5970" i="3"/>
  <c r="H4666" i="3"/>
  <c r="H7229" i="3"/>
  <c r="H3300" i="3"/>
  <c r="H3301" i="3"/>
  <c r="H6984" i="3"/>
  <c r="H1136" i="3"/>
  <c r="H3302" i="3"/>
  <c r="H4667" i="3"/>
  <c r="H3303" i="3"/>
  <c r="H89" i="3"/>
  <c r="H7743" i="3"/>
  <c r="H1814" i="3"/>
  <c r="H4668" i="3"/>
  <c r="H5971" i="3"/>
  <c r="H1137" i="3"/>
  <c r="H1647" i="3"/>
  <c r="H5972" i="3"/>
  <c r="H4669" i="3"/>
  <c r="H4670" i="3"/>
  <c r="H600" i="3"/>
  <c r="H5804" i="3"/>
  <c r="H7230" i="3"/>
  <c r="H4671" i="3"/>
  <c r="H7283" i="3"/>
  <c r="H4161" i="3"/>
  <c r="H6985" i="3"/>
  <c r="H90" i="3"/>
  <c r="H91" i="3"/>
  <c r="H7744" i="3"/>
  <c r="H5973" i="3"/>
  <c r="H5974" i="3"/>
  <c r="H2387" i="3"/>
  <c r="H4672" i="3"/>
  <c r="H3304" i="3"/>
  <c r="H1138" i="3"/>
  <c r="H2117" i="3"/>
  <c r="H1139" i="3"/>
  <c r="H7231" i="3"/>
  <c r="H7745" i="3"/>
  <c r="H7746" i="3"/>
  <c r="H4162" i="3"/>
  <c r="H2388" i="3"/>
  <c r="H2118" i="3"/>
  <c r="H2119" i="3"/>
  <c r="H6986" i="3"/>
  <c r="H2120" i="3"/>
  <c r="H6504" i="3"/>
  <c r="H7747" i="3"/>
  <c r="H4301" i="3"/>
  <c r="H6505" i="3"/>
  <c r="H5975" i="3"/>
  <c r="H1815" i="3"/>
  <c r="H3305" i="3"/>
  <c r="H6506" i="3"/>
  <c r="H7748" i="3"/>
  <c r="H6987" i="3"/>
  <c r="H7749" i="3"/>
  <c r="H6507" i="3"/>
  <c r="H1816" i="3"/>
  <c r="H3306" i="3"/>
  <c r="H1817" i="3"/>
  <c r="H3307" i="3"/>
  <c r="H5976" i="3"/>
  <c r="H601" i="3"/>
  <c r="H4163" i="3"/>
  <c r="H3308" i="3"/>
  <c r="H3309" i="3"/>
  <c r="H4673" i="3"/>
  <c r="H92" i="3"/>
  <c r="H3310" i="3"/>
  <c r="H6508" i="3"/>
  <c r="H6817" i="3"/>
  <c r="H3311" i="3"/>
  <c r="H3312" i="3"/>
  <c r="H1140" i="3"/>
  <c r="H4674" i="3"/>
  <c r="H1141" i="3"/>
  <c r="H4675" i="3"/>
  <c r="H602" i="3"/>
  <c r="H1818" i="3"/>
  <c r="H1142" i="3"/>
  <c r="H5805" i="3"/>
  <c r="H6988" i="3"/>
  <c r="H7750" i="3"/>
  <c r="H6818" i="3"/>
  <c r="H5977" i="3"/>
  <c r="H1819" i="3"/>
  <c r="H6989" i="3"/>
  <c r="H4302" i="3"/>
  <c r="H7751" i="3"/>
  <c r="H4676" i="3"/>
  <c r="H6990" i="3"/>
  <c r="H2121" i="3"/>
  <c r="H4164" i="3"/>
  <c r="H7752" i="3"/>
  <c r="H1648" i="3"/>
  <c r="H4677" i="3"/>
  <c r="H93" i="3"/>
  <c r="H3313" i="3"/>
  <c r="H4678" i="3"/>
  <c r="H1649" i="3"/>
  <c r="H5978" i="3"/>
  <c r="H603" i="3"/>
  <c r="H3314" i="3"/>
  <c r="H4679" i="3"/>
  <c r="H3315" i="3"/>
  <c r="H5979" i="3"/>
  <c r="H4165" i="3"/>
  <c r="H7753" i="3"/>
  <c r="H7284" i="3"/>
  <c r="H1820" i="3"/>
  <c r="H363" i="3"/>
  <c r="H4680" i="3"/>
  <c r="H604" i="3"/>
  <c r="H2122" i="3"/>
  <c r="H3316" i="3"/>
  <c r="H6819" i="3"/>
  <c r="H4166" i="3"/>
  <c r="H6509" i="3"/>
  <c r="H1143" i="3"/>
  <c r="H1144" i="3"/>
  <c r="H2389" i="3"/>
  <c r="H6991" i="3"/>
  <c r="H5806" i="3"/>
  <c r="H6992" i="3"/>
  <c r="H1650" i="3"/>
  <c r="H605" i="3"/>
  <c r="H3317" i="3"/>
  <c r="H3318" i="3"/>
  <c r="H606" i="3"/>
  <c r="H2390" i="3"/>
  <c r="H2391" i="3"/>
  <c r="H3319" i="3"/>
  <c r="H607" i="3"/>
  <c r="H608" i="3"/>
  <c r="H2123" i="3"/>
  <c r="H7754" i="3"/>
  <c r="H1145" i="3"/>
  <c r="H3320" i="3"/>
  <c r="H6820" i="3"/>
  <c r="H3321" i="3"/>
  <c r="H2124" i="3"/>
  <c r="H5807" i="3"/>
  <c r="H364" i="3"/>
  <c r="H4681" i="3"/>
  <c r="H6993" i="3"/>
  <c r="H94" i="3"/>
  <c r="H2392" i="3"/>
  <c r="H6994" i="3"/>
  <c r="H4682" i="3"/>
  <c r="H7755" i="3"/>
  <c r="H6821" i="3"/>
  <c r="H3322" i="3"/>
  <c r="H1146" i="3"/>
  <c r="H7756" i="3"/>
  <c r="H6995" i="3"/>
  <c r="H3323" i="3"/>
  <c r="H3324" i="3"/>
  <c r="H3325" i="3"/>
  <c r="H3326" i="3"/>
  <c r="H5808" i="3"/>
  <c r="H3327" i="3"/>
  <c r="H3328" i="3"/>
  <c r="H3329" i="3"/>
  <c r="H5980" i="3"/>
  <c r="H2125" i="3"/>
  <c r="H1821" i="3"/>
  <c r="H3330" i="3"/>
  <c r="H2126" i="3"/>
  <c r="H4683" i="3"/>
  <c r="H4684" i="3"/>
  <c r="H4685" i="3"/>
  <c r="H4686" i="3"/>
  <c r="H609" i="3"/>
  <c r="H1822" i="3"/>
  <c r="H2127" i="3"/>
  <c r="H4687" i="3"/>
  <c r="H95" i="3"/>
  <c r="H1651" i="3"/>
  <c r="H6510" i="3"/>
  <c r="H1147" i="3"/>
  <c r="H3331" i="3"/>
  <c r="H6996" i="3"/>
  <c r="H7757" i="3"/>
  <c r="H7758" i="3"/>
  <c r="H7759" i="3"/>
  <c r="H6997" i="3"/>
  <c r="H3332" i="3"/>
  <c r="H7285" i="3"/>
  <c r="H2128" i="3"/>
  <c r="H3333" i="3"/>
  <c r="H1148" i="3"/>
  <c r="H5981" i="3"/>
  <c r="H3334" i="3"/>
  <c r="H6998" i="3"/>
  <c r="H7760" i="3"/>
  <c r="H3335" i="3"/>
  <c r="H3336" i="3"/>
  <c r="H1149" i="3"/>
  <c r="H2129" i="3"/>
  <c r="H3337" i="3"/>
  <c r="H7761" i="3"/>
  <c r="H7762" i="3"/>
  <c r="H3338" i="3"/>
  <c r="H6511" i="3"/>
  <c r="H7763" i="3"/>
  <c r="H365" i="3"/>
  <c r="H3339" i="3"/>
  <c r="H5982" i="3"/>
  <c r="H3340" i="3"/>
  <c r="H4688" i="3"/>
  <c r="H3341" i="3"/>
  <c r="H3342" i="3"/>
  <c r="H1652" i="3"/>
  <c r="H6512" i="3"/>
  <c r="H7764" i="3"/>
  <c r="H7765" i="3"/>
  <c r="H1150" i="3"/>
  <c r="H4689" i="3"/>
  <c r="H1823" i="3"/>
  <c r="H3343" i="3"/>
  <c r="H1151" i="3"/>
  <c r="H3344" i="3"/>
  <c r="H96" i="3"/>
  <c r="H3345" i="3"/>
  <c r="H4690" i="3"/>
  <c r="H1152" i="3"/>
  <c r="H4691" i="3"/>
  <c r="H3346" i="3"/>
  <c r="H5809" i="3"/>
  <c r="H2393" i="3"/>
  <c r="H3347" i="3"/>
  <c r="H3348" i="3"/>
  <c r="H4692" i="3"/>
  <c r="H3349" i="3"/>
  <c r="H3350" i="3"/>
  <c r="H1824" i="3"/>
  <c r="H7766" i="3"/>
  <c r="H7767" i="3"/>
  <c r="H6513" i="3"/>
  <c r="H1153" i="3"/>
  <c r="H6999" i="3"/>
  <c r="H7232" i="3"/>
  <c r="H6514" i="3"/>
  <c r="H4303" i="3"/>
  <c r="H6822" i="3"/>
  <c r="H2394" i="3"/>
  <c r="H7768" i="3"/>
  <c r="H7769" i="3"/>
  <c r="H97" i="3"/>
  <c r="H3351" i="3"/>
  <c r="H5983" i="3"/>
  <c r="H610" i="3"/>
  <c r="H5984" i="3"/>
  <c r="H2130" i="3"/>
  <c r="H2131" i="3"/>
  <c r="H7770" i="3"/>
  <c r="H4693" i="3"/>
  <c r="H1154" i="3"/>
  <c r="H366" i="3"/>
  <c r="H4694" i="3"/>
  <c r="H1825" i="3"/>
  <c r="H4304" i="3"/>
  <c r="H6515" i="3"/>
  <c r="H3352" i="3"/>
  <c r="H4167" i="3"/>
  <c r="H1155" i="3"/>
  <c r="H1156" i="3"/>
  <c r="H6516" i="3"/>
  <c r="H367" i="3"/>
  <c r="H2395" i="3"/>
  <c r="H3353" i="3"/>
  <c r="H7000" i="3"/>
  <c r="H1157" i="3"/>
  <c r="H4695" i="3"/>
  <c r="H3354" i="3"/>
  <c r="H4696" i="3"/>
  <c r="H4697" i="3"/>
  <c r="H4698" i="3"/>
  <c r="H1158" i="3"/>
  <c r="H611" i="3"/>
  <c r="H5985" i="3"/>
  <c r="H3355" i="3"/>
  <c r="H2396" i="3"/>
  <c r="H1159" i="3"/>
  <c r="H4699" i="3"/>
  <c r="H612" i="3"/>
  <c r="H3356" i="3"/>
  <c r="H1653" i="3"/>
  <c r="H2397" i="3"/>
  <c r="H7771" i="3"/>
  <c r="H1160" i="3"/>
  <c r="H7001" i="3"/>
  <c r="H3357" i="3"/>
  <c r="H3358" i="3"/>
  <c r="H1161" i="3"/>
  <c r="H3359" i="3"/>
  <c r="H7286" i="3"/>
  <c r="H3360" i="3"/>
  <c r="H3361" i="3"/>
  <c r="H2132" i="3"/>
  <c r="H5986" i="3"/>
  <c r="H3362" i="3"/>
  <c r="H1162" i="3"/>
  <c r="H7233" i="3"/>
  <c r="H6823" i="3"/>
  <c r="H7772" i="3"/>
  <c r="H3363" i="3"/>
  <c r="H1163" i="3"/>
  <c r="H2398" i="3"/>
  <c r="H5987" i="3"/>
  <c r="H4700" i="3"/>
  <c r="H3364" i="3"/>
  <c r="H4168" i="3"/>
  <c r="H4169" i="3"/>
  <c r="H3365" i="3"/>
  <c r="H2133" i="3"/>
  <c r="H1826" i="3"/>
  <c r="H3366" i="3"/>
  <c r="H1164" i="3"/>
  <c r="H3367" i="3"/>
  <c r="H3368" i="3"/>
  <c r="H1165" i="3"/>
  <c r="H613" i="3"/>
  <c r="H5988" i="3"/>
  <c r="H3369" i="3"/>
  <c r="H3370" i="3"/>
  <c r="H3371" i="3"/>
  <c r="H7773" i="3"/>
  <c r="H614" i="3"/>
  <c r="H7234" i="3"/>
  <c r="H615" i="3"/>
  <c r="H5989" i="3"/>
  <c r="H1166" i="3"/>
  <c r="H7774" i="3"/>
  <c r="H4701" i="3"/>
  <c r="H5990" i="3"/>
  <c r="H7002" i="3"/>
  <c r="H7775" i="3"/>
  <c r="H1167" i="3"/>
  <c r="H6824" i="3"/>
  <c r="H3372" i="3"/>
  <c r="H3373" i="3"/>
  <c r="H2134" i="3"/>
  <c r="H5810" i="3"/>
  <c r="H6825" i="3"/>
  <c r="H98" i="3"/>
  <c r="H3374" i="3"/>
  <c r="H3375" i="3"/>
  <c r="H4305" i="3"/>
  <c r="H7003" i="3"/>
  <c r="H7776" i="3"/>
  <c r="H1654" i="3"/>
  <c r="H616" i="3"/>
  <c r="H3376" i="3"/>
  <c r="H1168" i="3"/>
  <c r="H617" i="3"/>
  <c r="H3377" i="3"/>
  <c r="H618" i="3"/>
  <c r="H3378" i="3"/>
  <c r="H5991" i="3"/>
  <c r="H4170" i="3"/>
  <c r="H3379" i="3"/>
  <c r="H99" i="3"/>
  <c r="H2399" i="3"/>
  <c r="H100" i="3"/>
  <c r="H3380" i="3"/>
  <c r="H7777" i="3"/>
  <c r="H2135" i="3"/>
  <c r="H619" i="3"/>
  <c r="H101" i="3"/>
  <c r="H3381" i="3"/>
  <c r="H7778" i="3"/>
  <c r="H5811" i="3"/>
  <c r="H4702" i="3"/>
  <c r="H4703" i="3"/>
  <c r="H7004" i="3"/>
  <c r="H620" i="3"/>
  <c r="H102" i="3"/>
  <c r="H4704" i="3"/>
  <c r="H4171" i="3"/>
  <c r="H6517" i="3"/>
  <c r="H4172" i="3"/>
  <c r="H3382" i="3"/>
  <c r="H5812" i="3"/>
  <c r="H6826" i="3"/>
  <c r="H1169" i="3"/>
  <c r="H4705" i="3"/>
  <c r="H1827" i="3"/>
  <c r="H5992" i="3"/>
  <c r="H7779" i="3"/>
  <c r="H3383" i="3"/>
  <c r="H1170" i="3"/>
  <c r="H621" i="3"/>
  <c r="H3384" i="3"/>
  <c r="H5993" i="3"/>
  <c r="H1171" i="3"/>
  <c r="H368" i="3"/>
  <c r="H1172" i="3"/>
  <c r="H2400" i="3"/>
  <c r="H7780" i="3"/>
  <c r="H5994" i="3"/>
  <c r="H6518" i="3"/>
  <c r="H3385" i="3"/>
  <c r="H5813" i="3"/>
  <c r="H4706" i="3"/>
  <c r="H1173" i="3"/>
  <c r="H3386" i="3"/>
  <c r="H2401" i="3"/>
  <c r="H3387" i="3"/>
  <c r="H1828" i="3"/>
  <c r="H1829" i="3"/>
  <c r="H3388" i="3"/>
  <c r="H4707" i="3"/>
  <c r="H6827" i="3"/>
  <c r="H622" i="3"/>
  <c r="H2136" i="3"/>
  <c r="H5995" i="3"/>
  <c r="H1174" i="3"/>
  <c r="H4708" i="3"/>
  <c r="H623" i="3"/>
  <c r="H2137" i="3"/>
  <c r="H7005" i="3"/>
  <c r="H2138" i="3"/>
  <c r="H1175" i="3"/>
  <c r="H5996" i="3"/>
  <c r="H624" i="3"/>
  <c r="H1830" i="3"/>
  <c r="H369" i="3"/>
  <c r="H1655" i="3"/>
  <c r="H1176" i="3"/>
  <c r="H1831" i="3"/>
  <c r="H103" i="3"/>
  <c r="H6828" i="3"/>
  <c r="H2402" i="3"/>
  <c r="H5814" i="3"/>
  <c r="H3389" i="3"/>
  <c r="H2403" i="3"/>
  <c r="H4173" i="3"/>
  <c r="H7006" i="3"/>
  <c r="H3390" i="3"/>
  <c r="H1656" i="3"/>
  <c r="H625" i="3"/>
  <c r="H1177" i="3"/>
  <c r="H4174" i="3"/>
  <c r="H2404" i="3"/>
  <c r="H3391" i="3"/>
  <c r="H3392" i="3"/>
  <c r="H1657" i="3"/>
  <c r="H104" i="3"/>
  <c r="H5997" i="3"/>
  <c r="H4175" i="3"/>
  <c r="H1178" i="3"/>
  <c r="H5998" i="3"/>
  <c r="H2139" i="3"/>
  <c r="H4709" i="3"/>
  <c r="H7781" i="3"/>
  <c r="H3393" i="3"/>
  <c r="H1658" i="3"/>
  <c r="H626" i="3"/>
  <c r="H7007" i="3"/>
  <c r="H4710" i="3"/>
  <c r="H4306" i="3"/>
  <c r="H627" i="3"/>
  <c r="H2405" i="3"/>
  <c r="H7782" i="3"/>
  <c r="H1659" i="3"/>
  <c r="H7783" i="3"/>
  <c r="H4176" i="3"/>
  <c r="H370" i="3"/>
  <c r="H1179" i="3"/>
  <c r="H4711" i="3"/>
  <c r="H2140" i="3"/>
  <c r="H7235" i="3"/>
  <c r="H3394" i="3"/>
  <c r="H628" i="3"/>
  <c r="H3395" i="3"/>
  <c r="H4712" i="3"/>
  <c r="H1660" i="3"/>
  <c r="H5999" i="3"/>
  <c r="H1180" i="3"/>
  <c r="H3396" i="3"/>
  <c r="H4713" i="3"/>
  <c r="H105" i="3"/>
  <c r="H3397" i="3"/>
  <c r="H1181" i="3"/>
  <c r="H1182" i="3"/>
  <c r="H1183" i="3"/>
  <c r="H2141" i="3"/>
  <c r="H1832" i="3"/>
  <c r="H7784" i="3"/>
  <c r="H629" i="3"/>
  <c r="H3398" i="3"/>
  <c r="H4714" i="3"/>
  <c r="H3399" i="3"/>
  <c r="H106" i="3"/>
  <c r="H7785" i="3"/>
  <c r="H1661" i="3"/>
  <c r="H6829" i="3"/>
  <c r="H4177" i="3"/>
  <c r="H3400" i="3"/>
  <c r="H6000" i="3"/>
  <c r="H3401" i="3"/>
  <c r="H3402" i="3"/>
  <c r="H1184" i="3"/>
  <c r="H1185" i="3"/>
  <c r="H6001" i="3"/>
  <c r="H4178" i="3"/>
  <c r="H6830" i="3"/>
  <c r="H107" i="3"/>
  <c r="H1662" i="3"/>
  <c r="H1186" i="3"/>
  <c r="H4715" i="3"/>
  <c r="H2406" i="3"/>
  <c r="H4307" i="3"/>
  <c r="H3403" i="3"/>
  <c r="H1833" i="3"/>
  <c r="H7008" i="3"/>
  <c r="H3404" i="3"/>
  <c r="H4716" i="3"/>
  <c r="H4717" i="3"/>
  <c r="H6002" i="3"/>
  <c r="H7009" i="3"/>
  <c r="H4308" i="3"/>
  <c r="H7786" i="3"/>
  <c r="H4718" i="3"/>
  <c r="H630" i="3"/>
  <c r="H7010" i="3"/>
  <c r="H4179" i="3"/>
  <c r="H3405" i="3"/>
  <c r="H6519" i="3"/>
  <c r="H2407" i="3"/>
  <c r="H2142" i="3"/>
  <c r="H631" i="3"/>
  <c r="H1663" i="3"/>
  <c r="H632" i="3"/>
  <c r="H1187" i="3"/>
  <c r="H3406" i="3"/>
  <c r="H6520" i="3"/>
  <c r="H633" i="3"/>
  <c r="H6831" i="3"/>
  <c r="H1188" i="3"/>
  <c r="H1834" i="3"/>
  <c r="H634" i="3"/>
  <c r="H4719" i="3"/>
  <c r="H1835" i="3"/>
  <c r="H1189" i="3"/>
  <c r="H2143" i="3"/>
  <c r="H7787" i="3"/>
  <c r="H1664" i="3"/>
  <c r="H1665" i="3"/>
  <c r="H3407" i="3"/>
  <c r="H3408" i="3"/>
  <c r="H1190" i="3"/>
  <c r="H635" i="3"/>
  <c r="H2408" i="3"/>
  <c r="H636" i="3"/>
  <c r="H6003" i="3"/>
  <c r="H108" i="3"/>
  <c r="H4720" i="3"/>
  <c r="H1836" i="3"/>
  <c r="H1191" i="3"/>
  <c r="H6004" i="3"/>
  <c r="H3409" i="3"/>
  <c r="H637" i="3"/>
  <c r="H3410" i="3"/>
  <c r="H4721" i="3"/>
  <c r="H1837" i="3"/>
  <c r="H3411" i="3"/>
  <c r="H1838" i="3"/>
  <c r="H7011" i="3"/>
  <c r="H3412" i="3"/>
  <c r="H3413" i="3"/>
  <c r="H6521" i="3"/>
  <c r="H109" i="3"/>
  <c r="H1192" i="3"/>
  <c r="H3414" i="3"/>
  <c r="H638" i="3"/>
  <c r="H1839" i="3"/>
  <c r="H4722" i="3"/>
  <c r="H6005" i="3"/>
  <c r="H1840" i="3"/>
  <c r="H6832" i="3"/>
  <c r="H1841" i="3"/>
  <c r="H6833" i="3"/>
  <c r="H639" i="3"/>
  <c r="H4723" i="3"/>
  <c r="H6006" i="3"/>
  <c r="H3415" i="3"/>
  <c r="H640" i="3"/>
  <c r="H3416" i="3"/>
  <c r="H1842" i="3"/>
  <c r="H2144" i="3"/>
  <c r="H5815" i="3"/>
  <c r="H371" i="3"/>
  <c r="H6834" i="3"/>
  <c r="H3417" i="3"/>
  <c r="H3418" i="3"/>
  <c r="H6007" i="3"/>
  <c r="H4309" i="3"/>
  <c r="H4724" i="3"/>
  <c r="H3419" i="3"/>
  <c r="H3420" i="3"/>
  <c r="H4725" i="3"/>
  <c r="H4726" i="3"/>
  <c r="H5816" i="3"/>
  <c r="H641" i="3"/>
  <c r="H6008" i="3"/>
  <c r="H1193" i="3"/>
  <c r="H642" i="3"/>
  <c r="H3421" i="3"/>
  <c r="H4727" i="3"/>
  <c r="H7788" i="3"/>
  <c r="H1666" i="3"/>
  <c r="H4728" i="3"/>
  <c r="H643" i="3"/>
  <c r="H7789" i="3"/>
  <c r="H6009" i="3"/>
  <c r="H1194" i="3"/>
  <c r="H7790" i="3"/>
  <c r="H3422" i="3"/>
  <c r="H4729" i="3"/>
  <c r="H3423" i="3"/>
  <c r="H7791" i="3"/>
  <c r="H1195" i="3"/>
  <c r="H644" i="3"/>
  <c r="H3424" i="3"/>
  <c r="H7792" i="3"/>
  <c r="H4730" i="3"/>
  <c r="H7236" i="3"/>
  <c r="H2145" i="3"/>
  <c r="H4180" i="3"/>
  <c r="H372" i="3"/>
  <c r="H7237" i="3"/>
  <c r="H3425" i="3"/>
  <c r="H7793" i="3"/>
  <c r="H7012" i="3"/>
  <c r="H4731" i="3"/>
  <c r="H1196" i="3"/>
  <c r="H2146" i="3"/>
  <c r="H3426" i="3"/>
  <c r="H1197" i="3"/>
  <c r="H1667" i="3"/>
  <c r="H7794" i="3"/>
  <c r="H7795" i="3"/>
  <c r="H6522" i="3"/>
  <c r="H7796" i="3"/>
  <c r="H4732" i="3"/>
  <c r="H5817" i="3"/>
  <c r="H3427" i="3"/>
  <c r="H645" i="3"/>
  <c r="H3428" i="3"/>
  <c r="H646" i="3"/>
  <c r="H6523" i="3"/>
  <c r="H4733" i="3"/>
  <c r="H4310" i="3"/>
  <c r="H6010" i="3"/>
  <c r="H647" i="3"/>
  <c r="H3429" i="3"/>
  <c r="H4734" i="3"/>
  <c r="H2147" i="3"/>
  <c r="H6524" i="3"/>
  <c r="H6011" i="3"/>
  <c r="H6012" i="3"/>
  <c r="H6525" i="3"/>
  <c r="H4735" i="3"/>
  <c r="H2148" i="3"/>
  <c r="H4181" i="3"/>
  <c r="H7287" i="3"/>
  <c r="H6013" i="3"/>
  <c r="H4182" i="3"/>
  <c r="H4183" i="3"/>
  <c r="H1668" i="3"/>
  <c r="H6835" i="3"/>
  <c r="H648" i="3"/>
  <c r="H6836" i="3"/>
  <c r="H3430" i="3"/>
  <c r="H6526" i="3"/>
  <c r="H6527" i="3"/>
  <c r="H649" i="3"/>
  <c r="H3431" i="3"/>
  <c r="H7013" i="3"/>
  <c r="H4184" i="3"/>
  <c r="H6528" i="3"/>
  <c r="H7014" i="3"/>
  <c r="H2149" i="3"/>
  <c r="H6529" i="3"/>
  <c r="H6014" i="3"/>
  <c r="H110" i="3"/>
  <c r="H7797" i="3"/>
  <c r="H7798" i="3"/>
  <c r="H2409" i="3"/>
  <c r="H3432" i="3"/>
  <c r="H2410" i="3"/>
  <c r="H3433" i="3"/>
  <c r="H2150" i="3"/>
  <c r="H4736" i="3"/>
  <c r="H6015" i="3"/>
  <c r="H3434" i="3"/>
  <c r="H3435" i="3"/>
  <c r="H5818" i="3"/>
  <c r="H6016" i="3"/>
  <c r="H4737" i="3"/>
  <c r="H4738" i="3"/>
  <c r="H6017" i="3"/>
  <c r="H2151" i="3"/>
  <c r="H4739" i="3"/>
  <c r="H4740" i="3"/>
  <c r="H4741" i="3"/>
  <c r="H4742" i="3"/>
  <c r="H1669" i="3"/>
  <c r="H4743" i="3"/>
  <c r="H111" i="3"/>
  <c r="H3436" i="3"/>
  <c r="H4185" i="3"/>
  <c r="H3437" i="3"/>
  <c r="H4744" i="3"/>
  <c r="H4745" i="3"/>
  <c r="H5819" i="3"/>
  <c r="H1198" i="3"/>
  <c r="H2411" i="3"/>
  <c r="H650" i="3"/>
  <c r="H4746" i="3"/>
  <c r="H5820" i="3"/>
  <c r="H3438" i="3"/>
  <c r="H4747" i="3"/>
  <c r="H4748" i="3"/>
  <c r="H3439" i="3"/>
  <c r="H3440" i="3"/>
  <c r="H1199" i="3"/>
  <c r="H651" i="3"/>
  <c r="H4749" i="3"/>
  <c r="H1200" i="3"/>
  <c r="H652" i="3"/>
  <c r="H7015" i="3"/>
  <c r="H4311" i="3"/>
  <c r="H3441" i="3"/>
  <c r="H6837" i="3"/>
  <c r="H6530" i="3"/>
  <c r="H4750" i="3"/>
  <c r="H7016" i="3"/>
  <c r="H3442" i="3"/>
  <c r="H1201" i="3"/>
  <c r="H1202" i="3"/>
  <c r="H6531" i="3"/>
  <c r="H6018" i="3"/>
  <c r="H4186" i="3"/>
  <c r="H3443" i="3"/>
  <c r="H3444" i="3"/>
  <c r="H7799" i="3"/>
  <c r="H4187" i="3"/>
  <c r="H3445" i="3"/>
  <c r="H1203" i="3"/>
  <c r="H1843" i="3"/>
  <c r="H3446" i="3"/>
  <c r="H3447" i="3"/>
  <c r="H373" i="3"/>
  <c r="H6532" i="3"/>
  <c r="H653" i="3"/>
  <c r="H4188" i="3"/>
  <c r="H7288" i="3"/>
  <c r="H4751" i="3"/>
  <c r="H7289" i="3"/>
  <c r="H1670" i="3"/>
  <c r="H4189" i="3"/>
  <c r="H112" i="3"/>
  <c r="H7290" i="3"/>
  <c r="H3448" i="3"/>
  <c r="H4752" i="3"/>
  <c r="H3449" i="3"/>
  <c r="H4753" i="3"/>
  <c r="H7800" i="3"/>
  <c r="H2412" i="3"/>
  <c r="H4190" i="3"/>
  <c r="H7801" i="3"/>
  <c r="H4754" i="3"/>
  <c r="H5821" i="3"/>
  <c r="H6838" i="3"/>
  <c r="H4755" i="3"/>
  <c r="H1204" i="3"/>
  <c r="H4756" i="3"/>
  <c r="H7802" i="3"/>
  <c r="H1844" i="3"/>
  <c r="H3450" i="3"/>
  <c r="H7803" i="3"/>
  <c r="H4191" i="3"/>
  <c r="H2152" i="3"/>
  <c r="H4757" i="3"/>
  <c r="H6019" i="3"/>
  <c r="H4758" i="3"/>
  <c r="H4759" i="3"/>
  <c r="H4760" i="3"/>
  <c r="H3451" i="3"/>
  <c r="H2153" i="3"/>
  <c r="H4761" i="3"/>
  <c r="H4762" i="3"/>
  <c r="H1671" i="3"/>
  <c r="H6533" i="3"/>
  <c r="H3452" i="3"/>
  <c r="H4763" i="3"/>
  <c r="H654" i="3"/>
  <c r="H4764" i="3"/>
  <c r="H7804" i="3"/>
  <c r="H3453" i="3"/>
  <c r="H7805" i="3"/>
  <c r="H3454" i="3"/>
  <c r="H7806" i="3"/>
  <c r="H374" i="3"/>
  <c r="H1845" i="3"/>
  <c r="H4765" i="3"/>
  <c r="H1205" i="3"/>
  <c r="H3455" i="3"/>
  <c r="H3456" i="3"/>
  <c r="H4766" i="3"/>
  <c r="H6534" i="3"/>
  <c r="H4192" i="3"/>
  <c r="H3457" i="3"/>
  <c r="H4767" i="3"/>
  <c r="H3458" i="3"/>
  <c r="H1846" i="3"/>
  <c r="H4768" i="3"/>
  <c r="H6020" i="3"/>
  <c r="H6021" i="3"/>
  <c r="H113" i="3"/>
  <c r="H3459" i="3"/>
  <c r="H2154" i="3"/>
  <c r="H655" i="3"/>
  <c r="H6535" i="3"/>
  <c r="H1206" i="3"/>
  <c r="H3460" i="3"/>
  <c r="H2413" i="3"/>
  <c r="H3461" i="3"/>
  <c r="H4769" i="3"/>
  <c r="H3462" i="3"/>
  <c r="H1207" i="3"/>
  <c r="H1672" i="3"/>
  <c r="H1673" i="3"/>
  <c r="H1674" i="3"/>
  <c r="H3463" i="3"/>
  <c r="H1675" i="3"/>
  <c r="H1676" i="3"/>
  <c r="H4770" i="3"/>
  <c r="H4771" i="3"/>
  <c r="H7017" i="3"/>
  <c r="H4772" i="3"/>
  <c r="H1677" i="3"/>
  <c r="H3464" i="3"/>
  <c r="H4773" i="3"/>
  <c r="H656" i="3"/>
  <c r="H2414" i="3"/>
  <c r="H4774" i="3"/>
  <c r="H7238" i="3"/>
  <c r="H657" i="3"/>
  <c r="H4193" i="3"/>
  <c r="H3465" i="3"/>
  <c r="H4775" i="3"/>
  <c r="H6839" i="3"/>
  <c r="H658" i="3"/>
  <c r="H4312" i="3"/>
  <c r="H3466" i="3"/>
  <c r="H1208" i="3"/>
  <c r="H4776" i="3"/>
  <c r="H375" i="3"/>
  <c r="H659" i="3"/>
  <c r="H7807" i="3"/>
  <c r="H4194" i="3"/>
  <c r="H4195" i="3"/>
  <c r="H4777" i="3"/>
  <c r="H660" i="3"/>
  <c r="H1678" i="3"/>
  <c r="H1209" i="3"/>
  <c r="H3467" i="3"/>
  <c r="H3468" i="3"/>
  <c r="H6022" i="3"/>
  <c r="H1210" i="3"/>
  <c r="H7808" i="3"/>
  <c r="H1211" i="3"/>
  <c r="H4778" i="3"/>
  <c r="H7018" i="3"/>
  <c r="H4779" i="3"/>
  <c r="H4780" i="3"/>
  <c r="H2415" i="3"/>
  <c r="H7809" i="3"/>
  <c r="H1847" i="3"/>
  <c r="H7239" i="3"/>
  <c r="H661" i="3"/>
  <c r="H3469" i="3"/>
  <c r="H3470" i="3"/>
  <c r="H662" i="3"/>
  <c r="H6840" i="3"/>
  <c r="H2155" i="3"/>
  <c r="H1679" i="3"/>
  <c r="H1212" i="3"/>
  <c r="H114" i="3"/>
  <c r="H115" i="3"/>
  <c r="H5822" i="3"/>
  <c r="H376" i="3"/>
  <c r="H377" i="3"/>
  <c r="H3471" i="3"/>
  <c r="H1680" i="3"/>
  <c r="H4196" i="3"/>
  <c r="H3472" i="3"/>
  <c r="H3473" i="3"/>
  <c r="H3474" i="3"/>
  <c r="H116" i="3"/>
  <c r="H6023" i="3"/>
  <c r="H6841" i="3"/>
  <c r="H663" i="3"/>
  <c r="H4781" i="3"/>
  <c r="H6024" i="3"/>
  <c r="H3475" i="3"/>
  <c r="H6025" i="3"/>
  <c r="H378" i="3"/>
  <c r="H3476" i="3"/>
  <c r="H3477" i="3"/>
  <c r="H7810" i="3"/>
  <c r="H5823" i="3"/>
  <c r="H4782" i="3"/>
  <c r="H7019" i="3"/>
  <c r="H1213" i="3"/>
  <c r="H1681" i="3"/>
  <c r="H3478" i="3"/>
  <c r="H117" i="3"/>
  <c r="H2156" i="3"/>
  <c r="H4783" i="3"/>
  <c r="H118" i="3"/>
  <c r="H4784" i="3"/>
  <c r="H5824" i="3"/>
  <c r="H1682" i="3"/>
  <c r="H2416" i="3"/>
  <c r="H4785" i="3"/>
  <c r="H6842" i="3"/>
  <c r="H2157" i="3"/>
  <c r="H6536" i="3"/>
  <c r="H4313" i="3"/>
  <c r="H5825" i="3"/>
  <c r="H1214" i="3"/>
  <c r="H1848" i="3"/>
  <c r="H6537" i="3"/>
  <c r="H7020" i="3"/>
  <c r="H7240" i="3"/>
  <c r="H7241" i="3"/>
  <c r="H3479" i="3"/>
  <c r="H6026" i="3"/>
  <c r="H2158" i="3"/>
  <c r="H664" i="3"/>
  <c r="H4314" i="3"/>
  <c r="H4786" i="3"/>
  <c r="H665" i="3"/>
  <c r="H7021" i="3"/>
  <c r="H6027" i="3"/>
  <c r="H3480" i="3"/>
  <c r="H7022" i="3"/>
  <c r="H3481" i="3"/>
  <c r="H1215" i="3"/>
  <c r="H7242" i="3"/>
  <c r="H6028" i="3"/>
  <c r="H119" i="3"/>
  <c r="H7811" i="3"/>
  <c r="H666" i="3"/>
  <c r="H3482" i="3"/>
  <c r="H6029" i="3"/>
  <c r="H3483" i="3"/>
  <c r="H1216" i="3"/>
  <c r="H7023" i="3"/>
  <c r="H3484" i="3"/>
  <c r="H3485" i="3"/>
  <c r="H1217" i="3"/>
  <c r="H7024" i="3"/>
  <c r="H1218" i="3"/>
  <c r="H120" i="3"/>
  <c r="H3486" i="3"/>
  <c r="H667" i="3"/>
  <c r="H3487" i="3"/>
  <c r="H7243" i="3"/>
  <c r="H2417" i="3"/>
  <c r="H4197" i="3"/>
  <c r="H5826" i="3"/>
  <c r="H3488" i="3"/>
  <c r="H6843" i="3"/>
  <c r="H121" i="3"/>
  <c r="H3489" i="3"/>
  <c r="H4198" i="3"/>
  <c r="H122" i="3"/>
  <c r="H4787" i="3"/>
  <c r="H3490" i="3"/>
  <c r="H1219" i="3"/>
  <c r="H668" i="3"/>
  <c r="H7025" i="3"/>
  <c r="H7812" i="3"/>
  <c r="H4788" i="3"/>
  <c r="H7026" i="3"/>
  <c r="H3491" i="3"/>
  <c r="H669" i="3"/>
  <c r="H3492" i="3"/>
  <c r="H6538" i="3"/>
  <c r="H3493" i="3"/>
  <c r="H3494" i="3"/>
  <c r="H123" i="3"/>
  <c r="H7244" i="3"/>
  <c r="H1849" i="3"/>
  <c r="H379" i="3"/>
  <c r="H6844" i="3"/>
  <c r="H4199" i="3"/>
  <c r="H3495" i="3"/>
  <c r="H7245" i="3"/>
  <c r="H6030" i="3"/>
  <c r="H4789" i="3"/>
  <c r="H1220" i="3"/>
  <c r="H4790" i="3"/>
  <c r="H7027" i="3"/>
  <c r="H3496" i="3"/>
  <c r="H2159" i="3"/>
  <c r="H2160" i="3"/>
  <c r="H124" i="3"/>
  <c r="H4200" i="3"/>
  <c r="H1221" i="3"/>
  <c r="H4791" i="3"/>
  <c r="H670" i="3"/>
  <c r="H6539" i="3"/>
  <c r="H7813" i="3"/>
  <c r="H6031" i="3"/>
  <c r="H671" i="3"/>
  <c r="H4315" i="3"/>
  <c r="H1222" i="3"/>
  <c r="H7814" i="3"/>
  <c r="H7246" i="3"/>
  <c r="H4201" i="3"/>
  <c r="H125" i="3"/>
  <c r="H1223" i="3"/>
  <c r="H6540" i="3"/>
  <c r="H4792" i="3"/>
  <c r="H6032" i="3"/>
  <c r="H3497" i="3"/>
  <c r="H672" i="3"/>
  <c r="H7028" i="3"/>
  <c r="H7029" i="3"/>
  <c r="H7291" i="3"/>
  <c r="H673" i="3"/>
  <c r="H126" i="3"/>
  <c r="H3498" i="3"/>
  <c r="H6845" i="3"/>
  <c r="H3499" i="3"/>
  <c r="H1850" i="3"/>
  <c r="H7815" i="3"/>
  <c r="H1224" i="3"/>
  <c r="H7816" i="3"/>
  <c r="H5827" i="3"/>
  <c r="H674" i="3"/>
  <c r="H1225" i="3"/>
  <c r="H6846" i="3"/>
  <c r="H675" i="3"/>
  <c r="H2161" i="3"/>
  <c r="H4793" i="3"/>
  <c r="H6847" i="3"/>
  <c r="H1226" i="3"/>
  <c r="H3500" i="3"/>
  <c r="H2162" i="3"/>
  <c r="H1851" i="3"/>
  <c r="H1852" i="3"/>
  <c r="H7817" i="3"/>
  <c r="H7818" i="3"/>
  <c r="H3501" i="3"/>
  <c r="H6033" i="3"/>
  <c r="H1683" i="3"/>
  <c r="H6034" i="3"/>
  <c r="H676" i="3"/>
  <c r="H3502" i="3"/>
  <c r="H3503" i="3"/>
  <c r="H1227" i="3"/>
  <c r="H1228" i="3"/>
  <c r="H6035" i="3"/>
  <c r="H2418" i="3"/>
  <c r="H127" i="3"/>
  <c r="H3504" i="3"/>
  <c r="H3505" i="3"/>
  <c r="H4316" i="3"/>
  <c r="H677" i="3"/>
  <c r="H4794" i="3"/>
  <c r="H3506" i="3"/>
  <c r="H678" i="3"/>
  <c r="H128" i="3"/>
  <c r="H7819" i="3"/>
  <c r="H4795" i="3"/>
  <c r="H4796" i="3"/>
  <c r="H4797" i="3"/>
  <c r="H3507" i="3"/>
  <c r="H6036" i="3"/>
  <c r="H7820" i="3"/>
  <c r="H7821" i="3"/>
  <c r="H7822" i="3"/>
  <c r="H129" i="3"/>
  <c r="H3508" i="3"/>
  <c r="H1229" i="3"/>
  <c r="H4798" i="3"/>
  <c r="H7823" i="3"/>
  <c r="H6037" i="3"/>
  <c r="H1230" i="3"/>
  <c r="H7824" i="3"/>
  <c r="H4799" i="3"/>
  <c r="H5828" i="3"/>
  <c r="H3509" i="3"/>
  <c r="H3510" i="3"/>
  <c r="H679" i="3"/>
  <c r="H680" i="3"/>
  <c r="H1231" i="3"/>
  <c r="H3511" i="3"/>
  <c r="H5829" i="3"/>
  <c r="H681" i="3"/>
  <c r="H6541" i="3"/>
  <c r="H3512" i="3"/>
  <c r="H6038" i="3"/>
  <c r="H4317" i="3"/>
  <c r="H3513" i="3"/>
  <c r="H1232" i="3"/>
  <c r="H4800" i="3"/>
  <c r="H3514" i="3"/>
  <c r="H6542" i="3"/>
  <c r="H7292" i="3"/>
  <c r="H380" i="3"/>
  <c r="H3515" i="3"/>
  <c r="H7030" i="3"/>
  <c r="H3516" i="3"/>
  <c r="H3517" i="3"/>
  <c r="H3518" i="3"/>
  <c r="H3519" i="3"/>
  <c r="H2163" i="3"/>
  <c r="H3520" i="3"/>
  <c r="H1233" i="3"/>
  <c r="H3521" i="3"/>
  <c r="H7031" i="3"/>
  <c r="H3522" i="3"/>
  <c r="H3523" i="3"/>
  <c r="H2164" i="3"/>
  <c r="H4801" i="3"/>
  <c r="H5830" i="3"/>
  <c r="H6039" i="3"/>
  <c r="H1853" i="3"/>
  <c r="H4802" i="3"/>
  <c r="H682" i="3"/>
  <c r="H3524" i="3"/>
  <c r="H2165" i="3"/>
  <c r="H4202" i="3"/>
  <c r="H3525" i="3"/>
  <c r="H1234" i="3"/>
  <c r="H4803" i="3"/>
  <c r="H4804" i="3"/>
  <c r="H4805" i="3"/>
  <c r="H1684" i="3"/>
  <c r="H2166" i="3"/>
  <c r="H1854" i="3"/>
  <c r="H683" i="3"/>
  <c r="H1235" i="3"/>
  <c r="H6848" i="3"/>
  <c r="H3526" i="3"/>
  <c r="H2167" i="3"/>
  <c r="H3527" i="3"/>
  <c r="H6040" i="3"/>
  <c r="H130" i="3"/>
  <c r="H4806" i="3"/>
  <c r="H3528" i="3"/>
  <c r="H684" i="3"/>
  <c r="H7032" i="3"/>
  <c r="H381" i="3"/>
  <c r="H3529" i="3"/>
  <c r="H6543" i="3"/>
  <c r="H6041" i="3"/>
  <c r="H1855" i="3"/>
  <c r="H5831" i="3"/>
  <c r="H382" i="3"/>
  <c r="H1236" i="3"/>
  <c r="H131" i="3"/>
  <c r="H7033" i="3"/>
  <c r="H132" i="3"/>
  <c r="H1856" i="3"/>
  <c r="H4807" i="3"/>
  <c r="H4808" i="3"/>
  <c r="H383" i="3"/>
  <c r="H5832" i="3"/>
  <c r="H4809" i="3"/>
  <c r="H7247" i="3"/>
  <c r="H3530" i="3"/>
  <c r="H6544" i="3"/>
  <c r="H5833" i="3"/>
  <c r="H3531" i="3"/>
  <c r="H6042" i="3"/>
  <c r="H7825" i="3"/>
  <c r="H1857" i="3"/>
  <c r="H1237" i="3"/>
  <c r="H3532" i="3"/>
  <c r="H1858" i="3"/>
  <c r="H1238" i="3"/>
  <c r="H3533" i="3"/>
  <c r="H3534" i="3"/>
  <c r="H384" i="3"/>
  <c r="H1239" i="3"/>
  <c r="H4203" i="3"/>
  <c r="H2168" i="3"/>
  <c r="H4810" i="3"/>
  <c r="H3535" i="3"/>
  <c r="H385" i="3"/>
  <c r="H3536" i="3"/>
  <c r="H4811" i="3"/>
  <c r="H4204" i="3"/>
  <c r="H133" i="3"/>
  <c r="H1685" i="3"/>
  <c r="H3537" i="3"/>
  <c r="H4812" i="3"/>
  <c r="H6849" i="3"/>
  <c r="H3538" i="3"/>
  <c r="H4813" i="3"/>
  <c r="H5834" i="3"/>
  <c r="H1240" i="3"/>
  <c r="H3539" i="3"/>
  <c r="H3540" i="3"/>
  <c r="H685" i="3"/>
  <c r="H7248" i="3"/>
  <c r="H6043" i="3"/>
  <c r="H3541" i="3"/>
  <c r="H2169" i="3"/>
  <c r="H6850" i="3"/>
  <c r="H3542" i="3"/>
  <c r="H7293" i="3"/>
  <c r="H4814" i="3"/>
  <c r="H3543" i="3"/>
  <c r="H7826" i="3"/>
  <c r="H3544" i="3"/>
  <c r="H4815" i="3"/>
  <c r="H1859" i="3"/>
  <c r="H4816" i="3"/>
  <c r="H3545" i="3"/>
  <c r="H4205" i="3"/>
  <c r="H3546" i="3"/>
  <c r="H1241" i="3"/>
  <c r="H2419" i="3"/>
  <c r="H1860" i="3"/>
  <c r="H3547" i="3"/>
  <c r="H1242" i="3"/>
  <c r="H6851" i="3"/>
  <c r="H1243" i="3"/>
  <c r="H7034" i="3"/>
  <c r="H6044" i="3"/>
  <c r="H6045" i="3"/>
  <c r="H1861" i="3"/>
  <c r="H4817" i="3"/>
  <c r="H1244" i="3"/>
  <c r="H3548" i="3"/>
  <c r="H2170" i="3"/>
  <c r="H2171" i="3"/>
  <c r="H4206" i="3"/>
  <c r="H3549" i="3"/>
  <c r="H3550" i="3"/>
  <c r="H7827" i="3"/>
  <c r="H4818" i="3"/>
  <c r="H2420" i="3"/>
  <c r="H4819" i="3"/>
  <c r="H1245" i="3"/>
  <c r="H4820" i="3"/>
  <c r="H386" i="3"/>
  <c r="H7035" i="3"/>
  <c r="H3551" i="3"/>
  <c r="H134" i="3"/>
  <c r="H6545" i="3"/>
  <c r="H5835" i="3"/>
  <c r="H686" i="3"/>
  <c r="H7249" i="3"/>
  <c r="H1246" i="3"/>
  <c r="H1247" i="3"/>
  <c r="H4318" i="3"/>
  <c r="H1686" i="3"/>
  <c r="H687" i="3"/>
  <c r="H4821" i="3"/>
  <c r="H1862" i="3"/>
  <c r="H1863" i="3"/>
  <c r="H2172" i="3"/>
  <c r="H2173" i="3"/>
  <c r="H135" i="3"/>
  <c r="H4822" i="3"/>
  <c r="H1248" i="3"/>
  <c r="H4207" i="3"/>
  <c r="H4823" i="3"/>
  <c r="H3552" i="3"/>
  <c r="H136" i="3"/>
  <c r="H3553" i="3"/>
  <c r="H7036" i="3"/>
  <c r="H1249" i="3"/>
  <c r="H4319" i="3"/>
  <c r="H1250" i="3"/>
  <c r="H1864" i="3"/>
  <c r="H7037" i="3"/>
  <c r="H3554" i="3"/>
  <c r="H2174" i="3"/>
  <c r="H7828" i="3"/>
  <c r="H3555" i="3"/>
  <c r="H7829" i="3"/>
  <c r="H4824" i="3"/>
  <c r="H3556" i="3"/>
  <c r="H7830" i="3"/>
  <c r="H387" i="3"/>
  <c r="H6546" i="3"/>
  <c r="H688" i="3"/>
  <c r="H2421" i="3"/>
  <c r="H4825" i="3"/>
  <c r="H3557" i="3"/>
  <c r="H689" i="3"/>
  <c r="H7038" i="3"/>
  <c r="H690" i="3"/>
  <c r="H4320" i="3"/>
  <c r="H6852" i="3"/>
  <c r="H3558" i="3"/>
  <c r="H3559" i="3"/>
  <c r="H137" i="3"/>
  <c r="H388" i="3"/>
  <c r="H2175" i="3"/>
  <c r="H6547" i="3"/>
  <c r="H6548" i="3"/>
  <c r="H6853" i="3"/>
  <c r="H6046" i="3"/>
  <c r="H1251" i="3"/>
  <c r="H6047" i="3"/>
  <c r="H6048" i="3"/>
  <c r="H7039" i="3"/>
  <c r="H4826" i="3"/>
  <c r="H3560" i="3"/>
  <c r="H7831" i="3"/>
  <c r="H3561" i="3"/>
  <c r="H4827" i="3"/>
  <c r="H2422" i="3"/>
  <c r="H4828" i="3"/>
  <c r="H691" i="3"/>
  <c r="H7250" i="3"/>
  <c r="H3562" i="3"/>
  <c r="H6049" i="3"/>
  <c r="H4829" i="3"/>
  <c r="H5836" i="3"/>
  <c r="H3563" i="3"/>
  <c r="H1252" i="3"/>
  <c r="H7040" i="3"/>
  <c r="H4830" i="3"/>
  <c r="H692" i="3"/>
  <c r="H1253" i="3"/>
  <c r="H7832" i="3"/>
  <c r="H3564" i="3"/>
  <c r="H4831" i="3"/>
  <c r="H3565" i="3"/>
  <c r="H1254" i="3"/>
  <c r="H7833" i="3"/>
  <c r="H7041" i="3"/>
  <c r="H4832" i="3"/>
  <c r="H1865" i="3"/>
  <c r="H7834" i="3"/>
  <c r="H3566" i="3"/>
  <c r="H4833" i="3"/>
  <c r="H6050" i="3"/>
  <c r="H4834" i="3"/>
  <c r="H6854" i="3"/>
  <c r="H138" i="3"/>
  <c r="H1255" i="3"/>
  <c r="H7835" i="3"/>
  <c r="H1866" i="3"/>
  <c r="H7042" i="3"/>
  <c r="H1256" i="3"/>
  <c r="H6549" i="3"/>
  <c r="H693" i="3"/>
  <c r="H6051" i="3"/>
  <c r="H7043" i="3"/>
  <c r="H2176" i="3"/>
  <c r="H3567" i="3"/>
  <c r="H1257" i="3"/>
  <c r="H2423" i="3"/>
  <c r="H3568" i="3"/>
  <c r="H7044" i="3"/>
  <c r="H6052" i="3"/>
  <c r="H139" i="3"/>
  <c r="H4835" i="3"/>
  <c r="H3569" i="3"/>
  <c r="H4836" i="3"/>
  <c r="H4837" i="3"/>
  <c r="H3570" i="3"/>
  <c r="H3571" i="3"/>
  <c r="H7045" i="3"/>
  <c r="H694" i="3"/>
  <c r="H695" i="3"/>
  <c r="H2424" i="3"/>
  <c r="H3572" i="3"/>
  <c r="H3573" i="3"/>
  <c r="H3574" i="3"/>
  <c r="H2177" i="3"/>
  <c r="H6053" i="3"/>
  <c r="H3575" i="3"/>
  <c r="H1258" i="3"/>
  <c r="H3576" i="3"/>
  <c r="H4321" i="3"/>
  <c r="H3577" i="3"/>
  <c r="H140" i="3"/>
  <c r="H4208" i="3"/>
  <c r="H7046" i="3"/>
  <c r="H1259" i="3"/>
  <c r="H4838" i="3"/>
  <c r="H389" i="3"/>
  <c r="H3578" i="3"/>
  <c r="H1260" i="3"/>
  <c r="H3579" i="3"/>
  <c r="H1261" i="3"/>
  <c r="H6550" i="3"/>
  <c r="H1867" i="3"/>
  <c r="H2178" i="3"/>
  <c r="H6551" i="3"/>
  <c r="H4839" i="3"/>
  <c r="H3580" i="3"/>
  <c r="H6552" i="3"/>
  <c r="H6553" i="3"/>
  <c r="H1262" i="3"/>
  <c r="H4322" i="3"/>
  <c r="H3581" i="3"/>
  <c r="H6554" i="3"/>
  <c r="H4840" i="3"/>
  <c r="H7251" i="3"/>
  <c r="H4841" i="3"/>
  <c r="H5837" i="3"/>
  <c r="H1868" i="3"/>
  <c r="H7836" i="3"/>
  <c r="H4842" i="3"/>
  <c r="H696" i="3"/>
  <c r="H390" i="3"/>
  <c r="H4843" i="3"/>
  <c r="H4844" i="3"/>
  <c r="H5838" i="3"/>
  <c r="H2179" i="3"/>
  <c r="H2180" i="3"/>
  <c r="H2181" i="3"/>
  <c r="H3582" i="3"/>
  <c r="H3583" i="3"/>
  <c r="H141" i="3"/>
  <c r="H3584" i="3"/>
  <c r="H3585" i="3"/>
  <c r="H1263" i="3"/>
  <c r="H4845" i="3"/>
  <c r="H2425" i="3"/>
  <c r="H142" i="3"/>
  <c r="H1869" i="3"/>
  <c r="H1264" i="3"/>
  <c r="H6054" i="3"/>
  <c r="H3586" i="3"/>
  <c r="H1265" i="3"/>
  <c r="H4846" i="3"/>
  <c r="H4847" i="3"/>
  <c r="H1266" i="3"/>
  <c r="H1267" i="3"/>
  <c r="H4848" i="3"/>
  <c r="H7837" i="3"/>
  <c r="H7047" i="3"/>
  <c r="H7252" i="3"/>
  <c r="H3587" i="3"/>
  <c r="H4849" i="3"/>
  <c r="H3588" i="3"/>
  <c r="H3589" i="3"/>
  <c r="H2426" i="3"/>
  <c r="H6555" i="3"/>
  <c r="H697" i="3"/>
  <c r="H7048" i="3"/>
  <c r="H7294" i="3"/>
  <c r="H7838" i="3"/>
  <c r="H2182" i="3"/>
  <c r="H4209" i="3"/>
  <c r="H4323" i="3"/>
  <c r="H4850" i="3"/>
  <c r="H7049" i="3"/>
  <c r="H3590" i="3"/>
  <c r="H143" i="3"/>
  <c r="H6556" i="3"/>
  <c r="H6055" i="3"/>
  <c r="H3591" i="3"/>
  <c r="H2183" i="3"/>
  <c r="H4851" i="3"/>
  <c r="H1268" i="3"/>
  <c r="H3592" i="3"/>
  <c r="H6056" i="3"/>
  <c r="H3593" i="3"/>
  <c r="H6855" i="3"/>
  <c r="H6057" i="3"/>
  <c r="H7839" i="3"/>
  <c r="H4852" i="3"/>
  <c r="H6058" i="3"/>
  <c r="H7253" i="3"/>
  <c r="H4853" i="3"/>
  <c r="H3594" i="3"/>
  <c r="H391" i="3"/>
  <c r="H4854" i="3"/>
  <c r="H1269" i="3"/>
  <c r="H144" i="3"/>
  <c r="H7840" i="3"/>
  <c r="H4855" i="3"/>
  <c r="H7050" i="3"/>
  <c r="H6059" i="3"/>
  <c r="H3595" i="3"/>
  <c r="H3596" i="3"/>
  <c r="H4856" i="3"/>
  <c r="H6856" i="3"/>
  <c r="H145" i="3"/>
  <c r="H1270" i="3"/>
  <c r="H5839" i="3"/>
  <c r="H1870" i="3"/>
  <c r="H3597" i="3"/>
  <c r="H4857" i="3"/>
  <c r="H3598" i="3"/>
  <c r="H6060" i="3"/>
  <c r="H3599" i="3"/>
  <c r="H7841" i="3"/>
  <c r="H1271" i="3"/>
  <c r="H7051" i="3"/>
  <c r="H6557" i="3"/>
  <c r="H7842" i="3"/>
  <c r="H4210" i="3"/>
  <c r="H3600" i="3"/>
  <c r="H1871" i="3"/>
  <c r="H4858" i="3"/>
  <c r="H4859" i="3"/>
  <c r="H6061" i="3"/>
  <c r="H3601" i="3"/>
  <c r="H4860" i="3"/>
  <c r="H4861" i="3"/>
  <c r="H3602" i="3"/>
  <c r="H4862" i="3"/>
  <c r="H698" i="3"/>
  <c r="H4863" i="3"/>
  <c r="H4324" i="3"/>
  <c r="H3603" i="3"/>
  <c r="H7254" i="3"/>
  <c r="H3604" i="3"/>
  <c r="H1272" i="3"/>
  <c r="H1872" i="3"/>
  <c r="H1273" i="3"/>
  <c r="H4211" i="3"/>
  <c r="H4212" i="3"/>
  <c r="H6062" i="3"/>
  <c r="H2427" i="3"/>
  <c r="H3605" i="3"/>
  <c r="H392" i="3"/>
  <c r="H4325" i="3"/>
  <c r="H699" i="3"/>
  <c r="H7052" i="3"/>
  <c r="H7053" i="3"/>
  <c r="H1274" i="3"/>
  <c r="H3606" i="3"/>
  <c r="H6063" i="3"/>
  <c r="H393" i="3"/>
  <c r="H1275" i="3"/>
  <c r="H2184" i="3"/>
  <c r="H6558" i="3"/>
  <c r="H394" i="3"/>
  <c r="H7054" i="3"/>
  <c r="H4864" i="3"/>
  <c r="H4865" i="3"/>
  <c r="H3607" i="3"/>
  <c r="H3608" i="3"/>
  <c r="H6559" i="3"/>
  <c r="H4866" i="3"/>
  <c r="H2185" i="3"/>
  <c r="H4867" i="3"/>
  <c r="H700" i="3"/>
  <c r="H3609" i="3"/>
  <c r="H146" i="3"/>
  <c r="H3610" i="3"/>
  <c r="H395" i="3"/>
  <c r="H3611" i="3"/>
  <c r="H4868" i="3"/>
  <c r="H4869" i="3"/>
  <c r="H4870" i="3"/>
  <c r="H4871" i="3"/>
  <c r="H1276" i="3"/>
  <c r="H701" i="3"/>
  <c r="H3612" i="3"/>
  <c r="H7055" i="3"/>
  <c r="H4872" i="3"/>
  <c r="H6857" i="3"/>
  <c r="H147" i="3"/>
  <c r="H6858" i="3"/>
  <c r="H396" i="3"/>
  <c r="H3613" i="3"/>
  <c r="H2186" i="3"/>
  <c r="H4873" i="3"/>
  <c r="H1687" i="3"/>
  <c r="H7843" i="3"/>
  <c r="H7295" i="3"/>
  <c r="H7844" i="3"/>
  <c r="H2428" i="3"/>
  <c r="H2429" i="3"/>
  <c r="H4874" i="3"/>
  <c r="H4326" i="3"/>
  <c r="H148" i="3"/>
  <c r="H4875" i="3"/>
  <c r="H1277" i="3"/>
  <c r="H1278" i="3"/>
  <c r="H4876" i="3"/>
  <c r="H4877" i="3"/>
  <c r="H4213" i="3"/>
  <c r="H3614" i="3"/>
  <c r="H7845" i="3"/>
  <c r="H7255" i="3"/>
  <c r="H1688" i="3"/>
  <c r="H149" i="3"/>
  <c r="H1873" i="3"/>
  <c r="H702" i="3"/>
  <c r="H3615" i="3"/>
  <c r="H2430" i="3"/>
  <c r="H4878" i="3"/>
  <c r="H4879" i="3"/>
  <c r="H703" i="3"/>
  <c r="H4214" i="3"/>
  <c r="H6560" i="3"/>
  <c r="H7056" i="3"/>
  <c r="H150" i="3"/>
  <c r="H3616" i="3"/>
  <c r="H6561" i="3"/>
  <c r="H6064" i="3"/>
  <c r="H6065" i="3"/>
  <c r="H151" i="3"/>
  <c r="H4327" i="3"/>
  <c r="H3617" i="3"/>
  <c r="H1279" i="3"/>
  <c r="H4880" i="3"/>
  <c r="H4881" i="3"/>
  <c r="H2187" i="3"/>
  <c r="H4882" i="3"/>
  <c r="H4883" i="3"/>
  <c r="H6066" i="3"/>
  <c r="H4215" i="3"/>
  <c r="H4328" i="3"/>
  <c r="H6067" i="3"/>
  <c r="H6562" i="3"/>
  <c r="H4884" i="3"/>
  <c r="H4216" i="3"/>
  <c r="H7846" i="3"/>
  <c r="H1689" i="3"/>
  <c r="H4885" i="3"/>
  <c r="H3618" i="3"/>
  <c r="H3619" i="3"/>
  <c r="H4886" i="3"/>
  <c r="H4329" i="3"/>
  <c r="H7847" i="3"/>
  <c r="H4217" i="3"/>
  <c r="H6563" i="3"/>
  <c r="H6859" i="3"/>
  <c r="H4887" i="3"/>
  <c r="H3620" i="3"/>
  <c r="H1280" i="3"/>
  <c r="H5840" i="3"/>
  <c r="H6860" i="3"/>
  <c r="H152" i="3"/>
  <c r="H4888" i="3"/>
  <c r="H6068" i="3"/>
  <c r="H704" i="3"/>
  <c r="H153" i="3"/>
  <c r="H3621" i="3"/>
  <c r="H6861" i="3"/>
  <c r="H705" i="3"/>
  <c r="H6564" i="3"/>
  <c r="H3622" i="3"/>
  <c r="H154" i="3"/>
  <c r="H7848" i="3"/>
  <c r="H7057" i="3"/>
  <c r="H2188" i="3"/>
  <c r="H4330" i="3"/>
  <c r="H4218" i="3"/>
  <c r="H4889" i="3"/>
  <c r="H7849" i="3"/>
  <c r="H397" i="3"/>
  <c r="H2189" i="3"/>
  <c r="H4890" i="3"/>
  <c r="H4891" i="3"/>
  <c r="H706" i="3"/>
  <c r="H7058" i="3"/>
  <c r="H7850" i="3"/>
  <c r="H4892" i="3"/>
  <c r="H4893" i="3"/>
  <c r="H7059" i="3"/>
  <c r="H707" i="3"/>
  <c r="H2431" i="3"/>
  <c r="H7060" i="3"/>
  <c r="H3623" i="3"/>
  <c r="H2190" i="3"/>
  <c r="H1874" i="3"/>
  <c r="H708" i="3"/>
  <c r="H3624" i="3"/>
  <c r="H3625" i="3"/>
  <c r="H4894" i="3"/>
  <c r="H7061" i="3"/>
  <c r="H398" i="3"/>
  <c r="H7296" i="3"/>
  <c r="H2191" i="3"/>
  <c r="H1281" i="3"/>
  <c r="H2192" i="3"/>
  <c r="H4895" i="3"/>
  <c r="H155" i="3"/>
  <c r="H3626" i="3"/>
  <c r="H1282" i="3"/>
  <c r="H7851" i="3"/>
  <c r="H2193" i="3"/>
  <c r="H4331" i="3"/>
  <c r="H3627" i="3"/>
  <c r="H3628" i="3"/>
  <c r="H7852" i="3"/>
  <c r="H4896" i="3"/>
  <c r="H709" i="3"/>
  <c r="H3629" i="3"/>
  <c r="H4897" i="3"/>
  <c r="H156" i="3"/>
  <c r="H7062" i="3"/>
  <c r="H3630" i="3"/>
  <c r="H4898" i="3"/>
  <c r="H4899" i="3"/>
  <c r="H4332" i="3"/>
  <c r="H1283" i="3"/>
  <c r="H1284" i="3"/>
  <c r="H4900" i="3"/>
  <c r="H7853" i="3"/>
  <c r="H6069" i="3"/>
  <c r="H6565" i="3"/>
  <c r="H4901" i="3"/>
  <c r="H6070" i="3"/>
  <c r="H710" i="3"/>
  <c r="H1285" i="3"/>
  <c r="H6862" i="3"/>
  <c r="H6566" i="3"/>
  <c r="H7854" i="3"/>
  <c r="H7063" i="3"/>
  <c r="H6071" i="3"/>
  <c r="H2432" i="3"/>
  <c r="H4333" i="3"/>
  <c r="H3631" i="3"/>
  <c r="H3632" i="3"/>
  <c r="H3633" i="3"/>
  <c r="H1875" i="3"/>
  <c r="H4902" i="3"/>
  <c r="H7855" i="3"/>
  <c r="H4903" i="3"/>
  <c r="H711" i="3"/>
  <c r="H4334" i="3"/>
  <c r="H1286" i="3"/>
  <c r="H1287" i="3"/>
  <c r="H6567" i="3"/>
  <c r="H712" i="3"/>
  <c r="H4904" i="3"/>
  <c r="H157" i="3"/>
  <c r="H3634" i="3"/>
  <c r="H6863" i="3"/>
  <c r="H158" i="3"/>
  <c r="H399" i="3"/>
  <c r="H2194" i="3"/>
  <c r="H713" i="3"/>
  <c r="H6072" i="3"/>
  <c r="H1288" i="3"/>
  <c r="H3635" i="3"/>
  <c r="H7297" i="3"/>
  <c r="H7856" i="3"/>
  <c r="H4905" i="3"/>
  <c r="H6073" i="3"/>
  <c r="H1289" i="3"/>
  <c r="H159" i="3"/>
  <c r="H7064" i="3"/>
  <c r="H2195" i="3"/>
  <c r="H6568" i="3"/>
  <c r="H4906" i="3"/>
  <c r="H1876" i="3"/>
  <c r="H4907" i="3"/>
  <c r="H6074" i="3"/>
  <c r="H4219" i="3"/>
  <c r="H4908" i="3"/>
  <c r="H4909" i="3"/>
  <c r="H6075" i="3"/>
  <c r="H1290" i="3"/>
  <c r="H7298" i="3"/>
  <c r="H2196" i="3"/>
  <c r="H7065" i="3"/>
  <c r="H400" i="3"/>
  <c r="H4335" i="3"/>
  <c r="H714" i="3"/>
  <c r="H160" i="3"/>
  <c r="H1291" i="3"/>
  <c r="H6864" i="3"/>
  <c r="H715" i="3"/>
  <c r="H161" i="3"/>
  <c r="H716" i="3"/>
  <c r="H717" i="3"/>
  <c r="H3636" i="3"/>
  <c r="H2197" i="3"/>
  <c r="H6569" i="3"/>
  <c r="H4910" i="3"/>
  <c r="H1877" i="3"/>
  <c r="H7066" i="3"/>
  <c r="H6570" i="3"/>
  <c r="H718" i="3"/>
  <c r="H2433" i="3"/>
  <c r="H7857" i="3"/>
  <c r="H4911" i="3"/>
  <c r="H5841" i="3"/>
  <c r="H4912" i="3"/>
  <c r="H6076" i="3"/>
  <c r="H719" i="3"/>
  <c r="H6077" i="3"/>
  <c r="H3637" i="3"/>
  <c r="H3638" i="3"/>
  <c r="H1292" i="3"/>
  <c r="H4913" i="3"/>
  <c r="H401" i="3"/>
  <c r="H7858" i="3"/>
  <c r="H7859" i="3"/>
  <c r="H162" i="3"/>
  <c r="H3639" i="3"/>
  <c r="H720" i="3"/>
  <c r="H7067" i="3"/>
  <c r="H721" i="3"/>
  <c r="H7068" i="3"/>
  <c r="H3640" i="3"/>
  <c r="H4914" i="3"/>
  <c r="H4915" i="3"/>
  <c r="H7069" i="3"/>
  <c r="H2198" i="3"/>
  <c r="H4916" i="3"/>
  <c r="H7070" i="3"/>
  <c r="H7071" i="3"/>
  <c r="H4917" i="3"/>
  <c r="H7072" i="3"/>
  <c r="H3641" i="3"/>
  <c r="H2199" i="3"/>
  <c r="H722" i="3"/>
  <c r="H163" i="3"/>
  <c r="H402" i="3"/>
  <c r="H723" i="3"/>
  <c r="H6078" i="3"/>
  <c r="H3642" i="3"/>
  <c r="H1293" i="3"/>
  <c r="H1878" i="3"/>
  <c r="H724" i="3"/>
  <c r="H1879" i="3"/>
  <c r="H7073" i="3"/>
  <c r="H3643" i="3"/>
  <c r="H1690" i="3"/>
  <c r="H3644" i="3"/>
  <c r="H725" i="3"/>
  <c r="H3645" i="3"/>
  <c r="H3646" i="3"/>
  <c r="H7074" i="3"/>
  <c r="H3647" i="3"/>
  <c r="H3648" i="3"/>
  <c r="H3649" i="3"/>
  <c r="H3650" i="3"/>
  <c r="H6079" i="3"/>
  <c r="H3651" i="3"/>
  <c r="H2200" i="3"/>
  <c r="H1294" i="3"/>
  <c r="H3652" i="3"/>
  <c r="H6080" i="3"/>
  <c r="H4918" i="3"/>
  <c r="H7299" i="3"/>
  <c r="H726" i="3"/>
  <c r="H4919" i="3"/>
  <c r="H6571" i="3"/>
  <c r="H403" i="3"/>
  <c r="H2201" i="3"/>
  <c r="H4920" i="3"/>
  <c r="H4921" i="3"/>
  <c r="H7256" i="3"/>
  <c r="H6572" i="3"/>
  <c r="H4220" i="3"/>
  <c r="H3653" i="3"/>
  <c r="H2202" i="3"/>
  <c r="H4922" i="3"/>
  <c r="H4923" i="3"/>
  <c r="H164" i="3"/>
  <c r="H7860" i="3"/>
  <c r="H3654" i="3"/>
  <c r="H727" i="3"/>
  <c r="H7257" i="3"/>
  <c r="H3655" i="3"/>
  <c r="H1691" i="3"/>
  <c r="H6081" i="3"/>
  <c r="H7075" i="3"/>
  <c r="H4924" i="3"/>
  <c r="H6082" i="3"/>
  <c r="H4925" i="3"/>
  <c r="H6083" i="3"/>
  <c r="H2434" i="3"/>
  <c r="H4221" i="3"/>
  <c r="H1295" i="3"/>
  <c r="H2203" i="3"/>
  <c r="H6084" i="3"/>
  <c r="H728" i="3"/>
  <c r="H7300" i="3"/>
  <c r="H729" i="3"/>
  <c r="H3656" i="3"/>
  <c r="H730" i="3"/>
  <c r="H731" i="3"/>
  <c r="H732" i="3"/>
  <c r="H3657" i="3"/>
  <c r="H4926" i="3"/>
  <c r="H6085" i="3"/>
  <c r="H2435" i="3"/>
  <c r="H3658" i="3"/>
  <c r="H165" i="3"/>
  <c r="H733" i="3"/>
  <c r="H3659" i="3"/>
  <c r="H4927" i="3"/>
  <c r="H1296" i="3"/>
  <c r="H4928" i="3"/>
  <c r="H2436" i="3"/>
  <c r="H3660" i="3"/>
  <c r="H734" i="3"/>
  <c r="H7076" i="3"/>
  <c r="H4929" i="3"/>
  <c r="H1297" i="3"/>
  <c r="H7861" i="3"/>
  <c r="H6086" i="3"/>
  <c r="H3661" i="3"/>
  <c r="H3662" i="3"/>
  <c r="H1692" i="3"/>
  <c r="H7077" i="3"/>
  <c r="H4930" i="3"/>
  <c r="H4931" i="3"/>
  <c r="H1298" i="3"/>
  <c r="H4932" i="3"/>
  <c r="H4933" i="3"/>
  <c r="H2204" i="3"/>
  <c r="H4934" i="3"/>
  <c r="H6087" i="3"/>
  <c r="H6865" i="3"/>
  <c r="H4935" i="3"/>
  <c r="H2437" i="3"/>
  <c r="H3663" i="3"/>
  <c r="H7078" i="3"/>
  <c r="H4936" i="3"/>
  <c r="H3664" i="3"/>
  <c r="H3665" i="3"/>
  <c r="H735" i="3"/>
  <c r="H4222" i="3"/>
  <c r="H1299" i="3"/>
  <c r="H2205" i="3"/>
  <c r="H4937" i="3"/>
  <c r="H5842" i="3"/>
  <c r="H2206" i="3"/>
  <c r="H4938" i="3"/>
  <c r="H736" i="3"/>
  <c r="H3666" i="3"/>
  <c r="H2207" i="3"/>
  <c r="H737" i="3"/>
  <c r="H3667" i="3"/>
  <c r="H3668" i="3"/>
  <c r="H3669" i="3"/>
  <c r="H4939" i="3"/>
  <c r="H3670" i="3"/>
  <c r="H1300" i="3"/>
  <c r="H1301" i="3"/>
  <c r="H4940" i="3"/>
  <c r="H3671" i="3"/>
  <c r="H7301" i="3"/>
  <c r="H3672" i="3"/>
  <c r="H3673" i="3"/>
  <c r="H4941" i="3"/>
  <c r="H4942" i="3"/>
  <c r="H7258" i="3"/>
  <c r="H3674" i="3"/>
  <c r="H1302" i="3"/>
  <c r="H4943" i="3"/>
  <c r="H1303" i="3"/>
  <c r="H2208" i="3"/>
  <c r="H4944" i="3"/>
  <c r="H738" i="3"/>
  <c r="H2438" i="3"/>
  <c r="H2209" i="3"/>
  <c r="H3675" i="3"/>
  <c r="H2210" i="3"/>
  <c r="H6866" i="3"/>
  <c r="H739" i="3"/>
  <c r="H4336" i="3"/>
  <c r="H2211" i="3"/>
  <c r="H6573" i="3"/>
  <c r="H1693" i="3"/>
  <c r="H4945" i="3"/>
  <c r="H4946" i="3"/>
  <c r="H4947" i="3"/>
  <c r="H4337" i="3"/>
  <c r="H3676" i="3"/>
  <c r="H166" i="3"/>
  <c r="H4948" i="3"/>
  <c r="H4949" i="3"/>
  <c r="H7079" i="3"/>
  <c r="H4338" i="3"/>
  <c r="H2212" i="3"/>
  <c r="H4950" i="3"/>
  <c r="H2439" i="3"/>
  <c r="H3677" i="3"/>
  <c r="H7259" i="3"/>
  <c r="H740" i="3"/>
  <c r="H6088" i="3"/>
  <c r="H3678" i="3"/>
  <c r="H1304" i="3"/>
  <c r="H7862" i="3"/>
  <c r="H2440" i="3"/>
  <c r="H4223" i="3"/>
  <c r="H2213" i="3"/>
  <c r="H4951" i="3"/>
  <c r="H4952" i="3"/>
  <c r="H1305" i="3"/>
  <c r="H741" i="3"/>
  <c r="H167" i="3"/>
  <c r="H3679" i="3"/>
  <c r="H6574" i="3"/>
  <c r="H742" i="3"/>
  <c r="H6089" i="3"/>
  <c r="H1880" i="3"/>
  <c r="H3680" i="3"/>
  <c r="H3681" i="3"/>
  <c r="H168" i="3"/>
  <c r="H1306" i="3"/>
  <c r="H743" i="3"/>
  <c r="H4339" i="3"/>
  <c r="H744" i="3"/>
  <c r="H3682" i="3"/>
  <c r="H4953" i="3"/>
  <c r="H7863" i="3"/>
  <c r="H6867" i="3"/>
  <c r="H3683" i="3"/>
  <c r="H3684" i="3"/>
  <c r="H4954" i="3"/>
  <c r="H2441" i="3"/>
  <c r="H1307" i="3"/>
  <c r="H4955" i="3"/>
  <c r="H1881" i="3"/>
  <c r="H1694" i="3"/>
  <c r="H7080" i="3"/>
  <c r="H3685" i="3"/>
  <c r="H3686" i="3"/>
  <c r="H3687" i="3"/>
  <c r="H1308" i="3"/>
  <c r="H4956" i="3"/>
  <c r="H4957" i="3"/>
  <c r="H6090" i="3"/>
  <c r="H3688" i="3"/>
  <c r="H1309" i="3"/>
  <c r="H2214" i="3"/>
  <c r="H4958" i="3"/>
  <c r="H6091" i="3"/>
  <c r="H3689" i="3"/>
  <c r="H4959" i="3"/>
  <c r="H2442" i="3"/>
  <c r="H169" i="3"/>
  <c r="H7081" i="3"/>
  <c r="H3690" i="3"/>
  <c r="H6868" i="3"/>
  <c r="H3691" i="3"/>
  <c r="H3692" i="3"/>
  <c r="H7864" i="3"/>
  <c r="H745" i="3"/>
  <c r="H3693" i="3"/>
  <c r="H7082" i="3"/>
  <c r="H3694" i="3"/>
  <c r="H3695" i="3"/>
  <c r="H3696" i="3"/>
  <c r="H4224" i="3"/>
  <c r="H3697" i="3"/>
  <c r="H746" i="3"/>
  <c r="H6092" i="3"/>
  <c r="H3698" i="3"/>
  <c r="H4960" i="3"/>
  <c r="H4961" i="3"/>
  <c r="H4962" i="3"/>
  <c r="H4225" i="3"/>
  <c r="H4226" i="3"/>
  <c r="H7302" i="3"/>
  <c r="H747" i="3"/>
  <c r="H7865" i="3"/>
  <c r="H748" i="3"/>
  <c r="H6093" i="3"/>
  <c r="H3699" i="3"/>
  <c r="H6094" i="3"/>
  <c r="H3700" i="3"/>
  <c r="H3701" i="3"/>
  <c r="H3702" i="3"/>
  <c r="H749" i="3"/>
  <c r="H750" i="3"/>
  <c r="H4227" i="3"/>
  <c r="H1695" i="3"/>
  <c r="H170" i="3"/>
  <c r="H1310" i="3"/>
  <c r="H4963" i="3"/>
  <c r="H4964" i="3"/>
  <c r="H1311" i="3"/>
  <c r="H751" i="3"/>
  <c r="H171" i="3"/>
  <c r="H1882" i="3"/>
  <c r="H404" i="3"/>
  <c r="H4965" i="3"/>
  <c r="H2215" i="3"/>
  <c r="H6095" i="3"/>
  <c r="H6096" i="3"/>
  <c r="H1312" i="3"/>
  <c r="H4966" i="3"/>
  <c r="H172" i="3"/>
  <c r="H3703" i="3"/>
  <c r="H7866" i="3"/>
  <c r="H3704" i="3"/>
  <c r="H173" i="3"/>
  <c r="H4228" i="3"/>
  <c r="H6575" i="3"/>
  <c r="H4967" i="3"/>
  <c r="H174" i="3"/>
  <c r="H3705" i="3"/>
  <c r="H1313" i="3"/>
  <c r="H1696" i="3"/>
  <c r="H3706" i="3"/>
  <c r="H1314" i="3"/>
  <c r="H6869" i="3"/>
  <c r="H1315" i="3"/>
  <c r="H7867" i="3"/>
  <c r="H6870" i="3"/>
  <c r="H4340" i="3"/>
  <c r="H6576" i="3"/>
  <c r="H5843" i="3"/>
  <c r="H405" i="3"/>
  <c r="H6871" i="3"/>
  <c r="H3707" i="3"/>
  <c r="H2443" i="3"/>
  <c r="H6872" i="3"/>
  <c r="H175" i="3"/>
  <c r="H752" i="3"/>
  <c r="H7260" i="3"/>
  <c r="H6577" i="3"/>
  <c r="H6097" i="3"/>
  <c r="H406" i="3"/>
  <c r="H3708" i="3"/>
  <c r="H4968" i="3"/>
  <c r="H7083" i="3"/>
  <c r="H7868" i="3"/>
  <c r="H4969" i="3"/>
  <c r="H6098" i="3"/>
  <c r="H4970" i="3"/>
  <c r="H753" i="3"/>
  <c r="H407" i="3"/>
  <c r="H3709" i="3"/>
  <c r="H754" i="3"/>
  <c r="H6873" i="3"/>
  <c r="H6099" i="3"/>
  <c r="H4971" i="3"/>
  <c r="H6100" i="3"/>
  <c r="H4341" i="3"/>
  <c r="H6578" i="3"/>
  <c r="H2444" i="3"/>
  <c r="H6874" i="3"/>
  <c r="H6101" i="3"/>
  <c r="H176" i="3"/>
  <c r="H2216" i="3"/>
  <c r="H4972" i="3"/>
  <c r="H4973" i="3"/>
  <c r="H6102" i="3"/>
  <c r="H2445" i="3"/>
  <c r="H4974" i="3"/>
  <c r="H3710" i="3"/>
  <c r="H1697" i="3"/>
  <c r="H7261" i="3"/>
  <c r="H3711" i="3"/>
  <c r="H4975" i="3"/>
  <c r="H4342" i="3"/>
  <c r="H4976" i="3"/>
  <c r="H4977" i="3"/>
  <c r="H3712" i="3"/>
  <c r="H1316" i="3"/>
  <c r="H4229" i="3"/>
  <c r="H3713" i="3"/>
  <c r="H3714" i="3"/>
  <c r="H4978" i="3"/>
  <c r="H4979" i="3"/>
  <c r="H4980" i="3"/>
  <c r="H4981" i="3"/>
  <c r="H177" i="3"/>
  <c r="H7084" i="3"/>
  <c r="H4343" i="3"/>
  <c r="H3715" i="3"/>
  <c r="H4982" i="3"/>
  <c r="H3716" i="3"/>
  <c r="H6103" i="3"/>
  <c r="H4230" i="3"/>
  <c r="H178" i="3"/>
  <c r="H408" i="3"/>
  <c r="H6104" i="3"/>
  <c r="H2217" i="3"/>
  <c r="H4983" i="3"/>
  <c r="H755" i="3"/>
  <c r="H179" i="3"/>
  <c r="H6579" i="3"/>
  <c r="H1698" i="3"/>
  <c r="H1699" i="3"/>
  <c r="H2446" i="3"/>
  <c r="H1317" i="3"/>
  <c r="H6875" i="3"/>
  <c r="H4231" i="3"/>
  <c r="H180" i="3"/>
  <c r="H409" i="3"/>
  <c r="H7085" i="3"/>
  <c r="H1318" i="3"/>
  <c r="H756" i="3"/>
  <c r="H757" i="3"/>
  <c r="H758" i="3"/>
  <c r="H6105" i="3"/>
  <c r="H2218" i="3"/>
  <c r="H7869" i="3"/>
  <c r="H3717" i="3"/>
  <c r="H3718" i="3"/>
  <c r="H3719" i="3"/>
  <c r="H6876" i="3"/>
  <c r="H181" i="3"/>
  <c r="H1883" i="3"/>
  <c r="H3720" i="3"/>
  <c r="H6580" i="3"/>
  <c r="H7086" i="3"/>
  <c r="H182" i="3"/>
  <c r="H4984" i="3"/>
  <c r="H1884" i="3"/>
  <c r="H7087" i="3"/>
  <c r="H4985" i="3"/>
  <c r="H4986" i="3"/>
  <c r="H3721" i="3"/>
  <c r="H2219" i="3"/>
  <c r="H4987" i="3"/>
  <c r="H4232" i="3"/>
  <c r="H3722" i="3"/>
  <c r="H1319" i="3"/>
  <c r="H6877" i="3"/>
  <c r="H3723" i="3"/>
  <c r="H6581" i="3"/>
  <c r="H4233" i="3"/>
  <c r="H3724" i="3"/>
  <c r="H5844" i="3"/>
  <c r="H759" i="3"/>
  <c r="H410" i="3"/>
  <c r="H1320" i="3"/>
  <c r="H2447" i="3"/>
  <c r="H2448" i="3"/>
  <c r="H183" i="3"/>
  <c r="H7870" i="3"/>
  <c r="H4988" i="3"/>
  <c r="H3725" i="3"/>
  <c r="H6582" i="3"/>
  <c r="H7088" i="3"/>
  <c r="H7089" i="3"/>
  <c r="H1321" i="3"/>
  <c r="H4989" i="3"/>
  <c r="H2220" i="3"/>
  <c r="H4990" i="3"/>
  <c r="H4991" i="3"/>
  <c r="H6106" i="3"/>
  <c r="H4992" i="3"/>
  <c r="H4993" i="3"/>
  <c r="H184" i="3"/>
  <c r="H6583" i="3"/>
  <c r="H4994" i="3"/>
  <c r="H5845" i="3"/>
  <c r="H185" i="3"/>
  <c r="H3726" i="3"/>
  <c r="H1700" i="3"/>
  <c r="H6584" i="3"/>
  <c r="H760" i="3"/>
  <c r="H4344" i="3"/>
  <c r="H4345" i="3"/>
  <c r="H4995" i="3"/>
  <c r="H6107" i="3"/>
  <c r="H1701" i="3"/>
  <c r="H3727" i="3"/>
  <c r="H4346" i="3"/>
  <c r="H3728" i="3"/>
  <c r="H4996" i="3"/>
  <c r="H4997" i="3"/>
  <c r="H186" i="3"/>
  <c r="H7262" i="3"/>
  <c r="H3729" i="3"/>
  <c r="H4998" i="3"/>
  <c r="H4999" i="3"/>
  <c r="H5000" i="3"/>
  <c r="H5001" i="3"/>
  <c r="H411" i="3"/>
  <c r="H4234" i="3"/>
  <c r="H6108" i="3"/>
  <c r="H4347" i="3"/>
  <c r="H5002" i="3"/>
  <c r="H761" i="3"/>
  <c r="H2221" i="3"/>
  <c r="H3730" i="3"/>
  <c r="H6109" i="3"/>
  <c r="H5003" i="3"/>
  <c r="H7303" i="3"/>
  <c r="H3731" i="3"/>
  <c r="H3732" i="3"/>
  <c r="H3733" i="3"/>
  <c r="H6585" i="3"/>
  <c r="H5004" i="3"/>
  <c r="H5005" i="3"/>
  <c r="H5846" i="3"/>
  <c r="H5006" i="3"/>
  <c r="H3734" i="3"/>
  <c r="H7871" i="3"/>
  <c r="H5007" i="3"/>
  <c r="H5008" i="3"/>
  <c r="H3735" i="3"/>
  <c r="H3736" i="3"/>
  <c r="H7090" i="3"/>
  <c r="H3737" i="3"/>
  <c r="H3738" i="3"/>
  <c r="H3739" i="3"/>
  <c r="H5009" i="3"/>
  <c r="H7091" i="3"/>
  <c r="H7092" i="3"/>
  <c r="H3740" i="3"/>
  <c r="H762" i="3"/>
  <c r="H1885" i="3"/>
  <c r="H3741" i="3"/>
  <c r="H187" i="3"/>
  <c r="H3742" i="3"/>
  <c r="H3743" i="3"/>
  <c r="H5010" i="3"/>
  <c r="H5011" i="3"/>
  <c r="H1886" i="3"/>
  <c r="H1702" i="3"/>
  <c r="H188" i="3"/>
  <c r="H4348" i="3"/>
  <c r="H2222" i="3"/>
  <c r="H5012" i="3"/>
  <c r="H5013" i="3"/>
  <c r="H1887" i="3"/>
  <c r="H5014" i="3"/>
  <c r="H189" i="3"/>
  <c r="H7093" i="3"/>
  <c r="H3744" i="3"/>
  <c r="H5015" i="3"/>
  <c r="H3745" i="3"/>
  <c r="H5016" i="3"/>
  <c r="H5017" i="3"/>
  <c r="H190" i="3"/>
  <c r="H191" i="3"/>
  <c r="H1322" i="3"/>
  <c r="H763" i="3"/>
  <c r="H6110" i="3"/>
  <c r="H7094" i="3"/>
  <c r="H1323" i="3"/>
  <c r="H192" i="3"/>
  <c r="H3746" i="3"/>
  <c r="H6586" i="3"/>
  <c r="H764" i="3"/>
  <c r="H193" i="3"/>
  <c r="H1324" i="3"/>
  <c r="H7095" i="3"/>
  <c r="H412" i="3"/>
  <c r="H2223" i="3"/>
  <c r="H765" i="3"/>
  <c r="H4235" i="3"/>
  <c r="H3747" i="3"/>
  <c r="H7096" i="3"/>
  <c r="H5018" i="3"/>
  <c r="H5019" i="3"/>
  <c r="H5020" i="3"/>
  <c r="H5021" i="3"/>
  <c r="H4236" i="3"/>
  <c r="H194" i="3"/>
  <c r="H1325" i="3"/>
  <c r="H413" i="3"/>
  <c r="H2224" i="3"/>
  <c r="H5022" i="3"/>
  <c r="H7304" i="3"/>
  <c r="H4237" i="3"/>
  <c r="H766" i="3"/>
  <c r="H4238" i="3"/>
  <c r="H767" i="3"/>
  <c r="H2449" i="3"/>
  <c r="H4239" i="3"/>
  <c r="H3748" i="3"/>
  <c r="H1326" i="3"/>
  <c r="H6587" i="3"/>
  <c r="H7872" i="3"/>
  <c r="H5023" i="3"/>
  <c r="H5024" i="3"/>
  <c r="H5025" i="3"/>
  <c r="H195" i="3"/>
  <c r="H1888" i="3"/>
  <c r="H5026" i="3"/>
  <c r="H6878" i="3"/>
  <c r="H6879" i="3"/>
  <c r="H3749" i="3"/>
  <c r="H2225" i="3"/>
  <c r="H2226" i="3"/>
  <c r="H5847" i="3"/>
  <c r="H4240" i="3"/>
  <c r="H3750" i="3"/>
  <c r="H768" i="3"/>
  <c r="H7097" i="3"/>
  <c r="H3751" i="3"/>
  <c r="H6588" i="3"/>
  <c r="H7873" i="3"/>
  <c r="H1703" i="3"/>
  <c r="H6111" i="3"/>
  <c r="H1327" i="3"/>
  <c r="H5027" i="3"/>
  <c r="H6112" i="3"/>
  <c r="H769" i="3"/>
  <c r="H5028" i="3"/>
  <c r="H2450" i="3"/>
  <c r="H2227" i="3"/>
  <c r="H196" i="3"/>
  <c r="H7098" i="3"/>
  <c r="H3752" i="3"/>
  <c r="H6589" i="3"/>
  <c r="H5029" i="3"/>
  <c r="H6880" i="3"/>
  <c r="H3753" i="3"/>
  <c r="H2228" i="3"/>
  <c r="H197" i="3"/>
  <c r="H198" i="3"/>
  <c r="H6590" i="3"/>
  <c r="H4349" i="3"/>
  <c r="H5030" i="3"/>
  <c r="H770" i="3"/>
  <c r="H1328" i="3"/>
  <c r="H1329" i="3"/>
  <c r="H1704" i="3"/>
  <c r="H2451" i="3"/>
  <c r="H2452" i="3"/>
  <c r="H7099" i="3"/>
  <c r="H7305" i="3"/>
  <c r="H3754" i="3"/>
  <c r="H7263" i="3"/>
  <c r="H3755" i="3"/>
  <c r="H199" i="3"/>
  <c r="H5031" i="3"/>
  <c r="H771" i="3"/>
  <c r="H4350" i="3"/>
  <c r="H4351" i="3"/>
  <c r="H3756" i="3"/>
  <c r="H5032" i="3"/>
  <c r="H200" i="3"/>
  <c r="H1705" i="3"/>
  <c r="H772" i="3"/>
  <c r="H1330" i="3"/>
  <c r="H2229" i="3"/>
  <c r="H201" i="3"/>
  <c r="H414" i="3"/>
  <c r="H3757" i="3"/>
  <c r="H5033" i="3"/>
  <c r="H2230" i="3"/>
  <c r="H6113" i="3"/>
  <c r="H1889" i="3"/>
  <c r="H7100" i="3"/>
  <c r="H3758" i="3"/>
  <c r="H1890" i="3"/>
  <c r="H3759" i="3"/>
  <c r="H3760" i="3"/>
  <c r="H1331" i="3"/>
  <c r="H7101" i="3"/>
  <c r="H3761" i="3"/>
  <c r="H5034" i="3"/>
  <c r="H7102" i="3"/>
  <c r="H3762" i="3"/>
  <c r="H5035" i="3"/>
  <c r="H5036" i="3"/>
  <c r="H202" i="3"/>
  <c r="H5037" i="3"/>
  <c r="H773" i="3"/>
  <c r="H2453" i="3"/>
  <c r="H774" i="3"/>
  <c r="H775" i="3"/>
  <c r="H3763" i="3"/>
  <c r="H5038" i="3"/>
  <c r="H1706" i="3"/>
  <c r="H7103" i="3"/>
  <c r="H4352" i="3"/>
  <c r="H3764" i="3"/>
  <c r="H6114" i="3"/>
  <c r="H5039" i="3"/>
  <c r="H203" i="3"/>
  <c r="H4353" i="3"/>
  <c r="H1332" i="3"/>
  <c r="H5040" i="3"/>
  <c r="H1333" i="3"/>
  <c r="H6115" i="3"/>
  <c r="H2454" i="3"/>
  <c r="H6116" i="3"/>
  <c r="H6591" i="3"/>
  <c r="H5041" i="3"/>
  <c r="H6117" i="3"/>
  <c r="H5042" i="3"/>
  <c r="H776" i="3"/>
  <c r="H6118" i="3"/>
  <c r="H204" i="3"/>
  <c r="H1334" i="3"/>
  <c r="H2231" i="3"/>
  <c r="H6119" i="3"/>
  <c r="H2455" i="3"/>
  <c r="H1891" i="3"/>
  <c r="H3765" i="3"/>
  <c r="H6120" i="3"/>
  <c r="H7306" i="3"/>
  <c r="H4354" i="3"/>
  <c r="H5043" i="3"/>
  <c r="H777" i="3"/>
  <c r="H2232" i="3"/>
  <c r="H4241" i="3"/>
  <c r="H205" i="3"/>
  <c r="H3766" i="3"/>
  <c r="H1335" i="3"/>
  <c r="H7874" i="3"/>
  <c r="H7875" i="3"/>
  <c r="H2233" i="3"/>
  <c r="H6592" i="3"/>
  <c r="H6881" i="3"/>
  <c r="H6121" i="3"/>
  <c r="H5044" i="3"/>
  <c r="H6882" i="3"/>
  <c r="H206" i="3"/>
  <c r="H3767" i="3"/>
  <c r="H5045" i="3"/>
  <c r="H778" i="3"/>
  <c r="H4242" i="3"/>
  <c r="H7104" i="3"/>
  <c r="H7105" i="3"/>
  <c r="H1892" i="3"/>
  <c r="H3768" i="3"/>
  <c r="H1707" i="3"/>
  <c r="H6593" i="3"/>
  <c r="H6122" i="3"/>
  <c r="H415" i="3"/>
  <c r="H3769" i="3"/>
  <c r="H1336" i="3"/>
  <c r="H5046" i="3"/>
  <c r="H207" i="3"/>
  <c r="H5047" i="3"/>
  <c r="H5048" i="3"/>
  <c r="H2234" i="3"/>
  <c r="H6123" i="3"/>
  <c r="H3770" i="3"/>
  <c r="H3771" i="3"/>
  <c r="H2235" i="3"/>
  <c r="H2456" i="3"/>
  <c r="H3772" i="3"/>
  <c r="H5049" i="3"/>
  <c r="H5050" i="3"/>
  <c r="H779" i="3"/>
  <c r="H3773" i="3"/>
  <c r="H1337" i="3"/>
  <c r="H7876" i="3"/>
  <c r="H780" i="3"/>
  <c r="H3774" i="3"/>
  <c r="H5051" i="3"/>
  <c r="H1893" i="3"/>
  <c r="H5052" i="3"/>
  <c r="H6124" i="3"/>
  <c r="H2457" i="3"/>
  <c r="H3775" i="3"/>
  <c r="H5053" i="3"/>
  <c r="H5054" i="3"/>
  <c r="H6594" i="3"/>
  <c r="H5055" i="3"/>
  <c r="H3776" i="3"/>
  <c r="H1894" i="3"/>
  <c r="H2236" i="3"/>
  <c r="H5056" i="3"/>
  <c r="H6125" i="3"/>
  <c r="H2237" i="3"/>
  <c r="H4243" i="3"/>
  <c r="H5057" i="3"/>
  <c r="H5058" i="3"/>
  <c r="H6595" i="3"/>
  <c r="H5059" i="3"/>
  <c r="H5060" i="3"/>
  <c r="H6126" i="3"/>
  <c r="H3777" i="3"/>
  <c r="H5061" i="3"/>
  <c r="H5062" i="3"/>
  <c r="H781" i="3"/>
  <c r="H208" i="3"/>
  <c r="H7106" i="3"/>
  <c r="H2238" i="3"/>
  <c r="H5063" i="3"/>
  <c r="H6127" i="3"/>
  <c r="H3778" i="3"/>
  <c r="H3779" i="3"/>
  <c r="H5064" i="3"/>
  <c r="H2458" i="3"/>
  <c r="H209" i="3"/>
  <c r="H2459" i="3"/>
  <c r="H4244" i="3"/>
  <c r="H416" i="3"/>
  <c r="H3780" i="3"/>
  <c r="H6596" i="3"/>
  <c r="H7307" i="3"/>
  <c r="H3781" i="3"/>
  <c r="H7877" i="3"/>
  <c r="H3782" i="3"/>
  <c r="H3783" i="3"/>
  <c r="H1338" i="3"/>
  <c r="H7107" i="3"/>
  <c r="H5065" i="3"/>
  <c r="H782" i="3"/>
  <c r="H1339" i="3"/>
  <c r="H5066" i="3"/>
  <c r="H5067" i="3"/>
  <c r="H2239" i="3"/>
  <c r="H6128" i="3"/>
  <c r="H6129" i="3"/>
  <c r="H6130" i="3"/>
  <c r="H6131" i="3"/>
  <c r="H210" i="3"/>
  <c r="H211" i="3"/>
  <c r="H7108" i="3"/>
  <c r="H5068" i="3"/>
  <c r="H3784" i="3"/>
  <c r="H6597" i="3"/>
  <c r="H7109" i="3"/>
  <c r="H5069" i="3"/>
  <c r="H1895" i="3"/>
  <c r="H5070" i="3"/>
  <c r="H5071" i="3"/>
  <c r="H5072" i="3"/>
  <c r="H783" i="3"/>
  <c r="H7110" i="3"/>
  <c r="H1340" i="3"/>
  <c r="H6598" i="3"/>
  <c r="H5073" i="3"/>
  <c r="H5074" i="3"/>
  <c r="H5075" i="3"/>
  <c r="H6883" i="3"/>
  <c r="H784" i="3"/>
  <c r="H4355" i="3"/>
  <c r="H7878" i="3"/>
  <c r="H6132" i="3"/>
  <c r="H5076" i="3"/>
  <c r="H6133" i="3"/>
  <c r="H7111" i="3"/>
  <c r="H3785" i="3"/>
  <c r="H5077" i="3"/>
  <c r="H6134" i="3"/>
  <c r="H3786" i="3"/>
  <c r="H5078" i="3"/>
  <c r="H2460" i="3"/>
  <c r="H212" i="3"/>
  <c r="H1341" i="3"/>
  <c r="H5079" i="3"/>
  <c r="H6135" i="3"/>
  <c r="H3787" i="3"/>
  <c r="H5080" i="3"/>
  <c r="H785" i="3"/>
  <c r="H786" i="3"/>
  <c r="H213" i="3"/>
  <c r="H5081" i="3"/>
  <c r="H1342" i="3"/>
  <c r="H4245" i="3"/>
  <c r="H5082" i="3"/>
  <c r="H3788" i="3"/>
  <c r="H5083" i="3"/>
  <c r="H1343" i="3"/>
  <c r="H214" i="3"/>
  <c r="H3789" i="3"/>
  <c r="H4246" i="3"/>
  <c r="H215" i="3"/>
  <c r="H4247" i="3"/>
  <c r="H417" i="3"/>
  <c r="H5848" i="3"/>
  <c r="H787" i="3"/>
  <c r="H2461" i="3"/>
  <c r="H2462" i="3"/>
  <c r="H2240" i="3"/>
  <c r="H5084" i="3"/>
  <c r="H6136" i="3"/>
  <c r="H3790" i="3"/>
  <c r="H1344" i="3"/>
  <c r="H2241" i="3"/>
  <c r="H3791" i="3"/>
  <c r="H5085" i="3"/>
  <c r="H418" i="3"/>
  <c r="H7308" i="3"/>
  <c r="H7879" i="3"/>
  <c r="H5086" i="3"/>
  <c r="H419" i="3"/>
  <c r="H4356" i="3"/>
  <c r="H3792" i="3"/>
  <c r="H3793" i="3"/>
  <c r="H1345" i="3"/>
  <c r="H1708" i="3"/>
  <c r="H5087" i="3"/>
  <c r="H216" i="3"/>
  <c r="H3794" i="3"/>
  <c r="H1346" i="3"/>
  <c r="H6137" i="3"/>
  <c r="H2463" i="3"/>
  <c r="H7112" i="3"/>
  <c r="H7113" i="3"/>
  <c r="H1347" i="3"/>
  <c r="H5088" i="3"/>
  <c r="H3795" i="3"/>
  <c r="H3796" i="3"/>
  <c r="H1896" i="3"/>
  <c r="H3797" i="3"/>
  <c r="H3798" i="3"/>
  <c r="H5089" i="3"/>
  <c r="H4357" i="3"/>
  <c r="H3799" i="3"/>
  <c r="H788" i="3"/>
  <c r="H5090" i="3"/>
  <c r="H2464" i="3"/>
  <c r="H3800" i="3"/>
  <c r="H5091" i="3"/>
  <c r="H789" i="3"/>
  <c r="H6138" i="3"/>
  <c r="H3801" i="3"/>
  <c r="H1348" i="3"/>
  <c r="H4358" i="3"/>
  <c r="H3802" i="3"/>
  <c r="H5092" i="3"/>
  <c r="H5093" i="3"/>
  <c r="H6599" i="3"/>
  <c r="H5094" i="3"/>
  <c r="H1349" i="3"/>
  <c r="H420" i="3"/>
  <c r="H1350" i="3"/>
  <c r="H5095" i="3"/>
  <c r="H5096" i="3"/>
  <c r="H790" i="3"/>
  <c r="H217" i="3"/>
  <c r="H6600" i="3"/>
  <c r="H5097" i="3"/>
  <c r="H3803" i="3"/>
  <c r="H6601" i="3"/>
  <c r="H1351" i="3"/>
  <c r="H791" i="3"/>
  <c r="H4359" i="3"/>
  <c r="H4360" i="3"/>
  <c r="H421" i="3"/>
  <c r="H3804" i="3"/>
  <c r="H6139" i="3"/>
  <c r="H6602" i="3"/>
  <c r="H3805" i="3"/>
  <c r="H7114" i="3"/>
  <c r="H5098" i="3"/>
  <c r="H5099" i="3"/>
  <c r="H6884" i="3"/>
  <c r="H7115" i="3"/>
  <c r="H3806" i="3"/>
  <c r="H7880" i="3"/>
  <c r="H5100" i="3"/>
  <c r="H5101" i="3"/>
  <c r="H7881" i="3"/>
  <c r="H1897" i="3"/>
  <c r="H7309" i="3"/>
  <c r="H5102" i="3"/>
  <c r="H5103" i="3"/>
  <c r="H5104" i="3"/>
  <c r="H5105" i="3"/>
  <c r="H4248" i="3"/>
  <c r="H4361" i="3"/>
  <c r="H7310" i="3"/>
  <c r="H6603" i="3"/>
  <c r="H5106" i="3"/>
  <c r="H5107" i="3"/>
  <c r="H792" i="3"/>
  <c r="H2465" i="3"/>
  <c r="H3807" i="3"/>
  <c r="H5108" i="3"/>
  <c r="H6140" i="3"/>
  <c r="H7116" i="3"/>
  <c r="H2466" i="3"/>
  <c r="H4362" i="3"/>
  <c r="H2467" i="3"/>
  <c r="H1898" i="3"/>
  <c r="H793" i="3"/>
  <c r="H5109" i="3"/>
  <c r="H2242" i="3"/>
  <c r="H5110" i="3"/>
  <c r="H2243" i="3"/>
  <c r="H1709" i="3"/>
  <c r="H2468" i="3"/>
  <c r="H3808" i="3"/>
  <c r="H5111" i="3"/>
  <c r="H794" i="3"/>
  <c r="H4363" i="3"/>
  <c r="H795" i="3"/>
  <c r="H6141" i="3"/>
  <c r="H6142" i="3"/>
  <c r="H6143" i="3"/>
  <c r="H1710" i="3"/>
  <c r="H796" i="3"/>
  <c r="H3809" i="3"/>
  <c r="H1899" i="3"/>
  <c r="H7882" i="3"/>
  <c r="H797" i="3"/>
  <c r="H422" i="3"/>
  <c r="H798" i="3"/>
  <c r="H6604" i="3"/>
  <c r="H4364" i="3"/>
  <c r="H2244" i="3"/>
  <c r="H5112" i="3"/>
  <c r="H4249" i="3"/>
  <c r="H4250" i="3"/>
  <c r="H3810" i="3"/>
  <c r="H7883" i="3"/>
  <c r="H1900" i="3"/>
  <c r="H5113" i="3"/>
  <c r="H4251" i="3"/>
  <c r="H4365" i="3"/>
  <c r="H2245" i="3"/>
  <c r="H5114" i="3"/>
  <c r="H799" i="3"/>
  <c r="H2469" i="3"/>
  <c r="H218" i="3"/>
  <c r="H1352" i="3"/>
  <c r="H1901" i="3"/>
  <c r="H1902" i="3"/>
  <c r="H3811" i="3"/>
  <c r="H7117" i="3"/>
  <c r="H7884" i="3"/>
  <c r="H5115" i="3"/>
  <c r="H5116" i="3"/>
  <c r="H5117" i="3"/>
  <c r="H2246" i="3"/>
  <c r="H6885" i="3"/>
  <c r="H423" i="3"/>
  <c r="H5118" i="3"/>
  <c r="H6144" i="3"/>
  <c r="H4252" i="3"/>
  <c r="H7311" i="3"/>
  <c r="H1903" i="3"/>
  <c r="H1353" i="3"/>
  <c r="H5119" i="3"/>
  <c r="H5120" i="3"/>
  <c r="H5121" i="3"/>
  <c r="H800" i="3"/>
  <c r="H5122" i="3"/>
  <c r="H4366" i="3"/>
  <c r="H5123" i="3"/>
  <c r="H7118" i="3"/>
  <c r="H3812" i="3"/>
  <c r="H5124" i="3"/>
  <c r="H1711" i="3"/>
  <c r="H2470" i="3"/>
  <c r="H3813" i="3"/>
  <c r="H7885" i="3"/>
  <c r="H5849" i="3"/>
  <c r="H1354" i="3"/>
  <c r="H2247" i="3"/>
  <c r="H7886" i="3"/>
  <c r="H1904" i="3"/>
  <c r="H6145" i="3"/>
  <c r="H424" i="3"/>
  <c r="H3814" i="3"/>
  <c r="H5125" i="3"/>
  <c r="H5126" i="3"/>
  <c r="H3815" i="3"/>
  <c r="H3816" i="3"/>
  <c r="H4367" i="3"/>
  <c r="H2248" i="3"/>
  <c r="H5127" i="3"/>
  <c r="H1712" i="3"/>
  <c r="H4368" i="3"/>
  <c r="H7312" i="3"/>
  <c r="H5128" i="3"/>
  <c r="H6146" i="3"/>
  <c r="H7264" i="3"/>
  <c r="H6605" i="3"/>
  <c r="H7313" i="3"/>
  <c r="H1355" i="3"/>
  <c r="H6606" i="3"/>
  <c r="H6886" i="3"/>
  <c r="H7119" i="3"/>
  <c r="H3817" i="3"/>
  <c r="H3818" i="3"/>
  <c r="H5129" i="3"/>
  <c r="H5130" i="3"/>
  <c r="H2249" i="3"/>
  <c r="H3819" i="3"/>
  <c r="H5131" i="3"/>
  <c r="H3820" i="3"/>
  <c r="H3821" i="3"/>
  <c r="H2250" i="3"/>
  <c r="H5132" i="3"/>
  <c r="H7120" i="3"/>
  <c r="H219" i="3"/>
  <c r="H5133" i="3"/>
  <c r="H801" i="3"/>
  <c r="H2471" i="3"/>
  <c r="H802" i="3"/>
  <c r="H803" i="3"/>
  <c r="H3822" i="3"/>
  <c r="H3823" i="3"/>
  <c r="H2251" i="3"/>
  <c r="H2472" i="3"/>
  <c r="H4369" i="3"/>
  <c r="H7121" i="3"/>
  <c r="H6147" i="3"/>
  <c r="H5134" i="3"/>
  <c r="H425" i="3"/>
  <c r="H3824" i="3"/>
  <c r="H1356" i="3"/>
  <c r="H5135" i="3"/>
  <c r="H220" i="3"/>
  <c r="H7122" i="3"/>
  <c r="H2252" i="3"/>
  <c r="H5136" i="3"/>
  <c r="H804" i="3"/>
  <c r="H7123" i="3"/>
  <c r="H1357" i="3"/>
  <c r="H6148" i="3"/>
  <c r="H221" i="3"/>
  <c r="H7124" i="3"/>
  <c r="H4370" i="3"/>
  <c r="H5137" i="3"/>
  <c r="H4371" i="3"/>
  <c r="H7887" i="3"/>
  <c r="H5138" i="3"/>
  <c r="H3825" i="3"/>
  <c r="H3826" i="3"/>
  <c r="H5139" i="3"/>
  <c r="H4253" i="3"/>
  <c r="H1358" i="3"/>
  <c r="H3827" i="3"/>
  <c r="H5140" i="3"/>
  <c r="H7125" i="3"/>
  <c r="H4372" i="3"/>
  <c r="H5141" i="3"/>
  <c r="H6149" i="3"/>
  <c r="H4373" i="3"/>
  <c r="H5142" i="3"/>
  <c r="H222" i="3"/>
  <c r="H223" i="3"/>
  <c r="H5143" i="3"/>
  <c r="H224" i="3"/>
  <c r="H3828" i="3"/>
  <c r="H3829" i="3"/>
  <c r="H2253" i="3"/>
  <c r="H7888" i="3"/>
  <c r="H5144" i="3"/>
  <c r="H6150" i="3"/>
  <c r="H3830" i="3"/>
  <c r="H3831" i="3"/>
  <c r="H3832" i="3"/>
  <c r="H5145" i="3"/>
  <c r="H6151" i="3"/>
  <c r="H5146" i="3"/>
  <c r="H3833" i="3"/>
  <c r="H5147" i="3"/>
  <c r="H5148" i="3"/>
  <c r="H1359" i="3"/>
  <c r="H426" i="3"/>
  <c r="H3834" i="3"/>
  <c r="H7889" i="3"/>
  <c r="H1360" i="3"/>
  <c r="H5149" i="3"/>
  <c r="H805" i="3"/>
  <c r="H5150" i="3"/>
  <c r="H7126" i="3"/>
  <c r="H427" i="3"/>
  <c r="H6152" i="3"/>
  <c r="H5151" i="3"/>
  <c r="H5152" i="3"/>
  <c r="H5153" i="3"/>
  <c r="H225" i="3"/>
  <c r="H3835" i="3"/>
  <c r="H6607" i="3"/>
  <c r="H5154" i="3"/>
  <c r="H3836" i="3"/>
  <c r="H5155" i="3"/>
  <c r="H5156" i="3"/>
  <c r="H5157" i="3"/>
  <c r="H5158" i="3"/>
  <c r="H5159" i="3"/>
  <c r="H5160" i="3"/>
  <c r="H7127" i="3"/>
  <c r="H5161" i="3"/>
  <c r="H7128" i="3"/>
  <c r="H1361" i="3"/>
  <c r="H5162" i="3"/>
  <c r="H428" i="3"/>
  <c r="H6153" i="3"/>
  <c r="H1905" i="3"/>
  <c r="H3837" i="3"/>
  <c r="H6608" i="3"/>
  <c r="H7314" i="3"/>
  <c r="H5163" i="3"/>
  <c r="H806" i="3"/>
  <c r="H4254" i="3"/>
  <c r="H1906" i="3"/>
  <c r="H1362" i="3"/>
  <c r="H3838" i="3"/>
  <c r="H2473" i="3"/>
  <c r="H7129" i="3"/>
  <c r="H4374" i="3"/>
  <c r="H6154" i="3"/>
  <c r="H1907" i="3"/>
  <c r="H5164" i="3"/>
  <c r="H6155" i="3"/>
  <c r="H4375" i="3"/>
  <c r="H4376" i="3"/>
  <c r="H3839" i="3"/>
  <c r="H7130" i="3"/>
  <c r="H7131" i="3"/>
  <c r="H7132" i="3"/>
  <c r="H2254" i="3"/>
  <c r="H5165" i="3"/>
  <c r="H6156" i="3"/>
  <c r="H226" i="3"/>
  <c r="H3840" i="3"/>
  <c r="H3841" i="3"/>
  <c r="H4255" i="3"/>
  <c r="H4377" i="3"/>
  <c r="H2255" i="3"/>
  <c r="H3842" i="3"/>
  <c r="H1363" i="3"/>
  <c r="H2256" i="3"/>
  <c r="H3843" i="3"/>
  <c r="H3844" i="3"/>
  <c r="H7133" i="3"/>
  <c r="H4378" i="3"/>
  <c r="H5166" i="3"/>
  <c r="H3845" i="3"/>
  <c r="H7890" i="3"/>
  <c r="H2474" i="3"/>
  <c r="H227" i="3"/>
  <c r="H807" i="3"/>
  <c r="H6157" i="3"/>
  <c r="H4256" i="3"/>
  <c r="H5167" i="3"/>
  <c r="H6158" i="3"/>
  <c r="H7134" i="3"/>
  <c r="H3846" i="3"/>
  <c r="H1364" i="3"/>
  <c r="H5168" i="3"/>
  <c r="H5169" i="3"/>
  <c r="H228" i="3"/>
  <c r="H229" i="3"/>
  <c r="H6609" i="3"/>
  <c r="H808" i="3"/>
  <c r="H230" i="3"/>
  <c r="H1908" i="3"/>
  <c r="H429" i="3"/>
  <c r="H3847" i="3"/>
  <c r="H2475" i="3"/>
  <c r="H2476" i="3"/>
  <c r="H4257" i="3"/>
  <c r="H5170" i="3"/>
  <c r="H3848" i="3"/>
  <c r="H5171" i="3"/>
  <c r="H6159" i="3"/>
  <c r="H3849" i="3"/>
  <c r="H5172" i="3"/>
  <c r="H4379" i="3"/>
  <c r="H3850" i="3"/>
  <c r="H6160" i="3"/>
  <c r="H2257" i="3"/>
  <c r="H5173" i="3"/>
  <c r="H5174" i="3"/>
  <c r="H7135" i="3"/>
  <c r="H5175" i="3"/>
  <c r="H5176" i="3"/>
  <c r="H1713" i="3"/>
  <c r="H5177" i="3"/>
  <c r="H809" i="3"/>
  <c r="H7136" i="3"/>
  <c r="H6161" i="3"/>
  <c r="H7137" i="3"/>
  <c r="H3851" i="3"/>
  <c r="H3852" i="3"/>
  <c r="H3853" i="3"/>
  <c r="H7891" i="3"/>
  <c r="H231" i="3"/>
  <c r="H3854" i="3"/>
  <c r="H6162" i="3"/>
  <c r="H4258" i="3"/>
  <c r="H3855" i="3"/>
  <c r="H1365" i="3"/>
  <c r="H232" i="3"/>
  <c r="H5178" i="3"/>
  <c r="H3856" i="3"/>
  <c r="H3857" i="3"/>
  <c r="H1366" i="3"/>
  <c r="H2477" i="3"/>
  <c r="H3858" i="3"/>
  <c r="H5179" i="3"/>
  <c r="H5180" i="3"/>
  <c r="H5181" i="3"/>
  <c r="H7138" i="3"/>
  <c r="H3859" i="3"/>
  <c r="H5182" i="3"/>
  <c r="H4259" i="3"/>
  <c r="H7315" i="3"/>
  <c r="H3860" i="3"/>
  <c r="H1367" i="3"/>
  <c r="H2258" i="3"/>
  <c r="H6610" i="3"/>
  <c r="H5183" i="3"/>
  <c r="H5184" i="3"/>
  <c r="H3861" i="3"/>
  <c r="H5185" i="3"/>
  <c r="H233" i="3"/>
  <c r="H3862" i="3"/>
  <c r="H5186" i="3"/>
  <c r="H6163" i="3"/>
  <c r="H2259" i="3"/>
  <c r="H2260" i="3"/>
  <c r="H1368" i="3"/>
  <c r="H2478" i="3"/>
  <c r="H4380" i="3"/>
  <c r="H3863" i="3"/>
  <c r="H5187" i="3"/>
  <c r="H3864" i="3"/>
  <c r="H1909" i="3"/>
  <c r="H430" i="3"/>
  <c r="H5850" i="3"/>
  <c r="H6164" i="3"/>
  <c r="H3865" i="3"/>
  <c r="H1369" i="3"/>
  <c r="H6165" i="3"/>
  <c r="H4260" i="3"/>
  <c r="H1714" i="3"/>
  <c r="H1910" i="3"/>
  <c r="H3866" i="3"/>
  <c r="H1370" i="3"/>
  <c r="H1371" i="3"/>
  <c r="H2261" i="3"/>
  <c r="H2262" i="3"/>
  <c r="H810" i="3"/>
  <c r="H2479" i="3"/>
  <c r="H234" i="3"/>
  <c r="H3867" i="3"/>
  <c r="H2263" i="3"/>
  <c r="H7892" i="3"/>
  <c r="H5188" i="3"/>
  <c r="H4381" i="3"/>
  <c r="H3868" i="3"/>
  <c r="H5189" i="3"/>
  <c r="H6887" i="3"/>
  <c r="H4261" i="3"/>
  <c r="H4262" i="3"/>
  <c r="H4382" i="3"/>
  <c r="H3869" i="3"/>
  <c r="H3870" i="3"/>
  <c r="H3871" i="3"/>
  <c r="H3872" i="3"/>
  <c r="H5190" i="3"/>
  <c r="H7139" i="3"/>
  <c r="H7316" i="3"/>
  <c r="H235" i="3"/>
  <c r="H2480" i="3"/>
  <c r="H6611" i="3"/>
  <c r="H811" i="3"/>
  <c r="H3873" i="3"/>
  <c r="H6612" i="3"/>
  <c r="H5191" i="3"/>
  <c r="H2481" i="3"/>
  <c r="H7265" i="3"/>
  <c r="H7317" i="3"/>
  <c r="H2482" i="3"/>
  <c r="H431" i="3"/>
  <c r="H3874" i="3"/>
  <c r="H3875" i="3"/>
  <c r="H6166" i="3"/>
  <c r="H7266" i="3"/>
  <c r="H4383" i="3"/>
  <c r="H3876" i="3"/>
  <c r="H3877" i="3"/>
  <c r="H812" i="3"/>
  <c r="H5192" i="3"/>
  <c r="H3878" i="3"/>
  <c r="H6888" i="3"/>
  <c r="H4384" i="3"/>
  <c r="H3879" i="3"/>
  <c r="H2483" i="3"/>
  <c r="H1911" i="3"/>
  <c r="H1912" i="3"/>
  <c r="H3880" i="3"/>
  <c r="H5193" i="3"/>
  <c r="H5194" i="3"/>
  <c r="H5195" i="3"/>
  <c r="H7140" i="3"/>
  <c r="H5196" i="3"/>
  <c r="H3881" i="3"/>
  <c r="H3882" i="3"/>
  <c r="H5197" i="3"/>
  <c r="H5198" i="3"/>
  <c r="H813" i="3"/>
  <c r="H6167" i="3"/>
  <c r="H5199" i="3"/>
  <c r="H3883" i="3"/>
  <c r="H3884" i="3"/>
  <c r="H7318" i="3"/>
  <c r="H6613" i="3"/>
  <c r="H6168" i="3"/>
  <c r="H7141" i="3"/>
  <c r="H3885" i="3"/>
  <c r="H3886" i="3"/>
  <c r="H3887" i="3"/>
  <c r="H3888" i="3"/>
  <c r="H5200" i="3"/>
  <c r="H5201" i="3"/>
  <c r="H1913" i="3"/>
  <c r="H7142" i="3"/>
  <c r="H3889" i="3"/>
  <c r="H2264" i="3"/>
  <c r="H2265" i="3"/>
  <c r="H4263" i="3"/>
  <c r="H7143" i="3"/>
  <c r="H2484" i="3"/>
  <c r="H7144" i="3"/>
  <c r="H7145" i="3"/>
  <c r="H3890" i="3"/>
  <c r="H5202" i="3"/>
  <c r="H2485" i="3"/>
  <c r="H3891" i="3"/>
  <c r="H5203" i="3"/>
  <c r="H5204" i="3"/>
  <c r="H5205" i="3"/>
  <c r="H3892" i="3"/>
  <c r="H5206" i="3"/>
  <c r="H6169" i="3"/>
  <c r="H2486" i="3"/>
  <c r="H3893" i="3"/>
  <c r="H5207" i="3"/>
  <c r="H814" i="3"/>
  <c r="H3894" i="3"/>
  <c r="H3895" i="3"/>
  <c r="H2487" i="3"/>
  <c r="H236" i="3"/>
  <c r="H5208" i="3"/>
  <c r="H5209" i="3"/>
  <c r="H815" i="3"/>
  <c r="H1372" i="3"/>
  <c r="H5210" i="3"/>
  <c r="H5211" i="3"/>
  <c r="H237" i="3"/>
  <c r="H3896" i="3"/>
  <c r="H5212" i="3"/>
  <c r="H5213" i="3"/>
  <c r="H5214" i="3"/>
  <c r="H238" i="3"/>
  <c r="H7267" i="3"/>
  <c r="H5215" i="3"/>
  <c r="H4264" i="3"/>
  <c r="H239" i="3"/>
  <c r="H4385" i="3"/>
  <c r="H3897" i="3"/>
  <c r="H5216" i="3"/>
  <c r="H5217" i="3"/>
  <c r="H1373" i="3"/>
  <c r="H816" i="3"/>
  <c r="H6170" i="3"/>
  <c r="H240" i="3"/>
  <c r="H6889" i="3"/>
  <c r="H2488" i="3"/>
  <c r="H2266" i="3"/>
  <c r="H3898" i="3"/>
  <c r="H1374" i="3"/>
  <c r="H241" i="3"/>
  <c r="H5218" i="3"/>
  <c r="H1375" i="3"/>
  <c r="H2267" i="3"/>
  <c r="H5219" i="3"/>
  <c r="H6171" i="3"/>
  <c r="H6172" i="3"/>
  <c r="H2489" i="3"/>
  <c r="H2490" i="3"/>
  <c r="H432" i="3"/>
  <c r="H5220" i="3"/>
  <c r="H5221" i="3"/>
  <c r="H5222" i="3"/>
  <c r="H3899" i="3"/>
  <c r="H1376" i="3"/>
  <c r="H6173" i="3"/>
  <c r="H3900" i="3"/>
  <c r="H7893" i="3"/>
  <c r="H7894" i="3"/>
  <c r="H5223" i="3"/>
  <c r="H5224" i="3"/>
  <c r="H3901" i="3"/>
  <c r="H3902" i="3"/>
  <c r="H5225" i="3"/>
  <c r="H6890" i="3"/>
  <c r="H4265" i="3"/>
  <c r="H5226" i="3"/>
  <c r="H5227" i="3"/>
  <c r="H4386" i="3"/>
  <c r="H1715" i="3"/>
  <c r="H3903" i="3"/>
  <c r="H817" i="3"/>
  <c r="H242" i="3"/>
  <c r="H5228" i="3"/>
  <c r="H2491" i="3"/>
  <c r="H2268" i="3"/>
  <c r="H7895" i="3"/>
  <c r="H1716" i="3"/>
  <c r="H3904" i="3"/>
  <c r="H5229" i="3"/>
  <c r="H5230" i="3"/>
  <c r="H5231" i="3"/>
  <c r="H5232" i="3"/>
  <c r="H6174" i="3"/>
  <c r="H3905" i="3"/>
  <c r="H3906" i="3"/>
  <c r="H1377" i="3"/>
  <c r="H2492" i="3"/>
  <c r="H3907" i="3"/>
  <c r="H3908" i="3"/>
  <c r="H2493" i="3"/>
  <c r="H1378" i="3"/>
  <c r="H3909" i="3"/>
  <c r="H2269" i="3"/>
  <c r="H3910" i="3"/>
  <c r="H5233" i="3"/>
  <c r="H6175" i="3"/>
  <c r="H2494" i="3"/>
  <c r="H5234" i="3"/>
  <c r="H1914" i="3"/>
  <c r="H1379" i="3"/>
  <c r="H4387" i="3"/>
  <c r="H2270" i="3"/>
  <c r="H5235" i="3"/>
  <c r="H1915" i="3"/>
  <c r="H7268" i="3"/>
  <c r="H4388" i="3"/>
  <c r="H5236" i="3"/>
  <c r="H5237" i="3"/>
  <c r="H5238" i="3"/>
  <c r="H6176" i="3"/>
  <c r="H2495" i="3"/>
  <c r="H5239" i="3"/>
  <c r="H5240" i="3"/>
  <c r="H818" i="3"/>
  <c r="H3911" i="3"/>
  <c r="H7896" i="3"/>
  <c r="H5241" i="3"/>
  <c r="H5242" i="3"/>
  <c r="H6177" i="3"/>
  <c r="H4389" i="3"/>
  <c r="H3912" i="3"/>
  <c r="H5243" i="3"/>
  <c r="H6178" i="3"/>
  <c r="H1380" i="3"/>
  <c r="H2271" i="3"/>
  <c r="H243" i="3"/>
  <c r="H7146" i="3"/>
  <c r="H5244" i="3"/>
  <c r="H5245" i="3"/>
  <c r="H819" i="3"/>
  <c r="H6179" i="3"/>
  <c r="H244" i="3"/>
  <c r="H5246" i="3"/>
  <c r="H820" i="3"/>
  <c r="H821" i="3"/>
  <c r="H3913" i="3"/>
  <c r="H6614" i="3"/>
  <c r="H5247" i="3"/>
  <c r="H433" i="3"/>
  <c r="H5248" i="3"/>
  <c r="H5249" i="3"/>
  <c r="H5250" i="3"/>
  <c r="H5251" i="3"/>
  <c r="H4266" i="3"/>
  <c r="H3914" i="3"/>
  <c r="H5252" i="3"/>
  <c r="H4390" i="3"/>
  <c r="H4391" i="3"/>
  <c r="H3915" i="3"/>
  <c r="H5253" i="3"/>
  <c r="H3916" i="3"/>
  <c r="H5254" i="3"/>
  <c r="H5255" i="3"/>
  <c r="H2496" i="3"/>
  <c r="H3917" i="3"/>
  <c r="H822" i="3"/>
  <c r="H2497" i="3"/>
  <c r="H4392" i="3"/>
  <c r="H823" i="3"/>
  <c r="H4393" i="3"/>
  <c r="H3918" i="3"/>
  <c r="H5256" i="3"/>
  <c r="H3919" i="3"/>
  <c r="H6180" i="3"/>
  <c r="H2272" i="3"/>
  <c r="H5257" i="3"/>
  <c r="H824" i="3"/>
  <c r="H5258" i="3"/>
  <c r="H6891" i="3"/>
  <c r="H1381" i="3"/>
  <c r="H825" i="3"/>
  <c r="H1916" i="3"/>
  <c r="H5259" i="3"/>
  <c r="H245" i="3"/>
  <c r="H7147" i="3"/>
  <c r="H3920" i="3"/>
  <c r="H826" i="3"/>
  <c r="H7148" i="3"/>
  <c r="H7149" i="3"/>
  <c r="H3921" i="3"/>
  <c r="H827" i="3"/>
  <c r="H5260" i="3"/>
  <c r="H5261" i="3"/>
  <c r="H5262" i="3"/>
  <c r="H246" i="3"/>
  <c r="H5263" i="3"/>
  <c r="H2273" i="3"/>
  <c r="H5264" i="3"/>
  <c r="H5265" i="3"/>
  <c r="H828" i="3"/>
  <c r="H2498" i="3"/>
  <c r="H5266" i="3"/>
  <c r="H5267" i="3"/>
  <c r="H5268" i="3"/>
  <c r="H5269" i="3"/>
  <c r="H6181" i="3"/>
  <c r="H2499" i="3"/>
  <c r="H2500" i="3"/>
  <c r="H3922" i="3"/>
  <c r="H5270" i="3"/>
  <c r="H5271" i="3"/>
  <c r="H5272" i="3"/>
  <c r="H3923" i="3"/>
  <c r="H3924" i="3"/>
  <c r="H7897" i="3"/>
  <c r="H2501" i="3"/>
  <c r="H247" i="3"/>
  <c r="H7319" i="3"/>
  <c r="H3925" i="3"/>
  <c r="H6615" i="3"/>
  <c r="H5273" i="3"/>
  <c r="H5274" i="3"/>
  <c r="H6182" i="3"/>
  <c r="H6183" i="3"/>
  <c r="H248" i="3"/>
  <c r="H7898" i="3"/>
  <c r="H7899" i="3"/>
  <c r="H3926" i="3"/>
  <c r="H5275" i="3"/>
  <c r="H5276" i="3"/>
  <c r="H829" i="3"/>
  <c r="H830" i="3"/>
  <c r="H5277" i="3"/>
  <c r="H249" i="3"/>
  <c r="H5278" i="3"/>
  <c r="H6184" i="3"/>
  <c r="H1917" i="3"/>
  <c r="H5279" i="3"/>
  <c r="H6185" i="3"/>
  <c r="H4267" i="3"/>
  <c r="H7150" i="3"/>
  <c r="H5280" i="3"/>
  <c r="H6186" i="3"/>
  <c r="H2502" i="3"/>
  <c r="H250" i="3"/>
  <c r="H3927" i="3"/>
  <c r="H5281" i="3"/>
  <c r="H3928" i="3"/>
  <c r="H1918" i="3"/>
  <c r="H251" i="3"/>
  <c r="H3929" i="3"/>
  <c r="H5282" i="3"/>
  <c r="H5283" i="3"/>
  <c r="H5284" i="3"/>
  <c r="H2503" i="3"/>
  <c r="H5285" i="3"/>
  <c r="H5286" i="3"/>
  <c r="H7320" i="3"/>
  <c r="H5287" i="3"/>
  <c r="H5288" i="3"/>
  <c r="H7151" i="3"/>
  <c r="H434" i="3"/>
  <c r="H3930" i="3"/>
  <c r="H252" i="3"/>
  <c r="H2274" i="3"/>
  <c r="H6187" i="3"/>
  <c r="H5289" i="3"/>
  <c r="H5290" i="3"/>
  <c r="H7321" i="3"/>
  <c r="H5291" i="3"/>
  <c r="H3931" i="3"/>
  <c r="H1919" i="3"/>
  <c r="H6616" i="3"/>
  <c r="H5292" i="3"/>
  <c r="H5851" i="3"/>
  <c r="H7152" i="3"/>
  <c r="H7269" i="3"/>
  <c r="H5293" i="3"/>
  <c r="H5294" i="3"/>
  <c r="H6188" i="3"/>
  <c r="H3932" i="3"/>
  <c r="H7153" i="3"/>
  <c r="H7322" i="3"/>
  <c r="H3933" i="3"/>
  <c r="H1382" i="3"/>
  <c r="H3934" i="3"/>
  <c r="H2275" i="3"/>
  <c r="H6189" i="3"/>
  <c r="H5295" i="3"/>
  <c r="H5296" i="3"/>
  <c r="H3935" i="3"/>
  <c r="H2276" i="3"/>
  <c r="H5297" i="3"/>
  <c r="H5298" i="3"/>
  <c r="H2504" i="3"/>
  <c r="H5299" i="3"/>
  <c r="H5300" i="3"/>
  <c r="H253" i="3"/>
  <c r="H5301" i="3"/>
  <c r="H3936" i="3"/>
  <c r="H4394" i="3"/>
  <c r="H5302" i="3"/>
  <c r="H7323" i="3"/>
  <c r="H1383" i="3"/>
  <c r="H5303" i="3"/>
  <c r="H6190" i="3"/>
  <c r="H2505" i="3"/>
  <c r="H2506" i="3"/>
  <c r="H3937" i="3"/>
  <c r="H5304" i="3"/>
  <c r="H1384" i="3"/>
  <c r="H831" i="3"/>
  <c r="H2507" i="3"/>
  <c r="H2277" i="3"/>
  <c r="H2278" i="3"/>
  <c r="H5305" i="3"/>
  <c r="H2508" i="3"/>
  <c r="H4268" i="3"/>
  <c r="H4395" i="3"/>
  <c r="H4396" i="3"/>
  <c r="H5306" i="3"/>
  <c r="H5307" i="3"/>
  <c r="H3938" i="3"/>
  <c r="H3939" i="3"/>
  <c r="H5308" i="3"/>
  <c r="H5309" i="3"/>
  <c r="H5852" i="3"/>
  <c r="H6191" i="3"/>
  <c r="H4397" i="3"/>
  <c r="H5310" i="3"/>
  <c r="H6192" i="3"/>
  <c r="H4398" i="3"/>
  <c r="H5311" i="3"/>
  <c r="H2509" i="3"/>
  <c r="H7324" i="3"/>
  <c r="H5312" i="3"/>
  <c r="H1385" i="3"/>
  <c r="H5313" i="3"/>
  <c r="H5314" i="3"/>
  <c r="H4399" i="3"/>
  <c r="H6617" i="3"/>
  <c r="H3940" i="3"/>
  <c r="H7325" i="3"/>
  <c r="H3941" i="3"/>
  <c r="H2279" i="3"/>
  <c r="H5315" i="3"/>
  <c r="H3942" i="3"/>
  <c r="H5316" i="3"/>
  <c r="H254" i="3"/>
  <c r="H5317" i="3"/>
  <c r="H3943" i="3"/>
  <c r="H1717" i="3"/>
  <c r="H4269" i="3"/>
  <c r="H7154" i="3"/>
  <c r="H5318" i="3"/>
  <c r="H5319" i="3"/>
  <c r="H5320" i="3"/>
  <c r="H6193" i="3"/>
  <c r="H5321" i="3"/>
  <c r="H255" i="3"/>
  <c r="H1386" i="3"/>
  <c r="H2280" i="3"/>
  <c r="H256" i="3"/>
  <c r="H3944" i="3"/>
  <c r="H5322" i="3"/>
  <c r="H5323" i="3"/>
  <c r="H3945" i="3"/>
  <c r="H2510" i="3"/>
  <c r="H3946" i="3"/>
  <c r="H4270" i="3"/>
  <c r="H5324" i="3"/>
  <c r="H7155" i="3"/>
  <c r="H6194" i="3"/>
  <c r="H3947" i="3"/>
  <c r="H3948" i="3"/>
  <c r="H5325" i="3"/>
  <c r="H257" i="3"/>
  <c r="H5326" i="3"/>
  <c r="H4271" i="3"/>
  <c r="H4400" i="3"/>
  <c r="H3949" i="3"/>
  <c r="H6195" i="3"/>
  <c r="H7156" i="3"/>
  <c r="H435" i="3"/>
  <c r="H3950" i="3"/>
  <c r="H6196" i="3"/>
  <c r="H258" i="3"/>
  <c r="H5327" i="3"/>
  <c r="H5328" i="3"/>
  <c r="H5329" i="3"/>
  <c r="H5330" i="3"/>
  <c r="H5331" i="3"/>
  <c r="H832" i="3"/>
  <c r="H259" i="3"/>
  <c r="H3951" i="3"/>
  <c r="H2511" i="3"/>
  <c r="H3952" i="3"/>
  <c r="H7900" i="3"/>
  <c r="H5332" i="3"/>
  <c r="H833" i="3"/>
  <c r="H7326" i="3"/>
  <c r="H1920" i="3"/>
  <c r="H7157" i="3"/>
  <c r="H5333" i="3"/>
  <c r="H5334" i="3"/>
  <c r="H4272" i="3"/>
  <c r="H5335" i="3"/>
  <c r="H260" i="3"/>
  <c r="H1921" i="3"/>
  <c r="H3953" i="3"/>
  <c r="H7901" i="3"/>
  <c r="H261" i="3"/>
  <c r="H5336" i="3"/>
  <c r="H6197" i="3"/>
  <c r="H262" i="3"/>
  <c r="H7158" i="3"/>
  <c r="H834" i="3"/>
  <c r="H5337" i="3"/>
  <c r="H5338" i="3"/>
  <c r="H7159" i="3"/>
  <c r="H835" i="3"/>
  <c r="H6198" i="3"/>
  <c r="H5339" i="3"/>
  <c r="H5340" i="3"/>
  <c r="H5341" i="3"/>
  <c r="H263" i="3"/>
  <c r="H1922" i="3"/>
  <c r="H5342" i="3"/>
  <c r="H5343" i="3"/>
  <c r="H5344" i="3"/>
  <c r="H5345" i="3"/>
  <c r="H7160" i="3"/>
  <c r="H5346" i="3"/>
  <c r="H3954" i="3"/>
  <c r="H7902" i="3"/>
  <c r="H5347" i="3"/>
  <c r="H3955" i="3"/>
  <c r="H2281" i="3"/>
  <c r="H2512" i="3"/>
  <c r="H3956" i="3"/>
  <c r="H3957" i="3"/>
  <c r="H3958" i="3"/>
  <c r="H5348" i="3"/>
  <c r="H5349" i="3"/>
  <c r="H5350" i="3"/>
  <c r="H2513" i="3"/>
  <c r="H7270" i="3"/>
  <c r="H5351" i="3"/>
  <c r="H264" i="3"/>
  <c r="H2282" i="3"/>
  <c r="H1923" i="3"/>
  <c r="H7327" i="3"/>
  <c r="H4273" i="3"/>
  <c r="H2283" i="3"/>
  <c r="H5352" i="3"/>
  <c r="H5353" i="3"/>
  <c r="H265" i="3"/>
  <c r="H266" i="3"/>
  <c r="H3959" i="3"/>
  <c r="H6892" i="3"/>
  <c r="H5354" i="3"/>
  <c r="H5355" i="3"/>
  <c r="H1387" i="3"/>
  <c r="H7903" i="3"/>
  <c r="H5356" i="3"/>
  <c r="H7161" i="3"/>
  <c r="H5357" i="3"/>
  <c r="H1924" i="3"/>
  <c r="H1925" i="3"/>
  <c r="H5358" i="3"/>
  <c r="H836" i="3"/>
  <c r="H4274" i="3"/>
  <c r="H267" i="3"/>
  <c r="H3960" i="3"/>
  <c r="H1926" i="3"/>
  <c r="H3961" i="3"/>
  <c r="H2284" i="3"/>
  <c r="H4401" i="3"/>
  <c r="H3962" i="3"/>
  <c r="H3963" i="3"/>
  <c r="H7904" i="3"/>
  <c r="H268" i="3"/>
  <c r="H7162" i="3"/>
  <c r="H5359" i="3"/>
  <c r="H6199" i="3"/>
  <c r="H7328" i="3"/>
  <c r="H6618" i="3"/>
  <c r="H5360" i="3"/>
  <c r="H7163" i="3"/>
  <c r="H5361" i="3"/>
  <c r="H5362" i="3"/>
  <c r="H3964" i="3"/>
  <c r="H7164" i="3"/>
  <c r="H3965" i="3"/>
  <c r="H5363" i="3"/>
  <c r="H5364" i="3"/>
  <c r="H5365" i="3"/>
  <c r="H5366" i="3"/>
  <c r="H3966" i="3"/>
  <c r="H5367" i="3"/>
  <c r="H5368" i="3"/>
  <c r="H2514" i="3"/>
  <c r="H1927" i="3"/>
  <c r="H3967" i="3"/>
  <c r="H3968" i="3"/>
  <c r="H2285" i="3"/>
  <c r="H7165" i="3"/>
  <c r="H3969" i="3"/>
  <c r="H5369" i="3"/>
  <c r="H2515" i="3"/>
  <c r="H5370" i="3"/>
  <c r="H6200" i="3"/>
  <c r="H6201" i="3"/>
  <c r="H269" i="3"/>
  <c r="H270" i="3"/>
  <c r="H4402" i="3"/>
  <c r="H7329" i="3"/>
  <c r="H5371" i="3"/>
  <c r="H5372" i="3"/>
  <c r="H271" i="3"/>
  <c r="H3970" i="3"/>
  <c r="H5373" i="3"/>
  <c r="H5374" i="3"/>
  <c r="H5375" i="3"/>
  <c r="H2286" i="3"/>
  <c r="H2287" i="3"/>
  <c r="H5376" i="3"/>
  <c r="H436" i="3"/>
  <c r="H7166" i="3"/>
  <c r="H3971" i="3"/>
  <c r="H2288" i="3"/>
  <c r="H5377" i="3"/>
  <c r="H5378" i="3"/>
  <c r="H6202" i="3"/>
  <c r="H1928" i="3"/>
  <c r="H5379" i="3"/>
  <c r="H6203" i="3"/>
  <c r="H6204" i="3"/>
  <c r="H2289" i="3"/>
  <c r="H4403" i="3"/>
  <c r="H5380" i="3"/>
  <c r="H272" i="3"/>
  <c r="H5381" i="3"/>
  <c r="H3972" i="3"/>
  <c r="H5382" i="3"/>
  <c r="H273" i="3"/>
  <c r="H2290" i="3"/>
  <c r="H5383" i="3"/>
  <c r="H5384" i="3"/>
  <c r="H3973" i="3"/>
  <c r="H274" i="3"/>
  <c r="H4404" i="3"/>
  <c r="H1388" i="3"/>
  <c r="H6205" i="3"/>
  <c r="H4405" i="3"/>
  <c r="H7330" i="3"/>
  <c r="H3974" i="3"/>
  <c r="H1389" i="3"/>
  <c r="H5385" i="3"/>
  <c r="H5386" i="3"/>
  <c r="H5387" i="3"/>
  <c r="H2516" i="3"/>
  <c r="H837" i="3"/>
  <c r="H838" i="3"/>
  <c r="H6206" i="3"/>
  <c r="H2291" i="3"/>
  <c r="H5388" i="3"/>
  <c r="H5389" i="3"/>
  <c r="H7167" i="3"/>
  <c r="H3975" i="3"/>
  <c r="H1390" i="3"/>
  <c r="H5390" i="3"/>
  <c r="H5391" i="3"/>
  <c r="H5392" i="3"/>
  <c r="H5393" i="3"/>
  <c r="H3976" i="3"/>
  <c r="H6207" i="3"/>
  <c r="H3977" i="3"/>
  <c r="H5394" i="3"/>
  <c r="H5395" i="3"/>
  <c r="H5396" i="3"/>
  <c r="H6208" i="3"/>
  <c r="H275" i="3"/>
  <c r="H4406" i="3"/>
  <c r="H5397" i="3"/>
  <c r="H5398" i="3"/>
  <c r="H5399" i="3"/>
  <c r="H5400" i="3"/>
  <c r="H5401" i="3"/>
  <c r="H3978" i="3"/>
  <c r="H2292" i="3"/>
  <c r="H5402" i="3"/>
  <c r="H5403" i="3"/>
  <c r="H5404" i="3"/>
  <c r="H5405" i="3"/>
  <c r="H2517" i="3"/>
  <c r="H276" i="3"/>
  <c r="H277" i="3"/>
  <c r="H7905" i="3"/>
  <c r="H5406" i="3"/>
  <c r="H5407" i="3"/>
  <c r="H5408" i="3"/>
  <c r="H278" i="3"/>
  <c r="H5409" i="3"/>
  <c r="H5410" i="3"/>
  <c r="H5411" i="3"/>
  <c r="H5412" i="3"/>
  <c r="H5413" i="3"/>
  <c r="H5414" i="3"/>
  <c r="H5415" i="3"/>
  <c r="H839" i="3"/>
  <c r="H6209" i="3"/>
  <c r="H2518" i="3"/>
  <c r="H7168" i="3"/>
  <c r="H5416" i="3"/>
  <c r="H2519" i="3"/>
  <c r="H5417" i="3"/>
  <c r="H2520" i="3"/>
  <c r="H7169" i="3"/>
  <c r="H3979" i="3"/>
  <c r="H3980" i="3"/>
  <c r="H2293" i="3"/>
  <c r="H279" i="3"/>
  <c r="H3981" i="3"/>
  <c r="H5418" i="3"/>
  <c r="H1929" i="3"/>
  <c r="H7331" i="3"/>
  <c r="H6210" i="3"/>
  <c r="H5419" i="3"/>
  <c r="H5420" i="3"/>
  <c r="H4275" i="3"/>
  <c r="H5421" i="3"/>
  <c r="H2521" i="3"/>
  <c r="H2294" i="3"/>
  <c r="H280" i="3"/>
  <c r="H7332" i="3"/>
  <c r="H3982" i="3"/>
  <c r="H4276" i="3"/>
  <c r="H7170" i="3"/>
  <c r="H3983" i="3"/>
  <c r="H5422" i="3"/>
  <c r="H2295" i="3"/>
  <c r="H5423" i="3"/>
  <c r="H5424" i="3"/>
  <c r="H437" i="3"/>
  <c r="H5425" i="3"/>
  <c r="H281" i="3"/>
  <c r="H3984" i="3"/>
  <c r="H2522" i="3"/>
  <c r="H282" i="3"/>
  <c r="H5426" i="3"/>
  <c r="H3985" i="3"/>
  <c r="H5427" i="3"/>
  <c r="H5428" i="3"/>
  <c r="H840" i="3"/>
  <c r="H6211" i="3"/>
  <c r="H4407" i="3"/>
  <c r="H2296" i="3"/>
  <c r="H283" i="3"/>
  <c r="H5429" i="3"/>
  <c r="H3986" i="3"/>
  <c r="H4277" i="3"/>
  <c r="H5430" i="3"/>
  <c r="H2297" i="3"/>
  <c r="H5431" i="3"/>
  <c r="H3987" i="3"/>
  <c r="H3988" i="3"/>
  <c r="H5432" i="3"/>
  <c r="H3989" i="3"/>
  <c r="H5433" i="3"/>
  <c r="H5434" i="3"/>
  <c r="H5435" i="3"/>
  <c r="H5436" i="3"/>
  <c r="H2523" i="3"/>
  <c r="H2524" i="3"/>
  <c r="H6212" i="3"/>
  <c r="H3990" i="3"/>
  <c r="H5437" i="3"/>
  <c r="H5438" i="3"/>
  <c r="H2298" i="3"/>
  <c r="H284" i="3"/>
  <c r="H1930" i="3"/>
  <c r="H1391" i="3"/>
  <c r="H2299" i="3"/>
  <c r="H2525" i="3"/>
  <c r="H5439" i="3"/>
  <c r="H841" i="3"/>
  <c r="H7171" i="3"/>
  <c r="H5440" i="3"/>
  <c r="H6213" i="3"/>
  <c r="H285" i="3"/>
  <c r="H2300" i="3"/>
  <c r="H5441" i="3"/>
  <c r="H6214" i="3"/>
  <c r="H3991" i="3"/>
  <c r="H3992" i="3"/>
  <c r="H2301" i="3"/>
  <c r="H5442" i="3"/>
  <c r="H2526" i="3"/>
  <c r="H2527" i="3"/>
  <c r="H3993" i="3"/>
  <c r="H5443" i="3"/>
  <c r="H5444" i="3"/>
  <c r="H5445" i="3"/>
  <c r="H2528" i="3"/>
  <c r="H5446" i="3"/>
  <c r="H5447" i="3"/>
  <c r="H5448" i="3"/>
  <c r="H6215" i="3"/>
  <c r="H4408" i="3"/>
  <c r="H3994" i="3"/>
  <c r="H7172" i="3"/>
  <c r="H3995" i="3"/>
  <c r="H2302" i="3"/>
  <c r="H5449" i="3"/>
  <c r="H1931" i="3"/>
  <c r="H7906" i="3"/>
  <c r="H5450" i="3"/>
  <c r="H5451" i="3"/>
  <c r="H286" i="3"/>
  <c r="H2303" i="3"/>
  <c r="H5452" i="3"/>
  <c r="H5453" i="3"/>
  <c r="H5454" i="3"/>
  <c r="H3996" i="3"/>
  <c r="H5455" i="3"/>
  <c r="H5456" i="3"/>
  <c r="H5457" i="3"/>
  <c r="H287" i="3"/>
  <c r="H1932" i="3"/>
  <c r="H4409" i="3"/>
  <c r="H5458" i="3"/>
  <c r="H7173" i="3"/>
  <c r="H3997" i="3"/>
  <c r="H6216" i="3"/>
  <c r="H2529" i="3"/>
  <c r="H5459" i="3"/>
  <c r="H288" i="3"/>
  <c r="H3998" i="3"/>
  <c r="H5460" i="3"/>
  <c r="H5461" i="3"/>
  <c r="H7174" i="3"/>
  <c r="H289" i="3"/>
  <c r="H3999" i="3"/>
  <c r="H5462" i="3"/>
  <c r="H5463" i="3"/>
  <c r="H5464" i="3"/>
  <c r="H2530" i="3"/>
  <c r="H7333" i="3"/>
  <c r="H5465" i="3"/>
  <c r="H5466" i="3"/>
  <c r="H7271" i="3"/>
  <c r="H2304" i="3"/>
  <c r="H5467" i="3"/>
  <c r="H5468" i="3"/>
  <c r="H4000" i="3"/>
  <c r="H4001" i="3"/>
  <c r="H5469" i="3"/>
  <c r="H5470" i="3"/>
  <c r="H5471" i="3"/>
  <c r="H4002" i="3"/>
  <c r="H7175" i="3"/>
  <c r="H4003" i="3"/>
  <c r="H5472" i="3"/>
  <c r="H290" i="3"/>
  <c r="H4004" i="3"/>
  <c r="H291" i="3"/>
  <c r="H292" i="3"/>
  <c r="H4005" i="3"/>
  <c r="H5473" i="3"/>
  <c r="H2531" i="3"/>
  <c r="H7334" i="3"/>
  <c r="H4006" i="3"/>
  <c r="H2532" i="3"/>
  <c r="H5474" i="3"/>
  <c r="H5475" i="3"/>
  <c r="H6217" i="3"/>
  <c r="H7907" i="3"/>
  <c r="H6619" i="3"/>
  <c r="H5476" i="3"/>
  <c r="H5477" i="3"/>
  <c r="H4410" i="3"/>
  <c r="H7335" i="3"/>
  <c r="H4007" i="3"/>
  <c r="H5478" i="3"/>
  <c r="H4008" i="3"/>
  <c r="H2533" i="3"/>
  <c r="H7336" i="3"/>
  <c r="H5479" i="3"/>
  <c r="H6218" i="3"/>
  <c r="H2534" i="3"/>
  <c r="H4009" i="3"/>
  <c r="H7908" i="3"/>
  <c r="H5480" i="3"/>
  <c r="H5481" i="3"/>
  <c r="H5482" i="3"/>
  <c r="H4010" i="3"/>
  <c r="H5483" i="3"/>
  <c r="H5484" i="3"/>
  <c r="H5485" i="3"/>
  <c r="H5486" i="3"/>
  <c r="H5487" i="3"/>
  <c r="H5488" i="3"/>
  <c r="H5489" i="3"/>
  <c r="H2535" i="3"/>
  <c r="H7337" i="3"/>
  <c r="H5490" i="3"/>
  <c r="H4278" i="3"/>
  <c r="H4411" i="3"/>
  <c r="H4011" i="3"/>
  <c r="H4012" i="3"/>
  <c r="H4013" i="3"/>
  <c r="H5491" i="3"/>
  <c r="H2536" i="3"/>
  <c r="H5492" i="3"/>
  <c r="H5493" i="3"/>
  <c r="H4014" i="3"/>
  <c r="H2305" i="3"/>
  <c r="H5494" i="3"/>
  <c r="H5495" i="3"/>
  <c r="H293" i="3"/>
  <c r="H4015" i="3"/>
  <c r="H4412" i="3"/>
  <c r="H4016" i="3"/>
  <c r="H2306" i="3"/>
  <c r="H5496" i="3"/>
  <c r="H4017" i="3"/>
  <c r="H5497" i="3"/>
  <c r="H4018" i="3"/>
  <c r="H5498" i="3"/>
  <c r="H2537" i="3"/>
  <c r="H5499" i="3"/>
  <c r="H5500" i="3"/>
  <c r="H4019" i="3"/>
  <c r="H5501" i="3"/>
  <c r="H4020" i="3"/>
  <c r="H7338" i="3"/>
  <c r="H5502" i="3"/>
  <c r="H5503" i="3"/>
  <c r="H7339" i="3"/>
  <c r="H7176" i="3"/>
  <c r="H7340" i="3"/>
  <c r="H5504" i="3"/>
  <c r="H4021" i="3"/>
  <c r="H5505" i="3"/>
  <c r="H6219" i="3"/>
  <c r="H4022" i="3"/>
  <c r="H5506" i="3"/>
  <c r="H1933" i="3"/>
  <c r="H5507" i="3"/>
  <c r="H5508" i="3"/>
  <c r="H4023" i="3"/>
  <c r="H4024" i="3"/>
  <c r="H4025" i="3"/>
  <c r="H5509" i="3"/>
  <c r="H5510" i="3"/>
  <c r="H5511" i="3"/>
  <c r="H4026" i="3"/>
  <c r="H5512" i="3"/>
  <c r="H7341" i="3"/>
  <c r="H5513" i="3"/>
  <c r="H4027" i="3"/>
  <c r="H5514" i="3"/>
  <c r="H5515" i="3"/>
  <c r="H2307" i="3"/>
  <c r="H5516" i="3"/>
  <c r="H5517" i="3"/>
  <c r="H6220" i="3"/>
  <c r="H6221" i="3"/>
  <c r="H7177" i="3"/>
  <c r="H4028" i="3"/>
  <c r="H5518" i="3"/>
  <c r="H5519" i="3"/>
  <c r="H5520" i="3"/>
  <c r="H4029" i="3"/>
  <c r="H5521" i="3"/>
  <c r="H5522" i="3"/>
  <c r="H5523" i="3"/>
  <c r="H2308" i="3"/>
  <c r="H5524" i="3"/>
  <c r="H2538" i="3"/>
  <c r="H5525" i="3"/>
  <c r="H4030" i="3"/>
  <c r="H5526" i="3"/>
  <c r="H5527" i="3"/>
  <c r="H4031" i="3"/>
  <c r="H4032" i="3"/>
  <c r="H2309" i="3"/>
  <c r="H5528" i="3"/>
  <c r="H5853" i="3"/>
  <c r="H2539" i="3"/>
  <c r="H5529" i="3"/>
  <c r="H6222" i="3"/>
  <c r="H2310" i="3"/>
  <c r="H5530" i="3"/>
  <c r="H7178" i="3"/>
  <c r="H5531" i="3"/>
  <c r="H294" i="3"/>
  <c r="H6223" i="3"/>
  <c r="H6224" i="3"/>
  <c r="H5532" i="3"/>
  <c r="H7179" i="3"/>
  <c r="H4413" i="3"/>
  <c r="H2540" i="3"/>
  <c r="H4279" i="3"/>
  <c r="H5533" i="3"/>
  <c r="H5534" i="3"/>
  <c r="H4033" i="3"/>
  <c r="H5535" i="3"/>
  <c r="H295" i="3"/>
  <c r="H4414" i="3"/>
  <c r="H7342" i="3"/>
  <c r="H1718" i="3"/>
  <c r="H5536" i="3"/>
  <c r="H5537" i="3"/>
  <c r="H5538" i="3"/>
  <c r="H5539" i="3"/>
  <c r="H4280" i="3"/>
  <c r="H4034" i="3"/>
  <c r="H4035" i="3"/>
  <c r="H6225" i="3"/>
  <c r="H296" i="3"/>
  <c r="H4036" i="3"/>
  <c r="H6226" i="3"/>
  <c r="H5540" i="3"/>
  <c r="H4037" i="3"/>
  <c r="H297" i="3"/>
  <c r="H298" i="3"/>
  <c r="H5541" i="3"/>
  <c r="H5542" i="3"/>
  <c r="H5543" i="3"/>
  <c r="H5544" i="3"/>
  <c r="H5545" i="3"/>
  <c r="H299" i="3"/>
  <c r="H4038" i="3"/>
  <c r="H4039" i="3"/>
  <c r="H5546" i="3"/>
  <c r="H5547" i="3"/>
  <c r="H7272" i="3"/>
  <c r="H1934" i="3"/>
  <c r="H4040" i="3"/>
  <c r="H2311" i="3"/>
  <c r="H5548" i="3"/>
  <c r="H4041" i="3"/>
  <c r="H5549" i="3"/>
  <c r="H4042" i="3"/>
  <c r="H300" i="3"/>
  <c r="H301" i="3"/>
  <c r="H5550" i="3"/>
  <c r="H7343" i="3"/>
  <c r="H5551" i="3"/>
  <c r="H2541" i="3"/>
  <c r="H7180" i="3"/>
  <c r="H4415" i="3"/>
  <c r="H7909" i="3"/>
  <c r="H5552" i="3"/>
  <c r="H4043" i="3"/>
  <c r="H4416" i="3"/>
  <c r="H5553" i="3"/>
  <c r="H5554" i="3"/>
  <c r="H2542" i="3"/>
  <c r="H2543" i="3"/>
  <c r="H5555" i="3"/>
  <c r="H6227" i="3"/>
  <c r="H6228" i="3"/>
  <c r="H5556" i="3"/>
  <c r="H7344" i="3"/>
  <c r="H5557" i="3"/>
  <c r="H302" i="3"/>
  <c r="H7345" i="3"/>
  <c r="H5558" i="3"/>
  <c r="H5559" i="3"/>
  <c r="H5560" i="3"/>
  <c r="H2544" i="3"/>
  <c r="H5561" i="3"/>
  <c r="H5562" i="3"/>
  <c r="H5563" i="3"/>
  <c r="H303" i="3"/>
  <c r="H4044" i="3"/>
  <c r="H4045" i="3"/>
  <c r="H5564" i="3"/>
  <c r="H5565" i="3"/>
  <c r="H2545" i="3"/>
  <c r="H304" i="3"/>
  <c r="H2312" i="3"/>
  <c r="H4046" i="3"/>
  <c r="H5566" i="3"/>
  <c r="H5567" i="3"/>
  <c r="H5568" i="3"/>
  <c r="H7346" i="3"/>
  <c r="H5569" i="3"/>
  <c r="H1719" i="3"/>
  <c r="H5570" i="3"/>
  <c r="H5571" i="3"/>
  <c r="H5572" i="3"/>
  <c r="H6229" i="3"/>
  <c r="H5573" i="3"/>
  <c r="H305" i="3"/>
  <c r="H4047" i="3"/>
  <c r="H5574" i="3"/>
  <c r="H5575" i="3"/>
  <c r="H5576" i="3"/>
  <c r="H5577" i="3"/>
  <c r="H5578" i="3"/>
  <c r="H5579" i="3"/>
  <c r="H5580" i="3"/>
  <c r="H5581" i="3"/>
  <c r="H5582" i="3"/>
  <c r="H306" i="3"/>
  <c r="H4048" i="3"/>
  <c r="H5583" i="3"/>
  <c r="H5584" i="3"/>
  <c r="H5585" i="3"/>
  <c r="H4049" i="3"/>
  <c r="H4050" i="3"/>
  <c r="H5586" i="3"/>
  <c r="H5587" i="3"/>
  <c r="H2546" i="3"/>
  <c r="H5588" i="3"/>
  <c r="H5589" i="3"/>
  <c r="H5590" i="3"/>
  <c r="H5591" i="3"/>
  <c r="H4051" i="3"/>
  <c r="H5592" i="3"/>
  <c r="H5593" i="3"/>
  <c r="H5594" i="3"/>
  <c r="H5595" i="3"/>
  <c r="H5596" i="3"/>
  <c r="H5597" i="3"/>
  <c r="H4052" i="3"/>
  <c r="H4053" i="3"/>
  <c r="H1935" i="3"/>
  <c r="D7910" i="3"/>
  <c r="F7910" i="3"/>
  <c r="F7908" i="3"/>
  <c r="G7908" i="3" s="1"/>
  <c r="F7907" i="3"/>
  <c r="F7906" i="3"/>
  <c r="F7905" i="3"/>
  <c r="F7904" i="3"/>
  <c r="F7903" i="3"/>
  <c r="F7902" i="3"/>
  <c r="F7901" i="3"/>
  <c r="F7900" i="3"/>
  <c r="F7898" i="3"/>
  <c r="F7899" i="3"/>
  <c r="F7897" i="3"/>
  <c r="F7896" i="3"/>
  <c r="F7895" i="3"/>
  <c r="F7893" i="3"/>
  <c r="F7894" i="3"/>
  <c r="F7892" i="3"/>
  <c r="F7891" i="3"/>
  <c r="F7890" i="3"/>
  <c r="F7889" i="3"/>
  <c r="F7888" i="3"/>
  <c r="F7887" i="3"/>
  <c r="F7886" i="3"/>
  <c r="F7885" i="3"/>
  <c r="F7884" i="3"/>
  <c r="F7883" i="3"/>
  <c r="F7882" i="3"/>
  <c r="F7881" i="3"/>
  <c r="F7880" i="3"/>
  <c r="F7879" i="3"/>
  <c r="F7878" i="3"/>
  <c r="F7877" i="3"/>
  <c r="F7876" i="3"/>
  <c r="F7875" i="3"/>
  <c r="F7874" i="3"/>
  <c r="F7873" i="3"/>
  <c r="F7872" i="3"/>
  <c r="F7871" i="3"/>
  <c r="F7870" i="3"/>
  <c r="F7869" i="3"/>
  <c r="F7868" i="3"/>
  <c r="F7867" i="3"/>
  <c r="F7866" i="3"/>
  <c r="F7865" i="3"/>
  <c r="F7864" i="3"/>
  <c r="F7863" i="3"/>
  <c r="F7862" i="3"/>
  <c r="F7861" i="3"/>
  <c r="F7860" i="3"/>
  <c r="F7859" i="3"/>
  <c r="F7858" i="3"/>
  <c r="F7857" i="3"/>
  <c r="F7856" i="3"/>
  <c r="F7855" i="3"/>
  <c r="F7854" i="3"/>
  <c r="F7853" i="3"/>
  <c r="F7852" i="3"/>
  <c r="F7851" i="3"/>
  <c r="F7850" i="3"/>
  <c r="F7849" i="3"/>
  <c r="F7848" i="3"/>
  <c r="F7847" i="3"/>
  <c r="F7846" i="3"/>
  <c r="F7845" i="3"/>
  <c r="F7844" i="3"/>
  <c r="F7843" i="3"/>
  <c r="F7842" i="3"/>
  <c r="F7841" i="3"/>
  <c r="F7840" i="3"/>
  <c r="F7839" i="3"/>
  <c r="F7838" i="3"/>
  <c r="F7837" i="3"/>
  <c r="F7836" i="3"/>
  <c r="F7835" i="3"/>
  <c r="F7834" i="3"/>
  <c r="F7833" i="3"/>
  <c r="F7832" i="3"/>
  <c r="F7831" i="3"/>
  <c r="F7830" i="3"/>
  <c r="F7829" i="3"/>
  <c r="F7828" i="3"/>
  <c r="F7827" i="3"/>
  <c r="F7826" i="3"/>
  <c r="F7825" i="3"/>
  <c r="F7824" i="3"/>
  <c r="F7823" i="3"/>
  <c r="F7822" i="3"/>
  <c r="F7820" i="3"/>
  <c r="F7821" i="3"/>
  <c r="F7819" i="3"/>
  <c r="F7817" i="3"/>
  <c r="F7818" i="3"/>
  <c r="F7816" i="3"/>
  <c r="F7815" i="3"/>
  <c r="F7814" i="3"/>
  <c r="F7813" i="3"/>
  <c r="F7812" i="3"/>
  <c r="F7811" i="3"/>
  <c r="F7810" i="3"/>
  <c r="F7809" i="3"/>
  <c r="F7808" i="3"/>
  <c r="F7807" i="3"/>
  <c r="F7806" i="3"/>
  <c r="F7805" i="3"/>
  <c r="F7804" i="3"/>
  <c r="F7803" i="3"/>
  <c r="F7802" i="3"/>
  <c r="F7801" i="3"/>
  <c r="F7800" i="3"/>
  <c r="F7799" i="3"/>
  <c r="F7797" i="3"/>
  <c r="F7798" i="3"/>
  <c r="F7796" i="3"/>
  <c r="F7794" i="3"/>
  <c r="F7795" i="3"/>
  <c r="F7793" i="3"/>
  <c r="F7792" i="3"/>
  <c r="F7791" i="3"/>
  <c r="F7790" i="3"/>
  <c r="F7789" i="3"/>
  <c r="F7788" i="3"/>
  <c r="F7787" i="3"/>
  <c r="F7786" i="3"/>
  <c r="F7785" i="3"/>
  <c r="F7784" i="3"/>
  <c r="F7783" i="3"/>
  <c r="F7782" i="3"/>
  <c r="F7781" i="3"/>
  <c r="F7780" i="3"/>
  <c r="F7779" i="3"/>
  <c r="F7778" i="3"/>
  <c r="F7777" i="3"/>
  <c r="F7776" i="3"/>
  <c r="F7775" i="3"/>
  <c r="F7774" i="3"/>
  <c r="F7773" i="3"/>
  <c r="F7772" i="3"/>
  <c r="F7771" i="3"/>
  <c r="F7770" i="3"/>
  <c r="F7768" i="3"/>
  <c r="F7769" i="3"/>
  <c r="F7767" i="3"/>
  <c r="F7766" i="3"/>
  <c r="F7764" i="3"/>
  <c r="F7765" i="3"/>
  <c r="F7763" i="3"/>
  <c r="F7762" i="3"/>
  <c r="F7761" i="3"/>
  <c r="F7760" i="3"/>
  <c r="F7759" i="3"/>
  <c r="F7757" i="3"/>
  <c r="F7758" i="3"/>
  <c r="F7756" i="3"/>
  <c r="F7755" i="3"/>
  <c r="F7754" i="3"/>
  <c r="F7753" i="3"/>
  <c r="F7752" i="3"/>
  <c r="F7751" i="3"/>
  <c r="F7750" i="3"/>
  <c r="F7749" i="3"/>
  <c r="F7748" i="3"/>
  <c r="F7747" i="3"/>
  <c r="F7745" i="3"/>
  <c r="F7746" i="3"/>
  <c r="F7744" i="3"/>
  <c r="F7743" i="3"/>
  <c r="F7742" i="3"/>
  <c r="F7741" i="3"/>
  <c r="F7740" i="3"/>
  <c r="F7739" i="3"/>
  <c r="F7738" i="3"/>
  <c r="F7737" i="3"/>
  <c r="F7736" i="3"/>
  <c r="F7735" i="3"/>
  <c r="F7734" i="3"/>
  <c r="F7733" i="3"/>
  <c r="F7732" i="3"/>
  <c r="F7731" i="3"/>
  <c r="F7730" i="3"/>
  <c r="F7729" i="3"/>
  <c r="F7728" i="3"/>
  <c r="F7727" i="3"/>
  <c r="F7726" i="3"/>
  <c r="F7725" i="3"/>
  <c r="F7723" i="3"/>
  <c r="F7724" i="3"/>
  <c r="F7722" i="3"/>
  <c r="F7721" i="3"/>
  <c r="F7720" i="3"/>
  <c r="F7719" i="3"/>
  <c r="F7718" i="3"/>
  <c r="F7716" i="3"/>
  <c r="F7717" i="3"/>
  <c r="F7715" i="3"/>
  <c r="F7714" i="3"/>
  <c r="F7713" i="3"/>
  <c r="F7712" i="3"/>
  <c r="F7711" i="3"/>
  <c r="F7710" i="3"/>
  <c r="F7709" i="3"/>
  <c r="F7708" i="3"/>
  <c r="F7707" i="3"/>
  <c r="F7706" i="3"/>
  <c r="F7705" i="3"/>
  <c r="F7704" i="3"/>
  <c r="F7703" i="3"/>
  <c r="F7702" i="3"/>
  <c r="F7701" i="3"/>
  <c r="F7700" i="3"/>
  <c r="F7699" i="3"/>
  <c r="F7698" i="3"/>
  <c r="F7697" i="3"/>
  <c r="F7696" i="3"/>
  <c r="F7695" i="3"/>
  <c r="F7694" i="3"/>
  <c r="F7693" i="3"/>
  <c r="F7692" i="3"/>
  <c r="F7691" i="3"/>
  <c r="F7690" i="3"/>
  <c r="F7689" i="3"/>
  <c r="F7688" i="3"/>
  <c r="F7687" i="3"/>
  <c r="F7686" i="3"/>
  <c r="F7685" i="3"/>
  <c r="F7684" i="3"/>
  <c r="F7683" i="3"/>
  <c r="F7682" i="3"/>
  <c r="F7681" i="3"/>
  <c r="F7680" i="3"/>
  <c r="F7679" i="3"/>
  <c r="F7678" i="3"/>
  <c r="F7677" i="3"/>
  <c r="F7676" i="3"/>
  <c r="F7675" i="3"/>
  <c r="F7674" i="3"/>
  <c r="F7673" i="3"/>
  <c r="F7672" i="3"/>
  <c r="F7671" i="3"/>
  <c r="F7670" i="3"/>
  <c r="F7669" i="3"/>
  <c r="F7668" i="3"/>
  <c r="F7667" i="3"/>
  <c r="F7666" i="3"/>
  <c r="F7665" i="3"/>
  <c r="F7664" i="3"/>
  <c r="F7663" i="3"/>
  <c r="F7662" i="3"/>
  <c r="F7661" i="3"/>
  <c r="F7660" i="3"/>
  <c r="F7659" i="3"/>
  <c r="F7658" i="3"/>
  <c r="F7656" i="3"/>
  <c r="F7657" i="3"/>
  <c r="F7655" i="3"/>
  <c r="F7654" i="3"/>
  <c r="F7653" i="3"/>
  <c r="F7652" i="3"/>
  <c r="F7651" i="3"/>
  <c r="F7650" i="3"/>
  <c r="F7649" i="3"/>
  <c r="F7648" i="3"/>
  <c r="F7647" i="3"/>
  <c r="F7646" i="3"/>
  <c r="F7645" i="3"/>
  <c r="F7644" i="3"/>
  <c r="F7643" i="3"/>
  <c r="F7642" i="3"/>
  <c r="F7641" i="3"/>
  <c r="F7640" i="3"/>
  <c r="F7639" i="3"/>
  <c r="F7638" i="3"/>
  <c r="F7637" i="3"/>
  <c r="F7636" i="3"/>
  <c r="F7635" i="3"/>
  <c r="F7634" i="3"/>
  <c r="F7633" i="3"/>
  <c r="F7632" i="3"/>
  <c r="F7631" i="3"/>
  <c r="F7630" i="3"/>
  <c r="F7629" i="3"/>
  <c r="F7628" i="3"/>
  <c r="F7627" i="3"/>
  <c r="F7626" i="3"/>
  <c r="F7625" i="3"/>
  <c r="F7624" i="3"/>
  <c r="F7623" i="3"/>
  <c r="F7622" i="3"/>
  <c r="F7621" i="3"/>
  <c r="F7620" i="3"/>
  <c r="F7619" i="3"/>
  <c r="F7618" i="3"/>
  <c r="F7617" i="3"/>
  <c r="F7616" i="3"/>
  <c r="F7615" i="3"/>
  <c r="F7614" i="3"/>
  <c r="F7613" i="3"/>
  <c r="F7612" i="3"/>
  <c r="F7611" i="3"/>
  <c r="F7610" i="3"/>
  <c r="F7609" i="3"/>
  <c r="F7608" i="3"/>
  <c r="F7607" i="3"/>
  <c r="F7606" i="3"/>
  <c r="F7605" i="3"/>
  <c r="F7604" i="3"/>
  <c r="F7603" i="3"/>
  <c r="F7602" i="3"/>
  <c r="F7601" i="3"/>
  <c r="F7600" i="3"/>
  <c r="F7599" i="3"/>
  <c r="F7598" i="3"/>
  <c r="F7597" i="3"/>
  <c r="F7596" i="3"/>
  <c r="F7595" i="3"/>
  <c r="F7594" i="3"/>
  <c r="F7593" i="3"/>
  <c r="F7592" i="3"/>
  <c r="F7591" i="3"/>
  <c r="F7590" i="3"/>
  <c r="F7589" i="3"/>
  <c r="F7588" i="3"/>
  <c r="F7587" i="3"/>
  <c r="F7586" i="3"/>
  <c r="F7585" i="3"/>
  <c r="F7584" i="3"/>
  <c r="F7583" i="3"/>
  <c r="F7582" i="3"/>
  <c r="F7581" i="3"/>
  <c r="F7580" i="3"/>
  <c r="F7579" i="3"/>
  <c r="F7578" i="3"/>
  <c r="F7577" i="3"/>
  <c r="F7576" i="3"/>
  <c r="F7575" i="3"/>
  <c r="F7574" i="3"/>
  <c r="F7573" i="3"/>
  <c r="F7572" i="3"/>
  <c r="F7571" i="3"/>
  <c r="F7570" i="3"/>
  <c r="F7569" i="3"/>
  <c r="F7568" i="3"/>
  <c r="F7567" i="3"/>
  <c r="F7566" i="3"/>
  <c r="F7565" i="3"/>
  <c r="F7564" i="3"/>
  <c r="F7563" i="3"/>
  <c r="F7562" i="3"/>
  <c r="F7561" i="3"/>
  <c r="F7560" i="3"/>
  <c r="F7559" i="3"/>
  <c r="F7558" i="3"/>
  <c r="F7557" i="3"/>
  <c r="F7556" i="3"/>
  <c r="F7555" i="3"/>
  <c r="F7554" i="3"/>
  <c r="F7553" i="3"/>
  <c r="F7552" i="3"/>
  <c r="F7551" i="3"/>
  <c r="F7550" i="3"/>
  <c r="F7549" i="3"/>
  <c r="F7548" i="3"/>
  <c r="F7547" i="3"/>
  <c r="F7546" i="3"/>
  <c r="F7545" i="3"/>
  <c r="F7544" i="3"/>
  <c r="F7543" i="3"/>
  <c r="F7542" i="3"/>
  <c r="F7541" i="3"/>
  <c r="F7540" i="3"/>
  <c r="F7539" i="3"/>
  <c r="F7538" i="3"/>
  <c r="F7537" i="3"/>
  <c r="F7535" i="3"/>
  <c r="F7536" i="3"/>
  <c r="F7534" i="3"/>
  <c r="F7533" i="3"/>
  <c r="F7532" i="3"/>
  <c r="F7531" i="3"/>
  <c r="F7530" i="3"/>
  <c r="F7529" i="3"/>
  <c r="F7528" i="3"/>
  <c r="F7527" i="3"/>
  <c r="F7526" i="3"/>
  <c r="F7525" i="3"/>
  <c r="F7524" i="3"/>
  <c r="F7523" i="3"/>
  <c r="F7522" i="3"/>
  <c r="F7521" i="3"/>
  <c r="F7520" i="3"/>
  <c r="F7519" i="3"/>
  <c r="F7518" i="3"/>
  <c r="F7517" i="3"/>
  <c r="F7516" i="3"/>
  <c r="F7515" i="3"/>
  <c r="F7514" i="3"/>
  <c r="F7513" i="3"/>
  <c r="F7512" i="3"/>
  <c r="F7511" i="3"/>
  <c r="F7510" i="3"/>
  <c r="F7509" i="3"/>
  <c r="F7508" i="3"/>
  <c r="F7507" i="3"/>
  <c r="F7506" i="3"/>
  <c r="F7505" i="3"/>
  <c r="F7504" i="3"/>
  <c r="F7503" i="3"/>
  <c r="F7502" i="3"/>
  <c r="F7501" i="3"/>
  <c r="F7500" i="3"/>
  <c r="F7499" i="3"/>
  <c r="F7498" i="3"/>
  <c r="F7497" i="3"/>
  <c r="F7496" i="3"/>
  <c r="F7495" i="3"/>
  <c r="F7494" i="3"/>
  <c r="F7493" i="3"/>
  <c r="F7492" i="3"/>
  <c r="F7491" i="3"/>
  <c r="F7490" i="3"/>
  <c r="F7489" i="3"/>
  <c r="F7488" i="3"/>
  <c r="F7487" i="3"/>
  <c r="F7486" i="3"/>
  <c r="F7485" i="3"/>
  <c r="F7484" i="3"/>
  <c r="F7483" i="3"/>
  <c r="F7482" i="3"/>
  <c r="F7481" i="3"/>
  <c r="F7480" i="3"/>
  <c r="F7479" i="3"/>
  <c r="F7478" i="3"/>
  <c r="F7477" i="3"/>
  <c r="F7476" i="3"/>
  <c r="F7475" i="3"/>
  <c r="F7474" i="3"/>
  <c r="F7473" i="3"/>
  <c r="F7472" i="3"/>
  <c r="F7471" i="3"/>
  <c r="F7470" i="3"/>
  <c r="F7469" i="3"/>
  <c r="F7468" i="3"/>
  <c r="F7467" i="3"/>
  <c r="F7466" i="3"/>
  <c r="F7465" i="3"/>
  <c r="F7464" i="3"/>
  <c r="F7463" i="3"/>
  <c r="F7462" i="3"/>
  <c r="F7461" i="3"/>
  <c r="F7460" i="3"/>
  <c r="F7459" i="3"/>
  <c r="F7458" i="3"/>
  <c r="F7457" i="3"/>
  <c r="F7456" i="3"/>
  <c r="F7455" i="3"/>
  <c r="F7454" i="3"/>
  <c r="F7453" i="3"/>
  <c r="F7452" i="3"/>
  <c r="F7451" i="3"/>
  <c r="F7450" i="3"/>
  <c r="F7449" i="3"/>
  <c r="F7448" i="3"/>
  <c r="F7447" i="3"/>
  <c r="F7446" i="3"/>
  <c r="F7445" i="3"/>
  <c r="F7444" i="3"/>
  <c r="F7443" i="3"/>
  <c r="F7442" i="3"/>
  <c r="F7441" i="3"/>
  <c r="F7440" i="3"/>
  <c r="F7439" i="3"/>
  <c r="F7438" i="3"/>
  <c r="F7437" i="3"/>
  <c r="F7436" i="3"/>
  <c r="F7435" i="3"/>
  <c r="F7434" i="3"/>
  <c r="F7433" i="3"/>
  <c r="F7432" i="3"/>
  <c r="F7431" i="3"/>
  <c r="F7430" i="3"/>
  <c r="F7429" i="3"/>
  <c r="F7428" i="3"/>
  <c r="F7427" i="3"/>
  <c r="F7426" i="3"/>
  <c r="F7425" i="3"/>
  <c r="F7424" i="3"/>
  <c r="F7423" i="3"/>
  <c r="F7422" i="3"/>
  <c r="F7421" i="3"/>
  <c r="F7420" i="3"/>
  <c r="F7419" i="3"/>
  <c r="F7418" i="3"/>
  <c r="F7417" i="3"/>
  <c r="F7416" i="3"/>
  <c r="F7415" i="3"/>
  <c r="F7414" i="3"/>
  <c r="F7413" i="3"/>
  <c r="F7412" i="3"/>
  <c r="F7411" i="3"/>
  <c r="F7410" i="3"/>
  <c r="F7409" i="3"/>
  <c r="F7408" i="3"/>
  <c r="F7407" i="3"/>
  <c r="F7406" i="3"/>
  <c r="F7405" i="3"/>
  <c r="F7404" i="3"/>
  <c r="F7403" i="3"/>
  <c r="F7402" i="3"/>
  <c r="F7401" i="3"/>
  <c r="F7400" i="3"/>
  <c r="F7399" i="3"/>
  <c r="F7398" i="3"/>
  <c r="F7397" i="3"/>
  <c r="F7396" i="3"/>
  <c r="F7395" i="3"/>
  <c r="F7394" i="3"/>
  <c r="F7393" i="3"/>
  <c r="F7392" i="3"/>
  <c r="F7391" i="3"/>
  <c r="F7390" i="3"/>
  <c r="F7389" i="3"/>
  <c r="F7388" i="3"/>
  <c r="F7387" i="3"/>
  <c r="F7386" i="3"/>
  <c r="F7385" i="3"/>
  <c r="F7384" i="3"/>
  <c r="F7383" i="3"/>
  <c r="F7382" i="3"/>
  <c r="F7381" i="3"/>
  <c r="F7380" i="3"/>
  <c r="F7379" i="3"/>
  <c r="F7378" i="3"/>
  <c r="F7377" i="3"/>
  <c r="F7376" i="3"/>
  <c r="F7375" i="3"/>
  <c r="F7374" i="3"/>
  <c r="F7373" i="3"/>
  <c r="F7372" i="3"/>
  <c r="F7371" i="3"/>
  <c r="F7370" i="3"/>
  <c r="F7369" i="3"/>
  <c r="F7368" i="3"/>
  <c r="F7367" i="3"/>
  <c r="F7366" i="3"/>
  <c r="F7365" i="3"/>
  <c r="F7364" i="3"/>
  <c r="F7363" i="3"/>
  <c r="F7362" i="3"/>
  <c r="F7361" i="3"/>
  <c r="F7360" i="3"/>
  <c r="F7359" i="3"/>
  <c r="F7358" i="3"/>
  <c r="F7357" i="3"/>
  <c r="F7356" i="3"/>
  <c r="F7355" i="3"/>
  <c r="F7354" i="3"/>
  <c r="F7353" i="3"/>
  <c r="F7352" i="3"/>
  <c r="F7351" i="3"/>
  <c r="F7350" i="3"/>
  <c r="F7349" i="3"/>
  <c r="F7348" i="3"/>
  <c r="F7347" i="3"/>
  <c r="F7909" i="3"/>
  <c r="F7345" i="3"/>
  <c r="F7344" i="3"/>
  <c r="F7343" i="3"/>
  <c r="F7342" i="3"/>
  <c r="F7341" i="3"/>
  <c r="F7340" i="3"/>
  <c r="F7339" i="3"/>
  <c r="F7338" i="3"/>
  <c r="F7337" i="3"/>
  <c r="F7336" i="3"/>
  <c r="F7335" i="3"/>
  <c r="F7334" i="3"/>
  <c r="F7333" i="3"/>
  <c r="F7332" i="3"/>
  <c r="F7331" i="3"/>
  <c r="F7330" i="3"/>
  <c r="F7329" i="3"/>
  <c r="F7328" i="3"/>
  <c r="F7327" i="3"/>
  <c r="F7326" i="3"/>
  <c r="F7325" i="3"/>
  <c r="F7324" i="3"/>
  <c r="F7323" i="3"/>
  <c r="F7322" i="3"/>
  <c r="F7321" i="3"/>
  <c r="F7320" i="3"/>
  <c r="F7319" i="3"/>
  <c r="F7318" i="3"/>
  <c r="F7317" i="3"/>
  <c r="F7316" i="3"/>
  <c r="F7315" i="3"/>
  <c r="F7314" i="3"/>
  <c r="F7313" i="3"/>
  <c r="F7312" i="3"/>
  <c r="F7311" i="3"/>
  <c r="F7310" i="3"/>
  <c r="F7309" i="3"/>
  <c r="F7308" i="3"/>
  <c r="F7307" i="3"/>
  <c r="F7306" i="3"/>
  <c r="F7305" i="3"/>
  <c r="F7304" i="3"/>
  <c r="F7303" i="3"/>
  <c r="F7302" i="3"/>
  <c r="F7301" i="3"/>
  <c r="F7300" i="3"/>
  <c r="F7299" i="3"/>
  <c r="F7298" i="3"/>
  <c r="F7297" i="3"/>
  <c r="F7296" i="3"/>
  <c r="F7295" i="3"/>
  <c r="F7294" i="3"/>
  <c r="F7293" i="3"/>
  <c r="F7292" i="3"/>
  <c r="F7291" i="3"/>
  <c r="F7290" i="3"/>
  <c r="F7289" i="3"/>
  <c r="F7288" i="3"/>
  <c r="F7287" i="3"/>
  <c r="F7286" i="3"/>
  <c r="F7285" i="3"/>
  <c r="F7284" i="3"/>
  <c r="F7283" i="3"/>
  <c r="F7282" i="3"/>
  <c r="F7281" i="3"/>
  <c r="F7280" i="3"/>
  <c r="F7279" i="3"/>
  <c r="F7278" i="3"/>
  <c r="F7277" i="3"/>
  <c r="F7276" i="3"/>
  <c r="F7275" i="3"/>
  <c r="F7274" i="3"/>
  <c r="F7273" i="3"/>
  <c r="F7346" i="3"/>
  <c r="F7271" i="3"/>
  <c r="F7270" i="3"/>
  <c r="F7269" i="3"/>
  <c r="F7268" i="3"/>
  <c r="F7267" i="3"/>
  <c r="F7266" i="3"/>
  <c r="F7265" i="3"/>
  <c r="F7264" i="3"/>
  <c r="F7263" i="3"/>
  <c r="F7262" i="3"/>
  <c r="F7261" i="3"/>
  <c r="F7260" i="3"/>
  <c r="F7259" i="3"/>
  <c r="F7258" i="3"/>
  <c r="F7257" i="3"/>
  <c r="F7256" i="3"/>
  <c r="F7255" i="3"/>
  <c r="F7254" i="3"/>
  <c r="F7253" i="3"/>
  <c r="F7252" i="3"/>
  <c r="F7251" i="3"/>
  <c r="F7250" i="3"/>
  <c r="F7249" i="3"/>
  <c r="F7248" i="3"/>
  <c r="F7247" i="3"/>
  <c r="F7246" i="3"/>
  <c r="F7245" i="3"/>
  <c r="F7244" i="3"/>
  <c r="F7243" i="3"/>
  <c r="F7242" i="3"/>
  <c r="F7241" i="3"/>
  <c r="F7240" i="3"/>
  <c r="F7239" i="3"/>
  <c r="F7238" i="3"/>
  <c r="F7237" i="3"/>
  <c r="F7236" i="3"/>
  <c r="F7235" i="3"/>
  <c r="F7234" i="3"/>
  <c r="F7233" i="3"/>
  <c r="F7232" i="3"/>
  <c r="F7231" i="3"/>
  <c r="F7230" i="3"/>
  <c r="F7229" i="3"/>
  <c r="F7228" i="3"/>
  <c r="F7227" i="3"/>
  <c r="F7226" i="3"/>
  <c r="F7225" i="3"/>
  <c r="F7224" i="3"/>
  <c r="F7223" i="3"/>
  <c r="F7222" i="3"/>
  <c r="F7221" i="3"/>
  <c r="F7220" i="3"/>
  <c r="F7219" i="3"/>
  <c r="F7218" i="3"/>
  <c r="F7217" i="3"/>
  <c r="F7216" i="3"/>
  <c r="F7215" i="3"/>
  <c r="F7214" i="3"/>
  <c r="F7213" i="3"/>
  <c r="F7212" i="3"/>
  <c r="F7211" i="3"/>
  <c r="F7210" i="3"/>
  <c r="F7209" i="3"/>
  <c r="F7208" i="3"/>
  <c r="F7207" i="3"/>
  <c r="F7206" i="3"/>
  <c r="F7205" i="3"/>
  <c r="F7204" i="3"/>
  <c r="F7203" i="3"/>
  <c r="F7202" i="3"/>
  <c r="F7201" i="3"/>
  <c r="F7200" i="3"/>
  <c r="F7199" i="3"/>
  <c r="F7198" i="3"/>
  <c r="F7197" i="3"/>
  <c r="F7196" i="3"/>
  <c r="F7195" i="3"/>
  <c r="F7194" i="3"/>
  <c r="F7193" i="3"/>
  <c r="F7192" i="3"/>
  <c r="F7191" i="3"/>
  <c r="F7190" i="3"/>
  <c r="F7189" i="3"/>
  <c r="F7188" i="3"/>
  <c r="F7187" i="3"/>
  <c r="F7186" i="3"/>
  <c r="F7185" i="3"/>
  <c r="F7184" i="3"/>
  <c r="F7183" i="3"/>
  <c r="F7182" i="3"/>
  <c r="F7181" i="3"/>
  <c r="F7272" i="3"/>
  <c r="F7179" i="3"/>
  <c r="F7178" i="3"/>
  <c r="F7177" i="3"/>
  <c r="F7176" i="3"/>
  <c r="F7175" i="3"/>
  <c r="F7174" i="3"/>
  <c r="F7173" i="3"/>
  <c r="F7172" i="3"/>
  <c r="F7171" i="3"/>
  <c r="F7170" i="3"/>
  <c r="F7169" i="3"/>
  <c r="F7168" i="3"/>
  <c r="F7167" i="3"/>
  <c r="F7166" i="3"/>
  <c r="F7165" i="3"/>
  <c r="F7164" i="3"/>
  <c r="F7163" i="3"/>
  <c r="F7162" i="3"/>
  <c r="F7161" i="3"/>
  <c r="F7160" i="3"/>
  <c r="F7159" i="3"/>
  <c r="F7158" i="3"/>
  <c r="F7157" i="3"/>
  <c r="F7156" i="3"/>
  <c r="F7155" i="3"/>
  <c r="F7154" i="3"/>
  <c r="F7153" i="3"/>
  <c r="F7152" i="3"/>
  <c r="F7151" i="3"/>
  <c r="F7150" i="3"/>
  <c r="F7148" i="3"/>
  <c r="F7149" i="3"/>
  <c r="F7147" i="3"/>
  <c r="F7146" i="3"/>
  <c r="F7144" i="3"/>
  <c r="F7145" i="3"/>
  <c r="F7143" i="3"/>
  <c r="F7142" i="3"/>
  <c r="F7141" i="3"/>
  <c r="F7140" i="3"/>
  <c r="F7139" i="3"/>
  <c r="F7138" i="3"/>
  <c r="F7137" i="3"/>
  <c r="F7136" i="3"/>
  <c r="F7135" i="3"/>
  <c r="F7134" i="3"/>
  <c r="F7133" i="3"/>
  <c r="F7131" i="3"/>
  <c r="F7132" i="3"/>
  <c r="F7130" i="3"/>
  <c r="F7129" i="3"/>
  <c r="F7128" i="3"/>
  <c r="F7127" i="3"/>
  <c r="F7126" i="3"/>
  <c r="F7125" i="3"/>
  <c r="F7124" i="3"/>
  <c r="F7123" i="3"/>
  <c r="F7122" i="3"/>
  <c r="F7121" i="3"/>
  <c r="F7120" i="3"/>
  <c r="F7119" i="3"/>
  <c r="F7118" i="3"/>
  <c r="F7117" i="3"/>
  <c r="F7116" i="3"/>
  <c r="F7115" i="3"/>
  <c r="F7114" i="3"/>
  <c r="F7113" i="3"/>
  <c r="F7112" i="3"/>
  <c r="F7111" i="3"/>
  <c r="F7110" i="3"/>
  <c r="F7109" i="3"/>
  <c r="F7108" i="3"/>
  <c r="F7107" i="3"/>
  <c r="F7106" i="3"/>
  <c r="F7105" i="3"/>
  <c r="F7104" i="3"/>
  <c r="F7103" i="3"/>
  <c r="F7102" i="3"/>
  <c r="F7101" i="3"/>
  <c r="F7100" i="3"/>
  <c r="F7099" i="3"/>
  <c r="F7098" i="3"/>
  <c r="F7097" i="3"/>
  <c r="F7096" i="3"/>
  <c r="F7095" i="3"/>
  <c r="F7094" i="3"/>
  <c r="F7093" i="3"/>
  <c r="F7091" i="3"/>
  <c r="F7092" i="3"/>
  <c r="F7090" i="3"/>
  <c r="F7088" i="3"/>
  <c r="F7089" i="3"/>
  <c r="F7087" i="3"/>
  <c r="F7086" i="3"/>
  <c r="F7085" i="3"/>
  <c r="F7084" i="3"/>
  <c r="F7083" i="3"/>
  <c r="F7082" i="3"/>
  <c r="F7081" i="3"/>
  <c r="F7080" i="3"/>
  <c r="F7079" i="3"/>
  <c r="F7078" i="3"/>
  <c r="F7077" i="3"/>
  <c r="F7076" i="3"/>
  <c r="F7075" i="3"/>
  <c r="F7074" i="3"/>
  <c r="F7073" i="3"/>
  <c r="F7072" i="3"/>
  <c r="F7070" i="3"/>
  <c r="F7071" i="3"/>
  <c r="F7069" i="3"/>
  <c r="F7068" i="3"/>
  <c r="F7067" i="3"/>
  <c r="F7066" i="3"/>
  <c r="F7065" i="3"/>
  <c r="F7064" i="3"/>
  <c r="F7063" i="3"/>
  <c r="F7062" i="3"/>
  <c r="F7061" i="3"/>
  <c r="F7060" i="3"/>
  <c r="F7059" i="3"/>
  <c r="F7058" i="3"/>
  <c r="F7057" i="3"/>
  <c r="F7056" i="3"/>
  <c r="F7055" i="3"/>
  <c r="F7054" i="3"/>
  <c r="F7052" i="3"/>
  <c r="F7053" i="3"/>
  <c r="F7051" i="3"/>
  <c r="F7050" i="3"/>
  <c r="F7049" i="3"/>
  <c r="F7048" i="3"/>
  <c r="F7047" i="3"/>
  <c r="F7046" i="3"/>
  <c r="F7045" i="3"/>
  <c r="F7044" i="3"/>
  <c r="F7043" i="3"/>
  <c r="F7042" i="3"/>
  <c r="F7041" i="3"/>
  <c r="F7040" i="3"/>
  <c r="F7039" i="3"/>
  <c r="F7038" i="3"/>
  <c r="F7037" i="3"/>
  <c r="F7036" i="3"/>
  <c r="F7035" i="3"/>
  <c r="F7034" i="3"/>
  <c r="F7033" i="3"/>
  <c r="F7032" i="3"/>
  <c r="F7031" i="3"/>
  <c r="F7030" i="3"/>
  <c r="F7029" i="3"/>
  <c r="F7028" i="3"/>
  <c r="F7027" i="3"/>
  <c r="F7026" i="3"/>
  <c r="F7025" i="3"/>
  <c r="F7024" i="3"/>
  <c r="F7023" i="3"/>
  <c r="F7022" i="3"/>
  <c r="F7021" i="3"/>
  <c r="F7020" i="3"/>
  <c r="F7019" i="3"/>
  <c r="F7018" i="3"/>
  <c r="F7017" i="3"/>
  <c r="F7016" i="3"/>
  <c r="F7015" i="3"/>
  <c r="F7014" i="3"/>
  <c r="F7013" i="3"/>
  <c r="F7012" i="3"/>
  <c r="F7011" i="3"/>
  <c r="F7010" i="3"/>
  <c r="F7009" i="3"/>
  <c r="F7008" i="3"/>
  <c r="F7007" i="3"/>
  <c r="F7006" i="3"/>
  <c r="F7005" i="3"/>
  <c r="F7004" i="3"/>
  <c r="F7003" i="3"/>
  <c r="F7002" i="3"/>
  <c r="F7001" i="3"/>
  <c r="F7000" i="3"/>
  <c r="F6999" i="3"/>
  <c r="F6998" i="3"/>
  <c r="F6997" i="3"/>
  <c r="F6996" i="3"/>
  <c r="F6995" i="3"/>
  <c r="F6994" i="3"/>
  <c r="F6993" i="3"/>
  <c r="F6992" i="3"/>
  <c r="F6991" i="3"/>
  <c r="F6990" i="3"/>
  <c r="F6989" i="3"/>
  <c r="F6988" i="3"/>
  <c r="F6987" i="3"/>
  <c r="F6986" i="3"/>
  <c r="F6985" i="3"/>
  <c r="F6984" i="3"/>
  <c r="F6983" i="3"/>
  <c r="F6982" i="3"/>
  <c r="F6981" i="3"/>
  <c r="F6980" i="3"/>
  <c r="F6979" i="3"/>
  <c r="F6978" i="3"/>
  <c r="F6977" i="3"/>
  <c r="F6976" i="3"/>
  <c r="F6975" i="3"/>
  <c r="F6974" i="3"/>
  <c r="F6973" i="3"/>
  <c r="F6972" i="3"/>
  <c r="F6971" i="3"/>
  <c r="F6970" i="3"/>
  <c r="F6969" i="3"/>
  <c r="F6968" i="3"/>
  <c r="F6967" i="3"/>
  <c r="F6966" i="3"/>
  <c r="F6965" i="3"/>
  <c r="F6964" i="3"/>
  <c r="F6963" i="3"/>
  <c r="F6962" i="3"/>
  <c r="F6961" i="3"/>
  <c r="F6960" i="3"/>
  <c r="F6959" i="3"/>
  <c r="F6958" i="3"/>
  <c r="F6957" i="3"/>
  <c r="F6956" i="3"/>
  <c r="F6955" i="3"/>
  <c r="F6954" i="3"/>
  <c r="F6953" i="3"/>
  <c r="F6952" i="3"/>
  <c r="F6951" i="3"/>
  <c r="F6950" i="3"/>
  <c r="F6949" i="3"/>
  <c r="F6948" i="3"/>
  <c r="F6947" i="3"/>
  <c r="F6946" i="3"/>
  <c r="F6945" i="3"/>
  <c r="F6944" i="3"/>
  <c r="F6943" i="3"/>
  <c r="F6942" i="3"/>
  <c r="F6941" i="3"/>
  <c r="F6940" i="3"/>
  <c r="F6939" i="3"/>
  <c r="F6938" i="3"/>
  <c r="F6937" i="3"/>
  <c r="F6936" i="3"/>
  <c r="F6935" i="3"/>
  <c r="F6934" i="3"/>
  <c r="F6933" i="3"/>
  <c r="F6932" i="3"/>
  <c r="F6931" i="3"/>
  <c r="F6930" i="3"/>
  <c r="F6929" i="3"/>
  <c r="F6928" i="3"/>
  <c r="F6927" i="3"/>
  <c r="F6926" i="3"/>
  <c r="F6925" i="3"/>
  <c r="F6924" i="3"/>
  <c r="F6923" i="3"/>
  <c r="F6922" i="3"/>
  <c r="F6921" i="3"/>
  <c r="F6920" i="3"/>
  <c r="F6919" i="3"/>
  <c r="F6918" i="3"/>
  <c r="F6917" i="3"/>
  <c r="F6916" i="3"/>
  <c r="F6915" i="3"/>
  <c r="F6914" i="3"/>
  <c r="F6913" i="3"/>
  <c r="F6912" i="3"/>
  <c r="F6911" i="3"/>
  <c r="F6910" i="3"/>
  <c r="F6909" i="3"/>
  <c r="F6908" i="3"/>
  <c r="F6907" i="3"/>
  <c r="F6906" i="3"/>
  <c r="F6905" i="3"/>
  <c r="F6904" i="3"/>
  <c r="F6903" i="3"/>
  <c r="F6902" i="3"/>
  <c r="F6901" i="3"/>
  <c r="F6900" i="3"/>
  <c r="F6899" i="3"/>
  <c r="F6898" i="3"/>
  <c r="F6897" i="3"/>
  <c r="F6896" i="3"/>
  <c r="F6895" i="3"/>
  <c r="F6894" i="3"/>
  <c r="F6893" i="3"/>
  <c r="F7180" i="3"/>
  <c r="F6891" i="3"/>
  <c r="F6890" i="3"/>
  <c r="F6889" i="3"/>
  <c r="F6888" i="3"/>
  <c r="F6887" i="3"/>
  <c r="F6886" i="3"/>
  <c r="F6885" i="3"/>
  <c r="F6884" i="3"/>
  <c r="F6883" i="3"/>
  <c r="F6882" i="3"/>
  <c r="F6881" i="3"/>
  <c r="F6880" i="3"/>
  <c r="F6879" i="3"/>
  <c r="F6878" i="3"/>
  <c r="F6877" i="3"/>
  <c r="F6876" i="3"/>
  <c r="F6875" i="3"/>
  <c r="F6874" i="3"/>
  <c r="F6873" i="3"/>
  <c r="F6872" i="3"/>
  <c r="F6871" i="3"/>
  <c r="F6870" i="3"/>
  <c r="F6869" i="3"/>
  <c r="F6868" i="3"/>
  <c r="F6867" i="3"/>
  <c r="F6866" i="3"/>
  <c r="F6865" i="3"/>
  <c r="F6864" i="3"/>
  <c r="F6863" i="3"/>
  <c r="F6862" i="3"/>
  <c r="F6861" i="3"/>
  <c r="F6860" i="3"/>
  <c r="F6859" i="3"/>
  <c r="F6858" i="3"/>
  <c r="F6857" i="3"/>
  <c r="F6856" i="3"/>
  <c r="F6855" i="3"/>
  <c r="F6854" i="3"/>
  <c r="F6853" i="3"/>
  <c r="F6852" i="3"/>
  <c r="F6851" i="3"/>
  <c r="F6850" i="3"/>
  <c r="F6849" i="3"/>
  <c r="F6848" i="3"/>
  <c r="F6847" i="3"/>
  <c r="F6846" i="3"/>
  <c r="F6845" i="3"/>
  <c r="F6844" i="3"/>
  <c r="F6843" i="3"/>
  <c r="F6842" i="3"/>
  <c r="F6841" i="3"/>
  <c r="F6840" i="3"/>
  <c r="F6839" i="3"/>
  <c r="F6838" i="3"/>
  <c r="F6837" i="3"/>
  <c r="F6836" i="3"/>
  <c r="F6835" i="3"/>
  <c r="F6834" i="3"/>
  <c r="F6833" i="3"/>
  <c r="F6832" i="3"/>
  <c r="F6831" i="3"/>
  <c r="F6830" i="3"/>
  <c r="F6829" i="3"/>
  <c r="F6828" i="3"/>
  <c r="F6827" i="3"/>
  <c r="F6826" i="3"/>
  <c r="F6825" i="3"/>
  <c r="F6824" i="3"/>
  <c r="F6823" i="3"/>
  <c r="F6822" i="3"/>
  <c r="F6821" i="3"/>
  <c r="F6820" i="3"/>
  <c r="F6819" i="3"/>
  <c r="F6818" i="3"/>
  <c r="F6817" i="3"/>
  <c r="F6816" i="3"/>
  <c r="F6815" i="3"/>
  <c r="F6814" i="3"/>
  <c r="F6813" i="3"/>
  <c r="F6812" i="3"/>
  <c r="F6811" i="3"/>
  <c r="F6810" i="3"/>
  <c r="F6809" i="3"/>
  <c r="F6808" i="3"/>
  <c r="F6807" i="3"/>
  <c r="F6806" i="3"/>
  <c r="F6805" i="3"/>
  <c r="F6804" i="3"/>
  <c r="F6803" i="3"/>
  <c r="F6802" i="3"/>
  <c r="F6801" i="3"/>
  <c r="F6800" i="3"/>
  <c r="F6799" i="3"/>
  <c r="F6798" i="3"/>
  <c r="F6797" i="3"/>
  <c r="F6796" i="3"/>
  <c r="F6795" i="3"/>
  <c r="F6794" i="3"/>
  <c r="F6793" i="3"/>
  <c r="F6792" i="3"/>
  <c r="F6791" i="3"/>
  <c r="F6790" i="3"/>
  <c r="F6789" i="3"/>
  <c r="F6788" i="3"/>
  <c r="F6787" i="3"/>
  <c r="F6786" i="3"/>
  <c r="F6785" i="3"/>
  <c r="F6784" i="3"/>
  <c r="F6783" i="3"/>
  <c r="F6782" i="3"/>
  <c r="F6781" i="3"/>
  <c r="F6780" i="3"/>
  <c r="F6779" i="3"/>
  <c r="F6778" i="3"/>
  <c r="F6777" i="3"/>
  <c r="F6776" i="3"/>
  <c r="F6775" i="3"/>
  <c r="F6774" i="3"/>
  <c r="F6773" i="3"/>
  <c r="F6772" i="3"/>
  <c r="F6771" i="3"/>
  <c r="F6770" i="3"/>
  <c r="F6769" i="3"/>
  <c r="F6768" i="3"/>
  <c r="F6767" i="3"/>
  <c r="F6766" i="3"/>
  <c r="F6765" i="3"/>
  <c r="F6764" i="3"/>
  <c r="F6763" i="3"/>
  <c r="F6762" i="3"/>
  <c r="F6761" i="3"/>
  <c r="F6760" i="3"/>
  <c r="F6759" i="3"/>
  <c r="F6758" i="3"/>
  <c r="F6757" i="3"/>
  <c r="F6756" i="3"/>
  <c r="F6755" i="3"/>
  <c r="F6754" i="3"/>
  <c r="F6753" i="3"/>
  <c r="F6752" i="3"/>
  <c r="F6751" i="3"/>
  <c r="F6750" i="3"/>
  <c r="F6749" i="3"/>
  <c r="F6748" i="3"/>
  <c r="F6747" i="3"/>
  <c r="F6746" i="3"/>
  <c r="F6745" i="3"/>
  <c r="F6744" i="3"/>
  <c r="F6743" i="3"/>
  <c r="F6742" i="3"/>
  <c r="F6741" i="3"/>
  <c r="F6740" i="3"/>
  <c r="F6739" i="3"/>
  <c r="F6738" i="3"/>
  <c r="F6737" i="3"/>
  <c r="F6736" i="3"/>
  <c r="F6735" i="3"/>
  <c r="F6734" i="3"/>
  <c r="F6733" i="3"/>
  <c r="F6732" i="3"/>
  <c r="F6731" i="3"/>
  <c r="F6730" i="3"/>
  <c r="F6729" i="3"/>
  <c r="F6728" i="3"/>
  <c r="F6727" i="3"/>
  <c r="F6726" i="3"/>
  <c r="F6725" i="3"/>
  <c r="F6724" i="3"/>
  <c r="F6723" i="3"/>
  <c r="F6722" i="3"/>
  <c r="F6721" i="3"/>
  <c r="F6720" i="3"/>
  <c r="F6719" i="3"/>
  <c r="F6718" i="3"/>
  <c r="F6717" i="3"/>
  <c r="F6716" i="3"/>
  <c r="F6715" i="3"/>
  <c r="F6714" i="3"/>
  <c r="F6713" i="3"/>
  <c r="F6712" i="3"/>
  <c r="F6711" i="3"/>
  <c r="F6710" i="3"/>
  <c r="F6709" i="3"/>
  <c r="F6708" i="3"/>
  <c r="F6707" i="3"/>
  <c r="F6706" i="3"/>
  <c r="F6705" i="3"/>
  <c r="F6704" i="3"/>
  <c r="F6703" i="3"/>
  <c r="F6702" i="3"/>
  <c r="F6701" i="3"/>
  <c r="F6700" i="3"/>
  <c r="F6699" i="3"/>
  <c r="F6698" i="3"/>
  <c r="F6697" i="3"/>
  <c r="F6696" i="3"/>
  <c r="F6695" i="3"/>
  <c r="F6694" i="3"/>
  <c r="F6692" i="3"/>
  <c r="F6693" i="3"/>
  <c r="F6691" i="3"/>
  <c r="F6690" i="3"/>
  <c r="F6689" i="3"/>
  <c r="F6688" i="3"/>
  <c r="F6687" i="3"/>
  <c r="F6686" i="3"/>
  <c r="F6685" i="3"/>
  <c r="F6684" i="3"/>
  <c r="F6683" i="3"/>
  <c r="F6682" i="3"/>
  <c r="F6681" i="3"/>
  <c r="F6680" i="3"/>
  <c r="F6679" i="3"/>
  <c r="F6678" i="3"/>
  <c r="F6677" i="3"/>
  <c r="F6676" i="3"/>
  <c r="F6675" i="3"/>
  <c r="F6674" i="3"/>
  <c r="F6673" i="3"/>
  <c r="F6672" i="3"/>
  <c r="F6671" i="3"/>
  <c r="F6670" i="3"/>
  <c r="F6669" i="3"/>
  <c r="F6668" i="3"/>
  <c r="F6667" i="3"/>
  <c r="F6666" i="3"/>
  <c r="F6665" i="3"/>
  <c r="F6664" i="3"/>
  <c r="F6663" i="3"/>
  <c r="F6662" i="3"/>
  <c r="F6661" i="3"/>
  <c r="F6660" i="3"/>
  <c r="F6659" i="3"/>
  <c r="F6658" i="3"/>
  <c r="F6657" i="3"/>
  <c r="F6656" i="3"/>
  <c r="F6655" i="3"/>
  <c r="F6654" i="3"/>
  <c r="F6653" i="3"/>
  <c r="F6652" i="3"/>
  <c r="F6651" i="3"/>
  <c r="F6650" i="3"/>
  <c r="F6649" i="3"/>
  <c r="F6648" i="3"/>
  <c r="F6647" i="3"/>
  <c r="F6646" i="3"/>
  <c r="F6645" i="3"/>
  <c r="F6644" i="3"/>
  <c r="F6643" i="3"/>
  <c r="F6642" i="3"/>
  <c r="F6641" i="3"/>
  <c r="F6640" i="3"/>
  <c r="F6639" i="3"/>
  <c r="F6638" i="3"/>
  <c r="F6637" i="3"/>
  <c r="F6636" i="3"/>
  <c r="F6635" i="3"/>
  <c r="F6634" i="3"/>
  <c r="F6633" i="3"/>
  <c r="F6632" i="3"/>
  <c r="F6631" i="3"/>
  <c r="F6630" i="3"/>
  <c r="F6629" i="3"/>
  <c r="F6628" i="3"/>
  <c r="F6627" i="3"/>
  <c r="F6626" i="3"/>
  <c r="F6625" i="3"/>
  <c r="F6624" i="3"/>
  <c r="F6623" i="3"/>
  <c r="F6622" i="3"/>
  <c r="F6621" i="3"/>
  <c r="F6620" i="3"/>
  <c r="F6892" i="3"/>
  <c r="F6618" i="3"/>
  <c r="F6617" i="3"/>
  <c r="F6616" i="3"/>
  <c r="F6615" i="3"/>
  <c r="F6614" i="3"/>
  <c r="F6613" i="3"/>
  <c r="F6612" i="3"/>
  <c r="F6611" i="3"/>
  <c r="F6610" i="3"/>
  <c r="F6609" i="3"/>
  <c r="F6608" i="3"/>
  <c r="F6607" i="3"/>
  <c r="F6606" i="3"/>
  <c r="F6605" i="3"/>
  <c r="F6604" i="3"/>
  <c r="F6603" i="3"/>
  <c r="F6602" i="3"/>
  <c r="F6601" i="3"/>
  <c r="F6600" i="3"/>
  <c r="F6599" i="3"/>
  <c r="F6598" i="3"/>
  <c r="F6597" i="3"/>
  <c r="F6596" i="3"/>
  <c r="F6595" i="3"/>
  <c r="F6594" i="3"/>
  <c r="F6593" i="3"/>
  <c r="F6592" i="3"/>
  <c r="F6591" i="3"/>
  <c r="F6590" i="3"/>
  <c r="F6589" i="3"/>
  <c r="F6588" i="3"/>
  <c r="F6587" i="3"/>
  <c r="F6586" i="3"/>
  <c r="F6585" i="3"/>
  <c r="F6584" i="3"/>
  <c r="F6583" i="3"/>
  <c r="F6582" i="3"/>
  <c r="F6581" i="3"/>
  <c r="F6580" i="3"/>
  <c r="F6579" i="3"/>
  <c r="F6578" i="3"/>
  <c r="F6577" i="3"/>
  <c r="F6576" i="3"/>
  <c r="F6575" i="3"/>
  <c r="F6574" i="3"/>
  <c r="F6573" i="3"/>
  <c r="F6572" i="3"/>
  <c r="F6571" i="3"/>
  <c r="F6570" i="3"/>
  <c r="F6569" i="3"/>
  <c r="F6568" i="3"/>
  <c r="F6567" i="3"/>
  <c r="F6566" i="3"/>
  <c r="F6565" i="3"/>
  <c r="F6564" i="3"/>
  <c r="F6563" i="3"/>
  <c r="F6562" i="3"/>
  <c r="F6561" i="3"/>
  <c r="F6560" i="3"/>
  <c r="F6559" i="3"/>
  <c r="F6558" i="3"/>
  <c r="F6557" i="3"/>
  <c r="F6556" i="3"/>
  <c r="F6555" i="3"/>
  <c r="F6554" i="3"/>
  <c r="F6552" i="3"/>
  <c r="F6553" i="3"/>
  <c r="F6551" i="3"/>
  <c r="F6550" i="3"/>
  <c r="F6549" i="3"/>
  <c r="F6547" i="3"/>
  <c r="F6548" i="3"/>
  <c r="F6546" i="3"/>
  <c r="F6545" i="3"/>
  <c r="F6544" i="3"/>
  <c r="F6543" i="3"/>
  <c r="F6542" i="3"/>
  <c r="F6541" i="3"/>
  <c r="F6540" i="3"/>
  <c r="F6539" i="3"/>
  <c r="F6538" i="3"/>
  <c r="F6537" i="3"/>
  <c r="F6536" i="3"/>
  <c r="F6535" i="3"/>
  <c r="F6534" i="3"/>
  <c r="F6533" i="3"/>
  <c r="F6532" i="3"/>
  <c r="F6531" i="3"/>
  <c r="F6530" i="3"/>
  <c r="F6529" i="3"/>
  <c r="F6528" i="3"/>
  <c r="F6526" i="3"/>
  <c r="F6527" i="3"/>
  <c r="F6525" i="3"/>
  <c r="F6524" i="3"/>
  <c r="F6523" i="3"/>
  <c r="F6522" i="3"/>
  <c r="F6521" i="3"/>
  <c r="F6520" i="3"/>
  <c r="F6519" i="3"/>
  <c r="F6518" i="3"/>
  <c r="F6517" i="3"/>
  <c r="F6516" i="3"/>
  <c r="F6515" i="3"/>
  <c r="F6514" i="3"/>
  <c r="F6513" i="3"/>
  <c r="F6512" i="3"/>
  <c r="F6511" i="3"/>
  <c r="F6510" i="3"/>
  <c r="F6509" i="3"/>
  <c r="F6508" i="3"/>
  <c r="F6507" i="3"/>
  <c r="F6506" i="3"/>
  <c r="F6505" i="3"/>
  <c r="F6504" i="3"/>
  <c r="F6503" i="3"/>
  <c r="F6502" i="3"/>
  <c r="F6501" i="3"/>
  <c r="F6500" i="3"/>
  <c r="F6499" i="3"/>
  <c r="F6498" i="3"/>
  <c r="F6497" i="3"/>
  <c r="F6496" i="3"/>
  <c r="F6495" i="3"/>
  <c r="F6493" i="3"/>
  <c r="F6494" i="3"/>
  <c r="F6492" i="3"/>
  <c r="F6491" i="3"/>
  <c r="F6490" i="3"/>
  <c r="F6489" i="3"/>
  <c r="F6488" i="3"/>
  <c r="F6487" i="3"/>
  <c r="F6486" i="3"/>
  <c r="F6485" i="3"/>
  <c r="F6484" i="3"/>
  <c r="F6483" i="3"/>
  <c r="F6482" i="3"/>
  <c r="F6481" i="3"/>
  <c r="F6480" i="3"/>
  <c r="F6479" i="3"/>
  <c r="F6478" i="3"/>
  <c r="F6477" i="3"/>
  <c r="F6476" i="3"/>
  <c r="F6475" i="3"/>
  <c r="F6474" i="3"/>
  <c r="F6473" i="3"/>
  <c r="F6472" i="3"/>
  <c r="F6471" i="3"/>
  <c r="F6469" i="3"/>
  <c r="F6470" i="3"/>
  <c r="F6468" i="3"/>
  <c r="F6467" i="3"/>
  <c r="F6466" i="3"/>
  <c r="F6465" i="3"/>
  <c r="F6464" i="3"/>
  <c r="F6463" i="3"/>
  <c r="F6462" i="3"/>
  <c r="F6461" i="3"/>
  <c r="F6460" i="3"/>
  <c r="F6459" i="3"/>
  <c r="F6458" i="3"/>
  <c r="F6457" i="3"/>
  <c r="F6456" i="3"/>
  <c r="F6455" i="3"/>
  <c r="F6454" i="3"/>
  <c r="F6453" i="3"/>
  <c r="F6452" i="3"/>
  <c r="F6451" i="3"/>
  <c r="F6450" i="3"/>
  <c r="F6449" i="3"/>
  <c r="F6448" i="3"/>
  <c r="F6447" i="3"/>
  <c r="F6446" i="3"/>
  <c r="F6445" i="3"/>
  <c r="F6444" i="3"/>
  <c r="F6442" i="3"/>
  <c r="F6443" i="3"/>
  <c r="F6441" i="3"/>
  <c r="F6440" i="3"/>
  <c r="F6439" i="3"/>
  <c r="F6438" i="3"/>
  <c r="F6437" i="3"/>
  <c r="F6436" i="3"/>
  <c r="F6435" i="3"/>
  <c r="F6434" i="3"/>
  <c r="F6433" i="3"/>
  <c r="F6432" i="3"/>
  <c r="F6431" i="3"/>
  <c r="F6430" i="3"/>
  <c r="F6429" i="3"/>
  <c r="F6428" i="3"/>
  <c r="F6427" i="3"/>
  <c r="F6426" i="3"/>
  <c r="F6425" i="3"/>
  <c r="F6424" i="3"/>
  <c r="F6423" i="3"/>
  <c r="F6422" i="3"/>
  <c r="F6421" i="3"/>
  <c r="F6420" i="3"/>
  <c r="F6419" i="3"/>
  <c r="F6418" i="3"/>
  <c r="F6417" i="3"/>
  <c r="F6416" i="3"/>
  <c r="F6415" i="3"/>
  <c r="F6414" i="3"/>
  <c r="F6413" i="3"/>
  <c r="F6412" i="3"/>
  <c r="F6411" i="3"/>
  <c r="F6410" i="3"/>
  <c r="F6409" i="3"/>
  <c r="F6408" i="3"/>
  <c r="F6407" i="3"/>
  <c r="F6406" i="3"/>
  <c r="F6405" i="3"/>
  <c r="F6404" i="3"/>
  <c r="F6403" i="3"/>
  <c r="F6402" i="3"/>
  <c r="F6401" i="3"/>
  <c r="F6400" i="3"/>
  <c r="F6399" i="3"/>
  <c r="F6398" i="3"/>
  <c r="F6397" i="3"/>
  <c r="F6396" i="3"/>
  <c r="F6395" i="3"/>
  <c r="F6394" i="3"/>
  <c r="F6393" i="3"/>
  <c r="F6392" i="3"/>
  <c r="F6391" i="3"/>
  <c r="F6390" i="3"/>
  <c r="F6389" i="3"/>
  <c r="F6388" i="3"/>
  <c r="F6387" i="3"/>
  <c r="F6386" i="3"/>
  <c r="F6385" i="3"/>
  <c r="F6384" i="3"/>
  <c r="F6383" i="3"/>
  <c r="F6382" i="3"/>
  <c r="F6381" i="3"/>
  <c r="F6380" i="3"/>
  <c r="F6379" i="3"/>
  <c r="F6378" i="3"/>
  <c r="F6377" i="3"/>
  <c r="F6376" i="3"/>
  <c r="F6375" i="3"/>
  <c r="F6374" i="3"/>
  <c r="F6373" i="3"/>
  <c r="F6372" i="3"/>
  <c r="F6371" i="3"/>
  <c r="F6370" i="3"/>
  <c r="F6369" i="3"/>
  <c r="F6368" i="3"/>
  <c r="F6367" i="3"/>
  <c r="F6366" i="3"/>
  <c r="F6365" i="3"/>
  <c r="F6364" i="3"/>
  <c r="F6363" i="3"/>
  <c r="F6362" i="3"/>
  <c r="F6361" i="3"/>
  <c r="F6360" i="3"/>
  <c r="F6359" i="3"/>
  <c r="F6358" i="3"/>
  <c r="F6357" i="3"/>
  <c r="F6356" i="3"/>
  <c r="F6355" i="3"/>
  <c r="F6354" i="3"/>
  <c r="F6353" i="3"/>
  <c r="F6352" i="3"/>
  <c r="F6351" i="3"/>
  <c r="F6350" i="3"/>
  <c r="F6349" i="3"/>
  <c r="F6348" i="3"/>
  <c r="F6347" i="3"/>
  <c r="F6346" i="3"/>
  <c r="F6345" i="3"/>
  <c r="F6344" i="3"/>
  <c r="F6343" i="3"/>
  <c r="F6342" i="3"/>
  <c r="F6341" i="3"/>
  <c r="F6340" i="3"/>
  <c r="F6339" i="3"/>
  <c r="F6338" i="3"/>
  <c r="F6337" i="3"/>
  <c r="F6336" i="3"/>
  <c r="F6335" i="3"/>
  <c r="F6334" i="3"/>
  <c r="F6333" i="3"/>
  <c r="F6332" i="3"/>
  <c r="F6331" i="3"/>
  <c r="F6330" i="3"/>
  <c r="F6329" i="3"/>
  <c r="F6328" i="3"/>
  <c r="F6327" i="3"/>
  <c r="F6326" i="3"/>
  <c r="F6325" i="3"/>
  <c r="F6324" i="3"/>
  <c r="F6323" i="3"/>
  <c r="F6322" i="3"/>
  <c r="F6321" i="3"/>
  <c r="F6320" i="3"/>
  <c r="F6319" i="3"/>
  <c r="F6318" i="3"/>
  <c r="F6317" i="3"/>
  <c r="F6316" i="3"/>
  <c r="F6315" i="3"/>
  <c r="F6314" i="3"/>
  <c r="F6313" i="3"/>
  <c r="F6312" i="3"/>
  <c r="F6311" i="3"/>
  <c r="F6310" i="3"/>
  <c r="F6309" i="3"/>
  <c r="F6308" i="3"/>
  <c r="F6307" i="3"/>
  <c r="F6306" i="3"/>
  <c r="F6305" i="3"/>
  <c r="F6304" i="3"/>
  <c r="F6303" i="3"/>
  <c r="F6302" i="3"/>
  <c r="F6301" i="3"/>
  <c r="F6300" i="3"/>
  <c r="F6299" i="3"/>
  <c r="F6298" i="3"/>
  <c r="F6297" i="3"/>
  <c r="F6296" i="3"/>
  <c r="F6295" i="3"/>
  <c r="F6294" i="3"/>
  <c r="F6293" i="3"/>
  <c r="F6292" i="3"/>
  <c r="F6291" i="3"/>
  <c r="F6290" i="3"/>
  <c r="F6289" i="3"/>
  <c r="F6288" i="3"/>
  <c r="F6287" i="3"/>
  <c r="F6286" i="3"/>
  <c r="F6285" i="3"/>
  <c r="F6284" i="3"/>
  <c r="F6283" i="3"/>
  <c r="F6282" i="3"/>
  <c r="F6281" i="3"/>
  <c r="F6280" i="3"/>
  <c r="F6279" i="3"/>
  <c r="F6278" i="3"/>
  <c r="F6277" i="3"/>
  <c r="F6276" i="3"/>
  <c r="F6275" i="3"/>
  <c r="F6274" i="3"/>
  <c r="F6273" i="3"/>
  <c r="F6272" i="3"/>
  <c r="F6271" i="3"/>
  <c r="F6270" i="3"/>
  <c r="F6269" i="3"/>
  <c r="F6268" i="3"/>
  <c r="F6267" i="3"/>
  <c r="F6266" i="3"/>
  <c r="F6265" i="3"/>
  <c r="F6264" i="3"/>
  <c r="F6263" i="3"/>
  <c r="F6262" i="3"/>
  <c r="F6261" i="3"/>
  <c r="F6260" i="3"/>
  <c r="F6259" i="3"/>
  <c r="F6258" i="3"/>
  <c r="F6257" i="3"/>
  <c r="F6256" i="3"/>
  <c r="F6255" i="3"/>
  <c r="F6254" i="3"/>
  <c r="F6253" i="3"/>
  <c r="F6252" i="3"/>
  <c r="F6251" i="3"/>
  <c r="F6250" i="3"/>
  <c r="F6249" i="3"/>
  <c r="F6248" i="3"/>
  <c r="F6247" i="3"/>
  <c r="F6246" i="3"/>
  <c r="F6245" i="3"/>
  <c r="F6244" i="3"/>
  <c r="F6243" i="3"/>
  <c r="F6242" i="3"/>
  <c r="F6241" i="3"/>
  <c r="F6240" i="3"/>
  <c r="F6239" i="3"/>
  <c r="F6238" i="3"/>
  <c r="F6237" i="3"/>
  <c r="F6236" i="3"/>
  <c r="F6235" i="3"/>
  <c r="F6234" i="3"/>
  <c r="F6233" i="3"/>
  <c r="F6232" i="3"/>
  <c r="F6231" i="3"/>
  <c r="F6230" i="3"/>
  <c r="F6619" i="3"/>
  <c r="F6228" i="3"/>
  <c r="F6227" i="3"/>
  <c r="F6226" i="3"/>
  <c r="F6225" i="3"/>
  <c r="F6223" i="3"/>
  <c r="F6224" i="3"/>
  <c r="F6222" i="3"/>
  <c r="F6221" i="3"/>
  <c r="F6220" i="3"/>
  <c r="F6219" i="3"/>
  <c r="F6218" i="3"/>
  <c r="F6217" i="3"/>
  <c r="F6216" i="3"/>
  <c r="F6215" i="3"/>
  <c r="F6214" i="3"/>
  <c r="F6213" i="3"/>
  <c r="F6212" i="3"/>
  <c r="F6211" i="3"/>
  <c r="F6210" i="3"/>
  <c r="F6209" i="3"/>
  <c r="F6208" i="3"/>
  <c r="F6207" i="3"/>
  <c r="F6206" i="3"/>
  <c r="F6205" i="3"/>
  <c r="F6203" i="3"/>
  <c r="F6204" i="3"/>
  <c r="F6202" i="3"/>
  <c r="F6200" i="3"/>
  <c r="F6201" i="3"/>
  <c r="F6199" i="3"/>
  <c r="F6198" i="3"/>
  <c r="F6197" i="3"/>
  <c r="F6196" i="3"/>
  <c r="F6195" i="3"/>
  <c r="F6194" i="3"/>
  <c r="F6193" i="3"/>
  <c r="F6192" i="3"/>
  <c r="F6191" i="3"/>
  <c r="F6190" i="3"/>
  <c r="F6189" i="3"/>
  <c r="F6188" i="3"/>
  <c r="F6187" i="3"/>
  <c r="F6186" i="3"/>
  <c r="F6185" i="3"/>
  <c r="F6184" i="3"/>
  <c r="F6182" i="3"/>
  <c r="F6183" i="3"/>
  <c r="F6181" i="3"/>
  <c r="F6180" i="3"/>
  <c r="F6179" i="3"/>
  <c r="F6178" i="3"/>
  <c r="F6177" i="3"/>
  <c r="F6176" i="3"/>
  <c r="F6175" i="3"/>
  <c r="F6174" i="3"/>
  <c r="F6173" i="3"/>
  <c r="F6171" i="3"/>
  <c r="F6172" i="3"/>
  <c r="F6170" i="3"/>
  <c r="F6169" i="3"/>
  <c r="F6168" i="3"/>
  <c r="F6167" i="3"/>
  <c r="F6166" i="3"/>
  <c r="F6165" i="3"/>
  <c r="F6164" i="3"/>
  <c r="F6163" i="3"/>
  <c r="F6162" i="3"/>
  <c r="F6161" i="3"/>
  <c r="F6160" i="3"/>
  <c r="F6159" i="3"/>
  <c r="F6158" i="3"/>
  <c r="F6157" i="3"/>
  <c r="F6156" i="3"/>
  <c r="F6155" i="3"/>
  <c r="F6154" i="3"/>
  <c r="F6153" i="3"/>
  <c r="F6152" i="3"/>
  <c r="F6151" i="3"/>
  <c r="F6150" i="3"/>
  <c r="F6149" i="3"/>
  <c r="F6148" i="3"/>
  <c r="F6147" i="3"/>
  <c r="F6146" i="3"/>
  <c r="F6145" i="3"/>
  <c r="F6144" i="3"/>
  <c r="F6141" i="3"/>
  <c r="F6142" i="3"/>
  <c r="F6143" i="3"/>
  <c r="F6140" i="3"/>
  <c r="F6139" i="3"/>
  <c r="F6138" i="3"/>
  <c r="F6137" i="3"/>
  <c r="F6136" i="3"/>
  <c r="F6135" i="3"/>
  <c r="F6134" i="3"/>
  <c r="F6133" i="3"/>
  <c r="F6132" i="3"/>
  <c r="F6130" i="3"/>
  <c r="F6131" i="3"/>
  <c r="F6128" i="3"/>
  <c r="F6129" i="3"/>
  <c r="F6127" i="3"/>
  <c r="F6126" i="3"/>
  <c r="F6125" i="3"/>
  <c r="F6124" i="3"/>
  <c r="F6123" i="3"/>
  <c r="F6122" i="3"/>
  <c r="F6121" i="3"/>
  <c r="F6120" i="3"/>
  <c r="F6119" i="3"/>
  <c r="F6118" i="3"/>
  <c r="F6117" i="3"/>
  <c r="F6116" i="3"/>
  <c r="F6115" i="3"/>
  <c r="F6114" i="3"/>
  <c r="F6113" i="3"/>
  <c r="F6112" i="3"/>
  <c r="F6111" i="3"/>
  <c r="F6110" i="3"/>
  <c r="F6109" i="3"/>
  <c r="F6108" i="3"/>
  <c r="F6107" i="3"/>
  <c r="F6106" i="3"/>
  <c r="F6105" i="3"/>
  <c r="F6104" i="3"/>
  <c r="F6103" i="3"/>
  <c r="F6102" i="3"/>
  <c r="F6101" i="3"/>
  <c r="F6100" i="3"/>
  <c r="F6099" i="3"/>
  <c r="F6098" i="3"/>
  <c r="F6097" i="3"/>
  <c r="F6095" i="3"/>
  <c r="F6096" i="3"/>
  <c r="F6094" i="3"/>
  <c r="F6093" i="3"/>
  <c r="F6092" i="3"/>
  <c r="F6091" i="3"/>
  <c r="F6090" i="3"/>
  <c r="F6089" i="3"/>
  <c r="F6088" i="3"/>
  <c r="F6087" i="3"/>
  <c r="F6086" i="3"/>
  <c r="F6085" i="3"/>
  <c r="F6084" i="3"/>
  <c r="F6083" i="3"/>
  <c r="F6082" i="3"/>
  <c r="F6081" i="3"/>
  <c r="F6080" i="3"/>
  <c r="F6079" i="3"/>
  <c r="F6078" i="3"/>
  <c r="F6077" i="3"/>
  <c r="F6076" i="3"/>
  <c r="F6075" i="3"/>
  <c r="F6074" i="3"/>
  <c r="F6073" i="3"/>
  <c r="F6072" i="3"/>
  <c r="F6071" i="3"/>
  <c r="F6070" i="3"/>
  <c r="F6069" i="3"/>
  <c r="F6068" i="3"/>
  <c r="F6067" i="3"/>
  <c r="F6066" i="3"/>
  <c r="F6064" i="3"/>
  <c r="F6065" i="3"/>
  <c r="F6063" i="3"/>
  <c r="F6062" i="3"/>
  <c r="F6061" i="3"/>
  <c r="F6060" i="3"/>
  <c r="F6059" i="3"/>
  <c r="F6058" i="3"/>
  <c r="F6057" i="3"/>
  <c r="F6056" i="3"/>
  <c r="F6055" i="3"/>
  <c r="F6054" i="3"/>
  <c r="F6053" i="3"/>
  <c r="F6052" i="3"/>
  <c r="F6051" i="3"/>
  <c r="F6050" i="3"/>
  <c r="F6049" i="3"/>
  <c r="F6047" i="3"/>
  <c r="F6048" i="3"/>
  <c r="F6046" i="3"/>
  <c r="F6045" i="3"/>
  <c r="F6044" i="3"/>
  <c r="F6043" i="3"/>
  <c r="F6042" i="3"/>
  <c r="F6041" i="3"/>
  <c r="F6040" i="3"/>
  <c r="F6039" i="3"/>
  <c r="F6038" i="3"/>
  <c r="F6037" i="3"/>
  <c r="F6036" i="3"/>
  <c r="F6035" i="3"/>
  <c r="F6034" i="3"/>
  <c r="F6033" i="3"/>
  <c r="F6032" i="3"/>
  <c r="F6031" i="3"/>
  <c r="F6030" i="3"/>
  <c r="F6029" i="3"/>
  <c r="F6028" i="3"/>
  <c r="F6027" i="3"/>
  <c r="F6026" i="3"/>
  <c r="F6025" i="3"/>
  <c r="F6024" i="3"/>
  <c r="F6023" i="3"/>
  <c r="F6022" i="3"/>
  <c r="F6021" i="3"/>
  <c r="F6020" i="3"/>
  <c r="F6019" i="3"/>
  <c r="F6018" i="3"/>
  <c r="F6017" i="3"/>
  <c r="F6016" i="3"/>
  <c r="F6015" i="3"/>
  <c r="F6014" i="3"/>
  <c r="F6013" i="3"/>
  <c r="F6012" i="3"/>
  <c r="F6011" i="3"/>
  <c r="F6010" i="3"/>
  <c r="F6009" i="3"/>
  <c r="F6008" i="3"/>
  <c r="F6007" i="3"/>
  <c r="F6006" i="3"/>
  <c r="F6005" i="3"/>
  <c r="F6004" i="3"/>
  <c r="F6003" i="3"/>
  <c r="F6002" i="3"/>
  <c r="F6001" i="3"/>
  <c r="F6000" i="3"/>
  <c r="F5999" i="3"/>
  <c r="F5998" i="3"/>
  <c r="F5997" i="3"/>
  <c r="F5996" i="3"/>
  <c r="F5995" i="3"/>
  <c r="F5994" i="3"/>
  <c r="F5993" i="3"/>
  <c r="F5992" i="3"/>
  <c r="F5991" i="3"/>
  <c r="F5990" i="3"/>
  <c r="F5989" i="3"/>
  <c r="F5988" i="3"/>
  <c r="F5987" i="3"/>
  <c r="F5986" i="3"/>
  <c r="F5985" i="3"/>
  <c r="F5984" i="3"/>
  <c r="F5983" i="3"/>
  <c r="F5982" i="3"/>
  <c r="F5981" i="3"/>
  <c r="F5980" i="3"/>
  <c r="F5979" i="3"/>
  <c r="F5978" i="3"/>
  <c r="F5977" i="3"/>
  <c r="F5976" i="3"/>
  <c r="F5975" i="3"/>
  <c r="F5973" i="3"/>
  <c r="F5974" i="3"/>
  <c r="F5972" i="3"/>
  <c r="F5971" i="3"/>
  <c r="F5970" i="3"/>
  <c r="F5969" i="3"/>
  <c r="F5968" i="3"/>
  <c r="F5967" i="3"/>
  <c r="F5966" i="3"/>
  <c r="F5965" i="3"/>
  <c r="F5964" i="3"/>
  <c r="F5963" i="3"/>
  <c r="F5962" i="3"/>
  <c r="F5961" i="3"/>
  <c r="F5960" i="3"/>
  <c r="F5959" i="3"/>
  <c r="F5958" i="3"/>
  <c r="F5957" i="3"/>
  <c r="F5956" i="3"/>
  <c r="F5955" i="3"/>
  <c r="F5954" i="3"/>
  <c r="F5953" i="3"/>
  <c r="F5952" i="3"/>
  <c r="F5951" i="3"/>
  <c r="F5950" i="3"/>
  <c r="F5949" i="3"/>
  <c r="F5948" i="3"/>
  <c r="F5947" i="3"/>
  <c r="F5946" i="3"/>
  <c r="F5945" i="3"/>
  <c r="F5944" i="3"/>
  <c r="F5943" i="3"/>
  <c r="F5942" i="3"/>
  <c r="F5941" i="3"/>
  <c r="F5940" i="3"/>
  <c r="F5939" i="3"/>
  <c r="F5938" i="3"/>
  <c r="F5937" i="3"/>
  <c r="F5936" i="3"/>
  <c r="F5935" i="3"/>
  <c r="F5934" i="3"/>
  <c r="F5933" i="3"/>
  <c r="F5932" i="3"/>
  <c r="F5931" i="3"/>
  <c r="F5930" i="3"/>
  <c r="F5929" i="3"/>
  <c r="F5928" i="3"/>
  <c r="F5927" i="3"/>
  <c r="F5926" i="3"/>
  <c r="F5925" i="3"/>
  <c r="F5924" i="3"/>
  <c r="F5923" i="3"/>
  <c r="F5922" i="3"/>
  <c r="F5921" i="3"/>
  <c r="F5920" i="3"/>
  <c r="F5919" i="3"/>
  <c r="F5918" i="3"/>
  <c r="F5917" i="3"/>
  <c r="F5916" i="3"/>
  <c r="F5915" i="3"/>
  <c r="F5914" i="3"/>
  <c r="F5913" i="3"/>
  <c r="F5912" i="3"/>
  <c r="F5911" i="3"/>
  <c r="F5910" i="3"/>
  <c r="F5909" i="3"/>
  <c r="F5908" i="3"/>
  <c r="F5907" i="3"/>
  <c r="F5906" i="3"/>
  <c r="F5905" i="3"/>
  <c r="F5904" i="3"/>
  <c r="F5903" i="3"/>
  <c r="F5902" i="3"/>
  <c r="F5901" i="3"/>
  <c r="F5900" i="3"/>
  <c r="F5899" i="3"/>
  <c r="F5898" i="3"/>
  <c r="F5897" i="3"/>
  <c r="F5896" i="3"/>
  <c r="F5895" i="3"/>
  <c r="F5894" i="3"/>
  <c r="F5893" i="3"/>
  <c r="F5892" i="3"/>
  <c r="F5891" i="3"/>
  <c r="F5890" i="3"/>
  <c r="F5889" i="3"/>
  <c r="F5888" i="3"/>
  <c r="F5887" i="3"/>
  <c r="F5886" i="3"/>
  <c r="F5885" i="3"/>
  <c r="F5884" i="3"/>
  <c r="F5883" i="3"/>
  <c r="F5882" i="3"/>
  <c r="F5881" i="3"/>
  <c r="F5880" i="3"/>
  <c r="F5879" i="3"/>
  <c r="F5878" i="3"/>
  <c r="F5877" i="3"/>
  <c r="F5876" i="3"/>
  <c r="F5875" i="3"/>
  <c r="F5874" i="3"/>
  <c r="F5873" i="3"/>
  <c r="F5872" i="3"/>
  <c r="F5871" i="3"/>
  <c r="F5870" i="3"/>
  <c r="F5869" i="3"/>
  <c r="F5868" i="3"/>
  <c r="F5867" i="3"/>
  <c r="F5866" i="3"/>
  <c r="F5865" i="3"/>
  <c r="F5864" i="3"/>
  <c r="F5863" i="3"/>
  <c r="F5862" i="3"/>
  <c r="F5861" i="3"/>
  <c r="F5860" i="3"/>
  <c r="F5859" i="3"/>
  <c r="F5858" i="3"/>
  <c r="F5857" i="3"/>
  <c r="F5856" i="3"/>
  <c r="F5855" i="3"/>
  <c r="F5854" i="3"/>
  <c r="F6229" i="3"/>
  <c r="F5852" i="3"/>
  <c r="F5851" i="3"/>
  <c r="F5850" i="3"/>
  <c r="F5849" i="3"/>
  <c r="F5848" i="3"/>
  <c r="F5847" i="3"/>
  <c r="F5846" i="3"/>
  <c r="F5845" i="3"/>
  <c r="F5844" i="3"/>
  <c r="F5843" i="3"/>
  <c r="F5842" i="3"/>
  <c r="F5841" i="3"/>
  <c r="F5840" i="3"/>
  <c r="F5839" i="3"/>
  <c r="F5838" i="3"/>
  <c r="F5837" i="3"/>
  <c r="F5836" i="3"/>
  <c r="F5835" i="3"/>
  <c r="F5834" i="3"/>
  <c r="F5833" i="3"/>
  <c r="F5832" i="3"/>
  <c r="F5831" i="3"/>
  <c r="F5830" i="3"/>
  <c r="F5829" i="3"/>
  <c r="F5828" i="3"/>
  <c r="F5827" i="3"/>
  <c r="F5826" i="3"/>
  <c r="F5825" i="3"/>
  <c r="F5824" i="3"/>
  <c r="F5823" i="3"/>
  <c r="F5822" i="3"/>
  <c r="F5821" i="3"/>
  <c r="F5820" i="3"/>
  <c r="F5819" i="3"/>
  <c r="F5818" i="3"/>
  <c r="F5817" i="3"/>
  <c r="F5816" i="3"/>
  <c r="F5815" i="3"/>
  <c r="F5814" i="3"/>
  <c r="F5813" i="3"/>
  <c r="F5812" i="3"/>
  <c r="F5811" i="3"/>
  <c r="F5810" i="3"/>
  <c r="F5809" i="3"/>
  <c r="F5808" i="3"/>
  <c r="F5807" i="3"/>
  <c r="F5806" i="3"/>
  <c r="F5805" i="3"/>
  <c r="F5804" i="3"/>
  <c r="F5803" i="3"/>
  <c r="F5802" i="3"/>
  <c r="F5801" i="3"/>
  <c r="F5800" i="3"/>
  <c r="F5799" i="3"/>
  <c r="F5798" i="3"/>
  <c r="F5797" i="3"/>
  <c r="F5796" i="3"/>
  <c r="F5795" i="3"/>
  <c r="F5794" i="3"/>
  <c r="F5793" i="3"/>
  <c r="F5792" i="3"/>
  <c r="F5791" i="3"/>
  <c r="F5790" i="3"/>
  <c r="F5789" i="3"/>
  <c r="F5788" i="3"/>
  <c r="F5787" i="3"/>
  <c r="F5786" i="3"/>
  <c r="F5785" i="3"/>
  <c r="F5784" i="3"/>
  <c r="F5783" i="3"/>
  <c r="F5782" i="3"/>
  <c r="F5781" i="3"/>
  <c r="F5780" i="3"/>
  <c r="F5779" i="3"/>
  <c r="F5778" i="3"/>
  <c r="F5777" i="3"/>
  <c r="F5776" i="3"/>
  <c r="F5775" i="3"/>
  <c r="F5774" i="3"/>
  <c r="F5773" i="3"/>
  <c r="F5772" i="3"/>
  <c r="F5771" i="3"/>
  <c r="F5770" i="3"/>
  <c r="F5769" i="3"/>
  <c r="F5768" i="3"/>
  <c r="F5767" i="3"/>
  <c r="F5766" i="3"/>
  <c r="F5765" i="3"/>
  <c r="F5764" i="3"/>
  <c r="F5763" i="3"/>
  <c r="F5762" i="3"/>
  <c r="F5761" i="3"/>
  <c r="F5760" i="3"/>
  <c r="F5759" i="3"/>
  <c r="F5758" i="3"/>
  <c r="F5757" i="3"/>
  <c r="F5756" i="3"/>
  <c r="F5755" i="3"/>
  <c r="F5754" i="3"/>
  <c r="F5753" i="3"/>
  <c r="F5752" i="3"/>
  <c r="F5751" i="3"/>
  <c r="F5750" i="3"/>
  <c r="F5749" i="3"/>
  <c r="F5748" i="3"/>
  <c r="F5747" i="3"/>
  <c r="F5746" i="3"/>
  <c r="F5745" i="3"/>
  <c r="F5744" i="3"/>
  <c r="F5743" i="3"/>
  <c r="F5742" i="3"/>
  <c r="F5741" i="3"/>
  <c r="F5740" i="3"/>
  <c r="F5739" i="3"/>
  <c r="F5738" i="3"/>
  <c r="F5737" i="3"/>
  <c r="F5736" i="3"/>
  <c r="F5735" i="3"/>
  <c r="F5734" i="3"/>
  <c r="F5733" i="3"/>
  <c r="F5732" i="3"/>
  <c r="F5731" i="3"/>
  <c r="F5730" i="3"/>
  <c r="F5729" i="3"/>
  <c r="F5728" i="3"/>
  <c r="F5727" i="3"/>
  <c r="F5726" i="3"/>
  <c r="F5725" i="3"/>
  <c r="F5724" i="3"/>
  <c r="F5723" i="3"/>
  <c r="F5722" i="3"/>
  <c r="F5721" i="3"/>
  <c r="F5720" i="3"/>
  <c r="F5719" i="3"/>
  <c r="F5718" i="3"/>
  <c r="F5717" i="3"/>
  <c r="F5716" i="3"/>
  <c r="F5715" i="3"/>
  <c r="F5714" i="3"/>
  <c r="F5713" i="3"/>
  <c r="F5712" i="3"/>
  <c r="F5711" i="3"/>
  <c r="F5710" i="3"/>
  <c r="F5709" i="3"/>
  <c r="F5708" i="3"/>
  <c r="F5707" i="3"/>
  <c r="F5706" i="3"/>
  <c r="F5705" i="3"/>
  <c r="F5704" i="3"/>
  <c r="F5703" i="3"/>
  <c r="F5702" i="3"/>
  <c r="F5701" i="3"/>
  <c r="F5700" i="3"/>
  <c r="F5699" i="3"/>
  <c r="F5698" i="3"/>
  <c r="F5697" i="3"/>
  <c r="F5696" i="3"/>
  <c r="F5695" i="3"/>
  <c r="F5694" i="3"/>
  <c r="F5693" i="3"/>
  <c r="F5692" i="3"/>
  <c r="F5691" i="3"/>
  <c r="F5690" i="3"/>
  <c r="F5689" i="3"/>
  <c r="F5688" i="3"/>
  <c r="F5687" i="3"/>
  <c r="F5686" i="3"/>
  <c r="F5685" i="3"/>
  <c r="F5684" i="3"/>
  <c r="F5683" i="3"/>
  <c r="F5682" i="3"/>
  <c r="F5681" i="3"/>
  <c r="F5680" i="3"/>
  <c r="F5679" i="3"/>
  <c r="F5678" i="3"/>
  <c r="F5677" i="3"/>
  <c r="F5676" i="3"/>
  <c r="F5675" i="3"/>
  <c r="F5674" i="3"/>
  <c r="F5673" i="3"/>
  <c r="F5672" i="3"/>
  <c r="F5671" i="3"/>
  <c r="F5670" i="3"/>
  <c r="F5669" i="3"/>
  <c r="F5668" i="3"/>
  <c r="F5667" i="3"/>
  <c r="F5666" i="3"/>
  <c r="F5665" i="3"/>
  <c r="F5664" i="3"/>
  <c r="F5663" i="3"/>
  <c r="F5662" i="3"/>
  <c r="F5661" i="3"/>
  <c r="F5660" i="3"/>
  <c r="F5659" i="3"/>
  <c r="F5658" i="3"/>
  <c r="F5657" i="3"/>
  <c r="F5656" i="3"/>
  <c r="F5655" i="3"/>
  <c r="F5654" i="3"/>
  <c r="F5653" i="3"/>
  <c r="F5652" i="3"/>
  <c r="F5651" i="3"/>
  <c r="F5650" i="3"/>
  <c r="F5649" i="3"/>
  <c r="F5648" i="3"/>
  <c r="F5647" i="3"/>
  <c r="F5646" i="3"/>
  <c r="F5645" i="3"/>
  <c r="F5644" i="3"/>
  <c r="F5643" i="3"/>
  <c r="F5642" i="3"/>
  <c r="F5641" i="3"/>
  <c r="F5640" i="3"/>
  <c r="F5639" i="3"/>
  <c r="F5638" i="3"/>
  <c r="F5637" i="3"/>
  <c r="F5636" i="3"/>
  <c r="F5635" i="3"/>
  <c r="F5634" i="3"/>
  <c r="F5633" i="3"/>
  <c r="F5632" i="3"/>
  <c r="F5631" i="3"/>
  <c r="F5630" i="3"/>
  <c r="F5629" i="3"/>
  <c r="F5628" i="3"/>
  <c r="F5627" i="3"/>
  <c r="F5626" i="3"/>
  <c r="F5625" i="3"/>
  <c r="F5624" i="3"/>
  <c r="F5623" i="3"/>
  <c r="F5622" i="3"/>
  <c r="F5621" i="3"/>
  <c r="F5620" i="3"/>
  <c r="F5619" i="3"/>
  <c r="F5618" i="3"/>
  <c r="F5617" i="3"/>
  <c r="F5616" i="3"/>
  <c r="F5615" i="3"/>
  <c r="F5614" i="3"/>
  <c r="F5613" i="3"/>
  <c r="F5612" i="3"/>
  <c r="F5611" i="3"/>
  <c r="F5610" i="3"/>
  <c r="F5609" i="3"/>
  <c r="F5608" i="3"/>
  <c r="F5607" i="3"/>
  <c r="F5606" i="3"/>
  <c r="F5605" i="3"/>
  <c r="F5604" i="3"/>
  <c r="F5603" i="3"/>
  <c r="F5602" i="3"/>
  <c r="F5601" i="3"/>
  <c r="F5600" i="3"/>
  <c r="F5599" i="3"/>
  <c r="F5598" i="3"/>
  <c r="F5853" i="3"/>
  <c r="F4415" i="3"/>
  <c r="F4414" i="3"/>
  <c r="F4413" i="3"/>
  <c r="F4412" i="3"/>
  <c r="F4411" i="3"/>
  <c r="F4410" i="3"/>
  <c r="F4409" i="3"/>
  <c r="F4408" i="3"/>
  <c r="F4407" i="3"/>
  <c r="F4406" i="3"/>
  <c r="F4405" i="3"/>
  <c r="F4404" i="3"/>
  <c r="F4403" i="3"/>
  <c r="F4402" i="3"/>
  <c r="F4401" i="3"/>
  <c r="F4400" i="3"/>
  <c r="F4399" i="3"/>
  <c r="F4398" i="3"/>
  <c r="F4397" i="3"/>
  <c r="F4396" i="3"/>
  <c r="F4395" i="3"/>
  <c r="F4394" i="3"/>
  <c r="F4393" i="3"/>
  <c r="F4392" i="3"/>
  <c r="F4391" i="3"/>
  <c r="F4390" i="3"/>
  <c r="F4389" i="3"/>
  <c r="F4388" i="3"/>
  <c r="F4387" i="3"/>
  <c r="F4386" i="3"/>
  <c r="F4385" i="3"/>
  <c r="F4384" i="3"/>
  <c r="F4383" i="3"/>
  <c r="F4382" i="3"/>
  <c r="F4381" i="3"/>
  <c r="F4380" i="3"/>
  <c r="F4379" i="3"/>
  <c r="F4378" i="3"/>
  <c r="F4377" i="3"/>
  <c r="F4376" i="3"/>
  <c r="F4375" i="3"/>
  <c r="F4374" i="3"/>
  <c r="F4373" i="3"/>
  <c r="F4372" i="3"/>
  <c r="F4371" i="3"/>
  <c r="F4370" i="3"/>
  <c r="F4369" i="3"/>
  <c r="F4368" i="3"/>
  <c r="F4367" i="3"/>
  <c r="F4366" i="3"/>
  <c r="F4365" i="3"/>
  <c r="F4364" i="3"/>
  <c r="F4363" i="3"/>
  <c r="F4362" i="3"/>
  <c r="F4361" i="3"/>
  <c r="F4359" i="3"/>
  <c r="F4360" i="3"/>
  <c r="F4358" i="3"/>
  <c r="F4357" i="3"/>
  <c r="F4356" i="3"/>
  <c r="F4355" i="3"/>
  <c r="F4354" i="3"/>
  <c r="F4353" i="3"/>
  <c r="F4352" i="3"/>
  <c r="F4351" i="3"/>
  <c r="F4350" i="3"/>
  <c r="F4349" i="3"/>
  <c r="F4348" i="3"/>
  <c r="F4347" i="3"/>
  <c r="F4346" i="3"/>
  <c r="F4344" i="3"/>
  <c r="F4345" i="3"/>
  <c r="F4343" i="3"/>
  <c r="F4342" i="3"/>
  <c r="F4341" i="3"/>
  <c r="F4340" i="3"/>
  <c r="F4339" i="3"/>
  <c r="F4338" i="3"/>
  <c r="F4337" i="3"/>
  <c r="F4336" i="3"/>
  <c r="F4335" i="3"/>
  <c r="F4334" i="3"/>
  <c r="F4333" i="3"/>
  <c r="F4332" i="3"/>
  <c r="F4331" i="3"/>
  <c r="F4330" i="3"/>
  <c r="F4329" i="3"/>
  <c r="F4328" i="3"/>
  <c r="F4327" i="3"/>
  <c r="F4326" i="3"/>
  <c r="F4325" i="3"/>
  <c r="F4324" i="3"/>
  <c r="F4323" i="3"/>
  <c r="F4322" i="3"/>
  <c r="F4321" i="3"/>
  <c r="F4320" i="3"/>
  <c r="F4319" i="3"/>
  <c r="F4318" i="3"/>
  <c r="F4317" i="3"/>
  <c r="F4316" i="3"/>
  <c r="F4315" i="3"/>
  <c r="F4314" i="3"/>
  <c r="F4313" i="3"/>
  <c r="F4312" i="3"/>
  <c r="F4311" i="3"/>
  <c r="F4310" i="3"/>
  <c r="F4309" i="3"/>
  <c r="F4308" i="3"/>
  <c r="F4307" i="3"/>
  <c r="F4306" i="3"/>
  <c r="F4305" i="3"/>
  <c r="F4304" i="3"/>
  <c r="F4303" i="3"/>
  <c r="F4302" i="3"/>
  <c r="F4301" i="3"/>
  <c r="F4300" i="3"/>
  <c r="F4299" i="3"/>
  <c r="F4298" i="3"/>
  <c r="F4297" i="3"/>
  <c r="F4296" i="3"/>
  <c r="F4295" i="3"/>
  <c r="F4294" i="3"/>
  <c r="F4293" i="3"/>
  <c r="F4292" i="3"/>
  <c r="F4291" i="3"/>
  <c r="F4290" i="3"/>
  <c r="F4289" i="3"/>
  <c r="F4288" i="3"/>
  <c r="F4287" i="3"/>
  <c r="F4286" i="3"/>
  <c r="F4285" i="3"/>
  <c r="F4284" i="3"/>
  <c r="F4283" i="3"/>
  <c r="F4282" i="3"/>
  <c r="F4281" i="3"/>
  <c r="F4416" i="3"/>
  <c r="F4279" i="3"/>
  <c r="F4278" i="3"/>
  <c r="F4277" i="3"/>
  <c r="F4276" i="3"/>
  <c r="F4275" i="3"/>
  <c r="F4274" i="3"/>
  <c r="F4273" i="3"/>
  <c r="F4272" i="3"/>
  <c r="F4271" i="3"/>
  <c r="F4270" i="3"/>
  <c r="F4269" i="3"/>
  <c r="F4268" i="3"/>
  <c r="F4267" i="3"/>
  <c r="F4266" i="3"/>
  <c r="F4265" i="3"/>
  <c r="F4264" i="3"/>
  <c r="F4263" i="3"/>
  <c r="F4261" i="3"/>
  <c r="F4262" i="3"/>
  <c r="F4260" i="3"/>
  <c r="F4259" i="3"/>
  <c r="F4258" i="3"/>
  <c r="F4257" i="3"/>
  <c r="F4256" i="3"/>
  <c r="F4255" i="3"/>
  <c r="F4254" i="3"/>
  <c r="F4253" i="3"/>
  <c r="F4252" i="3"/>
  <c r="F4251" i="3"/>
  <c r="F4250" i="3"/>
  <c r="F4249" i="3"/>
  <c r="F4248" i="3"/>
  <c r="F4247" i="3"/>
  <c r="F4246" i="3"/>
  <c r="F4245" i="3"/>
  <c r="F4244" i="3"/>
  <c r="F4243" i="3"/>
  <c r="F4242" i="3"/>
  <c r="F4241" i="3"/>
  <c r="F4240" i="3"/>
  <c r="F4239" i="3"/>
  <c r="F4238" i="3"/>
  <c r="F4237" i="3"/>
  <c r="F4236" i="3"/>
  <c r="F4235" i="3"/>
  <c r="F4234" i="3"/>
  <c r="F4233" i="3"/>
  <c r="F4232" i="3"/>
  <c r="F4231" i="3"/>
  <c r="F4230" i="3"/>
  <c r="F4229" i="3"/>
  <c r="F4228" i="3"/>
  <c r="F4227" i="3"/>
  <c r="F4225" i="3"/>
  <c r="F4226" i="3"/>
  <c r="F4224" i="3"/>
  <c r="F4223" i="3"/>
  <c r="F4222" i="3"/>
  <c r="F4221" i="3"/>
  <c r="F4220" i="3"/>
  <c r="F4219" i="3"/>
  <c r="F4218" i="3"/>
  <c r="F4217" i="3"/>
  <c r="F4216" i="3"/>
  <c r="F4215" i="3"/>
  <c r="F4214" i="3"/>
  <c r="F4213" i="3"/>
  <c r="F4211" i="3"/>
  <c r="F4212" i="3"/>
  <c r="F4210" i="3"/>
  <c r="F4209" i="3"/>
  <c r="F4208" i="3"/>
  <c r="F4207" i="3"/>
  <c r="F4206" i="3"/>
  <c r="F4205" i="3"/>
  <c r="F4204" i="3"/>
  <c r="F4203" i="3"/>
  <c r="F4202" i="3"/>
  <c r="F4201" i="3"/>
  <c r="F4200" i="3"/>
  <c r="F4199" i="3"/>
  <c r="F4198" i="3"/>
  <c r="F4197" i="3"/>
  <c r="F4196" i="3"/>
  <c r="F4194" i="3"/>
  <c r="F4195" i="3"/>
  <c r="F4193" i="3"/>
  <c r="F4192" i="3"/>
  <c r="F4191" i="3"/>
  <c r="F4190" i="3"/>
  <c r="F4189" i="3"/>
  <c r="F4188" i="3"/>
  <c r="F4187" i="3"/>
  <c r="F4186" i="3"/>
  <c r="F4185" i="3"/>
  <c r="F4184" i="3"/>
  <c r="F4182" i="3"/>
  <c r="F4183" i="3"/>
  <c r="F4181" i="3"/>
  <c r="F4180" i="3"/>
  <c r="F4179" i="3"/>
  <c r="F4178" i="3"/>
  <c r="F4177" i="3"/>
  <c r="F4176" i="3"/>
  <c r="F4175" i="3"/>
  <c r="F4174" i="3"/>
  <c r="F4173" i="3"/>
  <c r="F4172" i="3"/>
  <c r="F4171" i="3"/>
  <c r="F4170" i="3"/>
  <c r="F4169" i="3"/>
  <c r="F4168" i="3"/>
  <c r="F4167" i="3"/>
  <c r="F4166" i="3"/>
  <c r="F4165" i="3"/>
  <c r="F4164" i="3"/>
  <c r="F4163" i="3"/>
  <c r="F4162" i="3"/>
  <c r="F4161" i="3"/>
  <c r="F4160" i="3"/>
  <c r="F4159" i="3"/>
  <c r="F4158" i="3"/>
  <c r="F4157" i="3"/>
  <c r="F4156" i="3"/>
  <c r="F4155" i="3"/>
  <c r="F4154" i="3"/>
  <c r="F4153" i="3"/>
  <c r="F4152" i="3"/>
  <c r="F4151" i="3"/>
  <c r="F4150" i="3"/>
  <c r="F4149" i="3"/>
  <c r="F4148" i="3"/>
  <c r="F4147" i="3"/>
  <c r="F4146" i="3"/>
  <c r="F4145" i="3"/>
  <c r="F4144" i="3"/>
  <c r="F4143" i="3"/>
  <c r="F4142" i="3"/>
  <c r="F4141" i="3"/>
  <c r="F4140" i="3"/>
  <c r="F4139" i="3"/>
  <c r="F4138" i="3"/>
  <c r="F4137" i="3"/>
  <c r="F4136" i="3"/>
  <c r="F4135" i="3"/>
  <c r="F4134" i="3"/>
  <c r="F4133" i="3"/>
  <c r="F4132" i="3"/>
  <c r="F4131" i="3"/>
  <c r="F4130" i="3"/>
  <c r="F4129" i="3"/>
  <c r="F4128" i="3"/>
  <c r="F4127" i="3"/>
  <c r="F4126" i="3"/>
  <c r="F4125" i="3"/>
  <c r="F4124" i="3"/>
  <c r="F4123" i="3"/>
  <c r="F4122" i="3"/>
  <c r="F4121" i="3"/>
  <c r="F4120" i="3"/>
  <c r="F4119" i="3"/>
  <c r="F4118" i="3"/>
  <c r="F4117" i="3"/>
  <c r="F4116" i="3"/>
  <c r="F4115" i="3"/>
  <c r="F4114" i="3"/>
  <c r="F4113" i="3"/>
  <c r="F4112" i="3"/>
  <c r="F4111" i="3"/>
  <c r="F4110" i="3"/>
  <c r="F4109" i="3"/>
  <c r="F4108" i="3"/>
  <c r="F4107" i="3"/>
  <c r="F4106" i="3"/>
  <c r="F4105" i="3"/>
  <c r="F4104" i="3"/>
  <c r="F4103" i="3"/>
  <c r="F4102" i="3"/>
  <c r="F4101" i="3"/>
  <c r="F4100" i="3"/>
  <c r="F4099" i="3"/>
  <c r="F4098" i="3"/>
  <c r="F4097" i="3"/>
  <c r="F4096" i="3"/>
  <c r="F4095" i="3"/>
  <c r="F4094" i="3"/>
  <c r="F4093" i="3"/>
  <c r="F4092" i="3"/>
  <c r="F4091" i="3"/>
  <c r="F4090" i="3"/>
  <c r="F4089" i="3"/>
  <c r="F4088" i="3"/>
  <c r="F4087" i="3"/>
  <c r="F4086" i="3"/>
  <c r="F4085" i="3"/>
  <c r="F4084" i="3"/>
  <c r="F4083" i="3"/>
  <c r="F4082" i="3"/>
  <c r="F4081" i="3"/>
  <c r="F4080" i="3"/>
  <c r="F4079" i="3"/>
  <c r="F4078" i="3"/>
  <c r="F4077" i="3"/>
  <c r="F4076" i="3"/>
  <c r="F4075" i="3"/>
  <c r="F4074" i="3"/>
  <c r="F4073" i="3"/>
  <c r="F4072" i="3"/>
  <c r="F4071" i="3"/>
  <c r="F4070" i="3"/>
  <c r="F4069" i="3"/>
  <c r="F4068" i="3"/>
  <c r="F4067" i="3"/>
  <c r="F4066" i="3"/>
  <c r="F4065" i="3"/>
  <c r="F4064" i="3"/>
  <c r="F4063" i="3"/>
  <c r="F4062" i="3"/>
  <c r="F4061" i="3"/>
  <c r="F4060" i="3"/>
  <c r="F4059" i="3"/>
  <c r="F4058" i="3"/>
  <c r="F4057" i="3"/>
  <c r="F4056" i="3"/>
  <c r="F4055" i="3"/>
  <c r="F4054" i="3"/>
  <c r="F4280" i="3"/>
  <c r="F2545" i="3"/>
  <c r="F2544" i="3"/>
  <c r="F2542" i="3"/>
  <c r="F2543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6" i="3"/>
  <c r="F2527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5" i="3"/>
  <c r="F2506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89" i="3"/>
  <c r="F2490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5" i="3"/>
  <c r="F2476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7" i="3"/>
  <c r="F2448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0" i="3"/>
  <c r="F2391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546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6" i="3"/>
  <c r="F2287" i="3"/>
  <c r="F2285" i="3"/>
  <c r="F2284" i="3"/>
  <c r="F2283" i="3"/>
  <c r="F2282" i="3"/>
  <c r="F2281" i="3"/>
  <c r="F2280" i="3"/>
  <c r="F2279" i="3"/>
  <c r="F2277" i="3"/>
  <c r="F2278" i="3"/>
  <c r="F2276" i="3"/>
  <c r="F2275" i="3"/>
  <c r="F2274" i="3"/>
  <c r="F2273" i="3"/>
  <c r="F2272" i="3"/>
  <c r="F2271" i="3"/>
  <c r="F2270" i="3"/>
  <c r="F2269" i="3"/>
  <c r="F2268" i="3"/>
  <c r="F2267" i="3"/>
  <c r="F2266" i="3"/>
  <c r="F2264" i="3"/>
  <c r="F2265" i="3"/>
  <c r="F2263" i="3"/>
  <c r="F2261" i="3"/>
  <c r="F2262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5" i="3"/>
  <c r="F2226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0" i="3"/>
  <c r="F2181" i="3"/>
  <c r="F2179" i="3"/>
  <c r="F2178" i="3"/>
  <c r="F2177" i="3"/>
  <c r="F2176" i="3"/>
  <c r="F2175" i="3"/>
  <c r="F2174" i="3"/>
  <c r="F2172" i="3"/>
  <c r="F2173" i="3"/>
  <c r="F2170" i="3"/>
  <c r="F2171" i="3"/>
  <c r="F2169" i="3"/>
  <c r="F2168" i="3"/>
  <c r="F2167" i="3"/>
  <c r="F2166" i="3"/>
  <c r="F2165" i="3"/>
  <c r="F2164" i="3"/>
  <c r="F2163" i="3"/>
  <c r="F2162" i="3"/>
  <c r="F2161" i="3"/>
  <c r="F2159" i="3"/>
  <c r="F2160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0" i="3"/>
  <c r="F2131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2312" i="3"/>
  <c r="F1933" i="3"/>
  <c r="F1932" i="3"/>
  <c r="F1931" i="3"/>
  <c r="F1930" i="3"/>
  <c r="F1929" i="3"/>
  <c r="F1928" i="3"/>
  <c r="F1927" i="3"/>
  <c r="F1926" i="3"/>
  <c r="F1924" i="3"/>
  <c r="F1925" i="3"/>
  <c r="F1923" i="3"/>
  <c r="F1922" i="3"/>
  <c r="F1921" i="3"/>
  <c r="F1920" i="3"/>
  <c r="F1919" i="3"/>
  <c r="F1918" i="3"/>
  <c r="F1917" i="3"/>
  <c r="F1916" i="3"/>
  <c r="F1915" i="3"/>
  <c r="F1914" i="3"/>
  <c r="F1913" i="3"/>
  <c r="F1911" i="3"/>
  <c r="F1912" i="3"/>
  <c r="F1910" i="3"/>
  <c r="F1909" i="3"/>
  <c r="F1908" i="3"/>
  <c r="F1907" i="3"/>
  <c r="F1906" i="3"/>
  <c r="F1905" i="3"/>
  <c r="F1904" i="3"/>
  <c r="F1903" i="3"/>
  <c r="F1901" i="3"/>
  <c r="F1902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1" i="3"/>
  <c r="F1852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934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5" i="3"/>
  <c r="F1676" i="3"/>
  <c r="F1674" i="3"/>
  <c r="F1672" i="3"/>
  <c r="F1673" i="3"/>
  <c r="F1671" i="3"/>
  <c r="F1670" i="3"/>
  <c r="F1669" i="3"/>
  <c r="F1668" i="3"/>
  <c r="F1667" i="3"/>
  <c r="F1666" i="3"/>
  <c r="F1664" i="3"/>
  <c r="F1665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39" i="3"/>
  <c r="F1640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7" i="3"/>
  <c r="F1578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4" i="3"/>
  <c r="F1535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8" i="3"/>
  <c r="F1499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719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0" i="3"/>
  <c r="F1371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8" i="3"/>
  <c r="F1329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0" i="3"/>
  <c r="F1301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6" i="3"/>
  <c r="F1287" i="3"/>
  <c r="F1285" i="3"/>
  <c r="F1283" i="3"/>
  <c r="F1284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6" i="3"/>
  <c r="F1267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6" i="3"/>
  <c r="F1247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7" i="3"/>
  <c r="F1228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4" i="3"/>
  <c r="F1185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5" i="3"/>
  <c r="F1156" i="3"/>
  <c r="F1154" i="3"/>
  <c r="F1153" i="3"/>
  <c r="F1152" i="3"/>
  <c r="F1151" i="3"/>
  <c r="F1150" i="3"/>
  <c r="F1149" i="3"/>
  <c r="F1148" i="3"/>
  <c r="F1147" i="3"/>
  <c r="F1146" i="3"/>
  <c r="F1145" i="3"/>
  <c r="F1143" i="3"/>
  <c r="F1144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8" i="3"/>
  <c r="F1129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2" i="3"/>
  <c r="F1083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59" i="3"/>
  <c r="F1060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1391" i="3"/>
  <c r="F840" i="3"/>
  <c r="F839" i="3"/>
  <c r="F837" i="3"/>
  <c r="F838" i="3"/>
  <c r="F836" i="3"/>
  <c r="F835" i="3"/>
  <c r="F834" i="3"/>
  <c r="F833" i="3"/>
  <c r="F832" i="3"/>
  <c r="F831" i="3"/>
  <c r="F829" i="3"/>
  <c r="F830" i="3"/>
  <c r="F828" i="3"/>
  <c r="F827" i="3"/>
  <c r="F826" i="3"/>
  <c r="F825" i="3"/>
  <c r="F824" i="3"/>
  <c r="F823" i="3"/>
  <c r="F822" i="3"/>
  <c r="F820" i="3"/>
  <c r="F821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2" i="3"/>
  <c r="F803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5" i="3"/>
  <c r="F786" i="3"/>
  <c r="F784" i="3"/>
  <c r="F783" i="3"/>
  <c r="F782" i="3"/>
  <c r="F781" i="3"/>
  <c r="F780" i="3"/>
  <c r="F779" i="3"/>
  <c r="F778" i="3"/>
  <c r="F777" i="3"/>
  <c r="F776" i="3"/>
  <c r="F774" i="3"/>
  <c r="F775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6" i="3"/>
  <c r="F757" i="3"/>
  <c r="F758" i="3"/>
  <c r="F755" i="3"/>
  <c r="F754" i="3"/>
  <c r="F753" i="3"/>
  <c r="F752" i="3"/>
  <c r="F751" i="3"/>
  <c r="F749" i="3"/>
  <c r="F750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0" i="3"/>
  <c r="F731" i="3"/>
  <c r="F732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6" i="3"/>
  <c r="F717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4" i="3"/>
  <c r="F695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79" i="3"/>
  <c r="F680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7" i="3"/>
  <c r="F608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8" i="3"/>
  <c r="F589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841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437" i="3"/>
  <c r="F271" i="3"/>
  <c r="F269" i="3"/>
  <c r="F270" i="3"/>
  <c r="F268" i="3"/>
  <c r="F267" i="3"/>
  <c r="F265" i="3"/>
  <c r="F266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8" i="3"/>
  <c r="F229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7" i="3"/>
  <c r="F198" i="3"/>
  <c r="F196" i="3"/>
  <c r="F195" i="3"/>
  <c r="F194" i="3"/>
  <c r="F193" i="3"/>
  <c r="F192" i="3"/>
  <c r="F190" i="3"/>
  <c r="F191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4" i="3"/>
  <c r="F115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0" i="3"/>
  <c r="F91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302" i="3"/>
  <c r="F301" i="3"/>
  <c r="F300" i="3"/>
  <c r="F299" i="3"/>
  <c r="F297" i="3"/>
  <c r="F298" i="3"/>
  <c r="F296" i="3"/>
  <c r="F295" i="3"/>
  <c r="F294" i="3"/>
  <c r="F293" i="3"/>
  <c r="F291" i="3"/>
  <c r="F292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305" i="3"/>
  <c r="F304" i="3"/>
  <c r="F303" i="3"/>
  <c r="F306" i="3"/>
  <c r="F4053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5" i="3"/>
  <c r="F4524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9" i="3"/>
  <c r="F4558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2" i="3"/>
  <c r="F4621" i="3"/>
  <c r="F4623" i="3"/>
  <c r="F4625" i="3"/>
  <c r="F4624" i="3"/>
  <c r="F4626" i="3"/>
  <c r="F4627" i="3"/>
  <c r="F4628" i="3"/>
  <c r="F4629" i="3"/>
  <c r="F4630" i="3"/>
  <c r="F4631" i="3"/>
  <c r="F4633" i="3"/>
  <c r="F4632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70" i="3"/>
  <c r="F4669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5" i="3"/>
  <c r="F4684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7" i="3"/>
  <c r="F4716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40" i="3"/>
  <c r="F4739" i="3"/>
  <c r="F4742" i="3"/>
  <c r="F4741" i="3"/>
  <c r="F4743" i="3"/>
  <c r="F4745" i="3"/>
  <c r="F4744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2" i="3"/>
  <c r="F4761" i="3"/>
  <c r="F4763" i="3"/>
  <c r="F4764" i="3"/>
  <c r="F4765" i="3"/>
  <c r="F4766" i="3"/>
  <c r="F4767" i="3"/>
  <c r="F4768" i="3"/>
  <c r="F4769" i="3"/>
  <c r="F4771" i="3"/>
  <c r="F4770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7" i="3"/>
  <c r="F4796" i="3"/>
  <c r="F4795" i="3"/>
  <c r="F4798" i="3"/>
  <c r="F4799" i="3"/>
  <c r="F4800" i="3"/>
  <c r="F4801" i="3"/>
  <c r="F4802" i="3"/>
  <c r="F4803" i="3"/>
  <c r="F4805" i="3"/>
  <c r="F4804" i="3"/>
  <c r="F4806" i="3"/>
  <c r="F4808" i="3"/>
  <c r="F4807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7" i="3"/>
  <c r="F4836" i="3"/>
  <c r="F4838" i="3"/>
  <c r="F4839" i="3"/>
  <c r="F4840" i="3"/>
  <c r="F4841" i="3"/>
  <c r="F4842" i="3"/>
  <c r="F4844" i="3"/>
  <c r="F4843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9" i="3"/>
  <c r="F4858" i="3"/>
  <c r="F4860" i="3"/>
  <c r="F4861" i="3"/>
  <c r="F4862" i="3"/>
  <c r="F4863" i="3"/>
  <c r="F4865" i="3"/>
  <c r="F4864" i="3"/>
  <c r="F4866" i="3"/>
  <c r="F4867" i="3"/>
  <c r="F4871" i="3"/>
  <c r="F4870" i="3"/>
  <c r="F4869" i="3"/>
  <c r="F4868" i="3"/>
  <c r="F4872" i="3"/>
  <c r="F4873" i="3"/>
  <c r="F4874" i="3"/>
  <c r="F4875" i="3"/>
  <c r="F4876" i="3"/>
  <c r="F4877" i="3"/>
  <c r="F4879" i="3"/>
  <c r="F4878" i="3"/>
  <c r="F4881" i="3"/>
  <c r="F4880" i="3"/>
  <c r="F4882" i="3"/>
  <c r="F4883" i="3"/>
  <c r="F4884" i="3"/>
  <c r="F4885" i="3"/>
  <c r="F4886" i="3"/>
  <c r="F4887" i="3"/>
  <c r="F4888" i="3"/>
  <c r="F4889" i="3"/>
  <c r="F4891" i="3"/>
  <c r="F4890" i="3"/>
  <c r="F4893" i="3"/>
  <c r="F4892" i="3"/>
  <c r="F4894" i="3"/>
  <c r="F4895" i="3"/>
  <c r="F4896" i="3"/>
  <c r="F4897" i="3"/>
  <c r="F4899" i="3"/>
  <c r="F4898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5" i="3"/>
  <c r="F4914" i="3"/>
  <c r="F4916" i="3"/>
  <c r="F4917" i="3"/>
  <c r="F4918" i="3"/>
  <c r="F4919" i="3"/>
  <c r="F4921" i="3"/>
  <c r="F4920" i="3"/>
  <c r="F4923" i="3"/>
  <c r="F4922" i="3"/>
  <c r="F4924" i="3"/>
  <c r="F4925" i="3"/>
  <c r="F4926" i="3"/>
  <c r="F4927" i="3"/>
  <c r="F4928" i="3"/>
  <c r="F4929" i="3"/>
  <c r="F4930" i="3"/>
  <c r="F4931" i="3"/>
  <c r="F4933" i="3"/>
  <c r="F4932" i="3"/>
  <c r="F4934" i="3"/>
  <c r="F4935" i="3"/>
  <c r="F4936" i="3"/>
  <c r="F4937" i="3"/>
  <c r="F4938" i="3"/>
  <c r="F4939" i="3"/>
  <c r="F4940" i="3"/>
  <c r="F4942" i="3"/>
  <c r="F4941" i="3"/>
  <c r="F4943" i="3"/>
  <c r="F4944" i="3"/>
  <c r="F4945" i="3"/>
  <c r="F4947" i="3"/>
  <c r="F4946" i="3"/>
  <c r="F4948" i="3"/>
  <c r="F4949" i="3"/>
  <c r="F4950" i="3"/>
  <c r="F4952" i="3"/>
  <c r="F4951" i="3"/>
  <c r="F4953" i="3"/>
  <c r="F4954" i="3"/>
  <c r="F4955" i="3"/>
  <c r="F4957" i="3"/>
  <c r="F4956" i="3"/>
  <c r="F4958" i="3"/>
  <c r="F4959" i="3"/>
  <c r="F4962" i="3"/>
  <c r="F4961" i="3"/>
  <c r="F4960" i="3"/>
  <c r="F4963" i="3"/>
  <c r="F4964" i="3"/>
  <c r="F4965" i="3"/>
  <c r="F4966" i="3"/>
  <c r="F4967" i="3"/>
  <c r="F4968" i="3"/>
  <c r="F4969" i="3"/>
  <c r="F4970" i="3"/>
  <c r="F4971" i="3"/>
  <c r="F4973" i="3"/>
  <c r="F4972" i="3"/>
  <c r="F4974" i="3"/>
  <c r="F4975" i="3"/>
  <c r="F4976" i="3"/>
  <c r="F4977" i="3"/>
  <c r="F4978" i="3"/>
  <c r="F4979" i="3"/>
  <c r="F4981" i="3"/>
  <c r="F4980" i="3"/>
  <c r="F4982" i="3"/>
  <c r="F4983" i="3"/>
  <c r="F4984" i="3"/>
  <c r="F4986" i="3"/>
  <c r="F4985" i="3"/>
  <c r="F4987" i="3"/>
  <c r="F4988" i="3"/>
  <c r="F4989" i="3"/>
  <c r="F4990" i="3"/>
  <c r="F4991" i="3"/>
  <c r="F4993" i="3"/>
  <c r="F4992" i="3"/>
  <c r="F4994" i="3"/>
  <c r="F4995" i="3"/>
  <c r="F4997" i="3"/>
  <c r="F4996" i="3"/>
  <c r="F5001" i="3"/>
  <c r="F5000" i="3"/>
  <c r="F4999" i="3"/>
  <c r="F4998" i="3"/>
  <c r="F5002" i="3"/>
  <c r="F5003" i="3"/>
  <c r="F5005" i="3"/>
  <c r="F5004" i="3"/>
  <c r="F5006" i="3"/>
  <c r="F5008" i="3"/>
  <c r="F5007" i="3"/>
  <c r="F5009" i="3"/>
  <c r="F5011" i="3"/>
  <c r="F5010" i="3"/>
  <c r="F5012" i="3"/>
  <c r="F5013" i="3"/>
  <c r="F5014" i="3"/>
  <c r="F5015" i="3"/>
  <c r="F5017" i="3"/>
  <c r="F5016" i="3"/>
  <c r="F5021" i="3"/>
  <c r="F5020" i="3"/>
  <c r="F5019" i="3"/>
  <c r="F5018" i="3"/>
  <c r="F5022" i="3"/>
  <c r="F5024" i="3"/>
  <c r="F5023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50" i="3"/>
  <c r="F5049" i="3"/>
  <c r="F5051" i="3"/>
  <c r="F5052" i="3"/>
  <c r="F5054" i="3"/>
  <c r="F5053" i="3"/>
  <c r="F5055" i="3"/>
  <c r="F5056" i="3"/>
  <c r="F5058" i="3"/>
  <c r="F5057" i="3"/>
  <c r="F5060" i="3"/>
  <c r="F5059" i="3"/>
  <c r="F5062" i="3"/>
  <c r="F5061" i="3"/>
  <c r="F5063" i="3"/>
  <c r="F5064" i="3"/>
  <c r="F5065" i="3"/>
  <c r="F5067" i="3"/>
  <c r="F5066" i="3"/>
  <c r="F5068" i="3"/>
  <c r="F5069" i="3"/>
  <c r="F5072" i="3"/>
  <c r="F5071" i="3"/>
  <c r="F5070" i="3"/>
  <c r="F5075" i="3"/>
  <c r="F5074" i="3"/>
  <c r="F5073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6" i="3"/>
  <c r="F5095" i="3"/>
  <c r="F5097" i="3"/>
  <c r="F5099" i="3"/>
  <c r="F5098" i="3"/>
  <c r="F5101" i="3"/>
  <c r="F5100" i="3"/>
  <c r="F5102" i="3"/>
  <c r="F5104" i="3"/>
  <c r="F5103" i="3"/>
  <c r="F5105" i="3"/>
  <c r="F5106" i="3"/>
  <c r="F5107" i="3"/>
  <c r="F5108" i="3"/>
  <c r="F5109" i="3"/>
  <c r="F5110" i="3"/>
  <c r="F5111" i="3"/>
  <c r="F5112" i="3"/>
  <c r="F5113" i="3"/>
  <c r="F5114" i="3"/>
  <c r="F5117" i="3"/>
  <c r="F5116" i="3"/>
  <c r="F5115" i="3"/>
  <c r="F5118" i="3"/>
  <c r="F5119" i="3"/>
  <c r="F5121" i="3"/>
  <c r="F5120" i="3"/>
  <c r="F5122" i="3"/>
  <c r="F5123" i="3"/>
  <c r="F5124" i="3"/>
  <c r="F5126" i="3"/>
  <c r="F5125" i="3"/>
  <c r="F5127" i="3"/>
  <c r="F5128" i="3"/>
  <c r="F5130" i="3"/>
  <c r="F5129" i="3"/>
  <c r="F5131" i="3"/>
  <c r="F5132" i="3"/>
  <c r="F5133" i="3"/>
  <c r="F5134" i="3"/>
  <c r="F5135" i="3"/>
  <c r="F5136" i="3"/>
  <c r="F5137" i="3"/>
  <c r="F5138" i="3"/>
  <c r="F5139" i="3"/>
  <c r="F5140" i="3"/>
  <c r="F5141" i="3"/>
  <c r="F5142" i="3"/>
  <c r="F5143" i="3"/>
  <c r="F5144" i="3"/>
  <c r="F5145" i="3"/>
  <c r="F5146" i="3"/>
  <c r="F5148" i="3"/>
  <c r="F5147" i="3"/>
  <c r="F5149" i="3"/>
  <c r="F5150" i="3"/>
  <c r="F5153" i="3"/>
  <c r="F5152" i="3"/>
  <c r="F5151" i="3"/>
  <c r="F5154" i="3"/>
  <c r="F5156" i="3"/>
  <c r="F5155" i="3"/>
  <c r="F5158" i="3"/>
  <c r="F5157" i="3"/>
  <c r="F5160" i="3"/>
  <c r="F5159" i="3"/>
  <c r="F5161" i="3"/>
  <c r="F5162" i="3"/>
  <c r="F5163" i="3"/>
  <c r="F5164" i="3"/>
  <c r="F5165" i="3"/>
  <c r="F5166" i="3"/>
  <c r="F5167" i="3"/>
  <c r="F5169" i="3"/>
  <c r="F5168" i="3"/>
  <c r="F5170" i="3"/>
  <c r="F5171" i="3"/>
  <c r="F5172" i="3"/>
  <c r="F5174" i="3"/>
  <c r="F5173" i="3"/>
  <c r="F5176" i="3"/>
  <c r="F5175" i="3"/>
  <c r="F5177" i="3"/>
  <c r="F5178" i="3"/>
  <c r="F5181" i="3"/>
  <c r="F5180" i="3"/>
  <c r="F5179" i="3"/>
  <c r="F5182" i="3"/>
  <c r="F5184" i="3"/>
  <c r="F5183" i="3"/>
  <c r="F5185" i="3"/>
  <c r="F5186" i="3"/>
  <c r="F5187" i="3"/>
  <c r="F5188" i="3"/>
  <c r="F5189" i="3"/>
  <c r="F5190" i="3"/>
  <c r="F5191" i="3"/>
  <c r="F5192" i="3"/>
  <c r="F5194" i="3"/>
  <c r="F5193" i="3"/>
  <c r="F5195" i="3"/>
  <c r="F5196" i="3"/>
  <c r="F5198" i="3"/>
  <c r="F5197" i="3"/>
  <c r="F5199" i="3"/>
  <c r="F5201" i="3"/>
  <c r="F5200" i="3"/>
  <c r="F5202" i="3"/>
  <c r="F5203" i="3"/>
  <c r="F5204" i="3"/>
  <c r="F5205" i="3"/>
  <c r="F5206" i="3"/>
  <c r="F5207" i="3"/>
  <c r="F5208" i="3"/>
  <c r="F5209" i="3"/>
  <c r="F5210" i="3"/>
  <c r="F5211" i="3"/>
  <c r="F5212" i="3"/>
  <c r="F5214" i="3"/>
  <c r="F5213" i="3"/>
  <c r="F5215" i="3"/>
  <c r="F5217" i="3"/>
  <c r="F5216" i="3"/>
  <c r="F5218" i="3"/>
  <c r="F5219" i="3"/>
  <c r="F5222" i="3"/>
  <c r="F5221" i="3"/>
  <c r="F5220" i="3"/>
  <c r="F5224" i="3"/>
  <c r="F5223" i="3"/>
  <c r="F5225" i="3"/>
  <c r="F5226" i="3"/>
  <c r="F5227" i="3"/>
  <c r="F5228" i="3"/>
  <c r="F5232" i="3"/>
  <c r="F5231" i="3"/>
  <c r="F5230" i="3"/>
  <c r="F5229" i="3"/>
  <c r="F5233" i="3"/>
  <c r="F5234" i="3"/>
  <c r="F5235" i="3"/>
  <c r="F5236" i="3"/>
  <c r="F5238" i="3"/>
  <c r="F5237" i="3"/>
  <c r="F5240" i="3"/>
  <c r="F5239" i="3"/>
  <c r="F5242" i="3"/>
  <c r="F5241" i="3"/>
  <c r="F5243" i="3"/>
  <c r="F5245" i="3"/>
  <c r="F5244" i="3"/>
  <c r="F5246" i="3"/>
  <c r="F5247" i="3"/>
  <c r="F5249" i="3"/>
  <c r="F5248" i="3"/>
  <c r="F5251" i="3"/>
  <c r="F5250" i="3"/>
  <c r="F5252" i="3"/>
  <c r="F5253" i="3"/>
  <c r="F5255" i="3"/>
  <c r="F5254" i="3"/>
  <c r="F5256" i="3"/>
  <c r="F5257" i="3"/>
  <c r="F5258" i="3"/>
  <c r="F5259" i="3"/>
  <c r="F5262" i="3"/>
  <c r="F5261" i="3"/>
  <c r="F5260" i="3"/>
  <c r="F5263" i="3"/>
  <c r="F5265" i="3"/>
  <c r="F5264" i="3"/>
  <c r="F5266" i="3"/>
  <c r="F5268" i="3"/>
  <c r="F5267" i="3"/>
  <c r="F5269" i="3"/>
  <c r="F5272" i="3"/>
  <c r="F5271" i="3"/>
  <c r="F5270" i="3"/>
  <c r="F5274" i="3"/>
  <c r="F5273" i="3"/>
  <c r="F5275" i="3"/>
  <c r="F5276" i="3"/>
  <c r="F5277" i="3"/>
  <c r="F5278" i="3"/>
  <c r="F5279" i="3"/>
  <c r="F5280" i="3"/>
  <c r="F5281" i="3"/>
  <c r="F5284" i="3"/>
  <c r="F5283" i="3"/>
  <c r="F5282" i="3"/>
  <c r="F5285" i="3"/>
  <c r="F5286" i="3"/>
  <c r="F5288" i="3"/>
  <c r="F5287" i="3"/>
  <c r="F5290" i="3"/>
  <c r="F5289" i="3"/>
  <c r="F5291" i="3"/>
  <c r="F5292" i="3"/>
  <c r="F5294" i="3"/>
  <c r="F5293" i="3"/>
  <c r="F5296" i="3"/>
  <c r="F5295" i="3"/>
  <c r="F5297" i="3"/>
  <c r="F5298" i="3"/>
  <c r="F5300" i="3"/>
  <c r="F5299" i="3"/>
  <c r="F5301" i="3"/>
  <c r="F5302" i="3"/>
  <c r="F5303" i="3"/>
  <c r="F5304" i="3"/>
  <c r="F5305" i="3"/>
  <c r="F5307" i="3"/>
  <c r="F5306" i="3"/>
  <c r="F5309" i="3"/>
  <c r="F5308" i="3"/>
  <c r="F5310" i="3"/>
  <c r="F5311" i="3"/>
  <c r="F5312" i="3"/>
  <c r="F5314" i="3"/>
  <c r="F5313" i="3"/>
  <c r="F5315" i="3"/>
  <c r="F5316" i="3"/>
  <c r="F5317" i="3"/>
  <c r="F5318" i="3"/>
  <c r="F5319" i="3"/>
  <c r="F5320" i="3"/>
  <c r="F5321" i="3"/>
  <c r="F5323" i="3"/>
  <c r="F5322" i="3"/>
  <c r="F5324" i="3"/>
  <c r="F5325" i="3"/>
  <c r="F5326" i="3"/>
  <c r="F5327" i="3"/>
  <c r="F5331" i="3"/>
  <c r="F5330" i="3"/>
  <c r="F5329" i="3"/>
  <c r="F5328" i="3"/>
  <c r="F5332" i="3"/>
  <c r="F5334" i="3"/>
  <c r="F5333" i="3"/>
  <c r="F5335" i="3"/>
  <c r="F5336" i="3"/>
  <c r="F5338" i="3"/>
  <c r="F5337" i="3"/>
  <c r="F5339" i="3"/>
  <c r="F5341" i="3"/>
  <c r="F5340" i="3"/>
  <c r="F5344" i="3"/>
  <c r="F5343" i="3"/>
  <c r="F5342" i="3"/>
  <c r="F5345" i="3"/>
  <c r="F5346" i="3"/>
  <c r="F5347" i="3"/>
  <c r="F5348" i="3"/>
  <c r="F5350" i="3"/>
  <c r="F5349" i="3"/>
  <c r="F5351" i="3"/>
  <c r="F5353" i="3"/>
  <c r="F5352" i="3"/>
  <c r="F5354" i="3"/>
  <c r="F5355" i="3"/>
  <c r="F5356" i="3"/>
  <c r="F5357" i="3"/>
  <c r="F5358" i="3"/>
  <c r="F5359" i="3"/>
  <c r="F5360" i="3"/>
  <c r="F5362" i="3"/>
  <c r="F5361" i="3"/>
  <c r="F5363" i="3"/>
  <c r="F5365" i="3"/>
  <c r="F5364" i="3"/>
  <c r="F5366" i="3"/>
  <c r="F5367" i="3"/>
  <c r="F5368" i="3"/>
  <c r="F5369" i="3"/>
  <c r="F5370" i="3"/>
  <c r="F5372" i="3"/>
  <c r="F5371" i="3"/>
  <c r="F5373" i="3"/>
  <c r="F5375" i="3"/>
  <c r="F5374" i="3"/>
  <c r="F5376" i="3"/>
  <c r="F5378" i="3"/>
  <c r="F5377" i="3"/>
  <c r="F5379" i="3"/>
  <c r="F5380" i="3"/>
  <c r="F5381" i="3"/>
  <c r="F5382" i="3"/>
  <c r="F5384" i="3"/>
  <c r="F5383" i="3"/>
  <c r="F5387" i="3"/>
  <c r="F5386" i="3"/>
  <c r="F5385" i="3"/>
  <c r="F5389" i="3"/>
  <c r="F5388" i="3"/>
  <c r="F5392" i="3"/>
  <c r="F5391" i="3"/>
  <c r="F5390" i="3"/>
  <c r="F5393" i="3"/>
  <c r="F5395" i="3"/>
  <c r="F5394" i="3"/>
  <c r="F5396" i="3"/>
  <c r="F5397" i="3"/>
  <c r="F5399" i="3"/>
  <c r="F5398" i="3"/>
  <c r="F5401" i="3"/>
  <c r="F5400" i="3"/>
  <c r="F5402" i="3"/>
  <c r="F5405" i="3"/>
  <c r="F5404" i="3"/>
  <c r="F5403" i="3"/>
  <c r="F5408" i="3"/>
  <c r="F5407" i="3"/>
  <c r="F5406" i="3"/>
  <c r="F5410" i="3"/>
  <c r="F5409" i="3"/>
  <c r="F5412" i="3"/>
  <c r="F5411" i="3"/>
  <c r="F5415" i="3"/>
  <c r="F5414" i="3"/>
  <c r="F5413" i="3"/>
  <c r="F5416" i="3"/>
  <c r="F5417" i="3"/>
  <c r="F5418" i="3"/>
  <c r="F5420" i="3"/>
  <c r="F5419" i="3"/>
  <c r="F5421" i="3"/>
  <c r="F5422" i="3"/>
  <c r="F5424" i="3"/>
  <c r="F5423" i="3"/>
  <c r="F5425" i="3"/>
  <c r="F5426" i="3"/>
  <c r="F5427" i="3"/>
  <c r="F5428" i="3"/>
  <c r="F5429" i="3"/>
  <c r="F5430" i="3"/>
  <c r="F5431" i="3"/>
  <c r="F5432" i="3"/>
  <c r="F5433" i="3"/>
  <c r="F5434" i="3"/>
  <c r="F5435" i="3"/>
  <c r="F5436" i="3"/>
  <c r="F5438" i="3"/>
  <c r="F5437" i="3"/>
  <c r="F5439" i="3"/>
  <c r="F5440" i="3"/>
  <c r="F5441" i="3"/>
  <c r="F5442" i="3"/>
  <c r="F5445" i="3"/>
  <c r="F5444" i="3"/>
  <c r="F5443" i="3"/>
  <c r="F5446" i="3"/>
  <c r="F5448" i="3"/>
  <c r="F5447" i="3"/>
  <c r="F5449" i="3"/>
  <c r="F5451" i="3"/>
  <c r="F5450" i="3"/>
  <c r="F5453" i="3"/>
  <c r="F5452" i="3"/>
  <c r="F5454" i="3"/>
  <c r="F5457" i="3"/>
  <c r="F5456" i="3"/>
  <c r="F5455" i="3"/>
  <c r="F5458" i="3"/>
  <c r="F5459" i="3"/>
  <c r="F5461" i="3"/>
  <c r="F5460" i="3"/>
  <c r="F5463" i="3"/>
  <c r="F5462" i="3"/>
  <c r="F5464" i="3"/>
  <c r="F5465" i="3"/>
  <c r="F5466" i="3"/>
  <c r="F5467" i="3"/>
  <c r="F5468" i="3"/>
  <c r="F5469" i="3"/>
  <c r="F5471" i="3"/>
  <c r="F5470" i="3"/>
  <c r="F5472" i="3"/>
  <c r="F5473" i="3"/>
  <c r="F5474" i="3"/>
  <c r="F5475" i="3"/>
  <c r="F5477" i="3"/>
  <c r="F5476" i="3"/>
  <c r="F5478" i="3"/>
  <c r="F5479" i="3"/>
  <c r="F5482" i="3"/>
  <c r="F5481" i="3"/>
  <c r="F5480" i="3"/>
  <c r="F5483" i="3"/>
  <c r="F5488" i="3"/>
  <c r="F5487" i="3"/>
  <c r="F5486" i="3"/>
  <c r="F5485" i="3"/>
  <c r="F5484" i="3"/>
  <c r="F5489" i="3"/>
  <c r="F5490" i="3"/>
  <c r="F5491" i="3"/>
  <c r="F5493" i="3"/>
  <c r="F5492" i="3"/>
  <c r="F5495" i="3"/>
  <c r="F5494" i="3"/>
  <c r="F5496" i="3"/>
  <c r="F5497" i="3"/>
  <c r="F5498" i="3"/>
  <c r="F5500" i="3"/>
  <c r="F5499" i="3"/>
  <c r="F5501" i="3"/>
  <c r="F5502" i="3"/>
  <c r="F5503" i="3"/>
  <c r="F5504" i="3"/>
  <c r="F5505" i="3"/>
  <c r="F5506" i="3"/>
  <c r="F5508" i="3"/>
  <c r="F5507" i="3"/>
  <c r="F5511" i="3"/>
  <c r="F5510" i="3"/>
  <c r="F5509" i="3"/>
  <c r="F5512" i="3"/>
  <c r="F5513" i="3"/>
  <c r="F5515" i="3"/>
  <c r="F5514" i="3"/>
  <c r="F5517" i="3"/>
  <c r="F5516" i="3"/>
  <c r="F5518" i="3"/>
  <c r="F5520" i="3"/>
  <c r="F5519" i="3"/>
  <c r="F5521" i="3"/>
  <c r="F5523" i="3"/>
  <c r="F5522" i="3"/>
  <c r="F5524" i="3"/>
  <c r="F5525" i="3"/>
  <c r="F5527" i="3"/>
  <c r="F5526" i="3"/>
  <c r="F5528" i="3"/>
  <c r="F5529" i="3"/>
  <c r="F5530" i="3"/>
  <c r="F5531" i="3"/>
  <c r="F5532" i="3"/>
  <c r="F5534" i="3"/>
  <c r="F5533" i="3"/>
  <c r="F5535" i="3"/>
  <c r="F5537" i="3"/>
  <c r="F5536" i="3"/>
  <c r="F5538" i="3"/>
  <c r="F5539" i="3"/>
  <c r="F5540" i="3"/>
  <c r="F5541" i="3"/>
  <c r="F5542" i="3"/>
  <c r="F5545" i="3"/>
  <c r="F5544" i="3"/>
  <c r="F5543" i="3"/>
  <c r="F5547" i="3"/>
  <c r="F5546" i="3"/>
  <c r="F5548" i="3"/>
  <c r="F5549" i="3"/>
  <c r="F5550" i="3"/>
  <c r="F5551" i="3"/>
  <c r="F5552" i="3"/>
  <c r="F5554" i="3"/>
  <c r="F5553" i="3"/>
  <c r="F5555" i="3"/>
  <c r="F5556" i="3"/>
  <c r="F5557" i="3"/>
  <c r="F5560" i="3"/>
  <c r="F5559" i="3"/>
  <c r="F5558" i="3"/>
  <c r="F5561" i="3"/>
  <c r="F5562" i="3"/>
  <c r="F5563" i="3"/>
  <c r="F5564" i="3"/>
  <c r="F5565" i="3"/>
  <c r="F5566" i="3"/>
  <c r="F5568" i="3"/>
  <c r="F5567" i="3"/>
  <c r="F5569" i="3"/>
  <c r="F5571" i="3"/>
  <c r="F5570" i="3"/>
  <c r="F5572" i="3"/>
  <c r="F5573" i="3"/>
  <c r="F5575" i="3"/>
  <c r="F5574" i="3"/>
  <c r="F5577" i="3"/>
  <c r="F5576" i="3"/>
  <c r="F5581" i="3"/>
  <c r="F5580" i="3"/>
  <c r="F5579" i="3"/>
  <c r="F5578" i="3"/>
  <c r="F5582" i="3"/>
  <c r="F5583" i="3"/>
  <c r="F5585" i="3"/>
  <c r="F5584" i="3"/>
  <c r="F5586" i="3"/>
  <c r="F5587" i="3"/>
  <c r="F5589" i="3"/>
  <c r="F5588" i="3"/>
  <c r="F5590" i="3"/>
  <c r="F5591" i="3"/>
  <c r="F5592" i="3"/>
  <c r="F5593" i="3"/>
  <c r="F5594" i="3"/>
  <c r="F5596" i="3"/>
  <c r="F5595" i="3"/>
  <c r="F4051" i="3"/>
  <c r="F4050" i="3"/>
  <c r="F4049" i="3"/>
  <c r="F4048" i="3"/>
  <c r="F4047" i="3"/>
  <c r="F4046" i="3"/>
  <c r="F4044" i="3"/>
  <c r="F4045" i="3"/>
  <c r="F4043" i="3"/>
  <c r="F4042" i="3"/>
  <c r="F4041" i="3"/>
  <c r="F4040" i="3"/>
  <c r="F4038" i="3"/>
  <c r="F4039" i="3"/>
  <c r="F4037" i="3"/>
  <c r="F4036" i="3"/>
  <c r="F4034" i="3"/>
  <c r="F4035" i="3"/>
  <c r="F4033" i="3"/>
  <c r="F4032" i="3"/>
  <c r="F4031" i="3"/>
  <c r="F4030" i="3"/>
  <c r="F4029" i="3"/>
  <c r="F4028" i="3"/>
  <c r="F4027" i="3"/>
  <c r="F4026" i="3"/>
  <c r="F4023" i="3"/>
  <c r="F4024" i="3"/>
  <c r="F4025" i="3"/>
  <c r="F4022" i="3"/>
  <c r="F4021" i="3"/>
  <c r="F4020" i="3"/>
  <c r="F4019" i="3"/>
  <c r="F4018" i="3"/>
  <c r="F4017" i="3"/>
  <c r="F4016" i="3"/>
  <c r="F4015" i="3"/>
  <c r="F4014" i="3"/>
  <c r="F4013" i="3"/>
  <c r="F4011" i="3"/>
  <c r="F4012" i="3"/>
  <c r="F4010" i="3"/>
  <c r="F4009" i="3"/>
  <c r="F4008" i="3"/>
  <c r="F4007" i="3"/>
  <c r="F4006" i="3"/>
  <c r="F4005" i="3"/>
  <c r="F4004" i="3"/>
  <c r="F4003" i="3"/>
  <c r="F4002" i="3"/>
  <c r="F4000" i="3"/>
  <c r="F4001" i="3"/>
  <c r="F3999" i="3"/>
  <c r="F3998" i="3"/>
  <c r="F3997" i="3"/>
  <c r="F3996" i="3"/>
  <c r="F3995" i="3"/>
  <c r="F3994" i="3"/>
  <c r="F3993" i="3"/>
  <c r="F3992" i="3"/>
  <c r="F3991" i="3"/>
  <c r="F3990" i="3"/>
  <c r="F3989" i="3"/>
  <c r="F3987" i="3"/>
  <c r="F3988" i="3"/>
  <c r="F3986" i="3"/>
  <c r="F3985" i="3"/>
  <c r="F3984" i="3"/>
  <c r="F3983" i="3"/>
  <c r="F3982" i="3"/>
  <c r="F3981" i="3"/>
  <c r="F3980" i="3"/>
  <c r="F3979" i="3"/>
  <c r="F3978" i="3"/>
  <c r="F3977" i="3"/>
  <c r="F3976" i="3"/>
  <c r="F3975" i="3"/>
  <c r="F3974" i="3"/>
  <c r="F3973" i="3"/>
  <c r="F3972" i="3"/>
  <c r="F3971" i="3"/>
  <c r="F3970" i="3"/>
  <c r="F3969" i="3"/>
  <c r="F3967" i="3"/>
  <c r="F3968" i="3"/>
  <c r="F3966" i="3"/>
  <c r="F3965" i="3"/>
  <c r="F3964" i="3"/>
  <c r="F3962" i="3"/>
  <c r="F3963" i="3"/>
  <c r="F3961" i="3"/>
  <c r="F3960" i="3"/>
  <c r="F3959" i="3"/>
  <c r="F3956" i="3"/>
  <c r="F3957" i="3"/>
  <c r="F3958" i="3"/>
  <c r="F3955" i="3"/>
  <c r="F3954" i="3"/>
  <c r="F3953" i="3"/>
  <c r="F3952" i="3"/>
  <c r="F3951" i="3"/>
  <c r="F3950" i="3"/>
  <c r="F3949" i="3"/>
  <c r="F3948" i="3"/>
  <c r="F3947" i="3"/>
  <c r="F3946" i="3"/>
  <c r="F3945" i="3"/>
  <c r="F3944" i="3"/>
  <c r="F3943" i="3"/>
  <c r="F3942" i="3"/>
  <c r="F3941" i="3"/>
  <c r="F3940" i="3"/>
  <c r="F3938" i="3"/>
  <c r="F3939" i="3"/>
  <c r="F3937" i="3"/>
  <c r="F3936" i="3"/>
  <c r="F3935" i="3"/>
  <c r="F3934" i="3"/>
  <c r="F3933" i="3"/>
  <c r="F3932" i="3"/>
  <c r="F3931" i="3"/>
  <c r="F3930" i="3"/>
  <c r="F3929" i="3"/>
  <c r="F3928" i="3"/>
  <c r="F3927" i="3"/>
  <c r="F3926" i="3"/>
  <c r="F3925" i="3"/>
  <c r="F3923" i="3"/>
  <c r="F3924" i="3"/>
  <c r="F3922" i="3"/>
  <c r="F3921" i="3"/>
  <c r="F3920" i="3"/>
  <c r="F3919" i="3"/>
  <c r="F3918" i="3"/>
  <c r="F3917" i="3"/>
  <c r="F3916" i="3"/>
  <c r="F3915" i="3"/>
  <c r="F3914" i="3"/>
  <c r="F3913" i="3"/>
  <c r="F3912" i="3"/>
  <c r="F3911" i="3"/>
  <c r="F3910" i="3"/>
  <c r="F3909" i="3"/>
  <c r="F3907" i="3"/>
  <c r="F3908" i="3"/>
  <c r="F3905" i="3"/>
  <c r="F3906" i="3"/>
  <c r="F3904" i="3"/>
  <c r="F3903" i="3"/>
  <c r="F3901" i="3"/>
  <c r="F3902" i="3"/>
  <c r="F3900" i="3"/>
  <c r="F3899" i="3"/>
  <c r="F3898" i="3"/>
  <c r="F3897" i="3"/>
  <c r="F3896" i="3"/>
  <c r="F3894" i="3"/>
  <c r="F3895" i="3"/>
  <c r="F3893" i="3"/>
  <c r="F3892" i="3"/>
  <c r="F3891" i="3"/>
  <c r="F3890" i="3"/>
  <c r="F3889" i="3"/>
  <c r="F3885" i="3"/>
  <c r="F3886" i="3"/>
  <c r="F3887" i="3"/>
  <c r="F3888" i="3"/>
  <c r="F3883" i="3"/>
  <c r="F3884" i="3"/>
  <c r="F3882" i="3"/>
  <c r="F3881" i="3"/>
  <c r="F3880" i="3"/>
  <c r="F3879" i="3"/>
  <c r="F3878" i="3"/>
  <c r="F3876" i="3"/>
  <c r="F3877" i="3"/>
  <c r="F3874" i="3"/>
  <c r="F3875" i="3"/>
  <c r="F3873" i="3"/>
  <c r="F3870" i="3"/>
  <c r="F3871" i="3"/>
  <c r="F3872" i="3"/>
  <c r="F3869" i="3"/>
  <c r="F3868" i="3"/>
  <c r="F3867" i="3"/>
  <c r="F3866" i="3"/>
  <c r="F3865" i="3"/>
  <c r="F3864" i="3"/>
  <c r="F3863" i="3"/>
  <c r="F3862" i="3"/>
  <c r="F3861" i="3"/>
  <c r="F3860" i="3"/>
  <c r="F3859" i="3"/>
  <c r="F3858" i="3"/>
  <c r="F3857" i="3"/>
  <c r="F3856" i="3"/>
  <c r="F3855" i="3"/>
  <c r="F3854" i="3"/>
  <c r="F3851" i="3"/>
  <c r="F3852" i="3"/>
  <c r="F3853" i="3"/>
  <c r="F3850" i="3"/>
  <c r="F3849" i="3"/>
  <c r="F3848" i="3"/>
  <c r="F3847" i="3"/>
  <c r="F3846" i="3"/>
  <c r="F3845" i="3"/>
  <c r="F3843" i="3"/>
  <c r="F3844" i="3"/>
  <c r="F3842" i="3"/>
  <c r="F3840" i="3"/>
  <c r="F3841" i="3"/>
  <c r="F3839" i="3"/>
  <c r="F3838" i="3"/>
  <c r="F3837" i="3"/>
  <c r="F3836" i="3"/>
  <c r="F3835" i="3"/>
  <c r="F3834" i="3"/>
  <c r="F3833" i="3"/>
  <c r="F3831" i="3"/>
  <c r="F3832" i="3"/>
  <c r="F3830" i="3"/>
  <c r="F3828" i="3"/>
  <c r="F3829" i="3"/>
  <c r="F3827" i="3"/>
  <c r="F3825" i="3"/>
  <c r="F3826" i="3"/>
  <c r="F3824" i="3"/>
  <c r="F3822" i="3"/>
  <c r="F3823" i="3"/>
  <c r="F3821" i="3"/>
  <c r="F3820" i="3"/>
  <c r="F3819" i="3"/>
  <c r="F3817" i="3"/>
  <c r="F3818" i="3"/>
  <c r="F3815" i="3"/>
  <c r="F3816" i="3"/>
  <c r="F3814" i="3"/>
  <c r="F3813" i="3"/>
  <c r="F3812" i="3"/>
  <c r="F3811" i="3"/>
  <c r="F3810" i="3"/>
  <c r="F3809" i="3"/>
  <c r="F3808" i="3"/>
  <c r="F3807" i="3"/>
  <c r="F3806" i="3"/>
  <c r="F3805" i="3"/>
  <c r="F3804" i="3"/>
  <c r="F3803" i="3"/>
  <c r="F3802" i="3"/>
  <c r="F3801" i="3"/>
  <c r="F3800" i="3"/>
  <c r="F3799" i="3"/>
  <c r="F3797" i="3"/>
  <c r="F3798" i="3"/>
  <c r="F3796" i="3"/>
  <c r="F3795" i="3"/>
  <c r="F3794" i="3"/>
  <c r="F3792" i="3"/>
  <c r="F3793" i="3"/>
  <c r="F3791" i="3"/>
  <c r="F3790" i="3"/>
  <c r="F3789" i="3"/>
  <c r="F3788" i="3"/>
  <c r="F3787" i="3"/>
  <c r="F3786" i="3"/>
  <c r="F3785" i="3"/>
  <c r="F3784" i="3"/>
  <c r="F3783" i="3"/>
  <c r="F3782" i="3"/>
  <c r="F3781" i="3"/>
  <c r="F3780" i="3"/>
  <c r="F3778" i="3"/>
  <c r="F3779" i="3"/>
  <c r="F3777" i="3"/>
  <c r="F3776" i="3"/>
  <c r="F3775" i="3"/>
  <c r="F3774" i="3"/>
  <c r="F3773" i="3"/>
  <c r="F3772" i="3"/>
  <c r="F3770" i="3"/>
  <c r="F3771" i="3"/>
  <c r="F3769" i="3"/>
  <c r="F3768" i="3"/>
  <c r="F3767" i="3"/>
  <c r="F3766" i="3"/>
  <c r="F3765" i="3"/>
  <c r="F3764" i="3"/>
  <c r="F3763" i="3"/>
  <c r="F3762" i="3"/>
  <c r="F3761" i="3"/>
  <c r="F3759" i="3"/>
  <c r="F3760" i="3"/>
  <c r="F3758" i="3"/>
  <c r="F3757" i="3"/>
  <c r="F3756" i="3"/>
  <c r="F3755" i="3"/>
  <c r="F3754" i="3"/>
  <c r="F3753" i="3"/>
  <c r="F3752" i="3"/>
  <c r="F3751" i="3"/>
  <c r="F3750" i="3"/>
  <c r="F3749" i="3"/>
  <c r="F3748" i="3"/>
  <c r="F3747" i="3"/>
  <c r="F3746" i="3"/>
  <c r="F3745" i="3"/>
  <c r="F3744" i="3"/>
  <c r="F3742" i="3"/>
  <c r="F3743" i="3"/>
  <c r="F3741" i="3"/>
  <c r="F3740" i="3"/>
  <c r="F3738" i="3"/>
  <c r="F3739" i="3"/>
  <c r="F3737" i="3"/>
  <c r="F3735" i="3"/>
  <c r="F3736" i="3"/>
  <c r="F3734" i="3"/>
  <c r="F3731" i="3"/>
  <c r="F3732" i="3"/>
  <c r="F3733" i="3"/>
  <c r="F3730" i="3"/>
  <c r="F3729" i="3"/>
  <c r="F3728" i="3"/>
  <c r="F3727" i="3"/>
  <c r="F3726" i="3"/>
  <c r="F3725" i="3"/>
  <c r="F3724" i="3"/>
  <c r="F3723" i="3"/>
  <c r="F3722" i="3"/>
  <c r="F3721" i="3"/>
  <c r="F3720" i="3"/>
  <c r="F3718" i="3"/>
  <c r="F3719" i="3"/>
  <c r="F3717" i="3"/>
  <c r="F3716" i="3"/>
  <c r="F3715" i="3"/>
  <c r="F3713" i="3"/>
  <c r="F3714" i="3"/>
  <c r="F3712" i="3"/>
  <c r="F3711" i="3"/>
  <c r="F3710" i="3"/>
  <c r="F3709" i="3"/>
  <c r="F3708" i="3"/>
  <c r="F3707" i="3"/>
  <c r="F3706" i="3"/>
  <c r="F3705" i="3"/>
  <c r="F3704" i="3"/>
  <c r="F3703" i="3"/>
  <c r="F3702" i="3"/>
  <c r="F3700" i="3"/>
  <c r="F3701" i="3"/>
  <c r="F3699" i="3"/>
  <c r="F3698" i="3"/>
  <c r="F3697" i="3"/>
  <c r="F3696" i="3"/>
  <c r="F3695" i="3"/>
  <c r="F3694" i="3"/>
  <c r="F3693" i="3"/>
  <c r="F3691" i="3"/>
  <c r="F3692" i="3"/>
  <c r="F3690" i="3"/>
  <c r="F3689" i="3"/>
  <c r="F3688" i="3"/>
  <c r="F3687" i="3"/>
  <c r="F3685" i="3"/>
  <c r="F3686" i="3"/>
  <c r="F3683" i="3"/>
  <c r="F3684" i="3"/>
  <c r="F3682" i="3"/>
  <c r="F3680" i="3"/>
  <c r="F3681" i="3"/>
  <c r="F3679" i="3"/>
  <c r="F3678" i="3"/>
  <c r="F3677" i="3"/>
  <c r="F3676" i="3"/>
  <c r="F3675" i="3"/>
  <c r="F3674" i="3"/>
  <c r="F3672" i="3"/>
  <c r="F3673" i="3"/>
  <c r="F3671" i="3"/>
  <c r="F3670" i="3"/>
  <c r="F3669" i="3"/>
  <c r="F3668" i="3"/>
  <c r="F3667" i="3"/>
  <c r="F3666" i="3"/>
  <c r="F3664" i="3"/>
  <c r="F3665" i="3"/>
  <c r="F3663" i="3"/>
  <c r="F3662" i="3"/>
  <c r="F3661" i="3"/>
  <c r="F3660" i="3"/>
  <c r="F3659" i="3"/>
  <c r="F3658" i="3"/>
  <c r="F3657" i="3"/>
  <c r="F3656" i="3"/>
  <c r="F3655" i="3"/>
  <c r="F3654" i="3"/>
  <c r="F3653" i="3"/>
  <c r="F3652" i="3"/>
  <c r="F3651" i="3"/>
  <c r="F3647" i="3"/>
  <c r="F3648" i="3"/>
  <c r="F3649" i="3"/>
  <c r="F3650" i="3"/>
  <c r="F3646" i="3"/>
  <c r="F3645" i="3"/>
  <c r="F3644" i="3"/>
  <c r="F3643" i="3"/>
  <c r="F3642" i="3"/>
  <c r="F3641" i="3"/>
  <c r="F3640" i="3"/>
  <c r="F3639" i="3"/>
  <c r="F3638" i="3"/>
  <c r="F3637" i="3"/>
  <c r="F3636" i="3"/>
  <c r="F3635" i="3"/>
  <c r="F3634" i="3"/>
  <c r="F3633" i="3"/>
  <c r="F3631" i="3"/>
  <c r="F3632" i="3"/>
  <c r="F3630" i="3"/>
  <c r="F3629" i="3"/>
  <c r="F3628" i="3"/>
  <c r="F3627" i="3"/>
  <c r="F3626" i="3"/>
  <c r="F3624" i="3"/>
  <c r="F3625" i="3"/>
  <c r="F3623" i="3"/>
  <c r="F3622" i="3"/>
  <c r="F3621" i="3"/>
  <c r="F3620" i="3"/>
  <c r="F3618" i="3"/>
  <c r="F3619" i="3"/>
  <c r="F3617" i="3"/>
  <c r="F3616" i="3"/>
  <c r="F3615" i="3"/>
  <c r="F3614" i="3"/>
  <c r="F3613" i="3"/>
  <c r="F3612" i="3"/>
  <c r="F3611" i="3"/>
  <c r="F3610" i="3"/>
  <c r="F3609" i="3"/>
  <c r="F3607" i="3"/>
  <c r="F3608" i="3"/>
  <c r="F3606" i="3"/>
  <c r="F3605" i="3"/>
  <c r="F3604" i="3"/>
  <c r="F3603" i="3"/>
  <c r="F3602" i="3"/>
  <c r="F3601" i="3"/>
  <c r="F3600" i="3"/>
  <c r="F3599" i="3"/>
  <c r="F3598" i="3"/>
  <c r="F3597" i="3"/>
  <c r="F3595" i="3"/>
  <c r="F3596" i="3"/>
  <c r="F3594" i="3"/>
  <c r="F3593" i="3"/>
  <c r="F3592" i="3"/>
  <c r="F3591" i="3"/>
  <c r="F3590" i="3"/>
  <c r="F3589" i="3"/>
  <c r="F3588" i="3"/>
  <c r="F3587" i="3"/>
  <c r="F3586" i="3"/>
  <c r="F3584" i="3"/>
  <c r="F3585" i="3"/>
  <c r="F3582" i="3"/>
  <c r="F3583" i="3"/>
  <c r="F3581" i="3"/>
  <c r="F3580" i="3"/>
  <c r="F3579" i="3"/>
  <c r="F3578" i="3"/>
  <c r="F3577" i="3"/>
  <c r="F3576" i="3"/>
  <c r="F3575" i="3"/>
  <c r="F3574" i="3"/>
  <c r="F3572" i="3"/>
  <c r="F3573" i="3"/>
  <c r="F3571" i="3"/>
  <c r="F3570" i="3"/>
  <c r="F3569" i="3"/>
  <c r="F3568" i="3"/>
  <c r="F3567" i="3"/>
  <c r="F3566" i="3"/>
  <c r="F3565" i="3"/>
  <c r="F3564" i="3"/>
  <c r="F3563" i="3"/>
  <c r="F3562" i="3"/>
  <c r="F3561" i="3"/>
  <c r="F3560" i="3"/>
  <c r="F3558" i="3"/>
  <c r="F3559" i="3"/>
  <c r="F3557" i="3"/>
  <c r="F3556" i="3"/>
  <c r="F3555" i="3"/>
  <c r="F3554" i="3"/>
  <c r="F3553" i="3"/>
  <c r="F3552" i="3"/>
  <c r="F3551" i="3"/>
  <c r="F3549" i="3"/>
  <c r="F3550" i="3"/>
  <c r="F3548" i="3"/>
  <c r="F3547" i="3"/>
  <c r="F3546" i="3"/>
  <c r="F3545" i="3"/>
  <c r="F3544" i="3"/>
  <c r="F3543" i="3"/>
  <c r="F3542" i="3"/>
  <c r="F3541" i="3"/>
  <c r="F3540" i="3"/>
  <c r="F3539" i="3"/>
  <c r="F3538" i="3"/>
  <c r="F3537" i="3"/>
  <c r="F3536" i="3"/>
  <c r="F3535" i="3"/>
  <c r="F3534" i="3"/>
  <c r="F3533" i="3"/>
  <c r="F3532" i="3"/>
  <c r="F3531" i="3"/>
  <c r="F3530" i="3"/>
  <c r="F3529" i="3"/>
  <c r="F3528" i="3"/>
  <c r="F3527" i="3"/>
  <c r="F3526" i="3"/>
  <c r="F3525" i="3"/>
  <c r="F3524" i="3"/>
  <c r="F3522" i="3"/>
  <c r="F3523" i="3"/>
  <c r="F3521" i="3"/>
  <c r="F3520" i="3"/>
  <c r="F3518" i="3"/>
  <c r="F3519" i="3"/>
  <c r="F3517" i="3"/>
  <c r="F3516" i="3"/>
  <c r="F3515" i="3"/>
  <c r="F3514" i="3"/>
  <c r="F3513" i="3"/>
  <c r="F3512" i="3"/>
  <c r="F3511" i="3"/>
  <c r="F3510" i="3"/>
  <c r="F3509" i="3"/>
  <c r="F3508" i="3"/>
  <c r="F3507" i="3"/>
  <c r="F3506" i="3"/>
  <c r="F3505" i="3"/>
  <c r="F3504" i="3"/>
  <c r="F3502" i="3"/>
  <c r="F3503" i="3"/>
  <c r="F3501" i="3"/>
  <c r="F3500" i="3"/>
  <c r="F3499" i="3"/>
  <c r="F3498" i="3"/>
  <c r="F3497" i="3"/>
  <c r="F3496" i="3"/>
  <c r="F3495" i="3"/>
  <c r="F3493" i="3"/>
  <c r="F3494" i="3"/>
  <c r="F3492" i="3"/>
  <c r="F3491" i="3"/>
  <c r="F3490" i="3"/>
  <c r="F3489" i="3"/>
  <c r="F3488" i="3"/>
  <c r="F3487" i="3"/>
  <c r="F3486" i="3"/>
  <c r="F3484" i="3"/>
  <c r="F3485" i="3"/>
  <c r="F3483" i="3"/>
  <c r="F3482" i="3"/>
  <c r="F3481" i="3"/>
  <c r="F3480" i="3"/>
  <c r="F3479" i="3"/>
  <c r="F3478" i="3"/>
  <c r="F3476" i="3"/>
  <c r="F3477" i="3"/>
  <c r="F3475" i="3"/>
  <c r="F3472" i="3"/>
  <c r="F3473" i="3"/>
  <c r="F3474" i="3"/>
  <c r="F3471" i="3"/>
  <c r="F3469" i="3"/>
  <c r="F3470" i="3"/>
  <c r="F3467" i="3"/>
  <c r="F3468" i="3"/>
  <c r="F3466" i="3"/>
  <c r="F3465" i="3"/>
  <c r="F3464" i="3"/>
  <c r="F3463" i="3"/>
  <c r="F3462" i="3"/>
  <c r="F3461" i="3"/>
  <c r="F3460" i="3"/>
  <c r="F3459" i="3"/>
  <c r="F3458" i="3"/>
  <c r="F3457" i="3"/>
  <c r="F3455" i="3"/>
  <c r="F3456" i="3"/>
  <c r="F3454" i="3"/>
  <c r="F3453" i="3"/>
  <c r="F3452" i="3"/>
  <c r="F3451" i="3"/>
  <c r="F3450" i="3"/>
  <c r="F3449" i="3"/>
  <c r="F3448" i="3"/>
  <c r="F3447" i="3"/>
  <c r="F3446" i="3"/>
  <c r="F3445" i="3"/>
  <c r="F3444" i="3"/>
  <c r="F3443" i="3"/>
  <c r="F3442" i="3"/>
  <c r="F3441" i="3"/>
  <c r="F3439" i="3"/>
  <c r="F3440" i="3"/>
  <c r="F3438" i="3"/>
  <c r="F3437" i="3"/>
  <c r="F3436" i="3"/>
  <c r="F3434" i="3"/>
  <c r="F3435" i="3"/>
  <c r="F3433" i="3"/>
  <c r="F3432" i="3"/>
  <c r="F3431" i="3"/>
  <c r="F3430" i="3"/>
  <c r="F3429" i="3"/>
  <c r="F3428" i="3"/>
  <c r="F3427" i="3"/>
  <c r="F3426" i="3"/>
  <c r="F3425" i="3"/>
  <c r="F3424" i="3"/>
  <c r="F3423" i="3"/>
  <c r="F3422" i="3"/>
  <c r="F3421" i="3"/>
  <c r="F3420" i="3"/>
  <c r="F3419" i="3"/>
  <c r="F3417" i="3"/>
  <c r="F3418" i="3"/>
  <c r="F3416" i="3"/>
  <c r="F3415" i="3"/>
  <c r="F3414" i="3"/>
  <c r="F3412" i="3"/>
  <c r="F3413" i="3"/>
  <c r="F3411" i="3"/>
  <c r="F3410" i="3"/>
  <c r="F3409" i="3"/>
  <c r="F3407" i="3"/>
  <c r="F3408" i="3"/>
  <c r="F3406" i="3"/>
  <c r="F3405" i="3"/>
  <c r="F3404" i="3"/>
  <c r="F3403" i="3"/>
  <c r="F3401" i="3"/>
  <c r="F3402" i="3"/>
  <c r="F3400" i="3"/>
  <c r="F3399" i="3"/>
  <c r="F3398" i="3"/>
  <c r="F3397" i="3"/>
  <c r="F3396" i="3"/>
  <c r="F3395" i="3"/>
  <c r="F3394" i="3"/>
  <c r="F3393" i="3"/>
  <c r="F3391" i="3"/>
  <c r="F3392" i="3"/>
  <c r="F3390" i="3"/>
  <c r="F3389" i="3"/>
  <c r="F3388" i="3"/>
  <c r="F3387" i="3"/>
  <c r="F3386" i="3"/>
  <c r="F3385" i="3"/>
  <c r="F3384" i="3"/>
  <c r="F3383" i="3"/>
  <c r="F3382" i="3"/>
  <c r="F3381" i="3"/>
  <c r="F3380" i="3"/>
  <c r="F3379" i="3"/>
  <c r="F3378" i="3"/>
  <c r="F3377" i="3"/>
  <c r="F3376" i="3"/>
  <c r="F3375" i="3"/>
  <c r="F3374" i="3"/>
  <c r="F3372" i="3"/>
  <c r="F3373" i="3"/>
  <c r="F3371" i="3"/>
  <c r="F3369" i="3"/>
  <c r="F3370" i="3"/>
  <c r="F3368" i="3"/>
  <c r="F3367" i="3"/>
  <c r="F3366" i="3"/>
  <c r="F3365" i="3"/>
  <c r="F3364" i="3"/>
  <c r="F3363" i="3"/>
  <c r="F3362" i="3"/>
  <c r="F3361" i="3"/>
  <c r="F3360" i="3"/>
  <c r="F3359" i="3"/>
  <c r="F3358" i="3"/>
  <c r="F3357" i="3"/>
  <c r="F3356" i="3"/>
  <c r="F3355" i="3"/>
  <c r="F3354" i="3"/>
  <c r="F3353" i="3"/>
  <c r="F3352" i="3"/>
  <c r="F3351" i="3"/>
  <c r="F3349" i="3"/>
  <c r="F3350" i="3"/>
  <c r="F3348" i="3"/>
  <c r="F3347" i="3"/>
  <c r="F3346" i="3"/>
  <c r="F3345" i="3"/>
  <c r="F3344" i="3"/>
  <c r="F3343" i="3"/>
  <c r="F3342" i="3"/>
  <c r="F3341" i="3"/>
  <c r="F3340" i="3"/>
  <c r="F3339" i="3"/>
  <c r="F3338" i="3"/>
  <c r="F3337" i="3"/>
  <c r="F3336" i="3"/>
  <c r="F3335" i="3"/>
  <c r="F3334" i="3"/>
  <c r="F3333" i="3"/>
  <c r="F3332" i="3"/>
  <c r="F3331" i="3"/>
  <c r="F3330" i="3"/>
  <c r="F3329" i="3"/>
  <c r="F3327" i="3"/>
  <c r="F3328" i="3"/>
  <c r="F3325" i="3"/>
  <c r="F3326" i="3"/>
  <c r="F3324" i="3"/>
  <c r="F3323" i="3"/>
  <c r="F3322" i="3"/>
  <c r="F3321" i="3"/>
  <c r="F3320" i="3"/>
  <c r="F3319" i="3"/>
  <c r="F3318" i="3"/>
  <c r="F3317" i="3"/>
  <c r="F3316" i="3"/>
  <c r="F3315" i="3"/>
  <c r="F3314" i="3"/>
  <c r="F3313" i="3"/>
  <c r="F3312" i="3"/>
  <c r="F3311" i="3"/>
  <c r="F3310" i="3"/>
  <c r="F3309" i="3"/>
  <c r="F3308" i="3"/>
  <c r="F3307" i="3"/>
  <c r="F3306" i="3"/>
  <c r="F3305" i="3"/>
  <c r="F3304" i="3"/>
  <c r="F3303" i="3"/>
  <c r="F3302" i="3"/>
  <c r="F3300" i="3"/>
  <c r="F3301" i="3"/>
  <c r="F3299" i="3"/>
  <c r="F3298" i="3"/>
  <c r="F3296" i="3"/>
  <c r="F3297" i="3"/>
  <c r="F3295" i="3"/>
  <c r="F3294" i="3"/>
  <c r="F3293" i="3"/>
  <c r="F3291" i="3"/>
  <c r="F3292" i="3"/>
  <c r="F3290" i="3"/>
  <c r="F3289" i="3"/>
  <c r="F3288" i="3"/>
  <c r="F3287" i="3"/>
  <c r="F3286" i="3"/>
  <c r="F3285" i="3"/>
  <c r="F3284" i="3"/>
  <c r="F3283" i="3"/>
  <c r="F3282" i="3"/>
  <c r="F3281" i="3"/>
  <c r="F3280" i="3"/>
  <c r="F3279" i="3"/>
  <c r="F3278" i="3"/>
  <c r="F3277" i="3"/>
  <c r="F3276" i="3"/>
  <c r="F3275" i="3"/>
  <c r="F3274" i="3"/>
  <c r="F3273" i="3"/>
  <c r="F3272" i="3"/>
  <c r="F3271" i="3"/>
  <c r="F3270" i="3"/>
  <c r="F3269" i="3"/>
  <c r="F3268" i="3"/>
  <c r="F3266" i="3"/>
  <c r="F3267" i="3"/>
  <c r="F3264" i="3"/>
  <c r="F3265" i="3"/>
  <c r="F3263" i="3"/>
  <c r="F3261" i="3"/>
  <c r="F3262" i="3"/>
  <c r="F3260" i="3"/>
  <c r="F3259" i="3"/>
  <c r="F3258" i="3"/>
  <c r="F3257" i="3"/>
  <c r="F3256" i="3"/>
  <c r="F3255" i="3"/>
  <c r="F3254" i="3"/>
  <c r="F3253" i="3"/>
  <c r="F3252" i="3"/>
  <c r="F3250" i="3"/>
  <c r="F3251" i="3"/>
  <c r="F3249" i="3"/>
  <c r="F3247" i="3"/>
  <c r="F3248" i="3"/>
  <c r="F3246" i="3"/>
  <c r="F3245" i="3"/>
  <c r="F3244" i="3"/>
  <c r="F3243" i="3"/>
  <c r="F3242" i="3"/>
  <c r="F3241" i="3"/>
  <c r="F3240" i="3"/>
  <c r="F3239" i="3"/>
  <c r="F3238" i="3"/>
  <c r="F3237" i="3"/>
  <c r="F3236" i="3"/>
  <c r="F3234" i="3"/>
  <c r="F3235" i="3"/>
  <c r="F3233" i="3"/>
  <c r="F3232" i="3"/>
  <c r="F3231" i="3"/>
  <c r="F3230" i="3"/>
  <c r="F3229" i="3"/>
  <c r="F3228" i="3"/>
  <c r="F3227" i="3"/>
  <c r="F3225" i="3"/>
  <c r="F3226" i="3"/>
  <c r="F3224" i="3"/>
  <c r="F3223" i="3"/>
  <c r="F3222" i="3"/>
  <c r="F3221" i="3"/>
  <c r="F3220" i="3"/>
  <c r="F3219" i="3"/>
  <c r="F3218" i="3"/>
  <c r="F3217" i="3"/>
  <c r="F3216" i="3"/>
  <c r="F3215" i="3"/>
  <c r="F3214" i="3"/>
  <c r="F3213" i="3"/>
  <c r="F3212" i="3"/>
  <c r="F3211" i="3"/>
  <c r="F3210" i="3"/>
  <c r="F3209" i="3"/>
  <c r="F3208" i="3"/>
  <c r="F3207" i="3"/>
  <c r="F3206" i="3"/>
  <c r="F3205" i="3"/>
  <c r="F3204" i="3"/>
  <c r="F3203" i="3"/>
  <c r="F3202" i="3"/>
  <c r="F3201" i="3"/>
  <c r="F3200" i="3"/>
  <c r="F3199" i="3"/>
  <c r="F3198" i="3"/>
  <c r="F3197" i="3"/>
  <c r="F3196" i="3"/>
  <c r="F3195" i="3"/>
  <c r="F3194" i="3"/>
  <c r="F3192" i="3"/>
  <c r="F3193" i="3"/>
  <c r="F3191" i="3"/>
  <c r="F3190" i="3"/>
  <c r="F3189" i="3"/>
  <c r="F3188" i="3"/>
  <c r="F3187" i="3"/>
  <c r="F3186" i="3"/>
  <c r="F3185" i="3"/>
  <c r="F3184" i="3"/>
  <c r="F3183" i="3"/>
  <c r="F3182" i="3"/>
  <c r="F3181" i="3"/>
  <c r="F3180" i="3"/>
  <c r="F3179" i="3"/>
  <c r="F3178" i="3"/>
  <c r="F3177" i="3"/>
  <c r="F3176" i="3"/>
  <c r="F3175" i="3"/>
  <c r="F3173" i="3"/>
  <c r="F3174" i="3"/>
  <c r="F3172" i="3"/>
  <c r="F3171" i="3"/>
  <c r="F3170" i="3"/>
  <c r="F3169" i="3"/>
  <c r="F3168" i="3"/>
  <c r="F3167" i="3"/>
  <c r="F3166" i="3"/>
  <c r="F3164" i="3"/>
  <c r="F3165" i="3"/>
  <c r="F3163" i="3"/>
  <c r="F3162" i="3"/>
  <c r="F3161" i="3"/>
  <c r="F3160" i="3"/>
  <c r="F3159" i="3"/>
  <c r="F3158" i="3"/>
  <c r="F3157" i="3"/>
  <c r="F3156" i="3"/>
  <c r="F3155" i="3"/>
  <c r="F3153" i="3"/>
  <c r="F3154" i="3"/>
  <c r="F3152" i="3"/>
  <c r="F3151" i="3"/>
  <c r="F3150" i="3"/>
  <c r="F3149" i="3"/>
  <c r="F3148" i="3"/>
  <c r="F3147" i="3"/>
  <c r="F3146" i="3"/>
  <c r="F3145" i="3"/>
  <c r="F3144" i="3"/>
  <c r="F3143" i="3"/>
  <c r="F3142" i="3"/>
  <c r="F3141" i="3"/>
  <c r="F3140" i="3"/>
  <c r="F3139" i="3"/>
  <c r="F3138" i="3"/>
  <c r="F3137" i="3"/>
  <c r="F3136" i="3"/>
  <c r="F3135" i="3"/>
  <c r="F3134" i="3"/>
  <c r="F3133" i="3"/>
  <c r="F3132" i="3"/>
  <c r="F3130" i="3"/>
  <c r="F3131" i="3"/>
  <c r="F3129" i="3"/>
  <c r="F3128" i="3"/>
  <c r="F3127" i="3"/>
  <c r="F3126" i="3"/>
  <c r="F3125" i="3"/>
  <c r="F3124" i="3"/>
  <c r="F3123" i="3"/>
  <c r="F3122" i="3"/>
  <c r="F3121" i="3"/>
  <c r="F3120" i="3"/>
  <c r="F3119" i="3"/>
  <c r="F3118" i="3"/>
  <c r="F3117" i="3"/>
  <c r="F3116" i="3"/>
  <c r="F3115" i="3"/>
  <c r="F3114" i="3"/>
  <c r="F3113" i="3"/>
  <c r="F3112" i="3"/>
  <c r="F3111" i="3"/>
  <c r="F3110" i="3"/>
  <c r="F3109" i="3"/>
  <c r="F3107" i="3"/>
  <c r="F3108" i="3"/>
  <c r="F3106" i="3"/>
  <c r="F3105" i="3"/>
  <c r="F3103" i="3"/>
  <c r="F3104" i="3"/>
  <c r="F3102" i="3"/>
  <c r="F3101" i="3"/>
  <c r="F3100" i="3"/>
  <c r="F3099" i="3"/>
  <c r="F3097" i="3"/>
  <c r="F3098" i="3"/>
  <c r="F3096" i="3"/>
  <c r="F3095" i="3"/>
  <c r="F3094" i="3"/>
  <c r="F3093" i="3"/>
  <c r="F3092" i="3"/>
  <c r="F3091" i="3"/>
  <c r="F3090" i="3"/>
  <c r="F3089" i="3"/>
  <c r="F3088" i="3"/>
  <c r="F3087" i="3"/>
  <c r="F3086" i="3"/>
  <c r="F3085" i="3"/>
  <c r="F3084" i="3"/>
  <c r="F3083" i="3"/>
  <c r="F3082" i="3"/>
  <c r="F3081" i="3"/>
  <c r="F3080" i="3"/>
  <c r="F3079" i="3"/>
  <c r="F3078" i="3"/>
  <c r="F3077" i="3"/>
  <c r="F3076" i="3"/>
  <c r="F3075" i="3"/>
  <c r="F3074" i="3"/>
  <c r="F3073" i="3"/>
  <c r="F3072" i="3"/>
  <c r="F3071" i="3"/>
  <c r="F3070" i="3"/>
  <c r="F3069" i="3"/>
  <c r="F3068" i="3"/>
  <c r="F3067" i="3"/>
  <c r="F3066" i="3"/>
  <c r="F3065" i="3"/>
  <c r="F3064" i="3"/>
  <c r="F3063" i="3"/>
  <c r="F3062" i="3"/>
  <c r="F3061" i="3"/>
  <c r="F3060" i="3"/>
  <c r="F3059" i="3"/>
  <c r="F3058" i="3"/>
  <c r="F3057" i="3"/>
  <c r="F3056" i="3"/>
  <c r="F3055" i="3"/>
  <c r="F3054" i="3"/>
  <c r="F3053" i="3"/>
  <c r="F3052" i="3"/>
  <c r="F3051" i="3"/>
  <c r="F3050" i="3"/>
  <c r="F3049" i="3"/>
  <c r="F3048" i="3"/>
  <c r="F3047" i="3"/>
  <c r="F3046" i="3"/>
  <c r="F3045" i="3"/>
  <c r="F3044" i="3"/>
  <c r="F3043" i="3"/>
  <c r="F3042" i="3"/>
  <c r="F3040" i="3"/>
  <c r="F3041" i="3"/>
  <c r="F3039" i="3"/>
  <c r="F3038" i="3"/>
  <c r="F3037" i="3"/>
  <c r="F3036" i="3"/>
  <c r="F3035" i="3"/>
  <c r="F3034" i="3"/>
  <c r="F3033" i="3"/>
  <c r="F3032" i="3"/>
  <c r="F3031" i="3"/>
  <c r="F3030" i="3"/>
  <c r="F3029" i="3"/>
  <c r="F3028" i="3"/>
  <c r="F3027" i="3"/>
  <c r="F3026" i="3"/>
  <c r="F3025" i="3"/>
  <c r="F3024" i="3"/>
  <c r="F3023" i="3"/>
  <c r="F3022" i="3"/>
  <c r="F3021" i="3"/>
  <c r="F3020" i="3"/>
  <c r="F3019" i="3"/>
  <c r="F3018" i="3"/>
  <c r="F3017" i="3"/>
  <c r="F3016" i="3"/>
  <c r="F3015" i="3"/>
  <c r="F3014" i="3"/>
  <c r="F3013" i="3"/>
  <c r="F3012" i="3"/>
  <c r="F3011" i="3"/>
  <c r="F3010" i="3"/>
  <c r="F3009" i="3"/>
  <c r="F3008" i="3"/>
  <c r="F3007" i="3"/>
  <c r="F3006" i="3"/>
  <c r="F3005" i="3"/>
  <c r="F3004" i="3"/>
  <c r="F3003" i="3"/>
  <c r="F3002" i="3"/>
  <c r="F3001" i="3"/>
  <c r="F3000" i="3"/>
  <c r="F2999" i="3"/>
  <c r="F2998" i="3"/>
  <c r="F2997" i="3"/>
  <c r="F2996" i="3"/>
  <c r="F2995" i="3"/>
  <c r="F2994" i="3"/>
  <c r="F2993" i="3"/>
  <c r="F2992" i="3"/>
  <c r="F2991" i="3"/>
  <c r="F2990" i="3"/>
  <c r="F2989" i="3"/>
  <c r="F2987" i="3"/>
  <c r="F2988" i="3"/>
  <c r="F2986" i="3"/>
  <c r="F2985" i="3"/>
  <c r="F2984" i="3"/>
  <c r="F2983" i="3"/>
  <c r="F2982" i="3"/>
  <c r="F2981" i="3"/>
  <c r="F2980" i="3"/>
  <c r="F2979" i="3"/>
  <c r="F2978" i="3"/>
  <c r="F2977" i="3"/>
  <c r="F2976" i="3"/>
  <c r="F2975" i="3"/>
  <c r="F2974" i="3"/>
  <c r="F2973" i="3"/>
  <c r="F2972" i="3"/>
  <c r="F2971" i="3"/>
  <c r="F2970" i="3"/>
  <c r="F2969" i="3"/>
  <c r="F2968" i="3"/>
  <c r="F2967" i="3"/>
  <c r="F2966" i="3"/>
  <c r="F2965" i="3"/>
  <c r="F2963" i="3"/>
  <c r="F2964" i="3"/>
  <c r="F2962" i="3"/>
  <c r="F2961" i="3"/>
  <c r="F2960" i="3"/>
  <c r="F2959" i="3"/>
  <c r="F2958" i="3"/>
  <c r="F2957" i="3"/>
  <c r="F2956" i="3"/>
  <c r="F2955" i="3"/>
  <c r="F2954" i="3"/>
  <c r="F2953" i="3"/>
  <c r="F2952" i="3"/>
  <c r="F2951" i="3"/>
  <c r="F2950" i="3"/>
  <c r="F2948" i="3"/>
  <c r="F2949" i="3"/>
  <c r="F2947" i="3"/>
  <c r="F2946" i="3"/>
  <c r="F2945" i="3"/>
  <c r="F2944" i="3"/>
  <c r="F2943" i="3"/>
  <c r="F2942" i="3"/>
  <c r="F2941" i="3"/>
  <c r="F2940" i="3"/>
  <c r="F2939" i="3"/>
  <c r="F2938" i="3"/>
  <c r="F2937" i="3"/>
  <c r="F2936" i="3"/>
  <c r="F2935" i="3"/>
  <c r="F2934" i="3"/>
  <c r="F2933" i="3"/>
  <c r="F2932" i="3"/>
  <c r="F2931" i="3"/>
  <c r="F2930" i="3"/>
  <c r="F2929" i="3"/>
  <c r="F2927" i="3"/>
  <c r="F2928" i="3"/>
  <c r="F2926" i="3"/>
  <c r="F2925" i="3"/>
  <c r="F2924" i="3"/>
  <c r="F2923" i="3"/>
  <c r="F2922" i="3"/>
  <c r="F2921" i="3"/>
  <c r="F2920" i="3"/>
  <c r="F2919" i="3"/>
  <c r="F2918" i="3"/>
  <c r="F2917" i="3"/>
  <c r="F2916" i="3"/>
  <c r="F2915" i="3"/>
  <c r="F2914" i="3"/>
  <c r="F2913" i="3"/>
  <c r="F2911" i="3"/>
  <c r="F2912" i="3"/>
  <c r="F2910" i="3"/>
  <c r="F2909" i="3"/>
  <c r="F2908" i="3"/>
  <c r="F2907" i="3"/>
  <c r="F2906" i="3"/>
  <c r="F2905" i="3"/>
  <c r="F2904" i="3"/>
  <c r="F2903" i="3"/>
  <c r="F2902" i="3"/>
  <c r="F2901" i="3"/>
  <c r="F2899" i="3"/>
  <c r="F2900" i="3"/>
  <c r="F2898" i="3"/>
  <c r="F2897" i="3"/>
  <c r="F2896" i="3"/>
  <c r="F2895" i="3"/>
  <c r="F2894" i="3"/>
  <c r="F2893" i="3"/>
  <c r="F2892" i="3"/>
  <c r="F2891" i="3"/>
  <c r="F2890" i="3"/>
  <c r="F2889" i="3"/>
  <c r="F2888" i="3"/>
  <c r="F2887" i="3"/>
  <c r="F2886" i="3"/>
  <c r="F2885" i="3"/>
  <c r="F2884" i="3"/>
  <c r="F2883" i="3"/>
  <c r="F2882" i="3"/>
  <c r="F2881" i="3"/>
  <c r="F2880" i="3"/>
  <c r="F2879" i="3"/>
  <c r="F2878" i="3"/>
  <c r="F2877" i="3"/>
  <c r="F2876" i="3"/>
  <c r="F2875" i="3"/>
  <c r="F2874" i="3"/>
  <c r="F2873" i="3"/>
  <c r="F2872" i="3"/>
  <c r="F2871" i="3"/>
  <c r="F2870" i="3"/>
  <c r="F2868" i="3"/>
  <c r="F2869" i="3"/>
  <c r="F2867" i="3"/>
  <c r="F2866" i="3"/>
  <c r="F2865" i="3"/>
  <c r="F2863" i="3"/>
  <c r="F2864" i="3"/>
  <c r="F2862" i="3"/>
  <c r="F2861" i="3"/>
  <c r="F2860" i="3"/>
  <c r="F2859" i="3"/>
  <c r="F2858" i="3"/>
  <c r="F2857" i="3"/>
  <c r="F2856" i="3"/>
  <c r="F2855" i="3"/>
  <c r="F2854" i="3"/>
  <c r="F2853" i="3"/>
  <c r="F2852" i="3"/>
  <c r="F2851" i="3"/>
  <c r="F2850" i="3"/>
  <c r="F2849" i="3"/>
  <c r="F2848" i="3"/>
  <c r="F2847" i="3"/>
  <c r="F2846" i="3"/>
  <c r="F2845" i="3"/>
  <c r="F2844" i="3"/>
  <c r="F2843" i="3"/>
  <c r="F2842" i="3"/>
  <c r="F2841" i="3"/>
  <c r="F2840" i="3"/>
  <c r="F2839" i="3"/>
  <c r="F2838" i="3"/>
  <c r="F2837" i="3"/>
  <c r="F2836" i="3"/>
  <c r="F2835" i="3"/>
  <c r="F2834" i="3"/>
  <c r="F2833" i="3"/>
  <c r="F2832" i="3"/>
  <c r="F2831" i="3"/>
  <c r="F2830" i="3"/>
  <c r="F2829" i="3"/>
  <c r="F2828" i="3"/>
  <c r="F2827" i="3"/>
  <c r="F2826" i="3"/>
  <c r="F2825" i="3"/>
  <c r="F2824" i="3"/>
  <c r="F2823" i="3"/>
  <c r="F2822" i="3"/>
  <c r="F2821" i="3"/>
  <c r="F2820" i="3"/>
  <c r="F2819" i="3"/>
  <c r="F2818" i="3"/>
  <c r="F2817" i="3"/>
  <c r="F2816" i="3"/>
  <c r="F2815" i="3"/>
  <c r="F2814" i="3"/>
  <c r="F2813" i="3"/>
  <c r="F2812" i="3"/>
  <c r="F2811" i="3"/>
  <c r="F2810" i="3"/>
  <c r="F2809" i="3"/>
  <c r="F2808" i="3"/>
  <c r="F2807" i="3"/>
  <c r="F2806" i="3"/>
  <c r="F2805" i="3"/>
  <c r="F2804" i="3"/>
  <c r="F2803" i="3"/>
  <c r="F2802" i="3"/>
  <c r="F2801" i="3"/>
  <c r="F2800" i="3"/>
  <c r="F2799" i="3"/>
  <c r="F2798" i="3"/>
  <c r="F2797" i="3"/>
  <c r="F2796" i="3"/>
  <c r="F2795" i="3"/>
  <c r="F2794" i="3"/>
  <c r="F2793" i="3"/>
  <c r="F2792" i="3"/>
  <c r="F2791" i="3"/>
  <c r="F2790" i="3"/>
  <c r="F2789" i="3"/>
  <c r="F2788" i="3"/>
  <c r="F2787" i="3"/>
  <c r="F2786" i="3"/>
  <c r="F2785" i="3"/>
  <c r="F2784" i="3"/>
  <c r="F2783" i="3"/>
  <c r="F2782" i="3"/>
  <c r="F2781" i="3"/>
  <c r="F2780" i="3"/>
  <c r="F2779" i="3"/>
  <c r="F2778" i="3"/>
  <c r="F2777" i="3"/>
  <c r="F2776" i="3"/>
  <c r="F2775" i="3"/>
  <c r="F2774" i="3"/>
  <c r="F2773" i="3"/>
  <c r="F2772" i="3"/>
  <c r="F2771" i="3"/>
  <c r="F2770" i="3"/>
  <c r="F2769" i="3"/>
  <c r="F2768" i="3"/>
  <c r="F2767" i="3"/>
  <c r="F2766" i="3"/>
  <c r="F2765" i="3"/>
  <c r="F2764" i="3"/>
  <c r="F2763" i="3"/>
  <c r="F2762" i="3"/>
  <c r="F2761" i="3"/>
  <c r="F2759" i="3"/>
  <c r="F2760" i="3"/>
  <c r="F2758" i="3"/>
  <c r="F2757" i="3"/>
  <c r="F2756" i="3"/>
  <c r="F2755" i="3"/>
  <c r="F2754" i="3"/>
  <c r="F2753" i="3"/>
  <c r="F2751" i="3"/>
  <c r="F2752" i="3"/>
  <c r="F2750" i="3"/>
  <c r="F2749" i="3"/>
  <c r="F2748" i="3"/>
  <c r="F2747" i="3"/>
  <c r="F2746" i="3"/>
  <c r="F2745" i="3"/>
  <c r="F2744" i="3"/>
  <c r="F2743" i="3"/>
  <c r="F2742" i="3"/>
  <c r="F2741" i="3"/>
  <c r="F2740" i="3"/>
  <c r="F2739" i="3"/>
  <c r="F2738" i="3"/>
  <c r="F2737" i="3"/>
  <c r="F2736" i="3"/>
  <c r="F2735" i="3"/>
  <c r="F2734" i="3"/>
  <c r="F2733" i="3"/>
  <c r="F2732" i="3"/>
  <c r="F2731" i="3"/>
  <c r="F2730" i="3"/>
  <c r="F2729" i="3"/>
  <c r="F2728" i="3"/>
  <c r="F2727" i="3"/>
  <c r="F2726" i="3"/>
  <c r="F2725" i="3"/>
  <c r="F2724" i="3"/>
  <c r="F2723" i="3"/>
  <c r="F2722" i="3"/>
  <c r="F2721" i="3"/>
  <c r="F2720" i="3"/>
  <c r="F2719" i="3"/>
  <c r="F2718" i="3"/>
  <c r="F2717" i="3"/>
  <c r="F2716" i="3"/>
  <c r="F2715" i="3"/>
  <c r="F2714" i="3"/>
  <c r="F2713" i="3"/>
  <c r="F2712" i="3"/>
  <c r="F2711" i="3"/>
  <c r="F2710" i="3"/>
  <c r="F2709" i="3"/>
  <c r="F2708" i="3"/>
  <c r="F2707" i="3"/>
  <c r="F2706" i="3"/>
  <c r="F2705" i="3"/>
  <c r="F2704" i="3"/>
  <c r="F2703" i="3"/>
  <c r="F2702" i="3"/>
  <c r="F2701" i="3"/>
  <c r="F2700" i="3"/>
  <c r="F2699" i="3"/>
  <c r="F2698" i="3"/>
  <c r="F2697" i="3"/>
  <c r="F2696" i="3"/>
  <c r="F2695" i="3"/>
  <c r="F2694" i="3"/>
  <c r="F2692" i="3"/>
  <c r="F2693" i="3"/>
  <c r="F2691" i="3"/>
  <c r="F2690" i="3"/>
  <c r="F2689" i="3"/>
  <c r="F2688" i="3"/>
  <c r="F2687" i="3"/>
  <c r="F2686" i="3"/>
  <c r="F2685" i="3"/>
  <c r="F2684" i="3"/>
  <c r="F2683" i="3"/>
  <c r="F2682" i="3"/>
  <c r="F2681" i="3"/>
  <c r="F2680" i="3"/>
  <c r="F2679" i="3"/>
  <c r="F2678" i="3"/>
  <c r="F2677" i="3"/>
  <c r="F2676" i="3"/>
  <c r="F2675" i="3"/>
  <c r="F2674" i="3"/>
  <c r="F2673" i="3"/>
  <c r="F2672" i="3"/>
  <c r="F2671" i="3"/>
  <c r="F2670" i="3"/>
  <c r="F2669" i="3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G2547" i="3" s="1"/>
  <c r="F5597" i="3"/>
  <c r="F4052" i="3"/>
  <c r="H7910" i="3" l="1"/>
  <c r="D7911" i="3"/>
  <c r="G6814" i="3"/>
  <c r="G6830" i="3"/>
  <c r="G6838" i="3"/>
  <c r="G6870" i="3"/>
  <c r="G6878" i="3"/>
  <c r="G6894" i="3"/>
  <c r="G6902" i="3"/>
  <c r="G6910" i="3"/>
  <c r="G6918" i="3"/>
  <c r="G6926" i="3"/>
  <c r="G6934" i="3"/>
  <c r="G6942" i="3"/>
  <c r="G6950" i="3"/>
  <c r="G6958" i="3"/>
  <c r="G6966" i="3"/>
  <c r="G6974" i="3"/>
  <c r="G6982" i="3"/>
  <c r="G6990" i="3"/>
  <c r="G6998" i="3"/>
  <c r="G7006" i="3"/>
  <c r="G7014" i="3"/>
  <c r="G7022" i="3"/>
  <c r="G7030" i="3"/>
  <c r="G7038" i="3"/>
  <c r="G7046" i="3"/>
  <c r="G7054" i="3"/>
  <c r="G7062" i="3"/>
  <c r="G7071" i="3"/>
  <c r="G7078" i="3"/>
  <c r="G7086" i="3"/>
  <c r="G7094" i="3"/>
  <c r="G7102" i="3"/>
  <c r="G7110" i="3"/>
  <c r="G7126" i="3"/>
  <c r="G7134" i="3"/>
  <c r="G7166" i="3"/>
  <c r="G7174" i="3"/>
  <c r="G7182" i="3"/>
  <c r="G7190" i="3"/>
  <c r="G7198" i="3"/>
  <c r="G7206" i="3"/>
  <c r="G7214" i="3"/>
  <c r="G7222" i="3"/>
  <c r="G7230" i="3"/>
  <c r="G7238" i="3"/>
  <c r="G7246" i="3"/>
  <c r="G7254" i="3"/>
  <c r="G7262" i="3"/>
  <c r="G7270" i="3"/>
  <c r="G7278" i="3"/>
  <c r="G7286" i="3"/>
  <c r="G7294" i="3"/>
  <c r="G7302" i="3"/>
  <c r="G7310" i="3"/>
  <c r="G7318" i="3"/>
  <c r="G7326" i="3"/>
  <c r="G7334" i="3"/>
  <c r="G7342" i="3"/>
  <c r="G7350" i="3"/>
  <c r="G7358" i="3"/>
  <c r="G7366" i="3"/>
  <c r="G7374" i="3"/>
  <c r="G7382" i="3"/>
  <c r="G7390" i="3"/>
  <c r="G7398" i="3"/>
  <c r="G7406" i="3"/>
  <c r="G7414" i="3"/>
  <c r="G7422" i="3"/>
  <c r="G7430" i="3"/>
  <c r="G7438" i="3"/>
  <c r="G7446" i="3"/>
  <c r="G7454" i="3"/>
  <c r="G7462" i="3"/>
  <c r="G7470" i="3"/>
  <c r="G7478" i="3"/>
  <c r="G7486" i="3"/>
  <c r="G7494" i="3"/>
  <c r="G7502" i="3"/>
  <c r="G7510" i="3"/>
  <c r="G7518" i="3"/>
  <c r="G7526" i="3"/>
  <c r="G7534" i="3"/>
  <c r="G7542" i="3"/>
  <c r="G7550" i="3"/>
  <c r="G7558" i="3"/>
  <c r="G7566" i="3"/>
  <c r="G7574" i="3"/>
  <c r="G7582" i="3"/>
  <c r="G7590" i="3"/>
  <c r="G7598" i="3"/>
  <c r="G7111" i="3"/>
  <c r="G7119" i="3"/>
  <c r="G7135" i="3"/>
  <c r="G7143" i="3"/>
  <c r="G7175" i="3"/>
  <c r="G7183" i="3"/>
  <c r="G7191" i="3"/>
  <c r="G7199" i="3"/>
  <c r="G7207" i="3"/>
  <c r="G7215" i="3"/>
  <c r="G7223" i="3"/>
  <c r="G7231" i="3"/>
  <c r="G7239" i="3"/>
  <c r="G7247" i="3"/>
  <c r="G7255" i="3"/>
  <c r="G7263" i="3"/>
  <c r="G7271" i="3"/>
  <c r="G7279" i="3"/>
  <c r="G7287" i="3"/>
  <c r="G7295" i="3"/>
  <c r="G7303" i="3"/>
  <c r="G7311" i="3"/>
  <c r="G7319" i="3"/>
  <c r="G7327" i="3"/>
  <c r="G7335" i="3"/>
  <c r="G7343" i="3"/>
  <c r="G7351" i="3"/>
  <c r="G7359" i="3"/>
  <c r="G7367" i="3"/>
  <c r="G7375" i="3"/>
  <c r="G7383" i="3"/>
  <c r="G7391" i="3"/>
  <c r="G7399" i="3"/>
  <c r="G7407" i="3"/>
  <c r="G7415" i="3"/>
  <c r="G7423" i="3"/>
  <c r="G7431" i="3"/>
  <c r="G7439" i="3"/>
  <c r="G7447" i="3"/>
  <c r="G7455" i="3"/>
  <c r="G7463" i="3"/>
  <c r="G7471" i="3"/>
  <c r="G7479" i="3"/>
  <c r="G7487" i="3"/>
  <c r="G7495" i="3"/>
  <c r="G7503" i="3"/>
  <c r="G7511" i="3"/>
  <c r="G7519" i="3"/>
  <c r="G7527" i="3"/>
  <c r="G7536" i="3"/>
  <c r="G7543" i="3"/>
  <c r="G7551" i="3"/>
  <c r="G7559" i="3"/>
  <c r="G7567" i="3"/>
  <c r="G7575" i="3"/>
  <c r="G7583" i="3"/>
  <c r="G7591" i="3"/>
  <c r="G1720" i="3"/>
  <c r="G6632" i="3"/>
  <c r="G6640" i="3"/>
  <c r="G6656" i="3"/>
  <c r="G6664" i="3"/>
  <c r="G6696" i="3"/>
  <c r="G6704" i="3"/>
  <c r="G6720" i="3"/>
  <c r="G6728" i="3"/>
  <c r="G6760" i="3"/>
  <c r="G6768" i="3"/>
  <c r="G6784" i="3"/>
  <c r="G6792" i="3"/>
  <c r="G6824" i="3"/>
  <c r="G6832" i="3"/>
  <c r="G6848" i="3"/>
  <c r="G6856" i="3"/>
  <c r="G6888" i="3"/>
  <c r="G7120" i="3"/>
  <c r="G7128" i="3"/>
  <c r="G7145" i="3"/>
  <c r="G7152" i="3"/>
  <c r="G7184" i="3"/>
  <c r="G7192" i="3"/>
  <c r="G7200" i="3"/>
  <c r="G7208" i="3"/>
  <c r="G7216" i="3"/>
  <c r="G7224" i="3"/>
  <c r="G7232" i="3"/>
  <c r="G7240" i="3"/>
  <c r="G7248" i="3"/>
  <c r="G7256" i="3"/>
  <c r="G7264" i="3"/>
  <c r="G7280" i="3"/>
  <c r="G7288" i="3"/>
  <c r="G7296" i="3"/>
  <c r="G7304" i="3"/>
  <c r="G7312" i="3"/>
  <c r="G7320" i="3"/>
  <c r="G7328" i="3"/>
  <c r="G7336" i="3"/>
  <c r="G7344" i="3"/>
  <c r="G7352" i="3"/>
  <c r="G7360" i="3"/>
  <c r="G7368" i="3"/>
  <c r="G7376" i="3"/>
  <c r="G7384" i="3"/>
  <c r="G7392" i="3"/>
  <c r="G7400" i="3"/>
  <c r="G7408" i="3"/>
  <c r="G7416" i="3"/>
  <c r="G7424" i="3"/>
  <c r="G7432" i="3"/>
  <c r="G7440" i="3"/>
  <c r="G7448" i="3"/>
  <c r="G6641" i="3"/>
  <c r="G6649" i="3"/>
  <c r="G6665" i="3"/>
  <c r="G6673" i="3"/>
  <c r="G6705" i="3"/>
  <c r="G6713" i="3"/>
  <c r="G6729" i="3"/>
  <c r="G6737" i="3"/>
  <c r="G6769" i="3"/>
  <c r="G6777" i="3"/>
  <c r="G6793" i="3"/>
  <c r="G6801" i="3"/>
  <c r="G6833" i="3"/>
  <c r="G6841" i="3"/>
  <c r="G6857" i="3"/>
  <c r="G6865" i="3"/>
  <c r="G7129" i="3"/>
  <c r="G7137" i="3"/>
  <c r="G7153" i="3"/>
  <c r="G7161" i="3"/>
  <c r="G7185" i="3"/>
  <c r="G7193" i="3"/>
  <c r="G7201" i="3"/>
  <c r="G7209" i="3"/>
  <c r="G7217" i="3"/>
  <c r="G7225" i="3"/>
  <c r="G7233" i="3"/>
  <c r="G7241" i="3"/>
  <c r="G7249" i="3"/>
  <c r="G7257" i="3"/>
  <c r="G7265" i="3"/>
  <c r="G7353" i="3"/>
  <c r="G7361" i="3"/>
  <c r="G7369" i="3"/>
  <c r="G7377" i="3"/>
  <c r="G7385" i="3"/>
  <c r="G7393" i="3"/>
  <c r="G7401" i="3"/>
  <c r="G7409" i="3"/>
  <c r="G7417" i="3"/>
  <c r="G7425" i="3"/>
  <c r="G7433" i="3"/>
  <c r="G7441" i="3"/>
  <c r="G7449" i="3"/>
  <c r="G7457" i="3"/>
  <c r="G7465" i="3"/>
  <c r="G7473" i="3"/>
  <c r="G7481" i="3"/>
  <c r="G7489" i="3"/>
  <c r="G7497" i="3"/>
  <c r="G7505" i="3"/>
  <c r="G7513" i="3"/>
  <c r="G7521" i="3"/>
  <c r="G7529" i="3"/>
  <c r="G7537" i="3"/>
  <c r="G7545" i="3"/>
  <c r="G7553" i="3"/>
  <c r="G7561" i="3"/>
  <c r="G7569" i="3"/>
  <c r="G7577" i="3"/>
  <c r="G7585" i="3"/>
  <c r="G7593" i="3"/>
  <c r="G7601" i="3"/>
  <c r="G7609" i="3"/>
  <c r="G7617" i="3"/>
  <c r="G7625" i="3"/>
  <c r="G7633" i="3"/>
  <c r="G7641" i="3"/>
  <c r="G7649" i="3"/>
  <c r="G7656" i="3"/>
  <c r="G7665" i="3"/>
  <c r="G7673" i="3"/>
  <c r="G7681" i="3"/>
  <c r="G7689" i="3"/>
  <c r="G7697" i="3"/>
  <c r="G7705" i="3"/>
  <c r="G7713" i="3"/>
  <c r="G7721" i="3"/>
  <c r="G7729" i="3"/>
  <c r="G7737" i="3"/>
  <c r="G7746" i="3"/>
  <c r="G7753" i="3"/>
  <c r="G7761" i="3"/>
  <c r="G7768" i="3"/>
  <c r="G7777" i="3"/>
  <c r="G7785" i="3"/>
  <c r="G7793" i="3"/>
  <c r="G7801" i="3"/>
  <c r="G7809" i="3"/>
  <c r="G7818" i="3"/>
  <c r="G7825" i="3"/>
  <c r="G7833" i="3"/>
  <c r="G7841" i="3"/>
  <c r="G7849" i="3"/>
  <c r="G7857" i="3"/>
  <c r="G7865" i="3"/>
  <c r="G7873" i="3"/>
  <c r="G7881" i="3"/>
  <c r="G7889" i="3"/>
  <c r="G7897" i="3"/>
  <c r="G7905" i="3"/>
  <c r="G6898" i="3"/>
  <c r="G6906" i="3"/>
  <c r="G6914" i="3"/>
  <c r="G6922" i="3"/>
  <c r="G6930" i="3"/>
  <c r="G6938" i="3"/>
  <c r="G6946" i="3"/>
  <c r="G6954" i="3"/>
  <c r="G6962" i="3"/>
  <c r="G6970" i="3"/>
  <c r="G6978" i="3"/>
  <c r="G6986" i="3"/>
  <c r="G6994" i="3"/>
  <c r="G7002" i="3"/>
  <c r="G7010" i="3"/>
  <c r="G7018" i="3"/>
  <c r="G7026" i="3"/>
  <c r="G7034" i="3"/>
  <c r="G7042" i="3"/>
  <c r="G7050" i="3"/>
  <c r="G7058" i="3"/>
  <c r="G7066" i="3"/>
  <c r="G7074" i="3"/>
  <c r="G7082" i="3"/>
  <c r="G7090" i="3"/>
  <c r="G7098" i="3"/>
  <c r="G7106" i="3"/>
  <c r="G7138" i="3"/>
  <c r="G7146" i="3"/>
  <c r="G7162" i="3"/>
  <c r="G7170" i="3"/>
  <c r="G7186" i="3"/>
  <c r="G7194" i="3"/>
  <c r="G7202" i="3"/>
  <c r="G7210" i="3"/>
  <c r="G7218" i="3"/>
  <c r="G7226" i="3"/>
  <c r="G7234" i="3"/>
  <c r="G7242" i="3"/>
  <c r="G7250" i="3"/>
  <c r="G7258" i="3"/>
  <c r="G7266" i="3"/>
  <c r="G7909" i="3"/>
  <c r="G7354" i="3"/>
  <c r="G7362" i="3"/>
  <c r="G7370" i="3"/>
  <c r="G7378" i="3"/>
  <c r="G7386" i="3"/>
  <c r="G7394" i="3"/>
  <c r="G7402" i="3"/>
  <c r="G7410" i="3"/>
  <c r="G7418" i="3"/>
  <c r="G7426" i="3"/>
  <c r="G7434" i="3"/>
  <c r="G7442" i="3"/>
  <c r="G7450" i="3"/>
  <c r="G7458" i="3"/>
  <c r="G7466" i="3"/>
  <c r="G7474" i="3"/>
  <c r="G7482" i="3"/>
  <c r="G7490" i="3"/>
  <c r="G7498" i="3"/>
  <c r="G7506" i="3"/>
  <c r="G7514" i="3"/>
  <c r="G7522" i="3"/>
  <c r="G7530" i="3"/>
  <c r="G7538" i="3"/>
  <c r="G7546" i="3"/>
  <c r="G7554" i="3"/>
  <c r="G7562" i="3"/>
  <c r="G7570" i="3"/>
  <c r="G7578" i="3"/>
  <c r="G7586" i="3"/>
  <c r="G7594" i="3"/>
  <c r="G7602" i="3"/>
  <c r="G7610" i="3"/>
  <c r="G7618" i="3"/>
  <c r="G7626" i="3"/>
  <c r="G7634" i="3"/>
  <c r="G7642" i="3"/>
  <c r="G7650" i="3"/>
  <c r="G7658" i="3"/>
  <c r="G7666" i="3"/>
  <c r="G7674" i="3"/>
  <c r="G7682" i="3"/>
  <c r="G7690" i="3"/>
  <c r="G7698" i="3"/>
  <c r="G7706" i="3"/>
  <c r="G7714" i="3"/>
  <c r="G7722" i="3"/>
  <c r="G7730" i="3"/>
  <c r="G7738" i="3"/>
  <c r="G7745" i="3"/>
  <c r="G7754" i="3"/>
  <c r="G7762" i="3"/>
  <c r="G7770" i="3"/>
  <c r="G7778" i="3"/>
  <c r="G7786" i="3"/>
  <c r="G7795" i="3"/>
  <c r="G7802" i="3"/>
  <c r="G7810" i="3"/>
  <c r="G7817" i="3"/>
  <c r="G7826" i="3"/>
  <c r="G7834" i="3"/>
  <c r="G7842" i="3"/>
  <c r="G7850" i="3"/>
  <c r="G7858" i="3"/>
  <c r="G7866" i="3"/>
  <c r="G7874" i="3"/>
  <c r="G7882" i="3"/>
  <c r="G7890" i="3"/>
  <c r="G7899" i="3"/>
  <c r="G7906" i="3"/>
  <c r="G6651" i="3"/>
  <c r="G6659" i="3"/>
  <c r="G6675" i="3"/>
  <c r="G6683" i="3"/>
  <c r="G6715" i="3"/>
  <c r="G6723" i="3"/>
  <c r="G6739" i="3"/>
  <c r="G6747" i="3"/>
  <c r="G6779" i="3"/>
  <c r="G6787" i="3"/>
  <c r="G6803" i="3"/>
  <c r="G6811" i="3"/>
  <c r="G6843" i="3"/>
  <c r="G6851" i="3"/>
  <c r="G6867" i="3"/>
  <c r="G6875" i="3"/>
  <c r="G6899" i="3"/>
  <c r="G6907" i="3"/>
  <c r="G6915" i="3"/>
  <c r="G6923" i="3"/>
  <c r="G6931" i="3"/>
  <c r="G6939" i="3"/>
  <c r="G6947" i="3"/>
  <c r="G6955" i="3"/>
  <c r="G6963" i="3"/>
  <c r="G6971" i="3"/>
  <c r="G6979" i="3"/>
  <c r="G6987" i="3"/>
  <c r="G6995" i="3"/>
  <c r="G7003" i="3"/>
  <c r="G7011" i="3"/>
  <c r="G7019" i="3"/>
  <c r="G7027" i="3"/>
  <c r="G7035" i="3"/>
  <c r="G7043" i="3"/>
  <c r="G7051" i="3"/>
  <c r="G7059" i="3"/>
  <c r="G7067" i="3"/>
  <c r="G7075" i="3"/>
  <c r="G7083" i="3"/>
  <c r="G7092" i="3"/>
  <c r="G7099" i="3"/>
  <c r="G7355" i="3"/>
  <c r="G7363" i="3"/>
  <c r="G7371" i="3"/>
  <c r="G7379" i="3"/>
  <c r="G7387" i="3"/>
  <c r="G7395" i="3"/>
  <c r="G7403" i="3"/>
  <c r="G7411" i="3"/>
  <c r="G7419" i="3"/>
  <c r="G7427" i="3"/>
  <c r="G7435" i="3"/>
  <c r="G7443" i="3"/>
  <c r="G7451" i="3"/>
  <c r="G7459" i="3"/>
  <c r="G7467" i="3"/>
  <c r="G7475" i="3"/>
  <c r="G7483" i="3"/>
  <c r="G7491" i="3"/>
  <c r="G7499" i="3"/>
  <c r="G7507" i="3"/>
  <c r="G7515" i="3"/>
  <c r="G7523" i="3"/>
  <c r="G7531" i="3"/>
  <c r="G7539" i="3"/>
  <c r="G7547" i="3"/>
  <c r="G7555" i="3"/>
  <c r="G7563" i="3"/>
  <c r="G7571" i="3"/>
  <c r="G7579" i="3"/>
  <c r="G7587" i="3"/>
  <c r="G7595" i="3"/>
  <c r="G7603" i="3"/>
  <c r="G7611" i="3"/>
  <c r="G7619" i="3"/>
  <c r="G7627" i="3"/>
  <c r="G7635" i="3"/>
  <c r="G7643" i="3"/>
  <c r="G7651" i="3"/>
  <c r="G7659" i="3"/>
  <c r="G7667" i="3"/>
  <c r="G7675" i="3"/>
  <c r="G7683" i="3"/>
  <c r="G7691" i="3"/>
  <c r="G7699" i="3"/>
  <c r="G7707" i="3"/>
  <c r="G7715" i="3"/>
  <c r="G7724" i="3"/>
  <c r="G7731" i="3"/>
  <c r="G7739" i="3"/>
  <c r="G7747" i="3"/>
  <c r="G7755" i="3"/>
  <c r="G7763" i="3"/>
  <c r="G7771" i="3"/>
  <c r="G7779" i="3"/>
  <c r="G7787" i="3"/>
  <c r="G7794" i="3"/>
  <c r="G7803" i="3"/>
  <c r="G7811" i="3"/>
  <c r="G7819" i="3"/>
  <c r="G7827" i="3"/>
  <c r="G7835" i="3"/>
  <c r="G7843" i="3"/>
  <c r="G7851" i="3"/>
  <c r="G7859" i="3"/>
  <c r="G7867" i="3"/>
  <c r="G7875" i="3"/>
  <c r="G7883" i="3"/>
  <c r="G7891" i="3"/>
  <c r="G7898" i="3"/>
  <c r="G7907" i="3"/>
  <c r="G7108" i="3"/>
  <c r="G7116" i="3"/>
  <c r="G7149" i="3"/>
  <c r="G7156" i="3"/>
  <c r="G7172" i="3"/>
  <c r="G7276" i="3"/>
  <c r="G7284" i="3"/>
  <c r="G7292" i="3"/>
  <c r="G7300" i="3"/>
  <c r="G7308" i="3"/>
  <c r="G7316" i="3"/>
  <c r="G7324" i="3"/>
  <c r="G7332" i="3"/>
  <c r="G7340" i="3"/>
  <c r="G7348" i="3"/>
  <c r="G7356" i="3"/>
  <c r="G7364" i="3"/>
  <c r="G7372" i="3"/>
  <c r="G7380" i="3"/>
  <c r="G7388" i="3"/>
  <c r="G7396" i="3"/>
  <c r="G7404" i="3"/>
  <c r="G7412" i="3"/>
  <c r="G7420" i="3"/>
  <c r="G7428" i="3"/>
  <c r="G7436" i="3"/>
  <c r="G7444" i="3"/>
  <c r="G7452" i="3"/>
  <c r="G7460" i="3"/>
  <c r="G7468" i="3"/>
  <c r="G7476" i="3"/>
  <c r="G7484" i="3"/>
  <c r="G7492" i="3"/>
  <c r="G7500" i="3"/>
  <c r="G7508" i="3"/>
  <c r="G7516" i="3"/>
  <c r="G7524" i="3"/>
  <c r="G7532" i="3"/>
  <c r="G7540" i="3"/>
  <c r="G7548" i="3"/>
  <c r="G7556" i="3"/>
  <c r="G7564" i="3"/>
  <c r="G7572" i="3"/>
  <c r="G7580" i="3"/>
  <c r="G7588" i="3"/>
  <c r="G7596" i="3"/>
  <c r="G7604" i="3"/>
  <c r="G7612" i="3"/>
  <c r="G7620" i="3"/>
  <c r="G7628" i="3"/>
  <c r="G7636" i="3"/>
  <c r="G7644" i="3"/>
  <c r="G7652" i="3"/>
  <c r="G7660" i="3"/>
  <c r="G7668" i="3"/>
  <c r="G7676" i="3"/>
  <c r="G7684" i="3"/>
  <c r="G7692" i="3"/>
  <c r="G7700" i="3"/>
  <c r="G7708" i="3"/>
  <c r="G7717" i="3"/>
  <c r="G7723" i="3"/>
  <c r="G7732" i="3"/>
  <c r="G7740" i="3"/>
  <c r="G7748" i="3"/>
  <c r="G7756" i="3"/>
  <c r="G7765" i="3"/>
  <c r="G7772" i="3"/>
  <c r="G7780" i="3"/>
  <c r="G7788" i="3"/>
  <c r="G7796" i="3"/>
  <c r="G7804" i="3"/>
  <c r="G7812" i="3"/>
  <c r="G7821" i="3"/>
  <c r="G7828" i="3"/>
  <c r="G7836" i="3"/>
  <c r="G7844" i="3"/>
  <c r="G7852" i="3"/>
  <c r="G7860" i="3"/>
  <c r="G7868" i="3"/>
  <c r="G7876" i="3"/>
  <c r="G7884" i="3"/>
  <c r="G7892" i="3"/>
  <c r="G7900" i="3"/>
  <c r="G6565" i="3"/>
  <c r="G6573" i="3"/>
  <c r="G6581" i="3"/>
  <c r="G6589" i="3"/>
  <c r="G6597" i="3"/>
  <c r="G6605" i="3"/>
  <c r="G6613" i="3"/>
  <c r="G6629" i="3"/>
  <c r="G6637" i="3"/>
  <c r="G6669" i="3"/>
  <c r="G6677" i="3"/>
  <c r="G6692" i="3"/>
  <c r="G6701" i="3"/>
  <c r="G6733" i="3"/>
  <c r="G6741" i="3"/>
  <c r="G6757" i="3"/>
  <c r="G6765" i="3"/>
  <c r="G6797" i="3"/>
  <c r="G6805" i="3"/>
  <c r="G6821" i="3"/>
  <c r="G6829" i="3"/>
  <c r="G6861" i="3"/>
  <c r="G6869" i="3"/>
  <c r="G6885" i="3"/>
  <c r="G6901" i="3"/>
  <c r="G6909" i="3"/>
  <c r="G6917" i="3"/>
  <c r="G6925" i="3"/>
  <c r="G6933" i="3"/>
  <c r="G6941" i="3"/>
  <c r="G6949" i="3"/>
  <c r="G6957" i="3"/>
  <c r="G6965" i="3"/>
  <c r="G6973" i="3"/>
  <c r="G6981" i="3"/>
  <c r="G6989" i="3"/>
  <c r="G6997" i="3"/>
  <c r="G7005" i="3"/>
  <c r="G7013" i="3"/>
  <c r="G7021" i="3"/>
  <c r="G7029" i="3"/>
  <c r="G7037" i="3"/>
  <c r="G7045" i="3"/>
  <c r="G7052" i="3"/>
  <c r="G7061" i="3"/>
  <c r="G7069" i="3"/>
  <c r="G7077" i="3"/>
  <c r="G7085" i="3"/>
  <c r="G7093" i="3"/>
  <c r="G7101" i="3"/>
  <c r="G7117" i="3"/>
  <c r="G7125" i="3"/>
  <c r="G7157" i="3"/>
  <c r="G7165" i="3"/>
  <c r="G7181" i="3"/>
  <c r="G7277" i="3"/>
  <c r="G7285" i="3"/>
  <c r="G7293" i="3"/>
  <c r="G7301" i="3"/>
  <c r="G7309" i="3"/>
  <c r="G7317" i="3"/>
  <c r="G7325" i="3"/>
  <c r="G7333" i="3"/>
  <c r="G7341" i="3"/>
  <c r="G7349" i="3"/>
  <c r="G7357" i="3"/>
  <c r="G7365" i="3"/>
  <c r="G7373" i="3"/>
  <c r="G7381" i="3"/>
  <c r="G7389" i="3"/>
  <c r="G7397" i="3"/>
  <c r="G7405" i="3"/>
  <c r="G7413" i="3"/>
  <c r="G7421" i="3"/>
  <c r="G7429" i="3"/>
  <c r="G7437" i="3"/>
  <c r="G7445" i="3"/>
  <c r="G7453" i="3"/>
  <c r="G7461" i="3"/>
  <c r="G7469" i="3"/>
  <c r="G7477" i="3"/>
  <c r="G7485" i="3"/>
  <c r="G7493" i="3"/>
  <c r="G7501" i="3"/>
  <c r="G7509" i="3"/>
  <c r="G7517" i="3"/>
  <c r="G7525" i="3"/>
  <c r="G7533" i="3"/>
  <c r="G7541" i="3"/>
  <c r="G7549" i="3"/>
  <c r="G7557" i="3"/>
  <c r="G7565" i="3"/>
  <c r="G7573" i="3"/>
  <c r="G7581" i="3"/>
  <c r="G7589" i="3"/>
  <c r="G7597" i="3"/>
  <c r="G7605" i="3"/>
  <c r="G7613" i="3"/>
  <c r="G7621" i="3"/>
  <c r="G7629" i="3"/>
  <c r="G7637" i="3"/>
  <c r="G7645" i="3"/>
  <c r="G7653" i="3"/>
  <c r="G7661" i="3"/>
  <c r="G7669" i="3"/>
  <c r="G7677" i="3"/>
  <c r="G7685" i="3"/>
  <c r="G7693" i="3"/>
  <c r="G7701" i="3"/>
  <c r="G7709" i="3"/>
  <c r="G7716" i="3"/>
  <c r="G7725" i="3"/>
  <c r="G7733" i="3"/>
  <c r="G7741" i="3"/>
  <c r="G7749" i="3"/>
  <c r="G7758" i="3"/>
  <c r="G7764" i="3"/>
  <c r="G7773" i="3"/>
  <c r="G7781" i="3"/>
  <c r="G7789" i="3"/>
  <c r="G7798" i="3"/>
  <c r="G7805" i="3"/>
  <c r="G7813" i="3"/>
  <c r="G7820" i="3"/>
  <c r="G7829" i="3"/>
  <c r="G7837" i="3"/>
  <c r="G7845" i="3"/>
  <c r="G7853" i="3"/>
  <c r="G7861" i="3"/>
  <c r="G7869" i="3"/>
  <c r="G7877" i="3"/>
  <c r="G7885" i="3"/>
  <c r="G7894" i="3"/>
  <c r="G7901" i="3"/>
  <c r="G4052" i="3"/>
  <c r="G2569" i="3"/>
  <c r="G2593" i="3"/>
  <c r="G2617" i="3"/>
  <c r="G2649" i="3"/>
  <c r="G2665" i="3"/>
  <c r="G2681" i="3"/>
  <c r="G2697" i="3"/>
  <c r="G2721" i="3"/>
  <c r="G2745" i="3"/>
  <c r="G2777" i="3"/>
  <c r="G2793" i="3"/>
  <c r="G2825" i="3"/>
  <c r="G2857" i="3"/>
  <c r="G2865" i="3"/>
  <c r="G2897" i="3"/>
  <c r="G2921" i="3"/>
  <c r="G2953" i="3"/>
  <c r="G2985" i="3"/>
  <c r="G3009" i="3"/>
  <c r="G3033" i="3"/>
  <c r="G3065" i="3"/>
  <c r="G3089" i="3"/>
  <c r="G3113" i="3"/>
  <c r="G3145" i="3"/>
  <c r="G3161" i="3"/>
  <c r="G3192" i="3"/>
  <c r="G3201" i="3"/>
  <c r="G3233" i="3"/>
  <c r="G3241" i="3"/>
  <c r="G3249" i="3"/>
  <c r="G3257" i="3"/>
  <c r="G3264" i="3"/>
  <c r="G3273" i="3"/>
  <c r="G3281" i="3"/>
  <c r="G3289" i="3"/>
  <c r="G3296" i="3"/>
  <c r="G3305" i="3"/>
  <c r="G3313" i="3"/>
  <c r="G3321" i="3"/>
  <c r="G3329" i="3"/>
  <c r="G3337" i="3"/>
  <c r="G3345" i="3"/>
  <c r="G3353" i="3"/>
  <c r="G3361" i="3"/>
  <c r="G3370" i="3"/>
  <c r="G3377" i="3"/>
  <c r="G3385" i="3"/>
  <c r="G3393" i="3"/>
  <c r="G3402" i="3"/>
  <c r="G3409" i="3"/>
  <c r="G3418" i="3"/>
  <c r="G3425" i="3"/>
  <c r="G3433" i="3"/>
  <c r="G3441" i="3"/>
  <c r="G3449" i="3"/>
  <c r="G3457" i="3"/>
  <c r="G3465" i="3"/>
  <c r="G3473" i="3"/>
  <c r="G3481" i="3"/>
  <c r="G3489" i="3"/>
  <c r="G3497" i="3"/>
  <c r="G3505" i="3"/>
  <c r="G3513" i="3"/>
  <c r="G3521" i="3"/>
  <c r="G3529" i="3"/>
  <c r="G3537" i="3"/>
  <c r="G3545" i="3"/>
  <c r="G3553" i="3"/>
  <c r="G3561" i="3"/>
  <c r="G3569" i="3"/>
  <c r="G3577" i="3"/>
  <c r="G3584" i="3"/>
  <c r="G3593" i="3"/>
  <c r="G3601" i="3"/>
  <c r="G3609" i="3"/>
  <c r="G3617" i="3"/>
  <c r="G3624" i="3"/>
  <c r="G3633" i="3"/>
  <c r="G3641" i="3"/>
  <c r="G3648" i="3"/>
  <c r="G3657" i="3"/>
  <c r="G3664" i="3"/>
  <c r="G3672" i="3"/>
  <c r="G3680" i="3"/>
  <c r="G3689" i="3"/>
  <c r="G3697" i="3"/>
  <c r="G3705" i="3"/>
  <c r="G3714" i="3"/>
  <c r="G3721" i="3"/>
  <c r="G3729" i="3"/>
  <c r="G3737" i="3"/>
  <c r="G3745" i="3"/>
  <c r="G3753" i="3"/>
  <c r="G3761" i="3"/>
  <c r="G3769" i="3"/>
  <c r="G3777" i="3"/>
  <c r="G3785" i="3"/>
  <c r="G3792" i="3"/>
  <c r="G3801" i="3"/>
  <c r="G3809" i="3"/>
  <c r="G3818" i="3"/>
  <c r="G3826" i="3"/>
  <c r="G3833" i="3"/>
  <c r="G3840" i="3"/>
  <c r="G3849" i="3"/>
  <c r="G3857" i="3"/>
  <c r="G3865" i="3"/>
  <c r="G3873" i="3"/>
  <c r="G3881" i="3"/>
  <c r="G3889" i="3"/>
  <c r="G3897" i="3"/>
  <c r="G3906" i="3"/>
  <c r="G3913" i="3"/>
  <c r="G3921" i="3"/>
  <c r="G3929" i="3"/>
  <c r="G3937" i="3"/>
  <c r="G3945" i="3"/>
  <c r="G3953" i="3"/>
  <c r="G3961" i="3"/>
  <c r="G3969" i="3"/>
  <c r="G3977" i="3"/>
  <c r="G3985" i="3"/>
  <c r="G3993" i="3"/>
  <c r="G4000" i="3"/>
  <c r="G4009" i="3"/>
  <c r="G4017" i="3"/>
  <c r="G4023" i="3"/>
  <c r="G4033" i="3"/>
  <c r="G4041" i="3"/>
  <c r="G4049" i="3"/>
  <c r="G5591" i="3"/>
  <c r="G5583" i="3"/>
  <c r="G5574" i="3"/>
  <c r="G5568" i="3"/>
  <c r="G5559" i="3"/>
  <c r="G5551" i="3"/>
  <c r="G5545" i="3"/>
  <c r="G5535" i="3"/>
  <c r="G5526" i="3"/>
  <c r="G5520" i="3"/>
  <c r="G5509" i="3"/>
  <c r="G5503" i="3"/>
  <c r="G5494" i="3"/>
  <c r="G5485" i="3"/>
  <c r="G5479" i="3"/>
  <c r="G5470" i="3"/>
  <c r="G5462" i="3"/>
  <c r="G5457" i="3"/>
  <c r="G5448" i="3"/>
  <c r="G5439" i="3"/>
  <c r="G5431" i="3"/>
  <c r="G5424" i="3"/>
  <c r="G5413" i="3"/>
  <c r="G5407" i="3"/>
  <c r="G5398" i="3"/>
  <c r="G5391" i="3"/>
  <c r="G5384" i="3"/>
  <c r="G5374" i="3"/>
  <c r="G5367" i="3"/>
  <c r="G5359" i="3"/>
  <c r="G5351" i="3"/>
  <c r="G5343" i="3"/>
  <c r="G5335" i="3"/>
  <c r="G5327" i="3"/>
  <c r="G5319" i="3"/>
  <c r="G5311" i="3"/>
  <c r="G5303" i="3"/>
  <c r="G5296" i="3"/>
  <c r="G5288" i="3"/>
  <c r="G5279" i="3"/>
  <c r="G5271" i="3"/>
  <c r="G5263" i="3"/>
  <c r="G5254" i="3"/>
  <c r="G5247" i="3"/>
  <c r="G5240" i="3"/>
  <c r="G5230" i="3"/>
  <c r="G5224" i="3"/>
  <c r="G5215" i="3"/>
  <c r="G5207" i="3"/>
  <c r="G5199" i="3"/>
  <c r="G5191" i="3"/>
  <c r="G5184" i="3"/>
  <c r="G5176" i="3"/>
  <c r="G5167" i="3"/>
  <c r="G5160" i="3"/>
  <c r="G5153" i="3"/>
  <c r="G5143" i="3"/>
  <c r="G5135" i="3"/>
  <c r="G5127" i="3"/>
  <c r="G5119" i="3"/>
  <c r="G5111" i="3"/>
  <c r="G5104" i="3"/>
  <c r="G5096" i="3"/>
  <c r="G5087" i="3"/>
  <c r="G5079" i="3"/>
  <c r="G5071" i="3"/>
  <c r="G5063" i="3"/>
  <c r="G5055" i="3"/>
  <c r="G5047" i="3"/>
  <c r="G5039" i="3"/>
  <c r="G5031" i="3"/>
  <c r="G5024" i="3"/>
  <c r="G5015" i="3"/>
  <c r="G5008" i="3"/>
  <c r="G5000" i="3"/>
  <c r="G4991" i="3"/>
  <c r="G4983" i="3"/>
  <c r="G4975" i="3"/>
  <c r="G4967" i="3"/>
  <c r="G4959" i="3"/>
  <c r="G4952" i="3"/>
  <c r="G4943" i="3"/>
  <c r="G4935" i="3"/>
  <c r="G4927" i="3"/>
  <c r="G4919" i="3"/>
  <c r="G4911" i="3"/>
  <c r="G4903" i="3"/>
  <c r="G4895" i="3"/>
  <c r="G4887" i="3"/>
  <c r="G4878" i="3"/>
  <c r="G4868" i="3"/>
  <c r="G4863" i="3"/>
  <c r="G4855" i="3"/>
  <c r="G4847" i="3"/>
  <c r="G4839" i="3"/>
  <c r="G4831" i="3"/>
  <c r="G4823" i="3"/>
  <c r="G4815" i="3"/>
  <c r="G4808" i="3"/>
  <c r="G4799" i="3"/>
  <c r="G4791" i="3"/>
  <c r="G4783" i="3"/>
  <c r="G4775" i="3"/>
  <c r="G4767" i="3"/>
  <c r="G4759" i="3"/>
  <c r="G4751" i="3"/>
  <c r="G4743" i="3"/>
  <c r="G4735" i="3"/>
  <c r="G4727" i="3"/>
  <c r="G4719" i="3"/>
  <c r="G4711" i="3"/>
  <c r="G4703" i="3"/>
  <c r="G4695" i="3"/>
  <c r="G4687" i="3"/>
  <c r="G4679" i="3"/>
  <c r="G4671" i="3"/>
  <c r="G4663" i="3"/>
  <c r="G4655" i="3"/>
  <c r="G4647" i="3"/>
  <c r="G4639" i="3"/>
  <c r="G4631" i="3"/>
  <c r="G4623" i="3"/>
  <c r="G4615" i="3"/>
  <c r="G4607" i="3"/>
  <c r="G4599" i="3"/>
  <c r="G4591" i="3"/>
  <c r="G4583" i="3"/>
  <c r="G4575" i="3"/>
  <c r="G4567" i="3"/>
  <c r="G2577" i="3"/>
  <c r="G2625" i="3"/>
  <c r="G2729" i="3"/>
  <c r="G2761" i="3"/>
  <c r="G2809" i="3"/>
  <c r="G2841" i="3"/>
  <c r="G2889" i="3"/>
  <c r="G2937" i="3"/>
  <c r="G2969" i="3"/>
  <c r="G3017" i="3"/>
  <c r="G3049" i="3"/>
  <c r="G3098" i="3"/>
  <c r="G3137" i="3"/>
  <c r="G3177" i="3"/>
  <c r="G3209" i="3"/>
  <c r="G5597" i="3"/>
  <c r="G2570" i="3"/>
  <c r="G2594" i="3"/>
  <c r="G2634" i="3"/>
  <c r="G2658" i="3"/>
  <c r="G2690" i="3"/>
  <c r="G2714" i="3"/>
  <c r="G2746" i="3"/>
  <c r="G2754" i="3"/>
  <c r="G2762" i="3"/>
  <c r="G2770" i="3"/>
  <c r="G2778" i="3"/>
  <c r="G2786" i="3"/>
  <c r="G2794" i="3"/>
  <c r="G2802" i="3"/>
  <c r="G2810" i="3"/>
  <c r="G2818" i="3"/>
  <c r="G2826" i="3"/>
  <c r="G2834" i="3"/>
  <c r="G2842" i="3"/>
  <c r="G2850" i="3"/>
  <c r="G2858" i="3"/>
  <c r="G2866" i="3"/>
  <c r="G2874" i="3"/>
  <c r="G2882" i="3"/>
  <c r="G2890" i="3"/>
  <c r="G2898" i="3"/>
  <c r="G2906" i="3"/>
  <c r="G2914" i="3"/>
  <c r="G2922" i="3"/>
  <c r="G2930" i="3"/>
  <c r="G2938" i="3"/>
  <c r="G2946" i="3"/>
  <c r="G2954" i="3"/>
  <c r="G2962" i="3"/>
  <c r="G2970" i="3"/>
  <c r="G2978" i="3"/>
  <c r="G2986" i="3"/>
  <c r="G2994" i="3"/>
  <c r="G3002" i="3"/>
  <c r="G3010" i="3"/>
  <c r="G3018" i="3"/>
  <c r="G3026" i="3"/>
  <c r="G3034" i="3"/>
  <c r="G3042" i="3"/>
  <c r="G3050" i="3"/>
  <c r="G3058" i="3"/>
  <c r="G3066" i="3"/>
  <c r="G3074" i="3"/>
  <c r="G3082" i="3"/>
  <c r="G3090" i="3"/>
  <c r="G3097" i="3"/>
  <c r="G3106" i="3"/>
  <c r="G3114" i="3"/>
  <c r="G3122" i="3"/>
  <c r="G3131" i="3"/>
  <c r="G3138" i="3"/>
  <c r="G3146" i="3"/>
  <c r="G3153" i="3"/>
  <c r="G3162" i="3"/>
  <c r="G3170" i="3"/>
  <c r="G3178" i="3"/>
  <c r="G3186" i="3"/>
  <c r="G3194" i="3"/>
  <c r="G3202" i="3"/>
  <c r="G3210" i="3"/>
  <c r="G3218" i="3"/>
  <c r="G3225" i="3"/>
  <c r="G3235" i="3"/>
  <c r="G3242" i="3"/>
  <c r="G3251" i="3"/>
  <c r="G3258" i="3"/>
  <c r="G3267" i="3"/>
  <c r="G3274" i="3"/>
  <c r="G3282" i="3"/>
  <c r="G3290" i="3"/>
  <c r="G3298" i="3"/>
  <c r="G3306" i="3"/>
  <c r="G3314" i="3"/>
  <c r="G3322" i="3"/>
  <c r="G3330" i="3"/>
  <c r="G3338" i="3"/>
  <c r="G3346" i="3"/>
  <c r="G3354" i="3"/>
  <c r="G3362" i="3"/>
  <c r="G3369" i="3"/>
  <c r="G3378" i="3"/>
  <c r="G3386" i="3"/>
  <c r="G3394" i="3"/>
  <c r="G3401" i="3"/>
  <c r="G3410" i="3"/>
  <c r="G3417" i="3"/>
  <c r="G3426" i="3"/>
  <c r="G3435" i="3"/>
  <c r="G3442" i="3"/>
  <c r="G3450" i="3"/>
  <c r="G3458" i="3"/>
  <c r="G3466" i="3"/>
  <c r="G3472" i="3"/>
  <c r="G3482" i="3"/>
  <c r="G3490" i="3"/>
  <c r="G3498" i="3"/>
  <c r="G3506" i="3"/>
  <c r="G3514" i="3"/>
  <c r="G3523" i="3"/>
  <c r="G3530" i="3"/>
  <c r="G3538" i="3"/>
  <c r="G3546" i="3"/>
  <c r="G3554" i="3"/>
  <c r="G3562" i="3"/>
  <c r="G3570" i="3"/>
  <c r="G3578" i="3"/>
  <c r="G3586" i="3"/>
  <c r="G3594" i="3"/>
  <c r="G3602" i="3"/>
  <c r="G3610" i="3"/>
  <c r="G3619" i="3"/>
  <c r="G3626" i="3"/>
  <c r="G3634" i="3"/>
  <c r="G3642" i="3"/>
  <c r="G3647" i="3"/>
  <c r="G3658" i="3"/>
  <c r="G3666" i="3"/>
  <c r="G3674" i="3"/>
  <c r="G3682" i="3"/>
  <c r="G3690" i="3"/>
  <c r="G3698" i="3"/>
  <c r="G3706" i="3"/>
  <c r="G3713" i="3"/>
  <c r="G3722" i="3"/>
  <c r="G3730" i="3"/>
  <c r="G3739" i="3"/>
  <c r="G3746" i="3"/>
  <c r="G3754" i="3"/>
  <c r="G3762" i="3"/>
  <c r="G3771" i="3"/>
  <c r="G3779" i="3"/>
  <c r="G3786" i="3"/>
  <c r="G3794" i="3"/>
  <c r="G3802" i="3"/>
  <c r="G3810" i="3"/>
  <c r="G3817" i="3"/>
  <c r="G3825" i="3"/>
  <c r="G3834" i="3"/>
  <c r="G3842" i="3"/>
  <c r="G3850" i="3"/>
  <c r="G3858" i="3"/>
  <c r="G3866" i="3"/>
  <c r="G3875" i="3"/>
  <c r="G3882" i="3"/>
  <c r="G3890" i="3"/>
  <c r="G3898" i="3"/>
  <c r="G3905" i="3"/>
  <c r="G3914" i="3"/>
  <c r="G3922" i="3"/>
  <c r="G3930" i="3"/>
  <c r="G3939" i="3"/>
  <c r="G3946" i="3"/>
  <c r="G3954" i="3"/>
  <c r="G3963" i="3"/>
  <c r="G3970" i="3"/>
  <c r="G3978" i="3"/>
  <c r="G3986" i="3"/>
  <c r="G3994" i="3"/>
  <c r="G4002" i="3"/>
  <c r="G4010" i="3"/>
  <c r="G4018" i="3"/>
  <c r="G4026" i="3"/>
  <c r="G4035" i="3"/>
  <c r="G4042" i="3"/>
  <c r="G4050" i="3"/>
  <c r="G5590" i="3"/>
  <c r="G5582" i="3"/>
  <c r="G5575" i="3"/>
  <c r="G5566" i="3"/>
  <c r="G5560" i="3"/>
  <c r="G5550" i="3"/>
  <c r="G5542" i="3"/>
  <c r="G5533" i="3"/>
  <c r="G5527" i="3"/>
  <c r="G5518" i="3"/>
  <c r="G5510" i="3"/>
  <c r="G5502" i="3"/>
  <c r="G5495" i="3"/>
  <c r="G5486" i="3"/>
  <c r="G5478" i="3"/>
  <c r="G5471" i="3"/>
  <c r="G5463" i="3"/>
  <c r="G5454" i="3"/>
  <c r="G5446" i="3"/>
  <c r="G5437" i="3"/>
  <c r="G5430" i="3"/>
  <c r="G5422" i="3"/>
  <c r="G5414" i="3"/>
  <c r="G5408" i="3"/>
  <c r="G5399" i="3"/>
  <c r="G5392" i="3"/>
  <c r="G5382" i="3"/>
  <c r="G5375" i="3"/>
  <c r="G5366" i="3"/>
  <c r="G5358" i="3"/>
  <c r="G5349" i="3"/>
  <c r="G5344" i="3"/>
  <c r="G5333" i="3"/>
  <c r="G5326" i="3"/>
  <c r="G5318" i="3"/>
  <c r="G5310" i="3"/>
  <c r="G5302" i="3"/>
  <c r="G5293" i="3"/>
  <c r="G5286" i="3"/>
  <c r="G5278" i="3"/>
  <c r="G5272" i="3"/>
  <c r="G5260" i="3"/>
  <c r="G5255" i="3"/>
  <c r="G5246" i="3"/>
  <c r="G5237" i="3"/>
  <c r="G5231" i="3"/>
  <c r="G5220" i="3"/>
  <c r="G5213" i="3"/>
  <c r="G5206" i="3"/>
  <c r="G5197" i="3"/>
  <c r="G5190" i="3"/>
  <c r="G5182" i="3"/>
  <c r="G5173" i="3"/>
  <c r="G5166" i="3"/>
  <c r="G5157" i="3"/>
  <c r="G5150" i="3"/>
  <c r="G5142" i="3"/>
  <c r="G5134" i="3"/>
  <c r="G5125" i="3"/>
  <c r="G5118" i="3"/>
  <c r="G5110" i="3"/>
  <c r="G5102" i="3"/>
  <c r="G5094" i="3"/>
  <c r="G5086" i="3"/>
  <c r="G5078" i="3"/>
  <c r="G5072" i="3"/>
  <c r="G5061" i="3"/>
  <c r="G5053" i="3"/>
  <c r="G5046" i="3"/>
  <c r="G5038" i="3"/>
  <c r="G5030" i="3"/>
  <c r="G5022" i="3"/>
  <c r="G5014" i="3"/>
  <c r="G5006" i="3"/>
  <c r="G5001" i="3"/>
  <c r="G4990" i="3"/>
  <c r="G4982" i="3"/>
  <c r="G4974" i="3"/>
  <c r="G4966" i="3"/>
  <c r="G4958" i="3"/>
  <c r="G4950" i="3"/>
  <c r="G4941" i="3"/>
  <c r="G4934" i="3"/>
  <c r="G4926" i="3"/>
  <c r="G4918" i="3"/>
  <c r="G4910" i="3"/>
  <c r="G4902" i="3"/>
  <c r="G4894" i="3"/>
  <c r="G4886" i="3"/>
  <c r="G4879" i="3"/>
  <c r="G4869" i="3"/>
  <c r="G4862" i="3"/>
  <c r="G4854" i="3"/>
  <c r="G4846" i="3"/>
  <c r="G4838" i="3"/>
  <c r="G4830" i="3"/>
  <c r="G4822" i="3"/>
  <c r="G4814" i="3"/>
  <c r="G4806" i="3"/>
  <c r="G4798" i="3"/>
  <c r="G4790" i="3"/>
  <c r="G4782" i="3"/>
  <c r="G4774" i="3"/>
  <c r="G4766" i="3"/>
  <c r="G4758" i="3"/>
  <c r="G4750" i="3"/>
  <c r="G4741" i="3"/>
  <c r="G4734" i="3"/>
  <c r="G4726" i="3"/>
  <c r="G4718" i="3"/>
  <c r="G4710" i="3"/>
  <c r="G4702" i="3"/>
  <c r="G4694" i="3"/>
  <c r="G2553" i="3"/>
  <c r="G2601" i="3"/>
  <c r="G2633" i="3"/>
  <c r="G2705" i="3"/>
  <c r="G2753" i="3"/>
  <c r="G2801" i="3"/>
  <c r="G2833" i="3"/>
  <c r="G2881" i="3"/>
  <c r="G2913" i="3"/>
  <c r="G2961" i="3"/>
  <c r="G2993" i="3"/>
  <c r="G3040" i="3"/>
  <c r="G3081" i="3"/>
  <c r="G3121" i="3"/>
  <c r="G3169" i="3"/>
  <c r="G3226" i="3"/>
  <c r="G2578" i="3"/>
  <c r="G2602" i="3"/>
  <c r="G2626" i="3"/>
  <c r="G2650" i="3"/>
  <c r="G2682" i="3"/>
  <c r="G2706" i="3"/>
  <c r="G2730" i="3"/>
  <c r="G2555" i="3"/>
  <c r="G2571" i="3"/>
  <c r="G2595" i="3"/>
  <c r="G2611" i="3"/>
  <c r="G2635" i="3"/>
  <c r="G2651" i="3"/>
  <c r="G2675" i="3"/>
  <c r="G2699" i="3"/>
  <c r="G2715" i="3"/>
  <c r="G2747" i="3"/>
  <c r="G2763" i="3"/>
  <c r="G2779" i="3"/>
  <c r="G2787" i="3"/>
  <c r="G2795" i="3"/>
  <c r="G2803" i="3"/>
  <c r="G2811" i="3"/>
  <c r="G2819" i="3"/>
  <c r="G2827" i="3"/>
  <c r="G2835" i="3"/>
  <c r="G2843" i="3"/>
  <c r="G2851" i="3"/>
  <c r="G2859" i="3"/>
  <c r="G2867" i="3"/>
  <c r="G2875" i="3"/>
  <c r="G2883" i="3"/>
  <c r="G2891" i="3"/>
  <c r="G2900" i="3"/>
  <c r="G2907" i="3"/>
  <c r="G2915" i="3"/>
  <c r="G2923" i="3"/>
  <c r="G2931" i="3"/>
  <c r="G2939" i="3"/>
  <c r="G2947" i="3"/>
  <c r="G2955" i="3"/>
  <c r="G2964" i="3"/>
  <c r="G2971" i="3"/>
  <c r="G2979" i="3"/>
  <c r="G2988" i="3"/>
  <c r="G2995" i="3"/>
  <c r="G3003" i="3"/>
  <c r="G3011" i="3"/>
  <c r="G3019" i="3"/>
  <c r="G3027" i="3"/>
  <c r="G3035" i="3"/>
  <c r="G3043" i="3"/>
  <c r="G3051" i="3"/>
  <c r="G3059" i="3"/>
  <c r="G3067" i="3"/>
  <c r="G3075" i="3"/>
  <c r="G3083" i="3"/>
  <c r="G3091" i="3"/>
  <c r="G3099" i="3"/>
  <c r="G3108" i="3"/>
  <c r="G3115" i="3"/>
  <c r="G3123" i="3"/>
  <c r="G3130" i="3"/>
  <c r="G3139" i="3"/>
  <c r="G3147" i="3"/>
  <c r="G3155" i="3"/>
  <c r="G3163" i="3"/>
  <c r="G3171" i="3"/>
  <c r="G3179" i="3"/>
  <c r="G3187" i="3"/>
  <c r="G3195" i="3"/>
  <c r="G3203" i="3"/>
  <c r="G3211" i="3"/>
  <c r="G3219" i="3"/>
  <c r="G3227" i="3"/>
  <c r="G3234" i="3"/>
  <c r="G3243" i="3"/>
  <c r="G3250" i="3"/>
  <c r="G3259" i="3"/>
  <c r="G3266" i="3"/>
  <c r="G3275" i="3"/>
  <c r="G3283" i="3"/>
  <c r="G3292" i="3"/>
  <c r="G3299" i="3"/>
  <c r="G3307" i="3"/>
  <c r="G3315" i="3"/>
  <c r="G3323" i="3"/>
  <c r="G3331" i="3"/>
  <c r="G3339" i="3"/>
  <c r="G3347" i="3"/>
  <c r="G3355" i="3"/>
  <c r="G3363" i="3"/>
  <c r="G3371" i="3"/>
  <c r="G3379" i="3"/>
  <c r="G3387" i="3"/>
  <c r="G3395" i="3"/>
  <c r="G3403" i="3"/>
  <c r="G3411" i="3"/>
  <c r="G3419" i="3"/>
  <c r="G3427" i="3"/>
  <c r="G3434" i="3"/>
  <c r="G3443" i="3"/>
  <c r="G3451" i="3"/>
  <c r="G3459" i="3"/>
  <c r="G3468" i="3"/>
  <c r="G3475" i="3"/>
  <c r="G3483" i="3"/>
  <c r="G3491" i="3"/>
  <c r="G3499" i="3"/>
  <c r="G3507" i="3"/>
  <c r="G3515" i="3"/>
  <c r="G3522" i="3"/>
  <c r="G3531" i="3"/>
  <c r="G3539" i="3"/>
  <c r="G3547" i="3"/>
  <c r="G3555" i="3"/>
  <c r="G3563" i="3"/>
  <c r="G3571" i="3"/>
  <c r="G3579" i="3"/>
  <c r="G3587" i="3"/>
  <c r="G3596" i="3"/>
  <c r="G3603" i="3"/>
  <c r="G3611" i="3"/>
  <c r="G3618" i="3"/>
  <c r="G3627" i="3"/>
  <c r="G3635" i="3"/>
  <c r="G3643" i="3"/>
  <c r="G3651" i="3"/>
  <c r="G3659" i="3"/>
  <c r="G3667" i="3"/>
  <c r="G3675" i="3"/>
  <c r="G3684" i="3"/>
  <c r="G3692" i="3"/>
  <c r="G3699" i="3"/>
  <c r="G3707" i="3"/>
  <c r="G3715" i="3"/>
  <c r="G3723" i="3"/>
  <c r="G3733" i="3"/>
  <c r="G3738" i="3"/>
  <c r="G3747" i="3"/>
  <c r="G3755" i="3"/>
  <c r="G3763" i="3"/>
  <c r="G3770" i="3"/>
  <c r="G3778" i="3"/>
  <c r="G3787" i="3"/>
  <c r="G3795" i="3"/>
  <c r="G3803" i="3"/>
  <c r="G3811" i="3"/>
  <c r="G3819" i="3"/>
  <c r="G3827" i="3"/>
  <c r="G3835" i="3"/>
  <c r="G3844" i="3"/>
  <c r="G3853" i="3"/>
  <c r="G3859" i="3"/>
  <c r="G3867" i="3"/>
  <c r="G3874" i="3"/>
  <c r="G3884" i="3"/>
  <c r="G3891" i="3"/>
  <c r="G3899" i="3"/>
  <c r="G3908" i="3"/>
  <c r="G3915" i="3"/>
  <c r="G3924" i="3"/>
  <c r="G3931" i="3"/>
  <c r="G3938" i="3"/>
  <c r="G3947" i="3"/>
  <c r="G3955" i="3"/>
  <c r="G3962" i="3"/>
  <c r="G3971" i="3"/>
  <c r="G3979" i="3"/>
  <c r="G3988" i="3"/>
  <c r="G3995" i="3"/>
  <c r="G4003" i="3"/>
  <c r="G4012" i="3"/>
  <c r="G4019" i="3"/>
  <c r="G4027" i="3"/>
  <c r="G4034" i="3"/>
  <c r="G4043" i="3"/>
  <c r="G4051" i="3"/>
  <c r="G5588" i="3"/>
  <c r="G5578" i="3"/>
  <c r="G5573" i="3"/>
  <c r="G5565" i="3"/>
  <c r="G5557" i="3"/>
  <c r="G5549" i="3"/>
  <c r="G5541" i="3"/>
  <c r="G5534" i="3"/>
  <c r="G5525" i="3"/>
  <c r="G5516" i="3"/>
  <c r="G5511" i="3"/>
  <c r="G5501" i="3"/>
  <c r="G5492" i="3"/>
  <c r="G5487" i="3"/>
  <c r="G5476" i="3"/>
  <c r="G5469" i="3"/>
  <c r="G5460" i="3"/>
  <c r="G5452" i="3"/>
  <c r="G5443" i="3"/>
  <c r="G5438" i="3"/>
  <c r="G5429" i="3"/>
  <c r="G5421" i="3"/>
  <c r="G5415" i="3"/>
  <c r="G5403" i="3"/>
  <c r="G5397" i="3"/>
  <c r="G5388" i="3"/>
  <c r="G5381" i="3"/>
  <c r="G5373" i="3"/>
  <c r="G5364" i="3"/>
  <c r="G5357" i="3"/>
  <c r="G5350" i="3"/>
  <c r="G5340" i="3"/>
  <c r="G5334" i="3"/>
  <c r="G5325" i="3"/>
  <c r="G5317" i="3"/>
  <c r="G5308" i="3"/>
  <c r="G5301" i="3"/>
  <c r="G5294" i="3"/>
  <c r="G5285" i="3"/>
  <c r="G5277" i="3"/>
  <c r="G5269" i="3"/>
  <c r="G5261" i="3"/>
  <c r="G5253" i="3"/>
  <c r="G5244" i="3"/>
  <c r="G5238" i="3"/>
  <c r="G5232" i="3"/>
  <c r="G5221" i="3"/>
  <c r="G5214" i="3"/>
  <c r="G5205" i="3"/>
  <c r="G5198" i="3"/>
  <c r="G5189" i="3"/>
  <c r="G5179" i="3"/>
  <c r="G5174" i="3"/>
  <c r="G5165" i="3"/>
  <c r="G5158" i="3"/>
  <c r="G5149" i="3"/>
  <c r="G5141" i="3"/>
  <c r="G5133" i="3"/>
  <c r="G5126" i="3"/>
  <c r="G5115" i="3"/>
  <c r="G5109" i="3"/>
  <c r="G5100" i="3"/>
  <c r="G5093" i="3"/>
  <c r="G5085" i="3"/>
  <c r="G5077" i="3"/>
  <c r="G5069" i="3"/>
  <c r="G5062" i="3"/>
  <c r="G5054" i="3"/>
  <c r="G5045" i="3"/>
  <c r="G5037" i="3"/>
  <c r="G5029" i="3"/>
  <c r="G5018" i="3"/>
  <c r="G5013" i="3"/>
  <c r="G5004" i="3"/>
  <c r="G4996" i="3"/>
  <c r="G4989" i="3"/>
  <c r="G4980" i="3"/>
  <c r="G4972" i="3"/>
  <c r="G4965" i="3"/>
  <c r="G4956" i="3"/>
  <c r="G4949" i="3"/>
  <c r="G4942" i="3"/>
  <c r="G4932" i="3"/>
  <c r="G4925" i="3"/>
  <c r="G4917" i="3"/>
  <c r="G4909" i="3"/>
  <c r="G4901" i="3"/>
  <c r="G4892" i="3"/>
  <c r="G4885" i="3"/>
  <c r="G4877" i="3"/>
  <c r="G4870" i="3"/>
  <c r="G4861" i="3"/>
  <c r="G4853" i="3"/>
  <c r="G4845" i="3"/>
  <c r="G4836" i="3"/>
  <c r="G4829" i="3"/>
  <c r="G4821" i="3"/>
  <c r="G4813" i="3"/>
  <c r="G4804" i="3"/>
  <c r="G4795" i="3"/>
  <c r="G4789" i="3"/>
  <c r="G4781" i="3"/>
  <c r="G4773" i="3"/>
  <c r="G4765" i="3"/>
  <c r="G2561" i="3"/>
  <c r="G2585" i="3"/>
  <c r="G2609" i="3"/>
  <c r="G2641" i="3"/>
  <c r="G2657" i="3"/>
  <c r="G2673" i="3"/>
  <c r="G2689" i="3"/>
  <c r="G2713" i="3"/>
  <c r="G2737" i="3"/>
  <c r="G2769" i="3"/>
  <c r="G2785" i="3"/>
  <c r="G2817" i="3"/>
  <c r="G2849" i="3"/>
  <c r="G2873" i="3"/>
  <c r="G2905" i="3"/>
  <c r="G2929" i="3"/>
  <c r="G2945" i="3"/>
  <c r="G2977" i="3"/>
  <c r="G3001" i="3"/>
  <c r="G3025" i="3"/>
  <c r="G3057" i="3"/>
  <c r="G3073" i="3"/>
  <c r="G3105" i="3"/>
  <c r="G3129" i="3"/>
  <c r="G3154" i="3"/>
  <c r="G3185" i="3"/>
  <c r="G3217" i="3"/>
  <c r="G2554" i="3"/>
  <c r="G2562" i="3"/>
  <c r="G2586" i="3"/>
  <c r="G2610" i="3"/>
  <c r="G2618" i="3"/>
  <c r="G2642" i="3"/>
  <c r="G2666" i="3"/>
  <c r="G2674" i="3"/>
  <c r="G2698" i="3"/>
  <c r="G2722" i="3"/>
  <c r="G2738" i="3"/>
  <c r="G2563" i="3"/>
  <c r="G2579" i="3"/>
  <c r="G2587" i="3"/>
  <c r="G2603" i="3"/>
  <c r="G2619" i="3"/>
  <c r="G2627" i="3"/>
  <c r="G2643" i="3"/>
  <c r="G2659" i="3"/>
  <c r="G2667" i="3"/>
  <c r="G2683" i="3"/>
  <c r="G2691" i="3"/>
  <c r="G2707" i="3"/>
  <c r="G2723" i="3"/>
  <c r="G2731" i="3"/>
  <c r="G2739" i="3"/>
  <c r="G2755" i="3"/>
  <c r="G2771" i="3"/>
  <c r="G2548" i="3"/>
  <c r="G2556" i="3"/>
  <c r="G2564" i="3"/>
  <c r="G2572" i="3"/>
  <c r="G2580" i="3"/>
  <c r="G2588" i="3"/>
  <c r="G2596" i="3"/>
  <c r="G2604" i="3"/>
  <c r="G2612" i="3"/>
  <c r="G2620" i="3"/>
  <c r="G2628" i="3"/>
  <c r="G2636" i="3"/>
  <c r="G2644" i="3"/>
  <c r="G2652" i="3"/>
  <c r="G2660" i="3"/>
  <c r="G2668" i="3"/>
  <c r="G2676" i="3"/>
  <c r="G2684" i="3"/>
  <c r="G2693" i="3"/>
  <c r="G2700" i="3"/>
  <c r="G2708" i="3"/>
  <c r="G2716" i="3"/>
  <c r="G2724" i="3"/>
  <c r="G2732" i="3"/>
  <c r="G2740" i="3"/>
  <c r="G2748" i="3"/>
  <c r="G2756" i="3"/>
  <c r="G2764" i="3"/>
  <c r="G2772" i="3"/>
  <c r="G2780" i="3"/>
  <c r="G2788" i="3"/>
  <c r="G2796" i="3"/>
  <c r="G2804" i="3"/>
  <c r="G2812" i="3"/>
  <c r="G2820" i="3"/>
  <c r="G2828" i="3"/>
  <c r="G2836" i="3"/>
  <c r="G2844" i="3"/>
  <c r="G2852" i="3"/>
  <c r="G2860" i="3"/>
  <c r="G2869" i="3"/>
  <c r="G2876" i="3"/>
  <c r="G2884" i="3"/>
  <c r="G2892" i="3"/>
  <c r="G2899" i="3"/>
  <c r="G2908" i="3"/>
  <c r="G2916" i="3"/>
  <c r="G2924" i="3"/>
  <c r="G2932" i="3"/>
  <c r="G2940" i="3"/>
  <c r="G2949" i="3"/>
  <c r="G2956" i="3"/>
  <c r="G2963" i="3"/>
  <c r="G2972" i="3"/>
  <c r="G2980" i="3"/>
  <c r="G2987" i="3"/>
  <c r="G2996" i="3"/>
  <c r="G3004" i="3"/>
  <c r="G3012" i="3"/>
  <c r="G3020" i="3"/>
  <c r="G3028" i="3"/>
  <c r="G3036" i="3"/>
  <c r="G3044" i="3"/>
  <c r="G3052" i="3"/>
  <c r="G3060" i="3"/>
  <c r="G3068" i="3"/>
  <c r="G3076" i="3"/>
  <c r="G3084" i="3"/>
  <c r="G3092" i="3"/>
  <c r="G3100" i="3"/>
  <c r="G3107" i="3"/>
  <c r="G3116" i="3"/>
  <c r="G3124" i="3"/>
  <c r="G3132" i="3"/>
  <c r="G3140" i="3"/>
  <c r="G3148" i="3"/>
  <c r="G3156" i="3"/>
  <c r="G3165" i="3"/>
  <c r="G3172" i="3"/>
  <c r="G3180" i="3"/>
  <c r="G3188" i="3"/>
  <c r="G3196" i="3"/>
  <c r="G3204" i="3"/>
  <c r="G3212" i="3"/>
  <c r="G3220" i="3"/>
  <c r="G3228" i="3"/>
  <c r="G3236" i="3"/>
  <c r="G3244" i="3"/>
  <c r="G3252" i="3"/>
  <c r="G3260" i="3"/>
  <c r="G3268" i="3"/>
  <c r="G3276" i="3"/>
  <c r="G3284" i="3"/>
  <c r="G3291" i="3"/>
  <c r="G3301" i="3"/>
  <c r="G3308" i="3"/>
  <c r="G3316" i="3"/>
  <c r="G3324" i="3"/>
  <c r="G3332" i="3"/>
  <c r="G3340" i="3"/>
  <c r="G3348" i="3"/>
  <c r="G3356" i="3"/>
  <c r="G3364" i="3"/>
  <c r="G3373" i="3"/>
  <c r="G3380" i="3"/>
  <c r="G3388" i="3"/>
  <c r="G3396" i="3"/>
  <c r="G3404" i="3"/>
  <c r="G3413" i="3"/>
  <c r="G3420" i="3"/>
  <c r="G3428" i="3"/>
  <c r="G3436" i="3"/>
  <c r="G3444" i="3"/>
  <c r="G3452" i="3"/>
  <c r="G3460" i="3"/>
  <c r="G3467" i="3"/>
  <c r="G3477" i="3"/>
  <c r="G3485" i="3"/>
  <c r="G3492" i="3"/>
  <c r="G3500" i="3"/>
  <c r="G3508" i="3"/>
  <c r="G3516" i="3"/>
  <c r="G3524" i="3"/>
  <c r="G3532" i="3"/>
  <c r="G3540" i="3"/>
  <c r="G3548" i="3"/>
  <c r="G3556" i="3"/>
  <c r="G3564" i="3"/>
  <c r="G3573" i="3"/>
  <c r="G3580" i="3"/>
  <c r="G3588" i="3"/>
  <c r="G3595" i="3"/>
  <c r="G3604" i="3"/>
  <c r="G3612" i="3"/>
  <c r="G3620" i="3"/>
  <c r="G3628" i="3"/>
  <c r="G3636" i="3"/>
  <c r="G3644" i="3"/>
  <c r="G3652" i="3"/>
  <c r="G3660" i="3"/>
  <c r="G3668" i="3"/>
  <c r="G3676" i="3"/>
  <c r="G3683" i="3"/>
  <c r="G3691" i="3"/>
  <c r="G3701" i="3"/>
  <c r="G3708" i="3"/>
  <c r="G3716" i="3"/>
  <c r="G3724" i="3"/>
  <c r="G3732" i="3"/>
  <c r="G3740" i="3"/>
  <c r="G3748" i="3"/>
  <c r="G3756" i="3"/>
  <c r="G3764" i="3"/>
  <c r="G3772" i="3"/>
  <c r="G3780" i="3"/>
  <c r="G3788" i="3"/>
  <c r="G3796" i="3"/>
  <c r="G3804" i="3"/>
  <c r="G3812" i="3"/>
  <c r="G3820" i="3"/>
  <c r="G3829" i="3"/>
  <c r="G3836" i="3"/>
  <c r="G3843" i="3"/>
  <c r="G3852" i="3"/>
  <c r="G3860" i="3"/>
  <c r="G3868" i="3"/>
  <c r="G3877" i="3"/>
  <c r="G3883" i="3"/>
  <c r="G3892" i="3"/>
  <c r="G3900" i="3"/>
  <c r="G3907" i="3"/>
  <c r="G3916" i="3"/>
  <c r="G3923" i="3"/>
  <c r="G3932" i="3"/>
  <c r="G3940" i="3"/>
  <c r="G3948" i="3"/>
  <c r="G3958" i="3"/>
  <c r="G3964" i="3"/>
  <c r="G3972" i="3"/>
  <c r="G3980" i="3"/>
  <c r="G3987" i="3"/>
  <c r="G3996" i="3"/>
  <c r="G4004" i="3"/>
  <c r="G4011" i="3"/>
  <c r="G4020" i="3"/>
  <c r="G4028" i="3"/>
  <c r="G4036" i="3"/>
  <c r="G4045" i="3"/>
  <c r="G5595" i="3"/>
  <c r="G5589" i="3"/>
  <c r="G5579" i="3"/>
  <c r="G5572" i="3"/>
  <c r="G5564" i="3"/>
  <c r="G5556" i="3"/>
  <c r="G5548" i="3"/>
  <c r="G5540" i="3"/>
  <c r="G5532" i="3"/>
  <c r="G5524" i="3"/>
  <c r="G5517" i="3"/>
  <c r="G5507" i="3"/>
  <c r="G5499" i="3"/>
  <c r="G5493" i="3"/>
  <c r="G5488" i="3"/>
  <c r="G5477" i="3"/>
  <c r="G5468" i="3"/>
  <c r="G5461" i="3"/>
  <c r="G5453" i="3"/>
  <c r="G5444" i="3"/>
  <c r="G5436" i="3"/>
  <c r="G5428" i="3"/>
  <c r="G5419" i="3"/>
  <c r="G5411" i="3"/>
  <c r="G5404" i="3"/>
  <c r="G5396" i="3"/>
  <c r="G5389" i="3"/>
  <c r="G5380" i="3"/>
  <c r="G5371" i="3"/>
  <c r="G5365" i="3"/>
  <c r="G5356" i="3"/>
  <c r="G5348" i="3"/>
  <c r="G5341" i="3"/>
  <c r="G5332" i="3"/>
  <c r="G5324" i="3"/>
  <c r="G5316" i="3"/>
  <c r="G5309" i="3"/>
  <c r="G5299" i="3"/>
  <c r="G5292" i="3"/>
  <c r="G5282" i="3"/>
  <c r="G5276" i="3"/>
  <c r="G5267" i="3"/>
  <c r="G5262" i="3"/>
  <c r="G5252" i="3"/>
  <c r="G5245" i="3"/>
  <c r="G5236" i="3"/>
  <c r="G5228" i="3"/>
  <c r="G5222" i="3"/>
  <c r="G5212" i="3"/>
  <c r="G5204" i="3"/>
  <c r="G5196" i="3"/>
  <c r="G5188" i="3"/>
  <c r="G5180" i="3"/>
  <c r="G5172" i="3"/>
  <c r="G5164" i="3"/>
  <c r="G5155" i="3"/>
  <c r="G5147" i="3"/>
  <c r="G5140" i="3"/>
  <c r="G5132" i="3"/>
  <c r="G5124" i="3"/>
  <c r="G5116" i="3"/>
  <c r="G5108" i="3"/>
  <c r="G5101" i="3"/>
  <c r="G5092" i="3"/>
  <c r="G5084" i="3"/>
  <c r="G2557" i="3"/>
  <c r="G2589" i="3"/>
  <c r="G2613" i="3"/>
  <c r="G2629" i="3"/>
  <c r="G2653" i="3"/>
  <c r="G2677" i="3"/>
  <c r="G2692" i="3"/>
  <c r="G2717" i="3"/>
  <c r="G2733" i="3"/>
  <c r="G2757" i="3"/>
  <c r="G2781" i="3"/>
  <c r="G2797" i="3"/>
  <c r="G2821" i="3"/>
  <c r="G2837" i="3"/>
  <c r="G2861" i="3"/>
  <c r="G2885" i="3"/>
  <c r="G2901" i="3"/>
  <c r="G2925" i="3"/>
  <c r="G2941" i="3"/>
  <c r="G2965" i="3"/>
  <c r="G2981" i="3"/>
  <c r="G3005" i="3"/>
  <c r="G3021" i="3"/>
  <c r="G3053" i="3"/>
  <c r="G3069" i="3"/>
  <c r="G3101" i="3"/>
  <c r="G3117" i="3"/>
  <c r="G3141" i="3"/>
  <c r="G3157" i="3"/>
  <c r="G3181" i="3"/>
  <c r="G3197" i="3"/>
  <c r="G3221" i="3"/>
  <c r="G3245" i="3"/>
  <c r="G3262" i="3"/>
  <c r="G3285" i="3"/>
  <c r="G3300" i="3"/>
  <c r="G3309" i="3"/>
  <c r="G3317" i="3"/>
  <c r="G3326" i="3"/>
  <c r="G3333" i="3"/>
  <c r="G3341" i="3"/>
  <c r="G3350" i="3"/>
  <c r="G3357" i="3"/>
  <c r="G3365" i="3"/>
  <c r="G3372" i="3"/>
  <c r="G3381" i="3"/>
  <c r="G3389" i="3"/>
  <c r="G3397" i="3"/>
  <c r="G3405" i="3"/>
  <c r="G3412" i="3"/>
  <c r="G3421" i="3"/>
  <c r="G3429" i="3"/>
  <c r="G3437" i="3"/>
  <c r="G3445" i="3"/>
  <c r="G3453" i="3"/>
  <c r="G3461" i="3"/>
  <c r="G3470" i="3"/>
  <c r="G3476" i="3"/>
  <c r="G3484" i="3"/>
  <c r="G3494" i="3"/>
  <c r="G3501" i="3"/>
  <c r="G3509" i="3"/>
  <c r="G3517" i="3"/>
  <c r="G3525" i="3"/>
  <c r="G3533" i="3"/>
  <c r="G3541" i="3"/>
  <c r="G3550" i="3"/>
  <c r="G3557" i="3"/>
  <c r="G3565" i="3"/>
  <c r="G3572" i="3"/>
  <c r="G3581" i="3"/>
  <c r="G3589" i="3"/>
  <c r="G3597" i="3"/>
  <c r="G3605" i="3"/>
  <c r="G3613" i="3"/>
  <c r="G3621" i="3"/>
  <c r="G3629" i="3"/>
  <c r="G3637" i="3"/>
  <c r="G3645" i="3"/>
  <c r="G3653" i="3"/>
  <c r="G3661" i="3"/>
  <c r="G3669" i="3"/>
  <c r="G3677" i="3"/>
  <c r="G3686" i="3"/>
  <c r="G3693" i="3"/>
  <c r="G3700" i="3"/>
  <c r="G3709" i="3"/>
  <c r="G3717" i="3"/>
  <c r="G3725" i="3"/>
  <c r="G3731" i="3"/>
  <c r="G3741" i="3"/>
  <c r="G3749" i="3"/>
  <c r="G3757" i="3"/>
  <c r="G3765" i="3"/>
  <c r="G3773" i="3"/>
  <c r="G3781" i="3"/>
  <c r="G3789" i="3"/>
  <c r="G3798" i="3"/>
  <c r="G3805" i="3"/>
  <c r="G3813" i="3"/>
  <c r="G3821" i="3"/>
  <c r="G3828" i="3"/>
  <c r="G3837" i="3"/>
  <c r="G3845" i="3"/>
  <c r="G3851" i="3"/>
  <c r="G3861" i="3"/>
  <c r="G3869" i="3"/>
  <c r="G3876" i="3"/>
  <c r="G3888" i="3"/>
  <c r="G3893" i="3"/>
  <c r="G3902" i="3"/>
  <c r="G3909" i="3"/>
  <c r="G3917" i="3"/>
  <c r="G3925" i="3"/>
  <c r="G3933" i="3"/>
  <c r="G3941" i="3"/>
  <c r="G3949" i="3"/>
  <c r="G3957" i="3"/>
  <c r="G3965" i="3"/>
  <c r="G3973" i="3"/>
  <c r="G3981" i="3"/>
  <c r="G3989" i="3"/>
  <c r="G3997" i="3"/>
  <c r="G4005" i="3"/>
  <c r="G4013" i="3"/>
  <c r="G4021" i="3"/>
  <c r="G4029" i="3"/>
  <c r="G4037" i="3"/>
  <c r="G4044" i="3"/>
  <c r="G5596" i="3"/>
  <c r="G5587" i="3"/>
  <c r="G5580" i="3"/>
  <c r="G5570" i="3"/>
  <c r="G5563" i="3"/>
  <c r="G5555" i="3"/>
  <c r="G5546" i="3"/>
  <c r="G5539" i="3"/>
  <c r="G5531" i="3"/>
  <c r="G5522" i="3"/>
  <c r="G5514" i="3"/>
  <c r="G5508" i="3"/>
  <c r="G5500" i="3"/>
  <c r="G5491" i="3"/>
  <c r="G5483" i="3"/>
  <c r="G5475" i="3"/>
  <c r="G5467" i="3"/>
  <c r="G5459" i="3"/>
  <c r="G5450" i="3"/>
  <c r="G5445" i="3"/>
  <c r="G5435" i="3"/>
  <c r="G5427" i="3"/>
  <c r="G5420" i="3"/>
  <c r="G5412" i="3"/>
  <c r="G5405" i="3"/>
  <c r="G5394" i="3"/>
  <c r="G5385" i="3"/>
  <c r="G5379" i="3"/>
  <c r="G5372" i="3"/>
  <c r="G5363" i="3"/>
  <c r="G5355" i="3"/>
  <c r="G5347" i="3"/>
  <c r="G5339" i="3"/>
  <c r="G5328" i="3"/>
  <c r="G5322" i="3"/>
  <c r="G5315" i="3"/>
  <c r="G5306" i="3"/>
  <c r="G5300" i="3"/>
  <c r="G5291" i="3"/>
  <c r="G5283" i="3"/>
  <c r="G5275" i="3"/>
  <c r="G5268" i="3"/>
  <c r="G5259" i="3"/>
  <c r="G5250" i="3"/>
  <c r="G5243" i="3"/>
  <c r="G5235" i="3"/>
  <c r="G5227" i="3"/>
  <c r="G5219" i="3"/>
  <c r="G5211" i="3"/>
  <c r="G5203" i="3"/>
  <c r="G5195" i="3"/>
  <c r="G5187" i="3"/>
  <c r="G5181" i="3"/>
  <c r="G5171" i="3"/>
  <c r="G5163" i="3"/>
  <c r="G5156" i="3"/>
  <c r="G5148" i="3"/>
  <c r="G5139" i="3"/>
  <c r="G5131" i="3"/>
  <c r="G5123" i="3"/>
  <c r="G5117" i="3"/>
  <c r="G5107" i="3"/>
  <c r="G5098" i="3"/>
  <c r="G5091" i="3"/>
  <c r="G5083" i="3"/>
  <c r="G5073" i="3"/>
  <c r="G5066" i="3"/>
  <c r="G5060" i="3"/>
  <c r="G5051" i="3"/>
  <c r="G5043" i="3"/>
  <c r="G5035" i="3"/>
  <c r="G5027" i="3"/>
  <c r="G5020" i="3"/>
  <c r="G5010" i="3"/>
  <c r="G5003" i="3"/>
  <c r="G4995" i="3"/>
  <c r="G4987" i="3"/>
  <c r="G4979" i="3"/>
  <c r="G4971" i="3"/>
  <c r="G4963" i="3"/>
  <c r="G4955" i="3"/>
  <c r="G4946" i="3"/>
  <c r="G4939" i="3"/>
  <c r="G4931" i="3"/>
  <c r="G4922" i="3"/>
  <c r="G4914" i="3"/>
  <c r="G4907" i="3"/>
  <c r="G4898" i="3"/>
  <c r="G4890" i="3"/>
  <c r="G4883" i="3"/>
  <c r="G4875" i="3"/>
  <c r="G4867" i="3"/>
  <c r="G4858" i="3"/>
  <c r="G4851" i="3"/>
  <c r="G4844" i="3"/>
  <c r="G4835" i="3"/>
  <c r="G4827" i="3"/>
  <c r="G4819" i="3"/>
  <c r="G4811" i="3"/>
  <c r="G4803" i="3"/>
  <c r="G4797" i="3"/>
  <c r="G4787" i="3"/>
  <c r="G4779" i="3"/>
  <c r="G4770" i="3"/>
  <c r="G4763" i="3"/>
  <c r="G4755" i="3"/>
  <c r="G4747" i="3"/>
  <c r="G4740" i="3"/>
  <c r="G4731" i="3"/>
  <c r="G4723" i="3"/>
  <c r="G4715" i="3"/>
  <c r="G4707" i="3"/>
  <c r="G4699" i="3"/>
  <c r="G4691" i="3"/>
  <c r="G4683" i="3"/>
  <c r="G4675" i="3"/>
  <c r="G4667" i="3"/>
  <c r="G4659" i="3"/>
  <c r="G4651" i="3"/>
  <c r="G4643" i="3"/>
  <c r="G4635" i="3"/>
  <c r="G4627" i="3"/>
  <c r="G4619" i="3"/>
  <c r="G4611" i="3"/>
  <c r="G4603" i="3"/>
  <c r="G4595" i="3"/>
  <c r="G4587" i="3"/>
  <c r="G4579" i="3"/>
  <c r="G4571" i="3"/>
  <c r="G4563" i="3"/>
  <c r="G4555" i="3"/>
  <c r="G4547" i="3"/>
  <c r="G4539" i="3"/>
  <c r="G4531" i="3"/>
  <c r="G4523" i="3"/>
  <c r="G4515" i="3"/>
  <c r="G4507" i="3"/>
  <c r="G4499" i="3"/>
  <c r="G4491" i="3"/>
  <c r="G4483" i="3"/>
  <c r="G4475" i="3"/>
  <c r="G4467" i="3"/>
  <c r="G4459" i="3"/>
  <c r="G4451" i="3"/>
  <c r="G4443" i="3"/>
  <c r="G4435" i="3"/>
  <c r="G4427" i="3"/>
  <c r="G4419" i="3"/>
  <c r="G305" i="3"/>
  <c r="G279" i="3"/>
  <c r="G287" i="3"/>
  <c r="G295" i="3"/>
  <c r="G2" i="3"/>
  <c r="G10" i="3"/>
  <c r="G18" i="3"/>
  <c r="G26" i="3"/>
  <c r="G34" i="3"/>
  <c r="G42" i="3"/>
  <c r="G50" i="3"/>
  <c r="G58" i="3"/>
  <c r="G66" i="3"/>
  <c r="G74" i="3"/>
  <c r="G82" i="3"/>
  <c r="G91" i="3"/>
  <c r="G98" i="3"/>
  <c r="G106" i="3"/>
  <c r="G115" i="3"/>
  <c r="G122" i="3"/>
  <c r="G130" i="3"/>
  <c r="G138" i="3"/>
  <c r="G146" i="3"/>
  <c r="G154" i="3"/>
  <c r="G162" i="3"/>
  <c r="G170" i="3"/>
  <c r="G178" i="3"/>
  <c r="G186" i="3"/>
  <c r="G194" i="3"/>
  <c r="G202" i="3"/>
  <c r="G210" i="3"/>
  <c r="G218" i="3"/>
  <c r="G226" i="3"/>
  <c r="G2549" i="3"/>
  <c r="G2581" i="3"/>
  <c r="G2597" i="3"/>
  <c r="G2605" i="3"/>
  <c r="G2621" i="3"/>
  <c r="G2637" i="3"/>
  <c r="G2645" i="3"/>
  <c r="G2661" i="3"/>
  <c r="G2669" i="3"/>
  <c r="G2685" i="3"/>
  <c r="G2701" i="3"/>
  <c r="G2709" i="3"/>
  <c r="G2725" i="3"/>
  <c r="G2741" i="3"/>
  <c r="G2749" i="3"/>
  <c r="G2765" i="3"/>
  <c r="G2773" i="3"/>
  <c r="G2789" i="3"/>
  <c r="G2805" i="3"/>
  <c r="G2813" i="3"/>
  <c r="G2829" i="3"/>
  <c r="G2845" i="3"/>
  <c r="G2853" i="3"/>
  <c r="G2868" i="3"/>
  <c r="G2877" i="3"/>
  <c r="G2893" i="3"/>
  <c r="G2909" i="3"/>
  <c r="G2917" i="3"/>
  <c r="G2933" i="3"/>
  <c r="G2948" i="3"/>
  <c r="G2957" i="3"/>
  <c r="G2973" i="3"/>
  <c r="G2989" i="3"/>
  <c r="G2997" i="3"/>
  <c r="G3013" i="3"/>
  <c r="G3029" i="3"/>
  <c r="G3037" i="3"/>
  <c r="G3045" i="3"/>
  <c r="G3061" i="3"/>
  <c r="G3077" i="3"/>
  <c r="G3085" i="3"/>
  <c r="G3093" i="3"/>
  <c r="G3109" i="3"/>
  <c r="G3125" i="3"/>
  <c r="G3133" i="3"/>
  <c r="G3149" i="3"/>
  <c r="G3164" i="3"/>
  <c r="G3174" i="3"/>
  <c r="G3189" i="3"/>
  <c r="G3205" i="3"/>
  <c r="G3213" i="3"/>
  <c r="G3229" i="3"/>
  <c r="G3237" i="3"/>
  <c r="G3253" i="3"/>
  <c r="G3269" i="3"/>
  <c r="G3277" i="3"/>
  <c r="G3293" i="3"/>
  <c r="G2550" i="3"/>
  <c r="G2558" i="3"/>
  <c r="G2566" i="3"/>
  <c r="G2574" i="3"/>
  <c r="G2582" i="3"/>
  <c r="G2590" i="3"/>
  <c r="G2598" i="3"/>
  <c r="G2606" i="3"/>
  <c r="G2614" i="3"/>
  <c r="G2622" i="3"/>
  <c r="G2630" i="3"/>
  <c r="G2638" i="3"/>
  <c r="G2646" i="3"/>
  <c r="G2654" i="3"/>
  <c r="G2662" i="3"/>
  <c r="G2670" i="3"/>
  <c r="G2678" i="3"/>
  <c r="G2686" i="3"/>
  <c r="G2694" i="3"/>
  <c r="G2702" i="3"/>
  <c r="G2710" i="3"/>
  <c r="G2718" i="3"/>
  <c r="G2726" i="3"/>
  <c r="G2734" i="3"/>
  <c r="G2742" i="3"/>
  <c r="G2750" i="3"/>
  <c r="G2758" i="3"/>
  <c r="G2766" i="3"/>
  <c r="G2774" i="3"/>
  <c r="G2782" i="3"/>
  <c r="G2790" i="3"/>
  <c r="G2798" i="3"/>
  <c r="G2806" i="3"/>
  <c r="G2814" i="3"/>
  <c r="G2822" i="3"/>
  <c r="G2830" i="3"/>
  <c r="G2838" i="3"/>
  <c r="G2846" i="3"/>
  <c r="G2854" i="3"/>
  <c r="G2862" i="3"/>
  <c r="G2870" i="3"/>
  <c r="G2878" i="3"/>
  <c r="G2886" i="3"/>
  <c r="G2894" i="3"/>
  <c r="G2902" i="3"/>
  <c r="G2910" i="3"/>
  <c r="G2918" i="3"/>
  <c r="G2926" i="3"/>
  <c r="G2934" i="3"/>
  <c r="G2942" i="3"/>
  <c r="G2950" i="3"/>
  <c r="G2958" i="3"/>
  <c r="G2966" i="3"/>
  <c r="G2974" i="3"/>
  <c r="G2982" i="3"/>
  <c r="G2990" i="3"/>
  <c r="G2998" i="3"/>
  <c r="G3006" i="3"/>
  <c r="G3014" i="3"/>
  <c r="G3022" i="3"/>
  <c r="G3030" i="3"/>
  <c r="G3038" i="3"/>
  <c r="G3046" i="3"/>
  <c r="G3054" i="3"/>
  <c r="G3062" i="3"/>
  <c r="G3070" i="3"/>
  <c r="G3078" i="3"/>
  <c r="G3086" i="3"/>
  <c r="G3094" i="3"/>
  <c r="G3102" i="3"/>
  <c r="G3110" i="3"/>
  <c r="G3118" i="3"/>
  <c r="G3126" i="3"/>
  <c r="G3134" i="3"/>
  <c r="G3142" i="3"/>
  <c r="G3150" i="3"/>
  <c r="G3158" i="3"/>
  <c r="G3166" i="3"/>
  <c r="G3173" i="3"/>
  <c r="G3182" i="3"/>
  <c r="G3190" i="3"/>
  <c r="G3198" i="3"/>
  <c r="G3206" i="3"/>
  <c r="G3214" i="3"/>
  <c r="G3222" i="3"/>
  <c r="G3230" i="3"/>
  <c r="G3238" i="3"/>
  <c r="G3246" i="3"/>
  <c r="G3254" i="3"/>
  <c r="G3261" i="3"/>
  <c r="G3270" i="3"/>
  <c r="G3278" i="3"/>
  <c r="G3286" i="3"/>
  <c r="G3294" i="3"/>
  <c r="G3302" i="3"/>
  <c r="G3310" i="3"/>
  <c r="G3318" i="3"/>
  <c r="G3325" i="3"/>
  <c r="G3334" i="3"/>
  <c r="G3342" i="3"/>
  <c r="G3349" i="3"/>
  <c r="G3358" i="3"/>
  <c r="G3366" i="3"/>
  <c r="G3374" i="3"/>
  <c r="G3382" i="3"/>
  <c r="G3390" i="3"/>
  <c r="G3398" i="3"/>
  <c r="G3406" i="3"/>
  <c r="G3414" i="3"/>
  <c r="G3422" i="3"/>
  <c r="G3430" i="3"/>
  <c r="G3438" i="3"/>
  <c r="G3446" i="3"/>
  <c r="G3454" i="3"/>
  <c r="G3462" i="3"/>
  <c r="G3469" i="3"/>
  <c r="G3478" i="3"/>
  <c r="G3486" i="3"/>
  <c r="G3493" i="3"/>
  <c r="G3503" i="3"/>
  <c r="G3510" i="3"/>
  <c r="G3519" i="3"/>
  <c r="G3526" i="3"/>
  <c r="G3534" i="3"/>
  <c r="G3542" i="3"/>
  <c r="G3549" i="3"/>
  <c r="G3559" i="3"/>
  <c r="G3566" i="3"/>
  <c r="G3574" i="3"/>
  <c r="G3583" i="3"/>
  <c r="G3590" i="3"/>
  <c r="G3598" i="3"/>
  <c r="G3606" i="3"/>
  <c r="G3614" i="3"/>
  <c r="G3622" i="3"/>
  <c r="G3630" i="3"/>
  <c r="G3638" i="3"/>
  <c r="G3646" i="3"/>
  <c r="G3654" i="3"/>
  <c r="G3662" i="3"/>
  <c r="G3670" i="3"/>
  <c r="G3678" i="3"/>
  <c r="G3685" i="3"/>
  <c r="G3694" i="3"/>
  <c r="G3702" i="3"/>
  <c r="G3710" i="3"/>
  <c r="G3719" i="3"/>
  <c r="G3726" i="3"/>
  <c r="G3734" i="3"/>
  <c r="G3743" i="3"/>
  <c r="G3750" i="3"/>
  <c r="G3758" i="3"/>
  <c r="G3766" i="3"/>
  <c r="G3774" i="3"/>
  <c r="G3782" i="3"/>
  <c r="G3790" i="3"/>
  <c r="G3797" i="3"/>
  <c r="G3806" i="3"/>
  <c r="G3814" i="3"/>
  <c r="G3823" i="3"/>
  <c r="G3830" i="3"/>
  <c r="G3838" i="3"/>
  <c r="G3846" i="3"/>
  <c r="G3854" i="3"/>
  <c r="G3862" i="3"/>
  <c r="G3872" i="3"/>
  <c r="G3878" i="3"/>
  <c r="G3887" i="3"/>
  <c r="G3895" i="3"/>
  <c r="G3901" i="3"/>
  <c r="G3910" i="3"/>
  <c r="G3918" i="3"/>
  <c r="G3926" i="3"/>
  <c r="G3934" i="3"/>
  <c r="G3942" i="3"/>
  <c r="G3950" i="3"/>
  <c r="G3956" i="3"/>
  <c r="G3966" i="3"/>
  <c r="G3974" i="3"/>
  <c r="G3982" i="3"/>
  <c r="G3990" i="3"/>
  <c r="G3998" i="3"/>
  <c r="G4006" i="3"/>
  <c r="G4014" i="3"/>
  <c r="G4022" i="3"/>
  <c r="G4030" i="3"/>
  <c r="G4039" i="3"/>
  <c r="G4046" i="3"/>
  <c r="G5594" i="3"/>
  <c r="G5586" i="3"/>
  <c r="G5581" i="3"/>
  <c r="G5571" i="3"/>
  <c r="G5562" i="3"/>
  <c r="G5553" i="3"/>
  <c r="G5547" i="3"/>
  <c r="G5538" i="3"/>
  <c r="G5530" i="3"/>
  <c r="G5523" i="3"/>
  <c r="G5515" i="3"/>
  <c r="G5506" i="3"/>
  <c r="G5498" i="3"/>
  <c r="G5490" i="3"/>
  <c r="G5480" i="3"/>
  <c r="G5474" i="3"/>
  <c r="G5466" i="3"/>
  <c r="G5458" i="3"/>
  <c r="G5451" i="3"/>
  <c r="G5442" i="3"/>
  <c r="G5434" i="3"/>
  <c r="G5426" i="3"/>
  <c r="G5418" i="3"/>
  <c r="G5409" i="3"/>
  <c r="G5402" i="3"/>
  <c r="G5395" i="3"/>
  <c r="G5386" i="3"/>
  <c r="G5377" i="3"/>
  <c r="G5370" i="3"/>
  <c r="G5361" i="3"/>
  <c r="G5354" i="3"/>
  <c r="G5346" i="3"/>
  <c r="G5337" i="3"/>
  <c r="G5329" i="3"/>
  <c r="G5323" i="3"/>
  <c r="G5313" i="3"/>
  <c r="G5307" i="3"/>
  <c r="G5298" i="3"/>
  <c r="G5289" i="3"/>
  <c r="G5284" i="3"/>
  <c r="G5273" i="3"/>
  <c r="G5266" i="3"/>
  <c r="G5258" i="3"/>
  <c r="G5251" i="3"/>
  <c r="G5241" i="3"/>
  <c r="G5234" i="3"/>
  <c r="G5226" i="3"/>
  <c r="G5218" i="3"/>
  <c r="G5210" i="3"/>
  <c r="G5202" i="3"/>
  <c r="G5193" i="3"/>
  <c r="G5186" i="3"/>
  <c r="G5178" i="3"/>
  <c r="G5170" i="3"/>
  <c r="G5162" i="3"/>
  <c r="G5154" i="3"/>
  <c r="G5146" i="3"/>
  <c r="G5138" i="3"/>
  <c r="G5129" i="3"/>
  <c r="G5122" i="3"/>
  <c r="G5114" i="3"/>
  <c r="G5106" i="3"/>
  <c r="G5099" i="3"/>
  <c r="G5090" i="3"/>
  <c r="G5082" i="3"/>
  <c r="G5074" i="3"/>
  <c r="G5067" i="3"/>
  <c r="G5057" i="3"/>
  <c r="G5049" i="3"/>
  <c r="G5042" i="3"/>
  <c r="G5034" i="3"/>
  <c r="G5026" i="3"/>
  <c r="G5021" i="3"/>
  <c r="G5011" i="3"/>
  <c r="G5002" i="3"/>
  <c r="G4994" i="3"/>
  <c r="G4985" i="3"/>
  <c r="G4978" i="3"/>
  <c r="G4970" i="3"/>
  <c r="G4960" i="3"/>
  <c r="G4954" i="3"/>
  <c r="G4947" i="3"/>
  <c r="G4938" i="3"/>
  <c r="G4930" i="3"/>
  <c r="G4923" i="3"/>
  <c r="G2573" i="3"/>
  <c r="G2559" i="3"/>
  <c r="G2567" i="3"/>
  <c r="G2583" i="3"/>
  <c r="G2591" i="3"/>
  <c r="G2607" i="3"/>
  <c r="G2623" i="3"/>
  <c r="G2631" i="3"/>
  <c r="G2647" i="3"/>
  <c r="G2663" i="3"/>
  <c r="G2671" i="3"/>
  <c r="G2687" i="3"/>
  <c r="G2703" i="3"/>
  <c r="G2711" i="3"/>
  <c r="G2727" i="3"/>
  <c r="G2735" i="3"/>
  <c r="G2752" i="3"/>
  <c r="G2767" i="3"/>
  <c r="G2775" i="3"/>
  <c r="G2791" i="3"/>
  <c r="G2807" i="3"/>
  <c r="G2815" i="3"/>
  <c r="G2823" i="3"/>
  <c r="G2831" i="3"/>
  <c r="G2839" i="3"/>
  <c r="G2847" i="3"/>
  <c r="G2855" i="3"/>
  <c r="G2864" i="3"/>
  <c r="G2871" i="3"/>
  <c r="G2879" i="3"/>
  <c r="G2887" i="3"/>
  <c r="G2895" i="3"/>
  <c r="G2903" i="3"/>
  <c r="G2912" i="3"/>
  <c r="G2919" i="3"/>
  <c r="G2928" i="3"/>
  <c r="G2935" i="3"/>
  <c r="G2943" i="3"/>
  <c r="G2951" i="3"/>
  <c r="G2959" i="3"/>
  <c r="G2967" i="3"/>
  <c r="G2975" i="3"/>
  <c r="G2983" i="3"/>
  <c r="G2991" i="3"/>
  <c r="G2999" i="3"/>
  <c r="G3007" i="3"/>
  <c r="G3015" i="3"/>
  <c r="G3023" i="3"/>
  <c r="G3031" i="3"/>
  <c r="G3039" i="3"/>
  <c r="G3047" i="3"/>
  <c r="G3055" i="3"/>
  <c r="G3063" i="3"/>
  <c r="G3071" i="3"/>
  <c r="G3079" i="3"/>
  <c r="G3087" i="3"/>
  <c r="G3095" i="3"/>
  <c r="G3104" i="3"/>
  <c r="G3111" i="3"/>
  <c r="G3119" i="3"/>
  <c r="G3127" i="3"/>
  <c r="G3135" i="3"/>
  <c r="G3143" i="3"/>
  <c r="G3151" i="3"/>
  <c r="G3159" i="3"/>
  <c r="G3167" i="3"/>
  <c r="G3175" i="3"/>
  <c r="G3183" i="3"/>
  <c r="G3191" i="3"/>
  <c r="G3199" i="3"/>
  <c r="G3207" i="3"/>
  <c r="G3215" i="3"/>
  <c r="G3223" i="3"/>
  <c r="G3231" i="3"/>
  <c r="G3239" i="3"/>
  <c r="G3248" i="3"/>
  <c r="G3255" i="3"/>
  <c r="G3263" i="3"/>
  <c r="G3271" i="3"/>
  <c r="G3279" i="3"/>
  <c r="G3287" i="3"/>
  <c r="G3295" i="3"/>
  <c r="G3303" i="3"/>
  <c r="G3311" i="3"/>
  <c r="G3319" i="3"/>
  <c r="G3328" i="3"/>
  <c r="G3335" i="3"/>
  <c r="G3343" i="3"/>
  <c r="G3351" i="3"/>
  <c r="G3359" i="3"/>
  <c r="G3367" i="3"/>
  <c r="G3375" i="3"/>
  <c r="G3383" i="3"/>
  <c r="G3392" i="3"/>
  <c r="G3399" i="3"/>
  <c r="G3408" i="3"/>
  <c r="G3415" i="3"/>
  <c r="G3423" i="3"/>
  <c r="G3431" i="3"/>
  <c r="G3440" i="3"/>
  <c r="G3447" i="3"/>
  <c r="G3456" i="3"/>
  <c r="G3463" i="3"/>
  <c r="G3471" i="3"/>
  <c r="G3479" i="3"/>
  <c r="G3487" i="3"/>
  <c r="G3495" i="3"/>
  <c r="G3502" i="3"/>
  <c r="G3511" i="3"/>
  <c r="G3518" i="3"/>
  <c r="G3527" i="3"/>
  <c r="G3535" i="3"/>
  <c r="G3543" i="3"/>
  <c r="G3551" i="3"/>
  <c r="G3558" i="3"/>
  <c r="G3567" i="3"/>
  <c r="G3575" i="3"/>
  <c r="G3582" i="3"/>
  <c r="G3591" i="3"/>
  <c r="G3599" i="3"/>
  <c r="G3608" i="3"/>
  <c r="G3615" i="3"/>
  <c r="G3623" i="3"/>
  <c r="G3632" i="3"/>
  <c r="G3639" i="3"/>
  <c r="G3650" i="3"/>
  <c r="G3655" i="3"/>
  <c r="G3663" i="3"/>
  <c r="G3671" i="3"/>
  <c r="G3679" i="3"/>
  <c r="G3687" i="3"/>
  <c r="G3695" i="3"/>
  <c r="G3703" i="3"/>
  <c r="G3711" i="3"/>
  <c r="G3718" i="3"/>
  <c r="G3727" i="3"/>
  <c r="G3736" i="3"/>
  <c r="G3742" i="3"/>
  <c r="G3751" i="3"/>
  <c r="G3760" i="3"/>
  <c r="G3767" i="3"/>
  <c r="G3775" i="3"/>
  <c r="G3783" i="3"/>
  <c r="G3791" i="3"/>
  <c r="G3799" i="3"/>
  <c r="G3807" i="3"/>
  <c r="G3816" i="3"/>
  <c r="G3822" i="3"/>
  <c r="G3832" i="3"/>
  <c r="G3839" i="3"/>
  <c r="G3847" i="3"/>
  <c r="G3855" i="3"/>
  <c r="G3863" i="3"/>
  <c r="G3871" i="3"/>
  <c r="G3879" i="3"/>
  <c r="G3886" i="3"/>
  <c r="G3894" i="3"/>
  <c r="G3903" i="3"/>
  <c r="G3911" i="3"/>
  <c r="G3919" i="3"/>
  <c r="G3927" i="3"/>
  <c r="G3935" i="3"/>
  <c r="G3943" i="3"/>
  <c r="G3951" i="3"/>
  <c r="G3959" i="3"/>
  <c r="G3968" i="3"/>
  <c r="G3975" i="3"/>
  <c r="G3983" i="3"/>
  <c r="G3991" i="3"/>
  <c r="G3999" i="3"/>
  <c r="G4007" i="3"/>
  <c r="G4015" i="3"/>
  <c r="G4025" i="3"/>
  <c r="G4031" i="3"/>
  <c r="G4038" i="3"/>
  <c r="G4047" i="3"/>
  <c r="G5593" i="3"/>
  <c r="G5584" i="3"/>
  <c r="G5576" i="3"/>
  <c r="G5569" i="3"/>
  <c r="G5561" i="3"/>
  <c r="G5554" i="3"/>
  <c r="G5543" i="3"/>
  <c r="G5536" i="3"/>
  <c r="G5529" i="3"/>
  <c r="G5521" i="3"/>
  <c r="G5513" i="3"/>
  <c r="G5505" i="3"/>
  <c r="G5497" i="3"/>
  <c r="G5489" i="3"/>
  <c r="G5481" i="3"/>
  <c r="G5473" i="3"/>
  <c r="G5465" i="3"/>
  <c r="G5455" i="3"/>
  <c r="G5449" i="3"/>
  <c r="G5441" i="3"/>
  <c r="G5433" i="3"/>
  <c r="G5425" i="3"/>
  <c r="G5417" i="3"/>
  <c r="G5410" i="3"/>
  <c r="G5400" i="3"/>
  <c r="G5393" i="3"/>
  <c r="G5387" i="3"/>
  <c r="G5378" i="3"/>
  <c r="G5369" i="3"/>
  <c r="G5362" i="3"/>
  <c r="G5352" i="3"/>
  <c r="G5345" i="3"/>
  <c r="G5338" i="3"/>
  <c r="G5330" i="3"/>
  <c r="G5321" i="3"/>
  <c r="G5314" i="3"/>
  <c r="G5305" i="3"/>
  <c r="G5297" i="3"/>
  <c r="G5290" i="3"/>
  <c r="G5281" i="3"/>
  <c r="G5274" i="3"/>
  <c r="G5264" i="3"/>
  <c r="G5257" i="3"/>
  <c r="G5248" i="3"/>
  <c r="G5242" i="3"/>
  <c r="G5233" i="3"/>
  <c r="G5225" i="3"/>
  <c r="G5216" i="3"/>
  <c r="G5209" i="3"/>
  <c r="G5200" i="3"/>
  <c r="G5194" i="3"/>
  <c r="G5185" i="3"/>
  <c r="G5177" i="3"/>
  <c r="G5168" i="3"/>
  <c r="G5161" i="3"/>
  <c r="G5151" i="3"/>
  <c r="G5145" i="3"/>
  <c r="G5137" i="3"/>
  <c r="G5130" i="3"/>
  <c r="G5120" i="3"/>
  <c r="G5113" i="3"/>
  <c r="G5105" i="3"/>
  <c r="G5097" i="3"/>
  <c r="G5089" i="3"/>
  <c r="G5081" i="3"/>
  <c r="G5075" i="3"/>
  <c r="G5065" i="3"/>
  <c r="G5058" i="3"/>
  <c r="G5050" i="3"/>
  <c r="G5041" i="3"/>
  <c r="G5033" i="3"/>
  <c r="G5025" i="3"/>
  <c r="G5016" i="3"/>
  <c r="G5009" i="3"/>
  <c r="G4998" i="3"/>
  <c r="G4992" i="3"/>
  <c r="G4986" i="3"/>
  <c r="G4977" i="3"/>
  <c r="G4969" i="3"/>
  <c r="G4961" i="3"/>
  <c r="G4953" i="3"/>
  <c r="G4945" i="3"/>
  <c r="G4937" i="3"/>
  <c r="G4929" i="3"/>
  <c r="G4920" i="3"/>
  <c r="G4913" i="3"/>
  <c r="G4905" i="3"/>
  <c r="G4897" i="3"/>
  <c r="G4889" i="3"/>
  <c r="G4880" i="3"/>
  <c r="G4873" i="3"/>
  <c r="G4864" i="3"/>
  <c r="G4857" i="3"/>
  <c r="G4849" i="3"/>
  <c r="G4841" i="3"/>
  <c r="G4833" i="3"/>
  <c r="G4825" i="3"/>
  <c r="G4817" i="3"/>
  <c r="G4809" i="3"/>
  <c r="G4801" i="3"/>
  <c r="G4793" i="3"/>
  <c r="G4785" i="3"/>
  <c r="G4777" i="3"/>
  <c r="G4769" i="3"/>
  <c r="G4762" i="3"/>
  <c r="G4753" i="3"/>
  <c r="G4744" i="3"/>
  <c r="G4737" i="3"/>
  <c r="G4729" i="3"/>
  <c r="G4721" i="3"/>
  <c r="G4713" i="3"/>
  <c r="G4705" i="3"/>
  <c r="G4697" i="3"/>
  <c r="G4689" i="3"/>
  <c r="G4681" i="3"/>
  <c r="G4673" i="3"/>
  <c r="G4665" i="3"/>
  <c r="G4657" i="3"/>
  <c r="G4649" i="3"/>
  <c r="G4641" i="3"/>
  <c r="G2565" i="3"/>
  <c r="G2551" i="3"/>
  <c r="G2575" i="3"/>
  <c r="G2599" i="3"/>
  <c r="G2615" i="3"/>
  <c r="G2639" i="3"/>
  <c r="G2655" i="3"/>
  <c r="G2679" i="3"/>
  <c r="G2695" i="3"/>
  <c r="G2719" i="3"/>
  <c r="G2743" i="3"/>
  <c r="G2760" i="3"/>
  <c r="G2783" i="3"/>
  <c r="G2799" i="3"/>
  <c r="G2552" i="3"/>
  <c r="G2560" i="3"/>
  <c r="G2568" i="3"/>
  <c r="G2576" i="3"/>
  <c r="G2584" i="3"/>
  <c r="G2592" i="3"/>
  <c r="G2600" i="3"/>
  <c r="G2608" i="3"/>
  <c r="G2616" i="3"/>
  <c r="G2624" i="3"/>
  <c r="G2632" i="3"/>
  <c r="G2640" i="3"/>
  <c r="G2648" i="3"/>
  <c r="G2656" i="3"/>
  <c r="G2664" i="3"/>
  <c r="G2672" i="3"/>
  <c r="G2680" i="3"/>
  <c r="G2688" i="3"/>
  <c r="G2696" i="3"/>
  <c r="G2704" i="3"/>
  <c r="G2712" i="3"/>
  <c r="G2720" i="3"/>
  <c r="G2728" i="3"/>
  <c r="G2736" i="3"/>
  <c r="G2744" i="3"/>
  <c r="G2751" i="3"/>
  <c r="G2759" i="3"/>
  <c r="G2768" i="3"/>
  <c r="G2776" i="3"/>
  <c r="G2784" i="3"/>
  <c r="G2792" i="3"/>
  <c r="G2800" i="3"/>
  <c r="G2808" i="3"/>
  <c r="G2816" i="3"/>
  <c r="G2824" i="3"/>
  <c r="G2832" i="3"/>
  <c r="G2840" i="3"/>
  <c r="G2848" i="3"/>
  <c r="G2856" i="3"/>
  <c r="G2863" i="3"/>
  <c r="G2872" i="3"/>
  <c r="G2880" i="3"/>
  <c r="G2888" i="3"/>
  <c r="G2896" i="3"/>
  <c r="G2904" i="3"/>
  <c r="G2911" i="3"/>
  <c r="G2920" i="3"/>
  <c r="G2927" i="3"/>
  <c r="G2936" i="3"/>
  <c r="G2944" i="3"/>
  <c r="G2952" i="3"/>
  <c r="G2960" i="3"/>
  <c r="G2968" i="3"/>
  <c r="G2976" i="3"/>
  <c r="G2984" i="3"/>
  <c r="G2992" i="3"/>
  <c r="G3000" i="3"/>
  <c r="G3008" i="3"/>
  <c r="G3016" i="3"/>
  <c r="G3024" i="3"/>
  <c r="G3032" i="3"/>
  <c r="G3041" i="3"/>
  <c r="G3048" i="3"/>
  <c r="G3056" i="3"/>
  <c r="G3064" i="3"/>
  <c r="G3072" i="3"/>
  <c r="G3080" i="3"/>
  <c r="G3088" i="3"/>
  <c r="G3096" i="3"/>
  <c r="G3103" i="3"/>
  <c r="G3112" i="3"/>
  <c r="G3120" i="3"/>
  <c r="G3128" i="3"/>
  <c r="G3136" i="3"/>
  <c r="G3144" i="3"/>
  <c r="G3152" i="3"/>
  <c r="G3160" i="3"/>
  <c r="G3168" i="3"/>
  <c r="G3176" i="3"/>
  <c r="G3184" i="3"/>
  <c r="G3193" i="3"/>
  <c r="G3200" i="3"/>
  <c r="G3208" i="3"/>
  <c r="G3216" i="3"/>
  <c r="G3224" i="3"/>
  <c r="G3232" i="3"/>
  <c r="G3240" i="3"/>
  <c r="G3247" i="3"/>
  <c r="G3256" i="3"/>
  <c r="G3265" i="3"/>
  <c r="G3272" i="3"/>
  <c r="G3280" i="3"/>
  <c r="G3288" i="3"/>
  <c r="G3297" i="3"/>
  <c r="G3304" i="3"/>
  <c r="G3312" i="3"/>
  <c r="G3320" i="3"/>
  <c r="G3327" i="3"/>
  <c r="G3336" i="3"/>
  <c r="G3344" i="3"/>
  <c r="G3352" i="3"/>
  <c r="G3360" i="3"/>
  <c r="G3368" i="3"/>
  <c r="G3376" i="3"/>
  <c r="G3384" i="3"/>
  <c r="G3391" i="3"/>
  <c r="G3400" i="3"/>
  <c r="G3407" i="3"/>
  <c r="G3416" i="3"/>
  <c r="G3424" i="3"/>
  <c r="G3432" i="3"/>
  <c r="G3439" i="3"/>
  <c r="G3448" i="3"/>
  <c r="G3455" i="3"/>
  <c r="G3464" i="3"/>
  <c r="G3474" i="3"/>
  <c r="G3480" i="3"/>
  <c r="G3488" i="3"/>
  <c r="G3496" i="3"/>
  <c r="G3504" i="3"/>
  <c r="G3512" i="3"/>
  <c r="G3520" i="3"/>
  <c r="G3528" i="3"/>
  <c r="G3536" i="3"/>
  <c r="G3544" i="3"/>
  <c r="G3552" i="3"/>
  <c r="G3560" i="3"/>
  <c r="G3568" i="3"/>
  <c r="G3576" i="3"/>
  <c r="G3585" i="3"/>
  <c r="G3592" i="3"/>
  <c r="G3600" i="3"/>
  <c r="G3607" i="3"/>
  <c r="G3616" i="3"/>
  <c r="G3625" i="3"/>
  <c r="G3631" i="3"/>
  <c r="G3640" i="3"/>
  <c r="G3649" i="3"/>
  <c r="G3656" i="3"/>
  <c r="G3665" i="3"/>
  <c r="G3673" i="3"/>
  <c r="G3681" i="3"/>
  <c r="G3688" i="3"/>
  <c r="G3696" i="3"/>
  <c r="G3704" i="3"/>
  <c r="G3712" i="3"/>
  <c r="G3720" i="3"/>
  <c r="G3728" i="3"/>
  <c r="G3735" i="3"/>
  <c r="G3744" i="3"/>
  <c r="G3752" i="3"/>
  <c r="G3759" i="3"/>
  <c r="G3768" i="3"/>
  <c r="G3776" i="3"/>
  <c r="G3784" i="3"/>
  <c r="G3793" i="3"/>
  <c r="G3800" i="3"/>
  <c r="G3808" i="3"/>
  <c r="G3815" i="3"/>
  <c r="G3824" i="3"/>
  <c r="G3831" i="3"/>
  <c r="G3841" i="3"/>
  <c r="G3848" i="3"/>
  <c r="G3856" i="3"/>
  <c r="G3864" i="3"/>
  <c r="G3870" i="3"/>
  <c r="G3880" i="3"/>
  <c r="G3885" i="3"/>
  <c r="G3896" i="3"/>
  <c r="G3904" i="3"/>
  <c r="G3912" i="3"/>
  <c r="G3920" i="3"/>
  <c r="G3928" i="3"/>
  <c r="G3936" i="3"/>
  <c r="G3944" i="3"/>
  <c r="G3952" i="3"/>
  <c r="G3960" i="3"/>
  <c r="G3967" i="3"/>
  <c r="G3976" i="3"/>
  <c r="G3984" i="3"/>
  <c r="G3992" i="3"/>
  <c r="G4001" i="3"/>
  <c r="G4008" i="3"/>
  <c r="G4016" i="3"/>
  <c r="G4024" i="3"/>
  <c r="G4032" i="3"/>
  <c r="G4040" i="3"/>
  <c r="G4048" i="3"/>
  <c r="G5592" i="3"/>
  <c r="G5585" i="3"/>
  <c r="G5577" i="3"/>
  <c r="G5567" i="3"/>
  <c r="G5558" i="3"/>
  <c r="G5552" i="3"/>
  <c r="G5544" i="3"/>
  <c r="G5537" i="3"/>
  <c r="G5528" i="3"/>
  <c r="G5519" i="3"/>
  <c r="G5512" i="3"/>
  <c r="G5504" i="3"/>
  <c r="G5496" i="3"/>
  <c r="G5484" i="3"/>
  <c r="G5482" i="3"/>
  <c r="G5472" i="3"/>
  <c r="G5464" i="3"/>
  <c r="G5456" i="3"/>
  <c r="G5447" i="3"/>
  <c r="G5440" i="3"/>
  <c r="G5432" i="3"/>
  <c r="G5423" i="3"/>
  <c r="G5416" i="3"/>
  <c r="G5406" i="3"/>
  <c r="G5401" i="3"/>
  <c r="G5390" i="3"/>
  <c r="G5383" i="3"/>
  <c r="G5376" i="3"/>
  <c r="G5368" i="3"/>
  <c r="G5360" i="3"/>
  <c r="G5353" i="3"/>
  <c r="G5342" i="3"/>
  <c r="G5336" i="3"/>
  <c r="G5331" i="3"/>
  <c r="G5320" i="3"/>
  <c r="G5312" i="3"/>
  <c r="G5304" i="3"/>
  <c r="G5295" i="3"/>
  <c r="G5287" i="3"/>
  <c r="G5280" i="3"/>
  <c r="G5270" i="3"/>
  <c r="G5265" i="3"/>
  <c r="G5256" i="3"/>
  <c r="G5249" i="3"/>
  <c r="G5239" i="3"/>
  <c r="G5229" i="3"/>
  <c r="G5223" i="3"/>
  <c r="G5217" i="3"/>
  <c r="G5208" i="3"/>
  <c r="G5201" i="3"/>
  <c r="G5192" i="3"/>
  <c r="G5183" i="3"/>
  <c r="G5175" i="3"/>
  <c r="G5169" i="3"/>
  <c r="G5159" i="3"/>
  <c r="G5152" i="3"/>
  <c r="G5144" i="3"/>
  <c r="G5136" i="3"/>
  <c r="G5128" i="3"/>
  <c r="G5121" i="3"/>
  <c r="G5112" i="3"/>
  <c r="G5103" i="3"/>
  <c r="G5095" i="3"/>
  <c r="G5088" i="3"/>
  <c r="G5080" i="3"/>
  <c r="G5070" i="3"/>
  <c r="G5064" i="3"/>
  <c r="G5056" i="3"/>
  <c r="G5048" i="3"/>
  <c r="G5040" i="3"/>
  <c r="G5032" i="3"/>
  <c r="G5023" i="3"/>
  <c r="G5017" i="3"/>
  <c r="G5007" i="3"/>
  <c r="G4999" i="3"/>
  <c r="G4993" i="3"/>
  <c r="G4984" i="3"/>
  <c r="G4976" i="3"/>
  <c r="G4968" i="3"/>
  <c r="G4962" i="3"/>
  <c r="G4951" i="3"/>
  <c r="G4944" i="3"/>
  <c r="G4936" i="3"/>
  <c r="G4928" i="3"/>
  <c r="G4921" i="3"/>
  <c r="G4912" i="3"/>
  <c r="G4904" i="3"/>
  <c r="G4896" i="3"/>
  <c r="G4888" i="3"/>
  <c r="G4881" i="3"/>
  <c r="G4872" i="3"/>
  <c r="G4865" i="3"/>
  <c r="G4856" i="3"/>
  <c r="G4848" i="3"/>
  <c r="G4840" i="3"/>
  <c r="G4832" i="3"/>
  <c r="G4824" i="3"/>
  <c r="G4816" i="3"/>
  <c r="G4807" i="3"/>
  <c r="G4800" i="3"/>
  <c r="G4792" i="3"/>
  <c r="G4784" i="3"/>
  <c r="G4776" i="3"/>
  <c r="G4768" i="3"/>
  <c r="G4760" i="3"/>
  <c r="G4752" i="3"/>
  <c r="G4745" i="3"/>
  <c r="G4736" i="3"/>
  <c r="G4728" i="3"/>
  <c r="G4720" i="3"/>
  <c r="G4712" i="3"/>
  <c r="G4704" i="3"/>
  <c r="G4696" i="3"/>
  <c r="G4688" i="3"/>
  <c r="G4680" i="3"/>
  <c r="G4672" i="3"/>
  <c r="G4664" i="3"/>
  <c r="G4656" i="3"/>
  <c r="G4648" i="3"/>
  <c r="G4640" i="3"/>
  <c r="G4633" i="3"/>
  <c r="G4625" i="3"/>
  <c r="G4616" i="3"/>
  <c r="G4608" i="3"/>
  <c r="G4600" i="3"/>
  <c r="G4592" i="3"/>
  <c r="G4584" i="3"/>
  <c r="G4576" i="3"/>
  <c r="G4568" i="3"/>
  <c r="G4560" i="3"/>
  <c r="G4552" i="3"/>
  <c r="G4544" i="3"/>
  <c r="G4536" i="3"/>
  <c r="G4528" i="3"/>
  <c r="G4558" i="3"/>
  <c r="G4551" i="3"/>
  <c r="G4543" i="3"/>
  <c r="G4535" i="3"/>
  <c r="G4527" i="3"/>
  <c r="G4519" i="3"/>
  <c r="G4511" i="3"/>
  <c r="G4503" i="3"/>
  <c r="G4495" i="3"/>
  <c r="G4487" i="3"/>
  <c r="G4479" i="3"/>
  <c r="G4471" i="3"/>
  <c r="G4463" i="3"/>
  <c r="G4455" i="3"/>
  <c r="G4447" i="3"/>
  <c r="G4439" i="3"/>
  <c r="G4431" i="3"/>
  <c r="G4423" i="3"/>
  <c r="G4053" i="3"/>
  <c r="G275" i="3"/>
  <c r="G283" i="3"/>
  <c r="G292" i="3"/>
  <c r="G299" i="3"/>
  <c r="G6" i="3"/>
  <c r="G14" i="3"/>
  <c r="G22" i="3"/>
  <c r="G30" i="3"/>
  <c r="G38" i="3"/>
  <c r="G46" i="3"/>
  <c r="G54" i="3"/>
  <c r="G62" i="3"/>
  <c r="G70" i="3"/>
  <c r="G78" i="3"/>
  <c r="G86" i="3"/>
  <c r="G94" i="3"/>
  <c r="G102" i="3"/>
  <c r="G110" i="3"/>
  <c r="G118" i="3"/>
  <c r="G126" i="3"/>
  <c r="G134" i="3"/>
  <c r="G142" i="3"/>
  <c r="G150" i="3"/>
  <c r="G158" i="3"/>
  <c r="G166" i="3"/>
  <c r="G174" i="3"/>
  <c r="G182" i="3"/>
  <c r="G191" i="3"/>
  <c r="G197" i="3"/>
  <c r="G206" i="3"/>
  <c r="G214" i="3"/>
  <c r="G222" i="3"/>
  <c r="G230" i="3"/>
  <c r="G238" i="3"/>
  <c r="G246" i="3"/>
  <c r="G254" i="3"/>
  <c r="G262" i="3"/>
  <c r="G269" i="3"/>
  <c r="G312" i="3"/>
  <c r="G320" i="3"/>
  <c r="G328" i="3"/>
  <c r="G336" i="3"/>
  <c r="G344" i="3"/>
  <c r="G352" i="3"/>
  <c r="G360" i="3"/>
  <c r="G368" i="3"/>
  <c r="G376" i="3"/>
  <c r="G384" i="3"/>
  <c r="G392" i="3"/>
  <c r="G400" i="3"/>
  <c r="G408" i="3"/>
  <c r="G416" i="3"/>
  <c r="G424" i="3"/>
  <c r="G432" i="3"/>
  <c r="G440" i="3"/>
  <c r="G448" i="3"/>
  <c r="G456" i="3"/>
  <c r="G464" i="3"/>
  <c r="G472" i="3"/>
  <c r="G480" i="3"/>
  <c r="G488" i="3"/>
  <c r="G496" i="3"/>
  <c r="G504" i="3"/>
  <c r="G512" i="3"/>
  <c r="G520" i="3"/>
  <c r="G528" i="3"/>
  <c r="G536" i="3"/>
  <c r="G544" i="3"/>
  <c r="G552" i="3"/>
  <c r="G560" i="3"/>
  <c r="G568" i="3"/>
  <c r="G576" i="3"/>
  <c r="G584" i="3"/>
  <c r="G592" i="3"/>
  <c r="G600" i="3"/>
  <c r="G607" i="3"/>
  <c r="G616" i="3"/>
  <c r="G624" i="3"/>
  <c r="G632" i="3"/>
  <c r="G640" i="3"/>
  <c r="G648" i="3"/>
  <c r="G656" i="3"/>
  <c r="G664" i="3"/>
  <c r="G672" i="3"/>
  <c r="G679" i="3"/>
  <c r="G688" i="3"/>
  <c r="G696" i="3"/>
  <c r="G704" i="3"/>
  <c r="G712" i="3"/>
  <c r="G720" i="3"/>
  <c r="G728" i="3"/>
  <c r="G736" i="3"/>
  <c r="G744" i="3"/>
  <c r="G752" i="3"/>
  <c r="G760" i="3"/>
  <c r="G768" i="3"/>
  <c r="G776" i="3"/>
  <c r="G784" i="3"/>
  <c r="G792" i="3"/>
  <c r="G800" i="3"/>
  <c r="G808" i="3"/>
  <c r="G816" i="3"/>
  <c r="G824" i="3"/>
  <c r="G832" i="3"/>
  <c r="G840" i="3"/>
  <c r="G848" i="3"/>
  <c r="G856" i="3"/>
  <c r="G864" i="3"/>
  <c r="G872" i="3"/>
  <c r="G880" i="3"/>
  <c r="G888" i="3"/>
  <c r="G896" i="3"/>
  <c r="G904" i="3"/>
  <c r="G912" i="3"/>
  <c r="G920" i="3"/>
  <c r="G928" i="3"/>
  <c r="G936" i="3"/>
  <c r="G944" i="3"/>
  <c r="G952" i="3"/>
  <c r="G960" i="3"/>
  <c r="G968" i="3"/>
  <c r="G976" i="3"/>
  <c r="G984" i="3"/>
  <c r="G992" i="3"/>
  <c r="G1000" i="3"/>
  <c r="G1008" i="3"/>
  <c r="G1016" i="3"/>
  <c r="G1024" i="3"/>
  <c r="G1032" i="3"/>
  <c r="G1040" i="3"/>
  <c r="G1048" i="3"/>
  <c r="G1056" i="3"/>
  <c r="G1064" i="3"/>
  <c r="G1072" i="3"/>
  <c r="G1080" i="3"/>
  <c r="G1088" i="3"/>
  <c r="G1096" i="3"/>
  <c r="G1104" i="3"/>
  <c r="G1112" i="3"/>
  <c r="G1120" i="3"/>
  <c r="G1129" i="3"/>
  <c r="G1136" i="3"/>
  <c r="G1143" i="3"/>
  <c r="G1152" i="3"/>
  <c r="G1160" i="3"/>
  <c r="G1168" i="3"/>
  <c r="G1176" i="3"/>
  <c r="G1185" i="3"/>
  <c r="G1192" i="3"/>
  <c r="G1200" i="3"/>
  <c r="G1208" i="3"/>
  <c r="G1216" i="3"/>
  <c r="G1224" i="3"/>
  <c r="G1232" i="3"/>
  <c r="G1240" i="3"/>
  <c r="G1248" i="3"/>
  <c r="G1256" i="3"/>
  <c r="G1264" i="3"/>
  <c r="G1272" i="3"/>
  <c r="G1280" i="3"/>
  <c r="G1288" i="3"/>
  <c r="G1296" i="3"/>
  <c r="G1304" i="3"/>
  <c r="G1312" i="3"/>
  <c r="G1320" i="3"/>
  <c r="G1329" i="3"/>
  <c r="G1336" i="3"/>
  <c r="G1344" i="3"/>
  <c r="G1352" i="3"/>
  <c r="G1360" i="3"/>
  <c r="G1368" i="3"/>
  <c r="G1376" i="3"/>
  <c r="G1384" i="3"/>
  <c r="G1392" i="3"/>
  <c r="G1400" i="3"/>
  <c r="G1408" i="3"/>
  <c r="G1416" i="3"/>
  <c r="G1424" i="3"/>
  <c r="G1432" i="3"/>
  <c r="G1440" i="3"/>
  <c r="G1448" i="3"/>
  <c r="G1456" i="3"/>
  <c r="G1464" i="3"/>
  <c r="G1472" i="3"/>
  <c r="G1480" i="3"/>
  <c r="G1488" i="3"/>
  <c r="G1496" i="3"/>
  <c r="G1504" i="3"/>
  <c r="G1512" i="3"/>
  <c r="G1520" i="3"/>
  <c r="G1528" i="3"/>
  <c r="G1536" i="3"/>
  <c r="G1544" i="3"/>
  <c r="G1552" i="3"/>
  <c r="G1560" i="3"/>
  <c r="G1568" i="3"/>
  <c r="G1576" i="3"/>
  <c r="G1584" i="3"/>
  <c r="G1592" i="3"/>
  <c r="G1600" i="3"/>
  <c r="G1608" i="3"/>
  <c r="G1616" i="3"/>
  <c r="G1624" i="3"/>
  <c r="G1632" i="3"/>
  <c r="G1639" i="3"/>
  <c r="G1648" i="3"/>
  <c r="G1656" i="3"/>
  <c r="G1665" i="3"/>
  <c r="G1673" i="3"/>
  <c r="G1680" i="3"/>
  <c r="G1688" i="3"/>
  <c r="G1696" i="3"/>
  <c r="G1704" i="3"/>
  <c r="G1712" i="3"/>
  <c r="G1728" i="3"/>
  <c r="G1736" i="3"/>
  <c r="G1744" i="3"/>
  <c r="G1752" i="3"/>
  <c r="G1760" i="3"/>
  <c r="G1768" i="3"/>
  <c r="G1776" i="3"/>
  <c r="G1784" i="3"/>
  <c r="G1792" i="3"/>
  <c r="G1800" i="3"/>
  <c r="G1808" i="3"/>
  <c r="G1816" i="3"/>
  <c r="G1824" i="3"/>
  <c r="G1832" i="3"/>
  <c r="G1840" i="3"/>
  <c r="G1848" i="3"/>
  <c r="G1856" i="3"/>
  <c r="G1864" i="3"/>
  <c r="G1872" i="3"/>
  <c r="G1880" i="3"/>
  <c r="G1888" i="3"/>
  <c r="G1896" i="3"/>
  <c r="G1904" i="3"/>
  <c r="G1911" i="3"/>
  <c r="G1920" i="3"/>
  <c r="G1928" i="3"/>
  <c r="G1936" i="3"/>
  <c r="G1944" i="3"/>
  <c r="G1952" i="3"/>
  <c r="G1960" i="3"/>
  <c r="G1968" i="3"/>
  <c r="G1976" i="3"/>
  <c r="G1984" i="3"/>
  <c r="G1992" i="3"/>
  <c r="G2000" i="3"/>
  <c r="G2008" i="3"/>
  <c r="G2016" i="3"/>
  <c r="G2024" i="3"/>
  <c r="G2032" i="3"/>
  <c r="G2040" i="3"/>
  <c r="G2048" i="3"/>
  <c r="G2056" i="3"/>
  <c r="G2064" i="3"/>
  <c r="G2072" i="3"/>
  <c r="G2080" i="3"/>
  <c r="G2088" i="3"/>
  <c r="G2096" i="3"/>
  <c r="G2104" i="3"/>
  <c r="G2112" i="3"/>
  <c r="G2120" i="3"/>
  <c r="G2128" i="3"/>
  <c r="G2136" i="3"/>
  <c r="G2144" i="3"/>
  <c r="G2152" i="3"/>
  <c r="G2159" i="3"/>
  <c r="G2168" i="3"/>
  <c r="G2176" i="3"/>
  <c r="G2184" i="3"/>
  <c r="G2192" i="3"/>
  <c r="G2200" i="3"/>
  <c r="G2208" i="3"/>
  <c r="G2216" i="3"/>
  <c r="G2224" i="3"/>
  <c r="G2232" i="3"/>
  <c r="G2240" i="3"/>
  <c r="G2248" i="3"/>
  <c r="G2256" i="3"/>
  <c r="G2265" i="3"/>
  <c r="G2272" i="3"/>
  <c r="G2280" i="3"/>
  <c r="G2288" i="3"/>
  <c r="G2296" i="3"/>
  <c r="G2304" i="3"/>
  <c r="G2546" i="3"/>
  <c r="G2320" i="3"/>
  <c r="G2328" i="3"/>
  <c r="G2336" i="3"/>
  <c r="G2344" i="3"/>
  <c r="G2352" i="3"/>
  <c r="G2360" i="3"/>
  <c r="G2368" i="3"/>
  <c r="G2376" i="3"/>
  <c r="G2384" i="3"/>
  <c r="G2392" i="3"/>
  <c r="G2400" i="3"/>
  <c r="G2408" i="3"/>
  <c r="G2416" i="3"/>
  <c r="G2424" i="3"/>
  <c r="G2432" i="3"/>
  <c r="G2440" i="3"/>
  <c r="G2447" i="3"/>
  <c r="G2456" i="3"/>
  <c r="G2464" i="3"/>
  <c r="G2472" i="3"/>
  <c r="G2480" i="3"/>
  <c r="G2488" i="3"/>
  <c r="G2496" i="3"/>
  <c r="G2504" i="3"/>
  <c r="G2512" i="3"/>
  <c r="G2520" i="3"/>
  <c r="G2528" i="3"/>
  <c r="G2536" i="3"/>
  <c r="G2544" i="3"/>
  <c r="G4059" i="3"/>
  <c r="G4067" i="3"/>
  <c r="G4075" i="3"/>
  <c r="G4083" i="3"/>
  <c r="G4091" i="3"/>
  <c r="G4099" i="3"/>
  <c r="G4107" i="3"/>
  <c r="G4115" i="3"/>
  <c r="G4123" i="3"/>
  <c r="G4131" i="3"/>
  <c r="G4139" i="3"/>
  <c r="G4147" i="3"/>
  <c r="G4155" i="3"/>
  <c r="G4163" i="3"/>
  <c r="G4171" i="3"/>
  <c r="G4179" i="3"/>
  <c r="G4187" i="3"/>
  <c r="G4194" i="3"/>
  <c r="G4203" i="3"/>
  <c r="G4212" i="3"/>
  <c r="G4219" i="3"/>
  <c r="G4227" i="3"/>
  <c r="G4235" i="3"/>
  <c r="G4243" i="3"/>
  <c r="G4251" i="3"/>
  <c r="G4259" i="3"/>
  <c r="G4267" i="3"/>
  <c r="G4275" i="3"/>
  <c r="G4283" i="3"/>
  <c r="G4291" i="3"/>
  <c r="G4299" i="3"/>
  <c r="G4307" i="3"/>
  <c r="G4315" i="3"/>
  <c r="G4323" i="3"/>
  <c r="G4331" i="3"/>
  <c r="G4339" i="3"/>
  <c r="G4347" i="3"/>
  <c r="G4355" i="3"/>
  <c r="G4363" i="3"/>
  <c r="G4371" i="3"/>
  <c r="G4379" i="3"/>
  <c r="G4387" i="3"/>
  <c r="G4395" i="3"/>
  <c r="G4403" i="3"/>
  <c r="G4411" i="3"/>
  <c r="G5600" i="3"/>
  <c r="G5608" i="3"/>
  <c r="G5616" i="3"/>
  <c r="G5624" i="3"/>
  <c r="G5632" i="3"/>
  <c r="G5640" i="3"/>
  <c r="G5648" i="3"/>
  <c r="G5656" i="3"/>
  <c r="G5664" i="3"/>
  <c r="G5672" i="3"/>
  <c r="G5680" i="3"/>
  <c r="G5688" i="3"/>
  <c r="G5696" i="3"/>
  <c r="G5704" i="3"/>
  <c r="G5712" i="3"/>
  <c r="G5720" i="3"/>
  <c r="G5728" i="3"/>
  <c r="G5736" i="3"/>
  <c r="G5744" i="3"/>
  <c r="G5752" i="3"/>
  <c r="G5760" i="3"/>
  <c r="G5768" i="3"/>
  <c r="G5776" i="3"/>
  <c r="G5784" i="3"/>
  <c r="G5792" i="3"/>
  <c r="G5800" i="3"/>
  <c r="G5808" i="3"/>
  <c r="G5816" i="3"/>
  <c r="G5824" i="3"/>
  <c r="G5832" i="3"/>
  <c r="G5840" i="3"/>
  <c r="G5848" i="3"/>
  <c r="G5856" i="3"/>
  <c r="G5864" i="3"/>
  <c r="G5872" i="3"/>
  <c r="G5880" i="3"/>
  <c r="G5888" i="3"/>
  <c r="G5896" i="3"/>
  <c r="G5904" i="3"/>
  <c r="G5912" i="3"/>
  <c r="G5920" i="3"/>
  <c r="G5928" i="3"/>
  <c r="G5936" i="3"/>
  <c r="G5944" i="3"/>
  <c r="G5952" i="3"/>
  <c r="G5960" i="3"/>
  <c r="G5968" i="3"/>
  <c r="G5976" i="3"/>
  <c r="G5984" i="3"/>
  <c r="G5992" i="3"/>
  <c r="G6000" i="3"/>
  <c r="G6008" i="3"/>
  <c r="G6016" i="3"/>
  <c r="G6024" i="3"/>
  <c r="G6032" i="3"/>
  <c r="G6040" i="3"/>
  <c r="G6047" i="3"/>
  <c r="G6056" i="3"/>
  <c r="G6065" i="3"/>
  <c r="G6072" i="3"/>
  <c r="G6080" i="3"/>
  <c r="G6088" i="3"/>
  <c r="G6095" i="3"/>
  <c r="G6104" i="3"/>
  <c r="G6112" i="3"/>
  <c r="G6120" i="3"/>
  <c r="G6129" i="3"/>
  <c r="G6136" i="3"/>
  <c r="G6144" i="3"/>
  <c r="G6152" i="3"/>
  <c r="G6160" i="3"/>
  <c r="G6168" i="3"/>
  <c r="G6176" i="3"/>
  <c r="G6184" i="3"/>
  <c r="G6192" i="3"/>
  <c r="G6201" i="3"/>
  <c r="G6208" i="3"/>
  <c r="G6216" i="3"/>
  <c r="G6223" i="3"/>
  <c r="G6232" i="3"/>
  <c r="G6240" i="3"/>
  <c r="G6248" i="3"/>
  <c r="G6256" i="3"/>
  <c r="G6264" i="3"/>
  <c r="G6272" i="3"/>
  <c r="G6280" i="3"/>
  <c r="G6288" i="3"/>
  <c r="G6296" i="3"/>
  <c r="G6304" i="3"/>
  <c r="G6312" i="3"/>
  <c r="G6320" i="3"/>
  <c r="G6328" i="3"/>
  <c r="G6336" i="3"/>
  <c r="G6344" i="3"/>
  <c r="G6352" i="3"/>
  <c r="G6360" i="3"/>
  <c r="G6368" i="3"/>
  <c r="G6376" i="3"/>
  <c r="G6384" i="3"/>
  <c r="G6392" i="3"/>
  <c r="G6400" i="3"/>
  <c r="G6408" i="3"/>
  <c r="G6416" i="3"/>
  <c r="G6424" i="3"/>
  <c r="G6432" i="3"/>
  <c r="G6440" i="3"/>
  <c r="G6448" i="3"/>
  <c r="G6456" i="3"/>
  <c r="G6464" i="3"/>
  <c r="G6472" i="3"/>
  <c r="G6480" i="3"/>
  <c r="G6488" i="3"/>
  <c r="G6496" i="3"/>
  <c r="G6504" i="3"/>
  <c r="G6512" i="3"/>
  <c r="G6520" i="3"/>
  <c r="G6528" i="3"/>
  <c r="G6536" i="3"/>
  <c r="G6544" i="3"/>
  <c r="G6553" i="3"/>
  <c r="G6560" i="3"/>
  <c r="G6568" i="3"/>
  <c r="G6576" i="3"/>
  <c r="G6584" i="3"/>
  <c r="G6592" i="3"/>
  <c r="G6600" i="3"/>
  <c r="G6608" i="3"/>
  <c r="G4686" i="3"/>
  <c r="G4678" i="3"/>
  <c r="G4669" i="3"/>
  <c r="G4662" i="3"/>
  <c r="G4654" i="3"/>
  <c r="G4646" i="3"/>
  <c r="G4638" i="3"/>
  <c r="G4630" i="3"/>
  <c r="G4621" i="3"/>
  <c r="G4614" i="3"/>
  <c r="G4606" i="3"/>
  <c r="G4598" i="3"/>
  <c r="G4590" i="3"/>
  <c r="G4582" i="3"/>
  <c r="G4574" i="3"/>
  <c r="G4566" i="3"/>
  <c r="G4559" i="3"/>
  <c r="G4550" i="3"/>
  <c r="G4542" i="3"/>
  <c r="G4534" i="3"/>
  <c r="G4526" i="3"/>
  <c r="G4518" i="3"/>
  <c r="G4510" i="3"/>
  <c r="G4502" i="3"/>
  <c r="G4494" i="3"/>
  <c r="G4486" i="3"/>
  <c r="G4478" i="3"/>
  <c r="G4470" i="3"/>
  <c r="G4462" i="3"/>
  <c r="G4454" i="3"/>
  <c r="G4446" i="3"/>
  <c r="G4438" i="3"/>
  <c r="G4430" i="3"/>
  <c r="G4422" i="3"/>
  <c r="G306" i="3"/>
  <c r="G276" i="3"/>
  <c r="G284" i="3"/>
  <c r="G291" i="3"/>
  <c r="G300" i="3"/>
  <c r="G7" i="3"/>
  <c r="G15" i="3"/>
  <c r="G23" i="3"/>
  <c r="G31" i="3"/>
  <c r="G39" i="3"/>
  <c r="G47" i="3"/>
  <c r="G55" i="3"/>
  <c r="G63" i="3"/>
  <c r="G71" i="3"/>
  <c r="G79" i="3"/>
  <c r="G87" i="3"/>
  <c r="G95" i="3"/>
  <c r="G103" i="3"/>
  <c r="G111" i="3"/>
  <c r="G119" i="3"/>
  <c r="G127" i="3"/>
  <c r="G135" i="3"/>
  <c r="G143" i="3"/>
  <c r="G151" i="3"/>
  <c r="G159" i="3"/>
  <c r="G167" i="3"/>
  <c r="G175" i="3"/>
  <c r="G183" i="3"/>
  <c r="G190" i="3"/>
  <c r="G199" i="3"/>
  <c r="G207" i="3"/>
  <c r="G215" i="3"/>
  <c r="G223" i="3"/>
  <c r="G231" i="3"/>
  <c r="G239" i="3"/>
  <c r="G247" i="3"/>
  <c r="G255" i="3"/>
  <c r="G263" i="3"/>
  <c r="G271" i="3"/>
  <c r="G313" i="3"/>
  <c r="G321" i="3"/>
  <c r="G329" i="3"/>
  <c r="G337" i="3"/>
  <c r="G345" i="3"/>
  <c r="G353" i="3"/>
  <c r="G361" i="3"/>
  <c r="G369" i="3"/>
  <c r="G377" i="3"/>
  <c r="G385" i="3"/>
  <c r="G393" i="3"/>
  <c r="G401" i="3"/>
  <c r="G409" i="3"/>
  <c r="G417" i="3"/>
  <c r="G425" i="3"/>
  <c r="G433" i="3"/>
  <c r="G441" i="3"/>
  <c r="G449" i="3"/>
  <c r="G457" i="3"/>
  <c r="G465" i="3"/>
  <c r="G473" i="3"/>
  <c r="G481" i="3"/>
  <c r="G489" i="3"/>
  <c r="G497" i="3"/>
  <c r="G505" i="3"/>
  <c r="G513" i="3"/>
  <c r="G521" i="3"/>
  <c r="G529" i="3"/>
  <c r="G537" i="3"/>
  <c r="G545" i="3"/>
  <c r="G553" i="3"/>
  <c r="G561" i="3"/>
  <c r="G569" i="3"/>
  <c r="G577" i="3"/>
  <c r="G585" i="3"/>
  <c r="G593" i="3"/>
  <c r="G601" i="3"/>
  <c r="G609" i="3"/>
  <c r="G617" i="3"/>
  <c r="G625" i="3"/>
  <c r="G633" i="3"/>
  <c r="G641" i="3"/>
  <c r="G649" i="3"/>
  <c r="G657" i="3"/>
  <c r="G665" i="3"/>
  <c r="G673" i="3"/>
  <c r="G681" i="3"/>
  <c r="G689" i="3"/>
  <c r="G697" i="3"/>
  <c r="G705" i="3"/>
  <c r="G713" i="3"/>
  <c r="G721" i="3"/>
  <c r="G729" i="3"/>
  <c r="G737" i="3"/>
  <c r="G745" i="3"/>
  <c r="G753" i="3"/>
  <c r="G761" i="3"/>
  <c r="G769" i="3"/>
  <c r="G777" i="3"/>
  <c r="G786" i="3"/>
  <c r="G793" i="3"/>
  <c r="G801" i="3"/>
  <c r="G809" i="3"/>
  <c r="G817" i="3"/>
  <c r="G825" i="3"/>
  <c r="G833" i="3"/>
  <c r="G1391" i="3"/>
  <c r="G849" i="3"/>
  <c r="G857" i="3"/>
  <c r="G865" i="3"/>
  <c r="G873" i="3"/>
  <c r="G881" i="3"/>
  <c r="G889" i="3"/>
  <c r="G897" i="3"/>
  <c r="G905" i="3"/>
  <c r="G913" i="3"/>
  <c r="G921" i="3"/>
  <c r="G929" i="3"/>
  <c r="G937" i="3"/>
  <c r="G945" i="3"/>
  <c r="G953" i="3"/>
  <c r="G961" i="3"/>
  <c r="G969" i="3"/>
  <c r="G977" i="3"/>
  <c r="G985" i="3"/>
  <c r="G993" i="3"/>
  <c r="G1001" i="3"/>
  <c r="G1009" i="3"/>
  <c r="G1017" i="3"/>
  <c r="G1025" i="3"/>
  <c r="G1033" i="3"/>
  <c r="G1041" i="3"/>
  <c r="G1049" i="3"/>
  <c r="G1057" i="3"/>
  <c r="G1065" i="3"/>
  <c r="G1073" i="3"/>
  <c r="G1081" i="3"/>
  <c r="G1089" i="3"/>
  <c r="G1097" i="3"/>
  <c r="G1105" i="3"/>
  <c r="G1113" i="3"/>
  <c r="G1121" i="3"/>
  <c r="G1128" i="3"/>
  <c r="G1137" i="3"/>
  <c r="G1145" i="3"/>
  <c r="G1153" i="3"/>
  <c r="G1161" i="3"/>
  <c r="G1169" i="3"/>
  <c r="G1177" i="3"/>
  <c r="G1184" i="3"/>
  <c r="G1193" i="3"/>
  <c r="G1201" i="3"/>
  <c r="G1209" i="3"/>
  <c r="G1217" i="3"/>
  <c r="G1225" i="3"/>
  <c r="G1233" i="3"/>
  <c r="G1241" i="3"/>
  <c r="G1249" i="3"/>
  <c r="G1257" i="3"/>
  <c r="G1265" i="3"/>
  <c r="G1273" i="3"/>
  <c r="G1281" i="3"/>
  <c r="G1289" i="3"/>
  <c r="G1297" i="3"/>
  <c r="G1305" i="3"/>
  <c r="G1313" i="3"/>
  <c r="G1321" i="3"/>
  <c r="G1328" i="3"/>
  <c r="G1337" i="3"/>
  <c r="G1345" i="3"/>
  <c r="G1353" i="3"/>
  <c r="G1361" i="3"/>
  <c r="G1369" i="3"/>
  <c r="G1377" i="3"/>
  <c r="G1385" i="3"/>
  <c r="G1393" i="3"/>
  <c r="G1401" i="3"/>
  <c r="G1409" i="3"/>
  <c r="G1417" i="3"/>
  <c r="G1425" i="3"/>
  <c r="G1433" i="3"/>
  <c r="G1441" i="3"/>
  <c r="G1449" i="3"/>
  <c r="G1457" i="3"/>
  <c r="G1465" i="3"/>
  <c r="G1473" i="3"/>
  <c r="G1481" i="3"/>
  <c r="G1489" i="3"/>
  <c r="G1497" i="3"/>
  <c r="G1505" i="3"/>
  <c r="G1513" i="3"/>
  <c r="G1521" i="3"/>
  <c r="G1529" i="3"/>
  <c r="G1537" i="3"/>
  <c r="G1545" i="3"/>
  <c r="G1553" i="3"/>
  <c r="G1561" i="3"/>
  <c r="G1569" i="3"/>
  <c r="G1578" i="3"/>
  <c r="G1585" i="3"/>
  <c r="G1593" i="3"/>
  <c r="G1601" i="3"/>
  <c r="G1609" i="3"/>
  <c r="G1617" i="3"/>
  <c r="G1625" i="3"/>
  <c r="G1633" i="3"/>
  <c r="G1641" i="3"/>
  <c r="G1649" i="3"/>
  <c r="G1657" i="3"/>
  <c r="G1664" i="3"/>
  <c r="G1672" i="3"/>
  <c r="G1681" i="3"/>
  <c r="G1689" i="3"/>
  <c r="G1697" i="3"/>
  <c r="G1705" i="3"/>
  <c r="G1713" i="3"/>
  <c r="G1721" i="3"/>
  <c r="G1729" i="3"/>
  <c r="G1737" i="3"/>
  <c r="G1745" i="3"/>
  <c r="G1753" i="3"/>
  <c r="G1761" i="3"/>
  <c r="G1769" i="3"/>
  <c r="G1777" i="3"/>
  <c r="G1785" i="3"/>
  <c r="G1793" i="3"/>
  <c r="G1801" i="3"/>
  <c r="G1809" i="3"/>
  <c r="G1817" i="3"/>
  <c r="G1825" i="3"/>
  <c r="G1833" i="3"/>
  <c r="G1841" i="3"/>
  <c r="G1849" i="3"/>
  <c r="G1857" i="3"/>
  <c r="G1865" i="3"/>
  <c r="G1873" i="3"/>
  <c r="G1881" i="3"/>
  <c r="G1889" i="3"/>
  <c r="G1897" i="3"/>
  <c r="G1905" i="3"/>
  <c r="G1913" i="3"/>
  <c r="G1921" i="3"/>
  <c r="G1929" i="3"/>
  <c r="G1937" i="3"/>
  <c r="G1945" i="3"/>
  <c r="G1953" i="3"/>
  <c r="G1961" i="3"/>
  <c r="G1969" i="3"/>
  <c r="G1977" i="3"/>
  <c r="G1985" i="3"/>
  <c r="G1993" i="3"/>
  <c r="G2001" i="3"/>
  <c r="G2009" i="3"/>
  <c r="G2017" i="3"/>
  <c r="G2025" i="3"/>
  <c r="G2033" i="3"/>
  <c r="G2041" i="3"/>
  <c r="G2049" i="3"/>
  <c r="G2057" i="3"/>
  <c r="G2065" i="3"/>
  <c r="G2073" i="3"/>
  <c r="G2081" i="3"/>
  <c r="G2089" i="3"/>
  <c r="G2097" i="3"/>
  <c r="G2105" i="3"/>
  <c r="G2113" i="3"/>
  <c r="G2121" i="3"/>
  <c r="G2129" i="3"/>
  <c r="G2137" i="3"/>
  <c r="G2145" i="3"/>
  <c r="G2153" i="3"/>
  <c r="G2161" i="3"/>
  <c r="G2169" i="3"/>
  <c r="G2177" i="3"/>
  <c r="G2185" i="3"/>
  <c r="G2193" i="3"/>
  <c r="G2201" i="3"/>
  <c r="G2209" i="3"/>
  <c r="G2217" i="3"/>
  <c r="G2226" i="3"/>
  <c r="G2233" i="3"/>
  <c r="G2241" i="3"/>
  <c r="G2249" i="3"/>
  <c r="G2257" i="3"/>
  <c r="G2264" i="3"/>
  <c r="G2273" i="3"/>
  <c r="G2281" i="3"/>
  <c r="G2289" i="3"/>
  <c r="G2297" i="3"/>
  <c r="G2305" i="3"/>
  <c r="G2313" i="3"/>
  <c r="G2321" i="3"/>
  <c r="G2329" i="3"/>
  <c r="G2337" i="3"/>
  <c r="G2345" i="3"/>
  <c r="G2353" i="3"/>
  <c r="G2361" i="3"/>
  <c r="G2369" i="3"/>
  <c r="G2377" i="3"/>
  <c r="G2385" i="3"/>
  <c r="G2393" i="3"/>
  <c r="G2401" i="3"/>
  <c r="G2409" i="3"/>
  <c r="G2417" i="3"/>
  <c r="G2425" i="3"/>
  <c r="G2433" i="3"/>
  <c r="G2441" i="3"/>
  <c r="G2449" i="3"/>
  <c r="G2457" i="3"/>
  <c r="G2465" i="3"/>
  <c r="G2473" i="3"/>
  <c r="G2481" i="3"/>
  <c r="G2490" i="3"/>
  <c r="G2497" i="3"/>
  <c r="G2506" i="3"/>
  <c r="G2513" i="3"/>
  <c r="G2521" i="3"/>
  <c r="G2529" i="3"/>
  <c r="G2537" i="3"/>
  <c r="G2545" i="3"/>
  <c r="G4060" i="3"/>
  <c r="G4068" i="3"/>
  <c r="G4076" i="3"/>
  <c r="G4084" i="3"/>
  <c r="G4092" i="3"/>
  <c r="G4100" i="3"/>
  <c r="G4108" i="3"/>
  <c r="G4116" i="3"/>
  <c r="G4124" i="3"/>
  <c r="G4132" i="3"/>
  <c r="G4140" i="3"/>
  <c r="G4148" i="3"/>
  <c r="G4156" i="3"/>
  <c r="G4164" i="3"/>
  <c r="G4172" i="3"/>
  <c r="G4180" i="3"/>
  <c r="G4188" i="3"/>
  <c r="G4196" i="3"/>
  <c r="G4204" i="3"/>
  <c r="G4211" i="3"/>
  <c r="G4220" i="3"/>
  <c r="G4228" i="3"/>
  <c r="G4236" i="3"/>
  <c r="G4244" i="3"/>
  <c r="G4252" i="3"/>
  <c r="G4260" i="3"/>
  <c r="G4268" i="3"/>
  <c r="G4276" i="3"/>
  <c r="G4284" i="3"/>
  <c r="G4292" i="3"/>
  <c r="G4300" i="3"/>
  <c r="G4308" i="3"/>
  <c r="G4316" i="3"/>
  <c r="G4324" i="3"/>
  <c r="G4332" i="3"/>
  <c r="G4340" i="3"/>
  <c r="G4348" i="3"/>
  <c r="G4356" i="3"/>
  <c r="G4364" i="3"/>
  <c r="G4372" i="3"/>
  <c r="G4380" i="3"/>
  <c r="G4388" i="3"/>
  <c r="G4396" i="3"/>
  <c r="G4404" i="3"/>
  <c r="G4412" i="3"/>
  <c r="G5601" i="3"/>
  <c r="G5609" i="3"/>
  <c r="G5617" i="3"/>
  <c r="G5625" i="3"/>
  <c r="G5633" i="3"/>
  <c r="G5641" i="3"/>
  <c r="G5649" i="3"/>
  <c r="G5657" i="3"/>
  <c r="G5665" i="3"/>
  <c r="G5673" i="3"/>
  <c r="G5681" i="3"/>
  <c r="G5689" i="3"/>
  <c r="G5697" i="3"/>
  <c r="G5705" i="3"/>
  <c r="G5713" i="3"/>
  <c r="G5721" i="3"/>
  <c r="G5729" i="3"/>
  <c r="G5737" i="3"/>
  <c r="G5745" i="3"/>
  <c r="G5753" i="3"/>
  <c r="G5761" i="3"/>
  <c r="G5769" i="3"/>
  <c r="G5777" i="3"/>
  <c r="G5785" i="3"/>
  <c r="G5793" i="3"/>
  <c r="G5801" i="3"/>
  <c r="G5809" i="3"/>
  <c r="G5817" i="3"/>
  <c r="G5825" i="3"/>
  <c r="G5833" i="3"/>
  <c r="G5841" i="3"/>
  <c r="G5849" i="3"/>
  <c r="G5857" i="3"/>
  <c r="G5865" i="3"/>
  <c r="G5873" i="3"/>
  <c r="G5881" i="3"/>
  <c r="G5889" i="3"/>
  <c r="G5897" i="3"/>
  <c r="G5905" i="3"/>
  <c r="G5913" i="3"/>
  <c r="G5921" i="3"/>
  <c r="G5929" i="3"/>
  <c r="G5937" i="3"/>
  <c r="G5945" i="3"/>
  <c r="G5953" i="3"/>
  <c r="G5961" i="3"/>
  <c r="G5969" i="3"/>
  <c r="G5977" i="3"/>
  <c r="G5985" i="3"/>
  <c r="G5993" i="3"/>
  <c r="G6001" i="3"/>
  <c r="G6009" i="3"/>
  <c r="G6017" i="3"/>
  <c r="G6025" i="3"/>
  <c r="G6033" i="3"/>
  <c r="G6041" i="3"/>
  <c r="G6049" i="3"/>
  <c r="G6057" i="3"/>
  <c r="G6064" i="3"/>
  <c r="G6073" i="3"/>
  <c r="G6081" i="3"/>
  <c r="G6089" i="3"/>
  <c r="G6097" i="3"/>
  <c r="G6105" i="3"/>
  <c r="G6113" i="3"/>
  <c r="G6121" i="3"/>
  <c r="G6128" i="3"/>
  <c r="G6137" i="3"/>
  <c r="G6145" i="3"/>
  <c r="G6153" i="3"/>
  <c r="G6161" i="3"/>
  <c r="G6169" i="3"/>
  <c r="G6177" i="3"/>
  <c r="G6185" i="3"/>
  <c r="G6193" i="3"/>
  <c r="G6200" i="3"/>
  <c r="G6209" i="3"/>
  <c r="G6217" i="3"/>
  <c r="G6225" i="3"/>
  <c r="G6233" i="3"/>
  <c r="G6241" i="3"/>
  <c r="G6249" i="3"/>
  <c r="G6257" i="3"/>
  <c r="G6265" i="3"/>
  <c r="G6273" i="3"/>
  <c r="G6281" i="3"/>
  <c r="G6289" i="3"/>
  <c r="G6297" i="3"/>
  <c r="G6305" i="3"/>
  <c r="G6313" i="3"/>
  <c r="G6321" i="3"/>
  <c r="G6329" i="3"/>
  <c r="G6337" i="3"/>
  <c r="G6345" i="3"/>
  <c r="G6353" i="3"/>
  <c r="G6361" i="3"/>
  <c r="G6369" i="3"/>
  <c r="G6377" i="3"/>
  <c r="G6385" i="3"/>
  <c r="G6393" i="3"/>
  <c r="G6401" i="3"/>
  <c r="G6409" i="3"/>
  <c r="G6417" i="3"/>
  <c r="G6425" i="3"/>
  <c r="G6433" i="3"/>
  <c r="G6441" i="3"/>
  <c r="G6449" i="3"/>
  <c r="G6457" i="3"/>
  <c r="G6465" i="3"/>
  <c r="G6473" i="3"/>
  <c r="G6481" i="3"/>
  <c r="G6489" i="3"/>
  <c r="G6497" i="3"/>
  <c r="G6505" i="3"/>
  <c r="G6513" i="3"/>
  <c r="G6521" i="3"/>
  <c r="G6529" i="3"/>
  <c r="G6537" i="3"/>
  <c r="G6545" i="3"/>
  <c r="G6552" i="3"/>
  <c r="G6561" i="3"/>
  <c r="G6569" i="3"/>
  <c r="G6577" i="3"/>
  <c r="G6585" i="3"/>
  <c r="G6593" i="3"/>
  <c r="G6601" i="3"/>
  <c r="G4757" i="3"/>
  <c r="G4749" i="3"/>
  <c r="G4742" i="3"/>
  <c r="G4733" i="3"/>
  <c r="G4725" i="3"/>
  <c r="G4716" i="3"/>
  <c r="G4709" i="3"/>
  <c r="G4701" i="3"/>
  <c r="G4693" i="3"/>
  <c r="G4684" i="3"/>
  <c r="G4677" i="3"/>
  <c r="G4670" i="3"/>
  <c r="G4661" i="3"/>
  <c r="G4653" i="3"/>
  <c r="G4645" i="3"/>
  <c r="G4637" i="3"/>
  <c r="G4629" i="3"/>
  <c r="G4622" i="3"/>
  <c r="G4613" i="3"/>
  <c r="G4605" i="3"/>
  <c r="G4597" i="3"/>
  <c r="G4589" i="3"/>
  <c r="G4581" i="3"/>
  <c r="G4573" i="3"/>
  <c r="G4565" i="3"/>
  <c r="G4557" i="3"/>
  <c r="G4549" i="3"/>
  <c r="G4541" i="3"/>
  <c r="G4533" i="3"/>
  <c r="G4524" i="3"/>
  <c r="G4517" i="3"/>
  <c r="G4509" i="3"/>
  <c r="G4501" i="3"/>
  <c r="G4493" i="3"/>
  <c r="G4485" i="3"/>
  <c r="G4477" i="3"/>
  <c r="G4469" i="3"/>
  <c r="G4461" i="3"/>
  <c r="G4453" i="3"/>
  <c r="G4445" i="3"/>
  <c r="G4437" i="3"/>
  <c r="G4429" i="3"/>
  <c r="G4421" i="3"/>
  <c r="G303" i="3"/>
  <c r="G277" i="3"/>
  <c r="G285" i="3"/>
  <c r="G293" i="3"/>
  <c r="G301" i="3"/>
  <c r="G8" i="3"/>
  <c r="G16" i="3"/>
  <c r="G24" i="3"/>
  <c r="G32" i="3"/>
  <c r="G40" i="3"/>
  <c r="G48" i="3"/>
  <c r="G56" i="3"/>
  <c r="G64" i="3"/>
  <c r="G72" i="3"/>
  <c r="G80" i="3"/>
  <c r="G88" i="3"/>
  <c r="G96" i="3"/>
  <c r="G104" i="3"/>
  <c r="G112" i="3"/>
  <c r="G120" i="3"/>
  <c r="G128" i="3"/>
  <c r="G136" i="3"/>
  <c r="G144" i="3"/>
  <c r="G152" i="3"/>
  <c r="G160" i="3"/>
  <c r="G168" i="3"/>
  <c r="G176" i="3"/>
  <c r="G184" i="3"/>
  <c r="G192" i="3"/>
  <c r="G200" i="3"/>
  <c r="G208" i="3"/>
  <c r="G216" i="3"/>
  <c r="G224" i="3"/>
  <c r="G232" i="3"/>
  <c r="G240" i="3"/>
  <c r="G248" i="3"/>
  <c r="G256" i="3"/>
  <c r="G264" i="3"/>
  <c r="G437" i="3"/>
  <c r="G314" i="3"/>
  <c r="G322" i="3"/>
  <c r="G330" i="3"/>
  <c r="G338" i="3"/>
  <c r="G346" i="3"/>
  <c r="G354" i="3"/>
  <c r="G362" i="3"/>
  <c r="G370" i="3"/>
  <c r="G378" i="3"/>
  <c r="G386" i="3"/>
  <c r="G394" i="3"/>
  <c r="G402" i="3"/>
  <c r="G410" i="3"/>
  <c r="G418" i="3"/>
  <c r="G426" i="3"/>
  <c r="G434" i="3"/>
  <c r="G442" i="3"/>
  <c r="G450" i="3"/>
  <c r="G458" i="3"/>
  <c r="G466" i="3"/>
  <c r="G474" i="3"/>
  <c r="G482" i="3"/>
  <c r="G490" i="3"/>
  <c r="G498" i="3"/>
  <c r="G506" i="3"/>
  <c r="G514" i="3"/>
  <c r="G522" i="3"/>
  <c r="G530" i="3"/>
  <c r="G538" i="3"/>
  <c r="G546" i="3"/>
  <c r="G554" i="3"/>
  <c r="G562" i="3"/>
  <c r="G570" i="3"/>
  <c r="G578" i="3"/>
  <c r="G586" i="3"/>
  <c r="G594" i="3"/>
  <c r="G602" i="3"/>
  <c r="G610" i="3"/>
  <c r="G618" i="3"/>
  <c r="G626" i="3"/>
  <c r="G634" i="3"/>
  <c r="G642" i="3"/>
  <c r="G650" i="3"/>
  <c r="G658" i="3"/>
  <c r="G666" i="3"/>
  <c r="G674" i="3"/>
  <c r="G682" i="3"/>
  <c r="G690" i="3"/>
  <c r="G698" i="3"/>
  <c r="G706" i="3"/>
  <c r="G714" i="3"/>
  <c r="G722" i="3"/>
  <c r="G732" i="3"/>
  <c r="G738" i="3"/>
  <c r="G746" i="3"/>
  <c r="G754" i="3"/>
  <c r="G762" i="3"/>
  <c r="G770" i="3"/>
  <c r="G778" i="3"/>
  <c r="G785" i="3"/>
  <c r="G794" i="3"/>
  <c r="G803" i="3"/>
  <c r="G810" i="3"/>
  <c r="G818" i="3"/>
  <c r="G826" i="3"/>
  <c r="G834" i="3"/>
  <c r="G842" i="3"/>
  <c r="G850" i="3"/>
  <c r="G858" i="3"/>
  <c r="G866" i="3"/>
  <c r="G874" i="3"/>
  <c r="G882" i="3"/>
  <c r="G890" i="3"/>
  <c r="G898" i="3"/>
  <c r="G906" i="3"/>
  <c r="G914" i="3"/>
  <c r="G922" i="3"/>
  <c r="G930" i="3"/>
  <c r="G938" i="3"/>
  <c r="G946" i="3"/>
  <c r="G954" i="3"/>
  <c r="G962" i="3"/>
  <c r="G970" i="3"/>
  <c r="G978" i="3"/>
  <c r="G986" i="3"/>
  <c r="G994" i="3"/>
  <c r="G1002" i="3"/>
  <c r="G1010" i="3"/>
  <c r="G1018" i="3"/>
  <c r="G1026" i="3"/>
  <c r="G1034" i="3"/>
  <c r="G1042" i="3"/>
  <c r="G1050" i="3"/>
  <c r="G1058" i="3"/>
  <c r="G1066" i="3"/>
  <c r="G1074" i="3"/>
  <c r="G1083" i="3"/>
  <c r="G1090" i="3"/>
  <c r="G1098" i="3"/>
  <c r="G1106" i="3"/>
  <c r="G1114" i="3"/>
  <c r="G1122" i="3"/>
  <c r="G1130" i="3"/>
  <c r="G1138" i="3"/>
  <c r="G1146" i="3"/>
  <c r="G1154" i="3"/>
  <c r="G1162" i="3"/>
  <c r="G1170" i="3"/>
  <c r="G1178" i="3"/>
  <c r="G1186" i="3"/>
  <c r="G1194" i="3"/>
  <c r="G1202" i="3"/>
  <c r="G1210" i="3"/>
  <c r="G1218" i="3"/>
  <c r="G1226" i="3"/>
  <c r="G1234" i="3"/>
  <c r="G1242" i="3"/>
  <c r="G1250" i="3"/>
  <c r="G1258" i="3"/>
  <c r="G1267" i="3"/>
  <c r="G1274" i="3"/>
  <c r="G1282" i="3"/>
  <c r="G1290" i="3"/>
  <c r="G1298" i="3"/>
  <c r="G1306" i="3"/>
  <c r="G1314" i="3"/>
  <c r="G1322" i="3"/>
  <c r="G1330" i="3"/>
  <c r="G1338" i="3"/>
  <c r="G1346" i="3"/>
  <c r="G1354" i="3"/>
  <c r="G1362" i="3"/>
  <c r="G1371" i="3"/>
  <c r="G1378" i="3"/>
  <c r="G1386" i="3"/>
  <c r="G1394" i="3"/>
  <c r="G1402" i="3"/>
  <c r="G1410" i="3"/>
  <c r="G1418" i="3"/>
  <c r="G1426" i="3"/>
  <c r="G1434" i="3"/>
  <c r="G1442" i="3"/>
  <c r="G1450" i="3"/>
  <c r="G1458" i="3"/>
  <c r="G1466" i="3"/>
  <c r="G1474" i="3"/>
  <c r="G1482" i="3"/>
  <c r="G1490" i="3"/>
  <c r="G1499" i="3"/>
  <c r="G1506" i="3"/>
  <c r="G1514" i="3"/>
  <c r="G1522" i="3"/>
  <c r="G1530" i="3"/>
  <c r="G1538" i="3"/>
  <c r="G1546" i="3"/>
  <c r="G1554" i="3"/>
  <c r="G1562" i="3"/>
  <c r="G1570" i="3"/>
  <c r="G1577" i="3"/>
  <c r="G1586" i="3"/>
  <c r="G1594" i="3"/>
  <c r="G1602" i="3"/>
  <c r="G1610" i="3"/>
  <c r="G1618" i="3"/>
  <c r="G1626" i="3"/>
  <c r="G1634" i="3"/>
  <c r="G1642" i="3"/>
  <c r="G1650" i="3"/>
  <c r="G1658" i="3"/>
  <c r="G1666" i="3"/>
  <c r="G1674" i="3"/>
  <c r="G1682" i="3"/>
  <c r="G1690" i="3"/>
  <c r="G1698" i="3"/>
  <c r="G1706" i="3"/>
  <c r="G1714" i="3"/>
  <c r="G1722" i="3"/>
  <c r="G1730" i="3"/>
  <c r="G1738" i="3"/>
  <c r="G1746" i="3"/>
  <c r="G1754" i="3"/>
  <c r="G1762" i="3"/>
  <c r="G1770" i="3"/>
  <c r="G1778" i="3"/>
  <c r="G1786" i="3"/>
  <c r="G1794" i="3"/>
  <c r="G1802" i="3"/>
  <c r="G1810" i="3"/>
  <c r="G1818" i="3"/>
  <c r="G1826" i="3"/>
  <c r="G1834" i="3"/>
  <c r="G1842" i="3"/>
  <c r="G1850" i="3"/>
  <c r="G1858" i="3"/>
  <c r="G1866" i="3"/>
  <c r="G1874" i="3"/>
  <c r="G1882" i="3"/>
  <c r="G1890" i="3"/>
  <c r="G1898" i="3"/>
  <c r="G1906" i="3"/>
  <c r="G1914" i="3"/>
  <c r="G1922" i="3"/>
  <c r="G1930" i="3"/>
  <c r="G1938" i="3"/>
  <c r="G1946" i="3"/>
  <c r="G1954" i="3"/>
  <c r="G1962" i="3"/>
  <c r="G1970" i="3"/>
  <c r="G1978" i="3"/>
  <c r="G1986" i="3"/>
  <c r="G1994" i="3"/>
  <c r="G2002" i="3"/>
  <c r="G2010" i="3"/>
  <c r="G2018" i="3"/>
  <c r="G2026" i="3"/>
  <c r="G2034" i="3"/>
  <c r="G2042" i="3"/>
  <c r="G2050" i="3"/>
  <c r="G2058" i="3"/>
  <c r="G2066" i="3"/>
  <c r="G2074" i="3"/>
  <c r="G2082" i="3"/>
  <c r="G2090" i="3"/>
  <c r="G2098" i="3"/>
  <c r="G2106" i="3"/>
  <c r="G2114" i="3"/>
  <c r="G2122" i="3"/>
  <c r="G2131" i="3"/>
  <c r="G2138" i="3"/>
  <c r="G2146" i="3"/>
  <c r="G2154" i="3"/>
  <c r="G2162" i="3"/>
  <c r="G2171" i="3"/>
  <c r="G2178" i="3"/>
  <c r="G2186" i="3"/>
  <c r="G2194" i="3"/>
  <c r="G2202" i="3"/>
  <c r="G2210" i="3"/>
  <c r="G2218" i="3"/>
  <c r="G2225" i="3"/>
  <c r="G2234" i="3"/>
  <c r="G2242" i="3"/>
  <c r="G2250" i="3"/>
  <c r="G2258" i="3"/>
  <c r="G2266" i="3"/>
  <c r="G2274" i="3"/>
  <c r="G2282" i="3"/>
  <c r="G2290" i="3"/>
  <c r="G2298" i="3"/>
  <c r="G2306" i="3"/>
  <c r="G2314" i="3"/>
  <c r="G2322" i="3"/>
  <c r="G2330" i="3"/>
  <c r="G2338" i="3"/>
  <c r="G2346" i="3"/>
  <c r="G2354" i="3"/>
  <c r="G2362" i="3"/>
  <c r="G2370" i="3"/>
  <c r="G2378" i="3"/>
  <c r="G2386" i="3"/>
  <c r="G2394" i="3"/>
  <c r="G2402" i="3"/>
  <c r="G2410" i="3"/>
  <c r="G2418" i="3"/>
  <c r="G2426" i="3"/>
  <c r="G2434" i="3"/>
  <c r="G2442" i="3"/>
  <c r="G2450" i="3"/>
  <c r="G2458" i="3"/>
  <c r="G2466" i="3"/>
  <c r="G2474" i="3"/>
  <c r="G2482" i="3"/>
  <c r="G2489" i="3"/>
  <c r="G2498" i="3"/>
  <c r="G2505" i="3"/>
  <c r="G2514" i="3"/>
  <c r="G2522" i="3"/>
  <c r="G2530" i="3"/>
  <c r="G2538" i="3"/>
  <c r="G4280" i="3"/>
  <c r="G4061" i="3"/>
  <c r="G4069" i="3"/>
  <c r="G4077" i="3"/>
  <c r="G4085" i="3"/>
  <c r="G4093" i="3"/>
  <c r="G4101" i="3"/>
  <c r="G4109" i="3"/>
  <c r="G4117" i="3"/>
  <c r="G4125" i="3"/>
  <c r="G4133" i="3"/>
  <c r="G4141" i="3"/>
  <c r="G4149" i="3"/>
  <c r="G4157" i="3"/>
  <c r="G4165" i="3"/>
  <c r="G4173" i="3"/>
  <c r="G4181" i="3"/>
  <c r="G4189" i="3"/>
  <c r="G4197" i="3"/>
  <c r="G4205" i="3"/>
  <c r="G4213" i="3"/>
  <c r="G4221" i="3"/>
  <c r="G4229" i="3"/>
  <c r="G4237" i="3"/>
  <c r="G4245" i="3"/>
  <c r="G4253" i="3"/>
  <c r="G4262" i="3"/>
  <c r="G4269" i="3"/>
  <c r="G4277" i="3"/>
  <c r="G4285" i="3"/>
  <c r="G4293" i="3"/>
  <c r="G4301" i="3"/>
  <c r="G4309" i="3"/>
  <c r="G4317" i="3"/>
  <c r="G4325" i="3"/>
  <c r="G4333" i="3"/>
  <c r="G4341" i="3"/>
  <c r="G4349" i="3"/>
  <c r="G4357" i="3"/>
  <c r="G4365" i="3"/>
  <c r="G4373" i="3"/>
  <c r="G4381" i="3"/>
  <c r="G4389" i="3"/>
  <c r="G4397" i="3"/>
  <c r="G4405" i="3"/>
  <c r="G4413" i="3"/>
  <c r="G5602" i="3"/>
  <c r="G5610" i="3"/>
  <c r="G5618" i="3"/>
  <c r="G5626" i="3"/>
  <c r="G5634" i="3"/>
  <c r="G5642" i="3"/>
  <c r="G5650" i="3"/>
  <c r="G5658" i="3"/>
  <c r="G5666" i="3"/>
  <c r="G5674" i="3"/>
  <c r="G5682" i="3"/>
  <c r="G5690" i="3"/>
  <c r="G5698" i="3"/>
  <c r="G5706" i="3"/>
  <c r="G5714" i="3"/>
  <c r="G5722" i="3"/>
  <c r="G5730" i="3"/>
  <c r="G5738" i="3"/>
  <c r="G5746" i="3"/>
  <c r="G5754" i="3"/>
  <c r="G5762" i="3"/>
  <c r="G5770" i="3"/>
  <c r="G5778" i="3"/>
  <c r="G5786" i="3"/>
  <c r="G5794" i="3"/>
  <c r="G5802" i="3"/>
  <c r="G5810" i="3"/>
  <c r="G5818" i="3"/>
  <c r="G5826" i="3"/>
  <c r="G5834" i="3"/>
  <c r="G5842" i="3"/>
  <c r="G5850" i="3"/>
  <c r="G5858" i="3"/>
  <c r="G5866" i="3"/>
  <c r="G5874" i="3"/>
  <c r="G5882" i="3"/>
  <c r="G5890" i="3"/>
  <c r="G5898" i="3"/>
  <c r="G5906" i="3"/>
  <c r="G5914" i="3"/>
  <c r="G5922" i="3"/>
  <c r="G5930" i="3"/>
  <c r="G5938" i="3"/>
  <c r="G5946" i="3"/>
  <c r="G5954" i="3"/>
  <c r="G5962" i="3"/>
  <c r="G5970" i="3"/>
  <c r="G5978" i="3"/>
  <c r="G5986" i="3"/>
  <c r="G5994" i="3"/>
  <c r="G6002" i="3"/>
  <c r="G6010" i="3"/>
  <c r="G6018" i="3"/>
  <c r="G6026" i="3"/>
  <c r="G6034" i="3"/>
  <c r="G6042" i="3"/>
  <c r="G6050" i="3"/>
  <c r="G6058" i="3"/>
  <c r="G6066" i="3"/>
  <c r="G6074" i="3"/>
  <c r="G6082" i="3"/>
  <c r="G6090" i="3"/>
  <c r="G6098" i="3"/>
  <c r="G6106" i="3"/>
  <c r="G6114" i="3"/>
  <c r="G6122" i="3"/>
  <c r="G6131" i="3"/>
  <c r="G6138" i="3"/>
  <c r="G6146" i="3"/>
  <c r="G6154" i="3"/>
  <c r="G6162" i="3"/>
  <c r="G6170" i="3"/>
  <c r="G6178" i="3"/>
  <c r="G6186" i="3"/>
  <c r="G6194" i="3"/>
  <c r="G6202" i="3"/>
  <c r="G6210" i="3"/>
  <c r="G6218" i="3"/>
  <c r="G6226" i="3"/>
  <c r="G6234" i="3"/>
  <c r="G6242" i="3"/>
  <c r="G6250" i="3"/>
  <c r="G6258" i="3"/>
  <c r="G6266" i="3"/>
  <c r="G6274" i="3"/>
  <c r="G6282" i="3"/>
  <c r="G6290" i="3"/>
  <c r="G6298" i="3"/>
  <c r="G6306" i="3"/>
  <c r="G6314" i="3"/>
  <c r="G6322" i="3"/>
  <c r="G6330" i="3"/>
  <c r="G6338" i="3"/>
  <c r="G6346" i="3"/>
  <c r="G6354" i="3"/>
  <c r="G6362" i="3"/>
  <c r="G6370" i="3"/>
  <c r="G6378" i="3"/>
  <c r="G6386" i="3"/>
  <c r="G6394" i="3"/>
  <c r="G6402" i="3"/>
  <c r="G6410" i="3"/>
  <c r="G6418" i="3"/>
  <c r="G6426" i="3"/>
  <c r="G6434" i="3"/>
  <c r="G6443" i="3"/>
  <c r="G6450" i="3"/>
  <c r="G6458" i="3"/>
  <c r="G6466" i="3"/>
  <c r="G6474" i="3"/>
  <c r="G6482" i="3"/>
  <c r="G6490" i="3"/>
  <c r="G6498" i="3"/>
  <c r="G6506" i="3"/>
  <c r="G6514" i="3"/>
  <c r="G6522" i="3"/>
  <c r="G6530" i="3"/>
  <c r="G6538" i="3"/>
  <c r="G6546" i="3"/>
  <c r="G6554" i="3"/>
  <c r="G6562" i="3"/>
  <c r="G5076" i="3"/>
  <c r="G5068" i="3"/>
  <c r="G5059" i="3"/>
  <c r="G5052" i="3"/>
  <c r="G5044" i="3"/>
  <c r="G5036" i="3"/>
  <c r="G5028" i="3"/>
  <c r="G5019" i="3"/>
  <c r="G5012" i="3"/>
  <c r="G5005" i="3"/>
  <c r="G4997" i="3"/>
  <c r="G4988" i="3"/>
  <c r="G4981" i="3"/>
  <c r="G4973" i="3"/>
  <c r="G4964" i="3"/>
  <c r="G4957" i="3"/>
  <c r="G4948" i="3"/>
  <c r="G4940" i="3"/>
  <c r="G4933" i="3"/>
  <c r="G4924" i="3"/>
  <c r="G4916" i="3"/>
  <c r="G4908" i="3"/>
  <c r="G4900" i="3"/>
  <c r="G4893" i="3"/>
  <c r="G4884" i="3"/>
  <c r="G4876" i="3"/>
  <c r="G4871" i="3"/>
  <c r="G4860" i="3"/>
  <c r="G4852" i="3"/>
  <c r="G4843" i="3"/>
  <c r="G4837" i="3"/>
  <c r="G4828" i="3"/>
  <c r="G4820" i="3"/>
  <c r="G4812" i="3"/>
  <c r="G4805" i="3"/>
  <c r="G4796" i="3"/>
  <c r="G4788" i="3"/>
  <c r="G4780" i="3"/>
  <c r="G4772" i="3"/>
  <c r="G4764" i="3"/>
  <c r="G4756" i="3"/>
  <c r="G4748" i="3"/>
  <c r="G4739" i="3"/>
  <c r="G4732" i="3"/>
  <c r="G4724" i="3"/>
  <c r="G4717" i="3"/>
  <c r="G4708" i="3"/>
  <c r="G4700" i="3"/>
  <c r="G4692" i="3"/>
  <c r="G4685" i="3"/>
  <c r="G4676" i="3"/>
  <c r="G4668" i="3"/>
  <c r="G4660" i="3"/>
  <c r="G4652" i="3"/>
  <c r="G4644" i="3"/>
  <c r="G4636" i="3"/>
  <c r="G4628" i="3"/>
  <c r="G4620" i="3"/>
  <c r="G4612" i="3"/>
  <c r="G4604" i="3"/>
  <c r="G4596" i="3"/>
  <c r="G4588" i="3"/>
  <c r="G4580" i="3"/>
  <c r="G4572" i="3"/>
  <c r="G4564" i="3"/>
  <c r="G4556" i="3"/>
  <c r="G4548" i="3"/>
  <c r="G4540" i="3"/>
  <c r="G4532" i="3"/>
  <c r="G4525" i="3"/>
  <c r="G4516" i="3"/>
  <c r="G4508" i="3"/>
  <c r="G4500" i="3"/>
  <c r="G4492" i="3"/>
  <c r="G4484" i="3"/>
  <c r="G4476" i="3"/>
  <c r="G4468" i="3"/>
  <c r="G4460" i="3"/>
  <c r="G4452" i="3"/>
  <c r="G4444" i="3"/>
  <c r="G4436" i="3"/>
  <c r="G4428" i="3"/>
  <c r="G4420" i="3"/>
  <c r="G304" i="3"/>
  <c r="G278" i="3"/>
  <c r="G286" i="3"/>
  <c r="G294" i="3"/>
  <c r="G302" i="3"/>
  <c r="G9" i="3"/>
  <c r="G17" i="3"/>
  <c r="G25" i="3"/>
  <c r="G33" i="3"/>
  <c r="G41" i="3"/>
  <c r="G49" i="3"/>
  <c r="G57" i="3"/>
  <c r="G65" i="3"/>
  <c r="G73" i="3"/>
  <c r="G81" i="3"/>
  <c r="G89" i="3"/>
  <c r="G97" i="3"/>
  <c r="G105" i="3"/>
  <c r="G113" i="3"/>
  <c r="G121" i="3"/>
  <c r="G129" i="3"/>
  <c r="G137" i="3"/>
  <c r="G145" i="3"/>
  <c r="G153" i="3"/>
  <c r="G161" i="3"/>
  <c r="G169" i="3"/>
  <c r="G177" i="3"/>
  <c r="G185" i="3"/>
  <c r="G193" i="3"/>
  <c r="G201" i="3"/>
  <c r="G209" i="3"/>
  <c r="G217" i="3"/>
  <c r="G225" i="3"/>
  <c r="G233" i="3"/>
  <c r="G241" i="3"/>
  <c r="G249" i="3"/>
  <c r="G257" i="3"/>
  <c r="G266" i="3"/>
  <c r="G307" i="3"/>
  <c r="G315" i="3"/>
  <c r="G323" i="3"/>
  <c r="G331" i="3"/>
  <c r="G339" i="3"/>
  <c r="G347" i="3"/>
  <c r="G355" i="3"/>
  <c r="G363" i="3"/>
  <c r="G371" i="3"/>
  <c r="G379" i="3"/>
  <c r="G387" i="3"/>
  <c r="G395" i="3"/>
  <c r="G403" i="3"/>
  <c r="G411" i="3"/>
  <c r="G419" i="3"/>
  <c r="G427" i="3"/>
  <c r="G435" i="3"/>
  <c r="G443" i="3"/>
  <c r="G451" i="3"/>
  <c r="G459" i="3"/>
  <c r="G467" i="3"/>
  <c r="G475" i="3"/>
  <c r="G483" i="3"/>
  <c r="G491" i="3"/>
  <c r="G499" i="3"/>
  <c r="G507" i="3"/>
  <c r="G515" i="3"/>
  <c r="G523" i="3"/>
  <c r="G531" i="3"/>
  <c r="G539" i="3"/>
  <c r="G547" i="3"/>
  <c r="G555" i="3"/>
  <c r="G563" i="3"/>
  <c r="G571" i="3"/>
  <c r="G579" i="3"/>
  <c r="G587" i="3"/>
  <c r="G595" i="3"/>
  <c r="G603" i="3"/>
  <c r="G611" i="3"/>
  <c r="G619" i="3"/>
  <c r="G627" i="3"/>
  <c r="G635" i="3"/>
  <c r="G643" i="3"/>
  <c r="G651" i="3"/>
  <c r="G659" i="3"/>
  <c r="G667" i="3"/>
  <c r="G675" i="3"/>
  <c r="G683" i="3"/>
  <c r="G691" i="3"/>
  <c r="G699" i="3"/>
  <c r="G707" i="3"/>
  <c r="G715" i="3"/>
  <c r="G723" i="3"/>
  <c r="G731" i="3"/>
  <c r="G739" i="3"/>
  <c r="G747" i="3"/>
  <c r="G755" i="3"/>
  <c r="G763" i="3"/>
  <c r="G771" i="3"/>
  <c r="G779" i="3"/>
  <c r="G787" i="3"/>
  <c r="G795" i="3"/>
  <c r="G802" i="3"/>
  <c r="G811" i="3"/>
  <c r="G819" i="3"/>
  <c r="G827" i="3"/>
  <c r="G835" i="3"/>
  <c r="G843" i="3"/>
  <c r="G851" i="3"/>
  <c r="G859" i="3"/>
  <c r="G867" i="3"/>
  <c r="G875" i="3"/>
  <c r="G883" i="3"/>
  <c r="G891" i="3"/>
  <c r="G899" i="3"/>
  <c r="G907" i="3"/>
  <c r="G915" i="3"/>
  <c r="G923" i="3"/>
  <c r="G931" i="3"/>
  <c r="G939" i="3"/>
  <c r="G947" i="3"/>
  <c r="G955" i="3"/>
  <c r="G963" i="3"/>
  <c r="G971" i="3"/>
  <c r="G979" i="3"/>
  <c r="G987" i="3"/>
  <c r="G995" i="3"/>
  <c r="G1003" i="3"/>
  <c r="G1011" i="3"/>
  <c r="G1019" i="3"/>
  <c r="G1027" i="3"/>
  <c r="G1035" i="3"/>
  <c r="G1043" i="3"/>
  <c r="G1051" i="3"/>
  <c r="G1060" i="3"/>
  <c r="G1067" i="3"/>
  <c r="G1075" i="3"/>
  <c r="G1082" i="3"/>
  <c r="G1091" i="3"/>
  <c r="G1099" i="3"/>
  <c r="G1107" i="3"/>
  <c r="G1115" i="3"/>
  <c r="G1123" i="3"/>
  <c r="G1131" i="3"/>
  <c r="G1139" i="3"/>
  <c r="G1147" i="3"/>
  <c r="G1156" i="3"/>
  <c r="G1163" i="3"/>
  <c r="G1171" i="3"/>
  <c r="G1179" i="3"/>
  <c r="G1187" i="3"/>
  <c r="G1195" i="3"/>
  <c r="G1203" i="3"/>
  <c r="G1211" i="3"/>
  <c r="G1219" i="3"/>
  <c r="G1228" i="3"/>
  <c r="G1235" i="3"/>
  <c r="G1243" i="3"/>
  <c r="G1251" i="3"/>
  <c r="G1259" i="3"/>
  <c r="G1266" i="3"/>
  <c r="G1275" i="3"/>
  <c r="G1284" i="3"/>
  <c r="G1291" i="3"/>
  <c r="G1299" i="3"/>
  <c r="G1307" i="3"/>
  <c r="G1315" i="3"/>
  <c r="G1323" i="3"/>
  <c r="G1331" i="3"/>
  <c r="G1339" i="3"/>
  <c r="G1347" i="3"/>
  <c r="G1355" i="3"/>
  <c r="G1363" i="3"/>
  <c r="G1370" i="3"/>
  <c r="G1379" i="3"/>
  <c r="G1387" i="3"/>
  <c r="G1395" i="3"/>
  <c r="G1403" i="3"/>
  <c r="G1411" i="3"/>
  <c r="G1419" i="3"/>
  <c r="G1427" i="3"/>
  <c r="G1435" i="3"/>
  <c r="G1443" i="3"/>
  <c r="G1451" i="3"/>
  <c r="G1459" i="3"/>
  <c r="G1467" i="3"/>
  <c r="G1475" i="3"/>
  <c r="G1483" i="3"/>
  <c r="G1491" i="3"/>
  <c r="G1498" i="3"/>
  <c r="G1507" i="3"/>
  <c r="G1515" i="3"/>
  <c r="G1523" i="3"/>
  <c r="G1531" i="3"/>
  <c r="G1539" i="3"/>
  <c r="G1547" i="3"/>
  <c r="G1555" i="3"/>
  <c r="G1563" i="3"/>
  <c r="G1571" i="3"/>
  <c r="G1579" i="3"/>
  <c r="G1587" i="3"/>
  <c r="G1595" i="3"/>
  <c r="G1603" i="3"/>
  <c r="G1611" i="3"/>
  <c r="G1619" i="3"/>
  <c r="G1627" i="3"/>
  <c r="G1635" i="3"/>
  <c r="G1643" i="3"/>
  <c r="G1651" i="3"/>
  <c r="G1659" i="3"/>
  <c r="G1667" i="3"/>
  <c r="G1676" i="3"/>
  <c r="G1683" i="3"/>
  <c r="G1691" i="3"/>
  <c r="G1699" i="3"/>
  <c r="G1707" i="3"/>
  <c r="G1715" i="3"/>
  <c r="G1723" i="3"/>
  <c r="G1731" i="3"/>
  <c r="G1739" i="3"/>
  <c r="G1747" i="3"/>
  <c r="G1755" i="3"/>
  <c r="G1763" i="3"/>
  <c r="G1771" i="3"/>
  <c r="G1779" i="3"/>
  <c r="G1787" i="3"/>
  <c r="G1795" i="3"/>
  <c r="G1803" i="3"/>
  <c r="G1811" i="3"/>
  <c r="G1819" i="3"/>
  <c r="G1827" i="3"/>
  <c r="G1835" i="3"/>
  <c r="G1843" i="3"/>
  <c r="G1852" i="3"/>
  <c r="G1859" i="3"/>
  <c r="G1867" i="3"/>
  <c r="G1875" i="3"/>
  <c r="G1883" i="3"/>
  <c r="G1891" i="3"/>
  <c r="G1899" i="3"/>
  <c r="G1907" i="3"/>
  <c r="G1915" i="3"/>
  <c r="G1923" i="3"/>
  <c r="G1931" i="3"/>
  <c r="G1939" i="3"/>
  <c r="G1947" i="3"/>
  <c r="G1955" i="3"/>
  <c r="G1963" i="3"/>
  <c r="G1971" i="3"/>
  <c r="G1979" i="3"/>
  <c r="G1987" i="3"/>
  <c r="G1995" i="3"/>
  <c r="G2003" i="3"/>
  <c r="G2011" i="3"/>
  <c r="G2019" i="3"/>
  <c r="G2027" i="3"/>
  <c r="G2035" i="3"/>
  <c r="G2043" i="3"/>
  <c r="G2051" i="3"/>
  <c r="G2059" i="3"/>
  <c r="G2067" i="3"/>
  <c r="G2075" i="3"/>
  <c r="G2083" i="3"/>
  <c r="G2091" i="3"/>
  <c r="G2099" i="3"/>
  <c r="G2107" i="3"/>
  <c r="G2115" i="3"/>
  <c r="G2123" i="3"/>
  <c r="G2130" i="3"/>
  <c r="G2139" i="3"/>
  <c r="G2147" i="3"/>
  <c r="G2155" i="3"/>
  <c r="G2163" i="3"/>
  <c r="G2170" i="3"/>
  <c r="G2179" i="3"/>
  <c r="G2187" i="3"/>
  <c r="G2195" i="3"/>
  <c r="G2203" i="3"/>
  <c r="G2211" i="3"/>
  <c r="G2219" i="3"/>
  <c r="G2227" i="3"/>
  <c r="G2235" i="3"/>
  <c r="G2243" i="3"/>
  <c r="G2251" i="3"/>
  <c r="G2259" i="3"/>
  <c r="G2267" i="3"/>
  <c r="G2275" i="3"/>
  <c r="G2283" i="3"/>
  <c r="G2291" i="3"/>
  <c r="G2299" i="3"/>
  <c r="G2307" i="3"/>
  <c r="G2315" i="3"/>
  <c r="G2323" i="3"/>
  <c r="G2331" i="3"/>
  <c r="G2339" i="3"/>
  <c r="G2347" i="3"/>
  <c r="G2355" i="3"/>
  <c r="G2363" i="3"/>
  <c r="G2371" i="3"/>
  <c r="G2379" i="3"/>
  <c r="G2387" i="3"/>
  <c r="G2395" i="3"/>
  <c r="G2403" i="3"/>
  <c r="G2411" i="3"/>
  <c r="G2419" i="3"/>
  <c r="G2427" i="3"/>
  <c r="G2435" i="3"/>
  <c r="G2443" i="3"/>
  <c r="G2451" i="3"/>
  <c r="G2459" i="3"/>
  <c r="G2467" i="3"/>
  <c r="G2476" i="3"/>
  <c r="G2483" i="3"/>
  <c r="G2491" i="3"/>
  <c r="G2499" i="3"/>
  <c r="G2507" i="3"/>
  <c r="G2515" i="3"/>
  <c r="G2523" i="3"/>
  <c r="G2531" i="3"/>
  <c r="G2539" i="3"/>
  <c r="G4054" i="3"/>
  <c r="G4062" i="3"/>
  <c r="G4070" i="3"/>
  <c r="G4078" i="3"/>
  <c r="G4086" i="3"/>
  <c r="G4094" i="3"/>
  <c r="G4102" i="3"/>
  <c r="G4110" i="3"/>
  <c r="G4118" i="3"/>
  <c r="G4126" i="3"/>
  <c r="G4134" i="3"/>
  <c r="G4142" i="3"/>
  <c r="G4150" i="3"/>
  <c r="G4158" i="3"/>
  <c r="G4166" i="3"/>
  <c r="G4174" i="3"/>
  <c r="G4183" i="3"/>
  <c r="G4190" i="3"/>
  <c r="G4198" i="3"/>
  <c r="G4206" i="3"/>
  <c r="G4214" i="3"/>
  <c r="G4222" i="3"/>
  <c r="G4230" i="3"/>
  <c r="G4238" i="3"/>
  <c r="G4246" i="3"/>
  <c r="G4254" i="3"/>
  <c r="G4261" i="3"/>
  <c r="G4270" i="3"/>
  <c r="G4278" i="3"/>
  <c r="G4286" i="3"/>
  <c r="G4294" i="3"/>
  <c r="G4302" i="3"/>
  <c r="G4310" i="3"/>
  <c r="G4318" i="3"/>
  <c r="G4326" i="3"/>
  <c r="G4334" i="3"/>
  <c r="G4342" i="3"/>
  <c r="G4350" i="3"/>
  <c r="G4358" i="3"/>
  <c r="G4366" i="3"/>
  <c r="G4374" i="3"/>
  <c r="G4382" i="3"/>
  <c r="G4390" i="3"/>
  <c r="G4398" i="3"/>
  <c r="G4406" i="3"/>
  <c r="G4414" i="3"/>
  <c r="G5603" i="3"/>
  <c r="G5611" i="3"/>
  <c r="G5619" i="3"/>
  <c r="G5627" i="3"/>
  <c r="G5635" i="3"/>
  <c r="G5643" i="3"/>
  <c r="G5651" i="3"/>
  <c r="G5659" i="3"/>
  <c r="G5667" i="3"/>
  <c r="G5675" i="3"/>
  <c r="G5683" i="3"/>
  <c r="G5691" i="3"/>
  <c r="G5699" i="3"/>
  <c r="G5707" i="3"/>
  <c r="G5715" i="3"/>
  <c r="G5723" i="3"/>
  <c r="G5731" i="3"/>
  <c r="G5739" i="3"/>
  <c r="G5747" i="3"/>
  <c r="G5755" i="3"/>
  <c r="G5763" i="3"/>
  <c r="G5771" i="3"/>
  <c r="G5779" i="3"/>
  <c r="G5787" i="3"/>
  <c r="G5795" i="3"/>
  <c r="G5803" i="3"/>
  <c r="G5811" i="3"/>
  <c r="G5819" i="3"/>
  <c r="G5827" i="3"/>
  <c r="G5835" i="3"/>
  <c r="G5843" i="3"/>
  <c r="G5851" i="3"/>
  <c r="G5859" i="3"/>
  <c r="G5867" i="3"/>
  <c r="G5875" i="3"/>
  <c r="G5883" i="3"/>
  <c r="G5891" i="3"/>
  <c r="G5899" i="3"/>
  <c r="G5907" i="3"/>
  <c r="G5915" i="3"/>
  <c r="G5923" i="3"/>
  <c r="G5931" i="3"/>
  <c r="G5939" i="3"/>
  <c r="G5947" i="3"/>
  <c r="G5955" i="3"/>
  <c r="G5963" i="3"/>
  <c r="G5971" i="3"/>
  <c r="G5979" i="3"/>
  <c r="G5987" i="3"/>
  <c r="G5995" i="3"/>
  <c r="G6003" i="3"/>
  <c r="G6011" i="3"/>
  <c r="G6019" i="3"/>
  <c r="G6027" i="3"/>
  <c r="G6035" i="3"/>
  <c r="G6043" i="3"/>
  <c r="G6051" i="3"/>
  <c r="G6059" i="3"/>
  <c r="G6067" i="3"/>
  <c r="G6075" i="3"/>
  <c r="G6083" i="3"/>
  <c r="G6091" i="3"/>
  <c r="G6099" i="3"/>
  <c r="G6107" i="3"/>
  <c r="G6115" i="3"/>
  <c r="G6123" i="3"/>
  <c r="G6130" i="3"/>
  <c r="G6139" i="3"/>
  <c r="G6147" i="3"/>
  <c r="G6155" i="3"/>
  <c r="G6163" i="3"/>
  <c r="G6172" i="3"/>
  <c r="G6179" i="3"/>
  <c r="G6187" i="3"/>
  <c r="G6195" i="3"/>
  <c r="G6204" i="3"/>
  <c r="G6211" i="3"/>
  <c r="G6219" i="3"/>
  <c r="G6227" i="3"/>
  <c r="G6235" i="3"/>
  <c r="G6243" i="3"/>
  <c r="G6251" i="3"/>
  <c r="G6259" i="3"/>
  <c r="G6267" i="3"/>
  <c r="G6275" i="3"/>
  <c r="G6283" i="3"/>
  <c r="G6291" i="3"/>
  <c r="G6299" i="3"/>
  <c r="G6307" i="3"/>
  <c r="G6315" i="3"/>
  <c r="G6323" i="3"/>
  <c r="G6331" i="3"/>
  <c r="G6339" i="3"/>
  <c r="G6347" i="3"/>
  <c r="G6355" i="3"/>
  <c r="G6363" i="3"/>
  <c r="G6371" i="3"/>
  <c r="G6379" i="3"/>
  <c r="G234" i="3"/>
  <c r="G242" i="3"/>
  <c r="G250" i="3"/>
  <c r="G258" i="3"/>
  <c r="G265" i="3"/>
  <c r="G308" i="3"/>
  <c r="G316" i="3"/>
  <c r="G324" i="3"/>
  <c r="G332" i="3"/>
  <c r="G340" i="3"/>
  <c r="G348" i="3"/>
  <c r="G356" i="3"/>
  <c r="G364" i="3"/>
  <c r="G372" i="3"/>
  <c r="G380" i="3"/>
  <c r="G388" i="3"/>
  <c r="G396" i="3"/>
  <c r="G404" i="3"/>
  <c r="G412" i="3"/>
  <c r="G420" i="3"/>
  <c r="G428" i="3"/>
  <c r="G436" i="3"/>
  <c r="G444" i="3"/>
  <c r="G452" i="3"/>
  <c r="G460" i="3"/>
  <c r="G468" i="3"/>
  <c r="G476" i="3"/>
  <c r="G484" i="3"/>
  <c r="G492" i="3"/>
  <c r="G500" i="3"/>
  <c r="G508" i="3"/>
  <c r="G516" i="3"/>
  <c r="G524" i="3"/>
  <c r="G532" i="3"/>
  <c r="G540" i="3"/>
  <c r="G548" i="3"/>
  <c r="G556" i="3"/>
  <c r="G564" i="3"/>
  <c r="G572" i="3"/>
  <c r="G580" i="3"/>
  <c r="G589" i="3"/>
  <c r="G596" i="3"/>
  <c r="G604" i="3"/>
  <c r="G612" i="3"/>
  <c r="G620" i="3"/>
  <c r="G628" i="3"/>
  <c r="G636" i="3"/>
  <c r="G644" i="3"/>
  <c r="G652" i="3"/>
  <c r="G660" i="3"/>
  <c r="G668" i="3"/>
  <c r="G676" i="3"/>
  <c r="G684" i="3"/>
  <c r="G692" i="3"/>
  <c r="G700" i="3"/>
  <c r="G708" i="3"/>
  <c r="G717" i="3"/>
  <c r="G724" i="3"/>
  <c r="G730" i="3"/>
  <c r="G740" i="3"/>
  <c r="G748" i="3"/>
  <c r="G758" i="3"/>
  <c r="G764" i="3"/>
  <c r="G772" i="3"/>
  <c r="G780" i="3"/>
  <c r="G788" i="3"/>
  <c r="G796" i="3"/>
  <c r="G804" i="3"/>
  <c r="G812" i="3"/>
  <c r="G821" i="3"/>
  <c r="G828" i="3"/>
  <c r="G836" i="3"/>
  <c r="G844" i="3"/>
  <c r="G852" i="3"/>
  <c r="G860" i="3"/>
  <c r="G868" i="3"/>
  <c r="G876" i="3"/>
  <c r="G884" i="3"/>
  <c r="G892" i="3"/>
  <c r="G900" i="3"/>
  <c r="G908" i="3"/>
  <c r="G916" i="3"/>
  <c r="G924" i="3"/>
  <c r="G932" i="3"/>
  <c r="G940" i="3"/>
  <c r="G948" i="3"/>
  <c r="G956" i="3"/>
  <c r="G964" i="3"/>
  <c r="G972" i="3"/>
  <c r="G980" i="3"/>
  <c r="G988" i="3"/>
  <c r="G996" i="3"/>
  <c r="G1004" i="3"/>
  <c r="G1012" i="3"/>
  <c r="G1020" i="3"/>
  <c r="G1028" i="3"/>
  <c r="G1036" i="3"/>
  <c r="G1044" i="3"/>
  <c r="G1052" i="3"/>
  <c r="G1059" i="3"/>
  <c r="G1068" i="3"/>
  <c r="G1076" i="3"/>
  <c r="G1084" i="3"/>
  <c r="G1092" i="3"/>
  <c r="G1100" i="3"/>
  <c r="G1108" i="3"/>
  <c r="G1116" i="3"/>
  <c r="G1124" i="3"/>
  <c r="G1132" i="3"/>
  <c r="G1140" i="3"/>
  <c r="G1148" i="3"/>
  <c r="G1155" i="3"/>
  <c r="G1164" i="3"/>
  <c r="G1172" i="3"/>
  <c r="G1180" i="3"/>
  <c r="G1188" i="3"/>
  <c r="G1196" i="3"/>
  <c r="G1204" i="3"/>
  <c r="G1212" i="3"/>
  <c r="G1220" i="3"/>
  <c r="G1227" i="3"/>
  <c r="G1236" i="3"/>
  <c r="G1244" i="3"/>
  <c r="G1252" i="3"/>
  <c r="G1260" i="3"/>
  <c r="G1268" i="3"/>
  <c r="G1276" i="3"/>
  <c r="G1283" i="3"/>
  <c r="G1292" i="3"/>
  <c r="G1301" i="3"/>
  <c r="G1308" i="3"/>
  <c r="G1316" i="3"/>
  <c r="G1324" i="3"/>
  <c r="G1332" i="3"/>
  <c r="G1340" i="3"/>
  <c r="G1348" i="3"/>
  <c r="G1356" i="3"/>
  <c r="G1364" i="3"/>
  <c r="G1372" i="3"/>
  <c r="G1380" i="3"/>
  <c r="G1388" i="3"/>
  <c r="G1396" i="3"/>
  <c r="G1404" i="3"/>
  <c r="G1412" i="3"/>
  <c r="G1420" i="3"/>
  <c r="G1428" i="3"/>
  <c r="G1436" i="3"/>
  <c r="G1444" i="3"/>
  <c r="G1452" i="3"/>
  <c r="G1460" i="3"/>
  <c r="G1468" i="3"/>
  <c r="G1476" i="3"/>
  <c r="G1484" i="3"/>
  <c r="G1492" i="3"/>
  <c r="G1500" i="3"/>
  <c r="G1508" i="3"/>
  <c r="G1516" i="3"/>
  <c r="G1524" i="3"/>
  <c r="G1532" i="3"/>
  <c r="G1540" i="3"/>
  <c r="G1548" i="3"/>
  <c r="G1556" i="3"/>
  <c r="G1564" i="3"/>
  <c r="G1572" i="3"/>
  <c r="G1580" i="3"/>
  <c r="G1588" i="3"/>
  <c r="G1596" i="3"/>
  <c r="G1604" i="3"/>
  <c r="G1612" i="3"/>
  <c r="G1620" i="3"/>
  <c r="G1628" i="3"/>
  <c r="G1636" i="3"/>
  <c r="G1644" i="3"/>
  <c r="G1652" i="3"/>
  <c r="G1660" i="3"/>
  <c r="G1668" i="3"/>
  <c r="G1675" i="3"/>
  <c r="G1684" i="3"/>
  <c r="G1692" i="3"/>
  <c r="G1700" i="3"/>
  <c r="G1708" i="3"/>
  <c r="G1716" i="3"/>
  <c r="G1724" i="3"/>
  <c r="G1732" i="3"/>
  <c r="G1740" i="3"/>
  <c r="G1748" i="3"/>
  <c r="G1756" i="3"/>
  <c r="G1764" i="3"/>
  <c r="G1772" i="3"/>
  <c r="G1780" i="3"/>
  <c r="G1788" i="3"/>
  <c r="G1796" i="3"/>
  <c r="G1804" i="3"/>
  <c r="G1812" i="3"/>
  <c r="G1820" i="3"/>
  <c r="G1828" i="3"/>
  <c r="G1836" i="3"/>
  <c r="G1844" i="3"/>
  <c r="G1851" i="3"/>
  <c r="G1860" i="3"/>
  <c r="G1868" i="3"/>
  <c r="G1876" i="3"/>
  <c r="G1884" i="3"/>
  <c r="G1892" i="3"/>
  <c r="G1900" i="3"/>
  <c r="G1908" i="3"/>
  <c r="G1916" i="3"/>
  <c r="G1925" i="3"/>
  <c r="G1932" i="3"/>
  <c r="G1940" i="3"/>
  <c r="G1948" i="3"/>
  <c r="G1956" i="3"/>
  <c r="G1964" i="3"/>
  <c r="G1972" i="3"/>
  <c r="G1980" i="3"/>
  <c r="G1988" i="3"/>
  <c r="G1996" i="3"/>
  <c r="G2004" i="3"/>
  <c r="G2012" i="3"/>
  <c r="G2020" i="3"/>
  <c r="G2028" i="3"/>
  <c r="G2036" i="3"/>
  <c r="G2044" i="3"/>
  <c r="G2052" i="3"/>
  <c r="G2060" i="3"/>
  <c r="G2068" i="3"/>
  <c r="G2076" i="3"/>
  <c r="G2084" i="3"/>
  <c r="G2092" i="3"/>
  <c r="G2100" i="3"/>
  <c r="G2108" i="3"/>
  <c r="G2116" i="3"/>
  <c r="G2124" i="3"/>
  <c r="G2132" i="3"/>
  <c r="G2140" i="3"/>
  <c r="G2148" i="3"/>
  <c r="G2156" i="3"/>
  <c r="G2164" i="3"/>
  <c r="G2173" i="3"/>
  <c r="G2181" i="3"/>
  <c r="G2188" i="3"/>
  <c r="G2196" i="3"/>
  <c r="G2204" i="3"/>
  <c r="G2212" i="3"/>
  <c r="G2220" i="3"/>
  <c r="G2228" i="3"/>
  <c r="G2236" i="3"/>
  <c r="G2244" i="3"/>
  <c r="G2252" i="3"/>
  <c r="G2260" i="3"/>
  <c r="G2268" i="3"/>
  <c r="G2276" i="3"/>
  <c r="G2284" i="3"/>
  <c r="G2292" i="3"/>
  <c r="G2300" i="3"/>
  <c r="G2308" i="3"/>
  <c r="G2316" i="3"/>
  <c r="G2324" i="3"/>
  <c r="G2332" i="3"/>
  <c r="G2340" i="3"/>
  <c r="G2348" i="3"/>
  <c r="G2356" i="3"/>
  <c r="G2364" i="3"/>
  <c r="G2372" i="3"/>
  <c r="G2380" i="3"/>
  <c r="G2388" i="3"/>
  <c r="G2396" i="3"/>
  <c r="G2404" i="3"/>
  <c r="G2412" i="3"/>
  <c r="G2420" i="3"/>
  <c r="G2428" i="3"/>
  <c r="G2436" i="3"/>
  <c r="G2444" i="3"/>
  <c r="G2452" i="3"/>
  <c r="G2460" i="3"/>
  <c r="G2468" i="3"/>
  <c r="G2475" i="3"/>
  <c r="G2484" i="3"/>
  <c r="G2492" i="3"/>
  <c r="G2500" i="3"/>
  <c r="G2508" i="3"/>
  <c r="G2516" i="3"/>
  <c r="G2524" i="3"/>
  <c r="G2532" i="3"/>
  <c r="G2540" i="3"/>
  <c r="G4055" i="3"/>
  <c r="G4063" i="3"/>
  <c r="G4071" i="3"/>
  <c r="G4079" i="3"/>
  <c r="G4087" i="3"/>
  <c r="G4095" i="3"/>
  <c r="G4103" i="3"/>
  <c r="G4111" i="3"/>
  <c r="G4119" i="3"/>
  <c r="G4127" i="3"/>
  <c r="G4135" i="3"/>
  <c r="G4143" i="3"/>
  <c r="G4151" i="3"/>
  <c r="G4159" i="3"/>
  <c r="G4167" i="3"/>
  <c r="G4175" i="3"/>
  <c r="G4182" i="3"/>
  <c r="G4191" i="3"/>
  <c r="G4199" i="3"/>
  <c r="G4207" i="3"/>
  <c r="G4215" i="3"/>
  <c r="G4223" i="3"/>
  <c r="G4231" i="3"/>
  <c r="G4239" i="3"/>
  <c r="G4247" i="3"/>
  <c r="G4255" i="3"/>
  <c r="G4263" i="3"/>
  <c r="G4271" i="3"/>
  <c r="G4279" i="3"/>
  <c r="G4287" i="3"/>
  <c r="G4295" i="3"/>
  <c r="G4303" i="3"/>
  <c r="G4311" i="3"/>
  <c r="G4319" i="3"/>
  <c r="G4327" i="3"/>
  <c r="G4335" i="3"/>
  <c r="G4343" i="3"/>
  <c r="G4351" i="3"/>
  <c r="G4360" i="3"/>
  <c r="G4367" i="3"/>
  <c r="G4375" i="3"/>
  <c r="G4383" i="3"/>
  <c r="G4391" i="3"/>
  <c r="G4399" i="3"/>
  <c r="G4407" i="3"/>
  <c r="G4415" i="3"/>
  <c r="G5604" i="3"/>
  <c r="G5612" i="3"/>
  <c r="G5620" i="3"/>
  <c r="G5628" i="3"/>
  <c r="G5636" i="3"/>
  <c r="G5644" i="3"/>
  <c r="G5652" i="3"/>
  <c r="G5660" i="3"/>
  <c r="G5668" i="3"/>
  <c r="G5676" i="3"/>
  <c r="G5684" i="3"/>
  <c r="G5692" i="3"/>
  <c r="G5700" i="3"/>
  <c r="G5708" i="3"/>
  <c r="G5716" i="3"/>
  <c r="G5724" i="3"/>
  <c r="G5732" i="3"/>
  <c r="G5740" i="3"/>
  <c r="G5748" i="3"/>
  <c r="G5756" i="3"/>
  <c r="G5764" i="3"/>
  <c r="G5772" i="3"/>
  <c r="G5780" i="3"/>
  <c r="G5788" i="3"/>
  <c r="G5796" i="3"/>
  <c r="G5804" i="3"/>
  <c r="G5812" i="3"/>
  <c r="G5820" i="3"/>
  <c r="G5828" i="3"/>
  <c r="G5836" i="3"/>
  <c r="G5844" i="3"/>
  <c r="G5852" i="3"/>
  <c r="G5860" i="3"/>
  <c r="G5868" i="3"/>
  <c r="G5876" i="3"/>
  <c r="G5884" i="3"/>
  <c r="G5892" i="3"/>
  <c r="G5900" i="3"/>
  <c r="G5908" i="3"/>
  <c r="G5916" i="3"/>
  <c r="G5924" i="3"/>
  <c r="G5932" i="3"/>
  <c r="G5940" i="3"/>
  <c r="G5948" i="3"/>
  <c r="G5956" i="3"/>
  <c r="G5964" i="3"/>
  <c r="G5972" i="3"/>
  <c r="G5980" i="3"/>
  <c r="G5988" i="3"/>
  <c r="G5996" i="3"/>
  <c r="G6004" i="3"/>
  <c r="G6012" i="3"/>
  <c r="G6020" i="3"/>
  <c r="G6028" i="3"/>
  <c r="G6036" i="3"/>
  <c r="G6044" i="3"/>
  <c r="G6052" i="3"/>
  <c r="G6060" i="3"/>
  <c r="G6068" i="3"/>
  <c r="G6076" i="3"/>
  <c r="G6084" i="3"/>
  <c r="G6092" i="3"/>
  <c r="G6100" i="3"/>
  <c r="G6108" i="3"/>
  <c r="G6116" i="3"/>
  <c r="G6124" i="3"/>
  <c r="G6132" i="3"/>
  <c r="G6140" i="3"/>
  <c r="G6148" i="3"/>
  <c r="G6156" i="3"/>
  <c r="G6164" i="3"/>
  <c r="G6171" i="3"/>
  <c r="G6180" i="3"/>
  <c r="G6188" i="3"/>
  <c r="G6196" i="3"/>
  <c r="G6203" i="3"/>
  <c r="G6212" i="3"/>
  <c r="G6220" i="3"/>
  <c r="G6228" i="3"/>
  <c r="G6236" i="3"/>
  <c r="G6244" i="3"/>
  <c r="G6252" i="3"/>
  <c r="G6260" i="3"/>
  <c r="G6268" i="3"/>
  <c r="G6276" i="3"/>
  <c r="G6284" i="3"/>
  <c r="G6292" i="3"/>
  <c r="G6300" i="3"/>
  <c r="G6308" i="3"/>
  <c r="G6316" i="3"/>
  <c r="G6324" i="3"/>
  <c r="G6332" i="3"/>
  <c r="G6340" i="3"/>
  <c r="G6348" i="3"/>
  <c r="G6356" i="3"/>
  <c r="G6364" i="3"/>
  <c r="G6372" i="3"/>
  <c r="G6380" i="3"/>
  <c r="G6388" i="3"/>
  <c r="G6396" i="3"/>
  <c r="G6404" i="3"/>
  <c r="G6412" i="3"/>
  <c r="G6420" i="3"/>
  <c r="G6428" i="3"/>
  <c r="G6436" i="3"/>
  <c r="G6444" i="3"/>
  <c r="G6452" i="3"/>
  <c r="G6460" i="3"/>
  <c r="G6468" i="3"/>
  <c r="G6476" i="3"/>
  <c r="G6484" i="3"/>
  <c r="G6492" i="3"/>
  <c r="G6500" i="3"/>
  <c r="G6508" i="3"/>
  <c r="G6516" i="3"/>
  <c r="G6524" i="3"/>
  <c r="G6532" i="3"/>
  <c r="G6540" i="3"/>
  <c r="G6547" i="3"/>
  <c r="G6556" i="3"/>
  <c r="G6564" i="3"/>
  <c r="G6572" i="3"/>
  <c r="G6580" i="3"/>
  <c r="G6588" i="3"/>
  <c r="G6596" i="3"/>
  <c r="G6604" i="3"/>
  <c r="G6612" i="3"/>
  <c r="G6620" i="3"/>
  <c r="G6628" i="3"/>
  <c r="G6636" i="3"/>
  <c r="G6644" i="3"/>
  <c r="G6652" i="3"/>
  <c r="G6660" i="3"/>
  <c r="G6668" i="3"/>
  <c r="G6676" i="3"/>
  <c r="G6684" i="3"/>
  <c r="G6693" i="3"/>
  <c r="G6700" i="3"/>
  <c r="G6708" i="3"/>
  <c r="G6716" i="3"/>
  <c r="G6724" i="3"/>
  <c r="G6732" i="3"/>
  <c r="G6740" i="3"/>
  <c r="G6748" i="3"/>
  <c r="G6756" i="3"/>
  <c r="G6764" i="3"/>
  <c r="G6772" i="3"/>
  <c r="G6780" i="3"/>
  <c r="G6788" i="3"/>
  <c r="G6796" i="3"/>
  <c r="G6804" i="3"/>
  <c r="G6812" i="3"/>
  <c r="G6820" i="3"/>
  <c r="G6828" i="3"/>
  <c r="G6836" i="3"/>
  <c r="G6844" i="3"/>
  <c r="G6852" i="3"/>
  <c r="G6860" i="3"/>
  <c r="G6868" i="3"/>
  <c r="G6876" i="3"/>
  <c r="G6884" i="3"/>
  <c r="G7180" i="3"/>
  <c r="G6900" i="3"/>
  <c r="G6908" i="3"/>
  <c r="G6916" i="3"/>
  <c r="G6924" i="3"/>
  <c r="G6932" i="3"/>
  <c r="G6940" i="3"/>
  <c r="G6948" i="3"/>
  <c r="G6956" i="3"/>
  <c r="G6964" i="3"/>
  <c r="G6972" i="3"/>
  <c r="G6980" i="3"/>
  <c r="G6988" i="3"/>
  <c r="G6996" i="3"/>
  <c r="G7004" i="3"/>
  <c r="G7012" i="3"/>
  <c r="G7020" i="3"/>
  <c r="G7028" i="3"/>
  <c r="G4915" i="3"/>
  <c r="G4906" i="3"/>
  <c r="G4899" i="3"/>
  <c r="G4891" i="3"/>
  <c r="G4882" i="3"/>
  <c r="G4874" i="3"/>
  <c r="G4866" i="3"/>
  <c r="G4859" i="3"/>
  <c r="G4850" i="3"/>
  <c r="G4842" i="3"/>
  <c r="G4834" i="3"/>
  <c r="G4826" i="3"/>
  <c r="G4818" i="3"/>
  <c r="G4810" i="3"/>
  <c r="G4802" i="3"/>
  <c r="G4794" i="3"/>
  <c r="G4786" i="3"/>
  <c r="G4778" i="3"/>
  <c r="G4771" i="3"/>
  <c r="G4761" i="3"/>
  <c r="G4754" i="3"/>
  <c r="G4746" i="3"/>
  <c r="G4738" i="3"/>
  <c r="G4730" i="3"/>
  <c r="G4722" i="3"/>
  <c r="G4714" i="3"/>
  <c r="G4706" i="3"/>
  <c r="G4698" i="3"/>
  <c r="G4690" i="3"/>
  <c r="G4682" i="3"/>
  <c r="G4674" i="3"/>
  <c r="G4666" i="3"/>
  <c r="G4658" i="3"/>
  <c r="G4650" i="3"/>
  <c r="G4642" i="3"/>
  <c r="G4634" i="3"/>
  <c r="G4626" i="3"/>
  <c r="G4618" i="3"/>
  <c r="G4610" i="3"/>
  <c r="G4602" i="3"/>
  <c r="G4594" i="3"/>
  <c r="G4586" i="3"/>
  <c r="G4578" i="3"/>
  <c r="G4570" i="3"/>
  <c r="G4562" i="3"/>
  <c r="G4554" i="3"/>
  <c r="G4546" i="3"/>
  <c r="G4538" i="3"/>
  <c r="G4530" i="3"/>
  <c r="G4522" i="3"/>
  <c r="G4514" i="3"/>
  <c r="G4506" i="3"/>
  <c r="G4498" i="3"/>
  <c r="G4490" i="3"/>
  <c r="G4482" i="3"/>
  <c r="G4474" i="3"/>
  <c r="G4466" i="3"/>
  <c r="G4458" i="3"/>
  <c r="G4450" i="3"/>
  <c r="G4442" i="3"/>
  <c r="G4434" i="3"/>
  <c r="G4426" i="3"/>
  <c r="G4418" i="3"/>
  <c r="G272" i="3"/>
  <c r="G280" i="3"/>
  <c r="G288" i="3"/>
  <c r="G296" i="3"/>
  <c r="G3" i="3"/>
  <c r="G11" i="3"/>
  <c r="G19" i="3"/>
  <c r="G27" i="3"/>
  <c r="G35" i="3"/>
  <c r="G43" i="3"/>
  <c r="G51" i="3"/>
  <c r="G59" i="3"/>
  <c r="G67" i="3"/>
  <c r="G75" i="3"/>
  <c r="G83" i="3"/>
  <c r="G90" i="3"/>
  <c r="G99" i="3"/>
  <c r="G107" i="3"/>
  <c r="G114" i="3"/>
  <c r="G123" i="3"/>
  <c r="G131" i="3"/>
  <c r="G139" i="3"/>
  <c r="G147" i="3"/>
  <c r="G155" i="3"/>
  <c r="G163" i="3"/>
  <c r="G171" i="3"/>
  <c r="G179" i="3"/>
  <c r="G187" i="3"/>
  <c r="G195" i="3"/>
  <c r="G203" i="3"/>
  <c r="G211" i="3"/>
  <c r="G219" i="3"/>
  <c r="G227" i="3"/>
  <c r="G235" i="3"/>
  <c r="G243" i="3"/>
  <c r="G251" i="3"/>
  <c r="G259" i="3"/>
  <c r="G267" i="3"/>
  <c r="G309" i="3"/>
  <c r="G317" i="3"/>
  <c r="G325" i="3"/>
  <c r="G333" i="3"/>
  <c r="G341" i="3"/>
  <c r="G349" i="3"/>
  <c r="G357" i="3"/>
  <c r="G365" i="3"/>
  <c r="G373" i="3"/>
  <c r="G381" i="3"/>
  <c r="G389" i="3"/>
  <c r="G397" i="3"/>
  <c r="G405" i="3"/>
  <c r="G413" i="3"/>
  <c r="G421" i="3"/>
  <c r="G429" i="3"/>
  <c r="G841" i="3"/>
  <c r="G445" i="3"/>
  <c r="G453" i="3"/>
  <c r="G461" i="3"/>
  <c r="G469" i="3"/>
  <c r="G477" i="3"/>
  <c r="G485" i="3"/>
  <c r="G493" i="3"/>
  <c r="G501" i="3"/>
  <c r="G509" i="3"/>
  <c r="G517" i="3"/>
  <c r="G525" i="3"/>
  <c r="G533" i="3"/>
  <c r="G541" i="3"/>
  <c r="G549" i="3"/>
  <c r="G557" i="3"/>
  <c r="G565" i="3"/>
  <c r="G573" i="3"/>
  <c r="G581" i="3"/>
  <c r="G588" i="3"/>
  <c r="G597" i="3"/>
  <c r="G605" i="3"/>
  <c r="G613" i="3"/>
  <c r="G621" i="3"/>
  <c r="G629" i="3"/>
  <c r="G637" i="3"/>
  <c r="G645" i="3"/>
  <c r="G653" i="3"/>
  <c r="G661" i="3"/>
  <c r="G669" i="3"/>
  <c r="G677" i="3"/>
  <c r="G685" i="3"/>
  <c r="G693" i="3"/>
  <c r="G701" i="3"/>
  <c r="G709" i="3"/>
  <c r="G716" i="3"/>
  <c r="G725" i="3"/>
  <c r="G733" i="3"/>
  <c r="G741" i="3"/>
  <c r="G750" i="3"/>
  <c r="G757" i="3"/>
  <c r="G765" i="3"/>
  <c r="G773" i="3"/>
  <c r="G781" i="3"/>
  <c r="G789" i="3"/>
  <c r="G797" i="3"/>
  <c r="G805" i="3"/>
  <c r="G813" i="3"/>
  <c r="G820" i="3"/>
  <c r="G830" i="3"/>
  <c r="G838" i="3"/>
  <c r="G845" i="3"/>
  <c r="G853" i="3"/>
  <c r="G861" i="3"/>
  <c r="G869" i="3"/>
  <c r="G877" i="3"/>
  <c r="G885" i="3"/>
  <c r="G893" i="3"/>
  <c r="G901" i="3"/>
  <c r="G909" i="3"/>
  <c r="G917" i="3"/>
  <c r="G925" i="3"/>
  <c r="G933" i="3"/>
  <c r="G941" i="3"/>
  <c r="G949" i="3"/>
  <c r="G957" i="3"/>
  <c r="G965" i="3"/>
  <c r="G973" i="3"/>
  <c r="G981" i="3"/>
  <c r="G989" i="3"/>
  <c r="G997" i="3"/>
  <c r="G1005" i="3"/>
  <c r="G1013" i="3"/>
  <c r="G1021" i="3"/>
  <c r="G1029" i="3"/>
  <c r="G1037" i="3"/>
  <c r="G1045" i="3"/>
  <c r="G1053" i="3"/>
  <c r="G1061" i="3"/>
  <c r="G1069" i="3"/>
  <c r="G1077" i="3"/>
  <c r="G1085" i="3"/>
  <c r="G1093" i="3"/>
  <c r="G1101" i="3"/>
  <c r="G1109" i="3"/>
  <c r="G1117" i="3"/>
  <c r="G1125" i="3"/>
  <c r="G1133" i="3"/>
  <c r="G1141" i="3"/>
  <c r="G1149" i="3"/>
  <c r="G1157" i="3"/>
  <c r="G1165" i="3"/>
  <c r="G1173" i="3"/>
  <c r="G1181" i="3"/>
  <c r="G1189" i="3"/>
  <c r="G1197" i="3"/>
  <c r="G1205" i="3"/>
  <c r="G1213" i="3"/>
  <c r="G1221" i="3"/>
  <c r="G1229" i="3"/>
  <c r="G1237" i="3"/>
  <c r="G1245" i="3"/>
  <c r="G1253" i="3"/>
  <c r="G1261" i="3"/>
  <c r="G1269" i="3"/>
  <c r="G1277" i="3"/>
  <c r="G1285" i="3"/>
  <c r="G1293" i="3"/>
  <c r="G1300" i="3"/>
  <c r="G1309" i="3"/>
  <c r="G1317" i="3"/>
  <c r="G1325" i="3"/>
  <c r="G1333" i="3"/>
  <c r="G1341" i="3"/>
  <c r="G1349" i="3"/>
  <c r="G1357" i="3"/>
  <c r="G1365" i="3"/>
  <c r="G1373" i="3"/>
  <c r="G1381" i="3"/>
  <c r="G1389" i="3"/>
  <c r="G1397" i="3"/>
  <c r="G1405" i="3"/>
  <c r="G1413" i="3"/>
  <c r="G1421" i="3"/>
  <c r="G1429" i="3"/>
  <c r="G1437" i="3"/>
  <c r="G1445" i="3"/>
  <c r="G1453" i="3"/>
  <c r="G1461" i="3"/>
  <c r="G1469" i="3"/>
  <c r="G1477" i="3"/>
  <c r="G1485" i="3"/>
  <c r="G1493" i="3"/>
  <c r="G1501" i="3"/>
  <c r="G1509" i="3"/>
  <c r="G1517" i="3"/>
  <c r="G1525" i="3"/>
  <c r="G1533" i="3"/>
  <c r="G1541" i="3"/>
  <c r="G1549" i="3"/>
  <c r="G1557" i="3"/>
  <c r="G1565" i="3"/>
  <c r="G1573" i="3"/>
  <c r="G1581" i="3"/>
  <c r="G1589" i="3"/>
  <c r="G1597" i="3"/>
  <c r="G1605" i="3"/>
  <c r="G1613" i="3"/>
  <c r="G1621" i="3"/>
  <c r="G1629" i="3"/>
  <c r="G1637" i="3"/>
  <c r="G1645" i="3"/>
  <c r="G1653" i="3"/>
  <c r="G1661" i="3"/>
  <c r="G1669" i="3"/>
  <c r="G1677" i="3"/>
  <c r="G1685" i="3"/>
  <c r="G1693" i="3"/>
  <c r="G1701" i="3"/>
  <c r="G1709" i="3"/>
  <c r="G1717" i="3"/>
  <c r="G1725" i="3"/>
  <c r="G1733" i="3"/>
  <c r="G1741" i="3"/>
  <c r="G1749" i="3"/>
  <c r="G1757" i="3"/>
  <c r="G1765" i="3"/>
  <c r="G1773" i="3"/>
  <c r="G1781" i="3"/>
  <c r="G1789" i="3"/>
  <c r="G1797" i="3"/>
  <c r="G1805" i="3"/>
  <c r="G1813" i="3"/>
  <c r="G1821" i="3"/>
  <c r="G1829" i="3"/>
  <c r="G1837" i="3"/>
  <c r="G1845" i="3"/>
  <c r="G1853" i="3"/>
  <c r="G1861" i="3"/>
  <c r="G1869" i="3"/>
  <c r="G1877" i="3"/>
  <c r="G1885" i="3"/>
  <c r="G1893" i="3"/>
  <c r="G1902" i="3"/>
  <c r="G1909" i="3"/>
  <c r="G1917" i="3"/>
  <c r="G1924" i="3"/>
  <c r="G1933" i="3"/>
  <c r="G1941" i="3"/>
  <c r="G1949" i="3"/>
  <c r="G1957" i="3"/>
  <c r="G1965" i="3"/>
  <c r="G1973" i="3"/>
  <c r="G1981" i="3"/>
  <c r="G1989" i="3"/>
  <c r="G1997" i="3"/>
  <c r="G2005" i="3"/>
  <c r="G2013" i="3"/>
  <c r="G2021" i="3"/>
  <c r="G2029" i="3"/>
  <c r="G2037" i="3"/>
  <c r="G2045" i="3"/>
  <c r="G2053" i="3"/>
  <c r="G2061" i="3"/>
  <c r="G2069" i="3"/>
  <c r="G2077" i="3"/>
  <c r="G2085" i="3"/>
  <c r="G2093" i="3"/>
  <c r="G2101" i="3"/>
  <c r="G2109" i="3"/>
  <c r="G2117" i="3"/>
  <c r="G2125" i="3"/>
  <c r="G2133" i="3"/>
  <c r="G2141" i="3"/>
  <c r="G2149" i="3"/>
  <c r="G2157" i="3"/>
  <c r="G2165" i="3"/>
  <c r="G2172" i="3"/>
  <c r="G2180" i="3"/>
  <c r="G2189" i="3"/>
  <c r="G2197" i="3"/>
  <c r="G2205" i="3"/>
  <c r="G2213" i="3"/>
  <c r="G2221" i="3"/>
  <c r="G2229" i="3"/>
  <c r="G2237" i="3"/>
  <c r="G2245" i="3"/>
  <c r="G2253" i="3"/>
  <c r="G2262" i="3"/>
  <c r="G2269" i="3"/>
  <c r="G2278" i="3"/>
  <c r="G2285" i="3"/>
  <c r="G2293" i="3"/>
  <c r="G2301" i="3"/>
  <c r="G2309" i="3"/>
  <c r="G2317" i="3"/>
  <c r="G2325" i="3"/>
  <c r="G2333" i="3"/>
  <c r="G2341" i="3"/>
  <c r="G2349" i="3"/>
  <c r="G2357" i="3"/>
  <c r="G2365" i="3"/>
  <c r="G2373" i="3"/>
  <c r="G2381" i="3"/>
  <c r="G2389" i="3"/>
  <c r="G2397" i="3"/>
  <c r="G2405" i="3"/>
  <c r="G2413" i="3"/>
  <c r="G2421" i="3"/>
  <c r="G2429" i="3"/>
  <c r="G2437" i="3"/>
  <c r="G2445" i="3"/>
  <c r="G2453" i="3"/>
  <c r="G2461" i="3"/>
  <c r="G2469" i="3"/>
  <c r="G2477" i="3"/>
  <c r="G2485" i="3"/>
  <c r="G2493" i="3"/>
  <c r="G2501" i="3"/>
  <c r="G2509" i="3"/>
  <c r="G2517" i="3"/>
  <c r="G2525" i="3"/>
  <c r="G2533" i="3"/>
  <c r="G2541" i="3"/>
  <c r="G4056" i="3"/>
  <c r="G4064" i="3"/>
  <c r="G4072" i="3"/>
  <c r="G4080" i="3"/>
  <c r="G4088" i="3"/>
  <c r="G4096" i="3"/>
  <c r="G4104" i="3"/>
  <c r="G4112" i="3"/>
  <c r="G4120" i="3"/>
  <c r="G4128" i="3"/>
  <c r="G4136" i="3"/>
  <c r="G4144" i="3"/>
  <c r="G4152" i="3"/>
  <c r="G4160" i="3"/>
  <c r="G4168" i="3"/>
  <c r="G4176" i="3"/>
  <c r="G4184" i="3"/>
  <c r="G4192" i="3"/>
  <c r="G4200" i="3"/>
  <c r="G4208" i="3"/>
  <c r="G4216" i="3"/>
  <c r="G4224" i="3"/>
  <c r="G4232" i="3"/>
  <c r="G4240" i="3"/>
  <c r="G4248" i="3"/>
  <c r="G4256" i="3"/>
  <c r="G4264" i="3"/>
  <c r="G4272" i="3"/>
  <c r="G4416" i="3"/>
  <c r="G4288" i="3"/>
  <c r="G4296" i="3"/>
  <c r="G4304" i="3"/>
  <c r="G4312" i="3"/>
  <c r="G4320" i="3"/>
  <c r="G4328" i="3"/>
  <c r="G4336" i="3"/>
  <c r="G4345" i="3"/>
  <c r="G4352" i="3"/>
  <c r="G4359" i="3"/>
  <c r="G4368" i="3"/>
  <c r="G4376" i="3"/>
  <c r="G4384" i="3"/>
  <c r="G4392" i="3"/>
  <c r="G4400" i="3"/>
  <c r="G4408" i="3"/>
  <c r="G5853" i="3"/>
  <c r="G5605" i="3"/>
  <c r="G5613" i="3"/>
  <c r="G5621" i="3"/>
  <c r="G5629" i="3"/>
  <c r="G5637" i="3"/>
  <c r="G5645" i="3"/>
  <c r="G5653" i="3"/>
  <c r="G5661" i="3"/>
  <c r="G5669" i="3"/>
  <c r="G5677" i="3"/>
  <c r="G5685" i="3"/>
  <c r="G5693" i="3"/>
  <c r="G5701" i="3"/>
  <c r="G5709" i="3"/>
  <c r="G5717" i="3"/>
  <c r="G5725" i="3"/>
  <c r="G5733" i="3"/>
  <c r="G5741" i="3"/>
  <c r="G5749" i="3"/>
  <c r="G5757" i="3"/>
  <c r="G5765" i="3"/>
  <c r="G5773" i="3"/>
  <c r="G5781" i="3"/>
  <c r="G5789" i="3"/>
  <c r="G5797" i="3"/>
  <c r="G5805" i="3"/>
  <c r="G5813" i="3"/>
  <c r="G5821" i="3"/>
  <c r="G5829" i="3"/>
  <c r="G5837" i="3"/>
  <c r="G5845" i="3"/>
  <c r="G6229" i="3"/>
  <c r="G5861" i="3"/>
  <c r="G5869" i="3"/>
  <c r="G5877" i="3"/>
  <c r="G5885" i="3"/>
  <c r="G5893" i="3"/>
  <c r="G5901" i="3"/>
  <c r="G5909" i="3"/>
  <c r="G5917" i="3"/>
  <c r="G5925" i="3"/>
  <c r="G5933" i="3"/>
  <c r="G5941" i="3"/>
  <c r="G5949" i="3"/>
  <c r="G5957" i="3"/>
  <c r="G5965" i="3"/>
  <c r="G5974" i="3"/>
  <c r="G5981" i="3"/>
  <c r="G5989" i="3"/>
  <c r="G5997" i="3"/>
  <c r="G6005" i="3"/>
  <c r="G6013" i="3"/>
  <c r="G6021" i="3"/>
  <c r="G6029" i="3"/>
  <c r="G6037" i="3"/>
  <c r="G6045" i="3"/>
  <c r="G6053" i="3"/>
  <c r="G6061" i="3"/>
  <c r="G6069" i="3"/>
  <c r="G6077" i="3"/>
  <c r="G6085" i="3"/>
  <c r="G6093" i="3"/>
  <c r="G6101" i="3"/>
  <c r="G6109" i="3"/>
  <c r="G6117" i="3"/>
  <c r="G6125" i="3"/>
  <c r="G6133" i="3"/>
  <c r="G6143" i="3"/>
  <c r="G6149" i="3"/>
  <c r="G6157" i="3"/>
  <c r="G6165" i="3"/>
  <c r="G6173" i="3"/>
  <c r="G6181" i="3"/>
  <c r="G6189" i="3"/>
  <c r="G6197" i="3"/>
  <c r="G6205" i="3"/>
  <c r="G6213" i="3"/>
  <c r="G6221" i="3"/>
  <c r="G6619" i="3"/>
  <c r="G6237" i="3"/>
  <c r="G6245" i="3"/>
  <c r="G6253" i="3"/>
  <c r="G6261" i="3"/>
  <c r="G6269" i="3"/>
  <c r="G6277" i="3"/>
  <c r="G6285" i="3"/>
  <c r="G6293" i="3"/>
  <c r="G6301" i="3"/>
  <c r="G6309" i="3"/>
  <c r="G6317" i="3"/>
  <c r="G6325" i="3"/>
  <c r="G6333" i="3"/>
  <c r="G6341" i="3"/>
  <c r="G6349" i="3"/>
  <c r="G6357" i="3"/>
  <c r="G6365" i="3"/>
  <c r="G6373" i="3"/>
  <c r="G6381" i="3"/>
  <c r="G6389" i="3"/>
  <c r="G6397" i="3"/>
  <c r="G6405" i="3"/>
  <c r="G6413" i="3"/>
  <c r="G6421" i="3"/>
  <c r="G6429" i="3"/>
  <c r="G6437" i="3"/>
  <c r="G6445" i="3"/>
  <c r="G6453" i="3"/>
  <c r="G6461" i="3"/>
  <c r="G6470" i="3"/>
  <c r="G6477" i="3"/>
  <c r="G6485" i="3"/>
  <c r="G6494" i="3"/>
  <c r="G6501" i="3"/>
  <c r="G6509" i="3"/>
  <c r="G6517" i="3"/>
  <c r="G6525" i="3"/>
  <c r="G6533" i="3"/>
  <c r="G6541" i="3"/>
  <c r="G6549" i="3"/>
  <c r="G6557" i="3"/>
  <c r="G4632" i="3"/>
  <c r="G4624" i="3"/>
  <c r="G4617" i="3"/>
  <c r="G4609" i="3"/>
  <c r="G4601" i="3"/>
  <c r="G4593" i="3"/>
  <c r="G4585" i="3"/>
  <c r="G4577" i="3"/>
  <c r="G4569" i="3"/>
  <c r="G4561" i="3"/>
  <c r="G4553" i="3"/>
  <c r="G4545" i="3"/>
  <c r="G4537" i="3"/>
  <c r="G4529" i="3"/>
  <c r="G4521" i="3"/>
  <c r="G4513" i="3"/>
  <c r="G4505" i="3"/>
  <c r="G4497" i="3"/>
  <c r="G4489" i="3"/>
  <c r="G4481" i="3"/>
  <c r="G4473" i="3"/>
  <c r="G4465" i="3"/>
  <c r="G4457" i="3"/>
  <c r="G4449" i="3"/>
  <c r="G4441" i="3"/>
  <c r="G4433" i="3"/>
  <c r="G4425" i="3"/>
  <c r="G4417" i="3"/>
  <c r="G273" i="3"/>
  <c r="G281" i="3"/>
  <c r="G289" i="3"/>
  <c r="G298" i="3"/>
  <c r="G4" i="3"/>
  <c r="G12" i="3"/>
  <c r="G20" i="3"/>
  <c r="G28" i="3"/>
  <c r="G36" i="3"/>
  <c r="G44" i="3"/>
  <c r="G52" i="3"/>
  <c r="G60" i="3"/>
  <c r="G68" i="3"/>
  <c r="G76" i="3"/>
  <c r="G84" i="3"/>
  <c r="G92" i="3"/>
  <c r="G100" i="3"/>
  <c r="G108" i="3"/>
  <c r="G116" i="3"/>
  <c r="G124" i="3"/>
  <c r="G132" i="3"/>
  <c r="G140" i="3"/>
  <c r="G148" i="3"/>
  <c r="G156" i="3"/>
  <c r="G164" i="3"/>
  <c r="G172" i="3"/>
  <c r="G180" i="3"/>
  <c r="G188" i="3"/>
  <c r="G196" i="3"/>
  <c r="G204" i="3"/>
  <c r="G212" i="3"/>
  <c r="G220" i="3"/>
  <c r="G229" i="3"/>
  <c r="G236" i="3"/>
  <c r="G244" i="3"/>
  <c r="G252" i="3"/>
  <c r="G260" i="3"/>
  <c r="G268" i="3"/>
  <c r="G310" i="3"/>
  <c r="G318" i="3"/>
  <c r="G326" i="3"/>
  <c r="G334" i="3"/>
  <c r="G342" i="3"/>
  <c r="G350" i="3"/>
  <c r="G358" i="3"/>
  <c r="G366" i="3"/>
  <c r="G374" i="3"/>
  <c r="G382" i="3"/>
  <c r="G390" i="3"/>
  <c r="G398" i="3"/>
  <c r="G406" i="3"/>
  <c r="G414" i="3"/>
  <c r="G422" i="3"/>
  <c r="G430" i="3"/>
  <c r="G438" i="3"/>
  <c r="G446" i="3"/>
  <c r="G454" i="3"/>
  <c r="G462" i="3"/>
  <c r="G470" i="3"/>
  <c r="G478" i="3"/>
  <c r="G486" i="3"/>
  <c r="G494" i="3"/>
  <c r="G502" i="3"/>
  <c r="G510" i="3"/>
  <c r="G518" i="3"/>
  <c r="G526" i="3"/>
  <c r="G534" i="3"/>
  <c r="G542" i="3"/>
  <c r="G550" i="3"/>
  <c r="G558" i="3"/>
  <c r="G566" i="3"/>
  <c r="G574" i="3"/>
  <c r="G582" i="3"/>
  <c r="G590" i="3"/>
  <c r="G598" i="3"/>
  <c r="G606" i="3"/>
  <c r="G614" i="3"/>
  <c r="G622" i="3"/>
  <c r="G630" i="3"/>
  <c r="G638" i="3"/>
  <c r="G646" i="3"/>
  <c r="G654" i="3"/>
  <c r="G662" i="3"/>
  <c r="G670" i="3"/>
  <c r="G678" i="3"/>
  <c r="G686" i="3"/>
  <c r="G695" i="3"/>
  <c r="G702" i="3"/>
  <c r="G710" i="3"/>
  <c r="G718" i="3"/>
  <c r="G726" i="3"/>
  <c r="G734" i="3"/>
  <c r="G742" i="3"/>
  <c r="G749" i="3"/>
  <c r="G756" i="3"/>
  <c r="G766" i="3"/>
  <c r="G775" i="3"/>
  <c r="G782" i="3"/>
  <c r="G790" i="3"/>
  <c r="G798" i="3"/>
  <c r="G806" i="3"/>
  <c r="G814" i="3"/>
  <c r="G822" i="3"/>
  <c r="G829" i="3"/>
  <c r="G837" i="3"/>
  <c r="G846" i="3"/>
  <c r="G854" i="3"/>
  <c r="G862" i="3"/>
  <c r="G870" i="3"/>
  <c r="G878" i="3"/>
  <c r="G886" i="3"/>
  <c r="G894" i="3"/>
  <c r="G902" i="3"/>
  <c r="G910" i="3"/>
  <c r="G918" i="3"/>
  <c r="G926" i="3"/>
  <c r="G934" i="3"/>
  <c r="G942" i="3"/>
  <c r="G950" i="3"/>
  <c r="G958" i="3"/>
  <c r="G966" i="3"/>
  <c r="G974" i="3"/>
  <c r="G982" i="3"/>
  <c r="G990" i="3"/>
  <c r="G998" i="3"/>
  <c r="G1006" i="3"/>
  <c r="G1014" i="3"/>
  <c r="G1022" i="3"/>
  <c r="G1030" i="3"/>
  <c r="G1038" i="3"/>
  <c r="G1046" i="3"/>
  <c r="G1054" i="3"/>
  <c r="G1062" i="3"/>
  <c r="G1070" i="3"/>
  <c r="G1078" i="3"/>
  <c r="G1086" i="3"/>
  <c r="G1094" i="3"/>
  <c r="G1102" i="3"/>
  <c r="G1110" i="3"/>
  <c r="G1118" i="3"/>
  <c r="G1126" i="3"/>
  <c r="G1134" i="3"/>
  <c r="G1142" i="3"/>
  <c r="G1150" i="3"/>
  <c r="G1158" i="3"/>
  <c r="G1166" i="3"/>
  <c r="G1174" i="3"/>
  <c r="G1182" i="3"/>
  <c r="G1190" i="3"/>
  <c r="G1198" i="3"/>
  <c r="G1206" i="3"/>
  <c r="G1214" i="3"/>
  <c r="G1222" i="3"/>
  <c r="G1230" i="3"/>
  <c r="G1238" i="3"/>
  <c r="G1247" i="3"/>
  <c r="G1254" i="3"/>
  <c r="G1262" i="3"/>
  <c r="G1270" i="3"/>
  <c r="G1278" i="3"/>
  <c r="G1287" i="3"/>
  <c r="G1294" i="3"/>
  <c r="G1302" i="3"/>
  <c r="G1310" i="3"/>
  <c r="G1318" i="3"/>
  <c r="G1326" i="3"/>
  <c r="G1334" i="3"/>
  <c r="G1342" i="3"/>
  <c r="G1350" i="3"/>
  <c r="G1358" i="3"/>
  <c r="G1366" i="3"/>
  <c r="G1374" i="3"/>
  <c r="G1382" i="3"/>
  <c r="G1390" i="3"/>
  <c r="G1398" i="3"/>
  <c r="G1406" i="3"/>
  <c r="G1414" i="3"/>
  <c r="G1422" i="3"/>
  <c r="G1430" i="3"/>
  <c r="G1438" i="3"/>
  <c r="G1446" i="3"/>
  <c r="G1454" i="3"/>
  <c r="G1462" i="3"/>
  <c r="G1470" i="3"/>
  <c r="G1478" i="3"/>
  <c r="G1486" i="3"/>
  <c r="G1494" i="3"/>
  <c r="G1502" i="3"/>
  <c r="G1510" i="3"/>
  <c r="G1518" i="3"/>
  <c r="G1526" i="3"/>
  <c r="G1535" i="3"/>
  <c r="G1542" i="3"/>
  <c r="G1550" i="3"/>
  <c r="G1558" i="3"/>
  <c r="G1566" i="3"/>
  <c r="G1574" i="3"/>
  <c r="G1582" i="3"/>
  <c r="G1590" i="3"/>
  <c r="G1598" i="3"/>
  <c r="G1606" i="3"/>
  <c r="G1614" i="3"/>
  <c r="G1622" i="3"/>
  <c r="G1630" i="3"/>
  <c r="G1638" i="3"/>
  <c r="G1646" i="3"/>
  <c r="G1654" i="3"/>
  <c r="G1662" i="3"/>
  <c r="G1670" i="3"/>
  <c r="G1678" i="3"/>
  <c r="G1686" i="3"/>
  <c r="G1694" i="3"/>
  <c r="G1702" i="3"/>
  <c r="G1710" i="3"/>
  <c r="G1718" i="3"/>
  <c r="G1726" i="3"/>
  <c r="G1734" i="3"/>
  <c r="G1742" i="3"/>
  <c r="G1750" i="3"/>
  <c r="G1758" i="3"/>
  <c r="G1766" i="3"/>
  <c r="G1774" i="3"/>
  <c r="G1782" i="3"/>
  <c r="G1790" i="3"/>
  <c r="G1798" i="3"/>
  <c r="G1806" i="3"/>
  <c r="G1814" i="3"/>
  <c r="G1822" i="3"/>
  <c r="G1830" i="3"/>
  <c r="G1838" i="3"/>
  <c r="G1846" i="3"/>
  <c r="G1854" i="3"/>
  <c r="G1862" i="3"/>
  <c r="G1870" i="3"/>
  <c r="G1878" i="3"/>
  <c r="G1886" i="3"/>
  <c r="G1894" i="3"/>
  <c r="G1901" i="3"/>
  <c r="G1910" i="3"/>
  <c r="G1918" i="3"/>
  <c r="G1926" i="3"/>
  <c r="G2312" i="3"/>
  <c r="G1942" i="3"/>
  <c r="G1950" i="3"/>
  <c r="G1958" i="3"/>
  <c r="G1966" i="3"/>
  <c r="G1974" i="3"/>
  <c r="G1982" i="3"/>
  <c r="G1990" i="3"/>
  <c r="G1998" i="3"/>
  <c r="G2006" i="3"/>
  <c r="G2014" i="3"/>
  <c r="G2022" i="3"/>
  <c r="G2030" i="3"/>
  <c r="G2038" i="3"/>
  <c r="G2046" i="3"/>
  <c r="G2054" i="3"/>
  <c r="G2062" i="3"/>
  <c r="G2070" i="3"/>
  <c r="G2078" i="3"/>
  <c r="G2086" i="3"/>
  <c r="G2094" i="3"/>
  <c r="G2102" i="3"/>
  <c r="G2110" i="3"/>
  <c r="G2118" i="3"/>
  <c r="G2126" i="3"/>
  <c r="G2134" i="3"/>
  <c r="G2142" i="3"/>
  <c r="G2150" i="3"/>
  <c r="G2158" i="3"/>
  <c r="G2166" i="3"/>
  <c r="G2174" i="3"/>
  <c r="G2182" i="3"/>
  <c r="G2190" i="3"/>
  <c r="G2198" i="3"/>
  <c r="G2206" i="3"/>
  <c r="G2214" i="3"/>
  <c r="G2222" i="3"/>
  <c r="G2230" i="3"/>
  <c r="G2238" i="3"/>
  <c r="G2246" i="3"/>
  <c r="G2254" i="3"/>
  <c r="G2261" i="3"/>
  <c r="G2270" i="3"/>
  <c r="G2277" i="3"/>
  <c r="G2287" i="3"/>
  <c r="G2294" i="3"/>
  <c r="G2302" i="3"/>
  <c r="G2310" i="3"/>
  <c r="G2318" i="3"/>
  <c r="G2326" i="3"/>
  <c r="G2334" i="3"/>
  <c r="G2342" i="3"/>
  <c r="G2350" i="3"/>
  <c r="G2358" i="3"/>
  <c r="G2366" i="3"/>
  <c r="G2374" i="3"/>
  <c r="G2382" i="3"/>
  <c r="G2391" i="3"/>
  <c r="G2398" i="3"/>
  <c r="G2406" i="3"/>
  <c r="G2414" i="3"/>
  <c r="G2422" i="3"/>
  <c r="G2430" i="3"/>
  <c r="G2438" i="3"/>
  <c r="G2446" i="3"/>
  <c r="G2454" i="3"/>
  <c r="G2462" i="3"/>
  <c r="G2470" i="3"/>
  <c r="G2478" i="3"/>
  <c r="G2486" i="3"/>
  <c r="G2494" i="3"/>
  <c r="G2502" i="3"/>
  <c r="G2510" i="3"/>
  <c r="G2518" i="3"/>
  <c r="G2527" i="3"/>
  <c r="G2534" i="3"/>
  <c r="G2543" i="3"/>
  <c r="G4057" i="3"/>
  <c r="G4065" i="3"/>
  <c r="G4073" i="3"/>
  <c r="G4081" i="3"/>
  <c r="G4089" i="3"/>
  <c r="G4097" i="3"/>
  <c r="G4105" i="3"/>
  <c r="G4113" i="3"/>
  <c r="G4121" i="3"/>
  <c r="G4129" i="3"/>
  <c r="G4137" i="3"/>
  <c r="G4145" i="3"/>
  <c r="G4153" i="3"/>
  <c r="G4161" i="3"/>
  <c r="G4169" i="3"/>
  <c r="G4177" i="3"/>
  <c r="G4185" i="3"/>
  <c r="G4193" i="3"/>
  <c r="G4201" i="3"/>
  <c r="G4209" i="3"/>
  <c r="G4217" i="3"/>
  <c r="G4226" i="3"/>
  <c r="G4233" i="3"/>
  <c r="G4241" i="3"/>
  <c r="G4249" i="3"/>
  <c r="G4257" i="3"/>
  <c r="G4265" i="3"/>
  <c r="G4273" i="3"/>
  <c r="G4281" i="3"/>
  <c r="G4289" i="3"/>
  <c r="G4297" i="3"/>
  <c r="G4305" i="3"/>
  <c r="G4313" i="3"/>
  <c r="G4321" i="3"/>
  <c r="G4329" i="3"/>
  <c r="G4337" i="3"/>
  <c r="G4344" i="3"/>
  <c r="G4353" i="3"/>
  <c r="G4361" i="3"/>
  <c r="G4369" i="3"/>
  <c r="G4377" i="3"/>
  <c r="G4385" i="3"/>
  <c r="G4393" i="3"/>
  <c r="G4401" i="3"/>
  <c r="G4409" i="3"/>
  <c r="G5598" i="3"/>
  <c r="G5606" i="3"/>
  <c r="G5614" i="3"/>
  <c r="G5622" i="3"/>
  <c r="G5630" i="3"/>
  <c r="G5638" i="3"/>
  <c r="G5646" i="3"/>
  <c r="G5654" i="3"/>
  <c r="G5662" i="3"/>
  <c r="G5670" i="3"/>
  <c r="G5678" i="3"/>
  <c r="G5686" i="3"/>
  <c r="G5694" i="3"/>
  <c r="G5702" i="3"/>
  <c r="G5710" i="3"/>
  <c r="G5718" i="3"/>
  <c r="G5726" i="3"/>
  <c r="G5734" i="3"/>
  <c r="G5742" i="3"/>
  <c r="G5750" i="3"/>
  <c r="G5758" i="3"/>
  <c r="G5766" i="3"/>
  <c r="G5774" i="3"/>
  <c r="G5782" i="3"/>
  <c r="G5790" i="3"/>
  <c r="G5798" i="3"/>
  <c r="G5806" i="3"/>
  <c r="G5814" i="3"/>
  <c r="G5822" i="3"/>
  <c r="G5830" i="3"/>
  <c r="G5838" i="3"/>
  <c r="G5846" i="3"/>
  <c r="G5854" i="3"/>
  <c r="G5862" i="3"/>
  <c r="G5870" i="3"/>
  <c r="G5878" i="3"/>
  <c r="G5886" i="3"/>
  <c r="G5894" i="3"/>
  <c r="G5902" i="3"/>
  <c r="G5910" i="3"/>
  <c r="G5918" i="3"/>
  <c r="G5926" i="3"/>
  <c r="G5934" i="3"/>
  <c r="G5942" i="3"/>
  <c r="G5950" i="3"/>
  <c r="G5958" i="3"/>
  <c r="G5966" i="3"/>
  <c r="G5973" i="3"/>
  <c r="G5982" i="3"/>
  <c r="G5990" i="3"/>
  <c r="G5998" i="3"/>
  <c r="G6006" i="3"/>
  <c r="G6014" i="3"/>
  <c r="G6022" i="3"/>
  <c r="G6030" i="3"/>
  <c r="G6038" i="3"/>
  <c r="G6046" i="3"/>
  <c r="G6054" i="3"/>
  <c r="G6062" i="3"/>
  <c r="G6070" i="3"/>
  <c r="G6078" i="3"/>
  <c r="G6086" i="3"/>
  <c r="G6094" i="3"/>
  <c r="G6102" i="3"/>
  <c r="G6110" i="3"/>
  <c r="G6118" i="3"/>
  <c r="G6126" i="3"/>
  <c r="G6134" i="3"/>
  <c r="G6142" i="3"/>
  <c r="G6150" i="3"/>
  <c r="G6158" i="3"/>
  <c r="G6166" i="3"/>
  <c r="G6174" i="3"/>
  <c r="G6183" i="3"/>
  <c r="G6190" i="3"/>
  <c r="G6198" i="3"/>
  <c r="G6206" i="3"/>
  <c r="G6214" i="3"/>
  <c r="G6222" i="3"/>
  <c r="G6230" i="3"/>
  <c r="G6238" i="3"/>
  <c r="G6246" i="3"/>
  <c r="G6254" i="3"/>
  <c r="G6262" i="3"/>
  <c r="G6270" i="3"/>
  <c r="G6278" i="3"/>
  <c r="G6286" i="3"/>
  <c r="G6294" i="3"/>
  <c r="G6302" i="3"/>
  <c r="G6310" i="3"/>
  <c r="G6318" i="3"/>
  <c r="G6326" i="3"/>
  <c r="G6334" i="3"/>
  <c r="G6342" i="3"/>
  <c r="G6350" i="3"/>
  <c r="G6358" i="3"/>
  <c r="G6366" i="3"/>
  <c r="G6374" i="3"/>
  <c r="G6382" i="3"/>
  <c r="G6390" i="3"/>
  <c r="G6398" i="3"/>
  <c r="G6406" i="3"/>
  <c r="G6414" i="3"/>
  <c r="G6422" i="3"/>
  <c r="G6430" i="3"/>
  <c r="G6438" i="3"/>
  <c r="G6446" i="3"/>
  <c r="G6454" i="3"/>
  <c r="G6462" i="3"/>
  <c r="G6469" i="3"/>
  <c r="G6478" i="3"/>
  <c r="G6486" i="3"/>
  <c r="G6493" i="3"/>
  <c r="G6502" i="3"/>
  <c r="G6510" i="3"/>
  <c r="G6518" i="3"/>
  <c r="G6527" i="3"/>
  <c r="G6534" i="3"/>
  <c r="G6542" i="3"/>
  <c r="G6550" i="3"/>
  <c r="G6558" i="3"/>
  <c r="G6566" i="3"/>
  <c r="G6574" i="3"/>
  <c r="G6582" i="3"/>
  <c r="G6590" i="3"/>
  <c r="G6598" i="3"/>
  <c r="G6606" i="3"/>
  <c r="G6614" i="3"/>
  <c r="G6622" i="3"/>
  <c r="G6630" i="3"/>
  <c r="G6638" i="3"/>
  <c r="G6646" i="3"/>
  <c r="G6654" i="3"/>
  <c r="G6662" i="3"/>
  <c r="G6670" i="3"/>
  <c r="G6678" i="3"/>
  <c r="G6686" i="3"/>
  <c r="G6694" i="3"/>
  <c r="G6702" i="3"/>
  <c r="G6710" i="3"/>
  <c r="G6718" i="3"/>
  <c r="G6726" i="3"/>
  <c r="G6734" i="3"/>
  <c r="G6742" i="3"/>
  <c r="G6750" i="3"/>
  <c r="G6758" i="3"/>
  <c r="G6766" i="3"/>
  <c r="G6774" i="3"/>
  <c r="G6782" i="3"/>
  <c r="G6790" i="3"/>
  <c r="G6798" i="3"/>
  <c r="G6806" i="3"/>
  <c r="G4520" i="3"/>
  <c r="G4512" i="3"/>
  <c r="G4504" i="3"/>
  <c r="G4496" i="3"/>
  <c r="G4488" i="3"/>
  <c r="G4480" i="3"/>
  <c r="G4472" i="3"/>
  <c r="G4464" i="3"/>
  <c r="G4456" i="3"/>
  <c r="G4448" i="3"/>
  <c r="G4440" i="3"/>
  <c r="G4432" i="3"/>
  <c r="G4424" i="3"/>
  <c r="G274" i="3"/>
  <c r="G282" i="3"/>
  <c r="G290" i="3"/>
  <c r="G297" i="3"/>
  <c r="G5" i="3"/>
  <c r="G13" i="3"/>
  <c r="G21" i="3"/>
  <c r="G29" i="3"/>
  <c r="G37" i="3"/>
  <c r="G45" i="3"/>
  <c r="G53" i="3"/>
  <c r="G61" i="3"/>
  <c r="G69" i="3"/>
  <c r="G77" i="3"/>
  <c r="G85" i="3"/>
  <c r="G93" i="3"/>
  <c r="G101" i="3"/>
  <c r="G109" i="3"/>
  <c r="G117" i="3"/>
  <c r="G125" i="3"/>
  <c r="G133" i="3"/>
  <c r="G141" i="3"/>
  <c r="G149" i="3"/>
  <c r="G157" i="3"/>
  <c r="G165" i="3"/>
  <c r="G173" i="3"/>
  <c r="G181" i="3"/>
  <c r="G189" i="3"/>
  <c r="G198" i="3"/>
  <c r="G205" i="3"/>
  <c r="G213" i="3"/>
  <c r="G221" i="3"/>
  <c r="G228" i="3"/>
  <c r="G237" i="3"/>
  <c r="G245" i="3"/>
  <c r="G253" i="3"/>
  <c r="G261" i="3"/>
  <c r="G270" i="3"/>
  <c r="G311" i="3"/>
  <c r="G319" i="3"/>
  <c r="G327" i="3"/>
  <c r="G335" i="3"/>
  <c r="G343" i="3"/>
  <c r="G351" i="3"/>
  <c r="G359" i="3"/>
  <c r="G367" i="3"/>
  <c r="G375" i="3"/>
  <c r="G383" i="3"/>
  <c r="G391" i="3"/>
  <c r="G399" i="3"/>
  <c r="G407" i="3"/>
  <c r="G415" i="3"/>
  <c r="G423" i="3"/>
  <c r="G431" i="3"/>
  <c r="G439" i="3"/>
  <c r="G447" i="3"/>
  <c r="G455" i="3"/>
  <c r="G463" i="3"/>
  <c r="G471" i="3"/>
  <c r="G479" i="3"/>
  <c r="G487" i="3"/>
  <c r="G495" i="3"/>
  <c r="G503" i="3"/>
  <c r="G511" i="3"/>
  <c r="G519" i="3"/>
  <c r="G527" i="3"/>
  <c r="G535" i="3"/>
  <c r="G543" i="3"/>
  <c r="G551" i="3"/>
  <c r="G559" i="3"/>
  <c r="G567" i="3"/>
  <c r="G575" i="3"/>
  <c r="G583" i="3"/>
  <c r="G591" i="3"/>
  <c r="G599" i="3"/>
  <c r="G608" i="3"/>
  <c r="G615" i="3"/>
  <c r="G623" i="3"/>
  <c r="G631" i="3"/>
  <c r="G639" i="3"/>
  <c r="G647" i="3"/>
  <c r="G655" i="3"/>
  <c r="G663" i="3"/>
  <c r="G671" i="3"/>
  <c r="G680" i="3"/>
  <c r="G687" i="3"/>
  <c r="G694" i="3"/>
  <c r="G703" i="3"/>
  <c r="G711" i="3"/>
  <c r="G719" i="3"/>
  <c r="G727" i="3"/>
  <c r="G735" i="3"/>
  <c r="G743" i="3"/>
  <c r="G751" i="3"/>
  <c r="G759" i="3"/>
  <c r="G767" i="3"/>
  <c r="G774" i="3"/>
  <c r="G783" i="3"/>
  <c r="G791" i="3"/>
  <c r="G799" i="3"/>
  <c r="G807" i="3"/>
  <c r="G815" i="3"/>
  <c r="G823" i="3"/>
  <c r="G831" i="3"/>
  <c r="G839" i="3"/>
  <c r="G847" i="3"/>
  <c r="G855" i="3"/>
  <c r="G863" i="3"/>
  <c r="G871" i="3"/>
  <c r="G879" i="3"/>
  <c r="G887" i="3"/>
  <c r="G895" i="3"/>
  <c r="G903" i="3"/>
  <c r="G911" i="3"/>
  <c r="G919" i="3"/>
  <c r="G927" i="3"/>
  <c r="G935" i="3"/>
  <c r="G943" i="3"/>
  <c r="G951" i="3"/>
  <c r="G959" i="3"/>
  <c r="G967" i="3"/>
  <c r="G975" i="3"/>
  <c r="G983" i="3"/>
  <c r="G991" i="3"/>
  <c r="G999" i="3"/>
  <c r="G1007" i="3"/>
  <c r="G1015" i="3"/>
  <c r="G1023" i="3"/>
  <c r="G1031" i="3"/>
  <c r="G1039" i="3"/>
  <c r="G1047" i="3"/>
  <c r="G1055" i="3"/>
  <c r="G1063" i="3"/>
  <c r="G1071" i="3"/>
  <c r="G1079" i="3"/>
  <c r="G1087" i="3"/>
  <c r="G1095" i="3"/>
  <c r="G1103" i="3"/>
  <c r="G1111" i="3"/>
  <c r="G1119" i="3"/>
  <c r="G1127" i="3"/>
  <c r="G1135" i="3"/>
  <c r="G1144" i="3"/>
  <c r="G1151" i="3"/>
  <c r="G1159" i="3"/>
  <c r="G1167" i="3"/>
  <c r="G1175" i="3"/>
  <c r="G1183" i="3"/>
  <c r="G1191" i="3"/>
  <c r="G1199" i="3"/>
  <c r="G1207" i="3"/>
  <c r="G1215" i="3"/>
  <c r="G1223" i="3"/>
  <c r="G1231" i="3"/>
  <c r="G1239" i="3"/>
  <c r="G1246" i="3"/>
  <c r="G1255" i="3"/>
  <c r="G1263" i="3"/>
  <c r="G1271" i="3"/>
  <c r="G1279" i="3"/>
  <c r="G1286" i="3"/>
  <c r="G1295" i="3"/>
  <c r="G1303" i="3"/>
  <c r="G1311" i="3"/>
  <c r="G1319" i="3"/>
  <c r="G1327" i="3"/>
  <c r="G1335" i="3"/>
  <c r="G1343" i="3"/>
  <c r="G1351" i="3"/>
  <c r="G1359" i="3"/>
  <c r="G1367" i="3"/>
  <c r="G1375" i="3"/>
  <c r="G1383" i="3"/>
  <c r="G1719" i="3"/>
  <c r="G1399" i="3"/>
  <c r="G1407" i="3"/>
  <c r="G1415" i="3"/>
  <c r="G1423" i="3"/>
  <c r="G1431" i="3"/>
  <c r="G1439" i="3"/>
  <c r="G1447" i="3"/>
  <c r="G1455" i="3"/>
  <c r="G1463" i="3"/>
  <c r="G1471" i="3"/>
  <c r="G1479" i="3"/>
  <c r="G1487" i="3"/>
  <c r="G1495" i="3"/>
  <c r="G1503" i="3"/>
  <c r="G1511" i="3"/>
  <c r="G1519" i="3"/>
  <c r="G1527" i="3"/>
  <c r="G1534" i="3"/>
  <c r="G1543" i="3"/>
  <c r="G1551" i="3"/>
  <c r="G1559" i="3"/>
  <c r="G1567" i="3"/>
  <c r="G1575" i="3"/>
  <c r="G1583" i="3"/>
  <c r="G1591" i="3"/>
  <c r="G1599" i="3"/>
  <c r="G1607" i="3"/>
  <c r="G1615" i="3"/>
  <c r="G1623" i="3"/>
  <c r="G1631" i="3"/>
  <c r="G1640" i="3"/>
  <c r="G1647" i="3"/>
  <c r="G1655" i="3"/>
  <c r="G1663" i="3"/>
  <c r="G1671" i="3"/>
  <c r="G1679" i="3"/>
  <c r="G1687" i="3"/>
  <c r="G1695" i="3"/>
  <c r="G1703" i="3"/>
  <c r="G1711" i="3"/>
  <c r="G1934" i="3"/>
  <c r="G1727" i="3"/>
  <c r="G1735" i="3"/>
  <c r="G1743" i="3"/>
  <c r="G1751" i="3"/>
  <c r="G1759" i="3"/>
  <c r="G1767" i="3"/>
  <c r="G1775" i="3"/>
  <c r="G1783" i="3"/>
  <c r="G1791" i="3"/>
  <c r="G1799" i="3"/>
  <c r="G1807" i="3"/>
  <c r="G1815" i="3"/>
  <c r="G1823" i="3"/>
  <c r="G1831" i="3"/>
  <c r="G1839" i="3"/>
  <c r="G1847" i="3"/>
  <c r="G1855" i="3"/>
  <c r="G1863" i="3"/>
  <c r="G1871" i="3"/>
  <c r="G1879" i="3"/>
  <c r="G1887" i="3"/>
  <c r="G1895" i="3"/>
  <c r="G1903" i="3"/>
  <c r="G1912" i="3"/>
  <c r="G1919" i="3"/>
  <c r="G1927" i="3"/>
  <c r="G1935" i="3"/>
  <c r="G1943" i="3"/>
  <c r="G1951" i="3"/>
  <c r="G1959" i="3"/>
  <c r="G1967" i="3"/>
  <c r="G1975" i="3"/>
  <c r="G1983" i="3"/>
  <c r="G1991" i="3"/>
  <c r="G1999" i="3"/>
  <c r="G2007" i="3"/>
  <c r="G2015" i="3"/>
  <c r="G2023" i="3"/>
  <c r="G2031" i="3"/>
  <c r="G2039" i="3"/>
  <c r="G2047" i="3"/>
  <c r="G2055" i="3"/>
  <c r="G2063" i="3"/>
  <c r="G2071" i="3"/>
  <c r="G2079" i="3"/>
  <c r="G2087" i="3"/>
  <c r="G2095" i="3"/>
  <c r="G2103" i="3"/>
  <c r="G2111" i="3"/>
  <c r="G2119" i="3"/>
  <c r="G2127" i="3"/>
  <c r="G2135" i="3"/>
  <c r="G2143" i="3"/>
  <c r="G2151" i="3"/>
  <c r="G2160" i="3"/>
  <c r="G2167" i="3"/>
  <c r="G2175" i="3"/>
  <c r="G2183" i="3"/>
  <c r="G2191" i="3"/>
  <c r="G2199" i="3"/>
  <c r="G2207" i="3"/>
  <c r="G2215" i="3"/>
  <c r="G2223" i="3"/>
  <c r="G2231" i="3"/>
  <c r="G2239" i="3"/>
  <c r="G2247" i="3"/>
  <c r="G2255" i="3"/>
  <c r="G2263" i="3"/>
  <c r="G2271" i="3"/>
  <c r="G2279" i="3"/>
  <c r="G2286" i="3"/>
  <c r="G2295" i="3"/>
  <c r="G2303" i="3"/>
  <c r="G2311" i="3"/>
  <c r="G2319" i="3"/>
  <c r="G2327" i="3"/>
  <c r="G2335" i="3"/>
  <c r="G2343" i="3"/>
  <c r="G2351" i="3"/>
  <c r="G2359" i="3"/>
  <c r="G2367" i="3"/>
  <c r="G2375" i="3"/>
  <c r="G2383" i="3"/>
  <c r="G2390" i="3"/>
  <c r="G2399" i="3"/>
  <c r="G2407" i="3"/>
  <c r="G2415" i="3"/>
  <c r="G2423" i="3"/>
  <c r="G2431" i="3"/>
  <c r="G2439" i="3"/>
  <c r="G2448" i="3"/>
  <c r="G2455" i="3"/>
  <c r="G2463" i="3"/>
  <c r="G2471" i="3"/>
  <c r="G2479" i="3"/>
  <c r="G2487" i="3"/>
  <c r="G2495" i="3"/>
  <c r="G2503" i="3"/>
  <c r="G2511" i="3"/>
  <c r="G2519" i="3"/>
  <c r="G2526" i="3"/>
  <c r="G2535" i="3"/>
  <c r="G2542" i="3"/>
  <c r="G4058" i="3"/>
  <c r="G4066" i="3"/>
  <c r="G4074" i="3"/>
  <c r="G4082" i="3"/>
  <c r="G4090" i="3"/>
  <c r="G4098" i="3"/>
  <c r="G4106" i="3"/>
  <c r="G4114" i="3"/>
  <c r="G4122" i="3"/>
  <c r="G4130" i="3"/>
  <c r="G4138" i="3"/>
  <c r="G4146" i="3"/>
  <c r="G4154" i="3"/>
  <c r="G4162" i="3"/>
  <c r="G4170" i="3"/>
  <c r="G4178" i="3"/>
  <c r="G4186" i="3"/>
  <c r="G4195" i="3"/>
  <c r="G4202" i="3"/>
  <c r="G4210" i="3"/>
  <c r="G4218" i="3"/>
  <c r="G4225" i="3"/>
  <c r="G4234" i="3"/>
  <c r="G4242" i="3"/>
  <c r="G4250" i="3"/>
  <c r="G4258" i="3"/>
  <c r="G4266" i="3"/>
  <c r="G4274" i="3"/>
  <c r="G4282" i="3"/>
  <c r="G4290" i="3"/>
  <c r="G4298" i="3"/>
  <c r="G4306" i="3"/>
  <c r="G4314" i="3"/>
  <c r="G4322" i="3"/>
  <c r="G4330" i="3"/>
  <c r="G4338" i="3"/>
  <c r="G4346" i="3"/>
  <c r="G4354" i="3"/>
  <c r="G4362" i="3"/>
  <c r="G4370" i="3"/>
  <c r="G4378" i="3"/>
  <c r="G4386" i="3"/>
  <c r="G4394" i="3"/>
  <c r="G4402" i="3"/>
  <c r="G4410" i="3"/>
  <c r="G5599" i="3"/>
  <c r="G5607" i="3"/>
  <c r="G5615" i="3"/>
  <c r="G5623" i="3"/>
  <c r="G5631" i="3"/>
  <c r="G5639" i="3"/>
  <c r="G5647" i="3"/>
  <c r="G5655" i="3"/>
  <c r="G5663" i="3"/>
  <c r="G5671" i="3"/>
  <c r="G5679" i="3"/>
  <c r="G5687" i="3"/>
  <c r="G5695" i="3"/>
  <c r="G5703" i="3"/>
  <c r="G5711" i="3"/>
  <c r="G5719" i="3"/>
  <c r="G5727" i="3"/>
  <c r="G5735" i="3"/>
  <c r="G5743" i="3"/>
  <c r="G5751" i="3"/>
  <c r="G5759" i="3"/>
  <c r="G5767" i="3"/>
  <c r="G5775" i="3"/>
  <c r="G5783" i="3"/>
  <c r="G5791" i="3"/>
  <c r="G5799" i="3"/>
  <c r="G5807" i="3"/>
  <c r="G5815" i="3"/>
  <c r="G5823" i="3"/>
  <c r="G5831" i="3"/>
  <c r="G5839" i="3"/>
  <c r="G5847" i="3"/>
  <c r="G5855" i="3"/>
  <c r="G5863" i="3"/>
  <c r="G5871" i="3"/>
  <c r="G5879" i="3"/>
  <c r="G5887" i="3"/>
  <c r="G5895" i="3"/>
  <c r="G5903" i="3"/>
  <c r="G5911" i="3"/>
  <c r="G5919" i="3"/>
  <c r="G5927" i="3"/>
  <c r="G5935" i="3"/>
  <c r="G5943" i="3"/>
  <c r="G5951" i="3"/>
  <c r="G5959" i="3"/>
  <c r="G5967" i="3"/>
  <c r="G5975" i="3"/>
  <c r="G5983" i="3"/>
  <c r="G5991" i="3"/>
  <c r="G5999" i="3"/>
  <c r="G6007" i="3"/>
  <c r="G6015" i="3"/>
  <c r="G6023" i="3"/>
  <c r="G6031" i="3"/>
  <c r="G6039" i="3"/>
  <c r="G6048" i="3"/>
  <c r="G6055" i="3"/>
  <c r="G6063" i="3"/>
  <c r="G6071" i="3"/>
  <c r="G6079" i="3"/>
  <c r="G6087" i="3"/>
  <c r="G6096" i="3"/>
  <c r="G6103" i="3"/>
  <c r="G6111" i="3"/>
  <c r="G6119" i="3"/>
  <c r="G6127" i="3"/>
  <c r="G6135" i="3"/>
  <c r="G6141" i="3"/>
  <c r="G6151" i="3"/>
  <c r="G6159" i="3"/>
  <c r="G6167" i="3"/>
  <c r="G6175" i="3"/>
  <c r="G6182" i="3"/>
  <c r="G6191" i="3"/>
  <c r="G6199" i="3"/>
  <c r="G6207" i="3"/>
  <c r="G6215" i="3"/>
  <c r="G6224" i="3"/>
  <c r="G6231" i="3"/>
  <c r="G6239" i="3"/>
  <c r="G6247" i="3"/>
  <c r="G6255" i="3"/>
  <c r="G6263" i="3"/>
  <c r="G6271" i="3"/>
  <c r="G6279" i="3"/>
  <c r="G6287" i="3"/>
  <c r="G6295" i="3"/>
  <c r="G6303" i="3"/>
  <c r="G6311" i="3"/>
  <c r="G6319" i="3"/>
  <c r="G6327" i="3"/>
  <c r="G6335" i="3"/>
  <c r="G6343" i="3"/>
  <c r="G6351" i="3"/>
  <c r="G6359" i="3"/>
  <c r="G6367" i="3"/>
  <c r="G6375" i="3"/>
  <c r="G6383" i="3"/>
  <c r="G6391" i="3"/>
  <c r="G6399" i="3"/>
  <c r="G6407" i="3"/>
  <c r="G6415" i="3"/>
  <c r="G6423" i="3"/>
  <c r="G6431" i="3"/>
  <c r="G6439" i="3"/>
  <c r="G6447" i="3"/>
  <c r="G6455" i="3"/>
  <c r="G6463" i="3"/>
  <c r="G6471" i="3"/>
  <c r="G6479" i="3"/>
  <c r="G6487" i="3"/>
  <c r="G6495" i="3"/>
  <c r="G6503" i="3"/>
  <c r="G6511" i="3"/>
  <c r="G6519" i="3"/>
  <c r="G6526" i="3"/>
  <c r="G6535" i="3"/>
  <c r="G6543" i="3"/>
  <c r="G6551" i="3"/>
  <c r="G6559" i="3"/>
  <c r="G6567" i="3"/>
  <c r="G6575" i="3"/>
  <c r="G6583" i="3"/>
  <c r="G6591" i="3"/>
  <c r="G6599" i="3"/>
  <c r="G6607" i="3"/>
  <c r="G6615" i="3"/>
  <c r="G6623" i="3"/>
  <c r="G6631" i="3"/>
  <c r="G6639" i="3"/>
  <c r="G6647" i="3"/>
  <c r="G6655" i="3"/>
  <c r="G6663" i="3"/>
  <c r="G6671" i="3"/>
  <c r="G6679" i="3"/>
  <c r="G6687" i="3"/>
  <c r="G6695" i="3"/>
  <c r="G6703" i="3"/>
  <c r="G6711" i="3"/>
  <c r="G6719" i="3"/>
  <c r="G6727" i="3"/>
  <c r="G6735" i="3"/>
  <c r="G6743" i="3"/>
  <c r="G6751" i="3"/>
  <c r="G6759" i="3"/>
  <c r="G6767" i="3"/>
  <c r="G6775" i="3"/>
  <c r="G6783" i="3"/>
  <c r="G6791" i="3"/>
  <c r="G6799" i="3"/>
  <c r="G6807" i="3"/>
  <c r="G6815" i="3"/>
  <c r="G6823" i="3"/>
  <c r="G6831" i="3"/>
  <c r="G6839" i="3"/>
  <c r="G6847" i="3"/>
  <c r="G6855" i="3"/>
  <c r="G6863" i="3"/>
  <c r="G6871" i="3"/>
  <c r="G6879" i="3"/>
  <c r="G6887" i="3"/>
  <c r="G6895" i="3"/>
  <c r="G6903" i="3"/>
  <c r="G6621" i="3"/>
  <c r="G6645" i="3"/>
  <c r="G6653" i="3"/>
  <c r="G6661" i="3"/>
  <c r="G6685" i="3"/>
  <c r="G6709" i="3"/>
  <c r="G6717" i="3"/>
  <c r="G6725" i="3"/>
  <c r="G6749" i="3"/>
  <c r="G6773" i="3"/>
  <c r="G6781" i="3"/>
  <c r="G6789" i="3"/>
  <c r="G6813" i="3"/>
  <c r="G6837" i="3"/>
  <c r="G6845" i="3"/>
  <c r="G6853" i="3"/>
  <c r="G6877" i="3"/>
  <c r="G6893" i="3"/>
  <c r="G7109" i="3"/>
  <c r="G7133" i="3"/>
  <c r="G7141" i="3"/>
  <c r="G7148" i="3"/>
  <c r="G7173" i="3"/>
  <c r="G7189" i="3"/>
  <c r="G7197" i="3"/>
  <c r="G7205" i="3"/>
  <c r="G7213" i="3"/>
  <c r="G7221" i="3"/>
  <c r="G7229" i="3"/>
  <c r="G7237" i="3"/>
  <c r="G7245" i="3"/>
  <c r="G7253" i="3"/>
  <c r="G7261" i="3"/>
  <c r="G7269" i="3"/>
  <c r="G6822" i="3"/>
  <c r="G6846" i="3"/>
  <c r="G6854" i="3"/>
  <c r="G6862" i="3"/>
  <c r="G6886" i="3"/>
  <c r="G7118" i="3"/>
  <c r="G7142" i="3"/>
  <c r="G7150" i="3"/>
  <c r="G7158" i="3"/>
  <c r="G7606" i="3"/>
  <c r="G7614" i="3"/>
  <c r="G7622" i="3"/>
  <c r="G7630" i="3"/>
  <c r="G7638" i="3"/>
  <c r="G7646" i="3"/>
  <c r="G7654" i="3"/>
  <c r="G7662" i="3"/>
  <c r="G7670" i="3"/>
  <c r="G7678" i="3"/>
  <c r="G7686" i="3"/>
  <c r="G7694" i="3"/>
  <c r="G7702" i="3"/>
  <c r="G7710" i="3"/>
  <c r="G7718" i="3"/>
  <c r="G7726" i="3"/>
  <c r="G7734" i="3"/>
  <c r="G7742" i="3"/>
  <c r="G7750" i="3"/>
  <c r="G7757" i="3"/>
  <c r="G7766" i="3"/>
  <c r="G7774" i="3"/>
  <c r="G7782" i="3"/>
  <c r="G7790" i="3"/>
  <c r="G7797" i="3"/>
  <c r="G7806" i="3"/>
  <c r="G7814" i="3"/>
  <c r="G7822" i="3"/>
  <c r="G7830" i="3"/>
  <c r="G7838" i="3"/>
  <c r="G7846" i="3"/>
  <c r="G7854" i="3"/>
  <c r="G7862" i="3"/>
  <c r="G7870" i="3"/>
  <c r="G7878" i="3"/>
  <c r="G7886" i="3"/>
  <c r="G7893" i="3"/>
  <c r="G7902" i="3"/>
  <c r="G6911" i="3"/>
  <c r="G6919" i="3"/>
  <c r="G6927" i="3"/>
  <c r="G6935" i="3"/>
  <c r="G6943" i="3"/>
  <c r="G6951" i="3"/>
  <c r="G6959" i="3"/>
  <c r="G6967" i="3"/>
  <c r="G6975" i="3"/>
  <c r="G6983" i="3"/>
  <c r="G6991" i="3"/>
  <c r="G6999" i="3"/>
  <c r="G7007" i="3"/>
  <c r="G7015" i="3"/>
  <c r="G7023" i="3"/>
  <c r="G7031" i="3"/>
  <c r="G7039" i="3"/>
  <c r="G7047" i="3"/>
  <c r="G7055" i="3"/>
  <c r="G7063" i="3"/>
  <c r="G7070" i="3"/>
  <c r="G7079" i="3"/>
  <c r="G7087" i="3"/>
  <c r="G7095" i="3"/>
  <c r="G7103" i="3"/>
  <c r="G7127" i="3"/>
  <c r="G7151" i="3"/>
  <c r="G7159" i="3"/>
  <c r="G7167" i="3"/>
  <c r="G7599" i="3"/>
  <c r="G7607" i="3"/>
  <c r="G7615" i="3"/>
  <c r="G7623" i="3"/>
  <c r="G7631" i="3"/>
  <c r="G7639" i="3"/>
  <c r="G7647" i="3"/>
  <c r="G7655" i="3"/>
  <c r="G7663" i="3"/>
  <c r="G7671" i="3"/>
  <c r="G7679" i="3"/>
  <c r="G7687" i="3"/>
  <c r="G7695" i="3"/>
  <c r="G7703" i="3"/>
  <c r="G7711" i="3"/>
  <c r="G7719" i="3"/>
  <c r="G7727" i="3"/>
  <c r="G7735" i="3"/>
  <c r="G7743" i="3"/>
  <c r="G7751" i="3"/>
  <c r="G7759" i="3"/>
  <c r="G7767" i="3"/>
  <c r="G7775" i="3"/>
  <c r="G7783" i="3"/>
  <c r="G7791" i="3"/>
  <c r="G7799" i="3"/>
  <c r="G7807" i="3"/>
  <c r="G7815" i="3"/>
  <c r="G7823" i="3"/>
  <c r="G7831" i="3"/>
  <c r="G7839" i="3"/>
  <c r="G7847" i="3"/>
  <c r="G7855" i="3"/>
  <c r="G7863" i="3"/>
  <c r="G7871" i="3"/>
  <c r="G7879" i="3"/>
  <c r="G7887" i="3"/>
  <c r="G7895" i="3"/>
  <c r="G7903" i="3"/>
  <c r="G6616" i="3"/>
  <c r="G6624" i="3"/>
  <c r="G6648" i="3"/>
  <c r="G6672" i="3"/>
  <c r="G6680" i="3"/>
  <c r="G6688" i="3"/>
  <c r="G6712" i="3"/>
  <c r="G6736" i="3"/>
  <c r="G6744" i="3"/>
  <c r="G6752" i="3"/>
  <c r="G6776" i="3"/>
  <c r="G6800" i="3"/>
  <c r="G6808" i="3"/>
  <c r="G6816" i="3"/>
  <c r="G6840" i="3"/>
  <c r="G6864" i="3"/>
  <c r="G6872" i="3"/>
  <c r="G6880" i="3"/>
  <c r="G6896" i="3"/>
  <c r="G6904" i="3"/>
  <c r="G6912" i="3"/>
  <c r="G6920" i="3"/>
  <c r="G6928" i="3"/>
  <c r="G6936" i="3"/>
  <c r="G6944" i="3"/>
  <c r="G6952" i="3"/>
  <c r="G6960" i="3"/>
  <c r="G6968" i="3"/>
  <c r="G6976" i="3"/>
  <c r="G6984" i="3"/>
  <c r="G6992" i="3"/>
  <c r="G7000" i="3"/>
  <c r="G7008" i="3"/>
  <c r="G7016" i="3"/>
  <c r="G7024" i="3"/>
  <c r="G7032" i="3"/>
  <c r="G7040" i="3"/>
  <c r="G7048" i="3"/>
  <c r="G7056" i="3"/>
  <c r="G7064" i="3"/>
  <c r="G7072" i="3"/>
  <c r="G7080" i="3"/>
  <c r="G7089" i="3"/>
  <c r="G7096" i="3"/>
  <c r="G7104" i="3"/>
  <c r="G7112" i="3"/>
  <c r="G7136" i="3"/>
  <c r="G7160" i="3"/>
  <c r="G7168" i="3"/>
  <c r="G7176" i="3"/>
  <c r="G7346" i="3"/>
  <c r="G7456" i="3"/>
  <c r="G7464" i="3"/>
  <c r="G7472" i="3"/>
  <c r="G7480" i="3"/>
  <c r="G7488" i="3"/>
  <c r="G7496" i="3"/>
  <c r="G7504" i="3"/>
  <c r="G7512" i="3"/>
  <c r="G7520" i="3"/>
  <c r="G7528" i="3"/>
  <c r="G7535" i="3"/>
  <c r="G7544" i="3"/>
  <c r="G7552" i="3"/>
  <c r="G7560" i="3"/>
  <c r="G7568" i="3"/>
  <c r="G7576" i="3"/>
  <c r="G7584" i="3"/>
  <c r="G7592" i="3"/>
  <c r="G7600" i="3"/>
  <c r="G7608" i="3"/>
  <c r="G7616" i="3"/>
  <c r="G7624" i="3"/>
  <c r="G7632" i="3"/>
  <c r="G7640" i="3"/>
  <c r="G7648" i="3"/>
  <c r="G7657" i="3"/>
  <c r="G7664" i="3"/>
  <c r="G7672" i="3"/>
  <c r="G7680" i="3"/>
  <c r="G7688" i="3"/>
  <c r="G7696" i="3"/>
  <c r="G7704" i="3"/>
  <c r="G7712" i="3"/>
  <c r="G7720" i="3"/>
  <c r="G7728" i="3"/>
  <c r="G7736" i="3"/>
  <c r="G7744" i="3"/>
  <c r="G7752" i="3"/>
  <c r="G7760" i="3"/>
  <c r="G7769" i="3"/>
  <c r="G7776" i="3"/>
  <c r="G7784" i="3"/>
  <c r="G7792" i="3"/>
  <c r="G7800" i="3"/>
  <c r="G7808" i="3"/>
  <c r="G7816" i="3"/>
  <c r="G7824" i="3"/>
  <c r="G7832" i="3"/>
  <c r="G7840" i="3"/>
  <c r="G7848" i="3"/>
  <c r="G7856" i="3"/>
  <c r="G7864" i="3"/>
  <c r="G7872" i="3"/>
  <c r="G7880" i="3"/>
  <c r="G7888" i="3"/>
  <c r="G7896" i="3"/>
  <c r="G7904" i="3"/>
  <c r="G6609" i="3"/>
  <c r="G6617" i="3"/>
  <c r="G6625" i="3"/>
  <c r="G6633" i="3"/>
  <c r="G6657" i="3"/>
  <c r="G6681" i="3"/>
  <c r="G6689" i="3"/>
  <c r="G6697" i="3"/>
  <c r="G6721" i="3"/>
  <c r="G6745" i="3"/>
  <c r="G6753" i="3"/>
  <c r="G6761" i="3"/>
  <c r="G6785" i="3"/>
  <c r="G6809" i="3"/>
  <c r="G6817" i="3"/>
  <c r="G6825" i="3"/>
  <c r="G6849" i="3"/>
  <c r="G6873" i="3"/>
  <c r="G6881" i="3"/>
  <c r="G6889" i="3"/>
  <c r="G6897" i="3"/>
  <c r="G6905" i="3"/>
  <c r="G6913" i="3"/>
  <c r="G6921" i="3"/>
  <c r="G6929" i="3"/>
  <c r="G6937" i="3"/>
  <c r="G6945" i="3"/>
  <c r="G6953" i="3"/>
  <c r="G6961" i="3"/>
  <c r="G6969" i="3"/>
  <c r="G6977" i="3"/>
  <c r="G6985" i="3"/>
  <c r="G6993" i="3"/>
  <c r="G7001" i="3"/>
  <c r="G7009" i="3"/>
  <c r="G7017" i="3"/>
  <c r="G7025" i="3"/>
  <c r="G7033" i="3"/>
  <c r="G7041" i="3"/>
  <c r="G7049" i="3"/>
  <c r="G7057" i="3"/>
  <c r="G7065" i="3"/>
  <c r="G7073" i="3"/>
  <c r="G7081" i="3"/>
  <c r="G7088" i="3"/>
  <c r="G7097" i="3"/>
  <c r="G7105" i="3"/>
  <c r="G7113" i="3"/>
  <c r="G7121" i="3"/>
  <c r="G7144" i="3"/>
  <c r="G7169" i="3"/>
  <c r="G7177" i="3"/>
  <c r="G7273" i="3"/>
  <c r="G7281" i="3"/>
  <c r="G7289" i="3"/>
  <c r="G7297" i="3"/>
  <c r="G7305" i="3"/>
  <c r="G7313" i="3"/>
  <c r="G7321" i="3"/>
  <c r="G7329" i="3"/>
  <c r="G7337" i="3"/>
  <c r="G7345" i="3"/>
  <c r="G6570" i="3"/>
  <c r="G6578" i="3"/>
  <c r="G6586" i="3"/>
  <c r="G6594" i="3"/>
  <c r="G6602" i="3"/>
  <c r="G6610" i="3"/>
  <c r="G6618" i="3"/>
  <c r="G6626" i="3"/>
  <c r="G6634" i="3"/>
  <c r="G6642" i="3"/>
  <c r="G6650" i="3"/>
  <c r="G6658" i="3"/>
  <c r="G6666" i="3"/>
  <c r="G6674" i="3"/>
  <c r="G6682" i="3"/>
  <c r="G6690" i="3"/>
  <c r="G6698" i="3"/>
  <c r="G6706" i="3"/>
  <c r="G6714" i="3"/>
  <c r="G6722" i="3"/>
  <c r="G6730" i="3"/>
  <c r="G6738" i="3"/>
  <c r="G6746" i="3"/>
  <c r="G6754" i="3"/>
  <c r="G6762" i="3"/>
  <c r="G6770" i="3"/>
  <c r="G6778" i="3"/>
  <c r="G6786" i="3"/>
  <c r="G6794" i="3"/>
  <c r="G6802" i="3"/>
  <c r="G6810" i="3"/>
  <c r="G6818" i="3"/>
  <c r="G6826" i="3"/>
  <c r="G6834" i="3"/>
  <c r="G6842" i="3"/>
  <c r="G6850" i="3"/>
  <c r="G6858" i="3"/>
  <c r="G6866" i="3"/>
  <c r="G6874" i="3"/>
  <c r="G6882" i="3"/>
  <c r="G6890" i="3"/>
  <c r="G7114" i="3"/>
  <c r="G7122" i="3"/>
  <c r="G7130" i="3"/>
  <c r="G7154" i="3"/>
  <c r="G7178" i="3"/>
  <c r="G7274" i="3"/>
  <c r="G7282" i="3"/>
  <c r="G7290" i="3"/>
  <c r="G7298" i="3"/>
  <c r="G7306" i="3"/>
  <c r="G7314" i="3"/>
  <c r="G7322" i="3"/>
  <c r="G7330" i="3"/>
  <c r="G7338" i="3"/>
  <c r="G6387" i="3"/>
  <c r="G6395" i="3"/>
  <c r="G6403" i="3"/>
  <c r="G6411" i="3"/>
  <c r="G6419" i="3"/>
  <c r="G6427" i="3"/>
  <c r="G6435" i="3"/>
  <c r="G6442" i="3"/>
  <c r="G6451" i="3"/>
  <c r="G6459" i="3"/>
  <c r="G6467" i="3"/>
  <c r="G6475" i="3"/>
  <c r="G6483" i="3"/>
  <c r="G6491" i="3"/>
  <c r="G6499" i="3"/>
  <c r="G6507" i="3"/>
  <c r="G6515" i="3"/>
  <c r="G6523" i="3"/>
  <c r="G6531" i="3"/>
  <c r="G6539" i="3"/>
  <c r="G6548" i="3"/>
  <c r="G6555" i="3"/>
  <c r="G6563" i="3"/>
  <c r="G6571" i="3"/>
  <c r="G6579" i="3"/>
  <c r="G6587" i="3"/>
  <c r="G6595" i="3"/>
  <c r="G6603" i="3"/>
  <c r="G6611" i="3"/>
  <c r="G6892" i="3"/>
  <c r="G6627" i="3"/>
  <c r="G6635" i="3"/>
  <c r="G6643" i="3"/>
  <c r="G6667" i="3"/>
  <c r="G6691" i="3"/>
  <c r="G6699" i="3"/>
  <c r="G6707" i="3"/>
  <c r="G6731" i="3"/>
  <c r="G6755" i="3"/>
  <c r="G6763" i="3"/>
  <c r="G6771" i="3"/>
  <c r="G6795" i="3"/>
  <c r="G6819" i="3"/>
  <c r="G6827" i="3"/>
  <c r="G6835" i="3"/>
  <c r="G6859" i="3"/>
  <c r="G6883" i="3"/>
  <c r="G6891" i="3"/>
  <c r="G7107" i="3"/>
  <c r="G7115" i="3"/>
  <c r="G7123" i="3"/>
  <c r="G7132" i="3"/>
  <c r="G7139" i="3"/>
  <c r="G7147" i="3"/>
  <c r="G7155" i="3"/>
  <c r="G7163" i="3"/>
  <c r="G7171" i="3"/>
  <c r="G7179" i="3"/>
  <c r="G7187" i="3"/>
  <c r="G7195" i="3"/>
  <c r="G7203" i="3"/>
  <c r="G7211" i="3"/>
  <c r="G7219" i="3"/>
  <c r="G7227" i="3"/>
  <c r="G7235" i="3"/>
  <c r="G7243" i="3"/>
  <c r="G7251" i="3"/>
  <c r="G7259" i="3"/>
  <c r="G7267" i="3"/>
  <c r="G7275" i="3"/>
  <c r="G7283" i="3"/>
  <c r="G7291" i="3"/>
  <c r="G7299" i="3"/>
  <c r="G7307" i="3"/>
  <c r="G7315" i="3"/>
  <c r="G7323" i="3"/>
  <c r="G7331" i="3"/>
  <c r="G7339" i="3"/>
  <c r="G7347" i="3"/>
  <c r="G7036" i="3"/>
  <c r="G7044" i="3"/>
  <c r="G7053" i="3"/>
  <c r="G7060" i="3"/>
  <c r="G7068" i="3"/>
  <c r="G7076" i="3"/>
  <c r="G7084" i="3"/>
  <c r="G7091" i="3"/>
  <c r="G7100" i="3"/>
  <c r="G7124" i="3"/>
  <c r="G7131" i="3"/>
  <c r="G7140" i="3"/>
  <c r="G7164" i="3"/>
  <c r="G7272" i="3"/>
  <c r="G7188" i="3"/>
  <c r="G7196" i="3"/>
  <c r="G7204" i="3"/>
  <c r="G7212" i="3"/>
  <c r="G7220" i="3"/>
  <c r="G7228" i="3"/>
  <c r="G7236" i="3"/>
  <c r="G7244" i="3"/>
  <c r="G7252" i="3"/>
  <c r="G7260" i="3"/>
  <c r="G7268" i="3"/>
  <c r="G7910" i="3"/>
  <c r="E2547" i="3" l="1"/>
  <c r="E6231" i="3"/>
  <c r="E6621" i="3"/>
  <c r="E5854" i="3"/>
  <c r="E1936" i="3"/>
  <c r="E6894" i="3"/>
  <c r="E5602" i="3"/>
  <c r="E6625" i="3"/>
  <c r="E2552" i="3"/>
  <c r="E4420" i="3"/>
  <c r="E6237" i="3"/>
  <c r="E307" i="3"/>
  <c r="E851" i="3"/>
  <c r="E1404" i="3"/>
  <c r="E7183" i="3"/>
  <c r="E6241" i="3"/>
  <c r="E6631" i="3"/>
  <c r="E2560" i="3"/>
  <c r="E7353" i="3"/>
  <c r="E5615" i="3"/>
  <c r="E2563" i="3"/>
  <c r="E863" i="3"/>
  <c r="E4428" i="3"/>
  <c r="E2568" i="3"/>
  <c r="E4061" i="3"/>
  <c r="E5617" i="3"/>
  <c r="E1952" i="3"/>
  <c r="E6895" i="3"/>
  <c r="E4063" i="3"/>
  <c r="E4430" i="3"/>
  <c r="E1959" i="3"/>
  <c r="E873" i="3"/>
  <c r="E7273" i="3"/>
  <c r="E1960" i="3"/>
  <c r="E4282" i="3"/>
  <c r="E6639" i="3"/>
  <c r="E6261" i="3"/>
  <c r="E5625" i="3"/>
  <c r="E882" i="3"/>
  <c r="E4436" i="3"/>
  <c r="E2586" i="3"/>
  <c r="E5628" i="3"/>
  <c r="E7187" i="3"/>
  <c r="E5632" i="3"/>
  <c r="E5864" i="3"/>
  <c r="E1963" i="3"/>
  <c r="E5637" i="3"/>
  <c r="E4067" i="3"/>
  <c r="E892" i="3"/>
  <c r="E2595" i="3"/>
  <c r="E2320" i="3"/>
  <c r="E4442" i="3"/>
  <c r="E2599" i="3"/>
  <c r="E2601" i="3"/>
  <c r="E1422" i="3"/>
  <c r="E899" i="3"/>
  <c r="E6281" i="3"/>
  <c r="E7188" i="3"/>
  <c r="E7378" i="3"/>
  <c r="E7189" i="3"/>
  <c r="E906" i="3"/>
  <c r="E2611" i="3"/>
  <c r="E5644" i="3"/>
  <c r="E7383" i="3"/>
  <c r="E5868" i="3"/>
  <c r="E7385" i="3"/>
  <c r="E6286" i="3"/>
  <c r="E2620" i="3"/>
  <c r="E7388" i="3"/>
  <c r="E4070" i="3"/>
  <c r="E4452" i="3"/>
  <c r="E4454" i="3"/>
  <c r="E1430" i="3"/>
  <c r="E2628" i="3"/>
  <c r="E2631" i="3"/>
  <c r="E7391" i="3"/>
  <c r="E917" i="3"/>
  <c r="E1435" i="3"/>
  <c r="E6665" i="3"/>
  <c r="E7394" i="3"/>
  <c r="E2638" i="3"/>
  <c r="E7194" i="3"/>
  <c r="E7398" i="3"/>
  <c r="E921" i="3"/>
  <c r="E5663" i="3"/>
  <c r="E842" i="3"/>
  <c r="E7347" i="3"/>
  <c r="E438" i="3"/>
  <c r="E5600" i="3"/>
  <c r="E2" i="3"/>
  <c r="E4418" i="3"/>
  <c r="E4055" i="3"/>
  <c r="E845" i="3"/>
  <c r="E2553" i="3"/>
  <c r="E2555" i="3"/>
  <c r="E6628" i="3"/>
  <c r="E849" i="3"/>
  <c r="E6239" i="3"/>
  <c r="E2559" i="3"/>
  <c r="E4421" i="3"/>
  <c r="E855" i="3"/>
  <c r="E858" i="3"/>
  <c r="E6" i="3"/>
  <c r="E1945" i="3"/>
  <c r="E6245" i="3"/>
  <c r="E1946" i="3"/>
  <c r="E1948" i="3"/>
  <c r="E5616" i="3"/>
  <c r="E4060" i="3"/>
  <c r="E865" i="3"/>
  <c r="E867" i="3"/>
  <c r="E7185" i="3"/>
  <c r="E870" i="3"/>
  <c r="E2574" i="3"/>
  <c r="E9" i="3"/>
  <c r="E1406" i="3"/>
  <c r="E874" i="3"/>
  <c r="E444" i="3"/>
  <c r="E7361" i="3"/>
  <c r="E1410" i="3"/>
  <c r="E5860" i="3"/>
  <c r="E4434" i="3"/>
  <c r="E883" i="3"/>
  <c r="E1414" i="3"/>
  <c r="E6265" i="3"/>
  <c r="E4438" i="3"/>
  <c r="E2319" i="3"/>
  <c r="E1415" i="3"/>
  <c r="E2588" i="3"/>
  <c r="E6272" i="3"/>
  <c r="E7368" i="3"/>
  <c r="E2592" i="3"/>
  <c r="E1419" i="3"/>
  <c r="E11" i="3"/>
  <c r="E5639" i="3"/>
  <c r="E2321" i="3"/>
  <c r="E7374" i="3"/>
  <c r="E896" i="3"/>
  <c r="E5640" i="3"/>
  <c r="E2605" i="3"/>
  <c r="E2607" i="3"/>
  <c r="E2608" i="3"/>
  <c r="E4068" i="3"/>
  <c r="E5642" i="3"/>
  <c r="E1970" i="3"/>
  <c r="E6657" i="3"/>
  <c r="E5645" i="3"/>
  <c r="E4447" i="3"/>
  <c r="E4448" i="3"/>
  <c r="E2616" i="3"/>
  <c r="E5649" i="3"/>
  <c r="E7387" i="3"/>
  <c r="E15" i="3"/>
  <c r="E1427" i="3"/>
  <c r="E2624" i="3"/>
  <c r="E2323" i="3"/>
  <c r="E6290" i="3"/>
  <c r="E2629" i="3"/>
  <c r="E7390" i="3"/>
  <c r="E2632" i="3"/>
  <c r="E5657" i="3"/>
  <c r="E7393" i="3"/>
  <c r="E6666" i="3"/>
  <c r="E5869" i="3"/>
  <c r="E7395" i="3"/>
  <c r="E7396" i="3"/>
  <c r="E4417" i="3"/>
  <c r="E7348" i="3"/>
  <c r="E1393" i="3"/>
  <c r="E1397" i="3"/>
  <c r="E1399" i="3"/>
  <c r="E4054" i="3"/>
  <c r="E2314" i="3"/>
  <c r="E6626" i="3"/>
  <c r="E847" i="3"/>
  <c r="E441" i="3"/>
  <c r="E2557" i="3"/>
  <c r="E6629" i="3"/>
  <c r="E2315" i="3"/>
  <c r="E852" i="3"/>
  <c r="E5610" i="3"/>
  <c r="E2316" i="3"/>
  <c r="E1943" i="3"/>
  <c r="E7352" i="3"/>
  <c r="E4423" i="3"/>
  <c r="E4425" i="3"/>
  <c r="E862" i="3"/>
  <c r="E6247" i="3"/>
  <c r="E864" i="3"/>
  <c r="E6248" i="3"/>
  <c r="E4062" i="3"/>
  <c r="E868" i="3"/>
  <c r="E1953" i="3"/>
  <c r="E5618" i="3"/>
  <c r="E5619" i="3"/>
  <c r="E6254" i="3"/>
  <c r="E2577" i="3"/>
  <c r="E1408" i="3"/>
  <c r="E4064" i="3"/>
  <c r="E2580" i="3"/>
  <c r="E878" i="3"/>
  <c r="E5623" i="3"/>
  <c r="E6641" i="3"/>
  <c r="E6230" i="3"/>
  <c r="E6232" i="3"/>
  <c r="E1394" i="3"/>
  <c r="E843" i="3"/>
  <c r="E2550" i="3"/>
  <c r="E1400" i="3"/>
  <c r="E5603" i="3"/>
  <c r="E2551" i="3"/>
  <c r="E6627" i="3"/>
  <c r="E6236" i="3"/>
  <c r="E1402" i="3"/>
  <c r="E850" i="3"/>
  <c r="E5606" i="3"/>
  <c r="E5607" i="3"/>
  <c r="E854" i="3"/>
  <c r="E6242" i="3"/>
  <c r="E5" i="3"/>
  <c r="E2561" i="3"/>
  <c r="E5613" i="3"/>
  <c r="E2313" i="3"/>
  <c r="E7349" i="3"/>
  <c r="E7181" i="3"/>
  <c r="E1398" i="3"/>
  <c r="E6893" i="3"/>
  <c r="E5601" i="3"/>
  <c r="E4419" i="3"/>
  <c r="E1937" i="3"/>
  <c r="E2554" i="3"/>
  <c r="E2556" i="3"/>
  <c r="E1938" i="3"/>
  <c r="E1940" i="3"/>
  <c r="E2558" i="3"/>
  <c r="E853" i="3"/>
  <c r="E4422" i="3"/>
  <c r="E856" i="3"/>
  <c r="E6243" i="3"/>
  <c r="E860" i="3"/>
  <c r="E4281" i="3"/>
  <c r="E6246" i="3"/>
  <c r="E6634" i="3"/>
  <c r="E4059" i="3"/>
  <c r="E2567" i="3"/>
  <c r="E7" i="3"/>
  <c r="E7184" i="3"/>
  <c r="E8" i="3"/>
  <c r="E2573" i="3"/>
  <c r="E1954" i="3"/>
  <c r="E5859" i="3"/>
  <c r="E2576" i="3"/>
  <c r="E6256" i="3"/>
  <c r="E7359" i="3"/>
  <c r="E2578" i="3"/>
  <c r="E2581" i="3"/>
  <c r="E5621" i="3"/>
  <c r="E1392" i="3"/>
  <c r="E1720" i="3"/>
  <c r="E1395" i="3"/>
  <c r="E5855" i="3"/>
  <c r="E7350" i="3"/>
  <c r="E1721" i="3"/>
  <c r="E439" i="3"/>
  <c r="E7351" i="3"/>
  <c r="E6235" i="3"/>
  <c r="E5605" i="3"/>
  <c r="E1403" i="3"/>
  <c r="E4056" i="3"/>
  <c r="E308" i="3"/>
  <c r="E1941" i="3"/>
  <c r="E5611" i="3"/>
  <c r="E857" i="3"/>
  <c r="E1944" i="3"/>
  <c r="E6244" i="3"/>
  <c r="E4424" i="3"/>
  <c r="E4058" i="3"/>
  <c r="E4427" i="3"/>
  <c r="E1949" i="3"/>
  <c r="E7354" i="3"/>
  <c r="E7355" i="3"/>
  <c r="E2570" i="3"/>
  <c r="E2571" i="3"/>
  <c r="E6250" i="3"/>
  <c r="E1955" i="3"/>
  <c r="E6620" i="3"/>
  <c r="E5599" i="3"/>
  <c r="E6622" i="3"/>
  <c r="E2549" i="3"/>
  <c r="E7182" i="3"/>
  <c r="E5598" i="3"/>
  <c r="E2548" i="3"/>
  <c r="E1396" i="3"/>
  <c r="E6233" i="3"/>
  <c r="E844" i="3"/>
  <c r="E1401" i="3"/>
  <c r="E5604" i="3"/>
  <c r="E6234" i="3"/>
  <c r="E440" i="3"/>
  <c r="E5856" i="3"/>
  <c r="E3" i="3"/>
  <c r="E6238" i="3"/>
  <c r="E6623" i="3"/>
  <c r="E6240" i="3"/>
  <c r="E859" i="3"/>
  <c r="E2564" i="3"/>
  <c r="E2317" i="3"/>
  <c r="E2572" i="3"/>
  <c r="E871" i="3"/>
  <c r="E872" i="3"/>
  <c r="E877" i="3"/>
  <c r="E879" i="3"/>
  <c r="E6260" i="3"/>
  <c r="E1961" i="3"/>
  <c r="E6263" i="3"/>
  <c r="E6643" i="3"/>
  <c r="E6645" i="3"/>
  <c r="E888" i="3"/>
  <c r="E7366" i="3"/>
  <c r="E4440" i="3"/>
  <c r="E6646" i="3"/>
  <c r="E893" i="3"/>
  <c r="E7372" i="3"/>
  <c r="E6276" i="3"/>
  <c r="E5865" i="3"/>
  <c r="E2603" i="3"/>
  <c r="E5866" i="3"/>
  <c r="E6282" i="3"/>
  <c r="E6283" i="3"/>
  <c r="E4445" i="3"/>
  <c r="E6656" i="3"/>
  <c r="E5643" i="3"/>
  <c r="E5646" i="3"/>
  <c r="E6285" i="3"/>
  <c r="E6659" i="3"/>
  <c r="E1976" i="3"/>
  <c r="E1977" i="3"/>
  <c r="E16" i="3"/>
  <c r="E1429" i="3"/>
  <c r="E451" i="3"/>
  <c r="E2630" i="3"/>
  <c r="E5655" i="3"/>
  <c r="E2633" i="3"/>
  <c r="E2635" i="3"/>
  <c r="E918" i="3"/>
  <c r="E920" i="3"/>
  <c r="E2641" i="3"/>
  <c r="E6671" i="3"/>
  <c r="E5662" i="3"/>
  <c r="E5664" i="3"/>
  <c r="E4074" i="3"/>
  <c r="E4075" i="3"/>
  <c r="E5666" i="3"/>
  <c r="E5668" i="3"/>
  <c r="E1445" i="3"/>
  <c r="E925" i="3"/>
  <c r="E7406" i="3"/>
  <c r="E6676" i="3"/>
  <c r="E2660" i="3"/>
  <c r="E458" i="3"/>
  <c r="E5674" i="3"/>
  <c r="E2664" i="3"/>
  <c r="E4465" i="3"/>
  <c r="E928" i="3"/>
  <c r="E7418" i="3"/>
  <c r="E5682" i="3"/>
  <c r="E2670" i="3"/>
  <c r="E1990" i="3"/>
  <c r="E312" i="3"/>
  <c r="E2325" i="3"/>
  <c r="E460" i="3"/>
  <c r="E6684" i="3"/>
  <c r="E6686" i="3"/>
  <c r="E1994" i="3"/>
  <c r="E938" i="3"/>
  <c r="E6307" i="3"/>
  <c r="E1461" i="3"/>
  <c r="E5689" i="3"/>
  <c r="E7431" i="3"/>
  <c r="E7433" i="3"/>
  <c r="E4081" i="3"/>
  <c r="E1463" i="3"/>
  <c r="E6694" i="3"/>
  <c r="E4082" i="3"/>
  <c r="E4083" i="3"/>
  <c r="E2693" i="3"/>
  <c r="E7439" i="3"/>
  <c r="E6624" i="3"/>
  <c r="E5608" i="3"/>
  <c r="E4057" i="3"/>
  <c r="E1947" i="3"/>
  <c r="E6249" i="3"/>
  <c r="E7357" i="3"/>
  <c r="E1957" i="3"/>
  <c r="E4431" i="3"/>
  <c r="E4433" i="3"/>
  <c r="E7186" i="3"/>
  <c r="E1412" i="3"/>
  <c r="E5626" i="3"/>
  <c r="E6642" i="3"/>
  <c r="E6266" i="3"/>
  <c r="E6269" i="3"/>
  <c r="E1724" i="3"/>
  <c r="E6270" i="3"/>
  <c r="E2591" i="3"/>
  <c r="E6647" i="3"/>
  <c r="E4441" i="3"/>
  <c r="E1964" i="3"/>
  <c r="E6277" i="3"/>
  <c r="E7375" i="3"/>
  <c r="E6651" i="3"/>
  <c r="E6653" i="3"/>
  <c r="E901" i="3"/>
  <c r="E6654" i="3"/>
  <c r="E904" i="3"/>
  <c r="E1971" i="3"/>
  <c r="E1425" i="3"/>
  <c r="E2612" i="3"/>
  <c r="E6658" i="3"/>
  <c r="E2617" i="3"/>
  <c r="E2619" i="3"/>
  <c r="E2622" i="3"/>
  <c r="E2623" i="3"/>
  <c r="E4453" i="3"/>
  <c r="E6661" i="3"/>
  <c r="E1431" i="3"/>
  <c r="E310" i="3"/>
  <c r="E2634" i="3"/>
  <c r="E7193" i="3"/>
  <c r="E2636" i="3"/>
  <c r="E1439" i="3"/>
  <c r="E2642" i="3"/>
  <c r="E5661" i="3"/>
  <c r="E2644" i="3"/>
  <c r="E4459" i="3"/>
  <c r="E1984" i="3"/>
  <c r="E924" i="3"/>
  <c r="E2650" i="3"/>
  <c r="E2651" i="3"/>
  <c r="E457" i="3"/>
  <c r="E1446" i="3"/>
  <c r="E4078" i="3"/>
  <c r="E7407" i="3"/>
  <c r="E1449" i="3"/>
  <c r="E20" i="3"/>
  <c r="E7413" i="3"/>
  <c r="E6677" i="3"/>
  <c r="E5679" i="3"/>
  <c r="E7416" i="3"/>
  <c r="E6680" i="3"/>
  <c r="E1453" i="3"/>
  <c r="E1988" i="3"/>
  <c r="E6683" i="3"/>
  <c r="E2673" i="3"/>
  <c r="E1456" i="3"/>
  <c r="E4468" i="3"/>
  <c r="E7421" i="3"/>
  <c r="E6687" i="3"/>
  <c r="E7423" i="3"/>
  <c r="E1458" i="3"/>
  <c r="E7427" i="3"/>
  <c r="E2680" i="3"/>
  <c r="E21" i="3"/>
  <c r="E7432" i="3"/>
  <c r="E2687" i="3"/>
  <c r="E5691" i="3"/>
  <c r="E4470" i="3"/>
  <c r="E6695" i="3"/>
  <c r="E7435" i="3"/>
  <c r="E2691" i="3"/>
  <c r="E4473" i="3"/>
  <c r="E7440" i="3"/>
  <c r="E846" i="3"/>
  <c r="E5609" i="3"/>
  <c r="E6632" i="3"/>
  <c r="E2565" i="3"/>
  <c r="E5858" i="3"/>
  <c r="E869" i="3"/>
  <c r="E6253" i="3"/>
  <c r="E4432" i="3"/>
  <c r="E2579" i="3"/>
  <c r="E5622" i="3"/>
  <c r="E880" i="3"/>
  <c r="E4435" i="3"/>
  <c r="E5861" i="3"/>
  <c r="E6644" i="3"/>
  <c r="E885" i="3"/>
  <c r="E5633" i="3"/>
  <c r="E2589" i="3"/>
  <c r="E5635" i="3"/>
  <c r="E7369" i="3"/>
  <c r="E2594" i="3"/>
  <c r="E6649" i="3"/>
  <c r="E895" i="3"/>
  <c r="E2600" i="3"/>
  <c r="E2604" i="3"/>
  <c r="E2606" i="3"/>
  <c r="E4283" i="3"/>
  <c r="E447" i="3"/>
  <c r="E6284" i="3"/>
  <c r="E1972" i="3"/>
  <c r="E5867" i="3"/>
  <c r="E7191" i="3"/>
  <c r="E4449" i="3"/>
  <c r="E7386" i="3"/>
  <c r="E448" i="3"/>
  <c r="E449" i="3"/>
  <c r="E1979" i="3"/>
  <c r="E450" i="3"/>
  <c r="E5652" i="3"/>
  <c r="E1432" i="3"/>
  <c r="E452" i="3"/>
  <c r="E7392" i="3"/>
  <c r="E4457" i="3"/>
  <c r="E1437" i="3"/>
  <c r="E6294" i="3"/>
  <c r="E7397" i="3"/>
  <c r="E1983" i="3"/>
  <c r="E2645" i="3"/>
  <c r="E1441" i="3"/>
  <c r="E7404" i="3"/>
  <c r="E2649" i="3"/>
  <c r="E4076" i="3"/>
  <c r="E1443" i="3"/>
  <c r="E5669" i="3"/>
  <c r="E2654" i="3"/>
  <c r="E2656" i="3"/>
  <c r="E7408" i="3"/>
  <c r="E926" i="3"/>
  <c r="E2662" i="3"/>
  <c r="E5871" i="3"/>
  <c r="E5677" i="3"/>
  <c r="E2666" i="3"/>
  <c r="E5680" i="3"/>
  <c r="E6681" i="3"/>
  <c r="E1987" i="3"/>
  <c r="E1989" i="3"/>
  <c r="E4467" i="3"/>
  <c r="E5684" i="3"/>
  <c r="E2676" i="3"/>
  <c r="E1992" i="3"/>
  <c r="E2326" i="3"/>
  <c r="E7422" i="3"/>
  <c r="E7424" i="3"/>
  <c r="E1459" i="3"/>
  <c r="E1460" i="3"/>
  <c r="E7429" i="3"/>
  <c r="E7430" i="3"/>
  <c r="E2683" i="3"/>
  <c r="E943" i="3"/>
  <c r="E6691" i="3"/>
  <c r="E6692" i="3"/>
  <c r="E5874" i="3"/>
  <c r="E7436" i="3"/>
  <c r="E1467" i="3"/>
  <c r="E2694" i="3"/>
  <c r="E5694" i="3"/>
  <c r="E848" i="3"/>
  <c r="E5612" i="3"/>
  <c r="E861" i="3"/>
  <c r="E6635" i="3"/>
  <c r="E2569" i="3"/>
  <c r="E6251" i="3"/>
  <c r="E2575" i="3"/>
  <c r="E1407" i="3"/>
  <c r="E1409" i="3"/>
  <c r="E6258" i="3"/>
  <c r="E4065" i="3"/>
  <c r="E881" i="3"/>
  <c r="E6264" i="3"/>
  <c r="E6267" i="3"/>
  <c r="E886" i="3"/>
  <c r="E7365" i="3"/>
  <c r="E7367" i="3"/>
  <c r="E442" i="3"/>
  <c r="E4" i="3"/>
  <c r="E5614" i="3"/>
  <c r="E1950" i="3"/>
  <c r="E866" i="3"/>
  <c r="E6252" i="3"/>
  <c r="E7358" i="3"/>
  <c r="E875" i="3"/>
  <c r="E445" i="3"/>
  <c r="E6259" i="3"/>
  <c r="E2583" i="3"/>
  <c r="E6262" i="3"/>
  <c r="E5862" i="3"/>
  <c r="E6268" i="3"/>
  <c r="E5629" i="3"/>
  <c r="E2587" i="3"/>
  <c r="E6271" i="3"/>
  <c r="E5638" i="3"/>
  <c r="E2593" i="3"/>
  <c r="E7371" i="3"/>
  <c r="E12" i="3"/>
  <c r="E7373" i="3"/>
  <c r="E6650" i="3"/>
  <c r="E4443" i="3"/>
  <c r="E900" i="3"/>
  <c r="E7377" i="3"/>
  <c r="E2609" i="3"/>
  <c r="E4446" i="3"/>
  <c r="E6897" i="3"/>
  <c r="E4069" i="3"/>
  <c r="E7384" i="3"/>
  <c r="E908" i="3"/>
  <c r="E5650" i="3"/>
  <c r="E6660" i="3"/>
  <c r="E911" i="3"/>
  <c r="E2625" i="3"/>
  <c r="E6289" i="3"/>
  <c r="E6662" i="3"/>
  <c r="E6664" i="3"/>
  <c r="E4456" i="3"/>
  <c r="E5658" i="3"/>
  <c r="E453" i="3"/>
  <c r="E6669" i="3"/>
  <c r="E2639" i="3"/>
  <c r="E5660" i="3"/>
  <c r="E7400" i="3"/>
  <c r="E4073" i="3"/>
  <c r="E7402" i="3"/>
  <c r="E1939" i="3"/>
  <c r="E5857" i="3"/>
  <c r="E6633" i="3"/>
  <c r="E6636" i="3"/>
  <c r="E1405" i="3"/>
  <c r="E6896" i="3"/>
  <c r="E1958" i="3"/>
  <c r="E6638" i="3"/>
  <c r="E2582" i="3"/>
  <c r="E6640" i="3"/>
  <c r="E6630" i="3"/>
  <c r="E1942" i="3"/>
  <c r="E4426" i="3"/>
  <c r="E2566" i="3"/>
  <c r="E1951" i="3"/>
  <c r="E4429" i="3"/>
  <c r="E6255" i="3"/>
  <c r="E5620" i="3"/>
  <c r="E6257" i="3"/>
  <c r="E443" i="3"/>
  <c r="E1722" i="3"/>
  <c r="E2562" i="3"/>
  <c r="E6637" i="3"/>
  <c r="E7356" i="3"/>
  <c r="E1956" i="3"/>
  <c r="E1723" i="3"/>
  <c r="E876" i="3"/>
  <c r="E7360" i="3"/>
  <c r="E2318" i="3"/>
  <c r="E5630" i="3"/>
  <c r="E5636" i="3"/>
  <c r="E6274" i="3"/>
  <c r="E2597" i="3"/>
  <c r="E6279" i="3"/>
  <c r="E902" i="3"/>
  <c r="E1969" i="3"/>
  <c r="E6898" i="3"/>
  <c r="E5647" i="3"/>
  <c r="E910" i="3"/>
  <c r="E5651" i="3"/>
  <c r="E7389" i="3"/>
  <c r="E6291" i="3"/>
  <c r="E1436" i="3"/>
  <c r="E1440" i="3"/>
  <c r="E311" i="3"/>
  <c r="E923" i="3"/>
  <c r="E2648" i="3"/>
  <c r="E5667" i="3"/>
  <c r="E1730" i="3"/>
  <c r="E1447" i="3"/>
  <c r="E7409" i="3"/>
  <c r="E2661" i="3"/>
  <c r="E6298" i="3"/>
  <c r="E927" i="3"/>
  <c r="E929" i="3"/>
  <c r="E7419" i="3"/>
  <c r="E931" i="3"/>
  <c r="E1991" i="3"/>
  <c r="E6303" i="3"/>
  <c r="E2678" i="3"/>
  <c r="E4469" i="3"/>
  <c r="E7426" i="3"/>
  <c r="E5873" i="3"/>
  <c r="E2684" i="3"/>
  <c r="E944" i="3"/>
  <c r="E4471" i="3"/>
  <c r="E2690" i="3"/>
  <c r="E5693" i="3"/>
  <c r="E6316" i="3"/>
  <c r="E2001" i="3"/>
  <c r="E5696" i="3"/>
  <c r="E5697" i="3"/>
  <c r="E7447" i="3"/>
  <c r="E1471" i="3"/>
  <c r="E5699" i="3"/>
  <c r="E2705" i="3"/>
  <c r="E7450" i="3"/>
  <c r="E954" i="3"/>
  <c r="E7453" i="3"/>
  <c r="E24" i="3"/>
  <c r="E7457" i="3"/>
  <c r="E1474" i="3"/>
  <c r="E1476" i="3"/>
  <c r="E958" i="3"/>
  <c r="E1477" i="3"/>
  <c r="E1479" i="3"/>
  <c r="E5704" i="3"/>
  <c r="E7466" i="3"/>
  <c r="E4479" i="3"/>
  <c r="E4086" i="3"/>
  <c r="E27" i="3"/>
  <c r="E2332" i="3"/>
  <c r="E6338" i="3"/>
  <c r="E7471" i="3"/>
  <c r="E5708" i="3"/>
  <c r="E6708" i="3"/>
  <c r="E7472" i="3"/>
  <c r="E6709" i="3"/>
  <c r="E7476" i="3"/>
  <c r="E4486" i="3"/>
  <c r="E2739" i="3"/>
  <c r="E973" i="3"/>
  <c r="E1495" i="3"/>
  <c r="E4488" i="3"/>
  <c r="E7485" i="3"/>
  <c r="E1498" i="3"/>
  <c r="E6715" i="3"/>
  <c r="E5883" i="3"/>
  <c r="E5713" i="3"/>
  <c r="E2748" i="3"/>
  <c r="E1744" i="3"/>
  <c r="E2752" i="3"/>
  <c r="E2753" i="3"/>
  <c r="E2755" i="3"/>
  <c r="E2759" i="3"/>
  <c r="E5885" i="3"/>
  <c r="E2767" i="3"/>
  <c r="E2769" i="3"/>
  <c r="E1509" i="3"/>
  <c r="E5888" i="3"/>
  <c r="E2776" i="3"/>
  <c r="E1511" i="3"/>
  <c r="E978" i="3"/>
  <c r="E2021" i="3"/>
  <c r="E7201" i="3"/>
  <c r="E7504" i="3"/>
  <c r="E5722" i="3"/>
  <c r="E6353" i="3"/>
  <c r="E4497" i="3"/>
  <c r="E5890" i="3"/>
  <c r="E1751" i="3"/>
  <c r="E4500" i="3"/>
  <c r="E5723" i="3"/>
  <c r="E6733" i="3"/>
  <c r="E5724" i="3"/>
  <c r="E985" i="3"/>
  <c r="E2025" i="3"/>
  <c r="E2804" i="3"/>
  <c r="E988" i="3"/>
  <c r="E2029" i="3"/>
  <c r="E1521" i="3"/>
  <c r="E2344" i="3"/>
  <c r="E4506" i="3"/>
  <c r="E5624" i="3"/>
  <c r="E7363" i="3"/>
  <c r="E5631" i="3"/>
  <c r="E1416" i="3"/>
  <c r="E1420" i="3"/>
  <c r="E13" i="3"/>
  <c r="E898" i="3"/>
  <c r="E2322" i="3"/>
  <c r="E2610" i="3"/>
  <c r="E7381" i="3"/>
  <c r="E1426" i="3"/>
  <c r="E6288" i="3"/>
  <c r="E1980" i="3"/>
  <c r="E915" i="3"/>
  <c r="E1433" i="3"/>
  <c r="E6900" i="3"/>
  <c r="E5659" i="3"/>
  <c r="E4072" i="3"/>
  <c r="E5665" i="3"/>
  <c r="E17" i="3"/>
  <c r="E1729" i="3"/>
  <c r="E4461" i="3"/>
  <c r="E5671" i="3"/>
  <c r="E6296" i="3"/>
  <c r="E6297" i="3"/>
  <c r="E5676" i="3"/>
  <c r="E7415" i="3"/>
  <c r="E2667" i="3"/>
  <c r="E6682" i="3"/>
  <c r="E1732" i="3"/>
  <c r="E2674" i="3"/>
  <c r="E936" i="3"/>
  <c r="E937" i="3"/>
  <c r="E1734" i="3"/>
  <c r="E6688" i="3"/>
  <c r="E6310" i="3"/>
  <c r="E2685" i="3"/>
  <c r="E945" i="3"/>
  <c r="E2689" i="3"/>
  <c r="E5692" i="3"/>
  <c r="E1468" i="3"/>
  <c r="E7441" i="3"/>
  <c r="E951" i="3"/>
  <c r="E317" i="3"/>
  <c r="E7446" i="3"/>
  <c r="E2699" i="3"/>
  <c r="E6699" i="3"/>
  <c r="E2704" i="3"/>
  <c r="E4085" i="3"/>
  <c r="E5877" i="3"/>
  <c r="E6325" i="3"/>
  <c r="E6702" i="3"/>
  <c r="E6327" i="3"/>
  <c r="E6329" i="3"/>
  <c r="E6330" i="3"/>
  <c r="E5878" i="3"/>
  <c r="E5702" i="3"/>
  <c r="E2717" i="3"/>
  <c r="E26" i="3"/>
  <c r="E959" i="3"/>
  <c r="E7467" i="3"/>
  <c r="E7468" i="3"/>
  <c r="E5706" i="3"/>
  <c r="E2725" i="3"/>
  <c r="E2726" i="3"/>
  <c r="E2728" i="3"/>
  <c r="E2731" i="3"/>
  <c r="E965" i="3"/>
  <c r="E4482" i="3"/>
  <c r="E2734" i="3"/>
  <c r="E4484" i="3"/>
  <c r="E970" i="3"/>
  <c r="E7478" i="3"/>
  <c r="E6340" i="3"/>
  <c r="E1494" i="3"/>
  <c r="E6341" i="3"/>
  <c r="E5712" i="3"/>
  <c r="E6343" i="3"/>
  <c r="E1499" i="3"/>
  <c r="E6905" i="3"/>
  <c r="E1500" i="3"/>
  <c r="E5714" i="3"/>
  <c r="E1502" i="3"/>
  <c r="E31" i="3"/>
  <c r="E5717" i="3"/>
  <c r="E2013" i="3"/>
  <c r="E2756" i="3"/>
  <c r="E2760" i="3"/>
  <c r="E977" i="3"/>
  <c r="E1506" i="3"/>
  <c r="E5886" i="3"/>
  <c r="E6351" i="3"/>
  <c r="E7500" i="3"/>
  <c r="E2340" i="3"/>
  <c r="E2777" i="3"/>
  <c r="E979" i="3"/>
  <c r="E2779" i="3"/>
  <c r="E5721" i="3"/>
  <c r="E6728" i="3"/>
  <c r="E2783" i="3"/>
  <c r="E1516" i="3"/>
  <c r="E6730" i="3"/>
  <c r="E1749" i="3"/>
  <c r="E7509" i="3"/>
  <c r="E6356" i="3"/>
  <c r="E6358" i="3"/>
  <c r="E1517" i="3"/>
  <c r="E983" i="3"/>
  <c r="E6360" i="3"/>
  <c r="E2026" i="3"/>
  <c r="E2805" i="3"/>
  <c r="E989" i="3"/>
  <c r="E991" i="3"/>
  <c r="E4504" i="3"/>
  <c r="E7521" i="3"/>
  <c r="E5725" i="3"/>
  <c r="E1411" i="3"/>
  <c r="E1962" i="3"/>
  <c r="E5634" i="3"/>
  <c r="E890" i="3"/>
  <c r="E6648" i="3"/>
  <c r="E6278" i="3"/>
  <c r="E446" i="3"/>
  <c r="E1967" i="3"/>
  <c r="E905" i="3"/>
  <c r="E7190" i="3"/>
  <c r="E1975" i="3"/>
  <c r="E4451" i="3"/>
  <c r="E2626" i="3"/>
  <c r="E5653" i="3"/>
  <c r="E6292" i="3"/>
  <c r="E6293" i="3"/>
  <c r="E2640" i="3"/>
  <c r="E922" i="3"/>
  <c r="E7403" i="3"/>
  <c r="E7195" i="3"/>
  <c r="E6673" i="3"/>
  <c r="E4462" i="3"/>
  <c r="E4463" i="3"/>
  <c r="E7197" i="3"/>
  <c r="E1451" i="3"/>
  <c r="E1731" i="3"/>
  <c r="E1452" i="3"/>
  <c r="E6903" i="3"/>
  <c r="E5683" i="3"/>
  <c r="E1454" i="3"/>
  <c r="E2675" i="3"/>
  <c r="E5686" i="3"/>
  <c r="E4079" i="3"/>
  <c r="E4080" i="3"/>
  <c r="E6308" i="3"/>
  <c r="E2681" i="3"/>
  <c r="E942" i="3"/>
  <c r="E461" i="3"/>
  <c r="E6312" i="3"/>
  <c r="E1466" i="3"/>
  <c r="E2692" i="3"/>
  <c r="E6697" i="3"/>
  <c r="E1736" i="3"/>
  <c r="E7443" i="3"/>
  <c r="E1470" i="3"/>
  <c r="E2700" i="3"/>
  <c r="E2702" i="3"/>
  <c r="E1738" i="3"/>
  <c r="E2706" i="3"/>
  <c r="E7451" i="3"/>
  <c r="E6701" i="3"/>
  <c r="E2711" i="3"/>
  <c r="E2003" i="3"/>
  <c r="E1473" i="3"/>
  <c r="E2713" i="3"/>
  <c r="E957" i="3"/>
  <c r="E6332" i="3"/>
  <c r="E2005" i="3"/>
  <c r="E5703" i="3"/>
  <c r="E5705" i="3"/>
  <c r="E464" i="3"/>
  <c r="E961" i="3"/>
  <c r="E6336" i="3"/>
  <c r="E28" i="3"/>
  <c r="E1485" i="3"/>
  <c r="E466" i="3"/>
  <c r="E2732" i="3"/>
  <c r="E6707" i="3"/>
  <c r="E4089" i="3"/>
  <c r="E967" i="3"/>
  <c r="E1488" i="3"/>
  <c r="E471" i="3"/>
  <c r="E7479" i="3"/>
  <c r="E6711" i="3"/>
  <c r="E5710" i="3"/>
  <c r="E1496" i="3"/>
  <c r="E2008" i="3"/>
  <c r="E2009" i="3"/>
  <c r="E6713" i="3"/>
  <c r="E7200" i="3"/>
  <c r="E6716" i="3"/>
  <c r="E5715" i="3"/>
  <c r="E5716" i="3"/>
  <c r="E6347" i="3"/>
  <c r="E1504" i="3"/>
  <c r="E975" i="3"/>
  <c r="E7493" i="3"/>
  <c r="E2015" i="3"/>
  <c r="E1746" i="3"/>
  <c r="E319" i="3"/>
  <c r="E7499" i="3"/>
  <c r="E2774" i="3"/>
  <c r="E478" i="3"/>
  <c r="E6721" i="3"/>
  <c r="E6352" i="3"/>
  <c r="E2020" i="3"/>
  <c r="E6726" i="3"/>
  <c r="E1513" i="3"/>
  <c r="E6729" i="3"/>
  <c r="E2023" i="3"/>
  <c r="E2786" i="3"/>
  <c r="E7508" i="3"/>
  <c r="E2789" i="3"/>
  <c r="E2341" i="3"/>
  <c r="E6357" i="3"/>
  <c r="E7513" i="3"/>
  <c r="E2796" i="3"/>
  <c r="E2798" i="3"/>
  <c r="E986" i="3"/>
  <c r="E2801" i="3"/>
  <c r="E2028" i="3"/>
  <c r="E482" i="3"/>
  <c r="E2809" i="3"/>
  <c r="E2812" i="3"/>
  <c r="E2813" i="3"/>
  <c r="E5893" i="3"/>
  <c r="E2816" i="3"/>
  <c r="E2584" i="3"/>
  <c r="E4437" i="3"/>
  <c r="E4066" i="3"/>
  <c r="E1417" i="3"/>
  <c r="E894" i="3"/>
  <c r="E2598" i="3"/>
  <c r="E6652" i="3"/>
  <c r="E5641" i="3"/>
  <c r="E1424" i="3"/>
  <c r="E7382" i="3"/>
  <c r="E909" i="3"/>
  <c r="E2621" i="3"/>
  <c r="E1726" i="3"/>
  <c r="E5654" i="3"/>
  <c r="E5656" i="3"/>
  <c r="E6667" i="3"/>
  <c r="E454" i="3"/>
  <c r="E6672" i="3"/>
  <c r="E1442" i="3"/>
  <c r="E7196" i="3"/>
  <c r="E2652" i="3"/>
  <c r="E7405" i="3"/>
  <c r="E1448" i="3"/>
  <c r="E2659" i="3"/>
  <c r="E5673" i="3"/>
  <c r="E4464" i="3"/>
  <c r="E4466" i="3"/>
  <c r="E6300" i="3"/>
  <c r="E6301" i="3"/>
  <c r="E2671" i="3"/>
  <c r="E313" i="3"/>
  <c r="E314" i="3"/>
  <c r="E1457" i="3"/>
  <c r="E7362" i="3"/>
  <c r="E5627" i="3"/>
  <c r="E889" i="3"/>
  <c r="E891" i="3"/>
  <c r="E1421" i="3"/>
  <c r="E14" i="3"/>
  <c r="E4444" i="3"/>
  <c r="E1968" i="3"/>
  <c r="E1973" i="3"/>
  <c r="E2613" i="3"/>
  <c r="E5648" i="3"/>
  <c r="E7192" i="3"/>
  <c r="E913" i="3"/>
  <c r="E6663" i="3"/>
  <c r="E1434" i="3"/>
  <c r="E6668" i="3"/>
  <c r="E4458" i="3"/>
  <c r="E7401" i="3"/>
  <c r="E1985" i="3"/>
  <c r="E18" i="3"/>
  <c r="E6295" i="3"/>
  <c r="E1986" i="3"/>
  <c r="E2657" i="3"/>
  <c r="E7410" i="3"/>
  <c r="E7412" i="3"/>
  <c r="E5678" i="3"/>
  <c r="E6678" i="3"/>
  <c r="E5681" i="3"/>
  <c r="E6302" i="3"/>
  <c r="E932" i="3"/>
  <c r="E5685" i="3"/>
  <c r="E6304" i="3"/>
  <c r="E5687" i="3"/>
  <c r="E2585" i="3"/>
  <c r="E5863" i="3"/>
  <c r="E2590" i="3"/>
  <c r="E7370" i="3"/>
  <c r="E1965" i="3"/>
  <c r="E1966" i="3"/>
  <c r="E6280" i="3"/>
  <c r="E6655" i="3"/>
  <c r="E907" i="3"/>
  <c r="E2614" i="3"/>
  <c r="E4450" i="3"/>
  <c r="E912" i="3"/>
  <c r="E4455" i="3"/>
  <c r="E309" i="3"/>
  <c r="E4071" i="3"/>
  <c r="E1438" i="3"/>
  <c r="E7399" i="3"/>
  <c r="E6901" i="3"/>
  <c r="E2646" i="3"/>
  <c r="E6902" i="3"/>
  <c r="E1444" i="3"/>
  <c r="E4077" i="3"/>
  <c r="E2658" i="3"/>
  <c r="E5672" i="3"/>
  <c r="E5870" i="3"/>
  <c r="E6299" i="3"/>
  <c r="E6679" i="3"/>
  <c r="E5872" i="3"/>
  <c r="E7420" i="3"/>
  <c r="E2672" i="3"/>
  <c r="E934" i="3"/>
  <c r="E2677" i="3"/>
  <c r="E6305" i="3"/>
  <c r="E940" i="3"/>
  <c r="E1997" i="3"/>
  <c r="E1462" i="3"/>
  <c r="E7434" i="3"/>
  <c r="E947" i="3"/>
  <c r="E949" i="3"/>
  <c r="E316" i="3"/>
  <c r="E7438" i="3"/>
  <c r="E6317" i="3"/>
  <c r="E1737" i="3"/>
  <c r="E7444" i="3"/>
  <c r="E2328" i="3"/>
  <c r="E6698" i="3"/>
  <c r="E6320" i="3"/>
  <c r="E953" i="3"/>
  <c r="E6323" i="3"/>
  <c r="E1740" i="3"/>
  <c r="E6904" i="3"/>
  <c r="E7454" i="3"/>
  <c r="E7456" i="3"/>
  <c r="E7458" i="3"/>
  <c r="E7460" i="3"/>
  <c r="E6331" i="3"/>
  <c r="E2716" i="3"/>
  <c r="E2719" i="3"/>
  <c r="E5880" i="3"/>
  <c r="E6704" i="3"/>
  <c r="E2722" i="3"/>
  <c r="E2724" i="3"/>
  <c r="E6705" i="3"/>
  <c r="E6337" i="3"/>
  <c r="E4480" i="3"/>
  <c r="E467" i="3"/>
  <c r="E6339" i="3"/>
  <c r="E1487" i="3"/>
  <c r="E2336" i="3"/>
  <c r="E7474" i="3"/>
  <c r="E969" i="3"/>
  <c r="E6710" i="3"/>
  <c r="E5709" i="3"/>
  <c r="E2740" i="3"/>
  <c r="E4487" i="3"/>
  <c r="E7483" i="3"/>
  <c r="E6712" i="3"/>
  <c r="E2745" i="3"/>
  <c r="E2011" i="3"/>
  <c r="E2747" i="3"/>
  <c r="E30" i="3"/>
  <c r="E7490" i="3"/>
  <c r="E2749" i="3"/>
  <c r="E1503" i="3"/>
  <c r="E7492" i="3"/>
  <c r="E884" i="3"/>
  <c r="E7364" i="3"/>
  <c r="E4439" i="3"/>
  <c r="E10" i="3"/>
  <c r="E2596" i="3"/>
  <c r="E897" i="3"/>
  <c r="E7376" i="3"/>
  <c r="E903" i="3"/>
  <c r="E7380" i="3"/>
  <c r="E2615" i="3"/>
  <c r="E6287" i="3"/>
  <c r="E1428" i="3"/>
  <c r="E2627" i="3"/>
  <c r="E1981" i="3"/>
  <c r="E1982" i="3"/>
  <c r="E2637" i="3"/>
  <c r="E2643" i="3"/>
  <c r="E455" i="3"/>
  <c r="E1728" i="3"/>
  <c r="E4460" i="3"/>
  <c r="E2653" i="3"/>
  <c r="E2655" i="3"/>
  <c r="E6675" i="3"/>
  <c r="E1450" i="3"/>
  <c r="E5675" i="3"/>
  <c r="E2665" i="3"/>
  <c r="E7417" i="3"/>
  <c r="E2668" i="3"/>
  <c r="E459" i="3"/>
  <c r="E1455" i="3"/>
  <c r="E935" i="3"/>
  <c r="E1993" i="3"/>
  <c r="E6306" i="3"/>
  <c r="E1413" i="3"/>
  <c r="E887" i="3"/>
  <c r="E6273" i="3"/>
  <c r="E1418" i="3"/>
  <c r="E6275" i="3"/>
  <c r="E2602" i="3"/>
  <c r="E1423" i="3"/>
  <c r="E7379" i="3"/>
  <c r="E1974" i="3"/>
  <c r="E1725" i="3"/>
  <c r="E2618" i="3"/>
  <c r="E1978" i="3"/>
  <c r="E914" i="3"/>
  <c r="E916" i="3"/>
  <c r="E6899" i="3"/>
  <c r="E919" i="3"/>
  <c r="E6670" i="3"/>
  <c r="E1727" i="3"/>
  <c r="E2647" i="3"/>
  <c r="E456" i="3"/>
  <c r="E6674" i="3"/>
  <c r="E5670" i="3"/>
  <c r="E19" i="3"/>
  <c r="E7411" i="3"/>
  <c r="E2663" i="3"/>
  <c r="E7414" i="3"/>
  <c r="E2324" i="3"/>
  <c r="E2669" i="3"/>
  <c r="E930" i="3"/>
  <c r="E933" i="3"/>
  <c r="E1733" i="3"/>
  <c r="E6685" i="3"/>
  <c r="E7425" i="3"/>
  <c r="E1995" i="3"/>
  <c r="E22" i="3"/>
  <c r="E2688" i="3"/>
  <c r="E1999" i="3"/>
  <c r="E2000" i="3"/>
  <c r="E2697" i="3"/>
  <c r="E2701" i="3"/>
  <c r="E7449" i="3"/>
  <c r="E2708" i="3"/>
  <c r="E6326" i="3"/>
  <c r="E2331" i="3"/>
  <c r="E5701" i="3"/>
  <c r="E1478" i="3"/>
  <c r="E7464" i="3"/>
  <c r="E962" i="3"/>
  <c r="E5882" i="3"/>
  <c r="E7470" i="3"/>
  <c r="E966" i="3"/>
  <c r="E470" i="3"/>
  <c r="E1490" i="3"/>
  <c r="E972" i="3"/>
  <c r="E29" i="3"/>
  <c r="E2744" i="3"/>
  <c r="E6345" i="3"/>
  <c r="E4093" i="3"/>
  <c r="E6348" i="3"/>
  <c r="E476" i="3"/>
  <c r="E2758" i="3"/>
  <c r="E4094" i="3"/>
  <c r="E7498" i="3"/>
  <c r="E2775" i="3"/>
  <c r="E2017" i="3"/>
  <c r="E6725" i="3"/>
  <c r="E481" i="3"/>
  <c r="E2780" i="3"/>
  <c r="E2785" i="3"/>
  <c r="E4096" i="3"/>
  <c r="E4498" i="3"/>
  <c r="E2793" i="3"/>
  <c r="E2342" i="3"/>
  <c r="E33" i="3"/>
  <c r="E2802" i="3"/>
  <c r="E7518" i="3"/>
  <c r="E5891" i="3"/>
  <c r="E7520" i="3"/>
  <c r="E4100" i="3"/>
  <c r="E7203" i="3"/>
  <c r="E6736" i="3"/>
  <c r="E7524" i="3"/>
  <c r="E997" i="3"/>
  <c r="E6908" i="3"/>
  <c r="E1525" i="3"/>
  <c r="E6740" i="3"/>
  <c r="E4509" i="3"/>
  <c r="E6910" i="3"/>
  <c r="E2839" i="3"/>
  <c r="E320" i="3"/>
  <c r="E2844" i="3"/>
  <c r="E1003" i="3"/>
  <c r="E2348" i="3"/>
  <c r="E2850" i="3"/>
  <c r="E2034" i="3"/>
  <c r="E6746" i="3"/>
  <c r="E4513" i="3"/>
  <c r="E2858" i="3"/>
  <c r="E2859" i="3"/>
  <c r="E7538" i="3"/>
  <c r="E1007" i="3"/>
  <c r="E2866" i="3"/>
  <c r="E6382" i="3"/>
  <c r="E5733" i="3"/>
  <c r="E39" i="3"/>
  <c r="E4107" i="3"/>
  <c r="E6385" i="3"/>
  <c r="E2036" i="3"/>
  <c r="E2873" i="3"/>
  <c r="E7550" i="3"/>
  <c r="E2877" i="3"/>
  <c r="E4516" i="3"/>
  <c r="E1760" i="3"/>
  <c r="E6914" i="3"/>
  <c r="E4110" i="3"/>
  <c r="E493" i="3"/>
  <c r="E324" i="3"/>
  <c r="E1020" i="3"/>
  <c r="E1761" i="3"/>
  <c r="E1762" i="3"/>
  <c r="E6389" i="3"/>
  <c r="E2892" i="3"/>
  <c r="E1764" i="3"/>
  <c r="E5742" i="3"/>
  <c r="E1765" i="3"/>
  <c r="E6392" i="3"/>
  <c r="E2899" i="3"/>
  <c r="E4524" i="3"/>
  <c r="E1024" i="3"/>
  <c r="E1025" i="3"/>
  <c r="E6395" i="3"/>
  <c r="E2909" i="3"/>
  <c r="E7576" i="3"/>
  <c r="E2912" i="3"/>
  <c r="E2915" i="3"/>
  <c r="E504" i="3"/>
  <c r="E2916" i="3"/>
  <c r="E1772" i="3"/>
  <c r="E2919" i="3"/>
  <c r="E2353" i="3"/>
  <c r="E2922" i="3"/>
  <c r="E506" i="3"/>
  <c r="E2929" i="3"/>
  <c r="E5751" i="3"/>
  <c r="E7594" i="3"/>
  <c r="E6764" i="3"/>
  <c r="E1569" i="3"/>
  <c r="E939" i="3"/>
  <c r="E6311" i="3"/>
  <c r="E946" i="3"/>
  <c r="E6313" i="3"/>
  <c r="E1735" i="3"/>
  <c r="E7198" i="3"/>
  <c r="E4475" i="3"/>
  <c r="E6700" i="3"/>
  <c r="E6324" i="3"/>
  <c r="E1741" i="3"/>
  <c r="E2004" i="3"/>
  <c r="E4476" i="3"/>
  <c r="E2718" i="3"/>
  <c r="E6703" i="3"/>
  <c r="E2723" i="3"/>
  <c r="E963" i="3"/>
  <c r="E2729" i="3"/>
  <c r="E4481" i="3"/>
  <c r="E7473" i="3"/>
  <c r="E1491" i="3"/>
  <c r="E7480" i="3"/>
  <c r="E7482" i="3"/>
  <c r="E472" i="3"/>
  <c r="E7486" i="3"/>
  <c r="E7489" i="3"/>
  <c r="E475" i="3"/>
  <c r="E976" i="3"/>
  <c r="E7494" i="3"/>
  <c r="E2765" i="3"/>
  <c r="E2770" i="3"/>
  <c r="E477" i="3"/>
  <c r="E5719" i="3"/>
  <c r="E480" i="3"/>
  <c r="E5720" i="3"/>
  <c r="E1514" i="3"/>
  <c r="E5889" i="3"/>
  <c r="E2788" i="3"/>
  <c r="E6355" i="3"/>
  <c r="E7512" i="3"/>
  <c r="E1518" i="3"/>
  <c r="E7515" i="3"/>
  <c r="E7517" i="3"/>
  <c r="E2807" i="3"/>
  <c r="E1520" i="3"/>
  <c r="E2814" i="3"/>
  <c r="E1753" i="3"/>
  <c r="E5727" i="3"/>
  <c r="E6366" i="3"/>
  <c r="E2822" i="3"/>
  <c r="E1754" i="3"/>
  <c r="E2827" i="3"/>
  <c r="E2830" i="3"/>
  <c r="E4101" i="3"/>
  <c r="E7529" i="3"/>
  <c r="E1001" i="3"/>
  <c r="E1527" i="3"/>
  <c r="E2841" i="3"/>
  <c r="E6371" i="3"/>
  <c r="E1530" i="3"/>
  <c r="E5729" i="3"/>
  <c r="E2851" i="3"/>
  <c r="E37" i="3"/>
  <c r="E486" i="3"/>
  <c r="E2856" i="3"/>
  <c r="E7535" i="3"/>
  <c r="E487" i="3"/>
  <c r="E2861" i="3"/>
  <c r="E4105" i="3"/>
  <c r="E2035" i="3"/>
  <c r="E488" i="3"/>
  <c r="E6750" i="3"/>
  <c r="E7545" i="3"/>
  <c r="E1012" i="3"/>
  <c r="E6386" i="3"/>
  <c r="E2037" i="3"/>
  <c r="E1014" i="3"/>
  <c r="E41" i="3"/>
  <c r="E1544" i="3"/>
  <c r="E6913" i="3"/>
  <c r="E5900" i="3"/>
  <c r="E7556" i="3"/>
  <c r="E2039" i="3"/>
  <c r="E5739" i="3"/>
  <c r="E1546" i="3"/>
  <c r="E4288" i="3"/>
  <c r="E2887" i="3"/>
  <c r="E5902" i="3"/>
  <c r="E6390" i="3"/>
  <c r="E7204" i="3"/>
  <c r="E1023" i="3"/>
  <c r="E7569" i="3"/>
  <c r="E2897" i="3"/>
  <c r="E6393" i="3"/>
  <c r="E2900" i="3"/>
  <c r="E4525" i="3"/>
  <c r="E7573" i="3"/>
  <c r="E4528" i="3"/>
  <c r="E2905" i="3"/>
  <c r="E1026" i="3"/>
  <c r="E6756" i="3"/>
  <c r="E7578" i="3"/>
  <c r="E2044" i="3"/>
  <c r="E5748" i="3"/>
  <c r="E2917" i="3"/>
  <c r="E6759" i="3"/>
  <c r="E2920" i="3"/>
  <c r="E1030" i="3"/>
  <c r="E4532" i="3"/>
  <c r="E7589" i="3"/>
  <c r="E328" i="3"/>
  <c r="E1565" i="3"/>
  <c r="E1566" i="3"/>
  <c r="E4116" i="3"/>
  <c r="E2355" i="3"/>
  <c r="E5688" i="3"/>
  <c r="E941" i="3"/>
  <c r="E948" i="3"/>
  <c r="E4472" i="3"/>
  <c r="E7442" i="3"/>
  <c r="E7445" i="3"/>
  <c r="E7448" i="3"/>
  <c r="E6321" i="3"/>
  <c r="E7452" i="3"/>
  <c r="E7455" i="3"/>
  <c r="E2712" i="3"/>
  <c r="E7461" i="3"/>
  <c r="E6334" i="3"/>
  <c r="E7465" i="3"/>
  <c r="E7469" i="3"/>
  <c r="E2007" i="3"/>
  <c r="E2334" i="3"/>
  <c r="E4088" i="3"/>
  <c r="E7475" i="3"/>
  <c r="E7477" i="3"/>
  <c r="E1493" i="3"/>
  <c r="E1497" i="3"/>
  <c r="E2010" i="3"/>
  <c r="E7487" i="3"/>
  <c r="E7491" i="3"/>
  <c r="E2750" i="3"/>
  <c r="E2754" i="3"/>
  <c r="E2761" i="3"/>
  <c r="E2766" i="3"/>
  <c r="E2771" i="3"/>
  <c r="E2339" i="3"/>
  <c r="E1510" i="3"/>
  <c r="E7502" i="3"/>
  <c r="E6907" i="3"/>
  <c r="E2781" i="3"/>
  <c r="E1515" i="3"/>
  <c r="E6731" i="3"/>
  <c r="E4499" i="3"/>
  <c r="E2024" i="3"/>
  <c r="E2797" i="3"/>
  <c r="E2799" i="3"/>
  <c r="E2027" i="3"/>
  <c r="E1752" i="3"/>
  <c r="E4503" i="3"/>
  <c r="E993" i="3"/>
  <c r="E34" i="3"/>
  <c r="E2817" i="3"/>
  <c r="E2820" i="3"/>
  <c r="E2823" i="3"/>
  <c r="E1755" i="3"/>
  <c r="E7526" i="3"/>
  <c r="E35" i="3"/>
  <c r="E7527" i="3"/>
  <c r="E1526" i="3"/>
  <c r="E6741" i="3"/>
  <c r="E1002" i="3"/>
  <c r="E6370" i="3"/>
  <c r="E2032" i="3"/>
  <c r="E36" i="3"/>
  <c r="E2848" i="3"/>
  <c r="E6744" i="3"/>
  <c r="E1532" i="3"/>
  <c r="E6374" i="3"/>
  <c r="E1758" i="3"/>
  <c r="E7536" i="3"/>
  <c r="E6377" i="3"/>
  <c r="E1006" i="3"/>
  <c r="E2865" i="3"/>
  <c r="E2867" i="3"/>
  <c r="E6749" i="3"/>
  <c r="E6383" i="3"/>
  <c r="E1011" i="3"/>
  <c r="E1540" i="3"/>
  <c r="E4108" i="3"/>
  <c r="E1541" i="3"/>
  <c r="E2038" i="3"/>
  <c r="E5899" i="3"/>
  <c r="E2878" i="3"/>
  <c r="E2881" i="3"/>
  <c r="E2883" i="3"/>
  <c r="E7557" i="3"/>
  <c r="E6388" i="3"/>
  <c r="E7560" i="3"/>
  <c r="E7561" i="3"/>
  <c r="E2041" i="3"/>
  <c r="E1549" i="3"/>
  <c r="E6752" i="3"/>
  <c r="E5903" i="3"/>
  <c r="E1550" i="3"/>
  <c r="E2894" i="3"/>
  <c r="E6916" i="3"/>
  <c r="E1554" i="3"/>
  <c r="E4521" i="3"/>
  <c r="E6917" i="3"/>
  <c r="E5744" i="3"/>
  <c r="E2903" i="3"/>
  <c r="E42" i="3"/>
  <c r="E6396" i="3"/>
  <c r="E2910" i="3"/>
  <c r="E6757" i="3"/>
  <c r="E4115" i="3"/>
  <c r="E7580" i="3"/>
  <c r="E1561" i="3"/>
  <c r="E7584" i="3"/>
  <c r="E1563" i="3"/>
  <c r="E7586" i="3"/>
  <c r="E505" i="3"/>
  <c r="E2923" i="3"/>
  <c r="E2925" i="3"/>
  <c r="E7591" i="3"/>
  <c r="E6763" i="3"/>
  <c r="E2931" i="3"/>
  <c r="E2934" i="3"/>
  <c r="E2936" i="3"/>
  <c r="E2679" i="3"/>
  <c r="E2682" i="3"/>
  <c r="E6693" i="3"/>
  <c r="E6314" i="3"/>
  <c r="E5695" i="3"/>
  <c r="E2698" i="3"/>
  <c r="E6319" i="3"/>
  <c r="E5875" i="3"/>
  <c r="E7199" i="3"/>
  <c r="E462" i="3"/>
  <c r="E956" i="3"/>
  <c r="E5879" i="3"/>
  <c r="E4477" i="3"/>
  <c r="E1480" i="3"/>
  <c r="E5881" i="3"/>
  <c r="E964" i="3"/>
  <c r="E2730" i="3"/>
  <c r="E469" i="3"/>
  <c r="E2735" i="3"/>
  <c r="E2737" i="3"/>
  <c r="E2741" i="3"/>
  <c r="E1996" i="3"/>
  <c r="E5690" i="3"/>
  <c r="E1998" i="3"/>
  <c r="E7437" i="3"/>
  <c r="E2695" i="3"/>
  <c r="E4084" i="3"/>
  <c r="E2703" i="3"/>
  <c r="E6322" i="3"/>
  <c r="E2709" i="3"/>
  <c r="E1472" i="3"/>
  <c r="E7459" i="3"/>
  <c r="E7462" i="3"/>
  <c r="E2720" i="3"/>
  <c r="E2721" i="3"/>
  <c r="E1482" i="3"/>
  <c r="E2333" i="3"/>
  <c r="E5707" i="3"/>
  <c r="E2335" i="3"/>
  <c r="E968" i="3"/>
  <c r="E971" i="3"/>
  <c r="E7481" i="3"/>
  <c r="E7484" i="3"/>
  <c r="E2746" i="3"/>
  <c r="E4490" i="3"/>
  <c r="E6346" i="3"/>
  <c r="E974" i="3"/>
  <c r="E2014" i="3"/>
  <c r="E2763" i="3"/>
  <c r="E1507" i="3"/>
  <c r="E1508" i="3"/>
  <c r="E4492" i="3"/>
  <c r="E2018" i="3"/>
  <c r="E980" i="3"/>
  <c r="E7503" i="3"/>
  <c r="E2782" i="3"/>
  <c r="E7507" i="3"/>
  <c r="E1748" i="3"/>
  <c r="E7510" i="3"/>
  <c r="E2794" i="3"/>
  <c r="E7514" i="3"/>
  <c r="E7516" i="3"/>
  <c r="E6362" i="3"/>
  <c r="E2808" i="3"/>
  <c r="E5892" i="3"/>
  <c r="E994" i="3"/>
  <c r="E5894" i="3"/>
  <c r="E6735" i="3"/>
  <c r="E4508" i="3"/>
  <c r="E2824" i="3"/>
  <c r="E2826" i="3"/>
  <c r="E6909" i="3"/>
  <c r="E1756" i="3"/>
  <c r="E2834" i="3"/>
  <c r="E2836" i="3"/>
  <c r="E2837" i="3"/>
  <c r="E2840" i="3"/>
  <c r="E2842" i="3"/>
  <c r="E6742" i="3"/>
  <c r="E2846" i="3"/>
  <c r="E6372" i="3"/>
  <c r="E7532" i="3"/>
  <c r="E5732" i="3"/>
  <c r="E6375" i="3"/>
  <c r="E6376" i="3"/>
  <c r="E322" i="3"/>
  <c r="E5898" i="3"/>
  <c r="E2862" i="3"/>
  <c r="E6380" i="3"/>
  <c r="E6748" i="3"/>
  <c r="E1537" i="3"/>
  <c r="E489" i="3"/>
  <c r="E490" i="3"/>
  <c r="E2869" i="3"/>
  <c r="E2871" i="3"/>
  <c r="E491" i="3"/>
  <c r="E1759" i="3"/>
  <c r="E1543" i="3"/>
  <c r="E1015" i="3"/>
  <c r="E7554" i="3"/>
  <c r="E7555" i="3"/>
  <c r="E6751" i="3"/>
  <c r="E4519" i="3"/>
  <c r="E2351" i="3"/>
  <c r="E1547" i="3"/>
  <c r="E7563" i="3"/>
  <c r="E7428" i="3"/>
  <c r="E2686" i="3"/>
  <c r="E315" i="3"/>
  <c r="E6315" i="3"/>
  <c r="E1469" i="3"/>
  <c r="E952" i="3"/>
  <c r="E2329" i="3"/>
  <c r="E1739" i="3"/>
  <c r="E2710" i="3"/>
  <c r="E6328" i="3"/>
  <c r="E1475" i="3"/>
  <c r="E6333" i="3"/>
  <c r="E6335" i="3"/>
  <c r="E960" i="3"/>
  <c r="E1483" i="3"/>
  <c r="E465" i="3"/>
  <c r="E4087" i="3"/>
  <c r="E318" i="3"/>
  <c r="E4485" i="3"/>
  <c r="E4090" i="3"/>
  <c r="E4091" i="3"/>
  <c r="E6689" i="3"/>
  <c r="E2327" i="3"/>
  <c r="E1464" i="3"/>
  <c r="E6696" i="3"/>
  <c r="E2696" i="3"/>
  <c r="E4474" i="3"/>
  <c r="E23" i="3"/>
  <c r="E2707" i="3"/>
  <c r="E4284" i="3"/>
  <c r="E955" i="3"/>
  <c r="E2714" i="3"/>
  <c r="E25" i="3"/>
  <c r="E463" i="3"/>
  <c r="E1481" i="3"/>
  <c r="E2006" i="3"/>
  <c r="E6706" i="3"/>
  <c r="E468" i="3"/>
  <c r="E2733" i="3"/>
  <c r="E1489" i="3"/>
  <c r="E2738" i="3"/>
  <c r="E5711" i="3"/>
  <c r="E6309" i="3"/>
  <c r="E6690" i="3"/>
  <c r="E1465" i="3"/>
  <c r="E950" i="3"/>
  <c r="E6318" i="3"/>
  <c r="E5698" i="3"/>
  <c r="E2330" i="3"/>
  <c r="E5876" i="3"/>
  <c r="E2002" i="3"/>
  <c r="E5700" i="3"/>
  <c r="E2715" i="3"/>
  <c r="E7463" i="3"/>
  <c r="E4478" i="3"/>
  <c r="E1742" i="3"/>
  <c r="E1484" i="3"/>
  <c r="E2727" i="3"/>
  <c r="E1486" i="3"/>
  <c r="E4483" i="3"/>
  <c r="E2736" i="3"/>
  <c r="E1492" i="3"/>
  <c r="E2337" i="3"/>
  <c r="E2742" i="3"/>
  <c r="E7488" i="3"/>
  <c r="E2751" i="3"/>
  <c r="E2762" i="3"/>
  <c r="E2772" i="3"/>
  <c r="E6722" i="3"/>
  <c r="E4495" i="3"/>
  <c r="E981" i="3"/>
  <c r="E2791" i="3"/>
  <c r="E2343" i="3"/>
  <c r="E2803" i="3"/>
  <c r="E2811" i="3"/>
  <c r="E2815" i="3"/>
  <c r="E2345" i="3"/>
  <c r="E6737" i="3"/>
  <c r="E999" i="3"/>
  <c r="E2031" i="3"/>
  <c r="E5728" i="3"/>
  <c r="E1529" i="3"/>
  <c r="E2033" i="3"/>
  <c r="E6373" i="3"/>
  <c r="E1533" i="3"/>
  <c r="E4286" i="3"/>
  <c r="E6379" i="3"/>
  <c r="E1536" i="3"/>
  <c r="E1538" i="3"/>
  <c r="E2870" i="3"/>
  <c r="E7549" i="3"/>
  <c r="E5736" i="3"/>
  <c r="E2884" i="3"/>
  <c r="E2885" i="3"/>
  <c r="E7562" i="3"/>
  <c r="E7565" i="3"/>
  <c r="E2042" i="3"/>
  <c r="E1551" i="3"/>
  <c r="E7568" i="3"/>
  <c r="E6753" i="3"/>
  <c r="E6394" i="3"/>
  <c r="E2352" i="3"/>
  <c r="E6755" i="3"/>
  <c r="E502" i="3"/>
  <c r="E5747" i="3"/>
  <c r="E44" i="3"/>
  <c r="E7583" i="3"/>
  <c r="E6760" i="3"/>
  <c r="E6399" i="3"/>
  <c r="E7206" i="3"/>
  <c r="E1774" i="3"/>
  <c r="E5907" i="3"/>
  <c r="E1568" i="3"/>
  <c r="E2939" i="3"/>
  <c r="E4533" i="3"/>
  <c r="E7597" i="3"/>
  <c r="E2945" i="3"/>
  <c r="E2950" i="3"/>
  <c r="E6767" i="3"/>
  <c r="E2956" i="3"/>
  <c r="E4536" i="3"/>
  <c r="E2358" i="3"/>
  <c r="E2963" i="3"/>
  <c r="E7602" i="3"/>
  <c r="E5759" i="3"/>
  <c r="E7604" i="3"/>
  <c r="E2969" i="3"/>
  <c r="E1039" i="3"/>
  <c r="E50" i="3"/>
  <c r="E6922" i="3"/>
  <c r="E6407" i="3"/>
  <c r="E4545" i="3"/>
  <c r="E5765" i="3"/>
  <c r="E333" i="3"/>
  <c r="E5910" i="3"/>
  <c r="E7611" i="3"/>
  <c r="E5768" i="3"/>
  <c r="E2985" i="3"/>
  <c r="E2988" i="3"/>
  <c r="E2990" i="3"/>
  <c r="E1780" i="3"/>
  <c r="E5913" i="3"/>
  <c r="E2058" i="3"/>
  <c r="E516" i="3"/>
  <c r="E6415" i="3"/>
  <c r="E3004" i="3"/>
  <c r="E6773" i="3"/>
  <c r="E1781" i="3"/>
  <c r="E1056" i="3"/>
  <c r="E520" i="3"/>
  <c r="E6774" i="3"/>
  <c r="E1586" i="3"/>
  <c r="E6419" i="3"/>
  <c r="E6929" i="3"/>
  <c r="E4555" i="3"/>
  <c r="E3020" i="3"/>
  <c r="E6931" i="3"/>
  <c r="E3025" i="3"/>
  <c r="E59" i="3"/>
  <c r="E6422" i="3"/>
  <c r="E4292" i="3"/>
  <c r="E6933" i="3"/>
  <c r="E3035" i="3"/>
  <c r="E1593" i="3"/>
  <c r="E60" i="3"/>
  <c r="E5773" i="3"/>
  <c r="E4565" i="3"/>
  <c r="E3047" i="3"/>
  <c r="E6425" i="3"/>
  <c r="E7636" i="3"/>
  <c r="E6342" i="3"/>
  <c r="E1743" i="3"/>
  <c r="E6349" i="3"/>
  <c r="E7495" i="3"/>
  <c r="E2773" i="3"/>
  <c r="E6723" i="3"/>
  <c r="E2022" i="3"/>
  <c r="E6354" i="3"/>
  <c r="E2792" i="3"/>
  <c r="E6359" i="3"/>
  <c r="E6734" i="3"/>
  <c r="E992" i="3"/>
  <c r="E4507" i="3"/>
  <c r="E7523" i="3"/>
  <c r="E1523" i="3"/>
  <c r="E2831" i="3"/>
  <c r="E4102" i="3"/>
  <c r="E4512" i="3"/>
  <c r="E2845" i="3"/>
  <c r="E5730" i="3"/>
  <c r="E6745" i="3"/>
  <c r="E4104" i="3"/>
  <c r="E1534" i="3"/>
  <c r="E7539" i="3"/>
  <c r="E7541" i="3"/>
  <c r="E7546" i="3"/>
  <c r="E4515" i="3"/>
  <c r="E2874" i="3"/>
  <c r="E2879" i="3"/>
  <c r="E1017" i="3"/>
  <c r="E7558" i="3"/>
  <c r="E2040" i="3"/>
  <c r="E325" i="3"/>
  <c r="E1022" i="3"/>
  <c r="E7567" i="3"/>
  <c r="E1552" i="3"/>
  <c r="E5904" i="3"/>
  <c r="E4523" i="3"/>
  <c r="E4526" i="3"/>
  <c r="E2904" i="3"/>
  <c r="E2043" i="3"/>
  <c r="E1557" i="3"/>
  <c r="E1559" i="3"/>
  <c r="E6398" i="3"/>
  <c r="E4531" i="3"/>
  <c r="E2046" i="3"/>
  <c r="E1564" i="3"/>
  <c r="E2354" i="3"/>
  <c r="E2930" i="3"/>
  <c r="E6400" i="3"/>
  <c r="E5752" i="3"/>
  <c r="E2941" i="3"/>
  <c r="E6402" i="3"/>
  <c r="E329" i="3"/>
  <c r="E7599" i="3"/>
  <c r="E6768" i="3"/>
  <c r="E2051" i="3"/>
  <c r="E5754" i="3"/>
  <c r="E4538" i="3"/>
  <c r="E2964" i="3"/>
  <c r="E6920" i="3"/>
  <c r="E2966" i="3"/>
  <c r="E4541" i="3"/>
  <c r="E1575" i="3"/>
  <c r="E511" i="3"/>
  <c r="E6406" i="3"/>
  <c r="E4290" i="3"/>
  <c r="E1579" i="3"/>
  <c r="E6410" i="3"/>
  <c r="E2363" i="3"/>
  <c r="E2979" i="3"/>
  <c r="E2981" i="3"/>
  <c r="E7612" i="3"/>
  <c r="E1581" i="3"/>
  <c r="E5911" i="3"/>
  <c r="E54" i="3"/>
  <c r="E2991" i="3"/>
  <c r="E2993" i="3"/>
  <c r="E6924" i="3"/>
  <c r="E7616" i="3"/>
  <c r="E1583" i="3"/>
  <c r="E5769" i="3"/>
  <c r="E56" i="3"/>
  <c r="E1054" i="3"/>
  <c r="E3007" i="3"/>
  <c r="E5770" i="3"/>
  <c r="E1057" i="3"/>
  <c r="E7623" i="3"/>
  <c r="E3014" i="3"/>
  <c r="E1587" i="3"/>
  <c r="E7627" i="3"/>
  <c r="E3019" i="3"/>
  <c r="E6930" i="3"/>
  <c r="E1589" i="3"/>
  <c r="E7275" i="3"/>
  <c r="E4125" i="3"/>
  <c r="E6778" i="3"/>
  <c r="E5920" i="3"/>
  <c r="E4293" i="3"/>
  <c r="E3036" i="3"/>
  <c r="E4128" i="3"/>
  <c r="E6423" i="3"/>
  <c r="E3042" i="3"/>
  <c r="E1595" i="3"/>
  <c r="E340" i="3"/>
  <c r="E3050" i="3"/>
  <c r="E1065" i="3"/>
  <c r="E4092" i="3"/>
  <c r="E2012" i="3"/>
  <c r="E4491" i="3"/>
  <c r="E7496" i="3"/>
  <c r="E5887" i="3"/>
  <c r="E6724" i="3"/>
  <c r="E4095" i="3"/>
  <c r="E4496" i="3"/>
  <c r="E7511" i="3"/>
  <c r="E984" i="3"/>
  <c r="E2806" i="3"/>
  <c r="E4505" i="3"/>
  <c r="E6365" i="3"/>
  <c r="E2821" i="3"/>
  <c r="E998" i="3"/>
  <c r="E2832" i="3"/>
  <c r="E4510" i="3"/>
  <c r="E1528" i="3"/>
  <c r="E5896" i="3"/>
  <c r="E2349" i="3"/>
  <c r="E2853" i="3"/>
  <c r="E2857" i="3"/>
  <c r="E1535" i="3"/>
  <c r="E1008" i="3"/>
  <c r="E7542" i="3"/>
  <c r="E5734" i="3"/>
  <c r="E7548" i="3"/>
  <c r="E5735" i="3"/>
  <c r="E2880" i="3"/>
  <c r="E6387" i="3"/>
  <c r="E7559" i="3"/>
  <c r="E1019" i="3"/>
  <c r="E2888" i="3"/>
  <c r="E7566" i="3"/>
  <c r="E2893" i="3"/>
  <c r="E2895" i="3"/>
  <c r="E2898" i="3"/>
  <c r="E1555" i="3"/>
  <c r="E4527" i="3"/>
  <c r="E1770" i="3"/>
  <c r="E1027" i="3"/>
  <c r="E2911" i="3"/>
  <c r="E7581" i="3"/>
  <c r="E1562" i="3"/>
  <c r="E2045" i="3"/>
  <c r="E7588" i="3"/>
  <c r="E6918" i="3"/>
  <c r="E6919" i="3"/>
  <c r="E47" i="3"/>
  <c r="E2935" i="3"/>
  <c r="E1032" i="3"/>
  <c r="E6765" i="3"/>
  <c r="E2356" i="3"/>
  <c r="E7598" i="3"/>
  <c r="E1776" i="3"/>
  <c r="E330" i="3"/>
  <c r="E7601" i="3"/>
  <c r="E4117" i="3"/>
  <c r="E6404" i="3"/>
  <c r="E1038" i="3"/>
  <c r="E1572" i="3"/>
  <c r="E2360" i="3"/>
  <c r="E2361" i="3"/>
  <c r="E5761" i="3"/>
  <c r="E1576" i="3"/>
  <c r="E2970" i="3"/>
  <c r="E5764" i="3"/>
  <c r="E6408" i="3"/>
  <c r="E1042" i="3"/>
  <c r="E1779" i="3"/>
  <c r="E2980" i="3"/>
  <c r="E53" i="3"/>
  <c r="E2983" i="3"/>
  <c r="E1048" i="3"/>
  <c r="E2986" i="3"/>
  <c r="E55" i="3"/>
  <c r="E4548" i="3"/>
  <c r="E515" i="3"/>
  <c r="E2997" i="3"/>
  <c r="E6925" i="3"/>
  <c r="E2999" i="3"/>
  <c r="E1052" i="3"/>
  <c r="E517" i="3"/>
  <c r="E7619" i="3"/>
  <c r="E1782" i="3"/>
  <c r="E3009" i="3"/>
  <c r="E3011" i="3"/>
  <c r="E4553" i="3"/>
  <c r="E7624" i="3"/>
  <c r="E3017" i="3"/>
  <c r="E7213" i="3"/>
  <c r="E7215" i="3"/>
  <c r="E6777" i="3"/>
  <c r="E4123" i="3"/>
  <c r="E57" i="3"/>
  <c r="E3028" i="3"/>
  <c r="E2063" i="3"/>
  <c r="E3031" i="3"/>
  <c r="E1784" i="3"/>
  <c r="E4126" i="3"/>
  <c r="E3039" i="3"/>
  <c r="E339" i="3"/>
  <c r="E3043" i="3"/>
  <c r="E4566" i="3"/>
  <c r="E7632" i="3"/>
  <c r="E6781" i="3"/>
  <c r="E2064" i="3"/>
  <c r="E2743" i="3"/>
  <c r="E6717" i="3"/>
  <c r="E2338" i="3"/>
  <c r="E2764" i="3"/>
  <c r="E6906" i="3"/>
  <c r="E2019" i="3"/>
  <c r="E6727" i="3"/>
  <c r="E2787" i="3"/>
  <c r="E7202" i="3"/>
  <c r="E1519" i="3"/>
  <c r="E6363" i="3"/>
  <c r="E4285" i="3"/>
  <c r="E483" i="3"/>
  <c r="E2030" i="3"/>
  <c r="E6738" i="3"/>
  <c r="E2833" i="3"/>
  <c r="E5895" i="3"/>
  <c r="E6369" i="3"/>
  <c r="E7531" i="3"/>
  <c r="E2849" i="3"/>
  <c r="E2854" i="3"/>
  <c r="E7534" i="3"/>
  <c r="E2860" i="3"/>
  <c r="E1009" i="3"/>
  <c r="E2350" i="3"/>
  <c r="E1539" i="3"/>
  <c r="E4109" i="3"/>
  <c r="E2875" i="3"/>
  <c r="E6912" i="3"/>
  <c r="E4489" i="3"/>
  <c r="E1501" i="3"/>
  <c r="E6719" i="3"/>
  <c r="E1505" i="3"/>
  <c r="E6720" i="3"/>
  <c r="E4493" i="3"/>
  <c r="E1747" i="3"/>
  <c r="E6732" i="3"/>
  <c r="E982" i="3"/>
  <c r="E4502" i="3"/>
  <c r="E4098" i="3"/>
  <c r="E7522" i="3"/>
  <c r="E995" i="3"/>
  <c r="E996" i="3"/>
  <c r="E1524" i="3"/>
  <c r="E1000" i="3"/>
  <c r="E6368" i="3"/>
  <c r="E484" i="3"/>
  <c r="E6743" i="3"/>
  <c r="E2852" i="3"/>
  <c r="E6747" i="3"/>
  <c r="E321" i="3"/>
  <c r="E323" i="3"/>
  <c r="E4106" i="3"/>
  <c r="E1010" i="3"/>
  <c r="E2868" i="3"/>
  <c r="E2872" i="3"/>
  <c r="E7551" i="3"/>
  <c r="E7553" i="3"/>
  <c r="E1545" i="3"/>
  <c r="E6344" i="3"/>
  <c r="E474" i="3"/>
  <c r="E1745" i="3"/>
  <c r="E2768" i="3"/>
  <c r="E479" i="3"/>
  <c r="E2778" i="3"/>
  <c r="E7505" i="3"/>
  <c r="E2790" i="3"/>
  <c r="E2795" i="3"/>
  <c r="E6361" i="3"/>
  <c r="E7519" i="3"/>
  <c r="E4099" i="3"/>
  <c r="E2818" i="3"/>
  <c r="E6367" i="3"/>
  <c r="E2828" i="3"/>
  <c r="E7528" i="3"/>
  <c r="E4511" i="3"/>
  <c r="E2843" i="3"/>
  <c r="E5897" i="3"/>
  <c r="E5731" i="3"/>
  <c r="E4103" i="3"/>
  <c r="E1005" i="3"/>
  <c r="E2863" i="3"/>
  <c r="E4287" i="3"/>
  <c r="E7543" i="3"/>
  <c r="E40" i="3"/>
  <c r="E1542" i="3"/>
  <c r="E2876" i="3"/>
  <c r="E2882" i="3"/>
  <c r="E473" i="3"/>
  <c r="E6718" i="3"/>
  <c r="E2757" i="3"/>
  <c r="E5718" i="3"/>
  <c r="E2016" i="3"/>
  <c r="E1512" i="3"/>
  <c r="E7506" i="3"/>
  <c r="E1750" i="3"/>
  <c r="E4097" i="3"/>
  <c r="E2800" i="3"/>
  <c r="E990" i="3"/>
  <c r="E5726" i="3"/>
  <c r="E1522" i="3"/>
  <c r="E2825" i="3"/>
  <c r="E6739" i="3"/>
  <c r="E2835" i="3"/>
  <c r="E2838" i="3"/>
  <c r="E7530" i="3"/>
  <c r="E1004" i="3"/>
  <c r="E1531" i="3"/>
  <c r="E2855" i="3"/>
  <c r="E7537" i="3"/>
  <c r="E2864" i="3"/>
  <c r="E6381" i="3"/>
  <c r="E4514" i="3"/>
  <c r="E6384" i="3"/>
  <c r="E6911" i="3"/>
  <c r="E492" i="3"/>
  <c r="E1016" i="3"/>
  <c r="E5738" i="3"/>
  <c r="E2886" i="3"/>
  <c r="E1548" i="3"/>
  <c r="E4114" i="3"/>
  <c r="E6915" i="3"/>
  <c r="E499" i="3"/>
  <c r="E501" i="3"/>
  <c r="E4522" i="3"/>
  <c r="E5745" i="3"/>
  <c r="E1769" i="3"/>
  <c r="E7574" i="3"/>
  <c r="E7577" i="3"/>
  <c r="E1028" i="3"/>
  <c r="E6397" i="3"/>
  <c r="E1029" i="3"/>
  <c r="E6761" i="3"/>
  <c r="E2924" i="3"/>
  <c r="E2927" i="3"/>
  <c r="E507" i="3"/>
  <c r="E48" i="3"/>
  <c r="E1031" i="3"/>
  <c r="E1570" i="3"/>
  <c r="E4535" i="3"/>
  <c r="E2944" i="3"/>
  <c r="E2949" i="3"/>
  <c r="E6766" i="3"/>
  <c r="E2955" i="3"/>
  <c r="E2959" i="3"/>
  <c r="E4537" i="3"/>
  <c r="E1037" i="3"/>
  <c r="E4540" i="3"/>
  <c r="E7209" i="3"/>
  <c r="E5909" i="3"/>
  <c r="E4542" i="3"/>
  <c r="E5762" i="3"/>
  <c r="E6769" i="3"/>
  <c r="E512" i="3"/>
  <c r="E332" i="3"/>
  <c r="E4544" i="3"/>
  <c r="E2976" i="3"/>
  <c r="E2978" i="3"/>
  <c r="E1045" i="3"/>
  <c r="E2982" i="3"/>
  <c r="E6923" i="3"/>
  <c r="E334" i="3"/>
  <c r="E4546" i="3"/>
  <c r="E4119" i="3"/>
  <c r="E7210" i="3"/>
  <c r="E2996" i="3"/>
  <c r="E4549" i="3"/>
  <c r="E6772" i="3"/>
  <c r="E337" i="3"/>
  <c r="E4121" i="3"/>
  <c r="E7618" i="3"/>
  <c r="E3006" i="3"/>
  <c r="E5915" i="3"/>
  <c r="E6714" i="3"/>
  <c r="E5884" i="3"/>
  <c r="E6350" i="3"/>
  <c r="E7497" i="3"/>
  <c r="E7501" i="3"/>
  <c r="E4494" i="3"/>
  <c r="E2784" i="3"/>
  <c r="E32" i="3"/>
  <c r="E4501" i="3"/>
  <c r="E987" i="3"/>
  <c r="E2810" i="3"/>
  <c r="E6364" i="3"/>
  <c r="E2819" i="3"/>
  <c r="E7525" i="3"/>
  <c r="E2829" i="3"/>
  <c r="E1757" i="3"/>
  <c r="E2346" i="3"/>
  <c r="E2347" i="3"/>
  <c r="E2847" i="3"/>
  <c r="E485" i="3"/>
  <c r="E7533" i="3"/>
  <c r="E38" i="3"/>
  <c r="E6378" i="3"/>
  <c r="E7540" i="3"/>
  <c r="E7544" i="3"/>
  <c r="E4111" i="3"/>
  <c r="E2889" i="3"/>
  <c r="E326" i="3"/>
  <c r="E6754" i="3"/>
  <c r="E1556" i="3"/>
  <c r="E7575" i="3"/>
  <c r="E1560" i="3"/>
  <c r="E2918" i="3"/>
  <c r="E5749" i="3"/>
  <c r="E2932" i="3"/>
  <c r="E2049" i="3"/>
  <c r="E2943" i="3"/>
  <c r="E508" i="3"/>
  <c r="E2957" i="3"/>
  <c r="E510" i="3"/>
  <c r="E5757" i="3"/>
  <c r="E2968" i="3"/>
  <c r="E1040" i="3"/>
  <c r="E2971" i="3"/>
  <c r="E1043" i="3"/>
  <c r="E5766" i="3"/>
  <c r="E514" i="3"/>
  <c r="E1582" i="3"/>
  <c r="E5912" i="3"/>
  <c r="E2998" i="3"/>
  <c r="E7617" i="3"/>
  <c r="E7211" i="3"/>
  <c r="E1055" i="3"/>
  <c r="E6418" i="3"/>
  <c r="E3013" i="3"/>
  <c r="E7625" i="3"/>
  <c r="E7214" i="3"/>
  <c r="E6421" i="3"/>
  <c r="E3024" i="3"/>
  <c r="E2062" i="3"/>
  <c r="E5772" i="3"/>
  <c r="E5921" i="3"/>
  <c r="E525" i="3"/>
  <c r="E7631" i="3"/>
  <c r="E3046" i="3"/>
  <c r="E7634" i="3"/>
  <c r="E5922" i="3"/>
  <c r="E6426" i="3"/>
  <c r="E5923" i="3"/>
  <c r="E1785" i="3"/>
  <c r="E6936" i="3"/>
  <c r="E1066" i="3"/>
  <c r="E1786" i="3"/>
  <c r="E6785" i="3"/>
  <c r="E2069" i="3"/>
  <c r="E61" i="3"/>
  <c r="E3076" i="3"/>
  <c r="E4575" i="3"/>
  <c r="E4577" i="3"/>
  <c r="E3080" i="3"/>
  <c r="E3083" i="3"/>
  <c r="E5926" i="3"/>
  <c r="E4133" i="3"/>
  <c r="E3090" i="3"/>
  <c r="E3092" i="3"/>
  <c r="E3095" i="3"/>
  <c r="E7658" i="3"/>
  <c r="E344" i="3"/>
  <c r="E5778" i="3"/>
  <c r="E4581" i="3"/>
  <c r="E7660" i="3"/>
  <c r="E5780" i="3"/>
  <c r="E6435" i="3"/>
  <c r="E4585" i="3"/>
  <c r="E3119" i="3"/>
  <c r="E7664" i="3"/>
  <c r="E1073" i="3"/>
  <c r="E3125" i="3"/>
  <c r="E6440" i="3"/>
  <c r="E3126" i="3"/>
  <c r="E3129" i="3"/>
  <c r="E3132" i="3"/>
  <c r="E3136" i="3"/>
  <c r="E2081" i="3"/>
  <c r="E4589" i="3"/>
  <c r="E4591" i="3"/>
  <c r="E1792" i="3"/>
  <c r="E7670" i="3"/>
  <c r="E3148" i="3"/>
  <c r="E6943" i="3"/>
  <c r="E7675" i="3"/>
  <c r="E2084" i="3"/>
  <c r="E1616" i="3"/>
  <c r="E2370" i="3"/>
  <c r="E3159" i="3"/>
  <c r="E2085" i="3"/>
  <c r="E4139" i="3"/>
  <c r="E1617" i="3"/>
  <c r="E553" i="3"/>
  <c r="E3170" i="3"/>
  <c r="E7221" i="3"/>
  <c r="E4602" i="3"/>
  <c r="E5942" i="3"/>
  <c r="E3178" i="3"/>
  <c r="E2087" i="3"/>
  <c r="E6458" i="3"/>
  <c r="E4143" i="3"/>
  <c r="E7686" i="3"/>
  <c r="E6459" i="3"/>
  <c r="E556" i="3"/>
  <c r="E7689" i="3"/>
  <c r="E6462" i="3"/>
  <c r="E3185" i="3"/>
  <c r="E1099" i="3"/>
  <c r="E4615" i="3"/>
  <c r="E5792" i="3"/>
  <c r="E1102" i="3"/>
  <c r="E4146" i="3"/>
  <c r="E1103" i="3"/>
  <c r="E3196" i="3"/>
  <c r="E6466" i="3"/>
  <c r="E560" i="3"/>
  <c r="E562" i="3"/>
  <c r="E6470" i="3"/>
  <c r="E4620" i="3"/>
  <c r="E1800" i="3"/>
  <c r="E3206" i="3"/>
  <c r="E7701" i="3"/>
  <c r="E4626" i="3"/>
  <c r="E78" i="3"/>
  <c r="E3213" i="3"/>
  <c r="E5950" i="3"/>
  <c r="E1112" i="3"/>
  <c r="E6957" i="3"/>
  <c r="E7706" i="3"/>
  <c r="E3220" i="3"/>
  <c r="E571" i="3"/>
  <c r="E572" i="3"/>
  <c r="E7712" i="3"/>
  <c r="E573" i="3"/>
  <c r="E1115" i="3"/>
  <c r="E3232" i="3"/>
  <c r="E7714" i="3"/>
  <c r="E3235" i="3"/>
  <c r="E1119" i="3"/>
  <c r="E2380" i="3"/>
  <c r="E3241" i="3"/>
  <c r="E6482" i="3"/>
  <c r="E3243" i="3"/>
  <c r="E3246" i="3"/>
  <c r="E1637" i="3"/>
  <c r="E4644" i="3"/>
  <c r="E7721" i="3"/>
  <c r="E1123" i="3"/>
  <c r="E2381" i="3"/>
  <c r="E3257" i="3"/>
  <c r="E7725" i="3"/>
  <c r="E2102" i="3"/>
  <c r="E589" i="3"/>
  <c r="E3267" i="3"/>
  <c r="E1803" i="3"/>
  <c r="E7729" i="3"/>
  <c r="E5798" i="3"/>
  <c r="E7731" i="3"/>
  <c r="E5957" i="3"/>
  <c r="E6972" i="3"/>
  <c r="E2106" i="3"/>
  <c r="E7734" i="3"/>
  <c r="E4657" i="3"/>
  <c r="E6498" i="3"/>
  <c r="E6499" i="3"/>
  <c r="E7736" i="3"/>
  <c r="E2112" i="3"/>
  <c r="E3284" i="3"/>
  <c r="E7547" i="3"/>
  <c r="E494" i="3"/>
  <c r="E4113" i="3"/>
  <c r="E497" i="3"/>
  <c r="E1766" i="3"/>
  <c r="E5746" i="3"/>
  <c r="E43" i="3"/>
  <c r="E503" i="3"/>
  <c r="E5906" i="3"/>
  <c r="E2926" i="3"/>
  <c r="E1567" i="3"/>
  <c r="E2940" i="3"/>
  <c r="E5908" i="3"/>
  <c r="E7600" i="3"/>
  <c r="E2958" i="3"/>
  <c r="E1036" i="3"/>
  <c r="E2965" i="3"/>
  <c r="E6405" i="3"/>
  <c r="E1577" i="3"/>
  <c r="E1041" i="3"/>
  <c r="E2975" i="3"/>
  <c r="E1044" i="3"/>
  <c r="E1047" i="3"/>
  <c r="E7613" i="3"/>
  <c r="E2992" i="3"/>
  <c r="E2364" i="3"/>
  <c r="E3000" i="3"/>
  <c r="E1053" i="3"/>
  <c r="E1783" i="3"/>
  <c r="E4552" i="3"/>
  <c r="E2059" i="3"/>
  <c r="E6420" i="3"/>
  <c r="E3018" i="3"/>
  <c r="E522" i="3"/>
  <c r="E5918" i="3"/>
  <c r="E7629" i="3"/>
  <c r="E4561" i="3"/>
  <c r="E7630" i="3"/>
  <c r="E3040" i="3"/>
  <c r="E1063" i="3"/>
  <c r="E4294" i="3"/>
  <c r="E4568" i="3"/>
  <c r="E6935" i="3"/>
  <c r="E6427" i="3"/>
  <c r="E2067" i="3"/>
  <c r="E7641" i="3"/>
  <c r="E4130" i="3"/>
  <c r="E3066" i="3"/>
  <c r="E3068" i="3"/>
  <c r="E3071" i="3"/>
  <c r="E6429" i="3"/>
  <c r="E3073" i="3"/>
  <c r="E535" i="3"/>
  <c r="E4576" i="3"/>
  <c r="E1067" i="3"/>
  <c r="E2071" i="3"/>
  <c r="E7651" i="3"/>
  <c r="E3087" i="3"/>
  <c r="E6432" i="3"/>
  <c r="E6788" i="3"/>
  <c r="E2073" i="3"/>
  <c r="E7656" i="3"/>
  <c r="E3097" i="3"/>
  <c r="E1070" i="3"/>
  <c r="E7659" i="3"/>
  <c r="E5779" i="3"/>
  <c r="E1607" i="3"/>
  <c r="E3111" i="3"/>
  <c r="E7661" i="3"/>
  <c r="E5931" i="3"/>
  <c r="E4586" i="3"/>
  <c r="E6940" i="3"/>
  <c r="E6941" i="3"/>
  <c r="E5932" i="3"/>
  <c r="E7666" i="3"/>
  <c r="E3127" i="3"/>
  <c r="E1078" i="3"/>
  <c r="E1079" i="3"/>
  <c r="E3137" i="3"/>
  <c r="E5935" i="3"/>
  <c r="E1613" i="3"/>
  <c r="E3143" i="3"/>
  <c r="E1081" i="3"/>
  <c r="E3146" i="3"/>
  <c r="E7672" i="3"/>
  <c r="E7674" i="3"/>
  <c r="E7676" i="3"/>
  <c r="E7677" i="3"/>
  <c r="E3152" i="3"/>
  <c r="E1794" i="3"/>
  <c r="E4596" i="3"/>
  <c r="E3163" i="3"/>
  <c r="E6452" i="3"/>
  <c r="E6453" i="3"/>
  <c r="E5939" i="3"/>
  <c r="E4601" i="3"/>
  <c r="E3172" i="3"/>
  <c r="E1620" i="3"/>
  <c r="E7681" i="3"/>
  <c r="E2372" i="3"/>
  <c r="E7684" i="3"/>
  <c r="E4141" i="3"/>
  <c r="E1093" i="3"/>
  <c r="E6948" i="3"/>
  <c r="E4608" i="3"/>
  <c r="E5791" i="3"/>
  <c r="E557" i="3"/>
  <c r="E1097" i="3"/>
  <c r="E3186" i="3"/>
  <c r="E558" i="3"/>
  <c r="E77" i="3"/>
  <c r="E3190" i="3"/>
  <c r="E7222" i="3"/>
  <c r="E5793" i="3"/>
  <c r="E350" i="3"/>
  <c r="E2092" i="3"/>
  <c r="E4618" i="3"/>
  <c r="E4148" i="3"/>
  <c r="E4150" i="3"/>
  <c r="E565" i="3"/>
  <c r="E6954" i="3"/>
  <c r="E1107" i="3"/>
  <c r="E2377" i="3"/>
  <c r="E5795" i="3"/>
  <c r="E6804" i="3"/>
  <c r="E3210" i="3"/>
  <c r="E2378" i="3"/>
  <c r="E1111" i="3"/>
  <c r="E2095" i="3"/>
  <c r="E7279" i="3"/>
  <c r="E6958" i="3"/>
  <c r="E3221" i="3"/>
  <c r="E4634" i="3"/>
  <c r="E6960" i="3"/>
  <c r="E4635" i="3"/>
  <c r="E4154" i="3"/>
  <c r="E574" i="3"/>
  <c r="E576" i="3"/>
  <c r="E4298" i="3"/>
  <c r="E578" i="3"/>
  <c r="E3237" i="3"/>
  <c r="E3239" i="3"/>
  <c r="E581" i="3"/>
  <c r="E4641" i="3"/>
  <c r="E6811" i="3"/>
  <c r="E6485" i="3"/>
  <c r="E7720" i="3"/>
  <c r="E4645" i="3"/>
  <c r="E3252" i="3"/>
  <c r="E6487" i="3"/>
  <c r="E586" i="3"/>
  <c r="E7722" i="3"/>
  <c r="E4648" i="3"/>
  <c r="E4649" i="3"/>
  <c r="E3261" i="3"/>
  <c r="E2104" i="3"/>
  <c r="E6490" i="3"/>
  <c r="E7730" i="3"/>
  <c r="E3270" i="3"/>
  <c r="E3271" i="3"/>
  <c r="E86" i="3"/>
  <c r="E7732" i="3"/>
  <c r="E7733" i="3"/>
  <c r="E1808" i="3"/>
  <c r="E6497" i="3"/>
  <c r="E1809" i="3"/>
  <c r="E7735" i="3"/>
  <c r="E4160" i="3"/>
  <c r="E2384" i="3"/>
  <c r="E7738" i="3"/>
  <c r="E1013" i="3"/>
  <c r="E4112" i="3"/>
  <c r="E495" i="3"/>
  <c r="E498" i="3"/>
  <c r="E1767" i="3"/>
  <c r="E1768" i="3"/>
  <c r="E4529" i="3"/>
  <c r="E1771" i="3"/>
  <c r="E7587" i="3"/>
  <c r="E7590" i="3"/>
  <c r="E2933" i="3"/>
  <c r="E1775" i="3"/>
  <c r="E7207" i="3"/>
  <c r="E7208" i="3"/>
  <c r="E2357" i="3"/>
  <c r="E1571" i="3"/>
  <c r="E5758" i="3"/>
  <c r="E7605" i="3"/>
  <c r="E1578" i="3"/>
  <c r="E2972" i="3"/>
  <c r="E1580" i="3"/>
  <c r="E52" i="3"/>
  <c r="E2055" i="3"/>
  <c r="E6771" i="3"/>
  <c r="E6412" i="3"/>
  <c r="E335" i="3"/>
  <c r="E4120" i="3"/>
  <c r="E3005" i="3"/>
  <c r="E3008" i="3"/>
  <c r="E6928" i="3"/>
  <c r="E6775" i="3"/>
  <c r="E7626" i="3"/>
  <c r="E1061" i="3"/>
  <c r="E2061" i="3"/>
  <c r="E3026" i="3"/>
  <c r="E1590" i="3"/>
  <c r="E4562" i="3"/>
  <c r="E3037" i="3"/>
  <c r="E3041" i="3"/>
  <c r="E6780" i="3"/>
  <c r="E4567" i="3"/>
  <c r="E7635" i="3"/>
  <c r="E2065" i="3"/>
  <c r="E7638" i="3"/>
  <c r="E3058" i="3"/>
  <c r="E3062" i="3"/>
  <c r="E2365" i="3"/>
  <c r="E4572" i="3"/>
  <c r="E3069" i="3"/>
  <c r="E5774" i="3"/>
  <c r="E2366" i="3"/>
  <c r="E3074" i="3"/>
  <c r="E7646" i="3"/>
  <c r="E537" i="3"/>
  <c r="E7649" i="3"/>
  <c r="E7650" i="3"/>
  <c r="E7652" i="3"/>
  <c r="E539" i="3"/>
  <c r="E5927" i="3"/>
  <c r="E62" i="3"/>
  <c r="E7217" i="3"/>
  <c r="E7657" i="3"/>
  <c r="E3098" i="3"/>
  <c r="E6433" i="3"/>
  <c r="E4580" i="3"/>
  <c r="E3105" i="3"/>
  <c r="E4134" i="3"/>
  <c r="E1608" i="3"/>
  <c r="E346" i="3"/>
  <c r="E3116" i="3"/>
  <c r="E7662" i="3"/>
  <c r="E2077" i="3"/>
  <c r="E4136" i="3"/>
  <c r="E5781" i="3"/>
  <c r="E6441" i="3"/>
  <c r="E6790" i="3"/>
  <c r="E4588" i="3"/>
  <c r="E1611" i="3"/>
  <c r="E6442" i="3"/>
  <c r="E1612" i="3"/>
  <c r="E549" i="3"/>
  <c r="E7669" i="3"/>
  <c r="E6446" i="3"/>
  <c r="E5785" i="3"/>
  <c r="E5938" i="3"/>
  <c r="E4138" i="3"/>
  <c r="E3150" i="3"/>
  <c r="E6450" i="3"/>
  <c r="E3153" i="3"/>
  <c r="E3157" i="3"/>
  <c r="E3160" i="3"/>
  <c r="E1795" i="3"/>
  <c r="E1088" i="3"/>
  <c r="E70" i="3"/>
  <c r="E7219" i="3"/>
  <c r="E6454" i="3"/>
  <c r="E3173" i="3"/>
  <c r="E4603" i="3"/>
  <c r="E72" i="3"/>
  <c r="E73" i="3"/>
  <c r="E4605" i="3"/>
  <c r="E3180" i="3"/>
  <c r="E2088" i="3"/>
  <c r="E7687" i="3"/>
  <c r="E2089" i="3"/>
  <c r="E74" i="3"/>
  <c r="E2375" i="3"/>
  <c r="E4611" i="3"/>
  <c r="E76" i="3"/>
  <c r="E1624" i="3"/>
  <c r="E6949" i="3"/>
  <c r="E6801" i="3"/>
  <c r="E1797" i="3"/>
  <c r="E4616" i="3"/>
  <c r="E5794" i="3"/>
  <c r="E6952" i="3"/>
  <c r="E1105" i="3"/>
  <c r="E3199" i="3"/>
  <c r="E1799" i="3"/>
  <c r="E3202" i="3"/>
  <c r="E3204" i="3"/>
  <c r="E3205" i="3"/>
  <c r="E352" i="3"/>
  <c r="E7702" i="3"/>
  <c r="E568" i="3"/>
  <c r="E4627" i="3"/>
  <c r="E3214" i="3"/>
  <c r="E79" i="3"/>
  <c r="E3218" i="3"/>
  <c r="E3219" i="3"/>
  <c r="E4630" i="3"/>
  <c r="E2097" i="3"/>
  <c r="E7710" i="3"/>
  <c r="E3225" i="3"/>
  <c r="E1635" i="3"/>
  <c r="E4297" i="3"/>
  <c r="E1116" i="3"/>
  <c r="E81" i="3"/>
  <c r="E5952" i="3"/>
  <c r="E7226" i="3"/>
  <c r="E1120" i="3"/>
  <c r="E6480" i="3"/>
  <c r="E4640" i="3"/>
  <c r="E3242" i="3"/>
  <c r="E3244" i="3"/>
  <c r="E7718" i="3"/>
  <c r="E354" i="3"/>
  <c r="E4646" i="3"/>
  <c r="E2101" i="3"/>
  <c r="E585" i="3"/>
  <c r="E6968" i="3"/>
  <c r="E7281" i="3"/>
  <c r="E6814" i="3"/>
  <c r="E7727" i="3"/>
  <c r="E3262" i="3"/>
  <c r="E1638" i="3"/>
  <c r="E1125" i="3"/>
  <c r="E1126" i="3"/>
  <c r="E6492" i="3"/>
  <c r="E4656" i="3"/>
  <c r="E1127" i="3"/>
  <c r="E1806" i="3"/>
  <c r="E1642" i="3"/>
  <c r="E2107" i="3"/>
  <c r="E5799" i="3"/>
  <c r="E3280" i="3"/>
  <c r="E595" i="3"/>
  <c r="E7282" i="3"/>
  <c r="E88" i="3"/>
  <c r="E3285" i="3"/>
  <c r="E7552" i="3"/>
  <c r="E5901" i="3"/>
  <c r="E2890" i="3"/>
  <c r="E500" i="3"/>
  <c r="E7571" i="3"/>
  <c r="E5905" i="3"/>
  <c r="E6758" i="3"/>
  <c r="E7582" i="3"/>
  <c r="E6762" i="3"/>
  <c r="E2928" i="3"/>
  <c r="E7595" i="3"/>
  <c r="E1033" i="3"/>
  <c r="E6403" i="3"/>
  <c r="E2951" i="3"/>
  <c r="E509" i="3"/>
  <c r="E2962" i="3"/>
  <c r="E1573" i="3"/>
  <c r="E7606" i="3"/>
  <c r="E2362" i="3"/>
  <c r="E2973" i="3"/>
  <c r="E7609" i="3"/>
  <c r="E6770" i="3"/>
  <c r="E2056" i="3"/>
  <c r="E2987" i="3"/>
  <c r="E7614" i="3"/>
  <c r="E336" i="3"/>
  <c r="E6414" i="3"/>
  <c r="E1584" i="3"/>
  <c r="E338" i="3"/>
  <c r="E7621" i="3"/>
  <c r="E7274" i="3"/>
  <c r="E4554" i="3"/>
  <c r="E4122" i="3"/>
  <c r="E1588" i="3"/>
  <c r="E3027" i="3"/>
  <c r="E4558" i="3"/>
  <c r="E6932" i="3"/>
  <c r="E3038" i="3"/>
  <c r="E526" i="3"/>
  <c r="E4564" i="3"/>
  <c r="E528" i="3"/>
  <c r="E3051" i="3"/>
  <c r="E529" i="3"/>
  <c r="E3056" i="3"/>
  <c r="E7639" i="3"/>
  <c r="E4570" i="3"/>
  <c r="E3064" i="3"/>
  <c r="E7643" i="3"/>
  <c r="E532" i="3"/>
  <c r="E5924" i="3"/>
  <c r="E2367" i="3"/>
  <c r="E7644" i="3"/>
  <c r="E1599" i="3"/>
  <c r="E5737" i="3"/>
  <c r="E5740" i="3"/>
  <c r="E1763" i="3"/>
  <c r="E2896" i="3"/>
  <c r="E5743" i="3"/>
  <c r="E7205" i="3"/>
  <c r="E7579" i="3"/>
  <c r="E327" i="3"/>
  <c r="E2921" i="3"/>
  <c r="E46" i="3"/>
  <c r="E6401" i="3"/>
  <c r="E5753" i="3"/>
  <c r="E2946" i="3"/>
  <c r="E2952" i="3"/>
  <c r="E2960" i="3"/>
  <c r="E1777" i="3"/>
  <c r="E7603" i="3"/>
  <c r="E7607" i="3"/>
  <c r="E4543" i="3"/>
  <c r="E2974" i="3"/>
  <c r="E2977" i="3"/>
  <c r="E1046" i="3"/>
  <c r="E2984" i="3"/>
  <c r="E2989" i="3"/>
  <c r="E2994" i="3"/>
  <c r="E4550" i="3"/>
  <c r="E6927" i="3"/>
  <c r="E6416" i="3"/>
  <c r="E5916" i="3"/>
  <c r="E3012" i="3"/>
  <c r="E3015" i="3"/>
  <c r="E7212" i="3"/>
  <c r="E4556" i="3"/>
  <c r="E3022" i="3"/>
  <c r="E58" i="3"/>
  <c r="E4559" i="3"/>
  <c r="E3032" i="3"/>
  <c r="E523" i="3"/>
  <c r="E1062" i="3"/>
  <c r="E1594" i="3"/>
  <c r="E3048" i="3"/>
  <c r="E3052" i="3"/>
  <c r="E3054" i="3"/>
  <c r="E4569" i="3"/>
  <c r="E3059" i="3"/>
  <c r="E531" i="3"/>
  <c r="E7642" i="3"/>
  <c r="E3067" i="3"/>
  <c r="E4573" i="3"/>
  <c r="E3072" i="3"/>
  <c r="E5775" i="3"/>
  <c r="E4574" i="3"/>
  <c r="E536" i="3"/>
  <c r="E4517" i="3"/>
  <c r="E1021" i="3"/>
  <c r="E2891" i="3"/>
  <c r="E7570" i="3"/>
  <c r="E2901" i="3"/>
  <c r="E2906" i="3"/>
  <c r="E1558" i="3"/>
  <c r="E7585" i="3"/>
  <c r="E45" i="3"/>
  <c r="E5750" i="3"/>
  <c r="E2937" i="3"/>
  <c r="E4534" i="3"/>
  <c r="E2947" i="3"/>
  <c r="E2953" i="3"/>
  <c r="E5755" i="3"/>
  <c r="E4539" i="3"/>
  <c r="E2967" i="3"/>
  <c r="E49" i="3"/>
  <c r="E5763" i="3"/>
  <c r="E7608" i="3"/>
  <c r="E2052" i="3"/>
  <c r="E7610" i="3"/>
  <c r="E1049" i="3"/>
  <c r="E4547" i="3"/>
  <c r="E7615" i="3"/>
  <c r="E5914" i="3"/>
  <c r="E3001" i="3"/>
  <c r="E518" i="3"/>
  <c r="E6417" i="3"/>
  <c r="E7622" i="3"/>
  <c r="E3016" i="3"/>
  <c r="E1059" i="3"/>
  <c r="E521" i="3"/>
  <c r="E7628" i="3"/>
  <c r="E4124" i="3"/>
  <c r="E1591" i="3"/>
  <c r="E3033" i="3"/>
  <c r="E4127" i="3"/>
  <c r="E6424" i="3"/>
  <c r="E527" i="3"/>
  <c r="E7633" i="3"/>
  <c r="E6934" i="3"/>
  <c r="E1596" i="3"/>
  <c r="E3057" i="3"/>
  <c r="E3060" i="3"/>
  <c r="E6782" i="3"/>
  <c r="E3065" i="3"/>
  <c r="E1597" i="3"/>
  <c r="E1787" i="3"/>
  <c r="E4131" i="3"/>
  <c r="E6786" i="3"/>
  <c r="E7645" i="3"/>
  <c r="E1600" i="3"/>
  <c r="E7647" i="3"/>
  <c r="E1602" i="3"/>
  <c r="E6938" i="3"/>
  <c r="E342" i="3"/>
  <c r="E4578" i="3"/>
  <c r="E540" i="3"/>
  <c r="E541" i="3"/>
  <c r="E3093" i="3"/>
  <c r="E1069" i="3"/>
  <c r="E1606" i="3"/>
  <c r="E1071" i="3"/>
  <c r="E345" i="3"/>
  <c r="E3106" i="3"/>
  <c r="E4583" i="3"/>
  <c r="E1789" i="3"/>
  <c r="E3115" i="3"/>
  <c r="E3118" i="3"/>
  <c r="E1790" i="3"/>
  <c r="E3121" i="3"/>
  <c r="E3124" i="3"/>
  <c r="E1075" i="3"/>
  <c r="E66" i="3"/>
  <c r="E3128" i="3"/>
  <c r="E3131" i="3"/>
  <c r="E7667" i="3"/>
  <c r="E67" i="3"/>
  <c r="E3140" i="3"/>
  <c r="E4590" i="3"/>
  <c r="E1080" i="3"/>
  <c r="E3145" i="3"/>
  <c r="E3147" i="3"/>
  <c r="E1084" i="3"/>
  <c r="E3149" i="3"/>
  <c r="E1086" i="3"/>
  <c r="E4593" i="3"/>
  <c r="E3155" i="3"/>
  <c r="E6946" i="3"/>
  <c r="E7278" i="3"/>
  <c r="E348" i="3"/>
  <c r="E7218" i="3"/>
  <c r="E3168" i="3"/>
  <c r="E7220" i="3"/>
  <c r="E7680" i="3"/>
  <c r="E1619" i="3"/>
  <c r="E1621" i="3"/>
  <c r="E6796" i="3"/>
  <c r="E7682" i="3"/>
  <c r="E7685" i="3"/>
  <c r="E4607" i="3"/>
  <c r="E3181" i="3"/>
  <c r="E5789" i="3"/>
  <c r="E4609" i="3"/>
  <c r="E1096" i="3"/>
  <c r="E6798" i="3"/>
  <c r="E5946" i="3"/>
  <c r="E3187" i="3"/>
  <c r="E6800" i="3"/>
  <c r="E1101" i="3"/>
  <c r="E3191" i="3"/>
  <c r="E5947" i="3"/>
  <c r="E3194" i="3"/>
  <c r="E1798" i="3"/>
  <c r="E2093" i="3"/>
  <c r="E7223" i="3"/>
  <c r="E1627" i="3"/>
  <c r="E3201" i="3"/>
  <c r="E3203" i="3"/>
  <c r="E6471" i="3"/>
  <c r="E5948" i="3"/>
  <c r="E567" i="3"/>
  <c r="E4624" i="3"/>
  <c r="E1110" i="3"/>
  <c r="E3211" i="3"/>
  <c r="E6474" i="3"/>
  <c r="E3217" i="3"/>
  <c r="E6956" i="3"/>
  <c r="E1633" i="3"/>
  <c r="E6959" i="3"/>
  <c r="E3222" i="3"/>
  <c r="E7711" i="3"/>
  <c r="E7280" i="3"/>
  <c r="E6477" i="3"/>
  <c r="E80" i="3"/>
  <c r="E3231" i="3"/>
  <c r="E1117" i="3"/>
  <c r="E6963" i="3"/>
  <c r="E3236" i="3"/>
  <c r="E2379" i="3"/>
  <c r="E4639" i="3"/>
  <c r="E4518" i="3"/>
  <c r="E7564" i="3"/>
  <c r="E5741" i="3"/>
  <c r="E1553" i="3"/>
  <c r="E7572" i="3"/>
  <c r="E2907" i="3"/>
  <c r="E2913" i="3"/>
  <c r="E4530" i="3"/>
  <c r="E2047" i="3"/>
  <c r="E7592" i="3"/>
  <c r="E7596" i="3"/>
  <c r="E2942" i="3"/>
  <c r="E2948" i="3"/>
  <c r="E2954" i="3"/>
  <c r="E2961" i="3"/>
  <c r="E331" i="3"/>
  <c r="E1574" i="3"/>
  <c r="E4289" i="3"/>
  <c r="E1778" i="3"/>
  <c r="E6409" i="3"/>
  <c r="E2053" i="3"/>
  <c r="E2054" i="3"/>
  <c r="E1050" i="3"/>
  <c r="E6411" i="3"/>
  <c r="E2995" i="3"/>
  <c r="E6413" i="3"/>
  <c r="E3002" i="3"/>
  <c r="E7620" i="3"/>
  <c r="E3010" i="3"/>
  <c r="E5771" i="3"/>
  <c r="E6776" i="3"/>
  <c r="E1060" i="3"/>
  <c r="E2060" i="3"/>
  <c r="E4557" i="3"/>
  <c r="E5919" i="3"/>
  <c r="E3030" i="3"/>
  <c r="E3034" i="3"/>
  <c r="E524" i="3"/>
  <c r="E6779" i="3"/>
  <c r="E3044" i="3"/>
  <c r="E3049" i="3"/>
  <c r="E3053" i="3"/>
  <c r="E7637" i="3"/>
  <c r="E2066" i="3"/>
  <c r="E3061" i="3"/>
  <c r="E3063" i="3"/>
  <c r="E6783" i="3"/>
  <c r="E6784" i="3"/>
  <c r="E6428" i="3"/>
  <c r="E533" i="3"/>
  <c r="E6430" i="3"/>
  <c r="E3075" i="3"/>
  <c r="E6787" i="3"/>
  <c r="E1018" i="3"/>
  <c r="E4520" i="3"/>
  <c r="E496" i="3"/>
  <c r="E6391" i="3"/>
  <c r="E2902" i="3"/>
  <c r="E2908" i="3"/>
  <c r="E2914" i="3"/>
  <c r="E1773" i="3"/>
  <c r="E2048" i="3"/>
  <c r="E7593" i="3"/>
  <c r="E2938" i="3"/>
  <c r="E2050" i="3"/>
  <c r="E1034" i="3"/>
  <c r="E1035" i="3"/>
  <c r="E5756" i="3"/>
  <c r="E2359" i="3"/>
  <c r="E5760" i="3"/>
  <c r="E6921" i="3"/>
  <c r="E513" i="3"/>
  <c r="E4118" i="3"/>
  <c r="E51" i="3"/>
  <c r="E5767" i="3"/>
  <c r="E4291" i="3"/>
  <c r="E2057" i="3"/>
  <c r="E1051" i="3"/>
  <c r="E6926" i="3"/>
  <c r="E3003" i="3"/>
  <c r="E519" i="3"/>
  <c r="E4551" i="3"/>
  <c r="E1585" i="3"/>
  <c r="E1058" i="3"/>
  <c r="E5917" i="3"/>
  <c r="E3021" i="3"/>
  <c r="E3023" i="3"/>
  <c r="E3029" i="3"/>
  <c r="E4560" i="3"/>
  <c r="E1592" i="3"/>
  <c r="E4563" i="3"/>
  <c r="E4129" i="3"/>
  <c r="E3045" i="3"/>
  <c r="E1064" i="3"/>
  <c r="E7276" i="3"/>
  <c r="E3055" i="3"/>
  <c r="E530" i="3"/>
  <c r="E7640" i="3"/>
  <c r="E4571" i="3"/>
  <c r="E2068" i="3"/>
  <c r="E6937" i="3"/>
  <c r="E3070" i="3"/>
  <c r="E1598" i="3"/>
  <c r="E534" i="3"/>
  <c r="E2070" i="3"/>
  <c r="E3077" i="3"/>
  <c r="E3078" i="3"/>
  <c r="E3081" i="3"/>
  <c r="E4132" i="3"/>
  <c r="E3091" i="3"/>
  <c r="E5929" i="3"/>
  <c r="E63" i="3"/>
  <c r="E2074" i="3"/>
  <c r="E3112" i="3"/>
  <c r="E3117" i="3"/>
  <c r="E3120" i="3"/>
  <c r="E7665" i="3"/>
  <c r="E5784" i="3"/>
  <c r="E3133" i="3"/>
  <c r="E5936" i="3"/>
  <c r="E6445" i="3"/>
  <c r="E6942" i="3"/>
  <c r="E4592" i="3"/>
  <c r="E7678" i="3"/>
  <c r="E6451" i="3"/>
  <c r="E3164" i="3"/>
  <c r="E7679" i="3"/>
  <c r="E1618" i="3"/>
  <c r="E4604" i="3"/>
  <c r="E6455" i="3"/>
  <c r="E5943" i="3"/>
  <c r="E1623" i="3"/>
  <c r="E3182" i="3"/>
  <c r="E3183" i="3"/>
  <c r="E4613" i="3"/>
  <c r="E7692" i="3"/>
  <c r="E4147" i="3"/>
  <c r="E4617" i="3"/>
  <c r="E3200" i="3"/>
  <c r="E1628" i="3"/>
  <c r="E7700" i="3"/>
  <c r="E3207" i="3"/>
  <c r="E1630" i="3"/>
  <c r="E5951" i="3"/>
  <c r="E4153" i="3"/>
  <c r="E4632" i="3"/>
  <c r="E3226" i="3"/>
  <c r="E3229" i="3"/>
  <c r="E3233" i="3"/>
  <c r="E579" i="3"/>
  <c r="E3240" i="3"/>
  <c r="E6809" i="3"/>
  <c r="E6484" i="3"/>
  <c r="E4643" i="3"/>
  <c r="E3251" i="3"/>
  <c r="E6966" i="3"/>
  <c r="E6969" i="3"/>
  <c r="E7726" i="3"/>
  <c r="E3263" i="3"/>
  <c r="E4650" i="3"/>
  <c r="E85" i="3"/>
  <c r="E590" i="3"/>
  <c r="E6495" i="3"/>
  <c r="E3275" i="3"/>
  <c r="E1130" i="3"/>
  <c r="E4159" i="3"/>
  <c r="E5963" i="3"/>
  <c r="E4660" i="3"/>
  <c r="E360" i="3"/>
  <c r="E1810" i="3"/>
  <c r="E597" i="3"/>
  <c r="E5966" i="3"/>
  <c r="E3294" i="3"/>
  <c r="E6503" i="3"/>
  <c r="E6983" i="3"/>
  <c r="E599" i="3"/>
  <c r="E362" i="3"/>
  <c r="E1136" i="3"/>
  <c r="E5971" i="3"/>
  <c r="E7230" i="3"/>
  <c r="E5973" i="3"/>
  <c r="E7231" i="3"/>
  <c r="E2120" i="3"/>
  <c r="E6506" i="3"/>
  <c r="E3307" i="3"/>
  <c r="E3310" i="3"/>
  <c r="E4675" i="3"/>
  <c r="E5977" i="3"/>
  <c r="E4164" i="3"/>
  <c r="E5978" i="3"/>
  <c r="E7284" i="3"/>
  <c r="E4166" i="3"/>
  <c r="E1650" i="3"/>
  <c r="E607" i="3"/>
  <c r="E2124" i="3"/>
  <c r="E4682" i="3"/>
  <c r="E3324" i="3"/>
  <c r="E2125" i="3"/>
  <c r="E609" i="3"/>
  <c r="E3331" i="3"/>
  <c r="E2128" i="3"/>
  <c r="E3336" i="3"/>
  <c r="E7763" i="3"/>
  <c r="E1652" i="3"/>
  <c r="E1151" i="3"/>
  <c r="E5809" i="3"/>
  <c r="E7766" i="3"/>
  <c r="E6822" i="3"/>
  <c r="E5984" i="3"/>
  <c r="E1825" i="3"/>
  <c r="E367" i="3"/>
  <c r="E4697" i="3"/>
  <c r="E4699" i="3"/>
  <c r="E3357" i="3"/>
  <c r="E5986" i="3"/>
  <c r="E2398" i="3"/>
  <c r="E1826" i="3"/>
  <c r="E3369" i="3"/>
  <c r="E1166" i="3"/>
  <c r="E3372" i="3"/>
  <c r="E4305" i="3"/>
  <c r="E3377" i="3"/>
  <c r="E100" i="3"/>
  <c r="E5811" i="3"/>
  <c r="E6517" i="3"/>
  <c r="E5992" i="3"/>
  <c r="E368" i="3"/>
  <c r="E4706" i="3"/>
  <c r="E4707" i="3"/>
  <c r="E2137" i="3"/>
  <c r="E1655" i="3"/>
  <c r="E2403" i="3"/>
  <c r="E2404" i="3"/>
  <c r="E5998" i="3"/>
  <c r="E4710" i="3"/>
  <c r="E370" i="3"/>
  <c r="E4712" i="3"/>
  <c r="E1181" i="3"/>
  <c r="E4714" i="3"/>
  <c r="E6000" i="3"/>
  <c r="E107" i="3"/>
  <c r="E7008" i="3"/>
  <c r="E4718" i="3"/>
  <c r="E631" i="3"/>
  <c r="E1188" i="3"/>
  <c r="E1664" i="3"/>
  <c r="E6003" i="3"/>
  <c r="E3410" i="3"/>
  <c r="E6521" i="3"/>
  <c r="E1840" i="3"/>
  <c r="E640" i="3"/>
  <c r="E3418" i="3"/>
  <c r="E5816" i="3"/>
  <c r="E1666" i="3"/>
  <c r="E4729" i="3"/>
  <c r="E7236" i="3"/>
  <c r="E4731" i="3"/>
  <c r="E6522" i="3"/>
  <c r="E6523" i="3"/>
  <c r="E6524" i="3"/>
  <c r="E6013" i="3"/>
  <c r="E6526" i="3"/>
  <c r="E2149" i="3"/>
  <c r="E2410" i="3"/>
  <c r="E6016" i="3"/>
  <c r="E4742" i="3"/>
  <c r="E4745" i="3"/>
  <c r="E4747" i="3"/>
  <c r="E652" i="3"/>
  <c r="E3442" i="3"/>
  <c r="E7799" i="3"/>
  <c r="E6532" i="3"/>
  <c r="E112" i="3"/>
  <c r="E4190" i="3"/>
  <c r="E7802" i="3"/>
  <c r="E4758" i="3"/>
  <c r="E6533" i="3"/>
  <c r="E3454" i="3"/>
  <c r="E1601" i="3"/>
  <c r="E1603" i="3"/>
  <c r="E3088" i="3"/>
  <c r="E7216" i="3"/>
  <c r="E343" i="3"/>
  <c r="E3101" i="3"/>
  <c r="E4582" i="3"/>
  <c r="E64" i="3"/>
  <c r="E2075" i="3"/>
  <c r="E2078" i="3"/>
  <c r="E1074" i="3"/>
  <c r="E5933" i="3"/>
  <c r="E2080" i="3"/>
  <c r="E3139" i="3"/>
  <c r="E3144" i="3"/>
  <c r="E551" i="3"/>
  <c r="E4295" i="3"/>
  <c r="E1615" i="3"/>
  <c r="E6792" i="3"/>
  <c r="E3165" i="3"/>
  <c r="E1089" i="3"/>
  <c r="E3171" i="3"/>
  <c r="E6795" i="3"/>
  <c r="E6456" i="3"/>
  <c r="E4142" i="3"/>
  <c r="E7688" i="3"/>
  <c r="E4144" i="3"/>
  <c r="E4296" i="3"/>
  <c r="E1625" i="3"/>
  <c r="E6802" i="3"/>
  <c r="E6950" i="3"/>
  <c r="E559" i="3"/>
  <c r="E4149" i="3"/>
  <c r="E7224" i="3"/>
  <c r="E566" i="3"/>
  <c r="E2094" i="3"/>
  <c r="E4151" i="3"/>
  <c r="E3216" i="3"/>
  <c r="E7705" i="3"/>
  <c r="E4633" i="3"/>
  <c r="E6961" i="3"/>
  <c r="E7713" i="3"/>
  <c r="E4637" i="3"/>
  <c r="E6807" i="3"/>
  <c r="E7715" i="3"/>
  <c r="E6810" i="3"/>
  <c r="E3245" i="3"/>
  <c r="E6965" i="3"/>
  <c r="E83" i="3"/>
  <c r="E3255" i="3"/>
  <c r="E6970" i="3"/>
  <c r="E3260" i="3"/>
  <c r="E5797" i="3"/>
  <c r="E4651" i="3"/>
  <c r="E6971" i="3"/>
  <c r="E1804" i="3"/>
  <c r="E1805" i="3"/>
  <c r="E591" i="3"/>
  <c r="E592" i="3"/>
  <c r="E5961" i="3"/>
  <c r="E4659" i="3"/>
  <c r="E5800" i="3"/>
  <c r="E6976" i="3"/>
  <c r="E6979" i="3"/>
  <c r="E4662" i="3"/>
  <c r="E3290" i="3"/>
  <c r="E598" i="3"/>
  <c r="E3296" i="3"/>
  <c r="E2115" i="3"/>
  <c r="E7742" i="3"/>
  <c r="E3299" i="3"/>
  <c r="E3302" i="3"/>
  <c r="E1137" i="3"/>
  <c r="E4671" i="3"/>
  <c r="E5974" i="3"/>
  <c r="E7745" i="3"/>
  <c r="E6504" i="3"/>
  <c r="E7748" i="3"/>
  <c r="E5976" i="3"/>
  <c r="E6508" i="3"/>
  <c r="E602" i="3"/>
  <c r="E1819" i="3"/>
  <c r="E7752" i="3"/>
  <c r="E603" i="3"/>
  <c r="E1820" i="3"/>
  <c r="E6509" i="3"/>
  <c r="E605" i="3"/>
  <c r="E608" i="3"/>
  <c r="E5807" i="3"/>
  <c r="E7755" i="3"/>
  <c r="E3325" i="3"/>
  <c r="E1821" i="3"/>
  <c r="E1822" i="3"/>
  <c r="E6996" i="3"/>
  <c r="E3333" i="3"/>
  <c r="E1149" i="3"/>
  <c r="E365" i="3"/>
  <c r="E6512" i="3"/>
  <c r="E3344" i="3"/>
  <c r="E2393" i="3"/>
  <c r="E7767" i="3"/>
  <c r="E2394" i="3"/>
  <c r="E2130" i="3"/>
  <c r="E4304" i="3"/>
  <c r="E2395" i="3"/>
  <c r="E4698" i="3"/>
  <c r="E612" i="3"/>
  <c r="E3358" i="3"/>
  <c r="E3362" i="3"/>
  <c r="E5987" i="3"/>
  <c r="E3366" i="3"/>
  <c r="E3370" i="3"/>
  <c r="E7774" i="3"/>
  <c r="E3373" i="3"/>
  <c r="E7003" i="3"/>
  <c r="E618" i="3"/>
  <c r="E3380" i="3"/>
  <c r="E4702" i="3"/>
  <c r="E4172" i="3"/>
  <c r="E7779" i="3"/>
  <c r="E1172" i="3"/>
  <c r="E1173" i="3"/>
  <c r="E6827" i="3"/>
  <c r="E7005" i="3"/>
  <c r="E1176" i="3"/>
  <c r="E4173" i="3"/>
  <c r="E3391" i="3"/>
  <c r="E2139" i="3"/>
  <c r="E4306" i="3"/>
  <c r="E1179" i="3"/>
  <c r="E1660" i="3"/>
  <c r="E1182" i="3"/>
  <c r="E3399" i="3"/>
  <c r="E3401" i="3"/>
  <c r="E1662" i="3"/>
  <c r="E3404" i="3"/>
  <c r="E630" i="3"/>
  <c r="E1663" i="3"/>
  <c r="E1834" i="3"/>
  <c r="E1665" i="3"/>
  <c r="E108" i="3"/>
  <c r="E4721" i="3"/>
  <c r="E109" i="3"/>
  <c r="E6832" i="3"/>
  <c r="E3416" i="3"/>
  <c r="E6007" i="3"/>
  <c r="E641" i="3"/>
  <c r="E4728" i="3"/>
  <c r="E3423" i="3"/>
  <c r="E2145" i="3"/>
  <c r="E1196" i="3"/>
  <c r="E7796" i="3"/>
  <c r="E4733" i="3"/>
  <c r="E6011" i="3"/>
  <c r="E4182" i="3"/>
  <c r="E6527" i="3"/>
  <c r="E6529" i="3"/>
  <c r="E3433" i="3"/>
  <c r="E4737" i="3"/>
  <c r="E1669" i="3"/>
  <c r="E5819" i="3"/>
  <c r="E4748" i="3"/>
  <c r="E7015" i="3"/>
  <c r="E1201" i="3"/>
  <c r="E4187" i="3"/>
  <c r="E653" i="3"/>
  <c r="E7290" i="3"/>
  <c r="E7801" i="3"/>
  <c r="E1844" i="3"/>
  <c r="E4759" i="3"/>
  <c r="E3452" i="3"/>
  <c r="E341" i="3"/>
  <c r="E1604" i="3"/>
  <c r="E7653" i="3"/>
  <c r="E5777" i="3"/>
  <c r="E1605" i="3"/>
  <c r="E4579" i="3"/>
  <c r="E3107" i="3"/>
  <c r="E3113" i="3"/>
  <c r="E2076" i="3"/>
  <c r="E545" i="3"/>
  <c r="E347" i="3"/>
  <c r="E546" i="3"/>
  <c r="E3134" i="3"/>
  <c r="E3141" i="3"/>
  <c r="E2082" i="3"/>
  <c r="E7671" i="3"/>
  <c r="E1085" i="3"/>
  <c r="E6945" i="3"/>
  <c r="E3158" i="3"/>
  <c r="E349" i="3"/>
  <c r="E3169" i="3"/>
  <c r="E554" i="3"/>
  <c r="E5941" i="3"/>
  <c r="E5787" i="3"/>
  <c r="E1622" i="3"/>
  <c r="E5790" i="3"/>
  <c r="E5945" i="3"/>
  <c r="E6799" i="3"/>
  <c r="E4614" i="3"/>
  <c r="E7693" i="3"/>
  <c r="E6465" i="3"/>
  <c r="E3197" i="3"/>
  <c r="E561" i="3"/>
  <c r="E7698" i="3"/>
  <c r="E4623" i="3"/>
  <c r="E4625" i="3"/>
  <c r="E7704" i="3"/>
  <c r="E570" i="3"/>
  <c r="E1634" i="3"/>
  <c r="E7709" i="3"/>
  <c r="E3227" i="3"/>
  <c r="E6479" i="3"/>
  <c r="E6806" i="3"/>
  <c r="E1118" i="3"/>
  <c r="E580" i="3"/>
  <c r="E4642" i="3"/>
  <c r="E1802" i="3"/>
  <c r="E1121" i="3"/>
  <c r="E584" i="3"/>
  <c r="E6967" i="3"/>
  <c r="E7723" i="3"/>
  <c r="E358" i="3"/>
  <c r="E3264" i="3"/>
  <c r="E4652" i="3"/>
  <c r="E3269" i="3"/>
  <c r="E3272" i="3"/>
  <c r="E3274" i="3"/>
  <c r="E1643" i="3"/>
  <c r="E3278" i="3"/>
  <c r="E5962" i="3"/>
  <c r="E6973" i="3"/>
  <c r="E1131" i="3"/>
  <c r="E5801" i="3"/>
  <c r="E6980" i="3"/>
  <c r="E5964" i="3"/>
  <c r="E2385" i="3"/>
  <c r="E3295" i="3"/>
  <c r="E3297" i="3"/>
  <c r="E1813" i="3"/>
  <c r="E2116" i="3"/>
  <c r="E5970" i="3"/>
  <c r="E4667" i="3"/>
  <c r="E1647" i="3"/>
  <c r="E7283" i="3"/>
  <c r="E2387" i="3"/>
  <c r="E7746" i="3"/>
  <c r="E7747" i="3"/>
  <c r="E6987" i="3"/>
  <c r="E601" i="3"/>
  <c r="E6817" i="3"/>
  <c r="E1818" i="3"/>
  <c r="E6989" i="3"/>
  <c r="E1648" i="3"/>
  <c r="E3314" i="3"/>
  <c r="E363" i="3"/>
  <c r="E1143" i="3"/>
  <c r="E3317" i="3"/>
  <c r="E2123" i="3"/>
  <c r="E364" i="3"/>
  <c r="E6821" i="3"/>
  <c r="E3326" i="3"/>
  <c r="E3330" i="3"/>
  <c r="E2127" i="3"/>
  <c r="E7757" i="3"/>
  <c r="E1148" i="3"/>
  <c r="E2129" i="3"/>
  <c r="E3339" i="3"/>
  <c r="E7764" i="3"/>
  <c r="E96" i="3"/>
  <c r="E3347" i="3"/>
  <c r="E6513" i="3"/>
  <c r="E7768" i="3"/>
  <c r="E2131" i="3"/>
  <c r="E6515" i="3"/>
  <c r="E3353" i="3"/>
  <c r="E1158" i="3"/>
  <c r="E3356" i="3"/>
  <c r="E1161" i="3"/>
  <c r="E1162" i="3"/>
  <c r="E4700" i="3"/>
  <c r="E1164" i="3"/>
  <c r="E3371" i="3"/>
  <c r="E4701" i="3"/>
  <c r="E2134" i="3"/>
  <c r="E7776" i="3"/>
  <c r="E3378" i="3"/>
  <c r="E7777" i="3"/>
  <c r="E4703" i="3"/>
  <c r="E3382" i="3"/>
  <c r="E3383" i="3"/>
  <c r="E2400" i="3"/>
  <c r="E3386" i="3"/>
  <c r="E622" i="3"/>
  <c r="E2138" i="3"/>
  <c r="E1831" i="3"/>
  <c r="E7006" i="3"/>
  <c r="E3392" i="3"/>
  <c r="E4709" i="3"/>
  <c r="E627" i="3"/>
  <c r="E4711" i="3"/>
  <c r="E5999" i="3"/>
  <c r="E1183" i="3"/>
  <c r="E106" i="3"/>
  <c r="E3402" i="3"/>
  <c r="E1186" i="3"/>
  <c r="E4716" i="3"/>
  <c r="E7010" i="3"/>
  <c r="E632" i="3"/>
  <c r="E634" i="3"/>
  <c r="E3407" i="3"/>
  <c r="E4720" i="3"/>
  <c r="E1837" i="3"/>
  <c r="E1192" i="3"/>
  <c r="E1841" i="3"/>
  <c r="E1842" i="3"/>
  <c r="E4309" i="3"/>
  <c r="E6008" i="3"/>
  <c r="E643" i="3"/>
  <c r="E7791" i="3"/>
  <c r="E4180" i="3"/>
  <c r="E2146" i="3"/>
  <c r="E4732" i="3"/>
  <c r="E4310" i="3"/>
  <c r="E6012" i="3"/>
  <c r="E4183" i="3"/>
  <c r="E649" i="3"/>
  <c r="E6014" i="3"/>
  <c r="E2150" i="3"/>
  <c r="E4738" i="3"/>
  <c r="E4743" i="3"/>
  <c r="E1198" i="3"/>
  <c r="E3439" i="3"/>
  <c r="E4311" i="3"/>
  <c r="E1202" i="3"/>
  <c r="E3445" i="3"/>
  <c r="E4188" i="3"/>
  <c r="E3448" i="3"/>
  <c r="E4754" i="3"/>
  <c r="E3450" i="3"/>
  <c r="E4760" i="3"/>
  <c r="E4763" i="3"/>
  <c r="E7648" i="3"/>
  <c r="E3082" i="3"/>
  <c r="E3089" i="3"/>
  <c r="E1068" i="3"/>
  <c r="E3096" i="3"/>
  <c r="E6939" i="3"/>
  <c r="E3108" i="3"/>
  <c r="E1072" i="3"/>
  <c r="E1610" i="3"/>
  <c r="E3122" i="3"/>
  <c r="E1076" i="3"/>
  <c r="E547" i="3"/>
  <c r="E3135" i="3"/>
  <c r="E6444" i="3"/>
  <c r="E4137" i="3"/>
  <c r="E6447" i="3"/>
  <c r="E5786" i="3"/>
  <c r="E552" i="3"/>
  <c r="E4595" i="3"/>
  <c r="E1087" i="3"/>
  <c r="E6794" i="3"/>
  <c r="E2086" i="3"/>
  <c r="E71" i="3"/>
  <c r="E7683" i="3"/>
  <c r="E555" i="3"/>
  <c r="E2374" i="3"/>
  <c r="E75" i="3"/>
  <c r="E3184" i="3"/>
  <c r="E1100" i="3"/>
  <c r="E7694" i="3"/>
  <c r="E7696" i="3"/>
  <c r="E351" i="3"/>
  <c r="E4619" i="3"/>
  <c r="E7699" i="3"/>
  <c r="E6473" i="3"/>
  <c r="E3208" i="3"/>
  <c r="E3212" i="3"/>
  <c r="E4152" i="3"/>
  <c r="E6475" i="3"/>
  <c r="E5796" i="3"/>
  <c r="E6962" i="3"/>
  <c r="E4636" i="3"/>
  <c r="E2099" i="3"/>
  <c r="E4299" i="3"/>
  <c r="E6481" i="3"/>
  <c r="E6483" i="3"/>
  <c r="E7719" i="3"/>
  <c r="E2100" i="3"/>
  <c r="E3253" i="3"/>
  <c r="E3256" i="3"/>
  <c r="E7724" i="3"/>
  <c r="E6489" i="3"/>
  <c r="E3265" i="3"/>
  <c r="E4157" i="3"/>
  <c r="E4655" i="3"/>
  <c r="E6431" i="3"/>
  <c r="E3084" i="3"/>
  <c r="E7654" i="3"/>
  <c r="E542" i="3"/>
  <c r="E1788" i="3"/>
  <c r="E3102" i="3"/>
  <c r="E3109" i="3"/>
  <c r="E3114" i="3"/>
  <c r="E4587" i="3"/>
  <c r="E3123" i="3"/>
  <c r="E1077" i="3"/>
  <c r="E5934" i="3"/>
  <c r="E6443" i="3"/>
  <c r="E3142" i="3"/>
  <c r="E550" i="3"/>
  <c r="E2083" i="3"/>
  <c r="E69" i="3"/>
  <c r="E3154" i="3"/>
  <c r="E4597" i="3"/>
  <c r="E3166" i="3"/>
  <c r="E4599" i="3"/>
  <c r="E3174" i="3"/>
  <c r="E6947" i="3"/>
  <c r="E4606" i="3"/>
  <c r="E2373" i="3"/>
  <c r="E1095" i="3"/>
  <c r="E2090" i="3"/>
  <c r="E1098" i="3"/>
  <c r="E6463" i="3"/>
  <c r="E3192" i="3"/>
  <c r="E1104" i="3"/>
  <c r="E6953" i="3"/>
  <c r="E563" i="3"/>
  <c r="E4621" i="3"/>
  <c r="E1108" i="3"/>
  <c r="E3209" i="3"/>
  <c r="E3215" i="3"/>
  <c r="E4629" i="3"/>
  <c r="E7707" i="3"/>
  <c r="E3223" i="3"/>
  <c r="E1114" i="3"/>
  <c r="E3230" i="3"/>
  <c r="E577" i="3"/>
  <c r="E5953" i="3"/>
  <c r="E6808" i="3"/>
  <c r="E582" i="3"/>
  <c r="E82" i="3"/>
  <c r="E1122" i="3"/>
  <c r="E3254" i="3"/>
  <c r="E356" i="3"/>
  <c r="E3258" i="3"/>
  <c r="E7728" i="3"/>
  <c r="E3266" i="3"/>
  <c r="E4653" i="3"/>
  <c r="E1639" i="3"/>
  <c r="E6493" i="3"/>
  <c r="E1807" i="3"/>
  <c r="E3276" i="3"/>
  <c r="E593" i="3"/>
  <c r="E4658" i="3"/>
  <c r="E2111" i="3"/>
  <c r="E1132" i="3"/>
  <c r="E3287" i="3"/>
  <c r="E3288" i="3"/>
  <c r="E5965" i="3"/>
  <c r="E3292" i="3"/>
  <c r="E6502" i="3"/>
  <c r="E5802" i="3"/>
  <c r="E3298" i="3"/>
  <c r="E5968" i="3"/>
  <c r="E7229" i="3"/>
  <c r="E89" i="3"/>
  <c r="E4669" i="3"/>
  <c r="E6985" i="3"/>
  <c r="E3304" i="3"/>
  <c r="E2388" i="3"/>
  <c r="E6505" i="3"/>
  <c r="E6507" i="3"/>
  <c r="E3308" i="3"/>
  <c r="E3312" i="3"/>
  <c r="E5805" i="3"/>
  <c r="E7751" i="3"/>
  <c r="E93" i="3"/>
  <c r="E3315" i="3"/>
  <c r="E604" i="3"/>
  <c r="E2389" i="3"/>
  <c r="E606" i="3"/>
  <c r="E1145" i="3"/>
  <c r="E6993" i="3"/>
  <c r="E1146" i="3"/>
  <c r="E3327" i="3"/>
  <c r="E4683" i="3"/>
  <c r="E95" i="3"/>
  <c r="E7759" i="3"/>
  <c r="E3334" i="3"/>
  <c r="E7761" i="3"/>
  <c r="E3340" i="3"/>
  <c r="E1150" i="3"/>
  <c r="E4690" i="3"/>
  <c r="E4692" i="3"/>
  <c r="E6999" i="3"/>
  <c r="E97" i="3"/>
  <c r="E4693" i="3"/>
  <c r="E4167" i="3"/>
  <c r="E1157" i="3"/>
  <c r="E5985" i="3"/>
  <c r="E2397" i="3"/>
  <c r="E7286" i="3"/>
  <c r="E6823" i="3"/>
  <c r="E4168" i="3"/>
  <c r="E3368" i="3"/>
  <c r="E614" i="3"/>
  <c r="E7002" i="3"/>
  <c r="E6825" i="3"/>
  <c r="E616" i="3"/>
  <c r="E4170" i="3"/>
  <c r="E619" i="3"/>
  <c r="E620" i="3"/>
  <c r="E6826" i="3"/>
  <c r="E621" i="3"/>
  <c r="E5994" i="3"/>
  <c r="E3387" i="3"/>
  <c r="E5995" i="3"/>
  <c r="E5996" i="3"/>
  <c r="E6828" i="3"/>
  <c r="E1656" i="3"/>
  <c r="E104" i="3"/>
  <c r="E3393" i="3"/>
  <c r="E7782" i="3"/>
  <c r="E7235" i="3"/>
  <c r="E3396" i="3"/>
  <c r="E1832" i="3"/>
  <c r="E1661" i="3"/>
  <c r="E1185" i="3"/>
  <c r="E2406" i="3"/>
  <c r="E6002" i="3"/>
  <c r="E3405" i="3"/>
  <c r="E3406" i="3"/>
  <c r="E1835" i="3"/>
  <c r="E1190" i="3"/>
  <c r="E1191" i="3"/>
  <c r="E1838" i="3"/>
  <c r="E638" i="3"/>
  <c r="E639" i="3"/>
  <c r="E5815" i="3"/>
  <c r="E3419" i="3"/>
  <c r="E642" i="3"/>
  <c r="E6009" i="3"/>
  <c r="E644" i="3"/>
  <c r="E7237" i="3"/>
  <c r="E1197" i="3"/>
  <c r="E3427" i="3"/>
  <c r="E647" i="3"/>
  <c r="E4735" i="3"/>
  <c r="E6835" i="3"/>
  <c r="E7013" i="3"/>
  <c r="E7797" i="3"/>
  <c r="E6015" i="3"/>
  <c r="E2151" i="3"/>
  <c r="E3436" i="3"/>
  <c r="E650" i="3"/>
  <c r="E1199" i="3"/>
  <c r="E6837" i="3"/>
  <c r="E6018" i="3"/>
  <c r="E1843" i="3"/>
  <c r="E4751" i="3"/>
  <c r="E3449" i="3"/>
  <c r="E6838" i="3"/>
  <c r="E4191" i="3"/>
  <c r="E2153" i="3"/>
  <c r="E538" i="3"/>
  <c r="E3085" i="3"/>
  <c r="E5776" i="3"/>
  <c r="E543" i="3"/>
  <c r="E3099" i="3"/>
  <c r="E6434" i="3"/>
  <c r="E3110" i="3"/>
  <c r="E1609" i="3"/>
  <c r="E7663" i="3"/>
  <c r="E6438" i="3"/>
  <c r="E2079" i="3"/>
  <c r="E3130" i="3"/>
  <c r="E3138" i="3"/>
  <c r="E1614" i="3"/>
  <c r="E68" i="3"/>
  <c r="E1793" i="3"/>
  <c r="E3151" i="3"/>
  <c r="E4594" i="3"/>
  <c r="E3161" i="3"/>
  <c r="E4598" i="3"/>
  <c r="E1090" i="3"/>
  <c r="E3175" i="3"/>
  <c r="E1092" i="3"/>
  <c r="E5788" i="3"/>
  <c r="E1796" i="3"/>
  <c r="E6460" i="3"/>
  <c r="E7690" i="3"/>
  <c r="E7691" i="3"/>
  <c r="E3189" i="3"/>
  <c r="E3193" i="3"/>
  <c r="E2376" i="3"/>
  <c r="E3198" i="3"/>
  <c r="E564" i="3"/>
  <c r="E4622" i="3"/>
  <c r="E6803" i="3"/>
  <c r="E1629" i="3"/>
  <c r="E6955" i="3"/>
  <c r="E353" i="3"/>
  <c r="E4631" i="3"/>
  <c r="E3224" i="3"/>
  <c r="E6476" i="3"/>
  <c r="E575" i="3"/>
  <c r="E1636" i="3"/>
  <c r="E4155" i="3"/>
  <c r="E5955" i="3"/>
  <c r="E5956" i="3"/>
  <c r="E3247" i="3"/>
  <c r="E583" i="3"/>
  <c r="E6486" i="3"/>
  <c r="E357" i="3"/>
  <c r="E4647" i="3"/>
  <c r="E1124" i="3"/>
  <c r="E3079" i="3"/>
  <c r="E5925" i="3"/>
  <c r="E5928" i="3"/>
  <c r="E3094" i="3"/>
  <c r="E3100" i="3"/>
  <c r="E3103" i="3"/>
  <c r="E4584" i="3"/>
  <c r="E6789" i="3"/>
  <c r="E544" i="3"/>
  <c r="E6439" i="3"/>
  <c r="E5782" i="3"/>
  <c r="E548" i="3"/>
  <c r="E2369" i="3"/>
  <c r="E5937" i="3"/>
  <c r="E1082" i="3"/>
  <c r="E7673" i="3"/>
  <c r="E6449" i="3"/>
  <c r="E3156" i="3"/>
  <c r="E6793" i="3"/>
  <c r="E3167" i="3"/>
  <c r="E5940" i="3"/>
  <c r="E3176" i="3"/>
  <c r="E3177" i="3"/>
  <c r="E3179" i="3"/>
  <c r="E6797" i="3"/>
  <c r="E5944" i="3"/>
  <c r="E4145" i="3"/>
  <c r="E4612" i="3"/>
  <c r="E1626" i="3"/>
  <c r="E7695" i="3"/>
  <c r="E6951" i="3"/>
  <c r="E6467" i="3"/>
  <c r="E7697" i="3"/>
  <c r="E6472" i="3"/>
  <c r="E5949" i="3"/>
  <c r="E7703" i="3"/>
  <c r="E1631" i="3"/>
  <c r="E1632" i="3"/>
  <c r="E7708" i="3"/>
  <c r="E7225" i="3"/>
  <c r="E6478" i="3"/>
  <c r="E1801" i="3"/>
  <c r="E4638" i="3"/>
  <c r="E5954" i="3"/>
  <c r="E4156" i="3"/>
  <c r="E7716" i="3"/>
  <c r="E3248" i="3"/>
  <c r="E355" i="3"/>
  <c r="E6812" i="3"/>
  <c r="E587" i="3"/>
  <c r="E3259" i="3"/>
  <c r="E2103" i="3"/>
  <c r="E2382" i="3"/>
  <c r="E6491" i="3"/>
  <c r="E7227" i="3"/>
  <c r="E1641" i="3"/>
  <c r="E2368" i="3"/>
  <c r="E3086" i="3"/>
  <c r="E2072" i="3"/>
  <c r="E7655" i="3"/>
  <c r="E5930" i="3"/>
  <c r="E3104" i="3"/>
  <c r="E4135" i="3"/>
  <c r="E6436" i="3"/>
  <c r="E6437" i="3"/>
  <c r="E65" i="3"/>
  <c r="E5783" i="3"/>
  <c r="E1791" i="3"/>
  <c r="E7277" i="3"/>
  <c r="E7668" i="3"/>
  <c r="E1083" i="3"/>
  <c r="E6448" i="3"/>
  <c r="E6944" i="3"/>
  <c r="E6791" i="3"/>
  <c r="E3162" i="3"/>
  <c r="E4140" i="3"/>
  <c r="E4600" i="3"/>
  <c r="E1091" i="3"/>
  <c r="E2371" i="3"/>
  <c r="E6457" i="3"/>
  <c r="E1094" i="3"/>
  <c r="E6461" i="3"/>
  <c r="E4610" i="3"/>
  <c r="E3188" i="3"/>
  <c r="E2091" i="3"/>
  <c r="E6464" i="3"/>
  <c r="E3195" i="3"/>
  <c r="E6468" i="3"/>
  <c r="E6469" i="3"/>
  <c r="E1106" i="3"/>
  <c r="E1109" i="3"/>
  <c r="E569" i="3"/>
  <c r="E4628" i="3"/>
  <c r="E2096" i="3"/>
  <c r="E1113" i="3"/>
  <c r="E6805" i="3"/>
  <c r="E3228" i="3"/>
  <c r="E2098" i="3"/>
  <c r="E3234" i="3"/>
  <c r="E3238" i="3"/>
  <c r="E6964" i="3"/>
  <c r="E7717" i="3"/>
  <c r="E3249" i="3"/>
  <c r="E3250" i="3"/>
  <c r="E6813" i="3"/>
  <c r="E6488" i="3"/>
  <c r="E84" i="3"/>
  <c r="E588" i="3"/>
  <c r="E2105" i="3"/>
  <c r="E2383" i="3"/>
  <c r="E4158" i="3"/>
  <c r="E3268" i="3"/>
  <c r="E1129" i="3"/>
  <c r="E3279" i="3"/>
  <c r="E3283" i="3"/>
  <c r="E6978" i="3"/>
  <c r="E4663" i="3"/>
  <c r="E1812" i="3"/>
  <c r="E7741" i="3"/>
  <c r="E3301" i="3"/>
  <c r="E600" i="3"/>
  <c r="E2117" i="3"/>
  <c r="E1815" i="3"/>
  <c r="E4673" i="3"/>
  <c r="E7750" i="3"/>
  <c r="E4678" i="3"/>
  <c r="E3316" i="3"/>
  <c r="E2391" i="3"/>
  <c r="E2392" i="3"/>
  <c r="E3329" i="3"/>
  <c r="E6510" i="3"/>
  <c r="E7760" i="3"/>
  <c r="E3341" i="3"/>
  <c r="E4691" i="3"/>
  <c r="E6514" i="3"/>
  <c r="E366" i="3"/>
  <c r="E3354" i="3"/>
  <c r="E1160" i="3"/>
  <c r="E3363" i="3"/>
  <c r="E613" i="3"/>
  <c r="E1167" i="3"/>
  <c r="E1168" i="3"/>
  <c r="E3381" i="3"/>
  <c r="E4705" i="3"/>
  <c r="E3385" i="3"/>
  <c r="E4708" i="3"/>
  <c r="E5814" i="3"/>
  <c r="E4175" i="3"/>
  <c r="E7783" i="3"/>
  <c r="E105" i="3"/>
  <c r="E4177" i="3"/>
  <c r="E3403" i="3"/>
  <c r="E2407" i="3"/>
  <c r="E2143" i="3"/>
  <c r="E3409" i="3"/>
  <c r="E4722" i="3"/>
  <c r="E6834" i="3"/>
  <c r="E4727" i="3"/>
  <c r="E7792" i="3"/>
  <c r="E7794" i="3"/>
  <c r="E4734" i="3"/>
  <c r="E6836" i="3"/>
  <c r="E2409" i="3"/>
  <c r="E4740" i="3"/>
  <c r="E5820" i="3"/>
  <c r="E4750" i="3"/>
  <c r="E3447" i="3"/>
  <c r="E7800" i="3"/>
  <c r="E4757" i="3"/>
  <c r="E7804" i="3"/>
  <c r="E3455" i="3"/>
  <c r="E1846" i="3"/>
  <c r="E6535" i="3"/>
  <c r="E1672" i="3"/>
  <c r="E7017" i="3"/>
  <c r="E7238" i="3"/>
  <c r="E3466" i="3"/>
  <c r="E4777" i="3"/>
  <c r="E7808" i="3"/>
  <c r="E1847" i="3"/>
  <c r="E1679" i="3"/>
  <c r="E1680" i="3"/>
  <c r="E663" i="3"/>
  <c r="E7810" i="3"/>
  <c r="E2156" i="3"/>
  <c r="E6842" i="3"/>
  <c r="E7020" i="3"/>
  <c r="E4786" i="3"/>
  <c r="E7242" i="3"/>
  <c r="E1216" i="3"/>
  <c r="E3486" i="3"/>
  <c r="E6843" i="3"/>
  <c r="E668" i="3"/>
  <c r="E6538" i="3"/>
  <c r="E4199" i="3"/>
  <c r="E3496" i="3"/>
  <c r="E6539" i="3"/>
  <c r="E4201" i="3"/>
  <c r="E7028" i="3"/>
  <c r="E1850" i="3"/>
  <c r="E675" i="3"/>
  <c r="E1852" i="3"/>
  <c r="E3502" i="3"/>
  <c r="E3505" i="3"/>
  <c r="E4795" i="3"/>
  <c r="E129" i="3"/>
  <c r="E4799" i="3"/>
  <c r="E5829" i="3"/>
  <c r="E4800" i="3"/>
  <c r="E3517" i="3"/>
  <c r="E3522" i="3"/>
  <c r="E682" i="3"/>
  <c r="E4805" i="3"/>
  <c r="E2167" i="3"/>
  <c r="E381" i="3"/>
  <c r="E131" i="3"/>
  <c r="E4809" i="3"/>
  <c r="E1857" i="3"/>
  <c r="E1239" i="3"/>
  <c r="E4204" i="3"/>
  <c r="E5834" i="3"/>
  <c r="E2169" i="3"/>
  <c r="E4815" i="3"/>
  <c r="E1860" i="3"/>
  <c r="E1861" i="3"/>
  <c r="E3550" i="3"/>
  <c r="E7035" i="3"/>
  <c r="E1247" i="3"/>
  <c r="E2173" i="3"/>
  <c r="E3553" i="3"/>
  <c r="E2174" i="3"/>
  <c r="E6546" i="3"/>
  <c r="E4320" i="3"/>
  <c r="E6548" i="3"/>
  <c r="E3560" i="3"/>
  <c r="E3562" i="3"/>
  <c r="E692" i="3"/>
  <c r="E7041" i="3"/>
  <c r="E6854" i="3"/>
  <c r="E693" i="3"/>
  <c r="E7044" i="3"/>
  <c r="E3571" i="3"/>
  <c r="E2177" i="3"/>
  <c r="E4208" i="3"/>
  <c r="E1261" i="3"/>
  <c r="E6553" i="3"/>
  <c r="E5837" i="3"/>
  <c r="E5838" i="3"/>
  <c r="E3585" i="3"/>
  <c r="E3586" i="3"/>
  <c r="E7047" i="3"/>
  <c r="E697" i="3"/>
  <c r="E7049" i="3"/>
  <c r="E1268" i="3"/>
  <c r="E6058" i="3"/>
  <c r="E7840" i="3"/>
  <c r="E145" i="3"/>
  <c r="E3599" i="3"/>
  <c r="E1871" i="3"/>
  <c r="E4862" i="3"/>
  <c r="E1872" i="3"/>
  <c r="E4325" i="3"/>
  <c r="E1275" i="3"/>
  <c r="E3608" i="3"/>
  <c r="E3610" i="3"/>
  <c r="E701" i="3"/>
  <c r="E3613" i="3"/>
  <c r="E2429" i="3"/>
  <c r="E4877" i="3"/>
  <c r="E702" i="3"/>
  <c r="E7056" i="3"/>
  <c r="E3617" i="3"/>
  <c r="E4215" i="3"/>
  <c r="E4885" i="3"/>
  <c r="E6859" i="3"/>
  <c r="E6068" i="3"/>
  <c r="E154" i="3"/>
  <c r="E397" i="3"/>
  <c r="E4893" i="3"/>
  <c r="E708" i="3"/>
  <c r="E1281" i="3"/>
  <c r="E4331" i="3"/>
  <c r="E156" i="3"/>
  <c r="E4900" i="3"/>
  <c r="E6862" i="3"/>
  <c r="E3632" i="3"/>
  <c r="E1286" i="3"/>
  <c r="E158" i="3"/>
  <c r="E7856" i="3"/>
  <c r="E4906" i="3"/>
  <c r="E1290" i="3"/>
  <c r="E4654" i="3"/>
  <c r="E5960" i="3"/>
  <c r="E594" i="3"/>
  <c r="E7737" i="3"/>
  <c r="E6501" i="3"/>
  <c r="E7739" i="3"/>
  <c r="E4664" i="3"/>
  <c r="E1135" i="3"/>
  <c r="E6984" i="3"/>
  <c r="E5804" i="3"/>
  <c r="E1139" i="3"/>
  <c r="E3305" i="3"/>
  <c r="E92" i="3"/>
  <c r="E6818" i="3"/>
  <c r="E1649" i="3"/>
  <c r="E6819" i="3"/>
  <c r="E3319" i="3"/>
  <c r="E6994" i="3"/>
  <c r="E5980" i="3"/>
  <c r="E1147" i="3"/>
  <c r="E3335" i="3"/>
  <c r="E3342" i="3"/>
  <c r="E3346" i="3"/>
  <c r="E4303" i="3"/>
  <c r="E4694" i="3"/>
  <c r="E4696" i="3"/>
  <c r="E7001" i="3"/>
  <c r="E1163" i="3"/>
  <c r="E5988" i="3"/>
  <c r="E6824" i="3"/>
  <c r="E617" i="3"/>
  <c r="E7778" i="3"/>
  <c r="E1827" i="3"/>
  <c r="E5813" i="3"/>
  <c r="E623" i="3"/>
  <c r="E3389" i="3"/>
  <c r="E1178" i="3"/>
  <c r="E4176" i="3"/>
  <c r="E3397" i="3"/>
  <c r="E3400" i="3"/>
  <c r="E1833" i="3"/>
  <c r="E2142" i="3"/>
  <c r="E7787" i="3"/>
  <c r="E637" i="3"/>
  <c r="E6005" i="3"/>
  <c r="E3417" i="3"/>
  <c r="E7788" i="3"/>
  <c r="E4730" i="3"/>
  <c r="E7795" i="3"/>
  <c r="E2147" i="3"/>
  <c r="E3430" i="3"/>
  <c r="E3432" i="3"/>
  <c r="E4741" i="3"/>
  <c r="E3438" i="3"/>
  <c r="E7016" i="3"/>
  <c r="E373" i="3"/>
  <c r="E2412" i="3"/>
  <c r="E6019" i="3"/>
  <c r="E3453" i="3"/>
  <c r="E3456" i="3"/>
  <c r="E4768" i="3"/>
  <c r="E1206" i="3"/>
  <c r="E1673" i="3"/>
  <c r="E4772" i="3"/>
  <c r="E657" i="3"/>
  <c r="E1208" i="3"/>
  <c r="E660" i="3"/>
  <c r="E1211" i="3"/>
  <c r="E7239" i="3"/>
  <c r="E1212" i="3"/>
  <c r="E4196" i="3"/>
  <c r="E4781" i="3"/>
  <c r="E5823" i="3"/>
  <c r="E4783" i="3"/>
  <c r="E2157" i="3"/>
  <c r="E7240" i="3"/>
  <c r="E665" i="3"/>
  <c r="E6028" i="3"/>
  <c r="E7023" i="3"/>
  <c r="E667" i="3"/>
  <c r="E121" i="3"/>
  <c r="E7025" i="3"/>
  <c r="E3493" i="3"/>
  <c r="E3495" i="3"/>
  <c r="E2159" i="3"/>
  <c r="E7813" i="3"/>
  <c r="E125" i="3"/>
  <c r="E7029" i="3"/>
  <c r="E7815" i="3"/>
  <c r="E2161" i="3"/>
  <c r="E7817" i="3"/>
  <c r="E3503" i="3"/>
  <c r="E4316" i="3"/>
  <c r="E4796" i="3"/>
  <c r="E3508" i="3"/>
  <c r="E5828" i="3"/>
  <c r="E681" i="3"/>
  <c r="E3514" i="3"/>
  <c r="E3518" i="3"/>
  <c r="E3523" i="3"/>
  <c r="E3524" i="3"/>
  <c r="E1684" i="3"/>
  <c r="E3527" i="3"/>
  <c r="E3529" i="3"/>
  <c r="E7033" i="3"/>
  <c r="E7247" i="3"/>
  <c r="E1237" i="3"/>
  <c r="E4203" i="3"/>
  <c r="E133" i="3"/>
  <c r="E1240" i="3"/>
  <c r="E6850" i="3"/>
  <c r="E1859" i="3"/>
  <c r="E3547" i="3"/>
  <c r="E4817" i="3"/>
  <c r="E7827" i="3"/>
  <c r="E3551" i="3"/>
  <c r="E4318" i="3"/>
  <c r="E135" i="3"/>
  <c r="E7036" i="3"/>
  <c r="E7828" i="3"/>
  <c r="E688" i="3"/>
  <c r="E6852" i="3"/>
  <c r="E6853" i="3"/>
  <c r="E7831" i="3"/>
  <c r="E6049" i="3"/>
  <c r="E1253" i="3"/>
  <c r="E4832" i="3"/>
  <c r="E138" i="3"/>
  <c r="E6051" i="3"/>
  <c r="E6052" i="3"/>
  <c r="E7045" i="3"/>
  <c r="E6053" i="3"/>
  <c r="E7046" i="3"/>
  <c r="E6550" i="3"/>
  <c r="E1262" i="3"/>
  <c r="E1868" i="3"/>
  <c r="E2179" i="3"/>
  <c r="E1263" i="3"/>
  <c r="E1265" i="3"/>
  <c r="E7252" i="3"/>
  <c r="E7048" i="3"/>
  <c r="E3590" i="3"/>
  <c r="E3592" i="3"/>
  <c r="E7253" i="3"/>
  <c r="E4855" i="3"/>
  <c r="E1270" i="3"/>
  <c r="E7841" i="3"/>
  <c r="E4858" i="3"/>
  <c r="E698" i="3"/>
  <c r="E1273" i="3"/>
  <c r="E699" i="3"/>
  <c r="E2184" i="3"/>
  <c r="E6559" i="3"/>
  <c r="E395" i="3"/>
  <c r="E3612" i="3"/>
  <c r="E2186" i="3"/>
  <c r="E4874" i="3"/>
  <c r="E4213" i="3"/>
  <c r="E3615" i="3"/>
  <c r="E150" i="3"/>
  <c r="E1279" i="3"/>
  <c r="E4328" i="3"/>
  <c r="E3618" i="3"/>
  <c r="E4887" i="3"/>
  <c r="E704" i="3"/>
  <c r="E7848" i="3"/>
  <c r="E2189" i="3"/>
  <c r="E7059" i="3"/>
  <c r="E3624" i="3"/>
  <c r="E2192" i="3"/>
  <c r="E3627" i="3"/>
  <c r="E7062" i="3"/>
  <c r="E7853" i="3"/>
  <c r="E6566" i="3"/>
  <c r="E3633" i="3"/>
  <c r="E1287" i="3"/>
  <c r="E399" i="3"/>
  <c r="E1640" i="3"/>
  <c r="E6496" i="3"/>
  <c r="E3281" i="3"/>
  <c r="E3286" i="3"/>
  <c r="E7228" i="3"/>
  <c r="E3291" i="3"/>
  <c r="E1134" i="3"/>
  <c r="E5803" i="3"/>
  <c r="E3303" i="3"/>
  <c r="E4161" i="3"/>
  <c r="E4162" i="3"/>
  <c r="E7749" i="3"/>
  <c r="E3311" i="3"/>
  <c r="E4302" i="3"/>
  <c r="E4679" i="3"/>
  <c r="E1144" i="3"/>
  <c r="E7754" i="3"/>
  <c r="E3322" i="3"/>
  <c r="E2126" i="3"/>
  <c r="E7758" i="3"/>
  <c r="E3337" i="3"/>
  <c r="E7765" i="3"/>
  <c r="E3348" i="3"/>
  <c r="E7769" i="3"/>
  <c r="E3352" i="3"/>
  <c r="E611" i="3"/>
  <c r="E3359" i="3"/>
  <c r="E3364" i="3"/>
  <c r="E7773" i="3"/>
  <c r="E5810" i="3"/>
  <c r="E5991" i="3"/>
  <c r="E7004" i="3"/>
  <c r="E1170" i="3"/>
  <c r="E2401" i="3"/>
  <c r="E1175" i="3"/>
  <c r="E3390" i="3"/>
  <c r="E7781" i="3"/>
  <c r="E2140" i="3"/>
  <c r="E2141" i="3"/>
  <c r="E1184" i="3"/>
  <c r="E4717" i="3"/>
  <c r="E1187" i="3"/>
  <c r="E3408" i="3"/>
  <c r="E3411" i="3"/>
  <c r="E6833" i="3"/>
  <c r="E4724" i="3"/>
  <c r="E7789" i="3"/>
  <c r="E372" i="3"/>
  <c r="E5817" i="3"/>
  <c r="E6525" i="3"/>
  <c r="E3431" i="3"/>
  <c r="E4736" i="3"/>
  <c r="E111" i="3"/>
  <c r="E3440" i="3"/>
  <c r="E6531" i="3"/>
  <c r="E7288" i="3"/>
  <c r="E5821" i="3"/>
  <c r="E3451" i="3"/>
  <c r="E7805" i="3"/>
  <c r="E4766" i="3"/>
  <c r="E6020" i="3"/>
  <c r="E3460" i="3"/>
  <c r="E1674" i="3"/>
  <c r="E1677" i="3"/>
  <c r="E4193" i="3"/>
  <c r="E4776" i="3"/>
  <c r="E1678" i="3"/>
  <c r="E4778" i="3"/>
  <c r="E661" i="3"/>
  <c r="E114" i="3"/>
  <c r="E3472" i="3"/>
  <c r="E6024" i="3"/>
  <c r="E4782" i="3"/>
  <c r="E118" i="3"/>
  <c r="E6536" i="3"/>
  <c r="E7241" i="3"/>
  <c r="E7021" i="3"/>
  <c r="E119" i="3"/>
  <c r="E3484" i="3"/>
  <c r="E3487" i="3"/>
  <c r="E3489" i="3"/>
  <c r="E7812" i="3"/>
  <c r="E3494" i="3"/>
  <c r="E7245" i="3"/>
  <c r="E2160" i="3"/>
  <c r="E6031" i="3"/>
  <c r="E1223" i="3"/>
  <c r="E7291" i="3"/>
  <c r="E1224" i="3"/>
  <c r="E4793" i="3"/>
  <c r="E7818" i="3"/>
  <c r="E1227" i="3"/>
  <c r="E677" i="3"/>
  <c r="E4797" i="3"/>
  <c r="E1229" i="3"/>
  <c r="E3509" i="3"/>
  <c r="E6541" i="3"/>
  <c r="E6542" i="3"/>
  <c r="E3519" i="3"/>
  <c r="E2164" i="3"/>
  <c r="E2165" i="3"/>
  <c r="E2166" i="3"/>
  <c r="E6040" i="3"/>
  <c r="E6543" i="3"/>
  <c r="E132" i="3"/>
  <c r="E3530" i="3"/>
  <c r="E3532" i="3"/>
  <c r="E2168" i="3"/>
  <c r="E1685" i="3"/>
  <c r="E3539" i="3"/>
  <c r="E3542" i="3"/>
  <c r="E4816" i="3"/>
  <c r="E1242" i="3"/>
  <c r="E1244" i="3"/>
  <c r="E4818" i="3"/>
  <c r="E134" i="3"/>
  <c r="E1686" i="3"/>
  <c r="E4822" i="3"/>
  <c r="E1249" i="3"/>
  <c r="E3555" i="3"/>
  <c r="E2421" i="3"/>
  <c r="E3558" i="3"/>
  <c r="E6046" i="3"/>
  <c r="E3561" i="3"/>
  <c r="E4829" i="3"/>
  <c r="E7832" i="3"/>
  <c r="E1865" i="3"/>
  <c r="E1255" i="3"/>
  <c r="E7043" i="3"/>
  <c r="E139" i="3"/>
  <c r="E694" i="3"/>
  <c r="E3575" i="3"/>
  <c r="E1259" i="3"/>
  <c r="E1867" i="3"/>
  <c r="E4322" i="3"/>
  <c r="E7836" i="3"/>
  <c r="E2180" i="3"/>
  <c r="E4845" i="3"/>
  <c r="E4846" i="3"/>
  <c r="E3587" i="3"/>
  <c r="E7294" i="3"/>
  <c r="E143" i="3"/>
  <c r="E6056" i="3"/>
  <c r="E4853" i="3"/>
  <c r="E7050" i="3"/>
  <c r="E5839" i="3"/>
  <c r="E1271" i="3"/>
  <c r="E4859" i="3"/>
  <c r="E4863" i="3"/>
  <c r="E4211" i="3"/>
  <c r="E7052" i="3"/>
  <c r="E6558" i="3"/>
  <c r="E4866" i="3"/>
  <c r="E3611" i="3"/>
  <c r="E7055" i="3"/>
  <c r="E4873" i="3"/>
  <c r="E4326" i="3"/>
  <c r="E3614" i="3"/>
  <c r="E2430" i="3"/>
  <c r="E3616" i="3"/>
  <c r="E4880" i="3"/>
  <c r="E6067" i="3"/>
  <c r="E3619" i="3"/>
  <c r="E3620" i="3"/>
  <c r="E153" i="3"/>
  <c r="E7057" i="3"/>
  <c r="E4890" i="3"/>
  <c r="E707" i="3"/>
  <c r="E3625" i="3"/>
  <c r="E4895" i="3"/>
  <c r="E3628" i="3"/>
  <c r="E3630" i="3"/>
  <c r="E6069" i="3"/>
  <c r="E7854" i="3"/>
  <c r="E1875" i="3"/>
  <c r="E6567" i="3"/>
  <c r="E2194" i="3"/>
  <c r="E6494" i="3"/>
  <c r="E2109" i="3"/>
  <c r="E2110" i="3"/>
  <c r="E1645" i="3"/>
  <c r="E2113" i="3"/>
  <c r="E6981" i="3"/>
  <c r="E6982" i="3"/>
  <c r="E6816" i="3"/>
  <c r="E1814" i="3"/>
  <c r="E91" i="3"/>
  <c r="E2119" i="3"/>
  <c r="E3306" i="3"/>
  <c r="E4674" i="3"/>
  <c r="E6990" i="3"/>
  <c r="E4165" i="3"/>
  <c r="E5806" i="3"/>
  <c r="E6820" i="3"/>
  <c r="E6995" i="3"/>
  <c r="E4685" i="3"/>
  <c r="E3332" i="3"/>
  <c r="E3338" i="3"/>
  <c r="E1823" i="3"/>
  <c r="E3350" i="3"/>
  <c r="E5983" i="3"/>
  <c r="E1156" i="3"/>
  <c r="E2396" i="3"/>
  <c r="E3361" i="3"/>
  <c r="E3365" i="3"/>
  <c r="E615" i="3"/>
  <c r="E3374" i="3"/>
  <c r="E99" i="3"/>
  <c r="E4704" i="3"/>
  <c r="E5993" i="3"/>
  <c r="E1829" i="3"/>
  <c r="E1830" i="3"/>
  <c r="E1177" i="3"/>
  <c r="E626" i="3"/>
  <c r="E628" i="3"/>
  <c r="E629" i="3"/>
  <c r="E4178" i="3"/>
  <c r="E4308" i="3"/>
  <c r="E633" i="3"/>
  <c r="E2408" i="3"/>
  <c r="E3412" i="3"/>
  <c r="E6006" i="3"/>
  <c r="E4725" i="3"/>
  <c r="E7790" i="3"/>
  <c r="E7793" i="3"/>
  <c r="E3428" i="3"/>
  <c r="E4181" i="3"/>
  <c r="E5958" i="3"/>
  <c r="E3277" i="3"/>
  <c r="E6500" i="3"/>
  <c r="E6975" i="3"/>
  <c r="E4661" i="3"/>
  <c r="E3293" i="3"/>
  <c r="E4665" i="3"/>
  <c r="E1646" i="3"/>
  <c r="E4668" i="3"/>
  <c r="E7744" i="3"/>
  <c r="E6986" i="3"/>
  <c r="E1817" i="3"/>
  <c r="E1141" i="3"/>
  <c r="E2121" i="3"/>
  <c r="E7753" i="3"/>
  <c r="E6992" i="3"/>
  <c r="E3321" i="3"/>
  <c r="E3323" i="3"/>
  <c r="E4686" i="3"/>
  <c r="E7285" i="3"/>
  <c r="E6511" i="3"/>
  <c r="E3343" i="3"/>
  <c r="E1824" i="3"/>
  <c r="E610" i="3"/>
  <c r="E6516" i="3"/>
  <c r="E1159" i="3"/>
  <c r="E2132" i="3"/>
  <c r="E2133" i="3"/>
  <c r="E5989" i="3"/>
  <c r="E3375" i="3"/>
  <c r="E2399" i="3"/>
  <c r="E4171" i="3"/>
  <c r="E1171" i="3"/>
  <c r="E3388" i="3"/>
  <c r="E369" i="3"/>
  <c r="E4174" i="3"/>
  <c r="E7007" i="3"/>
  <c r="E3395" i="3"/>
  <c r="E3398" i="3"/>
  <c r="E6830" i="3"/>
  <c r="E7786" i="3"/>
  <c r="E6831" i="3"/>
  <c r="E636" i="3"/>
  <c r="E3413" i="3"/>
  <c r="E3415" i="3"/>
  <c r="E4726" i="3"/>
  <c r="E3422" i="3"/>
  <c r="E7012" i="3"/>
  <c r="E646" i="3"/>
  <c r="E7287" i="3"/>
  <c r="E7014" i="3"/>
  <c r="E5818" i="3"/>
  <c r="E4744" i="3"/>
  <c r="E1200" i="3"/>
  <c r="E3444" i="3"/>
  <c r="E4189" i="3"/>
  <c r="E4756" i="3"/>
  <c r="E1671" i="3"/>
  <c r="E1845" i="3"/>
  <c r="E3457" i="3"/>
  <c r="E3459" i="3"/>
  <c r="E4769" i="3"/>
  <c r="E1676" i="3"/>
  <c r="E656" i="3"/>
  <c r="E6839" i="3"/>
  <c r="E7807" i="3"/>
  <c r="E3468" i="3"/>
  <c r="E4780" i="3"/>
  <c r="E662" i="3"/>
  <c r="E376" i="3"/>
  <c r="E116" i="3"/>
  <c r="E378" i="3"/>
  <c r="E1681" i="3"/>
  <c r="E1682" i="3"/>
  <c r="E1214" i="3"/>
  <c r="E2158" i="3"/>
  <c r="E7022" i="3"/>
  <c r="E3482" i="3"/>
  <c r="E7024" i="3"/>
  <c r="E4197" i="3"/>
  <c r="E4787" i="3"/>
  <c r="E3491" i="3"/>
  <c r="E1849" i="3"/>
  <c r="E1220" i="3"/>
  <c r="E1221" i="3"/>
  <c r="E1222" i="3"/>
  <c r="E6032" i="3"/>
  <c r="E3498" i="3"/>
  <c r="E674" i="3"/>
  <c r="E3500" i="3"/>
  <c r="E1683" i="3"/>
  <c r="E2418" i="3"/>
  <c r="E678" i="3"/>
  <c r="E7820" i="3"/>
  <c r="E6037" i="3"/>
  <c r="E680" i="3"/>
  <c r="E4317" i="3"/>
  <c r="E3515" i="3"/>
  <c r="E1233" i="3"/>
  <c r="E6039" i="3"/>
  <c r="E1234" i="3"/>
  <c r="E1235" i="3"/>
  <c r="E3528" i="3"/>
  <c r="E5831" i="3"/>
  <c r="E4808" i="3"/>
  <c r="E3531" i="3"/>
  <c r="E3533" i="3"/>
  <c r="E385" i="3"/>
  <c r="E6849" i="3"/>
  <c r="E7248" i="3"/>
  <c r="E3543" i="3"/>
  <c r="E3546" i="3"/>
  <c r="E7034" i="3"/>
  <c r="E2171" i="3"/>
  <c r="E1245" i="3"/>
  <c r="E686" i="3"/>
  <c r="E1862" i="3"/>
  <c r="E4823" i="3"/>
  <c r="E1864" i="3"/>
  <c r="E3556" i="3"/>
  <c r="E689" i="3"/>
  <c r="E388" i="3"/>
  <c r="E6048" i="3"/>
  <c r="E4828" i="3"/>
  <c r="E1252" i="3"/>
  <c r="E3565" i="3"/>
  <c r="E4833" i="3"/>
  <c r="E7042" i="3"/>
  <c r="E1257" i="3"/>
  <c r="E4836" i="3"/>
  <c r="E3572" i="3"/>
  <c r="E4321" i="3"/>
  <c r="E3578" i="3"/>
  <c r="E4839" i="3"/>
  <c r="E4840" i="3"/>
  <c r="E390" i="3"/>
  <c r="E3583" i="3"/>
  <c r="E1869" i="3"/>
  <c r="E1267" i="3"/>
  <c r="E3589" i="3"/>
  <c r="E4209" i="3"/>
  <c r="E3591" i="3"/>
  <c r="E6057" i="3"/>
  <c r="E4854" i="3"/>
  <c r="E3596" i="3"/>
  <c r="E4857" i="3"/>
  <c r="E7842" i="3"/>
  <c r="E4860" i="3"/>
  <c r="E7254" i="3"/>
  <c r="E2427" i="3"/>
  <c r="E3606" i="3"/>
  <c r="E4864" i="3"/>
  <c r="E700" i="3"/>
  <c r="E4870" i="3"/>
  <c r="E147" i="3"/>
  <c r="E7295" i="3"/>
  <c r="E1277" i="3"/>
  <c r="E1688" i="3"/>
  <c r="E703" i="3"/>
  <c r="E6065" i="3"/>
  <c r="E4882" i="3"/>
  <c r="E4216" i="3"/>
  <c r="E7847" i="3"/>
  <c r="E6860" i="3"/>
  <c r="E705" i="3"/>
  <c r="E4218" i="3"/>
  <c r="E7058" i="3"/>
  <c r="E3623" i="3"/>
  <c r="E398" i="3"/>
  <c r="E1282" i="3"/>
  <c r="E5959" i="3"/>
  <c r="E4300" i="3"/>
  <c r="E87" i="3"/>
  <c r="E6977" i="3"/>
  <c r="E3289" i="3"/>
  <c r="E1811" i="3"/>
  <c r="E6815" i="3"/>
  <c r="E4666" i="3"/>
  <c r="E5972" i="3"/>
  <c r="E4672" i="3"/>
  <c r="E4301" i="3"/>
  <c r="E4163" i="3"/>
  <c r="E1142" i="3"/>
  <c r="E4677" i="3"/>
  <c r="E4680" i="3"/>
  <c r="E3318" i="3"/>
  <c r="E4681" i="3"/>
  <c r="E5808" i="3"/>
  <c r="E4687" i="3"/>
  <c r="E5981" i="3"/>
  <c r="E5982" i="3"/>
  <c r="E3345" i="3"/>
  <c r="E1153" i="3"/>
  <c r="E7770" i="3"/>
  <c r="E7000" i="3"/>
  <c r="E1653" i="3"/>
  <c r="E7233" i="3"/>
  <c r="E3367" i="3"/>
  <c r="E5990" i="3"/>
  <c r="E1654" i="3"/>
  <c r="E2135" i="3"/>
  <c r="E5812" i="3"/>
  <c r="E7780" i="3"/>
  <c r="E2136" i="3"/>
  <c r="E103" i="3"/>
  <c r="E1657" i="3"/>
  <c r="E2405" i="3"/>
  <c r="E1180" i="3"/>
  <c r="E7785" i="3"/>
  <c r="E4715" i="3"/>
  <c r="E4179" i="3"/>
  <c r="E4719" i="3"/>
  <c r="E1836" i="3"/>
  <c r="E3414" i="3"/>
  <c r="E2144" i="3"/>
  <c r="E1193" i="3"/>
  <c r="E1195" i="3"/>
  <c r="E3426" i="3"/>
  <c r="E6010" i="3"/>
  <c r="E1668" i="3"/>
  <c r="E1128" i="3"/>
  <c r="E1644" i="3"/>
  <c r="E359" i="3"/>
  <c r="E596" i="3"/>
  <c r="E2114" i="3"/>
  <c r="E1133" i="3"/>
  <c r="E2386" i="3"/>
  <c r="E3300" i="3"/>
  <c r="E4670" i="3"/>
  <c r="E1138" i="3"/>
  <c r="E5975" i="3"/>
  <c r="E3309" i="3"/>
  <c r="E6988" i="3"/>
  <c r="E3313" i="3"/>
  <c r="E2122" i="3"/>
  <c r="E2390" i="3"/>
  <c r="E94" i="3"/>
  <c r="E3328" i="3"/>
  <c r="E1651" i="3"/>
  <c r="E6998" i="3"/>
  <c r="E4688" i="3"/>
  <c r="E1152" i="3"/>
  <c r="E7232" i="3"/>
  <c r="E1154" i="3"/>
  <c r="E4695" i="3"/>
  <c r="E7771" i="3"/>
  <c r="E7772" i="3"/>
  <c r="E1165" i="3"/>
  <c r="E7775" i="3"/>
  <c r="E3376" i="3"/>
  <c r="E101" i="3"/>
  <c r="E1169" i="3"/>
  <c r="E6518" i="3"/>
  <c r="E1174" i="3"/>
  <c r="E2402" i="3"/>
  <c r="E5997" i="3"/>
  <c r="E1659" i="3"/>
  <c r="E4713" i="3"/>
  <c r="E6829" i="3"/>
  <c r="E4307" i="3"/>
  <c r="E6519" i="3"/>
  <c r="E3273" i="3"/>
  <c r="E7743" i="3"/>
  <c r="E3320" i="3"/>
  <c r="E1155" i="3"/>
  <c r="E3384" i="3"/>
  <c r="E7009" i="3"/>
  <c r="E371" i="3"/>
  <c r="E3429" i="3"/>
  <c r="E3435" i="3"/>
  <c r="E4749" i="3"/>
  <c r="E1670" i="3"/>
  <c r="E4762" i="3"/>
  <c r="E4192" i="3"/>
  <c r="E3461" i="3"/>
  <c r="E4773" i="3"/>
  <c r="E659" i="3"/>
  <c r="E4779" i="3"/>
  <c r="E5822" i="3"/>
  <c r="E6025" i="3"/>
  <c r="E5824" i="3"/>
  <c r="E6026" i="3"/>
  <c r="E666" i="3"/>
  <c r="E2417" i="3"/>
  <c r="E7026" i="3"/>
  <c r="E4789" i="3"/>
  <c r="E4315" i="3"/>
  <c r="E126" i="3"/>
  <c r="E1226" i="3"/>
  <c r="E6035" i="3"/>
  <c r="E6036" i="3"/>
  <c r="E679" i="3"/>
  <c r="E380" i="3"/>
  <c r="E5830" i="3"/>
  <c r="E683" i="3"/>
  <c r="E1855" i="3"/>
  <c r="E5833" i="3"/>
  <c r="E3535" i="3"/>
  <c r="E685" i="3"/>
  <c r="E4205" i="3"/>
  <c r="E2170" i="3"/>
  <c r="E5835" i="3"/>
  <c r="E4207" i="3"/>
  <c r="E4824" i="3"/>
  <c r="E137" i="3"/>
  <c r="E2422" i="3"/>
  <c r="E4831" i="3"/>
  <c r="E1866" i="3"/>
  <c r="E3569" i="3"/>
  <c r="E3576" i="3"/>
  <c r="E6551" i="3"/>
  <c r="E696" i="3"/>
  <c r="E142" i="3"/>
  <c r="E3588" i="3"/>
  <c r="E6055" i="3"/>
  <c r="E391" i="3"/>
  <c r="E3597" i="3"/>
  <c r="E3601" i="3"/>
  <c r="E6062" i="3"/>
  <c r="E7054" i="3"/>
  <c r="E4869" i="3"/>
  <c r="E7843" i="3"/>
  <c r="E7255" i="3"/>
  <c r="E6064" i="3"/>
  <c r="E4884" i="3"/>
  <c r="E5840" i="3"/>
  <c r="E4330" i="3"/>
  <c r="E7060" i="3"/>
  <c r="E3626" i="3"/>
  <c r="E4898" i="3"/>
  <c r="E710" i="3"/>
  <c r="E7855" i="3"/>
  <c r="E6863" i="3"/>
  <c r="E1289" i="3"/>
  <c r="E4219" i="3"/>
  <c r="E4335" i="3"/>
  <c r="E717" i="3"/>
  <c r="E718" i="3"/>
  <c r="E6077" i="3"/>
  <c r="E162" i="3"/>
  <c r="E4915" i="3"/>
  <c r="E3641" i="3"/>
  <c r="E1293" i="3"/>
  <c r="E725" i="3"/>
  <c r="E6079" i="3"/>
  <c r="E726" i="3"/>
  <c r="E6572" i="3"/>
  <c r="E3654" i="3"/>
  <c r="E6082" i="3"/>
  <c r="E728" i="3"/>
  <c r="E4926" i="3"/>
  <c r="E1296" i="3"/>
  <c r="E7861" i="3"/>
  <c r="E1298" i="3"/>
  <c r="E2437" i="3"/>
  <c r="E1299" i="3"/>
  <c r="E2207" i="3"/>
  <c r="E1301" i="3"/>
  <c r="E7258" i="3"/>
  <c r="E2438" i="3"/>
  <c r="E6573" i="3"/>
  <c r="E4948" i="3"/>
  <c r="E7259" i="3"/>
  <c r="E2213" i="3"/>
  <c r="E742" i="3"/>
  <c r="E4339" i="3"/>
  <c r="E4954" i="3"/>
  <c r="E3686" i="3"/>
  <c r="E2214" i="3"/>
  <c r="E3690" i="3"/>
  <c r="E3694" i="3"/>
  <c r="E4960" i="3"/>
  <c r="E748" i="3"/>
  <c r="E750" i="3"/>
  <c r="E751" i="3"/>
  <c r="E1312" i="3"/>
  <c r="E6575" i="3"/>
  <c r="E6869" i="3"/>
  <c r="E6871" i="3"/>
  <c r="E6097" i="3"/>
  <c r="E4970" i="3"/>
  <c r="E6100" i="3"/>
  <c r="E4972" i="3"/>
  <c r="E3711" i="3"/>
  <c r="E3713" i="3"/>
  <c r="E4343" i="3"/>
  <c r="E6104" i="3"/>
  <c r="E2446" i="3"/>
  <c r="E756" i="3"/>
  <c r="E3719" i="3"/>
  <c r="E4984" i="3"/>
  <c r="E4232" i="3"/>
  <c r="E5844" i="3"/>
  <c r="E4988" i="3"/>
  <c r="E4990" i="3"/>
  <c r="E5845" i="3"/>
  <c r="E4995" i="3"/>
  <c r="E186" i="3"/>
  <c r="E4234" i="3"/>
  <c r="E5003" i="3"/>
  <c r="E5846" i="3"/>
  <c r="E7090" i="3"/>
  <c r="E762" i="3"/>
  <c r="E1886" i="3"/>
  <c r="E5014" i="3"/>
  <c r="E190" i="3"/>
  <c r="E3746" i="3"/>
  <c r="E765" i="3"/>
  <c r="E4236" i="3"/>
  <c r="E766" i="3"/>
  <c r="E7872" i="3"/>
  <c r="E6879" i="3"/>
  <c r="E7097" i="3"/>
  <c r="E6112" i="3"/>
  <c r="E6589" i="3"/>
  <c r="E4349" i="3"/>
  <c r="E7099" i="3"/>
  <c r="E4350" i="3"/>
  <c r="E2229" i="3"/>
  <c r="E7100" i="3"/>
  <c r="E5034" i="3"/>
  <c r="E2453" i="3"/>
  <c r="E3764" i="3"/>
  <c r="E6115" i="3"/>
  <c r="E6118" i="3"/>
  <c r="E6120" i="3"/>
  <c r="E3766" i="3"/>
  <c r="E5044" i="3"/>
  <c r="E7105" i="3"/>
  <c r="E1336" i="3"/>
  <c r="E3771" i="3"/>
  <c r="E1337" i="3"/>
  <c r="E2457" i="3"/>
  <c r="E2236" i="3"/>
  <c r="E5059" i="3"/>
  <c r="E7106" i="3"/>
  <c r="E209" i="3"/>
  <c r="E7877" i="3"/>
  <c r="E5066" i="3"/>
  <c r="E211" i="3"/>
  <c r="E5070" i="3"/>
  <c r="E5074" i="3"/>
  <c r="E6133" i="3"/>
  <c r="E212" i="3"/>
  <c r="E213" i="3"/>
  <c r="E214" i="3"/>
  <c r="E2461" i="3"/>
  <c r="E3791" i="3"/>
  <c r="E3792" i="3"/>
  <c r="E6137" i="3"/>
  <c r="E1896" i="3"/>
  <c r="E2464" i="3"/>
  <c r="E3802" i="3"/>
  <c r="E5095" i="3"/>
  <c r="E1351" i="3"/>
  <c r="E3805" i="3"/>
  <c r="E5100" i="3"/>
  <c r="E5105" i="3"/>
  <c r="E2465" i="3"/>
  <c r="E1898" i="3"/>
  <c r="E3808" i="3"/>
  <c r="E1710" i="3"/>
  <c r="E6604" i="3"/>
  <c r="E1900" i="3"/>
  <c r="E218" i="3"/>
  <c r="E5116" i="3"/>
  <c r="E7311" i="3"/>
  <c r="E4366" i="3"/>
  <c r="E7885" i="3"/>
  <c r="E3814" i="3"/>
  <c r="E1712" i="3"/>
  <c r="E1355" i="3"/>
  <c r="E2249" i="3"/>
  <c r="E219" i="3"/>
  <c r="E2251" i="3"/>
  <c r="E1356" i="3"/>
  <c r="E1357" i="3"/>
  <c r="E5138" i="3"/>
  <c r="E7125" i="3"/>
  <c r="E5143" i="3"/>
  <c r="E3830" i="3"/>
  <c r="E5148" i="3"/>
  <c r="E5150" i="3"/>
  <c r="E3835" i="3"/>
  <c r="E5159" i="3"/>
  <c r="E6153" i="3"/>
  <c r="E1906" i="3"/>
  <c r="E5164" i="3"/>
  <c r="E2254" i="3"/>
  <c r="E2255" i="3"/>
  <c r="E5166" i="3"/>
  <c r="E5167" i="3"/>
  <c r="E229" i="3"/>
  <c r="E2476" i="3"/>
  <c r="E4379" i="3"/>
  <c r="E5176" i="3"/>
  <c r="E3852" i="3"/>
  <c r="E1365" i="3"/>
  <c r="E5179" i="3"/>
  <c r="E3860" i="3"/>
  <c r="E233" i="3"/>
  <c r="E4380" i="3"/>
  <c r="E3865" i="3"/>
  <c r="E1371" i="3"/>
  <c r="E7892" i="3"/>
  <c r="E2108" i="3"/>
  <c r="E90" i="3"/>
  <c r="E7756" i="3"/>
  <c r="E3355" i="3"/>
  <c r="E1828" i="3"/>
  <c r="E6520" i="3"/>
  <c r="E3420" i="3"/>
  <c r="E2148" i="3"/>
  <c r="E6017" i="3"/>
  <c r="E3441" i="3"/>
  <c r="E4752" i="3"/>
  <c r="E654" i="3"/>
  <c r="E4767" i="3"/>
  <c r="E3462" i="3"/>
  <c r="E2414" i="3"/>
  <c r="E4194" i="3"/>
  <c r="E2415" i="3"/>
  <c r="E377" i="3"/>
  <c r="E3476" i="3"/>
  <c r="E2416" i="3"/>
  <c r="E664" i="3"/>
  <c r="E6029" i="3"/>
  <c r="E5826" i="3"/>
  <c r="E669" i="3"/>
  <c r="E4790" i="3"/>
  <c r="E7814" i="3"/>
  <c r="E6845" i="3"/>
  <c r="E2162" i="3"/>
  <c r="E127" i="3"/>
  <c r="E7821" i="3"/>
  <c r="E1231" i="3"/>
  <c r="E7030" i="3"/>
  <c r="E1853" i="3"/>
  <c r="E6848" i="3"/>
  <c r="E382" i="3"/>
  <c r="E6042" i="3"/>
  <c r="E3536" i="3"/>
  <c r="E6043" i="3"/>
  <c r="E1241" i="3"/>
  <c r="E4206" i="3"/>
  <c r="E7249" i="3"/>
  <c r="E3552" i="3"/>
  <c r="E7830" i="3"/>
  <c r="E2175" i="3"/>
  <c r="E691" i="3"/>
  <c r="E1254" i="3"/>
  <c r="E1256" i="3"/>
  <c r="E4837" i="3"/>
  <c r="E3577" i="3"/>
  <c r="E3580" i="3"/>
  <c r="E4843" i="3"/>
  <c r="E1264" i="3"/>
  <c r="E2426" i="3"/>
  <c r="E2183" i="3"/>
  <c r="E1269" i="3"/>
  <c r="E3598" i="3"/>
  <c r="E4861" i="3"/>
  <c r="E3605" i="3"/>
  <c r="E4865" i="3"/>
  <c r="E4871" i="3"/>
  <c r="E7844" i="3"/>
  <c r="E149" i="3"/>
  <c r="E151" i="3"/>
  <c r="E7846" i="3"/>
  <c r="E152" i="3"/>
  <c r="E4889" i="3"/>
  <c r="E2190" i="3"/>
  <c r="E7851" i="3"/>
  <c r="E4899" i="3"/>
  <c r="E1285" i="3"/>
  <c r="E4903" i="3"/>
  <c r="E713" i="3"/>
  <c r="E159" i="3"/>
  <c r="E4908" i="3"/>
  <c r="E714" i="3"/>
  <c r="E3636" i="3"/>
  <c r="E2433" i="3"/>
  <c r="E3637" i="3"/>
  <c r="E3639" i="3"/>
  <c r="E7069" i="3"/>
  <c r="E2199" i="3"/>
  <c r="E1878" i="3"/>
  <c r="E3645" i="3"/>
  <c r="E3651" i="3"/>
  <c r="E4919" i="3"/>
  <c r="E4220" i="3"/>
  <c r="E727" i="3"/>
  <c r="E4925" i="3"/>
  <c r="E7300" i="3"/>
  <c r="E6085" i="3"/>
  <c r="E4928" i="3"/>
  <c r="E6086" i="3"/>
  <c r="E4932" i="3"/>
  <c r="E3663" i="3"/>
  <c r="E2205" i="3"/>
  <c r="E737" i="3"/>
  <c r="E4940" i="3"/>
  <c r="E3674" i="3"/>
  <c r="E2209" i="3"/>
  <c r="E1693" i="3"/>
  <c r="E4949" i="3"/>
  <c r="E740" i="3"/>
  <c r="E4951" i="3"/>
  <c r="E6089" i="3"/>
  <c r="E744" i="3"/>
  <c r="E2441" i="3"/>
  <c r="E3687" i="3"/>
  <c r="E4958" i="3"/>
  <c r="E6868" i="3"/>
  <c r="E3695" i="3"/>
  <c r="E4961" i="3"/>
  <c r="E6093" i="3"/>
  <c r="E4227" i="3"/>
  <c r="E171" i="3"/>
  <c r="E4966" i="3"/>
  <c r="E4967" i="3"/>
  <c r="E1315" i="3"/>
  <c r="E3707" i="3"/>
  <c r="E406" i="3"/>
  <c r="E753" i="3"/>
  <c r="E4341" i="3"/>
  <c r="E4973" i="3"/>
  <c r="E4975" i="3"/>
  <c r="E3714" i="3"/>
  <c r="E3715" i="3"/>
  <c r="E2217" i="3"/>
  <c r="E1317" i="3"/>
  <c r="E757" i="3"/>
  <c r="E6876" i="3"/>
  <c r="E1884" i="3"/>
  <c r="E3722" i="3"/>
  <c r="E759" i="3"/>
  <c r="E3725" i="3"/>
  <c r="E4991" i="3"/>
  <c r="E185" i="3"/>
  <c r="E6107" i="3"/>
  <c r="E7262" i="3"/>
  <c r="E6108" i="3"/>
  <c r="E7303" i="3"/>
  <c r="E5006" i="3"/>
  <c r="E3737" i="3"/>
  <c r="E1885" i="3"/>
  <c r="E1702" i="3"/>
  <c r="E189" i="3"/>
  <c r="E191" i="3"/>
  <c r="E6586" i="3"/>
  <c r="E4235" i="3"/>
  <c r="E194" i="3"/>
  <c r="E4238" i="3"/>
  <c r="E5023" i="3"/>
  <c r="E3749" i="3"/>
  <c r="E3751" i="3"/>
  <c r="E769" i="3"/>
  <c r="E5029" i="3"/>
  <c r="E5030" i="3"/>
  <c r="E7305" i="3"/>
  <c r="E4351" i="3"/>
  <c r="E201" i="3"/>
  <c r="E3758" i="3"/>
  <c r="E7102" i="3"/>
  <c r="E774" i="3"/>
  <c r="E6114" i="3"/>
  <c r="E2454" i="3"/>
  <c r="E204" i="3"/>
  <c r="E7306" i="3"/>
  <c r="E1335" i="3"/>
  <c r="E6882" i="3"/>
  <c r="E1892" i="3"/>
  <c r="E5046" i="3"/>
  <c r="E2235" i="3"/>
  <c r="E7876" i="3"/>
  <c r="E3775" i="3"/>
  <c r="E5056" i="3"/>
  <c r="E5060" i="3"/>
  <c r="E2238" i="3"/>
  <c r="E2459" i="3"/>
  <c r="E3782" i="3"/>
  <c r="E5067" i="3"/>
  <c r="E7108" i="3"/>
  <c r="E5071" i="3"/>
  <c r="E5075" i="3"/>
  <c r="E7111" i="3"/>
  <c r="E1341" i="3"/>
  <c r="E5081" i="3"/>
  <c r="E3789" i="3"/>
  <c r="E2462" i="3"/>
  <c r="E5085" i="3"/>
  <c r="E3793" i="3"/>
  <c r="E2463" i="3"/>
  <c r="E3797" i="3"/>
  <c r="E3800" i="3"/>
  <c r="E5092" i="3"/>
  <c r="E5096" i="3"/>
  <c r="E791" i="3"/>
  <c r="E7114" i="3"/>
  <c r="E5101" i="3"/>
  <c r="E4248" i="3"/>
  <c r="E3807" i="3"/>
  <c r="E793" i="3"/>
  <c r="E5111" i="3"/>
  <c r="E796" i="3"/>
  <c r="E4364" i="3"/>
  <c r="E5113" i="3"/>
  <c r="E1352" i="3"/>
  <c r="E5117" i="3"/>
  <c r="E1903" i="3"/>
  <c r="E5123" i="3"/>
  <c r="E5849" i="3"/>
  <c r="E5125" i="3"/>
  <c r="E4368" i="3"/>
  <c r="E6606" i="3"/>
  <c r="E3819" i="3"/>
  <c r="E5133" i="3"/>
  <c r="E2472" i="3"/>
  <c r="E5135" i="3"/>
  <c r="E6148" i="3"/>
  <c r="E3825" i="3"/>
  <c r="E4372" i="3"/>
  <c r="E224" i="3"/>
  <c r="E3831" i="3"/>
  <c r="E1359" i="3"/>
  <c r="E7126" i="3"/>
  <c r="E6607" i="3"/>
  <c r="E5160" i="3"/>
  <c r="E1905" i="3"/>
  <c r="E1362" i="3"/>
  <c r="E6155" i="3"/>
  <c r="E5165" i="3"/>
  <c r="E3842" i="3"/>
  <c r="E3845" i="3"/>
  <c r="E6158" i="3"/>
  <c r="E6609" i="3"/>
  <c r="E4257" i="3"/>
  <c r="E3850" i="3"/>
  <c r="E1713" i="3"/>
  <c r="E3853" i="3"/>
  <c r="E232" i="3"/>
  <c r="E5180" i="3"/>
  <c r="E1367" i="3"/>
  <c r="E3862" i="3"/>
  <c r="E3863" i="3"/>
  <c r="E1369" i="3"/>
  <c r="E2261" i="3"/>
  <c r="E5188" i="3"/>
  <c r="E3282" i="3"/>
  <c r="E2118" i="3"/>
  <c r="E4684" i="3"/>
  <c r="E3360" i="3"/>
  <c r="E624" i="3"/>
  <c r="E1189" i="3"/>
  <c r="E3421" i="3"/>
  <c r="E648" i="3"/>
  <c r="E4739" i="3"/>
  <c r="E6530" i="3"/>
  <c r="E4753" i="3"/>
  <c r="E4764" i="3"/>
  <c r="E3458" i="3"/>
  <c r="E1207" i="3"/>
  <c r="E4774" i="3"/>
  <c r="E4195" i="3"/>
  <c r="E7809" i="3"/>
  <c r="E3471" i="3"/>
  <c r="E3477" i="3"/>
  <c r="E4785" i="3"/>
  <c r="E4314" i="3"/>
  <c r="E3483" i="3"/>
  <c r="E3488" i="3"/>
  <c r="E3492" i="3"/>
  <c r="E7027" i="3"/>
  <c r="E7246" i="3"/>
  <c r="E3499" i="3"/>
  <c r="E1851" i="3"/>
  <c r="E3504" i="3"/>
  <c r="E7822" i="3"/>
  <c r="E3511" i="3"/>
  <c r="E3516" i="3"/>
  <c r="E4802" i="3"/>
  <c r="E3526" i="3"/>
  <c r="E1236" i="3"/>
  <c r="E7825" i="3"/>
  <c r="E4811" i="3"/>
  <c r="E3541" i="3"/>
  <c r="E2419" i="3"/>
  <c r="E3549" i="3"/>
  <c r="E1246" i="3"/>
  <c r="E136" i="3"/>
  <c r="E387" i="3"/>
  <c r="E6547" i="3"/>
  <c r="E7250" i="3"/>
  <c r="E7833" i="3"/>
  <c r="E6549" i="3"/>
  <c r="E3570" i="3"/>
  <c r="E140" i="3"/>
  <c r="E6552" i="3"/>
  <c r="E4844" i="3"/>
  <c r="E6054" i="3"/>
  <c r="E6555" i="3"/>
  <c r="E4851" i="3"/>
  <c r="E144" i="3"/>
  <c r="E6060" i="3"/>
  <c r="E3602" i="3"/>
  <c r="E392" i="3"/>
  <c r="E3607" i="3"/>
  <c r="E1276" i="3"/>
  <c r="E2428" i="3"/>
  <c r="E1873" i="3"/>
  <c r="E4327" i="3"/>
  <c r="E1689" i="3"/>
  <c r="E4888" i="3"/>
  <c r="E7849" i="3"/>
  <c r="E1874" i="3"/>
  <c r="E2193" i="3"/>
  <c r="E4332" i="3"/>
  <c r="E7063" i="3"/>
  <c r="E711" i="3"/>
  <c r="E6072" i="3"/>
  <c r="E7064" i="3"/>
  <c r="E4909" i="3"/>
  <c r="E160" i="3"/>
  <c r="E2197" i="3"/>
  <c r="E7857" i="3"/>
  <c r="E3638" i="3"/>
  <c r="E720" i="3"/>
  <c r="E2198" i="3"/>
  <c r="E722" i="3"/>
  <c r="E724" i="3"/>
  <c r="E3646" i="3"/>
  <c r="E2200" i="3"/>
  <c r="E6571" i="3"/>
  <c r="E3653" i="3"/>
  <c r="E7257" i="3"/>
  <c r="E6083" i="3"/>
  <c r="E729" i="3"/>
  <c r="E2435" i="3"/>
  <c r="E2436" i="3"/>
  <c r="E3661" i="3"/>
  <c r="E4933" i="3"/>
  <c r="E7078" i="3"/>
  <c r="E4937" i="3"/>
  <c r="E3667" i="3"/>
  <c r="E3671" i="3"/>
  <c r="E1302" i="3"/>
  <c r="E3675" i="3"/>
  <c r="E4945" i="3"/>
  <c r="E7079" i="3"/>
  <c r="E6088" i="3"/>
  <c r="E4952" i="3"/>
  <c r="E1880" i="3"/>
  <c r="E3682" i="3"/>
  <c r="E1307" i="3"/>
  <c r="E1308" i="3"/>
  <c r="E6091" i="3"/>
  <c r="E3691" i="3"/>
  <c r="E3696" i="3"/>
  <c r="E4962" i="3"/>
  <c r="E3699" i="3"/>
  <c r="E1695" i="3"/>
  <c r="E1882" i="3"/>
  <c r="E172" i="3"/>
  <c r="E174" i="3"/>
  <c r="E7867" i="3"/>
  <c r="E2443" i="3"/>
  <c r="E3708" i="3"/>
  <c r="E407" i="3"/>
  <c r="E6578" i="3"/>
  <c r="E6102" i="3"/>
  <c r="E4342" i="3"/>
  <c r="E4978" i="3"/>
  <c r="E4982" i="3"/>
  <c r="E4983" i="3"/>
  <c r="E6875" i="3"/>
  <c r="E758" i="3"/>
  <c r="E181" i="3"/>
  <c r="E7087" i="3"/>
  <c r="E1319" i="3"/>
  <c r="E410" i="3"/>
  <c r="E6582" i="3"/>
  <c r="E6106" i="3"/>
  <c r="E3726" i="3"/>
  <c r="E1701" i="3"/>
  <c r="E3729" i="3"/>
  <c r="E4347" i="3"/>
  <c r="E3731" i="3"/>
  <c r="E3734" i="3"/>
  <c r="E3738" i="3"/>
  <c r="E3741" i="3"/>
  <c r="E188" i="3"/>
  <c r="E7093" i="3"/>
  <c r="E1322" i="3"/>
  <c r="E764" i="3"/>
  <c r="E3747" i="3"/>
  <c r="E1325" i="3"/>
  <c r="E767" i="3"/>
  <c r="E5024" i="3"/>
  <c r="E2225" i="3"/>
  <c r="E6588" i="3"/>
  <c r="E5028" i="3"/>
  <c r="E6880" i="3"/>
  <c r="E770" i="3"/>
  <c r="E3754" i="3"/>
  <c r="E3756" i="3"/>
  <c r="E414" i="3"/>
  <c r="E1890" i="3"/>
  <c r="E3762" i="3"/>
  <c r="E775" i="3"/>
  <c r="E5039" i="3"/>
  <c r="E6116" i="3"/>
  <c r="E1334" i="3"/>
  <c r="E4354" i="3"/>
  <c r="E7874" i="3"/>
  <c r="E206" i="3"/>
  <c r="E3768" i="3"/>
  <c r="E207" i="3"/>
  <c r="E2456" i="3"/>
  <c r="E780" i="3"/>
  <c r="E5053" i="3"/>
  <c r="E6125" i="3"/>
  <c r="E6126" i="3"/>
  <c r="E5063" i="3"/>
  <c r="E4244" i="3"/>
  <c r="E3783" i="3"/>
  <c r="E2239" i="3"/>
  <c r="E5068" i="3"/>
  <c r="E5072" i="3"/>
  <c r="E6883" i="3"/>
  <c r="E3785" i="3"/>
  <c r="E5079" i="3"/>
  <c r="E1342" i="3"/>
  <c r="E4246" i="3"/>
  <c r="E2240" i="3"/>
  <c r="E418" i="3"/>
  <c r="E1345" i="3"/>
  <c r="E7112" i="3"/>
  <c r="E3798" i="3"/>
  <c r="E5091" i="3"/>
  <c r="E5093" i="3"/>
  <c r="E790" i="3"/>
  <c r="E4359" i="3"/>
  <c r="E5098" i="3"/>
  <c r="E7881" i="3"/>
  <c r="E4361" i="3"/>
  <c r="E5108" i="3"/>
  <c r="E5109" i="3"/>
  <c r="E794" i="3"/>
  <c r="E3809" i="3"/>
  <c r="E2244" i="3"/>
  <c r="E4251" i="3"/>
  <c r="E1901" i="3"/>
  <c r="E2246" i="3"/>
  <c r="E1353" i="3"/>
  <c r="E7118" i="3"/>
  <c r="E1354" i="3"/>
  <c r="E5126" i="3"/>
  <c r="E7312" i="3"/>
  <c r="E6886" i="3"/>
  <c r="E5131" i="3"/>
  <c r="E801" i="3"/>
  <c r="E4369" i="3"/>
  <c r="E220" i="3"/>
  <c r="E221" i="3"/>
  <c r="E3826" i="3"/>
  <c r="E5141" i="3"/>
  <c r="E3828" i="3"/>
  <c r="E3832" i="3"/>
  <c r="E426" i="3"/>
  <c r="E427" i="3"/>
  <c r="E5154" i="3"/>
  <c r="E7127" i="3"/>
  <c r="E3837" i="3"/>
  <c r="E3838" i="3"/>
  <c r="E4375" i="3"/>
  <c r="E6156" i="3"/>
  <c r="E1363" i="3"/>
  <c r="E7890" i="3"/>
  <c r="E7134" i="3"/>
  <c r="E808" i="3"/>
  <c r="E5170" i="3"/>
  <c r="E6160" i="3"/>
  <c r="E5177" i="3"/>
  <c r="E7891" i="3"/>
  <c r="E5178" i="3"/>
  <c r="E5181" i="3"/>
  <c r="E2258" i="3"/>
  <c r="E5186" i="3"/>
  <c r="E5187" i="3"/>
  <c r="E6165" i="3"/>
  <c r="E2262" i="3"/>
  <c r="E4381" i="3"/>
  <c r="E3870" i="3"/>
  <c r="E6974" i="3"/>
  <c r="E1816" i="3"/>
  <c r="E6997" i="3"/>
  <c r="E4169" i="3"/>
  <c r="E625" i="3"/>
  <c r="E635" i="3"/>
  <c r="E1194" i="3"/>
  <c r="E4184" i="3"/>
  <c r="E4185" i="3"/>
  <c r="E4186" i="3"/>
  <c r="E4755" i="3"/>
  <c r="E7806" i="3"/>
  <c r="E6021" i="3"/>
  <c r="E3463" i="3"/>
  <c r="E3465" i="3"/>
  <c r="E1209" i="3"/>
  <c r="E3469" i="3"/>
  <c r="E3473" i="3"/>
  <c r="E7019" i="3"/>
  <c r="E4313" i="3"/>
  <c r="E6027" i="3"/>
  <c r="E3485" i="3"/>
  <c r="E4198" i="3"/>
  <c r="E123" i="3"/>
  <c r="E124" i="3"/>
  <c r="E6540" i="3"/>
  <c r="E7816" i="3"/>
  <c r="E3501" i="3"/>
  <c r="E4794" i="3"/>
  <c r="E4798" i="3"/>
  <c r="E3512" i="3"/>
  <c r="E2163" i="3"/>
  <c r="E4202" i="3"/>
  <c r="E130" i="3"/>
  <c r="E1856" i="3"/>
  <c r="E1858" i="3"/>
  <c r="E3537" i="3"/>
  <c r="E7293" i="3"/>
  <c r="E6851" i="3"/>
  <c r="E2420" i="3"/>
  <c r="E687" i="3"/>
  <c r="E4319" i="3"/>
  <c r="E4825" i="3"/>
  <c r="E1251" i="3"/>
  <c r="E5836" i="3"/>
  <c r="E7834" i="3"/>
  <c r="E2176" i="3"/>
  <c r="E695" i="3"/>
  <c r="E4838" i="3"/>
  <c r="E3581" i="3"/>
  <c r="E2181" i="3"/>
  <c r="E4847" i="3"/>
  <c r="E7838" i="3"/>
  <c r="E3593" i="3"/>
  <c r="E6059" i="3"/>
  <c r="E7051" i="3"/>
  <c r="E4324" i="3"/>
  <c r="E7053" i="3"/>
  <c r="E2185" i="3"/>
  <c r="E4872" i="3"/>
  <c r="E148" i="3"/>
  <c r="E4878" i="3"/>
  <c r="E4881" i="3"/>
  <c r="E4886" i="3"/>
  <c r="E3621" i="3"/>
  <c r="E4891" i="3"/>
  <c r="E4894" i="3"/>
  <c r="E7852" i="3"/>
  <c r="E1283" i="3"/>
  <c r="E6071" i="3"/>
  <c r="E4334" i="3"/>
  <c r="E1288" i="3"/>
  <c r="E2195" i="3"/>
  <c r="E6075" i="3"/>
  <c r="E1291" i="3"/>
  <c r="E6569" i="3"/>
  <c r="E4911" i="3"/>
  <c r="E1292" i="3"/>
  <c r="E7067" i="3"/>
  <c r="E4916" i="3"/>
  <c r="E163" i="3"/>
  <c r="E1879" i="3"/>
  <c r="E7074" i="3"/>
  <c r="E1294" i="3"/>
  <c r="E403" i="3"/>
  <c r="E361" i="3"/>
  <c r="E1140" i="3"/>
  <c r="E7762" i="3"/>
  <c r="E7234" i="3"/>
  <c r="E1658" i="3"/>
  <c r="E6004" i="3"/>
  <c r="E3424" i="3"/>
  <c r="E6528" i="3"/>
  <c r="E3437" i="3"/>
  <c r="E3443" i="3"/>
  <c r="E1204" i="3"/>
  <c r="E374" i="3"/>
  <c r="E113" i="3"/>
  <c r="E1675" i="3"/>
  <c r="E4775" i="3"/>
  <c r="E3467" i="3"/>
  <c r="E3470" i="3"/>
  <c r="E3474" i="3"/>
  <c r="E1213" i="3"/>
  <c r="E5825" i="3"/>
  <c r="E3480" i="3"/>
  <c r="E1217" i="3"/>
  <c r="E122" i="3"/>
  <c r="E7244" i="3"/>
  <c r="E4200" i="3"/>
  <c r="E4792" i="3"/>
  <c r="E5827" i="3"/>
  <c r="E6033" i="3"/>
  <c r="E3506" i="3"/>
  <c r="E7823" i="3"/>
  <c r="E6038" i="3"/>
  <c r="E3520" i="3"/>
  <c r="E3525" i="3"/>
  <c r="E4806" i="3"/>
  <c r="E4807" i="3"/>
  <c r="E1238" i="3"/>
  <c r="E4812" i="3"/>
  <c r="E4814" i="3"/>
  <c r="E1243" i="3"/>
  <c r="E4819" i="3"/>
  <c r="E4821" i="3"/>
  <c r="E1250" i="3"/>
  <c r="E3557" i="3"/>
  <c r="E6047" i="3"/>
  <c r="E3563" i="3"/>
  <c r="E3566" i="3"/>
  <c r="E3567" i="3"/>
  <c r="E2424" i="3"/>
  <c r="E389" i="3"/>
  <c r="E6554" i="3"/>
  <c r="E3582" i="3"/>
  <c r="E1266" i="3"/>
  <c r="E2182" i="3"/>
  <c r="E6855" i="3"/>
  <c r="E3595" i="3"/>
  <c r="E6557" i="3"/>
  <c r="E3603" i="3"/>
  <c r="E1274" i="3"/>
  <c r="E4867" i="3"/>
  <c r="E6857" i="3"/>
  <c r="E4875" i="3"/>
  <c r="E4879" i="3"/>
  <c r="E2187" i="3"/>
  <c r="E4329" i="3"/>
  <c r="E6861" i="3"/>
  <c r="E706" i="3"/>
  <c r="E7061" i="3"/>
  <c r="E4896" i="3"/>
  <c r="E1284" i="3"/>
  <c r="E2432" i="3"/>
  <c r="E712" i="3"/>
  <c r="E3635" i="3"/>
  <c r="E6568" i="3"/>
  <c r="E7298" i="3"/>
  <c r="E6864" i="3"/>
  <c r="E4910" i="3"/>
  <c r="E5841" i="3"/>
  <c r="E4913" i="3"/>
  <c r="E721" i="3"/>
  <c r="E7070" i="3"/>
  <c r="E402" i="3"/>
  <c r="E7073" i="3"/>
  <c r="E3647" i="3"/>
  <c r="E3652" i="3"/>
  <c r="E2201" i="3"/>
  <c r="E4922" i="3"/>
  <c r="E1691" i="3"/>
  <c r="E4221" i="3"/>
  <c r="E730" i="3"/>
  <c r="E165" i="3"/>
  <c r="E734" i="3"/>
  <c r="E1692" i="3"/>
  <c r="E4934" i="3"/>
  <c r="E3664" i="3"/>
  <c r="E2206" i="3"/>
  <c r="E3669" i="3"/>
  <c r="E3672" i="3"/>
  <c r="E1303" i="3"/>
  <c r="E6866" i="3"/>
  <c r="E4947" i="3"/>
  <c r="E2212" i="3"/>
  <c r="E1304" i="3"/>
  <c r="E741" i="3"/>
  <c r="E3681" i="3"/>
  <c r="E7863" i="3"/>
  <c r="E1881" i="3"/>
  <c r="E4957" i="3"/>
  <c r="E4959" i="3"/>
  <c r="E7864" i="3"/>
  <c r="E3697" i="3"/>
  <c r="E4226" i="3"/>
  <c r="E3700" i="3"/>
  <c r="E1310" i="3"/>
  <c r="E4965" i="3"/>
  <c r="E7866" i="3"/>
  <c r="E1313" i="3"/>
  <c r="E4340" i="3"/>
  <c r="E175" i="3"/>
  <c r="E7083" i="3"/>
  <c r="E754" i="3"/>
  <c r="E6874" i="3"/>
  <c r="E4974" i="3"/>
  <c r="E4977" i="3"/>
  <c r="E4980" i="3"/>
  <c r="E6103" i="3"/>
  <c r="E179" i="3"/>
  <c r="E180" i="3"/>
  <c r="E2218" i="3"/>
  <c r="E3720" i="3"/>
  <c r="E4986" i="3"/>
  <c r="E3723" i="3"/>
  <c r="E2447" i="3"/>
  <c r="E7089" i="3"/>
  <c r="E4993" i="3"/>
  <c r="E6584" i="3"/>
  <c r="E4346" i="3"/>
  <c r="E4999" i="3"/>
  <c r="E761" i="3"/>
  <c r="E3733" i="3"/>
  <c r="E5007" i="3"/>
  <c r="E5009" i="3"/>
  <c r="E3742" i="3"/>
  <c r="E2222" i="3"/>
  <c r="E5015" i="3"/>
  <c r="E6110" i="3"/>
  <c r="E1324" i="3"/>
  <c r="E5018" i="3"/>
  <c r="E2224" i="3"/>
  <c r="E4239" i="3"/>
  <c r="E195" i="3"/>
  <c r="E5847" i="3"/>
  <c r="E1703" i="3"/>
  <c r="E2227" i="3"/>
  <c r="E2228" i="3"/>
  <c r="E1329" i="3"/>
  <c r="E3755" i="3"/>
  <c r="E200" i="3"/>
  <c r="E5033" i="3"/>
  <c r="E3760" i="3"/>
  <c r="E5036" i="3"/>
  <c r="E5038" i="3"/>
  <c r="E4353" i="3"/>
  <c r="E5041" i="3"/>
  <c r="E6119" i="3"/>
  <c r="E777" i="3"/>
  <c r="E2233" i="3"/>
  <c r="E5045" i="3"/>
  <c r="E6593" i="3"/>
  <c r="E5048" i="3"/>
  <c r="E5049" i="3"/>
  <c r="E5051" i="3"/>
  <c r="E6594" i="3"/>
  <c r="E4243" i="3"/>
  <c r="E5061" i="3"/>
  <c r="E3778" i="3"/>
  <c r="E3780" i="3"/>
  <c r="E7107" i="3"/>
  <c r="E6129" i="3"/>
  <c r="E6597" i="3"/>
  <c r="E7110" i="3"/>
  <c r="E4355" i="3"/>
  <c r="E6134" i="3"/>
  <c r="E3787" i="3"/>
  <c r="E5082" i="3"/>
  <c r="E4247" i="3"/>
  <c r="E6136" i="3"/>
  <c r="E7879" i="3"/>
  <c r="E5087" i="3"/>
  <c r="E1347" i="3"/>
  <c r="E4357" i="3"/>
  <c r="E6138" i="3"/>
  <c r="E5094" i="3"/>
  <c r="E6600" i="3"/>
  <c r="E421" i="3"/>
  <c r="E6884" i="3"/>
  <c r="E7309" i="3"/>
  <c r="E6603" i="3"/>
  <c r="E7116" i="3"/>
  <c r="E5110" i="3"/>
  <c r="E795" i="3"/>
  <c r="E7882" i="3"/>
  <c r="E4249" i="3"/>
  <c r="E2245" i="3"/>
  <c r="E3811" i="3"/>
  <c r="E423" i="3"/>
  <c r="E5120" i="3"/>
  <c r="E5124" i="3"/>
  <c r="E7886" i="3"/>
  <c r="E3816" i="3"/>
  <c r="E6146" i="3"/>
  <c r="E3817" i="3"/>
  <c r="E3821" i="3"/>
  <c r="E802" i="3"/>
  <c r="E6147" i="3"/>
  <c r="E2252" i="3"/>
  <c r="E4370" i="3"/>
  <c r="E4253" i="3"/>
  <c r="E4373" i="3"/>
  <c r="E2253" i="3"/>
  <c r="E6151" i="3"/>
  <c r="E7889" i="3"/>
  <c r="E5151" i="3"/>
  <c r="E5155" i="3"/>
  <c r="E7128" i="3"/>
  <c r="E7314" i="3"/>
  <c r="E7129" i="3"/>
  <c r="E3839" i="3"/>
  <c r="E3840" i="3"/>
  <c r="E3843" i="3"/>
  <c r="E227" i="3"/>
  <c r="E1364" i="3"/>
  <c r="E1908" i="3"/>
  <c r="E5171" i="3"/>
  <c r="E5173" i="3"/>
  <c r="E7136" i="3"/>
  <c r="E3854" i="3"/>
  <c r="E3857" i="3"/>
  <c r="E3859" i="3"/>
  <c r="E5183" i="3"/>
  <c r="E2259" i="3"/>
  <c r="E1909" i="3"/>
  <c r="E1714" i="3"/>
  <c r="E2479" i="3"/>
  <c r="E7740" i="3"/>
  <c r="E4676" i="3"/>
  <c r="E4689" i="3"/>
  <c r="E98" i="3"/>
  <c r="E3394" i="3"/>
  <c r="E7011" i="3"/>
  <c r="E3425" i="3"/>
  <c r="E110" i="3"/>
  <c r="E2411" i="3"/>
  <c r="E1203" i="3"/>
  <c r="E7803" i="3"/>
  <c r="E4765" i="3"/>
  <c r="E2154" i="3"/>
  <c r="E4770" i="3"/>
  <c r="E658" i="3"/>
  <c r="E6022" i="3"/>
  <c r="E6840" i="3"/>
  <c r="E6023" i="3"/>
  <c r="E3478" i="3"/>
  <c r="E1848" i="3"/>
  <c r="E3481" i="3"/>
  <c r="E1218" i="3"/>
  <c r="E3490" i="3"/>
  <c r="E379" i="3"/>
  <c r="E4791" i="3"/>
  <c r="E3497" i="3"/>
  <c r="E1225" i="3"/>
  <c r="E6034" i="3"/>
  <c r="E128" i="3"/>
  <c r="E1230" i="3"/>
  <c r="E3513" i="3"/>
  <c r="E3521" i="3"/>
  <c r="E4803" i="3"/>
  <c r="E684" i="3"/>
  <c r="E383" i="3"/>
  <c r="E3534" i="3"/>
  <c r="E3538" i="3"/>
  <c r="E7826" i="3"/>
  <c r="E6044" i="3"/>
  <c r="E4820" i="3"/>
  <c r="E1863" i="3"/>
  <c r="E7037" i="3"/>
  <c r="E7038" i="3"/>
  <c r="E7039" i="3"/>
  <c r="E7040" i="3"/>
  <c r="E6050" i="3"/>
  <c r="E2423" i="3"/>
  <c r="E3573" i="3"/>
  <c r="E1260" i="3"/>
  <c r="E7251" i="3"/>
  <c r="E141" i="3"/>
  <c r="E4848" i="3"/>
  <c r="E4323" i="3"/>
  <c r="E7839" i="3"/>
  <c r="E4856" i="3"/>
  <c r="E4210" i="3"/>
  <c r="E3604" i="3"/>
  <c r="E6063" i="3"/>
  <c r="E3609" i="3"/>
  <c r="E6858" i="3"/>
  <c r="E1278" i="3"/>
  <c r="E4214" i="3"/>
  <c r="E4883" i="3"/>
  <c r="E4217" i="3"/>
  <c r="E6564" i="3"/>
  <c r="E7850" i="3"/>
  <c r="E7296" i="3"/>
  <c r="E709" i="3"/>
  <c r="E6565" i="3"/>
  <c r="E4333" i="3"/>
  <c r="E4904" i="3"/>
  <c r="E7297" i="3"/>
  <c r="E1876" i="3"/>
  <c r="E2196" i="3"/>
  <c r="E715" i="3"/>
  <c r="E1877" i="3"/>
  <c r="E4912" i="3"/>
  <c r="E401" i="3"/>
  <c r="E7068" i="3"/>
  <c r="E7071" i="3"/>
  <c r="E723" i="3"/>
  <c r="E3643" i="3"/>
  <c r="E3648" i="3"/>
  <c r="E6080" i="3"/>
  <c r="E4920" i="3"/>
  <c r="E4923" i="3"/>
  <c r="E5967" i="3"/>
  <c r="E5979" i="3"/>
  <c r="E3349" i="3"/>
  <c r="E3379" i="3"/>
  <c r="E7784" i="3"/>
  <c r="E1839" i="3"/>
  <c r="E1667" i="3"/>
  <c r="E7798" i="3"/>
  <c r="E4746" i="3"/>
  <c r="E3446" i="3"/>
  <c r="E2152" i="3"/>
  <c r="E1205" i="3"/>
  <c r="E655" i="3"/>
  <c r="E4771" i="3"/>
  <c r="E4312" i="3"/>
  <c r="E1210" i="3"/>
  <c r="E2155" i="3"/>
  <c r="E6841" i="3"/>
  <c r="E117" i="3"/>
  <c r="E6537" i="3"/>
  <c r="E1215" i="3"/>
  <c r="E120" i="3"/>
  <c r="E1219" i="3"/>
  <c r="E6844" i="3"/>
  <c r="E670" i="3"/>
  <c r="E672" i="3"/>
  <c r="E6846" i="3"/>
  <c r="E676" i="3"/>
  <c r="E7819" i="3"/>
  <c r="E7824" i="3"/>
  <c r="E1232" i="3"/>
  <c r="E7031" i="3"/>
  <c r="E4804" i="3"/>
  <c r="E7032" i="3"/>
  <c r="E5832" i="3"/>
  <c r="E384" i="3"/>
  <c r="E4813" i="3"/>
  <c r="E3544" i="3"/>
  <c r="E6045" i="3"/>
  <c r="E386" i="3"/>
  <c r="E2172" i="3"/>
  <c r="E3554" i="3"/>
  <c r="E690" i="3"/>
  <c r="E4826" i="3"/>
  <c r="E4830" i="3"/>
  <c r="E4834" i="3"/>
  <c r="E3568" i="3"/>
  <c r="E3574" i="3"/>
  <c r="E3579" i="3"/>
  <c r="E4841" i="3"/>
  <c r="E3584" i="3"/>
  <c r="E7837" i="3"/>
  <c r="E4850" i="3"/>
  <c r="E4852" i="3"/>
  <c r="E6856" i="3"/>
  <c r="E3600" i="3"/>
  <c r="E1272" i="3"/>
  <c r="E393" i="3"/>
  <c r="E146" i="3"/>
  <c r="E396" i="3"/>
  <c r="E4876" i="3"/>
  <c r="E6560" i="3"/>
  <c r="E6066" i="3"/>
  <c r="E6563" i="3"/>
  <c r="E3622" i="3"/>
  <c r="E4892" i="3"/>
  <c r="E2191" i="3"/>
  <c r="E3629" i="3"/>
  <c r="E4901" i="3"/>
  <c r="E3631" i="3"/>
  <c r="E157" i="3"/>
  <c r="E4905" i="3"/>
  <c r="E4907" i="3"/>
  <c r="E7065" i="3"/>
  <c r="E161" i="3"/>
  <c r="E7066" i="3"/>
  <c r="E6076" i="3"/>
  <c r="E7858" i="3"/>
  <c r="E3640" i="3"/>
  <c r="E4917" i="3"/>
  <c r="E6078" i="3"/>
  <c r="E1690" i="3"/>
  <c r="E3649" i="3"/>
  <c r="E4918" i="3"/>
  <c r="E4921" i="3"/>
  <c r="E164" i="3"/>
  <c r="E5969" i="3"/>
  <c r="E6991" i="3"/>
  <c r="E3351" i="3"/>
  <c r="E102" i="3"/>
  <c r="E6001" i="3"/>
  <c r="E4723" i="3"/>
  <c r="E645" i="3"/>
  <c r="E3434" i="3"/>
  <c r="E651" i="3"/>
  <c r="E7289" i="3"/>
  <c r="E4761" i="3"/>
  <c r="E6534" i="3"/>
  <c r="E2413" i="3"/>
  <c r="E3464" i="3"/>
  <c r="E375" i="3"/>
  <c r="E7018" i="3"/>
  <c r="E115" i="3"/>
  <c r="E3475" i="3"/>
  <c r="E4784" i="3"/>
  <c r="E3479" i="3"/>
  <c r="E7811" i="3"/>
  <c r="E7243" i="3"/>
  <c r="E4788" i="3"/>
  <c r="E6030" i="3"/>
  <c r="E671" i="3"/>
  <c r="E673" i="3"/>
  <c r="E6847" i="3"/>
  <c r="E1228" i="3"/>
  <c r="E3507" i="3"/>
  <c r="E3510" i="3"/>
  <c r="E7292" i="3"/>
  <c r="E4801" i="3"/>
  <c r="E1854" i="3"/>
  <c r="E6041" i="3"/>
  <c r="E6544" i="3"/>
  <c r="E4810" i="3"/>
  <c r="E3540" i="3"/>
  <c r="E3545" i="3"/>
  <c r="E3548" i="3"/>
  <c r="E6545" i="3"/>
  <c r="E1248" i="3"/>
  <c r="E7829" i="3"/>
  <c r="E3559" i="3"/>
  <c r="E4827" i="3"/>
  <c r="E3564" i="3"/>
  <c r="E7835" i="3"/>
  <c r="E4835" i="3"/>
  <c r="E1258" i="3"/>
  <c r="E2178" i="3"/>
  <c r="E4842" i="3"/>
  <c r="E2425" i="3"/>
  <c r="E4849" i="3"/>
  <c r="E6556" i="3"/>
  <c r="E3594" i="3"/>
  <c r="E1870" i="3"/>
  <c r="E6061" i="3"/>
  <c r="E4212" i="3"/>
  <c r="E394" i="3"/>
  <c r="E4868" i="3"/>
  <c r="E1687" i="3"/>
  <c r="E7845" i="3"/>
  <c r="E6561" i="3"/>
  <c r="E6562" i="3"/>
  <c r="E1280" i="3"/>
  <c r="E2188" i="3"/>
  <c r="E2431" i="3"/>
  <c r="E155" i="3"/>
  <c r="E4897" i="3"/>
  <c r="E6070" i="3"/>
  <c r="E4902" i="3"/>
  <c r="E3634" i="3"/>
  <c r="E6073" i="3"/>
  <c r="E6074" i="3"/>
  <c r="E400" i="3"/>
  <c r="E716" i="3"/>
  <c r="E6570" i="3"/>
  <c r="E719" i="3"/>
  <c r="E7859" i="3"/>
  <c r="E4914" i="3"/>
  <c r="E7072" i="3"/>
  <c r="E3642" i="3"/>
  <c r="E3644" i="3"/>
  <c r="E3650" i="3"/>
  <c r="E7299" i="3"/>
  <c r="E7256" i="3"/>
  <c r="E2202" i="3"/>
  <c r="E2203" i="3"/>
  <c r="E3659" i="3"/>
  <c r="E4930" i="3"/>
  <c r="E735" i="3"/>
  <c r="E3670" i="3"/>
  <c r="E4944" i="3"/>
  <c r="E3676" i="3"/>
  <c r="E2440" i="3"/>
  <c r="E1306" i="3"/>
  <c r="E7080" i="3"/>
  <c r="E169" i="3"/>
  <c r="E6092" i="3"/>
  <c r="E3702" i="3"/>
  <c r="E6095" i="3"/>
  <c r="E3706" i="3"/>
  <c r="E7260" i="3"/>
  <c r="E6099" i="3"/>
  <c r="E1697" i="3"/>
  <c r="E177" i="3"/>
  <c r="E1698" i="3"/>
  <c r="E3717" i="3"/>
  <c r="E2219" i="3"/>
  <c r="E183" i="3"/>
  <c r="E6583" i="3"/>
  <c r="E4996" i="3"/>
  <c r="E3730" i="3"/>
  <c r="E3735" i="3"/>
  <c r="E5010" i="3"/>
  <c r="E5016" i="3"/>
  <c r="E412" i="3"/>
  <c r="E7304" i="3"/>
  <c r="E5026" i="3"/>
  <c r="E1327" i="3"/>
  <c r="E198" i="3"/>
  <c r="E5031" i="3"/>
  <c r="E6113" i="3"/>
  <c r="E5037" i="3"/>
  <c r="E5040" i="3"/>
  <c r="E1891" i="3"/>
  <c r="E6881" i="3"/>
  <c r="E415" i="3"/>
  <c r="E779" i="3"/>
  <c r="E3776" i="3"/>
  <c r="E781" i="3"/>
  <c r="E7307" i="3"/>
  <c r="E6131" i="3"/>
  <c r="E6598" i="3"/>
  <c r="E5078" i="3"/>
  <c r="E5083" i="3"/>
  <c r="E1344" i="3"/>
  <c r="E3794" i="3"/>
  <c r="E788" i="3"/>
  <c r="E420" i="3"/>
  <c r="E6139" i="3"/>
  <c r="E5103" i="3"/>
  <c r="E4362" i="3"/>
  <c r="E6142" i="3"/>
  <c r="E3810" i="3"/>
  <c r="E7884" i="3"/>
  <c r="E800" i="3"/>
  <c r="E6145" i="3"/>
  <c r="E6605" i="3"/>
  <c r="E5132" i="3"/>
  <c r="E425" i="3"/>
  <c r="E4371" i="3"/>
  <c r="E222" i="3"/>
  <c r="E3833" i="3"/>
  <c r="E5153" i="3"/>
  <c r="E5162" i="3"/>
  <c r="E6154" i="3"/>
  <c r="E4255" i="3"/>
  <c r="E6157" i="3"/>
  <c r="E3847" i="3"/>
  <c r="E7135" i="3"/>
  <c r="E4258" i="3"/>
  <c r="E4259" i="3"/>
  <c r="E1368" i="3"/>
  <c r="E3866" i="3"/>
  <c r="E6887" i="3"/>
  <c r="E7139" i="3"/>
  <c r="E5191" i="3"/>
  <c r="E6166" i="3"/>
  <c r="E6888" i="3"/>
  <c r="E5194" i="3"/>
  <c r="E813" i="3"/>
  <c r="E7141" i="3"/>
  <c r="E7142" i="3"/>
  <c r="E7145" i="3"/>
  <c r="E3892" i="3"/>
  <c r="E3895" i="3"/>
  <c r="E5211" i="3"/>
  <c r="E5215" i="3"/>
  <c r="E816" i="3"/>
  <c r="E241" i="3"/>
  <c r="E2490" i="3"/>
  <c r="E3900" i="3"/>
  <c r="E6890" i="3"/>
  <c r="E242" i="3"/>
  <c r="E5230" i="3"/>
  <c r="E3907" i="3"/>
  <c r="E6175" i="3"/>
  <c r="E1915" i="3"/>
  <c r="E5239" i="3"/>
  <c r="E4389" i="3"/>
  <c r="E5244" i="3"/>
  <c r="E3913" i="3"/>
  <c r="E4266" i="3"/>
  <c r="E5254" i="3"/>
  <c r="E4393" i="3"/>
  <c r="E5258" i="3"/>
  <c r="E3920" i="3"/>
  <c r="E5262" i="3"/>
  <c r="E5266" i="3"/>
  <c r="E5270" i="3"/>
  <c r="E7319" i="3"/>
  <c r="E7898" i="3"/>
  <c r="E249" i="3"/>
  <c r="E5280" i="3"/>
  <c r="E251" i="3"/>
  <c r="E7320" i="3"/>
  <c r="E6187" i="3"/>
  <c r="E5292" i="3"/>
  <c r="E7153" i="3"/>
  <c r="E5296" i="3"/>
  <c r="E253" i="3"/>
  <c r="E6190" i="3"/>
  <c r="E2277" i="3"/>
  <c r="E5307" i="3"/>
  <c r="E5310" i="3"/>
  <c r="E5313" i="3"/>
  <c r="E5315" i="3"/>
  <c r="E7154" i="3"/>
  <c r="E2280" i="3"/>
  <c r="E4270" i="3"/>
  <c r="E5326" i="3"/>
  <c r="E6196" i="3"/>
  <c r="E259" i="3"/>
  <c r="E1920" i="3"/>
  <c r="E3953" i="3"/>
  <c r="E5337" i="3"/>
  <c r="E263" i="3"/>
  <c r="E3954" i="3"/>
  <c r="E3958" i="3"/>
  <c r="E2282" i="3"/>
  <c r="E266" i="3"/>
  <c r="E7161" i="3"/>
  <c r="E3960" i="3"/>
  <c r="E268" i="3"/>
  <c r="E5361" i="3"/>
  <c r="E5366" i="3"/>
  <c r="E2285" i="3"/>
  <c r="E269" i="3"/>
  <c r="E5373" i="3"/>
  <c r="E3971" i="3"/>
  <c r="E6204" i="3"/>
  <c r="E273" i="3"/>
  <c r="E6205" i="3"/>
  <c r="E2516" i="3"/>
  <c r="E3975" i="3"/>
  <c r="E3977" i="3"/>
  <c r="E5398" i="3"/>
  <c r="E5404" i="3"/>
  <c r="E5408" i="3"/>
  <c r="E5415" i="3"/>
  <c r="E2520" i="3"/>
  <c r="E1929" i="3"/>
  <c r="E2294" i="3"/>
  <c r="E2295" i="3"/>
  <c r="E282" i="3"/>
  <c r="E2296" i="3"/>
  <c r="E3987" i="3"/>
  <c r="E2523" i="3"/>
  <c r="E1930" i="3"/>
  <c r="E6213" i="3"/>
  <c r="E5442" i="3"/>
  <c r="E5446" i="3"/>
  <c r="E2302" i="3"/>
  <c r="E5452" i="3"/>
  <c r="E1932" i="3"/>
  <c r="E288" i="3"/>
  <c r="E5463" i="3"/>
  <c r="E5467" i="3"/>
  <c r="E7175" i="3"/>
  <c r="E5473" i="3"/>
  <c r="E7907" i="3"/>
  <c r="E4008" i="3"/>
  <c r="E5480" i="3"/>
  <c r="E5487" i="3"/>
  <c r="E4011" i="3"/>
  <c r="E2305" i="3"/>
  <c r="E5496" i="3"/>
  <c r="E4019" i="3"/>
  <c r="E7340" i="3"/>
  <c r="E5507" i="3"/>
  <c r="E4026" i="3"/>
  <c r="E5516" i="3"/>
  <c r="E5520" i="3"/>
  <c r="E5525" i="3"/>
  <c r="E5853" i="3"/>
  <c r="E294" i="3"/>
  <c r="E5533" i="3"/>
  <c r="E5536" i="3"/>
  <c r="E296" i="3"/>
  <c r="E5542" i="3"/>
  <c r="E5547" i="3"/>
  <c r="E4042" i="3"/>
  <c r="E4415" i="3"/>
  <c r="E2543" i="3"/>
  <c r="E7345" i="3"/>
  <c r="E303" i="3"/>
  <c r="E4046" i="3"/>
  <c r="E5571" i="3"/>
  <c r="E5576" i="3"/>
  <c r="E4048" i="3"/>
  <c r="E2546" i="3"/>
  <c r="E5594" i="3"/>
  <c r="E7860" i="3"/>
  <c r="E6084" i="3"/>
  <c r="E4927" i="3"/>
  <c r="E4931" i="3"/>
  <c r="E4222" i="3"/>
  <c r="E1300" i="3"/>
  <c r="E738" i="3"/>
  <c r="E166" i="3"/>
  <c r="E4223" i="3"/>
  <c r="E743" i="3"/>
  <c r="E3685" i="3"/>
  <c r="E7081" i="3"/>
  <c r="E3698" i="3"/>
  <c r="E749" i="3"/>
  <c r="E6096" i="3"/>
  <c r="E1314" i="3"/>
  <c r="E6577" i="3"/>
  <c r="E4971" i="3"/>
  <c r="E7261" i="3"/>
  <c r="E7084" i="3"/>
  <c r="E1699" i="3"/>
  <c r="E3718" i="3"/>
  <c r="E4987" i="3"/>
  <c r="E7870" i="3"/>
  <c r="E4994" i="3"/>
  <c r="E4997" i="3"/>
  <c r="E6109" i="3"/>
  <c r="E3736" i="3"/>
  <c r="E5011" i="3"/>
  <c r="E5017" i="3"/>
  <c r="E2223" i="3"/>
  <c r="E4237" i="3"/>
  <c r="E6878" i="3"/>
  <c r="E5027" i="3"/>
  <c r="E6590" i="3"/>
  <c r="E771" i="3"/>
  <c r="E1889" i="3"/>
  <c r="E773" i="3"/>
  <c r="E1333" i="3"/>
  <c r="E3765" i="3"/>
  <c r="E6121" i="3"/>
  <c r="E3769" i="3"/>
  <c r="E3773" i="3"/>
  <c r="E1894" i="3"/>
  <c r="E208" i="3"/>
  <c r="E3781" i="3"/>
  <c r="E210" i="3"/>
  <c r="E5073" i="3"/>
  <c r="E2460" i="3"/>
  <c r="E1343" i="3"/>
  <c r="E2241" i="3"/>
  <c r="E1346" i="3"/>
  <c r="E5090" i="3"/>
  <c r="E1350" i="3"/>
  <c r="E6602" i="3"/>
  <c r="E5104" i="3"/>
  <c r="E2467" i="3"/>
  <c r="E6143" i="3"/>
  <c r="E7883" i="3"/>
  <c r="E5115" i="3"/>
  <c r="E5122" i="3"/>
  <c r="E424" i="3"/>
  <c r="E7313" i="3"/>
  <c r="E7120" i="3"/>
  <c r="E3824" i="3"/>
  <c r="E7887" i="3"/>
  <c r="E223" i="3"/>
  <c r="E5147" i="3"/>
  <c r="E225" i="3"/>
  <c r="E428" i="3"/>
  <c r="E1907" i="3"/>
  <c r="E4377" i="3"/>
  <c r="E4256" i="3"/>
  <c r="E2475" i="3"/>
  <c r="E5175" i="3"/>
  <c r="E3855" i="3"/>
  <c r="E7315" i="3"/>
  <c r="E2478" i="3"/>
  <c r="E1370" i="3"/>
  <c r="E4261" i="3"/>
  <c r="E7316" i="3"/>
  <c r="E2481" i="3"/>
  <c r="E7266" i="3"/>
  <c r="E4384" i="3"/>
  <c r="E5195" i="3"/>
  <c r="E6167" i="3"/>
  <c r="E3885" i="3"/>
  <c r="E3889" i="3"/>
  <c r="E3890" i="3"/>
  <c r="E5206" i="3"/>
  <c r="E2487" i="3"/>
  <c r="E237" i="3"/>
  <c r="E4264" i="3"/>
  <c r="E6170" i="3"/>
  <c r="E5218" i="3"/>
  <c r="E432" i="3"/>
  <c r="E7893" i="3"/>
  <c r="E4265" i="3"/>
  <c r="E5228" i="3"/>
  <c r="E5231" i="3"/>
  <c r="E3908" i="3"/>
  <c r="E2494" i="3"/>
  <c r="E7268" i="3"/>
  <c r="E5240" i="3"/>
  <c r="E3912" i="3"/>
  <c r="E5245" i="3"/>
  <c r="E6614" i="3"/>
  <c r="E3914" i="3"/>
  <c r="E5255" i="3"/>
  <c r="E3918" i="3"/>
  <c r="E6891" i="3"/>
  <c r="E826" i="3"/>
  <c r="E246" i="3"/>
  <c r="E5267" i="3"/>
  <c r="E5271" i="3"/>
  <c r="E3925" i="3"/>
  <c r="E7899" i="3"/>
  <c r="E5278" i="3"/>
  <c r="E6186" i="3"/>
  <c r="E3929" i="3"/>
  <c r="E5287" i="3"/>
  <c r="E5289" i="3"/>
  <c r="E5851" i="3"/>
  <c r="E7322" i="3"/>
  <c r="E3935" i="3"/>
  <c r="E5301" i="3"/>
  <c r="E2505" i="3"/>
  <c r="E2278" i="3"/>
  <c r="E3938" i="3"/>
  <c r="E6192" i="3"/>
  <c r="E5314" i="3"/>
  <c r="E3942" i="3"/>
  <c r="E5318" i="3"/>
  <c r="E256" i="3"/>
  <c r="E5324" i="3"/>
  <c r="E4271" i="3"/>
  <c r="E258" i="3"/>
  <c r="E3951" i="3"/>
  <c r="E7157" i="3"/>
  <c r="E7901" i="3"/>
  <c r="E5338" i="3"/>
  <c r="E1922" i="3"/>
  <c r="E7902" i="3"/>
  <c r="E5348" i="3"/>
  <c r="E1923" i="3"/>
  <c r="E3959" i="3"/>
  <c r="E5357" i="3"/>
  <c r="E1926" i="3"/>
  <c r="E7162" i="3"/>
  <c r="E5362" i="3"/>
  <c r="E3966" i="3"/>
  <c r="E7165" i="3"/>
  <c r="E270" i="3"/>
  <c r="E5374" i="3"/>
  <c r="E2288" i="3"/>
  <c r="E2289" i="3"/>
  <c r="E2290" i="3"/>
  <c r="E4405" i="3"/>
  <c r="E837" i="3"/>
  <c r="E1390" i="3"/>
  <c r="E5394" i="3"/>
  <c r="E5399" i="3"/>
  <c r="E5405" i="3"/>
  <c r="E278" i="3"/>
  <c r="E839" i="3"/>
  <c r="E7169" i="3"/>
  <c r="E7331" i="3"/>
  <c r="E280" i="3"/>
  <c r="E5423" i="3"/>
  <c r="E5426" i="3"/>
  <c r="E283" i="3"/>
  <c r="E3988" i="3"/>
  <c r="E2524" i="3"/>
  <c r="E1391" i="3"/>
  <c r="E285" i="3"/>
  <c r="E2526" i="3"/>
  <c r="E5447" i="3"/>
  <c r="E5449" i="3"/>
  <c r="E5453" i="3"/>
  <c r="E4409" i="3"/>
  <c r="E3998" i="3"/>
  <c r="E5464" i="3"/>
  <c r="E5468" i="3"/>
  <c r="E4003" i="3"/>
  <c r="E2531" i="3"/>
  <c r="E6619" i="3"/>
  <c r="E2533" i="3"/>
  <c r="E5481" i="3"/>
  <c r="E5488" i="3"/>
  <c r="E4012" i="3"/>
  <c r="E5494" i="3"/>
  <c r="E4017" i="3"/>
  <c r="E5501" i="3"/>
  <c r="E5504" i="3"/>
  <c r="E5508" i="3"/>
  <c r="E5512" i="3"/>
  <c r="E5517" i="3"/>
  <c r="E4029" i="3"/>
  <c r="E4030" i="3"/>
  <c r="E2539" i="3"/>
  <c r="E6223" i="3"/>
  <c r="E5534" i="3"/>
  <c r="E5537" i="3"/>
  <c r="E4036" i="3"/>
  <c r="E5543" i="3"/>
  <c r="E7272" i="3"/>
  <c r="E300" i="3"/>
  <c r="E7909" i="3"/>
  <c r="E5555" i="3"/>
  <c r="E5558" i="3"/>
  <c r="E4044" i="3"/>
  <c r="E5566" i="3"/>
  <c r="E5572" i="3"/>
  <c r="E5577" i="3"/>
  <c r="E5583" i="3"/>
  <c r="E5588" i="3"/>
  <c r="E5595" i="3"/>
  <c r="E3655" i="3"/>
  <c r="E3656" i="3"/>
  <c r="E3660" i="3"/>
  <c r="E2204" i="3"/>
  <c r="E5842" i="3"/>
  <c r="E7301" i="3"/>
  <c r="E2210" i="3"/>
  <c r="E4338" i="3"/>
  <c r="E1305" i="3"/>
  <c r="E4953" i="3"/>
  <c r="E4956" i="3"/>
  <c r="E3692" i="3"/>
  <c r="E4225" i="3"/>
  <c r="E170" i="3"/>
  <c r="E3703" i="3"/>
  <c r="E6870" i="3"/>
  <c r="E4968" i="3"/>
  <c r="E2444" i="3"/>
  <c r="E4976" i="3"/>
  <c r="E3716" i="3"/>
  <c r="E4231" i="3"/>
  <c r="E1883" i="3"/>
  <c r="E6877" i="3"/>
  <c r="E7088" i="3"/>
  <c r="E1700" i="3"/>
  <c r="E4998" i="3"/>
  <c r="E3732" i="3"/>
  <c r="E3739" i="3"/>
  <c r="E4348" i="3"/>
  <c r="E763" i="3"/>
  <c r="E7096" i="3"/>
  <c r="E2449" i="3"/>
  <c r="E2226" i="3"/>
  <c r="E2450" i="3"/>
  <c r="E1328" i="3"/>
  <c r="E5032" i="3"/>
  <c r="E3759" i="3"/>
  <c r="E3763" i="3"/>
  <c r="E6591" i="3"/>
  <c r="E5043" i="3"/>
  <c r="E3767" i="3"/>
  <c r="E5047" i="3"/>
  <c r="E3774" i="3"/>
  <c r="E2237" i="3"/>
  <c r="E6127" i="3"/>
  <c r="E1338" i="3"/>
  <c r="E3784" i="3"/>
  <c r="E784" i="3"/>
  <c r="E6135" i="3"/>
  <c r="E215" i="3"/>
  <c r="E7308" i="3"/>
  <c r="E7113" i="3"/>
  <c r="E789" i="3"/>
  <c r="E217" i="3"/>
  <c r="E5099" i="3"/>
  <c r="E7310" i="3"/>
  <c r="E2242" i="3"/>
  <c r="E1899" i="3"/>
  <c r="E4365" i="3"/>
  <c r="E6885" i="3"/>
  <c r="E3812" i="3"/>
  <c r="E3815" i="3"/>
  <c r="E7119" i="3"/>
  <c r="E2471" i="3"/>
  <c r="E7122" i="3"/>
  <c r="E5139" i="3"/>
  <c r="E3829" i="3"/>
  <c r="E3834" i="3"/>
  <c r="E3836" i="3"/>
  <c r="E6608" i="3"/>
  <c r="E4376" i="3"/>
  <c r="E2256" i="3"/>
  <c r="E3846" i="3"/>
  <c r="E3848" i="3"/>
  <c r="E809" i="3"/>
  <c r="E3856" i="3"/>
  <c r="E6610" i="3"/>
  <c r="E3864" i="3"/>
  <c r="E810" i="3"/>
  <c r="E4262" i="3"/>
  <c r="E235" i="3"/>
  <c r="E7265" i="3"/>
  <c r="E4383" i="3"/>
  <c r="E3879" i="3"/>
  <c r="E7140" i="3"/>
  <c r="E5199" i="3"/>
  <c r="E3886" i="3"/>
  <c r="E2264" i="3"/>
  <c r="E5202" i="3"/>
  <c r="E6169" i="3"/>
  <c r="E236" i="3"/>
  <c r="E3896" i="3"/>
  <c r="E239" i="3"/>
  <c r="E240" i="3"/>
  <c r="E1375" i="3"/>
  <c r="E5220" i="3"/>
  <c r="E7894" i="3"/>
  <c r="E5226" i="3"/>
  <c r="E2491" i="3"/>
  <c r="E5232" i="3"/>
  <c r="E2493" i="3"/>
  <c r="E5234" i="3"/>
  <c r="E4388" i="3"/>
  <c r="E818" i="3"/>
  <c r="E5243" i="3"/>
  <c r="E819" i="3"/>
  <c r="E5247" i="3"/>
  <c r="E5252" i="3"/>
  <c r="E2496" i="3"/>
  <c r="E5256" i="3"/>
  <c r="E1381" i="3"/>
  <c r="E7148" i="3"/>
  <c r="E5263" i="3"/>
  <c r="E5268" i="3"/>
  <c r="E5272" i="3"/>
  <c r="E6615" i="3"/>
  <c r="E3926" i="3"/>
  <c r="E6184" i="3"/>
  <c r="E2502" i="3"/>
  <c r="E5282" i="3"/>
  <c r="E5288" i="3"/>
  <c r="E5290" i="3"/>
  <c r="E7152" i="3"/>
  <c r="E3933" i="3"/>
  <c r="E2276" i="3"/>
  <c r="E3936" i="3"/>
  <c r="E2506" i="3"/>
  <c r="E5305" i="3"/>
  <c r="E3939" i="3"/>
  <c r="E4398" i="3"/>
  <c r="E4399" i="3"/>
  <c r="E5316" i="3"/>
  <c r="E5319" i="3"/>
  <c r="E3944" i="3"/>
  <c r="E7155" i="3"/>
  <c r="E4400" i="3"/>
  <c r="E5327" i="3"/>
  <c r="E2511" i="3"/>
  <c r="E5333" i="3"/>
  <c r="E261" i="3"/>
  <c r="E7159" i="3"/>
  <c r="E5342" i="3"/>
  <c r="E5347" i="3"/>
  <c r="E5349" i="3"/>
  <c r="E7327" i="3"/>
  <c r="E6892" i="3"/>
  <c r="E1924" i="3"/>
  <c r="E3961" i="3"/>
  <c r="E5359" i="3"/>
  <c r="E3964" i="3"/>
  <c r="E5367" i="3"/>
  <c r="E3969" i="3"/>
  <c r="E4402" i="3"/>
  <c r="E5375" i="3"/>
  <c r="E5377" i="3"/>
  <c r="E4403" i="3"/>
  <c r="E5383" i="3"/>
  <c r="E7330" i="3"/>
  <c r="E838" i="3"/>
  <c r="E5390" i="3"/>
  <c r="E5395" i="3"/>
  <c r="E5400" i="3"/>
  <c r="E2517" i="3"/>
  <c r="E5409" i="3"/>
  <c r="E6209" i="3"/>
  <c r="E3979" i="3"/>
  <c r="E6210" i="3"/>
  <c r="E7332" i="3"/>
  <c r="E5424" i="3"/>
  <c r="E3985" i="3"/>
  <c r="E5429" i="3"/>
  <c r="E5432" i="3"/>
  <c r="E6212" i="3"/>
  <c r="E2299" i="3"/>
  <c r="E2300" i="3"/>
  <c r="E2527" i="3"/>
  <c r="E5448" i="3"/>
  <c r="E1931" i="3"/>
  <c r="E5454" i="3"/>
  <c r="E5458" i="3"/>
  <c r="E5460" i="3"/>
  <c r="E2530" i="3"/>
  <c r="E4000" i="3"/>
  <c r="E5472" i="3"/>
  <c r="E7334" i="3"/>
  <c r="E5476" i="3"/>
  <c r="E7336" i="3"/>
  <c r="E5482" i="3"/>
  <c r="E5489" i="3"/>
  <c r="E4013" i="3"/>
  <c r="E5495" i="3"/>
  <c r="E5497" i="3"/>
  <c r="E4020" i="3"/>
  <c r="E4021" i="3"/>
  <c r="E4023" i="3"/>
  <c r="E7341" i="3"/>
  <c r="E6220" i="3"/>
  <c r="E5521" i="3"/>
  <c r="E5526" i="3"/>
  <c r="E5529" i="3"/>
  <c r="E6224" i="3"/>
  <c r="E4033" i="3"/>
  <c r="E5538" i="3"/>
  <c r="E6226" i="3"/>
  <c r="E5544" i="3"/>
  <c r="E1934" i="3"/>
  <c r="E301" i="3"/>
  <c r="E5552" i="3"/>
  <c r="E6227" i="3"/>
  <c r="E5559" i="3"/>
  <c r="E4045" i="3"/>
  <c r="E5567" i="3"/>
  <c r="E6229" i="3"/>
  <c r="E5578" i="3"/>
  <c r="E5584" i="3"/>
  <c r="E5589" i="3"/>
  <c r="E5596" i="3"/>
  <c r="E6081" i="3"/>
  <c r="E731" i="3"/>
  <c r="E7076" i="3"/>
  <c r="E6087" i="3"/>
  <c r="E4938" i="3"/>
  <c r="E3673" i="3"/>
  <c r="E739" i="3"/>
  <c r="E4950" i="3"/>
  <c r="E167" i="3"/>
  <c r="E6867" i="3"/>
  <c r="E6090" i="3"/>
  <c r="E745" i="3"/>
  <c r="E7302" i="3"/>
  <c r="E4963" i="3"/>
  <c r="E3704" i="3"/>
  <c r="E6576" i="3"/>
  <c r="E7868" i="3"/>
  <c r="E6101" i="3"/>
  <c r="E3712" i="3"/>
  <c r="E4230" i="3"/>
  <c r="E409" i="3"/>
  <c r="E6580" i="3"/>
  <c r="E6581" i="3"/>
  <c r="E1321" i="3"/>
  <c r="E760" i="3"/>
  <c r="E5000" i="3"/>
  <c r="E6585" i="3"/>
  <c r="E7091" i="3"/>
  <c r="E5012" i="3"/>
  <c r="E7094" i="3"/>
  <c r="E5019" i="3"/>
  <c r="E3748" i="3"/>
  <c r="E4240" i="3"/>
  <c r="E196" i="3"/>
  <c r="E1704" i="3"/>
  <c r="E1705" i="3"/>
  <c r="E1331" i="3"/>
  <c r="E1706" i="3"/>
  <c r="E6117" i="3"/>
  <c r="E2232" i="3"/>
  <c r="E778" i="3"/>
  <c r="E2234" i="3"/>
  <c r="E1893" i="3"/>
  <c r="E5057" i="3"/>
  <c r="E3779" i="3"/>
  <c r="E5065" i="3"/>
  <c r="E7109" i="3"/>
  <c r="E7878" i="3"/>
  <c r="E5080" i="3"/>
  <c r="E417" i="3"/>
  <c r="E5086" i="3"/>
  <c r="E5088" i="3"/>
  <c r="E3801" i="3"/>
  <c r="E5097" i="3"/>
  <c r="E7115" i="3"/>
  <c r="E5106" i="3"/>
  <c r="E2243" i="3"/>
  <c r="E797" i="3"/>
  <c r="E5114" i="3"/>
  <c r="E5118" i="3"/>
  <c r="E1711" i="3"/>
  <c r="E4367" i="3"/>
  <c r="E3818" i="3"/>
  <c r="E803" i="3"/>
  <c r="E5136" i="3"/>
  <c r="E1358" i="3"/>
  <c r="E7888" i="3"/>
  <c r="E1360" i="3"/>
  <c r="E5156" i="3"/>
  <c r="E5163" i="3"/>
  <c r="E7130" i="3"/>
  <c r="E3844" i="3"/>
  <c r="E5168" i="3"/>
  <c r="E6159" i="3"/>
  <c r="E6161" i="3"/>
  <c r="E1366" i="3"/>
  <c r="E5184" i="3"/>
  <c r="E430" i="3"/>
  <c r="E234" i="3"/>
  <c r="E4382" i="3"/>
  <c r="E2480" i="3"/>
  <c r="E7317" i="3"/>
  <c r="E3876" i="3"/>
  <c r="E2483" i="3"/>
  <c r="E5196" i="3"/>
  <c r="E3883" i="3"/>
  <c r="E3887" i="3"/>
  <c r="E2265" i="3"/>
  <c r="E2485" i="3"/>
  <c r="E2486" i="3"/>
  <c r="E5208" i="3"/>
  <c r="E5212" i="3"/>
  <c r="E4385" i="3"/>
  <c r="E6889" i="3"/>
  <c r="E2267" i="3"/>
  <c r="E5221" i="3"/>
  <c r="E5223" i="3"/>
  <c r="E5227" i="3"/>
  <c r="E2268" i="3"/>
  <c r="E6174" i="3"/>
  <c r="E1378" i="3"/>
  <c r="E1914" i="3"/>
  <c r="E5236" i="3"/>
  <c r="E3911" i="3"/>
  <c r="E6178" i="3"/>
  <c r="E6179" i="3"/>
  <c r="E433" i="3"/>
  <c r="E4390" i="3"/>
  <c r="E3917" i="3"/>
  <c r="E3919" i="3"/>
  <c r="E825" i="3"/>
  <c r="E7149" i="3"/>
  <c r="E2273" i="3"/>
  <c r="E5269" i="3"/>
  <c r="E3923" i="3"/>
  <c r="E5273" i="3"/>
  <c r="E5275" i="3"/>
  <c r="E1917" i="3"/>
  <c r="E250" i="3"/>
  <c r="E5283" i="3"/>
  <c r="E7151" i="3"/>
  <c r="E7321" i="3"/>
  <c r="E7269" i="3"/>
  <c r="E1382" i="3"/>
  <c r="E5297" i="3"/>
  <c r="E4394" i="3"/>
  <c r="E3937" i="3"/>
  <c r="E2508" i="3"/>
  <c r="E5308" i="3"/>
  <c r="E5311" i="3"/>
  <c r="E6617" i="3"/>
  <c r="E254" i="3"/>
  <c r="E5320" i="3"/>
  <c r="E5322" i="3"/>
  <c r="E6194" i="3"/>
  <c r="E3949" i="3"/>
  <c r="E5328" i="3"/>
  <c r="E3952" i="3"/>
  <c r="E5334" i="3"/>
  <c r="E5336" i="3"/>
  <c r="E835" i="3"/>
  <c r="E5343" i="3"/>
  <c r="E3955" i="3"/>
  <c r="E5350" i="3"/>
  <c r="E4273" i="3"/>
  <c r="E5354" i="3"/>
  <c r="E1925" i="3"/>
  <c r="E2284" i="3"/>
  <c r="E6199" i="3"/>
  <c r="E7164" i="3"/>
  <c r="E5368" i="3"/>
  <c r="E5369" i="3"/>
  <c r="E7329" i="3"/>
  <c r="E2286" i="3"/>
  <c r="E5378" i="3"/>
  <c r="E5380" i="3"/>
  <c r="E5384" i="3"/>
  <c r="E3974" i="3"/>
  <c r="E6206" i="3"/>
  <c r="E5391" i="3"/>
  <c r="E5396" i="3"/>
  <c r="E5401" i="3"/>
  <c r="E276" i="3"/>
  <c r="E5410" i="3"/>
  <c r="E2518" i="3"/>
  <c r="E3980" i="3"/>
  <c r="E5419" i="3"/>
  <c r="E3982" i="3"/>
  <c r="E437" i="3"/>
  <c r="E5427" i="3"/>
  <c r="E7075" i="3"/>
  <c r="E732" i="3"/>
  <c r="E4929" i="3"/>
  <c r="E6865" i="3"/>
  <c r="E736" i="3"/>
  <c r="E4941" i="3"/>
  <c r="E4336" i="3"/>
  <c r="E2439" i="3"/>
  <c r="E3679" i="3"/>
  <c r="E3683" i="3"/>
  <c r="E3688" i="3"/>
  <c r="E3693" i="3"/>
  <c r="E747" i="3"/>
  <c r="E4964" i="3"/>
  <c r="E173" i="3"/>
  <c r="E5843" i="3"/>
  <c r="E4969" i="3"/>
  <c r="E176" i="3"/>
  <c r="E1316" i="3"/>
  <c r="E178" i="3"/>
  <c r="E7085" i="3"/>
  <c r="E7086" i="3"/>
  <c r="E4233" i="3"/>
  <c r="E4989" i="3"/>
  <c r="E4344" i="3"/>
  <c r="E5001" i="3"/>
  <c r="E5004" i="3"/>
  <c r="E7092" i="3"/>
  <c r="E5013" i="3"/>
  <c r="E1323" i="3"/>
  <c r="E5020" i="3"/>
  <c r="E1326" i="3"/>
  <c r="E3750" i="3"/>
  <c r="E7098" i="3"/>
  <c r="E2451" i="3"/>
  <c r="E772" i="3"/>
  <c r="E7101" i="3"/>
  <c r="E7103" i="3"/>
  <c r="E5042" i="3"/>
  <c r="E4241" i="3"/>
  <c r="E4242" i="3"/>
  <c r="E6123" i="3"/>
  <c r="E5052" i="3"/>
  <c r="E5058" i="3"/>
  <c r="E5064" i="3"/>
  <c r="E782" i="3"/>
  <c r="E5069" i="3"/>
  <c r="E6132" i="3"/>
  <c r="E785" i="3"/>
  <c r="E5848" i="3"/>
  <c r="E419" i="3"/>
  <c r="E3795" i="3"/>
  <c r="E1348" i="3"/>
  <c r="E3803" i="3"/>
  <c r="E3806" i="3"/>
  <c r="E5107" i="3"/>
  <c r="E1709" i="3"/>
  <c r="E422" i="3"/>
  <c r="E799" i="3"/>
  <c r="E6144" i="3"/>
  <c r="E2470" i="3"/>
  <c r="E2248" i="3"/>
  <c r="E5129" i="3"/>
  <c r="E3822" i="3"/>
  <c r="E804" i="3"/>
  <c r="E3827" i="3"/>
  <c r="E5144" i="3"/>
  <c r="E5149" i="3"/>
  <c r="E5157" i="3"/>
  <c r="E806" i="3"/>
  <c r="E7131" i="3"/>
  <c r="E7133" i="3"/>
  <c r="E5169" i="3"/>
  <c r="E3849" i="3"/>
  <c r="E7137" i="3"/>
  <c r="E2477" i="3"/>
  <c r="E3861" i="3"/>
  <c r="E5850" i="3"/>
  <c r="E3867" i="3"/>
  <c r="E3869" i="3"/>
  <c r="E6611" i="3"/>
  <c r="E2482" i="3"/>
  <c r="E3877" i="3"/>
  <c r="E1911" i="3"/>
  <c r="E3881" i="3"/>
  <c r="E3884" i="3"/>
  <c r="E3888" i="3"/>
  <c r="E4263" i="3"/>
  <c r="E3891" i="3"/>
  <c r="E3893" i="3"/>
  <c r="E5209" i="3"/>
  <c r="E5213" i="3"/>
  <c r="E3897" i="3"/>
  <c r="E2488" i="3"/>
  <c r="E5219" i="3"/>
  <c r="E5222" i="3"/>
  <c r="E5224" i="3"/>
  <c r="E4386" i="3"/>
  <c r="E7895" i="3"/>
  <c r="E3905" i="3"/>
  <c r="E3909" i="3"/>
  <c r="E1379" i="3"/>
  <c r="E5237" i="3"/>
  <c r="E7896" i="3"/>
  <c r="E1380" i="3"/>
  <c r="E244" i="3"/>
  <c r="E5248" i="3"/>
  <c r="E4391" i="3"/>
  <c r="E822" i="3"/>
  <c r="E6180" i="3"/>
  <c r="E1916" i="3"/>
  <c r="E3921" i="3"/>
  <c r="E5264" i="3"/>
  <c r="E6181" i="3"/>
  <c r="E3924" i="3"/>
  <c r="E5274" i="3"/>
  <c r="E5276" i="3"/>
  <c r="E5279" i="3"/>
  <c r="E3927" i="3"/>
  <c r="E5284" i="3"/>
  <c r="E434" i="3"/>
  <c r="E5291" i="3"/>
  <c r="E5293" i="3"/>
  <c r="E3934" i="3"/>
  <c r="E5298" i="3"/>
  <c r="E5302" i="3"/>
  <c r="E5304" i="3"/>
  <c r="E4268" i="3"/>
  <c r="E5309" i="3"/>
  <c r="E2509" i="3"/>
  <c r="E3940" i="3"/>
  <c r="E5317" i="3"/>
  <c r="E6193" i="3"/>
  <c r="E5323" i="3"/>
  <c r="E3947" i="3"/>
  <c r="E6195" i="3"/>
  <c r="E5329" i="3"/>
  <c r="E7900" i="3"/>
  <c r="E4272" i="3"/>
  <c r="E6197" i="3"/>
  <c r="E6198" i="3"/>
  <c r="E5344" i="3"/>
  <c r="E2281" i="3"/>
  <c r="E2513" i="3"/>
  <c r="E2283" i="3"/>
  <c r="E5355" i="3"/>
  <c r="E5358" i="3"/>
  <c r="E4401" i="3"/>
  <c r="E7328" i="3"/>
  <c r="E3965" i="3"/>
  <c r="E2514" i="3"/>
  <c r="E2515" i="3"/>
  <c r="E5371" i="3"/>
  <c r="E2287" i="3"/>
  <c r="E6202" i="3"/>
  <c r="E272" i="3"/>
  <c r="E3973" i="3"/>
  <c r="E1389" i="3"/>
  <c r="E2291" i="3"/>
  <c r="E5392" i="3"/>
  <c r="E6208" i="3"/>
  <c r="E3978" i="3"/>
  <c r="E277" i="3"/>
  <c r="E5411" i="3"/>
  <c r="E7168" i="3"/>
  <c r="E2293" i="3"/>
  <c r="E5420" i="3"/>
  <c r="E4276" i="3"/>
  <c r="E5425" i="3"/>
  <c r="E5428" i="3"/>
  <c r="E4277" i="3"/>
  <c r="E4924" i="3"/>
  <c r="E3657" i="3"/>
  <c r="E1297" i="3"/>
  <c r="E4935" i="3"/>
  <c r="E3666" i="3"/>
  <c r="E4942" i="3"/>
  <c r="E2211" i="3"/>
  <c r="E3677" i="3"/>
  <c r="E6574" i="3"/>
  <c r="E3684" i="3"/>
  <c r="E1309" i="3"/>
  <c r="E7082" i="3"/>
  <c r="E7865" i="3"/>
  <c r="E1311" i="3"/>
  <c r="E4228" i="3"/>
  <c r="E405" i="3"/>
  <c r="E6098" i="3"/>
  <c r="E2216" i="3"/>
  <c r="E4229" i="3"/>
  <c r="E408" i="3"/>
  <c r="E1318" i="3"/>
  <c r="E182" i="3"/>
  <c r="E3724" i="3"/>
  <c r="E2220" i="3"/>
  <c r="E4345" i="3"/>
  <c r="E411" i="3"/>
  <c r="E5005" i="3"/>
  <c r="E3740" i="3"/>
  <c r="E1887" i="3"/>
  <c r="E192" i="3"/>
  <c r="E5021" i="3"/>
  <c r="E6587" i="3"/>
  <c r="E768" i="3"/>
  <c r="E3752" i="3"/>
  <c r="E2452" i="3"/>
  <c r="E1330" i="3"/>
  <c r="E3761" i="3"/>
  <c r="E4352" i="3"/>
  <c r="E776" i="3"/>
  <c r="E205" i="3"/>
  <c r="E7104" i="3"/>
  <c r="E3770" i="3"/>
  <c r="E6124" i="3"/>
  <c r="E6595" i="3"/>
  <c r="E2458" i="3"/>
  <c r="E1339" i="3"/>
  <c r="E1895" i="3"/>
  <c r="E5076" i="3"/>
  <c r="E786" i="3"/>
  <c r="E787" i="3"/>
  <c r="E4356" i="3"/>
  <c r="E3796" i="3"/>
  <c r="E4358" i="3"/>
  <c r="E6601" i="3"/>
  <c r="E7880" i="3"/>
  <c r="E792" i="3"/>
  <c r="E2468" i="3"/>
  <c r="E798" i="3"/>
  <c r="E2469" i="3"/>
  <c r="E4252" i="3"/>
  <c r="E3813" i="3"/>
  <c r="E5127" i="3"/>
  <c r="E5130" i="3"/>
  <c r="E3823" i="3"/>
  <c r="E7123" i="3"/>
  <c r="E5140" i="3"/>
  <c r="E6150" i="3"/>
  <c r="E805" i="3"/>
  <c r="E5158" i="3"/>
  <c r="E4254" i="3"/>
  <c r="E7132" i="3"/>
  <c r="E4378" i="3"/>
  <c r="E228" i="3"/>
  <c r="E5172" i="3"/>
  <c r="E3851" i="3"/>
  <c r="E3858" i="3"/>
  <c r="E5185" i="3"/>
  <c r="E6164" i="3"/>
  <c r="E2263" i="3"/>
  <c r="E3871" i="3"/>
  <c r="E811" i="3"/>
  <c r="E431" i="3"/>
  <c r="E812" i="3"/>
  <c r="E1912" i="3"/>
  <c r="E3882" i="3"/>
  <c r="E7318" i="3"/>
  <c r="E5200" i="3"/>
  <c r="E7143" i="3"/>
  <c r="E5203" i="3"/>
  <c r="E5207" i="3"/>
  <c r="E815" i="3"/>
  <c r="E5214" i="3"/>
  <c r="E5216" i="3"/>
  <c r="E2266" i="3"/>
  <c r="E6171" i="3"/>
  <c r="E3899" i="3"/>
  <c r="E3901" i="3"/>
  <c r="E1715" i="3"/>
  <c r="E1716" i="3"/>
  <c r="E3906" i="3"/>
  <c r="E2269" i="3"/>
  <c r="E4387" i="3"/>
  <c r="E5238" i="3"/>
  <c r="E5241" i="3"/>
  <c r="E2271" i="3"/>
  <c r="E5246" i="3"/>
  <c r="E5249" i="3"/>
  <c r="E3915" i="3"/>
  <c r="E2497" i="3"/>
  <c r="E2272" i="3"/>
  <c r="E5259" i="3"/>
  <c r="E827" i="3"/>
  <c r="E5265" i="3"/>
  <c r="E2499" i="3"/>
  <c r="E7897" i="3"/>
  <c r="E6182" i="3"/>
  <c r="E829" i="3"/>
  <c r="E6185" i="3"/>
  <c r="E5281" i="3"/>
  <c r="E2503" i="3"/>
  <c r="E3930" i="3"/>
  <c r="E3931" i="3"/>
  <c r="E5294" i="3"/>
  <c r="E2275" i="3"/>
  <c r="E2504" i="3"/>
  <c r="E7323" i="3"/>
  <c r="E1384" i="3"/>
  <c r="E4395" i="3"/>
  <c r="E5852" i="3"/>
  <c r="E7324" i="3"/>
  <c r="E7325" i="3"/>
  <c r="E3943" i="3"/>
  <c r="E5321" i="3"/>
  <c r="E3945" i="3"/>
  <c r="E3948" i="3"/>
  <c r="E7156" i="3"/>
  <c r="E5330" i="3"/>
  <c r="E5332" i="3"/>
  <c r="E5335" i="3"/>
  <c r="E262" i="3"/>
  <c r="E5339" i="3"/>
  <c r="E5345" i="3"/>
  <c r="E2512" i="3"/>
  <c r="E7270" i="3"/>
  <c r="E5352" i="3"/>
  <c r="E1387" i="3"/>
  <c r="E836" i="3"/>
  <c r="E3962" i="3"/>
  <c r="E6618" i="3"/>
  <c r="E5363" i="3"/>
  <c r="E1927" i="3"/>
  <c r="E5370" i="3"/>
  <c r="E5372" i="3"/>
  <c r="E5376" i="3"/>
  <c r="E1928" i="3"/>
  <c r="E5381" i="3"/>
  <c r="E274" i="3"/>
  <c r="E5385" i="3"/>
  <c r="E5388" i="3"/>
  <c r="E5393" i="3"/>
  <c r="E275" i="3"/>
  <c r="E2292" i="3"/>
  <c r="E7905" i="3"/>
  <c r="E5412" i="3"/>
  <c r="E5416" i="3"/>
  <c r="E279" i="3"/>
  <c r="E4275" i="3"/>
  <c r="E7170" i="3"/>
  <c r="E281" i="3"/>
  <c r="E840" i="3"/>
  <c r="E5430" i="3"/>
  <c r="E5434" i="3"/>
  <c r="E5438" i="3"/>
  <c r="E841" i="3"/>
  <c r="E3991" i="3"/>
  <c r="E5444" i="3"/>
  <c r="E3994" i="3"/>
  <c r="E5451" i="3"/>
  <c r="E5456" i="3"/>
  <c r="E6216" i="3"/>
  <c r="E289" i="3"/>
  <c r="E5466" i="3"/>
  <c r="E5470" i="3"/>
  <c r="E291" i="3"/>
  <c r="E5474" i="3"/>
  <c r="E7335" i="3"/>
  <c r="E2534" i="3"/>
  <c r="E5484" i="3"/>
  <c r="E5490" i="3"/>
  <c r="E5492" i="3"/>
  <c r="E4412" i="3"/>
  <c r="E2537" i="3"/>
  <c r="E5503" i="3"/>
  <c r="E4022" i="3"/>
  <c r="E5509" i="3"/>
  <c r="E5514" i="3"/>
  <c r="E4028" i="3"/>
  <c r="E2308" i="3"/>
  <c r="E4032" i="3"/>
  <c r="E5530" i="3"/>
  <c r="E4413" i="3"/>
  <c r="E4414" i="3"/>
  <c r="E4034" i="3"/>
  <c r="E297" i="3"/>
  <c r="E4038" i="3"/>
  <c r="E5548" i="3"/>
  <c r="E5551" i="3"/>
  <c r="E5553" i="3"/>
  <c r="E7344" i="3"/>
  <c r="E5561" i="3"/>
  <c r="E2545" i="3"/>
  <c r="E5569" i="3"/>
  <c r="E4047" i="3"/>
  <c r="E5581" i="3"/>
  <c r="E4050" i="3"/>
  <c r="E4051" i="3"/>
  <c r="E4053" i="3"/>
  <c r="E2434" i="3"/>
  <c r="E3658" i="3"/>
  <c r="E3662" i="3"/>
  <c r="E4936" i="3"/>
  <c r="E3668" i="3"/>
  <c r="E4943" i="3"/>
  <c r="E4946" i="3"/>
  <c r="E3678" i="3"/>
  <c r="E3680" i="3"/>
  <c r="E4955" i="3"/>
  <c r="E3689" i="3"/>
  <c r="E4224" i="3"/>
  <c r="E6094" i="3"/>
  <c r="E404" i="3"/>
  <c r="E3705" i="3"/>
  <c r="E6872" i="3"/>
  <c r="E3709" i="3"/>
  <c r="E2445" i="3"/>
  <c r="E4979" i="3"/>
  <c r="E755" i="3"/>
  <c r="E6105" i="3"/>
  <c r="E4985" i="3"/>
  <c r="E1320" i="3"/>
  <c r="E4992" i="3"/>
  <c r="E3727" i="3"/>
  <c r="E5002" i="3"/>
  <c r="E7871" i="3"/>
  <c r="E187" i="3"/>
  <c r="E3744" i="3"/>
  <c r="E193" i="3"/>
  <c r="E413" i="3"/>
  <c r="E5025" i="3"/>
  <c r="E7873" i="3"/>
  <c r="E3753" i="3"/>
  <c r="E7263" i="3"/>
  <c r="E3757" i="3"/>
  <c r="E5035" i="3"/>
  <c r="E203" i="3"/>
  <c r="E2231" i="3"/>
  <c r="E7875" i="3"/>
  <c r="E1707" i="3"/>
  <c r="E3772" i="3"/>
  <c r="E5054" i="3"/>
  <c r="E3777" i="3"/>
  <c r="E416" i="3"/>
  <c r="E6128" i="3"/>
  <c r="E783" i="3"/>
  <c r="E5077" i="3"/>
  <c r="E4245" i="3"/>
  <c r="E5084" i="3"/>
  <c r="E1708" i="3"/>
  <c r="E5089" i="3"/>
  <c r="E6599" i="3"/>
  <c r="E4360" i="3"/>
  <c r="E1897" i="3"/>
  <c r="E6140" i="3"/>
  <c r="E4363" i="3"/>
  <c r="E5112" i="3"/>
  <c r="E1902" i="3"/>
  <c r="E5119" i="3"/>
  <c r="E2247" i="3"/>
  <c r="E5128" i="3"/>
  <c r="E3820" i="3"/>
  <c r="E7121" i="3"/>
  <c r="E7124" i="3"/>
  <c r="E6149" i="3"/>
  <c r="E5145" i="3"/>
  <c r="E6152" i="3"/>
  <c r="E5161" i="3"/>
  <c r="E2473" i="3"/>
  <c r="E226" i="3"/>
  <c r="E2474" i="3"/>
  <c r="E230" i="3"/>
  <c r="E2257" i="3"/>
  <c r="E231" i="3"/>
  <c r="E7138" i="3"/>
  <c r="E6163" i="3"/>
  <c r="E4260" i="3"/>
  <c r="E3868" i="3"/>
  <c r="E3872" i="3"/>
  <c r="E3873" i="3"/>
  <c r="E3874" i="3"/>
  <c r="E5192" i="3"/>
  <c r="E3880" i="3"/>
  <c r="E5197" i="3"/>
  <c r="E6613" i="3"/>
  <c r="E5201" i="3"/>
  <c r="E2484" i="3"/>
  <c r="E5204" i="3"/>
  <c r="E814" i="3"/>
  <c r="E1372" i="3"/>
  <c r="E238" i="3"/>
  <c r="E5217" i="3"/>
  <c r="E3898" i="3"/>
  <c r="E6172" i="3"/>
  <c r="E1376" i="3"/>
  <c r="E3902" i="3"/>
  <c r="E3903" i="3"/>
  <c r="E3904" i="3"/>
  <c r="E1377" i="3"/>
  <c r="E3910" i="3"/>
  <c r="E2270" i="3"/>
  <c r="E6176" i="3"/>
  <c r="E5242" i="3"/>
  <c r="E243" i="3"/>
  <c r="E820" i="3"/>
  <c r="E5250" i="3"/>
  <c r="E5253" i="3"/>
  <c r="E4392" i="3"/>
  <c r="E5257" i="3"/>
  <c r="E245" i="3"/>
  <c r="E5260" i="3"/>
  <c r="E828" i="3"/>
  <c r="E2500" i="3"/>
  <c r="E2501" i="3"/>
  <c r="E6183" i="3"/>
  <c r="E830" i="3"/>
  <c r="E4267" i="3"/>
  <c r="E3928" i="3"/>
  <c r="E5285" i="3"/>
  <c r="E252" i="3"/>
  <c r="E1919" i="3"/>
  <c r="E6188" i="3"/>
  <c r="E6189" i="3"/>
  <c r="E5299" i="3"/>
  <c r="E1383" i="3"/>
  <c r="E831" i="3"/>
  <c r="E4396" i="3"/>
  <c r="E6191" i="3"/>
  <c r="E5312" i="3"/>
  <c r="E3941" i="3"/>
  <c r="E1717" i="3"/>
  <c r="E255" i="3"/>
  <c r="E2510" i="3"/>
  <c r="E5325" i="3"/>
  <c r="E435" i="3"/>
  <c r="E5331" i="3"/>
  <c r="E833" i="3"/>
  <c r="E260" i="3"/>
  <c r="E7158" i="3"/>
  <c r="E5340" i="3"/>
  <c r="E7160" i="3"/>
  <c r="E3956" i="3"/>
  <c r="E5351" i="3"/>
  <c r="E5353" i="3"/>
  <c r="E7903" i="3"/>
  <c r="E4274" i="3"/>
  <c r="E3963" i="3"/>
  <c r="E5360" i="3"/>
  <c r="E5364" i="3"/>
  <c r="E3967" i="3"/>
  <c r="E6200" i="3"/>
  <c r="E271" i="3"/>
  <c r="E436" i="3"/>
  <c r="E5379" i="3"/>
  <c r="E3972" i="3"/>
  <c r="E4404" i="3"/>
  <c r="E5386" i="3"/>
  <c r="E5389" i="3"/>
  <c r="E3976" i="3"/>
  <c r="E4406" i="3"/>
  <c r="E5402" i="3"/>
  <c r="E5406" i="3"/>
  <c r="E5413" i="3"/>
  <c r="E2519" i="3"/>
  <c r="E3981" i="3"/>
  <c r="E5421" i="3"/>
  <c r="E3983" i="3"/>
  <c r="E3984" i="3"/>
  <c r="E6211" i="3"/>
  <c r="E1295" i="3"/>
  <c r="E733" i="3"/>
  <c r="E7077" i="3"/>
  <c r="E3665" i="3"/>
  <c r="E4939" i="3"/>
  <c r="E2208" i="3"/>
  <c r="E4337" i="3"/>
  <c r="E7862" i="3"/>
  <c r="E168" i="3"/>
  <c r="E1694" i="3"/>
  <c r="E2442" i="3"/>
  <c r="E746" i="3"/>
  <c r="E3701" i="3"/>
  <c r="E2215" i="3"/>
  <c r="E1696" i="3"/>
  <c r="E752" i="3"/>
  <c r="E6873" i="3"/>
  <c r="E3710" i="3"/>
  <c r="E4981" i="3"/>
  <c r="E6579" i="3"/>
  <c r="E7869" i="3"/>
  <c r="E3721" i="3"/>
  <c r="E2448" i="3"/>
  <c r="E184" i="3"/>
  <c r="E3728" i="3"/>
  <c r="E2221" i="3"/>
  <c r="E5008" i="3"/>
  <c r="E3743" i="3"/>
  <c r="E3745" i="3"/>
  <c r="E7095" i="3"/>
  <c r="E5022" i="3"/>
  <c r="E1888" i="3"/>
  <c r="E6111" i="3"/>
  <c r="E197" i="3"/>
  <c r="E199" i="3"/>
  <c r="E2230" i="3"/>
  <c r="E202" i="3"/>
  <c r="E1332" i="3"/>
  <c r="E2455" i="3"/>
  <c r="E6592" i="3"/>
  <c r="E6122" i="3"/>
  <c r="E5050" i="3"/>
  <c r="E5055" i="3"/>
  <c r="E5062" i="3"/>
  <c r="E6596" i="3"/>
  <c r="E6130" i="3"/>
  <c r="E1340" i="3"/>
  <c r="E3786" i="3"/>
  <c r="E3788" i="3"/>
  <c r="E3790" i="3"/>
  <c r="E216" i="3"/>
  <c r="E3799" i="3"/>
  <c r="E1349" i="3"/>
  <c r="E3804" i="3"/>
  <c r="E5102" i="3"/>
  <c r="E2466" i="3"/>
  <c r="E6141" i="3"/>
  <c r="E4250" i="3"/>
  <c r="E7117" i="3"/>
  <c r="E5121" i="3"/>
  <c r="E1904" i="3"/>
  <c r="E7264" i="3"/>
  <c r="E2250" i="3"/>
  <c r="E5134" i="3"/>
  <c r="E5137" i="3"/>
  <c r="E5142" i="3"/>
  <c r="E5146" i="3"/>
  <c r="E5152" i="3"/>
  <c r="E1361" i="3"/>
  <c r="E4374" i="3"/>
  <c r="E3841" i="3"/>
  <c r="E807" i="3"/>
  <c r="E429" i="3"/>
  <c r="E5174" i="3"/>
  <c r="E6162" i="3"/>
  <c r="E5182" i="3"/>
  <c r="E2260" i="3"/>
  <c r="E1910" i="3"/>
  <c r="E5189" i="3"/>
  <c r="E5190" i="3"/>
  <c r="E6612" i="3"/>
  <c r="E3875" i="3"/>
  <c r="E3878" i="3"/>
  <c r="E5193" i="3"/>
  <c r="E5198" i="3"/>
  <c r="E6168" i="3"/>
  <c r="E1913" i="3"/>
  <c r="E7144" i="3"/>
  <c r="E5205" i="3"/>
  <c r="E3894" i="3"/>
  <c r="E5210" i="3"/>
  <c r="E7267" i="3"/>
  <c r="E1373" i="3"/>
  <c r="E1374" i="3"/>
  <c r="E2489" i="3"/>
  <c r="E6173" i="3"/>
  <c r="E5225" i="3"/>
  <c r="E817" i="3"/>
  <c r="E5229" i="3"/>
  <c r="E2492" i="3"/>
  <c r="E5233" i="3"/>
  <c r="E5235" i="3"/>
  <c r="E2495" i="3"/>
  <c r="E6177" i="3"/>
  <c r="E7146" i="3"/>
  <c r="E821" i="3"/>
  <c r="E5251" i="3"/>
  <c r="E3916" i="3"/>
  <c r="E823" i="3"/>
  <c r="E824" i="3"/>
  <c r="E7147" i="3"/>
  <c r="E5261" i="3"/>
  <c r="E2498" i="3"/>
  <c r="E3922" i="3"/>
  <c r="E247" i="3"/>
  <c r="E248" i="3"/>
  <c r="E5277" i="3"/>
  <c r="E7150" i="3"/>
  <c r="E1918" i="3"/>
  <c r="E5286" i="3"/>
  <c r="E2274" i="3"/>
  <c r="E6616" i="3"/>
  <c r="E3932" i="3"/>
  <c r="E5295" i="3"/>
  <c r="E5300" i="3"/>
  <c r="E5303" i="3"/>
  <c r="E2507" i="3"/>
  <c r="E5306" i="3"/>
  <c r="E4397" i="3"/>
  <c r="E1385" i="3"/>
  <c r="E2279" i="3"/>
  <c r="E4269" i="3"/>
  <c r="E1386" i="3"/>
  <c r="E3946" i="3"/>
  <c r="E257" i="3"/>
  <c r="E3950" i="3"/>
  <c r="E832" i="3"/>
  <c r="E7326" i="3"/>
  <c r="E1921" i="3"/>
  <c r="E834" i="3"/>
  <c r="E5341" i="3"/>
  <c r="E5346" i="3"/>
  <c r="E3957" i="3"/>
  <c r="E264" i="3"/>
  <c r="E265" i="3"/>
  <c r="E5356" i="3"/>
  <c r="E267" i="3"/>
  <c r="E7904" i="3"/>
  <c r="E7163" i="3"/>
  <c r="E5365" i="3"/>
  <c r="E3968" i="3"/>
  <c r="E6201" i="3"/>
  <c r="E3970" i="3"/>
  <c r="E7166" i="3"/>
  <c r="E6203" i="3"/>
  <c r="E5382" i="3"/>
  <c r="E1388" i="3"/>
  <c r="E5387" i="3"/>
  <c r="E7167" i="3"/>
  <c r="E6207" i="3"/>
  <c r="E5397" i="3"/>
  <c r="E5403" i="3"/>
  <c r="E5407" i="3"/>
  <c r="E5414" i="3"/>
  <c r="E5417" i="3"/>
  <c r="E5418" i="3"/>
  <c r="E2521" i="3"/>
  <c r="E5422" i="3"/>
  <c r="E2522" i="3"/>
  <c r="E4407" i="3"/>
  <c r="E3986" i="3"/>
  <c r="E5437" i="3"/>
  <c r="E6214" i="3"/>
  <c r="E4408" i="3"/>
  <c r="E5455" i="3"/>
  <c r="E7174" i="3"/>
  <c r="E5469" i="3"/>
  <c r="E2532" i="3"/>
  <c r="E6218" i="3"/>
  <c r="E7337" i="3"/>
  <c r="E4015" i="3"/>
  <c r="E5502" i="3"/>
  <c r="E4025" i="3"/>
  <c r="E7177" i="3"/>
  <c r="E4031" i="3"/>
  <c r="E7179" i="3"/>
  <c r="E4280" i="3"/>
  <c r="E299" i="3"/>
  <c r="E7343" i="3"/>
  <c r="E5556" i="3"/>
  <c r="E5565" i="3"/>
  <c r="E305" i="3"/>
  <c r="E4049" i="3"/>
  <c r="E4052" i="3"/>
  <c r="E2297" i="3"/>
  <c r="E2298" i="3"/>
  <c r="E3992" i="3"/>
  <c r="E7172" i="3"/>
  <c r="E5457" i="3"/>
  <c r="E3999" i="3"/>
  <c r="E5471" i="3"/>
  <c r="E5475" i="3"/>
  <c r="E4009" i="3"/>
  <c r="E4278" i="3"/>
  <c r="E4016" i="3"/>
  <c r="E7339" i="3"/>
  <c r="E5510" i="3"/>
  <c r="E5518" i="3"/>
  <c r="E2309" i="3"/>
  <c r="E2540" i="3"/>
  <c r="E4035" i="3"/>
  <c r="E4039" i="3"/>
  <c r="E2541" i="3"/>
  <c r="E5557" i="3"/>
  <c r="E304" i="3"/>
  <c r="E5574" i="3"/>
  <c r="E5586" i="3"/>
  <c r="E1935" i="3"/>
  <c r="E5431" i="3"/>
  <c r="E284" i="3"/>
  <c r="E2301" i="3"/>
  <c r="E3995" i="3"/>
  <c r="E287" i="3"/>
  <c r="E5462" i="3"/>
  <c r="E4002" i="3"/>
  <c r="E6217" i="3"/>
  <c r="E7908" i="3"/>
  <c r="E4411" i="3"/>
  <c r="E2306" i="3"/>
  <c r="E7176" i="3"/>
  <c r="E5511" i="3"/>
  <c r="E5519" i="3"/>
  <c r="E5528" i="3"/>
  <c r="E4279" i="3"/>
  <c r="E6225" i="3"/>
  <c r="E5546" i="3"/>
  <c r="E7180" i="3"/>
  <c r="E302" i="3"/>
  <c r="E2312" i="3"/>
  <c r="E5575" i="3"/>
  <c r="E5587" i="3"/>
  <c r="E3989" i="3"/>
  <c r="E2525" i="3"/>
  <c r="E3993" i="3"/>
  <c r="E7906" i="3"/>
  <c r="E7173" i="3"/>
  <c r="E7333" i="3"/>
  <c r="E290" i="3"/>
  <c r="E5477" i="3"/>
  <c r="E4010" i="3"/>
  <c r="E5491" i="3"/>
  <c r="E4018" i="3"/>
  <c r="E5505" i="3"/>
  <c r="E5513" i="3"/>
  <c r="E5522" i="3"/>
  <c r="E6222" i="3"/>
  <c r="E5535" i="3"/>
  <c r="E5540" i="3"/>
  <c r="E4040" i="3"/>
  <c r="E4043" i="3"/>
  <c r="E5560" i="3"/>
  <c r="E5568" i="3"/>
  <c r="E5579" i="3"/>
  <c r="E5590" i="3"/>
  <c r="E5433" i="3"/>
  <c r="E5439" i="3"/>
  <c r="E5443" i="3"/>
  <c r="E5450" i="3"/>
  <c r="E3997" i="3"/>
  <c r="E5465" i="3"/>
  <c r="E4004" i="3"/>
  <c r="E4410" i="3"/>
  <c r="E5483" i="3"/>
  <c r="E2536" i="3"/>
  <c r="E5498" i="3"/>
  <c r="E6219" i="3"/>
  <c r="E4027" i="3"/>
  <c r="E5523" i="3"/>
  <c r="E2310" i="3"/>
  <c r="E295" i="3"/>
  <c r="E4037" i="3"/>
  <c r="E2311" i="3"/>
  <c r="E4416" i="3"/>
  <c r="E2544" i="3"/>
  <c r="E7346" i="3"/>
  <c r="E5580" i="3"/>
  <c r="E5591" i="3"/>
  <c r="E5435" i="3"/>
  <c r="E7171" i="3"/>
  <c r="E5445" i="3"/>
  <c r="E286" i="3"/>
  <c r="E2529" i="3"/>
  <c r="E7271" i="3"/>
  <c r="E292" i="3"/>
  <c r="E4007" i="3"/>
  <c r="E5485" i="3"/>
  <c r="E5493" i="3"/>
  <c r="E5499" i="3"/>
  <c r="E5506" i="3"/>
  <c r="E5515" i="3"/>
  <c r="E5524" i="3"/>
  <c r="E7178" i="3"/>
  <c r="E7342" i="3"/>
  <c r="E298" i="3"/>
  <c r="E4041" i="3"/>
  <c r="E5554" i="3"/>
  <c r="E5562" i="3"/>
  <c r="E1719" i="3"/>
  <c r="E5582" i="3"/>
  <c r="E5592" i="3"/>
  <c r="E5436" i="3"/>
  <c r="E5440" i="3"/>
  <c r="E2528" i="3"/>
  <c r="E2303" i="3"/>
  <c r="E5459" i="3"/>
  <c r="E2304" i="3"/>
  <c r="E4005" i="3"/>
  <c r="E5478" i="3"/>
  <c r="E5486" i="3"/>
  <c r="E4014" i="3"/>
  <c r="E5500" i="3"/>
  <c r="E1933" i="3"/>
  <c r="E2307" i="3"/>
  <c r="E2538" i="3"/>
  <c r="E5531" i="3"/>
  <c r="E1718" i="3"/>
  <c r="E5541" i="3"/>
  <c r="E5549" i="3"/>
  <c r="E2542" i="3"/>
  <c r="E5563" i="3"/>
  <c r="E5570" i="3"/>
  <c r="E306" i="3"/>
  <c r="E5593" i="3"/>
  <c r="E3990" i="3"/>
  <c r="E5441" i="3"/>
  <c r="E6215" i="3"/>
  <c r="E3996" i="3"/>
  <c r="E5461" i="3"/>
  <c r="E4001" i="3"/>
  <c r="E4006" i="3"/>
  <c r="E5479" i="3"/>
  <c r="E2535" i="3"/>
  <c r="E293" i="3"/>
  <c r="E7338" i="3"/>
  <c r="E4024" i="3"/>
  <c r="E6221" i="3"/>
  <c r="E5527" i="3"/>
  <c r="E5532" i="3"/>
  <c r="E5539" i="3"/>
  <c r="E5545" i="3"/>
  <c r="E5550" i="3"/>
  <c r="E6228" i="3"/>
  <c r="E5564" i="3"/>
  <c r="E5573" i="3"/>
  <c r="E5585" i="3"/>
  <c r="E5597" i="3"/>
  <c r="E791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74147-6098-6D4C-829D-4FB8A4C29264}" keepAlive="1" name="Query - Comuni" description="Connessione alla query 'Comuni' nella cartella di lavoro." type="5" refreshedVersion="8" background="1" saveData="1">
    <dbPr connection="Provider=Microsoft.Mashup.OleDb.1;Data Source=$Workbook$;Location=Comuni;Extended Properties=&quot;&quot;" command="SELECT * FROM [Comuni]"/>
  </connection>
  <connection id="2" xr16:uid="{E27CEBCD-37B8-D742-B4FD-C4DE229590DD}" keepAlive="1" name="Query - Comuni (2)" description="Connessione alla query 'Comuni (2)' nella cartella di lavoro." type="5" refreshedVersion="8" background="1" saveData="1">
    <dbPr connection="Provider=Microsoft.Mashup.OleDb.1;Data Source=$Workbook$;Location=&quot;Comuni (2)&quot;;Extended Properties=&quot;&quot;" command="SELECT * FROM [Comuni (2)]"/>
  </connection>
  <connection id="3" xr16:uid="{6149C9DE-47F3-824B-B288-8FA935F38042}" keepAlive="1" name="Query - covid19_italy_region" description="Connessione alla query 'covid19_italy_region' nella cartella di lavoro." type="5" refreshedVersion="8" background="1" saveData="1">
    <dbPr connection="Provider=Microsoft.Mashup.OleDb.1;Data Source=$Workbook$;Location=covid19_italy_region;Extended Properties=&quot;&quot;" command="SELECT * FROM [covid19_italy_region]"/>
  </connection>
  <connection id="4" xr16:uid="{9B256EED-6327-594D-B750-8D3E468E88A2}" keepAlive="1" name="Query - Ripartizione-geografica" description="Connessione alla query 'Ripartizione-geografica' nella cartella di lavoro." type="5" refreshedVersion="8" background="1" saveData="1">
    <dbPr connection="Provider=Microsoft.Mashup.OleDb.1;Data Source=$Workbook$;Location=Ripartizione-geografica;Extended Properties=&quot;&quot;" command="SELECT * FROM [Ripartizione-geografica]"/>
  </connection>
</connections>
</file>

<file path=xl/sharedStrings.xml><?xml version="1.0" encoding="utf-8"?>
<sst xmlns="http://schemas.openxmlformats.org/spreadsheetml/2006/main" count="11" uniqueCount="11">
  <si>
    <t>TOTALE</t>
  </si>
  <si>
    <t>percentuale POPOLAZIONE sul TOTALE per ogni COMUNE</t>
  </si>
  <si>
    <t>POPOLAZIONE TOTALE DI OGNI REGIONE (CON FILTRO)</t>
  </si>
  <si>
    <t>PercentualePOPOLAZIONE sul TOTALE DI OGNI REGIONE PER OGNI COMUNE</t>
  </si>
  <si>
    <t>MAGGIORE</t>
  </si>
  <si>
    <t>RIPARTIZIONE GEOGRAFICA</t>
  </si>
  <si>
    <t>TOTALI</t>
  </si>
  <si>
    <t>GUARITI</t>
  </si>
  <si>
    <t>DECEDUTI</t>
  </si>
  <si>
    <t>TOTALE DECEDUTI</t>
  </si>
  <si>
    <t>TOTALE GUARITI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</si>
</sst>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AD47"/>
        <bgColor rgb="FF70AD47"/>
      </patternFill>
    </fill>
  </fills>
  <borders count="2">
    <border>
      <left/>
      <right/>
      <top/>
      <bottom/>
      <diagonal/>
    </border>
    <border>
      <left/>
      <right/>
      <top style="thin">
        <color rgb="FFA9D08E"/>
      </top>
      <bottom style="thin">
        <color rgb="FFA9D08E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165" fontId="0" fillId="0" borderId="0" xfId="1" applyNumberFormat="1" applyFont="1"/>
    <xf numFmtId="0" fontId="3" fillId="2" borderId="1" xfId="0" applyFont="1" applyFill="1" applyBorder="1"/>
    <xf numFmtId="0" fontId="0" fillId="0" borderId="0" xfId="0" applyNumberFormat="1"/>
  </cellXfs>
  <cellStyles count="2">
    <cellStyle name="Normale" xfId="0" builtinId="0"/>
    <cellStyle name="Percentuale" xfId="1" builtinId="5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%"/>
    </dxf>
    <dxf>
      <numFmt numFmtId="0" formatCode="General"/>
    </dxf>
    <dxf>
      <numFmt numFmtId="165" formatCode="0.0000%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3" xr16:uid="{C0AA4B4F-7A89-464F-8326-89FF8E876939}" autoFormatId="16" applyNumberFormats="0" applyBorderFormats="0" applyFontFormats="0" applyPatternFormats="0" applyAlignmentFormats="0" applyWidthHeightFormats="0">
  <queryTableRefresh nextId="5">
    <queryTableFields count="4">
      <queryTableField id="1" name="Regione" tableColumnId="1"/>
      <queryTableField id="2" name="Totale" tableColumnId="2"/>
      <queryTableField id="3" name="Guariti" tableColumnId="3"/>
      <queryTableField id="4" name="Deceduti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0BF774ED-461A-9F4F-97BD-6B153022A76A}" autoFormatId="16" applyNumberFormats="0" applyBorderFormats="0" applyFontFormats="0" applyPatternFormats="0" applyAlignmentFormats="0" applyWidthHeightFormats="0">
  <queryTableRefresh nextId="15" unboundColumnsRight="8">
    <queryTableFields count="12">
      <queryTableField id="1" name="Denominazione" tableColumnId="1"/>
      <queryTableField id="2" name="Regione" tableColumnId="2"/>
      <queryTableField id="3" name="Sigla automobilistica" tableColumnId="3"/>
      <queryTableField id="4" name="Popolazione2011" tableColumnId="4"/>
      <queryTableField id="5" dataBound="0" tableColumnId="5"/>
      <queryTableField id="7" dataBound="0" tableColumnId="7"/>
      <queryTableField id="8" dataBound="0" tableColumnId="8"/>
      <queryTableField id="10" dataBound="0" tableColumnId="10"/>
      <queryTableField id="11" dataBound="0" tableColumnId="6"/>
      <queryTableField id="12" dataBound="0" tableColumnId="9"/>
      <queryTableField id="13" dataBound="0" tableColumnId="11"/>
      <queryTableField id="14" dataBound="0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4" xr16:uid="{B92F691F-E0DB-2341-9847-DA30D3F6A053}" autoFormatId="16" applyNumberFormats="0" applyBorderFormats="0" applyFontFormats="0" applyPatternFormats="0" applyAlignmentFormats="0" applyWidthHeightFormats="0">
  <queryTableRefresh nextId="4">
    <queryTableFields count="2">
      <queryTableField id="2" name="Ripartizione geografica" tableColumnId="2"/>
      <queryTableField id="3" name="Regione" tableColumnId="3"/>
    </queryTableFields>
    <queryTableDeletedFields count="1">
      <deletedField name="Codice Regione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80A5467-423F-1F49-BAFA-32F6165A16A2}" autoFormatId="16" applyNumberFormats="0" applyBorderFormats="0" applyFontFormats="0" applyPatternFormats="0" applyAlignmentFormats="0" applyWidthHeightFormats="0">
  <queryTableRefresh nextId="6">
    <queryTableFields count="4">
      <queryTableField id="1" name="Denominazione" tableColumnId="1"/>
      <queryTableField id="2" name="Regione" tableColumnId="2"/>
      <queryTableField id="3" name="Sigla automobilistica" tableColumnId="3"/>
      <queryTableField id="4" name="Popolazione2011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D651BA-3E26-724F-94B1-B49BB4C9C2AD}" name="covid19_italy_region" displayName="covid19_italy_region" ref="A1:D6028" tableType="queryTable" totalsRowShown="0">
  <autoFilter ref="A1:D6028" xr:uid="{3CD651BA-3E26-724F-94B1-B49BB4C9C2AD}"/>
  <sortState xmlns:xlrd2="http://schemas.microsoft.com/office/spreadsheetml/2017/richdata2" ref="A2:D6028">
    <sortCondition ref="A1:A6028"/>
  </sortState>
  <tableColumns count="4">
    <tableColumn id="1" xr3:uid="{C4A1B863-715E-ED46-B15E-D2DABDE05D5A}" uniqueName="1" name="Regione" queryTableFieldId="1" dataDxfId="0"/>
    <tableColumn id="2" xr3:uid="{96E9A52D-D9CD-8E40-9988-D5434E979301}" uniqueName="2" name="Totale" queryTableFieldId="2"/>
    <tableColumn id="3" xr3:uid="{399413FA-E749-EC40-8439-957FC0C7B4BC}" uniqueName="3" name="Guariti" queryTableFieldId="3"/>
    <tableColumn id="4" xr3:uid="{35CCD2ED-EDB4-C645-B5A6-EB954EE8D54E}" uniqueName="4" name="Deceduti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74E081-166B-E245-85CA-786CC223A9B1}" name="Comuni__2" displayName="Comuni__2" ref="A1:L7910" tableType="queryTable" totalsRowShown="0">
  <autoFilter ref="A1:L7910" xr:uid="{4A74E081-166B-E245-85CA-786CC223A9B1}"/>
  <sortState xmlns:xlrd2="http://schemas.microsoft.com/office/spreadsheetml/2017/richdata2" ref="A2:L7910">
    <sortCondition ref="B1:B7910"/>
  </sortState>
  <tableColumns count="12">
    <tableColumn id="1" xr3:uid="{FA5A1F28-C91A-1542-932E-4318657374D1}" uniqueName="1" name="Denominazione" queryTableFieldId="1" dataDxfId="12"/>
    <tableColumn id="2" xr3:uid="{2F8431CF-9D39-4042-81E6-6B8235F63BE5}" uniqueName="2" name="Regione" queryTableFieldId="2" dataDxfId="11"/>
    <tableColumn id="3" xr3:uid="{40D465CF-E0BD-E24E-A699-5186F67E47BE}" uniqueName="3" name="Sigla automobilistica" queryTableFieldId="3" dataDxfId="10"/>
    <tableColumn id="4" xr3:uid="{7C95A0D3-C092-144A-A3E3-120526CE99FD}" uniqueName="4" name="Popolazione2011" queryTableFieldId="4"/>
    <tableColumn id="5" xr3:uid="{88284AB8-1A5E-524E-B499-BEF3BE1F9A22}" uniqueName="5" name="percentuale POPOLAZIONE sul TOTALE per ogni COMUNE" queryTableFieldId="5" dataDxfId="9">
      <calculatedColumnFormula>Comuni__2[[#This Row],[Popolazione2011]]/$D$7911</calculatedColumnFormula>
    </tableColumn>
    <tableColumn id="7" xr3:uid="{45E0D3FD-1A0C-FA4B-AEE0-DB1C2DAA942A}" uniqueName="7" name="POPOLAZIONE TOTALE DI OGNI REGIONE (CON FILTRO)" queryTableFieldId="7" dataDxfId="8">
      <calculatedColumnFormula>SUMIFS($D$2:$D$5, $B$2:$B$5, "Lombardia")</calculatedColumnFormula>
    </tableColumn>
    <tableColumn id="8" xr3:uid="{25A30B3B-730D-644A-B0C6-14E47C38DD74}" uniqueName="8" name="PercentualePOPOLAZIONE sul TOTALE DI OGNI REGIONE PER OGNI COMUNE" queryTableFieldId="8" dataDxfId="7" dataCellStyle="Percentuale">
      <calculatedColumnFormula>Comuni__2[[#This Row],[Popolazione2011]]/Comuni__2[[#This Row],[POPOLAZIONE TOTALE DI OGNI REGIONE (CON FILTRO)]]</calculatedColumnFormula>
    </tableColumn>
    <tableColumn id="10" xr3:uid="{A76F74A1-D417-C641-8983-426D2BA10079}" uniqueName="10" name="MAGGIORE" queryTableFieldId="10" dataDxfId="6">
      <calculatedColumnFormula>IF(Comuni__2[[#This Row],[Popolazione2011]]&gt;300000,"MAGGIORE","")</calculatedColumnFormula>
    </tableColumn>
    <tableColumn id="6" xr3:uid="{E2262381-32AD-B048-BBE7-F9DEFA1E8AE3}" uniqueName="6" name="RIPARTIZIONE GEOGRAFICA" queryTableFieldId="11"/>
    <tableColumn id="9" xr3:uid="{1DCE7BF6-52C8-A24D-9591-2938129A946B}" uniqueName="9" name="TOTALI" queryTableFieldId="12"/>
    <tableColumn id="11" xr3:uid="{4B52D5CD-A98F-C641-8EB4-3097791BAF55}" uniqueName="11" name="GUARITI" queryTableFieldId="13"/>
    <tableColumn id="12" xr3:uid="{3784B334-C5E9-5243-8841-1BD20EE507C2}" uniqueName="12" name="DECEDUTI" queryTableField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B3898A-C81A-634E-B628-2B27A989B581}" name="Ripartizione_geografica" displayName="Ripartizione_geografica" ref="A1:B21" tableType="queryTable" totalsRowShown="0">
  <autoFilter ref="A1:B21" xr:uid="{44B3898A-C81A-634E-B628-2B27A989B581}"/>
  <sortState xmlns:xlrd2="http://schemas.microsoft.com/office/spreadsheetml/2017/richdata2" ref="A2:B21">
    <sortCondition ref="B1:B21"/>
  </sortState>
  <tableColumns count="2">
    <tableColumn id="2" xr3:uid="{1512FE5F-080C-3E4C-8CD3-C15EA2F5B125}" uniqueName="2" name="Ripartizione geografica" queryTableFieldId="2" dataDxfId="2"/>
    <tableColumn id="3" xr3:uid="{DB1A08C8-D38B-E64D-865B-226BD0E3026B}" uniqueName="3" name="Regione" queryTableFieldId="3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5D5463-3251-ED42-AF7A-54CE28E59758}" name="Comuni" displayName="Comuni" ref="A1:D7910" tableType="queryTable" totalsRowShown="0">
  <autoFilter ref="A1:D7910" xr:uid="{D75D5463-3251-ED42-AF7A-54CE28E59758}"/>
  <tableColumns count="4">
    <tableColumn id="1" xr3:uid="{7032D625-2805-FE49-B952-F72D4279D90F}" uniqueName="1" name="Denominazione" queryTableFieldId="1" dataDxfId="5"/>
    <tableColumn id="2" xr3:uid="{4B282B3F-26E2-0846-B785-3C7E91100C9D}" uniqueName="2" name="Regione" queryTableFieldId="2" dataDxfId="4"/>
    <tableColumn id="3" xr3:uid="{18F0543D-C9E9-4C40-B15C-9D69DD662EDF}" uniqueName="3" name="Sigla automobilistica" queryTableFieldId="3" dataDxfId="3"/>
    <tableColumn id="4" xr3:uid="{71E1140E-7D57-F54B-B5E3-8530CD54CA43}" uniqueName="4" name="Popolazione2011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62B9E-1085-B246-AC20-649E50124D6A}">
  <dimension ref="A1:D6028"/>
  <sheetViews>
    <sheetView workbookViewId="0">
      <selection activeCell="B2" sqref="B2:D6028"/>
    </sheetView>
  </sheetViews>
  <sheetFormatPr baseColWidth="10" defaultRowHeight="16" x14ac:dyDescent="0.2"/>
  <cols>
    <col min="1" max="1" width="24.6640625" bestFit="1" customWidth="1"/>
    <col min="2" max="2" width="8.83203125" bestFit="1" customWidth="1"/>
    <col min="3" max="3" width="9.33203125" bestFit="1" customWidth="1"/>
    <col min="4" max="4" width="11" bestFit="1" customWidth="1"/>
  </cols>
  <sheetData>
    <row r="1" spans="1:4" x14ac:dyDescent="0.2">
      <c r="A1"/>
      <c r="B1"/>
      <c r="C1"/>
      <c r="D1"/>
    </row>
    <row r="2" spans="1:4" x14ac:dyDescent="0.2">
      <c r="A2" s="4"/>
      <c r="B2"/>
      <c r="C2"/>
      <c r="D2"/>
    </row>
    <row r="3" spans="1:4" x14ac:dyDescent="0.2">
      <c r="A3" s="4"/>
      <c r="B3"/>
      <c r="C3"/>
      <c r="D3"/>
    </row>
    <row r="4" spans="1:4" x14ac:dyDescent="0.2">
      <c r="A4" s="4"/>
      <c r="B4"/>
      <c r="C4"/>
      <c r="D4"/>
    </row>
    <row r="5" spans="1:4" x14ac:dyDescent="0.2">
      <c r="A5" s="4"/>
      <c r="B5"/>
      <c r="C5"/>
      <c r="D5"/>
    </row>
    <row r="6" spans="1:4" x14ac:dyDescent="0.2">
      <c r="A6" s="4"/>
      <c r="B6"/>
      <c r="C6"/>
      <c r="D6"/>
    </row>
    <row r="7" spans="1:4" x14ac:dyDescent="0.2">
      <c r="A7" s="4"/>
      <c r="B7"/>
      <c r="C7"/>
      <c r="D7"/>
    </row>
    <row r="8" spans="1:4" x14ac:dyDescent="0.2">
      <c r="A8" s="4"/>
      <c r="B8"/>
      <c r="C8"/>
      <c r="D8"/>
    </row>
    <row r="9" spans="1:4" x14ac:dyDescent="0.2">
      <c r="A9" s="4"/>
      <c r="B9"/>
      <c r="C9"/>
      <c r="D9"/>
    </row>
    <row r="10" spans="1:4" x14ac:dyDescent="0.2">
      <c r="A10" s="4"/>
      <c r="B10"/>
      <c r="C10"/>
      <c r="D10"/>
    </row>
    <row r="11" spans="1:4" x14ac:dyDescent="0.2">
      <c r="A11" s="4"/>
      <c r="B11"/>
      <c r="C11"/>
      <c r="D11"/>
    </row>
    <row r="12" spans="1:4" x14ac:dyDescent="0.2">
      <c r="A12" s="4"/>
      <c r="B12"/>
      <c r="C12"/>
      <c r="D12"/>
    </row>
    <row r="13" spans="1:4" x14ac:dyDescent="0.2">
      <c r="A13" s="4"/>
      <c r="B13"/>
      <c r="C13"/>
      <c r="D13"/>
    </row>
    <row r="14" spans="1:4" x14ac:dyDescent="0.2">
      <c r="A14" s="4"/>
      <c r="B14"/>
      <c r="C14"/>
      <c r="D14"/>
    </row>
    <row r="15" spans="1:4" x14ac:dyDescent="0.2">
      <c r="A15" s="4"/>
      <c r="B15"/>
      <c r="C15"/>
      <c r="D15"/>
    </row>
    <row r="16" spans="1:4" x14ac:dyDescent="0.2">
      <c r="A16" s="4"/>
      <c r="B16"/>
      <c r="C16"/>
      <c r="D16"/>
    </row>
    <row r="17" spans="1:4" x14ac:dyDescent="0.2">
      <c r="A17" s="4"/>
      <c r="B17"/>
      <c r="C17"/>
      <c r="D17"/>
    </row>
    <row r="18" spans="1:4" x14ac:dyDescent="0.2">
      <c r="A18" s="4"/>
      <c r="B18"/>
      <c r="C18"/>
      <c r="D18"/>
    </row>
    <row r="19" spans="1:4" x14ac:dyDescent="0.2">
      <c r="A19" s="4"/>
      <c r="B19"/>
      <c r="C19"/>
      <c r="D19"/>
    </row>
    <row r="20" spans="1:4" x14ac:dyDescent="0.2">
      <c r="A20" s="4"/>
      <c r="B20"/>
      <c r="C20"/>
      <c r="D20"/>
    </row>
    <row r="21" spans="1:4" x14ac:dyDescent="0.2">
      <c r="A21" s="4"/>
      <c r="B21"/>
      <c r="C21"/>
      <c r="D21"/>
    </row>
    <row r="22" spans="1:4" x14ac:dyDescent="0.2">
      <c r="A22" s="4"/>
      <c r="B22"/>
      <c r="C22"/>
      <c r="D22"/>
    </row>
    <row r="23" spans="1:4" x14ac:dyDescent="0.2">
      <c r="A23" s="4"/>
      <c r="B23"/>
      <c r="C23"/>
      <c r="D23"/>
    </row>
    <row r="24" spans="1:4" x14ac:dyDescent="0.2">
      <c r="A24" s="4"/>
      <c r="B24"/>
      <c r="C24"/>
      <c r="D24"/>
    </row>
    <row r="25" spans="1:4" x14ac:dyDescent="0.2">
      <c r="A25" s="4"/>
      <c r="B25"/>
      <c r="C25"/>
      <c r="D25"/>
    </row>
    <row r="26" spans="1:4" x14ac:dyDescent="0.2">
      <c r="A26" s="4"/>
      <c r="B26"/>
      <c r="C26"/>
      <c r="D26"/>
    </row>
    <row r="27" spans="1:4" x14ac:dyDescent="0.2">
      <c r="A27" s="4"/>
      <c r="B27"/>
      <c r="C27"/>
      <c r="D27"/>
    </row>
    <row r="28" spans="1:4" x14ac:dyDescent="0.2">
      <c r="A28" s="4"/>
      <c r="B28"/>
      <c r="C28"/>
      <c r="D28"/>
    </row>
    <row r="29" spans="1:4" x14ac:dyDescent="0.2">
      <c r="A29" s="4"/>
      <c r="B29"/>
      <c r="C29"/>
      <c r="D29"/>
    </row>
    <row r="30" spans="1:4" x14ac:dyDescent="0.2">
      <c r="A30" s="4"/>
      <c r="B30"/>
      <c r="C30"/>
      <c r="D30"/>
    </row>
    <row r="31" spans="1:4" x14ac:dyDescent="0.2">
      <c r="A31" s="4"/>
      <c r="B31"/>
      <c r="C31"/>
      <c r="D31"/>
    </row>
    <row r="32" spans="1:4" x14ac:dyDescent="0.2">
      <c r="A32" s="4"/>
      <c r="B32"/>
      <c r="C32"/>
      <c r="D32"/>
    </row>
    <row r="33" spans="1:4" x14ac:dyDescent="0.2">
      <c r="A33" s="4"/>
      <c r="B33"/>
      <c r="C33"/>
      <c r="D33"/>
    </row>
    <row r="34" spans="1:4" x14ac:dyDescent="0.2">
      <c r="A34" s="4"/>
      <c r="B34"/>
      <c r="C34"/>
      <c r="D34"/>
    </row>
    <row r="35" spans="1:4" x14ac:dyDescent="0.2">
      <c r="A35" s="4"/>
      <c r="B35"/>
      <c r="C35"/>
      <c r="D35"/>
    </row>
    <row r="36" spans="1:4" x14ac:dyDescent="0.2">
      <c r="A36" s="4"/>
      <c r="B36"/>
      <c r="C36"/>
      <c r="D36"/>
    </row>
    <row r="37" spans="1:4" x14ac:dyDescent="0.2">
      <c r="A37" s="4"/>
      <c r="B37"/>
      <c r="C37"/>
      <c r="D37"/>
    </row>
    <row r="38" spans="1:4" x14ac:dyDescent="0.2">
      <c r="A38" s="4"/>
      <c r="B38"/>
      <c r="C38"/>
      <c r="D38"/>
    </row>
    <row r="39" spans="1:4" x14ac:dyDescent="0.2">
      <c r="A39" s="4"/>
      <c r="B39"/>
      <c r="C39"/>
      <c r="D39"/>
    </row>
    <row r="40" spans="1:4" x14ac:dyDescent="0.2">
      <c r="A40" s="4"/>
      <c r="B40"/>
      <c r="C40"/>
      <c r="D40"/>
    </row>
    <row r="41" spans="1:4" x14ac:dyDescent="0.2">
      <c r="A41" s="4"/>
      <c r="B41"/>
      <c r="C41"/>
      <c r="D41"/>
    </row>
    <row r="42" spans="1:4" x14ac:dyDescent="0.2">
      <c r="A42" s="4"/>
      <c r="B42"/>
      <c r="C42"/>
      <c r="D42"/>
    </row>
    <row r="43" spans="1:4" x14ac:dyDescent="0.2">
      <c r="A43" s="4"/>
      <c r="B43"/>
      <c r="C43"/>
      <c r="D43"/>
    </row>
    <row r="44" spans="1:4" x14ac:dyDescent="0.2">
      <c r="A44" s="4"/>
      <c r="B44"/>
      <c r="C44"/>
      <c r="D44"/>
    </row>
    <row r="45" spans="1:4" x14ac:dyDescent="0.2">
      <c r="A45" s="4"/>
      <c r="B45"/>
      <c r="C45"/>
      <c r="D45"/>
    </row>
    <row r="46" spans="1:4" x14ac:dyDescent="0.2">
      <c r="A46" s="4"/>
      <c r="B46"/>
      <c r="C46"/>
      <c r="D46"/>
    </row>
    <row r="47" spans="1:4" x14ac:dyDescent="0.2">
      <c r="A47" s="4"/>
      <c r="B47"/>
      <c r="C47"/>
      <c r="D47"/>
    </row>
    <row r="48" spans="1:4" x14ac:dyDescent="0.2">
      <c r="A48" s="4"/>
      <c r="B48"/>
      <c r="C48"/>
      <c r="D48"/>
    </row>
    <row r="49" spans="1:4" x14ac:dyDescent="0.2">
      <c r="A49" s="4"/>
      <c r="B49"/>
      <c r="C49"/>
      <c r="D49"/>
    </row>
    <row r="50" spans="1:4" x14ac:dyDescent="0.2">
      <c r="A50" s="4"/>
      <c r="B50"/>
      <c r="C50"/>
      <c r="D50"/>
    </row>
    <row r="51" spans="1:4" x14ac:dyDescent="0.2">
      <c r="A51" s="4"/>
      <c r="B51"/>
      <c r="C51"/>
      <c r="D51"/>
    </row>
    <row r="52" spans="1:4" x14ac:dyDescent="0.2">
      <c r="A52" s="4"/>
      <c r="B52"/>
      <c r="C52"/>
      <c r="D52"/>
    </row>
    <row r="53" spans="1:4" x14ac:dyDescent="0.2">
      <c r="A53" s="4"/>
      <c r="B53"/>
      <c r="C53"/>
      <c r="D53"/>
    </row>
    <row r="54" spans="1:4" x14ac:dyDescent="0.2">
      <c r="A54" s="4"/>
      <c r="B54"/>
      <c r="C54"/>
      <c r="D54"/>
    </row>
    <row r="55" spans="1:4" x14ac:dyDescent="0.2">
      <c r="A55" s="4"/>
      <c r="B55"/>
      <c r="C55"/>
      <c r="D55"/>
    </row>
    <row r="56" spans="1:4" x14ac:dyDescent="0.2">
      <c r="A56" s="4"/>
      <c r="B56"/>
      <c r="C56"/>
      <c r="D56"/>
    </row>
    <row r="57" spans="1:4" x14ac:dyDescent="0.2">
      <c r="A57" s="4"/>
      <c r="B57"/>
      <c r="C57"/>
      <c r="D57"/>
    </row>
    <row r="58" spans="1:4" x14ac:dyDescent="0.2">
      <c r="A58" s="4"/>
      <c r="B58"/>
      <c r="C58"/>
      <c r="D58"/>
    </row>
    <row r="59" spans="1:4" x14ac:dyDescent="0.2">
      <c r="A59" s="4"/>
      <c r="B59"/>
      <c r="C59"/>
      <c r="D59"/>
    </row>
    <row r="60" spans="1:4" x14ac:dyDescent="0.2">
      <c r="A60" s="4"/>
      <c r="B60"/>
      <c r="C60"/>
      <c r="D60"/>
    </row>
    <row r="61" spans="1:4" x14ac:dyDescent="0.2">
      <c r="A61" s="4"/>
      <c r="B61"/>
      <c r="C61"/>
      <c r="D61"/>
    </row>
    <row r="62" spans="1:4" x14ac:dyDescent="0.2">
      <c r="A62" s="4"/>
      <c r="B62"/>
      <c r="C62"/>
      <c r="D62"/>
    </row>
    <row r="63" spans="1:4" x14ac:dyDescent="0.2">
      <c r="A63" s="4"/>
      <c r="B63"/>
      <c r="C63"/>
      <c r="D63"/>
    </row>
    <row r="64" spans="1:4" x14ac:dyDescent="0.2">
      <c r="A64" s="4"/>
      <c r="B64"/>
      <c r="C64"/>
      <c r="D64"/>
    </row>
    <row r="65" spans="1:4" x14ac:dyDescent="0.2">
      <c r="A65" s="4"/>
      <c r="B65"/>
      <c r="C65"/>
      <c r="D65"/>
    </row>
    <row r="66" spans="1:4" x14ac:dyDescent="0.2">
      <c r="A66" s="4"/>
      <c r="B66"/>
      <c r="C66"/>
      <c r="D66"/>
    </row>
    <row r="67" spans="1:4" x14ac:dyDescent="0.2">
      <c r="A67" s="4"/>
      <c r="B67"/>
      <c r="C67"/>
      <c r="D67"/>
    </row>
    <row r="68" spans="1:4" x14ac:dyDescent="0.2">
      <c r="A68" s="4"/>
      <c r="B68"/>
      <c r="C68"/>
      <c r="D68"/>
    </row>
    <row r="69" spans="1:4" x14ac:dyDescent="0.2">
      <c r="A69" s="4"/>
      <c r="B69"/>
      <c r="C69"/>
      <c r="D69"/>
    </row>
    <row r="70" spans="1:4" x14ac:dyDescent="0.2">
      <c r="A70" s="4"/>
      <c r="B70"/>
      <c r="C70"/>
      <c r="D70"/>
    </row>
    <row r="71" spans="1:4" x14ac:dyDescent="0.2">
      <c r="A71" s="4"/>
      <c r="B71"/>
      <c r="C71"/>
      <c r="D71"/>
    </row>
    <row r="72" spans="1:4" x14ac:dyDescent="0.2">
      <c r="A72" s="4"/>
      <c r="B72"/>
      <c r="C72"/>
      <c r="D72"/>
    </row>
    <row r="73" spans="1:4" x14ac:dyDescent="0.2">
      <c r="A73" s="4"/>
      <c r="B73"/>
      <c r="C73"/>
      <c r="D73"/>
    </row>
    <row r="74" spans="1:4" x14ac:dyDescent="0.2">
      <c r="A74" s="4"/>
      <c r="B74"/>
      <c r="C74"/>
      <c r="D74"/>
    </row>
    <row r="75" spans="1:4" x14ac:dyDescent="0.2">
      <c r="A75" s="4"/>
      <c r="B75"/>
      <c r="C75"/>
      <c r="D75"/>
    </row>
    <row r="76" spans="1:4" x14ac:dyDescent="0.2">
      <c r="A76" s="4"/>
      <c r="B76"/>
      <c r="C76"/>
      <c r="D76"/>
    </row>
    <row r="77" spans="1:4" x14ac:dyDescent="0.2">
      <c r="A77" s="4"/>
      <c r="B77"/>
      <c r="C77"/>
      <c r="D77"/>
    </row>
    <row r="78" spans="1:4" x14ac:dyDescent="0.2">
      <c r="A78" s="4"/>
      <c r="B78"/>
      <c r="C78"/>
      <c r="D78"/>
    </row>
    <row r="79" spans="1:4" x14ac:dyDescent="0.2">
      <c r="A79" s="4"/>
      <c r="B79"/>
      <c r="C79"/>
      <c r="D79"/>
    </row>
    <row r="80" spans="1:4" x14ac:dyDescent="0.2">
      <c r="A80" s="4"/>
      <c r="B80"/>
      <c r="C80"/>
      <c r="D80"/>
    </row>
    <row r="81" spans="1:4" x14ac:dyDescent="0.2">
      <c r="A81" s="4"/>
      <c r="B81"/>
      <c r="C81"/>
      <c r="D81"/>
    </row>
    <row r="82" spans="1:4" x14ac:dyDescent="0.2">
      <c r="A82" s="4"/>
      <c r="B82"/>
      <c r="C82"/>
      <c r="D82"/>
    </row>
    <row r="83" spans="1:4" x14ac:dyDescent="0.2">
      <c r="A83" s="4"/>
      <c r="B83"/>
      <c r="C83"/>
      <c r="D83"/>
    </row>
    <row r="84" spans="1:4" x14ac:dyDescent="0.2">
      <c r="A84" s="4"/>
      <c r="B84"/>
      <c r="C84"/>
      <c r="D84"/>
    </row>
    <row r="85" spans="1:4" x14ac:dyDescent="0.2">
      <c r="A85" s="4"/>
      <c r="B85"/>
      <c r="C85"/>
      <c r="D85"/>
    </row>
    <row r="86" spans="1:4" x14ac:dyDescent="0.2">
      <c r="A86" s="4"/>
      <c r="B86"/>
      <c r="C86"/>
      <c r="D86"/>
    </row>
    <row r="87" spans="1:4" x14ac:dyDescent="0.2">
      <c r="A87" s="4"/>
      <c r="B87"/>
      <c r="C87"/>
      <c r="D87"/>
    </row>
    <row r="88" spans="1:4" x14ac:dyDescent="0.2">
      <c r="A88" s="4"/>
      <c r="B88"/>
      <c r="C88"/>
      <c r="D88"/>
    </row>
    <row r="89" spans="1:4" x14ac:dyDescent="0.2">
      <c r="A89" s="4"/>
      <c r="B89"/>
      <c r="C89"/>
      <c r="D89"/>
    </row>
    <row r="90" spans="1:4" x14ac:dyDescent="0.2">
      <c r="A90" s="4"/>
      <c r="B90"/>
      <c r="C90"/>
      <c r="D90"/>
    </row>
    <row r="91" spans="1:4" x14ac:dyDescent="0.2">
      <c r="A91" s="4"/>
      <c r="B91"/>
      <c r="C91"/>
      <c r="D91"/>
    </row>
    <row r="92" spans="1:4" x14ac:dyDescent="0.2">
      <c r="A92" s="4"/>
      <c r="B92"/>
      <c r="C92"/>
      <c r="D92"/>
    </row>
    <row r="93" spans="1:4" x14ac:dyDescent="0.2">
      <c r="A93" s="4"/>
      <c r="B93"/>
      <c r="C93"/>
      <c r="D93"/>
    </row>
    <row r="94" spans="1:4" x14ac:dyDescent="0.2">
      <c r="A94" s="4"/>
      <c r="B94"/>
      <c r="C94"/>
      <c r="D94"/>
    </row>
    <row r="95" spans="1:4" x14ac:dyDescent="0.2">
      <c r="A95" s="4"/>
      <c r="B95"/>
      <c r="C95"/>
      <c r="D95"/>
    </row>
    <row r="96" spans="1:4" x14ac:dyDescent="0.2">
      <c r="A96" s="4"/>
      <c r="B96"/>
      <c r="C96"/>
      <c r="D96"/>
    </row>
    <row r="97" spans="1:4" x14ac:dyDescent="0.2">
      <c r="A97" s="4"/>
      <c r="B97"/>
      <c r="C97"/>
      <c r="D97"/>
    </row>
    <row r="98" spans="1:4" x14ac:dyDescent="0.2">
      <c r="A98" s="4"/>
      <c r="B98"/>
      <c r="C98"/>
      <c r="D98"/>
    </row>
    <row r="99" spans="1:4" x14ac:dyDescent="0.2">
      <c r="A99" s="4"/>
      <c r="B99"/>
      <c r="C99"/>
      <c r="D99"/>
    </row>
    <row r="100" spans="1:4" x14ac:dyDescent="0.2">
      <c r="A100" s="4"/>
      <c r="B100"/>
      <c r="C100"/>
      <c r="D100"/>
    </row>
    <row r="101" spans="1:4" x14ac:dyDescent="0.2">
      <c r="A101" s="4"/>
      <c r="B101"/>
      <c r="C101"/>
      <c r="D101"/>
    </row>
    <row r="102" spans="1:4" x14ac:dyDescent="0.2">
      <c r="A102" s="4"/>
      <c r="B102"/>
      <c r="C102"/>
      <c r="D102"/>
    </row>
    <row r="103" spans="1:4" x14ac:dyDescent="0.2">
      <c r="A103" s="4"/>
      <c r="B103"/>
      <c r="C103"/>
      <c r="D103"/>
    </row>
    <row r="104" spans="1:4" x14ac:dyDescent="0.2">
      <c r="A104" s="4"/>
      <c r="B104"/>
      <c r="C104"/>
      <c r="D104"/>
    </row>
    <row r="105" spans="1:4" x14ac:dyDescent="0.2">
      <c r="A105" s="4"/>
      <c r="B105"/>
      <c r="C105"/>
      <c r="D105"/>
    </row>
    <row r="106" spans="1:4" x14ac:dyDescent="0.2">
      <c r="A106" s="4"/>
      <c r="B106"/>
      <c r="C106"/>
      <c r="D106"/>
    </row>
    <row r="107" spans="1:4" x14ac:dyDescent="0.2">
      <c r="A107" s="4"/>
      <c r="B107"/>
      <c r="C107"/>
      <c r="D107"/>
    </row>
    <row r="108" spans="1:4" x14ac:dyDescent="0.2">
      <c r="A108" s="4"/>
      <c r="B108"/>
      <c r="C108"/>
      <c r="D108"/>
    </row>
    <row r="109" spans="1:4" x14ac:dyDescent="0.2">
      <c r="A109" s="4"/>
      <c r="B109"/>
      <c r="C109"/>
      <c r="D109"/>
    </row>
    <row r="110" spans="1:4" x14ac:dyDescent="0.2">
      <c r="A110" s="4"/>
      <c r="B110"/>
      <c r="C110"/>
      <c r="D110"/>
    </row>
    <row r="111" spans="1:4" x14ac:dyDescent="0.2">
      <c r="A111" s="4"/>
      <c r="B111"/>
      <c r="C111"/>
      <c r="D111"/>
    </row>
    <row r="112" spans="1:4" x14ac:dyDescent="0.2">
      <c r="A112" s="4"/>
      <c r="B112"/>
      <c r="C112"/>
      <c r="D112"/>
    </row>
    <row r="113" spans="1:4" x14ac:dyDescent="0.2">
      <c r="A113" s="4"/>
      <c r="B113"/>
      <c r="C113"/>
      <c r="D113"/>
    </row>
    <row r="114" spans="1:4" x14ac:dyDescent="0.2">
      <c r="A114" s="4"/>
      <c r="B114"/>
      <c r="C114"/>
      <c r="D114"/>
    </row>
    <row r="115" spans="1:4" x14ac:dyDescent="0.2">
      <c r="A115" s="4"/>
      <c r="B115"/>
      <c r="C115"/>
      <c r="D115"/>
    </row>
    <row r="116" spans="1:4" x14ac:dyDescent="0.2">
      <c r="A116" s="4"/>
      <c r="B116"/>
      <c r="C116"/>
      <c r="D116"/>
    </row>
    <row r="117" spans="1:4" x14ac:dyDescent="0.2">
      <c r="A117" s="4"/>
      <c r="B117"/>
      <c r="C117"/>
      <c r="D117"/>
    </row>
    <row r="118" spans="1:4" x14ac:dyDescent="0.2">
      <c r="A118" s="4"/>
      <c r="B118"/>
      <c r="C118"/>
      <c r="D118"/>
    </row>
    <row r="119" spans="1:4" x14ac:dyDescent="0.2">
      <c r="A119" s="4"/>
      <c r="B119"/>
      <c r="C119"/>
      <c r="D119"/>
    </row>
    <row r="120" spans="1:4" x14ac:dyDescent="0.2">
      <c r="A120" s="4"/>
      <c r="B120"/>
      <c r="C120"/>
      <c r="D120"/>
    </row>
    <row r="121" spans="1:4" x14ac:dyDescent="0.2">
      <c r="A121" s="4"/>
      <c r="B121"/>
      <c r="C121"/>
      <c r="D121"/>
    </row>
    <row r="122" spans="1:4" x14ac:dyDescent="0.2">
      <c r="A122" s="4"/>
      <c r="B122"/>
      <c r="C122"/>
      <c r="D122"/>
    </row>
    <row r="123" spans="1:4" x14ac:dyDescent="0.2">
      <c r="A123" s="4"/>
      <c r="B123"/>
      <c r="C123"/>
      <c r="D123"/>
    </row>
    <row r="124" spans="1:4" x14ac:dyDescent="0.2">
      <c r="A124" s="4"/>
      <c r="B124"/>
      <c r="C124"/>
      <c r="D124"/>
    </row>
    <row r="125" spans="1:4" x14ac:dyDescent="0.2">
      <c r="A125" s="4"/>
      <c r="B125"/>
      <c r="C125"/>
      <c r="D125"/>
    </row>
    <row r="126" spans="1:4" x14ac:dyDescent="0.2">
      <c r="A126" s="4"/>
      <c r="B126"/>
      <c r="C126"/>
      <c r="D126"/>
    </row>
    <row r="127" spans="1:4" x14ac:dyDescent="0.2">
      <c r="A127" s="4"/>
      <c r="B127"/>
      <c r="C127"/>
      <c r="D127"/>
    </row>
    <row r="128" spans="1:4" x14ac:dyDescent="0.2">
      <c r="A128" s="4"/>
      <c r="B128"/>
      <c r="C128"/>
      <c r="D128"/>
    </row>
    <row r="129" spans="1:4" x14ac:dyDescent="0.2">
      <c r="A129" s="4"/>
      <c r="B129"/>
      <c r="C129"/>
      <c r="D129"/>
    </row>
    <row r="130" spans="1:4" x14ac:dyDescent="0.2">
      <c r="A130" s="4"/>
      <c r="B130"/>
      <c r="C130"/>
      <c r="D130"/>
    </row>
    <row r="131" spans="1:4" x14ac:dyDescent="0.2">
      <c r="A131" s="4"/>
      <c r="B131"/>
      <c r="C131"/>
      <c r="D131"/>
    </row>
    <row r="132" spans="1:4" x14ac:dyDescent="0.2">
      <c r="A132" s="4"/>
      <c r="B132"/>
      <c r="C132"/>
      <c r="D132"/>
    </row>
    <row r="133" spans="1:4" x14ac:dyDescent="0.2">
      <c r="A133" s="4"/>
      <c r="B133"/>
      <c r="C133"/>
      <c r="D133"/>
    </row>
    <row r="134" spans="1:4" x14ac:dyDescent="0.2">
      <c r="A134" s="4"/>
      <c r="B134"/>
      <c r="C134"/>
      <c r="D134"/>
    </row>
    <row r="135" spans="1:4" x14ac:dyDescent="0.2">
      <c r="A135" s="4"/>
      <c r="B135"/>
      <c r="C135"/>
      <c r="D135"/>
    </row>
    <row r="136" spans="1:4" x14ac:dyDescent="0.2">
      <c r="A136" s="4"/>
      <c r="B136"/>
      <c r="C136"/>
      <c r="D136"/>
    </row>
    <row r="137" spans="1:4" x14ac:dyDescent="0.2">
      <c r="A137" s="4"/>
      <c r="B137"/>
      <c r="C137"/>
      <c r="D137"/>
    </row>
    <row r="138" spans="1:4" x14ac:dyDescent="0.2">
      <c r="A138" s="4"/>
      <c r="B138"/>
      <c r="C138"/>
      <c r="D138"/>
    </row>
    <row r="139" spans="1:4" x14ac:dyDescent="0.2">
      <c r="A139" s="4"/>
      <c r="B139"/>
      <c r="C139"/>
      <c r="D139"/>
    </row>
    <row r="140" spans="1:4" x14ac:dyDescent="0.2">
      <c r="A140" s="4"/>
      <c r="B140"/>
      <c r="C140"/>
      <c r="D140"/>
    </row>
    <row r="141" spans="1:4" x14ac:dyDescent="0.2">
      <c r="A141" s="4"/>
      <c r="B141"/>
      <c r="C141"/>
      <c r="D141"/>
    </row>
    <row r="142" spans="1:4" x14ac:dyDescent="0.2">
      <c r="A142" s="4"/>
      <c r="B142"/>
      <c r="C142"/>
      <c r="D142"/>
    </row>
    <row r="143" spans="1:4" x14ac:dyDescent="0.2">
      <c r="A143" s="4"/>
      <c r="B143"/>
      <c r="C143"/>
      <c r="D143"/>
    </row>
    <row r="144" spans="1:4" x14ac:dyDescent="0.2">
      <c r="A144" s="4"/>
      <c r="B144"/>
      <c r="C144"/>
      <c r="D144"/>
    </row>
    <row r="145" spans="1:4" x14ac:dyDescent="0.2">
      <c r="A145" s="4"/>
      <c r="B145"/>
      <c r="C145"/>
      <c r="D145"/>
    </row>
    <row r="146" spans="1:4" x14ac:dyDescent="0.2">
      <c r="A146" s="4"/>
      <c r="B146"/>
      <c r="C146"/>
      <c r="D146"/>
    </row>
    <row r="147" spans="1:4" x14ac:dyDescent="0.2">
      <c r="A147" s="4"/>
      <c r="B147"/>
      <c r="C147"/>
      <c r="D147"/>
    </row>
    <row r="148" spans="1:4" x14ac:dyDescent="0.2">
      <c r="A148" s="4"/>
      <c r="B148"/>
      <c r="C148"/>
      <c r="D148"/>
    </row>
    <row r="149" spans="1:4" x14ac:dyDescent="0.2">
      <c r="A149" s="4"/>
      <c r="B149"/>
      <c r="C149"/>
      <c r="D149"/>
    </row>
    <row r="150" spans="1:4" x14ac:dyDescent="0.2">
      <c r="A150" s="4"/>
      <c r="B150"/>
      <c r="C150"/>
      <c r="D150"/>
    </row>
    <row r="151" spans="1:4" x14ac:dyDescent="0.2">
      <c r="A151" s="4"/>
      <c r="B151"/>
      <c r="C151"/>
      <c r="D151"/>
    </row>
    <row r="152" spans="1:4" x14ac:dyDescent="0.2">
      <c r="A152" s="4"/>
      <c r="B152"/>
      <c r="C152"/>
      <c r="D152"/>
    </row>
    <row r="153" spans="1:4" x14ac:dyDescent="0.2">
      <c r="A153" s="4"/>
      <c r="B153"/>
      <c r="C153"/>
      <c r="D153"/>
    </row>
    <row r="154" spans="1:4" x14ac:dyDescent="0.2">
      <c r="A154" s="4"/>
      <c r="B154"/>
      <c r="C154"/>
      <c r="D154"/>
    </row>
    <row r="155" spans="1:4" x14ac:dyDescent="0.2">
      <c r="A155" s="4"/>
      <c r="B155"/>
      <c r="C155"/>
      <c r="D155"/>
    </row>
    <row r="156" spans="1:4" x14ac:dyDescent="0.2">
      <c r="A156" s="4"/>
      <c r="B156"/>
      <c r="C156"/>
      <c r="D156"/>
    </row>
    <row r="157" spans="1:4" x14ac:dyDescent="0.2">
      <c r="A157" s="4"/>
      <c r="B157"/>
      <c r="C157"/>
      <c r="D157"/>
    </row>
    <row r="158" spans="1:4" x14ac:dyDescent="0.2">
      <c r="A158" s="4"/>
      <c r="B158"/>
      <c r="C158"/>
      <c r="D158"/>
    </row>
    <row r="159" spans="1:4" x14ac:dyDescent="0.2">
      <c r="A159" s="4"/>
      <c r="B159"/>
      <c r="C159"/>
      <c r="D159"/>
    </row>
    <row r="160" spans="1:4" x14ac:dyDescent="0.2">
      <c r="A160" s="4"/>
      <c r="B160"/>
      <c r="C160"/>
      <c r="D160"/>
    </row>
    <row r="161" spans="1:4" x14ac:dyDescent="0.2">
      <c r="A161" s="4"/>
      <c r="B161"/>
      <c r="C161"/>
      <c r="D161"/>
    </row>
    <row r="162" spans="1:4" x14ac:dyDescent="0.2">
      <c r="A162" s="4"/>
      <c r="B162"/>
      <c r="C162"/>
      <c r="D162"/>
    </row>
    <row r="163" spans="1:4" x14ac:dyDescent="0.2">
      <c r="A163" s="4"/>
      <c r="B163"/>
      <c r="C163"/>
      <c r="D163"/>
    </row>
    <row r="164" spans="1:4" x14ac:dyDescent="0.2">
      <c r="A164" s="4"/>
      <c r="B164"/>
      <c r="C164"/>
      <c r="D164"/>
    </row>
    <row r="165" spans="1:4" x14ac:dyDescent="0.2">
      <c r="A165" s="4"/>
      <c r="B165"/>
      <c r="C165"/>
      <c r="D165"/>
    </row>
    <row r="166" spans="1:4" x14ac:dyDescent="0.2">
      <c r="A166" s="4"/>
      <c r="B166"/>
      <c r="C166"/>
      <c r="D166"/>
    </row>
    <row r="167" spans="1:4" x14ac:dyDescent="0.2">
      <c r="A167" s="4"/>
      <c r="B167"/>
      <c r="C167"/>
      <c r="D167"/>
    </row>
    <row r="168" spans="1:4" x14ac:dyDescent="0.2">
      <c r="A168" s="4"/>
      <c r="B168"/>
      <c r="C168"/>
      <c r="D168"/>
    </row>
    <row r="169" spans="1:4" x14ac:dyDescent="0.2">
      <c r="A169" s="4"/>
      <c r="B169"/>
      <c r="C169"/>
      <c r="D169"/>
    </row>
    <row r="170" spans="1:4" x14ac:dyDescent="0.2">
      <c r="A170" s="4"/>
      <c r="B170"/>
      <c r="C170"/>
      <c r="D170"/>
    </row>
    <row r="171" spans="1:4" x14ac:dyDescent="0.2">
      <c r="A171" s="4"/>
      <c r="B171"/>
      <c r="C171"/>
      <c r="D171"/>
    </row>
    <row r="172" spans="1:4" x14ac:dyDescent="0.2">
      <c r="A172" s="4"/>
      <c r="B172"/>
      <c r="C172"/>
      <c r="D172"/>
    </row>
    <row r="173" spans="1:4" x14ac:dyDescent="0.2">
      <c r="A173" s="4"/>
      <c r="B173"/>
      <c r="C173"/>
      <c r="D173"/>
    </row>
    <row r="174" spans="1:4" x14ac:dyDescent="0.2">
      <c r="A174" s="4"/>
      <c r="B174"/>
      <c r="C174"/>
      <c r="D174"/>
    </row>
    <row r="175" spans="1:4" x14ac:dyDescent="0.2">
      <c r="A175" s="4"/>
      <c r="B175"/>
      <c r="C175"/>
      <c r="D175"/>
    </row>
    <row r="176" spans="1:4" x14ac:dyDescent="0.2">
      <c r="A176" s="4"/>
      <c r="B176"/>
      <c r="C176"/>
      <c r="D176"/>
    </row>
    <row r="177" spans="1:4" x14ac:dyDescent="0.2">
      <c r="A177" s="4"/>
      <c r="B177"/>
      <c r="C177"/>
      <c r="D177"/>
    </row>
    <row r="178" spans="1:4" x14ac:dyDescent="0.2">
      <c r="A178" s="4"/>
      <c r="B178"/>
      <c r="C178"/>
      <c r="D178"/>
    </row>
    <row r="179" spans="1:4" x14ac:dyDescent="0.2">
      <c r="A179" s="4"/>
      <c r="B179"/>
      <c r="C179"/>
      <c r="D179"/>
    </row>
    <row r="180" spans="1:4" x14ac:dyDescent="0.2">
      <c r="A180" s="4"/>
      <c r="B180"/>
      <c r="C180"/>
      <c r="D180"/>
    </row>
    <row r="181" spans="1:4" x14ac:dyDescent="0.2">
      <c r="A181" s="4"/>
      <c r="B181"/>
      <c r="C181"/>
      <c r="D181"/>
    </row>
    <row r="182" spans="1:4" x14ac:dyDescent="0.2">
      <c r="A182" s="4"/>
      <c r="B182"/>
      <c r="C182"/>
      <c r="D182"/>
    </row>
    <row r="183" spans="1:4" x14ac:dyDescent="0.2">
      <c r="A183" s="4"/>
      <c r="B183"/>
      <c r="C183"/>
      <c r="D183"/>
    </row>
    <row r="184" spans="1:4" x14ac:dyDescent="0.2">
      <c r="A184" s="4"/>
      <c r="B184"/>
      <c r="C184"/>
      <c r="D184"/>
    </row>
    <row r="185" spans="1:4" x14ac:dyDescent="0.2">
      <c r="A185" s="4"/>
      <c r="B185"/>
      <c r="C185"/>
      <c r="D185"/>
    </row>
    <row r="186" spans="1:4" x14ac:dyDescent="0.2">
      <c r="A186" s="4"/>
      <c r="B186"/>
      <c r="C186"/>
      <c r="D186"/>
    </row>
    <row r="187" spans="1:4" x14ac:dyDescent="0.2">
      <c r="A187" s="4"/>
      <c r="B187"/>
      <c r="C187"/>
      <c r="D187"/>
    </row>
    <row r="188" spans="1:4" x14ac:dyDescent="0.2">
      <c r="A188" s="4"/>
      <c r="B188"/>
      <c r="C188"/>
      <c r="D188"/>
    </row>
    <row r="189" spans="1:4" x14ac:dyDescent="0.2">
      <c r="A189" s="4"/>
      <c r="B189"/>
      <c r="C189"/>
      <c r="D189"/>
    </row>
    <row r="190" spans="1:4" x14ac:dyDescent="0.2">
      <c r="A190" s="4"/>
      <c r="B190"/>
      <c r="C190"/>
      <c r="D190"/>
    </row>
    <row r="191" spans="1:4" x14ac:dyDescent="0.2">
      <c r="A191" s="4"/>
      <c r="B191"/>
      <c r="C191"/>
      <c r="D191"/>
    </row>
    <row r="192" spans="1:4" x14ac:dyDescent="0.2">
      <c r="A192" s="4"/>
      <c r="B192"/>
      <c r="C192"/>
      <c r="D192"/>
    </row>
    <row r="193" spans="1:4" x14ac:dyDescent="0.2">
      <c r="A193" s="4"/>
      <c r="B193"/>
      <c r="C193"/>
      <c r="D193"/>
    </row>
    <row r="194" spans="1:4" x14ac:dyDescent="0.2">
      <c r="A194" s="4"/>
      <c r="B194"/>
      <c r="C194"/>
      <c r="D194"/>
    </row>
    <row r="195" spans="1:4" x14ac:dyDescent="0.2">
      <c r="A195" s="4"/>
      <c r="B195"/>
      <c r="C195"/>
      <c r="D195"/>
    </row>
    <row r="196" spans="1:4" x14ac:dyDescent="0.2">
      <c r="A196" s="4"/>
      <c r="B196"/>
      <c r="C196"/>
      <c r="D196"/>
    </row>
    <row r="197" spans="1:4" x14ac:dyDescent="0.2">
      <c r="A197" s="4"/>
      <c r="B197"/>
      <c r="C197"/>
      <c r="D197"/>
    </row>
    <row r="198" spans="1:4" x14ac:dyDescent="0.2">
      <c r="A198" s="4"/>
      <c r="B198"/>
      <c r="C198"/>
      <c r="D198"/>
    </row>
    <row r="199" spans="1:4" x14ac:dyDescent="0.2">
      <c r="A199" s="4"/>
      <c r="B199"/>
      <c r="C199"/>
      <c r="D199"/>
    </row>
    <row r="200" spans="1:4" x14ac:dyDescent="0.2">
      <c r="A200" s="4"/>
      <c r="B200"/>
      <c r="C200"/>
      <c r="D200"/>
    </row>
    <row r="201" spans="1:4" x14ac:dyDescent="0.2">
      <c r="A201" s="4"/>
      <c r="B201"/>
      <c r="C201"/>
      <c r="D201"/>
    </row>
    <row r="202" spans="1:4" x14ac:dyDescent="0.2">
      <c r="A202" s="4"/>
      <c r="B202"/>
      <c r="C202"/>
      <c r="D202"/>
    </row>
    <row r="203" spans="1:4" x14ac:dyDescent="0.2">
      <c r="A203" s="4"/>
      <c r="B203"/>
      <c r="C203"/>
      <c r="D203"/>
    </row>
    <row r="204" spans="1:4" x14ac:dyDescent="0.2">
      <c r="A204" s="4"/>
      <c r="B204"/>
      <c r="C204"/>
      <c r="D204"/>
    </row>
    <row r="205" spans="1:4" x14ac:dyDescent="0.2">
      <c r="A205" s="4"/>
      <c r="B205"/>
      <c r="C205"/>
      <c r="D205"/>
    </row>
    <row r="206" spans="1:4" x14ac:dyDescent="0.2">
      <c r="A206" s="4"/>
      <c r="B206"/>
      <c r="C206"/>
      <c r="D206"/>
    </row>
    <row r="207" spans="1:4" x14ac:dyDescent="0.2">
      <c r="A207" s="4"/>
      <c r="B207"/>
      <c r="C207"/>
      <c r="D207"/>
    </row>
    <row r="208" spans="1:4" x14ac:dyDescent="0.2">
      <c r="A208" s="4"/>
      <c r="B208"/>
      <c r="C208"/>
      <c r="D208"/>
    </row>
    <row r="209" spans="1:4" x14ac:dyDescent="0.2">
      <c r="A209" s="4"/>
      <c r="B209"/>
      <c r="C209"/>
      <c r="D209"/>
    </row>
    <row r="210" spans="1:4" x14ac:dyDescent="0.2">
      <c r="A210" s="4"/>
      <c r="B210"/>
      <c r="C210"/>
      <c r="D210"/>
    </row>
    <row r="211" spans="1:4" x14ac:dyDescent="0.2">
      <c r="A211" s="4"/>
      <c r="B211"/>
      <c r="C211"/>
      <c r="D211"/>
    </row>
    <row r="212" spans="1:4" x14ac:dyDescent="0.2">
      <c r="A212" s="4"/>
      <c r="B212"/>
      <c r="C212"/>
      <c r="D212"/>
    </row>
    <row r="213" spans="1:4" x14ac:dyDescent="0.2">
      <c r="A213" s="4"/>
      <c r="B213"/>
      <c r="C213"/>
      <c r="D213"/>
    </row>
    <row r="214" spans="1:4" x14ac:dyDescent="0.2">
      <c r="A214" s="4"/>
      <c r="B214"/>
      <c r="C214"/>
      <c r="D214"/>
    </row>
    <row r="215" spans="1:4" x14ac:dyDescent="0.2">
      <c r="A215" s="4"/>
      <c r="B215"/>
      <c r="C215"/>
      <c r="D215"/>
    </row>
    <row r="216" spans="1:4" x14ac:dyDescent="0.2">
      <c r="A216" s="4"/>
      <c r="B216"/>
      <c r="C216"/>
      <c r="D216"/>
    </row>
    <row r="217" spans="1:4" x14ac:dyDescent="0.2">
      <c r="A217" s="4"/>
      <c r="B217"/>
      <c r="C217"/>
      <c r="D217"/>
    </row>
    <row r="218" spans="1:4" x14ac:dyDescent="0.2">
      <c r="A218" s="4"/>
      <c r="B218"/>
      <c r="C218"/>
      <c r="D218"/>
    </row>
    <row r="219" spans="1:4" x14ac:dyDescent="0.2">
      <c r="A219" s="4"/>
      <c r="B219"/>
      <c r="C219"/>
      <c r="D219"/>
    </row>
    <row r="220" spans="1:4" x14ac:dyDescent="0.2">
      <c r="A220" s="4"/>
      <c r="B220"/>
      <c r="C220"/>
      <c r="D220"/>
    </row>
    <row r="221" spans="1:4" x14ac:dyDescent="0.2">
      <c r="A221" s="4"/>
      <c r="B221"/>
      <c r="C221"/>
      <c r="D221"/>
    </row>
    <row r="222" spans="1:4" x14ac:dyDescent="0.2">
      <c r="A222" s="4"/>
      <c r="B222"/>
      <c r="C222"/>
      <c r="D222"/>
    </row>
    <row r="223" spans="1:4" x14ac:dyDescent="0.2">
      <c r="A223" s="4"/>
      <c r="B223"/>
      <c r="C223"/>
      <c r="D223"/>
    </row>
    <row r="224" spans="1:4" x14ac:dyDescent="0.2">
      <c r="A224" s="4"/>
      <c r="B224"/>
      <c r="C224"/>
      <c r="D224"/>
    </row>
    <row r="225" spans="1:4" x14ac:dyDescent="0.2">
      <c r="A225" s="4"/>
      <c r="B225"/>
      <c r="C225"/>
      <c r="D225"/>
    </row>
    <row r="226" spans="1:4" x14ac:dyDescent="0.2">
      <c r="A226" s="4"/>
      <c r="B226"/>
      <c r="C226"/>
      <c r="D226"/>
    </row>
    <row r="227" spans="1:4" x14ac:dyDescent="0.2">
      <c r="A227" s="4"/>
      <c r="B227"/>
      <c r="C227"/>
      <c r="D227"/>
    </row>
    <row r="228" spans="1:4" x14ac:dyDescent="0.2">
      <c r="A228" s="4"/>
      <c r="B228"/>
      <c r="C228"/>
      <c r="D228"/>
    </row>
    <row r="229" spans="1:4" x14ac:dyDescent="0.2">
      <c r="A229" s="4"/>
      <c r="B229"/>
      <c r="C229"/>
      <c r="D229"/>
    </row>
    <row r="230" spans="1:4" x14ac:dyDescent="0.2">
      <c r="A230" s="4"/>
      <c r="B230"/>
      <c r="C230"/>
      <c r="D230"/>
    </row>
    <row r="231" spans="1:4" x14ac:dyDescent="0.2">
      <c r="A231" s="4"/>
      <c r="B231"/>
      <c r="C231"/>
      <c r="D231"/>
    </row>
    <row r="232" spans="1:4" x14ac:dyDescent="0.2">
      <c r="A232" s="4"/>
      <c r="B232"/>
      <c r="C232"/>
      <c r="D232"/>
    </row>
    <row r="233" spans="1:4" x14ac:dyDescent="0.2">
      <c r="A233" s="4"/>
      <c r="B233"/>
      <c r="C233"/>
      <c r="D233"/>
    </row>
    <row r="234" spans="1:4" x14ac:dyDescent="0.2">
      <c r="A234" s="4"/>
      <c r="B234"/>
      <c r="C234"/>
      <c r="D234"/>
    </row>
    <row r="235" spans="1:4" x14ac:dyDescent="0.2">
      <c r="A235" s="4"/>
      <c r="B235"/>
      <c r="C235"/>
      <c r="D235"/>
    </row>
    <row r="236" spans="1:4" x14ac:dyDescent="0.2">
      <c r="A236" s="4"/>
      <c r="B236"/>
      <c r="C236"/>
      <c r="D236"/>
    </row>
    <row r="237" spans="1:4" x14ac:dyDescent="0.2">
      <c r="A237" s="4"/>
      <c r="B237"/>
      <c r="C237"/>
      <c r="D237"/>
    </row>
    <row r="238" spans="1:4" x14ac:dyDescent="0.2">
      <c r="A238" s="4"/>
      <c r="B238"/>
      <c r="C238"/>
      <c r="D238"/>
    </row>
    <row r="239" spans="1:4" x14ac:dyDescent="0.2">
      <c r="A239" s="4"/>
      <c r="B239"/>
      <c r="C239"/>
      <c r="D239"/>
    </row>
    <row r="240" spans="1:4" x14ac:dyDescent="0.2">
      <c r="A240" s="4"/>
      <c r="B240"/>
      <c r="C240"/>
      <c r="D240"/>
    </row>
    <row r="241" spans="1:4" x14ac:dyDescent="0.2">
      <c r="A241" s="4"/>
      <c r="B241"/>
      <c r="C241"/>
      <c r="D241"/>
    </row>
    <row r="242" spans="1:4" x14ac:dyDescent="0.2">
      <c r="A242" s="4"/>
      <c r="B242"/>
      <c r="C242"/>
      <c r="D242"/>
    </row>
    <row r="243" spans="1:4" x14ac:dyDescent="0.2">
      <c r="A243" s="4"/>
      <c r="B243"/>
      <c r="C243"/>
      <c r="D243"/>
    </row>
    <row r="244" spans="1:4" x14ac:dyDescent="0.2">
      <c r="A244" s="4"/>
      <c r="B244"/>
      <c r="C244"/>
      <c r="D244"/>
    </row>
    <row r="245" spans="1:4" x14ac:dyDescent="0.2">
      <c r="A245" s="4"/>
      <c r="B245"/>
      <c r="C245"/>
      <c r="D245"/>
    </row>
    <row r="246" spans="1:4" x14ac:dyDescent="0.2">
      <c r="A246" s="4"/>
      <c r="B246"/>
      <c r="C246"/>
      <c r="D246"/>
    </row>
    <row r="247" spans="1:4" x14ac:dyDescent="0.2">
      <c r="A247" s="4"/>
      <c r="B247"/>
      <c r="C247"/>
      <c r="D247"/>
    </row>
    <row r="248" spans="1:4" x14ac:dyDescent="0.2">
      <c r="A248" s="4"/>
      <c r="B248"/>
      <c r="C248"/>
      <c r="D248"/>
    </row>
    <row r="249" spans="1:4" x14ac:dyDescent="0.2">
      <c r="A249" s="4"/>
      <c r="B249"/>
      <c r="C249"/>
      <c r="D249"/>
    </row>
    <row r="250" spans="1:4" x14ac:dyDescent="0.2">
      <c r="A250" s="4"/>
      <c r="B250"/>
      <c r="C250"/>
      <c r="D250"/>
    </row>
    <row r="251" spans="1:4" x14ac:dyDescent="0.2">
      <c r="A251" s="4"/>
      <c r="B251"/>
      <c r="C251"/>
      <c r="D251"/>
    </row>
    <row r="252" spans="1:4" x14ac:dyDescent="0.2">
      <c r="A252" s="4"/>
      <c r="B252"/>
      <c r="C252"/>
      <c r="D252"/>
    </row>
    <row r="253" spans="1:4" x14ac:dyDescent="0.2">
      <c r="A253" s="4"/>
      <c r="B253"/>
      <c r="C253"/>
      <c r="D253"/>
    </row>
    <row r="254" spans="1:4" x14ac:dyDescent="0.2">
      <c r="A254" s="4"/>
      <c r="B254"/>
      <c r="C254"/>
      <c r="D254"/>
    </row>
    <row r="255" spans="1:4" x14ac:dyDescent="0.2">
      <c r="A255" s="4"/>
      <c r="B255"/>
      <c r="C255"/>
      <c r="D255"/>
    </row>
    <row r="256" spans="1:4" x14ac:dyDescent="0.2">
      <c r="A256" s="4"/>
      <c r="B256"/>
      <c r="C256"/>
      <c r="D256"/>
    </row>
    <row r="257" spans="1:4" x14ac:dyDescent="0.2">
      <c r="A257" s="4"/>
      <c r="B257"/>
      <c r="C257"/>
      <c r="D257"/>
    </row>
    <row r="258" spans="1:4" x14ac:dyDescent="0.2">
      <c r="A258" s="4"/>
      <c r="B258"/>
      <c r="C258"/>
      <c r="D258"/>
    </row>
    <row r="259" spans="1:4" x14ac:dyDescent="0.2">
      <c r="A259" s="4"/>
      <c r="B259"/>
      <c r="C259"/>
      <c r="D259"/>
    </row>
    <row r="260" spans="1:4" x14ac:dyDescent="0.2">
      <c r="A260" s="4"/>
      <c r="B260"/>
      <c r="C260"/>
      <c r="D260"/>
    </row>
    <row r="261" spans="1:4" x14ac:dyDescent="0.2">
      <c r="A261" s="4"/>
      <c r="B261"/>
      <c r="C261"/>
      <c r="D261"/>
    </row>
    <row r="262" spans="1:4" x14ac:dyDescent="0.2">
      <c r="A262" s="4"/>
      <c r="B262"/>
      <c r="C262"/>
      <c r="D262"/>
    </row>
    <row r="263" spans="1:4" x14ac:dyDescent="0.2">
      <c r="A263" s="4"/>
      <c r="B263"/>
      <c r="C263"/>
      <c r="D263"/>
    </row>
    <row r="264" spans="1:4" x14ac:dyDescent="0.2">
      <c r="A264" s="4"/>
      <c r="B264"/>
      <c r="C264"/>
      <c r="D264"/>
    </row>
    <row r="265" spans="1:4" x14ac:dyDescent="0.2">
      <c r="A265" s="4"/>
      <c r="B265"/>
      <c r="C265"/>
      <c r="D265"/>
    </row>
    <row r="266" spans="1:4" x14ac:dyDescent="0.2">
      <c r="A266" s="4"/>
      <c r="B266"/>
      <c r="C266"/>
      <c r="D266"/>
    </row>
    <row r="267" spans="1:4" x14ac:dyDescent="0.2">
      <c r="A267" s="4"/>
      <c r="B267"/>
      <c r="C267"/>
      <c r="D267"/>
    </row>
    <row r="268" spans="1:4" x14ac:dyDescent="0.2">
      <c r="A268" s="4"/>
      <c r="B268"/>
      <c r="C268"/>
      <c r="D268"/>
    </row>
    <row r="269" spans="1:4" x14ac:dyDescent="0.2">
      <c r="A269" s="4"/>
      <c r="B269"/>
      <c r="C269"/>
      <c r="D269"/>
    </row>
    <row r="270" spans="1:4" x14ac:dyDescent="0.2">
      <c r="A270" s="4"/>
      <c r="B270"/>
      <c r="C270"/>
      <c r="D270"/>
    </row>
    <row r="271" spans="1:4" x14ac:dyDescent="0.2">
      <c r="A271" s="4"/>
      <c r="B271"/>
      <c r="C271"/>
      <c r="D271"/>
    </row>
    <row r="272" spans="1:4" x14ac:dyDescent="0.2">
      <c r="A272" s="4"/>
      <c r="B272"/>
      <c r="C272"/>
      <c r="D272"/>
    </row>
    <row r="273" spans="1:4" x14ac:dyDescent="0.2">
      <c r="A273" s="4"/>
      <c r="B273"/>
      <c r="C273"/>
      <c r="D273"/>
    </row>
    <row r="274" spans="1:4" x14ac:dyDescent="0.2">
      <c r="A274" s="4"/>
      <c r="B274"/>
      <c r="C274"/>
      <c r="D274"/>
    </row>
    <row r="275" spans="1:4" x14ac:dyDescent="0.2">
      <c r="A275" s="4"/>
      <c r="B275"/>
      <c r="C275"/>
      <c r="D275"/>
    </row>
    <row r="276" spans="1:4" x14ac:dyDescent="0.2">
      <c r="A276" s="4"/>
      <c r="B276"/>
      <c r="C276"/>
      <c r="D276"/>
    </row>
    <row r="277" spans="1:4" x14ac:dyDescent="0.2">
      <c r="A277" s="4"/>
      <c r="B277"/>
      <c r="C277"/>
      <c r="D277"/>
    </row>
    <row r="278" spans="1:4" x14ac:dyDescent="0.2">
      <c r="A278" s="4"/>
      <c r="B278"/>
      <c r="C278"/>
      <c r="D278"/>
    </row>
    <row r="279" spans="1:4" x14ac:dyDescent="0.2">
      <c r="A279" s="4"/>
      <c r="B279"/>
      <c r="C279"/>
      <c r="D279"/>
    </row>
    <row r="280" spans="1:4" x14ac:dyDescent="0.2">
      <c r="A280" s="4"/>
      <c r="B280"/>
      <c r="C280"/>
      <c r="D280"/>
    </row>
    <row r="281" spans="1:4" x14ac:dyDescent="0.2">
      <c r="A281" s="4"/>
      <c r="B281"/>
      <c r="C281"/>
      <c r="D281"/>
    </row>
    <row r="282" spans="1:4" x14ac:dyDescent="0.2">
      <c r="A282" s="4"/>
      <c r="B282"/>
      <c r="C282"/>
      <c r="D282"/>
    </row>
    <row r="283" spans="1:4" x14ac:dyDescent="0.2">
      <c r="A283" s="4"/>
      <c r="B283"/>
      <c r="C283"/>
      <c r="D283"/>
    </row>
    <row r="284" spans="1:4" x14ac:dyDescent="0.2">
      <c r="A284" s="4"/>
      <c r="B284"/>
      <c r="C284"/>
      <c r="D284"/>
    </row>
    <row r="285" spans="1:4" x14ac:dyDescent="0.2">
      <c r="A285" s="4"/>
      <c r="B285"/>
      <c r="C285"/>
      <c r="D285"/>
    </row>
    <row r="286" spans="1:4" x14ac:dyDescent="0.2">
      <c r="A286" s="4"/>
      <c r="B286"/>
      <c r="C286"/>
      <c r="D286"/>
    </row>
    <row r="287" spans="1:4" x14ac:dyDescent="0.2">
      <c r="A287" s="4"/>
      <c r="B287"/>
      <c r="C287"/>
      <c r="D287"/>
    </row>
    <row r="288" spans="1:4" x14ac:dyDescent="0.2">
      <c r="A288" s="4"/>
      <c r="B288"/>
      <c r="C288"/>
      <c r="D288"/>
    </row>
    <row r="289" spans="1:4" x14ac:dyDescent="0.2">
      <c r="A289" s="4"/>
      <c r="B289"/>
      <c r="C289"/>
      <c r="D289"/>
    </row>
    <row r="290" spans="1:4" x14ac:dyDescent="0.2">
      <c r="A290" s="4"/>
      <c r="B290"/>
      <c r="C290"/>
      <c r="D290"/>
    </row>
    <row r="291" spans="1:4" x14ac:dyDescent="0.2">
      <c r="A291" s="4"/>
      <c r="B291"/>
      <c r="C291"/>
      <c r="D291"/>
    </row>
    <row r="292" spans="1:4" x14ac:dyDescent="0.2">
      <c r="A292" s="4"/>
      <c r="B292"/>
      <c r="C292"/>
      <c r="D292"/>
    </row>
    <row r="293" spans="1:4" x14ac:dyDescent="0.2">
      <c r="A293" s="4"/>
      <c r="B293"/>
      <c r="C293"/>
      <c r="D293"/>
    </row>
    <row r="294" spans="1:4" x14ac:dyDescent="0.2">
      <c r="A294" s="4"/>
      <c r="B294"/>
      <c r="C294"/>
      <c r="D294"/>
    </row>
    <row r="295" spans="1:4" x14ac:dyDescent="0.2">
      <c r="A295" s="4"/>
      <c r="B295"/>
      <c r="C295"/>
      <c r="D295"/>
    </row>
    <row r="296" spans="1:4" x14ac:dyDescent="0.2">
      <c r="A296" s="4"/>
      <c r="B296"/>
      <c r="C296"/>
      <c r="D296"/>
    </row>
    <row r="297" spans="1:4" x14ac:dyDescent="0.2">
      <c r="A297" s="4"/>
      <c r="B297"/>
      <c r="C297"/>
      <c r="D297"/>
    </row>
    <row r="298" spans="1:4" x14ac:dyDescent="0.2">
      <c r="A298" s="4"/>
      <c r="B298"/>
      <c r="C298"/>
      <c r="D298"/>
    </row>
    <row r="299" spans="1:4" x14ac:dyDescent="0.2">
      <c r="A299" s="4"/>
      <c r="B299"/>
      <c r="C299"/>
      <c r="D299"/>
    </row>
    <row r="300" spans="1:4" x14ac:dyDescent="0.2">
      <c r="A300" s="4"/>
      <c r="B300"/>
      <c r="C300"/>
      <c r="D300"/>
    </row>
    <row r="301" spans="1:4" x14ac:dyDescent="0.2">
      <c r="A301" s="4"/>
      <c r="B301"/>
      <c r="C301"/>
      <c r="D301"/>
    </row>
    <row r="302" spans="1:4" x14ac:dyDescent="0.2">
      <c r="A302" s="4"/>
      <c r="B302"/>
      <c r="C302"/>
      <c r="D302"/>
    </row>
    <row r="303" spans="1:4" x14ac:dyDescent="0.2">
      <c r="A303" s="4"/>
      <c r="B303"/>
      <c r="C303"/>
      <c r="D303"/>
    </row>
    <row r="304" spans="1:4" x14ac:dyDescent="0.2">
      <c r="A304" s="4"/>
      <c r="B304"/>
      <c r="C304"/>
      <c r="D304"/>
    </row>
    <row r="305" spans="1:4" x14ac:dyDescent="0.2">
      <c r="A305" s="4"/>
      <c r="B305"/>
      <c r="C305"/>
      <c r="D305"/>
    </row>
    <row r="306" spans="1:4" x14ac:dyDescent="0.2">
      <c r="A306" s="4"/>
      <c r="B306"/>
      <c r="C306"/>
      <c r="D306"/>
    </row>
    <row r="307" spans="1:4" x14ac:dyDescent="0.2">
      <c r="A307" s="4"/>
      <c r="B307"/>
      <c r="C307"/>
      <c r="D307"/>
    </row>
    <row r="308" spans="1:4" x14ac:dyDescent="0.2">
      <c r="A308" s="4"/>
      <c r="B308"/>
      <c r="C308"/>
      <c r="D308"/>
    </row>
    <row r="309" spans="1:4" x14ac:dyDescent="0.2">
      <c r="A309" s="4"/>
      <c r="B309"/>
      <c r="C309"/>
      <c r="D309"/>
    </row>
    <row r="310" spans="1:4" x14ac:dyDescent="0.2">
      <c r="A310" s="4"/>
      <c r="B310"/>
      <c r="C310"/>
      <c r="D310"/>
    </row>
    <row r="311" spans="1:4" x14ac:dyDescent="0.2">
      <c r="A311" s="4"/>
      <c r="B311"/>
      <c r="C311"/>
      <c r="D311"/>
    </row>
    <row r="312" spans="1:4" x14ac:dyDescent="0.2">
      <c r="A312" s="4"/>
      <c r="B312"/>
      <c r="C312"/>
      <c r="D312"/>
    </row>
    <row r="313" spans="1:4" x14ac:dyDescent="0.2">
      <c r="A313" s="4"/>
      <c r="B313"/>
      <c r="C313"/>
      <c r="D313"/>
    </row>
    <row r="314" spans="1:4" x14ac:dyDescent="0.2">
      <c r="A314" s="4"/>
      <c r="B314"/>
      <c r="C314"/>
      <c r="D314"/>
    </row>
    <row r="315" spans="1:4" x14ac:dyDescent="0.2">
      <c r="A315" s="4"/>
      <c r="B315"/>
      <c r="C315"/>
      <c r="D315"/>
    </row>
    <row r="316" spans="1:4" x14ac:dyDescent="0.2">
      <c r="A316" s="4"/>
      <c r="B316"/>
      <c r="C316"/>
      <c r="D316"/>
    </row>
    <row r="317" spans="1:4" x14ac:dyDescent="0.2">
      <c r="A317" s="4"/>
      <c r="B317"/>
      <c r="C317"/>
      <c r="D317"/>
    </row>
    <row r="318" spans="1:4" x14ac:dyDescent="0.2">
      <c r="A318" s="4"/>
      <c r="B318"/>
      <c r="C318"/>
      <c r="D318"/>
    </row>
    <row r="319" spans="1:4" x14ac:dyDescent="0.2">
      <c r="A319" s="4"/>
      <c r="B319"/>
      <c r="C319"/>
      <c r="D319"/>
    </row>
    <row r="320" spans="1:4" x14ac:dyDescent="0.2">
      <c r="A320" s="4"/>
      <c r="B320"/>
      <c r="C320"/>
      <c r="D320"/>
    </row>
    <row r="321" spans="1:4" x14ac:dyDescent="0.2">
      <c r="A321" s="4"/>
      <c r="B321"/>
      <c r="C321"/>
      <c r="D321"/>
    </row>
    <row r="322" spans="1:4" x14ac:dyDescent="0.2">
      <c r="A322" s="4"/>
      <c r="B322"/>
      <c r="C322"/>
      <c r="D322"/>
    </row>
    <row r="323" spans="1:4" x14ac:dyDescent="0.2">
      <c r="A323" s="4"/>
      <c r="B323"/>
      <c r="C323"/>
      <c r="D323"/>
    </row>
    <row r="324" spans="1:4" x14ac:dyDescent="0.2">
      <c r="A324" s="4"/>
      <c r="B324"/>
      <c r="C324"/>
      <c r="D324"/>
    </row>
    <row r="325" spans="1:4" x14ac:dyDescent="0.2">
      <c r="A325" s="4"/>
      <c r="B325"/>
      <c r="C325"/>
      <c r="D325"/>
    </row>
    <row r="326" spans="1:4" x14ac:dyDescent="0.2">
      <c r="A326" s="4"/>
      <c r="B326"/>
      <c r="C326"/>
      <c r="D326"/>
    </row>
    <row r="327" spans="1:4" x14ac:dyDescent="0.2">
      <c r="A327" s="4"/>
      <c r="B327"/>
      <c r="C327"/>
      <c r="D327"/>
    </row>
    <row r="328" spans="1:4" x14ac:dyDescent="0.2">
      <c r="A328" s="4"/>
      <c r="B328"/>
      <c r="C328"/>
      <c r="D328"/>
    </row>
    <row r="329" spans="1:4" x14ac:dyDescent="0.2">
      <c r="A329" s="4"/>
      <c r="B329"/>
      <c r="C329"/>
      <c r="D329"/>
    </row>
    <row r="330" spans="1:4" x14ac:dyDescent="0.2">
      <c r="A330" s="4"/>
      <c r="B330"/>
      <c r="C330"/>
      <c r="D330"/>
    </row>
    <row r="331" spans="1:4" x14ac:dyDescent="0.2">
      <c r="A331" s="4"/>
      <c r="B331"/>
      <c r="C331"/>
      <c r="D331"/>
    </row>
    <row r="332" spans="1:4" x14ac:dyDescent="0.2">
      <c r="A332" s="4"/>
      <c r="B332"/>
      <c r="C332"/>
      <c r="D332"/>
    </row>
    <row r="333" spans="1:4" x14ac:dyDescent="0.2">
      <c r="A333" s="4"/>
      <c r="B333"/>
      <c r="C333"/>
      <c r="D333"/>
    </row>
    <row r="334" spans="1:4" x14ac:dyDescent="0.2">
      <c r="A334" s="4"/>
      <c r="B334"/>
      <c r="C334"/>
      <c r="D334"/>
    </row>
    <row r="335" spans="1:4" x14ac:dyDescent="0.2">
      <c r="A335" s="4"/>
      <c r="B335"/>
      <c r="C335"/>
      <c r="D335"/>
    </row>
    <row r="336" spans="1:4" x14ac:dyDescent="0.2">
      <c r="A336" s="4"/>
      <c r="B336"/>
      <c r="C336"/>
      <c r="D336"/>
    </row>
    <row r="337" spans="1:4" x14ac:dyDescent="0.2">
      <c r="A337" s="4"/>
      <c r="B337"/>
      <c r="C337"/>
      <c r="D337"/>
    </row>
    <row r="338" spans="1:4" x14ac:dyDescent="0.2">
      <c r="A338" s="4"/>
      <c r="B338"/>
      <c r="C338"/>
      <c r="D338"/>
    </row>
    <row r="339" spans="1:4" x14ac:dyDescent="0.2">
      <c r="A339" s="4"/>
      <c r="B339"/>
      <c r="C339"/>
      <c r="D339"/>
    </row>
    <row r="340" spans="1:4" x14ac:dyDescent="0.2">
      <c r="A340" s="4"/>
      <c r="B340"/>
      <c r="C340"/>
      <c r="D340"/>
    </row>
    <row r="341" spans="1:4" x14ac:dyDescent="0.2">
      <c r="A341" s="4"/>
      <c r="B341"/>
      <c r="C341"/>
      <c r="D341"/>
    </row>
    <row r="342" spans="1:4" x14ac:dyDescent="0.2">
      <c r="A342" s="4"/>
      <c r="B342"/>
      <c r="C342"/>
      <c r="D342"/>
    </row>
    <row r="343" spans="1:4" x14ac:dyDescent="0.2">
      <c r="A343" s="4"/>
      <c r="B343"/>
      <c r="C343"/>
      <c r="D343"/>
    </row>
    <row r="344" spans="1:4" x14ac:dyDescent="0.2">
      <c r="A344" s="4"/>
      <c r="B344"/>
      <c r="C344"/>
      <c r="D344"/>
    </row>
    <row r="345" spans="1:4" x14ac:dyDescent="0.2">
      <c r="A345" s="4"/>
      <c r="B345"/>
      <c r="C345"/>
      <c r="D345"/>
    </row>
    <row r="346" spans="1:4" x14ac:dyDescent="0.2">
      <c r="A346" s="4"/>
      <c r="B346"/>
      <c r="C346"/>
      <c r="D346"/>
    </row>
    <row r="347" spans="1:4" x14ac:dyDescent="0.2">
      <c r="A347" s="4"/>
      <c r="B347"/>
      <c r="C347"/>
      <c r="D347"/>
    </row>
    <row r="348" spans="1:4" x14ac:dyDescent="0.2">
      <c r="A348" s="4"/>
      <c r="B348"/>
      <c r="C348"/>
      <c r="D348"/>
    </row>
    <row r="349" spans="1:4" x14ac:dyDescent="0.2">
      <c r="A349" s="4"/>
      <c r="B349"/>
      <c r="C349"/>
      <c r="D349"/>
    </row>
    <row r="350" spans="1:4" x14ac:dyDescent="0.2">
      <c r="A350" s="4"/>
      <c r="B350"/>
      <c r="C350"/>
      <c r="D350"/>
    </row>
    <row r="351" spans="1:4" x14ac:dyDescent="0.2">
      <c r="A351" s="4"/>
      <c r="B351"/>
      <c r="C351"/>
      <c r="D351"/>
    </row>
    <row r="352" spans="1:4" x14ac:dyDescent="0.2">
      <c r="A352" s="4"/>
      <c r="B352"/>
      <c r="C352"/>
      <c r="D352"/>
    </row>
    <row r="353" spans="1:4" x14ac:dyDescent="0.2">
      <c r="A353" s="4"/>
      <c r="B353"/>
      <c r="C353"/>
      <c r="D353"/>
    </row>
    <row r="354" spans="1:4" x14ac:dyDescent="0.2">
      <c r="A354" s="4"/>
      <c r="B354"/>
      <c r="C354"/>
      <c r="D354"/>
    </row>
    <row r="355" spans="1:4" x14ac:dyDescent="0.2">
      <c r="A355" s="4"/>
      <c r="B355"/>
      <c r="C355"/>
      <c r="D355"/>
    </row>
    <row r="356" spans="1:4" x14ac:dyDescent="0.2">
      <c r="A356" s="4"/>
      <c r="B356"/>
      <c r="C356"/>
      <c r="D356"/>
    </row>
    <row r="357" spans="1:4" x14ac:dyDescent="0.2">
      <c r="A357" s="4"/>
      <c r="B357"/>
      <c r="C357"/>
      <c r="D357"/>
    </row>
    <row r="358" spans="1:4" x14ac:dyDescent="0.2">
      <c r="A358" s="4"/>
      <c r="B358"/>
      <c r="C358"/>
      <c r="D358"/>
    </row>
    <row r="359" spans="1:4" x14ac:dyDescent="0.2">
      <c r="A359" s="4"/>
      <c r="B359"/>
      <c r="C359"/>
      <c r="D359"/>
    </row>
    <row r="360" spans="1:4" x14ac:dyDescent="0.2">
      <c r="A360" s="4"/>
      <c r="B360"/>
      <c r="C360"/>
      <c r="D360"/>
    </row>
    <row r="361" spans="1:4" x14ac:dyDescent="0.2">
      <c r="A361" s="4"/>
      <c r="B361"/>
      <c r="C361"/>
      <c r="D361"/>
    </row>
    <row r="362" spans="1:4" x14ac:dyDescent="0.2">
      <c r="A362" s="4"/>
      <c r="B362"/>
      <c r="C362"/>
      <c r="D362"/>
    </row>
    <row r="363" spans="1:4" x14ac:dyDescent="0.2">
      <c r="A363" s="4"/>
      <c r="B363"/>
      <c r="C363"/>
      <c r="D363"/>
    </row>
    <row r="364" spans="1:4" x14ac:dyDescent="0.2">
      <c r="A364" s="4"/>
      <c r="B364"/>
      <c r="C364"/>
      <c r="D364"/>
    </row>
    <row r="365" spans="1:4" x14ac:dyDescent="0.2">
      <c r="A365" s="4"/>
      <c r="B365"/>
      <c r="C365"/>
      <c r="D365"/>
    </row>
    <row r="366" spans="1:4" x14ac:dyDescent="0.2">
      <c r="A366" s="4"/>
      <c r="B366"/>
      <c r="C366"/>
      <c r="D366"/>
    </row>
    <row r="367" spans="1:4" x14ac:dyDescent="0.2">
      <c r="A367" s="4"/>
      <c r="B367"/>
      <c r="C367"/>
      <c r="D367"/>
    </row>
    <row r="368" spans="1:4" x14ac:dyDescent="0.2">
      <c r="A368" s="4"/>
      <c r="B368"/>
      <c r="C368"/>
      <c r="D368"/>
    </row>
    <row r="369" spans="1:4" x14ac:dyDescent="0.2">
      <c r="A369" s="4"/>
      <c r="B369"/>
      <c r="C369"/>
      <c r="D369"/>
    </row>
    <row r="370" spans="1:4" x14ac:dyDescent="0.2">
      <c r="A370" s="4"/>
      <c r="B370"/>
      <c r="C370"/>
      <c r="D370"/>
    </row>
    <row r="371" spans="1:4" x14ac:dyDescent="0.2">
      <c r="A371" s="4"/>
      <c r="B371"/>
      <c r="C371"/>
      <c r="D371"/>
    </row>
    <row r="372" spans="1:4" x14ac:dyDescent="0.2">
      <c r="A372" s="4"/>
      <c r="B372"/>
      <c r="C372"/>
      <c r="D372"/>
    </row>
    <row r="373" spans="1:4" x14ac:dyDescent="0.2">
      <c r="A373" s="4"/>
      <c r="B373"/>
      <c r="C373"/>
      <c r="D373"/>
    </row>
    <row r="374" spans="1:4" x14ac:dyDescent="0.2">
      <c r="A374" s="4"/>
      <c r="B374"/>
      <c r="C374"/>
      <c r="D374"/>
    </row>
    <row r="375" spans="1:4" x14ac:dyDescent="0.2">
      <c r="A375" s="4"/>
      <c r="B375"/>
      <c r="C375"/>
      <c r="D375"/>
    </row>
    <row r="376" spans="1:4" x14ac:dyDescent="0.2">
      <c r="A376" s="4"/>
      <c r="B376"/>
      <c r="C376"/>
      <c r="D376"/>
    </row>
    <row r="377" spans="1:4" x14ac:dyDescent="0.2">
      <c r="A377" s="4"/>
      <c r="B377"/>
      <c r="C377"/>
      <c r="D377"/>
    </row>
    <row r="378" spans="1:4" x14ac:dyDescent="0.2">
      <c r="A378" s="4"/>
      <c r="B378"/>
      <c r="C378"/>
      <c r="D378"/>
    </row>
    <row r="379" spans="1:4" x14ac:dyDescent="0.2">
      <c r="A379" s="4"/>
      <c r="B379"/>
      <c r="C379"/>
      <c r="D379"/>
    </row>
    <row r="380" spans="1:4" x14ac:dyDescent="0.2">
      <c r="A380" s="4"/>
      <c r="B380"/>
      <c r="C380"/>
      <c r="D380"/>
    </row>
    <row r="381" spans="1:4" x14ac:dyDescent="0.2">
      <c r="A381" s="4"/>
      <c r="B381"/>
      <c r="C381"/>
      <c r="D381"/>
    </row>
    <row r="382" spans="1:4" x14ac:dyDescent="0.2">
      <c r="A382" s="4"/>
      <c r="B382"/>
      <c r="C382"/>
      <c r="D382"/>
    </row>
    <row r="383" spans="1:4" x14ac:dyDescent="0.2">
      <c r="A383" s="4"/>
      <c r="B383"/>
      <c r="C383"/>
      <c r="D383"/>
    </row>
    <row r="384" spans="1:4" x14ac:dyDescent="0.2">
      <c r="A384" s="4"/>
      <c r="B384"/>
      <c r="C384"/>
      <c r="D384"/>
    </row>
    <row r="385" spans="1:4" x14ac:dyDescent="0.2">
      <c r="A385" s="4"/>
      <c r="B385"/>
      <c r="C385"/>
      <c r="D385"/>
    </row>
    <row r="386" spans="1:4" x14ac:dyDescent="0.2">
      <c r="A386" s="4"/>
      <c r="B386"/>
      <c r="C386"/>
      <c r="D386"/>
    </row>
    <row r="387" spans="1:4" x14ac:dyDescent="0.2">
      <c r="A387" s="4"/>
      <c r="B387"/>
      <c r="C387"/>
      <c r="D387"/>
    </row>
    <row r="388" spans="1:4" x14ac:dyDescent="0.2">
      <c r="A388" s="4"/>
      <c r="B388"/>
      <c r="C388"/>
      <c r="D388"/>
    </row>
    <row r="389" spans="1:4" x14ac:dyDescent="0.2">
      <c r="A389" s="4"/>
      <c r="B389"/>
      <c r="C389"/>
      <c r="D389"/>
    </row>
    <row r="390" spans="1:4" x14ac:dyDescent="0.2">
      <c r="A390" s="4"/>
      <c r="B390"/>
      <c r="C390"/>
      <c r="D390"/>
    </row>
    <row r="391" spans="1:4" x14ac:dyDescent="0.2">
      <c r="A391" s="4"/>
      <c r="B391"/>
      <c r="C391"/>
      <c r="D391"/>
    </row>
    <row r="392" spans="1:4" x14ac:dyDescent="0.2">
      <c r="A392" s="4"/>
      <c r="B392"/>
      <c r="C392"/>
      <c r="D392"/>
    </row>
    <row r="393" spans="1:4" x14ac:dyDescent="0.2">
      <c r="A393" s="4"/>
      <c r="B393"/>
      <c r="C393"/>
      <c r="D393"/>
    </row>
    <row r="394" spans="1:4" x14ac:dyDescent="0.2">
      <c r="A394" s="4"/>
      <c r="B394"/>
      <c r="C394"/>
      <c r="D394"/>
    </row>
    <row r="395" spans="1:4" x14ac:dyDescent="0.2">
      <c r="A395" s="4"/>
      <c r="B395"/>
      <c r="C395"/>
      <c r="D395"/>
    </row>
    <row r="396" spans="1:4" x14ac:dyDescent="0.2">
      <c r="A396" s="4"/>
      <c r="B396"/>
      <c r="C396"/>
      <c r="D396"/>
    </row>
    <row r="397" spans="1:4" x14ac:dyDescent="0.2">
      <c r="A397" s="4"/>
      <c r="B397"/>
      <c r="C397"/>
      <c r="D397"/>
    </row>
    <row r="398" spans="1:4" x14ac:dyDescent="0.2">
      <c r="A398" s="4"/>
      <c r="B398"/>
      <c r="C398"/>
      <c r="D398"/>
    </row>
    <row r="399" spans="1:4" x14ac:dyDescent="0.2">
      <c r="A399" s="4"/>
      <c r="B399"/>
      <c r="C399"/>
      <c r="D399"/>
    </row>
    <row r="400" spans="1:4" x14ac:dyDescent="0.2">
      <c r="A400" s="4"/>
      <c r="B400"/>
      <c r="C400"/>
      <c r="D400"/>
    </row>
    <row r="401" spans="1:4" x14ac:dyDescent="0.2">
      <c r="A401" s="4"/>
      <c r="B401"/>
      <c r="C401"/>
      <c r="D401"/>
    </row>
    <row r="402" spans="1:4" x14ac:dyDescent="0.2">
      <c r="A402" s="4"/>
      <c r="B402"/>
      <c r="C402"/>
      <c r="D402"/>
    </row>
    <row r="403" spans="1:4" x14ac:dyDescent="0.2">
      <c r="A403" s="4"/>
      <c r="B403"/>
      <c r="C403"/>
      <c r="D403"/>
    </row>
    <row r="404" spans="1:4" x14ac:dyDescent="0.2">
      <c r="A404" s="4"/>
      <c r="B404"/>
      <c r="C404"/>
      <c r="D404"/>
    </row>
    <row r="405" spans="1:4" x14ac:dyDescent="0.2">
      <c r="A405" s="4"/>
      <c r="B405"/>
      <c r="C405"/>
      <c r="D405"/>
    </row>
    <row r="406" spans="1:4" x14ac:dyDescent="0.2">
      <c r="A406" s="4"/>
      <c r="B406"/>
      <c r="C406"/>
      <c r="D406"/>
    </row>
    <row r="407" spans="1:4" x14ac:dyDescent="0.2">
      <c r="A407" s="4"/>
      <c r="B407"/>
      <c r="C407"/>
      <c r="D407"/>
    </row>
    <row r="408" spans="1:4" x14ac:dyDescent="0.2">
      <c r="A408" s="4"/>
      <c r="B408"/>
      <c r="C408"/>
      <c r="D408"/>
    </row>
    <row r="409" spans="1:4" x14ac:dyDescent="0.2">
      <c r="A409" s="4"/>
      <c r="B409"/>
      <c r="C409"/>
      <c r="D409"/>
    </row>
    <row r="410" spans="1:4" x14ac:dyDescent="0.2">
      <c r="A410" s="4"/>
      <c r="B410"/>
      <c r="C410"/>
      <c r="D410"/>
    </row>
    <row r="411" spans="1:4" x14ac:dyDescent="0.2">
      <c r="A411" s="4"/>
      <c r="B411"/>
      <c r="C411"/>
      <c r="D411"/>
    </row>
    <row r="412" spans="1:4" x14ac:dyDescent="0.2">
      <c r="A412" s="4"/>
      <c r="B412"/>
      <c r="C412"/>
      <c r="D412"/>
    </row>
    <row r="413" spans="1:4" x14ac:dyDescent="0.2">
      <c r="A413" s="4"/>
      <c r="B413"/>
      <c r="C413"/>
      <c r="D413"/>
    </row>
    <row r="414" spans="1:4" x14ac:dyDescent="0.2">
      <c r="A414" s="4"/>
      <c r="B414"/>
      <c r="C414"/>
      <c r="D414"/>
    </row>
    <row r="415" spans="1:4" x14ac:dyDescent="0.2">
      <c r="A415" s="4"/>
      <c r="B415"/>
      <c r="C415"/>
      <c r="D415"/>
    </row>
    <row r="416" spans="1:4" x14ac:dyDescent="0.2">
      <c r="A416" s="4"/>
      <c r="B416"/>
      <c r="C416"/>
      <c r="D416"/>
    </row>
    <row r="417" spans="1:4" x14ac:dyDescent="0.2">
      <c r="A417" s="4"/>
      <c r="B417"/>
      <c r="C417"/>
      <c r="D417"/>
    </row>
    <row r="418" spans="1:4" x14ac:dyDescent="0.2">
      <c r="A418" s="4"/>
      <c r="B418"/>
      <c r="C418"/>
      <c r="D418"/>
    </row>
    <row r="419" spans="1:4" x14ac:dyDescent="0.2">
      <c r="A419" s="4"/>
      <c r="B419"/>
      <c r="C419"/>
      <c r="D419"/>
    </row>
    <row r="420" spans="1:4" x14ac:dyDescent="0.2">
      <c r="A420" s="4"/>
      <c r="B420"/>
      <c r="C420"/>
      <c r="D420"/>
    </row>
    <row r="421" spans="1:4" x14ac:dyDescent="0.2">
      <c r="A421" s="4"/>
      <c r="B421"/>
      <c r="C421"/>
      <c r="D421"/>
    </row>
    <row r="422" spans="1:4" x14ac:dyDescent="0.2">
      <c r="A422" s="4"/>
      <c r="B422"/>
      <c r="C422"/>
      <c r="D422"/>
    </row>
    <row r="423" spans="1:4" x14ac:dyDescent="0.2">
      <c r="A423" s="4"/>
      <c r="B423"/>
      <c r="C423"/>
      <c r="D423"/>
    </row>
    <row r="424" spans="1:4" x14ac:dyDescent="0.2">
      <c r="A424" s="4"/>
      <c r="B424"/>
      <c r="C424"/>
      <c r="D424"/>
    </row>
    <row r="425" spans="1:4" x14ac:dyDescent="0.2">
      <c r="A425" s="4"/>
      <c r="B425"/>
      <c r="C425"/>
      <c r="D425"/>
    </row>
    <row r="426" spans="1:4" x14ac:dyDescent="0.2">
      <c r="A426" s="4"/>
      <c r="B426"/>
      <c r="C426"/>
      <c r="D426"/>
    </row>
    <row r="427" spans="1:4" x14ac:dyDescent="0.2">
      <c r="A427" s="4"/>
      <c r="B427"/>
      <c r="C427"/>
      <c r="D427"/>
    </row>
    <row r="428" spans="1:4" x14ac:dyDescent="0.2">
      <c r="A428" s="4"/>
      <c r="B428"/>
      <c r="C428"/>
      <c r="D428"/>
    </row>
    <row r="429" spans="1:4" x14ac:dyDescent="0.2">
      <c r="A429" s="4"/>
      <c r="B429"/>
      <c r="C429"/>
      <c r="D429"/>
    </row>
    <row r="430" spans="1:4" x14ac:dyDescent="0.2">
      <c r="A430" s="4"/>
      <c r="B430"/>
      <c r="C430"/>
      <c r="D430"/>
    </row>
    <row r="431" spans="1:4" x14ac:dyDescent="0.2">
      <c r="A431" s="4"/>
      <c r="B431"/>
      <c r="C431"/>
      <c r="D431"/>
    </row>
    <row r="432" spans="1:4" x14ac:dyDescent="0.2">
      <c r="A432" s="4"/>
      <c r="B432"/>
      <c r="C432"/>
      <c r="D432"/>
    </row>
    <row r="433" spans="1:4" x14ac:dyDescent="0.2">
      <c r="A433" s="4"/>
      <c r="B433"/>
      <c r="C433"/>
      <c r="D433"/>
    </row>
    <row r="434" spans="1:4" x14ac:dyDescent="0.2">
      <c r="A434" s="4"/>
      <c r="B434"/>
      <c r="C434"/>
      <c r="D434"/>
    </row>
    <row r="435" spans="1:4" x14ac:dyDescent="0.2">
      <c r="A435" s="4"/>
      <c r="B435"/>
      <c r="C435"/>
      <c r="D435"/>
    </row>
    <row r="436" spans="1:4" x14ac:dyDescent="0.2">
      <c r="A436" s="4"/>
      <c r="B436"/>
      <c r="C436"/>
      <c r="D436"/>
    </row>
    <row r="437" spans="1:4" x14ac:dyDescent="0.2">
      <c r="A437" s="4"/>
      <c r="B437"/>
      <c r="C437"/>
      <c r="D437"/>
    </row>
    <row r="438" spans="1:4" x14ac:dyDescent="0.2">
      <c r="A438" s="4"/>
      <c r="B438"/>
      <c r="C438"/>
      <c r="D438"/>
    </row>
    <row r="439" spans="1:4" x14ac:dyDescent="0.2">
      <c r="A439" s="4"/>
      <c r="B439"/>
      <c r="C439"/>
      <c r="D439"/>
    </row>
    <row r="440" spans="1:4" x14ac:dyDescent="0.2">
      <c r="A440" s="4"/>
      <c r="B440"/>
      <c r="C440"/>
      <c r="D440"/>
    </row>
    <row r="441" spans="1:4" x14ac:dyDescent="0.2">
      <c r="A441" s="4"/>
      <c r="B441"/>
      <c r="C441"/>
      <c r="D441"/>
    </row>
    <row r="442" spans="1:4" x14ac:dyDescent="0.2">
      <c r="A442" s="4"/>
      <c r="B442"/>
      <c r="C442"/>
      <c r="D442"/>
    </row>
    <row r="443" spans="1:4" x14ac:dyDescent="0.2">
      <c r="A443" s="4"/>
      <c r="B443"/>
      <c r="C443"/>
      <c r="D443"/>
    </row>
    <row r="444" spans="1:4" x14ac:dyDescent="0.2">
      <c r="A444" s="4"/>
      <c r="B444"/>
      <c r="C444"/>
      <c r="D444"/>
    </row>
    <row r="445" spans="1:4" x14ac:dyDescent="0.2">
      <c r="A445" s="4"/>
      <c r="B445"/>
      <c r="C445"/>
      <c r="D445"/>
    </row>
    <row r="446" spans="1:4" x14ac:dyDescent="0.2">
      <c r="A446" s="4"/>
      <c r="B446"/>
      <c r="C446"/>
      <c r="D446"/>
    </row>
    <row r="447" spans="1:4" x14ac:dyDescent="0.2">
      <c r="A447" s="4"/>
      <c r="B447"/>
      <c r="C447"/>
      <c r="D447"/>
    </row>
    <row r="448" spans="1:4" x14ac:dyDescent="0.2">
      <c r="A448" s="4"/>
      <c r="B448"/>
      <c r="C448"/>
      <c r="D448"/>
    </row>
    <row r="449" spans="1:4" x14ac:dyDescent="0.2">
      <c r="A449" s="4"/>
      <c r="B449"/>
      <c r="C449"/>
      <c r="D449"/>
    </row>
    <row r="450" spans="1:4" x14ac:dyDescent="0.2">
      <c r="A450" s="4"/>
      <c r="B450"/>
      <c r="C450"/>
      <c r="D450"/>
    </row>
    <row r="451" spans="1:4" x14ac:dyDescent="0.2">
      <c r="A451" s="4"/>
      <c r="B451"/>
      <c r="C451"/>
      <c r="D451"/>
    </row>
    <row r="452" spans="1:4" x14ac:dyDescent="0.2">
      <c r="A452" s="4"/>
      <c r="B452"/>
      <c r="C452"/>
      <c r="D452"/>
    </row>
    <row r="453" spans="1:4" x14ac:dyDescent="0.2">
      <c r="A453" s="4"/>
      <c r="B453"/>
      <c r="C453"/>
      <c r="D453"/>
    </row>
    <row r="454" spans="1:4" x14ac:dyDescent="0.2">
      <c r="A454" s="4"/>
      <c r="B454"/>
      <c r="C454"/>
      <c r="D454"/>
    </row>
    <row r="455" spans="1:4" x14ac:dyDescent="0.2">
      <c r="A455" s="4"/>
      <c r="B455"/>
      <c r="C455"/>
      <c r="D455"/>
    </row>
    <row r="456" spans="1:4" x14ac:dyDescent="0.2">
      <c r="A456" s="4"/>
      <c r="B456"/>
      <c r="C456"/>
      <c r="D456"/>
    </row>
    <row r="457" spans="1:4" x14ac:dyDescent="0.2">
      <c r="A457" s="4"/>
      <c r="B457"/>
      <c r="C457"/>
      <c r="D457"/>
    </row>
    <row r="458" spans="1:4" x14ac:dyDescent="0.2">
      <c r="A458" s="4"/>
      <c r="B458"/>
      <c r="C458"/>
      <c r="D458"/>
    </row>
    <row r="459" spans="1:4" x14ac:dyDescent="0.2">
      <c r="A459" s="4"/>
      <c r="B459"/>
      <c r="C459"/>
      <c r="D459"/>
    </row>
    <row r="460" spans="1:4" x14ac:dyDescent="0.2">
      <c r="A460" s="4"/>
      <c r="B460"/>
      <c r="C460"/>
      <c r="D460"/>
    </row>
    <row r="461" spans="1:4" x14ac:dyDescent="0.2">
      <c r="A461" s="4"/>
      <c r="B461"/>
      <c r="C461"/>
      <c r="D461"/>
    </row>
    <row r="462" spans="1:4" x14ac:dyDescent="0.2">
      <c r="A462" s="4"/>
      <c r="B462"/>
      <c r="C462"/>
      <c r="D462"/>
    </row>
    <row r="463" spans="1:4" x14ac:dyDescent="0.2">
      <c r="A463" s="4"/>
      <c r="B463"/>
      <c r="C463"/>
      <c r="D463"/>
    </row>
    <row r="464" spans="1:4" x14ac:dyDescent="0.2">
      <c r="A464" s="4"/>
      <c r="B464"/>
      <c r="C464"/>
      <c r="D464"/>
    </row>
    <row r="465" spans="1:4" x14ac:dyDescent="0.2">
      <c r="A465" s="4"/>
      <c r="B465"/>
      <c r="C465"/>
      <c r="D465"/>
    </row>
    <row r="466" spans="1:4" x14ac:dyDescent="0.2">
      <c r="A466" s="4"/>
      <c r="B466"/>
      <c r="C466"/>
      <c r="D466"/>
    </row>
    <row r="467" spans="1:4" x14ac:dyDescent="0.2">
      <c r="A467" s="4"/>
      <c r="B467"/>
      <c r="C467"/>
      <c r="D467"/>
    </row>
    <row r="468" spans="1:4" x14ac:dyDescent="0.2">
      <c r="A468" s="4"/>
      <c r="B468"/>
      <c r="C468"/>
      <c r="D468"/>
    </row>
    <row r="469" spans="1:4" x14ac:dyDescent="0.2">
      <c r="A469" s="4"/>
      <c r="B469"/>
      <c r="C469"/>
      <c r="D469"/>
    </row>
    <row r="470" spans="1:4" x14ac:dyDescent="0.2">
      <c r="A470" s="4"/>
      <c r="B470"/>
      <c r="C470"/>
      <c r="D470"/>
    </row>
    <row r="471" spans="1:4" x14ac:dyDescent="0.2">
      <c r="A471" s="4"/>
      <c r="B471"/>
      <c r="C471"/>
      <c r="D471"/>
    </row>
    <row r="472" spans="1:4" x14ac:dyDescent="0.2">
      <c r="A472" s="4"/>
      <c r="B472"/>
      <c r="C472"/>
      <c r="D472"/>
    </row>
    <row r="473" spans="1:4" x14ac:dyDescent="0.2">
      <c r="A473" s="4"/>
      <c r="B473"/>
      <c r="C473"/>
      <c r="D473"/>
    </row>
    <row r="474" spans="1:4" x14ac:dyDescent="0.2">
      <c r="A474" s="4"/>
      <c r="B474"/>
      <c r="C474"/>
      <c r="D474"/>
    </row>
    <row r="475" spans="1:4" x14ac:dyDescent="0.2">
      <c r="A475" s="4"/>
      <c r="B475"/>
      <c r="C475"/>
      <c r="D475"/>
    </row>
    <row r="476" spans="1:4" x14ac:dyDescent="0.2">
      <c r="A476" s="4"/>
      <c r="B476"/>
      <c r="C476"/>
      <c r="D476"/>
    </row>
    <row r="477" spans="1:4" x14ac:dyDescent="0.2">
      <c r="A477" s="4"/>
      <c r="B477"/>
      <c r="C477"/>
      <c r="D477"/>
    </row>
    <row r="478" spans="1:4" x14ac:dyDescent="0.2">
      <c r="A478" s="4"/>
      <c r="B478"/>
      <c r="C478"/>
      <c r="D478"/>
    </row>
    <row r="479" spans="1:4" x14ac:dyDescent="0.2">
      <c r="A479" s="4"/>
      <c r="B479"/>
      <c r="C479"/>
      <c r="D479"/>
    </row>
    <row r="480" spans="1:4" x14ac:dyDescent="0.2">
      <c r="A480" s="4"/>
      <c r="B480"/>
      <c r="C480"/>
      <c r="D480"/>
    </row>
    <row r="481" spans="1:4" x14ac:dyDescent="0.2">
      <c r="A481" s="4"/>
      <c r="B481"/>
      <c r="C481"/>
      <c r="D481"/>
    </row>
    <row r="482" spans="1:4" x14ac:dyDescent="0.2">
      <c r="A482" s="4"/>
      <c r="B482"/>
      <c r="C482"/>
      <c r="D482"/>
    </row>
    <row r="483" spans="1:4" x14ac:dyDescent="0.2">
      <c r="A483" s="4"/>
      <c r="B483"/>
      <c r="C483"/>
      <c r="D483"/>
    </row>
    <row r="484" spans="1:4" x14ac:dyDescent="0.2">
      <c r="A484" s="4"/>
      <c r="B484"/>
      <c r="C484"/>
      <c r="D484"/>
    </row>
    <row r="485" spans="1:4" x14ac:dyDescent="0.2">
      <c r="A485" s="4"/>
      <c r="B485"/>
      <c r="C485"/>
      <c r="D485"/>
    </row>
    <row r="486" spans="1:4" x14ac:dyDescent="0.2">
      <c r="A486" s="4"/>
      <c r="B486"/>
      <c r="C486"/>
      <c r="D486"/>
    </row>
    <row r="487" spans="1:4" x14ac:dyDescent="0.2">
      <c r="A487" s="4"/>
      <c r="B487"/>
      <c r="C487"/>
      <c r="D487"/>
    </row>
    <row r="488" spans="1:4" x14ac:dyDescent="0.2">
      <c r="A488" s="4"/>
      <c r="B488"/>
      <c r="C488"/>
      <c r="D488"/>
    </row>
    <row r="489" spans="1:4" x14ac:dyDescent="0.2">
      <c r="A489" s="4"/>
      <c r="B489"/>
      <c r="C489"/>
      <c r="D489"/>
    </row>
    <row r="490" spans="1:4" x14ac:dyDescent="0.2">
      <c r="A490" s="4"/>
      <c r="B490"/>
      <c r="C490"/>
      <c r="D490"/>
    </row>
    <row r="491" spans="1:4" x14ac:dyDescent="0.2">
      <c r="A491" s="4"/>
      <c r="B491"/>
      <c r="C491"/>
      <c r="D491"/>
    </row>
    <row r="492" spans="1:4" x14ac:dyDescent="0.2">
      <c r="A492" s="4"/>
      <c r="B492"/>
      <c r="C492"/>
      <c r="D492"/>
    </row>
    <row r="493" spans="1:4" x14ac:dyDescent="0.2">
      <c r="A493" s="4"/>
      <c r="B493"/>
      <c r="C493"/>
      <c r="D493"/>
    </row>
    <row r="494" spans="1:4" x14ac:dyDescent="0.2">
      <c r="A494" s="4"/>
      <c r="B494"/>
      <c r="C494"/>
      <c r="D494"/>
    </row>
    <row r="495" spans="1:4" x14ac:dyDescent="0.2">
      <c r="A495" s="4"/>
      <c r="B495"/>
      <c r="C495"/>
      <c r="D495"/>
    </row>
    <row r="496" spans="1:4" x14ac:dyDescent="0.2">
      <c r="A496" s="4"/>
      <c r="B496"/>
      <c r="C496"/>
      <c r="D496"/>
    </row>
    <row r="497" spans="1:4" x14ac:dyDescent="0.2">
      <c r="A497" s="4"/>
      <c r="B497"/>
      <c r="C497"/>
      <c r="D497"/>
    </row>
    <row r="498" spans="1:4" x14ac:dyDescent="0.2">
      <c r="A498" s="4"/>
      <c r="B498"/>
      <c r="C498"/>
      <c r="D498"/>
    </row>
    <row r="499" spans="1:4" x14ac:dyDescent="0.2">
      <c r="A499" s="4"/>
      <c r="B499"/>
      <c r="C499"/>
      <c r="D499"/>
    </row>
    <row r="500" spans="1:4" x14ac:dyDescent="0.2">
      <c r="A500" s="4"/>
      <c r="B500"/>
      <c r="C500"/>
      <c r="D500"/>
    </row>
    <row r="501" spans="1:4" x14ac:dyDescent="0.2">
      <c r="A501" s="4"/>
      <c r="B501"/>
      <c r="C501"/>
      <c r="D501"/>
    </row>
    <row r="502" spans="1:4" x14ac:dyDescent="0.2">
      <c r="A502" s="4"/>
      <c r="B502"/>
      <c r="C502"/>
      <c r="D502"/>
    </row>
    <row r="503" spans="1:4" x14ac:dyDescent="0.2">
      <c r="A503" s="4"/>
      <c r="B503"/>
      <c r="C503"/>
      <c r="D503"/>
    </row>
    <row r="504" spans="1:4" x14ac:dyDescent="0.2">
      <c r="A504" s="4"/>
      <c r="B504"/>
      <c r="C504"/>
      <c r="D504"/>
    </row>
    <row r="505" spans="1:4" x14ac:dyDescent="0.2">
      <c r="A505" s="4"/>
      <c r="B505"/>
      <c r="C505"/>
      <c r="D505"/>
    </row>
    <row r="506" spans="1:4" x14ac:dyDescent="0.2">
      <c r="A506" s="4"/>
      <c r="B506"/>
      <c r="C506"/>
      <c r="D506"/>
    </row>
    <row r="507" spans="1:4" x14ac:dyDescent="0.2">
      <c r="A507" s="4"/>
      <c r="B507"/>
      <c r="C507"/>
      <c r="D507"/>
    </row>
    <row r="508" spans="1:4" x14ac:dyDescent="0.2">
      <c r="A508" s="4"/>
      <c r="B508"/>
      <c r="C508"/>
      <c r="D508"/>
    </row>
    <row r="509" spans="1:4" x14ac:dyDescent="0.2">
      <c r="A509" s="4"/>
      <c r="B509"/>
      <c r="C509"/>
      <c r="D509"/>
    </row>
    <row r="510" spans="1:4" x14ac:dyDescent="0.2">
      <c r="A510" s="4"/>
      <c r="B510"/>
      <c r="C510"/>
      <c r="D510"/>
    </row>
    <row r="511" spans="1:4" x14ac:dyDescent="0.2">
      <c r="A511" s="4"/>
      <c r="B511"/>
      <c r="C511"/>
      <c r="D511"/>
    </row>
    <row r="512" spans="1:4" x14ac:dyDescent="0.2">
      <c r="A512" s="4"/>
      <c r="B512"/>
      <c r="C512"/>
      <c r="D512"/>
    </row>
    <row r="513" spans="1:4" x14ac:dyDescent="0.2">
      <c r="A513" s="4"/>
      <c r="B513"/>
      <c r="C513"/>
      <c r="D513"/>
    </row>
    <row r="514" spans="1:4" x14ac:dyDescent="0.2">
      <c r="A514" s="4"/>
      <c r="B514"/>
      <c r="C514"/>
      <c r="D514"/>
    </row>
    <row r="515" spans="1:4" x14ac:dyDescent="0.2">
      <c r="A515" s="4"/>
      <c r="B515"/>
      <c r="C515"/>
      <c r="D515"/>
    </row>
    <row r="516" spans="1:4" x14ac:dyDescent="0.2">
      <c r="A516" s="4"/>
      <c r="B516"/>
      <c r="C516"/>
      <c r="D516"/>
    </row>
    <row r="517" spans="1:4" x14ac:dyDescent="0.2">
      <c r="A517" s="4"/>
      <c r="B517"/>
      <c r="C517"/>
      <c r="D517"/>
    </row>
    <row r="518" spans="1:4" x14ac:dyDescent="0.2">
      <c r="A518" s="4"/>
      <c r="B518"/>
      <c r="C518"/>
      <c r="D518"/>
    </row>
    <row r="519" spans="1:4" x14ac:dyDescent="0.2">
      <c r="A519" s="4"/>
      <c r="B519"/>
      <c r="C519"/>
      <c r="D519"/>
    </row>
    <row r="520" spans="1:4" x14ac:dyDescent="0.2">
      <c r="A520" s="4"/>
      <c r="B520"/>
      <c r="C520"/>
      <c r="D520"/>
    </row>
    <row r="521" spans="1:4" x14ac:dyDescent="0.2">
      <c r="A521" s="4"/>
      <c r="B521"/>
      <c r="C521"/>
      <c r="D521"/>
    </row>
    <row r="522" spans="1:4" x14ac:dyDescent="0.2">
      <c r="A522" s="4"/>
      <c r="B522"/>
      <c r="C522"/>
      <c r="D522"/>
    </row>
    <row r="523" spans="1:4" x14ac:dyDescent="0.2">
      <c r="A523" s="4"/>
      <c r="B523"/>
      <c r="C523"/>
      <c r="D523"/>
    </row>
    <row r="524" spans="1:4" x14ac:dyDescent="0.2">
      <c r="A524" s="4"/>
      <c r="B524"/>
      <c r="C524"/>
      <c r="D524"/>
    </row>
    <row r="525" spans="1:4" x14ac:dyDescent="0.2">
      <c r="A525" s="4"/>
      <c r="B525"/>
      <c r="C525"/>
      <c r="D525"/>
    </row>
    <row r="526" spans="1:4" x14ac:dyDescent="0.2">
      <c r="A526" s="4"/>
      <c r="B526"/>
      <c r="C526"/>
      <c r="D526"/>
    </row>
    <row r="527" spans="1:4" x14ac:dyDescent="0.2">
      <c r="A527" s="4"/>
      <c r="B527"/>
      <c r="C527"/>
      <c r="D527"/>
    </row>
    <row r="528" spans="1:4" x14ac:dyDescent="0.2">
      <c r="A528" s="4"/>
      <c r="B528"/>
      <c r="C528"/>
      <c r="D528"/>
    </row>
    <row r="529" spans="1:4" x14ac:dyDescent="0.2">
      <c r="A529" s="4"/>
      <c r="B529"/>
      <c r="C529"/>
      <c r="D529"/>
    </row>
    <row r="530" spans="1:4" x14ac:dyDescent="0.2">
      <c r="A530" s="4"/>
      <c r="B530"/>
      <c r="C530"/>
      <c r="D530"/>
    </row>
    <row r="531" spans="1:4" x14ac:dyDescent="0.2">
      <c r="A531" s="4"/>
      <c r="B531"/>
      <c r="C531"/>
      <c r="D531"/>
    </row>
    <row r="532" spans="1:4" x14ac:dyDescent="0.2">
      <c r="A532" s="4"/>
      <c r="B532"/>
      <c r="C532"/>
      <c r="D532"/>
    </row>
    <row r="533" spans="1:4" x14ac:dyDescent="0.2">
      <c r="A533" s="4"/>
      <c r="B533"/>
      <c r="C533"/>
      <c r="D533"/>
    </row>
    <row r="534" spans="1:4" x14ac:dyDescent="0.2">
      <c r="A534" s="4"/>
      <c r="B534"/>
      <c r="C534"/>
      <c r="D534"/>
    </row>
    <row r="535" spans="1:4" x14ac:dyDescent="0.2">
      <c r="A535" s="4"/>
      <c r="B535"/>
      <c r="C535"/>
      <c r="D535"/>
    </row>
    <row r="536" spans="1:4" x14ac:dyDescent="0.2">
      <c r="A536" s="4"/>
      <c r="B536"/>
      <c r="C536"/>
      <c r="D536"/>
    </row>
    <row r="537" spans="1:4" x14ac:dyDescent="0.2">
      <c r="A537" s="4"/>
      <c r="B537"/>
      <c r="C537"/>
      <c r="D537"/>
    </row>
    <row r="538" spans="1:4" x14ac:dyDescent="0.2">
      <c r="A538" s="4"/>
      <c r="B538"/>
      <c r="C538"/>
      <c r="D538"/>
    </row>
    <row r="539" spans="1:4" x14ac:dyDescent="0.2">
      <c r="A539" s="4"/>
      <c r="B539"/>
      <c r="C539"/>
      <c r="D539"/>
    </row>
    <row r="540" spans="1:4" x14ac:dyDescent="0.2">
      <c r="A540" s="4"/>
      <c r="B540"/>
      <c r="C540"/>
      <c r="D540"/>
    </row>
    <row r="541" spans="1:4" x14ac:dyDescent="0.2">
      <c r="A541" s="4"/>
      <c r="B541"/>
      <c r="C541"/>
      <c r="D541"/>
    </row>
    <row r="542" spans="1:4" x14ac:dyDescent="0.2">
      <c r="A542" s="4"/>
      <c r="B542"/>
      <c r="C542"/>
      <c r="D542"/>
    </row>
    <row r="543" spans="1:4" x14ac:dyDescent="0.2">
      <c r="A543" s="4"/>
      <c r="B543"/>
      <c r="C543"/>
      <c r="D543"/>
    </row>
    <row r="544" spans="1:4" x14ac:dyDescent="0.2">
      <c r="A544" s="4"/>
      <c r="B544"/>
      <c r="C544"/>
      <c r="D544"/>
    </row>
    <row r="545" spans="1:4" x14ac:dyDescent="0.2">
      <c r="A545" s="4"/>
      <c r="B545"/>
      <c r="C545"/>
      <c r="D545"/>
    </row>
    <row r="546" spans="1:4" x14ac:dyDescent="0.2">
      <c r="A546" s="4"/>
      <c r="B546"/>
      <c r="C546"/>
      <c r="D546"/>
    </row>
    <row r="547" spans="1:4" x14ac:dyDescent="0.2">
      <c r="A547" s="4"/>
      <c r="B547"/>
      <c r="C547"/>
      <c r="D547"/>
    </row>
    <row r="548" spans="1:4" x14ac:dyDescent="0.2">
      <c r="A548" s="4"/>
      <c r="B548"/>
      <c r="C548"/>
      <c r="D548"/>
    </row>
    <row r="549" spans="1:4" x14ac:dyDescent="0.2">
      <c r="A549" s="4"/>
      <c r="B549"/>
      <c r="C549"/>
      <c r="D549"/>
    </row>
    <row r="550" spans="1:4" x14ac:dyDescent="0.2">
      <c r="A550" s="4"/>
      <c r="B550"/>
      <c r="C550"/>
      <c r="D550"/>
    </row>
    <row r="551" spans="1:4" x14ac:dyDescent="0.2">
      <c r="A551" s="4"/>
      <c r="B551"/>
      <c r="C551"/>
      <c r="D551"/>
    </row>
    <row r="552" spans="1:4" x14ac:dyDescent="0.2">
      <c r="A552" s="4"/>
      <c r="B552"/>
      <c r="C552"/>
      <c r="D552"/>
    </row>
    <row r="553" spans="1:4" x14ac:dyDescent="0.2">
      <c r="A553" s="4"/>
      <c r="B553"/>
      <c r="C553"/>
      <c r="D553"/>
    </row>
    <row r="554" spans="1:4" x14ac:dyDescent="0.2">
      <c r="A554" s="4"/>
      <c r="B554"/>
      <c r="C554"/>
      <c r="D554"/>
    </row>
    <row r="555" spans="1:4" x14ac:dyDescent="0.2">
      <c r="A555" s="4"/>
      <c r="B555"/>
      <c r="C555"/>
      <c r="D555"/>
    </row>
    <row r="556" spans="1:4" x14ac:dyDescent="0.2">
      <c r="A556" s="4"/>
      <c r="B556"/>
      <c r="C556"/>
      <c r="D556"/>
    </row>
    <row r="557" spans="1:4" x14ac:dyDescent="0.2">
      <c r="A557" s="4"/>
      <c r="B557"/>
      <c r="C557"/>
      <c r="D557"/>
    </row>
    <row r="558" spans="1:4" x14ac:dyDescent="0.2">
      <c r="A558" s="4"/>
      <c r="B558"/>
      <c r="C558"/>
      <c r="D558"/>
    </row>
    <row r="559" spans="1:4" x14ac:dyDescent="0.2">
      <c r="A559" s="4"/>
      <c r="B559"/>
      <c r="C559"/>
      <c r="D559"/>
    </row>
    <row r="560" spans="1:4" x14ac:dyDescent="0.2">
      <c r="A560" s="4"/>
      <c r="B560"/>
      <c r="C560"/>
      <c r="D560"/>
    </row>
    <row r="561" spans="1:4" x14ac:dyDescent="0.2">
      <c r="A561" s="4"/>
      <c r="B561"/>
      <c r="C561"/>
      <c r="D561"/>
    </row>
    <row r="562" spans="1:4" x14ac:dyDescent="0.2">
      <c r="A562" s="4"/>
      <c r="B562"/>
      <c r="C562"/>
      <c r="D562"/>
    </row>
    <row r="563" spans="1:4" x14ac:dyDescent="0.2">
      <c r="A563" s="4"/>
      <c r="B563"/>
      <c r="C563"/>
      <c r="D563"/>
    </row>
    <row r="564" spans="1:4" x14ac:dyDescent="0.2">
      <c r="A564" s="4"/>
      <c r="B564"/>
      <c r="C564"/>
      <c r="D564"/>
    </row>
    <row r="565" spans="1:4" x14ac:dyDescent="0.2">
      <c r="A565" s="4"/>
      <c r="B565"/>
      <c r="C565"/>
      <c r="D565"/>
    </row>
    <row r="566" spans="1:4" x14ac:dyDescent="0.2">
      <c r="A566" s="4"/>
      <c r="B566"/>
      <c r="C566"/>
      <c r="D566"/>
    </row>
    <row r="567" spans="1:4" x14ac:dyDescent="0.2">
      <c r="A567" s="4"/>
      <c r="B567"/>
      <c r="C567"/>
      <c r="D567"/>
    </row>
    <row r="568" spans="1:4" x14ac:dyDescent="0.2">
      <c r="A568" s="4"/>
      <c r="B568"/>
      <c r="C568"/>
      <c r="D568"/>
    </row>
    <row r="569" spans="1:4" x14ac:dyDescent="0.2">
      <c r="A569" s="4"/>
      <c r="B569"/>
      <c r="C569"/>
      <c r="D569"/>
    </row>
    <row r="570" spans="1:4" x14ac:dyDescent="0.2">
      <c r="A570" s="4"/>
      <c r="B570"/>
      <c r="C570"/>
      <c r="D570"/>
    </row>
    <row r="571" spans="1:4" x14ac:dyDescent="0.2">
      <c r="A571" s="4"/>
      <c r="B571"/>
      <c r="C571"/>
      <c r="D571"/>
    </row>
    <row r="572" spans="1:4" x14ac:dyDescent="0.2">
      <c r="A572" s="4"/>
      <c r="B572"/>
      <c r="C572"/>
      <c r="D572"/>
    </row>
    <row r="573" spans="1:4" x14ac:dyDescent="0.2">
      <c r="A573" s="4"/>
      <c r="B573"/>
      <c r="C573"/>
      <c r="D573"/>
    </row>
    <row r="574" spans="1:4" x14ac:dyDescent="0.2">
      <c r="A574" s="4"/>
      <c r="B574"/>
      <c r="C574"/>
      <c r="D574"/>
    </row>
    <row r="575" spans="1:4" x14ac:dyDescent="0.2">
      <c r="A575" s="4"/>
      <c r="B575"/>
      <c r="C575"/>
      <c r="D575"/>
    </row>
    <row r="576" spans="1:4" x14ac:dyDescent="0.2">
      <c r="A576" s="4"/>
      <c r="B576"/>
      <c r="C576"/>
      <c r="D576"/>
    </row>
    <row r="577" spans="1:4" x14ac:dyDescent="0.2">
      <c r="A577" s="4"/>
      <c r="B577"/>
      <c r="C577"/>
      <c r="D577"/>
    </row>
    <row r="578" spans="1:4" x14ac:dyDescent="0.2">
      <c r="A578" s="4"/>
      <c r="B578"/>
      <c r="C578"/>
      <c r="D578"/>
    </row>
    <row r="579" spans="1:4" x14ac:dyDescent="0.2">
      <c r="A579" s="4"/>
      <c r="B579"/>
      <c r="C579"/>
      <c r="D579"/>
    </row>
    <row r="580" spans="1:4" x14ac:dyDescent="0.2">
      <c r="A580" s="4"/>
      <c r="B580"/>
      <c r="C580"/>
      <c r="D580"/>
    </row>
    <row r="581" spans="1:4" x14ac:dyDescent="0.2">
      <c r="A581" s="4"/>
      <c r="B581"/>
      <c r="C581"/>
      <c r="D581"/>
    </row>
    <row r="582" spans="1:4" x14ac:dyDescent="0.2">
      <c r="A582" s="4"/>
      <c r="B582"/>
      <c r="C582"/>
      <c r="D582"/>
    </row>
    <row r="583" spans="1:4" x14ac:dyDescent="0.2">
      <c r="A583" s="4"/>
      <c r="B583"/>
      <c r="C583"/>
      <c r="D583"/>
    </row>
    <row r="584" spans="1:4" x14ac:dyDescent="0.2">
      <c r="A584" s="4"/>
      <c r="B584"/>
      <c r="C584"/>
      <c r="D584"/>
    </row>
    <row r="585" spans="1:4" x14ac:dyDescent="0.2">
      <c r="A585" s="4"/>
      <c r="B585"/>
      <c r="C585"/>
      <c r="D585"/>
    </row>
    <row r="586" spans="1:4" x14ac:dyDescent="0.2">
      <c r="A586" s="4"/>
      <c r="B586"/>
      <c r="C586"/>
      <c r="D586"/>
    </row>
    <row r="587" spans="1:4" x14ac:dyDescent="0.2">
      <c r="A587" s="4"/>
      <c r="B587"/>
      <c r="C587"/>
      <c r="D587"/>
    </row>
    <row r="588" spans="1:4" x14ac:dyDescent="0.2">
      <c r="A588" s="4"/>
      <c r="B588"/>
      <c r="C588"/>
      <c r="D588"/>
    </row>
    <row r="589" spans="1:4" x14ac:dyDescent="0.2">
      <c r="A589" s="4"/>
      <c r="B589"/>
      <c r="C589"/>
      <c r="D589"/>
    </row>
    <row r="590" spans="1:4" x14ac:dyDescent="0.2">
      <c r="A590" s="4"/>
      <c r="B590"/>
      <c r="C590"/>
      <c r="D590"/>
    </row>
    <row r="591" spans="1:4" x14ac:dyDescent="0.2">
      <c r="A591" s="4"/>
      <c r="B591"/>
      <c r="C591"/>
      <c r="D591"/>
    </row>
    <row r="592" spans="1:4" x14ac:dyDescent="0.2">
      <c r="A592" s="4"/>
      <c r="B592"/>
      <c r="C592"/>
      <c r="D592"/>
    </row>
    <row r="593" spans="1:4" x14ac:dyDescent="0.2">
      <c r="A593" s="4"/>
      <c r="B593"/>
      <c r="C593"/>
      <c r="D593"/>
    </row>
    <row r="594" spans="1:4" x14ac:dyDescent="0.2">
      <c r="A594" s="4"/>
      <c r="B594"/>
      <c r="C594"/>
      <c r="D594"/>
    </row>
    <row r="595" spans="1:4" x14ac:dyDescent="0.2">
      <c r="A595" s="4"/>
      <c r="B595"/>
      <c r="C595"/>
      <c r="D595"/>
    </row>
    <row r="596" spans="1:4" x14ac:dyDescent="0.2">
      <c r="A596" s="4"/>
      <c r="B596"/>
      <c r="C596"/>
      <c r="D596"/>
    </row>
    <row r="597" spans="1:4" x14ac:dyDescent="0.2">
      <c r="A597" s="4"/>
      <c r="B597"/>
      <c r="C597"/>
      <c r="D597"/>
    </row>
    <row r="598" spans="1:4" x14ac:dyDescent="0.2">
      <c r="A598" s="4"/>
      <c r="B598"/>
      <c r="C598"/>
      <c r="D598"/>
    </row>
    <row r="599" spans="1:4" x14ac:dyDescent="0.2">
      <c r="A599" s="4"/>
      <c r="B599"/>
      <c r="C599"/>
      <c r="D599"/>
    </row>
    <row r="600" spans="1:4" x14ac:dyDescent="0.2">
      <c r="A600" s="4"/>
      <c r="B600"/>
      <c r="C600"/>
      <c r="D600"/>
    </row>
    <row r="601" spans="1:4" x14ac:dyDescent="0.2">
      <c r="A601" s="4"/>
      <c r="B601"/>
      <c r="C601"/>
      <c r="D601"/>
    </row>
    <row r="602" spans="1:4" x14ac:dyDescent="0.2">
      <c r="A602" s="4"/>
      <c r="B602"/>
      <c r="C602"/>
      <c r="D602"/>
    </row>
    <row r="603" spans="1:4" x14ac:dyDescent="0.2">
      <c r="A603" s="4"/>
      <c r="B603"/>
      <c r="C603"/>
      <c r="D603"/>
    </row>
    <row r="604" spans="1:4" x14ac:dyDescent="0.2">
      <c r="A604" s="4"/>
      <c r="B604"/>
      <c r="C604"/>
      <c r="D604"/>
    </row>
    <row r="605" spans="1:4" x14ac:dyDescent="0.2">
      <c r="A605" s="4"/>
      <c r="B605"/>
      <c r="C605"/>
      <c r="D605"/>
    </row>
    <row r="606" spans="1:4" x14ac:dyDescent="0.2">
      <c r="A606" s="4"/>
      <c r="B606"/>
      <c r="C606"/>
      <c r="D606"/>
    </row>
    <row r="607" spans="1:4" x14ac:dyDescent="0.2">
      <c r="A607" s="4"/>
      <c r="B607"/>
      <c r="C607"/>
      <c r="D607"/>
    </row>
    <row r="608" spans="1:4" x14ac:dyDescent="0.2">
      <c r="A608" s="4"/>
      <c r="B608"/>
      <c r="C608"/>
      <c r="D608"/>
    </row>
    <row r="609" spans="1:4" x14ac:dyDescent="0.2">
      <c r="A609" s="4"/>
      <c r="B609"/>
      <c r="C609"/>
      <c r="D609"/>
    </row>
    <row r="610" spans="1:4" x14ac:dyDescent="0.2">
      <c r="A610" s="4"/>
      <c r="B610"/>
      <c r="C610"/>
      <c r="D610"/>
    </row>
    <row r="611" spans="1:4" x14ac:dyDescent="0.2">
      <c r="A611" s="4"/>
      <c r="B611"/>
      <c r="C611"/>
      <c r="D611"/>
    </row>
    <row r="612" spans="1:4" x14ac:dyDescent="0.2">
      <c r="A612" s="4"/>
      <c r="B612"/>
      <c r="C612"/>
      <c r="D612"/>
    </row>
    <row r="613" spans="1:4" x14ac:dyDescent="0.2">
      <c r="A613" s="4"/>
      <c r="B613"/>
      <c r="C613"/>
      <c r="D613"/>
    </row>
    <row r="614" spans="1:4" x14ac:dyDescent="0.2">
      <c r="A614" s="4"/>
      <c r="B614"/>
      <c r="C614"/>
      <c r="D614"/>
    </row>
    <row r="615" spans="1:4" x14ac:dyDescent="0.2">
      <c r="A615" s="4"/>
      <c r="B615"/>
      <c r="C615"/>
      <c r="D615"/>
    </row>
    <row r="616" spans="1:4" x14ac:dyDescent="0.2">
      <c r="A616" s="4"/>
      <c r="B616"/>
      <c r="C616"/>
      <c r="D616"/>
    </row>
    <row r="617" spans="1:4" x14ac:dyDescent="0.2">
      <c r="A617" s="4"/>
      <c r="B617"/>
      <c r="C617"/>
      <c r="D617"/>
    </row>
    <row r="618" spans="1:4" x14ac:dyDescent="0.2">
      <c r="A618" s="4"/>
      <c r="B618"/>
      <c r="C618"/>
      <c r="D618"/>
    </row>
    <row r="619" spans="1:4" x14ac:dyDescent="0.2">
      <c r="A619" s="4"/>
      <c r="B619"/>
      <c r="C619"/>
      <c r="D619"/>
    </row>
    <row r="620" spans="1:4" x14ac:dyDescent="0.2">
      <c r="A620" s="4"/>
      <c r="B620"/>
      <c r="C620"/>
      <c r="D620"/>
    </row>
    <row r="621" spans="1:4" x14ac:dyDescent="0.2">
      <c r="A621" s="4"/>
      <c r="B621"/>
      <c r="C621"/>
      <c r="D621"/>
    </row>
    <row r="622" spans="1:4" x14ac:dyDescent="0.2">
      <c r="A622" s="4"/>
      <c r="B622"/>
      <c r="C622"/>
      <c r="D622"/>
    </row>
    <row r="623" spans="1:4" x14ac:dyDescent="0.2">
      <c r="A623" s="4"/>
      <c r="B623"/>
      <c r="C623"/>
      <c r="D623"/>
    </row>
    <row r="624" spans="1:4" x14ac:dyDescent="0.2">
      <c r="A624" s="4"/>
      <c r="B624"/>
      <c r="C624"/>
      <c r="D624"/>
    </row>
    <row r="625" spans="1:4" x14ac:dyDescent="0.2">
      <c r="A625" s="4"/>
      <c r="B625"/>
      <c r="C625"/>
      <c r="D625"/>
    </row>
    <row r="626" spans="1:4" x14ac:dyDescent="0.2">
      <c r="A626" s="4"/>
      <c r="B626"/>
      <c r="C626"/>
      <c r="D626"/>
    </row>
    <row r="627" spans="1:4" x14ac:dyDescent="0.2">
      <c r="A627" s="4"/>
      <c r="B627"/>
      <c r="C627"/>
      <c r="D627"/>
    </row>
    <row r="628" spans="1:4" x14ac:dyDescent="0.2">
      <c r="A628" s="4"/>
      <c r="B628"/>
      <c r="C628"/>
      <c r="D628"/>
    </row>
    <row r="629" spans="1:4" x14ac:dyDescent="0.2">
      <c r="A629" s="4"/>
      <c r="B629"/>
      <c r="C629"/>
      <c r="D629"/>
    </row>
    <row r="630" spans="1:4" x14ac:dyDescent="0.2">
      <c r="A630" s="4"/>
      <c r="B630"/>
      <c r="C630"/>
      <c r="D630"/>
    </row>
    <row r="631" spans="1:4" x14ac:dyDescent="0.2">
      <c r="A631" s="4"/>
      <c r="B631"/>
      <c r="C631"/>
      <c r="D631"/>
    </row>
    <row r="632" spans="1:4" x14ac:dyDescent="0.2">
      <c r="A632" s="4"/>
      <c r="B632"/>
      <c r="C632"/>
      <c r="D632"/>
    </row>
    <row r="633" spans="1:4" x14ac:dyDescent="0.2">
      <c r="A633" s="4"/>
      <c r="B633"/>
      <c r="C633"/>
      <c r="D633"/>
    </row>
    <row r="634" spans="1:4" x14ac:dyDescent="0.2">
      <c r="A634" s="4"/>
      <c r="B634"/>
      <c r="C634"/>
      <c r="D634"/>
    </row>
    <row r="635" spans="1:4" x14ac:dyDescent="0.2">
      <c r="A635" s="4"/>
      <c r="B635"/>
      <c r="C635"/>
      <c r="D635"/>
    </row>
    <row r="636" spans="1:4" x14ac:dyDescent="0.2">
      <c r="A636" s="4"/>
      <c r="B636"/>
      <c r="C636"/>
      <c r="D636"/>
    </row>
    <row r="637" spans="1:4" x14ac:dyDescent="0.2">
      <c r="A637" s="4"/>
      <c r="B637"/>
      <c r="C637"/>
      <c r="D637"/>
    </row>
    <row r="638" spans="1:4" x14ac:dyDescent="0.2">
      <c r="A638" s="4"/>
      <c r="B638"/>
      <c r="C638"/>
      <c r="D638"/>
    </row>
    <row r="639" spans="1:4" x14ac:dyDescent="0.2">
      <c r="A639" s="4"/>
      <c r="B639"/>
      <c r="C639"/>
      <c r="D639"/>
    </row>
    <row r="640" spans="1:4" x14ac:dyDescent="0.2">
      <c r="A640" s="4"/>
      <c r="B640"/>
      <c r="C640"/>
      <c r="D640"/>
    </row>
    <row r="641" spans="1:4" x14ac:dyDescent="0.2">
      <c r="A641" s="4"/>
      <c r="B641"/>
      <c r="C641"/>
      <c r="D641"/>
    </row>
    <row r="642" spans="1:4" x14ac:dyDescent="0.2">
      <c r="A642" s="4"/>
      <c r="B642"/>
      <c r="C642"/>
      <c r="D642"/>
    </row>
    <row r="643" spans="1:4" x14ac:dyDescent="0.2">
      <c r="A643" s="4"/>
      <c r="B643"/>
      <c r="C643"/>
      <c r="D643"/>
    </row>
    <row r="644" spans="1:4" x14ac:dyDescent="0.2">
      <c r="A644" s="4"/>
      <c r="B644"/>
      <c r="C644"/>
      <c r="D644"/>
    </row>
    <row r="645" spans="1:4" x14ac:dyDescent="0.2">
      <c r="A645" s="4"/>
      <c r="B645"/>
      <c r="C645"/>
      <c r="D645"/>
    </row>
    <row r="646" spans="1:4" x14ac:dyDescent="0.2">
      <c r="A646" s="4"/>
      <c r="B646"/>
      <c r="C646"/>
      <c r="D646"/>
    </row>
    <row r="647" spans="1:4" x14ac:dyDescent="0.2">
      <c r="A647" s="4"/>
      <c r="B647"/>
      <c r="C647"/>
      <c r="D647"/>
    </row>
    <row r="648" spans="1:4" x14ac:dyDescent="0.2">
      <c r="A648" s="4"/>
      <c r="B648"/>
      <c r="C648"/>
      <c r="D648"/>
    </row>
    <row r="649" spans="1:4" x14ac:dyDescent="0.2">
      <c r="A649" s="4"/>
      <c r="B649"/>
      <c r="C649"/>
      <c r="D649"/>
    </row>
    <row r="650" spans="1:4" x14ac:dyDescent="0.2">
      <c r="A650" s="4"/>
      <c r="B650"/>
      <c r="C650"/>
      <c r="D650"/>
    </row>
    <row r="651" spans="1:4" x14ac:dyDescent="0.2">
      <c r="A651" s="4"/>
      <c r="B651"/>
      <c r="C651"/>
      <c r="D651"/>
    </row>
    <row r="652" spans="1:4" x14ac:dyDescent="0.2">
      <c r="A652" s="4"/>
      <c r="B652"/>
      <c r="C652"/>
      <c r="D652"/>
    </row>
    <row r="653" spans="1:4" x14ac:dyDescent="0.2">
      <c r="A653" s="4"/>
      <c r="B653"/>
      <c r="C653"/>
      <c r="D653"/>
    </row>
    <row r="654" spans="1:4" x14ac:dyDescent="0.2">
      <c r="A654" s="4"/>
      <c r="B654"/>
      <c r="C654"/>
      <c r="D654"/>
    </row>
    <row r="655" spans="1:4" x14ac:dyDescent="0.2">
      <c r="A655" s="4"/>
      <c r="B655"/>
      <c r="C655"/>
      <c r="D655"/>
    </row>
    <row r="656" spans="1:4" x14ac:dyDescent="0.2">
      <c r="A656" s="4"/>
      <c r="B656"/>
      <c r="C656"/>
      <c r="D656"/>
    </row>
    <row r="657" spans="1:4" x14ac:dyDescent="0.2">
      <c r="A657" s="4"/>
      <c r="B657"/>
      <c r="C657"/>
      <c r="D657"/>
    </row>
    <row r="658" spans="1:4" x14ac:dyDescent="0.2">
      <c r="A658" s="4"/>
      <c r="B658"/>
      <c r="C658"/>
      <c r="D658"/>
    </row>
    <row r="659" spans="1:4" x14ac:dyDescent="0.2">
      <c r="A659" s="4"/>
      <c r="B659"/>
      <c r="C659"/>
      <c r="D659"/>
    </row>
    <row r="660" spans="1:4" x14ac:dyDescent="0.2">
      <c r="A660" s="4"/>
      <c r="B660"/>
      <c r="C660"/>
      <c r="D660"/>
    </row>
    <row r="661" spans="1:4" x14ac:dyDescent="0.2">
      <c r="A661" s="4"/>
      <c r="B661"/>
      <c r="C661"/>
      <c r="D661"/>
    </row>
    <row r="662" spans="1:4" x14ac:dyDescent="0.2">
      <c r="A662" s="4"/>
      <c r="B662"/>
      <c r="C662"/>
      <c r="D662"/>
    </row>
    <row r="663" spans="1:4" x14ac:dyDescent="0.2">
      <c r="A663" s="4"/>
      <c r="B663"/>
      <c r="C663"/>
      <c r="D663"/>
    </row>
    <row r="664" spans="1:4" x14ac:dyDescent="0.2">
      <c r="A664" s="4"/>
      <c r="B664"/>
      <c r="C664"/>
      <c r="D664"/>
    </row>
    <row r="665" spans="1:4" x14ac:dyDescent="0.2">
      <c r="A665" s="4"/>
      <c r="B665"/>
      <c r="C665"/>
      <c r="D665"/>
    </row>
    <row r="666" spans="1:4" x14ac:dyDescent="0.2">
      <c r="A666" s="4"/>
      <c r="B666"/>
      <c r="C666"/>
      <c r="D666"/>
    </row>
    <row r="667" spans="1:4" x14ac:dyDescent="0.2">
      <c r="A667" s="4"/>
      <c r="B667"/>
      <c r="C667"/>
      <c r="D667"/>
    </row>
    <row r="668" spans="1:4" x14ac:dyDescent="0.2">
      <c r="A668" s="4"/>
      <c r="B668"/>
      <c r="C668"/>
      <c r="D668"/>
    </row>
    <row r="669" spans="1:4" x14ac:dyDescent="0.2">
      <c r="A669" s="4"/>
      <c r="B669"/>
      <c r="C669"/>
      <c r="D669"/>
    </row>
    <row r="670" spans="1:4" x14ac:dyDescent="0.2">
      <c r="A670" s="4"/>
      <c r="B670"/>
      <c r="C670"/>
      <c r="D670"/>
    </row>
    <row r="671" spans="1:4" x14ac:dyDescent="0.2">
      <c r="A671" s="4"/>
      <c r="B671"/>
      <c r="C671"/>
      <c r="D671"/>
    </row>
    <row r="672" spans="1:4" x14ac:dyDescent="0.2">
      <c r="A672" s="4"/>
      <c r="B672"/>
      <c r="C672"/>
      <c r="D672"/>
    </row>
    <row r="673" spans="1:4" x14ac:dyDescent="0.2">
      <c r="A673" s="4"/>
      <c r="B673"/>
      <c r="C673"/>
      <c r="D673"/>
    </row>
    <row r="674" spans="1:4" x14ac:dyDescent="0.2">
      <c r="A674" s="4"/>
      <c r="B674"/>
      <c r="C674"/>
      <c r="D674"/>
    </row>
    <row r="675" spans="1:4" x14ac:dyDescent="0.2">
      <c r="A675" s="4"/>
      <c r="B675"/>
      <c r="C675"/>
      <c r="D675"/>
    </row>
    <row r="676" spans="1:4" x14ac:dyDescent="0.2">
      <c r="A676" s="4"/>
      <c r="B676"/>
      <c r="C676"/>
      <c r="D676"/>
    </row>
    <row r="677" spans="1:4" x14ac:dyDescent="0.2">
      <c r="A677" s="4"/>
      <c r="B677"/>
      <c r="C677"/>
      <c r="D677"/>
    </row>
    <row r="678" spans="1:4" x14ac:dyDescent="0.2">
      <c r="A678" s="4"/>
      <c r="B678"/>
      <c r="C678"/>
      <c r="D678"/>
    </row>
    <row r="679" spans="1:4" x14ac:dyDescent="0.2">
      <c r="A679" s="4"/>
      <c r="B679"/>
      <c r="C679"/>
      <c r="D679"/>
    </row>
    <row r="680" spans="1:4" x14ac:dyDescent="0.2">
      <c r="A680" s="4"/>
      <c r="B680"/>
      <c r="C680"/>
      <c r="D680"/>
    </row>
    <row r="681" spans="1:4" x14ac:dyDescent="0.2">
      <c r="A681" s="4"/>
      <c r="B681"/>
      <c r="C681"/>
      <c r="D681"/>
    </row>
    <row r="682" spans="1:4" x14ac:dyDescent="0.2">
      <c r="A682" s="4"/>
      <c r="B682"/>
      <c r="C682"/>
      <c r="D682"/>
    </row>
    <row r="683" spans="1:4" x14ac:dyDescent="0.2">
      <c r="A683" s="4"/>
      <c r="B683"/>
      <c r="C683"/>
      <c r="D683"/>
    </row>
    <row r="684" spans="1:4" x14ac:dyDescent="0.2">
      <c r="A684" s="4"/>
      <c r="B684"/>
      <c r="C684"/>
      <c r="D684"/>
    </row>
    <row r="685" spans="1:4" x14ac:dyDescent="0.2">
      <c r="A685" s="4"/>
      <c r="B685"/>
      <c r="C685"/>
      <c r="D685"/>
    </row>
    <row r="686" spans="1:4" x14ac:dyDescent="0.2">
      <c r="A686" s="4"/>
      <c r="B686"/>
      <c r="C686"/>
      <c r="D686"/>
    </row>
    <row r="687" spans="1:4" x14ac:dyDescent="0.2">
      <c r="A687" s="4"/>
      <c r="B687"/>
      <c r="C687"/>
      <c r="D687"/>
    </row>
    <row r="688" spans="1:4" x14ac:dyDescent="0.2">
      <c r="A688" s="4"/>
      <c r="B688"/>
      <c r="C688"/>
      <c r="D688"/>
    </row>
    <row r="689" spans="1:4" x14ac:dyDescent="0.2">
      <c r="A689" s="4"/>
      <c r="B689"/>
      <c r="C689"/>
      <c r="D689"/>
    </row>
    <row r="690" spans="1:4" x14ac:dyDescent="0.2">
      <c r="A690" s="4"/>
      <c r="B690"/>
      <c r="C690"/>
      <c r="D690"/>
    </row>
    <row r="691" spans="1:4" x14ac:dyDescent="0.2">
      <c r="A691" s="4"/>
      <c r="B691"/>
      <c r="C691"/>
      <c r="D691"/>
    </row>
    <row r="692" spans="1:4" x14ac:dyDescent="0.2">
      <c r="A692" s="4"/>
      <c r="B692"/>
      <c r="C692"/>
      <c r="D692"/>
    </row>
    <row r="693" spans="1:4" x14ac:dyDescent="0.2">
      <c r="A693" s="4"/>
      <c r="B693"/>
      <c r="C693"/>
      <c r="D693"/>
    </row>
    <row r="694" spans="1:4" x14ac:dyDescent="0.2">
      <c r="A694" s="4"/>
      <c r="B694"/>
      <c r="C694"/>
      <c r="D694"/>
    </row>
    <row r="695" spans="1:4" x14ac:dyDescent="0.2">
      <c r="A695" s="4"/>
      <c r="B695"/>
      <c r="C695"/>
      <c r="D695"/>
    </row>
    <row r="696" spans="1:4" x14ac:dyDescent="0.2">
      <c r="A696" s="4"/>
      <c r="B696"/>
      <c r="C696"/>
      <c r="D696"/>
    </row>
    <row r="697" spans="1:4" x14ac:dyDescent="0.2">
      <c r="A697" s="4"/>
      <c r="B697"/>
      <c r="C697"/>
      <c r="D697"/>
    </row>
    <row r="698" spans="1:4" x14ac:dyDescent="0.2">
      <c r="A698" s="4"/>
      <c r="B698"/>
      <c r="C698"/>
      <c r="D698"/>
    </row>
    <row r="699" spans="1:4" x14ac:dyDescent="0.2">
      <c r="A699" s="4"/>
      <c r="B699"/>
      <c r="C699"/>
      <c r="D699"/>
    </row>
    <row r="700" spans="1:4" x14ac:dyDescent="0.2">
      <c r="A700" s="4"/>
      <c r="B700"/>
      <c r="C700"/>
      <c r="D700"/>
    </row>
    <row r="701" spans="1:4" x14ac:dyDescent="0.2">
      <c r="A701" s="4"/>
      <c r="B701"/>
      <c r="C701"/>
      <c r="D701"/>
    </row>
    <row r="702" spans="1:4" x14ac:dyDescent="0.2">
      <c r="A702" s="4"/>
      <c r="B702"/>
      <c r="C702"/>
      <c r="D702"/>
    </row>
    <row r="703" spans="1:4" x14ac:dyDescent="0.2">
      <c r="A703" s="4"/>
      <c r="B703"/>
      <c r="C703"/>
      <c r="D703"/>
    </row>
    <row r="704" spans="1:4" x14ac:dyDescent="0.2">
      <c r="A704" s="4"/>
      <c r="B704"/>
      <c r="C704"/>
      <c r="D704"/>
    </row>
    <row r="705" spans="1:4" x14ac:dyDescent="0.2">
      <c r="A705" s="4"/>
      <c r="B705"/>
      <c r="C705"/>
      <c r="D705"/>
    </row>
    <row r="706" spans="1:4" x14ac:dyDescent="0.2">
      <c r="A706" s="4"/>
      <c r="B706"/>
      <c r="C706"/>
      <c r="D706"/>
    </row>
    <row r="707" spans="1:4" x14ac:dyDescent="0.2">
      <c r="A707" s="4"/>
      <c r="B707"/>
      <c r="C707"/>
      <c r="D707"/>
    </row>
    <row r="708" spans="1:4" x14ac:dyDescent="0.2">
      <c r="A708" s="4"/>
      <c r="B708"/>
      <c r="C708"/>
      <c r="D708"/>
    </row>
    <row r="709" spans="1:4" x14ac:dyDescent="0.2">
      <c r="A709" s="4"/>
      <c r="B709"/>
      <c r="C709"/>
      <c r="D709"/>
    </row>
    <row r="710" spans="1:4" x14ac:dyDescent="0.2">
      <c r="A710" s="4"/>
      <c r="B710"/>
      <c r="C710"/>
      <c r="D710"/>
    </row>
    <row r="711" spans="1:4" x14ac:dyDescent="0.2">
      <c r="A711" s="4"/>
      <c r="B711"/>
      <c r="C711"/>
      <c r="D711"/>
    </row>
    <row r="712" spans="1:4" x14ac:dyDescent="0.2">
      <c r="A712" s="4"/>
      <c r="B712"/>
      <c r="C712"/>
      <c r="D712"/>
    </row>
    <row r="713" spans="1:4" x14ac:dyDescent="0.2">
      <c r="A713" s="4"/>
      <c r="B713"/>
      <c r="C713"/>
      <c r="D713"/>
    </row>
    <row r="714" spans="1:4" x14ac:dyDescent="0.2">
      <c r="A714" s="4"/>
      <c r="B714"/>
      <c r="C714"/>
      <c r="D714"/>
    </row>
    <row r="715" spans="1:4" x14ac:dyDescent="0.2">
      <c r="A715" s="4"/>
      <c r="B715"/>
      <c r="C715"/>
      <c r="D715"/>
    </row>
    <row r="716" spans="1:4" x14ac:dyDescent="0.2">
      <c r="A716" s="4"/>
      <c r="B716"/>
      <c r="C716"/>
      <c r="D716"/>
    </row>
    <row r="717" spans="1:4" x14ac:dyDescent="0.2">
      <c r="A717" s="4"/>
      <c r="B717"/>
      <c r="C717"/>
      <c r="D717"/>
    </row>
    <row r="718" spans="1:4" x14ac:dyDescent="0.2">
      <c r="A718" s="4"/>
      <c r="B718"/>
      <c r="C718"/>
      <c r="D718"/>
    </row>
    <row r="719" spans="1:4" x14ac:dyDescent="0.2">
      <c r="A719" s="4"/>
      <c r="B719"/>
      <c r="C719"/>
      <c r="D719"/>
    </row>
    <row r="720" spans="1:4" x14ac:dyDescent="0.2">
      <c r="A720" s="4"/>
      <c r="B720"/>
      <c r="C720"/>
      <c r="D720"/>
    </row>
    <row r="721" spans="1:4" x14ac:dyDescent="0.2">
      <c r="A721" s="4"/>
      <c r="B721"/>
      <c r="C721"/>
      <c r="D721"/>
    </row>
    <row r="722" spans="1:4" x14ac:dyDescent="0.2">
      <c r="A722" s="4"/>
      <c r="B722"/>
      <c r="C722"/>
      <c r="D722"/>
    </row>
    <row r="723" spans="1:4" x14ac:dyDescent="0.2">
      <c r="A723" s="4"/>
      <c r="B723"/>
      <c r="C723"/>
      <c r="D723"/>
    </row>
    <row r="724" spans="1:4" x14ac:dyDescent="0.2">
      <c r="A724" s="4"/>
      <c r="B724"/>
      <c r="C724"/>
      <c r="D724"/>
    </row>
    <row r="725" spans="1:4" x14ac:dyDescent="0.2">
      <c r="A725" s="4"/>
      <c r="B725"/>
      <c r="C725"/>
      <c r="D725"/>
    </row>
    <row r="726" spans="1:4" x14ac:dyDescent="0.2">
      <c r="A726" s="4"/>
      <c r="B726"/>
      <c r="C726"/>
      <c r="D726"/>
    </row>
    <row r="727" spans="1:4" x14ac:dyDescent="0.2">
      <c r="A727" s="4"/>
      <c r="B727"/>
      <c r="C727"/>
      <c r="D727"/>
    </row>
    <row r="728" spans="1:4" x14ac:dyDescent="0.2">
      <c r="A728" s="4"/>
      <c r="B728"/>
      <c r="C728"/>
      <c r="D728"/>
    </row>
    <row r="729" spans="1:4" x14ac:dyDescent="0.2">
      <c r="A729" s="4"/>
      <c r="B729"/>
      <c r="C729"/>
      <c r="D729"/>
    </row>
    <row r="730" spans="1:4" x14ac:dyDescent="0.2">
      <c r="A730" s="4"/>
      <c r="B730"/>
      <c r="C730"/>
      <c r="D730"/>
    </row>
    <row r="731" spans="1:4" x14ac:dyDescent="0.2">
      <c r="A731" s="4"/>
      <c r="B731"/>
      <c r="C731"/>
      <c r="D731"/>
    </row>
    <row r="732" spans="1:4" x14ac:dyDescent="0.2">
      <c r="A732" s="4"/>
      <c r="B732"/>
      <c r="C732"/>
      <c r="D732"/>
    </row>
    <row r="733" spans="1:4" x14ac:dyDescent="0.2">
      <c r="A733" s="4"/>
      <c r="B733"/>
      <c r="C733"/>
      <c r="D733"/>
    </row>
    <row r="734" spans="1:4" x14ac:dyDescent="0.2">
      <c r="A734" s="4"/>
      <c r="B734"/>
      <c r="C734"/>
      <c r="D734"/>
    </row>
    <row r="735" spans="1:4" x14ac:dyDescent="0.2">
      <c r="A735" s="4"/>
      <c r="B735"/>
      <c r="C735"/>
      <c r="D735"/>
    </row>
    <row r="736" spans="1:4" x14ac:dyDescent="0.2">
      <c r="A736" s="4"/>
      <c r="B736"/>
      <c r="C736"/>
      <c r="D736"/>
    </row>
    <row r="737" spans="1:4" x14ac:dyDescent="0.2">
      <c r="A737" s="4"/>
      <c r="B737"/>
      <c r="C737"/>
      <c r="D737"/>
    </row>
    <row r="738" spans="1:4" x14ac:dyDescent="0.2">
      <c r="A738" s="4"/>
      <c r="B738"/>
      <c r="C738"/>
      <c r="D738"/>
    </row>
    <row r="739" spans="1:4" x14ac:dyDescent="0.2">
      <c r="A739" s="4"/>
      <c r="B739"/>
      <c r="C739"/>
      <c r="D739"/>
    </row>
    <row r="740" spans="1:4" x14ac:dyDescent="0.2">
      <c r="A740" s="4"/>
      <c r="B740"/>
      <c r="C740"/>
      <c r="D740"/>
    </row>
    <row r="741" spans="1:4" x14ac:dyDescent="0.2">
      <c r="A741" s="4"/>
      <c r="B741"/>
      <c r="C741"/>
      <c r="D741"/>
    </row>
    <row r="742" spans="1:4" x14ac:dyDescent="0.2">
      <c r="A742" s="4"/>
      <c r="B742"/>
      <c r="C742"/>
      <c r="D742"/>
    </row>
    <row r="743" spans="1:4" x14ac:dyDescent="0.2">
      <c r="A743" s="4"/>
      <c r="B743"/>
      <c r="C743"/>
      <c r="D743"/>
    </row>
    <row r="744" spans="1:4" x14ac:dyDescent="0.2">
      <c r="A744" s="4"/>
      <c r="B744"/>
      <c r="C744"/>
      <c r="D744"/>
    </row>
    <row r="745" spans="1:4" x14ac:dyDescent="0.2">
      <c r="A745" s="4"/>
      <c r="B745"/>
      <c r="C745"/>
      <c r="D745"/>
    </row>
    <row r="746" spans="1:4" x14ac:dyDescent="0.2">
      <c r="A746" s="4"/>
      <c r="B746"/>
      <c r="C746"/>
      <c r="D746"/>
    </row>
    <row r="747" spans="1:4" x14ac:dyDescent="0.2">
      <c r="A747" s="4"/>
      <c r="B747"/>
      <c r="C747"/>
      <c r="D747"/>
    </row>
    <row r="748" spans="1:4" x14ac:dyDescent="0.2">
      <c r="A748" s="4"/>
      <c r="B748"/>
      <c r="C748"/>
      <c r="D748"/>
    </row>
    <row r="749" spans="1:4" x14ac:dyDescent="0.2">
      <c r="A749" s="4"/>
      <c r="B749"/>
      <c r="C749"/>
      <c r="D749"/>
    </row>
    <row r="750" spans="1:4" x14ac:dyDescent="0.2">
      <c r="A750" s="4"/>
      <c r="B750"/>
      <c r="C750"/>
      <c r="D750"/>
    </row>
    <row r="751" spans="1:4" x14ac:dyDescent="0.2">
      <c r="A751" s="4"/>
      <c r="B751"/>
      <c r="C751"/>
      <c r="D751"/>
    </row>
    <row r="752" spans="1:4" x14ac:dyDescent="0.2">
      <c r="A752" s="4"/>
      <c r="B752"/>
      <c r="C752"/>
      <c r="D752"/>
    </row>
    <row r="753" spans="1:4" x14ac:dyDescent="0.2">
      <c r="A753" s="4"/>
      <c r="B753"/>
      <c r="C753"/>
      <c r="D753"/>
    </row>
    <row r="754" spans="1:4" x14ac:dyDescent="0.2">
      <c r="A754" s="4"/>
      <c r="B754"/>
      <c r="C754"/>
      <c r="D754"/>
    </row>
    <row r="755" spans="1:4" x14ac:dyDescent="0.2">
      <c r="A755" s="4"/>
      <c r="B755"/>
      <c r="C755"/>
      <c r="D755"/>
    </row>
    <row r="756" spans="1:4" x14ac:dyDescent="0.2">
      <c r="A756" s="4"/>
      <c r="B756"/>
      <c r="C756"/>
      <c r="D756"/>
    </row>
    <row r="757" spans="1:4" x14ac:dyDescent="0.2">
      <c r="A757" s="4"/>
      <c r="B757"/>
      <c r="C757"/>
      <c r="D757"/>
    </row>
    <row r="758" spans="1:4" x14ac:dyDescent="0.2">
      <c r="A758" s="4"/>
      <c r="B758"/>
      <c r="C758"/>
      <c r="D758"/>
    </row>
    <row r="759" spans="1:4" x14ac:dyDescent="0.2">
      <c r="A759" s="4"/>
      <c r="B759"/>
      <c r="C759"/>
      <c r="D759"/>
    </row>
    <row r="760" spans="1:4" x14ac:dyDescent="0.2">
      <c r="A760" s="4"/>
      <c r="B760"/>
      <c r="C760"/>
      <c r="D760"/>
    </row>
    <row r="761" spans="1:4" x14ac:dyDescent="0.2">
      <c r="A761" s="4"/>
      <c r="B761"/>
      <c r="C761"/>
      <c r="D761"/>
    </row>
    <row r="762" spans="1:4" x14ac:dyDescent="0.2">
      <c r="A762" s="4"/>
      <c r="B762"/>
      <c r="C762"/>
      <c r="D762"/>
    </row>
    <row r="763" spans="1:4" x14ac:dyDescent="0.2">
      <c r="A763" s="4"/>
      <c r="B763"/>
      <c r="C763"/>
      <c r="D763"/>
    </row>
    <row r="764" spans="1:4" x14ac:dyDescent="0.2">
      <c r="A764" s="4"/>
      <c r="B764"/>
      <c r="C764"/>
      <c r="D764"/>
    </row>
    <row r="765" spans="1:4" x14ac:dyDescent="0.2">
      <c r="A765" s="4"/>
      <c r="B765"/>
      <c r="C765"/>
      <c r="D765"/>
    </row>
    <row r="766" spans="1:4" x14ac:dyDescent="0.2">
      <c r="A766" s="4"/>
      <c r="B766"/>
      <c r="C766"/>
      <c r="D766"/>
    </row>
    <row r="767" spans="1:4" x14ac:dyDescent="0.2">
      <c r="A767" s="4"/>
      <c r="B767"/>
      <c r="C767"/>
      <c r="D767"/>
    </row>
    <row r="768" spans="1:4" x14ac:dyDescent="0.2">
      <c r="A768" s="4"/>
      <c r="B768"/>
      <c r="C768"/>
      <c r="D768"/>
    </row>
    <row r="769" spans="1:4" x14ac:dyDescent="0.2">
      <c r="A769" s="4"/>
      <c r="B769"/>
      <c r="C769"/>
      <c r="D769"/>
    </row>
    <row r="770" spans="1:4" x14ac:dyDescent="0.2">
      <c r="A770" s="4"/>
      <c r="B770"/>
      <c r="C770"/>
      <c r="D770"/>
    </row>
    <row r="771" spans="1:4" x14ac:dyDescent="0.2">
      <c r="A771" s="4"/>
      <c r="B771"/>
      <c r="C771"/>
      <c r="D771"/>
    </row>
    <row r="772" spans="1:4" x14ac:dyDescent="0.2">
      <c r="A772" s="4"/>
      <c r="B772"/>
      <c r="C772"/>
      <c r="D772"/>
    </row>
    <row r="773" spans="1:4" x14ac:dyDescent="0.2">
      <c r="A773" s="4"/>
      <c r="B773"/>
      <c r="C773"/>
      <c r="D773"/>
    </row>
    <row r="774" spans="1:4" x14ac:dyDescent="0.2">
      <c r="A774" s="4"/>
      <c r="B774"/>
      <c r="C774"/>
      <c r="D774"/>
    </row>
    <row r="775" spans="1:4" x14ac:dyDescent="0.2">
      <c r="A775" s="4"/>
      <c r="B775"/>
      <c r="C775"/>
      <c r="D775"/>
    </row>
    <row r="776" spans="1:4" x14ac:dyDescent="0.2">
      <c r="A776" s="4"/>
      <c r="B776"/>
      <c r="C776"/>
      <c r="D776"/>
    </row>
    <row r="777" spans="1:4" x14ac:dyDescent="0.2">
      <c r="A777" s="4"/>
      <c r="B777"/>
      <c r="C777"/>
      <c r="D777"/>
    </row>
    <row r="778" spans="1:4" x14ac:dyDescent="0.2">
      <c r="A778" s="4"/>
      <c r="B778"/>
      <c r="C778"/>
      <c r="D778"/>
    </row>
    <row r="779" spans="1:4" x14ac:dyDescent="0.2">
      <c r="A779" s="4"/>
      <c r="B779"/>
      <c r="C779"/>
      <c r="D779"/>
    </row>
    <row r="780" spans="1:4" x14ac:dyDescent="0.2">
      <c r="A780" s="4"/>
      <c r="B780"/>
      <c r="C780"/>
      <c r="D780"/>
    </row>
    <row r="781" spans="1:4" x14ac:dyDescent="0.2">
      <c r="A781" s="4"/>
      <c r="B781"/>
      <c r="C781"/>
      <c r="D781"/>
    </row>
    <row r="782" spans="1:4" x14ac:dyDescent="0.2">
      <c r="A782" s="4"/>
      <c r="B782"/>
      <c r="C782"/>
      <c r="D782"/>
    </row>
    <row r="783" spans="1:4" x14ac:dyDescent="0.2">
      <c r="A783" s="4"/>
      <c r="B783"/>
      <c r="C783"/>
      <c r="D783"/>
    </row>
    <row r="784" spans="1:4" x14ac:dyDescent="0.2">
      <c r="A784" s="4"/>
      <c r="B784"/>
      <c r="C784"/>
      <c r="D784"/>
    </row>
    <row r="785" spans="1:4" x14ac:dyDescent="0.2">
      <c r="A785" s="4"/>
      <c r="B785"/>
      <c r="C785"/>
      <c r="D785"/>
    </row>
    <row r="786" spans="1:4" x14ac:dyDescent="0.2">
      <c r="A786" s="4"/>
      <c r="B786"/>
      <c r="C786"/>
      <c r="D786"/>
    </row>
    <row r="787" spans="1:4" x14ac:dyDescent="0.2">
      <c r="A787" s="4"/>
      <c r="B787"/>
      <c r="C787"/>
      <c r="D787"/>
    </row>
    <row r="788" spans="1:4" x14ac:dyDescent="0.2">
      <c r="A788" s="4"/>
      <c r="B788"/>
      <c r="C788"/>
      <c r="D788"/>
    </row>
    <row r="789" spans="1:4" x14ac:dyDescent="0.2">
      <c r="A789" s="4"/>
      <c r="B789"/>
      <c r="C789"/>
      <c r="D789"/>
    </row>
    <row r="790" spans="1:4" x14ac:dyDescent="0.2">
      <c r="A790" s="4"/>
      <c r="B790"/>
      <c r="C790"/>
      <c r="D790"/>
    </row>
    <row r="791" spans="1:4" x14ac:dyDescent="0.2">
      <c r="A791" s="4"/>
      <c r="B791"/>
      <c r="C791"/>
      <c r="D791"/>
    </row>
    <row r="792" spans="1:4" x14ac:dyDescent="0.2">
      <c r="A792" s="4"/>
      <c r="B792"/>
      <c r="C792"/>
      <c r="D792"/>
    </row>
    <row r="793" spans="1:4" x14ac:dyDescent="0.2">
      <c r="A793" s="4"/>
      <c r="B793"/>
      <c r="C793"/>
      <c r="D793"/>
    </row>
    <row r="794" spans="1:4" x14ac:dyDescent="0.2">
      <c r="A794" s="4"/>
      <c r="B794"/>
      <c r="C794"/>
      <c r="D794"/>
    </row>
    <row r="795" spans="1:4" x14ac:dyDescent="0.2">
      <c r="A795" s="4"/>
      <c r="B795"/>
      <c r="C795"/>
      <c r="D795"/>
    </row>
    <row r="796" spans="1:4" x14ac:dyDescent="0.2">
      <c r="A796" s="4"/>
      <c r="B796"/>
      <c r="C796"/>
      <c r="D796"/>
    </row>
    <row r="797" spans="1:4" x14ac:dyDescent="0.2">
      <c r="A797" s="4"/>
      <c r="B797"/>
      <c r="C797"/>
      <c r="D797"/>
    </row>
    <row r="798" spans="1:4" x14ac:dyDescent="0.2">
      <c r="A798" s="4"/>
      <c r="B798"/>
      <c r="C798"/>
      <c r="D798"/>
    </row>
    <row r="799" spans="1:4" x14ac:dyDescent="0.2">
      <c r="A799" s="4"/>
      <c r="B799"/>
      <c r="C799"/>
      <c r="D799"/>
    </row>
    <row r="800" spans="1:4" x14ac:dyDescent="0.2">
      <c r="A800" s="4"/>
      <c r="B800"/>
      <c r="C800"/>
      <c r="D800"/>
    </row>
    <row r="801" spans="1:4" x14ac:dyDescent="0.2">
      <c r="A801" s="4"/>
      <c r="B801"/>
      <c r="C801"/>
      <c r="D801"/>
    </row>
    <row r="802" spans="1:4" x14ac:dyDescent="0.2">
      <c r="A802" s="4"/>
      <c r="B802"/>
      <c r="C802"/>
      <c r="D802"/>
    </row>
    <row r="803" spans="1:4" x14ac:dyDescent="0.2">
      <c r="A803" s="4"/>
      <c r="B803"/>
      <c r="C803"/>
      <c r="D803"/>
    </row>
    <row r="804" spans="1:4" x14ac:dyDescent="0.2">
      <c r="A804" s="4"/>
      <c r="B804"/>
      <c r="C804"/>
      <c r="D804"/>
    </row>
    <row r="805" spans="1:4" x14ac:dyDescent="0.2">
      <c r="A805" s="4"/>
      <c r="B805"/>
      <c r="C805"/>
      <c r="D805"/>
    </row>
    <row r="806" spans="1:4" x14ac:dyDescent="0.2">
      <c r="A806" s="4"/>
      <c r="B806"/>
      <c r="C806"/>
      <c r="D806"/>
    </row>
    <row r="807" spans="1:4" x14ac:dyDescent="0.2">
      <c r="A807" s="4"/>
      <c r="B807"/>
      <c r="C807"/>
      <c r="D807"/>
    </row>
    <row r="808" spans="1:4" x14ac:dyDescent="0.2">
      <c r="A808" s="4"/>
      <c r="B808"/>
      <c r="C808"/>
      <c r="D808"/>
    </row>
    <row r="809" spans="1:4" x14ac:dyDescent="0.2">
      <c r="A809" s="4"/>
      <c r="B809"/>
      <c r="C809"/>
      <c r="D809"/>
    </row>
    <row r="810" spans="1:4" x14ac:dyDescent="0.2">
      <c r="A810" s="4"/>
      <c r="B810"/>
      <c r="C810"/>
      <c r="D810"/>
    </row>
    <row r="811" spans="1:4" x14ac:dyDescent="0.2">
      <c r="A811" s="4"/>
      <c r="B811"/>
      <c r="C811"/>
      <c r="D811"/>
    </row>
    <row r="812" spans="1:4" x14ac:dyDescent="0.2">
      <c r="A812" s="4"/>
      <c r="B812"/>
      <c r="C812"/>
      <c r="D812"/>
    </row>
    <row r="813" spans="1:4" x14ac:dyDescent="0.2">
      <c r="A813" s="4"/>
      <c r="B813"/>
      <c r="C813"/>
      <c r="D813"/>
    </row>
    <row r="814" spans="1:4" x14ac:dyDescent="0.2">
      <c r="A814" s="4"/>
      <c r="B814"/>
      <c r="C814"/>
      <c r="D814"/>
    </row>
    <row r="815" spans="1:4" x14ac:dyDescent="0.2">
      <c r="A815" s="4"/>
      <c r="B815"/>
      <c r="C815"/>
      <c r="D815"/>
    </row>
    <row r="816" spans="1:4" x14ac:dyDescent="0.2">
      <c r="A816" s="4"/>
      <c r="B816"/>
      <c r="C816"/>
      <c r="D816"/>
    </row>
    <row r="817" spans="1:4" x14ac:dyDescent="0.2">
      <c r="A817" s="4"/>
      <c r="B817"/>
      <c r="C817"/>
      <c r="D817"/>
    </row>
    <row r="818" spans="1:4" x14ac:dyDescent="0.2">
      <c r="A818" s="4"/>
      <c r="B818"/>
      <c r="C818"/>
      <c r="D818"/>
    </row>
    <row r="819" spans="1:4" x14ac:dyDescent="0.2">
      <c r="A819" s="4"/>
      <c r="B819"/>
      <c r="C819"/>
      <c r="D819"/>
    </row>
    <row r="820" spans="1:4" x14ac:dyDescent="0.2">
      <c r="A820" s="4"/>
      <c r="B820"/>
      <c r="C820"/>
      <c r="D820"/>
    </row>
    <row r="821" spans="1:4" x14ac:dyDescent="0.2">
      <c r="A821" s="4"/>
      <c r="B821"/>
      <c r="C821"/>
      <c r="D821"/>
    </row>
    <row r="822" spans="1:4" x14ac:dyDescent="0.2">
      <c r="A822" s="4"/>
      <c r="B822"/>
      <c r="C822"/>
      <c r="D822"/>
    </row>
    <row r="823" spans="1:4" x14ac:dyDescent="0.2">
      <c r="A823" s="4"/>
      <c r="B823"/>
      <c r="C823"/>
      <c r="D823"/>
    </row>
    <row r="824" spans="1:4" x14ac:dyDescent="0.2">
      <c r="A824" s="4"/>
      <c r="B824"/>
      <c r="C824"/>
      <c r="D824"/>
    </row>
    <row r="825" spans="1:4" x14ac:dyDescent="0.2">
      <c r="A825" s="4"/>
      <c r="B825"/>
      <c r="C825"/>
      <c r="D825"/>
    </row>
    <row r="826" spans="1:4" x14ac:dyDescent="0.2">
      <c r="A826" s="4"/>
      <c r="B826"/>
      <c r="C826"/>
      <c r="D826"/>
    </row>
    <row r="827" spans="1:4" x14ac:dyDescent="0.2">
      <c r="A827" s="4"/>
      <c r="B827"/>
      <c r="C827"/>
      <c r="D827"/>
    </row>
    <row r="828" spans="1:4" x14ac:dyDescent="0.2">
      <c r="A828" s="4"/>
      <c r="B828"/>
      <c r="C828"/>
      <c r="D828"/>
    </row>
    <row r="829" spans="1:4" x14ac:dyDescent="0.2">
      <c r="A829" s="4"/>
      <c r="B829"/>
      <c r="C829"/>
      <c r="D829"/>
    </row>
    <row r="830" spans="1:4" x14ac:dyDescent="0.2">
      <c r="A830" s="4"/>
      <c r="B830"/>
      <c r="C830"/>
      <c r="D830"/>
    </row>
    <row r="831" spans="1:4" x14ac:dyDescent="0.2">
      <c r="A831" s="4"/>
      <c r="B831"/>
      <c r="C831"/>
      <c r="D831"/>
    </row>
    <row r="832" spans="1:4" x14ac:dyDescent="0.2">
      <c r="A832" s="4"/>
      <c r="B832"/>
      <c r="C832"/>
      <c r="D832"/>
    </row>
    <row r="833" spans="1:4" x14ac:dyDescent="0.2">
      <c r="A833" s="4"/>
      <c r="B833"/>
      <c r="C833"/>
      <c r="D833"/>
    </row>
    <row r="834" spans="1:4" x14ac:dyDescent="0.2">
      <c r="A834" s="4"/>
      <c r="B834"/>
      <c r="C834"/>
      <c r="D834"/>
    </row>
    <row r="835" spans="1:4" x14ac:dyDescent="0.2">
      <c r="A835" s="4"/>
      <c r="B835"/>
      <c r="C835"/>
      <c r="D835"/>
    </row>
    <row r="836" spans="1:4" x14ac:dyDescent="0.2">
      <c r="A836" s="4"/>
      <c r="B836"/>
      <c r="C836"/>
      <c r="D836"/>
    </row>
    <row r="837" spans="1:4" x14ac:dyDescent="0.2">
      <c r="A837" s="4"/>
      <c r="B837"/>
      <c r="C837"/>
      <c r="D837"/>
    </row>
    <row r="838" spans="1:4" x14ac:dyDescent="0.2">
      <c r="A838" s="4"/>
      <c r="B838"/>
      <c r="C838"/>
      <c r="D838"/>
    </row>
    <row r="839" spans="1:4" x14ac:dyDescent="0.2">
      <c r="A839" s="4"/>
      <c r="B839"/>
      <c r="C839"/>
      <c r="D839"/>
    </row>
    <row r="840" spans="1:4" x14ac:dyDescent="0.2">
      <c r="A840" s="4"/>
      <c r="B840"/>
      <c r="C840"/>
      <c r="D840"/>
    </row>
    <row r="841" spans="1:4" x14ac:dyDescent="0.2">
      <c r="A841" s="4"/>
      <c r="B841"/>
      <c r="C841"/>
      <c r="D841"/>
    </row>
    <row r="842" spans="1:4" x14ac:dyDescent="0.2">
      <c r="A842" s="4"/>
      <c r="B842"/>
      <c r="C842"/>
      <c r="D842"/>
    </row>
    <row r="843" spans="1:4" x14ac:dyDescent="0.2">
      <c r="A843" s="4"/>
      <c r="B843"/>
      <c r="C843"/>
      <c r="D843"/>
    </row>
    <row r="844" spans="1:4" x14ac:dyDescent="0.2">
      <c r="A844" s="4"/>
      <c r="B844"/>
      <c r="C844"/>
      <c r="D844"/>
    </row>
    <row r="845" spans="1:4" x14ac:dyDescent="0.2">
      <c r="A845" s="4"/>
      <c r="B845"/>
      <c r="C845"/>
      <c r="D845"/>
    </row>
    <row r="846" spans="1:4" x14ac:dyDescent="0.2">
      <c r="A846" s="4"/>
      <c r="B846"/>
      <c r="C846"/>
      <c r="D846"/>
    </row>
    <row r="847" spans="1:4" x14ac:dyDescent="0.2">
      <c r="A847" s="4"/>
      <c r="B847"/>
      <c r="C847"/>
      <c r="D847"/>
    </row>
    <row r="848" spans="1:4" x14ac:dyDescent="0.2">
      <c r="A848" s="4"/>
      <c r="B848"/>
      <c r="C848"/>
      <c r="D848"/>
    </row>
    <row r="849" spans="1:4" x14ac:dyDescent="0.2">
      <c r="A849" s="4"/>
      <c r="B849"/>
      <c r="C849"/>
      <c r="D849"/>
    </row>
    <row r="850" spans="1:4" x14ac:dyDescent="0.2">
      <c r="A850" s="4"/>
      <c r="B850"/>
      <c r="C850"/>
      <c r="D850"/>
    </row>
    <row r="851" spans="1:4" x14ac:dyDescent="0.2">
      <c r="A851" s="4"/>
      <c r="B851"/>
      <c r="C851"/>
      <c r="D851"/>
    </row>
    <row r="852" spans="1:4" x14ac:dyDescent="0.2">
      <c r="A852" s="4"/>
      <c r="B852"/>
      <c r="C852"/>
      <c r="D852"/>
    </row>
    <row r="853" spans="1:4" x14ac:dyDescent="0.2">
      <c r="A853" s="4"/>
      <c r="B853"/>
      <c r="C853"/>
      <c r="D853"/>
    </row>
    <row r="854" spans="1:4" x14ac:dyDescent="0.2">
      <c r="A854" s="4"/>
      <c r="B854"/>
      <c r="C854"/>
      <c r="D854"/>
    </row>
    <row r="855" spans="1:4" x14ac:dyDescent="0.2">
      <c r="A855" s="4"/>
      <c r="B855"/>
      <c r="C855"/>
      <c r="D855"/>
    </row>
    <row r="856" spans="1:4" x14ac:dyDescent="0.2">
      <c r="A856" s="4"/>
      <c r="B856"/>
      <c r="C856"/>
      <c r="D856"/>
    </row>
    <row r="857" spans="1:4" x14ac:dyDescent="0.2">
      <c r="A857" s="4"/>
      <c r="B857"/>
      <c r="C857"/>
      <c r="D857"/>
    </row>
    <row r="858" spans="1:4" x14ac:dyDescent="0.2">
      <c r="A858" s="4"/>
      <c r="B858"/>
      <c r="C858"/>
      <c r="D858"/>
    </row>
    <row r="859" spans="1:4" x14ac:dyDescent="0.2">
      <c r="A859" s="4"/>
      <c r="B859"/>
      <c r="C859"/>
      <c r="D859"/>
    </row>
    <row r="860" spans="1:4" x14ac:dyDescent="0.2">
      <c r="A860" s="4"/>
      <c r="B860"/>
      <c r="C860"/>
      <c r="D860"/>
    </row>
    <row r="861" spans="1:4" x14ac:dyDescent="0.2">
      <c r="A861" s="4"/>
      <c r="B861"/>
      <c r="C861"/>
      <c r="D861"/>
    </row>
    <row r="862" spans="1:4" x14ac:dyDescent="0.2">
      <c r="A862" s="4"/>
      <c r="B862"/>
      <c r="C862"/>
      <c r="D862"/>
    </row>
    <row r="863" spans="1:4" x14ac:dyDescent="0.2">
      <c r="A863" s="4"/>
      <c r="B863"/>
      <c r="C863"/>
      <c r="D863"/>
    </row>
    <row r="864" spans="1:4" x14ac:dyDescent="0.2">
      <c r="A864" s="4"/>
      <c r="B864"/>
      <c r="C864"/>
      <c r="D864"/>
    </row>
    <row r="865" spans="1:4" x14ac:dyDescent="0.2">
      <c r="A865" s="4"/>
      <c r="B865"/>
      <c r="C865"/>
      <c r="D865"/>
    </row>
    <row r="866" spans="1:4" x14ac:dyDescent="0.2">
      <c r="A866" s="4"/>
      <c r="B866"/>
      <c r="C866"/>
      <c r="D866"/>
    </row>
    <row r="867" spans="1:4" x14ac:dyDescent="0.2">
      <c r="A867" s="4"/>
      <c r="B867"/>
      <c r="C867"/>
      <c r="D867"/>
    </row>
    <row r="868" spans="1:4" x14ac:dyDescent="0.2">
      <c r="A868" s="4"/>
      <c r="B868"/>
      <c r="C868"/>
      <c r="D868"/>
    </row>
    <row r="869" spans="1:4" x14ac:dyDescent="0.2">
      <c r="A869" s="4"/>
      <c r="B869"/>
      <c r="C869"/>
      <c r="D869"/>
    </row>
    <row r="870" spans="1:4" x14ac:dyDescent="0.2">
      <c r="A870" s="4"/>
      <c r="B870"/>
      <c r="C870"/>
      <c r="D870"/>
    </row>
    <row r="871" spans="1:4" x14ac:dyDescent="0.2">
      <c r="A871" s="4"/>
      <c r="B871"/>
      <c r="C871"/>
      <c r="D871"/>
    </row>
    <row r="872" spans="1:4" x14ac:dyDescent="0.2">
      <c r="A872" s="4"/>
      <c r="B872"/>
      <c r="C872"/>
      <c r="D872"/>
    </row>
    <row r="873" spans="1:4" x14ac:dyDescent="0.2">
      <c r="A873" s="4"/>
      <c r="B873"/>
      <c r="C873"/>
      <c r="D873"/>
    </row>
    <row r="874" spans="1:4" x14ac:dyDescent="0.2">
      <c r="A874" s="4"/>
      <c r="B874"/>
      <c r="C874"/>
      <c r="D874"/>
    </row>
    <row r="875" spans="1:4" x14ac:dyDescent="0.2">
      <c r="A875" s="4"/>
      <c r="B875"/>
      <c r="C875"/>
      <c r="D875"/>
    </row>
    <row r="876" spans="1:4" x14ac:dyDescent="0.2">
      <c r="A876" s="4"/>
      <c r="B876"/>
      <c r="C876"/>
      <c r="D876"/>
    </row>
    <row r="877" spans="1:4" x14ac:dyDescent="0.2">
      <c r="A877" s="4"/>
      <c r="B877"/>
      <c r="C877"/>
      <c r="D877"/>
    </row>
    <row r="878" spans="1:4" x14ac:dyDescent="0.2">
      <c r="A878" s="4"/>
      <c r="B878"/>
      <c r="C878"/>
      <c r="D878"/>
    </row>
    <row r="879" spans="1:4" x14ac:dyDescent="0.2">
      <c r="A879" s="4"/>
      <c r="B879"/>
      <c r="C879"/>
      <c r="D879"/>
    </row>
    <row r="880" spans="1:4" x14ac:dyDescent="0.2">
      <c r="A880" s="4"/>
      <c r="B880"/>
      <c r="C880"/>
      <c r="D880"/>
    </row>
    <row r="881" spans="1:4" x14ac:dyDescent="0.2">
      <c r="A881" s="4"/>
      <c r="B881"/>
      <c r="C881"/>
      <c r="D881"/>
    </row>
    <row r="882" spans="1:4" x14ac:dyDescent="0.2">
      <c r="A882" s="4"/>
      <c r="B882"/>
      <c r="C882"/>
      <c r="D882"/>
    </row>
    <row r="883" spans="1:4" x14ac:dyDescent="0.2">
      <c r="A883" s="4"/>
      <c r="B883"/>
      <c r="C883"/>
      <c r="D883"/>
    </row>
    <row r="884" spans="1:4" x14ac:dyDescent="0.2">
      <c r="A884" s="4"/>
      <c r="B884"/>
      <c r="C884"/>
      <c r="D884"/>
    </row>
    <row r="885" spans="1:4" x14ac:dyDescent="0.2">
      <c r="A885" s="4"/>
      <c r="B885"/>
      <c r="C885"/>
      <c r="D885"/>
    </row>
    <row r="886" spans="1:4" x14ac:dyDescent="0.2">
      <c r="A886" s="4"/>
      <c r="B886"/>
      <c r="C886"/>
      <c r="D886"/>
    </row>
    <row r="887" spans="1:4" x14ac:dyDescent="0.2">
      <c r="A887" s="4"/>
      <c r="B887"/>
      <c r="C887"/>
      <c r="D887"/>
    </row>
    <row r="888" spans="1:4" x14ac:dyDescent="0.2">
      <c r="A888" s="4"/>
      <c r="B888"/>
      <c r="C888"/>
      <c r="D888"/>
    </row>
    <row r="889" spans="1:4" x14ac:dyDescent="0.2">
      <c r="A889" s="4"/>
      <c r="B889"/>
      <c r="C889"/>
      <c r="D889"/>
    </row>
    <row r="890" spans="1:4" x14ac:dyDescent="0.2">
      <c r="A890" s="4"/>
      <c r="B890"/>
      <c r="C890"/>
      <c r="D890"/>
    </row>
    <row r="891" spans="1:4" x14ac:dyDescent="0.2">
      <c r="A891" s="4"/>
      <c r="B891"/>
      <c r="C891"/>
      <c r="D891"/>
    </row>
    <row r="892" spans="1:4" x14ac:dyDescent="0.2">
      <c r="A892" s="4"/>
      <c r="B892"/>
      <c r="C892"/>
      <c r="D892"/>
    </row>
    <row r="893" spans="1:4" x14ac:dyDescent="0.2">
      <c r="A893" s="4"/>
      <c r="B893"/>
      <c r="C893"/>
      <c r="D893"/>
    </row>
    <row r="894" spans="1:4" x14ac:dyDescent="0.2">
      <c r="A894" s="4"/>
      <c r="B894"/>
      <c r="C894"/>
      <c r="D894"/>
    </row>
    <row r="895" spans="1:4" x14ac:dyDescent="0.2">
      <c r="A895" s="4"/>
      <c r="B895"/>
      <c r="C895"/>
      <c r="D895"/>
    </row>
    <row r="896" spans="1:4" x14ac:dyDescent="0.2">
      <c r="A896" s="4"/>
      <c r="B896"/>
      <c r="C896"/>
      <c r="D896"/>
    </row>
    <row r="897" spans="1:4" x14ac:dyDescent="0.2">
      <c r="A897" s="4"/>
      <c r="B897"/>
      <c r="C897"/>
      <c r="D897"/>
    </row>
    <row r="898" spans="1:4" x14ac:dyDescent="0.2">
      <c r="A898" s="4"/>
      <c r="B898"/>
      <c r="C898"/>
      <c r="D898"/>
    </row>
    <row r="899" spans="1:4" x14ac:dyDescent="0.2">
      <c r="A899" s="4"/>
      <c r="B899"/>
      <c r="C899"/>
      <c r="D899"/>
    </row>
    <row r="900" spans="1:4" x14ac:dyDescent="0.2">
      <c r="A900" s="4"/>
      <c r="B900"/>
      <c r="C900"/>
      <c r="D900"/>
    </row>
    <row r="901" spans="1:4" x14ac:dyDescent="0.2">
      <c r="A901" s="4"/>
      <c r="B901"/>
      <c r="C901"/>
      <c r="D901"/>
    </row>
    <row r="902" spans="1:4" x14ac:dyDescent="0.2">
      <c r="A902" s="4"/>
      <c r="B902"/>
      <c r="C902"/>
      <c r="D902"/>
    </row>
    <row r="903" spans="1:4" x14ac:dyDescent="0.2">
      <c r="A903" s="4"/>
      <c r="B903"/>
      <c r="C903"/>
      <c r="D903"/>
    </row>
    <row r="904" spans="1:4" x14ac:dyDescent="0.2">
      <c r="A904" s="4"/>
      <c r="B904"/>
      <c r="C904"/>
      <c r="D904"/>
    </row>
    <row r="905" spans="1:4" x14ac:dyDescent="0.2">
      <c r="A905" s="4"/>
      <c r="B905"/>
      <c r="C905"/>
      <c r="D905"/>
    </row>
    <row r="906" spans="1:4" x14ac:dyDescent="0.2">
      <c r="A906" s="4"/>
      <c r="B906"/>
      <c r="C906"/>
      <c r="D906"/>
    </row>
    <row r="907" spans="1:4" x14ac:dyDescent="0.2">
      <c r="A907" s="4"/>
      <c r="B907"/>
      <c r="C907"/>
      <c r="D907"/>
    </row>
    <row r="908" spans="1:4" x14ac:dyDescent="0.2">
      <c r="A908" s="4"/>
      <c r="B908"/>
      <c r="C908"/>
      <c r="D908"/>
    </row>
    <row r="909" spans="1:4" x14ac:dyDescent="0.2">
      <c r="A909" s="4"/>
      <c r="B909"/>
      <c r="C909"/>
      <c r="D909"/>
    </row>
    <row r="910" spans="1:4" x14ac:dyDescent="0.2">
      <c r="A910" s="4"/>
      <c r="B910"/>
      <c r="C910"/>
      <c r="D910"/>
    </row>
    <row r="911" spans="1:4" x14ac:dyDescent="0.2">
      <c r="A911" s="4"/>
      <c r="B911"/>
      <c r="C911"/>
      <c r="D911"/>
    </row>
    <row r="912" spans="1:4" x14ac:dyDescent="0.2">
      <c r="A912" s="4"/>
      <c r="B912"/>
      <c r="C912"/>
      <c r="D912"/>
    </row>
    <row r="913" spans="1:4" x14ac:dyDescent="0.2">
      <c r="A913" s="4"/>
      <c r="B913"/>
      <c r="C913"/>
      <c r="D913"/>
    </row>
    <row r="914" spans="1:4" x14ac:dyDescent="0.2">
      <c r="A914" s="4"/>
      <c r="B914"/>
      <c r="C914"/>
      <c r="D914"/>
    </row>
    <row r="915" spans="1:4" x14ac:dyDescent="0.2">
      <c r="A915" s="4"/>
      <c r="B915"/>
      <c r="C915"/>
      <c r="D915"/>
    </row>
    <row r="916" spans="1:4" x14ac:dyDescent="0.2">
      <c r="A916" s="4"/>
      <c r="B916"/>
      <c r="C916"/>
      <c r="D916"/>
    </row>
    <row r="917" spans="1:4" x14ac:dyDescent="0.2">
      <c r="A917" s="4"/>
      <c r="B917"/>
      <c r="C917"/>
      <c r="D917"/>
    </row>
    <row r="918" spans="1:4" x14ac:dyDescent="0.2">
      <c r="A918" s="4"/>
      <c r="B918"/>
      <c r="C918"/>
      <c r="D918"/>
    </row>
    <row r="919" spans="1:4" x14ac:dyDescent="0.2">
      <c r="A919" s="4"/>
      <c r="B919"/>
      <c r="C919"/>
      <c r="D919"/>
    </row>
    <row r="920" spans="1:4" x14ac:dyDescent="0.2">
      <c r="A920" s="4"/>
      <c r="B920"/>
      <c r="C920"/>
      <c r="D920"/>
    </row>
    <row r="921" spans="1:4" x14ac:dyDescent="0.2">
      <c r="A921" s="4"/>
      <c r="B921"/>
      <c r="C921"/>
      <c r="D921"/>
    </row>
    <row r="922" spans="1:4" x14ac:dyDescent="0.2">
      <c r="A922" s="4"/>
      <c r="B922"/>
      <c r="C922"/>
      <c r="D922"/>
    </row>
    <row r="923" spans="1:4" x14ac:dyDescent="0.2">
      <c r="A923" s="4"/>
      <c r="B923"/>
      <c r="C923"/>
      <c r="D923"/>
    </row>
    <row r="924" spans="1:4" x14ac:dyDescent="0.2">
      <c r="A924" s="4"/>
      <c r="B924"/>
      <c r="C924"/>
      <c r="D924"/>
    </row>
    <row r="925" spans="1:4" x14ac:dyDescent="0.2">
      <c r="A925" s="4"/>
      <c r="B925"/>
      <c r="C925"/>
      <c r="D925"/>
    </row>
    <row r="926" spans="1:4" x14ac:dyDescent="0.2">
      <c r="A926" s="4"/>
      <c r="B926"/>
      <c r="C926"/>
      <c r="D926"/>
    </row>
    <row r="927" spans="1:4" x14ac:dyDescent="0.2">
      <c r="A927" s="4"/>
      <c r="B927"/>
      <c r="C927"/>
      <c r="D927"/>
    </row>
    <row r="928" spans="1:4" x14ac:dyDescent="0.2">
      <c r="A928" s="4"/>
      <c r="B928"/>
      <c r="C928"/>
      <c r="D928"/>
    </row>
    <row r="929" spans="1:4" x14ac:dyDescent="0.2">
      <c r="A929" s="4"/>
      <c r="B929"/>
      <c r="C929"/>
      <c r="D929"/>
    </row>
    <row r="930" spans="1:4" x14ac:dyDescent="0.2">
      <c r="A930" s="4"/>
      <c r="B930"/>
      <c r="C930"/>
      <c r="D930"/>
    </row>
    <row r="931" spans="1:4" x14ac:dyDescent="0.2">
      <c r="A931" s="4"/>
      <c r="B931"/>
      <c r="C931"/>
      <c r="D931"/>
    </row>
    <row r="932" spans="1:4" x14ac:dyDescent="0.2">
      <c r="A932" s="4"/>
      <c r="B932"/>
      <c r="C932"/>
      <c r="D932"/>
    </row>
    <row r="933" spans="1:4" x14ac:dyDescent="0.2">
      <c r="A933" s="4"/>
      <c r="B933"/>
      <c r="C933"/>
      <c r="D933"/>
    </row>
    <row r="934" spans="1:4" x14ac:dyDescent="0.2">
      <c r="A934" s="4"/>
      <c r="B934"/>
      <c r="C934"/>
      <c r="D934"/>
    </row>
    <row r="935" spans="1:4" x14ac:dyDescent="0.2">
      <c r="A935" s="4"/>
      <c r="B935"/>
      <c r="C935"/>
      <c r="D935"/>
    </row>
    <row r="936" spans="1:4" x14ac:dyDescent="0.2">
      <c r="A936" s="4"/>
      <c r="B936"/>
      <c r="C936"/>
      <c r="D936"/>
    </row>
    <row r="937" spans="1:4" x14ac:dyDescent="0.2">
      <c r="A937" s="4"/>
      <c r="B937"/>
      <c r="C937"/>
      <c r="D937"/>
    </row>
    <row r="938" spans="1:4" x14ac:dyDescent="0.2">
      <c r="A938" s="4"/>
      <c r="B938"/>
      <c r="C938"/>
      <c r="D938"/>
    </row>
    <row r="939" spans="1:4" x14ac:dyDescent="0.2">
      <c r="A939" s="4"/>
      <c r="B939"/>
      <c r="C939"/>
      <c r="D939"/>
    </row>
    <row r="940" spans="1:4" x14ac:dyDescent="0.2">
      <c r="A940" s="4"/>
      <c r="B940"/>
      <c r="C940"/>
      <c r="D940"/>
    </row>
    <row r="941" spans="1:4" x14ac:dyDescent="0.2">
      <c r="A941" s="4"/>
      <c r="B941"/>
      <c r="C941"/>
      <c r="D941"/>
    </row>
    <row r="942" spans="1:4" x14ac:dyDescent="0.2">
      <c r="A942" s="4"/>
      <c r="B942"/>
      <c r="C942"/>
      <c r="D942"/>
    </row>
    <row r="943" spans="1:4" x14ac:dyDescent="0.2">
      <c r="A943" s="4"/>
      <c r="B943"/>
      <c r="C943"/>
      <c r="D943"/>
    </row>
    <row r="944" spans="1:4" x14ac:dyDescent="0.2">
      <c r="A944" s="4"/>
      <c r="B944"/>
      <c r="C944"/>
      <c r="D944"/>
    </row>
    <row r="945" spans="1:4" x14ac:dyDescent="0.2">
      <c r="A945" s="4"/>
      <c r="B945"/>
      <c r="C945"/>
      <c r="D945"/>
    </row>
    <row r="946" spans="1:4" x14ac:dyDescent="0.2">
      <c r="A946" s="4"/>
      <c r="B946"/>
      <c r="C946"/>
      <c r="D946"/>
    </row>
    <row r="947" spans="1:4" x14ac:dyDescent="0.2">
      <c r="A947" s="4"/>
      <c r="B947"/>
      <c r="C947"/>
      <c r="D947"/>
    </row>
    <row r="948" spans="1:4" x14ac:dyDescent="0.2">
      <c r="A948" s="4"/>
      <c r="B948"/>
      <c r="C948"/>
      <c r="D948"/>
    </row>
    <row r="949" spans="1:4" x14ac:dyDescent="0.2">
      <c r="A949" s="4"/>
      <c r="B949"/>
      <c r="C949"/>
      <c r="D949"/>
    </row>
    <row r="950" spans="1:4" x14ac:dyDescent="0.2">
      <c r="A950" s="4"/>
      <c r="B950"/>
      <c r="C950"/>
      <c r="D950"/>
    </row>
    <row r="951" spans="1:4" x14ac:dyDescent="0.2">
      <c r="A951" s="4"/>
      <c r="B951"/>
      <c r="C951"/>
      <c r="D951"/>
    </row>
    <row r="952" spans="1:4" x14ac:dyDescent="0.2">
      <c r="A952" s="4"/>
      <c r="B952"/>
      <c r="C952"/>
      <c r="D952"/>
    </row>
    <row r="953" spans="1:4" x14ac:dyDescent="0.2">
      <c r="A953" s="4"/>
      <c r="B953"/>
      <c r="C953"/>
      <c r="D953"/>
    </row>
    <row r="954" spans="1:4" x14ac:dyDescent="0.2">
      <c r="A954" s="4"/>
      <c r="B954"/>
      <c r="C954"/>
      <c r="D954"/>
    </row>
    <row r="955" spans="1:4" x14ac:dyDescent="0.2">
      <c r="A955" s="4"/>
      <c r="B955"/>
      <c r="C955"/>
      <c r="D955"/>
    </row>
    <row r="956" spans="1:4" x14ac:dyDescent="0.2">
      <c r="A956" s="4"/>
      <c r="B956"/>
      <c r="C956"/>
      <c r="D956"/>
    </row>
    <row r="957" spans="1:4" x14ac:dyDescent="0.2">
      <c r="A957" s="4"/>
      <c r="B957"/>
      <c r="C957"/>
      <c r="D957"/>
    </row>
    <row r="958" spans="1:4" x14ac:dyDescent="0.2">
      <c r="A958" s="4"/>
      <c r="B958"/>
      <c r="C958"/>
      <c r="D958"/>
    </row>
    <row r="959" spans="1:4" x14ac:dyDescent="0.2">
      <c r="A959" s="4"/>
      <c r="B959"/>
      <c r="C959"/>
      <c r="D959"/>
    </row>
    <row r="960" spans="1:4" x14ac:dyDescent="0.2">
      <c r="A960" s="4"/>
      <c r="B960"/>
      <c r="C960"/>
      <c r="D960"/>
    </row>
    <row r="961" spans="1:4" x14ac:dyDescent="0.2">
      <c r="A961" s="4"/>
      <c r="B961"/>
      <c r="C961"/>
      <c r="D961"/>
    </row>
    <row r="962" spans="1:4" x14ac:dyDescent="0.2">
      <c r="A962" s="4"/>
      <c r="B962"/>
      <c r="C962"/>
      <c r="D962"/>
    </row>
    <row r="963" spans="1:4" x14ac:dyDescent="0.2">
      <c r="A963" s="4"/>
      <c r="B963"/>
      <c r="C963"/>
      <c r="D963"/>
    </row>
    <row r="964" spans="1:4" x14ac:dyDescent="0.2">
      <c r="A964" s="4"/>
      <c r="B964"/>
      <c r="C964"/>
      <c r="D964"/>
    </row>
    <row r="965" spans="1:4" x14ac:dyDescent="0.2">
      <c r="A965" s="4"/>
      <c r="B965"/>
      <c r="C965"/>
      <c r="D965"/>
    </row>
    <row r="966" spans="1:4" x14ac:dyDescent="0.2">
      <c r="A966" s="4"/>
      <c r="B966"/>
      <c r="C966"/>
      <c r="D966"/>
    </row>
    <row r="967" spans="1:4" x14ac:dyDescent="0.2">
      <c r="A967" s="4"/>
      <c r="B967"/>
      <c r="C967"/>
      <c r="D967"/>
    </row>
    <row r="968" spans="1:4" x14ac:dyDescent="0.2">
      <c r="A968" s="4"/>
      <c r="B968"/>
      <c r="C968"/>
      <c r="D968"/>
    </row>
    <row r="969" spans="1:4" x14ac:dyDescent="0.2">
      <c r="A969" s="4"/>
      <c r="B969"/>
      <c r="C969"/>
      <c r="D969"/>
    </row>
    <row r="970" spans="1:4" x14ac:dyDescent="0.2">
      <c r="A970" s="4"/>
      <c r="B970"/>
      <c r="C970"/>
      <c r="D970"/>
    </row>
    <row r="971" spans="1:4" x14ac:dyDescent="0.2">
      <c r="A971" s="4"/>
      <c r="B971"/>
      <c r="C971"/>
      <c r="D971"/>
    </row>
    <row r="972" spans="1:4" x14ac:dyDescent="0.2">
      <c r="A972" s="4"/>
      <c r="B972"/>
      <c r="C972"/>
      <c r="D972"/>
    </row>
    <row r="973" spans="1:4" x14ac:dyDescent="0.2">
      <c r="A973" s="4"/>
      <c r="B973"/>
      <c r="C973"/>
      <c r="D973"/>
    </row>
    <row r="974" spans="1:4" x14ac:dyDescent="0.2">
      <c r="A974" s="4"/>
      <c r="B974"/>
      <c r="C974"/>
      <c r="D974"/>
    </row>
    <row r="975" spans="1:4" x14ac:dyDescent="0.2">
      <c r="A975" s="4"/>
      <c r="B975"/>
      <c r="C975"/>
      <c r="D975"/>
    </row>
    <row r="976" spans="1:4" x14ac:dyDescent="0.2">
      <c r="A976" s="4"/>
      <c r="B976"/>
      <c r="C976"/>
      <c r="D976"/>
    </row>
    <row r="977" spans="1:4" x14ac:dyDescent="0.2">
      <c r="A977" s="4"/>
      <c r="B977"/>
      <c r="C977"/>
      <c r="D977"/>
    </row>
    <row r="978" spans="1:4" x14ac:dyDescent="0.2">
      <c r="A978" s="4"/>
      <c r="B978"/>
      <c r="C978"/>
      <c r="D978"/>
    </row>
    <row r="979" spans="1:4" x14ac:dyDescent="0.2">
      <c r="A979" s="4"/>
      <c r="B979"/>
      <c r="C979"/>
      <c r="D979"/>
    </row>
    <row r="980" spans="1:4" x14ac:dyDescent="0.2">
      <c r="A980" s="4"/>
      <c r="B980"/>
      <c r="C980"/>
      <c r="D980"/>
    </row>
    <row r="981" spans="1:4" x14ac:dyDescent="0.2">
      <c r="A981" s="4"/>
      <c r="B981"/>
      <c r="C981"/>
      <c r="D981"/>
    </row>
    <row r="982" spans="1:4" x14ac:dyDescent="0.2">
      <c r="A982" s="4"/>
      <c r="B982"/>
      <c r="C982"/>
      <c r="D982"/>
    </row>
    <row r="983" spans="1:4" x14ac:dyDescent="0.2">
      <c r="A983" s="4"/>
      <c r="B983"/>
      <c r="C983"/>
      <c r="D983"/>
    </row>
    <row r="984" spans="1:4" x14ac:dyDescent="0.2">
      <c r="A984" s="4"/>
      <c r="B984"/>
      <c r="C984"/>
      <c r="D984"/>
    </row>
    <row r="985" spans="1:4" x14ac:dyDescent="0.2">
      <c r="A985" s="4"/>
      <c r="B985"/>
      <c r="C985"/>
      <c r="D985"/>
    </row>
    <row r="986" spans="1:4" x14ac:dyDescent="0.2">
      <c r="A986" s="4"/>
      <c r="B986"/>
      <c r="C986"/>
      <c r="D986"/>
    </row>
    <row r="987" spans="1:4" x14ac:dyDescent="0.2">
      <c r="A987" s="4"/>
      <c r="B987"/>
      <c r="C987"/>
      <c r="D987"/>
    </row>
    <row r="988" spans="1:4" x14ac:dyDescent="0.2">
      <c r="A988" s="4"/>
      <c r="B988"/>
      <c r="C988"/>
      <c r="D988"/>
    </row>
    <row r="989" spans="1:4" x14ac:dyDescent="0.2">
      <c r="A989" s="4"/>
      <c r="B989"/>
      <c r="C989"/>
      <c r="D989"/>
    </row>
    <row r="990" spans="1:4" x14ac:dyDescent="0.2">
      <c r="A990" s="4"/>
      <c r="B990"/>
      <c r="C990"/>
      <c r="D990"/>
    </row>
    <row r="991" spans="1:4" x14ac:dyDescent="0.2">
      <c r="A991" s="4"/>
      <c r="B991"/>
      <c r="C991"/>
      <c r="D991"/>
    </row>
    <row r="992" spans="1:4" x14ac:dyDescent="0.2">
      <c r="A992" s="4"/>
      <c r="B992"/>
      <c r="C992"/>
      <c r="D992"/>
    </row>
    <row r="993" spans="1:4" x14ac:dyDescent="0.2">
      <c r="A993" s="4"/>
      <c r="B993"/>
      <c r="C993"/>
      <c r="D993"/>
    </row>
    <row r="994" spans="1:4" x14ac:dyDescent="0.2">
      <c r="A994" s="4"/>
      <c r="B994"/>
      <c r="C994"/>
      <c r="D994"/>
    </row>
    <row r="995" spans="1:4" x14ac:dyDescent="0.2">
      <c r="A995" s="4"/>
      <c r="B995"/>
      <c r="C995"/>
      <c r="D995"/>
    </row>
    <row r="996" spans="1:4" x14ac:dyDescent="0.2">
      <c r="A996" s="4"/>
      <c r="B996"/>
      <c r="C996"/>
      <c r="D996"/>
    </row>
    <row r="997" spans="1:4" x14ac:dyDescent="0.2">
      <c r="A997" s="4"/>
      <c r="B997"/>
      <c r="C997"/>
      <c r="D997"/>
    </row>
    <row r="998" spans="1:4" x14ac:dyDescent="0.2">
      <c r="A998" s="4"/>
      <c r="B998"/>
      <c r="C998"/>
      <c r="D998"/>
    </row>
    <row r="999" spans="1:4" x14ac:dyDescent="0.2">
      <c r="A999" s="4"/>
      <c r="B999"/>
      <c r="C999"/>
      <c r="D999"/>
    </row>
    <row r="1000" spans="1:4" x14ac:dyDescent="0.2">
      <c r="A1000" s="4"/>
      <c r="B1000"/>
      <c r="C1000"/>
      <c r="D1000"/>
    </row>
    <row r="1001" spans="1:4" x14ac:dyDescent="0.2">
      <c r="A1001" s="4"/>
      <c r="B1001"/>
      <c r="C1001"/>
      <c r="D1001"/>
    </row>
    <row r="1002" spans="1:4" x14ac:dyDescent="0.2">
      <c r="A1002" s="4"/>
      <c r="B1002"/>
      <c r="C1002"/>
      <c r="D1002"/>
    </row>
    <row r="1003" spans="1:4" x14ac:dyDescent="0.2">
      <c r="A1003" s="4"/>
      <c r="B1003"/>
      <c r="C1003"/>
      <c r="D1003"/>
    </row>
    <row r="1004" spans="1:4" x14ac:dyDescent="0.2">
      <c r="A1004" s="4"/>
      <c r="B1004"/>
      <c r="C1004"/>
      <c r="D1004"/>
    </row>
    <row r="1005" spans="1:4" x14ac:dyDescent="0.2">
      <c r="A1005" s="4"/>
      <c r="B1005"/>
      <c r="C1005"/>
      <c r="D1005"/>
    </row>
    <row r="1006" spans="1:4" x14ac:dyDescent="0.2">
      <c r="A1006" s="4"/>
      <c r="B1006"/>
      <c r="C1006"/>
      <c r="D1006"/>
    </row>
    <row r="1007" spans="1:4" x14ac:dyDescent="0.2">
      <c r="A1007" s="4"/>
      <c r="B1007"/>
      <c r="C1007"/>
      <c r="D1007"/>
    </row>
    <row r="1008" spans="1:4" x14ac:dyDescent="0.2">
      <c r="A1008" s="4"/>
      <c r="B1008"/>
      <c r="C1008"/>
      <c r="D1008"/>
    </row>
    <row r="1009" spans="1:4" x14ac:dyDescent="0.2">
      <c r="A1009" s="4"/>
      <c r="B1009"/>
      <c r="C1009"/>
      <c r="D1009"/>
    </row>
    <row r="1010" spans="1:4" x14ac:dyDescent="0.2">
      <c r="A1010" s="4"/>
      <c r="B1010"/>
      <c r="C1010"/>
      <c r="D1010"/>
    </row>
    <row r="1011" spans="1:4" x14ac:dyDescent="0.2">
      <c r="A1011" s="4"/>
      <c r="B1011"/>
      <c r="C1011"/>
      <c r="D1011"/>
    </row>
    <row r="1012" spans="1:4" x14ac:dyDescent="0.2">
      <c r="A1012" s="4"/>
      <c r="B1012"/>
      <c r="C1012"/>
      <c r="D1012"/>
    </row>
    <row r="1013" spans="1:4" x14ac:dyDescent="0.2">
      <c r="A1013" s="4"/>
      <c r="B1013"/>
      <c r="C1013"/>
      <c r="D1013"/>
    </row>
    <row r="1014" spans="1:4" x14ac:dyDescent="0.2">
      <c r="A1014" s="4"/>
      <c r="B1014"/>
      <c r="C1014"/>
      <c r="D1014"/>
    </row>
    <row r="1015" spans="1:4" x14ac:dyDescent="0.2">
      <c r="A1015" s="4"/>
      <c r="B1015"/>
      <c r="C1015"/>
      <c r="D1015"/>
    </row>
    <row r="1016" spans="1:4" x14ac:dyDescent="0.2">
      <c r="A1016" s="4"/>
      <c r="B1016"/>
      <c r="C1016"/>
      <c r="D1016"/>
    </row>
    <row r="1017" spans="1:4" x14ac:dyDescent="0.2">
      <c r="A1017" s="4"/>
      <c r="B1017"/>
      <c r="C1017"/>
      <c r="D1017"/>
    </row>
    <row r="1018" spans="1:4" x14ac:dyDescent="0.2">
      <c r="A1018" s="4"/>
      <c r="B1018"/>
      <c r="C1018"/>
      <c r="D1018"/>
    </row>
    <row r="1019" spans="1:4" x14ac:dyDescent="0.2">
      <c r="A1019" s="4"/>
      <c r="B1019"/>
      <c r="C1019"/>
      <c r="D1019"/>
    </row>
    <row r="1020" spans="1:4" x14ac:dyDescent="0.2">
      <c r="A1020" s="4"/>
      <c r="B1020"/>
      <c r="C1020"/>
      <c r="D1020"/>
    </row>
    <row r="1021" spans="1:4" x14ac:dyDescent="0.2">
      <c r="A1021" s="4"/>
      <c r="B1021"/>
      <c r="C1021"/>
      <c r="D1021"/>
    </row>
    <row r="1022" spans="1:4" x14ac:dyDescent="0.2">
      <c r="A1022" s="4"/>
      <c r="B1022"/>
      <c r="C1022"/>
      <c r="D1022"/>
    </row>
    <row r="1023" spans="1:4" x14ac:dyDescent="0.2">
      <c r="A1023" s="4"/>
      <c r="B1023"/>
      <c r="C1023"/>
      <c r="D1023"/>
    </row>
    <row r="1024" spans="1:4" x14ac:dyDescent="0.2">
      <c r="A1024" s="4"/>
      <c r="B1024"/>
      <c r="C1024"/>
      <c r="D1024"/>
    </row>
    <row r="1025" spans="1:4" x14ac:dyDescent="0.2">
      <c r="A1025" s="4"/>
      <c r="B1025"/>
      <c r="C1025"/>
      <c r="D1025"/>
    </row>
    <row r="1026" spans="1:4" x14ac:dyDescent="0.2">
      <c r="A1026" s="4"/>
      <c r="B1026"/>
      <c r="C1026"/>
      <c r="D1026"/>
    </row>
    <row r="1027" spans="1:4" x14ac:dyDescent="0.2">
      <c r="A1027" s="4"/>
      <c r="B1027"/>
      <c r="C1027"/>
      <c r="D1027"/>
    </row>
    <row r="1028" spans="1:4" x14ac:dyDescent="0.2">
      <c r="A1028" s="4"/>
      <c r="B1028"/>
      <c r="C1028"/>
      <c r="D1028"/>
    </row>
    <row r="1029" spans="1:4" x14ac:dyDescent="0.2">
      <c r="A1029" s="4"/>
      <c r="B1029"/>
      <c r="C1029"/>
      <c r="D1029"/>
    </row>
    <row r="1030" spans="1:4" x14ac:dyDescent="0.2">
      <c r="A1030" s="4"/>
      <c r="B1030"/>
      <c r="C1030"/>
      <c r="D1030"/>
    </row>
    <row r="1031" spans="1:4" x14ac:dyDescent="0.2">
      <c r="A1031" s="4"/>
      <c r="B1031"/>
      <c r="C1031"/>
      <c r="D1031"/>
    </row>
    <row r="1032" spans="1:4" x14ac:dyDescent="0.2">
      <c r="A1032" s="4"/>
      <c r="B1032"/>
      <c r="C1032"/>
      <c r="D1032"/>
    </row>
    <row r="1033" spans="1:4" x14ac:dyDescent="0.2">
      <c r="A1033" s="4"/>
      <c r="B1033"/>
      <c r="C1033"/>
      <c r="D1033"/>
    </row>
    <row r="1034" spans="1:4" x14ac:dyDescent="0.2">
      <c r="A1034" s="4"/>
      <c r="B1034"/>
      <c r="C1034"/>
      <c r="D1034"/>
    </row>
    <row r="1035" spans="1:4" x14ac:dyDescent="0.2">
      <c r="A1035" s="4"/>
      <c r="B1035"/>
      <c r="C1035"/>
      <c r="D1035"/>
    </row>
    <row r="1036" spans="1:4" x14ac:dyDescent="0.2">
      <c r="A1036" s="4"/>
      <c r="B1036"/>
      <c r="C1036"/>
      <c r="D1036"/>
    </row>
    <row r="1037" spans="1:4" x14ac:dyDescent="0.2">
      <c r="A1037" s="4"/>
      <c r="B1037"/>
      <c r="C1037"/>
      <c r="D1037"/>
    </row>
    <row r="1038" spans="1:4" x14ac:dyDescent="0.2">
      <c r="A1038" s="4"/>
      <c r="B1038"/>
      <c r="C1038"/>
      <c r="D1038"/>
    </row>
    <row r="1039" spans="1:4" x14ac:dyDescent="0.2">
      <c r="A1039" s="4"/>
      <c r="B1039"/>
      <c r="C1039"/>
      <c r="D1039"/>
    </row>
    <row r="1040" spans="1:4" x14ac:dyDescent="0.2">
      <c r="A1040" s="4"/>
      <c r="B1040"/>
      <c r="C1040"/>
      <c r="D1040"/>
    </row>
    <row r="1041" spans="1:4" x14ac:dyDescent="0.2">
      <c r="A1041" s="4"/>
      <c r="B1041"/>
      <c r="C1041"/>
      <c r="D1041"/>
    </row>
    <row r="1042" spans="1:4" x14ac:dyDescent="0.2">
      <c r="A1042" s="4"/>
      <c r="B1042"/>
      <c r="C1042"/>
      <c r="D1042"/>
    </row>
    <row r="1043" spans="1:4" x14ac:dyDescent="0.2">
      <c r="A1043" s="4"/>
      <c r="B1043"/>
      <c r="C1043"/>
      <c r="D1043"/>
    </row>
    <row r="1044" spans="1:4" x14ac:dyDescent="0.2">
      <c r="A1044" s="4"/>
      <c r="B1044"/>
      <c r="C1044"/>
      <c r="D1044"/>
    </row>
    <row r="1045" spans="1:4" x14ac:dyDescent="0.2">
      <c r="A1045" s="4"/>
      <c r="B1045"/>
      <c r="C1045"/>
      <c r="D1045"/>
    </row>
    <row r="1046" spans="1:4" x14ac:dyDescent="0.2">
      <c r="A1046" s="4"/>
      <c r="B1046"/>
      <c r="C1046"/>
      <c r="D1046"/>
    </row>
    <row r="1047" spans="1:4" x14ac:dyDescent="0.2">
      <c r="A1047" s="4"/>
      <c r="B1047"/>
      <c r="C1047"/>
      <c r="D1047"/>
    </row>
    <row r="1048" spans="1:4" x14ac:dyDescent="0.2">
      <c r="A1048" s="4"/>
      <c r="B1048"/>
      <c r="C1048"/>
      <c r="D1048"/>
    </row>
    <row r="1049" spans="1:4" x14ac:dyDescent="0.2">
      <c r="A1049" s="4"/>
      <c r="B1049"/>
      <c r="C1049"/>
      <c r="D1049"/>
    </row>
    <row r="1050" spans="1:4" x14ac:dyDescent="0.2">
      <c r="A1050" s="4"/>
      <c r="B1050"/>
      <c r="C1050"/>
      <c r="D1050"/>
    </row>
    <row r="1051" spans="1:4" x14ac:dyDescent="0.2">
      <c r="A1051" s="4"/>
      <c r="B1051"/>
      <c r="C1051"/>
      <c r="D1051"/>
    </row>
    <row r="1052" spans="1:4" x14ac:dyDescent="0.2">
      <c r="A1052" s="4"/>
      <c r="B1052"/>
      <c r="C1052"/>
      <c r="D1052"/>
    </row>
    <row r="1053" spans="1:4" x14ac:dyDescent="0.2">
      <c r="A1053" s="4"/>
      <c r="B1053"/>
      <c r="C1053"/>
      <c r="D1053"/>
    </row>
    <row r="1054" spans="1:4" x14ac:dyDescent="0.2">
      <c r="A1054" s="4"/>
      <c r="B1054"/>
      <c r="C1054"/>
      <c r="D1054"/>
    </row>
    <row r="1055" spans="1:4" x14ac:dyDescent="0.2">
      <c r="A1055" s="4"/>
      <c r="B1055"/>
      <c r="C1055"/>
      <c r="D1055"/>
    </row>
    <row r="1056" spans="1:4" x14ac:dyDescent="0.2">
      <c r="A1056" s="4"/>
      <c r="B1056"/>
      <c r="C1056"/>
      <c r="D1056"/>
    </row>
    <row r="1057" spans="1:4" x14ac:dyDescent="0.2">
      <c r="A1057" s="4"/>
      <c r="B1057"/>
      <c r="C1057"/>
      <c r="D1057"/>
    </row>
    <row r="1058" spans="1:4" x14ac:dyDescent="0.2">
      <c r="A1058" s="4"/>
      <c r="B1058"/>
      <c r="C1058"/>
      <c r="D1058"/>
    </row>
    <row r="1059" spans="1:4" x14ac:dyDescent="0.2">
      <c r="A1059" s="4"/>
      <c r="B1059"/>
      <c r="C1059"/>
      <c r="D1059"/>
    </row>
    <row r="1060" spans="1:4" x14ac:dyDescent="0.2">
      <c r="A1060" s="4"/>
      <c r="B1060"/>
      <c r="C1060"/>
      <c r="D1060"/>
    </row>
    <row r="1061" spans="1:4" x14ac:dyDescent="0.2">
      <c r="A1061" s="4"/>
      <c r="B1061"/>
      <c r="C1061"/>
      <c r="D1061"/>
    </row>
    <row r="1062" spans="1:4" x14ac:dyDescent="0.2">
      <c r="A1062" s="4"/>
      <c r="B1062"/>
      <c r="C1062"/>
      <c r="D1062"/>
    </row>
    <row r="1063" spans="1:4" x14ac:dyDescent="0.2">
      <c r="A1063" s="4"/>
      <c r="B1063"/>
      <c r="C1063"/>
      <c r="D1063"/>
    </row>
    <row r="1064" spans="1:4" x14ac:dyDescent="0.2">
      <c r="A1064" s="4"/>
      <c r="B1064"/>
      <c r="C1064"/>
      <c r="D1064"/>
    </row>
    <row r="1065" spans="1:4" x14ac:dyDescent="0.2">
      <c r="A1065" s="4"/>
      <c r="B1065"/>
      <c r="C1065"/>
      <c r="D1065"/>
    </row>
    <row r="1066" spans="1:4" x14ac:dyDescent="0.2">
      <c r="A1066" s="4"/>
      <c r="B1066"/>
      <c r="C1066"/>
      <c r="D1066"/>
    </row>
    <row r="1067" spans="1:4" x14ac:dyDescent="0.2">
      <c r="A1067" s="4"/>
      <c r="B1067"/>
      <c r="C1067"/>
      <c r="D1067"/>
    </row>
    <row r="1068" spans="1:4" x14ac:dyDescent="0.2">
      <c r="A1068" s="4"/>
      <c r="B1068"/>
      <c r="C1068"/>
      <c r="D1068"/>
    </row>
    <row r="1069" spans="1:4" x14ac:dyDescent="0.2">
      <c r="A1069" s="4"/>
      <c r="B1069"/>
      <c r="C1069"/>
      <c r="D1069"/>
    </row>
    <row r="1070" spans="1:4" x14ac:dyDescent="0.2">
      <c r="A1070" s="4"/>
      <c r="B1070"/>
      <c r="C1070"/>
      <c r="D1070"/>
    </row>
    <row r="1071" spans="1:4" x14ac:dyDescent="0.2">
      <c r="A1071" s="4"/>
      <c r="B1071"/>
      <c r="C1071"/>
      <c r="D1071"/>
    </row>
    <row r="1072" spans="1:4" x14ac:dyDescent="0.2">
      <c r="A1072" s="4"/>
      <c r="B1072"/>
      <c r="C1072"/>
      <c r="D1072"/>
    </row>
    <row r="1073" spans="1:4" x14ac:dyDescent="0.2">
      <c r="A1073" s="4"/>
      <c r="B1073"/>
      <c r="C1073"/>
      <c r="D1073"/>
    </row>
    <row r="1074" spans="1:4" x14ac:dyDescent="0.2">
      <c r="A1074" s="4"/>
      <c r="B1074"/>
      <c r="C1074"/>
      <c r="D1074"/>
    </row>
    <row r="1075" spans="1:4" x14ac:dyDescent="0.2">
      <c r="A1075" s="4"/>
      <c r="B1075"/>
      <c r="C1075"/>
      <c r="D1075"/>
    </row>
    <row r="1076" spans="1:4" x14ac:dyDescent="0.2">
      <c r="A1076" s="4"/>
      <c r="B1076"/>
      <c r="C1076"/>
      <c r="D1076"/>
    </row>
    <row r="1077" spans="1:4" x14ac:dyDescent="0.2">
      <c r="A1077" s="4"/>
      <c r="B1077"/>
      <c r="C1077"/>
      <c r="D1077"/>
    </row>
    <row r="1078" spans="1:4" x14ac:dyDescent="0.2">
      <c r="A1078" s="4"/>
      <c r="B1078"/>
      <c r="C1078"/>
      <c r="D1078"/>
    </row>
    <row r="1079" spans="1:4" x14ac:dyDescent="0.2">
      <c r="A1079" s="4"/>
      <c r="B1079"/>
      <c r="C1079"/>
      <c r="D1079"/>
    </row>
    <row r="1080" spans="1:4" x14ac:dyDescent="0.2">
      <c r="A1080" s="4"/>
      <c r="B1080"/>
      <c r="C1080"/>
      <c r="D1080"/>
    </row>
    <row r="1081" spans="1:4" x14ac:dyDescent="0.2">
      <c r="A1081" s="4"/>
      <c r="B1081"/>
      <c r="C1081"/>
      <c r="D1081"/>
    </row>
    <row r="1082" spans="1:4" x14ac:dyDescent="0.2">
      <c r="A1082" s="4"/>
      <c r="B1082"/>
      <c r="C1082"/>
      <c r="D1082"/>
    </row>
    <row r="1083" spans="1:4" x14ac:dyDescent="0.2">
      <c r="A1083" s="4"/>
      <c r="B1083"/>
      <c r="C1083"/>
      <c r="D1083"/>
    </row>
    <row r="1084" spans="1:4" x14ac:dyDescent="0.2">
      <c r="A1084" s="4"/>
      <c r="B1084"/>
      <c r="C1084"/>
      <c r="D1084"/>
    </row>
    <row r="1085" spans="1:4" x14ac:dyDescent="0.2">
      <c r="A1085" s="4"/>
      <c r="B1085"/>
      <c r="C1085"/>
      <c r="D1085"/>
    </row>
    <row r="1086" spans="1:4" x14ac:dyDescent="0.2">
      <c r="A1086" s="4"/>
      <c r="B1086"/>
      <c r="C1086"/>
      <c r="D1086"/>
    </row>
    <row r="1087" spans="1:4" x14ac:dyDescent="0.2">
      <c r="A1087" s="4"/>
      <c r="B1087"/>
      <c r="C1087"/>
      <c r="D1087"/>
    </row>
    <row r="1088" spans="1:4" x14ac:dyDescent="0.2">
      <c r="A1088" s="4"/>
      <c r="B1088"/>
      <c r="C1088"/>
      <c r="D1088"/>
    </row>
    <row r="1089" spans="1:4" x14ac:dyDescent="0.2">
      <c r="A1089" s="4"/>
      <c r="B1089"/>
      <c r="C1089"/>
      <c r="D1089"/>
    </row>
    <row r="1090" spans="1:4" x14ac:dyDescent="0.2">
      <c r="A1090" s="4"/>
      <c r="B1090"/>
      <c r="C1090"/>
      <c r="D1090"/>
    </row>
    <row r="1091" spans="1:4" x14ac:dyDescent="0.2">
      <c r="A1091" s="4"/>
      <c r="B1091"/>
      <c r="C1091"/>
      <c r="D1091"/>
    </row>
    <row r="1092" spans="1:4" x14ac:dyDescent="0.2">
      <c r="A1092" s="4"/>
      <c r="B1092"/>
      <c r="C1092"/>
      <c r="D1092"/>
    </row>
    <row r="1093" spans="1:4" x14ac:dyDescent="0.2">
      <c r="A1093" s="4"/>
      <c r="B1093"/>
      <c r="C1093"/>
      <c r="D1093"/>
    </row>
    <row r="1094" spans="1:4" x14ac:dyDescent="0.2">
      <c r="A1094" s="4"/>
      <c r="B1094"/>
      <c r="C1094"/>
      <c r="D1094"/>
    </row>
    <row r="1095" spans="1:4" x14ac:dyDescent="0.2">
      <c r="A1095" s="4"/>
      <c r="B1095"/>
      <c r="C1095"/>
      <c r="D1095"/>
    </row>
    <row r="1096" spans="1:4" x14ac:dyDescent="0.2">
      <c r="A1096" s="4"/>
      <c r="B1096"/>
      <c r="C1096"/>
      <c r="D1096"/>
    </row>
    <row r="1097" spans="1:4" x14ac:dyDescent="0.2">
      <c r="A1097" s="4"/>
      <c r="B1097"/>
      <c r="C1097"/>
      <c r="D1097"/>
    </row>
    <row r="1098" spans="1:4" x14ac:dyDescent="0.2">
      <c r="A1098" s="4"/>
      <c r="B1098"/>
      <c r="C1098"/>
      <c r="D1098"/>
    </row>
    <row r="1099" spans="1:4" x14ac:dyDescent="0.2">
      <c r="A1099" s="4"/>
      <c r="B1099"/>
      <c r="C1099"/>
      <c r="D1099"/>
    </row>
    <row r="1100" spans="1:4" x14ac:dyDescent="0.2">
      <c r="A1100" s="4"/>
      <c r="B1100"/>
      <c r="C1100"/>
      <c r="D1100"/>
    </row>
    <row r="1101" spans="1:4" x14ac:dyDescent="0.2">
      <c r="A1101" s="4"/>
      <c r="B1101"/>
      <c r="C1101"/>
      <c r="D1101"/>
    </row>
    <row r="1102" spans="1:4" x14ac:dyDescent="0.2">
      <c r="A1102" s="4"/>
      <c r="B1102"/>
      <c r="C1102"/>
      <c r="D1102"/>
    </row>
    <row r="1103" spans="1:4" x14ac:dyDescent="0.2">
      <c r="A1103" s="4"/>
      <c r="B1103"/>
      <c r="C1103"/>
      <c r="D1103"/>
    </row>
    <row r="1104" spans="1:4" x14ac:dyDescent="0.2">
      <c r="A1104" s="4"/>
      <c r="B1104"/>
      <c r="C1104"/>
      <c r="D1104"/>
    </row>
    <row r="1105" spans="1:4" x14ac:dyDescent="0.2">
      <c r="A1105" s="4"/>
      <c r="B1105"/>
      <c r="C1105"/>
      <c r="D1105"/>
    </row>
    <row r="1106" spans="1:4" x14ac:dyDescent="0.2">
      <c r="A1106" s="4"/>
      <c r="B1106"/>
      <c r="C1106"/>
      <c r="D1106"/>
    </row>
    <row r="1107" spans="1:4" x14ac:dyDescent="0.2">
      <c r="A1107" s="4"/>
      <c r="B1107"/>
      <c r="C1107"/>
      <c r="D1107"/>
    </row>
    <row r="1108" spans="1:4" x14ac:dyDescent="0.2">
      <c r="A1108" s="4"/>
      <c r="B1108"/>
      <c r="C1108"/>
      <c r="D1108"/>
    </row>
    <row r="1109" spans="1:4" x14ac:dyDescent="0.2">
      <c r="A1109" s="4"/>
      <c r="B1109"/>
      <c r="C1109"/>
      <c r="D1109"/>
    </row>
    <row r="1110" spans="1:4" x14ac:dyDescent="0.2">
      <c r="A1110" s="4"/>
      <c r="B1110"/>
      <c r="C1110"/>
      <c r="D1110"/>
    </row>
    <row r="1111" spans="1:4" x14ac:dyDescent="0.2">
      <c r="A1111" s="4"/>
      <c r="B1111"/>
      <c r="C1111"/>
      <c r="D1111"/>
    </row>
    <row r="1112" spans="1:4" x14ac:dyDescent="0.2">
      <c r="A1112" s="4"/>
      <c r="B1112"/>
      <c r="C1112"/>
      <c r="D1112"/>
    </row>
    <row r="1113" spans="1:4" x14ac:dyDescent="0.2">
      <c r="A1113" s="4"/>
      <c r="B1113"/>
      <c r="C1113"/>
      <c r="D1113"/>
    </row>
    <row r="1114" spans="1:4" x14ac:dyDescent="0.2">
      <c r="A1114" s="4"/>
      <c r="B1114"/>
      <c r="C1114"/>
      <c r="D1114"/>
    </row>
    <row r="1115" spans="1:4" x14ac:dyDescent="0.2">
      <c r="A1115" s="4"/>
      <c r="B1115"/>
      <c r="C1115"/>
      <c r="D1115"/>
    </row>
    <row r="1116" spans="1:4" x14ac:dyDescent="0.2">
      <c r="A1116" s="4"/>
      <c r="B1116"/>
      <c r="C1116"/>
      <c r="D1116"/>
    </row>
    <row r="1117" spans="1:4" x14ac:dyDescent="0.2">
      <c r="A1117" s="4"/>
      <c r="B1117"/>
      <c r="C1117"/>
      <c r="D1117"/>
    </row>
    <row r="1118" spans="1:4" x14ac:dyDescent="0.2">
      <c r="A1118" s="4"/>
      <c r="B1118"/>
      <c r="C1118"/>
      <c r="D1118"/>
    </row>
    <row r="1119" spans="1:4" x14ac:dyDescent="0.2">
      <c r="A1119" s="4"/>
      <c r="B1119"/>
      <c r="C1119"/>
      <c r="D1119"/>
    </row>
    <row r="1120" spans="1:4" x14ac:dyDescent="0.2">
      <c r="A1120" s="4"/>
      <c r="B1120"/>
      <c r="C1120"/>
      <c r="D1120"/>
    </row>
    <row r="1121" spans="1:4" x14ac:dyDescent="0.2">
      <c r="A1121" s="4"/>
      <c r="B1121"/>
      <c r="C1121"/>
      <c r="D1121"/>
    </row>
    <row r="1122" spans="1:4" x14ac:dyDescent="0.2">
      <c r="A1122" s="4"/>
      <c r="B1122"/>
      <c r="C1122"/>
      <c r="D1122"/>
    </row>
    <row r="1123" spans="1:4" x14ac:dyDescent="0.2">
      <c r="A1123" s="4"/>
      <c r="B1123"/>
      <c r="C1123"/>
      <c r="D1123"/>
    </row>
    <row r="1124" spans="1:4" x14ac:dyDescent="0.2">
      <c r="A1124" s="4"/>
      <c r="B1124"/>
      <c r="C1124"/>
      <c r="D1124"/>
    </row>
    <row r="1125" spans="1:4" x14ac:dyDescent="0.2">
      <c r="A1125" s="4"/>
      <c r="B1125"/>
      <c r="C1125"/>
      <c r="D1125"/>
    </row>
    <row r="1126" spans="1:4" x14ac:dyDescent="0.2">
      <c r="A1126" s="4"/>
      <c r="B1126"/>
      <c r="C1126"/>
      <c r="D1126"/>
    </row>
    <row r="1127" spans="1:4" x14ac:dyDescent="0.2">
      <c r="A1127" s="4"/>
      <c r="B1127"/>
      <c r="C1127"/>
      <c r="D1127"/>
    </row>
    <row r="1128" spans="1:4" x14ac:dyDescent="0.2">
      <c r="A1128" s="4"/>
      <c r="B1128"/>
      <c r="C1128"/>
      <c r="D1128"/>
    </row>
    <row r="1129" spans="1:4" x14ac:dyDescent="0.2">
      <c r="A1129" s="4"/>
      <c r="B1129"/>
      <c r="C1129"/>
      <c r="D1129"/>
    </row>
    <row r="1130" spans="1:4" x14ac:dyDescent="0.2">
      <c r="A1130" s="4"/>
      <c r="B1130"/>
      <c r="C1130"/>
      <c r="D1130"/>
    </row>
    <row r="1131" spans="1:4" x14ac:dyDescent="0.2">
      <c r="A1131" s="4"/>
      <c r="B1131"/>
      <c r="C1131"/>
      <c r="D1131"/>
    </row>
    <row r="1132" spans="1:4" x14ac:dyDescent="0.2">
      <c r="A1132" s="4"/>
      <c r="B1132"/>
      <c r="C1132"/>
      <c r="D1132"/>
    </row>
    <row r="1133" spans="1:4" x14ac:dyDescent="0.2">
      <c r="A1133" s="4"/>
      <c r="B1133"/>
      <c r="C1133"/>
      <c r="D1133"/>
    </row>
    <row r="1134" spans="1:4" x14ac:dyDescent="0.2">
      <c r="A1134" s="4"/>
      <c r="B1134"/>
      <c r="C1134"/>
      <c r="D1134"/>
    </row>
    <row r="1135" spans="1:4" x14ac:dyDescent="0.2">
      <c r="A1135" s="4"/>
      <c r="B1135"/>
      <c r="C1135"/>
      <c r="D1135"/>
    </row>
    <row r="1136" spans="1:4" x14ac:dyDescent="0.2">
      <c r="A1136" s="4"/>
      <c r="B1136"/>
      <c r="C1136"/>
      <c r="D1136"/>
    </row>
    <row r="1137" spans="1:4" x14ac:dyDescent="0.2">
      <c r="A1137" s="4"/>
      <c r="B1137"/>
      <c r="C1137"/>
      <c r="D1137"/>
    </row>
    <row r="1138" spans="1:4" x14ac:dyDescent="0.2">
      <c r="A1138" s="4"/>
      <c r="B1138"/>
      <c r="C1138"/>
      <c r="D1138"/>
    </row>
    <row r="1139" spans="1:4" x14ac:dyDescent="0.2">
      <c r="A1139" s="4"/>
      <c r="B1139"/>
      <c r="C1139"/>
      <c r="D1139"/>
    </row>
    <row r="1140" spans="1:4" x14ac:dyDescent="0.2">
      <c r="A1140" s="4"/>
      <c r="B1140"/>
      <c r="C1140"/>
      <c r="D1140"/>
    </row>
    <row r="1141" spans="1:4" x14ac:dyDescent="0.2">
      <c r="A1141" s="4"/>
      <c r="B1141"/>
      <c r="C1141"/>
      <c r="D1141"/>
    </row>
    <row r="1142" spans="1:4" x14ac:dyDescent="0.2">
      <c r="A1142" s="4"/>
      <c r="B1142"/>
      <c r="C1142"/>
      <c r="D1142"/>
    </row>
    <row r="1143" spans="1:4" x14ac:dyDescent="0.2">
      <c r="A1143" s="4"/>
      <c r="B1143"/>
      <c r="C1143"/>
      <c r="D1143"/>
    </row>
    <row r="1144" spans="1:4" x14ac:dyDescent="0.2">
      <c r="A1144" s="4"/>
      <c r="B1144"/>
      <c r="C1144"/>
      <c r="D1144"/>
    </row>
    <row r="1145" spans="1:4" x14ac:dyDescent="0.2">
      <c r="A1145" s="4"/>
      <c r="B1145"/>
      <c r="C1145"/>
      <c r="D1145"/>
    </row>
    <row r="1146" spans="1:4" x14ac:dyDescent="0.2">
      <c r="A1146" s="4"/>
      <c r="B1146"/>
      <c r="C1146"/>
      <c r="D1146"/>
    </row>
    <row r="1147" spans="1:4" x14ac:dyDescent="0.2">
      <c r="A1147" s="4"/>
      <c r="B1147"/>
      <c r="C1147"/>
      <c r="D1147"/>
    </row>
    <row r="1148" spans="1:4" x14ac:dyDescent="0.2">
      <c r="A1148" s="4"/>
      <c r="B1148"/>
      <c r="C1148"/>
      <c r="D1148"/>
    </row>
    <row r="1149" spans="1:4" x14ac:dyDescent="0.2">
      <c r="A1149" s="4"/>
      <c r="B1149"/>
      <c r="C1149"/>
      <c r="D1149"/>
    </row>
    <row r="1150" spans="1:4" x14ac:dyDescent="0.2">
      <c r="A1150" s="4"/>
      <c r="B1150"/>
      <c r="C1150"/>
      <c r="D1150"/>
    </row>
    <row r="1151" spans="1:4" x14ac:dyDescent="0.2">
      <c r="A1151" s="4"/>
      <c r="B1151"/>
      <c r="C1151"/>
      <c r="D1151"/>
    </row>
    <row r="1152" spans="1:4" x14ac:dyDescent="0.2">
      <c r="A1152" s="4"/>
      <c r="B1152"/>
      <c r="C1152"/>
      <c r="D1152"/>
    </row>
    <row r="1153" spans="1:4" x14ac:dyDescent="0.2">
      <c r="A1153" s="4"/>
      <c r="B1153"/>
      <c r="C1153"/>
      <c r="D1153"/>
    </row>
    <row r="1154" spans="1:4" x14ac:dyDescent="0.2">
      <c r="A1154" s="4"/>
      <c r="B1154"/>
      <c r="C1154"/>
      <c r="D1154"/>
    </row>
    <row r="1155" spans="1:4" x14ac:dyDescent="0.2">
      <c r="A1155" s="4"/>
      <c r="B1155"/>
      <c r="C1155"/>
      <c r="D1155"/>
    </row>
    <row r="1156" spans="1:4" x14ac:dyDescent="0.2">
      <c r="A1156" s="4"/>
      <c r="B1156"/>
      <c r="C1156"/>
      <c r="D1156"/>
    </row>
    <row r="1157" spans="1:4" x14ac:dyDescent="0.2">
      <c r="A1157" s="4"/>
      <c r="B1157"/>
      <c r="C1157"/>
      <c r="D1157"/>
    </row>
    <row r="1158" spans="1:4" x14ac:dyDescent="0.2">
      <c r="A1158" s="4"/>
      <c r="B1158"/>
      <c r="C1158"/>
      <c r="D1158"/>
    </row>
    <row r="1159" spans="1:4" x14ac:dyDescent="0.2">
      <c r="A1159" s="4"/>
      <c r="B1159"/>
      <c r="C1159"/>
      <c r="D1159"/>
    </row>
    <row r="1160" spans="1:4" x14ac:dyDescent="0.2">
      <c r="A1160" s="4"/>
      <c r="B1160"/>
      <c r="C1160"/>
      <c r="D1160"/>
    </row>
    <row r="1161" spans="1:4" x14ac:dyDescent="0.2">
      <c r="A1161" s="4"/>
      <c r="B1161"/>
      <c r="C1161"/>
      <c r="D1161"/>
    </row>
    <row r="1162" spans="1:4" x14ac:dyDescent="0.2">
      <c r="A1162" s="4"/>
      <c r="B1162"/>
      <c r="C1162"/>
      <c r="D1162"/>
    </row>
    <row r="1163" spans="1:4" x14ac:dyDescent="0.2">
      <c r="A1163" s="4"/>
      <c r="B1163"/>
      <c r="C1163"/>
      <c r="D1163"/>
    </row>
    <row r="1164" spans="1:4" x14ac:dyDescent="0.2">
      <c r="A1164" s="4"/>
      <c r="B1164"/>
      <c r="C1164"/>
      <c r="D1164"/>
    </row>
    <row r="1165" spans="1:4" x14ac:dyDescent="0.2">
      <c r="A1165" s="4"/>
      <c r="B1165"/>
      <c r="C1165"/>
      <c r="D1165"/>
    </row>
    <row r="1166" spans="1:4" x14ac:dyDescent="0.2">
      <c r="A1166" s="4"/>
      <c r="B1166"/>
      <c r="C1166"/>
      <c r="D1166"/>
    </row>
    <row r="1167" spans="1:4" x14ac:dyDescent="0.2">
      <c r="A1167" s="4"/>
      <c r="B1167"/>
      <c r="C1167"/>
      <c r="D1167"/>
    </row>
    <row r="1168" spans="1:4" x14ac:dyDescent="0.2">
      <c r="A1168" s="4"/>
      <c r="B1168"/>
      <c r="C1168"/>
      <c r="D1168"/>
    </row>
    <row r="1169" spans="1:4" x14ac:dyDescent="0.2">
      <c r="A1169" s="4"/>
      <c r="B1169"/>
      <c r="C1169"/>
      <c r="D1169"/>
    </row>
    <row r="1170" spans="1:4" x14ac:dyDescent="0.2">
      <c r="A1170" s="4"/>
      <c r="B1170"/>
      <c r="C1170"/>
      <c r="D1170"/>
    </row>
    <row r="1171" spans="1:4" x14ac:dyDescent="0.2">
      <c r="A1171" s="4"/>
      <c r="B1171"/>
      <c r="C1171"/>
      <c r="D1171"/>
    </row>
    <row r="1172" spans="1:4" x14ac:dyDescent="0.2">
      <c r="A1172" s="4"/>
      <c r="B1172"/>
      <c r="C1172"/>
      <c r="D1172"/>
    </row>
    <row r="1173" spans="1:4" x14ac:dyDescent="0.2">
      <c r="A1173" s="4"/>
      <c r="B1173"/>
      <c r="C1173"/>
      <c r="D1173"/>
    </row>
    <row r="1174" spans="1:4" x14ac:dyDescent="0.2">
      <c r="A1174" s="4"/>
      <c r="B1174"/>
      <c r="C1174"/>
      <c r="D1174"/>
    </row>
    <row r="1175" spans="1:4" x14ac:dyDescent="0.2">
      <c r="A1175" s="4"/>
      <c r="B1175"/>
      <c r="C1175"/>
      <c r="D1175"/>
    </row>
    <row r="1176" spans="1:4" x14ac:dyDescent="0.2">
      <c r="A1176" s="4"/>
      <c r="B1176"/>
      <c r="C1176"/>
      <c r="D1176"/>
    </row>
    <row r="1177" spans="1:4" x14ac:dyDescent="0.2">
      <c r="A1177" s="4"/>
      <c r="B1177"/>
      <c r="C1177"/>
      <c r="D1177"/>
    </row>
    <row r="1178" spans="1:4" x14ac:dyDescent="0.2">
      <c r="A1178" s="4"/>
      <c r="B1178"/>
      <c r="C1178"/>
      <c r="D1178"/>
    </row>
    <row r="1179" spans="1:4" x14ac:dyDescent="0.2">
      <c r="A1179" s="4"/>
      <c r="B1179"/>
      <c r="C1179"/>
      <c r="D1179"/>
    </row>
    <row r="1180" spans="1:4" x14ac:dyDescent="0.2">
      <c r="A1180" s="4"/>
      <c r="B1180"/>
      <c r="C1180"/>
      <c r="D1180"/>
    </row>
    <row r="1181" spans="1:4" x14ac:dyDescent="0.2">
      <c r="A1181" s="4"/>
      <c r="B1181"/>
      <c r="C1181"/>
      <c r="D1181"/>
    </row>
    <row r="1182" spans="1:4" x14ac:dyDescent="0.2">
      <c r="A1182" s="4"/>
      <c r="B1182"/>
      <c r="C1182"/>
      <c r="D1182"/>
    </row>
    <row r="1183" spans="1:4" x14ac:dyDescent="0.2">
      <c r="A1183" s="4"/>
      <c r="B1183"/>
      <c r="C1183"/>
      <c r="D1183"/>
    </row>
    <row r="1184" spans="1:4" x14ac:dyDescent="0.2">
      <c r="A1184" s="4"/>
      <c r="B1184"/>
      <c r="C1184"/>
      <c r="D1184"/>
    </row>
    <row r="1185" spans="1:4" x14ac:dyDescent="0.2">
      <c r="A1185" s="4"/>
      <c r="B1185"/>
      <c r="C1185"/>
      <c r="D1185"/>
    </row>
    <row r="1186" spans="1:4" x14ac:dyDescent="0.2">
      <c r="A1186" s="4"/>
      <c r="B1186"/>
      <c r="C1186"/>
      <c r="D1186"/>
    </row>
    <row r="1187" spans="1:4" x14ac:dyDescent="0.2">
      <c r="A1187" s="4"/>
      <c r="B1187"/>
      <c r="C1187"/>
      <c r="D1187"/>
    </row>
    <row r="1188" spans="1:4" x14ac:dyDescent="0.2">
      <c r="A1188" s="4"/>
      <c r="B1188"/>
      <c r="C1188"/>
      <c r="D1188"/>
    </row>
    <row r="1189" spans="1:4" x14ac:dyDescent="0.2">
      <c r="A1189" s="4"/>
      <c r="B1189"/>
      <c r="C1189"/>
      <c r="D1189"/>
    </row>
    <row r="1190" spans="1:4" x14ac:dyDescent="0.2">
      <c r="A1190" s="4"/>
      <c r="B1190"/>
      <c r="C1190"/>
      <c r="D1190"/>
    </row>
    <row r="1191" spans="1:4" x14ac:dyDescent="0.2">
      <c r="A1191" s="4"/>
      <c r="B1191"/>
      <c r="C1191"/>
      <c r="D1191"/>
    </row>
    <row r="1192" spans="1:4" x14ac:dyDescent="0.2">
      <c r="A1192" s="4"/>
      <c r="B1192"/>
      <c r="C1192"/>
      <c r="D1192"/>
    </row>
    <row r="1193" spans="1:4" x14ac:dyDescent="0.2">
      <c r="A1193" s="4"/>
      <c r="B1193"/>
      <c r="C1193"/>
      <c r="D1193"/>
    </row>
    <row r="1194" spans="1:4" x14ac:dyDescent="0.2">
      <c r="A1194" s="4"/>
      <c r="B1194"/>
      <c r="C1194"/>
      <c r="D1194"/>
    </row>
    <row r="1195" spans="1:4" x14ac:dyDescent="0.2">
      <c r="A1195" s="4"/>
      <c r="B1195"/>
      <c r="C1195"/>
      <c r="D1195"/>
    </row>
    <row r="1196" spans="1:4" x14ac:dyDescent="0.2">
      <c r="A1196" s="4"/>
      <c r="B1196"/>
      <c r="C1196"/>
      <c r="D1196"/>
    </row>
    <row r="1197" spans="1:4" x14ac:dyDescent="0.2">
      <c r="A1197" s="4"/>
      <c r="B1197"/>
      <c r="C1197"/>
      <c r="D1197"/>
    </row>
    <row r="1198" spans="1:4" x14ac:dyDescent="0.2">
      <c r="A1198" s="4"/>
      <c r="B1198"/>
      <c r="C1198"/>
      <c r="D1198"/>
    </row>
    <row r="1199" spans="1:4" x14ac:dyDescent="0.2">
      <c r="A1199" s="4"/>
      <c r="B1199"/>
      <c r="C1199"/>
      <c r="D1199"/>
    </row>
    <row r="1200" spans="1:4" x14ac:dyDescent="0.2">
      <c r="A1200" s="4"/>
      <c r="B1200"/>
      <c r="C1200"/>
      <c r="D1200"/>
    </row>
    <row r="1201" spans="1:4" x14ac:dyDescent="0.2">
      <c r="A1201" s="4"/>
      <c r="B1201"/>
      <c r="C1201"/>
      <c r="D1201"/>
    </row>
    <row r="1202" spans="1:4" x14ac:dyDescent="0.2">
      <c r="A1202" s="4"/>
      <c r="B1202"/>
      <c r="C1202"/>
      <c r="D1202"/>
    </row>
    <row r="1203" spans="1:4" x14ac:dyDescent="0.2">
      <c r="A1203" s="4"/>
      <c r="B1203"/>
      <c r="C1203"/>
      <c r="D1203"/>
    </row>
    <row r="1204" spans="1:4" x14ac:dyDescent="0.2">
      <c r="A1204" s="4"/>
      <c r="B1204"/>
      <c r="C1204"/>
      <c r="D1204"/>
    </row>
    <row r="1205" spans="1:4" x14ac:dyDescent="0.2">
      <c r="A1205" s="4"/>
      <c r="B1205"/>
      <c r="C1205"/>
      <c r="D1205"/>
    </row>
    <row r="1206" spans="1:4" x14ac:dyDescent="0.2">
      <c r="A1206" s="4"/>
      <c r="B1206"/>
      <c r="C1206"/>
      <c r="D1206"/>
    </row>
    <row r="1207" spans="1:4" x14ac:dyDescent="0.2">
      <c r="A1207" s="4"/>
      <c r="B1207"/>
      <c r="C1207"/>
      <c r="D1207"/>
    </row>
    <row r="1208" spans="1:4" x14ac:dyDescent="0.2">
      <c r="A1208" s="4"/>
      <c r="B1208"/>
      <c r="C1208"/>
      <c r="D1208"/>
    </row>
    <row r="1209" spans="1:4" x14ac:dyDescent="0.2">
      <c r="A1209" s="4"/>
      <c r="B1209"/>
      <c r="C1209"/>
      <c r="D1209"/>
    </row>
    <row r="1210" spans="1:4" x14ac:dyDescent="0.2">
      <c r="A1210" s="4"/>
      <c r="B1210"/>
      <c r="C1210"/>
      <c r="D1210"/>
    </row>
    <row r="1211" spans="1:4" x14ac:dyDescent="0.2">
      <c r="A1211" s="4"/>
      <c r="B1211"/>
      <c r="C1211"/>
      <c r="D1211"/>
    </row>
    <row r="1212" spans="1:4" x14ac:dyDescent="0.2">
      <c r="A1212" s="4"/>
      <c r="B1212"/>
      <c r="C1212"/>
      <c r="D1212"/>
    </row>
    <row r="1213" spans="1:4" x14ac:dyDescent="0.2">
      <c r="A1213" s="4"/>
      <c r="B1213"/>
      <c r="C1213"/>
      <c r="D1213"/>
    </row>
    <row r="1214" spans="1:4" x14ac:dyDescent="0.2">
      <c r="A1214" s="4"/>
      <c r="B1214"/>
      <c r="C1214"/>
      <c r="D1214"/>
    </row>
    <row r="1215" spans="1:4" x14ac:dyDescent="0.2">
      <c r="A1215" s="4"/>
      <c r="B1215"/>
      <c r="C1215"/>
      <c r="D1215"/>
    </row>
    <row r="1216" spans="1:4" x14ac:dyDescent="0.2">
      <c r="A1216" s="4"/>
      <c r="B1216"/>
      <c r="C1216"/>
      <c r="D1216"/>
    </row>
    <row r="1217" spans="1:4" x14ac:dyDescent="0.2">
      <c r="A1217" s="4"/>
      <c r="B1217"/>
      <c r="C1217"/>
      <c r="D1217"/>
    </row>
    <row r="1218" spans="1:4" x14ac:dyDescent="0.2">
      <c r="A1218" s="4"/>
      <c r="B1218"/>
      <c r="C1218"/>
      <c r="D1218"/>
    </row>
    <row r="1219" spans="1:4" x14ac:dyDescent="0.2">
      <c r="A1219" s="4"/>
      <c r="B1219"/>
      <c r="C1219"/>
      <c r="D1219"/>
    </row>
    <row r="1220" spans="1:4" x14ac:dyDescent="0.2">
      <c r="A1220" s="4"/>
      <c r="B1220"/>
      <c r="C1220"/>
      <c r="D1220"/>
    </row>
    <row r="1221" spans="1:4" x14ac:dyDescent="0.2">
      <c r="A1221" s="4"/>
      <c r="B1221"/>
      <c r="C1221"/>
      <c r="D1221"/>
    </row>
    <row r="1222" spans="1:4" x14ac:dyDescent="0.2">
      <c r="A1222" s="4"/>
      <c r="B1222"/>
      <c r="C1222"/>
      <c r="D1222"/>
    </row>
    <row r="1223" spans="1:4" x14ac:dyDescent="0.2">
      <c r="A1223" s="4"/>
      <c r="B1223"/>
      <c r="C1223"/>
      <c r="D1223"/>
    </row>
    <row r="1224" spans="1:4" x14ac:dyDescent="0.2">
      <c r="A1224" s="4"/>
      <c r="B1224"/>
      <c r="C1224"/>
      <c r="D1224"/>
    </row>
    <row r="1225" spans="1:4" x14ac:dyDescent="0.2">
      <c r="A1225" s="4"/>
      <c r="B1225"/>
      <c r="C1225"/>
      <c r="D1225"/>
    </row>
    <row r="1226" spans="1:4" x14ac:dyDescent="0.2">
      <c r="A1226" s="4"/>
      <c r="B1226"/>
      <c r="C1226"/>
      <c r="D1226"/>
    </row>
    <row r="1227" spans="1:4" x14ac:dyDescent="0.2">
      <c r="A1227" s="4"/>
      <c r="B1227"/>
      <c r="C1227"/>
      <c r="D1227"/>
    </row>
    <row r="1228" spans="1:4" x14ac:dyDescent="0.2">
      <c r="A1228" s="4"/>
      <c r="B1228"/>
      <c r="C1228"/>
      <c r="D1228"/>
    </row>
    <row r="1229" spans="1:4" x14ac:dyDescent="0.2">
      <c r="A1229" s="4"/>
      <c r="B1229"/>
      <c r="C1229"/>
      <c r="D1229"/>
    </row>
    <row r="1230" spans="1:4" x14ac:dyDescent="0.2">
      <c r="A1230" s="4"/>
      <c r="B1230"/>
      <c r="C1230"/>
      <c r="D1230"/>
    </row>
    <row r="1231" spans="1:4" x14ac:dyDescent="0.2">
      <c r="A1231" s="4"/>
      <c r="B1231"/>
      <c r="C1231"/>
      <c r="D1231"/>
    </row>
    <row r="1232" spans="1:4" x14ac:dyDescent="0.2">
      <c r="A1232" s="4"/>
      <c r="B1232"/>
      <c r="C1232"/>
      <c r="D1232"/>
    </row>
    <row r="1233" spans="1:4" x14ac:dyDescent="0.2">
      <c r="A1233" s="4"/>
      <c r="B1233"/>
      <c r="C1233"/>
      <c r="D1233"/>
    </row>
    <row r="1234" spans="1:4" x14ac:dyDescent="0.2">
      <c r="A1234" s="4"/>
      <c r="B1234"/>
      <c r="C1234"/>
      <c r="D1234"/>
    </row>
    <row r="1235" spans="1:4" x14ac:dyDescent="0.2">
      <c r="A1235" s="4"/>
      <c r="B1235"/>
      <c r="C1235"/>
      <c r="D1235"/>
    </row>
    <row r="1236" spans="1:4" x14ac:dyDescent="0.2">
      <c r="A1236" s="4"/>
      <c r="B1236"/>
      <c r="C1236"/>
      <c r="D1236"/>
    </row>
    <row r="1237" spans="1:4" x14ac:dyDescent="0.2">
      <c r="A1237" s="4"/>
      <c r="B1237"/>
      <c r="C1237"/>
      <c r="D1237"/>
    </row>
    <row r="1238" spans="1:4" x14ac:dyDescent="0.2">
      <c r="A1238" s="4"/>
      <c r="B1238"/>
      <c r="C1238"/>
      <c r="D1238"/>
    </row>
    <row r="1239" spans="1:4" x14ac:dyDescent="0.2">
      <c r="A1239" s="4"/>
      <c r="B1239"/>
      <c r="C1239"/>
      <c r="D1239"/>
    </row>
    <row r="1240" spans="1:4" x14ac:dyDescent="0.2">
      <c r="A1240" s="4"/>
      <c r="B1240"/>
      <c r="C1240"/>
      <c r="D1240"/>
    </row>
    <row r="1241" spans="1:4" x14ac:dyDescent="0.2">
      <c r="A1241" s="4"/>
      <c r="B1241"/>
      <c r="C1241"/>
      <c r="D1241"/>
    </row>
    <row r="1242" spans="1:4" x14ac:dyDescent="0.2">
      <c r="A1242" s="4"/>
      <c r="B1242"/>
      <c r="C1242"/>
      <c r="D1242"/>
    </row>
    <row r="1243" spans="1:4" x14ac:dyDescent="0.2">
      <c r="A1243" s="4"/>
      <c r="B1243"/>
      <c r="C1243"/>
      <c r="D1243"/>
    </row>
    <row r="1244" spans="1:4" x14ac:dyDescent="0.2">
      <c r="A1244" s="4"/>
      <c r="B1244"/>
      <c r="C1244"/>
      <c r="D1244"/>
    </row>
    <row r="1245" spans="1:4" x14ac:dyDescent="0.2">
      <c r="A1245" s="4"/>
      <c r="B1245"/>
      <c r="C1245"/>
      <c r="D1245"/>
    </row>
    <row r="1246" spans="1:4" x14ac:dyDescent="0.2">
      <c r="A1246" s="4"/>
      <c r="B1246"/>
      <c r="C1246"/>
      <c r="D1246"/>
    </row>
    <row r="1247" spans="1:4" x14ac:dyDescent="0.2">
      <c r="A1247" s="4"/>
      <c r="B1247"/>
      <c r="C1247"/>
      <c r="D1247"/>
    </row>
    <row r="1248" spans="1:4" x14ac:dyDescent="0.2">
      <c r="A1248" s="4"/>
      <c r="B1248"/>
      <c r="C1248"/>
      <c r="D1248"/>
    </row>
    <row r="1249" spans="1:4" x14ac:dyDescent="0.2">
      <c r="A1249" s="4"/>
      <c r="B1249"/>
      <c r="C1249"/>
      <c r="D1249"/>
    </row>
    <row r="1250" spans="1:4" x14ac:dyDescent="0.2">
      <c r="A1250" s="4"/>
      <c r="B1250"/>
      <c r="C1250"/>
      <c r="D1250"/>
    </row>
    <row r="1251" spans="1:4" x14ac:dyDescent="0.2">
      <c r="A1251" s="4"/>
      <c r="B1251"/>
      <c r="C1251"/>
      <c r="D1251"/>
    </row>
    <row r="1252" spans="1:4" x14ac:dyDescent="0.2">
      <c r="A1252" s="4"/>
      <c r="B1252"/>
      <c r="C1252"/>
      <c r="D1252"/>
    </row>
    <row r="1253" spans="1:4" x14ac:dyDescent="0.2">
      <c r="A1253" s="4"/>
      <c r="B1253"/>
      <c r="C1253"/>
      <c r="D1253"/>
    </row>
    <row r="1254" spans="1:4" x14ac:dyDescent="0.2">
      <c r="A1254" s="4"/>
      <c r="B1254"/>
      <c r="C1254"/>
      <c r="D1254"/>
    </row>
    <row r="1255" spans="1:4" x14ac:dyDescent="0.2">
      <c r="A1255" s="4"/>
      <c r="B1255"/>
      <c r="C1255"/>
      <c r="D1255"/>
    </row>
    <row r="1256" spans="1:4" x14ac:dyDescent="0.2">
      <c r="A1256" s="4"/>
      <c r="B1256"/>
      <c r="C1256"/>
      <c r="D1256"/>
    </row>
    <row r="1257" spans="1:4" x14ac:dyDescent="0.2">
      <c r="A1257" s="4"/>
      <c r="B1257"/>
      <c r="C1257"/>
      <c r="D1257"/>
    </row>
    <row r="1258" spans="1:4" x14ac:dyDescent="0.2">
      <c r="A1258" s="4"/>
      <c r="B1258"/>
      <c r="C1258"/>
      <c r="D1258"/>
    </row>
    <row r="1259" spans="1:4" x14ac:dyDescent="0.2">
      <c r="A1259" s="4"/>
      <c r="B1259"/>
      <c r="C1259"/>
      <c r="D1259"/>
    </row>
    <row r="1260" spans="1:4" x14ac:dyDescent="0.2">
      <c r="A1260" s="4"/>
      <c r="B1260"/>
      <c r="C1260"/>
      <c r="D1260"/>
    </row>
    <row r="1261" spans="1:4" x14ac:dyDescent="0.2">
      <c r="A1261" s="4"/>
      <c r="B1261"/>
      <c r="C1261"/>
      <c r="D1261"/>
    </row>
    <row r="1262" spans="1:4" x14ac:dyDescent="0.2">
      <c r="A1262" s="4"/>
      <c r="B1262"/>
      <c r="C1262"/>
      <c r="D1262"/>
    </row>
    <row r="1263" spans="1:4" x14ac:dyDescent="0.2">
      <c r="A1263" s="4"/>
      <c r="B1263"/>
      <c r="C1263"/>
      <c r="D1263"/>
    </row>
    <row r="1264" spans="1:4" x14ac:dyDescent="0.2">
      <c r="A1264" s="4"/>
      <c r="B1264"/>
      <c r="C1264"/>
      <c r="D1264"/>
    </row>
    <row r="1265" spans="1:4" x14ac:dyDescent="0.2">
      <c r="A1265" s="4"/>
      <c r="B1265"/>
      <c r="C1265"/>
      <c r="D1265"/>
    </row>
    <row r="1266" spans="1:4" x14ac:dyDescent="0.2">
      <c r="A1266" s="4"/>
      <c r="B1266"/>
      <c r="C1266"/>
      <c r="D1266"/>
    </row>
    <row r="1267" spans="1:4" x14ac:dyDescent="0.2">
      <c r="A1267" s="4"/>
      <c r="B1267"/>
      <c r="C1267"/>
      <c r="D1267"/>
    </row>
    <row r="1268" spans="1:4" x14ac:dyDescent="0.2">
      <c r="A1268" s="4"/>
      <c r="B1268"/>
      <c r="C1268"/>
      <c r="D1268"/>
    </row>
    <row r="1269" spans="1:4" x14ac:dyDescent="0.2">
      <c r="A1269" s="4"/>
      <c r="B1269"/>
      <c r="C1269"/>
      <c r="D1269"/>
    </row>
    <row r="1270" spans="1:4" x14ac:dyDescent="0.2">
      <c r="A1270" s="4"/>
      <c r="B1270"/>
      <c r="C1270"/>
      <c r="D1270"/>
    </row>
    <row r="1271" spans="1:4" x14ac:dyDescent="0.2">
      <c r="A1271" s="4"/>
      <c r="B1271"/>
      <c r="C1271"/>
      <c r="D1271"/>
    </row>
    <row r="1272" spans="1:4" x14ac:dyDescent="0.2">
      <c r="A1272" s="4"/>
      <c r="B1272"/>
      <c r="C1272"/>
      <c r="D1272"/>
    </row>
    <row r="1273" spans="1:4" x14ac:dyDescent="0.2">
      <c r="A1273" s="4"/>
      <c r="B1273"/>
      <c r="C1273"/>
      <c r="D1273"/>
    </row>
    <row r="1274" spans="1:4" x14ac:dyDescent="0.2">
      <c r="A1274" s="4"/>
      <c r="B1274"/>
      <c r="C1274"/>
      <c r="D1274"/>
    </row>
    <row r="1275" spans="1:4" x14ac:dyDescent="0.2">
      <c r="A1275" s="4"/>
      <c r="B1275"/>
      <c r="C1275"/>
      <c r="D1275"/>
    </row>
    <row r="1276" spans="1:4" x14ac:dyDescent="0.2">
      <c r="A1276" s="4"/>
      <c r="B1276"/>
      <c r="C1276"/>
      <c r="D1276"/>
    </row>
    <row r="1277" spans="1:4" x14ac:dyDescent="0.2">
      <c r="A1277" s="4"/>
      <c r="B1277"/>
      <c r="C1277"/>
      <c r="D1277"/>
    </row>
    <row r="1278" spans="1:4" x14ac:dyDescent="0.2">
      <c r="A1278" s="4"/>
      <c r="B1278"/>
      <c r="C1278"/>
      <c r="D1278"/>
    </row>
    <row r="1279" spans="1:4" x14ac:dyDescent="0.2">
      <c r="A1279" s="4"/>
      <c r="B1279"/>
      <c r="C1279"/>
      <c r="D1279"/>
    </row>
    <row r="1280" spans="1:4" x14ac:dyDescent="0.2">
      <c r="A1280" s="4"/>
      <c r="B1280"/>
      <c r="C1280"/>
      <c r="D1280"/>
    </row>
    <row r="1281" spans="1:4" x14ac:dyDescent="0.2">
      <c r="A1281" s="4"/>
      <c r="B1281"/>
      <c r="C1281"/>
      <c r="D1281"/>
    </row>
    <row r="1282" spans="1:4" x14ac:dyDescent="0.2">
      <c r="A1282" s="4"/>
      <c r="B1282"/>
      <c r="C1282"/>
      <c r="D1282"/>
    </row>
    <row r="1283" spans="1:4" x14ac:dyDescent="0.2">
      <c r="A1283" s="4"/>
      <c r="B1283"/>
      <c r="C1283"/>
      <c r="D1283"/>
    </row>
    <row r="1284" spans="1:4" x14ac:dyDescent="0.2">
      <c r="A1284" s="4"/>
      <c r="B1284"/>
      <c r="C1284"/>
      <c r="D1284"/>
    </row>
    <row r="1285" spans="1:4" x14ac:dyDescent="0.2">
      <c r="A1285" s="4"/>
      <c r="B1285"/>
      <c r="C1285"/>
      <c r="D1285"/>
    </row>
    <row r="1286" spans="1:4" x14ac:dyDescent="0.2">
      <c r="A1286" s="4"/>
      <c r="B1286"/>
      <c r="C1286"/>
      <c r="D1286"/>
    </row>
    <row r="1287" spans="1:4" x14ac:dyDescent="0.2">
      <c r="A1287" s="4"/>
      <c r="B1287"/>
      <c r="C1287"/>
      <c r="D1287"/>
    </row>
    <row r="1288" spans="1:4" x14ac:dyDescent="0.2">
      <c r="A1288" s="4"/>
      <c r="B1288"/>
      <c r="C1288"/>
      <c r="D1288"/>
    </row>
    <row r="1289" spans="1:4" x14ac:dyDescent="0.2">
      <c r="A1289" s="4"/>
      <c r="B1289"/>
      <c r="C1289"/>
      <c r="D1289"/>
    </row>
    <row r="1290" spans="1:4" x14ac:dyDescent="0.2">
      <c r="A1290" s="4"/>
      <c r="B1290"/>
      <c r="C1290"/>
      <c r="D1290"/>
    </row>
    <row r="1291" spans="1:4" x14ac:dyDescent="0.2">
      <c r="A1291" s="4"/>
      <c r="B1291"/>
      <c r="C1291"/>
      <c r="D1291"/>
    </row>
    <row r="1292" spans="1:4" x14ac:dyDescent="0.2">
      <c r="A1292" s="4"/>
      <c r="B1292"/>
      <c r="C1292"/>
      <c r="D1292"/>
    </row>
    <row r="1293" spans="1:4" x14ac:dyDescent="0.2">
      <c r="A1293" s="4"/>
      <c r="B1293"/>
      <c r="C1293"/>
      <c r="D1293"/>
    </row>
    <row r="1294" spans="1:4" x14ac:dyDescent="0.2">
      <c r="A1294" s="4"/>
      <c r="B1294"/>
      <c r="C1294"/>
      <c r="D1294"/>
    </row>
    <row r="1295" spans="1:4" x14ac:dyDescent="0.2">
      <c r="A1295" s="4"/>
      <c r="B1295"/>
      <c r="C1295"/>
      <c r="D1295"/>
    </row>
    <row r="1296" spans="1:4" x14ac:dyDescent="0.2">
      <c r="A1296" s="4"/>
      <c r="B1296"/>
      <c r="C1296"/>
      <c r="D1296"/>
    </row>
    <row r="1297" spans="1:4" x14ac:dyDescent="0.2">
      <c r="A1297" s="4"/>
      <c r="B1297"/>
      <c r="C1297"/>
      <c r="D1297"/>
    </row>
    <row r="1298" spans="1:4" x14ac:dyDescent="0.2">
      <c r="A1298" s="4"/>
      <c r="B1298"/>
      <c r="C1298"/>
      <c r="D1298"/>
    </row>
    <row r="1299" spans="1:4" x14ac:dyDescent="0.2">
      <c r="A1299" s="4"/>
      <c r="B1299"/>
      <c r="C1299"/>
      <c r="D1299"/>
    </row>
    <row r="1300" spans="1:4" x14ac:dyDescent="0.2">
      <c r="A1300" s="4"/>
      <c r="B1300"/>
      <c r="C1300"/>
      <c r="D1300"/>
    </row>
    <row r="1301" spans="1:4" x14ac:dyDescent="0.2">
      <c r="A1301" s="4"/>
      <c r="B1301"/>
      <c r="C1301"/>
      <c r="D1301"/>
    </row>
    <row r="1302" spans="1:4" x14ac:dyDescent="0.2">
      <c r="A1302" s="4"/>
      <c r="B1302"/>
      <c r="C1302"/>
      <c r="D1302"/>
    </row>
    <row r="1303" spans="1:4" x14ac:dyDescent="0.2">
      <c r="A1303" s="4"/>
      <c r="B1303"/>
      <c r="C1303"/>
      <c r="D1303"/>
    </row>
    <row r="1304" spans="1:4" x14ac:dyDescent="0.2">
      <c r="A1304" s="4"/>
      <c r="B1304"/>
      <c r="C1304"/>
      <c r="D1304"/>
    </row>
    <row r="1305" spans="1:4" x14ac:dyDescent="0.2">
      <c r="A1305" s="4"/>
      <c r="B1305"/>
      <c r="C1305"/>
      <c r="D1305"/>
    </row>
    <row r="1306" spans="1:4" x14ac:dyDescent="0.2">
      <c r="A1306" s="4"/>
      <c r="B1306"/>
      <c r="C1306"/>
      <c r="D1306"/>
    </row>
    <row r="1307" spans="1:4" x14ac:dyDescent="0.2">
      <c r="A1307" s="4"/>
      <c r="B1307"/>
      <c r="C1307"/>
      <c r="D1307"/>
    </row>
    <row r="1308" spans="1:4" x14ac:dyDescent="0.2">
      <c r="A1308" s="4"/>
      <c r="B1308"/>
      <c r="C1308"/>
      <c r="D1308"/>
    </row>
    <row r="1309" spans="1:4" x14ac:dyDescent="0.2">
      <c r="A1309" s="4"/>
      <c r="B1309"/>
      <c r="C1309"/>
      <c r="D1309"/>
    </row>
    <row r="1310" spans="1:4" x14ac:dyDescent="0.2">
      <c r="A1310" s="4"/>
      <c r="B1310"/>
      <c r="C1310"/>
      <c r="D1310"/>
    </row>
    <row r="1311" spans="1:4" x14ac:dyDescent="0.2">
      <c r="A1311" s="4"/>
      <c r="B1311"/>
      <c r="C1311"/>
      <c r="D1311"/>
    </row>
    <row r="1312" spans="1:4" x14ac:dyDescent="0.2">
      <c r="A1312" s="4"/>
      <c r="B1312"/>
      <c r="C1312"/>
      <c r="D1312"/>
    </row>
    <row r="1313" spans="1:4" x14ac:dyDescent="0.2">
      <c r="A1313" s="4"/>
      <c r="B1313"/>
      <c r="C1313"/>
      <c r="D1313"/>
    </row>
    <row r="1314" spans="1:4" x14ac:dyDescent="0.2">
      <c r="A1314" s="4"/>
      <c r="B1314"/>
      <c r="C1314"/>
      <c r="D1314"/>
    </row>
    <row r="1315" spans="1:4" x14ac:dyDescent="0.2">
      <c r="A1315" s="4"/>
      <c r="B1315"/>
      <c r="C1315"/>
      <c r="D1315"/>
    </row>
    <row r="1316" spans="1:4" x14ac:dyDescent="0.2">
      <c r="A1316" s="4"/>
      <c r="B1316"/>
      <c r="C1316"/>
      <c r="D1316"/>
    </row>
    <row r="1317" spans="1:4" x14ac:dyDescent="0.2">
      <c r="A1317" s="4"/>
      <c r="B1317"/>
      <c r="C1317"/>
      <c r="D1317"/>
    </row>
    <row r="1318" spans="1:4" x14ac:dyDescent="0.2">
      <c r="A1318" s="4"/>
      <c r="B1318"/>
      <c r="C1318"/>
      <c r="D1318"/>
    </row>
    <row r="1319" spans="1:4" x14ac:dyDescent="0.2">
      <c r="A1319" s="4"/>
      <c r="B1319"/>
      <c r="C1319"/>
      <c r="D1319"/>
    </row>
    <row r="1320" spans="1:4" x14ac:dyDescent="0.2">
      <c r="A1320" s="4"/>
      <c r="B1320"/>
      <c r="C1320"/>
      <c r="D1320"/>
    </row>
    <row r="1321" spans="1:4" x14ac:dyDescent="0.2">
      <c r="A1321" s="4"/>
      <c r="B1321"/>
      <c r="C1321"/>
      <c r="D1321"/>
    </row>
    <row r="1322" spans="1:4" x14ac:dyDescent="0.2">
      <c r="A1322" s="4"/>
      <c r="B1322"/>
      <c r="C1322"/>
      <c r="D1322"/>
    </row>
    <row r="1323" spans="1:4" x14ac:dyDescent="0.2">
      <c r="A1323" s="4"/>
      <c r="B1323"/>
      <c r="C1323"/>
      <c r="D1323"/>
    </row>
    <row r="1324" spans="1:4" x14ac:dyDescent="0.2">
      <c r="A1324" s="4"/>
      <c r="B1324"/>
      <c r="C1324"/>
      <c r="D1324"/>
    </row>
    <row r="1325" spans="1:4" x14ac:dyDescent="0.2">
      <c r="A1325" s="4"/>
      <c r="B1325"/>
      <c r="C1325"/>
      <c r="D1325"/>
    </row>
    <row r="1326" spans="1:4" x14ac:dyDescent="0.2">
      <c r="A1326" s="4"/>
      <c r="B1326"/>
      <c r="C1326"/>
      <c r="D1326"/>
    </row>
    <row r="1327" spans="1:4" x14ac:dyDescent="0.2">
      <c r="A1327" s="4"/>
      <c r="B1327"/>
      <c r="C1327"/>
      <c r="D1327"/>
    </row>
    <row r="1328" spans="1:4" x14ac:dyDescent="0.2">
      <c r="A1328" s="4"/>
      <c r="B1328"/>
      <c r="C1328"/>
      <c r="D1328"/>
    </row>
    <row r="1329" spans="1:4" x14ac:dyDescent="0.2">
      <c r="A1329" s="4"/>
      <c r="B1329"/>
      <c r="C1329"/>
      <c r="D1329"/>
    </row>
    <row r="1330" spans="1:4" x14ac:dyDescent="0.2">
      <c r="A1330" s="4"/>
      <c r="B1330"/>
      <c r="C1330"/>
      <c r="D1330"/>
    </row>
    <row r="1331" spans="1:4" x14ac:dyDescent="0.2">
      <c r="A1331" s="4"/>
      <c r="B1331"/>
      <c r="C1331"/>
      <c r="D1331"/>
    </row>
    <row r="1332" spans="1:4" x14ac:dyDescent="0.2">
      <c r="A1332" s="4"/>
      <c r="B1332"/>
      <c r="C1332"/>
      <c r="D1332"/>
    </row>
    <row r="1333" spans="1:4" x14ac:dyDescent="0.2">
      <c r="A1333" s="4"/>
      <c r="B1333"/>
      <c r="C1333"/>
      <c r="D1333"/>
    </row>
    <row r="1334" spans="1:4" x14ac:dyDescent="0.2">
      <c r="A1334" s="4"/>
      <c r="B1334"/>
      <c r="C1334"/>
      <c r="D1334"/>
    </row>
    <row r="1335" spans="1:4" x14ac:dyDescent="0.2">
      <c r="A1335" s="4"/>
      <c r="B1335"/>
      <c r="C1335"/>
      <c r="D1335"/>
    </row>
    <row r="1336" spans="1:4" x14ac:dyDescent="0.2">
      <c r="A1336" s="4"/>
      <c r="B1336"/>
      <c r="C1336"/>
      <c r="D1336"/>
    </row>
    <row r="1337" spans="1:4" x14ac:dyDescent="0.2">
      <c r="A1337" s="4"/>
      <c r="B1337"/>
      <c r="C1337"/>
      <c r="D1337"/>
    </row>
    <row r="1338" spans="1:4" x14ac:dyDescent="0.2">
      <c r="A1338" s="4"/>
      <c r="B1338"/>
      <c r="C1338"/>
      <c r="D1338"/>
    </row>
    <row r="1339" spans="1:4" x14ac:dyDescent="0.2">
      <c r="A1339" s="4"/>
      <c r="B1339"/>
      <c r="C1339"/>
      <c r="D1339"/>
    </row>
    <row r="1340" spans="1:4" x14ac:dyDescent="0.2">
      <c r="A1340" s="4"/>
      <c r="B1340"/>
      <c r="C1340"/>
      <c r="D1340"/>
    </row>
    <row r="1341" spans="1:4" x14ac:dyDescent="0.2">
      <c r="A1341" s="4"/>
      <c r="B1341"/>
      <c r="C1341"/>
      <c r="D1341"/>
    </row>
    <row r="1342" spans="1:4" x14ac:dyDescent="0.2">
      <c r="A1342" s="4"/>
      <c r="B1342"/>
      <c r="C1342"/>
      <c r="D1342"/>
    </row>
    <row r="1343" spans="1:4" x14ac:dyDescent="0.2">
      <c r="A1343" s="4"/>
      <c r="B1343"/>
      <c r="C1343"/>
      <c r="D1343"/>
    </row>
    <row r="1344" spans="1:4" x14ac:dyDescent="0.2">
      <c r="A1344" s="4"/>
      <c r="B1344"/>
      <c r="C1344"/>
      <c r="D1344"/>
    </row>
    <row r="1345" spans="1:4" x14ac:dyDescent="0.2">
      <c r="A1345" s="4"/>
      <c r="B1345"/>
      <c r="C1345"/>
      <c r="D1345"/>
    </row>
    <row r="1346" spans="1:4" x14ac:dyDescent="0.2">
      <c r="A1346" s="4"/>
      <c r="B1346"/>
      <c r="C1346"/>
      <c r="D1346"/>
    </row>
    <row r="1347" spans="1:4" x14ac:dyDescent="0.2">
      <c r="A1347" s="4"/>
      <c r="B1347"/>
      <c r="C1347"/>
      <c r="D1347"/>
    </row>
    <row r="1348" spans="1:4" x14ac:dyDescent="0.2">
      <c r="A1348" s="4"/>
      <c r="B1348"/>
      <c r="C1348"/>
      <c r="D1348"/>
    </row>
    <row r="1349" spans="1:4" x14ac:dyDescent="0.2">
      <c r="A1349" s="4"/>
      <c r="B1349"/>
      <c r="C1349"/>
      <c r="D1349"/>
    </row>
    <row r="1350" spans="1:4" x14ac:dyDescent="0.2">
      <c r="A1350" s="4"/>
      <c r="B1350"/>
      <c r="C1350"/>
      <c r="D1350"/>
    </row>
    <row r="1351" spans="1:4" x14ac:dyDescent="0.2">
      <c r="A1351" s="4"/>
      <c r="B1351"/>
      <c r="C1351"/>
      <c r="D1351"/>
    </row>
    <row r="1352" spans="1:4" x14ac:dyDescent="0.2">
      <c r="A1352" s="4"/>
      <c r="B1352"/>
      <c r="C1352"/>
      <c r="D1352"/>
    </row>
    <row r="1353" spans="1:4" x14ac:dyDescent="0.2">
      <c r="A1353" s="4"/>
      <c r="B1353"/>
      <c r="C1353"/>
      <c r="D1353"/>
    </row>
    <row r="1354" spans="1:4" x14ac:dyDescent="0.2">
      <c r="A1354" s="4"/>
      <c r="B1354"/>
      <c r="C1354"/>
      <c r="D1354"/>
    </row>
    <row r="1355" spans="1:4" x14ac:dyDescent="0.2">
      <c r="A1355" s="4"/>
      <c r="B1355"/>
      <c r="C1355"/>
      <c r="D1355"/>
    </row>
    <row r="1356" spans="1:4" x14ac:dyDescent="0.2">
      <c r="A1356" s="4"/>
      <c r="B1356"/>
      <c r="C1356"/>
      <c r="D1356"/>
    </row>
    <row r="1357" spans="1:4" x14ac:dyDescent="0.2">
      <c r="A1357" s="4"/>
      <c r="B1357"/>
      <c r="C1357"/>
      <c r="D1357"/>
    </row>
    <row r="1358" spans="1:4" x14ac:dyDescent="0.2">
      <c r="A1358" s="4"/>
      <c r="B1358"/>
      <c r="C1358"/>
      <c r="D1358"/>
    </row>
    <row r="1359" spans="1:4" x14ac:dyDescent="0.2">
      <c r="A1359" s="4"/>
      <c r="B1359"/>
      <c r="C1359"/>
      <c r="D1359"/>
    </row>
    <row r="1360" spans="1:4" x14ac:dyDescent="0.2">
      <c r="A1360" s="4"/>
      <c r="B1360"/>
      <c r="C1360"/>
      <c r="D1360"/>
    </row>
    <row r="1361" spans="1:4" x14ac:dyDescent="0.2">
      <c r="A1361" s="4"/>
      <c r="B1361"/>
      <c r="C1361"/>
      <c r="D1361"/>
    </row>
    <row r="1362" spans="1:4" x14ac:dyDescent="0.2">
      <c r="A1362" s="4"/>
      <c r="B1362"/>
      <c r="C1362"/>
      <c r="D1362"/>
    </row>
    <row r="1363" spans="1:4" x14ac:dyDescent="0.2">
      <c r="A1363" s="4"/>
      <c r="B1363"/>
      <c r="C1363"/>
      <c r="D1363"/>
    </row>
    <row r="1364" spans="1:4" x14ac:dyDescent="0.2">
      <c r="A1364" s="4"/>
      <c r="B1364"/>
      <c r="C1364"/>
      <c r="D1364"/>
    </row>
    <row r="1365" spans="1:4" x14ac:dyDescent="0.2">
      <c r="A1365" s="4"/>
      <c r="B1365"/>
      <c r="C1365"/>
      <c r="D1365"/>
    </row>
    <row r="1366" spans="1:4" x14ac:dyDescent="0.2">
      <c r="A1366" s="4"/>
      <c r="B1366"/>
      <c r="C1366"/>
      <c r="D1366"/>
    </row>
    <row r="1367" spans="1:4" x14ac:dyDescent="0.2">
      <c r="A1367" s="4"/>
      <c r="B1367"/>
      <c r="C1367"/>
      <c r="D1367"/>
    </row>
    <row r="1368" spans="1:4" x14ac:dyDescent="0.2">
      <c r="A1368" s="4"/>
      <c r="B1368"/>
      <c r="C1368"/>
      <c r="D1368"/>
    </row>
    <row r="1369" spans="1:4" x14ac:dyDescent="0.2">
      <c r="A1369" s="4"/>
      <c r="B1369"/>
      <c r="C1369"/>
      <c r="D1369"/>
    </row>
    <row r="1370" spans="1:4" x14ac:dyDescent="0.2">
      <c r="A1370" s="4"/>
      <c r="B1370"/>
      <c r="C1370"/>
      <c r="D1370"/>
    </row>
    <row r="1371" spans="1:4" x14ac:dyDescent="0.2">
      <c r="A1371" s="4"/>
      <c r="B1371"/>
      <c r="C1371"/>
      <c r="D1371"/>
    </row>
    <row r="1372" spans="1:4" x14ac:dyDescent="0.2">
      <c r="A1372" s="4"/>
      <c r="B1372"/>
      <c r="C1372"/>
      <c r="D1372"/>
    </row>
    <row r="1373" spans="1:4" x14ac:dyDescent="0.2">
      <c r="A1373" s="4"/>
      <c r="B1373"/>
      <c r="C1373"/>
      <c r="D1373"/>
    </row>
    <row r="1374" spans="1:4" x14ac:dyDescent="0.2">
      <c r="A1374" s="4"/>
      <c r="B1374"/>
      <c r="C1374"/>
      <c r="D1374"/>
    </row>
    <row r="1375" spans="1:4" x14ac:dyDescent="0.2">
      <c r="A1375" s="4"/>
      <c r="B1375"/>
      <c r="C1375"/>
      <c r="D1375"/>
    </row>
    <row r="1376" spans="1:4" x14ac:dyDescent="0.2">
      <c r="A1376" s="4"/>
      <c r="B1376"/>
      <c r="C1376"/>
      <c r="D1376"/>
    </row>
    <row r="1377" spans="1:4" x14ac:dyDescent="0.2">
      <c r="A1377" s="4"/>
      <c r="B1377"/>
      <c r="C1377"/>
      <c r="D1377"/>
    </row>
    <row r="1378" spans="1:4" x14ac:dyDescent="0.2">
      <c r="A1378" s="4"/>
      <c r="B1378"/>
      <c r="C1378"/>
      <c r="D1378"/>
    </row>
    <row r="1379" spans="1:4" x14ac:dyDescent="0.2">
      <c r="A1379" s="4"/>
      <c r="B1379"/>
      <c r="C1379"/>
      <c r="D1379"/>
    </row>
    <row r="1380" spans="1:4" x14ac:dyDescent="0.2">
      <c r="A1380" s="4"/>
      <c r="B1380"/>
      <c r="C1380"/>
      <c r="D1380"/>
    </row>
    <row r="1381" spans="1:4" x14ac:dyDescent="0.2">
      <c r="A1381" s="4"/>
      <c r="B1381"/>
      <c r="C1381"/>
      <c r="D1381"/>
    </row>
    <row r="1382" spans="1:4" x14ac:dyDescent="0.2">
      <c r="A1382" s="4"/>
      <c r="B1382"/>
      <c r="C1382"/>
      <c r="D1382"/>
    </row>
    <row r="1383" spans="1:4" x14ac:dyDescent="0.2">
      <c r="A1383" s="4"/>
      <c r="B1383"/>
      <c r="C1383"/>
      <c r="D1383"/>
    </row>
    <row r="1384" spans="1:4" x14ac:dyDescent="0.2">
      <c r="A1384" s="4"/>
      <c r="B1384"/>
      <c r="C1384"/>
      <c r="D1384"/>
    </row>
    <row r="1385" spans="1:4" x14ac:dyDescent="0.2">
      <c r="A1385" s="4"/>
      <c r="B1385"/>
      <c r="C1385"/>
      <c r="D1385"/>
    </row>
    <row r="1386" spans="1:4" x14ac:dyDescent="0.2">
      <c r="A1386" s="4"/>
      <c r="B1386"/>
      <c r="C1386"/>
      <c r="D1386"/>
    </row>
    <row r="1387" spans="1:4" x14ac:dyDescent="0.2">
      <c r="A1387" s="4"/>
      <c r="B1387"/>
      <c r="C1387"/>
      <c r="D1387"/>
    </row>
    <row r="1388" spans="1:4" x14ac:dyDescent="0.2">
      <c r="A1388" s="4"/>
      <c r="B1388"/>
      <c r="C1388"/>
      <c r="D1388"/>
    </row>
    <row r="1389" spans="1:4" x14ac:dyDescent="0.2">
      <c r="A1389" s="4"/>
      <c r="B1389"/>
      <c r="C1389"/>
      <c r="D1389"/>
    </row>
    <row r="1390" spans="1:4" x14ac:dyDescent="0.2">
      <c r="A1390" s="4"/>
      <c r="B1390"/>
      <c r="C1390"/>
      <c r="D1390"/>
    </row>
    <row r="1391" spans="1:4" x14ac:dyDescent="0.2">
      <c r="A1391" s="4"/>
      <c r="B1391"/>
      <c r="C1391"/>
      <c r="D1391"/>
    </row>
    <row r="1392" spans="1:4" x14ac:dyDescent="0.2">
      <c r="A1392" s="4"/>
      <c r="B1392"/>
      <c r="C1392"/>
      <c r="D1392"/>
    </row>
    <row r="1393" spans="1:4" x14ac:dyDescent="0.2">
      <c r="A1393" s="4"/>
      <c r="B1393"/>
      <c r="C1393"/>
      <c r="D1393"/>
    </row>
    <row r="1394" spans="1:4" x14ac:dyDescent="0.2">
      <c r="A1394" s="4"/>
      <c r="B1394"/>
      <c r="C1394"/>
      <c r="D1394"/>
    </row>
    <row r="1395" spans="1:4" x14ac:dyDescent="0.2">
      <c r="A1395" s="4"/>
      <c r="B1395"/>
      <c r="C1395"/>
      <c r="D1395"/>
    </row>
    <row r="1396" spans="1:4" x14ac:dyDescent="0.2">
      <c r="A1396" s="4"/>
      <c r="B1396"/>
      <c r="C1396"/>
      <c r="D1396"/>
    </row>
    <row r="1397" spans="1:4" x14ac:dyDescent="0.2">
      <c r="A1397" s="4"/>
      <c r="B1397"/>
      <c r="C1397"/>
      <c r="D1397"/>
    </row>
    <row r="1398" spans="1:4" x14ac:dyDescent="0.2">
      <c r="A1398" s="4"/>
      <c r="B1398"/>
      <c r="C1398"/>
      <c r="D1398"/>
    </row>
    <row r="1399" spans="1:4" x14ac:dyDescent="0.2">
      <c r="A1399" s="4"/>
      <c r="B1399"/>
      <c r="C1399"/>
      <c r="D1399"/>
    </row>
    <row r="1400" spans="1:4" x14ac:dyDescent="0.2">
      <c r="A1400" s="4"/>
      <c r="B1400"/>
      <c r="C1400"/>
      <c r="D1400"/>
    </row>
    <row r="1401" spans="1:4" x14ac:dyDescent="0.2">
      <c r="A1401" s="4"/>
      <c r="B1401"/>
      <c r="C1401"/>
      <c r="D1401"/>
    </row>
    <row r="1402" spans="1:4" x14ac:dyDescent="0.2">
      <c r="A1402" s="4"/>
      <c r="B1402"/>
      <c r="C1402"/>
      <c r="D1402"/>
    </row>
    <row r="1403" spans="1:4" x14ac:dyDescent="0.2">
      <c r="A1403" s="4"/>
      <c r="B1403"/>
      <c r="C1403"/>
      <c r="D1403"/>
    </row>
    <row r="1404" spans="1:4" x14ac:dyDescent="0.2">
      <c r="A1404" s="4"/>
      <c r="B1404"/>
      <c r="C1404"/>
      <c r="D1404"/>
    </row>
    <row r="1405" spans="1:4" x14ac:dyDescent="0.2">
      <c r="A1405" s="4"/>
      <c r="B1405"/>
      <c r="C1405"/>
      <c r="D1405"/>
    </row>
    <row r="1406" spans="1:4" x14ac:dyDescent="0.2">
      <c r="A1406" s="4"/>
      <c r="B1406"/>
      <c r="C1406"/>
      <c r="D1406"/>
    </row>
    <row r="1407" spans="1:4" x14ac:dyDescent="0.2">
      <c r="A1407" s="4"/>
      <c r="B1407"/>
      <c r="C1407"/>
      <c r="D1407"/>
    </row>
    <row r="1408" spans="1:4" x14ac:dyDescent="0.2">
      <c r="A1408" s="4"/>
      <c r="B1408"/>
      <c r="C1408"/>
      <c r="D1408"/>
    </row>
    <row r="1409" spans="1:4" x14ac:dyDescent="0.2">
      <c r="A1409" s="4"/>
      <c r="B1409"/>
      <c r="C1409"/>
      <c r="D1409"/>
    </row>
    <row r="1410" spans="1:4" x14ac:dyDescent="0.2">
      <c r="A1410" s="4"/>
      <c r="B1410"/>
      <c r="C1410"/>
      <c r="D1410"/>
    </row>
    <row r="1411" spans="1:4" x14ac:dyDescent="0.2">
      <c r="A1411" s="4"/>
      <c r="B1411"/>
      <c r="C1411"/>
      <c r="D1411"/>
    </row>
    <row r="1412" spans="1:4" x14ac:dyDescent="0.2">
      <c r="A1412" s="4"/>
      <c r="B1412"/>
      <c r="C1412"/>
      <c r="D1412"/>
    </row>
    <row r="1413" spans="1:4" x14ac:dyDescent="0.2">
      <c r="A1413" s="4"/>
      <c r="B1413"/>
      <c r="C1413"/>
      <c r="D1413"/>
    </row>
    <row r="1414" spans="1:4" x14ac:dyDescent="0.2">
      <c r="A1414" s="4"/>
      <c r="B1414"/>
      <c r="C1414"/>
      <c r="D1414"/>
    </row>
    <row r="1415" spans="1:4" x14ac:dyDescent="0.2">
      <c r="A1415" s="4"/>
      <c r="B1415"/>
      <c r="C1415"/>
      <c r="D1415"/>
    </row>
    <row r="1416" spans="1:4" x14ac:dyDescent="0.2">
      <c r="A1416" s="4"/>
      <c r="B1416"/>
      <c r="C1416"/>
      <c r="D1416"/>
    </row>
    <row r="1417" spans="1:4" x14ac:dyDescent="0.2">
      <c r="A1417" s="4"/>
      <c r="B1417"/>
      <c r="C1417"/>
      <c r="D1417"/>
    </row>
    <row r="1418" spans="1:4" x14ac:dyDescent="0.2">
      <c r="A1418" s="4"/>
      <c r="B1418"/>
      <c r="C1418"/>
      <c r="D1418"/>
    </row>
    <row r="1419" spans="1:4" x14ac:dyDescent="0.2">
      <c r="A1419" s="4"/>
      <c r="B1419"/>
      <c r="C1419"/>
      <c r="D1419"/>
    </row>
    <row r="1420" spans="1:4" x14ac:dyDescent="0.2">
      <c r="A1420" s="4"/>
      <c r="B1420"/>
      <c r="C1420"/>
      <c r="D1420"/>
    </row>
    <row r="1421" spans="1:4" x14ac:dyDescent="0.2">
      <c r="A1421" s="4"/>
      <c r="B1421"/>
      <c r="C1421"/>
      <c r="D1421"/>
    </row>
    <row r="1422" spans="1:4" x14ac:dyDescent="0.2">
      <c r="A1422" s="4"/>
      <c r="B1422"/>
      <c r="C1422"/>
      <c r="D1422"/>
    </row>
    <row r="1423" spans="1:4" x14ac:dyDescent="0.2">
      <c r="A1423" s="4"/>
      <c r="B1423"/>
      <c r="C1423"/>
      <c r="D1423"/>
    </row>
    <row r="1424" spans="1:4" x14ac:dyDescent="0.2">
      <c r="A1424" s="4"/>
      <c r="B1424"/>
      <c r="C1424"/>
      <c r="D1424"/>
    </row>
    <row r="1425" spans="1:4" x14ac:dyDescent="0.2">
      <c r="A1425" s="4"/>
      <c r="B1425"/>
      <c r="C1425"/>
      <c r="D1425"/>
    </row>
    <row r="1426" spans="1:4" x14ac:dyDescent="0.2">
      <c r="A1426" s="4"/>
      <c r="B1426"/>
      <c r="C1426"/>
      <c r="D1426"/>
    </row>
    <row r="1427" spans="1:4" x14ac:dyDescent="0.2">
      <c r="A1427" s="4"/>
      <c r="B1427"/>
      <c r="C1427"/>
      <c r="D1427"/>
    </row>
    <row r="1428" spans="1:4" x14ac:dyDescent="0.2">
      <c r="A1428" s="4"/>
      <c r="B1428"/>
      <c r="C1428"/>
      <c r="D1428"/>
    </row>
    <row r="1429" spans="1:4" x14ac:dyDescent="0.2">
      <c r="A1429" s="4"/>
      <c r="B1429"/>
      <c r="C1429"/>
      <c r="D1429"/>
    </row>
    <row r="1430" spans="1:4" x14ac:dyDescent="0.2">
      <c r="A1430" s="4"/>
      <c r="B1430"/>
      <c r="C1430"/>
      <c r="D1430"/>
    </row>
    <row r="1431" spans="1:4" x14ac:dyDescent="0.2">
      <c r="A1431" s="4"/>
      <c r="B1431"/>
      <c r="C1431"/>
      <c r="D1431"/>
    </row>
    <row r="1432" spans="1:4" x14ac:dyDescent="0.2">
      <c r="A1432" s="4"/>
      <c r="B1432"/>
      <c r="C1432"/>
      <c r="D1432"/>
    </row>
    <row r="1433" spans="1:4" x14ac:dyDescent="0.2">
      <c r="A1433" s="4"/>
      <c r="B1433"/>
      <c r="C1433"/>
      <c r="D1433"/>
    </row>
    <row r="1434" spans="1:4" x14ac:dyDescent="0.2">
      <c r="A1434" s="4"/>
      <c r="B1434"/>
      <c r="C1434"/>
      <c r="D1434"/>
    </row>
    <row r="1435" spans="1:4" x14ac:dyDescent="0.2">
      <c r="A1435" s="4"/>
      <c r="B1435"/>
      <c r="C1435"/>
      <c r="D1435"/>
    </row>
    <row r="1436" spans="1:4" x14ac:dyDescent="0.2">
      <c r="A1436" s="4"/>
      <c r="B1436"/>
      <c r="C1436"/>
      <c r="D1436"/>
    </row>
    <row r="1437" spans="1:4" x14ac:dyDescent="0.2">
      <c r="A1437" s="4"/>
      <c r="B1437"/>
      <c r="C1437"/>
      <c r="D1437"/>
    </row>
    <row r="1438" spans="1:4" x14ac:dyDescent="0.2">
      <c r="A1438" s="4"/>
      <c r="B1438"/>
      <c r="C1438"/>
      <c r="D1438"/>
    </row>
    <row r="1439" spans="1:4" x14ac:dyDescent="0.2">
      <c r="A1439" s="4"/>
      <c r="B1439"/>
      <c r="C1439"/>
      <c r="D1439"/>
    </row>
    <row r="1440" spans="1:4" x14ac:dyDescent="0.2">
      <c r="A1440" s="4"/>
      <c r="B1440"/>
      <c r="C1440"/>
      <c r="D1440"/>
    </row>
    <row r="1441" spans="1:4" x14ac:dyDescent="0.2">
      <c r="A1441" s="4"/>
      <c r="B1441"/>
      <c r="C1441"/>
      <c r="D1441"/>
    </row>
    <row r="1442" spans="1:4" x14ac:dyDescent="0.2">
      <c r="A1442" s="4"/>
      <c r="B1442"/>
      <c r="C1442"/>
      <c r="D1442"/>
    </row>
    <row r="1443" spans="1:4" x14ac:dyDescent="0.2">
      <c r="A1443" s="4"/>
      <c r="B1443"/>
      <c r="C1443"/>
      <c r="D1443"/>
    </row>
    <row r="1444" spans="1:4" x14ac:dyDescent="0.2">
      <c r="A1444" s="4"/>
      <c r="B1444"/>
      <c r="C1444"/>
      <c r="D1444"/>
    </row>
    <row r="1445" spans="1:4" x14ac:dyDescent="0.2">
      <c r="A1445" s="4"/>
      <c r="B1445"/>
      <c r="C1445"/>
      <c r="D1445"/>
    </row>
    <row r="1446" spans="1:4" x14ac:dyDescent="0.2">
      <c r="A1446" s="4"/>
      <c r="B1446"/>
      <c r="C1446"/>
      <c r="D1446"/>
    </row>
    <row r="1447" spans="1:4" x14ac:dyDescent="0.2">
      <c r="A1447" s="4"/>
      <c r="B1447"/>
      <c r="C1447"/>
      <c r="D1447"/>
    </row>
    <row r="1448" spans="1:4" x14ac:dyDescent="0.2">
      <c r="A1448" s="4"/>
      <c r="B1448"/>
      <c r="C1448"/>
      <c r="D1448"/>
    </row>
    <row r="1449" spans="1:4" x14ac:dyDescent="0.2">
      <c r="A1449" s="4"/>
      <c r="B1449"/>
      <c r="C1449"/>
      <c r="D1449"/>
    </row>
    <row r="1450" spans="1:4" x14ac:dyDescent="0.2">
      <c r="A1450" s="4"/>
      <c r="B1450"/>
      <c r="C1450"/>
      <c r="D1450"/>
    </row>
    <row r="1451" spans="1:4" x14ac:dyDescent="0.2">
      <c r="A1451" s="4"/>
      <c r="B1451"/>
      <c r="C1451"/>
      <c r="D1451"/>
    </row>
    <row r="1452" spans="1:4" x14ac:dyDescent="0.2">
      <c r="A1452" s="4"/>
      <c r="B1452"/>
      <c r="C1452"/>
      <c r="D1452"/>
    </row>
    <row r="1453" spans="1:4" x14ac:dyDescent="0.2">
      <c r="A1453" s="4"/>
      <c r="B1453"/>
      <c r="C1453"/>
      <c r="D1453"/>
    </row>
    <row r="1454" spans="1:4" x14ac:dyDescent="0.2">
      <c r="A1454" s="4"/>
      <c r="B1454"/>
      <c r="C1454"/>
      <c r="D1454"/>
    </row>
    <row r="1455" spans="1:4" x14ac:dyDescent="0.2">
      <c r="A1455" s="4"/>
      <c r="B1455"/>
      <c r="C1455"/>
      <c r="D1455"/>
    </row>
    <row r="1456" spans="1:4" x14ac:dyDescent="0.2">
      <c r="A1456" s="4"/>
      <c r="B1456"/>
      <c r="C1456"/>
      <c r="D1456"/>
    </row>
    <row r="1457" spans="1:4" x14ac:dyDescent="0.2">
      <c r="A1457" s="4"/>
      <c r="B1457"/>
      <c r="C1457"/>
      <c r="D1457"/>
    </row>
    <row r="1458" spans="1:4" x14ac:dyDescent="0.2">
      <c r="A1458" s="4"/>
      <c r="B1458"/>
      <c r="C1458"/>
      <c r="D1458"/>
    </row>
    <row r="1459" spans="1:4" x14ac:dyDescent="0.2">
      <c r="A1459" s="4"/>
      <c r="B1459"/>
      <c r="C1459"/>
      <c r="D1459"/>
    </row>
    <row r="1460" spans="1:4" x14ac:dyDescent="0.2">
      <c r="A1460" s="4"/>
      <c r="B1460"/>
      <c r="C1460"/>
      <c r="D1460"/>
    </row>
    <row r="1461" spans="1:4" x14ac:dyDescent="0.2">
      <c r="A1461" s="4"/>
      <c r="B1461"/>
      <c r="C1461"/>
      <c r="D1461"/>
    </row>
    <row r="1462" spans="1:4" x14ac:dyDescent="0.2">
      <c r="A1462" s="4"/>
      <c r="B1462"/>
      <c r="C1462"/>
      <c r="D1462"/>
    </row>
    <row r="1463" spans="1:4" x14ac:dyDescent="0.2">
      <c r="A1463" s="4"/>
      <c r="B1463"/>
      <c r="C1463"/>
      <c r="D1463"/>
    </row>
    <row r="1464" spans="1:4" x14ac:dyDescent="0.2">
      <c r="A1464" s="4"/>
      <c r="B1464"/>
      <c r="C1464"/>
      <c r="D1464"/>
    </row>
    <row r="1465" spans="1:4" x14ac:dyDescent="0.2">
      <c r="A1465" s="4"/>
      <c r="B1465"/>
      <c r="C1465"/>
      <c r="D1465"/>
    </row>
    <row r="1466" spans="1:4" x14ac:dyDescent="0.2">
      <c r="A1466" s="4"/>
      <c r="B1466"/>
      <c r="C1466"/>
      <c r="D1466"/>
    </row>
    <row r="1467" spans="1:4" x14ac:dyDescent="0.2">
      <c r="A1467" s="4"/>
      <c r="B1467"/>
      <c r="C1467"/>
      <c r="D1467"/>
    </row>
    <row r="1468" spans="1:4" x14ac:dyDescent="0.2">
      <c r="A1468" s="4"/>
      <c r="B1468"/>
      <c r="C1468"/>
      <c r="D1468"/>
    </row>
    <row r="1469" spans="1:4" x14ac:dyDescent="0.2">
      <c r="A1469" s="4"/>
      <c r="B1469"/>
      <c r="C1469"/>
      <c r="D1469"/>
    </row>
    <row r="1470" spans="1:4" x14ac:dyDescent="0.2">
      <c r="A1470" s="4"/>
      <c r="B1470"/>
      <c r="C1470"/>
      <c r="D1470"/>
    </row>
    <row r="1471" spans="1:4" x14ac:dyDescent="0.2">
      <c r="A1471" s="4"/>
      <c r="B1471"/>
      <c r="C1471"/>
      <c r="D1471"/>
    </row>
    <row r="1472" spans="1:4" x14ac:dyDescent="0.2">
      <c r="A1472" s="4"/>
      <c r="B1472"/>
      <c r="C1472"/>
      <c r="D1472"/>
    </row>
    <row r="1473" spans="1:4" x14ac:dyDescent="0.2">
      <c r="A1473" s="4"/>
      <c r="B1473"/>
      <c r="C1473"/>
      <c r="D1473"/>
    </row>
    <row r="1474" spans="1:4" x14ac:dyDescent="0.2">
      <c r="A1474" s="4"/>
      <c r="B1474"/>
      <c r="C1474"/>
      <c r="D1474"/>
    </row>
    <row r="1475" spans="1:4" x14ac:dyDescent="0.2">
      <c r="A1475" s="4"/>
      <c r="B1475"/>
      <c r="C1475"/>
      <c r="D1475"/>
    </row>
    <row r="1476" spans="1:4" x14ac:dyDescent="0.2">
      <c r="A1476" s="4"/>
      <c r="B1476"/>
      <c r="C1476"/>
      <c r="D1476"/>
    </row>
    <row r="1477" spans="1:4" x14ac:dyDescent="0.2">
      <c r="A1477" s="4"/>
      <c r="B1477"/>
      <c r="C1477"/>
      <c r="D1477"/>
    </row>
    <row r="1478" spans="1:4" x14ac:dyDescent="0.2">
      <c r="A1478" s="4"/>
      <c r="B1478"/>
      <c r="C1478"/>
      <c r="D1478"/>
    </row>
    <row r="1479" spans="1:4" x14ac:dyDescent="0.2">
      <c r="A1479" s="4"/>
      <c r="B1479"/>
      <c r="C1479"/>
      <c r="D1479"/>
    </row>
    <row r="1480" spans="1:4" x14ac:dyDescent="0.2">
      <c r="A1480" s="4"/>
      <c r="B1480"/>
      <c r="C1480"/>
      <c r="D1480"/>
    </row>
    <row r="1481" spans="1:4" x14ac:dyDescent="0.2">
      <c r="A1481" s="4"/>
      <c r="B1481"/>
      <c r="C1481"/>
      <c r="D1481"/>
    </row>
    <row r="1482" spans="1:4" x14ac:dyDescent="0.2">
      <c r="A1482" s="4"/>
      <c r="B1482"/>
      <c r="C1482"/>
      <c r="D1482"/>
    </row>
    <row r="1483" spans="1:4" x14ac:dyDescent="0.2">
      <c r="A1483" s="4"/>
      <c r="B1483"/>
      <c r="C1483"/>
      <c r="D1483"/>
    </row>
    <row r="1484" spans="1:4" x14ac:dyDescent="0.2">
      <c r="A1484" s="4"/>
      <c r="B1484"/>
      <c r="C1484"/>
      <c r="D1484"/>
    </row>
    <row r="1485" spans="1:4" x14ac:dyDescent="0.2">
      <c r="A1485" s="4"/>
      <c r="B1485"/>
      <c r="C1485"/>
      <c r="D1485"/>
    </row>
    <row r="1486" spans="1:4" x14ac:dyDescent="0.2">
      <c r="A1486" s="4"/>
      <c r="B1486"/>
      <c r="C1486"/>
      <c r="D1486"/>
    </row>
    <row r="1487" spans="1:4" x14ac:dyDescent="0.2">
      <c r="A1487" s="4"/>
      <c r="B1487"/>
      <c r="C1487"/>
      <c r="D1487"/>
    </row>
    <row r="1488" spans="1:4" x14ac:dyDescent="0.2">
      <c r="A1488" s="4"/>
      <c r="B1488"/>
      <c r="C1488"/>
      <c r="D1488"/>
    </row>
    <row r="1489" spans="1:4" x14ac:dyDescent="0.2">
      <c r="A1489" s="4"/>
      <c r="B1489"/>
      <c r="C1489"/>
      <c r="D1489"/>
    </row>
    <row r="1490" spans="1:4" x14ac:dyDescent="0.2">
      <c r="A1490" s="4"/>
      <c r="B1490"/>
      <c r="C1490"/>
      <c r="D1490"/>
    </row>
    <row r="1491" spans="1:4" x14ac:dyDescent="0.2">
      <c r="A1491" s="4"/>
      <c r="B1491"/>
      <c r="C1491"/>
      <c r="D1491"/>
    </row>
    <row r="1492" spans="1:4" x14ac:dyDescent="0.2">
      <c r="A1492" s="4"/>
      <c r="B1492"/>
      <c r="C1492"/>
      <c r="D1492"/>
    </row>
    <row r="1493" spans="1:4" x14ac:dyDescent="0.2">
      <c r="A1493" s="4"/>
      <c r="B1493"/>
      <c r="C1493"/>
      <c r="D1493"/>
    </row>
    <row r="1494" spans="1:4" x14ac:dyDescent="0.2">
      <c r="A1494" s="4"/>
      <c r="B1494"/>
      <c r="C1494"/>
      <c r="D1494"/>
    </row>
    <row r="1495" spans="1:4" x14ac:dyDescent="0.2">
      <c r="A1495" s="4"/>
      <c r="B1495"/>
      <c r="C1495"/>
      <c r="D1495"/>
    </row>
    <row r="1496" spans="1:4" x14ac:dyDescent="0.2">
      <c r="A1496" s="4"/>
      <c r="B1496"/>
      <c r="C1496"/>
      <c r="D1496"/>
    </row>
    <row r="1497" spans="1:4" x14ac:dyDescent="0.2">
      <c r="A1497" s="4"/>
      <c r="B1497"/>
      <c r="C1497"/>
      <c r="D1497"/>
    </row>
    <row r="1498" spans="1:4" x14ac:dyDescent="0.2">
      <c r="A1498" s="4"/>
      <c r="B1498"/>
      <c r="C1498"/>
      <c r="D1498"/>
    </row>
    <row r="1499" spans="1:4" x14ac:dyDescent="0.2">
      <c r="A1499" s="4"/>
      <c r="B1499"/>
      <c r="C1499"/>
      <c r="D1499"/>
    </row>
    <row r="1500" spans="1:4" x14ac:dyDescent="0.2">
      <c r="A1500" s="4"/>
      <c r="B1500"/>
      <c r="C1500"/>
      <c r="D1500"/>
    </row>
    <row r="1501" spans="1:4" x14ac:dyDescent="0.2">
      <c r="A1501" s="4"/>
      <c r="B1501"/>
      <c r="C1501"/>
      <c r="D1501"/>
    </row>
    <row r="1502" spans="1:4" x14ac:dyDescent="0.2">
      <c r="A1502" s="4"/>
      <c r="B1502"/>
      <c r="C1502"/>
      <c r="D1502"/>
    </row>
    <row r="1503" spans="1:4" x14ac:dyDescent="0.2">
      <c r="A1503" s="4"/>
      <c r="B1503"/>
      <c r="C1503"/>
      <c r="D1503"/>
    </row>
    <row r="1504" spans="1:4" x14ac:dyDescent="0.2">
      <c r="A1504" s="4"/>
      <c r="B1504"/>
      <c r="C1504"/>
      <c r="D1504"/>
    </row>
    <row r="1505" spans="1:4" x14ac:dyDescent="0.2">
      <c r="A1505" s="4"/>
      <c r="B1505"/>
      <c r="C1505"/>
      <c r="D1505"/>
    </row>
    <row r="1506" spans="1:4" x14ac:dyDescent="0.2">
      <c r="A1506" s="4"/>
      <c r="B1506"/>
      <c r="C1506"/>
      <c r="D1506"/>
    </row>
    <row r="1507" spans="1:4" x14ac:dyDescent="0.2">
      <c r="A1507" s="4"/>
      <c r="B1507"/>
      <c r="C1507"/>
      <c r="D1507"/>
    </row>
    <row r="1508" spans="1:4" x14ac:dyDescent="0.2">
      <c r="A1508" s="4"/>
      <c r="B1508"/>
      <c r="C1508"/>
      <c r="D1508"/>
    </row>
    <row r="1509" spans="1:4" x14ac:dyDescent="0.2">
      <c r="A1509" s="4"/>
      <c r="B1509"/>
      <c r="C1509"/>
      <c r="D1509"/>
    </row>
    <row r="1510" spans="1:4" x14ac:dyDescent="0.2">
      <c r="A1510" s="4"/>
      <c r="B1510"/>
      <c r="C1510"/>
      <c r="D1510"/>
    </row>
    <row r="1511" spans="1:4" x14ac:dyDescent="0.2">
      <c r="A1511" s="4"/>
      <c r="B1511"/>
      <c r="C1511"/>
      <c r="D1511"/>
    </row>
    <row r="1512" spans="1:4" x14ac:dyDescent="0.2">
      <c r="A1512" s="4"/>
      <c r="B1512"/>
      <c r="C1512"/>
      <c r="D1512"/>
    </row>
    <row r="1513" spans="1:4" x14ac:dyDescent="0.2">
      <c r="A1513" s="4"/>
      <c r="B1513"/>
      <c r="C1513"/>
      <c r="D1513"/>
    </row>
    <row r="1514" spans="1:4" x14ac:dyDescent="0.2">
      <c r="A1514" s="4"/>
      <c r="B1514"/>
      <c r="C1514"/>
      <c r="D1514"/>
    </row>
    <row r="1515" spans="1:4" x14ac:dyDescent="0.2">
      <c r="A1515" s="4"/>
      <c r="B1515"/>
      <c r="C1515"/>
      <c r="D1515"/>
    </row>
    <row r="1516" spans="1:4" x14ac:dyDescent="0.2">
      <c r="A1516" s="4"/>
      <c r="B1516"/>
      <c r="C1516"/>
      <c r="D1516"/>
    </row>
    <row r="1517" spans="1:4" x14ac:dyDescent="0.2">
      <c r="A1517" s="4"/>
      <c r="B1517"/>
      <c r="C1517"/>
      <c r="D1517"/>
    </row>
    <row r="1518" spans="1:4" x14ac:dyDescent="0.2">
      <c r="A1518" s="4"/>
      <c r="B1518"/>
      <c r="C1518"/>
      <c r="D1518"/>
    </row>
    <row r="1519" spans="1:4" x14ac:dyDescent="0.2">
      <c r="A1519" s="4"/>
      <c r="B1519"/>
      <c r="C1519"/>
      <c r="D1519"/>
    </row>
    <row r="1520" spans="1:4" x14ac:dyDescent="0.2">
      <c r="A1520" s="4"/>
      <c r="B1520"/>
      <c r="C1520"/>
      <c r="D1520"/>
    </row>
    <row r="1521" spans="1:4" x14ac:dyDescent="0.2">
      <c r="A1521" s="4"/>
      <c r="B1521"/>
      <c r="C1521"/>
      <c r="D1521"/>
    </row>
    <row r="1522" spans="1:4" x14ac:dyDescent="0.2">
      <c r="A1522" s="4"/>
      <c r="B1522"/>
      <c r="C1522"/>
      <c r="D1522"/>
    </row>
    <row r="1523" spans="1:4" x14ac:dyDescent="0.2">
      <c r="A1523" s="4"/>
      <c r="B1523"/>
      <c r="C1523"/>
      <c r="D1523"/>
    </row>
    <row r="1524" spans="1:4" x14ac:dyDescent="0.2">
      <c r="A1524" s="4"/>
      <c r="B1524"/>
      <c r="C1524"/>
      <c r="D1524"/>
    </row>
    <row r="1525" spans="1:4" x14ac:dyDescent="0.2">
      <c r="A1525" s="4"/>
      <c r="B1525"/>
      <c r="C1525"/>
      <c r="D1525"/>
    </row>
    <row r="1526" spans="1:4" x14ac:dyDescent="0.2">
      <c r="A1526" s="4"/>
      <c r="B1526"/>
      <c r="C1526"/>
      <c r="D1526"/>
    </row>
    <row r="1527" spans="1:4" x14ac:dyDescent="0.2">
      <c r="A1527" s="4"/>
      <c r="B1527"/>
      <c r="C1527"/>
      <c r="D1527"/>
    </row>
    <row r="1528" spans="1:4" x14ac:dyDescent="0.2">
      <c r="A1528" s="4"/>
      <c r="B1528"/>
      <c r="C1528"/>
      <c r="D1528"/>
    </row>
    <row r="1529" spans="1:4" x14ac:dyDescent="0.2">
      <c r="A1529" s="4"/>
      <c r="B1529"/>
      <c r="C1529"/>
      <c r="D1529"/>
    </row>
    <row r="1530" spans="1:4" x14ac:dyDescent="0.2">
      <c r="A1530" s="4"/>
      <c r="B1530"/>
      <c r="C1530"/>
      <c r="D1530"/>
    </row>
    <row r="1531" spans="1:4" x14ac:dyDescent="0.2">
      <c r="A1531" s="4"/>
      <c r="B1531"/>
      <c r="C1531"/>
      <c r="D1531"/>
    </row>
    <row r="1532" spans="1:4" x14ac:dyDescent="0.2">
      <c r="A1532" s="4"/>
      <c r="B1532"/>
      <c r="C1532"/>
      <c r="D1532"/>
    </row>
    <row r="1533" spans="1:4" x14ac:dyDescent="0.2">
      <c r="A1533" s="4"/>
      <c r="B1533"/>
      <c r="C1533"/>
      <c r="D1533"/>
    </row>
    <row r="1534" spans="1:4" x14ac:dyDescent="0.2">
      <c r="A1534" s="4"/>
      <c r="B1534"/>
      <c r="C1534"/>
      <c r="D1534"/>
    </row>
    <row r="1535" spans="1:4" x14ac:dyDescent="0.2">
      <c r="A1535" s="4"/>
      <c r="B1535"/>
      <c r="C1535"/>
      <c r="D1535"/>
    </row>
    <row r="1536" spans="1:4" x14ac:dyDescent="0.2">
      <c r="A1536" s="4"/>
      <c r="B1536"/>
      <c r="C1536"/>
      <c r="D1536"/>
    </row>
    <row r="1537" spans="1:4" x14ac:dyDescent="0.2">
      <c r="A1537" s="4"/>
      <c r="B1537"/>
      <c r="C1537"/>
      <c r="D1537"/>
    </row>
    <row r="1538" spans="1:4" x14ac:dyDescent="0.2">
      <c r="A1538" s="4"/>
      <c r="B1538"/>
      <c r="C1538"/>
      <c r="D1538"/>
    </row>
    <row r="1539" spans="1:4" x14ac:dyDescent="0.2">
      <c r="A1539" s="4"/>
      <c r="B1539"/>
      <c r="C1539"/>
      <c r="D1539"/>
    </row>
    <row r="1540" spans="1:4" x14ac:dyDescent="0.2">
      <c r="A1540" s="4"/>
      <c r="B1540"/>
      <c r="C1540"/>
      <c r="D1540"/>
    </row>
    <row r="1541" spans="1:4" x14ac:dyDescent="0.2">
      <c r="A1541" s="4"/>
      <c r="B1541"/>
      <c r="C1541"/>
      <c r="D1541"/>
    </row>
    <row r="1542" spans="1:4" x14ac:dyDescent="0.2">
      <c r="A1542" s="4"/>
      <c r="B1542"/>
      <c r="C1542"/>
      <c r="D1542"/>
    </row>
    <row r="1543" spans="1:4" x14ac:dyDescent="0.2">
      <c r="A1543" s="4"/>
      <c r="B1543"/>
      <c r="C1543"/>
      <c r="D1543"/>
    </row>
    <row r="1544" spans="1:4" x14ac:dyDescent="0.2">
      <c r="A1544" s="4"/>
      <c r="B1544"/>
      <c r="C1544"/>
      <c r="D1544"/>
    </row>
    <row r="1545" spans="1:4" x14ac:dyDescent="0.2">
      <c r="A1545" s="4"/>
      <c r="B1545"/>
      <c r="C1545"/>
      <c r="D1545"/>
    </row>
    <row r="1546" spans="1:4" x14ac:dyDescent="0.2">
      <c r="A1546" s="4"/>
      <c r="B1546"/>
      <c r="C1546"/>
      <c r="D1546"/>
    </row>
    <row r="1547" spans="1:4" x14ac:dyDescent="0.2">
      <c r="A1547" s="4"/>
      <c r="B1547"/>
      <c r="C1547"/>
      <c r="D1547"/>
    </row>
    <row r="1548" spans="1:4" x14ac:dyDescent="0.2">
      <c r="A1548" s="4"/>
      <c r="B1548"/>
      <c r="C1548"/>
      <c r="D1548"/>
    </row>
    <row r="1549" spans="1:4" x14ac:dyDescent="0.2">
      <c r="A1549" s="4"/>
      <c r="B1549"/>
      <c r="C1549"/>
      <c r="D1549"/>
    </row>
    <row r="1550" spans="1:4" x14ac:dyDescent="0.2">
      <c r="A1550" s="4"/>
      <c r="B1550"/>
      <c r="C1550"/>
      <c r="D1550"/>
    </row>
    <row r="1551" spans="1:4" x14ac:dyDescent="0.2">
      <c r="A1551" s="4"/>
      <c r="B1551"/>
      <c r="C1551"/>
      <c r="D1551"/>
    </row>
    <row r="1552" spans="1:4" x14ac:dyDescent="0.2">
      <c r="A1552" s="4"/>
      <c r="B1552"/>
      <c r="C1552"/>
      <c r="D1552"/>
    </row>
    <row r="1553" spans="1:4" x14ac:dyDescent="0.2">
      <c r="A1553" s="4"/>
      <c r="B1553"/>
      <c r="C1553"/>
      <c r="D1553"/>
    </row>
    <row r="1554" spans="1:4" x14ac:dyDescent="0.2">
      <c r="A1554" s="4"/>
      <c r="B1554"/>
      <c r="C1554"/>
      <c r="D1554"/>
    </row>
    <row r="1555" spans="1:4" x14ac:dyDescent="0.2">
      <c r="A1555" s="4"/>
      <c r="B1555"/>
      <c r="C1555"/>
      <c r="D1555"/>
    </row>
    <row r="1556" spans="1:4" x14ac:dyDescent="0.2">
      <c r="A1556" s="4"/>
      <c r="B1556"/>
      <c r="C1556"/>
      <c r="D1556"/>
    </row>
    <row r="1557" spans="1:4" x14ac:dyDescent="0.2">
      <c r="A1557" s="4"/>
      <c r="B1557"/>
      <c r="C1557"/>
      <c r="D1557"/>
    </row>
    <row r="1558" spans="1:4" x14ac:dyDescent="0.2">
      <c r="A1558" s="4"/>
      <c r="B1558"/>
      <c r="C1558"/>
      <c r="D1558"/>
    </row>
    <row r="1559" spans="1:4" x14ac:dyDescent="0.2">
      <c r="A1559" s="4"/>
      <c r="B1559"/>
      <c r="C1559"/>
      <c r="D1559"/>
    </row>
    <row r="1560" spans="1:4" x14ac:dyDescent="0.2">
      <c r="A1560" s="4"/>
      <c r="B1560"/>
      <c r="C1560"/>
      <c r="D1560"/>
    </row>
    <row r="1561" spans="1:4" x14ac:dyDescent="0.2">
      <c r="A1561" s="4"/>
      <c r="B1561"/>
      <c r="C1561"/>
      <c r="D1561"/>
    </row>
    <row r="1562" spans="1:4" x14ac:dyDescent="0.2">
      <c r="A1562" s="4"/>
      <c r="B1562"/>
      <c r="C1562"/>
      <c r="D1562"/>
    </row>
    <row r="1563" spans="1:4" x14ac:dyDescent="0.2">
      <c r="A1563" s="4"/>
      <c r="B1563"/>
      <c r="C1563"/>
      <c r="D1563"/>
    </row>
    <row r="1564" spans="1:4" x14ac:dyDescent="0.2">
      <c r="A1564" s="4"/>
      <c r="B1564"/>
      <c r="C1564"/>
      <c r="D1564"/>
    </row>
    <row r="1565" spans="1:4" x14ac:dyDescent="0.2">
      <c r="A1565" s="4"/>
      <c r="B1565"/>
      <c r="C1565"/>
      <c r="D1565"/>
    </row>
    <row r="1566" spans="1:4" x14ac:dyDescent="0.2">
      <c r="A1566" s="4"/>
      <c r="B1566"/>
      <c r="C1566"/>
      <c r="D1566"/>
    </row>
    <row r="1567" spans="1:4" x14ac:dyDescent="0.2">
      <c r="A1567" s="4"/>
      <c r="B1567"/>
      <c r="C1567"/>
      <c r="D1567"/>
    </row>
    <row r="1568" spans="1:4" x14ac:dyDescent="0.2">
      <c r="A1568" s="4"/>
      <c r="B1568"/>
      <c r="C1568"/>
      <c r="D1568"/>
    </row>
    <row r="1569" spans="1:4" x14ac:dyDescent="0.2">
      <c r="A1569" s="4"/>
      <c r="B1569"/>
      <c r="C1569"/>
      <c r="D1569"/>
    </row>
    <row r="1570" spans="1:4" x14ac:dyDescent="0.2">
      <c r="A1570" s="4"/>
      <c r="B1570"/>
      <c r="C1570"/>
      <c r="D1570"/>
    </row>
    <row r="1571" spans="1:4" x14ac:dyDescent="0.2">
      <c r="A1571" s="4"/>
      <c r="B1571"/>
      <c r="C1571"/>
      <c r="D1571"/>
    </row>
    <row r="1572" spans="1:4" x14ac:dyDescent="0.2">
      <c r="A1572" s="4"/>
      <c r="B1572"/>
      <c r="C1572"/>
      <c r="D1572"/>
    </row>
    <row r="1573" spans="1:4" x14ac:dyDescent="0.2">
      <c r="A1573" s="4"/>
      <c r="B1573"/>
      <c r="C1573"/>
      <c r="D1573"/>
    </row>
    <row r="1574" spans="1:4" x14ac:dyDescent="0.2">
      <c r="A1574" s="4"/>
      <c r="B1574"/>
      <c r="C1574"/>
      <c r="D1574"/>
    </row>
    <row r="1575" spans="1:4" x14ac:dyDescent="0.2">
      <c r="A1575" s="4"/>
      <c r="B1575"/>
      <c r="C1575"/>
      <c r="D1575"/>
    </row>
    <row r="1576" spans="1:4" x14ac:dyDescent="0.2">
      <c r="A1576" s="4"/>
      <c r="B1576"/>
      <c r="C1576"/>
      <c r="D1576"/>
    </row>
    <row r="1577" spans="1:4" x14ac:dyDescent="0.2">
      <c r="A1577" s="4"/>
      <c r="B1577"/>
      <c r="C1577"/>
      <c r="D1577"/>
    </row>
    <row r="1578" spans="1:4" x14ac:dyDescent="0.2">
      <c r="A1578" s="4"/>
      <c r="B1578"/>
      <c r="C1578"/>
      <c r="D1578"/>
    </row>
    <row r="1579" spans="1:4" x14ac:dyDescent="0.2">
      <c r="A1579" s="4"/>
      <c r="B1579"/>
      <c r="C1579"/>
      <c r="D1579"/>
    </row>
    <row r="1580" spans="1:4" x14ac:dyDescent="0.2">
      <c r="A1580" s="4"/>
      <c r="B1580"/>
      <c r="C1580"/>
      <c r="D1580"/>
    </row>
    <row r="1581" spans="1:4" x14ac:dyDescent="0.2">
      <c r="A1581" s="4"/>
      <c r="B1581"/>
      <c r="C1581"/>
      <c r="D1581"/>
    </row>
    <row r="1582" spans="1:4" x14ac:dyDescent="0.2">
      <c r="A1582" s="4"/>
      <c r="B1582"/>
      <c r="C1582"/>
      <c r="D1582"/>
    </row>
    <row r="1583" spans="1:4" x14ac:dyDescent="0.2">
      <c r="A1583" s="4"/>
      <c r="B1583"/>
      <c r="C1583"/>
      <c r="D1583"/>
    </row>
    <row r="1584" spans="1:4" x14ac:dyDescent="0.2">
      <c r="A1584" s="4"/>
      <c r="B1584"/>
      <c r="C1584"/>
      <c r="D1584"/>
    </row>
    <row r="1585" spans="1:4" x14ac:dyDescent="0.2">
      <c r="A1585" s="4"/>
      <c r="B1585"/>
      <c r="C1585"/>
      <c r="D1585"/>
    </row>
    <row r="1586" spans="1:4" x14ac:dyDescent="0.2">
      <c r="A1586" s="4"/>
      <c r="B1586"/>
      <c r="C1586"/>
      <c r="D1586"/>
    </row>
    <row r="1587" spans="1:4" x14ac:dyDescent="0.2">
      <c r="A1587" s="4"/>
      <c r="B1587"/>
      <c r="C1587"/>
      <c r="D1587"/>
    </row>
    <row r="1588" spans="1:4" x14ac:dyDescent="0.2">
      <c r="A1588" s="4"/>
      <c r="B1588"/>
      <c r="C1588"/>
      <c r="D1588"/>
    </row>
    <row r="1589" spans="1:4" x14ac:dyDescent="0.2">
      <c r="A1589" s="4"/>
      <c r="B1589"/>
      <c r="C1589"/>
      <c r="D1589"/>
    </row>
    <row r="1590" spans="1:4" x14ac:dyDescent="0.2">
      <c r="A1590" s="4"/>
      <c r="B1590"/>
      <c r="C1590"/>
      <c r="D1590"/>
    </row>
    <row r="1591" spans="1:4" x14ac:dyDescent="0.2">
      <c r="A1591" s="4"/>
      <c r="B1591"/>
      <c r="C1591"/>
      <c r="D1591"/>
    </row>
    <row r="1592" spans="1:4" x14ac:dyDescent="0.2">
      <c r="A1592" s="4"/>
      <c r="B1592"/>
      <c r="C1592"/>
      <c r="D1592"/>
    </row>
    <row r="1593" spans="1:4" x14ac:dyDescent="0.2">
      <c r="A1593" s="4"/>
      <c r="B1593"/>
      <c r="C1593"/>
      <c r="D1593"/>
    </row>
    <row r="1594" spans="1:4" x14ac:dyDescent="0.2">
      <c r="A1594" s="4"/>
      <c r="B1594"/>
      <c r="C1594"/>
      <c r="D1594"/>
    </row>
    <row r="1595" spans="1:4" x14ac:dyDescent="0.2">
      <c r="A1595" s="4"/>
      <c r="B1595"/>
      <c r="C1595"/>
      <c r="D1595"/>
    </row>
    <row r="1596" spans="1:4" x14ac:dyDescent="0.2">
      <c r="A1596" s="4"/>
      <c r="B1596"/>
      <c r="C1596"/>
      <c r="D1596"/>
    </row>
    <row r="1597" spans="1:4" x14ac:dyDescent="0.2">
      <c r="A1597" s="4"/>
      <c r="B1597"/>
      <c r="C1597"/>
      <c r="D1597"/>
    </row>
    <row r="1598" spans="1:4" x14ac:dyDescent="0.2">
      <c r="A1598" s="4"/>
      <c r="B1598"/>
      <c r="C1598"/>
      <c r="D1598"/>
    </row>
    <row r="1599" spans="1:4" x14ac:dyDescent="0.2">
      <c r="A1599" s="4"/>
      <c r="B1599"/>
      <c r="C1599"/>
      <c r="D1599"/>
    </row>
    <row r="1600" spans="1:4" x14ac:dyDescent="0.2">
      <c r="A1600" s="4"/>
      <c r="B1600"/>
      <c r="C1600"/>
      <c r="D1600"/>
    </row>
    <row r="1601" spans="1:4" x14ac:dyDescent="0.2">
      <c r="A1601" s="4"/>
      <c r="B1601"/>
      <c r="C1601"/>
      <c r="D1601"/>
    </row>
    <row r="1602" spans="1:4" x14ac:dyDescent="0.2">
      <c r="A1602" s="4"/>
      <c r="B1602"/>
      <c r="C1602"/>
      <c r="D1602"/>
    </row>
    <row r="1603" spans="1:4" x14ac:dyDescent="0.2">
      <c r="A1603" s="4"/>
      <c r="B1603"/>
      <c r="C1603"/>
      <c r="D1603"/>
    </row>
    <row r="1604" spans="1:4" x14ac:dyDescent="0.2">
      <c r="A1604" s="4"/>
      <c r="B1604"/>
      <c r="C1604"/>
      <c r="D1604"/>
    </row>
    <row r="1605" spans="1:4" x14ac:dyDescent="0.2">
      <c r="A1605" s="4"/>
      <c r="B1605"/>
      <c r="C1605"/>
      <c r="D1605"/>
    </row>
    <row r="1606" spans="1:4" x14ac:dyDescent="0.2">
      <c r="A1606" s="4"/>
      <c r="B1606"/>
      <c r="C1606"/>
      <c r="D1606"/>
    </row>
    <row r="1607" spans="1:4" x14ac:dyDescent="0.2">
      <c r="A1607" s="4"/>
      <c r="B1607"/>
      <c r="C1607"/>
      <c r="D1607"/>
    </row>
    <row r="1608" spans="1:4" x14ac:dyDescent="0.2">
      <c r="A1608" s="4"/>
      <c r="B1608"/>
      <c r="C1608"/>
      <c r="D1608"/>
    </row>
    <row r="1609" spans="1:4" x14ac:dyDescent="0.2">
      <c r="A1609" s="4"/>
      <c r="B1609"/>
      <c r="C1609"/>
      <c r="D1609"/>
    </row>
    <row r="1610" spans="1:4" x14ac:dyDescent="0.2">
      <c r="A1610" s="4"/>
      <c r="B1610"/>
      <c r="C1610"/>
      <c r="D1610"/>
    </row>
    <row r="1611" spans="1:4" x14ac:dyDescent="0.2">
      <c r="A1611" s="4"/>
      <c r="B1611"/>
      <c r="C1611"/>
      <c r="D1611"/>
    </row>
    <row r="1612" spans="1:4" x14ac:dyDescent="0.2">
      <c r="A1612" s="4"/>
      <c r="B1612"/>
      <c r="C1612"/>
      <c r="D1612"/>
    </row>
    <row r="1613" spans="1:4" x14ac:dyDescent="0.2">
      <c r="A1613" s="4"/>
      <c r="B1613"/>
      <c r="C1613"/>
      <c r="D1613"/>
    </row>
    <row r="1614" spans="1:4" x14ac:dyDescent="0.2">
      <c r="A1614" s="4"/>
      <c r="B1614"/>
      <c r="C1614"/>
      <c r="D1614"/>
    </row>
    <row r="1615" spans="1:4" x14ac:dyDescent="0.2">
      <c r="A1615" s="4"/>
      <c r="B1615"/>
      <c r="C1615"/>
      <c r="D1615"/>
    </row>
    <row r="1616" spans="1:4" x14ac:dyDescent="0.2">
      <c r="A1616" s="4"/>
      <c r="B1616"/>
      <c r="C1616"/>
      <c r="D1616"/>
    </row>
    <row r="1617" spans="1:4" x14ac:dyDescent="0.2">
      <c r="A1617" s="4"/>
      <c r="B1617"/>
      <c r="C1617"/>
      <c r="D1617"/>
    </row>
    <row r="1618" spans="1:4" x14ac:dyDescent="0.2">
      <c r="A1618" s="4"/>
      <c r="B1618"/>
      <c r="C1618"/>
      <c r="D1618"/>
    </row>
    <row r="1619" spans="1:4" x14ac:dyDescent="0.2">
      <c r="A1619" s="4"/>
      <c r="B1619"/>
      <c r="C1619"/>
      <c r="D1619"/>
    </row>
    <row r="1620" spans="1:4" x14ac:dyDescent="0.2">
      <c r="A1620" s="4"/>
      <c r="B1620"/>
      <c r="C1620"/>
      <c r="D1620"/>
    </row>
    <row r="1621" spans="1:4" x14ac:dyDescent="0.2">
      <c r="A1621" s="4"/>
      <c r="B1621"/>
      <c r="C1621"/>
      <c r="D1621"/>
    </row>
    <row r="1622" spans="1:4" x14ac:dyDescent="0.2">
      <c r="A1622" s="4"/>
      <c r="B1622"/>
      <c r="C1622"/>
      <c r="D1622"/>
    </row>
    <row r="1623" spans="1:4" x14ac:dyDescent="0.2">
      <c r="A1623" s="4"/>
      <c r="B1623"/>
      <c r="C1623"/>
      <c r="D1623"/>
    </row>
    <row r="1624" spans="1:4" x14ac:dyDescent="0.2">
      <c r="A1624" s="4"/>
      <c r="B1624"/>
      <c r="C1624"/>
      <c r="D1624"/>
    </row>
    <row r="1625" spans="1:4" x14ac:dyDescent="0.2">
      <c r="A1625" s="4"/>
      <c r="B1625"/>
      <c r="C1625"/>
      <c r="D1625"/>
    </row>
    <row r="1626" spans="1:4" x14ac:dyDescent="0.2">
      <c r="A1626" s="4"/>
      <c r="B1626"/>
      <c r="C1626"/>
      <c r="D1626"/>
    </row>
    <row r="1627" spans="1:4" x14ac:dyDescent="0.2">
      <c r="A1627" s="4"/>
      <c r="B1627"/>
      <c r="C1627"/>
      <c r="D1627"/>
    </row>
    <row r="1628" spans="1:4" x14ac:dyDescent="0.2">
      <c r="A1628" s="4"/>
      <c r="B1628"/>
      <c r="C1628"/>
      <c r="D1628"/>
    </row>
    <row r="1629" spans="1:4" x14ac:dyDescent="0.2">
      <c r="A1629" s="4"/>
      <c r="B1629"/>
      <c r="C1629"/>
      <c r="D1629"/>
    </row>
    <row r="1630" spans="1:4" x14ac:dyDescent="0.2">
      <c r="A1630" s="4"/>
      <c r="B1630"/>
      <c r="C1630"/>
      <c r="D1630"/>
    </row>
    <row r="1631" spans="1:4" x14ac:dyDescent="0.2">
      <c r="A1631" s="4"/>
      <c r="B1631"/>
      <c r="C1631"/>
      <c r="D1631"/>
    </row>
    <row r="1632" spans="1:4" x14ac:dyDescent="0.2">
      <c r="A1632" s="4"/>
      <c r="B1632"/>
      <c r="C1632"/>
      <c r="D1632"/>
    </row>
    <row r="1633" spans="1:4" x14ac:dyDescent="0.2">
      <c r="A1633" s="4"/>
      <c r="B1633"/>
      <c r="C1633"/>
      <c r="D1633"/>
    </row>
    <row r="1634" spans="1:4" x14ac:dyDescent="0.2">
      <c r="A1634" s="4"/>
      <c r="B1634"/>
      <c r="C1634"/>
      <c r="D1634"/>
    </row>
    <row r="1635" spans="1:4" x14ac:dyDescent="0.2">
      <c r="A1635" s="4"/>
      <c r="B1635"/>
      <c r="C1635"/>
      <c r="D1635"/>
    </row>
    <row r="1636" spans="1:4" x14ac:dyDescent="0.2">
      <c r="A1636" s="4"/>
      <c r="B1636"/>
      <c r="C1636"/>
      <c r="D1636"/>
    </row>
    <row r="1637" spans="1:4" x14ac:dyDescent="0.2">
      <c r="A1637" s="4"/>
      <c r="B1637"/>
      <c r="C1637"/>
      <c r="D1637"/>
    </row>
    <row r="1638" spans="1:4" x14ac:dyDescent="0.2">
      <c r="A1638" s="4"/>
      <c r="B1638"/>
      <c r="C1638"/>
      <c r="D1638"/>
    </row>
    <row r="1639" spans="1:4" x14ac:dyDescent="0.2">
      <c r="A1639" s="4"/>
      <c r="B1639"/>
      <c r="C1639"/>
      <c r="D1639"/>
    </row>
    <row r="1640" spans="1:4" x14ac:dyDescent="0.2">
      <c r="A1640" s="4"/>
      <c r="B1640"/>
      <c r="C1640"/>
      <c r="D1640"/>
    </row>
    <row r="1641" spans="1:4" x14ac:dyDescent="0.2">
      <c r="A1641" s="4"/>
      <c r="B1641"/>
      <c r="C1641"/>
      <c r="D1641"/>
    </row>
    <row r="1642" spans="1:4" x14ac:dyDescent="0.2">
      <c r="A1642" s="4"/>
      <c r="B1642"/>
      <c r="C1642"/>
      <c r="D1642"/>
    </row>
    <row r="1643" spans="1:4" x14ac:dyDescent="0.2">
      <c r="A1643" s="4"/>
      <c r="B1643"/>
      <c r="C1643"/>
      <c r="D1643"/>
    </row>
    <row r="1644" spans="1:4" x14ac:dyDescent="0.2">
      <c r="A1644" s="4"/>
      <c r="B1644"/>
      <c r="C1644"/>
      <c r="D1644"/>
    </row>
    <row r="1645" spans="1:4" x14ac:dyDescent="0.2">
      <c r="A1645" s="4"/>
      <c r="B1645"/>
      <c r="C1645"/>
      <c r="D1645"/>
    </row>
    <row r="1646" spans="1:4" x14ac:dyDescent="0.2">
      <c r="A1646" s="4"/>
      <c r="B1646"/>
      <c r="C1646"/>
      <c r="D1646"/>
    </row>
    <row r="1647" spans="1:4" x14ac:dyDescent="0.2">
      <c r="A1647" s="4"/>
      <c r="B1647"/>
      <c r="C1647"/>
      <c r="D1647"/>
    </row>
    <row r="1648" spans="1:4" x14ac:dyDescent="0.2">
      <c r="A1648" s="4"/>
      <c r="B1648"/>
      <c r="C1648"/>
      <c r="D1648"/>
    </row>
    <row r="1649" spans="1:4" x14ac:dyDescent="0.2">
      <c r="A1649" s="4"/>
      <c r="B1649"/>
      <c r="C1649"/>
      <c r="D1649"/>
    </row>
    <row r="1650" spans="1:4" x14ac:dyDescent="0.2">
      <c r="A1650" s="4"/>
      <c r="B1650"/>
      <c r="C1650"/>
      <c r="D1650"/>
    </row>
    <row r="1651" spans="1:4" x14ac:dyDescent="0.2">
      <c r="A1651" s="4"/>
      <c r="B1651"/>
      <c r="C1651"/>
      <c r="D1651"/>
    </row>
    <row r="1652" spans="1:4" x14ac:dyDescent="0.2">
      <c r="A1652" s="4"/>
      <c r="B1652"/>
      <c r="C1652"/>
      <c r="D1652"/>
    </row>
    <row r="1653" spans="1:4" x14ac:dyDescent="0.2">
      <c r="A1653" s="4"/>
      <c r="B1653"/>
      <c r="C1653"/>
      <c r="D1653"/>
    </row>
    <row r="1654" spans="1:4" x14ac:dyDescent="0.2">
      <c r="A1654" s="4"/>
      <c r="B1654"/>
      <c r="C1654"/>
      <c r="D1654"/>
    </row>
    <row r="1655" spans="1:4" x14ac:dyDescent="0.2">
      <c r="A1655" s="4"/>
      <c r="B1655"/>
      <c r="C1655"/>
      <c r="D1655"/>
    </row>
    <row r="1656" spans="1:4" x14ac:dyDescent="0.2">
      <c r="A1656" s="4"/>
      <c r="B1656"/>
      <c r="C1656"/>
      <c r="D1656"/>
    </row>
    <row r="1657" spans="1:4" x14ac:dyDescent="0.2">
      <c r="A1657" s="4"/>
      <c r="B1657"/>
      <c r="C1657"/>
      <c r="D1657"/>
    </row>
    <row r="1658" spans="1:4" x14ac:dyDescent="0.2">
      <c r="A1658" s="4"/>
      <c r="B1658"/>
      <c r="C1658"/>
      <c r="D1658"/>
    </row>
    <row r="1659" spans="1:4" x14ac:dyDescent="0.2">
      <c r="A1659" s="4"/>
      <c r="B1659"/>
      <c r="C1659"/>
      <c r="D1659"/>
    </row>
    <row r="1660" spans="1:4" x14ac:dyDescent="0.2">
      <c r="A1660" s="4"/>
      <c r="B1660"/>
      <c r="C1660"/>
      <c r="D1660"/>
    </row>
    <row r="1661" spans="1:4" x14ac:dyDescent="0.2">
      <c r="A1661" s="4"/>
      <c r="B1661"/>
      <c r="C1661"/>
      <c r="D1661"/>
    </row>
    <row r="1662" spans="1:4" x14ac:dyDescent="0.2">
      <c r="A1662" s="4"/>
      <c r="B1662"/>
      <c r="C1662"/>
      <c r="D1662"/>
    </row>
    <row r="1663" spans="1:4" x14ac:dyDescent="0.2">
      <c r="A1663" s="4"/>
      <c r="B1663"/>
      <c r="C1663"/>
      <c r="D1663"/>
    </row>
    <row r="1664" spans="1:4" x14ac:dyDescent="0.2">
      <c r="A1664" s="4"/>
      <c r="B1664"/>
      <c r="C1664"/>
      <c r="D1664"/>
    </row>
    <row r="1665" spans="1:4" x14ac:dyDescent="0.2">
      <c r="A1665" s="4"/>
      <c r="B1665"/>
      <c r="C1665"/>
      <c r="D1665"/>
    </row>
    <row r="1666" spans="1:4" x14ac:dyDescent="0.2">
      <c r="A1666" s="4"/>
      <c r="B1666"/>
      <c r="C1666"/>
      <c r="D1666"/>
    </row>
    <row r="1667" spans="1:4" x14ac:dyDescent="0.2">
      <c r="A1667" s="4"/>
      <c r="B1667"/>
      <c r="C1667"/>
      <c r="D1667"/>
    </row>
    <row r="1668" spans="1:4" x14ac:dyDescent="0.2">
      <c r="A1668" s="4"/>
      <c r="B1668"/>
      <c r="C1668"/>
      <c r="D1668"/>
    </row>
    <row r="1669" spans="1:4" x14ac:dyDescent="0.2">
      <c r="A1669" s="4"/>
      <c r="B1669"/>
      <c r="C1669"/>
      <c r="D1669"/>
    </row>
    <row r="1670" spans="1:4" x14ac:dyDescent="0.2">
      <c r="A1670" s="4"/>
      <c r="B1670"/>
      <c r="C1670"/>
      <c r="D1670"/>
    </row>
    <row r="1671" spans="1:4" x14ac:dyDescent="0.2">
      <c r="A1671" s="4"/>
      <c r="B1671"/>
      <c r="C1671"/>
      <c r="D1671"/>
    </row>
    <row r="1672" spans="1:4" x14ac:dyDescent="0.2">
      <c r="A1672" s="4"/>
      <c r="B1672"/>
      <c r="C1672"/>
      <c r="D1672"/>
    </row>
    <row r="1673" spans="1:4" x14ac:dyDescent="0.2">
      <c r="A1673" s="4"/>
      <c r="B1673"/>
      <c r="C1673"/>
      <c r="D1673"/>
    </row>
    <row r="1674" spans="1:4" x14ac:dyDescent="0.2">
      <c r="A1674" s="4"/>
      <c r="B1674"/>
      <c r="C1674"/>
      <c r="D1674"/>
    </row>
    <row r="1675" spans="1:4" x14ac:dyDescent="0.2">
      <c r="A1675" s="4"/>
      <c r="B1675"/>
      <c r="C1675"/>
      <c r="D1675"/>
    </row>
    <row r="1676" spans="1:4" x14ac:dyDescent="0.2">
      <c r="A1676" s="4"/>
      <c r="B1676"/>
      <c r="C1676"/>
      <c r="D1676"/>
    </row>
    <row r="1677" spans="1:4" x14ac:dyDescent="0.2">
      <c r="A1677" s="4"/>
      <c r="B1677"/>
      <c r="C1677"/>
      <c r="D1677"/>
    </row>
    <row r="1678" spans="1:4" x14ac:dyDescent="0.2">
      <c r="A1678" s="4"/>
      <c r="B1678"/>
      <c r="C1678"/>
      <c r="D1678"/>
    </row>
    <row r="1679" spans="1:4" x14ac:dyDescent="0.2">
      <c r="A1679" s="4"/>
      <c r="B1679"/>
      <c r="C1679"/>
      <c r="D1679"/>
    </row>
    <row r="1680" spans="1:4" x14ac:dyDescent="0.2">
      <c r="A1680" s="4"/>
      <c r="B1680"/>
      <c r="C1680"/>
      <c r="D1680"/>
    </row>
    <row r="1681" spans="1:4" x14ac:dyDescent="0.2">
      <c r="A1681" s="4"/>
      <c r="B1681"/>
      <c r="C1681"/>
      <c r="D1681"/>
    </row>
    <row r="1682" spans="1:4" x14ac:dyDescent="0.2">
      <c r="A1682" s="4"/>
      <c r="B1682"/>
      <c r="C1682"/>
      <c r="D1682"/>
    </row>
    <row r="1683" spans="1:4" x14ac:dyDescent="0.2">
      <c r="A1683" s="4"/>
      <c r="B1683"/>
      <c r="C1683"/>
      <c r="D1683"/>
    </row>
    <row r="1684" spans="1:4" x14ac:dyDescent="0.2">
      <c r="A1684" s="4"/>
      <c r="B1684"/>
      <c r="C1684"/>
      <c r="D1684"/>
    </row>
    <row r="1685" spans="1:4" x14ac:dyDescent="0.2">
      <c r="A1685" s="4"/>
      <c r="B1685"/>
      <c r="C1685"/>
      <c r="D1685"/>
    </row>
    <row r="1686" spans="1:4" x14ac:dyDescent="0.2">
      <c r="A1686" s="4"/>
      <c r="B1686"/>
      <c r="C1686"/>
      <c r="D1686"/>
    </row>
    <row r="1687" spans="1:4" x14ac:dyDescent="0.2">
      <c r="A1687" s="4"/>
      <c r="B1687"/>
      <c r="C1687"/>
      <c r="D1687"/>
    </row>
    <row r="1688" spans="1:4" x14ac:dyDescent="0.2">
      <c r="A1688" s="4"/>
      <c r="B1688"/>
      <c r="C1688"/>
      <c r="D1688"/>
    </row>
    <row r="1689" spans="1:4" x14ac:dyDescent="0.2">
      <c r="A1689" s="4"/>
      <c r="B1689"/>
      <c r="C1689"/>
      <c r="D1689"/>
    </row>
    <row r="1690" spans="1:4" x14ac:dyDescent="0.2">
      <c r="A1690" s="4"/>
      <c r="B1690"/>
      <c r="C1690"/>
      <c r="D1690"/>
    </row>
    <row r="1691" spans="1:4" x14ac:dyDescent="0.2">
      <c r="A1691" s="4"/>
      <c r="B1691"/>
      <c r="C1691"/>
      <c r="D1691"/>
    </row>
    <row r="1692" spans="1:4" x14ac:dyDescent="0.2">
      <c r="A1692" s="4"/>
      <c r="B1692"/>
      <c r="C1692"/>
      <c r="D1692"/>
    </row>
    <row r="1693" spans="1:4" x14ac:dyDescent="0.2">
      <c r="A1693" s="4"/>
      <c r="B1693"/>
      <c r="C1693"/>
      <c r="D1693"/>
    </row>
    <row r="1694" spans="1:4" x14ac:dyDescent="0.2">
      <c r="A1694" s="4"/>
      <c r="B1694"/>
      <c r="C1694"/>
      <c r="D1694"/>
    </row>
    <row r="1695" spans="1:4" x14ac:dyDescent="0.2">
      <c r="A1695" s="4"/>
      <c r="B1695"/>
      <c r="C1695"/>
      <c r="D1695"/>
    </row>
    <row r="1696" spans="1:4" x14ac:dyDescent="0.2">
      <c r="A1696" s="4"/>
      <c r="B1696"/>
      <c r="C1696"/>
      <c r="D1696"/>
    </row>
    <row r="1697" spans="1:4" x14ac:dyDescent="0.2">
      <c r="A1697" s="4"/>
      <c r="B1697"/>
      <c r="C1697"/>
      <c r="D1697"/>
    </row>
    <row r="1698" spans="1:4" x14ac:dyDescent="0.2">
      <c r="A1698" s="4"/>
      <c r="B1698"/>
      <c r="C1698"/>
      <c r="D1698"/>
    </row>
    <row r="1699" spans="1:4" x14ac:dyDescent="0.2">
      <c r="A1699" s="4"/>
      <c r="B1699"/>
      <c r="C1699"/>
      <c r="D1699"/>
    </row>
    <row r="1700" spans="1:4" x14ac:dyDescent="0.2">
      <c r="A1700" s="4"/>
      <c r="B1700"/>
      <c r="C1700"/>
      <c r="D1700"/>
    </row>
    <row r="1701" spans="1:4" x14ac:dyDescent="0.2">
      <c r="A1701" s="4"/>
      <c r="B1701"/>
      <c r="C1701"/>
      <c r="D1701"/>
    </row>
    <row r="1702" spans="1:4" x14ac:dyDescent="0.2">
      <c r="A1702" s="4"/>
      <c r="B1702"/>
      <c r="C1702"/>
      <c r="D1702"/>
    </row>
    <row r="1703" spans="1:4" x14ac:dyDescent="0.2">
      <c r="A1703" s="4"/>
      <c r="B1703"/>
      <c r="C1703"/>
      <c r="D1703"/>
    </row>
    <row r="1704" spans="1:4" x14ac:dyDescent="0.2">
      <c r="A1704" s="4"/>
      <c r="B1704"/>
      <c r="C1704"/>
      <c r="D1704"/>
    </row>
    <row r="1705" spans="1:4" x14ac:dyDescent="0.2">
      <c r="A1705" s="4"/>
      <c r="B1705"/>
      <c r="C1705"/>
      <c r="D1705"/>
    </row>
    <row r="1706" spans="1:4" x14ac:dyDescent="0.2">
      <c r="A1706" s="4"/>
      <c r="B1706"/>
      <c r="C1706"/>
      <c r="D1706"/>
    </row>
    <row r="1707" spans="1:4" x14ac:dyDescent="0.2">
      <c r="A1707" s="4"/>
      <c r="B1707"/>
      <c r="C1707"/>
      <c r="D1707"/>
    </row>
    <row r="1708" spans="1:4" x14ac:dyDescent="0.2">
      <c r="A1708" s="4"/>
      <c r="B1708"/>
      <c r="C1708"/>
      <c r="D1708"/>
    </row>
    <row r="1709" spans="1:4" x14ac:dyDescent="0.2">
      <c r="A1709" s="4"/>
      <c r="B1709"/>
      <c r="C1709"/>
      <c r="D1709"/>
    </row>
    <row r="1710" spans="1:4" x14ac:dyDescent="0.2">
      <c r="A1710" s="4"/>
      <c r="B1710"/>
      <c r="C1710"/>
      <c r="D1710"/>
    </row>
    <row r="1711" spans="1:4" x14ac:dyDescent="0.2">
      <c r="A1711" s="4"/>
      <c r="B1711"/>
      <c r="C1711"/>
      <c r="D1711"/>
    </row>
    <row r="1712" spans="1:4" x14ac:dyDescent="0.2">
      <c r="A1712" s="4"/>
      <c r="B1712"/>
      <c r="C1712"/>
      <c r="D1712"/>
    </row>
    <row r="1713" spans="1:4" x14ac:dyDescent="0.2">
      <c r="A1713" s="4"/>
      <c r="B1713"/>
      <c r="C1713"/>
      <c r="D1713"/>
    </row>
    <row r="1714" spans="1:4" x14ac:dyDescent="0.2">
      <c r="A1714" s="4"/>
      <c r="B1714"/>
      <c r="C1714"/>
      <c r="D1714"/>
    </row>
    <row r="1715" spans="1:4" x14ac:dyDescent="0.2">
      <c r="A1715" s="4"/>
      <c r="B1715"/>
      <c r="C1715"/>
      <c r="D1715"/>
    </row>
    <row r="1716" spans="1:4" x14ac:dyDescent="0.2">
      <c r="A1716" s="4"/>
      <c r="B1716"/>
      <c r="C1716"/>
      <c r="D1716"/>
    </row>
    <row r="1717" spans="1:4" x14ac:dyDescent="0.2">
      <c r="A1717" s="4"/>
      <c r="B1717"/>
      <c r="C1717"/>
      <c r="D1717"/>
    </row>
    <row r="1718" spans="1:4" x14ac:dyDescent="0.2">
      <c r="A1718" s="4"/>
      <c r="B1718"/>
      <c r="C1718"/>
      <c r="D1718"/>
    </row>
    <row r="1719" spans="1:4" x14ac:dyDescent="0.2">
      <c r="A1719" s="4"/>
      <c r="B1719"/>
      <c r="C1719"/>
      <c r="D1719"/>
    </row>
    <row r="1720" spans="1:4" x14ac:dyDescent="0.2">
      <c r="A1720" s="4"/>
      <c r="B1720"/>
      <c r="C1720"/>
      <c r="D1720"/>
    </row>
    <row r="1721" spans="1:4" x14ac:dyDescent="0.2">
      <c r="A1721" s="4"/>
      <c r="B1721"/>
      <c r="C1721"/>
      <c r="D1721"/>
    </row>
    <row r="1722" spans="1:4" x14ac:dyDescent="0.2">
      <c r="A1722" s="4"/>
      <c r="B1722"/>
      <c r="C1722"/>
      <c r="D1722"/>
    </row>
    <row r="1723" spans="1:4" x14ac:dyDescent="0.2">
      <c r="A1723" s="4"/>
      <c r="B1723"/>
      <c r="C1723"/>
      <c r="D1723"/>
    </row>
    <row r="1724" spans="1:4" x14ac:dyDescent="0.2">
      <c r="A1724" s="4"/>
      <c r="B1724"/>
      <c r="C1724"/>
      <c r="D1724"/>
    </row>
    <row r="1725" spans="1:4" x14ac:dyDescent="0.2">
      <c r="A1725" s="4"/>
      <c r="B1725"/>
      <c r="C1725"/>
      <c r="D1725"/>
    </row>
    <row r="1726" spans="1:4" x14ac:dyDescent="0.2">
      <c r="A1726" s="4"/>
      <c r="B1726"/>
      <c r="C1726"/>
      <c r="D1726"/>
    </row>
    <row r="1727" spans="1:4" x14ac:dyDescent="0.2">
      <c r="A1727" s="4"/>
      <c r="B1727"/>
      <c r="C1727"/>
      <c r="D1727"/>
    </row>
    <row r="1728" spans="1:4" x14ac:dyDescent="0.2">
      <c r="A1728" s="4"/>
      <c r="B1728"/>
      <c r="C1728"/>
      <c r="D1728"/>
    </row>
    <row r="1729" spans="1:4" x14ac:dyDescent="0.2">
      <c r="A1729" s="4"/>
      <c r="B1729"/>
      <c r="C1729"/>
      <c r="D1729"/>
    </row>
    <row r="1730" spans="1:4" x14ac:dyDescent="0.2">
      <c r="A1730" s="4"/>
      <c r="B1730"/>
      <c r="C1730"/>
      <c r="D1730"/>
    </row>
    <row r="1731" spans="1:4" x14ac:dyDescent="0.2">
      <c r="A1731" s="4"/>
      <c r="B1731"/>
      <c r="C1731"/>
      <c r="D1731"/>
    </row>
    <row r="1732" spans="1:4" x14ac:dyDescent="0.2">
      <c r="A1732" s="4"/>
      <c r="B1732"/>
      <c r="C1732"/>
      <c r="D1732"/>
    </row>
    <row r="1733" spans="1:4" x14ac:dyDescent="0.2">
      <c r="A1733" s="4"/>
      <c r="B1733"/>
      <c r="C1733"/>
      <c r="D1733"/>
    </row>
    <row r="1734" spans="1:4" x14ac:dyDescent="0.2">
      <c r="A1734" s="4"/>
      <c r="B1734"/>
      <c r="C1734"/>
      <c r="D1734"/>
    </row>
    <row r="1735" spans="1:4" x14ac:dyDescent="0.2">
      <c r="A1735" s="4"/>
      <c r="B1735"/>
      <c r="C1735"/>
      <c r="D1735"/>
    </row>
    <row r="1736" spans="1:4" x14ac:dyDescent="0.2">
      <c r="A1736" s="4"/>
      <c r="B1736"/>
      <c r="C1736"/>
      <c r="D1736"/>
    </row>
    <row r="1737" spans="1:4" x14ac:dyDescent="0.2">
      <c r="A1737" s="4"/>
      <c r="B1737"/>
      <c r="C1737"/>
      <c r="D1737"/>
    </row>
    <row r="1738" spans="1:4" x14ac:dyDescent="0.2">
      <c r="A1738" s="4"/>
      <c r="B1738"/>
      <c r="C1738"/>
      <c r="D1738"/>
    </row>
    <row r="1739" spans="1:4" x14ac:dyDescent="0.2">
      <c r="A1739" s="4"/>
      <c r="B1739"/>
      <c r="C1739"/>
      <c r="D1739"/>
    </row>
    <row r="1740" spans="1:4" x14ac:dyDescent="0.2">
      <c r="A1740" s="4"/>
      <c r="B1740"/>
      <c r="C1740"/>
      <c r="D1740"/>
    </row>
    <row r="1741" spans="1:4" x14ac:dyDescent="0.2">
      <c r="A1741" s="4"/>
      <c r="B1741"/>
      <c r="C1741"/>
      <c r="D1741"/>
    </row>
    <row r="1742" spans="1:4" x14ac:dyDescent="0.2">
      <c r="A1742" s="4"/>
      <c r="B1742"/>
      <c r="C1742"/>
      <c r="D1742"/>
    </row>
    <row r="1743" spans="1:4" x14ac:dyDescent="0.2">
      <c r="A1743" s="4"/>
      <c r="B1743"/>
      <c r="C1743"/>
      <c r="D1743"/>
    </row>
    <row r="1744" spans="1:4" x14ac:dyDescent="0.2">
      <c r="A1744" s="4"/>
      <c r="B1744"/>
      <c r="C1744"/>
      <c r="D1744"/>
    </row>
    <row r="1745" spans="1:4" x14ac:dyDescent="0.2">
      <c r="A1745" s="4"/>
      <c r="B1745"/>
      <c r="C1745"/>
      <c r="D1745"/>
    </row>
    <row r="1746" spans="1:4" x14ac:dyDescent="0.2">
      <c r="A1746" s="4"/>
      <c r="B1746"/>
      <c r="C1746"/>
      <c r="D1746"/>
    </row>
    <row r="1747" spans="1:4" x14ac:dyDescent="0.2">
      <c r="A1747" s="4"/>
      <c r="B1747"/>
      <c r="C1747"/>
      <c r="D1747"/>
    </row>
    <row r="1748" spans="1:4" x14ac:dyDescent="0.2">
      <c r="A1748" s="4"/>
      <c r="B1748"/>
      <c r="C1748"/>
      <c r="D1748"/>
    </row>
    <row r="1749" spans="1:4" x14ac:dyDescent="0.2">
      <c r="A1749" s="4"/>
      <c r="B1749"/>
      <c r="C1749"/>
      <c r="D1749"/>
    </row>
    <row r="1750" spans="1:4" x14ac:dyDescent="0.2">
      <c r="A1750" s="4"/>
      <c r="B1750"/>
      <c r="C1750"/>
      <c r="D1750"/>
    </row>
    <row r="1751" spans="1:4" x14ac:dyDescent="0.2">
      <c r="A1751" s="4"/>
      <c r="B1751"/>
      <c r="C1751"/>
      <c r="D1751"/>
    </row>
    <row r="1752" spans="1:4" x14ac:dyDescent="0.2">
      <c r="A1752" s="4"/>
      <c r="B1752"/>
      <c r="C1752"/>
      <c r="D1752"/>
    </row>
    <row r="1753" spans="1:4" x14ac:dyDescent="0.2">
      <c r="A1753" s="4"/>
      <c r="B1753"/>
      <c r="C1753"/>
      <c r="D1753"/>
    </row>
    <row r="1754" spans="1:4" x14ac:dyDescent="0.2">
      <c r="A1754" s="4"/>
      <c r="B1754"/>
      <c r="C1754"/>
      <c r="D1754"/>
    </row>
    <row r="1755" spans="1:4" x14ac:dyDescent="0.2">
      <c r="A1755" s="4"/>
      <c r="B1755"/>
      <c r="C1755"/>
      <c r="D1755"/>
    </row>
    <row r="1756" spans="1:4" x14ac:dyDescent="0.2">
      <c r="A1756" s="4"/>
      <c r="B1756"/>
      <c r="C1756"/>
      <c r="D1756"/>
    </row>
    <row r="1757" spans="1:4" x14ac:dyDescent="0.2">
      <c r="A1757" s="4"/>
      <c r="B1757"/>
      <c r="C1757"/>
      <c r="D1757"/>
    </row>
    <row r="1758" spans="1:4" x14ac:dyDescent="0.2">
      <c r="A1758" s="4"/>
      <c r="B1758"/>
      <c r="C1758"/>
      <c r="D1758"/>
    </row>
    <row r="1759" spans="1:4" x14ac:dyDescent="0.2">
      <c r="A1759" s="4"/>
      <c r="B1759"/>
      <c r="C1759"/>
      <c r="D1759"/>
    </row>
    <row r="1760" spans="1:4" x14ac:dyDescent="0.2">
      <c r="A1760" s="4"/>
      <c r="B1760"/>
      <c r="C1760"/>
      <c r="D1760"/>
    </row>
    <row r="1761" spans="1:4" x14ac:dyDescent="0.2">
      <c r="A1761" s="4"/>
      <c r="B1761"/>
      <c r="C1761"/>
      <c r="D1761"/>
    </row>
    <row r="1762" spans="1:4" x14ac:dyDescent="0.2">
      <c r="A1762" s="4"/>
      <c r="B1762"/>
      <c r="C1762"/>
      <c r="D1762"/>
    </row>
    <row r="1763" spans="1:4" x14ac:dyDescent="0.2">
      <c r="A1763" s="4"/>
      <c r="B1763"/>
      <c r="C1763"/>
      <c r="D1763"/>
    </row>
    <row r="1764" spans="1:4" x14ac:dyDescent="0.2">
      <c r="A1764" s="4"/>
      <c r="B1764"/>
      <c r="C1764"/>
      <c r="D1764"/>
    </row>
    <row r="1765" spans="1:4" x14ac:dyDescent="0.2">
      <c r="A1765" s="4"/>
      <c r="B1765"/>
      <c r="C1765"/>
      <c r="D1765"/>
    </row>
    <row r="1766" spans="1:4" x14ac:dyDescent="0.2">
      <c r="A1766" s="4"/>
      <c r="B1766"/>
      <c r="C1766"/>
      <c r="D1766"/>
    </row>
    <row r="1767" spans="1:4" x14ac:dyDescent="0.2">
      <c r="A1767" s="4"/>
      <c r="B1767"/>
      <c r="C1767"/>
      <c r="D1767"/>
    </row>
    <row r="1768" spans="1:4" x14ac:dyDescent="0.2">
      <c r="A1768" s="4"/>
      <c r="B1768"/>
      <c r="C1768"/>
      <c r="D1768"/>
    </row>
    <row r="1769" spans="1:4" x14ac:dyDescent="0.2">
      <c r="A1769" s="4"/>
      <c r="B1769"/>
      <c r="C1769"/>
      <c r="D1769"/>
    </row>
    <row r="1770" spans="1:4" x14ac:dyDescent="0.2">
      <c r="A1770" s="4"/>
      <c r="B1770"/>
      <c r="C1770"/>
      <c r="D1770"/>
    </row>
    <row r="1771" spans="1:4" x14ac:dyDescent="0.2">
      <c r="A1771" s="4"/>
      <c r="B1771"/>
      <c r="C1771"/>
      <c r="D1771"/>
    </row>
    <row r="1772" spans="1:4" x14ac:dyDescent="0.2">
      <c r="A1772" s="4"/>
      <c r="B1772"/>
      <c r="C1772"/>
      <c r="D1772"/>
    </row>
    <row r="1773" spans="1:4" x14ac:dyDescent="0.2">
      <c r="A1773" s="4"/>
      <c r="B1773"/>
      <c r="C1773"/>
      <c r="D1773"/>
    </row>
    <row r="1774" spans="1:4" x14ac:dyDescent="0.2">
      <c r="A1774" s="4"/>
      <c r="B1774"/>
      <c r="C1774"/>
      <c r="D1774"/>
    </row>
    <row r="1775" spans="1:4" x14ac:dyDescent="0.2">
      <c r="A1775" s="4"/>
      <c r="B1775"/>
      <c r="C1775"/>
      <c r="D1775"/>
    </row>
    <row r="1776" spans="1:4" x14ac:dyDescent="0.2">
      <c r="A1776" s="4"/>
      <c r="B1776"/>
      <c r="C1776"/>
      <c r="D1776"/>
    </row>
    <row r="1777" spans="1:4" x14ac:dyDescent="0.2">
      <c r="A1777" s="4"/>
      <c r="B1777"/>
      <c r="C1777"/>
      <c r="D1777"/>
    </row>
    <row r="1778" spans="1:4" x14ac:dyDescent="0.2">
      <c r="A1778" s="4"/>
      <c r="B1778"/>
      <c r="C1778"/>
      <c r="D1778"/>
    </row>
    <row r="1779" spans="1:4" x14ac:dyDescent="0.2">
      <c r="A1779" s="4"/>
      <c r="B1779"/>
      <c r="C1779"/>
      <c r="D1779"/>
    </row>
    <row r="1780" spans="1:4" x14ac:dyDescent="0.2">
      <c r="A1780" s="4"/>
      <c r="B1780"/>
      <c r="C1780"/>
      <c r="D1780"/>
    </row>
    <row r="1781" spans="1:4" x14ac:dyDescent="0.2">
      <c r="A1781" s="4"/>
      <c r="B1781"/>
      <c r="C1781"/>
      <c r="D1781"/>
    </row>
    <row r="1782" spans="1:4" x14ac:dyDescent="0.2">
      <c r="A1782" s="4"/>
      <c r="B1782"/>
      <c r="C1782"/>
      <c r="D1782"/>
    </row>
    <row r="1783" spans="1:4" x14ac:dyDescent="0.2">
      <c r="A1783" s="4"/>
      <c r="B1783"/>
      <c r="C1783"/>
      <c r="D1783"/>
    </row>
    <row r="1784" spans="1:4" x14ac:dyDescent="0.2">
      <c r="A1784" s="4"/>
      <c r="B1784"/>
      <c r="C1784"/>
      <c r="D1784"/>
    </row>
    <row r="1785" spans="1:4" x14ac:dyDescent="0.2">
      <c r="A1785" s="4"/>
      <c r="B1785"/>
      <c r="C1785"/>
      <c r="D1785"/>
    </row>
    <row r="1786" spans="1:4" x14ac:dyDescent="0.2">
      <c r="A1786" s="4"/>
      <c r="B1786"/>
      <c r="C1786"/>
      <c r="D1786"/>
    </row>
    <row r="1787" spans="1:4" x14ac:dyDescent="0.2">
      <c r="A1787" s="4"/>
      <c r="B1787"/>
      <c r="C1787"/>
      <c r="D1787"/>
    </row>
    <row r="1788" spans="1:4" x14ac:dyDescent="0.2">
      <c r="A1788" s="4"/>
      <c r="B1788"/>
      <c r="C1788"/>
      <c r="D1788"/>
    </row>
    <row r="1789" spans="1:4" x14ac:dyDescent="0.2">
      <c r="A1789" s="4"/>
      <c r="B1789"/>
      <c r="C1789"/>
      <c r="D1789"/>
    </row>
    <row r="1790" spans="1:4" x14ac:dyDescent="0.2">
      <c r="A1790" s="4"/>
      <c r="B1790"/>
      <c r="C1790"/>
      <c r="D1790"/>
    </row>
    <row r="1791" spans="1:4" x14ac:dyDescent="0.2">
      <c r="A1791" s="4"/>
      <c r="B1791"/>
      <c r="C1791"/>
      <c r="D1791"/>
    </row>
    <row r="1792" spans="1:4" x14ac:dyDescent="0.2">
      <c r="A1792" s="4"/>
      <c r="B1792"/>
      <c r="C1792"/>
      <c r="D1792"/>
    </row>
    <row r="1793" spans="1:4" x14ac:dyDescent="0.2">
      <c r="A1793" s="4"/>
      <c r="B1793"/>
      <c r="C1793"/>
      <c r="D1793"/>
    </row>
    <row r="1794" spans="1:4" x14ac:dyDescent="0.2">
      <c r="A1794" s="4"/>
      <c r="B1794"/>
      <c r="C1794"/>
      <c r="D1794"/>
    </row>
    <row r="1795" spans="1:4" x14ac:dyDescent="0.2">
      <c r="A1795" s="4"/>
      <c r="B1795"/>
      <c r="C1795"/>
      <c r="D1795"/>
    </row>
    <row r="1796" spans="1:4" x14ac:dyDescent="0.2">
      <c r="A1796" s="4"/>
      <c r="B1796"/>
      <c r="C1796"/>
      <c r="D1796"/>
    </row>
    <row r="1797" spans="1:4" x14ac:dyDescent="0.2">
      <c r="A1797" s="4"/>
      <c r="B1797"/>
      <c r="C1797"/>
      <c r="D1797"/>
    </row>
    <row r="1798" spans="1:4" x14ac:dyDescent="0.2">
      <c r="A1798" s="4"/>
      <c r="B1798"/>
      <c r="C1798"/>
      <c r="D1798"/>
    </row>
    <row r="1799" spans="1:4" x14ac:dyDescent="0.2">
      <c r="A1799" s="4"/>
      <c r="B1799"/>
      <c r="C1799"/>
      <c r="D1799"/>
    </row>
    <row r="1800" spans="1:4" x14ac:dyDescent="0.2">
      <c r="A1800" s="4"/>
      <c r="B1800"/>
      <c r="C1800"/>
      <c r="D1800"/>
    </row>
    <row r="1801" spans="1:4" x14ac:dyDescent="0.2">
      <c r="A1801" s="4"/>
      <c r="B1801"/>
      <c r="C1801"/>
      <c r="D1801"/>
    </row>
    <row r="1802" spans="1:4" x14ac:dyDescent="0.2">
      <c r="A1802" s="4"/>
      <c r="B1802"/>
      <c r="C1802"/>
      <c r="D1802"/>
    </row>
    <row r="1803" spans="1:4" x14ac:dyDescent="0.2">
      <c r="A1803" s="4"/>
      <c r="B1803"/>
      <c r="C1803"/>
      <c r="D1803"/>
    </row>
    <row r="1804" spans="1:4" x14ac:dyDescent="0.2">
      <c r="A1804" s="4"/>
      <c r="B1804"/>
      <c r="C1804"/>
      <c r="D1804"/>
    </row>
    <row r="1805" spans="1:4" x14ac:dyDescent="0.2">
      <c r="A1805" s="4"/>
      <c r="B1805"/>
      <c r="C1805"/>
      <c r="D1805"/>
    </row>
    <row r="1806" spans="1:4" x14ac:dyDescent="0.2">
      <c r="A1806" s="4"/>
      <c r="B1806"/>
      <c r="C1806"/>
      <c r="D1806"/>
    </row>
    <row r="1807" spans="1:4" x14ac:dyDescent="0.2">
      <c r="A1807" s="4"/>
      <c r="B1807"/>
      <c r="C1807"/>
      <c r="D1807"/>
    </row>
    <row r="1808" spans="1:4" x14ac:dyDescent="0.2">
      <c r="A1808" s="4"/>
      <c r="B1808"/>
      <c r="C1808"/>
      <c r="D1808"/>
    </row>
    <row r="1809" spans="1:4" x14ac:dyDescent="0.2">
      <c r="A1809" s="4"/>
      <c r="B1809"/>
      <c r="C1809"/>
      <c r="D1809"/>
    </row>
    <row r="1810" spans="1:4" x14ac:dyDescent="0.2">
      <c r="A1810" s="4"/>
      <c r="B1810"/>
      <c r="C1810"/>
      <c r="D1810"/>
    </row>
    <row r="1811" spans="1:4" x14ac:dyDescent="0.2">
      <c r="A1811" s="4"/>
      <c r="B1811"/>
      <c r="C1811"/>
      <c r="D1811"/>
    </row>
    <row r="1812" spans="1:4" x14ac:dyDescent="0.2">
      <c r="A1812" s="4"/>
      <c r="B1812"/>
      <c r="C1812"/>
      <c r="D1812"/>
    </row>
    <row r="1813" spans="1:4" x14ac:dyDescent="0.2">
      <c r="A1813" s="4"/>
      <c r="B1813"/>
      <c r="C1813"/>
      <c r="D1813"/>
    </row>
    <row r="1814" spans="1:4" x14ac:dyDescent="0.2">
      <c r="A1814" s="4"/>
      <c r="B1814"/>
      <c r="C1814"/>
      <c r="D1814"/>
    </row>
    <row r="1815" spans="1:4" x14ac:dyDescent="0.2">
      <c r="A1815" s="4"/>
      <c r="B1815"/>
      <c r="C1815"/>
      <c r="D1815"/>
    </row>
    <row r="1816" spans="1:4" x14ac:dyDescent="0.2">
      <c r="A1816" s="4"/>
      <c r="B1816"/>
      <c r="C1816"/>
      <c r="D1816"/>
    </row>
    <row r="1817" spans="1:4" x14ac:dyDescent="0.2">
      <c r="A1817" s="4"/>
      <c r="B1817"/>
      <c r="C1817"/>
      <c r="D1817"/>
    </row>
    <row r="1818" spans="1:4" x14ac:dyDescent="0.2">
      <c r="A1818" s="4"/>
      <c r="B1818"/>
      <c r="C1818"/>
      <c r="D1818"/>
    </row>
    <row r="1819" spans="1:4" x14ac:dyDescent="0.2">
      <c r="A1819" s="4"/>
      <c r="B1819"/>
      <c r="C1819"/>
      <c r="D1819"/>
    </row>
    <row r="1820" spans="1:4" x14ac:dyDescent="0.2">
      <c r="A1820" s="4"/>
      <c r="B1820"/>
      <c r="C1820"/>
      <c r="D1820"/>
    </row>
    <row r="1821" spans="1:4" x14ac:dyDescent="0.2">
      <c r="A1821" s="4"/>
      <c r="B1821"/>
      <c r="C1821"/>
      <c r="D1821"/>
    </row>
    <row r="1822" spans="1:4" x14ac:dyDescent="0.2">
      <c r="A1822" s="4"/>
      <c r="B1822"/>
      <c r="C1822"/>
      <c r="D1822"/>
    </row>
    <row r="1823" spans="1:4" x14ac:dyDescent="0.2">
      <c r="A1823" s="4"/>
      <c r="B1823"/>
      <c r="C1823"/>
      <c r="D1823"/>
    </row>
    <row r="1824" spans="1:4" x14ac:dyDescent="0.2">
      <c r="A1824" s="4"/>
      <c r="B1824"/>
      <c r="C1824"/>
      <c r="D1824"/>
    </row>
    <row r="1825" spans="1:4" x14ac:dyDescent="0.2">
      <c r="A1825" s="4"/>
      <c r="B1825"/>
      <c r="C1825"/>
      <c r="D1825"/>
    </row>
    <row r="1826" spans="1:4" x14ac:dyDescent="0.2">
      <c r="A1826" s="4"/>
      <c r="B1826"/>
      <c r="C1826"/>
      <c r="D1826"/>
    </row>
    <row r="1827" spans="1:4" x14ac:dyDescent="0.2">
      <c r="A1827" s="4"/>
      <c r="B1827"/>
      <c r="C1827"/>
      <c r="D1827"/>
    </row>
    <row r="1828" spans="1:4" x14ac:dyDescent="0.2">
      <c r="A1828" s="4"/>
      <c r="B1828"/>
      <c r="C1828"/>
      <c r="D1828"/>
    </row>
    <row r="1829" spans="1:4" x14ac:dyDescent="0.2">
      <c r="A1829" s="4"/>
      <c r="B1829"/>
      <c r="C1829"/>
      <c r="D1829"/>
    </row>
    <row r="1830" spans="1:4" x14ac:dyDescent="0.2">
      <c r="A1830" s="4"/>
      <c r="B1830"/>
      <c r="C1830"/>
      <c r="D1830"/>
    </row>
    <row r="1831" spans="1:4" x14ac:dyDescent="0.2">
      <c r="A1831" s="4"/>
      <c r="B1831"/>
      <c r="C1831"/>
      <c r="D1831"/>
    </row>
    <row r="1832" spans="1:4" x14ac:dyDescent="0.2">
      <c r="A1832" s="4"/>
      <c r="B1832"/>
      <c r="C1832"/>
      <c r="D1832"/>
    </row>
    <row r="1833" spans="1:4" x14ac:dyDescent="0.2">
      <c r="A1833" s="4"/>
      <c r="B1833"/>
      <c r="C1833"/>
      <c r="D1833"/>
    </row>
    <row r="1834" spans="1:4" x14ac:dyDescent="0.2">
      <c r="A1834" s="4"/>
      <c r="B1834"/>
      <c r="C1834"/>
      <c r="D1834"/>
    </row>
    <row r="1835" spans="1:4" x14ac:dyDescent="0.2">
      <c r="A1835" s="4"/>
      <c r="B1835"/>
      <c r="C1835"/>
      <c r="D1835"/>
    </row>
    <row r="1836" spans="1:4" x14ac:dyDescent="0.2">
      <c r="A1836" s="4"/>
      <c r="B1836"/>
      <c r="C1836"/>
      <c r="D1836"/>
    </row>
    <row r="1837" spans="1:4" x14ac:dyDescent="0.2">
      <c r="A1837" s="4"/>
      <c r="B1837"/>
      <c r="C1837"/>
      <c r="D1837"/>
    </row>
    <row r="1838" spans="1:4" x14ac:dyDescent="0.2">
      <c r="A1838" s="4"/>
      <c r="B1838"/>
      <c r="C1838"/>
      <c r="D1838"/>
    </row>
    <row r="1839" spans="1:4" x14ac:dyDescent="0.2">
      <c r="A1839" s="4"/>
      <c r="B1839"/>
      <c r="C1839"/>
      <c r="D1839"/>
    </row>
    <row r="1840" spans="1:4" x14ac:dyDescent="0.2">
      <c r="A1840" s="4"/>
      <c r="B1840"/>
      <c r="C1840"/>
      <c r="D1840"/>
    </row>
    <row r="1841" spans="1:4" x14ac:dyDescent="0.2">
      <c r="A1841" s="4"/>
      <c r="B1841"/>
      <c r="C1841"/>
      <c r="D1841"/>
    </row>
    <row r="1842" spans="1:4" x14ac:dyDescent="0.2">
      <c r="A1842" s="4"/>
      <c r="B1842"/>
      <c r="C1842"/>
      <c r="D1842"/>
    </row>
    <row r="1843" spans="1:4" x14ac:dyDescent="0.2">
      <c r="A1843" s="4"/>
      <c r="B1843"/>
      <c r="C1843"/>
      <c r="D1843"/>
    </row>
    <row r="1844" spans="1:4" x14ac:dyDescent="0.2">
      <c r="A1844" s="4"/>
      <c r="B1844"/>
      <c r="C1844"/>
      <c r="D1844"/>
    </row>
    <row r="1845" spans="1:4" x14ac:dyDescent="0.2">
      <c r="A1845" s="4"/>
      <c r="B1845"/>
      <c r="C1845"/>
      <c r="D1845"/>
    </row>
    <row r="1846" spans="1:4" x14ac:dyDescent="0.2">
      <c r="A1846" s="4"/>
      <c r="B1846"/>
      <c r="C1846"/>
      <c r="D1846"/>
    </row>
    <row r="1847" spans="1:4" x14ac:dyDescent="0.2">
      <c r="A1847" s="4"/>
      <c r="B1847"/>
      <c r="C1847"/>
      <c r="D1847"/>
    </row>
    <row r="1848" spans="1:4" x14ac:dyDescent="0.2">
      <c r="A1848" s="4"/>
      <c r="B1848"/>
      <c r="C1848"/>
      <c r="D1848"/>
    </row>
    <row r="1849" spans="1:4" x14ac:dyDescent="0.2">
      <c r="A1849" s="4"/>
      <c r="B1849"/>
      <c r="C1849"/>
      <c r="D1849"/>
    </row>
    <row r="1850" spans="1:4" x14ac:dyDescent="0.2">
      <c r="A1850" s="4"/>
      <c r="B1850"/>
      <c r="C1850"/>
      <c r="D1850"/>
    </row>
    <row r="1851" spans="1:4" x14ac:dyDescent="0.2">
      <c r="A1851" s="4"/>
      <c r="B1851"/>
      <c r="C1851"/>
      <c r="D1851"/>
    </row>
    <row r="1852" spans="1:4" x14ac:dyDescent="0.2">
      <c r="A1852" s="4"/>
      <c r="B1852"/>
      <c r="C1852"/>
      <c r="D1852"/>
    </row>
    <row r="1853" spans="1:4" x14ac:dyDescent="0.2">
      <c r="A1853" s="4"/>
      <c r="B1853"/>
      <c r="C1853"/>
      <c r="D1853"/>
    </row>
    <row r="1854" spans="1:4" x14ac:dyDescent="0.2">
      <c r="A1854" s="4"/>
      <c r="B1854"/>
      <c r="C1854"/>
      <c r="D1854"/>
    </row>
    <row r="1855" spans="1:4" x14ac:dyDescent="0.2">
      <c r="A1855" s="4"/>
      <c r="B1855"/>
      <c r="C1855"/>
      <c r="D1855"/>
    </row>
    <row r="1856" spans="1:4" x14ac:dyDescent="0.2">
      <c r="A1856" s="4"/>
      <c r="B1856"/>
      <c r="C1856"/>
      <c r="D1856"/>
    </row>
    <row r="1857" spans="1:4" x14ac:dyDescent="0.2">
      <c r="A1857" s="4"/>
      <c r="B1857"/>
      <c r="C1857"/>
      <c r="D1857"/>
    </row>
    <row r="1858" spans="1:4" x14ac:dyDescent="0.2">
      <c r="A1858" s="4"/>
      <c r="B1858"/>
      <c r="C1858"/>
      <c r="D1858"/>
    </row>
    <row r="1859" spans="1:4" x14ac:dyDescent="0.2">
      <c r="A1859" s="4"/>
      <c r="B1859"/>
      <c r="C1859"/>
      <c r="D1859"/>
    </row>
    <row r="1860" spans="1:4" x14ac:dyDescent="0.2">
      <c r="A1860" s="4"/>
      <c r="B1860"/>
      <c r="C1860"/>
      <c r="D1860"/>
    </row>
    <row r="1861" spans="1:4" x14ac:dyDescent="0.2">
      <c r="A1861" s="4"/>
      <c r="B1861"/>
      <c r="C1861"/>
      <c r="D1861"/>
    </row>
    <row r="1862" spans="1:4" x14ac:dyDescent="0.2">
      <c r="A1862" s="4"/>
      <c r="B1862"/>
      <c r="C1862"/>
      <c r="D1862"/>
    </row>
    <row r="1863" spans="1:4" x14ac:dyDescent="0.2">
      <c r="A1863" s="4"/>
      <c r="B1863"/>
      <c r="C1863"/>
      <c r="D1863"/>
    </row>
    <row r="1864" spans="1:4" x14ac:dyDescent="0.2">
      <c r="A1864" s="4"/>
      <c r="B1864"/>
      <c r="C1864"/>
      <c r="D1864"/>
    </row>
    <row r="1865" spans="1:4" x14ac:dyDescent="0.2">
      <c r="A1865" s="4"/>
      <c r="B1865"/>
      <c r="C1865"/>
      <c r="D1865"/>
    </row>
    <row r="1866" spans="1:4" x14ac:dyDescent="0.2">
      <c r="A1866" s="4"/>
      <c r="B1866"/>
      <c r="C1866"/>
      <c r="D1866"/>
    </row>
    <row r="1867" spans="1:4" x14ac:dyDescent="0.2">
      <c r="A1867" s="4"/>
      <c r="B1867"/>
      <c r="C1867"/>
      <c r="D1867"/>
    </row>
    <row r="1868" spans="1:4" x14ac:dyDescent="0.2">
      <c r="A1868" s="4"/>
      <c r="B1868"/>
      <c r="C1868"/>
      <c r="D1868"/>
    </row>
    <row r="1869" spans="1:4" x14ac:dyDescent="0.2">
      <c r="A1869" s="4"/>
      <c r="B1869"/>
      <c r="C1869"/>
      <c r="D1869"/>
    </row>
    <row r="1870" spans="1:4" x14ac:dyDescent="0.2">
      <c r="A1870" s="4"/>
      <c r="B1870"/>
      <c r="C1870"/>
      <c r="D1870"/>
    </row>
    <row r="1871" spans="1:4" x14ac:dyDescent="0.2">
      <c r="A1871" s="4"/>
      <c r="B1871"/>
      <c r="C1871"/>
      <c r="D1871"/>
    </row>
    <row r="1872" spans="1:4" x14ac:dyDescent="0.2">
      <c r="A1872" s="4"/>
      <c r="B1872"/>
      <c r="C1872"/>
      <c r="D1872"/>
    </row>
    <row r="1873" spans="1:4" x14ac:dyDescent="0.2">
      <c r="A1873" s="4"/>
      <c r="B1873"/>
      <c r="C1873"/>
      <c r="D1873"/>
    </row>
    <row r="1874" spans="1:4" x14ac:dyDescent="0.2">
      <c r="A1874" s="4"/>
      <c r="B1874"/>
      <c r="C1874"/>
      <c r="D1874"/>
    </row>
    <row r="1875" spans="1:4" x14ac:dyDescent="0.2">
      <c r="A1875" s="4"/>
      <c r="B1875"/>
      <c r="C1875"/>
      <c r="D1875"/>
    </row>
    <row r="1876" spans="1:4" x14ac:dyDescent="0.2">
      <c r="A1876" s="4"/>
      <c r="B1876"/>
      <c r="C1876"/>
      <c r="D1876"/>
    </row>
    <row r="1877" spans="1:4" x14ac:dyDescent="0.2">
      <c r="A1877" s="4"/>
      <c r="B1877"/>
      <c r="C1877"/>
      <c r="D1877"/>
    </row>
    <row r="1878" spans="1:4" x14ac:dyDescent="0.2">
      <c r="A1878" s="4"/>
      <c r="B1878"/>
      <c r="C1878"/>
      <c r="D1878"/>
    </row>
    <row r="1879" spans="1:4" x14ac:dyDescent="0.2">
      <c r="A1879" s="4"/>
      <c r="B1879"/>
      <c r="C1879"/>
      <c r="D1879"/>
    </row>
    <row r="1880" spans="1:4" x14ac:dyDescent="0.2">
      <c r="A1880" s="4"/>
      <c r="B1880"/>
      <c r="C1880"/>
      <c r="D1880"/>
    </row>
    <row r="1881" spans="1:4" x14ac:dyDescent="0.2">
      <c r="A1881" s="4"/>
      <c r="B1881"/>
      <c r="C1881"/>
      <c r="D1881"/>
    </row>
    <row r="1882" spans="1:4" x14ac:dyDescent="0.2">
      <c r="A1882" s="4"/>
      <c r="B1882"/>
      <c r="C1882"/>
      <c r="D1882"/>
    </row>
    <row r="1883" spans="1:4" x14ac:dyDescent="0.2">
      <c r="A1883" s="4"/>
      <c r="B1883"/>
      <c r="C1883"/>
      <c r="D1883"/>
    </row>
    <row r="1884" spans="1:4" x14ac:dyDescent="0.2">
      <c r="A1884" s="4"/>
      <c r="B1884"/>
      <c r="C1884"/>
      <c r="D1884"/>
    </row>
    <row r="1885" spans="1:4" x14ac:dyDescent="0.2">
      <c r="A1885" s="4"/>
      <c r="B1885"/>
      <c r="C1885"/>
      <c r="D1885"/>
    </row>
    <row r="1886" spans="1:4" x14ac:dyDescent="0.2">
      <c r="A1886" s="4"/>
      <c r="B1886"/>
      <c r="C1886"/>
      <c r="D1886"/>
    </row>
    <row r="1887" spans="1:4" x14ac:dyDescent="0.2">
      <c r="A1887" s="4"/>
      <c r="B1887"/>
      <c r="C1887"/>
      <c r="D1887"/>
    </row>
    <row r="1888" spans="1:4" x14ac:dyDescent="0.2">
      <c r="A1888" s="4"/>
      <c r="B1888"/>
      <c r="C1888"/>
      <c r="D1888"/>
    </row>
    <row r="1889" spans="1:4" x14ac:dyDescent="0.2">
      <c r="A1889" s="4"/>
      <c r="B1889"/>
      <c r="C1889"/>
      <c r="D1889"/>
    </row>
    <row r="1890" spans="1:4" x14ac:dyDescent="0.2">
      <c r="A1890" s="4"/>
      <c r="B1890"/>
      <c r="C1890"/>
      <c r="D1890"/>
    </row>
    <row r="1891" spans="1:4" x14ac:dyDescent="0.2">
      <c r="A1891" s="4"/>
      <c r="B1891"/>
      <c r="C1891"/>
      <c r="D1891"/>
    </row>
    <row r="1892" spans="1:4" x14ac:dyDescent="0.2">
      <c r="A1892" s="4"/>
      <c r="B1892"/>
      <c r="C1892"/>
      <c r="D1892"/>
    </row>
    <row r="1893" spans="1:4" x14ac:dyDescent="0.2">
      <c r="A1893" s="4"/>
      <c r="B1893"/>
      <c r="C1893"/>
      <c r="D1893"/>
    </row>
    <row r="1894" spans="1:4" x14ac:dyDescent="0.2">
      <c r="A1894" s="4"/>
      <c r="B1894"/>
      <c r="C1894"/>
      <c r="D1894"/>
    </row>
    <row r="1895" spans="1:4" x14ac:dyDescent="0.2">
      <c r="A1895" s="4"/>
      <c r="B1895"/>
      <c r="C1895"/>
      <c r="D1895"/>
    </row>
    <row r="1896" spans="1:4" x14ac:dyDescent="0.2">
      <c r="A1896" s="4"/>
      <c r="B1896"/>
      <c r="C1896"/>
      <c r="D1896"/>
    </row>
    <row r="1897" spans="1:4" x14ac:dyDescent="0.2">
      <c r="A1897" s="4"/>
      <c r="B1897"/>
      <c r="C1897"/>
      <c r="D1897"/>
    </row>
    <row r="1898" spans="1:4" x14ac:dyDescent="0.2">
      <c r="A1898" s="4"/>
      <c r="B1898"/>
      <c r="C1898"/>
      <c r="D1898"/>
    </row>
    <row r="1899" spans="1:4" x14ac:dyDescent="0.2">
      <c r="A1899" s="4"/>
      <c r="B1899"/>
      <c r="C1899"/>
      <c r="D1899"/>
    </row>
    <row r="1900" spans="1:4" x14ac:dyDescent="0.2">
      <c r="A1900" s="4"/>
      <c r="B1900"/>
      <c r="C1900"/>
      <c r="D1900"/>
    </row>
    <row r="1901" spans="1:4" x14ac:dyDescent="0.2">
      <c r="A1901" s="4"/>
      <c r="B1901"/>
      <c r="C1901"/>
      <c r="D1901"/>
    </row>
    <row r="1902" spans="1:4" x14ac:dyDescent="0.2">
      <c r="A1902" s="4"/>
      <c r="B1902"/>
      <c r="C1902"/>
      <c r="D1902"/>
    </row>
    <row r="1903" spans="1:4" x14ac:dyDescent="0.2">
      <c r="A1903" s="4"/>
      <c r="B1903"/>
      <c r="C1903"/>
      <c r="D1903"/>
    </row>
    <row r="1904" spans="1:4" x14ac:dyDescent="0.2">
      <c r="A1904" s="4"/>
      <c r="B1904"/>
      <c r="C1904"/>
      <c r="D1904"/>
    </row>
    <row r="1905" spans="1:4" x14ac:dyDescent="0.2">
      <c r="A1905" s="4"/>
      <c r="B1905"/>
      <c r="C1905"/>
      <c r="D1905"/>
    </row>
    <row r="1906" spans="1:4" x14ac:dyDescent="0.2">
      <c r="A1906" s="4"/>
      <c r="B1906"/>
      <c r="C1906"/>
      <c r="D1906"/>
    </row>
    <row r="1907" spans="1:4" x14ac:dyDescent="0.2">
      <c r="A1907" s="4"/>
      <c r="B1907"/>
      <c r="C1907"/>
      <c r="D1907"/>
    </row>
    <row r="1908" spans="1:4" x14ac:dyDescent="0.2">
      <c r="A1908" s="4"/>
      <c r="B1908"/>
      <c r="C1908"/>
      <c r="D1908"/>
    </row>
    <row r="1909" spans="1:4" x14ac:dyDescent="0.2">
      <c r="A1909" s="4"/>
      <c r="B1909"/>
      <c r="C1909"/>
      <c r="D1909"/>
    </row>
    <row r="1910" spans="1:4" x14ac:dyDescent="0.2">
      <c r="A1910" s="4"/>
      <c r="B1910"/>
      <c r="C1910"/>
      <c r="D1910"/>
    </row>
    <row r="1911" spans="1:4" x14ac:dyDescent="0.2">
      <c r="A1911" s="4"/>
      <c r="B1911"/>
      <c r="C1911"/>
      <c r="D1911"/>
    </row>
    <row r="1912" spans="1:4" x14ac:dyDescent="0.2">
      <c r="A1912" s="4"/>
      <c r="B1912"/>
      <c r="C1912"/>
      <c r="D1912"/>
    </row>
    <row r="1913" spans="1:4" x14ac:dyDescent="0.2">
      <c r="A1913" s="4"/>
      <c r="B1913"/>
      <c r="C1913"/>
      <c r="D1913"/>
    </row>
    <row r="1914" spans="1:4" x14ac:dyDescent="0.2">
      <c r="A1914" s="4"/>
      <c r="B1914"/>
      <c r="C1914"/>
      <c r="D1914"/>
    </row>
    <row r="1915" spans="1:4" x14ac:dyDescent="0.2">
      <c r="A1915" s="4"/>
      <c r="B1915"/>
      <c r="C1915"/>
      <c r="D1915"/>
    </row>
    <row r="1916" spans="1:4" x14ac:dyDescent="0.2">
      <c r="A1916" s="4"/>
      <c r="B1916"/>
      <c r="C1916"/>
      <c r="D1916"/>
    </row>
    <row r="1917" spans="1:4" x14ac:dyDescent="0.2">
      <c r="A1917" s="4"/>
      <c r="B1917"/>
      <c r="C1917"/>
      <c r="D1917"/>
    </row>
    <row r="1918" spans="1:4" x14ac:dyDescent="0.2">
      <c r="A1918" s="4"/>
      <c r="B1918"/>
      <c r="C1918"/>
      <c r="D1918"/>
    </row>
    <row r="1919" spans="1:4" x14ac:dyDescent="0.2">
      <c r="A1919" s="4"/>
      <c r="B1919"/>
      <c r="C1919"/>
      <c r="D1919"/>
    </row>
    <row r="1920" spans="1:4" x14ac:dyDescent="0.2">
      <c r="A1920" s="4"/>
      <c r="B1920"/>
      <c r="C1920"/>
      <c r="D1920"/>
    </row>
    <row r="1921" spans="1:4" x14ac:dyDescent="0.2">
      <c r="A1921" s="4"/>
      <c r="B1921"/>
      <c r="C1921"/>
      <c r="D1921"/>
    </row>
    <row r="1922" spans="1:4" x14ac:dyDescent="0.2">
      <c r="A1922" s="4"/>
      <c r="B1922"/>
      <c r="C1922"/>
      <c r="D1922"/>
    </row>
    <row r="1923" spans="1:4" x14ac:dyDescent="0.2">
      <c r="A1923" s="4"/>
      <c r="B1923"/>
      <c r="C1923"/>
      <c r="D1923"/>
    </row>
    <row r="1924" spans="1:4" x14ac:dyDescent="0.2">
      <c r="A1924" s="4"/>
      <c r="B1924"/>
      <c r="C1924"/>
      <c r="D1924"/>
    </row>
    <row r="1925" spans="1:4" x14ac:dyDescent="0.2">
      <c r="A1925" s="4"/>
      <c r="B1925"/>
      <c r="C1925"/>
      <c r="D1925"/>
    </row>
    <row r="1926" spans="1:4" x14ac:dyDescent="0.2">
      <c r="A1926" s="4"/>
      <c r="B1926"/>
      <c r="C1926"/>
      <c r="D1926"/>
    </row>
    <row r="1927" spans="1:4" x14ac:dyDescent="0.2">
      <c r="A1927" s="4"/>
      <c r="B1927"/>
      <c r="C1927"/>
      <c r="D1927"/>
    </row>
    <row r="1928" spans="1:4" x14ac:dyDescent="0.2">
      <c r="A1928" s="4"/>
      <c r="B1928"/>
      <c r="C1928"/>
      <c r="D1928"/>
    </row>
    <row r="1929" spans="1:4" x14ac:dyDescent="0.2">
      <c r="A1929" s="4"/>
      <c r="B1929"/>
      <c r="C1929"/>
      <c r="D1929"/>
    </row>
    <row r="1930" spans="1:4" x14ac:dyDescent="0.2">
      <c r="A1930" s="4"/>
      <c r="B1930"/>
      <c r="C1930"/>
      <c r="D1930"/>
    </row>
    <row r="1931" spans="1:4" x14ac:dyDescent="0.2">
      <c r="A1931" s="4"/>
      <c r="B1931"/>
      <c r="C1931"/>
      <c r="D1931"/>
    </row>
    <row r="1932" spans="1:4" x14ac:dyDescent="0.2">
      <c r="A1932" s="4"/>
      <c r="B1932"/>
      <c r="C1932"/>
      <c r="D1932"/>
    </row>
    <row r="1933" spans="1:4" x14ac:dyDescent="0.2">
      <c r="A1933" s="4"/>
      <c r="B1933"/>
      <c r="C1933"/>
      <c r="D1933"/>
    </row>
    <row r="1934" spans="1:4" x14ac:dyDescent="0.2">
      <c r="A1934" s="4"/>
      <c r="B1934"/>
      <c r="C1934"/>
      <c r="D1934"/>
    </row>
    <row r="1935" spans="1:4" x14ac:dyDescent="0.2">
      <c r="A1935" s="4"/>
      <c r="B1935"/>
      <c r="C1935"/>
      <c r="D1935"/>
    </row>
    <row r="1936" spans="1:4" x14ac:dyDescent="0.2">
      <c r="A1936" s="4"/>
      <c r="B1936"/>
      <c r="C1936"/>
      <c r="D1936"/>
    </row>
    <row r="1937" spans="1:4" x14ac:dyDescent="0.2">
      <c r="A1937" s="4"/>
      <c r="B1937"/>
      <c r="C1937"/>
      <c r="D1937"/>
    </row>
    <row r="1938" spans="1:4" x14ac:dyDescent="0.2">
      <c r="A1938" s="4"/>
      <c r="B1938"/>
      <c r="C1938"/>
      <c r="D1938"/>
    </row>
    <row r="1939" spans="1:4" x14ac:dyDescent="0.2">
      <c r="A1939" s="4"/>
      <c r="B1939"/>
      <c r="C1939"/>
      <c r="D1939"/>
    </row>
    <row r="1940" spans="1:4" x14ac:dyDescent="0.2">
      <c r="A1940" s="4"/>
      <c r="B1940"/>
      <c r="C1940"/>
      <c r="D1940"/>
    </row>
    <row r="1941" spans="1:4" x14ac:dyDescent="0.2">
      <c r="A1941" s="4"/>
      <c r="B1941"/>
      <c r="C1941"/>
      <c r="D1941"/>
    </row>
    <row r="1942" spans="1:4" x14ac:dyDescent="0.2">
      <c r="A1942" s="4"/>
      <c r="B1942"/>
      <c r="C1942"/>
      <c r="D1942"/>
    </row>
    <row r="1943" spans="1:4" x14ac:dyDescent="0.2">
      <c r="A1943" s="4"/>
      <c r="B1943"/>
      <c r="C1943"/>
      <c r="D1943"/>
    </row>
    <row r="1944" spans="1:4" x14ac:dyDescent="0.2">
      <c r="A1944" s="4"/>
      <c r="B1944"/>
      <c r="C1944"/>
      <c r="D1944"/>
    </row>
    <row r="1945" spans="1:4" x14ac:dyDescent="0.2">
      <c r="A1945" s="4"/>
      <c r="B1945"/>
      <c r="C1945"/>
      <c r="D1945"/>
    </row>
    <row r="1946" spans="1:4" x14ac:dyDescent="0.2">
      <c r="A1946" s="4"/>
      <c r="B1946"/>
      <c r="C1946"/>
      <c r="D1946"/>
    </row>
    <row r="1947" spans="1:4" x14ac:dyDescent="0.2">
      <c r="A1947" s="4"/>
      <c r="B1947"/>
      <c r="C1947"/>
      <c r="D1947"/>
    </row>
    <row r="1948" spans="1:4" x14ac:dyDescent="0.2">
      <c r="A1948" s="4"/>
      <c r="B1948"/>
      <c r="C1948"/>
      <c r="D1948"/>
    </row>
    <row r="1949" spans="1:4" x14ac:dyDescent="0.2">
      <c r="A1949" s="4"/>
      <c r="B1949"/>
      <c r="C1949"/>
      <c r="D1949"/>
    </row>
    <row r="1950" spans="1:4" x14ac:dyDescent="0.2">
      <c r="A1950" s="4"/>
      <c r="B1950"/>
      <c r="C1950"/>
      <c r="D1950"/>
    </row>
    <row r="1951" spans="1:4" x14ac:dyDescent="0.2">
      <c r="A1951" s="4"/>
      <c r="B1951"/>
      <c r="C1951"/>
      <c r="D1951"/>
    </row>
    <row r="1952" spans="1:4" x14ac:dyDescent="0.2">
      <c r="A1952" s="4"/>
      <c r="B1952"/>
      <c r="C1952"/>
      <c r="D1952"/>
    </row>
    <row r="1953" spans="1:4" x14ac:dyDescent="0.2">
      <c r="A1953" s="4"/>
      <c r="B1953"/>
      <c r="C1953"/>
      <c r="D1953"/>
    </row>
    <row r="1954" spans="1:4" x14ac:dyDescent="0.2">
      <c r="A1954" s="4"/>
      <c r="B1954"/>
      <c r="C1954"/>
      <c r="D1954"/>
    </row>
    <row r="1955" spans="1:4" x14ac:dyDescent="0.2">
      <c r="A1955" s="4"/>
      <c r="B1955"/>
      <c r="C1955"/>
      <c r="D1955"/>
    </row>
    <row r="1956" spans="1:4" x14ac:dyDescent="0.2">
      <c r="A1956" s="4"/>
      <c r="B1956"/>
      <c r="C1956"/>
      <c r="D1956"/>
    </row>
    <row r="1957" spans="1:4" x14ac:dyDescent="0.2">
      <c r="A1957" s="4"/>
      <c r="B1957"/>
      <c r="C1957"/>
      <c r="D1957"/>
    </row>
    <row r="1958" spans="1:4" x14ac:dyDescent="0.2">
      <c r="A1958" s="4"/>
      <c r="B1958"/>
      <c r="C1958"/>
      <c r="D1958"/>
    </row>
    <row r="1959" spans="1:4" x14ac:dyDescent="0.2">
      <c r="A1959" s="4"/>
      <c r="B1959"/>
      <c r="C1959"/>
      <c r="D1959"/>
    </row>
    <row r="1960" spans="1:4" x14ac:dyDescent="0.2">
      <c r="A1960" s="4"/>
      <c r="B1960"/>
      <c r="C1960"/>
      <c r="D1960"/>
    </row>
    <row r="1961" spans="1:4" x14ac:dyDescent="0.2">
      <c r="A1961" s="4"/>
      <c r="B1961"/>
      <c r="C1961"/>
      <c r="D1961"/>
    </row>
    <row r="1962" spans="1:4" x14ac:dyDescent="0.2">
      <c r="A1962" s="4"/>
      <c r="B1962"/>
      <c r="C1962"/>
      <c r="D1962"/>
    </row>
    <row r="1963" spans="1:4" x14ac:dyDescent="0.2">
      <c r="A1963" s="4"/>
      <c r="B1963"/>
      <c r="C1963"/>
      <c r="D1963"/>
    </row>
    <row r="1964" spans="1:4" x14ac:dyDescent="0.2">
      <c r="A1964" s="4"/>
      <c r="B1964"/>
      <c r="C1964"/>
      <c r="D1964"/>
    </row>
    <row r="1965" spans="1:4" x14ac:dyDescent="0.2">
      <c r="A1965" s="4"/>
      <c r="B1965"/>
      <c r="C1965"/>
      <c r="D1965"/>
    </row>
    <row r="1966" spans="1:4" x14ac:dyDescent="0.2">
      <c r="A1966" s="4"/>
      <c r="B1966"/>
      <c r="C1966"/>
      <c r="D1966"/>
    </row>
    <row r="1967" spans="1:4" x14ac:dyDescent="0.2">
      <c r="A1967" s="4"/>
      <c r="B1967"/>
      <c r="C1967"/>
      <c r="D1967"/>
    </row>
    <row r="1968" spans="1:4" x14ac:dyDescent="0.2">
      <c r="A1968" s="4"/>
      <c r="B1968"/>
      <c r="C1968"/>
      <c r="D1968"/>
    </row>
    <row r="1969" spans="1:4" x14ac:dyDescent="0.2">
      <c r="A1969" s="4"/>
      <c r="B1969"/>
      <c r="C1969"/>
      <c r="D1969"/>
    </row>
    <row r="1970" spans="1:4" x14ac:dyDescent="0.2">
      <c r="A1970" s="4"/>
      <c r="B1970"/>
      <c r="C1970"/>
      <c r="D1970"/>
    </row>
    <row r="1971" spans="1:4" x14ac:dyDescent="0.2">
      <c r="A1971" s="4"/>
      <c r="B1971"/>
      <c r="C1971"/>
      <c r="D1971"/>
    </row>
    <row r="1972" spans="1:4" x14ac:dyDescent="0.2">
      <c r="A1972" s="4"/>
      <c r="B1972"/>
      <c r="C1972"/>
      <c r="D1972"/>
    </row>
    <row r="1973" spans="1:4" x14ac:dyDescent="0.2">
      <c r="A1973" s="4"/>
      <c r="B1973"/>
      <c r="C1973"/>
      <c r="D1973"/>
    </row>
    <row r="1974" spans="1:4" x14ac:dyDescent="0.2">
      <c r="A1974" s="4"/>
      <c r="B1974"/>
      <c r="C1974"/>
      <c r="D1974"/>
    </row>
    <row r="1975" spans="1:4" x14ac:dyDescent="0.2">
      <c r="A1975" s="4"/>
      <c r="B1975"/>
      <c r="C1975"/>
      <c r="D1975"/>
    </row>
    <row r="1976" spans="1:4" x14ac:dyDescent="0.2">
      <c r="A1976" s="4"/>
      <c r="B1976"/>
      <c r="C1976"/>
      <c r="D1976"/>
    </row>
    <row r="1977" spans="1:4" x14ac:dyDescent="0.2">
      <c r="A1977" s="4"/>
      <c r="B1977"/>
      <c r="C1977"/>
      <c r="D1977"/>
    </row>
    <row r="1978" spans="1:4" x14ac:dyDescent="0.2">
      <c r="A1978" s="4"/>
      <c r="B1978"/>
      <c r="C1978"/>
      <c r="D1978"/>
    </row>
    <row r="1979" spans="1:4" x14ac:dyDescent="0.2">
      <c r="A1979" s="4"/>
      <c r="B1979"/>
      <c r="C1979"/>
      <c r="D1979"/>
    </row>
    <row r="1980" spans="1:4" x14ac:dyDescent="0.2">
      <c r="A1980" s="4"/>
      <c r="B1980"/>
      <c r="C1980"/>
      <c r="D1980"/>
    </row>
    <row r="1981" spans="1:4" x14ac:dyDescent="0.2">
      <c r="A1981" s="4"/>
      <c r="B1981"/>
      <c r="C1981"/>
      <c r="D1981"/>
    </row>
    <row r="1982" spans="1:4" x14ac:dyDescent="0.2">
      <c r="A1982" s="4"/>
      <c r="B1982"/>
      <c r="C1982"/>
      <c r="D1982"/>
    </row>
    <row r="1983" spans="1:4" x14ac:dyDescent="0.2">
      <c r="A1983" s="4"/>
      <c r="B1983"/>
      <c r="C1983"/>
      <c r="D1983"/>
    </row>
    <row r="1984" spans="1:4" x14ac:dyDescent="0.2">
      <c r="A1984" s="4"/>
      <c r="B1984"/>
      <c r="C1984"/>
      <c r="D1984"/>
    </row>
    <row r="1985" spans="1:4" x14ac:dyDescent="0.2">
      <c r="A1985" s="4"/>
      <c r="B1985"/>
      <c r="C1985"/>
      <c r="D1985"/>
    </row>
    <row r="1986" spans="1:4" x14ac:dyDescent="0.2">
      <c r="A1986" s="4"/>
      <c r="B1986"/>
      <c r="C1986"/>
      <c r="D1986"/>
    </row>
    <row r="1987" spans="1:4" x14ac:dyDescent="0.2">
      <c r="A1987" s="4"/>
      <c r="B1987"/>
      <c r="C1987"/>
      <c r="D1987"/>
    </row>
    <row r="1988" spans="1:4" x14ac:dyDescent="0.2">
      <c r="A1988" s="4"/>
      <c r="B1988"/>
      <c r="C1988"/>
      <c r="D1988"/>
    </row>
    <row r="1989" spans="1:4" x14ac:dyDescent="0.2">
      <c r="A1989" s="4"/>
      <c r="B1989"/>
      <c r="C1989"/>
      <c r="D1989"/>
    </row>
    <row r="1990" spans="1:4" x14ac:dyDescent="0.2">
      <c r="A1990" s="4"/>
      <c r="B1990"/>
      <c r="C1990"/>
      <c r="D1990"/>
    </row>
    <row r="1991" spans="1:4" x14ac:dyDescent="0.2">
      <c r="A1991" s="4"/>
      <c r="B1991"/>
      <c r="C1991"/>
      <c r="D1991"/>
    </row>
    <row r="1992" spans="1:4" x14ac:dyDescent="0.2">
      <c r="A1992" s="4"/>
      <c r="B1992"/>
      <c r="C1992"/>
      <c r="D1992"/>
    </row>
    <row r="1993" spans="1:4" x14ac:dyDescent="0.2">
      <c r="A1993" s="4"/>
      <c r="B1993"/>
      <c r="C1993"/>
      <c r="D1993"/>
    </row>
    <row r="1994" spans="1:4" x14ac:dyDescent="0.2">
      <c r="A1994" s="4"/>
      <c r="B1994"/>
      <c r="C1994"/>
      <c r="D1994"/>
    </row>
    <row r="1995" spans="1:4" x14ac:dyDescent="0.2">
      <c r="A1995" s="4"/>
      <c r="B1995"/>
      <c r="C1995"/>
      <c r="D1995"/>
    </row>
    <row r="1996" spans="1:4" x14ac:dyDescent="0.2">
      <c r="A1996" s="4"/>
      <c r="B1996"/>
      <c r="C1996"/>
      <c r="D1996"/>
    </row>
    <row r="1997" spans="1:4" x14ac:dyDescent="0.2">
      <c r="A1997" s="4"/>
      <c r="B1997"/>
      <c r="C1997"/>
      <c r="D1997"/>
    </row>
    <row r="1998" spans="1:4" x14ac:dyDescent="0.2">
      <c r="A1998" s="4"/>
      <c r="B1998"/>
      <c r="C1998"/>
      <c r="D1998"/>
    </row>
    <row r="1999" spans="1:4" x14ac:dyDescent="0.2">
      <c r="A1999" s="4"/>
      <c r="B1999"/>
      <c r="C1999"/>
      <c r="D1999"/>
    </row>
    <row r="2000" spans="1:4" x14ac:dyDescent="0.2">
      <c r="A2000" s="4"/>
      <c r="B2000"/>
      <c r="C2000"/>
      <c r="D2000"/>
    </row>
    <row r="2001" spans="1:4" x14ac:dyDescent="0.2">
      <c r="A2001" s="4"/>
      <c r="B2001"/>
      <c r="C2001"/>
      <c r="D2001"/>
    </row>
    <row r="2002" spans="1:4" x14ac:dyDescent="0.2">
      <c r="A2002" s="4"/>
      <c r="B2002"/>
      <c r="C2002"/>
      <c r="D2002"/>
    </row>
    <row r="2003" spans="1:4" x14ac:dyDescent="0.2">
      <c r="A2003" s="4"/>
      <c r="B2003"/>
      <c r="C2003"/>
      <c r="D2003"/>
    </row>
    <row r="2004" spans="1:4" x14ac:dyDescent="0.2">
      <c r="A2004" s="4"/>
      <c r="B2004"/>
      <c r="C2004"/>
      <c r="D2004"/>
    </row>
    <row r="2005" spans="1:4" x14ac:dyDescent="0.2">
      <c r="A2005" s="4"/>
      <c r="B2005"/>
      <c r="C2005"/>
      <c r="D2005"/>
    </row>
    <row r="2006" spans="1:4" x14ac:dyDescent="0.2">
      <c r="A2006" s="4"/>
      <c r="B2006"/>
      <c r="C2006"/>
      <c r="D2006"/>
    </row>
    <row r="2007" spans="1:4" x14ac:dyDescent="0.2">
      <c r="A2007" s="4"/>
      <c r="B2007"/>
      <c r="C2007"/>
      <c r="D2007"/>
    </row>
    <row r="2008" spans="1:4" x14ac:dyDescent="0.2">
      <c r="A2008" s="4"/>
      <c r="B2008"/>
      <c r="C2008"/>
      <c r="D2008"/>
    </row>
    <row r="2009" spans="1:4" x14ac:dyDescent="0.2">
      <c r="A2009" s="4"/>
      <c r="B2009"/>
      <c r="C2009"/>
      <c r="D2009"/>
    </row>
    <row r="2010" spans="1:4" x14ac:dyDescent="0.2">
      <c r="A2010" s="4"/>
      <c r="B2010"/>
      <c r="C2010"/>
      <c r="D2010"/>
    </row>
    <row r="2011" spans="1:4" x14ac:dyDescent="0.2">
      <c r="A2011" s="4"/>
      <c r="B2011"/>
      <c r="C2011"/>
      <c r="D2011"/>
    </row>
    <row r="2012" spans="1:4" x14ac:dyDescent="0.2">
      <c r="A2012" s="4"/>
      <c r="B2012"/>
      <c r="C2012"/>
      <c r="D2012"/>
    </row>
    <row r="2013" spans="1:4" x14ac:dyDescent="0.2">
      <c r="A2013" s="4"/>
      <c r="B2013"/>
      <c r="C2013"/>
      <c r="D2013"/>
    </row>
    <row r="2014" spans="1:4" x14ac:dyDescent="0.2">
      <c r="A2014" s="4"/>
      <c r="B2014"/>
      <c r="C2014"/>
      <c r="D2014"/>
    </row>
    <row r="2015" spans="1:4" x14ac:dyDescent="0.2">
      <c r="A2015" s="4"/>
      <c r="B2015"/>
      <c r="C2015"/>
      <c r="D2015"/>
    </row>
    <row r="2016" spans="1:4" x14ac:dyDescent="0.2">
      <c r="A2016" s="4"/>
      <c r="B2016"/>
      <c r="C2016"/>
      <c r="D2016"/>
    </row>
    <row r="2017" spans="1:4" x14ac:dyDescent="0.2">
      <c r="A2017" s="4"/>
      <c r="B2017"/>
      <c r="C2017"/>
      <c r="D2017"/>
    </row>
    <row r="2018" spans="1:4" x14ac:dyDescent="0.2">
      <c r="A2018" s="4"/>
      <c r="B2018"/>
      <c r="C2018"/>
      <c r="D2018"/>
    </row>
    <row r="2019" spans="1:4" x14ac:dyDescent="0.2">
      <c r="A2019" s="4"/>
      <c r="B2019"/>
      <c r="C2019"/>
      <c r="D2019"/>
    </row>
    <row r="2020" spans="1:4" x14ac:dyDescent="0.2">
      <c r="A2020" s="4"/>
      <c r="B2020"/>
      <c r="C2020"/>
      <c r="D2020"/>
    </row>
    <row r="2021" spans="1:4" x14ac:dyDescent="0.2">
      <c r="A2021" s="4"/>
      <c r="B2021"/>
      <c r="C2021"/>
      <c r="D2021"/>
    </row>
    <row r="2022" spans="1:4" x14ac:dyDescent="0.2">
      <c r="A2022" s="4"/>
      <c r="B2022"/>
      <c r="C2022"/>
      <c r="D2022"/>
    </row>
    <row r="2023" spans="1:4" x14ac:dyDescent="0.2">
      <c r="A2023" s="4"/>
      <c r="B2023"/>
      <c r="C2023"/>
      <c r="D2023"/>
    </row>
    <row r="2024" spans="1:4" x14ac:dyDescent="0.2">
      <c r="A2024" s="4"/>
      <c r="B2024"/>
      <c r="C2024"/>
      <c r="D2024"/>
    </row>
    <row r="2025" spans="1:4" x14ac:dyDescent="0.2">
      <c r="A2025" s="4"/>
      <c r="B2025"/>
      <c r="C2025"/>
      <c r="D2025"/>
    </row>
    <row r="2026" spans="1:4" x14ac:dyDescent="0.2">
      <c r="A2026" s="4"/>
      <c r="B2026"/>
      <c r="C2026"/>
      <c r="D2026"/>
    </row>
    <row r="2027" spans="1:4" x14ac:dyDescent="0.2">
      <c r="A2027" s="4"/>
      <c r="B2027"/>
      <c r="C2027"/>
      <c r="D2027"/>
    </row>
    <row r="2028" spans="1:4" x14ac:dyDescent="0.2">
      <c r="A2028" s="4"/>
      <c r="B2028"/>
      <c r="C2028"/>
      <c r="D2028"/>
    </row>
    <row r="2029" spans="1:4" x14ac:dyDescent="0.2">
      <c r="A2029" s="4"/>
      <c r="B2029"/>
      <c r="C2029"/>
      <c r="D2029"/>
    </row>
    <row r="2030" spans="1:4" x14ac:dyDescent="0.2">
      <c r="A2030" s="4"/>
      <c r="B2030"/>
      <c r="C2030"/>
      <c r="D2030"/>
    </row>
    <row r="2031" spans="1:4" x14ac:dyDescent="0.2">
      <c r="A2031" s="4"/>
      <c r="B2031"/>
      <c r="C2031"/>
      <c r="D2031"/>
    </row>
    <row r="2032" spans="1:4" x14ac:dyDescent="0.2">
      <c r="A2032" s="4"/>
      <c r="B2032"/>
      <c r="C2032"/>
      <c r="D2032"/>
    </row>
    <row r="2033" spans="1:4" x14ac:dyDescent="0.2">
      <c r="A2033" s="4"/>
      <c r="B2033"/>
      <c r="C2033"/>
      <c r="D2033"/>
    </row>
    <row r="2034" spans="1:4" x14ac:dyDescent="0.2">
      <c r="A2034" s="4"/>
      <c r="B2034"/>
      <c r="C2034"/>
      <c r="D2034"/>
    </row>
    <row r="2035" spans="1:4" x14ac:dyDescent="0.2">
      <c r="A2035" s="4"/>
      <c r="B2035"/>
      <c r="C2035"/>
      <c r="D2035"/>
    </row>
    <row r="2036" spans="1:4" x14ac:dyDescent="0.2">
      <c r="A2036" s="4"/>
      <c r="B2036"/>
      <c r="C2036"/>
      <c r="D2036"/>
    </row>
    <row r="2037" spans="1:4" x14ac:dyDescent="0.2">
      <c r="A2037" s="4"/>
      <c r="B2037"/>
      <c r="C2037"/>
      <c r="D2037"/>
    </row>
    <row r="2038" spans="1:4" x14ac:dyDescent="0.2">
      <c r="A2038" s="4"/>
      <c r="B2038"/>
      <c r="C2038"/>
      <c r="D2038"/>
    </row>
    <row r="2039" spans="1:4" x14ac:dyDescent="0.2">
      <c r="A2039" s="4"/>
      <c r="B2039"/>
      <c r="C2039"/>
      <c r="D2039"/>
    </row>
    <row r="2040" spans="1:4" x14ac:dyDescent="0.2">
      <c r="A2040" s="4"/>
      <c r="B2040"/>
      <c r="C2040"/>
      <c r="D2040"/>
    </row>
    <row r="2041" spans="1:4" x14ac:dyDescent="0.2">
      <c r="A2041" s="4"/>
      <c r="B2041"/>
      <c r="C2041"/>
      <c r="D2041"/>
    </row>
    <row r="2042" spans="1:4" x14ac:dyDescent="0.2">
      <c r="A2042" s="4"/>
      <c r="B2042"/>
      <c r="C2042"/>
      <c r="D2042"/>
    </row>
    <row r="2043" spans="1:4" x14ac:dyDescent="0.2">
      <c r="A2043" s="4"/>
      <c r="B2043"/>
      <c r="C2043"/>
      <c r="D2043"/>
    </row>
    <row r="2044" spans="1:4" x14ac:dyDescent="0.2">
      <c r="A2044" s="4"/>
      <c r="B2044"/>
      <c r="C2044"/>
      <c r="D2044"/>
    </row>
    <row r="2045" spans="1:4" x14ac:dyDescent="0.2">
      <c r="A2045" s="4"/>
      <c r="B2045"/>
      <c r="C2045"/>
      <c r="D2045"/>
    </row>
    <row r="2046" spans="1:4" x14ac:dyDescent="0.2">
      <c r="A2046" s="4"/>
      <c r="B2046"/>
      <c r="C2046"/>
      <c r="D2046"/>
    </row>
    <row r="2047" spans="1:4" x14ac:dyDescent="0.2">
      <c r="A2047" s="4"/>
      <c r="B2047"/>
      <c r="C2047"/>
      <c r="D2047"/>
    </row>
    <row r="2048" spans="1:4" x14ac:dyDescent="0.2">
      <c r="A2048" s="4"/>
      <c r="B2048"/>
      <c r="C2048"/>
      <c r="D2048"/>
    </row>
    <row r="2049" spans="1:4" x14ac:dyDescent="0.2">
      <c r="A2049" s="4"/>
      <c r="B2049"/>
      <c r="C2049"/>
      <c r="D2049"/>
    </row>
    <row r="2050" spans="1:4" x14ac:dyDescent="0.2">
      <c r="A2050" s="4"/>
      <c r="B2050"/>
      <c r="C2050"/>
      <c r="D2050"/>
    </row>
    <row r="2051" spans="1:4" x14ac:dyDescent="0.2">
      <c r="A2051" s="4"/>
      <c r="B2051"/>
      <c r="C2051"/>
      <c r="D2051"/>
    </row>
    <row r="2052" spans="1:4" x14ac:dyDescent="0.2">
      <c r="A2052" s="4"/>
      <c r="B2052"/>
      <c r="C2052"/>
      <c r="D2052"/>
    </row>
    <row r="2053" spans="1:4" x14ac:dyDescent="0.2">
      <c r="A2053" s="4"/>
      <c r="B2053"/>
      <c r="C2053"/>
      <c r="D2053"/>
    </row>
    <row r="2054" spans="1:4" x14ac:dyDescent="0.2">
      <c r="A2054" s="4"/>
      <c r="B2054"/>
      <c r="C2054"/>
      <c r="D2054"/>
    </row>
    <row r="2055" spans="1:4" x14ac:dyDescent="0.2">
      <c r="A2055" s="4"/>
      <c r="B2055"/>
      <c r="C2055"/>
      <c r="D2055"/>
    </row>
    <row r="2056" spans="1:4" x14ac:dyDescent="0.2">
      <c r="A2056" s="4"/>
      <c r="B2056"/>
      <c r="C2056"/>
      <c r="D2056"/>
    </row>
    <row r="2057" spans="1:4" x14ac:dyDescent="0.2">
      <c r="A2057" s="4"/>
      <c r="B2057"/>
      <c r="C2057"/>
      <c r="D2057"/>
    </row>
    <row r="2058" spans="1:4" x14ac:dyDescent="0.2">
      <c r="A2058" s="4"/>
      <c r="B2058"/>
      <c r="C2058"/>
      <c r="D2058"/>
    </row>
    <row r="2059" spans="1:4" x14ac:dyDescent="0.2">
      <c r="A2059" s="4"/>
      <c r="B2059"/>
      <c r="C2059"/>
      <c r="D2059"/>
    </row>
    <row r="2060" spans="1:4" x14ac:dyDescent="0.2">
      <c r="A2060" s="4"/>
      <c r="B2060"/>
      <c r="C2060"/>
      <c r="D2060"/>
    </row>
    <row r="2061" spans="1:4" x14ac:dyDescent="0.2">
      <c r="A2061" s="4"/>
      <c r="B2061"/>
      <c r="C2061"/>
      <c r="D2061"/>
    </row>
    <row r="2062" spans="1:4" x14ac:dyDescent="0.2">
      <c r="A2062" s="4"/>
      <c r="B2062"/>
      <c r="C2062"/>
      <c r="D2062"/>
    </row>
    <row r="2063" spans="1:4" x14ac:dyDescent="0.2">
      <c r="A2063" s="4"/>
      <c r="B2063"/>
      <c r="C2063"/>
      <c r="D2063"/>
    </row>
    <row r="2064" spans="1:4" x14ac:dyDescent="0.2">
      <c r="A2064" s="4"/>
      <c r="B2064"/>
      <c r="C2064"/>
      <c r="D2064"/>
    </row>
    <row r="2065" spans="1:4" x14ac:dyDescent="0.2">
      <c r="A2065" s="4"/>
      <c r="B2065"/>
      <c r="C2065"/>
      <c r="D2065"/>
    </row>
    <row r="2066" spans="1:4" x14ac:dyDescent="0.2">
      <c r="A2066" s="4"/>
      <c r="B2066"/>
      <c r="C2066"/>
      <c r="D2066"/>
    </row>
    <row r="2067" spans="1:4" x14ac:dyDescent="0.2">
      <c r="A2067" s="4"/>
      <c r="B2067"/>
      <c r="C2067"/>
      <c r="D2067"/>
    </row>
    <row r="2068" spans="1:4" x14ac:dyDescent="0.2">
      <c r="A2068" s="4"/>
      <c r="B2068"/>
      <c r="C2068"/>
      <c r="D2068"/>
    </row>
    <row r="2069" spans="1:4" x14ac:dyDescent="0.2">
      <c r="A2069" s="4"/>
      <c r="B2069"/>
      <c r="C2069"/>
      <c r="D2069"/>
    </row>
    <row r="2070" spans="1:4" x14ac:dyDescent="0.2">
      <c r="A2070" s="4"/>
      <c r="B2070"/>
      <c r="C2070"/>
      <c r="D2070"/>
    </row>
    <row r="2071" spans="1:4" x14ac:dyDescent="0.2">
      <c r="A2071" s="4"/>
      <c r="B2071"/>
      <c r="C2071"/>
      <c r="D2071"/>
    </row>
    <row r="2072" spans="1:4" x14ac:dyDescent="0.2">
      <c r="A2072" s="4"/>
      <c r="B2072"/>
      <c r="C2072"/>
      <c r="D2072"/>
    </row>
    <row r="2073" spans="1:4" x14ac:dyDescent="0.2">
      <c r="A2073" s="4"/>
      <c r="B2073"/>
      <c r="C2073"/>
      <c r="D2073"/>
    </row>
    <row r="2074" spans="1:4" x14ac:dyDescent="0.2">
      <c r="A2074" s="4"/>
      <c r="B2074"/>
      <c r="C2074"/>
      <c r="D2074"/>
    </row>
    <row r="2075" spans="1:4" x14ac:dyDescent="0.2">
      <c r="A2075" s="4"/>
      <c r="B2075"/>
      <c r="C2075"/>
      <c r="D2075"/>
    </row>
    <row r="2076" spans="1:4" x14ac:dyDescent="0.2">
      <c r="A2076" s="4"/>
      <c r="B2076"/>
      <c r="C2076"/>
      <c r="D2076"/>
    </row>
    <row r="2077" spans="1:4" x14ac:dyDescent="0.2">
      <c r="A2077" s="4"/>
      <c r="B2077"/>
      <c r="C2077"/>
      <c r="D2077"/>
    </row>
    <row r="2078" spans="1:4" x14ac:dyDescent="0.2">
      <c r="A2078" s="4"/>
      <c r="B2078"/>
      <c r="C2078"/>
      <c r="D2078"/>
    </row>
    <row r="2079" spans="1:4" x14ac:dyDescent="0.2">
      <c r="A2079" s="4"/>
      <c r="B2079"/>
      <c r="C2079"/>
      <c r="D2079"/>
    </row>
    <row r="2080" spans="1:4" x14ac:dyDescent="0.2">
      <c r="A2080" s="4"/>
      <c r="B2080"/>
      <c r="C2080"/>
      <c r="D2080"/>
    </row>
    <row r="2081" spans="1:4" x14ac:dyDescent="0.2">
      <c r="A2081" s="4"/>
      <c r="B2081"/>
      <c r="C2081"/>
      <c r="D2081"/>
    </row>
    <row r="2082" spans="1:4" x14ac:dyDescent="0.2">
      <c r="A2082" s="4"/>
      <c r="B2082"/>
      <c r="C2082"/>
      <c r="D2082"/>
    </row>
    <row r="2083" spans="1:4" x14ac:dyDescent="0.2">
      <c r="A2083" s="4"/>
      <c r="B2083"/>
      <c r="C2083"/>
      <c r="D2083"/>
    </row>
    <row r="2084" spans="1:4" x14ac:dyDescent="0.2">
      <c r="A2084" s="4"/>
      <c r="B2084"/>
      <c r="C2084"/>
      <c r="D2084"/>
    </row>
    <row r="2085" spans="1:4" x14ac:dyDescent="0.2">
      <c r="A2085" s="4"/>
      <c r="B2085"/>
      <c r="C2085"/>
      <c r="D2085"/>
    </row>
    <row r="2086" spans="1:4" x14ac:dyDescent="0.2">
      <c r="A2086" s="4"/>
      <c r="B2086"/>
      <c r="C2086"/>
      <c r="D2086"/>
    </row>
    <row r="2087" spans="1:4" x14ac:dyDescent="0.2">
      <c r="A2087" s="4"/>
      <c r="B2087"/>
      <c r="C2087"/>
      <c r="D2087"/>
    </row>
    <row r="2088" spans="1:4" x14ac:dyDescent="0.2">
      <c r="A2088" s="4"/>
      <c r="B2088"/>
      <c r="C2088"/>
      <c r="D2088"/>
    </row>
    <row r="2089" spans="1:4" x14ac:dyDescent="0.2">
      <c r="A2089" s="4"/>
      <c r="B2089"/>
      <c r="C2089"/>
      <c r="D2089"/>
    </row>
    <row r="2090" spans="1:4" x14ac:dyDescent="0.2">
      <c r="A2090" s="4"/>
      <c r="B2090"/>
      <c r="C2090"/>
      <c r="D2090"/>
    </row>
    <row r="2091" spans="1:4" x14ac:dyDescent="0.2">
      <c r="A2091" s="4"/>
      <c r="B2091"/>
      <c r="C2091"/>
      <c r="D2091"/>
    </row>
    <row r="2092" spans="1:4" x14ac:dyDescent="0.2">
      <c r="A2092" s="4"/>
      <c r="B2092"/>
      <c r="C2092"/>
      <c r="D2092"/>
    </row>
    <row r="2093" spans="1:4" x14ac:dyDescent="0.2">
      <c r="A2093" s="4"/>
      <c r="B2093"/>
      <c r="C2093"/>
      <c r="D2093"/>
    </row>
    <row r="2094" spans="1:4" x14ac:dyDescent="0.2">
      <c r="A2094" s="4"/>
      <c r="B2094"/>
      <c r="C2094"/>
      <c r="D2094"/>
    </row>
    <row r="2095" spans="1:4" x14ac:dyDescent="0.2">
      <c r="A2095" s="4"/>
      <c r="B2095"/>
      <c r="C2095"/>
      <c r="D2095"/>
    </row>
    <row r="2096" spans="1:4" x14ac:dyDescent="0.2">
      <c r="A2096" s="4"/>
      <c r="B2096"/>
      <c r="C2096"/>
      <c r="D2096"/>
    </row>
    <row r="2097" spans="1:4" x14ac:dyDescent="0.2">
      <c r="A2097" s="4"/>
      <c r="B2097"/>
      <c r="C2097"/>
      <c r="D2097"/>
    </row>
    <row r="2098" spans="1:4" x14ac:dyDescent="0.2">
      <c r="A2098" s="4"/>
      <c r="B2098"/>
      <c r="C2098"/>
      <c r="D2098"/>
    </row>
    <row r="2099" spans="1:4" x14ac:dyDescent="0.2">
      <c r="A2099" s="4"/>
      <c r="B2099"/>
      <c r="C2099"/>
      <c r="D2099"/>
    </row>
    <row r="2100" spans="1:4" x14ac:dyDescent="0.2">
      <c r="A2100" s="4"/>
      <c r="B2100"/>
      <c r="C2100"/>
      <c r="D2100"/>
    </row>
    <row r="2101" spans="1:4" x14ac:dyDescent="0.2">
      <c r="A2101" s="4"/>
      <c r="B2101"/>
      <c r="C2101"/>
      <c r="D2101"/>
    </row>
    <row r="2102" spans="1:4" x14ac:dyDescent="0.2">
      <c r="A2102" s="4"/>
      <c r="B2102"/>
      <c r="C2102"/>
      <c r="D2102"/>
    </row>
    <row r="2103" spans="1:4" x14ac:dyDescent="0.2">
      <c r="A2103" s="4"/>
      <c r="B2103"/>
      <c r="C2103"/>
      <c r="D2103"/>
    </row>
    <row r="2104" spans="1:4" x14ac:dyDescent="0.2">
      <c r="A2104" s="4"/>
      <c r="B2104"/>
      <c r="C2104"/>
      <c r="D2104"/>
    </row>
    <row r="2105" spans="1:4" x14ac:dyDescent="0.2">
      <c r="A2105" s="4"/>
      <c r="B2105"/>
      <c r="C2105"/>
      <c r="D2105"/>
    </row>
    <row r="2106" spans="1:4" x14ac:dyDescent="0.2">
      <c r="A2106" s="4"/>
      <c r="B2106"/>
      <c r="C2106"/>
      <c r="D2106"/>
    </row>
    <row r="2107" spans="1:4" x14ac:dyDescent="0.2">
      <c r="A2107" s="4"/>
      <c r="B2107"/>
      <c r="C2107"/>
      <c r="D2107"/>
    </row>
    <row r="2108" spans="1:4" x14ac:dyDescent="0.2">
      <c r="A2108" s="4"/>
      <c r="B2108"/>
      <c r="C2108"/>
      <c r="D2108"/>
    </row>
    <row r="2109" spans="1:4" x14ac:dyDescent="0.2">
      <c r="A2109" s="4"/>
      <c r="B2109"/>
      <c r="C2109"/>
      <c r="D2109"/>
    </row>
    <row r="2110" spans="1:4" x14ac:dyDescent="0.2">
      <c r="A2110" s="4"/>
      <c r="B2110"/>
      <c r="C2110"/>
      <c r="D2110"/>
    </row>
    <row r="2111" spans="1:4" x14ac:dyDescent="0.2">
      <c r="A2111" s="4"/>
      <c r="B2111"/>
      <c r="C2111"/>
      <c r="D2111"/>
    </row>
    <row r="2112" spans="1:4" x14ac:dyDescent="0.2">
      <c r="A2112" s="4"/>
      <c r="B2112"/>
      <c r="C2112"/>
      <c r="D2112"/>
    </row>
    <row r="2113" spans="1:4" x14ac:dyDescent="0.2">
      <c r="A2113" s="4"/>
      <c r="B2113"/>
      <c r="C2113"/>
      <c r="D2113"/>
    </row>
    <row r="2114" spans="1:4" x14ac:dyDescent="0.2">
      <c r="A2114" s="4"/>
      <c r="B2114"/>
      <c r="C2114"/>
      <c r="D2114"/>
    </row>
    <row r="2115" spans="1:4" x14ac:dyDescent="0.2">
      <c r="A2115" s="4"/>
      <c r="B2115"/>
      <c r="C2115"/>
      <c r="D2115"/>
    </row>
    <row r="2116" spans="1:4" x14ac:dyDescent="0.2">
      <c r="A2116" s="4"/>
      <c r="B2116"/>
      <c r="C2116"/>
      <c r="D2116"/>
    </row>
    <row r="2117" spans="1:4" x14ac:dyDescent="0.2">
      <c r="A2117" s="4"/>
      <c r="B2117"/>
      <c r="C2117"/>
      <c r="D2117"/>
    </row>
    <row r="2118" spans="1:4" x14ac:dyDescent="0.2">
      <c r="A2118" s="4"/>
      <c r="B2118"/>
      <c r="C2118"/>
      <c r="D2118"/>
    </row>
    <row r="2119" spans="1:4" x14ac:dyDescent="0.2">
      <c r="A2119" s="4"/>
      <c r="B2119"/>
      <c r="C2119"/>
      <c r="D2119"/>
    </row>
    <row r="2120" spans="1:4" x14ac:dyDescent="0.2">
      <c r="A2120" s="4"/>
      <c r="B2120"/>
      <c r="C2120"/>
      <c r="D2120"/>
    </row>
    <row r="2121" spans="1:4" x14ac:dyDescent="0.2">
      <c r="A2121" s="4"/>
      <c r="B2121"/>
      <c r="C2121"/>
      <c r="D2121"/>
    </row>
    <row r="2122" spans="1:4" x14ac:dyDescent="0.2">
      <c r="A2122" s="4"/>
      <c r="B2122"/>
      <c r="C2122"/>
      <c r="D2122"/>
    </row>
    <row r="2123" spans="1:4" x14ac:dyDescent="0.2">
      <c r="A2123" s="4"/>
      <c r="B2123"/>
      <c r="C2123"/>
      <c r="D2123"/>
    </row>
    <row r="2124" spans="1:4" x14ac:dyDescent="0.2">
      <c r="A2124" s="4"/>
      <c r="B2124"/>
      <c r="C2124"/>
      <c r="D2124"/>
    </row>
    <row r="2125" spans="1:4" x14ac:dyDescent="0.2">
      <c r="A2125" s="4"/>
      <c r="B2125"/>
      <c r="C2125"/>
      <c r="D2125"/>
    </row>
    <row r="2126" spans="1:4" x14ac:dyDescent="0.2">
      <c r="A2126" s="4"/>
      <c r="B2126"/>
      <c r="C2126"/>
      <c r="D2126"/>
    </row>
    <row r="2127" spans="1:4" x14ac:dyDescent="0.2">
      <c r="A2127" s="4"/>
      <c r="B2127"/>
      <c r="C2127"/>
      <c r="D2127"/>
    </row>
    <row r="2128" spans="1:4" x14ac:dyDescent="0.2">
      <c r="A2128" s="4"/>
      <c r="B2128"/>
      <c r="C2128"/>
      <c r="D2128"/>
    </row>
    <row r="2129" spans="1:4" x14ac:dyDescent="0.2">
      <c r="A2129" s="4"/>
      <c r="B2129"/>
      <c r="C2129"/>
      <c r="D2129"/>
    </row>
    <row r="2130" spans="1:4" x14ac:dyDescent="0.2">
      <c r="A2130" s="4"/>
      <c r="B2130"/>
      <c r="C2130"/>
      <c r="D2130"/>
    </row>
    <row r="2131" spans="1:4" x14ac:dyDescent="0.2">
      <c r="A2131" s="4"/>
      <c r="B2131"/>
      <c r="C2131"/>
      <c r="D2131"/>
    </row>
    <row r="2132" spans="1:4" x14ac:dyDescent="0.2">
      <c r="A2132" s="4"/>
      <c r="B2132"/>
      <c r="C2132"/>
      <c r="D2132"/>
    </row>
    <row r="2133" spans="1:4" x14ac:dyDescent="0.2">
      <c r="A2133" s="4"/>
      <c r="B2133"/>
      <c r="C2133"/>
      <c r="D2133"/>
    </row>
    <row r="2134" spans="1:4" x14ac:dyDescent="0.2">
      <c r="A2134" s="4"/>
      <c r="B2134"/>
      <c r="C2134"/>
      <c r="D2134"/>
    </row>
    <row r="2135" spans="1:4" x14ac:dyDescent="0.2">
      <c r="A2135" s="4"/>
      <c r="B2135"/>
      <c r="C2135"/>
      <c r="D2135"/>
    </row>
    <row r="2136" spans="1:4" x14ac:dyDescent="0.2">
      <c r="A2136" s="4"/>
      <c r="B2136"/>
      <c r="C2136"/>
      <c r="D2136"/>
    </row>
    <row r="2137" spans="1:4" x14ac:dyDescent="0.2">
      <c r="A2137" s="4"/>
      <c r="B2137"/>
      <c r="C2137"/>
      <c r="D2137"/>
    </row>
    <row r="2138" spans="1:4" x14ac:dyDescent="0.2">
      <c r="A2138" s="4"/>
      <c r="B2138"/>
      <c r="C2138"/>
      <c r="D2138"/>
    </row>
    <row r="2139" spans="1:4" x14ac:dyDescent="0.2">
      <c r="A2139" s="4"/>
      <c r="B2139"/>
      <c r="C2139"/>
      <c r="D2139"/>
    </row>
    <row r="2140" spans="1:4" x14ac:dyDescent="0.2">
      <c r="A2140" s="4"/>
      <c r="B2140"/>
      <c r="C2140"/>
      <c r="D2140"/>
    </row>
    <row r="2141" spans="1:4" x14ac:dyDescent="0.2">
      <c r="A2141" s="4"/>
      <c r="B2141"/>
      <c r="C2141"/>
      <c r="D2141"/>
    </row>
    <row r="2142" spans="1:4" x14ac:dyDescent="0.2">
      <c r="A2142" s="4"/>
      <c r="B2142"/>
      <c r="C2142"/>
      <c r="D2142"/>
    </row>
    <row r="2143" spans="1:4" x14ac:dyDescent="0.2">
      <c r="A2143" s="4"/>
      <c r="B2143"/>
      <c r="C2143"/>
      <c r="D2143"/>
    </row>
    <row r="2144" spans="1:4" x14ac:dyDescent="0.2">
      <c r="A2144" s="4"/>
      <c r="B2144"/>
      <c r="C2144"/>
      <c r="D2144"/>
    </row>
    <row r="2145" spans="1:4" x14ac:dyDescent="0.2">
      <c r="A2145" s="4"/>
      <c r="B2145"/>
      <c r="C2145"/>
      <c r="D2145"/>
    </row>
    <row r="2146" spans="1:4" x14ac:dyDescent="0.2">
      <c r="A2146" s="4"/>
      <c r="B2146"/>
      <c r="C2146"/>
      <c r="D2146"/>
    </row>
    <row r="2147" spans="1:4" x14ac:dyDescent="0.2">
      <c r="A2147" s="4"/>
      <c r="B2147"/>
      <c r="C2147"/>
      <c r="D2147"/>
    </row>
    <row r="2148" spans="1:4" x14ac:dyDescent="0.2">
      <c r="A2148" s="4"/>
      <c r="B2148"/>
      <c r="C2148"/>
      <c r="D2148"/>
    </row>
    <row r="2149" spans="1:4" x14ac:dyDescent="0.2">
      <c r="A2149" s="4"/>
      <c r="B2149"/>
      <c r="C2149"/>
      <c r="D2149"/>
    </row>
    <row r="2150" spans="1:4" x14ac:dyDescent="0.2">
      <c r="A2150" s="4"/>
      <c r="B2150"/>
      <c r="C2150"/>
      <c r="D2150"/>
    </row>
    <row r="2151" spans="1:4" x14ac:dyDescent="0.2">
      <c r="A2151" s="4"/>
      <c r="B2151"/>
      <c r="C2151"/>
      <c r="D2151"/>
    </row>
    <row r="2152" spans="1:4" x14ac:dyDescent="0.2">
      <c r="A2152" s="4"/>
      <c r="B2152"/>
      <c r="C2152"/>
      <c r="D2152"/>
    </row>
    <row r="2153" spans="1:4" x14ac:dyDescent="0.2">
      <c r="A2153" s="4"/>
      <c r="B2153"/>
      <c r="C2153"/>
      <c r="D2153"/>
    </row>
    <row r="2154" spans="1:4" x14ac:dyDescent="0.2">
      <c r="A2154" s="4"/>
      <c r="B2154"/>
      <c r="C2154"/>
      <c r="D2154"/>
    </row>
    <row r="2155" spans="1:4" x14ac:dyDescent="0.2">
      <c r="A2155" s="4"/>
      <c r="B2155"/>
      <c r="C2155"/>
      <c r="D2155"/>
    </row>
    <row r="2156" spans="1:4" x14ac:dyDescent="0.2">
      <c r="A2156" s="4"/>
      <c r="B2156"/>
      <c r="C2156"/>
      <c r="D2156"/>
    </row>
    <row r="2157" spans="1:4" x14ac:dyDescent="0.2">
      <c r="A2157" s="4"/>
      <c r="B2157"/>
      <c r="C2157"/>
      <c r="D2157"/>
    </row>
    <row r="2158" spans="1:4" x14ac:dyDescent="0.2">
      <c r="A2158" s="4"/>
      <c r="B2158"/>
      <c r="C2158"/>
      <c r="D2158"/>
    </row>
    <row r="2159" spans="1:4" x14ac:dyDescent="0.2">
      <c r="A2159" s="4"/>
      <c r="B2159"/>
      <c r="C2159"/>
      <c r="D2159"/>
    </row>
    <row r="2160" spans="1:4" x14ac:dyDescent="0.2">
      <c r="A2160" s="4"/>
      <c r="B2160"/>
      <c r="C2160"/>
      <c r="D2160"/>
    </row>
    <row r="2161" spans="1:4" x14ac:dyDescent="0.2">
      <c r="A2161" s="4"/>
      <c r="B2161"/>
      <c r="C2161"/>
      <c r="D2161"/>
    </row>
    <row r="2162" spans="1:4" x14ac:dyDescent="0.2">
      <c r="A2162" s="4"/>
      <c r="B2162"/>
      <c r="C2162"/>
      <c r="D2162"/>
    </row>
    <row r="2163" spans="1:4" x14ac:dyDescent="0.2">
      <c r="A2163" s="4"/>
      <c r="B2163"/>
      <c r="C2163"/>
      <c r="D2163"/>
    </row>
    <row r="2164" spans="1:4" x14ac:dyDescent="0.2">
      <c r="A2164" s="4"/>
      <c r="B2164"/>
      <c r="C2164"/>
      <c r="D2164"/>
    </row>
    <row r="2165" spans="1:4" x14ac:dyDescent="0.2">
      <c r="A2165" s="4"/>
      <c r="B2165"/>
      <c r="C2165"/>
      <c r="D2165"/>
    </row>
    <row r="2166" spans="1:4" x14ac:dyDescent="0.2">
      <c r="A2166" s="4"/>
      <c r="B2166"/>
      <c r="C2166"/>
      <c r="D2166"/>
    </row>
    <row r="2167" spans="1:4" x14ac:dyDescent="0.2">
      <c r="A2167" s="4"/>
      <c r="B2167"/>
      <c r="C2167"/>
      <c r="D2167"/>
    </row>
    <row r="2168" spans="1:4" x14ac:dyDescent="0.2">
      <c r="A2168" s="4"/>
      <c r="B2168"/>
      <c r="C2168"/>
      <c r="D2168"/>
    </row>
    <row r="2169" spans="1:4" x14ac:dyDescent="0.2">
      <c r="A2169" s="4"/>
      <c r="B2169"/>
      <c r="C2169"/>
      <c r="D2169"/>
    </row>
    <row r="2170" spans="1:4" x14ac:dyDescent="0.2">
      <c r="A2170" s="4"/>
      <c r="B2170"/>
      <c r="C2170"/>
      <c r="D2170"/>
    </row>
    <row r="2171" spans="1:4" x14ac:dyDescent="0.2">
      <c r="A2171" s="4"/>
      <c r="B2171"/>
      <c r="C2171"/>
      <c r="D2171"/>
    </row>
    <row r="2172" spans="1:4" x14ac:dyDescent="0.2">
      <c r="A2172" s="4"/>
      <c r="B2172"/>
      <c r="C2172"/>
      <c r="D2172"/>
    </row>
    <row r="2173" spans="1:4" x14ac:dyDescent="0.2">
      <c r="A2173" s="4"/>
      <c r="B2173"/>
      <c r="C2173"/>
      <c r="D2173"/>
    </row>
    <row r="2174" spans="1:4" x14ac:dyDescent="0.2">
      <c r="A2174" s="4"/>
      <c r="B2174"/>
      <c r="C2174"/>
      <c r="D2174"/>
    </row>
    <row r="2175" spans="1:4" x14ac:dyDescent="0.2">
      <c r="A2175" s="4"/>
      <c r="B2175"/>
      <c r="C2175"/>
      <c r="D2175"/>
    </row>
    <row r="2176" spans="1:4" x14ac:dyDescent="0.2">
      <c r="A2176" s="4"/>
      <c r="B2176"/>
      <c r="C2176"/>
      <c r="D2176"/>
    </row>
    <row r="2177" spans="1:4" x14ac:dyDescent="0.2">
      <c r="A2177" s="4"/>
      <c r="B2177"/>
      <c r="C2177"/>
      <c r="D2177"/>
    </row>
    <row r="2178" spans="1:4" x14ac:dyDescent="0.2">
      <c r="A2178" s="4"/>
      <c r="B2178"/>
      <c r="C2178"/>
      <c r="D2178"/>
    </row>
    <row r="2179" spans="1:4" x14ac:dyDescent="0.2">
      <c r="A2179" s="4"/>
      <c r="B2179"/>
      <c r="C2179"/>
      <c r="D2179"/>
    </row>
    <row r="2180" spans="1:4" x14ac:dyDescent="0.2">
      <c r="A2180" s="4"/>
      <c r="B2180"/>
      <c r="C2180"/>
      <c r="D2180"/>
    </row>
    <row r="2181" spans="1:4" x14ac:dyDescent="0.2">
      <c r="A2181" s="4"/>
      <c r="B2181"/>
      <c r="C2181"/>
      <c r="D2181"/>
    </row>
    <row r="2182" spans="1:4" x14ac:dyDescent="0.2">
      <c r="A2182" s="4"/>
      <c r="B2182"/>
      <c r="C2182"/>
      <c r="D2182"/>
    </row>
    <row r="2183" spans="1:4" x14ac:dyDescent="0.2">
      <c r="A2183" s="4"/>
      <c r="B2183"/>
      <c r="C2183"/>
      <c r="D2183"/>
    </row>
    <row r="2184" spans="1:4" x14ac:dyDescent="0.2">
      <c r="A2184" s="4"/>
      <c r="B2184"/>
      <c r="C2184"/>
      <c r="D2184"/>
    </row>
    <row r="2185" spans="1:4" x14ac:dyDescent="0.2">
      <c r="A2185" s="4"/>
      <c r="B2185"/>
      <c r="C2185"/>
      <c r="D2185"/>
    </row>
    <row r="2186" spans="1:4" x14ac:dyDescent="0.2">
      <c r="A2186" s="4"/>
      <c r="B2186"/>
      <c r="C2186"/>
      <c r="D2186"/>
    </row>
    <row r="2187" spans="1:4" x14ac:dyDescent="0.2">
      <c r="A2187" s="4"/>
      <c r="B2187"/>
      <c r="C2187"/>
      <c r="D2187"/>
    </row>
    <row r="2188" spans="1:4" x14ac:dyDescent="0.2">
      <c r="A2188" s="4"/>
      <c r="B2188"/>
      <c r="C2188"/>
      <c r="D2188"/>
    </row>
    <row r="2189" spans="1:4" x14ac:dyDescent="0.2">
      <c r="A2189" s="4"/>
      <c r="B2189"/>
      <c r="C2189"/>
      <c r="D2189"/>
    </row>
    <row r="2190" spans="1:4" x14ac:dyDescent="0.2">
      <c r="A2190" s="4"/>
      <c r="B2190"/>
      <c r="C2190"/>
      <c r="D2190"/>
    </row>
    <row r="2191" spans="1:4" x14ac:dyDescent="0.2">
      <c r="A2191" s="4"/>
      <c r="B2191"/>
      <c r="C2191"/>
      <c r="D2191"/>
    </row>
    <row r="2192" spans="1:4" x14ac:dyDescent="0.2">
      <c r="A2192" s="4"/>
      <c r="B2192"/>
      <c r="C2192"/>
      <c r="D2192"/>
    </row>
    <row r="2193" spans="1:4" x14ac:dyDescent="0.2">
      <c r="A2193" s="4"/>
      <c r="B2193"/>
      <c r="C2193"/>
      <c r="D2193"/>
    </row>
    <row r="2194" spans="1:4" x14ac:dyDescent="0.2">
      <c r="A2194" s="4"/>
      <c r="B2194"/>
      <c r="C2194"/>
      <c r="D2194"/>
    </row>
    <row r="2195" spans="1:4" x14ac:dyDescent="0.2">
      <c r="A2195" s="4"/>
      <c r="B2195"/>
      <c r="C2195"/>
      <c r="D2195"/>
    </row>
    <row r="2196" spans="1:4" x14ac:dyDescent="0.2">
      <c r="A2196" s="4"/>
      <c r="B2196"/>
      <c r="C2196"/>
      <c r="D2196"/>
    </row>
    <row r="2197" spans="1:4" x14ac:dyDescent="0.2">
      <c r="A2197" s="4"/>
      <c r="B2197"/>
      <c r="C2197"/>
      <c r="D2197"/>
    </row>
    <row r="2198" spans="1:4" x14ac:dyDescent="0.2">
      <c r="A2198" s="4"/>
      <c r="B2198"/>
      <c r="C2198"/>
      <c r="D2198"/>
    </row>
    <row r="2199" spans="1:4" x14ac:dyDescent="0.2">
      <c r="A2199" s="4"/>
      <c r="B2199"/>
      <c r="C2199"/>
      <c r="D2199"/>
    </row>
    <row r="2200" spans="1:4" x14ac:dyDescent="0.2">
      <c r="A2200" s="4"/>
      <c r="B2200"/>
      <c r="C2200"/>
      <c r="D2200"/>
    </row>
    <row r="2201" spans="1:4" x14ac:dyDescent="0.2">
      <c r="A2201" s="4"/>
      <c r="B2201"/>
      <c r="C2201"/>
      <c r="D2201"/>
    </row>
    <row r="2202" spans="1:4" x14ac:dyDescent="0.2">
      <c r="A2202" s="4"/>
      <c r="B2202"/>
      <c r="C2202"/>
      <c r="D2202"/>
    </row>
    <row r="2203" spans="1:4" x14ac:dyDescent="0.2">
      <c r="A2203" s="4"/>
      <c r="B2203"/>
      <c r="C2203"/>
      <c r="D2203"/>
    </row>
    <row r="2204" spans="1:4" x14ac:dyDescent="0.2">
      <c r="A2204" s="4"/>
      <c r="B2204"/>
      <c r="C2204"/>
      <c r="D2204"/>
    </row>
    <row r="2205" spans="1:4" x14ac:dyDescent="0.2">
      <c r="A2205" s="4"/>
      <c r="B2205"/>
      <c r="C2205"/>
      <c r="D2205"/>
    </row>
    <row r="2206" spans="1:4" x14ac:dyDescent="0.2">
      <c r="A2206" s="4"/>
      <c r="B2206"/>
      <c r="C2206"/>
      <c r="D2206"/>
    </row>
    <row r="2207" spans="1:4" x14ac:dyDescent="0.2">
      <c r="A2207" s="4"/>
      <c r="B2207"/>
      <c r="C2207"/>
      <c r="D2207"/>
    </row>
    <row r="2208" spans="1:4" x14ac:dyDescent="0.2">
      <c r="A2208" s="4"/>
      <c r="B2208"/>
      <c r="C2208"/>
      <c r="D2208"/>
    </row>
    <row r="2209" spans="1:4" x14ac:dyDescent="0.2">
      <c r="A2209" s="4"/>
      <c r="B2209"/>
      <c r="C2209"/>
      <c r="D2209"/>
    </row>
    <row r="2210" spans="1:4" x14ac:dyDescent="0.2">
      <c r="A2210" s="4"/>
      <c r="B2210"/>
      <c r="C2210"/>
      <c r="D2210"/>
    </row>
    <row r="2211" spans="1:4" x14ac:dyDescent="0.2">
      <c r="A2211" s="4"/>
      <c r="B2211"/>
      <c r="C2211"/>
      <c r="D2211"/>
    </row>
    <row r="2212" spans="1:4" x14ac:dyDescent="0.2">
      <c r="A2212" s="4"/>
      <c r="B2212"/>
      <c r="C2212"/>
      <c r="D2212"/>
    </row>
    <row r="2213" spans="1:4" x14ac:dyDescent="0.2">
      <c r="A2213" s="4"/>
      <c r="B2213"/>
      <c r="C2213"/>
      <c r="D2213"/>
    </row>
    <row r="2214" spans="1:4" x14ac:dyDescent="0.2">
      <c r="A2214" s="4"/>
      <c r="B2214"/>
      <c r="C2214"/>
      <c r="D2214"/>
    </row>
    <row r="2215" spans="1:4" x14ac:dyDescent="0.2">
      <c r="A2215" s="4"/>
      <c r="B2215"/>
      <c r="C2215"/>
      <c r="D2215"/>
    </row>
    <row r="2216" spans="1:4" x14ac:dyDescent="0.2">
      <c r="A2216" s="4"/>
      <c r="B2216"/>
      <c r="C2216"/>
      <c r="D2216"/>
    </row>
    <row r="2217" spans="1:4" x14ac:dyDescent="0.2">
      <c r="A2217" s="4"/>
      <c r="B2217"/>
      <c r="C2217"/>
      <c r="D2217"/>
    </row>
    <row r="2218" spans="1:4" x14ac:dyDescent="0.2">
      <c r="A2218" s="4"/>
      <c r="B2218"/>
      <c r="C2218"/>
      <c r="D2218"/>
    </row>
    <row r="2219" spans="1:4" x14ac:dyDescent="0.2">
      <c r="A2219" s="4"/>
      <c r="B2219"/>
      <c r="C2219"/>
      <c r="D2219"/>
    </row>
    <row r="2220" spans="1:4" x14ac:dyDescent="0.2">
      <c r="A2220" s="4"/>
      <c r="B2220"/>
      <c r="C2220"/>
      <c r="D2220"/>
    </row>
    <row r="2221" spans="1:4" x14ac:dyDescent="0.2">
      <c r="A2221" s="4"/>
      <c r="B2221"/>
      <c r="C2221"/>
      <c r="D2221"/>
    </row>
    <row r="2222" spans="1:4" x14ac:dyDescent="0.2">
      <c r="A2222" s="4"/>
      <c r="B2222"/>
      <c r="C2222"/>
      <c r="D2222"/>
    </row>
    <row r="2223" spans="1:4" x14ac:dyDescent="0.2">
      <c r="A2223" s="4"/>
      <c r="B2223"/>
      <c r="C2223"/>
      <c r="D2223"/>
    </row>
    <row r="2224" spans="1:4" x14ac:dyDescent="0.2">
      <c r="A2224" s="4"/>
      <c r="B2224"/>
      <c r="C2224"/>
      <c r="D2224"/>
    </row>
    <row r="2225" spans="1:4" x14ac:dyDescent="0.2">
      <c r="A2225" s="4"/>
      <c r="B2225"/>
      <c r="C2225"/>
      <c r="D2225"/>
    </row>
    <row r="2226" spans="1:4" x14ac:dyDescent="0.2">
      <c r="A2226" s="4"/>
      <c r="B2226"/>
      <c r="C2226"/>
      <c r="D2226"/>
    </row>
    <row r="2227" spans="1:4" x14ac:dyDescent="0.2">
      <c r="A2227" s="4"/>
      <c r="B2227"/>
      <c r="C2227"/>
      <c r="D2227"/>
    </row>
    <row r="2228" spans="1:4" x14ac:dyDescent="0.2">
      <c r="A2228" s="4"/>
      <c r="B2228"/>
      <c r="C2228"/>
      <c r="D2228"/>
    </row>
    <row r="2229" spans="1:4" x14ac:dyDescent="0.2">
      <c r="A2229" s="4"/>
      <c r="B2229"/>
      <c r="C2229"/>
      <c r="D2229"/>
    </row>
    <row r="2230" spans="1:4" x14ac:dyDescent="0.2">
      <c r="A2230" s="4"/>
      <c r="B2230"/>
      <c r="C2230"/>
      <c r="D2230"/>
    </row>
    <row r="2231" spans="1:4" x14ac:dyDescent="0.2">
      <c r="A2231" s="4"/>
      <c r="B2231"/>
      <c r="C2231"/>
      <c r="D2231"/>
    </row>
    <row r="2232" spans="1:4" x14ac:dyDescent="0.2">
      <c r="A2232" s="4"/>
      <c r="B2232"/>
      <c r="C2232"/>
      <c r="D2232"/>
    </row>
    <row r="2233" spans="1:4" x14ac:dyDescent="0.2">
      <c r="A2233" s="4"/>
      <c r="B2233"/>
      <c r="C2233"/>
      <c r="D2233"/>
    </row>
    <row r="2234" spans="1:4" x14ac:dyDescent="0.2">
      <c r="A2234" s="4"/>
      <c r="B2234"/>
      <c r="C2234"/>
      <c r="D2234"/>
    </row>
    <row r="2235" spans="1:4" x14ac:dyDescent="0.2">
      <c r="A2235" s="4"/>
      <c r="B2235"/>
      <c r="C2235"/>
      <c r="D2235"/>
    </row>
    <row r="2236" spans="1:4" x14ac:dyDescent="0.2">
      <c r="A2236" s="4"/>
      <c r="B2236"/>
      <c r="C2236"/>
      <c r="D2236"/>
    </row>
    <row r="2237" spans="1:4" x14ac:dyDescent="0.2">
      <c r="A2237" s="4"/>
      <c r="B2237"/>
      <c r="C2237"/>
      <c r="D2237"/>
    </row>
    <row r="2238" spans="1:4" x14ac:dyDescent="0.2">
      <c r="A2238" s="4"/>
      <c r="B2238"/>
      <c r="C2238"/>
      <c r="D2238"/>
    </row>
    <row r="2239" spans="1:4" x14ac:dyDescent="0.2">
      <c r="A2239" s="4"/>
      <c r="B2239"/>
      <c r="C2239"/>
      <c r="D2239"/>
    </row>
    <row r="2240" spans="1:4" x14ac:dyDescent="0.2">
      <c r="A2240" s="4"/>
      <c r="B2240"/>
      <c r="C2240"/>
      <c r="D2240"/>
    </row>
    <row r="2241" spans="1:4" x14ac:dyDescent="0.2">
      <c r="A2241" s="4"/>
      <c r="B2241"/>
      <c r="C2241"/>
      <c r="D2241"/>
    </row>
    <row r="2242" spans="1:4" x14ac:dyDescent="0.2">
      <c r="A2242" s="4"/>
      <c r="B2242"/>
      <c r="C2242"/>
      <c r="D2242"/>
    </row>
    <row r="2243" spans="1:4" x14ac:dyDescent="0.2">
      <c r="A2243" s="4"/>
      <c r="B2243"/>
      <c r="C2243"/>
      <c r="D2243"/>
    </row>
    <row r="2244" spans="1:4" x14ac:dyDescent="0.2">
      <c r="A2244" s="4"/>
      <c r="B2244"/>
      <c r="C2244"/>
      <c r="D2244"/>
    </row>
    <row r="2245" spans="1:4" x14ac:dyDescent="0.2">
      <c r="A2245" s="4"/>
      <c r="B2245"/>
      <c r="C2245"/>
      <c r="D2245"/>
    </row>
    <row r="2246" spans="1:4" x14ac:dyDescent="0.2">
      <c r="A2246" s="4"/>
      <c r="B2246"/>
      <c r="C2246"/>
      <c r="D2246"/>
    </row>
    <row r="2247" spans="1:4" x14ac:dyDescent="0.2">
      <c r="A2247" s="4"/>
      <c r="B2247"/>
      <c r="C2247"/>
      <c r="D2247"/>
    </row>
    <row r="2248" spans="1:4" x14ac:dyDescent="0.2">
      <c r="A2248" s="4"/>
      <c r="B2248"/>
      <c r="C2248"/>
      <c r="D2248"/>
    </row>
    <row r="2249" spans="1:4" x14ac:dyDescent="0.2">
      <c r="A2249" s="4"/>
      <c r="B2249"/>
      <c r="C2249"/>
      <c r="D2249"/>
    </row>
    <row r="2250" spans="1:4" x14ac:dyDescent="0.2">
      <c r="A2250" s="4"/>
      <c r="B2250"/>
      <c r="C2250"/>
      <c r="D2250"/>
    </row>
    <row r="2251" spans="1:4" x14ac:dyDescent="0.2">
      <c r="A2251" s="4"/>
      <c r="B2251"/>
      <c r="C2251"/>
      <c r="D2251"/>
    </row>
    <row r="2252" spans="1:4" x14ac:dyDescent="0.2">
      <c r="A2252" s="4"/>
      <c r="B2252"/>
      <c r="C2252"/>
      <c r="D2252"/>
    </row>
    <row r="2253" spans="1:4" x14ac:dyDescent="0.2">
      <c r="A2253" s="4"/>
      <c r="B2253"/>
      <c r="C2253"/>
      <c r="D2253"/>
    </row>
    <row r="2254" spans="1:4" x14ac:dyDescent="0.2">
      <c r="A2254" s="4"/>
      <c r="B2254"/>
      <c r="C2254"/>
      <c r="D2254"/>
    </row>
    <row r="2255" spans="1:4" x14ac:dyDescent="0.2">
      <c r="A2255" s="4"/>
      <c r="B2255"/>
      <c r="C2255"/>
      <c r="D2255"/>
    </row>
    <row r="2256" spans="1:4" x14ac:dyDescent="0.2">
      <c r="A2256" s="4"/>
      <c r="B2256"/>
      <c r="C2256"/>
      <c r="D2256"/>
    </row>
    <row r="2257" spans="1:4" x14ac:dyDescent="0.2">
      <c r="A2257" s="4"/>
      <c r="B2257"/>
      <c r="C2257"/>
      <c r="D2257"/>
    </row>
    <row r="2258" spans="1:4" x14ac:dyDescent="0.2">
      <c r="A2258" s="4"/>
      <c r="B2258"/>
      <c r="C2258"/>
      <c r="D2258"/>
    </row>
    <row r="2259" spans="1:4" x14ac:dyDescent="0.2">
      <c r="A2259" s="4"/>
      <c r="B2259"/>
      <c r="C2259"/>
      <c r="D2259"/>
    </row>
    <row r="2260" spans="1:4" x14ac:dyDescent="0.2">
      <c r="A2260" s="4"/>
      <c r="B2260"/>
      <c r="C2260"/>
      <c r="D2260"/>
    </row>
    <row r="2261" spans="1:4" x14ac:dyDescent="0.2">
      <c r="A2261" s="4"/>
      <c r="B2261"/>
      <c r="C2261"/>
      <c r="D2261"/>
    </row>
    <row r="2262" spans="1:4" x14ac:dyDescent="0.2">
      <c r="A2262" s="4"/>
      <c r="B2262"/>
      <c r="C2262"/>
      <c r="D2262"/>
    </row>
    <row r="2263" spans="1:4" x14ac:dyDescent="0.2">
      <c r="A2263" s="4"/>
      <c r="B2263"/>
      <c r="C2263"/>
      <c r="D2263"/>
    </row>
    <row r="2264" spans="1:4" x14ac:dyDescent="0.2">
      <c r="A2264" s="4"/>
      <c r="B2264"/>
      <c r="C2264"/>
      <c r="D2264"/>
    </row>
    <row r="2265" spans="1:4" x14ac:dyDescent="0.2">
      <c r="A2265" s="4"/>
      <c r="B2265"/>
      <c r="C2265"/>
      <c r="D2265"/>
    </row>
    <row r="2266" spans="1:4" x14ac:dyDescent="0.2">
      <c r="A2266" s="4"/>
      <c r="B2266"/>
      <c r="C2266"/>
      <c r="D2266"/>
    </row>
    <row r="2267" spans="1:4" x14ac:dyDescent="0.2">
      <c r="A2267" s="4"/>
      <c r="B2267"/>
      <c r="C2267"/>
      <c r="D2267"/>
    </row>
    <row r="2268" spans="1:4" x14ac:dyDescent="0.2">
      <c r="A2268" s="4"/>
      <c r="B2268"/>
      <c r="C2268"/>
      <c r="D2268"/>
    </row>
    <row r="2269" spans="1:4" x14ac:dyDescent="0.2">
      <c r="A2269" s="4"/>
      <c r="B2269"/>
      <c r="C2269"/>
      <c r="D2269"/>
    </row>
    <row r="2270" spans="1:4" x14ac:dyDescent="0.2">
      <c r="A2270" s="4"/>
      <c r="B2270"/>
      <c r="C2270"/>
      <c r="D2270"/>
    </row>
    <row r="2271" spans="1:4" x14ac:dyDescent="0.2">
      <c r="A2271" s="4"/>
      <c r="B2271"/>
      <c r="C2271"/>
      <c r="D2271"/>
    </row>
    <row r="2272" spans="1:4" x14ac:dyDescent="0.2">
      <c r="A2272" s="4"/>
      <c r="B2272"/>
      <c r="C2272"/>
      <c r="D2272"/>
    </row>
    <row r="2273" spans="1:4" x14ac:dyDescent="0.2">
      <c r="A2273" s="4"/>
      <c r="B2273"/>
      <c r="C2273"/>
      <c r="D2273"/>
    </row>
    <row r="2274" spans="1:4" x14ac:dyDescent="0.2">
      <c r="A2274" s="4"/>
      <c r="B2274"/>
      <c r="C2274"/>
      <c r="D2274"/>
    </row>
    <row r="2275" spans="1:4" x14ac:dyDescent="0.2">
      <c r="A2275" s="4"/>
      <c r="B2275"/>
      <c r="C2275"/>
      <c r="D2275"/>
    </row>
    <row r="2276" spans="1:4" x14ac:dyDescent="0.2">
      <c r="A2276" s="4"/>
      <c r="B2276"/>
      <c r="C2276"/>
      <c r="D2276"/>
    </row>
    <row r="2277" spans="1:4" x14ac:dyDescent="0.2">
      <c r="A2277" s="4"/>
      <c r="B2277"/>
      <c r="C2277"/>
      <c r="D2277"/>
    </row>
    <row r="2278" spans="1:4" x14ac:dyDescent="0.2">
      <c r="A2278" s="4"/>
      <c r="B2278"/>
      <c r="C2278"/>
      <c r="D2278"/>
    </row>
    <row r="2279" spans="1:4" x14ac:dyDescent="0.2">
      <c r="A2279" s="4"/>
      <c r="B2279"/>
      <c r="C2279"/>
      <c r="D2279"/>
    </row>
    <row r="2280" spans="1:4" x14ac:dyDescent="0.2">
      <c r="A2280" s="4"/>
      <c r="B2280"/>
      <c r="C2280"/>
      <c r="D2280"/>
    </row>
    <row r="2281" spans="1:4" x14ac:dyDescent="0.2">
      <c r="A2281" s="4"/>
      <c r="B2281"/>
      <c r="C2281"/>
      <c r="D2281"/>
    </row>
    <row r="2282" spans="1:4" x14ac:dyDescent="0.2">
      <c r="A2282" s="4"/>
      <c r="B2282"/>
      <c r="C2282"/>
      <c r="D2282"/>
    </row>
    <row r="2283" spans="1:4" x14ac:dyDescent="0.2">
      <c r="A2283" s="4"/>
      <c r="B2283"/>
      <c r="C2283"/>
      <c r="D2283"/>
    </row>
    <row r="2284" spans="1:4" x14ac:dyDescent="0.2">
      <c r="A2284" s="4"/>
      <c r="B2284"/>
      <c r="C2284"/>
      <c r="D2284"/>
    </row>
    <row r="2285" spans="1:4" x14ac:dyDescent="0.2">
      <c r="A2285" s="4"/>
      <c r="B2285"/>
      <c r="C2285"/>
      <c r="D2285"/>
    </row>
    <row r="2286" spans="1:4" x14ac:dyDescent="0.2">
      <c r="A2286" s="4"/>
      <c r="B2286"/>
      <c r="C2286"/>
      <c r="D2286"/>
    </row>
    <row r="2287" spans="1:4" x14ac:dyDescent="0.2">
      <c r="A2287" s="4"/>
      <c r="B2287"/>
      <c r="C2287"/>
      <c r="D2287"/>
    </row>
    <row r="2288" spans="1:4" x14ac:dyDescent="0.2">
      <c r="A2288" s="4"/>
      <c r="B2288"/>
      <c r="C2288"/>
      <c r="D2288"/>
    </row>
    <row r="2289" spans="1:4" x14ac:dyDescent="0.2">
      <c r="A2289" s="4"/>
      <c r="B2289"/>
      <c r="C2289"/>
      <c r="D2289"/>
    </row>
    <row r="2290" spans="1:4" x14ac:dyDescent="0.2">
      <c r="A2290" s="4"/>
      <c r="B2290"/>
      <c r="C2290"/>
      <c r="D2290"/>
    </row>
    <row r="2291" spans="1:4" x14ac:dyDescent="0.2">
      <c r="A2291" s="4"/>
      <c r="B2291"/>
      <c r="C2291"/>
      <c r="D2291"/>
    </row>
    <row r="2292" spans="1:4" x14ac:dyDescent="0.2">
      <c r="A2292" s="4"/>
      <c r="B2292"/>
      <c r="C2292"/>
      <c r="D2292"/>
    </row>
    <row r="2293" spans="1:4" x14ac:dyDescent="0.2">
      <c r="A2293" s="4"/>
      <c r="B2293"/>
      <c r="C2293"/>
      <c r="D2293"/>
    </row>
    <row r="2294" spans="1:4" x14ac:dyDescent="0.2">
      <c r="A2294" s="4"/>
      <c r="B2294"/>
      <c r="C2294"/>
      <c r="D2294"/>
    </row>
    <row r="2295" spans="1:4" x14ac:dyDescent="0.2">
      <c r="A2295" s="4"/>
      <c r="B2295"/>
      <c r="C2295"/>
      <c r="D2295"/>
    </row>
    <row r="2296" spans="1:4" x14ac:dyDescent="0.2">
      <c r="A2296" s="4"/>
      <c r="B2296"/>
      <c r="C2296"/>
      <c r="D2296"/>
    </row>
    <row r="2297" spans="1:4" x14ac:dyDescent="0.2">
      <c r="A2297" s="4"/>
      <c r="B2297"/>
      <c r="C2297"/>
      <c r="D2297"/>
    </row>
    <row r="2298" spans="1:4" x14ac:dyDescent="0.2">
      <c r="A2298" s="4"/>
      <c r="B2298"/>
      <c r="C2298"/>
      <c r="D2298"/>
    </row>
    <row r="2299" spans="1:4" x14ac:dyDescent="0.2">
      <c r="A2299" s="4"/>
      <c r="B2299"/>
      <c r="C2299"/>
      <c r="D2299"/>
    </row>
    <row r="2300" spans="1:4" x14ac:dyDescent="0.2">
      <c r="A2300" s="4"/>
      <c r="B2300"/>
      <c r="C2300"/>
      <c r="D2300"/>
    </row>
    <row r="2301" spans="1:4" x14ac:dyDescent="0.2">
      <c r="A2301" s="4"/>
      <c r="B2301"/>
      <c r="C2301"/>
      <c r="D2301"/>
    </row>
    <row r="2302" spans="1:4" x14ac:dyDescent="0.2">
      <c r="A2302" s="4"/>
      <c r="B2302"/>
      <c r="C2302"/>
      <c r="D2302"/>
    </row>
    <row r="2303" spans="1:4" x14ac:dyDescent="0.2">
      <c r="A2303" s="4"/>
      <c r="B2303"/>
      <c r="C2303"/>
      <c r="D2303"/>
    </row>
    <row r="2304" spans="1:4" x14ac:dyDescent="0.2">
      <c r="A2304" s="4"/>
      <c r="B2304"/>
      <c r="C2304"/>
      <c r="D2304"/>
    </row>
    <row r="2305" spans="1:4" x14ac:dyDescent="0.2">
      <c r="A2305" s="4"/>
      <c r="B2305"/>
      <c r="C2305"/>
      <c r="D2305"/>
    </row>
    <row r="2306" spans="1:4" x14ac:dyDescent="0.2">
      <c r="A2306" s="4"/>
      <c r="B2306"/>
      <c r="C2306"/>
      <c r="D2306"/>
    </row>
    <row r="2307" spans="1:4" x14ac:dyDescent="0.2">
      <c r="A2307" s="4"/>
      <c r="B2307"/>
      <c r="C2307"/>
      <c r="D2307"/>
    </row>
    <row r="2308" spans="1:4" x14ac:dyDescent="0.2">
      <c r="A2308" s="4"/>
      <c r="B2308"/>
      <c r="C2308"/>
      <c r="D2308"/>
    </row>
    <row r="2309" spans="1:4" x14ac:dyDescent="0.2">
      <c r="A2309" s="4"/>
      <c r="B2309"/>
      <c r="C2309"/>
      <c r="D2309"/>
    </row>
    <row r="2310" spans="1:4" x14ac:dyDescent="0.2">
      <c r="A2310" s="4"/>
      <c r="B2310"/>
      <c r="C2310"/>
      <c r="D2310"/>
    </row>
    <row r="2311" spans="1:4" x14ac:dyDescent="0.2">
      <c r="A2311" s="4"/>
      <c r="B2311"/>
      <c r="C2311"/>
      <c r="D2311"/>
    </row>
    <row r="2312" spans="1:4" x14ac:dyDescent="0.2">
      <c r="A2312" s="4"/>
      <c r="B2312"/>
      <c r="C2312"/>
      <c r="D2312"/>
    </row>
    <row r="2313" spans="1:4" x14ac:dyDescent="0.2">
      <c r="A2313" s="4"/>
      <c r="B2313"/>
      <c r="C2313"/>
      <c r="D2313"/>
    </row>
    <row r="2314" spans="1:4" x14ac:dyDescent="0.2">
      <c r="A2314" s="4"/>
      <c r="B2314"/>
      <c r="C2314"/>
      <c r="D2314"/>
    </row>
    <row r="2315" spans="1:4" x14ac:dyDescent="0.2">
      <c r="A2315" s="4"/>
      <c r="B2315"/>
      <c r="C2315"/>
      <c r="D2315"/>
    </row>
    <row r="2316" spans="1:4" x14ac:dyDescent="0.2">
      <c r="A2316" s="4"/>
      <c r="B2316"/>
      <c r="C2316"/>
      <c r="D2316"/>
    </row>
    <row r="2317" spans="1:4" x14ac:dyDescent="0.2">
      <c r="A2317" s="4"/>
      <c r="B2317"/>
      <c r="C2317"/>
      <c r="D2317"/>
    </row>
    <row r="2318" spans="1:4" x14ac:dyDescent="0.2">
      <c r="A2318" s="4"/>
      <c r="B2318"/>
      <c r="C2318"/>
      <c r="D2318"/>
    </row>
    <row r="2319" spans="1:4" x14ac:dyDescent="0.2">
      <c r="A2319" s="4"/>
      <c r="B2319"/>
      <c r="C2319"/>
      <c r="D2319"/>
    </row>
    <row r="2320" spans="1:4" x14ac:dyDescent="0.2">
      <c r="A2320" s="4"/>
      <c r="B2320"/>
      <c r="C2320"/>
      <c r="D2320"/>
    </row>
    <row r="2321" spans="1:4" x14ac:dyDescent="0.2">
      <c r="A2321" s="4"/>
      <c r="B2321"/>
      <c r="C2321"/>
      <c r="D2321"/>
    </row>
    <row r="2322" spans="1:4" x14ac:dyDescent="0.2">
      <c r="A2322" s="4"/>
      <c r="B2322"/>
      <c r="C2322"/>
      <c r="D2322"/>
    </row>
    <row r="2323" spans="1:4" x14ac:dyDescent="0.2">
      <c r="A2323" s="4"/>
      <c r="B2323"/>
      <c r="C2323"/>
      <c r="D2323"/>
    </row>
    <row r="2324" spans="1:4" x14ac:dyDescent="0.2">
      <c r="A2324" s="4"/>
      <c r="B2324"/>
      <c r="C2324"/>
      <c r="D2324"/>
    </row>
    <row r="2325" spans="1:4" x14ac:dyDescent="0.2">
      <c r="A2325" s="4"/>
      <c r="B2325"/>
      <c r="C2325"/>
      <c r="D2325"/>
    </row>
    <row r="2326" spans="1:4" x14ac:dyDescent="0.2">
      <c r="A2326" s="4"/>
      <c r="B2326"/>
      <c r="C2326"/>
      <c r="D2326"/>
    </row>
    <row r="2327" spans="1:4" x14ac:dyDescent="0.2">
      <c r="A2327" s="4"/>
      <c r="B2327"/>
      <c r="C2327"/>
      <c r="D2327"/>
    </row>
    <row r="2328" spans="1:4" x14ac:dyDescent="0.2">
      <c r="A2328" s="4"/>
      <c r="B2328"/>
      <c r="C2328"/>
      <c r="D2328"/>
    </row>
    <row r="2329" spans="1:4" x14ac:dyDescent="0.2">
      <c r="A2329" s="4"/>
      <c r="B2329"/>
      <c r="C2329"/>
      <c r="D2329"/>
    </row>
    <row r="2330" spans="1:4" x14ac:dyDescent="0.2">
      <c r="A2330" s="4"/>
      <c r="B2330"/>
      <c r="C2330"/>
      <c r="D2330"/>
    </row>
    <row r="2331" spans="1:4" x14ac:dyDescent="0.2">
      <c r="A2331" s="4"/>
      <c r="B2331"/>
      <c r="C2331"/>
      <c r="D2331"/>
    </row>
    <row r="2332" spans="1:4" x14ac:dyDescent="0.2">
      <c r="A2332" s="4"/>
      <c r="B2332"/>
      <c r="C2332"/>
      <c r="D2332"/>
    </row>
    <row r="2333" spans="1:4" x14ac:dyDescent="0.2">
      <c r="A2333" s="4"/>
      <c r="B2333"/>
      <c r="C2333"/>
      <c r="D2333"/>
    </row>
    <row r="2334" spans="1:4" x14ac:dyDescent="0.2">
      <c r="A2334" s="4"/>
      <c r="B2334"/>
      <c r="C2334"/>
      <c r="D2334"/>
    </row>
    <row r="2335" spans="1:4" x14ac:dyDescent="0.2">
      <c r="A2335" s="4"/>
      <c r="B2335"/>
      <c r="C2335"/>
      <c r="D2335"/>
    </row>
    <row r="2336" spans="1:4" x14ac:dyDescent="0.2">
      <c r="A2336" s="4"/>
      <c r="B2336"/>
      <c r="C2336"/>
      <c r="D2336"/>
    </row>
    <row r="2337" spans="1:4" x14ac:dyDescent="0.2">
      <c r="A2337" s="4"/>
      <c r="B2337"/>
      <c r="C2337"/>
      <c r="D2337"/>
    </row>
    <row r="2338" spans="1:4" x14ac:dyDescent="0.2">
      <c r="A2338" s="4"/>
      <c r="B2338"/>
      <c r="C2338"/>
      <c r="D2338"/>
    </row>
    <row r="2339" spans="1:4" x14ac:dyDescent="0.2">
      <c r="A2339" s="4"/>
      <c r="B2339"/>
      <c r="C2339"/>
      <c r="D2339"/>
    </row>
    <row r="2340" spans="1:4" x14ac:dyDescent="0.2">
      <c r="A2340" s="4"/>
      <c r="B2340"/>
      <c r="C2340"/>
      <c r="D2340"/>
    </row>
    <row r="2341" spans="1:4" x14ac:dyDescent="0.2">
      <c r="A2341" s="4"/>
      <c r="B2341"/>
      <c r="C2341"/>
      <c r="D2341"/>
    </row>
    <row r="2342" spans="1:4" x14ac:dyDescent="0.2">
      <c r="A2342" s="4"/>
      <c r="B2342"/>
      <c r="C2342"/>
      <c r="D2342"/>
    </row>
    <row r="2343" spans="1:4" x14ac:dyDescent="0.2">
      <c r="A2343" s="4"/>
      <c r="B2343"/>
      <c r="C2343"/>
      <c r="D2343"/>
    </row>
    <row r="2344" spans="1:4" x14ac:dyDescent="0.2">
      <c r="A2344" s="4"/>
      <c r="B2344"/>
      <c r="C2344"/>
      <c r="D2344"/>
    </row>
    <row r="2345" spans="1:4" x14ac:dyDescent="0.2">
      <c r="A2345" s="4"/>
      <c r="B2345"/>
      <c r="C2345"/>
      <c r="D2345"/>
    </row>
    <row r="2346" spans="1:4" x14ac:dyDescent="0.2">
      <c r="A2346" s="4"/>
      <c r="B2346"/>
      <c r="C2346"/>
      <c r="D2346"/>
    </row>
    <row r="2347" spans="1:4" x14ac:dyDescent="0.2">
      <c r="A2347" s="4"/>
      <c r="B2347"/>
      <c r="C2347"/>
      <c r="D2347"/>
    </row>
    <row r="2348" spans="1:4" x14ac:dyDescent="0.2">
      <c r="A2348" s="4"/>
      <c r="B2348"/>
      <c r="C2348"/>
      <c r="D2348"/>
    </row>
    <row r="2349" spans="1:4" x14ac:dyDescent="0.2">
      <c r="A2349" s="4"/>
      <c r="B2349"/>
      <c r="C2349"/>
      <c r="D2349"/>
    </row>
    <row r="2350" spans="1:4" x14ac:dyDescent="0.2">
      <c r="A2350" s="4"/>
      <c r="B2350"/>
      <c r="C2350"/>
      <c r="D2350"/>
    </row>
    <row r="2351" spans="1:4" x14ac:dyDescent="0.2">
      <c r="A2351" s="4"/>
      <c r="B2351"/>
      <c r="C2351"/>
      <c r="D2351"/>
    </row>
    <row r="2352" spans="1:4" x14ac:dyDescent="0.2">
      <c r="A2352" s="4"/>
      <c r="B2352"/>
      <c r="C2352"/>
      <c r="D2352"/>
    </row>
    <row r="2353" spans="1:4" x14ac:dyDescent="0.2">
      <c r="A2353" s="4"/>
      <c r="B2353"/>
      <c r="C2353"/>
      <c r="D2353"/>
    </row>
    <row r="2354" spans="1:4" x14ac:dyDescent="0.2">
      <c r="A2354" s="4"/>
      <c r="B2354"/>
      <c r="C2354"/>
      <c r="D2354"/>
    </row>
    <row r="2355" spans="1:4" x14ac:dyDescent="0.2">
      <c r="A2355" s="4"/>
      <c r="B2355"/>
      <c r="C2355"/>
      <c r="D2355"/>
    </row>
    <row r="2356" spans="1:4" x14ac:dyDescent="0.2">
      <c r="A2356" s="4"/>
      <c r="B2356"/>
      <c r="C2356"/>
      <c r="D2356"/>
    </row>
    <row r="2357" spans="1:4" x14ac:dyDescent="0.2">
      <c r="A2357" s="4"/>
      <c r="B2357"/>
      <c r="C2357"/>
      <c r="D2357"/>
    </row>
    <row r="2358" spans="1:4" x14ac:dyDescent="0.2">
      <c r="A2358" s="4"/>
      <c r="B2358"/>
      <c r="C2358"/>
      <c r="D2358"/>
    </row>
    <row r="2359" spans="1:4" x14ac:dyDescent="0.2">
      <c r="A2359" s="4"/>
      <c r="B2359"/>
      <c r="C2359"/>
      <c r="D2359"/>
    </row>
    <row r="2360" spans="1:4" x14ac:dyDescent="0.2">
      <c r="A2360" s="4"/>
      <c r="B2360"/>
      <c r="C2360"/>
      <c r="D2360"/>
    </row>
    <row r="2361" spans="1:4" x14ac:dyDescent="0.2">
      <c r="A2361" s="4"/>
      <c r="B2361"/>
      <c r="C2361"/>
      <c r="D2361"/>
    </row>
    <row r="2362" spans="1:4" x14ac:dyDescent="0.2">
      <c r="A2362" s="4"/>
      <c r="B2362"/>
      <c r="C2362"/>
      <c r="D2362"/>
    </row>
    <row r="2363" spans="1:4" x14ac:dyDescent="0.2">
      <c r="A2363" s="4"/>
      <c r="B2363"/>
      <c r="C2363"/>
      <c r="D2363"/>
    </row>
    <row r="2364" spans="1:4" x14ac:dyDescent="0.2">
      <c r="A2364" s="4"/>
      <c r="B2364"/>
      <c r="C2364"/>
      <c r="D2364"/>
    </row>
    <row r="2365" spans="1:4" x14ac:dyDescent="0.2">
      <c r="A2365" s="4"/>
      <c r="B2365"/>
      <c r="C2365"/>
      <c r="D2365"/>
    </row>
    <row r="2366" spans="1:4" x14ac:dyDescent="0.2">
      <c r="A2366" s="4"/>
      <c r="B2366"/>
      <c r="C2366"/>
      <c r="D2366"/>
    </row>
    <row r="2367" spans="1:4" x14ac:dyDescent="0.2">
      <c r="A2367" s="4"/>
      <c r="B2367"/>
      <c r="C2367"/>
      <c r="D2367"/>
    </row>
    <row r="2368" spans="1:4" x14ac:dyDescent="0.2">
      <c r="A2368" s="4"/>
      <c r="B2368"/>
      <c r="C2368"/>
      <c r="D2368"/>
    </row>
    <row r="2369" spans="1:4" x14ac:dyDescent="0.2">
      <c r="A2369" s="4"/>
      <c r="B2369"/>
      <c r="C2369"/>
      <c r="D2369"/>
    </row>
    <row r="2370" spans="1:4" x14ac:dyDescent="0.2">
      <c r="A2370" s="4"/>
      <c r="B2370"/>
      <c r="C2370"/>
      <c r="D2370"/>
    </row>
    <row r="2371" spans="1:4" x14ac:dyDescent="0.2">
      <c r="A2371" s="4"/>
      <c r="B2371"/>
      <c r="C2371"/>
      <c r="D2371"/>
    </row>
    <row r="2372" spans="1:4" x14ac:dyDescent="0.2">
      <c r="A2372" s="4"/>
      <c r="B2372"/>
      <c r="C2372"/>
      <c r="D2372"/>
    </row>
    <row r="2373" spans="1:4" x14ac:dyDescent="0.2">
      <c r="A2373" s="4"/>
      <c r="B2373"/>
      <c r="C2373"/>
      <c r="D2373"/>
    </row>
    <row r="2374" spans="1:4" x14ac:dyDescent="0.2">
      <c r="A2374" s="4"/>
      <c r="B2374"/>
      <c r="C2374"/>
      <c r="D2374"/>
    </row>
    <row r="2375" spans="1:4" x14ac:dyDescent="0.2">
      <c r="A2375" s="4"/>
      <c r="B2375"/>
      <c r="C2375"/>
      <c r="D2375"/>
    </row>
    <row r="2376" spans="1:4" x14ac:dyDescent="0.2">
      <c r="A2376" s="4"/>
      <c r="B2376"/>
      <c r="C2376"/>
      <c r="D2376"/>
    </row>
    <row r="2377" spans="1:4" x14ac:dyDescent="0.2">
      <c r="A2377" s="4"/>
      <c r="B2377"/>
      <c r="C2377"/>
      <c r="D2377"/>
    </row>
    <row r="2378" spans="1:4" x14ac:dyDescent="0.2">
      <c r="A2378" s="4"/>
      <c r="B2378"/>
      <c r="C2378"/>
      <c r="D2378"/>
    </row>
    <row r="2379" spans="1:4" x14ac:dyDescent="0.2">
      <c r="A2379" s="4"/>
      <c r="B2379"/>
      <c r="C2379"/>
      <c r="D2379"/>
    </row>
    <row r="2380" spans="1:4" x14ac:dyDescent="0.2">
      <c r="A2380" s="4"/>
      <c r="B2380"/>
      <c r="C2380"/>
      <c r="D2380"/>
    </row>
    <row r="2381" spans="1:4" x14ac:dyDescent="0.2">
      <c r="A2381" s="4"/>
      <c r="B2381"/>
      <c r="C2381"/>
      <c r="D2381"/>
    </row>
    <row r="2382" spans="1:4" x14ac:dyDescent="0.2">
      <c r="A2382" s="4"/>
      <c r="B2382"/>
      <c r="C2382"/>
      <c r="D2382"/>
    </row>
    <row r="2383" spans="1:4" x14ac:dyDescent="0.2">
      <c r="A2383" s="4"/>
      <c r="B2383"/>
      <c r="C2383"/>
      <c r="D2383"/>
    </row>
    <row r="2384" spans="1:4" x14ac:dyDescent="0.2">
      <c r="A2384" s="4"/>
      <c r="B2384"/>
      <c r="C2384"/>
      <c r="D2384"/>
    </row>
    <row r="2385" spans="1:4" x14ac:dyDescent="0.2">
      <c r="A2385" s="4"/>
      <c r="B2385"/>
      <c r="C2385"/>
      <c r="D2385"/>
    </row>
    <row r="2386" spans="1:4" x14ac:dyDescent="0.2">
      <c r="A2386" s="4"/>
      <c r="B2386"/>
      <c r="C2386"/>
      <c r="D2386"/>
    </row>
    <row r="2387" spans="1:4" x14ac:dyDescent="0.2">
      <c r="A2387" s="4"/>
      <c r="B2387"/>
      <c r="C2387"/>
      <c r="D2387"/>
    </row>
    <row r="2388" spans="1:4" x14ac:dyDescent="0.2">
      <c r="A2388" s="4"/>
      <c r="B2388"/>
      <c r="C2388"/>
      <c r="D2388"/>
    </row>
    <row r="2389" spans="1:4" x14ac:dyDescent="0.2">
      <c r="A2389" s="4"/>
      <c r="B2389"/>
      <c r="C2389"/>
      <c r="D2389"/>
    </row>
    <row r="2390" spans="1:4" x14ac:dyDescent="0.2">
      <c r="A2390" s="4"/>
      <c r="B2390"/>
      <c r="C2390"/>
      <c r="D2390"/>
    </row>
    <row r="2391" spans="1:4" x14ac:dyDescent="0.2">
      <c r="A2391" s="4"/>
      <c r="B2391"/>
      <c r="C2391"/>
      <c r="D2391"/>
    </row>
    <row r="2392" spans="1:4" x14ac:dyDescent="0.2">
      <c r="A2392" s="4"/>
      <c r="B2392"/>
      <c r="C2392"/>
      <c r="D2392"/>
    </row>
    <row r="2393" spans="1:4" x14ac:dyDescent="0.2">
      <c r="A2393" s="4"/>
      <c r="B2393"/>
      <c r="C2393"/>
      <c r="D2393"/>
    </row>
    <row r="2394" spans="1:4" x14ac:dyDescent="0.2">
      <c r="A2394" s="4"/>
      <c r="B2394"/>
      <c r="C2394"/>
      <c r="D2394"/>
    </row>
    <row r="2395" spans="1:4" x14ac:dyDescent="0.2">
      <c r="A2395" s="4"/>
      <c r="B2395"/>
      <c r="C2395"/>
      <c r="D2395"/>
    </row>
    <row r="2396" spans="1:4" x14ac:dyDescent="0.2">
      <c r="A2396" s="4"/>
      <c r="B2396"/>
      <c r="C2396"/>
      <c r="D2396"/>
    </row>
    <row r="2397" spans="1:4" x14ac:dyDescent="0.2">
      <c r="A2397" s="4"/>
      <c r="B2397"/>
      <c r="C2397"/>
      <c r="D2397"/>
    </row>
    <row r="2398" spans="1:4" x14ac:dyDescent="0.2">
      <c r="A2398" s="4"/>
      <c r="B2398"/>
      <c r="C2398"/>
      <c r="D2398"/>
    </row>
    <row r="2399" spans="1:4" x14ac:dyDescent="0.2">
      <c r="A2399" s="4"/>
      <c r="B2399"/>
      <c r="C2399"/>
      <c r="D2399"/>
    </row>
    <row r="2400" spans="1:4" x14ac:dyDescent="0.2">
      <c r="A2400" s="4"/>
      <c r="B2400"/>
      <c r="C2400"/>
      <c r="D2400"/>
    </row>
    <row r="2401" spans="1:4" x14ac:dyDescent="0.2">
      <c r="A2401" s="4"/>
      <c r="B2401"/>
      <c r="C2401"/>
      <c r="D2401"/>
    </row>
    <row r="2402" spans="1:4" x14ac:dyDescent="0.2">
      <c r="A2402" s="4"/>
      <c r="B2402"/>
      <c r="C2402"/>
      <c r="D2402"/>
    </row>
    <row r="2403" spans="1:4" x14ac:dyDescent="0.2">
      <c r="A2403" s="4"/>
      <c r="B2403"/>
      <c r="C2403"/>
      <c r="D2403"/>
    </row>
    <row r="2404" spans="1:4" x14ac:dyDescent="0.2">
      <c r="A2404" s="4"/>
      <c r="B2404"/>
      <c r="C2404"/>
      <c r="D2404"/>
    </row>
    <row r="2405" spans="1:4" x14ac:dyDescent="0.2">
      <c r="A2405" s="4"/>
      <c r="B2405"/>
      <c r="C2405"/>
      <c r="D2405"/>
    </row>
    <row r="2406" spans="1:4" x14ac:dyDescent="0.2">
      <c r="A2406" s="4"/>
      <c r="B2406"/>
      <c r="C2406"/>
      <c r="D2406"/>
    </row>
    <row r="2407" spans="1:4" x14ac:dyDescent="0.2">
      <c r="A2407" s="4"/>
      <c r="B2407"/>
      <c r="C2407"/>
      <c r="D2407"/>
    </row>
    <row r="2408" spans="1:4" x14ac:dyDescent="0.2">
      <c r="A2408" s="4"/>
      <c r="B2408"/>
      <c r="C2408"/>
      <c r="D2408"/>
    </row>
    <row r="2409" spans="1:4" x14ac:dyDescent="0.2">
      <c r="A2409" s="4"/>
      <c r="B2409"/>
      <c r="C2409"/>
      <c r="D2409"/>
    </row>
    <row r="2410" spans="1:4" x14ac:dyDescent="0.2">
      <c r="A2410" s="4"/>
      <c r="B2410"/>
      <c r="C2410"/>
      <c r="D2410"/>
    </row>
    <row r="2411" spans="1:4" x14ac:dyDescent="0.2">
      <c r="A2411" s="4"/>
      <c r="B2411"/>
      <c r="C2411"/>
      <c r="D2411"/>
    </row>
    <row r="2412" spans="1:4" x14ac:dyDescent="0.2">
      <c r="A2412" s="4"/>
      <c r="B2412"/>
      <c r="C2412"/>
      <c r="D2412"/>
    </row>
    <row r="2413" spans="1:4" x14ac:dyDescent="0.2">
      <c r="A2413" s="4"/>
      <c r="B2413"/>
      <c r="C2413"/>
      <c r="D2413"/>
    </row>
    <row r="2414" spans="1:4" x14ac:dyDescent="0.2">
      <c r="A2414" s="4"/>
      <c r="B2414"/>
      <c r="C2414"/>
      <c r="D2414"/>
    </row>
    <row r="2415" spans="1:4" x14ac:dyDescent="0.2">
      <c r="A2415" s="4"/>
      <c r="B2415"/>
      <c r="C2415"/>
      <c r="D2415"/>
    </row>
    <row r="2416" spans="1:4" x14ac:dyDescent="0.2">
      <c r="A2416" s="4"/>
      <c r="B2416"/>
      <c r="C2416"/>
      <c r="D2416"/>
    </row>
    <row r="2417" spans="1:4" x14ac:dyDescent="0.2">
      <c r="A2417" s="4"/>
      <c r="B2417"/>
      <c r="C2417"/>
      <c r="D2417"/>
    </row>
    <row r="2418" spans="1:4" x14ac:dyDescent="0.2">
      <c r="A2418" s="4"/>
      <c r="B2418"/>
      <c r="C2418"/>
      <c r="D2418"/>
    </row>
    <row r="2419" spans="1:4" x14ac:dyDescent="0.2">
      <c r="A2419" s="4"/>
      <c r="B2419"/>
      <c r="C2419"/>
      <c r="D2419"/>
    </row>
    <row r="2420" spans="1:4" x14ac:dyDescent="0.2">
      <c r="A2420" s="4"/>
      <c r="B2420"/>
      <c r="C2420"/>
      <c r="D2420"/>
    </row>
    <row r="2421" spans="1:4" x14ac:dyDescent="0.2">
      <c r="A2421" s="4"/>
      <c r="B2421"/>
      <c r="C2421"/>
      <c r="D2421"/>
    </row>
    <row r="2422" spans="1:4" x14ac:dyDescent="0.2">
      <c r="A2422" s="4"/>
      <c r="B2422"/>
      <c r="C2422"/>
      <c r="D2422"/>
    </row>
    <row r="2423" spans="1:4" x14ac:dyDescent="0.2">
      <c r="A2423" s="4"/>
      <c r="B2423"/>
      <c r="C2423"/>
      <c r="D2423"/>
    </row>
    <row r="2424" spans="1:4" x14ac:dyDescent="0.2">
      <c r="A2424" s="4"/>
      <c r="B2424"/>
      <c r="C2424"/>
      <c r="D2424"/>
    </row>
    <row r="2425" spans="1:4" x14ac:dyDescent="0.2">
      <c r="A2425" s="4"/>
      <c r="B2425"/>
      <c r="C2425"/>
      <c r="D2425"/>
    </row>
    <row r="2426" spans="1:4" x14ac:dyDescent="0.2">
      <c r="A2426" s="4"/>
      <c r="B2426"/>
      <c r="C2426"/>
      <c r="D2426"/>
    </row>
    <row r="2427" spans="1:4" x14ac:dyDescent="0.2">
      <c r="A2427" s="4"/>
      <c r="B2427"/>
      <c r="C2427"/>
      <c r="D2427"/>
    </row>
    <row r="2428" spans="1:4" x14ac:dyDescent="0.2">
      <c r="A2428" s="4"/>
      <c r="B2428"/>
      <c r="C2428"/>
      <c r="D2428"/>
    </row>
    <row r="2429" spans="1:4" x14ac:dyDescent="0.2">
      <c r="A2429" s="4"/>
      <c r="B2429"/>
      <c r="C2429"/>
      <c r="D2429"/>
    </row>
    <row r="2430" spans="1:4" x14ac:dyDescent="0.2">
      <c r="A2430" s="4"/>
      <c r="B2430"/>
      <c r="C2430"/>
      <c r="D2430"/>
    </row>
    <row r="2431" spans="1:4" x14ac:dyDescent="0.2">
      <c r="A2431" s="4"/>
      <c r="B2431"/>
      <c r="C2431"/>
      <c r="D2431"/>
    </row>
    <row r="2432" spans="1:4" x14ac:dyDescent="0.2">
      <c r="A2432" s="4"/>
      <c r="B2432"/>
      <c r="C2432"/>
      <c r="D2432"/>
    </row>
    <row r="2433" spans="1:4" x14ac:dyDescent="0.2">
      <c r="A2433" s="4"/>
      <c r="B2433"/>
      <c r="C2433"/>
      <c r="D2433"/>
    </row>
    <row r="2434" spans="1:4" x14ac:dyDescent="0.2">
      <c r="A2434" s="4"/>
      <c r="B2434"/>
      <c r="C2434"/>
      <c r="D2434"/>
    </row>
    <row r="2435" spans="1:4" x14ac:dyDescent="0.2">
      <c r="A2435" s="4"/>
      <c r="B2435"/>
      <c r="C2435"/>
      <c r="D2435"/>
    </row>
    <row r="2436" spans="1:4" x14ac:dyDescent="0.2">
      <c r="A2436" s="4"/>
      <c r="B2436"/>
      <c r="C2436"/>
      <c r="D2436"/>
    </row>
    <row r="2437" spans="1:4" x14ac:dyDescent="0.2">
      <c r="A2437" s="4"/>
      <c r="B2437"/>
      <c r="C2437"/>
      <c r="D2437"/>
    </row>
    <row r="2438" spans="1:4" x14ac:dyDescent="0.2">
      <c r="A2438" s="4"/>
      <c r="B2438"/>
      <c r="C2438"/>
      <c r="D2438"/>
    </row>
    <row r="2439" spans="1:4" x14ac:dyDescent="0.2">
      <c r="A2439" s="4"/>
      <c r="B2439"/>
      <c r="C2439"/>
      <c r="D2439"/>
    </row>
    <row r="2440" spans="1:4" x14ac:dyDescent="0.2">
      <c r="A2440" s="4"/>
      <c r="B2440"/>
      <c r="C2440"/>
      <c r="D2440"/>
    </row>
    <row r="2441" spans="1:4" x14ac:dyDescent="0.2">
      <c r="A2441" s="4"/>
      <c r="B2441"/>
      <c r="C2441"/>
      <c r="D2441"/>
    </row>
    <row r="2442" spans="1:4" x14ac:dyDescent="0.2">
      <c r="A2442" s="4"/>
      <c r="B2442"/>
      <c r="C2442"/>
      <c r="D2442"/>
    </row>
    <row r="2443" spans="1:4" x14ac:dyDescent="0.2">
      <c r="A2443" s="4"/>
      <c r="B2443"/>
      <c r="C2443"/>
      <c r="D2443"/>
    </row>
    <row r="2444" spans="1:4" x14ac:dyDescent="0.2">
      <c r="A2444" s="4"/>
      <c r="B2444"/>
      <c r="C2444"/>
      <c r="D2444"/>
    </row>
    <row r="2445" spans="1:4" x14ac:dyDescent="0.2">
      <c r="A2445" s="4"/>
      <c r="B2445"/>
      <c r="C2445"/>
      <c r="D2445"/>
    </row>
    <row r="2446" spans="1:4" x14ac:dyDescent="0.2">
      <c r="A2446" s="4"/>
      <c r="B2446"/>
      <c r="C2446"/>
      <c r="D2446"/>
    </row>
    <row r="2447" spans="1:4" x14ac:dyDescent="0.2">
      <c r="A2447" s="4"/>
      <c r="B2447"/>
      <c r="C2447"/>
      <c r="D2447"/>
    </row>
    <row r="2448" spans="1:4" x14ac:dyDescent="0.2">
      <c r="A2448" s="4"/>
      <c r="B2448"/>
      <c r="C2448"/>
      <c r="D2448"/>
    </row>
    <row r="2449" spans="1:4" x14ac:dyDescent="0.2">
      <c r="A2449" s="4"/>
      <c r="B2449"/>
      <c r="C2449"/>
      <c r="D2449"/>
    </row>
    <row r="2450" spans="1:4" x14ac:dyDescent="0.2">
      <c r="A2450" s="4"/>
      <c r="B2450"/>
      <c r="C2450"/>
      <c r="D2450"/>
    </row>
    <row r="2451" spans="1:4" x14ac:dyDescent="0.2">
      <c r="A2451" s="4"/>
      <c r="B2451"/>
      <c r="C2451"/>
      <c r="D2451"/>
    </row>
    <row r="2452" spans="1:4" x14ac:dyDescent="0.2">
      <c r="A2452" s="4"/>
      <c r="B2452"/>
      <c r="C2452"/>
      <c r="D2452"/>
    </row>
    <row r="2453" spans="1:4" x14ac:dyDescent="0.2">
      <c r="A2453" s="4"/>
      <c r="B2453"/>
      <c r="C2453"/>
      <c r="D2453"/>
    </row>
    <row r="2454" spans="1:4" x14ac:dyDescent="0.2">
      <c r="A2454" s="4"/>
      <c r="B2454"/>
      <c r="C2454"/>
      <c r="D2454"/>
    </row>
    <row r="2455" spans="1:4" x14ac:dyDescent="0.2">
      <c r="A2455" s="4"/>
      <c r="B2455"/>
      <c r="C2455"/>
      <c r="D2455"/>
    </row>
    <row r="2456" spans="1:4" x14ac:dyDescent="0.2">
      <c r="A2456" s="4"/>
      <c r="B2456"/>
      <c r="C2456"/>
      <c r="D2456"/>
    </row>
    <row r="2457" spans="1:4" x14ac:dyDescent="0.2">
      <c r="A2457" s="4"/>
      <c r="B2457"/>
      <c r="C2457"/>
      <c r="D2457"/>
    </row>
    <row r="2458" spans="1:4" x14ac:dyDescent="0.2">
      <c r="A2458" s="4"/>
      <c r="B2458"/>
      <c r="C2458"/>
      <c r="D2458"/>
    </row>
    <row r="2459" spans="1:4" x14ac:dyDescent="0.2">
      <c r="A2459" s="4"/>
      <c r="B2459"/>
      <c r="C2459"/>
      <c r="D2459"/>
    </row>
    <row r="2460" spans="1:4" x14ac:dyDescent="0.2">
      <c r="A2460" s="4"/>
      <c r="B2460"/>
      <c r="C2460"/>
      <c r="D2460"/>
    </row>
    <row r="2461" spans="1:4" x14ac:dyDescent="0.2">
      <c r="A2461" s="4"/>
      <c r="B2461"/>
      <c r="C2461"/>
      <c r="D2461"/>
    </row>
    <row r="2462" spans="1:4" x14ac:dyDescent="0.2">
      <c r="A2462" s="4"/>
      <c r="B2462"/>
      <c r="C2462"/>
      <c r="D2462"/>
    </row>
    <row r="2463" spans="1:4" x14ac:dyDescent="0.2">
      <c r="A2463" s="4"/>
      <c r="B2463"/>
      <c r="C2463"/>
      <c r="D2463"/>
    </row>
    <row r="2464" spans="1:4" x14ac:dyDescent="0.2">
      <c r="A2464" s="4"/>
      <c r="B2464"/>
      <c r="C2464"/>
      <c r="D2464"/>
    </row>
    <row r="2465" spans="1:4" x14ac:dyDescent="0.2">
      <c r="A2465" s="4"/>
      <c r="B2465"/>
      <c r="C2465"/>
      <c r="D2465"/>
    </row>
    <row r="2466" spans="1:4" x14ac:dyDescent="0.2">
      <c r="A2466" s="4"/>
      <c r="B2466"/>
      <c r="C2466"/>
      <c r="D2466"/>
    </row>
    <row r="2467" spans="1:4" x14ac:dyDescent="0.2">
      <c r="A2467" s="4"/>
      <c r="B2467"/>
      <c r="C2467"/>
      <c r="D2467"/>
    </row>
    <row r="2468" spans="1:4" x14ac:dyDescent="0.2">
      <c r="A2468" s="4"/>
      <c r="B2468"/>
      <c r="C2468"/>
      <c r="D2468"/>
    </row>
    <row r="2469" spans="1:4" x14ac:dyDescent="0.2">
      <c r="A2469" s="4"/>
      <c r="B2469"/>
      <c r="C2469"/>
      <c r="D2469"/>
    </row>
    <row r="2470" spans="1:4" x14ac:dyDescent="0.2">
      <c r="A2470" s="4"/>
      <c r="B2470"/>
      <c r="C2470"/>
      <c r="D2470"/>
    </row>
    <row r="2471" spans="1:4" x14ac:dyDescent="0.2">
      <c r="A2471" s="4"/>
      <c r="B2471"/>
      <c r="C2471"/>
      <c r="D2471"/>
    </row>
    <row r="2472" spans="1:4" x14ac:dyDescent="0.2">
      <c r="A2472" s="4"/>
      <c r="B2472"/>
      <c r="C2472"/>
      <c r="D2472"/>
    </row>
    <row r="2473" spans="1:4" x14ac:dyDescent="0.2">
      <c r="A2473" s="4"/>
      <c r="B2473"/>
      <c r="C2473"/>
      <c r="D2473"/>
    </row>
    <row r="2474" spans="1:4" x14ac:dyDescent="0.2">
      <c r="A2474" s="4"/>
      <c r="B2474"/>
      <c r="C2474"/>
      <c r="D2474"/>
    </row>
    <row r="2475" spans="1:4" x14ac:dyDescent="0.2">
      <c r="A2475" s="4"/>
      <c r="B2475"/>
      <c r="C2475"/>
      <c r="D2475"/>
    </row>
    <row r="2476" spans="1:4" x14ac:dyDescent="0.2">
      <c r="A2476" s="4"/>
      <c r="B2476"/>
      <c r="C2476"/>
      <c r="D2476"/>
    </row>
    <row r="2477" spans="1:4" x14ac:dyDescent="0.2">
      <c r="A2477" s="4"/>
      <c r="B2477"/>
      <c r="C2477"/>
      <c r="D2477"/>
    </row>
    <row r="2478" spans="1:4" x14ac:dyDescent="0.2">
      <c r="A2478" s="4"/>
      <c r="B2478"/>
      <c r="C2478"/>
      <c r="D2478"/>
    </row>
    <row r="2479" spans="1:4" x14ac:dyDescent="0.2">
      <c r="A2479" s="4"/>
      <c r="B2479"/>
      <c r="C2479"/>
      <c r="D2479"/>
    </row>
    <row r="2480" spans="1:4" x14ac:dyDescent="0.2">
      <c r="A2480" s="4"/>
      <c r="B2480"/>
      <c r="C2480"/>
      <c r="D2480"/>
    </row>
    <row r="2481" spans="1:4" x14ac:dyDescent="0.2">
      <c r="A2481" s="4"/>
      <c r="B2481"/>
      <c r="C2481"/>
      <c r="D2481"/>
    </row>
    <row r="2482" spans="1:4" x14ac:dyDescent="0.2">
      <c r="A2482" s="4"/>
      <c r="B2482"/>
      <c r="C2482"/>
      <c r="D2482"/>
    </row>
    <row r="2483" spans="1:4" x14ac:dyDescent="0.2">
      <c r="A2483" s="4"/>
      <c r="B2483"/>
      <c r="C2483"/>
      <c r="D2483"/>
    </row>
    <row r="2484" spans="1:4" x14ac:dyDescent="0.2">
      <c r="A2484" s="4"/>
      <c r="B2484"/>
      <c r="C2484"/>
      <c r="D2484"/>
    </row>
    <row r="2485" spans="1:4" x14ac:dyDescent="0.2">
      <c r="A2485" s="4"/>
      <c r="B2485"/>
      <c r="C2485"/>
      <c r="D2485"/>
    </row>
    <row r="2486" spans="1:4" x14ac:dyDescent="0.2">
      <c r="A2486" s="4"/>
      <c r="B2486"/>
      <c r="C2486"/>
      <c r="D2486"/>
    </row>
    <row r="2487" spans="1:4" x14ac:dyDescent="0.2">
      <c r="A2487" s="4"/>
      <c r="B2487"/>
      <c r="C2487"/>
      <c r="D2487"/>
    </row>
    <row r="2488" spans="1:4" x14ac:dyDescent="0.2">
      <c r="A2488" s="4"/>
      <c r="B2488"/>
      <c r="C2488"/>
      <c r="D2488"/>
    </row>
    <row r="2489" spans="1:4" x14ac:dyDescent="0.2">
      <c r="A2489" s="4"/>
      <c r="B2489"/>
      <c r="C2489"/>
      <c r="D2489"/>
    </row>
    <row r="2490" spans="1:4" x14ac:dyDescent="0.2">
      <c r="A2490" s="4"/>
      <c r="B2490"/>
      <c r="C2490"/>
      <c r="D2490"/>
    </row>
    <row r="2491" spans="1:4" x14ac:dyDescent="0.2">
      <c r="A2491" s="4"/>
      <c r="B2491"/>
      <c r="C2491"/>
      <c r="D2491"/>
    </row>
    <row r="2492" spans="1:4" x14ac:dyDescent="0.2">
      <c r="A2492" s="4"/>
      <c r="B2492"/>
      <c r="C2492"/>
      <c r="D2492"/>
    </row>
    <row r="2493" spans="1:4" x14ac:dyDescent="0.2">
      <c r="A2493" s="4"/>
      <c r="B2493"/>
      <c r="C2493"/>
      <c r="D2493"/>
    </row>
    <row r="2494" spans="1:4" x14ac:dyDescent="0.2">
      <c r="A2494" s="4"/>
      <c r="B2494"/>
      <c r="C2494"/>
      <c r="D2494"/>
    </row>
    <row r="2495" spans="1:4" x14ac:dyDescent="0.2">
      <c r="A2495" s="4"/>
      <c r="B2495"/>
      <c r="C2495"/>
      <c r="D2495"/>
    </row>
    <row r="2496" spans="1:4" x14ac:dyDescent="0.2">
      <c r="A2496" s="4"/>
      <c r="B2496"/>
      <c r="C2496"/>
      <c r="D2496"/>
    </row>
    <row r="2497" spans="1:4" x14ac:dyDescent="0.2">
      <c r="A2497" s="4"/>
      <c r="B2497"/>
      <c r="C2497"/>
      <c r="D2497"/>
    </row>
    <row r="2498" spans="1:4" x14ac:dyDescent="0.2">
      <c r="A2498" s="4"/>
      <c r="B2498"/>
      <c r="C2498"/>
      <c r="D2498"/>
    </row>
    <row r="2499" spans="1:4" x14ac:dyDescent="0.2">
      <c r="A2499" s="4"/>
      <c r="B2499"/>
      <c r="C2499"/>
      <c r="D2499"/>
    </row>
    <row r="2500" spans="1:4" x14ac:dyDescent="0.2">
      <c r="A2500" s="4"/>
      <c r="B2500"/>
      <c r="C2500"/>
      <c r="D2500"/>
    </row>
    <row r="2501" spans="1:4" x14ac:dyDescent="0.2">
      <c r="A2501" s="4"/>
      <c r="B2501"/>
      <c r="C2501"/>
      <c r="D2501"/>
    </row>
    <row r="2502" spans="1:4" x14ac:dyDescent="0.2">
      <c r="A2502" s="4"/>
      <c r="B2502"/>
      <c r="C2502"/>
      <c r="D2502"/>
    </row>
    <row r="2503" spans="1:4" x14ac:dyDescent="0.2">
      <c r="A2503" s="4"/>
      <c r="B2503"/>
      <c r="C2503"/>
      <c r="D2503"/>
    </row>
    <row r="2504" spans="1:4" x14ac:dyDescent="0.2">
      <c r="A2504" s="4"/>
      <c r="B2504"/>
      <c r="C2504"/>
      <c r="D2504"/>
    </row>
    <row r="2505" spans="1:4" x14ac:dyDescent="0.2">
      <c r="A2505" s="4"/>
      <c r="B2505"/>
      <c r="C2505"/>
      <c r="D2505"/>
    </row>
    <row r="2506" spans="1:4" x14ac:dyDescent="0.2">
      <c r="A2506" s="4"/>
      <c r="B2506"/>
      <c r="C2506"/>
      <c r="D2506"/>
    </row>
    <row r="2507" spans="1:4" x14ac:dyDescent="0.2">
      <c r="A2507" s="4"/>
      <c r="B2507"/>
      <c r="C2507"/>
      <c r="D2507"/>
    </row>
    <row r="2508" spans="1:4" x14ac:dyDescent="0.2">
      <c r="A2508" s="4"/>
      <c r="B2508"/>
      <c r="C2508"/>
      <c r="D2508"/>
    </row>
    <row r="2509" spans="1:4" x14ac:dyDescent="0.2">
      <c r="A2509" s="4"/>
      <c r="B2509"/>
      <c r="C2509"/>
      <c r="D2509"/>
    </row>
    <row r="2510" spans="1:4" x14ac:dyDescent="0.2">
      <c r="A2510" s="4"/>
      <c r="B2510"/>
      <c r="C2510"/>
      <c r="D2510"/>
    </row>
    <row r="2511" spans="1:4" x14ac:dyDescent="0.2">
      <c r="A2511" s="4"/>
      <c r="B2511"/>
      <c r="C2511"/>
      <c r="D2511"/>
    </row>
    <row r="2512" spans="1:4" x14ac:dyDescent="0.2">
      <c r="A2512" s="4"/>
      <c r="B2512"/>
      <c r="C2512"/>
      <c r="D2512"/>
    </row>
    <row r="2513" spans="1:4" x14ac:dyDescent="0.2">
      <c r="A2513" s="4"/>
      <c r="B2513"/>
      <c r="C2513"/>
      <c r="D2513"/>
    </row>
    <row r="2514" spans="1:4" x14ac:dyDescent="0.2">
      <c r="A2514" s="4"/>
      <c r="B2514"/>
      <c r="C2514"/>
      <c r="D2514"/>
    </row>
    <row r="2515" spans="1:4" x14ac:dyDescent="0.2">
      <c r="A2515" s="4"/>
      <c r="B2515"/>
      <c r="C2515"/>
      <c r="D2515"/>
    </row>
    <row r="2516" spans="1:4" x14ac:dyDescent="0.2">
      <c r="A2516" s="4"/>
      <c r="B2516"/>
      <c r="C2516"/>
      <c r="D2516"/>
    </row>
    <row r="2517" spans="1:4" x14ac:dyDescent="0.2">
      <c r="A2517" s="4"/>
      <c r="B2517"/>
      <c r="C2517"/>
      <c r="D2517"/>
    </row>
    <row r="2518" spans="1:4" x14ac:dyDescent="0.2">
      <c r="A2518" s="4"/>
      <c r="B2518"/>
      <c r="C2518"/>
      <c r="D2518"/>
    </row>
    <row r="2519" spans="1:4" x14ac:dyDescent="0.2">
      <c r="A2519" s="4"/>
      <c r="B2519"/>
      <c r="C2519"/>
      <c r="D2519"/>
    </row>
    <row r="2520" spans="1:4" x14ac:dyDescent="0.2">
      <c r="A2520" s="4"/>
      <c r="B2520"/>
      <c r="C2520"/>
      <c r="D2520"/>
    </row>
    <row r="2521" spans="1:4" x14ac:dyDescent="0.2">
      <c r="A2521" s="4"/>
      <c r="B2521"/>
      <c r="C2521"/>
      <c r="D2521"/>
    </row>
    <row r="2522" spans="1:4" x14ac:dyDescent="0.2">
      <c r="A2522" s="4"/>
      <c r="B2522"/>
      <c r="C2522"/>
      <c r="D2522"/>
    </row>
    <row r="2523" spans="1:4" x14ac:dyDescent="0.2">
      <c r="A2523" s="4"/>
      <c r="B2523"/>
      <c r="C2523"/>
      <c r="D2523"/>
    </row>
    <row r="2524" spans="1:4" x14ac:dyDescent="0.2">
      <c r="A2524" s="4"/>
      <c r="B2524"/>
      <c r="C2524"/>
      <c r="D2524"/>
    </row>
    <row r="2525" spans="1:4" x14ac:dyDescent="0.2">
      <c r="A2525" s="4"/>
      <c r="B2525"/>
      <c r="C2525"/>
      <c r="D2525"/>
    </row>
    <row r="2526" spans="1:4" x14ac:dyDescent="0.2">
      <c r="A2526" s="4"/>
      <c r="B2526"/>
      <c r="C2526"/>
      <c r="D2526"/>
    </row>
    <row r="2527" spans="1:4" x14ac:dyDescent="0.2">
      <c r="A2527" s="4"/>
      <c r="B2527"/>
      <c r="C2527"/>
      <c r="D2527"/>
    </row>
    <row r="2528" spans="1:4" x14ac:dyDescent="0.2">
      <c r="A2528" s="4"/>
      <c r="B2528"/>
      <c r="C2528"/>
      <c r="D2528"/>
    </row>
    <row r="2529" spans="1:4" x14ac:dyDescent="0.2">
      <c r="A2529" s="4"/>
      <c r="B2529"/>
      <c r="C2529"/>
      <c r="D2529"/>
    </row>
    <row r="2530" spans="1:4" x14ac:dyDescent="0.2">
      <c r="A2530" s="4"/>
      <c r="B2530"/>
      <c r="C2530"/>
      <c r="D2530"/>
    </row>
    <row r="2531" spans="1:4" x14ac:dyDescent="0.2">
      <c r="A2531" s="4"/>
      <c r="B2531"/>
      <c r="C2531"/>
      <c r="D2531"/>
    </row>
    <row r="2532" spans="1:4" x14ac:dyDescent="0.2">
      <c r="A2532" s="4"/>
      <c r="B2532"/>
      <c r="C2532"/>
      <c r="D2532"/>
    </row>
    <row r="2533" spans="1:4" x14ac:dyDescent="0.2">
      <c r="A2533" s="4"/>
      <c r="B2533"/>
      <c r="C2533"/>
      <c r="D2533"/>
    </row>
    <row r="2534" spans="1:4" x14ac:dyDescent="0.2">
      <c r="A2534" s="4"/>
      <c r="B2534"/>
      <c r="C2534"/>
      <c r="D2534"/>
    </row>
    <row r="2535" spans="1:4" x14ac:dyDescent="0.2">
      <c r="A2535" s="4"/>
      <c r="B2535"/>
      <c r="C2535"/>
      <c r="D2535"/>
    </row>
    <row r="2536" spans="1:4" x14ac:dyDescent="0.2">
      <c r="A2536" s="4"/>
      <c r="B2536"/>
      <c r="C2536"/>
      <c r="D2536"/>
    </row>
    <row r="2537" spans="1:4" x14ac:dyDescent="0.2">
      <c r="A2537" s="4"/>
      <c r="B2537"/>
      <c r="C2537"/>
      <c r="D2537"/>
    </row>
    <row r="2538" spans="1:4" x14ac:dyDescent="0.2">
      <c r="A2538" s="4"/>
      <c r="B2538"/>
      <c r="C2538"/>
      <c r="D2538"/>
    </row>
    <row r="2539" spans="1:4" x14ac:dyDescent="0.2">
      <c r="A2539" s="4"/>
      <c r="B2539"/>
      <c r="C2539"/>
      <c r="D2539"/>
    </row>
    <row r="2540" spans="1:4" x14ac:dyDescent="0.2">
      <c r="A2540" s="4"/>
      <c r="B2540"/>
      <c r="C2540"/>
      <c r="D2540"/>
    </row>
    <row r="2541" spans="1:4" x14ac:dyDescent="0.2">
      <c r="A2541" s="4"/>
      <c r="B2541"/>
      <c r="C2541"/>
      <c r="D2541"/>
    </row>
    <row r="2542" spans="1:4" x14ac:dyDescent="0.2">
      <c r="A2542" s="4"/>
      <c r="B2542"/>
      <c r="C2542"/>
      <c r="D2542"/>
    </row>
    <row r="2543" spans="1:4" x14ac:dyDescent="0.2">
      <c r="A2543" s="4"/>
      <c r="B2543"/>
      <c r="C2543"/>
      <c r="D2543"/>
    </row>
    <row r="2544" spans="1:4" x14ac:dyDescent="0.2">
      <c r="A2544" s="4"/>
      <c r="B2544"/>
      <c r="C2544"/>
      <c r="D2544"/>
    </row>
    <row r="2545" spans="1:4" x14ac:dyDescent="0.2">
      <c r="A2545" s="4"/>
      <c r="B2545"/>
      <c r="C2545"/>
      <c r="D2545"/>
    </row>
    <row r="2546" spans="1:4" x14ac:dyDescent="0.2">
      <c r="A2546" s="4"/>
      <c r="B2546"/>
      <c r="C2546"/>
      <c r="D2546"/>
    </row>
    <row r="2547" spans="1:4" x14ac:dyDescent="0.2">
      <c r="A2547" s="4"/>
      <c r="B2547"/>
      <c r="C2547"/>
      <c r="D2547"/>
    </row>
    <row r="2548" spans="1:4" x14ac:dyDescent="0.2">
      <c r="A2548" s="4"/>
      <c r="B2548"/>
      <c r="C2548"/>
      <c r="D2548"/>
    </row>
    <row r="2549" spans="1:4" x14ac:dyDescent="0.2">
      <c r="A2549" s="4"/>
      <c r="B2549"/>
      <c r="C2549"/>
      <c r="D2549"/>
    </row>
    <row r="2550" spans="1:4" x14ac:dyDescent="0.2">
      <c r="A2550" s="4"/>
      <c r="B2550"/>
      <c r="C2550"/>
      <c r="D2550"/>
    </row>
    <row r="2551" spans="1:4" x14ac:dyDescent="0.2">
      <c r="A2551" s="4"/>
      <c r="B2551"/>
      <c r="C2551"/>
      <c r="D2551"/>
    </row>
    <row r="2552" spans="1:4" x14ac:dyDescent="0.2">
      <c r="A2552" s="4"/>
      <c r="B2552"/>
      <c r="C2552"/>
      <c r="D2552"/>
    </row>
    <row r="2553" spans="1:4" x14ac:dyDescent="0.2">
      <c r="A2553" s="4"/>
      <c r="B2553"/>
      <c r="C2553"/>
      <c r="D2553"/>
    </row>
    <row r="2554" spans="1:4" x14ac:dyDescent="0.2">
      <c r="A2554" s="4"/>
      <c r="B2554"/>
      <c r="C2554"/>
      <c r="D2554"/>
    </row>
    <row r="2555" spans="1:4" x14ac:dyDescent="0.2">
      <c r="A2555" s="4"/>
      <c r="B2555"/>
      <c r="C2555"/>
      <c r="D2555"/>
    </row>
    <row r="2556" spans="1:4" x14ac:dyDescent="0.2">
      <c r="A2556" s="4"/>
      <c r="B2556"/>
      <c r="C2556"/>
      <c r="D2556"/>
    </row>
    <row r="2557" spans="1:4" x14ac:dyDescent="0.2">
      <c r="A2557" s="4"/>
      <c r="B2557"/>
      <c r="C2557"/>
      <c r="D2557"/>
    </row>
    <row r="2558" spans="1:4" x14ac:dyDescent="0.2">
      <c r="A2558" s="4"/>
      <c r="B2558"/>
      <c r="C2558"/>
      <c r="D2558"/>
    </row>
    <row r="2559" spans="1:4" x14ac:dyDescent="0.2">
      <c r="A2559" s="4"/>
      <c r="B2559"/>
      <c r="C2559"/>
      <c r="D2559"/>
    </row>
    <row r="2560" spans="1:4" x14ac:dyDescent="0.2">
      <c r="A2560" s="4"/>
      <c r="B2560"/>
      <c r="C2560"/>
      <c r="D2560"/>
    </row>
    <row r="2561" spans="1:4" x14ac:dyDescent="0.2">
      <c r="A2561" s="4"/>
      <c r="B2561"/>
      <c r="C2561"/>
      <c r="D2561"/>
    </row>
    <row r="2562" spans="1:4" x14ac:dyDescent="0.2">
      <c r="A2562" s="4"/>
      <c r="B2562"/>
      <c r="C2562"/>
      <c r="D2562"/>
    </row>
    <row r="2563" spans="1:4" x14ac:dyDescent="0.2">
      <c r="A2563" s="4"/>
      <c r="B2563"/>
      <c r="C2563"/>
      <c r="D2563"/>
    </row>
    <row r="2564" spans="1:4" x14ac:dyDescent="0.2">
      <c r="A2564" s="4"/>
      <c r="B2564"/>
      <c r="C2564"/>
      <c r="D2564"/>
    </row>
    <row r="2565" spans="1:4" x14ac:dyDescent="0.2">
      <c r="A2565" s="4"/>
      <c r="B2565"/>
      <c r="C2565"/>
      <c r="D2565"/>
    </row>
    <row r="2566" spans="1:4" x14ac:dyDescent="0.2">
      <c r="A2566" s="4"/>
      <c r="B2566"/>
      <c r="C2566"/>
      <c r="D2566"/>
    </row>
    <row r="2567" spans="1:4" x14ac:dyDescent="0.2">
      <c r="A2567" s="4"/>
      <c r="B2567"/>
      <c r="C2567"/>
      <c r="D2567"/>
    </row>
    <row r="2568" spans="1:4" x14ac:dyDescent="0.2">
      <c r="A2568" s="4"/>
      <c r="B2568"/>
      <c r="C2568"/>
      <c r="D2568"/>
    </row>
    <row r="2569" spans="1:4" x14ac:dyDescent="0.2">
      <c r="A2569" s="4"/>
      <c r="B2569"/>
      <c r="C2569"/>
      <c r="D2569"/>
    </row>
    <row r="2570" spans="1:4" x14ac:dyDescent="0.2">
      <c r="A2570" s="4"/>
      <c r="B2570"/>
      <c r="C2570"/>
      <c r="D2570"/>
    </row>
    <row r="2571" spans="1:4" x14ac:dyDescent="0.2">
      <c r="A2571" s="4"/>
      <c r="B2571"/>
      <c r="C2571"/>
      <c r="D2571"/>
    </row>
    <row r="2572" spans="1:4" x14ac:dyDescent="0.2">
      <c r="A2572" s="4"/>
      <c r="B2572"/>
      <c r="C2572"/>
      <c r="D2572"/>
    </row>
    <row r="2573" spans="1:4" x14ac:dyDescent="0.2">
      <c r="A2573" s="4"/>
      <c r="B2573"/>
      <c r="C2573"/>
      <c r="D2573"/>
    </row>
    <row r="2574" spans="1:4" x14ac:dyDescent="0.2">
      <c r="A2574" s="4"/>
      <c r="B2574"/>
      <c r="C2574"/>
      <c r="D2574"/>
    </row>
    <row r="2575" spans="1:4" x14ac:dyDescent="0.2">
      <c r="A2575" s="4"/>
      <c r="B2575"/>
      <c r="C2575"/>
      <c r="D2575"/>
    </row>
    <row r="2576" spans="1:4" x14ac:dyDescent="0.2">
      <c r="A2576" s="4"/>
      <c r="B2576"/>
      <c r="C2576"/>
      <c r="D2576"/>
    </row>
    <row r="2577" spans="1:4" x14ac:dyDescent="0.2">
      <c r="A2577" s="4"/>
      <c r="B2577"/>
      <c r="C2577"/>
      <c r="D2577"/>
    </row>
    <row r="2578" spans="1:4" x14ac:dyDescent="0.2">
      <c r="A2578" s="4"/>
      <c r="B2578"/>
      <c r="C2578"/>
      <c r="D2578"/>
    </row>
    <row r="2579" spans="1:4" x14ac:dyDescent="0.2">
      <c r="A2579" s="4"/>
      <c r="B2579"/>
      <c r="C2579"/>
      <c r="D2579"/>
    </row>
    <row r="2580" spans="1:4" x14ac:dyDescent="0.2">
      <c r="A2580" s="4"/>
      <c r="B2580"/>
      <c r="C2580"/>
      <c r="D2580"/>
    </row>
    <row r="2581" spans="1:4" x14ac:dyDescent="0.2">
      <c r="A2581" s="4"/>
      <c r="B2581"/>
      <c r="C2581"/>
      <c r="D2581"/>
    </row>
    <row r="2582" spans="1:4" x14ac:dyDescent="0.2">
      <c r="A2582" s="4"/>
      <c r="B2582"/>
      <c r="C2582"/>
      <c r="D2582"/>
    </row>
    <row r="2583" spans="1:4" x14ac:dyDescent="0.2">
      <c r="A2583" s="4"/>
      <c r="B2583"/>
      <c r="C2583"/>
      <c r="D2583"/>
    </row>
    <row r="2584" spans="1:4" x14ac:dyDescent="0.2">
      <c r="A2584" s="4"/>
      <c r="B2584"/>
      <c r="C2584"/>
      <c r="D2584"/>
    </row>
    <row r="2585" spans="1:4" x14ac:dyDescent="0.2">
      <c r="A2585" s="4"/>
      <c r="B2585"/>
      <c r="C2585"/>
      <c r="D2585"/>
    </row>
    <row r="2586" spans="1:4" x14ac:dyDescent="0.2">
      <c r="A2586" s="4"/>
      <c r="B2586"/>
      <c r="C2586"/>
      <c r="D2586"/>
    </row>
    <row r="2587" spans="1:4" x14ac:dyDescent="0.2">
      <c r="A2587" s="4"/>
      <c r="B2587"/>
      <c r="C2587"/>
      <c r="D2587"/>
    </row>
    <row r="2588" spans="1:4" x14ac:dyDescent="0.2">
      <c r="A2588" s="4"/>
      <c r="B2588"/>
      <c r="C2588"/>
      <c r="D2588"/>
    </row>
    <row r="2589" spans="1:4" x14ac:dyDescent="0.2">
      <c r="A2589" s="4"/>
      <c r="B2589"/>
      <c r="C2589"/>
      <c r="D2589"/>
    </row>
    <row r="2590" spans="1:4" x14ac:dyDescent="0.2">
      <c r="A2590" s="4"/>
      <c r="B2590"/>
      <c r="C2590"/>
      <c r="D2590"/>
    </row>
    <row r="2591" spans="1:4" x14ac:dyDescent="0.2">
      <c r="A2591" s="4"/>
      <c r="B2591"/>
      <c r="C2591"/>
      <c r="D2591"/>
    </row>
    <row r="2592" spans="1:4" x14ac:dyDescent="0.2">
      <c r="A2592" s="4"/>
      <c r="B2592"/>
      <c r="C2592"/>
      <c r="D2592"/>
    </row>
    <row r="2593" spans="1:4" x14ac:dyDescent="0.2">
      <c r="A2593" s="4"/>
      <c r="B2593"/>
      <c r="C2593"/>
      <c r="D2593"/>
    </row>
    <row r="2594" spans="1:4" x14ac:dyDescent="0.2">
      <c r="A2594" s="4"/>
      <c r="B2594"/>
      <c r="C2594"/>
      <c r="D2594"/>
    </row>
    <row r="2595" spans="1:4" x14ac:dyDescent="0.2">
      <c r="A2595" s="4"/>
      <c r="B2595"/>
      <c r="C2595"/>
      <c r="D2595"/>
    </row>
    <row r="2596" spans="1:4" x14ac:dyDescent="0.2">
      <c r="A2596" s="4"/>
      <c r="B2596"/>
      <c r="C2596"/>
      <c r="D2596"/>
    </row>
    <row r="2597" spans="1:4" x14ac:dyDescent="0.2">
      <c r="A2597" s="4"/>
      <c r="B2597"/>
      <c r="C2597"/>
      <c r="D2597"/>
    </row>
    <row r="2598" spans="1:4" x14ac:dyDescent="0.2">
      <c r="A2598" s="4"/>
      <c r="B2598"/>
      <c r="C2598"/>
      <c r="D2598"/>
    </row>
    <row r="2599" spans="1:4" x14ac:dyDescent="0.2">
      <c r="A2599" s="4"/>
      <c r="B2599"/>
      <c r="C2599"/>
      <c r="D2599"/>
    </row>
    <row r="2600" spans="1:4" x14ac:dyDescent="0.2">
      <c r="A2600" s="4"/>
      <c r="B2600"/>
      <c r="C2600"/>
      <c r="D2600"/>
    </row>
    <row r="2601" spans="1:4" x14ac:dyDescent="0.2">
      <c r="A2601" s="4"/>
      <c r="B2601"/>
      <c r="C2601"/>
      <c r="D2601"/>
    </row>
    <row r="2602" spans="1:4" x14ac:dyDescent="0.2">
      <c r="A2602" s="4"/>
      <c r="B2602"/>
      <c r="C2602"/>
      <c r="D2602"/>
    </row>
    <row r="2603" spans="1:4" x14ac:dyDescent="0.2">
      <c r="A2603" s="4"/>
      <c r="B2603"/>
      <c r="C2603"/>
      <c r="D2603"/>
    </row>
    <row r="2604" spans="1:4" x14ac:dyDescent="0.2">
      <c r="A2604" s="4"/>
      <c r="B2604"/>
      <c r="C2604"/>
      <c r="D2604"/>
    </row>
    <row r="2605" spans="1:4" x14ac:dyDescent="0.2">
      <c r="A2605" s="4"/>
      <c r="B2605"/>
      <c r="C2605"/>
      <c r="D2605"/>
    </row>
    <row r="2606" spans="1:4" x14ac:dyDescent="0.2">
      <c r="A2606" s="4"/>
      <c r="B2606"/>
      <c r="C2606"/>
      <c r="D2606"/>
    </row>
    <row r="2607" spans="1:4" x14ac:dyDescent="0.2">
      <c r="A2607" s="4"/>
      <c r="B2607"/>
      <c r="C2607"/>
      <c r="D2607"/>
    </row>
    <row r="2608" spans="1:4" x14ac:dyDescent="0.2">
      <c r="A2608" s="4"/>
      <c r="B2608"/>
      <c r="C2608"/>
      <c r="D2608"/>
    </row>
    <row r="2609" spans="1:4" x14ac:dyDescent="0.2">
      <c r="A2609" s="4"/>
      <c r="B2609"/>
      <c r="C2609"/>
      <c r="D2609"/>
    </row>
    <row r="2610" spans="1:4" x14ac:dyDescent="0.2">
      <c r="A2610" s="4"/>
      <c r="B2610"/>
      <c r="C2610"/>
      <c r="D2610"/>
    </row>
    <row r="2611" spans="1:4" x14ac:dyDescent="0.2">
      <c r="A2611" s="4"/>
      <c r="B2611"/>
      <c r="C2611"/>
      <c r="D2611"/>
    </row>
    <row r="2612" spans="1:4" x14ac:dyDescent="0.2">
      <c r="A2612" s="4"/>
      <c r="B2612"/>
      <c r="C2612"/>
      <c r="D2612"/>
    </row>
    <row r="2613" spans="1:4" x14ac:dyDescent="0.2">
      <c r="A2613" s="4"/>
      <c r="B2613"/>
      <c r="C2613"/>
      <c r="D2613"/>
    </row>
    <row r="2614" spans="1:4" x14ac:dyDescent="0.2">
      <c r="A2614" s="4"/>
      <c r="B2614"/>
      <c r="C2614"/>
      <c r="D2614"/>
    </row>
    <row r="2615" spans="1:4" x14ac:dyDescent="0.2">
      <c r="A2615" s="4"/>
      <c r="B2615"/>
      <c r="C2615"/>
      <c r="D2615"/>
    </row>
    <row r="2616" spans="1:4" x14ac:dyDescent="0.2">
      <c r="A2616" s="4"/>
      <c r="B2616"/>
      <c r="C2616"/>
      <c r="D2616"/>
    </row>
    <row r="2617" spans="1:4" x14ac:dyDescent="0.2">
      <c r="A2617" s="4"/>
      <c r="B2617"/>
      <c r="C2617"/>
      <c r="D2617"/>
    </row>
    <row r="2618" spans="1:4" x14ac:dyDescent="0.2">
      <c r="A2618" s="4"/>
      <c r="B2618"/>
      <c r="C2618"/>
      <c r="D2618"/>
    </row>
    <row r="2619" spans="1:4" x14ac:dyDescent="0.2">
      <c r="A2619" s="4"/>
      <c r="B2619"/>
      <c r="C2619"/>
      <c r="D2619"/>
    </row>
    <row r="2620" spans="1:4" x14ac:dyDescent="0.2">
      <c r="A2620" s="4"/>
      <c r="B2620"/>
      <c r="C2620"/>
      <c r="D2620"/>
    </row>
    <row r="2621" spans="1:4" x14ac:dyDescent="0.2">
      <c r="A2621" s="4"/>
      <c r="B2621"/>
      <c r="C2621"/>
      <c r="D2621"/>
    </row>
    <row r="2622" spans="1:4" x14ac:dyDescent="0.2">
      <c r="A2622" s="4"/>
      <c r="B2622"/>
      <c r="C2622"/>
      <c r="D2622"/>
    </row>
    <row r="2623" spans="1:4" x14ac:dyDescent="0.2">
      <c r="A2623" s="4"/>
      <c r="B2623"/>
      <c r="C2623"/>
      <c r="D2623"/>
    </row>
    <row r="2624" spans="1:4" x14ac:dyDescent="0.2">
      <c r="A2624" s="4"/>
      <c r="B2624"/>
      <c r="C2624"/>
      <c r="D2624"/>
    </row>
    <row r="2625" spans="1:4" x14ac:dyDescent="0.2">
      <c r="A2625" s="4"/>
      <c r="B2625"/>
      <c r="C2625"/>
      <c r="D2625"/>
    </row>
    <row r="2626" spans="1:4" x14ac:dyDescent="0.2">
      <c r="A2626" s="4"/>
      <c r="B2626"/>
      <c r="C2626"/>
      <c r="D2626"/>
    </row>
    <row r="2627" spans="1:4" x14ac:dyDescent="0.2">
      <c r="A2627" s="4"/>
      <c r="B2627"/>
      <c r="C2627"/>
      <c r="D2627"/>
    </row>
    <row r="2628" spans="1:4" x14ac:dyDescent="0.2">
      <c r="A2628" s="4"/>
      <c r="B2628"/>
      <c r="C2628"/>
      <c r="D2628"/>
    </row>
    <row r="2629" spans="1:4" x14ac:dyDescent="0.2">
      <c r="A2629" s="4"/>
      <c r="B2629"/>
      <c r="C2629"/>
      <c r="D2629"/>
    </row>
    <row r="2630" spans="1:4" x14ac:dyDescent="0.2">
      <c r="A2630" s="4"/>
      <c r="B2630"/>
      <c r="C2630"/>
      <c r="D2630"/>
    </row>
    <row r="2631" spans="1:4" x14ac:dyDescent="0.2">
      <c r="A2631" s="4"/>
      <c r="B2631"/>
      <c r="C2631"/>
      <c r="D2631"/>
    </row>
    <row r="2632" spans="1:4" x14ac:dyDescent="0.2">
      <c r="A2632" s="4"/>
      <c r="B2632"/>
      <c r="C2632"/>
      <c r="D2632"/>
    </row>
    <row r="2633" spans="1:4" x14ac:dyDescent="0.2">
      <c r="A2633" s="4"/>
      <c r="B2633"/>
      <c r="C2633"/>
      <c r="D2633"/>
    </row>
    <row r="2634" spans="1:4" x14ac:dyDescent="0.2">
      <c r="A2634" s="4"/>
      <c r="B2634"/>
      <c r="C2634"/>
      <c r="D2634"/>
    </row>
    <row r="2635" spans="1:4" x14ac:dyDescent="0.2">
      <c r="A2635" s="4"/>
      <c r="B2635"/>
      <c r="C2635"/>
      <c r="D2635"/>
    </row>
    <row r="2636" spans="1:4" x14ac:dyDescent="0.2">
      <c r="A2636" s="4"/>
      <c r="B2636"/>
      <c r="C2636"/>
      <c r="D2636"/>
    </row>
    <row r="2637" spans="1:4" x14ac:dyDescent="0.2">
      <c r="A2637" s="4"/>
      <c r="B2637"/>
      <c r="C2637"/>
      <c r="D2637"/>
    </row>
    <row r="2638" spans="1:4" x14ac:dyDescent="0.2">
      <c r="A2638" s="4"/>
      <c r="B2638"/>
      <c r="C2638"/>
      <c r="D2638"/>
    </row>
    <row r="2639" spans="1:4" x14ac:dyDescent="0.2">
      <c r="A2639" s="4"/>
      <c r="B2639"/>
      <c r="C2639"/>
      <c r="D2639"/>
    </row>
    <row r="2640" spans="1:4" x14ac:dyDescent="0.2">
      <c r="A2640" s="4"/>
      <c r="B2640"/>
      <c r="C2640"/>
      <c r="D2640"/>
    </row>
    <row r="2641" spans="1:4" x14ac:dyDescent="0.2">
      <c r="A2641" s="4"/>
      <c r="B2641"/>
      <c r="C2641"/>
      <c r="D2641"/>
    </row>
    <row r="2642" spans="1:4" x14ac:dyDescent="0.2">
      <c r="A2642" s="4"/>
      <c r="B2642"/>
      <c r="C2642"/>
      <c r="D2642"/>
    </row>
    <row r="2643" spans="1:4" x14ac:dyDescent="0.2">
      <c r="A2643" s="4"/>
      <c r="B2643"/>
      <c r="C2643"/>
      <c r="D2643"/>
    </row>
    <row r="2644" spans="1:4" x14ac:dyDescent="0.2">
      <c r="A2644" s="4"/>
      <c r="B2644"/>
      <c r="C2644"/>
      <c r="D2644"/>
    </row>
    <row r="2645" spans="1:4" x14ac:dyDescent="0.2">
      <c r="A2645" s="4"/>
      <c r="B2645"/>
      <c r="C2645"/>
      <c r="D2645"/>
    </row>
    <row r="2646" spans="1:4" x14ac:dyDescent="0.2">
      <c r="A2646" s="4"/>
      <c r="B2646"/>
      <c r="C2646"/>
      <c r="D2646"/>
    </row>
    <row r="2647" spans="1:4" x14ac:dyDescent="0.2">
      <c r="A2647" s="4"/>
      <c r="B2647"/>
      <c r="C2647"/>
      <c r="D2647"/>
    </row>
    <row r="2648" spans="1:4" x14ac:dyDescent="0.2">
      <c r="A2648" s="4"/>
      <c r="B2648"/>
      <c r="C2648"/>
      <c r="D2648"/>
    </row>
    <row r="2649" spans="1:4" x14ac:dyDescent="0.2">
      <c r="A2649" s="4"/>
      <c r="B2649"/>
      <c r="C2649"/>
      <c r="D2649"/>
    </row>
    <row r="2650" spans="1:4" x14ac:dyDescent="0.2">
      <c r="A2650" s="4"/>
      <c r="B2650"/>
      <c r="C2650"/>
      <c r="D2650"/>
    </row>
    <row r="2651" spans="1:4" x14ac:dyDescent="0.2">
      <c r="A2651" s="4"/>
      <c r="B2651"/>
      <c r="C2651"/>
      <c r="D2651"/>
    </row>
    <row r="2652" spans="1:4" x14ac:dyDescent="0.2">
      <c r="A2652" s="4"/>
      <c r="B2652"/>
      <c r="C2652"/>
      <c r="D2652"/>
    </row>
    <row r="2653" spans="1:4" x14ac:dyDescent="0.2">
      <c r="A2653" s="4"/>
      <c r="B2653"/>
      <c r="C2653"/>
      <c r="D2653"/>
    </row>
    <row r="2654" spans="1:4" x14ac:dyDescent="0.2">
      <c r="A2654" s="4"/>
      <c r="B2654"/>
      <c r="C2654"/>
      <c r="D2654"/>
    </row>
    <row r="2655" spans="1:4" x14ac:dyDescent="0.2">
      <c r="A2655" s="4"/>
      <c r="B2655"/>
      <c r="C2655"/>
      <c r="D2655"/>
    </row>
    <row r="2656" spans="1:4" x14ac:dyDescent="0.2">
      <c r="A2656" s="4"/>
      <c r="B2656"/>
      <c r="C2656"/>
      <c r="D2656"/>
    </row>
    <row r="2657" spans="1:4" x14ac:dyDescent="0.2">
      <c r="A2657" s="4"/>
      <c r="B2657"/>
      <c r="C2657"/>
      <c r="D2657"/>
    </row>
    <row r="2658" spans="1:4" x14ac:dyDescent="0.2">
      <c r="A2658" s="4"/>
      <c r="B2658"/>
      <c r="C2658"/>
      <c r="D2658"/>
    </row>
    <row r="2659" spans="1:4" x14ac:dyDescent="0.2">
      <c r="A2659" s="4"/>
      <c r="B2659"/>
      <c r="C2659"/>
      <c r="D2659"/>
    </row>
    <row r="2660" spans="1:4" x14ac:dyDescent="0.2">
      <c r="A2660" s="4"/>
      <c r="B2660"/>
      <c r="C2660"/>
      <c r="D2660"/>
    </row>
    <row r="2661" spans="1:4" x14ac:dyDescent="0.2">
      <c r="A2661" s="4"/>
      <c r="B2661"/>
      <c r="C2661"/>
      <c r="D2661"/>
    </row>
    <row r="2662" spans="1:4" x14ac:dyDescent="0.2">
      <c r="A2662" s="4"/>
      <c r="B2662"/>
      <c r="C2662"/>
      <c r="D2662"/>
    </row>
    <row r="2663" spans="1:4" x14ac:dyDescent="0.2">
      <c r="A2663" s="4"/>
      <c r="B2663"/>
      <c r="C2663"/>
      <c r="D2663"/>
    </row>
    <row r="2664" spans="1:4" x14ac:dyDescent="0.2">
      <c r="A2664" s="4"/>
      <c r="B2664"/>
      <c r="C2664"/>
      <c r="D2664"/>
    </row>
    <row r="2665" spans="1:4" x14ac:dyDescent="0.2">
      <c r="A2665" s="4"/>
      <c r="B2665"/>
      <c r="C2665"/>
      <c r="D2665"/>
    </row>
    <row r="2666" spans="1:4" x14ac:dyDescent="0.2">
      <c r="A2666" s="4"/>
      <c r="B2666"/>
      <c r="C2666"/>
      <c r="D2666"/>
    </row>
    <row r="2667" spans="1:4" x14ac:dyDescent="0.2">
      <c r="A2667" s="4"/>
      <c r="B2667"/>
      <c r="C2667"/>
      <c r="D2667"/>
    </row>
    <row r="2668" spans="1:4" x14ac:dyDescent="0.2">
      <c r="A2668" s="4"/>
      <c r="B2668"/>
      <c r="C2668"/>
      <c r="D2668"/>
    </row>
    <row r="2669" spans="1:4" x14ac:dyDescent="0.2">
      <c r="A2669" s="4"/>
      <c r="B2669"/>
      <c r="C2669"/>
      <c r="D2669"/>
    </row>
    <row r="2670" spans="1:4" x14ac:dyDescent="0.2">
      <c r="A2670" s="4"/>
      <c r="B2670"/>
      <c r="C2670"/>
      <c r="D2670"/>
    </row>
    <row r="2671" spans="1:4" x14ac:dyDescent="0.2">
      <c r="A2671" s="4"/>
      <c r="B2671"/>
      <c r="C2671"/>
      <c r="D2671"/>
    </row>
    <row r="2672" spans="1:4" x14ac:dyDescent="0.2">
      <c r="A2672" s="4"/>
      <c r="B2672"/>
      <c r="C2672"/>
      <c r="D2672"/>
    </row>
    <row r="2673" spans="1:4" x14ac:dyDescent="0.2">
      <c r="A2673" s="4"/>
      <c r="B2673"/>
      <c r="C2673"/>
      <c r="D2673"/>
    </row>
    <row r="2674" spans="1:4" x14ac:dyDescent="0.2">
      <c r="A2674" s="4"/>
      <c r="B2674"/>
      <c r="C2674"/>
      <c r="D2674"/>
    </row>
    <row r="2675" spans="1:4" x14ac:dyDescent="0.2">
      <c r="A2675" s="4"/>
      <c r="B2675"/>
      <c r="C2675"/>
      <c r="D2675"/>
    </row>
    <row r="2676" spans="1:4" x14ac:dyDescent="0.2">
      <c r="A2676" s="4"/>
      <c r="B2676"/>
      <c r="C2676"/>
      <c r="D2676"/>
    </row>
    <row r="2677" spans="1:4" x14ac:dyDescent="0.2">
      <c r="A2677" s="4"/>
      <c r="B2677"/>
      <c r="C2677"/>
      <c r="D2677"/>
    </row>
    <row r="2678" spans="1:4" x14ac:dyDescent="0.2">
      <c r="A2678" s="4"/>
      <c r="B2678"/>
      <c r="C2678"/>
      <c r="D2678"/>
    </row>
    <row r="2679" spans="1:4" x14ac:dyDescent="0.2">
      <c r="A2679" s="4"/>
      <c r="B2679"/>
      <c r="C2679"/>
      <c r="D2679"/>
    </row>
    <row r="2680" spans="1:4" x14ac:dyDescent="0.2">
      <c r="A2680" s="4"/>
      <c r="B2680"/>
      <c r="C2680"/>
      <c r="D2680"/>
    </row>
    <row r="2681" spans="1:4" x14ac:dyDescent="0.2">
      <c r="A2681" s="4"/>
      <c r="B2681"/>
      <c r="C2681"/>
      <c r="D2681"/>
    </row>
    <row r="2682" spans="1:4" x14ac:dyDescent="0.2">
      <c r="A2682" s="4"/>
      <c r="B2682"/>
      <c r="C2682"/>
      <c r="D2682"/>
    </row>
    <row r="2683" spans="1:4" x14ac:dyDescent="0.2">
      <c r="A2683" s="4"/>
      <c r="B2683"/>
      <c r="C2683"/>
      <c r="D2683"/>
    </row>
    <row r="2684" spans="1:4" x14ac:dyDescent="0.2">
      <c r="A2684" s="4"/>
      <c r="B2684"/>
      <c r="C2684"/>
      <c r="D2684"/>
    </row>
    <row r="2685" spans="1:4" x14ac:dyDescent="0.2">
      <c r="A2685" s="4"/>
      <c r="B2685"/>
      <c r="C2685"/>
      <c r="D2685"/>
    </row>
    <row r="2686" spans="1:4" x14ac:dyDescent="0.2">
      <c r="A2686" s="4"/>
      <c r="B2686"/>
      <c r="C2686"/>
      <c r="D2686"/>
    </row>
    <row r="2687" spans="1:4" x14ac:dyDescent="0.2">
      <c r="A2687" s="4"/>
      <c r="B2687"/>
      <c r="C2687"/>
      <c r="D2687"/>
    </row>
    <row r="2688" spans="1:4" x14ac:dyDescent="0.2">
      <c r="A2688" s="4"/>
      <c r="B2688"/>
      <c r="C2688"/>
      <c r="D2688"/>
    </row>
    <row r="2689" spans="1:4" x14ac:dyDescent="0.2">
      <c r="A2689" s="4"/>
      <c r="B2689"/>
      <c r="C2689"/>
      <c r="D2689"/>
    </row>
    <row r="2690" spans="1:4" x14ac:dyDescent="0.2">
      <c r="A2690" s="4"/>
      <c r="B2690"/>
      <c r="C2690"/>
      <c r="D2690"/>
    </row>
    <row r="2691" spans="1:4" x14ac:dyDescent="0.2">
      <c r="A2691" s="4"/>
      <c r="B2691"/>
      <c r="C2691"/>
      <c r="D2691"/>
    </row>
    <row r="2692" spans="1:4" x14ac:dyDescent="0.2">
      <c r="A2692" s="4"/>
      <c r="B2692"/>
      <c r="C2692"/>
      <c r="D2692"/>
    </row>
    <row r="2693" spans="1:4" x14ac:dyDescent="0.2">
      <c r="A2693" s="4"/>
      <c r="B2693"/>
      <c r="C2693"/>
      <c r="D2693"/>
    </row>
    <row r="2694" spans="1:4" x14ac:dyDescent="0.2">
      <c r="A2694" s="4"/>
      <c r="B2694"/>
      <c r="C2694"/>
      <c r="D2694"/>
    </row>
    <row r="2695" spans="1:4" x14ac:dyDescent="0.2">
      <c r="A2695" s="4"/>
      <c r="B2695"/>
      <c r="C2695"/>
      <c r="D2695"/>
    </row>
    <row r="2696" spans="1:4" x14ac:dyDescent="0.2">
      <c r="A2696" s="4"/>
      <c r="B2696"/>
      <c r="C2696"/>
      <c r="D2696"/>
    </row>
    <row r="2697" spans="1:4" x14ac:dyDescent="0.2">
      <c r="A2697" s="4"/>
      <c r="B2697"/>
      <c r="C2697"/>
      <c r="D2697"/>
    </row>
    <row r="2698" spans="1:4" x14ac:dyDescent="0.2">
      <c r="A2698" s="4"/>
      <c r="B2698"/>
      <c r="C2698"/>
      <c r="D2698"/>
    </row>
    <row r="2699" spans="1:4" x14ac:dyDescent="0.2">
      <c r="A2699" s="4"/>
      <c r="B2699"/>
      <c r="C2699"/>
      <c r="D2699"/>
    </row>
    <row r="2700" spans="1:4" x14ac:dyDescent="0.2">
      <c r="A2700" s="4"/>
      <c r="B2700"/>
      <c r="C2700"/>
      <c r="D2700"/>
    </row>
    <row r="2701" spans="1:4" x14ac:dyDescent="0.2">
      <c r="A2701" s="4"/>
      <c r="B2701"/>
      <c r="C2701"/>
      <c r="D2701"/>
    </row>
    <row r="2702" spans="1:4" x14ac:dyDescent="0.2">
      <c r="A2702" s="4"/>
      <c r="B2702"/>
      <c r="C2702"/>
      <c r="D2702"/>
    </row>
    <row r="2703" spans="1:4" x14ac:dyDescent="0.2">
      <c r="A2703" s="4"/>
      <c r="B2703"/>
      <c r="C2703"/>
      <c r="D2703"/>
    </row>
    <row r="2704" spans="1:4" x14ac:dyDescent="0.2">
      <c r="A2704" s="4"/>
      <c r="B2704"/>
      <c r="C2704"/>
      <c r="D2704"/>
    </row>
    <row r="2705" spans="1:4" x14ac:dyDescent="0.2">
      <c r="A2705" s="4"/>
      <c r="B2705"/>
      <c r="C2705"/>
      <c r="D2705"/>
    </row>
    <row r="2706" spans="1:4" x14ac:dyDescent="0.2">
      <c r="A2706" s="4"/>
      <c r="B2706"/>
      <c r="C2706"/>
      <c r="D2706"/>
    </row>
    <row r="2707" spans="1:4" x14ac:dyDescent="0.2">
      <c r="A2707" s="4"/>
      <c r="B2707"/>
      <c r="C2707"/>
      <c r="D2707"/>
    </row>
    <row r="2708" spans="1:4" x14ac:dyDescent="0.2">
      <c r="A2708" s="4"/>
      <c r="B2708"/>
      <c r="C2708"/>
      <c r="D2708"/>
    </row>
    <row r="2709" spans="1:4" x14ac:dyDescent="0.2">
      <c r="A2709" s="4"/>
      <c r="B2709"/>
      <c r="C2709"/>
      <c r="D2709"/>
    </row>
    <row r="2710" spans="1:4" x14ac:dyDescent="0.2">
      <c r="A2710" s="4"/>
      <c r="B2710"/>
      <c r="C2710"/>
      <c r="D2710"/>
    </row>
    <row r="2711" spans="1:4" x14ac:dyDescent="0.2">
      <c r="A2711" s="4"/>
      <c r="B2711"/>
      <c r="C2711"/>
      <c r="D2711"/>
    </row>
    <row r="2712" spans="1:4" x14ac:dyDescent="0.2">
      <c r="A2712" s="4"/>
      <c r="B2712"/>
      <c r="C2712"/>
      <c r="D2712"/>
    </row>
    <row r="2713" spans="1:4" x14ac:dyDescent="0.2">
      <c r="A2713" s="4"/>
      <c r="B2713"/>
      <c r="C2713"/>
      <c r="D2713"/>
    </row>
    <row r="2714" spans="1:4" x14ac:dyDescent="0.2">
      <c r="A2714" s="4"/>
      <c r="B2714"/>
      <c r="C2714"/>
      <c r="D2714"/>
    </row>
    <row r="2715" spans="1:4" x14ac:dyDescent="0.2">
      <c r="A2715" s="4"/>
      <c r="B2715"/>
      <c r="C2715"/>
      <c r="D2715"/>
    </row>
    <row r="2716" spans="1:4" x14ac:dyDescent="0.2">
      <c r="A2716" s="4"/>
      <c r="B2716"/>
      <c r="C2716"/>
      <c r="D2716"/>
    </row>
    <row r="2717" spans="1:4" x14ac:dyDescent="0.2">
      <c r="A2717" s="4"/>
      <c r="B2717"/>
      <c r="C2717"/>
      <c r="D2717"/>
    </row>
    <row r="2718" spans="1:4" x14ac:dyDescent="0.2">
      <c r="A2718" s="4"/>
      <c r="B2718"/>
      <c r="C2718"/>
      <c r="D2718"/>
    </row>
    <row r="2719" spans="1:4" x14ac:dyDescent="0.2">
      <c r="A2719" s="4"/>
      <c r="B2719"/>
      <c r="C2719"/>
      <c r="D2719"/>
    </row>
    <row r="2720" spans="1:4" x14ac:dyDescent="0.2">
      <c r="A2720" s="4"/>
      <c r="B2720"/>
      <c r="C2720"/>
      <c r="D2720"/>
    </row>
    <row r="2721" spans="1:4" x14ac:dyDescent="0.2">
      <c r="A2721" s="4"/>
      <c r="B2721"/>
      <c r="C2721"/>
      <c r="D2721"/>
    </row>
    <row r="2722" spans="1:4" x14ac:dyDescent="0.2">
      <c r="A2722" s="4"/>
      <c r="B2722"/>
      <c r="C2722"/>
      <c r="D2722"/>
    </row>
    <row r="2723" spans="1:4" x14ac:dyDescent="0.2">
      <c r="A2723" s="4"/>
      <c r="B2723"/>
      <c r="C2723"/>
      <c r="D2723"/>
    </row>
    <row r="2724" spans="1:4" x14ac:dyDescent="0.2">
      <c r="A2724" s="4"/>
      <c r="B2724"/>
      <c r="C2724"/>
      <c r="D2724"/>
    </row>
    <row r="2725" spans="1:4" x14ac:dyDescent="0.2">
      <c r="A2725" s="4"/>
      <c r="B2725"/>
      <c r="C2725"/>
      <c r="D2725"/>
    </row>
    <row r="2726" spans="1:4" x14ac:dyDescent="0.2">
      <c r="A2726" s="4"/>
      <c r="B2726"/>
      <c r="C2726"/>
      <c r="D2726"/>
    </row>
    <row r="2727" spans="1:4" x14ac:dyDescent="0.2">
      <c r="A2727" s="4"/>
      <c r="B2727"/>
      <c r="C2727"/>
      <c r="D2727"/>
    </row>
    <row r="2728" spans="1:4" x14ac:dyDescent="0.2">
      <c r="A2728" s="4"/>
      <c r="B2728"/>
      <c r="C2728"/>
      <c r="D2728"/>
    </row>
    <row r="2729" spans="1:4" x14ac:dyDescent="0.2">
      <c r="A2729" s="4"/>
      <c r="B2729"/>
      <c r="C2729"/>
      <c r="D2729"/>
    </row>
    <row r="2730" spans="1:4" x14ac:dyDescent="0.2">
      <c r="A2730" s="4"/>
      <c r="B2730"/>
      <c r="C2730"/>
      <c r="D2730"/>
    </row>
    <row r="2731" spans="1:4" x14ac:dyDescent="0.2">
      <c r="A2731" s="4"/>
      <c r="B2731"/>
      <c r="C2731"/>
      <c r="D2731"/>
    </row>
    <row r="2732" spans="1:4" x14ac:dyDescent="0.2">
      <c r="A2732" s="4"/>
      <c r="B2732"/>
      <c r="C2732"/>
      <c r="D2732"/>
    </row>
    <row r="2733" spans="1:4" x14ac:dyDescent="0.2">
      <c r="A2733" s="4"/>
      <c r="B2733"/>
      <c r="C2733"/>
      <c r="D2733"/>
    </row>
    <row r="2734" spans="1:4" x14ac:dyDescent="0.2">
      <c r="A2734" s="4"/>
      <c r="B2734"/>
      <c r="C2734"/>
      <c r="D2734"/>
    </row>
    <row r="2735" spans="1:4" x14ac:dyDescent="0.2">
      <c r="A2735" s="4"/>
      <c r="B2735"/>
      <c r="C2735"/>
      <c r="D2735"/>
    </row>
    <row r="2736" spans="1:4" x14ac:dyDescent="0.2">
      <c r="A2736" s="4"/>
      <c r="B2736"/>
      <c r="C2736"/>
      <c r="D2736"/>
    </row>
    <row r="2737" spans="1:4" x14ac:dyDescent="0.2">
      <c r="A2737" s="4"/>
      <c r="B2737"/>
      <c r="C2737"/>
      <c r="D2737"/>
    </row>
    <row r="2738" spans="1:4" x14ac:dyDescent="0.2">
      <c r="A2738" s="4"/>
      <c r="B2738"/>
      <c r="C2738"/>
      <c r="D2738"/>
    </row>
    <row r="2739" spans="1:4" x14ac:dyDescent="0.2">
      <c r="A2739" s="4"/>
      <c r="B2739"/>
      <c r="C2739"/>
      <c r="D2739"/>
    </row>
    <row r="2740" spans="1:4" x14ac:dyDescent="0.2">
      <c r="A2740" s="4"/>
      <c r="B2740"/>
      <c r="C2740"/>
      <c r="D2740"/>
    </row>
    <row r="2741" spans="1:4" x14ac:dyDescent="0.2">
      <c r="A2741" s="4"/>
      <c r="B2741"/>
      <c r="C2741"/>
      <c r="D2741"/>
    </row>
    <row r="2742" spans="1:4" x14ac:dyDescent="0.2">
      <c r="A2742" s="4"/>
      <c r="B2742"/>
      <c r="C2742"/>
      <c r="D2742"/>
    </row>
    <row r="2743" spans="1:4" x14ac:dyDescent="0.2">
      <c r="A2743" s="4"/>
      <c r="B2743"/>
      <c r="C2743"/>
      <c r="D2743"/>
    </row>
    <row r="2744" spans="1:4" x14ac:dyDescent="0.2">
      <c r="A2744" s="4"/>
      <c r="B2744"/>
      <c r="C2744"/>
      <c r="D2744"/>
    </row>
    <row r="2745" spans="1:4" x14ac:dyDescent="0.2">
      <c r="A2745" s="4"/>
      <c r="B2745"/>
      <c r="C2745"/>
      <c r="D2745"/>
    </row>
    <row r="2746" spans="1:4" x14ac:dyDescent="0.2">
      <c r="A2746" s="4"/>
      <c r="B2746"/>
      <c r="C2746"/>
      <c r="D2746"/>
    </row>
    <row r="2747" spans="1:4" x14ac:dyDescent="0.2">
      <c r="A2747" s="4"/>
      <c r="B2747"/>
      <c r="C2747"/>
      <c r="D2747"/>
    </row>
    <row r="2748" spans="1:4" x14ac:dyDescent="0.2">
      <c r="A2748" s="4"/>
      <c r="B2748"/>
      <c r="C2748"/>
      <c r="D2748"/>
    </row>
    <row r="2749" spans="1:4" x14ac:dyDescent="0.2">
      <c r="A2749" s="4"/>
      <c r="B2749"/>
      <c r="C2749"/>
      <c r="D2749"/>
    </row>
    <row r="2750" spans="1:4" x14ac:dyDescent="0.2">
      <c r="A2750" s="4"/>
      <c r="B2750"/>
      <c r="C2750"/>
      <c r="D2750"/>
    </row>
    <row r="2751" spans="1:4" x14ac:dyDescent="0.2">
      <c r="A2751" s="4"/>
      <c r="B2751"/>
      <c r="C2751"/>
      <c r="D2751"/>
    </row>
    <row r="2752" spans="1:4" x14ac:dyDescent="0.2">
      <c r="A2752" s="4"/>
      <c r="B2752"/>
      <c r="C2752"/>
      <c r="D2752"/>
    </row>
    <row r="2753" spans="1:4" x14ac:dyDescent="0.2">
      <c r="A2753" s="4"/>
      <c r="B2753"/>
      <c r="C2753"/>
      <c r="D2753"/>
    </row>
    <row r="2754" spans="1:4" x14ac:dyDescent="0.2">
      <c r="A2754" s="4"/>
      <c r="B2754"/>
      <c r="C2754"/>
      <c r="D2754"/>
    </row>
    <row r="2755" spans="1:4" x14ac:dyDescent="0.2">
      <c r="A2755" s="4"/>
      <c r="B2755"/>
      <c r="C2755"/>
      <c r="D2755"/>
    </row>
    <row r="2756" spans="1:4" x14ac:dyDescent="0.2">
      <c r="A2756" s="4"/>
      <c r="B2756"/>
      <c r="C2756"/>
      <c r="D2756"/>
    </row>
    <row r="2757" spans="1:4" x14ac:dyDescent="0.2">
      <c r="A2757" s="4"/>
      <c r="B2757"/>
      <c r="C2757"/>
      <c r="D2757"/>
    </row>
    <row r="2758" spans="1:4" x14ac:dyDescent="0.2">
      <c r="A2758" s="4"/>
      <c r="B2758"/>
      <c r="C2758"/>
      <c r="D2758"/>
    </row>
    <row r="2759" spans="1:4" x14ac:dyDescent="0.2">
      <c r="A2759" s="4"/>
      <c r="B2759"/>
      <c r="C2759"/>
      <c r="D2759"/>
    </row>
    <row r="2760" spans="1:4" x14ac:dyDescent="0.2">
      <c r="A2760" s="4"/>
      <c r="B2760"/>
      <c r="C2760"/>
      <c r="D2760"/>
    </row>
    <row r="2761" spans="1:4" x14ac:dyDescent="0.2">
      <c r="A2761" s="4"/>
      <c r="B2761"/>
      <c r="C2761"/>
      <c r="D2761"/>
    </row>
    <row r="2762" spans="1:4" x14ac:dyDescent="0.2">
      <c r="A2762" s="4"/>
      <c r="B2762"/>
      <c r="C2762"/>
      <c r="D2762"/>
    </row>
    <row r="2763" spans="1:4" x14ac:dyDescent="0.2">
      <c r="A2763" s="4"/>
      <c r="B2763"/>
      <c r="C2763"/>
      <c r="D2763"/>
    </row>
    <row r="2764" spans="1:4" x14ac:dyDescent="0.2">
      <c r="A2764" s="4"/>
      <c r="B2764"/>
      <c r="C2764"/>
      <c r="D2764"/>
    </row>
    <row r="2765" spans="1:4" x14ac:dyDescent="0.2">
      <c r="A2765" s="4"/>
      <c r="B2765"/>
      <c r="C2765"/>
      <c r="D2765"/>
    </row>
    <row r="2766" spans="1:4" x14ac:dyDescent="0.2">
      <c r="A2766" s="4"/>
      <c r="B2766"/>
      <c r="C2766"/>
      <c r="D2766"/>
    </row>
    <row r="2767" spans="1:4" x14ac:dyDescent="0.2">
      <c r="A2767" s="4"/>
      <c r="B2767"/>
      <c r="C2767"/>
      <c r="D2767"/>
    </row>
    <row r="2768" spans="1:4" x14ac:dyDescent="0.2">
      <c r="A2768" s="4"/>
      <c r="B2768"/>
      <c r="C2768"/>
      <c r="D2768"/>
    </row>
    <row r="2769" spans="1:4" x14ac:dyDescent="0.2">
      <c r="A2769" s="4"/>
      <c r="B2769"/>
      <c r="C2769"/>
      <c r="D2769"/>
    </row>
    <row r="2770" spans="1:4" x14ac:dyDescent="0.2">
      <c r="A2770" s="4"/>
      <c r="B2770"/>
      <c r="C2770"/>
      <c r="D2770"/>
    </row>
    <row r="2771" spans="1:4" x14ac:dyDescent="0.2">
      <c r="A2771" s="4"/>
      <c r="B2771"/>
      <c r="C2771"/>
      <c r="D2771"/>
    </row>
    <row r="2772" spans="1:4" x14ac:dyDescent="0.2">
      <c r="A2772" s="4"/>
      <c r="B2772"/>
      <c r="C2772"/>
      <c r="D2772"/>
    </row>
    <row r="2773" spans="1:4" x14ac:dyDescent="0.2">
      <c r="A2773" s="4"/>
      <c r="B2773"/>
      <c r="C2773"/>
      <c r="D2773"/>
    </row>
    <row r="2774" spans="1:4" x14ac:dyDescent="0.2">
      <c r="A2774" s="4"/>
      <c r="B2774"/>
      <c r="C2774"/>
      <c r="D2774"/>
    </row>
    <row r="2775" spans="1:4" x14ac:dyDescent="0.2">
      <c r="A2775" s="4"/>
      <c r="B2775"/>
      <c r="C2775"/>
      <c r="D2775"/>
    </row>
    <row r="2776" spans="1:4" x14ac:dyDescent="0.2">
      <c r="A2776" s="4"/>
      <c r="B2776"/>
      <c r="C2776"/>
      <c r="D2776"/>
    </row>
    <row r="2777" spans="1:4" x14ac:dyDescent="0.2">
      <c r="A2777" s="4"/>
      <c r="B2777"/>
      <c r="C2777"/>
      <c r="D2777"/>
    </row>
    <row r="2778" spans="1:4" x14ac:dyDescent="0.2">
      <c r="A2778" s="4"/>
      <c r="B2778"/>
      <c r="C2778"/>
      <c r="D2778"/>
    </row>
    <row r="2779" spans="1:4" x14ac:dyDescent="0.2">
      <c r="A2779" s="4"/>
      <c r="B2779"/>
      <c r="C2779"/>
      <c r="D2779"/>
    </row>
    <row r="2780" spans="1:4" x14ac:dyDescent="0.2">
      <c r="A2780" s="4"/>
      <c r="B2780"/>
      <c r="C2780"/>
      <c r="D2780"/>
    </row>
    <row r="2781" spans="1:4" x14ac:dyDescent="0.2">
      <c r="A2781" s="4"/>
      <c r="B2781"/>
      <c r="C2781"/>
      <c r="D2781"/>
    </row>
    <row r="2782" spans="1:4" x14ac:dyDescent="0.2">
      <c r="A2782" s="4"/>
      <c r="B2782"/>
      <c r="C2782"/>
      <c r="D2782"/>
    </row>
    <row r="2783" spans="1:4" x14ac:dyDescent="0.2">
      <c r="A2783" s="4"/>
      <c r="B2783"/>
      <c r="C2783"/>
      <c r="D2783"/>
    </row>
    <row r="2784" spans="1:4" x14ac:dyDescent="0.2">
      <c r="A2784" s="4"/>
      <c r="B2784"/>
      <c r="C2784"/>
      <c r="D2784"/>
    </row>
    <row r="2785" spans="1:4" x14ac:dyDescent="0.2">
      <c r="A2785" s="4"/>
      <c r="B2785"/>
      <c r="C2785"/>
      <c r="D2785"/>
    </row>
    <row r="2786" spans="1:4" x14ac:dyDescent="0.2">
      <c r="A2786" s="4"/>
      <c r="B2786"/>
      <c r="C2786"/>
      <c r="D2786"/>
    </row>
    <row r="2787" spans="1:4" x14ac:dyDescent="0.2">
      <c r="A2787" s="4"/>
      <c r="B2787"/>
      <c r="C2787"/>
      <c r="D2787"/>
    </row>
    <row r="2788" spans="1:4" x14ac:dyDescent="0.2">
      <c r="A2788" s="4"/>
      <c r="B2788"/>
      <c r="C2788"/>
      <c r="D2788"/>
    </row>
    <row r="2789" spans="1:4" x14ac:dyDescent="0.2">
      <c r="A2789" s="4"/>
      <c r="B2789"/>
      <c r="C2789"/>
      <c r="D2789"/>
    </row>
    <row r="2790" spans="1:4" x14ac:dyDescent="0.2">
      <c r="A2790" s="4"/>
      <c r="B2790"/>
      <c r="C2790"/>
      <c r="D2790"/>
    </row>
    <row r="2791" spans="1:4" x14ac:dyDescent="0.2">
      <c r="A2791" s="4"/>
      <c r="B2791"/>
      <c r="C2791"/>
      <c r="D2791"/>
    </row>
    <row r="2792" spans="1:4" x14ac:dyDescent="0.2">
      <c r="A2792" s="4"/>
      <c r="B2792"/>
      <c r="C2792"/>
      <c r="D2792"/>
    </row>
    <row r="2793" spans="1:4" x14ac:dyDescent="0.2">
      <c r="A2793" s="4"/>
      <c r="B2793"/>
      <c r="C2793"/>
      <c r="D2793"/>
    </row>
    <row r="2794" spans="1:4" x14ac:dyDescent="0.2">
      <c r="A2794" s="4"/>
      <c r="B2794"/>
      <c r="C2794"/>
      <c r="D2794"/>
    </row>
    <row r="2795" spans="1:4" x14ac:dyDescent="0.2">
      <c r="A2795" s="4"/>
      <c r="B2795"/>
      <c r="C2795"/>
      <c r="D2795"/>
    </row>
    <row r="2796" spans="1:4" x14ac:dyDescent="0.2">
      <c r="A2796" s="4"/>
      <c r="B2796"/>
      <c r="C2796"/>
      <c r="D2796"/>
    </row>
    <row r="2797" spans="1:4" x14ac:dyDescent="0.2">
      <c r="A2797" s="4"/>
      <c r="B2797"/>
      <c r="C2797"/>
      <c r="D2797"/>
    </row>
    <row r="2798" spans="1:4" x14ac:dyDescent="0.2">
      <c r="A2798" s="4"/>
      <c r="B2798"/>
      <c r="C2798"/>
      <c r="D2798"/>
    </row>
    <row r="2799" spans="1:4" x14ac:dyDescent="0.2">
      <c r="A2799" s="4"/>
      <c r="B2799"/>
      <c r="C2799"/>
      <c r="D2799"/>
    </row>
    <row r="2800" spans="1:4" x14ac:dyDescent="0.2">
      <c r="A2800" s="4"/>
      <c r="B2800"/>
      <c r="C2800"/>
      <c r="D2800"/>
    </row>
    <row r="2801" spans="1:4" x14ac:dyDescent="0.2">
      <c r="A2801" s="4"/>
      <c r="B2801"/>
      <c r="C2801"/>
      <c r="D2801"/>
    </row>
    <row r="2802" spans="1:4" x14ac:dyDescent="0.2">
      <c r="A2802" s="4"/>
      <c r="B2802"/>
      <c r="C2802"/>
      <c r="D2802"/>
    </row>
    <row r="2803" spans="1:4" x14ac:dyDescent="0.2">
      <c r="A2803" s="4"/>
      <c r="B2803"/>
      <c r="C2803"/>
      <c r="D2803"/>
    </row>
    <row r="2804" spans="1:4" x14ac:dyDescent="0.2">
      <c r="A2804" s="4"/>
      <c r="B2804"/>
      <c r="C2804"/>
      <c r="D2804"/>
    </row>
    <row r="2805" spans="1:4" x14ac:dyDescent="0.2">
      <c r="A2805" s="4"/>
      <c r="B2805"/>
      <c r="C2805"/>
      <c r="D2805"/>
    </row>
    <row r="2806" spans="1:4" x14ac:dyDescent="0.2">
      <c r="A2806" s="4"/>
      <c r="B2806"/>
      <c r="C2806"/>
      <c r="D2806"/>
    </row>
    <row r="2807" spans="1:4" x14ac:dyDescent="0.2">
      <c r="A2807" s="4"/>
      <c r="B2807"/>
      <c r="C2807"/>
      <c r="D2807"/>
    </row>
    <row r="2808" spans="1:4" x14ac:dyDescent="0.2">
      <c r="A2808" s="4"/>
      <c r="B2808"/>
      <c r="C2808"/>
      <c r="D2808"/>
    </row>
    <row r="2809" spans="1:4" x14ac:dyDescent="0.2">
      <c r="A2809" s="4"/>
      <c r="B2809"/>
      <c r="C2809"/>
      <c r="D2809"/>
    </row>
    <row r="2810" spans="1:4" x14ac:dyDescent="0.2">
      <c r="A2810" s="4"/>
      <c r="B2810"/>
      <c r="C2810"/>
      <c r="D2810"/>
    </row>
    <row r="2811" spans="1:4" x14ac:dyDescent="0.2">
      <c r="A2811" s="4"/>
      <c r="B2811"/>
      <c r="C2811"/>
      <c r="D2811"/>
    </row>
    <row r="2812" spans="1:4" x14ac:dyDescent="0.2">
      <c r="A2812" s="4"/>
      <c r="B2812"/>
      <c r="C2812"/>
      <c r="D2812"/>
    </row>
    <row r="2813" spans="1:4" x14ac:dyDescent="0.2">
      <c r="A2813" s="4"/>
      <c r="B2813"/>
      <c r="C2813"/>
      <c r="D2813"/>
    </row>
    <row r="2814" spans="1:4" x14ac:dyDescent="0.2">
      <c r="A2814" s="4"/>
      <c r="B2814"/>
      <c r="C2814"/>
      <c r="D2814"/>
    </row>
    <row r="2815" spans="1:4" x14ac:dyDescent="0.2">
      <c r="A2815" s="4"/>
      <c r="B2815"/>
      <c r="C2815"/>
      <c r="D2815"/>
    </row>
    <row r="2816" spans="1:4" x14ac:dyDescent="0.2">
      <c r="A2816" s="4"/>
      <c r="B2816"/>
      <c r="C2816"/>
      <c r="D2816"/>
    </row>
    <row r="2817" spans="1:4" x14ac:dyDescent="0.2">
      <c r="A2817" s="4"/>
      <c r="B2817"/>
      <c r="C2817"/>
      <c r="D2817"/>
    </row>
    <row r="2818" spans="1:4" x14ac:dyDescent="0.2">
      <c r="A2818" s="4"/>
      <c r="B2818"/>
      <c r="C2818"/>
      <c r="D2818"/>
    </row>
    <row r="2819" spans="1:4" x14ac:dyDescent="0.2">
      <c r="A2819" s="4"/>
      <c r="B2819"/>
      <c r="C2819"/>
      <c r="D2819"/>
    </row>
    <row r="2820" spans="1:4" x14ac:dyDescent="0.2">
      <c r="A2820" s="4"/>
      <c r="B2820"/>
      <c r="C2820"/>
      <c r="D2820"/>
    </row>
    <row r="2821" spans="1:4" x14ac:dyDescent="0.2">
      <c r="A2821" s="4"/>
      <c r="B2821"/>
      <c r="C2821"/>
      <c r="D2821"/>
    </row>
    <row r="2822" spans="1:4" x14ac:dyDescent="0.2">
      <c r="A2822" s="4"/>
      <c r="B2822"/>
      <c r="C2822"/>
      <c r="D2822"/>
    </row>
    <row r="2823" spans="1:4" x14ac:dyDescent="0.2">
      <c r="A2823" s="4"/>
      <c r="B2823"/>
      <c r="C2823"/>
      <c r="D2823"/>
    </row>
    <row r="2824" spans="1:4" x14ac:dyDescent="0.2">
      <c r="A2824" s="4"/>
      <c r="B2824"/>
      <c r="C2824"/>
      <c r="D2824"/>
    </row>
    <row r="2825" spans="1:4" x14ac:dyDescent="0.2">
      <c r="A2825" s="4"/>
      <c r="B2825"/>
      <c r="C2825"/>
      <c r="D2825"/>
    </row>
    <row r="2826" spans="1:4" x14ac:dyDescent="0.2">
      <c r="A2826" s="4"/>
      <c r="B2826"/>
      <c r="C2826"/>
      <c r="D2826"/>
    </row>
    <row r="2827" spans="1:4" x14ac:dyDescent="0.2">
      <c r="A2827" s="4"/>
      <c r="B2827"/>
      <c r="C2827"/>
      <c r="D2827"/>
    </row>
    <row r="2828" spans="1:4" x14ac:dyDescent="0.2">
      <c r="A2828" s="4"/>
      <c r="B2828"/>
      <c r="C2828"/>
      <c r="D2828"/>
    </row>
    <row r="2829" spans="1:4" x14ac:dyDescent="0.2">
      <c r="A2829" s="4"/>
      <c r="B2829"/>
      <c r="C2829"/>
      <c r="D2829"/>
    </row>
    <row r="2830" spans="1:4" x14ac:dyDescent="0.2">
      <c r="A2830" s="4"/>
      <c r="B2830"/>
      <c r="C2830"/>
      <c r="D2830"/>
    </row>
    <row r="2831" spans="1:4" x14ac:dyDescent="0.2">
      <c r="A2831" s="4"/>
      <c r="B2831"/>
      <c r="C2831"/>
      <c r="D2831"/>
    </row>
    <row r="2832" spans="1:4" x14ac:dyDescent="0.2">
      <c r="A2832" s="4"/>
      <c r="B2832"/>
      <c r="C2832"/>
      <c r="D2832"/>
    </row>
    <row r="2833" spans="1:4" x14ac:dyDescent="0.2">
      <c r="A2833" s="4"/>
      <c r="B2833"/>
      <c r="C2833"/>
      <c r="D2833"/>
    </row>
    <row r="2834" spans="1:4" x14ac:dyDescent="0.2">
      <c r="A2834" s="4"/>
      <c r="B2834"/>
      <c r="C2834"/>
      <c r="D2834"/>
    </row>
    <row r="2835" spans="1:4" x14ac:dyDescent="0.2">
      <c r="A2835" s="4"/>
      <c r="B2835"/>
      <c r="C2835"/>
      <c r="D2835"/>
    </row>
    <row r="2836" spans="1:4" x14ac:dyDescent="0.2">
      <c r="A2836" s="4"/>
      <c r="B2836"/>
      <c r="C2836"/>
      <c r="D2836"/>
    </row>
    <row r="2837" spans="1:4" x14ac:dyDescent="0.2">
      <c r="A2837" s="4"/>
      <c r="B2837"/>
      <c r="C2837"/>
      <c r="D2837"/>
    </row>
    <row r="2838" spans="1:4" x14ac:dyDescent="0.2">
      <c r="A2838" s="4"/>
      <c r="B2838"/>
      <c r="C2838"/>
      <c r="D2838"/>
    </row>
    <row r="2839" spans="1:4" x14ac:dyDescent="0.2">
      <c r="A2839" s="4"/>
      <c r="B2839"/>
      <c r="C2839"/>
      <c r="D2839"/>
    </row>
    <row r="2840" spans="1:4" x14ac:dyDescent="0.2">
      <c r="A2840" s="4"/>
      <c r="B2840"/>
      <c r="C2840"/>
      <c r="D2840"/>
    </row>
    <row r="2841" spans="1:4" x14ac:dyDescent="0.2">
      <c r="A2841" s="4"/>
      <c r="B2841"/>
      <c r="C2841"/>
      <c r="D2841"/>
    </row>
    <row r="2842" spans="1:4" x14ac:dyDescent="0.2">
      <c r="A2842" s="4"/>
      <c r="B2842"/>
      <c r="C2842"/>
      <c r="D2842"/>
    </row>
    <row r="2843" spans="1:4" x14ac:dyDescent="0.2">
      <c r="A2843" s="4"/>
      <c r="B2843"/>
      <c r="C2843"/>
      <c r="D2843"/>
    </row>
    <row r="2844" spans="1:4" x14ac:dyDescent="0.2">
      <c r="A2844" s="4"/>
      <c r="B2844"/>
      <c r="C2844"/>
      <c r="D2844"/>
    </row>
    <row r="2845" spans="1:4" x14ac:dyDescent="0.2">
      <c r="A2845" s="4"/>
      <c r="B2845"/>
      <c r="C2845"/>
      <c r="D2845"/>
    </row>
    <row r="2846" spans="1:4" x14ac:dyDescent="0.2">
      <c r="A2846" s="4"/>
      <c r="B2846"/>
      <c r="C2846"/>
      <c r="D2846"/>
    </row>
    <row r="2847" spans="1:4" x14ac:dyDescent="0.2">
      <c r="A2847" s="4"/>
      <c r="B2847"/>
      <c r="C2847"/>
      <c r="D2847"/>
    </row>
    <row r="2848" spans="1:4" x14ac:dyDescent="0.2">
      <c r="A2848" s="4"/>
      <c r="B2848"/>
      <c r="C2848"/>
      <c r="D2848"/>
    </row>
    <row r="2849" spans="1:4" x14ac:dyDescent="0.2">
      <c r="A2849" s="4"/>
      <c r="B2849"/>
      <c r="C2849"/>
      <c r="D2849"/>
    </row>
    <row r="2850" spans="1:4" x14ac:dyDescent="0.2">
      <c r="A2850" s="4"/>
      <c r="B2850"/>
      <c r="C2850"/>
      <c r="D2850"/>
    </row>
    <row r="2851" spans="1:4" x14ac:dyDescent="0.2">
      <c r="A2851" s="4"/>
      <c r="B2851"/>
      <c r="C2851"/>
      <c r="D2851"/>
    </row>
    <row r="2852" spans="1:4" x14ac:dyDescent="0.2">
      <c r="A2852" s="4"/>
      <c r="B2852"/>
      <c r="C2852"/>
      <c r="D2852"/>
    </row>
    <row r="2853" spans="1:4" x14ac:dyDescent="0.2">
      <c r="A2853" s="4"/>
      <c r="B2853"/>
      <c r="C2853"/>
      <c r="D2853"/>
    </row>
    <row r="2854" spans="1:4" x14ac:dyDescent="0.2">
      <c r="A2854" s="4"/>
      <c r="B2854"/>
      <c r="C2854"/>
      <c r="D2854"/>
    </row>
    <row r="2855" spans="1:4" x14ac:dyDescent="0.2">
      <c r="A2855" s="4"/>
      <c r="B2855"/>
      <c r="C2855"/>
      <c r="D2855"/>
    </row>
    <row r="2856" spans="1:4" x14ac:dyDescent="0.2">
      <c r="A2856" s="4"/>
      <c r="B2856"/>
      <c r="C2856"/>
      <c r="D2856"/>
    </row>
    <row r="2857" spans="1:4" x14ac:dyDescent="0.2">
      <c r="A2857" s="4"/>
      <c r="B2857"/>
      <c r="C2857"/>
      <c r="D2857"/>
    </row>
    <row r="2858" spans="1:4" x14ac:dyDescent="0.2">
      <c r="A2858" s="4"/>
      <c r="B2858"/>
      <c r="C2858"/>
      <c r="D2858"/>
    </row>
    <row r="2859" spans="1:4" x14ac:dyDescent="0.2">
      <c r="A2859" s="4"/>
      <c r="B2859"/>
      <c r="C2859"/>
      <c r="D2859"/>
    </row>
    <row r="2860" spans="1:4" x14ac:dyDescent="0.2">
      <c r="A2860" s="4"/>
      <c r="B2860"/>
      <c r="C2860"/>
      <c r="D2860"/>
    </row>
    <row r="2861" spans="1:4" x14ac:dyDescent="0.2">
      <c r="A2861" s="4"/>
      <c r="B2861"/>
      <c r="C2861"/>
      <c r="D2861"/>
    </row>
    <row r="2862" spans="1:4" x14ac:dyDescent="0.2">
      <c r="A2862" s="4"/>
      <c r="B2862"/>
      <c r="C2862"/>
      <c r="D2862"/>
    </row>
    <row r="2863" spans="1:4" x14ac:dyDescent="0.2">
      <c r="A2863" s="4"/>
      <c r="B2863"/>
      <c r="C2863"/>
      <c r="D2863"/>
    </row>
    <row r="2864" spans="1:4" x14ac:dyDescent="0.2">
      <c r="A2864" s="4"/>
      <c r="B2864"/>
      <c r="C2864"/>
      <c r="D2864"/>
    </row>
    <row r="2865" spans="1:4" x14ac:dyDescent="0.2">
      <c r="A2865" s="4"/>
      <c r="B2865"/>
      <c r="C2865"/>
      <c r="D2865"/>
    </row>
    <row r="2866" spans="1:4" x14ac:dyDescent="0.2">
      <c r="A2866" s="4"/>
      <c r="B2866"/>
      <c r="C2866"/>
      <c r="D2866"/>
    </row>
    <row r="2867" spans="1:4" x14ac:dyDescent="0.2">
      <c r="A2867" s="4"/>
      <c r="B2867"/>
      <c r="C2867"/>
      <c r="D2867"/>
    </row>
    <row r="2868" spans="1:4" x14ac:dyDescent="0.2">
      <c r="A2868" s="4"/>
      <c r="B2868"/>
      <c r="C2868"/>
      <c r="D2868"/>
    </row>
    <row r="2869" spans="1:4" x14ac:dyDescent="0.2">
      <c r="A2869" s="4"/>
      <c r="B2869"/>
      <c r="C2869"/>
      <c r="D2869"/>
    </row>
    <row r="2870" spans="1:4" x14ac:dyDescent="0.2">
      <c r="A2870" s="4"/>
      <c r="B2870"/>
      <c r="C2870"/>
      <c r="D2870"/>
    </row>
    <row r="2871" spans="1:4" x14ac:dyDescent="0.2">
      <c r="A2871" s="4"/>
      <c r="B2871"/>
      <c r="C2871"/>
      <c r="D2871"/>
    </row>
    <row r="2872" spans="1:4" x14ac:dyDescent="0.2">
      <c r="A2872" s="4"/>
      <c r="B2872"/>
      <c r="C2872"/>
      <c r="D2872"/>
    </row>
    <row r="2873" spans="1:4" x14ac:dyDescent="0.2">
      <c r="A2873" s="4"/>
      <c r="B2873"/>
      <c r="C2873"/>
      <c r="D2873"/>
    </row>
    <row r="2874" spans="1:4" x14ac:dyDescent="0.2">
      <c r="A2874" s="4"/>
      <c r="B2874"/>
      <c r="C2874"/>
      <c r="D2874"/>
    </row>
    <row r="2875" spans="1:4" x14ac:dyDescent="0.2">
      <c r="A2875" s="4"/>
      <c r="B2875"/>
      <c r="C2875"/>
      <c r="D2875"/>
    </row>
    <row r="2876" spans="1:4" x14ac:dyDescent="0.2">
      <c r="A2876" s="4"/>
      <c r="B2876"/>
      <c r="C2876"/>
      <c r="D2876"/>
    </row>
    <row r="2877" spans="1:4" x14ac:dyDescent="0.2">
      <c r="A2877" s="4"/>
      <c r="B2877"/>
      <c r="C2877"/>
      <c r="D2877"/>
    </row>
    <row r="2878" spans="1:4" x14ac:dyDescent="0.2">
      <c r="A2878" s="4"/>
      <c r="B2878"/>
      <c r="C2878"/>
      <c r="D2878"/>
    </row>
    <row r="2879" spans="1:4" x14ac:dyDescent="0.2">
      <c r="A2879" s="4"/>
      <c r="B2879"/>
      <c r="C2879"/>
      <c r="D2879"/>
    </row>
    <row r="2880" spans="1:4" x14ac:dyDescent="0.2">
      <c r="A2880" s="4"/>
      <c r="B2880"/>
      <c r="C2880"/>
      <c r="D2880"/>
    </row>
    <row r="2881" spans="1:4" x14ac:dyDescent="0.2">
      <c r="A2881" s="4"/>
      <c r="B2881"/>
      <c r="C2881"/>
      <c r="D2881"/>
    </row>
    <row r="2882" spans="1:4" x14ac:dyDescent="0.2">
      <c r="A2882" s="4"/>
      <c r="B2882"/>
      <c r="C2882"/>
      <c r="D2882"/>
    </row>
    <row r="2883" spans="1:4" x14ac:dyDescent="0.2">
      <c r="A2883" s="4"/>
      <c r="B2883"/>
      <c r="C2883"/>
      <c r="D2883"/>
    </row>
    <row r="2884" spans="1:4" x14ac:dyDescent="0.2">
      <c r="A2884" s="4"/>
      <c r="B2884"/>
      <c r="C2884"/>
      <c r="D2884"/>
    </row>
    <row r="2885" spans="1:4" x14ac:dyDescent="0.2">
      <c r="A2885" s="4"/>
      <c r="B2885"/>
      <c r="C2885"/>
      <c r="D2885"/>
    </row>
    <row r="2886" spans="1:4" x14ac:dyDescent="0.2">
      <c r="A2886" s="4"/>
      <c r="B2886"/>
      <c r="C2886"/>
      <c r="D2886"/>
    </row>
    <row r="2887" spans="1:4" x14ac:dyDescent="0.2">
      <c r="A2887" s="4"/>
      <c r="B2887"/>
      <c r="C2887"/>
      <c r="D2887"/>
    </row>
    <row r="2888" spans="1:4" x14ac:dyDescent="0.2">
      <c r="A2888" s="4"/>
      <c r="B2888"/>
      <c r="C2888"/>
      <c r="D2888"/>
    </row>
    <row r="2889" spans="1:4" x14ac:dyDescent="0.2">
      <c r="A2889" s="4"/>
      <c r="B2889"/>
      <c r="C2889"/>
      <c r="D2889"/>
    </row>
    <row r="2890" spans="1:4" x14ac:dyDescent="0.2">
      <c r="A2890" s="4"/>
      <c r="B2890"/>
      <c r="C2890"/>
      <c r="D2890"/>
    </row>
    <row r="2891" spans="1:4" x14ac:dyDescent="0.2">
      <c r="A2891" s="4"/>
      <c r="B2891"/>
      <c r="C2891"/>
      <c r="D2891"/>
    </row>
    <row r="2892" spans="1:4" x14ac:dyDescent="0.2">
      <c r="A2892" s="4"/>
      <c r="B2892"/>
      <c r="C2892"/>
      <c r="D2892"/>
    </row>
    <row r="2893" spans="1:4" x14ac:dyDescent="0.2">
      <c r="A2893" s="4"/>
      <c r="B2893"/>
      <c r="C2893"/>
      <c r="D2893"/>
    </row>
    <row r="2894" spans="1:4" x14ac:dyDescent="0.2">
      <c r="A2894" s="4"/>
      <c r="B2894"/>
      <c r="C2894"/>
      <c r="D2894"/>
    </row>
    <row r="2895" spans="1:4" x14ac:dyDescent="0.2">
      <c r="A2895" s="4"/>
      <c r="B2895"/>
      <c r="C2895"/>
      <c r="D2895"/>
    </row>
    <row r="2896" spans="1:4" x14ac:dyDescent="0.2">
      <c r="A2896" s="4"/>
      <c r="B2896"/>
      <c r="C2896"/>
      <c r="D2896"/>
    </row>
    <row r="2897" spans="1:4" x14ac:dyDescent="0.2">
      <c r="A2897" s="4"/>
      <c r="B2897"/>
      <c r="C2897"/>
      <c r="D2897"/>
    </row>
    <row r="2898" spans="1:4" x14ac:dyDescent="0.2">
      <c r="A2898" s="4"/>
      <c r="B2898"/>
      <c r="C2898"/>
      <c r="D2898"/>
    </row>
    <row r="2899" spans="1:4" x14ac:dyDescent="0.2">
      <c r="A2899" s="4"/>
      <c r="B2899"/>
      <c r="C2899"/>
      <c r="D2899"/>
    </row>
    <row r="2900" spans="1:4" x14ac:dyDescent="0.2">
      <c r="A2900" s="4"/>
      <c r="B2900"/>
      <c r="C2900"/>
      <c r="D2900"/>
    </row>
    <row r="2901" spans="1:4" x14ac:dyDescent="0.2">
      <c r="A2901" s="4"/>
      <c r="B2901"/>
      <c r="C2901"/>
      <c r="D2901"/>
    </row>
    <row r="2902" spans="1:4" x14ac:dyDescent="0.2">
      <c r="A2902" s="4"/>
      <c r="B2902"/>
      <c r="C2902"/>
      <c r="D2902"/>
    </row>
    <row r="2903" spans="1:4" x14ac:dyDescent="0.2">
      <c r="A2903" s="4"/>
      <c r="B2903"/>
      <c r="C2903"/>
      <c r="D2903"/>
    </row>
    <row r="2904" spans="1:4" x14ac:dyDescent="0.2">
      <c r="A2904" s="4"/>
      <c r="B2904"/>
      <c r="C2904"/>
      <c r="D2904"/>
    </row>
    <row r="2905" spans="1:4" x14ac:dyDescent="0.2">
      <c r="A2905" s="4"/>
      <c r="B2905"/>
      <c r="C2905"/>
      <c r="D2905"/>
    </row>
    <row r="2906" spans="1:4" x14ac:dyDescent="0.2">
      <c r="A2906" s="4"/>
      <c r="B2906"/>
      <c r="C2906"/>
      <c r="D2906"/>
    </row>
    <row r="2907" spans="1:4" x14ac:dyDescent="0.2">
      <c r="A2907" s="4"/>
      <c r="B2907"/>
      <c r="C2907"/>
      <c r="D2907"/>
    </row>
    <row r="2908" spans="1:4" x14ac:dyDescent="0.2">
      <c r="A2908" s="4"/>
      <c r="B2908"/>
      <c r="C2908"/>
      <c r="D2908"/>
    </row>
    <row r="2909" spans="1:4" x14ac:dyDescent="0.2">
      <c r="A2909" s="4"/>
      <c r="B2909"/>
      <c r="C2909"/>
      <c r="D2909"/>
    </row>
    <row r="2910" spans="1:4" x14ac:dyDescent="0.2">
      <c r="A2910" s="4"/>
      <c r="B2910"/>
      <c r="C2910"/>
      <c r="D2910"/>
    </row>
    <row r="2911" spans="1:4" x14ac:dyDescent="0.2">
      <c r="A2911" s="4"/>
      <c r="B2911"/>
      <c r="C2911"/>
      <c r="D2911"/>
    </row>
    <row r="2912" spans="1:4" x14ac:dyDescent="0.2">
      <c r="A2912" s="4"/>
      <c r="B2912"/>
      <c r="C2912"/>
      <c r="D2912"/>
    </row>
    <row r="2913" spans="1:4" x14ac:dyDescent="0.2">
      <c r="A2913" s="4"/>
      <c r="B2913"/>
      <c r="C2913"/>
      <c r="D2913"/>
    </row>
    <row r="2914" spans="1:4" x14ac:dyDescent="0.2">
      <c r="A2914" s="4"/>
      <c r="B2914"/>
      <c r="C2914"/>
      <c r="D2914"/>
    </row>
    <row r="2915" spans="1:4" x14ac:dyDescent="0.2">
      <c r="A2915" s="4"/>
      <c r="B2915"/>
      <c r="C2915"/>
      <c r="D2915"/>
    </row>
    <row r="2916" spans="1:4" x14ac:dyDescent="0.2">
      <c r="A2916" s="4"/>
      <c r="B2916"/>
      <c r="C2916"/>
      <c r="D2916"/>
    </row>
    <row r="2917" spans="1:4" x14ac:dyDescent="0.2">
      <c r="A2917" s="4"/>
      <c r="B2917"/>
      <c r="C2917"/>
      <c r="D2917"/>
    </row>
    <row r="2918" spans="1:4" x14ac:dyDescent="0.2">
      <c r="A2918" s="4"/>
      <c r="B2918"/>
      <c r="C2918"/>
      <c r="D2918"/>
    </row>
    <row r="2919" spans="1:4" x14ac:dyDescent="0.2">
      <c r="A2919" s="4"/>
      <c r="B2919"/>
      <c r="C2919"/>
      <c r="D2919"/>
    </row>
    <row r="2920" spans="1:4" x14ac:dyDescent="0.2">
      <c r="A2920" s="4"/>
      <c r="B2920"/>
      <c r="C2920"/>
      <c r="D2920"/>
    </row>
    <row r="2921" spans="1:4" x14ac:dyDescent="0.2">
      <c r="A2921" s="4"/>
      <c r="B2921"/>
      <c r="C2921"/>
      <c r="D2921"/>
    </row>
    <row r="2922" spans="1:4" x14ac:dyDescent="0.2">
      <c r="A2922" s="4"/>
      <c r="B2922"/>
      <c r="C2922"/>
      <c r="D2922"/>
    </row>
    <row r="2923" spans="1:4" x14ac:dyDescent="0.2">
      <c r="A2923" s="4"/>
      <c r="B2923"/>
      <c r="C2923"/>
      <c r="D2923"/>
    </row>
    <row r="2924" spans="1:4" x14ac:dyDescent="0.2">
      <c r="A2924" s="4"/>
      <c r="B2924"/>
      <c r="C2924"/>
      <c r="D2924"/>
    </row>
    <row r="2925" spans="1:4" x14ac:dyDescent="0.2">
      <c r="A2925" s="4"/>
      <c r="B2925"/>
      <c r="C2925"/>
      <c r="D2925"/>
    </row>
    <row r="2926" spans="1:4" x14ac:dyDescent="0.2">
      <c r="A2926" s="4"/>
      <c r="B2926"/>
      <c r="C2926"/>
      <c r="D2926"/>
    </row>
    <row r="2927" spans="1:4" x14ac:dyDescent="0.2">
      <c r="A2927" s="4"/>
      <c r="B2927"/>
      <c r="C2927"/>
      <c r="D2927"/>
    </row>
    <row r="2928" spans="1:4" x14ac:dyDescent="0.2">
      <c r="A2928" s="4"/>
      <c r="B2928"/>
      <c r="C2928"/>
      <c r="D2928"/>
    </row>
    <row r="2929" spans="1:4" x14ac:dyDescent="0.2">
      <c r="A2929" s="4"/>
      <c r="B2929"/>
      <c r="C2929"/>
      <c r="D2929"/>
    </row>
    <row r="2930" spans="1:4" x14ac:dyDescent="0.2">
      <c r="A2930" s="4"/>
      <c r="B2930"/>
      <c r="C2930"/>
      <c r="D2930"/>
    </row>
    <row r="2931" spans="1:4" x14ac:dyDescent="0.2">
      <c r="A2931" s="4"/>
      <c r="B2931"/>
      <c r="C2931"/>
      <c r="D2931"/>
    </row>
    <row r="2932" spans="1:4" x14ac:dyDescent="0.2">
      <c r="A2932" s="4"/>
      <c r="B2932"/>
      <c r="C2932"/>
      <c r="D2932"/>
    </row>
    <row r="2933" spans="1:4" x14ac:dyDescent="0.2">
      <c r="A2933" s="4"/>
      <c r="B2933"/>
      <c r="C2933"/>
      <c r="D2933"/>
    </row>
    <row r="2934" spans="1:4" x14ac:dyDescent="0.2">
      <c r="A2934" s="4"/>
      <c r="B2934"/>
      <c r="C2934"/>
      <c r="D2934"/>
    </row>
    <row r="2935" spans="1:4" x14ac:dyDescent="0.2">
      <c r="A2935" s="4"/>
      <c r="B2935"/>
      <c r="C2935"/>
      <c r="D2935"/>
    </row>
    <row r="2936" spans="1:4" x14ac:dyDescent="0.2">
      <c r="A2936" s="4"/>
      <c r="B2936"/>
      <c r="C2936"/>
      <c r="D2936"/>
    </row>
    <row r="2937" spans="1:4" x14ac:dyDescent="0.2">
      <c r="A2937" s="4"/>
      <c r="B2937"/>
      <c r="C2937"/>
      <c r="D2937"/>
    </row>
    <row r="2938" spans="1:4" x14ac:dyDescent="0.2">
      <c r="A2938" s="4"/>
      <c r="B2938"/>
      <c r="C2938"/>
      <c r="D2938"/>
    </row>
    <row r="2939" spans="1:4" x14ac:dyDescent="0.2">
      <c r="A2939" s="4"/>
      <c r="B2939"/>
      <c r="C2939"/>
      <c r="D2939"/>
    </row>
    <row r="2940" spans="1:4" x14ac:dyDescent="0.2">
      <c r="A2940" s="4"/>
      <c r="B2940"/>
      <c r="C2940"/>
      <c r="D2940"/>
    </row>
    <row r="2941" spans="1:4" x14ac:dyDescent="0.2">
      <c r="A2941" s="4"/>
      <c r="B2941"/>
      <c r="C2941"/>
      <c r="D2941"/>
    </row>
    <row r="2942" spans="1:4" x14ac:dyDescent="0.2">
      <c r="A2942" s="4"/>
      <c r="B2942"/>
      <c r="C2942"/>
      <c r="D2942"/>
    </row>
    <row r="2943" spans="1:4" x14ac:dyDescent="0.2">
      <c r="A2943" s="4"/>
      <c r="B2943"/>
      <c r="C2943"/>
      <c r="D2943"/>
    </row>
    <row r="2944" spans="1:4" x14ac:dyDescent="0.2">
      <c r="A2944" s="4"/>
      <c r="B2944"/>
      <c r="C2944"/>
      <c r="D2944"/>
    </row>
    <row r="2945" spans="1:4" x14ac:dyDescent="0.2">
      <c r="A2945" s="4"/>
      <c r="B2945"/>
      <c r="C2945"/>
      <c r="D2945"/>
    </row>
    <row r="2946" spans="1:4" x14ac:dyDescent="0.2">
      <c r="A2946" s="4"/>
      <c r="B2946"/>
      <c r="C2946"/>
      <c r="D2946"/>
    </row>
    <row r="2947" spans="1:4" x14ac:dyDescent="0.2">
      <c r="A2947" s="4"/>
      <c r="B2947"/>
      <c r="C2947"/>
      <c r="D2947"/>
    </row>
    <row r="2948" spans="1:4" x14ac:dyDescent="0.2">
      <c r="A2948" s="4"/>
      <c r="B2948"/>
      <c r="C2948"/>
      <c r="D2948"/>
    </row>
    <row r="2949" spans="1:4" x14ac:dyDescent="0.2">
      <c r="A2949" s="4"/>
      <c r="B2949"/>
      <c r="C2949"/>
      <c r="D2949"/>
    </row>
    <row r="2950" spans="1:4" x14ac:dyDescent="0.2">
      <c r="A2950" s="4"/>
      <c r="B2950"/>
      <c r="C2950"/>
      <c r="D2950"/>
    </row>
    <row r="2951" spans="1:4" x14ac:dyDescent="0.2">
      <c r="A2951" s="4"/>
      <c r="B2951"/>
      <c r="C2951"/>
      <c r="D2951"/>
    </row>
    <row r="2952" spans="1:4" x14ac:dyDescent="0.2">
      <c r="A2952" s="4"/>
      <c r="B2952"/>
      <c r="C2952"/>
      <c r="D2952"/>
    </row>
    <row r="2953" spans="1:4" x14ac:dyDescent="0.2">
      <c r="A2953" s="4"/>
      <c r="B2953"/>
      <c r="C2953"/>
      <c r="D2953"/>
    </row>
    <row r="2954" spans="1:4" x14ac:dyDescent="0.2">
      <c r="A2954" s="4"/>
      <c r="B2954"/>
      <c r="C2954"/>
      <c r="D2954"/>
    </row>
    <row r="2955" spans="1:4" x14ac:dyDescent="0.2">
      <c r="A2955" s="4"/>
      <c r="B2955"/>
      <c r="C2955"/>
      <c r="D2955"/>
    </row>
    <row r="2956" spans="1:4" x14ac:dyDescent="0.2">
      <c r="A2956" s="4"/>
      <c r="B2956"/>
      <c r="C2956"/>
      <c r="D2956"/>
    </row>
    <row r="2957" spans="1:4" x14ac:dyDescent="0.2">
      <c r="A2957" s="4"/>
      <c r="B2957"/>
      <c r="C2957"/>
      <c r="D2957"/>
    </row>
    <row r="2958" spans="1:4" x14ac:dyDescent="0.2">
      <c r="A2958" s="4"/>
      <c r="B2958"/>
      <c r="C2958"/>
      <c r="D2958"/>
    </row>
    <row r="2959" spans="1:4" x14ac:dyDescent="0.2">
      <c r="A2959" s="4"/>
      <c r="B2959"/>
      <c r="C2959"/>
      <c r="D2959"/>
    </row>
    <row r="2960" spans="1:4" x14ac:dyDescent="0.2">
      <c r="A2960" s="4"/>
      <c r="B2960"/>
      <c r="C2960"/>
      <c r="D2960"/>
    </row>
    <row r="2961" spans="1:4" x14ac:dyDescent="0.2">
      <c r="A2961" s="4"/>
      <c r="B2961"/>
      <c r="C2961"/>
      <c r="D2961"/>
    </row>
    <row r="2962" spans="1:4" x14ac:dyDescent="0.2">
      <c r="A2962" s="4"/>
      <c r="B2962"/>
      <c r="C2962"/>
      <c r="D2962"/>
    </row>
    <row r="2963" spans="1:4" x14ac:dyDescent="0.2">
      <c r="A2963" s="4"/>
      <c r="B2963"/>
      <c r="C2963"/>
      <c r="D2963"/>
    </row>
    <row r="2964" spans="1:4" x14ac:dyDescent="0.2">
      <c r="A2964" s="4"/>
      <c r="B2964"/>
      <c r="C2964"/>
      <c r="D2964"/>
    </row>
    <row r="2965" spans="1:4" x14ac:dyDescent="0.2">
      <c r="A2965" s="4"/>
      <c r="B2965"/>
      <c r="C2965"/>
      <c r="D2965"/>
    </row>
    <row r="2966" spans="1:4" x14ac:dyDescent="0.2">
      <c r="A2966" s="4"/>
      <c r="B2966"/>
      <c r="C2966"/>
      <c r="D2966"/>
    </row>
    <row r="2967" spans="1:4" x14ac:dyDescent="0.2">
      <c r="A2967" s="4"/>
      <c r="B2967"/>
      <c r="C2967"/>
      <c r="D2967"/>
    </row>
    <row r="2968" spans="1:4" x14ac:dyDescent="0.2">
      <c r="A2968" s="4"/>
      <c r="B2968"/>
      <c r="C2968"/>
      <c r="D2968"/>
    </row>
    <row r="2969" spans="1:4" x14ac:dyDescent="0.2">
      <c r="A2969" s="4"/>
      <c r="B2969"/>
      <c r="C2969"/>
      <c r="D2969"/>
    </row>
    <row r="2970" spans="1:4" x14ac:dyDescent="0.2">
      <c r="A2970" s="4"/>
      <c r="B2970"/>
      <c r="C2970"/>
      <c r="D2970"/>
    </row>
    <row r="2971" spans="1:4" x14ac:dyDescent="0.2">
      <c r="A2971" s="4"/>
      <c r="B2971"/>
      <c r="C2971"/>
      <c r="D2971"/>
    </row>
    <row r="2972" spans="1:4" x14ac:dyDescent="0.2">
      <c r="A2972" s="4"/>
      <c r="B2972"/>
      <c r="C2972"/>
      <c r="D2972"/>
    </row>
    <row r="2973" spans="1:4" x14ac:dyDescent="0.2">
      <c r="A2973" s="4"/>
      <c r="B2973"/>
      <c r="C2973"/>
      <c r="D2973"/>
    </row>
    <row r="2974" spans="1:4" x14ac:dyDescent="0.2">
      <c r="A2974" s="4"/>
      <c r="B2974"/>
      <c r="C2974"/>
      <c r="D2974"/>
    </row>
    <row r="2975" spans="1:4" x14ac:dyDescent="0.2">
      <c r="A2975" s="4"/>
      <c r="B2975"/>
      <c r="C2975"/>
      <c r="D2975"/>
    </row>
    <row r="2976" spans="1:4" x14ac:dyDescent="0.2">
      <c r="A2976" s="4"/>
      <c r="B2976"/>
      <c r="C2976"/>
      <c r="D2976"/>
    </row>
    <row r="2977" spans="1:4" x14ac:dyDescent="0.2">
      <c r="A2977" s="4"/>
      <c r="B2977"/>
      <c r="C2977"/>
      <c r="D2977"/>
    </row>
    <row r="2978" spans="1:4" x14ac:dyDescent="0.2">
      <c r="A2978" s="4"/>
      <c r="B2978"/>
      <c r="C2978"/>
      <c r="D2978"/>
    </row>
    <row r="2979" spans="1:4" x14ac:dyDescent="0.2">
      <c r="A2979" s="4"/>
      <c r="B2979"/>
      <c r="C2979"/>
      <c r="D2979"/>
    </row>
    <row r="2980" spans="1:4" x14ac:dyDescent="0.2">
      <c r="A2980" s="4"/>
      <c r="B2980"/>
      <c r="C2980"/>
      <c r="D2980"/>
    </row>
    <row r="2981" spans="1:4" x14ac:dyDescent="0.2">
      <c r="A2981" s="4"/>
      <c r="B2981"/>
      <c r="C2981"/>
      <c r="D2981"/>
    </row>
    <row r="2982" spans="1:4" x14ac:dyDescent="0.2">
      <c r="A2982" s="4"/>
      <c r="B2982"/>
      <c r="C2982"/>
      <c r="D2982"/>
    </row>
    <row r="2983" spans="1:4" x14ac:dyDescent="0.2">
      <c r="A2983" s="4"/>
      <c r="B2983"/>
      <c r="C2983"/>
      <c r="D2983"/>
    </row>
    <row r="2984" spans="1:4" x14ac:dyDescent="0.2">
      <c r="A2984" s="4"/>
      <c r="B2984"/>
      <c r="C2984"/>
      <c r="D2984"/>
    </row>
    <row r="2985" spans="1:4" x14ac:dyDescent="0.2">
      <c r="A2985" s="4"/>
      <c r="B2985"/>
      <c r="C2985"/>
      <c r="D2985"/>
    </row>
    <row r="2986" spans="1:4" x14ac:dyDescent="0.2">
      <c r="A2986" s="4"/>
      <c r="B2986"/>
      <c r="C2986"/>
      <c r="D2986"/>
    </row>
    <row r="2987" spans="1:4" x14ac:dyDescent="0.2">
      <c r="A2987" s="4"/>
      <c r="B2987"/>
      <c r="C2987"/>
      <c r="D2987"/>
    </row>
    <row r="2988" spans="1:4" x14ac:dyDescent="0.2">
      <c r="A2988" s="4"/>
      <c r="B2988"/>
      <c r="C2988"/>
      <c r="D2988"/>
    </row>
    <row r="2989" spans="1:4" x14ac:dyDescent="0.2">
      <c r="A2989" s="4"/>
      <c r="B2989"/>
      <c r="C2989"/>
      <c r="D2989"/>
    </row>
    <row r="2990" spans="1:4" x14ac:dyDescent="0.2">
      <c r="A2990" s="4"/>
      <c r="B2990"/>
      <c r="C2990"/>
      <c r="D2990"/>
    </row>
    <row r="2991" spans="1:4" x14ac:dyDescent="0.2">
      <c r="A2991" s="4"/>
      <c r="B2991"/>
      <c r="C2991"/>
      <c r="D2991"/>
    </row>
    <row r="2992" spans="1:4" x14ac:dyDescent="0.2">
      <c r="A2992" s="4"/>
      <c r="B2992"/>
      <c r="C2992"/>
      <c r="D2992"/>
    </row>
    <row r="2993" spans="1:4" x14ac:dyDescent="0.2">
      <c r="A2993" s="4"/>
      <c r="B2993"/>
      <c r="C2993"/>
      <c r="D2993"/>
    </row>
    <row r="2994" spans="1:4" x14ac:dyDescent="0.2">
      <c r="A2994" s="4"/>
      <c r="B2994"/>
      <c r="C2994"/>
      <c r="D2994"/>
    </row>
    <row r="2995" spans="1:4" x14ac:dyDescent="0.2">
      <c r="A2995" s="4"/>
      <c r="B2995"/>
      <c r="C2995"/>
      <c r="D2995"/>
    </row>
    <row r="2996" spans="1:4" x14ac:dyDescent="0.2">
      <c r="A2996" s="4"/>
      <c r="B2996"/>
      <c r="C2996"/>
      <c r="D2996"/>
    </row>
    <row r="2997" spans="1:4" x14ac:dyDescent="0.2">
      <c r="A2997" s="4"/>
      <c r="B2997"/>
      <c r="C2997"/>
      <c r="D2997"/>
    </row>
    <row r="2998" spans="1:4" x14ac:dyDescent="0.2">
      <c r="A2998" s="4"/>
      <c r="B2998"/>
      <c r="C2998"/>
      <c r="D2998"/>
    </row>
    <row r="2999" spans="1:4" x14ac:dyDescent="0.2">
      <c r="A2999" s="4"/>
      <c r="B2999"/>
      <c r="C2999"/>
      <c r="D2999"/>
    </row>
    <row r="3000" spans="1:4" x14ac:dyDescent="0.2">
      <c r="A3000" s="4"/>
      <c r="B3000"/>
      <c r="C3000"/>
      <c r="D3000"/>
    </row>
    <row r="3001" spans="1:4" x14ac:dyDescent="0.2">
      <c r="A3001" s="4"/>
      <c r="B3001"/>
      <c r="C3001"/>
      <c r="D3001"/>
    </row>
    <row r="3002" spans="1:4" x14ac:dyDescent="0.2">
      <c r="A3002" s="4"/>
      <c r="B3002"/>
      <c r="C3002"/>
      <c r="D3002"/>
    </row>
    <row r="3003" spans="1:4" x14ac:dyDescent="0.2">
      <c r="A3003" s="4"/>
      <c r="B3003"/>
      <c r="C3003"/>
      <c r="D3003"/>
    </row>
    <row r="3004" spans="1:4" x14ac:dyDescent="0.2">
      <c r="A3004" s="4"/>
      <c r="B3004"/>
      <c r="C3004"/>
      <c r="D3004"/>
    </row>
    <row r="3005" spans="1:4" x14ac:dyDescent="0.2">
      <c r="A3005" s="4"/>
      <c r="B3005"/>
      <c r="C3005"/>
      <c r="D3005"/>
    </row>
    <row r="3006" spans="1:4" x14ac:dyDescent="0.2">
      <c r="A3006" s="4"/>
      <c r="B3006"/>
      <c r="C3006"/>
      <c r="D3006"/>
    </row>
    <row r="3007" spans="1:4" x14ac:dyDescent="0.2">
      <c r="A3007" s="4"/>
      <c r="B3007"/>
      <c r="C3007"/>
      <c r="D3007"/>
    </row>
    <row r="3008" spans="1:4" x14ac:dyDescent="0.2">
      <c r="A3008" s="4"/>
      <c r="B3008"/>
      <c r="C3008"/>
      <c r="D3008"/>
    </row>
    <row r="3009" spans="1:4" x14ac:dyDescent="0.2">
      <c r="A3009" s="4"/>
      <c r="B3009"/>
      <c r="C3009"/>
      <c r="D3009"/>
    </row>
    <row r="3010" spans="1:4" x14ac:dyDescent="0.2">
      <c r="A3010" s="4"/>
      <c r="B3010"/>
      <c r="C3010"/>
      <c r="D3010"/>
    </row>
    <row r="3011" spans="1:4" x14ac:dyDescent="0.2">
      <c r="A3011" s="4"/>
      <c r="B3011"/>
      <c r="C3011"/>
      <c r="D3011"/>
    </row>
    <row r="3012" spans="1:4" x14ac:dyDescent="0.2">
      <c r="A3012" s="4"/>
      <c r="B3012"/>
      <c r="C3012"/>
      <c r="D3012"/>
    </row>
    <row r="3013" spans="1:4" x14ac:dyDescent="0.2">
      <c r="A3013" s="4"/>
      <c r="B3013"/>
      <c r="C3013"/>
      <c r="D3013"/>
    </row>
    <row r="3014" spans="1:4" x14ac:dyDescent="0.2">
      <c r="A3014" s="4"/>
      <c r="B3014"/>
      <c r="C3014"/>
      <c r="D3014"/>
    </row>
    <row r="3015" spans="1:4" x14ac:dyDescent="0.2">
      <c r="A3015" s="4"/>
      <c r="B3015"/>
      <c r="C3015"/>
      <c r="D3015"/>
    </row>
    <row r="3016" spans="1:4" x14ac:dyDescent="0.2">
      <c r="A3016" s="4"/>
      <c r="B3016"/>
      <c r="C3016"/>
      <c r="D3016"/>
    </row>
    <row r="3017" spans="1:4" x14ac:dyDescent="0.2">
      <c r="A3017" s="4"/>
      <c r="B3017"/>
      <c r="C3017"/>
      <c r="D3017"/>
    </row>
    <row r="3018" spans="1:4" x14ac:dyDescent="0.2">
      <c r="A3018" s="4"/>
      <c r="B3018"/>
      <c r="C3018"/>
      <c r="D3018"/>
    </row>
    <row r="3019" spans="1:4" x14ac:dyDescent="0.2">
      <c r="A3019" s="4"/>
      <c r="B3019"/>
      <c r="C3019"/>
      <c r="D3019"/>
    </row>
    <row r="3020" spans="1:4" x14ac:dyDescent="0.2">
      <c r="A3020" s="4"/>
      <c r="B3020"/>
      <c r="C3020"/>
      <c r="D3020"/>
    </row>
    <row r="3021" spans="1:4" x14ac:dyDescent="0.2">
      <c r="A3021" s="4"/>
      <c r="B3021"/>
      <c r="C3021"/>
      <c r="D3021"/>
    </row>
    <row r="3022" spans="1:4" x14ac:dyDescent="0.2">
      <c r="A3022" s="4"/>
      <c r="B3022"/>
      <c r="C3022"/>
      <c r="D3022"/>
    </row>
    <row r="3023" spans="1:4" x14ac:dyDescent="0.2">
      <c r="A3023" s="4"/>
      <c r="B3023"/>
      <c r="C3023"/>
      <c r="D3023"/>
    </row>
    <row r="3024" spans="1:4" x14ac:dyDescent="0.2">
      <c r="A3024" s="4"/>
      <c r="B3024"/>
      <c r="C3024"/>
      <c r="D3024"/>
    </row>
    <row r="3025" spans="1:4" x14ac:dyDescent="0.2">
      <c r="A3025" s="4"/>
      <c r="B3025"/>
      <c r="C3025"/>
      <c r="D3025"/>
    </row>
    <row r="3026" spans="1:4" x14ac:dyDescent="0.2">
      <c r="A3026" s="4"/>
      <c r="B3026"/>
      <c r="C3026"/>
      <c r="D3026"/>
    </row>
    <row r="3027" spans="1:4" x14ac:dyDescent="0.2">
      <c r="A3027" s="4"/>
      <c r="B3027"/>
      <c r="C3027"/>
      <c r="D3027"/>
    </row>
    <row r="3028" spans="1:4" x14ac:dyDescent="0.2">
      <c r="A3028" s="4"/>
      <c r="B3028"/>
      <c r="C3028"/>
      <c r="D3028"/>
    </row>
    <row r="3029" spans="1:4" x14ac:dyDescent="0.2">
      <c r="A3029" s="4"/>
      <c r="B3029"/>
      <c r="C3029"/>
      <c r="D3029"/>
    </row>
    <row r="3030" spans="1:4" x14ac:dyDescent="0.2">
      <c r="A3030" s="4"/>
      <c r="B3030"/>
      <c r="C3030"/>
      <c r="D3030"/>
    </row>
    <row r="3031" spans="1:4" x14ac:dyDescent="0.2">
      <c r="A3031" s="4"/>
      <c r="B3031"/>
      <c r="C3031"/>
      <c r="D3031"/>
    </row>
    <row r="3032" spans="1:4" x14ac:dyDescent="0.2">
      <c r="A3032" s="4"/>
      <c r="B3032"/>
      <c r="C3032"/>
      <c r="D3032"/>
    </row>
    <row r="3033" spans="1:4" x14ac:dyDescent="0.2">
      <c r="A3033" s="4"/>
      <c r="B3033"/>
      <c r="C3033"/>
      <c r="D3033"/>
    </row>
    <row r="3034" spans="1:4" x14ac:dyDescent="0.2">
      <c r="A3034" s="4"/>
      <c r="B3034"/>
      <c r="C3034"/>
      <c r="D3034"/>
    </row>
    <row r="3035" spans="1:4" x14ac:dyDescent="0.2">
      <c r="A3035" s="4"/>
      <c r="B3035"/>
      <c r="C3035"/>
      <c r="D3035"/>
    </row>
    <row r="3036" spans="1:4" x14ac:dyDescent="0.2">
      <c r="A3036" s="4"/>
      <c r="B3036"/>
      <c r="C3036"/>
      <c r="D3036"/>
    </row>
    <row r="3037" spans="1:4" x14ac:dyDescent="0.2">
      <c r="A3037" s="4"/>
      <c r="B3037"/>
      <c r="C3037"/>
      <c r="D3037"/>
    </row>
    <row r="3038" spans="1:4" x14ac:dyDescent="0.2">
      <c r="A3038" s="4"/>
      <c r="B3038"/>
      <c r="C3038"/>
      <c r="D3038"/>
    </row>
    <row r="3039" spans="1:4" x14ac:dyDescent="0.2">
      <c r="A3039" s="4"/>
      <c r="B3039"/>
      <c r="C3039"/>
      <c r="D3039"/>
    </row>
    <row r="3040" spans="1:4" x14ac:dyDescent="0.2">
      <c r="A3040" s="4"/>
      <c r="B3040"/>
      <c r="C3040"/>
      <c r="D3040"/>
    </row>
    <row r="3041" spans="1:4" x14ac:dyDescent="0.2">
      <c r="A3041" s="4"/>
      <c r="B3041"/>
      <c r="C3041"/>
      <c r="D3041"/>
    </row>
    <row r="3042" spans="1:4" x14ac:dyDescent="0.2">
      <c r="A3042" s="4"/>
      <c r="B3042"/>
      <c r="C3042"/>
      <c r="D3042"/>
    </row>
    <row r="3043" spans="1:4" x14ac:dyDescent="0.2">
      <c r="A3043" s="4"/>
      <c r="B3043"/>
      <c r="C3043"/>
      <c r="D3043"/>
    </row>
    <row r="3044" spans="1:4" x14ac:dyDescent="0.2">
      <c r="A3044" s="4"/>
      <c r="B3044"/>
      <c r="C3044"/>
      <c r="D3044"/>
    </row>
    <row r="3045" spans="1:4" x14ac:dyDescent="0.2">
      <c r="A3045" s="4"/>
      <c r="B3045"/>
      <c r="C3045"/>
      <c r="D3045"/>
    </row>
    <row r="3046" spans="1:4" x14ac:dyDescent="0.2">
      <c r="A3046" s="4"/>
      <c r="B3046"/>
      <c r="C3046"/>
      <c r="D3046"/>
    </row>
    <row r="3047" spans="1:4" x14ac:dyDescent="0.2">
      <c r="A3047" s="4"/>
      <c r="B3047"/>
      <c r="C3047"/>
      <c r="D3047"/>
    </row>
    <row r="3048" spans="1:4" x14ac:dyDescent="0.2">
      <c r="A3048" s="4"/>
      <c r="B3048"/>
      <c r="C3048"/>
      <c r="D3048"/>
    </row>
    <row r="3049" spans="1:4" x14ac:dyDescent="0.2">
      <c r="A3049" s="4"/>
      <c r="B3049"/>
      <c r="C3049"/>
      <c r="D3049"/>
    </row>
    <row r="3050" spans="1:4" x14ac:dyDescent="0.2">
      <c r="A3050" s="4"/>
      <c r="B3050"/>
      <c r="C3050"/>
      <c r="D3050"/>
    </row>
    <row r="3051" spans="1:4" x14ac:dyDescent="0.2">
      <c r="A3051" s="4"/>
      <c r="B3051"/>
      <c r="C3051"/>
      <c r="D3051"/>
    </row>
    <row r="3052" spans="1:4" x14ac:dyDescent="0.2">
      <c r="A3052" s="4"/>
      <c r="B3052"/>
      <c r="C3052"/>
      <c r="D3052"/>
    </row>
    <row r="3053" spans="1:4" x14ac:dyDescent="0.2">
      <c r="A3053" s="4"/>
      <c r="B3053"/>
      <c r="C3053"/>
      <c r="D3053"/>
    </row>
    <row r="3054" spans="1:4" x14ac:dyDescent="0.2">
      <c r="A3054" s="4"/>
      <c r="B3054"/>
      <c r="C3054"/>
      <c r="D3054"/>
    </row>
    <row r="3055" spans="1:4" x14ac:dyDescent="0.2">
      <c r="A3055" s="4"/>
      <c r="B3055"/>
      <c r="C3055"/>
      <c r="D3055"/>
    </row>
    <row r="3056" spans="1:4" x14ac:dyDescent="0.2">
      <c r="A3056" s="4"/>
      <c r="B3056"/>
      <c r="C3056"/>
      <c r="D3056"/>
    </row>
    <row r="3057" spans="1:4" x14ac:dyDescent="0.2">
      <c r="A3057" s="4"/>
      <c r="B3057"/>
      <c r="C3057"/>
      <c r="D3057"/>
    </row>
    <row r="3058" spans="1:4" x14ac:dyDescent="0.2">
      <c r="A3058" s="4"/>
      <c r="B3058"/>
      <c r="C3058"/>
      <c r="D3058"/>
    </row>
    <row r="3059" spans="1:4" x14ac:dyDescent="0.2">
      <c r="A3059" s="4"/>
      <c r="B3059"/>
      <c r="C3059"/>
      <c r="D3059"/>
    </row>
    <row r="3060" spans="1:4" x14ac:dyDescent="0.2">
      <c r="A3060" s="4"/>
      <c r="B3060"/>
      <c r="C3060"/>
      <c r="D3060"/>
    </row>
    <row r="3061" spans="1:4" x14ac:dyDescent="0.2">
      <c r="A3061" s="4"/>
      <c r="B3061"/>
      <c r="C3061"/>
      <c r="D3061"/>
    </row>
    <row r="3062" spans="1:4" x14ac:dyDescent="0.2">
      <c r="A3062" s="4"/>
      <c r="B3062"/>
      <c r="C3062"/>
      <c r="D3062"/>
    </row>
    <row r="3063" spans="1:4" x14ac:dyDescent="0.2">
      <c r="A3063" s="4"/>
      <c r="B3063"/>
      <c r="C3063"/>
      <c r="D3063"/>
    </row>
    <row r="3064" spans="1:4" x14ac:dyDescent="0.2">
      <c r="A3064" s="4"/>
      <c r="B3064"/>
      <c r="C3064"/>
      <c r="D3064"/>
    </row>
    <row r="3065" spans="1:4" x14ac:dyDescent="0.2">
      <c r="A3065" s="4"/>
      <c r="B3065"/>
      <c r="C3065"/>
      <c r="D3065"/>
    </row>
    <row r="3066" spans="1:4" x14ac:dyDescent="0.2">
      <c r="A3066" s="4"/>
      <c r="B3066"/>
      <c r="C3066"/>
      <c r="D3066"/>
    </row>
    <row r="3067" spans="1:4" x14ac:dyDescent="0.2">
      <c r="A3067" s="4"/>
      <c r="B3067"/>
      <c r="C3067"/>
      <c r="D3067"/>
    </row>
    <row r="3068" spans="1:4" x14ac:dyDescent="0.2">
      <c r="A3068" s="4"/>
      <c r="B3068"/>
      <c r="C3068"/>
      <c r="D3068"/>
    </row>
    <row r="3069" spans="1:4" x14ac:dyDescent="0.2">
      <c r="A3069" s="4"/>
      <c r="B3069"/>
      <c r="C3069"/>
      <c r="D3069"/>
    </row>
    <row r="3070" spans="1:4" x14ac:dyDescent="0.2">
      <c r="A3070" s="4"/>
      <c r="B3070"/>
      <c r="C3070"/>
      <c r="D3070"/>
    </row>
    <row r="3071" spans="1:4" x14ac:dyDescent="0.2">
      <c r="A3071" s="4"/>
      <c r="B3071"/>
      <c r="C3071"/>
      <c r="D3071"/>
    </row>
    <row r="3072" spans="1:4" x14ac:dyDescent="0.2">
      <c r="A3072" s="4"/>
      <c r="B3072"/>
      <c r="C3072"/>
      <c r="D3072"/>
    </row>
    <row r="3073" spans="1:4" x14ac:dyDescent="0.2">
      <c r="A3073" s="4"/>
      <c r="B3073"/>
      <c r="C3073"/>
      <c r="D3073"/>
    </row>
    <row r="3074" spans="1:4" x14ac:dyDescent="0.2">
      <c r="A3074" s="4"/>
      <c r="B3074"/>
      <c r="C3074"/>
      <c r="D3074"/>
    </row>
    <row r="3075" spans="1:4" x14ac:dyDescent="0.2">
      <c r="A3075" s="4"/>
      <c r="B3075"/>
      <c r="C3075"/>
      <c r="D3075"/>
    </row>
    <row r="3076" spans="1:4" x14ac:dyDescent="0.2">
      <c r="A3076" s="4"/>
      <c r="B3076"/>
      <c r="C3076"/>
      <c r="D3076"/>
    </row>
    <row r="3077" spans="1:4" x14ac:dyDescent="0.2">
      <c r="A3077" s="4"/>
      <c r="B3077"/>
      <c r="C3077"/>
      <c r="D3077"/>
    </row>
    <row r="3078" spans="1:4" x14ac:dyDescent="0.2">
      <c r="A3078" s="4"/>
      <c r="B3078"/>
      <c r="C3078"/>
      <c r="D3078"/>
    </row>
    <row r="3079" spans="1:4" x14ac:dyDescent="0.2">
      <c r="A3079" s="4"/>
      <c r="B3079"/>
      <c r="C3079"/>
      <c r="D3079"/>
    </row>
    <row r="3080" spans="1:4" x14ac:dyDescent="0.2">
      <c r="A3080" s="4"/>
      <c r="B3080"/>
      <c r="C3080"/>
      <c r="D3080"/>
    </row>
    <row r="3081" spans="1:4" x14ac:dyDescent="0.2">
      <c r="A3081" s="4"/>
      <c r="B3081"/>
      <c r="C3081"/>
      <c r="D3081"/>
    </row>
    <row r="3082" spans="1:4" x14ac:dyDescent="0.2">
      <c r="A3082" s="4"/>
      <c r="B3082"/>
      <c r="C3082"/>
      <c r="D3082"/>
    </row>
    <row r="3083" spans="1:4" x14ac:dyDescent="0.2">
      <c r="A3083" s="4"/>
      <c r="B3083"/>
      <c r="C3083"/>
      <c r="D3083"/>
    </row>
    <row r="3084" spans="1:4" x14ac:dyDescent="0.2">
      <c r="A3084" s="4"/>
      <c r="B3084"/>
      <c r="C3084"/>
      <c r="D3084"/>
    </row>
    <row r="3085" spans="1:4" x14ac:dyDescent="0.2">
      <c r="A3085" s="4"/>
      <c r="B3085"/>
      <c r="C3085"/>
      <c r="D3085"/>
    </row>
    <row r="3086" spans="1:4" x14ac:dyDescent="0.2">
      <c r="A3086" s="4"/>
      <c r="B3086"/>
      <c r="C3086"/>
      <c r="D3086"/>
    </row>
    <row r="3087" spans="1:4" x14ac:dyDescent="0.2">
      <c r="A3087" s="4"/>
      <c r="B3087"/>
      <c r="C3087"/>
      <c r="D3087"/>
    </row>
    <row r="3088" spans="1:4" x14ac:dyDescent="0.2">
      <c r="A3088" s="4"/>
      <c r="B3088"/>
      <c r="C3088"/>
      <c r="D3088"/>
    </row>
    <row r="3089" spans="1:4" x14ac:dyDescent="0.2">
      <c r="A3089" s="4"/>
      <c r="B3089"/>
      <c r="C3089"/>
      <c r="D3089"/>
    </row>
    <row r="3090" spans="1:4" x14ac:dyDescent="0.2">
      <c r="A3090" s="4"/>
      <c r="B3090"/>
      <c r="C3090"/>
      <c r="D3090"/>
    </row>
    <row r="3091" spans="1:4" x14ac:dyDescent="0.2">
      <c r="A3091" s="4"/>
      <c r="B3091"/>
      <c r="C3091"/>
      <c r="D3091"/>
    </row>
    <row r="3092" spans="1:4" x14ac:dyDescent="0.2">
      <c r="A3092" s="4"/>
      <c r="B3092"/>
      <c r="C3092"/>
      <c r="D3092"/>
    </row>
    <row r="3093" spans="1:4" x14ac:dyDescent="0.2">
      <c r="A3093" s="4"/>
      <c r="B3093"/>
      <c r="C3093"/>
      <c r="D3093"/>
    </row>
    <row r="3094" spans="1:4" x14ac:dyDescent="0.2">
      <c r="A3094" s="4"/>
      <c r="B3094"/>
      <c r="C3094"/>
      <c r="D3094"/>
    </row>
    <row r="3095" spans="1:4" x14ac:dyDescent="0.2">
      <c r="A3095" s="4"/>
      <c r="B3095"/>
      <c r="C3095"/>
      <c r="D3095"/>
    </row>
    <row r="3096" spans="1:4" x14ac:dyDescent="0.2">
      <c r="A3096" s="4"/>
      <c r="B3096"/>
      <c r="C3096"/>
      <c r="D3096"/>
    </row>
    <row r="3097" spans="1:4" x14ac:dyDescent="0.2">
      <c r="A3097" s="4"/>
      <c r="B3097"/>
      <c r="C3097"/>
      <c r="D3097"/>
    </row>
    <row r="3098" spans="1:4" x14ac:dyDescent="0.2">
      <c r="A3098" s="4"/>
      <c r="B3098"/>
      <c r="C3098"/>
      <c r="D3098"/>
    </row>
    <row r="3099" spans="1:4" x14ac:dyDescent="0.2">
      <c r="A3099" s="4"/>
      <c r="B3099"/>
      <c r="C3099"/>
      <c r="D3099"/>
    </row>
    <row r="3100" spans="1:4" x14ac:dyDescent="0.2">
      <c r="A3100" s="4"/>
      <c r="B3100"/>
      <c r="C3100"/>
      <c r="D3100"/>
    </row>
    <row r="3101" spans="1:4" x14ac:dyDescent="0.2">
      <c r="A3101" s="4"/>
      <c r="B3101"/>
      <c r="C3101"/>
      <c r="D3101"/>
    </row>
    <row r="3102" spans="1:4" x14ac:dyDescent="0.2">
      <c r="A3102" s="4"/>
      <c r="B3102"/>
      <c r="C3102"/>
      <c r="D3102"/>
    </row>
    <row r="3103" spans="1:4" x14ac:dyDescent="0.2">
      <c r="A3103" s="4"/>
      <c r="B3103"/>
      <c r="C3103"/>
      <c r="D3103"/>
    </row>
    <row r="3104" spans="1:4" x14ac:dyDescent="0.2">
      <c r="A3104" s="4"/>
      <c r="B3104"/>
      <c r="C3104"/>
      <c r="D3104"/>
    </row>
    <row r="3105" spans="1:4" x14ac:dyDescent="0.2">
      <c r="A3105" s="4"/>
      <c r="B3105"/>
      <c r="C3105"/>
      <c r="D3105"/>
    </row>
    <row r="3106" spans="1:4" x14ac:dyDescent="0.2">
      <c r="A3106" s="4"/>
      <c r="B3106"/>
      <c r="C3106"/>
      <c r="D3106"/>
    </row>
    <row r="3107" spans="1:4" x14ac:dyDescent="0.2">
      <c r="A3107" s="4"/>
      <c r="B3107"/>
      <c r="C3107"/>
      <c r="D3107"/>
    </row>
    <row r="3108" spans="1:4" x14ac:dyDescent="0.2">
      <c r="A3108" s="4"/>
      <c r="B3108"/>
      <c r="C3108"/>
      <c r="D3108"/>
    </row>
    <row r="3109" spans="1:4" x14ac:dyDescent="0.2">
      <c r="A3109" s="4"/>
      <c r="B3109"/>
      <c r="C3109"/>
      <c r="D3109"/>
    </row>
    <row r="3110" spans="1:4" x14ac:dyDescent="0.2">
      <c r="A3110" s="4"/>
      <c r="B3110"/>
      <c r="C3110"/>
      <c r="D3110"/>
    </row>
    <row r="3111" spans="1:4" x14ac:dyDescent="0.2">
      <c r="A3111" s="4"/>
      <c r="B3111"/>
      <c r="C3111"/>
      <c r="D3111"/>
    </row>
    <row r="3112" spans="1:4" x14ac:dyDescent="0.2">
      <c r="A3112" s="4"/>
      <c r="B3112"/>
      <c r="C3112"/>
      <c r="D3112"/>
    </row>
    <row r="3113" spans="1:4" x14ac:dyDescent="0.2">
      <c r="A3113" s="4"/>
      <c r="B3113"/>
      <c r="C3113"/>
      <c r="D3113"/>
    </row>
    <row r="3114" spans="1:4" x14ac:dyDescent="0.2">
      <c r="A3114" s="4"/>
      <c r="B3114"/>
      <c r="C3114"/>
      <c r="D3114"/>
    </row>
    <row r="3115" spans="1:4" x14ac:dyDescent="0.2">
      <c r="A3115" s="4"/>
      <c r="B3115"/>
      <c r="C3115"/>
      <c r="D3115"/>
    </row>
    <row r="3116" spans="1:4" x14ac:dyDescent="0.2">
      <c r="A3116" s="4"/>
      <c r="B3116"/>
      <c r="C3116"/>
      <c r="D3116"/>
    </row>
    <row r="3117" spans="1:4" x14ac:dyDescent="0.2">
      <c r="A3117" s="4"/>
      <c r="B3117"/>
      <c r="C3117"/>
      <c r="D3117"/>
    </row>
    <row r="3118" spans="1:4" x14ac:dyDescent="0.2">
      <c r="A3118" s="4"/>
      <c r="B3118"/>
      <c r="C3118"/>
      <c r="D3118"/>
    </row>
    <row r="3119" spans="1:4" x14ac:dyDescent="0.2">
      <c r="A3119" s="4"/>
      <c r="B3119"/>
      <c r="C3119"/>
      <c r="D3119"/>
    </row>
    <row r="3120" spans="1:4" x14ac:dyDescent="0.2">
      <c r="A3120" s="4"/>
      <c r="B3120"/>
      <c r="C3120"/>
      <c r="D3120"/>
    </row>
    <row r="3121" spans="1:4" x14ac:dyDescent="0.2">
      <c r="A3121" s="4"/>
      <c r="B3121"/>
      <c r="C3121"/>
      <c r="D3121"/>
    </row>
    <row r="3122" spans="1:4" x14ac:dyDescent="0.2">
      <c r="A3122" s="4"/>
      <c r="B3122"/>
      <c r="C3122"/>
      <c r="D3122"/>
    </row>
    <row r="3123" spans="1:4" x14ac:dyDescent="0.2">
      <c r="A3123" s="4"/>
      <c r="B3123"/>
      <c r="C3123"/>
      <c r="D3123"/>
    </row>
    <row r="3124" spans="1:4" x14ac:dyDescent="0.2">
      <c r="A3124" s="4"/>
      <c r="B3124"/>
      <c r="C3124"/>
      <c r="D3124"/>
    </row>
    <row r="3125" spans="1:4" x14ac:dyDescent="0.2">
      <c r="A3125" s="4"/>
      <c r="B3125"/>
      <c r="C3125"/>
      <c r="D3125"/>
    </row>
    <row r="3126" spans="1:4" x14ac:dyDescent="0.2">
      <c r="A3126" s="4"/>
      <c r="B3126"/>
      <c r="C3126"/>
      <c r="D3126"/>
    </row>
    <row r="3127" spans="1:4" x14ac:dyDescent="0.2">
      <c r="A3127" s="4"/>
      <c r="B3127"/>
      <c r="C3127"/>
      <c r="D3127"/>
    </row>
    <row r="3128" spans="1:4" x14ac:dyDescent="0.2">
      <c r="A3128" s="4"/>
      <c r="B3128"/>
      <c r="C3128"/>
      <c r="D3128"/>
    </row>
    <row r="3129" spans="1:4" x14ac:dyDescent="0.2">
      <c r="A3129" s="4"/>
      <c r="B3129"/>
      <c r="C3129"/>
      <c r="D3129"/>
    </row>
    <row r="3130" spans="1:4" x14ac:dyDescent="0.2">
      <c r="A3130" s="4"/>
      <c r="B3130"/>
      <c r="C3130"/>
      <c r="D3130"/>
    </row>
    <row r="3131" spans="1:4" x14ac:dyDescent="0.2">
      <c r="A3131" s="4"/>
      <c r="B3131"/>
      <c r="C3131"/>
      <c r="D3131"/>
    </row>
    <row r="3132" spans="1:4" x14ac:dyDescent="0.2">
      <c r="A3132" s="4"/>
      <c r="B3132"/>
      <c r="C3132"/>
      <c r="D3132"/>
    </row>
    <row r="3133" spans="1:4" x14ac:dyDescent="0.2">
      <c r="A3133" s="4"/>
      <c r="B3133"/>
      <c r="C3133"/>
      <c r="D3133"/>
    </row>
    <row r="3134" spans="1:4" x14ac:dyDescent="0.2">
      <c r="A3134" s="4"/>
      <c r="B3134"/>
      <c r="C3134"/>
      <c r="D3134"/>
    </row>
    <row r="3135" spans="1:4" x14ac:dyDescent="0.2">
      <c r="A3135" s="4"/>
      <c r="B3135"/>
      <c r="C3135"/>
      <c r="D3135"/>
    </row>
    <row r="3136" spans="1:4" x14ac:dyDescent="0.2">
      <c r="A3136" s="4"/>
      <c r="B3136"/>
      <c r="C3136"/>
      <c r="D3136"/>
    </row>
    <row r="3137" spans="1:4" x14ac:dyDescent="0.2">
      <c r="A3137" s="4"/>
      <c r="B3137"/>
      <c r="C3137"/>
      <c r="D3137"/>
    </row>
    <row r="3138" spans="1:4" x14ac:dyDescent="0.2">
      <c r="A3138" s="4"/>
      <c r="B3138"/>
      <c r="C3138"/>
      <c r="D3138"/>
    </row>
    <row r="3139" spans="1:4" x14ac:dyDescent="0.2">
      <c r="A3139" s="4"/>
      <c r="B3139"/>
      <c r="C3139"/>
      <c r="D3139"/>
    </row>
    <row r="3140" spans="1:4" x14ac:dyDescent="0.2">
      <c r="A3140" s="4"/>
      <c r="B3140"/>
      <c r="C3140"/>
      <c r="D3140"/>
    </row>
    <row r="3141" spans="1:4" x14ac:dyDescent="0.2">
      <c r="A3141" s="4"/>
      <c r="B3141"/>
      <c r="C3141"/>
      <c r="D3141"/>
    </row>
    <row r="3142" spans="1:4" x14ac:dyDescent="0.2">
      <c r="A3142" s="4"/>
      <c r="B3142"/>
      <c r="C3142"/>
      <c r="D3142"/>
    </row>
    <row r="3143" spans="1:4" x14ac:dyDescent="0.2">
      <c r="A3143" s="4"/>
      <c r="B3143"/>
      <c r="C3143"/>
      <c r="D3143"/>
    </row>
    <row r="3144" spans="1:4" x14ac:dyDescent="0.2">
      <c r="A3144" s="4"/>
      <c r="B3144"/>
      <c r="C3144"/>
      <c r="D3144"/>
    </row>
    <row r="3145" spans="1:4" x14ac:dyDescent="0.2">
      <c r="A3145" s="4"/>
      <c r="B3145"/>
      <c r="C3145"/>
      <c r="D3145"/>
    </row>
    <row r="3146" spans="1:4" x14ac:dyDescent="0.2">
      <c r="A3146" s="4"/>
      <c r="B3146"/>
      <c r="C3146"/>
      <c r="D3146"/>
    </row>
    <row r="3147" spans="1:4" x14ac:dyDescent="0.2">
      <c r="A3147" s="4"/>
      <c r="B3147"/>
      <c r="C3147"/>
      <c r="D3147"/>
    </row>
    <row r="3148" spans="1:4" x14ac:dyDescent="0.2">
      <c r="A3148" s="4"/>
      <c r="B3148"/>
      <c r="C3148"/>
      <c r="D3148"/>
    </row>
    <row r="3149" spans="1:4" x14ac:dyDescent="0.2">
      <c r="A3149" s="4"/>
      <c r="B3149"/>
      <c r="C3149"/>
      <c r="D3149"/>
    </row>
    <row r="3150" spans="1:4" x14ac:dyDescent="0.2">
      <c r="A3150" s="4"/>
      <c r="B3150"/>
      <c r="C3150"/>
      <c r="D3150"/>
    </row>
    <row r="3151" spans="1:4" x14ac:dyDescent="0.2">
      <c r="A3151" s="4"/>
      <c r="B3151"/>
      <c r="C3151"/>
      <c r="D3151"/>
    </row>
    <row r="3152" spans="1:4" x14ac:dyDescent="0.2">
      <c r="A3152" s="4"/>
      <c r="B3152"/>
      <c r="C3152"/>
      <c r="D3152"/>
    </row>
    <row r="3153" spans="1:4" x14ac:dyDescent="0.2">
      <c r="A3153" s="4"/>
      <c r="B3153"/>
      <c r="C3153"/>
      <c r="D3153"/>
    </row>
    <row r="3154" spans="1:4" x14ac:dyDescent="0.2">
      <c r="A3154" s="4"/>
      <c r="B3154"/>
      <c r="C3154"/>
      <c r="D3154"/>
    </row>
    <row r="3155" spans="1:4" x14ac:dyDescent="0.2">
      <c r="A3155" s="4"/>
      <c r="B3155"/>
      <c r="C3155"/>
      <c r="D3155"/>
    </row>
    <row r="3156" spans="1:4" x14ac:dyDescent="0.2">
      <c r="A3156" s="4"/>
      <c r="B3156"/>
      <c r="C3156"/>
      <c r="D3156"/>
    </row>
    <row r="3157" spans="1:4" x14ac:dyDescent="0.2">
      <c r="A3157" s="4"/>
      <c r="B3157"/>
      <c r="C3157"/>
      <c r="D3157"/>
    </row>
    <row r="3158" spans="1:4" x14ac:dyDescent="0.2">
      <c r="A3158" s="4"/>
      <c r="B3158"/>
      <c r="C3158"/>
      <c r="D3158"/>
    </row>
    <row r="3159" spans="1:4" x14ac:dyDescent="0.2">
      <c r="A3159" s="4"/>
      <c r="B3159"/>
      <c r="C3159"/>
      <c r="D3159"/>
    </row>
    <row r="3160" spans="1:4" x14ac:dyDescent="0.2">
      <c r="A3160" s="4"/>
      <c r="B3160"/>
      <c r="C3160"/>
      <c r="D3160"/>
    </row>
    <row r="3161" spans="1:4" x14ac:dyDescent="0.2">
      <c r="A3161" s="4"/>
      <c r="B3161"/>
      <c r="C3161"/>
      <c r="D3161"/>
    </row>
    <row r="3162" spans="1:4" x14ac:dyDescent="0.2">
      <c r="A3162" s="4"/>
      <c r="B3162"/>
      <c r="C3162"/>
      <c r="D3162"/>
    </row>
    <row r="3163" spans="1:4" x14ac:dyDescent="0.2">
      <c r="A3163" s="4"/>
      <c r="B3163"/>
      <c r="C3163"/>
      <c r="D3163"/>
    </row>
    <row r="3164" spans="1:4" x14ac:dyDescent="0.2">
      <c r="A3164" s="4"/>
      <c r="B3164"/>
      <c r="C3164"/>
      <c r="D3164"/>
    </row>
    <row r="3165" spans="1:4" x14ac:dyDescent="0.2">
      <c r="A3165" s="4"/>
      <c r="B3165"/>
      <c r="C3165"/>
      <c r="D3165"/>
    </row>
    <row r="3166" spans="1:4" x14ac:dyDescent="0.2">
      <c r="A3166" s="4"/>
      <c r="B3166"/>
      <c r="C3166"/>
      <c r="D3166"/>
    </row>
    <row r="3167" spans="1:4" x14ac:dyDescent="0.2">
      <c r="A3167" s="4"/>
      <c r="B3167"/>
      <c r="C3167"/>
      <c r="D3167"/>
    </row>
    <row r="3168" spans="1:4" x14ac:dyDescent="0.2">
      <c r="A3168" s="4"/>
      <c r="B3168"/>
      <c r="C3168"/>
      <c r="D3168"/>
    </row>
    <row r="3169" spans="1:4" x14ac:dyDescent="0.2">
      <c r="A3169" s="4"/>
      <c r="B3169"/>
      <c r="C3169"/>
      <c r="D3169"/>
    </row>
    <row r="3170" spans="1:4" x14ac:dyDescent="0.2">
      <c r="A3170" s="4"/>
      <c r="B3170"/>
      <c r="C3170"/>
      <c r="D3170"/>
    </row>
    <row r="3171" spans="1:4" x14ac:dyDescent="0.2">
      <c r="A3171" s="4"/>
      <c r="B3171"/>
      <c r="C3171"/>
      <c r="D3171"/>
    </row>
    <row r="3172" spans="1:4" x14ac:dyDescent="0.2">
      <c r="A3172" s="4"/>
      <c r="B3172"/>
      <c r="C3172"/>
      <c r="D3172"/>
    </row>
    <row r="3173" spans="1:4" x14ac:dyDescent="0.2">
      <c r="A3173" s="4"/>
      <c r="B3173"/>
      <c r="C3173"/>
      <c r="D3173"/>
    </row>
    <row r="3174" spans="1:4" x14ac:dyDescent="0.2">
      <c r="A3174" s="4"/>
      <c r="B3174"/>
      <c r="C3174"/>
      <c r="D3174"/>
    </row>
    <row r="3175" spans="1:4" x14ac:dyDescent="0.2">
      <c r="A3175" s="4"/>
      <c r="B3175"/>
      <c r="C3175"/>
      <c r="D3175"/>
    </row>
    <row r="3176" spans="1:4" x14ac:dyDescent="0.2">
      <c r="A3176" s="4"/>
      <c r="B3176"/>
      <c r="C3176"/>
      <c r="D3176"/>
    </row>
    <row r="3177" spans="1:4" x14ac:dyDescent="0.2">
      <c r="A3177" s="4"/>
      <c r="B3177"/>
      <c r="C3177"/>
      <c r="D3177"/>
    </row>
    <row r="3178" spans="1:4" x14ac:dyDescent="0.2">
      <c r="A3178" s="4"/>
      <c r="B3178"/>
      <c r="C3178"/>
      <c r="D3178"/>
    </row>
    <row r="3179" spans="1:4" x14ac:dyDescent="0.2">
      <c r="A3179" s="4"/>
      <c r="B3179"/>
      <c r="C3179"/>
      <c r="D3179"/>
    </row>
    <row r="3180" spans="1:4" x14ac:dyDescent="0.2">
      <c r="A3180" s="4"/>
      <c r="B3180"/>
      <c r="C3180"/>
      <c r="D3180"/>
    </row>
    <row r="3181" spans="1:4" x14ac:dyDescent="0.2">
      <c r="A3181" s="4"/>
      <c r="B3181"/>
      <c r="C3181"/>
      <c r="D3181"/>
    </row>
    <row r="3182" spans="1:4" x14ac:dyDescent="0.2">
      <c r="A3182" s="4"/>
      <c r="B3182"/>
      <c r="C3182"/>
      <c r="D3182"/>
    </row>
    <row r="3183" spans="1:4" x14ac:dyDescent="0.2">
      <c r="A3183" s="4"/>
      <c r="B3183"/>
      <c r="C3183"/>
      <c r="D3183"/>
    </row>
    <row r="3184" spans="1:4" x14ac:dyDescent="0.2">
      <c r="A3184" s="4"/>
      <c r="B3184"/>
      <c r="C3184"/>
      <c r="D3184"/>
    </row>
    <row r="3185" spans="1:4" x14ac:dyDescent="0.2">
      <c r="A3185" s="4"/>
      <c r="B3185"/>
      <c r="C3185"/>
      <c r="D3185"/>
    </row>
    <row r="3186" spans="1:4" x14ac:dyDescent="0.2">
      <c r="A3186" s="4"/>
      <c r="B3186"/>
      <c r="C3186"/>
      <c r="D3186"/>
    </row>
    <row r="3187" spans="1:4" x14ac:dyDescent="0.2">
      <c r="A3187" s="4"/>
      <c r="B3187"/>
      <c r="C3187"/>
      <c r="D3187"/>
    </row>
    <row r="3188" spans="1:4" x14ac:dyDescent="0.2">
      <c r="A3188" s="4"/>
      <c r="B3188"/>
      <c r="C3188"/>
      <c r="D3188"/>
    </row>
    <row r="3189" spans="1:4" x14ac:dyDescent="0.2">
      <c r="A3189" s="4"/>
      <c r="B3189"/>
      <c r="C3189"/>
      <c r="D3189"/>
    </row>
    <row r="3190" spans="1:4" x14ac:dyDescent="0.2">
      <c r="A3190" s="4"/>
      <c r="B3190"/>
      <c r="C3190"/>
      <c r="D3190"/>
    </row>
    <row r="3191" spans="1:4" x14ac:dyDescent="0.2">
      <c r="A3191" s="4"/>
      <c r="B3191"/>
      <c r="C3191"/>
      <c r="D3191"/>
    </row>
    <row r="3192" spans="1:4" x14ac:dyDescent="0.2">
      <c r="A3192" s="4"/>
      <c r="B3192"/>
      <c r="C3192"/>
      <c r="D3192"/>
    </row>
    <row r="3193" spans="1:4" x14ac:dyDescent="0.2">
      <c r="A3193" s="4"/>
      <c r="B3193"/>
      <c r="C3193"/>
      <c r="D3193"/>
    </row>
    <row r="3194" spans="1:4" x14ac:dyDescent="0.2">
      <c r="A3194" s="4"/>
      <c r="B3194"/>
      <c r="C3194"/>
      <c r="D3194"/>
    </row>
    <row r="3195" spans="1:4" x14ac:dyDescent="0.2">
      <c r="A3195" s="4"/>
      <c r="B3195"/>
      <c r="C3195"/>
      <c r="D3195"/>
    </row>
    <row r="3196" spans="1:4" x14ac:dyDescent="0.2">
      <c r="A3196" s="4"/>
      <c r="B3196"/>
      <c r="C3196"/>
      <c r="D3196"/>
    </row>
    <row r="3197" spans="1:4" x14ac:dyDescent="0.2">
      <c r="A3197" s="4"/>
      <c r="B3197"/>
      <c r="C3197"/>
      <c r="D3197"/>
    </row>
    <row r="3198" spans="1:4" x14ac:dyDescent="0.2">
      <c r="A3198" s="4"/>
      <c r="B3198"/>
      <c r="C3198"/>
      <c r="D3198"/>
    </row>
    <row r="3199" spans="1:4" x14ac:dyDescent="0.2">
      <c r="A3199" s="4"/>
      <c r="B3199"/>
      <c r="C3199"/>
      <c r="D3199"/>
    </row>
    <row r="3200" spans="1:4" x14ac:dyDescent="0.2">
      <c r="A3200" s="4"/>
      <c r="B3200"/>
      <c r="C3200"/>
      <c r="D3200"/>
    </row>
    <row r="3201" spans="1:4" x14ac:dyDescent="0.2">
      <c r="A3201" s="4"/>
      <c r="B3201"/>
      <c r="C3201"/>
      <c r="D3201"/>
    </row>
    <row r="3202" spans="1:4" x14ac:dyDescent="0.2">
      <c r="A3202" s="4"/>
      <c r="B3202"/>
      <c r="C3202"/>
      <c r="D3202"/>
    </row>
    <row r="3203" spans="1:4" x14ac:dyDescent="0.2">
      <c r="A3203" s="4"/>
      <c r="B3203"/>
      <c r="C3203"/>
      <c r="D3203"/>
    </row>
    <row r="3204" spans="1:4" x14ac:dyDescent="0.2">
      <c r="A3204" s="4"/>
      <c r="B3204"/>
      <c r="C3204"/>
      <c r="D3204"/>
    </row>
    <row r="3205" spans="1:4" x14ac:dyDescent="0.2">
      <c r="A3205" s="4"/>
      <c r="B3205"/>
      <c r="C3205"/>
      <c r="D3205"/>
    </row>
    <row r="3206" spans="1:4" x14ac:dyDescent="0.2">
      <c r="A3206" s="4"/>
      <c r="B3206"/>
      <c r="C3206"/>
      <c r="D3206"/>
    </row>
    <row r="3207" spans="1:4" x14ac:dyDescent="0.2">
      <c r="A3207" s="4"/>
      <c r="B3207"/>
      <c r="C3207"/>
      <c r="D3207"/>
    </row>
    <row r="3208" spans="1:4" x14ac:dyDescent="0.2">
      <c r="A3208" s="4"/>
      <c r="B3208"/>
      <c r="C3208"/>
      <c r="D3208"/>
    </row>
    <row r="3209" spans="1:4" x14ac:dyDescent="0.2">
      <c r="A3209" s="4"/>
      <c r="B3209"/>
      <c r="C3209"/>
      <c r="D3209"/>
    </row>
    <row r="3210" spans="1:4" x14ac:dyDescent="0.2">
      <c r="A3210" s="4"/>
      <c r="B3210"/>
      <c r="C3210"/>
      <c r="D3210"/>
    </row>
    <row r="3211" spans="1:4" x14ac:dyDescent="0.2">
      <c r="A3211" s="4"/>
      <c r="B3211"/>
      <c r="C3211"/>
      <c r="D3211"/>
    </row>
    <row r="3212" spans="1:4" x14ac:dyDescent="0.2">
      <c r="A3212" s="4"/>
      <c r="B3212"/>
      <c r="C3212"/>
      <c r="D3212"/>
    </row>
    <row r="3213" spans="1:4" x14ac:dyDescent="0.2">
      <c r="A3213" s="4"/>
      <c r="B3213"/>
      <c r="C3213"/>
      <c r="D3213"/>
    </row>
    <row r="3214" spans="1:4" x14ac:dyDescent="0.2">
      <c r="A3214" s="4"/>
      <c r="B3214"/>
      <c r="C3214"/>
      <c r="D3214"/>
    </row>
    <row r="3215" spans="1:4" x14ac:dyDescent="0.2">
      <c r="A3215" s="4"/>
      <c r="B3215"/>
      <c r="C3215"/>
      <c r="D3215"/>
    </row>
    <row r="3216" spans="1:4" x14ac:dyDescent="0.2">
      <c r="A3216" s="4"/>
      <c r="B3216"/>
      <c r="C3216"/>
      <c r="D3216"/>
    </row>
    <row r="3217" spans="1:4" x14ac:dyDescent="0.2">
      <c r="A3217" s="4"/>
      <c r="B3217"/>
      <c r="C3217"/>
      <c r="D3217"/>
    </row>
    <row r="3218" spans="1:4" x14ac:dyDescent="0.2">
      <c r="A3218" s="4"/>
      <c r="B3218"/>
      <c r="C3218"/>
      <c r="D3218"/>
    </row>
    <row r="3219" spans="1:4" x14ac:dyDescent="0.2">
      <c r="A3219" s="4"/>
      <c r="B3219"/>
      <c r="C3219"/>
      <c r="D3219"/>
    </row>
    <row r="3220" spans="1:4" x14ac:dyDescent="0.2">
      <c r="A3220" s="4"/>
      <c r="B3220"/>
      <c r="C3220"/>
      <c r="D3220"/>
    </row>
    <row r="3221" spans="1:4" x14ac:dyDescent="0.2">
      <c r="A3221" s="4"/>
      <c r="B3221"/>
      <c r="C3221"/>
      <c r="D3221"/>
    </row>
    <row r="3222" spans="1:4" x14ac:dyDescent="0.2">
      <c r="A3222" s="4"/>
      <c r="B3222"/>
      <c r="C3222"/>
      <c r="D3222"/>
    </row>
    <row r="3223" spans="1:4" x14ac:dyDescent="0.2">
      <c r="A3223" s="4"/>
      <c r="B3223"/>
      <c r="C3223"/>
      <c r="D3223"/>
    </row>
    <row r="3224" spans="1:4" x14ac:dyDescent="0.2">
      <c r="A3224" s="4"/>
      <c r="B3224"/>
      <c r="C3224"/>
      <c r="D3224"/>
    </row>
    <row r="3225" spans="1:4" x14ac:dyDescent="0.2">
      <c r="A3225" s="4"/>
      <c r="B3225"/>
      <c r="C3225"/>
      <c r="D3225"/>
    </row>
    <row r="3226" spans="1:4" x14ac:dyDescent="0.2">
      <c r="A3226" s="4"/>
      <c r="B3226"/>
      <c r="C3226"/>
      <c r="D3226"/>
    </row>
    <row r="3227" spans="1:4" x14ac:dyDescent="0.2">
      <c r="A3227" s="4"/>
      <c r="B3227"/>
      <c r="C3227"/>
      <c r="D3227"/>
    </row>
    <row r="3228" spans="1:4" x14ac:dyDescent="0.2">
      <c r="A3228" s="4"/>
      <c r="B3228"/>
      <c r="C3228"/>
      <c r="D3228"/>
    </row>
    <row r="3229" spans="1:4" x14ac:dyDescent="0.2">
      <c r="A3229" s="4"/>
      <c r="B3229"/>
      <c r="C3229"/>
      <c r="D3229"/>
    </row>
    <row r="3230" spans="1:4" x14ac:dyDescent="0.2">
      <c r="A3230" s="4"/>
      <c r="B3230"/>
      <c r="C3230"/>
      <c r="D3230"/>
    </row>
    <row r="3231" spans="1:4" x14ac:dyDescent="0.2">
      <c r="A3231" s="4"/>
      <c r="B3231"/>
      <c r="C3231"/>
      <c r="D3231"/>
    </row>
    <row r="3232" spans="1:4" x14ac:dyDescent="0.2">
      <c r="A3232" s="4"/>
      <c r="B3232"/>
      <c r="C3232"/>
      <c r="D3232"/>
    </row>
    <row r="3233" spans="1:4" x14ac:dyDescent="0.2">
      <c r="A3233" s="4"/>
      <c r="B3233"/>
      <c r="C3233"/>
      <c r="D3233"/>
    </row>
    <row r="3234" spans="1:4" x14ac:dyDescent="0.2">
      <c r="A3234" s="4"/>
      <c r="B3234"/>
      <c r="C3234"/>
      <c r="D3234"/>
    </row>
    <row r="3235" spans="1:4" x14ac:dyDescent="0.2">
      <c r="A3235" s="4"/>
      <c r="B3235"/>
      <c r="C3235"/>
      <c r="D3235"/>
    </row>
    <row r="3236" spans="1:4" x14ac:dyDescent="0.2">
      <c r="A3236" s="4"/>
      <c r="B3236"/>
      <c r="C3236"/>
      <c r="D3236"/>
    </row>
    <row r="3237" spans="1:4" x14ac:dyDescent="0.2">
      <c r="A3237" s="4"/>
      <c r="B3237"/>
      <c r="C3237"/>
      <c r="D3237"/>
    </row>
    <row r="3238" spans="1:4" x14ac:dyDescent="0.2">
      <c r="A3238" s="4"/>
      <c r="B3238"/>
      <c r="C3238"/>
      <c r="D3238"/>
    </row>
    <row r="3239" spans="1:4" x14ac:dyDescent="0.2">
      <c r="A3239" s="4"/>
      <c r="B3239"/>
      <c r="C3239"/>
      <c r="D3239"/>
    </row>
    <row r="3240" spans="1:4" x14ac:dyDescent="0.2">
      <c r="A3240" s="4"/>
      <c r="B3240"/>
      <c r="C3240"/>
      <c r="D3240"/>
    </row>
    <row r="3241" spans="1:4" x14ac:dyDescent="0.2">
      <c r="A3241" s="4"/>
      <c r="B3241"/>
      <c r="C3241"/>
      <c r="D3241"/>
    </row>
    <row r="3242" spans="1:4" x14ac:dyDescent="0.2">
      <c r="A3242" s="4"/>
      <c r="B3242"/>
      <c r="C3242"/>
      <c r="D3242"/>
    </row>
    <row r="3243" spans="1:4" x14ac:dyDescent="0.2">
      <c r="A3243" s="4"/>
      <c r="B3243"/>
      <c r="C3243"/>
      <c r="D3243"/>
    </row>
    <row r="3244" spans="1:4" x14ac:dyDescent="0.2">
      <c r="A3244" s="4"/>
      <c r="B3244"/>
      <c r="C3244"/>
      <c r="D3244"/>
    </row>
    <row r="3245" spans="1:4" x14ac:dyDescent="0.2">
      <c r="A3245" s="4"/>
      <c r="B3245"/>
      <c r="C3245"/>
      <c r="D3245"/>
    </row>
    <row r="3246" spans="1:4" x14ac:dyDescent="0.2">
      <c r="A3246" s="4"/>
      <c r="B3246"/>
      <c r="C3246"/>
      <c r="D3246"/>
    </row>
    <row r="3247" spans="1:4" x14ac:dyDescent="0.2">
      <c r="A3247" s="4"/>
      <c r="B3247"/>
      <c r="C3247"/>
      <c r="D3247"/>
    </row>
    <row r="3248" spans="1:4" x14ac:dyDescent="0.2">
      <c r="A3248" s="4"/>
      <c r="B3248"/>
      <c r="C3248"/>
      <c r="D3248"/>
    </row>
    <row r="3249" spans="1:4" x14ac:dyDescent="0.2">
      <c r="A3249" s="4"/>
      <c r="B3249"/>
      <c r="C3249"/>
      <c r="D3249"/>
    </row>
    <row r="3250" spans="1:4" x14ac:dyDescent="0.2">
      <c r="A3250" s="4"/>
      <c r="B3250"/>
      <c r="C3250"/>
      <c r="D3250"/>
    </row>
    <row r="3251" spans="1:4" x14ac:dyDescent="0.2">
      <c r="A3251" s="4"/>
      <c r="B3251"/>
      <c r="C3251"/>
      <c r="D3251"/>
    </row>
    <row r="3252" spans="1:4" x14ac:dyDescent="0.2">
      <c r="A3252" s="4"/>
      <c r="B3252"/>
      <c r="C3252"/>
      <c r="D3252"/>
    </row>
    <row r="3253" spans="1:4" x14ac:dyDescent="0.2">
      <c r="A3253" s="4"/>
      <c r="B3253"/>
      <c r="C3253"/>
      <c r="D3253"/>
    </row>
    <row r="3254" spans="1:4" x14ac:dyDescent="0.2">
      <c r="A3254" s="4"/>
      <c r="B3254"/>
      <c r="C3254"/>
      <c r="D3254"/>
    </row>
    <row r="3255" spans="1:4" x14ac:dyDescent="0.2">
      <c r="A3255" s="4"/>
      <c r="B3255"/>
      <c r="C3255"/>
      <c r="D3255"/>
    </row>
    <row r="3256" spans="1:4" x14ac:dyDescent="0.2">
      <c r="A3256" s="4"/>
      <c r="B3256"/>
      <c r="C3256"/>
      <c r="D3256"/>
    </row>
    <row r="3257" spans="1:4" x14ac:dyDescent="0.2">
      <c r="A3257" s="4"/>
      <c r="B3257"/>
      <c r="C3257"/>
      <c r="D3257"/>
    </row>
    <row r="3258" spans="1:4" x14ac:dyDescent="0.2">
      <c r="A3258" s="4"/>
      <c r="B3258"/>
      <c r="C3258"/>
      <c r="D3258"/>
    </row>
    <row r="3259" spans="1:4" x14ac:dyDescent="0.2">
      <c r="A3259" s="4"/>
      <c r="B3259"/>
      <c r="C3259"/>
      <c r="D3259"/>
    </row>
    <row r="3260" spans="1:4" x14ac:dyDescent="0.2">
      <c r="A3260" s="4"/>
      <c r="B3260"/>
      <c r="C3260"/>
      <c r="D3260"/>
    </row>
    <row r="3261" spans="1:4" x14ac:dyDescent="0.2">
      <c r="A3261" s="4"/>
      <c r="B3261"/>
      <c r="C3261"/>
      <c r="D3261"/>
    </row>
    <row r="3262" spans="1:4" x14ac:dyDescent="0.2">
      <c r="A3262" s="4"/>
      <c r="B3262"/>
      <c r="C3262"/>
      <c r="D3262"/>
    </row>
    <row r="3263" spans="1:4" x14ac:dyDescent="0.2">
      <c r="A3263" s="4"/>
      <c r="B3263"/>
      <c r="C3263"/>
      <c r="D3263"/>
    </row>
    <row r="3264" spans="1:4" x14ac:dyDescent="0.2">
      <c r="A3264" s="4"/>
      <c r="B3264"/>
      <c r="C3264"/>
      <c r="D3264"/>
    </row>
    <row r="3265" spans="1:4" x14ac:dyDescent="0.2">
      <c r="A3265" s="4"/>
      <c r="B3265"/>
      <c r="C3265"/>
      <c r="D3265"/>
    </row>
    <row r="3266" spans="1:4" x14ac:dyDescent="0.2">
      <c r="A3266" s="4"/>
      <c r="B3266"/>
      <c r="C3266"/>
      <c r="D3266"/>
    </row>
    <row r="3267" spans="1:4" x14ac:dyDescent="0.2">
      <c r="A3267" s="4"/>
      <c r="B3267"/>
      <c r="C3267"/>
      <c r="D3267"/>
    </row>
    <row r="3268" spans="1:4" x14ac:dyDescent="0.2">
      <c r="A3268" s="4"/>
      <c r="B3268"/>
      <c r="C3268"/>
      <c r="D3268"/>
    </row>
    <row r="3269" spans="1:4" x14ac:dyDescent="0.2">
      <c r="A3269" s="4"/>
      <c r="B3269"/>
      <c r="C3269"/>
      <c r="D3269"/>
    </row>
    <row r="3270" spans="1:4" x14ac:dyDescent="0.2">
      <c r="A3270" s="4"/>
      <c r="B3270"/>
      <c r="C3270"/>
      <c r="D3270"/>
    </row>
    <row r="3271" spans="1:4" x14ac:dyDescent="0.2">
      <c r="A3271" s="4"/>
      <c r="B3271"/>
      <c r="C3271"/>
      <c r="D3271"/>
    </row>
    <row r="3272" spans="1:4" x14ac:dyDescent="0.2">
      <c r="A3272" s="4"/>
      <c r="B3272"/>
      <c r="C3272"/>
      <c r="D3272"/>
    </row>
    <row r="3273" spans="1:4" x14ac:dyDescent="0.2">
      <c r="A3273" s="4"/>
      <c r="B3273"/>
      <c r="C3273"/>
      <c r="D3273"/>
    </row>
    <row r="3274" spans="1:4" x14ac:dyDescent="0.2">
      <c r="A3274" s="4"/>
      <c r="B3274"/>
      <c r="C3274"/>
      <c r="D3274"/>
    </row>
    <row r="3275" spans="1:4" x14ac:dyDescent="0.2">
      <c r="A3275" s="4"/>
      <c r="B3275"/>
      <c r="C3275"/>
      <c r="D3275"/>
    </row>
    <row r="3276" spans="1:4" x14ac:dyDescent="0.2">
      <c r="A3276" s="4"/>
      <c r="B3276"/>
      <c r="C3276"/>
      <c r="D3276"/>
    </row>
    <row r="3277" spans="1:4" x14ac:dyDescent="0.2">
      <c r="A3277" s="4"/>
      <c r="B3277"/>
      <c r="C3277"/>
      <c r="D3277"/>
    </row>
    <row r="3278" spans="1:4" x14ac:dyDescent="0.2">
      <c r="A3278" s="4"/>
      <c r="B3278"/>
      <c r="C3278"/>
      <c r="D3278"/>
    </row>
    <row r="3279" spans="1:4" x14ac:dyDescent="0.2">
      <c r="A3279" s="4"/>
      <c r="B3279"/>
      <c r="C3279"/>
      <c r="D3279"/>
    </row>
    <row r="3280" spans="1:4" x14ac:dyDescent="0.2">
      <c r="A3280" s="4"/>
      <c r="B3280"/>
      <c r="C3280"/>
      <c r="D3280"/>
    </row>
    <row r="3281" spans="1:4" x14ac:dyDescent="0.2">
      <c r="A3281" s="4"/>
      <c r="B3281"/>
      <c r="C3281"/>
      <c r="D3281"/>
    </row>
    <row r="3282" spans="1:4" x14ac:dyDescent="0.2">
      <c r="A3282" s="4"/>
      <c r="B3282"/>
      <c r="C3282"/>
      <c r="D3282"/>
    </row>
    <row r="3283" spans="1:4" x14ac:dyDescent="0.2">
      <c r="A3283" s="4"/>
      <c r="B3283"/>
      <c r="C3283"/>
      <c r="D3283"/>
    </row>
    <row r="3284" spans="1:4" x14ac:dyDescent="0.2">
      <c r="A3284" s="4"/>
      <c r="B3284"/>
      <c r="C3284"/>
      <c r="D3284"/>
    </row>
    <row r="3285" spans="1:4" x14ac:dyDescent="0.2">
      <c r="A3285" s="4"/>
      <c r="B3285"/>
      <c r="C3285"/>
      <c r="D3285"/>
    </row>
    <row r="3286" spans="1:4" x14ac:dyDescent="0.2">
      <c r="A3286" s="4"/>
      <c r="B3286"/>
      <c r="C3286"/>
      <c r="D3286"/>
    </row>
    <row r="3287" spans="1:4" x14ac:dyDescent="0.2">
      <c r="A3287" s="4"/>
      <c r="B3287"/>
      <c r="C3287"/>
      <c r="D3287"/>
    </row>
    <row r="3288" spans="1:4" x14ac:dyDescent="0.2">
      <c r="A3288" s="4"/>
      <c r="B3288"/>
      <c r="C3288"/>
      <c r="D3288"/>
    </row>
    <row r="3289" spans="1:4" x14ac:dyDescent="0.2">
      <c r="A3289" s="4"/>
      <c r="B3289"/>
      <c r="C3289"/>
      <c r="D3289"/>
    </row>
    <row r="3290" spans="1:4" x14ac:dyDescent="0.2">
      <c r="A3290" s="4"/>
      <c r="B3290"/>
      <c r="C3290"/>
      <c r="D3290"/>
    </row>
    <row r="3291" spans="1:4" x14ac:dyDescent="0.2">
      <c r="A3291" s="4"/>
      <c r="B3291"/>
      <c r="C3291"/>
      <c r="D3291"/>
    </row>
    <row r="3292" spans="1:4" x14ac:dyDescent="0.2">
      <c r="A3292" s="4"/>
      <c r="B3292"/>
      <c r="C3292"/>
      <c r="D3292"/>
    </row>
    <row r="3293" spans="1:4" x14ac:dyDescent="0.2">
      <c r="A3293" s="4"/>
      <c r="B3293"/>
      <c r="C3293"/>
      <c r="D3293"/>
    </row>
    <row r="3294" spans="1:4" x14ac:dyDescent="0.2">
      <c r="A3294" s="4"/>
      <c r="B3294"/>
      <c r="C3294"/>
      <c r="D3294"/>
    </row>
    <row r="3295" spans="1:4" x14ac:dyDescent="0.2">
      <c r="A3295" s="4"/>
      <c r="B3295"/>
      <c r="C3295"/>
      <c r="D3295"/>
    </row>
    <row r="3296" spans="1:4" x14ac:dyDescent="0.2">
      <c r="A3296" s="4"/>
      <c r="B3296"/>
      <c r="C3296"/>
      <c r="D3296"/>
    </row>
    <row r="3297" spans="1:4" x14ac:dyDescent="0.2">
      <c r="A3297" s="4"/>
      <c r="B3297"/>
      <c r="C3297"/>
      <c r="D3297"/>
    </row>
    <row r="3298" spans="1:4" x14ac:dyDescent="0.2">
      <c r="A3298" s="4"/>
      <c r="B3298"/>
      <c r="C3298"/>
      <c r="D3298"/>
    </row>
    <row r="3299" spans="1:4" x14ac:dyDescent="0.2">
      <c r="A3299" s="4"/>
      <c r="B3299"/>
      <c r="C3299"/>
      <c r="D3299"/>
    </row>
    <row r="3300" spans="1:4" x14ac:dyDescent="0.2">
      <c r="A3300" s="4"/>
      <c r="B3300"/>
      <c r="C3300"/>
      <c r="D3300"/>
    </row>
    <row r="3301" spans="1:4" x14ac:dyDescent="0.2">
      <c r="A3301" s="4"/>
      <c r="B3301"/>
      <c r="C3301"/>
      <c r="D3301"/>
    </row>
    <row r="3302" spans="1:4" x14ac:dyDescent="0.2">
      <c r="A3302" s="4"/>
      <c r="B3302"/>
      <c r="C3302"/>
      <c r="D3302"/>
    </row>
    <row r="3303" spans="1:4" x14ac:dyDescent="0.2">
      <c r="A3303" s="4"/>
      <c r="B3303"/>
      <c r="C3303"/>
      <c r="D3303"/>
    </row>
    <row r="3304" spans="1:4" x14ac:dyDescent="0.2">
      <c r="A3304" s="4"/>
      <c r="B3304"/>
      <c r="C3304"/>
      <c r="D3304"/>
    </row>
    <row r="3305" spans="1:4" x14ac:dyDescent="0.2">
      <c r="A3305" s="4"/>
      <c r="B3305"/>
      <c r="C3305"/>
      <c r="D3305"/>
    </row>
    <row r="3306" spans="1:4" x14ac:dyDescent="0.2">
      <c r="A3306" s="4"/>
      <c r="B3306"/>
      <c r="C3306"/>
      <c r="D3306"/>
    </row>
    <row r="3307" spans="1:4" x14ac:dyDescent="0.2">
      <c r="A3307" s="4"/>
      <c r="B3307"/>
      <c r="C3307"/>
      <c r="D3307"/>
    </row>
    <row r="3308" spans="1:4" x14ac:dyDescent="0.2">
      <c r="A3308" s="4"/>
      <c r="B3308"/>
      <c r="C3308"/>
      <c r="D3308"/>
    </row>
    <row r="3309" spans="1:4" x14ac:dyDescent="0.2">
      <c r="A3309" s="4"/>
      <c r="B3309"/>
      <c r="C3309"/>
      <c r="D3309"/>
    </row>
    <row r="3310" spans="1:4" x14ac:dyDescent="0.2">
      <c r="A3310" s="4"/>
      <c r="B3310"/>
      <c r="C3310"/>
      <c r="D3310"/>
    </row>
    <row r="3311" spans="1:4" x14ac:dyDescent="0.2">
      <c r="A3311" s="4"/>
      <c r="B3311"/>
      <c r="C3311"/>
      <c r="D3311"/>
    </row>
    <row r="3312" spans="1:4" x14ac:dyDescent="0.2">
      <c r="A3312" s="4"/>
      <c r="B3312"/>
      <c r="C3312"/>
      <c r="D3312"/>
    </row>
    <row r="3313" spans="1:4" x14ac:dyDescent="0.2">
      <c r="A3313" s="4"/>
      <c r="B3313"/>
      <c r="C3313"/>
      <c r="D3313"/>
    </row>
    <row r="3314" spans="1:4" x14ac:dyDescent="0.2">
      <c r="A3314" s="4"/>
      <c r="B3314"/>
      <c r="C3314"/>
      <c r="D3314"/>
    </row>
    <row r="3315" spans="1:4" x14ac:dyDescent="0.2">
      <c r="A3315" s="4"/>
      <c r="B3315"/>
      <c r="C3315"/>
      <c r="D3315"/>
    </row>
    <row r="3316" spans="1:4" x14ac:dyDescent="0.2">
      <c r="A3316" s="4"/>
      <c r="B3316"/>
      <c r="C3316"/>
      <c r="D3316"/>
    </row>
    <row r="3317" spans="1:4" x14ac:dyDescent="0.2">
      <c r="A3317" s="4"/>
      <c r="B3317"/>
      <c r="C3317"/>
      <c r="D3317"/>
    </row>
    <row r="3318" spans="1:4" x14ac:dyDescent="0.2">
      <c r="A3318" s="4"/>
      <c r="B3318"/>
      <c r="C3318"/>
      <c r="D3318"/>
    </row>
    <row r="3319" spans="1:4" x14ac:dyDescent="0.2">
      <c r="A3319" s="4"/>
      <c r="B3319"/>
      <c r="C3319"/>
      <c r="D3319"/>
    </row>
    <row r="3320" spans="1:4" x14ac:dyDescent="0.2">
      <c r="A3320" s="4"/>
      <c r="B3320"/>
      <c r="C3320"/>
      <c r="D3320"/>
    </row>
    <row r="3321" spans="1:4" x14ac:dyDescent="0.2">
      <c r="A3321" s="4"/>
      <c r="B3321"/>
      <c r="C3321"/>
      <c r="D3321"/>
    </row>
    <row r="3322" spans="1:4" x14ac:dyDescent="0.2">
      <c r="A3322" s="4"/>
      <c r="B3322"/>
      <c r="C3322"/>
      <c r="D3322"/>
    </row>
    <row r="3323" spans="1:4" x14ac:dyDescent="0.2">
      <c r="A3323" s="4"/>
      <c r="B3323"/>
      <c r="C3323"/>
      <c r="D3323"/>
    </row>
    <row r="3324" spans="1:4" x14ac:dyDescent="0.2">
      <c r="A3324" s="4"/>
      <c r="B3324"/>
      <c r="C3324"/>
      <c r="D3324"/>
    </row>
    <row r="3325" spans="1:4" x14ac:dyDescent="0.2">
      <c r="A3325" s="4"/>
      <c r="B3325"/>
      <c r="C3325"/>
      <c r="D3325"/>
    </row>
    <row r="3326" spans="1:4" x14ac:dyDescent="0.2">
      <c r="A3326" s="4"/>
      <c r="B3326"/>
      <c r="C3326"/>
      <c r="D3326"/>
    </row>
    <row r="3327" spans="1:4" x14ac:dyDescent="0.2">
      <c r="A3327" s="4"/>
      <c r="B3327"/>
      <c r="C3327"/>
      <c r="D3327"/>
    </row>
    <row r="3328" spans="1:4" x14ac:dyDescent="0.2">
      <c r="A3328" s="4"/>
      <c r="B3328"/>
      <c r="C3328"/>
      <c r="D3328"/>
    </row>
    <row r="3329" spans="1:4" x14ac:dyDescent="0.2">
      <c r="A3329" s="4"/>
      <c r="B3329"/>
      <c r="C3329"/>
      <c r="D3329"/>
    </row>
    <row r="3330" spans="1:4" x14ac:dyDescent="0.2">
      <c r="A3330" s="4"/>
      <c r="B3330"/>
      <c r="C3330"/>
      <c r="D3330"/>
    </row>
    <row r="3331" spans="1:4" x14ac:dyDescent="0.2">
      <c r="A3331" s="4"/>
      <c r="B3331"/>
      <c r="C3331"/>
      <c r="D3331"/>
    </row>
    <row r="3332" spans="1:4" x14ac:dyDescent="0.2">
      <c r="A3332" s="4"/>
      <c r="B3332"/>
      <c r="C3332"/>
      <c r="D3332"/>
    </row>
    <row r="3333" spans="1:4" x14ac:dyDescent="0.2">
      <c r="A3333" s="4"/>
      <c r="B3333"/>
      <c r="C3333"/>
      <c r="D3333"/>
    </row>
    <row r="3334" spans="1:4" x14ac:dyDescent="0.2">
      <c r="A3334" s="4"/>
      <c r="B3334"/>
      <c r="C3334"/>
      <c r="D3334"/>
    </row>
    <row r="3335" spans="1:4" x14ac:dyDescent="0.2">
      <c r="A3335" s="4"/>
      <c r="B3335"/>
      <c r="C3335"/>
      <c r="D3335"/>
    </row>
    <row r="3336" spans="1:4" x14ac:dyDescent="0.2">
      <c r="A3336" s="4"/>
      <c r="B3336"/>
      <c r="C3336"/>
      <c r="D3336"/>
    </row>
    <row r="3337" spans="1:4" x14ac:dyDescent="0.2">
      <c r="A3337" s="4"/>
      <c r="B3337"/>
      <c r="C3337"/>
      <c r="D3337"/>
    </row>
    <row r="3338" spans="1:4" x14ac:dyDescent="0.2">
      <c r="A3338" s="4"/>
      <c r="B3338"/>
      <c r="C3338"/>
      <c r="D3338"/>
    </row>
    <row r="3339" spans="1:4" x14ac:dyDescent="0.2">
      <c r="A3339" s="4"/>
      <c r="B3339"/>
      <c r="C3339"/>
      <c r="D3339"/>
    </row>
    <row r="3340" spans="1:4" x14ac:dyDescent="0.2">
      <c r="A3340" s="4"/>
      <c r="B3340"/>
      <c r="C3340"/>
      <c r="D3340"/>
    </row>
    <row r="3341" spans="1:4" x14ac:dyDescent="0.2">
      <c r="A3341" s="4"/>
      <c r="B3341"/>
      <c r="C3341"/>
      <c r="D3341"/>
    </row>
    <row r="3342" spans="1:4" x14ac:dyDescent="0.2">
      <c r="A3342" s="4"/>
      <c r="B3342"/>
      <c r="C3342"/>
      <c r="D3342"/>
    </row>
    <row r="3343" spans="1:4" x14ac:dyDescent="0.2">
      <c r="A3343" s="4"/>
      <c r="B3343"/>
      <c r="C3343"/>
      <c r="D3343"/>
    </row>
    <row r="3344" spans="1:4" x14ac:dyDescent="0.2">
      <c r="A3344" s="4"/>
      <c r="B3344"/>
      <c r="C3344"/>
      <c r="D3344"/>
    </row>
    <row r="3345" spans="1:4" x14ac:dyDescent="0.2">
      <c r="A3345" s="4"/>
      <c r="B3345"/>
      <c r="C3345"/>
      <c r="D3345"/>
    </row>
    <row r="3346" spans="1:4" x14ac:dyDescent="0.2">
      <c r="A3346" s="4"/>
      <c r="B3346"/>
      <c r="C3346"/>
      <c r="D3346"/>
    </row>
    <row r="3347" spans="1:4" x14ac:dyDescent="0.2">
      <c r="A3347" s="4"/>
      <c r="B3347"/>
      <c r="C3347"/>
      <c r="D3347"/>
    </row>
    <row r="3348" spans="1:4" x14ac:dyDescent="0.2">
      <c r="A3348" s="4"/>
      <c r="B3348"/>
      <c r="C3348"/>
      <c r="D3348"/>
    </row>
    <row r="3349" spans="1:4" x14ac:dyDescent="0.2">
      <c r="A3349" s="4"/>
      <c r="B3349"/>
      <c r="C3349"/>
      <c r="D3349"/>
    </row>
    <row r="3350" spans="1:4" x14ac:dyDescent="0.2">
      <c r="A3350" s="4"/>
      <c r="B3350"/>
      <c r="C3350"/>
      <c r="D3350"/>
    </row>
    <row r="3351" spans="1:4" x14ac:dyDescent="0.2">
      <c r="A3351" s="4"/>
      <c r="B3351"/>
      <c r="C3351"/>
      <c r="D3351"/>
    </row>
    <row r="3352" spans="1:4" x14ac:dyDescent="0.2">
      <c r="A3352" s="4"/>
      <c r="B3352"/>
      <c r="C3352"/>
      <c r="D3352"/>
    </row>
    <row r="3353" spans="1:4" x14ac:dyDescent="0.2">
      <c r="A3353" s="4"/>
      <c r="B3353"/>
      <c r="C3353"/>
      <c r="D3353"/>
    </row>
    <row r="3354" spans="1:4" x14ac:dyDescent="0.2">
      <c r="A3354" s="4"/>
      <c r="B3354"/>
      <c r="C3354"/>
      <c r="D3354"/>
    </row>
    <row r="3355" spans="1:4" x14ac:dyDescent="0.2">
      <c r="A3355" s="4"/>
      <c r="B3355"/>
      <c r="C3355"/>
      <c r="D3355"/>
    </row>
    <row r="3356" spans="1:4" x14ac:dyDescent="0.2">
      <c r="A3356" s="4"/>
      <c r="B3356"/>
      <c r="C3356"/>
      <c r="D3356"/>
    </row>
    <row r="3357" spans="1:4" x14ac:dyDescent="0.2">
      <c r="A3357" s="4"/>
      <c r="B3357"/>
      <c r="C3357"/>
      <c r="D3357"/>
    </row>
    <row r="3358" spans="1:4" x14ac:dyDescent="0.2">
      <c r="A3358" s="4"/>
      <c r="B3358"/>
      <c r="C3358"/>
      <c r="D3358"/>
    </row>
    <row r="3359" spans="1:4" x14ac:dyDescent="0.2">
      <c r="A3359" s="4"/>
      <c r="B3359"/>
      <c r="C3359"/>
      <c r="D3359"/>
    </row>
    <row r="3360" spans="1:4" x14ac:dyDescent="0.2">
      <c r="A3360" s="4"/>
      <c r="B3360"/>
      <c r="C3360"/>
      <c r="D3360"/>
    </row>
    <row r="3361" spans="1:4" x14ac:dyDescent="0.2">
      <c r="A3361" s="4"/>
      <c r="B3361"/>
      <c r="C3361"/>
      <c r="D3361"/>
    </row>
    <row r="3362" spans="1:4" x14ac:dyDescent="0.2">
      <c r="A3362" s="4"/>
      <c r="B3362"/>
      <c r="C3362"/>
      <c r="D3362"/>
    </row>
    <row r="3363" spans="1:4" x14ac:dyDescent="0.2">
      <c r="A3363" s="4"/>
      <c r="B3363"/>
      <c r="C3363"/>
      <c r="D3363"/>
    </row>
    <row r="3364" spans="1:4" x14ac:dyDescent="0.2">
      <c r="A3364" s="4"/>
      <c r="B3364"/>
      <c r="C3364"/>
      <c r="D3364"/>
    </row>
    <row r="3365" spans="1:4" x14ac:dyDescent="0.2">
      <c r="A3365" s="4"/>
      <c r="B3365"/>
      <c r="C3365"/>
      <c r="D3365"/>
    </row>
    <row r="3366" spans="1:4" x14ac:dyDescent="0.2">
      <c r="A3366" s="4"/>
      <c r="B3366"/>
      <c r="C3366"/>
      <c r="D3366"/>
    </row>
    <row r="3367" spans="1:4" x14ac:dyDescent="0.2">
      <c r="A3367" s="4"/>
      <c r="B3367"/>
      <c r="C3367"/>
      <c r="D3367"/>
    </row>
    <row r="3368" spans="1:4" x14ac:dyDescent="0.2">
      <c r="A3368" s="4"/>
      <c r="B3368"/>
      <c r="C3368"/>
      <c r="D3368"/>
    </row>
    <row r="3369" spans="1:4" x14ac:dyDescent="0.2">
      <c r="A3369" s="4"/>
      <c r="B3369"/>
      <c r="C3369"/>
      <c r="D3369"/>
    </row>
    <row r="3370" spans="1:4" x14ac:dyDescent="0.2">
      <c r="A3370" s="4"/>
      <c r="B3370"/>
      <c r="C3370"/>
      <c r="D3370"/>
    </row>
    <row r="3371" spans="1:4" x14ac:dyDescent="0.2">
      <c r="A3371" s="4"/>
      <c r="B3371"/>
      <c r="C3371"/>
      <c r="D3371"/>
    </row>
    <row r="3372" spans="1:4" x14ac:dyDescent="0.2">
      <c r="A3372" s="4"/>
      <c r="B3372"/>
      <c r="C3372"/>
      <c r="D3372"/>
    </row>
    <row r="3373" spans="1:4" x14ac:dyDescent="0.2">
      <c r="A3373" s="4"/>
      <c r="B3373"/>
      <c r="C3373"/>
      <c r="D3373"/>
    </row>
    <row r="3374" spans="1:4" x14ac:dyDescent="0.2">
      <c r="A3374" s="4"/>
      <c r="B3374"/>
      <c r="C3374"/>
      <c r="D3374"/>
    </row>
    <row r="3375" spans="1:4" x14ac:dyDescent="0.2">
      <c r="A3375" s="4"/>
      <c r="B3375"/>
      <c r="C3375"/>
      <c r="D3375"/>
    </row>
    <row r="3376" spans="1:4" x14ac:dyDescent="0.2">
      <c r="A3376" s="4"/>
      <c r="B3376"/>
      <c r="C3376"/>
      <c r="D3376"/>
    </row>
    <row r="3377" spans="1:4" x14ac:dyDescent="0.2">
      <c r="A3377" s="4"/>
      <c r="B3377"/>
      <c r="C3377"/>
      <c r="D3377"/>
    </row>
    <row r="3378" spans="1:4" x14ac:dyDescent="0.2">
      <c r="A3378" s="4"/>
      <c r="B3378"/>
      <c r="C3378"/>
      <c r="D3378"/>
    </row>
    <row r="3379" spans="1:4" x14ac:dyDescent="0.2">
      <c r="A3379" s="4"/>
      <c r="B3379"/>
      <c r="C3379"/>
      <c r="D3379"/>
    </row>
    <row r="3380" spans="1:4" x14ac:dyDescent="0.2">
      <c r="A3380" s="4"/>
      <c r="B3380"/>
      <c r="C3380"/>
      <c r="D3380"/>
    </row>
    <row r="3381" spans="1:4" x14ac:dyDescent="0.2">
      <c r="A3381" s="4"/>
      <c r="B3381"/>
      <c r="C3381"/>
      <c r="D3381"/>
    </row>
    <row r="3382" spans="1:4" x14ac:dyDescent="0.2">
      <c r="A3382" s="4"/>
      <c r="B3382"/>
      <c r="C3382"/>
      <c r="D3382"/>
    </row>
    <row r="3383" spans="1:4" x14ac:dyDescent="0.2">
      <c r="A3383" s="4"/>
      <c r="B3383"/>
      <c r="C3383"/>
      <c r="D3383"/>
    </row>
    <row r="3384" spans="1:4" x14ac:dyDescent="0.2">
      <c r="A3384" s="4"/>
      <c r="B3384"/>
      <c r="C3384"/>
      <c r="D3384"/>
    </row>
    <row r="3385" spans="1:4" x14ac:dyDescent="0.2">
      <c r="A3385" s="4"/>
      <c r="B3385"/>
      <c r="C3385"/>
      <c r="D3385"/>
    </row>
    <row r="3386" spans="1:4" x14ac:dyDescent="0.2">
      <c r="A3386" s="4"/>
      <c r="B3386"/>
      <c r="C3386"/>
      <c r="D3386"/>
    </row>
    <row r="3387" spans="1:4" x14ac:dyDescent="0.2">
      <c r="A3387" s="4"/>
      <c r="B3387"/>
      <c r="C3387"/>
      <c r="D3387"/>
    </row>
    <row r="3388" spans="1:4" x14ac:dyDescent="0.2">
      <c r="A3388" s="4"/>
      <c r="B3388"/>
      <c r="C3388"/>
      <c r="D3388"/>
    </row>
    <row r="3389" spans="1:4" x14ac:dyDescent="0.2">
      <c r="A3389" s="4"/>
      <c r="B3389"/>
      <c r="C3389"/>
      <c r="D3389"/>
    </row>
    <row r="3390" spans="1:4" x14ac:dyDescent="0.2">
      <c r="A3390" s="4"/>
      <c r="B3390"/>
      <c r="C3390"/>
      <c r="D3390"/>
    </row>
    <row r="3391" spans="1:4" x14ac:dyDescent="0.2">
      <c r="A3391" s="4"/>
      <c r="B3391"/>
      <c r="C3391"/>
      <c r="D3391"/>
    </row>
    <row r="3392" spans="1:4" x14ac:dyDescent="0.2">
      <c r="A3392" s="4"/>
      <c r="B3392"/>
      <c r="C3392"/>
      <c r="D3392"/>
    </row>
    <row r="3393" spans="1:4" x14ac:dyDescent="0.2">
      <c r="A3393" s="4"/>
      <c r="B3393"/>
      <c r="C3393"/>
      <c r="D3393"/>
    </row>
    <row r="3394" spans="1:4" x14ac:dyDescent="0.2">
      <c r="A3394" s="4"/>
      <c r="B3394"/>
      <c r="C3394"/>
      <c r="D3394"/>
    </row>
    <row r="3395" spans="1:4" x14ac:dyDescent="0.2">
      <c r="A3395" s="4"/>
      <c r="B3395"/>
      <c r="C3395"/>
      <c r="D3395"/>
    </row>
    <row r="3396" spans="1:4" x14ac:dyDescent="0.2">
      <c r="A3396" s="4"/>
      <c r="B3396"/>
      <c r="C3396"/>
      <c r="D3396"/>
    </row>
    <row r="3397" spans="1:4" x14ac:dyDescent="0.2">
      <c r="A3397" s="4"/>
      <c r="B3397"/>
      <c r="C3397"/>
      <c r="D3397"/>
    </row>
    <row r="3398" spans="1:4" x14ac:dyDescent="0.2">
      <c r="A3398" s="4"/>
      <c r="B3398"/>
      <c r="C3398"/>
      <c r="D3398"/>
    </row>
    <row r="3399" spans="1:4" x14ac:dyDescent="0.2">
      <c r="A3399" s="4"/>
      <c r="B3399"/>
      <c r="C3399"/>
      <c r="D3399"/>
    </row>
    <row r="3400" spans="1:4" x14ac:dyDescent="0.2">
      <c r="A3400" s="4"/>
      <c r="B3400"/>
      <c r="C3400"/>
      <c r="D3400"/>
    </row>
    <row r="3401" spans="1:4" x14ac:dyDescent="0.2">
      <c r="A3401" s="4"/>
      <c r="B3401"/>
      <c r="C3401"/>
      <c r="D3401"/>
    </row>
    <row r="3402" spans="1:4" x14ac:dyDescent="0.2">
      <c r="A3402" s="4"/>
      <c r="B3402"/>
      <c r="C3402"/>
      <c r="D3402"/>
    </row>
    <row r="3403" spans="1:4" x14ac:dyDescent="0.2">
      <c r="A3403" s="4"/>
      <c r="B3403"/>
      <c r="C3403"/>
      <c r="D3403"/>
    </row>
    <row r="3404" spans="1:4" x14ac:dyDescent="0.2">
      <c r="A3404" s="4"/>
      <c r="B3404"/>
      <c r="C3404"/>
      <c r="D3404"/>
    </row>
    <row r="3405" spans="1:4" x14ac:dyDescent="0.2">
      <c r="A3405" s="4"/>
      <c r="B3405"/>
      <c r="C3405"/>
      <c r="D3405"/>
    </row>
    <row r="3406" spans="1:4" x14ac:dyDescent="0.2">
      <c r="A3406" s="4"/>
      <c r="B3406"/>
      <c r="C3406"/>
      <c r="D3406"/>
    </row>
    <row r="3407" spans="1:4" x14ac:dyDescent="0.2">
      <c r="A3407" s="4"/>
      <c r="B3407"/>
      <c r="C3407"/>
      <c r="D3407"/>
    </row>
    <row r="3408" spans="1:4" x14ac:dyDescent="0.2">
      <c r="A3408" s="4"/>
      <c r="B3408"/>
      <c r="C3408"/>
      <c r="D3408"/>
    </row>
    <row r="3409" spans="1:4" x14ac:dyDescent="0.2">
      <c r="A3409" s="4"/>
      <c r="B3409"/>
      <c r="C3409"/>
      <c r="D3409"/>
    </row>
    <row r="3410" spans="1:4" x14ac:dyDescent="0.2">
      <c r="A3410" s="4"/>
      <c r="B3410"/>
      <c r="C3410"/>
      <c r="D3410"/>
    </row>
    <row r="3411" spans="1:4" x14ac:dyDescent="0.2">
      <c r="A3411" s="4"/>
      <c r="B3411"/>
      <c r="C3411"/>
      <c r="D3411"/>
    </row>
    <row r="3412" spans="1:4" x14ac:dyDescent="0.2">
      <c r="A3412" s="4"/>
      <c r="B3412"/>
      <c r="C3412"/>
      <c r="D3412"/>
    </row>
    <row r="3413" spans="1:4" x14ac:dyDescent="0.2">
      <c r="A3413" s="4"/>
      <c r="B3413"/>
      <c r="C3413"/>
      <c r="D3413"/>
    </row>
    <row r="3414" spans="1:4" x14ac:dyDescent="0.2">
      <c r="A3414" s="4"/>
      <c r="B3414"/>
      <c r="C3414"/>
      <c r="D3414"/>
    </row>
    <row r="3415" spans="1:4" x14ac:dyDescent="0.2">
      <c r="A3415" s="4"/>
      <c r="B3415"/>
      <c r="C3415"/>
      <c r="D3415"/>
    </row>
    <row r="3416" spans="1:4" x14ac:dyDescent="0.2">
      <c r="A3416" s="4"/>
      <c r="B3416"/>
      <c r="C3416"/>
      <c r="D3416"/>
    </row>
    <row r="3417" spans="1:4" x14ac:dyDescent="0.2">
      <c r="A3417" s="4"/>
      <c r="B3417"/>
      <c r="C3417"/>
      <c r="D3417"/>
    </row>
    <row r="3418" spans="1:4" x14ac:dyDescent="0.2">
      <c r="A3418" s="4"/>
      <c r="B3418"/>
      <c r="C3418"/>
      <c r="D3418"/>
    </row>
    <row r="3419" spans="1:4" x14ac:dyDescent="0.2">
      <c r="A3419" s="4"/>
      <c r="B3419"/>
      <c r="C3419"/>
      <c r="D3419"/>
    </row>
    <row r="3420" spans="1:4" x14ac:dyDescent="0.2">
      <c r="A3420" s="4"/>
      <c r="B3420"/>
      <c r="C3420"/>
      <c r="D3420"/>
    </row>
    <row r="3421" spans="1:4" x14ac:dyDescent="0.2">
      <c r="A3421" s="4"/>
      <c r="B3421"/>
      <c r="C3421"/>
      <c r="D3421"/>
    </row>
    <row r="3422" spans="1:4" x14ac:dyDescent="0.2">
      <c r="A3422" s="4"/>
      <c r="B3422"/>
      <c r="C3422"/>
      <c r="D3422"/>
    </row>
    <row r="3423" spans="1:4" x14ac:dyDescent="0.2">
      <c r="A3423" s="4"/>
      <c r="B3423"/>
      <c r="C3423"/>
      <c r="D3423"/>
    </row>
    <row r="3424" spans="1:4" x14ac:dyDescent="0.2">
      <c r="A3424" s="4"/>
      <c r="B3424"/>
      <c r="C3424"/>
      <c r="D3424"/>
    </row>
    <row r="3425" spans="1:4" x14ac:dyDescent="0.2">
      <c r="A3425" s="4"/>
      <c r="B3425"/>
      <c r="C3425"/>
      <c r="D3425"/>
    </row>
    <row r="3426" spans="1:4" x14ac:dyDescent="0.2">
      <c r="A3426" s="4"/>
      <c r="B3426"/>
      <c r="C3426"/>
      <c r="D3426"/>
    </row>
    <row r="3427" spans="1:4" x14ac:dyDescent="0.2">
      <c r="A3427" s="4"/>
      <c r="B3427"/>
      <c r="C3427"/>
      <c r="D3427"/>
    </row>
    <row r="3428" spans="1:4" x14ac:dyDescent="0.2">
      <c r="A3428" s="4"/>
      <c r="B3428"/>
      <c r="C3428"/>
      <c r="D3428"/>
    </row>
    <row r="3429" spans="1:4" x14ac:dyDescent="0.2">
      <c r="A3429" s="4"/>
      <c r="B3429"/>
      <c r="C3429"/>
      <c r="D3429"/>
    </row>
    <row r="3430" spans="1:4" x14ac:dyDescent="0.2">
      <c r="A3430" s="4"/>
      <c r="B3430"/>
      <c r="C3430"/>
      <c r="D3430"/>
    </row>
    <row r="3431" spans="1:4" x14ac:dyDescent="0.2">
      <c r="A3431" s="4"/>
      <c r="B3431"/>
      <c r="C3431"/>
      <c r="D3431"/>
    </row>
    <row r="3432" spans="1:4" x14ac:dyDescent="0.2">
      <c r="A3432" s="4"/>
      <c r="B3432"/>
      <c r="C3432"/>
      <c r="D3432"/>
    </row>
    <row r="3433" spans="1:4" x14ac:dyDescent="0.2">
      <c r="A3433" s="4"/>
      <c r="B3433"/>
      <c r="C3433"/>
      <c r="D3433"/>
    </row>
    <row r="3434" spans="1:4" x14ac:dyDescent="0.2">
      <c r="A3434" s="4"/>
      <c r="B3434"/>
      <c r="C3434"/>
      <c r="D3434"/>
    </row>
    <row r="3435" spans="1:4" x14ac:dyDescent="0.2">
      <c r="A3435" s="4"/>
      <c r="B3435"/>
      <c r="C3435"/>
      <c r="D3435"/>
    </row>
    <row r="3436" spans="1:4" x14ac:dyDescent="0.2">
      <c r="A3436" s="4"/>
      <c r="B3436"/>
      <c r="C3436"/>
      <c r="D3436"/>
    </row>
    <row r="3437" spans="1:4" x14ac:dyDescent="0.2">
      <c r="A3437" s="4"/>
      <c r="B3437"/>
      <c r="C3437"/>
      <c r="D3437"/>
    </row>
    <row r="3438" spans="1:4" x14ac:dyDescent="0.2">
      <c r="A3438" s="4"/>
      <c r="B3438"/>
      <c r="C3438"/>
      <c r="D3438"/>
    </row>
    <row r="3439" spans="1:4" x14ac:dyDescent="0.2">
      <c r="A3439" s="4"/>
      <c r="B3439"/>
      <c r="C3439"/>
      <c r="D3439"/>
    </row>
    <row r="3440" spans="1:4" x14ac:dyDescent="0.2">
      <c r="A3440" s="4"/>
      <c r="B3440"/>
      <c r="C3440"/>
      <c r="D3440"/>
    </row>
    <row r="3441" spans="1:4" x14ac:dyDescent="0.2">
      <c r="A3441" s="4"/>
      <c r="B3441"/>
      <c r="C3441"/>
      <c r="D3441"/>
    </row>
    <row r="3442" spans="1:4" x14ac:dyDescent="0.2">
      <c r="A3442" s="4"/>
      <c r="B3442"/>
      <c r="C3442"/>
      <c r="D3442"/>
    </row>
    <row r="3443" spans="1:4" x14ac:dyDescent="0.2">
      <c r="A3443" s="4"/>
      <c r="B3443"/>
      <c r="C3443"/>
      <c r="D3443"/>
    </row>
    <row r="3444" spans="1:4" x14ac:dyDescent="0.2">
      <c r="A3444" s="4"/>
      <c r="B3444"/>
      <c r="C3444"/>
      <c r="D3444"/>
    </row>
    <row r="3445" spans="1:4" x14ac:dyDescent="0.2">
      <c r="A3445" s="4"/>
      <c r="B3445"/>
      <c r="C3445"/>
      <c r="D3445"/>
    </row>
    <row r="3446" spans="1:4" x14ac:dyDescent="0.2">
      <c r="A3446" s="4"/>
      <c r="B3446"/>
      <c r="C3446"/>
      <c r="D3446"/>
    </row>
    <row r="3447" spans="1:4" x14ac:dyDescent="0.2">
      <c r="A3447" s="4"/>
      <c r="B3447"/>
      <c r="C3447"/>
      <c r="D3447"/>
    </row>
    <row r="3448" spans="1:4" x14ac:dyDescent="0.2">
      <c r="A3448" s="4"/>
      <c r="B3448"/>
      <c r="C3448"/>
      <c r="D3448"/>
    </row>
    <row r="3449" spans="1:4" x14ac:dyDescent="0.2">
      <c r="A3449" s="4"/>
      <c r="B3449"/>
      <c r="C3449"/>
      <c r="D3449"/>
    </row>
    <row r="3450" spans="1:4" x14ac:dyDescent="0.2">
      <c r="A3450" s="4"/>
      <c r="B3450"/>
      <c r="C3450"/>
      <c r="D3450"/>
    </row>
    <row r="3451" spans="1:4" x14ac:dyDescent="0.2">
      <c r="A3451" s="4"/>
      <c r="B3451"/>
      <c r="C3451"/>
      <c r="D3451"/>
    </row>
    <row r="3452" spans="1:4" x14ac:dyDescent="0.2">
      <c r="A3452" s="4"/>
      <c r="B3452"/>
      <c r="C3452"/>
      <c r="D3452"/>
    </row>
    <row r="3453" spans="1:4" x14ac:dyDescent="0.2">
      <c r="A3453" s="4"/>
      <c r="B3453"/>
      <c r="C3453"/>
      <c r="D3453"/>
    </row>
    <row r="3454" spans="1:4" x14ac:dyDescent="0.2">
      <c r="A3454" s="4"/>
      <c r="B3454"/>
      <c r="C3454"/>
      <c r="D3454"/>
    </row>
    <row r="3455" spans="1:4" x14ac:dyDescent="0.2">
      <c r="A3455" s="4"/>
      <c r="B3455"/>
      <c r="C3455"/>
      <c r="D3455"/>
    </row>
    <row r="3456" spans="1:4" x14ac:dyDescent="0.2">
      <c r="A3456" s="4"/>
      <c r="B3456"/>
      <c r="C3456"/>
      <c r="D3456"/>
    </row>
    <row r="3457" spans="1:4" x14ac:dyDescent="0.2">
      <c r="A3457" s="4"/>
      <c r="B3457"/>
      <c r="C3457"/>
      <c r="D3457"/>
    </row>
    <row r="3458" spans="1:4" x14ac:dyDescent="0.2">
      <c r="A3458" s="4"/>
      <c r="B3458"/>
      <c r="C3458"/>
      <c r="D3458"/>
    </row>
    <row r="3459" spans="1:4" x14ac:dyDescent="0.2">
      <c r="A3459" s="4"/>
      <c r="B3459"/>
      <c r="C3459"/>
      <c r="D3459"/>
    </row>
    <row r="3460" spans="1:4" x14ac:dyDescent="0.2">
      <c r="A3460" s="4"/>
      <c r="B3460"/>
      <c r="C3460"/>
      <c r="D3460"/>
    </row>
    <row r="3461" spans="1:4" x14ac:dyDescent="0.2">
      <c r="A3461" s="4"/>
      <c r="B3461"/>
      <c r="C3461"/>
      <c r="D3461"/>
    </row>
    <row r="3462" spans="1:4" x14ac:dyDescent="0.2">
      <c r="A3462" s="4"/>
      <c r="B3462"/>
      <c r="C3462"/>
      <c r="D3462"/>
    </row>
    <row r="3463" spans="1:4" x14ac:dyDescent="0.2">
      <c r="A3463" s="4"/>
      <c r="B3463"/>
      <c r="C3463"/>
      <c r="D3463"/>
    </row>
    <row r="3464" spans="1:4" x14ac:dyDescent="0.2">
      <c r="A3464" s="4"/>
      <c r="B3464"/>
      <c r="C3464"/>
      <c r="D3464"/>
    </row>
    <row r="3465" spans="1:4" x14ac:dyDescent="0.2">
      <c r="A3465" s="4"/>
      <c r="B3465"/>
      <c r="C3465"/>
      <c r="D3465"/>
    </row>
    <row r="3466" spans="1:4" x14ac:dyDescent="0.2">
      <c r="A3466" s="4"/>
      <c r="B3466"/>
      <c r="C3466"/>
      <c r="D3466"/>
    </row>
    <row r="3467" spans="1:4" x14ac:dyDescent="0.2">
      <c r="A3467" s="4"/>
      <c r="B3467"/>
      <c r="C3467"/>
      <c r="D3467"/>
    </row>
    <row r="3468" spans="1:4" x14ac:dyDescent="0.2">
      <c r="A3468" s="4"/>
      <c r="B3468"/>
      <c r="C3468"/>
      <c r="D3468"/>
    </row>
    <row r="3469" spans="1:4" x14ac:dyDescent="0.2">
      <c r="A3469" s="4"/>
      <c r="B3469"/>
      <c r="C3469"/>
      <c r="D3469"/>
    </row>
    <row r="3470" spans="1:4" x14ac:dyDescent="0.2">
      <c r="A3470" s="4"/>
      <c r="B3470"/>
      <c r="C3470"/>
      <c r="D3470"/>
    </row>
    <row r="3471" spans="1:4" x14ac:dyDescent="0.2">
      <c r="A3471" s="4"/>
      <c r="B3471"/>
      <c r="C3471"/>
      <c r="D3471"/>
    </row>
    <row r="3472" spans="1:4" x14ac:dyDescent="0.2">
      <c r="A3472" s="4"/>
      <c r="B3472"/>
      <c r="C3472"/>
      <c r="D3472"/>
    </row>
    <row r="3473" spans="1:4" x14ac:dyDescent="0.2">
      <c r="A3473" s="4"/>
      <c r="B3473"/>
      <c r="C3473"/>
      <c r="D3473"/>
    </row>
    <row r="3474" spans="1:4" x14ac:dyDescent="0.2">
      <c r="A3474" s="4"/>
      <c r="B3474"/>
      <c r="C3474"/>
      <c r="D3474"/>
    </row>
    <row r="3475" spans="1:4" x14ac:dyDescent="0.2">
      <c r="A3475" s="4"/>
      <c r="B3475"/>
      <c r="C3475"/>
      <c r="D3475"/>
    </row>
    <row r="3476" spans="1:4" x14ac:dyDescent="0.2">
      <c r="A3476" s="4"/>
      <c r="B3476"/>
      <c r="C3476"/>
      <c r="D3476"/>
    </row>
    <row r="3477" spans="1:4" x14ac:dyDescent="0.2">
      <c r="A3477" s="4"/>
      <c r="B3477"/>
      <c r="C3477"/>
      <c r="D3477"/>
    </row>
    <row r="3478" spans="1:4" x14ac:dyDescent="0.2">
      <c r="A3478" s="4"/>
      <c r="B3478"/>
      <c r="C3478"/>
      <c r="D3478"/>
    </row>
    <row r="3479" spans="1:4" x14ac:dyDescent="0.2">
      <c r="A3479" s="4"/>
      <c r="B3479"/>
      <c r="C3479"/>
      <c r="D3479"/>
    </row>
    <row r="3480" spans="1:4" x14ac:dyDescent="0.2">
      <c r="A3480" s="4"/>
      <c r="B3480"/>
      <c r="C3480"/>
      <c r="D3480"/>
    </row>
    <row r="3481" spans="1:4" x14ac:dyDescent="0.2">
      <c r="A3481" s="4"/>
      <c r="B3481"/>
      <c r="C3481"/>
      <c r="D3481"/>
    </row>
    <row r="3482" spans="1:4" x14ac:dyDescent="0.2">
      <c r="A3482" s="4"/>
      <c r="B3482"/>
      <c r="C3482"/>
      <c r="D3482"/>
    </row>
    <row r="3483" spans="1:4" x14ac:dyDescent="0.2">
      <c r="A3483" s="4"/>
      <c r="B3483"/>
      <c r="C3483"/>
      <c r="D3483"/>
    </row>
    <row r="3484" spans="1:4" x14ac:dyDescent="0.2">
      <c r="A3484" s="4"/>
      <c r="B3484"/>
      <c r="C3484"/>
      <c r="D3484"/>
    </row>
    <row r="3485" spans="1:4" x14ac:dyDescent="0.2">
      <c r="A3485" s="4"/>
      <c r="B3485"/>
      <c r="C3485"/>
      <c r="D3485"/>
    </row>
    <row r="3486" spans="1:4" x14ac:dyDescent="0.2">
      <c r="A3486" s="4"/>
      <c r="B3486"/>
      <c r="C3486"/>
      <c r="D3486"/>
    </row>
    <row r="3487" spans="1:4" x14ac:dyDescent="0.2">
      <c r="A3487" s="4"/>
      <c r="B3487"/>
      <c r="C3487"/>
      <c r="D3487"/>
    </row>
    <row r="3488" spans="1:4" x14ac:dyDescent="0.2">
      <c r="A3488" s="4"/>
      <c r="B3488"/>
      <c r="C3488"/>
      <c r="D3488"/>
    </row>
    <row r="3489" spans="1:4" x14ac:dyDescent="0.2">
      <c r="A3489" s="4"/>
      <c r="B3489"/>
      <c r="C3489"/>
      <c r="D3489"/>
    </row>
    <row r="3490" spans="1:4" x14ac:dyDescent="0.2">
      <c r="A3490" s="4"/>
      <c r="B3490"/>
      <c r="C3490"/>
      <c r="D3490"/>
    </row>
    <row r="3491" spans="1:4" x14ac:dyDescent="0.2">
      <c r="A3491" s="4"/>
      <c r="B3491"/>
      <c r="C3491"/>
      <c r="D3491"/>
    </row>
    <row r="3492" spans="1:4" x14ac:dyDescent="0.2">
      <c r="A3492" s="4"/>
      <c r="B3492"/>
      <c r="C3492"/>
      <c r="D3492"/>
    </row>
    <row r="3493" spans="1:4" x14ac:dyDescent="0.2">
      <c r="A3493" s="4"/>
      <c r="B3493"/>
      <c r="C3493"/>
      <c r="D3493"/>
    </row>
    <row r="3494" spans="1:4" x14ac:dyDescent="0.2">
      <c r="A3494" s="4"/>
      <c r="B3494"/>
      <c r="C3494"/>
      <c r="D3494"/>
    </row>
    <row r="3495" spans="1:4" x14ac:dyDescent="0.2">
      <c r="A3495" s="4"/>
      <c r="B3495"/>
      <c r="C3495"/>
      <c r="D3495"/>
    </row>
    <row r="3496" spans="1:4" x14ac:dyDescent="0.2">
      <c r="A3496" s="4"/>
      <c r="B3496"/>
      <c r="C3496"/>
      <c r="D3496"/>
    </row>
    <row r="3497" spans="1:4" x14ac:dyDescent="0.2">
      <c r="A3497" s="4"/>
      <c r="B3497"/>
      <c r="C3497"/>
      <c r="D3497"/>
    </row>
    <row r="3498" spans="1:4" x14ac:dyDescent="0.2">
      <c r="A3498" s="4"/>
      <c r="B3498"/>
      <c r="C3498"/>
      <c r="D3498"/>
    </row>
    <row r="3499" spans="1:4" x14ac:dyDescent="0.2">
      <c r="A3499" s="4"/>
      <c r="B3499"/>
      <c r="C3499"/>
      <c r="D3499"/>
    </row>
    <row r="3500" spans="1:4" x14ac:dyDescent="0.2">
      <c r="A3500" s="4"/>
      <c r="B3500"/>
      <c r="C3500"/>
      <c r="D3500"/>
    </row>
    <row r="3501" spans="1:4" x14ac:dyDescent="0.2">
      <c r="A3501" s="4"/>
      <c r="B3501"/>
      <c r="C3501"/>
      <c r="D3501"/>
    </row>
    <row r="3502" spans="1:4" x14ac:dyDescent="0.2">
      <c r="A3502" s="4"/>
      <c r="B3502"/>
      <c r="C3502"/>
      <c r="D3502"/>
    </row>
    <row r="3503" spans="1:4" x14ac:dyDescent="0.2">
      <c r="A3503" s="4"/>
      <c r="B3503"/>
      <c r="C3503"/>
      <c r="D3503"/>
    </row>
    <row r="3504" spans="1:4" x14ac:dyDescent="0.2">
      <c r="A3504" s="4"/>
      <c r="B3504"/>
      <c r="C3504"/>
      <c r="D3504"/>
    </row>
    <row r="3505" spans="1:4" x14ac:dyDescent="0.2">
      <c r="A3505" s="4"/>
      <c r="B3505"/>
      <c r="C3505"/>
      <c r="D3505"/>
    </row>
    <row r="3506" spans="1:4" x14ac:dyDescent="0.2">
      <c r="A3506" s="4"/>
      <c r="B3506"/>
      <c r="C3506"/>
      <c r="D3506"/>
    </row>
    <row r="3507" spans="1:4" x14ac:dyDescent="0.2">
      <c r="A3507" s="4"/>
      <c r="B3507"/>
      <c r="C3507"/>
      <c r="D3507"/>
    </row>
    <row r="3508" spans="1:4" x14ac:dyDescent="0.2">
      <c r="A3508" s="4"/>
      <c r="B3508"/>
      <c r="C3508"/>
      <c r="D3508"/>
    </row>
    <row r="3509" spans="1:4" x14ac:dyDescent="0.2">
      <c r="A3509" s="4"/>
      <c r="B3509"/>
      <c r="C3509"/>
      <c r="D3509"/>
    </row>
    <row r="3510" spans="1:4" x14ac:dyDescent="0.2">
      <c r="A3510" s="4"/>
      <c r="B3510"/>
      <c r="C3510"/>
      <c r="D3510"/>
    </row>
    <row r="3511" spans="1:4" x14ac:dyDescent="0.2">
      <c r="A3511" s="4"/>
      <c r="B3511"/>
      <c r="C3511"/>
      <c r="D3511"/>
    </row>
    <row r="3512" spans="1:4" x14ac:dyDescent="0.2">
      <c r="A3512" s="4"/>
      <c r="B3512"/>
      <c r="C3512"/>
      <c r="D3512"/>
    </row>
    <row r="3513" spans="1:4" x14ac:dyDescent="0.2">
      <c r="A3513" s="4"/>
      <c r="B3513"/>
      <c r="C3513"/>
      <c r="D3513"/>
    </row>
    <row r="3514" spans="1:4" x14ac:dyDescent="0.2">
      <c r="A3514" s="4"/>
      <c r="B3514"/>
      <c r="C3514"/>
      <c r="D3514"/>
    </row>
    <row r="3515" spans="1:4" x14ac:dyDescent="0.2">
      <c r="A3515" s="4"/>
      <c r="B3515"/>
      <c r="C3515"/>
      <c r="D3515"/>
    </row>
    <row r="3516" spans="1:4" x14ac:dyDescent="0.2">
      <c r="A3516" s="4"/>
      <c r="B3516"/>
      <c r="C3516"/>
      <c r="D3516"/>
    </row>
    <row r="3517" spans="1:4" x14ac:dyDescent="0.2">
      <c r="A3517" s="4"/>
      <c r="B3517"/>
      <c r="C3517"/>
      <c r="D3517"/>
    </row>
    <row r="3518" spans="1:4" x14ac:dyDescent="0.2">
      <c r="A3518" s="4"/>
      <c r="B3518"/>
      <c r="C3518"/>
      <c r="D3518"/>
    </row>
    <row r="3519" spans="1:4" x14ac:dyDescent="0.2">
      <c r="A3519" s="4"/>
      <c r="B3519"/>
      <c r="C3519"/>
      <c r="D3519"/>
    </row>
    <row r="3520" spans="1:4" x14ac:dyDescent="0.2">
      <c r="A3520" s="4"/>
      <c r="B3520"/>
      <c r="C3520"/>
      <c r="D3520"/>
    </row>
    <row r="3521" spans="1:4" x14ac:dyDescent="0.2">
      <c r="A3521" s="4"/>
      <c r="B3521"/>
      <c r="C3521"/>
      <c r="D3521"/>
    </row>
    <row r="3522" spans="1:4" x14ac:dyDescent="0.2">
      <c r="A3522" s="4"/>
      <c r="B3522"/>
      <c r="C3522"/>
      <c r="D3522"/>
    </row>
    <row r="3523" spans="1:4" x14ac:dyDescent="0.2">
      <c r="A3523" s="4"/>
      <c r="B3523"/>
      <c r="C3523"/>
      <c r="D3523"/>
    </row>
    <row r="3524" spans="1:4" x14ac:dyDescent="0.2">
      <c r="A3524" s="4"/>
      <c r="B3524"/>
      <c r="C3524"/>
      <c r="D3524"/>
    </row>
    <row r="3525" spans="1:4" x14ac:dyDescent="0.2">
      <c r="A3525" s="4"/>
      <c r="B3525"/>
      <c r="C3525"/>
      <c r="D3525"/>
    </row>
    <row r="3526" spans="1:4" x14ac:dyDescent="0.2">
      <c r="A3526" s="4"/>
      <c r="B3526"/>
      <c r="C3526"/>
      <c r="D3526"/>
    </row>
    <row r="3527" spans="1:4" x14ac:dyDescent="0.2">
      <c r="A3527" s="4"/>
      <c r="B3527"/>
      <c r="C3527"/>
      <c r="D3527"/>
    </row>
    <row r="3528" spans="1:4" x14ac:dyDescent="0.2">
      <c r="A3528" s="4"/>
      <c r="B3528"/>
      <c r="C3528"/>
      <c r="D3528"/>
    </row>
    <row r="3529" spans="1:4" x14ac:dyDescent="0.2">
      <c r="A3529" s="4"/>
      <c r="B3529"/>
      <c r="C3529"/>
      <c r="D3529"/>
    </row>
    <row r="3530" spans="1:4" x14ac:dyDescent="0.2">
      <c r="A3530" s="4"/>
      <c r="B3530"/>
      <c r="C3530"/>
      <c r="D3530"/>
    </row>
    <row r="3531" spans="1:4" x14ac:dyDescent="0.2">
      <c r="A3531" s="4"/>
      <c r="B3531"/>
      <c r="C3531"/>
      <c r="D3531"/>
    </row>
    <row r="3532" spans="1:4" x14ac:dyDescent="0.2">
      <c r="A3532" s="4"/>
      <c r="B3532"/>
      <c r="C3532"/>
      <c r="D3532"/>
    </row>
    <row r="3533" spans="1:4" x14ac:dyDescent="0.2">
      <c r="A3533" s="4"/>
      <c r="B3533"/>
      <c r="C3533"/>
      <c r="D3533"/>
    </row>
    <row r="3534" spans="1:4" x14ac:dyDescent="0.2">
      <c r="A3534" s="4"/>
      <c r="B3534"/>
      <c r="C3534"/>
      <c r="D3534"/>
    </row>
    <row r="3535" spans="1:4" x14ac:dyDescent="0.2">
      <c r="A3535" s="4"/>
      <c r="B3535"/>
      <c r="C3535"/>
      <c r="D3535"/>
    </row>
    <row r="3536" spans="1:4" x14ac:dyDescent="0.2">
      <c r="A3536" s="4"/>
      <c r="B3536"/>
      <c r="C3536"/>
      <c r="D3536"/>
    </row>
    <row r="3537" spans="1:4" x14ac:dyDescent="0.2">
      <c r="A3537" s="4"/>
      <c r="B3537"/>
      <c r="C3537"/>
      <c r="D3537"/>
    </row>
    <row r="3538" spans="1:4" x14ac:dyDescent="0.2">
      <c r="A3538" s="4"/>
      <c r="B3538"/>
      <c r="C3538"/>
      <c r="D3538"/>
    </row>
    <row r="3539" spans="1:4" x14ac:dyDescent="0.2">
      <c r="A3539" s="4"/>
      <c r="B3539"/>
      <c r="C3539"/>
      <c r="D3539"/>
    </row>
    <row r="3540" spans="1:4" x14ac:dyDescent="0.2">
      <c r="A3540" s="4"/>
      <c r="B3540"/>
      <c r="C3540"/>
      <c r="D3540"/>
    </row>
    <row r="3541" spans="1:4" x14ac:dyDescent="0.2">
      <c r="A3541" s="4"/>
      <c r="B3541"/>
      <c r="C3541"/>
      <c r="D3541"/>
    </row>
    <row r="3542" spans="1:4" x14ac:dyDescent="0.2">
      <c r="A3542" s="4"/>
      <c r="B3542"/>
      <c r="C3542"/>
      <c r="D3542"/>
    </row>
    <row r="3543" spans="1:4" x14ac:dyDescent="0.2">
      <c r="A3543" s="4"/>
      <c r="B3543"/>
      <c r="C3543"/>
      <c r="D3543"/>
    </row>
    <row r="3544" spans="1:4" x14ac:dyDescent="0.2">
      <c r="A3544" s="4"/>
      <c r="B3544"/>
      <c r="C3544"/>
      <c r="D3544"/>
    </row>
    <row r="3545" spans="1:4" x14ac:dyDescent="0.2">
      <c r="A3545" s="4"/>
      <c r="B3545"/>
      <c r="C3545"/>
      <c r="D3545"/>
    </row>
    <row r="3546" spans="1:4" x14ac:dyDescent="0.2">
      <c r="A3546" s="4"/>
      <c r="B3546"/>
      <c r="C3546"/>
      <c r="D3546"/>
    </row>
    <row r="3547" spans="1:4" x14ac:dyDescent="0.2">
      <c r="A3547" s="4"/>
      <c r="B3547"/>
      <c r="C3547"/>
      <c r="D3547"/>
    </row>
    <row r="3548" spans="1:4" x14ac:dyDescent="0.2">
      <c r="A3548" s="4"/>
      <c r="B3548"/>
      <c r="C3548"/>
      <c r="D3548"/>
    </row>
    <row r="3549" spans="1:4" x14ac:dyDescent="0.2">
      <c r="A3549" s="4"/>
      <c r="B3549"/>
      <c r="C3549"/>
      <c r="D3549"/>
    </row>
    <row r="3550" spans="1:4" x14ac:dyDescent="0.2">
      <c r="A3550" s="4"/>
      <c r="B3550"/>
      <c r="C3550"/>
      <c r="D3550"/>
    </row>
    <row r="3551" spans="1:4" x14ac:dyDescent="0.2">
      <c r="A3551" s="4"/>
      <c r="B3551"/>
      <c r="C3551"/>
      <c r="D3551"/>
    </row>
    <row r="3552" spans="1:4" x14ac:dyDescent="0.2">
      <c r="A3552" s="4"/>
      <c r="B3552"/>
      <c r="C3552"/>
      <c r="D3552"/>
    </row>
    <row r="3553" spans="1:4" x14ac:dyDescent="0.2">
      <c r="A3553" s="4"/>
      <c r="B3553"/>
      <c r="C3553"/>
      <c r="D3553"/>
    </row>
    <row r="3554" spans="1:4" x14ac:dyDescent="0.2">
      <c r="A3554" s="4"/>
      <c r="B3554"/>
      <c r="C3554"/>
      <c r="D3554"/>
    </row>
    <row r="3555" spans="1:4" x14ac:dyDescent="0.2">
      <c r="A3555" s="4"/>
      <c r="B3555"/>
      <c r="C3555"/>
      <c r="D3555"/>
    </row>
    <row r="3556" spans="1:4" x14ac:dyDescent="0.2">
      <c r="A3556" s="4"/>
      <c r="B3556"/>
      <c r="C3556"/>
      <c r="D3556"/>
    </row>
    <row r="3557" spans="1:4" x14ac:dyDescent="0.2">
      <c r="A3557" s="4"/>
      <c r="B3557"/>
      <c r="C3557"/>
      <c r="D3557"/>
    </row>
    <row r="3558" spans="1:4" x14ac:dyDescent="0.2">
      <c r="A3558" s="4"/>
      <c r="B3558"/>
      <c r="C3558"/>
      <c r="D3558"/>
    </row>
    <row r="3559" spans="1:4" x14ac:dyDescent="0.2">
      <c r="A3559" s="4"/>
      <c r="B3559"/>
      <c r="C3559"/>
      <c r="D3559"/>
    </row>
    <row r="3560" spans="1:4" x14ac:dyDescent="0.2">
      <c r="A3560" s="4"/>
      <c r="B3560"/>
      <c r="C3560"/>
      <c r="D3560"/>
    </row>
    <row r="3561" spans="1:4" x14ac:dyDescent="0.2">
      <c r="A3561" s="4"/>
      <c r="B3561"/>
      <c r="C3561"/>
      <c r="D3561"/>
    </row>
    <row r="3562" spans="1:4" x14ac:dyDescent="0.2">
      <c r="A3562" s="4"/>
      <c r="B3562"/>
      <c r="C3562"/>
      <c r="D3562"/>
    </row>
    <row r="3563" spans="1:4" x14ac:dyDescent="0.2">
      <c r="A3563" s="4"/>
      <c r="B3563"/>
      <c r="C3563"/>
      <c r="D3563"/>
    </row>
    <row r="3564" spans="1:4" x14ac:dyDescent="0.2">
      <c r="A3564" s="4"/>
      <c r="B3564"/>
      <c r="C3564"/>
      <c r="D3564"/>
    </row>
    <row r="3565" spans="1:4" x14ac:dyDescent="0.2">
      <c r="A3565" s="4"/>
      <c r="B3565"/>
      <c r="C3565"/>
      <c r="D3565"/>
    </row>
    <row r="3566" spans="1:4" x14ac:dyDescent="0.2">
      <c r="A3566" s="4"/>
      <c r="B3566"/>
      <c r="C3566"/>
      <c r="D3566"/>
    </row>
    <row r="3567" spans="1:4" x14ac:dyDescent="0.2">
      <c r="A3567" s="4"/>
      <c r="B3567"/>
      <c r="C3567"/>
      <c r="D3567"/>
    </row>
    <row r="3568" spans="1:4" x14ac:dyDescent="0.2">
      <c r="A3568" s="4"/>
      <c r="B3568"/>
      <c r="C3568"/>
      <c r="D3568"/>
    </row>
    <row r="3569" spans="1:4" x14ac:dyDescent="0.2">
      <c r="A3569" s="4"/>
      <c r="B3569"/>
      <c r="C3569"/>
      <c r="D3569"/>
    </row>
    <row r="3570" spans="1:4" x14ac:dyDescent="0.2">
      <c r="A3570" s="4"/>
      <c r="B3570"/>
      <c r="C3570"/>
      <c r="D3570"/>
    </row>
    <row r="3571" spans="1:4" x14ac:dyDescent="0.2">
      <c r="A3571" s="4"/>
      <c r="B3571"/>
      <c r="C3571"/>
      <c r="D3571"/>
    </row>
    <row r="3572" spans="1:4" x14ac:dyDescent="0.2">
      <c r="A3572" s="4"/>
      <c r="B3572"/>
      <c r="C3572"/>
      <c r="D3572"/>
    </row>
    <row r="3573" spans="1:4" x14ac:dyDescent="0.2">
      <c r="A3573" s="4"/>
      <c r="B3573"/>
      <c r="C3573"/>
      <c r="D3573"/>
    </row>
    <row r="3574" spans="1:4" x14ac:dyDescent="0.2">
      <c r="A3574" s="4"/>
      <c r="B3574"/>
      <c r="C3574"/>
      <c r="D3574"/>
    </row>
    <row r="3575" spans="1:4" x14ac:dyDescent="0.2">
      <c r="A3575" s="4"/>
      <c r="B3575"/>
      <c r="C3575"/>
      <c r="D3575"/>
    </row>
    <row r="3576" spans="1:4" x14ac:dyDescent="0.2">
      <c r="A3576" s="4"/>
      <c r="B3576"/>
      <c r="C3576"/>
      <c r="D3576"/>
    </row>
    <row r="3577" spans="1:4" x14ac:dyDescent="0.2">
      <c r="A3577" s="4"/>
      <c r="B3577"/>
      <c r="C3577"/>
      <c r="D3577"/>
    </row>
    <row r="3578" spans="1:4" x14ac:dyDescent="0.2">
      <c r="A3578" s="4"/>
      <c r="B3578"/>
      <c r="C3578"/>
      <c r="D3578"/>
    </row>
    <row r="3579" spans="1:4" x14ac:dyDescent="0.2">
      <c r="A3579" s="4"/>
      <c r="B3579"/>
      <c r="C3579"/>
      <c r="D3579"/>
    </row>
    <row r="3580" spans="1:4" x14ac:dyDescent="0.2">
      <c r="A3580" s="4"/>
      <c r="B3580"/>
      <c r="C3580"/>
      <c r="D3580"/>
    </row>
    <row r="3581" spans="1:4" x14ac:dyDescent="0.2">
      <c r="A3581" s="4"/>
      <c r="B3581"/>
      <c r="C3581"/>
      <c r="D3581"/>
    </row>
    <row r="3582" spans="1:4" x14ac:dyDescent="0.2">
      <c r="A3582" s="4"/>
      <c r="B3582"/>
      <c r="C3582"/>
      <c r="D3582"/>
    </row>
    <row r="3583" spans="1:4" x14ac:dyDescent="0.2">
      <c r="A3583" s="4"/>
      <c r="B3583"/>
      <c r="C3583"/>
      <c r="D3583"/>
    </row>
    <row r="3584" spans="1:4" x14ac:dyDescent="0.2">
      <c r="A3584" s="4"/>
      <c r="B3584"/>
      <c r="C3584"/>
      <c r="D3584"/>
    </row>
    <row r="3585" spans="1:4" x14ac:dyDescent="0.2">
      <c r="A3585" s="4"/>
      <c r="B3585"/>
      <c r="C3585"/>
      <c r="D3585"/>
    </row>
    <row r="3586" spans="1:4" x14ac:dyDescent="0.2">
      <c r="A3586" s="4"/>
      <c r="B3586"/>
      <c r="C3586"/>
      <c r="D3586"/>
    </row>
    <row r="3587" spans="1:4" x14ac:dyDescent="0.2">
      <c r="A3587" s="4"/>
      <c r="B3587"/>
      <c r="C3587"/>
      <c r="D3587"/>
    </row>
    <row r="3588" spans="1:4" x14ac:dyDescent="0.2">
      <c r="A3588" s="4"/>
      <c r="B3588"/>
      <c r="C3588"/>
      <c r="D3588"/>
    </row>
    <row r="3589" spans="1:4" x14ac:dyDescent="0.2">
      <c r="A3589" s="4"/>
      <c r="B3589"/>
      <c r="C3589"/>
      <c r="D3589"/>
    </row>
    <row r="3590" spans="1:4" x14ac:dyDescent="0.2">
      <c r="A3590" s="4"/>
      <c r="B3590"/>
      <c r="C3590"/>
      <c r="D3590"/>
    </row>
    <row r="3591" spans="1:4" x14ac:dyDescent="0.2">
      <c r="A3591" s="4"/>
      <c r="B3591"/>
      <c r="C3591"/>
      <c r="D3591"/>
    </row>
    <row r="3592" spans="1:4" x14ac:dyDescent="0.2">
      <c r="A3592" s="4"/>
      <c r="B3592"/>
      <c r="C3592"/>
      <c r="D3592"/>
    </row>
    <row r="3593" spans="1:4" x14ac:dyDescent="0.2">
      <c r="A3593" s="4"/>
      <c r="B3593"/>
      <c r="C3593"/>
      <c r="D3593"/>
    </row>
    <row r="3594" spans="1:4" x14ac:dyDescent="0.2">
      <c r="A3594" s="4"/>
      <c r="B3594"/>
      <c r="C3594"/>
      <c r="D3594"/>
    </row>
    <row r="3595" spans="1:4" x14ac:dyDescent="0.2">
      <c r="A3595" s="4"/>
      <c r="B3595"/>
      <c r="C3595"/>
      <c r="D3595"/>
    </row>
    <row r="3596" spans="1:4" x14ac:dyDescent="0.2">
      <c r="A3596" s="4"/>
      <c r="B3596"/>
      <c r="C3596"/>
      <c r="D3596"/>
    </row>
    <row r="3597" spans="1:4" x14ac:dyDescent="0.2">
      <c r="A3597" s="4"/>
      <c r="B3597"/>
      <c r="C3597"/>
      <c r="D3597"/>
    </row>
    <row r="3598" spans="1:4" x14ac:dyDescent="0.2">
      <c r="A3598" s="4"/>
      <c r="B3598"/>
      <c r="C3598"/>
      <c r="D3598"/>
    </row>
    <row r="3599" spans="1:4" x14ac:dyDescent="0.2">
      <c r="A3599" s="4"/>
      <c r="B3599"/>
      <c r="C3599"/>
      <c r="D3599"/>
    </row>
    <row r="3600" spans="1:4" x14ac:dyDescent="0.2">
      <c r="A3600" s="4"/>
      <c r="B3600"/>
      <c r="C3600"/>
      <c r="D3600"/>
    </row>
    <row r="3601" spans="1:4" x14ac:dyDescent="0.2">
      <c r="A3601" s="4"/>
      <c r="B3601"/>
      <c r="C3601"/>
      <c r="D3601"/>
    </row>
    <row r="3602" spans="1:4" x14ac:dyDescent="0.2">
      <c r="A3602" s="4"/>
      <c r="B3602"/>
      <c r="C3602"/>
      <c r="D3602"/>
    </row>
    <row r="3603" spans="1:4" x14ac:dyDescent="0.2">
      <c r="A3603" s="4"/>
      <c r="B3603"/>
      <c r="C3603"/>
      <c r="D3603"/>
    </row>
    <row r="3604" spans="1:4" x14ac:dyDescent="0.2">
      <c r="A3604" s="4"/>
      <c r="B3604"/>
      <c r="C3604"/>
      <c r="D3604"/>
    </row>
    <row r="3605" spans="1:4" x14ac:dyDescent="0.2">
      <c r="A3605" s="4"/>
      <c r="B3605"/>
      <c r="C3605"/>
      <c r="D3605"/>
    </row>
    <row r="3606" spans="1:4" x14ac:dyDescent="0.2">
      <c r="A3606" s="4"/>
      <c r="B3606"/>
      <c r="C3606"/>
      <c r="D3606"/>
    </row>
    <row r="3607" spans="1:4" x14ac:dyDescent="0.2">
      <c r="A3607" s="4"/>
      <c r="B3607"/>
      <c r="C3607"/>
      <c r="D3607"/>
    </row>
    <row r="3608" spans="1:4" x14ac:dyDescent="0.2">
      <c r="A3608" s="4"/>
      <c r="B3608"/>
      <c r="C3608"/>
      <c r="D3608"/>
    </row>
    <row r="3609" spans="1:4" x14ac:dyDescent="0.2">
      <c r="A3609" s="4"/>
      <c r="B3609"/>
      <c r="C3609"/>
      <c r="D3609"/>
    </row>
    <row r="3610" spans="1:4" x14ac:dyDescent="0.2">
      <c r="A3610" s="4"/>
      <c r="B3610"/>
      <c r="C3610"/>
      <c r="D3610"/>
    </row>
    <row r="3611" spans="1:4" x14ac:dyDescent="0.2">
      <c r="A3611" s="4"/>
      <c r="B3611"/>
      <c r="C3611"/>
      <c r="D3611"/>
    </row>
    <row r="3612" spans="1:4" x14ac:dyDescent="0.2">
      <c r="A3612" s="4"/>
      <c r="B3612"/>
      <c r="C3612"/>
      <c r="D3612"/>
    </row>
    <row r="3613" spans="1:4" x14ac:dyDescent="0.2">
      <c r="A3613" s="4"/>
      <c r="B3613"/>
      <c r="C3613"/>
      <c r="D3613"/>
    </row>
    <row r="3614" spans="1:4" x14ac:dyDescent="0.2">
      <c r="A3614" s="4"/>
      <c r="B3614"/>
      <c r="C3614"/>
      <c r="D3614"/>
    </row>
    <row r="3615" spans="1:4" x14ac:dyDescent="0.2">
      <c r="A3615" s="4"/>
      <c r="B3615"/>
      <c r="C3615"/>
      <c r="D3615"/>
    </row>
    <row r="3616" spans="1:4" x14ac:dyDescent="0.2">
      <c r="A3616" s="4"/>
      <c r="B3616"/>
      <c r="C3616"/>
      <c r="D3616"/>
    </row>
    <row r="3617" spans="1:4" x14ac:dyDescent="0.2">
      <c r="A3617" s="4"/>
      <c r="B3617"/>
      <c r="C3617"/>
      <c r="D3617"/>
    </row>
    <row r="3618" spans="1:4" x14ac:dyDescent="0.2">
      <c r="A3618" s="4"/>
      <c r="B3618"/>
      <c r="C3618"/>
      <c r="D3618"/>
    </row>
    <row r="3619" spans="1:4" x14ac:dyDescent="0.2">
      <c r="A3619" s="4"/>
      <c r="B3619"/>
      <c r="C3619"/>
      <c r="D3619"/>
    </row>
    <row r="3620" spans="1:4" x14ac:dyDescent="0.2">
      <c r="A3620" s="4"/>
      <c r="B3620"/>
      <c r="C3620"/>
      <c r="D3620"/>
    </row>
    <row r="3621" spans="1:4" x14ac:dyDescent="0.2">
      <c r="A3621" s="4"/>
      <c r="B3621"/>
      <c r="C3621"/>
      <c r="D3621"/>
    </row>
    <row r="3622" spans="1:4" x14ac:dyDescent="0.2">
      <c r="A3622" s="4"/>
      <c r="B3622"/>
      <c r="C3622"/>
      <c r="D3622"/>
    </row>
    <row r="3623" spans="1:4" x14ac:dyDescent="0.2">
      <c r="A3623" s="4"/>
      <c r="B3623"/>
      <c r="C3623"/>
      <c r="D3623"/>
    </row>
    <row r="3624" spans="1:4" x14ac:dyDescent="0.2">
      <c r="A3624" s="4"/>
      <c r="B3624"/>
      <c r="C3624"/>
      <c r="D3624"/>
    </row>
    <row r="3625" spans="1:4" x14ac:dyDescent="0.2">
      <c r="A3625" s="4"/>
      <c r="B3625"/>
      <c r="C3625"/>
      <c r="D3625"/>
    </row>
    <row r="3626" spans="1:4" x14ac:dyDescent="0.2">
      <c r="A3626" s="4"/>
      <c r="B3626"/>
      <c r="C3626"/>
      <c r="D3626"/>
    </row>
    <row r="3627" spans="1:4" x14ac:dyDescent="0.2">
      <c r="A3627" s="4"/>
      <c r="B3627"/>
      <c r="C3627"/>
      <c r="D3627"/>
    </row>
    <row r="3628" spans="1:4" x14ac:dyDescent="0.2">
      <c r="A3628" s="4"/>
      <c r="B3628"/>
      <c r="C3628"/>
      <c r="D3628"/>
    </row>
    <row r="3629" spans="1:4" x14ac:dyDescent="0.2">
      <c r="A3629" s="4"/>
      <c r="B3629"/>
      <c r="C3629"/>
      <c r="D3629"/>
    </row>
    <row r="3630" spans="1:4" x14ac:dyDescent="0.2">
      <c r="A3630" s="4"/>
      <c r="B3630"/>
      <c r="C3630"/>
      <c r="D3630"/>
    </row>
    <row r="3631" spans="1:4" x14ac:dyDescent="0.2">
      <c r="A3631" s="4"/>
      <c r="B3631"/>
      <c r="C3631"/>
      <c r="D3631"/>
    </row>
    <row r="3632" spans="1:4" x14ac:dyDescent="0.2">
      <c r="A3632" s="4"/>
      <c r="B3632"/>
      <c r="C3632"/>
      <c r="D3632"/>
    </row>
    <row r="3633" spans="1:4" x14ac:dyDescent="0.2">
      <c r="A3633" s="4"/>
      <c r="B3633"/>
      <c r="C3633"/>
      <c r="D3633"/>
    </row>
    <row r="3634" spans="1:4" x14ac:dyDescent="0.2">
      <c r="A3634" s="4"/>
      <c r="B3634"/>
      <c r="C3634"/>
      <c r="D3634"/>
    </row>
    <row r="3635" spans="1:4" x14ac:dyDescent="0.2">
      <c r="A3635" s="4"/>
      <c r="B3635"/>
      <c r="C3635"/>
      <c r="D3635"/>
    </row>
    <row r="3636" spans="1:4" x14ac:dyDescent="0.2">
      <c r="A3636" s="4"/>
      <c r="B3636"/>
      <c r="C3636"/>
      <c r="D3636"/>
    </row>
    <row r="3637" spans="1:4" x14ac:dyDescent="0.2">
      <c r="A3637" s="4"/>
      <c r="B3637"/>
      <c r="C3637"/>
      <c r="D3637"/>
    </row>
    <row r="3638" spans="1:4" x14ac:dyDescent="0.2">
      <c r="A3638" s="4"/>
      <c r="B3638"/>
      <c r="C3638"/>
      <c r="D3638"/>
    </row>
    <row r="3639" spans="1:4" x14ac:dyDescent="0.2">
      <c r="A3639" s="4"/>
      <c r="B3639"/>
      <c r="C3639"/>
      <c r="D3639"/>
    </row>
    <row r="3640" spans="1:4" x14ac:dyDescent="0.2">
      <c r="A3640" s="4"/>
      <c r="B3640"/>
      <c r="C3640"/>
      <c r="D3640"/>
    </row>
    <row r="3641" spans="1:4" x14ac:dyDescent="0.2">
      <c r="A3641" s="4"/>
      <c r="B3641"/>
      <c r="C3641"/>
      <c r="D3641"/>
    </row>
    <row r="3642" spans="1:4" x14ac:dyDescent="0.2">
      <c r="A3642" s="4"/>
      <c r="B3642"/>
      <c r="C3642"/>
      <c r="D3642"/>
    </row>
    <row r="3643" spans="1:4" x14ac:dyDescent="0.2">
      <c r="A3643" s="4"/>
      <c r="B3643"/>
      <c r="C3643"/>
      <c r="D3643"/>
    </row>
    <row r="3644" spans="1:4" x14ac:dyDescent="0.2">
      <c r="A3644" s="4"/>
      <c r="B3644"/>
      <c r="C3644"/>
      <c r="D3644"/>
    </row>
    <row r="3645" spans="1:4" x14ac:dyDescent="0.2">
      <c r="A3645" s="4"/>
      <c r="B3645"/>
      <c r="C3645"/>
      <c r="D3645"/>
    </row>
    <row r="3646" spans="1:4" x14ac:dyDescent="0.2">
      <c r="A3646" s="4"/>
      <c r="B3646"/>
      <c r="C3646"/>
      <c r="D3646"/>
    </row>
    <row r="3647" spans="1:4" x14ac:dyDescent="0.2">
      <c r="A3647" s="4"/>
      <c r="B3647"/>
      <c r="C3647"/>
      <c r="D3647"/>
    </row>
    <row r="3648" spans="1:4" x14ac:dyDescent="0.2">
      <c r="A3648" s="4"/>
      <c r="B3648"/>
      <c r="C3648"/>
      <c r="D3648"/>
    </row>
    <row r="3649" spans="1:4" x14ac:dyDescent="0.2">
      <c r="A3649" s="4"/>
      <c r="B3649"/>
      <c r="C3649"/>
      <c r="D3649"/>
    </row>
    <row r="3650" spans="1:4" x14ac:dyDescent="0.2">
      <c r="A3650" s="4"/>
      <c r="B3650"/>
      <c r="C3650"/>
      <c r="D3650"/>
    </row>
    <row r="3651" spans="1:4" x14ac:dyDescent="0.2">
      <c r="A3651" s="4"/>
      <c r="B3651"/>
      <c r="C3651"/>
      <c r="D3651"/>
    </row>
    <row r="3652" spans="1:4" x14ac:dyDescent="0.2">
      <c r="A3652" s="4"/>
      <c r="B3652"/>
      <c r="C3652"/>
      <c r="D3652"/>
    </row>
    <row r="3653" spans="1:4" x14ac:dyDescent="0.2">
      <c r="A3653" s="4"/>
      <c r="B3653"/>
      <c r="C3653"/>
      <c r="D3653"/>
    </row>
    <row r="3654" spans="1:4" x14ac:dyDescent="0.2">
      <c r="A3654" s="4"/>
      <c r="B3654"/>
      <c r="C3654"/>
      <c r="D3654"/>
    </row>
    <row r="3655" spans="1:4" x14ac:dyDescent="0.2">
      <c r="A3655" s="4"/>
      <c r="B3655"/>
      <c r="C3655"/>
      <c r="D3655"/>
    </row>
    <row r="3656" spans="1:4" x14ac:dyDescent="0.2">
      <c r="A3656" s="4"/>
      <c r="B3656"/>
      <c r="C3656"/>
      <c r="D3656"/>
    </row>
    <row r="3657" spans="1:4" x14ac:dyDescent="0.2">
      <c r="A3657" s="4"/>
      <c r="B3657"/>
      <c r="C3657"/>
      <c r="D3657"/>
    </row>
    <row r="3658" spans="1:4" x14ac:dyDescent="0.2">
      <c r="A3658" s="4"/>
      <c r="B3658"/>
      <c r="C3658"/>
      <c r="D3658"/>
    </row>
    <row r="3659" spans="1:4" x14ac:dyDescent="0.2">
      <c r="A3659" s="4"/>
      <c r="B3659"/>
      <c r="C3659"/>
      <c r="D3659"/>
    </row>
    <row r="3660" spans="1:4" x14ac:dyDescent="0.2">
      <c r="A3660" s="4"/>
      <c r="B3660"/>
      <c r="C3660"/>
      <c r="D3660"/>
    </row>
    <row r="3661" spans="1:4" x14ac:dyDescent="0.2">
      <c r="A3661" s="4"/>
      <c r="B3661"/>
      <c r="C3661"/>
      <c r="D3661"/>
    </row>
    <row r="3662" spans="1:4" x14ac:dyDescent="0.2">
      <c r="A3662" s="4"/>
      <c r="B3662"/>
      <c r="C3662"/>
      <c r="D3662"/>
    </row>
    <row r="3663" spans="1:4" x14ac:dyDescent="0.2">
      <c r="A3663" s="4"/>
      <c r="B3663"/>
      <c r="C3663"/>
      <c r="D3663"/>
    </row>
    <row r="3664" spans="1:4" x14ac:dyDescent="0.2">
      <c r="A3664" s="4"/>
      <c r="B3664"/>
      <c r="C3664"/>
      <c r="D3664"/>
    </row>
    <row r="3665" spans="1:4" x14ac:dyDescent="0.2">
      <c r="A3665" s="4"/>
      <c r="B3665"/>
      <c r="C3665"/>
      <c r="D3665"/>
    </row>
    <row r="3666" spans="1:4" x14ac:dyDescent="0.2">
      <c r="A3666" s="4"/>
      <c r="B3666"/>
      <c r="C3666"/>
      <c r="D3666"/>
    </row>
    <row r="3667" spans="1:4" x14ac:dyDescent="0.2">
      <c r="A3667" s="4"/>
      <c r="B3667"/>
      <c r="C3667"/>
      <c r="D3667"/>
    </row>
    <row r="3668" spans="1:4" x14ac:dyDescent="0.2">
      <c r="A3668" s="4"/>
      <c r="B3668"/>
      <c r="C3668"/>
      <c r="D3668"/>
    </row>
    <row r="3669" spans="1:4" x14ac:dyDescent="0.2">
      <c r="A3669" s="4"/>
      <c r="B3669"/>
      <c r="C3669"/>
      <c r="D3669"/>
    </row>
    <row r="3670" spans="1:4" x14ac:dyDescent="0.2">
      <c r="A3670" s="4"/>
      <c r="B3670"/>
      <c r="C3670"/>
      <c r="D3670"/>
    </row>
    <row r="3671" spans="1:4" x14ac:dyDescent="0.2">
      <c r="A3671" s="4"/>
      <c r="B3671"/>
      <c r="C3671"/>
      <c r="D3671"/>
    </row>
    <row r="3672" spans="1:4" x14ac:dyDescent="0.2">
      <c r="A3672" s="4"/>
      <c r="B3672"/>
      <c r="C3672"/>
      <c r="D3672"/>
    </row>
    <row r="3673" spans="1:4" x14ac:dyDescent="0.2">
      <c r="A3673" s="4"/>
      <c r="B3673"/>
      <c r="C3673"/>
      <c r="D3673"/>
    </row>
    <row r="3674" spans="1:4" x14ac:dyDescent="0.2">
      <c r="A3674" s="4"/>
      <c r="B3674"/>
      <c r="C3674"/>
      <c r="D3674"/>
    </row>
    <row r="3675" spans="1:4" x14ac:dyDescent="0.2">
      <c r="A3675" s="4"/>
      <c r="B3675"/>
      <c r="C3675"/>
      <c r="D3675"/>
    </row>
    <row r="3676" spans="1:4" x14ac:dyDescent="0.2">
      <c r="A3676" s="4"/>
      <c r="B3676"/>
      <c r="C3676"/>
      <c r="D3676"/>
    </row>
    <row r="3677" spans="1:4" x14ac:dyDescent="0.2">
      <c r="A3677" s="4"/>
      <c r="B3677"/>
      <c r="C3677"/>
      <c r="D3677"/>
    </row>
    <row r="3678" spans="1:4" x14ac:dyDescent="0.2">
      <c r="A3678" s="4"/>
      <c r="B3678"/>
      <c r="C3678"/>
      <c r="D3678"/>
    </row>
    <row r="3679" spans="1:4" x14ac:dyDescent="0.2">
      <c r="A3679" s="4"/>
      <c r="B3679"/>
      <c r="C3679"/>
      <c r="D3679"/>
    </row>
    <row r="3680" spans="1:4" x14ac:dyDescent="0.2">
      <c r="A3680" s="4"/>
      <c r="B3680"/>
      <c r="C3680"/>
      <c r="D3680"/>
    </row>
    <row r="3681" spans="1:4" x14ac:dyDescent="0.2">
      <c r="A3681" s="4"/>
      <c r="B3681"/>
      <c r="C3681"/>
      <c r="D3681"/>
    </row>
    <row r="3682" spans="1:4" x14ac:dyDescent="0.2">
      <c r="A3682" s="4"/>
      <c r="B3682"/>
      <c r="C3682"/>
      <c r="D3682"/>
    </row>
    <row r="3683" spans="1:4" x14ac:dyDescent="0.2">
      <c r="A3683" s="4"/>
      <c r="B3683"/>
      <c r="C3683"/>
      <c r="D3683"/>
    </row>
    <row r="3684" spans="1:4" x14ac:dyDescent="0.2">
      <c r="A3684" s="4"/>
      <c r="B3684"/>
      <c r="C3684"/>
      <c r="D3684"/>
    </row>
    <row r="3685" spans="1:4" x14ac:dyDescent="0.2">
      <c r="A3685" s="4"/>
      <c r="B3685"/>
      <c r="C3685"/>
      <c r="D3685"/>
    </row>
    <row r="3686" spans="1:4" x14ac:dyDescent="0.2">
      <c r="A3686" s="4"/>
      <c r="B3686"/>
      <c r="C3686"/>
      <c r="D3686"/>
    </row>
    <row r="3687" spans="1:4" x14ac:dyDescent="0.2">
      <c r="A3687" s="4"/>
      <c r="B3687"/>
      <c r="C3687"/>
      <c r="D3687"/>
    </row>
    <row r="3688" spans="1:4" x14ac:dyDescent="0.2">
      <c r="A3688" s="4"/>
      <c r="B3688"/>
      <c r="C3688"/>
      <c r="D3688"/>
    </row>
    <row r="3689" spans="1:4" x14ac:dyDescent="0.2">
      <c r="A3689" s="4"/>
      <c r="B3689"/>
      <c r="C3689"/>
      <c r="D3689"/>
    </row>
    <row r="3690" spans="1:4" x14ac:dyDescent="0.2">
      <c r="A3690" s="4"/>
      <c r="B3690"/>
      <c r="C3690"/>
      <c r="D3690"/>
    </row>
    <row r="3691" spans="1:4" x14ac:dyDescent="0.2">
      <c r="A3691" s="4"/>
      <c r="B3691"/>
      <c r="C3691"/>
      <c r="D3691"/>
    </row>
    <row r="3692" spans="1:4" x14ac:dyDescent="0.2">
      <c r="A3692" s="4"/>
      <c r="B3692"/>
      <c r="C3692"/>
      <c r="D3692"/>
    </row>
    <row r="3693" spans="1:4" x14ac:dyDescent="0.2">
      <c r="A3693" s="4"/>
      <c r="B3693"/>
      <c r="C3693"/>
      <c r="D3693"/>
    </row>
    <row r="3694" spans="1:4" x14ac:dyDescent="0.2">
      <c r="A3694" s="4"/>
      <c r="B3694"/>
      <c r="C3694"/>
      <c r="D3694"/>
    </row>
    <row r="3695" spans="1:4" x14ac:dyDescent="0.2">
      <c r="A3695" s="4"/>
      <c r="B3695"/>
      <c r="C3695"/>
      <c r="D3695"/>
    </row>
    <row r="3696" spans="1:4" x14ac:dyDescent="0.2">
      <c r="A3696" s="4"/>
      <c r="B3696"/>
      <c r="C3696"/>
      <c r="D3696"/>
    </row>
    <row r="3697" spans="1:4" x14ac:dyDescent="0.2">
      <c r="A3697" s="4"/>
      <c r="B3697"/>
      <c r="C3697"/>
      <c r="D3697"/>
    </row>
    <row r="3698" spans="1:4" x14ac:dyDescent="0.2">
      <c r="A3698" s="4"/>
      <c r="B3698"/>
      <c r="C3698"/>
      <c r="D3698"/>
    </row>
    <row r="3699" spans="1:4" x14ac:dyDescent="0.2">
      <c r="A3699" s="4"/>
      <c r="B3699"/>
      <c r="C3699"/>
      <c r="D3699"/>
    </row>
    <row r="3700" spans="1:4" x14ac:dyDescent="0.2">
      <c r="A3700" s="4"/>
      <c r="B3700"/>
      <c r="C3700"/>
      <c r="D3700"/>
    </row>
    <row r="3701" spans="1:4" x14ac:dyDescent="0.2">
      <c r="A3701" s="4"/>
      <c r="B3701"/>
      <c r="C3701"/>
      <c r="D3701"/>
    </row>
    <row r="3702" spans="1:4" x14ac:dyDescent="0.2">
      <c r="A3702" s="4"/>
      <c r="B3702"/>
      <c r="C3702"/>
      <c r="D3702"/>
    </row>
    <row r="3703" spans="1:4" x14ac:dyDescent="0.2">
      <c r="A3703" s="4"/>
      <c r="B3703"/>
      <c r="C3703"/>
      <c r="D3703"/>
    </row>
    <row r="3704" spans="1:4" x14ac:dyDescent="0.2">
      <c r="A3704" s="4"/>
      <c r="B3704"/>
      <c r="C3704"/>
      <c r="D3704"/>
    </row>
    <row r="3705" spans="1:4" x14ac:dyDescent="0.2">
      <c r="A3705" s="4"/>
      <c r="B3705"/>
      <c r="C3705"/>
      <c r="D3705"/>
    </row>
    <row r="3706" spans="1:4" x14ac:dyDescent="0.2">
      <c r="A3706" s="4"/>
      <c r="B3706"/>
      <c r="C3706"/>
      <c r="D3706"/>
    </row>
    <row r="3707" spans="1:4" x14ac:dyDescent="0.2">
      <c r="A3707" s="4"/>
      <c r="B3707"/>
      <c r="C3707"/>
      <c r="D3707"/>
    </row>
    <row r="3708" spans="1:4" x14ac:dyDescent="0.2">
      <c r="A3708" s="4"/>
      <c r="B3708"/>
      <c r="C3708"/>
      <c r="D3708"/>
    </row>
    <row r="3709" spans="1:4" x14ac:dyDescent="0.2">
      <c r="A3709" s="4"/>
      <c r="B3709"/>
      <c r="C3709"/>
      <c r="D3709"/>
    </row>
    <row r="3710" spans="1:4" x14ac:dyDescent="0.2">
      <c r="A3710" s="4"/>
      <c r="B3710"/>
      <c r="C3710"/>
      <c r="D3710"/>
    </row>
    <row r="3711" spans="1:4" x14ac:dyDescent="0.2">
      <c r="A3711" s="4"/>
      <c r="B3711"/>
      <c r="C3711"/>
      <c r="D3711"/>
    </row>
    <row r="3712" spans="1:4" x14ac:dyDescent="0.2">
      <c r="A3712" s="4"/>
      <c r="B3712"/>
      <c r="C3712"/>
      <c r="D3712"/>
    </row>
    <row r="3713" spans="1:4" x14ac:dyDescent="0.2">
      <c r="A3713" s="4"/>
      <c r="B3713"/>
      <c r="C3713"/>
      <c r="D3713"/>
    </row>
    <row r="3714" spans="1:4" x14ac:dyDescent="0.2">
      <c r="A3714" s="4"/>
      <c r="B3714"/>
      <c r="C3714"/>
      <c r="D3714"/>
    </row>
    <row r="3715" spans="1:4" x14ac:dyDescent="0.2">
      <c r="A3715" s="4"/>
      <c r="B3715"/>
      <c r="C3715"/>
      <c r="D3715"/>
    </row>
    <row r="3716" spans="1:4" x14ac:dyDescent="0.2">
      <c r="A3716" s="4"/>
      <c r="B3716"/>
      <c r="C3716"/>
      <c r="D3716"/>
    </row>
    <row r="3717" spans="1:4" x14ac:dyDescent="0.2">
      <c r="A3717" s="4"/>
      <c r="B3717"/>
      <c r="C3717"/>
      <c r="D3717"/>
    </row>
    <row r="3718" spans="1:4" x14ac:dyDescent="0.2">
      <c r="A3718" s="4"/>
      <c r="B3718"/>
      <c r="C3718"/>
      <c r="D3718"/>
    </row>
    <row r="3719" spans="1:4" x14ac:dyDescent="0.2">
      <c r="A3719" s="4"/>
      <c r="B3719"/>
      <c r="C3719"/>
      <c r="D3719"/>
    </row>
    <row r="3720" spans="1:4" x14ac:dyDescent="0.2">
      <c r="A3720" s="4"/>
      <c r="B3720"/>
      <c r="C3720"/>
      <c r="D3720"/>
    </row>
    <row r="3721" spans="1:4" x14ac:dyDescent="0.2">
      <c r="A3721" s="4"/>
      <c r="B3721"/>
      <c r="C3721"/>
      <c r="D3721"/>
    </row>
    <row r="3722" spans="1:4" x14ac:dyDescent="0.2">
      <c r="A3722" s="4"/>
      <c r="B3722"/>
      <c r="C3722"/>
      <c r="D3722"/>
    </row>
    <row r="3723" spans="1:4" x14ac:dyDescent="0.2">
      <c r="A3723" s="4"/>
      <c r="B3723"/>
      <c r="C3723"/>
      <c r="D3723"/>
    </row>
    <row r="3724" spans="1:4" x14ac:dyDescent="0.2">
      <c r="A3724" s="4"/>
      <c r="B3724"/>
      <c r="C3724"/>
      <c r="D3724"/>
    </row>
    <row r="3725" spans="1:4" x14ac:dyDescent="0.2">
      <c r="A3725" s="4"/>
      <c r="B3725"/>
      <c r="C3725"/>
      <c r="D3725"/>
    </row>
    <row r="3726" spans="1:4" x14ac:dyDescent="0.2">
      <c r="A3726" s="4"/>
      <c r="B3726"/>
      <c r="C3726"/>
      <c r="D3726"/>
    </row>
    <row r="3727" spans="1:4" x14ac:dyDescent="0.2">
      <c r="A3727" s="4"/>
      <c r="B3727"/>
      <c r="C3727"/>
      <c r="D3727"/>
    </row>
    <row r="3728" spans="1:4" x14ac:dyDescent="0.2">
      <c r="A3728" s="4"/>
      <c r="B3728"/>
      <c r="C3728"/>
      <c r="D3728"/>
    </row>
    <row r="3729" spans="1:4" x14ac:dyDescent="0.2">
      <c r="A3729" s="4"/>
      <c r="B3729"/>
      <c r="C3729"/>
      <c r="D3729"/>
    </row>
    <row r="3730" spans="1:4" x14ac:dyDescent="0.2">
      <c r="A3730" s="4"/>
      <c r="B3730"/>
      <c r="C3730"/>
      <c r="D3730"/>
    </row>
    <row r="3731" spans="1:4" x14ac:dyDescent="0.2">
      <c r="A3731" s="4"/>
      <c r="B3731"/>
      <c r="C3731"/>
      <c r="D3731"/>
    </row>
    <row r="3732" spans="1:4" x14ac:dyDescent="0.2">
      <c r="A3732" s="4"/>
      <c r="B3732"/>
      <c r="C3732"/>
      <c r="D3732"/>
    </row>
    <row r="3733" spans="1:4" x14ac:dyDescent="0.2">
      <c r="A3733" s="4"/>
      <c r="B3733"/>
      <c r="C3733"/>
      <c r="D3733"/>
    </row>
    <row r="3734" spans="1:4" x14ac:dyDescent="0.2">
      <c r="A3734" s="4"/>
      <c r="B3734"/>
      <c r="C3734"/>
      <c r="D3734"/>
    </row>
    <row r="3735" spans="1:4" x14ac:dyDescent="0.2">
      <c r="A3735" s="4"/>
      <c r="B3735"/>
      <c r="C3735"/>
      <c r="D3735"/>
    </row>
    <row r="3736" spans="1:4" x14ac:dyDescent="0.2">
      <c r="A3736" s="4"/>
      <c r="B3736"/>
      <c r="C3736"/>
      <c r="D3736"/>
    </row>
    <row r="3737" spans="1:4" x14ac:dyDescent="0.2">
      <c r="A3737" s="4"/>
      <c r="B3737"/>
      <c r="C3737"/>
      <c r="D3737"/>
    </row>
    <row r="3738" spans="1:4" x14ac:dyDescent="0.2">
      <c r="A3738" s="4"/>
      <c r="B3738"/>
      <c r="C3738"/>
      <c r="D3738"/>
    </row>
    <row r="3739" spans="1:4" x14ac:dyDescent="0.2">
      <c r="A3739" s="4"/>
      <c r="B3739"/>
      <c r="C3739"/>
      <c r="D3739"/>
    </row>
    <row r="3740" spans="1:4" x14ac:dyDescent="0.2">
      <c r="A3740" s="4"/>
      <c r="B3740"/>
      <c r="C3740"/>
      <c r="D3740"/>
    </row>
    <row r="3741" spans="1:4" x14ac:dyDescent="0.2">
      <c r="A3741" s="4"/>
      <c r="B3741"/>
      <c r="C3741"/>
      <c r="D3741"/>
    </row>
    <row r="3742" spans="1:4" x14ac:dyDescent="0.2">
      <c r="A3742" s="4"/>
      <c r="B3742"/>
      <c r="C3742"/>
      <c r="D3742"/>
    </row>
    <row r="3743" spans="1:4" x14ac:dyDescent="0.2">
      <c r="A3743" s="4"/>
      <c r="B3743"/>
      <c r="C3743"/>
      <c r="D3743"/>
    </row>
    <row r="3744" spans="1:4" x14ac:dyDescent="0.2">
      <c r="A3744" s="4"/>
      <c r="B3744"/>
      <c r="C3744"/>
      <c r="D3744"/>
    </row>
    <row r="3745" spans="1:4" x14ac:dyDescent="0.2">
      <c r="A3745" s="4"/>
      <c r="B3745"/>
      <c r="C3745"/>
      <c r="D3745"/>
    </row>
    <row r="3746" spans="1:4" x14ac:dyDescent="0.2">
      <c r="A3746" s="4"/>
      <c r="B3746"/>
      <c r="C3746"/>
      <c r="D3746"/>
    </row>
    <row r="3747" spans="1:4" x14ac:dyDescent="0.2">
      <c r="A3747" s="4"/>
      <c r="B3747"/>
      <c r="C3747"/>
      <c r="D3747"/>
    </row>
    <row r="3748" spans="1:4" x14ac:dyDescent="0.2">
      <c r="A3748" s="4"/>
      <c r="B3748"/>
      <c r="C3748"/>
      <c r="D3748"/>
    </row>
    <row r="3749" spans="1:4" x14ac:dyDescent="0.2">
      <c r="A3749" s="4"/>
      <c r="B3749"/>
      <c r="C3749"/>
      <c r="D3749"/>
    </row>
    <row r="3750" spans="1:4" x14ac:dyDescent="0.2">
      <c r="A3750" s="4"/>
      <c r="B3750"/>
      <c r="C3750"/>
      <c r="D3750"/>
    </row>
    <row r="3751" spans="1:4" x14ac:dyDescent="0.2">
      <c r="A3751" s="4"/>
      <c r="B3751"/>
      <c r="C3751"/>
      <c r="D3751"/>
    </row>
    <row r="3752" spans="1:4" x14ac:dyDescent="0.2">
      <c r="A3752" s="4"/>
      <c r="B3752"/>
      <c r="C3752"/>
      <c r="D3752"/>
    </row>
    <row r="3753" spans="1:4" x14ac:dyDescent="0.2">
      <c r="A3753" s="4"/>
      <c r="B3753"/>
      <c r="C3753"/>
      <c r="D3753"/>
    </row>
    <row r="3754" spans="1:4" x14ac:dyDescent="0.2">
      <c r="A3754" s="4"/>
      <c r="B3754"/>
      <c r="C3754"/>
      <c r="D3754"/>
    </row>
    <row r="3755" spans="1:4" x14ac:dyDescent="0.2">
      <c r="A3755" s="4"/>
      <c r="B3755"/>
      <c r="C3755"/>
      <c r="D3755"/>
    </row>
    <row r="3756" spans="1:4" x14ac:dyDescent="0.2">
      <c r="A3756" s="4"/>
      <c r="B3756"/>
      <c r="C3756"/>
      <c r="D3756"/>
    </row>
    <row r="3757" spans="1:4" x14ac:dyDescent="0.2">
      <c r="A3757" s="4"/>
      <c r="B3757"/>
      <c r="C3757"/>
      <c r="D3757"/>
    </row>
    <row r="3758" spans="1:4" x14ac:dyDescent="0.2">
      <c r="A3758" s="4"/>
      <c r="B3758"/>
      <c r="C3758"/>
      <c r="D3758"/>
    </row>
    <row r="3759" spans="1:4" x14ac:dyDescent="0.2">
      <c r="A3759" s="4"/>
      <c r="B3759"/>
      <c r="C3759"/>
      <c r="D3759"/>
    </row>
    <row r="3760" spans="1:4" x14ac:dyDescent="0.2">
      <c r="A3760" s="4"/>
      <c r="B3760"/>
      <c r="C3760"/>
      <c r="D3760"/>
    </row>
    <row r="3761" spans="1:4" x14ac:dyDescent="0.2">
      <c r="A3761" s="4"/>
      <c r="B3761"/>
      <c r="C3761"/>
      <c r="D3761"/>
    </row>
    <row r="3762" spans="1:4" x14ac:dyDescent="0.2">
      <c r="A3762" s="4"/>
      <c r="B3762"/>
      <c r="C3762"/>
      <c r="D3762"/>
    </row>
    <row r="3763" spans="1:4" x14ac:dyDescent="0.2">
      <c r="A3763" s="4"/>
      <c r="B3763"/>
      <c r="C3763"/>
      <c r="D3763"/>
    </row>
    <row r="3764" spans="1:4" x14ac:dyDescent="0.2">
      <c r="A3764" s="4"/>
      <c r="B3764"/>
      <c r="C3764"/>
      <c r="D3764"/>
    </row>
    <row r="3765" spans="1:4" x14ac:dyDescent="0.2">
      <c r="A3765" s="4"/>
      <c r="B3765"/>
      <c r="C3765"/>
      <c r="D3765"/>
    </row>
    <row r="3766" spans="1:4" x14ac:dyDescent="0.2">
      <c r="A3766" s="4"/>
      <c r="B3766"/>
      <c r="C3766"/>
      <c r="D3766"/>
    </row>
    <row r="3767" spans="1:4" x14ac:dyDescent="0.2">
      <c r="A3767" s="4"/>
      <c r="B3767"/>
      <c r="C3767"/>
      <c r="D3767"/>
    </row>
    <row r="3768" spans="1:4" x14ac:dyDescent="0.2">
      <c r="A3768" s="4"/>
      <c r="B3768"/>
      <c r="C3768"/>
      <c r="D3768"/>
    </row>
    <row r="3769" spans="1:4" x14ac:dyDescent="0.2">
      <c r="A3769" s="4"/>
      <c r="B3769"/>
      <c r="C3769"/>
      <c r="D3769"/>
    </row>
    <row r="3770" spans="1:4" x14ac:dyDescent="0.2">
      <c r="A3770" s="4"/>
      <c r="B3770"/>
      <c r="C3770"/>
      <c r="D3770"/>
    </row>
    <row r="3771" spans="1:4" x14ac:dyDescent="0.2">
      <c r="A3771" s="4"/>
      <c r="B3771"/>
      <c r="C3771"/>
      <c r="D3771"/>
    </row>
    <row r="3772" spans="1:4" x14ac:dyDescent="0.2">
      <c r="A3772" s="4"/>
      <c r="B3772"/>
      <c r="C3772"/>
      <c r="D3772"/>
    </row>
    <row r="3773" spans="1:4" x14ac:dyDescent="0.2">
      <c r="A3773" s="4"/>
      <c r="B3773"/>
      <c r="C3773"/>
      <c r="D3773"/>
    </row>
    <row r="3774" spans="1:4" x14ac:dyDescent="0.2">
      <c r="A3774" s="4"/>
      <c r="B3774"/>
      <c r="C3774"/>
      <c r="D3774"/>
    </row>
    <row r="3775" spans="1:4" x14ac:dyDescent="0.2">
      <c r="A3775" s="4"/>
      <c r="B3775"/>
      <c r="C3775"/>
      <c r="D3775"/>
    </row>
    <row r="3776" spans="1:4" x14ac:dyDescent="0.2">
      <c r="A3776" s="4"/>
      <c r="B3776"/>
      <c r="C3776"/>
      <c r="D3776"/>
    </row>
    <row r="3777" spans="1:4" x14ac:dyDescent="0.2">
      <c r="A3777" s="4"/>
      <c r="B3777"/>
      <c r="C3777"/>
      <c r="D3777"/>
    </row>
    <row r="3778" spans="1:4" x14ac:dyDescent="0.2">
      <c r="A3778" s="4"/>
      <c r="B3778"/>
      <c r="C3778"/>
      <c r="D3778"/>
    </row>
    <row r="3779" spans="1:4" x14ac:dyDescent="0.2">
      <c r="A3779" s="4"/>
      <c r="B3779"/>
      <c r="C3779"/>
      <c r="D3779"/>
    </row>
    <row r="3780" spans="1:4" x14ac:dyDescent="0.2">
      <c r="A3780" s="4"/>
      <c r="B3780"/>
      <c r="C3780"/>
      <c r="D3780"/>
    </row>
    <row r="3781" spans="1:4" x14ac:dyDescent="0.2">
      <c r="A3781" s="4"/>
      <c r="B3781"/>
      <c r="C3781"/>
      <c r="D3781"/>
    </row>
    <row r="3782" spans="1:4" x14ac:dyDescent="0.2">
      <c r="A3782" s="4"/>
      <c r="B3782"/>
      <c r="C3782"/>
      <c r="D3782"/>
    </row>
    <row r="3783" spans="1:4" x14ac:dyDescent="0.2">
      <c r="A3783" s="4"/>
      <c r="B3783"/>
      <c r="C3783"/>
      <c r="D3783"/>
    </row>
    <row r="3784" spans="1:4" x14ac:dyDescent="0.2">
      <c r="A3784" s="4"/>
      <c r="B3784"/>
      <c r="C3784"/>
      <c r="D3784"/>
    </row>
    <row r="3785" spans="1:4" x14ac:dyDescent="0.2">
      <c r="A3785" s="4"/>
      <c r="B3785"/>
      <c r="C3785"/>
      <c r="D3785"/>
    </row>
    <row r="3786" spans="1:4" x14ac:dyDescent="0.2">
      <c r="A3786" s="4"/>
      <c r="B3786"/>
      <c r="C3786"/>
      <c r="D3786"/>
    </row>
    <row r="3787" spans="1:4" x14ac:dyDescent="0.2">
      <c r="A3787" s="4"/>
      <c r="B3787"/>
      <c r="C3787"/>
      <c r="D3787"/>
    </row>
    <row r="3788" spans="1:4" x14ac:dyDescent="0.2">
      <c r="A3788" s="4"/>
      <c r="B3788"/>
      <c r="C3788"/>
      <c r="D3788"/>
    </row>
    <row r="3789" spans="1:4" x14ac:dyDescent="0.2">
      <c r="A3789" s="4"/>
      <c r="B3789"/>
      <c r="C3789"/>
      <c r="D3789"/>
    </row>
    <row r="3790" spans="1:4" x14ac:dyDescent="0.2">
      <c r="A3790" s="4"/>
      <c r="B3790"/>
      <c r="C3790"/>
      <c r="D3790"/>
    </row>
    <row r="3791" spans="1:4" x14ac:dyDescent="0.2">
      <c r="A3791" s="4"/>
      <c r="B3791"/>
      <c r="C3791"/>
      <c r="D3791"/>
    </row>
    <row r="3792" spans="1:4" x14ac:dyDescent="0.2">
      <c r="A3792" s="4"/>
      <c r="B3792"/>
      <c r="C3792"/>
      <c r="D3792"/>
    </row>
    <row r="3793" spans="1:4" x14ac:dyDescent="0.2">
      <c r="A3793" s="4"/>
      <c r="B3793"/>
      <c r="C3793"/>
      <c r="D3793"/>
    </row>
    <row r="3794" spans="1:4" x14ac:dyDescent="0.2">
      <c r="A3794" s="4"/>
      <c r="B3794"/>
      <c r="C3794"/>
      <c r="D3794"/>
    </row>
    <row r="3795" spans="1:4" x14ac:dyDescent="0.2">
      <c r="A3795" s="4"/>
      <c r="B3795"/>
      <c r="C3795"/>
      <c r="D3795"/>
    </row>
    <row r="3796" spans="1:4" x14ac:dyDescent="0.2">
      <c r="A3796" s="4"/>
      <c r="B3796"/>
      <c r="C3796"/>
      <c r="D3796"/>
    </row>
    <row r="3797" spans="1:4" x14ac:dyDescent="0.2">
      <c r="A3797" s="4"/>
      <c r="B3797"/>
      <c r="C3797"/>
      <c r="D3797"/>
    </row>
    <row r="3798" spans="1:4" x14ac:dyDescent="0.2">
      <c r="A3798" s="4"/>
      <c r="B3798"/>
      <c r="C3798"/>
      <c r="D3798"/>
    </row>
    <row r="3799" spans="1:4" x14ac:dyDescent="0.2">
      <c r="A3799" s="4"/>
      <c r="B3799"/>
      <c r="C3799"/>
      <c r="D3799"/>
    </row>
    <row r="3800" spans="1:4" x14ac:dyDescent="0.2">
      <c r="A3800" s="4"/>
      <c r="B3800"/>
      <c r="C3800"/>
      <c r="D3800"/>
    </row>
    <row r="3801" spans="1:4" x14ac:dyDescent="0.2">
      <c r="A3801" s="4"/>
      <c r="B3801"/>
      <c r="C3801"/>
      <c r="D3801"/>
    </row>
    <row r="3802" spans="1:4" x14ac:dyDescent="0.2">
      <c r="A3802" s="4"/>
      <c r="B3802"/>
      <c r="C3802"/>
      <c r="D3802"/>
    </row>
    <row r="3803" spans="1:4" x14ac:dyDescent="0.2">
      <c r="A3803" s="4"/>
      <c r="B3803"/>
      <c r="C3803"/>
      <c r="D3803"/>
    </row>
    <row r="3804" spans="1:4" x14ac:dyDescent="0.2">
      <c r="A3804" s="4"/>
      <c r="B3804"/>
      <c r="C3804"/>
      <c r="D3804"/>
    </row>
    <row r="3805" spans="1:4" x14ac:dyDescent="0.2">
      <c r="A3805" s="4"/>
      <c r="B3805"/>
      <c r="C3805"/>
      <c r="D3805"/>
    </row>
    <row r="3806" spans="1:4" x14ac:dyDescent="0.2">
      <c r="A3806" s="4"/>
      <c r="B3806"/>
      <c r="C3806"/>
      <c r="D3806"/>
    </row>
    <row r="3807" spans="1:4" x14ac:dyDescent="0.2">
      <c r="A3807" s="4"/>
      <c r="B3807"/>
      <c r="C3807"/>
      <c r="D3807"/>
    </row>
    <row r="3808" spans="1:4" x14ac:dyDescent="0.2">
      <c r="A3808" s="4"/>
      <c r="B3808"/>
      <c r="C3808"/>
      <c r="D3808"/>
    </row>
    <row r="3809" spans="1:4" x14ac:dyDescent="0.2">
      <c r="A3809" s="4"/>
      <c r="B3809"/>
      <c r="C3809"/>
      <c r="D3809"/>
    </row>
    <row r="3810" spans="1:4" x14ac:dyDescent="0.2">
      <c r="A3810" s="4"/>
      <c r="B3810"/>
      <c r="C3810"/>
      <c r="D3810"/>
    </row>
    <row r="3811" spans="1:4" x14ac:dyDescent="0.2">
      <c r="A3811" s="4"/>
      <c r="B3811"/>
      <c r="C3811"/>
      <c r="D3811"/>
    </row>
    <row r="3812" spans="1:4" x14ac:dyDescent="0.2">
      <c r="A3812" s="4"/>
      <c r="B3812"/>
      <c r="C3812"/>
      <c r="D3812"/>
    </row>
    <row r="3813" spans="1:4" x14ac:dyDescent="0.2">
      <c r="A3813" s="4"/>
      <c r="B3813"/>
      <c r="C3813"/>
      <c r="D3813"/>
    </row>
    <row r="3814" spans="1:4" x14ac:dyDescent="0.2">
      <c r="A3814" s="4"/>
      <c r="B3814"/>
      <c r="C3814"/>
      <c r="D3814"/>
    </row>
    <row r="3815" spans="1:4" x14ac:dyDescent="0.2">
      <c r="A3815" s="4"/>
      <c r="B3815"/>
      <c r="C3815"/>
      <c r="D3815"/>
    </row>
    <row r="3816" spans="1:4" x14ac:dyDescent="0.2">
      <c r="A3816" s="4"/>
      <c r="B3816"/>
      <c r="C3816"/>
      <c r="D3816"/>
    </row>
    <row r="3817" spans="1:4" x14ac:dyDescent="0.2">
      <c r="A3817" s="4"/>
      <c r="B3817"/>
      <c r="C3817"/>
      <c r="D3817"/>
    </row>
    <row r="3818" spans="1:4" x14ac:dyDescent="0.2">
      <c r="A3818" s="4"/>
      <c r="B3818"/>
      <c r="C3818"/>
      <c r="D3818"/>
    </row>
    <row r="3819" spans="1:4" x14ac:dyDescent="0.2">
      <c r="A3819" s="4"/>
      <c r="B3819"/>
      <c r="C3819"/>
      <c r="D3819"/>
    </row>
    <row r="3820" spans="1:4" x14ac:dyDescent="0.2">
      <c r="A3820" s="4"/>
      <c r="B3820"/>
      <c r="C3820"/>
      <c r="D3820"/>
    </row>
    <row r="3821" spans="1:4" x14ac:dyDescent="0.2">
      <c r="A3821" s="4"/>
      <c r="B3821"/>
      <c r="C3821"/>
      <c r="D3821"/>
    </row>
    <row r="3822" spans="1:4" x14ac:dyDescent="0.2">
      <c r="A3822" s="4"/>
      <c r="B3822"/>
      <c r="C3822"/>
      <c r="D3822"/>
    </row>
    <row r="3823" spans="1:4" x14ac:dyDescent="0.2">
      <c r="A3823" s="4"/>
      <c r="B3823"/>
      <c r="C3823"/>
      <c r="D3823"/>
    </row>
    <row r="3824" spans="1:4" x14ac:dyDescent="0.2">
      <c r="A3824" s="4"/>
      <c r="B3824"/>
      <c r="C3824"/>
      <c r="D3824"/>
    </row>
    <row r="3825" spans="1:4" x14ac:dyDescent="0.2">
      <c r="A3825" s="4"/>
      <c r="B3825"/>
      <c r="C3825"/>
      <c r="D3825"/>
    </row>
    <row r="3826" spans="1:4" x14ac:dyDescent="0.2">
      <c r="A3826" s="4"/>
      <c r="B3826"/>
      <c r="C3826"/>
      <c r="D3826"/>
    </row>
    <row r="3827" spans="1:4" x14ac:dyDescent="0.2">
      <c r="A3827" s="4"/>
      <c r="B3827"/>
      <c r="C3827"/>
      <c r="D3827"/>
    </row>
    <row r="3828" spans="1:4" x14ac:dyDescent="0.2">
      <c r="A3828" s="4"/>
      <c r="B3828"/>
      <c r="C3828"/>
      <c r="D3828"/>
    </row>
    <row r="3829" spans="1:4" x14ac:dyDescent="0.2">
      <c r="A3829" s="4"/>
      <c r="B3829"/>
      <c r="C3829"/>
      <c r="D3829"/>
    </row>
    <row r="3830" spans="1:4" x14ac:dyDescent="0.2">
      <c r="A3830" s="4"/>
      <c r="B3830"/>
      <c r="C3830"/>
      <c r="D3830"/>
    </row>
    <row r="3831" spans="1:4" x14ac:dyDescent="0.2">
      <c r="A3831" s="4"/>
      <c r="B3831"/>
      <c r="C3831"/>
      <c r="D3831"/>
    </row>
    <row r="3832" spans="1:4" x14ac:dyDescent="0.2">
      <c r="A3832" s="4"/>
      <c r="B3832"/>
      <c r="C3832"/>
      <c r="D3832"/>
    </row>
    <row r="3833" spans="1:4" x14ac:dyDescent="0.2">
      <c r="A3833" s="4"/>
      <c r="B3833"/>
      <c r="C3833"/>
      <c r="D3833"/>
    </row>
    <row r="3834" spans="1:4" x14ac:dyDescent="0.2">
      <c r="A3834" s="4"/>
      <c r="B3834"/>
      <c r="C3834"/>
      <c r="D3834"/>
    </row>
    <row r="3835" spans="1:4" x14ac:dyDescent="0.2">
      <c r="A3835" s="4"/>
      <c r="B3835"/>
      <c r="C3835"/>
      <c r="D3835"/>
    </row>
    <row r="3836" spans="1:4" x14ac:dyDescent="0.2">
      <c r="A3836" s="4"/>
      <c r="B3836"/>
      <c r="C3836"/>
      <c r="D3836"/>
    </row>
    <row r="3837" spans="1:4" x14ac:dyDescent="0.2">
      <c r="A3837" s="4"/>
      <c r="B3837"/>
      <c r="C3837"/>
      <c r="D3837"/>
    </row>
    <row r="3838" spans="1:4" x14ac:dyDescent="0.2">
      <c r="A3838" s="4"/>
      <c r="B3838"/>
      <c r="C3838"/>
      <c r="D3838"/>
    </row>
    <row r="3839" spans="1:4" x14ac:dyDescent="0.2">
      <c r="A3839" s="4"/>
      <c r="B3839"/>
      <c r="C3839"/>
      <c r="D3839"/>
    </row>
    <row r="3840" spans="1:4" x14ac:dyDescent="0.2">
      <c r="A3840" s="4"/>
      <c r="B3840"/>
      <c r="C3840"/>
      <c r="D3840"/>
    </row>
    <row r="3841" spans="1:4" x14ac:dyDescent="0.2">
      <c r="A3841" s="4"/>
      <c r="B3841"/>
      <c r="C3841"/>
      <c r="D3841"/>
    </row>
    <row r="3842" spans="1:4" x14ac:dyDescent="0.2">
      <c r="A3842" s="4"/>
      <c r="B3842"/>
      <c r="C3842"/>
      <c r="D3842"/>
    </row>
    <row r="3843" spans="1:4" x14ac:dyDescent="0.2">
      <c r="A3843" s="4"/>
      <c r="B3843"/>
      <c r="C3843"/>
      <c r="D3843"/>
    </row>
    <row r="3844" spans="1:4" x14ac:dyDescent="0.2">
      <c r="A3844" s="4"/>
      <c r="B3844"/>
      <c r="C3844"/>
      <c r="D3844"/>
    </row>
    <row r="3845" spans="1:4" x14ac:dyDescent="0.2">
      <c r="A3845" s="4"/>
      <c r="B3845"/>
      <c r="C3845"/>
      <c r="D3845"/>
    </row>
    <row r="3846" spans="1:4" x14ac:dyDescent="0.2">
      <c r="A3846" s="4"/>
      <c r="B3846"/>
      <c r="C3846"/>
      <c r="D3846"/>
    </row>
    <row r="3847" spans="1:4" x14ac:dyDescent="0.2">
      <c r="A3847" s="4"/>
      <c r="B3847"/>
      <c r="C3847"/>
      <c r="D3847"/>
    </row>
    <row r="3848" spans="1:4" x14ac:dyDescent="0.2">
      <c r="A3848" s="4"/>
      <c r="B3848"/>
      <c r="C3848"/>
      <c r="D3848"/>
    </row>
    <row r="3849" spans="1:4" x14ac:dyDescent="0.2">
      <c r="A3849" s="4"/>
      <c r="B3849"/>
      <c r="C3849"/>
      <c r="D3849"/>
    </row>
    <row r="3850" spans="1:4" x14ac:dyDescent="0.2">
      <c r="A3850" s="4"/>
      <c r="B3850"/>
      <c r="C3850"/>
      <c r="D3850"/>
    </row>
    <row r="3851" spans="1:4" x14ac:dyDescent="0.2">
      <c r="A3851" s="4"/>
      <c r="B3851"/>
      <c r="C3851"/>
      <c r="D3851"/>
    </row>
    <row r="3852" spans="1:4" x14ac:dyDescent="0.2">
      <c r="A3852" s="4"/>
      <c r="B3852"/>
      <c r="C3852"/>
      <c r="D3852"/>
    </row>
    <row r="3853" spans="1:4" x14ac:dyDescent="0.2">
      <c r="A3853" s="4"/>
      <c r="B3853"/>
      <c r="C3853"/>
      <c r="D3853"/>
    </row>
    <row r="3854" spans="1:4" x14ac:dyDescent="0.2">
      <c r="A3854" s="4"/>
      <c r="B3854"/>
      <c r="C3854"/>
      <c r="D3854"/>
    </row>
    <row r="3855" spans="1:4" x14ac:dyDescent="0.2">
      <c r="A3855" s="4"/>
      <c r="B3855"/>
      <c r="C3855"/>
      <c r="D3855"/>
    </row>
    <row r="3856" spans="1:4" x14ac:dyDescent="0.2">
      <c r="A3856" s="4"/>
      <c r="B3856"/>
      <c r="C3856"/>
      <c r="D3856"/>
    </row>
    <row r="3857" spans="1:4" x14ac:dyDescent="0.2">
      <c r="A3857" s="4"/>
      <c r="B3857"/>
      <c r="C3857"/>
      <c r="D3857"/>
    </row>
    <row r="3858" spans="1:4" x14ac:dyDescent="0.2">
      <c r="A3858" s="4"/>
      <c r="B3858"/>
      <c r="C3858"/>
      <c r="D3858"/>
    </row>
    <row r="3859" spans="1:4" x14ac:dyDescent="0.2">
      <c r="A3859" s="4"/>
      <c r="B3859"/>
      <c r="C3859"/>
      <c r="D3859"/>
    </row>
    <row r="3860" spans="1:4" x14ac:dyDescent="0.2">
      <c r="A3860" s="4"/>
      <c r="B3860"/>
      <c r="C3860"/>
      <c r="D3860"/>
    </row>
    <row r="3861" spans="1:4" x14ac:dyDescent="0.2">
      <c r="A3861" s="4"/>
      <c r="B3861"/>
      <c r="C3861"/>
      <c r="D3861"/>
    </row>
    <row r="3862" spans="1:4" x14ac:dyDescent="0.2">
      <c r="A3862" s="4"/>
      <c r="B3862"/>
      <c r="C3862"/>
      <c r="D3862"/>
    </row>
    <row r="3863" spans="1:4" x14ac:dyDescent="0.2">
      <c r="A3863" s="4"/>
      <c r="B3863"/>
      <c r="C3863"/>
      <c r="D3863"/>
    </row>
    <row r="3864" spans="1:4" x14ac:dyDescent="0.2">
      <c r="A3864" s="4"/>
      <c r="B3864"/>
      <c r="C3864"/>
      <c r="D3864"/>
    </row>
    <row r="3865" spans="1:4" x14ac:dyDescent="0.2">
      <c r="A3865" s="4"/>
      <c r="B3865"/>
      <c r="C3865"/>
      <c r="D3865"/>
    </row>
    <row r="3866" spans="1:4" x14ac:dyDescent="0.2">
      <c r="A3866" s="4"/>
      <c r="B3866"/>
      <c r="C3866"/>
      <c r="D3866"/>
    </row>
    <row r="3867" spans="1:4" x14ac:dyDescent="0.2">
      <c r="A3867" s="4"/>
      <c r="B3867"/>
      <c r="C3867"/>
      <c r="D3867"/>
    </row>
    <row r="3868" spans="1:4" x14ac:dyDescent="0.2">
      <c r="A3868" s="4"/>
      <c r="B3868"/>
      <c r="C3868"/>
      <c r="D3868"/>
    </row>
    <row r="3869" spans="1:4" x14ac:dyDescent="0.2">
      <c r="A3869" s="4"/>
      <c r="B3869"/>
      <c r="C3869"/>
      <c r="D3869"/>
    </row>
    <row r="3870" spans="1:4" x14ac:dyDescent="0.2">
      <c r="A3870" s="4"/>
      <c r="B3870"/>
      <c r="C3870"/>
      <c r="D3870"/>
    </row>
    <row r="3871" spans="1:4" x14ac:dyDescent="0.2">
      <c r="A3871" s="4"/>
      <c r="B3871"/>
      <c r="C3871"/>
      <c r="D3871"/>
    </row>
    <row r="3872" spans="1:4" x14ac:dyDescent="0.2">
      <c r="A3872" s="4"/>
      <c r="B3872"/>
      <c r="C3872"/>
      <c r="D3872"/>
    </row>
    <row r="3873" spans="1:4" x14ac:dyDescent="0.2">
      <c r="A3873" s="4"/>
      <c r="B3873"/>
      <c r="C3873"/>
      <c r="D3873"/>
    </row>
    <row r="3874" spans="1:4" x14ac:dyDescent="0.2">
      <c r="A3874" s="4"/>
      <c r="B3874"/>
      <c r="C3874"/>
      <c r="D3874"/>
    </row>
    <row r="3875" spans="1:4" x14ac:dyDescent="0.2">
      <c r="A3875" s="4"/>
      <c r="B3875"/>
      <c r="C3875"/>
      <c r="D3875"/>
    </row>
    <row r="3876" spans="1:4" x14ac:dyDescent="0.2">
      <c r="A3876" s="4"/>
      <c r="B3876"/>
      <c r="C3876"/>
      <c r="D3876"/>
    </row>
    <row r="3877" spans="1:4" x14ac:dyDescent="0.2">
      <c r="A3877" s="4"/>
      <c r="B3877"/>
      <c r="C3877"/>
      <c r="D3877"/>
    </row>
    <row r="3878" spans="1:4" x14ac:dyDescent="0.2">
      <c r="A3878" s="4"/>
      <c r="B3878"/>
      <c r="C3878"/>
      <c r="D3878"/>
    </row>
    <row r="3879" spans="1:4" x14ac:dyDescent="0.2">
      <c r="A3879" s="4"/>
      <c r="B3879"/>
      <c r="C3879"/>
      <c r="D3879"/>
    </row>
    <row r="3880" spans="1:4" x14ac:dyDescent="0.2">
      <c r="A3880" s="4"/>
      <c r="B3880"/>
      <c r="C3880"/>
      <c r="D3880"/>
    </row>
    <row r="3881" spans="1:4" x14ac:dyDescent="0.2">
      <c r="A3881" s="4"/>
      <c r="B3881"/>
      <c r="C3881"/>
      <c r="D3881"/>
    </row>
    <row r="3882" spans="1:4" x14ac:dyDescent="0.2">
      <c r="A3882" s="4"/>
      <c r="B3882"/>
      <c r="C3882"/>
      <c r="D3882"/>
    </row>
    <row r="3883" spans="1:4" x14ac:dyDescent="0.2">
      <c r="A3883" s="4"/>
      <c r="B3883"/>
      <c r="C3883"/>
      <c r="D3883"/>
    </row>
    <row r="3884" spans="1:4" x14ac:dyDescent="0.2">
      <c r="A3884" s="4"/>
      <c r="B3884"/>
      <c r="C3884"/>
      <c r="D3884"/>
    </row>
    <row r="3885" spans="1:4" x14ac:dyDescent="0.2">
      <c r="A3885" s="4"/>
      <c r="B3885"/>
      <c r="C3885"/>
      <c r="D3885"/>
    </row>
    <row r="3886" spans="1:4" x14ac:dyDescent="0.2">
      <c r="A3886" s="4"/>
      <c r="B3886"/>
      <c r="C3886"/>
      <c r="D3886"/>
    </row>
    <row r="3887" spans="1:4" x14ac:dyDescent="0.2">
      <c r="A3887" s="4"/>
      <c r="B3887"/>
      <c r="C3887"/>
      <c r="D3887"/>
    </row>
    <row r="3888" spans="1:4" x14ac:dyDescent="0.2">
      <c r="A3888" s="4"/>
      <c r="B3888"/>
      <c r="C3888"/>
      <c r="D3888"/>
    </row>
    <row r="3889" spans="1:4" x14ac:dyDescent="0.2">
      <c r="A3889" s="4"/>
      <c r="B3889"/>
      <c r="C3889"/>
      <c r="D3889"/>
    </row>
    <row r="3890" spans="1:4" x14ac:dyDescent="0.2">
      <c r="A3890" s="4"/>
      <c r="B3890"/>
      <c r="C3890"/>
      <c r="D3890"/>
    </row>
    <row r="3891" spans="1:4" x14ac:dyDescent="0.2">
      <c r="A3891" s="4"/>
      <c r="B3891"/>
      <c r="C3891"/>
      <c r="D3891"/>
    </row>
    <row r="3892" spans="1:4" x14ac:dyDescent="0.2">
      <c r="A3892" s="4"/>
      <c r="B3892"/>
      <c r="C3892"/>
      <c r="D3892"/>
    </row>
    <row r="3893" spans="1:4" x14ac:dyDescent="0.2">
      <c r="A3893" s="4"/>
      <c r="B3893"/>
      <c r="C3893"/>
      <c r="D3893"/>
    </row>
    <row r="3894" spans="1:4" x14ac:dyDescent="0.2">
      <c r="A3894" s="4"/>
      <c r="B3894"/>
      <c r="C3894"/>
      <c r="D3894"/>
    </row>
    <row r="3895" spans="1:4" x14ac:dyDescent="0.2">
      <c r="A3895" s="4"/>
      <c r="B3895"/>
      <c r="C3895"/>
      <c r="D3895"/>
    </row>
    <row r="3896" spans="1:4" x14ac:dyDescent="0.2">
      <c r="A3896" s="4"/>
      <c r="B3896"/>
      <c r="C3896"/>
      <c r="D3896"/>
    </row>
    <row r="3897" spans="1:4" x14ac:dyDescent="0.2">
      <c r="A3897" s="4"/>
      <c r="B3897"/>
      <c r="C3897"/>
      <c r="D3897"/>
    </row>
    <row r="3898" spans="1:4" x14ac:dyDescent="0.2">
      <c r="A3898" s="4"/>
      <c r="B3898"/>
      <c r="C3898"/>
      <c r="D3898"/>
    </row>
    <row r="3899" spans="1:4" x14ac:dyDescent="0.2">
      <c r="A3899" s="4"/>
      <c r="B3899"/>
      <c r="C3899"/>
      <c r="D3899"/>
    </row>
    <row r="3900" spans="1:4" x14ac:dyDescent="0.2">
      <c r="A3900" s="4"/>
      <c r="B3900"/>
      <c r="C3900"/>
      <c r="D3900"/>
    </row>
    <row r="3901" spans="1:4" x14ac:dyDescent="0.2">
      <c r="A3901" s="4"/>
      <c r="B3901"/>
      <c r="C3901"/>
      <c r="D3901"/>
    </row>
    <row r="3902" spans="1:4" x14ac:dyDescent="0.2">
      <c r="A3902" s="4"/>
      <c r="B3902"/>
      <c r="C3902"/>
      <c r="D3902"/>
    </row>
    <row r="3903" spans="1:4" x14ac:dyDescent="0.2">
      <c r="A3903" s="4"/>
      <c r="B3903"/>
      <c r="C3903"/>
      <c r="D3903"/>
    </row>
    <row r="3904" spans="1:4" x14ac:dyDescent="0.2">
      <c r="A3904" s="4"/>
      <c r="B3904"/>
      <c r="C3904"/>
      <c r="D3904"/>
    </row>
    <row r="3905" spans="1:4" x14ac:dyDescent="0.2">
      <c r="A3905" s="4"/>
      <c r="B3905"/>
      <c r="C3905"/>
      <c r="D3905"/>
    </row>
    <row r="3906" spans="1:4" x14ac:dyDescent="0.2">
      <c r="A3906" s="4"/>
      <c r="B3906"/>
      <c r="C3906"/>
      <c r="D3906"/>
    </row>
    <row r="3907" spans="1:4" x14ac:dyDescent="0.2">
      <c r="A3907" s="4"/>
      <c r="B3907"/>
      <c r="C3907"/>
      <c r="D3907"/>
    </row>
    <row r="3908" spans="1:4" x14ac:dyDescent="0.2">
      <c r="A3908" s="4"/>
      <c r="B3908"/>
      <c r="C3908"/>
      <c r="D3908"/>
    </row>
    <row r="3909" spans="1:4" x14ac:dyDescent="0.2">
      <c r="A3909" s="4"/>
      <c r="B3909"/>
      <c r="C3909"/>
      <c r="D3909"/>
    </row>
    <row r="3910" spans="1:4" x14ac:dyDescent="0.2">
      <c r="A3910" s="4"/>
      <c r="B3910"/>
      <c r="C3910"/>
      <c r="D3910"/>
    </row>
    <row r="3911" spans="1:4" x14ac:dyDescent="0.2">
      <c r="A3911" s="4"/>
      <c r="B3911"/>
      <c r="C3911"/>
      <c r="D3911"/>
    </row>
    <row r="3912" spans="1:4" x14ac:dyDescent="0.2">
      <c r="A3912" s="4"/>
      <c r="B3912"/>
      <c r="C3912"/>
      <c r="D3912"/>
    </row>
    <row r="3913" spans="1:4" x14ac:dyDescent="0.2">
      <c r="A3913" s="4"/>
      <c r="B3913"/>
      <c r="C3913"/>
      <c r="D3913"/>
    </row>
    <row r="3914" spans="1:4" x14ac:dyDescent="0.2">
      <c r="A3914" s="4"/>
      <c r="B3914"/>
      <c r="C3914"/>
      <c r="D3914"/>
    </row>
    <row r="3915" spans="1:4" x14ac:dyDescent="0.2">
      <c r="A3915" s="4"/>
      <c r="B3915"/>
      <c r="C3915"/>
      <c r="D3915"/>
    </row>
    <row r="3916" spans="1:4" x14ac:dyDescent="0.2">
      <c r="A3916" s="4"/>
      <c r="B3916"/>
      <c r="C3916"/>
      <c r="D3916"/>
    </row>
    <row r="3917" spans="1:4" x14ac:dyDescent="0.2">
      <c r="A3917" s="4"/>
      <c r="B3917"/>
      <c r="C3917"/>
      <c r="D3917"/>
    </row>
    <row r="3918" spans="1:4" x14ac:dyDescent="0.2">
      <c r="A3918" s="4"/>
      <c r="B3918"/>
      <c r="C3918"/>
      <c r="D3918"/>
    </row>
    <row r="3919" spans="1:4" x14ac:dyDescent="0.2">
      <c r="A3919" s="4"/>
      <c r="B3919"/>
      <c r="C3919"/>
      <c r="D3919"/>
    </row>
    <row r="3920" spans="1:4" x14ac:dyDescent="0.2">
      <c r="A3920" s="4"/>
      <c r="B3920"/>
      <c r="C3920"/>
      <c r="D3920"/>
    </row>
    <row r="3921" spans="1:4" x14ac:dyDescent="0.2">
      <c r="A3921" s="4"/>
      <c r="B3921"/>
      <c r="C3921"/>
      <c r="D3921"/>
    </row>
    <row r="3922" spans="1:4" x14ac:dyDescent="0.2">
      <c r="A3922" s="4"/>
      <c r="B3922"/>
      <c r="C3922"/>
      <c r="D3922"/>
    </row>
    <row r="3923" spans="1:4" x14ac:dyDescent="0.2">
      <c r="A3923" s="4"/>
      <c r="B3923"/>
      <c r="C3923"/>
      <c r="D3923"/>
    </row>
    <row r="3924" spans="1:4" x14ac:dyDescent="0.2">
      <c r="A3924" s="4"/>
      <c r="B3924"/>
      <c r="C3924"/>
      <c r="D3924"/>
    </row>
    <row r="3925" spans="1:4" x14ac:dyDescent="0.2">
      <c r="A3925" s="4"/>
      <c r="B3925"/>
      <c r="C3925"/>
      <c r="D3925"/>
    </row>
    <row r="3926" spans="1:4" x14ac:dyDescent="0.2">
      <c r="A3926" s="4"/>
      <c r="B3926"/>
      <c r="C3926"/>
      <c r="D3926"/>
    </row>
    <row r="3927" spans="1:4" x14ac:dyDescent="0.2">
      <c r="A3927" s="4"/>
      <c r="B3927"/>
      <c r="C3927"/>
      <c r="D3927"/>
    </row>
    <row r="3928" spans="1:4" x14ac:dyDescent="0.2">
      <c r="A3928" s="4"/>
      <c r="B3928"/>
      <c r="C3928"/>
      <c r="D3928"/>
    </row>
    <row r="3929" spans="1:4" x14ac:dyDescent="0.2">
      <c r="A3929" s="4"/>
      <c r="B3929"/>
      <c r="C3929"/>
      <c r="D3929"/>
    </row>
    <row r="3930" spans="1:4" x14ac:dyDescent="0.2">
      <c r="A3930" s="4"/>
      <c r="B3930"/>
      <c r="C3930"/>
      <c r="D3930"/>
    </row>
    <row r="3931" spans="1:4" x14ac:dyDescent="0.2">
      <c r="A3931" s="4"/>
      <c r="B3931"/>
      <c r="C3931"/>
      <c r="D3931"/>
    </row>
    <row r="3932" spans="1:4" x14ac:dyDescent="0.2">
      <c r="A3932" s="4"/>
      <c r="B3932"/>
      <c r="C3932"/>
      <c r="D3932"/>
    </row>
    <row r="3933" spans="1:4" x14ac:dyDescent="0.2">
      <c r="A3933" s="4"/>
      <c r="B3933"/>
      <c r="C3933"/>
      <c r="D3933"/>
    </row>
    <row r="3934" spans="1:4" x14ac:dyDescent="0.2">
      <c r="A3934" s="4"/>
      <c r="B3934"/>
      <c r="C3934"/>
      <c r="D3934"/>
    </row>
    <row r="3935" spans="1:4" x14ac:dyDescent="0.2">
      <c r="A3935" s="4"/>
      <c r="B3935"/>
      <c r="C3935"/>
      <c r="D3935"/>
    </row>
    <row r="3936" spans="1:4" x14ac:dyDescent="0.2">
      <c r="A3936" s="4"/>
      <c r="B3936"/>
      <c r="C3936"/>
      <c r="D3936"/>
    </row>
    <row r="3937" spans="1:4" x14ac:dyDescent="0.2">
      <c r="A3937" s="4"/>
      <c r="B3937"/>
      <c r="C3937"/>
      <c r="D3937"/>
    </row>
    <row r="3938" spans="1:4" x14ac:dyDescent="0.2">
      <c r="A3938" s="4"/>
      <c r="B3938"/>
      <c r="C3938"/>
      <c r="D3938"/>
    </row>
    <row r="3939" spans="1:4" x14ac:dyDescent="0.2">
      <c r="A3939" s="4"/>
      <c r="B3939"/>
      <c r="C3939"/>
      <c r="D3939"/>
    </row>
    <row r="3940" spans="1:4" x14ac:dyDescent="0.2">
      <c r="A3940" s="4"/>
      <c r="B3940"/>
      <c r="C3940"/>
      <c r="D3940"/>
    </row>
    <row r="3941" spans="1:4" x14ac:dyDescent="0.2">
      <c r="A3941" s="4"/>
      <c r="B3941"/>
      <c r="C3941"/>
      <c r="D3941"/>
    </row>
    <row r="3942" spans="1:4" x14ac:dyDescent="0.2">
      <c r="A3942" s="4"/>
      <c r="B3942"/>
      <c r="C3942"/>
      <c r="D3942"/>
    </row>
    <row r="3943" spans="1:4" x14ac:dyDescent="0.2">
      <c r="A3943" s="4"/>
      <c r="B3943"/>
      <c r="C3943"/>
      <c r="D3943"/>
    </row>
    <row r="3944" spans="1:4" x14ac:dyDescent="0.2">
      <c r="A3944" s="4"/>
      <c r="B3944"/>
      <c r="C3944"/>
      <c r="D3944"/>
    </row>
    <row r="3945" spans="1:4" x14ac:dyDescent="0.2">
      <c r="A3945" s="4"/>
      <c r="B3945"/>
      <c r="C3945"/>
      <c r="D3945"/>
    </row>
    <row r="3946" spans="1:4" x14ac:dyDescent="0.2">
      <c r="A3946" s="4"/>
      <c r="B3946"/>
      <c r="C3946"/>
      <c r="D3946"/>
    </row>
    <row r="3947" spans="1:4" x14ac:dyDescent="0.2">
      <c r="A3947" s="4"/>
      <c r="B3947"/>
      <c r="C3947"/>
      <c r="D3947"/>
    </row>
    <row r="3948" spans="1:4" x14ac:dyDescent="0.2">
      <c r="A3948" s="4"/>
      <c r="B3948"/>
      <c r="C3948"/>
      <c r="D3948"/>
    </row>
    <row r="3949" spans="1:4" x14ac:dyDescent="0.2">
      <c r="A3949" s="4"/>
      <c r="B3949"/>
      <c r="C3949"/>
      <c r="D3949"/>
    </row>
    <row r="3950" spans="1:4" x14ac:dyDescent="0.2">
      <c r="A3950" s="4"/>
      <c r="B3950"/>
      <c r="C3950"/>
      <c r="D3950"/>
    </row>
    <row r="3951" spans="1:4" x14ac:dyDescent="0.2">
      <c r="A3951" s="4"/>
      <c r="B3951"/>
      <c r="C3951"/>
      <c r="D3951"/>
    </row>
    <row r="3952" spans="1:4" x14ac:dyDescent="0.2">
      <c r="A3952" s="4"/>
      <c r="B3952"/>
      <c r="C3952"/>
      <c r="D3952"/>
    </row>
    <row r="3953" spans="1:4" x14ac:dyDescent="0.2">
      <c r="A3953" s="4"/>
      <c r="B3953"/>
      <c r="C3953"/>
      <c r="D3953"/>
    </row>
    <row r="3954" spans="1:4" x14ac:dyDescent="0.2">
      <c r="A3954" s="4"/>
      <c r="B3954"/>
      <c r="C3954"/>
      <c r="D3954"/>
    </row>
    <row r="3955" spans="1:4" x14ac:dyDescent="0.2">
      <c r="A3955" s="4"/>
      <c r="B3955"/>
      <c r="C3955"/>
      <c r="D3955"/>
    </row>
    <row r="3956" spans="1:4" x14ac:dyDescent="0.2">
      <c r="A3956" s="4"/>
      <c r="B3956"/>
      <c r="C3956"/>
      <c r="D3956"/>
    </row>
    <row r="3957" spans="1:4" x14ac:dyDescent="0.2">
      <c r="A3957" s="4"/>
      <c r="B3957"/>
      <c r="C3957"/>
      <c r="D3957"/>
    </row>
    <row r="3958" spans="1:4" x14ac:dyDescent="0.2">
      <c r="A3958" s="4"/>
      <c r="B3958"/>
      <c r="C3958"/>
      <c r="D3958"/>
    </row>
    <row r="3959" spans="1:4" x14ac:dyDescent="0.2">
      <c r="A3959" s="4"/>
      <c r="B3959"/>
      <c r="C3959"/>
      <c r="D3959"/>
    </row>
    <row r="3960" spans="1:4" x14ac:dyDescent="0.2">
      <c r="A3960" s="4"/>
      <c r="B3960"/>
      <c r="C3960"/>
      <c r="D3960"/>
    </row>
    <row r="3961" spans="1:4" x14ac:dyDescent="0.2">
      <c r="A3961" s="4"/>
      <c r="B3961"/>
      <c r="C3961"/>
      <c r="D3961"/>
    </row>
    <row r="3962" spans="1:4" x14ac:dyDescent="0.2">
      <c r="A3962" s="4"/>
      <c r="B3962"/>
      <c r="C3962"/>
      <c r="D3962"/>
    </row>
    <row r="3963" spans="1:4" x14ac:dyDescent="0.2">
      <c r="A3963" s="4"/>
      <c r="B3963"/>
      <c r="C3963"/>
      <c r="D3963"/>
    </row>
    <row r="3964" spans="1:4" x14ac:dyDescent="0.2">
      <c r="A3964" s="4"/>
      <c r="B3964"/>
      <c r="C3964"/>
      <c r="D3964"/>
    </row>
    <row r="3965" spans="1:4" x14ac:dyDescent="0.2">
      <c r="A3965" s="4"/>
      <c r="B3965"/>
      <c r="C3965"/>
      <c r="D3965"/>
    </row>
    <row r="3966" spans="1:4" x14ac:dyDescent="0.2">
      <c r="A3966" s="4"/>
      <c r="B3966"/>
      <c r="C3966"/>
      <c r="D3966"/>
    </row>
    <row r="3967" spans="1:4" x14ac:dyDescent="0.2">
      <c r="A3967" s="4"/>
      <c r="B3967"/>
      <c r="C3967"/>
      <c r="D3967"/>
    </row>
    <row r="3968" spans="1:4" x14ac:dyDescent="0.2">
      <c r="A3968" s="4"/>
      <c r="B3968"/>
      <c r="C3968"/>
      <c r="D3968"/>
    </row>
    <row r="3969" spans="1:4" x14ac:dyDescent="0.2">
      <c r="A3969" s="4"/>
      <c r="B3969"/>
      <c r="C3969"/>
      <c r="D3969"/>
    </row>
    <row r="3970" spans="1:4" x14ac:dyDescent="0.2">
      <c r="A3970" s="4"/>
      <c r="B3970"/>
      <c r="C3970"/>
      <c r="D3970"/>
    </row>
    <row r="3971" spans="1:4" x14ac:dyDescent="0.2">
      <c r="A3971" s="4"/>
      <c r="B3971"/>
      <c r="C3971"/>
      <c r="D3971"/>
    </row>
    <row r="3972" spans="1:4" x14ac:dyDescent="0.2">
      <c r="A3972" s="4"/>
      <c r="B3972"/>
      <c r="C3972"/>
      <c r="D3972"/>
    </row>
    <row r="3973" spans="1:4" x14ac:dyDescent="0.2">
      <c r="A3973" s="4"/>
      <c r="B3973"/>
      <c r="C3973"/>
      <c r="D3973"/>
    </row>
    <row r="3974" spans="1:4" x14ac:dyDescent="0.2">
      <c r="A3974" s="4"/>
      <c r="B3974"/>
      <c r="C3974"/>
      <c r="D3974"/>
    </row>
    <row r="3975" spans="1:4" x14ac:dyDescent="0.2">
      <c r="A3975" s="4"/>
      <c r="B3975"/>
      <c r="C3975"/>
      <c r="D3975"/>
    </row>
    <row r="3976" spans="1:4" x14ac:dyDescent="0.2">
      <c r="A3976" s="4"/>
      <c r="B3976"/>
      <c r="C3976"/>
      <c r="D3976"/>
    </row>
    <row r="3977" spans="1:4" x14ac:dyDescent="0.2">
      <c r="A3977" s="4"/>
      <c r="B3977"/>
      <c r="C3977"/>
      <c r="D3977"/>
    </row>
    <row r="3978" spans="1:4" x14ac:dyDescent="0.2">
      <c r="A3978" s="4"/>
      <c r="B3978"/>
      <c r="C3978"/>
      <c r="D3978"/>
    </row>
    <row r="3979" spans="1:4" x14ac:dyDescent="0.2">
      <c r="A3979" s="4"/>
      <c r="B3979"/>
      <c r="C3979"/>
      <c r="D3979"/>
    </row>
    <row r="3980" spans="1:4" x14ac:dyDescent="0.2">
      <c r="A3980" s="4"/>
      <c r="B3980"/>
      <c r="C3980"/>
      <c r="D3980"/>
    </row>
    <row r="3981" spans="1:4" x14ac:dyDescent="0.2">
      <c r="A3981" s="4"/>
      <c r="B3981"/>
      <c r="C3981"/>
      <c r="D3981"/>
    </row>
    <row r="3982" spans="1:4" x14ac:dyDescent="0.2">
      <c r="A3982" s="4"/>
      <c r="B3982"/>
      <c r="C3982"/>
      <c r="D3982"/>
    </row>
    <row r="3983" spans="1:4" x14ac:dyDescent="0.2">
      <c r="A3983" s="4"/>
      <c r="B3983"/>
      <c r="C3983"/>
      <c r="D3983"/>
    </row>
    <row r="3984" spans="1:4" x14ac:dyDescent="0.2">
      <c r="A3984" s="4"/>
      <c r="B3984"/>
      <c r="C3984"/>
      <c r="D3984"/>
    </row>
    <row r="3985" spans="1:4" x14ac:dyDescent="0.2">
      <c r="A3985" s="4"/>
      <c r="B3985"/>
      <c r="C3985"/>
      <c r="D3985"/>
    </row>
    <row r="3986" spans="1:4" x14ac:dyDescent="0.2">
      <c r="A3986" s="4"/>
      <c r="B3986"/>
      <c r="C3986"/>
      <c r="D3986"/>
    </row>
    <row r="3987" spans="1:4" x14ac:dyDescent="0.2">
      <c r="A3987" s="4"/>
      <c r="B3987"/>
      <c r="C3987"/>
      <c r="D3987"/>
    </row>
    <row r="3988" spans="1:4" x14ac:dyDescent="0.2">
      <c r="A3988" s="4"/>
      <c r="B3988"/>
      <c r="C3988"/>
      <c r="D3988"/>
    </row>
    <row r="3989" spans="1:4" x14ac:dyDescent="0.2">
      <c r="A3989" s="4"/>
      <c r="B3989"/>
      <c r="C3989"/>
      <c r="D3989"/>
    </row>
    <row r="3990" spans="1:4" x14ac:dyDescent="0.2">
      <c r="A3990" s="4"/>
      <c r="B3990"/>
      <c r="C3990"/>
      <c r="D3990"/>
    </row>
    <row r="3991" spans="1:4" x14ac:dyDescent="0.2">
      <c r="A3991" s="4"/>
      <c r="B3991"/>
      <c r="C3991"/>
      <c r="D3991"/>
    </row>
    <row r="3992" spans="1:4" x14ac:dyDescent="0.2">
      <c r="A3992" s="4"/>
      <c r="B3992"/>
      <c r="C3992"/>
      <c r="D3992"/>
    </row>
    <row r="3993" spans="1:4" x14ac:dyDescent="0.2">
      <c r="A3993" s="4"/>
      <c r="B3993"/>
      <c r="C3993"/>
      <c r="D3993"/>
    </row>
    <row r="3994" spans="1:4" x14ac:dyDescent="0.2">
      <c r="A3994" s="4"/>
      <c r="B3994"/>
      <c r="C3994"/>
      <c r="D3994"/>
    </row>
    <row r="3995" spans="1:4" x14ac:dyDescent="0.2">
      <c r="A3995" s="4"/>
      <c r="B3995"/>
      <c r="C3995"/>
      <c r="D3995"/>
    </row>
    <row r="3996" spans="1:4" x14ac:dyDescent="0.2">
      <c r="A3996" s="4"/>
      <c r="B3996"/>
      <c r="C3996"/>
      <c r="D3996"/>
    </row>
    <row r="3997" spans="1:4" x14ac:dyDescent="0.2">
      <c r="A3997" s="4"/>
      <c r="B3997"/>
      <c r="C3997"/>
      <c r="D3997"/>
    </row>
    <row r="3998" spans="1:4" x14ac:dyDescent="0.2">
      <c r="A3998" s="4"/>
      <c r="B3998"/>
      <c r="C3998"/>
      <c r="D3998"/>
    </row>
    <row r="3999" spans="1:4" x14ac:dyDescent="0.2">
      <c r="A3999" s="4"/>
      <c r="B3999"/>
      <c r="C3999"/>
      <c r="D3999"/>
    </row>
    <row r="4000" spans="1:4" x14ac:dyDescent="0.2">
      <c r="A4000" s="4"/>
      <c r="B4000"/>
      <c r="C4000"/>
      <c r="D4000"/>
    </row>
    <row r="4001" spans="1:4" x14ac:dyDescent="0.2">
      <c r="A4001" s="4"/>
      <c r="B4001"/>
      <c r="C4001"/>
      <c r="D4001"/>
    </row>
    <row r="4002" spans="1:4" x14ac:dyDescent="0.2">
      <c r="A4002" s="4"/>
      <c r="B4002"/>
      <c r="C4002"/>
      <c r="D4002"/>
    </row>
    <row r="4003" spans="1:4" x14ac:dyDescent="0.2">
      <c r="A4003" s="4"/>
      <c r="B4003"/>
      <c r="C4003"/>
      <c r="D4003"/>
    </row>
    <row r="4004" spans="1:4" x14ac:dyDescent="0.2">
      <c r="A4004" s="4"/>
      <c r="B4004"/>
      <c r="C4004"/>
      <c r="D4004"/>
    </row>
    <row r="4005" spans="1:4" x14ac:dyDescent="0.2">
      <c r="A4005" s="4"/>
      <c r="B4005"/>
      <c r="C4005"/>
      <c r="D4005"/>
    </row>
    <row r="4006" spans="1:4" x14ac:dyDescent="0.2">
      <c r="A4006" s="4"/>
      <c r="B4006"/>
      <c r="C4006"/>
      <c r="D4006"/>
    </row>
    <row r="4007" spans="1:4" x14ac:dyDescent="0.2">
      <c r="A4007" s="4"/>
      <c r="B4007"/>
      <c r="C4007"/>
      <c r="D4007"/>
    </row>
    <row r="4008" spans="1:4" x14ac:dyDescent="0.2">
      <c r="A4008" s="4"/>
      <c r="B4008"/>
      <c r="C4008"/>
      <c r="D4008"/>
    </row>
    <row r="4009" spans="1:4" x14ac:dyDescent="0.2">
      <c r="A4009" s="4"/>
      <c r="B4009"/>
      <c r="C4009"/>
      <c r="D4009"/>
    </row>
    <row r="4010" spans="1:4" x14ac:dyDescent="0.2">
      <c r="A4010" s="4"/>
      <c r="B4010"/>
      <c r="C4010"/>
      <c r="D4010"/>
    </row>
    <row r="4011" spans="1:4" x14ac:dyDescent="0.2">
      <c r="A4011" s="4"/>
      <c r="B4011"/>
      <c r="C4011"/>
      <c r="D4011"/>
    </row>
    <row r="4012" spans="1:4" x14ac:dyDescent="0.2">
      <c r="A4012" s="4"/>
      <c r="B4012"/>
      <c r="C4012"/>
      <c r="D4012"/>
    </row>
    <row r="4013" spans="1:4" x14ac:dyDescent="0.2">
      <c r="A4013" s="4"/>
      <c r="B4013"/>
      <c r="C4013"/>
      <c r="D4013"/>
    </row>
    <row r="4014" spans="1:4" x14ac:dyDescent="0.2">
      <c r="A4014" s="4"/>
      <c r="B4014"/>
      <c r="C4014"/>
      <c r="D4014"/>
    </row>
    <row r="4015" spans="1:4" x14ac:dyDescent="0.2">
      <c r="A4015" s="4"/>
      <c r="B4015"/>
      <c r="C4015"/>
      <c r="D4015"/>
    </row>
    <row r="4016" spans="1:4" x14ac:dyDescent="0.2">
      <c r="A4016" s="4"/>
      <c r="B4016"/>
      <c r="C4016"/>
      <c r="D4016"/>
    </row>
    <row r="4017" spans="1:4" x14ac:dyDescent="0.2">
      <c r="A4017" s="4"/>
      <c r="B4017"/>
      <c r="C4017"/>
      <c r="D4017"/>
    </row>
    <row r="4018" spans="1:4" x14ac:dyDescent="0.2">
      <c r="A4018" s="4"/>
      <c r="B4018"/>
      <c r="C4018"/>
      <c r="D4018"/>
    </row>
    <row r="4019" spans="1:4" x14ac:dyDescent="0.2">
      <c r="A4019" s="4"/>
      <c r="B4019"/>
      <c r="C4019"/>
      <c r="D4019"/>
    </row>
    <row r="4020" spans="1:4" x14ac:dyDescent="0.2">
      <c r="A4020" s="4"/>
      <c r="B4020"/>
      <c r="C4020"/>
      <c r="D4020"/>
    </row>
    <row r="4021" spans="1:4" x14ac:dyDescent="0.2">
      <c r="A4021" s="4"/>
      <c r="B4021"/>
      <c r="C4021"/>
      <c r="D4021"/>
    </row>
    <row r="4022" spans="1:4" x14ac:dyDescent="0.2">
      <c r="A4022" s="4"/>
      <c r="B4022"/>
      <c r="C4022"/>
      <c r="D4022"/>
    </row>
    <row r="4023" spans="1:4" x14ac:dyDescent="0.2">
      <c r="A4023" s="4"/>
      <c r="B4023"/>
      <c r="C4023"/>
      <c r="D4023"/>
    </row>
    <row r="4024" spans="1:4" x14ac:dyDescent="0.2">
      <c r="A4024" s="4"/>
      <c r="B4024"/>
      <c r="C4024"/>
      <c r="D4024"/>
    </row>
    <row r="4025" spans="1:4" x14ac:dyDescent="0.2">
      <c r="A4025" s="4"/>
      <c r="B4025"/>
      <c r="C4025"/>
      <c r="D4025"/>
    </row>
    <row r="4026" spans="1:4" x14ac:dyDescent="0.2">
      <c r="A4026" s="4"/>
      <c r="B4026"/>
      <c r="C4026"/>
      <c r="D4026"/>
    </row>
    <row r="4027" spans="1:4" x14ac:dyDescent="0.2">
      <c r="A4027" s="4"/>
      <c r="B4027"/>
      <c r="C4027"/>
      <c r="D4027"/>
    </row>
    <row r="4028" spans="1:4" x14ac:dyDescent="0.2">
      <c r="A4028" s="4"/>
      <c r="B4028"/>
      <c r="C4028"/>
      <c r="D4028"/>
    </row>
    <row r="4029" spans="1:4" x14ac:dyDescent="0.2">
      <c r="A4029" s="4"/>
      <c r="B4029"/>
      <c r="C4029"/>
      <c r="D4029"/>
    </row>
    <row r="4030" spans="1:4" x14ac:dyDescent="0.2">
      <c r="A4030" s="4"/>
      <c r="B4030"/>
      <c r="C4030"/>
      <c r="D4030"/>
    </row>
    <row r="4031" spans="1:4" x14ac:dyDescent="0.2">
      <c r="A4031" s="4"/>
      <c r="B4031"/>
      <c r="C4031"/>
      <c r="D4031"/>
    </row>
    <row r="4032" spans="1:4" x14ac:dyDescent="0.2">
      <c r="A4032" s="4"/>
      <c r="B4032"/>
      <c r="C4032"/>
      <c r="D4032"/>
    </row>
    <row r="4033" spans="1:4" x14ac:dyDescent="0.2">
      <c r="A4033" s="4"/>
      <c r="B4033"/>
      <c r="C4033"/>
      <c r="D4033"/>
    </row>
    <row r="4034" spans="1:4" x14ac:dyDescent="0.2">
      <c r="A4034" s="4"/>
      <c r="B4034"/>
      <c r="C4034"/>
      <c r="D4034"/>
    </row>
    <row r="4035" spans="1:4" x14ac:dyDescent="0.2">
      <c r="A4035" s="4"/>
      <c r="B4035"/>
      <c r="C4035"/>
      <c r="D4035"/>
    </row>
    <row r="4036" spans="1:4" x14ac:dyDescent="0.2">
      <c r="A4036" s="4"/>
      <c r="B4036"/>
      <c r="C4036"/>
      <c r="D4036"/>
    </row>
    <row r="4037" spans="1:4" x14ac:dyDescent="0.2">
      <c r="A4037" s="4"/>
      <c r="B4037"/>
      <c r="C4037"/>
      <c r="D4037"/>
    </row>
    <row r="4038" spans="1:4" x14ac:dyDescent="0.2">
      <c r="A4038" s="4"/>
      <c r="B4038"/>
      <c r="C4038"/>
      <c r="D4038"/>
    </row>
    <row r="4039" spans="1:4" x14ac:dyDescent="0.2">
      <c r="A4039" s="4"/>
      <c r="B4039"/>
      <c r="C4039"/>
      <c r="D4039"/>
    </row>
    <row r="4040" spans="1:4" x14ac:dyDescent="0.2">
      <c r="A4040" s="4"/>
      <c r="B4040"/>
      <c r="C4040"/>
      <c r="D4040"/>
    </row>
    <row r="4041" spans="1:4" x14ac:dyDescent="0.2">
      <c r="A4041" s="4"/>
      <c r="B4041"/>
      <c r="C4041"/>
      <c r="D4041"/>
    </row>
    <row r="4042" spans="1:4" x14ac:dyDescent="0.2">
      <c r="A4042" s="4"/>
      <c r="B4042"/>
      <c r="C4042"/>
      <c r="D4042"/>
    </row>
    <row r="4043" spans="1:4" x14ac:dyDescent="0.2">
      <c r="A4043" s="4"/>
      <c r="B4043"/>
      <c r="C4043"/>
      <c r="D4043"/>
    </row>
    <row r="4044" spans="1:4" x14ac:dyDescent="0.2">
      <c r="A4044" s="4"/>
      <c r="B4044"/>
      <c r="C4044"/>
      <c r="D4044"/>
    </row>
    <row r="4045" spans="1:4" x14ac:dyDescent="0.2">
      <c r="A4045" s="4"/>
      <c r="B4045"/>
      <c r="C4045"/>
      <c r="D4045"/>
    </row>
    <row r="4046" spans="1:4" x14ac:dyDescent="0.2">
      <c r="A4046" s="4"/>
      <c r="B4046"/>
      <c r="C4046"/>
      <c r="D4046"/>
    </row>
    <row r="4047" spans="1:4" x14ac:dyDescent="0.2">
      <c r="A4047" s="4"/>
      <c r="B4047"/>
      <c r="C4047"/>
      <c r="D4047"/>
    </row>
    <row r="4048" spans="1:4" x14ac:dyDescent="0.2">
      <c r="A4048" s="4"/>
      <c r="B4048"/>
      <c r="C4048"/>
      <c r="D4048"/>
    </row>
    <row r="4049" spans="1:4" x14ac:dyDescent="0.2">
      <c r="A4049" s="4"/>
      <c r="B4049"/>
      <c r="C4049"/>
      <c r="D4049"/>
    </row>
    <row r="4050" spans="1:4" x14ac:dyDescent="0.2">
      <c r="A4050" s="4"/>
      <c r="B4050"/>
      <c r="C4050"/>
      <c r="D4050"/>
    </row>
    <row r="4051" spans="1:4" x14ac:dyDescent="0.2">
      <c r="A4051" s="4"/>
      <c r="B4051"/>
      <c r="C4051"/>
      <c r="D4051"/>
    </row>
    <row r="4052" spans="1:4" x14ac:dyDescent="0.2">
      <c r="A4052" s="4"/>
      <c r="B4052"/>
      <c r="C4052"/>
      <c r="D4052"/>
    </row>
    <row r="4053" spans="1:4" x14ac:dyDescent="0.2">
      <c r="A4053" s="4"/>
      <c r="B4053"/>
      <c r="C4053"/>
      <c r="D4053"/>
    </row>
    <row r="4054" spans="1:4" x14ac:dyDescent="0.2">
      <c r="A4054" s="4"/>
      <c r="B4054"/>
      <c r="C4054"/>
      <c r="D4054"/>
    </row>
    <row r="4055" spans="1:4" x14ac:dyDescent="0.2">
      <c r="A4055" s="4"/>
      <c r="B4055"/>
      <c r="C4055"/>
      <c r="D4055"/>
    </row>
    <row r="4056" spans="1:4" x14ac:dyDescent="0.2">
      <c r="A4056" s="4"/>
      <c r="B4056"/>
      <c r="C4056"/>
      <c r="D4056"/>
    </row>
    <row r="4057" spans="1:4" x14ac:dyDescent="0.2">
      <c r="A4057" s="4"/>
      <c r="B4057"/>
      <c r="C4057"/>
      <c r="D4057"/>
    </row>
    <row r="4058" spans="1:4" x14ac:dyDescent="0.2">
      <c r="A4058" s="4"/>
      <c r="B4058"/>
      <c r="C4058"/>
      <c r="D4058"/>
    </row>
    <row r="4059" spans="1:4" x14ac:dyDescent="0.2">
      <c r="A4059" s="4"/>
      <c r="B4059"/>
      <c r="C4059"/>
      <c r="D4059"/>
    </row>
    <row r="4060" spans="1:4" x14ac:dyDescent="0.2">
      <c r="A4060" s="4"/>
      <c r="B4060"/>
      <c r="C4060"/>
      <c r="D4060"/>
    </row>
    <row r="4061" spans="1:4" x14ac:dyDescent="0.2">
      <c r="A4061" s="4"/>
      <c r="B4061"/>
      <c r="C4061"/>
      <c r="D4061"/>
    </row>
    <row r="4062" spans="1:4" x14ac:dyDescent="0.2">
      <c r="A4062" s="4"/>
      <c r="B4062"/>
      <c r="C4062"/>
      <c r="D4062"/>
    </row>
    <row r="4063" spans="1:4" x14ac:dyDescent="0.2">
      <c r="A4063" s="4"/>
      <c r="B4063"/>
      <c r="C4063"/>
      <c r="D4063"/>
    </row>
    <row r="4064" spans="1:4" x14ac:dyDescent="0.2">
      <c r="A4064" s="4"/>
      <c r="B4064"/>
      <c r="C4064"/>
      <c r="D4064"/>
    </row>
    <row r="4065" spans="1:4" x14ac:dyDescent="0.2">
      <c r="A4065" s="4"/>
      <c r="B4065"/>
      <c r="C4065"/>
      <c r="D4065"/>
    </row>
    <row r="4066" spans="1:4" x14ac:dyDescent="0.2">
      <c r="A4066" s="4"/>
      <c r="B4066"/>
      <c r="C4066"/>
      <c r="D4066"/>
    </row>
    <row r="4067" spans="1:4" x14ac:dyDescent="0.2">
      <c r="A4067" s="4"/>
      <c r="B4067"/>
      <c r="C4067"/>
      <c r="D4067"/>
    </row>
    <row r="4068" spans="1:4" x14ac:dyDescent="0.2">
      <c r="A4068" s="4"/>
      <c r="B4068"/>
      <c r="C4068"/>
      <c r="D4068"/>
    </row>
    <row r="4069" spans="1:4" x14ac:dyDescent="0.2">
      <c r="A4069" s="4"/>
      <c r="B4069"/>
      <c r="C4069"/>
      <c r="D4069"/>
    </row>
    <row r="4070" spans="1:4" x14ac:dyDescent="0.2">
      <c r="A4070" s="4"/>
      <c r="B4070"/>
      <c r="C4070"/>
      <c r="D4070"/>
    </row>
    <row r="4071" spans="1:4" x14ac:dyDescent="0.2">
      <c r="A4071" s="4"/>
      <c r="B4071"/>
      <c r="C4071"/>
      <c r="D4071"/>
    </row>
    <row r="4072" spans="1:4" x14ac:dyDescent="0.2">
      <c r="A4072" s="4"/>
      <c r="B4072"/>
      <c r="C4072"/>
      <c r="D4072"/>
    </row>
    <row r="4073" spans="1:4" x14ac:dyDescent="0.2">
      <c r="A4073" s="4"/>
      <c r="B4073"/>
      <c r="C4073"/>
      <c r="D4073"/>
    </row>
    <row r="4074" spans="1:4" x14ac:dyDescent="0.2">
      <c r="A4074" s="4"/>
      <c r="B4074"/>
      <c r="C4074"/>
      <c r="D4074"/>
    </row>
    <row r="4075" spans="1:4" x14ac:dyDescent="0.2">
      <c r="A4075" s="4"/>
      <c r="B4075"/>
      <c r="C4075"/>
      <c r="D4075"/>
    </row>
    <row r="4076" spans="1:4" x14ac:dyDescent="0.2">
      <c r="A4076" s="4"/>
      <c r="B4076"/>
      <c r="C4076"/>
      <c r="D4076"/>
    </row>
    <row r="4077" spans="1:4" x14ac:dyDescent="0.2">
      <c r="A4077" s="4"/>
      <c r="B4077"/>
      <c r="C4077"/>
      <c r="D4077"/>
    </row>
    <row r="4078" spans="1:4" x14ac:dyDescent="0.2">
      <c r="A4078" s="4"/>
      <c r="B4078"/>
      <c r="C4078"/>
      <c r="D4078"/>
    </row>
    <row r="4079" spans="1:4" x14ac:dyDescent="0.2">
      <c r="A4079" s="4"/>
      <c r="B4079"/>
      <c r="C4079"/>
      <c r="D4079"/>
    </row>
    <row r="4080" spans="1:4" x14ac:dyDescent="0.2">
      <c r="A4080" s="4"/>
      <c r="B4080"/>
      <c r="C4080"/>
      <c r="D4080"/>
    </row>
    <row r="4081" spans="1:4" x14ac:dyDescent="0.2">
      <c r="A4081" s="4"/>
      <c r="B4081"/>
      <c r="C4081"/>
      <c r="D4081"/>
    </row>
    <row r="4082" spans="1:4" x14ac:dyDescent="0.2">
      <c r="A4082" s="4"/>
      <c r="B4082"/>
      <c r="C4082"/>
      <c r="D4082"/>
    </row>
    <row r="4083" spans="1:4" x14ac:dyDescent="0.2">
      <c r="A4083" s="4"/>
      <c r="B4083"/>
      <c r="C4083"/>
      <c r="D4083"/>
    </row>
    <row r="4084" spans="1:4" x14ac:dyDescent="0.2">
      <c r="A4084" s="4"/>
      <c r="B4084"/>
      <c r="C4084"/>
      <c r="D4084"/>
    </row>
    <row r="4085" spans="1:4" x14ac:dyDescent="0.2">
      <c r="A4085" s="4"/>
      <c r="B4085"/>
      <c r="C4085"/>
      <c r="D4085"/>
    </row>
    <row r="4086" spans="1:4" x14ac:dyDescent="0.2">
      <c r="A4086" s="4"/>
      <c r="B4086"/>
      <c r="C4086"/>
      <c r="D4086"/>
    </row>
    <row r="4087" spans="1:4" x14ac:dyDescent="0.2">
      <c r="A4087" s="4"/>
      <c r="B4087"/>
      <c r="C4087"/>
      <c r="D4087"/>
    </row>
    <row r="4088" spans="1:4" x14ac:dyDescent="0.2">
      <c r="A4088" s="4"/>
      <c r="B4088"/>
      <c r="C4088"/>
      <c r="D4088"/>
    </row>
    <row r="4089" spans="1:4" x14ac:dyDescent="0.2">
      <c r="A4089" s="4"/>
      <c r="B4089"/>
      <c r="C4089"/>
      <c r="D4089"/>
    </row>
    <row r="4090" spans="1:4" x14ac:dyDescent="0.2">
      <c r="A4090" s="4"/>
      <c r="B4090"/>
      <c r="C4090"/>
      <c r="D4090"/>
    </row>
    <row r="4091" spans="1:4" x14ac:dyDescent="0.2">
      <c r="A4091" s="4"/>
      <c r="B4091"/>
      <c r="C4091"/>
      <c r="D4091"/>
    </row>
    <row r="4092" spans="1:4" x14ac:dyDescent="0.2">
      <c r="A4092" s="4"/>
      <c r="B4092"/>
      <c r="C4092"/>
      <c r="D4092"/>
    </row>
    <row r="4093" spans="1:4" x14ac:dyDescent="0.2">
      <c r="A4093" s="4"/>
      <c r="B4093"/>
      <c r="C4093"/>
      <c r="D4093"/>
    </row>
    <row r="4094" spans="1:4" x14ac:dyDescent="0.2">
      <c r="A4094" s="4"/>
      <c r="B4094"/>
      <c r="C4094"/>
      <c r="D4094"/>
    </row>
    <row r="4095" spans="1:4" x14ac:dyDescent="0.2">
      <c r="A4095" s="4"/>
      <c r="B4095"/>
      <c r="C4095"/>
      <c r="D4095"/>
    </row>
    <row r="4096" spans="1:4" x14ac:dyDescent="0.2">
      <c r="A4096" s="4"/>
      <c r="B4096"/>
      <c r="C4096"/>
      <c r="D4096"/>
    </row>
    <row r="4097" spans="1:4" x14ac:dyDescent="0.2">
      <c r="A4097" s="4"/>
      <c r="B4097"/>
      <c r="C4097"/>
      <c r="D4097"/>
    </row>
    <row r="4098" spans="1:4" x14ac:dyDescent="0.2">
      <c r="A4098" s="4"/>
      <c r="B4098"/>
      <c r="C4098"/>
      <c r="D4098"/>
    </row>
    <row r="4099" spans="1:4" x14ac:dyDescent="0.2">
      <c r="A4099" s="4"/>
      <c r="B4099"/>
      <c r="C4099"/>
      <c r="D4099"/>
    </row>
    <row r="4100" spans="1:4" x14ac:dyDescent="0.2">
      <c r="A4100" s="4"/>
      <c r="B4100"/>
      <c r="C4100"/>
      <c r="D4100"/>
    </row>
    <row r="4101" spans="1:4" x14ac:dyDescent="0.2">
      <c r="A4101" s="4"/>
      <c r="B4101"/>
      <c r="C4101"/>
      <c r="D4101"/>
    </row>
    <row r="4102" spans="1:4" x14ac:dyDescent="0.2">
      <c r="A4102" s="4"/>
      <c r="B4102"/>
      <c r="C4102"/>
      <c r="D4102"/>
    </row>
    <row r="4103" spans="1:4" x14ac:dyDescent="0.2">
      <c r="A4103" s="4"/>
      <c r="B4103"/>
      <c r="C4103"/>
      <c r="D4103"/>
    </row>
    <row r="4104" spans="1:4" x14ac:dyDescent="0.2">
      <c r="A4104" s="4"/>
      <c r="B4104"/>
      <c r="C4104"/>
      <c r="D4104"/>
    </row>
    <row r="4105" spans="1:4" x14ac:dyDescent="0.2">
      <c r="A4105" s="4"/>
      <c r="B4105"/>
      <c r="C4105"/>
      <c r="D4105"/>
    </row>
    <row r="4106" spans="1:4" x14ac:dyDescent="0.2">
      <c r="A4106" s="4"/>
      <c r="B4106"/>
      <c r="C4106"/>
      <c r="D4106"/>
    </row>
    <row r="4107" spans="1:4" x14ac:dyDescent="0.2">
      <c r="A4107" s="4"/>
      <c r="B4107"/>
      <c r="C4107"/>
      <c r="D4107"/>
    </row>
    <row r="4108" spans="1:4" x14ac:dyDescent="0.2">
      <c r="A4108" s="4"/>
      <c r="B4108"/>
      <c r="C4108"/>
      <c r="D4108"/>
    </row>
    <row r="4109" spans="1:4" x14ac:dyDescent="0.2">
      <c r="A4109" s="4"/>
      <c r="B4109"/>
      <c r="C4109"/>
      <c r="D4109"/>
    </row>
    <row r="4110" spans="1:4" x14ac:dyDescent="0.2">
      <c r="A4110" s="4"/>
      <c r="B4110"/>
      <c r="C4110"/>
      <c r="D4110"/>
    </row>
    <row r="4111" spans="1:4" x14ac:dyDescent="0.2">
      <c r="A4111" s="4"/>
      <c r="B4111"/>
      <c r="C4111"/>
      <c r="D4111"/>
    </row>
    <row r="4112" spans="1:4" x14ac:dyDescent="0.2">
      <c r="A4112" s="4"/>
      <c r="B4112"/>
      <c r="C4112"/>
      <c r="D4112"/>
    </row>
    <row r="4113" spans="1:4" x14ac:dyDescent="0.2">
      <c r="A4113" s="4"/>
      <c r="B4113"/>
      <c r="C4113"/>
      <c r="D4113"/>
    </row>
    <row r="4114" spans="1:4" x14ac:dyDescent="0.2">
      <c r="A4114" s="4"/>
      <c r="B4114"/>
      <c r="C4114"/>
      <c r="D4114"/>
    </row>
    <row r="4115" spans="1:4" x14ac:dyDescent="0.2">
      <c r="A4115" s="4"/>
      <c r="B4115"/>
      <c r="C4115"/>
      <c r="D4115"/>
    </row>
    <row r="4116" spans="1:4" x14ac:dyDescent="0.2">
      <c r="A4116" s="4"/>
      <c r="B4116"/>
      <c r="C4116"/>
      <c r="D4116"/>
    </row>
    <row r="4117" spans="1:4" x14ac:dyDescent="0.2">
      <c r="A4117" s="4"/>
      <c r="B4117"/>
      <c r="C4117"/>
      <c r="D4117"/>
    </row>
    <row r="4118" spans="1:4" x14ac:dyDescent="0.2">
      <c r="A4118" s="4"/>
      <c r="B4118"/>
      <c r="C4118"/>
      <c r="D4118"/>
    </row>
    <row r="4119" spans="1:4" x14ac:dyDescent="0.2">
      <c r="A4119" s="4"/>
      <c r="B4119"/>
      <c r="C4119"/>
      <c r="D4119"/>
    </row>
    <row r="4120" spans="1:4" x14ac:dyDescent="0.2">
      <c r="A4120" s="4"/>
      <c r="B4120"/>
      <c r="C4120"/>
      <c r="D4120"/>
    </row>
    <row r="4121" spans="1:4" x14ac:dyDescent="0.2">
      <c r="A4121" s="4"/>
      <c r="B4121"/>
      <c r="C4121"/>
      <c r="D4121"/>
    </row>
    <row r="4122" spans="1:4" x14ac:dyDescent="0.2">
      <c r="A4122" s="4"/>
      <c r="B4122"/>
      <c r="C4122"/>
      <c r="D4122"/>
    </row>
    <row r="4123" spans="1:4" x14ac:dyDescent="0.2">
      <c r="A4123" s="4"/>
      <c r="B4123"/>
      <c r="C4123"/>
      <c r="D4123"/>
    </row>
    <row r="4124" spans="1:4" x14ac:dyDescent="0.2">
      <c r="A4124" s="4"/>
      <c r="B4124"/>
      <c r="C4124"/>
      <c r="D4124"/>
    </row>
    <row r="4125" spans="1:4" x14ac:dyDescent="0.2">
      <c r="A4125" s="4"/>
      <c r="B4125"/>
      <c r="C4125"/>
      <c r="D4125"/>
    </row>
    <row r="4126" spans="1:4" x14ac:dyDescent="0.2">
      <c r="A4126" s="4"/>
      <c r="B4126"/>
      <c r="C4126"/>
      <c r="D4126"/>
    </row>
    <row r="4127" spans="1:4" x14ac:dyDescent="0.2">
      <c r="A4127" s="4"/>
      <c r="B4127"/>
      <c r="C4127"/>
      <c r="D4127"/>
    </row>
    <row r="4128" spans="1:4" x14ac:dyDescent="0.2">
      <c r="A4128" s="4"/>
      <c r="B4128"/>
      <c r="C4128"/>
      <c r="D4128"/>
    </row>
    <row r="4129" spans="1:4" x14ac:dyDescent="0.2">
      <c r="A4129" s="4"/>
      <c r="B4129"/>
      <c r="C4129"/>
      <c r="D4129"/>
    </row>
    <row r="4130" spans="1:4" x14ac:dyDescent="0.2">
      <c r="A4130" s="4"/>
      <c r="B4130"/>
      <c r="C4130"/>
      <c r="D4130"/>
    </row>
    <row r="4131" spans="1:4" x14ac:dyDescent="0.2">
      <c r="A4131" s="4"/>
      <c r="B4131"/>
      <c r="C4131"/>
      <c r="D4131"/>
    </row>
    <row r="4132" spans="1:4" x14ac:dyDescent="0.2">
      <c r="A4132" s="4"/>
      <c r="B4132"/>
      <c r="C4132"/>
      <c r="D4132"/>
    </row>
    <row r="4133" spans="1:4" x14ac:dyDescent="0.2">
      <c r="A4133" s="4"/>
      <c r="B4133"/>
      <c r="C4133"/>
      <c r="D4133"/>
    </row>
    <row r="4134" spans="1:4" x14ac:dyDescent="0.2">
      <c r="A4134" s="4"/>
      <c r="B4134"/>
      <c r="C4134"/>
      <c r="D4134"/>
    </row>
    <row r="4135" spans="1:4" x14ac:dyDescent="0.2">
      <c r="A4135" s="4"/>
      <c r="B4135"/>
      <c r="C4135"/>
      <c r="D4135"/>
    </row>
    <row r="4136" spans="1:4" x14ac:dyDescent="0.2">
      <c r="A4136" s="4"/>
      <c r="B4136"/>
      <c r="C4136"/>
      <c r="D4136"/>
    </row>
    <row r="4137" spans="1:4" x14ac:dyDescent="0.2">
      <c r="A4137" s="4"/>
      <c r="B4137"/>
      <c r="C4137"/>
      <c r="D4137"/>
    </row>
    <row r="4138" spans="1:4" x14ac:dyDescent="0.2">
      <c r="A4138" s="4"/>
      <c r="B4138"/>
      <c r="C4138"/>
      <c r="D4138"/>
    </row>
    <row r="4139" spans="1:4" x14ac:dyDescent="0.2">
      <c r="A4139" s="4"/>
      <c r="B4139"/>
      <c r="C4139"/>
      <c r="D4139"/>
    </row>
    <row r="4140" spans="1:4" x14ac:dyDescent="0.2">
      <c r="A4140" s="4"/>
      <c r="B4140"/>
      <c r="C4140"/>
      <c r="D4140"/>
    </row>
    <row r="4141" spans="1:4" x14ac:dyDescent="0.2">
      <c r="A4141" s="4"/>
      <c r="B4141"/>
      <c r="C4141"/>
      <c r="D4141"/>
    </row>
    <row r="4142" spans="1:4" x14ac:dyDescent="0.2">
      <c r="A4142" s="4"/>
      <c r="B4142"/>
      <c r="C4142"/>
      <c r="D4142"/>
    </row>
    <row r="4143" spans="1:4" x14ac:dyDescent="0.2">
      <c r="A4143" s="4"/>
      <c r="B4143"/>
      <c r="C4143"/>
      <c r="D4143"/>
    </row>
    <row r="4144" spans="1:4" x14ac:dyDescent="0.2">
      <c r="A4144" s="4"/>
      <c r="B4144"/>
      <c r="C4144"/>
      <c r="D4144"/>
    </row>
    <row r="4145" spans="1:4" x14ac:dyDescent="0.2">
      <c r="A4145" s="4"/>
      <c r="B4145"/>
      <c r="C4145"/>
      <c r="D4145"/>
    </row>
    <row r="4146" spans="1:4" x14ac:dyDescent="0.2">
      <c r="A4146" s="4"/>
      <c r="B4146"/>
      <c r="C4146"/>
      <c r="D4146"/>
    </row>
    <row r="4147" spans="1:4" x14ac:dyDescent="0.2">
      <c r="A4147" s="4"/>
      <c r="B4147"/>
      <c r="C4147"/>
      <c r="D4147"/>
    </row>
    <row r="4148" spans="1:4" x14ac:dyDescent="0.2">
      <c r="A4148" s="4"/>
      <c r="B4148"/>
      <c r="C4148"/>
      <c r="D4148"/>
    </row>
    <row r="4149" spans="1:4" x14ac:dyDescent="0.2">
      <c r="A4149" s="4"/>
      <c r="B4149"/>
      <c r="C4149"/>
      <c r="D4149"/>
    </row>
    <row r="4150" spans="1:4" x14ac:dyDescent="0.2">
      <c r="A4150" s="4"/>
      <c r="B4150"/>
      <c r="C4150"/>
      <c r="D4150"/>
    </row>
    <row r="4151" spans="1:4" x14ac:dyDescent="0.2">
      <c r="A4151" s="4"/>
      <c r="B4151"/>
      <c r="C4151"/>
      <c r="D4151"/>
    </row>
    <row r="4152" spans="1:4" x14ac:dyDescent="0.2">
      <c r="A4152" s="4"/>
      <c r="B4152"/>
      <c r="C4152"/>
      <c r="D4152"/>
    </row>
    <row r="4153" spans="1:4" x14ac:dyDescent="0.2">
      <c r="A4153" s="4"/>
      <c r="B4153"/>
      <c r="C4153"/>
      <c r="D4153"/>
    </row>
    <row r="4154" spans="1:4" x14ac:dyDescent="0.2">
      <c r="A4154" s="4"/>
      <c r="B4154"/>
      <c r="C4154"/>
      <c r="D4154"/>
    </row>
    <row r="4155" spans="1:4" x14ac:dyDescent="0.2">
      <c r="A4155" s="4"/>
      <c r="B4155"/>
      <c r="C4155"/>
      <c r="D4155"/>
    </row>
    <row r="4156" spans="1:4" x14ac:dyDescent="0.2">
      <c r="A4156" s="4"/>
      <c r="B4156"/>
      <c r="C4156"/>
      <c r="D4156"/>
    </row>
    <row r="4157" spans="1:4" x14ac:dyDescent="0.2">
      <c r="A4157" s="4"/>
      <c r="B4157"/>
      <c r="C4157"/>
      <c r="D4157"/>
    </row>
    <row r="4158" spans="1:4" x14ac:dyDescent="0.2">
      <c r="A4158" s="4"/>
      <c r="B4158"/>
      <c r="C4158"/>
      <c r="D4158"/>
    </row>
    <row r="4159" spans="1:4" x14ac:dyDescent="0.2">
      <c r="A4159" s="4"/>
      <c r="B4159"/>
      <c r="C4159"/>
      <c r="D4159"/>
    </row>
    <row r="4160" spans="1:4" x14ac:dyDescent="0.2">
      <c r="A4160" s="4"/>
      <c r="B4160"/>
      <c r="C4160"/>
      <c r="D4160"/>
    </row>
    <row r="4161" spans="1:4" x14ac:dyDescent="0.2">
      <c r="A4161" s="4"/>
      <c r="B4161"/>
      <c r="C4161"/>
      <c r="D4161"/>
    </row>
    <row r="4162" spans="1:4" x14ac:dyDescent="0.2">
      <c r="A4162" s="4"/>
      <c r="B4162"/>
      <c r="C4162"/>
      <c r="D4162"/>
    </row>
    <row r="4163" spans="1:4" x14ac:dyDescent="0.2">
      <c r="A4163" s="4"/>
      <c r="B4163"/>
      <c r="C4163"/>
      <c r="D4163"/>
    </row>
    <row r="4164" spans="1:4" x14ac:dyDescent="0.2">
      <c r="A4164" s="4"/>
      <c r="B4164"/>
      <c r="C4164"/>
      <c r="D4164"/>
    </row>
    <row r="4165" spans="1:4" x14ac:dyDescent="0.2">
      <c r="A4165" s="4"/>
      <c r="B4165"/>
      <c r="C4165"/>
      <c r="D4165"/>
    </row>
    <row r="4166" spans="1:4" x14ac:dyDescent="0.2">
      <c r="A4166" s="4"/>
      <c r="B4166"/>
      <c r="C4166"/>
      <c r="D4166"/>
    </row>
    <row r="4167" spans="1:4" x14ac:dyDescent="0.2">
      <c r="A4167" s="4"/>
      <c r="B4167"/>
      <c r="C4167"/>
      <c r="D4167"/>
    </row>
    <row r="4168" spans="1:4" x14ac:dyDescent="0.2">
      <c r="A4168" s="4"/>
      <c r="B4168"/>
      <c r="C4168"/>
      <c r="D4168"/>
    </row>
    <row r="4169" spans="1:4" x14ac:dyDescent="0.2">
      <c r="A4169" s="4"/>
      <c r="B4169"/>
      <c r="C4169"/>
      <c r="D4169"/>
    </row>
    <row r="4170" spans="1:4" x14ac:dyDescent="0.2">
      <c r="A4170" s="4"/>
      <c r="B4170"/>
      <c r="C4170"/>
      <c r="D4170"/>
    </row>
    <row r="4171" spans="1:4" x14ac:dyDescent="0.2">
      <c r="A4171" s="4"/>
      <c r="B4171"/>
      <c r="C4171"/>
      <c r="D4171"/>
    </row>
    <row r="4172" spans="1:4" x14ac:dyDescent="0.2">
      <c r="A4172" s="4"/>
      <c r="B4172"/>
      <c r="C4172"/>
      <c r="D4172"/>
    </row>
    <row r="4173" spans="1:4" x14ac:dyDescent="0.2">
      <c r="A4173" s="4"/>
      <c r="B4173"/>
      <c r="C4173"/>
      <c r="D4173"/>
    </row>
    <row r="4174" spans="1:4" x14ac:dyDescent="0.2">
      <c r="A4174" s="4"/>
      <c r="B4174"/>
      <c r="C4174"/>
      <c r="D4174"/>
    </row>
    <row r="4175" spans="1:4" x14ac:dyDescent="0.2">
      <c r="A4175" s="4"/>
      <c r="B4175"/>
      <c r="C4175"/>
      <c r="D4175"/>
    </row>
    <row r="4176" spans="1:4" x14ac:dyDescent="0.2">
      <c r="A4176" s="4"/>
      <c r="B4176"/>
      <c r="C4176"/>
      <c r="D4176"/>
    </row>
    <row r="4177" spans="1:4" x14ac:dyDescent="0.2">
      <c r="A4177" s="4"/>
      <c r="B4177"/>
      <c r="C4177"/>
      <c r="D4177"/>
    </row>
    <row r="4178" spans="1:4" x14ac:dyDescent="0.2">
      <c r="A4178" s="4"/>
      <c r="B4178"/>
      <c r="C4178"/>
      <c r="D4178"/>
    </row>
    <row r="4179" spans="1:4" x14ac:dyDescent="0.2">
      <c r="A4179" s="4"/>
      <c r="B4179"/>
      <c r="C4179"/>
      <c r="D4179"/>
    </row>
    <row r="4180" spans="1:4" x14ac:dyDescent="0.2">
      <c r="A4180" s="4"/>
      <c r="B4180"/>
      <c r="C4180"/>
      <c r="D4180"/>
    </row>
    <row r="4181" spans="1:4" x14ac:dyDescent="0.2">
      <c r="A4181" s="4"/>
      <c r="B4181"/>
      <c r="C4181"/>
      <c r="D4181"/>
    </row>
    <row r="4182" spans="1:4" x14ac:dyDescent="0.2">
      <c r="A4182" s="4"/>
      <c r="B4182"/>
      <c r="C4182"/>
      <c r="D4182"/>
    </row>
    <row r="4183" spans="1:4" x14ac:dyDescent="0.2">
      <c r="A4183" s="4"/>
      <c r="B4183"/>
      <c r="C4183"/>
      <c r="D4183"/>
    </row>
    <row r="4184" spans="1:4" x14ac:dyDescent="0.2">
      <c r="A4184" s="4"/>
      <c r="B4184"/>
      <c r="C4184"/>
      <c r="D4184"/>
    </row>
    <row r="4185" spans="1:4" x14ac:dyDescent="0.2">
      <c r="A4185" s="4"/>
      <c r="B4185"/>
      <c r="C4185"/>
      <c r="D4185"/>
    </row>
    <row r="4186" spans="1:4" x14ac:dyDescent="0.2">
      <c r="A4186" s="4"/>
      <c r="B4186"/>
      <c r="C4186"/>
      <c r="D4186"/>
    </row>
    <row r="4187" spans="1:4" x14ac:dyDescent="0.2">
      <c r="A4187" s="4"/>
      <c r="B4187"/>
      <c r="C4187"/>
      <c r="D4187"/>
    </row>
    <row r="4188" spans="1:4" x14ac:dyDescent="0.2">
      <c r="A4188" s="4"/>
      <c r="B4188"/>
      <c r="C4188"/>
      <c r="D4188"/>
    </row>
    <row r="4189" spans="1:4" x14ac:dyDescent="0.2">
      <c r="A4189" s="4"/>
      <c r="B4189"/>
      <c r="C4189"/>
      <c r="D4189"/>
    </row>
    <row r="4190" spans="1:4" x14ac:dyDescent="0.2">
      <c r="A4190" s="4"/>
      <c r="B4190"/>
      <c r="C4190"/>
      <c r="D4190"/>
    </row>
    <row r="4191" spans="1:4" x14ac:dyDescent="0.2">
      <c r="A4191" s="4"/>
      <c r="B4191"/>
      <c r="C4191"/>
      <c r="D4191"/>
    </row>
    <row r="4192" spans="1:4" x14ac:dyDescent="0.2">
      <c r="A4192" s="4"/>
      <c r="B4192"/>
      <c r="C4192"/>
      <c r="D4192"/>
    </row>
    <row r="4193" spans="1:4" x14ac:dyDescent="0.2">
      <c r="A4193" s="4"/>
      <c r="B4193"/>
      <c r="C4193"/>
      <c r="D4193"/>
    </row>
    <row r="4194" spans="1:4" x14ac:dyDescent="0.2">
      <c r="A4194" s="4"/>
      <c r="B4194"/>
      <c r="C4194"/>
      <c r="D4194"/>
    </row>
    <row r="4195" spans="1:4" x14ac:dyDescent="0.2">
      <c r="A4195" s="4"/>
      <c r="B4195"/>
      <c r="C4195"/>
      <c r="D4195"/>
    </row>
    <row r="4196" spans="1:4" x14ac:dyDescent="0.2">
      <c r="A4196" s="4"/>
      <c r="B4196"/>
      <c r="C4196"/>
      <c r="D4196"/>
    </row>
    <row r="4197" spans="1:4" x14ac:dyDescent="0.2">
      <c r="A4197" s="4"/>
      <c r="B4197"/>
      <c r="C4197"/>
      <c r="D4197"/>
    </row>
    <row r="4198" spans="1:4" x14ac:dyDescent="0.2">
      <c r="A4198" s="4"/>
      <c r="B4198"/>
      <c r="C4198"/>
      <c r="D4198"/>
    </row>
    <row r="4199" spans="1:4" x14ac:dyDescent="0.2">
      <c r="A4199" s="4"/>
      <c r="B4199"/>
      <c r="C4199"/>
      <c r="D4199"/>
    </row>
    <row r="4200" spans="1:4" x14ac:dyDescent="0.2">
      <c r="A4200" s="4"/>
      <c r="B4200"/>
      <c r="C4200"/>
      <c r="D4200"/>
    </row>
    <row r="4201" spans="1:4" x14ac:dyDescent="0.2">
      <c r="A4201" s="4"/>
      <c r="B4201"/>
      <c r="C4201"/>
      <c r="D4201"/>
    </row>
    <row r="4202" spans="1:4" x14ac:dyDescent="0.2">
      <c r="A4202" s="4"/>
      <c r="B4202"/>
      <c r="C4202"/>
      <c r="D4202"/>
    </row>
    <row r="4203" spans="1:4" x14ac:dyDescent="0.2">
      <c r="A4203" s="4"/>
      <c r="B4203"/>
      <c r="C4203"/>
      <c r="D4203"/>
    </row>
    <row r="4204" spans="1:4" x14ac:dyDescent="0.2">
      <c r="A4204" s="4"/>
      <c r="B4204"/>
      <c r="C4204"/>
      <c r="D4204"/>
    </row>
    <row r="4205" spans="1:4" x14ac:dyDescent="0.2">
      <c r="A4205" s="4"/>
      <c r="B4205"/>
      <c r="C4205"/>
      <c r="D4205"/>
    </row>
    <row r="4206" spans="1:4" x14ac:dyDescent="0.2">
      <c r="A4206" s="4"/>
      <c r="B4206"/>
      <c r="C4206"/>
      <c r="D4206"/>
    </row>
    <row r="4207" spans="1:4" x14ac:dyDescent="0.2">
      <c r="A4207" s="4"/>
      <c r="B4207"/>
      <c r="C4207"/>
      <c r="D4207"/>
    </row>
    <row r="4208" spans="1:4" x14ac:dyDescent="0.2">
      <c r="A4208" s="4"/>
      <c r="B4208"/>
      <c r="C4208"/>
      <c r="D4208"/>
    </row>
    <row r="4209" spans="1:4" x14ac:dyDescent="0.2">
      <c r="A4209" s="4"/>
      <c r="B4209"/>
      <c r="C4209"/>
      <c r="D4209"/>
    </row>
    <row r="4210" spans="1:4" x14ac:dyDescent="0.2">
      <c r="A4210" s="4"/>
      <c r="B4210"/>
      <c r="C4210"/>
      <c r="D4210"/>
    </row>
    <row r="4211" spans="1:4" x14ac:dyDescent="0.2">
      <c r="A4211" s="4"/>
      <c r="B4211"/>
      <c r="C4211"/>
      <c r="D4211"/>
    </row>
    <row r="4212" spans="1:4" x14ac:dyDescent="0.2">
      <c r="A4212" s="4"/>
      <c r="B4212"/>
      <c r="C4212"/>
      <c r="D4212"/>
    </row>
    <row r="4213" spans="1:4" x14ac:dyDescent="0.2">
      <c r="A4213" s="4"/>
      <c r="B4213"/>
      <c r="C4213"/>
      <c r="D4213"/>
    </row>
    <row r="4214" spans="1:4" x14ac:dyDescent="0.2">
      <c r="A4214" s="4"/>
      <c r="B4214"/>
      <c r="C4214"/>
      <c r="D4214"/>
    </row>
    <row r="4215" spans="1:4" x14ac:dyDescent="0.2">
      <c r="A4215" s="4"/>
      <c r="B4215"/>
      <c r="C4215"/>
      <c r="D4215"/>
    </row>
    <row r="4216" spans="1:4" x14ac:dyDescent="0.2">
      <c r="A4216" s="4"/>
      <c r="B4216"/>
      <c r="C4216"/>
      <c r="D4216"/>
    </row>
    <row r="4217" spans="1:4" x14ac:dyDescent="0.2">
      <c r="A4217" s="4"/>
      <c r="B4217"/>
      <c r="C4217"/>
      <c r="D4217"/>
    </row>
    <row r="4218" spans="1:4" x14ac:dyDescent="0.2">
      <c r="A4218" s="4"/>
      <c r="B4218"/>
      <c r="C4218"/>
      <c r="D4218"/>
    </row>
    <row r="4219" spans="1:4" x14ac:dyDescent="0.2">
      <c r="A4219" s="4"/>
      <c r="B4219"/>
      <c r="C4219"/>
      <c r="D4219"/>
    </row>
    <row r="4220" spans="1:4" x14ac:dyDescent="0.2">
      <c r="A4220" s="4"/>
      <c r="B4220"/>
      <c r="C4220"/>
      <c r="D4220"/>
    </row>
    <row r="4221" spans="1:4" x14ac:dyDescent="0.2">
      <c r="A4221" s="4"/>
      <c r="B4221"/>
      <c r="C4221"/>
      <c r="D4221"/>
    </row>
    <row r="4222" spans="1:4" x14ac:dyDescent="0.2">
      <c r="A4222" s="4"/>
      <c r="B4222"/>
      <c r="C4222"/>
      <c r="D4222"/>
    </row>
    <row r="4223" spans="1:4" x14ac:dyDescent="0.2">
      <c r="A4223" s="4"/>
      <c r="B4223"/>
      <c r="C4223"/>
      <c r="D4223"/>
    </row>
    <row r="4224" spans="1:4" x14ac:dyDescent="0.2">
      <c r="A4224" s="4"/>
      <c r="B4224"/>
      <c r="C4224"/>
      <c r="D4224"/>
    </row>
    <row r="4225" spans="1:4" x14ac:dyDescent="0.2">
      <c r="A4225" s="4"/>
      <c r="B4225"/>
      <c r="C4225"/>
      <c r="D4225"/>
    </row>
    <row r="4226" spans="1:4" x14ac:dyDescent="0.2">
      <c r="A4226" s="4"/>
      <c r="B4226"/>
      <c r="C4226"/>
      <c r="D4226"/>
    </row>
    <row r="4227" spans="1:4" x14ac:dyDescent="0.2">
      <c r="A4227" s="4"/>
      <c r="B4227"/>
      <c r="C4227"/>
      <c r="D4227"/>
    </row>
    <row r="4228" spans="1:4" x14ac:dyDescent="0.2">
      <c r="A4228" s="4"/>
      <c r="B4228"/>
      <c r="C4228"/>
      <c r="D4228"/>
    </row>
    <row r="4229" spans="1:4" x14ac:dyDescent="0.2">
      <c r="A4229" s="4"/>
      <c r="B4229"/>
      <c r="C4229"/>
      <c r="D4229"/>
    </row>
    <row r="4230" spans="1:4" x14ac:dyDescent="0.2">
      <c r="A4230" s="4"/>
      <c r="B4230"/>
      <c r="C4230"/>
      <c r="D4230"/>
    </row>
    <row r="4231" spans="1:4" x14ac:dyDescent="0.2">
      <c r="A4231" s="4"/>
      <c r="B4231"/>
      <c r="C4231"/>
      <c r="D4231"/>
    </row>
    <row r="4232" spans="1:4" x14ac:dyDescent="0.2">
      <c r="A4232" s="4"/>
      <c r="B4232"/>
      <c r="C4232"/>
      <c r="D4232"/>
    </row>
    <row r="4233" spans="1:4" x14ac:dyDescent="0.2">
      <c r="A4233" s="4"/>
      <c r="B4233"/>
      <c r="C4233"/>
      <c r="D4233"/>
    </row>
    <row r="4234" spans="1:4" x14ac:dyDescent="0.2">
      <c r="A4234" s="4"/>
      <c r="B4234"/>
      <c r="C4234"/>
      <c r="D4234"/>
    </row>
    <row r="4235" spans="1:4" x14ac:dyDescent="0.2">
      <c r="A4235" s="4"/>
      <c r="B4235"/>
      <c r="C4235"/>
      <c r="D4235"/>
    </row>
    <row r="4236" spans="1:4" x14ac:dyDescent="0.2">
      <c r="A4236" s="4"/>
      <c r="B4236"/>
      <c r="C4236"/>
      <c r="D4236"/>
    </row>
    <row r="4237" spans="1:4" x14ac:dyDescent="0.2">
      <c r="A4237" s="4"/>
      <c r="B4237"/>
      <c r="C4237"/>
      <c r="D4237"/>
    </row>
    <row r="4238" spans="1:4" x14ac:dyDescent="0.2">
      <c r="A4238" s="4"/>
      <c r="B4238"/>
      <c r="C4238"/>
      <c r="D4238"/>
    </row>
    <row r="4239" spans="1:4" x14ac:dyDescent="0.2">
      <c r="A4239" s="4"/>
      <c r="B4239"/>
      <c r="C4239"/>
      <c r="D4239"/>
    </row>
    <row r="4240" spans="1:4" x14ac:dyDescent="0.2">
      <c r="A4240" s="4"/>
      <c r="B4240"/>
      <c r="C4240"/>
      <c r="D4240"/>
    </row>
    <row r="4241" spans="1:4" x14ac:dyDescent="0.2">
      <c r="A4241" s="4"/>
      <c r="B4241"/>
      <c r="C4241"/>
      <c r="D4241"/>
    </row>
    <row r="4242" spans="1:4" x14ac:dyDescent="0.2">
      <c r="A4242" s="4"/>
      <c r="B4242"/>
      <c r="C4242"/>
      <c r="D4242"/>
    </row>
    <row r="4243" spans="1:4" x14ac:dyDescent="0.2">
      <c r="A4243" s="4"/>
      <c r="B4243"/>
      <c r="C4243"/>
      <c r="D4243"/>
    </row>
    <row r="4244" spans="1:4" x14ac:dyDescent="0.2">
      <c r="A4244" s="4"/>
      <c r="B4244"/>
      <c r="C4244"/>
      <c r="D4244"/>
    </row>
    <row r="4245" spans="1:4" x14ac:dyDescent="0.2">
      <c r="A4245" s="4"/>
      <c r="B4245"/>
      <c r="C4245"/>
      <c r="D4245"/>
    </row>
    <row r="4246" spans="1:4" x14ac:dyDescent="0.2">
      <c r="A4246" s="4"/>
      <c r="B4246"/>
      <c r="C4246"/>
      <c r="D4246"/>
    </row>
    <row r="4247" spans="1:4" x14ac:dyDescent="0.2">
      <c r="A4247" s="4"/>
      <c r="B4247"/>
      <c r="C4247"/>
      <c r="D4247"/>
    </row>
    <row r="4248" spans="1:4" x14ac:dyDescent="0.2">
      <c r="A4248" s="4"/>
      <c r="B4248"/>
      <c r="C4248"/>
      <c r="D4248"/>
    </row>
    <row r="4249" spans="1:4" x14ac:dyDescent="0.2">
      <c r="A4249" s="4"/>
      <c r="B4249"/>
      <c r="C4249"/>
      <c r="D4249"/>
    </row>
    <row r="4250" spans="1:4" x14ac:dyDescent="0.2">
      <c r="A4250" s="4"/>
      <c r="B4250"/>
      <c r="C4250"/>
      <c r="D4250"/>
    </row>
    <row r="4251" spans="1:4" x14ac:dyDescent="0.2">
      <c r="A4251" s="4"/>
      <c r="B4251"/>
      <c r="C4251"/>
      <c r="D4251"/>
    </row>
    <row r="4252" spans="1:4" x14ac:dyDescent="0.2">
      <c r="A4252" s="4"/>
      <c r="B4252"/>
      <c r="C4252"/>
      <c r="D4252"/>
    </row>
    <row r="4253" spans="1:4" x14ac:dyDescent="0.2">
      <c r="A4253" s="4"/>
      <c r="B4253"/>
      <c r="C4253"/>
      <c r="D4253"/>
    </row>
    <row r="4254" spans="1:4" x14ac:dyDescent="0.2">
      <c r="A4254" s="4"/>
      <c r="B4254"/>
      <c r="C4254"/>
      <c r="D4254"/>
    </row>
    <row r="4255" spans="1:4" x14ac:dyDescent="0.2">
      <c r="A4255" s="4"/>
      <c r="B4255"/>
      <c r="C4255"/>
      <c r="D4255"/>
    </row>
    <row r="4256" spans="1:4" x14ac:dyDescent="0.2">
      <c r="A4256" s="4"/>
      <c r="B4256"/>
      <c r="C4256"/>
      <c r="D4256"/>
    </row>
    <row r="4257" spans="1:4" x14ac:dyDescent="0.2">
      <c r="A4257" s="4"/>
      <c r="B4257"/>
      <c r="C4257"/>
      <c r="D4257"/>
    </row>
    <row r="4258" spans="1:4" x14ac:dyDescent="0.2">
      <c r="A4258" s="4"/>
      <c r="B4258"/>
      <c r="C4258"/>
      <c r="D4258"/>
    </row>
    <row r="4259" spans="1:4" x14ac:dyDescent="0.2">
      <c r="A4259" s="4"/>
      <c r="B4259"/>
      <c r="C4259"/>
      <c r="D4259"/>
    </row>
    <row r="4260" spans="1:4" x14ac:dyDescent="0.2">
      <c r="A4260" s="4"/>
      <c r="B4260"/>
      <c r="C4260"/>
      <c r="D4260"/>
    </row>
    <row r="4261" spans="1:4" x14ac:dyDescent="0.2">
      <c r="A4261" s="4"/>
      <c r="B4261"/>
      <c r="C4261"/>
      <c r="D4261"/>
    </row>
    <row r="4262" spans="1:4" x14ac:dyDescent="0.2">
      <c r="A4262" s="4"/>
      <c r="B4262"/>
      <c r="C4262"/>
      <c r="D4262"/>
    </row>
    <row r="4263" spans="1:4" x14ac:dyDescent="0.2">
      <c r="A4263" s="4"/>
      <c r="B4263"/>
      <c r="C4263"/>
      <c r="D4263"/>
    </row>
    <row r="4264" spans="1:4" x14ac:dyDescent="0.2">
      <c r="A4264" s="4"/>
      <c r="B4264"/>
      <c r="C4264"/>
      <c r="D4264"/>
    </row>
    <row r="4265" spans="1:4" x14ac:dyDescent="0.2">
      <c r="A4265" s="4"/>
      <c r="B4265"/>
      <c r="C4265"/>
      <c r="D4265"/>
    </row>
    <row r="4266" spans="1:4" x14ac:dyDescent="0.2">
      <c r="A4266" s="4"/>
      <c r="B4266"/>
      <c r="C4266"/>
      <c r="D4266"/>
    </row>
    <row r="4267" spans="1:4" x14ac:dyDescent="0.2">
      <c r="A4267" s="4"/>
      <c r="B4267"/>
      <c r="C4267"/>
      <c r="D4267"/>
    </row>
    <row r="4268" spans="1:4" x14ac:dyDescent="0.2">
      <c r="A4268" s="4"/>
      <c r="B4268"/>
      <c r="C4268"/>
      <c r="D4268"/>
    </row>
    <row r="4269" spans="1:4" x14ac:dyDescent="0.2">
      <c r="A4269" s="4"/>
      <c r="B4269"/>
      <c r="C4269"/>
      <c r="D4269"/>
    </row>
    <row r="4270" spans="1:4" x14ac:dyDescent="0.2">
      <c r="A4270" s="4"/>
      <c r="B4270"/>
      <c r="C4270"/>
      <c r="D4270"/>
    </row>
    <row r="4271" spans="1:4" x14ac:dyDescent="0.2">
      <c r="A4271" s="4"/>
      <c r="B4271"/>
      <c r="C4271"/>
      <c r="D4271"/>
    </row>
    <row r="4272" spans="1:4" x14ac:dyDescent="0.2">
      <c r="A4272" s="4"/>
      <c r="B4272"/>
      <c r="C4272"/>
      <c r="D4272"/>
    </row>
    <row r="4273" spans="1:4" x14ac:dyDescent="0.2">
      <c r="A4273" s="4"/>
      <c r="B4273"/>
      <c r="C4273"/>
      <c r="D4273"/>
    </row>
    <row r="4274" spans="1:4" x14ac:dyDescent="0.2">
      <c r="A4274" s="4"/>
      <c r="B4274"/>
      <c r="C4274"/>
      <c r="D4274"/>
    </row>
    <row r="4275" spans="1:4" x14ac:dyDescent="0.2">
      <c r="A4275" s="4"/>
      <c r="B4275"/>
      <c r="C4275"/>
      <c r="D4275"/>
    </row>
    <row r="4276" spans="1:4" x14ac:dyDescent="0.2">
      <c r="A4276" s="4"/>
      <c r="B4276"/>
      <c r="C4276"/>
      <c r="D4276"/>
    </row>
    <row r="4277" spans="1:4" x14ac:dyDescent="0.2">
      <c r="A4277" s="4"/>
      <c r="B4277"/>
      <c r="C4277"/>
      <c r="D4277"/>
    </row>
    <row r="4278" spans="1:4" x14ac:dyDescent="0.2">
      <c r="A4278" s="4"/>
      <c r="B4278"/>
      <c r="C4278"/>
      <c r="D4278"/>
    </row>
    <row r="4279" spans="1:4" x14ac:dyDescent="0.2">
      <c r="A4279" s="4"/>
      <c r="B4279"/>
      <c r="C4279"/>
      <c r="D4279"/>
    </row>
    <row r="4280" spans="1:4" x14ac:dyDescent="0.2">
      <c r="A4280" s="4"/>
      <c r="B4280"/>
      <c r="C4280"/>
      <c r="D4280"/>
    </row>
    <row r="4281" spans="1:4" x14ac:dyDescent="0.2">
      <c r="A4281" s="4"/>
      <c r="B4281"/>
      <c r="C4281"/>
      <c r="D4281"/>
    </row>
    <row r="4282" spans="1:4" x14ac:dyDescent="0.2">
      <c r="A4282" s="4"/>
      <c r="B4282"/>
      <c r="C4282"/>
      <c r="D4282"/>
    </row>
    <row r="4283" spans="1:4" x14ac:dyDescent="0.2">
      <c r="A4283" s="4"/>
      <c r="B4283"/>
      <c r="C4283"/>
      <c r="D4283"/>
    </row>
    <row r="4284" spans="1:4" x14ac:dyDescent="0.2">
      <c r="A4284" s="4"/>
      <c r="B4284"/>
      <c r="C4284"/>
      <c r="D4284"/>
    </row>
    <row r="4285" spans="1:4" x14ac:dyDescent="0.2">
      <c r="A4285" s="4"/>
      <c r="B4285"/>
      <c r="C4285"/>
      <c r="D4285"/>
    </row>
    <row r="4286" spans="1:4" x14ac:dyDescent="0.2">
      <c r="A4286" s="4"/>
      <c r="B4286"/>
      <c r="C4286"/>
      <c r="D4286"/>
    </row>
    <row r="4287" spans="1:4" x14ac:dyDescent="0.2">
      <c r="A4287" s="4"/>
      <c r="B4287"/>
      <c r="C4287"/>
      <c r="D4287"/>
    </row>
    <row r="4288" spans="1:4" x14ac:dyDescent="0.2">
      <c r="A4288" s="4"/>
      <c r="B4288"/>
      <c r="C4288"/>
      <c r="D4288"/>
    </row>
    <row r="4289" spans="1:4" x14ac:dyDescent="0.2">
      <c r="A4289" s="4"/>
      <c r="B4289"/>
      <c r="C4289"/>
      <c r="D4289"/>
    </row>
    <row r="4290" spans="1:4" x14ac:dyDescent="0.2">
      <c r="A4290" s="4"/>
      <c r="B4290"/>
      <c r="C4290"/>
      <c r="D4290"/>
    </row>
    <row r="4291" spans="1:4" x14ac:dyDescent="0.2">
      <c r="A4291" s="4"/>
      <c r="B4291"/>
      <c r="C4291"/>
      <c r="D4291"/>
    </row>
    <row r="4292" spans="1:4" x14ac:dyDescent="0.2">
      <c r="A4292" s="4"/>
      <c r="B4292"/>
      <c r="C4292"/>
      <c r="D4292"/>
    </row>
    <row r="4293" spans="1:4" x14ac:dyDescent="0.2">
      <c r="A4293" s="4"/>
      <c r="B4293"/>
      <c r="C4293"/>
      <c r="D4293"/>
    </row>
    <row r="4294" spans="1:4" x14ac:dyDescent="0.2">
      <c r="A4294" s="4"/>
      <c r="B4294"/>
      <c r="C4294"/>
      <c r="D4294"/>
    </row>
    <row r="4295" spans="1:4" x14ac:dyDescent="0.2">
      <c r="A4295" s="4"/>
      <c r="B4295"/>
      <c r="C4295"/>
      <c r="D4295"/>
    </row>
    <row r="4296" spans="1:4" x14ac:dyDescent="0.2">
      <c r="A4296" s="4"/>
      <c r="B4296"/>
      <c r="C4296"/>
      <c r="D4296"/>
    </row>
    <row r="4297" spans="1:4" x14ac:dyDescent="0.2">
      <c r="A4297" s="4"/>
      <c r="B4297"/>
      <c r="C4297"/>
      <c r="D4297"/>
    </row>
    <row r="4298" spans="1:4" x14ac:dyDescent="0.2">
      <c r="A4298" s="4"/>
      <c r="B4298"/>
      <c r="C4298"/>
      <c r="D4298"/>
    </row>
    <row r="4299" spans="1:4" x14ac:dyDescent="0.2">
      <c r="A4299" s="4"/>
      <c r="B4299"/>
      <c r="C4299"/>
      <c r="D4299"/>
    </row>
    <row r="4300" spans="1:4" x14ac:dyDescent="0.2">
      <c r="A4300" s="4"/>
      <c r="B4300"/>
      <c r="C4300"/>
      <c r="D4300"/>
    </row>
    <row r="4301" spans="1:4" x14ac:dyDescent="0.2">
      <c r="A4301" s="4"/>
      <c r="B4301"/>
      <c r="C4301"/>
      <c r="D4301"/>
    </row>
    <row r="4302" spans="1:4" x14ac:dyDescent="0.2">
      <c r="A4302" s="4"/>
      <c r="B4302"/>
      <c r="C4302"/>
      <c r="D4302"/>
    </row>
    <row r="4303" spans="1:4" x14ac:dyDescent="0.2">
      <c r="A4303" s="4"/>
      <c r="B4303"/>
      <c r="C4303"/>
      <c r="D4303"/>
    </row>
    <row r="4304" spans="1:4" x14ac:dyDescent="0.2">
      <c r="A4304" s="4"/>
      <c r="B4304"/>
      <c r="C4304"/>
      <c r="D4304"/>
    </row>
    <row r="4305" spans="1:4" x14ac:dyDescent="0.2">
      <c r="A4305" s="4"/>
      <c r="B4305"/>
      <c r="C4305"/>
      <c r="D4305"/>
    </row>
    <row r="4306" spans="1:4" x14ac:dyDescent="0.2">
      <c r="A4306" s="4"/>
      <c r="B4306"/>
      <c r="C4306"/>
      <c r="D4306"/>
    </row>
    <row r="4307" spans="1:4" x14ac:dyDescent="0.2">
      <c r="A4307" s="4"/>
      <c r="B4307"/>
      <c r="C4307"/>
      <c r="D4307"/>
    </row>
    <row r="4308" spans="1:4" x14ac:dyDescent="0.2">
      <c r="A4308" s="4"/>
      <c r="B4308"/>
      <c r="C4308"/>
      <c r="D4308"/>
    </row>
    <row r="4309" spans="1:4" x14ac:dyDescent="0.2">
      <c r="A4309" s="4"/>
      <c r="B4309"/>
      <c r="C4309"/>
      <c r="D4309"/>
    </row>
    <row r="4310" spans="1:4" x14ac:dyDescent="0.2">
      <c r="A4310" s="4"/>
      <c r="B4310"/>
      <c r="C4310"/>
      <c r="D4310"/>
    </row>
    <row r="4311" spans="1:4" x14ac:dyDescent="0.2">
      <c r="A4311" s="4"/>
      <c r="B4311"/>
      <c r="C4311"/>
      <c r="D4311"/>
    </row>
    <row r="4312" spans="1:4" x14ac:dyDescent="0.2">
      <c r="A4312" s="4"/>
      <c r="B4312"/>
      <c r="C4312"/>
      <c r="D4312"/>
    </row>
    <row r="4313" spans="1:4" x14ac:dyDescent="0.2">
      <c r="A4313" s="4"/>
      <c r="B4313"/>
      <c r="C4313"/>
      <c r="D4313"/>
    </row>
    <row r="4314" spans="1:4" x14ac:dyDescent="0.2">
      <c r="A4314" s="4"/>
      <c r="B4314"/>
      <c r="C4314"/>
      <c r="D4314"/>
    </row>
    <row r="4315" spans="1:4" x14ac:dyDescent="0.2">
      <c r="A4315" s="4"/>
      <c r="B4315"/>
      <c r="C4315"/>
      <c r="D4315"/>
    </row>
    <row r="4316" spans="1:4" x14ac:dyDescent="0.2">
      <c r="A4316" s="4"/>
      <c r="B4316"/>
      <c r="C4316"/>
      <c r="D4316"/>
    </row>
    <row r="4317" spans="1:4" x14ac:dyDescent="0.2">
      <c r="A4317" s="4"/>
      <c r="B4317"/>
      <c r="C4317"/>
      <c r="D4317"/>
    </row>
    <row r="4318" spans="1:4" x14ac:dyDescent="0.2">
      <c r="A4318" s="4"/>
      <c r="B4318"/>
      <c r="C4318"/>
      <c r="D4318"/>
    </row>
    <row r="4319" spans="1:4" x14ac:dyDescent="0.2">
      <c r="A4319" s="4"/>
      <c r="B4319"/>
      <c r="C4319"/>
      <c r="D4319"/>
    </row>
    <row r="4320" spans="1:4" x14ac:dyDescent="0.2">
      <c r="A4320" s="4"/>
      <c r="B4320"/>
      <c r="C4320"/>
      <c r="D4320"/>
    </row>
    <row r="4321" spans="1:4" x14ac:dyDescent="0.2">
      <c r="A4321" s="4"/>
      <c r="B4321"/>
      <c r="C4321"/>
      <c r="D4321"/>
    </row>
    <row r="4322" spans="1:4" x14ac:dyDescent="0.2">
      <c r="A4322" s="4"/>
      <c r="B4322"/>
      <c r="C4322"/>
      <c r="D4322"/>
    </row>
    <row r="4323" spans="1:4" x14ac:dyDescent="0.2">
      <c r="A4323" s="4"/>
      <c r="B4323"/>
      <c r="C4323"/>
      <c r="D4323"/>
    </row>
    <row r="4324" spans="1:4" x14ac:dyDescent="0.2">
      <c r="A4324" s="4"/>
      <c r="B4324"/>
      <c r="C4324"/>
      <c r="D4324"/>
    </row>
    <row r="4325" spans="1:4" x14ac:dyDescent="0.2">
      <c r="A4325" s="4"/>
      <c r="B4325"/>
      <c r="C4325"/>
      <c r="D4325"/>
    </row>
    <row r="4326" spans="1:4" x14ac:dyDescent="0.2">
      <c r="A4326" s="4"/>
      <c r="B4326"/>
      <c r="C4326"/>
      <c r="D4326"/>
    </row>
    <row r="4327" spans="1:4" x14ac:dyDescent="0.2">
      <c r="A4327" s="4"/>
      <c r="B4327"/>
      <c r="C4327"/>
      <c r="D4327"/>
    </row>
    <row r="4328" spans="1:4" x14ac:dyDescent="0.2">
      <c r="A4328" s="4"/>
      <c r="B4328"/>
      <c r="C4328"/>
      <c r="D4328"/>
    </row>
    <row r="4329" spans="1:4" x14ac:dyDescent="0.2">
      <c r="A4329" s="4"/>
      <c r="B4329"/>
      <c r="C4329"/>
      <c r="D4329"/>
    </row>
    <row r="4330" spans="1:4" x14ac:dyDescent="0.2">
      <c r="A4330" s="4"/>
      <c r="B4330"/>
      <c r="C4330"/>
      <c r="D4330"/>
    </row>
    <row r="4331" spans="1:4" x14ac:dyDescent="0.2">
      <c r="A4331" s="4"/>
      <c r="B4331"/>
      <c r="C4331"/>
      <c r="D4331"/>
    </row>
    <row r="4332" spans="1:4" x14ac:dyDescent="0.2">
      <c r="A4332" s="4"/>
      <c r="B4332"/>
      <c r="C4332"/>
      <c r="D4332"/>
    </row>
    <row r="4333" spans="1:4" x14ac:dyDescent="0.2">
      <c r="A4333" s="4"/>
      <c r="B4333"/>
      <c r="C4333"/>
      <c r="D4333"/>
    </row>
    <row r="4334" spans="1:4" x14ac:dyDescent="0.2">
      <c r="A4334" s="4"/>
      <c r="B4334"/>
      <c r="C4334"/>
      <c r="D4334"/>
    </row>
    <row r="4335" spans="1:4" x14ac:dyDescent="0.2">
      <c r="A4335" s="4"/>
      <c r="B4335"/>
      <c r="C4335"/>
      <c r="D4335"/>
    </row>
    <row r="4336" spans="1:4" x14ac:dyDescent="0.2">
      <c r="A4336" s="4"/>
      <c r="B4336"/>
      <c r="C4336"/>
      <c r="D4336"/>
    </row>
    <row r="4337" spans="1:4" x14ac:dyDescent="0.2">
      <c r="A4337" s="4"/>
      <c r="B4337"/>
      <c r="C4337"/>
      <c r="D4337"/>
    </row>
    <row r="4338" spans="1:4" x14ac:dyDescent="0.2">
      <c r="A4338" s="4"/>
      <c r="B4338"/>
      <c r="C4338"/>
      <c r="D4338"/>
    </row>
    <row r="4339" spans="1:4" x14ac:dyDescent="0.2">
      <c r="A4339" s="4"/>
      <c r="B4339"/>
      <c r="C4339"/>
      <c r="D4339"/>
    </row>
    <row r="4340" spans="1:4" x14ac:dyDescent="0.2">
      <c r="A4340" s="4"/>
      <c r="B4340"/>
      <c r="C4340"/>
      <c r="D4340"/>
    </row>
    <row r="4341" spans="1:4" x14ac:dyDescent="0.2">
      <c r="A4341" s="4"/>
      <c r="B4341"/>
      <c r="C4341"/>
      <c r="D4341"/>
    </row>
    <row r="4342" spans="1:4" x14ac:dyDescent="0.2">
      <c r="A4342" s="4"/>
      <c r="B4342"/>
      <c r="C4342"/>
      <c r="D4342"/>
    </row>
    <row r="4343" spans="1:4" x14ac:dyDescent="0.2">
      <c r="A4343" s="4"/>
      <c r="B4343"/>
      <c r="C4343"/>
      <c r="D4343"/>
    </row>
    <row r="4344" spans="1:4" x14ac:dyDescent="0.2">
      <c r="A4344" s="4"/>
      <c r="B4344"/>
      <c r="C4344"/>
      <c r="D4344"/>
    </row>
    <row r="4345" spans="1:4" x14ac:dyDescent="0.2">
      <c r="A4345" s="4"/>
      <c r="B4345"/>
      <c r="C4345"/>
      <c r="D4345"/>
    </row>
    <row r="4346" spans="1:4" x14ac:dyDescent="0.2">
      <c r="A4346" s="4"/>
      <c r="B4346"/>
      <c r="C4346"/>
      <c r="D4346"/>
    </row>
    <row r="4347" spans="1:4" x14ac:dyDescent="0.2">
      <c r="A4347" s="4"/>
      <c r="B4347"/>
      <c r="C4347"/>
      <c r="D4347"/>
    </row>
    <row r="4348" spans="1:4" x14ac:dyDescent="0.2">
      <c r="A4348" s="4"/>
      <c r="B4348"/>
      <c r="C4348"/>
      <c r="D4348"/>
    </row>
    <row r="4349" spans="1:4" x14ac:dyDescent="0.2">
      <c r="A4349" s="4"/>
      <c r="B4349"/>
      <c r="C4349"/>
      <c r="D4349"/>
    </row>
    <row r="4350" spans="1:4" x14ac:dyDescent="0.2">
      <c r="A4350" s="4"/>
      <c r="B4350"/>
      <c r="C4350"/>
      <c r="D4350"/>
    </row>
    <row r="4351" spans="1:4" x14ac:dyDescent="0.2">
      <c r="A4351" s="4"/>
      <c r="B4351"/>
      <c r="C4351"/>
      <c r="D4351"/>
    </row>
    <row r="4352" spans="1:4" x14ac:dyDescent="0.2">
      <c r="A4352" s="4"/>
      <c r="B4352"/>
      <c r="C4352"/>
      <c r="D4352"/>
    </row>
    <row r="4353" spans="1:4" x14ac:dyDescent="0.2">
      <c r="A4353" s="4"/>
      <c r="B4353"/>
      <c r="C4353"/>
      <c r="D4353"/>
    </row>
    <row r="4354" spans="1:4" x14ac:dyDescent="0.2">
      <c r="A4354" s="4"/>
      <c r="B4354"/>
      <c r="C4354"/>
      <c r="D4354"/>
    </row>
    <row r="4355" spans="1:4" x14ac:dyDescent="0.2">
      <c r="A4355" s="4"/>
      <c r="B4355"/>
      <c r="C4355"/>
      <c r="D4355"/>
    </row>
    <row r="4356" spans="1:4" x14ac:dyDescent="0.2">
      <c r="A4356" s="4"/>
      <c r="B4356"/>
      <c r="C4356"/>
      <c r="D4356"/>
    </row>
    <row r="4357" spans="1:4" x14ac:dyDescent="0.2">
      <c r="A4357" s="4"/>
      <c r="B4357"/>
      <c r="C4357"/>
      <c r="D4357"/>
    </row>
    <row r="4358" spans="1:4" x14ac:dyDescent="0.2">
      <c r="A4358" s="4"/>
      <c r="B4358"/>
      <c r="C4358"/>
      <c r="D4358"/>
    </row>
    <row r="4359" spans="1:4" x14ac:dyDescent="0.2">
      <c r="A4359" s="4"/>
      <c r="B4359"/>
      <c r="C4359"/>
      <c r="D4359"/>
    </row>
    <row r="4360" spans="1:4" x14ac:dyDescent="0.2">
      <c r="A4360" s="4"/>
      <c r="B4360"/>
      <c r="C4360"/>
      <c r="D4360"/>
    </row>
    <row r="4361" spans="1:4" x14ac:dyDescent="0.2">
      <c r="A4361" s="4"/>
      <c r="B4361"/>
      <c r="C4361"/>
      <c r="D4361"/>
    </row>
    <row r="4362" spans="1:4" x14ac:dyDescent="0.2">
      <c r="A4362" s="4"/>
      <c r="B4362"/>
      <c r="C4362"/>
      <c r="D4362"/>
    </row>
    <row r="4363" spans="1:4" x14ac:dyDescent="0.2">
      <c r="A4363" s="4"/>
      <c r="B4363"/>
      <c r="C4363"/>
      <c r="D4363"/>
    </row>
    <row r="4364" spans="1:4" x14ac:dyDescent="0.2">
      <c r="A4364" s="4"/>
      <c r="B4364"/>
      <c r="C4364"/>
      <c r="D4364"/>
    </row>
    <row r="4365" spans="1:4" x14ac:dyDescent="0.2">
      <c r="A4365" s="4"/>
      <c r="B4365"/>
      <c r="C4365"/>
      <c r="D4365"/>
    </row>
    <row r="4366" spans="1:4" x14ac:dyDescent="0.2">
      <c r="A4366" s="4"/>
      <c r="B4366"/>
      <c r="C4366"/>
      <c r="D4366"/>
    </row>
    <row r="4367" spans="1:4" x14ac:dyDescent="0.2">
      <c r="A4367" s="4"/>
      <c r="B4367"/>
      <c r="C4367"/>
      <c r="D4367"/>
    </row>
    <row r="4368" spans="1:4" x14ac:dyDescent="0.2">
      <c r="A4368" s="4"/>
      <c r="B4368"/>
      <c r="C4368"/>
      <c r="D4368"/>
    </row>
    <row r="4369" spans="1:4" x14ac:dyDescent="0.2">
      <c r="A4369" s="4"/>
      <c r="B4369"/>
      <c r="C4369"/>
      <c r="D4369"/>
    </row>
    <row r="4370" spans="1:4" x14ac:dyDescent="0.2">
      <c r="A4370" s="4"/>
      <c r="B4370"/>
      <c r="C4370"/>
      <c r="D4370"/>
    </row>
    <row r="4371" spans="1:4" x14ac:dyDescent="0.2">
      <c r="A4371" s="4"/>
      <c r="B4371"/>
      <c r="C4371"/>
      <c r="D4371"/>
    </row>
    <row r="4372" spans="1:4" x14ac:dyDescent="0.2">
      <c r="A4372" s="4"/>
      <c r="B4372"/>
      <c r="C4372"/>
      <c r="D4372"/>
    </row>
    <row r="4373" spans="1:4" x14ac:dyDescent="0.2">
      <c r="A4373" s="4"/>
      <c r="B4373"/>
      <c r="C4373"/>
      <c r="D4373"/>
    </row>
    <row r="4374" spans="1:4" x14ac:dyDescent="0.2">
      <c r="A4374" s="4"/>
      <c r="B4374"/>
      <c r="C4374"/>
      <c r="D4374"/>
    </row>
    <row r="4375" spans="1:4" x14ac:dyDescent="0.2">
      <c r="A4375" s="4"/>
      <c r="B4375"/>
      <c r="C4375"/>
      <c r="D4375"/>
    </row>
    <row r="4376" spans="1:4" x14ac:dyDescent="0.2">
      <c r="A4376" s="4"/>
      <c r="B4376"/>
      <c r="C4376"/>
      <c r="D4376"/>
    </row>
    <row r="4377" spans="1:4" x14ac:dyDescent="0.2">
      <c r="A4377" s="4"/>
      <c r="B4377"/>
      <c r="C4377"/>
      <c r="D4377"/>
    </row>
    <row r="4378" spans="1:4" x14ac:dyDescent="0.2">
      <c r="A4378" s="4"/>
      <c r="B4378"/>
      <c r="C4378"/>
      <c r="D4378"/>
    </row>
    <row r="4379" spans="1:4" x14ac:dyDescent="0.2">
      <c r="A4379" s="4"/>
      <c r="B4379"/>
      <c r="C4379"/>
      <c r="D4379"/>
    </row>
    <row r="4380" spans="1:4" x14ac:dyDescent="0.2">
      <c r="A4380" s="4"/>
      <c r="B4380"/>
      <c r="C4380"/>
      <c r="D4380"/>
    </row>
    <row r="4381" spans="1:4" x14ac:dyDescent="0.2">
      <c r="A4381" s="4"/>
      <c r="B4381"/>
      <c r="C4381"/>
      <c r="D4381"/>
    </row>
    <row r="4382" spans="1:4" x14ac:dyDescent="0.2">
      <c r="A4382" s="4"/>
      <c r="B4382"/>
      <c r="C4382"/>
      <c r="D4382"/>
    </row>
    <row r="4383" spans="1:4" x14ac:dyDescent="0.2">
      <c r="A4383" s="4"/>
      <c r="B4383"/>
      <c r="C4383"/>
      <c r="D4383"/>
    </row>
    <row r="4384" spans="1:4" x14ac:dyDescent="0.2">
      <c r="A4384" s="4"/>
      <c r="B4384"/>
      <c r="C4384"/>
      <c r="D4384"/>
    </row>
    <row r="4385" spans="1:4" x14ac:dyDescent="0.2">
      <c r="A4385" s="4"/>
      <c r="B4385"/>
      <c r="C4385"/>
      <c r="D4385"/>
    </row>
    <row r="4386" spans="1:4" x14ac:dyDescent="0.2">
      <c r="A4386" s="4"/>
      <c r="B4386"/>
      <c r="C4386"/>
      <c r="D4386"/>
    </row>
    <row r="4387" spans="1:4" x14ac:dyDescent="0.2">
      <c r="A4387" s="4"/>
      <c r="B4387"/>
      <c r="C4387"/>
      <c r="D4387"/>
    </row>
    <row r="4388" spans="1:4" x14ac:dyDescent="0.2">
      <c r="A4388" s="4"/>
      <c r="B4388"/>
      <c r="C4388"/>
      <c r="D4388"/>
    </row>
    <row r="4389" spans="1:4" x14ac:dyDescent="0.2">
      <c r="A4389" s="4"/>
      <c r="B4389"/>
      <c r="C4389"/>
      <c r="D4389"/>
    </row>
    <row r="4390" spans="1:4" x14ac:dyDescent="0.2">
      <c r="A4390" s="4"/>
      <c r="B4390"/>
      <c r="C4390"/>
      <c r="D4390"/>
    </row>
    <row r="4391" spans="1:4" x14ac:dyDescent="0.2">
      <c r="A4391" s="4"/>
      <c r="B4391"/>
      <c r="C4391"/>
      <c r="D4391"/>
    </row>
    <row r="4392" spans="1:4" x14ac:dyDescent="0.2">
      <c r="A4392" s="4"/>
      <c r="B4392"/>
      <c r="C4392"/>
      <c r="D4392"/>
    </row>
    <row r="4393" spans="1:4" x14ac:dyDescent="0.2">
      <c r="A4393" s="4"/>
      <c r="B4393"/>
      <c r="C4393"/>
      <c r="D4393"/>
    </row>
    <row r="4394" spans="1:4" x14ac:dyDescent="0.2">
      <c r="A4394" s="4"/>
      <c r="B4394"/>
      <c r="C4394"/>
      <c r="D4394"/>
    </row>
    <row r="4395" spans="1:4" x14ac:dyDescent="0.2">
      <c r="A4395" s="4"/>
      <c r="B4395"/>
      <c r="C4395"/>
      <c r="D4395"/>
    </row>
    <row r="4396" spans="1:4" x14ac:dyDescent="0.2">
      <c r="A4396" s="4"/>
      <c r="B4396"/>
      <c r="C4396"/>
      <c r="D4396"/>
    </row>
    <row r="4397" spans="1:4" x14ac:dyDescent="0.2">
      <c r="A4397" s="4"/>
      <c r="B4397"/>
      <c r="C4397"/>
      <c r="D4397"/>
    </row>
    <row r="4398" spans="1:4" x14ac:dyDescent="0.2">
      <c r="A4398" s="4"/>
      <c r="B4398"/>
      <c r="C4398"/>
      <c r="D4398"/>
    </row>
    <row r="4399" spans="1:4" x14ac:dyDescent="0.2">
      <c r="A4399" s="4"/>
      <c r="B4399"/>
      <c r="C4399"/>
      <c r="D4399"/>
    </row>
    <row r="4400" spans="1:4" x14ac:dyDescent="0.2">
      <c r="A4400" s="4"/>
      <c r="B4400"/>
      <c r="C4400"/>
      <c r="D4400"/>
    </row>
    <row r="4401" spans="1:4" x14ac:dyDescent="0.2">
      <c r="A4401" s="4"/>
      <c r="B4401"/>
      <c r="C4401"/>
      <c r="D4401"/>
    </row>
    <row r="4402" spans="1:4" x14ac:dyDescent="0.2">
      <c r="A4402" s="4"/>
      <c r="B4402"/>
      <c r="C4402"/>
      <c r="D4402"/>
    </row>
    <row r="4403" spans="1:4" x14ac:dyDescent="0.2">
      <c r="A4403" s="4"/>
      <c r="B4403"/>
      <c r="C4403"/>
      <c r="D4403"/>
    </row>
    <row r="4404" spans="1:4" x14ac:dyDescent="0.2">
      <c r="A4404" s="4"/>
      <c r="B4404"/>
      <c r="C4404"/>
      <c r="D4404"/>
    </row>
    <row r="4405" spans="1:4" x14ac:dyDescent="0.2">
      <c r="A4405" s="4"/>
      <c r="B4405"/>
      <c r="C4405"/>
      <c r="D4405"/>
    </row>
    <row r="4406" spans="1:4" x14ac:dyDescent="0.2">
      <c r="A4406" s="4"/>
      <c r="B4406"/>
      <c r="C4406"/>
      <c r="D4406"/>
    </row>
    <row r="4407" spans="1:4" x14ac:dyDescent="0.2">
      <c r="A4407" s="4"/>
      <c r="B4407"/>
      <c r="C4407"/>
      <c r="D4407"/>
    </row>
    <row r="4408" spans="1:4" x14ac:dyDescent="0.2">
      <c r="A4408" s="4"/>
      <c r="B4408"/>
      <c r="C4408"/>
      <c r="D4408"/>
    </row>
    <row r="4409" spans="1:4" x14ac:dyDescent="0.2">
      <c r="A4409" s="4"/>
      <c r="B4409"/>
      <c r="C4409"/>
      <c r="D4409"/>
    </row>
    <row r="4410" spans="1:4" x14ac:dyDescent="0.2">
      <c r="A4410" s="4"/>
      <c r="B4410"/>
      <c r="C4410"/>
      <c r="D4410"/>
    </row>
    <row r="4411" spans="1:4" x14ac:dyDescent="0.2">
      <c r="A4411" s="4"/>
      <c r="B4411"/>
      <c r="C4411"/>
      <c r="D4411"/>
    </row>
    <row r="4412" spans="1:4" x14ac:dyDescent="0.2">
      <c r="A4412" s="4"/>
      <c r="B4412"/>
      <c r="C4412"/>
      <c r="D4412"/>
    </row>
    <row r="4413" spans="1:4" x14ac:dyDescent="0.2">
      <c r="A4413" s="4"/>
      <c r="B4413"/>
      <c r="C4413"/>
      <c r="D4413"/>
    </row>
    <row r="4414" spans="1:4" x14ac:dyDescent="0.2">
      <c r="A4414" s="4"/>
      <c r="B4414"/>
      <c r="C4414"/>
      <c r="D4414"/>
    </row>
    <row r="4415" spans="1:4" x14ac:dyDescent="0.2">
      <c r="A4415" s="4"/>
      <c r="B4415"/>
      <c r="C4415"/>
      <c r="D4415"/>
    </row>
    <row r="4416" spans="1:4" x14ac:dyDescent="0.2">
      <c r="A4416" s="4"/>
      <c r="B4416"/>
      <c r="C4416"/>
      <c r="D4416"/>
    </row>
    <row r="4417" spans="1:4" x14ac:dyDescent="0.2">
      <c r="A4417" s="4"/>
      <c r="B4417"/>
      <c r="C4417"/>
      <c r="D4417"/>
    </row>
    <row r="4418" spans="1:4" x14ac:dyDescent="0.2">
      <c r="A4418" s="4"/>
      <c r="B4418"/>
      <c r="C4418"/>
      <c r="D4418"/>
    </row>
    <row r="4419" spans="1:4" x14ac:dyDescent="0.2">
      <c r="A4419" s="4"/>
      <c r="B4419"/>
      <c r="C4419"/>
      <c r="D4419"/>
    </row>
    <row r="4420" spans="1:4" x14ac:dyDescent="0.2">
      <c r="A4420" s="4"/>
      <c r="B4420"/>
      <c r="C4420"/>
      <c r="D4420"/>
    </row>
    <row r="4421" spans="1:4" x14ac:dyDescent="0.2">
      <c r="A4421" s="4"/>
      <c r="B4421"/>
      <c r="C4421"/>
      <c r="D4421"/>
    </row>
    <row r="4422" spans="1:4" x14ac:dyDescent="0.2">
      <c r="A4422" s="4"/>
      <c r="B4422"/>
      <c r="C4422"/>
      <c r="D4422"/>
    </row>
    <row r="4423" spans="1:4" x14ac:dyDescent="0.2">
      <c r="A4423" s="4"/>
      <c r="B4423"/>
      <c r="C4423"/>
      <c r="D4423"/>
    </row>
    <row r="4424" spans="1:4" x14ac:dyDescent="0.2">
      <c r="A4424" s="4"/>
      <c r="B4424"/>
      <c r="C4424"/>
      <c r="D4424"/>
    </row>
    <row r="4425" spans="1:4" x14ac:dyDescent="0.2">
      <c r="A4425" s="4"/>
      <c r="B4425"/>
      <c r="C4425"/>
      <c r="D4425"/>
    </row>
    <row r="4426" spans="1:4" x14ac:dyDescent="0.2">
      <c r="A4426" s="4"/>
      <c r="B4426"/>
      <c r="C4426"/>
      <c r="D4426"/>
    </row>
    <row r="4427" spans="1:4" x14ac:dyDescent="0.2">
      <c r="A4427" s="4"/>
      <c r="B4427"/>
      <c r="C4427"/>
      <c r="D4427"/>
    </row>
    <row r="4428" spans="1:4" x14ac:dyDescent="0.2">
      <c r="A4428" s="4"/>
      <c r="B4428"/>
      <c r="C4428"/>
      <c r="D4428"/>
    </row>
    <row r="4429" spans="1:4" x14ac:dyDescent="0.2">
      <c r="A4429" s="4"/>
      <c r="B4429"/>
      <c r="C4429"/>
      <c r="D4429"/>
    </row>
    <row r="4430" spans="1:4" x14ac:dyDescent="0.2">
      <c r="A4430" s="4"/>
      <c r="B4430"/>
      <c r="C4430"/>
      <c r="D4430"/>
    </row>
    <row r="4431" spans="1:4" x14ac:dyDescent="0.2">
      <c r="A4431" s="4"/>
      <c r="B4431"/>
      <c r="C4431"/>
      <c r="D4431"/>
    </row>
    <row r="4432" spans="1:4" x14ac:dyDescent="0.2">
      <c r="A4432" s="4"/>
      <c r="B4432"/>
      <c r="C4432"/>
      <c r="D4432"/>
    </row>
    <row r="4433" spans="1:4" x14ac:dyDescent="0.2">
      <c r="A4433" s="4"/>
      <c r="B4433"/>
      <c r="C4433"/>
      <c r="D4433"/>
    </row>
    <row r="4434" spans="1:4" x14ac:dyDescent="0.2">
      <c r="A4434" s="4"/>
      <c r="B4434"/>
      <c r="C4434"/>
      <c r="D4434"/>
    </row>
    <row r="4435" spans="1:4" x14ac:dyDescent="0.2">
      <c r="A4435" s="4"/>
      <c r="B4435"/>
      <c r="C4435"/>
      <c r="D4435"/>
    </row>
    <row r="4436" spans="1:4" x14ac:dyDescent="0.2">
      <c r="A4436" s="4"/>
      <c r="B4436"/>
      <c r="C4436"/>
      <c r="D4436"/>
    </row>
    <row r="4437" spans="1:4" x14ac:dyDescent="0.2">
      <c r="A4437" s="4"/>
      <c r="B4437"/>
      <c r="C4437"/>
      <c r="D4437"/>
    </row>
    <row r="4438" spans="1:4" x14ac:dyDescent="0.2">
      <c r="A4438" s="4"/>
      <c r="B4438"/>
      <c r="C4438"/>
      <c r="D4438"/>
    </row>
    <row r="4439" spans="1:4" x14ac:dyDescent="0.2">
      <c r="A4439" s="4"/>
      <c r="B4439"/>
      <c r="C4439"/>
      <c r="D4439"/>
    </row>
    <row r="4440" spans="1:4" x14ac:dyDescent="0.2">
      <c r="A4440" s="4"/>
      <c r="B4440"/>
      <c r="C4440"/>
      <c r="D4440"/>
    </row>
    <row r="4441" spans="1:4" x14ac:dyDescent="0.2">
      <c r="A4441" s="4"/>
      <c r="B4441"/>
      <c r="C4441"/>
      <c r="D4441"/>
    </row>
    <row r="4442" spans="1:4" x14ac:dyDescent="0.2">
      <c r="A4442" s="4"/>
      <c r="B4442"/>
      <c r="C4442"/>
      <c r="D4442"/>
    </row>
    <row r="4443" spans="1:4" x14ac:dyDescent="0.2">
      <c r="A4443" s="4"/>
      <c r="B4443"/>
      <c r="C4443"/>
      <c r="D4443"/>
    </row>
    <row r="4444" spans="1:4" x14ac:dyDescent="0.2">
      <c r="A4444" s="4"/>
      <c r="B4444"/>
      <c r="C4444"/>
      <c r="D4444"/>
    </row>
    <row r="4445" spans="1:4" x14ac:dyDescent="0.2">
      <c r="A4445" s="4"/>
      <c r="B4445"/>
      <c r="C4445"/>
      <c r="D4445"/>
    </row>
    <row r="4446" spans="1:4" x14ac:dyDescent="0.2">
      <c r="A4446" s="4"/>
      <c r="B4446"/>
      <c r="C4446"/>
      <c r="D4446"/>
    </row>
    <row r="4447" spans="1:4" x14ac:dyDescent="0.2">
      <c r="A4447" s="4"/>
      <c r="B4447"/>
      <c r="C4447"/>
      <c r="D4447"/>
    </row>
    <row r="4448" spans="1:4" x14ac:dyDescent="0.2">
      <c r="A4448" s="4"/>
      <c r="B4448"/>
      <c r="C4448"/>
      <c r="D4448"/>
    </row>
    <row r="4449" spans="1:4" x14ac:dyDescent="0.2">
      <c r="A4449" s="4"/>
      <c r="B4449"/>
      <c r="C4449"/>
      <c r="D4449"/>
    </row>
    <row r="4450" spans="1:4" x14ac:dyDescent="0.2">
      <c r="A4450" s="4"/>
      <c r="B4450"/>
      <c r="C4450"/>
      <c r="D4450"/>
    </row>
    <row r="4451" spans="1:4" x14ac:dyDescent="0.2">
      <c r="A4451" s="4"/>
      <c r="B4451"/>
      <c r="C4451"/>
      <c r="D4451"/>
    </row>
    <row r="4452" spans="1:4" x14ac:dyDescent="0.2">
      <c r="A4452" s="4"/>
      <c r="B4452"/>
      <c r="C4452"/>
      <c r="D4452"/>
    </row>
    <row r="4453" spans="1:4" x14ac:dyDescent="0.2">
      <c r="A4453" s="4"/>
      <c r="B4453"/>
      <c r="C4453"/>
      <c r="D4453"/>
    </row>
    <row r="4454" spans="1:4" x14ac:dyDescent="0.2">
      <c r="A4454" s="4"/>
      <c r="B4454"/>
      <c r="C4454"/>
      <c r="D4454"/>
    </row>
    <row r="4455" spans="1:4" x14ac:dyDescent="0.2">
      <c r="A4455" s="4"/>
      <c r="B4455"/>
      <c r="C4455"/>
      <c r="D4455"/>
    </row>
    <row r="4456" spans="1:4" x14ac:dyDescent="0.2">
      <c r="A4456" s="4"/>
      <c r="B4456"/>
      <c r="C4456"/>
      <c r="D4456"/>
    </row>
    <row r="4457" spans="1:4" x14ac:dyDescent="0.2">
      <c r="A4457" s="4"/>
      <c r="B4457"/>
      <c r="C4457"/>
      <c r="D4457"/>
    </row>
    <row r="4458" spans="1:4" x14ac:dyDescent="0.2">
      <c r="A4458" s="4"/>
      <c r="B4458"/>
      <c r="C4458"/>
      <c r="D4458"/>
    </row>
    <row r="4459" spans="1:4" x14ac:dyDescent="0.2">
      <c r="A4459" s="4"/>
      <c r="B4459"/>
      <c r="C4459"/>
      <c r="D4459"/>
    </row>
    <row r="4460" spans="1:4" x14ac:dyDescent="0.2">
      <c r="A4460" s="4"/>
      <c r="B4460"/>
      <c r="C4460"/>
      <c r="D4460"/>
    </row>
    <row r="4461" spans="1:4" x14ac:dyDescent="0.2">
      <c r="A4461" s="4"/>
      <c r="B4461"/>
      <c r="C4461"/>
      <c r="D4461"/>
    </row>
    <row r="4462" spans="1:4" x14ac:dyDescent="0.2">
      <c r="A4462" s="4"/>
      <c r="B4462"/>
      <c r="C4462"/>
      <c r="D4462"/>
    </row>
    <row r="4463" spans="1:4" x14ac:dyDescent="0.2">
      <c r="A4463" s="4"/>
      <c r="B4463"/>
      <c r="C4463"/>
      <c r="D4463"/>
    </row>
    <row r="4464" spans="1:4" x14ac:dyDescent="0.2">
      <c r="A4464" s="4"/>
      <c r="B4464"/>
      <c r="C4464"/>
      <c r="D4464"/>
    </row>
    <row r="4465" spans="1:4" x14ac:dyDescent="0.2">
      <c r="A4465" s="4"/>
      <c r="B4465"/>
      <c r="C4465"/>
      <c r="D4465"/>
    </row>
    <row r="4466" spans="1:4" x14ac:dyDescent="0.2">
      <c r="A4466" s="4"/>
      <c r="B4466"/>
      <c r="C4466"/>
      <c r="D4466"/>
    </row>
    <row r="4467" spans="1:4" x14ac:dyDescent="0.2">
      <c r="A4467" s="4"/>
      <c r="B4467"/>
      <c r="C4467"/>
      <c r="D4467"/>
    </row>
    <row r="4468" spans="1:4" x14ac:dyDescent="0.2">
      <c r="A4468" s="4"/>
      <c r="B4468"/>
      <c r="C4468"/>
      <c r="D4468"/>
    </row>
    <row r="4469" spans="1:4" x14ac:dyDescent="0.2">
      <c r="A4469" s="4"/>
      <c r="B4469"/>
      <c r="C4469"/>
      <c r="D4469"/>
    </row>
    <row r="4470" spans="1:4" x14ac:dyDescent="0.2">
      <c r="A4470" s="4"/>
      <c r="B4470"/>
      <c r="C4470"/>
      <c r="D4470"/>
    </row>
    <row r="4471" spans="1:4" x14ac:dyDescent="0.2">
      <c r="A4471" s="4"/>
      <c r="B4471"/>
      <c r="C4471"/>
      <c r="D4471"/>
    </row>
    <row r="4472" spans="1:4" x14ac:dyDescent="0.2">
      <c r="A4472" s="4"/>
      <c r="B4472"/>
      <c r="C4472"/>
      <c r="D4472"/>
    </row>
    <row r="4473" spans="1:4" x14ac:dyDescent="0.2">
      <c r="A4473" s="4"/>
      <c r="B4473"/>
      <c r="C4473"/>
      <c r="D4473"/>
    </row>
    <row r="4474" spans="1:4" x14ac:dyDescent="0.2">
      <c r="A4474" s="4"/>
      <c r="B4474"/>
      <c r="C4474"/>
      <c r="D4474"/>
    </row>
    <row r="4475" spans="1:4" x14ac:dyDescent="0.2">
      <c r="A4475" s="4"/>
      <c r="B4475"/>
      <c r="C4475"/>
      <c r="D4475"/>
    </row>
    <row r="4476" spans="1:4" x14ac:dyDescent="0.2">
      <c r="A4476" s="4"/>
      <c r="B4476"/>
      <c r="C4476"/>
      <c r="D4476"/>
    </row>
    <row r="4477" spans="1:4" x14ac:dyDescent="0.2">
      <c r="A4477" s="4"/>
      <c r="B4477"/>
      <c r="C4477"/>
      <c r="D4477"/>
    </row>
    <row r="4478" spans="1:4" x14ac:dyDescent="0.2">
      <c r="A4478" s="4"/>
      <c r="B4478"/>
      <c r="C4478"/>
      <c r="D4478"/>
    </row>
    <row r="4479" spans="1:4" x14ac:dyDescent="0.2">
      <c r="A4479" s="4"/>
      <c r="B4479"/>
      <c r="C4479"/>
      <c r="D4479"/>
    </row>
    <row r="4480" spans="1:4" x14ac:dyDescent="0.2">
      <c r="A4480" s="4"/>
      <c r="B4480"/>
      <c r="C4480"/>
      <c r="D4480"/>
    </row>
    <row r="4481" spans="1:4" x14ac:dyDescent="0.2">
      <c r="A4481" s="4"/>
      <c r="B4481"/>
      <c r="C4481"/>
      <c r="D4481"/>
    </row>
    <row r="4482" spans="1:4" x14ac:dyDescent="0.2">
      <c r="A4482" s="4"/>
      <c r="B4482"/>
      <c r="C4482"/>
      <c r="D4482"/>
    </row>
    <row r="4483" spans="1:4" x14ac:dyDescent="0.2">
      <c r="A4483" s="4"/>
      <c r="B4483"/>
      <c r="C4483"/>
      <c r="D4483"/>
    </row>
    <row r="4484" spans="1:4" x14ac:dyDescent="0.2">
      <c r="A4484" s="4"/>
      <c r="B4484"/>
      <c r="C4484"/>
      <c r="D4484"/>
    </row>
    <row r="4485" spans="1:4" x14ac:dyDescent="0.2">
      <c r="A4485" s="4"/>
      <c r="B4485"/>
      <c r="C4485"/>
      <c r="D4485"/>
    </row>
    <row r="4486" spans="1:4" x14ac:dyDescent="0.2">
      <c r="A4486" s="4"/>
      <c r="B4486"/>
      <c r="C4486"/>
      <c r="D4486"/>
    </row>
    <row r="4487" spans="1:4" x14ac:dyDescent="0.2">
      <c r="A4487" s="4"/>
      <c r="B4487"/>
      <c r="C4487"/>
      <c r="D4487"/>
    </row>
    <row r="4488" spans="1:4" x14ac:dyDescent="0.2">
      <c r="A4488" s="4"/>
      <c r="B4488"/>
      <c r="C4488"/>
      <c r="D4488"/>
    </row>
    <row r="4489" spans="1:4" x14ac:dyDescent="0.2">
      <c r="A4489" s="4"/>
      <c r="B4489"/>
      <c r="C4489"/>
      <c r="D4489"/>
    </row>
    <row r="4490" spans="1:4" x14ac:dyDescent="0.2">
      <c r="A4490" s="4"/>
      <c r="B4490"/>
      <c r="C4490"/>
      <c r="D4490"/>
    </row>
    <row r="4491" spans="1:4" x14ac:dyDescent="0.2">
      <c r="A4491" s="4"/>
      <c r="B4491"/>
      <c r="C4491"/>
      <c r="D4491"/>
    </row>
    <row r="4492" spans="1:4" x14ac:dyDescent="0.2">
      <c r="A4492" s="4"/>
      <c r="B4492"/>
      <c r="C4492"/>
      <c r="D4492"/>
    </row>
    <row r="4493" spans="1:4" x14ac:dyDescent="0.2">
      <c r="A4493" s="4"/>
      <c r="B4493"/>
      <c r="C4493"/>
      <c r="D4493"/>
    </row>
    <row r="4494" spans="1:4" x14ac:dyDescent="0.2">
      <c r="A4494" s="4"/>
      <c r="B4494"/>
      <c r="C4494"/>
      <c r="D4494"/>
    </row>
    <row r="4495" spans="1:4" x14ac:dyDescent="0.2">
      <c r="A4495" s="4"/>
      <c r="B4495"/>
      <c r="C4495"/>
      <c r="D4495"/>
    </row>
    <row r="4496" spans="1:4" x14ac:dyDescent="0.2">
      <c r="A4496" s="4"/>
      <c r="B4496"/>
      <c r="C4496"/>
      <c r="D4496"/>
    </row>
    <row r="4497" spans="1:4" x14ac:dyDescent="0.2">
      <c r="A4497" s="4"/>
      <c r="B4497"/>
      <c r="C4497"/>
      <c r="D4497"/>
    </row>
    <row r="4498" spans="1:4" x14ac:dyDescent="0.2">
      <c r="A4498" s="4"/>
      <c r="B4498"/>
      <c r="C4498"/>
      <c r="D4498"/>
    </row>
    <row r="4499" spans="1:4" x14ac:dyDescent="0.2">
      <c r="A4499" s="4"/>
      <c r="B4499"/>
      <c r="C4499"/>
      <c r="D4499"/>
    </row>
    <row r="4500" spans="1:4" x14ac:dyDescent="0.2">
      <c r="A4500" s="4"/>
      <c r="B4500"/>
      <c r="C4500"/>
      <c r="D4500"/>
    </row>
    <row r="4501" spans="1:4" x14ac:dyDescent="0.2">
      <c r="A4501" s="4"/>
      <c r="B4501"/>
      <c r="C4501"/>
      <c r="D4501"/>
    </row>
    <row r="4502" spans="1:4" x14ac:dyDescent="0.2">
      <c r="A4502" s="4"/>
      <c r="B4502"/>
      <c r="C4502"/>
      <c r="D4502"/>
    </row>
    <row r="4503" spans="1:4" x14ac:dyDescent="0.2">
      <c r="A4503" s="4"/>
      <c r="B4503"/>
      <c r="C4503"/>
      <c r="D4503"/>
    </row>
    <row r="4504" spans="1:4" x14ac:dyDescent="0.2">
      <c r="A4504" s="4"/>
      <c r="B4504"/>
      <c r="C4504"/>
      <c r="D4504"/>
    </row>
    <row r="4505" spans="1:4" x14ac:dyDescent="0.2">
      <c r="A4505" s="4"/>
      <c r="B4505"/>
      <c r="C4505"/>
      <c r="D4505"/>
    </row>
    <row r="4506" spans="1:4" x14ac:dyDescent="0.2">
      <c r="A4506" s="4"/>
      <c r="B4506"/>
      <c r="C4506"/>
      <c r="D4506"/>
    </row>
    <row r="4507" spans="1:4" x14ac:dyDescent="0.2">
      <c r="A4507" s="4"/>
      <c r="B4507"/>
      <c r="C4507"/>
      <c r="D4507"/>
    </row>
    <row r="4508" spans="1:4" x14ac:dyDescent="0.2">
      <c r="A4508" s="4"/>
      <c r="B4508"/>
      <c r="C4508"/>
      <c r="D4508"/>
    </row>
    <row r="4509" spans="1:4" x14ac:dyDescent="0.2">
      <c r="A4509" s="4"/>
      <c r="B4509"/>
      <c r="C4509"/>
      <c r="D4509"/>
    </row>
    <row r="4510" spans="1:4" x14ac:dyDescent="0.2">
      <c r="A4510" s="4"/>
      <c r="B4510"/>
      <c r="C4510"/>
      <c r="D4510"/>
    </row>
    <row r="4511" spans="1:4" x14ac:dyDescent="0.2">
      <c r="A4511" s="4"/>
      <c r="B4511"/>
      <c r="C4511"/>
      <c r="D4511"/>
    </row>
    <row r="4512" spans="1:4" x14ac:dyDescent="0.2">
      <c r="A4512" s="4"/>
      <c r="B4512"/>
      <c r="C4512"/>
      <c r="D4512"/>
    </row>
    <row r="4513" spans="1:4" x14ac:dyDescent="0.2">
      <c r="A4513" s="4"/>
      <c r="B4513"/>
      <c r="C4513"/>
      <c r="D4513"/>
    </row>
    <row r="4514" spans="1:4" x14ac:dyDescent="0.2">
      <c r="A4514" s="4"/>
      <c r="B4514"/>
      <c r="C4514"/>
      <c r="D4514"/>
    </row>
    <row r="4515" spans="1:4" x14ac:dyDescent="0.2">
      <c r="A4515" s="4"/>
      <c r="B4515"/>
      <c r="C4515"/>
      <c r="D4515"/>
    </row>
    <row r="4516" spans="1:4" x14ac:dyDescent="0.2">
      <c r="A4516" s="4"/>
      <c r="B4516"/>
      <c r="C4516"/>
      <c r="D4516"/>
    </row>
    <row r="4517" spans="1:4" x14ac:dyDescent="0.2">
      <c r="A4517" s="4"/>
      <c r="B4517"/>
      <c r="C4517"/>
      <c r="D4517"/>
    </row>
    <row r="4518" spans="1:4" x14ac:dyDescent="0.2">
      <c r="A4518" s="4"/>
      <c r="B4518"/>
      <c r="C4518"/>
      <c r="D4518"/>
    </row>
    <row r="4519" spans="1:4" x14ac:dyDescent="0.2">
      <c r="A4519" s="4"/>
      <c r="B4519"/>
      <c r="C4519"/>
      <c r="D4519"/>
    </row>
    <row r="4520" spans="1:4" x14ac:dyDescent="0.2">
      <c r="A4520" s="4"/>
      <c r="B4520"/>
      <c r="C4520"/>
      <c r="D4520"/>
    </row>
    <row r="4521" spans="1:4" x14ac:dyDescent="0.2">
      <c r="A4521" s="4"/>
      <c r="B4521"/>
      <c r="C4521"/>
      <c r="D4521"/>
    </row>
    <row r="4522" spans="1:4" x14ac:dyDescent="0.2">
      <c r="A4522" s="4"/>
      <c r="B4522"/>
      <c r="C4522"/>
      <c r="D4522"/>
    </row>
    <row r="4523" spans="1:4" x14ac:dyDescent="0.2">
      <c r="A4523" s="4"/>
      <c r="B4523"/>
      <c r="C4523"/>
      <c r="D4523"/>
    </row>
    <row r="4524" spans="1:4" x14ac:dyDescent="0.2">
      <c r="A4524" s="4"/>
      <c r="B4524"/>
      <c r="C4524"/>
      <c r="D4524"/>
    </row>
    <row r="4525" spans="1:4" x14ac:dyDescent="0.2">
      <c r="A4525" s="4"/>
      <c r="B4525"/>
      <c r="C4525"/>
      <c r="D4525"/>
    </row>
    <row r="4526" spans="1:4" x14ac:dyDescent="0.2">
      <c r="A4526" s="4"/>
      <c r="B4526"/>
      <c r="C4526"/>
      <c r="D4526"/>
    </row>
    <row r="4527" spans="1:4" x14ac:dyDescent="0.2">
      <c r="A4527" s="4"/>
      <c r="B4527"/>
      <c r="C4527"/>
      <c r="D4527"/>
    </row>
    <row r="4528" spans="1:4" x14ac:dyDescent="0.2">
      <c r="A4528" s="4"/>
      <c r="B4528"/>
      <c r="C4528"/>
      <c r="D4528"/>
    </row>
    <row r="4529" spans="1:4" x14ac:dyDescent="0.2">
      <c r="A4529" s="4"/>
      <c r="B4529"/>
      <c r="C4529"/>
      <c r="D4529"/>
    </row>
    <row r="4530" spans="1:4" x14ac:dyDescent="0.2">
      <c r="A4530" s="4"/>
      <c r="B4530"/>
      <c r="C4530"/>
      <c r="D4530"/>
    </row>
    <row r="4531" spans="1:4" x14ac:dyDescent="0.2">
      <c r="A4531" s="4"/>
      <c r="B4531"/>
      <c r="C4531"/>
      <c r="D4531"/>
    </row>
    <row r="4532" spans="1:4" x14ac:dyDescent="0.2">
      <c r="A4532" s="4"/>
      <c r="B4532"/>
      <c r="C4532"/>
      <c r="D4532"/>
    </row>
    <row r="4533" spans="1:4" x14ac:dyDescent="0.2">
      <c r="A4533" s="4"/>
      <c r="B4533"/>
      <c r="C4533"/>
      <c r="D4533"/>
    </row>
    <row r="4534" spans="1:4" x14ac:dyDescent="0.2">
      <c r="A4534" s="4"/>
      <c r="B4534"/>
      <c r="C4534"/>
      <c r="D4534"/>
    </row>
    <row r="4535" spans="1:4" x14ac:dyDescent="0.2">
      <c r="A4535" s="4"/>
      <c r="B4535"/>
      <c r="C4535"/>
      <c r="D4535"/>
    </row>
    <row r="4536" spans="1:4" x14ac:dyDescent="0.2">
      <c r="A4536" s="4"/>
      <c r="B4536"/>
      <c r="C4536"/>
      <c r="D4536"/>
    </row>
    <row r="4537" spans="1:4" x14ac:dyDescent="0.2">
      <c r="A4537" s="4"/>
      <c r="B4537"/>
      <c r="C4537"/>
      <c r="D4537"/>
    </row>
    <row r="4538" spans="1:4" x14ac:dyDescent="0.2">
      <c r="A4538" s="4"/>
      <c r="B4538"/>
      <c r="C4538"/>
      <c r="D4538"/>
    </row>
    <row r="4539" spans="1:4" x14ac:dyDescent="0.2">
      <c r="A4539" s="4"/>
      <c r="B4539"/>
      <c r="C4539"/>
      <c r="D4539"/>
    </row>
    <row r="4540" spans="1:4" x14ac:dyDescent="0.2">
      <c r="A4540" s="4"/>
      <c r="B4540"/>
      <c r="C4540"/>
      <c r="D4540"/>
    </row>
    <row r="4541" spans="1:4" x14ac:dyDescent="0.2">
      <c r="A4541" s="4"/>
      <c r="B4541"/>
      <c r="C4541"/>
      <c r="D4541"/>
    </row>
    <row r="4542" spans="1:4" x14ac:dyDescent="0.2">
      <c r="A4542" s="4"/>
      <c r="B4542"/>
      <c r="C4542"/>
      <c r="D4542"/>
    </row>
    <row r="4543" spans="1:4" x14ac:dyDescent="0.2">
      <c r="A4543" s="4"/>
      <c r="B4543"/>
      <c r="C4543"/>
      <c r="D4543"/>
    </row>
    <row r="4544" spans="1:4" x14ac:dyDescent="0.2">
      <c r="A4544" s="4"/>
      <c r="B4544"/>
      <c r="C4544"/>
      <c r="D4544"/>
    </row>
    <row r="4545" spans="1:4" x14ac:dyDescent="0.2">
      <c r="A4545" s="4"/>
      <c r="B4545"/>
      <c r="C4545"/>
      <c r="D4545"/>
    </row>
    <row r="4546" spans="1:4" x14ac:dyDescent="0.2">
      <c r="A4546" s="4"/>
      <c r="B4546"/>
      <c r="C4546"/>
      <c r="D4546"/>
    </row>
    <row r="4547" spans="1:4" x14ac:dyDescent="0.2">
      <c r="A4547" s="4"/>
      <c r="B4547"/>
      <c r="C4547"/>
      <c r="D4547"/>
    </row>
    <row r="4548" spans="1:4" x14ac:dyDescent="0.2">
      <c r="A4548" s="4"/>
      <c r="B4548"/>
      <c r="C4548"/>
      <c r="D4548"/>
    </row>
    <row r="4549" spans="1:4" x14ac:dyDescent="0.2">
      <c r="A4549" s="4"/>
      <c r="B4549"/>
      <c r="C4549"/>
      <c r="D4549"/>
    </row>
    <row r="4550" spans="1:4" x14ac:dyDescent="0.2">
      <c r="A4550" s="4"/>
      <c r="B4550"/>
      <c r="C4550"/>
      <c r="D4550"/>
    </row>
    <row r="4551" spans="1:4" x14ac:dyDescent="0.2">
      <c r="A4551" s="4"/>
      <c r="B4551"/>
      <c r="C4551"/>
      <c r="D4551"/>
    </row>
    <row r="4552" spans="1:4" x14ac:dyDescent="0.2">
      <c r="A4552" s="4"/>
      <c r="B4552"/>
      <c r="C4552"/>
      <c r="D4552"/>
    </row>
    <row r="4553" spans="1:4" x14ac:dyDescent="0.2">
      <c r="A4553" s="4"/>
      <c r="B4553"/>
      <c r="C4553"/>
      <c r="D4553"/>
    </row>
    <row r="4554" spans="1:4" x14ac:dyDescent="0.2">
      <c r="A4554" s="4"/>
      <c r="B4554"/>
      <c r="C4554"/>
      <c r="D4554"/>
    </row>
    <row r="4555" spans="1:4" x14ac:dyDescent="0.2">
      <c r="A4555" s="4"/>
      <c r="B4555"/>
      <c r="C4555"/>
      <c r="D4555"/>
    </row>
    <row r="4556" spans="1:4" x14ac:dyDescent="0.2">
      <c r="A4556" s="4"/>
      <c r="B4556"/>
      <c r="C4556"/>
      <c r="D4556"/>
    </row>
    <row r="4557" spans="1:4" x14ac:dyDescent="0.2">
      <c r="A4557" s="4"/>
      <c r="B4557"/>
      <c r="C4557"/>
      <c r="D4557"/>
    </row>
    <row r="4558" spans="1:4" x14ac:dyDescent="0.2">
      <c r="A4558" s="4"/>
      <c r="B4558"/>
      <c r="C4558"/>
      <c r="D4558"/>
    </row>
    <row r="4559" spans="1:4" x14ac:dyDescent="0.2">
      <c r="A4559" s="4"/>
      <c r="B4559"/>
      <c r="C4559"/>
      <c r="D4559"/>
    </row>
    <row r="4560" spans="1:4" x14ac:dyDescent="0.2">
      <c r="A4560" s="4"/>
      <c r="B4560"/>
      <c r="C4560"/>
      <c r="D4560"/>
    </row>
    <row r="4561" spans="1:4" x14ac:dyDescent="0.2">
      <c r="A4561" s="4"/>
      <c r="B4561"/>
      <c r="C4561"/>
      <c r="D4561"/>
    </row>
    <row r="4562" spans="1:4" x14ac:dyDescent="0.2">
      <c r="A4562" s="4"/>
      <c r="B4562"/>
      <c r="C4562"/>
      <c r="D4562"/>
    </row>
    <row r="4563" spans="1:4" x14ac:dyDescent="0.2">
      <c r="A4563" s="4"/>
      <c r="B4563"/>
      <c r="C4563"/>
      <c r="D4563"/>
    </row>
    <row r="4564" spans="1:4" x14ac:dyDescent="0.2">
      <c r="A4564" s="4"/>
      <c r="B4564"/>
      <c r="C4564"/>
      <c r="D4564"/>
    </row>
    <row r="4565" spans="1:4" x14ac:dyDescent="0.2">
      <c r="A4565" s="4"/>
      <c r="B4565"/>
      <c r="C4565"/>
      <c r="D4565"/>
    </row>
    <row r="4566" spans="1:4" x14ac:dyDescent="0.2">
      <c r="A4566" s="4"/>
      <c r="B4566"/>
      <c r="C4566"/>
      <c r="D4566"/>
    </row>
    <row r="4567" spans="1:4" x14ac:dyDescent="0.2">
      <c r="A4567" s="4"/>
      <c r="B4567"/>
      <c r="C4567"/>
      <c r="D4567"/>
    </row>
    <row r="4568" spans="1:4" x14ac:dyDescent="0.2">
      <c r="A4568" s="4"/>
      <c r="B4568"/>
      <c r="C4568"/>
      <c r="D4568"/>
    </row>
    <row r="4569" spans="1:4" x14ac:dyDescent="0.2">
      <c r="A4569" s="4"/>
      <c r="B4569"/>
      <c r="C4569"/>
      <c r="D4569"/>
    </row>
    <row r="4570" spans="1:4" x14ac:dyDescent="0.2">
      <c r="A4570" s="4"/>
      <c r="B4570"/>
      <c r="C4570"/>
      <c r="D4570"/>
    </row>
    <row r="4571" spans="1:4" x14ac:dyDescent="0.2">
      <c r="A4571" s="4"/>
      <c r="B4571"/>
      <c r="C4571"/>
      <c r="D4571"/>
    </row>
    <row r="4572" spans="1:4" x14ac:dyDescent="0.2">
      <c r="A4572" s="4"/>
      <c r="B4572"/>
      <c r="C4572"/>
      <c r="D4572"/>
    </row>
    <row r="4573" spans="1:4" x14ac:dyDescent="0.2">
      <c r="A4573" s="4"/>
      <c r="B4573"/>
      <c r="C4573"/>
      <c r="D4573"/>
    </row>
    <row r="4574" spans="1:4" x14ac:dyDescent="0.2">
      <c r="A4574" s="4"/>
      <c r="B4574"/>
      <c r="C4574"/>
      <c r="D4574"/>
    </row>
    <row r="4575" spans="1:4" x14ac:dyDescent="0.2">
      <c r="A4575" s="4"/>
      <c r="B4575"/>
      <c r="C4575"/>
      <c r="D4575"/>
    </row>
    <row r="4576" spans="1:4" x14ac:dyDescent="0.2">
      <c r="A4576" s="4"/>
      <c r="B4576"/>
      <c r="C4576"/>
      <c r="D4576"/>
    </row>
    <row r="4577" spans="1:4" x14ac:dyDescent="0.2">
      <c r="A4577" s="4"/>
      <c r="B4577"/>
      <c r="C4577"/>
      <c r="D4577"/>
    </row>
    <row r="4578" spans="1:4" x14ac:dyDescent="0.2">
      <c r="A4578" s="4"/>
      <c r="B4578"/>
      <c r="C4578"/>
      <c r="D4578"/>
    </row>
    <row r="4579" spans="1:4" x14ac:dyDescent="0.2">
      <c r="A4579" s="4"/>
      <c r="B4579"/>
      <c r="C4579"/>
      <c r="D4579"/>
    </row>
    <row r="4580" spans="1:4" x14ac:dyDescent="0.2">
      <c r="A4580" s="4"/>
      <c r="B4580"/>
      <c r="C4580"/>
      <c r="D4580"/>
    </row>
    <row r="4581" spans="1:4" x14ac:dyDescent="0.2">
      <c r="A4581" s="4"/>
      <c r="B4581"/>
      <c r="C4581"/>
      <c r="D4581"/>
    </row>
    <row r="4582" spans="1:4" x14ac:dyDescent="0.2">
      <c r="A4582" s="4"/>
      <c r="B4582"/>
      <c r="C4582"/>
      <c r="D4582"/>
    </row>
    <row r="4583" spans="1:4" x14ac:dyDescent="0.2">
      <c r="A4583" s="4"/>
      <c r="B4583"/>
      <c r="C4583"/>
      <c r="D4583"/>
    </row>
    <row r="4584" spans="1:4" x14ac:dyDescent="0.2">
      <c r="A4584" s="4"/>
      <c r="B4584"/>
      <c r="C4584"/>
      <c r="D4584"/>
    </row>
    <row r="4585" spans="1:4" x14ac:dyDescent="0.2">
      <c r="A4585" s="4"/>
      <c r="B4585"/>
      <c r="C4585"/>
      <c r="D4585"/>
    </row>
    <row r="4586" spans="1:4" x14ac:dyDescent="0.2">
      <c r="A4586" s="4"/>
      <c r="B4586"/>
      <c r="C4586"/>
      <c r="D4586"/>
    </row>
    <row r="4587" spans="1:4" x14ac:dyDescent="0.2">
      <c r="A4587" s="4"/>
      <c r="B4587"/>
      <c r="C4587"/>
      <c r="D4587"/>
    </row>
    <row r="4588" spans="1:4" x14ac:dyDescent="0.2">
      <c r="A4588" s="4"/>
      <c r="B4588"/>
      <c r="C4588"/>
      <c r="D4588"/>
    </row>
    <row r="4589" spans="1:4" x14ac:dyDescent="0.2">
      <c r="A4589" s="4"/>
      <c r="B4589"/>
      <c r="C4589"/>
      <c r="D4589"/>
    </row>
    <row r="4590" spans="1:4" x14ac:dyDescent="0.2">
      <c r="A4590" s="4"/>
      <c r="B4590"/>
      <c r="C4590"/>
      <c r="D4590"/>
    </row>
    <row r="4591" spans="1:4" x14ac:dyDescent="0.2">
      <c r="A4591" s="4"/>
      <c r="B4591"/>
      <c r="C4591"/>
      <c r="D4591"/>
    </row>
    <row r="4592" spans="1:4" x14ac:dyDescent="0.2">
      <c r="A4592" s="4"/>
      <c r="B4592"/>
      <c r="C4592"/>
      <c r="D4592"/>
    </row>
    <row r="4593" spans="1:4" x14ac:dyDescent="0.2">
      <c r="A4593" s="4"/>
      <c r="B4593"/>
      <c r="C4593"/>
      <c r="D4593"/>
    </row>
    <row r="4594" spans="1:4" x14ac:dyDescent="0.2">
      <c r="A4594" s="4"/>
      <c r="B4594"/>
      <c r="C4594"/>
      <c r="D4594"/>
    </row>
    <row r="4595" spans="1:4" x14ac:dyDescent="0.2">
      <c r="A4595" s="4"/>
      <c r="B4595"/>
      <c r="C4595"/>
      <c r="D4595"/>
    </row>
    <row r="4596" spans="1:4" x14ac:dyDescent="0.2">
      <c r="A4596" s="4"/>
      <c r="B4596"/>
      <c r="C4596"/>
      <c r="D4596"/>
    </row>
    <row r="4597" spans="1:4" x14ac:dyDescent="0.2">
      <c r="A4597" s="4"/>
      <c r="B4597"/>
      <c r="C4597"/>
      <c r="D4597"/>
    </row>
    <row r="4598" spans="1:4" x14ac:dyDescent="0.2">
      <c r="A4598" s="4"/>
      <c r="B4598"/>
      <c r="C4598"/>
      <c r="D4598"/>
    </row>
    <row r="4599" spans="1:4" x14ac:dyDescent="0.2">
      <c r="A4599" s="4"/>
      <c r="B4599"/>
      <c r="C4599"/>
      <c r="D4599"/>
    </row>
    <row r="4600" spans="1:4" x14ac:dyDescent="0.2">
      <c r="A4600" s="4"/>
      <c r="B4600"/>
      <c r="C4600"/>
      <c r="D4600"/>
    </row>
    <row r="4601" spans="1:4" x14ac:dyDescent="0.2">
      <c r="A4601" s="4"/>
      <c r="B4601"/>
      <c r="C4601"/>
      <c r="D4601"/>
    </row>
    <row r="4602" spans="1:4" x14ac:dyDescent="0.2">
      <c r="A4602" s="4"/>
      <c r="B4602"/>
      <c r="C4602"/>
      <c r="D4602"/>
    </row>
    <row r="4603" spans="1:4" x14ac:dyDescent="0.2">
      <c r="A4603" s="4"/>
      <c r="B4603"/>
      <c r="C4603"/>
      <c r="D4603"/>
    </row>
    <row r="4604" spans="1:4" x14ac:dyDescent="0.2">
      <c r="A4604" s="4"/>
      <c r="B4604"/>
      <c r="C4604"/>
      <c r="D4604"/>
    </row>
    <row r="4605" spans="1:4" x14ac:dyDescent="0.2">
      <c r="A4605" s="4"/>
      <c r="B4605"/>
      <c r="C4605"/>
      <c r="D4605"/>
    </row>
    <row r="4606" spans="1:4" x14ac:dyDescent="0.2">
      <c r="A4606" s="4"/>
      <c r="B4606"/>
      <c r="C4606"/>
      <c r="D4606"/>
    </row>
    <row r="4607" spans="1:4" x14ac:dyDescent="0.2">
      <c r="A4607" s="4"/>
      <c r="B4607"/>
      <c r="C4607"/>
      <c r="D4607"/>
    </row>
    <row r="4608" spans="1:4" x14ac:dyDescent="0.2">
      <c r="A4608" s="4"/>
      <c r="B4608"/>
      <c r="C4608"/>
      <c r="D4608"/>
    </row>
    <row r="4609" spans="1:4" x14ac:dyDescent="0.2">
      <c r="A4609" s="4"/>
      <c r="B4609"/>
      <c r="C4609"/>
      <c r="D4609"/>
    </row>
    <row r="4610" spans="1:4" x14ac:dyDescent="0.2">
      <c r="A4610" s="4"/>
      <c r="B4610"/>
      <c r="C4610"/>
      <c r="D4610"/>
    </row>
    <row r="4611" spans="1:4" x14ac:dyDescent="0.2">
      <c r="A4611" s="4"/>
      <c r="B4611"/>
      <c r="C4611"/>
      <c r="D4611"/>
    </row>
    <row r="4612" spans="1:4" x14ac:dyDescent="0.2">
      <c r="A4612" s="4"/>
      <c r="B4612"/>
      <c r="C4612"/>
      <c r="D4612"/>
    </row>
    <row r="4613" spans="1:4" x14ac:dyDescent="0.2">
      <c r="A4613" s="4"/>
      <c r="B4613"/>
      <c r="C4613"/>
      <c r="D4613"/>
    </row>
    <row r="4614" spans="1:4" x14ac:dyDescent="0.2">
      <c r="A4614" s="4"/>
      <c r="B4614"/>
      <c r="C4614"/>
      <c r="D4614"/>
    </row>
    <row r="4615" spans="1:4" x14ac:dyDescent="0.2">
      <c r="A4615" s="4"/>
      <c r="B4615"/>
      <c r="C4615"/>
      <c r="D4615"/>
    </row>
    <row r="4616" spans="1:4" x14ac:dyDescent="0.2">
      <c r="A4616" s="4"/>
      <c r="B4616"/>
      <c r="C4616"/>
      <c r="D4616"/>
    </row>
    <row r="4617" spans="1:4" x14ac:dyDescent="0.2">
      <c r="A4617" s="4"/>
      <c r="B4617"/>
      <c r="C4617"/>
      <c r="D4617"/>
    </row>
    <row r="4618" spans="1:4" x14ac:dyDescent="0.2">
      <c r="A4618" s="4"/>
      <c r="B4618"/>
      <c r="C4618"/>
      <c r="D4618"/>
    </row>
    <row r="4619" spans="1:4" x14ac:dyDescent="0.2">
      <c r="A4619" s="4"/>
      <c r="B4619"/>
      <c r="C4619"/>
      <c r="D4619"/>
    </row>
    <row r="4620" spans="1:4" x14ac:dyDescent="0.2">
      <c r="A4620" s="4"/>
      <c r="B4620"/>
      <c r="C4620"/>
      <c r="D4620"/>
    </row>
    <row r="4621" spans="1:4" x14ac:dyDescent="0.2">
      <c r="A4621" s="4"/>
      <c r="B4621"/>
      <c r="C4621"/>
      <c r="D4621"/>
    </row>
    <row r="4622" spans="1:4" x14ac:dyDescent="0.2">
      <c r="A4622" s="4"/>
      <c r="B4622"/>
      <c r="C4622"/>
      <c r="D4622"/>
    </row>
    <row r="4623" spans="1:4" x14ac:dyDescent="0.2">
      <c r="A4623" s="4"/>
      <c r="B4623"/>
      <c r="C4623"/>
      <c r="D4623"/>
    </row>
    <row r="4624" spans="1:4" x14ac:dyDescent="0.2">
      <c r="A4624" s="4"/>
      <c r="B4624"/>
      <c r="C4624"/>
      <c r="D4624"/>
    </row>
    <row r="4625" spans="1:4" x14ac:dyDescent="0.2">
      <c r="A4625" s="4"/>
      <c r="B4625"/>
      <c r="C4625"/>
      <c r="D4625"/>
    </row>
    <row r="4626" spans="1:4" x14ac:dyDescent="0.2">
      <c r="A4626" s="4"/>
      <c r="B4626"/>
      <c r="C4626"/>
      <c r="D4626"/>
    </row>
    <row r="4627" spans="1:4" x14ac:dyDescent="0.2">
      <c r="A4627" s="4"/>
      <c r="B4627"/>
      <c r="C4627"/>
      <c r="D4627"/>
    </row>
    <row r="4628" spans="1:4" x14ac:dyDescent="0.2">
      <c r="A4628" s="4"/>
      <c r="B4628"/>
      <c r="C4628"/>
      <c r="D4628"/>
    </row>
    <row r="4629" spans="1:4" x14ac:dyDescent="0.2">
      <c r="A4629" s="4"/>
      <c r="B4629"/>
      <c r="C4629"/>
      <c r="D4629"/>
    </row>
    <row r="4630" spans="1:4" x14ac:dyDescent="0.2">
      <c r="A4630" s="4"/>
      <c r="B4630"/>
      <c r="C4630"/>
      <c r="D4630"/>
    </row>
    <row r="4631" spans="1:4" x14ac:dyDescent="0.2">
      <c r="A4631" s="4"/>
      <c r="B4631"/>
      <c r="C4631"/>
      <c r="D4631"/>
    </row>
    <row r="4632" spans="1:4" x14ac:dyDescent="0.2">
      <c r="A4632" s="4"/>
      <c r="B4632"/>
      <c r="C4632"/>
      <c r="D4632"/>
    </row>
    <row r="4633" spans="1:4" x14ac:dyDescent="0.2">
      <c r="A4633" s="4"/>
      <c r="B4633"/>
      <c r="C4633"/>
      <c r="D4633"/>
    </row>
    <row r="4634" spans="1:4" x14ac:dyDescent="0.2">
      <c r="A4634" s="4"/>
      <c r="B4634"/>
      <c r="C4634"/>
      <c r="D4634"/>
    </row>
    <row r="4635" spans="1:4" x14ac:dyDescent="0.2">
      <c r="A4635" s="4"/>
      <c r="B4635"/>
      <c r="C4635"/>
      <c r="D4635"/>
    </row>
    <row r="4636" spans="1:4" x14ac:dyDescent="0.2">
      <c r="A4636" s="4"/>
      <c r="B4636"/>
      <c r="C4636"/>
      <c r="D4636"/>
    </row>
    <row r="4637" spans="1:4" x14ac:dyDescent="0.2">
      <c r="A4637" s="4"/>
      <c r="B4637"/>
      <c r="C4637"/>
      <c r="D4637"/>
    </row>
    <row r="4638" spans="1:4" x14ac:dyDescent="0.2">
      <c r="A4638" s="4"/>
      <c r="B4638"/>
      <c r="C4638"/>
      <c r="D4638"/>
    </row>
    <row r="4639" spans="1:4" x14ac:dyDescent="0.2">
      <c r="A4639" s="4"/>
      <c r="B4639"/>
      <c r="C4639"/>
      <c r="D4639"/>
    </row>
    <row r="4640" spans="1:4" x14ac:dyDescent="0.2">
      <c r="A4640" s="4"/>
      <c r="B4640"/>
      <c r="C4640"/>
      <c r="D4640"/>
    </row>
    <row r="4641" spans="1:4" x14ac:dyDescent="0.2">
      <c r="A4641" s="4"/>
      <c r="B4641"/>
      <c r="C4641"/>
      <c r="D4641"/>
    </row>
    <row r="4642" spans="1:4" x14ac:dyDescent="0.2">
      <c r="A4642" s="4"/>
      <c r="B4642"/>
      <c r="C4642"/>
      <c r="D4642"/>
    </row>
    <row r="4643" spans="1:4" x14ac:dyDescent="0.2">
      <c r="A4643" s="4"/>
      <c r="B4643"/>
      <c r="C4643"/>
      <c r="D4643"/>
    </row>
    <row r="4644" spans="1:4" x14ac:dyDescent="0.2">
      <c r="A4644" s="4"/>
      <c r="B4644"/>
      <c r="C4644"/>
      <c r="D4644"/>
    </row>
    <row r="4645" spans="1:4" x14ac:dyDescent="0.2">
      <c r="A4645" s="4"/>
      <c r="B4645"/>
      <c r="C4645"/>
      <c r="D4645"/>
    </row>
    <row r="4646" spans="1:4" x14ac:dyDescent="0.2">
      <c r="A4646" s="4"/>
      <c r="B4646"/>
      <c r="C4646"/>
      <c r="D4646"/>
    </row>
    <row r="4647" spans="1:4" x14ac:dyDescent="0.2">
      <c r="A4647" s="4"/>
      <c r="B4647"/>
      <c r="C4647"/>
      <c r="D4647"/>
    </row>
    <row r="4648" spans="1:4" x14ac:dyDescent="0.2">
      <c r="A4648" s="4"/>
      <c r="B4648"/>
      <c r="C4648"/>
      <c r="D4648"/>
    </row>
    <row r="4649" spans="1:4" x14ac:dyDescent="0.2">
      <c r="A4649" s="4"/>
      <c r="B4649"/>
      <c r="C4649"/>
      <c r="D4649"/>
    </row>
    <row r="4650" spans="1:4" x14ac:dyDescent="0.2">
      <c r="A4650" s="4"/>
      <c r="B4650"/>
      <c r="C4650"/>
      <c r="D4650"/>
    </row>
    <row r="4651" spans="1:4" x14ac:dyDescent="0.2">
      <c r="A4651" s="4"/>
      <c r="B4651"/>
      <c r="C4651"/>
      <c r="D4651"/>
    </row>
    <row r="4652" spans="1:4" x14ac:dyDescent="0.2">
      <c r="A4652" s="4"/>
      <c r="B4652"/>
      <c r="C4652"/>
      <c r="D4652"/>
    </row>
    <row r="4653" spans="1:4" x14ac:dyDescent="0.2">
      <c r="A4653" s="4"/>
      <c r="B4653"/>
      <c r="C4653"/>
      <c r="D4653"/>
    </row>
    <row r="4654" spans="1:4" x14ac:dyDescent="0.2">
      <c r="A4654" s="4"/>
      <c r="B4654"/>
      <c r="C4654"/>
      <c r="D4654"/>
    </row>
    <row r="4655" spans="1:4" x14ac:dyDescent="0.2">
      <c r="A4655" s="4"/>
      <c r="B4655"/>
      <c r="C4655"/>
      <c r="D4655"/>
    </row>
    <row r="4656" spans="1:4" x14ac:dyDescent="0.2">
      <c r="A4656" s="4"/>
      <c r="B4656"/>
      <c r="C4656"/>
      <c r="D4656"/>
    </row>
    <row r="4657" spans="1:4" x14ac:dyDescent="0.2">
      <c r="A4657" s="4"/>
      <c r="B4657"/>
      <c r="C4657"/>
      <c r="D4657"/>
    </row>
    <row r="4658" spans="1:4" x14ac:dyDescent="0.2">
      <c r="A4658" s="4"/>
      <c r="B4658"/>
      <c r="C4658"/>
      <c r="D4658"/>
    </row>
    <row r="4659" spans="1:4" x14ac:dyDescent="0.2">
      <c r="A4659" s="4"/>
      <c r="B4659"/>
      <c r="C4659"/>
      <c r="D4659"/>
    </row>
    <row r="4660" spans="1:4" x14ac:dyDescent="0.2">
      <c r="A4660" s="4"/>
      <c r="B4660"/>
      <c r="C4660"/>
      <c r="D4660"/>
    </row>
    <row r="4661" spans="1:4" x14ac:dyDescent="0.2">
      <c r="A4661" s="4"/>
      <c r="B4661"/>
      <c r="C4661"/>
      <c r="D4661"/>
    </row>
    <row r="4662" spans="1:4" x14ac:dyDescent="0.2">
      <c r="A4662" s="4"/>
      <c r="B4662"/>
      <c r="C4662"/>
      <c r="D4662"/>
    </row>
    <row r="4663" spans="1:4" x14ac:dyDescent="0.2">
      <c r="A4663" s="4"/>
      <c r="B4663"/>
      <c r="C4663"/>
      <c r="D4663"/>
    </row>
    <row r="4664" spans="1:4" x14ac:dyDescent="0.2">
      <c r="A4664" s="4"/>
      <c r="B4664"/>
      <c r="C4664"/>
      <c r="D4664"/>
    </row>
    <row r="4665" spans="1:4" x14ac:dyDescent="0.2">
      <c r="A4665" s="4"/>
      <c r="B4665"/>
      <c r="C4665"/>
      <c r="D4665"/>
    </row>
    <row r="4666" spans="1:4" x14ac:dyDescent="0.2">
      <c r="A4666" s="4"/>
      <c r="B4666"/>
      <c r="C4666"/>
      <c r="D4666"/>
    </row>
    <row r="4667" spans="1:4" x14ac:dyDescent="0.2">
      <c r="A4667" s="4"/>
      <c r="B4667"/>
      <c r="C4667"/>
      <c r="D4667"/>
    </row>
    <row r="4668" spans="1:4" x14ac:dyDescent="0.2">
      <c r="A4668" s="4"/>
      <c r="B4668"/>
      <c r="C4668"/>
      <c r="D4668"/>
    </row>
    <row r="4669" spans="1:4" x14ac:dyDescent="0.2">
      <c r="A4669" s="4"/>
      <c r="B4669"/>
      <c r="C4669"/>
      <c r="D4669"/>
    </row>
    <row r="4670" spans="1:4" x14ac:dyDescent="0.2">
      <c r="A4670" s="4"/>
      <c r="B4670"/>
      <c r="C4670"/>
      <c r="D4670"/>
    </row>
    <row r="4671" spans="1:4" x14ac:dyDescent="0.2">
      <c r="A4671" s="4"/>
      <c r="B4671"/>
      <c r="C4671"/>
      <c r="D4671"/>
    </row>
    <row r="4672" spans="1:4" x14ac:dyDescent="0.2">
      <c r="A4672" s="4"/>
      <c r="B4672"/>
      <c r="C4672"/>
      <c r="D4672"/>
    </row>
    <row r="4673" spans="1:4" x14ac:dyDescent="0.2">
      <c r="A4673" s="4"/>
      <c r="B4673"/>
      <c r="C4673"/>
      <c r="D4673"/>
    </row>
    <row r="4674" spans="1:4" x14ac:dyDescent="0.2">
      <c r="A4674" s="4"/>
      <c r="B4674"/>
      <c r="C4674"/>
      <c r="D4674"/>
    </row>
    <row r="4675" spans="1:4" x14ac:dyDescent="0.2">
      <c r="A4675" s="4"/>
      <c r="B4675"/>
      <c r="C4675"/>
      <c r="D4675"/>
    </row>
    <row r="4676" spans="1:4" x14ac:dyDescent="0.2">
      <c r="A4676" s="4"/>
      <c r="B4676"/>
      <c r="C4676"/>
      <c r="D4676"/>
    </row>
    <row r="4677" spans="1:4" x14ac:dyDescent="0.2">
      <c r="A4677" s="4"/>
      <c r="B4677"/>
      <c r="C4677"/>
      <c r="D4677"/>
    </row>
    <row r="4678" spans="1:4" x14ac:dyDescent="0.2">
      <c r="A4678" s="4"/>
      <c r="B4678"/>
      <c r="C4678"/>
      <c r="D4678"/>
    </row>
    <row r="4679" spans="1:4" x14ac:dyDescent="0.2">
      <c r="A4679" s="4"/>
      <c r="B4679"/>
      <c r="C4679"/>
      <c r="D4679"/>
    </row>
    <row r="4680" spans="1:4" x14ac:dyDescent="0.2">
      <c r="A4680" s="4"/>
      <c r="B4680"/>
      <c r="C4680"/>
      <c r="D4680"/>
    </row>
    <row r="4681" spans="1:4" x14ac:dyDescent="0.2">
      <c r="A4681" s="4"/>
      <c r="B4681"/>
      <c r="C4681"/>
      <c r="D4681"/>
    </row>
    <row r="4682" spans="1:4" x14ac:dyDescent="0.2">
      <c r="A4682" s="4"/>
      <c r="B4682"/>
      <c r="C4682"/>
      <c r="D4682"/>
    </row>
    <row r="4683" spans="1:4" x14ac:dyDescent="0.2">
      <c r="A4683" s="4"/>
      <c r="B4683"/>
      <c r="C4683"/>
      <c r="D4683"/>
    </row>
    <row r="4684" spans="1:4" x14ac:dyDescent="0.2">
      <c r="A4684" s="4"/>
      <c r="B4684"/>
      <c r="C4684"/>
      <c r="D4684"/>
    </row>
    <row r="4685" spans="1:4" x14ac:dyDescent="0.2">
      <c r="A4685" s="4"/>
      <c r="B4685"/>
      <c r="C4685"/>
      <c r="D4685"/>
    </row>
    <row r="4686" spans="1:4" x14ac:dyDescent="0.2">
      <c r="A4686" s="4"/>
      <c r="B4686"/>
      <c r="C4686"/>
      <c r="D4686"/>
    </row>
    <row r="4687" spans="1:4" x14ac:dyDescent="0.2">
      <c r="A4687" s="4"/>
      <c r="B4687"/>
      <c r="C4687"/>
      <c r="D4687"/>
    </row>
    <row r="4688" spans="1:4" x14ac:dyDescent="0.2">
      <c r="A4688" s="4"/>
      <c r="B4688"/>
      <c r="C4688"/>
      <c r="D4688"/>
    </row>
    <row r="4689" spans="1:4" x14ac:dyDescent="0.2">
      <c r="A4689" s="4"/>
      <c r="B4689"/>
      <c r="C4689"/>
      <c r="D4689"/>
    </row>
    <row r="4690" spans="1:4" x14ac:dyDescent="0.2">
      <c r="A4690" s="4"/>
      <c r="B4690"/>
      <c r="C4690"/>
      <c r="D4690"/>
    </row>
    <row r="4691" spans="1:4" x14ac:dyDescent="0.2">
      <c r="A4691" s="4"/>
      <c r="B4691"/>
      <c r="C4691"/>
      <c r="D4691"/>
    </row>
    <row r="4692" spans="1:4" x14ac:dyDescent="0.2">
      <c r="A4692" s="4"/>
      <c r="B4692"/>
      <c r="C4692"/>
      <c r="D4692"/>
    </row>
    <row r="4693" spans="1:4" x14ac:dyDescent="0.2">
      <c r="A4693" s="4"/>
      <c r="B4693"/>
      <c r="C4693"/>
      <c r="D4693"/>
    </row>
    <row r="4694" spans="1:4" x14ac:dyDescent="0.2">
      <c r="A4694" s="4"/>
      <c r="B4694"/>
      <c r="C4694"/>
      <c r="D4694"/>
    </row>
    <row r="4695" spans="1:4" x14ac:dyDescent="0.2">
      <c r="A4695" s="4"/>
      <c r="B4695"/>
      <c r="C4695"/>
      <c r="D4695"/>
    </row>
    <row r="4696" spans="1:4" x14ac:dyDescent="0.2">
      <c r="A4696" s="4"/>
      <c r="B4696"/>
      <c r="C4696"/>
      <c r="D4696"/>
    </row>
    <row r="4697" spans="1:4" x14ac:dyDescent="0.2">
      <c r="A4697" s="4"/>
      <c r="B4697"/>
      <c r="C4697"/>
      <c r="D4697"/>
    </row>
    <row r="4698" spans="1:4" x14ac:dyDescent="0.2">
      <c r="A4698" s="4"/>
      <c r="B4698"/>
      <c r="C4698"/>
      <c r="D4698"/>
    </row>
    <row r="4699" spans="1:4" x14ac:dyDescent="0.2">
      <c r="A4699" s="4"/>
      <c r="B4699"/>
      <c r="C4699"/>
      <c r="D4699"/>
    </row>
    <row r="4700" spans="1:4" x14ac:dyDescent="0.2">
      <c r="A4700" s="4"/>
      <c r="B4700"/>
      <c r="C4700"/>
      <c r="D4700"/>
    </row>
    <row r="4701" spans="1:4" x14ac:dyDescent="0.2">
      <c r="A4701" s="4"/>
      <c r="B4701"/>
      <c r="C4701"/>
      <c r="D4701"/>
    </row>
    <row r="4702" spans="1:4" x14ac:dyDescent="0.2">
      <c r="A4702" s="4"/>
      <c r="B4702"/>
      <c r="C4702"/>
      <c r="D4702"/>
    </row>
    <row r="4703" spans="1:4" x14ac:dyDescent="0.2">
      <c r="A4703" s="4"/>
      <c r="B4703"/>
      <c r="C4703"/>
      <c r="D4703"/>
    </row>
    <row r="4704" spans="1:4" x14ac:dyDescent="0.2">
      <c r="A4704" s="4"/>
      <c r="B4704"/>
      <c r="C4704"/>
      <c r="D4704"/>
    </row>
    <row r="4705" spans="1:4" x14ac:dyDescent="0.2">
      <c r="A4705" s="4"/>
      <c r="B4705"/>
      <c r="C4705"/>
      <c r="D4705"/>
    </row>
    <row r="4706" spans="1:4" x14ac:dyDescent="0.2">
      <c r="A4706" s="4"/>
      <c r="B4706"/>
      <c r="C4706"/>
      <c r="D4706"/>
    </row>
    <row r="4707" spans="1:4" x14ac:dyDescent="0.2">
      <c r="A4707" s="4"/>
      <c r="B4707"/>
      <c r="C4707"/>
      <c r="D4707"/>
    </row>
    <row r="4708" spans="1:4" x14ac:dyDescent="0.2">
      <c r="A4708" s="4"/>
      <c r="B4708"/>
      <c r="C4708"/>
      <c r="D4708"/>
    </row>
    <row r="4709" spans="1:4" x14ac:dyDescent="0.2">
      <c r="A4709" s="4"/>
      <c r="B4709"/>
      <c r="C4709"/>
      <c r="D4709"/>
    </row>
    <row r="4710" spans="1:4" x14ac:dyDescent="0.2">
      <c r="A4710" s="4"/>
      <c r="B4710"/>
      <c r="C4710"/>
      <c r="D4710"/>
    </row>
    <row r="4711" spans="1:4" x14ac:dyDescent="0.2">
      <c r="A4711" s="4"/>
      <c r="B4711"/>
      <c r="C4711"/>
      <c r="D4711"/>
    </row>
    <row r="4712" spans="1:4" x14ac:dyDescent="0.2">
      <c r="A4712" s="4"/>
      <c r="B4712"/>
      <c r="C4712"/>
      <c r="D4712"/>
    </row>
    <row r="4713" spans="1:4" x14ac:dyDescent="0.2">
      <c r="A4713" s="4"/>
      <c r="B4713"/>
      <c r="C4713"/>
      <c r="D4713"/>
    </row>
    <row r="4714" spans="1:4" x14ac:dyDescent="0.2">
      <c r="A4714" s="4"/>
      <c r="B4714"/>
      <c r="C4714"/>
      <c r="D4714"/>
    </row>
    <row r="4715" spans="1:4" x14ac:dyDescent="0.2">
      <c r="A4715" s="4"/>
      <c r="B4715"/>
      <c r="C4715"/>
      <c r="D4715"/>
    </row>
    <row r="4716" spans="1:4" x14ac:dyDescent="0.2">
      <c r="A4716" s="4"/>
      <c r="B4716"/>
      <c r="C4716"/>
      <c r="D4716"/>
    </row>
    <row r="4717" spans="1:4" x14ac:dyDescent="0.2">
      <c r="A4717" s="4"/>
      <c r="B4717"/>
      <c r="C4717"/>
      <c r="D4717"/>
    </row>
    <row r="4718" spans="1:4" x14ac:dyDescent="0.2">
      <c r="A4718" s="4"/>
      <c r="B4718"/>
      <c r="C4718"/>
      <c r="D4718"/>
    </row>
    <row r="4719" spans="1:4" x14ac:dyDescent="0.2">
      <c r="A4719" s="4"/>
      <c r="B4719"/>
      <c r="C4719"/>
      <c r="D4719"/>
    </row>
    <row r="4720" spans="1:4" x14ac:dyDescent="0.2">
      <c r="A4720" s="4"/>
      <c r="B4720"/>
      <c r="C4720"/>
      <c r="D4720"/>
    </row>
    <row r="4721" spans="1:4" x14ac:dyDescent="0.2">
      <c r="A4721" s="4"/>
      <c r="B4721"/>
      <c r="C4721"/>
      <c r="D4721"/>
    </row>
    <row r="4722" spans="1:4" x14ac:dyDescent="0.2">
      <c r="A4722" s="4"/>
      <c r="B4722"/>
      <c r="C4722"/>
      <c r="D4722"/>
    </row>
    <row r="4723" spans="1:4" x14ac:dyDescent="0.2">
      <c r="A4723" s="4"/>
      <c r="B4723"/>
      <c r="C4723"/>
      <c r="D4723"/>
    </row>
    <row r="4724" spans="1:4" x14ac:dyDescent="0.2">
      <c r="A4724" s="4"/>
      <c r="B4724"/>
      <c r="C4724"/>
      <c r="D4724"/>
    </row>
    <row r="4725" spans="1:4" x14ac:dyDescent="0.2">
      <c r="A4725" s="4"/>
      <c r="B4725"/>
      <c r="C4725"/>
      <c r="D4725"/>
    </row>
    <row r="4726" spans="1:4" x14ac:dyDescent="0.2">
      <c r="A4726" s="4"/>
      <c r="B4726"/>
      <c r="C4726"/>
      <c r="D4726"/>
    </row>
    <row r="4727" spans="1:4" x14ac:dyDescent="0.2">
      <c r="A4727" s="4"/>
      <c r="B4727"/>
      <c r="C4727"/>
      <c r="D4727"/>
    </row>
    <row r="4728" spans="1:4" x14ac:dyDescent="0.2">
      <c r="A4728" s="4"/>
      <c r="B4728"/>
      <c r="C4728"/>
      <c r="D4728"/>
    </row>
    <row r="4729" spans="1:4" x14ac:dyDescent="0.2">
      <c r="A4729" s="4"/>
      <c r="B4729"/>
      <c r="C4729"/>
      <c r="D4729"/>
    </row>
    <row r="4730" spans="1:4" x14ac:dyDescent="0.2">
      <c r="A4730" s="4"/>
      <c r="B4730"/>
      <c r="C4730"/>
      <c r="D4730"/>
    </row>
    <row r="4731" spans="1:4" x14ac:dyDescent="0.2">
      <c r="A4731" s="4"/>
      <c r="B4731"/>
      <c r="C4731"/>
      <c r="D4731"/>
    </row>
    <row r="4732" spans="1:4" x14ac:dyDescent="0.2">
      <c r="A4732" s="4"/>
      <c r="B4732"/>
      <c r="C4732"/>
      <c r="D4732"/>
    </row>
    <row r="4733" spans="1:4" x14ac:dyDescent="0.2">
      <c r="A4733" s="4"/>
      <c r="B4733"/>
      <c r="C4733"/>
      <c r="D4733"/>
    </row>
    <row r="4734" spans="1:4" x14ac:dyDescent="0.2">
      <c r="A4734" s="4"/>
      <c r="B4734"/>
      <c r="C4734"/>
      <c r="D4734"/>
    </row>
    <row r="4735" spans="1:4" x14ac:dyDescent="0.2">
      <c r="A4735" s="4"/>
      <c r="B4735"/>
      <c r="C4735"/>
      <c r="D4735"/>
    </row>
    <row r="4736" spans="1:4" x14ac:dyDescent="0.2">
      <c r="A4736" s="4"/>
      <c r="B4736"/>
      <c r="C4736"/>
      <c r="D4736"/>
    </row>
    <row r="4737" spans="1:4" x14ac:dyDescent="0.2">
      <c r="A4737" s="4"/>
      <c r="B4737"/>
      <c r="C4737"/>
      <c r="D4737"/>
    </row>
    <row r="4738" spans="1:4" x14ac:dyDescent="0.2">
      <c r="A4738" s="4"/>
      <c r="B4738"/>
      <c r="C4738"/>
      <c r="D4738"/>
    </row>
    <row r="4739" spans="1:4" x14ac:dyDescent="0.2">
      <c r="A4739" s="4"/>
      <c r="B4739"/>
      <c r="C4739"/>
      <c r="D4739"/>
    </row>
    <row r="4740" spans="1:4" x14ac:dyDescent="0.2">
      <c r="A4740" s="4"/>
      <c r="B4740"/>
      <c r="C4740"/>
      <c r="D4740"/>
    </row>
    <row r="4741" spans="1:4" x14ac:dyDescent="0.2">
      <c r="A4741" s="4"/>
      <c r="B4741"/>
      <c r="C4741"/>
      <c r="D4741"/>
    </row>
    <row r="4742" spans="1:4" x14ac:dyDescent="0.2">
      <c r="A4742" s="4"/>
      <c r="B4742"/>
      <c r="C4742"/>
      <c r="D4742"/>
    </row>
    <row r="4743" spans="1:4" x14ac:dyDescent="0.2">
      <c r="A4743" s="4"/>
      <c r="B4743"/>
      <c r="C4743"/>
      <c r="D4743"/>
    </row>
    <row r="4744" spans="1:4" x14ac:dyDescent="0.2">
      <c r="A4744" s="4"/>
      <c r="B4744"/>
      <c r="C4744"/>
      <c r="D4744"/>
    </row>
    <row r="4745" spans="1:4" x14ac:dyDescent="0.2">
      <c r="A4745" s="4"/>
      <c r="B4745"/>
      <c r="C4745"/>
      <c r="D4745"/>
    </row>
    <row r="4746" spans="1:4" x14ac:dyDescent="0.2">
      <c r="A4746" s="4"/>
      <c r="B4746"/>
      <c r="C4746"/>
      <c r="D4746"/>
    </row>
    <row r="4747" spans="1:4" x14ac:dyDescent="0.2">
      <c r="A4747" s="4"/>
      <c r="B4747"/>
      <c r="C4747"/>
      <c r="D4747"/>
    </row>
    <row r="4748" spans="1:4" x14ac:dyDescent="0.2">
      <c r="A4748" s="4"/>
      <c r="B4748"/>
      <c r="C4748"/>
      <c r="D4748"/>
    </row>
    <row r="4749" spans="1:4" x14ac:dyDescent="0.2">
      <c r="A4749" s="4"/>
      <c r="B4749"/>
      <c r="C4749"/>
      <c r="D4749"/>
    </row>
    <row r="4750" spans="1:4" x14ac:dyDescent="0.2">
      <c r="A4750" s="4"/>
      <c r="B4750"/>
      <c r="C4750"/>
      <c r="D4750"/>
    </row>
    <row r="4751" spans="1:4" x14ac:dyDescent="0.2">
      <c r="A4751" s="4"/>
      <c r="B4751"/>
      <c r="C4751"/>
      <c r="D4751"/>
    </row>
    <row r="4752" spans="1:4" x14ac:dyDescent="0.2">
      <c r="A4752" s="4"/>
      <c r="B4752"/>
      <c r="C4752"/>
      <c r="D4752"/>
    </row>
    <row r="4753" spans="1:4" x14ac:dyDescent="0.2">
      <c r="A4753" s="4"/>
      <c r="B4753"/>
      <c r="C4753"/>
      <c r="D4753"/>
    </row>
    <row r="4754" spans="1:4" x14ac:dyDescent="0.2">
      <c r="A4754" s="4"/>
      <c r="B4754"/>
      <c r="C4754"/>
      <c r="D4754"/>
    </row>
    <row r="4755" spans="1:4" x14ac:dyDescent="0.2">
      <c r="A4755" s="4"/>
      <c r="B4755"/>
      <c r="C4755"/>
      <c r="D4755"/>
    </row>
    <row r="4756" spans="1:4" x14ac:dyDescent="0.2">
      <c r="A4756" s="4"/>
      <c r="B4756"/>
      <c r="C4756"/>
      <c r="D4756"/>
    </row>
    <row r="4757" spans="1:4" x14ac:dyDescent="0.2">
      <c r="A4757" s="4"/>
      <c r="B4757"/>
      <c r="C4757"/>
      <c r="D4757"/>
    </row>
    <row r="4758" spans="1:4" x14ac:dyDescent="0.2">
      <c r="A4758" s="4"/>
      <c r="B4758"/>
      <c r="C4758"/>
      <c r="D4758"/>
    </row>
    <row r="4759" spans="1:4" x14ac:dyDescent="0.2">
      <c r="A4759" s="4"/>
      <c r="B4759"/>
      <c r="C4759"/>
      <c r="D4759"/>
    </row>
    <row r="4760" spans="1:4" x14ac:dyDescent="0.2">
      <c r="A4760" s="4"/>
      <c r="B4760"/>
      <c r="C4760"/>
      <c r="D4760"/>
    </row>
    <row r="4761" spans="1:4" x14ac:dyDescent="0.2">
      <c r="A4761" s="4"/>
      <c r="B4761"/>
      <c r="C4761"/>
      <c r="D4761"/>
    </row>
    <row r="4762" spans="1:4" x14ac:dyDescent="0.2">
      <c r="A4762" s="4"/>
      <c r="B4762"/>
      <c r="C4762"/>
      <c r="D4762"/>
    </row>
    <row r="4763" spans="1:4" x14ac:dyDescent="0.2">
      <c r="A4763" s="4"/>
      <c r="B4763"/>
      <c r="C4763"/>
      <c r="D4763"/>
    </row>
    <row r="4764" spans="1:4" x14ac:dyDescent="0.2">
      <c r="A4764" s="4"/>
      <c r="B4764"/>
      <c r="C4764"/>
      <c r="D4764"/>
    </row>
    <row r="4765" spans="1:4" x14ac:dyDescent="0.2">
      <c r="A4765" s="4"/>
      <c r="B4765"/>
      <c r="C4765"/>
      <c r="D4765"/>
    </row>
    <row r="4766" spans="1:4" x14ac:dyDescent="0.2">
      <c r="A4766" s="4"/>
      <c r="B4766"/>
      <c r="C4766"/>
      <c r="D4766"/>
    </row>
    <row r="4767" spans="1:4" x14ac:dyDescent="0.2">
      <c r="A4767" s="4"/>
      <c r="B4767"/>
      <c r="C4767"/>
      <c r="D4767"/>
    </row>
    <row r="4768" spans="1:4" x14ac:dyDescent="0.2">
      <c r="A4768" s="4"/>
      <c r="B4768"/>
      <c r="C4768"/>
      <c r="D4768"/>
    </row>
    <row r="4769" spans="1:4" x14ac:dyDescent="0.2">
      <c r="A4769" s="4"/>
      <c r="B4769"/>
      <c r="C4769"/>
      <c r="D4769"/>
    </row>
    <row r="4770" spans="1:4" x14ac:dyDescent="0.2">
      <c r="A4770" s="4"/>
      <c r="B4770"/>
      <c r="C4770"/>
      <c r="D4770"/>
    </row>
    <row r="4771" spans="1:4" x14ac:dyDescent="0.2">
      <c r="A4771" s="4"/>
      <c r="B4771"/>
      <c r="C4771"/>
      <c r="D4771"/>
    </row>
    <row r="4772" spans="1:4" x14ac:dyDescent="0.2">
      <c r="A4772" s="4"/>
      <c r="B4772"/>
      <c r="C4772"/>
      <c r="D4772"/>
    </row>
    <row r="4773" spans="1:4" x14ac:dyDescent="0.2">
      <c r="A4773" s="4"/>
      <c r="B4773"/>
      <c r="C4773"/>
      <c r="D4773"/>
    </row>
    <row r="4774" spans="1:4" x14ac:dyDescent="0.2">
      <c r="A4774" s="4"/>
      <c r="B4774"/>
      <c r="C4774"/>
      <c r="D4774"/>
    </row>
    <row r="4775" spans="1:4" x14ac:dyDescent="0.2">
      <c r="A4775" s="4"/>
      <c r="B4775"/>
      <c r="C4775"/>
      <c r="D4775"/>
    </row>
    <row r="4776" spans="1:4" x14ac:dyDescent="0.2">
      <c r="A4776" s="4"/>
      <c r="B4776"/>
      <c r="C4776"/>
      <c r="D4776"/>
    </row>
    <row r="4777" spans="1:4" x14ac:dyDescent="0.2">
      <c r="A4777" s="4"/>
      <c r="B4777"/>
      <c r="C4777"/>
      <c r="D4777"/>
    </row>
    <row r="4778" spans="1:4" x14ac:dyDescent="0.2">
      <c r="A4778" s="4"/>
      <c r="B4778"/>
      <c r="C4778"/>
      <c r="D4778"/>
    </row>
    <row r="4779" spans="1:4" x14ac:dyDescent="0.2">
      <c r="A4779" s="4"/>
      <c r="B4779"/>
      <c r="C4779"/>
      <c r="D4779"/>
    </row>
    <row r="4780" spans="1:4" x14ac:dyDescent="0.2">
      <c r="A4780" s="4"/>
      <c r="B4780"/>
      <c r="C4780"/>
      <c r="D4780"/>
    </row>
    <row r="4781" spans="1:4" x14ac:dyDescent="0.2">
      <c r="A4781" s="4"/>
      <c r="B4781"/>
      <c r="C4781"/>
      <c r="D4781"/>
    </row>
    <row r="4782" spans="1:4" x14ac:dyDescent="0.2">
      <c r="A4782" s="4"/>
      <c r="B4782"/>
      <c r="C4782"/>
      <c r="D4782"/>
    </row>
    <row r="4783" spans="1:4" x14ac:dyDescent="0.2">
      <c r="A4783" s="4"/>
      <c r="B4783"/>
      <c r="C4783"/>
      <c r="D4783"/>
    </row>
    <row r="4784" spans="1:4" x14ac:dyDescent="0.2">
      <c r="A4784" s="4"/>
      <c r="B4784"/>
      <c r="C4784"/>
      <c r="D4784"/>
    </row>
    <row r="4785" spans="1:4" x14ac:dyDescent="0.2">
      <c r="A4785" s="4"/>
      <c r="B4785"/>
      <c r="C4785"/>
      <c r="D4785"/>
    </row>
    <row r="4786" spans="1:4" x14ac:dyDescent="0.2">
      <c r="A4786" s="4"/>
      <c r="B4786"/>
      <c r="C4786"/>
      <c r="D4786"/>
    </row>
    <row r="4787" spans="1:4" x14ac:dyDescent="0.2">
      <c r="A4787" s="4"/>
      <c r="B4787"/>
      <c r="C4787"/>
      <c r="D4787"/>
    </row>
    <row r="4788" spans="1:4" x14ac:dyDescent="0.2">
      <c r="A4788" s="4"/>
      <c r="B4788"/>
      <c r="C4788"/>
      <c r="D4788"/>
    </row>
    <row r="4789" spans="1:4" x14ac:dyDescent="0.2">
      <c r="A4789" s="4"/>
      <c r="B4789"/>
      <c r="C4789"/>
      <c r="D4789"/>
    </row>
    <row r="4790" spans="1:4" x14ac:dyDescent="0.2">
      <c r="A4790" s="4"/>
      <c r="B4790"/>
      <c r="C4790"/>
      <c r="D4790"/>
    </row>
    <row r="4791" spans="1:4" x14ac:dyDescent="0.2">
      <c r="A4791" s="4"/>
      <c r="B4791"/>
      <c r="C4791"/>
      <c r="D4791"/>
    </row>
    <row r="4792" spans="1:4" x14ac:dyDescent="0.2">
      <c r="A4792" s="4"/>
      <c r="B4792"/>
      <c r="C4792"/>
      <c r="D4792"/>
    </row>
    <row r="4793" spans="1:4" x14ac:dyDescent="0.2">
      <c r="A4793" s="4"/>
      <c r="B4793"/>
      <c r="C4793"/>
      <c r="D4793"/>
    </row>
    <row r="4794" spans="1:4" x14ac:dyDescent="0.2">
      <c r="A4794" s="4"/>
      <c r="B4794"/>
      <c r="C4794"/>
      <c r="D4794"/>
    </row>
    <row r="4795" spans="1:4" x14ac:dyDescent="0.2">
      <c r="A4795" s="4"/>
      <c r="B4795"/>
      <c r="C4795"/>
      <c r="D4795"/>
    </row>
    <row r="4796" spans="1:4" x14ac:dyDescent="0.2">
      <c r="A4796" s="4"/>
      <c r="B4796"/>
      <c r="C4796"/>
      <c r="D4796"/>
    </row>
    <row r="4797" spans="1:4" x14ac:dyDescent="0.2">
      <c r="A4797" s="4"/>
      <c r="B4797"/>
      <c r="C4797"/>
      <c r="D4797"/>
    </row>
    <row r="4798" spans="1:4" x14ac:dyDescent="0.2">
      <c r="A4798" s="4"/>
      <c r="B4798"/>
      <c r="C4798"/>
      <c r="D4798"/>
    </row>
    <row r="4799" spans="1:4" x14ac:dyDescent="0.2">
      <c r="A4799" s="4"/>
      <c r="B4799"/>
      <c r="C4799"/>
      <c r="D4799"/>
    </row>
    <row r="4800" spans="1:4" x14ac:dyDescent="0.2">
      <c r="A4800" s="4"/>
      <c r="B4800"/>
      <c r="C4800"/>
      <c r="D4800"/>
    </row>
    <row r="4801" spans="1:4" x14ac:dyDescent="0.2">
      <c r="A4801" s="4"/>
      <c r="B4801"/>
      <c r="C4801"/>
      <c r="D4801"/>
    </row>
    <row r="4802" spans="1:4" x14ac:dyDescent="0.2">
      <c r="A4802" s="4"/>
      <c r="B4802"/>
      <c r="C4802"/>
      <c r="D4802"/>
    </row>
    <row r="4803" spans="1:4" x14ac:dyDescent="0.2">
      <c r="A4803" s="4"/>
      <c r="B4803"/>
      <c r="C4803"/>
      <c r="D4803"/>
    </row>
    <row r="4804" spans="1:4" x14ac:dyDescent="0.2">
      <c r="A4804" s="4"/>
      <c r="B4804"/>
      <c r="C4804"/>
      <c r="D4804"/>
    </row>
    <row r="4805" spans="1:4" x14ac:dyDescent="0.2">
      <c r="A4805" s="4"/>
      <c r="B4805"/>
      <c r="C4805"/>
      <c r="D4805"/>
    </row>
    <row r="4806" spans="1:4" x14ac:dyDescent="0.2">
      <c r="A4806" s="4"/>
      <c r="B4806"/>
      <c r="C4806"/>
      <c r="D4806"/>
    </row>
    <row r="4807" spans="1:4" x14ac:dyDescent="0.2">
      <c r="A4807" s="4"/>
      <c r="B4807"/>
      <c r="C4807"/>
      <c r="D4807"/>
    </row>
    <row r="4808" spans="1:4" x14ac:dyDescent="0.2">
      <c r="A4808" s="4"/>
      <c r="B4808"/>
      <c r="C4808"/>
      <c r="D4808"/>
    </row>
    <row r="4809" spans="1:4" x14ac:dyDescent="0.2">
      <c r="A4809" s="4"/>
      <c r="B4809"/>
      <c r="C4809"/>
      <c r="D4809"/>
    </row>
    <row r="4810" spans="1:4" x14ac:dyDescent="0.2">
      <c r="A4810" s="4"/>
      <c r="B4810"/>
      <c r="C4810"/>
      <c r="D4810"/>
    </row>
    <row r="4811" spans="1:4" x14ac:dyDescent="0.2">
      <c r="A4811" s="4"/>
      <c r="B4811"/>
      <c r="C4811"/>
      <c r="D4811"/>
    </row>
    <row r="4812" spans="1:4" x14ac:dyDescent="0.2">
      <c r="A4812" s="4"/>
      <c r="B4812"/>
      <c r="C4812"/>
      <c r="D4812"/>
    </row>
    <row r="4813" spans="1:4" x14ac:dyDescent="0.2">
      <c r="A4813" s="4"/>
      <c r="B4813"/>
      <c r="C4813"/>
      <c r="D4813"/>
    </row>
    <row r="4814" spans="1:4" x14ac:dyDescent="0.2">
      <c r="A4814" s="4"/>
      <c r="B4814"/>
      <c r="C4814"/>
      <c r="D4814"/>
    </row>
    <row r="4815" spans="1:4" x14ac:dyDescent="0.2">
      <c r="A4815" s="4"/>
      <c r="B4815"/>
      <c r="C4815"/>
      <c r="D4815"/>
    </row>
    <row r="4816" spans="1:4" x14ac:dyDescent="0.2">
      <c r="A4816" s="4"/>
      <c r="B4816"/>
      <c r="C4816"/>
      <c r="D4816"/>
    </row>
    <row r="4817" spans="1:4" x14ac:dyDescent="0.2">
      <c r="A4817" s="4"/>
      <c r="B4817"/>
      <c r="C4817"/>
      <c r="D4817"/>
    </row>
    <row r="4818" spans="1:4" x14ac:dyDescent="0.2">
      <c r="A4818" s="4"/>
      <c r="B4818"/>
      <c r="C4818"/>
      <c r="D4818"/>
    </row>
    <row r="4819" spans="1:4" x14ac:dyDescent="0.2">
      <c r="A4819" s="4"/>
      <c r="B4819"/>
      <c r="C4819"/>
      <c r="D4819"/>
    </row>
    <row r="4820" spans="1:4" x14ac:dyDescent="0.2">
      <c r="A4820" s="4"/>
      <c r="B4820"/>
      <c r="C4820"/>
      <c r="D4820"/>
    </row>
    <row r="4821" spans="1:4" x14ac:dyDescent="0.2">
      <c r="A4821" s="4"/>
      <c r="B4821"/>
      <c r="C4821"/>
      <c r="D4821"/>
    </row>
    <row r="4822" spans="1:4" x14ac:dyDescent="0.2">
      <c r="A4822" s="4"/>
      <c r="B4822"/>
      <c r="C4822"/>
      <c r="D4822"/>
    </row>
    <row r="4823" spans="1:4" x14ac:dyDescent="0.2">
      <c r="A4823" s="4"/>
      <c r="B4823"/>
      <c r="C4823"/>
      <c r="D4823"/>
    </row>
    <row r="4824" spans="1:4" x14ac:dyDescent="0.2">
      <c r="A4824" s="4"/>
      <c r="B4824"/>
      <c r="C4824"/>
      <c r="D4824"/>
    </row>
    <row r="4825" spans="1:4" x14ac:dyDescent="0.2">
      <c r="A4825" s="4"/>
      <c r="B4825"/>
      <c r="C4825"/>
      <c r="D4825"/>
    </row>
    <row r="4826" spans="1:4" x14ac:dyDescent="0.2">
      <c r="A4826" s="4"/>
      <c r="B4826"/>
      <c r="C4826"/>
      <c r="D4826"/>
    </row>
    <row r="4827" spans="1:4" x14ac:dyDescent="0.2">
      <c r="A4827" s="4"/>
      <c r="B4827"/>
      <c r="C4827"/>
      <c r="D4827"/>
    </row>
    <row r="4828" spans="1:4" x14ac:dyDescent="0.2">
      <c r="A4828" s="4"/>
      <c r="B4828"/>
      <c r="C4828"/>
      <c r="D4828"/>
    </row>
    <row r="4829" spans="1:4" x14ac:dyDescent="0.2">
      <c r="A4829" s="4"/>
      <c r="B4829"/>
      <c r="C4829"/>
      <c r="D4829"/>
    </row>
    <row r="4830" spans="1:4" x14ac:dyDescent="0.2">
      <c r="A4830" s="4"/>
      <c r="B4830"/>
      <c r="C4830"/>
      <c r="D4830"/>
    </row>
    <row r="4831" spans="1:4" x14ac:dyDescent="0.2">
      <c r="A4831" s="4"/>
      <c r="B4831"/>
      <c r="C4831"/>
      <c r="D4831"/>
    </row>
    <row r="4832" spans="1:4" x14ac:dyDescent="0.2">
      <c r="A4832" s="4"/>
      <c r="B4832"/>
      <c r="C4832"/>
      <c r="D4832"/>
    </row>
    <row r="4833" spans="1:4" x14ac:dyDescent="0.2">
      <c r="A4833" s="4"/>
      <c r="B4833"/>
      <c r="C4833"/>
      <c r="D4833"/>
    </row>
    <row r="4834" spans="1:4" x14ac:dyDescent="0.2">
      <c r="A4834" s="4"/>
      <c r="B4834"/>
      <c r="C4834"/>
      <c r="D4834"/>
    </row>
    <row r="4835" spans="1:4" x14ac:dyDescent="0.2">
      <c r="A4835" s="4"/>
      <c r="B4835"/>
      <c r="C4835"/>
      <c r="D4835"/>
    </row>
    <row r="4836" spans="1:4" x14ac:dyDescent="0.2">
      <c r="A4836" s="4"/>
      <c r="B4836"/>
      <c r="C4836"/>
      <c r="D4836"/>
    </row>
    <row r="4837" spans="1:4" x14ac:dyDescent="0.2">
      <c r="A4837" s="4"/>
      <c r="B4837"/>
      <c r="C4837"/>
      <c r="D4837"/>
    </row>
    <row r="4838" spans="1:4" x14ac:dyDescent="0.2">
      <c r="A4838" s="4"/>
      <c r="B4838"/>
      <c r="C4838"/>
      <c r="D4838"/>
    </row>
    <row r="4839" spans="1:4" x14ac:dyDescent="0.2">
      <c r="A4839" s="4"/>
      <c r="B4839"/>
      <c r="C4839"/>
      <c r="D4839"/>
    </row>
    <row r="4840" spans="1:4" x14ac:dyDescent="0.2">
      <c r="A4840" s="4"/>
      <c r="B4840"/>
      <c r="C4840"/>
      <c r="D4840"/>
    </row>
    <row r="4841" spans="1:4" x14ac:dyDescent="0.2">
      <c r="A4841" s="4"/>
      <c r="B4841"/>
      <c r="C4841"/>
      <c r="D4841"/>
    </row>
    <row r="4842" spans="1:4" x14ac:dyDescent="0.2">
      <c r="A4842" s="4"/>
      <c r="B4842"/>
      <c r="C4842"/>
      <c r="D4842"/>
    </row>
    <row r="4843" spans="1:4" x14ac:dyDescent="0.2">
      <c r="A4843" s="4"/>
      <c r="B4843"/>
      <c r="C4843"/>
      <c r="D4843"/>
    </row>
    <row r="4844" spans="1:4" x14ac:dyDescent="0.2">
      <c r="A4844" s="4"/>
      <c r="B4844"/>
      <c r="C4844"/>
      <c r="D4844"/>
    </row>
    <row r="4845" spans="1:4" x14ac:dyDescent="0.2">
      <c r="A4845" s="4"/>
      <c r="B4845"/>
      <c r="C4845"/>
      <c r="D4845"/>
    </row>
    <row r="4846" spans="1:4" x14ac:dyDescent="0.2">
      <c r="A4846" s="4"/>
      <c r="B4846"/>
      <c r="C4846"/>
      <c r="D4846"/>
    </row>
    <row r="4847" spans="1:4" x14ac:dyDescent="0.2">
      <c r="A4847" s="4"/>
      <c r="B4847"/>
      <c r="C4847"/>
      <c r="D4847"/>
    </row>
    <row r="4848" spans="1:4" x14ac:dyDescent="0.2">
      <c r="A4848" s="4"/>
      <c r="B4848"/>
      <c r="C4848"/>
      <c r="D4848"/>
    </row>
    <row r="4849" spans="1:4" x14ac:dyDescent="0.2">
      <c r="A4849" s="4"/>
      <c r="B4849"/>
      <c r="C4849"/>
      <c r="D4849"/>
    </row>
    <row r="4850" spans="1:4" x14ac:dyDescent="0.2">
      <c r="A4850" s="4"/>
      <c r="B4850"/>
      <c r="C4850"/>
      <c r="D4850"/>
    </row>
    <row r="4851" spans="1:4" x14ac:dyDescent="0.2">
      <c r="A4851" s="4"/>
      <c r="B4851"/>
      <c r="C4851"/>
      <c r="D4851"/>
    </row>
    <row r="4852" spans="1:4" x14ac:dyDescent="0.2">
      <c r="A4852" s="4"/>
      <c r="B4852"/>
      <c r="C4852"/>
      <c r="D4852"/>
    </row>
    <row r="4853" spans="1:4" x14ac:dyDescent="0.2">
      <c r="A4853" s="4"/>
      <c r="B4853"/>
      <c r="C4853"/>
      <c r="D4853"/>
    </row>
    <row r="4854" spans="1:4" x14ac:dyDescent="0.2">
      <c r="A4854" s="4"/>
      <c r="B4854"/>
      <c r="C4854"/>
      <c r="D4854"/>
    </row>
    <row r="4855" spans="1:4" x14ac:dyDescent="0.2">
      <c r="A4855" s="4"/>
      <c r="B4855"/>
      <c r="C4855"/>
      <c r="D4855"/>
    </row>
    <row r="4856" spans="1:4" x14ac:dyDescent="0.2">
      <c r="A4856" s="4"/>
      <c r="B4856"/>
      <c r="C4856"/>
      <c r="D4856"/>
    </row>
    <row r="4857" spans="1:4" x14ac:dyDescent="0.2">
      <c r="A4857" s="4"/>
      <c r="B4857"/>
      <c r="C4857"/>
      <c r="D4857"/>
    </row>
    <row r="4858" spans="1:4" x14ac:dyDescent="0.2">
      <c r="A4858" s="4"/>
      <c r="B4858"/>
      <c r="C4858"/>
      <c r="D4858"/>
    </row>
    <row r="4859" spans="1:4" x14ac:dyDescent="0.2">
      <c r="A4859" s="4"/>
      <c r="B4859"/>
      <c r="C4859"/>
      <c r="D4859"/>
    </row>
    <row r="4860" spans="1:4" x14ac:dyDescent="0.2">
      <c r="A4860" s="4"/>
      <c r="B4860"/>
      <c r="C4860"/>
      <c r="D4860"/>
    </row>
    <row r="4861" spans="1:4" x14ac:dyDescent="0.2">
      <c r="A4861" s="4"/>
      <c r="B4861"/>
      <c r="C4861"/>
      <c r="D4861"/>
    </row>
    <row r="4862" spans="1:4" x14ac:dyDescent="0.2">
      <c r="A4862" s="4"/>
      <c r="B4862"/>
      <c r="C4862"/>
      <c r="D4862"/>
    </row>
    <row r="4863" spans="1:4" x14ac:dyDescent="0.2">
      <c r="A4863" s="4"/>
      <c r="B4863"/>
      <c r="C4863"/>
      <c r="D4863"/>
    </row>
    <row r="4864" spans="1:4" x14ac:dyDescent="0.2">
      <c r="A4864" s="4"/>
      <c r="B4864"/>
      <c r="C4864"/>
      <c r="D4864"/>
    </row>
    <row r="4865" spans="1:4" x14ac:dyDescent="0.2">
      <c r="A4865" s="4"/>
      <c r="B4865"/>
      <c r="C4865"/>
      <c r="D4865"/>
    </row>
    <row r="4866" spans="1:4" x14ac:dyDescent="0.2">
      <c r="A4866" s="4"/>
      <c r="B4866"/>
      <c r="C4866"/>
      <c r="D4866"/>
    </row>
    <row r="4867" spans="1:4" x14ac:dyDescent="0.2">
      <c r="A4867" s="4"/>
      <c r="B4867"/>
      <c r="C4867"/>
      <c r="D4867"/>
    </row>
    <row r="4868" spans="1:4" x14ac:dyDescent="0.2">
      <c r="A4868" s="4"/>
      <c r="B4868"/>
      <c r="C4868"/>
      <c r="D4868"/>
    </row>
    <row r="4869" spans="1:4" x14ac:dyDescent="0.2">
      <c r="A4869" s="4"/>
      <c r="B4869"/>
      <c r="C4869"/>
      <c r="D4869"/>
    </row>
    <row r="4870" spans="1:4" x14ac:dyDescent="0.2">
      <c r="A4870" s="4"/>
      <c r="B4870"/>
      <c r="C4870"/>
      <c r="D4870"/>
    </row>
    <row r="4871" spans="1:4" x14ac:dyDescent="0.2">
      <c r="A4871" s="4"/>
      <c r="B4871"/>
      <c r="C4871"/>
      <c r="D4871"/>
    </row>
    <row r="4872" spans="1:4" x14ac:dyDescent="0.2">
      <c r="A4872" s="4"/>
      <c r="B4872"/>
      <c r="C4872"/>
      <c r="D4872"/>
    </row>
    <row r="4873" spans="1:4" x14ac:dyDescent="0.2">
      <c r="A4873" s="4"/>
      <c r="B4873"/>
      <c r="C4873"/>
      <c r="D4873"/>
    </row>
    <row r="4874" spans="1:4" x14ac:dyDescent="0.2">
      <c r="A4874" s="4"/>
      <c r="B4874"/>
      <c r="C4874"/>
      <c r="D4874"/>
    </row>
    <row r="4875" spans="1:4" x14ac:dyDescent="0.2">
      <c r="A4875" s="4"/>
      <c r="B4875"/>
      <c r="C4875"/>
      <c r="D4875"/>
    </row>
    <row r="4876" spans="1:4" x14ac:dyDescent="0.2">
      <c r="A4876" s="4"/>
      <c r="B4876"/>
      <c r="C4876"/>
      <c r="D4876"/>
    </row>
    <row r="4877" spans="1:4" x14ac:dyDescent="0.2">
      <c r="A4877" s="4"/>
      <c r="B4877"/>
      <c r="C4877"/>
      <c r="D4877"/>
    </row>
    <row r="4878" spans="1:4" x14ac:dyDescent="0.2">
      <c r="A4878" s="4"/>
      <c r="B4878"/>
      <c r="C4878"/>
      <c r="D4878"/>
    </row>
    <row r="4879" spans="1:4" x14ac:dyDescent="0.2">
      <c r="A4879" s="4"/>
      <c r="B4879"/>
      <c r="C4879"/>
      <c r="D4879"/>
    </row>
    <row r="4880" spans="1:4" x14ac:dyDescent="0.2">
      <c r="A4880" s="4"/>
      <c r="B4880"/>
      <c r="C4880"/>
      <c r="D4880"/>
    </row>
    <row r="4881" spans="1:4" x14ac:dyDescent="0.2">
      <c r="A4881" s="4"/>
      <c r="B4881"/>
      <c r="C4881"/>
      <c r="D4881"/>
    </row>
    <row r="4882" spans="1:4" x14ac:dyDescent="0.2">
      <c r="A4882" s="4"/>
      <c r="B4882"/>
      <c r="C4882"/>
      <c r="D4882"/>
    </row>
    <row r="4883" spans="1:4" x14ac:dyDescent="0.2">
      <c r="A4883" s="4"/>
      <c r="B4883"/>
      <c r="C4883"/>
      <c r="D4883"/>
    </row>
    <row r="4884" spans="1:4" x14ac:dyDescent="0.2">
      <c r="A4884" s="4"/>
      <c r="B4884"/>
      <c r="C4884"/>
      <c r="D4884"/>
    </row>
    <row r="4885" spans="1:4" x14ac:dyDescent="0.2">
      <c r="A4885" s="4"/>
      <c r="B4885"/>
      <c r="C4885"/>
      <c r="D4885"/>
    </row>
    <row r="4886" spans="1:4" x14ac:dyDescent="0.2">
      <c r="A4886" s="4"/>
      <c r="B4886"/>
      <c r="C4886"/>
      <c r="D4886"/>
    </row>
    <row r="4887" spans="1:4" x14ac:dyDescent="0.2">
      <c r="A4887" s="4"/>
      <c r="B4887"/>
      <c r="C4887"/>
      <c r="D4887"/>
    </row>
    <row r="4888" spans="1:4" x14ac:dyDescent="0.2">
      <c r="A4888" s="4"/>
      <c r="B4888"/>
      <c r="C4888"/>
      <c r="D4888"/>
    </row>
    <row r="4889" spans="1:4" x14ac:dyDescent="0.2">
      <c r="A4889" s="4"/>
      <c r="B4889"/>
      <c r="C4889"/>
      <c r="D4889"/>
    </row>
    <row r="4890" spans="1:4" x14ac:dyDescent="0.2">
      <c r="A4890" s="4"/>
      <c r="B4890"/>
      <c r="C4890"/>
      <c r="D4890"/>
    </row>
    <row r="4891" spans="1:4" x14ac:dyDescent="0.2">
      <c r="A4891" s="4"/>
      <c r="B4891"/>
      <c r="C4891"/>
      <c r="D4891"/>
    </row>
    <row r="4892" spans="1:4" x14ac:dyDescent="0.2">
      <c r="A4892" s="4"/>
      <c r="B4892"/>
      <c r="C4892"/>
      <c r="D4892"/>
    </row>
    <row r="4893" spans="1:4" x14ac:dyDescent="0.2">
      <c r="A4893" s="4"/>
      <c r="B4893"/>
      <c r="C4893"/>
      <c r="D4893"/>
    </row>
    <row r="4894" spans="1:4" x14ac:dyDescent="0.2">
      <c r="A4894" s="4"/>
      <c r="B4894"/>
      <c r="C4894"/>
      <c r="D4894"/>
    </row>
    <row r="4895" spans="1:4" x14ac:dyDescent="0.2">
      <c r="A4895" s="4"/>
      <c r="B4895"/>
      <c r="C4895"/>
      <c r="D4895"/>
    </row>
    <row r="4896" spans="1:4" x14ac:dyDescent="0.2">
      <c r="A4896" s="4"/>
      <c r="B4896"/>
      <c r="C4896"/>
      <c r="D4896"/>
    </row>
    <row r="4897" spans="1:4" x14ac:dyDescent="0.2">
      <c r="A4897" s="4"/>
      <c r="B4897"/>
      <c r="C4897"/>
      <c r="D4897"/>
    </row>
    <row r="4898" spans="1:4" x14ac:dyDescent="0.2">
      <c r="A4898" s="4"/>
      <c r="B4898"/>
      <c r="C4898"/>
      <c r="D4898"/>
    </row>
    <row r="4899" spans="1:4" x14ac:dyDescent="0.2">
      <c r="A4899" s="4"/>
      <c r="B4899"/>
      <c r="C4899"/>
      <c r="D4899"/>
    </row>
    <row r="4900" spans="1:4" x14ac:dyDescent="0.2">
      <c r="A4900" s="4"/>
      <c r="B4900"/>
      <c r="C4900"/>
      <c r="D4900"/>
    </row>
    <row r="4901" spans="1:4" x14ac:dyDescent="0.2">
      <c r="A4901" s="4"/>
      <c r="B4901"/>
      <c r="C4901"/>
      <c r="D4901"/>
    </row>
    <row r="4902" spans="1:4" x14ac:dyDescent="0.2">
      <c r="A4902" s="4"/>
      <c r="B4902"/>
      <c r="C4902"/>
      <c r="D4902"/>
    </row>
    <row r="4903" spans="1:4" x14ac:dyDescent="0.2">
      <c r="A4903" s="4"/>
      <c r="B4903"/>
      <c r="C4903"/>
      <c r="D4903"/>
    </row>
    <row r="4904" spans="1:4" x14ac:dyDescent="0.2">
      <c r="A4904" s="4"/>
      <c r="B4904"/>
      <c r="C4904"/>
      <c r="D4904"/>
    </row>
    <row r="4905" spans="1:4" x14ac:dyDescent="0.2">
      <c r="A4905" s="4"/>
      <c r="B4905"/>
      <c r="C4905"/>
      <c r="D4905"/>
    </row>
    <row r="4906" spans="1:4" x14ac:dyDescent="0.2">
      <c r="A4906" s="4"/>
      <c r="B4906"/>
      <c r="C4906"/>
      <c r="D4906"/>
    </row>
    <row r="4907" spans="1:4" x14ac:dyDescent="0.2">
      <c r="A4907" s="4"/>
      <c r="B4907"/>
      <c r="C4907"/>
      <c r="D4907"/>
    </row>
    <row r="4908" spans="1:4" x14ac:dyDescent="0.2">
      <c r="A4908" s="4"/>
      <c r="B4908"/>
      <c r="C4908"/>
      <c r="D4908"/>
    </row>
    <row r="4909" spans="1:4" x14ac:dyDescent="0.2">
      <c r="A4909" s="4"/>
      <c r="B4909"/>
      <c r="C4909"/>
      <c r="D4909"/>
    </row>
    <row r="4910" spans="1:4" x14ac:dyDescent="0.2">
      <c r="A4910" s="4"/>
      <c r="B4910"/>
      <c r="C4910"/>
      <c r="D4910"/>
    </row>
    <row r="4911" spans="1:4" x14ac:dyDescent="0.2">
      <c r="A4911" s="4"/>
      <c r="B4911"/>
      <c r="C4911"/>
      <c r="D4911"/>
    </row>
    <row r="4912" spans="1:4" x14ac:dyDescent="0.2">
      <c r="A4912" s="4"/>
      <c r="B4912"/>
      <c r="C4912"/>
      <c r="D4912"/>
    </row>
    <row r="4913" spans="1:4" x14ac:dyDescent="0.2">
      <c r="A4913" s="4"/>
      <c r="B4913"/>
      <c r="C4913"/>
      <c r="D4913"/>
    </row>
    <row r="4914" spans="1:4" x14ac:dyDescent="0.2">
      <c r="A4914" s="4"/>
      <c r="B4914"/>
      <c r="C4914"/>
      <c r="D4914"/>
    </row>
    <row r="4915" spans="1:4" x14ac:dyDescent="0.2">
      <c r="A4915" s="4"/>
      <c r="B4915"/>
      <c r="C4915"/>
      <c r="D4915"/>
    </row>
    <row r="4916" spans="1:4" x14ac:dyDescent="0.2">
      <c r="A4916" s="4"/>
      <c r="B4916"/>
      <c r="C4916"/>
      <c r="D4916"/>
    </row>
    <row r="4917" spans="1:4" x14ac:dyDescent="0.2">
      <c r="A4917" s="4"/>
      <c r="B4917"/>
      <c r="C4917"/>
      <c r="D4917"/>
    </row>
    <row r="4918" spans="1:4" x14ac:dyDescent="0.2">
      <c r="A4918" s="4"/>
      <c r="B4918"/>
      <c r="C4918"/>
      <c r="D4918"/>
    </row>
    <row r="4919" spans="1:4" x14ac:dyDescent="0.2">
      <c r="A4919" s="4"/>
      <c r="B4919"/>
      <c r="C4919"/>
      <c r="D4919"/>
    </row>
    <row r="4920" spans="1:4" x14ac:dyDescent="0.2">
      <c r="A4920" s="4"/>
      <c r="B4920"/>
      <c r="C4920"/>
      <c r="D4920"/>
    </row>
    <row r="4921" spans="1:4" x14ac:dyDescent="0.2">
      <c r="A4921" s="4"/>
      <c r="B4921"/>
      <c r="C4921"/>
      <c r="D4921"/>
    </row>
    <row r="4922" spans="1:4" x14ac:dyDescent="0.2">
      <c r="A4922" s="4"/>
      <c r="B4922"/>
      <c r="C4922"/>
      <c r="D4922"/>
    </row>
    <row r="4923" spans="1:4" x14ac:dyDescent="0.2">
      <c r="A4923" s="4"/>
      <c r="B4923"/>
      <c r="C4923"/>
      <c r="D4923"/>
    </row>
    <row r="4924" spans="1:4" x14ac:dyDescent="0.2">
      <c r="A4924" s="4"/>
      <c r="B4924"/>
      <c r="C4924"/>
      <c r="D4924"/>
    </row>
    <row r="4925" spans="1:4" x14ac:dyDescent="0.2">
      <c r="A4925" s="4"/>
      <c r="B4925"/>
      <c r="C4925"/>
      <c r="D4925"/>
    </row>
    <row r="4926" spans="1:4" x14ac:dyDescent="0.2">
      <c r="A4926" s="4"/>
      <c r="B4926"/>
      <c r="C4926"/>
      <c r="D4926"/>
    </row>
    <row r="4927" spans="1:4" x14ac:dyDescent="0.2">
      <c r="A4927" s="4"/>
      <c r="B4927"/>
      <c r="C4927"/>
      <c r="D4927"/>
    </row>
    <row r="4928" spans="1:4" x14ac:dyDescent="0.2">
      <c r="A4928" s="4"/>
      <c r="B4928"/>
      <c r="C4928"/>
      <c r="D4928"/>
    </row>
    <row r="4929" spans="1:4" x14ac:dyDescent="0.2">
      <c r="A4929" s="4"/>
      <c r="B4929"/>
      <c r="C4929"/>
      <c r="D4929"/>
    </row>
    <row r="4930" spans="1:4" x14ac:dyDescent="0.2">
      <c r="A4930" s="4"/>
      <c r="B4930"/>
      <c r="C4930"/>
      <c r="D4930"/>
    </row>
    <row r="4931" spans="1:4" x14ac:dyDescent="0.2">
      <c r="A4931" s="4"/>
      <c r="B4931"/>
      <c r="C4931"/>
      <c r="D4931"/>
    </row>
    <row r="4932" spans="1:4" x14ac:dyDescent="0.2">
      <c r="A4932" s="4"/>
      <c r="B4932"/>
      <c r="C4932"/>
      <c r="D4932"/>
    </row>
    <row r="4933" spans="1:4" x14ac:dyDescent="0.2">
      <c r="A4933" s="4"/>
      <c r="B4933"/>
      <c r="C4933"/>
      <c r="D4933"/>
    </row>
    <row r="4934" spans="1:4" x14ac:dyDescent="0.2">
      <c r="A4934" s="4"/>
      <c r="B4934"/>
      <c r="C4934"/>
      <c r="D4934"/>
    </row>
    <row r="4935" spans="1:4" x14ac:dyDescent="0.2">
      <c r="A4935" s="4"/>
      <c r="B4935"/>
      <c r="C4935"/>
      <c r="D4935"/>
    </row>
    <row r="4936" spans="1:4" x14ac:dyDescent="0.2">
      <c r="A4936" s="4"/>
      <c r="B4936"/>
      <c r="C4936"/>
      <c r="D4936"/>
    </row>
    <row r="4937" spans="1:4" x14ac:dyDescent="0.2">
      <c r="A4937" s="4"/>
      <c r="B4937"/>
      <c r="C4937"/>
      <c r="D4937"/>
    </row>
    <row r="4938" spans="1:4" x14ac:dyDescent="0.2">
      <c r="A4938" s="4"/>
      <c r="B4938"/>
      <c r="C4938"/>
      <c r="D4938"/>
    </row>
    <row r="4939" spans="1:4" x14ac:dyDescent="0.2">
      <c r="A4939" s="4"/>
      <c r="B4939"/>
      <c r="C4939"/>
      <c r="D4939"/>
    </row>
    <row r="4940" spans="1:4" x14ac:dyDescent="0.2">
      <c r="A4940" s="4"/>
      <c r="B4940"/>
      <c r="C4940"/>
      <c r="D4940"/>
    </row>
    <row r="4941" spans="1:4" x14ac:dyDescent="0.2">
      <c r="A4941" s="4"/>
      <c r="B4941"/>
      <c r="C4941"/>
      <c r="D4941"/>
    </row>
    <row r="4942" spans="1:4" x14ac:dyDescent="0.2">
      <c r="A4942" s="4"/>
      <c r="B4942"/>
      <c r="C4942"/>
      <c r="D4942"/>
    </row>
    <row r="4943" spans="1:4" x14ac:dyDescent="0.2">
      <c r="A4943" s="4"/>
      <c r="B4943"/>
      <c r="C4943"/>
      <c r="D4943"/>
    </row>
    <row r="4944" spans="1:4" x14ac:dyDescent="0.2">
      <c r="A4944" s="4"/>
      <c r="B4944"/>
      <c r="C4944"/>
      <c r="D4944"/>
    </row>
    <row r="4945" spans="1:4" x14ac:dyDescent="0.2">
      <c r="A4945" s="4"/>
      <c r="B4945"/>
      <c r="C4945"/>
      <c r="D4945"/>
    </row>
    <row r="4946" spans="1:4" x14ac:dyDescent="0.2">
      <c r="A4946" s="4"/>
      <c r="B4946"/>
      <c r="C4946"/>
      <c r="D4946"/>
    </row>
    <row r="4947" spans="1:4" x14ac:dyDescent="0.2">
      <c r="A4947" s="4"/>
      <c r="B4947"/>
      <c r="C4947"/>
      <c r="D4947"/>
    </row>
    <row r="4948" spans="1:4" x14ac:dyDescent="0.2">
      <c r="A4948" s="4"/>
      <c r="B4948"/>
      <c r="C4948"/>
      <c r="D4948"/>
    </row>
    <row r="4949" spans="1:4" x14ac:dyDescent="0.2">
      <c r="A4949" s="4"/>
      <c r="B4949"/>
      <c r="C4949"/>
      <c r="D4949"/>
    </row>
    <row r="4950" spans="1:4" x14ac:dyDescent="0.2">
      <c r="A4950" s="4"/>
      <c r="B4950"/>
      <c r="C4950"/>
      <c r="D4950"/>
    </row>
    <row r="4951" spans="1:4" x14ac:dyDescent="0.2">
      <c r="A4951" s="4"/>
      <c r="B4951"/>
      <c r="C4951"/>
      <c r="D4951"/>
    </row>
    <row r="4952" spans="1:4" x14ac:dyDescent="0.2">
      <c r="A4952" s="4"/>
      <c r="B4952"/>
      <c r="C4952"/>
      <c r="D4952"/>
    </row>
    <row r="4953" spans="1:4" x14ac:dyDescent="0.2">
      <c r="A4953" s="4"/>
      <c r="B4953"/>
      <c r="C4953"/>
      <c r="D4953"/>
    </row>
    <row r="4954" spans="1:4" x14ac:dyDescent="0.2">
      <c r="A4954" s="4"/>
      <c r="B4954"/>
      <c r="C4954"/>
      <c r="D4954"/>
    </row>
    <row r="4955" spans="1:4" x14ac:dyDescent="0.2">
      <c r="A4955" s="4"/>
      <c r="B4955"/>
      <c r="C4955"/>
      <c r="D4955"/>
    </row>
    <row r="4956" spans="1:4" x14ac:dyDescent="0.2">
      <c r="A4956" s="4"/>
      <c r="B4956"/>
      <c r="C4956"/>
      <c r="D4956"/>
    </row>
    <row r="4957" spans="1:4" x14ac:dyDescent="0.2">
      <c r="A4957" s="4"/>
      <c r="B4957"/>
      <c r="C4957"/>
      <c r="D4957"/>
    </row>
    <row r="4958" spans="1:4" x14ac:dyDescent="0.2">
      <c r="A4958" s="4"/>
      <c r="B4958"/>
      <c r="C4958"/>
      <c r="D4958"/>
    </row>
    <row r="4959" spans="1:4" x14ac:dyDescent="0.2">
      <c r="A4959" s="4"/>
      <c r="B4959"/>
      <c r="C4959"/>
      <c r="D4959"/>
    </row>
    <row r="4960" spans="1:4" x14ac:dyDescent="0.2">
      <c r="A4960" s="4"/>
      <c r="B4960"/>
      <c r="C4960"/>
      <c r="D4960"/>
    </row>
    <row r="4961" spans="1:4" x14ac:dyDescent="0.2">
      <c r="A4961" s="4"/>
      <c r="B4961"/>
      <c r="C4961"/>
      <c r="D4961"/>
    </row>
    <row r="4962" spans="1:4" x14ac:dyDescent="0.2">
      <c r="A4962" s="4"/>
      <c r="B4962"/>
      <c r="C4962"/>
      <c r="D4962"/>
    </row>
    <row r="4963" spans="1:4" x14ac:dyDescent="0.2">
      <c r="A4963" s="4"/>
      <c r="B4963"/>
      <c r="C4963"/>
      <c r="D4963"/>
    </row>
    <row r="4964" spans="1:4" x14ac:dyDescent="0.2">
      <c r="A4964" s="4"/>
      <c r="B4964"/>
      <c r="C4964"/>
      <c r="D4964"/>
    </row>
    <row r="4965" spans="1:4" x14ac:dyDescent="0.2">
      <c r="A4965" s="4"/>
      <c r="B4965"/>
      <c r="C4965"/>
      <c r="D4965"/>
    </row>
    <row r="4966" spans="1:4" x14ac:dyDescent="0.2">
      <c r="A4966" s="4"/>
      <c r="B4966"/>
      <c r="C4966"/>
      <c r="D4966"/>
    </row>
    <row r="4967" spans="1:4" x14ac:dyDescent="0.2">
      <c r="A4967" s="4"/>
      <c r="B4967"/>
      <c r="C4967"/>
      <c r="D4967"/>
    </row>
    <row r="4968" spans="1:4" x14ac:dyDescent="0.2">
      <c r="A4968" s="4"/>
      <c r="B4968"/>
      <c r="C4968"/>
      <c r="D4968"/>
    </row>
    <row r="4969" spans="1:4" x14ac:dyDescent="0.2">
      <c r="A4969" s="4"/>
      <c r="B4969"/>
      <c r="C4969"/>
      <c r="D4969"/>
    </row>
    <row r="4970" spans="1:4" x14ac:dyDescent="0.2">
      <c r="A4970" s="4"/>
      <c r="B4970"/>
      <c r="C4970"/>
      <c r="D4970"/>
    </row>
    <row r="4971" spans="1:4" x14ac:dyDescent="0.2">
      <c r="A4971" s="4"/>
      <c r="B4971"/>
      <c r="C4971"/>
      <c r="D4971"/>
    </row>
    <row r="4972" spans="1:4" x14ac:dyDescent="0.2">
      <c r="A4972" s="4"/>
      <c r="B4972"/>
      <c r="C4972"/>
      <c r="D4972"/>
    </row>
    <row r="4973" spans="1:4" x14ac:dyDescent="0.2">
      <c r="A4973" s="4"/>
      <c r="B4973"/>
      <c r="C4973"/>
      <c r="D4973"/>
    </row>
    <row r="4974" spans="1:4" x14ac:dyDescent="0.2">
      <c r="A4974" s="4"/>
      <c r="B4974"/>
      <c r="C4974"/>
      <c r="D4974"/>
    </row>
    <row r="4975" spans="1:4" x14ac:dyDescent="0.2">
      <c r="A4975" s="4"/>
      <c r="B4975"/>
      <c r="C4975"/>
      <c r="D4975"/>
    </row>
    <row r="4976" spans="1:4" x14ac:dyDescent="0.2">
      <c r="A4976" s="4"/>
      <c r="B4976"/>
      <c r="C4976"/>
      <c r="D4976"/>
    </row>
    <row r="4977" spans="1:4" x14ac:dyDescent="0.2">
      <c r="A4977" s="4"/>
      <c r="B4977"/>
      <c r="C4977"/>
      <c r="D4977"/>
    </row>
    <row r="4978" spans="1:4" x14ac:dyDescent="0.2">
      <c r="A4978" s="4"/>
      <c r="B4978"/>
      <c r="C4978"/>
      <c r="D4978"/>
    </row>
    <row r="4979" spans="1:4" x14ac:dyDescent="0.2">
      <c r="A4979" s="4"/>
      <c r="B4979"/>
      <c r="C4979"/>
      <c r="D4979"/>
    </row>
    <row r="4980" spans="1:4" x14ac:dyDescent="0.2">
      <c r="A4980" s="4"/>
      <c r="B4980"/>
      <c r="C4980"/>
      <c r="D4980"/>
    </row>
    <row r="4981" spans="1:4" x14ac:dyDescent="0.2">
      <c r="A4981" s="4"/>
      <c r="B4981"/>
      <c r="C4981"/>
      <c r="D4981"/>
    </row>
    <row r="4982" spans="1:4" x14ac:dyDescent="0.2">
      <c r="A4982" s="4"/>
      <c r="B4982"/>
      <c r="C4982"/>
      <c r="D4982"/>
    </row>
    <row r="4983" spans="1:4" x14ac:dyDescent="0.2">
      <c r="A4983" s="4"/>
      <c r="B4983"/>
      <c r="C4983"/>
      <c r="D4983"/>
    </row>
    <row r="4984" spans="1:4" x14ac:dyDescent="0.2">
      <c r="A4984" s="4"/>
      <c r="B4984"/>
      <c r="C4984"/>
      <c r="D4984"/>
    </row>
    <row r="4985" spans="1:4" x14ac:dyDescent="0.2">
      <c r="A4985" s="4"/>
      <c r="B4985"/>
      <c r="C4985"/>
      <c r="D4985"/>
    </row>
    <row r="4986" spans="1:4" x14ac:dyDescent="0.2">
      <c r="A4986" s="4"/>
      <c r="B4986"/>
      <c r="C4986"/>
      <c r="D4986"/>
    </row>
    <row r="4987" spans="1:4" x14ac:dyDescent="0.2">
      <c r="A4987" s="4"/>
      <c r="B4987"/>
      <c r="C4987"/>
      <c r="D4987"/>
    </row>
    <row r="4988" spans="1:4" x14ac:dyDescent="0.2">
      <c r="A4988" s="4"/>
      <c r="B4988"/>
      <c r="C4988"/>
      <c r="D4988"/>
    </row>
    <row r="4989" spans="1:4" x14ac:dyDescent="0.2">
      <c r="A4989" s="4"/>
      <c r="B4989"/>
      <c r="C4989"/>
      <c r="D4989"/>
    </row>
    <row r="4990" spans="1:4" x14ac:dyDescent="0.2">
      <c r="A4990" s="4"/>
      <c r="B4990"/>
      <c r="C4990"/>
      <c r="D4990"/>
    </row>
    <row r="4991" spans="1:4" x14ac:dyDescent="0.2">
      <c r="A4991" s="4"/>
      <c r="B4991"/>
      <c r="C4991"/>
      <c r="D4991"/>
    </row>
    <row r="4992" spans="1:4" x14ac:dyDescent="0.2">
      <c r="A4992" s="4"/>
      <c r="B4992"/>
      <c r="C4992"/>
      <c r="D4992"/>
    </row>
    <row r="4993" spans="1:4" x14ac:dyDescent="0.2">
      <c r="A4993" s="4"/>
      <c r="B4993"/>
      <c r="C4993"/>
      <c r="D4993"/>
    </row>
    <row r="4994" spans="1:4" x14ac:dyDescent="0.2">
      <c r="A4994" s="4"/>
      <c r="B4994"/>
      <c r="C4994"/>
      <c r="D4994"/>
    </row>
    <row r="4995" spans="1:4" x14ac:dyDescent="0.2">
      <c r="A4995" s="4"/>
      <c r="B4995"/>
      <c r="C4995"/>
      <c r="D4995"/>
    </row>
    <row r="4996" spans="1:4" x14ac:dyDescent="0.2">
      <c r="A4996" s="4"/>
      <c r="B4996"/>
      <c r="C4996"/>
      <c r="D4996"/>
    </row>
    <row r="4997" spans="1:4" x14ac:dyDescent="0.2">
      <c r="A4997" s="4"/>
      <c r="B4997"/>
      <c r="C4997"/>
      <c r="D4997"/>
    </row>
    <row r="4998" spans="1:4" x14ac:dyDescent="0.2">
      <c r="A4998" s="4"/>
      <c r="B4998"/>
      <c r="C4998"/>
      <c r="D4998"/>
    </row>
    <row r="4999" spans="1:4" x14ac:dyDescent="0.2">
      <c r="A4999" s="4"/>
      <c r="B4999"/>
      <c r="C4999"/>
      <c r="D4999"/>
    </row>
    <row r="5000" spans="1:4" x14ac:dyDescent="0.2">
      <c r="A5000" s="4"/>
      <c r="B5000"/>
      <c r="C5000"/>
      <c r="D5000"/>
    </row>
    <row r="5001" spans="1:4" x14ac:dyDescent="0.2">
      <c r="A5001" s="4"/>
      <c r="B5001"/>
      <c r="C5001"/>
      <c r="D5001"/>
    </row>
    <row r="5002" spans="1:4" x14ac:dyDescent="0.2">
      <c r="A5002" s="4"/>
      <c r="B5002"/>
      <c r="C5002"/>
      <c r="D5002"/>
    </row>
    <row r="5003" spans="1:4" x14ac:dyDescent="0.2">
      <c r="A5003" s="4"/>
      <c r="B5003"/>
      <c r="C5003"/>
      <c r="D5003"/>
    </row>
    <row r="5004" spans="1:4" x14ac:dyDescent="0.2">
      <c r="A5004" s="4"/>
      <c r="B5004"/>
      <c r="C5004"/>
      <c r="D5004"/>
    </row>
    <row r="5005" spans="1:4" x14ac:dyDescent="0.2">
      <c r="A5005" s="4"/>
      <c r="B5005"/>
      <c r="C5005"/>
      <c r="D5005"/>
    </row>
    <row r="5006" spans="1:4" x14ac:dyDescent="0.2">
      <c r="A5006" s="4"/>
      <c r="B5006"/>
      <c r="C5006"/>
      <c r="D5006"/>
    </row>
    <row r="5007" spans="1:4" x14ac:dyDescent="0.2">
      <c r="A5007" s="4"/>
      <c r="B5007"/>
      <c r="C5007"/>
      <c r="D5007"/>
    </row>
    <row r="5008" spans="1:4" x14ac:dyDescent="0.2">
      <c r="A5008" s="4"/>
      <c r="B5008"/>
      <c r="C5008"/>
      <c r="D5008"/>
    </row>
    <row r="5009" spans="1:4" x14ac:dyDescent="0.2">
      <c r="A5009" s="4"/>
      <c r="B5009"/>
      <c r="C5009"/>
      <c r="D5009"/>
    </row>
    <row r="5010" spans="1:4" x14ac:dyDescent="0.2">
      <c r="A5010" s="4"/>
      <c r="B5010"/>
      <c r="C5010"/>
      <c r="D5010"/>
    </row>
    <row r="5011" spans="1:4" x14ac:dyDescent="0.2">
      <c r="A5011" s="4"/>
      <c r="B5011"/>
      <c r="C5011"/>
      <c r="D5011"/>
    </row>
    <row r="5012" spans="1:4" x14ac:dyDescent="0.2">
      <c r="A5012" s="4"/>
      <c r="B5012"/>
      <c r="C5012"/>
      <c r="D5012"/>
    </row>
    <row r="5013" spans="1:4" x14ac:dyDescent="0.2">
      <c r="A5013" s="4"/>
      <c r="B5013"/>
      <c r="C5013"/>
      <c r="D5013"/>
    </row>
    <row r="5014" spans="1:4" x14ac:dyDescent="0.2">
      <c r="A5014" s="4"/>
      <c r="B5014"/>
      <c r="C5014"/>
      <c r="D5014"/>
    </row>
    <row r="5015" spans="1:4" x14ac:dyDescent="0.2">
      <c r="A5015" s="4"/>
      <c r="B5015"/>
      <c r="C5015"/>
      <c r="D5015"/>
    </row>
    <row r="5016" spans="1:4" x14ac:dyDescent="0.2">
      <c r="A5016" s="4"/>
      <c r="B5016"/>
      <c r="C5016"/>
      <c r="D5016"/>
    </row>
    <row r="5017" spans="1:4" x14ac:dyDescent="0.2">
      <c r="A5017" s="4"/>
      <c r="B5017"/>
      <c r="C5017"/>
      <c r="D5017"/>
    </row>
    <row r="5018" spans="1:4" x14ac:dyDescent="0.2">
      <c r="A5018" s="4"/>
      <c r="B5018"/>
      <c r="C5018"/>
      <c r="D5018"/>
    </row>
    <row r="5019" spans="1:4" x14ac:dyDescent="0.2">
      <c r="A5019" s="4"/>
      <c r="B5019"/>
      <c r="C5019"/>
      <c r="D5019"/>
    </row>
    <row r="5020" spans="1:4" x14ac:dyDescent="0.2">
      <c r="A5020" s="4"/>
      <c r="B5020"/>
      <c r="C5020"/>
      <c r="D5020"/>
    </row>
    <row r="5021" spans="1:4" x14ac:dyDescent="0.2">
      <c r="A5021" s="4"/>
      <c r="B5021"/>
      <c r="C5021"/>
      <c r="D5021"/>
    </row>
    <row r="5022" spans="1:4" x14ac:dyDescent="0.2">
      <c r="A5022" s="4"/>
      <c r="B5022"/>
      <c r="C5022"/>
      <c r="D5022"/>
    </row>
    <row r="5023" spans="1:4" x14ac:dyDescent="0.2">
      <c r="A5023" s="4"/>
      <c r="B5023"/>
      <c r="C5023"/>
      <c r="D5023"/>
    </row>
    <row r="5024" spans="1:4" x14ac:dyDescent="0.2">
      <c r="A5024" s="4"/>
      <c r="B5024"/>
      <c r="C5024"/>
      <c r="D5024"/>
    </row>
    <row r="5025" spans="1:4" x14ac:dyDescent="0.2">
      <c r="A5025" s="4"/>
      <c r="B5025"/>
      <c r="C5025"/>
      <c r="D5025"/>
    </row>
    <row r="5026" spans="1:4" x14ac:dyDescent="0.2">
      <c r="A5026" s="4"/>
      <c r="B5026"/>
      <c r="C5026"/>
      <c r="D5026"/>
    </row>
    <row r="5027" spans="1:4" x14ac:dyDescent="0.2">
      <c r="A5027" s="4"/>
      <c r="B5027"/>
      <c r="C5027"/>
      <c r="D5027"/>
    </row>
    <row r="5028" spans="1:4" x14ac:dyDescent="0.2">
      <c r="A5028" s="4"/>
      <c r="B5028"/>
      <c r="C5028"/>
      <c r="D5028"/>
    </row>
    <row r="5029" spans="1:4" x14ac:dyDescent="0.2">
      <c r="A5029" s="4"/>
      <c r="B5029"/>
      <c r="C5029"/>
      <c r="D5029"/>
    </row>
    <row r="5030" spans="1:4" x14ac:dyDescent="0.2">
      <c r="A5030" s="4"/>
      <c r="B5030"/>
      <c r="C5030"/>
      <c r="D5030"/>
    </row>
    <row r="5031" spans="1:4" x14ac:dyDescent="0.2">
      <c r="A5031" s="4"/>
      <c r="B5031"/>
      <c r="C5031"/>
      <c r="D5031"/>
    </row>
    <row r="5032" spans="1:4" x14ac:dyDescent="0.2">
      <c r="A5032" s="4"/>
      <c r="B5032"/>
      <c r="C5032"/>
      <c r="D5032"/>
    </row>
    <row r="5033" spans="1:4" x14ac:dyDescent="0.2">
      <c r="A5033" s="4"/>
      <c r="B5033"/>
      <c r="C5033"/>
      <c r="D5033"/>
    </row>
    <row r="5034" spans="1:4" x14ac:dyDescent="0.2">
      <c r="A5034" s="4"/>
      <c r="B5034"/>
      <c r="C5034"/>
      <c r="D5034"/>
    </row>
    <row r="5035" spans="1:4" x14ac:dyDescent="0.2">
      <c r="A5035" s="4"/>
      <c r="B5035"/>
      <c r="C5035"/>
      <c r="D5035"/>
    </row>
    <row r="5036" spans="1:4" x14ac:dyDescent="0.2">
      <c r="A5036" s="4"/>
      <c r="B5036"/>
      <c r="C5036"/>
      <c r="D5036"/>
    </row>
    <row r="5037" spans="1:4" x14ac:dyDescent="0.2">
      <c r="A5037" s="4"/>
      <c r="B5037"/>
      <c r="C5037"/>
      <c r="D5037"/>
    </row>
    <row r="5038" spans="1:4" x14ac:dyDescent="0.2">
      <c r="A5038" s="4"/>
      <c r="B5038"/>
      <c r="C5038"/>
      <c r="D5038"/>
    </row>
    <row r="5039" spans="1:4" x14ac:dyDescent="0.2">
      <c r="A5039" s="4"/>
      <c r="B5039"/>
      <c r="C5039"/>
      <c r="D5039"/>
    </row>
    <row r="5040" spans="1:4" x14ac:dyDescent="0.2">
      <c r="A5040" s="4"/>
      <c r="B5040"/>
      <c r="C5040"/>
      <c r="D5040"/>
    </row>
    <row r="5041" spans="1:4" x14ac:dyDescent="0.2">
      <c r="A5041" s="4"/>
      <c r="B5041"/>
      <c r="C5041"/>
      <c r="D5041"/>
    </row>
    <row r="5042" spans="1:4" x14ac:dyDescent="0.2">
      <c r="A5042" s="4"/>
      <c r="B5042"/>
      <c r="C5042"/>
      <c r="D5042"/>
    </row>
    <row r="5043" spans="1:4" x14ac:dyDescent="0.2">
      <c r="A5043" s="4"/>
      <c r="B5043"/>
      <c r="C5043"/>
      <c r="D5043"/>
    </row>
    <row r="5044" spans="1:4" x14ac:dyDescent="0.2">
      <c r="A5044" s="4"/>
      <c r="B5044"/>
      <c r="C5044"/>
      <c r="D5044"/>
    </row>
    <row r="5045" spans="1:4" x14ac:dyDescent="0.2">
      <c r="A5045" s="4"/>
      <c r="B5045"/>
      <c r="C5045"/>
      <c r="D5045"/>
    </row>
    <row r="5046" spans="1:4" x14ac:dyDescent="0.2">
      <c r="A5046" s="4"/>
      <c r="B5046"/>
      <c r="C5046"/>
      <c r="D5046"/>
    </row>
    <row r="5047" spans="1:4" x14ac:dyDescent="0.2">
      <c r="A5047" s="4"/>
      <c r="B5047"/>
      <c r="C5047"/>
      <c r="D5047"/>
    </row>
    <row r="5048" spans="1:4" x14ac:dyDescent="0.2">
      <c r="A5048" s="4"/>
      <c r="B5048"/>
      <c r="C5048"/>
      <c r="D5048"/>
    </row>
    <row r="5049" spans="1:4" x14ac:dyDescent="0.2">
      <c r="A5049" s="4"/>
      <c r="B5049"/>
      <c r="C5049"/>
      <c r="D5049"/>
    </row>
    <row r="5050" spans="1:4" x14ac:dyDescent="0.2">
      <c r="A5050" s="4"/>
      <c r="B5050"/>
      <c r="C5050"/>
      <c r="D5050"/>
    </row>
    <row r="5051" spans="1:4" x14ac:dyDescent="0.2">
      <c r="A5051" s="4"/>
      <c r="B5051"/>
      <c r="C5051"/>
      <c r="D5051"/>
    </row>
    <row r="5052" spans="1:4" x14ac:dyDescent="0.2">
      <c r="A5052" s="4"/>
      <c r="B5052"/>
      <c r="C5052"/>
      <c r="D5052"/>
    </row>
    <row r="5053" spans="1:4" x14ac:dyDescent="0.2">
      <c r="A5053" s="4"/>
      <c r="B5053"/>
      <c r="C5053"/>
      <c r="D5053"/>
    </row>
    <row r="5054" spans="1:4" x14ac:dyDescent="0.2">
      <c r="A5054" s="4"/>
      <c r="B5054"/>
      <c r="C5054"/>
      <c r="D5054"/>
    </row>
    <row r="5055" spans="1:4" x14ac:dyDescent="0.2">
      <c r="A5055" s="4"/>
      <c r="B5055"/>
      <c r="C5055"/>
      <c r="D5055"/>
    </row>
    <row r="5056" spans="1:4" x14ac:dyDescent="0.2">
      <c r="A5056" s="4"/>
      <c r="B5056"/>
      <c r="C5056"/>
      <c r="D5056"/>
    </row>
    <row r="5057" spans="1:4" x14ac:dyDescent="0.2">
      <c r="A5057" s="4"/>
      <c r="B5057"/>
      <c r="C5057"/>
      <c r="D5057"/>
    </row>
    <row r="5058" spans="1:4" x14ac:dyDescent="0.2">
      <c r="A5058" s="4"/>
      <c r="B5058"/>
      <c r="C5058"/>
      <c r="D5058"/>
    </row>
    <row r="5059" spans="1:4" x14ac:dyDescent="0.2">
      <c r="A5059" s="4"/>
      <c r="B5059"/>
      <c r="C5059"/>
      <c r="D5059"/>
    </row>
    <row r="5060" spans="1:4" x14ac:dyDescent="0.2">
      <c r="A5060" s="4"/>
      <c r="B5060"/>
      <c r="C5060"/>
      <c r="D5060"/>
    </row>
    <row r="5061" spans="1:4" x14ac:dyDescent="0.2">
      <c r="A5061" s="4"/>
      <c r="B5061"/>
      <c r="C5061"/>
      <c r="D5061"/>
    </row>
    <row r="5062" spans="1:4" x14ac:dyDescent="0.2">
      <c r="A5062" s="4"/>
      <c r="B5062"/>
      <c r="C5062"/>
      <c r="D5062"/>
    </row>
    <row r="5063" spans="1:4" x14ac:dyDescent="0.2">
      <c r="A5063" s="4"/>
      <c r="B5063"/>
      <c r="C5063"/>
      <c r="D5063"/>
    </row>
    <row r="5064" spans="1:4" x14ac:dyDescent="0.2">
      <c r="A5064" s="4"/>
      <c r="B5064"/>
      <c r="C5064"/>
      <c r="D5064"/>
    </row>
    <row r="5065" spans="1:4" x14ac:dyDescent="0.2">
      <c r="A5065" s="4"/>
      <c r="B5065"/>
      <c r="C5065"/>
      <c r="D5065"/>
    </row>
    <row r="5066" spans="1:4" x14ac:dyDescent="0.2">
      <c r="A5066" s="4"/>
      <c r="B5066"/>
      <c r="C5066"/>
      <c r="D5066"/>
    </row>
    <row r="5067" spans="1:4" x14ac:dyDescent="0.2">
      <c r="A5067" s="4"/>
      <c r="B5067"/>
      <c r="C5067"/>
      <c r="D5067"/>
    </row>
    <row r="5068" spans="1:4" x14ac:dyDescent="0.2">
      <c r="A5068" s="4"/>
      <c r="B5068"/>
      <c r="C5068"/>
      <c r="D5068"/>
    </row>
    <row r="5069" spans="1:4" x14ac:dyDescent="0.2">
      <c r="A5069" s="4"/>
      <c r="B5069"/>
      <c r="C5069"/>
      <c r="D5069"/>
    </row>
    <row r="5070" spans="1:4" x14ac:dyDescent="0.2">
      <c r="A5070" s="4"/>
      <c r="B5070"/>
      <c r="C5070"/>
      <c r="D5070"/>
    </row>
    <row r="5071" spans="1:4" x14ac:dyDescent="0.2">
      <c r="A5071" s="4"/>
      <c r="B5071"/>
      <c r="C5071"/>
      <c r="D5071"/>
    </row>
    <row r="5072" spans="1:4" x14ac:dyDescent="0.2">
      <c r="A5072" s="4"/>
      <c r="B5072"/>
      <c r="C5072"/>
      <c r="D5072"/>
    </row>
    <row r="5073" spans="1:4" x14ac:dyDescent="0.2">
      <c r="A5073" s="4"/>
      <c r="B5073"/>
      <c r="C5073"/>
      <c r="D5073"/>
    </row>
    <row r="5074" spans="1:4" x14ac:dyDescent="0.2">
      <c r="A5074" s="4"/>
      <c r="B5074"/>
      <c r="C5074"/>
      <c r="D5074"/>
    </row>
    <row r="5075" spans="1:4" x14ac:dyDescent="0.2">
      <c r="A5075" s="4"/>
      <c r="B5075"/>
      <c r="C5075"/>
      <c r="D5075"/>
    </row>
    <row r="5076" spans="1:4" x14ac:dyDescent="0.2">
      <c r="A5076" s="4"/>
      <c r="B5076"/>
      <c r="C5076"/>
      <c r="D5076"/>
    </row>
    <row r="5077" spans="1:4" x14ac:dyDescent="0.2">
      <c r="A5077" s="4"/>
      <c r="B5077"/>
      <c r="C5077"/>
      <c r="D5077"/>
    </row>
    <row r="5078" spans="1:4" x14ac:dyDescent="0.2">
      <c r="A5078" s="4"/>
      <c r="B5078"/>
      <c r="C5078"/>
      <c r="D5078"/>
    </row>
    <row r="5079" spans="1:4" x14ac:dyDescent="0.2">
      <c r="A5079" s="4"/>
      <c r="B5079"/>
      <c r="C5079"/>
      <c r="D5079"/>
    </row>
    <row r="5080" spans="1:4" x14ac:dyDescent="0.2">
      <c r="A5080" s="4"/>
      <c r="B5080"/>
      <c r="C5080"/>
      <c r="D5080"/>
    </row>
    <row r="5081" spans="1:4" x14ac:dyDescent="0.2">
      <c r="A5081" s="4"/>
      <c r="B5081"/>
      <c r="C5081"/>
      <c r="D5081"/>
    </row>
    <row r="5082" spans="1:4" x14ac:dyDescent="0.2">
      <c r="A5082" s="4"/>
      <c r="B5082"/>
      <c r="C5082"/>
      <c r="D5082"/>
    </row>
    <row r="5083" spans="1:4" x14ac:dyDescent="0.2">
      <c r="A5083" s="4"/>
      <c r="B5083"/>
      <c r="C5083"/>
      <c r="D5083"/>
    </row>
    <row r="5084" spans="1:4" x14ac:dyDescent="0.2">
      <c r="A5084" s="4"/>
      <c r="B5084"/>
      <c r="C5084"/>
      <c r="D5084"/>
    </row>
    <row r="5085" spans="1:4" x14ac:dyDescent="0.2">
      <c r="A5085" s="4"/>
      <c r="B5085"/>
      <c r="C5085"/>
      <c r="D5085"/>
    </row>
    <row r="5086" spans="1:4" x14ac:dyDescent="0.2">
      <c r="A5086" s="4"/>
      <c r="B5086"/>
      <c r="C5086"/>
      <c r="D5086"/>
    </row>
    <row r="5087" spans="1:4" x14ac:dyDescent="0.2">
      <c r="A5087" s="4"/>
      <c r="B5087"/>
      <c r="C5087"/>
      <c r="D5087"/>
    </row>
    <row r="5088" spans="1:4" x14ac:dyDescent="0.2">
      <c r="A5088" s="4"/>
      <c r="B5088"/>
      <c r="C5088"/>
      <c r="D5088"/>
    </row>
    <row r="5089" spans="1:4" x14ac:dyDescent="0.2">
      <c r="A5089" s="4"/>
      <c r="B5089"/>
      <c r="C5089"/>
      <c r="D5089"/>
    </row>
    <row r="5090" spans="1:4" x14ac:dyDescent="0.2">
      <c r="A5090" s="4"/>
      <c r="B5090"/>
      <c r="C5090"/>
      <c r="D5090"/>
    </row>
    <row r="5091" spans="1:4" x14ac:dyDescent="0.2">
      <c r="A5091" s="4"/>
      <c r="B5091"/>
      <c r="C5091"/>
      <c r="D5091"/>
    </row>
    <row r="5092" spans="1:4" x14ac:dyDescent="0.2">
      <c r="A5092" s="4"/>
      <c r="B5092"/>
      <c r="C5092"/>
      <c r="D5092"/>
    </row>
    <row r="5093" spans="1:4" x14ac:dyDescent="0.2">
      <c r="A5093" s="4"/>
      <c r="B5093"/>
      <c r="C5093"/>
      <c r="D5093"/>
    </row>
    <row r="5094" spans="1:4" x14ac:dyDescent="0.2">
      <c r="A5094" s="4"/>
      <c r="B5094"/>
      <c r="C5094"/>
      <c r="D5094"/>
    </row>
    <row r="5095" spans="1:4" x14ac:dyDescent="0.2">
      <c r="A5095" s="4"/>
      <c r="B5095"/>
      <c r="C5095"/>
      <c r="D5095"/>
    </row>
    <row r="5096" spans="1:4" x14ac:dyDescent="0.2">
      <c r="A5096" s="4"/>
      <c r="B5096"/>
      <c r="C5096"/>
      <c r="D5096"/>
    </row>
    <row r="5097" spans="1:4" x14ac:dyDescent="0.2">
      <c r="A5097" s="4"/>
      <c r="B5097"/>
      <c r="C5097"/>
      <c r="D5097"/>
    </row>
    <row r="5098" spans="1:4" x14ac:dyDescent="0.2">
      <c r="A5098" s="4"/>
      <c r="B5098"/>
      <c r="C5098"/>
      <c r="D5098"/>
    </row>
    <row r="5099" spans="1:4" x14ac:dyDescent="0.2">
      <c r="A5099" s="4"/>
      <c r="B5099"/>
      <c r="C5099"/>
      <c r="D5099"/>
    </row>
    <row r="5100" spans="1:4" x14ac:dyDescent="0.2">
      <c r="A5100" s="4"/>
      <c r="B5100"/>
      <c r="C5100"/>
      <c r="D5100"/>
    </row>
    <row r="5101" spans="1:4" x14ac:dyDescent="0.2">
      <c r="A5101" s="4"/>
      <c r="B5101"/>
      <c r="C5101"/>
      <c r="D5101"/>
    </row>
    <row r="5102" spans="1:4" x14ac:dyDescent="0.2">
      <c r="A5102" s="4"/>
      <c r="B5102"/>
      <c r="C5102"/>
      <c r="D5102"/>
    </row>
    <row r="5103" spans="1:4" x14ac:dyDescent="0.2">
      <c r="A5103" s="4"/>
      <c r="B5103"/>
      <c r="C5103"/>
      <c r="D5103"/>
    </row>
    <row r="5104" spans="1:4" x14ac:dyDescent="0.2">
      <c r="A5104" s="4"/>
      <c r="B5104"/>
      <c r="C5104"/>
      <c r="D5104"/>
    </row>
    <row r="5105" spans="1:4" x14ac:dyDescent="0.2">
      <c r="A5105" s="4"/>
      <c r="B5105"/>
      <c r="C5105"/>
      <c r="D5105"/>
    </row>
    <row r="5106" spans="1:4" x14ac:dyDescent="0.2">
      <c r="A5106" s="4"/>
      <c r="B5106"/>
      <c r="C5106"/>
      <c r="D5106"/>
    </row>
    <row r="5107" spans="1:4" x14ac:dyDescent="0.2">
      <c r="A5107" s="4"/>
      <c r="B5107"/>
      <c r="C5107"/>
      <c r="D5107"/>
    </row>
    <row r="5108" spans="1:4" x14ac:dyDescent="0.2">
      <c r="A5108" s="4"/>
      <c r="B5108"/>
      <c r="C5108"/>
      <c r="D5108"/>
    </row>
    <row r="5109" spans="1:4" x14ac:dyDescent="0.2">
      <c r="A5109" s="4"/>
      <c r="B5109"/>
      <c r="C5109"/>
      <c r="D5109"/>
    </row>
    <row r="5110" spans="1:4" x14ac:dyDescent="0.2">
      <c r="A5110" s="4"/>
      <c r="B5110"/>
      <c r="C5110"/>
      <c r="D5110"/>
    </row>
    <row r="5111" spans="1:4" x14ac:dyDescent="0.2">
      <c r="A5111" s="4"/>
      <c r="B5111"/>
      <c r="C5111"/>
      <c r="D5111"/>
    </row>
    <row r="5112" spans="1:4" x14ac:dyDescent="0.2">
      <c r="A5112" s="4"/>
      <c r="B5112"/>
      <c r="C5112"/>
      <c r="D5112"/>
    </row>
    <row r="5113" spans="1:4" x14ac:dyDescent="0.2">
      <c r="A5113" s="4"/>
      <c r="B5113"/>
      <c r="C5113"/>
      <c r="D5113"/>
    </row>
    <row r="5114" spans="1:4" x14ac:dyDescent="0.2">
      <c r="A5114" s="4"/>
      <c r="B5114"/>
      <c r="C5114"/>
      <c r="D5114"/>
    </row>
    <row r="5115" spans="1:4" x14ac:dyDescent="0.2">
      <c r="A5115" s="4"/>
      <c r="B5115"/>
      <c r="C5115"/>
      <c r="D5115"/>
    </row>
    <row r="5116" spans="1:4" x14ac:dyDescent="0.2">
      <c r="A5116" s="4"/>
      <c r="B5116"/>
      <c r="C5116"/>
      <c r="D5116"/>
    </row>
    <row r="5117" spans="1:4" x14ac:dyDescent="0.2">
      <c r="A5117" s="4"/>
      <c r="B5117"/>
      <c r="C5117"/>
      <c r="D5117"/>
    </row>
    <row r="5118" spans="1:4" x14ac:dyDescent="0.2">
      <c r="A5118" s="4"/>
      <c r="B5118"/>
      <c r="C5118"/>
      <c r="D5118"/>
    </row>
    <row r="5119" spans="1:4" x14ac:dyDescent="0.2">
      <c r="A5119" s="4"/>
      <c r="B5119"/>
      <c r="C5119"/>
      <c r="D5119"/>
    </row>
    <row r="5120" spans="1:4" x14ac:dyDescent="0.2">
      <c r="A5120" s="4"/>
      <c r="B5120"/>
      <c r="C5120"/>
      <c r="D5120"/>
    </row>
    <row r="5121" spans="1:4" x14ac:dyDescent="0.2">
      <c r="A5121" s="4"/>
      <c r="B5121"/>
      <c r="C5121"/>
      <c r="D5121"/>
    </row>
    <row r="5122" spans="1:4" x14ac:dyDescent="0.2">
      <c r="A5122" s="4"/>
      <c r="B5122"/>
      <c r="C5122"/>
      <c r="D5122"/>
    </row>
    <row r="5123" spans="1:4" x14ac:dyDescent="0.2">
      <c r="A5123" s="4"/>
      <c r="B5123"/>
      <c r="C5123"/>
      <c r="D5123"/>
    </row>
    <row r="5124" spans="1:4" x14ac:dyDescent="0.2">
      <c r="A5124" s="4"/>
      <c r="B5124"/>
      <c r="C5124"/>
      <c r="D5124"/>
    </row>
    <row r="5125" spans="1:4" x14ac:dyDescent="0.2">
      <c r="A5125" s="4"/>
      <c r="B5125"/>
      <c r="C5125"/>
      <c r="D5125"/>
    </row>
    <row r="5126" spans="1:4" x14ac:dyDescent="0.2">
      <c r="A5126" s="4"/>
      <c r="B5126"/>
      <c r="C5126"/>
      <c r="D5126"/>
    </row>
    <row r="5127" spans="1:4" x14ac:dyDescent="0.2">
      <c r="A5127" s="4"/>
      <c r="B5127"/>
      <c r="C5127"/>
      <c r="D5127"/>
    </row>
    <row r="5128" spans="1:4" x14ac:dyDescent="0.2">
      <c r="A5128" s="4"/>
      <c r="B5128"/>
      <c r="C5128"/>
      <c r="D5128"/>
    </row>
    <row r="5129" spans="1:4" x14ac:dyDescent="0.2">
      <c r="A5129" s="4"/>
      <c r="B5129"/>
      <c r="C5129"/>
      <c r="D5129"/>
    </row>
    <row r="5130" spans="1:4" x14ac:dyDescent="0.2">
      <c r="A5130" s="4"/>
      <c r="B5130"/>
      <c r="C5130"/>
      <c r="D5130"/>
    </row>
    <row r="5131" spans="1:4" x14ac:dyDescent="0.2">
      <c r="A5131" s="4"/>
      <c r="B5131"/>
      <c r="C5131"/>
      <c r="D5131"/>
    </row>
    <row r="5132" spans="1:4" x14ac:dyDescent="0.2">
      <c r="A5132" s="4"/>
      <c r="B5132"/>
      <c r="C5132"/>
      <c r="D5132"/>
    </row>
    <row r="5133" spans="1:4" x14ac:dyDescent="0.2">
      <c r="A5133" s="4"/>
      <c r="B5133"/>
      <c r="C5133"/>
      <c r="D5133"/>
    </row>
    <row r="5134" spans="1:4" x14ac:dyDescent="0.2">
      <c r="A5134" s="4"/>
      <c r="B5134"/>
      <c r="C5134"/>
      <c r="D5134"/>
    </row>
    <row r="5135" spans="1:4" x14ac:dyDescent="0.2">
      <c r="A5135" s="4"/>
      <c r="B5135"/>
      <c r="C5135"/>
      <c r="D5135"/>
    </row>
    <row r="5136" spans="1:4" x14ac:dyDescent="0.2">
      <c r="A5136" s="4"/>
      <c r="B5136"/>
      <c r="C5136"/>
      <c r="D5136"/>
    </row>
    <row r="5137" spans="1:4" x14ac:dyDescent="0.2">
      <c r="A5137" s="4"/>
      <c r="B5137"/>
      <c r="C5137"/>
      <c r="D5137"/>
    </row>
    <row r="5138" spans="1:4" x14ac:dyDescent="0.2">
      <c r="A5138" s="4"/>
      <c r="B5138"/>
      <c r="C5138"/>
      <c r="D5138"/>
    </row>
    <row r="5139" spans="1:4" x14ac:dyDescent="0.2">
      <c r="A5139" s="4"/>
      <c r="B5139"/>
      <c r="C5139"/>
      <c r="D5139"/>
    </row>
    <row r="5140" spans="1:4" x14ac:dyDescent="0.2">
      <c r="A5140" s="4"/>
      <c r="B5140"/>
      <c r="C5140"/>
      <c r="D5140"/>
    </row>
    <row r="5141" spans="1:4" x14ac:dyDescent="0.2">
      <c r="A5141" s="4"/>
      <c r="B5141"/>
      <c r="C5141"/>
      <c r="D5141"/>
    </row>
    <row r="5142" spans="1:4" x14ac:dyDescent="0.2">
      <c r="A5142" s="4"/>
      <c r="B5142"/>
      <c r="C5142"/>
      <c r="D5142"/>
    </row>
    <row r="5143" spans="1:4" x14ac:dyDescent="0.2">
      <c r="A5143" s="4"/>
      <c r="B5143"/>
      <c r="C5143"/>
      <c r="D5143"/>
    </row>
    <row r="5144" spans="1:4" x14ac:dyDescent="0.2">
      <c r="A5144" s="4"/>
      <c r="B5144"/>
      <c r="C5144"/>
      <c r="D5144"/>
    </row>
    <row r="5145" spans="1:4" x14ac:dyDescent="0.2">
      <c r="A5145" s="4"/>
      <c r="B5145"/>
      <c r="C5145"/>
      <c r="D5145"/>
    </row>
    <row r="5146" spans="1:4" x14ac:dyDescent="0.2">
      <c r="A5146" s="4"/>
      <c r="B5146"/>
      <c r="C5146"/>
      <c r="D5146"/>
    </row>
    <row r="5147" spans="1:4" x14ac:dyDescent="0.2">
      <c r="A5147" s="4"/>
      <c r="B5147"/>
      <c r="C5147"/>
      <c r="D5147"/>
    </row>
    <row r="5148" spans="1:4" x14ac:dyDescent="0.2">
      <c r="A5148" s="4"/>
      <c r="B5148"/>
      <c r="C5148"/>
      <c r="D5148"/>
    </row>
    <row r="5149" spans="1:4" x14ac:dyDescent="0.2">
      <c r="A5149" s="4"/>
      <c r="B5149"/>
      <c r="C5149"/>
      <c r="D5149"/>
    </row>
    <row r="5150" spans="1:4" x14ac:dyDescent="0.2">
      <c r="A5150" s="4"/>
      <c r="B5150"/>
      <c r="C5150"/>
      <c r="D5150"/>
    </row>
    <row r="5151" spans="1:4" x14ac:dyDescent="0.2">
      <c r="A5151" s="4"/>
      <c r="B5151"/>
      <c r="C5151"/>
      <c r="D5151"/>
    </row>
    <row r="5152" spans="1:4" x14ac:dyDescent="0.2">
      <c r="A5152" s="4"/>
      <c r="B5152"/>
      <c r="C5152"/>
      <c r="D5152"/>
    </row>
    <row r="5153" spans="1:4" x14ac:dyDescent="0.2">
      <c r="A5153" s="4"/>
      <c r="B5153"/>
      <c r="C5153"/>
      <c r="D5153"/>
    </row>
    <row r="5154" spans="1:4" x14ac:dyDescent="0.2">
      <c r="A5154" s="4"/>
      <c r="B5154"/>
      <c r="C5154"/>
      <c r="D5154"/>
    </row>
    <row r="5155" spans="1:4" x14ac:dyDescent="0.2">
      <c r="A5155" s="4"/>
      <c r="B5155"/>
      <c r="C5155"/>
      <c r="D5155"/>
    </row>
    <row r="5156" spans="1:4" x14ac:dyDescent="0.2">
      <c r="A5156" s="4"/>
      <c r="B5156"/>
      <c r="C5156"/>
      <c r="D5156"/>
    </row>
    <row r="5157" spans="1:4" x14ac:dyDescent="0.2">
      <c r="A5157" s="4"/>
      <c r="B5157"/>
      <c r="C5157"/>
      <c r="D5157"/>
    </row>
    <row r="5158" spans="1:4" x14ac:dyDescent="0.2">
      <c r="A5158" s="4"/>
      <c r="B5158"/>
      <c r="C5158"/>
      <c r="D5158"/>
    </row>
    <row r="5159" spans="1:4" x14ac:dyDescent="0.2">
      <c r="A5159" s="4"/>
      <c r="B5159"/>
      <c r="C5159"/>
      <c r="D5159"/>
    </row>
    <row r="5160" spans="1:4" x14ac:dyDescent="0.2">
      <c r="A5160" s="4"/>
      <c r="B5160"/>
      <c r="C5160"/>
      <c r="D5160"/>
    </row>
    <row r="5161" spans="1:4" x14ac:dyDescent="0.2">
      <c r="A5161" s="4"/>
      <c r="B5161"/>
      <c r="C5161"/>
      <c r="D5161"/>
    </row>
    <row r="5162" spans="1:4" x14ac:dyDescent="0.2">
      <c r="A5162" s="4"/>
      <c r="B5162"/>
      <c r="C5162"/>
      <c r="D5162"/>
    </row>
    <row r="5163" spans="1:4" x14ac:dyDescent="0.2">
      <c r="A5163" s="4"/>
      <c r="B5163"/>
      <c r="C5163"/>
      <c r="D5163"/>
    </row>
    <row r="5164" spans="1:4" x14ac:dyDescent="0.2">
      <c r="A5164" s="4"/>
      <c r="B5164"/>
      <c r="C5164"/>
      <c r="D5164"/>
    </row>
    <row r="5165" spans="1:4" x14ac:dyDescent="0.2">
      <c r="A5165" s="4"/>
      <c r="B5165"/>
      <c r="C5165"/>
      <c r="D5165"/>
    </row>
    <row r="5166" spans="1:4" x14ac:dyDescent="0.2">
      <c r="A5166" s="4"/>
      <c r="B5166"/>
      <c r="C5166"/>
      <c r="D5166"/>
    </row>
    <row r="5167" spans="1:4" x14ac:dyDescent="0.2">
      <c r="A5167" s="4"/>
      <c r="B5167"/>
      <c r="C5167"/>
      <c r="D5167"/>
    </row>
    <row r="5168" spans="1:4" x14ac:dyDescent="0.2">
      <c r="A5168" s="4"/>
      <c r="B5168"/>
      <c r="C5168"/>
      <c r="D5168"/>
    </row>
    <row r="5169" spans="1:4" x14ac:dyDescent="0.2">
      <c r="A5169" s="4"/>
      <c r="B5169"/>
      <c r="C5169"/>
      <c r="D5169"/>
    </row>
    <row r="5170" spans="1:4" x14ac:dyDescent="0.2">
      <c r="A5170" s="4"/>
      <c r="B5170"/>
      <c r="C5170"/>
      <c r="D5170"/>
    </row>
    <row r="5171" spans="1:4" x14ac:dyDescent="0.2">
      <c r="A5171" s="4"/>
      <c r="B5171"/>
      <c r="C5171"/>
      <c r="D5171"/>
    </row>
    <row r="5172" spans="1:4" x14ac:dyDescent="0.2">
      <c r="A5172" s="4"/>
      <c r="B5172"/>
      <c r="C5172"/>
      <c r="D5172"/>
    </row>
    <row r="5173" spans="1:4" x14ac:dyDescent="0.2">
      <c r="A5173" s="4"/>
      <c r="B5173"/>
      <c r="C5173"/>
      <c r="D5173"/>
    </row>
    <row r="5174" spans="1:4" x14ac:dyDescent="0.2">
      <c r="A5174" s="4"/>
      <c r="B5174"/>
      <c r="C5174"/>
      <c r="D5174"/>
    </row>
    <row r="5175" spans="1:4" x14ac:dyDescent="0.2">
      <c r="A5175" s="4"/>
      <c r="B5175"/>
      <c r="C5175"/>
      <c r="D5175"/>
    </row>
    <row r="5176" spans="1:4" x14ac:dyDescent="0.2">
      <c r="A5176" s="4"/>
      <c r="B5176"/>
      <c r="C5176"/>
      <c r="D5176"/>
    </row>
    <row r="5177" spans="1:4" x14ac:dyDescent="0.2">
      <c r="A5177" s="4"/>
      <c r="B5177"/>
      <c r="C5177"/>
      <c r="D5177"/>
    </row>
    <row r="5178" spans="1:4" x14ac:dyDescent="0.2">
      <c r="A5178" s="4"/>
      <c r="B5178"/>
      <c r="C5178"/>
      <c r="D5178"/>
    </row>
    <row r="5179" spans="1:4" x14ac:dyDescent="0.2">
      <c r="A5179" s="4"/>
      <c r="B5179"/>
      <c r="C5179"/>
      <c r="D5179"/>
    </row>
    <row r="5180" spans="1:4" x14ac:dyDescent="0.2">
      <c r="A5180" s="4"/>
      <c r="B5180"/>
      <c r="C5180"/>
      <c r="D5180"/>
    </row>
    <row r="5181" spans="1:4" x14ac:dyDescent="0.2">
      <c r="A5181" s="4"/>
      <c r="B5181"/>
      <c r="C5181"/>
      <c r="D5181"/>
    </row>
    <row r="5182" spans="1:4" x14ac:dyDescent="0.2">
      <c r="A5182" s="4"/>
      <c r="B5182"/>
      <c r="C5182"/>
      <c r="D5182"/>
    </row>
    <row r="5183" spans="1:4" x14ac:dyDescent="0.2">
      <c r="A5183" s="4"/>
      <c r="B5183"/>
      <c r="C5183"/>
      <c r="D5183"/>
    </row>
    <row r="5184" spans="1:4" x14ac:dyDescent="0.2">
      <c r="A5184" s="4"/>
      <c r="B5184"/>
      <c r="C5184"/>
      <c r="D5184"/>
    </row>
    <row r="5185" spans="1:4" x14ac:dyDescent="0.2">
      <c r="A5185" s="4"/>
      <c r="B5185"/>
      <c r="C5185"/>
      <c r="D5185"/>
    </row>
    <row r="5186" spans="1:4" x14ac:dyDescent="0.2">
      <c r="A5186" s="4"/>
      <c r="B5186"/>
      <c r="C5186"/>
      <c r="D5186"/>
    </row>
    <row r="5187" spans="1:4" x14ac:dyDescent="0.2">
      <c r="A5187" s="4"/>
      <c r="B5187"/>
      <c r="C5187"/>
      <c r="D5187"/>
    </row>
    <row r="5188" spans="1:4" x14ac:dyDescent="0.2">
      <c r="A5188" s="4"/>
      <c r="B5188"/>
      <c r="C5188"/>
      <c r="D5188"/>
    </row>
    <row r="5189" spans="1:4" x14ac:dyDescent="0.2">
      <c r="A5189" s="4"/>
      <c r="B5189"/>
      <c r="C5189"/>
      <c r="D5189"/>
    </row>
    <row r="5190" spans="1:4" x14ac:dyDescent="0.2">
      <c r="A5190" s="4"/>
      <c r="B5190"/>
      <c r="C5190"/>
      <c r="D5190"/>
    </row>
    <row r="5191" spans="1:4" x14ac:dyDescent="0.2">
      <c r="A5191" s="4"/>
      <c r="B5191"/>
      <c r="C5191"/>
      <c r="D5191"/>
    </row>
    <row r="5192" spans="1:4" x14ac:dyDescent="0.2">
      <c r="A5192" s="4"/>
      <c r="B5192"/>
      <c r="C5192"/>
      <c r="D5192"/>
    </row>
    <row r="5193" spans="1:4" x14ac:dyDescent="0.2">
      <c r="A5193" s="4"/>
      <c r="B5193"/>
      <c r="C5193"/>
      <c r="D5193"/>
    </row>
    <row r="5194" spans="1:4" x14ac:dyDescent="0.2">
      <c r="A5194" s="4"/>
      <c r="B5194"/>
      <c r="C5194"/>
      <c r="D5194"/>
    </row>
    <row r="5195" spans="1:4" x14ac:dyDescent="0.2">
      <c r="A5195" s="4"/>
      <c r="B5195"/>
      <c r="C5195"/>
      <c r="D5195"/>
    </row>
    <row r="5196" spans="1:4" x14ac:dyDescent="0.2">
      <c r="A5196" s="4"/>
      <c r="B5196"/>
      <c r="C5196"/>
      <c r="D5196"/>
    </row>
    <row r="5197" spans="1:4" x14ac:dyDescent="0.2">
      <c r="A5197" s="4"/>
      <c r="B5197"/>
      <c r="C5197"/>
      <c r="D5197"/>
    </row>
    <row r="5198" spans="1:4" x14ac:dyDescent="0.2">
      <c r="A5198" s="4"/>
      <c r="B5198"/>
      <c r="C5198"/>
      <c r="D5198"/>
    </row>
    <row r="5199" spans="1:4" x14ac:dyDescent="0.2">
      <c r="A5199" s="4"/>
      <c r="B5199"/>
      <c r="C5199"/>
      <c r="D5199"/>
    </row>
    <row r="5200" spans="1:4" x14ac:dyDescent="0.2">
      <c r="A5200" s="4"/>
      <c r="B5200"/>
      <c r="C5200"/>
      <c r="D5200"/>
    </row>
    <row r="5201" spans="1:4" x14ac:dyDescent="0.2">
      <c r="A5201" s="4"/>
      <c r="B5201"/>
      <c r="C5201"/>
      <c r="D5201"/>
    </row>
    <row r="5202" spans="1:4" x14ac:dyDescent="0.2">
      <c r="A5202" s="4"/>
      <c r="B5202"/>
      <c r="C5202"/>
      <c r="D5202"/>
    </row>
    <row r="5203" spans="1:4" x14ac:dyDescent="0.2">
      <c r="A5203" s="4"/>
      <c r="B5203"/>
      <c r="C5203"/>
      <c r="D5203"/>
    </row>
    <row r="5204" spans="1:4" x14ac:dyDescent="0.2">
      <c r="A5204" s="4"/>
      <c r="B5204"/>
      <c r="C5204"/>
      <c r="D5204"/>
    </row>
    <row r="5205" spans="1:4" x14ac:dyDescent="0.2">
      <c r="A5205" s="4"/>
      <c r="B5205"/>
      <c r="C5205"/>
      <c r="D5205"/>
    </row>
    <row r="5206" spans="1:4" x14ac:dyDescent="0.2">
      <c r="A5206" s="4"/>
      <c r="B5206"/>
      <c r="C5206"/>
      <c r="D5206"/>
    </row>
    <row r="5207" spans="1:4" x14ac:dyDescent="0.2">
      <c r="A5207" s="4"/>
      <c r="B5207"/>
      <c r="C5207"/>
      <c r="D5207"/>
    </row>
    <row r="5208" spans="1:4" x14ac:dyDescent="0.2">
      <c r="A5208" s="4"/>
      <c r="B5208"/>
      <c r="C5208"/>
      <c r="D5208"/>
    </row>
    <row r="5209" spans="1:4" x14ac:dyDescent="0.2">
      <c r="A5209" s="4"/>
      <c r="B5209"/>
      <c r="C5209"/>
      <c r="D5209"/>
    </row>
    <row r="5210" spans="1:4" x14ac:dyDescent="0.2">
      <c r="A5210" s="4"/>
      <c r="B5210"/>
      <c r="C5210"/>
      <c r="D5210"/>
    </row>
    <row r="5211" spans="1:4" x14ac:dyDescent="0.2">
      <c r="A5211" s="4"/>
      <c r="B5211"/>
      <c r="C5211"/>
      <c r="D5211"/>
    </row>
    <row r="5212" spans="1:4" x14ac:dyDescent="0.2">
      <c r="A5212" s="4"/>
      <c r="B5212"/>
      <c r="C5212"/>
      <c r="D5212"/>
    </row>
    <row r="5213" spans="1:4" x14ac:dyDescent="0.2">
      <c r="A5213" s="4"/>
      <c r="B5213"/>
      <c r="C5213"/>
      <c r="D5213"/>
    </row>
    <row r="5214" spans="1:4" x14ac:dyDescent="0.2">
      <c r="A5214" s="4"/>
      <c r="B5214"/>
      <c r="C5214"/>
      <c r="D5214"/>
    </row>
    <row r="5215" spans="1:4" x14ac:dyDescent="0.2">
      <c r="A5215" s="4"/>
      <c r="B5215"/>
      <c r="C5215"/>
      <c r="D5215"/>
    </row>
    <row r="5216" spans="1:4" x14ac:dyDescent="0.2">
      <c r="A5216" s="4"/>
      <c r="B5216"/>
      <c r="C5216"/>
      <c r="D5216"/>
    </row>
    <row r="5217" spans="1:4" x14ac:dyDescent="0.2">
      <c r="A5217" s="4"/>
      <c r="B5217"/>
      <c r="C5217"/>
      <c r="D5217"/>
    </row>
    <row r="5218" spans="1:4" x14ac:dyDescent="0.2">
      <c r="A5218" s="4"/>
      <c r="B5218"/>
      <c r="C5218"/>
      <c r="D5218"/>
    </row>
    <row r="5219" spans="1:4" x14ac:dyDescent="0.2">
      <c r="A5219" s="4"/>
      <c r="B5219"/>
      <c r="C5219"/>
      <c r="D5219"/>
    </row>
    <row r="5220" spans="1:4" x14ac:dyDescent="0.2">
      <c r="A5220" s="4"/>
      <c r="B5220"/>
      <c r="C5220"/>
      <c r="D5220"/>
    </row>
    <row r="5221" spans="1:4" x14ac:dyDescent="0.2">
      <c r="A5221" s="4"/>
      <c r="B5221"/>
      <c r="C5221"/>
      <c r="D5221"/>
    </row>
    <row r="5222" spans="1:4" x14ac:dyDescent="0.2">
      <c r="A5222" s="4"/>
      <c r="B5222"/>
      <c r="C5222"/>
      <c r="D5222"/>
    </row>
    <row r="5223" spans="1:4" x14ac:dyDescent="0.2">
      <c r="A5223" s="4"/>
      <c r="B5223"/>
      <c r="C5223"/>
      <c r="D5223"/>
    </row>
    <row r="5224" spans="1:4" x14ac:dyDescent="0.2">
      <c r="A5224" s="4"/>
      <c r="B5224"/>
      <c r="C5224"/>
      <c r="D5224"/>
    </row>
    <row r="5225" spans="1:4" x14ac:dyDescent="0.2">
      <c r="A5225" s="4"/>
      <c r="B5225"/>
      <c r="C5225"/>
      <c r="D5225"/>
    </row>
    <row r="5226" spans="1:4" x14ac:dyDescent="0.2">
      <c r="A5226" s="4"/>
      <c r="B5226"/>
      <c r="C5226"/>
      <c r="D5226"/>
    </row>
    <row r="5227" spans="1:4" x14ac:dyDescent="0.2">
      <c r="A5227" s="4"/>
      <c r="B5227"/>
      <c r="C5227"/>
      <c r="D5227"/>
    </row>
    <row r="5228" spans="1:4" x14ac:dyDescent="0.2">
      <c r="A5228" s="4"/>
      <c r="B5228"/>
      <c r="C5228"/>
      <c r="D5228"/>
    </row>
    <row r="5229" spans="1:4" x14ac:dyDescent="0.2">
      <c r="A5229" s="4"/>
      <c r="B5229"/>
      <c r="C5229"/>
      <c r="D5229"/>
    </row>
    <row r="5230" spans="1:4" x14ac:dyDescent="0.2">
      <c r="A5230" s="4"/>
      <c r="B5230"/>
      <c r="C5230"/>
      <c r="D5230"/>
    </row>
    <row r="5231" spans="1:4" x14ac:dyDescent="0.2">
      <c r="A5231" s="4"/>
      <c r="B5231"/>
      <c r="C5231"/>
      <c r="D5231"/>
    </row>
    <row r="5232" spans="1:4" x14ac:dyDescent="0.2">
      <c r="A5232" s="4"/>
      <c r="B5232"/>
      <c r="C5232"/>
      <c r="D5232"/>
    </row>
    <row r="5233" spans="1:4" x14ac:dyDescent="0.2">
      <c r="A5233" s="4"/>
      <c r="B5233"/>
      <c r="C5233"/>
      <c r="D5233"/>
    </row>
    <row r="5234" spans="1:4" x14ac:dyDescent="0.2">
      <c r="A5234" s="4"/>
      <c r="B5234"/>
      <c r="C5234"/>
      <c r="D5234"/>
    </row>
    <row r="5235" spans="1:4" x14ac:dyDescent="0.2">
      <c r="A5235" s="4"/>
      <c r="B5235"/>
      <c r="C5235"/>
      <c r="D5235"/>
    </row>
    <row r="5236" spans="1:4" x14ac:dyDescent="0.2">
      <c r="A5236" s="4"/>
      <c r="B5236"/>
      <c r="C5236"/>
      <c r="D5236"/>
    </row>
    <row r="5237" spans="1:4" x14ac:dyDescent="0.2">
      <c r="A5237" s="4"/>
      <c r="B5237"/>
      <c r="C5237"/>
      <c r="D5237"/>
    </row>
    <row r="5238" spans="1:4" x14ac:dyDescent="0.2">
      <c r="A5238" s="4"/>
      <c r="B5238"/>
      <c r="C5238"/>
      <c r="D5238"/>
    </row>
    <row r="5239" spans="1:4" x14ac:dyDescent="0.2">
      <c r="A5239" s="4"/>
      <c r="B5239"/>
      <c r="C5239"/>
      <c r="D5239"/>
    </row>
    <row r="5240" spans="1:4" x14ac:dyDescent="0.2">
      <c r="A5240" s="4"/>
      <c r="B5240"/>
      <c r="C5240"/>
      <c r="D5240"/>
    </row>
    <row r="5241" spans="1:4" x14ac:dyDescent="0.2">
      <c r="A5241" s="4"/>
      <c r="B5241"/>
      <c r="C5241"/>
      <c r="D5241"/>
    </row>
    <row r="5242" spans="1:4" x14ac:dyDescent="0.2">
      <c r="A5242" s="4"/>
      <c r="B5242"/>
      <c r="C5242"/>
      <c r="D5242"/>
    </row>
    <row r="5243" spans="1:4" x14ac:dyDescent="0.2">
      <c r="A5243" s="4"/>
      <c r="B5243"/>
      <c r="C5243"/>
      <c r="D5243"/>
    </row>
    <row r="5244" spans="1:4" x14ac:dyDescent="0.2">
      <c r="A5244" s="4"/>
      <c r="B5244"/>
      <c r="C5244"/>
      <c r="D5244"/>
    </row>
    <row r="5245" spans="1:4" x14ac:dyDescent="0.2">
      <c r="A5245" s="4"/>
      <c r="B5245"/>
      <c r="C5245"/>
      <c r="D5245"/>
    </row>
    <row r="5246" spans="1:4" x14ac:dyDescent="0.2">
      <c r="A5246" s="4"/>
      <c r="B5246"/>
      <c r="C5246"/>
      <c r="D5246"/>
    </row>
    <row r="5247" spans="1:4" x14ac:dyDescent="0.2">
      <c r="A5247" s="4"/>
      <c r="B5247"/>
      <c r="C5247"/>
      <c r="D5247"/>
    </row>
    <row r="5248" spans="1:4" x14ac:dyDescent="0.2">
      <c r="A5248" s="4"/>
      <c r="B5248"/>
      <c r="C5248"/>
      <c r="D5248"/>
    </row>
    <row r="5249" spans="1:4" x14ac:dyDescent="0.2">
      <c r="A5249" s="4"/>
      <c r="B5249"/>
      <c r="C5249"/>
      <c r="D5249"/>
    </row>
    <row r="5250" spans="1:4" x14ac:dyDescent="0.2">
      <c r="A5250" s="4"/>
      <c r="B5250"/>
      <c r="C5250"/>
      <c r="D5250"/>
    </row>
    <row r="5251" spans="1:4" x14ac:dyDescent="0.2">
      <c r="A5251" s="4"/>
      <c r="B5251"/>
      <c r="C5251"/>
      <c r="D5251"/>
    </row>
    <row r="5252" spans="1:4" x14ac:dyDescent="0.2">
      <c r="A5252" s="4"/>
      <c r="B5252"/>
      <c r="C5252"/>
      <c r="D5252"/>
    </row>
    <row r="5253" spans="1:4" x14ac:dyDescent="0.2">
      <c r="A5253" s="4"/>
      <c r="B5253"/>
      <c r="C5253"/>
      <c r="D5253"/>
    </row>
    <row r="5254" spans="1:4" x14ac:dyDescent="0.2">
      <c r="A5254" s="4"/>
      <c r="B5254"/>
      <c r="C5254"/>
      <c r="D5254"/>
    </row>
    <row r="5255" spans="1:4" x14ac:dyDescent="0.2">
      <c r="A5255" s="4"/>
      <c r="B5255"/>
      <c r="C5255"/>
      <c r="D5255"/>
    </row>
    <row r="5256" spans="1:4" x14ac:dyDescent="0.2">
      <c r="A5256" s="4"/>
      <c r="B5256"/>
      <c r="C5256"/>
      <c r="D5256"/>
    </row>
    <row r="5257" spans="1:4" x14ac:dyDescent="0.2">
      <c r="A5257" s="4"/>
      <c r="B5257"/>
      <c r="C5257"/>
      <c r="D5257"/>
    </row>
    <row r="5258" spans="1:4" x14ac:dyDescent="0.2">
      <c r="A5258" s="4"/>
      <c r="B5258"/>
      <c r="C5258"/>
      <c r="D5258"/>
    </row>
    <row r="5259" spans="1:4" x14ac:dyDescent="0.2">
      <c r="A5259" s="4"/>
      <c r="B5259"/>
      <c r="C5259"/>
      <c r="D5259"/>
    </row>
    <row r="5260" spans="1:4" x14ac:dyDescent="0.2">
      <c r="A5260" s="4"/>
      <c r="B5260"/>
      <c r="C5260"/>
      <c r="D5260"/>
    </row>
    <row r="5261" spans="1:4" x14ac:dyDescent="0.2">
      <c r="A5261" s="4"/>
      <c r="B5261"/>
      <c r="C5261"/>
      <c r="D5261"/>
    </row>
    <row r="5262" spans="1:4" x14ac:dyDescent="0.2">
      <c r="A5262" s="4"/>
      <c r="B5262"/>
      <c r="C5262"/>
      <c r="D5262"/>
    </row>
    <row r="5263" spans="1:4" x14ac:dyDescent="0.2">
      <c r="A5263" s="4"/>
      <c r="B5263"/>
      <c r="C5263"/>
      <c r="D5263"/>
    </row>
    <row r="5264" spans="1:4" x14ac:dyDescent="0.2">
      <c r="A5264" s="4"/>
      <c r="B5264"/>
      <c r="C5264"/>
      <c r="D5264"/>
    </row>
    <row r="5265" spans="1:4" x14ac:dyDescent="0.2">
      <c r="A5265" s="4"/>
      <c r="B5265"/>
      <c r="C5265"/>
      <c r="D5265"/>
    </row>
    <row r="5266" spans="1:4" x14ac:dyDescent="0.2">
      <c r="A5266" s="4"/>
      <c r="B5266"/>
      <c r="C5266"/>
      <c r="D5266"/>
    </row>
    <row r="5267" spans="1:4" x14ac:dyDescent="0.2">
      <c r="A5267" s="4"/>
      <c r="B5267"/>
      <c r="C5267"/>
      <c r="D5267"/>
    </row>
    <row r="5268" spans="1:4" x14ac:dyDescent="0.2">
      <c r="A5268" s="4"/>
      <c r="B5268"/>
      <c r="C5268"/>
      <c r="D5268"/>
    </row>
    <row r="5269" spans="1:4" x14ac:dyDescent="0.2">
      <c r="A5269" s="4"/>
      <c r="B5269"/>
      <c r="C5269"/>
      <c r="D5269"/>
    </row>
    <row r="5270" spans="1:4" x14ac:dyDescent="0.2">
      <c r="A5270" s="4"/>
      <c r="B5270"/>
      <c r="C5270"/>
      <c r="D5270"/>
    </row>
    <row r="5271" spans="1:4" x14ac:dyDescent="0.2">
      <c r="A5271" s="4"/>
      <c r="B5271"/>
      <c r="C5271"/>
      <c r="D5271"/>
    </row>
    <row r="5272" spans="1:4" x14ac:dyDescent="0.2">
      <c r="A5272" s="4"/>
      <c r="B5272"/>
      <c r="C5272"/>
      <c r="D5272"/>
    </row>
    <row r="5273" spans="1:4" x14ac:dyDescent="0.2">
      <c r="A5273" s="4"/>
      <c r="B5273"/>
      <c r="C5273"/>
      <c r="D5273"/>
    </row>
    <row r="5274" spans="1:4" x14ac:dyDescent="0.2">
      <c r="A5274" s="4"/>
      <c r="B5274"/>
      <c r="C5274"/>
      <c r="D5274"/>
    </row>
    <row r="5275" spans="1:4" x14ac:dyDescent="0.2">
      <c r="A5275" s="4"/>
      <c r="B5275"/>
      <c r="C5275"/>
      <c r="D5275"/>
    </row>
    <row r="5276" spans="1:4" x14ac:dyDescent="0.2">
      <c r="A5276" s="4"/>
      <c r="B5276"/>
      <c r="C5276"/>
      <c r="D5276"/>
    </row>
    <row r="5277" spans="1:4" x14ac:dyDescent="0.2">
      <c r="A5277" s="4"/>
      <c r="B5277"/>
      <c r="C5277"/>
      <c r="D5277"/>
    </row>
    <row r="5278" spans="1:4" x14ac:dyDescent="0.2">
      <c r="A5278" s="4"/>
      <c r="B5278"/>
      <c r="C5278"/>
      <c r="D5278"/>
    </row>
    <row r="5279" spans="1:4" x14ac:dyDescent="0.2">
      <c r="A5279" s="4"/>
      <c r="B5279"/>
      <c r="C5279"/>
      <c r="D5279"/>
    </row>
    <row r="5280" spans="1:4" x14ac:dyDescent="0.2">
      <c r="A5280" s="4"/>
      <c r="B5280"/>
      <c r="C5280"/>
      <c r="D5280"/>
    </row>
    <row r="5281" spans="1:4" x14ac:dyDescent="0.2">
      <c r="A5281" s="4"/>
      <c r="B5281"/>
      <c r="C5281"/>
      <c r="D5281"/>
    </row>
    <row r="5282" spans="1:4" x14ac:dyDescent="0.2">
      <c r="A5282" s="4"/>
      <c r="B5282"/>
      <c r="C5282"/>
      <c r="D5282"/>
    </row>
    <row r="5283" spans="1:4" x14ac:dyDescent="0.2">
      <c r="A5283" s="4"/>
      <c r="B5283"/>
      <c r="C5283"/>
      <c r="D5283"/>
    </row>
    <row r="5284" spans="1:4" x14ac:dyDescent="0.2">
      <c r="A5284" s="4"/>
      <c r="B5284"/>
      <c r="C5284"/>
      <c r="D5284"/>
    </row>
    <row r="5285" spans="1:4" x14ac:dyDescent="0.2">
      <c r="A5285" s="4"/>
      <c r="B5285"/>
      <c r="C5285"/>
      <c r="D5285"/>
    </row>
    <row r="5286" spans="1:4" x14ac:dyDescent="0.2">
      <c r="A5286" s="4"/>
      <c r="B5286"/>
      <c r="C5286"/>
      <c r="D5286"/>
    </row>
    <row r="5287" spans="1:4" x14ac:dyDescent="0.2">
      <c r="A5287" s="4"/>
      <c r="B5287"/>
      <c r="C5287"/>
      <c r="D5287"/>
    </row>
    <row r="5288" spans="1:4" x14ac:dyDescent="0.2">
      <c r="A5288" s="4"/>
      <c r="B5288"/>
      <c r="C5288"/>
      <c r="D5288"/>
    </row>
    <row r="5289" spans="1:4" x14ac:dyDescent="0.2">
      <c r="A5289" s="4"/>
      <c r="B5289"/>
      <c r="C5289"/>
      <c r="D5289"/>
    </row>
    <row r="5290" spans="1:4" x14ac:dyDescent="0.2">
      <c r="A5290" s="4"/>
      <c r="B5290"/>
      <c r="C5290"/>
      <c r="D5290"/>
    </row>
    <row r="5291" spans="1:4" x14ac:dyDescent="0.2">
      <c r="A5291" s="4"/>
      <c r="B5291"/>
      <c r="C5291"/>
      <c r="D5291"/>
    </row>
    <row r="5292" spans="1:4" x14ac:dyDescent="0.2">
      <c r="A5292" s="4"/>
      <c r="B5292"/>
      <c r="C5292"/>
      <c r="D5292"/>
    </row>
    <row r="5293" spans="1:4" x14ac:dyDescent="0.2">
      <c r="A5293" s="4"/>
      <c r="B5293"/>
      <c r="C5293"/>
      <c r="D5293"/>
    </row>
    <row r="5294" spans="1:4" x14ac:dyDescent="0.2">
      <c r="A5294" s="4"/>
      <c r="B5294"/>
      <c r="C5294"/>
      <c r="D5294"/>
    </row>
    <row r="5295" spans="1:4" x14ac:dyDescent="0.2">
      <c r="A5295" s="4"/>
      <c r="B5295"/>
      <c r="C5295"/>
      <c r="D5295"/>
    </row>
    <row r="5296" spans="1:4" x14ac:dyDescent="0.2">
      <c r="A5296" s="4"/>
      <c r="B5296"/>
      <c r="C5296"/>
      <c r="D5296"/>
    </row>
    <row r="5297" spans="1:4" x14ac:dyDescent="0.2">
      <c r="A5297" s="4"/>
      <c r="B5297"/>
      <c r="C5297"/>
      <c r="D5297"/>
    </row>
    <row r="5298" spans="1:4" x14ac:dyDescent="0.2">
      <c r="A5298" s="4"/>
      <c r="B5298"/>
      <c r="C5298"/>
      <c r="D5298"/>
    </row>
    <row r="5299" spans="1:4" x14ac:dyDescent="0.2">
      <c r="A5299" s="4"/>
      <c r="B5299"/>
      <c r="C5299"/>
      <c r="D5299"/>
    </row>
    <row r="5300" spans="1:4" x14ac:dyDescent="0.2">
      <c r="A5300" s="4"/>
      <c r="B5300"/>
      <c r="C5300"/>
      <c r="D5300"/>
    </row>
    <row r="5301" spans="1:4" x14ac:dyDescent="0.2">
      <c r="A5301" s="4"/>
      <c r="B5301"/>
      <c r="C5301"/>
      <c r="D5301"/>
    </row>
    <row r="5302" spans="1:4" x14ac:dyDescent="0.2">
      <c r="A5302" s="4"/>
      <c r="B5302"/>
      <c r="C5302"/>
      <c r="D5302"/>
    </row>
    <row r="5303" spans="1:4" x14ac:dyDescent="0.2">
      <c r="A5303" s="4"/>
      <c r="B5303"/>
      <c r="C5303"/>
      <c r="D5303"/>
    </row>
    <row r="5304" spans="1:4" x14ac:dyDescent="0.2">
      <c r="A5304" s="4"/>
      <c r="B5304"/>
      <c r="C5304"/>
      <c r="D5304"/>
    </row>
    <row r="5305" spans="1:4" x14ac:dyDescent="0.2">
      <c r="A5305" s="4"/>
      <c r="B5305"/>
      <c r="C5305"/>
      <c r="D5305"/>
    </row>
    <row r="5306" spans="1:4" x14ac:dyDescent="0.2">
      <c r="A5306" s="4"/>
      <c r="B5306"/>
      <c r="C5306"/>
      <c r="D5306"/>
    </row>
    <row r="5307" spans="1:4" x14ac:dyDescent="0.2">
      <c r="A5307" s="4"/>
      <c r="B5307"/>
      <c r="C5307"/>
      <c r="D5307"/>
    </row>
    <row r="5308" spans="1:4" x14ac:dyDescent="0.2">
      <c r="A5308" s="4"/>
      <c r="B5308"/>
      <c r="C5308"/>
      <c r="D5308"/>
    </row>
    <row r="5309" spans="1:4" x14ac:dyDescent="0.2">
      <c r="A5309" s="4"/>
      <c r="B5309"/>
      <c r="C5309"/>
      <c r="D5309"/>
    </row>
    <row r="5310" spans="1:4" x14ac:dyDescent="0.2">
      <c r="A5310" s="4"/>
      <c r="B5310"/>
      <c r="C5310"/>
      <c r="D5310"/>
    </row>
    <row r="5311" spans="1:4" x14ac:dyDescent="0.2">
      <c r="A5311" s="4"/>
      <c r="B5311"/>
      <c r="C5311"/>
      <c r="D5311"/>
    </row>
    <row r="5312" spans="1:4" x14ac:dyDescent="0.2">
      <c r="A5312" s="4"/>
      <c r="B5312"/>
      <c r="C5312"/>
      <c r="D5312"/>
    </row>
    <row r="5313" spans="1:4" x14ac:dyDescent="0.2">
      <c r="A5313" s="4"/>
      <c r="B5313"/>
      <c r="C5313"/>
      <c r="D5313"/>
    </row>
    <row r="5314" spans="1:4" x14ac:dyDescent="0.2">
      <c r="A5314" s="4"/>
      <c r="B5314"/>
      <c r="C5314"/>
      <c r="D5314"/>
    </row>
    <row r="5315" spans="1:4" x14ac:dyDescent="0.2">
      <c r="A5315" s="4"/>
      <c r="B5315"/>
      <c r="C5315"/>
      <c r="D5315"/>
    </row>
    <row r="5316" spans="1:4" x14ac:dyDescent="0.2">
      <c r="A5316" s="4"/>
      <c r="B5316"/>
      <c r="C5316"/>
      <c r="D5316"/>
    </row>
    <row r="5317" spans="1:4" x14ac:dyDescent="0.2">
      <c r="A5317" s="4"/>
      <c r="B5317"/>
      <c r="C5317"/>
      <c r="D5317"/>
    </row>
    <row r="5318" spans="1:4" x14ac:dyDescent="0.2">
      <c r="A5318" s="4"/>
      <c r="B5318"/>
      <c r="C5318"/>
      <c r="D5318"/>
    </row>
    <row r="5319" spans="1:4" x14ac:dyDescent="0.2">
      <c r="A5319" s="4"/>
      <c r="B5319"/>
      <c r="C5319"/>
      <c r="D5319"/>
    </row>
    <row r="5320" spans="1:4" x14ac:dyDescent="0.2">
      <c r="A5320" s="4"/>
      <c r="B5320"/>
      <c r="C5320"/>
      <c r="D5320"/>
    </row>
    <row r="5321" spans="1:4" x14ac:dyDescent="0.2">
      <c r="A5321" s="4"/>
      <c r="B5321"/>
      <c r="C5321"/>
      <c r="D5321"/>
    </row>
    <row r="5322" spans="1:4" x14ac:dyDescent="0.2">
      <c r="A5322" s="4"/>
      <c r="B5322"/>
      <c r="C5322"/>
      <c r="D5322"/>
    </row>
    <row r="5323" spans="1:4" x14ac:dyDescent="0.2">
      <c r="A5323" s="4"/>
      <c r="B5323"/>
      <c r="C5323"/>
      <c r="D5323"/>
    </row>
    <row r="5324" spans="1:4" x14ac:dyDescent="0.2">
      <c r="A5324" s="4"/>
      <c r="B5324"/>
      <c r="C5324"/>
      <c r="D5324"/>
    </row>
    <row r="5325" spans="1:4" x14ac:dyDescent="0.2">
      <c r="A5325" s="4"/>
      <c r="B5325"/>
      <c r="C5325"/>
      <c r="D5325"/>
    </row>
    <row r="5326" spans="1:4" x14ac:dyDescent="0.2">
      <c r="A5326" s="4"/>
      <c r="B5326"/>
      <c r="C5326"/>
      <c r="D5326"/>
    </row>
    <row r="5327" spans="1:4" x14ac:dyDescent="0.2">
      <c r="A5327" s="4"/>
      <c r="B5327"/>
      <c r="C5327"/>
      <c r="D5327"/>
    </row>
    <row r="5328" spans="1:4" x14ac:dyDescent="0.2">
      <c r="A5328" s="4"/>
      <c r="B5328"/>
      <c r="C5328"/>
      <c r="D5328"/>
    </row>
    <row r="5329" spans="1:4" x14ac:dyDescent="0.2">
      <c r="A5329" s="4"/>
      <c r="B5329"/>
      <c r="C5329"/>
      <c r="D5329"/>
    </row>
    <row r="5330" spans="1:4" x14ac:dyDescent="0.2">
      <c r="A5330" s="4"/>
      <c r="B5330"/>
      <c r="C5330"/>
      <c r="D5330"/>
    </row>
    <row r="5331" spans="1:4" x14ac:dyDescent="0.2">
      <c r="A5331" s="4"/>
      <c r="B5331"/>
      <c r="C5331"/>
      <c r="D5331"/>
    </row>
    <row r="5332" spans="1:4" x14ac:dyDescent="0.2">
      <c r="A5332" s="4"/>
      <c r="B5332"/>
      <c r="C5332"/>
      <c r="D5332"/>
    </row>
    <row r="5333" spans="1:4" x14ac:dyDescent="0.2">
      <c r="A5333" s="4"/>
      <c r="B5333"/>
      <c r="C5333"/>
      <c r="D5333"/>
    </row>
    <row r="5334" spans="1:4" x14ac:dyDescent="0.2">
      <c r="A5334" s="4"/>
      <c r="B5334"/>
      <c r="C5334"/>
      <c r="D5334"/>
    </row>
    <row r="5335" spans="1:4" x14ac:dyDescent="0.2">
      <c r="A5335" s="4"/>
      <c r="B5335"/>
      <c r="C5335"/>
      <c r="D5335"/>
    </row>
    <row r="5336" spans="1:4" x14ac:dyDescent="0.2">
      <c r="A5336" s="4"/>
      <c r="B5336"/>
      <c r="C5336"/>
      <c r="D5336"/>
    </row>
    <row r="5337" spans="1:4" x14ac:dyDescent="0.2">
      <c r="A5337" s="4"/>
      <c r="B5337"/>
      <c r="C5337"/>
      <c r="D5337"/>
    </row>
    <row r="5338" spans="1:4" x14ac:dyDescent="0.2">
      <c r="A5338" s="4"/>
      <c r="B5338"/>
      <c r="C5338"/>
      <c r="D5338"/>
    </row>
    <row r="5339" spans="1:4" x14ac:dyDescent="0.2">
      <c r="A5339" s="4"/>
      <c r="B5339"/>
      <c r="C5339"/>
      <c r="D5339"/>
    </row>
    <row r="5340" spans="1:4" x14ac:dyDescent="0.2">
      <c r="A5340" s="4"/>
      <c r="B5340"/>
      <c r="C5340"/>
      <c r="D5340"/>
    </row>
    <row r="5341" spans="1:4" x14ac:dyDescent="0.2">
      <c r="A5341" s="4"/>
      <c r="B5341"/>
      <c r="C5341"/>
      <c r="D5341"/>
    </row>
    <row r="5342" spans="1:4" x14ac:dyDescent="0.2">
      <c r="A5342" s="4"/>
      <c r="B5342"/>
      <c r="C5342"/>
      <c r="D5342"/>
    </row>
    <row r="5343" spans="1:4" x14ac:dyDescent="0.2">
      <c r="A5343" s="4"/>
      <c r="B5343"/>
      <c r="C5343"/>
      <c r="D5343"/>
    </row>
    <row r="5344" spans="1:4" x14ac:dyDescent="0.2">
      <c r="A5344" s="4"/>
      <c r="B5344"/>
      <c r="C5344"/>
      <c r="D5344"/>
    </row>
    <row r="5345" spans="1:4" x14ac:dyDescent="0.2">
      <c r="A5345" s="4"/>
      <c r="B5345"/>
      <c r="C5345"/>
      <c r="D5345"/>
    </row>
    <row r="5346" spans="1:4" x14ac:dyDescent="0.2">
      <c r="A5346" s="4"/>
      <c r="B5346"/>
      <c r="C5346"/>
      <c r="D5346"/>
    </row>
    <row r="5347" spans="1:4" x14ac:dyDescent="0.2">
      <c r="A5347" s="4"/>
      <c r="B5347"/>
      <c r="C5347"/>
      <c r="D5347"/>
    </row>
    <row r="5348" spans="1:4" x14ac:dyDescent="0.2">
      <c r="A5348" s="4"/>
      <c r="B5348"/>
      <c r="C5348"/>
      <c r="D5348"/>
    </row>
    <row r="5349" spans="1:4" x14ac:dyDescent="0.2">
      <c r="A5349" s="4"/>
      <c r="B5349"/>
      <c r="C5349"/>
      <c r="D5349"/>
    </row>
    <row r="5350" spans="1:4" x14ac:dyDescent="0.2">
      <c r="A5350" s="4"/>
      <c r="B5350"/>
      <c r="C5350"/>
      <c r="D5350"/>
    </row>
    <row r="5351" spans="1:4" x14ac:dyDescent="0.2">
      <c r="A5351" s="4"/>
      <c r="B5351"/>
      <c r="C5351"/>
      <c r="D5351"/>
    </row>
    <row r="5352" spans="1:4" x14ac:dyDescent="0.2">
      <c r="A5352" s="4"/>
      <c r="B5352"/>
      <c r="C5352"/>
      <c r="D5352"/>
    </row>
    <row r="5353" spans="1:4" x14ac:dyDescent="0.2">
      <c r="A5353" s="4"/>
      <c r="B5353"/>
      <c r="C5353"/>
      <c r="D5353"/>
    </row>
    <row r="5354" spans="1:4" x14ac:dyDescent="0.2">
      <c r="A5354" s="4"/>
      <c r="B5354"/>
      <c r="C5354"/>
      <c r="D5354"/>
    </row>
    <row r="5355" spans="1:4" x14ac:dyDescent="0.2">
      <c r="A5355" s="4"/>
      <c r="B5355"/>
      <c r="C5355"/>
      <c r="D5355"/>
    </row>
    <row r="5356" spans="1:4" x14ac:dyDescent="0.2">
      <c r="A5356" s="4"/>
      <c r="B5356"/>
      <c r="C5356"/>
      <c r="D5356"/>
    </row>
    <row r="5357" spans="1:4" x14ac:dyDescent="0.2">
      <c r="A5357" s="4"/>
      <c r="B5357"/>
      <c r="C5357"/>
      <c r="D5357"/>
    </row>
    <row r="5358" spans="1:4" x14ac:dyDescent="0.2">
      <c r="A5358" s="4"/>
      <c r="B5358"/>
      <c r="C5358"/>
      <c r="D5358"/>
    </row>
    <row r="5359" spans="1:4" x14ac:dyDescent="0.2">
      <c r="A5359" s="4"/>
      <c r="B5359"/>
      <c r="C5359"/>
      <c r="D5359"/>
    </row>
    <row r="5360" spans="1:4" x14ac:dyDescent="0.2">
      <c r="A5360" s="4"/>
      <c r="B5360"/>
      <c r="C5360"/>
      <c r="D5360"/>
    </row>
    <row r="5361" spans="1:4" x14ac:dyDescent="0.2">
      <c r="A5361" s="4"/>
      <c r="B5361"/>
      <c r="C5361"/>
      <c r="D5361"/>
    </row>
    <row r="5362" spans="1:4" x14ac:dyDescent="0.2">
      <c r="A5362" s="4"/>
      <c r="B5362"/>
      <c r="C5362"/>
      <c r="D5362"/>
    </row>
    <row r="5363" spans="1:4" x14ac:dyDescent="0.2">
      <c r="A5363" s="4"/>
      <c r="B5363"/>
      <c r="C5363"/>
      <c r="D5363"/>
    </row>
    <row r="5364" spans="1:4" x14ac:dyDescent="0.2">
      <c r="A5364" s="4"/>
      <c r="B5364"/>
      <c r="C5364"/>
      <c r="D5364"/>
    </row>
    <row r="5365" spans="1:4" x14ac:dyDescent="0.2">
      <c r="A5365" s="4"/>
      <c r="B5365"/>
      <c r="C5365"/>
      <c r="D5365"/>
    </row>
    <row r="5366" spans="1:4" x14ac:dyDescent="0.2">
      <c r="A5366" s="4"/>
      <c r="B5366"/>
      <c r="C5366"/>
      <c r="D5366"/>
    </row>
    <row r="5367" spans="1:4" x14ac:dyDescent="0.2">
      <c r="A5367" s="4"/>
      <c r="B5367"/>
      <c r="C5367"/>
      <c r="D5367"/>
    </row>
    <row r="5368" spans="1:4" x14ac:dyDescent="0.2">
      <c r="A5368" s="4"/>
      <c r="B5368"/>
      <c r="C5368"/>
      <c r="D5368"/>
    </row>
    <row r="5369" spans="1:4" x14ac:dyDescent="0.2">
      <c r="A5369" s="4"/>
      <c r="B5369"/>
      <c r="C5369"/>
      <c r="D5369"/>
    </row>
    <row r="5370" spans="1:4" x14ac:dyDescent="0.2">
      <c r="A5370" s="4"/>
      <c r="B5370"/>
      <c r="C5370"/>
      <c r="D5370"/>
    </row>
    <row r="5371" spans="1:4" x14ac:dyDescent="0.2">
      <c r="A5371" s="4"/>
      <c r="B5371"/>
      <c r="C5371"/>
      <c r="D5371"/>
    </row>
    <row r="5372" spans="1:4" x14ac:dyDescent="0.2">
      <c r="A5372" s="4"/>
      <c r="B5372"/>
      <c r="C5372"/>
      <c r="D5372"/>
    </row>
    <row r="5373" spans="1:4" x14ac:dyDescent="0.2">
      <c r="A5373" s="4"/>
      <c r="B5373"/>
      <c r="C5373"/>
      <c r="D5373"/>
    </row>
    <row r="5374" spans="1:4" x14ac:dyDescent="0.2">
      <c r="A5374" s="4"/>
      <c r="B5374"/>
      <c r="C5374"/>
      <c r="D5374"/>
    </row>
    <row r="5375" spans="1:4" x14ac:dyDescent="0.2">
      <c r="A5375" s="4"/>
      <c r="B5375"/>
      <c r="C5375"/>
      <c r="D5375"/>
    </row>
    <row r="5376" spans="1:4" x14ac:dyDescent="0.2">
      <c r="A5376" s="4"/>
      <c r="B5376"/>
      <c r="C5376"/>
      <c r="D5376"/>
    </row>
    <row r="5377" spans="1:4" x14ac:dyDescent="0.2">
      <c r="A5377" s="4"/>
      <c r="B5377"/>
      <c r="C5377"/>
      <c r="D5377"/>
    </row>
    <row r="5378" spans="1:4" x14ac:dyDescent="0.2">
      <c r="A5378" s="4"/>
      <c r="B5378"/>
      <c r="C5378"/>
      <c r="D5378"/>
    </row>
    <row r="5379" spans="1:4" x14ac:dyDescent="0.2">
      <c r="A5379" s="4"/>
      <c r="B5379"/>
      <c r="C5379"/>
      <c r="D5379"/>
    </row>
    <row r="5380" spans="1:4" x14ac:dyDescent="0.2">
      <c r="A5380" s="4"/>
      <c r="B5380"/>
      <c r="C5380"/>
      <c r="D5380"/>
    </row>
    <row r="5381" spans="1:4" x14ac:dyDescent="0.2">
      <c r="A5381" s="4"/>
      <c r="B5381"/>
      <c r="C5381"/>
      <c r="D5381"/>
    </row>
    <row r="5382" spans="1:4" x14ac:dyDescent="0.2">
      <c r="A5382" s="4"/>
      <c r="B5382"/>
      <c r="C5382"/>
      <c r="D5382"/>
    </row>
    <row r="5383" spans="1:4" x14ac:dyDescent="0.2">
      <c r="A5383" s="4"/>
      <c r="B5383"/>
      <c r="C5383"/>
      <c r="D5383"/>
    </row>
    <row r="5384" spans="1:4" x14ac:dyDescent="0.2">
      <c r="A5384" s="4"/>
      <c r="B5384"/>
      <c r="C5384"/>
      <c r="D5384"/>
    </row>
    <row r="5385" spans="1:4" x14ac:dyDescent="0.2">
      <c r="A5385" s="4"/>
      <c r="B5385"/>
      <c r="C5385"/>
      <c r="D5385"/>
    </row>
    <row r="5386" spans="1:4" x14ac:dyDescent="0.2">
      <c r="A5386" s="4"/>
      <c r="B5386"/>
      <c r="C5386"/>
      <c r="D5386"/>
    </row>
    <row r="5387" spans="1:4" x14ac:dyDescent="0.2">
      <c r="A5387" s="4"/>
      <c r="B5387"/>
      <c r="C5387"/>
      <c r="D5387"/>
    </row>
    <row r="5388" spans="1:4" x14ac:dyDescent="0.2">
      <c r="A5388" s="4"/>
      <c r="B5388"/>
      <c r="C5388"/>
      <c r="D5388"/>
    </row>
    <row r="5389" spans="1:4" x14ac:dyDescent="0.2">
      <c r="A5389" s="4"/>
      <c r="B5389"/>
      <c r="C5389"/>
      <c r="D5389"/>
    </row>
    <row r="5390" spans="1:4" x14ac:dyDescent="0.2">
      <c r="A5390" s="4"/>
      <c r="B5390"/>
      <c r="C5390"/>
      <c r="D5390"/>
    </row>
    <row r="5391" spans="1:4" x14ac:dyDescent="0.2">
      <c r="A5391" s="4"/>
      <c r="B5391"/>
      <c r="C5391"/>
      <c r="D5391"/>
    </row>
    <row r="5392" spans="1:4" x14ac:dyDescent="0.2">
      <c r="A5392" s="4"/>
      <c r="B5392"/>
      <c r="C5392"/>
      <c r="D5392"/>
    </row>
    <row r="5393" spans="1:4" x14ac:dyDescent="0.2">
      <c r="A5393" s="4"/>
      <c r="B5393"/>
      <c r="C5393"/>
      <c r="D5393"/>
    </row>
    <row r="5394" spans="1:4" x14ac:dyDescent="0.2">
      <c r="A5394" s="4"/>
      <c r="B5394"/>
      <c r="C5394"/>
      <c r="D5394"/>
    </row>
    <row r="5395" spans="1:4" x14ac:dyDescent="0.2">
      <c r="A5395" s="4"/>
      <c r="B5395"/>
      <c r="C5395"/>
      <c r="D5395"/>
    </row>
    <row r="5396" spans="1:4" x14ac:dyDescent="0.2">
      <c r="A5396" s="4"/>
      <c r="B5396"/>
      <c r="C5396"/>
      <c r="D5396"/>
    </row>
    <row r="5397" spans="1:4" x14ac:dyDescent="0.2">
      <c r="A5397" s="4"/>
      <c r="B5397"/>
      <c r="C5397"/>
      <c r="D5397"/>
    </row>
    <row r="5398" spans="1:4" x14ac:dyDescent="0.2">
      <c r="A5398" s="4"/>
      <c r="B5398"/>
      <c r="C5398"/>
      <c r="D5398"/>
    </row>
    <row r="5399" spans="1:4" x14ac:dyDescent="0.2">
      <c r="A5399" s="4"/>
      <c r="B5399"/>
      <c r="C5399"/>
      <c r="D5399"/>
    </row>
    <row r="5400" spans="1:4" x14ac:dyDescent="0.2">
      <c r="A5400" s="4"/>
      <c r="B5400"/>
      <c r="C5400"/>
      <c r="D5400"/>
    </row>
    <row r="5401" spans="1:4" x14ac:dyDescent="0.2">
      <c r="A5401" s="4"/>
      <c r="B5401"/>
      <c r="C5401"/>
      <c r="D5401"/>
    </row>
    <row r="5402" spans="1:4" x14ac:dyDescent="0.2">
      <c r="A5402" s="4"/>
      <c r="B5402"/>
      <c r="C5402"/>
      <c r="D5402"/>
    </row>
    <row r="5403" spans="1:4" x14ac:dyDescent="0.2">
      <c r="A5403" s="4"/>
      <c r="B5403"/>
      <c r="C5403"/>
      <c r="D5403"/>
    </row>
    <row r="5404" spans="1:4" x14ac:dyDescent="0.2">
      <c r="A5404" s="4"/>
      <c r="B5404"/>
      <c r="C5404"/>
      <c r="D5404"/>
    </row>
    <row r="5405" spans="1:4" x14ac:dyDescent="0.2">
      <c r="A5405" s="4"/>
      <c r="B5405"/>
      <c r="C5405"/>
      <c r="D5405"/>
    </row>
    <row r="5406" spans="1:4" x14ac:dyDescent="0.2">
      <c r="A5406" s="4"/>
      <c r="B5406"/>
      <c r="C5406"/>
      <c r="D5406"/>
    </row>
    <row r="5407" spans="1:4" x14ac:dyDescent="0.2">
      <c r="A5407" s="4"/>
      <c r="B5407"/>
      <c r="C5407"/>
      <c r="D5407"/>
    </row>
    <row r="5408" spans="1:4" x14ac:dyDescent="0.2">
      <c r="A5408" s="4"/>
      <c r="B5408"/>
      <c r="C5408"/>
      <c r="D5408"/>
    </row>
    <row r="5409" spans="1:4" x14ac:dyDescent="0.2">
      <c r="A5409" s="4"/>
      <c r="B5409"/>
      <c r="C5409"/>
      <c r="D5409"/>
    </row>
    <row r="5410" spans="1:4" x14ac:dyDescent="0.2">
      <c r="A5410" s="4"/>
      <c r="B5410"/>
      <c r="C5410"/>
      <c r="D5410"/>
    </row>
    <row r="5411" spans="1:4" x14ac:dyDescent="0.2">
      <c r="A5411" s="4"/>
      <c r="B5411"/>
      <c r="C5411"/>
      <c r="D5411"/>
    </row>
    <row r="5412" spans="1:4" x14ac:dyDescent="0.2">
      <c r="A5412" s="4"/>
      <c r="B5412"/>
      <c r="C5412"/>
      <c r="D5412"/>
    </row>
    <row r="5413" spans="1:4" x14ac:dyDescent="0.2">
      <c r="A5413" s="4"/>
      <c r="B5413"/>
      <c r="C5413"/>
      <c r="D5413"/>
    </row>
    <row r="5414" spans="1:4" x14ac:dyDescent="0.2">
      <c r="A5414" s="4"/>
      <c r="B5414"/>
      <c r="C5414"/>
      <c r="D5414"/>
    </row>
    <row r="5415" spans="1:4" x14ac:dyDescent="0.2">
      <c r="A5415" s="4"/>
      <c r="B5415"/>
      <c r="C5415"/>
      <c r="D5415"/>
    </row>
    <row r="5416" spans="1:4" x14ac:dyDescent="0.2">
      <c r="A5416" s="4"/>
      <c r="B5416"/>
      <c r="C5416"/>
      <c r="D5416"/>
    </row>
    <row r="5417" spans="1:4" x14ac:dyDescent="0.2">
      <c r="A5417" s="4"/>
      <c r="B5417"/>
      <c r="C5417"/>
      <c r="D5417"/>
    </row>
    <row r="5418" spans="1:4" x14ac:dyDescent="0.2">
      <c r="A5418" s="4"/>
      <c r="B5418"/>
      <c r="C5418"/>
      <c r="D5418"/>
    </row>
    <row r="5419" spans="1:4" x14ac:dyDescent="0.2">
      <c r="A5419" s="4"/>
      <c r="B5419"/>
      <c r="C5419"/>
      <c r="D5419"/>
    </row>
    <row r="5420" spans="1:4" x14ac:dyDescent="0.2">
      <c r="A5420" s="4"/>
      <c r="B5420"/>
      <c r="C5420"/>
      <c r="D5420"/>
    </row>
    <row r="5421" spans="1:4" x14ac:dyDescent="0.2">
      <c r="A5421" s="4"/>
      <c r="B5421"/>
      <c r="C5421"/>
      <c r="D5421"/>
    </row>
    <row r="5422" spans="1:4" x14ac:dyDescent="0.2">
      <c r="A5422" s="4"/>
      <c r="B5422"/>
      <c r="C5422"/>
      <c r="D5422"/>
    </row>
    <row r="5423" spans="1:4" x14ac:dyDescent="0.2">
      <c r="A5423" s="4"/>
      <c r="B5423"/>
      <c r="C5423"/>
      <c r="D5423"/>
    </row>
    <row r="5424" spans="1:4" x14ac:dyDescent="0.2">
      <c r="A5424" s="4"/>
      <c r="B5424"/>
      <c r="C5424"/>
      <c r="D5424"/>
    </row>
    <row r="5425" spans="1:4" x14ac:dyDescent="0.2">
      <c r="A5425" s="4"/>
      <c r="B5425"/>
      <c r="C5425"/>
      <c r="D5425"/>
    </row>
    <row r="5426" spans="1:4" x14ac:dyDescent="0.2">
      <c r="A5426" s="4"/>
      <c r="B5426"/>
      <c r="C5426"/>
      <c r="D5426"/>
    </row>
    <row r="5427" spans="1:4" x14ac:dyDescent="0.2">
      <c r="A5427" s="4"/>
      <c r="B5427"/>
      <c r="C5427"/>
      <c r="D5427"/>
    </row>
    <row r="5428" spans="1:4" x14ac:dyDescent="0.2">
      <c r="A5428" s="4"/>
      <c r="B5428"/>
      <c r="C5428"/>
      <c r="D5428"/>
    </row>
    <row r="5429" spans="1:4" x14ac:dyDescent="0.2">
      <c r="A5429" s="4"/>
      <c r="B5429"/>
      <c r="C5429"/>
      <c r="D5429"/>
    </row>
    <row r="5430" spans="1:4" x14ac:dyDescent="0.2">
      <c r="A5430" s="4"/>
      <c r="B5430"/>
      <c r="C5430"/>
      <c r="D5430"/>
    </row>
    <row r="5431" spans="1:4" x14ac:dyDescent="0.2">
      <c r="A5431" s="4"/>
      <c r="B5431"/>
      <c r="C5431"/>
      <c r="D5431"/>
    </row>
    <row r="5432" spans="1:4" x14ac:dyDescent="0.2">
      <c r="A5432" s="4"/>
      <c r="B5432"/>
      <c r="C5432"/>
      <c r="D5432"/>
    </row>
    <row r="5433" spans="1:4" x14ac:dyDescent="0.2">
      <c r="A5433" s="4"/>
      <c r="B5433"/>
      <c r="C5433"/>
      <c r="D5433"/>
    </row>
    <row r="5434" spans="1:4" x14ac:dyDescent="0.2">
      <c r="A5434" s="4"/>
      <c r="B5434"/>
      <c r="C5434"/>
      <c r="D5434"/>
    </row>
    <row r="5435" spans="1:4" x14ac:dyDescent="0.2">
      <c r="A5435" s="4"/>
      <c r="B5435"/>
      <c r="C5435"/>
      <c r="D5435"/>
    </row>
    <row r="5436" spans="1:4" x14ac:dyDescent="0.2">
      <c r="A5436" s="4"/>
      <c r="B5436"/>
      <c r="C5436"/>
      <c r="D5436"/>
    </row>
    <row r="5437" spans="1:4" x14ac:dyDescent="0.2">
      <c r="A5437" s="4"/>
      <c r="B5437"/>
      <c r="C5437"/>
      <c r="D5437"/>
    </row>
    <row r="5438" spans="1:4" x14ac:dyDescent="0.2">
      <c r="A5438" s="4"/>
      <c r="B5438"/>
      <c r="C5438"/>
      <c r="D5438"/>
    </row>
    <row r="5439" spans="1:4" x14ac:dyDescent="0.2">
      <c r="A5439" s="4"/>
      <c r="B5439"/>
      <c r="C5439"/>
      <c r="D5439"/>
    </row>
    <row r="5440" spans="1:4" x14ac:dyDescent="0.2">
      <c r="A5440" s="4"/>
      <c r="B5440"/>
      <c r="C5440"/>
      <c r="D5440"/>
    </row>
    <row r="5441" spans="1:4" x14ac:dyDescent="0.2">
      <c r="A5441" s="4"/>
      <c r="B5441"/>
      <c r="C5441"/>
      <c r="D5441"/>
    </row>
    <row r="5442" spans="1:4" x14ac:dyDescent="0.2">
      <c r="A5442" s="4"/>
      <c r="B5442"/>
      <c r="C5442"/>
      <c r="D5442"/>
    </row>
    <row r="5443" spans="1:4" x14ac:dyDescent="0.2">
      <c r="A5443" s="4"/>
      <c r="B5443"/>
      <c r="C5443"/>
      <c r="D5443"/>
    </row>
    <row r="5444" spans="1:4" x14ac:dyDescent="0.2">
      <c r="A5444" s="4"/>
      <c r="B5444"/>
      <c r="C5444"/>
      <c r="D5444"/>
    </row>
    <row r="5445" spans="1:4" x14ac:dyDescent="0.2">
      <c r="A5445" s="4"/>
      <c r="B5445"/>
      <c r="C5445"/>
      <c r="D5445"/>
    </row>
    <row r="5446" spans="1:4" x14ac:dyDescent="0.2">
      <c r="A5446" s="4"/>
      <c r="B5446"/>
      <c r="C5446"/>
      <c r="D5446"/>
    </row>
    <row r="5447" spans="1:4" x14ac:dyDescent="0.2">
      <c r="A5447" s="4"/>
      <c r="B5447"/>
      <c r="C5447"/>
      <c r="D5447"/>
    </row>
    <row r="5448" spans="1:4" x14ac:dyDescent="0.2">
      <c r="A5448" s="4"/>
      <c r="B5448"/>
      <c r="C5448"/>
      <c r="D5448"/>
    </row>
    <row r="5449" spans="1:4" x14ac:dyDescent="0.2">
      <c r="A5449" s="4"/>
      <c r="B5449"/>
      <c r="C5449"/>
      <c r="D5449"/>
    </row>
    <row r="5450" spans="1:4" x14ac:dyDescent="0.2">
      <c r="A5450" s="4"/>
      <c r="B5450"/>
      <c r="C5450"/>
      <c r="D5450"/>
    </row>
    <row r="5451" spans="1:4" x14ac:dyDescent="0.2">
      <c r="A5451" s="4"/>
      <c r="B5451"/>
      <c r="C5451"/>
      <c r="D5451"/>
    </row>
    <row r="5452" spans="1:4" x14ac:dyDescent="0.2">
      <c r="A5452" s="4"/>
      <c r="B5452"/>
      <c r="C5452"/>
      <c r="D5452"/>
    </row>
    <row r="5453" spans="1:4" x14ac:dyDescent="0.2">
      <c r="A5453" s="4"/>
      <c r="B5453"/>
      <c r="C5453"/>
      <c r="D5453"/>
    </row>
    <row r="5454" spans="1:4" x14ac:dyDescent="0.2">
      <c r="A5454" s="4"/>
      <c r="B5454"/>
      <c r="C5454"/>
      <c r="D5454"/>
    </row>
    <row r="5455" spans="1:4" x14ac:dyDescent="0.2">
      <c r="A5455" s="4"/>
      <c r="B5455"/>
      <c r="C5455"/>
      <c r="D5455"/>
    </row>
    <row r="5456" spans="1:4" x14ac:dyDescent="0.2">
      <c r="A5456" s="4"/>
      <c r="B5456"/>
      <c r="C5456"/>
      <c r="D5456"/>
    </row>
    <row r="5457" spans="1:4" x14ac:dyDescent="0.2">
      <c r="A5457" s="4"/>
      <c r="B5457"/>
      <c r="C5457"/>
      <c r="D5457"/>
    </row>
    <row r="5458" spans="1:4" x14ac:dyDescent="0.2">
      <c r="A5458" s="4"/>
      <c r="B5458"/>
      <c r="C5458"/>
      <c r="D5458"/>
    </row>
    <row r="5459" spans="1:4" x14ac:dyDescent="0.2">
      <c r="A5459" s="4"/>
      <c r="B5459"/>
      <c r="C5459"/>
      <c r="D5459"/>
    </row>
    <row r="5460" spans="1:4" x14ac:dyDescent="0.2">
      <c r="A5460" s="4"/>
      <c r="B5460"/>
      <c r="C5460"/>
      <c r="D5460"/>
    </row>
    <row r="5461" spans="1:4" x14ac:dyDescent="0.2">
      <c r="A5461" s="4"/>
      <c r="B5461"/>
      <c r="C5461"/>
      <c r="D5461"/>
    </row>
    <row r="5462" spans="1:4" x14ac:dyDescent="0.2">
      <c r="A5462" s="4"/>
      <c r="B5462"/>
      <c r="C5462"/>
      <c r="D5462"/>
    </row>
    <row r="5463" spans="1:4" x14ac:dyDescent="0.2">
      <c r="A5463" s="4"/>
      <c r="B5463"/>
      <c r="C5463"/>
      <c r="D5463"/>
    </row>
    <row r="5464" spans="1:4" x14ac:dyDescent="0.2">
      <c r="A5464" s="4"/>
      <c r="B5464"/>
      <c r="C5464"/>
      <c r="D5464"/>
    </row>
    <row r="5465" spans="1:4" x14ac:dyDescent="0.2">
      <c r="A5465" s="4"/>
      <c r="B5465"/>
      <c r="C5465"/>
      <c r="D5465"/>
    </row>
    <row r="5466" spans="1:4" x14ac:dyDescent="0.2">
      <c r="A5466" s="4"/>
      <c r="B5466"/>
      <c r="C5466"/>
      <c r="D5466"/>
    </row>
    <row r="5467" spans="1:4" x14ac:dyDescent="0.2">
      <c r="A5467" s="4"/>
      <c r="B5467"/>
      <c r="C5467"/>
      <c r="D5467"/>
    </row>
    <row r="5468" spans="1:4" x14ac:dyDescent="0.2">
      <c r="A5468" s="4"/>
      <c r="B5468"/>
      <c r="C5468"/>
      <c r="D5468"/>
    </row>
    <row r="5469" spans="1:4" x14ac:dyDescent="0.2">
      <c r="A5469" s="4"/>
      <c r="B5469"/>
      <c r="C5469"/>
      <c r="D5469"/>
    </row>
    <row r="5470" spans="1:4" x14ac:dyDescent="0.2">
      <c r="A5470" s="4"/>
      <c r="B5470"/>
      <c r="C5470"/>
      <c r="D5470"/>
    </row>
    <row r="5471" spans="1:4" x14ac:dyDescent="0.2">
      <c r="A5471" s="4"/>
      <c r="B5471"/>
      <c r="C5471"/>
      <c r="D5471"/>
    </row>
    <row r="5472" spans="1:4" x14ac:dyDescent="0.2">
      <c r="A5472" s="4"/>
      <c r="B5472"/>
      <c r="C5472"/>
      <c r="D5472"/>
    </row>
    <row r="5473" spans="1:4" x14ac:dyDescent="0.2">
      <c r="A5473" s="4"/>
      <c r="B5473"/>
      <c r="C5473"/>
      <c r="D5473"/>
    </row>
    <row r="5474" spans="1:4" x14ac:dyDescent="0.2">
      <c r="A5474" s="4"/>
      <c r="B5474"/>
      <c r="C5474"/>
      <c r="D5474"/>
    </row>
    <row r="5475" spans="1:4" x14ac:dyDescent="0.2">
      <c r="A5475" s="4"/>
      <c r="B5475"/>
      <c r="C5475"/>
      <c r="D5475"/>
    </row>
    <row r="5476" spans="1:4" x14ac:dyDescent="0.2">
      <c r="A5476" s="4"/>
      <c r="B5476"/>
      <c r="C5476"/>
      <c r="D5476"/>
    </row>
    <row r="5477" spans="1:4" x14ac:dyDescent="0.2">
      <c r="A5477" s="4"/>
      <c r="B5477"/>
      <c r="C5477"/>
      <c r="D5477"/>
    </row>
    <row r="5478" spans="1:4" x14ac:dyDescent="0.2">
      <c r="A5478" s="4"/>
      <c r="B5478"/>
      <c r="C5478"/>
      <c r="D5478"/>
    </row>
    <row r="5479" spans="1:4" x14ac:dyDescent="0.2">
      <c r="A5479" s="4"/>
      <c r="B5479"/>
      <c r="C5479"/>
      <c r="D5479"/>
    </row>
    <row r="5480" spans="1:4" x14ac:dyDescent="0.2">
      <c r="A5480" s="4"/>
      <c r="B5480"/>
      <c r="C5480"/>
      <c r="D5480"/>
    </row>
    <row r="5481" spans="1:4" x14ac:dyDescent="0.2">
      <c r="A5481" s="4"/>
      <c r="B5481"/>
      <c r="C5481"/>
      <c r="D5481"/>
    </row>
    <row r="5482" spans="1:4" x14ac:dyDescent="0.2">
      <c r="A5482" s="4"/>
      <c r="B5482"/>
      <c r="C5482"/>
      <c r="D5482"/>
    </row>
    <row r="5483" spans="1:4" x14ac:dyDescent="0.2">
      <c r="A5483" s="4"/>
      <c r="B5483"/>
      <c r="C5483"/>
      <c r="D5483"/>
    </row>
    <row r="5484" spans="1:4" x14ac:dyDescent="0.2">
      <c r="A5484" s="4"/>
      <c r="B5484"/>
      <c r="C5484"/>
      <c r="D5484"/>
    </row>
    <row r="5485" spans="1:4" x14ac:dyDescent="0.2">
      <c r="A5485" s="4"/>
      <c r="B5485"/>
      <c r="C5485"/>
      <c r="D5485"/>
    </row>
    <row r="5486" spans="1:4" x14ac:dyDescent="0.2">
      <c r="A5486" s="4"/>
      <c r="B5486"/>
      <c r="C5486"/>
      <c r="D5486"/>
    </row>
    <row r="5487" spans="1:4" x14ac:dyDescent="0.2">
      <c r="A5487" s="4"/>
      <c r="B5487"/>
      <c r="C5487"/>
      <c r="D5487"/>
    </row>
    <row r="5488" spans="1:4" x14ac:dyDescent="0.2">
      <c r="A5488" s="4"/>
      <c r="B5488"/>
      <c r="C5488"/>
      <c r="D5488"/>
    </row>
    <row r="5489" spans="1:4" x14ac:dyDescent="0.2">
      <c r="A5489" s="4"/>
      <c r="B5489"/>
      <c r="C5489"/>
      <c r="D5489"/>
    </row>
    <row r="5490" spans="1:4" x14ac:dyDescent="0.2">
      <c r="A5490" s="4"/>
      <c r="B5490"/>
      <c r="C5490"/>
      <c r="D5490"/>
    </row>
    <row r="5491" spans="1:4" x14ac:dyDescent="0.2">
      <c r="A5491" s="4"/>
      <c r="B5491"/>
      <c r="C5491"/>
      <c r="D5491"/>
    </row>
    <row r="5492" spans="1:4" x14ac:dyDescent="0.2">
      <c r="A5492" s="4"/>
      <c r="B5492"/>
      <c r="C5492"/>
      <c r="D5492"/>
    </row>
    <row r="5493" spans="1:4" x14ac:dyDescent="0.2">
      <c r="A5493" s="4"/>
      <c r="B5493"/>
      <c r="C5493"/>
      <c r="D5493"/>
    </row>
    <row r="5494" spans="1:4" x14ac:dyDescent="0.2">
      <c r="A5494" s="4"/>
      <c r="B5494"/>
      <c r="C5494"/>
      <c r="D5494"/>
    </row>
    <row r="5495" spans="1:4" x14ac:dyDescent="0.2">
      <c r="A5495" s="4"/>
      <c r="B5495"/>
      <c r="C5495"/>
      <c r="D5495"/>
    </row>
    <row r="5496" spans="1:4" x14ac:dyDescent="0.2">
      <c r="A5496" s="4"/>
      <c r="B5496"/>
      <c r="C5496"/>
      <c r="D5496"/>
    </row>
    <row r="5497" spans="1:4" x14ac:dyDescent="0.2">
      <c r="A5497" s="4"/>
      <c r="B5497"/>
      <c r="C5497"/>
      <c r="D5497"/>
    </row>
    <row r="5498" spans="1:4" x14ac:dyDescent="0.2">
      <c r="A5498" s="4"/>
      <c r="B5498"/>
      <c r="C5498"/>
      <c r="D5498"/>
    </row>
    <row r="5499" spans="1:4" x14ac:dyDescent="0.2">
      <c r="A5499" s="4"/>
      <c r="B5499"/>
      <c r="C5499"/>
      <c r="D5499"/>
    </row>
    <row r="5500" spans="1:4" x14ac:dyDescent="0.2">
      <c r="A5500" s="4"/>
      <c r="B5500"/>
      <c r="C5500"/>
      <c r="D5500"/>
    </row>
    <row r="5501" spans="1:4" x14ac:dyDescent="0.2">
      <c r="A5501" s="4"/>
      <c r="B5501"/>
      <c r="C5501"/>
      <c r="D5501"/>
    </row>
    <row r="5502" spans="1:4" x14ac:dyDescent="0.2">
      <c r="A5502" s="4"/>
      <c r="B5502"/>
      <c r="C5502"/>
      <c r="D5502"/>
    </row>
    <row r="5503" spans="1:4" x14ac:dyDescent="0.2">
      <c r="A5503" s="4"/>
      <c r="B5503"/>
      <c r="C5503"/>
      <c r="D5503"/>
    </row>
    <row r="5504" spans="1:4" x14ac:dyDescent="0.2">
      <c r="A5504" s="4"/>
      <c r="B5504"/>
      <c r="C5504"/>
      <c r="D5504"/>
    </row>
    <row r="5505" spans="1:4" x14ac:dyDescent="0.2">
      <c r="A5505" s="4"/>
      <c r="B5505"/>
      <c r="C5505"/>
      <c r="D5505"/>
    </row>
    <row r="5506" spans="1:4" x14ac:dyDescent="0.2">
      <c r="A5506" s="4"/>
      <c r="B5506"/>
      <c r="C5506"/>
      <c r="D5506"/>
    </row>
    <row r="5507" spans="1:4" x14ac:dyDescent="0.2">
      <c r="A5507" s="4"/>
      <c r="B5507"/>
      <c r="C5507"/>
      <c r="D5507"/>
    </row>
    <row r="5508" spans="1:4" x14ac:dyDescent="0.2">
      <c r="A5508" s="4"/>
      <c r="B5508"/>
      <c r="C5508"/>
      <c r="D5508"/>
    </row>
    <row r="5509" spans="1:4" x14ac:dyDescent="0.2">
      <c r="A5509" s="4"/>
      <c r="B5509"/>
      <c r="C5509"/>
      <c r="D5509"/>
    </row>
    <row r="5510" spans="1:4" x14ac:dyDescent="0.2">
      <c r="A5510" s="4"/>
      <c r="B5510"/>
      <c r="C5510"/>
      <c r="D5510"/>
    </row>
    <row r="5511" spans="1:4" x14ac:dyDescent="0.2">
      <c r="A5511" s="4"/>
      <c r="B5511"/>
      <c r="C5511"/>
      <c r="D5511"/>
    </row>
    <row r="5512" spans="1:4" x14ac:dyDescent="0.2">
      <c r="A5512" s="4"/>
      <c r="B5512"/>
      <c r="C5512"/>
      <c r="D5512"/>
    </row>
    <row r="5513" spans="1:4" x14ac:dyDescent="0.2">
      <c r="A5513" s="4"/>
      <c r="B5513"/>
      <c r="C5513"/>
      <c r="D5513"/>
    </row>
    <row r="5514" spans="1:4" x14ac:dyDescent="0.2">
      <c r="A5514" s="4"/>
      <c r="B5514"/>
      <c r="C5514"/>
      <c r="D5514"/>
    </row>
    <row r="5515" spans="1:4" x14ac:dyDescent="0.2">
      <c r="A5515" s="4"/>
      <c r="B5515"/>
      <c r="C5515"/>
      <c r="D5515"/>
    </row>
    <row r="5516" spans="1:4" x14ac:dyDescent="0.2">
      <c r="A5516" s="4"/>
      <c r="B5516"/>
      <c r="C5516"/>
      <c r="D5516"/>
    </row>
    <row r="5517" spans="1:4" x14ac:dyDescent="0.2">
      <c r="A5517" s="4"/>
      <c r="B5517"/>
      <c r="C5517"/>
      <c r="D5517"/>
    </row>
    <row r="5518" spans="1:4" x14ac:dyDescent="0.2">
      <c r="A5518" s="4"/>
      <c r="B5518"/>
      <c r="C5518"/>
      <c r="D5518"/>
    </row>
    <row r="5519" spans="1:4" x14ac:dyDescent="0.2">
      <c r="A5519" s="4"/>
      <c r="B5519"/>
      <c r="C5519"/>
      <c r="D5519"/>
    </row>
    <row r="5520" spans="1:4" x14ac:dyDescent="0.2">
      <c r="A5520" s="4"/>
      <c r="B5520"/>
      <c r="C5520"/>
      <c r="D5520"/>
    </row>
    <row r="5521" spans="1:4" x14ac:dyDescent="0.2">
      <c r="A5521" s="4"/>
      <c r="B5521"/>
      <c r="C5521"/>
      <c r="D5521"/>
    </row>
    <row r="5522" spans="1:4" x14ac:dyDescent="0.2">
      <c r="A5522" s="4"/>
      <c r="B5522"/>
      <c r="C5522"/>
      <c r="D5522"/>
    </row>
    <row r="5523" spans="1:4" x14ac:dyDescent="0.2">
      <c r="A5523" s="4"/>
      <c r="B5523"/>
      <c r="C5523"/>
      <c r="D5523"/>
    </row>
    <row r="5524" spans="1:4" x14ac:dyDescent="0.2">
      <c r="A5524" s="4"/>
      <c r="B5524"/>
      <c r="C5524"/>
      <c r="D5524"/>
    </row>
    <row r="5525" spans="1:4" x14ac:dyDescent="0.2">
      <c r="A5525" s="4"/>
      <c r="B5525"/>
      <c r="C5525"/>
      <c r="D5525"/>
    </row>
    <row r="5526" spans="1:4" x14ac:dyDescent="0.2">
      <c r="A5526" s="4"/>
      <c r="B5526"/>
      <c r="C5526"/>
      <c r="D5526"/>
    </row>
    <row r="5527" spans="1:4" x14ac:dyDescent="0.2">
      <c r="A5527" s="4"/>
      <c r="B5527"/>
      <c r="C5527"/>
      <c r="D5527"/>
    </row>
    <row r="5528" spans="1:4" x14ac:dyDescent="0.2">
      <c r="A5528" s="4"/>
      <c r="B5528"/>
      <c r="C5528"/>
      <c r="D5528"/>
    </row>
    <row r="5529" spans="1:4" x14ac:dyDescent="0.2">
      <c r="A5529" s="4"/>
      <c r="B5529"/>
      <c r="C5529"/>
      <c r="D5529"/>
    </row>
    <row r="5530" spans="1:4" x14ac:dyDescent="0.2">
      <c r="A5530" s="4"/>
      <c r="B5530"/>
      <c r="C5530"/>
      <c r="D5530"/>
    </row>
    <row r="5531" spans="1:4" x14ac:dyDescent="0.2">
      <c r="A5531" s="4"/>
      <c r="B5531"/>
      <c r="C5531"/>
      <c r="D5531"/>
    </row>
    <row r="5532" spans="1:4" x14ac:dyDescent="0.2">
      <c r="A5532" s="4"/>
      <c r="B5532"/>
      <c r="C5532"/>
      <c r="D5532"/>
    </row>
    <row r="5533" spans="1:4" x14ac:dyDescent="0.2">
      <c r="A5533" s="4"/>
      <c r="B5533"/>
      <c r="C5533"/>
      <c r="D5533"/>
    </row>
    <row r="5534" spans="1:4" x14ac:dyDescent="0.2">
      <c r="A5534" s="4"/>
      <c r="B5534"/>
      <c r="C5534"/>
      <c r="D5534"/>
    </row>
    <row r="5535" spans="1:4" x14ac:dyDescent="0.2">
      <c r="A5535" s="4"/>
      <c r="B5535"/>
      <c r="C5535"/>
      <c r="D5535"/>
    </row>
    <row r="5536" spans="1:4" x14ac:dyDescent="0.2">
      <c r="A5536" s="4"/>
      <c r="B5536"/>
      <c r="C5536"/>
      <c r="D5536"/>
    </row>
    <row r="5537" spans="1:4" x14ac:dyDescent="0.2">
      <c r="A5537" s="4"/>
      <c r="B5537"/>
      <c r="C5537"/>
      <c r="D5537"/>
    </row>
    <row r="5538" spans="1:4" x14ac:dyDescent="0.2">
      <c r="A5538" s="4"/>
      <c r="B5538"/>
      <c r="C5538"/>
      <c r="D5538"/>
    </row>
    <row r="5539" spans="1:4" x14ac:dyDescent="0.2">
      <c r="A5539" s="4"/>
      <c r="B5539"/>
      <c r="C5539"/>
      <c r="D5539"/>
    </row>
    <row r="5540" spans="1:4" x14ac:dyDescent="0.2">
      <c r="A5540" s="4"/>
      <c r="B5540"/>
      <c r="C5540"/>
      <c r="D5540"/>
    </row>
    <row r="5541" spans="1:4" x14ac:dyDescent="0.2">
      <c r="A5541" s="4"/>
      <c r="B5541"/>
      <c r="C5541"/>
      <c r="D5541"/>
    </row>
    <row r="5542" spans="1:4" x14ac:dyDescent="0.2">
      <c r="A5542" s="4"/>
      <c r="B5542"/>
      <c r="C5542"/>
      <c r="D5542"/>
    </row>
    <row r="5543" spans="1:4" x14ac:dyDescent="0.2">
      <c r="A5543" s="4"/>
      <c r="B5543"/>
      <c r="C5543"/>
      <c r="D5543"/>
    </row>
    <row r="5544" spans="1:4" x14ac:dyDescent="0.2">
      <c r="A5544" s="4"/>
      <c r="B5544"/>
      <c r="C5544"/>
      <c r="D5544"/>
    </row>
    <row r="5545" spans="1:4" x14ac:dyDescent="0.2">
      <c r="A5545" s="4"/>
      <c r="B5545"/>
      <c r="C5545"/>
      <c r="D5545"/>
    </row>
    <row r="5546" spans="1:4" x14ac:dyDescent="0.2">
      <c r="A5546" s="4"/>
      <c r="B5546"/>
      <c r="C5546"/>
      <c r="D5546"/>
    </row>
    <row r="5547" spans="1:4" x14ac:dyDescent="0.2">
      <c r="A5547" s="4"/>
      <c r="B5547"/>
      <c r="C5547"/>
      <c r="D5547"/>
    </row>
    <row r="5548" spans="1:4" x14ac:dyDescent="0.2">
      <c r="A5548" s="4"/>
      <c r="B5548"/>
      <c r="C5548"/>
      <c r="D5548"/>
    </row>
    <row r="5549" spans="1:4" x14ac:dyDescent="0.2">
      <c r="A5549" s="4"/>
      <c r="B5549"/>
      <c r="C5549"/>
      <c r="D5549"/>
    </row>
    <row r="5550" spans="1:4" x14ac:dyDescent="0.2">
      <c r="A5550" s="4"/>
      <c r="B5550"/>
      <c r="C5550"/>
      <c r="D5550"/>
    </row>
    <row r="5551" spans="1:4" x14ac:dyDescent="0.2">
      <c r="A5551" s="4"/>
      <c r="B5551"/>
      <c r="C5551"/>
      <c r="D5551"/>
    </row>
    <row r="5552" spans="1:4" x14ac:dyDescent="0.2">
      <c r="A5552" s="4"/>
      <c r="B5552"/>
      <c r="C5552"/>
      <c r="D5552"/>
    </row>
    <row r="5553" spans="1:4" x14ac:dyDescent="0.2">
      <c r="A5553" s="4"/>
      <c r="B5553"/>
      <c r="C5553"/>
      <c r="D5553"/>
    </row>
    <row r="5554" spans="1:4" x14ac:dyDescent="0.2">
      <c r="A5554" s="4"/>
      <c r="B5554"/>
      <c r="C5554"/>
      <c r="D5554"/>
    </row>
    <row r="5555" spans="1:4" x14ac:dyDescent="0.2">
      <c r="A5555" s="4"/>
      <c r="B5555"/>
      <c r="C5555"/>
      <c r="D5555"/>
    </row>
    <row r="5556" spans="1:4" x14ac:dyDescent="0.2">
      <c r="A5556" s="4"/>
      <c r="B5556"/>
      <c r="C5556"/>
      <c r="D5556"/>
    </row>
    <row r="5557" spans="1:4" x14ac:dyDescent="0.2">
      <c r="A5557" s="4"/>
      <c r="B5557"/>
      <c r="C5557"/>
      <c r="D5557"/>
    </row>
    <row r="5558" spans="1:4" x14ac:dyDescent="0.2">
      <c r="A5558" s="4"/>
      <c r="B5558"/>
      <c r="C5558"/>
      <c r="D5558"/>
    </row>
    <row r="5559" spans="1:4" x14ac:dyDescent="0.2">
      <c r="A5559" s="4"/>
      <c r="B5559"/>
      <c r="C5559"/>
      <c r="D5559"/>
    </row>
    <row r="5560" spans="1:4" x14ac:dyDescent="0.2">
      <c r="A5560" s="4"/>
      <c r="B5560"/>
      <c r="C5560"/>
      <c r="D5560"/>
    </row>
    <row r="5561" spans="1:4" x14ac:dyDescent="0.2">
      <c r="A5561" s="4"/>
      <c r="B5561"/>
      <c r="C5561"/>
      <c r="D5561"/>
    </row>
    <row r="5562" spans="1:4" x14ac:dyDescent="0.2">
      <c r="A5562" s="4"/>
      <c r="B5562"/>
      <c r="C5562"/>
      <c r="D5562"/>
    </row>
    <row r="5563" spans="1:4" x14ac:dyDescent="0.2">
      <c r="A5563" s="4"/>
      <c r="B5563"/>
      <c r="C5563"/>
      <c r="D5563"/>
    </row>
    <row r="5564" spans="1:4" x14ac:dyDescent="0.2">
      <c r="A5564" s="4"/>
      <c r="B5564"/>
      <c r="C5564"/>
      <c r="D5564"/>
    </row>
    <row r="5565" spans="1:4" x14ac:dyDescent="0.2">
      <c r="A5565" s="4"/>
      <c r="B5565"/>
      <c r="C5565"/>
      <c r="D5565"/>
    </row>
    <row r="5566" spans="1:4" x14ac:dyDescent="0.2">
      <c r="A5566" s="4"/>
      <c r="B5566"/>
      <c r="C5566"/>
      <c r="D5566"/>
    </row>
    <row r="5567" spans="1:4" x14ac:dyDescent="0.2">
      <c r="A5567" s="4"/>
      <c r="B5567"/>
      <c r="C5567"/>
      <c r="D5567"/>
    </row>
    <row r="5568" spans="1:4" x14ac:dyDescent="0.2">
      <c r="A5568" s="4"/>
      <c r="B5568"/>
      <c r="C5568"/>
      <c r="D5568"/>
    </row>
    <row r="5569" spans="1:4" x14ac:dyDescent="0.2">
      <c r="A5569" s="4"/>
      <c r="B5569"/>
      <c r="C5569"/>
      <c r="D5569"/>
    </row>
    <row r="5570" spans="1:4" x14ac:dyDescent="0.2">
      <c r="A5570" s="4"/>
      <c r="B5570"/>
      <c r="C5570"/>
      <c r="D5570"/>
    </row>
    <row r="5571" spans="1:4" x14ac:dyDescent="0.2">
      <c r="A5571" s="4"/>
      <c r="B5571"/>
      <c r="C5571"/>
      <c r="D5571"/>
    </row>
    <row r="5572" spans="1:4" x14ac:dyDescent="0.2">
      <c r="A5572" s="4"/>
      <c r="B5572"/>
      <c r="C5572"/>
      <c r="D5572"/>
    </row>
    <row r="5573" spans="1:4" x14ac:dyDescent="0.2">
      <c r="A5573" s="4"/>
      <c r="B5573"/>
      <c r="C5573"/>
      <c r="D5573"/>
    </row>
    <row r="5574" spans="1:4" x14ac:dyDescent="0.2">
      <c r="A5574" s="4"/>
      <c r="B5574"/>
      <c r="C5574"/>
      <c r="D5574"/>
    </row>
    <row r="5575" spans="1:4" x14ac:dyDescent="0.2">
      <c r="A5575" s="4"/>
      <c r="B5575"/>
      <c r="C5575"/>
      <c r="D5575"/>
    </row>
    <row r="5576" spans="1:4" x14ac:dyDescent="0.2">
      <c r="A5576" s="4"/>
      <c r="B5576"/>
      <c r="C5576"/>
      <c r="D5576"/>
    </row>
    <row r="5577" spans="1:4" x14ac:dyDescent="0.2">
      <c r="A5577" s="4"/>
      <c r="B5577"/>
      <c r="C5577"/>
      <c r="D5577"/>
    </row>
    <row r="5578" spans="1:4" x14ac:dyDescent="0.2">
      <c r="A5578" s="4"/>
      <c r="B5578"/>
      <c r="C5578"/>
      <c r="D5578"/>
    </row>
    <row r="5579" spans="1:4" x14ac:dyDescent="0.2">
      <c r="A5579" s="4"/>
      <c r="B5579"/>
      <c r="C5579"/>
      <c r="D5579"/>
    </row>
    <row r="5580" spans="1:4" x14ac:dyDescent="0.2">
      <c r="A5580" s="4"/>
      <c r="B5580"/>
      <c r="C5580"/>
      <c r="D5580"/>
    </row>
    <row r="5581" spans="1:4" x14ac:dyDescent="0.2">
      <c r="A5581" s="4"/>
      <c r="B5581"/>
      <c r="C5581"/>
      <c r="D5581"/>
    </row>
    <row r="5582" spans="1:4" x14ac:dyDescent="0.2">
      <c r="A5582" s="4"/>
      <c r="B5582"/>
      <c r="C5582"/>
      <c r="D5582"/>
    </row>
    <row r="5583" spans="1:4" x14ac:dyDescent="0.2">
      <c r="A5583" s="4"/>
      <c r="B5583"/>
      <c r="C5583"/>
      <c r="D5583"/>
    </row>
    <row r="5584" spans="1:4" x14ac:dyDescent="0.2">
      <c r="A5584" s="4"/>
      <c r="B5584"/>
      <c r="C5584"/>
      <c r="D5584"/>
    </row>
    <row r="5585" spans="1:4" x14ac:dyDescent="0.2">
      <c r="A5585" s="4"/>
      <c r="B5585"/>
      <c r="C5585"/>
      <c r="D5585"/>
    </row>
    <row r="5586" spans="1:4" x14ac:dyDescent="0.2">
      <c r="A5586" s="4"/>
      <c r="B5586"/>
      <c r="C5586"/>
      <c r="D5586"/>
    </row>
    <row r="5587" spans="1:4" x14ac:dyDescent="0.2">
      <c r="A5587" s="4"/>
      <c r="B5587"/>
      <c r="C5587"/>
      <c r="D5587"/>
    </row>
    <row r="5588" spans="1:4" x14ac:dyDescent="0.2">
      <c r="A5588" s="4"/>
      <c r="B5588"/>
      <c r="C5588"/>
      <c r="D5588"/>
    </row>
    <row r="5589" spans="1:4" x14ac:dyDescent="0.2">
      <c r="A5589" s="4"/>
      <c r="B5589"/>
      <c r="C5589"/>
      <c r="D5589"/>
    </row>
    <row r="5590" spans="1:4" x14ac:dyDescent="0.2">
      <c r="A5590" s="4"/>
      <c r="B5590"/>
      <c r="C5590"/>
      <c r="D5590"/>
    </row>
    <row r="5591" spans="1:4" x14ac:dyDescent="0.2">
      <c r="A5591" s="4"/>
      <c r="B5591"/>
      <c r="C5591"/>
      <c r="D5591"/>
    </row>
    <row r="5592" spans="1:4" x14ac:dyDescent="0.2">
      <c r="A5592" s="4"/>
      <c r="B5592"/>
      <c r="C5592"/>
      <c r="D5592"/>
    </row>
    <row r="5593" spans="1:4" x14ac:dyDescent="0.2">
      <c r="A5593" s="4"/>
      <c r="B5593"/>
      <c r="C5593"/>
      <c r="D5593"/>
    </row>
    <row r="5594" spans="1:4" x14ac:dyDescent="0.2">
      <c r="A5594" s="4"/>
      <c r="B5594"/>
      <c r="C5594"/>
      <c r="D5594"/>
    </row>
    <row r="5595" spans="1:4" x14ac:dyDescent="0.2">
      <c r="A5595" s="4"/>
      <c r="B5595"/>
      <c r="C5595"/>
      <c r="D5595"/>
    </row>
    <row r="5596" spans="1:4" x14ac:dyDescent="0.2">
      <c r="A5596" s="4"/>
      <c r="B5596"/>
      <c r="C5596"/>
      <c r="D5596"/>
    </row>
    <row r="5597" spans="1:4" x14ac:dyDescent="0.2">
      <c r="A5597" s="4"/>
      <c r="B5597"/>
      <c r="C5597"/>
      <c r="D5597"/>
    </row>
    <row r="5598" spans="1:4" x14ac:dyDescent="0.2">
      <c r="A5598" s="4"/>
      <c r="B5598"/>
      <c r="C5598"/>
      <c r="D5598"/>
    </row>
    <row r="5599" spans="1:4" x14ac:dyDescent="0.2">
      <c r="A5599" s="4"/>
      <c r="B5599"/>
      <c r="C5599"/>
      <c r="D5599"/>
    </row>
    <row r="5600" spans="1:4" x14ac:dyDescent="0.2">
      <c r="A5600" s="4"/>
      <c r="B5600"/>
      <c r="C5600"/>
      <c r="D5600"/>
    </row>
    <row r="5601" spans="1:4" x14ac:dyDescent="0.2">
      <c r="A5601" s="4"/>
      <c r="B5601"/>
      <c r="C5601"/>
      <c r="D5601"/>
    </row>
    <row r="5602" spans="1:4" x14ac:dyDescent="0.2">
      <c r="A5602" s="4"/>
      <c r="B5602"/>
      <c r="C5602"/>
      <c r="D5602"/>
    </row>
    <row r="5603" spans="1:4" x14ac:dyDescent="0.2">
      <c r="A5603" s="4"/>
      <c r="B5603"/>
      <c r="C5603"/>
      <c r="D5603"/>
    </row>
    <row r="5604" spans="1:4" x14ac:dyDescent="0.2">
      <c r="A5604" s="4"/>
      <c r="B5604"/>
      <c r="C5604"/>
      <c r="D5604"/>
    </row>
    <row r="5605" spans="1:4" x14ac:dyDescent="0.2">
      <c r="A5605" s="4"/>
      <c r="B5605"/>
      <c r="C5605"/>
      <c r="D5605"/>
    </row>
    <row r="5606" spans="1:4" x14ac:dyDescent="0.2">
      <c r="A5606" s="4"/>
      <c r="B5606"/>
      <c r="C5606"/>
      <c r="D5606"/>
    </row>
    <row r="5607" spans="1:4" x14ac:dyDescent="0.2">
      <c r="A5607" s="4"/>
      <c r="B5607"/>
      <c r="C5607"/>
      <c r="D5607"/>
    </row>
    <row r="5608" spans="1:4" x14ac:dyDescent="0.2">
      <c r="A5608" s="4"/>
      <c r="B5608"/>
      <c r="C5608"/>
      <c r="D5608"/>
    </row>
    <row r="5609" spans="1:4" x14ac:dyDescent="0.2">
      <c r="A5609" s="4"/>
      <c r="B5609"/>
      <c r="C5609"/>
      <c r="D5609"/>
    </row>
    <row r="5610" spans="1:4" x14ac:dyDescent="0.2">
      <c r="A5610" s="4"/>
      <c r="B5610"/>
      <c r="C5610"/>
      <c r="D5610"/>
    </row>
    <row r="5611" spans="1:4" x14ac:dyDescent="0.2">
      <c r="A5611" s="4"/>
      <c r="B5611"/>
      <c r="C5611"/>
      <c r="D5611"/>
    </row>
    <row r="5612" spans="1:4" x14ac:dyDescent="0.2">
      <c r="A5612" s="4"/>
      <c r="B5612"/>
      <c r="C5612"/>
      <c r="D5612"/>
    </row>
    <row r="5613" spans="1:4" x14ac:dyDescent="0.2">
      <c r="A5613" s="4"/>
      <c r="B5613"/>
      <c r="C5613"/>
      <c r="D5613"/>
    </row>
    <row r="5614" spans="1:4" x14ac:dyDescent="0.2">
      <c r="A5614" s="4"/>
      <c r="B5614"/>
      <c r="C5614"/>
      <c r="D5614"/>
    </row>
    <row r="5615" spans="1:4" x14ac:dyDescent="0.2">
      <c r="A5615" s="4"/>
      <c r="B5615"/>
      <c r="C5615"/>
      <c r="D5615"/>
    </row>
    <row r="5616" spans="1:4" x14ac:dyDescent="0.2">
      <c r="A5616" s="4"/>
      <c r="B5616"/>
      <c r="C5616"/>
      <c r="D5616"/>
    </row>
    <row r="5617" spans="1:4" x14ac:dyDescent="0.2">
      <c r="A5617" s="4"/>
      <c r="B5617"/>
      <c r="C5617"/>
      <c r="D5617"/>
    </row>
    <row r="5618" spans="1:4" x14ac:dyDescent="0.2">
      <c r="A5618" s="4"/>
      <c r="B5618"/>
      <c r="C5618"/>
      <c r="D5618"/>
    </row>
    <row r="5619" spans="1:4" x14ac:dyDescent="0.2">
      <c r="A5619" s="4"/>
      <c r="B5619"/>
      <c r="C5619"/>
      <c r="D5619"/>
    </row>
    <row r="5620" spans="1:4" x14ac:dyDescent="0.2">
      <c r="A5620" s="4"/>
      <c r="B5620"/>
      <c r="C5620"/>
      <c r="D5620"/>
    </row>
    <row r="5621" spans="1:4" x14ac:dyDescent="0.2">
      <c r="A5621" s="4"/>
      <c r="B5621"/>
      <c r="C5621"/>
      <c r="D5621"/>
    </row>
    <row r="5622" spans="1:4" x14ac:dyDescent="0.2">
      <c r="A5622" s="4"/>
      <c r="B5622"/>
      <c r="C5622"/>
      <c r="D5622"/>
    </row>
    <row r="5623" spans="1:4" x14ac:dyDescent="0.2">
      <c r="A5623" s="4"/>
      <c r="B5623"/>
      <c r="C5623"/>
      <c r="D5623"/>
    </row>
    <row r="5624" spans="1:4" x14ac:dyDescent="0.2">
      <c r="A5624" s="4"/>
      <c r="B5624"/>
      <c r="C5624"/>
      <c r="D5624"/>
    </row>
    <row r="5625" spans="1:4" x14ac:dyDescent="0.2">
      <c r="A5625" s="4"/>
      <c r="B5625"/>
      <c r="C5625"/>
      <c r="D5625"/>
    </row>
    <row r="5626" spans="1:4" x14ac:dyDescent="0.2">
      <c r="A5626" s="4"/>
      <c r="B5626"/>
      <c r="C5626"/>
      <c r="D5626"/>
    </row>
    <row r="5627" spans="1:4" x14ac:dyDescent="0.2">
      <c r="A5627" s="4"/>
      <c r="B5627"/>
      <c r="C5627"/>
      <c r="D5627"/>
    </row>
    <row r="5628" spans="1:4" x14ac:dyDescent="0.2">
      <c r="A5628" s="4"/>
      <c r="B5628"/>
      <c r="C5628"/>
      <c r="D5628"/>
    </row>
    <row r="5629" spans="1:4" x14ac:dyDescent="0.2">
      <c r="A5629" s="4"/>
      <c r="B5629"/>
      <c r="C5629"/>
      <c r="D5629"/>
    </row>
    <row r="5630" spans="1:4" x14ac:dyDescent="0.2">
      <c r="A5630" s="4"/>
      <c r="B5630"/>
      <c r="C5630"/>
      <c r="D5630"/>
    </row>
    <row r="5631" spans="1:4" x14ac:dyDescent="0.2">
      <c r="A5631" s="4"/>
      <c r="B5631"/>
      <c r="C5631"/>
      <c r="D5631"/>
    </row>
    <row r="5632" spans="1:4" x14ac:dyDescent="0.2">
      <c r="A5632" s="4"/>
      <c r="B5632"/>
      <c r="C5632"/>
      <c r="D5632"/>
    </row>
    <row r="5633" spans="1:4" x14ac:dyDescent="0.2">
      <c r="A5633" s="4"/>
      <c r="B5633"/>
      <c r="C5633"/>
      <c r="D5633"/>
    </row>
    <row r="5634" spans="1:4" x14ac:dyDescent="0.2">
      <c r="A5634" s="4"/>
      <c r="B5634"/>
      <c r="C5634"/>
      <c r="D5634"/>
    </row>
    <row r="5635" spans="1:4" x14ac:dyDescent="0.2">
      <c r="A5635" s="4"/>
      <c r="B5635"/>
      <c r="C5635"/>
      <c r="D5635"/>
    </row>
    <row r="5636" spans="1:4" x14ac:dyDescent="0.2">
      <c r="A5636" s="4"/>
      <c r="B5636"/>
      <c r="C5636"/>
      <c r="D5636"/>
    </row>
    <row r="5637" spans="1:4" x14ac:dyDescent="0.2">
      <c r="A5637" s="4"/>
      <c r="B5637"/>
      <c r="C5637"/>
      <c r="D5637"/>
    </row>
    <row r="5638" spans="1:4" x14ac:dyDescent="0.2">
      <c r="A5638" s="4"/>
      <c r="B5638"/>
      <c r="C5638"/>
      <c r="D5638"/>
    </row>
    <row r="5639" spans="1:4" x14ac:dyDescent="0.2">
      <c r="A5639" s="4"/>
      <c r="B5639"/>
      <c r="C5639"/>
      <c r="D5639"/>
    </row>
    <row r="5640" spans="1:4" x14ac:dyDescent="0.2">
      <c r="A5640" s="4"/>
      <c r="B5640"/>
      <c r="C5640"/>
      <c r="D5640"/>
    </row>
    <row r="5641" spans="1:4" x14ac:dyDescent="0.2">
      <c r="A5641" s="4"/>
      <c r="B5641"/>
      <c r="C5641"/>
      <c r="D5641"/>
    </row>
    <row r="5642" spans="1:4" x14ac:dyDescent="0.2">
      <c r="A5642" s="4"/>
      <c r="B5642"/>
      <c r="C5642"/>
      <c r="D5642"/>
    </row>
    <row r="5643" spans="1:4" x14ac:dyDescent="0.2">
      <c r="A5643" s="4"/>
      <c r="B5643"/>
      <c r="C5643"/>
      <c r="D5643"/>
    </row>
    <row r="5644" spans="1:4" x14ac:dyDescent="0.2">
      <c r="A5644" s="4"/>
      <c r="B5644"/>
      <c r="C5644"/>
      <c r="D5644"/>
    </row>
    <row r="5645" spans="1:4" x14ac:dyDescent="0.2">
      <c r="A5645" s="4"/>
      <c r="B5645"/>
      <c r="C5645"/>
      <c r="D5645"/>
    </row>
    <row r="5646" spans="1:4" x14ac:dyDescent="0.2">
      <c r="A5646" s="4"/>
      <c r="B5646"/>
      <c r="C5646"/>
      <c r="D5646"/>
    </row>
    <row r="5647" spans="1:4" x14ac:dyDescent="0.2">
      <c r="A5647" s="4"/>
      <c r="B5647"/>
      <c r="C5647"/>
      <c r="D5647"/>
    </row>
    <row r="5648" spans="1:4" x14ac:dyDescent="0.2">
      <c r="A5648" s="4"/>
      <c r="B5648"/>
      <c r="C5648"/>
      <c r="D5648"/>
    </row>
    <row r="5649" spans="1:4" x14ac:dyDescent="0.2">
      <c r="A5649" s="4"/>
      <c r="B5649"/>
      <c r="C5649"/>
      <c r="D5649"/>
    </row>
    <row r="5650" spans="1:4" x14ac:dyDescent="0.2">
      <c r="A5650" s="4"/>
      <c r="B5650"/>
      <c r="C5650"/>
      <c r="D5650"/>
    </row>
    <row r="5651" spans="1:4" x14ac:dyDescent="0.2">
      <c r="A5651" s="4"/>
      <c r="B5651"/>
      <c r="C5651"/>
      <c r="D5651"/>
    </row>
    <row r="5652" spans="1:4" x14ac:dyDescent="0.2">
      <c r="A5652" s="4"/>
      <c r="B5652"/>
      <c r="C5652"/>
      <c r="D5652"/>
    </row>
    <row r="5653" spans="1:4" x14ac:dyDescent="0.2">
      <c r="A5653" s="4"/>
      <c r="B5653"/>
      <c r="C5653"/>
      <c r="D5653"/>
    </row>
    <row r="5654" spans="1:4" x14ac:dyDescent="0.2">
      <c r="A5654" s="4"/>
      <c r="B5654"/>
      <c r="C5654"/>
      <c r="D5654"/>
    </row>
    <row r="5655" spans="1:4" x14ac:dyDescent="0.2">
      <c r="A5655" s="4"/>
      <c r="B5655"/>
      <c r="C5655"/>
      <c r="D5655"/>
    </row>
    <row r="5656" spans="1:4" x14ac:dyDescent="0.2">
      <c r="A5656" s="4"/>
      <c r="B5656"/>
      <c r="C5656"/>
      <c r="D5656"/>
    </row>
    <row r="5657" spans="1:4" x14ac:dyDescent="0.2">
      <c r="A5657" s="4"/>
      <c r="B5657"/>
      <c r="C5657"/>
      <c r="D5657"/>
    </row>
    <row r="5658" spans="1:4" x14ac:dyDescent="0.2">
      <c r="A5658" s="4"/>
      <c r="B5658"/>
      <c r="C5658"/>
      <c r="D5658"/>
    </row>
    <row r="5659" spans="1:4" x14ac:dyDescent="0.2">
      <c r="A5659" s="4"/>
      <c r="B5659"/>
      <c r="C5659"/>
      <c r="D5659"/>
    </row>
    <row r="5660" spans="1:4" x14ac:dyDescent="0.2">
      <c r="A5660" s="4"/>
      <c r="B5660"/>
      <c r="C5660"/>
      <c r="D5660"/>
    </row>
    <row r="5661" spans="1:4" x14ac:dyDescent="0.2">
      <c r="A5661" s="4"/>
      <c r="B5661"/>
      <c r="C5661"/>
      <c r="D5661"/>
    </row>
    <row r="5662" spans="1:4" x14ac:dyDescent="0.2">
      <c r="A5662" s="4"/>
      <c r="B5662"/>
      <c r="C5662"/>
      <c r="D5662"/>
    </row>
    <row r="5663" spans="1:4" x14ac:dyDescent="0.2">
      <c r="A5663" s="4"/>
      <c r="B5663"/>
      <c r="C5663"/>
      <c r="D5663"/>
    </row>
    <row r="5664" spans="1:4" x14ac:dyDescent="0.2">
      <c r="A5664" s="4"/>
      <c r="B5664"/>
      <c r="C5664"/>
      <c r="D5664"/>
    </row>
    <row r="5665" spans="1:4" x14ac:dyDescent="0.2">
      <c r="A5665" s="4"/>
      <c r="B5665"/>
      <c r="C5665"/>
      <c r="D5665"/>
    </row>
    <row r="5666" spans="1:4" x14ac:dyDescent="0.2">
      <c r="A5666" s="4"/>
      <c r="B5666"/>
      <c r="C5666"/>
      <c r="D5666"/>
    </row>
    <row r="5667" spans="1:4" x14ac:dyDescent="0.2">
      <c r="A5667" s="4"/>
      <c r="B5667"/>
      <c r="C5667"/>
      <c r="D5667"/>
    </row>
    <row r="5668" spans="1:4" x14ac:dyDescent="0.2">
      <c r="A5668" s="4"/>
      <c r="B5668"/>
      <c r="C5668"/>
      <c r="D5668"/>
    </row>
    <row r="5669" spans="1:4" x14ac:dyDescent="0.2">
      <c r="A5669" s="4"/>
      <c r="B5669"/>
      <c r="C5669"/>
      <c r="D5669"/>
    </row>
    <row r="5670" spans="1:4" x14ac:dyDescent="0.2">
      <c r="A5670" s="4"/>
      <c r="B5670"/>
      <c r="C5670"/>
      <c r="D5670"/>
    </row>
    <row r="5671" spans="1:4" x14ac:dyDescent="0.2">
      <c r="A5671" s="4"/>
      <c r="B5671"/>
      <c r="C5671"/>
      <c r="D5671"/>
    </row>
    <row r="5672" spans="1:4" x14ac:dyDescent="0.2">
      <c r="A5672" s="4"/>
      <c r="B5672"/>
      <c r="C5672"/>
      <c r="D5672"/>
    </row>
    <row r="5673" spans="1:4" x14ac:dyDescent="0.2">
      <c r="A5673" s="4"/>
      <c r="B5673"/>
      <c r="C5673"/>
      <c r="D5673"/>
    </row>
    <row r="5674" spans="1:4" x14ac:dyDescent="0.2">
      <c r="A5674" s="4"/>
      <c r="B5674"/>
      <c r="C5674"/>
      <c r="D5674"/>
    </row>
    <row r="5675" spans="1:4" x14ac:dyDescent="0.2">
      <c r="A5675" s="4"/>
      <c r="B5675"/>
      <c r="C5675"/>
      <c r="D5675"/>
    </row>
    <row r="5676" spans="1:4" x14ac:dyDescent="0.2">
      <c r="A5676" s="4"/>
      <c r="B5676"/>
      <c r="C5676"/>
      <c r="D5676"/>
    </row>
    <row r="5677" spans="1:4" x14ac:dyDescent="0.2">
      <c r="A5677" s="4"/>
      <c r="B5677"/>
      <c r="C5677"/>
      <c r="D5677"/>
    </row>
    <row r="5678" spans="1:4" x14ac:dyDescent="0.2">
      <c r="A5678" s="4"/>
      <c r="B5678"/>
      <c r="C5678"/>
      <c r="D5678"/>
    </row>
    <row r="5679" spans="1:4" x14ac:dyDescent="0.2">
      <c r="A5679" s="4"/>
      <c r="B5679"/>
      <c r="C5679"/>
      <c r="D5679"/>
    </row>
    <row r="5680" spans="1:4" x14ac:dyDescent="0.2">
      <c r="A5680" s="4"/>
      <c r="B5680"/>
      <c r="C5680"/>
      <c r="D5680"/>
    </row>
    <row r="5681" spans="1:4" x14ac:dyDescent="0.2">
      <c r="A5681" s="4"/>
      <c r="B5681"/>
      <c r="C5681"/>
      <c r="D5681"/>
    </row>
    <row r="5682" spans="1:4" x14ac:dyDescent="0.2">
      <c r="A5682" s="4"/>
      <c r="B5682"/>
      <c r="C5682"/>
      <c r="D5682"/>
    </row>
    <row r="5683" spans="1:4" x14ac:dyDescent="0.2">
      <c r="A5683" s="4"/>
      <c r="B5683"/>
      <c r="C5683"/>
      <c r="D5683"/>
    </row>
    <row r="5684" spans="1:4" x14ac:dyDescent="0.2">
      <c r="A5684" s="4"/>
      <c r="B5684"/>
      <c r="C5684"/>
      <c r="D5684"/>
    </row>
    <row r="5685" spans="1:4" x14ac:dyDescent="0.2">
      <c r="A5685" s="4"/>
      <c r="B5685"/>
      <c r="C5685"/>
      <c r="D5685"/>
    </row>
    <row r="5686" spans="1:4" x14ac:dyDescent="0.2">
      <c r="A5686" s="4"/>
      <c r="B5686"/>
      <c r="C5686"/>
      <c r="D5686"/>
    </row>
    <row r="5687" spans="1:4" x14ac:dyDescent="0.2">
      <c r="A5687" s="4"/>
      <c r="B5687"/>
      <c r="C5687"/>
      <c r="D5687"/>
    </row>
    <row r="5688" spans="1:4" x14ac:dyDescent="0.2">
      <c r="A5688" s="4"/>
      <c r="B5688"/>
      <c r="C5688"/>
      <c r="D5688"/>
    </row>
    <row r="5689" spans="1:4" x14ac:dyDescent="0.2">
      <c r="A5689" s="4"/>
      <c r="B5689"/>
      <c r="C5689"/>
      <c r="D5689"/>
    </row>
    <row r="5690" spans="1:4" x14ac:dyDescent="0.2">
      <c r="A5690" s="4"/>
      <c r="B5690"/>
      <c r="C5690"/>
      <c r="D5690"/>
    </row>
    <row r="5691" spans="1:4" x14ac:dyDescent="0.2">
      <c r="A5691" s="4"/>
      <c r="B5691"/>
      <c r="C5691"/>
      <c r="D5691"/>
    </row>
    <row r="5692" spans="1:4" x14ac:dyDescent="0.2">
      <c r="A5692" s="4"/>
      <c r="B5692"/>
      <c r="C5692"/>
      <c r="D5692"/>
    </row>
    <row r="5693" spans="1:4" x14ac:dyDescent="0.2">
      <c r="A5693" s="4"/>
      <c r="B5693"/>
      <c r="C5693"/>
      <c r="D5693"/>
    </row>
    <row r="5694" spans="1:4" x14ac:dyDescent="0.2">
      <c r="A5694" s="4"/>
      <c r="B5694"/>
      <c r="C5694"/>
      <c r="D5694"/>
    </row>
    <row r="5695" spans="1:4" x14ac:dyDescent="0.2">
      <c r="A5695" s="4"/>
      <c r="B5695"/>
      <c r="C5695"/>
      <c r="D5695"/>
    </row>
    <row r="5696" spans="1:4" x14ac:dyDescent="0.2">
      <c r="A5696" s="4"/>
      <c r="B5696"/>
      <c r="C5696"/>
      <c r="D5696"/>
    </row>
    <row r="5697" spans="1:4" x14ac:dyDescent="0.2">
      <c r="A5697" s="4"/>
      <c r="B5697"/>
      <c r="C5697"/>
      <c r="D5697"/>
    </row>
    <row r="5698" spans="1:4" x14ac:dyDescent="0.2">
      <c r="A5698" s="4"/>
      <c r="B5698"/>
      <c r="C5698"/>
      <c r="D5698"/>
    </row>
    <row r="5699" spans="1:4" x14ac:dyDescent="0.2">
      <c r="A5699" s="4"/>
      <c r="B5699"/>
      <c r="C5699"/>
      <c r="D5699"/>
    </row>
    <row r="5700" spans="1:4" x14ac:dyDescent="0.2">
      <c r="A5700" s="4"/>
      <c r="B5700"/>
      <c r="C5700"/>
      <c r="D5700"/>
    </row>
    <row r="5701" spans="1:4" x14ac:dyDescent="0.2">
      <c r="A5701" s="4"/>
      <c r="B5701"/>
      <c r="C5701"/>
      <c r="D5701"/>
    </row>
    <row r="5702" spans="1:4" x14ac:dyDescent="0.2">
      <c r="A5702" s="4"/>
      <c r="B5702"/>
      <c r="C5702"/>
      <c r="D5702"/>
    </row>
    <row r="5703" spans="1:4" x14ac:dyDescent="0.2">
      <c r="A5703" s="4"/>
      <c r="B5703"/>
      <c r="C5703"/>
      <c r="D5703"/>
    </row>
    <row r="5704" spans="1:4" x14ac:dyDescent="0.2">
      <c r="A5704" s="4"/>
      <c r="B5704"/>
      <c r="C5704"/>
      <c r="D5704"/>
    </row>
    <row r="5705" spans="1:4" x14ac:dyDescent="0.2">
      <c r="A5705" s="4"/>
      <c r="B5705"/>
      <c r="C5705"/>
      <c r="D5705"/>
    </row>
    <row r="5706" spans="1:4" x14ac:dyDescent="0.2">
      <c r="A5706" s="4"/>
      <c r="B5706"/>
      <c r="C5706"/>
      <c r="D5706"/>
    </row>
    <row r="5707" spans="1:4" x14ac:dyDescent="0.2">
      <c r="A5707" s="4"/>
      <c r="B5707"/>
      <c r="C5707"/>
      <c r="D5707"/>
    </row>
    <row r="5708" spans="1:4" x14ac:dyDescent="0.2">
      <c r="A5708" s="4"/>
      <c r="B5708"/>
      <c r="C5708"/>
      <c r="D5708"/>
    </row>
    <row r="5709" spans="1:4" x14ac:dyDescent="0.2">
      <c r="A5709" s="4"/>
      <c r="B5709"/>
      <c r="C5709"/>
      <c r="D5709"/>
    </row>
    <row r="5710" spans="1:4" x14ac:dyDescent="0.2">
      <c r="A5710" s="4"/>
      <c r="B5710"/>
      <c r="C5710"/>
      <c r="D5710"/>
    </row>
    <row r="5711" spans="1:4" x14ac:dyDescent="0.2">
      <c r="A5711" s="4"/>
      <c r="B5711"/>
      <c r="C5711"/>
      <c r="D5711"/>
    </row>
    <row r="5712" spans="1:4" x14ac:dyDescent="0.2">
      <c r="A5712" s="4"/>
      <c r="B5712"/>
      <c r="C5712"/>
      <c r="D5712"/>
    </row>
    <row r="5713" spans="1:4" x14ac:dyDescent="0.2">
      <c r="A5713" s="4"/>
      <c r="B5713"/>
      <c r="C5713"/>
      <c r="D5713"/>
    </row>
    <row r="5714" spans="1:4" x14ac:dyDescent="0.2">
      <c r="A5714" s="4"/>
      <c r="B5714"/>
      <c r="C5714"/>
      <c r="D5714"/>
    </row>
    <row r="5715" spans="1:4" x14ac:dyDescent="0.2">
      <c r="A5715" s="4"/>
      <c r="B5715"/>
      <c r="C5715"/>
      <c r="D5715"/>
    </row>
    <row r="5716" spans="1:4" x14ac:dyDescent="0.2">
      <c r="A5716" s="4"/>
      <c r="B5716"/>
      <c r="C5716"/>
      <c r="D5716"/>
    </row>
    <row r="5717" spans="1:4" x14ac:dyDescent="0.2">
      <c r="A5717" s="4"/>
      <c r="B5717"/>
      <c r="C5717"/>
      <c r="D5717"/>
    </row>
    <row r="5718" spans="1:4" x14ac:dyDescent="0.2">
      <c r="A5718" s="4"/>
      <c r="B5718"/>
      <c r="C5718"/>
      <c r="D5718"/>
    </row>
    <row r="5719" spans="1:4" x14ac:dyDescent="0.2">
      <c r="A5719" s="4"/>
      <c r="B5719"/>
      <c r="C5719"/>
      <c r="D5719"/>
    </row>
    <row r="5720" spans="1:4" x14ac:dyDescent="0.2">
      <c r="A5720" s="4"/>
      <c r="B5720"/>
      <c r="C5720"/>
      <c r="D5720"/>
    </row>
    <row r="5721" spans="1:4" x14ac:dyDescent="0.2">
      <c r="A5721" s="4"/>
      <c r="B5721"/>
      <c r="C5721"/>
      <c r="D5721"/>
    </row>
    <row r="5722" spans="1:4" x14ac:dyDescent="0.2">
      <c r="A5722" s="4"/>
      <c r="B5722"/>
      <c r="C5722"/>
      <c r="D5722"/>
    </row>
    <row r="5723" spans="1:4" x14ac:dyDescent="0.2">
      <c r="A5723" s="4"/>
      <c r="B5723"/>
      <c r="C5723"/>
      <c r="D5723"/>
    </row>
    <row r="5724" spans="1:4" x14ac:dyDescent="0.2">
      <c r="A5724" s="4"/>
      <c r="B5724"/>
      <c r="C5724"/>
      <c r="D5724"/>
    </row>
    <row r="5725" spans="1:4" x14ac:dyDescent="0.2">
      <c r="A5725" s="4"/>
      <c r="B5725"/>
      <c r="C5725"/>
      <c r="D5725"/>
    </row>
    <row r="5726" spans="1:4" x14ac:dyDescent="0.2">
      <c r="A5726" s="4"/>
      <c r="B5726"/>
      <c r="C5726"/>
      <c r="D5726"/>
    </row>
    <row r="5727" spans="1:4" x14ac:dyDescent="0.2">
      <c r="A5727" s="4"/>
      <c r="B5727"/>
      <c r="C5727"/>
      <c r="D5727"/>
    </row>
    <row r="5728" spans="1:4" x14ac:dyDescent="0.2">
      <c r="A5728" s="4"/>
      <c r="B5728"/>
      <c r="C5728"/>
      <c r="D5728"/>
    </row>
    <row r="5729" spans="1:4" x14ac:dyDescent="0.2">
      <c r="A5729" s="4"/>
      <c r="B5729"/>
      <c r="C5729"/>
      <c r="D5729"/>
    </row>
    <row r="5730" spans="1:4" x14ac:dyDescent="0.2">
      <c r="A5730" s="4"/>
      <c r="B5730"/>
      <c r="C5730"/>
      <c r="D5730"/>
    </row>
    <row r="5731" spans="1:4" x14ac:dyDescent="0.2">
      <c r="A5731" s="4"/>
      <c r="B5731"/>
      <c r="C5731"/>
      <c r="D5731"/>
    </row>
    <row r="5732" spans="1:4" x14ac:dyDescent="0.2">
      <c r="A5732" s="4"/>
      <c r="B5732"/>
      <c r="C5732"/>
      <c r="D5732"/>
    </row>
    <row r="5733" spans="1:4" x14ac:dyDescent="0.2">
      <c r="A5733" s="4"/>
      <c r="B5733"/>
      <c r="C5733"/>
      <c r="D5733"/>
    </row>
    <row r="5734" spans="1:4" x14ac:dyDescent="0.2">
      <c r="A5734" s="4"/>
      <c r="B5734"/>
      <c r="C5734"/>
      <c r="D5734"/>
    </row>
    <row r="5735" spans="1:4" x14ac:dyDescent="0.2">
      <c r="A5735" s="4"/>
      <c r="B5735"/>
      <c r="C5735"/>
      <c r="D5735"/>
    </row>
    <row r="5736" spans="1:4" x14ac:dyDescent="0.2">
      <c r="A5736" s="4"/>
      <c r="B5736"/>
      <c r="C5736"/>
      <c r="D5736"/>
    </row>
    <row r="5737" spans="1:4" x14ac:dyDescent="0.2">
      <c r="A5737" s="4"/>
      <c r="B5737"/>
      <c r="C5737"/>
      <c r="D5737"/>
    </row>
    <row r="5738" spans="1:4" x14ac:dyDescent="0.2">
      <c r="A5738" s="4"/>
      <c r="B5738"/>
      <c r="C5738"/>
      <c r="D5738"/>
    </row>
    <row r="5739" spans="1:4" x14ac:dyDescent="0.2">
      <c r="A5739" s="4"/>
      <c r="B5739"/>
      <c r="C5739"/>
      <c r="D5739"/>
    </row>
    <row r="5740" spans="1:4" x14ac:dyDescent="0.2">
      <c r="A5740" s="4"/>
      <c r="B5740"/>
      <c r="C5740"/>
      <c r="D5740"/>
    </row>
    <row r="5741" spans="1:4" x14ac:dyDescent="0.2">
      <c r="A5741" s="4"/>
      <c r="B5741"/>
      <c r="C5741"/>
      <c r="D5741"/>
    </row>
    <row r="5742" spans="1:4" x14ac:dyDescent="0.2">
      <c r="A5742" s="4"/>
      <c r="B5742"/>
      <c r="C5742"/>
      <c r="D5742"/>
    </row>
    <row r="5743" spans="1:4" x14ac:dyDescent="0.2">
      <c r="A5743" s="4"/>
      <c r="B5743"/>
      <c r="C5743"/>
      <c r="D5743"/>
    </row>
    <row r="5744" spans="1:4" x14ac:dyDescent="0.2">
      <c r="A5744" s="4"/>
      <c r="B5744"/>
      <c r="C5744"/>
      <c r="D5744"/>
    </row>
    <row r="5745" spans="1:4" x14ac:dyDescent="0.2">
      <c r="A5745" s="4"/>
      <c r="B5745"/>
      <c r="C5745"/>
      <c r="D5745"/>
    </row>
    <row r="5746" spans="1:4" x14ac:dyDescent="0.2">
      <c r="A5746" s="4"/>
      <c r="B5746"/>
      <c r="C5746"/>
      <c r="D5746"/>
    </row>
    <row r="5747" spans="1:4" x14ac:dyDescent="0.2">
      <c r="A5747" s="4"/>
      <c r="B5747"/>
      <c r="C5747"/>
      <c r="D5747"/>
    </row>
    <row r="5748" spans="1:4" x14ac:dyDescent="0.2">
      <c r="A5748" s="4"/>
      <c r="B5748"/>
      <c r="C5748"/>
      <c r="D5748"/>
    </row>
    <row r="5749" spans="1:4" x14ac:dyDescent="0.2">
      <c r="A5749" s="4"/>
      <c r="B5749"/>
      <c r="C5749"/>
      <c r="D5749"/>
    </row>
    <row r="5750" spans="1:4" x14ac:dyDescent="0.2">
      <c r="A5750" s="4"/>
      <c r="B5750"/>
      <c r="C5750"/>
      <c r="D5750"/>
    </row>
    <row r="5751" spans="1:4" x14ac:dyDescent="0.2">
      <c r="A5751" s="4"/>
      <c r="B5751"/>
      <c r="C5751"/>
      <c r="D5751"/>
    </row>
    <row r="5752" spans="1:4" x14ac:dyDescent="0.2">
      <c r="A5752" s="4"/>
      <c r="B5752"/>
      <c r="C5752"/>
      <c r="D5752"/>
    </row>
    <row r="5753" spans="1:4" x14ac:dyDescent="0.2">
      <c r="A5753" s="4"/>
      <c r="B5753"/>
      <c r="C5753"/>
      <c r="D5753"/>
    </row>
    <row r="5754" spans="1:4" x14ac:dyDescent="0.2">
      <c r="A5754" s="4"/>
      <c r="B5754"/>
      <c r="C5754"/>
      <c r="D5754"/>
    </row>
    <row r="5755" spans="1:4" x14ac:dyDescent="0.2">
      <c r="A5755" s="4"/>
      <c r="B5755"/>
      <c r="C5755"/>
      <c r="D5755"/>
    </row>
    <row r="5756" spans="1:4" x14ac:dyDescent="0.2">
      <c r="A5756" s="4"/>
      <c r="B5756"/>
      <c r="C5756"/>
      <c r="D5756"/>
    </row>
    <row r="5757" spans="1:4" x14ac:dyDescent="0.2">
      <c r="A5757" s="4"/>
      <c r="B5757"/>
      <c r="C5757"/>
      <c r="D5757"/>
    </row>
    <row r="5758" spans="1:4" x14ac:dyDescent="0.2">
      <c r="A5758" s="4"/>
      <c r="B5758"/>
      <c r="C5758"/>
      <c r="D5758"/>
    </row>
    <row r="5759" spans="1:4" x14ac:dyDescent="0.2">
      <c r="A5759" s="4"/>
      <c r="B5759"/>
      <c r="C5759"/>
      <c r="D5759"/>
    </row>
    <row r="5760" spans="1:4" x14ac:dyDescent="0.2">
      <c r="A5760" s="4"/>
      <c r="B5760"/>
      <c r="C5760"/>
      <c r="D5760"/>
    </row>
    <row r="5761" spans="1:4" x14ac:dyDescent="0.2">
      <c r="A5761" s="4"/>
      <c r="B5761"/>
      <c r="C5761"/>
      <c r="D5761"/>
    </row>
    <row r="5762" spans="1:4" x14ac:dyDescent="0.2">
      <c r="A5762" s="4"/>
      <c r="B5762"/>
      <c r="C5762"/>
      <c r="D5762"/>
    </row>
    <row r="5763" spans="1:4" x14ac:dyDescent="0.2">
      <c r="A5763" s="4"/>
      <c r="B5763"/>
      <c r="C5763"/>
      <c r="D5763"/>
    </row>
    <row r="5764" spans="1:4" x14ac:dyDescent="0.2">
      <c r="A5764" s="4"/>
      <c r="B5764"/>
      <c r="C5764"/>
      <c r="D5764"/>
    </row>
    <row r="5765" spans="1:4" x14ac:dyDescent="0.2">
      <c r="A5765" s="4"/>
      <c r="B5765"/>
      <c r="C5765"/>
      <c r="D5765"/>
    </row>
    <row r="5766" spans="1:4" x14ac:dyDescent="0.2">
      <c r="A5766" s="4"/>
      <c r="B5766"/>
      <c r="C5766"/>
      <c r="D5766"/>
    </row>
    <row r="5767" spans="1:4" x14ac:dyDescent="0.2">
      <c r="A5767" s="4"/>
      <c r="B5767"/>
      <c r="C5767"/>
      <c r="D5767"/>
    </row>
    <row r="5768" spans="1:4" x14ac:dyDescent="0.2">
      <c r="A5768" s="4"/>
      <c r="B5768"/>
      <c r="C5768"/>
      <c r="D5768"/>
    </row>
    <row r="5769" spans="1:4" x14ac:dyDescent="0.2">
      <c r="A5769" s="4"/>
      <c r="B5769"/>
      <c r="C5769"/>
      <c r="D5769"/>
    </row>
    <row r="5770" spans="1:4" x14ac:dyDescent="0.2">
      <c r="A5770" s="4"/>
      <c r="B5770"/>
      <c r="C5770"/>
      <c r="D5770"/>
    </row>
    <row r="5771" spans="1:4" x14ac:dyDescent="0.2">
      <c r="A5771" s="4"/>
      <c r="B5771"/>
      <c r="C5771"/>
      <c r="D5771"/>
    </row>
    <row r="5772" spans="1:4" x14ac:dyDescent="0.2">
      <c r="A5772" s="4"/>
      <c r="B5772"/>
      <c r="C5772"/>
      <c r="D5772"/>
    </row>
    <row r="5773" spans="1:4" x14ac:dyDescent="0.2">
      <c r="A5773" s="4"/>
      <c r="B5773"/>
      <c r="C5773"/>
      <c r="D5773"/>
    </row>
    <row r="5774" spans="1:4" x14ac:dyDescent="0.2">
      <c r="A5774" s="4"/>
      <c r="B5774"/>
      <c r="C5774"/>
      <c r="D5774"/>
    </row>
    <row r="5775" spans="1:4" x14ac:dyDescent="0.2">
      <c r="A5775" s="4"/>
      <c r="B5775"/>
      <c r="C5775"/>
      <c r="D5775"/>
    </row>
    <row r="5776" spans="1:4" x14ac:dyDescent="0.2">
      <c r="A5776" s="4"/>
      <c r="B5776"/>
      <c r="C5776"/>
      <c r="D5776"/>
    </row>
    <row r="5777" spans="1:4" x14ac:dyDescent="0.2">
      <c r="A5777" s="4"/>
      <c r="B5777"/>
      <c r="C5777"/>
      <c r="D5777"/>
    </row>
    <row r="5778" spans="1:4" x14ac:dyDescent="0.2">
      <c r="A5778" s="4"/>
      <c r="B5778"/>
      <c r="C5778"/>
      <c r="D5778"/>
    </row>
    <row r="5779" spans="1:4" x14ac:dyDescent="0.2">
      <c r="A5779" s="4"/>
      <c r="B5779"/>
      <c r="C5779"/>
      <c r="D5779"/>
    </row>
    <row r="5780" spans="1:4" x14ac:dyDescent="0.2">
      <c r="A5780" s="4"/>
      <c r="B5780"/>
      <c r="C5780"/>
      <c r="D5780"/>
    </row>
    <row r="5781" spans="1:4" x14ac:dyDescent="0.2">
      <c r="A5781" s="4"/>
      <c r="B5781"/>
      <c r="C5781"/>
      <c r="D5781"/>
    </row>
    <row r="5782" spans="1:4" x14ac:dyDescent="0.2">
      <c r="A5782" s="4"/>
      <c r="B5782"/>
      <c r="C5782"/>
      <c r="D5782"/>
    </row>
    <row r="5783" spans="1:4" x14ac:dyDescent="0.2">
      <c r="A5783" s="4"/>
      <c r="B5783"/>
      <c r="C5783"/>
      <c r="D5783"/>
    </row>
    <row r="5784" spans="1:4" x14ac:dyDescent="0.2">
      <c r="A5784" s="4"/>
      <c r="B5784"/>
      <c r="C5784"/>
      <c r="D5784"/>
    </row>
    <row r="5785" spans="1:4" x14ac:dyDescent="0.2">
      <c r="A5785" s="4"/>
      <c r="B5785"/>
      <c r="C5785"/>
      <c r="D5785"/>
    </row>
    <row r="5786" spans="1:4" x14ac:dyDescent="0.2">
      <c r="A5786" s="4"/>
      <c r="B5786"/>
      <c r="C5786"/>
      <c r="D5786"/>
    </row>
    <row r="5787" spans="1:4" x14ac:dyDescent="0.2">
      <c r="A5787" s="4"/>
      <c r="B5787"/>
      <c r="C5787"/>
      <c r="D5787"/>
    </row>
    <row r="5788" spans="1:4" x14ac:dyDescent="0.2">
      <c r="A5788" s="4"/>
      <c r="B5788"/>
      <c r="C5788"/>
      <c r="D5788"/>
    </row>
    <row r="5789" spans="1:4" x14ac:dyDescent="0.2">
      <c r="A5789" s="4"/>
      <c r="B5789"/>
      <c r="C5789"/>
      <c r="D5789"/>
    </row>
    <row r="5790" spans="1:4" x14ac:dyDescent="0.2">
      <c r="A5790" s="4"/>
      <c r="B5790"/>
      <c r="C5790"/>
      <c r="D5790"/>
    </row>
    <row r="5791" spans="1:4" x14ac:dyDescent="0.2">
      <c r="A5791" s="4"/>
      <c r="B5791"/>
      <c r="C5791"/>
      <c r="D5791"/>
    </row>
    <row r="5792" spans="1:4" x14ac:dyDescent="0.2">
      <c r="A5792" s="4"/>
      <c r="B5792"/>
      <c r="C5792"/>
      <c r="D5792"/>
    </row>
    <row r="5793" spans="1:4" x14ac:dyDescent="0.2">
      <c r="A5793" s="4"/>
      <c r="B5793"/>
      <c r="C5793"/>
      <c r="D5793"/>
    </row>
    <row r="5794" spans="1:4" x14ac:dyDescent="0.2">
      <c r="A5794" s="4"/>
      <c r="B5794"/>
      <c r="C5794"/>
      <c r="D5794"/>
    </row>
    <row r="5795" spans="1:4" x14ac:dyDescent="0.2">
      <c r="A5795" s="4"/>
      <c r="B5795"/>
      <c r="C5795"/>
      <c r="D5795"/>
    </row>
    <row r="5796" spans="1:4" x14ac:dyDescent="0.2">
      <c r="A5796" s="4"/>
      <c r="B5796"/>
      <c r="C5796"/>
      <c r="D5796"/>
    </row>
    <row r="5797" spans="1:4" x14ac:dyDescent="0.2">
      <c r="A5797" s="4"/>
      <c r="B5797"/>
      <c r="C5797"/>
      <c r="D5797"/>
    </row>
    <row r="5798" spans="1:4" x14ac:dyDescent="0.2">
      <c r="A5798" s="4"/>
      <c r="B5798"/>
      <c r="C5798"/>
      <c r="D5798"/>
    </row>
    <row r="5799" spans="1:4" x14ac:dyDescent="0.2">
      <c r="A5799" s="4"/>
      <c r="B5799"/>
      <c r="C5799"/>
      <c r="D5799"/>
    </row>
    <row r="5800" spans="1:4" x14ac:dyDescent="0.2">
      <c r="A5800" s="4"/>
      <c r="B5800"/>
      <c r="C5800"/>
      <c r="D5800"/>
    </row>
    <row r="5801" spans="1:4" x14ac:dyDescent="0.2">
      <c r="A5801" s="4"/>
      <c r="B5801"/>
      <c r="C5801"/>
      <c r="D5801"/>
    </row>
    <row r="5802" spans="1:4" x14ac:dyDescent="0.2">
      <c r="A5802" s="4"/>
      <c r="B5802"/>
      <c r="C5802"/>
      <c r="D5802"/>
    </row>
    <row r="5803" spans="1:4" x14ac:dyDescent="0.2">
      <c r="A5803" s="4"/>
      <c r="B5803"/>
      <c r="C5803"/>
      <c r="D5803"/>
    </row>
    <row r="5804" spans="1:4" x14ac:dyDescent="0.2">
      <c r="A5804" s="4"/>
      <c r="B5804"/>
      <c r="C5804"/>
      <c r="D5804"/>
    </row>
    <row r="5805" spans="1:4" x14ac:dyDescent="0.2">
      <c r="A5805" s="4"/>
      <c r="B5805"/>
      <c r="C5805"/>
      <c r="D5805"/>
    </row>
    <row r="5806" spans="1:4" x14ac:dyDescent="0.2">
      <c r="A5806" s="4"/>
      <c r="B5806"/>
      <c r="C5806"/>
      <c r="D5806"/>
    </row>
    <row r="5807" spans="1:4" x14ac:dyDescent="0.2">
      <c r="A5807" s="4"/>
      <c r="B5807"/>
      <c r="C5807"/>
      <c r="D5807"/>
    </row>
    <row r="5808" spans="1:4" x14ac:dyDescent="0.2">
      <c r="A5808" s="4"/>
      <c r="B5808"/>
      <c r="C5808"/>
      <c r="D5808"/>
    </row>
    <row r="5809" spans="1:4" x14ac:dyDescent="0.2">
      <c r="A5809" s="4"/>
      <c r="B5809"/>
      <c r="C5809"/>
      <c r="D5809"/>
    </row>
    <row r="5810" spans="1:4" x14ac:dyDescent="0.2">
      <c r="A5810" s="4"/>
      <c r="B5810"/>
      <c r="C5810"/>
      <c r="D5810"/>
    </row>
    <row r="5811" spans="1:4" x14ac:dyDescent="0.2">
      <c r="A5811" s="4"/>
      <c r="B5811"/>
      <c r="C5811"/>
      <c r="D5811"/>
    </row>
    <row r="5812" spans="1:4" x14ac:dyDescent="0.2">
      <c r="A5812" s="4"/>
      <c r="B5812"/>
      <c r="C5812"/>
      <c r="D5812"/>
    </row>
    <row r="5813" spans="1:4" x14ac:dyDescent="0.2">
      <c r="A5813" s="4"/>
      <c r="B5813"/>
      <c r="C5813"/>
      <c r="D5813"/>
    </row>
    <row r="5814" spans="1:4" x14ac:dyDescent="0.2">
      <c r="A5814" s="4"/>
      <c r="B5814"/>
      <c r="C5814"/>
      <c r="D5814"/>
    </row>
    <row r="5815" spans="1:4" x14ac:dyDescent="0.2">
      <c r="A5815" s="4"/>
      <c r="B5815"/>
      <c r="C5815"/>
      <c r="D5815"/>
    </row>
    <row r="5816" spans="1:4" x14ac:dyDescent="0.2">
      <c r="A5816" s="4"/>
      <c r="B5816"/>
      <c r="C5816"/>
      <c r="D5816"/>
    </row>
    <row r="5817" spans="1:4" x14ac:dyDescent="0.2">
      <c r="A5817" s="4"/>
      <c r="B5817"/>
      <c r="C5817"/>
      <c r="D5817"/>
    </row>
    <row r="5818" spans="1:4" x14ac:dyDescent="0.2">
      <c r="A5818" s="4"/>
      <c r="B5818"/>
      <c r="C5818"/>
      <c r="D5818"/>
    </row>
    <row r="5819" spans="1:4" x14ac:dyDescent="0.2">
      <c r="A5819" s="4"/>
      <c r="B5819"/>
      <c r="C5819"/>
      <c r="D5819"/>
    </row>
    <row r="5820" spans="1:4" x14ac:dyDescent="0.2">
      <c r="A5820" s="4"/>
      <c r="B5820"/>
      <c r="C5820"/>
      <c r="D5820"/>
    </row>
    <row r="5821" spans="1:4" x14ac:dyDescent="0.2">
      <c r="A5821" s="4"/>
      <c r="B5821"/>
      <c r="C5821"/>
      <c r="D5821"/>
    </row>
    <row r="5822" spans="1:4" x14ac:dyDescent="0.2">
      <c r="A5822" s="4"/>
      <c r="B5822"/>
      <c r="C5822"/>
      <c r="D5822"/>
    </row>
    <row r="5823" spans="1:4" x14ac:dyDescent="0.2">
      <c r="A5823" s="4"/>
      <c r="B5823"/>
      <c r="C5823"/>
      <c r="D5823"/>
    </row>
    <row r="5824" spans="1:4" x14ac:dyDescent="0.2">
      <c r="A5824" s="4"/>
      <c r="B5824"/>
      <c r="C5824"/>
      <c r="D5824"/>
    </row>
    <row r="5825" spans="1:4" x14ac:dyDescent="0.2">
      <c r="A5825" s="4"/>
      <c r="B5825"/>
      <c r="C5825"/>
      <c r="D5825"/>
    </row>
    <row r="5826" spans="1:4" x14ac:dyDescent="0.2">
      <c r="A5826" s="4"/>
      <c r="B5826"/>
      <c r="C5826"/>
      <c r="D5826"/>
    </row>
    <row r="5827" spans="1:4" x14ac:dyDescent="0.2">
      <c r="A5827" s="4"/>
      <c r="B5827"/>
      <c r="C5827"/>
      <c r="D5827"/>
    </row>
    <row r="5828" spans="1:4" x14ac:dyDescent="0.2">
      <c r="A5828" s="4"/>
      <c r="B5828"/>
      <c r="C5828"/>
      <c r="D5828"/>
    </row>
    <row r="5829" spans="1:4" x14ac:dyDescent="0.2">
      <c r="A5829" s="4"/>
      <c r="B5829"/>
      <c r="C5829"/>
      <c r="D5829"/>
    </row>
    <row r="5830" spans="1:4" x14ac:dyDescent="0.2">
      <c r="A5830" s="4"/>
      <c r="B5830"/>
      <c r="C5830"/>
      <c r="D5830"/>
    </row>
    <row r="5831" spans="1:4" x14ac:dyDescent="0.2">
      <c r="A5831" s="4"/>
      <c r="B5831"/>
      <c r="C5831"/>
      <c r="D5831"/>
    </row>
    <row r="5832" spans="1:4" x14ac:dyDescent="0.2">
      <c r="A5832" s="4"/>
      <c r="B5832"/>
      <c r="C5832"/>
      <c r="D5832"/>
    </row>
    <row r="5833" spans="1:4" x14ac:dyDescent="0.2">
      <c r="A5833" s="4"/>
      <c r="B5833"/>
      <c r="C5833"/>
      <c r="D5833"/>
    </row>
    <row r="5834" spans="1:4" x14ac:dyDescent="0.2">
      <c r="A5834" s="4"/>
      <c r="B5834"/>
      <c r="C5834"/>
      <c r="D5834"/>
    </row>
    <row r="5835" spans="1:4" x14ac:dyDescent="0.2">
      <c r="A5835" s="4"/>
      <c r="B5835"/>
      <c r="C5835"/>
      <c r="D5835"/>
    </row>
    <row r="5836" spans="1:4" x14ac:dyDescent="0.2">
      <c r="A5836" s="4"/>
      <c r="B5836"/>
      <c r="C5836"/>
      <c r="D5836"/>
    </row>
    <row r="5837" spans="1:4" x14ac:dyDescent="0.2">
      <c r="A5837" s="4"/>
      <c r="B5837"/>
      <c r="C5837"/>
      <c r="D5837"/>
    </row>
    <row r="5838" spans="1:4" x14ac:dyDescent="0.2">
      <c r="A5838" s="4"/>
      <c r="B5838"/>
      <c r="C5838"/>
      <c r="D5838"/>
    </row>
    <row r="5839" spans="1:4" x14ac:dyDescent="0.2">
      <c r="A5839" s="4"/>
      <c r="B5839"/>
      <c r="C5839"/>
      <c r="D5839"/>
    </row>
    <row r="5840" spans="1:4" x14ac:dyDescent="0.2">
      <c r="A5840" s="4"/>
      <c r="B5840"/>
      <c r="C5840"/>
      <c r="D5840"/>
    </row>
    <row r="5841" spans="1:4" x14ac:dyDescent="0.2">
      <c r="A5841" s="4"/>
      <c r="B5841"/>
      <c r="C5841"/>
      <c r="D5841"/>
    </row>
    <row r="5842" spans="1:4" x14ac:dyDescent="0.2">
      <c r="A5842" s="4"/>
      <c r="B5842"/>
      <c r="C5842"/>
      <c r="D5842"/>
    </row>
    <row r="5843" spans="1:4" x14ac:dyDescent="0.2">
      <c r="A5843" s="4"/>
      <c r="B5843"/>
      <c r="C5843"/>
      <c r="D5843"/>
    </row>
    <row r="5844" spans="1:4" x14ac:dyDescent="0.2">
      <c r="A5844" s="4"/>
      <c r="B5844"/>
      <c r="C5844"/>
      <c r="D5844"/>
    </row>
    <row r="5845" spans="1:4" x14ac:dyDescent="0.2">
      <c r="A5845" s="4"/>
      <c r="B5845"/>
      <c r="C5845"/>
      <c r="D5845"/>
    </row>
    <row r="5846" spans="1:4" x14ac:dyDescent="0.2">
      <c r="A5846" s="4"/>
      <c r="B5846"/>
      <c r="C5846"/>
      <c r="D5846"/>
    </row>
    <row r="5847" spans="1:4" x14ac:dyDescent="0.2">
      <c r="A5847" s="4"/>
      <c r="B5847"/>
      <c r="C5847"/>
      <c r="D5847"/>
    </row>
    <row r="5848" spans="1:4" x14ac:dyDescent="0.2">
      <c r="A5848" s="4"/>
      <c r="B5848"/>
      <c r="C5848"/>
      <c r="D5848"/>
    </row>
    <row r="5849" spans="1:4" x14ac:dyDescent="0.2">
      <c r="A5849" s="4"/>
      <c r="B5849"/>
      <c r="C5849"/>
      <c r="D5849"/>
    </row>
    <row r="5850" spans="1:4" x14ac:dyDescent="0.2">
      <c r="A5850" s="4"/>
      <c r="B5850"/>
      <c r="C5850"/>
      <c r="D5850"/>
    </row>
    <row r="5851" spans="1:4" x14ac:dyDescent="0.2">
      <c r="A5851" s="4"/>
      <c r="B5851"/>
      <c r="C5851"/>
      <c r="D5851"/>
    </row>
    <row r="5852" spans="1:4" x14ac:dyDescent="0.2">
      <c r="A5852" s="4"/>
      <c r="B5852"/>
      <c r="C5852"/>
      <c r="D5852"/>
    </row>
    <row r="5853" spans="1:4" x14ac:dyDescent="0.2">
      <c r="A5853" s="4"/>
      <c r="B5853"/>
      <c r="C5853"/>
      <c r="D5853"/>
    </row>
    <row r="5854" spans="1:4" x14ac:dyDescent="0.2">
      <c r="A5854" s="4"/>
      <c r="B5854"/>
      <c r="C5854"/>
      <c r="D5854"/>
    </row>
    <row r="5855" spans="1:4" x14ac:dyDescent="0.2">
      <c r="A5855" s="4"/>
      <c r="B5855"/>
      <c r="C5855"/>
      <c r="D5855"/>
    </row>
    <row r="5856" spans="1:4" x14ac:dyDescent="0.2">
      <c r="A5856" s="4"/>
      <c r="B5856"/>
      <c r="C5856"/>
      <c r="D5856"/>
    </row>
    <row r="5857" spans="1:4" x14ac:dyDescent="0.2">
      <c r="A5857" s="4"/>
      <c r="B5857"/>
      <c r="C5857"/>
      <c r="D5857"/>
    </row>
    <row r="5858" spans="1:4" x14ac:dyDescent="0.2">
      <c r="A5858" s="4"/>
      <c r="B5858"/>
      <c r="C5858"/>
      <c r="D5858"/>
    </row>
    <row r="5859" spans="1:4" x14ac:dyDescent="0.2">
      <c r="A5859" s="4"/>
      <c r="B5859"/>
      <c r="C5859"/>
      <c r="D5859"/>
    </row>
    <row r="5860" spans="1:4" x14ac:dyDescent="0.2">
      <c r="A5860" s="4"/>
      <c r="B5860"/>
      <c r="C5860"/>
      <c r="D5860"/>
    </row>
    <row r="5861" spans="1:4" x14ac:dyDescent="0.2">
      <c r="A5861" s="4"/>
      <c r="B5861"/>
      <c r="C5861"/>
      <c r="D5861"/>
    </row>
    <row r="5862" spans="1:4" x14ac:dyDescent="0.2">
      <c r="A5862" s="4"/>
      <c r="B5862"/>
      <c r="C5862"/>
      <c r="D5862"/>
    </row>
    <row r="5863" spans="1:4" x14ac:dyDescent="0.2">
      <c r="A5863" s="4"/>
      <c r="B5863"/>
      <c r="C5863"/>
      <c r="D5863"/>
    </row>
    <row r="5864" spans="1:4" x14ac:dyDescent="0.2">
      <c r="A5864" s="4"/>
      <c r="B5864"/>
      <c r="C5864"/>
      <c r="D5864"/>
    </row>
    <row r="5865" spans="1:4" x14ac:dyDescent="0.2">
      <c r="A5865" s="4"/>
      <c r="B5865"/>
      <c r="C5865"/>
      <c r="D5865"/>
    </row>
    <row r="5866" spans="1:4" x14ac:dyDescent="0.2">
      <c r="A5866" s="4"/>
      <c r="B5866"/>
      <c r="C5866"/>
      <c r="D5866"/>
    </row>
    <row r="5867" spans="1:4" x14ac:dyDescent="0.2">
      <c r="A5867" s="4"/>
      <c r="B5867"/>
      <c r="C5867"/>
      <c r="D5867"/>
    </row>
    <row r="5868" spans="1:4" x14ac:dyDescent="0.2">
      <c r="A5868" s="4"/>
      <c r="B5868"/>
      <c r="C5868"/>
      <c r="D5868"/>
    </row>
    <row r="5869" spans="1:4" x14ac:dyDescent="0.2">
      <c r="A5869" s="4"/>
      <c r="B5869"/>
      <c r="C5869"/>
      <c r="D5869"/>
    </row>
    <row r="5870" spans="1:4" x14ac:dyDescent="0.2">
      <c r="A5870" s="4"/>
      <c r="B5870"/>
      <c r="C5870"/>
      <c r="D5870"/>
    </row>
    <row r="5871" spans="1:4" x14ac:dyDescent="0.2">
      <c r="A5871" s="4"/>
      <c r="B5871"/>
      <c r="C5871"/>
      <c r="D5871"/>
    </row>
    <row r="5872" spans="1:4" x14ac:dyDescent="0.2">
      <c r="A5872" s="4"/>
      <c r="B5872"/>
      <c r="C5872"/>
      <c r="D5872"/>
    </row>
    <row r="5873" spans="1:4" x14ac:dyDescent="0.2">
      <c r="A5873" s="4"/>
      <c r="B5873"/>
      <c r="C5873"/>
      <c r="D5873"/>
    </row>
    <row r="5874" spans="1:4" x14ac:dyDescent="0.2">
      <c r="A5874" s="4"/>
      <c r="B5874"/>
      <c r="C5874"/>
      <c r="D5874"/>
    </row>
    <row r="5875" spans="1:4" x14ac:dyDescent="0.2">
      <c r="A5875" s="4"/>
      <c r="B5875"/>
      <c r="C5875"/>
      <c r="D5875"/>
    </row>
    <row r="5876" spans="1:4" x14ac:dyDescent="0.2">
      <c r="A5876" s="4"/>
      <c r="B5876"/>
      <c r="C5876"/>
      <c r="D5876"/>
    </row>
    <row r="5877" spans="1:4" x14ac:dyDescent="0.2">
      <c r="A5877" s="4"/>
      <c r="B5877"/>
      <c r="C5877"/>
      <c r="D5877"/>
    </row>
    <row r="5878" spans="1:4" x14ac:dyDescent="0.2">
      <c r="A5878" s="4"/>
      <c r="B5878"/>
      <c r="C5878"/>
      <c r="D5878"/>
    </row>
    <row r="5879" spans="1:4" x14ac:dyDescent="0.2">
      <c r="A5879" s="4"/>
      <c r="B5879"/>
      <c r="C5879"/>
      <c r="D5879"/>
    </row>
    <row r="5880" spans="1:4" x14ac:dyDescent="0.2">
      <c r="A5880" s="4"/>
      <c r="B5880"/>
      <c r="C5880"/>
      <c r="D5880"/>
    </row>
    <row r="5881" spans="1:4" x14ac:dyDescent="0.2">
      <c r="A5881" s="4"/>
      <c r="B5881"/>
      <c r="C5881"/>
      <c r="D5881"/>
    </row>
    <row r="5882" spans="1:4" x14ac:dyDescent="0.2">
      <c r="A5882" s="4"/>
      <c r="B5882"/>
      <c r="C5882"/>
      <c r="D5882"/>
    </row>
    <row r="5883" spans="1:4" x14ac:dyDescent="0.2">
      <c r="A5883" s="4"/>
      <c r="B5883"/>
      <c r="C5883"/>
      <c r="D5883"/>
    </row>
    <row r="5884" spans="1:4" x14ac:dyDescent="0.2">
      <c r="A5884" s="4"/>
      <c r="B5884"/>
      <c r="C5884"/>
      <c r="D5884"/>
    </row>
    <row r="5885" spans="1:4" x14ac:dyDescent="0.2">
      <c r="A5885" s="4"/>
      <c r="B5885"/>
      <c r="C5885"/>
      <c r="D5885"/>
    </row>
    <row r="5886" spans="1:4" x14ac:dyDescent="0.2">
      <c r="A5886" s="4"/>
      <c r="B5886"/>
      <c r="C5886"/>
      <c r="D5886"/>
    </row>
    <row r="5887" spans="1:4" x14ac:dyDescent="0.2">
      <c r="A5887" s="4"/>
      <c r="B5887"/>
      <c r="C5887"/>
      <c r="D5887"/>
    </row>
    <row r="5888" spans="1:4" x14ac:dyDescent="0.2">
      <c r="A5888" s="4"/>
      <c r="B5888"/>
      <c r="C5888"/>
      <c r="D5888"/>
    </row>
    <row r="5889" spans="1:4" x14ac:dyDescent="0.2">
      <c r="A5889" s="4"/>
      <c r="B5889"/>
      <c r="C5889"/>
      <c r="D5889"/>
    </row>
    <row r="5890" spans="1:4" x14ac:dyDescent="0.2">
      <c r="A5890" s="4"/>
      <c r="B5890"/>
      <c r="C5890"/>
      <c r="D5890"/>
    </row>
    <row r="5891" spans="1:4" x14ac:dyDescent="0.2">
      <c r="A5891" s="4"/>
      <c r="B5891"/>
      <c r="C5891"/>
      <c r="D5891"/>
    </row>
    <row r="5892" spans="1:4" x14ac:dyDescent="0.2">
      <c r="A5892" s="4"/>
      <c r="B5892"/>
      <c r="C5892"/>
      <c r="D5892"/>
    </row>
    <row r="5893" spans="1:4" x14ac:dyDescent="0.2">
      <c r="A5893" s="4"/>
      <c r="B5893"/>
      <c r="C5893"/>
      <c r="D5893"/>
    </row>
    <row r="5894" spans="1:4" x14ac:dyDescent="0.2">
      <c r="A5894" s="4"/>
      <c r="B5894"/>
      <c r="C5894"/>
      <c r="D5894"/>
    </row>
    <row r="5895" spans="1:4" x14ac:dyDescent="0.2">
      <c r="A5895" s="4"/>
      <c r="B5895"/>
      <c r="C5895"/>
      <c r="D5895"/>
    </row>
    <row r="5896" spans="1:4" x14ac:dyDescent="0.2">
      <c r="A5896" s="4"/>
      <c r="B5896"/>
      <c r="C5896"/>
      <c r="D5896"/>
    </row>
    <row r="5897" spans="1:4" x14ac:dyDescent="0.2">
      <c r="A5897" s="4"/>
      <c r="B5897"/>
      <c r="C5897"/>
      <c r="D5897"/>
    </row>
    <row r="5898" spans="1:4" x14ac:dyDescent="0.2">
      <c r="A5898" s="4"/>
      <c r="B5898"/>
      <c r="C5898"/>
      <c r="D5898"/>
    </row>
    <row r="5899" spans="1:4" x14ac:dyDescent="0.2">
      <c r="A5899" s="4"/>
      <c r="B5899"/>
      <c r="C5899"/>
      <c r="D5899"/>
    </row>
    <row r="5900" spans="1:4" x14ac:dyDescent="0.2">
      <c r="A5900" s="4"/>
      <c r="B5900"/>
      <c r="C5900"/>
      <c r="D5900"/>
    </row>
    <row r="5901" spans="1:4" x14ac:dyDescent="0.2">
      <c r="A5901" s="4"/>
      <c r="B5901"/>
      <c r="C5901"/>
      <c r="D5901"/>
    </row>
    <row r="5902" spans="1:4" x14ac:dyDescent="0.2">
      <c r="A5902" s="4"/>
      <c r="B5902"/>
      <c r="C5902"/>
      <c r="D5902"/>
    </row>
    <row r="5903" spans="1:4" x14ac:dyDescent="0.2">
      <c r="A5903" s="4"/>
      <c r="B5903"/>
      <c r="C5903"/>
      <c r="D5903"/>
    </row>
    <row r="5904" spans="1:4" x14ac:dyDescent="0.2">
      <c r="A5904" s="4"/>
      <c r="B5904"/>
      <c r="C5904"/>
      <c r="D5904"/>
    </row>
    <row r="5905" spans="1:4" x14ac:dyDescent="0.2">
      <c r="A5905" s="4"/>
      <c r="B5905"/>
      <c r="C5905"/>
      <c r="D5905"/>
    </row>
    <row r="5906" spans="1:4" x14ac:dyDescent="0.2">
      <c r="A5906" s="4"/>
      <c r="B5906"/>
      <c r="C5906"/>
      <c r="D5906"/>
    </row>
    <row r="5907" spans="1:4" x14ac:dyDescent="0.2">
      <c r="A5907" s="4"/>
      <c r="B5907"/>
      <c r="C5907"/>
      <c r="D5907"/>
    </row>
    <row r="5908" spans="1:4" x14ac:dyDescent="0.2">
      <c r="A5908" s="4"/>
      <c r="B5908"/>
      <c r="C5908"/>
      <c r="D5908"/>
    </row>
    <row r="5909" spans="1:4" x14ac:dyDescent="0.2">
      <c r="A5909" s="4"/>
      <c r="B5909"/>
      <c r="C5909"/>
      <c r="D5909"/>
    </row>
    <row r="5910" spans="1:4" x14ac:dyDescent="0.2">
      <c r="A5910" s="4"/>
      <c r="B5910"/>
      <c r="C5910"/>
      <c r="D5910"/>
    </row>
    <row r="5911" spans="1:4" x14ac:dyDescent="0.2">
      <c r="A5911" s="4"/>
      <c r="B5911"/>
      <c r="C5911"/>
      <c r="D5911"/>
    </row>
    <row r="5912" spans="1:4" x14ac:dyDescent="0.2">
      <c r="A5912" s="4"/>
      <c r="B5912"/>
      <c r="C5912"/>
      <c r="D5912"/>
    </row>
    <row r="5913" spans="1:4" x14ac:dyDescent="0.2">
      <c r="A5913" s="4"/>
      <c r="B5913"/>
      <c r="C5913"/>
      <c r="D5913"/>
    </row>
    <row r="5914" spans="1:4" x14ac:dyDescent="0.2">
      <c r="A5914" s="4"/>
      <c r="B5914"/>
      <c r="C5914"/>
      <c r="D5914"/>
    </row>
    <row r="5915" spans="1:4" x14ac:dyDescent="0.2">
      <c r="A5915" s="4"/>
      <c r="B5915"/>
      <c r="C5915"/>
      <c r="D5915"/>
    </row>
    <row r="5916" spans="1:4" x14ac:dyDescent="0.2">
      <c r="A5916" s="4"/>
      <c r="B5916"/>
      <c r="C5916"/>
      <c r="D5916"/>
    </row>
    <row r="5917" spans="1:4" x14ac:dyDescent="0.2">
      <c r="A5917" s="4"/>
      <c r="B5917"/>
      <c r="C5917"/>
      <c r="D5917"/>
    </row>
    <row r="5918" spans="1:4" x14ac:dyDescent="0.2">
      <c r="A5918" s="4"/>
      <c r="B5918"/>
      <c r="C5918"/>
      <c r="D5918"/>
    </row>
    <row r="5919" spans="1:4" x14ac:dyDescent="0.2">
      <c r="A5919" s="4"/>
      <c r="B5919"/>
      <c r="C5919"/>
      <c r="D5919"/>
    </row>
    <row r="5920" spans="1:4" x14ac:dyDescent="0.2">
      <c r="A5920" s="4"/>
      <c r="B5920"/>
      <c r="C5920"/>
      <c r="D5920"/>
    </row>
    <row r="5921" spans="1:4" x14ac:dyDescent="0.2">
      <c r="A5921" s="4"/>
      <c r="B5921"/>
      <c r="C5921"/>
      <c r="D5921"/>
    </row>
    <row r="5922" spans="1:4" x14ac:dyDescent="0.2">
      <c r="A5922" s="4"/>
      <c r="B5922"/>
      <c r="C5922"/>
      <c r="D5922"/>
    </row>
    <row r="5923" spans="1:4" x14ac:dyDescent="0.2">
      <c r="A5923" s="4"/>
      <c r="B5923"/>
      <c r="C5923"/>
      <c r="D5923"/>
    </row>
    <row r="5924" spans="1:4" x14ac:dyDescent="0.2">
      <c r="A5924" s="4"/>
      <c r="B5924"/>
      <c r="C5924"/>
      <c r="D5924"/>
    </row>
    <row r="5925" spans="1:4" x14ac:dyDescent="0.2">
      <c r="A5925" s="4"/>
      <c r="B5925"/>
      <c r="C5925"/>
      <c r="D5925"/>
    </row>
    <row r="5926" spans="1:4" x14ac:dyDescent="0.2">
      <c r="A5926" s="4"/>
      <c r="B5926"/>
      <c r="C5926"/>
      <c r="D5926"/>
    </row>
    <row r="5927" spans="1:4" x14ac:dyDescent="0.2">
      <c r="A5927" s="4"/>
      <c r="B5927"/>
      <c r="C5927"/>
      <c r="D5927"/>
    </row>
    <row r="5928" spans="1:4" x14ac:dyDescent="0.2">
      <c r="A5928" s="4"/>
      <c r="B5928"/>
      <c r="C5928"/>
      <c r="D5928"/>
    </row>
    <row r="5929" spans="1:4" x14ac:dyDescent="0.2">
      <c r="A5929" s="4"/>
      <c r="B5929"/>
      <c r="C5929"/>
      <c r="D5929"/>
    </row>
    <row r="5930" spans="1:4" x14ac:dyDescent="0.2">
      <c r="A5930" s="4"/>
      <c r="B5930"/>
      <c r="C5930"/>
      <c r="D5930"/>
    </row>
    <row r="5931" spans="1:4" x14ac:dyDescent="0.2">
      <c r="A5931" s="4"/>
      <c r="B5931"/>
      <c r="C5931"/>
      <c r="D5931"/>
    </row>
    <row r="5932" spans="1:4" x14ac:dyDescent="0.2">
      <c r="A5932" s="4"/>
      <c r="B5932"/>
      <c r="C5932"/>
      <c r="D5932"/>
    </row>
    <row r="5933" spans="1:4" x14ac:dyDescent="0.2">
      <c r="A5933" s="4"/>
      <c r="B5933"/>
      <c r="C5933"/>
      <c r="D5933"/>
    </row>
    <row r="5934" spans="1:4" x14ac:dyDescent="0.2">
      <c r="A5934" s="4"/>
      <c r="B5934"/>
      <c r="C5934"/>
      <c r="D5934"/>
    </row>
    <row r="5935" spans="1:4" x14ac:dyDescent="0.2">
      <c r="A5935" s="4"/>
      <c r="B5935"/>
      <c r="C5935"/>
      <c r="D5935"/>
    </row>
    <row r="5936" spans="1:4" x14ac:dyDescent="0.2">
      <c r="A5936" s="4"/>
      <c r="B5936"/>
      <c r="C5936"/>
      <c r="D5936"/>
    </row>
    <row r="5937" spans="1:4" x14ac:dyDescent="0.2">
      <c r="A5937" s="4"/>
      <c r="B5937"/>
      <c r="C5937"/>
      <c r="D5937"/>
    </row>
    <row r="5938" spans="1:4" x14ac:dyDescent="0.2">
      <c r="A5938" s="4"/>
      <c r="B5938"/>
      <c r="C5938"/>
      <c r="D5938"/>
    </row>
    <row r="5939" spans="1:4" x14ac:dyDescent="0.2">
      <c r="A5939" s="4"/>
      <c r="B5939"/>
      <c r="C5939"/>
      <c r="D5939"/>
    </row>
    <row r="5940" spans="1:4" x14ac:dyDescent="0.2">
      <c r="A5940" s="4"/>
      <c r="B5940"/>
      <c r="C5940"/>
      <c r="D5940"/>
    </row>
    <row r="5941" spans="1:4" x14ac:dyDescent="0.2">
      <c r="A5941" s="4"/>
      <c r="B5941"/>
      <c r="C5941"/>
      <c r="D5941"/>
    </row>
    <row r="5942" spans="1:4" x14ac:dyDescent="0.2">
      <c r="A5942" s="4"/>
      <c r="B5942"/>
      <c r="C5942"/>
      <c r="D5942"/>
    </row>
    <row r="5943" spans="1:4" x14ac:dyDescent="0.2">
      <c r="A5943" s="4"/>
      <c r="B5943"/>
      <c r="C5943"/>
      <c r="D5943"/>
    </row>
    <row r="5944" spans="1:4" x14ac:dyDescent="0.2">
      <c r="A5944" s="4"/>
      <c r="B5944"/>
      <c r="C5944"/>
      <c r="D5944"/>
    </row>
    <row r="5945" spans="1:4" x14ac:dyDescent="0.2">
      <c r="A5945" s="4"/>
      <c r="B5945"/>
      <c r="C5945"/>
      <c r="D5945"/>
    </row>
    <row r="5946" spans="1:4" x14ac:dyDescent="0.2">
      <c r="A5946" s="4"/>
      <c r="B5946"/>
      <c r="C5946"/>
      <c r="D5946"/>
    </row>
    <row r="5947" spans="1:4" x14ac:dyDescent="0.2">
      <c r="A5947" s="4"/>
      <c r="B5947"/>
      <c r="C5947"/>
      <c r="D5947"/>
    </row>
    <row r="5948" spans="1:4" x14ac:dyDescent="0.2">
      <c r="A5948" s="4"/>
      <c r="B5948"/>
      <c r="C5948"/>
      <c r="D5948"/>
    </row>
    <row r="5949" spans="1:4" x14ac:dyDescent="0.2">
      <c r="A5949" s="4"/>
      <c r="B5949"/>
      <c r="C5949"/>
      <c r="D5949"/>
    </row>
    <row r="5950" spans="1:4" x14ac:dyDescent="0.2">
      <c r="A5950" s="4"/>
      <c r="B5950"/>
      <c r="C5950"/>
      <c r="D5950"/>
    </row>
    <row r="5951" spans="1:4" x14ac:dyDescent="0.2">
      <c r="A5951" s="4"/>
      <c r="B5951"/>
      <c r="C5951"/>
      <c r="D5951"/>
    </row>
    <row r="5952" spans="1:4" x14ac:dyDescent="0.2">
      <c r="A5952" s="4"/>
      <c r="B5952"/>
      <c r="C5952"/>
      <c r="D5952"/>
    </row>
    <row r="5953" spans="1:4" x14ac:dyDescent="0.2">
      <c r="A5953" s="4"/>
      <c r="B5953"/>
      <c r="C5953"/>
      <c r="D5953"/>
    </row>
    <row r="5954" spans="1:4" x14ac:dyDescent="0.2">
      <c r="A5954" s="4"/>
      <c r="B5954"/>
      <c r="C5954"/>
      <c r="D5954"/>
    </row>
    <row r="5955" spans="1:4" x14ac:dyDescent="0.2">
      <c r="A5955" s="4"/>
      <c r="B5955"/>
      <c r="C5955"/>
      <c r="D5955"/>
    </row>
    <row r="5956" spans="1:4" x14ac:dyDescent="0.2">
      <c r="A5956" s="4"/>
      <c r="B5956"/>
      <c r="C5956"/>
      <c r="D5956"/>
    </row>
    <row r="5957" spans="1:4" x14ac:dyDescent="0.2">
      <c r="A5957" s="4"/>
      <c r="B5957"/>
      <c r="C5957"/>
      <c r="D5957"/>
    </row>
    <row r="5958" spans="1:4" x14ac:dyDescent="0.2">
      <c r="A5958" s="4"/>
      <c r="B5958"/>
      <c r="C5958"/>
      <c r="D5958"/>
    </row>
    <row r="5959" spans="1:4" x14ac:dyDescent="0.2">
      <c r="A5959" s="4"/>
      <c r="B5959"/>
      <c r="C5959"/>
      <c r="D5959"/>
    </row>
    <row r="5960" spans="1:4" x14ac:dyDescent="0.2">
      <c r="A5960" s="4"/>
      <c r="B5960"/>
      <c r="C5960"/>
      <c r="D5960"/>
    </row>
    <row r="5961" spans="1:4" x14ac:dyDescent="0.2">
      <c r="A5961" s="4"/>
      <c r="B5961"/>
      <c r="C5961"/>
      <c r="D5961"/>
    </row>
    <row r="5962" spans="1:4" x14ac:dyDescent="0.2">
      <c r="A5962" s="4"/>
      <c r="B5962"/>
      <c r="C5962"/>
      <c r="D5962"/>
    </row>
    <row r="5963" spans="1:4" x14ac:dyDescent="0.2">
      <c r="A5963" s="4"/>
      <c r="B5963"/>
      <c r="C5963"/>
      <c r="D5963"/>
    </row>
    <row r="5964" spans="1:4" x14ac:dyDescent="0.2">
      <c r="A5964" s="4"/>
      <c r="B5964"/>
      <c r="C5964"/>
      <c r="D5964"/>
    </row>
    <row r="5965" spans="1:4" x14ac:dyDescent="0.2">
      <c r="A5965" s="4"/>
      <c r="B5965"/>
      <c r="C5965"/>
      <c r="D5965"/>
    </row>
    <row r="5966" spans="1:4" x14ac:dyDescent="0.2">
      <c r="A5966" s="4"/>
      <c r="B5966"/>
      <c r="C5966"/>
      <c r="D5966"/>
    </row>
    <row r="5967" spans="1:4" x14ac:dyDescent="0.2">
      <c r="A5967" s="4"/>
      <c r="B5967"/>
      <c r="C5967"/>
      <c r="D5967"/>
    </row>
    <row r="5968" spans="1:4" x14ac:dyDescent="0.2">
      <c r="A5968" s="4"/>
      <c r="B5968"/>
      <c r="C5968"/>
      <c r="D5968"/>
    </row>
    <row r="5969" spans="1:4" x14ac:dyDescent="0.2">
      <c r="A5969" s="4"/>
      <c r="B5969"/>
      <c r="C5969"/>
      <c r="D5969"/>
    </row>
    <row r="5970" spans="1:4" x14ac:dyDescent="0.2">
      <c r="A5970" s="4"/>
      <c r="B5970"/>
      <c r="C5970"/>
      <c r="D5970"/>
    </row>
    <row r="5971" spans="1:4" x14ac:dyDescent="0.2">
      <c r="A5971" s="4"/>
      <c r="B5971"/>
      <c r="C5971"/>
      <c r="D5971"/>
    </row>
    <row r="5972" spans="1:4" x14ac:dyDescent="0.2">
      <c r="A5972" s="4"/>
      <c r="B5972"/>
      <c r="C5972"/>
      <c r="D5972"/>
    </row>
    <row r="5973" spans="1:4" x14ac:dyDescent="0.2">
      <c r="A5973" s="4"/>
      <c r="B5973"/>
      <c r="C5973"/>
      <c r="D5973"/>
    </row>
    <row r="5974" spans="1:4" x14ac:dyDescent="0.2">
      <c r="A5974" s="4"/>
      <c r="B5974"/>
      <c r="C5974"/>
      <c r="D5974"/>
    </row>
    <row r="5975" spans="1:4" x14ac:dyDescent="0.2">
      <c r="A5975" s="4"/>
      <c r="B5975"/>
      <c r="C5975"/>
      <c r="D5975"/>
    </row>
    <row r="5976" spans="1:4" x14ac:dyDescent="0.2">
      <c r="A5976" s="4"/>
      <c r="B5976"/>
      <c r="C5976"/>
      <c r="D5976"/>
    </row>
    <row r="5977" spans="1:4" x14ac:dyDescent="0.2">
      <c r="A5977" s="4"/>
      <c r="B5977"/>
      <c r="C5977"/>
      <c r="D5977"/>
    </row>
    <row r="5978" spans="1:4" x14ac:dyDescent="0.2">
      <c r="A5978" s="4"/>
      <c r="B5978"/>
      <c r="C5978"/>
      <c r="D5978"/>
    </row>
    <row r="5979" spans="1:4" x14ac:dyDescent="0.2">
      <c r="A5979" s="4"/>
      <c r="B5979"/>
      <c r="C5979"/>
      <c r="D5979"/>
    </row>
    <row r="5980" spans="1:4" x14ac:dyDescent="0.2">
      <c r="A5980" s="4"/>
      <c r="B5980"/>
      <c r="C5980"/>
      <c r="D5980"/>
    </row>
    <row r="5981" spans="1:4" x14ac:dyDescent="0.2">
      <c r="A5981" s="4"/>
      <c r="B5981"/>
      <c r="C5981"/>
      <c r="D5981"/>
    </row>
    <row r="5982" spans="1:4" x14ac:dyDescent="0.2">
      <c r="A5982" s="4"/>
      <c r="B5982"/>
      <c r="C5982"/>
      <c r="D5982"/>
    </row>
    <row r="5983" spans="1:4" x14ac:dyDescent="0.2">
      <c r="A5983" s="4"/>
      <c r="B5983"/>
      <c r="C5983"/>
      <c r="D5983"/>
    </row>
    <row r="5984" spans="1:4" x14ac:dyDescent="0.2">
      <c r="A5984" s="4"/>
      <c r="B5984"/>
      <c r="C5984"/>
      <c r="D5984"/>
    </row>
    <row r="5985" spans="1:4" x14ac:dyDescent="0.2">
      <c r="A5985" s="4"/>
      <c r="B5985"/>
      <c r="C5985"/>
      <c r="D5985"/>
    </row>
    <row r="5986" spans="1:4" x14ac:dyDescent="0.2">
      <c r="A5986" s="4"/>
      <c r="B5986"/>
      <c r="C5986"/>
      <c r="D5986"/>
    </row>
    <row r="5987" spans="1:4" x14ac:dyDescent="0.2">
      <c r="A5987" s="4"/>
      <c r="B5987"/>
      <c r="C5987"/>
      <c r="D5987"/>
    </row>
    <row r="5988" spans="1:4" x14ac:dyDescent="0.2">
      <c r="A5988" s="4"/>
      <c r="B5988"/>
      <c r="C5988"/>
      <c r="D5988"/>
    </row>
    <row r="5989" spans="1:4" x14ac:dyDescent="0.2">
      <c r="A5989" s="4"/>
      <c r="B5989"/>
      <c r="C5989"/>
      <c r="D5989"/>
    </row>
    <row r="5990" spans="1:4" x14ac:dyDescent="0.2">
      <c r="A5990" s="4"/>
      <c r="B5990"/>
      <c r="C5990"/>
      <c r="D5990"/>
    </row>
    <row r="5991" spans="1:4" x14ac:dyDescent="0.2">
      <c r="A5991" s="4"/>
      <c r="B5991"/>
      <c r="C5991"/>
      <c r="D5991"/>
    </row>
    <row r="5992" spans="1:4" x14ac:dyDescent="0.2">
      <c r="A5992" s="4"/>
      <c r="B5992"/>
      <c r="C5992"/>
      <c r="D5992"/>
    </row>
    <row r="5993" spans="1:4" x14ac:dyDescent="0.2">
      <c r="A5993" s="4"/>
      <c r="B5993"/>
      <c r="C5993"/>
      <c r="D5993"/>
    </row>
    <row r="5994" spans="1:4" x14ac:dyDescent="0.2">
      <c r="A5994" s="4"/>
      <c r="B5994"/>
      <c r="C5994"/>
      <c r="D5994"/>
    </row>
    <row r="5995" spans="1:4" x14ac:dyDescent="0.2">
      <c r="A5995" s="4"/>
      <c r="B5995"/>
      <c r="C5995"/>
      <c r="D5995"/>
    </row>
    <row r="5996" spans="1:4" x14ac:dyDescent="0.2">
      <c r="A5996" s="4"/>
      <c r="B5996"/>
      <c r="C5996"/>
      <c r="D5996"/>
    </row>
    <row r="5997" spans="1:4" x14ac:dyDescent="0.2">
      <c r="A5997" s="4"/>
      <c r="B5997"/>
      <c r="C5997"/>
      <c r="D5997"/>
    </row>
    <row r="5998" spans="1:4" x14ac:dyDescent="0.2">
      <c r="A5998" s="4"/>
      <c r="B5998"/>
      <c r="C5998"/>
      <c r="D5998"/>
    </row>
    <row r="5999" spans="1:4" x14ac:dyDescent="0.2">
      <c r="A5999" s="4"/>
      <c r="B5999"/>
      <c r="C5999"/>
      <c r="D5999"/>
    </row>
    <row r="6000" spans="1:4" x14ac:dyDescent="0.2">
      <c r="A6000" s="4"/>
      <c r="B6000"/>
      <c r="C6000"/>
      <c r="D6000"/>
    </row>
    <row r="6001" spans="1:4" x14ac:dyDescent="0.2">
      <c r="A6001" s="4"/>
      <c r="B6001"/>
      <c r="C6001"/>
      <c r="D6001"/>
    </row>
    <row r="6002" spans="1:4" x14ac:dyDescent="0.2">
      <c r="A6002" s="4"/>
      <c r="B6002"/>
      <c r="C6002"/>
      <c r="D6002"/>
    </row>
    <row r="6003" spans="1:4" x14ac:dyDescent="0.2">
      <c r="A6003" s="4"/>
      <c r="B6003"/>
      <c r="C6003"/>
      <c r="D6003"/>
    </row>
    <row r="6004" spans="1:4" x14ac:dyDescent="0.2">
      <c r="A6004" s="4"/>
      <c r="B6004"/>
      <c r="C6004"/>
      <c r="D6004"/>
    </row>
    <row r="6005" spans="1:4" x14ac:dyDescent="0.2">
      <c r="A6005" s="4"/>
      <c r="B6005"/>
      <c r="C6005"/>
      <c r="D6005"/>
    </row>
    <row r="6006" spans="1:4" x14ac:dyDescent="0.2">
      <c r="A6006" s="4"/>
      <c r="B6006"/>
      <c r="C6006"/>
      <c r="D6006"/>
    </row>
    <row r="6007" spans="1:4" x14ac:dyDescent="0.2">
      <c r="A6007" s="4"/>
      <c r="B6007"/>
      <c r="C6007"/>
      <c r="D6007"/>
    </row>
    <row r="6008" spans="1:4" x14ac:dyDescent="0.2">
      <c r="A6008" s="4"/>
      <c r="B6008"/>
      <c r="C6008"/>
      <c r="D6008"/>
    </row>
    <row r="6009" spans="1:4" x14ac:dyDescent="0.2">
      <c r="A6009" s="4"/>
      <c r="B6009"/>
      <c r="C6009"/>
      <c r="D6009"/>
    </row>
    <row r="6010" spans="1:4" x14ac:dyDescent="0.2">
      <c r="A6010" s="4"/>
      <c r="B6010"/>
      <c r="C6010"/>
      <c r="D6010"/>
    </row>
    <row r="6011" spans="1:4" x14ac:dyDescent="0.2">
      <c r="A6011" s="4"/>
      <c r="B6011"/>
      <c r="C6011"/>
      <c r="D6011"/>
    </row>
    <row r="6012" spans="1:4" x14ac:dyDescent="0.2">
      <c r="A6012" s="4"/>
      <c r="B6012"/>
      <c r="C6012"/>
      <c r="D6012"/>
    </row>
    <row r="6013" spans="1:4" x14ac:dyDescent="0.2">
      <c r="A6013" s="4"/>
      <c r="B6013"/>
      <c r="C6013"/>
      <c r="D6013"/>
    </row>
    <row r="6014" spans="1:4" x14ac:dyDescent="0.2">
      <c r="A6014" s="4"/>
      <c r="B6014"/>
      <c r="C6014"/>
      <c r="D6014"/>
    </row>
    <row r="6015" spans="1:4" x14ac:dyDescent="0.2">
      <c r="A6015" s="4"/>
      <c r="B6015"/>
      <c r="C6015"/>
      <c r="D6015"/>
    </row>
    <row r="6016" spans="1:4" x14ac:dyDescent="0.2">
      <c r="A6016" s="4"/>
      <c r="B6016"/>
      <c r="C6016"/>
      <c r="D6016"/>
    </row>
    <row r="6017" spans="1:4" x14ac:dyDescent="0.2">
      <c r="A6017" s="4"/>
      <c r="B6017"/>
      <c r="C6017"/>
      <c r="D6017"/>
    </row>
    <row r="6018" spans="1:4" x14ac:dyDescent="0.2">
      <c r="A6018" s="4"/>
      <c r="B6018"/>
      <c r="C6018"/>
      <c r="D6018"/>
    </row>
    <row r="6019" spans="1:4" x14ac:dyDescent="0.2">
      <c r="A6019" s="4"/>
      <c r="B6019"/>
      <c r="C6019"/>
      <c r="D6019"/>
    </row>
    <row r="6020" spans="1:4" x14ac:dyDescent="0.2">
      <c r="A6020" s="4"/>
      <c r="B6020"/>
      <c r="C6020"/>
      <c r="D6020"/>
    </row>
    <row r="6021" spans="1:4" x14ac:dyDescent="0.2">
      <c r="A6021" s="4"/>
      <c r="B6021"/>
      <c r="C6021"/>
      <c r="D6021"/>
    </row>
    <row r="6022" spans="1:4" x14ac:dyDescent="0.2">
      <c r="A6022" s="4"/>
      <c r="B6022"/>
      <c r="C6022"/>
      <c r="D6022"/>
    </row>
    <row r="6023" spans="1:4" x14ac:dyDescent="0.2">
      <c r="A6023" s="4"/>
      <c r="B6023"/>
      <c r="C6023"/>
      <c r="D6023"/>
    </row>
    <row r="6024" spans="1:4" x14ac:dyDescent="0.2">
      <c r="A6024" s="4"/>
      <c r="B6024"/>
      <c r="C6024"/>
      <c r="D6024"/>
    </row>
    <row r="6025" spans="1:4" x14ac:dyDescent="0.2">
      <c r="A6025" s="4"/>
      <c r="B6025"/>
      <c r="C6025"/>
      <c r="D6025"/>
    </row>
    <row r="6026" spans="1:4" x14ac:dyDescent="0.2">
      <c r="A6026" s="4"/>
      <c r="B6026"/>
      <c r="C6026"/>
      <c r="D6026"/>
    </row>
    <row r="6027" spans="1:4" x14ac:dyDescent="0.2">
      <c r="A6027" s="4"/>
      <c r="B6027"/>
      <c r="C6027"/>
      <c r="D6027"/>
    </row>
    <row r="6028" spans="1:4" x14ac:dyDescent="0.2">
      <c r="A6028" s="4"/>
      <c r="B6028"/>
      <c r="C6028"/>
      <c r="D602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E8F02-7B6C-1A47-8552-7ACBBDAEDFB7}">
  <dimension ref="A1:R7911"/>
  <sheetViews>
    <sheetView tabSelected="1" topLeftCell="G2" workbookViewId="0">
      <selection activeCell="R3" sqref="R3"/>
    </sheetView>
  </sheetViews>
  <sheetFormatPr baseColWidth="10" defaultRowHeight="16" x14ac:dyDescent="0.2"/>
  <cols>
    <col min="1" max="1" width="50.5" bestFit="1" customWidth="1"/>
    <col min="2" max="2" width="24.83203125" bestFit="1" customWidth="1"/>
    <col min="3" max="3" width="21" bestFit="1" customWidth="1"/>
    <col min="4" max="4" width="17.5" bestFit="1" customWidth="1"/>
    <col min="5" max="5" width="51" customWidth="1"/>
    <col min="6" max="6" width="52.1640625" customWidth="1"/>
    <col min="7" max="7" width="72" style="1" customWidth="1"/>
    <col min="8" max="8" width="22.33203125" customWidth="1"/>
    <col min="9" max="9" width="27.6640625" customWidth="1"/>
  </cols>
  <sheetData>
    <row r="1" spans="1:18" x14ac:dyDescent="0.2">
      <c r="A1"/>
      <c r="B1"/>
      <c r="C1"/>
      <c r="D1"/>
      <c r="E1" t="s">
        <v>1</v>
      </c>
      <c r="F1" t="s">
        <v>2</v>
      </c>
      <c r="G1" s="1" t="s">
        <v>3</v>
      </c>
      <c r="H1" s="3" t="s">
        <v>4</v>
      </c>
      <c r="I1" t="s">
        <v>5</v>
      </c>
      <c r="J1" t="s">
        <v>6</v>
      </c>
      <c r="K1" t="s">
        <v>7</v>
      </c>
      <c r="L1" t="s">
        <v>8</v>
      </c>
    </row>
    <row r="2" spans="1:18" x14ac:dyDescent="0.2">
      <c r="A2"/>
      <c r="B2"/>
      <c r="C2"/>
      <c r="D2"/>
      <c r="E2" s="2">
        <f>Comuni__2[[#This Row],[Popolazione2011]]/$D$7911</f>
        <v>1.9717255637906467E-3</v>
      </c>
      <c r="F2">
        <f>SUMIFS($D$2:$D$7909, $B$2:$B$7909, "Abruzzo")</f>
        <v>1307309</v>
      </c>
      <c r="G2" s="1">
        <f>Comuni__2[[#This Row],[Popolazione2011]]/Comuni__2[[#This Row],[POPOLAZIONE TOTALE DI OGNI REGIONE (CON FILTRO)]]</f>
        <v>8.9623799729061759E-2</v>
      </c>
      <c r="H2" t="str">
        <f>IF(Comuni__2[[#This Row],[Popolazione2011]]&gt;300000,"MAGGIORE","")</f>
        <v/>
      </c>
      <c r="J2">
        <v>0</v>
      </c>
      <c r="K2">
        <v>0</v>
      </c>
      <c r="L2">
        <v>0</v>
      </c>
      <c r="P2" t="s">
        <v>9</v>
      </c>
      <c r="R2" t="s">
        <v>10</v>
      </c>
    </row>
    <row r="3" spans="1:18" x14ac:dyDescent="0.2">
      <c r="A3"/>
      <c r="B3"/>
      <c r="C3"/>
      <c r="D3"/>
      <c r="E3" s="2">
        <f>Comuni__2[[#This Row],[Popolazione2011]]/$D$7911</f>
        <v>1.1269022639133952E-3</v>
      </c>
      <c r="F3">
        <f>SUMIFS($D$2:$D$7909, $B$2:$B$7909, "Abruzzo")</f>
        <v>1307309</v>
      </c>
      <c r="G3" s="1">
        <f>Comuni__2[[#This Row],[Popolazione2011]]/Comuni__2[[#This Row],[POPOLAZIONE TOTALE DI OGNI REGIONE (CON FILTRO)]]</f>
        <v>5.1222779006340508E-2</v>
      </c>
      <c r="H3" t="str">
        <f>IF(Comuni__2[[#This Row],[Popolazione2011]]&gt;300000,"MAGGIORE","")</f>
        <v/>
      </c>
      <c r="J3">
        <v>0</v>
      </c>
      <c r="K3">
        <v>0</v>
      </c>
      <c r="L3">
        <v>0</v>
      </c>
      <c r="P3">
        <f>SUM(L2:L6028)</f>
        <v>8886032</v>
      </c>
      <c r="R3">
        <f>SUM(K2:K6028)</f>
        <v>56279239</v>
      </c>
    </row>
    <row r="4" spans="1:18" x14ac:dyDescent="0.2">
      <c r="A4"/>
      <c r="B4"/>
      <c r="C4"/>
      <c r="D4"/>
      <c r="E4" s="2">
        <f>Comuni__2[[#This Row],[Popolazione2011]]/$D$7911</f>
        <v>9.1368543571043953E-4</v>
      </c>
      <c r="F4">
        <f>SUMIFS($D$2:$D$7909, $B$2:$B$7909, "Abruzzo")</f>
        <v>1307309</v>
      </c>
      <c r="G4" s="1">
        <f>Comuni__2[[#This Row],[Popolazione2011]]/Comuni__2[[#This Row],[POPOLAZIONE TOTALE DI OGNI REGIONE (CON FILTRO)]]</f>
        <v>4.1531114679085053E-2</v>
      </c>
      <c r="H4" t="str">
        <f>IF(Comuni__2[[#This Row],[Popolazione2011]]&gt;300000,"MAGGIORE","")</f>
        <v/>
      </c>
      <c r="J4">
        <v>0</v>
      </c>
      <c r="K4">
        <v>0</v>
      </c>
      <c r="L4">
        <v>0</v>
      </c>
    </row>
    <row r="5" spans="1:18" x14ac:dyDescent="0.2">
      <c r="A5"/>
      <c r="B5"/>
      <c r="C5"/>
      <c r="D5"/>
      <c r="E5" s="2">
        <f>Comuni__2[[#This Row],[Popolazione2011]]/$D$7911</f>
        <v>8.6639740988168619E-4</v>
      </c>
      <c r="F5">
        <f>SUMIFS($D$2:$D$7909, $B$2:$B$7909, "Abruzzo")</f>
        <v>1307309</v>
      </c>
      <c r="G5" s="1">
        <f>Comuni__2[[#This Row],[Popolazione2011]]/Comuni__2[[#This Row],[POPOLAZIONE TOTALE DI OGNI REGIONE (CON FILTRO)]]</f>
        <v>3.9381661106899744E-2</v>
      </c>
      <c r="H5" t="str">
        <f>IF(Comuni__2[[#This Row],[Popolazione2011]]&gt;300000,"MAGGIORE","")</f>
        <v/>
      </c>
      <c r="J5">
        <v>1</v>
      </c>
      <c r="K5">
        <v>0</v>
      </c>
      <c r="L5">
        <v>0</v>
      </c>
    </row>
    <row r="6" spans="1:18" x14ac:dyDescent="0.2">
      <c r="A6"/>
      <c r="B6"/>
      <c r="C6"/>
      <c r="D6"/>
      <c r="E6" s="2">
        <f>Comuni__2[[#This Row],[Popolazione2011]]/$D$7911</f>
        <v>8.4837410893414354E-4</v>
      </c>
      <c r="F6">
        <f>SUMIFS($D$2:$D$7909, $B$2:$B$7909, "Abruzzo")</f>
        <v>1307309</v>
      </c>
      <c r="G6" s="1">
        <f>Comuni__2[[#This Row],[Popolazione2011]]/Comuni__2[[#This Row],[POPOLAZIONE TOTALE DI OGNI REGIONE (CON FILTRO)]]</f>
        <v>3.8562420973159366E-2</v>
      </c>
      <c r="H6" t="str">
        <f>IF(Comuni__2[[#This Row],[Popolazione2011]]&gt;300000,"MAGGIORE","")</f>
        <v/>
      </c>
      <c r="J6">
        <v>1</v>
      </c>
      <c r="K6">
        <v>0</v>
      </c>
      <c r="L6">
        <v>0</v>
      </c>
    </row>
    <row r="7" spans="1:18" x14ac:dyDescent="0.2">
      <c r="A7"/>
      <c r="B7"/>
      <c r="C7"/>
      <c r="D7"/>
      <c r="E7" s="2">
        <f>Comuni__2[[#This Row],[Popolazione2011]]/$D$7911</f>
        <v>6.8565954603798114E-4</v>
      </c>
      <c r="F7">
        <f>SUMIFS($D$2:$D$7909, $B$2:$B$7909, "Abruzzo")</f>
        <v>1307309</v>
      </c>
      <c r="G7" s="1">
        <f>Comuni__2[[#This Row],[Popolazione2011]]/Comuni__2[[#This Row],[POPOLAZIONE TOTALE DI OGNI REGIONE (CON FILTRO)]]</f>
        <v>3.1166311866590073E-2</v>
      </c>
      <c r="H7" t="str">
        <f>IF(Comuni__2[[#This Row],[Popolazione2011]]&gt;300000,"MAGGIORE","")</f>
        <v/>
      </c>
      <c r="J7">
        <v>2</v>
      </c>
      <c r="K7">
        <v>0</v>
      </c>
      <c r="L7">
        <v>0</v>
      </c>
    </row>
    <row r="8" spans="1:18" x14ac:dyDescent="0.2">
      <c r="A8"/>
      <c r="B8"/>
      <c r="C8"/>
      <c r="D8"/>
      <c r="E8" s="2">
        <f>Comuni__2[[#This Row],[Popolazione2011]]/$D$7911</f>
        <v>6.5205307358957528E-4</v>
      </c>
      <c r="F8">
        <f>SUMIFS($D$2:$D$7909, $B$2:$B$7909, "Abruzzo")</f>
        <v>1307309</v>
      </c>
      <c r="G8" s="1">
        <f>Comuni__2[[#This Row],[Popolazione2011]]/Comuni__2[[#This Row],[POPOLAZIONE TOTALE DI OGNI REGIONE (CON FILTRO)]]</f>
        <v>2.9638746463154463E-2</v>
      </c>
      <c r="H8" t="str">
        <f>IF(Comuni__2[[#This Row],[Popolazione2011]]&gt;300000,"MAGGIORE","")</f>
        <v/>
      </c>
      <c r="J8">
        <v>3</v>
      </c>
      <c r="K8">
        <v>0</v>
      </c>
      <c r="L8">
        <v>0</v>
      </c>
    </row>
    <row r="9" spans="1:18" x14ac:dyDescent="0.2">
      <c r="A9"/>
      <c r="B9"/>
      <c r="C9"/>
      <c r="D9"/>
      <c r="E9" s="2">
        <f>Comuni__2[[#This Row],[Popolazione2011]]/$D$7911</f>
        <v>6.0449579209774008E-4</v>
      </c>
      <c r="F9">
        <f>SUMIFS($D$2:$D$7909, $B$2:$B$7909, "Abruzzo")</f>
        <v>1307309</v>
      </c>
      <c r="G9" s="1">
        <f>Comuni__2[[#This Row],[Popolazione2011]]/Comuni__2[[#This Row],[POPOLAZIONE TOTALE DI OGNI REGIONE (CON FILTRO)]]</f>
        <v>2.7477054009419348E-2</v>
      </c>
      <c r="H9" t="str">
        <f>IF(Comuni__2[[#This Row],[Popolazione2011]]&gt;300000,"MAGGIORE","")</f>
        <v/>
      </c>
      <c r="J9">
        <v>3</v>
      </c>
      <c r="K9">
        <v>0</v>
      </c>
      <c r="L9">
        <v>0</v>
      </c>
    </row>
    <row r="10" spans="1:18" x14ac:dyDescent="0.2">
      <c r="A10"/>
      <c r="B10"/>
      <c r="C10"/>
      <c r="D10"/>
      <c r="E10" s="2">
        <f>Comuni__2[[#This Row],[Popolazione2011]]/$D$7911</f>
        <v>4.1970226482886439E-4</v>
      </c>
      <c r="F10">
        <f>SUMIFS($D$2:$D$7909, $B$2:$B$7909, "Abruzzo")</f>
        <v>1307309</v>
      </c>
      <c r="G10" s="1">
        <f>Comuni__2[[#This Row],[Popolazione2011]]/Comuni__2[[#This Row],[POPOLAZIONE TOTALE DI OGNI REGIONE (CON FILTRO)]]</f>
        <v>1.9077356615765668E-2</v>
      </c>
      <c r="H10" t="str">
        <f>IF(Comuni__2[[#This Row],[Popolazione2011]]&gt;300000,"MAGGIORE","")</f>
        <v/>
      </c>
      <c r="J10">
        <v>5</v>
      </c>
      <c r="K10">
        <v>0</v>
      </c>
      <c r="L10">
        <v>0</v>
      </c>
    </row>
    <row r="11" spans="1:18" x14ac:dyDescent="0.2">
      <c r="A11"/>
      <c r="B11"/>
      <c r="C11"/>
      <c r="D11"/>
      <c r="E11" s="2">
        <f>Comuni__2[[#This Row],[Popolazione2011]]/$D$7911</f>
        <v>4.0851132633202419E-4</v>
      </c>
      <c r="F11">
        <f>SUMIFS($D$2:$D$7909, $B$2:$B$7909, "Abruzzo")</f>
        <v>1307309</v>
      </c>
      <c r="G11" s="1">
        <f>Comuni__2[[#This Row],[Popolazione2011]]/Comuni__2[[#This Row],[POPOLAZIONE TOTALE DI OGNI REGIONE (CON FILTRO)]]</f>
        <v>1.8568678101351706E-2</v>
      </c>
      <c r="H11" t="str">
        <f>IF(Comuni__2[[#This Row],[Popolazione2011]]&gt;300000,"MAGGIORE","")</f>
        <v/>
      </c>
      <c r="J11">
        <v>7</v>
      </c>
      <c r="K11">
        <v>0</v>
      </c>
      <c r="L11">
        <v>0</v>
      </c>
    </row>
    <row r="12" spans="1:18" x14ac:dyDescent="0.2">
      <c r="A12"/>
      <c r="B12"/>
      <c r="C12"/>
      <c r="D12"/>
      <c r="E12" s="2">
        <f>Comuni__2[[#This Row],[Popolazione2011]]/$D$7911</f>
        <v>4.0078705449736305E-4</v>
      </c>
      <c r="F12">
        <f>SUMIFS($D$2:$D$7909, $B$2:$B$7909, "Abruzzo")</f>
        <v>1307309</v>
      </c>
      <c r="G12" s="1">
        <f>Comuni__2[[#This Row],[Popolazione2011]]/Comuni__2[[#This Row],[POPOLAZIONE TOTALE DI OGNI REGIONE (CON FILTRO)]]</f>
        <v>1.8217575186891547E-2</v>
      </c>
      <c r="H12" t="str">
        <f>IF(Comuni__2[[#This Row],[Popolazione2011]]&gt;300000,"MAGGIORE","")</f>
        <v/>
      </c>
      <c r="J12">
        <v>8</v>
      </c>
      <c r="K12">
        <v>0</v>
      </c>
      <c r="L12">
        <v>0</v>
      </c>
    </row>
    <row r="13" spans="1:18" x14ac:dyDescent="0.2">
      <c r="A13"/>
      <c r="B13"/>
      <c r="C13"/>
      <c r="D13"/>
      <c r="E13" s="2">
        <f>Comuni__2[[#This Row],[Popolazione2011]]/$D$7911</f>
        <v>3.9420711923079986E-4</v>
      </c>
      <c r="F13">
        <f>SUMIFS($D$2:$D$7909, $B$2:$B$7909, "Abruzzo")</f>
        <v>1307309</v>
      </c>
      <c r="G13" s="1">
        <f>Comuni__2[[#This Row],[Popolazione2011]]/Comuni__2[[#This Row],[POPOLAZIONE TOTALE DI OGNI REGIONE (CON FILTRO)]]</f>
        <v>1.7918487519018075E-2</v>
      </c>
      <c r="H13" t="str">
        <f>IF(Comuni__2[[#This Row],[Popolazione2011]]&gt;300000,"MAGGIORE","")</f>
        <v/>
      </c>
      <c r="J13">
        <v>9</v>
      </c>
      <c r="K13">
        <v>0</v>
      </c>
      <c r="L13">
        <v>0</v>
      </c>
    </row>
    <row r="14" spans="1:18" x14ac:dyDescent="0.2">
      <c r="A14"/>
      <c r="B14"/>
      <c r="C14"/>
      <c r="D14"/>
      <c r="E14" s="2">
        <f>Comuni__2[[#This Row],[Popolazione2011]]/$D$7911</f>
        <v>3.9040388298976843E-4</v>
      </c>
      <c r="F14">
        <f>SUMIFS($D$2:$D$7909, $B$2:$B$7909, "Abruzzo")</f>
        <v>1307309</v>
      </c>
      <c r="G14" s="1">
        <f>Comuni__2[[#This Row],[Popolazione2011]]/Comuni__2[[#This Row],[POPOLAZIONE TOTALE DI OGNI REGIONE (CON FILTRO)]]</f>
        <v>1.7745613317127016E-2</v>
      </c>
      <c r="H14" t="str">
        <f>IF(Comuni__2[[#This Row],[Popolazione2011]]&gt;300000,"MAGGIORE","")</f>
        <v/>
      </c>
      <c r="J14">
        <v>11</v>
      </c>
      <c r="K14">
        <v>0</v>
      </c>
      <c r="L14">
        <v>0</v>
      </c>
    </row>
    <row r="15" spans="1:18" x14ac:dyDescent="0.2">
      <c r="A15"/>
      <c r="B15"/>
      <c r="C15"/>
      <c r="D15"/>
      <c r="E15" s="2">
        <f>Comuni__2[[#This Row],[Popolazione2011]]/$D$7911</f>
        <v>3.1718317111044251E-4</v>
      </c>
      <c r="F15">
        <f>SUMIFS($D$2:$D$7909, $B$2:$B$7909, "Abruzzo")</f>
        <v>1307309</v>
      </c>
      <c r="G15" s="1">
        <f>Comuni__2[[#This Row],[Popolazione2011]]/Comuni__2[[#This Row],[POPOLAZIONE TOTALE DI OGNI REGIONE (CON FILTRO)]]</f>
        <v>1.4417402465675674E-2</v>
      </c>
      <c r="H15" t="str">
        <f>IF(Comuni__2[[#This Row],[Popolazione2011]]&gt;300000,"MAGGIORE","")</f>
        <v/>
      </c>
      <c r="J15">
        <v>14</v>
      </c>
      <c r="K15">
        <v>0</v>
      </c>
      <c r="L15">
        <v>0</v>
      </c>
    </row>
    <row r="16" spans="1:18" x14ac:dyDescent="0.2">
      <c r="A16"/>
      <c r="B16"/>
      <c r="C16"/>
      <c r="D16"/>
      <c r="E16" s="2">
        <f>Comuni__2[[#This Row],[Popolazione2011]]/$D$7911</f>
        <v>3.1243754004862452E-4</v>
      </c>
      <c r="F16">
        <f>SUMIFS($D$2:$D$7909, $B$2:$B$7909, "Abruzzo")</f>
        <v>1307309</v>
      </c>
      <c r="G16" s="1">
        <f>Comuni__2[[#This Row],[Popolazione2011]]/Comuni__2[[#This Row],[POPOLAZIONE TOTALE DI OGNI REGIONE (CON FILTRO)]]</f>
        <v>1.420169217836028E-2</v>
      </c>
      <c r="H16" t="str">
        <f>IF(Comuni__2[[#This Row],[Popolazione2011]]&gt;300000,"MAGGIORE","")</f>
        <v/>
      </c>
      <c r="J16">
        <v>25</v>
      </c>
      <c r="K16">
        <v>0</v>
      </c>
      <c r="L16">
        <v>0</v>
      </c>
    </row>
    <row r="17" spans="1:12" x14ac:dyDescent="0.2">
      <c r="A17"/>
      <c r="B17"/>
      <c r="C17"/>
      <c r="D17"/>
      <c r="E17" s="2">
        <f>Comuni__2[[#This Row],[Popolazione2011]]/$D$7911</f>
        <v>2.6057216794747937E-4</v>
      </c>
      <c r="F17">
        <f>SUMIFS($D$2:$D$7909, $B$2:$B$7909, "Abruzzo")</f>
        <v>1307309</v>
      </c>
      <c r="G17" s="1">
        <f>Comuni__2[[#This Row],[Popolazione2011]]/Comuni__2[[#This Row],[POPOLAZIONE TOTALE DI OGNI REGIONE (CON FILTRO)]]</f>
        <v>1.1844177619828212E-2</v>
      </c>
      <c r="H17" t="str">
        <f>IF(Comuni__2[[#This Row],[Popolazione2011]]&gt;300000,"MAGGIORE","")</f>
        <v/>
      </c>
      <c r="J17">
        <v>26</v>
      </c>
      <c r="K17">
        <v>0</v>
      </c>
      <c r="L17">
        <v>1</v>
      </c>
    </row>
    <row r="18" spans="1:12" x14ac:dyDescent="0.2">
      <c r="A18"/>
      <c r="B18"/>
      <c r="C18"/>
      <c r="D18"/>
      <c r="E18" s="2">
        <f>Comuni__2[[#This Row],[Popolazione2011]]/$D$7911</f>
        <v>2.5917540419524222E-4</v>
      </c>
      <c r="F18">
        <f>SUMIFS($D$2:$D$7909, $B$2:$B$7909, "Abruzzo")</f>
        <v>1307309</v>
      </c>
      <c r="G18" s="1">
        <f>Comuni__2[[#This Row],[Popolazione2011]]/Comuni__2[[#This Row],[POPOLAZIONE TOTALE DI OGNI REGIONE (CON FILTRO)]]</f>
        <v>1.1780688421788576E-2</v>
      </c>
      <c r="H18" t="str">
        <f>IF(Comuni__2[[#This Row],[Popolazione2011]]&gt;300000,"MAGGIORE","")</f>
        <v/>
      </c>
      <c r="J18">
        <v>26</v>
      </c>
      <c r="K18">
        <v>0</v>
      </c>
      <c r="L18">
        <v>1</v>
      </c>
    </row>
    <row r="19" spans="1:12" x14ac:dyDescent="0.2">
      <c r="A19"/>
      <c r="B19"/>
      <c r="C19"/>
      <c r="D19"/>
      <c r="E19" s="2">
        <f>Comuni__2[[#This Row],[Popolazione2011]]/$D$7911</f>
        <v>2.4621747540942723E-4</v>
      </c>
      <c r="F19">
        <f>SUMIFS($D$2:$D$7909, $B$2:$B$7909, "Abruzzo")</f>
        <v>1307309</v>
      </c>
      <c r="G19" s="1">
        <f>Comuni__2[[#This Row],[Popolazione2011]]/Comuni__2[[#This Row],[POPOLAZIONE TOTALE DI OGNI REGIONE (CON FILTRO)]]</f>
        <v>1.119169224720399E-2</v>
      </c>
      <c r="H19" t="str">
        <f>IF(Comuni__2[[#This Row],[Popolazione2011]]&gt;300000,"MAGGIORE","")</f>
        <v/>
      </c>
      <c r="J19">
        <v>59</v>
      </c>
      <c r="K19">
        <v>4</v>
      </c>
      <c r="L19">
        <v>2</v>
      </c>
    </row>
    <row r="20" spans="1:12" x14ac:dyDescent="0.2">
      <c r="A20"/>
      <c r="B20"/>
      <c r="C20"/>
      <c r="D20"/>
      <c r="E20" s="2">
        <f>Comuni__2[[#This Row],[Popolazione2011]]/$D$7911</f>
        <v>2.4197669871588778E-4</v>
      </c>
      <c r="F20">
        <f>SUMIFS($D$2:$D$7909, $B$2:$B$7909, "Abruzzo")</f>
        <v>1307309</v>
      </c>
      <c r="G20" s="1">
        <f>Comuni__2[[#This Row],[Popolazione2011]]/Comuni__2[[#This Row],[POPOLAZIONE TOTALE DI OGNI REGIONE (CON FILTRO)]]</f>
        <v>1.0998929862794488E-2</v>
      </c>
      <c r="H20" t="str">
        <f>IF(Comuni__2[[#This Row],[Popolazione2011]]&gt;300000,"MAGGIORE","")</f>
        <v/>
      </c>
      <c r="J20">
        <v>56</v>
      </c>
      <c r="K20">
        <v>4</v>
      </c>
      <c r="L20">
        <v>2</v>
      </c>
    </row>
    <row r="21" spans="1:12" x14ac:dyDescent="0.2">
      <c r="A21"/>
      <c r="B21"/>
      <c r="C21"/>
      <c r="D21"/>
      <c r="E21" s="2">
        <f>Comuni__2[[#This Row],[Popolazione2011]]/$D$7911</f>
        <v>2.1427702237634041E-4</v>
      </c>
      <c r="F21">
        <f>SUMIFS($D$2:$D$7909, $B$2:$B$7909, "Abruzzo")</f>
        <v>1307309</v>
      </c>
      <c r="G21" s="1">
        <f>Comuni__2[[#This Row],[Popolazione2011]]/Comuni__2[[#This Row],[POPOLAZIONE TOTALE DI OGNI REGIONE (CON FILTRO)]]</f>
        <v>9.7398549233578286E-3</v>
      </c>
      <c r="H21" t="str">
        <f>IF(Comuni__2[[#This Row],[Popolazione2011]]&gt;300000,"MAGGIORE","")</f>
        <v/>
      </c>
      <c r="J21">
        <v>65</v>
      </c>
      <c r="K21">
        <v>4</v>
      </c>
      <c r="L21">
        <v>2</v>
      </c>
    </row>
    <row r="22" spans="1:12" x14ac:dyDescent="0.2">
      <c r="A22"/>
      <c r="B22"/>
      <c r="C22"/>
      <c r="D22"/>
      <c r="E22" s="2">
        <f>Comuni__2[[#This Row],[Popolazione2011]]/$D$7911</f>
        <v>2.1400776671325856E-4</v>
      </c>
      <c r="F22">
        <f>SUMIFS($D$2:$D$7909, $B$2:$B$7909, "Abruzzo")</f>
        <v>1307309</v>
      </c>
      <c r="G22" s="1">
        <f>Comuni__2[[#This Row],[Popolazione2011]]/Comuni__2[[#This Row],[POPOLAZIONE TOTALE DI OGNI REGIONE (CON FILTRO)]]</f>
        <v>9.7276160418080185E-3</v>
      </c>
      <c r="H22" t="str">
        <f>IF(Comuni__2[[#This Row],[Popolazione2011]]&gt;300000,"MAGGIORE","")</f>
        <v/>
      </c>
      <c r="J22">
        <v>100</v>
      </c>
      <c r="K22">
        <v>6</v>
      </c>
      <c r="L22">
        <v>3</v>
      </c>
    </row>
    <row r="23" spans="1:12" x14ac:dyDescent="0.2">
      <c r="A23"/>
      <c r="B23"/>
      <c r="C23"/>
      <c r="D23"/>
      <c r="E23" s="2">
        <f>Comuni__2[[#This Row],[Popolazione2011]]/$D$7911</f>
        <v>1.9462135897136394E-4</v>
      </c>
      <c r="F23">
        <f>SUMIFS($D$2:$D$7909, $B$2:$B$7909, "Abruzzo")</f>
        <v>1307309</v>
      </c>
      <c r="G23" s="1">
        <f>Comuni__2[[#This Row],[Popolazione2011]]/Comuni__2[[#This Row],[POPOLAZIONE TOTALE DI OGNI REGIONE (CON FILTRO)]]</f>
        <v>8.8464165702217303E-3</v>
      </c>
      <c r="H23" t="str">
        <f>IF(Comuni__2[[#This Row],[Popolazione2011]]&gt;300000,"MAGGIORE","")</f>
        <v/>
      </c>
      <c r="J23">
        <v>108</v>
      </c>
      <c r="K23">
        <v>7</v>
      </c>
      <c r="L23">
        <v>4</v>
      </c>
    </row>
    <row r="24" spans="1:12" x14ac:dyDescent="0.2">
      <c r="A24"/>
      <c r="B24"/>
      <c r="C24"/>
      <c r="D24"/>
      <c r="E24" s="2">
        <f>Comuni__2[[#This Row],[Popolazione2011]]/$D$7911</f>
        <v>1.8699805801035849E-4</v>
      </c>
      <c r="F24">
        <f>SUMIFS($D$2:$D$7909, $B$2:$B$7909, "Abruzzo")</f>
        <v>1307309</v>
      </c>
      <c r="G24" s="1">
        <f>Comuni__2[[#This Row],[Popolazione2011]]/Comuni__2[[#This Row],[POPOLAZIONE TOTALE DI OGNI REGIONE (CON FILTRO)]]</f>
        <v>8.4999032363427471E-3</v>
      </c>
      <c r="H24" t="str">
        <f>IF(Comuni__2[[#This Row],[Popolazione2011]]&gt;300000,"MAGGIORE","")</f>
        <v/>
      </c>
      <c r="J24">
        <v>126</v>
      </c>
      <c r="K24">
        <v>7</v>
      </c>
      <c r="L24">
        <v>6</v>
      </c>
    </row>
    <row r="25" spans="1:12" x14ac:dyDescent="0.2">
      <c r="A25"/>
      <c r="B25"/>
      <c r="C25"/>
      <c r="D25"/>
      <c r="E25" s="2">
        <f>Comuni__2[[#This Row],[Popolazione2011]]/$D$7911</f>
        <v>1.8221876999065532E-4</v>
      </c>
      <c r="F25">
        <f>SUMIFS($D$2:$D$7909, $B$2:$B$7909, "Abruzzo")</f>
        <v>1307309</v>
      </c>
      <c r="G25" s="1">
        <f>Comuni__2[[#This Row],[Popolazione2011]]/Comuni__2[[#This Row],[POPOLAZIONE TOTALE DI OGNI REGIONE (CON FILTRO)]]</f>
        <v>8.2826630888336271E-3</v>
      </c>
      <c r="H25" t="str">
        <f>IF(Comuni__2[[#This Row],[Popolazione2011]]&gt;300000,"MAGGIORE","")</f>
        <v/>
      </c>
      <c r="J25">
        <v>140</v>
      </c>
      <c r="K25">
        <v>7</v>
      </c>
      <c r="L25">
        <v>7</v>
      </c>
    </row>
    <row r="26" spans="1:12" x14ac:dyDescent="0.2">
      <c r="A26"/>
      <c r="B26"/>
      <c r="C26"/>
      <c r="D26"/>
      <c r="E26" s="2">
        <f>Comuni__2[[#This Row],[Popolazione2011]]/$D$7911</f>
        <v>1.8109126190149998E-4</v>
      </c>
      <c r="F26">
        <f>SUMIFS($D$2:$D$7909, $B$2:$B$7909, "Abruzzo")</f>
        <v>1307309</v>
      </c>
      <c r="G26" s="1">
        <f>Comuni__2[[#This Row],[Popolazione2011]]/Comuni__2[[#This Row],[POPOLAZIONE TOTALE DI OGNI REGIONE (CON FILTRO)]]</f>
        <v>8.2314127723437987E-3</v>
      </c>
      <c r="H26" t="str">
        <f>IF(Comuni__2[[#This Row],[Popolazione2011]]&gt;300000,"MAGGIORE","")</f>
        <v/>
      </c>
      <c r="J26">
        <v>228</v>
      </c>
      <c r="K26">
        <v>8</v>
      </c>
      <c r="L26">
        <v>11</v>
      </c>
    </row>
    <row r="27" spans="1:12" x14ac:dyDescent="0.2">
      <c r="A27"/>
      <c r="B27"/>
      <c r="C27"/>
      <c r="D27"/>
      <c r="E27" s="2">
        <f>Comuni__2[[#This Row],[Popolazione2011]]/$D$7911</f>
        <v>1.7584077647140353E-4</v>
      </c>
      <c r="F27">
        <f>SUMIFS($D$2:$D$7909, $B$2:$B$7909, "Abruzzo")</f>
        <v>1307309</v>
      </c>
      <c r="G27" s="1">
        <f>Comuni__2[[#This Row],[Popolazione2011]]/Comuni__2[[#This Row],[POPOLAZIONE TOTALE DI OGNI REGIONE (CON FILTRO)]]</f>
        <v>7.9927545821225129E-3</v>
      </c>
      <c r="H27" t="str">
        <f>IF(Comuni__2[[#This Row],[Popolazione2011]]&gt;300000,"MAGGIORE","")</f>
        <v/>
      </c>
      <c r="J27">
        <v>238</v>
      </c>
      <c r="K27">
        <v>10</v>
      </c>
      <c r="L27">
        <v>17</v>
      </c>
    </row>
    <row r="28" spans="1:12" x14ac:dyDescent="0.2">
      <c r="A28"/>
      <c r="B28"/>
      <c r="C28"/>
      <c r="D28"/>
      <c r="E28" s="2">
        <f>Comuni__2[[#This Row],[Popolazione2011]]/$D$7911</f>
        <v>1.757229771188052E-4</v>
      </c>
      <c r="F28">
        <f>SUMIFS($D$2:$D$7909, $B$2:$B$7909, "Abruzzo")</f>
        <v>1307309</v>
      </c>
      <c r="G28" s="1">
        <f>Comuni__2[[#This Row],[Popolazione2011]]/Comuni__2[[#This Row],[POPOLAZIONE TOTALE DI OGNI REGIONE (CON FILTRO)]]</f>
        <v>7.9874000714444705E-3</v>
      </c>
      <c r="H28" t="str">
        <f>IF(Comuni__2[[#This Row],[Popolazione2011]]&gt;300000,"MAGGIORE","")</f>
        <v/>
      </c>
      <c r="J28">
        <v>229</v>
      </c>
      <c r="K28">
        <v>13</v>
      </c>
      <c r="L28">
        <v>22</v>
      </c>
    </row>
    <row r="29" spans="1:12" x14ac:dyDescent="0.2">
      <c r="A29"/>
      <c r="B29"/>
      <c r="C29"/>
      <c r="D29"/>
      <c r="E29" s="2">
        <f>Comuni__2[[#This Row],[Popolazione2011]]/$D$7911</f>
        <v>1.6269773441721975E-4</v>
      </c>
      <c r="F29">
        <f>SUMIFS($D$2:$D$7909, $B$2:$B$7909, "Abruzzo")</f>
        <v>1307309</v>
      </c>
      <c r="G29" s="1">
        <f>Comuni__2[[#This Row],[Popolazione2011]]/Comuni__2[[#This Row],[POPOLAZIONE TOTALE DI OGNI REGIONE (CON FILTRO)]]</f>
        <v>7.3953441764724329E-3</v>
      </c>
      <c r="H29" t="str">
        <f>IF(Comuni__2[[#This Row],[Popolazione2011]]&gt;300000,"MAGGIORE","")</f>
        <v/>
      </c>
      <c r="J29">
        <v>267</v>
      </c>
      <c r="K29">
        <v>15</v>
      </c>
      <c r="L29">
        <v>33</v>
      </c>
    </row>
    <row r="30" spans="1:12" x14ac:dyDescent="0.2">
      <c r="A30"/>
      <c r="B30"/>
      <c r="C30"/>
      <c r="D30"/>
      <c r="E30" s="2">
        <f>Comuni__2[[#This Row],[Popolazione2011]]/$D$7911</f>
        <v>1.5763236225549209E-4</v>
      </c>
      <c r="F30">
        <f>SUMIFS($D$2:$D$7909, $B$2:$B$7909, "Abruzzo")</f>
        <v>1307309</v>
      </c>
      <c r="G30" s="1">
        <f>Comuni__2[[#This Row],[Popolazione2011]]/Comuni__2[[#This Row],[POPOLAZIONE TOTALE DI OGNI REGIONE (CON FILTRO)]]</f>
        <v>7.1651002173166401E-3</v>
      </c>
      <c r="H30" t="str">
        <f>IF(Comuni__2[[#This Row],[Popolazione2011]]&gt;300000,"MAGGIORE","")</f>
        <v/>
      </c>
      <c r="J30">
        <v>280</v>
      </c>
      <c r="K30">
        <v>20</v>
      </c>
      <c r="L30">
        <v>38</v>
      </c>
    </row>
    <row r="31" spans="1:12" x14ac:dyDescent="0.2">
      <c r="A31"/>
      <c r="B31"/>
      <c r="C31"/>
      <c r="D31"/>
      <c r="E31" s="2">
        <f>Comuni__2[[#This Row],[Popolazione2011]]/$D$7911</f>
        <v>1.5568025869814854E-4</v>
      </c>
      <c r="F31">
        <f>SUMIFS($D$2:$D$7909, $B$2:$B$7909, "Abruzzo")</f>
        <v>1307309</v>
      </c>
      <c r="G31" s="1">
        <f>Comuni__2[[#This Row],[Popolazione2011]]/Comuni__2[[#This Row],[POPOLAZIONE TOTALE DI OGNI REGIONE (CON FILTRO)]]</f>
        <v>7.0763683260805215E-3</v>
      </c>
      <c r="H31" t="str">
        <f>IF(Comuni__2[[#This Row],[Popolazione2011]]&gt;300000,"MAGGIORE","")</f>
        <v/>
      </c>
      <c r="J31">
        <v>291</v>
      </c>
      <c r="K31">
        <v>21</v>
      </c>
      <c r="L31">
        <v>46</v>
      </c>
    </row>
    <row r="32" spans="1:12" x14ac:dyDescent="0.2">
      <c r="A32"/>
      <c r="B32"/>
      <c r="C32"/>
      <c r="D32"/>
      <c r="E32" s="2">
        <f>Comuni__2[[#This Row],[Popolazione2011]]/$D$7911</f>
        <v>1.4198187683885842E-4</v>
      </c>
      <c r="F32">
        <f>SUMIFS($D$2:$D$7909, $B$2:$B$7909, "Abruzzo")</f>
        <v>1307309</v>
      </c>
      <c r="G32" s="1">
        <f>Comuni__2[[#This Row],[Popolazione2011]]/Comuni__2[[#This Row],[POPOLAZIONE TOTALE DI OGNI REGIONE (CON FILTRO)]]</f>
        <v>6.4537152272339596E-3</v>
      </c>
      <c r="H32" t="str">
        <f>IF(Comuni__2[[#This Row],[Popolazione2011]]&gt;300000,"MAGGIORE","")</f>
        <v/>
      </c>
      <c r="J32">
        <v>307</v>
      </c>
      <c r="K32">
        <v>23</v>
      </c>
      <c r="L32">
        <v>52</v>
      </c>
    </row>
    <row r="33" spans="1:12" x14ac:dyDescent="0.2">
      <c r="A33"/>
      <c r="B33"/>
      <c r="C33"/>
      <c r="D33"/>
      <c r="E33" s="2">
        <f>Comuni__2[[#This Row],[Popolazione2011]]/$D$7911</f>
        <v>1.3801035580840082E-4</v>
      </c>
      <c r="F33">
        <f>SUMIFS($D$2:$D$7909, $B$2:$B$7909, "Abruzzo")</f>
        <v>1307309</v>
      </c>
      <c r="G33" s="1">
        <f>Comuni__2[[#This Row],[Popolazione2011]]/Comuni__2[[#This Row],[POPOLAZIONE TOTALE DI OGNI REGIONE (CON FILTRO)]]</f>
        <v>6.273191724374268E-3</v>
      </c>
      <c r="H33" t="str">
        <f>IF(Comuni__2[[#This Row],[Popolazione2011]]&gt;300000,"MAGGIORE","")</f>
        <v/>
      </c>
      <c r="J33">
        <v>344</v>
      </c>
      <c r="K33">
        <v>23</v>
      </c>
      <c r="L33">
        <v>63</v>
      </c>
    </row>
    <row r="34" spans="1:12" x14ac:dyDescent="0.2">
      <c r="A34"/>
      <c r="B34"/>
      <c r="C34"/>
      <c r="D34"/>
      <c r="E34" s="2">
        <f>Comuni__2[[#This Row],[Popolazione2011]]/$D$7911</f>
        <v>1.3193527491011615E-4</v>
      </c>
      <c r="F34">
        <f>SUMIFS($D$2:$D$7909, $B$2:$B$7909, "Abruzzo")</f>
        <v>1307309</v>
      </c>
      <c r="G34" s="1">
        <f>Comuni__2[[#This Row],[Popolazione2011]]/Comuni__2[[#This Row],[POPOLAZIONE TOTALE DI OGNI REGIONE (CON FILTRO)]]</f>
        <v>5.9970519594066893E-3</v>
      </c>
      <c r="H34" t="str">
        <f>IF(Comuni__2[[#This Row],[Popolazione2011]]&gt;300000,"MAGGIORE","")</f>
        <v/>
      </c>
      <c r="J34">
        <v>360</v>
      </c>
      <c r="K34">
        <v>24</v>
      </c>
      <c r="L34">
        <v>68</v>
      </c>
    </row>
    <row r="35" spans="1:12" x14ac:dyDescent="0.2">
      <c r="A35"/>
      <c r="B35"/>
      <c r="C35"/>
      <c r="D35"/>
      <c r="E35" s="2">
        <f>Comuni__2[[#This Row],[Popolazione2011]]/$D$7911</f>
        <v>1.2821618106379783E-4</v>
      </c>
      <c r="F35">
        <f>SUMIFS($D$2:$D$7909, $B$2:$B$7909, "Abruzzo")</f>
        <v>1307309</v>
      </c>
      <c r="G35" s="1">
        <f>Comuni__2[[#This Row],[Popolazione2011]]/Comuni__2[[#This Row],[POPOLAZIONE TOTALE DI OGNI REGIONE (CON FILTRO)]]</f>
        <v>5.8280024079999451E-3</v>
      </c>
      <c r="H35" t="str">
        <f>IF(Comuni__2[[#This Row],[Popolazione2011]]&gt;300000,"MAGGIORE","")</f>
        <v/>
      </c>
      <c r="J35">
        <v>381</v>
      </c>
      <c r="K35">
        <v>30</v>
      </c>
      <c r="L35">
        <v>76</v>
      </c>
    </row>
    <row r="36" spans="1:12" x14ac:dyDescent="0.2">
      <c r="A36"/>
      <c r="B36"/>
      <c r="C36"/>
      <c r="D36"/>
      <c r="E36" s="2">
        <f>Comuni__2[[#This Row],[Popolazione2011]]/$D$7911</f>
        <v>1.2384077653871745E-4</v>
      </c>
      <c r="F36">
        <f>SUMIFS($D$2:$D$7909, $B$2:$B$7909, "Abruzzo")</f>
        <v>1307309</v>
      </c>
      <c r="G36" s="1">
        <f>Comuni__2[[#This Row],[Popolazione2011]]/Comuni__2[[#This Row],[POPOLAZIONE TOTALE DI OGNI REGIONE (CON FILTRO)]]</f>
        <v>5.6291205828155394E-3</v>
      </c>
      <c r="H36" t="str">
        <f>IF(Comuni__2[[#This Row],[Popolazione2011]]&gt;300000,"MAGGIORE","")</f>
        <v/>
      </c>
      <c r="J36">
        <v>397</v>
      </c>
      <c r="K36">
        <v>36</v>
      </c>
      <c r="L36">
        <v>88</v>
      </c>
    </row>
    <row r="37" spans="1:12" x14ac:dyDescent="0.2">
      <c r="A37"/>
      <c r="B37"/>
      <c r="C37"/>
      <c r="D37"/>
      <c r="E37" s="2">
        <f>Comuni__2[[#This Row],[Popolazione2011]]/$D$7911</f>
        <v>1.2244401278648024E-4</v>
      </c>
      <c r="F37">
        <f>SUMIFS($D$2:$D$7909, $B$2:$B$7909, "Abruzzo")</f>
        <v>1307309</v>
      </c>
      <c r="G37" s="1">
        <f>Comuni__2[[#This Row],[Popolazione2011]]/Comuni__2[[#This Row],[POPOLAZIONE TOTALE DI OGNI REGIONE (CON FILTRO)]]</f>
        <v>5.5656313847759027E-3</v>
      </c>
      <c r="H37" t="str">
        <f>IF(Comuni__2[[#This Row],[Popolazione2011]]&gt;300000,"MAGGIORE","")</f>
        <v/>
      </c>
      <c r="J37">
        <v>391</v>
      </c>
      <c r="K37">
        <v>74</v>
      </c>
      <c r="L37">
        <v>102</v>
      </c>
    </row>
    <row r="38" spans="1:12" x14ac:dyDescent="0.2">
      <c r="A38"/>
      <c r="B38"/>
      <c r="C38"/>
      <c r="D38"/>
      <c r="E38" s="2">
        <f>Comuni__2[[#This Row],[Popolazione2011]]/$D$7911</f>
        <v>1.2049190922913669E-4</v>
      </c>
      <c r="F38">
        <f>SUMIFS($D$2:$D$7909, $B$2:$B$7909, "Abruzzo")</f>
        <v>1307309</v>
      </c>
      <c r="G38" s="1">
        <f>Comuni__2[[#This Row],[Popolazione2011]]/Comuni__2[[#This Row],[POPOLAZIONE TOTALE DI OGNI REGIONE (CON FILTRO)]]</f>
        <v>5.4768994935397832E-3</v>
      </c>
      <c r="H38" t="str">
        <f>IF(Comuni__2[[#This Row],[Popolazione2011]]&gt;300000,"MAGGIORE","")</f>
        <v/>
      </c>
      <c r="J38">
        <v>408</v>
      </c>
      <c r="K38">
        <v>95</v>
      </c>
      <c r="L38">
        <v>115</v>
      </c>
    </row>
    <row r="39" spans="1:12" x14ac:dyDescent="0.2">
      <c r="A39"/>
      <c r="B39"/>
      <c r="C39"/>
      <c r="D39"/>
      <c r="E39" s="2">
        <f>Comuni__2[[#This Row],[Popolazione2011]]/$D$7911</f>
        <v>1.1793398042985892E-4</v>
      </c>
      <c r="F39">
        <f>SUMIFS($D$2:$D$7909, $B$2:$B$7909, "Abruzzo")</f>
        <v>1307309</v>
      </c>
      <c r="G39" s="1">
        <f>Comuni__2[[#This Row],[Popolazione2011]]/Comuni__2[[#This Row],[POPOLAZIONE TOTALE DI OGNI REGIONE (CON FILTRO)]]</f>
        <v>5.3606301188165919E-3</v>
      </c>
      <c r="H39" t="str">
        <f>IF(Comuni__2[[#This Row],[Popolazione2011]]&gt;300000,"MAGGIORE","")</f>
        <v/>
      </c>
      <c r="J39">
        <v>413</v>
      </c>
      <c r="K39">
        <v>102</v>
      </c>
      <c r="L39">
        <v>123</v>
      </c>
    </row>
    <row r="40" spans="1:12" x14ac:dyDescent="0.2">
      <c r="A40"/>
      <c r="B40"/>
      <c r="C40"/>
      <c r="D40"/>
      <c r="E40" s="2">
        <f>Comuni__2[[#This Row],[Popolazione2011]]/$D$7911</f>
        <v>1.1677281538281837E-4</v>
      </c>
      <c r="F40">
        <f>SUMIFS($D$2:$D$7909, $B$2:$B$7909, "Abruzzo")</f>
        <v>1307309</v>
      </c>
      <c r="G40" s="1">
        <f>Comuni__2[[#This Row],[Popolazione2011]]/Comuni__2[[#This Row],[POPOLAZIONE TOTALE DI OGNI REGIONE (CON FILTRO)]]</f>
        <v>5.3078499421330382E-3</v>
      </c>
      <c r="H40" t="str">
        <f>IF(Comuni__2[[#This Row],[Popolazione2011]]&gt;300000,"MAGGIORE","")</f>
        <v/>
      </c>
      <c r="J40">
        <v>416</v>
      </c>
      <c r="K40">
        <v>113</v>
      </c>
      <c r="L40">
        <v>133</v>
      </c>
    </row>
    <row r="41" spans="1:12" x14ac:dyDescent="0.2">
      <c r="A41"/>
      <c r="B41"/>
      <c r="C41"/>
      <c r="D41"/>
      <c r="E41" s="2">
        <f>Comuni__2[[#This Row],[Popolazione2011]]/$D$7911</f>
        <v>1.1549385098317949E-4</v>
      </c>
      <c r="F41">
        <f>SUMIFS($D$2:$D$7909, $B$2:$B$7909, "Abruzzo")</f>
        <v>1307309</v>
      </c>
      <c r="G41" s="1">
        <f>Comuni__2[[#This Row],[Popolazione2011]]/Comuni__2[[#This Row],[POPOLAZIONE TOTALE DI OGNI REGIONE (CON FILTRO)]]</f>
        <v>5.2497152547714429E-3</v>
      </c>
      <c r="H41" t="str">
        <f>IF(Comuni__2[[#This Row],[Popolazione2011]]&gt;300000,"MAGGIORE","")</f>
        <v/>
      </c>
      <c r="J41">
        <v>437</v>
      </c>
      <c r="K41">
        <v>116</v>
      </c>
      <c r="L41">
        <v>146</v>
      </c>
    </row>
    <row r="42" spans="1:12" x14ac:dyDescent="0.2">
      <c r="A42"/>
      <c r="B42"/>
      <c r="C42"/>
      <c r="D42"/>
      <c r="E42" s="2">
        <f>Comuni__2[[#This Row],[Popolazione2011]]/$D$7911</f>
        <v>1.0606990277531404E-4</v>
      </c>
      <c r="F42">
        <f>SUMIFS($D$2:$D$7909, $B$2:$B$7909, "Abruzzo")</f>
        <v>1307309</v>
      </c>
      <c r="G42" s="1">
        <f>Comuni__2[[#This Row],[Popolazione2011]]/Comuni__2[[#This Row],[POPOLAZIONE TOTALE DI OGNI REGIONE (CON FILTRO)]]</f>
        <v>4.821354400528108E-3</v>
      </c>
      <c r="H42" t="str">
        <f>IF(Comuni__2[[#This Row],[Popolazione2011]]&gt;300000,"MAGGIORE","")</f>
        <v/>
      </c>
      <c r="J42">
        <v>425</v>
      </c>
      <c r="K42">
        <v>119</v>
      </c>
      <c r="L42">
        <v>153</v>
      </c>
    </row>
    <row r="43" spans="1:12" x14ac:dyDescent="0.2">
      <c r="A43"/>
      <c r="B43"/>
      <c r="C43"/>
      <c r="D43"/>
      <c r="E43" s="2">
        <f>Comuni__2[[#This Row],[Popolazione2011]]/$D$7911</f>
        <v>1.0462265358624899E-4</v>
      </c>
      <c r="F43">
        <f>SUMIFS($D$2:$D$7909, $B$2:$B$7909, "Abruzzo")</f>
        <v>1307309</v>
      </c>
      <c r="G43" s="1">
        <f>Comuni__2[[#This Row],[Popolazione2011]]/Comuni__2[[#This Row],[POPOLAZIONE TOTALE DI OGNI REGIONE (CON FILTRO)]]</f>
        <v>4.7555704121978815E-3</v>
      </c>
      <c r="H43" t="str">
        <f>IF(Comuni__2[[#This Row],[Popolazione2011]]&gt;300000,"MAGGIORE","")</f>
        <v/>
      </c>
      <c r="J43">
        <v>414</v>
      </c>
      <c r="K43">
        <v>125</v>
      </c>
      <c r="L43">
        <v>158</v>
      </c>
    </row>
    <row r="44" spans="1:12" x14ac:dyDescent="0.2">
      <c r="A44"/>
      <c r="B44"/>
      <c r="C44"/>
      <c r="D44"/>
      <c r="E44" s="2">
        <f>Comuni__2[[#This Row],[Popolazione2011]]/$D$7911</f>
        <v>1.0339417462343796E-4</v>
      </c>
      <c r="F44">
        <f>SUMIFS($D$2:$D$7909, $B$2:$B$7909, "Abruzzo")</f>
        <v>1307309</v>
      </c>
      <c r="G44" s="1">
        <f>Comuni__2[[#This Row],[Popolazione2011]]/Comuni__2[[#This Row],[POPOLAZIONE TOTALE DI OGNI REGIONE (CON FILTRO)]]</f>
        <v>4.6997305151268752E-3</v>
      </c>
      <c r="H44" t="str">
        <f>IF(Comuni__2[[#This Row],[Popolazione2011]]&gt;300000,"MAGGIORE","")</f>
        <v/>
      </c>
      <c r="J44">
        <v>406</v>
      </c>
      <c r="K44">
        <v>127</v>
      </c>
      <c r="L44">
        <v>169</v>
      </c>
    </row>
    <row r="45" spans="1:12" x14ac:dyDescent="0.2">
      <c r="A45"/>
      <c r="B45"/>
      <c r="C45"/>
      <c r="D45"/>
      <c r="E45" s="2">
        <f>Comuni__2[[#This Row],[Popolazione2011]]/$D$7911</f>
        <v>1.0071844647156188E-4</v>
      </c>
      <c r="F45">
        <f>SUMIFS($D$2:$D$7909, $B$2:$B$7909, "Abruzzo")</f>
        <v>1307309</v>
      </c>
      <c r="G45" s="1">
        <f>Comuni__2[[#This Row],[Popolazione2011]]/Comuni__2[[#This Row],[POPOLAZIONE TOTALE DI OGNI REGIONE (CON FILTRO)]]</f>
        <v>4.5781066297256425E-3</v>
      </c>
      <c r="H45" t="str">
        <f>IF(Comuni__2[[#This Row],[Popolazione2011]]&gt;300000,"MAGGIORE","")</f>
        <v/>
      </c>
      <c r="J45">
        <v>404</v>
      </c>
      <c r="K45">
        <v>136</v>
      </c>
      <c r="L45">
        <v>172</v>
      </c>
    </row>
    <row r="46" spans="1:12" x14ac:dyDescent="0.2">
      <c r="A46"/>
      <c r="B46"/>
      <c r="C46"/>
      <c r="D46"/>
      <c r="E46" s="2">
        <f>Comuni__2[[#This Row],[Popolazione2011]]/$D$7911</f>
        <v>9.9422653592980381E-5</v>
      </c>
      <c r="F46">
        <f>SUMIFS($D$2:$D$7909, $B$2:$B$7909, "Abruzzo")</f>
        <v>1307309</v>
      </c>
      <c r="G46" s="1">
        <f>Comuni__2[[#This Row],[Popolazione2011]]/Comuni__2[[#This Row],[POPOLAZIONE TOTALE DI OGNI REGIONE (CON FILTRO)]]</f>
        <v>4.5192070122671837E-3</v>
      </c>
      <c r="H46" t="str">
        <f>IF(Comuni__2[[#This Row],[Popolazione2011]]&gt;300000,"MAGGIORE","")</f>
        <v/>
      </c>
      <c r="J46">
        <v>393</v>
      </c>
      <c r="K46">
        <v>146</v>
      </c>
      <c r="L46">
        <v>179</v>
      </c>
    </row>
    <row r="47" spans="1:12" x14ac:dyDescent="0.2">
      <c r="A47"/>
      <c r="B47"/>
      <c r="C47"/>
      <c r="D47"/>
      <c r="E47" s="2">
        <f>Comuni__2[[#This Row],[Popolazione2011]]/$D$7911</f>
        <v>9.8749514435275709E-5</v>
      </c>
      <c r="F47">
        <f>SUMIFS($D$2:$D$7909, $B$2:$B$7909, "Abruzzo")</f>
        <v>1307309</v>
      </c>
      <c r="G47" s="1">
        <f>Comuni__2[[#This Row],[Popolazione2011]]/Comuni__2[[#This Row],[POPOLAZIONE TOTALE DI OGNI REGIONE (CON FILTRO)]]</f>
        <v>4.4886098083926603E-3</v>
      </c>
      <c r="H47" t="str">
        <f>IF(Comuni__2[[#This Row],[Popolazione2011]]&gt;300000,"MAGGIORE","")</f>
        <v/>
      </c>
      <c r="J47">
        <v>363</v>
      </c>
      <c r="K47">
        <v>171</v>
      </c>
      <c r="L47">
        <v>194</v>
      </c>
    </row>
    <row r="48" spans="1:12" x14ac:dyDescent="0.2">
      <c r="A48"/>
      <c r="B48"/>
      <c r="C48"/>
      <c r="D48"/>
      <c r="E48" s="2">
        <f>Comuni__2[[#This Row],[Popolazione2011]]/$D$7911</f>
        <v>9.8396116377480757E-5</v>
      </c>
      <c r="F48">
        <f>SUMIFS($D$2:$D$7909, $B$2:$B$7909, "Abruzzo")</f>
        <v>1307309</v>
      </c>
      <c r="G48" s="1">
        <f>Comuni__2[[#This Row],[Popolazione2011]]/Comuni__2[[#This Row],[POPOLAZIONE TOTALE DI OGNI REGIONE (CON FILTRO)]]</f>
        <v>4.472546276358535E-3</v>
      </c>
      <c r="H48" t="str">
        <f>IF(Comuni__2[[#This Row],[Popolazione2011]]&gt;300000,"MAGGIORE","")</f>
        <v/>
      </c>
      <c r="J48">
        <v>358</v>
      </c>
      <c r="K48">
        <v>181</v>
      </c>
      <c r="L48">
        <v>198</v>
      </c>
    </row>
    <row r="49" spans="1:12" x14ac:dyDescent="0.2">
      <c r="A49"/>
      <c r="B49"/>
      <c r="C49"/>
      <c r="D49"/>
      <c r="E49" s="2">
        <f>Comuni__2[[#This Row],[Popolazione2011]]/$D$7911</f>
        <v>9.171521023726187E-5</v>
      </c>
      <c r="F49">
        <f>SUMIFS($D$2:$D$7909, $B$2:$B$7909, "Abruzzo")</f>
        <v>1307309</v>
      </c>
      <c r="G49" s="1">
        <f>Comuni__2[[#This Row],[Popolazione2011]]/Comuni__2[[#This Row],[POPOLAZIONE TOTALE DI OGNI REGIONE (CON FILTRO)]]</f>
        <v>4.1688690279038853E-3</v>
      </c>
      <c r="H49" t="str">
        <f>IF(Comuni__2[[#This Row],[Popolazione2011]]&gt;300000,"MAGGIORE","")</f>
        <v/>
      </c>
      <c r="J49">
        <v>369</v>
      </c>
      <c r="K49">
        <v>190</v>
      </c>
      <c r="L49">
        <v>206</v>
      </c>
    </row>
    <row r="50" spans="1:12" x14ac:dyDescent="0.2">
      <c r="A50"/>
      <c r="B50"/>
      <c r="C50"/>
      <c r="D50"/>
      <c r="E50" s="2">
        <f>Comuni__2[[#This Row],[Popolazione2011]]/$D$7911</f>
        <v>9.1193527390040743E-5</v>
      </c>
      <c r="F50">
        <f>SUMIFS($D$2:$D$7909, $B$2:$B$7909, "Abruzzo")</f>
        <v>1307309</v>
      </c>
      <c r="G50" s="1">
        <f>Comuni__2[[#This Row],[Popolazione2011]]/Comuni__2[[#This Row],[POPOLAZIONE TOTALE DI OGNI REGIONE (CON FILTRO)]]</f>
        <v>4.1451561949011288E-3</v>
      </c>
      <c r="H50" t="str">
        <f>IF(Comuni__2[[#This Row],[Popolazione2011]]&gt;300000,"MAGGIORE","")</f>
        <v/>
      </c>
      <c r="J50">
        <v>400</v>
      </c>
      <c r="K50">
        <v>206</v>
      </c>
      <c r="L50">
        <v>212</v>
      </c>
    </row>
    <row r="51" spans="1:12" x14ac:dyDescent="0.2">
      <c r="A51"/>
      <c r="B51"/>
      <c r="C51"/>
      <c r="D51"/>
      <c r="E51" s="2">
        <f>Comuni__2[[#This Row],[Popolazione2011]]/$D$7911</f>
        <v>8.9880906032516631E-5</v>
      </c>
      <c r="F51">
        <f>SUMIFS($D$2:$D$7909, $B$2:$B$7909, "Abruzzo")</f>
        <v>1307309</v>
      </c>
      <c r="G51" s="1">
        <f>Comuni__2[[#This Row],[Popolazione2011]]/Comuni__2[[#This Row],[POPOLAZIONE TOTALE DI OGNI REGIONE (CON FILTRO)]]</f>
        <v>4.0854916473458073E-3</v>
      </c>
      <c r="H51" t="str">
        <f>IF(Comuni__2[[#This Row],[Popolazione2011]]&gt;300000,"MAGGIORE","")</f>
        <v/>
      </c>
      <c r="J51">
        <v>405</v>
      </c>
      <c r="K51">
        <v>211</v>
      </c>
      <c r="L51">
        <v>224</v>
      </c>
    </row>
    <row r="52" spans="1:12" x14ac:dyDescent="0.2">
      <c r="A52"/>
      <c r="B52"/>
      <c r="C52"/>
      <c r="D52"/>
      <c r="E52" s="2">
        <f>Comuni__2[[#This Row],[Popolazione2011]]/$D$7911</f>
        <v>8.9746278200975688E-5</v>
      </c>
      <c r="F52">
        <f>SUMIFS($D$2:$D$7909, $B$2:$B$7909, "Abruzzo")</f>
        <v>1307309</v>
      </c>
      <c r="G52" s="1">
        <f>Comuni__2[[#This Row],[Popolazione2011]]/Comuni__2[[#This Row],[POPOLAZIONE TOTALE DI OGNI REGIONE (CON FILTRO)]]</f>
        <v>4.0793722065709023E-3</v>
      </c>
      <c r="H52" t="str">
        <f>IF(Comuni__2[[#This Row],[Popolazione2011]]&gt;300000,"MAGGIORE","")</f>
        <v/>
      </c>
      <c r="J52">
        <v>397</v>
      </c>
      <c r="K52">
        <v>213</v>
      </c>
      <c r="L52">
        <v>232</v>
      </c>
    </row>
    <row r="53" spans="1:12" x14ac:dyDescent="0.2">
      <c r="A53"/>
      <c r="B53"/>
      <c r="C53"/>
      <c r="D53"/>
      <c r="E53" s="2">
        <f>Comuni__2[[#This Row],[Popolazione2011]]/$D$7911</f>
        <v>8.9409708622123352E-5</v>
      </c>
      <c r="F53">
        <f>SUMIFS($D$2:$D$7909, $B$2:$B$7909, "Abruzzo")</f>
        <v>1307309</v>
      </c>
      <c r="G53" s="1">
        <f>Comuni__2[[#This Row],[Popolazione2011]]/Comuni__2[[#This Row],[POPOLAZIONE TOTALE DI OGNI REGIONE (CON FILTRO)]]</f>
        <v>4.0640736046336405E-3</v>
      </c>
      <c r="H53" t="str">
        <f>IF(Comuni__2[[#This Row],[Popolazione2011]]&gt;300000,"MAGGIORE","")</f>
        <v/>
      </c>
      <c r="J53">
        <v>385</v>
      </c>
      <c r="K53">
        <v>224</v>
      </c>
      <c r="L53">
        <v>240</v>
      </c>
    </row>
    <row r="54" spans="1:12" x14ac:dyDescent="0.2">
      <c r="A54"/>
      <c r="B54"/>
      <c r="C54"/>
      <c r="D54"/>
      <c r="E54" s="2">
        <f>Comuni__2[[#This Row],[Popolazione2011]]/$D$7911</f>
        <v>8.7945630954115682E-5</v>
      </c>
      <c r="F54">
        <f>SUMIFS($D$2:$D$7909, $B$2:$B$7909, "Abruzzo")</f>
        <v>1307309</v>
      </c>
      <c r="G54" s="1">
        <f>Comuni__2[[#This Row],[Popolazione2011]]/Comuni__2[[#This Row],[POPOLAZIONE TOTALE DI OGNI REGIONE (CON FILTRO)]]</f>
        <v>3.9975246862065513E-3</v>
      </c>
      <c r="H54" t="str">
        <f>IF(Comuni__2[[#This Row],[Popolazione2011]]&gt;300000,"MAGGIORE","")</f>
        <v/>
      </c>
      <c r="J54">
        <v>366</v>
      </c>
      <c r="K54">
        <v>253</v>
      </c>
      <c r="L54">
        <v>243</v>
      </c>
    </row>
    <row r="55" spans="1:12" x14ac:dyDescent="0.2">
      <c r="A55"/>
      <c r="B55"/>
      <c r="C55"/>
      <c r="D55"/>
      <c r="E55" s="2">
        <f>Comuni__2[[#This Row],[Popolazione2011]]/$D$7911</f>
        <v>8.7861488559402601E-5</v>
      </c>
      <c r="F55">
        <f>SUMIFS($D$2:$D$7909, $B$2:$B$7909, "Abruzzo")</f>
        <v>1307309</v>
      </c>
      <c r="G55" s="1">
        <f>Comuni__2[[#This Row],[Popolazione2011]]/Comuni__2[[#This Row],[POPOLAZIONE TOTALE DI OGNI REGIONE (CON FILTRO)]]</f>
        <v>3.9937000357222353E-3</v>
      </c>
      <c r="H55" t="str">
        <f>IF(Comuni__2[[#This Row],[Popolazione2011]]&gt;300000,"MAGGIORE","")</f>
        <v/>
      </c>
      <c r="J55">
        <v>362</v>
      </c>
      <c r="K55">
        <v>255</v>
      </c>
      <c r="L55">
        <v>246</v>
      </c>
    </row>
    <row r="56" spans="1:12" x14ac:dyDescent="0.2">
      <c r="A56"/>
      <c r="B56"/>
      <c r="C56"/>
      <c r="D56"/>
      <c r="E56" s="2">
        <f>Comuni__2[[#This Row],[Popolazione2011]]/$D$7911</f>
        <v>8.5404530633780538E-5</v>
      </c>
      <c r="F56">
        <f>SUMIFS($D$2:$D$7909, $B$2:$B$7909, "Abruzzo")</f>
        <v>1307309</v>
      </c>
      <c r="G56" s="1">
        <f>Comuni__2[[#This Row],[Popolazione2011]]/Comuni__2[[#This Row],[POPOLAZIONE TOTALE DI OGNI REGIONE (CON FILTRO)]]</f>
        <v>3.8820202415802232E-3</v>
      </c>
      <c r="H56" t="str">
        <f>IF(Comuni__2[[#This Row],[Popolazione2011]]&gt;300000,"MAGGIORE","")</f>
        <v/>
      </c>
      <c r="J56">
        <v>362</v>
      </c>
      <c r="K56">
        <v>263</v>
      </c>
      <c r="L56">
        <v>253</v>
      </c>
    </row>
    <row r="57" spans="1:12" x14ac:dyDescent="0.2">
      <c r="A57"/>
      <c r="B57"/>
      <c r="C57"/>
      <c r="D57"/>
      <c r="E57" s="2">
        <f>Comuni__2[[#This Row],[Popolazione2011]]/$D$7911</f>
        <v>8.1584465913806515E-5</v>
      </c>
      <c r="F57">
        <f>SUMIFS($D$2:$D$7909, $B$2:$B$7909, "Abruzzo")</f>
        <v>1307309</v>
      </c>
      <c r="G57" s="1">
        <f>Comuni__2[[#This Row],[Popolazione2011]]/Comuni__2[[#This Row],[POPOLAZIONE TOTALE DI OGNI REGIONE (CON FILTRO)]]</f>
        <v>3.7083811095922998E-3</v>
      </c>
      <c r="H57" t="str">
        <f>IF(Comuni__2[[#This Row],[Popolazione2011]]&gt;300000,"MAGGIORE","")</f>
        <v/>
      </c>
      <c r="J57">
        <v>357</v>
      </c>
      <c r="K57">
        <v>276</v>
      </c>
      <c r="L57">
        <v>258</v>
      </c>
    </row>
    <row r="58" spans="1:12" x14ac:dyDescent="0.2">
      <c r="A58"/>
      <c r="B58"/>
      <c r="C58"/>
      <c r="D58"/>
      <c r="E58" s="2">
        <f>Comuni__2[[#This Row],[Popolazione2011]]/$D$7911</f>
        <v>8.1517151998036051E-5</v>
      </c>
      <c r="F58">
        <f>SUMIFS($D$2:$D$7909, $B$2:$B$7909, "Abruzzo")</f>
        <v>1307309</v>
      </c>
      <c r="G58" s="1">
        <f>Comuni__2[[#This Row],[Popolazione2011]]/Comuni__2[[#This Row],[POPOLAZIONE TOTALE DI OGNI REGIONE (CON FILTRO)]]</f>
        <v>3.7053213892048473E-3</v>
      </c>
      <c r="H58" t="str">
        <f>IF(Comuni__2[[#This Row],[Popolazione2011]]&gt;300000,"MAGGIORE","")</f>
        <v/>
      </c>
      <c r="J58">
        <v>358</v>
      </c>
      <c r="K58">
        <v>287</v>
      </c>
      <c r="L58">
        <v>263</v>
      </c>
    </row>
    <row r="59" spans="1:12" x14ac:dyDescent="0.2">
      <c r="A59"/>
      <c r="B59"/>
      <c r="C59"/>
      <c r="D59"/>
      <c r="E59" s="2">
        <f>Comuni__2[[#This Row],[Popolazione2011]]/$D$7911</f>
        <v>8.1449838082265586E-5</v>
      </c>
      <c r="F59">
        <f>SUMIFS($D$2:$D$7909, $B$2:$B$7909, "Abruzzo")</f>
        <v>1307309</v>
      </c>
      <c r="G59" s="1">
        <f>Comuni__2[[#This Row],[Popolazione2011]]/Comuni__2[[#This Row],[POPOLAZIONE TOTALE DI OGNI REGIONE (CON FILTRO)]]</f>
        <v>3.7022616688173952E-3</v>
      </c>
      <c r="H59" t="str">
        <f>IF(Comuni__2[[#This Row],[Popolazione2011]]&gt;300000,"MAGGIORE","")</f>
        <v/>
      </c>
      <c r="J59">
        <v>353</v>
      </c>
      <c r="K59">
        <v>329</v>
      </c>
      <c r="L59">
        <v>271</v>
      </c>
    </row>
    <row r="60" spans="1:12" x14ac:dyDescent="0.2">
      <c r="A60"/>
      <c r="B60"/>
      <c r="C60"/>
      <c r="D60"/>
      <c r="E60" s="2">
        <f>Comuni__2[[#This Row],[Popolazione2011]]/$D$7911</f>
        <v>7.9935274977430067E-5</v>
      </c>
      <c r="F60">
        <f>SUMIFS($D$2:$D$7909, $B$2:$B$7909, "Abruzzo")</f>
        <v>1307309</v>
      </c>
      <c r="G60" s="1">
        <f>Comuni__2[[#This Row],[Popolazione2011]]/Comuni__2[[#This Row],[POPOLAZIONE TOTALE DI OGNI REGIONE (CON FILTRO)]]</f>
        <v>3.6334179600997162E-3</v>
      </c>
      <c r="H60" t="str">
        <f>IF(Comuni__2[[#This Row],[Popolazione2011]]&gt;300000,"MAGGIORE","")</f>
        <v/>
      </c>
      <c r="J60">
        <v>344</v>
      </c>
      <c r="K60">
        <v>349</v>
      </c>
      <c r="L60">
        <v>276</v>
      </c>
    </row>
    <row r="61" spans="1:12" x14ac:dyDescent="0.2">
      <c r="A61"/>
      <c r="B61"/>
      <c r="C61"/>
      <c r="D61"/>
      <c r="E61" s="2">
        <f>Comuni__2[[#This Row],[Popolazione2011]]/$D$7911</f>
        <v>7.5155986957726884E-5</v>
      </c>
      <c r="F61">
        <f>SUMIFS($D$2:$D$7909, $B$2:$B$7909, "Abruzzo")</f>
        <v>1307309</v>
      </c>
      <c r="G61" s="1">
        <f>Comuni__2[[#This Row],[Popolazione2011]]/Comuni__2[[#This Row],[POPOLAZIONE TOTALE DI OGNI REGIONE (CON FILTRO)]]</f>
        <v>3.4161778125905962E-3</v>
      </c>
      <c r="H61" t="str">
        <f>IF(Comuni__2[[#This Row],[Popolazione2011]]&gt;300000,"MAGGIORE","")</f>
        <v/>
      </c>
      <c r="J61">
        <v>353</v>
      </c>
      <c r="K61">
        <v>405</v>
      </c>
      <c r="L61">
        <v>280</v>
      </c>
    </row>
    <row r="62" spans="1:12" x14ac:dyDescent="0.2">
      <c r="A62"/>
      <c r="B62"/>
      <c r="C62"/>
      <c r="D62"/>
      <c r="E62" s="2">
        <f>Comuni__2[[#This Row],[Popolazione2011]]/$D$7911</f>
        <v>7.2547572721621262E-5</v>
      </c>
      <c r="F62">
        <f>SUMIFS($D$2:$D$7909, $B$2:$B$7909, "Abruzzo")</f>
        <v>1307309</v>
      </c>
      <c r="G62" s="1">
        <f>Comuni__2[[#This Row],[Popolazione2011]]/Comuni__2[[#This Row],[POPOLAZIONE TOTALE DI OGNI REGIONE (CON FILTRO)]]</f>
        <v>3.2976136475768164E-3</v>
      </c>
      <c r="H62" t="str">
        <f>IF(Comuni__2[[#This Row],[Popolazione2011]]&gt;300000,"MAGGIORE","")</f>
        <v/>
      </c>
      <c r="J62">
        <v>355</v>
      </c>
      <c r="K62">
        <v>438</v>
      </c>
      <c r="L62">
        <v>286</v>
      </c>
    </row>
    <row r="63" spans="1:12" x14ac:dyDescent="0.2">
      <c r="A63"/>
      <c r="B63"/>
      <c r="C63"/>
      <c r="D63"/>
      <c r="E63" s="2">
        <f>Comuni__2[[#This Row],[Popolazione2011]]/$D$7911</f>
        <v>7.1756634211318277E-5</v>
      </c>
      <c r="F63">
        <f>SUMIFS($D$2:$D$7909, $B$2:$B$7909, "Abruzzo")</f>
        <v>1307309</v>
      </c>
      <c r="G63" s="1">
        <f>Comuni__2[[#This Row],[Popolazione2011]]/Comuni__2[[#This Row],[POPOLAZIONE TOTALE DI OGNI REGIONE (CON FILTRO)]]</f>
        <v>3.2616619330242506E-3</v>
      </c>
      <c r="H63" t="str">
        <f>IF(Comuni__2[[#This Row],[Popolazione2011]]&gt;300000,"MAGGIORE","")</f>
        <v/>
      </c>
      <c r="J63">
        <v>349</v>
      </c>
      <c r="K63">
        <v>478</v>
      </c>
      <c r="L63">
        <v>293</v>
      </c>
    </row>
    <row r="64" spans="1:12" x14ac:dyDescent="0.2">
      <c r="A64"/>
      <c r="B64"/>
      <c r="C64"/>
      <c r="D64"/>
      <c r="E64" s="2">
        <f>Comuni__2[[#This Row],[Popolazione2011]]/$D$7911</f>
        <v>7.0477669811679398E-5</v>
      </c>
      <c r="F64">
        <f>SUMIFS($D$2:$D$7909, $B$2:$B$7909, "Abruzzo")</f>
        <v>1307309</v>
      </c>
      <c r="G64" s="1">
        <f>Comuni__2[[#This Row],[Popolazione2011]]/Comuni__2[[#This Row],[POPOLAZIONE TOTALE DI OGNI REGIONE (CON FILTRO)]]</f>
        <v>3.203527245662655E-3</v>
      </c>
      <c r="H64" t="str">
        <f>IF(Comuni__2[[#This Row],[Popolazione2011]]&gt;300000,"MAGGIORE","")</f>
        <v/>
      </c>
      <c r="J64">
        <v>348</v>
      </c>
      <c r="K64">
        <v>496</v>
      </c>
      <c r="L64">
        <v>295</v>
      </c>
    </row>
    <row r="65" spans="1:12" x14ac:dyDescent="0.2">
      <c r="A65"/>
      <c r="B65"/>
      <c r="C65"/>
      <c r="D65"/>
      <c r="E65" s="2">
        <f>Comuni__2[[#This Row],[Popolazione2011]]/$D$7911</f>
        <v>6.8862135833188168E-5</v>
      </c>
      <c r="F65">
        <f>SUMIFS($D$2:$D$7909, $B$2:$B$7909, "Abruzzo")</f>
        <v>1307309</v>
      </c>
      <c r="G65" s="1">
        <f>Comuni__2[[#This Row],[Popolazione2011]]/Comuni__2[[#This Row],[POPOLAZIONE TOTALE DI OGNI REGIONE (CON FILTRO)]]</f>
        <v>3.1300939563637976E-3</v>
      </c>
      <c r="H65" t="str">
        <f>IF(Comuni__2[[#This Row],[Popolazione2011]]&gt;300000,"MAGGIORE","")</f>
        <v/>
      </c>
      <c r="J65">
        <v>351</v>
      </c>
      <c r="K65">
        <v>545</v>
      </c>
      <c r="L65">
        <v>299</v>
      </c>
    </row>
    <row r="66" spans="1:12" x14ac:dyDescent="0.2">
      <c r="A66"/>
      <c r="B66"/>
      <c r="C66"/>
      <c r="D66"/>
      <c r="E66" s="2">
        <f>Comuni__2[[#This Row],[Popolazione2011]]/$D$7911</f>
        <v>6.8508737775393216E-5</v>
      </c>
      <c r="F66">
        <f>SUMIFS($D$2:$D$7909, $B$2:$B$7909, "Abruzzo")</f>
        <v>1307309</v>
      </c>
      <c r="G66" s="1">
        <f>Comuni__2[[#This Row],[Popolazione2011]]/Comuni__2[[#This Row],[POPOLAZIONE TOTALE DI OGNI REGIONE (CON FILTRO)]]</f>
        <v>3.1140304243296728E-3</v>
      </c>
      <c r="H66" t="str">
        <f>IF(Comuni__2[[#This Row],[Popolazione2011]]&gt;300000,"MAGGIORE","")</f>
        <v/>
      </c>
      <c r="J66">
        <v>333</v>
      </c>
      <c r="K66">
        <v>599</v>
      </c>
      <c r="L66">
        <v>310</v>
      </c>
    </row>
    <row r="67" spans="1:12" x14ac:dyDescent="0.2">
      <c r="A67"/>
      <c r="B67"/>
      <c r="C67"/>
      <c r="D67"/>
      <c r="E67" s="2">
        <f>Comuni__2[[#This Row],[Popolazione2011]]/$D$7911</f>
        <v>6.744854360200836E-5</v>
      </c>
      <c r="F67">
        <f>SUMIFS($D$2:$D$7909, $B$2:$B$7909, "Abruzzo")</f>
        <v>1307309</v>
      </c>
      <c r="G67" s="1">
        <f>Comuni__2[[#This Row],[Popolazione2011]]/Comuni__2[[#This Row],[POPOLAZIONE TOTALE DI OGNI REGIONE (CON FILTRO)]]</f>
        <v>3.0658398282272974E-3</v>
      </c>
      <c r="H67" t="str">
        <f>IF(Comuni__2[[#This Row],[Popolazione2011]]&gt;300000,"MAGGIORE","")</f>
        <v/>
      </c>
      <c r="J67">
        <v>328</v>
      </c>
      <c r="K67">
        <v>632</v>
      </c>
      <c r="L67">
        <v>315</v>
      </c>
    </row>
    <row r="68" spans="1:12" x14ac:dyDescent="0.2">
      <c r="A68"/>
      <c r="B68"/>
      <c r="C68"/>
      <c r="D68"/>
      <c r="E68" s="2">
        <f>Comuni__2[[#This Row],[Popolazione2011]]/$D$7911</f>
        <v>6.6623948133820129E-5</v>
      </c>
      <c r="F68">
        <f>SUMIFS($D$2:$D$7909, $B$2:$B$7909, "Abruzzo")</f>
        <v>1307309</v>
      </c>
      <c r="G68" s="1">
        <f>Comuni__2[[#This Row],[Popolazione2011]]/Comuni__2[[#This Row],[POPOLAZIONE TOTALE DI OGNI REGIONE (CON FILTRO)]]</f>
        <v>3.0283582534810058E-3</v>
      </c>
      <c r="H68" t="str">
        <f>IF(Comuni__2[[#This Row],[Popolazione2011]]&gt;300000,"MAGGIORE","")</f>
        <v/>
      </c>
      <c r="J68">
        <v>322</v>
      </c>
      <c r="K68">
        <v>695</v>
      </c>
      <c r="L68">
        <v>320</v>
      </c>
    </row>
    <row r="69" spans="1:12" x14ac:dyDescent="0.2">
      <c r="A69"/>
      <c r="B69"/>
      <c r="C69"/>
      <c r="D69"/>
      <c r="E69" s="2">
        <f>Comuni__2[[#This Row],[Popolazione2011]]/$D$7911</f>
        <v>6.5799352665631911E-5</v>
      </c>
      <c r="F69">
        <f>SUMIFS($D$2:$D$7909, $B$2:$B$7909, "Abruzzo")</f>
        <v>1307309</v>
      </c>
      <c r="G69" s="1">
        <f>Comuni__2[[#This Row],[Popolazione2011]]/Comuni__2[[#This Row],[POPOLAZIONE TOTALE DI OGNI REGIONE (CON FILTRO)]]</f>
        <v>2.9908766787347138E-3</v>
      </c>
      <c r="H69" t="str">
        <f>IF(Comuni__2[[#This Row],[Popolazione2011]]&gt;300000,"MAGGIORE","")</f>
        <v/>
      </c>
      <c r="J69">
        <v>313</v>
      </c>
      <c r="K69">
        <v>713</v>
      </c>
      <c r="L69">
        <v>324</v>
      </c>
    </row>
    <row r="70" spans="1:12" x14ac:dyDescent="0.2">
      <c r="A70"/>
      <c r="B70"/>
      <c r="C70"/>
      <c r="D70"/>
      <c r="E70" s="2">
        <f>Comuni__2[[#This Row],[Popolazione2011]]/$D$7911</f>
        <v>6.4554045223878264E-5</v>
      </c>
      <c r="F70">
        <f>SUMIFS($D$2:$D$7909, $B$2:$B$7909, "Abruzzo")</f>
        <v>1307309</v>
      </c>
      <c r="G70" s="1">
        <f>Comuni__2[[#This Row],[Popolazione2011]]/Comuni__2[[#This Row],[POPOLAZIONE TOTALE DI OGNI REGIONE (CON FILTRO)]]</f>
        <v>2.9342718515668444E-3</v>
      </c>
      <c r="H70" t="str">
        <f>IF(Comuni__2[[#This Row],[Popolazione2011]]&gt;300000,"MAGGIORE","")</f>
        <v/>
      </c>
      <c r="J70">
        <v>319</v>
      </c>
      <c r="K70">
        <v>758</v>
      </c>
      <c r="L70">
        <v>327</v>
      </c>
    </row>
    <row r="71" spans="1:12" x14ac:dyDescent="0.2">
      <c r="A71"/>
      <c r="B71"/>
      <c r="C71"/>
      <c r="D71"/>
      <c r="E71" s="2">
        <f>Comuni__2[[#This Row],[Popolazione2011]]/$D$7911</f>
        <v>6.3493851050493394E-5</v>
      </c>
      <c r="F71">
        <f>SUMIFS($D$2:$D$7909, $B$2:$B$7909, "Abruzzo")</f>
        <v>1307309</v>
      </c>
      <c r="G71" s="1">
        <f>Comuni__2[[#This Row],[Popolazione2011]]/Comuni__2[[#This Row],[POPOLAZIONE TOTALE DI OGNI REGIONE (CON FILTRO)]]</f>
        <v>2.8860812554644694E-3</v>
      </c>
      <c r="H71" t="str">
        <f>IF(Comuni__2[[#This Row],[Popolazione2011]]&gt;300000,"MAGGIORE","")</f>
        <v/>
      </c>
      <c r="J71">
        <v>316</v>
      </c>
      <c r="K71">
        <v>798</v>
      </c>
      <c r="L71">
        <v>330</v>
      </c>
    </row>
    <row r="72" spans="1:12" x14ac:dyDescent="0.2">
      <c r="A72"/>
      <c r="B72"/>
      <c r="C72"/>
      <c r="D72"/>
      <c r="E72" s="2">
        <f>Comuni__2[[#This Row],[Popolazione2011]]/$D$7911</f>
        <v>6.3409708655780313E-5</v>
      </c>
      <c r="F72">
        <f>SUMIFS($D$2:$D$7909, $B$2:$B$7909, "Abruzzo")</f>
        <v>1307309</v>
      </c>
      <c r="G72" s="1">
        <f>Comuni__2[[#This Row],[Popolazione2011]]/Comuni__2[[#This Row],[POPOLAZIONE TOTALE DI OGNI REGIONE (CON FILTRO)]]</f>
        <v>2.8822566049801538E-3</v>
      </c>
      <c r="H72" t="str">
        <f>IF(Comuni__2[[#This Row],[Popolazione2011]]&gt;300000,"MAGGIORE","")</f>
        <v/>
      </c>
      <c r="J72">
        <v>316</v>
      </c>
      <c r="K72">
        <v>831</v>
      </c>
      <c r="L72">
        <v>332</v>
      </c>
    </row>
    <row r="73" spans="1:12" x14ac:dyDescent="0.2">
      <c r="A73"/>
      <c r="B73"/>
      <c r="C73"/>
      <c r="D73"/>
      <c r="E73" s="2">
        <f>Comuni__2[[#This Row],[Popolazione2011]]/$D$7911</f>
        <v>6.3157281471641058E-5</v>
      </c>
      <c r="F73">
        <f>SUMIFS($D$2:$D$7909, $B$2:$B$7909, "Abruzzo")</f>
        <v>1307309</v>
      </c>
      <c r="G73" s="1">
        <f>Comuni__2[[#This Row],[Popolazione2011]]/Comuni__2[[#This Row],[POPOLAZIONE TOTALE DI OGNI REGIONE (CON FILTRO)]]</f>
        <v>2.8707826535272073E-3</v>
      </c>
      <c r="H73" t="str">
        <f>IF(Comuni__2[[#This Row],[Popolazione2011]]&gt;300000,"MAGGIORE","")</f>
        <v/>
      </c>
      <c r="J73">
        <v>300</v>
      </c>
      <c r="K73">
        <v>881</v>
      </c>
      <c r="L73">
        <v>335</v>
      </c>
    </row>
    <row r="74" spans="1:12" x14ac:dyDescent="0.2">
      <c r="A74"/>
      <c r="B74"/>
      <c r="C74"/>
      <c r="D74"/>
      <c r="E74" s="2">
        <f>Comuni__2[[#This Row],[Popolazione2011]]/$D$7911</f>
        <v>6.1642718366805539E-5</v>
      </c>
      <c r="F74">
        <f>SUMIFS($D$2:$D$7909, $B$2:$B$7909, "Abruzzo")</f>
        <v>1307309</v>
      </c>
      <c r="G74" s="1">
        <f>Comuni__2[[#This Row],[Popolazione2011]]/Comuni__2[[#This Row],[POPOLAZIONE TOTALE DI OGNI REGIONE (CON FILTRO)]]</f>
        <v>2.8019389448095287E-3</v>
      </c>
      <c r="H74" t="str">
        <f>IF(Comuni__2[[#This Row],[Popolazione2011]]&gt;300000,"MAGGIORE","")</f>
        <v/>
      </c>
      <c r="J74">
        <v>296</v>
      </c>
      <c r="K74">
        <v>915</v>
      </c>
      <c r="L74">
        <v>341</v>
      </c>
    </row>
    <row r="75" spans="1:12" x14ac:dyDescent="0.2">
      <c r="A75"/>
      <c r="B75"/>
      <c r="C75"/>
      <c r="D75"/>
      <c r="E75" s="2">
        <f>Comuni__2[[#This Row],[Popolazione2011]]/$D$7911</f>
        <v>6.150809053526461E-5</v>
      </c>
      <c r="F75">
        <f>SUMIFS($D$2:$D$7909, $B$2:$B$7909, "Abruzzo")</f>
        <v>1307309</v>
      </c>
      <c r="G75" s="1">
        <f>Comuni__2[[#This Row],[Popolazione2011]]/Comuni__2[[#This Row],[POPOLAZIONE TOTALE DI OGNI REGIONE (CON FILTRO)]]</f>
        <v>2.7958195040346237E-3</v>
      </c>
      <c r="H75" t="str">
        <f>IF(Comuni__2[[#This Row],[Popolazione2011]]&gt;300000,"MAGGIORE","")</f>
        <v/>
      </c>
      <c r="J75">
        <v>275</v>
      </c>
      <c r="K75">
        <v>954</v>
      </c>
      <c r="L75">
        <v>348</v>
      </c>
    </row>
    <row r="76" spans="1:12" x14ac:dyDescent="0.2">
      <c r="A76"/>
      <c r="B76"/>
      <c r="C76"/>
      <c r="D76"/>
      <c r="E76" s="2">
        <f>Comuni__2[[#This Row],[Popolazione2011]]/$D$7911</f>
        <v>6.1053721603813947E-5</v>
      </c>
      <c r="F76">
        <f>SUMIFS($D$2:$D$7909, $B$2:$B$7909, "Abruzzo")</f>
        <v>1307309</v>
      </c>
      <c r="G76" s="1">
        <f>Comuni__2[[#This Row],[Popolazione2011]]/Comuni__2[[#This Row],[POPOLAZIONE TOTALE DI OGNI REGIONE (CON FILTRO)]]</f>
        <v>2.7751663914193201E-3</v>
      </c>
      <c r="H76" t="str">
        <f>IF(Comuni__2[[#This Row],[Popolazione2011]]&gt;300000,"MAGGIORE","")</f>
        <v/>
      </c>
      <c r="J76">
        <v>260</v>
      </c>
      <c r="K76">
        <v>1014</v>
      </c>
      <c r="L76">
        <v>351</v>
      </c>
    </row>
    <row r="77" spans="1:12" x14ac:dyDescent="0.2">
      <c r="A77"/>
      <c r="B77"/>
      <c r="C77"/>
      <c r="D77"/>
      <c r="E77" s="2">
        <f>Comuni__2[[#This Row],[Popolazione2011]]/$D$7911</f>
        <v>6.0717152024961618E-5</v>
      </c>
      <c r="F77">
        <f>SUMIFS($D$2:$D$7909, $B$2:$B$7909, "Abruzzo")</f>
        <v>1307309</v>
      </c>
      <c r="G77" s="1">
        <f>Comuni__2[[#This Row],[Popolazione2011]]/Comuni__2[[#This Row],[POPOLAZIONE TOTALE DI OGNI REGIONE (CON FILTRO)]]</f>
        <v>2.7598677894820583E-3</v>
      </c>
      <c r="H77" t="str">
        <f>IF(Comuni__2[[#This Row],[Popolazione2011]]&gt;300000,"MAGGIORE","")</f>
        <v/>
      </c>
      <c r="J77">
        <v>256</v>
      </c>
      <c r="K77">
        <v>1055</v>
      </c>
      <c r="L77">
        <v>355</v>
      </c>
    </row>
    <row r="78" spans="1:12" x14ac:dyDescent="0.2">
      <c r="A78"/>
      <c r="B78"/>
      <c r="C78"/>
      <c r="D78"/>
      <c r="E78" s="2">
        <f>Comuni__2[[#This Row],[Popolazione2011]]/$D$7911</f>
        <v>5.7199999925954692E-5</v>
      </c>
      <c r="F78">
        <f>SUMIFS($D$2:$D$7909, $B$2:$B$7909, "Abruzzo")</f>
        <v>1307309</v>
      </c>
      <c r="G78" s="1">
        <f>Comuni__2[[#This Row],[Popolazione2011]]/Comuni__2[[#This Row],[POPOLAZIONE TOTALE DI OGNI REGIONE (CON FILTRO)]]</f>
        <v>2.5999973992376709E-3</v>
      </c>
      <c r="H78" t="str">
        <f>IF(Comuni__2[[#This Row],[Popolazione2011]]&gt;300000,"MAGGIORE","")</f>
        <v/>
      </c>
      <c r="J78">
        <v>243</v>
      </c>
      <c r="K78">
        <v>1073</v>
      </c>
      <c r="L78">
        <v>359</v>
      </c>
    </row>
    <row r="79" spans="1:12" x14ac:dyDescent="0.2">
      <c r="A79"/>
      <c r="B79"/>
      <c r="C79"/>
      <c r="D79"/>
      <c r="E79" s="2">
        <f>Comuni__2[[#This Row],[Popolazione2011]]/$D$7911</f>
        <v>5.6779287952389268E-5</v>
      </c>
      <c r="F79">
        <f>SUMIFS($D$2:$D$7909, $B$2:$B$7909, "Abruzzo")</f>
        <v>1307309</v>
      </c>
      <c r="G79" s="1">
        <f>Comuni__2[[#This Row],[Popolazione2011]]/Comuni__2[[#This Row],[POPOLAZIONE TOTALE DI OGNI REGIONE (CON FILTRO)]]</f>
        <v>2.5808741468160931E-3</v>
      </c>
      <c r="H79" t="str">
        <f>IF(Comuni__2[[#This Row],[Popolazione2011]]&gt;300000,"MAGGIORE","")</f>
        <v/>
      </c>
      <c r="J79">
        <v>240</v>
      </c>
      <c r="K79">
        <v>1132</v>
      </c>
      <c r="L79">
        <v>366</v>
      </c>
    </row>
    <row r="80" spans="1:12" x14ac:dyDescent="0.2">
      <c r="A80"/>
      <c r="B80"/>
      <c r="C80"/>
      <c r="D80"/>
      <c r="E80" s="2">
        <f>Comuni__2[[#This Row],[Popolazione2011]]/$D$7911</f>
        <v>5.5281553326496372E-5</v>
      </c>
      <c r="F80">
        <f>SUMIFS($D$2:$D$7909, $B$2:$B$7909, "Abruzzo")</f>
        <v>1307309</v>
      </c>
      <c r="G80" s="1">
        <f>Comuni__2[[#This Row],[Popolazione2011]]/Comuni__2[[#This Row],[POPOLAZIONE TOTALE DI OGNI REGIONE (CON FILTRO)]]</f>
        <v>2.5127953681952776E-3</v>
      </c>
      <c r="H80" t="str">
        <f>IF(Comuni__2[[#This Row],[Popolazione2011]]&gt;300000,"MAGGIORE","")</f>
        <v/>
      </c>
      <c r="J80">
        <v>230</v>
      </c>
      <c r="K80">
        <v>1197</v>
      </c>
      <c r="L80">
        <v>370</v>
      </c>
    </row>
    <row r="81" spans="1:12" x14ac:dyDescent="0.2">
      <c r="A81"/>
      <c r="B81"/>
      <c r="C81"/>
      <c r="D81"/>
      <c r="E81" s="2">
        <f>Comuni__2[[#This Row],[Popolazione2011]]/$D$7911</f>
        <v>5.492815526870142E-5</v>
      </c>
      <c r="F81">
        <f>SUMIFS($D$2:$D$7909, $B$2:$B$7909, "Abruzzo")</f>
        <v>1307309</v>
      </c>
      <c r="G81" s="1">
        <f>Comuni__2[[#This Row],[Popolazione2011]]/Comuni__2[[#This Row],[POPOLAZIONE TOTALE DI OGNI REGIONE (CON FILTRO)]]</f>
        <v>2.4967318361611523E-3</v>
      </c>
      <c r="H81" t="str">
        <f>IF(Comuni__2[[#This Row],[Popolazione2011]]&gt;300000,"MAGGIORE","")</f>
        <v/>
      </c>
      <c r="J81">
        <v>221</v>
      </c>
      <c r="K81">
        <v>1263</v>
      </c>
      <c r="L81">
        <v>375</v>
      </c>
    </row>
    <row r="82" spans="1:12" x14ac:dyDescent="0.2">
      <c r="A82"/>
      <c r="B82"/>
      <c r="C82"/>
      <c r="D82"/>
      <c r="E82" s="2">
        <f>Comuni__2[[#This Row],[Popolazione2011]]/$D$7911</f>
        <v>5.3413592163865901E-5</v>
      </c>
      <c r="F82">
        <f>SUMIFS($D$2:$D$7909, $B$2:$B$7909, "Abruzzo")</f>
        <v>1307309</v>
      </c>
      <c r="G82" s="1">
        <f>Comuni__2[[#This Row],[Popolazione2011]]/Comuni__2[[#This Row],[POPOLAZIONE TOTALE DI OGNI REGIONE (CON FILTRO)]]</f>
        <v>2.4278881274434738E-3</v>
      </c>
      <c r="H82" t="str">
        <f>IF(Comuni__2[[#This Row],[Popolazione2011]]&gt;300000,"MAGGIORE","")</f>
        <v/>
      </c>
      <c r="J82">
        <v>221</v>
      </c>
      <c r="K82">
        <v>1275</v>
      </c>
      <c r="L82">
        <v>379</v>
      </c>
    </row>
    <row r="83" spans="1:12" x14ac:dyDescent="0.2">
      <c r="A83"/>
      <c r="B83"/>
      <c r="C83"/>
      <c r="D83"/>
      <c r="E83" s="2">
        <f>Comuni__2[[#This Row],[Popolazione2011]]/$D$7911</f>
        <v>5.3060194106070949E-5</v>
      </c>
      <c r="F83">
        <f>SUMIFS($D$2:$D$7909, $B$2:$B$7909, "Abruzzo")</f>
        <v>1307309</v>
      </c>
      <c r="G83" s="1">
        <f>Comuni__2[[#This Row],[Popolazione2011]]/Comuni__2[[#This Row],[POPOLAZIONE TOTALE DI OGNI REGIONE (CON FILTRO)]]</f>
        <v>2.4118245954093485E-3</v>
      </c>
      <c r="H83" t="str">
        <f>IF(Comuni__2[[#This Row],[Popolazione2011]]&gt;300000,"MAGGIORE","")</f>
        <v/>
      </c>
      <c r="J83">
        <v>211</v>
      </c>
      <c r="K83">
        <v>1313</v>
      </c>
      <c r="L83">
        <v>381</v>
      </c>
    </row>
    <row r="84" spans="1:12" x14ac:dyDescent="0.2">
      <c r="A84"/>
      <c r="B84"/>
      <c r="C84"/>
      <c r="D84"/>
      <c r="E84" s="2">
        <f>Comuni__2[[#This Row],[Popolazione2011]]/$D$7911</f>
        <v>5.2100970806341789E-5</v>
      </c>
      <c r="F84">
        <f>SUMIFS($D$2:$D$7909, $B$2:$B$7909, "Abruzzo")</f>
        <v>1307309</v>
      </c>
      <c r="G84" s="1">
        <f>Comuni__2[[#This Row],[Popolazione2011]]/Comuni__2[[#This Row],[POPOLAZIONE TOTALE DI OGNI REGIONE (CON FILTRO)]]</f>
        <v>2.3682235798881518E-3</v>
      </c>
      <c r="H84" t="str">
        <f>IF(Comuni__2[[#This Row],[Popolazione2011]]&gt;300000,"MAGGIORE","")</f>
        <v/>
      </c>
      <c r="J84">
        <v>202</v>
      </c>
      <c r="K84">
        <v>1372</v>
      </c>
      <c r="L84">
        <v>383</v>
      </c>
    </row>
    <row r="85" spans="1:12" x14ac:dyDescent="0.2">
      <c r="A85"/>
      <c r="B85"/>
      <c r="C85"/>
      <c r="D85"/>
      <c r="E85" s="2">
        <f>Comuni__2[[#This Row],[Popolazione2011]]/$D$7911</f>
        <v>5.1175404464497861E-5</v>
      </c>
      <c r="F85">
        <f>SUMIFS($D$2:$D$7909, $B$2:$B$7909, "Abruzzo")</f>
        <v>1307309</v>
      </c>
      <c r="G85" s="1">
        <f>Comuni__2[[#This Row],[Popolazione2011]]/Comuni__2[[#This Row],[POPOLAZIONE TOTALE DI OGNI REGIONE (CON FILTRO)]]</f>
        <v>2.3261524245606815E-3</v>
      </c>
      <c r="H85" t="str">
        <f>IF(Comuni__2[[#This Row],[Popolazione2011]]&gt;300000,"MAGGIORE","")</f>
        <v/>
      </c>
      <c r="J85">
        <v>199</v>
      </c>
      <c r="K85">
        <v>1379</v>
      </c>
      <c r="L85">
        <v>385</v>
      </c>
    </row>
    <row r="86" spans="1:12" x14ac:dyDescent="0.2">
      <c r="A86"/>
      <c r="B86"/>
      <c r="C86"/>
      <c r="D86"/>
      <c r="E86" s="2">
        <f>Comuni__2[[#This Row],[Popolazione2011]]/$D$7911</f>
        <v>5.0805177927760286E-5</v>
      </c>
      <c r="F86">
        <f>SUMIFS($D$2:$D$7909, $B$2:$B$7909, "Abruzzo")</f>
        <v>1307309</v>
      </c>
      <c r="G86" s="1">
        <f>Comuni__2[[#This Row],[Popolazione2011]]/Comuni__2[[#This Row],[POPOLAZIONE TOTALE DI OGNI REGIONE (CON FILTRO)]]</f>
        <v>2.3093239624296935E-3</v>
      </c>
      <c r="H86" t="str">
        <f>IF(Comuni__2[[#This Row],[Popolazione2011]]&gt;300000,"MAGGIORE","")</f>
        <v/>
      </c>
      <c r="J86">
        <v>197</v>
      </c>
      <c r="K86">
        <v>1392</v>
      </c>
      <c r="L86">
        <v>388</v>
      </c>
    </row>
    <row r="87" spans="1:12" x14ac:dyDescent="0.2">
      <c r="A87"/>
      <c r="B87"/>
      <c r="C87"/>
      <c r="D87"/>
      <c r="E87" s="2">
        <f>Comuni__2[[#This Row],[Popolazione2011]]/$D$7911</f>
        <v>4.939158569658047E-5</v>
      </c>
      <c r="F87">
        <f>SUMIFS($D$2:$D$7909, $B$2:$B$7909, "Abruzzo")</f>
        <v>1307309</v>
      </c>
      <c r="G87" s="1">
        <f>Comuni__2[[#This Row],[Popolazione2011]]/Comuni__2[[#This Row],[POPOLAZIONE TOTALE DI OGNI REGIONE (CON FILTRO)]]</f>
        <v>2.2450698342931933E-3</v>
      </c>
      <c r="H87" t="str">
        <f>IF(Comuni__2[[#This Row],[Popolazione2011]]&gt;300000,"MAGGIORE","")</f>
        <v/>
      </c>
      <c r="J87">
        <v>194</v>
      </c>
      <c r="K87">
        <v>1419</v>
      </c>
      <c r="L87">
        <v>389</v>
      </c>
    </row>
    <row r="88" spans="1:12" x14ac:dyDescent="0.2">
      <c r="A88"/>
      <c r="B88"/>
      <c r="C88"/>
      <c r="D88"/>
      <c r="E88" s="2">
        <f>Comuni__2[[#This Row],[Popolazione2011]]/$D$7911</f>
        <v>4.9341100259752622E-5</v>
      </c>
      <c r="F88">
        <f>SUMIFS($D$2:$D$7909, $B$2:$B$7909, "Abruzzo")</f>
        <v>1307309</v>
      </c>
      <c r="G88" s="1">
        <f>Comuni__2[[#This Row],[Popolazione2011]]/Comuni__2[[#This Row],[POPOLAZIONE TOTALE DI OGNI REGIONE (CON FILTRO)]]</f>
        <v>2.2427750440026039E-3</v>
      </c>
      <c r="H88" t="str">
        <f>IF(Comuni__2[[#This Row],[Popolazione2011]]&gt;300000,"MAGGIORE","")</f>
        <v/>
      </c>
      <c r="J88">
        <v>191</v>
      </c>
      <c r="K88">
        <v>1499</v>
      </c>
      <c r="L88">
        <v>389</v>
      </c>
    </row>
    <row r="89" spans="1:12" x14ac:dyDescent="0.2">
      <c r="A89"/>
      <c r="B89"/>
      <c r="C89"/>
      <c r="D89"/>
      <c r="E89" s="2">
        <f>Comuni__2[[#This Row],[Popolazione2011]]/$D$7911</f>
        <v>4.7675080844433551E-5</v>
      </c>
      <c r="F89">
        <f>SUMIFS($D$2:$D$7909, $B$2:$B$7909, "Abruzzo")</f>
        <v>1307309</v>
      </c>
      <c r="G89" s="1">
        <f>Comuni__2[[#This Row],[Popolazione2011]]/Comuni__2[[#This Row],[POPOLAZIONE TOTALE DI OGNI REGIONE (CON FILTRO)]]</f>
        <v>2.1670469644131571E-3</v>
      </c>
      <c r="H89" t="str">
        <f>IF(Comuni__2[[#This Row],[Popolazione2011]]&gt;300000,"MAGGIORE","")</f>
        <v/>
      </c>
      <c r="J89">
        <v>180</v>
      </c>
      <c r="K89">
        <v>1549</v>
      </c>
      <c r="L89">
        <v>391</v>
      </c>
    </row>
    <row r="90" spans="1:12" x14ac:dyDescent="0.2">
      <c r="A90"/>
      <c r="B90"/>
      <c r="C90"/>
      <c r="D90"/>
      <c r="E90" s="2">
        <f>Comuni__2[[#This Row],[Popolazione2011]]/$D$7911</f>
        <v>4.7321682786638599E-5</v>
      </c>
      <c r="F90">
        <f>SUMIFS($D$2:$D$7909, $B$2:$B$7909, "Abruzzo")</f>
        <v>1307309</v>
      </c>
      <c r="G90" s="1">
        <f>Comuni__2[[#This Row],[Popolazione2011]]/Comuni__2[[#This Row],[POPOLAZIONE TOTALE DI OGNI REGIONE (CON FILTRO)]]</f>
        <v>2.1509834323790319E-3</v>
      </c>
      <c r="H90" t="str">
        <f>IF(Comuni__2[[#This Row],[Popolazione2011]]&gt;300000,"MAGGIORE","")</f>
        <v/>
      </c>
      <c r="J90">
        <v>161</v>
      </c>
      <c r="K90">
        <v>1647</v>
      </c>
      <c r="L90">
        <v>394</v>
      </c>
    </row>
    <row r="91" spans="1:12" x14ac:dyDescent="0.2">
      <c r="A91"/>
      <c r="B91"/>
      <c r="C91"/>
      <c r="D91"/>
      <c r="E91" s="2">
        <f>Comuni__2[[#This Row],[Popolazione2011]]/$D$7911</f>
        <v>4.7321682786638599E-5</v>
      </c>
      <c r="F91">
        <f>SUMIFS($D$2:$D$7909, $B$2:$B$7909, "Abruzzo")</f>
        <v>1307309</v>
      </c>
      <c r="G91" s="1">
        <f>Comuni__2[[#This Row],[Popolazione2011]]/Comuni__2[[#This Row],[POPOLAZIONE TOTALE DI OGNI REGIONE (CON FILTRO)]]</f>
        <v>2.1509834323790319E-3</v>
      </c>
      <c r="H91" t="str">
        <f>IF(Comuni__2[[#This Row],[Popolazione2011]]&gt;300000,"MAGGIORE","")</f>
        <v/>
      </c>
      <c r="J91">
        <v>160</v>
      </c>
      <c r="K91">
        <v>1659</v>
      </c>
      <c r="L91">
        <v>394</v>
      </c>
    </row>
    <row r="92" spans="1:12" x14ac:dyDescent="0.2">
      <c r="A92"/>
      <c r="B92"/>
      <c r="C92"/>
      <c r="D92"/>
      <c r="E92" s="2">
        <f>Comuni__2[[#This Row],[Popolazione2011]]/$D$7911</f>
        <v>4.6480258839507759E-5</v>
      </c>
      <c r="F92">
        <f>SUMIFS($D$2:$D$7909, $B$2:$B$7909, "Abruzzo")</f>
        <v>1307309</v>
      </c>
      <c r="G92" s="1">
        <f>Comuni__2[[#This Row],[Popolazione2011]]/Comuni__2[[#This Row],[POPOLAZIONE TOTALE DI OGNI REGIONE (CON FILTRO)]]</f>
        <v>2.1127369275358771E-3</v>
      </c>
      <c r="H92" t="str">
        <f>IF(Comuni__2[[#This Row],[Popolazione2011]]&gt;300000,"MAGGIORE","")</f>
        <v/>
      </c>
      <c r="J92">
        <v>152</v>
      </c>
      <c r="K92">
        <v>1736</v>
      </c>
      <c r="L92">
        <v>398</v>
      </c>
    </row>
    <row r="93" spans="1:12" x14ac:dyDescent="0.2">
      <c r="A93"/>
      <c r="B93"/>
      <c r="C93"/>
      <c r="D93"/>
      <c r="E93" s="2">
        <f>Comuni__2[[#This Row],[Popolazione2011]]/$D$7911</f>
        <v>4.5790291202860464E-5</v>
      </c>
      <c r="F93">
        <f>SUMIFS($D$2:$D$7909, $B$2:$B$7909, "Abruzzo")</f>
        <v>1307309</v>
      </c>
      <c r="G93" s="1">
        <f>Comuni__2[[#This Row],[Popolazione2011]]/Comuni__2[[#This Row],[POPOLAZIONE TOTALE DI OGNI REGIONE (CON FILTRO)]]</f>
        <v>2.0813747935644901E-3</v>
      </c>
      <c r="H93" t="str">
        <f>IF(Comuni__2[[#This Row],[Popolazione2011]]&gt;300000,"MAGGIORE","")</f>
        <v/>
      </c>
      <c r="J93">
        <v>152</v>
      </c>
      <c r="K93">
        <v>1781</v>
      </c>
      <c r="L93">
        <v>400</v>
      </c>
    </row>
    <row r="94" spans="1:12" x14ac:dyDescent="0.2">
      <c r="A94"/>
      <c r="B94"/>
      <c r="C94"/>
      <c r="D94"/>
      <c r="E94" s="2">
        <f>Comuni__2[[#This Row],[Popolazione2011]]/$D$7911</f>
        <v>4.4932038776787007E-5</v>
      </c>
      <c r="F94">
        <f>SUMIFS($D$2:$D$7909, $B$2:$B$7909, "Abruzzo")</f>
        <v>1307309</v>
      </c>
      <c r="G94" s="1">
        <f>Comuni__2[[#This Row],[Popolazione2011]]/Comuni__2[[#This Row],[POPOLAZIONE TOTALE DI OGNI REGIONE (CON FILTRO)]]</f>
        <v>2.0423633586244723E-3</v>
      </c>
      <c r="H94" t="str">
        <f>IF(Comuni__2[[#This Row],[Popolazione2011]]&gt;300000,"MAGGIORE","")</f>
        <v/>
      </c>
      <c r="J94">
        <v>145</v>
      </c>
      <c r="K94">
        <v>1921</v>
      </c>
      <c r="L94">
        <v>400</v>
      </c>
    </row>
    <row r="95" spans="1:12" x14ac:dyDescent="0.2">
      <c r="A95"/>
      <c r="B95"/>
      <c r="C95"/>
      <c r="D95"/>
      <c r="E95" s="2">
        <f>Comuni__2[[#This Row],[Popolazione2011]]/$D$7911</f>
        <v>4.4359870492738032E-5</v>
      </c>
      <c r="F95">
        <f>SUMIFS($D$2:$D$7909, $B$2:$B$7909, "Abruzzo")</f>
        <v>1307309</v>
      </c>
      <c r="G95" s="1">
        <f>Comuni__2[[#This Row],[Popolazione2011]]/Comuni__2[[#This Row],[POPOLAZIONE TOTALE DI OGNI REGIONE (CON FILTRO)]]</f>
        <v>2.0163557353311268E-3</v>
      </c>
      <c r="H95" t="str">
        <f>IF(Comuni__2[[#This Row],[Popolazione2011]]&gt;300000,"MAGGIORE","")</f>
        <v/>
      </c>
      <c r="J95">
        <v>141</v>
      </c>
      <c r="K95">
        <v>1969</v>
      </c>
      <c r="L95">
        <v>400</v>
      </c>
    </row>
    <row r="96" spans="1:12" x14ac:dyDescent="0.2">
      <c r="A96"/>
      <c r="B96"/>
      <c r="C96"/>
      <c r="D96"/>
      <c r="E96" s="2">
        <f>Comuni__2[[#This Row],[Popolazione2011]]/$D$7911</f>
        <v>4.3585760461377656E-5</v>
      </c>
      <c r="F96">
        <f>SUMIFS($D$2:$D$7909, $B$2:$B$7909, "Abruzzo")</f>
        <v>1307309</v>
      </c>
      <c r="G96" s="1">
        <f>Comuni__2[[#This Row],[Popolazione2011]]/Comuni__2[[#This Row],[POPOLAZIONE TOTALE DI OGNI REGIONE (CON FILTRO)]]</f>
        <v>1.9811689508754241E-3</v>
      </c>
      <c r="H96" t="str">
        <f>IF(Comuni__2[[#This Row],[Popolazione2011]]&gt;300000,"MAGGIORE","")</f>
        <v/>
      </c>
      <c r="J96">
        <v>131</v>
      </c>
      <c r="K96">
        <v>2011</v>
      </c>
      <c r="L96">
        <v>402</v>
      </c>
    </row>
    <row r="97" spans="1:12" x14ac:dyDescent="0.2">
      <c r="A97"/>
      <c r="B97"/>
      <c r="C97"/>
      <c r="D97"/>
      <c r="E97" s="2">
        <f>Comuni__2[[#This Row],[Popolazione2011]]/$D$7911</f>
        <v>4.3148220008869617E-5</v>
      </c>
      <c r="F97">
        <f>SUMIFS($D$2:$D$7909, $B$2:$B$7909, "Abruzzo")</f>
        <v>1307309</v>
      </c>
      <c r="G97" s="1">
        <f>Comuni__2[[#This Row],[Popolazione2011]]/Comuni__2[[#This Row],[POPOLAZIONE TOTALE DI OGNI REGIONE (CON FILTRO)]]</f>
        <v>1.9612807683569836E-3</v>
      </c>
      <c r="H97" t="str">
        <f>IF(Comuni__2[[#This Row],[Popolazione2011]]&gt;300000,"MAGGIORE","")</f>
        <v/>
      </c>
      <c r="J97">
        <v>125</v>
      </c>
      <c r="K97">
        <v>2063</v>
      </c>
      <c r="L97">
        <v>404</v>
      </c>
    </row>
    <row r="98" spans="1:12" x14ac:dyDescent="0.2">
      <c r="A98"/>
      <c r="B98"/>
      <c r="C98"/>
      <c r="D98"/>
      <c r="E98" s="2">
        <f>Comuni__2[[#This Row],[Popolazione2011]]/$D$7911</f>
        <v>4.1280258846239146E-5</v>
      </c>
      <c r="F98">
        <f>SUMIFS($D$2:$D$7909, $B$2:$B$7909, "Abruzzo")</f>
        <v>1307309</v>
      </c>
      <c r="G98" s="1">
        <f>Comuni__2[[#This Row],[Popolazione2011]]/Comuni__2[[#This Row],[POPOLAZIONE TOTALE DI OGNI REGIONE (CON FILTRO)]]</f>
        <v>1.8763735276051798E-3</v>
      </c>
      <c r="H98" t="str">
        <f>IF(Comuni__2[[#This Row],[Popolazione2011]]&gt;300000,"MAGGIORE","")</f>
        <v/>
      </c>
      <c r="J98">
        <v>125</v>
      </c>
      <c r="K98">
        <v>2063</v>
      </c>
      <c r="L98">
        <v>404</v>
      </c>
    </row>
    <row r="99" spans="1:12" x14ac:dyDescent="0.2">
      <c r="A99"/>
      <c r="B99"/>
      <c r="C99"/>
      <c r="D99"/>
      <c r="E99" s="2">
        <f>Comuni__2[[#This Row],[Popolazione2011]]/$D$7911</f>
        <v>4.1027831662099897E-5</v>
      </c>
      <c r="F99">
        <f>SUMIFS($D$2:$D$7909, $B$2:$B$7909, "Abruzzo")</f>
        <v>1307309</v>
      </c>
      <c r="G99" s="1">
        <f>Comuni__2[[#This Row],[Popolazione2011]]/Comuni__2[[#This Row],[POPOLAZIONE TOTALE DI OGNI REGIONE (CON FILTRO)]]</f>
        <v>1.8648995761522333E-3</v>
      </c>
      <c r="H99" t="str">
        <f>IF(Comuni__2[[#This Row],[Popolazione2011]]&gt;300000,"MAGGIORE","")</f>
        <v/>
      </c>
      <c r="J99">
        <v>108</v>
      </c>
      <c r="K99">
        <v>2064</v>
      </c>
      <c r="L99">
        <v>405</v>
      </c>
    </row>
    <row r="100" spans="1:12" x14ac:dyDescent="0.2">
      <c r="A100"/>
      <c r="B100"/>
      <c r="C100"/>
      <c r="D100"/>
      <c r="E100" s="2">
        <f>Comuni__2[[#This Row],[Popolazione2011]]/$D$7911</f>
        <v>4.1011003183157281E-5</v>
      </c>
      <c r="F100">
        <f>SUMIFS($D$2:$D$7909, $B$2:$B$7909, "Abruzzo")</f>
        <v>1307309</v>
      </c>
      <c r="G100" s="1">
        <f>Comuni__2[[#This Row],[Popolazione2011]]/Comuni__2[[#This Row],[POPOLAZIONE TOTALE DI OGNI REGIONE (CON FILTRO)]]</f>
        <v>1.8641346460553702E-3</v>
      </c>
      <c r="H100" t="str">
        <f>IF(Comuni__2[[#This Row],[Popolazione2011]]&gt;300000,"MAGGIORE","")</f>
        <v/>
      </c>
      <c r="J100">
        <v>119</v>
      </c>
      <c r="K100">
        <v>2093</v>
      </c>
      <c r="L100">
        <v>408</v>
      </c>
    </row>
    <row r="101" spans="1:12" x14ac:dyDescent="0.2">
      <c r="A101"/>
      <c r="B101"/>
      <c r="C101"/>
      <c r="D101"/>
      <c r="E101" s="2">
        <f>Comuni__2[[#This Row],[Popolazione2011]]/$D$7911</f>
        <v>4.0943689267386809E-5</v>
      </c>
      <c r="F101">
        <f>SUMIFS($D$2:$D$7909, $B$2:$B$7909, "Abruzzo")</f>
        <v>1307309</v>
      </c>
      <c r="G101" s="1">
        <f>Comuni__2[[#This Row],[Popolazione2011]]/Comuni__2[[#This Row],[POPOLAZIONE TOTALE DI OGNI REGIONE (CON FILTRO)]]</f>
        <v>1.8610749256679179E-3</v>
      </c>
      <c r="H101" t="str">
        <f>IF(Comuni__2[[#This Row],[Popolazione2011]]&gt;300000,"MAGGIORE","")</f>
        <v/>
      </c>
      <c r="J101">
        <v>119</v>
      </c>
      <c r="K101">
        <v>2093</v>
      </c>
      <c r="L101">
        <v>413</v>
      </c>
    </row>
    <row r="102" spans="1:12" x14ac:dyDescent="0.2">
      <c r="A102"/>
      <c r="B102"/>
      <c r="C102"/>
      <c r="D102"/>
      <c r="E102" s="2">
        <f>Comuni__2[[#This Row],[Popolazione2011]]/$D$7911</f>
        <v>4.0758575999018025E-5</v>
      </c>
      <c r="F102">
        <f>SUMIFS($D$2:$D$7909, $B$2:$B$7909, "Abruzzo")</f>
        <v>1307309</v>
      </c>
      <c r="G102" s="1">
        <f>Comuni__2[[#This Row],[Popolazione2011]]/Comuni__2[[#This Row],[POPOLAZIONE TOTALE DI OGNI REGIONE (CON FILTRO)]]</f>
        <v>1.8526606946024237E-3</v>
      </c>
      <c r="H102" t="str">
        <f>IF(Comuni__2[[#This Row],[Popolazione2011]]&gt;300000,"MAGGIORE","")</f>
        <v/>
      </c>
      <c r="J102">
        <v>115</v>
      </c>
      <c r="K102">
        <v>2102</v>
      </c>
      <c r="L102">
        <v>414</v>
      </c>
    </row>
    <row r="103" spans="1:12" x14ac:dyDescent="0.2">
      <c r="A103"/>
      <c r="B103"/>
      <c r="C103"/>
      <c r="D103"/>
      <c r="E103" s="2">
        <f>Comuni__2[[#This Row],[Popolazione2011]]/$D$7911</f>
        <v>3.9782524220346249E-5</v>
      </c>
      <c r="F103">
        <f>SUMIFS($D$2:$D$7909, $B$2:$B$7909, "Abruzzo")</f>
        <v>1307309</v>
      </c>
      <c r="G103" s="1">
        <f>Comuni__2[[#This Row],[Popolazione2011]]/Comuni__2[[#This Row],[POPOLAZIONE TOTALE DI OGNI REGIONE (CON FILTRO)]]</f>
        <v>1.8082947489843641E-3</v>
      </c>
      <c r="H103" t="str">
        <f>IF(Comuni__2[[#This Row],[Popolazione2011]]&gt;300000,"MAGGIORE","")</f>
        <v/>
      </c>
      <c r="J103">
        <v>112</v>
      </c>
      <c r="K103">
        <v>2136</v>
      </c>
      <c r="L103">
        <v>415</v>
      </c>
    </row>
    <row r="104" spans="1:12" x14ac:dyDescent="0.2">
      <c r="A104"/>
      <c r="B104"/>
      <c r="C104"/>
      <c r="D104"/>
      <c r="E104" s="2">
        <f>Comuni__2[[#This Row],[Popolazione2011]]/$D$7911</f>
        <v>3.9513268557264378E-5</v>
      </c>
      <c r="F104">
        <f>SUMIFS($D$2:$D$7909, $B$2:$B$7909, "Abruzzo")</f>
        <v>1307309</v>
      </c>
      <c r="G104" s="1">
        <f>Comuni__2[[#This Row],[Popolazione2011]]/Comuni__2[[#This Row],[POPOLAZIONE TOTALE DI OGNI REGIONE (CON FILTRO)]]</f>
        <v>1.7960558674345545E-3</v>
      </c>
      <c r="H104" t="str">
        <f>IF(Comuni__2[[#This Row],[Popolazione2011]]&gt;300000,"MAGGIORE","")</f>
        <v/>
      </c>
      <c r="J104">
        <v>107</v>
      </c>
      <c r="K104">
        <v>2172</v>
      </c>
      <c r="L104">
        <v>415</v>
      </c>
    </row>
    <row r="105" spans="1:12" x14ac:dyDescent="0.2">
      <c r="A105"/>
      <c r="B105"/>
      <c r="C105"/>
      <c r="D105"/>
      <c r="E105" s="2">
        <f>Comuni__2[[#This Row],[Popolazione2011]]/$D$7911</f>
        <v>3.8806472441674467E-5</v>
      </c>
      <c r="F105">
        <f>SUMIFS($D$2:$D$7909, $B$2:$B$7909, "Abruzzo")</f>
        <v>1307309</v>
      </c>
      <c r="G105" s="1">
        <f>Comuni__2[[#This Row],[Popolazione2011]]/Comuni__2[[#This Row],[POPOLAZIONE TOTALE DI OGNI REGIONE (CON FILTRO)]]</f>
        <v>1.7639288033663044E-3</v>
      </c>
      <c r="H105" t="str">
        <f>IF(Comuni__2[[#This Row],[Popolazione2011]]&gt;300000,"MAGGIORE","")</f>
        <v/>
      </c>
      <c r="J105">
        <v>99</v>
      </c>
      <c r="K105">
        <v>2187</v>
      </c>
      <c r="L105">
        <v>418</v>
      </c>
    </row>
    <row r="106" spans="1:12" x14ac:dyDescent="0.2">
      <c r="A106"/>
      <c r="B106"/>
      <c r="C106"/>
      <c r="D106"/>
      <c r="E106" s="2">
        <f>Comuni__2[[#This Row],[Popolazione2011]]/$D$7911</f>
        <v>3.8554045257535218E-5</v>
      </c>
      <c r="F106">
        <f>SUMIFS($D$2:$D$7909, $B$2:$B$7909, "Abruzzo")</f>
        <v>1307309</v>
      </c>
      <c r="G106" s="1">
        <f>Comuni__2[[#This Row],[Popolazione2011]]/Comuni__2[[#This Row],[POPOLAZIONE TOTALE DI OGNI REGIONE (CON FILTRO)]]</f>
        <v>1.7524548519133579E-3</v>
      </c>
      <c r="H106" t="str">
        <f>IF(Comuni__2[[#This Row],[Popolazione2011]]&gt;300000,"MAGGIORE","")</f>
        <v/>
      </c>
      <c r="J106">
        <v>92</v>
      </c>
      <c r="K106">
        <v>2194</v>
      </c>
      <c r="L106">
        <v>418</v>
      </c>
    </row>
    <row r="107" spans="1:12" x14ac:dyDescent="0.2">
      <c r="A107"/>
      <c r="B107"/>
      <c r="C107"/>
      <c r="D107"/>
      <c r="E107" s="2">
        <f>Comuni__2[[#This Row],[Popolazione2011]]/$D$7911</f>
        <v>3.8402588947051666E-5</v>
      </c>
      <c r="F107">
        <f>SUMIFS($D$2:$D$7909, $B$2:$B$7909, "Abruzzo")</f>
        <v>1307309</v>
      </c>
      <c r="G107" s="1">
        <f>Comuni__2[[#This Row],[Popolazione2011]]/Comuni__2[[#This Row],[POPOLAZIONE TOTALE DI OGNI REGIONE (CON FILTRO)]]</f>
        <v>1.7455704810415899E-3</v>
      </c>
      <c r="H107" t="str">
        <f>IF(Comuni__2[[#This Row],[Popolazione2011]]&gt;300000,"MAGGIORE","")</f>
        <v/>
      </c>
      <c r="J107">
        <v>93</v>
      </c>
      <c r="K107">
        <v>2215</v>
      </c>
      <c r="L107">
        <v>418</v>
      </c>
    </row>
    <row r="108" spans="1:12" x14ac:dyDescent="0.2">
      <c r="A108"/>
      <c r="B108"/>
      <c r="C108"/>
      <c r="D108"/>
      <c r="E108" s="2">
        <f>Comuni__2[[#This Row],[Popolazione2011]]/$D$7911</f>
        <v>3.7645307394633906E-5</v>
      </c>
      <c r="F108">
        <f>SUMIFS($D$2:$D$7909, $B$2:$B$7909, "Abruzzo")</f>
        <v>1307309</v>
      </c>
      <c r="G108" s="1">
        <f>Comuni__2[[#This Row],[Popolazione2011]]/Comuni__2[[#This Row],[POPOLAZIONE TOTALE DI OGNI REGIONE (CON FILTRO)]]</f>
        <v>1.7111486266827506E-3</v>
      </c>
      <c r="H108" t="str">
        <f>IF(Comuni__2[[#This Row],[Popolazione2011]]&gt;300000,"MAGGIORE","")</f>
        <v/>
      </c>
      <c r="J108">
        <v>95</v>
      </c>
      <c r="K108">
        <v>2248</v>
      </c>
      <c r="L108">
        <v>451</v>
      </c>
    </row>
    <row r="109" spans="1:12" x14ac:dyDescent="0.2">
      <c r="A109"/>
      <c r="B109"/>
      <c r="C109"/>
      <c r="D109"/>
      <c r="E109" s="2">
        <f>Comuni__2[[#This Row],[Popolazione2011]]/$D$7911</f>
        <v>3.7477022605207738E-5</v>
      </c>
      <c r="F109">
        <f>SUMIFS($D$2:$D$7909, $B$2:$B$7909, "Abruzzo")</f>
        <v>1307309</v>
      </c>
      <c r="G109" s="1">
        <f>Comuni__2[[#This Row],[Popolazione2011]]/Comuni__2[[#This Row],[POPOLAZIONE TOTALE DI OGNI REGIONE (CON FILTRO)]]</f>
        <v>1.7034993257141195E-3</v>
      </c>
      <c r="H109" t="str">
        <f>IF(Comuni__2[[#This Row],[Popolazione2011]]&gt;300000,"MAGGIORE","")</f>
        <v/>
      </c>
      <c r="J109">
        <v>88</v>
      </c>
      <c r="K109">
        <v>2263</v>
      </c>
      <c r="L109">
        <v>453</v>
      </c>
    </row>
    <row r="110" spans="1:12" x14ac:dyDescent="0.2">
      <c r="A110"/>
      <c r="B110"/>
      <c r="C110"/>
      <c r="D110"/>
      <c r="E110" s="2">
        <f>Comuni__2[[#This Row],[Popolazione2011]]/$D$7911</f>
        <v>3.5827831668831284E-5</v>
      </c>
      <c r="F110">
        <f>SUMIFS($D$2:$D$7909, $B$2:$B$7909, "Abruzzo")</f>
        <v>1307309</v>
      </c>
      <c r="G110" s="1">
        <f>Comuni__2[[#This Row],[Popolazione2011]]/Comuni__2[[#This Row],[POPOLAZIONE TOTALE DI OGNI REGIONE (CON FILTRO)]]</f>
        <v>1.6285361762215359E-3</v>
      </c>
      <c r="H110" t="str">
        <f>IF(Comuni__2[[#This Row],[Popolazione2011]]&gt;300000,"MAGGIORE","")</f>
        <v/>
      </c>
      <c r="J110">
        <v>86</v>
      </c>
      <c r="K110">
        <v>2275</v>
      </c>
      <c r="L110">
        <v>453</v>
      </c>
    </row>
    <row r="111" spans="1:12" x14ac:dyDescent="0.2">
      <c r="A111"/>
      <c r="B111"/>
      <c r="C111"/>
      <c r="D111"/>
      <c r="E111" s="2">
        <f>Comuni__2[[#This Row],[Popolazione2011]]/$D$7911</f>
        <v>3.552491904786418E-5</v>
      </c>
      <c r="F111">
        <f>SUMIFS($D$2:$D$7909, $B$2:$B$7909, "Abruzzo")</f>
        <v>1307309</v>
      </c>
      <c r="G111" s="1">
        <f>Comuni__2[[#This Row],[Popolazione2011]]/Comuni__2[[#This Row],[POPOLAZIONE TOTALE DI OGNI REGIONE (CON FILTRO)]]</f>
        <v>1.6147674344780003E-3</v>
      </c>
      <c r="H111" t="str">
        <f>IF(Comuni__2[[#This Row],[Popolazione2011]]&gt;300000,"MAGGIORE","")</f>
        <v/>
      </c>
      <c r="J111">
        <v>80</v>
      </c>
      <c r="K111">
        <v>2290</v>
      </c>
      <c r="L111">
        <v>453</v>
      </c>
    </row>
    <row r="112" spans="1:12" x14ac:dyDescent="0.2">
      <c r="A112"/>
      <c r="B112"/>
      <c r="C112"/>
      <c r="D112"/>
      <c r="E112" s="2">
        <f>Comuni__2[[#This Row],[Popolazione2011]]/$D$7911</f>
        <v>3.4818122932274275E-5</v>
      </c>
      <c r="F112">
        <f>SUMIFS($D$2:$D$7909, $B$2:$B$7909, "Abruzzo")</f>
        <v>1307309</v>
      </c>
      <c r="G112" s="1">
        <f>Comuni__2[[#This Row],[Popolazione2011]]/Comuni__2[[#This Row],[POPOLAZIONE TOTALE DI OGNI REGIONE (CON FILTRO)]]</f>
        <v>1.5826403704097501E-3</v>
      </c>
      <c r="H112" t="str">
        <f>IF(Comuni__2[[#This Row],[Popolazione2011]]&gt;300000,"MAGGIORE","")</f>
        <v/>
      </c>
      <c r="J112">
        <v>76</v>
      </c>
      <c r="K112">
        <v>2312</v>
      </c>
      <c r="L112">
        <v>454</v>
      </c>
    </row>
    <row r="113" spans="1:12" x14ac:dyDescent="0.2">
      <c r="A113"/>
      <c r="B113"/>
      <c r="C113"/>
      <c r="D113"/>
      <c r="E113" s="2">
        <f>Comuni__2[[#This Row],[Popolazione2011]]/$D$7911</f>
        <v>3.3791585716774644E-5</v>
      </c>
      <c r="F113">
        <f>SUMIFS($D$2:$D$7909, $B$2:$B$7909, "Abruzzo")</f>
        <v>1307309</v>
      </c>
      <c r="G113" s="1">
        <f>Comuni__2[[#This Row],[Popolazione2011]]/Comuni__2[[#This Row],[POPOLAZIONE TOTALE DI OGNI REGIONE (CON FILTRO)]]</f>
        <v>1.5359796345011012E-3</v>
      </c>
      <c r="H113" t="str">
        <f>IF(Comuni__2[[#This Row],[Popolazione2011]]&gt;300000,"MAGGIORE","")</f>
        <v/>
      </c>
      <c r="J113">
        <v>75</v>
      </c>
      <c r="K113">
        <v>2312</v>
      </c>
      <c r="L113">
        <v>456</v>
      </c>
    </row>
    <row r="114" spans="1:12" x14ac:dyDescent="0.2">
      <c r="A114"/>
      <c r="B114"/>
      <c r="C114"/>
      <c r="D114"/>
      <c r="E114" s="2">
        <f>Comuni__2[[#This Row],[Popolazione2011]]/$D$7911</f>
        <v>3.2899676332815956E-5</v>
      </c>
      <c r="F114">
        <f>SUMIFS($D$2:$D$7909, $B$2:$B$7909, "Abruzzo")</f>
        <v>1307309</v>
      </c>
      <c r="G114" s="1">
        <f>Comuni__2[[#This Row],[Popolazione2011]]/Comuni__2[[#This Row],[POPOLAZIONE TOTALE DI OGNI REGIONE (CON FILTRO)]]</f>
        <v>1.4954383393673569E-3</v>
      </c>
      <c r="H114" t="str">
        <f>IF(Comuni__2[[#This Row],[Popolazione2011]]&gt;300000,"MAGGIORE","")</f>
        <v/>
      </c>
      <c r="J114">
        <v>74</v>
      </c>
      <c r="K114">
        <v>2337</v>
      </c>
      <c r="L114">
        <v>456</v>
      </c>
    </row>
    <row r="115" spans="1:12" x14ac:dyDescent="0.2">
      <c r="A115"/>
      <c r="B115"/>
      <c r="C115"/>
      <c r="D115"/>
      <c r="E115" s="2">
        <f>Comuni__2[[#This Row],[Popolazione2011]]/$D$7911</f>
        <v>3.2899676332815956E-5</v>
      </c>
      <c r="F115">
        <f>SUMIFS($D$2:$D$7909, $B$2:$B$7909, "Abruzzo")</f>
        <v>1307309</v>
      </c>
      <c r="G115" s="1">
        <f>Comuni__2[[#This Row],[Popolazione2011]]/Comuni__2[[#This Row],[POPOLAZIONE TOTALE DI OGNI REGIONE (CON FILTRO)]]</f>
        <v>1.4954383393673569E-3</v>
      </c>
      <c r="H115" t="str">
        <f>IF(Comuni__2[[#This Row],[Popolazione2011]]&gt;300000,"MAGGIORE","")</f>
        <v/>
      </c>
      <c r="J115">
        <v>70</v>
      </c>
      <c r="K115">
        <v>2355</v>
      </c>
      <c r="L115">
        <v>457</v>
      </c>
    </row>
    <row r="116" spans="1:12" x14ac:dyDescent="0.2">
      <c r="A116"/>
      <c r="B116"/>
      <c r="C116"/>
      <c r="D116"/>
      <c r="E116" s="2">
        <f>Comuni__2[[#This Row],[Popolazione2011]]/$D$7911</f>
        <v>3.2781876980217636E-5</v>
      </c>
      <c r="F116">
        <f>SUMIFS($D$2:$D$7909, $B$2:$B$7909, "Abruzzo")</f>
        <v>1307309</v>
      </c>
      <c r="G116" s="1">
        <f>Comuni__2[[#This Row],[Popolazione2011]]/Comuni__2[[#This Row],[POPOLAZIONE TOTALE DI OGNI REGIONE (CON FILTRO)]]</f>
        <v>1.4900838286893152E-3</v>
      </c>
      <c r="H116" t="str">
        <f>IF(Comuni__2[[#This Row],[Popolazione2011]]&gt;300000,"MAGGIORE","")</f>
        <v/>
      </c>
      <c r="J116">
        <v>63</v>
      </c>
      <c r="K116">
        <v>2386</v>
      </c>
      <c r="L116">
        <v>457</v>
      </c>
    </row>
    <row r="117" spans="1:12" x14ac:dyDescent="0.2">
      <c r="A117"/>
      <c r="B117"/>
      <c r="C117"/>
      <c r="D117"/>
      <c r="E117" s="2">
        <f>Comuni__2[[#This Row],[Popolazione2011]]/$D$7911</f>
        <v>3.2512621317135764E-5</v>
      </c>
      <c r="F117">
        <f>SUMIFS($D$2:$D$7909, $B$2:$B$7909, "Abruzzo")</f>
        <v>1307309</v>
      </c>
      <c r="G117" s="1">
        <f>Comuni__2[[#This Row],[Popolazione2011]]/Comuni__2[[#This Row],[POPOLAZIONE TOTALE DI OGNI REGIONE (CON FILTRO)]]</f>
        <v>1.4778449471395056E-3</v>
      </c>
      <c r="H117" t="str">
        <f>IF(Comuni__2[[#This Row],[Popolazione2011]]&gt;300000,"MAGGIORE","")</f>
        <v/>
      </c>
      <c r="J117">
        <v>60</v>
      </c>
      <c r="K117">
        <v>2389</v>
      </c>
      <c r="L117">
        <v>458</v>
      </c>
    </row>
    <row r="118" spans="1:12" x14ac:dyDescent="0.2">
      <c r="A118"/>
      <c r="B118"/>
      <c r="C118"/>
      <c r="D118"/>
      <c r="E118" s="2">
        <f>Comuni__2[[#This Row],[Popolazione2011]]/$D$7911</f>
        <v>3.2478964359250532E-5</v>
      </c>
      <c r="F118">
        <f>SUMIFS($D$2:$D$7909, $B$2:$B$7909, "Abruzzo")</f>
        <v>1307309</v>
      </c>
      <c r="G118" s="1">
        <f>Comuni__2[[#This Row],[Popolazione2011]]/Comuni__2[[#This Row],[POPOLAZIONE TOTALE DI OGNI REGIONE (CON FILTRO)]]</f>
        <v>1.4763150869457795E-3</v>
      </c>
      <c r="H118" t="str">
        <f>IF(Comuni__2[[#This Row],[Popolazione2011]]&gt;300000,"MAGGIORE","")</f>
        <v/>
      </c>
      <c r="J118">
        <v>54</v>
      </c>
      <c r="K118">
        <v>2414</v>
      </c>
      <c r="L118">
        <v>459</v>
      </c>
    </row>
    <row r="119" spans="1:12" x14ac:dyDescent="0.2">
      <c r="A119"/>
      <c r="B119"/>
      <c r="C119"/>
      <c r="D119"/>
      <c r="E119" s="2">
        <f>Comuni__2[[#This Row],[Popolazione2011]]/$D$7911</f>
        <v>3.1940453033086789E-5</v>
      </c>
      <c r="F119">
        <f>SUMIFS($D$2:$D$7909, $B$2:$B$7909, "Abruzzo")</f>
        <v>1307309</v>
      </c>
      <c r="G119" s="1">
        <f>Comuni__2[[#This Row],[Popolazione2011]]/Comuni__2[[#This Row],[POPOLAZIONE TOTALE DI OGNI REGIONE (CON FILTRO)]]</f>
        <v>1.4518373238461603E-3</v>
      </c>
      <c r="H119" t="str">
        <f>IF(Comuni__2[[#This Row],[Popolazione2011]]&gt;300000,"MAGGIORE","")</f>
        <v/>
      </c>
      <c r="J119">
        <v>52</v>
      </c>
      <c r="K119">
        <v>2418</v>
      </c>
      <c r="L119">
        <v>459</v>
      </c>
    </row>
    <row r="120" spans="1:12" x14ac:dyDescent="0.2">
      <c r="A120"/>
      <c r="B120"/>
      <c r="C120"/>
      <c r="D120"/>
      <c r="E120" s="2">
        <f>Comuni__2[[#This Row],[Popolazione2011]]/$D$7911</f>
        <v>3.1788996722603237E-5</v>
      </c>
      <c r="F120">
        <f>SUMIFS($D$2:$D$7909, $B$2:$B$7909, "Abruzzo")</f>
        <v>1307309</v>
      </c>
      <c r="G120" s="1">
        <f>Comuni__2[[#This Row],[Popolazione2011]]/Comuni__2[[#This Row],[POPOLAZIONE TOTALE DI OGNI REGIONE (CON FILTRO)]]</f>
        <v>1.4449529529743925E-3</v>
      </c>
      <c r="H120" t="str">
        <f>IF(Comuni__2[[#This Row],[Popolazione2011]]&gt;300000,"MAGGIORE","")</f>
        <v/>
      </c>
      <c r="J120">
        <v>53</v>
      </c>
      <c r="K120">
        <v>2419</v>
      </c>
      <c r="L120">
        <v>459</v>
      </c>
    </row>
    <row r="121" spans="1:12" x14ac:dyDescent="0.2">
      <c r="A121"/>
      <c r="B121"/>
      <c r="C121"/>
      <c r="D121"/>
      <c r="E121" s="2">
        <f>Comuni__2[[#This Row],[Popolazione2011]]/$D$7911</f>
        <v>3.1587054975291837E-5</v>
      </c>
      <c r="F121">
        <f>SUMIFS($D$2:$D$7909, $B$2:$B$7909, "Abruzzo")</f>
        <v>1307309</v>
      </c>
      <c r="G121" s="1">
        <f>Comuni__2[[#This Row],[Popolazione2011]]/Comuni__2[[#This Row],[POPOLAZIONE TOTALE DI OGNI REGIONE (CON FILTRO)]]</f>
        <v>1.4357737918120352E-3</v>
      </c>
      <c r="H121" t="str">
        <f>IF(Comuni__2[[#This Row],[Popolazione2011]]&gt;300000,"MAGGIORE","")</f>
        <v/>
      </c>
      <c r="J121">
        <v>52</v>
      </c>
      <c r="K121">
        <v>2428</v>
      </c>
      <c r="L121">
        <v>460</v>
      </c>
    </row>
    <row r="122" spans="1:12" x14ac:dyDescent="0.2">
      <c r="A122"/>
      <c r="B122"/>
      <c r="C122"/>
      <c r="D122"/>
      <c r="E122" s="2">
        <f>Comuni__2[[#This Row],[Popolazione2011]]/$D$7911</f>
        <v>3.1553398017406605E-5</v>
      </c>
      <c r="F122">
        <f>SUMIFS($D$2:$D$7909, $B$2:$B$7909, "Abruzzo")</f>
        <v>1307309</v>
      </c>
      <c r="G122" s="1">
        <f>Comuni__2[[#This Row],[Popolazione2011]]/Comuni__2[[#This Row],[POPOLAZIONE TOTALE DI OGNI REGIONE (CON FILTRO)]]</f>
        <v>1.4342439316183092E-3</v>
      </c>
      <c r="H122" t="str">
        <f>IF(Comuni__2[[#This Row],[Popolazione2011]]&gt;300000,"MAGGIORE","")</f>
        <v/>
      </c>
      <c r="J122">
        <v>49</v>
      </c>
      <c r="K122">
        <v>2431</v>
      </c>
      <c r="L122">
        <v>460</v>
      </c>
    </row>
    <row r="123" spans="1:12" x14ac:dyDescent="0.2">
      <c r="A123"/>
      <c r="B123"/>
      <c r="C123"/>
      <c r="D123"/>
      <c r="E123" s="2">
        <f>Comuni__2[[#This Row],[Popolazione2011]]/$D$7911</f>
        <v>3.1351456270095204E-5</v>
      </c>
      <c r="F123">
        <f>SUMIFS($D$2:$D$7909, $B$2:$B$7909, "Abruzzo")</f>
        <v>1307309</v>
      </c>
      <c r="G123" s="1">
        <f>Comuni__2[[#This Row],[Popolazione2011]]/Comuni__2[[#This Row],[POPOLAZIONE TOTALE DI OGNI REGIONE (CON FILTRO)]]</f>
        <v>1.4250647704559518E-3</v>
      </c>
      <c r="H123" t="str">
        <f>IF(Comuni__2[[#This Row],[Popolazione2011]]&gt;300000,"MAGGIORE","")</f>
        <v/>
      </c>
      <c r="J123">
        <v>43</v>
      </c>
      <c r="K123">
        <v>2444</v>
      </c>
      <c r="L123">
        <v>461</v>
      </c>
    </row>
    <row r="124" spans="1:12" x14ac:dyDescent="0.2">
      <c r="A124"/>
      <c r="B124"/>
      <c r="C124"/>
      <c r="D124"/>
      <c r="E124" s="2">
        <f>Comuni__2[[#This Row],[Popolazione2011]]/$D$7911</f>
        <v>3.1183171480669036E-5</v>
      </c>
      <c r="F124">
        <f>SUMIFS($D$2:$D$7909, $B$2:$B$7909, "Abruzzo")</f>
        <v>1307309</v>
      </c>
      <c r="G124" s="1">
        <f>Comuni__2[[#This Row],[Popolazione2011]]/Comuni__2[[#This Row],[POPOLAZIONE TOTALE DI OGNI REGIONE (CON FILTRO)]]</f>
        <v>1.417415469487321E-3</v>
      </c>
      <c r="H124" t="str">
        <f>IF(Comuni__2[[#This Row],[Popolazione2011]]&gt;300000,"MAGGIORE","")</f>
        <v/>
      </c>
      <c r="J124">
        <v>34</v>
      </c>
      <c r="K124">
        <v>2452</v>
      </c>
      <c r="L124">
        <v>461</v>
      </c>
    </row>
    <row r="125" spans="1:12" x14ac:dyDescent="0.2">
      <c r="A125"/>
      <c r="B125"/>
      <c r="C125"/>
      <c r="D125"/>
      <c r="E125" s="2">
        <f>Comuni__2[[#This Row],[Popolazione2011]]/$D$7911</f>
        <v>3.0897087338644549E-5</v>
      </c>
      <c r="F125">
        <f>SUMIFS($D$2:$D$7909, $B$2:$B$7909, "Abruzzo")</f>
        <v>1307309</v>
      </c>
      <c r="G125" s="1">
        <f>Comuni__2[[#This Row],[Popolazione2011]]/Comuni__2[[#This Row],[POPOLAZIONE TOTALE DI OGNI REGIONE (CON FILTRO)]]</f>
        <v>1.4044116578406482E-3</v>
      </c>
      <c r="H125" t="str">
        <f>IF(Comuni__2[[#This Row],[Popolazione2011]]&gt;300000,"MAGGIORE","")</f>
        <v/>
      </c>
      <c r="J125">
        <v>32</v>
      </c>
      <c r="K125">
        <v>2466</v>
      </c>
      <c r="L125">
        <v>461</v>
      </c>
    </row>
    <row r="126" spans="1:12" x14ac:dyDescent="0.2">
      <c r="A126"/>
      <c r="B126"/>
      <c r="C126"/>
      <c r="D126"/>
      <c r="E126" s="2">
        <f>Comuni__2[[#This Row],[Popolazione2011]]/$D$7911</f>
        <v>3.0796116464988845E-5</v>
      </c>
      <c r="F126">
        <f>SUMIFS($D$2:$D$7909, $B$2:$B$7909, "Abruzzo")</f>
        <v>1307309</v>
      </c>
      <c r="G126" s="1">
        <f>Comuni__2[[#This Row],[Popolazione2011]]/Comuni__2[[#This Row],[POPOLAZIONE TOTALE DI OGNI REGIONE (CON FILTRO)]]</f>
        <v>1.3998220772594697E-3</v>
      </c>
      <c r="H126" t="str">
        <f>IF(Comuni__2[[#This Row],[Popolazione2011]]&gt;300000,"MAGGIORE","")</f>
        <v/>
      </c>
      <c r="J126">
        <v>33</v>
      </c>
      <c r="K126">
        <v>2487</v>
      </c>
      <c r="L126">
        <v>461</v>
      </c>
    </row>
    <row r="127" spans="1:12" x14ac:dyDescent="0.2">
      <c r="A127"/>
      <c r="B127"/>
      <c r="C127"/>
      <c r="D127"/>
      <c r="E127" s="2">
        <f>Comuni__2[[#This Row],[Popolazione2011]]/$D$7911</f>
        <v>3.0291262096710341E-5</v>
      </c>
      <c r="F127">
        <f>SUMIFS($D$2:$D$7909, $B$2:$B$7909, "Abruzzo")</f>
        <v>1307309</v>
      </c>
      <c r="G127" s="1">
        <f>Comuni__2[[#This Row],[Popolazione2011]]/Comuni__2[[#This Row],[POPOLAZIONE TOTALE DI OGNI REGIONE (CON FILTRO)]]</f>
        <v>1.3768741743535767E-3</v>
      </c>
      <c r="H127" t="str">
        <f>IF(Comuni__2[[#This Row],[Popolazione2011]]&gt;300000,"MAGGIORE","")</f>
        <v/>
      </c>
      <c r="J127">
        <v>30</v>
      </c>
      <c r="K127">
        <v>2540</v>
      </c>
      <c r="L127">
        <v>462</v>
      </c>
    </row>
    <row r="128" spans="1:12" x14ac:dyDescent="0.2">
      <c r="A128"/>
      <c r="B128"/>
      <c r="C128"/>
      <c r="D128"/>
      <c r="E128" s="2">
        <f>Comuni__2[[#This Row],[Popolazione2011]]/$D$7911</f>
        <v>3.0156634265169405E-5</v>
      </c>
      <c r="F128">
        <f>SUMIFS($D$2:$D$7909, $B$2:$B$7909, "Abruzzo")</f>
        <v>1307309</v>
      </c>
      <c r="G128" s="1">
        <f>Comuni__2[[#This Row],[Popolazione2011]]/Comuni__2[[#This Row],[POPOLAZIONE TOTALE DI OGNI REGIONE (CON FILTRO)]]</f>
        <v>1.3707547335786718E-3</v>
      </c>
      <c r="H128" t="str">
        <f>IF(Comuni__2[[#This Row],[Popolazione2011]]&gt;300000,"MAGGIORE","")</f>
        <v/>
      </c>
      <c r="J128">
        <v>30</v>
      </c>
      <c r="K128">
        <v>2543</v>
      </c>
      <c r="L128">
        <v>462</v>
      </c>
    </row>
    <row r="129" spans="1:12" x14ac:dyDescent="0.2">
      <c r="A129"/>
      <c r="B129"/>
      <c r="C129"/>
      <c r="D129"/>
      <c r="E129" s="2">
        <f>Comuni__2[[#This Row],[Popolazione2011]]/$D$7911</f>
        <v>3.0072491870456321E-5</v>
      </c>
      <c r="F129">
        <f>SUMIFS($D$2:$D$7909, $B$2:$B$7909, "Abruzzo")</f>
        <v>1307309</v>
      </c>
      <c r="G129" s="1">
        <f>Comuni__2[[#This Row],[Popolazione2011]]/Comuni__2[[#This Row],[POPOLAZIONE TOTALE DI OGNI REGIONE (CON FILTRO)]]</f>
        <v>1.3669300830943564E-3</v>
      </c>
      <c r="H129" t="str">
        <f>IF(Comuni__2[[#This Row],[Popolazione2011]]&gt;300000,"MAGGIORE","")</f>
        <v/>
      </c>
      <c r="J129">
        <v>33</v>
      </c>
      <c r="K129">
        <v>2626</v>
      </c>
      <c r="L129">
        <v>464</v>
      </c>
    </row>
    <row r="130" spans="1:12" x14ac:dyDescent="0.2">
      <c r="A130"/>
      <c r="B130"/>
      <c r="C130"/>
      <c r="D130"/>
      <c r="E130" s="2">
        <f>Comuni__2[[#This Row],[Popolazione2011]]/$D$7911</f>
        <v>2.9197410965440245E-5</v>
      </c>
      <c r="F130">
        <f>SUMIFS($D$2:$D$7909, $B$2:$B$7909, "Abruzzo")</f>
        <v>1307309</v>
      </c>
      <c r="G130" s="1">
        <f>Comuni__2[[#This Row],[Popolazione2011]]/Comuni__2[[#This Row],[POPOLAZIONE TOTALE DI OGNI REGIONE (CON FILTRO)]]</f>
        <v>1.3271537180574752E-3</v>
      </c>
      <c r="H130" t="str">
        <f>IF(Comuni__2[[#This Row],[Popolazione2011]]&gt;300000,"MAGGIORE","")</f>
        <v/>
      </c>
      <c r="J130">
        <v>32</v>
      </c>
      <c r="K130">
        <v>2655</v>
      </c>
      <c r="L130">
        <v>464</v>
      </c>
    </row>
    <row r="131" spans="1:12" x14ac:dyDescent="0.2">
      <c r="A131"/>
      <c r="B131"/>
      <c r="C131"/>
      <c r="D131"/>
      <c r="E131" s="2">
        <f>Comuni__2[[#This Row],[Popolazione2011]]/$D$7911</f>
        <v>2.9096440091784542E-5</v>
      </c>
      <c r="F131">
        <f>SUMIFS($D$2:$D$7909, $B$2:$B$7909, "Abruzzo")</f>
        <v>1307309</v>
      </c>
      <c r="G131" s="1">
        <f>Comuni__2[[#This Row],[Popolazione2011]]/Comuni__2[[#This Row],[POPOLAZIONE TOTALE DI OGNI REGIONE (CON FILTRO)]]</f>
        <v>1.3225641374762967E-3</v>
      </c>
      <c r="H131" t="str">
        <f>IF(Comuni__2[[#This Row],[Popolazione2011]]&gt;300000,"MAGGIORE","")</f>
        <v/>
      </c>
      <c r="J131">
        <v>28</v>
      </c>
      <c r="K131">
        <v>2668</v>
      </c>
      <c r="L131">
        <v>464</v>
      </c>
    </row>
    <row r="132" spans="1:12" x14ac:dyDescent="0.2">
      <c r="A132"/>
      <c r="B132"/>
      <c r="C132"/>
      <c r="D132"/>
      <c r="E132" s="2">
        <f>Comuni__2[[#This Row],[Popolazione2011]]/$D$7911</f>
        <v>2.9079611612841926E-5</v>
      </c>
      <c r="F132">
        <f>SUMIFS($D$2:$D$7909, $B$2:$B$7909, "Abruzzo")</f>
        <v>1307309</v>
      </c>
      <c r="G132" s="1">
        <f>Comuni__2[[#This Row],[Popolazione2011]]/Comuni__2[[#This Row],[POPOLAZIONE TOTALE DI OGNI REGIONE (CON FILTRO)]]</f>
        <v>1.3217992073794335E-3</v>
      </c>
      <c r="H132" t="str">
        <f>IF(Comuni__2[[#This Row],[Popolazione2011]]&gt;300000,"MAGGIORE","")</f>
        <v/>
      </c>
      <c r="J132">
        <v>27</v>
      </c>
      <c r="K132">
        <v>2678</v>
      </c>
      <c r="L132">
        <v>464</v>
      </c>
    </row>
    <row r="133" spans="1:12" x14ac:dyDescent="0.2">
      <c r="A133"/>
      <c r="B133"/>
      <c r="C133"/>
      <c r="D133"/>
      <c r="E133" s="2">
        <f>Comuni__2[[#This Row],[Popolazione2011]]/$D$7911</f>
        <v>2.864207116033389E-5</v>
      </c>
      <c r="F133">
        <f>SUMIFS($D$2:$D$7909, $B$2:$B$7909, "Abruzzo")</f>
        <v>1307309</v>
      </c>
      <c r="G133" s="1">
        <f>Comuni__2[[#This Row],[Popolazione2011]]/Comuni__2[[#This Row],[POPOLAZIONE TOTALE DI OGNI REGIONE (CON FILTRO)]]</f>
        <v>1.301911024860993E-3</v>
      </c>
      <c r="H133" t="str">
        <f>IF(Comuni__2[[#This Row],[Popolazione2011]]&gt;300000,"MAGGIORE","")</f>
        <v/>
      </c>
      <c r="J133">
        <v>28</v>
      </c>
      <c r="K133">
        <v>2682</v>
      </c>
      <c r="L133">
        <v>464</v>
      </c>
    </row>
    <row r="134" spans="1:12" x14ac:dyDescent="0.2">
      <c r="A134"/>
      <c r="B134"/>
      <c r="C134"/>
      <c r="D134"/>
      <c r="E134" s="2">
        <f>Comuni__2[[#This Row],[Popolazione2011]]/$D$7911</f>
        <v>2.8002588960514446E-5</v>
      </c>
      <c r="F134">
        <f>SUMIFS($D$2:$D$7909, $B$2:$B$7909, "Abruzzo")</f>
        <v>1307309</v>
      </c>
      <c r="G134" s="1">
        <f>Comuni__2[[#This Row],[Popolazione2011]]/Comuni__2[[#This Row],[POPOLAZIONE TOTALE DI OGNI REGIONE (CON FILTRO)]]</f>
        <v>1.2728436811801954E-3</v>
      </c>
      <c r="H134" t="str">
        <f>IF(Comuni__2[[#This Row],[Popolazione2011]]&gt;300000,"MAGGIORE","")</f>
        <v/>
      </c>
      <c r="J134">
        <v>30</v>
      </c>
      <c r="K134">
        <v>2682</v>
      </c>
      <c r="L134">
        <v>464</v>
      </c>
    </row>
    <row r="135" spans="1:12" x14ac:dyDescent="0.2">
      <c r="A135"/>
      <c r="B135"/>
      <c r="C135"/>
      <c r="D135"/>
      <c r="E135" s="2">
        <f>Comuni__2[[#This Row],[Popolazione2011]]/$D$7911</f>
        <v>2.7901618086858746E-5</v>
      </c>
      <c r="F135">
        <f>SUMIFS($D$2:$D$7909, $B$2:$B$7909, "Abruzzo")</f>
        <v>1307309</v>
      </c>
      <c r="G135" s="1">
        <f>Comuni__2[[#This Row],[Popolazione2011]]/Comuni__2[[#This Row],[POPOLAZIONE TOTALE DI OGNI REGIONE (CON FILTRO)]]</f>
        <v>1.2682541005990167E-3</v>
      </c>
      <c r="H135" t="str">
        <f>IF(Comuni__2[[#This Row],[Popolazione2011]]&gt;300000,"MAGGIORE","")</f>
        <v/>
      </c>
      <c r="J135">
        <v>30</v>
      </c>
      <c r="K135">
        <v>2689</v>
      </c>
      <c r="L135">
        <v>464</v>
      </c>
    </row>
    <row r="136" spans="1:12" x14ac:dyDescent="0.2">
      <c r="A136"/>
      <c r="B136"/>
      <c r="C136"/>
      <c r="D136"/>
      <c r="E136" s="2">
        <f>Comuni__2[[#This Row],[Popolazione2011]]/$D$7911</f>
        <v>2.7817475692145662E-5</v>
      </c>
      <c r="F136">
        <f>SUMIFS($D$2:$D$7909, $B$2:$B$7909, "Abruzzo")</f>
        <v>1307309</v>
      </c>
      <c r="G136" s="1">
        <f>Comuni__2[[#This Row],[Popolazione2011]]/Comuni__2[[#This Row],[POPOLAZIONE TOTALE DI OGNI REGIONE (CON FILTRO)]]</f>
        <v>1.2644294501147012E-3</v>
      </c>
      <c r="H136" t="str">
        <f>IF(Comuni__2[[#This Row],[Popolazione2011]]&gt;300000,"MAGGIORE","")</f>
        <v/>
      </c>
      <c r="J136">
        <v>28</v>
      </c>
      <c r="K136">
        <v>2692</v>
      </c>
      <c r="L136">
        <v>464</v>
      </c>
    </row>
    <row r="137" spans="1:12" x14ac:dyDescent="0.2">
      <c r="A137"/>
      <c r="B137"/>
      <c r="C137"/>
      <c r="D137"/>
      <c r="E137" s="2">
        <f>Comuni__2[[#This Row],[Popolazione2011]]/$D$7911</f>
        <v>2.7531391550121174E-5</v>
      </c>
      <c r="F137">
        <f>SUMIFS($D$2:$D$7909, $B$2:$B$7909, "Abruzzo")</f>
        <v>1307309</v>
      </c>
      <c r="G137" s="1">
        <f>Comuni__2[[#This Row],[Popolazione2011]]/Comuni__2[[#This Row],[POPOLAZIONE TOTALE DI OGNI REGIONE (CON FILTRO)]]</f>
        <v>1.2514256384680287E-3</v>
      </c>
      <c r="H137" t="str">
        <f>IF(Comuni__2[[#This Row],[Popolazione2011]]&gt;300000,"MAGGIORE","")</f>
        <v/>
      </c>
      <c r="J137">
        <v>27</v>
      </c>
      <c r="K137">
        <v>2701</v>
      </c>
      <c r="L137">
        <v>464</v>
      </c>
    </row>
    <row r="138" spans="1:12" x14ac:dyDescent="0.2">
      <c r="A138"/>
      <c r="B138"/>
      <c r="C138"/>
      <c r="D138"/>
      <c r="E138" s="2">
        <f>Comuni__2[[#This Row],[Popolazione2011]]/$D$7911</f>
        <v>2.6942394787129586E-5</v>
      </c>
      <c r="F138">
        <f>SUMIFS($D$2:$D$7909, $B$2:$B$7909, "Abruzzo")</f>
        <v>1307309</v>
      </c>
      <c r="G138" s="1">
        <f>Comuni__2[[#This Row],[Popolazione2011]]/Comuni__2[[#This Row],[POPOLAZIONE TOTALE DI OGNI REGIONE (CON FILTRO)]]</f>
        <v>1.2246530850778202E-3</v>
      </c>
      <c r="H138" t="str">
        <f>IF(Comuni__2[[#This Row],[Popolazione2011]]&gt;300000,"MAGGIORE","")</f>
        <v/>
      </c>
      <c r="J138">
        <v>26</v>
      </c>
      <c r="K138">
        <v>2707</v>
      </c>
      <c r="L138">
        <v>464</v>
      </c>
    </row>
    <row r="139" spans="1:12" x14ac:dyDescent="0.2">
      <c r="A139"/>
      <c r="B139"/>
      <c r="C139"/>
      <c r="D139"/>
      <c r="E139" s="2">
        <f>Comuni__2[[#This Row],[Popolazione2011]]/$D$7911</f>
        <v>2.6757281518760802E-5</v>
      </c>
      <c r="F139">
        <f>SUMIFS($D$2:$D$7909, $B$2:$B$7909, "Abruzzo")</f>
        <v>1307309</v>
      </c>
      <c r="G139" s="1">
        <f>Comuni__2[[#This Row],[Popolazione2011]]/Comuni__2[[#This Row],[POPOLAZIONE TOTALE DI OGNI REGIONE (CON FILTRO)]]</f>
        <v>1.216238854012326E-3</v>
      </c>
      <c r="H139" t="str">
        <f>IF(Comuni__2[[#This Row],[Popolazione2011]]&gt;300000,"MAGGIORE","")</f>
        <v/>
      </c>
      <c r="J139">
        <v>26</v>
      </c>
      <c r="K139">
        <v>2709</v>
      </c>
      <c r="L139">
        <v>464</v>
      </c>
    </row>
    <row r="140" spans="1:12" x14ac:dyDescent="0.2">
      <c r="A140"/>
      <c r="B140"/>
      <c r="C140"/>
      <c r="D140"/>
      <c r="E140" s="2">
        <f>Comuni__2[[#This Row],[Popolazione2011]]/$D$7911</f>
        <v>2.6504854334621547E-5</v>
      </c>
      <c r="F140">
        <f>SUMIFS($D$2:$D$7909, $B$2:$B$7909, "Abruzzo")</f>
        <v>1307309</v>
      </c>
      <c r="G140" s="1">
        <f>Comuni__2[[#This Row],[Popolazione2011]]/Comuni__2[[#This Row],[POPOLAZIONE TOTALE DI OGNI REGIONE (CON FILTRO)]]</f>
        <v>1.2047649025593795E-3</v>
      </c>
      <c r="H140" t="str">
        <f>IF(Comuni__2[[#This Row],[Popolazione2011]]&gt;300000,"MAGGIORE","")</f>
        <v/>
      </c>
      <c r="J140">
        <v>25</v>
      </c>
      <c r="K140">
        <v>2712</v>
      </c>
      <c r="L140">
        <v>464</v>
      </c>
    </row>
    <row r="141" spans="1:12" x14ac:dyDescent="0.2">
      <c r="A141"/>
      <c r="B141"/>
      <c r="C141"/>
      <c r="D141"/>
      <c r="E141" s="2">
        <f>Comuni__2[[#This Row],[Popolazione2011]]/$D$7911</f>
        <v>2.6100970839998743E-5</v>
      </c>
      <c r="F141">
        <f>SUMIFS($D$2:$D$7909, $B$2:$B$7909, "Abruzzo")</f>
        <v>1307309</v>
      </c>
      <c r="G141" s="1">
        <f>Comuni__2[[#This Row],[Popolazione2011]]/Comuni__2[[#This Row],[POPOLAZIONE TOTALE DI OGNI REGIONE (CON FILTRO)]]</f>
        <v>1.1864065802346653E-3</v>
      </c>
      <c r="H141" t="str">
        <f>IF(Comuni__2[[#This Row],[Popolazione2011]]&gt;300000,"MAGGIORE","")</f>
        <v/>
      </c>
      <c r="J141">
        <v>22</v>
      </c>
      <c r="K141">
        <v>2713</v>
      </c>
      <c r="L141">
        <v>465</v>
      </c>
    </row>
    <row r="142" spans="1:12" x14ac:dyDescent="0.2">
      <c r="A142"/>
      <c r="B142"/>
      <c r="C142"/>
      <c r="D142"/>
      <c r="E142" s="2">
        <f>Comuni__2[[#This Row],[Popolazione2011]]/$D$7911</f>
        <v>2.6084142361056127E-5</v>
      </c>
      <c r="F142">
        <f>SUMIFS($D$2:$D$7909, $B$2:$B$7909, "Abruzzo")</f>
        <v>1307309</v>
      </c>
      <c r="G142" s="1">
        <f>Comuni__2[[#This Row],[Popolazione2011]]/Comuni__2[[#This Row],[POPOLAZIONE TOTALE DI OGNI REGIONE (CON FILTRO)]]</f>
        <v>1.1856416501378022E-3</v>
      </c>
      <c r="H142" t="str">
        <f>IF(Comuni__2[[#This Row],[Popolazione2011]]&gt;300000,"MAGGIORE","")</f>
        <v/>
      </c>
      <c r="J142">
        <v>19</v>
      </c>
      <c r="K142">
        <v>2719</v>
      </c>
      <c r="L142">
        <v>466</v>
      </c>
    </row>
    <row r="143" spans="1:12" x14ac:dyDescent="0.2">
      <c r="A143"/>
      <c r="B143"/>
      <c r="C143"/>
      <c r="D143"/>
      <c r="E143" s="2">
        <f>Comuni__2[[#This Row],[Popolazione2011]]/$D$7911</f>
        <v>2.5646601908548087E-5</v>
      </c>
      <c r="F143">
        <f>SUMIFS($D$2:$D$7909, $B$2:$B$7909, "Abruzzo")</f>
        <v>1307309</v>
      </c>
      <c r="G143" s="1">
        <f>Comuni__2[[#This Row],[Popolazione2011]]/Comuni__2[[#This Row],[POPOLAZIONE TOTALE DI OGNI REGIONE (CON FILTRO)]]</f>
        <v>1.1657534676193617E-3</v>
      </c>
      <c r="H143" t="str">
        <f>IF(Comuni__2[[#This Row],[Popolazione2011]]&gt;300000,"MAGGIORE","")</f>
        <v/>
      </c>
      <c r="J143">
        <v>19</v>
      </c>
      <c r="K143">
        <v>2740</v>
      </c>
      <c r="L143">
        <v>467</v>
      </c>
    </row>
    <row r="144" spans="1:12" x14ac:dyDescent="0.2">
      <c r="A144"/>
      <c r="B144"/>
      <c r="C144"/>
      <c r="D144"/>
      <c r="E144" s="2">
        <f>Comuni__2[[#This Row],[Popolazione2011]]/$D$7911</f>
        <v>2.5394174724408835E-5</v>
      </c>
      <c r="F144">
        <f>SUMIFS($D$2:$D$7909, $B$2:$B$7909, "Abruzzo")</f>
        <v>1307309</v>
      </c>
      <c r="G144" s="1">
        <f>Comuni__2[[#This Row],[Popolazione2011]]/Comuni__2[[#This Row],[POPOLAZIONE TOTALE DI OGNI REGIONE (CON FILTRO)]]</f>
        <v>1.1542795161664152E-3</v>
      </c>
      <c r="H144" t="str">
        <f>IF(Comuni__2[[#This Row],[Popolazione2011]]&gt;300000,"MAGGIORE","")</f>
        <v/>
      </c>
      <c r="J144">
        <v>17</v>
      </c>
      <c r="K144">
        <v>2740</v>
      </c>
      <c r="L144">
        <v>467</v>
      </c>
    </row>
    <row r="145" spans="1:12" x14ac:dyDescent="0.2">
      <c r="A145"/>
      <c r="B145"/>
      <c r="C145"/>
      <c r="D145"/>
      <c r="E145" s="2">
        <f>Comuni__2[[#This Row],[Popolazione2011]]/$D$7911</f>
        <v>2.5326860808638367E-5</v>
      </c>
      <c r="F145">
        <f>SUMIFS($D$2:$D$7909, $B$2:$B$7909, "Abruzzo")</f>
        <v>1307309</v>
      </c>
      <c r="G145" s="1">
        <f>Comuni__2[[#This Row],[Popolazione2011]]/Comuni__2[[#This Row],[POPOLAZIONE TOTALE DI OGNI REGIONE (CON FILTRO)]]</f>
        <v>1.1512197957789627E-3</v>
      </c>
      <c r="H145" t="str">
        <f>IF(Comuni__2[[#This Row],[Popolazione2011]]&gt;300000,"MAGGIORE","")</f>
        <v/>
      </c>
      <c r="J145">
        <v>17</v>
      </c>
      <c r="K145">
        <v>2745</v>
      </c>
      <c r="L145">
        <v>468</v>
      </c>
    </row>
    <row r="146" spans="1:12" x14ac:dyDescent="0.2">
      <c r="A146"/>
      <c r="B146"/>
      <c r="C146"/>
      <c r="D146"/>
      <c r="E146" s="2">
        <f>Comuni__2[[#This Row],[Popolazione2011]]/$D$7911</f>
        <v>2.4704207087761543E-5</v>
      </c>
      <c r="F146">
        <f>SUMIFS($D$2:$D$7909, $B$2:$B$7909, "Abruzzo")</f>
        <v>1307309</v>
      </c>
      <c r="G146" s="1">
        <f>Comuni__2[[#This Row],[Popolazione2011]]/Comuni__2[[#This Row],[POPOLAZIONE TOTALE DI OGNI REGIONE (CON FILTRO)]]</f>
        <v>1.1229173821950282E-3</v>
      </c>
      <c r="H146" t="str">
        <f>IF(Comuni__2[[#This Row],[Popolazione2011]]&gt;300000,"MAGGIORE","")</f>
        <v/>
      </c>
      <c r="J146">
        <v>17</v>
      </c>
      <c r="K146">
        <v>2747</v>
      </c>
      <c r="L146">
        <v>468</v>
      </c>
    </row>
    <row r="147" spans="1:12" x14ac:dyDescent="0.2">
      <c r="A147"/>
      <c r="B147"/>
      <c r="C147"/>
      <c r="D147"/>
      <c r="E147" s="2">
        <f>Comuni__2[[#This Row],[Popolazione2011]]/$D$7911</f>
        <v>2.4535922298335375E-5</v>
      </c>
      <c r="F147">
        <f>SUMIFS($D$2:$D$7909, $B$2:$B$7909, "Abruzzo")</f>
        <v>1307309</v>
      </c>
      <c r="G147" s="1">
        <f>Comuni__2[[#This Row],[Popolazione2011]]/Comuni__2[[#This Row],[POPOLAZIONE TOTALE DI OGNI REGIONE (CON FILTRO)]]</f>
        <v>1.1152680812263971E-3</v>
      </c>
      <c r="H147" t="str">
        <f>IF(Comuni__2[[#This Row],[Popolazione2011]]&gt;300000,"MAGGIORE","")</f>
        <v/>
      </c>
      <c r="J147">
        <v>15</v>
      </c>
      <c r="K147">
        <v>2750</v>
      </c>
      <c r="L147">
        <v>468</v>
      </c>
    </row>
    <row r="148" spans="1:12" x14ac:dyDescent="0.2">
      <c r="A148"/>
      <c r="B148"/>
      <c r="C148"/>
      <c r="D148"/>
      <c r="E148" s="2">
        <f>Comuni__2[[#This Row],[Popolazione2011]]/$D$7911</f>
        <v>2.4384465987851823E-5</v>
      </c>
      <c r="F148">
        <f>SUMIFS($D$2:$D$7909, $B$2:$B$7909, "Abruzzo")</f>
        <v>1307309</v>
      </c>
      <c r="G148" s="1">
        <f>Comuni__2[[#This Row],[Popolazione2011]]/Comuni__2[[#This Row],[POPOLAZIONE TOTALE DI OGNI REGIONE (CON FILTRO)]]</f>
        <v>1.1083837103546292E-3</v>
      </c>
      <c r="H148" t="str">
        <f>IF(Comuni__2[[#This Row],[Popolazione2011]]&gt;300000,"MAGGIORE","")</f>
        <v/>
      </c>
      <c r="J148">
        <v>14</v>
      </c>
      <c r="K148">
        <v>2751</v>
      </c>
      <c r="L148">
        <v>468</v>
      </c>
    </row>
    <row r="149" spans="1:12" x14ac:dyDescent="0.2">
      <c r="A149"/>
      <c r="B149"/>
      <c r="C149"/>
      <c r="D149"/>
      <c r="E149" s="2">
        <f>Comuni__2[[#This Row],[Popolazione2011]]/$D$7911</f>
        <v>2.4249838156310888E-5</v>
      </c>
      <c r="F149">
        <f>SUMIFS($D$2:$D$7909, $B$2:$B$7909, "Abruzzo")</f>
        <v>1307309</v>
      </c>
      <c r="G149" s="1">
        <f>Comuni__2[[#This Row],[Popolazione2011]]/Comuni__2[[#This Row],[POPOLAZIONE TOTALE DI OGNI REGIONE (CON FILTRO)]]</f>
        <v>1.1022642695797244E-3</v>
      </c>
      <c r="H149" t="str">
        <f>IF(Comuni__2[[#This Row],[Popolazione2011]]&gt;300000,"MAGGIORE","")</f>
        <v/>
      </c>
      <c r="J149">
        <v>13</v>
      </c>
      <c r="K149">
        <v>2753</v>
      </c>
      <c r="L149">
        <v>468</v>
      </c>
    </row>
    <row r="150" spans="1:12" x14ac:dyDescent="0.2">
      <c r="A150"/>
      <c r="B150"/>
      <c r="C150"/>
      <c r="D150"/>
      <c r="E150" s="2">
        <f>Comuni__2[[#This Row],[Popolazione2011]]/$D$7911</f>
        <v>2.4132038803712571E-5</v>
      </c>
      <c r="F150">
        <f>SUMIFS($D$2:$D$7909, $B$2:$B$7909, "Abruzzo")</f>
        <v>1307309</v>
      </c>
      <c r="G150" s="1">
        <f>Comuni__2[[#This Row],[Popolazione2011]]/Comuni__2[[#This Row],[POPOLAZIONE TOTALE DI OGNI REGIONE (CON FILTRO)]]</f>
        <v>1.0969097589016827E-3</v>
      </c>
      <c r="H150" t="str">
        <f>IF(Comuni__2[[#This Row],[Popolazione2011]]&gt;300000,"MAGGIORE","")</f>
        <v/>
      </c>
      <c r="J150">
        <v>12</v>
      </c>
      <c r="K150">
        <v>2758</v>
      </c>
      <c r="L150">
        <v>470</v>
      </c>
    </row>
    <row r="151" spans="1:12" x14ac:dyDescent="0.2">
      <c r="A151"/>
      <c r="B151"/>
      <c r="C151"/>
      <c r="D151"/>
      <c r="E151" s="2">
        <f>Comuni__2[[#This Row],[Popolazione2011]]/$D$7911</f>
        <v>2.4115210324769955E-5</v>
      </c>
      <c r="F151">
        <f>SUMIFS($D$2:$D$7909, $B$2:$B$7909, "Abruzzo")</f>
        <v>1307309</v>
      </c>
      <c r="G151" s="1">
        <f>Comuni__2[[#This Row],[Popolazione2011]]/Comuni__2[[#This Row],[POPOLAZIONE TOTALE DI OGNI REGIONE (CON FILTRO)]]</f>
        <v>1.0961448288048198E-3</v>
      </c>
      <c r="H151" t="str">
        <f>IF(Comuni__2[[#This Row],[Popolazione2011]]&gt;300000,"MAGGIORE","")</f>
        <v/>
      </c>
      <c r="J151">
        <v>9</v>
      </c>
      <c r="K151">
        <v>2763</v>
      </c>
      <c r="L151">
        <v>470</v>
      </c>
    </row>
    <row r="152" spans="1:12" x14ac:dyDescent="0.2">
      <c r="A152"/>
      <c r="B152"/>
      <c r="C152"/>
      <c r="D152"/>
      <c r="E152" s="2">
        <f>Comuni__2[[#This Row],[Popolazione2011]]/$D$7911</f>
        <v>2.38627831406307E-5</v>
      </c>
      <c r="F152">
        <f>SUMIFS($D$2:$D$7909, $B$2:$B$7909, "Abruzzo")</f>
        <v>1307309</v>
      </c>
      <c r="G152" s="1">
        <f>Comuni__2[[#This Row],[Popolazione2011]]/Comuni__2[[#This Row],[POPOLAZIONE TOTALE DI OGNI REGIONE (CON FILTRO)]]</f>
        <v>1.0846708773518733E-3</v>
      </c>
      <c r="H152" t="str">
        <f>IF(Comuni__2[[#This Row],[Popolazione2011]]&gt;300000,"MAGGIORE","")</f>
        <v/>
      </c>
      <c r="J152">
        <v>10</v>
      </c>
      <c r="K152">
        <v>2767</v>
      </c>
      <c r="L152">
        <v>470</v>
      </c>
    </row>
    <row r="153" spans="1:12" x14ac:dyDescent="0.2">
      <c r="A153"/>
      <c r="B153"/>
      <c r="C153"/>
      <c r="D153"/>
      <c r="E153" s="2">
        <f>Comuni__2[[#This Row],[Popolazione2011]]/$D$7911</f>
        <v>2.3829126182745468E-5</v>
      </c>
      <c r="F153">
        <f>SUMIFS($D$2:$D$7909, $B$2:$B$7909, "Abruzzo")</f>
        <v>1307309</v>
      </c>
      <c r="G153" s="1">
        <f>Comuni__2[[#This Row],[Popolazione2011]]/Comuni__2[[#This Row],[POPOLAZIONE TOTALE DI OGNI REGIONE (CON FILTRO)]]</f>
        <v>1.083141017158147E-3</v>
      </c>
      <c r="H153" t="str">
        <f>IF(Comuni__2[[#This Row],[Popolazione2011]]&gt;300000,"MAGGIORE","")</f>
        <v/>
      </c>
      <c r="J153">
        <v>13</v>
      </c>
      <c r="K153">
        <v>2773</v>
      </c>
      <c r="L153">
        <v>470</v>
      </c>
    </row>
    <row r="154" spans="1:12" x14ac:dyDescent="0.2">
      <c r="A154"/>
      <c r="B154"/>
      <c r="C154"/>
      <c r="D154"/>
      <c r="E154" s="2">
        <f>Comuni__2[[#This Row],[Popolazione2011]]/$D$7911</f>
        <v>2.3761812266975E-5</v>
      </c>
      <c r="F154">
        <f>SUMIFS($D$2:$D$7909, $B$2:$B$7909, "Abruzzo")</f>
        <v>1307309</v>
      </c>
      <c r="G154" s="1">
        <f>Comuni__2[[#This Row],[Popolazione2011]]/Comuni__2[[#This Row],[POPOLAZIONE TOTALE DI OGNI REGIONE (CON FILTRO)]]</f>
        <v>1.0800812967706947E-3</v>
      </c>
      <c r="H154" t="str">
        <f>IF(Comuni__2[[#This Row],[Popolazione2011]]&gt;300000,"MAGGIORE","")</f>
        <v/>
      </c>
      <c r="J154">
        <v>13</v>
      </c>
      <c r="K154">
        <v>2777</v>
      </c>
      <c r="L154">
        <v>470</v>
      </c>
    </row>
    <row r="155" spans="1:12" x14ac:dyDescent="0.2">
      <c r="A155"/>
      <c r="B155"/>
      <c r="C155"/>
      <c r="D155"/>
      <c r="E155" s="2">
        <f>Comuni__2[[#This Row],[Popolazione2011]]/$D$7911</f>
        <v>2.3408414209180047E-5</v>
      </c>
      <c r="F155">
        <f>SUMIFS($D$2:$D$7909, $B$2:$B$7909, "Abruzzo")</f>
        <v>1307309</v>
      </c>
      <c r="G155" s="1">
        <f>Comuni__2[[#This Row],[Popolazione2011]]/Comuni__2[[#This Row],[POPOLAZIONE TOTALE DI OGNI REGIONE (CON FILTRO)]]</f>
        <v>1.0640177647365696E-3</v>
      </c>
      <c r="H155" t="str">
        <f>IF(Comuni__2[[#This Row],[Popolazione2011]]&gt;300000,"MAGGIORE","")</f>
        <v/>
      </c>
      <c r="J155">
        <v>15</v>
      </c>
      <c r="K155">
        <v>2777</v>
      </c>
      <c r="L155">
        <v>470</v>
      </c>
    </row>
    <row r="156" spans="1:12" x14ac:dyDescent="0.2">
      <c r="A156"/>
      <c r="B156"/>
      <c r="C156"/>
      <c r="D156"/>
      <c r="E156" s="2">
        <f>Comuni__2[[#This Row],[Popolazione2011]]/$D$7911</f>
        <v>2.3273786377639112E-5</v>
      </c>
      <c r="F156">
        <f>SUMIFS($D$2:$D$7909, $B$2:$B$7909, "Abruzzo")</f>
        <v>1307309</v>
      </c>
      <c r="G156" s="1">
        <f>Comuni__2[[#This Row],[Popolazione2011]]/Comuni__2[[#This Row],[POPOLAZIONE TOTALE DI OGNI REGIONE (CON FILTRO)]]</f>
        <v>1.0578983239616648E-3</v>
      </c>
      <c r="H156" t="str">
        <f>IF(Comuni__2[[#This Row],[Popolazione2011]]&gt;300000,"MAGGIORE","")</f>
        <v/>
      </c>
      <c r="J156">
        <v>14</v>
      </c>
      <c r="K156">
        <v>2783</v>
      </c>
      <c r="L156">
        <v>471</v>
      </c>
    </row>
    <row r="157" spans="1:12" x14ac:dyDescent="0.2">
      <c r="A157"/>
      <c r="B157"/>
      <c r="C157"/>
      <c r="D157"/>
      <c r="E157" s="2">
        <f>Comuni__2[[#This Row],[Popolazione2011]]/$D$7911</f>
        <v>2.2954045277729392E-5</v>
      </c>
      <c r="F157">
        <f>SUMIFS($D$2:$D$7909, $B$2:$B$7909, "Abruzzo")</f>
        <v>1307309</v>
      </c>
      <c r="G157" s="1">
        <f>Comuni__2[[#This Row],[Popolazione2011]]/Comuni__2[[#This Row],[POPOLAZIONE TOTALE DI OGNI REGIONE (CON FILTRO)]]</f>
        <v>1.0433646521212658E-3</v>
      </c>
      <c r="H157" t="str">
        <f>IF(Comuni__2[[#This Row],[Popolazione2011]]&gt;300000,"MAGGIORE","")</f>
        <v/>
      </c>
      <c r="J157">
        <v>15</v>
      </c>
      <c r="K157">
        <v>2790</v>
      </c>
      <c r="L157">
        <v>472</v>
      </c>
    </row>
    <row r="158" spans="1:12" x14ac:dyDescent="0.2">
      <c r="A158"/>
      <c r="B158"/>
      <c r="C158"/>
      <c r="D158"/>
      <c r="E158" s="2">
        <f>Comuni__2[[#This Row],[Popolazione2011]]/$D$7911</f>
        <v>2.2937216798786776E-5</v>
      </c>
      <c r="F158">
        <f>SUMIFS($D$2:$D$7909, $B$2:$B$7909, "Abruzzo")</f>
        <v>1307309</v>
      </c>
      <c r="G158" s="1">
        <f>Comuni__2[[#This Row],[Popolazione2011]]/Comuni__2[[#This Row],[POPOLAZIONE TOTALE DI OGNI REGIONE (CON FILTRO)]]</f>
        <v>1.0425997220244029E-3</v>
      </c>
      <c r="H158" t="str">
        <f>IF(Comuni__2[[#This Row],[Popolazione2011]]&gt;300000,"MAGGIORE","")</f>
        <v/>
      </c>
      <c r="J158">
        <v>15</v>
      </c>
      <c r="K158">
        <v>2792</v>
      </c>
      <c r="L158">
        <v>472</v>
      </c>
    </row>
    <row r="159" spans="1:12" x14ac:dyDescent="0.2">
      <c r="A159"/>
      <c r="B159"/>
      <c r="C159"/>
      <c r="D159"/>
      <c r="E159" s="2">
        <f>Comuni__2[[#This Row],[Popolazione2011]]/$D$7911</f>
        <v>2.2819417446188456E-5</v>
      </c>
      <c r="F159">
        <f>SUMIFS($D$2:$D$7909, $B$2:$B$7909, "Abruzzo")</f>
        <v>1307309</v>
      </c>
      <c r="G159" s="1">
        <f>Comuni__2[[#This Row],[Popolazione2011]]/Comuni__2[[#This Row],[POPOLAZIONE TOTALE DI OGNI REGIONE (CON FILTRO)]]</f>
        <v>1.0372452113463612E-3</v>
      </c>
      <c r="H159" t="str">
        <f>IF(Comuni__2[[#This Row],[Popolazione2011]]&gt;300000,"MAGGIORE","")</f>
        <v/>
      </c>
      <c r="J159">
        <v>15</v>
      </c>
      <c r="K159">
        <v>2799</v>
      </c>
      <c r="L159">
        <v>472</v>
      </c>
    </row>
    <row r="160" spans="1:12" x14ac:dyDescent="0.2">
      <c r="A160"/>
      <c r="B160"/>
      <c r="C160"/>
      <c r="D160"/>
      <c r="E160" s="2">
        <f>Comuni__2[[#This Row],[Popolazione2011]]/$D$7911</f>
        <v>2.2550161783106588E-5</v>
      </c>
      <c r="F160">
        <f>SUMIFS($D$2:$D$7909, $B$2:$B$7909, "Abruzzo")</f>
        <v>1307309</v>
      </c>
      <c r="G160" s="1">
        <f>Comuni__2[[#This Row],[Popolazione2011]]/Comuni__2[[#This Row],[POPOLAZIONE TOTALE DI OGNI REGIONE (CON FILTRO)]]</f>
        <v>1.0250063297965516E-3</v>
      </c>
      <c r="H160" t="str">
        <f>IF(Comuni__2[[#This Row],[Popolazione2011]]&gt;300000,"MAGGIORE","")</f>
        <v/>
      </c>
      <c r="J160">
        <v>14</v>
      </c>
      <c r="K160">
        <v>2799</v>
      </c>
      <c r="L160">
        <v>472</v>
      </c>
    </row>
    <row r="161" spans="1:12" x14ac:dyDescent="0.2">
      <c r="A161"/>
      <c r="B161"/>
      <c r="C161"/>
      <c r="D161"/>
      <c r="E161" s="2">
        <f>Comuni__2[[#This Row],[Popolazione2011]]/$D$7911</f>
        <v>2.2516504825221352E-5</v>
      </c>
      <c r="F161">
        <f>SUMIFS($D$2:$D$7909, $B$2:$B$7909, "Abruzzo")</f>
        <v>1307309</v>
      </c>
      <c r="G161" s="1">
        <f>Comuni__2[[#This Row],[Popolazione2011]]/Comuni__2[[#This Row],[POPOLAZIONE TOTALE DI OGNI REGIONE (CON FILTRO)]]</f>
        <v>1.0234764696028253E-3</v>
      </c>
      <c r="H161" t="str">
        <f>IF(Comuni__2[[#This Row],[Popolazione2011]]&gt;300000,"MAGGIORE","")</f>
        <v/>
      </c>
      <c r="J161">
        <v>14</v>
      </c>
      <c r="K161">
        <v>2800</v>
      </c>
      <c r="L161">
        <v>472</v>
      </c>
    </row>
    <row r="162" spans="1:12" x14ac:dyDescent="0.2">
      <c r="A162"/>
      <c r="B162"/>
      <c r="C162"/>
      <c r="D162"/>
      <c r="E162" s="2">
        <f>Comuni__2[[#This Row],[Popolazione2011]]/$D$7911</f>
        <v>2.2247249162139484E-5</v>
      </c>
      <c r="F162">
        <f>SUMIFS($D$2:$D$7909, $B$2:$B$7909, "Abruzzo")</f>
        <v>1307309</v>
      </c>
      <c r="G162" s="1">
        <f>Comuni__2[[#This Row],[Popolazione2011]]/Comuni__2[[#This Row],[POPOLAZIONE TOTALE DI OGNI REGIONE (CON FILTRO)]]</f>
        <v>1.0112375880530157E-3</v>
      </c>
      <c r="H162" t="str">
        <f>IF(Comuni__2[[#This Row],[Popolazione2011]]&gt;300000,"MAGGIORE","")</f>
        <v/>
      </c>
      <c r="J162">
        <v>17</v>
      </c>
      <c r="K162">
        <v>2801</v>
      </c>
      <c r="L162">
        <v>472</v>
      </c>
    </row>
    <row r="163" spans="1:12" x14ac:dyDescent="0.2">
      <c r="A163"/>
      <c r="B163"/>
      <c r="C163"/>
      <c r="D163"/>
      <c r="E163" s="2">
        <f>Comuni__2[[#This Row],[Popolazione2011]]/$D$7911</f>
        <v>2.2095792851655932E-5</v>
      </c>
      <c r="F163">
        <f>SUMIFS($D$2:$D$7909, $B$2:$B$7909, "Abruzzo")</f>
        <v>1307309</v>
      </c>
      <c r="G163" s="1">
        <f>Comuni__2[[#This Row],[Popolazione2011]]/Comuni__2[[#This Row],[POPOLAZIONE TOTALE DI OGNI REGIONE (CON FILTRO)]]</f>
        <v>1.004353217181248E-3</v>
      </c>
      <c r="H163" t="str">
        <f>IF(Comuni__2[[#This Row],[Popolazione2011]]&gt;300000,"MAGGIORE","")</f>
        <v/>
      </c>
      <c r="J163">
        <v>17</v>
      </c>
      <c r="K163">
        <v>2802</v>
      </c>
      <c r="L163">
        <v>472</v>
      </c>
    </row>
    <row r="164" spans="1:12" x14ac:dyDescent="0.2">
      <c r="A164"/>
      <c r="B164"/>
      <c r="C164"/>
      <c r="D164"/>
      <c r="E164" s="2">
        <f>Comuni__2[[#This Row],[Popolazione2011]]/$D$7911</f>
        <v>2.162459544126266E-5</v>
      </c>
      <c r="F164">
        <f>SUMIFS($D$2:$D$7909, $B$2:$B$7909, "Abruzzo")</f>
        <v>1307309</v>
      </c>
      <c r="G164" s="1">
        <f>Comuni__2[[#This Row],[Popolazione2011]]/Comuni__2[[#This Row],[POPOLAZIONE TOTALE DI OGNI REGIONE (CON FILTRO)]]</f>
        <v>9.8293517446908121E-4</v>
      </c>
      <c r="H164" t="str">
        <f>IF(Comuni__2[[#This Row],[Popolazione2011]]&gt;300000,"MAGGIORE","")</f>
        <v/>
      </c>
      <c r="J164">
        <v>19</v>
      </c>
      <c r="K164">
        <v>2804</v>
      </c>
      <c r="L164">
        <v>472</v>
      </c>
    </row>
    <row r="165" spans="1:12" x14ac:dyDescent="0.2">
      <c r="A165"/>
      <c r="B165"/>
      <c r="C165"/>
      <c r="D165"/>
      <c r="E165" s="2">
        <f>Comuni__2[[#This Row],[Popolazione2011]]/$D$7911</f>
        <v>2.1372168257123408E-5</v>
      </c>
      <c r="F165">
        <f>SUMIFS($D$2:$D$7909, $B$2:$B$7909, "Abruzzo")</f>
        <v>1307309</v>
      </c>
      <c r="G165" s="1">
        <f>Comuni__2[[#This Row],[Popolazione2011]]/Comuni__2[[#This Row],[POPOLAZIONE TOTALE DI OGNI REGIONE (CON FILTRO)]]</f>
        <v>9.7146122301613471E-4</v>
      </c>
      <c r="H165" t="str">
        <f>IF(Comuni__2[[#This Row],[Popolazione2011]]&gt;300000,"MAGGIORE","")</f>
        <v/>
      </c>
      <c r="J165">
        <v>20</v>
      </c>
      <c r="K165">
        <v>2808</v>
      </c>
      <c r="L165">
        <v>472</v>
      </c>
    </row>
    <row r="166" spans="1:12" x14ac:dyDescent="0.2">
      <c r="A166"/>
      <c r="B166"/>
      <c r="C166"/>
      <c r="D166"/>
      <c r="E166" s="2">
        <f>Comuni__2[[#This Row],[Popolazione2011]]/$D$7911</f>
        <v>2.0598058225763032E-5</v>
      </c>
      <c r="F166">
        <f>SUMIFS($D$2:$D$7909, $B$2:$B$7909, "Abruzzo")</f>
        <v>1307309</v>
      </c>
      <c r="G166" s="1">
        <f>Comuni__2[[#This Row],[Popolazione2011]]/Comuni__2[[#This Row],[POPOLAZIONE TOTALE DI OGNI REGIONE (CON FILTRO)]]</f>
        <v>9.3627443856043218E-4</v>
      </c>
      <c r="H166" t="str">
        <f>IF(Comuni__2[[#This Row],[Popolazione2011]]&gt;300000,"MAGGIORE","")</f>
        <v/>
      </c>
      <c r="J166">
        <v>21</v>
      </c>
      <c r="K166">
        <v>2810</v>
      </c>
      <c r="L166">
        <v>472</v>
      </c>
    </row>
    <row r="167" spans="1:12" x14ac:dyDescent="0.2">
      <c r="A167"/>
      <c r="B167"/>
      <c r="C167"/>
      <c r="D167"/>
      <c r="E167" s="2">
        <f>Comuni__2[[#This Row],[Popolazione2011]]/$D$7911</f>
        <v>2.0379287999509013E-5</v>
      </c>
      <c r="F167">
        <f>SUMIFS($D$2:$D$7909, $B$2:$B$7909, "Abruzzo")</f>
        <v>1307309</v>
      </c>
      <c r="G167" s="1">
        <f>Comuni__2[[#This Row],[Popolazione2011]]/Comuni__2[[#This Row],[POPOLAZIONE TOTALE DI OGNI REGIONE (CON FILTRO)]]</f>
        <v>9.2633034730121183E-4</v>
      </c>
      <c r="H167" t="str">
        <f>IF(Comuni__2[[#This Row],[Popolazione2011]]&gt;300000,"MAGGIORE","")</f>
        <v/>
      </c>
      <c r="J167">
        <v>23</v>
      </c>
      <c r="K167">
        <v>2812</v>
      </c>
      <c r="L167">
        <v>472</v>
      </c>
    </row>
    <row r="168" spans="1:12" x14ac:dyDescent="0.2">
      <c r="A168"/>
      <c r="B168"/>
      <c r="C168"/>
      <c r="D168"/>
      <c r="E168" s="2">
        <f>Comuni__2[[#This Row],[Popolazione2011]]/$D$7911</f>
        <v>2.0328802562681161E-5</v>
      </c>
      <c r="F168">
        <f>SUMIFS($D$2:$D$7909, $B$2:$B$7909, "Abruzzo")</f>
        <v>1307309</v>
      </c>
      <c r="G168" s="1">
        <f>Comuni__2[[#This Row],[Popolazione2011]]/Comuni__2[[#This Row],[POPOLAZIONE TOTALE DI OGNI REGIONE (CON FILTRO)]]</f>
        <v>9.2403555701062255E-4</v>
      </c>
      <c r="H168" t="str">
        <f>IF(Comuni__2[[#This Row],[Popolazione2011]]&gt;300000,"MAGGIORE","")</f>
        <v/>
      </c>
      <c r="J168">
        <v>25</v>
      </c>
      <c r="K168">
        <v>2817</v>
      </c>
      <c r="L168">
        <v>472</v>
      </c>
    </row>
    <row r="169" spans="1:12" x14ac:dyDescent="0.2">
      <c r="A169"/>
      <c r="B169"/>
      <c r="C169"/>
      <c r="D169"/>
      <c r="E169" s="2">
        <f>Comuni__2[[#This Row],[Popolazione2011]]/$D$7911</f>
        <v>2.0025889941714057E-5</v>
      </c>
      <c r="F169">
        <f>SUMIFS($D$2:$D$7909, $B$2:$B$7909, "Abruzzo")</f>
        <v>1307309</v>
      </c>
      <c r="G169" s="1">
        <f>Comuni__2[[#This Row],[Popolazione2011]]/Comuni__2[[#This Row],[POPOLAZIONE TOTALE DI OGNI REGIONE (CON FILTRO)]]</f>
        <v>9.1026681526708677E-4</v>
      </c>
      <c r="H169" t="str">
        <f>IF(Comuni__2[[#This Row],[Popolazione2011]]&gt;300000,"MAGGIORE","")</f>
        <v/>
      </c>
      <c r="J169">
        <v>24</v>
      </c>
      <c r="K169">
        <v>2817</v>
      </c>
      <c r="L169">
        <v>472</v>
      </c>
    </row>
    <row r="170" spans="1:12" x14ac:dyDescent="0.2">
      <c r="A170"/>
      <c r="B170"/>
      <c r="C170"/>
      <c r="D170"/>
      <c r="E170" s="2">
        <f>Comuni__2[[#This Row],[Popolazione2011]]/$D$7911</f>
        <v>1.9605177968148637E-5</v>
      </c>
      <c r="F170">
        <f>SUMIFS($D$2:$D$7909, $B$2:$B$7909, "Abruzzo")</f>
        <v>1307309</v>
      </c>
      <c r="G170" s="1">
        <f>Comuni__2[[#This Row],[Popolazione2011]]/Comuni__2[[#This Row],[POPOLAZIONE TOTALE DI OGNI REGIONE (CON FILTRO)]]</f>
        <v>8.9114356284550941E-4</v>
      </c>
      <c r="H170" t="str">
        <f>IF(Comuni__2[[#This Row],[Popolazione2011]]&gt;300000,"MAGGIORE","")</f>
        <v/>
      </c>
      <c r="J170">
        <v>25</v>
      </c>
      <c r="K170">
        <v>2818</v>
      </c>
      <c r="L170">
        <v>472</v>
      </c>
    </row>
    <row r="171" spans="1:12" x14ac:dyDescent="0.2">
      <c r="A171"/>
      <c r="B171"/>
      <c r="C171"/>
      <c r="D171"/>
      <c r="E171" s="2">
        <f>Comuni__2[[#This Row],[Popolazione2011]]/$D$7911</f>
        <v>1.9537864052378169E-5</v>
      </c>
      <c r="F171">
        <f>SUMIFS($D$2:$D$7909, $B$2:$B$7909, "Abruzzo")</f>
        <v>1307309</v>
      </c>
      <c r="G171" s="1">
        <f>Comuni__2[[#This Row],[Popolazione2011]]/Comuni__2[[#This Row],[POPOLAZIONE TOTALE DI OGNI REGIONE (CON FILTRO)]]</f>
        <v>8.88083842458057E-4</v>
      </c>
      <c r="H171" t="str">
        <f>IF(Comuni__2[[#This Row],[Popolazione2011]]&gt;300000,"MAGGIORE","")</f>
        <v/>
      </c>
      <c r="J171">
        <v>24</v>
      </c>
      <c r="K171">
        <v>2821</v>
      </c>
      <c r="L171">
        <v>472</v>
      </c>
    </row>
    <row r="172" spans="1:12" x14ac:dyDescent="0.2">
      <c r="A172"/>
      <c r="B172"/>
      <c r="C172"/>
      <c r="D172"/>
      <c r="E172" s="2">
        <f>Comuni__2[[#This Row],[Popolazione2011]]/$D$7911</f>
        <v>1.9470550136607701E-5</v>
      </c>
      <c r="F172">
        <f>SUMIFS($D$2:$D$7909, $B$2:$B$7909, "Abruzzo")</f>
        <v>1307309</v>
      </c>
      <c r="G172" s="1">
        <f>Comuni__2[[#This Row],[Popolazione2011]]/Comuni__2[[#This Row],[POPOLAZIONE TOTALE DI OGNI REGIONE (CON FILTRO)]]</f>
        <v>8.8502412207060459E-4</v>
      </c>
      <c r="H172" t="str">
        <f>IF(Comuni__2[[#This Row],[Popolazione2011]]&gt;300000,"MAGGIORE","")</f>
        <v/>
      </c>
      <c r="J172">
        <v>24</v>
      </c>
      <c r="K172">
        <v>2823</v>
      </c>
      <c r="L172">
        <v>472</v>
      </c>
    </row>
    <row r="173" spans="1:12" x14ac:dyDescent="0.2">
      <c r="A173"/>
      <c r="B173"/>
      <c r="C173"/>
      <c r="D173"/>
      <c r="E173" s="2">
        <f>Comuni__2[[#This Row],[Popolazione2011]]/$D$7911</f>
        <v>1.9436893178722469E-5</v>
      </c>
      <c r="F173">
        <f>SUMIFS($D$2:$D$7909, $B$2:$B$7909, "Abruzzo")</f>
        <v>1307309</v>
      </c>
      <c r="G173" s="1">
        <f>Comuni__2[[#This Row],[Popolazione2011]]/Comuni__2[[#This Row],[POPOLAZIONE TOTALE DI OGNI REGIONE (CON FILTRO)]]</f>
        <v>8.8349426187687833E-4</v>
      </c>
      <c r="H173" t="str">
        <f>IF(Comuni__2[[#This Row],[Popolazione2011]]&gt;300000,"MAGGIORE","")</f>
        <v/>
      </c>
      <c r="J173">
        <v>25</v>
      </c>
      <c r="K173">
        <v>2826</v>
      </c>
      <c r="L173">
        <v>472</v>
      </c>
    </row>
    <row r="174" spans="1:12" x14ac:dyDescent="0.2">
      <c r="A174"/>
      <c r="B174"/>
      <c r="C174"/>
      <c r="D174"/>
      <c r="E174" s="2">
        <f>Comuni__2[[#This Row],[Popolazione2011]]/$D$7911</f>
        <v>1.9403236220837233E-5</v>
      </c>
      <c r="F174">
        <f>SUMIFS($D$2:$D$7909, $B$2:$B$7909, "Abruzzo")</f>
        <v>1307309</v>
      </c>
      <c r="G174" s="1">
        <f>Comuni__2[[#This Row],[Popolazione2011]]/Comuni__2[[#This Row],[POPOLAZIONE TOTALE DI OGNI REGIONE (CON FILTRO)]]</f>
        <v>8.8196440168315218E-4</v>
      </c>
      <c r="H174" t="str">
        <f>IF(Comuni__2[[#This Row],[Popolazione2011]]&gt;300000,"MAGGIORE","")</f>
        <v/>
      </c>
      <c r="J174">
        <v>24</v>
      </c>
      <c r="K174">
        <v>2831</v>
      </c>
      <c r="L174">
        <v>472</v>
      </c>
    </row>
    <row r="175" spans="1:12" x14ac:dyDescent="0.2">
      <c r="A175"/>
      <c r="B175"/>
      <c r="C175"/>
      <c r="D175"/>
      <c r="E175" s="2">
        <f>Comuni__2[[#This Row],[Popolazione2011]]/$D$7911</f>
        <v>1.9251779910353681E-5</v>
      </c>
      <c r="F175">
        <f>SUMIFS($D$2:$D$7909, $B$2:$B$7909, "Abruzzo")</f>
        <v>1307309</v>
      </c>
      <c r="G175" s="1">
        <f>Comuni__2[[#This Row],[Popolazione2011]]/Comuni__2[[#This Row],[POPOLAZIONE TOTALE DI OGNI REGIONE (CON FILTRO)]]</f>
        <v>8.7508003081138435E-4</v>
      </c>
      <c r="H175" t="str">
        <f>IF(Comuni__2[[#This Row],[Popolazione2011]]&gt;300000,"MAGGIORE","")</f>
        <v/>
      </c>
      <c r="J175">
        <v>26</v>
      </c>
      <c r="K175">
        <v>2834</v>
      </c>
      <c r="L175">
        <v>472</v>
      </c>
    </row>
    <row r="176" spans="1:12" x14ac:dyDescent="0.2">
      <c r="A176"/>
      <c r="B176"/>
      <c r="C176"/>
      <c r="D176"/>
      <c r="E176" s="2">
        <f>Comuni__2[[#This Row],[Popolazione2011]]/$D$7911</f>
        <v>1.8965695768329197E-5</v>
      </c>
      <c r="F176">
        <f>SUMIFS($D$2:$D$7909, $B$2:$B$7909, "Abruzzo")</f>
        <v>1307309</v>
      </c>
      <c r="G176" s="1">
        <f>Comuni__2[[#This Row],[Popolazione2011]]/Comuni__2[[#This Row],[POPOLAZIONE TOTALE DI OGNI REGIONE (CON FILTRO)]]</f>
        <v>8.6207621916471158E-4</v>
      </c>
      <c r="H176" t="str">
        <f>IF(Comuni__2[[#This Row],[Popolazione2011]]&gt;300000,"MAGGIORE","")</f>
        <v/>
      </c>
      <c r="J176">
        <v>26</v>
      </c>
      <c r="K176">
        <v>2834</v>
      </c>
      <c r="L176">
        <v>472</v>
      </c>
    </row>
    <row r="177" spans="1:12" x14ac:dyDescent="0.2">
      <c r="A177"/>
      <c r="B177"/>
      <c r="C177"/>
      <c r="D177"/>
      <c r="E177" s="2">
        <f>Comuni__2[[#This Row],[Popolazione2011]]/$D$7911</f>
        <v>1.8679611626304709E-5</v>
      </c>
      <c r="F177">
        <f>SUMIFS($D$2:$D$7909, $B$2:$B$7909, "Abruzzo")</f>
        <v>1307309</v>
      </c>
      <c r="G177" s="1">
        <f>Comuni__2[[#This Row],[Popolazione2011]]/Comuni__2[[#This Row],[POPOLAZIONE TOTALE DI OGNI REGIONE (CON FILTRO)]]</f>
        <v>8.4907240751803893E-4</v>
      </c>
      <c r="H177" t="str">
        <f>IF(Comuni__2[[#This Row],[Popolazione2011]]&gt;300000,"MAGGIORE","")</f>
        <v/>
      </c>
      <c r="J177">
        <v>28</v>
      </c>
      <c r="K177">
        <v>2838</v>
      </c>
      <c r="L177">
        <v>472</v>
      </c>
    </row>
    <row r="178" spans="1:12" x14ac:dyDescent="0.2">
      <c r="A178"/>
      <c r="B178"/>
      <c r="C178"/>
      <c r="D178"/>
      <c r="E178" s="2">
        <f>Comuni__2[[#This Row],[Popolazione2011]]/$D$7911</f>
        <v>1.8645954668419477E-5</v>
      </c>
      <c r="F178">
        <f>SUMIFS($D$2:$D$7909, $B$2:$B$7909, "Abruzzo")</f>
        <v>1307309</v>
      </c>
      <c r="G178" s="1">
        <f>Comuni__2[[#This Row],[Popolazione2011]]/Comuni__2[[#This Row],[POPOLAZIONE TOTALE DI OGNI REGIONE (CON FILTRO)]]</f>
        <v>8.4754254732431278E-4</v>
      </c>
      <c r="H178" t="str">
        <f>IF(Comuni__2[[#This Row],[Popolazione2011]]&gt;300000,"MAGGIORE","")</f>
        <v/>
      </c>
      <c r="J178">
        <v>28</v>
      </c>
      <c r="K178">
        <v>2840</v>
      </c>
      <c r="L178">
        <v>472</v>
      </c>
    </row>
    <row r="179" spans="1:12" x14ac:dyDescent="0.2">
      <c r="A179"/>
      <c r="B179"/>
      <c r="C179"/>
      <c r="D179"/>
      <c r="E179" s="2">
        <f>Comuni__2[[#This Row],[Popolazione2011]]/$D$7911</f>
        <v>1.8612297710534242E-5</v>
      </c>
      <c r="F179">
        <f>SUMIFS($D$2:$D$7909, $B$2:$B$7909, "Abruzzo")</f>
        <v>1307309</v>
      </c>
      <c r="G179" s="1">
        <f>Comuni__2[[#This Row],[Popolazione2011]]/Comuni__2[[#This Row],[POPOLAZIONE TOTALE DI OGNI REGIONE (CON FILTRO)]]</f>
        <v>8.4601268713058652E-4</v>
      </c>
      <c r="H179" t="str">
        <f>IF(Comuni__2[[#This Row],[Popolazione2011]]&gt;300000,"MAGGIORE","")</f>
        <v/>
      </c>
      <c r="J179">
        <v>27</v>
      </c>
      <c r="K179">
        <v>2840</v>
      </c>
      <c r="L179">
        <v>472</v>
      </c>
    </row>
    <row r="180" spans="1:12" x14ac:dyDescent="0.2">
      <c r="A180"/>
      <c r="B180"/>
      <c r="C180"/>
      <c r="D180"/>
      <c r="E180" s="2">
        <f>Comuni__2[[#This Row],[Popolazione2011]]/$D$7911</f>
        <v>1.8494498357935925E-5</v>
      </c>
      <c r="F180">
        <f>SUMIFS($D$2:$D$7909, $B$2:$B$7909, "Abruzzo")</f>
        <v>1307309</v>
      </c>
      <c r="G180" s="1">
        <f>Comuni__2[[#This Row],[Popolazione2011]]/Comuni__2[[#This Row],[POPOLAZIONE TOTALE DI OGNI REGIONE (CON FILTRO)]]</f>
        <v>8.4065817645254484E-4</v>
      </c>
      <c r="H180" t="str">
        <f>IF(Comuni__2[[#This Row],[Popolazione2011]]&gt;300000,"MAGGIORE","")</f>
        <v/>
      </c>
      <c r="J180">
        <v>28</v>
      </c>
      <c r="K180">
        <v>2841</v>
      </c>
      <c r="L180">
        <v>472</v>
      </c>
    </row>
    <row r="181" spans="1:12" x14ac:dyDescent="0.2">
      <c r="A181"/>
      <c r="B181"/>
      <c r="C181"/>
      <c r="D181"/>
      <c r="E181" s="2">
        <f>Comuni__2[[#This Row],[Popolazione2011]]/$D$7911</f>
        <v>1.8359870526394989E-5</v>
      </c>
      <c r="F181">
        <f>SUMIFS($D$2:$D$7909, $B$2:$B$7909, "Abruzzo")</f>
        <v>1307309</v>
      </c>
      <c r="G181" s="1">
        <f>Comuni__2[[#This Row],[Popolazione2011]]/Comuni__2[[#This Row],[POPOLAZIONE TOTALE DI OGNI REGIONE (CON FILTRO)]]</f>
        <v>8.3453873567764013E-4</v>
      </c>
      <c r="H181" t="str">
        <f>IF(Comuni__2[[#This Row],[Popolazione2011]]&gt;300000,"MAGGIORE","")</f>
        <v/>
      </c>
      <c r="J181">
        <v>31</v>
      </c>
      <c r="K181">
        <v>2843</v>
      </c>
      <c r="L181">
        <v>472</v>
      </c>
    </row>
    <row r="182" spans="1:12" x14ac:dyDescent="0.2">
      <c r="A182"/>
      <c r="B182"/>
      <c r="C182"/>
      <c r="D182"/>
      <c r="E182" s="2">
        <f>Comuni__2[[#This Row],[Popolazione2011]]/$D$7911</f>
        <v>1.8309385089567138E-5</v>
      </c>
      <c r="F182">
        <f>SUMIFS($D$2:$D$7909, $B$2:$B$7909, "Abruzzo")</f>
        <v>1307309</v>
      </c>
      <c r="G182" s="1">
        <f>Comuni__2[[#This Row],[Popolazione2011]]/Comuni__2[[#This Row],[POPOLAZIONE TOTALE DI OGNI REGIONE (CON FILTRO)]]</f>
        <v>8.3224394538705085E-4</v>
      </c>
      <c r="H182" t="str">
        <f>IF(Comuni__2[[#This Row],[Popolazione2011]]&gt;300000,"MAGGIORE","")</f>
        <v/>
      </c>
      <c r="J182">
        <v>33</v>
      </c>
      <c r="K182">
        <v>2843</v>
      </c>
      <c r="L182">
        <v>472</v>
      </c>
    </row>
    <row r="183" spans="1:12" x14ac:dyDescent="0.2">
      <c r="A183"/>
      <c r="B183"/>
      <c r="C183"/>
      <c r="D183"/>
      <c r="E183" s="2">
        <f>Comuni__2[[#This Row],[Popolazione2011]]/$D$7911</f>
        <v>1.8157928779083586E-5</v>
      </c>
      <c r="F183">
        <f>SUMIFS($D$2:$D$7909, $B$2:$B$7909, "Abruzzo")</f>
        <v>1307309</v>
      </c>
      <c r="G183" s="1">
        <f>Comuni__2[[#This Row],[Popolazione2011]]/Comuni__2[[#This Row],[POPOLAZIONE TOTALE DI OGNI REGIONE (CON FILTRO)]]</f>
        <v>8.2535957451528291E-4</v>
      </c>
      <c r="H183" t="str">
        <f>IF(Comuni__2[[#This Row],[Popolazione2011]]&gt;300000,"MAGGIORE","")</f>
        <v/>
      </c>
      <c r="J183">
        <v>32</v>
      </c>
      <c r="K183">
        <v>2844</v>
      </c>
      <c r="L183">
        <v>472</v>
      </c>
    </row>
    <row r="184" spans="1:12" x14ac:dyDescent="0.2">
      <c r="A184"/>
      <c r="B184"/>
      <c r="C184"/>
      <c r="D184"/>
      <c r="E184" s="2">
        <f>Comuni__2[[#This Row],[Popolazione2011]]/$D$7911</f>
        <v>1.7972815510714802E-5</v>
      </c>
      <c r="F184">
        <f>SUMIFS($D$2:$D$7909, $B$2:$B$7909, "Abruzzo")</f>
        <v>1307309</v>
      </c>
      <c r="G184" s="1">
        <f>Comuni__2[[#This Row],[Popolazione2011]]/Comuni__2[[#This Row],[POPOLAZIONE TOTALE DI OGNI REGIONE (CON FILTRO)]]</f>
        <v>8.1694534344978881E-4</v>
      </c>
      <c r="H184" t="str">
        <f>IF(Comuni__2[[#This Row],[Popolazione2011]]&gt;300000,"MAGGIORE","")</f>
        <v/>
      </c>
      <c r="J184">
        <v>35</v>
      </c>
      <c r="K184">
        <v>2844</v>
      </c>
      <c r="L184">
        <v>472</v>
      </c>
    </row>
    <row r="185" spans="1:12" x14ac:dyDescent="0.2">
      <c r="A185"/>
      <c r="B185"/>
      <c r="C185"/>
      <c r="D185"/>
      <c r="E185" s="2">
        <f>Comuni__2[[#This Row],[Popolazione2011]]/$D$7911</f>
        <v>1.7955987031772185E-5</v>
      </c>
      <c r="F185">
        <f>SUMIFS($D$2:$D$7909, $B$2:$B$7909, "Abruzzo")</f>
        <v>1307309</v>
      </c>
      <c r="G185" s="1">
        <f>Comuni__2[[#This Row],[Popolazione2011]]/Comuni__2[[#This Row],[POPOLAZIONE TOTALE DI OGNI REGIONE (CON FILTRO)]]</f>
        <v>8.1618041335292579E-4</v>
      </c>
      <c r="H185" t="str">
        <f>IF(Comuni__2[[#This Row],[Popolazione2011]]&gt;300000,"MAGGIORE","")</f>
        <v/>
      </c>
      <c r="J185">
        <v>34</v>
      </c>
      <c r="K185">
        <v>2848</v>
      </c>
      <c r="L185">
        <v>472</v>
      </c>
    </row>
    <row r="186" spans="1:12" x14ac:dyDescent="0.2">
      <c r="A186"/>
      <c r="B186"/>
      <c r="C186"/>
      <c r="D186"/>
      <c r="E186" s="2">
        <f>Comuni__2[[#This Row],[Popolazione2011]]/$D$7911</f>
        <v>1.7770873763403401E-5</v>
      </c>
      <c r="F186">
        <f>SUMIFS($D$2:$D$7909, $B$2:$B$7909, "Abruzzo")</f>
        <v>1307309</v>
      </c>
      <c r="G186" s="1">
        <f>Comuni__2[[#This Row],[Popolazione2011]]/Comuni__2[[#This Row],[POPOLAZIONE TOTALE DI OGNI REGIONE (CON FILTRO)]]</f>
        <v>8.0776618228743169E-4</v>
      </c>
      <c r="H186" t="str">
        <f>IF(Comuni__2[[#This Row],[Popolazione2011]]&gt;300000,"MAGGIORE","")</f>
        <v/>
      </c>
      <c r="J186">
        <v>35</v>
      </c>
      <c r="K186">
        <v>2849</v>
      </c>
      <c r="L186">
        <v>472</v>
      </c>
    </row>
    <row r="187" spans="1:12" x14ac:dyDescent="0.2">
      <c r="A187"/>
      <c r="B187"/>
      <c r="C187"/>
      <c r="D187"/>
      <c r="E187" s="2">
        <f>Comuni__2[[#This Row],[Popolazione2011]]/$D$7911</f>
        <v>1.7366990268780594E-5</v>
      </c>
      <c r="F187">
        <f>SUMIFS($D$2:$D$7909, $B$2:$B$7909, "Abruzzo")</f>
        <v>1307309</v>
      </c>
      <c r="G187" s="1">
        <f>Comuni__2[[#This Row],[Popolazione2011]]/Comuni__2[[#This Row],[POPOLAZIONE TOTALE DI OGNI REGIONE (CON FILTRO)]]</f>
        <v>7.8940785996271736E-4</v>
      </c>
      <c r="H187" t="str">
        <f>IF(Comuni__2[[#This Row],[Popolazione2011]]&gt;300000,"MAGGIORE","")</f>
        <v/>
      </c>
      <c r="J187">
        <v>38</v>
      </c>
      <c r="K187">
        <v>2852</v>
      </c>
      <c r="L187">
        <v>472</v>
      </c>
    </row>
    <row r="188" spans="1:12" x14ac:dyDescent="0.2">
      <c r="A188"/>
      <c r="B188"/>
      <c r="C188"/>
      <c r="D188"/>
      <c r="E188" s="2">
        <f>Comuni__2[[#This Row],[Popolazione2011]]/$D$7911</f>
        <v>1.7316504831952746E-5</v>
      </c>
      <c r="F188">
        <f>SUMIFS($D$2:$D$7909, $B$2:$B$7909, "Abruzzo")</f>
        <v>1307309</v>
      </c>
      <c r="G188" s="1">
        <f>Comuni__2[[#This Row],[Popolazione2011]]/Comuni__2[[#This Row],[POPOLAZIONE TOTALE DI OGNI REGIONE (CON FILTRO)]]</f>
        <v>7.8711306967212797E-4</v>
      </c>
      <c r="H188" t="str">
        <f>IF(Comuni__2[[#This Row],[Popolazione2011]]&gt;300000,"MAGGIORE","")</f>
        <v/>
      </c>
      <c r="J188">
        <v>40</v>
      </c>
      <c r="K188">
        <v>2870</v>
      </c>
      <c r="L188">
        <v>472</v>
      </c>
    </row>
    <row r="189" spans="1:12" x14ac:dyDescent="0.2">
      <c r="A189"/>
      <c r="B189"/>
      <c r="C189"/>
      <c r="D189"/>
      <c r="E189" s="2">
        <f>Comuni__2[[#This Row],[Popolazione2011]]/$D$7911</f>
        <v>1.7266019395124894E-5</v>
      </c>
      <c r="F189">
        <f>SUMIFS($D$2:$D$7909, $B$2:$B$7909, "Abruzzo")</f>
        <v>1307309</v>
      </c>
      <c r="G189" s="1">
        <f>Comuni__2[[#This Row],[Popolazione2011]]/Comuni__2[[#This Row],[POPOLAZIONE TOTALE DI OGNI REGIONE (CON FILTRO)]]</f>
        <v>7.8481827938153869E-4</v>
      </c>
      <c r="H189" t="str">
        <f>IF(Comuni__2[[#This Row],[Popolazione2011]]&gt;300000,"MAGGIORE","")</f>
        <v/>
      </c>
      <c r="J189">
        <v>38</v>
      </c>
      <c r="K189">
        <v>2872</v>
      </c>
      <c r="L189">
        <v>472</v>
      </c>
    </row>
    <row r="190" spans="1:12" x14ac:dyDescent="0.2">
      <c r="A190"/>
      <c r="B190"/>
      <c r="C190"/>
      <c r="D190"/>
      <c r="E190" s="2">
        <f>Comuni__2[[#This Row],[Popolazione2011]]/$D$7911</f>
        <v>1.7215533958297042E-5</v>
      </c>
      <c r="F190">
        <f>SUMIFS($D$2:$D$7909, $B$2:$B$7909, "Abruzzo")</f>
        <v>1307309</v>
      </c>
      <c r="G190" s="1">
        <f>Comuni__2[[#This Row],[Popolazione2011]]/Comuni__2[[#This Row],[POPOLAZIONE TOTALE DI OGNI REGIONE (CON FILTRO)]]</f>
        <v>7.8252348909094941E-4</v>
      </c>
      <c r="H190" t="str">
        <f>IF(Comuni__2[[#This Row],[Popolazione2011]]&gt;300000,"MAGGIORE","")</f>
        <v/>
      </c>
      <c r="J190">
        <v>38</v>
      </c>
      <c r="K190">
        <v>2872</v>
      </c>
      <c r="L190">
        <v>472</v>
      </c>
    </row>
    <row r="191" spans="1:12" x14ac:dyDescent="0.2">
      <c r="A191"/>
      <c r="B191"/>
      <c r="C191"/>
      <c r="D191"/>
      <c r="E191" s="2">
        <f>Comuni__2[[#This Row],[Popolazione2011]]/$D$7911</f>
        <v>1.7215533958297042E-5</v>
      </c>
      <c r="F191">
        <f>SUMIFS($D$2:$D$7909, $B$2:$B$7909, "Abruzzo")</f>
        <v>1307309</v>
      </c>
      <c r="G191" s="1">
        <f>Comuni__2[[#This Row],[Popolazione2011]]/Comuni__2[[#This Row],[POPOLAZIONE TOTALE DI OGNI REGIONE (CON FILTRO)]]</f>
        <v>7.8252348909094941E-4</v>
      </c>
      <c r="H191" t="str">
        <f>IF(Comuni__2[[#This Row],[Popolazione2011]]&gt;300000,"MAGGIORE","")</f>
        <v/>
      </c>
      <c r="J191">
        <v>36</v>
      </c>
      <c r="K191">
        <v>2878</v>
      </c>
      <c r="L191">
        <v>472</v>
      </c>
    </row>
    <row r="192" spans="1:12" x14ac:dyDescent="0.2">
      <c r="A192"/>
      <c r="B192"/>
      <c r="C192"/>
      <c r="D192"/>
      <c r="E192" s="2">
        <f>Comuni__2[[#This Row],[Popolazione2011]]/$D$7911</f>
        <v>1.7165048521469194E-5</v>
      </c>
      <c r="F192">
        <f>SUMIFS($D$2:$D$7909, $B$2:$B$7909, "Abruzzo")</f>
        <v>1307309</v>
      </c>
      <c r="G192" s="1">
        <f>Comuni__2[[#This Row],[Popolazione2011]]/Comuni__2[[#This Row],[POPOLAZIONE TOTALE DI OGNI REGIONE (CON FILTRO)]]</f>
        <v>7.8022869880036013E-4</v>
      </c>
      <c r="H192" t="str">
        <f>IF(Comuni__2[[#This Row],[Popolazione2011]]&gt;300000,"MAGGIORE","")</f>
        <v/>
      </c>
      <c r="J192">
        <v>30</v>
      </c>
      <c r="K192">
        <v>2902</v>
      </c>
      <c r="L192">
        <v>472</v>
      </c>
    </row>
    <row r="193" spans="1:12" x14ac:dyDescent="0.2">
      <c r="A193"/>
      <c r="B193"/>
      <c r="C193"/>
      <c r="D193"/>
      <c r="E193" s="2">
        <f>Comuni__2[[#This Row],[Popolazione2011]]/$D$7911</f>
        <v>1.7148220042526578E-5</v>
      </c>
      <c r="F193">
        <f>SUMIFS($D$2:$D$7909, $B$2:$B$7909, "Abruzzo")</f>
        <v>1307309</v>
      </c>
      <c r="G193" s="1">
        <f>Comuni__2[[#This Row],[Popolazione2011]]/Comuni__2[[#This Row],[POPOLAZIONE TOTALE DI OGNI REGIONE (CON FILTRO)]]</f>
        <v>7.79463768703497E-4</v>
      </c>
      <c r="H193" t="str">
        <f>IF(Comuni__2[[#This Row],[Popolazione2011]]&gt;300000,"MAGGIORE","")</f>
        <v/>
      </c>
      <c r="J193">
        <v>31</v>
      </c>
      <c r="K193">
        <v>2902</v>
      </c>
      <c r="L193">
        <v>472</v>
      </c>
    </row>
    <row r="194" spans="1:12" x14ac:dyDescent="0.2">
      <c r="A194"/>
      <c r="B194"/>
      <c r="C194"/>
      <c r="D194"/>
      <c r="E194" s="2">
        <f>Comuni__2[[#This Row],[Popolazione2011]]/$D$7911</f>
        <v>1.708090612675611E-5</v>
      </c>
      <c r="F194">
        <f>SUMIFS($D$2:$D$7909, $B$2:$B$7909, "Abruzzo")</f>
        <v>1307309</v>
      </c>
      <c r="G194" s="1">
        <f>Comuni__2[[#This Row],[Popolazione2011]]/Comuni__2[[#This Row],[POPOLAZIONE TOTALE DI OGNI REGIONE (CON FILTRO)]]</f>
        <v>7.7640404831604459E-4</v>
      </c>
      <c r="H194" t="str">
        <f>IF(Comuni__2[[#This Row],[Popolazione2011]]&gt;300000,"MAGGIORE","")</f>
        <v/>
      </c>
      <c r="J194">
        <v>34</v>
      </c>
      <c r="K194">
        <v>2902</v>
      </c>
      <c r="L194">
        <v>472</v>
      </c>
    </row>
    <row r="195" spans="1:12" x14ac:dyDescent="0.2">
      <c r="A195"/>
      <c r="B195"/>
      <c r="C195"/>
      <c r="D195"/>
      <c r="E195" s="2">
        <f>Comuni__2[[#This Row],[Popolazione2011]]/$D$7911</f>
        <v>1.6929449816272558E-5</v>
      </c>
      <c r="F195">
        <f>SUMIFS($D$2:$D$7909, $B$2:$B$7909, "Abruzzo")</f>
        <v>1307309</v>
      </c>
      <c r="G195" s="1">
        <f>Comuni__2[[#This Row],[Popolazione2011]]/Comuni__2[[#This Row],[POPOLAZIONE TOTALE DI OGNI REGIONE (CON FILTRO)]]</f>
        <v>7.6951967744427676E-4</v>
      </c>
      <c r="H195" t="str">
        <f>IF(Comuni__2[[#This Row],[Popolazione2011]]&gt;300000,"MAGGIORE","")</f>
        <v/>
      </c>
      <c r="J195">
        <v>33</v>
      </c>
      <c r="K195">
        <v>2910</v>
      </c>
      <c r="L195">
        <v>472</v>
      </c>
    </row>
    <row r="196" spans="1:12" x14ac:dyDescent="0.2">
      <c r="A196"/>
      <c r="B196"/>
      <c r="C196"/>
      <c r="D196"/>
      <c r="E196" s="2">
        <f>Comuni__2[[#This Row],[Popolazione2011]]/$D$7911</f>
        <v>1.6727508068961154E-5</v>
      </c>
      <c r="F196">
        <f>SUMIFS($D$2:$D$7909, $B$2:$B$7909, "Abruzzo")</f>
        <v>1307309</v>
      </c>
      <c r="G196" s="1">
        <f>Comuni__2[[#This Row],[Popolazione2011]]/Comuni__2[[#This Row],[POPOLAZIONE TOTALE DI OGNI REGIONE (CON FILTRO)]]</f>
        <v>7.6034051628191953E-4</v>
      </c>
      <c r="H196" t="str">
        <f>IF(Comuni__2[[#This Row],[Popolazione2011]]&gt;300000,"MAGGIORE","")</f>
        <v/>
      </c>
      <c r="J196">
        <v>34</v>
      </c>
      <c r="K196">
        <v>2910</v>
      </c>
      <c r="L196">
        <v>472</v>
      </c>
    </row>
    <row r="197" spans="1:12" x14ac:dyDescent="0.2">
      <c r="A197"/>
      <c r="B197"/>
      <c r="C197"/>
      <c r="D197"/>
      <c r="E197" s="2">
        <f>Comuni__2[[#This Row],[Popolazione2011]]/$D$7911</f>
        <v>1.664336567424807E-5</v>
      </c>
      <c r="F197">
        <f>SUMIFS($D$2:$D$7909, $B$2:$B$7909, "Abruzzo")</f>
        <v>1307309</v>
      </c>
      <c r="G197" s="1">
        <f>Comuni__2[[#This Row],[Popolazione2011]]/Comuni__2[[#This Row],[POPOLAZIONE TOTALE DI OGNI REGIONE (CON FILTRO)]]</f>
        <v>7.5651586579760411E-4</v>
      </c>
      <c r="H197" t="str">
        <f>IF(Comuni__2[[#This Row],[Popolazione2011]]&gt;300000,"MAGGIORE","")</f>
        <v/>
      </c>
      <c r="J197">
        <v>34</v>
      </c>
      <c r="K197">
        <v>2910</v>
      </c>
      <c r="L197">
        <v>472</v>
      </c>
    </row>
    <row r="198" spans="1:12" x14ac:dyDescent="0.2">
      <c r="A198"/>
      <c r="B198"/>
      <c r="C198"/>
      <c r="D198"/>
      <c r="E198" s="2">
        <f>Comuni__2[[#This Row],[Popolazione2011]]/$D$7911</f>
        <v>1.664336567424807E-5</v>
      </c>
      <c r="F198">
        <f>SUMIFS($D$2:$D$7909, $B$2:$B$7909, "Abruzzo")</f>
        <v>1307309</v>
      </c>
      <c r="G198" s="1">
        <f>Comuni__2[[#This Row],[Popolazione2011]]/Comuni__2[[#This Row],[POPOLAZIONE TOTALE DI OGNI REGIONE (CON FILTRO)]]</f>
        <v>7.5651586579760411E-4</v>
      </c>
      <c r="H198" t="str">
        <f>IF(Comuni__2[[#This Row],[Popolazione2011]]&gt;300000,"MAGGIORE","")</f>
        <v/>
      </c>
      <c r="J198">
        <v>33</v>
      </c>
      <c r="K198">
        <v>2914</v>
      </c>
      <c r="L198">
        <v>472</v>
      </c>
    </row>
    <row r="199" spans="1:12" x14ac:dyDescent="0.2">
      <c r="A199"/>
      <c r="B199"/>
      <c r="C199"/>
      <c r="D199"/>
      <c r="E199" s="2">
        <f>Comuni__2[[#This Row],[Popolazione2011]]/$D$7911</f>
        <v>1.6491909363764518E-5</v>
      </c>
      <c r="F199">
        <f>SUMIFS($D$2:$D$7909, $B$2:$B$7909, "Abruzzo")</f>
        <v>1307309</v>
      </c>
      <c r="G199" s="1">
        <f>Comuni__2[[#This Row],[Popolazione2011]]/Comuni__2[[#This Row],[POPOLAZIONE TOTALE DI OGNI REGIONE (CON FILTRO)]]</f>
        <v>7.4963149492583616E-4</v>
      </c>
      <c r="H199" t="str">
        <f>IF(Comuni__2[[#This Row],[Popolazione2011]]&gt;300000,"MAGGIORE","")</f>
        <v/>
      </c>
      <c r="J199">
        <v>36</v>
      </c>
      <c r="K199">
        <v>2924</v>
      </c>
      <c r="L199">
        <v>472</v>
      </c>
    </row>
    <row r="200" spans="1:12" x14ac:dyDescent="0.2">
      <c r="A200"/>
      <c r="B200"/>
      <c r="C200"/>
      <c r="D200"/>
      <c r="E200" s="2">
        <f>Comuni__2[[#This Row],[Popolazione2011]]/$D$7911</f>
        <v>1.6441423926936666E-5</v>
      </c>
      <c r="F200">
        <f>SUMIFS($D$2:$D$7909, $B$2:$B$7909, "Abruzzo")</f>
        <v>1307309</v>
      </c>
      <c r="G200" s="1">
        <f>Comuni__2[[#This Row],[Popolazione2011]]/Comuni__2[[#This Row],[POPOLAZIONE TOTALE DI OGNI REGIONE (CON FILTRO)]]</f>
        <v>7.4733670463524688E-4</v>
      </c>
      <c r="H200" t="str">
        <f>IF(Comuni__2[[#This Row],[Popolazione2011]]&gt;300000,"MAGGIORE","")</f>
        <v/>
      </c>
      <c r="J200">
        <v>37</v>
      </c>
      <c r="K200">
        <v>2943</v>
      </c>
      <c r="L200">
        <v>472</v>
      </c>
    </row>
    <row r="201" spans="1:12" x14ac:dyDescent="0.2">
      <c r="A201"/>
      <c r="B201"/>
      <c r="C201"/>
      <c r="D201"/>
      <c r="E201" s="2">
        <f>Comuni__2[[#This Row],[Popolazione2011]]/$D$7911</f>
        <v>1.6390938490108818E-5</v>
      </c>
      <c r="F201">
        <f>SUMIFS($D$2:$D$7909, $B$2:$B$7909, "Abruzzo")</f>
        <v>1307309</v>
      </c>
      <c r="G201" s="1">
        <f>Comuni__2[[#This Row],[Popolazione2011]]/Comuni__2[[#This Row],[POPOLAZIONE TOTALE DI OGNI REGIONE (CON FILTRO)]]</f>
        <v>7.450419143446576E-4</v>
      </c>
      <c r="H201" t="str">
        <f>IF(Comuni__2[[#This Row],[Popolazione2011]]&gt;300000,"MAGGIORE","")</f>
        <v/>
      </c>
      <c r="J201">
        <v>38</v>
      </c>
      <c r="K201">
        <v>2948</v>
      </c>
      <c r="L201">
        <v>472</v>
      </c>
    </row>
    <row r="202" spans="1:12" x14ac:dyDescent="0.2">
      <c r="A202"/>
      <c r="B202"/>
      <c r="C202"/>
      <c r="D202"/>
      <c r="E202" s="2">
        <f>Comuni__2[[#This Row],[Popolazione2011]]/$D$7911</f>
        <v>1.6155339784912182E-5</v>
      </c>
      <c r="F202">
        <f>SUMIFS($D$2:$D$7909, $B$2:$B$7909, "Abruzzo")</f>
        <v>1307309</v>
      </c>
      <c r="G202" s="1">
        <f>Comuni__2[[#This Row],[Popolazione2011]]/Comuni__2[[#This Row],[POPOLAZIONE TOTALE DI OGNI REGIONE (CON FILTRO)]]</f>
        <v>7.3433289298857423E-4</v>
      </c>
      <c r="H202" t="str">
        <f>IF(Comuni__2[[#This Row],[Popolazione2011]]&gt;300000,"MAGGIORE","")</f>
        <v/>
      </c>
      <c r="J202">
        <v>40</v>
      </c>
      <c r="K202">
        <v>2954</v>
      </c>
      <c r="L202">
        <v>472</v>
      </c>
    </row>
    <row r="203" spans="1:12" x14ac:dyDescent="0.2">
      <c r="A203"/>
      <c r="B203"/>
      <c r="C203"/>
      <c r="D203"/>
      <c r="E203" s="2">
        <f>Comuni__2[[#This Row],[Popolazione2011]]/$D$7911</f>
        <v>1.5987054995486014E-5</v>
      </c>
      <c r="F203">
        <f>SUMIFS($D$2:$D$7909, $B$2:$B$7909, "Abruzzo")</f>
        <v>1307309</v>
      </c>
      <c r="G203" s="1">
        <f>Comuni__2[[#This Row],[Popolazione2011]]/Comuni__2[[#This Row],[POPOLAZIONE TOTALE DI OGNI REGIONE (CON FILTRO)]]</f>
        <v>7.2668359201994326E-4</v>
      </c>
      <c r="H203" t="str">
        <f>IF(Comuni__2[[#This Row],[Popolazione2011]]&gt;300000,"MAGGIORE","")</f>
        <v/>
      </c>
      <c r="J203">
        <v>40</v>
      </c>
      <c r="K203">
        <v>2962</v>
      </c>
      <c r="L203">
        <v>472</v>
      </c>
    </row>
    <row r="204" spans="1:12" x14ac:dyDescent="0.2">
      <c r="A204"/>
      <c r="B204"/>
      <c r="C204"/>
      <c r="D204"/>
      <c r="E204" s="2">
        <f>Comuni__2[[#This Row],[Popolazione2011]]/$D$7911</f>
        <v>1.5869255642887694E-5</v>
      </c>
      <c r="F204">
        <f>SUMIFS($D$2:$D$7909, $B$2:$B$7909, "Abruzzo")</f>
        <v>1307309</v>
      </c>
      <c r="G204" s="1">
        <f>Comuni__2[[#This Row],[Popolazione2011]]/Comuni__2[[#This Row],[POPOLAZIONE TOTALE DI OGNI REGIONE (CON FILTRO)]]</f>
        <v>7.2132908134190158E-4</v>
      </c>
      <c r="H204" t="str">
        <f>IF(Comuni__2[[#This Row],[Popolazione2011]]&gt;300000,"MAGGIORE","")</f>
        <v/>
      </c>
      <c r="J204">
        <v>44</v>
      </c>
      <c r="K204">
        <v>2964</v>
      </c>
      <c r="L204">
        <v>472</v>
      </c>
    </row>
    <row r="205" spans="1:12" x14ac:dyDescent="0.2">
      <c r="A205"/>
      <c r="B205"/>
      <c r="C205"/>
      <c r="D205"/>
      <c r="E205" s="2">
        <f>Comuni__2[[#This Row],[Popolazione2011]]/$D$7911</f>
        <v>1.5751456290289378E-5</v>
      </c>
      <c r="F205">
        <f>SUMIFS($D$2:$D$7909, $B$2:$B$7909, "Abruzzo")</f>
        <v>1307309</v>
      </c>
      <c r="G205" s="1">
        <f>Comuni__2[[#This Row],[Popolazione2011]]/Comuni__2[[#This Row],[POPOLAZIONE TOTALE DI OGNI REGIONE (CON FILTRO)]]</f>
        <v>7.1597457066385989E-4</v>
      </c>
      <c r="H205" t="str">
        <f>IF(Comuni__2[[#This Row],[Popolazione2011]]&gt;300000,"MAGGIORE","")</f>
        <v/>
      </c>
      <c r="J205">
        <v>45</v>
      </c>
      <c r="K205">
        <v>2966</v>
      </c>
      <c r="L205">
        <v>473</v>
      </c>
    </row>
    <row r="206" spans="1:12" x14ac:dyDescent="0.2">
      <c r="A206"/>
      <c r="B206"/>
      <c r="C206"/>
      <c r="D206"/>
      <c r="E206" s="2">
        <f>Comuni__2[[#This Row],[Popolazione2011]]/$D$7911</f>
        <v>1.5667313895576294E-5</v>
      </c>
      <c r="F206">
        <f>SUMIFS($D$2:$D$7909, $B$2:$B$7909, "Abruzzo")</f>
        <v>1307309</v>
      </c>
      <c r="G206" s="1">
        <f>Comuni__2[[#This Row],[Popolazione2011]]/Comuni__2[[#This Row],[POPOLAZIONE TOTALE DI OGNI REGIONE (CON FILTRO)]]</f>
        <v>7.1214992017954435E-4</v>
      </c>
      <c r="H206" t="str">
        <f>IF(Comuni__2[[#This Row],[Popolazione2011]]&gt;300000,"MAGGIORE","")</f>
        <v/>
      </c>
      <c r="J206">
        <v>46</v>
      </c>
      <c r="K206">
        <v>2970</v>
      </c>
      <c r="L206">
        <v>473</v>
      </c>
    </row>
    <row r="207" spans="1:12" x14ac:dyDescent="0.2">
      <c r="A207"/>
      <c r="B207"/>
      <c r="C207"/>
      <c r="D207"/>
      <c r="E207" s="2">
        <f>Comuni__2[[#This Row],[Popolazione2011]]/$D$7911</f>
        <v>1.5549514542977974E-5</v>
      </c>
      <c r="F207">
        <f>SUMIFS($D$2:$D$7909, $B$2:$B$7909, "Abruzzo")</f>
        <v>1307309</v>
      </c>
      <c r="G207" s="1">
        <f>Comuni__2[[#This Row],[Popolazione2011]]/Comuni__2[[#This Row],[POPOLAZIONE TOTALE DI OGNI REGIONE (CON FILTRO)]]</f>
        <v>7.0679540950150267E-4</v>
      </c>
      <c r="H207" t="str">
        <f>IF(Comuni__2[[#This Row],[Popolazione2011]]&gt;300000,"MAGGIORE","")</f>
        <v/>
      </c>
      <c r="J207">
        <v>47</v>
      </c>
      <c r="K207">
        <v>2973</v>
      </c>
      <c r="L207">
        <v>473</v>
      </c>
    </row>
    <row r="208" spans="1:12" x14ac:dyDescent="0.2">
      <c r="A208"/>
      <c r="B208"/>
      <c r="C208"/>
      <c r="D208"/>
      <c r="E208" s="2">
        <f>Comuni__2[[#This Row],[Popolazione2011]]/$D$7911</f>
        <v>1.5111974090469937E-5</v>
      </c>
      <c r="F208">
        <f>SUMIFS($D$2:$D$7909, $B$2:$B$7909, "Abruzzo")</f>
        <v>1307309</v>
      </c>
      <c r="G208" s="1">
        <f>Comuni__2[[#This Row],[Popolazione2011]]/Comuni__2[[#This Row],[POPOLAZIONE TOTALE DI OGNI REGIONE (CON FILTRO)]]</f>
        <v>6.8690722698306218E-4</v>
      </c>
      <c r="H208" t="str">
        <f>IF(Comuni__2[[#This Row],[Popolazione2011]]&gt;300000,"MAGGIORE","")</f>
        <v/>
      </c>
      <c r="J208">
        <v>50</v>
      </c>
      <c r="K208">
        <v>2978</v>
      </c>
      <c r="L208">
        <v>473</v>
      </c>
    </row>
    <row r="209" spans="1:12" x14ac:dyDescent="0.2">
      <c r="A209"/>
      <c r="B209"/>
      <c r="C209"/>
      <c r="D209"/>
      <c r="E209" s="2">
        <f>Comuni__2[[#This Row],[Popolazione2011]]/$D$7911</f>
        <v>1.5061488653642086E-5</v>
      </c>
      <c r="F209">
        <f>SUMIFS($D$2:$D$7909, $B$2:$B$7909, "Abruzzo")</f>
        <v>1307309</v>
      </c>
      <c r="G209" s="1">
        <f>Comuni__2[[#This Row],[Popolazione2011]]/Comuni__2[[#This Row],[POPOLAZIONE TOTALE DI OGNI REGIONE (CON FILTRO)]]</f>
        <v>6.846124366924729E-4</v>
      </c>
      <c r="H209" t="str">
        <f>IF(Comuni__2[[#This Row],[Popolazione2011]]&gt;300000,"MAGGIORE","")</f>
        <v/>
      </c>
      <c r="J209">
        <v>53</v>
      </c>
      <c r="K209">
        <v>2984</v>
      </c>
      <c r="L209">
        <v>474</v>
      </c>
    </row>
    <row r="210" spans="1:12" x14ac:dyDescent="0.2">
      <c r="A210"/>
      <c r="B210"/>
      <c r="C210"/>
      <c r="D210"/>
      <c r="E210" s="2">
        <f>Comuni__2[[#This Row],[Popolazione2011]]/$D$7911</f>
        <v>1.4893203864215917E-5</v>
      </c>
      <c r="F210">
        <f>SUMIFS($D$2:$D$7909, $B$2:$B$7909, "Abruzzo")</f>
        <v>1307309</v>
      </c>
      <c r="G210" s="1">
        <f>Comuni__2[[#This Row],[Popolazione2011]]/Comuni__2[[#This Row],[POPOLAZIONE TOTALE DI OGNI REGIONE (CON FILTRO)]]</f>
        <v>6.7696313572384182E-4</v>
      </c>
      <c r="H210" t="str">
        <f>IF(Comuni__2[[#This Row],[Popolazione2011]]&gt;300000,"MAGGIORE","")</f>
        <v/>
      </c>
      <c r="J210">
        <v>53</v>
      </c>
      <c r="K210">
        <v>2984</v>
      </c>
      <c r="L210">
        <v>474</v>
      </c>
    </row>
    <row r="211" spans="1:12" x14ac:dyDescent="0.2">
      <c r="A211"/>
      <c r="B211"/>
      <c r="C211"/>
      <c r="D211"/>
      <c r="E211" s="2">
        <f>Comuni__2[[#This Row],[Popolazione2011]]/$D$7911</f>
        <v>1.4876375385273301E-5</v>
      </c>
      <c r="F211">
        <f>SUMIFS($D$2:$D$7909, $B$2:$B$7909, "Abruzzo")</f>
        <v>1307309</v>
      </c>
      <c r="G211" s="1">
        <f>Comuni__2[[#This Row],[Popolazione2011]]/Comuni__2[[#This Row],[POPOLAZIONE TOTALE DI OGNI REGIONE (CON FILTRO)]]</f>
        <v>6.761982056269788E-4</v>
      </c>
      <c r="H211" t="str">
        <f>IF(Comuni__2[[#This Row],[Popolazione2011]]&gt;300000,"MAGGIORE","")</f>
        <v/>
      </c>
      <c r="J211">
        <v>53</v>
      </c>
      <c r="K211">
        <v>2984</v>
      </c>
      <c r="L211">
        <v>474</v>
      </c>
    </row>
    <row r="212" spans="1:12" x14ac:dyDescent="0.2">
      <c r="A212"/>
      <c r="B212"/>
      <c r="C212"/>
      <c r="D212"/>
      <c r="E212" s="2">
        <f>Comuni__2[[#This Row],[Popolazione2011]]/$D$7911</f>
        <v>1.4691262116904515E-5</v>
      </c>
      <c r="F212">
        <f>SUMIFS($D$2:$D$7909, $B$2:$B$7909, "Abruzzo")</f>
        <v>1307309</v>
      </c>
      <c r="G212" s="1">
        <f>Comuni__2[[#This Row],[Popolazione2011]]/Comuni__2[[#This Row],[POPOLAZIONE TOTALE DI OGNI REGIONE (CON FILTRO)]]</f>
        <v>6.6778397456148471E-4</v>
      </c>
      <c r="H212" t="str">
        <f>IF(Comuni__2[[#This Row],[Popolazione2011]]&gt;300000,"MAGGIORE","")</f>
        <v/>
      </c>
      <c r="J212">
        <v>63</v>
      </c>
      <c r="K212">
        <v>2995</v>
      </c>
      <c r="L212">
        <v>475</v>
      </c>
    </row>
    <row r="213" spans="1:12" x14ac:dyDescent="0.2">
      <c r="A213"/>
      <c r="B213"/>
      <c r="C213"/>
      <c r="D213"/>
      <c r="E213" s="2">
        <f>Comuni__2[[#This Row],[Popolazione2011]]/$D$7911</f>
        <v>1.4657605159019281E-5</v>
      </c>
      <c r="F213">
        <f>SUMIFS($D$2:$D$7909, $B$2:$B$7909, "Abruzzo")</f>
        <v>1307309</v>
      </c>
      <c r="G213" s="1">
        <f>Comuni__2[[#This Row],[Popolazione2011]]/Comuni__2[[#This Row],[POPOLAZIONE TOTALE DI OGNI REGIONE (CON FILTRO)]]</f>
        <v>6.6625411436775845E-4</v>
      </c>
      <c r="H213" t="str">
        <f>IF(Comuni__2[[#This Row],[Popolazione2011]]&gt;300000,"MAGGIORE","")</f>
        <v/>
      </c>
      <c r="J213">
        <v>59</v>
      </c>
      <c r="K213">
        <v>3010</v>
      </c>
      <c r="L213">
        <v>475</v>
      </c>
    </row>
    <row r="214" spans="1:12" x14ac:dyDescent="0.2">
      <c r="A214"/>
      <c r="B214"/>
      <c r="C214"/>
      <c r="D214"/>
      <c r="E214" s="2">
        <f>Comuni__2[[#This Row],[Popolazione2011]]/$D$7911</f>
        <v>1.4522977327478347E-5</v>
      </c>
      <c r="F214">
        <f>SUMIFS($D$2:$D$7909, $B$2:$B$7909, "Abruzzo")</f>
        <v>1307309</v>
      </c>
      <c r="G214" s="1">
        <f>Comuni__2[[#This Row],[Popolazione2011]]/Comuni__2[[#This Row],[POPOLAZIONE TOTALE DI OGNI REGIONE (CON FILTRO)]]</f>
        <v>6.6013467359285374E-4</v>
      </c>
      <c r="H214" t="str">
        <f>IF(Comuni__2[[#This Row],[Popolazione2011]]&gt;300000,"MAGGIORE","")</f>
        <v/>
      </c>
      <c r="J214">
        <v>59</v>
      </c>
      <c r="K214">
        <v>3012</v>
      </c>
      <c r="L214">
        <v>477</v>
      </c>
    </row>
    <row r="215" spans="1:12" x14ac:dyDescent="0.2">
      <c r="A215"/>
      <c r="B215"/>
      <c r="C215"/>
      <c r="D215"/>
      <c r="E215" s="2">
        <f>Comuni__2[[#This Row],[Popolazione2011]]/$D$7911</f>
        <v>1.4489320369593113E-5</v>
      </c>
      <c r="F215">
        <f>SUMIFS($D$2:$D$7909, $B$2:$B$7909, "Abruzzo")</f>
        <v>1307309</v>
      </c>
      <c r="G215" s="1">
        <f>Comuni__2[[#This Row],[Popolazione2011]]/Comuni__2[[#This Row],[POPOLAZIONE TOTALE DI OGNI REGIONE (CON FILTRO)]]</f>
        <v>6.5860481339912748E-4</v>
      </c>
      <c r="H215" t="str">
        <f>IF(Comuni__2[[#This Row],[Popolazione2011]]&gt;300000,"MAGGIORE","")</f>
        <v/>
      </c>
      <c r="J215">
        <v>54</v>
      </c>
      <c r="K215">
        <v>3019</v>
      </c>
      <c r="L215">
        <v>477</v>
      </c>
    </row>
    <row r="216" spans="1:12" x14ac:dyDescent="0.2">
      <c r="A216"/>
      <c r="B216"/>
      <c r="C216"/>
      <c r="D216"/>
      <c r="E216" s="2">
        <f>Comuni__2[[#This Row],[Popolazione2011]]/$D$7911</f>
        <v>1.4253721664396477E-5</v>
      </c>
      <c r="F216">
        <f>SUMIFS($D$2:$D$7909, $B$2:$B$7909, "Abruzzo")</f>
        <v>1307309</v>
      </c>
      <c r="G216" s="1">
        <f>Comuni__2[[#This Row],[Popolazione2011]]/Comuni__2[[#This Row],[POPOLAZIONE TOTALE DI OGNI REGIONE (CON FILTRO)]]</f>
        <v>6.4789579204304411E-4</v>
      </c>
      <c r="H216" t="str">
        <f>IF(Comuni__2[[#This Row],[Popolazione2011]]&gt;300000,"MAGGIORE","")</f>
        <v/>
      </c>
      <c r="J216">
        <v>63</v>
      </c>
      <c r="K216">
        <v>3023</v>
      </c>
      <c r="L216">
        <v>477</v>
      </c>
    </row>
    <row r="217" spans="1:12" x14ac:dyDescent="0.2">
      <c r="A217"/>
      <c r="B217"/>
      <c r="C217"/>
      <c r="D217"/>
      <c r="E217" s="2">
        <f>Comuni__2[[#This Row],[Popolazione2011]]/$D$7911</f>
        <v>1.3967637522371991E-5</v>
      </c>
      <c r="F217">
        <f>SUMIFS($D$2:$D$7909, $B$2:$B$7909, "Abruzzo")</f>
        <v>1307309</v>
      </c>
      <c r="G217" s="1">
        <f>Comuni__2[[#This Row],[Popolazione2011]]/Comuni__2[[#This Row],[POPOLAZIONE TOTALE DI OGNI REGIONE (CON FILTRO)]]</f>
        <v>6.3489198039637146E-4</v>
      </c>
      <c r="H217" t="str">
        <f>IF(Comuni__2[[#This Row],[Popolazione2011]]&gt;300000,"MAGGIORE","")</f>
        <v/>
      </c>
      <c r="J217">
        <v>59</v>
      </c>
      <c r="K217">
        <v>3035</v>
      </c>
      <c r="L217">
        <v>477</v>
      </c>
    </row>
    <row r="218" spans="1:12" x14ac:dyDescent="0.2">
      <c r="A218"/>
      <c r="B218"/>
      <c r="C218"/>
      <c r="D218"/>
      <c r="E218" s="2">
        <f>Comuni__2[[#This Row],[Popolazione2011]]/$D$7911</f>
        <v>1.3210355969954231E-5</v>
      </c>
      <c r="F218">
        <f>SUMIFS($D$2:$D$7909, $B$2:$B$7909, "Abruzzo")</f>
        <v>1307309</v>
      </c>
      <c r="G218" s="1">
        <f>Comuni__2[[#This Row],[Popolazione2011]]/Comuni__2[[#This Row],[POPOLAZIONE TOTALE DI OGNI REGIONE (CON FILTRO)]]</f>
        <v>6.0047012603753206E-4</v>
      </c>
      <c r="H218" t="str">
        <f>IF(Comuni__2[[#This Row],[Popolazione2011]]&gt;300000,"MAGGIORE","")</f>
        <v/>
      </c>
      <c r="J218">
        <v>55</v>
      </c>
      <c r="K218">
        <v>3040</v>
      </c>
      <c r="L218">
        <v>478</v>
      </c>
    </row>
    <row r="219" spans="1:12" x14ac:dyDescent="0.2">
      <c r="A219"/>
      <c r="B219"/>
      <c r="C219"/>
      <c r="D219"/>
      <c r="E219" s="2">
        <f>Comuni__2[[#This Row],[Popolazione2011]]/$D$7911</f>
        <v>1.2570873770134791E-5</v>
      </c>
      <c r="F219">
        <f>SUMIFS($D$2:$D$7909, $B$2:$B$7909, "Abruzzo")</f>
        <v>1307309</v>
      </c>
      <c r="G219" s="1">
        <f>Comuni__2[[#This Row],[Popolazione2011]]/Comuni__2[[#This Row],[POPOLAZIONE TOTALE DI OGNI REGIONE (CON FILTRO)]]</f>
        <v>5.7140278235673434E-4</v>
      </c>
      <c r="H219" t="str">
        <f>IF(Comuni__2[[#This Row],[Popolazione2011]]&gt;300000,"MAGGIORE","")</f>
        <v/>
      </c>
      <c r="J219">
        <v>58</v>
      </c>
      <c r="K219">
        <v>3048</v>
      </c>
      <c r="L219">
        <v>479</v>
      </c>
    </row>
    <row r="220" spans="1:12" x14ac:dyDescent="0.2">
      <c r="A220"/>
      <c r="B220"/>
      <c r="C220"/>
      <c r="D220"/>
      <c r="E220" s="2">
        <f>Comuni__2[[#This Row],[Popolazione2011]]/$D$7911</f>
        <v>1.2436245938593856E-5</v>
      </c>
      <c r="F220">
        <f>SUMIFS($D$2:$D$7909, $B$2:$B$7909, "Abruzzo")</f>
        <v>1307309</v>
      </c>
      <c r="G220" s="1">
        <f>Comuni__2[[#This Row],[Popolazione2011]]/Comuni__2[[#This Row],[POPOLAZIONE TOTALE DI OGNI REGIONE (CON FILTRO)]]</f>
        <v>5.6528334158182953E-4</v>
      </c>
      <c r="H220" t="str">
        <f>IF(Comuni__2[[#This Row],[Popolazione2011]]&gt;300000,"MAGGIORE","")</f>
        <v/>
      </c>
      <c r="J220">
        <v>56</v>
      </c>
      <c r="K220">
        <v>3051</v>
      </c>
      <c r="L220">
        <v>481</v>
      </c>
    </row>
    <row r="221" spans="1:12" x14ac:dyDescent="0.2">
      <c r="A221"/>
      <c r="B221"/>
      <c r="C221"/>
      <c r="D221"/>
      <c r="E221" s="2">
        <f>Comuni__2[[#This Row],[Popolazione2011]]/$D$7911</f>
        <v>1.2385760501766006E-5</v>
      </c>
      <c r="F221">
        <f>SUMIFS($D$2:$D$7909, $B$2:$B$7909, "Abruzzo")</f>
        <v>1307309</v>
      </c>
      <c r="G221" s="1">
        <f>Comuni__2[[#This Row],[Popolazione2011]]/Comuni__2[[#This Row],[POPOLAZIONE TOTALE DI OGNI REGIONE (CON FILTRO)]]</f>
        <v>5.6298855129124025E-4</v>
      </c>
      <c r="H221" t="str">
        <f>IF(Comuni__2[[#This Row],[Popolazione2011]]&gt;300000,"MAGGIORE","")</f>
        <v/>
      </c>
      <c r="J221">
        <v>57</v>
      </c>
      <c r="K221">
        <v>3057</v>
      </c>
      <c r="L221">
        <v>481</v>
      </c>
    </row>
    <row r="222" spans="1:12" x14ac:dyDescent="0.2">
      <c r="A222"/>
      <c r="B222"/>
      <c r="C222"/>
      <c r="D222"/>
      <c r="E222" s="2">
        <f>Comuni__2[[#This Row],[Popolazione2011]]/$D$7911</f>
        <v>1.2217475712339838E-5</v>
      </c>
      <c r="F222">
        <f>SUMIFS($D$2:$D$7909, $B$2:$B$7909, "Abruzzo")</f>
        <v>1307309</v>
      </c>
      <c r="G222" s="1">
        <f>Comuni__2[[#This Row],[Popolazione2011]]/Comuni__2[[#This Row],[POPOLAZIONE TOTALE DI OGNI REGIONE (CON FILTRO)]]</f>
        <v>5.5533925032260928E-4</v>
      </c>
      <c r="H222" t="str">
        <f>IF(Comuni__2[[#This Row],[Popolazione2011]]&gt;300000,"MAGGIORE","")</f>
        <v/>
      </c>
      <c r="J222">
        <v>57</v>
      </c>
      <c r="K222">
        <v>3059</v>
      </c>
      <c r="L222">
        <v>481</v>
      </c>
    </row>
    <row r="223" spans="1:12" x14ac:dyDescent="0.2">
      <c r="A223"/>
      <c r="B223"/>
      <c r="C223"/>
      <c r="D223"/>
      <c r="E223" s="2">
        <f>Comuni__2[[#This Row],[Popolazione2011]]/$D$7911</f>
        <v>1.220064723339722E-5</v>
      </c>
      <c r="F223">
        <f>SUMIFS($D$2:$D$7909, $B$2:$B$7909, "Abruzzo")</f>
        <v>1307309</v>
      </c>
      <c r="G223" s="1">
        <f>Comuni__2[[#This Row],[Popolazione2011]]/Comuni__2[[#This Row],[POPOLAZIONE TOTALE DI OGNI REGIONE (CON FILTRO)]]</f>
        <v>5.5457432022574615E-4</v>
      </c>
      <c r="H223" t="str">
        <f>IF(Comuni__2[[#This Row],[Popolazione2011]]&gt;300000,"MAGGIORE","")</f>
        <v/>
      </c>
      <c r="J223">
        <v>64</v>
      </c>
      <c r="K223">
        <v>3079</v>
      </c>
      <c r="L223">
        <v>481</v>
      </c>
    </row>
    <row r="224" spans="1:12" x14ac:dyDescent="0.2">
      <c r="A224"/>
      <c r="B224"/>
      <c r="C224"/>
      <c r="D224"/>
      <c r="E224" s="2">
        <f>Comuni__2[[#This Row],[Popolazione2011]]/$D$7911</f>
        <v>1.2183818754454604E-5</v>
      </c>
      <c r="F224">
        <f>SUMIFS($D$2:$D$7909, $B$2:$B$7909, "Abruzzo")</f>
        <v>1307309</v>
      </c>
      <c r="G224" s="1">
        <f>Comuni__2[[#This Row],[Popolazione2011]]/Comuni__2[[#This Row],[POPOLAZIONE TOTALE DI OGNI REGIONE (CON FILTRO)]]</f>
        <v>5.5380939012888303E-4</v>
      </c>
      <c r="H224" t="str">
        <f>IF(Comuni__2[[#This Row],[Popolazione2011]]&gt;300000,"MAGGIORE","")</f>
        <v/>
      </c>
      <c r="J224">
        <v>72</v>
      </c>
      <c r="K224">
        <v>3097</v>
      </c>
      <c r="L224">
        <v>481</v>
      </c>
    </row>
    <row r="225" spans="1:12" x14ac:dyDescent="0.2">
      <c r="A225"/>
      <c r="B225"/>
      <c r="C225"/>
      <c r="D225"/>
      <c r="E225" s="2">
        <f>Comuni__2[[#This Row],[Popolazione2011]]/$D$7911</f>
        <v>1.1981877007143202E-5</v>
      </c>
      <c r="F225">
        <f>SUMIFS($D$2:$D$7909, $B$2:$B$7909, "Abruzzo")</f>
        <v>1307309</v>
      </c>
      <c r="G225" s="1">
        <f>Comuni__2[[#This Row],[Popolazione2011]]/Comuni__2[[#This Row],[POPOLAZIONE TOTALE DI OGNI REGIONE (CON FILTRO)]]</f>
        <v>5.4463022896652591E-4</v>
      </c>
      <c r="H225" t="str">
        <f>IF(Comuni__2[[#This Row],[Popolazione2011]]&gt;300000,"MAGGIORE","")</f>
        <v/>
      </c>
      <c r="J225">
        <v>76</v>
      </c>
      <c r="K225">
        <v>3101</v>
      </c>
      <c r="L225">
        <v>481</v>
      </c>
    </row>
    <row r="226" spans="1:12" x14ac:dyDescent="0.2">
      <c r="A226"/>
      <c r="B226"/>
      <c r="C226"/>
      <c r="D226"/>
      <c r="E226" s="2">
        <f>Comuni__2[[#This Row],[Popolazione2011]]/$D$7911</f>
        <v>1.161165047040563E-5</v>
      </c>
      <c r="F226">
        <f>SUMIFS($D$2:$D$7909, $B$2:$B$7909, "Abruzzo")</f>
        <v>1307309</v>
      </c>
      <c r="G226" s="1">
        <f>Comuni__2[[#This Row],[Popolazione2011]]/Comuni__2[[#This Row],[POPOLAZIONE TOTALE DI OGNI REGIONE (CON FILTRO)]]</f>
        <v>5.2780176683553772E-4</v>
      </c>
      <c r="H226" t="str">
        <f>IF(Comuni__2[[#This Row],[Popolazione2011]]&gt;300000,"MAGGIORE","")</f>
        <v/>
      </c>
      <c r="J226">
        <v>79</v>
      </c>
      <c r="K226">
        <v>3108</v>
      </c>
      <c r="L226">
        <v>482</v>
      </c>
    </row>
    <row r="227" spans="1:12" x14ac:dyDescent="0.2">
      <c r="A227"/>
      <c r="B227"/>
      <c r="C227"/>
      <c r="D227"/>
      <c r="E227" s="2">
        <f>Comuni__2[[#This Row],[Popolazione2011]]/$D$7911</f>
        <v>1.1493851117807312E-5</v>
      </c>
      <c r="F227">
        <f>SUMIFS($D$2:$D$7909, $B$2:$B$7909, "Abruzzo")</f>
        <v>1307309</v>
      </c>
      <c r="G227" s="1">
        <f>Comuni__2[[#This Row],[Popolazione2011]]/Comuni__2[[#This Row],[POPOLAZIONE TOTALE DI OGNI REGIONE (CON FILTRO)]]</f>
        <v>5.2244725615749603E-4</v>
      </c>
      <c r="H227" t="str">
        <f>IF(Comuni__2[[#This Row],[Popolazione2011]]&gt;300000,"MAGGIORE","")</f>
        <v/>
      </c>
      <c r="J227">
        <v>87</v>
      </c>
      <c r="K227">
        <v>3113</v>
      </c>
      <c r="L227">
        <v>484</v>
      </c>
    </row>
    <row r="228" spans="1:12" x14ac:dyDescent="0.2">
      <c r="A228"/>
      <c r="B228"/>
      <c r="C228"/>
      <c r="D228"/>
      <c r="E228" s="2">
        <f>Comuni__2[[#This Row],[Popolazione2011]]/$D$7911</f>
        <v>1.1443365680979462E-5</v>
      </c>
      <c r="F228">
        <f>SUMIFS($D$2:$D$7909, $B$2:$B$7909, "Abruzzo")</f>
        <v>1307309</v>
      </c>
      <c r="G228" s="1">
        <f>Comuni__2[[#This Row],[Popolazione2011]]/Comuni__2[[#This Row],[POPOLAZIONE TOTALE DI OGNI REGIONE (CON FILTRO)]]</f>
        <v>5.2015246586690675E-4</v>
      </c>
      <c r="H228" t="str">
        <f>IF(Comuni__2[[#This Row],[Popolazione2011]]&gt;300000,"MAGGIORE","")</f>
        <v/>
      </c>
      <c r="J228">
        <v>94</v>
      </c>
      <c r="K228">
        <v>3132</v>
      </c>
      <c r="L228">
        <v>485</v>
      </c>
    </row>
    <row r="229" spans="1:12" x14ac:dyDescent="0.2">
      <c r="A229"/>
      <c r="B229"/>
      <c r="C229"/>
      <c r="D229"/>
      <c r="E229" s="2">
        <f>Comuni__2[[#This Row],[Popolazione2011]]/$D$7911</f>
        <v>1.1443365680979462E-5</v>
      </c>
      <c r="F229">
        <f>SUMIFS($D$2:$D$7909, $B$2:$B$7909, "Abruzzo")</f>
        <v>1307309</v>
      </c>
      <c r="G229" s="1">
        <f>Comuni__2[[#This Row],[Popolazione2011]]/Comuni__2[[#This Row],[POPOLAZIONE TOTALE DI OGNI REGIONE (CON FILTRO)]]</f>
        <v>5.2015246586690675E-4</v>
      </c>
      <c r="H229" t="str">
        <f>IF(Comuni__2[[#This Row],[Popolazione2011]]&gt;300000,"MAGGIORE","")</f>
        <v/>
      </c>
      <c r="J229">
        <v>97</v>
      </c>
      <c r="K229">
        <v>3145</v>
      </c>
      <c r="L229">
        <v>486</v>
      </c>
    </row>
    <row r="230" spans="1:12" x14ac:dyDescent="0.2">
      <c r="A230"/>
      <c r="B230"/>
      <c r="C230"/>
      <c r="D230"/>
      <c r="E230" s="2">
        <f>Comuni__2[[#This Row],[Popolazione2011]]/$D$7911</f>
        <v>1.1426537202036846E-5</v>
      </c>
      <c r="F230">
        <f>SUMIFS($D$2:$D$7909, $B$2:$B$7909, "Abruzzo")</f>
        <v>1307309</v>
      </c>
      <c r="G230" s="1">
        <f>Comuni__2[[#This Row],[Popolazione2011]]/Comuni__2[[#This Row],[POPOLAZIONE TOTALE DI OGNI REGIONE (CON FILTRO)]]</f>
        <v>5.1938753577004363E-4</v>
      </c>
      <c r="H230" t="str">
        <f>IF(Comuni__2[[#This Row],[Popolazione2011]]&gt;300000,"MAGGIORE","")</f>
        <v/>
      </c>
      <c r="J230">
        <v>107</v>
      </c>
      <c r="K230">
        <v>3150</v>
      </c>
      <c r="L230">
        <v>487</v>
      </c>
    </row>
    <row r="231" spans="1:12" x14ac:dyDescent="0.2">
      <c r="A231"/>
      <c r="B231"/>
      <c r="C231"/>
      <c r="D231"/>
      <c r="E231" s="2">
        <f>Comuni__2[[#This Row],[Popolazione2011]]/$D$7911</f>
        <v>1.1207766975782826E-5</v>
      </c>
      <c r="F231">
        <f>SUMIFS($D$2:$D$7909, $B$2:$B$7909, "Abruzzo")</f>
        <v>1307309</v>
      </c>
      <c r="G231" s="1">
        <f>Comuni__2[[#This Row],[Popolazione2011]]/Comuni__2[[#This Row],[POPOLAZIONE TOTALE DI OGNI REGIONE (CON FILTRO)]]</f>
        <v>5.0944344451082338E-4</v>
      </c>
      <c r="H231" t="str">
        <f>IF(Comuni__2[[#This Row],[Popolazione2011]]&gt;300000,"MAGGIORE","")</f>
        <v/>
      </c>
      <c r="J231">
        <v>117</v>
      </c>
      <c r="K231">
        <v>3152</v>
      </c>
      <c r="L231">
        <v>487</v>
      </c>
    </row>
    <row r="232" spans="1:12" x14ac:dyDescent="0.2">
      <c r="A232"/>
      <c r="B232"/>
      <c r="C232"/>
      <c r="D232"/>
      <c r="E232" s="2">
        <f>Comuni__2[[#This Row],[Popolazione2011]]/$D$7911</f>
        <v>1.1157281538954976E-5</v>
      </c>
      <c r="F232">
        <f>SUMIFS($D$2:$D$7909, $B$2:$B$7909, "Abruzzo")</f>
        <v>1307309</v>
      </c>
      <c r="G232" s="1">
        <f>Comuni__2[[#This Row],[Popolazione2011]]/Comuni__2[[#This Row],[POPOLAZIONE TOTALE DI OGNI REGIONE (CON FILTRO)]]</f>
        <v>5.071486542202341E-4</v>
      </c>
      <c r="H232" t="str">
        <f>IF(Comuni__2[[#This Row],[Popolazione2011]]&gt;300000,"MAGGIORE","")</f>
        <v/>
      </c>
      <c r="J232">
        <v>124</v>
      </c>
      <c r="K232">
        <v>3153</v>
      </c>
      <c r="L232">
        <v>487</v>
      </c>
    </row>
    <row r="233" spans="1:12" x14ac:dyDescent="0.2">
      <c r="A233"/>
      <c r="B233"/>
      <c r="C233"/>
      <c r="D233"/>
      <c r="E233" s="2">
        <f>Comuni__2[[#This Row],[Popolazione2011]]/$D$7911</f>
        <v>1.097216827058619E-5</v>
      </c>
      <c r="F233">
        <f>SUMIFS($D$2:$D$7909, $B$2:$B$7909, "Abruzzo")</f>
        <v>1307309</v>
      </c>
      <c r="G233" s="1">
        <f>Comuni__2[[#This Row],[Popolazione2011]]/Comuni__2[[#This Row],[POPOLAZIONE TOTALE DI OGNI REGIONE (CON FILTRO)]]</f>
        <v>4.9873442315474001E-4</v>
      </c>
      <c r="H233" t="str">
        <f>IF(Comuni__2[[#This Row],[Popolazione2011]]&gt;300000,"MAGGIORE","")</f>
        <v/>
      </c>
      <c r="J233">
        <v>148</v>
      </c>
      <c r="K233">
        <v>3154</v>
      </c>
      <c r="L233">
        <v>488</v>
      </c>
    </row>
    <row r="234" spans="1:12" x14ac:dyDescent="0.2">
      <c r="A234"/>
      <c r="B234"/>
      <c r="C234"/>
      <c r="D234"/>
      <c r="E234" s="2">
        <f>Comuni__2[[#This Row],[Popolazione2011]]/$D$7911</f>
        <v>1.075339804433217E-5</v>
      </c>
      <c r="F234">
        <f>SUMIFS($D$2:$D$7909, $B$2:$B$7909, "Abruzzo")</f>
        <v>1307309</v>
      </c>
      <c r="G234" s="1">
        <f>Comuni__2[[#This Row],[Popolazione2011]]/Comuni__2[[#This Row],[POPOLAZIONE TOTALE DI OGNI REGIONE (CON FILTRO)]]</f>
        <v>4.8879033189551976E-4</v>
      </c>
      <c r="H234" t="str">
        <f>IF(Comuni__2[[#This Row],[Popolazione2011]]&gt;300000,"MAGGIORE","")</f>
        <v/>
      </c>
      <c r="J234">
        <v>161</v>
      </c>
      <c r="K234">
        <v>3153</v>
      </c>
      <c r="L234">
        <v>488</v>
      </c>
    </row>
    <row r="235" spans="1:12" x14ac:dyDescent="0.2">
      <c r="A235"/>
      <c r="B235"/>
      <c r="C235"/>
      <c r="D235"/>
      <c r="E235" s="2">
        <f>Comuni__2[[#This Row],[Popolazione2011]]/$D$7911</f>
        <v>1.0618770212791236E-5</v>
      </c>
      <c r="F235">
        <f>SUMIFS($D$2:$D$7909, $B$2:$B$7909, "Abruzzo")</f>
        <v>1307309</v>
      </c>
      <c r="G235" s="1">
        <f>Comuni__2[[#This Row],[Popolazione2011]]/Comuni__2[[#This Row],[POPOLAZIONE TOTALE DI OGNI REGIONE (CON FILTRO)]]</f>
        <v>4.8267089112061495E-4</v>
      </c>
      <c r="H235" t="str">
        <f>IF(Comuni__2[[#This Row],[Popolazione2011]]&gt;300000,"MAGGIORE","")</f>
        <v/>
      </c>
      <c r="J235">
        <v>169</v>
      </c>
      <c r="K235">
        <v>3156</v>
      </c>
      <c r="L235">
        <v>489</v>
      </c>
    </row>
    <row r="236" spans="1:12" x14ac:dyDescent="0.2">
      <c r="A236"/>
      <c r="B236"/>
      <c r="C236"/>
      <c r="D236"/>
      <c r="E236" s="2">
        <f>Comuni__2[[#This Row],[Popolazione2011]]/$D$7911</f>
        <v>1.0046601928742262E-5</v>
      </c>
      <c r="F236">
        <f>SUMIFS($D$2:$D$7909, $B$2:$B$7909, "Abruzzo")</f>
        <v>1307309</v>
      </c>
      <c r="G236" s="1">
        <f>Comuni__2[[#This Row],[Popolazione2011]]/Comuni__2[[#This Row],[POPOLAZIONE TOTALE DI OGNI REGIONE (CON FILTRO)]]</f>
        <v>4.5666326782726959E-4</v>
      </c>
      <c r="H236" t="str">
        <f>IF(Comuni__2[[#This Row],[Popolazione2011]]&gt;300000,"MAGGIORE","")</f>
        <v/>
      </c>
      <c r="J236">
        <v>169</v>
      </c>
      <c r="K236">
        <v>3164</v>
      </c>
      <c r="L236">
        <v>491</v>
      </c>
    </row>
    <row r="237" spans="1:12" x14ac:dyDescent="0.2">
      <c r="A237"/>
      <c r="B237"/>
      <c r="C237"/>
      <c r="D237"/>
      <c r="E237" s="2">
        <f>Comuni__2[[#This Row],[Popolazione2011]]/$D$7911</f>
        <v>9.9624595340291785E-6</v>
      </c>
      <c r="F237">
        <f>SUMIFS($D$2:$D$7909, $B$2:$B$7909, "Abruzzo")</f>
        <v>1307309</v>
      </c>
      <c r="G237" s="1">
        <f>Comuni__2[[#This Row],[Popolazione2011]]/Comuni__2[[#This Row],[POPOLAZIONE TOTALE DI OGNI REGIONE (CON FILTRO)]]</f>
        <v>4.528386173429541E-4</v>
      </c>
      <c r="H237" t="str">
        <f>IF(Comuni__2[[#This Row],[Popolazione2011]]&gt;300000,"MAGGIORE","")</f>
        <v/>
      </c>
      <c r="J237">
        <v>178</v>
      </c>
      <c r="K237">
        <v>3184</v>
      </c>
      <c r="L237">
        <v>491</v>
      </c>
    </row>
    <row r="238" spans="1:12" x14ac:dyDescent="0.2">
      <c r="A238"/>
      <c r="B238"/>
      <c r="C238"/>
      <c r="D238"/>
      <c r="E238" s="2">
        <f>Comuni__2[[#This Row],[Popolazione2011]]/$D$7911</f>
        <v>9.9288025761439445E-6</v>
      </c>
      <c r="F238">
        <f>SUMIFS($D$2:$D$7909, $B$2:$B$7909, "Abruzzo")</f>
        <v>1307309</v>
      </c>
      <c r="G238" s="1">
        <f>Comuni__2[[#This Row],[Popolazione2011]]/Comuni__2[[#This Row],[POPOLAZIONE TOTALE DI OGNI REGIONE (CON FILTRO)]]</f>
        <v>4.513087571492279E-4</v>
      </c>
      <c r="H238" t="str">
        <f>IF(Comuni__2[[#This Row],[Popolazione2011]]&gt;300000,"MAGGIORE","")</f>
        <v/>
      </c>
      <c r="J238">
        <v>182</v>
      </c>
      <c r="K238">
        <v>3186</v>
      </c>
      <c r="L238">
        <v>493</v>
      </c>
    </row>
    <row r="239" spans="1:12" x14ac:dyDescent="0.2">
      <c r="A239"/>
      <c r="B239"/>
      <c r="C239"/>
      <c r="D239"/>
      <c r="E239" s="2">
        <f>Comuni__2[[#This Row],[Popolazione2011]]/$D$7911</f>
        <v>9.9119740972013284E-6</v>
      </c>
      <c r="F239">
        <f>SUMIFS($D$2:$D$7909, $B$2:$B$7909, "Abruzzo")</f>
        <v>1307309</v>
      </c>
      <c r="G239" s="1">
        <f>Comuni__2[[#This Row],[Popolazione2011]]/Comuni__2[[#This Row],[POPOLAZIONE TOTALE DI OGNI REGIONE (CON FILTRO)]]</f>
        <v>4.5054382705236483E-4</v>
      </c>
      <c r="H239" t="str">
        <f>IF(Comuni__2[[#This Row],[Popolazione2011]]&gt;300000,"MAGGIORE","")</f>
        <v/>
      </c>
      <c r="J239">
        <v>183</v>
      </c>
      <c r="K239">
        <v>3187</v>
      </c>
      <c r="L239">
        <v>494</v>
      </c>
    </row>
    <row r="240" spans="1:12" x14ac:dyDescent="0.2">
      <c r="A240"/>
      <c r="B240"/>
      <c r="C240"/>
      <c r="D240"/>
      <c r="E240" s="2">
        <f>Comuni__2[[#This Row],[Popolazione2011]]/$D$7911</f>
        <v>9.8614886603734766E-6</v>
      </c>
      <c r="F240">
        <f>SUMIFS($D$2:$D$7909, $B$2:$B$7909, "Abruzzo")</f>
        <v>1307309</v>
      </c>
      <c r="G240" s="1">
        <f>Comuni__2[[#This Row],[Popolazione2011]]/Comuni__2[[#This Row],[POPOLAZIONE TOTALE DI OGNI REGIONE (CON FILTRO)]]</f>
        <v>4.4824903676177555E-4</v>
      </c>
      <c r="H240" t="str">
        <f>IF(Comuni__2[[#This Row],[Popolazione2011]]&gt;300000,"MAGGIORE","")</f>
        <v/>
      </c>
      <c r="J240">
        <v>210</v>
      </c>
      <c r="K240">
        <v>3190</v>
      </c>
      <c r="L240">
        <v>494</v>
      </c>
    </row>
    <row r="241" spans="1:12" x14ac:dyDescent="0.2">
      <c r="A241"/>
      <c r="B241"/>
      <c r="C241"/>
      <c r="D241"/>
      <c r="E241" s="2">
        <f>Comuni__2[[#This Row],[Popolazione2011]]/$D$7911</f>
        <v>9.7941747446030104E-6</v>
      </c>
      <c r="F241">
        <f>SUMIFS($D$2:$D$7909, $B$2:$B$7909, "Abruzzo")</f>
        <v>1307309</v>
      </c>
      <c r="G241" s="1">
        <f>Comuni__2[[#This Row],[Popolazione2011]]/Comuni__2[[#This Row],[POPOLAZIONE TOTALE DI OGNI REGIONE (CON FILTRO)]]</f>
        <v>4.4518931637432314E-4</v>
      </c>
      <c r="H241" t="str">
        <f>IF(Comuni__2[[#This Row],[Popolazione2011]]&gt;300000,"MAGGIORE","")</f>
        <v/>
      </c>
      <c r="J241">
        <v>225</v>
      </c>
      <c r="K241">
        <v>3194</v>
      </c>
      <c r="L241">
        <v>495</v>
      </c>
    </row>
    <row r="242" spans="1:12" x14ac:dyDescent="0.2">
      <c r="A242"/>
      <c r="B242"/>
      <c r="C242"/>
      <c r="D242"/>
      <c r="E242" s="2">
        <f>Comuni__2[[#This Row],[Popolazione2011]]/$D$7911</f>
        <v>9.5754045183489906E-6</v>
      </c>
      <c r="F242">
        <f>SUMIFS($D$2:$D$7909, $B$2:$B$7909, "Abruzzo")</f>
        <v>1307309</v>
      </c>
      <c r="G242" s="1">
        <f>Comuni__2[[#This Row],[Popolazione2011]]/Comuni__2[[#This Row],[POPOLAZIONE TOTALE DI OGNI REGIONE (CON FILTRO)]]</f>
        <v>4.3524522511510284E-4</v>
      </c>
      <c r="H242" t="str">
        <f>IF(Comuni__2[[#This Row],[Popolazione2011]]&gt;300000,"MAGGIORE","")</f>
        <v/>
      </c>
      <c r="J242">
        <v>226</v>
      </c>
      <c r="K242">
        <v>3195</v>
      </c>
      <c r="L242">
        <v>500</v>
      </c>
    </row>
    <row r="243" spans="1:12" x14ac:dyDescent="0.2">
      <c r="A243"/>
      <c r="B243"/>
      <c r="C243"/>
      <c r="D243"/>
      <c r="E243" s="2">
        <f>Comuni__2[[#This Row],[Popolazione2011]]/$D$7911</f>
        <v>9.2724918973818868E-6</v>
      </c>
      <c r="F243">
        <f>SUMIFS($D$2:$D$7909, $B$2:$B$7909, "Abruzzo")</f>
        <v>1307309</v>
      </c>
      <c r="G243" s="1">
        <f>Comuni__2[[#This Row],[Popolazione2011]]/Comuni__2[[#This Row],[POPOLAZIONE TOTALE DI OGNI REGIONE (CON FILTRO)]]</f>
        <v>4.2147648337156711E-4</v>
      </c>
      <c r="H243" t="str">
        <f>IF(Comuni__2[[#This Row],[Popolazione2011]]&gt;300000,"MAGGIORE","")</f>
        <v/>
      </c>
      <c r="J243">
        <v>224</v>
      </c>
      <c r="K243">
        <v>3214</v>
      </c>
      <c r="L243">
        <v>501</v>
      </c>
    </row>
    <row r="244" spans="1:12" x14ac:dyDescent="0.2">
      <c r="A244"/>
      <c r="B244"/>
      <c r="C244"/>
      <c r="D244"/>
      <c r="E244" s="2">
        <f>Comuni__2[[#This Row],[Popolazione2011]]/$D$7911</f>
        <v>9.2556634184392707E-6</v>
      </c>
      <c r="F244">
        <f>SUMIFS($D$2:$D$7909, $B$2:$B$7909, "Abruzzo")</f>
        <v>1307309</v>
      </c>
      <c r="G244" s="1">
        <f>Comuni__2[[#This Row],[Popolazione2011]]/Comuni__2[[#This Row],[POPOLAZIONE TOTALE DI OGNI REGIONE (CON FILTRO)]]</f>
        <v>4.2071155327470398E-4</v>
      </c>
      <c r="H244" t="str">
        <f>IF(Comuni__2[[#This Row],[Popolazione2011]]&gt;300000,"MAGGIORE","")</f>
        <v/>
      </c>
      <c r="J244">
        <v>244</v>
      </c>
      <c r="K244">
        <v>3293</v>
      </c>
      <c r="L244">
        <v>503</v>
      </c>
    </row>
    <row r="245" spans="1:12" x14ac:dyDescent="0.2">
      <c r="A245"/>
      <c r="B245"/>
      <c r="C245"/>
      <c r="D245"/>
      <c r="E245" s="2">
        <f>Comuni__2[[#This Row],[Popolazione2011]]/$D$7911</f>
        <v>8.9359223185295507E-6</v>
      </c>
      <c r="F245">
        <f>SUMIFS($D$2:$D$7909, $B$2:$B$7909, "Abruzzo")</f>
        <v>1307309</v>
      </c>
      <c r="G245" s="1">
        <f>Comuni__2[[#This Row],[Popolazione2011]]/Comuni__2[[#This Row],[POPOLAZIONE TOTALE DI OGNI REGIONE (CON FILTRO)]]</f>
        <v>4.0617788143430513E-4</v>
      </c>
      <c r="H245" t="str">
        <f>IF(Comuni__2[[#This Row],[Popolazione2011]]&gt;300000,"MAGGIORE","")</f>
        <v/>
      </c>
      <c r="J245">
        <v>246</v>
      </c>
      <c r="K245">
        <v>3455</v>
      </c>
      <c r="L245">
        <v>503</v>
      </c>
    </row>
    <row r="246" spans="1:12" x14ac:dyDescent="0.2">
      <c r="A246"/>
      <c r="B246"/>
      <c r="C246"/>
      <c r="D246"/>
      <c r="E246" s="2">
        <f>Comuni__2[[#This Row],[Popolazione2011]]/$D$7911</f>
        <v>8.8686084027590828E-6</v>
      </c>
      <c r="F246">
        <f>SUMIFS($D$2:$D$7909, $B$2:$B$7909, "Abruzzo")</f>
        <v>1307309</v>
      </c>
      <c r="G246" s="1">
        <f>Comuni__2[[#This Row],[Popolazione2011]]/Comuni__2[[#This Row],[POPOLAZIONE TOTALE DI OGNI REGIONE (CON FILTRO)]]</f>
        <v>4.0311816104685272E-4</v>
      </c>
      <c r="H246" t="str">
        <f>IF(Comuni__2[[#This Row],[Popolazione2011]]&gt;300000,"MAGGIORE","")</f>
        <v/>
      </c>
      <c r="J246">
        <v>263</v>
      </c>
      <c r="K246">
        <v>3469</v>
      </c>
      <c r="L246">
        <v>514</v>
      </c>
    </row>
    <row r="247" spans="1:12" x14ac:dyDescent="0.2">
      <c r="A247"/>
      <c r="B247"/>
      <c r="C247"/>
      <c r="D247"/>
      <c r="E247" s="2">
        <f>Comuni__2[[#This Row],[Popolazione2011]]/$D$7911</f>
        <v>8.7003236133329148E-6</v>
      </c>
      <c r="F247">
        <f>SUMIFS($D$2:$D$7909, $B$2:$B$7909, "Abruzzo")</f>
        <v>1307309</v>
      </c>
      <c r="G247" s="1">
        <f>Comuni__2[[#This Row],[Popolazione2011]]/Comuni__2[[#This Row],[POPOLAZIONE TOTALE DI OGNI REGIONE (CON FILTRO)]]</f>
        <v>3.9546886007822175E-4</v>
      </c>
      <c r="H247" t="str">
        <f>IF(Comuni__2[[#This Row],[Popolazione2011]]&gt;300000,"MAGGIORE","")</f>
        <v/>
      </c>
      <c r="J247">
        <v>270</v>
      </c>
      <c r="K247">
        <v>3537</v>
      </c>
      <c r="L247">
        <v>524</v>
      </c>
    </row>
    <row r="248" spans="1:12" x14ac:dyDescent="0.2">
      <c r="A248"/>
      <c r="B248"/>
      <c r="C248"/>
      <c r="D248"/>
      <c r="E248" s="2">
        <f>Comuni__2[[#This Row],[Popolazione2011]]/$D$7911</f>
        <v>8.6666666554476809E-6</v>
      </c>
      <c r="F248">
        <f>SUMIFS($D$2:$D$7909, $B$2:$B$7909, "Abruzzo")</f>
        <v>1307309</v>
      </c>
      <c r="G248" s="1">
        <f>Comuni__2[[#This Row],[Popolazione2011]]/Comuni__2[[#This Row],[POPOLAZIONE TOTALE DI OGNI REGIONE (CON FILTRO)]]</f>
        <v>3.9393899988449555E-4</v>
      </c>
      <c r="H248" t="str">
        <f>IF(Comuni__2[[#This Row],[Popolazione2011]]&gt;300000,"MAGGIORE","")</f>
        <v/>
      </c>
      <c r="J248">
        <v>306</v>
      </c>
      <c r="K248">
        <v>3618</v>
      </c>
      <c r="L248">
        <v>532</v>
      </c>
    </row>
    <row r="249" spans="1:12" x14ac:dyDescent="0.2">
      <c r="A249"/>
      <c r="B249"/>
      <c r="C249"/>
      <c r="D249"/>
      <c r="E249" s="2">
        <f>Comuni__2[[#This Row],[Popolazione2011]]/$D$7911</f>
        <v>8.565695781791979E-6</v>
      </c>
      <c r="F249">
        <f>SUMIFS($D$2:$D$7909, $B$2:$B$7909, "Abruzzo")</f>
        <v>1307309</v>
      </c>
      <c r="G249" s="1">
        <f>Comuni__2[[#This Row],[Popolazione2011]]/Comuni__2[[#This Row],[POPOLAZIONE TOTALE DI OGNI REGIONE (CON FILTRO)]]</f>
        <v>3.8934941930331699E-4</v>
      </c>
      <c r="H249" t="str">
        <f>IF(Comuni__2[[#This Row],[Popolazione2011]]&gt;300000,"MAGGIORE","")</f>
        <v/>
      </c>
      <c r="J249">
        <v>332</v>
      </c>
      <c r="K249">
        <v>3630</v>
      </c>
      <c r="L249">
        <v>534</v>
      </c>
    </row>
    <row r="250" spans="1:12" x14ac:dyDescent="0.2">
      <c r="A250"/>
      <c r="B250"/>
      <c r="C250"/>
      <c r="D250"/>
      <c r="E250" s="2">
        <f>Comuni__2[[#This Row],[Popolazione2011]]/$D$7911</f>
        <v>8.481553387078895E-6</v>
      </c>
      <c r="F250">
        <f>SUMIFS($D$2:$D$7909, $B$2:$B$7909, "Abruzzo")</f>
        <v>1307309</v>
      </c>
      <c r="G250" s="1">
        <f>Comuni__2[[#This Row],[Popolazione2011]]/Comuni__2[[#This Row],[POPOLAZIONE TOTALE DI OGNI REGIONE (CON FILTRO)]]</f>
        <v>3.8552476881900145E-4</v>
      </c>
      <c r="H250" t="str">
        <f>IF(Comuni__2[[#This Row],[Popolazione2011]]&gt;300000,"MAGGIORE","")</f>
        <v/>
      </c>
      <c r="J250">
        <v>357</v>
      </c>
      <c r="K250">
        <v>3690</v>
      </c>
      <c r="L250">
        <v>540</v>
      </c>
    </row>
    <row r="251" spans="1:12" x14ac:dyDescent="0.2">
      <c r="A251"/>
      <c r="B251"/>
      <c r="C251"/>
      <c r="D251"/>
      <c r="E251" s="2">
        <f>Comuni__2[[#This Row],[Popolazione2011]]/$D$7911</f>
        <v>8.4310679502510449E-6</v>
      </c>
      <c r="F251">
        <f>SUMIFS($D$2:$D$7909, $B$2:$B$7909, "Abruzzo")</f>
        <v>1307309</v>
      </c>
      <c r="G251" s="1">
        <f>Comuni__2[[#This Row],[Popolazione2011]]/Comuni__2[[#This Row],[POPOLAZIONE TOTALE DI OGNI REGIONE (CON FILTRO)]]</f>
        <v>3.8322997852841217E-4</v>
      </c>
      <c r="H251" t="str">
        <f>IF(Comuni__2[[#This Row],[Popolazione2011]]&gt;300000,"MAGGIORE","")</f>
        <v/>
      </c>
      <c r="J251">
        <v>382</v>
      </c>
      <c r="K251">
        <v>3764</v>
      </c>
      <c r="L251">
        <v>542</v>
      </c>
    </row>
    <row r="252" spans="1:12" x14ac:dyDescent="0.2">
      <c r="A252"/>
      <c r="B252"/>
      <c r="C252"/>
      <c r="D252"/>
      <c r="E252" s="2">
        <f>Comuni__2[[#This Row],[Popolazione2011]]/$D$7911</f>
        <v>8.2627831608248769E-6</v>
      </c>
      <c r="F252">
        <f>SUMIFS($D$2:$D$7909, $B$2:$B$7909, "Abruzzo")</f>
        <v>1307309</v>
      </c>
      <c r="G252" s="1">
        <f>Comuni__2[[#This Row],[Popolazione2011]]/Comuni__2[[#This Row],[POPOLAZIONE TOTALE DI OGNI REGIONE (CON FILTRO)]]</f>
        <v>3.7558067755978121E-4</v>
      </c>
      <c r="H252" t="str">
        <f>IF(Comuni__2[[#This Row],[Popolazione2011]]&gt;300000,"MAGGIORE","")</f>
        <v/>
      </c>
      <c r="J252">
        <v>400</v>
      </c>
      <c r="K252">
        <v>3799</v>
      </c>
      <c r="L252">
        <v>550</v>
      </c>
    </row>
    <row r="253" spans="1:12" x14ac:dyDescent="0.2">
      <c r="A253"/>
      <c r="B253"/>
      <c r="C253"/>
      <c r="D253"/>
      <c r="E253" s="2">
        <f>Comuni__2[[#This Row],[Popolazione2011]]/$D$7911</f>
        <v>7.8757281451446891E-6</v>
      </c>
      <c r="F253">
        <f>SUMIFS($D$2:$D$7909, $B$2:$B$7909, "Abruzzo")</f>
        <v>1307309</v>
      </c>
      <c r="G253" s="1">
        <f>Comuni__2[[#This Row],[Popolazione2011]]/Comuni__2[[#This Row],[POPOLAZIONE TOTALE DI OGNI REGIONE (CON FILTRO)]]</f>
        <v>3.5798728533192994E-4</v>
      </c>
      <c r="H253" t="str">
        <f>IF(Comuni__2[[#This Row],[Popolazione2011]]&gt;300000,"MAGGIORE","")</f>
        <v/>
      </c>
      <c r="J253">
        <v>423</v>
      </c>
      <c r="K253">
        <v>3854</v>
      </c>
      <c r="L253">
        <v>554</v>
      </c>
    </row>
    <row r="254" spans="1:12" x14ac:dyDescent="0.2">
      <c r="A254"/>
      <c r="B254"/>
      <c r="C254"/>
      <c r="D254"/>
      <c r="E254" s="2">
        <f>Comuni__2[[#This Row],[Popolazione2011]]/$D$7911</f>
        <v>7.5223300873497343E-6</v>
      </c>
      <c r="F254">
        <f>SUMIFS($D$2:$D$7909, $B$2:$B$7909, "Abruzzo")</f>
        <v>1307309</v>
      </c>
      <c r="G254" s="1">
        <f>Comuni__2[[#This Row],[Popolazione2011]]/Comuni__2[[#This Row],[POPOLAZIONE TOTALE DI OGNI REGIONE (CON FILTRO)]]</f>
        <v>3.4192375329780488E-4</v>
      </c>
      <c r="H254" t="str">
        <f>IF(Comuni__2[[#This Row],[Popolazione2011]]&gt;300000,"MAGGIORE","")</f>
        <v/>
      </c>
      <c r="J254">
        <v>434</v>
      </c>
      <c r="K254">
        <v>3872</v>
      </c>
      <c r="L254">
        <v>556</v>
      </c>
    </row>
    <row r="255" spans="1:12" x14ac:dyDescent="0.2">
      <c r="A255"/>
      <c r="B255"/>
      <c r="C255"/>
      <c r="D255"/>
      <c r="E255" s="2">
        <f>Comuni__2[[#This Row],[Popolazione2011]]/$D$7911</f>
        <v>7.4213592136940333E-6</v>
      </c>
      <c r="F255">
        <f>SUMIFS($D$2:$D$7909, $B$2:$B$7909, "Abruzzo")</f>
        <v>1307309</v>
      </c>
      <c r="G255" s="1">
        <f>Comuni__2[[#This Row],[Popolazione2011]]/Comuni__2[[#This Row],[POPOLAZIONE TOTALE DI OGNI REGIONE (CON FILTRO)]]</f>
        <v>3.3733417271662627E-4</v>
      </c>
      <c r="H255" t="str">
        <f>IF(Comuni__2[[#This Row],[Popolazione2011]]&gt;300000,"MAGGIORE","")</f>
        <v/>
      </c>
      <c r="J255">
        <v>467</v>
      </c>
      <c r="K255">
        <v>3909</v>
      </c>
      <c r="L255">
        <v>564</v>
      </c>
    </row>
    <row r="256" spans="1:12" x14ac:dyDescent="0.2">
      <c r="A256"/>
      <c r="B256"/>
      <c r="C256"/>
      <c r="D256"/>
      <c r="E256" s="2">
        <f>Comuni__2[[#This Row],[Popolazione2011]]/$D$7911</f>
        <v>7.4045307347514164E-6</v>
      </c>
      <c r="F256">
        <f>SUMIFS($D$2:$D$7909, $B$2:$B$7909, "Abruzzo")</f>
        <v>1307309</v>
      </c>
      <c r="G256" s="1">
        <f>Comuni__2[[#This Row],[Popolazione2011]]/Comuni__2[[#This Row],[POPOLAZIONE TOTALE DI OGNI REGIONE (CON FILTRO)]]</f>
        <v>3.365692426197632E-4</v>
      </c>
      <c r="H256" t="str">
        <f>IF(Comuni__2[[#This Row],[Popolazione2011]]&gt;300000,"MAGGIORE","")</f>
        <v/>
      </c>
      <c r="J256">
        <v>463</v>
      </c>
      <c r="K256">
        <v>3943</v>
      </c>
      <c r="L256">
        <v>568</v>
      </c>
    </row>
    <row r="257" spans="1:12" x14ac:dyDescent="0.2">
      <c r="A257"/>
      <c r="B257"/>
      <c r="C257"/>
      <c r="D257"/>
      <c r="E257" s="2">
        <f>Comuni__2[[#This Row],[Popolazione2011]]/$D$7911</f>
        <v>7.2699029032104814E-6</v>
      </c>
      <c r="F257">
        <f>SUMIFS($D$2:$D$7909, $B$2:$B$7909, "Abruzzo")</f>
        <v>1307309</v>
      </c>
      <c r="G257" s="1">
        <f>Comuni__2[[#This Row],[Popolazione2011]]/Comuni__2[[#This Row],[POPOLAZIONE TOTALE DI OGNI REGIONE (CON FILTRO)]]</f>
        <v>3.3044980184485838E-4</v>
      </c>
      <c r="H257" t="str">
        <f>IF(Comuni__2[[#This Row],[Popolazione2011]]&gt;300000,"MAGGIORE","")</f>
        <v/>
      </c>
      <c r="J257">
        <v>494</v>
      </c>
      <c r="K257">
        <v>4273</v>
      </c>
      <c r="L257">
        <v>577</v>
      </c>
    </row>
    <row r="258" spans="1:12" x14ac:dyDescent="0.2">
      <c r="A258"/>
      <c r="B258"/>
      <c r="C258"/>
      <c r="D258"/>
      <c r="E258" s="2">
        <f>Comuni__2[[#This Row],[Popolazione2011]]/$D$7911</f>
        <v>7.2025889874400144E-6</v>
      </c>
      <c r="F258">
        <f>SUMIFS($D$2:$D$7909, $B$2:$B$7909, "Abruzzo")</f>
        <v>1307309</v>
      </c>
      <c r="G258" s="1">
        <f>Comuni__2[[#This Row],[Popolazione2011]]/Comuni__2[[#This Row],[POPOLAZIONE TOTALE DI OGNI REGIONE (CON FILTRO)]]</f>
        <v>3.2739008145740603E-4</v>
      </c>
      <c r="H258" t="str">
        <f>IF(Comuni__2[[#This Row],[Popolazione2011]]&gt;300000,"MAGGIORE","")</f>
        <v/>
      </c>
      <c r="J258">
        <v>510</v>
      </c>
      <c r="K258">
        <v>4340</v>
      </c>
      <c r="L258">
        <v>584</v>
      </c>
    </row>
    <row r="259" spans="1:12" x14ac:dyDescent="0.2">
      <c r="A259"/>
      <c r="B259"/>
      <c r="C259"/>
      <c r="D259"/>
      <c r="E259" s="2">
        <f>Comuni__2[[#This Row],[Popolazione2011]]/$D$7911</f>
        <v>7.1521035506121635E-6</v>
      </c>
      <c r="F259">
        <f>SUMIFS($D$2:$D$7909, $B$2:$B$7909, "Abruzzo")</f>
        <v>1307309</v>
      </c>
      <c r="G259" s="1">
        <f>Comuni__2[[#This Row],[Popolazione2011]]/Comuni__2[[#This Row],[POPOLAZIONE TOTALE DI OGNI REGIONE (CON FILTRO)]]</f>
        <v>3.2509529116681669E-4</v>
      </c>
      <c r="H259" t="str">
        <f>IF(Comuni__2[[#This Row],[Popolazione2011]]&gt;300000,"MAGGIORE","")</f>
        <v/>
      </c>
      <c r="J259">
        <v>527</v>
      </c>
      <c r="K259">
        <v>4445</v>
      </c>
      <c r="L259">
        <v>596</v>
      </c>
    </row>
    <row r="260" spans="1:12" x14ac:dyDescent="0.2">
      <c r="A260"/>
      <c r="B260"/>
      <c r="C260"/>
      <c r="D260"/>
      <c r="E260" s="2">
        <f>Comuni__2[[#This Row],[Popolazione2011]]/$D$7911</f>
        <v>7.0511326769564625E-6</v>
      </c>
      <c r="F260">
        <f>SUMIFS($D$2:$D$7909, $B$2:$B$7909, "Abruzzo")</f>
        <v>1307309</v>
      </c>
      <c r="G260" s="1">
        <f>Comuni__2[[#This Row],[Popolazione2011]]/Comuni__2[[#This Row],[POPOLAZIONE TOTALE DI OGNI REGIONE (CON FILTRO)]]</f>
        <v>3.2050571058563814E-4</v>
      </c>
      <c r="H260" t="str">
        <f>IF(Comuni__2[[#This Row],[Popolazione2011]]&gt;300000,"MAGGIORE","")</f>
        <v/>
      </c>
      <c r="J260">
        <v>527</v>
      </c>
      <c r="K260">
        <v>4592</v>
      </c>
      <c r="L260">
        <v>596</v>
      </c>
    </row>
    <row r="261" spans="1:12" x14ac:dyDescent="0.2">
      <c r="A261"/>
      <c r="B261"/>
      <c r="C261"/>
      <c r="D261"/>
      <c r="E261" s="2">
        <f>Comuni__2[[#This Row],[Popolazione2011]]/$D$7911</f>
        <v>7.0343041980138455E-6</v>
      </c>
      <c r="F261">
        <f>SUMIFS($D$2:$D$7909, $B$2:$B$7909, "Abruzzo")</f>
        <v>1307309</v>
      </c>
      <c r="G261" s="1">
        <f>Comuni__2[[#This Row],[Popolazione2011]]/Comuni__2[[#This Row],[POPOLAZIONE TOTALE DI OGNI REGIONE (CON FILTRO)]]</f>
        <v>3.1974078048877501E-4</v>
      </c>
      <c r="H261" t="str">
        <f>IF(Comuni__2[[#This Row],[Popolazione2011]]&gt;300000,"MAGGIORE","")</f>
        <v/>
      </c>
      <c r="J261">
        <v>561</v>
      </c>
      <c r="K261">
        <v>4669</v>
      </c>
      <c r="L261">
        <v>602</v>
      </c>
    </row>
    <row r="262" spans="1:12" x14ac:dyDescent="0.2">
      <c r="A262"/>
      <c r="B262"/>
      <c r="C262"/>
      <c r="D262"/>
      <c r="E262" s="2">
        <f>Comuni__2[[#This Row],[Popolazione2011]]/$D$7911</f>
        <v>7.0006472401286116E-6</v>
      </c>
      <c r="F262">
        <f>SUMIFS($D$2:$D$7909, $B$2:$B$7909, "Abruzzo")</f>
        <v>1307309</v>
      </c>
      <c r="G262" s="1">
        <f>Comuni__2[[#This Row],[Popolazione2011]]/Comuni__2[[#This Row],[POPOLAZIONE TOTALE DI OGNI REGIONE (CON FILTRO)]]</f>
        <v>3.1821092029504886E-4</v>
      </c>
      <c r="H262" t="str">
        <f>IF(Comuni__2[[#This Row],[Popolazione2011]]&gt;300000,"MAGGIORE","")</f>
        <v/>
      </c>
      <c r="J262">
        <v>576</v>
      </c>
      <c r="K262">
        <v>4832</v>
      </c>
      <c r="L262">
        <v>628</v>
      </c>
    </row>
    <row r="263" spans="1:12" x14ac:dyDescent="0.2">
      <c r="A263"/>
      <c r="B263"/>
      <c r="C263"/>
      <c r="D263"/>
      <c r="E263" s="2">
        <f>Comuni__2[[#This Row],[Popolazione2011]]/$D$7911</f>
        <v>6.8996763664729106E-6</v>
      </c>
      <c r="F263">
        <f>SUMIFS($D$2:$D$7909, $B$2:$B$7909, "Abruzzo")</f>
        <v>1307309</v>
      </c>
      <c r="G263" s="1">
        <f>Comuni__2[[#This Row],[Popolazione2011]]/Comuni__2[[#This Row],[POPOLAZIONE TOTALE DI OGNI REGIONE (CON FILTRO)]]</f>
        <v>3.1362133971387025E-4</v>
      </c>
      <c r="H263" t="str">
        <f>IF(Comuni__2[[#This Row],[Popolazione2011]]&gt;300000,"MAGGIORE","")</f>
        <v/>
      </c>
      <c r="J263">
        <v>597</v>
      </c>
      <c r="K263">
        <v>4956</v>
      </c>
      <c r="L263">
        <v>644</v>
      </c>
    </row>
    <row r="264" spans="1:12" x14ac:dyDescent="0.2">
      <c r="A264"/>
      <c r="B264"/>
      <c r="C264"/>
      <c r="D264"/>
      <c r="E264" s="2">
        <f>Comuni__2[[#This Row],[Popolazione2011]]/$D$7911</f>
        <v>6.7145630981041256E-6</v>
      </c>
      <c r="F264">
        <f>SUMIFS($D$2:$D$7909, $B$2:$B$7909, "Abruzzo")</f>
        <v>1307309</v>
      </c>
      <c r="G264" s="1">
        <f>Comuni__2[[#This Row],[Popolazione2011]]/Comuni__2[[#This Row],[POPOLAZIONE TOTALE DI OGNI REGIONE (CON FILTRO)]]</f>
        <v>3.0520710864837615E-4</v>
      </c>
      <c r="H264" t="str">
        <f>IF(Comuni__2[[#This Row],[Popolazione2011]]&gt;300000,"MAGGIORE","")</f>
        <v/>
      </c>
      <c r="J264">
        <v>599</v>
      </c>
      <c r="K264">
        <v>5029</v>
      </c>
      <c r="L264">
        <v>646</v>
      </c>
    </row>
    <row r="265" spans="1:12" x14ac:dyDescent="0.2">
      <c r="A265"/>
      <c r="B265"/>
      <c r="C265"/>
      <c r="D265"/>
      <c r="E265" s="2">
        <f>Comuni__2[[#This Row],[Popolazione2011]]/$D$7911</f>
        <v>6.6640776612762747E-6</v>
      </c>
      <c r="F265">
        <f>SUMIFS($D$2:$D$7909, $B$2:$B$7909, "Abruzzo")</f>
        <v>1307309</v>
      </c>
      <c r="G265" s="1">
        <f>Comuni__2[[#This Row],[Popolazione2011]]/Comuni__2[[#This Row],[POPOLAZIONE TOTALE DI OGNI REGIONE (CON FILTRO)]]</f>
        <v>3.0291231835778687E-4</v>
      </c>
      <c r="H265" t="str">
        <f>IF(Comuni__2[[#This Row],[Popolazione2011]]&gt;300000,"MAGGIORE","")</f>
        <v/>
      </c>
      <c r="J265">
        <v>624</v>
      </c>
      <c r="K265">
        <v>5205</v>
      </c>
      <c r="L265">
        <v>661</v>
      </c>
    </row>
    <row r="266" spans="1:12" x14ac:dyDescent="0.2">
      <c r="A266"/>
      <c r="B266"/>
      <c r="C266"/>
      <c r="D266"/>
      <c r="E266" s="2">
        <f>Comuni__2[[#This Row],[Popolazione2011]]/$D$7911</f>
        <v>6.6640776612762747E-6</v>
      </c>
      <c r="F266">
        <f>SUMIFS($D$2:$D$7909, $B$2:$B$7909, "Abruzzo")</f>
        <v>1307309</v>
      </c>
      <c r="G266" s="1">
        <f>Comuni__2[[#This Row],[Popolazione2011]]/Comuni__2[[#This Row],[POPOLAZIONE TOTALE DI OGNI REGIONE (CON FILTRO)]]</f>
        <v>3.0291231835778687E-4</v>
      </c>
      <c r="H266" t="str">
        <f>IF(Comuni__2[[#This Row],[Popolazione2011]]&gt;300000,"MAGGIORE","")</f>
        <v/>
      </c>
      <c r="J266">
        <v>604</v>
      </c>
      <c r="K266">
        <v>5420</v>
      </c>
      <c r="L266">
        <v>671</v>
      </c>
    </row>
    <row r="267" spans="1:12" x14ac:dyDescent="0.2">
      <c r="A267"/>
      <c r="B267"/>
      <c r="C267"/>
      <c r="D267"/>
      <c r="E267" s="2">
        <f>Comuni__2[[#This Row],[Popolazione2011]]/$D$7911</f>
        <v>6.5462783086779567E-6</v>
      </c>
      <c r="F267">
        <f>SUMIFS($D$2:$D$7909, $B$2:$B$7909, "Abruzzo")</f>
        <v>1307309</v>
      </c>
      <c r="G267" s="1">
        <f>Comuni__2[[#This Row],[Popolazione2011]]/Comuni__2[[#This Row],[POPOLAZIONE TOTALE DI OGNI REGIONE (CON FILTRO)]]</f>
        <v>2.9755780767974519E-4</v>
      </c>
      <c r="H267" t="str">
        <f>IF(Comuni__2[[#This Row],[Popolazione2011]]&gt;300000,"MAGGIORE","")</f>
        <v/>
      </c>
      <c r="J267">
        <v>624</v>
      </c>
      <c r="K267">
        <v>5469</v>
      </c>
      <c r="L267">
        <v>679</v>
      </c>
    </row>
    <row r="268" spans="1:12" x14ac:dyDescent="0.2">
      <c r="A268"/>
      <c r="B268"/>
      <c r="C268"/>
      <c r="D268"/>
      <c r="E268" s="2">
        <f>Comuni__2[[#This Row],[Popolazione2011]]/$D$7911</f>
        <v>6.4453074350222557E-6</v>
      </c>
      <c r="F268">
        <f>SUMIFS($D$2:$D$7909, $B$2:$B$7909, "Abruzzo")</f>
        <v>1307309</v>
      </c>
      <c r="G268" s="1">
        <f>Comuni__2[[#This Row],[Popolazione2011]]/Comuni__2[[#This Row],[POPOLAZIONE TOTALE DI OGNI REGIONE (CON FILTRO)]]</f>
        <v>2.9296822709856657E-4</v>
      </c>
      <c r="H268" t="str">
        <f>IF(Comuni__2[[#This Row],[Popolazione2011]]&gt;300000,"MAGGIORE","")</f>
        <v/>
      </c>
      <c r="J268">
        <v>630</v>
      </c>
      <c r="K268">
        <v>5634</v>
      </c>
      <c r="L268">
        <v>690</v>
      </c>
    </row>
    <row r="269" spans="1:12" x14ac:dyDescent="0.2">
      <c r="A269"/>
      <c r="B269"/>
      <c r="C269"/>
      <c r="D269"/>
      <c r="E269" s="2">
        <f>Comuni__2[[#This Row],[Popolazione2011]]/$D$7911</f>
        <v>6.1928802508830028E-6</v>
      </c>
      <c r="F269">
        <f>SUMIFS($D$2:$D$7909, $B$2:$B$7909, "Abruzzo")</f>
        <v>1307309</v>
      </c>
      <c r="G269" s="1">
        <f>Comuni__2[[#This Row],[Popolazione2011]]/Comuni__2[[#This Row],[POPOLAZIONE TOTALE DI OGNI REGIONE (CON FILTRO)]]</f>
        <v>2.8149427564562012E-4</v>
      </c>
      <c r="H269" t="str">
        <f>IF(Comuni__2[[#This Row],[Popolazione2011]]&gt;300000,"MAGGIORE","")</f>
        <v/>
      </c>
      <c r="J269">
        <v>656</v>
      </c>
      <c r="K269">
        <v>5841</v>
      </c>
      <c r="L269">
        <v>703</v>
      </c>
    </row>
    <row r="270" spans="1:12" x14ac:dyDescent="0.2">
      <c r="A270"/>
      <c r="B270"/>
      <c r="C270"/>
      <c r="D270"/>
      <c r="E270" s="2">
        <f>Comuni__2[[#This Row],[Popolazione2011]]/$D$7911</f>
        <v>6.1928802508830028E-6</v>
      </c>
      <c r="F270">
        <f>SUMIFS($D$2:$D$7909, $B$2:$B$7909, "Abruzzo")</f>
        <v>1307309</v>
      </c>
      <c r="G270" s="1">
        <f>Comuni__2[[#This Row],[Popolazione2011]]/Comuni__2[[#This Row],[POPOLAZIONE TOTALE DI OGNI REGIONE (CON FILTRO)]]</f>
        <v>2.8149427564562012E-4</v>
      </c>
      <c r="H270" t="str">
        <f>IF(Comuni__2[[#This Row],[Popolazione2011]]&gt;300000,"MAGGIORE","")</f>
        <v/>
      </c>
      <c r="J270">
        <v>686</v>
      </c>
      <c r="K270">
        <v>6091</v>
      </c>
      <c r="L270">
        <v>712</v>
      </c>
    </row>
    <row r="271" spans="1:12" x14ac:dyDescent="0.2">
      <c r="A271"/>
      <c r="B271"/>
      <c r="C271"/>
      <c r="D271"/>
      <c r="E271" s="2">
        <f>Comuni__2[[#This Row],[Popolazione2011]]/$D$7911</f>
        <v>6.1423948140551527E-6</v>
      </c>
      <c r="F271">
        <f>SUMIFS($D$2:$D$7909, $B$2:$B$7909, "Abruzzo")</f>
        <v>1307309</v>
      </c>
      <c r="G271" s="1">
        <f>Comuni__2[[#This Row],[Popolazione2011]]/Comuni__2[[#This Row],[POPOLAZIONE TOTALE DI OGNI REGIONE (CON FILTRO)]]</f>
        <v>2.7919948535503085E-4</v>
      </c>
      <c r="H271" t="str">
        <f>IF(Comuni__2[[#This Row],[Popolazione2011]]&gt;300000,"MAGGIORE","")</f>
        <v/>
      </c>
      <c r="J271">
        <v>732</v>
      </c>
      <c r="K271">
        <v>6259</v>
      </c>
      <c r="L271">
        <v>721</v>
      </c>
    </row>
    <row r="272" spans="1:12" x14ac:dyDescent="0.2">
      <c r="A272"/>
      <c r="B272"/>
      <c r="C272"/>
      <c r="D272"/>
      <c r="E272" s="2">
        <f>Comuni__2[[#This Row],[Popolazione2011]]/$D$7911</f>
        <v>5.9572815456863669E-6</v>
      </c>
      <c r="F272">
        <f>SUMIFS($D$2:$D$7909, $B$2:$B$7909, "Abruzzo")</f>
        <v>1307309</v>
      </c>
      <c r="G272" s="1">
        <f>Comuni__2[[#This Row],[Popolazione2011]]/Comuni__2[[#This Row],[POPOLAZIONE TOTALE DI OGNI REGIONE (CON FILTRO)]]</f>
        <v>2.7078525428953675E-4</v>
      </c>
      <c r="H272" t="str">
        <f>IF(Comuni__2[[#This Row],[Popolazione2011]]&gt;300000,"MAGGIORE","")</f>
        <v/>
      </c>
      <c r="J272">
        <v>736</v>
      </c>
      <c r="K272">
        <v>6430</v>
      </c>
      <c r="L272">
        <v>739</v>
      </c>
    </row>
    <row r="273" spans="1:12" x14ac:dyDescent="0.2">
      <c r="A273"/>
      <c r="B273"/>
      <c r="C273"/>
      <c r="D273"/>
      <c r="E273" s="2">
        <f>Comuni__2[[#This Row],[Popolazione2011]]/$D$7911</f>
        <v>5.906796108858516E-6</v>
      </c>
      <c r="F273">
        <f>SUMIFS($D$2:$D$7909, $B$2:$B$7909, "Abruzzo")</f>
        <v>1307309</v>
      </c>
      <c r="G273" s="1">
        <f>Comuni__2[[#This Row],[Popolazione2011]]/Comuni__2[[#This Row],[POPOLAZIONE TOTALE DI OGNI REGIONE (CON FILTRO)]]</f>
        <v>2.6849046399894747E-4</v>
      </c>
      <c r="H273" t="str">
        <f>IF(Comuni__2[[#This Row],[Popolazione2011]]&gt;300000,"MAGGIORE","")</f>
        <v/>
      </c>
      <c r="J273">
        <v>749</v>
      </c>
      <c r="K273">
        <v>6717</v>
      </c>
      <c r="L273">
        <v>774</v>
      </c>
    </row>
    <row r="274" spans="1:12" x14ac:dyDescent="0.2">
      <c r="A274"/>
      <c r="B274"/>
      <c r="C274"/>
      <c r="D274"/>
      <c r="E274" s="2">
        <f>Comuni__2[[#This Row],[Popolazione2011]]/$D$7911</f>
        <v>5.8731391509732829E-6</v>
      </c>
      <c r="F274">
        <f>SUMIFS($D$2:$D$7909, $B$2:$B$7909, "Abruzzo")</f>
        <v>1307309</v>
      </c>
      <c r="G274" s="1">
        <f>Comuni__2[[#This Row],[Popolazione2011]]/Comuni__2[[#This Row],[POPOLAZIONE TOTALE DI OGNI REGIONE (CON FILTRO)]]</f>
        <v>2.6696060380522127E-4</v>
      </c>
      <c r="H274" t="str">
        <f>IF(Comuni__2[[#This Row],[Popolazione2011]]&gt;300000,"MAGGIORE","")</f>
        <v/>
      </c>
      <c r="J274">
        <v>736</v>
      </c>
      <c r="K274">
        <v>6731</v>
      </c>
      <c r="L274">
        <v>786</v>
      </c>
    </row>
    <row r="275" spans="1:12" x14ac:dyDescent="0.2">
      <c r="A275"/>
      <c r="B275"/>
      <c r="C275"/>
      <c r="D275"/>
      <c r="E275" s="2">
        <f>Comuni__2[[#This Row],[Popolazione2011]]/$D$7911</f>
        <v>5.6375404457766469E-6</v>
      </c>
      <c r="F275">
        <f>SUMIFS($D$2:$D$7909, $B$2:$B$7909, "Abruzzo")</f>
        <v>1307309</v>
      </c>
      <c r="G275" s="1">
        <f>Comuni__2[[#This Row],[Popolazione2011]]/Comuni__2[[#This Row],[POPOLAZIONE TOTALE DI OGNI REGIONE (CON FILTRO)]]</f>
        <v>2.5625158244913789E-4</v>
      </c>
      <c r="H275" t="str">
        <f>IF(Comuni__2[[#This Row],[Popolazione2011]]&gt;300000,"MAGGIORE","")</f>
        <v/>
      </c>
      <c r="J275">
        <v>743</v>
      </c>
      <c r="K275">
        <v>7135</v>
      </c>
      <c r="L275">
        <v>804</v>
      </c>
    </row>
    <row r="276" spans="1:12" x14ac:dyDescent="0.2">
      <c r="A276"/>
      <c r="B276"/>
      <c r="C276"/>
      <c r="D276"/>
      <c r="E276" s="2">
        <f>Comuni__2[[#This Row],[Popolazione2011]]/$D$7911</f>
        <v>5.5365695721209459E-6</v>
      </c>
      <c r="F276">
        <f>SUMIFS($D$2:$D$7909, $B$2:$B$7909, "Abruzzo")</f>
        <v>1307309</v>
      </c>
      <c r="G276" s="1">
        <f>Comuni__2[[#This Row],[Popolazione2011]]/Comuni__2[[#This Row],[POPOLAZIONE TOTALE DI OGNI REGIONE (CON FILTRO)]]</f>
        <v>2.5166200186795928E-4</v>
      </c>
      <c r="H276" t="str">
        <f>IF(Comuni__2[[#This Row],[Popolazione2011]]&gt;300000,"MAGGIORE","")</f>
        <v/>
      </c>
      <c r="J276">
        <v>743</v>
      </c>
      <c r="K276">
        <v>7344</v>
      </c>
      <c r="L276">
        <v>822</v>
      </c>
    </row>
    <row r="277" spans="1:12" x14ac:dyDescent="0.2">
      <c r="A277"/>
      <c r="B277"/>
      <c r="C277"/>
      <c r="D277"/>
      <c r="E277" s="2">
        <f>Comuni__2[[#This Row],[Popolazione2011]]/$D$7911</f>
        <v>5.519741093178329E-6</v>
      </c>
      <c r="F277">
        <f>SUMIFS($D$2:$D$7909, $B$2:$B$7909, "Abruzzo")</f>
        <v>1307309</v>
      </c>
      <c r="G277" s="1">
        <f>Comuni__2[[#This Row],[Popolazione2011]]/Comuni__2[[#This Row],[POPOLAZIONE TOTALE DI OGNI REGIONE (CON FILTRO)]]</f>
        <v>2.5089707177109621E-4</v>
      </c>
      <c r="H277" t="str">
        <f>IF(Comuni__2[[#This Row],[Popolazione2011]]&gt;300000,"MAGGIORE","")</f>
        <v/>
      </c>
      <c r="J277">
        <v>748</v>
      </c>
      <c r="K277">
        <v>7582</v>
      </c>
      <c r="L277">
        <v>831</v>
      </c>
    </row>
    <row r="278" spans="1:12" x14ac:dyDescent="0.2">
      <c r="A278"/>
      <c r="B278"/>
      <c r="C278"/>
      <c r="D278"/>
      <c r="E278" s="2">
        <f>Comuni__2[[#This Row],[Popolazione2011]]/$D$7911</f>
        <v>5.486084135293095E-6</v>
      </c>
      <c r="F278">
        <f>SUMIFS($D$2:$D$7909, $B$2:$B$7909, "Abruzzo")</f>
        <v>1307309</v>
      </c>
      <c r="G278" s="1">
        <f>Comuni__2[[#This Row],[Popolazione2011]]/Comuni__2[[#This Row],[POPOLAZIONE TOTALE DI OGNI REGIONE (CON FILTRO)]]</f>
        <v>2.4936721157737E-4</v>
      </c>
      <c r="H278" t="str">
        <f>IF(Comuni__2[[#This Row],[Popolazione2011]]&gt;300000,"MAGGIORE","")</f>
        <v/>
      </c>
      <c r="J278">
        <v>768</v>
      </c>
      <c r="K278">
        <v>7830</v>
      </c>
      <c r="L278">
        <v>851</v>
      </c>
    </row>
    <row r="279" spans="1:12" x14ac:dyDescent="0.2">
      <c r="A279"/>
      <c r="B279"/>
      <c r="C279"/>
      <c r="D279"/>
      <c r="E279" s="2">
        <f>Comuni__2[[#This Row],[Popolazione2011]]/$D$7911</f>
        <v>5.3346278248095431E-6</v>
      </c>
      <c r="F279">
        <f>SUMIFS($D$2:$D$7909, $B$2:$B$7909, "Abruzzo")</f>
        <v>1307309</v>
      </c>
      <c r="G279" s="1">
        <f>Comuni__2[[#This Row],[Popolazione2011]]/Comuni__2[[#This Row],[POPOLAZIONE TOTALE DI OGNI REGIONE (CON FILTRO)]]</f>
        <v>2.4248284070560211E-4</v>
      </c>
      <c r="H279" t="str">
        <f>IF(Comuni__2[[#This Row],[Popolazione2011]]&gt;300000,"MAGGIORE","")</f>
        <v/>
      </c>
      <c r="J279">
        <v>763</v>
      </c>
      <c r="K279">
        <v>8097</v>
      </c>
      <c r="L279">
        <v>868</v>
      </c>
    </row>
    <row r="280" spans="1:12" x14ac:dyDescent="0.2">
      <c r="A280"/>
      <c r="B280"/>
      <c r="C280"/>
      <c r="D280"/>
      <c r="E280" s="2">
        <f>Comuni__2[[#This Row],[Popolazione2011]]/$D$7911</f>
        <v>5.2336569511538421E-6</v>
      </c>
      <c r="F280">
        <f>SUMIFS($D$2:$D$7909, $B$2:$B$7909, "Abruzzo")</f>
        <v>1307309</v>
      </c>
      <c r="G280" s="1">
        <f>Comuni__2[[#This Row],[Popolazione2011]]/Comuni__2[[#This Row],[POPOLAZIONE TOTALE DI OGNI REGIONE (CON FILTRO)]]</f>
        <v>2.3789326012442353E-4</v>
      </c>
      <c r="H280" t="str">
        <f>IF(Comuni__2[[#This Row],[Popolazione2011]]&gt;300000,"MAGGIORE","")</f>
        <v/>
      </c>
      <c r="J280">
        <v>757</v>
      </c>
      <c r="K280">
        <v>8415</v>
      </c>
      <c r="L280">
        <v>879</v>
      </c>
    </row>
    <row r="281" spans="1:12" x14ac:dyDescent="0.2">
      <c r="A281"/>
      <c r="B281"/>
      <c r="C281"/>
      <c r="D281"/>
      <c r="E281" s="2">
        <f>Comuni__2[[#This Row],[Popolazione2011]]/$D$7911</f>
        <v>5.1158575985555242E-6</v>
      </c>
      <c r="F281">
        <f>SUMIFS($D$2:$D$7909, $B$2:$B$7909, "Abruzzo")</f>
        <v>1307309</v>
      </c>
      <c r="G281" s="1">
        <f>Comuni__2[[#This Row],[Popolazione2011]]/Comuni__2[[#This Row],[POPOLAZIONE TOTALE DI OGNI REGIONE (CON FILTRO)]]</f>
        <v>2.3253874944638184E-4</v>
      </c>
      <c r="H281" t="str">
        <f>IF(Comuni__2[[#This Row],[Popolazione2011]]&gt;300000,"MAGGIORE","")</f>
        <v/>
      </c>
      <c r="J281">
        <v>734</v>
      </c>
      <c r="K281">
        <v>8543</v>
      </c>
      <c r="L281">
        <v>886</v>
      </c>
    </row>
    <row r="282" spans="1:12" x14ac:dyDescent="0.2">
      <c r="A282"/>
      <c r="B282"/>
      <c r="C282"/>
      <c r="D282"/>
      <c r="E282" s="2">
        <f>Comuni__2[[#This Row],[Popolazione2011]]/$D$7911</f>
        <v>5.0990291196129072E-6</v>
      </c>
      <c r="F282">
        <f>SUMIFS($D$2:$D$7909, $B$2:$B$7909, "Abruzzo")</f>
        <v>1307309</v>
      </c>
      <c r="G282" s="1">
        <f>Comuni__2[[#This Row],[Popolazione2011]]/Comuni__2[[#This Row],[POPOLAZIONE TOTALE DI OGNI REGIONE (CON FILTRO)]]</f>
        <v>2.3177381934951874E-4</v>
      </c>
      <c r="H282" t="str">
        <f>IF(Comuni__2[[#This Row],[Popolazione2011]]&gt;300000,"MAGGIORE","")</f>
        <v/>
      </c>
      <c r="J282">
        <v>790</v>
      </c>
      <c r="K282">
        <v>8939</v>
      </c>
      <c r="L282">
        <v>893</v>
      </c>
    </row>
    <row r="283" spans="1:12" x14ac:dyDescent="0.2">
      <c r="A283"/>
      <c r="B283"/>
      <c r="C283"/>
      <c r="D283"/>
      <c r="E283" s="2">
        <f>Comuni__2[[#This Row],[Popolazione2011]]/$D$7911</f>
        <v>5.0317152038424401E-6</v>
      </c>
      <c r="F283">
        <f>SUMIFS($D$2:$D$7909, $B$2:$B$7909, "Abruzzo")</f>
        <v>1307309</v>
      </c>
      <c r="G283" s="1">
        <f>Comuni__2[[#This Row],[Popolazione2011]]/Comuni__2[[#This Row],[POPOLAZIONE TOTALE DI OGNI REGIONE (CON FILTRO)]]</f>
        <v>2.2871409896206636E-4</v>
      </c>
      <c r="H283" t="str">
        <f>IF(Comuni__2[[#This Row],[Popolazione2011]]&gt;300000,"MAGGIORE","")</f>
        <v/>
      </c>
      <c r="J283">
        <v>773</v>
      </c>
      <c r="K283">
        <v>9326</v>
      </c>
      <c r="L283">
        <v>906</v>
      </c>
    </row>
    <row r="284" spans="1:12" x14ac:dyDescent="0.2">
      <c r="A284"/>
      <c r="B284"/>
      <c r="C284"/>
      <c r="D284"/>
      <c r="E284" s="2">
        <f>Comuni__2[[#This Row],[Popolazione2011]]/$D$7911</f>
        <v>4.7456310618179533E-6</v>
      </c>
      <c r="F284">
        <f>SUMIFS($D$2:$D$7909, $B$2:$B$7909, "Abruzzo")</f>
        <v>1307309</v>
      </c>
      <c r="G284" s="1">
        <f>Comuni__2[[#This Row],[Popolazione2011]]/Comuni__2[[#This Row],[POPOLAZIONE TOTALE DI OGNI REGIONE (CON FILTRO)]]</f>
        <v>2.1571028731539368E-4</v>
      </c>
      <c r="H284" t="str">
        <f>IF(Comuni__2[[#This Row],[Popolazione2011]]&gt;300000,"MAGGIORE","")</f>
        <v/>
      </c>
      <c r="J284">
        <v>777</v>
      </c>
      <c r="K284">
        <v>9890</v>
      </c>
      <c r="L284">
        <v>927</v>
      </c>
    </row>
    <row r="285" spans="1:12" x14ac:dyDescent="0.2">
      <c r="A285"/>
      <c r="B285"/>
      <c r="C285"/>
      <c r="D285"/>
      <c r="E285" s="2">
        <f>Comuni__2[[#This Row],[Popolazione2011]]/$D$7911</f>
        <v>4.6783171460474863E-6</v>
      </c>
      <c r="F285">
        <f>SUMIFS($D$2:$D$7909, $B$2:$B$7909, "Abruzzo")</f>
        <v>1307309</v>
      </c>
      <c r="G285" s="1">
        <f>Comuni__2[[#This Row],[Popolazione2011]]/Comuni__2[[#This Row],[POPOLAZIONE TOTALE DI OGNI REGIONE (CON FILTRO)]]</f>
        <v>2.126505669279413E-4</v>
      </c>
      <c r="H285" t="str">
        <f>IF(Comuni__2[[#This Row],[Popolazione2011]]&gt;300000,"MAGGIORE","")</f>
        <v/>
      </c>
      <c r="J285">
        <v>774</v>
      </c>
      <c r="K285">
        <v>10428</v>
      </c>
      <c r="L285">
        <v>940</v>
      </c>
    </row>
    <row r="286" spans="1:12" x14ac:dyDescent="0.2">
      <c r="A286"/>
      <c r="B286"/>
      <c r="C286"/>
      <c r="D286"/>
      <c r="E286" s="2">
        <f>Comuni__2[[#This Row],[Popolazione2011]]/$D$7911</f>
        <v>4.4595469197934665E-6</v>
      </c>
      <c r="F286">
        <f>SUMIFS($D$2:$D$7909, $B$2:$B$7909, "Abruzzo")</f>
        <v>1307309</v>
      </c>
      <c r="G286" s="1">
        <f>Comuni__2[[#This Row],[Popolazione2011]]/Comuni__2[[#This Row],[POPOLAZIONE TOTALE DI OGNI REGIONE (CON FILTRO)]]</f>
        <v>2.0270647566872103E-4</v>
      </c>
      <c r="H286" t="str">
        <f>IF(Comuni__2[[#This Row],[Popolazione2011]]&gt;300000,"MAGGIORE","")</f>
        <v/>
      </c>
      <c r="J286">
        <v>773</v>
      </c>
      <c r="K286">
        <v>10857</v>
      </c>
      <c r="L286">
        <v>955</v>
      </c>
    </row>
    <row r="287" spans="1:12" x14ac:dyDescent="0.2">
      <c r="A287"/>
      <c r="B287"/>
      <c r="C287"/>
      <c r="D287"/>
      <c r="E287" s="2">
        <f>Comuni__2[[#This Row],[Popolazione2011]]/$D$7911</f>
        <v>4.3922330040229994E-6</v>
      </c>
      <c r="F287">
        <f>SUMIFS($D$2:$D$7909, $B$2:$B$7909, "Abruzzo")</f>
        <v>1307309</v>
      </c>
      <c r="G287" s="1">
        <f>Comuni__2[[#This Row],[Popolazione2011]]/Comuni__2[[#This Row],[POPOLAZIONE TOTALE DI OGNI REGIONE (CON FILTRO)]]</f>
        <v>1.9964675528126862E-4</v>
      </c>
      <c r="H287" t="str">
        <f>IF(Comuni__2[[#This Row],[Popolazione2011]]&gt;300000,"MAGGIORE","")</f>
        <v/>
      </c>
      <c r="J287">
        <v>748</v>
      </c>
      <c r="K287">
        <v>11764</v>
      </c>
      <c r="L287">
        <v>969</v>
      </c>
    </row>
    <row r="288" spans="1:12" x14ac:dyDescent="0.2">
      <c r="A288"/>
      <c r="B288"/>
      <c r="C288"/>
      <c r="D288"/>
      <c r="E288" s="2">
        <f>Comuni__2[[#This Row],[Popolazione2011]]/$D$7911</f>
        <v>4.2912621303672984E-6</v>
      </c>
      <c r="F288">
        <f>SUMIFS($D$2:$D$7909, $B$2:$B$7909, "Abruzzo")</f>
        <v>1307309</v>
      </c>
      <c r="G288" s="1">
        <f>Comuni__2[[#This Row],[Popolazione2011]]/Comuni__2[[#This Row],[POPOLAZIONE TOTALE DI OGNI REGIONE (CON FILTRO)]]</f>
        <v>1.9505717470009003E-4</v>
      </c>
      <c r="H288" t="str">
        <f>IF(Comuni__2[[#This Row],[Popolazione2011]]&gt;300000,"MAGGIORE","")</f>
        <v/>
      </c>
      <c r="J288">
        <v>738</v>
      </c>
      <c r="K288">
        <v>12206</v>
      </c>
      <c r="L288">
        <v>980</v>
      </c>
    </row>
    <row r="289" spans="1:12" x14ac:dyDescent="0.2">
      <c r="A289"/>
      <c r="B289"/>
      <c r="C289"/>
      <c r="D289"/>
      <c r="E289" s="2">
        <f>Comuni__2[[#This Row],[Popolazione2011]]/$D$7911</f>
        <v>4.2576051724820645E-6</v>
      </c>
      <c r="F289">
        <f>SUMIFS($D$2:$D$7909, $B$2:$B$7909, "Abruzzo")</f>
        <v>1307309</v>
      </c>
      <c r="G289" s="1">
        <f>Comuni__2[[#This Row],[Popolazione2011]]/Comuni__2[[#This Row],[POPOLAZIONE TOTALE DI OGNI REGIONE (CON FILTRO)]]</f>
        <v>1.9352731450636383E-4</v>
      </c>
      <c r="H289" t="str">
        <f>IF(Comuni__2[[#This Row],[Popolazione2011]]&gt;300000,"MAGGIORE","")</f>
        <v/>
      </c>
      <c r="J289">
        <v>0</v>
      </c>
      <c r="K289">
        <v>0</v>
      </c>
      <c r="L289">
        <v>0</v>
      </c>
    </row>
    <row r="290" spans="1:12" x14ac:dyDescent="0.2">
      <c r="A290"/>
      <c r="B290"/>
      <c r="C290"/>
      <c r="D290"/>
      <c r="E290" s="2">
        <f>Comuni__2[[#This Row],[Popolazione2011]]/$D$7911</f>
        <v>3.9883495094001946E-6</v>
      </c>
      <c r="F290">
        <f>SUMIFS($D$2:$D$7909, $B$2:$B$7909, "Abruzzo")</f>
        <v>1307309</v>
      </c>
      <c r="G290" s="1">
        <f>Comuni__2[[#This Row],[Popolazione2011]]/Comuni__2[[#This Row],[POPOLAZIONE TOTALE DI OGNI REGIONE (CON FILTRO)]]</f>
        <v>1.8128843295655428E-4</v>
      </c>
      <c r="H290" t="str">
        <f>IF(Comuni__2[[#This Row],[Popolazione2011]]&gt;300000,"MAGGIORE","")</f>
        <v/>
      </c>
      <c r="J290">
        <v>0</v>
      </c>
      <c r="K290">
        <v>0</v>
      </c>
      <c r="L290">
        <v>0</v>
      </c>
    </row>
    <row r="291" spans="1:12" x14ac:dyDescent="0.2">
      <c r="A291"/>
      <c r="B291"/>
      <c r="C291"/>
      <c r="D291"/>
      <c r="E291" s="2">
        <f>Comuni__2[[#This Row],[Popolazione2011]]/$D$7911</f>
        <v>3.9546925515149615E-6</v>
      </c>
      <c r="F291">
        <f>SUMIFS($D$2:$D$7909, $B$2:$B$7909, "Abruzzo")</f>
        <v>1307309</v>
      </c>
      <c r="G291" s="1">
        <f>Comuni__2[[#This Row],[Popolazione2011]]/Comuni__2[[#This Row],[POPOLAZIONE TOTALE DI OGNI REGIONE (CON FILTRO)]]</f>
        <v>1.7975857276282807E-4</v>
      </c>
      <c r="H291" t="str">
        <f>IF(Comuni__2[[#This Row],[Popolazione2011]]&gt;300000,"MAGGIORE","")</f>
        <v/>
      </c>
      <c r="J291">
        <v>0</v>
      </c>
      <c r="K291">
        <v>0</v>
      </c>
      <c r="L291">
        <v>0</v>
      </c>
    </row>
    <row r="292" spans="1:12" x14ac:dyDescent="0.2">
      <c r="A292"/>
      <c r="B292"/>
      <c r="C292"/>
      <c r="D292"/>
      <c r="E292" s="2">
        <f>Comuni__2[[#This Row],[Popolazione2011]]/$D$7911</f>
        <v>3.9546925515149615E-6</v>
      </c>
      <c r="F292">
        <f>SUMIFS($D$2:$D$7909, $B$2:$B$7909, "Abruzzo")</f>
        <v>1307309</v>
      </c>
      <c r="G292" s="1">
        <f>Comuni__2[[#This Row],[Popolazione2011]]/Comuni__2[[#This Row],[POPOLAZIONE TOTALE DI OGNI REGIONE (CON FILTRO)]]</f>
        <v>1.7975857276282807E-4</v>
      </c>
      <c r="H292" t="str">
        <f>IF(Comuni__2[[#This Row],[Popolazione2011]]&gt;300000,"MAGGIORE","")</f>
        <v/>
      </c>
      <c r="J292">
        <v>0</v>
      </c>
      <c r="K292">
        <v>0</v>
      </c>
      <c r="L292">
        <v>0</v>
      </c>
    </row>
    <row r="293" spans="1:12" x14ac:dyDescent="0.2">
      <c r="A293"/>
      <c r="B293"/>
      <c r="C293"/>
      <c r="D293"/>
      <c r="E293" s="2">
        <f>Comuni__2[[#This Row],[Popolazione2011]]/$D$7911</f>
        <v>3.5339805779495397E-6</v>
      </c>
      <c r="F293">
        <f>SUMIFS($D$2:$D$7909, $B$2:$B$7909, "Abruzzo")</f>
        <v>1307309</v>
      </c>
      <c r="G293" s="1">
        <f>Comuni__2[[#This Row],[Popolazione2011]]/Comuni__2[[#This Row],[POPOLAZIONE TOTALE DI OGNI REGIONE (CON FILTRO)]]</f>
        <v>1.6063532034125061E-4</v>
      </c>
      <c r="H293" t="str">
        <f>IF(Comuni__2[[#This Row],[Popolazione2011]]&gt;300000,"MAGGIORE","")</f>
        <v/>
      </c>
      <c r="J293">
        <v>0</v>
      </c>
      <c r="K293">
        <v>0</v>
      </c>
      <c r="L293">
        <v>0</v>
      </c>
    </row>
    <row r="294" spans="1:12" x14ac:dyDescent="0.2">
      <c r="A294"/>
      <c r="B294"/>
      <c r="C294"/>
      <c r="D294"/>
      <c r="E294" s="2">
        <f>Comuni__2[[#This Row],[Popolazione2011]]/$D$7911</f>
        <v>2.810355983417015E-6</v>
      </c>
      <c r="F294">
        <f>SUMIFS($D$2:$D$7909, $B$2:$B$7909, "Abruzzo")</f>
        <v>1307309</v>
      </c>
      <c r="G294" s="1">
        <f>Comuni__2[[#This Row],[Popolazione2011]]/Comuni__2[[#This Row],[POPOLAZIONE TOTALE DI OGNI REGIONE (CON FILTRO)]]</f>
        <v>1.2774332617613738E-4</v>
      </c>
      <c r="H294" t="str">
        <f>IF(Comuni__2[[#This Row],[Popolazione2011]]&gt;300000,"MAGGIORE","")</f>
        <v/>
      </c>
      <c r="J294">
        <v>0</v>
      </c>
      <c r="K294">
        <v>0</v>
      </c>
      <c r="L294">
        <v>0</v>
      </c>
    </row>
    <row r="295" spans="1:12" x14ac:dyDescent="0.2">
      <c r="A295"/>
      <c r="B295"/>
      <c r="C295"/>
      <c r="D295"/>
      <c r="E295" s="2">
        <f>Comuni__2[[#This Row],[Popolazione2011]]/$D$7911</f>
        <v>2.67572815187608E-6</v>
      </c>
      <c r="F295">
        <f>SUMIFS($D$2:$D$7909, $B$2:$B$7909, "Abruzzo")</f>
        <v>1307309</v>
      </c>
      <c r="G295" s="1">
        <f>Comuni__2[[#This Row],[Popolazione2011]]/Comuni__2[[#This Row],[POPOLAZIONE TOTALE DI OGNI REGIONE (CON FILTRO)]]</f>
        <v>1.2162388540123261E-4</v>
      </c>
      <c r="H295" t="str">
        <f>IF(Comuni__2[[#This Row],[Popolazione2011]]&gt;300000,"MAGGIORE","")</f>
        <v/>
      </c>
      <c r="J295">
        <v>0</v>
      </c>
      <c r="K295">
        <v>0</v>
      </c>
      <c r="L295">
        <v>0</v>
      </c>
    </row>
    <row r="296" spans="1:12" x14ac:dyDescent="0.2">
      <c r="A296"/>
      <c r="B296"/>
      <c r="C296"/>
      <c r="D296"/>
      <c r="E296" s="2">
        <f>Comuni__2[[#This Row],[Popolazione2011]]/$D$7911</f>
        <v>2.4569579256220611E-6</v>
      </c>
      <c r="F296">
        <f>SUMIFS($D$2:$D$7909, $B$2:$B$7909, "Abruzzo")</f>
        <v>1307309</v>
      </c>
      <c r="G296" s="1">
        <f>Comuni__2[[#This Row],[Popolazione2011]]/Comuni__2[[#This Row],[POPOLAZIONE TOTALE DI OGNI REGIONE (CON FILTRO)]]</f>
        <v>1.1167979414201234E-4</v>
      </c>
      <c r="H296" t="str">
        <f>IF(Comuni__2[[#This Row],[Popolazione2011]]&gt;300000,"MAGGIORE","")</f>
        <v/>
      </c>
      <c r="J296">
        <v>0</v>
      </c>
      <c r="K296">
        <v>0</v>
      </c>
      <c r="L296">
        <v>0</v>
      </c>
    </row>
    <row r="297" spans="1:12" x14ac:dyDescent="0.2">
      <c r="A297"/>
      <c r="B297"/>
      <c r="C297"/>
      <c r="D297"/>
      <c r="E297" s="2">
        <f>Comuni__2[[#This Row],[Popolazione2011]]/$D$7911</f>
        <v>2.3728155309089767E-6</v>
      </c>
      <c r="F297">
        <f>SUMIFS($D$2:$D$7909, $B$2:$B$7909, "Abruzzo")</f>
        <v>1307309</v>
      </c>
      <c r="G297" s="1">
        <f>Comuni__2[[#This Row],[Popolazione2011]]/Comuni__2[[#This Row],[POPOLAZIONE TOTALE DI OGNI REGIONE (CON FILTRO)]]</f>
        <v>1.0785514365769684E-4</v>
      </c>
      <c r="H297" t="str">
        <f>IF(Comuni__2[[#This Row],[Popolazione2011]]&gt;300000,"MAGGIORE","")</f>
        <v/>
      </c>
      <c r="J297">
        <v>0</v>
      </c>
      <c r="K297">
        <v>0</v>
      </c>
      <c r="L297">
        <v>0</v>
      </c>
    </row>
    <row r="298" spans="1:12" x14ac:dyDescent="0.2">
      <c r="A298"/>
      <c r="B298"/>
      <c r="C298"/>
      <c r="D298"/>
      <c r="E298" s="2">
        <f>Comuni__2[[#This Row],[Popolazione2011]]/$D$7911</f>
        <v>2.3728155309089767E-6</v>
      </c>
      <c r="F298">
        <f>SUMIFS($D$2:$D$7909, $B$2:$B$7909, "Abruzzo")</f>
        <v>1307309</v>
      </c>
      <c r="G298" s="1">
        <f>Comuni__2[[#This Row],[Popolazione2011]]/Comuni__2[[#This Row],[POPOLAZIONE TOTALE DI OGNI REGIONE (CON FILTRO)]]</f>
        <v>1.0785514365769684E-4</v>
      </c>
      <c r="H298" t="str">
        <f>IF(Comuni__2[[#This Row],[Popolazione2011]]&gt;300000,"MAGGIORE","")</f>
        <v/>
      </c>
      <c r="J298">
        <v>0</v>
      </c>
      <c r="K298">
        <v>0</v>
      </c>
      <c r="L298">
        <v>0</v>
      </c>
    </row>
    <row r="299" spans="1:12" x14ac:dyDescent="0.2">
      <c r="A299"/>
      <c r="B299"/>
      <c r="C299"/>
      <c r="D299"/>
      <c r="E299" s="2">
        <f>Comuni__2[[#This Row],[Popolazione2011]]/$D$7911</f>
        <v>2.3055016151385092E-6</v>
      </c>
      <c r="F299">
        <f>SUMIFS($D$2:$D$7909, $B$2:$B$7909, "Abruzzo")</f>
        <v>1307309</v>
      </c>
      <c r="G299" s="1">
        <f>Comuni__2[[#This Row],[Popolazione2011]]/Comuni__2[[#This Row],[POPOLAZIONE TOTALE DI OGNI REGIONE (CON FILTRO)]]</f>
        <v>1.0479542327024444E-4</v>
      </c>
      <c r="H299" t="str">
        <f>IF(Comuni__2[[#This Row],[Popolazione2011]]&gt;300000,"MAGGIORE","")</f>
        <v/>
      </c>
      <c r="J299">
        <v>0</v>
      </c>
      <c r="K299">
        <v>0</v>
      </c>
      <c r="L299">
        <v>0</v>
      </c>
    </row>
    <row r="300" spans="1:12" x14ac:dyDescent="0.2">
      <c r="A300"/>
      <c r="B300"/>
      <c r="C300"/>
      <c r="D300"/>
      <c r="E300" s="2">
        <f>Comuni__2[[#This Row],[Popolazione2011]]/$D$7911</f>
        <v>2.1540453046549577E-6</v>
      </c>
      <c r="F300">
        <f>SUMIFS($D$2:$D$7909, $B$2:$B$7909, "Abruzzo")</f>
        <v>1307309</v>
      </c>
      <c r="G300" s="1">
        <f>Comuni__2[[#This Row],[Popolazione2011]]/Comuni__2[[#This Row],[POPOLAZIONE TOTALE DI OGNI REGIONE (CON FILTRO)]]</f>
        <v>9.7911052398476567E-5</v>
      </c>
      <c r="H300" t="str">
        <f>IF(Comuni__2[[#This Row],[Popolazione2011]]&gt;300000,"MAGGIORE","")</f>
        <v/>
      </c>
      <c r="J300">
        <v>1</v>
      </c>
      <c r="K300">
        <v>0</v>
      </c>
      <c r="L300">
        <v>0</v>
      </c>
    </row>
    <row r="301" spans="1:12" x14ac:dyDescent="0.2">
      <c r="A301"/>
      <c r="B301"/>
      <c r="C301"/>
      <c r="D301"/>
      <c r="E301" s="2">
        <f>Comuni__2[[#This Row],[Popolazione2011]]/$D$7911</f>
        <v>2.1372168257123407E-6</v>
      </c>
      <c r="F301">
        <f>SUMIFS($D$2:$D$7909, $B$2:$B$7909, "Abruzzo")</f>
        <v>1307309</v>
      </c>
      <c r="G301" s="1">
        <f>Comuni__2[[#This Row],[Popolazione2011]]/Comuni__2[[#This Row],[POPOLAZIONE TOTALE DI OGNI REGIONE (CON FILTRO)]]</f>
        <v>9.7146122301613465E-5</v>
      </c>
      <c r="H301" t="str">
        <f>IF(Comuni__2[[#This Row],[Popolazione2011]]&gt;300000,"MAGGIORE","")</f>
        <v/>
      </c>
      <c r="J301">
        <v>1</v>
      </c>
      <c r="K301">
        <v>0</v>
      </c>
      <c r="L301">
        <v>0</v>
      </c>
    </row>
    <row r="302" spans="1:12" x14ac:dyDescent="0.2">
      <c r="A302"/>
      <c r="B302"/>
      <c r="C302"/>
      <c r="D302"/>
      <c r="E302" s="2">
        <f>Comuni__2[[#This Row],[Popolazione2011]]/$D$7911</f>
        <v>1.8679611626304711E-6</v>
      </c>
      <c r="F302">
        <f>SUMIFS($D$2:$D$7909, $B$2:$B$7909, "Abruzzo")</f>
        <v>1307309</v>
      </c>
      <c r="G302" s="1">
        <f>Comuni__2[[#This Row],[Popolazione2011]]/Comuni__2[[#This Row],[POPOLAZIONE TOTALE DI OGNI REGIONE (CON FILTRO)]]</f>
        <v>8.4907240751803901E-5</v>
      </c>
      <c r="H302" t="str">
        <f>IF(Comuni__2[[#This Row],[Popolazione2011]]&gt;300000,"MAGGIORE","")</f>
        <v/>
      </c>
      <c r="J302">
        <v>2</v>
      </c>
      <c r="K302">
        <v>0</v>
      </c>
      <c r="L302">
        <v>0</v>
      </c>
    </row>
    <row r="303" spans="1:12" x14ac:dyDescent="0.2">
      <c r="A303"/>
      <c r="B303"/>
      <c r="C303"/>
      <c r="D303"/>
      <c r="E303" s="2">
        <f>Comuni__2[[#This Row],[Popolazione2011]]/$D$7911</f>
        <v>1.7333333310895361E-6</v>
      </c>
      <c r="F303">
        <f>SUMIFS($D$2:$D$7909, $B$2:$B$7909, "Abruzzo")</f>
        <v>1307309</v>
      </c>
      <c r="G303" s="1">
        <f>Comuni__2[[#This Row],[Popolazione2011]]/Comuni__2[[#This Row],[POPOLAZIONE TOTALE DI OGNI REGIONE (CON FILTRO)]]</f>
        <v>7.8787799976899112E-5</v>
      </c>
      <c r="H303" t="str">
        <f>IF(Comuni__2[[#This Row],[Popolazione2011]]&gt;300000,"MAGGIORE","")</f>
        <v/>
      </c>
      <c r="J303">
        <v>2</v>
      </c>
      <c r="K303">
        <v>0</v>
      </c>
      <c r="L303">
        <v>0</v>
      </c>
    </row>
    <row r="304" spans="1:12" x14ac:dyDescent="0.2">
      <c r="A304"/>
      <c r="B304"/>
      <c r="C304"/>
      <c r="D304"/>
      <c r="E304" s="2">
        <f>Comuni__2[[#This Row],[Popolazione2011]]/$D$7911</f>
        <v>1.6660194153190687E-6</v>
      </c>
      <c r="F304">
        <f>SUMIFS($D$2:$D$7909, $B$2:$B$7909, "Abruzzo")</f>
        <v>1307309</v>
      </c>
      <c r="G304" s="1">
        <f>Comuni__2[[#This Row],[Popolazione2011]]/Comuni__2[[#This Row],[POPOLAZIONE TOTALE DI OGNI REGIONE (CON FILTRO)]]</f>
        <v>7.5728079589446718E-5</v>
      </c>
      <c r="H304" t="str">
        <f>IF(Comuni__2[[#This Row],[Popolazione2011]]&gt;300000,"MAGGIORE","")</f>
        <v/>
      </c>
      <c r="J304">
        <v>2</v>
      </c>
      <c r="K304">
        <v>0</v>
      </c>
      <c r="L304">
        <v>0</v>
      </c>
    </row>
    <row r="305" spans="1:12" x14ac:dyDescent="0.2">
      <c r="A305"/>
      <c r="B305"/>
      <c r="C305"/>
      <c r="D305"/>
      <c r="E305" s="2">
        <f>Comuni__2[[#This Row],[Popolazione2011]]/$D$7911</f>
        <v>1.4304207101224327E-6</v>
      </c>
      <c r="F305">
        <f>SUMIFS($D$2:$D$7909, $B$2:$B$7909, "Abruzzo")</f>
        <v>1307309</v>
      </c>
      <c r="G305" s="1">
        <f>Comuni__2[[#This Row],[Popolazione2011]]/Comuni__2[[#This Row],[POPOLAZIONE TOTALE DI OGNI REGIONE (CON FILTRO)]]</f>
        <v>6.5019058233363344E-5</v>
      </c>
      <c r="H305" t="str">
        <f>IF(Comuni__2[[#This Row],[Popolazione2011]]&gt;300000,"MAGGIORE","")</f>
        <v/>
      </c>
      <c r="J305">
        <v>2</v>
      </c>
      <c r="K305">
        <v>0</v>
      </c>
      <c r="L305">
        <v>0</v>
      </c>
    </row>
    <row r="306" spans="1:12" x14ac:dyDescent="0.2">
      <c r="A306"/>
      <c r="B306"/>
      <c r="C306"/>
      <c r="D306"/>
      <c r="E306" s="2">
        <f>Comuni__2[[#This Row],[Popolazione2011]]/$D$7911</f>
        <v>1.3462783154093485E-6</v>
      </c>
      <c r="F306">
        <f>SUMIFS($D$2:$D$7909, $B$2:$B$7909, "Abruzzo")</f>
        <v>1307309</v>
      </c>
      <c r="G306" s="1">
        <f>Comuni__2[[#This Row],[Popolazione2011]]/Comuni__2[[#This Row],[POPOLAZIONE TOTALE DI OGNI REGIONE (CON FILTRO)]]</f>
        <v>6.1194407749047848E-5</v>
      </c>
      <c r="H306" t="str">
        <f>IF(Comuni__2[[#This Row],[Popolazione2011]]&gt;300000,"MAGGIORE","")</f>
        <v/>
      </c>
      <c r="J306">
        <v>2</v>
      </c>
      <c r="K306">
        <v>0</v>
      </c>
      <c r="L306">
        <v>0</v>
      </c>
    </row>
    <row r="307" spans="1:12" x14ac:dyDescent="0.2">
      <c r="A307"/>
      <c r="B307"/>
      <c r="C307"/>
      <c r="D307"/>
      <c r="E307" s="2">
        <f>Comuni__2[[#This Row],[Popolazione2011]]/$D$7911</f>
        <v>1.1237553383511257E-3</v>
      </c>
      <c r="F307">
        <f>SUMIFS($D$2:$D$7909, $B$2:$B$7909, "Basilicata")</f>
        <v>578036</v>
      </c>
      <c r="G307" s="1">
        <f>Comuni__2[[#This Row],[Popolazione2011]]/Comuni__2[[#This Row],[POPOLAZIONE TOTALE DI OGNI REGIONE (CON FILTRO)]]</f>
        <v>0.11552394660540174</v>
      </c>
      <c r="H307" t="str">
        <f>IF(Comuni__2[[#This Row],[Popolazione2011]]&gt;300000,"MAGGIORE","")</f>
        <v/>
      </c>
      <c r="J307">
        <v>2</v>
      </c>
      <c r="K307">
        <v>0</v>
      </c>
      <c r="L307">
        <v>0</v>
      </c>
    </row>
    <row r="308" spans="1:12" x14ac:dyDescent="0.2">
      <c r="A308"/>
      <c r="B308"/>
      <c r="C308"/>
      <c r="D308"/>
      <c r="E308" s="2">
        <f>Comuni__2[[#This Row],[Popolazione2011]]/$D$7911</f>
        <v>1.0062757268527176E-3</v>
      </c>
      <c r="F308">
        <f>SUMIFS($D$2:$D$7909, $B$2:$B$7909, "Basilicata")</f>
        <v>578036</v>
      </c>
      <c r="G308" s="1">
        <f>Comuni__2[[#This Row],[Popolazione2011]]/Comuni__2[[#This Row],[POPOLAZIONE TOTALE DI OGNI REGIONE (CON FILTRO)]]</f>
        <v>0.10344684414119536</v>
      </c>
      <c r="H308" t="str">
        <f>IF(Comuni__2[[#This Row],[Popolazione2011]]&gt;300000,"MAGGIORE","")</f>
        <v/>
      </c>
      <c r="J308">
        <v>2</v>
      </c>
      <c r="K308">
        <v>0</v>
      </c>
      <c r="L308">
        <v>0</v>
      </c>
    </row>
    <row r="309" spans="1:12" x14ac:dyDescent="0.2">
      <c r="A309"/>
      <c r="B309"/>
      <c r="C309"/>
      <c r="D309"/>
      <c r="E309" s="2">
        <f>Comuni__2[[#This Row],[Popolazione2011]]/$D$7911</f>
        <v>2.9323624557509872E-4</v>
      </c>
      <c r="F309">
        <f>SUMIFS($D$2:$D$7909, $B$2:$B$7909, "Basilicata")</f>
        <v>578036</v>
      </c>
      <c r="G309" s="1">
        <f>Comuni__2[[#This Row],[Popolazione2011]]/Comuni__2[[#This Row],[POPOLAZIONE TOTALE DI OGNI REGIONE (CON FILTRO)]]</f>
        <v>3.0145181268986708E-2</v>
      </c>
      <c r="H309" t="str">
        <f>IF(Comuni__2[[#This Row],[Popolazione2011]]&gt;300000,"MAGGIORE","")</f>
        <v/>
      </c>
      <c r="J309">
        <v>2</v>
      </c>
      <c r="K309">
        <v>0</v>
      </c>
      <c r="L309">
        <v>0</v>
      </c>
    </row>
    <row r="310" spans="1:12" x14ac:dyDescent="0.2">
      <c r="A310"/>
      <c r="B310"/>
      <c r="C310"/>
      <c r="D310"/>
      <c r="E310" s="2">
        <f>Comuni__2[[#This Row],[Popolazione2011]]/$D$7911</f>
        <v>2.9215922292277123E-4</v>
      </c>
      <c r="F310">
        <f>SUMIFS($D$2:$D$7909, $B$2:$B$7909, "Basilicata")</f>
        <v>578036</v>
      </c>
      <c r="G310" s="1">
        <f>Comuni__2[[#This Row],[Popolazione2011]]/Comuni__2[[#This Row],[POPOLAZIONE TOTALE DI OGNI REGIONE (CON FILTRO)]]</f>
        <v>3.0034461521427733E-2</v>
      </c>
      <c r="H310" t="str">
        <f>IF(Comuni__2[[#This Row],[Popolazione2011]]&gt;300000,"MAGGIORE","")</f>
        <v/>
      </c>
      <c r="J310">
        <v>3</v>
      </c>
      <c r="K310">
        <v>0</v>
      </c>
      <c r="L310">
        <v>0</v>
      </c>
    </row>
    <row r="311" spans="1:12" x14ac:dyDescent="0.2">
      <c r="A311"/>
      <c r="B311"/>
      <c r="C311"/>
      <c r="D311"/>
      <c r="E311" s="2">
        <f>Comuni__2[[#This Row],[Popolazione2011]]/$D$7911</f>
        <v>2.6885177958724688E-4</v>
      </c>
      <c r="F311">
        <f>SUMIFS($D$2:$D$7909, $B$2:$B$7909, "Basilicata")</f>
        <v>578036</v>
      </c>
      <c r="G311" s="1">
        <f>Comuni__2[[#This Row],[Popolazione2011]]/Comuni__2[[#This Row],[POPOLAZIONE TOTALE DI OGNI REGIONE (CON FILTRO)]]</f>
        <v>2.7638416984409275E-2</v>
      </c>
      <c r="H311" t="str">
        <f>IF(Comuni__2[[#This Row],[Popolazione2011]]&gt;300000,"MAGGIORE","")</f>
        <v/>
      </c>
      <c r="J311">
        <v>7</v>
      </c>
      <c r="K311">
        <v>0</v>
      </c>
      <c r="L311">
        <v>0</v>
      </c>
    </row>
    <row r="312" spans="1:12" x14ac:dyDescent="0.2">
      <c r="A312"/>
      <c r="B312"/>
      <c r="C312"/>
      <c r="D312"/>
      <c r="E312" s="2">
        <f>Comuni__2[[#This Row],[Popolazione2011]]/$D$7911</f>
        <v>2.2869902883016307E-4</v>
      </c>
      <c r="F312">
        <f>SUMIFS($D$2:$D$7909, $B$2:$B$7909, "Basilicata")</f>
        <v>578036</v>
      </c>
      <c r="G312" s="1">
        <f>Comuni__2[[#This Row],[Popolazione2011]]/Comuni__2[[#This Row],[POPOLAZIONE TOTALE DI OGNI REGIONE (CON FILTRO)]]</f>
        <v>2.3510646395726219E-2</v>
      </c>
      <c r="H312" t="str">
        <f>IF(Comuni__2[[#This Row],[Popolazione2011]]&gt;300000,"MAGGIORE","")</f>
        <v/>
      </c>
      <c r="J312">
        <v>11</v>
      </c>
      <c r="K312">
        <v>0</v>
      </c>
      <c r="L312">
        <v>0</v>
      </c>
    </row>
    <row r="313" spans="1:12" x14ac:dyDescent="0.2">
      <c r="A313"/>
      <c r="B313"/>
      <c r="C313"/>
      <c r="D313"/>
      <c r="E313" s="2">
        <f>Comuni__2[[#This Row],[Popolazione2011]]/$D$7911</f>
        <v>2.2624207090454101E-4</v>
      </c>
      <c r="F313">
        <f>SUMIFS($D$2:$D$7909, $B$2:$B$7909, "Basilicata")</f>
        <v>578036</v>
      </c>
      <c r="G313" s="1">
        <f>Comuni__2[[#This Row],[Popolazione2011]]/Comuni__2[[#This Row],[POPOLAZIONE TOTALE DI OGNI REGIONE (CON FILTRO)]]</f>
        <v>2.3258066971607306E-2</v>
      </c>
      <c r="H313" t="str">
        <f>IF(Comuni__2[[#This Row],[Popolazione2011]]&gt;300000,"MAGGIORE","")</f>
        <v/>
      </c>
      <c r="J313">
        <v>13</v>
      </c>
      <c r="K313">
        <v>0</v>
      </c>
      <c r="L313">
        <v>0</v>
      </c>
    </row>
    <row r="314" spans="1:12" x14ac:dyDescent="0.2">
      <c r="A314"/>
      <c r="B314"/>
      <c r="C314"/>
      <c r="D314"/>
      <c r="E314" s="2">
        <f>Comuni__2[[#This Row],[Popolazione2011]]/$D$7911</f>
        <v>2.2317928773698474E-4</v>
      </c>
      <c r="F314">
        <f>SUMIFS($D$2:$D$7909, $B$2:$B$7909, "Basilicata")</f>
        <v>578036</v>
      </c>
      <c r="G314" s="1">
        <f>Comuni__2[[#This Row],[Popolazione2011]]/Comuni__2[[#This Row],[POPOLAZIONE TOTALE DI OGNI REGIONE (CON FILTRO)]]</f>
        <v>2.2943207689486468E-2</v>
      </c>
      <c r="H314" t="str">
        <f>IF(Comuni__2[[#This Row],[Popolazione2011]]&gt;300000,"MAGGIORE","")</f>
        <v/>
      </c>
      <c r="J314">
        <v>13</v>
      </c>
      <c r="K314">
        <v>0</v>
      </c>
      <c r="L314">
        <v>0</v>
      </c>
    </row>
    <row r="315" spans="1:12" x14ac:dyDescent="0.2">
      <c r="A315"/>
      <c r="B315"/>
      <c r="C315"/>
      <c r="D315"/>
      <c r="E315" s="2">
        <f>Comuni__2[[#This Row],[Popolazione2011]]/$D$7911</f>
        <v>2.0638446575225311E-4</v>
      </c>
      <c r="F315">
        <f>SUMIFS($D$2:$D$7909, $B$2:$B$7909, "Basilicata")</f>
        <v>578036</v>
      </c>
      <c r="G315" s="1">
        <f>Comuni__2[[#This Row],[Popolazione2011]]/Comuni__2[[#This Row],[POPOLAZIONE TOTALE DI OGNI REGIONE (CON FILTRO)]]</f>
        <v>2.1216671625988694E-2</v>
      </c>
      <c r="H315" t="str">
        <f>IF(Comuni__2[[#This Row],[Popolazione2011]]&gt;300000,"MAGGIORE","")</f>
        <v/>
      </c>
      <c r="J315">
        <v>19</v>
      </c>
      <c r="K315">
        <v>0</v>
      </c>
      <c r="L315">
        <v>0</v>
      </c>
    </row>
    <row r="316" spans="1:12" x14ac:dyDescent="0.2">
      <c r="A316"/>
      <c r="B316"/>
      <c r="C316"/>
      <c r="D316"/>
      <c r="E316" s="2">
        <f>Comuni__2[[#This Row],[Popolazione2011]]/$D$7911</f>
        <v>2.0475210329481928E-4</v>
      </c>
      <c r="F316">
        <f>SUMIFS($D$2:$D$7909, $B$2:$B$7909, "Basilicata")</f>
        <v>578036</v>
      </c>
      <c r="G316" s="1">
        <f>Comuni__2[[#This Row],[Popolazione2011]]/Comuni__2[[#This Row],[POPOLAZIONE TOTALE DI OGNI REGIONE (CON FILTRO)]]</f>
        <v>2.104886200859462E-2</v>
      </c>
      <c r="H316" t="str">
        <f>IF(Comuni__2[[#This Row],[Popolazione2011]]&gt;300000,"MAGGIORE","")</f>
        <v/>
      </c>
      <c r="J316">
        <v>23</v>
      </c>
      <c r="K316">
        <v>0</v>
      </c>
      <c r="L316">
        <v>0</v>
      </c>
    </row>
    <row r="317" spans="1:12" x14ac:dyDescent="0.2">
      <c r="A317"/>
      <c r="B317"/>
      <c r="C317"/>
      <c r="D317"/>
      <c r="E317" s="2">
        <f>Comuni__2[[#This Row],[Popolazione2011]]/$D$7911</f>
        <v>1.9850873760710844E-4</v>
      </c>
      <c r="F317">
        <f>SUMIFS($D$2:$D$7909, $B$2:$B$7909, "Basilicata")</f>
        <v>578036</v>
      </c>
      <c r="G317" s="1">
        <f>Comuni__2[[#This Row],[Popolazione2011]]/Comuni__2[[#This Row],[POPOLAZIONE TOTALE DI OGNI REGIONE (CON FILTRO)]]</f>
        <v>2.0407033471963685E-2</v>
      </c>
      <c r="H317" t="str">
        <f>IF(Comuni__2[[#This Row],[Popolazione2011]]&gt;300000,"MAGGIORE","")</f>
        <v/>
      </c>
      <c r="J317">
        <v>27</v>
      </c>
      <c r="K317">
        <v>0</v>
      </c>
      <c r="L317">
        <v>1</v>
      </c>
    </row>
    <row r="318" spans="1:12" x14ac:dyDescent="0.2">
      <c r="A318"/>
      <c r="B318"/>
      <c r="C318"/>
      <c r="D318"/>
      <c r="E318" s="2">
        <f>Comuni__2[[#This Row],[Popolazione2011]]/$D$7911</f>
        <v>1.7000129427831548E-4</v>
      </c>
      <c r="F318">
        <f>SUMIFS($D$2:$D$7909, $B$2:$B$7909, "Basilicata")</f>
        <v>578036</v>
      </c>
      <c r="G318" s="1">
        <f>Comuni__2[[#This Row],[Popolazione2011]]/Comuni__2[[#This Row],[POPOLAZIONE TOTALE DI OGNI REGIONE (CON FILTRO)]]</f>
        <v>1.7476420153762048E-2</v>
      </c>
      <c r="H318" t="str">
        <f>IF(Comuni__2[[#This Row],[Popolazione2011]]&gt;300000,"MAGGIORE","")</f>
        <v/>
      </c>
      <c r="J318">
        <v>26</v>
      </c>
      <c r="K318">
        <v>0</v>
      </c>
      <c r="L318">
        <v>1</v>
      </c>
    </row>
    <row r="319" spans="1:12" x14ac:dyDescent="0.2">
      <c r="A319"/>
      <c r="B319"/>
      <c r="C319"/>
      <c r="D319"/>
      <c r="E319" s="2">
        <f>Comuni__2[[#This Row],[Popolazione2011]]/$D$7911</f>
        <v>1.5100194155210104E-4</v>
      </c>
      <c r="F319">
        <f>SUMIFS($D$2:$D$7909, $B$2:$B$7909, "Basilicata")</f>
        <v>578036</v>
      </c>
      <c r="G319" s="1">
        <f>Comuni__2[[#This Row],[Popolazione2011]]/Comuni__2[[#This Row],[POPOLAZIONE TOTALE DI OGNI REGIONE (CON FILTRO)]]</f>
        <v>1.5523254606979496E-2</v>
      </c>
      <c r="H319" t="str">
        <f>IF(Comuni__2[[#This Row],[Popolazione2011]]&gt;300000,"MAGGIORE","")</f>
        <v/>
      </c>
      <c r="J319">
        <v>34</v>
      </c>
      <c r="K319">
        <v>0</v>
      </c>
      <c r="L319">
        <v>1</v>
      </c>
    </row>
    <row r="320" spans="1:12" x14ac:dyDescent="0.2">
      <c r="A320"/>
      <c r="B320"/>
      <c r="C320"/>
      <c r="D320"/>
      <c r="E320" s="2">
        <f>Comuni__2[[#This Row],[Popolazione2011]]/$D$7911</f>
        <v>1.249851131068154E-4</v>
      </c>
      <c r="F320">
        <f>SUMIFS($D$2:$D$7909, $B$2:$B$7909, "Basilicata")</f>
        <v>578036</v>
      </c>
      <c r="G320" s="1">
        <f>Comuni__2[[#This Row],[Popolazione2011]]/Comuni__2[[#This Row],[POPOLAZIONE TOTALE DI OGNI REGIONE (CON FILTRO)]]</f>
        <v>1.2848680705007992E-2</v>
      </c>
      <c r="H320" t="str">
        <f>IF(Comuni__2[[#This Row],[Popolazione2011]]&gt;300000,"MAGGIORE","")</f>
        <v/>
      </c>
      <c r="J320">
        <v>38</v>
      </c>
      <c r="K320">
        <v>0</v>
      </c>
      <c r="L320">
        <v>1</v>
      </c>
    </row>
    <row r="321" spans="1:12" x14ac:dyDescent="0.2">
      <c r="A321"/>
      <c r="B321"/>
      <c r="C321"/>
      <c r="D321"/>
      <c r="E321" s="2">
        <f>Comuni__2[[#This Row],[Popolazione2011]]/$D$7911</f>
        <v>1.2069385097644809E-4</v>
      </c>
      <c r="F321">
        <f>SUMIFS($D$2:$D$7909, $B$2:$B$7909, "Basilicata")</f>
        <v>578036</v>
      </c>
      <c r="G321" s="1">
        <f>Comuni__2[[#This Row],[Popolazione2011]]/Comuni__2[[#This Row],[POPOLAZIONE TOTALE DI OGNI REGIONE (CON FILTRO)]]</f>
        <v>1.24075317108277E-2</v>
      </c>
      <c r="H321" t="str">
        <f>IF(Comuni__2[[#This Row],[Popolazione2011]]&gt;300000,"MAGGIORE","")</f>
        <v/>
      </c>
      <c r="J321">
        <v>37</v>
      </c>
      <c r="K321">
        <v>1</v>
      </c>
      <c r="L321">
        <v>3</v>
      </c>
    </row>
    <row r="322" spans="1:12" x14ac:dyDescent="0.2">
      <c r="A322"/>
      <c r="B322"/>
      <c r="C322"/>
      <c r="D322"/>
      <c r="E322" s="2">
        <f>Comuni__2[[#This Row],[Popolazione2011]]/$D$7911</f>
        <v>1.2067702249750547E-4</v>
      </c>
      <c r="F322">
        <f>SUMIFS($D$2:$D$7909, $B$2:$B$7909, "Basilicata")</f>
        <v>578036</v>
      </c>
      <c r="G322" s="1">
        <f>Comuni__2[[#This Row],[Popolazione2011]]/Comuni__2[[#This Row],[POPOLAZIONE TOTALE DI OGNI REGIONE (CON FILTRO)]]</f>
        <v>1.240580171477209E-2</v>
      </c>
      <c r="H322" t="str">
        <f>IF(Comuni__2[[#This Row],[Popolazione2011]]&gt;300000,"MAGGIORE","")</f>
        <v/>
      </c>
      <c r="J322">
        <v>45</v>
      </c>
      <c r="K322">
        <v>1</v>
      </c>
      <c r="L322">
        <v>3</v>
      </c>
    </row>
    <row r="323" spans="1:12" x14ac:dyDescent="0.2">
      <c r="A323"/>
      <c r="B323"/>
      <c r="C323"/>
      <c r="D323"/>
      <c r="E323" s="2">
        <f>Comuni__2[[#This Row],[Popolazione2011]]/$D$7911</f>
        <v>1.1993656942403033E-4</v>
      </c>
      <c r="F323">
        <f>SUMIFS($D$2:$D$7909, $B$2:$B$7909, "Basilicata")</f>
        <v>578036</v>
      </c>
      <c r="G323" s="1">
        <f>Comuni__2[[#This Row],[Popolazione2011]]/Comuni__2[[#This Row],[POPOLAZIONE TOTALE DI OGNI REGIONE (CON FILTRO)]]</f>
        <v>1.2329681888325294E-2</v>
      </c>
      <c r="H323" t="str">
        <f>IF(Comuni__2[[#This Row],[Popolazione2011]]&gt;300000,"MAGGIORE","")</f>
        <v/>
      </c>
      <c r="J323">
        <v>50</v>
      </c>
      <c r="K323">
        <v>1</v>
      </c>
      <c r="L323">
        <v>4</v>
      </c>
    </row>
    <row r="324" spans="1:12" x14ac:dyDescent="0.2">
      <c r="A324"/>
      <c r="B324"/>
      <c r="C324"/>
      <c r="D324"/>
      <c r="E324" s="2">
        <f>Comuni__2[[#This Row],[Popolazione2011]]/$D$7911</f>
        <v>1.1273398043659032E-4</v>
      </c>
      <c r="F324">
        <f>SUMIFS($D$2:$D$7909, $B$2:$B$7909, "Basilicata")</f>
        <v>578036</v>
      </c>
      <c r="G324" s="1">
        <f>Comuni__2[[#This Row],[Popolazione2011]]/Comuni__2[[#This Row],[POPOLAZIONE TOTALE DI OGNI REGIONE (CON FILTRO)]]</f>
        <v>1.1589243576524645E-2</v>
      </c>
      <c r="H324" t="str">
        <f>IF(Comuni__2[[#This Row],[Popolazione2011]]&gt;300000,"MAGGIORE","")</f>
        <v/>
      </c>
      <c r="J324">
        <v>54</v>
      </c>
      <c r="K324">
        <v>1</v>
      </c>
      <c r="L324">
        <v>5</v>
      </c>
    </row>
    <row r="325" spans="1:12" x14ac:dyDescent="0.2">
      <c r="A325"/>
      <c r="B325"/>
      <c r="C325"/>
      <c r="D325"/>
      <c r="E325" s="2">
        <f>Comuni__2[[#This Row],[Popolazione2011]]/$D$7911</f>
        <v>1.1100064710550078E-4</v>
      </c>
      <c r="F325">
        <f>SUMIFS($D$2:$D$7909, $B$2:$B$7909, "Basilicata")</f>
        <v>578036</v>
      </c>
      <c r="G325" s="1">
        <f>Comuni__2[[#This Row],[Popolazione2011]]/Comuni__2[[#This Row],[POPOLAZIONE TOTALE DI OGNI REGIONE (CON FILTRO)]]</f>
        <v>1.1411053982796919E-2</v>
      </c>
      <c r="H325" t="str">
        <f>IF(Comuni__2[[#This Row],[Popolazione2011]]&gt;300000,"MAGGIORE","")</f>
        <v/>
      </c>
      <c r="J325">
        <v>54</v>
      </c>
      <c r="K325">
        <v>3</v>
      </c>
      <c r="L325">
        <v>7</v>
      </c>
    </row>
    <row r="326" spans="1:12" x14ac:dyDescent="0.2">
      <c r="A326"/>
      <c r="B326"/>
      <c r="C326"/>
      <c r="D326"/>
      <c r="E326" s="2">
        <f>Comuni__2[[#This Row],[Popolazione2011]]/$D$7911</f>
        <v>1.0948608400066526E-4</v>
      </c>
      <c r="F326">
        <f>SUMIFS($D$2:$D$7909, $B$2:$B$7909, "Basilicata")</f>
        <v>578036</v>
      </c>
      <c r="G326" s="1">
        <f>Comuni__2[[#This Row],[Popolazione2011]]/Comuni__2[[#This Row],[POPOLAZIONE TOTALE DI OGNI REGIONE (CON FILTRO)]]</f>
        <v>1.1255354337792111E-2</v>
      </c>
      <c r="H326" t="str">
        <f>IF(Comuni__2[[#This Row],[Popolazione2011]]&gt;300000,"MAGGIORE","")</f>
        <v/>
      </c>
      <c r="J326">
        <v>54</v>
      </c>
      <c r="K326">
        <v>3</v>
      </c>
      <c r="L326">
        <v>9</v>
      </c>
    </row>
    <row r="327" spans="1:12" x14ac:dyDescent="0.2">
      <c r="A327"/>
      <c r="B327"/>
      <c r="C327"/>
      <c r="D327"/>
      <c r="E327" s="2">
        <f>Comuni__2[[#This Row],[Popolazione2011]]/$D$7911</f>
        <v>1.0231715197111048E-4</v>
      </c>
      <c r="F327">
        <f>SUMIFS($D$2:$D$7909, $B$2:$B$7909, "Basilicata")</f>
        <v>578036</v>
      </c>
      <c r="G327" s="1">
        <f>Comuni__2[[#This Row],[Popolazione2011]]/Comuni__2[[#This Row],[POPOLAZIONE TOTALE DI OGNI REGIONE (CON FILTRO)]]</f>
        <v>1.0518376018102678E-2</v>
      </c>
      <c r="H327" t="str">
        <f>IF(Comuni__2[[#This Row],[Popolazione2011]]&gt;300000,"MAGGIORE","")</f>
        <v/>
      </c>
      <c r="J327">
        <v>57</v>
      </c>
      <c r="K327">
        <v>3</v>
      </c>
      <c r="L327">
        <v>10</v>
      </c>
    </row>
    <row r="328" spans="1:12" x14ac:dyDescent="0.2">
      <c r="A328"/>
      <c r="B328"/>
      <c r="C328"/>
      <c r="D328"/>
      <c r="E328" s="2">
        <f>Comuni__2[[#This Row],[Popolazione2011]]/$D$7911</f>
        <v>9.9540452945578707E-5</v>
      </c>
      <c r="F328">
        <f>SUMIFS($D$2:$D$7909, $B$2:$B$7909, "Basilicata")</f>
        <v>578036</v>
      </c>
      <c r="G328" s="1">
        <f>Comuni__2[[#This Row],[Popolazione2011]]/Comuni__2[[#This Row],[POPOLAZIONE TOTALE DI OGNI REGIONE (CON FILTRO)]]</f>
        <v>1.0232926668927195E-2</v>
      </c>
      <c r="H328" t="str">
        <f>IF(Comuni__2[[#This Row],[Popolazione2011]]&gt;300000,"MAGGIORE","")</f>
        <v/>
      </c>
      <c r="J328">
        <v>60</v>
      </c>
      <c r="K328">
        <v>3</v>
      </c>
      <c r="L328">
        <v>11</v>
      </c>
    </row>
    <row r="329" spans="1:12" x14ac:dyDescent="0.2">
      <c r="A329"/>
      <c r="B329"/>
      <c r="C329"/>
      <c r="D329"/>
      <c r="E329" s="2">
        <f>Comuni__2[[#This Row],[Popolazione2011]]/$D$7911</f>
        <v>9.6343041946481494E-5</v>
      </c>
      <c r="F329">
        <f>SUMIFS($D$2:$D$7909, $B$2:$B$7909, "Basilicata")</f>
        <v>578036</v>
      </c>
      <c r="G329" s="1">
        <f>Comuni__2[[#This Row],[Popolazione2011]]/Comuni__2[[#This Row],[POPOLAZIONE TOTALE DI OGNI REGIONE (CON FILTRO)]]</f>
        <v>9.9042274183614859E-3</v>
      </c>
      <c r="H329" t="str">
        <f>IF(Comuni__2[[#This Row],[Popolazione2011]]&gt;300000,"MAGGIORE","")</f>
        <v/>
      </c>
      <c r="J329">
        <v>63</v>
      </c>
      <c r="K329">
        <v>9</v>
      </c>
      <c r="L329">
        <v>11</v>
      </c>
    </row>
    <row r="330" spans="1:12" x14ac:dyDescent="0.2">
      <c r="A330"/>
      <c r="B330"/>
      <c r="C330"/>
      <c r="D330"/>
      <c r="E330" s="2">
        <f>Comuni__2[[#This Row],[Popolazione2011]]/$D$7911</f>
        <v>9.5400647125694951E-5</v>
      </c>
      <c r="F330">
        <f>SUMIFS($D$2:$D$7909, $B$2:$B$7909, "Basilicata")</f>
        <v>578036</v>
      </c>
      <c r="G330" s="1">
        <f>Comuni__2[[#This Row],[Popolazione2011]]/Comuni__2[[#This Row],[POPOLAZIONE TOTALE DI OGNI REGIONE (CON FILTRO)]]</f>
        <v>9.8073476392473817E-3</v>
      </c>
      <c r="H330" t="str">
        <f>IF(Comuni__2[[#This Row],[Popolazione2011]]&gt;300000,"MAGGIORE","")</f>
        <v/>
      </c>
      <c r="J330">
        <v>64</v>
      </c>
      <c r="K330">
        <v>11</v>
      </c>
      <c r="L330">
        <v>13</v>
      </c>
    </row>
    <row r="331" spans="1:12" x14ac:dyDescent="0.2">
      <c r="A331"/>
      <c r="B331"/>
      <c r="C331"/>
      <c r="D331"/>
      <c r="E331" s="2">
        <f>Comuni__2[[#This Row],[Popolazione2011]]/$D$7911</f>
        <v>9.3700970752490654E-5</v>
      </c>
      <c r="F331">
        <f>SUMIFS($D$2:$D$7909, $B$2:$B$7909, "Basilicata")</f>
        <v>578036</v>
      </c>
      <c r="G331" s="1">
        <f>Comuni__2[[#This Row],[Popolazione2011]]/Comuni__2[[#This Row],[POPOLAZIONE TOTALE DI OGNI REGIONE (CON FILTRO)]]</f>
        <v>9.6326180376308749E-3</v>
      </c>
      <c r="H331" t="str">
        <f>IF(Comuni__2[[#This Row],[Popolazione2011]]&gt;300000,"MAGGIORE","")</f>
        <v/>
      </c>
      <c r="J331">
        <v>64</v>
      </c>
      <c r="K331">
        <v>12</v>
      </c>
      <c r="L331">
        <v>13</v>
      </c>
    </row>
    <row r="332" spans="1:12" x14ac:dyDescent="0.2">
      <c r="A332"/>
      <c r="B332"/>
      <c r="C332"/>
      <c r="D332"/>
      <c r="E332" s="2">
        <f>Comuni__2[[#This Row],[Popolazione2011]]/$D$7911</f>
        <v>9.0789643895417942E-5</v>
      </c>
      <c r="F332">
        <f>SUMIFS($D$2:$D$7909, $B$2:$B$7909, "Basilicata")</f>
        <v>578036</v>
      </c>
      <c r="G332" s="1">
        <f>Comuni__2[[#This Row],[Popolazione2011]]/Comuni__2[[#This Row],[POPOLAZIONE TOTALE DI OGNI REGIONE (CON FILTRO)]]</f>
        <v>9.3333287200105183E-3</v>
      </c>
      <c r="H332" t="str">
        <f>IF(Comuni__2[[#This Row],[Popolazione2011]]&gt;300000,"MAGGIORE","")</f>
        <v/>
      </c>
      <c r="J332">
        <v>64</v>
      </c>
      <c r="K332">
        <v>12</v>
      </c>
      <c r="L332">
        <v>14</v>
      </c>
    </row>
    <row r="333" spans="1:12" x14ac:dyDescent="0.2">
      <c r="A333"/>
      <c r="B333"/>
      <c r="C333"/>
      <c r="D333"/>
      <c r="E333" s="2">
        <f>Comuni__2[[#This Row],[Popolazione2011]]/$D$7911</f>
        <v>8.9880906032516631E-5</v>
      </c>
      <c r="F333">
        <f>SUMIFS($D$2:$D$7909, $B$2:$B$7909, "Basilicata")</f>
        <v>578036</v>
      </c>
      <c r="G333" s="1">
        <f>Comuni__2[[#This Row],[Popolazione2011]]/Comuni__2[[#This Row],[POPOLAZIONE TOTALE DI OGNI REGIONE (CON FILTRO)]]</f>
        <v>9.2399089330076328E-3</v>
      </c>
      <c r="H333" t="str">
        <f>IF(Comuni__2[[#This Row],[Popolazione2011]]&gt;300000,"MAGGIORE","")</f>
        <v/>
      </c>
      <c r="J333">
        <v>65</v>
      </c>
      <c r="K333">
        <v>13</v>
      </c>
      <c r="L333">
        <v>14</v>
      </c>
    </row>
    <row r="334" spans="1:12" x14ac:dyDescent="0.2">
      <c r="A334"/>
      <c r="B334"/>
      <c r="C334"/>
      <c r="D334"/>
      <c r="E334" s="2">
        <f>Comuni__2[[#This Row],[Popolazione2011]]/$D$7911</f>
        <v>8.8181229659312321E-5</v>
      </c>
      <c r="F334">
        <f>SUMIFS($D$2:$D$7909, $B$2:$B$7909, "Basilicata")</f>
        <v>578036</v>
      </c>
      <c r="G334" s="1">
        <f>Comuni__2[[#This Row],[Popolazione2011]]/Comuni__2[[#This Row],[POPOLAZIONE TOTALE DI OGNI REGIONE (CON FILTRO)]]</f>
        <v>9.0651793313911242E-3</v>
      </c>
      <c r="H334" t="str">
        <f>IF(Comuni__2[[#This Row],[Popolazione2011]]&gt;300000,"MAGGIORE","")</f>
        <v/>
      </c>
      <c r="J334">
        <v>67</v>
      </c>
      <c r="K334">
        <v>13</v>
      </c>
      <c r="L334">
        <v>15</v>
      </c>
    </row>
    <row r="335" spans="1:12" x14ac:dyDescent="0.2">
      <c r="A335"/>
      <c r="B335"/>
      <c r="C335"/>
      <c r="D335"/>
      <c r="E335" s="2">
        <f>Comuni__2[[#This Row],[Popolazione2011]]/$D$7911</f>
        <v>8.6683495033419418E-5</v>
      </c>
      <c r="F335">
        <f>SUMIFS($D$2:$D$7909, $B$2:$B$7909, "Basilicata")</f>
        <v>578036</v>
      </c>
      <c r="G335" s="1">
        <f>Comuni__2[[#This Row],[Popolazione2011]]/Comuni__2[[#This Row],[POPOLAZIONE TOTALE DI OGNI REGIONE (CON FILTRO)]]</f>
        <v>8.9112096824419239E-3</v>
      </c>
      <c r="H335" t="str">
        <f>IF(Comuni__2[[#This Row],[Popolazione2011]]&gt;300000,"MAGGIORE","")</f>
        <v/>
      </c>
      <c r="J335">
        <v>74</v>
      </c>
      <c r="K335">
        <v>14</v>
      </c>
      <c r="L335">
        <v>15</v>
      </c>
    </row>
    <row r="336" spans="1:12" x14ac:dyDescent="0.2">
      <c r="A336"/>
      <c r="B336"/>
      <c r="C336"/>
      <c r="D336"/>
      <c r="E336" s="2">
        <f>Comuni__2[[#This Row],[Popolazione2011]]/$D$7911</f>
        <v>8.6666666554476802E-5</v>
      </c>
      <c r="F336">
        <f>SUMIFS($D$2:$D$7909, $B$2:$B$7909, "Basilicata")</f>
        <v>578036</v>
      </c>
      <c r="G336" s="1">
        <f>Comuni__2[[#This Row],[Popolazione2011]]/Comuni__2[[#This Row],[POPOLAZIONE TOTALE DI OGNI REGIONE (CON FILTRO)]]</f>
        <v>8.9094796863863155E-3</v>
      </c>
      <c r="H336" t="str">
        <f>IF(Comuni__2[[#This Row],[Popolazione2011]]&gt;300000,"MAGGIORE","")</f>
        <v/>
      </c>
      <c r="J336">
        <v>72</v>
      </c>
      <c r="K336">
        <v>14</v>
      </c>
      <c r="L336">
        <v>17</v>
      </c>
    </row>
    <row r="337" spans="1:12" x14ac:dyDescent="0.2">
      <c r="A337"/>
      <c r="B337"/>
      <c r="C337"/>
      <c r="D337"/>
      <c r="E337" s="2">
        <f>Comuni__2[[#This Row],[Popolazione2011]]/$D$7911</f>
        <v>8.5825242607345968E-5</v>
      </c>
      <c r="F337">
        <f>SUMIFS($D$2:$D$7909, $B$2:$B$7909, "Basilicata")</f>
        <v>578036</v>
      </c>
      <c r="G337" s="1">
        <f>Comuni__2[[#This Row],[Popolazione2011]]/Comuni__2[[#This Row],[POPOLAZIONE TOTALE DI OGNI REGIONE (CON FILTRO)]]</f>
        <v>8.8229798836058655E-3</v>
      </c>
      <c r="H337" t="str">
        <f>IF(Comuni__2[[#This Row],[Popolazione2011]]&gt;300000,"MAGGIORE","")</f>
        <v/>
      </c>
      <c r="J337">
        <v>73</v>
      </c>
      <c r="K337">
        <v>20</v>
      </c>
      <c r="L337">
        <v>18</v>
      </c>
    </row>
    <row r="338" spans="1:12" x14ac:dyDescent="0.2">
      <c r="A338"/>
      <c r="B338"/>
      <c r="C338"/>
      <c r="D338"/>
      <c r="E338" s="2">
        <f>Comuni__2[[#This Row],[Popolazione2011]]/$D$7911</f>
        <v>8.4596763644534937E-5</v>
      </c>
      <c r="F338">
        <f>SUMIFS($D$2:$D$7909, $B$2:$B$7909, "Basilicata")</f>
        <v>578036</v>
      </c>
      <c r="G338" s="1">
        <f>Comuni__2[[#This Row],[Popolazione2011]]/Comuni__2[[#This Row],[POPOLAZIONE TOTALE DI OGNI REGIONE (CON FILTRO)]]</f>
        <v>8.696690171546409E-3</v>
      </c>
      <c r="H338" t="str">
        <f>IF(Comuni__2[[#This Row],[Popolazione2011]]&gt;300000,"MAGGIORE","")</f>
        <v/>
      </c>
      <c r="J338">
        <v>76</v>
      </c>
      <c r="K338">
        <v>31</v>
      </c>
      <c r="L338">
        <v>18</v>
      </c>
    </row>
    <row r="339" spans="1:12" x14ac:dyDescent="0.2">
      <c r="A339"/>
      <c r="B339"/>
      <c r="C339"/>
      <c r="D339"/>
      <c r="E339" s="2">
        <f>Comuni__2[[#This Row],[Popolazione2011]]/$D$7911</f>
        <v>7.9901618019544835E-5</v>
      </c>
      <c r="F339">
        <f>SUMIFS($D$2:$D$7909, $B$2:$B$7909, "Basilicata")</f>
        <v>578036</v>
      </c>
      <c r="G339" s="1">
        <f>Comuni__2[[#This Row],[Popolazione2011]]/Comuni__2[[#This Row],[POPOLAZIONE TOTALE DI OGNI REGIONE (CON FILTRO)]]</f>
        <v>8.2140212720314999E-3</v>
      </c>
      <c r="H339" t="str">
        <f>IF(Comuni__2[[#This Row],[Popolazione2011]]&gt;300000,"MAGGIORE","")</f>
        <v/>
      </c>
      <c r="J339">
        <v>74</v>
      </c>
      <c r="K339">
        <v>35</v>
      </c>
      <c r="L339">
        <v>19</v>
      </c>
    </row>
    <row r="340" spans="1:12" x14ac:dyDescent="0.2">
      <c r="A340"/>
      <c r="B340"/>
      <c r="C340"/>
      <c r="D340"/>
      <c r="E340" s="2">
        <f>Comuni__2[[#This Row],[Popolazione2011]]/$D$7911</f>
        <v>7.8841423846159965E-5</v>
      </c>
      <c r="F340">
        <f>SUMIFS($D$2:$D$7909, $B$2:$B$7909, "Basilicata")</f>
        <v>578036</v>
      </c>
      <c r="G340" s="1">
        <f>Comuni__2[[#This Row],[Popolazione2011]]/Comuni__2[[#This Row],[POPOLAZIONE TOTALE DI OGNI REGIONE (CON FILTRO)]]</f>
        <v>8.1050315205281331E-3</v>
      </c>
      <c r="H340" t="str">
        <f>IF(Comuni__2[[#This Row],[Popolazione2011]]&gt;300000,"MAGGIORE","")</f>
        <v/>
      </c>
      <c r="J340">
        <v>72</v>
      </c>
      <c r="K340">
        <v>38</v>
      </c>
      <c r="L340">
        <v>21</v>
      </c>
    </row>
    <row r="341" spans="1:12" x14ac:dyDescent="0.2">
      <c r="A341"/>
      <c r="B341"/>
      <c r="C341"/>
      <c r="D341"/>
      <c r="E341" s="2">
        <f>Comuni__2[[#This Row],[Popolazione2011]]/$D$7911</f>
        <v>7.4550161715792676E-5</v>
      </c>
      <c r="F341">
        <f>SUMIFS($D$2:$D$7909, $B$2:$B$7909, "Basilicata")</f>
        <v>578036</v>
      </c>
      <c r="G341" s="1">
        <f>Comuni__2[[#This Row],[Popolazione2011]]/Comuni__2[[#This Row],[POPOLAZIONE TOTALE DI OGNI REGIONE (CON FILTRO)]]</f>
        <v>7.6638825263478398E-3</v>
      </c>
      <c r="H341" t="str">
        <f>IF(Comuni__2[[#This Row],[Popolazione2011]]&gt;300000,"MAGGIORE","")</f>
        <v/>
      </c>
      <c r="J341">
        <v>69</v>
      </c>
      <c r="K341">
        <v>41</v>
      </c>
      <c r="L341">
        <v>22</v>
      </c>
    </row>
    <row r="342" spans="1:12" x14ac:dyDescent="0.2">
      <c r="A342"/>
      <c r="B342"/>
      <c r="C342"/>
      <c r="D342"/>
      <c r="E342" s="2">
        <f>Comuni__2[[#This Row],[Popolazione2011]]/$D$7911</f>
        <v>7.3338511231924261E-5</v>
      </c>
      <c r="F342">
        <f>SUMIFS($D$2:$D$7909, $B$2:$B$7909, "Basilicata")</f>
        <v>578036</v>
      </c>
      <c r="G342" s="1">
        <f>Comuni__2[[#This Row],[Popolazione2011]]/Comuni__2[[#This Row],[POPOLAZIONE TOTALE DI OGNI REGIONE (CON FILTRO)]]</f>
        <v>7.5393228103439926E-3</v>
      </c>
      <c r="H342" t="str">
        <f>IF(Comuni__2[[#This Row],[Popolazione2011]]&gt;300000,"MAGGIORE","")</f>
        <v/>
      </c>
      <c r="J342">
        <v>68</v>
      </c>
      <c r="K342">
        <v>49</v>
      </c>
      <c r="L342">
        <v>22</v>
      </c>
    </row>
    <row r="343" spans="1:12" x14ac:dyDescent="0.2">
      <c r="A343"/>
      <c r="B343"/>
      <c r="C343"/>
      <c r="D343"/>
      <c r="E343" s="2">
        <f>Comuni__2[[#This Row],[Popolazione2011]]/$D$7911</f>
        <v>7.2059546832285381E-5</v>
      </c>
      <c r="F343">
        <f>SUMIFS($D$2:$D$7909, $B$2:$B$7909, "Basilicata")</f>
        <v>578036</v>
      </c>
      <c r="G343" s="1">
        <f>Comuni__2[[#This Row],[Popolazione2011]]/Comuni__2[[#This Row],[POPOLAZIONE TOTALE DI OGNI REGIONE (CON FILTRO)]]</f>
        <v>7.4078431101177091E-3</v>
      </c>
      <c r="H343" t="str">
        <f>IF(Comuni__2[[#This Row],[Popolazione2011]]&gt;300000,"MAGGIORE","")</f>
        <v/>
      </c>
      <c r="J343">
        <v>68</v>
      </c>
      <c r="K343">
        <v>54</v>
      </c>
      <c r="L343">
        <v>23</v>
      </c>
    </row>
    <row r="344" spans="1:12" x14ac:dyDescent="0.2">
      <c r="A344"/>
      <c r="B344"/>
      <c r="C344"/>
      <c r="D344"/>
      <c r="E344" s="2">
        <f>Comuni__2[[#This Row],[Popolazione2011]]/$D$7911</f>
        <v>7.1807119648146126E-5</v>
      </c>
      <c r="F344">
        <f>SUMIFS($D$2:$D$7909, $B$2:$B$7909, "Basilicata")</f>
        <v>578036</v>
      </c>
      <c r="G344" s="1">
        <f>Comuni__2[[#This Row],[Popolazione2011]]/Comuni__2[[#This Row],[POPOLAZIONE TOTALE DI OGNI REGIONE (CON FILTRO)]]</f>
        <v>7.3818931692835738E-3</v>
      </c>
      <c r="H344" t="str">
        <f>IF(Comuni__2[[#This Row],[Popolazione2011]]&gt;300000,"MAGGIORE","")</f>
        <v/>
      </c>
      <c r="J344">
        <v>67</v>
      </c>
      <c r="K344">
        <v>71</v>
      </c>
      <c r="L344">
        <v>24</v>
      </c>
    </row>
    <row r="345" spans="1:12" x14ac:dyDescent="0.2">
      <c r="A345"/>
      <c r="B345"/>
      <c r="C345"/>
      <c r="D345"/>
      <c r="E345" s="2">
        <f>Comuni__2[[#This Row],[Popolazione2011]]/$D$7911</f>
        <v>7.1319093758810231E-5</v>
      </c>
      <c r="F345">
        <f>SUMIFS($D$2:$D$7909, $B$2:$B$7909, "Basilicata")</f>
        <v>578036</v>
      </c>
      <c r="G345" s="1">
        <f>Comuni__2[[#This Row],[Popolazione2011]]/Comuni__2[[#This Row],[POPOLAZIONE TOTALE DI OGNI REGIONE (CON FILTRO)]]</f>
        <v>7.3317232836709132E-3</v>
      </c>
      <c r="H345" t="str">
        <f>IF(Comuni__2[[#This Row],[Popolazione2011]]&gt;300000,"MAGGIORE","")</f>
        <v/>
      </c>
      <c r="J345">
        <v>66</v>
      </c>
      <c r="K345">
        <v>76</v>
      </c>
      <c r="L345">
        <v>24</v>
      </c>
    </row>
    <row r="346" spans="1:12" x14ac:dyDescent="0.2">
      <c r="A346"/>
      <c r="B346"/>
      <c r="C346"/>
      <c r="D346"/>
      <c r="E346" s="2">
        <f>Comuni__2[[#This Row],[Popolazione2011]]/$D$7911</f>
        <v>7.0376698938023687E-5</v>
      </c>
      <c r="F346">
        <f>SUMIFS($D$2:$D$7909, $B$2:$B$7909, "Basilicata")</f>
        <v>578036</v>
      </c>
      <c r="G346" s="1">
        <f>Comuni__2[[#This Row],[Popolazione2011]]/Comuni__2[[#This Row],[POPOLAZIONE TOTALE DI OGNI REGIONE (CON FILTRO)]]</f>
        <v>7.2348435045568099E-3</v>
      </c>
      <c r="H346" t="str">
        <f>IF(Comuni__2[[#This Row],[Popolazione2011]]&gt;300000,"MAGGIORE","")</f>
        <v/>
      </c>
      <c r="J346">
        <v>71</v>
      </c>
      <c r="K346">
        <v>81</v>
      </c>
      <c r="L346">
        <v>24</v>
      </c>
    </row>
    <row r="347" spans="1:12" x14ac:dyDescent="0.2">
      <c r="A347"/>
      <c r="B347"/>
      <c r="C347"/>
      <c r="D347"/>
      <c r="E347" s="2">
        <f>Comuni__2[[#This Row],[Popolazione2011]]/$D$7911</f>
        <v>6.8693851043762007E-5</v>
      </c>
      <c r="F347">
        <f>SUMIFS($D$2:$D$7909, $B$2:$B$7909, "Basilicata")</f>
        <v>578036</v>
      </c>
      <c r="G347" s="1">
        <f>Comuni__2[[#This Row],[Popolazione2011]]/Comuni__2[[#This Row],[POPOLAZIONE TOTALE DI OGNI REGIONE (CON FILTRO)]]</f>
        <v>7.0618438989959106E-3</v>
      </c>
      <c r="H347" t="str">
        <f>IF(Comuni__2[[#This Row],[Popolazione2011]]&gt;300000,"MAGGIORE","")</f>
        <v/>
      </c>
      <c r="J347">
        <v>72</v>
      </c>
      <c r="K347">
        <v>98</v>
      </c>
      <c r="L347">
        <v>24</v>
      </c>
    </row>
    <row r="348" spans="1:12" x14ac:dyDescent="0.2">
      <c r="A348"/>
      <c r="B348"/>
      <c r="C348"/>
      <c r="D348"/>
      <c r="E348" s="2">
        <f>Comuni__2[[#This Row],[Popolazione2011]]/$D$7911</f>
        <v>6.5008414155328913E-5</v>
      </c>
      <c r="F348">
        <f>SUMIFS($D$2:$D$7909, $B$2:$B$7909, "Basilicata")</f>
        <v>578036</v>
      </c>
      <c r="G348" s="1">
        <f>Comuni__2[[#This Row],[Popolazione2011]]/Comuni__2[[#This Row],[POPOLAZIONE TOTALE DI OGNI REGIONE (CON FILTRO)]]</f>
        <v>6.6829747628175404E-3</v>
      </c>
      <c r="H348" t="str">
        <f>IF(Comuni__2[[#This Row],[Popolazione2011]]&gt;300000,"MAGGIORE","")</f>
        <v/>
      </c>
      <c r="J348">
        <v>68</v>
      </c>
      <c r="K348">
        <v>103</v>
      </c>
      <c r="L348">
        <v>24</v>
      </c>
    </row>
    <row r="349" spans="1:12" x14ac:dyDescent="0.2">
      <c r="A349"/>
      <c r="B349"/>
      <c r="C349"/>
      <c r="D349"/>
      <c r="E349" s="2">
        <f>Comuni__2[[#This Row],[Popolazione2011]]/$D$7911</f>
        <v>6.4957928718501064E-5</v>
      </c>
      <c r="F349">
        <f>SUMIFS($D$2:$D$7909, $B$2:$B$7909, "Basilicata")</f>
        <v>578036</v>
      </c>
      <c r="G349" s="1">
        <f>Comuni__2[[#This Row],[Popolazione2011]]/Comuni__2[[#This Row],[POPOLAZIONE TOTALE DI OGNI REGIONE (CON FILTRO)]]</f>
        <v>6.6777847746507142E-3</v>
      </c>
      <c r="H349" t="str">
        <f>IF(Comuni__2[[#This Row],[Popolazione2011]]&gt;300000,"MAGGIORE","")</f>
        <v/>
      </c>
      <c r="J349">
        <v>66</v>
      </c>
      <c r="K349">
        <v>107</v>
      </c>
      <c r="L349">
        <v>24</v>
      </c>
    </row>
    <row r="350" spans="1:12" x14ac:dyDescent="0.2">
      <c r="A350"/>
      <c r="B350"/>
      <c r="C350"/>
      <c r="D350"/>
      <c r="E350" s="2">
        <f>Comuni__2[[#This Row],[Popolazione2011]]/$D$7911</f>
        <v>5.9606472414748906E-5</v>
      </c>
      <c r="F350">
        <f>SUMIFS($D$2:$D$7909, $B$2:$B$7909, "Basilicata")</f>
        <v>578036</v>
      </c>
      <c r="G350" s="1">
        <f>Comuni__2[[#This Row],[Popolazione2011]]/Comuni__2[[#This Row],[POPOLAZIONE TOTALE DI OGNI REGIONE (CON FILTRO)]]</f>
        <v>6.1276460289670541E-3</v>
      </c>
      <c r="H350" t="str">
        <f>IF(Comuni__2[[#This Row],[Popolazione2011]]&gt;300000,"MAGGIORE","")</f>
        <v/>
      </c>
      <c r="J350">
        <v>65</v>
      </c>
      <c r="K350">
        <v>118</v>
      </c>
      <c r="L350">
        <v>25</v>
      </c>
    </row>
    <row r="351" spans="1:12" x14ac:dyDescent="0.2">
      <c r="A351"/>
      <c r="B351"/>
      <c r="C351"/>
      <c r="D351"/>
      <c r="E351" s="2">
        <f>Comuni__2[[#This Row],[Popolazione2011]]/$D$7911</f>
        <v>5.9219417399068715E-5</v>
      </c>
      <c r="F351">
        <f>SUMIFS($D$2:$D$7909, $B$2:$B$7909, "Basilicata")</f>
        <v>578036</v>
      </c>
      <c r="G351" s="1">
        <f>Comuni__2[[#This Row],[Popolazione2011]]/Comuni__2[[#This Row],[POPOLAZIONE TOTALE DI OGNI REGIONE (CON FILTRO)]]</f>
        <v>6.0878561196880468E-3</v>
      </c>
      <c r="H351" t="str">
        <f>IF(Comuni__2[[#This Row],[Popolazione2011]]&gt;300000,"MAGGIORE","")</f>
        <v/>
      </c>
      <c r="J351">
        <v>64</v>
      </c>
      <c r="K351">
        <v>122</v>
      </c>
      <c r="L351">
        <v>25</v>
      </c>
    </row>
    <row r="352" spans="1:12" x14ac:dyDescent="0.2">
      <c r="A352"/>
      <c r="B352"/>
      <c r="C352"/>
      <c r="D352"/>
      <c r="E352" s="2">
        <f>Comuni__2[[#This Row],[Popolazione2011]]/$D$7911</f>
        <v>5.7603883420577499E-5</v>
      </c>
      <c r="F352">
        <f>SUMIFS($D$2:$D$7909, $B$2:$B$7909, "Basilicata")</f>
        <v>578036</v>
      </c>
      <c r="G352" s="1">
        <f>Comuni__2[[#This Row],[Popolazione2011]]/Comuni__2[[#This Row],[POPOLAZIONE TOTALE DI OGNI REGIONE (CON FILTRO)]]</f>
        <v>5.9217764983495839E-3</v>
      </c>
      <c r="H352" t="str">
        <f>IF(Comuni__2[[#This Row],[Popolazione2011]]&gt;300000,"MAGGIORE","")</f>
        <v/>
      </c>
      <c r="J352">
        <v>64</v>
      </c>
      <c r="K352">
        <v>124</v>
      </c>
      <c r="L352">
        <v>25</v>
      </c>
    </row>
    <row r="353" spans="1:12" x14ac:dyDescent="0.2">
      <c r="A353"/>
      <c r="B353"/>
      <c r="C353"/>
      <c r="D353"/>
      <c r="E353" s="2">
        <f>Comuni__2[[#This Row],[Popolazione2011]]/$D$7911</f>
        <v>5.6560517726135252E-5</v>
      </c>
      <c r="F353">
        <f>SUMIFS($D$2:$D$7909, $B$2:$B$7909, "Basilicata")</f>
        <v>578036</v>
      </c>
      <c r="G353" s="1">
        <f>Comuni__2[[#This Row],[Popolazione2011]]/Comuni__2[[#This Row],[POPOLAZIONE TOTALE DI OGNI REGIONE (CON FILTRO)]]</f>
        <v>5.8145167429018265E-3</v>
      </c>
      <c r="H353" t="str">
        <f>IF(Comuni__2[[#This Row],[Popolazione2011]]&gt;300000,"MAGGIORE","")</f>
        <v/>
      </c>
      <c r="J353">
        <v>63</v>
      </c>
      <c r="K353">
        <v>136</v>
      </c>
      <c r="L353">
        <v>25</v>
      </c>
    </row>
    <row r="354" spans="1:12" x14ac:dyDescent="0.2">
      <c r="A354"/>
      <c r="B354"/>
      <c r="C354"/>
      <c r="D354"/>
      <c r="E354" s="2">
        <f>Comuni__2[[#This Row],[Popolazione2011]]/$D$7911</f>
        <v>5.3312621290210197E-5</v>
      </c>
      <c r="F354">
        <f>SUMIFS($D$2:$D$7909, $B$2:$B$7909, "Basilicata")</f>
        <v>578036</v>
      </c>
      <c r="G354" s="1">
        <f>Comuni__2[[#This Row],[Popolazione2011]]/Comuni__2[[#This Row],[POPOLAZIONE TOTALE DI OGNI REGIONE (CON FILTRO)]]</f>
        <v>5.4806275041692906E-3</v>
      </c>
      <c r="H354" t="str">
        <f>IF(Comuni__2[[#This Row],[Popolazione2011]]&gt;300000,"MAGGIORE","")</f>
        <v/>
      </c>
      <c r="J354">
        <v>55</v>
      </c>
      <c r="K354">
        <v>147</v>
      </c>
      <c r="L354">
        <v>25</v>
      </c>
    </row>
    <row r="355" spans="1:12" x14ac:dyDescent="0.2">
      <c r="A355"/>
      <c r="B355"/>
      <c r="C355"/>
      <c r="D355"/>
      <c r="E355" s="2">
        <f>Comuni__2[[#This Row],[Popolazione2011]]/$D$7911</f>
        <v>5.3093851063956181E-5</v>
      </c>
      <c r="F355">
        <f>SUMIFS($D$2:$D$7909, $B$2:$B$7909, "Basilicata")</f>
        <v>578036</v>
      </c>
      <c r="G355" s="1">
        <f>Comuni__2[[#This Row],[Popolazione2011]]/Comuni__2[[#This Row],[POPOLAZIONE TOTALE DI OGNI REGIONE (CON FILTRO)]]</f>
        <v>5.4581375554463738E-3</v>
      </c>
      <c r="H355" t="str">
        <f>IF(Comuni__2[[#This Row],[Popolazione2011]]&gt;300000,"MAGGIORE","")</f>
        <v/>
      </c>
      <c r="J355">
        <v>53</v>
      </c>
      <c r="K355">
        <v>150</v>
      </c>
      <c r="L355">
        <v>25</v>
      </c>
    </row>
    <row r="356" spans="1:12" x14ac:dyDescent="0.2">
      <c r="A356"/>
      <c r="B356"/>
      <c r="C356"/>
      <c r="D356"/>
      <c r="E356" s="2">
        <f>Comuni__2[[#This Row],[Popolazione2011]]/$D$7911</f>
        <v>5.2572168216735061E-5</v>
      </c>
      <c r="F356">
        <f>SUMIFS($D$2:$D$7909, $B$2:$B$7909, "Basilicata")</f>
        <v>578036</v>
      </c>
      <c r="G356" s="1">
        <f>Comuni__2[[#This Row],[Popolazione2011]]/Comuni__2[[#This Row],[POPOLAZIONE TOTALE DI OGNI REGIONE (CON FILTRO)]]</f>
        <v>5.4045076777224947E-3</v>
      </c>
      <c r="H356" t="str">
        <f>IF(Comuni__2[[#This Row],[Popolazione2011]]&gt;300000,"MAGGIORE","")</f>
        <v/>
      </c>
      <c r="J356">
        <v>53</v>
      </c>
      <c r="K356">
        <v>160</v>
      </c>
      <c r="L356">
        <v>25</v>
      </c>
    </row>
    <row r="357" spans="1:12" x14ac:dyDescent="0.2">
      <c r="A357"/>
      <c r="B357"/>
      <c r="C357"/>
      <c r="D357"/>
      <c r="E357" s="2">
        <f>Comuni__2[[#This Row],[Popolazione2011]]/$D$7911</f>
        <v>5.2538511258849822E-5</v>
      </c>
      <c r="F357">
        <f>SUMIFS($D$2:$D$7909, $B$2:$B$7909, "Basilicata")</f>
        <v>578036</v>
      </c>
      <c r="G357" s="1">
        <f>Comuni__2[[#This Row],[Popolazione2011]]/Comuni__2[[#This Row],[POPOLAZIONE TOTALE DI OGNI REGIONE (CON FILTRO)]]</f>
        <v>5.4010476856112769E-3</v>
      </c>
      <c r="H357" t="str">
        <f>IF(Comuni__2[[#This Row],[Popolazione2011]]&gt;300000,"MAGGIORE","")</f>
        <v/>
      </c>
      <c r="J357">
        <v>52</v>
      </c>
      <c r="K357">
        <v>164</v>
      </c>
      <c r="L357">
        <v>25</v>
      </c>
    </row>
    <row r="358" spans="1:12" x14ac:dyDescent="0.2">
      <c r="A358"/>
      <c r="B358"/>
      <c r="C358"/>
      <c r="D358"/>
      <c r="E358" s="2">
        <f>Comuni__2[[#This Row],[Popolazione2011]]/$D$7911</f>
        <v>5.1983171453743469E-5</v>
      </c>
      <c r="F358">
        <f>SUMIFS($D$2:$D$7909, $B$2:$B$7909, "Basilicata")</f>
        <v>578036</v>
      </c>
      <c r="G358" s="1">
        <f>Comuni__2[[#This Row],[Popolazione2011]]/Comuni__2[[#This Row],[POPOLAZIONE TOTALE DI OGNI REGIONE (CON FILTRO)]]</f>
        <v>5.34395781577618E-3</v>
      </c>
      <c r="H358" t="str">
        <f>IF(Comuni__2[[#This Row],[Popolazione2011]]&gt;300000,"MAGGIORE","")</f>
        <v/>
      </c>
      <c r="J358">
        <v>51</v>
      </c>
      <c r="K358">
        <v>167</v>
      </c>
      <c r="L358">
        <v>25</v>
      </c>
    </row>
    <row r="359" spans="1:12" x14ac:dyDescent="0.2">
      <c r="A359"/>
      <c r="B359"/>
      <c r="C359"/>
      <c r="D359"/>
      <c r="E359" s="2">
        <f>Comuni__2[[#This Row],[Popolazione2011]]/$D$7911</f>
        <v>4.9374757217637854E-5</v>
      </c>
      <c r="F359">
        <f>SUMIFS($D$2:$D$7909, $B$2:$B$7909, "Basilicata")</f>
        <v>578036</v>
      </c>
      <c r="G359" s="1">
        <f>Comuni__2[[#This Row],[Popolazione2011]]/Comuni__2[[#This Row],[POPOLAZIONE TOTALE DI OGNI REGIONE (CON FILTRO)]]</f>
        <v>5.0758084271567859E-3</v>
      </c>
      <c r="H359" t="str">
        <f>IF(Comuni__2[[#This Row],[Popolazione2011]]&gt;300000,"MAGGIORE","")</f>
        <v/>
      </c>
      <c r="J359">
        <v>53</v>
      </c>
      <c r="K359">
        <v>188</v>
      </c>
      <c r="L359">
        <v>25</v>
      </c>
    </row>
    <row r="360" spans="1:12" x14ac:dyDescent="0.2">
      <c r="A360"/>
      <c r="B360"/>
      <c r="C360"/>
      <c r="D360"/>
      <c r="E360" s="2">
        <f>Comuni__2[[#This Row],[Popolazione2011]]/$D$7911</f>
        <v>4.9088673075613367E-5</v>
      </c>
      <c r="F360">
        <f>SUMIFS($D$2:$D$7909, $B$2:$B$7909, "Basilicata")</f>
        <v>578036</v>
      </c>
      <c r="G360" s="1">
        <f>Comuni__2[[#This Row],[Popolazione2011]]/Comuni__2[[#This Row],[POPOLAZIONE TOTALE DI OGNI REGIONE (CON FILTRO)]]</f>
        <v>5.0463984942114336E-3</v>
      </c>
      <c r="H360" t="str">
        <f>IF(Comuni__2[[#This Row],[Popolazione2011]]&gt;300000,"MAGGIORE","")</f>
        <v/>
      </c>
      <c r="J360">
        <v>53</v>
      </c>
      <c r="K360">
        <v>194</v>
      </c>
      <c r="L360">
        <v>25</v>
      </c>
    </row>
    <row r="361" spans="1:12" x14ac:dyDescent="0.2">
      <c r="A361"/>
      <c r="B361"/>
      <c r="C361"/>
      <c r="D361"/>
      <c r="E361" s="2">
        <f>Comuni__2[[#This Row],[Popolazione2011]]/$D$7911</f>
        <v>4.8886731328301966E-5</v>
      </c>
      <c r="F361">
        <f>SUMIFS($D$2:$D$7909, $B$2:$B$7909, "Basilicata")</f>
        <v>578036</v>
      </c>
      <c r="G361" s="1">
        <f>Comuni__2[[#This Row],[Popolazione2011]]/Comuni__2[[#This Row],[POPOLAZIONE TOTALE DI OGNI REGIONE (CON FILTRO)]]</f>
        <v>5.0256385415441253E-3</v>
      </c>
      <c r="H361" t="str">
        <f>IF(Comuni__2[[#This Row],[Popolazione2011]]&gt;300000,"MAGGIORE","")</f>
        <v/>
      </c>
      <c r="J361">
        <v>50</v>
      </c>
      <c r="K361">
        <v>202</v>
      </c>
      <c r="L361">
        <v>25</v>
      </c>
    </row>
    <row r="362" spans="1:12" x14ac:dyDescent="0.2">
      <c r="A362"/>
      <c r="B362"/>
      <c r="C362"/>
      <c r="D362"/>
      <c r="E362" s="2">
        <f>Comuni__2[[#This Row],[Popolazione2011]]/$D$7911</f>
        <v>4.7843365633859719E-5</v>
      </c>
      <c r="F362">
        <f>SUMIFS($D$2:$D$7909, $B$2:$B$7909, "Basilicata")</f>
        <v>578036</v>
      </c>
      <c r="G362" s="1">
        <f>Comuni__2[[#This Row],[Popolazione2011]]/Comuni__2[[#This Row],[POPOLAZIONE TOTALE DI OGNI REGIONE (CON FILTRO)]]</f>
        <v>4.9183787860963678E-3</v>
      </c>
      <c r="H362" t="str">
        <f>IF(Comuni__2[[#This Row],[Popolazione2011]]&gt;300000,"MAGGIORE","")</f>
        <v/>
      </c>
      <c r="J362">
        <v>50</v>
      </c>
      <c r="K362">
        <v>202</v>
      </c>
      <c r="L362">
        <v>26</v>
      </c>
    </row>
    <row r="363" spans="1:12" x14ac:dyDescent="0.2">
      <c r="A363"/>
      <c r="B363"/>
      <c r="C363"/>
      <c r="D363"/>
      <c r="E363" s="2">
        <f>Comuni__2[[#This Row],[Popolazione2011]]/$D$7911</f>
        <v>4.5554692497663831E-5</v>
      </c>
      <c r="F363">
        <f>SUMIFS($D$2:$D$7909, $B$2:$B$7909, "Basilicata")</f>
        <v>578036</v>
      </c>
      <c r="G363" s="1">
        <f>Comuni__2[[#This Row],[Popolazione2011]]/Comuni__2[[#This Row],[POPOLAZIONE TOTALE DI OGNI REGIONE (CON FILTRO)]]</f>
        <v>4.6830993225335446E-3</v>
      </c>
      <c r="H363" t="str">
        <f>IF(Comuni__2[[#This Row],[Popolazione2011]]&gt;300000,"MAGGIORE","")</f>
        <v/>
      </c>
      <c r="J363">
        <v>50</v>
      </c>
      <c r="K363">
        <v>204</v>
      </c>
      <c r="L363">
        <v>26</v>
      </c>
    </row>
    <row r="364" spans="1:12" x14ac:dyDescent="0.2">
      <c r="A364"/>
      <c r="B364"/>
      <c r="C364"/>
      <c r="D364"/>
      <c r="E364" s="2">
        <f>Comuni__2[[#This Row],[Popolazione2011]]/$D$7911</f>
        <v>4.5016181171500088E-5</v>
      </c>
      <c r="F364">
        <f>SUMIFS($D$2:$D$7909, $B$2:$B$7909, "Basilicata")</f>
        <v>578036</v>
      </c>
      <c r="G364" s="1">
        <f>Comuni__2[[#This Row],[Popolazione2011]]/Comuni__2[[#This Row],[POPOLAZIONE TOTALE DI OGNI REGIONE (CON FILTRO)]]</f>
        <v>4.627739448754057E-3</v>
      </c>
      <c r="H364" t="str">
        <f>IF(Comuni__2[[#This Row],[Popolazione2011]]&gt;300000,"MAGGIORE","")</f>
        <v/>
      </c>
      <c r="J364">
        <v>46</v>
      </c>
      <c r="K364">
        <v>210</v>
      </c>
      <c r="L364">
        <v>27</v>
      </c>
    </row>
    <row r="365" spans="1:12" x14ac:dyDescent="0.2">
      <c r="A365"/>
      <c r="B365"/>
      <c r="C365"/>
      <c r="D365"/>
      <c r="E365" s="2">
        <f>Comuni__2[[#This Row],[Popolazione2011]]/$D$7911</f>
        <v>4.3871844603402144E-5</v>
      </c>
      <c r="F365">
        <f>SUMIFS($D$2:$D$7909, $B$2:$B$7909, "Basilicata")</f>
        <v>578036</v>
      </c>
      <c r="G365" s="1">
        <f>Comuni__2[[#This Row],[Popolazione2011]]/Comuni__2[[#This Row],[POPOLAZIONE TOTALE DI OGNI REGIONE (CON FILTRO)]]</f>
        <v>4.5100997169726454E-3</v>
      </c>
      <c r="H365" t="str">
        <f>IF(Comuni__2[[#This Row],[Popolazione2011]]&gt;300000,"MAGGIORE","")</f>
        <v/>
      </c>
      <c r="J365">
        <v>46</v>
      </c>
      <c r="K365">
        <v>215</v>
      </c>
      <c r="L365">
        <v>27</v>
      </c>
    </row>
    <row r="366" spans="1:12" x14ac:dyDescent="0.2">
      <c r="A366"/>
      <c r="B366"/>
      <c r="C366"/>
      <c r="D366"/>
      <c r="E366" s="2">
        <f>Comuni__2[[#This Row],[Popolazione2011]]/$D$7911</f>
        <v>4.2963106740500833E-5</v>
      </c>
      <c r="F366">
        <f>SUMIFS($D$2:$D$7909, $B$2:$B$7909, "Basilicata")</f>
        <v>578036</v>
      </c>
      <c r="G366" s="1">
        <f>Comuni__2[[#This Row],[Popolazione2011]]/Comuni__2[[#This Row],[POPOLAZIONE TOTALE DI OGNI REGIONE (CON FILTRO)]]</f>
        <v>4.4166799299697598E-3</v>
      </c>
      <c r="H366" t="str">
        <f>IF(Comuni__2[[#This Row],[Popolazione2011]]&gt;300000,"MAGGIORE","")</f>
        <v/>
      </c>
      <c r="J366">
        <v>47</v>
      </c>
      <c r="K366">
        <v>217</v>
      </c>
      <c r="L366">
        <v>27</v>
      </c>
    </row>
    <row r="367" spans="1:12" x14ac:dyDescent="0.2">
      <c r="A367"/>
      <c r="B367"/>
      <c r="C367"/>
      <c r="D367"/>
      <c r="E367" s="2">
        <f>Comuni__2[[#This Row],[Popolazione2011]]/$D$7911</f>
        <v>4.2794821951074665E-5</v>
      </c>
      <c r="F367">
        <f>SUMIFS($D$2:$D$7909, $B$2:$B$7909, "Basilicata")</f>
        <v>578036</v>
      </c>
      <c r="G367" s="1">
        <f>Comuni__2[[#This Row],[Popolazione2011]]/Comuni__2[[#This Row],[POPOLAZIONE TOTALE DI OGNI REGIONE (CON FILTRO)]]</f>
        <v>4.3993799694136701E-3</v>
      </c>
      <c r="H367" t="str">
        <f>IF(Comuni__2[[#This Row],[Popolazione2011]]&gt;300000,"MAGGIORE","")</f>
        <v/>
      </c>
      <c r="J367">
        <v>48</v>
      </c>
      <c r="K367">
        <v>220</v>
      </c>
      <c r="L367">
        <v>27</v>
      </c>
    </row>
    <row r="368" spans="1:12" x14ac:dyDescent="0.2">
      <c r="A368"/>
      <c r="B368"/>
      <c r="C368"/>
      <c r="D368"/>
      <c r="E368" s="2">
        <f>Comuni__2[[#This Row],[Popolazione2011]]/$D$7911</f>
        <v>4.0489320335936154E-5</v>
      </c>
      <c r="F368">
        <f>SUMIFS($D$2:$D$7909, $B$2:$B$7909, "Basilicata")</f>
        <v>578036</v>
      </c>
      <c r="G368" s="1">
        <f>Comuni__2[[#This Row],[Popolazione2011]]/Comuni__2[[#This Row],[POPOLAZIONE TOTALE DI OGNI REGIONE (CON FILTRO)]]</f>
        <v>4.1623705097952376E-3</v>
      </c>
      <c r="H368" t="str">
        <f>IF(Comuni__2[[#This Row],[Popolazione2011]]&gt;300000,"MAGGIORE","")</f>
        <v/>
      </c>
      <c r="J368">
        <v>43</v>
      </c>
      <c r="K368">
        <v>231</v>
      </c>
      <c r="L368">
        <v>27</v>
      </c>
    </row>
    <row r="369" spans="1:12" x14ac:dyDescent="0.2">
      <c r="A369"/>
      <c r="B369"/>
      <c r="C369"/>
      <c r="D369"/>
      <c r="E369" s="2">
        <f>Comuni__2[[#This Row],[Popolazione2011]]/$D$7911</f>
        <v>3.9900323572944562E-5</v>
      </c>
      <c r="F369">
        <f>SUMIFS($D$2:$D$7909, $B$2:$B$7909, "Basilicata")</f>
        <v>578036</v>
      </c>
      <c r="G369" s="1">
        <f>Comuni__2[[#This Row],[Popolazione2011]]/Comuni__2[[#This Row],[POPOLAZIONE TOTALE DI OGNI REGIONE (CON FILTRO)]]</f>
        <v>4.1018206478489229E-3</v>
      </c>
      <c r="H369" t="str">
        <f>IF(Comuni__2[[#This Row],[Popolazione2011]]&gt;300000,"MAGGIORE","")</f>
        <v/>
      </c>
      <c r="J369">
        <v>35</v>
      </c>
      <c r="K369">
        <v>235</v>
      </c>
      <c r="L369">
        <v>27</v>
      </c>
    </row>
    <row r="370" spans="1:12" x14ac:dyDescent="0.2">
      <c r="A370"/>
      <c r="B370"/>
      <c r="C370"/>
      <c r="D370"/>
      <c r="E370" s="2">
        <f>Comuni__2[[#This Row],[Popolazione2011]]/$D$7911</f>
        <v>3.9075728104756338E-5</v>
      </c>
      <c r="F370">
        <f>SUMIFS($D$2:$D$7909, $B$2:$B$7909, "Basilicata")</f>
        <v>578036</v>
      </c>
      <c r="G370" s="1">
        <f>Comuni__2[[#This Row],[Popolazione2011]]/Comuni__2[[#This Row],[POPOLAZIONE TOTALE DI OGNI REGIONE (CON FILTRO)]]</f>
        <v>4.0170508411240822E-3</v>
      </c>
      <c r="H370" t="str">
        <f>IF(Comuni__2[[#This Row],[Popolazione2011]]&gt;300000,"MAGGIORE","")</f>
        <v/>
      </c>
      <c r="J370">
        <v>34</v>
      </c>
      <c r="K370">
        <v>242</v>
      </c>
      <c r="L370">
        <v>27</v>
      </c>
    </row>
    <row r="371" spans="1:12" x14ac:dyDescent="0.2">
      <c r="A371"/>
      <c r="B371"/>
      <c r="C371"/>
      <c r="D371"/>
      <c r="E371" s="2">
        <f>Comuni__2[[#This Row],[Popolazione2011]]/$D$7911</f>
        <v>3.7174109984240635E-5</v>
      </c>
      <c r="F371">
        <f>SUMIFS($D$2:$D$7909, $B$2:$B$7909, "Basilicata")</f>
        <v>578036</v>
      </c>
      <c r="G371" s="1">
        <f>Comuni__2[[#This Row],[Popolazione2011]]/Comuni__2[[#This Row],[POPOLAZIONE TOTALE DI OGNI REGIONE (CON FILTRO)]]</f>
        <v>3.8215612868402662E-3</v>
      </c>
      <c r="H371" t="str">
        <f>IF(Comuni__2[[#This Row],[Popolazione2011]]&gt;300000,"MAGGIORE","")</f>
        <v/>
      </c>
      <c r="J371">
        <v>30</v>
      </c>
      <c r="K371">
        <v>250</v>
      </c>
      <c r="L371">
        <v>27</v>
      </c>
    </row>
    <row r="372" spans="1:12" x14ac:dyDescent="0.2">
      <c r="A372"/>
      <c r="B372"/>
      <c r="C372"/>
      <c r="D372"/>
      <c r="E372" s="2">
        <f>Comuni__2[[#This Row],[Popolazione2011]]/$D$7911</f>
        <v>3.6669255615962131E-5</v>
      </c>
      <c r="F372">
        <f>SUMIFS($D$2:$D$7909, $B$2:$B$7909, "Basilicata")</f>
        <v>578036</v>
      </c>
      <c r="G372" s="1">
        <f>Comuni__2[[#This Row],[Popolazione2011]]/Comuni__2[[#This Row],[POPOLAZIONE TOTALE DI OGNI REGIONE (CON FILTRO)]]</f>
        <v>3.7696614051719963E-3</v>
      </c>
      <c r="H372" t="str">
        <f>IF(Comuni__2[[#This Row],[Popolazione2011]]&gt;300000,"MAGGIORE","")</f>
        <v/>
      </c>
      <c r="J372">
        <v>30</v>
      </c>
      <c r="K372">
        <v>261</v>
      </c>
      <c r="L372">
        <v>27</v>
      </c>
    </row>
    <row r="373" spans="1:12" x14ac:dyDescent="0.2">
      <c r="A373"/>
      <c r="B373"/>
      <c r="C373"/>
      <c r="D373"/>
      <c r="E373" s="2">
        <f>Comuni__2[[#This Row],[Popolazione2011]]/$D$7911</f>
        <v>3.4902265326987356E-5</v>
      </c>
      <c r="F373">
        <f>SUMIFS($D$2:$D$7909, $B$2:$B$7909, "Basilicata")</f>
        <v>578036</v>
      </c>
      <c r="G373" s="1">
        <f>Comuni__2[[#This Row],[Popolazione2011]]/Comuni__2[[#This Row],[POPOLAZIONE TOTALE DI OGNI REGIONE (CON FILTRO)]]</f>
        <v>3.5880118193330518E-3</v>
      </c>
      <c r="H373" t="str">
        <f>IF(Comuni__2[[#This Row],[Popolazione2011]]&gt;300000,"MAGGIORE","")</f>
        <v/>
      </c>
      <c r="J373">
        <v>30</v>
      </c>
      <c r="K373">
        <v>272</v>
      </c>
      <c r="L373">
        <v>27</v>
      </c>
    </row>
    <row r="374" spans="1:12" x14ac:dyDescent="0.2">
      <c r="A374"/>
      <c r="B374"/>
      <c r="C374"/>
      <c r="D374"/>
      <c r="E374" s="2">
        <f>Comuni__2[[#This Row],[Popolazione2011]]/$D$7911</f>
        <v>3.4027184421971284E-5</v>
      </c>
      <c r="F374">
        <f>SUMIFS($D$2:$D$7909, $B$2:$B$7909, "Basilicata")</f>
        <v>578036</v>
      </c>
      <c r="G374" s="1">
        <f>Comuni__2[[#This Row],[Popolazione2011]]/Comuni__2[[#This Row],[POPOLAZIONE TOTALE DI OGNI REGIONE (CON FILTRO)]]</f>
        <v>3.4980520244413844E-3</v>
      </c>
      <c r="H374" t="str">
        <f>IF(Comuni__2[[#This Row],[Popolazione2011]]&gt;300000,"MAGGIORE","")</f>
        <v/>
      </c>
      <c r="J374">
        <v>27</v>
      </c>
      <c r="K374">
        <v>282</v>
      </c>
      <c r="L374">
        <v>27</v>
      </c>
    </row>
    <row r="375" spans="1:12" x14ac:dyDescent="0.2">
      <c r="A375"/>
      <c r="B375"/>
      <c r="C375"/>
      <c r="D375"/>
      <c r="E375" s="2">
        <f>Comuni__2[[#This Row],[Popolazione2011]]/$D$7911</f>
        <v>3.3320388306381372E-5</v>
      </c>
      <c r="F375">
        <f>SUMIFS($D$2:$D$7909, $B$2:$B$7909, "Basilicata")</f>
        <v>578036</v>
      </c>
      <c r="G375" s="1">
        <f>Comuni__2[[#This Row],[Popolazione2011]]/Comuni__2[[#This Row],[POPOLAZIONE TOTALE DI OGNI REGIONE (CON FILTRO)]]</f>
        <v>3.4253921901058067E-3</v>
      </c>
      <c r="H375" t="str">
        <f>IF(Comuni__2[[#This Row],[Popolazione2011]]&gt;300000,"MAGGIORE","")</f>
        <v/>
      </c>
      <c r="J375">
        <v>23</v>
      </c>
      <c r="K375">
        <v>293</v>
      </c>
      <c r="L375">
        <v>27</v>
      </c>
    </row>
    <row r="376" spans="1:12" x14ac:dyDescent="0.2">
      <c r="A376"/>
      <c r="B376"/>
      <c r="C376"/>
      <c r="D376"/>
      <c r="E376" s="2">
        <f>Comuni__2[[#This Row],[Popolazione2011]]/$D$7911</f>
        <v>3.2882847853873333E-5</v>
      </c>
      <c r="F376">
        <f>SUMIFS($D$2:$D$7909, $B$2:$B$7909, "Basilicata")</f>
        <v>578036</v>
      </c>
      <c r="G376" s="1">
        <f>Comuni__2[[#This Row],[Popolazione2011]]/Comuni__2[[#This Row],[POPOLAZIONE TOTALE DI OGNI REGIONE (CON FILTRO)]]</f>
        <v>3.3804122926599728E-3</v>
      </c>
      <c r="H376" t="str">
        <f>IF(Comuni__2[[#This Row],[Popolazione2011]]&gt;300000,"MAGGIORE","")</f>
        <v/>
      </c>
      <c r="J376">
        <v>16</v>
      </c>
      <c r="K376">
        <v>307</v>
      </c>
      <c r="L376">
        <v>27</v>
      </c>
    </row>
    <row r="377" spans="1:12" x14ac:dyDescent="0.2">
      <c r="A377"/>
      <c r="B377"/>
      <c r="C377"/>
      <c r="D377"/>
      <c r="E377" s="2">
        <f>Comuni__2[[#This Row],[Popolazione2011]]/$D$7911</f>
        <v>3.2866019374930717E-5</v>
      </c>
      <c r="F377">
        <f>SUMIFS($D$2:$D$7909, $B$2:$B$7909, "Basilicata")</f>
        <v>578036</v>
      </c>
      <c r="G377" s="1">
        <f>Comuni__2[[#This Row],[Popolazione2011]]/Comuni__2[[#This Row],[POPOLAZIONE TOTALE DI OGNI REGIONE (CON FILTRO)]]</f>
        <v>3.3786822966043639E-3</v>
      </c>
      <c r="H377" t="str">
        <f>IF(Comuni__2[[#This Row],[Popolazione2011]]&gt;300000,"MAGGIORE","")</f>
        <v/>
      </c>
      <c r="J377">
        <v>16</v>
      </c>
      <c r="K377">
        <v>318</v>
      </c>
      <c r="L377">
        <v>27</v>
      </c>
    </row>
    <row r="378" spans="1:12" x14ac:dyDescent="0.2">
      <c r="A378"/>
      <c r="B378"/>
      <c r="C378"/>
      <c r="D378"/>
      <c r="E378" s="2">
        <f>Comuni__2[[#This Row],[Popolazione2011]]/$D$7911</f>
        <v>3.2714563064447165E-5</v>
      </c>
      <c r="F378">
        <f>SUMIFS($D$2:$D$7909, $B$2:$B$7909, "Basilicata")</f>
        <v>578036</v>
      </c>
      <c r="G378" s="1">
        <f>Comuni__2[[#This Row],[Popolazione2011]]/Comuni__2[[#This Row],[POPOLAZIONE TOTALE DI OGNI REGIONE (CON FILTRO)]]</f>
        <v>3.3631123321038827E-3</v>
      </c>
      <c r="H378" t="str">
        <f>IF(Comuni__2[[#This Row],[Popolazione2011]]&gt;300000,"MAGGIORE","")</f>
        <v/>
      </c>
      <c r="J378">
        <v>15</v>
      </c>
      <c r="K378">
        <v>330</v>
      </c>
      <c r="L378">
        <v>27</v>
      </c>
    </row>
    <row r="379" spans="1:12" x14ac:dyDescent="0.2">
      <c r="A379"/>
      <c r="B379"/>
      <c r="C379"/>
      <c r="D379"/>
      <c r="E379" s="2">
        <f>Comuni__2[[#This Row],[Popolazione2011]]/$D$7911</f>
        <v>3.1317799312209965E-5</v>
      </c>
      <c r="F379">
        <f>SUMIFS($D$2:$D$7909, $B$2:$B$7909, "Basilicata")</f>
        <v>578036</v>
      </c>
      <c r="G379" s="1">
        <f>Comuni__2[[#This Row],[Popolazione2011]]/Comuni__2[[#This Row],[POPOLAZIONE TOTALE DI OGNI REGIONE (CON FILTRO)]]</f>
        <v>3.2195226594883362E-3</v>
      </c>
      <c r="H379" t="str">
        <f>IF(Comuni__2[[#This Row],[Popolazione2011]]&gt;300000,"MAGGIORE","")</f>
        <v/>
      </c>
      <c r="J379">
        <v>14</v>
      </c>
      <c r="K379">
        <v>333</v>
      </c>
      <c r="L379">
        <v>27</v>
      </c>
    </row>
    <row r="380" spans="1:12" x14ac:dyDescent="0.2">
      <c r="A380"/>
      <c r="B380"/>
      <c r="C380"/>
      <c r="D380"/>
      <c r="E380" s="2">
        <f>Comuni__2[[#This Row],[Popolazione2011]]/$D$7911</f>
        <v>2.970226533371875E-5</v>
      </c>
      <c r="F380">
        <f>SUMIFS($D$2:$D$7909, $B$2:$B$7909, "Basilicata")</f>
        <v>578036</v>
      </c>
      <c r="G380" s="1">
        <f>Comuni__2[[#This Row],[Popolazione2011]]/Comuni__2[[#This Row],[POPOLAZIONE TOTALE DI OGNI REGIONE (CON FILTRO)]]</f>
        <v>3.0534430381498729E-3</v>
      </c>
      <c r="H380" t="str">
        <f>IF(Comuni__2[[#This Row],[Popolazione2011]]&gt;300000,"MAGGIORE","")</f>
        <v/>
      </c>
      <c r="J380">
        <v>13</v>
      </c>
      <c r="K380">
        <v>336</v>
      </c>
      <c r="L380">
        <v>27</v>
      </c>
    </row>
    <row r="381" spans="1:12" x14ac:dyDescent="0.2">
      <c r="A381"/>
      <c r="B381"/>
      <c r="C381"/>
      <c r="D381"/>
      <c r="E381" s="2">
        <f>Comuni__2[[#This Row],[Popolazione2011]]/$D$7911</f>
        <v>2.916375400755501E-5</v>
      </c>
      <c r="F381">
        <f>SUMIFS($D$2:$D$7909, $B$2:$B$7909, "Basilicata")</f>
        <v>578036</v>
      </c>
      <c r="G381" s="1">
        <f>Comuni__2[[#This Row],[Popolazione2011]]/Comuni__2[[#This Row],[POPOLAZIONE TOTALE DI OGNI REGIONE (CON FILTRO)]]</f>
        <v>2.9980831643703853E-3</v>
      </c>
      <c r="H381" t="str">
        <f>IF(Comuni__2[[#This Row],[Popolazione2011]]&gt;300000,"MAGGIORE","")</f>
        <v/>
      </c>
      <c r="J381">
        <v>8</v>
      </c>
      <c r="K381">
        <v>336</v>
      </c>
      <c r="L381">
        <v>27</v>
      </c>
    </row>
    <row r="382" spans="1:12" x14ac:dyDescent="0.2">
      <c r="A382"/>
      <c r="B382"/>
      <c r="C382"/>
      <c r="D382"/>
      <c r="E382" s="2">
        <f>Comuni__2[[#This Row],[Popolazione2011]]/$D$7911</f>
        <v>2.9113268570727161E-5</v>
      </c>
      <c r="F382">
        <f>SUMIFS($D$2:$D$7909, $B$2:$B$7909, "Basilicata")</f>
        <v>578036</v>
      </c>
      <c r="G382" s="1">
        <f>Comuni__2[[#This Row],[Popolazione2011]]/Comuni__2[[#This Row],[POPOLAZIONE TOTALE DI OGNI REGIONE (CON FILTRO)]]</f>
        <v>2.9928931762035582E-3</v>
      </c>
      <c r="H382" t="str">
        <f>IF(Comuni__2[[#This Row],[Popolazione2011]]&gt;300000,"MAGGIORE","")</f>
        <v/>
      </c>
      <c r="J382">
        <v>7</v>
      </c>
      <c r="K382">
        <v>336</v>
      </c>
      <c r="L382">
        <v>27</v>
      </c>
    </row>
    <row r="383" spans="1:12" x14ac:dyDescent="0.2">
      <c r="A383"/>
      <c r="B383"/>
      <c r="C383"/>
      <c r="D383"/>
      <c r="E383" s="2">
        <f>Comuni__2[[#This Row],[Popolazione2011]]/$D$7911</f>
        <v>2.9029126176014077E-5</v>
      </c>
      <c r="F383">
        <f>SUMIFS($D$2:$D$7909, $B$2:$B$7909, "Basilicata")</f>
        <v>578036</v>
      </c>
      <c r="G383" s="1">
        <f>Comuni__2[[#This Row],[Popolazione2011]]/Comuni__2[[#This Row],[POPOLAZIONE TOTALE DI OGNI REGIONE (CON FILTRO)]]</f>
        <v>2.9842431959255134E-3</v>
      </c>
      <c r="H383" t="str">
        <f>IF(Comuni__2[[#This Row],[Popolazione2011]]&gt;300000,"MAGGIORE","")</f>
        <v/>
      </c>
      <c r="J383">
        <v>6</v>
      </c>
      <c r="K383">
        <v>338</v>
      </c>
      <c r="L383">
        <v>27</v>
      </c>
    </row>
    <row r="384" spans="1:12" x14ac:dyDescent="0.2">
      <c r="A384"/>
      <c r="B384"/>
      <c r="C384"/>
      <c r="D384"/>
      <c r="E384" s="2">
        <f>Comuni__2[[#This Row],[Popolazione2011]]/$D$7911</f>
        <v>2.8776698991874822E-5</v>
      </c>
      <c r="F384">
        <f>SUMIFS($D$2:$D$7909, $B$2:$B$7909, "Basilicata")</f>
        <v>578036</v>
      </c>
      <c r="G384" s="1">
        <f>Comuni__2[[#This Row],[Popolazione2011]]/Comuni__2[[#This Row],[POPOLAZIONE TOTALE DI OGNI REGIONE (CON FILTRO)]]</f>
        <v>2.9582932550913784E-3</v>
      </c>
      <c r="H384" t="str">
        <f>IF(Comuni__2[[#This Row],[Popolazione2011]]&gt;300000,"MAGGIORE","")</f>
        <v/>
      </c>
      <c r="J384">
        <v>5</v>
      </c>
      <c r="K384">
        <v>339</v>
      </c>
      <c r="L384">
        <v>27</v>
      </c>
    </row>
    <row r="385" spans="1:12" x14ac:dyDescent="0.2">
      <c r="A385"/>
      <c r="B385"/>
      <c r="C385"/>
      <c r="D385"/>
      <c r="E385" s="2">
        <f>Comuni__2[[#This Row],[Popolazione2011]]/$D$7911</f>
        <v>2.8675728118219122E-5</v>
      </c>
      <c r="F385">
        <f>SUMIFS($D$2:$D$7909, $B$2:$B$7909, "Basilicata")</f>
        <v>578036</v>
      </c>
      <c r="G385" s="1">
        <f>Comuni__2[[#This Row],[Popolazione2011]]/Comuni__2[[#This Row],[POPOLAZIONE TOTALE DI OGNI REGIONE (CON FILTRO)]]</f>
        <v>2.9479132787577243E-3</v>
      </c>
      <c r="H385" t="str">
        <f>IF(Comuni__2[[#This Row],[Popolazione2011]]&gt;300000,"MAGGIORE","")</f>
        <v/>
      </c>
      <c r="J385">
        <v>5</v>
      </c>
      <c r="K385">
        <v>341</v>
      </c>
      <c r="L385">
        <v>27</v>
      </c>
    </row>
    <row r="386" spans="1:12" x14ac:dyDescent="0.2">
      <c r="A386"/>
      <c r="B386"/>
      <c r="C386"/>
      <c r="D386"/>
      <c r="E386" s="2">
        <f>Comuni__2[[#This Row],[Popolazione2011]]/$D$7911</f>
        <v>2.8053074397342298E-5</v>
      </c>
      <c r="F386">
        <f>SUMIFS($D$2:$D$7909, $B$2:$B$7909, "Basilicata")</f>
        <v>578036</v>
      </c>
      <c r="G386" s="1">
        <f>Comuni__2[[#This Row],[Popolazione2011]]/Comuni__2[[#This Row],[POPOLAZIONE TOTALE DI OGNI REGIONE (CON FILTRO)]]</f>
        <v>2.8839034247001918E-3</v>
      </c>
      <c r="H386" t="str">
        <f>IF(Comuni__2[[#This Row],[Popolazione2011]]&gt;300000,"MAGGIORE","")</f>
        <v/>
      </c>
      <c r="J386">
        <v>4</v>
      </c>
      <c r="K386">
        <v>343</v>
      </c>
      <c r="L386">
        <v>27</v>
      </c>
    </row>
    <row r="387" spans="1:12" x14ac:dyDescent="0.2">
      <c r="A387"/>
      <c r="B387"/>
      <c r="C387"/>
      <c r="D387"/>
      <c r="E387" s="2">
        <f>Comuni__2[[#This Row],[Popolazione2011]]/$D$7911</f>
        <v>2.766601938166211E-5</v>
      </c>
      <c r="F387">
        <f>SUMIFS($D$2:$D$7909, $B$2:$B$7909, "Basilicata")</f>
        <v>578036</v>
      </c>
      <c r="G387" s="1">
        <f>Comuni__2[[#This Row],[Popolazione2011]]/Comuni__2[[#This Row],[POPOLAZIONE TOTALE DI OGNI REGIONE (CON FILTRO)]]</f>
        <v>2.844113515421185E-3</v>
      </c>
      <c r="H387" t="str">
        <f>IF(Comuni__2[[#This Row],[Popolazione2011]]&gt;300000,"MAGGIORE","")</f>
        <v/>
      </c>
      <c r="J387">
        <v>4</v>
      </c>
      <c r="K387">
        <v>344</v>
      </c>
      <c r="L387">
        <v>27</v>
      </c>
    </row>
    <row r="388" spans="1:12" x14ac:dyDescent="0.2">
      <c r="A388"/>
      <c r="B388"/>
      <c r="C388"/>
      <c r="D388"/>
      <c r="E388" s="2">
        <f>Comuni__2[[#This Row],[Popolazione2011]]/$D$7911</f>
        <v>2.7497734592235942E-5</v>
      </c>
      <c r="F388">
        <f>SUMIFS($D$2:$D$7909, $B$2:$B$7909, "Basilicata")</f>
        <v>578036</v>
      </c>
      <c r="G388" s="1">
        <f>Comuni__2[[#This Row],[Popolazione2011]]/Comuni__2[[#This Row],[POPOLAZIONE TOTALE DI OGNI REGIONE (CON FILTRO)]]</f>
        <v>2.8268135548650949E-3</v>
      </c>
      <c r="H388" t="str">
        <f>IF(Comuni__2[[#This Row],[Popolazione2011]]&gt;300000,"MAGGIORE","")</f>
        <v/>
      </c>
      <c r="J388">
        <v>4</v>
      </c>
      <c r="K388">
        <v>348</v>
      </c>
      <c r="L388">
        <v>27</v>
      </c>
    </row>
    <row r="389" spans="1:12" x14ac:dyDescent="0.2">
      <c r="A389"/>
      <c r="B389"/>
      <c r="C389"/>
      <c r="D389"/>
      <c r="E389" s="2">
        <f>Comuni__2[[#This Row],[Popolazione2011]]/$D$7911</f>
        <v>2.6437540418851079E-5</v>
      </c>
      <c r="F389">
        <f>SUMIFS($D$2:$D$7909, $B$2:$B$7909, "Basilicata")</f>
        <v>578036</v>
      </c>
      <c r="G389" s="1">
        <f>Comuni__2[[#This Row],[Popolazione2011]]/Comuni__2[[#This Row],[POPOLAZIONE TOTALE DI OGNI REGIONE (CON FILTRO)]]</f>
        <v>2.7178238033617281E-3</v>
      </c>
      <c r="H389" t="str">
        <f>IF(Comuni__2[[#This Row],[Popolazione2011]]&gt;300000,"MAGGIORE","")</f>
        <v/>
      </c>
      <c r="J389">
        <v>4</v>
      </c>
      <c r="K389">
        <v>349</v>
      </c>
      <c r="L389">
        <v>27</v>
      </c>
    </row>
    <row r="390" spans="1:12" x14ac:dyDescent="0.2">
      <c r="A390"/>
      <c r="B390"/>
      <c r="C390"/>
      <c r="D390"/>
      <c r="E390" s="2">
        <f>Comuni__2[[#This Row],[Popolazione2011]]/$D$7911</f>
        <v>2.6168284755769211E-5</v>
      </c>
      <c r="F390">
        <f>SUMIFS($D$2:$D$7909, $B$2:$B$7909, "Basilicata")</f>
        <v>578036</v>
      </c>
      <c r="G390" s="1">
        <f>Comuni__2[[#This Row],[Popolazione2011]]/Comuni__2[[#This Row],[POPOLAZIONE TOTALE DI OGNI REGIONE (CON FILTRO)]]</f>
        <v>2.6901438664719843E-3</v>
      </c>
      <c r="H390" t="str">
        <f>IF(Comuni__2[[#This Row],[Popolazione2011]]&gt;300000,"MAGGIORE","")</f>
        <v/>
      </c>
      <c r="J390">
        <v>3</v>
      </c>
      <c r="K390">
        <v>352</v>
      </c>
      <c r="L390">
        <v>27</v>
      </c>
    </row>
    <row r="391" spans="1:12" x14ac:dyDescent="0.2">
      <c r="A391"/>
      <c r="B391"/>
      <c r="C391"/>
      <c r="D391"/>
      <c r="E391" s="2">
        <f>Comuni__2[[#This Row],[Popolazione2011]]/$D$7911</f>
        <v>2.5444660161236687E-5</v>
      </c>
      <c r="F391">
        <f>SUMIFS($D$2:$D$7909, $B$2:$B$7909, "Basilicata")</f>
        <v>578036</v>
      </c>
      <c r="G391" s="1">
        <f>Comuni__2[[#This Row],[Popolazione2011]]/Comuni__2[[#This Row],[POPOLAZIONE TOTALE DI OGNI REGIONE (CON FILTRO)]]</f>
        <v>2.6157540360807977E-3</v>
      </c>
      <c r="H391" t="str">
        <f>IF(Comuni__2[[#This Row],[Popolazione2011]]&gt;300000,"MAGGIORE","")</f>
        <v/>
      </c>
      <c r="J391">
        <v>0</v>
      </c>
      <c r="K391">
        <v>354</v>
      </c>
      <c r="L391">
        <v>27</v>
      </c>
    </row>
    <row r="392" spans="1:12" x14ac:dyDescent="0.2">
      <c r="A392"/>
      <c r="B392"/>
      <c r="C392"/>
      <c r="D392"/>
      <c r="E392" s="2">
        <f>Comuni__2[[#This Row],[Popolazione2011]]/$D$7911</f>
        <v>2.4906148835072947E-5</v>
      </c>
      <c r="F392">
        <f>SUMIFS($D$2:$D$7909, $B$2:$B$7909, "Basilicata")</f>
        <v>578036</v>
      </c>
      <c r="G392" s="1">
        <f>Comuni__2[[#This Row],[Popolazione2011]]/Comuni__2[[#This Row],[POPOLAZIONE TOTALE DI OGNI REGIONE (CON FILTRO)]]</f>
        <v>2.5603941623013101E-3</v>
      </c>
      <c r="H392" t="str">
        <f>IF(Comuni__2[[#This Row],[Popolazione2011]]&gt;300000,"MAGGIORE","")</f>
        <v/>
      </c>
      <c r="J392">
        <v>0</v>
      </c>
      <c r="K392">
        <v>355</v>
      </c>
      <c r="L392">
        <v>27</v>
      </c>
    </row>
    <row r="393" spans="1:12" x14ac:dyDescent="0.2">
      <c r="A393"/>
      <c r="B393"/>
      <c r="C393"/>
      <c r="D393"/>
      <c r="E393" s="2">
        <f>Comuni__2[[#This Row],[Popolazione2011]]/$D$7911</f>
        <v>2.4822006440359863E-5</v>
      </c>
      <c r="F393">
        <f>SUMIFS($D$2:$D$7909, $B$2:$B$7909, "Basilicata")</f>
        <v>578036</v>
      </c>
      <c r="G393" s="1">
        <f>Comuni__2[[#This Row],[Popolazione2011]]/Comuni__2[[#This Row],[POPOLAZIONE TOTALE DI OGNI REGIONE (CON FILTRO)]]</f>
        <v>2.5517441820232648E-3</v>
      </c>
      <c r="H393" t="str">
        <f>IF(Comuni__2[[#This Row],[Popolazione2011]]&gt;300000,"MAGGIORE","")</f>
        <v/>
      </c>
      <c r="J393">
        <v>0</v>
      </c>
      <c r="K393">
        <v>358</v>
      </c>
      <c r="L393">
        <v>27</v>
      </c>
    </row>
    <row r="394" spans="1:12" x14ac:dyDescent="0.2">
      <c r="A394"/>
      <c r="B394"/>
      <c r="C394"/>
      <c r="D394"/>
      <c r="E394" s="2">
        <f>Comuni__2[[#This Row],[Popolazione2011]]/$D$7911</f>
        <v>2.4805177961417247E-5</v>
      </c>
      <c r="F394">
        <f>SUMIFS($D$2:$D$7909, $B$2:$B$7909, "Basilicata")</f>
        <v>578036</v>
      </c>
      <c r="G394" s="1">
        <f>Comuni__2[[#This Row],[Popolazione2011]]/Comuni__2[[#This Row],[POPOLAZIONE TOTALE DI OGNI REGIONE (CON FILTRO)]]</f>
        <v>2.550014185967656E-3</v>
      </c>
      <c r="H394" t="str">
        <f>IF(Comuni__2[[#This Row],[Popolazione2011]]&gt;300000,"MAGGIORE","")</f>
        <v/>
      </c>
      <c r="J394">
        <v>0</v>
      </c>
      <c r="K394">
        <v>359</v>
      </c>
      <c r="L394">
        <v>27</v>
      </c>
    </row>
    <row r="395" spans="1:12" x14ac:dyDescent="0.2">
      <c r="A395"/>
      <c r="B395"/>
      <c r="C395"/>
      <c r="D395"/>
      <c r="E395" s="2">
        <f>Comuni__2[[#This Row],[Popolazione2011]]/$D$7911</f>
        <v>2.4687378608818927E-5</v>
      </c>
      <c r="F395">
        <f>SUMIFS($D$2:$D$7909, $B$2:$B$7909, "Basilicata")</f>
        <v>578036</v>
      </c>
      <c r="G395" s="1">
        <f>Comuni__2[[#This Row],[Popolazione2011]]/Comuni__2[[#This Row],[POPOLAZIONE TOTALE DI OGNI REGIONE (CON FILTRO)]]</f>
        <v>2.5379042135783929E-3</v>
      </c>
      <c r="H395" t="str">
        <f>IF(Comuni__2[[#This Row],[Popolazione2011]]&gt;300000,"MAGGIORE","")</f>
        <v/>
      </c>
      <c r="J395">
        <v>1</v>
      </c>
      <c r="K395">
        <v>359</v>
      </c>
      <c r="L395">
        <v>27</v>
      </c>
    </row>
    <row r="396" spans="1:12" x14ac:dyDescent="0.2">
      <c r="A396"/>
      <c r="B396"/>
      <c r="C396"/>
      <c r="D396"/>
      <c r="E396" s="2">
        <f>Comuni__2[[#This Row],[Popolazione2011]]/$D$7911</f>
        <v>2.4519093819392759E-5</v>
      </c>
      <c r="F396">
        <f>SUMIFS($D$2:$D$7909, $B$2:$B$7909, "Basilicata")</f>
        <v>578036</v>
      </c>
      <c r="G396" s="1">
        <f>Comuni__2[[#This Row],[Popolazione2011]]/Comuni__2[[#This Row],[POPOLAZIONE TOTALE DI OGNI REGIONE (CON FILTRO)]]</f>
        <v>2.5206042530223033E-3</v>
      </c>
      <c r="H396" t="str">
        <f>IF(Comuni__2[[#This Row],[Popolazione2011]]&gt;300000,"MAGGIORE","")</f>
        <v/>
      </c>
      <c r="J396">
        <v>1</v>
      </c>
      <c r="K396">
        <v>362</v>
      </c>
      <c r="L396">
        <v>27</v>
      </c>
    </row>
    <row r="397" spans="1:12" x14ac:dyDescent="0.2">
      <c r="A397"/>
      <c r="B397"/>
      <c r="C397"/>
      <c r="D397"/>
      <c r="E397" s="2">
        <f>Comuni__2[[#This Row],[Popolazione2011]]/$D$7911</f>
        <v>2.3660841393319299E-5</v>
      </c>
      <c r="F397">
        <f>SUMIFS($D$2:$D$7909, $B$2:$B$7909, "Basilicata")</f>
        <v>578036</v>
      </c>
      <c r="G397" s="1">
        <f>Comuni__2[[#This Row],[Popolazione2011]]/Comuni__2[[#This Row],[POPOLAZIONE TOTALE DI OGNI REGIONE (CON FILTRO)]]</f>
        <v>2.4323744541862443E-3</v>
      </c>
      <c r="H397" t="str">
        <f>IF(Comuni__2[[#This Row],[Popolazione2011]]&gt;300000,"MAGGIORE","")</f>
        <v/>
      </c>
      <c r="J397">
        <v>1</v>
      </c>
      <c r="K397">
        <v>362</v>
      </c>
      <c r="L397">
        <v>27</v>
      </c>
    </row>
    <row r="398" spans="1:12" x14ac:dyDescent="0.2">
      <c r="A398"/>
      <c r="B398"/>
      <c r="C398"/>
      <c r="D398"/>
      <c r="E398" s="2">
        <f>Comuni__2[[#This Row],[Popolazione2011]]/$D$7911</f>
        <v>2.3492556603893131E-5</v>
      </c>
      <c r="F398">
        <f>SUMIFS($D$2:$D$7909, $B$2:$B$7909, "Basilicata")</f>
        <v>578036</v>
      </c>
      <c r="G398" s="1">
        <f>Comuni__2[[#This Row],[Popolazione2011]]/Comuni__2[[#This Row],[POPOLAZIONE TOTALE DI OGNI REGIONE (CON FILTRO)]]</f>
        <v>2.4150744936301547E-3</v>
      </c>
      <c r="H398" t="str">
        <f>IF(Comuni__2[[#This Row],[Popolazione2011]]&gt;300000,"MAGGIORE","")</f>
        <v/>
      </c>
      <c r="J398">
        <v>1</v>
      </c>
      <c r="K398">
        <v>362</v>
      </c>
      <c r="L398">
        <v>27</v>
      </c>
    </row>
    <row r="399" spans="1:12" x14ac:dyDescent="0.2">
      <c r="A399"/>
      <c r="B399"/>
      <c r="C399"/>
      <c r="D399"/>
      <c r="E399" s="2">
        <f>Comuni__2[[#This Row],[Popolazione2011]]/$D$7911</f>
        <v>2.2920388319844156E-5</v>
      </c>
      <c r="F399">
        <f>SUMIFS($D$2:$D$7909, $B$2:$B$7909, "Basilicata")</f>
        <v>578036</v>
      </c>
      <c r="G399" s="1">
        <f>Comuni__2[[#This Row],[Popolazione2011]]/Comuni__2[[#This Row],[POPOLAZIONE TOTALE DI OGNI REGIONE (CON FILTRO)]]</f>
        <v>2.3562546277394489E-3</v>
      </c>
      <c r="H399" t="str">
        <f>IF(Comuni__2[[#This Row],[Popolazione2011]]&gt;300000,"MAGGIORE","")</f>
        <v/>
      </c>
      <c r="J399">
        <v>1</v>
      </c>
      <c r="K399">
        <v>363</v>
      </c>
      <c r="L399">
        <v>27</v>
      </c>
    </row>
    <row r="400" spans="1:12" x14ac:dyDescent="0.2">
      <c r="A400"/>
      <c r="B400"/>
      <c r="C400"/>
      <c r="D400"/>
      <c r="E400" s="2">
        <f>Comuni__2[[#This Row],[Popolazione2011]]/$D$7911</f>
        <v>2.258381874099182E-5</v>
      </c>
      <c r="F400">
        <f>SUMIFS($D$2:$D$7909, $B$2:$B$7909, "Basilicata")</f>
        <v>578036</v>
      </c>
      <c r="G400" s="1">
        <f>Comuni__2[[#This Row],[Popolazione2011]]/Comuni__2[[#This Row],[POPOLAZIONE TOTALE DI OGNI REGIONE (CON FILTRO)]]</f>
        <v>2.3216547066272691E-3</v>
      </c>
      <c r="H400" t="str">
        <f>IF(Comuni__2[[#This Row],[Popolazione2011]]&gt;300000,"MAGGIORE","")</f>
        <v/>
      </c>
      <c r="J400">
        <v>1</v>
      </c>
      <c r="K400">
        <v>363</v>
      </c>
      <c r="L400">
        <v>27</v>
      </c>
    </row>
    <row r="401" spans="1:12" x14ac:dyDescent="0.2">
      <c r="A401"/>
      <c r="B401"/>
      <c r="C401"/>
      <c r="D401"/>
      <c r="E401" s="2">
        <f>Comuni__2[[#This Row],[Popolazione2011]]/$D$7911</f>
        <v>2.2280906120024716E-5</v>
      </c>
      <c r="F401">
        <f>SUMIFS($D$2:$D$7909, $B$2:$B$7909, "Basilicata")</f>
        <v>578036</v>
      </c>
      <c r="G401" s="1">
        <f>Comuni__2[[#This Row],[Popolazione2011]]/Comuni__2[[#This Row],[POPOLAZIONE TOTALE DI OGNI REGIONE (CON FILTRO)]]</f>
        <v>2.2905147776263071E-3</v>
      </c>
      <c r="H401" t="str">
        <f>IF(Comuni__2[[#This Row],[Popolazione2011]]&gt;300000,"MAGGIORE","")</f>
        <v/>
      </c>
      <c r="J401">
        <v>1</v>
      </c>
      <c r="K401">
        <v>363</v>
      </c>
      <c r="L401">
        <v>27</v>
      </c>
    </row>
    <row r="402" spans="1:12" x14ac:dyDescent="0.2">
      <c r="A402"/>
      <c r="B402"/>
      <c r="C402"/>
      <c r="D402"/>
      <c r="E402" s="2">
        <f>Comuni__2[[#This Row],[Popolazione2011]]/$D$7911</f>
        <v>2.2078964372713316E-5</v>
      </c>
      <c r="F402">
        <f>SUMIFS($D$2:$D$7909, $B$2:$B$7909, "Basilicata")</f>
        <v>578036</v>
      </c>
      <c r="G402" s="1">
        <f>Comuni__2[[#This Row],[Popolazione2011]]/Comuni__2[[#This Row],[POPOLAZIONE TOTALE DI OGNI REGIONE (CON FILTRO)]]</f>
        <v>2.2697548249589992E-3</v>
      </c>
      <c r="H402" t="str">
        <f>IF(Comuni__2[[#This Row],[Popolazione2011]]&gt;300000,"MAGGIORE","")</f>
        <v/>
      </c>
      <c r="J402">
        <v>1</v>
      </c>
      <c r="K402">
        <v>364</v>
      </c>
      <c r="L402">
        <v>27</v>
      </c>
    </row>
    <row r="403" spans="1:12" x14ac:dyDescent="0.2">
      <c r="A403"/>
      <c r="B403"/>
      <c r="C403"/>
      <c r="D403"/>
      <c r="E403" s="2">
        <f>Comuni__2[[#This Row],[Popolazione2011]]/$D$7911</f>
        <v>2.1708737835975744E-5</v>
      </c>
      <c r="F403">
        <f>SUMIFS($D$2:$D$7909, $B$2:$B$7909, "Basilicata")</f>
        <v>578036</v>
      </c>
      <c r="G403" s="1">
        <f>Comuni__2[[#This Row],[Popolazione2011]]/Comuni__2[[#This Row],[POPOLAZIONE TOTALE DI OGNI REGIONE (CON FILTRO)]]</f>
        <v>2.2316949117356013E-3</v>
      </c>
      <c r="H403" t="str">
        <f>IF(Comuni__2[[#This Row],[Popolazione2011]]&gt;300000,"MAGGIORE","")</f>
        <v/>
      </c>
      <c r="J403">
        <v>1</v>
      </c>
      <c r="K403">
        <v>364</v>
      </c>
      <c r="L403">
        <v>27</v>
      </c>
    </row>
    <row r="404" spans="1:12" x14ac:dyDescent="0.2">
      <c r="A404"/>
      <c r="B404"/>
      <c r="C404"/>
      <c r="D404"/>
      <c r="E404" s="2">
        <f>Comuni__2[[#This Row],[Popolazione2011]]/$D$7911</f>
        <v>1.9537864052378169E-5</v>
      </c>
      <c r="F404">
        <f>SUMIFS($D$2:$D$7909, $B$2:$B$7909, "Basilicata")</f>
        <v>578036</v>
      </c>
      <c r="G404" s="1">
        <f>Comuni__2[[#This Row],[Popolazione2011]]/Comuni__2[[#This Row],[POPOLAZIONE TOTALE DI OGNI REGIONE (CON FILTRO)]]</f>
        <v>2.0085254205620411E-3</v>
      </c>
      <c r="H404" t="str">
        <f>IF(Comuni__2[[#This Row],[Popolazione2011]]&gt;300000,"MAGGIORE","")</f>
        <v/>
      </c>
      <c r="J404">
        <v>1</v>
      </c>
      <c r="K404">
        <v>364</v>
      </c>
      <c r="L404">
        <v>27</v>
      </c>
    </row>
    <row r="405" spans="1:12" x14ac:dyDescent="0.2">
      <c r="A405"/>
      <c r="B405"/>
      <c r="C405"/>
      <c r="D405"/>
      <c r="E405" s="2">
        <f>Comuni__2[[#This Row],[Popolazione2011]]/$D$7911</f>
        <v>1.9319093826124149E-5</v>
      </c>
      <c r="F405">
        <f>SUMIFS($D$2:$D$7909, $B$2:$B$7909, "Basilicata")</f>
        <v>578036</v>
      </c>
      <c r="G405" s="1">
        <f>Comuni__2[[#This Row],[Popolazione2011]]/Comuni__2[[#This Row],[POPOLAZIONE TOTALE DI OGNI REGIONE (CON FILTRO)]]</f>
        <v>1.9860354718391243E-3</v>
      </c>
      <c r="H405" t="str">
        <f>IF(Comuni__2[[#This Row],[Popolazione2011]]&gt;300000,"MAGGIORE","")</f>
        <v/>
      </c>
      <c r="J405">
        <v>1</v>
      </c>
      <c r="K405">
        <v>366</v>
      </c>
      <c r="L405">
        <v>27</v>
      </c>
    </row>
    <row r="406" spans="1:12" x14ac:dyDescent="0.2">
      <c r="A406"/>
      <c r="B406"/>
      <c r="C406"/>
      <c r="D406"/>
      <c r="E406" s="2">
        <f>Comuni__2[[#This Row],[Popolazione2011]]/$D$7911</f>
        <v>1.9150809036697981E-5</v>
      </c>
      <c r="F406">
        <f>SUMIFS($D$2:$D$7909, $B$2:$B$7909, "Basilicata")</f>
        <v>578036</v>
      </c>
      <c r="G406" s="1">
        <f>Comuni__2[[#This Row],[Popolazione2011]]/Comuni__2[[#This Row],[POPOLAZIONE TOTALE DI OGNI REGIONE (CON FILTRO)]]</f>
        <v>1.9687355112830342E-3</v>
      </c>
      <c r="H406" t="str">
        <f>IF(Comuni__2[[#This Row],[Popolazione2011]]&gt;300000,"MAGGIORE","")</f>
        <v/>
      </c>
      <c r="J406">
        <v>1</v>
      </c>
      <c r="K406">
        <v>366</v>
      </c>
      <c r="L406">
        <v>27</v>
      </c>
    </row>
    <row r="407" spans="1:12" x14ac:dyDescent="0.2">
      <c r="A407"/>
      <c r="B407"/>
      <c r="C407"/>
      <c r="D407"/>
      <c r="E407" s="2">
        <f>Comuni__2[[#This Row],[Popolazione2011]]/$D$7911</f>
        <v>1.9083495120927513E-5</v>
      </c>
      <c r="F407">
        <f>SUMIFS($D$2:$D$7909, $B$2:$B$7909, "Basilicata")</f>
        <v>578036</v>
      </c>
      <c r="G407" s="1">
        <f>Comuni__2[[#This Row],[Popolazione2011]]/Comuni__2[[#This Row],[POPOLAZIONE TOTALE DI OGNI REGIONE (CON FILTRO)]]</f>
        <v>1.9618155270605983E-3</v>
      </c>
      <c r="H407" t="str">
        <f>IF(Comuni__2[[#This Row],[Popolazione2011]]&gt;300000,"MAGGIORE","")</f>
        <v/>
      </c>
      <c r="J407">
        <v>1</v>
      </c>
      <c r="K407">
        <v>366</v>
      </c>
      <c r="L407">
        <v>27</v>
      </c>
    </row>
    <row r="408" spans="1:12" x14ac:dyDescent="0.2">
      <c r="A408"/>
      <c r="B408"/>
      <c r="C408"/>
      <c r="D408"/>
      <c r="E408" s="2">
        <f>Comuni__2[[#This Row],[Popolazione2011]]/$D$7911</f>
        <v>1.8645954668419477E-5</v>
      </c>
      <c r="F408">
        <f>SUMIFS($D$2:$D$7909, $B$2:$B$7909, "Basilicata")</f>
        <v>578036</v>
      </c>
      <c r="G408" s="1">
        <f>Comuni__2[[#This Row],[Popolazione2011]]/Comuni__2[[#This Row],[POPOLAZIONE TOTALE DI OGNI REGIONE (CON FILTRO)]]</f>
        <v>1.9168356296147644E-3</v>
      </c>
      <c r="H408" t="str">
        <f>IF(Comuni__2[[#This Row],[Popolazione2011]]&gt;300000,"MAGGIORE","")</f>
        <v/>
      </c>
      <c r="J408">
        <v>1</v>
      </c>
      <c r="K408">
        <v>366</v>
      </c>
      <c r="L408">
        <v>27</v>
      </c>
    </row>
    <row r="409" spans="1:12" x14ac:dyDescent="0.2">
      <c r="A409"/>
      <c r="B409"/>
      <c r="C409"/>
      <c r="D409"/>
      <c r="E409" s="2">
        <f>Comuni__2[[#This Row],[Popolazione2011]]/$D$7911</f>
        <v>1.8494498357935925E-5</v>
      </c>
      <c r="F409">
        <f>SUMIFS($D$2:$D$7909, $B$2:$B$7909, "Basilicata")</f>
        <v>578036</v>
      </c>
      <c r="G409" s="1">
        <f>Comuni__2[[#This Row],[Popolazione2011]]/Comuni__2[[#This Row],[POPOLAZIONE TOTALE DI OGNI REGIONE (CON FILTRO)]]</f>
        <v>1.9012656651142836E-3</v>
      </c>
      <c r="H409" t="str">
        <f>IF(Comuni__2[[#This Row],[Popolazione2011]]&gt;300000,"MAGGIORE","")</f>
        <v/>
      </c>
      <c r="J409">
        <v>1</v>
      </c>
      <c r="K409">
        <v>366</v>
      </c>
      <c r="L409">
        <v>27</v>
      </c>
    </row>
    <row r="410" spans="1:12" x14ac:dyDescent="0.2">
      <c r="A410"/>
      <c r="B410"/>
      <c r="C410"/>
      <c r="D410"/>
      <c r="E410" s="2">
        <f>Comuni__2[[#This Row],[Popolazione2011]]/$D$7911</f>
        <v>1.8208414215911438E-5</v>
      </c>
      <c r="F410">
        <f>SUMIFS($D$2:$D$7909, $B$2:$B$7909, "Basilicata")</f>
        <v>578036</v>
      </c>
      <c r="G410" s="1">
        <f>Comuni__2[[#This Row],[Popolazione2011]]/Comuni__2[[#This Row],[POPOLAZIONE TOTALE DI OGNI REGIONE (CON FILTRO)]]</f>
        <v>1.8718557321689307E-3</v>
      </c>
      <c r="H410" t="str">
        <f>IF(Comuni__2[[#This Row],[Popolazione2011]]&gt;300000,"MAGGIORE","")</f>
        <v/>
      </c>
      <c r="J410">
        <v>1</v>
      </c>
      <c r="K410">
        <v>367</v>
      </c>
      <c r="L410">
        <v>27</v>
      </c>
    </row>
    <row r="411" spans="1:12" x14ac:dyDescent="0.2">
      <c r="A411"/>
      <c r="B411"/>
      <c r="C411"/>
      <c r="D411"/>
      <c r="E411" s="2">
        <f>Comuni__2[[#This Row],[Popolazione2011]]/$D$7911</f>
        <v>1.772038832657555E-5</v>
      </c>
      <c r="F411">
        <f>SUMIFS($D$2:$D$7909, $B$2:$B$7909, "Basilicata")</f>
        <v>578036</v>
      </c>
      <c r="G411" s="1">
        <f>Comuni__2[[#This Row],[Popolazione2011]]/Comuni__2[[#This Row],[POPOLAZIONE TOTALE DI OGNI REGIONE (CON FILTRO)]]</f>
        <v>1.8216858465562699E-3</v>
      </c>
      <c r="H411" t="str">
        <f>IF(Comuni__2[[#This Row],[Popolazione2011]]&gt;300000,"MAGGIORE","")</f>
        <v/>
      </c>
      <c r="J411">
        <v>1</v>
      </c>
      <c r="K411">
        <v>367</v>
      </c>
      <c r="L411">
        <v>27</v>
      </c>
    </row>
    <row r="412" spans="1:12" x14ac:dyDescent="0.2">
      <c r="A412"/>
      <c r="B412"/>
      <c r="C412"/>
      <c r="D412"/>
      <c r="E412" s="2">
        <f>Comuni__2[[#This Row],[Popolazione2011]]/$D$7911</f>
        <v>1.7131391563583958E-5</v>
      </c>
      <c r="F412">
        <f>SUMIFS($D$2:$D$7909, $B$2:$B$7909, "Basilicata")</f>
        <v>578036</v>
      </c>
      <c r="G412" s="1">
        <f>Comuni__2[[#This Row],[Popolazione2011]]/Comuni__2[[#This Row],[POPOLAZIONE TOTALE DI OGNI REGIONE (CON FILTRO)]]</f>
        <v>1.761135984609955E-3</v>
      </c>
      <c r="H412" t="str">
        <f>IF(Comuni__2[[#This Row],[Popolazione2011]]&gt;300000,"MAGGIORE","")</f>
        <v/>
      </c>
      <c r="J412">
        <v>1</v>
      </c>
      <c r="K412">
        <v>367</v>
      </c>
      <c r="L412">
        <v>27</v>
      </c>
    </row>
    <row r="413" spans="1:12" x14ac:dyDescent="0.2">
      <c r="A413"/>
      <c r="B413"/>
      <c r="C413"/>
      <c r="D413"/>
      <c r="E413" s="2">
        <f>Comuni__2[[#This Row],[Popolazione2011]]/$D$7911</f>
        <v>1.7047249168870874E-5</v>
      </c>
      <c r="F413">
        <f>SUMIFS($D$2:$D$7909, $B$2:$B$7909, "Basilicata")</f>
        <v>578036</v>
      </c>
      <c r="G413" s="1">
        <f>Comuni__2[[#This Row],[Popolazione2011]]/Comuni__2[[#This Row],[POPOLAZIONE TOTALE DI OGNI REGIONE (CON FILTRO)]]</f>
        <v>1.7524860043319102E-3</v>
      </c>
      <c r="H413" t="str">
        <f>IF(Comuni__2[[#This Row],[Popolazione2011]]&gt;300000,"MAGGIORE","")</f>
        <v/>
      </c>
      <c r="J413">
        <v>1</v>
      </c>
      <c r="K413">
        <v>367</v>
      </c>
      <c r="L413">
        <v>27</v>
      </c>
    </row>
    <row r="414" spans="1:12" x14ac:dyDescent="0.2">
      <c r="A414"/>
      <c r="B414"/>
      <c r="C414"/>
      <c r="D414"/>
      <c r="E414" s="2">
        <f>Comuni__2[[#This Row],[Popolazione2011]]/$D$7911</f>
        <v>1.6390938490108818E-5</v>
      </c>
      <c r="F414">
        <f>SUMIFS($D$2:$D$7909, $B$2:$B$7909, "Basilicata")</f>
        <v>578036</v>
      </c>
      <c r="G414" s="1">
        <f>Comuni__2[[#This Row],[Popolazione2011]]/Comuni__2[[#This Row],[POPOLAZIONE TOTALE DI OGNI REGIONE (CON FILTRO)]]</f>
        <v>1.6850161581631593E-3</v>
      </c>
      <c r="H414" t="str">
        <f>IF(Comuni__2[[#This Row],[Popolazione2011]]&gt;300000,"MAGGIORE","")</f>
        <v/>
      </c>
      <c r="J414">
        <v>1</v>
      </c>
      <c r="K414">
        <v>372</v>
      </c>
      <c r="L414">
        <v>27</v>
      </c>
    </row>
    <row r="415" spans="1:12" x14ac:dyDescent="0.2">
      <c r="A415"/>
      <c r="B415"/>
      <c r="C415"/>
      <c r="D415"/>
      <c r="E415" s="2">
        <f>Comuni__2[[#This Row],[Popolazione2011]]/$D$7911</f>
        <v>1.5566343021920591E-5</v>
      </c>
      <c r="F415">
        <f>SUMIFS($D$2:$D$7909, $B$2:$B$7909, "Basilicata")</f>
        <v>578036</v>
      </c>
      <c r="G415" s="1">
        <f>Comuni__2[[#This Row],[Popolazione2011]]/Comuni__2[[#This Row],[POPOLAZIONE TOTALE DI OGNI REGIONE (CON FILTRO)]]</f>
        <v>1.6002463514383188E-3</v>
      </c>
      <c r="H415" t="str">
        <f>IF(Comuni__2[[#This Row],[Popolazione2011]]&gt;300000,"MAGGIORE","")</f>
        <v/>
      </c>
      <c r="J415">
        <v>1</v>
      </c>
      <c r="K415">
        <v>372</v>
      </c>
      <c r="L415">
        <v>27</v>
      </c>
    </row>
    <row r="416" spans="1:12" x14ac:dyDescent="0.2">
      <c r="A416"/>
      <c r="B416"/>
      <c r="C416"/>
      <c r="D416"/>
      <c r="E416" s="2">
        <f>Comuni__2[[#This Row],[Popolazione2011]]/$D$7911</f>
        <v>1.5044660174699469E-5</v>
      </c>
      <c r="F416">
        <f>SUMIFS($D$2:$D$7909, $B$2:$B$7909, "Basilicata")</f>
        <v>578036</v>
      </c>
      <c r="G416" s="1">
        <f>Comuni__2[[#This Row],[Popolazione2011]]/Comuni__2[[#This Row],[POPOLAZIONE TOTALE DI OGNI REGIONE (CON FILTRO)]]</f>
        <v>1.5466164737144399E-3</v>
      </c>
      <c r="H416" t="str">
        <f>IF(Comuni__2[[#This Row],[Popolazione2011]]&gt;300000,"MAGGIORE","")</f>
        <v/>
      </c>
      <c r="J416">
        <v>1</v>
      </c>
      <c r="K416">
        <v>372</v>
      </c>
      <c r="L416">
        <v>27</v>
      </c>
    </row>
    <row r="417" spans="1:12" x14ac:dyDescent="0.2">
      <c r="A417"/>
      <c r="B417"/>
      <c r="C417"/>
      <c r="D417"/>
      <c r="E417" s="2">
        <f>Comuni__2[[#This Row],[Popolazione2011]]/$D$7911</f>
        <v>1.4472491890650497E-5</v>
      </c>
      <c r="F417">
        <f>SUMIFS($D$2:$D$7909, $B$2:$B$7909, "Basilicata")</f>
        <v>578036</v>
      </c>
      <c r="G417" s="1">
        <f>Comuni__2[[#This Row],[Popolazione2011]]/Comuni__2[[#This Row],[POPOLAZIONE TOTALE DI OGNI REGIONE (CON FILTRO)]]</f>
        <v>1.4877966078237343E-3</v>
      </c>
      <c r="H417" t="str">
        <f>IF(Comuni__2[[#This Row],[Popolazione2011]]&gt;300000,"MAGGIORE","")</f>
        <v/>
      </c>
      <c r="J417">
        <v>0</v>
      </c>
      <c r="K417">
        <v>373</v>
      </c>
      <c r="L417">
        <v>27</v>
      </c>
    </row>
    <row r="418" spans="1:12" x14ac:dyDescent="0.2">
      <c r="A418"/>
      <c r="B418"/>
      <c r="C418"/>
      <c r="D418"/>
      <c r="E418" s="2">
        <f>Comuni__2[[#This Row],[Popolazione2011]]/$D$7911</f>
        <v>1.4337864059109561E-5</v>
      </c>
      <c r="F418">
        <f>SUMIFS($D$2:$D$7909, $B$2:$B$7909, "Basilicata")</f>
        <v>578036</v>
      </c>
      <c r="G418" s="1">
        <f>Comuni__2[[#This Row],[Popolazione2011]]/Comuni__2[[#This Row],[POPOLAZIONE TOTALE DI OGNI REGIONE (CON FILTRO)]]</f>
        <v>1.4739566393788621E-3</v>
      </c>
      <c r="H418" t="str">
        <f>IF(Comuni__2[[#This Row],[Popolazione2011]]&gt;300000,"MAGGIORE","")</f>
        <v/>
      </c>
      <c r="J418">
        <v>0</v>
      </c>
      <c r="K418">
        <v>373</v>
      </c>
      <c r="L418">
        <v>27</v>
      </c>
    </row>
    <row r="419" spans="1:12" x14ac:dyDescent="0.2">
      <c r="A419"/>
      <c r="B419"/>
      <c r="C419"/>
      <c r="D419"/>
      <c r="E419" s="2">
        <f>Comuni__2[[#This Row],[Popolazione2011]]/$D$7911</f>
        <v>1.4321035580166945E-5</v>
      </c>
      <c r="F419">
        <f>SUMIFS($D$2:$D$7909, $B$2:$B$7909, "Basilicata")</f>
        <v>578036</v>
      </c>
      <c r="G419" s="1">
        <f>Comuni__2[[#This Row],[Popolazione2011]]/Comuni__2[[#This Row],[POPOLAZIONE TOTALE DI OGNI REGIONE (CON FILTRO)]]</f>
        <v>1.4722266433232533E-3</v>
      </c>
      <c r="H419" t="str">
        <f>IF(Comuni__2[[#This Row],[Popolazione2011]]&gt;300000,"MAGGIORE","")</f>
        <v/>
      </c>
      <c r="J419">
        <v>0</v>
      </c>
      <c r="K419">
        <v>373</v>
      </c>
      <c r="L419">
        <v>27</v>
      </c>
    </row>
    <row r="420" spans="1:12" x14ac:dyDescent="0.2">
      <c r="A420"/>
      <c r="B420"/>
      <c r="C420"/>
      <c r="D420"/>
      <c r="E420" s="2">
        <f>Comuni__2[[#This Row],[Popolazione2011]]/$D$7911</f>
        <v>1.3984466001314607E-5</v>
      </c>
      <c r="F420">
        <f>SUMIFS($D$2:$D$7909, $B$2:$B$7909, "Basilicata")</f>
        <v>578036</v>
      </c>
      <c r="G420" s="1">
        <f>Comuni__2[[#This Row],[Popolazione2011]]/Comuni__2[[#This Row],[POPOLAZIONE TOTALE DI OGNI REGIONE (CON FILTRO)]]</f>
        <v>1.4376267222110733E-3</v>
      </c>
      <c r="H420" t="str">
        <f>IF(Comuni__2[[#This Row],[Popolazione2011]]&gt;300000,"MAGGIORE","")</f>
        <v/>
      </c>
      <c r="J420">
        <v>0</v>
      </c>
      <c r="K420">
        <v>373</v>
      </c>
      <c r="L420">
        <v>27</v>
      </c>
    </row>
    <row r="421" spans="1:12" x14ac:dyDescent="0.2">
      <c r="A421"/>
      <c r="B421"/>
      <c r="C421"/>
      <c r="D421"/>
      <c r="E421" s="2">
        <f>Comuni__2[[#This Row],[Popolazione2011]]/$D$7911</f>
        <v>1.3883495127658905E-5</v>
      </c>
      <c r="F421">
        <f>SUMIFS($D$2:$D$7909, $B$2:$B$7909, "Basilicata")</f>
        <v>578036</v>
      </c>
      <c r="G421" s="1">
        <f>Comuni__2[[#This Row],[Popolazione2011]]/Comuni__2[[#This Row],[POPOLAZIONE TOTALE DI OGNI REGIONE (CON FILTRO)]]</f>
        <v>1.4272467458774194E-3</v>
      </c>
      <c r="H421" t="str">
        <f>IF(Comuni__2[[#This Row],[Popolazione2011]]&gt;300000,"MAGGIORE","")</f>
        <v/>
      </c>
      <c r="J421">
        <v>0</v>
      </c>
      <c r="K421">
        <v>373</v>
      </c>
      <c r="L421">
        <v>27</v>
      </c>
    </row>
    <row r="422" spans="1:12" x14ac:dyDescent="0.2">
      <c r="A422"/>
      <c r="B422"/>
      <c r="C422"/>
      <c r="D422"/>
      <c r="E422" s="2">
        <f>Comuni__2[[#This Row],[Popolazione2011]]/$D$7911</f>
        <v>1.3395469238323017E-5</v>
      </c>
      <c r="F422">
        <f>SUMIFS($D$2:$D$7909, $B$2:$B$7909, "Basilicata")</f>
        <v>578036</v>
      </c>
      <c r="G422" s="1">
        <f>Comuni__2[[#This Row],[Popolazione2011]]/Comuni__2[[#This Row],[POPOLAZIONE TOTALE DI OGNI REGIONE (CON FILTRO)]]</f>
        <v>1.3770768602647586E-3</v>
      </c>
      <c r="H422" t="str">
        <f>IF(Comuni__2[[#This Row],[Popolazione2011]]&gt;300000,"MAGGIORE","")</f>
        <v/>
      </c>
      <c r="J422">
        <v>0</v>
      </c>
      <c r="K422">
        <v>373</v>
      </c>
      <c r="L422">
        <v>27</v>
      </c>
    </row>
    <row r="423" spans="1:12" x14ac:dyDescent="0.2">
      <c r="A423"/>
      <c r="B423"/>
      <c r="C423"/>
      <c r="D423"/>
      <c r="E423" s="2">
        <f>Comuni__2[[#This Row],[Popolazione2011]]/$D$7911</f>
        <v>1.3092556617355913E-5</v>
      </c>
      <c r="F423">
        <f>SUMIFS($D$2:$D$7909, $B$2:$B$7909, "Basilicata")</f>
        <v>578036</v>
      </c>
      <c r="G423" s="1">
        <f>Comuni__2[[#This Row],[Popolazione2011]]/Comuni__2[[#This Row],[POPOLAZIONE TOTALE DI OGNI REGIONE (CON FILTRO)]]</f>
        <v>1.3459369312637968E-3</v>
      </c>
      <c r="H423" t="str">
        <f>IF(Comuni__2[[#This Row],[Popolazione2011]]&gt;300000,"MAGGIORE","")</f>
        <v/>
      </c>
      <c r="J423">
        <v>0</v>
      </c>
      <c r="K423">
        <v>373</v>
      </c>
      <c r="L423">
        <v>27</v>
      </c>
    </row>
    <row r="424" spans="1:12" x14ac:dyDescent="0.2">
      <c r="A424"/>
      <c r="B424"/>
      <c r="C424"/>
      <c r="D424"/>
      <c r="E424" s="2">
        <f>Comuni__2[[#This Row],[Popolazione2011]]/$D$7911</f>
        <v>1.2890614870044511E-5</v>
      </c>
      <c r="F424">
        <f>SUMIFS($D$2:$D$7909, $B$2:$B$7909, "Basilicata")</f>
        <v>578036</v>
      </c>
      <c r="G424" s="1">
        <f>Comuni__2[[#This Row],[Popolazione2011]]/Comuni__2[[#This Row],[POPOLAZIONE TOTALE DI OGNI REGIONE (CON FILTRO)]]</f>
        <v>1.3251769785964887E-3</v>
      </c>
      <c r="H424" t="str">
        <f>IF(Comuni__2[[#This Row],[Popolazione2011]]&gt;300000,"MAGGIORE","")</f>
        <v/>
      </c>
      <c r="J424">
        <v>1</v>
      </c>
      <c r="K424">
        <v>373</v>
      </c>
      <c r="L424">
        <v>27</v>
      </c>
    </row>
    <row r="425" spans="1:12" x14ac:dyDescent="0.2">
      <c r="A425"/>
      <c r="B425"/>
      <c r="C425"/>
      <c r="D425"/>
      <c r="E425" s="2">
        <f>Comuni__2[[#This Row],[Popolazione2011]]/$D$7911</f>
        <v>1.246990289647909E-5</v>
      </c>
      <c r="F425">
        <f>SUMIFS($D$2:$D$7909, $B$2:$B$7909, "Basilicata")</f>
        <v>578036</v>
      </c>
      <c r="G425" s="1">
        <f>Comuni__2[[#This Row],[Popolazione2011]]/Comuni__2[[#This Row],[POPOLAZIONE TOTALE DI OGNI REGIONE (CON FILTRO)]]</f>
        <v>1.2819270772062639E-3</v>
      </c>
      <c r="H425" t="str">
        <f>IF(Comuni__2[[#This Row],[Popolazione2011]]&gt;300000,"MAGGIORE","")</f>
        <v/>
      </c>
      <c r="J425">
        <v>2</v>
      </c>
      <c r="K425">
        <v>373</v>
      </c>
      <c r="L425">
        <v>27</v>
      </c>
    </row>
    <row r="426" spans="1:12" x14ac:dyDescent="0.2">
      <c r="A426"/>
      <c r="B426"/>
      <c r="C426"/>
      <c r="D426"/>
      <c r="E426" s="2">
        <f>Comuni__2[[#This Row],[Popolazione2011]]/$D$7911</f>
        <v>1.2082847880798902E-5</v>
      </c>
      <c r="F426">
        <f>SUMIFS($D$2:$D$7909, $B$2:$B$7909, "Basilicata")</f>
        <v>578036</v>
      </c>
      <c r="G426" s="1">
        <f>Comuni__2[[#This Row],[Popolazione2011]]/Comuni__2[[#This Row],[POPOLAZIONE TOTALE DI OGNI REGIONE (CON FILTRO)]]</f>
        <v>1.2421371679272571E-3</v>
      </c>
      <c r="H426" t="str">
        <f>IF(Comuni__2[[#This Row],[Popolazione2011]]&gt;300000,"MAGGIORE","")</f>
        <v/>
      </c>
      <c r="J426">
        <v>3</v>
      </c>
      <c r="K426">
        <v>373</v>
      </c>
      <c r="L426">
        <v>27</v>
      </c>
    </row>
    <row r="427" spans="1:12" x14ac:dyDescent="0.2">
      <c r="A427"/>
      <c r="B427"/>
      <c r="C427"/>
      <c r="D427"/>
      <c r="E427" s="2">
        <f>Comuni__2[[#This Row],[Popolazione2011]]/$D$7911</f>
        <v>1.2015533965028436E-5</v>
      </c>
      <c r="F427">
        <f>SUMIFS($D$2:$D$7909, $B$2:$B$7909, "Basilicata")</f>
        <v>578036</v>
      </c>
      <c r="G427" s="1">
        <f>Comuni__2[[#This Row],[Popolazione2011]]/Comuni__2[[#This Row],[POPOLAZIONE TOTALE DI OGNI REGIONE (CON FILTRO)]]</f>
        <v>1.2352171837048211E-3</v>
      </c>
      <c r="H427" t="str">
        <f>IF(Comuni__2[[#This Row],[Popolazione2011]]&gt;300000,"MAGGIORE","")</f>
        <v/>
      </c>
      <c r="J427">
        <v>3</v>
      </c>
      <c r="K427">
        <v>374</v>
      </c>
      <c r="L427">
        <v>27</v>
      </c>
    </row>
    <row r="428" spans="1:12" x14ac:dyDescent="0.2">
      <c r="A428"/>
      <c r="B428"/>
      <c r="C428"/>
      <c r="D428"/>
      <c r="E428" s="2">
        <f>Comuni__2[[#This Row],[Popolazione2011]]/$D$7911</f>
        <v>1.1864077654544884E-5</v>
      </c>
      <c r="F428">
        <f>SUMIFS($D$2:$D$7909, $B$2:$B$7909, "Basilicata")</f>
        <v>578036</v>
      </c>
      <c r="G428" s="1">
        <f>Comuni__2[[#This Row],[Popolazione2011]]/Comuni__2[[#This Row],[POPOLAZIONE TOTALE DI OGNI REGIONE (CON FILTRO)]]</f>
        <v>1.2196472192043401E-3</v>
      </c>
      <c r="H428" t="str">
        <f>IF(Comuni__2[[#This Row],[Popolazione2011]]&gt;300000,"MAGGIORE","")</f>
        <v/>
      </c>
      <c r="J428">
        <v>3</v>
      </c>
      <c r="K428">
        <v>374</v>
      </c>
      <c r="L428">
        <v>27</v>
      </c>
    </row>
    <row r="429" spans="1:12" x14ac:dyDescent="0.2">
      <c r="A429"/>
      <c r="B429"/>
      <c r="C429"/>
      <c r="D429"/>
      <c r="E429" s="2">
        <f>Comuni__2[[#This Row],[Popolazione2011]]/$D$7911</f>
        <v>1.1426537202036846E-5</v>
      </c>
      <c r="F429">
        <f>SUMIFS($D$2:$D$7909, $B$2:$B$7909, "Basilicata")</f>
        <v>578036</v>
      </c>
      <c r="G429" s="1">
        <f>Comuni__2[[#This Row],[Popolazione2011]]/Comuni__2[[#This Row],[POPOLAZIONE TOTALE DI OGNI REGIONE (CON FILTRO)]]</f>
        <v>1.1746673217585065E-3</v>
      </c>
      <c r="H429" t="str">
        <f>IF(Comuni__2[[#This Row],[Popolazione2011]]&gt;300000,"MAGGIORE","")</f>
        <v/>
      </c>
      <c r="J429">
        <v>3</v>
      </c>
      <c r="K429">
        <v>374</v>
      </c>
      <c r="L429">
        <v>27</v>
      </c>
    </row>
    <row r="430" spans="1:12" x14ac:dyDescent="0.2">
      <c r="A430"/>
      <c r="B430"/>
      <c r="C430"/>
      <c r="D430"/>
      <c r="E430" s="2">
        <f>Comuni__2[[#This Row],[Popolazione2011]]/$D$7911</f>
        <v>1.0854368917987872E-5</v>
      </c>
      <c r="F430">
        <f>SUMIFS($D$2:$D$7909, $B$2:$B$7909, "Basilicata")</f>
        <v>578036</v>
      </c>
      <c r="G430" s="1">
        <f>Comuni__2[[#This Row],[Popolazione2011]]/Comuni__2[[#This Row],[POPOLAZIONE TOTALE DI OGNI REGIONE (CON FILTRO)]]</f>
        <v>1.1158474558678006E-3</v>
      </c>
      <c r="H430" t="str">
        <f>IF(Comuni__2[[#This Row],[Popolazione2011]]&gt;300000,"MAGGIORE","")</f>
        <v/>
      </c>
      <c r="J430">
        <v>3</v>
      </c>
      <c r="K430">
        <v>374</v>
      </c>
      <c r="L430">
        <v>27</v>
      </c>
    </row>
    <row r="431" spans="1:12" x14ac:dyDescent="0.2">
      <c r="A431"/>
      <c r="B431"/>
      <c r="C431"/>
      <c r="D431"/>
      <c r="E431" s="2">
        <f>Comuni__2[[#This Row],[Popolazione2011]]/$D$7911</f>
        <v>1.0517799339135534E-5</v>
      </c>
      <c r="F431">
        <f>SUMIFS($D$2:$D$7909, $B$2:$B$7909, "Basilicata")</f>
        <v>578036</v>
      </c>
      <c r="G431" s="1">
        <f>Comuni__2[[#This Row],[Popolazione2011]]/Comuni__2[[#This Row],[POPOLAZIONE TOTALE DI OGNI REGIONE (CON FILTRO)]]</f>
        <v>1.0812475347556207E-3</v>
      </c>
      <c r="H431" t="str">
        <f>IF(Comuni__2[[#This Row],[Popolazione2011]]&gt;300000,"MAGGIORE","")</f>
        <v/>
      </c>
      <c r="J431">
        <v>3</v>
      </c>
      <c r="K431">
        <v>373</v>
      </c>
      <c r="L431">
        <v>27</v>
      </c>
    </row>
    <row r="432" spans="1:12" x14ac:dyDescent="0.2">
      <c r="A432"/>
      <c r="B432"/>
      <c r="C432"/>
      <c r="D432"/>
      <c r="E432" s="2">
        <f>Comuni__2[[#This Row],[Popolazione2011]]/$D$7911</f>
        <v>9.7605177867177765E-6</v>
      </c>
      <c r="F432">
        <f>SUMIFS($D$2:$D$7909, $B$2:$B$7909, "Basilicata")</f>
        <v>578036</v>
      </c>
      <c r="G432" s="1">
        <f>Comuni__2[[#This Row],[Popolazione2011]]/Comuni__2[[#This Row],[POPOLAZIONE TOTALE DI OGNI REGIONE (CON FILTRO)]]</f>
        <v>1.0033977122532161E-3</v>
      </c>
      <c r="H432" t="str">
        <f>IF(Comuni__2[[#This Row],[Popolazione2011]]&gt;300000,"MAGGIORE","")</f>
        <v/>
      </c>
      <c r="J432">
        <v>3</v>
      </c>
      <c r="K432">
        <v>373</v>
      </c>
      <c r="L432">
        <v>27</v>
      </c>
    </row>
    <row r="433" spans="1:12" x14ac:dyDescent="0.2">
      <c r="A433"/>
      <c r="B433"/>
      <c r="C433"/>
      <c r="D433"/>
      <c r="E433" s="2">
        <f>Comuni__2[[#This Row],[Popolazione2011]]/$D$7911</f>
        <v>9.2220064605540367E-6</v>
      </c>
      <c r="F433">
        <f>SUMIFS($D$2:$D$7909, $B$2:$B$7909, "Basilicata")</f>
        <v>578036</v>
      </c>
      <c r="G433" s="1">
        <f>Comuni__2[[#This Row],[Popolazione2011]]/Comuni__2[[#This Row],[POPOLAZIONE TOTALE DI OGNI REGIONE (CON FILTRO)]]</f>
        <v>9.4803783847372826E-4</v>
      </c>
      <c r="H433" t="str">
        <f>IF(Comuni__2[[#This Row],[Popolazione2011]]&gt;300000,"MAGGIORE","")</f>
        <v/>
      </c>
      <c r="J433">
        <v>3</v>
      </c>
      <c r="K433">
        <v>373</v>
      </c>
      <c r="L433">
        <v>27</v>
      </c>
    </row>
    <row r="434" spans="1:12" x14ac:dyDescent="0.2">
      <c r="A434"/>
      <c r="B434"/>
      <c r="C434"/>
      <c r="D434"/>
      <c r="E434" s="2">
        <f>Comuni__2[[#This Row],[Popolazione2011]]/$D$7911</f>
        <v>8.313268597652727E-6</v>
      </c>
      <c r="F434">
        <f>SUMIFS($D$2:$D$7909, $B$2:$B$7909, "Basilicata")</f>
        <v>578036</v>
      </c>
      <c r="G434" s="1">
        <f>Comuni__2[[#This Row],[Popolazione2011]]/Comuni__2[[#This Row],[POPOLAZIONE TOTALE DI OGNI REGIONE (CON FILTRO)]]</f>
        <v>8.5461805147084269E-4</v>
      </c>
      <c r="H434" t="str">
        <f>IF(Comuni__2[[#This Row],[Popolazione2011]]&gt;300000,"MAGGIORE","")</f>
        <v/>
      </c>
      <c r="J434">
        <v>3</v>
      </c>
      <c r="K434">
        <v>373</v>
      </c>
      <c r="L434">
        <v>27</v>
      </c>
    </row>
    <row r="435" spans="1:12" x14ac:dyDescent="0.2">
      <c r="A435"/>
      <c r="B435"/>
      <c r="C435"/>
      <c r="D435"/>
      <c r="E435" s="2">
        <f>Comuni__2[[#This Row],[Popolazione2011]]/$D$7911</f>
        <v>7.2362459453252483E-6</v>
      </c>
      <c r="F435">
        <f>SUMIFS($D$2:$D$7909, $B$2:$B$7909, "Basilicata")</f>
        <v>578036</v>
      </c>
      <c r="G435" s="1">
        <f>Comuni__2[[#This Row],[Popolazione2011]]/Comuni__2[[#This Row],[POPOLAZIONE TOTALE DI OGNI REGIONE (CON FILTRO)]]</f>
        <v>7.4389830391186713E-4</v>
      </c>
      <c r="H435" t="str">
        <f>IF(Comuni__2[[#This Row],[Popolazione2011]]&gt;300000,"MAGGIORE","")</f>
        <v/>
      </c>
      <c r="J435">
        <v>2</v>
      </c>
      <c r="K435">
        <v>373</v>
      </c>
      <c r="L435">
        <v>28</v>
      </c>
    </row>
    <row r="436" spans="1:12" x14ac:dyDescent="0.2">
      <c r="A436"/>
      <c r="B436"/>
      <c r="C436"/>
      <c r="D436"/>
      <c r="E436" s="2">
        <f>Comuni__2[[#This Row],[Popolazione2011]]/$D$7911</f>
        <v>6.0750808982846848E-6</v>
      </c>
      <c r="F436">
        <f>SUMIFS($D$2:$D$7909, $B$2:$B$7909, "Basilicata")</f>
        <v>578036</v>
      </c>
      <c r="G436" s="1">
        <f>Comuni__2[[#This Row],[Popolazione2011]]/Comuni__2[[#This Row],[POPOLAZIONE TOTALE DI OGNI REGIONE (CON FILTRO)]]</f>
        <v>6.2452857607484653E-4</v>
      </c>
      <c r="H436" t="str">
        <f>IF(Comuni__2[[#This Row],[Popolazione2011]]&gt;300000,"MAGGIORE","")</f>
        <v/>
      </c>
      <c r="J436">
        <v>2</v>
      </c>
      <c r="K436">
        <v>373</v>
      </c>
      <c r="L436">
        <v>28</v>
      </c>
    </row>
    <row r="437" spans="1:12" x14ac:dyDescent="0.2">
      <c r="A437"/>
      <c r="B437"/>
      <c r="C437"/>
      <c r="D437"/>
      <c r="E437" s="2">
        <f>Comuni__2[[#This Row],[Popolazione2011]]/$D$7911</f>
        <v>5.1495145564407581E-6</v>
      </c>
      <c r="F437">
        <f>SUMIFS($D$2:$D$7909, $B$2:$B$7909, "Basilicata")</f>
        <v>578036</v>
      </c>
      <c r="G437" s="1">
        <f>Comuni__2[[#This Row],[Popolazione2011]]/Comuni__2[[#This Row],[POPOLAZIONE TOTALE DI OGNI REGIONE (CON FILTRO)]]</f>
        <v>5.2937879301635197E-4</v>
      </c>
      <c r="H437" t="str">
        <f>IF(Comuni__2[[#This Row],[Popolazione2011]]&gt;300000,"MAGGIORE","")</f>
        <v/>
      </c>
      <c r="J437">
        <v>2</v>
      </c>
      <c r="K437">
        <v>373</v>
      </c>
      <c r="L437">
        <v>28</v>
      </c>
    </row>
    <row r="438" spans="1:12" x14ac:dyDescent="0.2">
      <c r="A438"/>
      <c r="B438"/>
      <c r="C438"/>
      <c r="D438"/>
      <c r="E438" s="2">
        <f>Comuni__2[[#This Row],[Popolazione2011]]/$D$7911</f>
        <v>3.0428750769671518E-3</v>
      </c>
      <c r="F438">
        <f>SUMIFS($D$2:$D$7909, $B$2:$B$7909, "Calabria")</f>
        <v>1959050</v>
      </c>
      <c r="G438" s="1">
        <f>Comuni__2[[#This Row],[Popolazione2011]]/Comuni__2[[#This Row],[POPOLAZIONE TOTALE DI OGNI REGIONE (CON FILTRO)]]</f>
        <v>9.2298307853296235E-2</v>
      </c>
      <c r="H438" t="str">
        <f>IF(Comuni__2[[#This Row],[Popolazione2011]]&gt;300000,"MAGGIORE","")</f>
        <v/>
      </c>
      <c r="J438">
        <v>2</v>
      </c>
      <c r="K438">
        <v>373</v>
      </c>
      <c r="L438">
        <v>28</v>
      </c>
    </row>
    <row r="439" spans="1:12" x14ac:dyDescent="0.2">
      <c r="A439"/>
      <c r="B439"/>
      <c r="C439"/>
      <c r="D439"/>
      <c r="E439" s="2">
        <f>Comuni__2[[#This Row],[Popolazione2011]]/$D$7911</f>
        <v>1.5038601922280127E-3</v>
      </c>
      <c r="F439">
        <f>SUMIFS($D$2:$D$7909, $B$2:$B$7909, "Calabria")</f>
        <v>1959050</v>
      </c>
      <c r="G439" s="1">
        <f>Comuni__2[[#This Row],[Popolazione2011]]/Comuni__2[[#This Row],[POPOLAZIONE TOTALE DI OGNI REGIONE (CON FILTRO)]]</f>
        <v>4.5615987340802938E-2</v>
      </c>
      <c r="H439" t="str">
        <f>IF(Comuni__2[[#This Row],[Popolazione2011]]&gt;300000,"MAGGIORE","")</f>
        <v/>
      </c>
      <c r="J439">
        <v>2</v>
      </c>
      <c r="K439">
        <v>373</v>
      </c>
      <c r="L439">
        <v>28</v>
      </c>
    </row>
    <row r="440" spans="1:12" x14ac:dyDescent="0.2">
      <c r="A440"/>
      <c r="B440"/>
      <c r="C440"/>
      <c r="D440"/>
      <c r="E440" s="2">
        <f>Comuni__2[[#This Row],[Popolazione2011]]/$D$7911</f>
        <v>1.2595779918969864E-3</v>
      </c>
      <c r="F440">
        <f>SUMIFS($D$2:$D$7909, $B$2:$B$7909, "Calabria")</f>
        <v>1959050</v>
      </c>
      <c r="G440" s="1">
        <f>Comuni__2[[#This Row],[Popolazione2011]]/Comuni__2[[#This Row],[POPOLAZIONE TOTALE DI OGNI REGIONE (CON FILTRO)]]</f>
        <v>3.820627344886552E-2</v>
      </c>
      <c r="H440" t="str">
        <f>IF(Comuni__2[[#This Row],[Popolazione2011]]&gt;300000,"MAGGIORE","")</f>
        <v/>
      </c>
      <c r="J440">
        <v>2</v>
      </c>
      <c r="K440">
        <v>373</v>
      </c>
      <c r="L440">
        <v>28</v>
      </c>
    </row>
    <row r="441" spans="1:12" x14ac:dyDescent="0.2">
      <c r="A441"/>
      <c r="B441"/>
      <c r="C441"/>
      <c r="D441"/>
      <c r="E441" s="2">
        <f>Comuni__2[[#This Row],[Popolazione2011]]/$D$7911</f>
        <v>1.1836478949078992E-3</v>
      </c>
      <c r="F441">
        <f>SUMIFS($D$2:$D$7909, $B$2:$B$7909, "Calabria")</f>
        <v>1959050</v>
      </c>
      <c r="G441" s="1">
        <f>Comuni__2[[#This Row],[Popolazione2011]]/Comuni__2[[#This Row],[POPOLAZIONE TOTALE DI OGNI REGIONE (CON FILTRO)]]</f>
        <v>3.5903116306372988E-2</v>
      </c>
      <c r="H441" t="str">
        <f>IF(Comuni__2[[#This Row],[Popolazione2011]]&gt;300000,"MAGGIORE","")</f>
        <v/>
      </c>
      <c r="J441">
        <v>2</v>
      </c>
      <c r="K441">
        <v>374</v>
      </c>
      <c r="L441">
        <v>28</v>
      </c>
    </row>
    <row r="442" spans="1:12" x14ac:dyDescent="0.2">
      <c r="A442"/>
      <c r="B442"/>
      <c r="C442"/>
      <c r="D442"/>
      <c r="E442" s="2">
        <f>Comuni__2[[#This Row],[Popolazione2011]]/$D$7911</f>
        <v>1.1693100308487897E-3</v>
      </c>
      <c r="F442">
        <f>SUMIFS($D$2:$D$7909, $B$2:$B$7909, "Calabria")</f>
        <v>1959050</v>
      </c>
      <c r="G442" s="1">
        <f>Comuni__2[[#This Row],[Popolazione2011]]/Comuni__2[[#This Row],[POPOLAZIONE TOTALE DI OGNI REGIONE (CON FILTRO)]]</f>
        <v>3.5468211633189556E-2</v>
      </c>
      <c r="H442" t="str">
        <f>IF(Comuni__2[[#This Row],[Popolazione2011]]&gt;300000,"MAGGIORE","")</f>
        <v/>
      </c>
      <c r="J442">
        <v>2</v>
      </c>
      <c r="K442">
        <v>374</v>
      </c>
      <c r="L442">
        <v>28</v>
      </c>
    </row>
    <row r="443" spans="1:12" x14ac:dyDescent="0.2">
      <c r="A443"/>
      <c r="B443"/>
      <c r="C443"/>
      <c r="D443"/>
      <c r="E443" s="2">
        <f>Comuni__2[[#This Row],[Popolazione2011]]/$D$7911</f>
        <v>9.9087766862022302E-4</v>
      </c>
      <c r="F443">
        <f>SUMIFS($D$2:$D$7909, $B$2:$B$7909, "Calabria")</f>
        <v>1959050</v>
      </c>
      <c r="G443" s="1">
        <f>Comuni__2[[#This Row],[Popolazione2011]]/Comuni__2[[#This Row],[POPOLAZIONE TOTALE DI OGNI REGIONE (CON FILTRO)]]</f>
        <v>3.0055894438630968E-2</v>
      </c>
      <c r="H443" t="str">
        <f>IF(Comuni__2[[#This Row],[Popolazione2011]]&gt;300000,"MAGGIORE","")</f>
        <v/>
      </c>
      <c r="J443">
        <v>2</v>
      </c>
      <c r="K443">
        <v>374</v>
      </c>
      <c r="L443">
        <v>28</v>
      </c>
    </row>
    <row r="444" spans="1:12" x14ac:dyDescent="0.2">
      <c r="A444"/>
      <c r="B444"/>
      <c r="C444"/>
      <c r="D444"/>
      <c r="E444" s="2">
        <f>Comuni__2[[#This Row],[Popolazione2011]]/$D$7911</f>
        <v>5.6467961091950856E-4</v>
      </c>
      <c r="F444">
        <f>SUMIFS($D$2:$D$7909, $B$2:$B$7909, "Calabria")</f>
        <v>1959050</v>
      </c>
      <c r="G444" s="1">
        <f>Comuni__2[[#This Row],[Popolazione2011]]/Comuni__2[[#This Row],[POPOLAZIONE TOTALE DI OGNI REGIONE (CON FILTRO)]]</f>
        <v>1.7128199892805188E-2</v>
      </c>
      <c r="H444" t="str">
        <f>IF(Comuni__2[[#This Row],[Popolazione2011]]&gt;300000,"MAGGIORE","")</f>
        <v/>
      </c>
      <c r="J444">
        <v>2</v>
      </c>
      <c r="K444">
        <v>374</v>
      </c>
      <c r="L444">
        <v>28</v>
      </c>
    </row>
    <row r="445" spans="1:12" x14ac:dyDescent="0.2">
      <c r="A445"/>
      <c r="B445"/>
      <c r="C445"/>
      <c r="D445"/>
      <c r="E445" s="2">
        <f>Comuni__2[[#This Row],[Popolazione2011]]/$D$7911</f>
        <v>5.6134757208887043E-4</v>
      </c>
      <c r="F445">
        <f>SUMIFS($D$2:$D$7909, $B$2:$B$7909, "Calabria")</f>
        <v>1959050</v>
      </c>
      <c r="G445" s="1">
        <f>Comuni__2[[#This Row],[Popolazione2011]]/Comuni__2[[#This Row],[POPOLAZIONE TOTALE DI OGNI REGIONE (CON FILTRO)]]</f>
        <v>1.7027130496924531E-2</v>
      </c>
      <c r="H445" t="str">
        <f>IF(Comuni__2[[#This Row],[Popolazione2011]]&gt;300000,"MAGGIORE","")</f>
        <v/>
      </c>
      <c r="J445">
        <v>2</v>
      </c>
      <c r="K445">
        <v>374</v>
      </c>
      <c r="L445">
        <v>28</v>
      </c>
    </row>
    <row r="446" spans="1:12" x14ac:dyDescent="0.2">
      <c r="A446"/>
      <c r="B446"/>
      <c r="C446"/>
      <c r="D446"/>
      <c r="E446" s="2">
        <f>Comuni__2[[#This Row],[Popolazione2011]]/$D$7911</f>
        <v>3.7889320339301851E-4</v>
      </c>
      <c r="F446">
        <f>SUMIFS($D$2:$D$7909, $B$2:$B$7909, "Calabria")</f>
        <v>1959050</v>
      </c>
      <c r="G446" s="1">
        <f>Comuni__2[[#This Row],[Popolazione2011]]/Comuni__2[[#This Row],[POPOLAZIONE TOTALE DI OGNI REGIONE (CON FILTRO)]]</f>
        <v>1.1492815395217069E-2</v>
      </c>
      <c r="H446" t="str">
        <f>IF(Comuni__2[[#This Row],[Popolazione2011]]&gt;300000,"MAGGIORE","")</f>
        <v/>
      </c>
      <c r="J446">
        <v>2</v>
      </c>
      <c r="K446">
        <v>374</v>
      </c>
      <c r="L446">
        <v>28</v>
      </c>
    </row>
    <row r="447" spans="1:12" x14ac:dyDescent="0.2">
      <c r="A447"/>
      <c r="B447"/>
      <c r="C447"/>
      <c r="D447"/>
      <c r="E447" s="2">
        <f>Comuni__2[[#This Row],[Popolazione2011]]/$D$7911</f>
        <v>3.6110550115067247E-4</v>
      </c>
      <c r="F447">
        <f>SUMIFS($D$2:$D$7909, $B$2:$B$7909, "Calabria")</f>
        <v>1959050</v>
      </c>
      <c r="G447" s="1">
        <f>Comuni__2[[#This Row],[Popolazione2011]]/Comuni__2[[#This Row],[POPOLAZIONE TOTALE DI OGNI REGIONE (CON FILTRO)]]</f>
        <v>1.0953268165692556E-2</v>
      </c>
      <c r="H447" t="str">
        <f>IF(Comuni__2[[#This Row],[Popolazione2011]]&gt;300000,"MAGGIORE","")</f>
        <v/>
      </c>
      <c r="J447">
        <v>2</v>
      </c>
      <c r="K447">
        <v>374</v>
      </c>
      <c r="L447">
        <v>28</v>
      </c>
    </row>
    <row r="448" spans="1:12" x14ac:dyDescent="0.2">
      <c r="A448"/>
      <c r="B448"/>
      <c r="C448"/>
      <c r="D448"/>
      <c r="E448" s="2">
        <f>Comuni__2[[#This Row],[Popolazione2011]]/$D$7911</f>
        <v>3.208012940831051E-4</v>
      </c>
      <c r="F448">
        <f>SUMIFS($D$2:$D$7909, $B$2:$B$7909, "Calabria")</f>
        <v>1959050</v>
      </c>
      <c r="G448" s="1">
        <f>Comuni__2[[#This Row],[Popolazione2011]]/Comuni__2[[#This Row],[POPOLAZIONE TOTALE DI OGNI REGIONE (CON FILTRO)]]</f>
        <v>9.7307368367320901E-3</v>
      </c>
      <c r="H448" t="str">
        <f>IF(Comuni__2[[#This Row],[Popolazione2011]]&gt;300000,"MAGGIORE","")</f>
        <v/>
      </c>
      <c r="J448">
        <v>2</v>
      </c>
      <c r="K448">
        <v>374</v>
      </c>
      <c r="L448">
        <v>28</v>
      </c>
    </row>
    <row r="449" spans="1:12" x14ac:dyDescent="0.2">
      <c r="A449"/>
      <c r="B449"/>
      <c r="C449"/>
      <c r="D449"/>
      <c r="E449" s="2">
        <f>Comuni__2[[#This Row],[Popolazione2011]]/$D$7911</f>
        <v>3.1504595428473014E-4</v>
      </c>
      <c r="F449">
        <f>SUMIFS($D$2:$D$7909, $B$2:$B$7909, "Calabria")</f>
        <v>1959050</v>
      </c>
      <c r="G449" s="1">
        <f>Comuni__2[[#This Row],[Popolazione2011]]/Comuni__2[[#This Row],[POPOLAZIONE TOTALE DI OGNI REGIONE (CON FILTRO)]]</f>
        <v>9.5561624256655011E-3</v>
      </c>
      <c r="H449" t="str">
        <f>IF(Comuni__2[[#This Row],[Popolazione2011]]&gt;300000,"MAGGIORE","")</f>
        <v/>
      </c>
      <c r="J449">
        <v>2</v>
      </c>
      <c r="K449">
        <v>374</v>
      </c>
      <c r="L449">
        <v>28</v>
      </c>
    </row>
    <row r="450" spans="1:12" x14ac:dyDescent="0.2">
      <c r="A450"/>
      <c r="B450"/>
      <c r="C450"/>
      <c r="D450"/>
      <c r="E450" s="2">
        <f>Comuni__2[[#This Row],[Popolazione2011]]/$D$7911</f>
        <v>3.0573980542946305E-4</v>
      </c>
      <c r="F450">
        <f>SUMIFS($D$2:$D$7909, $B$2:$B$7909, "Calabria")</f>
        <v>1959050</v>
      </c>
      <c r="G450" s="1">
        <f>Comuni__2[[#This Row],[Popolazione2011]]/Comuni__2[[#This Row],[POPOLAZIONE TOTALE DI OGNI REGIONE (CON FILTRO)]]</f>
        <v>9.2738827492917491E-3</v>
      </c>
      <c r="H450" t="str">
        <f>IF(Comuni__2[[#This Row],[Popolazione2011]]&gt;300000,"MAGGIORE","")</f>
        <v/>
      </c>
      <c r="J450">
        <v>2</v>
      </c>
      <c r="K450">
        <v>374</v>
      </c>
      <c r="L450">
        <v>28</v>
      </c>
    </row>
    <row r="451" spans="1:12" x14ac:dyDescent="0.2">
      <c r="A451"/>
      <c r="B451"/>
      <c r="C451"/>
      <c r="D451"/>
      <c r="E451" s="2">
        <f>Comuni__2[[#This Row],[Popolazione2011]]/$D$7911</f>
        <v>3.0143171482015311E-4</v>
      </c>
      <c r="F451">
        <f>SUMIFS($D$2:$D$7909, $B$2:$B$7909, "Calabria")</f>
        <v>1959050</v>
      </c>
      <c r="G451" s="1">
        <f>Comuni__2[[#This Row],[Popolazione2011]]/Comuni__2[[#This Row],[POPOLAZIONE TOTALE DI OGNI REGIONE (CON FILTRO)]]</f>
        <v>9.1432071667389807E-3</v>
      </c>
      <c r="H451" t="str">
        <f>IF(Comuni__2[[#This Row],[Popolazione2011]]&gt;300000,"MAGGIORE","")</f>
        <v/>
      </c>
      <c r="J451">
        <v>2</v>
      </c>
      <c r="K451">
        <v>374</v>
      </c>
      <c r="L451">
        <v>28</v>
      </c>
    </row>
    <row r="452" spans="1:12" x14ac:dyDescent="0.2">
      <c r="A452"/>
      <c r="B452"/>
      <c r="C452"/>
      <c r="D452"/>
      <c r="E452" s="2">
        <f>Comuni__2[[#This Row],[Popolazione2011]]/$D$7911</f>
        <v>2.9081294460736189E-4</v>
      </c>
      <c r="F452">
        <f>SUMIFS($D$2:$D$7909, $B$2:$B$7909, "Calabria")</f>
        <v>1959050</v>
      </c>
      <c r="G452" s="1">
        <f>Comuni__2[[#This Row],[Popolazione2011]]/Comuni__2[[#This Row],[POPOLAZIONE TOTALE DI OGNI REGIONE (CON FILTRO)]]</f>
        <v>8.8211122738061816E-3</v>
      </c>
      <c r="H452" t="str">
        <f>IF(Comuni__2[[#This Row],[Popolazione2011]]&gt;300000,"MAGGIORE","")</f>
        <v/>
      </c>
      <c r="J452">
        <v>2</v>
      </c>
      <c r="K452">
        <v>373</v>
      </c>
      <c r="L452">
        <v>28</v>
      </c>
    </row>
    <row r="453" spans="1:12" x14ac:dyDescent="0.2">
      <c r="A453"/>
      <c r="B453"/>
      <c r="C453"/>
      <c r="D453"/>
      <c r="E453" s="2">
        <f>Comuni__2[[#This Row],[Popolazione2011]]/$D$7911</f>
        <v>2.8404789607242991E-4</v>
      </c>
      <c r="F453">
        <f>SUMIFS($D$2:$D$7909, $B$2:$B$7909, "Calabria")</f>
        <v>1959050</v>
      </c>
      <c r="G453" s="1">
        <f>Comuni__2[[#This Row],[Popolazione2011]]/Comuni__2[[#This Row],[POPOLAZIONE TOTALE DI OGNI REGIONE (CON FILTRO)]]</f>
        <v>8.6159107730787877E-3</v>
      </c>
      <c r="H453" t="str">
        <f>IF(Comuni__2[[#This Row],[Popolazione2011]]&gt;300000,"MAGGIORE","")</f>
        <v/>
      </c>
      <c r="J453">
        <v>2</v>
      </c>
      <c r="K453">
        <v>373</v>
      </c>
      <c r="L453">
        <v>28</v>
      </c>
    </row>
    <row r="454" spans="1:12" x14ac:dyDescent="0.2">
      <c r="A454"/>
      <c r="B454"/>
      <c r="C454"/>
      <c r="D454"/>
      <c r="E454" s="2">
        <f>Comuni__2[[#This Row],[Popolazione2011]]/$D$7911</f>
        <v>2.762563103219983E-4</v>
      </c>
      <c r="F454">
        <f>SUMIFS($D$2:$D$7909, $B$2:$B$7909, "Calabria")</f>
        <v>1959050</v>
      </c>
      <c r="G454" s="1">
        <f>Comuni__2[[#This Row],[Popolazione2011]]/Comuni__2[[#This Row],[POPOLAZIONE TOTALE DI OGNI REGIONE (CON FILTRO)]]</f>
        <v>8.379571731196243E-3</v>
      </c>
      <c r="H454" t="str">
        <f>IF(Comuni__2[[#This Row],[Popolazione2011]]&gt;300000,"MAGGIORE","")</f>
        <v/>
      </c>
      <c r="J454">
        <v>2</v>
      </c>
      <c r="K454">
        <v>373</v>
      </c>
      <c r="L454">
        <v>28</v>
      </c>
    </row>
    <row r="455" spans="1:12" x14ac:dyDescent="0.2">
      <c r="A455"/>
      <c r="B455"/>
      <c r="C455"/>
      <c r="D455"/>
      <c r="E455" s="2">
        <f>Comuni__2[[#This Row],[Popolazione2011]]/$D$7911</f>
        <v>2.6634433622479698E-4</v>
      </c>
      <c r="F455">
        <f>SUMIFS($D$2:$D$7909, $B$2:$B$7909, "Calabria")</f>
        <v>1959050</v>
      </c>
      <c r="G455" s="1">
        <f>Comuni__2[[#This Row],[Popolazione2011]]/Comuni__2[[#This Row],[POPOLAZIONE TOTALE DI OGNI REGIONE (CON FILTRO)]]</f>
        <v>8.0789158010260067E-3</v>
      </c>
      <c r="H455" t="str">
        <f>IF(Comuni__2[[#This Row],[Popolazione2011]]&gt;300000,"MAGGIORE","")</f>
        <v/>
      </c>
      <c r="J455">
        <v>2</v>
      </c>
      <c r="K455">
        <v>373</v>
      </c>
      <c r="L455">
        <v>28</v>
      </c>
    </row>
    <row r="456" spans="1:12" x14ac:dyDescent="0.2">
      <c r="A456"/>
      <c r="B456"/>
      <c r="C456"/>
      <c r="D456"/>
      <c r="E456" s="2">
        <f>Comuni__2[[#This Row],[Popolazione2011]]/$D$7911</f>
        <v>2.5764401261146408E-4</v>
      </c>
      <c r="F456">
        <f>SUMIFS($D$2:$D$7909, $B$2:$B$7909, "Calabria")</f>
        <v>1959050</v>
      </c>
      <c r="G456" s="1">
        <f>Comuni__2[[#This Row],[Popolazione2011]]/Comuni__2[[#This Row],[POPOLAZIONE TOTALE DI OGNI REGIONE (CON FILTRO)]]</f>
        <v>7.8150123784487373E-3</v>
      </c>
      <c r="H456" t="str">
        <f>IF(Comuni__2[[#This Row],[Popolazione2011]]&gt;300000,"MAGGIORE","")</f>
        <v/>
      </c>
      <c r="J456">
        <v>2</v>
      </c>
      <c r="K456">
        <v>373</v>
      </c>
      <c r="L456">
        <v>28</v>
      </c>
    </row>
    <row r="457" spans="1:12" x14ac:dyDescent="0.2">
      <c r="A457"/>
      <c r="B457"/>
      <c r="C457"/>
      <c r="D457"/>
      <c r="E457" s="2">
        <f>Comuni__2[[#This Row],[Popolazione2011]]/$D$7911</f>
        <v>2.5328543656532627E-4</v>
      </c>
      <c r="F457">
        <f>SUMIFS($D$2:$D$7909, $B$2:$B$7909, "Calabria")</f>
        <v>1959050</v>
      </c>
      <c r="G457" s="1">
        <f>Comuni__2[[#This Row],[Popolazione2011]]/Comuni__2[[#This Row],[POPOLAZIONE TOTALE DI OGNI REGIONE (CON FILTRO)]]</f>
        <v>7.6828054414129297E-3</v>
      </c>
      <c r="H457" t="str">
        <f>IF(Comuni__2[[#This Row],[Popolazione2011]]&gt;300000,"MAGGIORE","")</f>
        <v/>
      </c>
      <c r="J457">
        <v>0</v>
      </c>
      <c r="K457">
        <v>376</v>
      </c>
      <c r="L457">
        <v>28</v>
      </c>
    </row>
    <row r="458" spans="1:12" x14ac:dyDescent="0.2">
      <c r="A458"/>
      <c r="B458"/>
      <c r="C458"/>
      <c r="D458"/>
      <c r="E458" s="2">
        <f>Comuni__2[[#This Row],[Popolazione2011]]/$D$7911</f>
        <v>2.4199352719483038E-4</v>
      </c>
      <c r="F458">
        <f>SUMIFS($D$2:$D$7909, $B$2:$B$7909, "Calabria")</f>
        <v>1959050</v>
      </c>
      <c r="G458" s="1">
        <f>Comuni__2[[#This Row],[Popolazione2011]]/Comuni__2[[#This Row],[POPOLAZIONE TOTALE DI OGNI REGIONE (CON FILTRO)]]</f>
        <v>7.3402924887062604E-3</v>
      </c>
      <c r="H458" t="str">
        <f>IF(Comuni__2[[#This Row],[Popolazione2011]]&gt;300000,"MAGGIORE","")</f>
        <v/>
      </c>
      <c r="J458">
        <v>0</v>
      </c>
      <c r="K458">
        <v>376</v>
      </c>
      <c r="L458">
        <v>28</v>
      </c>
    </row>
    <row r="459" spans="1:12" x14ac:dyDescent="0.2">
      <c r="A459"/>
      <c r="B459"/>
      <c r="C459"/>
      <c r="D459"/>
      <c r="E459" s="2">
        <f>Comuni__2[[#This Row],[Popolazione2011]]/$D$7911</f>
        <v>2.3145889937675222E-4</v>
      </c>
      <c r="F459">
        <f>SUMIFS($D$2:$D$7909, $B$2:$B$7909, "Calabria")</f>
        <v>1959050</v>
      </c>
      <c r="G459" s="1">
        <f>Comuni__2[[#This Row],[Popolazione2011]]/Comuni__2[[#This Row],[POPOLAZIONE TOTALE DI OGNI REGIONE (CON FILTRO)]]</f>
        <v>7.0207498532451956E-3</v>
      </c>
      <c r="H459" t="str">
        <f>IF(Comuni__2[[#This Row],[Popolazione2011]]&gt;300000,"MAGGIORE","")</f>
        <v/>
      </c>
      <c r="J459">
        <v>0</v>
      </c>
      <c r="K459">
        <v>377</v>
      </c>
      <c r="L459">
        <v>28</v>
      </c>
    </row>
    <row r="460" spans="1:12" x14ac:dyDescent="0.2">
      <c r="A460"/>
      <c r="B460"/>
      <c r="C460"/>
      <c r="D460"/>
      <c r="E460" s="2">
        <f>Comuni__2[[#This Row],[Popolazione2011]]/$D$7911</f>
        <v>2.2541747543635278E-4</v>
      </c>
      <c r="F460">
        <f>SUMIFS($D$2:$D$7909, $B$2:$B$7909, "Calabria")</f>
        <v>1959050</v>
      </c>
      <c r="G460" s="1">
        <f>Comuni__2[[#This Row],[Popolazione2011]]/Comuni__2[[#This Row],[POPOLAZIONE TOTALE DI OGNI REGIONE (CON FILTRO)]]</f>
        <v>6.837497766774712E-3</v>
      </c>
      <c r="H460" t="str">
        <f>IF(Comuni__2[[#This Row],[Popolazione2011]]&gt;300000,"MAGGIORE","")</f>
        <v/>
      </c>
      <c r="J460">
        <v>0</v>
      </c>
      <c r="K460">
        <v>377</v>
      </c>
      <c r="L460">
        <v>28</v>
      </c>
    </row>
    <row r="461" spans="1:12" x14ac:dyDescent="0.2">
      <c r="A461"/>
      <c r="B461"/>
      <c r="C461"/>
      <c r="D461"/>
      <c r="E461" s="2">
        <f>Comuni__2[[#This Row],[Popolazione2011]]/$D$7911</f>
        <v>2.096660191460634E-4</v>
      </c>
      <c r="F461">
        <f>SUMIFS($D$2:$D$7909, $B$2:$B$7909, "Calabria")</f>
        <v>1959050</v>
      </c>
      <c r="G461" s="1">
        <f>Comuni__2[[#This Row],[Popolazione2011]]/Comuni__2[[#This Row],[POPOLAZIONE TOTALE DI OGNI REGIONE (CON FILTRO)]]</f>
        <v>6.3597151680661549E-3</v>
      </c>
      <c r="H461" t="str">
        <f>IF(Comuni__2[[#This Row],[Popolazione2011]]&gt;300000,"MAGGIORE","")</f>
        <v/>
      </c>
      <c r="J461">
        <v>0</v>
      </c>
      <c r="K461">
        <v>390</v>
      </c>
      <c r="L461">
        <v>28</v>
      </c>
    </row>
    <row r="462" spans="1:12" x14ac:dyDescent="0.2">
      <c r="A462"/>
      <c r="B462"/>
      <c r="C462"/>
      <c r="D462"/>
      <c r="E462" s="2">
        <f>Comuni__2[[#This Row],[Popolazione2011]]/$D$7911</f>
        <v>1.8704854344718636E-4</v>
      </c>
      <c r="F462">
        <f>SUMIFS($D$2:$D$7909, $B$2:$B$7909, "Calabria")</f>
        <v>1959050</v>
      </c>
      <c r="G462" s="1">
        <f>Comuni__2[[#This Row],[Popolazione2011]]/Comuni__2[[#This Row],[POPOLAZIONE TOTALE DI OGNI REGIONE (CON FILTRO)]]</f>
        <v>5.6736683596641229E-3</v>
      </c>
      <c r="H462" t="str">
        <f>IF(Comuni__2[[#This Row],[Popolazione2011]]&gt;300000,"MAGGIORE","")</f>
        <v/>
      </c>
      <c r="J462">
        <v>0</v>
      </c>
      <c r="K462">
        <v>392</v>
      </c>
      <c r="L462">
        <v>28</v>
      </c>
    </row>
    <row r="463" spans="1:12" x14ac:dyDescent="0.2">
      <c r="A463"/>
      <c r="B463"/>
      <c r="C463"/>
      <c r="D463"/>
      <c r="E463" s="2">
        <f>Comuni__2[[#This Row],[Popolazione2011]]/$D$7911</f>
        <v>1.8077152080159026E-4</v>
      </c>
      <c r="F463">
        <f>SUMIFS($D$2:$D$7909, $B$2:$B$7909, "Calabria")</f>
        <v>1959050</v>
      </c>
      <c r="G463" s="1">
        <f>Comuni__2[[#This Row],[Popolazione2011]]/Comuni__2[[#This Row],[POPOLAZIONE TOTALE DI OGNI REGIONE (CON FILTRO)]]</f>
        <v>5.4832699522727856E-3</v>
      </c>
      <c r="H463" t="str">
        <f>IF(Comuni__2[[#This Row],[Popolazione2011]]&gt;300000,"MAGGIORE","")</f>
        <v/>
      </c>
      <c r="J463">
        <v>0</v>
      </c>
      <c r="K463">
        <v>392</v>
      </c>
      <c r="L463">
        <v>28</v>
      </c>
    </row>
    <row r="464" spans="1:12" x14ac:dyDescent="0.2">
      <c r="A464"/>
      <c r="B464"/>
      <c r="C464"/>
      <c r="D464"/>
      <c r="E464" s="2">
        <f>Comuni__2[[#This Row],[Popolazione2011]]/$D$7911</f>
        <v>1.7875210332847624E-4</v>
      </c>
      <c r="F464">
        <f>SUMIFS($D$2:$D$7909, $B$2:$B$7909, "Calabria")</f>
        <v>1959050</v>
      </c>
      <c r="G464" s="1">
        <f>Comuni__2[[#This Row],[Popolazione2011]]/Comuni__2[[#This Row],[POPOLAZIONE TOTALE DI OGNI REGIONE (CON FILTRO)]]</f>
        <v>5.4220157729511749E-3</v>
      </c>
      <c r="H464" t="str">
        <f>IF(Comuni__2[[#This Row],[Popolazione2011]]&gt;300000,"MAGGIORE","")</f>
        <v/>
      </c>
      <c r="J464">
        <v>0</v>
      </c>
      <c r="K464">
        <v>392</v>
      </c>
      <c r="L464">
        <v>28</v>
      </c>
    </row>
    <row r="465" spans="1:12" x14ac:dyDescent="0.2">
      <c r="A465"/>
      <c r="B465"/>
      <c r="C465"/>
      <c r="D465"/>
      <c r="E465" s="2">
        <f>Comuni__2[[#This Row],[Popolazione2011]]/$D$7911</f>
        <v>1.7469643990330558E-4</v>
      </c>
      <c r="F465">
        <f>SUMIFS($D$2:$D$7909, $B$2:$B$7909, "Calabria")</f>
        <v>1959050</v>
      </c>
      <c r="G465" s="1">
        <f>Comuni__2[[#This Row],[Popolazione2011]]/Comuni__2[[#This Row],[POPOLAZIONE TOTALE DI OGNI REGIONE (CON FILTRO)]]</f>
        <v>5.2989969628136086E-3</v>
      </c>
      <c r="H465" t="str">
        <f>IF(Comuni__2[[#This Row],[Popolazione2011]]&gt;300000,"MAGGIORE","")</f>
        <v/>
      </c>
      <c r="J465">
        <v>0</v>
      </c>
      <c r="K465">
        <v>393</v>
      </c>
      <c r="L465">
        <v>28</v>
      </c>
    </row>
    <row r="466" spans="1:12" x14ac:dyDescent="0.2">
      <c r="A466"/>
      <c r="B466"/>
      <c r="C466"/>
      <c r="D466"/>
      <c r="E466" s="2">
        <f>Comuni__2[[#This Row],[Popolazione2011]]/$D$7911</f>
        <v>1.7407378618242877E-4</v>
      </c>
      <c r="F466">
        <f>SUMIFS($D$2:$D$7909, $B$2:$B$7909, "Calabria")</f>
        <v>1959050</v>
      </c>
      <c r="G466" s="1">
        <f>Comuni__2[[#This Row],[Popolazione2011]]/Comuni__2[[#This Row],[POPOLAZIONE TOTALE DI OGNI REGIONE (CON FILTRO)]]</f>
        <v>5.2801102575227793E-3</v>
      </c>
      <c r="H466" t="str">
        <f>IF(Comuni__2[[#This Row],[Popolazione2011]]&gt;300000,"MAGGIORE","")</f>
        <v/>
      </c>
      <c r="J466">
        <v>0</v>
      </c>
      <c r="K466">
        <v>393</v>
      </c>
      <c r="L466">
        <v>28</v>
      </c>
    </row>
    <row r="467" spans="1:12" x14ac:dyDescent="0.2">
      <c r="A467"/>
      <c r="B467"/>
      <c r="C467"/>
      <c r="D467"/>
      <c r="E467" s="2">
        <f>Comuni__2[[#This Row],[Popolazione2011]]/$D$7911</f>
        <v>1.7392232987194521E-4</v>
      </c>
      <c r="F467">
        <f>SUMIFS($D$2:$D$7909, $B$2:$B$7909, "Calabria")</f>
        <v>1959050</v>
      </c>
      <c r="G467" s="1">
        <f>Comuni__2[[#This Row],[Popolazione2011]]/Comuni__2[[#This Row],[POPOLAZIONE TOTALE DI OGNI REGIONE (CON FILTRO)]]</f>
        <v>5.2755161940736582E-3</v>
      </c>
      <c r="H467" t="str">
        <f>IF(Comuni__2[[#This Row],[Popolazione2011]]&gt;300000,"MAGGIORE","")</f>
        <v/>
      </c>
      <c r="J467">
        <v>0</v>
      </c>
      <c r="K467">
        <v>393</v>
      </c>
      <c r="L467">
        <v>28</v>
      </c>
    </row>
    <row r="468" spans="1:12" x14ac:dyDescent="0.2">
      <c r="A468"/>
      <c r="B468"/>
      <c r="C468"/>
      <c r="D468"/>
      <c r="E468" s="2">
        <f>Comuni__2[[#This Row],[Popolazione2011]]/$D$7911</f>
        <v>1.7266019395124893E-4</v>
      </c>
      <c r="F468">
        <f>SUMIFS($D$2:$D$7909, $B$2:$B$7909, "Calabria")</f>
        <v>1959050</v>
      </c>
      <c r="G468" s="1">
        <f>Comuni__2[[#This Row],[Popolazione2011]]/Comuni__2[[#This Row],[POPOLAZIONE TOTALE DI OGNI REGIONE (CON FILTRO)]]</f>
        <v>5.2372323319976521E-3</v>
      </c>
      <c r="H468" t="str">
        <f>IF(Comuni__2[[#This Row],[Popolazione2011]]&gt;300000,"MAGGIORE","")</f>
        <v/>
      </c>
      <c r="J468">
        <v>0</v>
      </c>
      <c r="K468">
        <v>403</v>
      </c>
      <c r="L468">
        <v>28</v>
      </c>
    </row>
    <row r="469" spans="1:12" x14ac:dyDescent="0.2">
      <c r="A469"/>
      <c r="B469"/>
      <c r="C469"/>
      <c r="D469"/>
      <c r="E469" s="2">
        <f>Comuni__2[[#This Row],[Popolazione2011]]/$D$7911</f>
        <v>1.7084271822544631E-4</v>
      </c>
      <c r="F469">
        <f>SUMIFS($D$2:$D$7909, $B$2:$B$7909, "Calabria")</f>
        <v>1959050</v>
      </c>
      <c r="G469" s="1">
        <f>Comuni__2[[#This Row],[Popolazione2011]]/Comuni__2[[#This Row],[POPOLAZIONE TOTALE DI OGNI REGIONE (CON FILTRO)]]</f>
        <v>5.1821035706082026E-3</v>
      </c>
      <c r="H469" t="str">
        <f>IF(Comuni__2[[#This Row],[Popolazione2011]]&gt;300000,"MAGGIORE","")</f>
        <v/>
      </c>
      <c r="J469">
        <v>0</v>
      </c>
      <c r="K469">
        <v>403</v>
      </c>
      <c r="L469">
        <v>28</v>
      </c>
    </row>
    <row r="470" spans="1:12" x14ac:dyDescent="0.2">
      <c r="A470"/>
      <c r="B470"/>
      <c r="C470"/>
      <c r="D470"/>
      <c r="E470" s="2">
        <f>Comuni__2[[#This Row],[Popolazione2011]]/$D$7911</f>
        <v>1.6937864055743867E-4</v>
      </c>
      <c r="F470">
        <f>SUMIFS($D$2:$D$7909, $B$2:$B$7909, "Calabria")</f>
        <v>1959050</v>
      </c>
      <c r="G470" s="1">
        <f>Comuni__2[[#This Row],[Popolazione2011]]/Comuni__2[[#This Row],[POPOLAZIONE TOTALE DI OGNI REGIONE (CON FILTRO)]]</f>
        <v>5.1376942906000362E-3</v>
      </c>
      <c r="H470" t="str">
        <f>IF(Comuni__2[[#This Row],[Popolazione2011]]&gt;300000,"MAGGIORE","")</f>
        <v/>
      </c>
      <c r="J470">
        <v>1</v>
      </c>
      <c r="K470">
        <v>403</v>
      </c>
      <c r="L470">
        <v>28</v>
      </c>
    </row>
    <row r="471" spans="1:12" x14ac:dyDescent="0.2">
      <c r="A471"/>
      <c r="B471"/>
      <c r="C471"/>
      <c r="D471"/>
      <c r="E471" s="2">
        <f>Comuni__2[[#This Row],[Popolazione2011]]/$D$7911</f>
        <v>1.677294496210622E-4</v>
      </c>
      <c r="F471">
        <f>SUMIFS($D$2:$D$7909, $B$2:$B$7909, "Calabria")</f>
        <v>1959050</v>
      </c>
      <c r="G471" s="1">
        <f>Comuni__2[[#This Row],[Popolazione2011]]/Comuni__2[[#This Row],[POPOLAZIONE TOTALE DI OGNI REGIONE (CON FILTRO)]]</f>
        <v>5.0876700441540544E-3</v>
      </c>
      <c r="H471" t="str">
        <f>IF(Comuni__2[[#This Row],[Popolazione2011]]&gt;300000,"MAGGIORE","")</f>
        <v/>
      </c>
      <c r="J471">
        <v>2</v>
      </c>
      <c r="K471">
        <v>404</v>
      </c>
      <c r="L471">
        <v>28</v>
      </c>
    </row>
    <row r="472" spans="1:12" x14ac:dyDescent="0.2">
      <c r="A472"/>
      <c r="B472"/>
      <c r="C472"/>
      <c r="D472"/>
      <c r="E472" s="2">
        <f>Comuni__2[[#This Row],[Popolazione2011]]/$D$7911</f>
        <v>1.6101488652295808E-4</v>
      </c>
      <c r="F472">
        <f>SUMIFS($D$2:$D$7909, $B$2:$B$7909, "Calabria")</f>
        <v>1959050</v>
      </c>
      <c r="G472" s="1">
        <f>Comuni__2[[#This Row],[Popolazione2011]]/Comuni__2[[#This Row],[POPOLAZIONE TOTALE DI OGNI REGIONE (CON FILTRO)]]</f>
        <v>4.8839998979097014E-3</v>
      </c>
      <c r="H472" t="str">
        <f>IF(Comuni__2[[#This Row],[Popolazione2011]]&gt;300000,"MAGGIORE","")</f>
        <v/>
      </c>
      <c r="J472">
        <v>2</v>
      </c>
      <c r="K472">
        <v>404</v>
      </c>
      <c r="L472">
        <v>28</v>
      </c>
    </row>
    <row r="473" spans="1:12" x14ac:dyDescent="0.2">
      <c r="A473"/>
      <c r="B473"/>
      <c r="C473"/>
      <c r="D473"/>
      <c r="E473" s="2">
        <f>Comuni__2[[#This Row],[Popolazione2011]]/$D$7911</f>
        <v>1.5955080885495041E-4</v>
      </c>
      <c r="F473">
        <f>SUMIFS($D$2:$D$7909, $B$2:$B$7909, "Calabria")</f>
        <v>1959050</v>
      </c>
      <c r="G473" s="1">
        <f>Comuni__2[[#This Row],[Popolazione2011]]/Comuni__2[[#This Row],[POPOLAZIONE TOTALE DI OGNI REGIONE (CON FILTRO)]]</f>
        <v>4.8395906179015341E-3</v>
      </c>
      <c r="H473" t="str">
        <f>IF(Comuni__2[[#This Row],[Popolazione2011]]&gt;300000,"MAGGIORE","")</f>
        <v/>
      </c>
      <c r="J473">
        <v>2</v>
      </c>
      <c r="K473">
        <v>406</v>
      </c>
      <c r="L473">
        <v>28</v>
      </c>
    </row>
    <row r="474" spans="1:12" x14ac:dyDescent="0.2">
      <c r="A474"/>
      <c r="B474"/>
      <c r="C474"/>
      <c r="D474"/>
      <c r="E474" s="2">
        <f>Comuni__2[[#This Row],[Popolazione2011]]/$D$7911</f>
        <v>1.559495143612304E-4</v>
      </c>
      <c r="F474">
        <f>SUMIFS($D$2:$D$7909, $B$2:$B$7909, "Calabria")</f>
        <v>1959050</v>
      </c>
      <c r="G474" s="1">
        <f>Comuni__2[[#This Row],[Popolazione2011]]/Comuni__2[[#This Row],[POPOLAZIONE TOTALE DI OGNI REGIONE (CON FILTRO)]]</f>
        <v>4.7303539981113293E-3</v>
      </c>
      <c r="H474" t="str">
        <f>IF(Comuni__2[[#This Row],[Popolazione2011]]&gt;300000,"MAGGIORE","")</f>
        <v/>
      </c>
      <c r="J474">
        <v>2</v>
      </c>
      <c r="K474">
        <v>406</v>
      </c>
      <c r="L474">
        <v>28</v>
      </c>
    </row>
    <row r="475" spans="1:12" x14ac:dyDescent="0.2">
      <c r="A475"/>
      <c r="B475"/>
      <c r="C475"/>
      <c r="D475"/>
      <c r="E475" s="2">
        <f>Comuni__2[[#This Row],[Popolazione2011]]/$D$7911</f>
        <v>1.5546148847189452E-4</v>
      </c>
      <c r="F475">
        <f>SUMIFS($D$2:$D$7909, $B$2:$B$7909, "Calabria")</f>
        <v>1959050</v>
      </c>
      <c r="G475" s="1">
        <f>Comuni__2[[#This Row],[Popolazione2011]]/Comuni__2[[#This Row],[POPOLAZIONE TOTALE DI OGNI REGIONE (CON FILTRO)]]</f>
        <v>4.7155509047752736E-3</v>
      </c>
      <c r="H475" t="str">
        <f>IF(Comuni__2[[#This Row],[Popolazione2011]]&gt;300000,"MAGGIORE","")</f>
        <v/>
      </c>
      <c r="J475">
        <v>2</v>
      </c>
      <c r="K475">
        <v>407</v>
      </c>
      <c r="L475">
        <v>28</v>
      </c>
    </row>
    <row r="476" spans="1:12" x14ac:dyDescent="0.2">
      <c r="A476"/>
      <c r="B476"/>
      <c r="C476"/>
      <c r="D476"/>
      <c r="E476" s="2">
        <f>Comuni__2[[#This Row],[Popolazione2011]]/$D$7911</f>
        <v>1.5347572795666574E-4</v>
      </c>
      <c r="F476">
        <f>SUMIFS($D$2:$D$7909, $B$2:$B$7909, "Calabria")</f>
        <v>1959050</v>
      </c>
      <c r="G476" s="1">
        <f>Comuni__2[[#This Row],[Popolazione2011]]/Comuni__2[[#This Row],[POPOLAZIONE TOTALE DI OGNI REGIONE (CON FILTRO)]]</f>
        <v>4.6553176284423571E-3</v>
      </c>
      <c r="H476" t="str">
        <f>IF(Comuni__2[[#This Row],[Popolazione2011]]&gt;300000,"MAGGIORE","")</f>
        <v/>
      </c>
      <c r="J476">
        <v>2</v>
      </c>
      <c r="K476">
        <v>408</v>
      </c>
      <c r="L476">
        <v>28</v>
      </c>
    </row>
    <row r="477" spans="1:12" x14ac:dyDescent="0.2">
      <c r="A477"/>
      <c r="B477"/>
      <c r="C477"/>
      <c r="D477"/>
      <c r="E477" s="2">
        <f>Comuni__2[[#This Row],[Popolazione2011]]/$D$7911</f>
        <v>1.4952103540515077E-4</v>
      </c>
      <c r="F477">
        <f>SUMIFS($D$2:$D$7909, $B$2:$B$7909, "Calabria")</f>
        <v>1959050</v>
      </c>
      <c r="G477" s="1">
        <f>Comuni__2[[#This Row],[Popolazione2011]]/Comuni__2[[#This Row],[POPOLAZIONE TOTALE DI OGNI REGIONE (CON FILTRO)]]</f>
        <v>4.535361527270871E-3</v>
      </c>
      <c r="H477" t="str">
        <f>IF(Comuni__2[[#This Row],[Popolazione2011]]&gt;300000,"MAGGIORE","")</f>
        <v/>
      </c>
      <c r="J477">
        <v>2</v>
      </c>
      <c r="K477">
        <v>408</v>
      </c>
      <c r="L477">
        <v>28</v>
      </c>
    </row>
    <row r="478" spans="1:12" x14ac:dyDescent="0.2">
      <c r="A478"/>
      <c r="B478"/>
      <c r="C478"/>
      <c r="D478"/>
      <c r="E478" s="2">
        <f>Comuni__2[[#This Row],[Popolazione2011]]/$D$7911</f>
        <v>1.4878058233167563E-4</v>
      </c>
      <c r="F478">
        <f>SUMIFS($D$2:$D$7909, $B$2:$B$7909, "Calabria")</f>
        <v>1959050</v>
      </c>
      <c r="G478" s="1">
        <f>Comuni__2[[#This Row],[Popolazione2011]]/Comuni__2[[#This Row],[POPOLAZIONE TOTALE DI OGNI REGIONE (CON FILTRO)]]</f>
        <v>4.512901661519614E-3</v>
      </c>
      <c r="H478" t="str">
        <f>IF(Comuni__2[[#This Row],[Popolazione2011]]&gt;300000,"MAGGIORE","")</f>
        <v/>
      </c>
      <c r="J478">
        <v>2</v>
      </c>
      <c r="K478">
        <v>408</v>
      </c>
      <c r="L478">
        <v>28</v>
      </c>
    </row>
    <row r="479" spans="1:12" x14ac:dyDescent="0.2">
      <c r="A479"/>
      <c r="B479"/>
      <c r="C479"/>
      <c r="D479"/>
      <c r="E479" s="2">
        <f>Comuni__2[[#This Row],[Popolazione2011]]/$D$7911</f>
        <v>1.4832621340022496E-4</v>
      </c>
      <c r="F479">
        <f>SUMIFS($D$2:$D$7909, $B$2:$B$7909, "Calabria")</f>
        <v>1959050</v>
      </c>
      <c r="G479" s="1">
        <f>Comuni__2[[#This Row],[Popolazione2011]]/Comuni__2[[#This Row],[POPOLAZIONE TOTALE DI OGNI REGIONE (CON FILTRO)]]</f>
        <v>4.4991194711722516E-3</v>
      </c>
      <c r="H479" t="str">
        <f>IF(Comuni__2[[#This Row],[Popolazione2011]]&gt;300000,"MAGGIORE","")</f>
        <v/>
      </c>
      <c r="J479">
        <v>2</v>
      </c>
      <c r="K479">
        <v>408</v>
      </c>
      <c r="L479">
        <v>28</v>
      </c>
    </row>
    <row r="480" spans="1:12" x14ac:dyDescent="0.2">
      <c r="A480"/>
      <c r="B480"/>
      <c r="C480"/>
      <c r="D480"/>
      <c r="E480" s="2">
        <f>Comuni__2[[#This Row],[Popolazione2011]]/$D$7911</f>
        <v>1.4697993508481561E-4</v>
      </c>
      <c r="F480">
        <f>SUMIFS($D$2:$D$7909, $B$2:$B$7909, "Calabria")</f>
        <v>1959050</v>
      </c>
      <c r="G480" s="1">
        <f>Comuni__2[[#This Row],[Popolazione2011]]/Comuni__2[[#This Row],[POPOLAZIONE TOTALE DI OGNI REGIONE (CON FILTRO)]]</f>
        <v>4.458283351624512E-3</v>
      </c>
      <c r="H480" t="str">
        <f>IF(Comuni__2[[#This Row],[Popolazione2011]]&gt;300000,"MAGGIORE","")</f>
        <v/>
      </c>
      <c r="J480">
        <v>2</v>
      </c>
      <c r="K480">
        <v>408</v>
      </c>
      <c r="L480">
        <v>28</v>
      </c>
    </row>
    <row r="481" spans="1:12" x14ac:dyDescent="0.2">
      <c r="A481"/>
      <c r="B481"/>
      <c r="C481"/>
      <c r="D481"/>
      <c r="E481" s="2">
        <f>Comuni__2[[#This Row],[Popolazione2011]]/$D$7911</f>
        <v>1.4546537197998011E-4</v>
      </c>
      <c r="F481">
        <f>SUMIFS($D$2:$D$7909, $B$2:$B$7909, "Calabria")</f>
        <v>1959050</v>
      </c>
      <c r="G481" s="1">
        <f>Comuni__2[[#This Row],[Popolazione2011]]/Comuni__2[[#This Row],[POPOLAZIONE TOTALE DI OGNI REGIONE (CON FILTRO)]]</f>
        <v>4.4123427171333046E-3</v>
      </c>
      <c r="H481" t="str">
        <f>IF(Comuni__2[[#This Row],[Popolazione2011]]&gt;300000,"MAGGIORE","")</f>
        <v/>
      </c>
      <c r="J481">
        <v>3</v>
      </c>
      <c r="K481">
        <v>408</v>
      </c>
      <c r="L481">
        <v>28</v>
      </c>
    </row>
    <row r="482" spans="1:12" x14ac:dyDescent="0.2">
      <c r="A482"/>
      <c r="B482"/>
      <c r="C482"/>
      <c r="D482"/>
      <c r="E482" s="2">
        <f>Comuni__2[[#This Row],[Popolazione2011]]/$D$7911</f>
        <v>1.3583948202480325E-4</v>
      </c>
      <c r="F482">
        <f>SUMIFS($D$2:$D$7909, $B$2:$B$7909, "Calabria")</f>
        <v>1959050</v>
      </c>
      <c r="G482" s="1">
        <f>Comuni__2[[#This Row],[Popolazione2011]]/Comuni__2[[#This Row],[POPOLAZIONE TOTALE DI OGNI REGIONE (CON FILTRO)]]</f>
        <v>4.1203644623669638E-3</v>
      </c>
      <c r="H482" t="str">
        <f>IF(Comuni__2[[#This Row],[Popolazione2011]]&gt;300000,"MAGGIORE","")</f>
        <v/>
      </c>
      <c r="J482">
        <v>4</v>
      </c>
      <c r="K482">
        <v>412</v>
      </c>
      <c r="L482">
        <v>28</v>
      </c>
    </row>
    <row r="483" spans="1:12" x14ac:dyDescent="0.2">
      <c r="A483"/>
      <c r="B483"/>
      <c r="C483"/>
      <c r="D483"/>
      <c r="E483" s="2">
        <f>Comuni__2[[#This Row],[Popolazione2011]]/$D$7911</f>
        <v>1.3136310662606717E-4</v>
      </c>
      <c r="F483">
        <f>SUMIFS($D$2:$D$7909, $B$2:$B$7909, "Calabria")</f>
        <v>1959050</v>
      </c>
      <c r="G483" s="1">
        <f>Comuni__2[[#This Row],[Popolazione2011]]/Comuni__2[[#This Row],[POPOLAZIONE TOTALE DI OGNI REGIONE (CON FILTRO)]]</f>
        <v>3.9845843648707285E-3</v>
      </c>
      <c r="H483" t="str">
        <f>IF(Comuni__2[[#This Row],[Popolazione2011]]&gt;300000,"MAGGIORE","")</f>
        <v/>
      </c>
      <c r="J483">
        <v>4</v>
      </c>
      <c r="K483">
        <v>412</v>
      </c>
      <c r="L483">
        <v>28</v>
      </c>
    </row>
    <row r="484" spans="1:12" x14ac:dyDescent="0.2">
      <c r="A484"/>
      <c r="B484"/>
      <c r="C484"/>
      <c r="D484"/>
      <c r="E484" s="2">
        <f>Comuni__2[[#This Row],[Popolazione2011]]/$D$7911</f>
        <v>1.2483365679633184E-4</v>
      </c>
      <c r="F484">
        <f>SUMIFS($D$2:$D$7909, $B$2:$B$7909, "Calabria")</f>
        <v>1959050</v>
      </c>
      <c r="G484" s="1">
        <f>Comuni__2[[#This Row],[Popolazione2011]]/Comuni__2[[#This Row],[POPOLAZIONE TOTALE DI OGNI REGIONE (CON FILTRO)]]</f>
        <v>3.7865291850641891E-3</v>
      </c>
      <c r="H484" t="str">
        <f>IF(Comuni__2[[#This Row],[Popolazione2011]]&gt;300000,"MAGGIORE","")</f>
        <v/>
      </c>
      <c r="J484">
        <v>5</v>
      </c>
      <c r="K484">
        <v>413</v>
      </c>
      <c r="L484">
        <v>28</v>
      </c>
    </row>
    <row r="485" spans="1:12" x14ac:dyDescent="0.2">
      <c r="A485"/>
      <c r="B485"/>
      <c r="C485"/>
      <c r="D485"/>
      <c r="E485" s="2">
        <f>Comuni__2[[#This Row],[Popolazione2011]]/$D$7911</f>
        <v>1.2254498366013594E-4</v>
      </c>
      <c r="F485">
        <f>SUMIFS($D$2:$D$7909, $B$2:$B$7909, "Calabria")</f>
        <v>1959050</v>
      </c>
      <c r="G485" s="1">
        <f>Comuni__2[[#This Row],[Popolazione2011]]/Comuni__2[[#This Row],[POPOLAZIONE TOTALE DI OGNI REGIONE (CON FILTRO)]]</f>
        <v>3.7171077818330314E-3</v>
      </c>
      <c r="H485" t="str">
        <f>IF(Comuni__2[[#This Row],[Popolazione2011]]&gt;300000,"MAGGIORE","")</f>
        <v/>
      </c>
      <c r="J485">
        <v>5</v>
      </c>
      <c r="K485">
        <v>418</v>
      </c>
      <c r="L485">
        <v>28</v>
      </c>
    </row>
    <row r="486" spans="1:12" x14ac:dyDescent="0.2">
      <c r="A486"/>
      <c r="B486"/>
      <c r="C486"/>
      <c r="D486"/>
      <c r="E486" s="2">
        <f>Comuni__2[[#This Row],[Popolazione2011]]/$D$7911</f>
        <v>1.2163624579723463E-4</v>
      </c>
      <c r="F486">
        <f>SUMIFS($D$2:$D$7909, $B$2:$B$7909, "Calabria")</f>
        <v>1959050</v>
      </c>
      <c r="G486" s="1">
        <f>Comuni__2[[#This Row],[Popolazione2011]]/Comuni__2[[#This Row],[POPOLAZIONE TOTALE DI OGNI REGIONE (CON FILTRO)]]</f>
        <v>3.689543401138307E-3</v>
      </c>
      <c r="H486" t="str">
        <f>IF(Comuni__2[[#This Row],[Popolazione2011]]&gt;300000,"MAGGIORE","")</f>
        <v/>
      </c>
      <c r="J486">
        <v>5</v>
      </c>
      <c r="K486">
        <v>420</v>
      </c>
      <c r="L486">
        <v>28</v>
      </c>
    </row>
    <row r="487" spans="1:12" x14ac:dyDescent="0.2">
      <c r="A487"/>
      <c r="B487"/>
      <c r="C487"/>
      <c r="D487"/>
      <c r="E487" s="2">
        <f>Comuni__2[[#This Row],[Popolazione2011]]/$D$7911</f>
        <v>1.2044142379230883E-4</v>
      </c>
      <c r="F487">
        <f>SUMIFS($D$2:$D$7909, $B$2:$B$7909, "Calabria")</f>
        <v>1959050</v>
      </c>
      <c r="G487" s="1">
        <f>Comuni__2[[#This Row],[Popolazione2011]]/Comuni__2[[#This Row],[POPOLAZIONE TOTALE DI OGNI REGIONE (CON FILTRO)]]</f>
        <v>3.6533013450396877E-3</v>
      </c>
      <c r="H487" t="str">
        <f>IF(Comuni__2[[#This Row],[Popolazione2011]]&gt;300000,"MAGGIORE","")</f>
        <v/>
      </c>
      <c r="J487">
        <v>5</v>
      </c>
      <c r="K487">
        <v>421</v>
      </c>
      <c r="L487">
        <v>28</v>
      </c>
    </row>
    <row r="488" spans="1:12" x14ac:dyDescent="0.2">
      <c r="A488"/>
      <c r="B488"/>
      <c r="C488"/>
      <c r="D488"/>
      <c r="E488" s="2">
        <f>Comuni__2[[#This Row],[Popolazione2011]]/$D$7911</f>
        <v>1.18809061334875E-4</v>
      </c>
      <c r="F488">
        <f>SUMIFS($D$2:$D$7909, $B$2:$B$7909, "Calabria")</f>
        <v>1959050</v>
      </c>
      <c r="G488" s="1">
        <f>Comuni__2[[#This Row],[Popolazione2011]]/Comuni__2[[#This Row],[POPOLAZIONE TOTALE DI OGNI REGIONE (CON FILTRO)]]</f>
        <v>3.603787550088053E-3</v>
      </c>
      <c r="H488" t="str">
        <f>IF(Comuni__2[[#This Row],[Popolazione2011]]&gt;300000,"MAGGIORE","")</f>
        <v/>
      </c>
      <c r="J488">
        <v>5</v>
      </c>
      <c r="K488">
        <v>422</v>
      </c>
      <c r="L488">
        <v>28</v>
      </c>
    </row>
    <row r="489" spans="1:12" x14ac:dyDescent="0.2">
      <c r="A489"/>
      <c r="B489"/>
      <c r="C489"/>
      <c r="D489"/>
      <c r="E489" s="2">
        <f>Comuni__2[[#This Row],[Popolazione2011]]/$D$7911</f>
        <v>1.1803495130351463E-4</v>
      </c>
      <c r="F489">
        <f>SUMIFS($D$2:$D$7909, $B$2:$B$7909, "Calabria")</f>
        <v>1959050</v>
      </c>
      <c r="G489" s="1">
        <f>Comuni__2[[#This Row],[Popolazione2011]]/Comuni__2[[#This Row],[POPOLAZIONE TOTALE DI OGNI REGIONE (CON FILTRO)]]</f>
        <v>3.5803067813481022E-3</v>
      </c>
      <c r="H489" t="str">
        <f>IF(Comuni__2[[#This Row],[Popolazione2011]]&gt;300000,"MAGGIORE","")</f>
        <v/>
      </c>
      <c r="J489">
        <v>5</v>
      </c>
      <c r="K489">
        <v>423</v>
      </c>
      <c r="L489">
        <v>28</v>
      </c>
    </row>
    <row r="490" spans="1:12" x14ac:dyDescent="0.2">
      <c r="A490"/>
      <c r="B490"/>
      <c r="C490"/>
      <c r="D490"/>
      <c r="E490" s="2">
        <f>Comuni__2[[#This Row],[Popolazione2011]]/$D$7911</f>
        <v>1.1758058237206397E-4</v>
      </c>
      <c r="F490">
        <f>SUMIFS($D$2:$D$7909, $B$2:$B$7909, "Calabria")</f>
        <v>1959050</v>
      </c>
      <c r="G490" s="1">
        <f>Comuni__2[[#This Row],[Popolazione2011]]/Comuni__2[[#This Row],[POPOLAZIONE TOTALE DI OGNI REGIONE (CON FILTRO)]]</f>
        <v>3.5665245910007403E-3</v>
      </c>
      <c r="H490" t="str">
        <f>IF(Comuni__2[[#This Row],[Popolazione2011]]&gt;300000,"MAGGIORE","")</f>
        <v/>
      </c>
      <c r="J490">
        <v>6</v>
      </c>
      <c r="K490">
        <v>427</v>
      </c>
      <c r="L490">
        <v>28</v>
      </c>
    </row>
    <row r="491" spans="1:12" x14ac:dyDescent="0.2">
      <c r="A491"/>
      <c r="B491"/>
      <c r="C491"/>
      <c r="D491"/>
      <c r="E491" s="2">
        <f>Comuni__2[[#This Row],[Popolazione2011]]/$D$7911</f>
        <v>1.160155338304006E-4</v>
      </c>
      <c r="F491">
        <f>SUMIFS($D$2:$D$7909, $B$2:$B$7909, "Calabria")</f>
        <v>1959050</v>
      </c>
      <c r="G491" s="1">
        <f>Comuni__2[[#This Row],[Popolazione2011]]/Comuni__2[[#This Row],[POPOLAZIONE TOTALE DI OGNI REGIONE (CON FILTRO)]]</f>
        <v>3.5190526020264924E-3</v>
      </c>
      <c r="H491" t="str">
        <f>IF(Comuni__2[[#This Row],[Popolazione2011]]&gt;300000,"MAGGIORE","")</f>
        <v/>
      </c>
      <c r="J491">
        <v>6</v>
      </c>
      <c r="K491">
        <v>429</v>
      </c>
      <c r="L491">
        <v>28</v>
      </c>
    </row>
    <row r="492" spans="1:12" x14ac:dyDescent="0.2">
      <c r="A492"/>
      <c r="B492"/>
      <c r="C492"/>
      <c r="D492"/>
      <c r="E492" s="2">
        <f>Comuni__2[[#This Row],[Popolazione2011]]/$D$7911</f>
        <v>1.1527508075692546E-4</v>
      </c>
      <c r="F492">
        <f>SUMIFS($D$2:$D$7909, $B$2:$B$7909, "Calabria")</f>
        <v>1959050</v>
      </c>
      <c r="G492" s="1">
        <f>Comuni__2[[#This Row],[Popolazione2011]]/Comuni__2[[#This Row],[POPOLAZIONE TOTALE DI OGNI REGIONE (CON FILTRO)]]</f>
        <v>3.4965927362752354E-3</v>
      </c>
      <c r="H492" t="str">
        <f>IF(Comuni__2[[#This Row],[Popolazione2011]]&gt;300000,"MAGGIORE","")</f>
        <v/>
      </c>
      <c r="J492">
        <v>6</v>
      </c>
      <c r="K492">
        <v>429</v>
      </c>
      <c r="L492">
        <v>28</v>
      </c>
    </row>
    <row r="493" spans="1:12" x14ac:dyDescent="0.2">
      <c r="A493"/>
      <c r="B493"/>
      <c r="C493"/>
      <c r="D493"/>
      <c r="E493" s="2">
        <f>Comuni__2[[#This Row],[Popolazione2011]]/$D$7911</f>
        <v>1.1305372153650004E-4</v>
      </c>
      <c r="F493">
        <f>SUMIFS($D$2:$D$7909, $B$2:$B$7909, "Calabria")</f>
        <v>1959050</v>
      </c>
      <c r="G493" s="1">
        <f>Comuni__2[[#This Row],[Popolazione2011]]/Comuni__2[[#This Row],[POPOLAZIONE TOTALE DI OGNI REGIONE (CON FILTRO)]]</f>
        <v>3.4292131390214644E-3</v>
      </c>
      <c r="H493" t="str">
        <f>IF(Comuni__2[[#This Row],[Popolazione2011]]&gt;300000,"MAGGIORE","")</f>
        <v/>
      </c>
      <c r="J493">
        <v>7</v>
      </c>
      <c r="K493">
        <v>429</v>
      </c>
      <c r="L493">
        <v>28</v>
      </c>
    </row>
    <row r="494" spans="1:12" x14ac:dyDescent="0.2">
      <c r="A494"/>
      <c r="B494"/>
      <c r="C494"/>
      <c r="D494"/>
      <c r="E494" s="2">
        <f>Comuni__2[[#This Row],[Popolazione2011]]/$D$7911</f>
        <v>1.1288543674707386E-4</v>
      </c>
      <c r="F494">
        <f>SUMIFS($D$2:$D$7909, $B$2:$B$7909, "Calabria")</f>
        <v>1959050</v>
      </c>
      <c r="G494" s="1">
        <f>Comuni__2[[#This Row],[Popolazione2011]]/Comuni__2[[#This Row],[POPOLAZIONE TOTALE DI OGNI REGIONE (CON FILTRO)]]</f>
        <v>3.4241086240779971E-3</v>
      </c>
      <c r="H494" t="str">
        <f>IF(Comuni__2[[#This Row],[Popolazione2011]]&gt;300000,"MAGGIORE","")</f>
        <v/>
      </c>
      <c r="J494">
        <v>7</v>
      </c>
      <c r="K494">
        <v>431</v>
      </c>
      <c r="L494">
        <v>28</v>
      </c>
    </row>
    <row r="495" spans="1:12" x14ac:dyDescent="0.2">
      <c r="A495"/>
      <c r="B495"/>
      <c r="C495"/>
      <c r="D495"/>
      <c r="E495" s="2">
        <f>Comuni__2[[#This Row],[Popolazione2011]]/$D$7911</f>
        <v>1.1031067946885349E-4</v>
      </c>
      <c r="F495">
        <f>SUMIFS($D$2:$D$7909, $B$2:$B$7909, "Calabria")</f>
        <v>1959050</v>
      </c>
      <c r="G495" s="1">
        <f>Comuni__2[[#This Row],[Popolazione2011]]/Comuni__2[[#This Row],[POPOLAZIONE TOTALE DI OGNI REGIONE (CON FILTRO)]]</f>
        <v>3.3460095454429443E-3</v>
      </c>
      <c r="H495" t="str">
        <f>IF(Comuni__2[[#This Row],[Popolazione2011]]&gt;300000,"MAGGIORE","")</f>
        <v/>
      </c>
      <c r="J495">
        <v>7</v>
      </c>
      <c r="K495">
        <v>434</v>
      </c>
      <c r="L495">
        <v>28</v>
      </c>
    </row>
    <row r="496" spans="1:12" x14ac:dyDescent="0.2">
      <c r="A496"/>
      <c r="B496"/>
      <c r="C496"/>
      <c r="D496"/>
      <c r="E496" s="2">
        <f>Comuni__2[[#This Row],[Popolazione2011]]/$D$7911</f>
        <v>1.0963754031114882E-4</v>
      </c>
      <c r="F496">
        <f>SUMIFS($D$2:$D$7909, $B$2:$B$7909, "Calabria")</f>
        <v>1959050</v>
      </c>
      <c r="G496" s="1">
        <f>Comuni__2[[#This Row],[Popolazione2011]]/Comuni__2[[#This Row],[POPOLAZIONE TOTALE DI OGNI REGIONE (CON FILTRO)]]</f>
        <v>3.3255914856690741E-3</v>
      </c>
      <c r="H496" t="str">
        <f>IF(Comuni__2[[#This Row],[Popolazione2011]]&gt;300000,"MAGGIORE","")</f>
        <v/>
      </c>
      <c r="J496">
        <v>7</v>
      </c>
      <c r="K496">
        <v>437</v>
      </c>
      <c r="L496">
        <v>28</v>
      </c>
    </row>
    <row r="497" spans="1:12" x14ac:dyDescent="0.2">
      <c r="A497"/>
      <c r="B497"/>
      <c r="C497"/>
      <c r="D497"/>
      <c r="E497" s="2">
        <f>Comuni__2[[#This Row],[Popolazione2011]]/$D$7911</f>
        <v>1.093177992112391E-4</v>
      </c>
      <c r="F497">
        <f>SUMIFS($D$2:$D$7909, $B$2:$B$7909, "Calabria")</f>
        <v>1959050</v>
      </c>
      <c r="G497" s="1">
        <f>Comuni__2[[#This Row],[Popolazione2011]]/Comuni__2[[#This Row],[POPOLAZIONE TOTALE DI OGNI REGIONE (CON FILTRO)]]</f>
        <v>3.3158929072764861E-3</v>
      </c>
      <c r="H497" t="str">
        <f>IF(Comuni__2[[#This Row],[Popolazione2011]]&gt;300000,"MAGGIORE","")</f>
        <v/>
      </c>
      <c r="J497">
        <v>7</v>
      </c>
      <c r="K497">
        <v>438</v>
      </c>
      <c r="L497">
        <v>28</v>
      </c>
    </row>
    <row r="498" spans="1:12" x14ac:dyDescent="0.2">
      <c r="A498"/>
      <c r="B498"/>
      <c r="C498"/>
      <c r="D498"/>
      <c r="E498" s="2">
        <f>Comuni__2[[#This Row],[Popolazione2011]]/$D$7911</f>
        <v>1.0925048529546863E-4</v>
      </c>
      <c r="F498">
        <f>SUMIFS($D$2:$D$7909, $B$2:$B$7909, "Calabria")</f>
        <v>1959050</v>
      </c>
      <c r="G498" s="1">
        <f>Comuni__2[[#This Row],[Popolazione2011]]/Comuni__2[[#This Row],[POPOLAZIONE TOTALE DI OGNI REGIONE (CON FILTRO)]]</f>
        <v>3.3138511012990989E-3</v>
      </c>
      <c r="H498" t="str">
        <f>IF(Comuni__2[[#This Row],[Popolazione2011]]&gt;300000,"MAGGIORE","")</f>
        <v/>
      </c>
      <c r="J498">
        <v>7</v>
      </c>
      <c r="K498">
        <v>443</v>
      </c>
      <c r="L498">
        <v>28</v>
      </c>
    </row>
    <row r="499" spans="1:12" x14ac:dyDescent="0.2">
      <c r="A499"/>
      <c r="B499"/>
      <c r="C499"/>
      <c r="D499"/>
      <c r="E499" s="2">
        <f>Comuni__2[[#This Row],[Popolazione2011]]/$D$7911</f>
        <v>1.092168283375834E-4</v>
      </c>
      <c r="F499">
        <f>SUMIFS($D$2:$D$7909, $B$2:$B$7909, "Calabria")</f>
        <v>1959050</v>
      </c>
      <c r="G499" s="1">
        <f>Comuni__2[[#This Row],[Popolazione2011]]/Comuni__2[[#This Row],[POPOLAZIONE TOTALE DI OGNI REGIONE (CON FILTRO)]]</f>
        <v>3.3128301983104055E-3</v>
      </c>
      <c r="H499" t="str">
        <f>IF(Comuni__2[[#This Row],[Popolazione2011]]&gt;300000,"MAGGIORE","")</f>
        <v/>
      </c>
      <c r="J499">
        <v>8</v>
      </c>
      <c r="K499">
        <v>447</v>
      </c>
      <c r="L499">
        <v>28</v>
      </c>
    </row>
    <row r="500" spans="1:12" x14ac:dyDescent="0.2">
      <c r="A500"/>
      <c r="B500"/>
      <c r="C500"/>
      <c r="D500"/>
      <c r="E500" s="2">
        <f>Comuni__2[[#This Row],[Popolazione2011]]/$D$7911</f>
        <v>1.0914951442181292E-4</v>
      </c>
      <c r="F500">
        <f>SUMIFS($D$2:$D$7909, $B$2:$B$7909, "Calabria")</f>
        <v>1959050</v>
      </c>
      <c r="G500" s="1">
        <f>Comuni__2[[#This Row],[Popolazione2011]]/Comuni__2[[#This Row],[POPOLAZIONE TOTALE DI OGNI REGIONE (CON FILTRO)]]</f>
        <v>3.3107883923330183E-3</v>
      </c>
      <c r="H500" t="str">
        <f>IF(Comuni__2[[#This Row],[Popolazione2011]]&gt;300000,"MAGGIORE","")</f>
        <v/>
      </c>
      <c r="J500">
        <v>11</v>
      </c>
      <c r="K500">
        <v>447</v>
      </c>
      <c r="L500">
        <v>28</v>
      </c>
    </row>
    <row r="501" spans="1:12" x14ac:dyDescent="0.2">
      <c r="A501"/>
      <c r="B501"/>
      <c r="C501"/>
      <c r="D501"/>
      <c r="E501" s="2">
        <f>Comuni__2[[#This Row],[Popolazione2011]]/$D$7911</f>
        <v>1.0827443351679686E-4</v>
      </c>
      <c r="F501">
        <f>SUMIFS($D$2:$D$7909, $B$2:$B$7909, "Calabria")</f>
        <v>1959050</v>
      </c>
      <c r="G501" s="1">
        <f>Comuni__2[[#This Row],[Popolazione2011]]/Comuni__2[[#This Row],[POPOLAZIONE TOTALE DI OGNI REGIONE (CON FILTRO)]]</f>
        <v>3.2842449146269874E-3</v>
      </c>
      <c r="H501" t="str">
        <f>IF(Comuni__2[[#This Row],[Popolazione2011]]&gt;300000,"MAGGIORE","")</f>
        <v/>
      </c>
      <c r="J501">
        <v>13</v>
      </c>
      <c r="K501">
        <v>449</v>
      </c>
      <c r="L501">
        <v>28</v>
      </c>
    </row>
    <row r="502" spans="1:12" x14ac:dyDescent="0.2">
      <c r="A502"/>
      <c r="B502"/>
      <c r="C502"/>
      <c r="D502"/>
      <c r="E502" s="2">
        <f>Comuni__2[[#This Row],[Popolazione2011]]/$D$7911</f>
        <v>1.0504336555981441E-4</v>
      </c>
      <c r="F502">
        <f>SUMIFS($D$2:$D$7909, $B$2:$B$7909, "Calabria")</f>
        <v>1959050</v>
      </c>
      <c r="G502" s="1">
        <f>Comuni__2[[#This Row],[Popolazione2011]]/Comuni__2[[#This Row],[POPOLAZIONE TOTALE DI OGNI REGIONE (CON FILTRO)]]</f>
        <v>3.1862382277124115E-3</v>
      </c>
      <c r="H502" t="str">
        <f>IF(Comuni__2[[#This Row],[Popolazione2011]]&gt;300000,"MAGGIORE","")</f>
        <v/>
      </c>
      <c r="J502">
        <v>14</v>
      </c>
      <c r="K502">
        <v>454</v>
      </c>
      <c r="L502">
        <v>28</v>
      </c>
    </row>
    <row r="503" spans="1:12" x14ac:dyDescent="0.2">
      <c r="A503"/>
      <c r="B503"/>
      <c r="C503"/>
      <c r="D503"/>
      <c r="E503" s="2">
        <f>Comuni__2[[#This Row],[Popolazione2011]]/$D$7911</f>
        <v>1.0302394808670039E-4</v>
      </c>
      <c r="F503">
        <f>SUMIFS($D$2:$D$7909, $B$2:$B$7909, "Calabria")</f>
        <v>1959050</v>
      </c>
      <c r="G503" s="1">
        <f>Comuni__2[[#This Row],[Popolazione2011]]/Comuni__2[[#This Row],[POPOLAZIONE TOTALE DI OGNI REGIONE (CON FILTRO)]]</f>
        <v>3.1249840483908017E-3</v>
      </c>
      <c r="H503" t="str">
        <f>IF(Comuni__2[[#This Row],[Popolazione2011]]&gt;300000,"MAGGIORE","")</f>
        <v/>
      </c>
      <c r="J503">
        <v>14</v>
      </c>
      <c r="K503">
        <v>458</v>
      </c>
      <c r="L503">
        <v>28</v>
      </c>
    </row>
    <row r="504" spans="1:12" x14ac:dyDescent="0.2">
      <c r="A504"/>
      <c r="B504"/>
      <c r="C504"/>
      <c r="D504"/>
      <c r="E504" s="2">
        <f>Comuni__2[[#This Row],[Popolazione2011]]/$D$7911</f>
        <v>1.0299029112881516E-4</v>
      </c>
      <c r="F504">
        <f>SUMIFS($D$2:$D$7909, $B$2:$B$7909, "Calabria")</f>
        <v>1959050</v>
      </c>
      <c r="G504" s="1">
        <f>Comuni__2[[#This Row],[Popolazione2011]]/Comuni__2[[#This Row],[POPOLAZIONE TOTALE DI OGNI REGIONE (CON FILTRO)]]</f>
        <v>3.1239631454021083E-3</v>
      </c>
      <c r="H504" t="str">
        <f>IF(Comuni__2[[#This Row],[Popolazione2011]]&gt;300000,"MAGGIORE","")</f>
        <v/>
      </c>
      <c r="J504">
        <v>15</v>
      </c>
      <c r="K504">
        <v>459</v>
      </c>
      <c r="L504">
        <v>28</v>
      </c>
    </row>
    <row r="505" spans="1:12" x14ac:dyDescent="0.2">
      <c r="A505"/>
      <c r="B505"/>
      <c r="C505"/>
      <c r="D505"/>
      <c r="E505" s="2">
        <f>Comuni__2[[#This Row],[Popolazione2011]]/$D$7911</f>
        <v>1.0092038821887328E-4</v>
      </c>
      <c r="F505">
        <f>SUMIFS($D$2:$D$7909, $B$2:$B$7909, "Calabria")</f>
        <v>1959050</v>
      </c>
      <c r="G505" s="1">
        <f>Comuni__2[[#This Row],[Popolazione2011]]/Comuni__2[[#This Row],[POPOLAZIONE TOTALE DI OGNI REGIONE (CON FILTRO)]]</f>
        <v>3.061177611597458E-3</v>
      </c>
      <c r="H505" t="str">
        <f>IF(Comuni__2[[#This Row],[Popolazione2011]]&gt;300000,"MAGGIORE","")</f>
        <v/>
      </c>
      <c r="J505">
        <v>14</v>
      </c>
      <c r="K505">
        <v>468</v>
      </c>
      <c r="L505">
        <v>29</v>
      </c>
    </row>
    <row r="506" spans="1:12" x14ac:dyDescent="0.2">
      <c r="A506"/>
      <c r="B506"/>
      <c r="C506"/>
      <c r="D506"/>
      <c r="E506" s="2">
        <f>Comuni__2[[#This Row],[Popolazione2011]]/$D$7911</f>
        <v>9.9961164919144124E-5</v>
      </c>
      <c r="F506">
        <f>SUMIFS($D$2:$D$7909, $B$2:$B$7909, "Calabria")</f>
        <v>1959050</v>
      </c>
      <c r="G506" s="1">
        <f>Comuni__2[[#This Row],[Popolazione2011]]/Comuni__2[[#This Row],[POPOLAZIONE TOTALE DI OGNI REGIONE (CON FILTRO)]]</f>
        <v>3.0320818764196932E-3</v>
      </c>
      <c r="H506" t="str">
        <f>IF(Comuni__2[[#This Row],[Popolazione2011]]&gt;300000,"MAGGIORE","")</f>
        <v/>
      </c>
      <c r="J506">
        <v>14</v>
      </c>
      <c r="K506">
        <v>468</v>
      </c>
      <c r="L506">
        <v>29</v>
      </c>
    </row>
    <row r="507" spans="1:12" x14ac:dyDescent="0.2">
      <c r="A507"/>
      <c r="B507"/>
      <c r="C507"/>
      <c r="D507"/>
      <c r="E507" s="2">
        <f>Comuni__2[[#This Row],[Popolazione2011]]/$D$7911</f>
        <v>9.9001941619414964E-5</v>
      </c>
      <c r="F507">
        <f>SUMIFS($D$2:$D$7909, $B$2:$B$7909, "Calabria")</f>
        <v>1959050</v>
      </c>
      <c r="G507" s="1">
        <f>Comuni__2[[#This Row],[Popolazione2011]]/Comuni__2[[#This Row],[POPOLAZIONE TOTALE DI OGNI REGIONE (CON FILTRO)]]</f>
        <v>3.0029861412419283E-3</v>
      </c>
      <c r="H507" t="str">
        <f>IF(Comuni__2[[#This Row],[Popolazione2011]]&gt;300000,"MAGGIORE","")</f>
        <v/>
      </c>
      <c r="J507">
        <v>14</v>
      </c>
      <c r="K507">
        <v>471</v>
      </c>
      <c r="L507">
        <v>29</v>
      </c>
    </row>
    <row r="508" spans="1:12" x14ac:dyDescent="0.2">
      <c r="A508"/>
      <c r="B508"/>
      <c r="C508"/>
      <c r="D508"/>
      <c r="E508" s="2">
        <f>Comuni__2[[#This Row],[Popolazione2011]]/$D$7911</f>
        <v>9.5871844536088229E-5</v>
      </c>
      <c r="F508">
        <f>SUMIFS($D$2:$D$7909, $B$2:$B$7909, "Calabria")</f>
        <v>1959050</v>
      </c>
      <c r="G508" s="1">
        <f>Comuni__2[[#This Row],[Popolazione2011]]/Comuni__2[[#This Row],[POPOLAZIONE TOTALE DI OGNI REGIONE (CON FILTRO)]]</f>
        <v>2.908042163293433E-3</v>
      </c>
      <c r="H508" t="str">
        <f>IF(Comuni__2[[#This Row],[Popolazione2011]]&gt;300000,"MAGGIORE","")</f>
        <v/>
      </c>
      <c r="J508">
        <v>13</v>
      </c>
      <c r="K508">
        <v>472</v>
      </c>
      <c r="L508">
        <v>29</v>
      </c>
    </row>
    <row r="509" spans="1:12" x14ac:dyDescent="0.2">
      <c r="A509"/>
      <c r="B509"/>
      <c r="C509"/>
      <c r="D509"/>
      <c r="E509" s="2">
        <f>Comuni__2[[#This Row],[Popolazione2011]]/$D$7911</f>
        <v>9.4878964278473837E-5</v>
      </c>
      <c r="F509">
        <f>SUMIFS($D$2:$D$7909, $B$2:$B$7909, "Calabria")</f>
        <v>1959050</v>
      </c>
      <c r="G509" s="1">
        <f>Comuni__2[[#This Row],[Popolazione2011]]/Comuni__2[[#This Row],[POPOLAZIONE TOTALE DI OGNI REGIONE (CON FILTRO)]]</f>
        <v>2.8779255251269748E-3</v>
      </c>
      <c r="H509" t="str">
        <f>IF(Comuni__2[[#This Row],[Popolazione2011]]&gt;300000,"MAGGIORE","")</f>
        <v/>
      </c>
      <c r="J509">
        <v>13</v>
      </c>
      <c r="K509">
        <v>474</v>
      </c>
      <c r="L509">
        <v>29</v>
      </c>
    </row>
    <row r="510" spans="1:12" x14ac:dyDescent="0.2">
      <c r="A510"/>
      <c r="B510"/>
      <c r="C510"/>
      <c r="D510"/>
      <c r="E510" s="2">
        <f>Comuni__2[[#This Row],[Popolazione2011]]/$D$7911</f>
        <v>9.4138511204998687E-5</v>
      </c>
      <c r="F510">
        <f>SUMIFS($D$2:$D$7909, $B$2:$B$7909, "Calabria")</f>
        <v>1959050</v>
      </c>
      <c r="G510" s="1">
        <f>Comuni__2[[#This Row],[Popolazione2011]]/Comuni__2[[#This Row],[POPOLAZIONE TOTALE DI OGNI REGIONE (CON FILTRO)]]</f>
        <v>2.8554656593757178E-3</v>
      </c>
      <c r="H510" t="str">
        <f>IF(Comuni__2[[#This Row],[Popolazione2011]]&gt;300000,"MAGGIORE","")</f>
        <v/>
      </c>
      <c r="J510">
        <v>13</v>
      </c>
      <c r="K510">
        <v>482</v>
      </c>
      <c r="L510">
        <v>30</v>
      </c>
    </row>
    <row r="511" spans="1:12" x14ac:dyDescent="0.2">
      <c r="A511"/>
      <c r="B511"/>
      <c r="C511"/>
      <c r="D511"/>
      <c r="E511" s="2">
        <f>Comuni__2[[#This Row],[Popolazione2011]]/$D$7911</f>
        <v>9.1445954574179998E-5</v>
      </c>
      <c r="F511">
        <f>SUMIFS($D$2:$D$7909, $B$2:$B$7909, "Calabria")</f>
        <v>1959050</v>
      </c>
      <c r="G511" s="1">
        <f>Comuni__2[[#This Row],[Popolazione2011]]/Comuni__2[[#This Row],[POPOLAZIONE TOTALE DI OGNI REGIONE (CON FILTRO)]]</f>
        <v>2.7737934202802378E-3</v>
      </c>
      <c r="H511" t="str">
        <f>IF(Comuni__2[[#This Row],[Popolazione2011]]&gt;300000,"MAGGIORE","")</f>
        <v/>
      </c>
      <c r="J511">
        <v>17</v>
      </c>
      <c r="K511">
        <v>486</v>
      </c>
      <c r="L511">
        <v>33</v>
      </c>
    </row>
    <row r="512" spans="1:12" x14ac:dyDescent="0.2">
      <c r="A512"/>
      <c r="B512"/>
      <c r="C512"/>
      <c r="D512"/>
      <c r="E512" s="2">
        <f>Comuni__2[[#This Row],[Popolazione2011]]/$D$7911</f>
        <v>9.0991585642729336E-5</v>
      </c>
      <c r="F512">
        <f>SUMIFS($D$2:$D$7909, $B$2:$B$7909, "Calabria")</f>
        <v>1959050</v>
      </c>
      <c r="G512" s="1">
        <f>Comuni__2[[#This Row],[Popolazione2011]]/Comuni__2[[#This Row],[POPOLAZIONE TOTALE DI OGNI REGIONE (CON FILTRO)]]</f>
        <v>2.7600112299328758E-3</v>
      </c>
      <c r="H512" t="str">
        <f>IF(Comuni__2[[#This Row],[Popolazione2011]]&gt;300000,"MAGGIORE","")</f>
        <v/>
      </c>
      <c r="J512">
        <v>17</v>
      </c>
      <c r="K512">
        <v>497</v>
      </c>
      <c r="L512">
        <v>33</v>
      </c>
    </row>
    <row r="513" spans="1:12" x14ac:dyDescent="0.2">
      <c r="A513"/>
      <c r="B513"/>
      <c r="C513"/>
      <c r="D513"/>
      <c r="E513" s="2">
        <f>Comuni__2[[#This Row],[Popolazione2011]]/$D$7911</f>
        <v>9.097475716378672E-5</v>
      </c>
      <c r="F513">
        <f>SUMIFS($D$2:$D$7909, $B$2:$B$7909, "Calabria")</f>
        <v>1959050</v>
      </c>
      <c r="G513" s="1">
        <f>Comuni__2[[#This Row],[Popolazione2011]]/Comuni__2[[#This Row],[POPOLAZIONE TOTALE DI OGNI REGIONE (CON FILTRO)]]</f>
        <v>2.7595007784385287E-3</v>
      </c>
      <c r="H513" t="str">
        <f>IF(Comuni__2[[#This Row],[Popolazione2011]]&gt;300000,"MAGGIORE","")</f>
        <v/>
      </c>
      <c r="J513">
        <v>32</v>
      </c>
      <c r="K513">
        <v>498</v>
      </c>
      <c r="L513">
        <v>33</v>
      </c>
    </row>
    <row r="514" spans="1:12" x14ac:dyDescent="0.2">
      <c r="A514"/>
      <c r="B514"/>
      <c r="C514"/>
      <c r="D514"/>
      <c r="E514" s="2">
        <f>Comuni__2[[#This Row],[Popolazione2011]]/$D$7911</f>
        <v>8.9005825127500552E-5</v>
      </c>
      <c r="F514">
        <f>SUMIFS($D$2:$D$7909, $B$2:$B$7909, "Calabria")</f>
        <v>1959050</v>
      </c>
      <c r="G514" s="1">
        <f>Comuni__2[[#This Row],[Popolazione2011]]/Comuni__2[[#This Row],[POPOLAZIONE TOTALE DI OGNI REGIONE (CON FILTRO)]]</f>
        <v>2.699777953599959E-3</v>
      </c>
      <c r="H514" t="str">
        <f>IF(Comuni__2[[#This Row],[Popolazione2011]]&gt;300000,"MAGGIORE","")</f>
        <v/>
      </c>
      <c r="J514">
        <v>32</v>
      </c>
      <c r="K514">
        <v>502</v>
      </c>
      <c r="L514">
        <v>33</v>
      </c>
    </row>
    <row r="515" spans="1:12" x14ac:dyDescent="0.2">
      <c r="A515"/>
      <c r="B515"/>
      <c r="C515"/>
      <c r="D515"/>
      <c r="E515" s="2">
        <f>Comuni__2[[#This Row],[Popolazione2011]]/$D$7911</f>
        <v>8.7188349401697929E-5</v>
      </c>
      <c r="F515">
        <f>SUMIFS($D$2:$D$7909, $B$2:$B$7909, "Calabria")</f>
        <v>1959050</v>
      </c>
      <c r="G515" s="1">
        <f>Comuni__2[[#This Row],[Popolazione2011]]/Comuni__2[[#This Row],[POPOLAZIONE TOTALE DI OGNI REGIONE (CON FILTRO)]]</f>
        <v>2.6446491922105103E-3</v>
      </c>
      <c r="H515" t="str">
        <f>IF(Comuni__2[[#This Row],[Popolazione2011]]&gt;300000,"MAGGIORE","")</f>
        <v/>
      </c>
      <c r="J515">
        <v>35</v>
      </c>
      <c r="K515">
        <v>504</v>
      </c>
      <c r="L515">
        <v>35</v>
      </c>
    </row>
    <row r="516" spans="1:12" x14ac:dyDescent="0.2">
      <c r="A516"/>
      <c r="B516"/>
      <c r="C516"/>
      <c r="D516"/>
      <c r="E516" s="2">
        <f>Comuni__2[[#This Row],[Popolazione2011]]/$D$7911</f>
        <v>8.607766979148521E-5</v>
      </c>
      <c r="F516">
        <f>SUMIFS($D$2:$D$7909, $B$2:$B$7909, "Calabria")</f>
        <v>1959050</v>
      </c>
      <c r="G516" s="1">
        <f>Comuni__2[[#This Row],[Popolazione2011]]/Comuni__2[[#This Row],[POPOLAZIONE TOTALE DI OGNI REGIONE (CON FILTRO)]]</f>
        <v>2.6109593935836248E-3</v>
      </c>
      <c r="H516" t="str">
        <f>IF(Comuni__2[[#This Row],[Popolazione2011]]&gt;300000,"MAGGIORE","")</f>
        <v/>
      </c>
      <c r="J516">
        <v>35</v>
      </c>
      <c r="K516">
        <v>511</v>
      </c>
      <c r="L516">
        <v>35</v>
      </c>
    </row>
    <row r="517" spans="1:12" x14ac:dyDescent="0.2">
      <c r="A517"/>
      <c r="B517"/>
      <c r="C517"/>
      <c r="D517"/>
      <c r="E517" s="2">
        <f>Comuni__2[[#This Row],[Popolazione2011]]/$D$7911</f>
        <v>8.5387702154837922E-5</v>
      </c>
      <c r="F517">
        <f>SUMIFS($D$2:$D$7909, $B$2:$B$7909, "Calabria")</f>
        <v>1959050</v>
      </c>
      <c r="G517" s="1">
        <f>Comuni__2[[#This Row],[Popolazione2011]]/Comuni__2[[#This Row],[POPOLAZIONE TOTALE DI OGNI REGIONE (CON FILTRO)]]</f>
        <v>2.5900308823154079E-3</v>
      </c>
      <c r="H517" t="str">
        <f>IF(Comuni__2[[#This Row],[Popolazione2011]]&gt;300000,"MAGGIORE","")</f>
        <v/>
      </c>
      <c r="J517">
        <v>35</v>
      </c>
      <c r="K517">
        <v>514</v>
      </c>
      <c r="L517">
        <v>35</v>
      </c>
    </row>
    <row r="518" spans="1:12" x14ac:dyDescent="0.2">
      <c r="A518"/>
      <c r="B518"/>
      <c r="C518"/>
      <c r="D518"/>
      <c r="E518" s="2">
        <f>Comuni__2[[#This Row],[Popolazione2011]]/$D$7911</f>
        <v>8.5067961054928202E-5</v>
      </c>
      <c r="F518">
        <f>SUMIFS($D$2:$D$7909, $B$2:$B$7909, "Calabria")</f>
        <v>1959050</v>
      </c>
      <c r="G518" s="1">
        <f>Comuni__2[[#This Row],[Popolazione2011]]/Comuni__2[[#This Row],[POPOLAZIONE TOTALE DI OGNI REGIONE (CON FILTRO)]]</f>
        <v>2.5803323039228199E-3</v>
      </c>
      <c r="H518" t="str">
        <f>IF(Comuni__2[[#This Row],[Popolazione2011]]&gt;300000,"MAGGIORE","")</f>
        <v/>
      </c>
      <c r="J518">
        <v>36</v>
      </c>
      <c r="K518">
        <v>524</v>
      </c>
      <c r="L518">
        <v>35</v>
      </c>
    </row>
    <row r="519" spans="1:12" x14ac:dyDescent="0.2">
      <c r="A519"/>
      <c r="B519"/>
      <c r="C519"/>
      <c r="D519"/>
      <c r="E519" s="2">
        <f>Comuni__2[[#This Row],[Popolazione2011]]/$D$7911</f>
        <v>8.4899676265502041E-5</v>
      </c>
      <c r="F519">
        <f>SUMIFS($D$2:$D$7909, $B$2:$B$7909, "Calabria")</f>
        <v>1959050</v>
      </c>
      <c r="G519" s="1">
        <f>Comuni__2[[#This Row],[Popolazione2011]]/Comuni__2[[#This Row],[POPOLAZIONE TOTALE DI OGNI REGIONE (CON FILTRO)]]</f>
        <v>2.5752277889793521E-3</v>
      </c>
      <c r="H519" t="str">
        <f>IF(Comuni__2[[#This Row],[Popolazione2011]]&gt;300000,"MAGGIORE","")</f>
        <v/>
      </c>
      <c r="J519">
        <v>36</v>
      </c>
      <c r="K519">
        <v>527</v>
      </c>
      <c r="L519">
        <v>35</v>
      </c>
    </row>
    <row r="520" spans="1:12" x14ac:dyDescent="0.2">
      <c r="A520"/>
      <c r="B520"/>
      <c r="C520"/>
      <c r="D520"/>
      <c r="E520" s="2">
        <f>Comuni__2[[#This Row],[Popolazione2011]]/$D$7911</f>
        <v>8.4125566234141658E-5</v>
      </c>
      <c r="F520">
        <f>SUMIFS($D$2:$D$7909, $B$2:$B$7909, "Calabria")</f>
        <v>1959050</v>
      </c>
      <c r="G520" s="1">
        <f>Comuni__2[[#This Row],[Popolazione2011]]/Comuni__2[[#This Row],[POPOLAZIONE TOTALE DI OGNI REGIONE (CON FILTRO)]]</f>
        <v>2.5517470202394018E-3</v>
      </c>
      <c r="H520" t="str">
        <f>IF(Comuni__2[[#This Row],[Popolazione2011]]&gt;300000,"MAGGIORE","")</f>
        <v/>
      </c>
      <c r="J520">
        <v>36</v>
      </c>
      <c r="K520">
        <v>528</v>
      </c>
      <c r="L520">
        <v>35</v>
      </c>
    </row>
    <row r="521" spans="1:12" x14ac:dyDescent="0.2">
      <c r="A521"/>
      <c r="B521"/>
      <c r="C521"/>
      <c r="D521"/>
      <c r="E521" s="2">
        <f>Comuni__2[[#This Row],[Popolazione2011]]/$D$7911</f>
        <v>8.2560517692478291E-5</v>
      </c>
      <c r="F521">
        <f>SUMIFS($D$2:$D$7909, $B$2:$B$7909, "Calabria")</f>
        <v>1959050</v>
      </c>
      <c r="G521" s="1">
        <f>Comuni__2[[#This Row],[Popolazione2011]]/Comuni__2[[#This Row],[POPOLAZIONE TOTALE DI OGNI REGIONE (CON FILTRO)]]</f>
        <v>2.5042750312651539E-3</v>
      </c>
      <c r="H521" t="str">
        <f>IF(Comuni__2[[#This Row],[Popolazione2011]]&gt;300000,"MAGGIORE","")</f>
        <v/>
      </c>
      <c r="J521">
        <v>34</v>
      </c>
      <c r="K521">
        <v>532</v>
      </c>
      <c r="L521">
        <v>37</v>
      </c>
    </row>
    <row r="522" spans="1:12" x14ac:dyDescent="0.2">
      <c r="A522"/>
      <c r="B522"/>
      <c r="C522"/>
      <c r="D522"/>
      <c r="E522" s="2">
        <f>Comuni__2[[#This Row],[Popolazione2011]]/$D$7911</f>
        <v>8.2409061381994746E-5</v>
      </c>
      <c r="F522">
        <f>SUMIFS($D$2:$D$7909, $B$2:$B$7909, "Calabria")</f>
        <v>1959050</v>
      </c>
      <c r="G522" s="1">
        <f>Comuni__2[[#This Row],[Popolazione2011]]/Comuni__2[[#This Row],[POPOLAZIONE TOTALE DI OGNI REGIONE (CON FILTRO)]]</f>
        <v>2.4996809678160333E-3</v>
      </c>
      <c r="H522" t="str">
        <f>IF(Comuni__2[[#This Row],[Popolazione2011]]&gt;300000,"MAGGIORE","")</f>
        <v/>
      </c>
      <c r="J522">
        <v>35</v>
      </c>
      <c r="K522">
        <v>534</v>
      </c>
      <c r="L522">
        <v>37</v>
      </c>
    </row>
    <row r="523" spans="1:12" x14ac:dyDescent="0.2">
      <c r="A523"/>
      <c r="B523"/>
      <c r="C523"/>
      <c r="D523"/>
      <c r="E523" s="2">
        <f>Comuni__2[[#This Row],[Popolazione2011]]/$D$7911</f>
        <v>8.0221359119454555E-5</v>
      </c>
      <c r="F523">
        <f>SUMIFS($D$2:$D$7909, $B$2:$B$7909, "Calabria")</f>
        <v>1959050</v>
      </c>
      <c r="G523" s="1">
        <f>Comuni__2[[#This Row],[Popolazione2011]]/Comuni__2[[#This Row],[POPOLAZIONE TOTALE DI OGNI REGIONE (CON FILTRO)]]</f>
        <v>2.4333222735509557E-3</v>
      </c>
      <c r="H523" t="str">
        <f>IF(Comuni__2[[#This Row],[Popolazione2011]]&gt;300000,"MAGGIORE","")</f>
        <v/>
      </c>
      <c r="J523">
        <v>36</v>
      </c>
      <c r="K523">
        <v>536</v>
      </c>
      <c r="L523">
        <v>37</v>
      </c>
    </row>
    <row r="524" spans="1:12" x14ac:dyDescent="0.2">
      <c r="A524"/>
      <c r="B524"/>
      <c r="C524"/>
      <c r="D524"/>
      <c r="E524" s="2">
        <f>Comuni__2[[#This Row],[Popolazione2011]]/$D$7911</f>
        <v>8.0103559766856228E-5</v>
      </c>
      <c r="F524">
        <f>SUMIFS($D$2:$D$7909, $B$2:$B$7909, "Calabria")</f>
        <v>1959050</v>
      </c>
      <c r="G524" s="1">
        <f>Comuni__2[[#This Row],[Popolazione2011]]/Comuni__2[[#This Row],[POPOLAZIONE TOTALE DI OGNI REGIONE (CON FILTRO)]]</f>
        <v>2.4297491130905284E-3</v>
      </c>
      <c r="H524" t="str">
        <f>IF(Comuni__2[[#This Row],[Popolazione2011]]&gt;300000,"MAGGIORE","")</f>
        <v/>
      </c>
      <c r="J524">
        <v>36</v>
      </c>
      <c r="K524">
        <v>548</v>
      </c>
      <c r="L524">
        <v>38</v>
      </c>
    </row>
    <row r="525" spans="1:12" x14ac:dyDescent="0.2">
      <c r="A525"/>
      <c r="B525"/>
      <c r="C525"/>
      <c r="D525"/>
      <c r="E525" s="2">
        <f>Comuni__2[[#This Row],[Popolazione2011]]/$D$7911</f>
        <v>7.9968931935315299E-5</v>
      </c>
      <c r="F525">
        <f>SUMIFS($D$2:$D$7909, $B$2:$B$7909, "Calabria")</f>
        <v>1959050</v>
      </c>
      <c r="G525" s="1">
        <f>Comuni__2[[#This Row],[Popolazione2011]]/Comuni__2[[#This Row],[POPOLAZIONE TOTALE DI OGNI REGIONE (CON FILTRO)]]</f>
        <v>2.4256655011357544E-3</v>
      </c>
      <c r="H525" t="str">
        <f>IF(Comuni__2[[#This Row],[Popolazione2011]]&gt;300000,"MAGGIORE","")</f>
        <v/>
      </c>
      <c r="J525">
        <v>40</v>
      </c>
      <c r="K525">
        <v>550</v>
      </c>
      <c r="L525">
        <v>38</v>
      </c>
    </row>
    <row r="526" spans="1:12" x14ac:dyDescent="0.2">
      <c r="A526"/>
      <c r="B526"/>
      <c r="C526"/>
      <c r="D526"/>
      <c r="E526" s="2">
        <f>Comuni__2[[#This Row],[Popolazione2011]]/$D$7911</f>
        <v>7.9935274977430067E-5</v>
      </c>
      <c r="F526">
        <f>SUMIFS($D$2:$D$7909, $B$2:$B$7909, "Calabria")</f>
        <v>1959050</v>
      </c>
      <c r="G526" s="1">
        <f>Comuni__2[[#This Row],[Popolazione2011]]/Comuni__2[[#This Row],[POPOLAZIONE TOTALE DI OGNI REGIONE (CON FILTRO)]]</f>
        <v>2.4246445981470611E-3</v>
      </c>
      <c r="H526" t="str">
        <f>IF(Comuni__2[[#This Row],[Popolazione2011]]&gt;300000,"MAGGIORE","")</f>
        <v/>
      </c>
      <c r="J526">
        <v>43</v>
      </c>
      <c r="K526">
        <v>555</v>
      </c>
      <c r="L526">
        <v>39</v>
      </c>
    </row>
    <row r="527" spans="1:12" x14ac:dyDescent="0.2">
      <c r="A527"/>
      <c r="B527"/>
      <c r="C527"/>
      <c r="D527"/>
      <c r="E527" s="2">
        <f>Comuni__2[[#This Row],[Popolazione2011]]/$D$7911</f>
        <v>7.9514563003864637E-5</v>
      </c>
      <c r="F527">
        <f>SUMIFS($D$2:$D$7909, $B$2:$B$7909, "Calabria")</f>
        <v>1959050</v>
      </c>
      <c r="G527" s="1">
        <f>Comuni__2[[#This Row],[Popolazione2011]]/Comuni__2[[#This Row],[POPOLAZIONE TOTALE DI OGNI REGIONE (CON FILTRO)]]</f>
        <v>2.4118833107883925E-3</v>
      </c>
      <c r="H527" t="str">
        <f>IF(Comuni__2[[#This Row],[Popolazione2011]]&gt;300000,"MAGGIORE","")</f>
        <v/>
      </c>
      <c r="J527">
        <v>52</v>
      </c>
      <c r="K527">
        <v>559</v>
      </c>
      <c r="L527">
        <v>39</v>
      </c>
    </row>
    <row r="528" spans="1:12" x14ac:dyDescent="0.2">
      <c r="A528"/>
      <c r="B528"/>
      <c r="C528"/>
      <c r="D528"/>
      <c r="E528" s="2">
        <f>Comuni__2[[#This Row],[Popolazione2011]]/$D$7911</f>
        <v>7.87741099303895E-5</v>
      </c>
      <c r="F528">
        <f>SUMIFS($D$2:$D$7909, $B$2:$B$7909, "Calabria")</f>
        <v>1959050</v>
      </c>
      <c r="G528" s="1">
        <f>Comuni__2[[#This Row],[Popolazione2011]]/Comuni__2[[#This Row],[POPOLAZIONE TOTALE DI OGNI REGIONE (CON FILTRO)]]</f>
        <v>2.3894234450371355E-3</v>
      </c>
      <c r="H528" t="str">
        <f>IF(Comuni__2[[#This Row],[Popolazione2011]]&gt;300000,"MAGGIORE","")</f>
        <v/>
      </c>
      <c r="J528">
        <v>52</v>
      </c>
      <c r="K528">
        <v>561</v>
      </c>
      <c r="L528">
        <v>39</v>
      </c>
    </row>
    <row r="529" spans="1:12" x14ac:dyDescent="0.2">
      <c r="A529"/>
      <c r="B529"/>
      <c r="C529"/>
      <c r="D529"/>
      <c r="E529" s="2">
        <f>Comuni__2[[#This Row],[Popolazione2011]]/$D$7911</f>
        <v>7.8235598604225757E-5</v>
      </c>
      <c r="F529">
        <f>SUMIFS($D$2:$D$7909, $B$2:$B$7909, "Calabria")</f>
        <v>1959050</v>
      </c>
      <c r="G529" s="1">
        <f>Comuni__2[[#This Row],[Popolazione2011]]/Comuni__2[[#This Row],[POPOLAZIONE TOTALE DI OGNI REGIONE (CON FILTRO)]]</f>
        <v>2.3730889972180392E-3</v>
      </c>
      <c r="H529" t="str">
        <f>IF(Comuni__2[[#This Row],[Popolazione2011]]&gt;300000,"MAGGIORE","")</f>
        <v/>
      </c>
      <c r="J529">
        <v>52</v>
      </c>
      <c r="K529">
        <v>584</v>
      </c>
      <c r="L529">
        <v>39</v>
      </c>
    </row>
    <row r="530" spans="1:12" x14ac:dyDescent="0.2">
      <c r="A530"/>
      <c r="B530"/>
      <c r="C530"/>
      <c r="D530"/>
      <c r="E530" s="2">
        <f>Comuni__2[[#This Row],[Popolazione2011]]/$D$7911</f>
        <v>7.7663430320176795E-5</v>
      </c>
      <c r="F530">
        <f>SUMIFS($D$2:$D$7909, $B$2:$B$7909, "Calabria")</f>
        <v>1959050</v>
      </c>
      <c r="G530" s="1">
        <f>Comuni__2[[#This Row],[Popolazione2011]]/Comuni__2[[#This Row],[POPOLAZIONE TOTALE DI OGNI REGIONE (CON FILTRO)]]</f>
        <v>2.35573364641025E-3</v>
      </c>
      <c r="H530" t="str">
        <f>IF(Comuni__2[[#This Row],[Popolazione2011]]&gt;300000,"MAGGIORE","")</f>
        <v/>
      </c>
      <c r="J530">
        <v>52</v>
      </c>
      <c r="K530">
        <v>611</v>
      </c>
      <c r="L530">
        <v>42</v>
      </c>
    </row>
    <row r="531" spans="1:12" x14ac:dyDescent="0.2">
      <c r="A531"/>
      <c r="B531"/>
      <c r="C531"/>
      <c r="D531"/>
      <c r="E531" s="2">
        <f>Comuni__2[[#This Row],[Popolazione2011]]/$D$7911</f>
        <v>7.6956634204586877E-5</v>
      </c>
      <c r="F531">
        <f>SUMIFS($D$2:$D$7909, $B$2:$B$7909, "Calabria")</f>
        <v>1959050</v>
      </c>
      <c r="G531" s="1">
        <f>Comuni__2[[#This Row],[Popolazione2011]]/Comuni__2[[#This Row],[POPOLAZIONE TOTALE DI OGNI REGIONE (CON FILTRO)]]</f>
        <v>2.3342946836476864E-3</v>
      </c>
      <c r="H531" t="str">
        <f>IF(Comuni__2[[#This Row],[Popolazione2011]]&gt;300000,"MAGGIORE","")</f>
        <v/>
      </c>
      <c r="J531">
        <v>58</v>
      </c>
      <c r="K531">
        <v>621</v>
      </c>
      <c r="L531">
        <v>42</v>
      </c>
    </row>
    <row r="532" spans="1:12" x14ac:dyDescent="0.2">
      <c r="A532"/>
      <c r="B532"/>
      <c r="C532"/>
      <c r="D532"/>
      <c r="E532" s="2">
        <f>Comuni__2[[#This Row],[Popolazione2011]]/$D$7911</f>
        <v>7.6098381778513428E-5</v>
      </c>
      <c r="F532">
        <f>SUMIFS($D$2:$D$7909, $B$2:$B$7909, "Calabria")</f>
        <v>1959050</v>
      </c>
      <c r="G532" s="1">
        <f>Comuni__2[[#This Row],[Popolazione2011]]/Comuni__2[[#This Row],[POPOLAZIONE TOTALE DI OGNI REGIONE (CON FILTRO)]]</f>
        <v>2.3082616574360022E-3</v>
      </c>
      <c r="H532" t="str">
        <f>IF(Comuni__2[[#This Row],[Popolazione2011]]&gt;300000,"MAGGIORE","")</f>
        <v/>
      </c>
      <c r="J532">
        <v>58</v>
      </c>
      <c r="K532">
        <v>630</v>
      </c>
      <c r="L532">
        <v>44</v>
      </c>
    </row>
    <row r="533" spans="1:12" x14ac:dyDescent="0.2">
      <c r="A533"/>
      <c r="B533"/>
      <c r="C533"/>
      <c r="D533"/>
      <c r="E533" s="2">
        <f>Comuni__2[[#This Row],[Popolazione2011]]/$D$7911</f>
        <v>7.5559870452349685E-5</v>
      </c>
      <c r="F533">
        <f>SUMIFS($D$2:$D$7909, $B$2:$B$7909, "Calabria")</f>
        <v>1959050</v>
      </c>
      <c r="G533" s="1">
        <f>Comuni__2[[#This Row],[Popolazione2011]]/Comuni__2[[#This Row],[POPOLAZIONE TOTALE DI OGNI REGIONE (CON FILTRO)]]</f>
        <v>2.2919272096169063E-3</v>
      </c>
      <c r="H533" t="str">
        <f>IF(Comuni__2[[#This Row],[Popolazione2011]]&gt;300000,"MAGGIORE","")</f>
        <v/>
      </c>
      <c r="J533">
        <v>58</v>
      </c>
      <c r="K533">
        <v>639</v>
      </c>
      <c r="L533">
        <v>44</v>
      </c>
    </row>
    <row r="534" spans="1:12" x14ac:dyDescent="0.2">
      <c r="A534"/>
      <c r="B534"/>
      <c r="C534"/>
      <c r="D534"/>
      <c r="E534" s="2">
        <f>Comuni__2[[#This Row],[Popolazione2011]]/$D$7911</f>
        <v>7.5307443268210429E-5</v>
      </c>
      <c r="F534">
        <f>SUMIFS($D$2:$D$7909, $B$2:$B$7909, "Calabria")</f>
        <v>1959050</v>
      </c>
      <c r="G534" s="1">
        <f>Comuni__2[[#This Row],[Popolazione2011]]/Comuni__2[[#This Row],[POPOLAZIONE TOTALE DI OGNI REGIONE (CON FILTRO)]]</f>
        <v>2.2842704372017051E-3</v>
      </c>
      <c r="H534" t="str">
        <f>IF(Comuni__2[[#This Row],[Popolazione2011]]&gt;300000,"MAGGIORE","")</f>
        <v/>
      </c>
      <c r="J534">
        <v>72</v>
      </c>
      <c r="K534">
        <v>651</v>
      </c>
      <c r="L534">
        <v>44</v>
      </c>
    </row>
    <row r="535" spans="1:12" x14ac:dyDescent="0.2">
      <c r="A535"/>
      <c r="B535"/>
      <c r="C535"/>
      <c r="D535"/>
      <c r="E535" s="2">
        <f>Comuni__2[[#This Row],[Popolazione2011]]/$D$7911</f>
        <v>7.5055016084071174E-5</v>
      </c>
      <c r="F535">
        <f>SUMIFS($D$2:$D$7909, $B$2:$B$7909, "Calabria")</f>
        <v>1959050</v>
      </c>
      <c r="G535" s="1">
        <f>Comuni__2[[#This Row],[Popolazione2011]]/Comuni__2[[#This Row],[POPOLAZIONE TOTALE DI OGNI REGIONE (CON FILTRO)]]</f>
        <v>2.2766136647865039E-3</v>
      </c>
      <c r="H535" t="str">
        <f>IF(Comuni__2[[#This Row],[Popolazione2011]]&gt;300000,"MAGGIORE","")</f>
        <v/>
      </c>
      <c r="J535">
        <v>75</v>
      </c>
      <c r="K535">
        <v>661</v>
      </c>
      <c r="L535">
        <v>44</v>
      </c>
    </row>
    <row r="536" spans="1:12" x14ac:dyDescent="0.2">
      <c r="A536"/>
      <c r="B536"/>
      <c r="C536"/>
      <c r="D536"/>
      <c r="E536" s="2">
        <f>Comuni__2[[#This Row],[Popolazione2011]]/$D$7911</f>
        <v>7.5004530647243325E-5</v>
      </c>
      <c r="F536">
        <f>SUMIFS($D$2:$D$7909, $B$2:$B$7909, "Calabria")</f>
        <v>1959050</v>
      </c>
      <c r="G536" s="1">
        <f>Comuni__2[[#This Row],[Popolazione2011]]/Comuni__2[[#This Row],[POPOLAZIONE TOTALE DI OGNI REGIONE (CON FILTRO)]]</f>
        <v>2.2750823103034634E-3</v>
      </c>
      <c r="H536" t="str">
        <f>IF(Comuni__2[[#This Row],[Popolazione2011]]&gt;300000,"MAGGIORE","")</f>
        <v/>
      </c>
      <c r="J536">
        <v>80</v>
      </c>
      <c r="K536">
        <v>670</v>
      </c>
      <c r="L536">
        <v>47</v>
      </c>
    </row>
    <row r="537" spans="1:12" x14ac:dyDescent="0.2">
      <c r="A537"/>
      <c r="B537"/>
      <c r="C537"/>
      <c r="D537"/>
      <c r="E537" s="2">
        <f>Comuni__2[[#This Row],[Popolazione2011]]/$D$7911</f>
        <v>7.4718446505218838E-5</v>
      </c>
      <c r="F537">
        <f>SUMIFS($D$2:$D$7909, $B$2:$B$7909, "Calabria")</f>
        <v>1959050</v>
      </c>
      <c r="G537" s="1">
        <f>Comuni__2[[#This Row],[Popolazione2011]]/Comuni__2[[#This Row],[POPOLAZIONE TOTALE DI OGNI REGIONE (CON FILTRO)]]</f>
        <v>2.2664046348995688E-3</v>
      </c>
      <c r="H537" t="str">
        <f>IF(Comuni__2[[#This Row],[Popolazione2011]]&gt;300000,"MAGGIORE","")</f>
        <v/>
      </c>
      <c r="J537">
        <v>81</v>
      </c>
      <c r="K537">
        <v>684</v>
      </c>
      <c r="L537">
        <v>47</v>
      </c>
    </row>
    <row r="538" spans="1:12" x14ac:dyDescent="0.2">
      <c r="A538"/>
      <c r="B538"/>
      <c r="C538"/>
      <c r="D538"/>
      <c r="E538" s="2">
        <f>Comuni__2[[#This Row],[Popolazione2011]]/$D$7911</f>
        <v>7.421359213694034E-5</v>
      </c>
      <c r="F538">
        <f>SUMIFS($D$2:$D$7909, $B$2:$B$7909, "Calabria")</f>
        <v>1959050</v>
      </c>
      <c r="G538" s="1">
        <f>Comuni__2[[#This Row],[Popolazione2011]]/Comuni__2[[#This Row],[POPOLAZIONE TOTALE DI OGNI REGIONE (CON FILTRO)]]</f>
        <v>2.2510910900691663E-3</v>
      </c>
      <c r="H538" t="str">
        <f>IF(Comuni__2[[#This Row],[Popolazione2011]]&gt;300000,"MAGGIORE","")</f>
        <v/>
      </c>
      <c r="J538">
        <v>81</v>
      </c>
      <c r="K538">
        <v>699</v>
      </c>
      <c r="L538">
        <v>48</v>
      </c>
    </row>
    <row r="539" spans="1:12" x14ac:dyDescent="0.2">
      <c r="A539"/>
      <c r="B539"/>
      <c r="C539"/>
      <c r="D539"/>
      <c r="E539" s="2">
        <f>Comuni__2[[#This Row],[Popolazione2011]]/$D$7911</f>
        <v>7.3052427089899773E-5</v>
      </c>
      <c r="F539">
        <f>SUMIFS($D$2:$D$7909, $B$2:$B$7909, "Calabria")</f>
        <v>1959050</v>
      </c>
      <c r="G539" s="1">
        <f>Comuni__2[[#This Row],[Popolazione2011]]/Comuni__2[[#This Row],[POPOLAZIONE TOTALE DI OGNI REGIONE (CON FILTRO)]]</f>
        <v>2.2158699369592403E-3</v>
      </c>
      <c r="H539" t="str">
        <f>IF(Comuni__2[[#This Row],[Popolazione2011]]&gt;300000,"MAGGIORE","")</f>
        <v/>
      </c>
      <c r="J539">
        <v>90</v>
      </c>
      <c r="K539">
        <v>704</v>
      </c>
      <c r="L539">
        <v>49</v>
      </c>
    </row>
    <row r="540" spans="1:12" x14ac:dyDescent="0.2">
      <c r="A540"/>
      <c r="B540"/>
      <c r="C540"/>
      <c r="D540"/>
      <c r="E540" s="2">
        <f>Comuni__2[[#This Row],[Popolazione2011]]/$D$7911</f>
        <v>7.2631715116334343E-5</v>
      </c>
      <c r="F540">
        <f>SUMIFS($D$2:$D$7909, $B$2:$B$7909, "Calabria")</f>
        <v>1959050</v>
      </c>
      <c r="G540" s="1">
        <f>Comuni__2[[#This Row],[Popolazione2011]]/Comuni__2[[#This Row],[POPOLAZIONE TOTALE DI OGNI REGIONE (CON FILTRO)]]</f>
        <v>2.2031086496005717E-3</v>
      </c>
      <c r="H540" t="str">
        <f>IF(Comuni__2[[#This Row],[Popolazione2011]]&gt;300000,"MAGGIORE","")</f>
        <v/>
      </c>
      <c r="J540">
        <v>97</v>
      </c>
      <c r="K540">
        <v>705</v>
      </c>
      <c r="L540">
        <v>49</v>
      </c>
    </row>
    <row r="541" spans="1:12" x14ac:dyDescent="0.2">
      <c r="A541"/>
      <c r="B541"/>
      <c r="C541"/>
      <c r="D541"/>
      <c r="E541" s="2">
        <f>Comuni__2[[#This Row],[Popolazione2011]]/$D$7911</f>
        <v>7.2463430326908182E-5</v>
      </c>
      <c r="F541">
        <f>SUMIFS($D$2:$D$7909, $B$2:$B$7909, "Calabria")</f>
        <v>1959050</v>
      </c>
      <c r="G541" s="1">
        <f>Comuni__2[[#This Row],[Popolazione2011]]/Comuni__2[[#This Row],[POPOLAZIONE TOTALE DI OGNI REGIONE (CON FILTRO)]]</f>
        <v>2.1980041346571044E-3</v>
      </c>
      <c r="H541" t="str">
        <f>IF(Comuni__2[[#This Row],[Popolazione2011]]&gt;300000,"MAGGIORE","")</f>
        <v/>
      </c>
      <c r="J541">
        <v>101</v>
      </c>
      <c r="K541">
        <v>714</v>
      </c>
      <c r="L541">
        <v>51</v>
      </c>
    </row>
    <row r="542" spans="1:12" x14ac:dyDescent="0.2">
      <c r="A542"/>
      <c r="B542"/>
      <c r="C542"/>
      <c r="D542"/>
      <c r="E542" s="2">
        <f>Comuni__2[[#This Row],[Popolazione2011]]/$D$7911</f>
        <v>7.2345630974309869E-5</v>
      </c>
      <c r="F542">
        <f>SUMIFS($D$2:$D$7909, $B$2:$B$7909, "Calabria")</f>
        <v>1959050</v>
      </c>
      <c r="G542" s="1">
        <f>Comuni__2[[#This Row],[Popolazione2011]]/Comuni__2[[#This Row],[POPOLAZIONE TOTALE DI OGNI REGIONE (CON FILTRO)]]</f>
        <v>2.1944309741966771E-3</v>
      </c>
      <c r="H542" t="str">
        <f>IF(Comuni__2[[#This Row],[Popolazione2011]]&gt;300000,"MAGGIORE","")</f>
        <v/>
      </c>
      <c r="J542">
        <v>98</v>
      </c>
      <c r="K542">
        <v>729</v>
      </c>
      <c r="L542">
        <v>54</v>
      </c>
    </row>
    <row r="543" spans="1:12" x14ac:dyDescent="0.2">
      <c r="A543"/>
      <c r="B543"/>
      <c r="C543"/>
      <c r="D543"/>
      <c r="E543" s="2">
        <f>Comuni__2[[#This Row],[Popolazione2011]]/$D$7911</f>
        <v>7.2328802495367239E-5</v>
      </c>
      <c r="F543">
        <f>SUMIFS($D$2:$D$7909, $B$2:$B$7909, "Calabria")</f>
        <v>1959050</v>
      </c>
      <c r="G543" s="1">
        <f>Comuni__2[[#This Row],[Popolazione2011]]/Comuni__2[[#This Row],[POPOLAZIONE TOTALE DI OGNI REGIONE (CON FILTRO)]]</f>
        <v>2.19392052270233E-3</v>
      </c>
      <c r="H543" t="str">
        <f>IF(Comuni__2[[#This Row],[Popolazione2011]]&gt;300000,"MAGGIORE","")</f>
        <v/>
      </c>
      <c r="J543">
        <v>104</v>
      </c>
      <c r="K543">
        <v>740</v>
      </c>
      <c r="L543">
        <v>54</v>
      </c>
    </row>
    <row r="544" spans="1:12" x14ac:dyDescent="0.2">
      <c r="A544"/>
      <c r="B544"/>
      <c r="C544"/>
      <c r="D544"/>
      <c r="E544" s="2">
        <f>Comuni__2[[#This Row],[Popolazione2011]]/$D$7911</f>
        <v>6.9703559780319015E-5</v>
      </c>
      <c r="F544">
        <f>SUMIFS($D$2:$D$7909, $B$2:$B$7909, "Calabria")</f>
        <v>1959050</v>
      </c>
      <c r="G544" s="1">
        <f>Comuni__2[[#This Row],[Popolazione2011]]/Comuni__2[[#This Row],[POPOLAZIONE TOTALE DI OGNI REGIONE (CON FILTRO)]]</f>
        <v>2.1142900895842372E-3</v>
      </c>
      <c r="H544" t="str">
        <f>IF(Comuni__2[[#This Row],[Popolazione2011]]&gt;300000,"MAGGIORE","")</f>
        <v/>
      </c>
      <c r="J544">
        <v>106</v>
      </c>
      <c r="K544">
        <v>746</v>
      </c>
      <c r="L544">
        <v>56</v>
      </c>
    </row>
    <row r="545" spans="1:12" x14ac:dyDescent="0.2">
      <c r="A545"/>
      <c r="B545"/>
      <c r="C545"/>
      <c r="D545"/>
      <c r="E545" s="2">
        <f>Comuni__2[[#This Row],[Popolazione2011]]/$D$7911</f>
        <v>6.9417475638294528E-5</v>
      </c>
      <c r="F545">
        <f>SUMIFS($D$2:$D$7909, $B$2:$B$7909, "Calabria")</f>
        <v>1959050</v>
      </c>
      <c r="G545" s="1">
        <f>Comuni__2[[#This Row],[Popolazione2011]]/Comuni__2[[#This Row],[POPOLAZIONE TOTALE DI OGNI REGIONE (CON FILTRO)]]</f>
        <v>2.1056124141803426E-3</v>
      </c>
      <c r="H545" t="str">
        <f>IF(Comuni__2[[#This Row],[Popolazione2011]]&gt;300000,"MAGGIORE","")</f>
        <v/>
      </c>
      <c r="J545">
        <v>116</v>
      </c>
      <c r="K545">
        <v>778</v>
      </c>
      <c r="L545">
        <v>59</v>
      </c>
    </row>
    <row r="546" spans="1:12" x14ac:dyDescent="0.2">
      <c r="A546"/>
      <c r="B546"/>
      <c r="C546"/>
      <c r="D546"/>
      <c r="E546" s="2">
        <f>Comuni__2[[#This Row],[Popolazione2011]]/$D$7911</f>
        <v>6.8289967549139206E-5</v>
      </c>
      <c r="F546">
        <f>SUMIFS($D$2:$D$7909, $B$2:$B$7909, "Calabria")</f>
        <v>1959050</v>
      </c>
      <c r="G546" s="1">
        <f>Comuni__2[[#This Row],[Popolazione2011]]/Comuni__2[[#This Row],[POPOLAZIONE TOTALE DI OGNI REGIONE (CON FILTRO)]]</f>
        <v>2.0714121640591104E-3</v>
      </c>
      <c r="H546" t="str">
        <f>IF(Comuni__2[[#This Row],[Popolazione2011]]&gt;300000,"MAGGIORE","")</f>
        <v/>
      </c>
      <c r="J546">
        <v>113</v>
      </c>
      <c r="K546">
        <v>799</v>
      </c>
      <c r="L546">
        <v>63</v>
      </c>
    </row>
    <row r="547" spans="1:12" x14ac:dyDescent="0.2">
      <c r="A547"/>
      <c r="B547"/>
      <c r="C547"/>
      <c r="D547"/>
      <c r="E547" s="2">
        <f>Comuni__2[[#This Row],[Popolazione2011]]/$D$7911</f>
        <v>6.8205825154426112E-5</v>
      </c>
      <c r="F547">
        <f>SUMIFS($D$2:$D$7909, $B$2:$B$7909, "Calabria")</f>
        <v>1959050</v>
      </c>
      <c r="G547" s="1">
        <f>Comuni__2[[#This Row],[Popolazione2011]]/Comuni__2[[#This Row],[POPOLAZIONE TOTALE DI OGNI REGIONE (CON FILTRO)]]</f>
        <v>2.0688599065873765E-3</v>
      </c>
      <c r="H547" t="str">
        <f>IF(Comuni__2[[#This Row],[Popolazione2011]]&gt;300000,"MAGGIORE","")</f>
        <v/>
      </c>
      <c r="J547">
        <v>118</v>
      </c>
      <c r="K547">
        <v>805</v>
      </c>
      <c r="L547">
        <v>64</v>
      </c>
    </row>
    <row r="548" spans="1:12" x14ac:dyDescent="0.2">
      <c r="A548"/>
      <c r="B548"/>
      <c r="C548"/>
      <c r="D548"/>
      <c r="E548" s="2">
        <f>Comuni__2[[#This Row],[Popolazione2011]]/$D$7911</f>
        <v>6.8054368843942567E-5</v>
      </c>
      <c r="F548">
        <f>SUMIFS($D$2:$D$7909, $B$2:$B$7909, "Calabria")</f>
        <v>1959050</v>
      </c>
      <c r="G548" s="1">
        <f>Comuni__2[[#This Row],[Popolazione2011]]/Comuni__2[[#This Row],[POPOLAZIONE TOTALE DI OGNI REGIONE (CON FILTRO)]]</f>
        <v>2.0642658431382559E-3</v>
      </c>
      <c r="H548" t="str">
        <f>IF(Comuni__2[[#This Row],[Popolazione2011]]&gt;300000,"MAGGIORE","")</f>
        <v/>
      </c>
      <c r="J548">
        <v>129</v>
      </c>
      <c r="K548">
        <v>814</v>
      </c>
      <c r="L548">
        <v>64</v>
      </c>
    </row>
    <row r="549" spans="1:12" x14ac:dyDescent="0.2">
      <c r="A549"/>
      <c r="B549"/>
      <c r="C549"/>
      <c r="D549"/>
      <c r="E549" s="2">
        <f>Comuni__2[[#This Row],[Popolazione2011]]/$D$7911</f>
        <v>6.7027831628442943E-5</v>
      </c>
      <c r="F549">
        <f>SUMIFS($D$2:$D$7909, $B$2:$B$7909, "Calabria")</f>
        <v>1959050</v>
      </c>
      <c r="G549" s="1">
        <f>Comuni__2[[#This Row],[Popolazione2011]]/Comuni__2[[#This Row],[POPOLAZIONE TOTALE DI OGNI REGIONE (CON FILTRO)]]</f>
        <v>2.0331283019831043E-3</v>
      </c>
      <c r="H549" t="str">
        <f>IF(Comuni__2[[#This Row],[Popolazione2011]]&gt;300000,"MAGGIORE","")</f>
        <v/>
      </c>
      <c r="J549">
        <v>156</v>
      </c>
      <c r="K549">
        <v>826</v>
      </c>
      <c r="L549">
        <v>66</v>
      </c>
    </row>
    <row r="550" spans="1:12" x14ac:dyDescent="0.2">
      <c r="A550"/>
      <c r="B550"/>
      <c r="C550"/>
      <c r="D550"/>
      <c r="E550" s="2">
        <f>Comuni__2[[#This Row],[Popolazione2011]]/$D$7911</f>
        <v>6.6708090528533223E-5</v>
      </c>
      <c r="F550">
        <f>SUMIFS($D$2:$D$7909, $B$2:$B$7909, "Calabria")</f>
        <v>1959050</v>
      </c>
      <c r="G550" s="1">
        <f>Comuni__2[[#This Row],[Popolazione2011]]/Comuni__2[[#This Row],[POPOLAZIONE TOTALE DI OGNI REGIONE (CON FILTRO)]]</f>
        <v>2.0234297235905158E-3</v>
      </c>
      <c r="H550" t="str">
        <f>IF(Comuni__2[[#This Row],[Popolazione2011]]&gt;300000,"MAGGIORE","")</f>
        <v/>
      </c>
      <c r="J550">
        <v>152</v>
      </c>
      <c r="K550">
        <v>830</v>
      </c>
      <c r="L550">
        <v>69</v>
      </c>
    </row>
    <row r="551" spans="1:12" x14ac:dyDescent="0.2">
      <c r="A551"/>
      <c r="B551"/>
      <c r="C551"/>
      <c r="D551"/>
      <c r="E551" s="2">
        <f>Comuni__2[[#This Row],[Popolazione2011]]/$D$7911</f>
        <v>6.6455663344393967E-5</v>
      </c>
      <c r="F551">
        <f>SUMIFS($D$2:$D$7909, $B$2:$B$7909, "Calabria")</f>
        <v>1959050</v>
      </c>
      <c r="G551" s="1">
        <f>Comuni__2[[#This Row],[Popolazione2011]]/Comuni__2[[#This Row],[POPOLAZIONE TOTALE DI OGNI REGIONE (CON FILTRO)]]</f>
        <v>2.0157729511753146E-3</v>
      </c>
      <c r="H551" t="str">
        <f>IF(Comuni__2[[#This Row],[Popolazione2011]]&gt;300000,"MAGGIORE","")</f>
        <v/>
      </c>
      <c r="J551">
        <v>153</v>
      </c>
      <c r="K551">
        <v>837</v>
      </c>
      <c r="L551">
        <v>72</v>
      </c>
    </row>
    <row r="552" spans="1:12" x14ac:dyDescent="0.2">
      <c r="A552"/>
      <c r="B552"/>
      <c r="C552"/>
      <c r="D552"/>
      <c r="E552" s="2">
        <f>Comuni__2[[#This Row],[Popolazione2011]]/$D$7911</f>
        <v>6.5580582439377888E-5</v>
      </c>
      <c r="F552">
        <f>SUMIFS($D$2:$D$7909, $B$2:$B$7909, "Calabria")</f>
        <v>1959050</v>
      </c>
      <c r="G552" s="1">
        <f>Comuni__2[[#This Row],[Popolazione2011]]/Comuni__2[[#This Row],[POPOLAZIONE TOTALE DI OGNI REGIONE (CON FILTRO)]]</f>
        <v>1.9892294734692837E-3</v>
      </c>
      <c r="H552" t="str">
        <f>IF(Comuni__2[[#This Row],[Popolazione2011]]&gt;300000,"MAGGIORE","")</f>
        <v/>
      </c>
      <c r="J552">
        <v>164</v>
      </c>
      <c r="K552">
        <v>883</v>
      </c>
      <c r="L552">
        <v>73</v>
      </c>
    </row>
    <row r="553" spans="1:12" x14ac:dyDescent="0.2">
      <c r="A553"/>
      <c r="B553"/>
      <c r="C553"/>
      <c r="D553"/>
      <c r="E553" s="2">
        <f>Comuni__2[[#This Row],[Popolazione2011]]/$D$7911</f>
        <v>6.4318446518681625E-5</v>
      </c>
      <c r="F553">
        <f>SUMIFS($D$2:$D$7909, $B$2:$B$7909, "Calabria")</f>
        <v>1959050</v>
      </c>
      <c r="G553" s="1">
        <f>Comuni__2[[#This Row],[Popolazione2011]]/Comuni__2[[#This Row],[POPOLAZIONE TOTALE DI OGNI REGIONE (CON FILTRO)]]</f>
        <v>1.9509456113932773E-3</v>
      </c>
      <c r="H553" t="str">
        <f>IF(Comuni__2[[#This Row],[Popolazione2011]]&gt;300000,"MAGGIORE","")</f>
        <v/>
      </c>
      <c r="J553">
        <v>165</v>
      </c>
      <c r="K553">
        <v>910</v>
      </c>
      <c r="L553">
        <v>78</v>
      </c>
    </row>
    <row r="554" spans="1:12" x14ac:dyDescent="0.2">
      <c r="A554"/>
      <c r="B554"/>
      <c r="C554"/>
      <c r="D554"/>
      <c r="E554" s="2">
        <f>Comuni__2[[#This Row],[Popolazione2011]]/$D$7911</f>
        <v>6.3965048460886672E-5</v>
      </c>
      <c r="F554">
        <f>SUMIFS($D$2:$D$7909, $B$2:$B$7909, "Calabria")</f>
        <v>1959050</v>
      </c>
      <c r="G554" s="1">
        <f>Comuni__2[[#This Row],[Popolazione2011]]/Comuni__2[[#This Row],[POPOLAZIONE TOTALE DI OGNI REGIONE (CON FILTRO)]]</f>
        <v>1.9402261300119957E-3</v>
      </c>
      <c r="H554" t="str">
        <f>IF(Comuni__2[[#This Row],[Popolazione2011]]&gt;300000,"MAGGIORE","")</f>
        <v/>
      </c>
      <c r="J554">
        <v>181</v>
      </c>
      <c r="K554">
        <v>931</v>
      </c>
      <c r="L554">
        <v>79</v>
      </c>
    </row>
    <row r="555" spans="1:12" x14ac:dyDescent="0.2">
      <c r="A555"/>
      <c r="B555"/>
      <c r="C555"/>
      <c r="D555"/>
      <c r="E555" s="2">
        <f>Comuni__2[[#This Row],[Popolazione2011]]/$D$7911</f>
        <v>6.2450485356051153E-5</v>
      </c>
      <c r="F555">
        <f>SUMIFS($D$2:$D$7909, $B$2:$B$7909, "Calabria")</f>
        <v>1959050</v>
      </c>
      <c r="G555" s="1">
        <f>Comuni__2[[#This Row],[Popolazione2011]]/Comuni__2[[#This Row],[POPOLAZIONE TOTALE DI OGNI REGIONE (CON FILTRO)]]</f>
        <v>1.8942854955207881E-3</v>
      </c>
      <c r="H555" t="str">
        <f>IF(Comuni__2[[#This Row],[Popolazione2011]]&gt;300000,"MAGGIORE","")</f>
        <v/>
      </c>
      <c r="J555">
        <v>167</v>
      </c>
      <c r="K555">
        <v>949</v>
      </c>
      <c r="L555">
        <v>85</v>
      </c>
    </row>
    <row r="556" spans="1:12" x14ac:dyDescent="0.2">
      <c r="A556"/>
      <c r="B556"/>
      <c r="C556"/>
      <c r="D556"/>
      <c r="E556" s="2">
        <f>Comuni__2[[#This Row],[Popolazione2011]]/$D$7911</f>
        <v>6.1676375324690771E-5</v>
      </c>
      <c r="F556">
        <f>SUMIFS($D$2:$D$7909, $B$2:$B$7909, "Calabria")</f>
        <v>1959050</v>
      </c>
      <c r="G556" s="1">
        <f>Comuni__2[[#This Row],[Popolazione2011]]/Comuni__2[[#This Row],[POPOLAZIONE TOTALE DI OGNI REGIONE (CON FILTRO)]]</f>
        <v>1.8708047267808376E-3</v>
      </c>
      <c r="H556" t="str">
        <f>IF(Comuni__2[[#This Row],[Popolazione2011]]&gt;300000,"MAGGIORE","")</f>
        <v/>
      </c>
      <c r="J556">
        <v>180</v>
      </c>
      <c r="K556">
        <v>964</v>
      </c>
      <c r="L556">
        <v>85</v>
      </c>
    </row>
    <row r="557" spans="1:12" x14ac:dyDescent="0.2">
      <c r="A557"/>
      <c r="B557"/>
      <c r="C557"/>
      <c r="D557"/>
      <c r="E557" s="2">
        <f>Comuni__2[[#This Row],[Popolazione2011]]/$D$7911</f>
        <v>6.1407119661608913E-5</v>
      </c>
      <c r="F557">
        <f>SUMIFS($D$2:$D$7909, $B$2:$B$7909, "Calabria")</f>
        <v>1959050</v>
      </c>
      <c r="G557" s="1">
        <f>Comuni__2[[#This Row],[Popolazione2011]]/Comuni__2[[#This Row],[POPOLAZIONE TOTALE DI OGNI REGIONE (CON FILTRO)]]</f>
        <v>1.8626375028712896E-3</v>
      </c>
      <c r="H557" t="str">
        <f>IF(Comuni__2[[#This Row],[Popolazione2011]]&gt;300000,"MAGGIORE","")</f>
        <v/>
      </c>
      <c r="J557">
        <v>172</v>
      </c>
      <c r="K557">
        <v>1009</v>
      </c>
      <c r="L557">
        <v>99</v>
      </c>
    </row>
    <row r="558" spans="1:12" x14ac:dyDescent="0.2">
      <c r="A558"/>
      <c r="B558"/>
      <c r="C558"/>
      <c r="D558"/>
      <c r="E558" s="2">
        <f>Comuni__2[[#This Row],[Popolazione2011]]/$D$7911</f>
        <v>6.0986407688043483E-5</v>
      </c>
      <c r="F558">
        <f>SUMIFS($D$2:$D$7909, $B$2:$B$7909, "Calabria")</f>
        <v>1959050</v>
      </c>
      <c r="G558" s="1">
        <f>Comuni__2[[#This Row],[Popolazione2011]]/Comuni__2[[#This Row],[POPOLAZIONE TOTALE DI OGNI REGIONE (CON FILTRO)]]</f>
        <v>1.8498762155126209E-3</v>
      </c>
      <c r="H558" t="str">
        <f>IF(Comuni__2[[#This Row],[Popolazione2011]]&gt;300000,"MAGGIORE","")</f>
        <v/>
      </c>
      <c r="J558">
        <v>175</v>
      </c>
      <c r="K558">
        <v>1020</v>
      </c>
      <c r="L558">
        <v>101</v>
      </c>
    </row>
    <row r="559" spans="1:12" x14ac:dyDescent="0.2">
      <c r="A559"/>
      <c r="B559"/>
      <c r="C559"/>
      <c r="D559"/>
      <c r="E559" s="2">
        <f>Comuni__2[[#This Row],[Popolazione2011]]/$D$7911</f>
        <v>5.9387702188494883E-5</v>
      </c>
      <c r="F559">
        <f>SUMIFS($D$2:$D$7909, $B$2:$B$7909, "Calabria")</f>
        <v>1959050</v>
      </c>
      <c r="G559" s="1">
        <f>Comuni__2[[#This Row],[Popolazione2011]]/Comuni__2[[#This Row],[POPOLAZIONE TOTALE DI OGNI REGIONE (CON FILTRO)]]</f>
        <v>1.8013833235496796E-3</v>
      </c>
      <c r="H559" t="str">
        <f>IF(Comuni__2[[#This Row],[Popolazione2011]]&gt;300000,"MAGGIORE","")</f>
        <v/>
      </c>
      <c r="J559">
        <v>181</v>
      </c>
      <c r="K559">
        <v>1055</v>
      </c>
      <c r="L559">
        <v>104</v>
      </c>
    </row>
    <row r="560" spans="1:12" x14ac:dyDescent="0.2">
      <c r="A560"/>
      <c r="B560"/>
      <c r="C560"/>
      <c r="D560"/>
      <c r="E560" s="2">
        <f>Comuni__2[[#This Row],[Popolazione2011]]/$D$7911</f>
        <v>5.8866019341273763E-5</v>
      </c>
      <c r="F560">
        <f>SUMIFS($D$2:$D$7909, $B$2:$B$7909, "Calabria")</f>
        <v>1959050</v>
      </c>
      <c r="G560" s="1">
        <f>Comuni__2[[#This Row],[Popolazione2011]]/Comuni__2[[#This Row],[POPOLAZIONE TOTALE DI OGNI REGIONE (CON FILTRO)]]</f>
        <v>1.7855593272249305E-3</v>
      </c>
      <c r="H560" t="str">
        <f>IF(Comuni__2[[#This Row],[Popolazione2011]]&gt;300000,"MAGGIORE","")</f>
        <v/>
      </c>
      <c r="J560">
        <v>181</v>
      </c>
      <c r="K560">
        <v>1082</v>
      </c>
      <c r="L560">
        <v>110</v>
      </c>
    </row>
    <row r="561" spans="1:12" x14ac:dyDescent="0.2">
      <c r="A561"/>
      <c r="B561"/>
      <c r="C561"/>
      <c r="D561"/>
      <c r="E561" s="2">
        <f>Comuni__2[[#This Row],[Popolazione2011]]/$D$7911</f>
        <v>5.8546278241364043E-5</v>
      </c>
      <c r="F561">
        <f>SUMIFS($D$2:$D$7909, $B$2:$B$7909, "Calabria")</f>
        <v>1959050</v>
      </c>
      <c r="G561" s="1">
        <f>Comuni__2[[#This Row],[Popolazione2011]]/Comuni__2[[#This Row],[POPOLAZIONE TOTALE DI OGNI REGIONE (CON FILTRO)]]</f>
        <v>1.7758607488323423E-3</v>
      </c>
      <c r="H561" t="str">
        <f>IF(Comuni__2[[#This Row],[Popolazione2011]]&gt;300000,"MAGGIORE","")</f>
        <v/>
      </c>
      <c r="J561">
        <v>179</v>
      </c>
      <c r="K561">
        <v>1128</v>
      </c>
      <c r="L561">
        <v>110</v>
      </c>
    </row>
    <row r="562" spans="1:12" x14ac:dyDescent="0.2">
      <c r="A562"/>
      <c r="B562"/>
      <c r="C562"/>
      <c r="D562"/>
      <c r="E562" s="2">
        <f>Comuni__2[[#This Row],[Popolazione2011]]/$D$7911</f>
        <v>5.8462135846650955E-5</v>
      </c>
      <c r="F562">
        <f>SUMIFS($D$2:$D$7909, $B$2:$B$7909, "Calabria")</f>
        <v>1959050</v>
      </c>
      <c r="G562" s="1">
        <f>Comuni__2[[#This Row],[Popolazione2011]]/Comuni__2[[#This Row],[POPOLAZIONE TOTALE DI OGNI REGIONE (CON FILTRO)]]</f>
        <v>1.7733084913606084E-3</v>
      </c>
      <c r="H562" t="str">
        <f>IF(Comuni__2[[#This Row],[Popolazione2011]]&gt;300000,"MAGGIORE","")</f>
        <v/>
      </c>
      <c r="J562">
        <v>180</v>
      </c>
      <c r="K562">
        <v>1142</v>
      </c>
      <c r="L562">
        <v>114</v>
      </c>
    </row>
    <row r="563" spans="1:12" x14ac:dyDescent="0.2">
      <c r="A563"/>
      <c r="B563"/>
      <c r="C563"/>
      <c r="D563"/>
      <c r="E563" s="2">
        <f>Comuni__2[[#This Row],[Popolazione2011]]/$D$7911</f>
        <v>5.8344336494052636E-5</v>
      </c>
      <c r="F563">
        <f>SUMIFS($D$2:$D$7909, $B$2:$B$7909, "Calabria")</f>
        <v>1959050</v>
      </c>
      <c r="G563" s="1">
        <f>Comuni__2[[#This Row],[Popolazione2011]]/Comuni__2[[#This Row],[POPOLAZIONE TOTALE DI OGNI REGIONE (CON FILTRO)]]</f>
        <v>1.7697353309001813E-3</v>
      </c>
      <c r="H563" t="str">
        <f>IF(Comuni__2[[#This Row],[Popolazione2011]]&gt;300000,"MAGGIORE","")</f>
        <v/>
      </c>
      <c r="J563">
        <v>179</v>
      </c>
      <c r="K563">
        <v>1168</v>
      </c>
      <c r="L563">
        <v>130</v>
      </c>
    </row>
    <row r="564" spans="1:12" x14ac:dyDescent="0.2">
      <c r="A564"/>
      <c r="B564"/>
      <c r="C564"/>
      <c r="D564"/>
      <c r="E564" s="2">
        <f>Comuni__2[[#This Row],[Popolazione2011]]/$D$7911</f>
        <v>5.8310679536167403E-5</v>
      </c>
      <c r="F564">
        <f>SUMIFS($D$2:$D$7909, $B$2:$B$7909, "Calabria")</f>
        <v>1959050</v>
      </c>
      <c r="G564" s="1">
        <f>Comuni__2[[#This Row],[Popolazione2011]]/Comuni__2[[#This Row],[POPOLAZIONE TOTALE DI OGNI REGIONE (CON FILTRO)]]</f>
        <v>1.7687144279114877E-3</v>
      </c>
      <c r="H564" t="str">
        <f>IF(Comuni__2[[#This Row],[Popolazione2011]]&gt;300000,"MAGGIORE","")</f>
        <v/>
      </c>
      <c r="J564">
        <v>176</v>
      </c>
      <c r="K564">
        <v>1218</v>
      </c>
      <c r="L564">
        <v>133</v>
      </c>
    </row>
    <row r="565" spans="1:12" x14ac:dyDescent="0.2">
      <c r="A565"/>
      <c r="B565"/>
      <c r="C565"/>
      <c r="D565"/>
      <c r="E565" s="2">
        <f>Comuni__2[[#This Row],[Popolazione2011]]/$D$7911</f>
        <v>5.8260194099339555E-5</v>
      </c>
      <c r="F565">
        <f>SUMIFS($D$2:$D$7909, $B$2:$B$7909, "Calabria")</f>
        <v>1959050</v>
      </c>
      <c r="G565" s="1">
        <f>Comuni__2[[#This Row],[Popolazione2011]]/Comuni__2[[#This Row],[POPOLAZIONE TOTALE DI OGNI REGIONE (CON FILTRO)]]</f>
        <v>1.7671830734284474E-3</v>
      </c>
      <c r="H565" t="str">
        <f>IF(Comuni__2[[#This Row],[Popolazione2011]]&gt;300000,"MAGGIORE","")</f>
        <v/>
      </c>
      <c r="J565">
        <v>178</v>
      </c>
      <c r="K565">
        <v>1218</v>
      </c>
      <c r="L565">
        <v>136</v>
      </c>
    </row>
    <row r="566" spans="1:12" x14ac:dyDescent="0.2">
      <c r="A566"/>
      <c r="B566"/>
      <c r="C566"/>
      <c r="D566"/>
      <c r="E566" s="2">
        <f>Comuni__2[[#This Row],[Popolazione2011]]/$D$7911</f>
        <v>5.7822653646831515E-5</v>
      </c>
      <c r="F566">
        <f>SUMIFS($D$2:$D$7909, $B$2:$B$7909, "Calabria")</f>
        <v>1959050</v>
      </c>
      <c r="G566" s="1">
        <f>Comuni__2[[#This Row],[Popolazione2011]]/Comuni__2[[#This Row],[POPOLAZIONE TOTALE DI OGNI REGIONE (CON FILTRO)]]</f>
        <v>1.753911334575432E-3</v>
      </c>
      <c r="H566" t="str">
        <f>IF(Comuni__2[[#This Row],[Popolazione2011]]&gt;300000,"MAGGIORE","")</f>
        <v/>
      </c>
      <c r="J566">
        <v>176</v>
      </c>
      <c r="K566">
        <v>1559</v>
      </c>
      <c r="L566">
        <v>139</v>
      </c>
    </row>
    <row r="567" spans="1:12" x14ac:dyDescent="0.2">
      <c r="A567"/>
      <c r="B567"/>
      <c r="C567"/>
      <c r="D567"/>
      <c r="E567" s="2">
        <f>Comuni__2[[#This Row],[Popolazione2011]]/$D$7911</f>
        <v>5.7570226462692267E-5</v>
      </c>
      <c r="F567">
        <f>SUMIFS($D$2:$D$7909, $B$2:$B$7909, "Calabria")</f>
        <v>1959050</v>
      </c>
      <c r="G567" s="1">
        <f>Comuni__2[[#This Row],[Popolazione2011]]/Comuni__2[[#This Row],[POPOLAZIONE TOTALE DI OGNI REGIONE (CON FILTRO)]]</f>
        <v>1.7462545621602307E-3</v>
      </c>
      <c r="H567" t="str">
        <f>IF(Comuni__2[[#This Row],[Popolazione2011]]&gt;300000,"MAGGIORE","")</f>
        <v/>
      </c>
      <c r="J567">
        <v>164</v>
      </c>
      <c r="K567">
        <v>1663</v>
      </c>
      <c r="L567">
        <v>142</v>
      </c>
    </row>
    <row r="568" spans="1:12" x14ac:dyDescent="0.2">
      <c r="A568"/>
      <c r="B568"/>
      <c r="C568"/>
      <c r="D568"/>
      <c r="E568" s="2">
        <f>Comuni__2[[#This Row],[Popolazione2011]]/$D$7911</f>
        <v>5.7300970799610395E-5</v>
      </c>
      <c r="F568">
        <f>SUMIFS($D$2:$D$7909, $B$2:$B$7909, "Calabria")</f>
        <v>1959050</v>
      </c>
      <c r="G568" s="1">
        <f>Comuni__2[[#This Row],[Popolazione2011]]/Comuni__2[[#This Row],[POPOLAZIONE TOTALE DI OGNI REGIONE (CON FILTRO)]]</f>
        <v>1.7380873382506828E-3</v>
      </c>
      <c r="H568" t="str">
        <f>IF(Comuni__2[[#This Row],[Popolazione2011]]&gt;300000,"MAGGIORE","")</f>
        <v/>
      </c>
      <c r="J568">
        <v>166</v>
      </c>
      <c r="K568">
        <v>1723</v>
      </c>
      <c r="L568">
        <v>145</v>
      </c>
    </row>
    <row r="569" spans="1:12" x14ac:dyDescent="0.2">
      <c r="A569"/>
      <c r="B569"/>
      <c r="C569"/>
      <c r="D569"/>
      <c r="E569" s="2">
        <f>Comuni__2[[#This Row],[Popolazione2011]]/$D$7911</f>
        <v>5.7216828404897308E-5</v>
      </c>
      <c r="F569">
        <f>SUMIFS($D$2:$D$7909, $B$2:$B$7909, "Calabria")</f>
        <v>1959050</v>
      </c>
      <c r="G569" s="1">
        <f>Comuni__2[[#This Row],[Popolazione2011]]/Comuni__2[[#This Row],[POPOLAZIONE TOTALE DI OGNI REGIONE (CON FILTRO)]]</f>
        <v>1.7355350807789489E-3</v>
      </c>
      <c r="H569" t="str">
        <f>IF(Comuni__2[[#This Row],[Popolazione2011]]&gt;300000,"MAGGIORE","")</f>
        <v/>
      </c>
      <c r="J569">
        <v>172</v>
      </c>
      <c r="K569">
        <v>1797</v>
      </c>
      <c r="L569">
        <v>153</v>
      </c>
    </row>
    <row r="570" spans="1:12" x14ac:dyDescent="0.2">
      <c r="A570"/>
      <c r="B570"/>
      <c r="C570"/>
      <c r="D570"/>
      <c r="E570" s="2">
        <f>Comuni__2[[#This Row],[Popolazione2011]]/$D$7911</f>
        <v>5.6695145557676188E-5</v>
      </c>
      <c r="F570">
        <f>SUMIFS($D$2:$D$7909, $B$2:$B$7909, "Calabria")</f>
        <v>1959050</v>
      </c>
      <c r="G570" s="1">
        <f>Comuni__2[[#This Row],[Popolazione2011]]/Comuni__2[[#This Row],[POPOLAZIONE TOTALE DI OGNI REGIONE (CON FILTRO)]]</f>
        <v>1.7197110844541998E-3</v>
      </c>
      <c r="H570" t="str">
        <f>IF(Comuni__2[[#This Row],[Popolazione2011]]&gt;300000,"MAGGIORE","")</f>
        <v/>
      </c>
      <c r="J570">
        <v>178</v>
      </c>
      <c r="K570">
        <v>1865</v>
      </c>
      <c r="L570">
        <v>153</v>
      </c>
    </row>
    <row r="571" spans="1:12" x14ac:dyDescent="0.2">
      <c r="A571"/>
      <c r="B571"/>
      <c r="C571"/>
      <c r="D571"/>
      <c r="E571" s="2">
        <f>Comuni__2[[#This Row],[Popolazione2011]]/$D$7911</f>
        <v>5.597152096314366E-5</v>
      </c>
      <c r="F571">
        <f>SUMIFS($D$2:$D$7909, $B$2:$B$7909, "Calabria")</f>
        <v>1959050</v>
      </c>
      <c r="G571" s="1">
        <f>Comuni__2[[#This Row],[Popolazione2011]]/Comuni__2[[#This Row],[POPOLAZIONE TOTALE DI OGNI REGIONE (CON FILTRO)]]</f>
        <v>1.6977616701972895E-3</v>
      </c>
      <c r="H571" t="str">
        <f>IF(Comuni__2[[#This Row],[Popolazione2011]]&gt;300000,"MAGGIORE","")</f>
        <v/>
      </c>
      <c r="J571">
        <v>179</v>
      </c>
      <c r="K571">
        <v>1945</v>
      </c>
      <c r="L571">
        <v>153</v>
      </c>
    </row>
    <row r="572" spans="1:12" x14ac:dyDescent="0.2">
      <c r="A572"/>
      <c r="B572"/>
      <c r="C572"/>
      <c r="D572"/>
      <c r="E572" s="2">
        <f>Comuni__2[[#This Row],[Popolazione2011]]/$D$7911</f>
        <v>5.576957921583226E-5</v>
      </c>
      <c r="F572">
        <f>SUMIFS($D$2:$D$7909, $B$2:$B$7909, "Calabria")</f>
        <v>1959050</v>
      </c>
      <c r="G572" s="1">
        <f>Comuni__2[[#This Row],[Popolazione2011]]/Comuni__2[[#This Row],[POPOLAZIONE TOTALE DI OGNI REGIONE (CON FILTRO)]]</f>
        <v>1.6916362522651285E-3</v>
      </c>
      <c r="H572" t="str">
        <f>IF(Comuni__2[[#This Row],[Popolazione2011]]&gt;300000,"MAGGIORE","")</f>
        <v/>
      </c>
      <c r="J572">
        <v>181</v>
      </c>
      <c r="K572">
        <v>2023</v>
      </c>
      <c r="L572">
        <v>158</v>
      </c>
    </row>
    <row r="573" spans="1:12" x14ac:dyDescent="0.2">
      <c r="A573"/>
      <c r="B573"/>
      <c r="C573"/>
      <c r="D573"/>
      <c r="E573" s="2">
        <f>Comuni__2[[#This Row],[Popolazione2011]]/$D$7911</f>
        <v>5.5399352679094692E-5</v>
      </c>
      <c r="F573">
        <f>SUMIFS($D$2:$D$7909, $B$2:$B$7909, "Calabria")</f>
        <v>1959050</v>
      </c>
      <c r="G573" s="1">
        <f>Comuni__2[[#This Row],[Popolazione2011]]/Comuni__2[[#This Row],[POPOLAZIONE TOTALE DI OGNI REGIONE (CON FILTRO)]]</f>
        <v>1.6804063193895E-3</v>
      </c>
      <c r="H573" t="str">
        <f>IF(Comuni__2[[#This Row],[Popolazione2011]]&gt;300000,"MAGGIORE","")</f>
        <v/>
      </c>
      <c r="J573">
        <v>185</v>
      </c>
      <c r="K573">
        <v>2123</v>
      </c>
      <c r="L573">
        <v>161</v>
      </c>
    </row>
    <row r="574" spans="1:12" x14ac:dyDescent="0.2">
      <c r="A574"/>
      <c r="B574"/>
      <c r="C574"/>
      <c r="D574"/>
      <c r="E574" s="2">
        <f>Comuni__2[[#This Row],[Popolazione2011]]/$D$7911</f>
        <v>5.5096440058127588E-5</v>
      </c>
      <c r="F574">
        <f>SUMIFS($D$2:$D$7909, $B$2:$B$7909, "Calabria")</f>
        <v>1959050</v>
      </c>
      <c r="G574" s="1">
        <f>Comuni__2[[#This Row],[Popolazione2011]]/Comuni__2[[#This Row],[POPOLAZIONE TOTALE DI OGNI REGIONE (CON FILTRO)]]</f>
        <v>1.6712181924912585E-3</v>
      </c>
      <c r="H574" t="str">
        <f>IF(Comuni__2[[#This Row],[Popolazione2011]]&gt;300000,"MAGGIORE","")</f>
        <v/>
      </c>
      <c r="J574">
        <v>153</v>
      </c>
      <c r="K574">
        <v>2278</v>
      </c>
      <c r="L574">
        <v>169</v>
      </c>
    </row>
    <row r="575" spans="1:12" x14ac:dyDescent="0.2">
      <c r="A575"/>
      <c r="B575"/>
      <c r="C575"/>
      <c r="D575"/>
      <c r="E575" s="2">
        <f>Comuni__2[[#This Row],[Popolazione2011]]/$D$7911</f>
        <v>5.5045954621299733E-5</v>
      </c>
      <c r="F575">
        <f>SUMIFS($D$2:$D$7909, $B$2:$B$7909, "Calabria")</f>
        <v>1959050</v>
      </c>
      <c r="G575" s="1">
        <f>Comuni__2[[#This Row],[Popolazione2011]]/Comuni__2[[#This Row],[POPOLAZIONE TOTALE DI OGNI REGIONE (CON FILTRO)]]</f>
        <v>1.6696868380082182E-3</v>
      </c>
      <c r="H575" t="str">
        <f>IF(Comuni__2[[#This Row],[Popolazione2011]]&gt;300000,"MAGGIORE","")</f>
        <v/>
      </c>
      <c r="J575">
        <v>137</v>
      </c>
      <c r="K575">
        <v>2397</v>
      </c>
      <c r="L575">
        <v>175</v>
      </c>
    </row>
    <row r="576" spans="1:12" x14ac:dyDescent="0.2">
      <c r="A576"/>
      <c r="B576"/>
      <c r="C576"/>
      <c r="D576"/>
      <c r="E576" s="2">
        <f>Comuni__2[[#This Row],[Popolazione2011]]/$D$7911</f>
        <v>5.492815526870142E-5</v>
      </c>
      <c r="F576">
        <f>SUMIFS($D$2:$D$7909, $B$2:$B$7909, "Calabria")</f>
        <v>1959050</v>
      </c>
      <c r="G576" s="1">
        <f>Comuni__2[[#This Row],[Popolazione2011]]/Comuni__2[[#This Row],[POPOLAZIONE TOTALE DI OGNI REGIONE (CON FILTRO)]]</f>
        <v>1.666113677547791E-3</v>
      </c>
      <c r="H576" t="str">
        <f>IF(Comuni__2[[#This Row],[Popolazione2011]]&gt;300000,"MAGGIORE","")</f>
        <v/>
      </c>
      <c r="J576">
        <v>0</v>
      </c>
      <c r="K576">
        <v>0</v>
      </c>
      <c r="L576">
        <v>0</v>
      </c>
    </row>
    <row r="577" spans="1:12" x14ac:dyDescent="0.2">
      <c r="A577"/>
      <c r="B577"/>
      <c r="C577"/>
      <c r="D577"/>
      <c r="E577" s="2">
        <f>Comuni__2[[#This Row],[Popolazione2011]]/$D$7911</f>
        <v>5.4726213521390013E-5</v>
      </c>
      <c r="F577">
        <f>SUMIFS($D$2:$D$7909, $B$2:$B$7909, "Calabria")</f>
        <v>1959050</v>
      </c>
      <c r="G577" s="1">
        <f>Comuni__2[[#This Row],[Popolazione2011]]/Comuni__2[[#This Row],[POPOLAZIONE TOTALE DI OGNI REGIONE (CON FILTRO)]]</f>
        <v>1.65998825961563E-3</v>
      </c>
      <c r="H577" t="str">
        <f>IF(Comuni__2[[#This Row],[Popolazione2011]]&gt;300000,"MAGGIORE","")</f>
        <v/>
      </c>
      <c r="J577">
        <v>0</v>
      </c>
      <c r="K577">
        <v>0</v>
      </c>
      <c r="L577">
        <v>0</v>
      </c>
    </row>
    <row r="578" spans="1:12" x14ac:dyDescent="0.2">
      <c r="A578"/>
      <c r="B578"/>
      <c r="C578"/>
      <c r="D578"/>
      <c r="E578" s="2">
        <f>Comuni__2[[#This Row],[Popolazione2011]]/$D$7911</f>
        <v>5.4675728084562164E-5</v>
      </c>
      <c r="F578">
        <f>SUMIFS($D$2:$D$7909, $B$2:$B$7909, "Calabria")</f>
        <v>1959050</v>
      </c>
      <c r="G578" s="1">
        <f>Comuni__2[[#This Row],[Popolazione2011]]/Comuni__2[[#This Row],[POPOLAZIONE TOTALE DI OGNI REGIONE (CON FILTRO)]]</f>
        <v>1.6584569051325897E-3</v>
      </c>
      <c r="H578" t="str">
        <f>IF(Comuni__2[[#This Row],[Popolazione2011]]&gt;300000,"MAGGIORE","")</f>
        <v/>
      </c>
      <c r="J578">
        <v>0</v>
      </c>
      <c r="K578">
        <v>0</v>
      </c>
      <c r="L578">
        <v>0</v>
      </c>
    </row>
    <row r="579" spans="1:12" x14ac:dyDescent="0.2">
      <c r="A579"/>
      <c r="B579"/>
      <c r="C579"/>
      <c r="D579"/>
      <c r="E579" s="2">
        <f>Comuni__2[[#This Row],[Popolazione2011]]/$D$7911</f>
        <v>5.4574757210906461E-5</v>
      </c>
      <c r="F579">
        <f>SUMIFS($D$2:$D$7909, $B$2:$B$7909, "Calabria")</f>
        <v>1959050</v>
      </c>
      <c r="G579" s="1">
        <f>Comuni__2[[#This Row],[Popolazione2011]]/Comuni__2[[#This Row],[POPOLAZIONE TOTALE DI OGNI REGIONE (CON FILTRO)]]</f>
        <v>1.6553941961665092E-3</v>
      </c>
      <c r="H579" t="str">
        <f>IF(Comuni__2[[#This Row],[Popolazione2011]]&gt;300000,"MAGGIORE","")</f>
        <v/>
      </c>
      <c r="J579">
        <v>0</v>
      </c>
      <c r="K579">
        <v>0</v>
      </c>
      <c r="L579">
        <v>0</v>
      </c>
    </row>
    <row r="580" spans="1:12" x14ac:dyDescent="0.2">
      <c r="A580"/>
      <c r="B580"/>
      <c r="C580"/>
      <c r="D580"/>
      <c r="E580" s="2">
        <f>Comuni__2[[#This Row],[Popolazione2011]]/$D$7911</f>
        <v>5.4053074363685341E-5</v>
      </c>
      <c r="F580">
        <f>SUMIFS($D$2:$D$7909, $B$2:$B$7909, "Calabria")</f>
        <v>1959050</v>
      </c>
      <c r="G580" s="1">
        <f>Comuni__2[[#This Row],[Popolazione2011]]/Comuni__2[[#This Row],[POPOLAZIONE TOTALE DI OGNI REGIONE (CON FILTRO)]]</f>
        <v>1.63957019984176E-3</v>
      </c>
      <c r="H580" t="str">
        <f>IF(Comuni__2[[#This Row],[Popolazione2011]]&gt;300000,"MAGGIORE","")</f>
        <v/>
      </c>
      <c r="J580">
        <v>0</v>
      </c>
      <c r="K580">
        <v>0</v>
      </c>
      <c r="L580">
        <v>0</v>
      </c>
    </row>
    <row r="581" spans="1:12" x14ac:dyDescent="0.2">
      <c r="A581"/>
      <c r="B581"/>
      <c r="C581"/>
      <c r="D581"/>
      <c r="E581" s="2">
        <f>Comuni__2[[#This Row],[Popolazione2011]]/$D$7911</f>
        <v>5.4019417405800108E-5</v>
      </c>
      <c r="F581">
        <f>SUMIFS($D$2:$D$7909, $B$2:$B$7909, "Calabria")</f>
        <v>1959050</v>
      </c>
      <c r="G581" s="1">
        <f>Comuni__2[[#This Row],[Popolazione2011]]/Comuni__2[[#This Row],[POPOLAZIONE TOTALE DI OGNI REGIONE (CON FILTRO)]]</f>
        <v>1.6385492968530666E-3</v>
      </c>
      <c r="H581" t="str">
        <f>IF(Comuni__2[[#This Row],[Popolazione2011]]&gt;300000,"MAGGIORE","")</f>
        <v/>
      </c>
      <c r="J581">
        <v>0</v>
      </c>
      <c r="K581">
        <v>0</v>
      </c>
      <c r="L581">
        <v>0</v>
      </c>
    </row>
    <row r="582" spans="1:12" x14ac:dyDescent="0.2">
      <c r="A582"/>
      <c r="B582"/>
      <c r="C582"/>
      <c r="D582"/>
      <c r="E582" s="2">
        <f>Comuni__2[[#This Row],[Popolazione2011]]/$D$7911</f>
        <v>5.3565048474349453E-5</v>
      </c>
      <c r="F582">
        <f>SUMIFS($D$2:$D$7909, $B$2:$B$7909, "Calabria")</f>
        <v>1959050</v>
      </c>
      <c r="G582" s="1">
        <f>Comuni__2[[#This Row],[Popolazione2011]]/Comuni__2[[#This Row],[POPOLAZIONE TOTALE DI OGNI REGIONE (CON FILTRO)]]</f>
        <v>1.6247671065057043E-3</v>
      </c>
      <c r="H582" t="str">
        <f>IF(Comuni__2[[#This Row],[Popolazione2011]]&gt;300000,"MAGGIORE","")</f>
        <v/>
      </c>
      <c r="J582">
        <v>0</v>
      </c>
      <c r="K582">
        <v>0</v>
      </c>
      <c r="L582">
        <v>0</v>
      </c>
    </row>
    <row r="583" spans="1:12" x14ac:dyDescent="0.2">
      <c r="A583"/>
      <c r="B583"/>
      <c r="C583"/>
      <c r="D583"/>
      <c r="E583" s="2">
        <f>Comuni__2[[#This Row],[Popolazione2011]]/$D$7911</f>
        <v>5.3144336500784029E-5</v>
      </c>
      <c r="F583">
        <f>SUMIFS($D$2:$D$7909, $B$2:$B$7909, "Calabria")</f>
        <v>1959050</v>
      </c>
      <c r="G583" s="1">
        <f>Comuni__2[[#This Row],[Popolazione2011]]/Comuni__2[[#This Row],[POPOLAZIONE TOTALE DI OGNI REGIONE (CON FILTRO)]]</f>
        <v>1.6120058191470355E-3</v>
      </c>
      <c r="H583" t="str">
        <f>IF(Comuni__2[[#This Row],[Popolazione2011]]&gt;300000,"MAGGIORE","")</f>
        <v/>
      </c>
      <c r="J583">
        <v>0</v>
      </c>
      <c r="K583">
        <v>0</v>
      </c>
      <c r="L583">
        <v>0</v>
      </c>
    </row>
    <row r="584" spans="1:12" x14ac:dyDescent="0.2">
      <c r="A584"/>
      <c r="B584"/>
      <c r="C584"/>
      <c r="D584"/>
      <c r="E584" s="2">
        <f>Comuni__2[[#This Row],[Popolazione2011]]/$D$7911</f>
        <v>5.2976051711357861E-5</v>
      </c>
      <c r="F584">
        <f>SUMIFS($D$2:$D$7909, $B$2:$B$7909, "Calabria")</f>
        <v>1959050</v>
      </c>
      <c r="G584" s="1">
        <f>Comuni__2[[#This Row],[Popolazione2011]]/Comuni__2[[#This Row],[POPOLAZIONE TOTALE DI OGNI REGIONE (CON FILTRO)]]</f>
        <v>1.6069013042035681E-3</v>
      </c>
      <c r="H584" t="str">
        <f>IF(Comuni__2[[#This Row],[Popolazione2011]]&gt;300000,"MAGGIORE","")</f>
        <v/>
      </c>
      <c r="J584">
        <v>0</v>
      </c>
      <c r="K584">
        <v>0</v>
      </c>
      <c r="L584">
        <v>0</v>
      </c>
    </row>
    <row r="585" spans="1:12" x14ac:dyDescent="0.2">
      <c r="A585"/>
      <c r="B585"/>
      <c r="C585"/>
      <c r="D585"/>
      <c r="E585" s="2">
        <f>Comuni__2[[#This Row],[Popolazione2011]]/$D$7911</f>
        <v>5.2790938442989077E-5</v>
      </c>
      <c r="F585">
        <f>SUMIFS($D$2:$D$7909, $B$2:$B$7909, "Calabria")</f>
        <v>1959050</v>
      </c>
      <c r="G585" s="1">
        <f>Comuni__2[[#This Row],[Popolazione2011]]/Comuni__2[[#This Row],[POPOLAZIONE TOTALE DI OGNI REGIONE (CON FILTRO)]]</f>
        <v>1.6012863377657539E-3</v>
      </c>
      <c r="H585" t="str">
        <f>IF(Comuni__2[[#This Row],[Popolazione2011]]&gt;300000,"MAGGIORE","")</f>
        <v/>
      </c>
      <c r="J585">
        <v>0</v>
      </c>
      <c r="K585">
        <v>0</v>
      </c>
      <c r="L585">
        <v>0</v>
      </c>
    </row>
    <row r="586" spans="1:12" x14ac:dyDescent="0.2">
      <c r="A586"/>
      <c r="B586"/>
      <c r="C586"/>
      <c r="D586"/>
      <c r="E586" s="2">
        <f>Comuni__2[[#This Row],[Popolazione2011]]/$D$7911</f>
        <v>5.2588996695677677E-5</v>
      </c>
      <c r="F586">
        <f>SUMIFS($D$2:$D$7909, $B$2:$B$7909, "Calabria")</f>
        <v>1959050</v>
      </c>
      <c r="G586" s="1">
        <f>Comuni__2[[#This Row],[Popolazione2011]]/Comuni__2[[#This Row],[POPOLAZIONE TOTALE DI OGNI REGIONE (CON FILTRO)]]</f>
        <v>1.5951609198335927E-3</v>
      </c>
      <c r="H586" t="str">
        <f>IF(Comuni__2[[#This Row],[Popolazione2011]]&gt;300000,"MAGGIORE","")</f>
        <v/>
      </c>
      <c r="J586">
        <v>1</v>
      </c>
      <c r="K586">
        <v>0</v>
      </c>
      <c r="L586">
        <v>0</v>
      </c>
    </row>
    <row r="587" spans="1:12" x14ac:dyDescent="0.2">
      <c r="A587"/>
      <c r="B587"/>
      <c r="C587"/>
      <c r="D587"/>
      <c r="E587" s="2">
        <f>Comuni__2[[#This Row],[Popolazione2011]]/$D$7911</f>
        <v>5.2488025822021973E-5</v>
      </c>
      <c r="F587">
        <f>SUMIFS($D$2:$D$7909, $B$2:$B$7909, "Calabria")</f>
        <v>1959050</v>
      </c>
      <c r="G587" s="1">
        <f>Comuni__2[[#This Row],[Popolazione2011]]/Comuni__2[[#This Row],[POPOLAZIONE TOTALE DI OGNI REGIONE (CON FILTRO)]]</f>
        <v>1.5920982108675124E-3</v>
      </c>
      <c r="H587" t="str">
        <f>IF(Comuni__2[[#This Row],[Popolazione2011]]&gt;300000,"MAGGIORE","")</f>
        <v/>
      </c>
      <c r="J587">
        <v>2</v>
      </c>
      <c r="K587">
        <v>0</v>
      </c>
      <c r="L587">
        <v>0</v>
      </c>
    </row>
    <row r="588" spans="1:12" x14ac:dyDescent="0.2">
      <c r="A588"/>
      <c r="B588"/>
      <c r="C588"/>
      <c r="D588"/>
      <c r="E588" s="2">
        <f>Comuni__2[[#This Row],[Popolazione2011]]/$D$7911</f>
        <v>5.1798058185374685E-5</v>
      </c>
      <c r="F588">
        <f>SUMIFS($D$2:$D$7909, $B$2:$B$7909, "Calabria")</f>
        <v>1959050</v>
      </c>
      <c r="G588" s="1">
        <f>Comuni__2[[#This Row],[Popolazione2011]]/Comuni__2[[#This Row],[POPOLAZIONE TOTALE DI OGNI REGIONE (CON FILTRO)]]</f>
        <v>1.5711696995992957E-3</v>
      </c>
      <c r="H588" t="str">
        <f>IF(Comuni__2[[#This Row],[Popolazione2011]]&gt;300000,"MAGGIORE","")</f>
        <v/>
      </c>
      <c r="J588">
        <v>2</v>
      </c>
      <c r="K588">
        <v>0</v>
      </c>
      <c r="L588">
        <v>0</v>
      </c>
    </row>
    <row r="589" spans="1:12" x14ac:dyDescent="0.2">
      <c r="A589"/>
      <c r="B589"/>
      <c r="C589"/>
      <c r="D589"/>
      <c r="E589" s="2">
        <f>Comuni__2[[#This Row],[Popolazione2011]]/$D$7911</f>
        <v>5.1798058185374685E-5</v>
      </c>
      <c r="F589">
        <f>SUMIFS($D$2:$D$7909, $B$2:$B$7909, "Calabria")</f>
        <v>1959050</v>
      </c>
      <c r="G589" s="1">
        <f>Comuni__2[[#This Row],[Popolazione2011]]/Comuni__2[[#This Row],[POPOLAZIONE TOTALE DI OGNI REGIONE (CON FILTRO)]]</f>
        <v>1.5711696995992957E-3</v>
      </c>
      <c r="H589" t="str">
        <f>IF(Comuni__2[[#This Row],[Popolazione2011]]&gt;300000,"MAGGIORE","")</f>
        <v/>
      </c>
      <c r="J589">
        <v>5</v>
      </c>
      <c r="K589">
        <v>0</v>
      </c>
      <c r="L589">
        <v>0</v>
      </c>
    </row>
    <row r="590" spans="1:12" x14ac:dyDescent="0.2">
      <c r="A590"/>
      <c r="B590"/>
      <c r="C590"/>
      <c r="D590"/>
      <c r="E590" s="2">
        <f>Comuni__2[[#This Row],[Popolazione2011]]/$D$7911</f>
        <v>5.090614880141599E-5</v>
      </c>
      <c r="F590">
        <f>SUMIFS($D$2:$D$7909, $B$2:$B$7909, "Calabria")</f>
        <v>1959050</v>
      </c>
      <c r="G590" s="1">
        <f>Comuni__2[[#This Row],[Popolazione2011]]/Comuni__2[[#This Row],[POPOLAZIONE TOTALE DI OGNI REGIONE (CON FILTRO)]]</f>
        <v>1.5441157703989178E-3</v>
      </c>
      <c r="H590" t="str">
        <f>IF(Comuni__2[[#This Row],[Popolazione2011]]&gt;300000,"MAGGIORE","")</f>
        <v/>
      </c>
      <c r="J590">
        <v>8</v>
      </c>
      <c r="K590">
        <v>2</v>
      </c>
      <c r="L590">
        <v>0</v>
      </c>
    </row>
    <row r="591" spans="1:12" x14ac:dyDescent="0.2">
      <c r="A591"/>
      <c r="B591"/>
      <c r="C591"/>
      <c r="D591"/>
      <c r="E591" s="2">
        <f>Comuni__2[[#This Row],[Popolazione2011]]/$D$7911</f>
        <v>5.0502265306793182E-5</v>
      </c>
      <c r="F591">
        <f>SUMIFS($D$2:$D$7909, $B$2:$B$7909, "Calabria")</f>
        <v>1959050</v>
      </c>
      <c r="G591" s="1">
        <f>Comuni__2[[#This Row],[Popolazione2011]]/Comuni__2[[#This Row],[POPOLAZIONE TOTALE DI OGNI REGIONE (CON FILTRO)]]</f>
        <v>1.5318649345345959E-3</v>
      </c>
      <c r="H591" t="str">
        <f>IF(Comuni__2[[#This Row],[Popolazione2011]]&gt;300000,"MAGGIORE","")</f>
        <v/>
      </c>
      <c r="J591">
        <v>10</v>
      </c>
      <c r="K591">
        <v>2</v>
      </c>
      <c r="L591">
        <v>0</v>
      </c>
    </row>
    <row r="592" spans="1:12" x14ac:dyDescent="0.2">
      <c r="A592"/>
      <c r="B592"/>
      <c r="C592"/>
      <c r="D592"/>
      <c r="E592" s="2">
        <f>Comuni__2[[#This Row],[Popolazione2011]]/$D$7911</f>
        <v>5.0115210291112998E-5</v>
      </c>
      <c r="F592">
        <f>SUMIFS($D$2:$D$7909, $B$2:$B$7909, "Calabria")</f>
        <v>1959050</v>
      </c>
      <c r="G592" s="1">
        <f>Comuni__2[[#This Row],[Popolazione2011]]/Comuni__2[[#This Row],[POPOLAZIONE TOTALE DI OGNI REGIONE (CON FILTRO)]]</f>
        <v>1.5201245501646205E-3</v>
      </c>
      <c r="H592" t="str">
        <f>IF(Comuni__2[[#This Row],[Popolazione2011]]&gt;300000,"MAGGIORE","")</f>
        <v/>
      </c>
      <c r="J592">
        <v>12</v>
      </c>
      <c r="K592">
        <v>2</v>
      </c>
      <c r="L592">
        <v>0</v>
      </c>
    </row>
    <row r="593" spans="1:12" x14ac:dyDescent="0.2">
      <c r="A593"/>
      <c r="B593"/>
      <c r="C593"/>
      <c r="D593"/>
      <c r="E593" s="2">
        <f>Comuni__2[[#This Row],[Popolazione2011]]/$D$7911</f>
        <v>4.9997410938514678E-5</v>
      </c>
      <c r="F593">
        <f>SUMIFS($D$2:$D$7909, $B$2:$B$7909, "Calabria")</f>
        <v>1959050</v>
      </c>
      <c r="G593" s="1">
        <f>Comuni__2[[#This Row],[Popolazione2011]]/Comuni__2[[#This Row],[POPOLAZIONE TOTALE DI OGNI REGIONE (CON FILTRO)]]</f>
        <v>1.5165513897041933E-3</v>
      </c>
      <c r="H593" t="str">
        <f>IF(Comuni__2[[#This Row],[Popolazione2011]]&gt;300000,"MAGGIORE","")</f>
        <v/>
      </c>
      <c r="J593">
        <v>16</v>
      </c>
      <c r="K593">
        <v>1</v>
      </c>
      <c r="L593">
        <v>0</v>
      </c>
    </row>
    <row r="594" spans="1:12" x14ac:dyDescent="0.2">
      <c r="A594"/>
      <c r="B594"/>
      <c r="C594"/>
      <c r="D594"/>
      <c r="E594" s="2">
        <f>Comuni__2[[#This Row],[Popolazione2011]]/$D$7911</f>
        <v>4.994692550168683E-5</v>
      </c>
      <c r="F594">
        <f>SUMIFS($D$2:$D$7909, $B$2:$B$7909, "Calabria")</f>
        <v>1959050</v>
      </c>
      <c r="G594" s="1">
        <f>Comuni__2[[#This Row],[Popolazione2011]]/Comuni__2[[#This Row],[POPOLAZIONE TOTALE DI OGNI REGIONE (CON FILTRO)]]</f>
        <v>1.5150200352211532E-3</v>
      </c>
      <c r="H594" t="str">
        <f>IF(Comuni__2[[#This Row],[Popolazione2011]]&gt;300000,"MAGGIORE","")</f>
        <v/>
      </c>
      <c r="J594">
        <v>21</v>
      </c>
      <c r="K594">
        <v>1</v>
      </c>
      <c r="L594">
        <v>0</v>
      </c>
    </row>
    <row r="595" spans="1:12" x14ac:dyDescent="0.2">
      <c r="A595"/>
      <c r="B595"/>
      <c r="C595"/>
      <c r="D595"/>
      <c r="E595" s="2">
        <f>Comuni__2[[#This Row],[Popolazione2011]]/$D$7911</f>
        <v>4.9728155275432807E-5</v>
      </c>
      <c r="F595">
        <f>SUMIFS($D$2:$D$7909, $B$2:$B$7909, "Calabria")</f>
        <v>1959050</v>
      </c>
      <c r="G595" s="1">
        <f>Comuni__2[[#This Row],[Popolazione2011]]/Comuni__2[[#This Row],[POPOLAZIONE TOTALE DI OGNI REGIONE (CON FILTRO)]]</f>
        <v>1.5083841657946454E-3</v>
      </c>
      <c r="H595" t="str">
        <f>IF(Comuni__2[[#This Row],[Popolazione2011]]&gt;300000,"MAGGIORE","")</f>
        <v/>
      </c>
      <c r="J595">
        <v>26</v>
      </c>
      <c r="K595">
        <v>1</v>
      </c>
      <c r="L595">
        <v>0</v>
      </c>
    </row>
    <row r="596" spans="1:12" x14ac:dyDescent="0.2">
      <c r="A596"/>
      <c r="B596"/>
      <c r="C596"/>
      <c r="D596"/>
      <c r="E596" s="2">
        <f>Comuni__2[[#This Row],[Popolazione2011]]/$D$7911</f>
        <v>4.9004530680900286E-5</v>
      </c>
      <c r="F596">
        <f>SUMIFS($D$2:$D$7909, $B$2:$B$7909, "Calabria")</f>
        <v>1959050</v>
      </c>
      <c r="G596" s="1">
        <f>Comuni__2[[#This Row],[Popolazione2011]]/Comuni__2[[#This Row],[POPOLAZIONE TOTALE DI OGNI REGIONE (CON FILTRO)]]</f>
        <v>1.4864347515377351E-3</v>
      </c>
      <c r="H596" t="str">
        <f>IF(Comuni__2[[#This Row],[Popolazione2011]]&gt;300000,"MAGGIORE","")</f>
        <v/>
      </c>
      <c r="J596">
        <v>38</v>
      </c>
      <c r="K596">
        <v>1</v>
      </c>
      <c r="L596">
        <v>1</v>
      </c>
    </row>
    <row r="597" spans="1:12" x14ac:dyDescent="0.2">
      <c r="A597"/>
      <c r="B597"/>
      <c r="C597"/>
      <c r="D597"/>
      <c r="E597" s="2">
        <f>Comuni__2[[#This Row],[Popolazione2011]]/$D$7911</f>
        <v>4.8802588933588879E-5</v>
      </c>
      <c r="F597">
        <f>SUMIFS($D$2:$D$7909, $B$2:$B$7909, "Calabria")</f>
        <v>1959050</v>
      </c>
      <c r="G597" s="1">
        <f>Comuni__2[[#This Row],[Popolazione2011]]/Comuni__2[[#This Row],[POPOLAZIONE TOTALE DI OGNI REGIONE (CON FILTRO)]]</f>
        <v>1.4803093336055741E-3</v>
      </c>
      <c r="H597" t="str">
        <f>IF(Comuni__2[[#This Row],[Popolazione2011]]&gt;300000,"MAGGIORE","")</f>
        <v/>
      </c>
      <c r="J597">
        <v>43</v>
      </c>
      <c r="K597">
        <v>1</v>
      </c>
      <c r="L597">
        <v>1</v>
      </c>
    </row>
    <row r="598" spans="1:12" x14ac:dyDescent="0.2">
      <c r="A598"/>
      <c r="B598"/>
      <c r="C598"/>
      <c r="D598"/>
      <c r="E598" s="2">
        <f>Comuni__2[[#This Row],[Popolazione2011]]/$D$7911</f>
        <v>4.8516504791564398E-5</v>
      </c>
      <c r="F598">
        <f>SUMIFS($D$2:$D$7909, $B$2:$B$7909, "Calabria")</f>
        <v>1959050</v>
      </c>
      <c r="G598" s="1">
        <f>Comuni__2[[#This Row],[Popolazione2011]]/Comuni__2[[#This Row],[POPOLAZIONE TOTALE DI OGNI REGIONE (CON FILTRO)]]</f>
        <v>1.4716316582016793E-3</v>
      </c>
      <c r="H598" t="str">
        <f>IF(Comuni__2[[#This Row],[Popolazione2011]]&gt;300000,"MAGGIORE","")</f>
        <v/>
      </c>
      <c r="J598">
        <v>55</v>
      </c>
      <c r="K598">
        <v>1</v>
      </c>
      <c r="L598">
        <v>1</v>
      </c>
    </row>
    <row r="599" spans="1:12" x14ac:dyDescent="0.2">
      <c r="A599"/>
      <c r="B599"/>
      <c r="C599"/>
      <c r="D599"/>
      <c r="E599" s="2">
        <f>Comuni__2[[#This Row],[Popolazione2011]]/$D$7911</f>
        <v>4.8062135860113742E-5</v>
      </c>
      <c r="F599">
        <f>SUMIFS($D$2:$D$7909, $B$2:$B$7909, "Calabria")</f>
        <v>1959050</v>
      </c>
      <c r="G599" s="1">
        <f>Comuni__2[[#This Row],[Popolazione2011]]/Comuni__2[[#This Row],[POPOLAZIONE TOTALE DI OGNI REGIONE (CON FILTRO)]]</f>
        <v>1.4578494678543171E-3</v>
      </c>
      <c r="H599" t="str">
        <f>IF(Comuni__2[[#This Row],[Popolazione2011]]&gt;300000,"MAGGIORE","")</f>
        <v/>
      </c>
      <c r="J599">
        <v>56</v>
      </c>
      <c r="K599">
        <v>2</v>
      </c>
      <c r="L599">
        <v>1</v>
      </c>
    </row>
    <row r="600" spans="1:12" x14ac:dyDescent="0.2">
      <c r="A600"/>
      <c r="B600"/>
      <c r="C600"/>
      <c r="D600"/>
      <c r="E600" s="2">
        <f>Comuni__2[[#This Row],[Popolazione2011]]/$D$7911</f>
        <v>4.7456310618179535E-5</v>
      </c>
      <c r="F600">
        <f>SUMIFS($D$2:$D$7909, $B$2:$B$7909, "Calabria")</f>
        <v>1959050</v>
      </c>
      <c r="G600" s="1">
        <f>Comuni__2[[#This Row],[Popolazione2011]]/Comuni__2[[#This Row],[POPOLAZIONE TOTALE DI OGNI REGIONE (CON FILTRO)]]</f>
        <v>1.4394732140578341E-3</v>
      </c>
      <c r="H600" t="str">
        <f>IF(Comuni__2[[#This Row],[Popolazione2011]]&gt;300000,"MAGGIORE","")</f>
        <v/>
      </c>
      <c r="J600">
        <v>73</v>
      </c>
      <c r="K600">
        <v>2</v>
      </c>
      <c r="L600">
        <v>3</v>
      </c>
    </row>
    <row r="601" spans="1:12" x14ac:dyDescent="0.2">
      <c r="A601"/>
      <c r="B601"/>
      <c r="C601"/>
      <c r="D601"/>
      <c r="E601" s="2">
        <f>Comuni__2[[#This Row],[Popolazione2011]]/$D$7911</f>
        <v>4.6648543628933927E-5</v>
      </c>
      <c r="F601">
        <f>SUMIFS($D$2:$D$7909, $B$2:$B$7909, "Calabria")</f>
        <v>1959050</v>
      </c>
      <c r="G601" s="1">
        <f>Comuni__2[[#This Row],[Popolazione2011]]/Comuni__2[[#This Row],[POPOLAZIONE TOTALE DI OGNI REGIONE (CON FILTRO)]]</f>
        <v>1.4149715423291901E-3</v>
      </c>
      <c r="H601" t="str">
        <f>IF(Comuni__2[[#This Row],[Popolazione2011]]&gt;300000,"MAGGIORE","")</f>
        <v/>
      </c>
      <c r="J601">
        <v>87</v>
      </c>
      <c r="K601">
        <v>2</v>
      </c>
      <c r="L601">
        <v>4</v>
      </c>
    </row>
    <row r="602" spans="1:12" x14ac:dyDescent="0.2">
      <c r="A602"/>
      <c r="B602"/>
      <c r="C602"/>
      <c r="D602"/>
      <c r="E602" s="2">
        <f>Comuni__2[[#This Row],[Popolazione2011]]/$D$7911</f>
        <v>4.6244660134311119E-5</v>
      </c>
      <c r="F602">
        <f>SUMIFS($D$2:$D$7909, $B$2:$B$7909, "Calabria")</f>
        <v>1959050</v>
      </c>
      <c r="G602" s="1">
        <f>Comuni__2[[#This Row],[Popolazione2011]]/Comuni__2[[#This Row],[POPOLAZIONE TOTALE DI OGNI REGIONE (CON FILTRO)]]</f>
        <v>1.4027207064648683E-3</v>
      </c>
      <c r="H602" t="str">
        <f>IF(Comuni__2[[#This Row],[Popolazione2011]]&gt;300000,"MAGGIORE","")</f>
        <v/>
      </c>
      <c r="J602">
        <v>89</v>
      </c>
      <c r="K602">
        <v>5</v>
      </c>
      <c r="L602">
        <v>5</v>
      </c>
    </row>
    <row r="603" spans="1:12" x14ac:dyDescent="0.2">
      <c r="A603"/>
      <c r="B603"/>
      <c r="C603"/>
      <c r="D603"/>
      <c r="E603" s="2">
        <f>Comuni__2[[#This Row],[Popolazione2011]]/$D$7911</f>
        <v>4.568932032920476E-5</v>
      </c>
      <c r="F603">
        <f>SUMIFS($D$2:$D$7909, $B$2:$B$7909, "Calabria")</f>
        <v>1959050</v>
      </c>
      <c r="G603" s="1">
        <f>Comuni__2[[#This Row],[Popolazione2011]]/Comuni__2[[#This Row],[POPOLAZIONE TOTALE DI OGNI REGIONE (CON FILTRO)]]</f>
        <v>1.3858758071514255E-3</v>
      </c>
      <c r="H603" t="str">
        <f>IF(Comuni__2[[#This Row],[Popolazione2011]]&gt;300000,"MAGGIORE","")</f>
        <v/>
      </c>
      <c r="J603">
        <v>94</v>
      </c>
      <c r="K603">
        <v>5</v>
      </c>
      <c r="L603">
        <v>8</v>
      </c>
    </row>
    <row r="604" spans="1:12" x14ac:dyDescent="0.2">
      <c r="A604"/>
      <c r="B604"/>
      <c r="C604"/>
      <c r="D604"/>
      <c r="E604" s="2">
        <f>Comuni__2[[#This Row],[Popolazione2011]]/$D$7911</f>
        <v>4.5521035539778592E-5</v>
      </c>
      <c r="F604">
        <f>SUMIFS($D$2:$D$7909, $B$2:$B$7909, "Calabria")</f>
        <v>1959050</v>
      </c>
      <c r="G604" s="1">
        <f>Comuni__2[[#This Row],[Popolazione2011]]/Comuni__2[[#This Row],[POPOLAZIONE TOTALE DI OGNI REGIONE (CON FILTRO)]]</f>
        <v>1.380771292207958E-3</v>
      </c>
      <c r="H604" t="str">
        <f>IF(Comuni__2[[#This Row],[Popolazione2011]]&gt;300000,"MAGGIORE","")</f>
        <v/>
      </c>
      <c r="J604">
        <v>102</v>
      </c>
      <c r="K604">
        <v>5</v>
      </c>
      <c r="L604">
        <v>7</v>
      </c>
    </row>
    <row r="605" spans="1:12" x14ac:dyDescent="0.2">
      <c r="A605"/>
      <c r="B605"/>
      <c r="C605"/>
      <c r="D605"/>
      <c r="E605" s="2">
        <f>Comuni__2[[#This Row],[Popolazione2011]]/$D$7911</f>
        <v>4.5251779876696727E-5</v>
      </c>
      <c r="F605">
        <f>SUMIFS($D$2:$D$7909, $B$2:$B$7909, "Calabria")</f>
        <v>1959050</v>
      </c>
      <c r="G605" s="1">
        <f>Comuni__2[[#This Row],[Popolazione2011]]/Comuni__2[[#This Row],[POPOLAZIONE TOTALE DI OGNI REGIONE (CON FILTRO)]]</f>
        <v>1.37260406829841E-3</v>
      </c>
      <c r="H605" t="str">
        <f>IF(Comuni__2[[#This Row],[Popolazione2011]]&gt;300000,"MAGGIORE","")</f>
        <v/>
      </c>
      <c r="J605">
        <v>109</v>
      </c>
      <c r="K605">
        <v>5</v>
      </c>
      <c r="L605">
        <v>10</v>
      </c>
    </row>
    <row r="606" spans="1:12" x14ac:dyDescent="0.2">
      <c r="A606"/>
      <c r="B606"/>
      <c r="C606"/>
      <c r="D606"/>
      <c r="E606" s="2">
        <f>Comuni__2[[#This Row],[Popolazione2011]]/$D$7911</f>
        <v>4.5218122918811488E-5</v>
      </c>
      <c r="F606">
        <f>SUMIFS($D$2:$D$7909, $B$2:$B$7909, "Calabria")</f>
        <v>1959050</v>
      </c>
      <c r="G606" s="1">
        <f>Comuni__2[[#This Row],[Popolazione2011]]/Comuni__2[[#This Row],[POPOLAZIONE TOTALE DI OGNI REGIONE (CON FILTRO)]]</f>
        <v>1.3715831653097164E-3</v>
      </c>
      <c r="H606" t="str">
        <f>IF(Comuni__2[[#This Row],[Popolazione2011]]&gt;300000,"MAGGIORE","")</f>
        <v/>
      </c>
      <c r="J606">
        <v>116</v>
      </c>
      <c r="K606">
        <v>7</v>
      </c>
      <c r="L606">
        <v>11</v>
      </c>
    </row>
    <row r="607" spans="1:12" x14ac:dyDescent="0.2">
      <c r="A607"/>
      <c r="B607"/>
      <c r="C607"/>
      <c r="D607"/>
      <c r="E607" s="2">
        <f>Comuni__2[[#This Row],[Popolazione2011]]/$D$7911</f>
        <v>4.5184465960926256E-5</v>
      </c>
      <c r="F607">
        <f>SUMIFS($D$2:$D$7909, $B$2:$B$7909, "Calabria")</f>
        <v>1959050</v>
      </c>
      <c r="G607" s="1">
        <f>Comuni__2[[#This Row],[Popolazione2011]]/Comuni__2[[#This Row],[POPOLAZIONE TOTALE DI OGNI REGIONE (CON FILTRO)]]</f>
        <v>1.3705622623210228E-3</v>
      </c>
      <c r="H607" t="str">
        <f>IF(Comuni__2[[#This Row],[Popolazione2011]]&gt;300000,"MAGGIORE","")</f>
        <v/>
      </c>
      <c r="J607">
        <v>124</v>
      </c>
      <c r="K607">
        <v>7</v>
      </c>
      <c r="L607">
        <v>14</v>
      </c>
    </row>
    <row r="608" spans="1:12" x14ac:dyDescent="0.2">
      <c r="A608"/>
      <c r="B608"/>
      <c r="C608"/>
      <c r="D608"/>
      <c r="E608" s="2">
        <f>Comuni__2[[#This Row],[Popolazione2011]]/$D$7911</f>
        <v>4.5184465960926256E-5</v>
      </c>
      <c r="F608">
        <f>SUMIFS($D$2:$D$7909, $B$2:$B$7909, "Calabria")</f>
        <v>1959050</v>
      </c>
      <c r="G608" s="1">
        <f>Comuni__2[[#This Row],[Popolazione2011]]/Comuni__2[[#This Row],[POPOLAZIONE TOTALE DI OGNI REGIONE (CON FILTRO)]]</f>
        <v>1.3705622623210228E-3</v>
      </c>
      <c r="H608" t="str">
        <f>IF(Comuni__2[[#This Row],[Popolazione2011]]&gt;300000,"MAGGIORE","")</f>
        <v/>
      </c>
      <c r="J608">
        <v>125</v>
      </c>
      <c r="K608">
        <v>7</v>
      </c>
      <c r="L608">
        <v>18</v>
      </c>
    </row>
    <row r="609" spans="1:12" x14ac:dyDescent="0.2">
      <c r="A609"/>
      <c r="B609"/>
      <c r="C609"/>
      <c r="D609"/>
      <c r="E609" s="2">
        <f>Comuni__2[[#This Row],[Popolazione2011]]/$D$7911</f>
        <v>4.4477669845336352E-5</v>
      </c>
      <c r="F609">
        <f>SUMIFS($D$2:$D$7909, $B$2:$B$7909, "Calabria")</f>
        <v>1959050</v>
      </c>
      <c r="G609" s="1">
        <f>Comuni__2[[#This Row],[Popolazione2011]]/Comuni__2[[#This Row],[POPOLAZIONE TOTALE DI OGNI REGIONE (CON FILTRO)]]</f>
        <v>1.3491232995584595E-3</v>
      </c>
      <c r="H609" t="str">
        <f>IF(Comuni__2[[#This Row],[Popolazione2011]]&gt;300000,"MAGGIORE","")</f>
        <v/>
      </c>
      <c r="J609">
        <v>129</v>
      </c>
      <c r="K609">
        <v>11</v>
      </c>
      <c r="L609">
        <v>21</v>
      </c>
    </row>
    <row r="610" spans="1:12" x14ac:dyDescent="0.2">
      <c r="A610"/>
      <c r="B610"/>
      <c r="C610"/>
      <c r="D610"/>
      <c r="E610" s="2">
        <f>Comuni__2[[#This Row],[Popolazione2011]]/$D$7911</f>
        <v>4.3064077614156536E-5</v>
      </c>
      <c r="F610">
        <f>SUMIFS($D$2:$D$7909, $B$2:$B$7909, "Calabria")</f>
        <v>1959050</v>
      </c>
      <c r="G610" s="1">
        <f>Comuni__2[[#This Row],[Popolazione2011]]/Comuni__2[[#This Row],[POPOLAZIONE TOTALE DI OGNI REGIONE (CON FILTRO)]]</f>
        <v>1.3062453740333325E-3</v>
      </c>
      <c r="H610" t="str">
        <f>IF(Comuni__2[[#This Row],[Popolazione2011]]&gt;300000,"MAGGIORE","")</f>
        <v/>
      </c>
      <c r="J610">
        <v>143</v>
      </c>
      <c r="K610">
        <v>12</v>
      </c>
      <c r="L610">
        <v>25</v>
      </c>
    </row>
    <row r="611" spans="1:12" x14ac:dyDescent="0.2">
      <c r="A611"/>
      <c r="B611"/>
      <c r="C611"/>
      <c r="D611"/>
      <c r="E611" s="2">
        <f>Comuni__2[[#This Row],[Popolazione2011]]/$D$7911</f>
        <v>4.2508737809050177E-5</v>
      </c>
      <c r="F611">
        <f>SUMIFS($D$2:$D$7909, $B$2:$B$7909, "Calabria")</f>
        <v>1959050</v>
      </c>
      <c r="G611" s="1">
        <f>Comuni__2[[#This Row],[Popolazione2011]]/Comuni__2[[#This Row],[POPOLAZIONE TOTALE DI OGNI REGIONE (CON FILTRO)]]</f>
        <v>1.2894004747198897E-3</v>
      </c>
      <c r="H611" t="str">
        <f>IF(Comuni__2[[#This Row],[Popolazione2011]]&gt;300000,"MAGGIORE","")</f>
        <v/>
      </c>
      <c r="J611">
        <v>148</v>
      </c>
      <c r="K611">
        <v>14</v>
      </c>
      <c r="L611">
        <v>31</v>
      </c>
    </row>
    <row r="612" spans="1:12" x14ac:dyDescent="0.2">
      <c r="A612"/>
      <c r="B612"/>
      <c r="C612"/>
      <c r="D612"/>
      <c r="E612" s="2">
        <f>Comuni__2[[#This Row],[Popolazione2011]]/$D$7911</f>
        <v>4.2357281498566625E-5</v>
      </c>
      <c r="F612">
        <f>SUMIFS($D$2:$D$7909, $B$2:$B$7909, "Calabria")</f>
        <v>1959050</v>
      </c>
      <c r="G612" s="1">
        <f>Comuni__2[[#This Row],[Popolazione2011]]/Comuni__2[[#This Row],[POPOLAZIONE TOTALE DI OGNI REGIONE (CON FILTRO)]]</f>
        <v>1.2848064112707691E-3</v>
      </c>
      <c r="H612" t="str">
        <f>IF(Comuni__2[[#This Row],[Popolazione2011]]&gt;300000,"MAGGIORE","")</f>
        <v/>
      </c>
      <c r="J612">
        <v>149</v>
      </c>
      <c r="K612">
        <v>17</v>
      </c>
      <c r="L612">
        <v>36</v>
      </c>
    </row>
    <row r="613" spans="1:12" x14ac:dyDescent="0.2">
      <c r="A613"/>
      <c r="B613"/>
      <c r="C613"/>
      <c r="D613"/>
      <c r="E613" s="2">
        <f>Comuni__2[[#This Row],[Popolazione2011]]/$D$7911</f>
        <v>4.1599999946148865E-5</v>
      </c>
      <c r="F613">
        <f>SUMIFS($D$2:$D$7909, $B$2:$B$7909, "Calabria")</f>
        <v>1959050</v>
      </c>
      <c r="G613" s="1">
        <f>Comuni__2[[#This Row],[Popolazione2011]]/Comuni__2[[#This Row],[POPOLAZIONE TOTALE DI OGNI REGIONE (CON FILTRO)]]</f>
        <v>1.2618360940251652E-3</v>
      </c>
      <c r="H613" t="str">
        <f>IF(Comuni__2[[#This Row],[Popolazione2011]]&gt;300000,"MAGGIORE","")</f>
        <v/>
      </c>
      <c r="J613">
        <v>160</v>
      </c>
      <c r="K613">
        <v>21</v>
      </c>
      <c r="L613">
        <v>38</v>
      </c>
    </row>
    <row r="614" spans="1:12" x14ac:dyDescent="0.2">
      <c r="A614"/>
      <c r="B614"/>
      <c r="C614"/>
      <c r="D614"/>
      <c r="E614" s="2">
        <f>Comuni__2[[#This Row],[Popolazione2011]]/$D$7911</f>
        <v>4.1532686030378401E-5</v>
      </c>
      <c r="F614">
        <f>SUMIFS($D$2:$D$7909, $B$2:$B$7909, "Calabria")</f>
        <v>1959050</v>
      </c>
      <c r="G614" s="1">
        <f>Comuni__2[[#This Row],[Popolazione2011]]/Comuni__2[[#This Row],[POPOLAZIONE TOTALE DI OGNI REGIONE (CON FILTRO)]]</f>
        <v>1.2597942880477782E-3</v>
      </c>
      <c r="H614" t="str">
        <f>IF(Comuni__2[[#This Row],[Popolazione2011]]&gt;300000,"MAGGIORE","")</f>
        <v/>
      </c>
      <c r="J614">
        <v>182</v>
      </c>
      <c r="K614">
        <v>23</v>
      </c>
      <c r="L614">
        <v>41</v>
      </c>
    </row>
    <row r="615" spans="1:12" x14ac:dyDescent="0.2">
      <c r="A615"/>
      <c r="B615"/>
      <c r="C615"/>
      <c r="D615"/>
      <c r="E615" s="2">
        <f>Comuni__2[[#This Row],[Popolazione2011]]/$D$7911</f>
        <v>4.1515857551435785E-5</v>
      </c>
      <c r="F615">
        <f>SUMIFS($D$2:$D$7909, $B$2:$B$7909, "Calabria")</f>
        <v>1959050</v>
      </c>
      <c r="G615" s="1">
        <f>Comuni__2[[#This Row],[Popolazione2011]]/Comuni__2[[#This Row],[POPOLAZIONE TOTALE DI OGNI REGIONE (CON FILTRO)]]</f>
        <v>1.2592838365534315E-3</v>
      </c>
      <c r="H615" t="str">
        <f>IF(Comuni__2[[#This Row],[Popolazione2011]]&gt;300000,"MAGGIORE","")</f>
        <v/>
      </c>
      <c r="J615">
        <v>200</v>
      </c>
      <c r="K615">
        <v>26</v>
      </c>
      <c r="L615">
        <v>45</v>
      </c>
    </row>
    <row r="616" spans="1:12" x14ac:dyDescent="0.2">
      <c r="A616"/>
      <c r="B616"/>
      <c r="C616"/>
      <c r="D616"/>
      <c r="E616" s="2">
        <f>Comuni__2[[#This Row],[Popolazione2011]]/$D$7911</f>
        <v>4.1196116451526065E-5</v>
      </c>
      <c r="F616">
        <f>SUMIFS($D$2:$D$7909, $B$2:$B$7909, "Calabria")</f>
        <v>1959050</v>
      </c>
      <c r="G616" s="1">
        <f>Comuni__2[[#This Row],[Popolazione2011]]/Comuni__2[[#This Row],[POPOLAZIONE TOTALE DI OGNI REGIONE (CON FILTRO)]]</f>
        <v>1.2495852581608433E-3</v>
      </c>
      <c r="H616" t="str">
        <f>IF(Comuni__2[[#This Row],[Popolazione2011]]&gt;300000,"MAGGIORE","")</f>
        <v/>
      </c>
      <c r="J616">
        <v>193</v>
      </c>
      <c r="K616">
        <v>30</v>
      </c>
      <c r="L616">
        <v>49</v>
      </c>
    </row>
    <row r="617" spans="1:12" x14ac:dyDescent="0.2">
      <c r="A617"/>
      <c r="B617"/>
      <c r="C617"/>
      <c r="D617"/>
      <c r="E617" s="2">
        <f>Comuni__2[[#This Row],[Popolazione2011]]/$D$7911</f>
        <v>4.1111974056812977E-5</v>
      </c>
      <c r="F617">
        <f>SUMIFS($D$2:$D$7909, $B$2:$B$7909, "Calabria")</f>
        <v>1959050</v>
      </c>
      <c r="G617" s="1">
        <f>Comuni__2[[#This Row],[Popolazione2011]]/Comuni__2[[#This Row],[POPOLAZIONE TOTALE DI OGNI REGIONE (CON FILTRO)]]</f>
        <v>1.2470330006891096E-3</v>
      </c>
      <c r="H617" t="str">
        <f>IF(Comuni__2[[#This Row],[Popolazione2011]]&gt;300000,"MAGGIORE","")</f>
        <v/>
      </c>
      <c r="J617">
        <v>187</v>
      </c>
      <c r="K617">
        <v>33</v>
      </c>
      <c r="L617">
        <v>56</v>
      </c>
    </row>
    <row r="618" spans="1:12" x14ac:dyDescent="0.2">
      <c r="A618"/>
      <c r="B618"/>
      <c r="C618"/>
      <c r="D618"/>
      <c r="E618" s="2">
        <f>Comuni__2[[#This Row],[Popolazione2011]]/$D$7911</f>
        <v>4.1095145577870361E-5</v>
      </c>
      <c r="F618">
        <f>SUMIFS($D$2:$D$7909, $B$2:$B$7909, "Calabria")</f>
        <v>1959050</v>
      </c>
      <c r="G618" s="1">
        <f>Comuni__2[[#This Row],[Popolazione2011]]/Comuni__2[[#This Row],[POPOLAZIONE TOTALE DI OGNI REGIONE (CON FILTRO)]]</f>
        <v>1.2465225491947627E-3</v>
      </c>
      <c r="H618" t="str">
        <f>IF(Comuni__2[[#This Row],[Popolazione2011]]&gt;300000,"MAGGIORE","")</f>
        <v/>
      </c>
      <c r="J618">
        <v>184</v>
      </c>
      <c r="K618">
        <v>37</v>
      </c>
      <c r="L618">
        <v>58</v>
      </c>
    </row>
    <row r="619" spans="1:12" x14ac:dyDescent="0.2">
      <c r="A619"/>
      <c r="B619"/>
      <c r="C619"/>
      <c r="D619"/>
      <c r="E619" s="2">
        <f>Comuni__2[[#This Row],[Popolazione2011]]/$D$7911</f>
        <v>4.0943689267386809E-5</v>
      </c>
      <c r="F619">
        <f>SUMIFS($D$2:$D$7909, $B$2:$B$7909, "Calabria")</f>
        <v>1959050</v>
      </c>
      <c r="G619" s="1">
        <f>Comuni__2[[#This Row],[Popolazione2011]]/Comuni__2[[#This Row],[POPOLAZIONE TOTALE DI OGNI REGIONE (CON FILTRO)]]</f>
        <v>1.2419284857456421E-3</v>
      </c>
      <c r="H619" t="str">
        <f>IF(Comuni__2[[#This Row],[Popolazione2011]]&gt;300000,"MAGGIORE","")</f>
        <v/>
      </c>
      <c r="J619">
        <v>183</v>
      </c>
      <c r="K619">
        <v>40</v>
      </c>
      <c r="L619">
        <v>60</v>
      </c>
    </row>
    <row r="620" spans="1:12" x14ac:dyDescent="0.2">
      <c r="A620"/>
      <c r="B620"/>
      <c r="C620"/>
      <c r="D620"/>
      <c r="E620" s="2">
        <f>Comuni__2[[#This Row],[Popolazione2011]]/$D$7911</f>
        <v>4.0758575999018025E-5</v>
      </c>
      <c r="F620">
        <f>SUMIFS($D$2:$D$7909, $B$2:$B$7909, "Calabria")</f>
        <v>1959050</v>
      </c>
      <c r="G620" s="1">
        <f>Comuni__2[[#This Row],[Popolazione2011]]/Comuni__2[[#This Row],[POPOLAZIONE TOTALE DI OGNI REGIONE (CON FILTRO)]]</f>
        <v>1.2363135193078278E-3</v>
      </c>
      <c r="H620" t="str">
        <f>IF(Comuni__2[[#This Row],[Popolazione2011]]&gt;300000,"MAGGIORE","")</f>
        <v/>
      </c>
      <c r="J620">
        <v>185</v>
      </c>
      <c r="K620">
        <v>44</v>
      </c>
      <c r="L620">
        <v>60</v>
      </c>
    </row>
    <row r="621" spans="1:12" x14ac:dyDescent="0.2">
      <c r="A621"/>
      <c r="B621"/>
      <c r="C621"/>
      <c r="D621"/>
      <c r="E621" s="2">
        <f>Comuni__2[[#This Row],[Popolazione2011]]/$D$7911</f>
        <v>4.0556634251706625E-5</v>
      </c>
      <c r="F621">
        <f>SUMIFS($D$2:$D$7909, $B$2:$B$7909, "Calabria")</f>
        <v>1959050</v>
      </c>
      <c r="G621" s="1">
        <f>Comuni__2[[#This Row],[Popolazione2011]]/Comuni__2[[#This Row],[POPOLAZIONE TOTALE DI OGNI REGIONE (CON FILTRO)]]</f>
        <v>1.2301881013756669E-3</v>
      </c>
      <c r="H621" t="str">
        <f>IF(Comuni__2[[#This Row],[Popolazione2011]]&gt;300000,"MAGGIORE","")</f>
        <v/>
      </c>
      <c r="J621">
        <v>183</v>
      </c>
      <c r="K621">
        <v>48</v>
      </c>
      <c r="L621">
        <v>61</v>
      </c>
    </row>
    <row r="622" spans="1:12" x14ac:dyDescent="0.2">
      <c r="A622"/>
      <c r="B622"/>
      <c r="C622"/>
      <c r="D622"/>
      <c r="E622" s="2">
        <f>Comuni__2[[#This Row],[Popolazione2011]]/$D$7911</f>
        <v>4.0152750757083818E-5</v>
      </c>
      <c r="F622">
        <f>SUMIFS($D$2:$D$7909, $B$2:$B$7909, "Calabria")</f>
        <v>1959050</v>
      </c>
      <c r="G622" s="1">
        <f>Comuni__2[[#This Row],[Popolazione2011]]/Comuni__2[[#This Row],[POPOLAZIONE TOTALE DI OGNI REGIONE (CON FILTRO)]]</f>
        <v>1.2179372655113448E-3</v>
      </c>
      <c r="H622" t="str">
        <f>IF(Comuni__2[[#This Row],[Popolazione2011]]&gt;300000,"MAGGIORE","")</f>
        <v/>
      </c>
      <c r="J622">
        <v>182</v>
      </c>
      <c r="K622">
        <v>50</v>
      </c>
      <c r="L622">
        <v>65</v>
      </c>
    </row>
    <row r="623" spans="1:12" x14ac:dyDescent="0.2">
      <c r="A623"/>
      <c r="B623"/>
      <c r="C623"/>
      <c r="D623"/>
      <c r="E623" s="2">
        <f>Comuni__2[[#This Row],[Popolazione2011]]/$D$7911</f>
        <v>4.0051779883428114E-5</v>
      </c>
      <c r="F623">
        <f>SUMIFS($D$2:$D$7909, $B$2:$B$7909, "Calabria")</f>
        <v>1959050</v>
      </c>
      <c r="G623" s="1">
        <f>Comuni__2[[#This Row],[Popolazione2011]]/Comuni__2[[#This Row],[POPOLAZIONE TOTALE DI OGNI REGIONE (CON FILTRO)]]</f>
        <v>1.2148745565452642E-3</v>
      </c>
      <c r="H623" t="str">
        <f>IF(Comuni__2[[#This Row],[Popolazione2011]]&gt;300000,"MAGGIORE","")</f>
        <v/>
      </c>
      <c r="J623">
        <v>184</v>
      </c>
      <c r="K623">
        <v>57</v>
      </c>
      <c r="L623">
        <v>66</v>
      </c>
    </row>
    <row r="624" spans="1:12" x14ac:dyDescent="0.2">
      <c r="A624"/>
      <c r="B624"/>
      <c r="C624"/>
      <c r="D624"/>
      <c r="E624" s="2">
        <f>Comuni__2[[#This Row],[Popolazione2011]]/$D$7911</f>
        <v>3.9933980530829801E-5</v>
      </c>
      <c r="F624">
        <f>SUMIFS($D$2:$D$7909, $B$2:$B$7909, "Calabria")</f>
        <v>1959050</v>
      </c>
      <c r="G624" s="1">
        <f>Comuni__2[[#This Row],[Popolazione2011]]/Comuni__2[[#This Row],[POPOLAZIONE TOTALE DI OGNI REGIONE (CON FILTRO)]]</f>
        <v>1.2113013960848369E-3</v>
      </c>
      <c r="H624" t="str">
        <f>IF(Comuni__2[[#This Row],[Popolazione2011]]&gt;300000,"MAGGIORE","")</f>
        <v/>
      </c>
      <c r="J624">
        <v>179</v>
      </c>
      <c r="K624">
        <v>62</v>
      </c>
      <c r="L624">
        <v>66</v>
      </c>
    </row>
    <row r="625" spans="1:12" x14ac:dyDescent="0.2">
      <c r="A625"/>
      <c r="B625"/>
      <c r="C625"/>
      <c r="D625"/>
      <c r="E625" s="2">
        <f>Comuni__2[[#This Row],[Popolazione2011]]/$D$7911</f>
        <v>3.9614239430920081E-5</v>
      </c>
      <c r="F625">
        <f>SUMIFS($D$2:$D$7909, $B$2:$B$7909, "Calabria")</f>
        <v>1959050</v>
      </c>
      <c r="G625" s="1">
        <f>Comuni__2[[#This Row],[Popolazione2011]]/Comuni__2[[#This Row],[POPOLAZIONE TOTALE DI OGNI REGIONE (CON FILTRO)]]</f>
        <v>1.2016028176922487E-3</v>
      </c>
      <c r="H625" t="str">
        <f>IF(Comuni__2[[#This Row],[Popolazione2011]]&gt;300000,"MAGGIORE","")</f>
        <v/>
      </c>
      <c r="J625">
        <v>172</v>
      </c>
      <c r="K625">
        <v>70</v>
      </c>
      <c r="L625">
        <v>67</v>
      </c>
    </row>
    <row r="626" spans="1:12" x14ac:dyDescent="0.2">
      <c r="A626"/>
      <c r="B626"/>
      <c r="C626"/>
      <c r="D626"/>
      <c r="E626" s="2">
        <f>Comuni__2[[#This Row],[Popolazione2011]]/$D$7911</f>
        <v>3.9277669852067738E-5</v>
      </c>
      <c r="F626">
        <f>SUMIFS($D$2:$D$7909, $B$2:$B$7909, "Calabria")</f>
        <v>1959050</v>
      </c>
      <c r="G626" s="1">
        <f>Comuni__2[[#This Row],[Popolazione2011]]/Comuni__2[[#This Row],[POPOLAZIONE TOTALE DI OGNI REGIONE (CON FILTRO)]]</f>
        <v>1.1913937878053138E-3</v>
      </c>
      <c r="H626" t="str">
        <f>IF(Comuni__2[[#This Row],[Popolazione2011]]&gt;300000,"MAGGIORE","")</f>
        <v/>
      </c>
      <c r="J626">
        <v>173</v>
      </c>
      <c r="K626">
        <v>72</v>
      </c>
      <c r="L626">
        <v>68</v>
      </c>
    </row>
    <row r="627" spans="1:12" x14ac:dyDescent="0.2">
      <c r="A627"/>
      <c r="B627"/>
      <c r="C627"/>
      <c r="D627"/>
      <c r="E627" s="2">
        <f>Comuni__2[[#This Row],[Popolazione2011]]/$D$7911</f>
        <v>3.9159870499469426E-5</v>
      </c>
      <c r="F627">
        <f>SUMIFS($D$2:$D$7909, $B$2:$B$7909, "Calabria")</f>
        <v>1959050</v>
      </c>
      <c r="G627" s="1">
        <f>Comuni__2[[#This Row],[Popolazione2011]]/Comuni__2[[#This Row],[POPOLAZIONE TOTALE DI OGNI REGIONE (CON FILTRO)]]</f>
        <v>1.1878206273448866E-3</v>
      </c>
      <c r="H627" t="str">
        <f>IF(Comuni__2[[#This Row],[Popolazione2011]]&gt;300000,"MAGGIORE","")</f>
        <v/>
      </c>
      <c r="J627">
        <v>167</v>
      </c>
      <c r="K627">
        <v>81</v>
      </c>
      <c r="L627">
        <v>71</v>
      </c>
    </row>
    <row r="628" spans="1:12" x14ac:dyDescent="0.2">
      <c r="A628"/>
      <c r="B628"/>
      <c r="C628"/>
      <c r="D628"/>
      <c r="E628" s="2">
        <f>Comuni__2[[#This Row],[Popolazione2011]]/$D$7911</f>
        <v>3.8873786357444938E-5</v>
      </c>
      <c r="F628">
        <f>SUMIFS($D$2:$D$7909, $B$2:$B$7909, "Calabria")</f>
        <v>1959050</v>
      </c>
      <c r="G628" s="1">
        <f>Comuni__2[[#This Row],[Popolazione2011]]/Comuni__2[[#This Row],[POPOLAZIONE TOTALE DI OGNI REGIONE (CON FILTRO)]]</f>
        <v>1.1791429519409917E-3</v>
      </c>
      <c r="H628" t="str">
        <f>IF(Comuni__2[[#This Row],[Popolazione2011]]&gt;300000,"MAGGIORE","")</f>
        <v/>
      </c>
      <c r="J628">
        <v>166</v>
      </c>
      <c r="K628">
        <v>90</v>
      </c>
      <c r="L628">
        <v>72</v>
      </c>
    </row>
    <row r="629" spans="1:12" x14ac:dyDescent="0.2">
      <c r="A629"/>
      <c r="B629"/>
      <c r="C629"/>
      <c r="D629"/>
      <c r="E629" s="2">
        <f>Comuni__2[[#This Row],[Popolazione2011]]/$D$7911</f>
        <v>3.8655016131190915E-5</v>
      </c>
      <c r="F629">
        <f>SUMIFS($D$2:$D$7909, $B$2:$B$7909, "Calabria")</f>
        <v>1959050</v>
      </c>
      <c r="G629" s="1">
        <f>Comuni__2[[#This Row],[Popolazione2011]]/Comuni__2[[#This Row],[POPOLAZIONE TOTALE DI OGNI REGIONE (CON FILTRO)]]</f>
        <v>1.1725070825144841E-3</v>
      </c>
      <c r="H629" t="str">
        <f>IF(Comuni__2[[#This Row],[Popolazione2011]]&gt;300000,"MAGGIORE","")</f>
        <v/>
      </c>
      <c r="J629">
        <v>161</v>
      </c>
      <c r="K629">
        <v>99</v>
      </c>
      <c r="L629">
        <v>73</v>
      </c>
    </row>
    <row r="630" spans="1:12" x14ac:dyDescent="0.2">
      <c r="A630"/>
      <c r="B630"/>
      <c r="C630"/>
      <c r="D630"/>
      <c r="E630" s="2">
        <f>Comuni__2[[#This Row],[Popolazione2011]]/$D$7911</f>
        <v>3.806601936819933E-5</v>
      </c>
      <c r="F630">
        <f>SUMIFS($D$2:$D$7909, $B$2:$B$7909, "Calabria")</f>
        <v>1959050</v>
      </c>
      <c r="G630" s="1">
        <f>Comuni__2[[#This Row],[Popolazione2011]]/Comuni__2[[#This Row],[POPOLAZIONE TOTALE DI OGNI REGIONE (CON FILTRO)]]</f>
        <v>1.1546412802123478E-3</v>
      </c>
      <c r="H630" t="str">
        <f>IF(Comuni__2[[#This Row],[Popolazione2011]]&gt;300000,"MAGGIORE","")</f>
        <v/>
      </c>
      <c r="J630">
        <v>159</v>
      </c>
      <c r="K630">
        <v>106</v>
      </c>
      <c r="L630">
        <v>73</v>
      </c>
    </row>
    <row r="631" spans="1:12" x14ac:dyDescent="0.2">
      <c r="A631"/>
      <c r="B631"/>
      <c r="C631"/>
      <c r="D631"/>
      <c r="E631" s="2">
        <f>Comuni__2[[#This Row],[Popolazione2011]]/$D$7911</f>
        <v>3.7965048494543626E-5</v>
      </c>
      <c r="F631">
        <f>SUMIFS($D$2:$D$7909, $B$2:$B$7909, "Calabria")</f>
        <v>1959050</v>
      </c>
      <c r="G631" s="1">
        <f>Comuni__2[[#This Row],[Popolazione2011]]/Comuni__2[[#This Row],[POPOLAZIONE TOTALE DI OGNI REGIONE (CON FILTRO)]]</f>
        <v>1.1515785712462674E-3</v>
      </c>
      <c r="H631" t="str">
        <f>IF(Comuni__2[[#This Row],[Popolazione2011]]&gt;300000,"MAGGIORE","")</f>
        <v/>
      </c>
      <c r="J631">
        <v>148</v>
      </c>
      <c r="K631">
        <v>116</v>
      </c>
      <c r="L631">
        <v>75</v>
      </c>
    </row>
    <row r="632" spans="1:12" x14ac:dyDescent="0.2">
      <c r="A632"/>
      <c r="B632"/>
      <c r="C632"/>
      <c r="D632"/>
      <c r="E632" s="2">
        <f>Comuni__2[[#This Row],[Popolazione2011]]/$D$7911</f>
        <v>3.7914563057715778E-5</v>
      </c>
      <c r="F632">
        <f>SUMIFS($D$2:$D$7909, $B$2:$B$7909, "Calabria")</f>
        <v>1959050</v>
      </c>
      <c r="G632" s="1">
        <f>Comuni__2[[#This Row],[Popolazione2011]]/Comuni__2[[#This Row],[POPOLAZIONE TOTALE DI OGNI REGIONE (CON FILTRO)]]</f>
        <v>1.1500472167632271E-3</v>
      </c>
      <c r="H632" t="str">
        <f>IF(Comuni__2[[#This Row],[Popolazione2011]]&gt;300000,"MAGGIORE","")</f>
        <v/>
      </c>
      <c r="J632">
        <v>147</v>
      </c>
      <c r="K632">
        <v>135</v>
      </c>
      <c r="L632">
        <v>75</v>
      </c>
    </row>
    <row r="633" spans="1:12" x14ac:dyDescent="0.2">
      <c r="A633"/>
      <c r="B633"/>
      <c r="C633"/>
      <c r="D633"/>
      <c r="E633" s="2">
        <f>Comuni__2[[#This Row],[Popolazione2011]]/$D$7911</f>
        <v>3.7847249141945307E-5</v>
      </c>
      <c r="F633">
        <f>SUMIFS($D$2:$D$7909, $B$2:$B$7909, "Calabria")</f>
        <v>1959050</v>
      </c>
      <c r="G633" s="1">
        <f>Comuni__2[[#This Row],[Popolazione2011]]/Comuni__2[[#This Row],[POPOLAZIONE TOTALE DI OGNI REGIONE (CON FILTRO)]]</f>
        <v>1.1480054107858401E-3</v>
      </c>
      <c r="H633" t="str">
        <f>IF(Comuni__2[[#This Row],[Popolazione2011]]&gt;300000,"MAGGIORE","")</f>
        <v/>
      </c>
      <c r="J633">
        <v>140</v>
      </c>
      <c r="K633">
        <v>152</v>
      </c>
      <c r="L633">
        <v>76</v>
      </c>
    </row>
    <row r="634" spans="1:12" x14ac:dyDescent="0.2">
      <c r="A634"/>
      <c r="B634"/>
      <c r="C634"/>
      <c r="D634"/>
      <c r="E634" s="2">
        <f>Comuni__2[[#This Row],[Popolazione2011]]/$D$7911</f>
        <v>3.7796763705117458E-5</v>
      </c>
      <c r="F634">
        <f>SUMIFS($D$2:$D$7909, $B$2:$B$7909, "Calabria")</f>
        <v>1959050</v>
      </c>
      <c r="G634" s="1">
        <f>Comuni__2[[#This Row],[Popolazione2011]]/Comuni__2[[#This Row],[POPOLAZIONE TOTALE DI OGNI REGIONE (CON FILTRO)]]</f>
        <v>1.1464740563027999E-3</v>
      </c>
      <c r="H634" t="str">
        <f>IF(Comuni__2[[#This Row],[Popolazione2011]]&gt;300000,"MAGGIORE","")</f>
        <v/>
      </c>
      <c r="J634">
        <v>135</v>
      </c>
      <c r="K634">
        <v>163</v>
      </c>
      <c r="L634">
        <v>76</v>
      </c>
    </row>
    <row r="635" spans="1:12" x14ac:dyDescent="0.2">
      <c r="A635"/>
      <c r="B635"/>
      <c r="C635"/>
      <c r="D635"/>
      <c r="E635" s="2">
        <f>Comuni__2[[#This Row],[Popolazione2011]]/$D$7911</f>
        <v>3.7678964352519139E-5</v>
      </c>
      <c r="F635">
        <f>SUMIFS($D$2:$D$7909, $B$2:$B$7909, "Calabria")</f>
        <v>1959050</v>
      </c>
      <c r="G635" s="1">
        <f>Comuni__2[[#This Row],[Popolazione2011]]/Comuni__2[[#This Row],[POPOLAZIONE TOTALE DI OGNI REGIONE (CON FILTRO)]]</f>
        <v>1.1429008958423726E-3</v>
      </c>
      <c r="H635" t="str">
        <f>IF(Comuni__2[[#This Row],[Popolazione2011]]&gt;300000,"MAGGIORE","")</f>
        <v/>
      </c>
      <c r="J635">
        <v>136</v>
      </c>
      <c r="K635">
        <v>170</v>
      </c>
      <c r="L635">
        <v>76</v>
      </c>
    </row>
    <row r="636" spans="1:12" x14ac:dyDescent="0.2">
      <c r="A636"/>
      <c r="B636"/>
      <c r="C636"/>
      <c r="D636"/>
      <c r="E636" s="2">
        <f>Comuni__2[[#This Row],[Popolazione2011]]/$D$7911</f>
        <v>3.7662135873576523E-5</v>
      </c>
      <c r="F636">
        <f>SUMIFS($D$2:$D$7909, $B$2:$B$7909, "Calabria")</f>
        <v>1959050</v>
      </c>
      <c r="G636" s="1">
        <f>Comuni__2[[#This Row],[Popolazione2011]]/Comuni__2[[#This Row],[POPOLAZIONE TOTALE DI OGNI REGIONE (CON FILTRO)]]</f>
        <v>1.1423904443480259E-3</v>
      </c>
      <c r="H636" t="str">
        <f>IF(Comuni__2[[#This Row],[Popolazione2011]]&gt;300000,"MAGGIORE","")</f>
        <v/>
      </c>
      <c r="J636">
        <v>130</v>
      </c>
      <c r="K636">
        <v>178</v>
      </c>
      <c r="L636">
        <v>80</v>
      </c>
    </row>
    <row r="637" spans="1:12" x14ac:dyDescent="0.2">
      <c r="A637"/>
      <c r="B637"/>
      <c r="C637"/>
      <c r="D637"/>
      <c r="E637" s="2">
        <f>Comuni__2[[#This Row],[Popolazione2011]]/$D$7911</f>
        <v>3.7561164999920819E-5</v>
      </c>
      <c r="F637">
        <f>SUMIFS($D$2:$D$7909, $B$2:$B$7909, "Calabria")</f>
        <v>1959050</v>
      </c>
      <c r="G637" s="1">
        <f>Comuni__2[[#This Row],[Popolazione2011]]/Comuni__2[[#This Row],[POPOLAZIONE TOTALE DI OGNI REGIONE (CON FILTRO)]]</f>
        <v>1.1393277353819453E-3</v>
      </c>
      <c r="H637" t="str">
        <f>IF(Comuni__2[[#This Row],[Popolazione2011]]&gt;300000,"MAGGIORE","")</f>
        <v/>
      </c>
      <c r="J637">
        <v>132</v>
      </c>
      <c r="K637">
        <v>197</v>
      </c>
      <c r="L637">
        <v>80</v>
      </c>
    </row>
    <row r="638" spans="1:12" x14ac:dyDescent="0.2">
      <c r="A638"/>
      <c r="B638"/>
      <c r="C638"/>
      <c r="D638"/>
      <c r="E638" s="2">
        <f>Comuni__2[[#This Row],[Popolazione2011]]/$D$7911</f>
        <v>3.7409708689437267E-5</v>
      </c>
      <c r="F638">
        <f>SUMIFS($D$2:$D$7909, $B$2:$B$7909, "Calabria")</f>
        <v>1959050</v>
      </c>
      <c r="G638" s="1">
        <f>Comuni__2[[#This Row],[Popolazione2011]]/Comuni__2[[#This Row],[POPOLAZIONE TOTALE DI OGNI REGIONE (CON FILTRO)]]</f>
        <v>1.1347336719328247E-3</v>
      </c>
      <c r="H638" t="str">
        <f>IF(Comuni__2[[#This Row],[Popolazione2011]]&gt;300000,"MAGGIORE","")</f>
        <v/>
      </c>
      <c r="J638">
        <v>126</v>
      </c>
      <c r="K638">
        <v>212</v>
      </c>
      <c r="L638">
        <v>80</v>
      </c>
    </row>
    <row r="639" spans="1:12" x14ac:dyDescent="0.2">
      <c r="A639"/>
      <c r="B639"/>
      <c r="C639"/>
      <c r="D639"/>
      <c r="E639" s="2">
        <f>Comuni__2[[#This Row],[Popolazione2011]]/$D$7911</f>
        <v>3.730873781578157E-5</v>
      </c>
      <c r="F639">
        <f>SUMIFS($D$2:$D$7909, $B$2:$B$7909, "Calabria")</f>
        <v>1959050</v>
      </c>
      <c r="G639" s="1">
        <f>Comuni__2[[#This Row],[Popolazione2011]]/Comuni__2[[#This Row],[POPOLAZIONE TOTALE DI OGNI REGIONE (CON FILTRO)]]</f>
        <v>1.1316709629667441E-3</v>
      </c>
      <c r="H639" t="str">
        <f>IF(Comuni__2[[#This Row],[Popolazione2011]]&gt;300000,"MAGGIORE","")</f>
        <v/>
      </c>
      <c r="J639">
        <v>120</v>
      </c>
      <c r="K639">
        <v>231</v>
      </c>
      <c r="L639">
        <v>83</v>
      </c>
    </row>
    <row r="640" spans="1:12" x14ac:dyDescent="0.2">
      <c r="A640"/>
      <c r="B640"/>
      <c r="C640"/>
      <c r="D640"/>
      <c r="E640" s="2">
        <f>Comuni__2[[#This Row],[Popolazione2011]]/$D$7911</f>
        <v>3.7275080857896338E-5</v>
      </c>
      <c r="F640">
        <f>SUMIFS($D$2:$D$7909, $B$2:$B$7909, "Calabria")</f>
        <v>1959050</v>
      </c>
      <c r="G640" s="1">
        <f>Comuni__2[[#This Row],[Popolazione2011]]/Comuni__2[[#This Row],[POPOLAZIONE TOTALE DI OGNI REGIONE (CON FILTRO)]]</f>
        <v>1.1306500599780505E-3</v>
      </c>
      <c r="H640" t="str">
        <f>IF(Comuni__2[[#This Row],[Popolazione2011]]&gt;300000,"MAGGIORE","")</f>
        <v/>
      </c>
      <c r="J640">
        <v>119</v>
      </c>
      <c r="K640">
        <v>248</v>
      </c>
      <c r="L640">
        <v>85</v>
      </c>
    </row>
    <row r="641" spans="1:12" x14ac:dyDescent="0.2">
      <c r="A641"/>
      <c r="B641"/>
      <c r="C641"/>
      <c r="D641"/>
      <c r="E641" s="2">
        <f>Comuni__2[[#This Row],[Popolazione2011]]/$D$7911</f>
        <v>3.7022653673757083E-5</v>
      </c>
      <c r="F641">
        <f>SUMIFS($D$2:$D$7909, $B$2:$B$7909, "Calabria")</f>
        <v>1959050</v>
      </c>
      <c r="G641" s="1">
        <f>Comuni__2[[#This Row],[Popolazione2011]]/Comuni__2[[#This Row],[POPOLAZIONE TOTALE DI OGNI REGIONE (CON FILTRO)]]</f>
        <v>1.1229932875628493E-3</v>
      </c>
      <c r="H641" t="str">
        <f>IF(Comuni__2[[#This Row],[Popolazione2011]]&gt;300000,"MAGGIORE","")</f>
        <v/>
      </c>
      <c r="J641">
        <v>113</v>
      </c>
      <c r="K641">
        <v>263</v>
      </c>
      <c r="L641">
        <v>86</v>
      </c>
    </row>
    <row r="642" spans="1:12" x14ac:dyDescent="0.2">
      <c r="A642"/>
      <c r="B642"/>
      <c r="C642"/>
      <c r="D642"/>
      <c r="E642" s="2">
        <f>Comuni__2[[#This Row],[Popolazione2011]]/$D$7911</f>
        <v>3.698899671587185E-5</v>
      </c>
      <c r="F642">
        <f>SUMIFS($D$2:$D$7909, $B$2:$B$7909, "Calabria")</f>
        <v>1959050</v>
      </c>
      <c r="G642" s="1">
        <f>Comuni__2[[#This Row],[Popolazione2011]]/Comuni__2[[#This Row],[POPOLAZIONE TOTALE DI OGNI REGIONE (CON FILTRO)]]</f>
        <v>1.1219723845741559E-3</v>
      </c>
      <c r="H642" t="str">
        <f>IF(Comuni__2[[#This Row],[Popolazione2011]]&gt;300000,"MAGGIORE","")</f>
        <v/>
      </c>
      <c r="J642">
        <v>111</v>
      </c>
      <c r="K642">
        <v>282</v>
      </c>
      <c r="L642">
        <v>86</v>
      </c>
    </row>
    <row r="643" spans="1:12" x14ac:dyDescent="0.2">
      <c r="A643"/>
      <c r="B643"/>
      <c r="C643"/>
      <c r="D643"/>
      <c r="E643" s="2">
        <f>Comuni__2[[#This Row],[Popolazione2011]]/$D$7911</f>
        <v>3.6888025842216147E-5</v>
      </c>
      <c r="F643">
        <f>SUMIFS($D$2:$D$7909, $B$2:$B$7909, "Calabria")</f>
        <v>1959050</v>
      </c>
      <c r="G643" s="1">
        <f>Comuni__2[[#This Row],[Popolazione2011]]/Comuni__2[[#This Row],[POPOLAZIONE TOTALE DI OGNI REGIONE (CON FILTRO)]]</f>
        <v>1.1189096756080753E-3</v>
      </c>
      <c r="H643" t="str">
        <f>IF(Comuni__2[[#This Row],[Popolazione2011]]&gt;300000,"MAGGIORE","")</f>
        <v/>
      </c>
      <c r="J643">
        <v>108</v>
      </c>
      <c r="K643">
        <v>299</v>
      </c>
      <c r="L643">
        <v>86</v>
      </c>
    </row>
    <row r="644" spans="1:12" x14ac:dyDescent="0.2">
      <c r="A644"/>
      <c r="B644"/>
      <c r="C644"/>
      <c r="D644"/>
      <c r="E644" s="2">
        <f>Comuni__2[[#This Row],[Popolazione2011]]/$D$7911</f>
        <v>3.6753398010675211E-5</v>
      </c>
      <c r="F644">
        <f>SUMIFS($D$2:$D$7909, $B$2:$B$7909, "Calabria")</f>
        <v>1959050</v>
      </c>
      <c r="G644" s="1">
        <f>Comuni__2[[#This Row],[Popolazione2011]]/Comuni__2[[#This Row],[POPOLAZIONE TOTALE DI OGNI REGIONE (CON FILTRO)]]</f>
        <v>1.1148260636533013E-3</v>
      </c>
      <c r="H644" t="str">
        <f>IF(Comuni__2[[#This Row],[Popolazione2011]]&gt;300000,"MAGGIORE","")</f>
        <v/>
      </c>
      <c r="J644">
        <v>104</v>
      </c>
      <c r="K644">
        <v>311</v>
      </c>
      <c r="L644">
        <v>88</v>
      </c>
    </row>
    <row r="645" spans="1:12" x14ac:dyDescent="0.2">
      <c r="A645"/>
      <c r="B645"/>
      <c r="C645"/>
      <c r="D645"/>
      <c r="E645" s="2">
        <f>Comuni__2[[#This Row],[Popolazione2011]]/$D$7911</f>
        <v>3.6349514516052411E-5</v>
      </c>
      <c r="F645">
        <f>SUMIFS($D$2:$D$7909, $B$2:$B$7909, "Calabria")</f>
        <v>1959050</v>
      </c>
      <c r="G645" s="1">
        <f>Comuni__2[[#This Row],[Popolazione2011]]/Comuni__2[[#This Row],[POPOLAZIONE TOTALE DI OGNI REGIONE (CON FILTRO)]]</f>
        <v>1.1025752277889793E-3</v>
      </c>
      <c r="H645" t="str">
        <f>IF(Comuni__2[[#This Row],[Popolazione2011]]&gt;300000,"MAGGIORE","")</f>
        <v/>
      </c>
      <c r="J645">
        <v>99</v>
      </c>
      <c r="K645">
        <v>324</v>
      </c>
      <c r="L645">
        <v>88</v>
      </c>
    </row>
    <row r="646" spans="1:12" x14ac:dyDescent="0.2">
      <c r="A646"/>
      <c r="B646"/>
      <c r="C646"/>
      <c r="D646"/>
      <c r="E646" s="2">
        <f>Comuni__2[[#This Row],[Popolazione2011]]/$D$7911</f>
        <v>3.6315857558167172E-5</v>
      </c>
      <c r="F646">
        <f>SUMIFS($D$2:$D$7909, $B$2:$B$7909, "Calabria")</f>
        <v>1959050</v>
      </c>
      <c r="G646" s="1">
        <f>Comuni__2[[#This Row],[Popolazione2011]]/Comuni__2[[#This Row],[POPOLAZIONE TOTALE DI OGNI REGIONE (CON FILTRO)]]</f>
        <v>1.1015543248002859E-3</v>
      </c>
      <c r="H646" t="str">
        <f>IF(Comuni__2[[#This Row],[Popolazione2011]]&gt;300000,"MAGGIORE","")</f>
        <v/>
      </c>
      <c r="J646">
        <v>97</v>
      </c>
      <c r="K646">
        <v>356</v>
      </c>
      <c r="L646">
        <v>88</v>
      </c>
    </row>
    <row r="647" spans="1:12" x14ac:dyDescent="0.2">
      <c r="A647"/>
      <c r="B647"/>
      <c r="C647"/>
      <c r="D647"/>
      <c r="E647" s="2">
        <f>Comuni__2[[#This Row],[Popolazione2011]]/$D$7911</f>
        <v>3.6248543642396707E-5</v>
      </c>
      <c r="F647">
        <f>SUMIFS($D$2:$D$7909, $B$2:$B$7909, "Calabria")</f>
        <v>1959050</v>
      </c>
      <c r="G647" s="1">
        <f>Comuni__2[[#This Row],[Popolazione2011]]/Comuni__2[[#This Row],[POPOLAZIONE TOTALE DI OGNI REGIONE (CON FILTRO)]]</f>
        <v>1.0995125188228989E-3</v>
      </c>
      <c r="H647" t="str">
        <f>IF(Comuni__2[[#This Row],[Popolazione2011]]&gt;300000,"MAGGIORE","")</f>
        <v/>
      </c>
      <c r="J647">
        <v>96</v>
      </c>
      <c r="K647">
        <v>381</v>
      </c>
      <c r="L647">
        <v>88</v>
      </c>
    </row>
    <row r="648" spans="1:12" x14ac:dyDescent="0.2">
      <c r="A648"/>
      <c r="B648"/>
      <c r="C648"/>
      <c r="D648"/>
      <c r="E648" s="2">
        <f>Comuni__2[[#This Row],[Popolazione2011]]/$D$7911</f>
        <v>3.6046601895085307E-5</v>
      </c>
      <c r="F648">
        <f>SUMIFS($D$2:$D$7909, $B$2:$B$7909, "Calabria")</f>
        <v>1959050</v>
      </c>
      <c r="G648" s="1">
        <f>Comuni__2[[#This Row],[Popolazione2011]]/Comuni__2[[#This Row],[POPOLAZIONE TOTALE DI OGNI REGIONE (CON FILTRO)]]</f>
        <v>1.093387100890738E-3</v>
      </c>
      <c r="H648" t="str">
        <f>IF(Comuni__2[[#This Row],[Popolazione2011]]&gt;300000,"MAGGIORE","")</f>
        <v/>
      </c>
      <c r="J648">
        <v>90</v>
      </c>
      <c r="K648">
        <v>389</v>
      </c>
      <c r="L648">
        <v>89</v>
      </c>
    </row>
    <row r="649" spans="1:12" x14ac:dyDescent="0.2">
      <c r="A649"/>
      <c r="B649"/>
      <c r="C649"/>
      <c r="D649"/>
      <c r="E649" s="2">
        <f>Comuni__2[[#This Row],[Popolazione2011]]/$D$7911</f>
        <v>3.5996116458257452E-5</v>
      </c>
      <c r="F649">
        <f>SUMIFS($D$2:$D$7909, $B$2:$B$7909, "Calabria")</f>
        <v>1959050</v>
      </c>
      <c r="G649" s="1">
        <f>Comuni__2[[#This Row],[Popolazione2011]]/Comuni__2[[#This Row],[POPOLAZIONE TOTALE DI OGNI REGIONE (CON FILTRO)]]</f>
        <v>1.0918557464076977E-3</v>
      </c>
      <c r="H649" t="str">
        <f>IF(Comuni__2[[#This Row],[Popolazione2011]]&gt;300000,"MAGGIORE","")</f>
        <v/>
      </c>
      <c r="J649">
        <v>83</v>
      </c>
      <c r="K649">
        <v>403</v>
      </c>
      <c r="L649">
        <v>89</v>
      </c>
    </row>
    <row r="650" spans="1:12" x14ac:dyDescent="0.2">
      <c r="A650"/>
      <c r="B650"/>
      <c r="C650"/>
      <c r="D650"/>
      <c r="E650" s="2">
        <f>Comuni__2[[#This Row],[Popolazione2011]]/$D$7911</f>
        <v>3.5373462737380628E-5</v>
      </c>
      <c r="F650">
        <f>SUMIFS($D$2:$D$7909, $B$2:$B$7909, "Calabria")</f>
        <v>1959050</v>
      </c>
      <c r="G650" s="1">
        <f>Comuni__2[[#This Row],[Popolazione2011]]/Comuni__2[[#This Row],[POPOLAZIONE TOTALE DI OGNI REGIONE (CON FILTRO)]]</f>
        <v>1.0729690411168679E-3</v>
      </c>
      <c r="H650" t="str">
        <f>IF(Comuni__2[[#This Row],[Popolazione2011]]&gt;300000,"MAGGIORE","")</f>
        <v/>
      </c>
      <c r="J650">
        <v>75</v>
      </c>
      <c r="K650">
        <v>417</v>
      </c>
      <c r="L650">
        <v>90</v>
      </c>
    </row>
    <row r="651" spans="1:12" x14ac:dyDescent="0.2">
      <c r="A651"/>
      <c r="B651"/>
      <c r="C651"/>
      <c r="D651"/>
      <c r="E651" s="2">
        <f>Comuni__2[[#This Row],[Popolazione2011]]/$D$7911</f>
        <v>3.5171520990069228E-5</v>
      </c>
      <c r="F651">
        <f>SUMIFS($D$2:$D$7909, $B$2:$B$7909, "Calabria")</f>
        <v>1959050</v>
      </c>
      <c r="G651" s="1">
        <f>Comuni__2[[#This Row],[Popolazione2011]]/Comuni__2[[#This Row],[POPOLAZIONE TOTALE DI OGNI REGIONE (CON FILTRO)]]</f>
        <v>1.0668436231847068E-3</v>
      </c>
      <c r="H651" t="str">
        <f>IF(Comuni__2[[#This Row],[Popolazione2011]]&gt;300000,"MAGGIORE","")</f>
        <v/>
      </c>
      <c r="J651">
        <v>70</v>
      </c>
      <c r="K651">
        <v>427</v>
      </c>
      <c r="L651">
        <v>90</v>
      </c>
    </row>
    <row r="652" spans="1:12" x14ac:dyDescent="0.2">
      <c r="A652"/>
      <c r="B652"/>
      <c r="C652"/>
      <c r="D652"/>
      <c r="E652" s="2">
        <f>Comuni__2[[#This Row],[Popolazione2011]]/$D$7911</f>
        <v>3.5121035553241379E-5</v>
      </c>
      <c r="F652">
        <f>SUMIFS($D$2:$D$7909, $B$2:$B$7909, "Calabria")</f>
        <v>1959050</v>
      </c>
      <c r="G652" s="1">
        <f>Comuni__2[[#This Row],[Popolazione2011]]/Comuni__2[[#This Row],[POPOLAZIONE TOTALE DI OGNI REGIONE (CON FILTRO)]]</f>
        <v>1.0653122687016667E-3</v>
      </c>
      <c r="H652" t="str">
        <f>IF(Comuni__2[[#This Row],[Popolazione2011]]&gt;300000,"MAGGIORE","")</f>
        <v/>
      </c>
      <c r="J652">
        <v>68</v>
      </c>
      <c r="K652">
        <v>445</v>
      </c>
      <c r="L652">
        <v>91</v>
      </c>
    </row>
    <row r="653" spans="1:12" x14ac:dyDescent="0.2">
      <c r="A653"/>
      <c r="B653"/>
      <c r="C653"/>
      <c r="D653"/>
      <c r="E653" s="2">
        <f>Comuni__2[[#This Row],[Popolazione2011]]/$D$7911</f>
        <v>3.4868608369102124E-5</v>
      </c>
      <c r="F653">
        <f>SUMIFS($D$2:$D$7909, $B$2:$B$7909, "Calabria")</f>
        <v>1959050</v>
      </c>
      <c r="G653" s="1">
        <f>Comuni__2[[#This Row],[Popolazione2011]]/Comuni__2[[#This Row],[POPOLAZIONE TOTALE DI OGNI REGIONE (CON FILTRO)]]</f>
        <v>1.0576554962864653E-3</v>
      </c>
      <c r="H653" t="str">
        <f>IF(Comuni__2[[#This Row],[Popolazione2011]]&gt;300000,"MAGGIORE","")</f>
        <v/>
      </c>
      <c r="J653">
        <v>65</v>
      </c>
      <c r="K653">
        <v>473</v>
      </c>
      <c r="L653">
        <v>93</v>
      </c>
    </row>
    <row r="654" spans="1:12" x14ac:dyDescent="0.2">
      <c r="A654"/>
      <c r="B654"/>
      <c r="C654"/>
      <c r="D654"/>
      <c r="E654" s="2">
        <f>Comuni__2[[#This Row],[Popolazione2011]]/$D$7911</f>
        <v>3.4111326816684364E-5</v>
      </c>
      <c r="F654">
        <f>SUMIFS($D$2:$D$7909, $B$2:$B$7909, "Calabria")</f>
        <v>1959050</v>
      </c>
      <c r="G654" s="1">
        <f>Comuni__2[[#This Row],[Popolazione2011]]/Comuni__2[[#This Row],[POPOLAZIONE TOTALE DI OGNI REGIONE (CON FILTRO)]]</f>
        <v>1.0346851790408616E-3</v>
      </c>
      <c r="H654" t="str">
        <f>IF(Comuni__2[[#This Row],[Popolazione2011]]&gt;300000,"MAGGIORE","")</f>
        <v/>
      </c>
      <c r="J654">
        <v>66</v>
      </c>
      <c r="K654">
        <v>477</v>
      </c>
      <c r="L654">
        <v>93</v>
      </c>
    </row>
    <row r="655" spans="1:12" x14ac:dyDescent="0.2">
      <c r="A655"/>
      <c r="B655"/>
      <c r="C655"/>
      <c r="D655"/>
      <c r="E655" s="2">
        <f>Comuni__2[[#This Row],[Popolazione2011]]/$D$7911</f>
        <v>3.3774757237832028E-5</v>
      </c>
      <c r="F655">
        <f>SUMIFS($D$2:$D$7909, $B$2:$B$7909, "Calabria")</f>
        <v>1959050</v>
      </c>
      <c r="G655" s="1">
        <f>Comuni__2[[#This Row],[Popolazione2011]]/Comuni__2[[#This Row],[POPOLAZIONE TOTALE DI OGNI REGIONE (CON FILTRO)]]</f>
        <v>1.0244761491539267E-3</v>
      </c>
      <c r="H655" t="str">
        <f>IF(Comuni__2[[#This Row],[Popolazione2011]]&gt;300000,"MAGGIORE","")</f>
        <v/>
      </c>
      <c r="J655">
        <v>65</v>
      </c>
      <c r="K655">
        <v>496</v>
      </c>
      <c r="L655">
        <v>93</v>
      </c>
    </row>
    <row r="656" spans="1:12" x14ac:dyDescent="0.2">
      <c r="A656"/>
      <c r="B656"/>
      <c r="C656"/>
      <c r="D656"/>
      <c r="E656" s="2">
        <f>Comuni__2[[#This Row],[Popolazione2011]]/$D$7911</f>
        <v>3.348867309580754E-5</v>
      </c>
      <c r="F656">
        <f>SUMIFS($D$2:$D$7909, $B$2:$B$7909, "Calabria")</f>
        <v>1959050</v>
      </c>
      <c r="G656" s="1">
        <f>Comuni__2[[#This Row],[Popolazione2011]]/Comuni__2[[#This Row],[POPOLAZIONE TOTALE DI OGNI REGIONE (CON FILTRO)]]</f>
        <v>1.0157984737500319E-3</v>
      </c>
      <c r="H656" t="str">
        <f>IF(Comuni__2[[#This Row],[Popolazione2011]]&gt;300000,"MAGGIORE","")</f>
        <v/>
      </c>
      <c r="J656">
        <v>61</v>
      </c>
      <c r="K656">
        <v>524</v>
      </c>
      <c r="L656">
        <v>95</v>
      </c>
    </row>
    <row r="657" spans="1:12" x14ac:dyDescent="0.2">
      <c r="A657"/>
      <c r="B657"/>
      <c r="C657"/>
      <c r="D657"/>
      <c r="E657" s="2">
        <f>Comuni__2[[#This Row],[Popolazione2011]]/$D$7911</f>
        <v>3.3455016137922308E-5</v>
      </c>
      <c r="F657">
        <f>SUMIFS($D$2:$D$7909, $B$2:$B$7909, "Calabria")</f>
        <v>1959050</v>
      </c>
      <c r="G657" s="1">
        <f>Comuni__2[[#This Row],[Popolazione2011]]/Comuni__2[[#This Row],[POPOLAZIONE TOTALE DI OGNI REGIONE (CON FILTRO)]]</f>
        <v>1.0147775707613385E-3</v>
      </c>
      <c r="H657" t="str">
        <f>IF(Comuni__2[[#This Row],[Popolazione2011]]&gt;300000,"MAGGIORE","")</f>
        <v/>
      </c>
      <c r="J657">
        <v>58</v>
      </c>
      <c r="K657">
        <v>544</v>
      </c>
      <c r="L657">
        <v>95</v>
      </c>
    </row>
    <row r="658" spans="1:12" x14ac:dyDescent="0.2">
      <c r="A658"/>
      <c r="B658"/>
      <c r="C658"/>
      <c r="D658"/>
      <c r="E658" s="2">
        <f>Comuni__2[[#This Row],[Popolazione2011]]/$D$7911</f>
        <v>3.340453070109446E-5</v>
      </c>
      <c r="F658">
        <f>SUMIFS($D$2:$D$7909, $B$2:$B$7909, "Calabria")</f>
        <v>1959050</v>
      </c>
      <c r="G658" s="1">
        <f>Comuni__2[[#This Row],[Popolazione2011]]/Comuni__2[[#This Row],[POPOLAZIONE TOTALE DI OGNI REGIONE (CON FILTRO)]]</f>
        <v>1.0132462162782982E-3</v>
      </c>
      <c r="H658" t="str">
        <f>IF(Comuni__2[[#This Row],[Popolazione2011]]&gt;300000,"MAGGIORE","")</f>
        <v/>
      </c>
      <c r="J658">
        <v>58</v>
      </c>
      <c r="K658">
        <v>582</v>
      </c>
      <c r="L658">
        <v>95</v>
      </c>
    </row>
    <row r="659" spans="1:12" x14ac:dyDescent="0.2">
      <c r="A659"/>
      <c r="B659"/>
      <c r="C659"/>
      <c r="D659"/>
      <c r="E659" s="2">
        <f>Comuni__2[[#This Row],[Popolazione2011]]/$D$7911</f>
        <v>3.3303559827438756E-5</v>
      </c>
      <c r="F659">
        <f>SUMIFS($D$2:$D$7909, $B$2:$B$7909, "Calabria")</f>
        <v>1959050</v>
      </c>
      <c r="G659" s="1">
        <f>Comuni__2[[#This Row],[Popolazione2011]]/Comuni__2[[#This Row],[POPOLAZIONE TOTALE DI OGNI REGIONE (CON FILTRO)]]</f>
        <v>1.0101835073122176E-3</v>
      </c>
      <c r="H659" t="str">
        <f>IF(Comuni__2[[#This Row],[Popolazione2011]]&gt;300000,"MAGGIORE","")</f>
        <v/>
      </c>
      <c r="J659">
        <v>58</v>
      </c>
      <c r="K659">
        <v>634</v>
      </c>
      <c r="L659">
        <v>95</v>
      </c>
    </row>
    <row r="660" spans="1:12" x14ac:dyDescent="0.2">
      <c r="A660"/>
      <c r="B660"/>
      <c r="C660"/>
      <c r="D660"/>
      <c r="E660" s="2">
        <f>Comuni__2[[#This Row],[Popolazione2011]]/$D$7911</f>
        <v>3.3253074390610908E-5</v>
      </c>
      <c r="F660">
        <f>SUMIFS($D$2:$D$7909, $B$2:$B$7909, "Calabria")</f>
        <v>1959050</v>
      </c>
      <c r="G660" s="1">
        <f>Comuni__2[[#This Row],[Popolazione2011]]/Comuni__2[[#This Row],[POPOLAZIONE TOTALE DI OGNI REGIONE (CON FILTRO)]]</f>
        <v>1.0086521528291773E-3</v>
      </c>
      <c r="H660" t="str">
        <f>IF(Comuni__2[[#This Row],[Popolazione2011]]&gt;300000,"MAGGIORE","")</f>
        <v/>
      </c>
      <c r="J660">
        <v>55</v>
      </c>
      <c r="K660">
        <v>655</v>
      </c>
      <c r="L660">
        <v>95</v>
      </c>
    </row>
    <row r="661" spans="1:12" x14ac:dyDescent="0.2">
      <c r="A661"/>
      <c r="B661"/>
      <c r="C661"/>
      <c r="D661"/>
      <c r="E661" s="2">
        <f>Comuni__2[[#This Row],[Popolazione2011]]/$D$7911</f>
        <v>3.3017475685414269E-5</v>
      </c>
      <c r="F661">
        <f>SUMIFS($D$2:$D$7909, $B$2:$B$7909, "Calabria")</f>
        <v>1959050</v>
      </c>
      <c r="G661" s="1">
        <f>Comuni__2[[#This Row],[Popolazione2011]]/Comuni__2[[#This Row],[POPOLAZIONE TOTALE DI OGNI REGIONE (CON FILTRO)]]</f>
        <v>1.001505831908323E-3</v>
      </c>
      <c r="H661" t="str">
        <f>IF(Comuni__2[[#This Row],[Popolazione2011]]&gt;300000,"MAGGIORE","")</f>
        <v/>
      </c>
      <c r="J661">
        <v>52</v>
      </c>
      <c r="K661">
        <v>676</v>
      </c>
      <c r="L661">
        <v>95</v>
      </c>
    </row>
    <row r="662" spans="1:12" x14ac:dyDescent="0.2">
      <c r="A662"/>
      <c r="B662"/>
      <c r="C662"/>
      <c r="D662"/>
      <c r="E662" s="2">
        <f>Comuni__2[[#This Row],[Popolazione2011]]/$D$7911</f>
        <v>3.2983818727529036E-5</v>
      </c>
      <c r="F662">
        <f>SUMIFS($D$2:$D$7909, $B$2:$B$7909, "Calabria")</f>
        <v>1959050</v>
      </c>
      <c r="G662" s="1">
        <f>Comuni__2[[#This Row],[Popolazione2011]]/Comuni__2[[#This Row],[POPOLAZIONE TOTALE DI OGNI REGIONE (CON FILTRO)]]</f>
        <v>1.0004849289196294E-3</v>
      </c>
      <c r="H662" t="str">
        <f>IF(Comuni__2[[#This Row],[Popolazione2011]]&gt;300000,"MAGGIORE","")</f>
        <v/>
      </c>
      <c r="J662">
        <v>50</v>
      </c>
      <c r="K662">
        <v>707</v>
      </c>
      <c r="L662">
        <v>96</v>
      </c>
    </row>
    <row r="663" spans="1:12" x14ac:dyDescent="0.2">
      <c r="A663"/>
      <c r="B663"/>
      <c r="C663"/>
      <c r="D663"/>
      <c r="E663" s="2">
        <f>Comuni__2[[#This Row],[Popolazione2011]]/$D$7911</f>
        <v>3.2748220022332404E-5</v>
      </c>
      <c r="F663">
        <f>SUMIFS($D$2:$D$7909, $B$2:$B$7909, "Calabria")</f>
        <v>1959050</v>
      </c>
      <c r="G663" s="1">
        <f>Comuni__2[[#This Row],[Popolazione2011]]/Comuni__2[[#This Row],[POPOLAZIONE TOTALE DI OGNI REGIONE (CON FILTRO)]]</f>
        <v>9.9333860799877488E-4</v>
      </c>
      <c r="H663" t="str">
        <f>IF(Comuni__2[[#This Row],[Popolazione2011]]&gt;300000,"MAGGIORE","")</f>
        <v/>
      </c>
      <c r="J663">
        <v>48</v>
      </c>
      <c r="K663">
        <v>734</v>
      </c>
      <c r="L663">
        <v>96</v>
      </c>
    </row>
    <row r="664" spans="1:12" x14ac:dyDescent="0.2">
      <c r="A664"/>
      <c r="B664"/>
      <c r="C664"/>
      <c r="D664"/>
      <c r="E664" s="2">
        <f>Comuni__2[[#This Row],[Popolazione2011]]/$D$7911</f>
        <v>3.2142394780398196E-5</v>
      </c>
      <c r="F664">
        <f>SUMIFS($D$2:$D$7909, $B$2:$B$7909, "Calabria")</f>
        <v>1959050</v>
      </c>
      <c r="G664" s="1">
        <f>Comuni__2[[#This Row],[Popolazione2011]]/Comuni__2[[#This Row],[POPOLAZIONE TOTALE DI OGNI REGIONE (CON FILTRO)]]</f>
        <v>9.7496235420229196E-4</v>
      </c>
      <c r="H664" t="str">
        <f>IF(Comuni__2[[#This Row],[Popolazione2011]]&gt;300000,"MAGGIORE","")</f>
        <v/>
      </c>
      <c r="J664">
        <v>48</v>
      </c>
      <c r="K664">
        <v>759</v>
      </c>
      <c r="L664">
        <v>96</v>
      </c>
    </row>
    <row r="665" spans="1:12" x14ac:dyDescent="0.2">
      <c r="A665"/>
      <c r="B665"/>
      <c r="C665"/>
      <c r="D665"/>
      <c r="E665" s="2">
        <f>Comuni__2[[#This Row],[Popolazione2011]]/$D$7911</f>
        <v>3.2091909343570341E-5</v>
      </c>
      <c r="F665">
        <f>SUMIFS($D$2:$D$7909, $B$2:$B$7909, "Calabria")</f>
        <v>1959050</v>
      </c>
      <c r="G665" s="1">
        <f>Comuni__2[[#This Row],[Popolazione2011]]/Comuni__2[[#This Row],[POPOLAZIONE TOTALE DI OGNI REGIONE (CON FILTRO)]]</f>
        <v>9.7343099971925167E-4</v>
      </c>
      <c r="H665" t="str">
        <f>IF(Comuni__2[[#This Row],[Popolazione2011]]&gt;300000,"MAGGIORE","")</f>
        <v/>
      </c>
      <c r="J665">
        <v>44</v>
      </c>
      <c r="K665">
        <v>773</v>
      </c>
      <c r="L665">
        <v>96</v>
      </c>
    </row>
    <row r="666" spans="1:12" x14ac:dyDescent="0.2">
      <c r="A666"/>
      <c r="B666"/>
      <c r="C666"/>
      <c r="D666"/>
      <c r="E666" s="2">
        <f>Comuni__2[[#This Row],[Popolazione2011]]/$D$7911</f>
        <v>3.1889967596258941E-5</v>
      </c>
      <c r="F666">
        <f>SUMIFS($D$2:$D$7909, $B$2:$B$7909, "Calabria")</f>
        <v>1959050</v>
      </c>
      <c r="G666" s="1">
        <f>Comuni__2[[#This Row],[Popolazione2011]]/Comuni__2[[#This Row],[POPOLAZIONE TOTALE DI OGNI REGIONE (CON FILTRO)]]</f>
        <v>9.6730558178709073E-4</v>
      </c>
      <c r="H666" t="str">
        <f>IF(Comuni__2[[#This Row],[Popolazione2011]]&gt;300000,"MAGGIORE","")</f>
        <v/>
      </c>
      <c r="J666">
        <v>44</v>
      </c>
      <c r="K666">
        <v>786</v>
      </c>
      <c r="L666">
        <v>96</v>
      </c>
    </row>
    <row r="667" spans="1:12" x14ac:dyDescent="0.2">
      <c r="A667"/>
      <c r="B667"/>
      <c r="C667"/>
      <c r="D667"/>
      <c r="E667" s="2">
        <f>Comuni__2[[#This Row],[Popolazione2011]]/$D$7911</f>
        <v>3.1721682806832773E-5</v>
      </c>
      <c r="F667">
        <f>SUMIFS($D$2:$D$7909, $B$2:$B$7909, "Calabria")</f>
        <v>1959050</v>
      </c>
      <c r="G667" s="1">
        <f>Comuni__2[[#This Row],[Popolazione2011]]/Comuni__2[[#This Row],[POPOLAZIONE TOTALE DI OGNI REGIONE (CON FILTRO)]]</f>
        <v>9.6220106684362318E-4</v>
      </c>
      <c r="H667" t="str">
        <f>IF(Comuni__2[[#This Row],[Popolazione2011]]&gt;300000,"MAGGIORE","")</f>
        <v/>
      </c>
      <c r="J667">
        <v>43</v>
      </c>
      <c r="K667">
        <v>797</v>
      </c>
      <c r="L667">
        <v>96</v>
      </c>
    </row>
    <row r="668" spans="1:12" x14ac:dyDescent="0.2">
      <c r="A668"/>
      <c r="B668"/>
      <c r="C668"/>
      <c r="D668"/>
      <c r="E668" s="2">
        <f>Comuni__2[[#This Row],[Popolazione2011]]/$D$7911</f>
        <v>3.1519741059521372E-5</v>
      </c>
      <c r="F668">
        <f>SUMIFS($D$2:$D$7909, $B$2:$B$7909, "Calabria")</f>
        <v>1959050</v>
      </c>
      <c r="G668" s="1">
        <f>Comuni__2[[#This Row],[Popolazione2011]]/Comuni__2[[#This Row],[POPOLAZIONE TOTALE DI OGNI REGIONE (CON FILTRO)]]</f>
        <v>9.5607564891146224E-4</v>
      </c>
      <c r="H668" t="str">
        <f>IF(Comuni__2[[#This Row],[Popolazione2011]]&gt;300000,"MAGGIORE","")</f>
        <v/>
      </c>
      <c r="J668">
        <v>42</v>
      </c>
      <c r="K668">
        <v>823</v>
      </c>
      <c r="L668">
        <v>96</v>
      </c>
    </row>
    <row r="669" spans="1:12" x14ac:dyDescent="0.2">
      <c r="A669"/>
      <c r="B669"/>
      <c r="C669"/>
      <c r="D669"/>
      <c r="E669" s="2">
        <f>Comuni__2[[#This Row],[Popolazione2011]]/$D$7911</f>
        <v>3.1418770185865669E-5</v>
      </c>
      <c r="F669">
        <f>SUMIFS($D$2:$D$7909, $B$2:$B$7909, "Calabria")</f>
        <v>1959050</v>
      </c>
      <c r="G669" s="1">
        <f>Comuni__2[[#This Row],[Popolazione2011]]/Comuni__2[[#This Row],[POPOLAZIONE TOTALE DI OGNI REGIONE (CON FILTRO)]]</f>
        <v>9.5301293994538166E-4</v>
      </c>
      <c r="H669" t="str">
        <f>IF(Comuni__2[[#This Row],[Popolazione2011]]&gt;300000,"MAGGIORE","")</f>
        <v/>
      </c>
      <c r="J669">
        <v>36</v>
      </c>
      <c r="K669">
        <v>872</v>
      </c>
      <c r="L669">
        <v>96</v>
      </c>
    </row>
    <row r="670" spans="1:12" x14ac:dyDescent="0.2">
      <c r="A670"/>
      <c r="B670"/>
      <c r="C670"/>
      <c r="D670"/>
      <c r="E670" s="2">
        <f>Comuni__2[[#This Row],[Popolazione2011]]/$D$7911</f>
        <v>3.1115857564898565E-5</v>
      </c>
      <c r="F670">
        <f>SUMIFS($D$2:$D$7909, $B$2:$B$7909, "Calabria")</f>
        <v>1959050</v>
      </c>
      <c r="G670" s="1">
        <f>Comuni__2[[#This Row],[Popolazione2011]]/Comuni__2[[#This Row],[POPOLAZIONE TOTALE DI OGNI REGIONE (CON FILTRO)]]</f>
        <v>9.4382481304714015E-4</v>
      </c>
      <c r="H670" t="str">
        <f>IF(Comuni__2[[#This Row],[Popolazione2011]]&gt;300000,"MAGGIORE","")</f>
        <v/>
      </c>
      <c r="J670">
        <v>32</v>
      </c>
      <c r="K670">
        <v>892</v>
      </c>
      <c r="L670">
        <v>96</v>
      </c>
    </row>
    <row r="671" spans="1:12" x14ac:dyDescent="0.2">
      <c r="A671"/>
      <c r="B671"/>
      <c r="C671"/>
      <c r="D671"/>
      <c r="E671" s="2">
        <f>Comuni__2[[#This Row],[Popolazione2011]]/$D$7911</f>
        <v>3.1031715170185484E-5</v>
      </c>
      <c r="F671">
        <f>SUMIFS($D$2:$D$7909, $B$2:$B$7909, "Calabria")</f>
        <v>1959050</v>
      </c>
      <c r="G671" s="1">
        <f>Comuni__2[[#This Row],[Popolazione2011]]/Comuni__2[[#This Row],[POPOLAZIONE TOTALE DI OGNI REGIONE (CON FILTRO)]]</f>
        <v>9.4127255557540648E-4</v>
      </c>
      <c r="H671" t="str">
        <f>IF(Comuni__2[[#This Row],[Popolazione2011]]&gt;300000,"MAGGIORE","")</f>
        <v/>
      </c>
      <c r="J671">
        <v>26</v>
      </c>
      <c r="K671">
        <v>902</v>
      </c>
      <c r="L671">
        <v>97</v>
      </c>
    </row>
    <row r="672" spans="1:12" x14ac:dyDescent="0.2">
      <c r="A672"/>
      <c r="B672"/>
      <c r="C672"/>
      <c r="D672"/>
      <c r="E672" s="2">
        <f>Comuni__2[[#This Row],[Popolazione2011]]/$D$7911</f>
        <v>3.0846601901816694E-5</v>
      </c>
      <c r="F672">
        <f>SUMIFS($D$2:$D$7909, $B$2:$B$7909, "Calabria")</f>
        <v>1959050</v>
      </c>
      <c r="G672" s="1">
        <f>Comuni__2[[#This Row],[Popolazione2011]]/Comuni__2[[#This Row],[POPOLAZIONE TOTALE DI OGNI REGIONE (CON FILTRO)]]</f>
        <v>9.3565758913759223E-4</v>
      </c>
      <c r="H672" t="str">
        <f>IF(Comuni__2[[#This Row],[Popolazione2011]]&gt;300000,"MAGGIORE","")</f>
        <v/>
      </c>
      <c r="J672">
        <v>24</v>
      </c>
      <c r="K672">
        <v>910</v>
      </c>
      <c r="L672">
        <v>97</v>
      </c>
    </row>
    <row r="673" spans="1:12" x14ac:dyDescent="0.2">
      <c r="A673"/>
      <c r="B673"/>
      <c r="C673"/>
      <c r="D673"/>
      <c r="E673" s="2">
        <f>Comuni__2[[#This Row],[Popolazione2011]]/$D$7911</f>
        <v>3.0796116464988845E-5</v>
      </c>
      <c r="F673">
        <f>SUMIFS($D$2:$D$7909, $B$2:$B$7909, "Calabria")</f>
        <v>1959050</v>
      </c>
      <c r="G673" s="1">
        <f>Comuni__2[[#This Row],[Popolazione2011]]/Comuni__2[[#This Row],[POPOLAZIONE TOTALE DI OGNI REGIONE (CON FILTRO)]]</f>
        <v>9.3412623465455194E-4</v>
      </c>
      <c r="H673" t="str">
        <f>IF(Comuni__2[[#This Row],[Popolazione2011]]&gt;300000,"MAGGIORE","")</f>
        <v/>
      </c>
      <c r="J673">
        <v>23</v>
      </c>
      <c r="K673">
        <v>917</v>
      </c>
      <c r="L673">
        <v>97</v>
      </c>
    </row>
    <row r="674" spans="1:12" x14ac:dyDescent="0.2">
      <c r="A674"/>
      <c r="B674"/>
      <c r="C674"/>
      <c r="D674"/>
      <c r="E674" s="2">
        <f>Comuni__2[[#This Row],[Popolazione2011]]/$D$7911</f>
        <v>3.0678317112390525E-5</v>
      </c>
      <c r="F674">
        <f>SUMIFS($D$2:$D$7909, $B$2:$B$7909, "Calabria")</f>
        <v>1959050</v>
      </c>
      <c r="G674" s="1">
        <f>Comuni__2[[#This Row],[Popolazione2011]]/Comuni__2[[#This Row],[POPOLAZIONE TOTALE DI OGNI REGIONE (CON FILTRO)]]</f>
        <v>9.3055307419412467E-4</v>
      </c>
      <c r="H674" t="str">
        <f>IF(Comuni__2[[#This Row],[Popolazione2011]]&gt;300000,"MAGGIORE","")</f>
        <v/>
      </c>
      <c r="J674">
        <v>21</v>
      </c>
      <c r="K674">
        <v>926</v>
      </c>
      <c r="L674">
        <v>97</v>
      </c>
    </row>
    <row r="675" spans="1:12" x14ac:dyDescent="0.2">
      <c r="A675"/>
      <c r="B675"/>
      <c r="C675"/>
      <c r="D675"/>
      <c r="E675" s="2">
        <f>Comuni__2[[#This Row],[Popolazione2011]]/$D$7911</f>
        <v>3.0661488633447909E-5</v>
      </c>
      <c r="F675">
        <f>SUMIFS($D$2:$D$7909, $B$2:$B$7909, "Calabria")</f>
        <v>1959050</v>
      </c>
      <c r="G675" s="1">
        <f>Comuni__2[[#This Row],[Popolazione2011]]/Comuni__2[[#This Row],[POPOLAZIONE TOTALE DI OGNI REGIONE (CON FILTRO)]]</f>
        <v>9.3004262269977798E-4</v>
      </c>
      <c r="H675" t="str">
        <f>IF(Comuni__2[[#This Row],[Popolazione2011]]&gt;300000,"MAGGIORE","")</f>
        <v/>
      </c>
      <c r="J675">
        <v>21</v>
      </c>
      <c r="K675">
        <v>949</v>
      </c>
      <c r="L675">
        <v>97</v>
      </c>
    </row>
    <row r="676" spans="1:12" x14ac:dyDescent="0.2">
      <c r="A676"/>
      <c r="B676"/>
      <c r="C676"/>
      <c r="D676"/>
      <c r="E676" s="2">
        <f>Comuni__2[[#This Row],[Popolazione2011]]/$D$7911</f>
        <v>3.0375404491423425E-5</v>
      </c>
      <c r="F676">
        <f>SUMIFS($D$2:$D$7909, $B$2:$B$7909, "Calabria")</f>
        <v>1959050</v>
      </c>
      <c r="G676" s="1">
        <f>Comuni__2[[#This Row],[Popolazione2011]]/Comuni__2[[#This Row],[POPOLAZIONE TOTALE DI OGNI REGIONE (CON FILTRO)]]</f>
        <v>9.2136494729588316E-4</v>
      </c>
      <c r="H676" t="str">
        <f>IF(Comuni__2[[#This Row],[Popolazione2011]]&gt;300000,"MAGGIORE","")</f>
        <v/>
      </c>
      <c r="J676">
        <v>20</v>
      </c>
      <c r="K676">
        <v>951</v>
      </c>
      <c r="L676">
        <v>97</v>
      </c>
    </row>
    <row r="677" spans="1:12" x14ac:dyDescent="0.2">
      <c r="A677"/>
      <c r="B677"/>
      <c r="C677"/>
      <c r="D677"/>
      <c r="E677" s="2">
        <f>Comuni__2[[#This Row],[Popolazione2011]]/$D$7911</f>
        <v>3.0223948180939873E-5</v>
      </c>
      <c r="F677">
        <f>SUMIFS($D$2:$D$7909, $B$2:$B$7909, "Calabria")</f>
        <v>1959050</v>
      </c>
      <c r="G677" s="1">
        <f>Comuni__2[[#This Row],[Popolazione2011]]/Comuni__2[[#This Row],[POPOLAZIONE TOTALE DI OGNI REGIONE (CON FILTRO)]]</f>
        <v>9.1677088384676251E-4</v>
      </c>
      <c r="H677" t="str">
        <f>IF(Comuni__2[[#This Row],[Popolazione2011]]&gt;300000,"MAGGIORE","")</f>
        <v/>
      </c>
      <c r="J677">
        <v>19</v>
      </c>
      <c r="K677">
        <v>959</v>
      </c>
      <c r="L677">
        <v>97</v>
      </c>
    </row>
    <row r="678" spans="1:12" x14ac:dyDescent="0.2">
      <c r="A678"/>
      <c r="B678"/>
      <c r="C678"/>
      <c r="D678"/>
      <c r="E678" s="2">
        <f>Comuni__2[[#This Row],[Popolazione2011]]/$D$7911</f>
        <v>3.0173462744112021E-5</v>
      </c>
      <c r="F678">
        <f>SUMIFS($D$2:$D$7909, $B$2:$B$7909, "Calabria")</f>
        <v>1959050</v>
      </c>
      <c r="G678" s="1">
        <f>Comuni__2[[#This Row],[Popolazione2011]]/Comuni__2[[#This Row],[POPOLAZIONE TOTALE DI OGNI REGIONE (CON FILTRO)]]</f>
        <v>9.1523952936372222E-4</v>
      </c>
      <c r="H678" t="str">
        <f>IF(Comuni__2[[#This Row],[Popolazione2011]]&gt;300000,"MAGGIORE","")</f>
        <v/>
      </c>
      <c r="J678">
        <v>18</v>
      </c>
      <c r="K678">
        <v>965</v>
      </c>
      <c r="L678">
        <v>97</v>
      </c>
    </row>
    <row r="679" spans="1:12" x14ac:dyDescent="0.2">
      <c r="A679"/>
      <c r="B679"/>
      <c r="C679"/>
      <c r="D679"/>
      <c r="E679" s="2">
        <f>Comuni__2[[#This Row],[Popolazione2011]]/$D$7911</f>
        <v>2.9921035559972769E-5</v>
      </c>
      <c r="F679">
        <f>SUMIFS($D$2:$D$7909, $B$2:$B$7909, "Calabria")</f>
        <v>1959050</v>
      </c>
      <c r="G679" s="1">
        <f>Comuni__2[[#This Row],[Popolazione2011]]/Comuni__2[[#This Row],[POPOLAZIONE TOTALE DI OGNI REGIONE (CON FILTRO)]]</f>
        <v>9.0758275694852099E-4</v>
      </c>
      <c r="H679" t="str">
        <f>IF(Comuni__2[[#This Row],[Popolazione2011]]&gt;300000,"MAGGIORE","")</f>
        <v/>
      </c>
      <c r="J679">
        <v>18</v>
      </c>
      <c r="K679">
        <v>971</v>
      </c>
      <c r="L679">
        <v>97</v>
      </c>
    </row>
    <row r="680" spans="1:12" x14ac:dyDescent="0.2">
      <c r="A680"/>
      <c r="B680"/>
      <c r="C680"/>
      <c r="D680"/>
      <c r="E680" s="2">
        <f>Comuni__2[[#This Row],[Popolazione2011]]/$D$7911</f>
        <v>2.9921035559972769E-5</v>
      </c>
      <c r="F680">
        <f>SUMIFS($D$2:$D$7909, $B$2:$B$7909, "Calabria")</f>
        <v>1959050</v>
      </c>
      <c r="G680" s="1">
        <f>Comuni__2[[#This Row],[Popolazione2011]]/Comuni__2[[#This Row],[POPOLAZIONE TOTALE DI OGNI REGIONE (CON FILTRO)]]</f>
        <v>9.0758275694852099E-4</v>
      </c>
      <c r="H680" t="str">
        <f>IF(Comuni__2[[#This Row],[Popolazione2011]]&gt;300000,"MAGGIORE","")</f>
        <v/>
      </c>
      <c r="J680">
        <v>18</v>
      </c>
      <c r="K680">
        <v>971</v>
      </c>
      <c r="L680">
        <v>97</v>
      </c>
    </row>
    <row r="681" spans="1:12" x14ac:dyDescent="0.2">
      <c r="A681"/>
      <c r="B681"/>
      <c r="C681"/>
      <c r="D681"/>
      <c r="E681" s="2">
        <f>Comuni__2[[#This Row],[Popolazione2011]]/$D$7911</f>
        <v>2.9820064686317069E-5</v>
      </c>
      <c r="F681">
        <f>SUMIFS($D$2:$D$7909, $B$2:$B$7909, "Calabria")</f>
        <v>1959050</v>
      </c>
      <c r="G681" s="1">
        <f>Comuni__2[[#This Row],[Popolazione2011]]/Comuni__2[[#This Row],[POPOLAZIONE TOTALE DI OGNI REGIONE (CON FILTRO)]]</f>
        <v>9.0452004798244042E-4</v>
      </c>
      <c r="H681" t="str">
        <f>IF(Comuni__2[[#This Row],[Popolazione2011]]&gt;300000,"MAGGIORE","")</f>
        <v/>
      </c>
      <c r="J681">
        <v>18</v>
      </c>
      <c r="K681">
        <v>985</v>
      </c>
      <c r="L681">
        <v>97</v>
      </c>
    </row>
    <row r="682" spans="1:12" x14ac:dyDescent="0.2">
      <c r="A682"/>
      <c r="B682"/>
      <c r="C682"/>
      <c r="D682"/>
      <c r="E682" s="2">
        <f>Comuni__2[[#This Row],[Popolazione2011]]/$D$7911</f>
        <v>2.9466666628522114E-5</v>
      </c>
      <c r="F682">
        <f>SUMIFS($D$2:$D$7909, $B$2:$B$7909, "Calabria")</f>
        <v>1959050</v>
      </c>
      <c r="G682" s="1">
        <f>Comuni__2[[#This Row],[Popolazione2011]]/Comuni__2[[#This Row],[POPOLAZIONE TOTALE DI OGNI REGIONE (CON FILTRO)]]</f>
        <v>8.9380056660115872E-4</v>
      </c>
      <c r="H682" t="str">
        <f>IF(Comuni__2[[#This Row],[Popolazione2011]]&gt;300000,"MAGGIORE","")</f>
        <v/>
      </c>
      <c r="J682">
        <v>18</v>
      </c>
      <c r="K682">
        <v>994</v>
      </c>
      <c r="L682">
        <v>97</v>
      </c>
    </row>
    <row r="683" spans="1:12" x14ac:dyDescent="0.2">
      <c r="A683"/>
      <c r="B683"/>
      <c r="C683"/>
      <c r="D683"/>
      <c r="E683" s="2">
        <f>Comuni__2[[#This Row],[Popolazione2011]]/$D$7911</f>
        <v>2.9264724881210713E-5</v>
      </c>
      <c r="F683">
        <f>SUMIFS($D$2:$D$7909, $B$2:$B$7909, "Calabria")</f>
        <v>1959050</v>
      </c>
      <c r="G683" s="1">
        <f>Comuni__2[[#This Row],[Popolazione2011]]/Comuni__2[[#This Row],[POPOLAZIONE TOTALE DI OGNI REGIONE (CON FILTRO)]]</f>
        <v>8.8767514866899778E-4</v>
      </c>
      <c r="H683" t="str">
        <f>IF(Comuni__2[[#This Row],[Popolazione2011]]&gt;300000,"MAGGIORE","")</f>
        <v/>
      </c>
      <c r="J683">
        <v>18</v>
      </c>
      <c r="K683">
        <v>1008</v>
      </c>
      <c r="L683">
        <v>97</v>
      </c>
    </row>
    <row r="684" spans="1:12" x14ac:dyDescent="0.2">
      <c r="A684"/>
      <c r="B684"/>
      <c r="C684"/>
      <c r="D684"/>
      <c r="E684" s="2">
        <f>Comuni__2[[#This Row],[Popolazione2011]]/$D$7911</f>
        <v>2.916375400755501E-5</v>
      </c>
      <c r="F684">
        <f>SUMIFS($D$2:$D$7909, $B$2:$B$7909, "Calabria")</f>
        <v>1959050</v>
      </c>
      <c r="G684" s="1">
        <f>Comuni__2[[#This Row],[Popolazione2011]]/Comuni__2[[#This Row],[POPOLAZIONE TOTALE DI OGNI REGIONE (CON FILTRO)]]</f>
        <v>8.846124397029172E-4</v>
      </c>
      <c r="H684" t="str">
        <f>IF(Comuni__2[[#This Row],[Popolazione2011]]&gt;300000,"MAGGIORE","")</f>
        <v/>
      </c>
      <c r="J684">
        <v>17</v>
      </c>
      <c r="K684">
        <v>1012</v>
      </c>
      <c r="L684">
        <v>97</v>
      </c>
    </row>
    <row r="685" spans="1:12" x14ac:dyDescent="0.2">
      <c r="A685"/>
      <c r="B685"/>
      <c r="C685"/>
      <c r="D685"/>
      <c r="E685" s="2">
        <f>Comuni__2[[#This Row],[Popolazione2011]]/$D$7911</f>
        <v>2.852427180773557E-5</v>
      </c>
      <c r="F685">
        <f>SUMIFS($D$2:$D$7909, $B$2:$B$7909, "Calabria")</f>
        <v>1959050</v>
      </c>
      <c r="G685" s="1">
        <f>Comuni__2[[#This Row],[Popolazione2011]]/Comuni__2[[#This Row],[POPOLAZIONE TOTALE DI OGNI REGIONE (CON FILTRO)]]</f>
        <v>8.6521528291774079E-4</v>
      </c>
      <c r="H685" t="str">
        <f>IF(Comuni__2[[#This Row],[Popolazione2011]]&gt;300000,"MAGGIORE","")</f>
        <v/>
      </c>
      <c r="J685">
        <v>17</v>
      </c>
      <c r="K685">
        <v>1017</v>
      </c>
      <c r="L685">
        <v>97</v>
      </c>
    </row>
    <row r="686" spans="1:12" x14ac:dyDescent="0.2">
      <c r="A686"/>
      <c r="B686"/>
      <c r="C686"/>
      <c r="D686"/>
      <c r="E686" s="2">
        <f>Comuni__2[[#This Row],[Popolazione2011]]/$D$7911</f>
        <v>2.798576048157183E-5</v>
      </c>
      <c r="F686">
        <f>SUMIFS($D$2:$D$7909, $B$2:$B$7909, "Calabria")</f>
        <v>1959050</v>
      </c>
      <c r="G686" s="1">
        <f>Comuni__2[[#This Row],[Popolazione2011]]/Comuni__2[[#This Row],[POPOLAZIONE TOTALE DI OGNI REGIONE (CON FILTRO)]]</f>
        <v>8.4888083509864474E-4</v>
      </c>
      <c r="H686" t="str">
        <f>IF(Comuni__2[[#This Row],[Popolazione2011]]&gt;300000,"MAGGIORE","")</f>
        <v/>
      </c>
      <c r="J686">
        <v>16</v>
      </c>
      <c r="K686">
        <v>1020</v>
      </c>
      <c r="L686">
        <v>97</v>
      </c>
    </row>
    <row r="687" spans="1:12" x14ac:dyDescent="0.2">
      <c r="A687"/>
      <c r="B687"/>
      <c r="C687"/>
      <c r="D687"/>
      <c r="E687" s="2">
        <f>Comuni__2[[#This Row],[Popolazione2011]]/$D$7911</f>
        <v>2.7952103523686598E-5</v>
      </c>
      <c r="F687">
        <f>SUMIFS($D$2:$D$7909, $B$2:$B$7909, "Calabria")</f>
        <v>1959050</v>
      </c>
      <c r="G687" s="1">
        <f>Comuni__2[[#This Row],[Popolazione2011]]/Comuni__2[[#This Row],[POPOLAZIONE TOTALE DI OGNI REGIONE (CON FILTRO)]]</f>
        <v>8.4785993210995125E-4</v>
      </c>
      <c r="H687" t="str">
        <f>IF(Comuni__2[[#This Row],[Popolazione2011]]&gt;300000,"MAGGIORE","")</f>
        <v/>
      </c>
      <c r="J687">
        <v>16</v>
      </c>
      <c r="K687">
        <v>1021</v>
      </c>
      <c r="L687">
        <v>97</v>
      </c>
    </row>
    <row r="688" spans="1:12" x14ac:dyDescent="0.2">
      <c r="A688"/>
      <c r="B688"/>
      <c r="C688"/>
      <c r="D688"/>
      <c r="E688" s="2">
        <f>Comuni__2[[#This Row],[Popolazione2011]]/$D$7911</f>
        <v>2.7649190902719494E-5</v>
      </c>
      <c r="F688">
        <f>SUMIFS($D$2:$D$7909, $B$2:$B$7909, "Calabria")</f>
        <v>1959050</v>
      </c>
      <c r="G688" s="1">
        <f>Comuni__2[[#This Row],[Popolazione2011]]/Comuni__2[[#This Row],[POPOLAZIONE TOTALE DI OGNI REGIONE (CON FILTRO)]]</f>
        <v>8.3867180521170974E-4</v>
      </c>
      <c r="H688" t="str">
        <f>IF(Comuni__2[[#This Row],[Popolazione2011]]&gt;300000,"MAGGIORE","")</f>
        <v/>
      </c>
      <c r="J688">
        <v>18</v>
      </c>
      <c r="K688">
        <v>1028</v>
      </c>
      <c r="L688">
        <v>97</v>
      </c>
    </row>
    <row r="689" spans="1:12" x14ac:dyDescent="0.2">
      <c r="A689"/>
      <c r="B689"/>
      <c r="C689"/>
      <c r="D689"/>
      <c r="E689" s="2">
        <f>Comuni__2[[#This Row],[Popolazione2011]]/$D$7911</f>
        <v>2.7598705465891642E-5</v>
      </c>
      <c r="F689">
        <f>SUMIFS($D$2:$D$7909, $B$2:$B$7909, "Calabria")</f>
        <v>1959050</v>
      </c>
      <c r="G689" s="1">
        <f>Comuni__2[[#This Row],[Popolazione2011]]/Comuni__2[[#This Row],[POPOLAZIONE TOTALE DI OGNI REGIONE (CON FILTRO)]]</f>
        <v>8.3714045072866955E-4</v>
      </c>
      <c r="H689" t="str">
        <f>IF(Comuni__2[[#This Row],[Popolazione2011]]&gt;300000,"MAGGIORE","")</f>
        <v/>
      </c>
      <c r="J689">
        <v>18</v>
      </c>
      <c r="K689">
        <v>1029</v>
      </c>
      <c r="L689">
        <v>97</v>
      </c>
    </row>
    <row r="690" spans="1:12" x14ac:dyDescent="0.2">
      <c r="A690"/>
      <c r="B690"/>
      <c r="C690"/>
      <c r="D690"/>
      <c r="E690" s="2">
        <f>Comuni__2[[#This Row],[Popolazione2011]]/$D$7911</f>
        <v>2.7581876986949026E-5</v>
      </c>
      <c r="F690">
        <f>SUMIFS($D$2:$D$7909, $B$2:$B$7909, "Calabria")</f>
        <v>1959050</v>
      </c>
      <c r="G690" s="1">
        <f>Comuni__2[[#This Row],[Popolazione2011]]/Comuni__2[[#This Row],[POPOLAZIONE TOTALE DI OGNI REGIONE (CON FILTRO)]]</f>
        <v>8.3662999923432276E-4</v>
      </c>
      <c r="H690" t="str">
        <f>IF(Comuni__2[[#This Row],[Popolazione2011]]&gt;300000,"MAGGIORE","")</f>
        <v/>
      </c>
      <c r="J690">
        <v>18</v>
      </c>
      <c r="K690">
        <v>1032</v>
      </c>
      <c r="L690">
        <v>97</v>
      </c>
    </row>
    <row r="691" spans="1:12" x14ac:dyDescent="0.2">
      <c r="A691"/>
      <c r="B691"/>
      <c r="C691"/>
      <c r="D691"/>
      <c r="E691" s="2">
        <f>Comuni__2[[#This Row],[Popolazione2011]]/$D$7911</f>
        <v>2.7295792844924538E-5</v>
      </c>
      <c r="F691">
        <f>SUMIFS($D$2:$D$7909, $B$2:$B$7909, "Calabria")</f>
        <v>1959050</v>
      </c>
      <c r="G691" s="1">
        <f>Comuni__2[[#This Row],[Popolazione2011]]/Comuni__2[[#This Row],[POPOLAZIONE TOTALE DI OGNI REGIONE (CON FILTRO)]]</f>
        <v>8.2795232383042804E-4</v>
      </c>
      <c r="H691" t="str">
        <f>IF(Comuni__2[[#This Row],[Popolazione2011]]&gt;300000,"MAGGIORE","")</f>
        <v/>
      </c>
      <c r="J691">
        <v>18</v>
      </c>
      <c r="K691">
        <v>1033</v>
      </c>
      <c r="L691">
        <v>97</v>
      </c>
    </row>
    <row r="692" spans="1:12" x14ac:dyDescent="0.2">
      <c r="A692"/>
      <c r="B692"/>
      <c r="C692"/>
      <c r="D692"/>
      <c r="E692" s="2">
        <f>Comuni__2[[#This Row],[Popolazione2011]]/$D$7911</f>
        <v>2.7161165013383606E-5</v>
      </c>
      <c r="F692">
        <f>SUMIFS($D$2:$D$7909, $B$2:$B$7909, "Calabria")</f>
        <v>1959050</v>
      </c>
      <c r="G692" s="1">
        <f>Comuni__2[[#This Row],[Popolazione2011]]/Comuni__2[[#This Row],[POPOLAZIONE TOTALE DI OGNI REGIONE (CON FILTRO)]]</f>
        <v>8.2386871187565397E-4</v>
      </c>
      <c r="H692" t="str">
        <f>IF(Comuni__2[[#This Row],[Popolazione2011]]&gt;300000,"MAGGIORE","")</f>
        <v/>
      </c>
      <c r="J692">
        <v>18</v>
      </c>
      <c r="K692">
        <v>1034</v>
      </c>
      <c r="L692">
        <v>97</v>
      </c>
    </row>
    <row r="693" spans="1:12" x14ac:dyDescent="0.2">
      <c r="A693"/>
      <c r="B693"/>
      <c r="C693"/>
      <c r="D693"/>
      <c r="E693" s="2">
        <f>Comuni__2[[#This Row],[Popolazione2011]]/$D$7911</f>
        <v>2.6891909350301735E-5</v>
      </c>
      <c r="F693">
        <f>SUMIFS($D$2:$D$7909, $B$2:$B$7909, "Calabria")</f>
        <v>1959050</v>
      </c>
      <c r="G693" s="1">
        <f>Comuni__2[[#This Row],[Popolazione2011]]/Comuni__2[[#This Row],[POPOLAZIONE TOTALE DI OGNI REGIONE (CON FILTRO)]]</f>
        <v>8.1570148796610605E-4</v>
      </c>
      <c r="H693" t="str">
        <f>IF(Comuni__2[[#This Row],[Popolazione2011]]&gt;300000,"MAGGIORE","")</f>
        <v/>
      </c>
      <c r="J693">
        <v>18</v>
      </c>
      <c r="K693">
        <v>1040</v>
      </c>
      <c r="L693">
        <v>97</v>
      </c>
    </row>
    <row r="694" spans="1:12" x14ac:dyDescent="0.2">
      <c r="A694"/>
      <c r="B694"/>
      <c r="C694"/>
      <c r="D694"/>
      <c r="E694" s="2">
        <f>Comuni__2[[#This Row],[Popolazione2011]]/$D$7911</f>
        <v>2.6639482166162482E-5</v>
      </c>
      <c r="F694">
        <f>SUMIFS($D$2:$D$7909, $B$2:$B$7909, "Calabria")</f>
        <v>1959050</v>
      </c>
      <c r="G694" s="1">
        <f>Comuni__2[[#This Row],[Popolazione2011]]/Comuni__2[[#This Row],[POPOLAZIONE TOTALE DI OGNI REGIONE (CON FILTRO)]]</f>
        <v>8.0804471555090483E-4</v>
      </c>
      <c r="H694" t="str">
        <f>IF(Comuni__2[[#This Row],[Popolazione2011]]&gt;300000,"MAGGIORE","")</f>
        <v/>
      </c>
      <c r="J694">
        <v>17</v>
      </c>
      <c r="K694">
        <v>1040</v>
      </c>
      <c r="L694">
        <v>97</v>
      </c>
    </row>
    <row r="695" spans="1:12" x14ac:dyDescent="0.2">
      <c r="A695"/>
      <c r="B695"/>
      <c r="C695"/>
      <c r="D695"/>
      <c r="E695" s="2">
        <f>Comuni__2[[#This Row],[Popolazione2011]]/$D$7911</f>
        <v>2.6639482166162482E-5</v>
      </c>
      <c r="F695">
        <f>SUMIFS($D$2:$D$7909, $B$2:$B$7909, "Calabria")</f>
        <v>1959050</v>
      </c>
      <c r="G695" s="1">
        <f>Comuni__2[[#This Row],[Popolazione2011]]/Comuni__2[[#This Row],[POPOLAZIONE TOTALE DI OGNI REGIONE (CON FILTRO)]]</f>
        <v>8.0804471555090483E-4</v>
      </c>
      <c r="H695" t="str">
        <f>IF(Comuni__2[[#This Row],[Popolazione2011]]&gt;300000,"MAGGIORE","")</f>
        <v/>
      </c>
      <c r="J695">
        <v>15</v>
      </c>
      <c r="K695">
        <v>1044</v>
      </c>
      <c r="L695">
        <v>97</v>
      </c>
    </row>
    <row r="696" spans="1:12" x14ac:dyDescent="0.2">
      <c r="A696"/>
      <c r="B696"/>
      <c r="C696"/>
      <c r="D696"/>
      <c r="E696" s="2">
        <f>Comuni__2[[#This Row],[Popolazione2011]]/$D$7911</f>
        <v>2.6168284755769211E-5</v>
      </c>
      <c r="F696">
        <f>SUMIFS($D$2:$D$7909, $B$2:$B$7909, "Calabria")</f>
        <v>1959050</v>
      </c>
      <c r="G696" s="1">
        <f>Comuni__2[[#This Row],[Popolazione2011]]/Comuni__2[[#This Row],[POPOLAZIONE TOTALE DI OGNI REGIONE (CON FILTRO)]]</f>
        <v>7.9375207370919576E-4</v>
      </c>
      <c r="H696" t="str">
        <f>IF(Comuni__2[[#This Row],[Popolazione2011]]&gt;300000,"MAGGIORE","")</f>
        <v/>
      </c>
      <c r="J696">
        <v>9</v>
      </c>
      <c r="K696">
        <v>1050</v>
      </c>
      <c r="L696">
        <v>97</v>
      </c>
    </row>
    <row r="697" spans="1:12" x14ac:dyDescent="0.2">
      <c r="A697"/>
      <c r="B697"/>
      <c r="C697"/>
      <c r="D697"/>
      <c r="E697" s="2">
        <f>Comuni__2[[#This Row],[Popolazione2011]]/$D$7911</f>
        <v>2.5781229740089023E-5</v>
      </c>
      <c r="F697">
        <f>SUMIFS($D$2:$D$7909, $B$2:$B$7909, "Calabria")</f>
        <v>1959050</v>
      </c>
      <c r="G697" s="1">
        <f>Comuni__2[[#This Row],[Popolazione2011]]/Comuni__2[[#This Row],[POPOLAZIONE TOTALE DI OGNI REGIONE (CON FILTRO)]]</f>
        <v>7.8201168933922057E-4</v>
      </c>
      <c r="H697" t="str">
        <f>IF(Comuni__2[[#This Row],[Popolazione2011]]&gt;300000,"MAGGIORE","")</f>
        <v/>
      </c>
      <c r="J697">
        <v>9</v>
      </c>
      <c r="K697">
        <v>1050</v>
      </c>
      <c r="L697">
        <v>97</v>
      </c>
    </row>
    <row r="698" spans="1:12" x14ac:dyDescent="0.2">
      <c r="A698"/>
      <c r="B698"/>
      <c r="C698"/>
      <c r="D698"/>
      <c r="E698" s="2">
        <f>Comuni__2[[#This Row],[Popolazione2011]]/$D$7911</f>
        <v>2.5091262103441731E-5</v>
      </c>
      <c r="F698">
        <f>SUMIFS($D$2:$D$7909, $B$2:$B$7909, "Calabria")</f>
        <v>1959050</v>
      </c>
      <c r="G698" s="1">
        <f>Comuni__2[[#This Row],[Popolazione2011]]/Comuni__2[[#This Row],[POPOLAZIONE TOTALE DI OGNI REGIONE (CON FILTRO)]]</f>
        <v>7.6108317807100376E-4</v>
      </c>
      <c r="H698" t="str">
        <f>IF(Comuni__2[[#This Row],[Popolazione2011]]&gt;300000,"MAGGIORE","")</f>
        <v/>
      </c>
      <c r="J698">
        <v>10</v>
      </c>
      <c r="K698">
        <v>1050</v>
      </c>
      <c r="L698">
        <v>97</v>
      </c>
    </row>
    <row r="699" spans="1:12" x14ac:dyDescent="0.2">
      <c r="A699"/>
      <c r="B699"/>
      <c r="C699"/>
      <c r="D699"/>
      <c r="E699" s="2">
        <f>Comuni__2[[#This Row],[Popolazione2011]]/$D$7911</f>
        <v>2.4889320356130331E-5</v>
      </c>
      <c r="F699">
        <f>SUMIFS($D$2:$D$7909, $B$2:$B$7909, "Calabria")</f>
        <v>1959050</v>
      </c>
      <c r="G699" s="1">
        <f>Comuni__2[[#This Row],[Popolazione2011]]/Comuni__2[[#This Row],[POPOLAZIONE TOTALE DI OGNI REGIONE (CON FILTRO)]]</f>
        <v>7.5495776013884282E-4</v>
      </c>
      <c r="H699" t="str">
        <f>IF(Comuni__2[[#This Row],[Popolazione2011]]&gt;300000,"MAGGIORE","")</f>
        <v/>
      </c>
      <c r="J699">
        <v>9</v>
      </c>
      <c r="K699">
        <v>1051</v>
      </c>
      <c r="L699">
        <v>97</v>
      </c>
    </row>
    <row r="700" spans="1:12" x14ac:dyDescent="0.2">
      <c r="A700"/>
      <c r="B700"/>
      <c r="C700"/>
      <c r="D700"/>
      <c r="E700" s="2">
        <f>Comuni__2[[#This Row],[Popolazione2011]]/$D$7911</f>
        <v>2.4737864045646779E-5</v>
      </c>
      <c r="F700">
        <f>SUMIFS($D$2:$D$7909, $B$2:$B$7909, "Calabria")</f>
        <v>1959050</v>
      </c>
      <c r="G700" s="1">
        <f>Comuni__2[[#This Row],[Popolazione2011]]/Comuni__2[[#This Row],[POPOLAZIONE TOTALE DI OGNI REGIONE (CON FILTRO)]]</f>
        <v>7.5036369668972207E-4</v>
      </c>
      <c r="H700" t="str">
        <f>IF(Comuni__2[[#This Row],[Popolazione2011]]&gt;300000,"MAGGIORE","")</f>
        <v/>
      </c>
      <c r="J700">
        <v>9</v>
      </c>
      <c r="K700">
        <v>1051</v>
      </c>
      <c r="L700">
        <v>97</v>
      </c>
    </row>
    <row r="701" spans="1:12" x14ac:dyDescent="0.2">
      <c r="A701"/>
      <c r="B701"/>
      <c r="C701"/>
      <c r="D701"/>
      <c r="E701" s="2">
        <f>Comuni__2[[#This Row],[Popolazione2011]]/$D$7911</f>
        <v>2.4620064693048459E-5</v>
      </c>
      <c r="F701">
        <f>SUMIFS($D$2:$D$7909, $B$2:$B$7909, "Calabria")</f>
        <v>1959050</v>
      </c>
      <c r="G701" s="1">
        <f>Comuni__2[[#This Row],[Popolazione2011]]/Comuni__2[[#This Row],[POPOLAZIONE TOTALE DI OGNI REGIONE (CON FILTRO)]]</f>
        <v>7.467905362292948E-4</v>
      </c>
      <c r="H701" t="str">
        <f>IF(Comuni__2[[#This Row],[Popolazione2011]]&gt;300000,"MAGGIORE","")</f>
        <v/>
      </c>
      <c r="J701">
        <v>4</v>
      </c>
      <c r="K701">
        <v>1057</v>
      </c>
      <c r="L701">
        <v>97</v>
      </c>
    </row>
    <row r="702" spans="1:12" x14ac:dyDescent="0.2">
      <c r="A702"/>
      <c r="B702"/>
      <c r="C702"/>
      <c r="D702"/>
      <c r="E702" s="2">
        <f>Comuni__2[[#This Row],[Popolazione2011]]/$D$7911</f>
        <v>2.4216181198425655E-5</v>
      </c>
      <c r="F702">
        <f>SUMIFS($D$2:$D$7909, $B$2:$B$7909, "Calabria")</f>
        <v>1959050</v>
      </c>
      <c r="G702" s="1">
        <f>Comuni__2[[#This Row],[Popolazione2011]]/Comuni__2[[#This Row],[POPOLAZIONE TOTALE DI OGNI REGIONE (CON FILTRO)]]</f>
        <v>7.3453970036497281E-4</v>
      </c>
      <c r="H702" t="str">
        <f>IF(Comuni__2[[#This Row],[Popolazione2011]]&gt;300000,"MAGGIORE","")</f>
        <v/>
      </c>
      <c r="J702">
        <v>4</v>
      </c>
      <c r="K702">
        <v>1057</v>
      </c>
      <c r="L702">
        <v>97</v>
      </c>
    </row>
    <row r="703" spans="1:12" x14ac:dyDescent="0.2">
      <c r="A703"/>
      <c r="B703"/>
      <c r="C703"/>
      <c r="D703"/>
      <c r="E703" s="2">
        <f>Comuni__2[[#This Row],[Popolazione2011]]/$D$7911</f>
        <v>2.4182524240540423E-5</v>
      </c>
      <c r="F703">
        <f>SUMIFS($D$2:$D$7909, $B$2:$B$7909, "Calabria")</f>
        <v>1959050</v>
      </c>
      <c r="G703" s="1">
        <f>Comuni__2[[#This Row],[Popolazione2011]]/Comuni__2[[#This Row],[POPOLAZIONE TOTALE DI OGNI REGIONE (CON FILTRO)]]</f>
        <v>7.3351879737627932E-4</v>
      </c>
      <c r="H703" t="str">
        <f>IF(Comuni__2[[#This Row],[Popolazione2011]]&gt;300000,"MAGGIORE","")</f>
        <v/>
      </c>
      <c r="J703">
        <v>4</v>
      </c>
      <c r="K703">
        <v>1057</v>
      </c>
      <c r="L703">
        <v>97</v>
      </c>
    </row>
    <row r="704" spans="1:12" x14ac:dyDescent="0.2">
      <c r="A704"/>
      <c r="B704"/>
      <c r="C704"/>
      <c r="D704"/>
      <c r="E704" s="2">
        <f>Comuni__2[[#This Row],[Popolazione2011]]/$D$7911</f>
        <v>2.3829126182745468E-5</v>
      </c>
      <c r="F704">
        <f>SUMIFS($D$2:$D$7909, $B$2:$B$7909, "Calabria")</f>
        <v>1959050</v>
      </c>
      <c r="G704" s="1">
        <f>Comuni__2[[#This Row],[Popolazione2011]]/Comuni__2[[#This Row],[POPOLAZIONE TOTALE DI OGNI REGIONE (CON FILTRO)]]</f>
        <v>7.2279931599499763E-4</v>
      </c>
      <c r="H704" t="str">
        <f>IF(Comuni__2[[#This Row],[Popolazione2011]]&gt;300000,"MAGGIORE","")</f>
        <v/>
      </c>
      <c r="J704">
        <v>4</v>
      </c>
      <c r="K704">
        <v>1058</v>
      </c>
      <c r="L704">
        <v>97</v>
      </c>
    </row>
    <row r="705" spans="1:12" x14ac:dyDescent="0.2">
      <c r="A705"/>
      <c r="B705"/>
      <c r="C705"/>
      <c r="D705"/>
      <c r="E705" s="2">
        <f>Comuni__2[[#This Row],[Popolazione2011]]/$D$7911</f>
        <v>2.3795469224860235E-5</v>
      </c>
      <c r="F705">
        <f>SUMIFS($D$2:$D$7909, $B$2:$B$7909, "Calabria")</f>
        <v>1959050</v>
      </c>
      <c r="G705" s="1">
        <f>Comuni__2[[#This Row],[Popolazione2011]]/Comuni__2[[#This Row],[POPOLAZIONE TOTALE DI OGNI REGIONE (CON FILTRO)]]</f>
        <v>7.2177841300630403E-4</v>
      </c>
      <c r="H705" t="str">
        <f>IF(Comuni__2[[#This Row],[Popolazione2011]]&gt;300000,"MAGGIORE","")</f>
        <v/>
      </c>
      <c r="J705">
        <v>4</v>
      </c>
      <c r="K705">
        <v>1059</v>
      </c>
      <c r="L705">
        <v>97</v>
      </c>
    </row>
    <row r="706" spans="1:12" x14ac:dyDescent="0.2">
      <c r="A706"/>
      <c r="B706"/>
      <c r="C706"/>
      <c r="D706"/>
      <c r="E706" s="2">
        <f>Comuni__2[[#This Row],[Popolazione2011]]/$D$7911</f>
        <v>2.3644012914376683E-5</v>
      </c>
      <c r="F706">
        <f>SUMIFS($D$2:$D$7909, $B$2:$B$7909, "Calabria")</f>
        <v>1959050</v>
      </c>
      <c r="G706" s="1">
        <f>Comuni__2[[#This Row],[Popolazione2011]]/Comuni__2[[#This Row],[POPOLAZIONE TOTALE DI OGNI REGIONE (CON FILTRO)]]</f>
        <v>7.1718434955718338E-4</v>
      </c>
      <c r="H706" t="str">
        <f>IF(Comuni__2[[#This Row],[Popolazione2011]]&gt;300000,"MAGGIORE","")</f>
        <v/>
      </c>
      <c r="J706">
        <v>4</v>
      </c>
      <c r="K706">
        <v>1060</v>
      </c>
      <c r="L706">
        <v>97</v>
      </c>
    </row>
    <row r="707" spans="1:12" x14ac:dyDescent="0.2">
      <c r="A707"/>
      <c r="B707"/>
      <c r="C707"/>
      <c r="D707"/>
      <c r="E707" s="2">
        <f>Comuni__2[[#This Row],[Popolazione2011]]/$D$7911</f>
        <v>2.3559870519663599E-5</v>
      </c>
      <c r="F707">
        <f>SUMIFS($D$2:$D$7909, $B$2:$B$7909, "Calabria")</f>
        <v>1959050</v>
      </c>
      <c r="G707" s="1">
        <f>Comuni__2[[#This Row],[Popolazione2011]]/Comuni__2[[#This Row],[POPOLAZIONE TOTALE DI OGNI REGIONE (CON FILTRO)]]</f>
        <v>7.146320920854496E-4</v>
      </c>
      <c r="H707" t="str">
        <f>IF(Comuni__2[[#This Row],[Popolazione2011]]&gt;300000,"MAGGIORE","")</f>
        <v/>
      </c>
      <c r="J707">
        <v>3</v>
      </c>
      <c r="K707">
        <v>1060</v>
      </c>
      <c r="L707">
        <v>97</v>
      </c>
    </row>
    <row r="708" spans="1:12" x14ac:dyDescent="0.2">
      <c r="A708"/>
      <c r="B708"/>
      <c r="C708"/>
      <c r="D708"/>
      <c r="E708" s="2">
        <f>Comuni__2[[#This Row],[Popolazione2011]]/$D$7911</f>
        <v>2.3526213561778364E-5</v>
      </c>
      <c r="F708">
        <f>SUMIFS($D$2:$D$7909, $B$2:$B$7909, "Calabria")</f>
        <v>1959050</v>
      </c>
      <c r="G708" s="1">
        <f>Comuni__2[[#This Row],[Popolazione2011]]/Comuni__2[[#This Row],[POPOLAZIONE TOTALE DI OGNI REGIONE (CON FILTRO)]]</f>
        <v>7.1361118909675611E-4</v>
      </c>
      <c r="H708" t="str">
        <f>IF(Comuni__2[[#This Row],[Popolazione2011]]&gt;300000,"MAGGIORE","")</f>
        <v/>
      </c>
      <c r="J708">
        <v>3</v>
      </c>
      <c r="K708">
        <v>1060</v>
      </c>
      <c r="L708">
        <v>97</v>
      </c>
    </row>
    <row r="709" spans="1:12" x14ac:dyDescent="0.2">
      <c r="A709"/>
      <c r="B709"/>
      <c r="C709"/>
      <c r="D709"/>
      <c r="E709" s="2">
        <f>Comuni__2[[#This Row],[Popolazione2011]]/$D$7911</f>
        <v>2.3290614856581728E-5</v>
      </c>
      <c r="F709">
        <f>SUMIFS($D$2:$D$7909, $B$2:$B$7909, "Calabria")</f>
        <v>1959050</v>
      </c>
      <c r="G709" s="1">
        <f>Comuni__2[[#This Row],[Popolazione2011]]/Comuni__2[[#This Row],[POPOLAZIONE TOTALE DI OGNI REGIONE (CON FILTRO)]]</f>
        <v>7.0646486817590158E-4</v>
      </c>
      <c r="H709" t="str">
        <f>IF(Comuni__2[[#This Row],[Popolazione2011]]&gt;300000,"MAGGIORE","")</f>
        <v/>
      </c>
      <c r="J709">
        <v>4</v>
      </c>
      <c r="K709">
        <v>1060</v>
      </c>
      <c r="L709">
        <v>97</v>
      </c>
    </row>
    <row r="710" spans="1:12" x14ac:dyDescent="0.2">
      <c r="A710"/>
      <c r="B710"/>
      <c r="C710"/>
      <c r="D710"/>
      <c r="E710" s="2">
        <f>Comuni__2[[#This Row],[Popolazione2011]]/$D$7911</f>
        <v>2.3172815503983411E-5</v>
      </c>
      <c r="F710">
        <f>SUMIFS($D$2:$D$7909, $B$2:$B$7909, "Calabria")</f>
        <v>1959050</v>
      </c>
      <c r="G710" s="1">
        <f>Comuni__2[[#This Row],[Popolazione2011]]/Comuni__2[[#This Row],[POPOLAZIONE TOTALE DI OGNI REGIONE (CON FILTRO)]]</f>
        <v>7.0289170771547431E-4</v>
      </c>
      <c r="H710" t="str">
        <f>IF(Comuni__2[[#This Row],[Popolazione2011]]&gt;300000,"MAGGIORE","")</f>
        <v/>
      </c>
      <c r="J710">
        <v>4</v>
      </c>
      <c r="K710">
        <v>1060</v>
      </c>
      <c r="L710">
        <v>97</v>
      </c>
    </row>
    <row r="711" spans="1:12" x14ac:dyDescent="0.2">
      <c r="A711"/>
      <c r="B711"/>
      <c r="C711"/>
      <c r="D711"/>
      <c r="E711" s="2">
        <f>Comuni__2[[#This Row],[Popolazione2011]]/$D$7911</f>
        <v>2.3004530714557243E-5</v>
      </c>
      <c r="F711">
        <f>SUMIFS($D$2:$D$7909, $B$2:$B$7909, "Calabria")</f>
        <v>1959050</v>
      </c>
      <c r="G711" s="1">
        <f>Comuni__2[[#This Row],[Popolazione2011]]/Comuni__2[[#This Row],[POPOLAZIONE TOTALE DI OGNI REGIONE (CON FILTRO)]]</f>
        <v>6.9778719277200686E-4</v>
      </c>
      <c r="H711" t="str">
        <f>IF(Comuni__2[[#This Row],[Popolazione2011]]&gt;300000,"MAGGIORE","")</f>
        <v/>
      </c>
      <c r="J711">
        <v>4</v>
      </c>
      <c r="K711">
        <v>1060</v>
      </c>
      <c r="L711">
        <v>97</v>
      </c>
    </row>
    <row r="712" spans="1:12" x14ac:dyDescent="0.2">
      <c r="A712"/>
      <c r="B712"/>
      <c r="C712"/>
      <c r="D712"/>
      <c r="E712" s="2">
        <f>Comuni__2[[#This Row],[Popolazione2011]]/$D$7911</f>
        <v>2.2987702235614624E-5</v>
      </c>
      <c r="F712">
        <f>SUMIFS($D$2:$D$7909, $B$2:$B$7909, "Calabria")</f>
        <v>1959050</v>
      </c>
      <c r="G712" s="1">
        <f>Comuni__2[[#This Row],[Popolazione2011]]/Comuni__2[[#This Row],[POPOLAZIONE TOTALE DI OGNI REGIONE (CON FILTRO)]]</f>
        <v>6.9727674127766006E-4</v>
      </c>
      <c r="H712" t="str">
        <f>IF(Comuni__2[[#This Row],[Popolazione2011]]&gt;300000,"MAGGIORE","")</f>
        <v/>
      </c>
      <c r="J712">
        <v>4</v>
      </c>
      <c r="K712">
        <v>1060</v>
      </c>
      <c r="L712">
        <v>97</v>
      </c>
    </row>
    <row r="713" spans="1:12" x14ac:dyDescent="0.2">
      <c r="A713"/>
      <c r="B713"/>
      <c r="C713"/>
      <c r="D713"/>
      <c r="E713" s="2">
        <f>Comuni__2[[#This Row],[Popolazione2011]]/$D$7911</f>
        <v>2.290355984090154E-5</v>
      </c>
      <c r="F713">
        <f>SUMIFS($D$2:$D$7909, $B$2:$B$7909, "Calabria")</f>
        <v>1959050</v>
      </c>
      <c r="G713" s="1">
        <f>Comuni__2[[#This Row],[Popolazione2011]]/Comuni__2[[#This Row],[POPOLAZIONE TOTALE DI OGNI REGIONE (CON FILTRO)]]</f>
        <v>6.9472448380592639E-4</v>
      </c>
      <c r="H713" t="str">
        <f>IF(Comuni__2[[#This Row],[Popolazione2011]]&gt;300000,"MAGGIORE","")</f>
        <v/>
      </c>
      <c r="J713">
        <v>4</v>
      </c>
      <c r="K713">
        <v>1062</v>
      </c>
      <c r="L713">
        <v>97</v>
      </c>
    </row>
    <row r="714" spans="1:12" x14ac:dyDescent="0.2">
      <c r="A714"/>
      <c r="B714"/>
      <c r="C714"/>
      <c r="D714"/>
      <c r="E714" s="2">
        <f>Comuni__2[[#This Row],[Popolazione2011]]/$D$7911</f>
        <v>2.2550161783106588E-5</v>
      </c>
      <c r="F714">
        <f>SUMIFS($D$2:$D$7909, $B$2:$B$7909, "Calabria")</f>
        <v>1959050</v>
      </c>
      <c r="G714" s="1">
        <f>Comuni__2[[#This Row],[Popolazione2011]]/Comuni__2[[#This Row],[POPOLAZIONE TOTALE DI OGNI REGIONE (CON FILTRO)]]</f>
        <v>6.8400500242464459E-4</v>
      </c>
      <c r="H714" t="str">
        <f>IF(Comuni__2[[#This Row],[Popolazione2011]]&gt;300000,"MAGGIORE","")</f>
        <v/>
      </c>
      <c r="J714">
        <v>4</v>
      </c>
      <c r="K714">
        <v>1062</v>
      </c>
      <c r="L714">
        <v>97</v>
      </c>
    </row>
    <row r="715" spans="1:12" x14ac:dyDescent="0.2">
      <c r="A715"/>
      <c r="B715"/>
      <c r="C715"/>
      <c r="D715"/>
      <c r="E715" s="2">
        <f>Comuni__2[[#This Row],[Popolazione2011]]/$D$7911</f>
        <v>2.2516504825221352E-5</v>
      </c>
      <c r="F715">
        <f>SUMIFS($D$2:$D$7909, $B$2:$B$7909, "Calabria")</f>
        <v>1959050</v>
      </c>
      <c r="G715" s="1">
        <f>Comuni__2[[#This Row],[Popolazione2011]]/Comuni__2[[#This Row],[POPOLAZIONE TOTALE DI OGNI REGIONE (CON FILTRO)]]</f>
        <v>6.829840994359511E-4</v>
      </c>
      <c r="H715" t="str">
        <f>IF(Comuni__2[[#This Row],[Popolazione2011]]&gt;300000,"MAGGIORE","")</f>
        <v/>
      </c>
      <c r="J715">
        <v>4</v>
      </c>
      <c r="K715">
        <v>1062</v>
      </c>
      <c r="L715">
        <v>97</v>
      </c>
    </row>
    <row r="716" spans="1:12" x14ac:dyDescent="0.2">
      <c r="A716"/>
      <c r="B716"/>
      <c r="C716"/>
      <c r="D716"/>
      <c r="E716" s="2">
        <f>Comuni__2[[#This Row],[Popolazione2011]]/$D$7911</f>
        <v>2.2499676346278736E-5</v>
      </c>
      <c r="F716">
        <f>SUMIFS($D$2:$D$7909, $B$2:$B$7909, "Calabria")</f>
        <v>1959050</v>
      </c>
      <c r="G716" s="1">
        <f>Comuni__2[[#This Row],[Popolazione2011]]/Comuni__2[[#This Row],[POPOLAZIONE TOTALE DI OGNI REGIONE (CON FILTRO)]]</f>
        <v>6.824736479416043E-4</v>
      </c>
      <c r="H716" t="str">
        <f>IF(Comuni__2[[#This Row],[Popolazione2011]]&gt;300000,"MAGGIORE","")</f>
        <v/>
      </c>
      <c r="J716">
        <v>4</v>
      </c>
      <c r="K716">
        <v>1062</v>
      </c>
      <c r="L716">
        <v>97</v>
      </c>
    </row>
    <row r="717" spans="1:12" x14ac:dyDescent="0.2">
      <c r="A717"/>
      <c r="B717"/>
      <c r="C717"/>
      <c r="D717"/>
      <c r="E717" s="2">
        <f>Comuni__2[[#This Row],[Popolazione2011]]/$D$7911</f>
        <v>2.2499676346278736E-5</v>
      </c>
      <c r="F717">
        <f>SUMIFS($D$2:$D$7909, $B$2:$B$7909, "Calabria")</f>
        <v>1959050</v>
      </c>
      <c r="G717" s="1">
        <f>Comuni__2[[#This Row],[Popolazione2011]]/Comuni__2[[#This Row],[POPOLAZIONE TOTALE DI OGNI REGIONE (CON FILTRO)]]</f>
        <v>6.824736479416043E-4</v>
      </c>
      <c r="H717" t="str">
        <f>IF(Comuni__2[[#This Row],[Popolazione2011]]&gt;300000,"MAGGIORE","")</f>
        <v/>
      </c>
      <c r="J717">
        <v>5</v>
      </c>
      <c r="K717">
        <v>1062</v>
      </c>
      <c r="L717">
        <v>97</v>
      </c>
    </row>
    <row r="718" spans="1:12" x14ac:dyDescent="0.2">
      <c r="A718"/>
      <c r="B718"/>
      <c r="C718"/>
      <c r="D718"/>
      <c r="E718" s="2">
        <f>Comuni__2[[#This Row],[Popolazione2011]]/$D$7911</f>
        <v>2.2415533951565652E-5</v>
      </c>
      <c r="F718">
        <f>SUMIFS($D$2:$D$7909, $B$2:$B$7909, "Calabria")</f>
        <v>1959050</v>
      </c>
      <c r="G718" s="1">
        <f>Comuni__2[[#This Row],[Popolazione2011]]/Comuni__2[[#This Row],[POPOLAZIONE TOTALE DI OGNI REGIONE (CON FILTRO)]]</f>
        <v>6.7992139046987063E-4</v>
      </c>
      <c r="H718" t="str">
        <f>IF(Comuni__2[[#This Row],[Popolazione2011]]&gt;300000,"MAGGIORE","")</f>
        <v/>
      </c>
      <c r="J718">
        <v>5</v>
      </c>
      <c r="K718">
        <v>1062</v>
      </c>
      <c r="L718">
        <v>97</v>
      </c>
    </row>
    <row r="719" spans="1:12" x14ac:dyDescent="0.2">
      <c r="A719"/>
      <c r="B719"/>
      <c r="C719"/>
      <c r="D719"/>
      <c r="E719" s="2">
        <f>Comuni__2[[#This Row],[Popolazione2011]]/$D$7911</f>
        <v>2.2348220035795184E-5</v>
      </c>
      <c r="F719">
        <f>SUMIFS($D$2:$D$7909, $B$2:$B$7909, "Calabria")</f>
        <v>1959050</v>
      </c>
      <c r="G719" s="1">
        <f>Comuni__2[[#This Row],[Popolazione2011]]/Comuni__2[[#This Row],[POPOLAZIONE TOTALE DI OGNI REGIONE (CON FILTRO)]]</f>
        <v>6.7787958449248365E-4</v>
      </c>
      <c r="H719" t="str">
        <f>IF(Comuni__2[[#This Row],[Popolazione2011]]&gt;300000,"MAGGIORE","")</f>
        <v/>
      </c>
      <c r="J719">
        <v>5</v>
      </c>
      <c r="K719">
        <v>1064</v>
      </c>
      <c r="L719">
        <v>97</v>
      </c>
    </row>
    <row r="720" spans="1:12" x14ac:dyDescent="0.2">
      <c r="A720"/>
      <c r="B720"/>
      <c r="C720"/>
      <c r="D720"/>
      <c r="E720" s="2">
        <f>Comuni__2[[#This Row],[Popolazione2011]]/$D$7911</f>
        <v>2.2230420683196868E-5</v>
      </c>
      <c r="F720">
        <f>SUMIFS($D$2:$D$7909, $B$2:$B$7909, "Calabria")</f>
        <v>1959050</v>
      </c>
      <c r="G720" s="1">
        <f>Comuni__2[[#This Row],[Popolazione2011]]/Comuni__2[[#This Row],[POPOLAZIONE TOTALE DI OGNI REGIONE (CON FILTRO)]]</f>
        <v>6.7430642403205638E-4</v>
      </c>
      <c r="H720" t="str">
        <f>IF(Comuni__2[[#This Row],[Popolazione2011]]&gt;300000,"MAGGIORE","")</f>
        <v/>
      </c>
      <c r="J720">
        <v>6</v>
      </c>
      <c r="K720">
        <v>1065</v>
      </c>
      <c r="L720">
        <v>97</v>
      </c>
    </row>
    <row r="721" spans="1:12" x14ac:dyDescent="0.2">
      <c r="A721"/>
      <c r="B721"/>
      <c r="C721"/>
      <c r="D721"/>
      <c r="E721" s="2">
        <f>Comuni__2[[#This Row],[Popolazione2011]]/$D$7911</f>
        <v>2.2213592204254248E-5</v>
      </c>
      <c r="F721">
        <f>SUMIFS($D$2:$D$7909, $B$2:$B$7909, "Calabria")</f>
        <v>1959050</v>
      </c>
      <c r="G721" s="1">
        <f>Comuni__2[[#This Row],[Popolazione2011]]/Comuni__2[[#This Row],[POPOLAZIONE TOTALE DI OGNI REGIONE (CON FILTRO)]]</f>
        <v>6.7379597253770958E-4</v>
      </c>
      <c r="H721" t="str">
        <f>IF(Comuni__2[[#This Row],[Popolazione2011]]&gt;300000,"MAGGIORE","")</f>
        <v/>
      </c>
      <c r="J721">
        <v>5</v>
      </c>
      <c r="K721">
        <v>1066</v>
      </c>
      <c r="L721">
        <v>97</v>
      </c>
    </row>
    <row r="722" spans="1:12" x14ac:dyDescent="0.2">
      <c r="A722"/>
      <c r="B722"/>
      <c r="C722"/>
      <c r="D722"/>
      <c r="E722" s="2">
        <f>Comuni__2[[#This Row],[Popolazione2011]]/$D$7911</f>
        <v>2.2095792851655932E-5</v>
      </c>
      <c r="F722">
        <f>SUMIFS($D$2:$D$7909, $B$2:$B$7909, "Calabria")</f>
        <v>1959050</v>
      </c>
      <c r="G722" s="1">
        <f>Comuni__2[[#This Row],[Popolazione2011]]/Comuni__2[[#This Row],[POPOLAZIONE TOTALE DI OGNI REGIONE (CON FILTRO)]]</f>
        <v>6.7022281207728231E-4</v>
      </c>
      <c r="H722" t="str">
        <f>IF(Comuni__2[[#This Row],[Popolazione2011]]&gt;300000,"MAGGIORE","")</f>
        <v/>
      </c>
      <c r="J722">
        <v>4</v>
      </c>
      <c r="K722">
        <v>1070</v>
      </c>
      <c r="L722">
        <v>97</v>
      </c>
    </row>
    <row r="723" spans="1:12" x14ac:dyDescent="0.2">
      <c r="A723"/>
      <c r="B723"/>
      <c r="C723"/>
      <c r="D723"/>
      <c r="E723" s="2">
        <f>Comuni__2[[#This Row],[Popolazione2011]]/$D$7911</f>
        <v>2.2062135893770696E-5</v>
      </c>
      <c r="F723">
        <f>SUMIFS($D$2:$D$7909, $B$2:$B$7909, "Calabria")</f>
        <v>1959050</v>
      </c>
      <c r="G723" s="1">
        <f>Comuni__2[[#This Row],[Popolazione2011]]/Comuni__2[[#This Row],[POPOLAZIONE TOTALE DI OGNI REGIONE (CON FILTRO)]]</f>
        <v>6.6920190908858882E-4</v>
      </c>
      <c r="H723" t="str">
        <f>IF(Comuni__2[[#This Row],[Popolazione2011]]&gt;300000,"MAGGIORE","")</f>
        <v/>
      </c>
      <c r="J723">
        <v>3</v>
      </c>
      <c r="K723">
        <v>1071</v>
      </c>
      <c r="L723">
        <v>97</v>
      </c>
    </row>
    <row r="724" spans="1:12" x14ac:dyDescent="0.2">
      <c r="A724"/>
      <c r="B724"/>
      <c r="C724"/>
      <c r="D724"/>
      <c r="E724" s="2">
        <f>Comuni__2[[#This Row],[Popolazione2011]]/$D$7911</f>
        <v>2.2011650456942848E-5</v>
      </c>
      <c r="F724">
        <f>SUMIFS($D$2:$D$7909, $B$2:$B$7909, "Calabria")</f>
        <v>1959050</v>
      </c>
      <c r="G724" s="1">
        <f>Comuni__2[[#This Row],[Popolazione2011]]/Comuni__2[[#This Row],[POPOLAZIONE TOTALE DI OGNI REGIONE (CON FILTRO)]]</f>
        <v>6.6767055460554864E-4</v>
      </c>
      <c r="H724" t="str">
        <f>IF(Comuni__2[[#This Row],[Popolazione2011]]&gt;300000,"MAGGIORE","")</f>
        <v/>
      </c>
      <c r="J724">
        <v>3</v>
      </c>
      <c r="K724">
        <v>1071</v>
      </c>
      <c r="L724">
        <v>97</v>
      </c>
    </row>
    <row r="725" spans="1:12" x14ac:dyDescent="0.2">
      <c r="A725"/>
      <c r="B725"/>
      <c r="C725"/>
      <c r="D725"/>
      <c r="E725" s="2">
        <f>Comuni__2[[#This Row],[Popolazione2011]]/$D$7911</f>
        <v>2.1927508062229764E-5</v>
      </c>
      <c r="F725">
        <f>SUMIFS($D$2:$D$7909, $B$2:$B$7909, "Calabria")</f>
        <v>1959050</v>
      </c>
      <c r="G725" s="1">
        <f>Comuni__2[[#This Row],[Popolazione2011]]/Comuni__2[[#This Row],[POPOLAZIONE TOTALE DI OGNI REGIONE (CON FILTRO)]]</f>
        <v>6.6511829713381486E-4</v>
      </c>
      <c r="H725" t="str">
        <f>IF(Comuni__2[[#This Row],[Popolazione2011]]&gt;300000,"MAGGIORE","")</f>
        <v/>
      </c>
      <c r="J725">
        <v>3</v>
      </c>
      <c r="K725">
        <v>1071</v>
      </c>
      <c r="L725">
        <v>97</v>
      </c>
    </row>
    <row r="726" spans="1:12" x14ac:dyDescent="0.2">
      <c r="A726"/>
      <c r="B726"/>
      <c r="C726"/>
      <c r="D726"/>
      <c r="E726" s="2">
        <f>Comuni__2[[#This Row],[Popolazione2011]]/$D$7911</f>
        <v>2.1759223272803596E-5</v>
      </c>
      <c r="F726">
        <f>SUMIFS($D$2:$D$7909, $B$2:$B$7909, "Calabria")</f>
        <v>1959050</v>
      </c>
      <c r="G726" s="1">
        <f>Comuni__2[[#This Row],[Popolazione2011]]/Comuni__2[[#This Row],[POPOLAZIONE TOTALE DI OGNI REGIONE (CON FILTRO)]]</f>
        <v>6.6001378219034742E-4</v>
      </c>
      <c r="H726" t="str">
        <f>IF(Comuni__2[[#This Row],[Popolazione2011]]&gt;300000,"MAGGIORE","")</f>
        <v/>
      </c>
      <c r="J726">
        <v>3</v>
      </c>
      <c r="K726">
        <v>1071</v>
      </c>
      <c r="L726">
        <v>97</v>
      </c>
    </row>
    <row r="727" spans="1:12" x14ac:dyDescent="0.2">
      <c r="A727"/>
      <c r="B727"/>
      <c r="C727"/>
      <c r="D727"/>
      <c r="E727" s="2">
        <f>Comuni__2[[#This Row],[Popolazione2011]]/$D$7911</f>
        <v>2.1590938483377425E-5</v>
      </c>
      <c r="F727">
        <f>SUMIFS($D$2:$D$7909, $B$2:$B$7909, "Calabria")</f>
        <v>1959050</v>
      </c>
      <c r="G727" s="1">
        <f>Comuni__2[[#This Row],[Popolazione2011]]/Comuni__2[[#This Row],[POPOLAZIONE TOTALE DI OGNI REGIONE (CON FILTRO)]]</f>
        <v>6.5490926724687986E-4</v>
      </c>
      <c r="H727" t="str">
        <f>IF(Comuni__2[[#This Row],[Popolazione2011]]&gt;300000,"MAGGIORE","")</f>
        <v/>
      </c>
      <c r="J727">
        <v>3</v>
      </c>
      <c r="K727">
        <v>1071</v>
      </c>
      <c r="L727">
        <v>97</v>
      </c>
    </row>
    <row r="728" spans="1:12" x14ac:dyDescent="0.2">
      <c r="A728"/>
      <c r="B728"/>
      <c r="C728"/>
      <c r="D728"/>
      <c r="E728" s="2">
        <f>Comuni__2[[#This Row],[Popolazione2011]]/$D$7911</f>
        <v>2.1456310651836492E-5</v>
      </c>
      <c r="F728">
        <f>SUMIFS($D$2:$D$7909, $B$2:$B$7909, "Calabria")</f>
        <v>1959050</v>
      </c>
      <c r="G728" s="1">
        <f>Comuni__2[[#This Row],[Popolazione2011]]/Comuni__2[[#This Row],[POPOLAZIONE TOTALE DI OGNI REGIONE (CON FILTRO)]]</f>
        <v>6.508256552921059E-4</v>
      </c>
      <c r="H728" t="str">
        <f>IF(Comuni__2[[#This Row],[Popolazione2011]]&gt;300000,"MAGGIORE","")</f>
        <v/>
      </c>
      <c r="J728">
        <v>3</v>
      </c>
      <c r="K728">
        <v>1071</v>
      </c>
      <c r="L728">
        <v>97</v>
      </c>
    </row>
    <row r="729" spans="1:12" x14ac:dyDescent="0.2">
      <c r="A729"/>
      <c r="B729"/>
      <c r="C729"/>
      <c r="D729"/>
      <c r="E729" s="2">
        <f>Comuni__2[[#This Row],[Popolazione2011]]/$D$7911</f>
        <v>2.1439482172893873E-5</v>
      </c>
      <c r="F729">
        <f>SUMIFS($D$2:$D$7909, $B$2:$B$7909, "Calabria")</f>
        <v>1959050</v>
      </c>
      <c r="G729" s="1">
        <f>Comuni__2[[#This Row],[Popolazione2011]]/Comuni__2[[#This Row],[POPOLAZIONE TOTALE DI OGNI REGIONE (CON FILTRO)]]</f>
        <v>6.503152037977591E-4</v>
      </c>
      <c r="H729" t="str">
        <f>IF(Comuni__2[[#This Row],[Popolazione2011]]&gt;300000,"MAGGIORE","")</f>
        <v/>
      </c>
      <c r="J729">
        <v>3</v>
      </c>
      <c r="K729">
        <v>1071</v>
      </c>
      <c r="L729">
        <v>97</v>
      </c>
    </row>
    <row r="730" spans="1:12" x14ac:dyDescent="0.2">
      <c r="A730"/>
      <c r="B730"/>
      <c r="C730"/>
      <c r="D730"/>
      <c r="E730" s="2">
        <f>Comuni__2[[#This Row],[Popolazione2011]]/$D$7911</f>
        <v>2.140582521500864E-5</v>
      </c>
      <c r="F730">
        <f>SUMIFS($D$2:$D$7909, $B$2:$B$7909, "Calabria")</f>
        <v>1959050</v>
      </c>
      <c r="G730" s="1">
        <f>Comuni__2[[#This Row],[Popolazione2011]]/Comuni__2[[#This Row],[POPOLAZIONE TOTALE DI OGNI REGIONE (CON FILTRO)]]</f>
        <v>6.4929430080906561E-4</v>
      </c>
      <c r="H730" t="str">
        <f>IF(Comuni__2[[#This Row],[Popolazione2011]]&gt;300000,"MAGGIORE","")</f>
        <v/>
      </c>
      <c r="J730">
        <v>3</v>
      </c>
      <c r="K730">
        <v>1072</v>
      </c>
      <c r="L730">
        <v>97</v>
      </c>
    </row>
    <row r="731" spans="1:12" x14ac:dyDescent="0.2">
      <c r="A731"/>
      <c r="B731"/>
      <c r="C731"/>
      <c r="D731"/>
      <c r="E731" s="2">
        <f>Comuni__2[[#This Row],[Popolazione2011]]/$D$7911</f>
        <v>2.140582521500864E-5</v>
      </c>
      <c r="F731">
        <f>SUMIFS($D$2:$D$7909, $B$2:$B$7909, "Calabria")</f>
        <v>1959050</v>
      </c>
      <c r="G731" s="1">
        <f>Comuni__2[[#This Row],[Popolazione2011]]/Comuni__2[[#This Row],[POPOLAZIONE TOTALE DI OGNI REGIONE (CON FILTRO)]]</f>
        <v>6.4929430080906561E-4</v>
      </c>
      <c r="H731" t="str">
        <f>IF(Comuni__2[[#This Row],[Popolazione2011]]&gt;300000,"MAGGIORE","")</f>
        <v/>
      </c>
      <c r="J731">
        <v>3</v>
      </c>
      <c r="K731">
        <v>1072</v>
      </c>
      <c r="L731">
        <v>97</v>
      </c>
    </row>
    <row r="732" spans="1:12" x14ac:dyDescent="0.2">
      <c r="A732"/>
      <c r="B732"/>
      <c r="C732"/>
      <c r="D732"/>
      <c r="E732" s="2">
        <f>Comuni__2[[#This Row],[Popolazione2011]]/$D$7911</f>
        <v>2.140582521500864E-5</v>
      </c>
      <c r="F732">
        <f>SUMIFS($D$2:$D$7909, $B$2:$B$7909, "Calabria")</f>
        <v>1959050</v>
      </c>
      <c r="G732" s="1">
        <f>Comuni__2[[#This Row],[Popolazione2011]]/Comuni__2[[#This Row],[POPOLAZIONE TOTALE DI OGNI REGIONE (CON FILTRO)]]</f>
        <v>6.4929430080906561E-4</v>
      </c>
      <c r="H732" t="str">
        <f>IF(Comuni__2[[#This Row],[Popolazione2011]]&gt;300000,"MAGGIORE","")</f>
        <v/>
      </c>
      <c r="J732">
        <v>3</v>
      </c>
      <c r="K732">
        <v>1072</v>
      </c>
      <c r="L732">
        <v>97</v>
      </c>
    </row>
    <row r="733" spans="1:12" x14ac:dyDescent="0.2">
      <c r="A733"/>
      <c r="B733"/>
      <c r="C733"/>
      <c r="D733"/>
      <c r="E733" s="2">
        <f>Comuni__2[[#This Row],[Popolazione2011]]/$D$7911</f>
        <v>2.1355339778180789E-5</v>
      </c>
      <c r="F733">
        <f>SUMIFS($D$2:$D$7909, $B$2:$B$7909, "Calabria")</f>
        <v>1959050</v>
      </c>
      <c r="G733" s="1">
        <f>Comuni__2[[#This Row],[Popolazione2011]]/Comuni__2[[#This Row],[POPOLAZIONE TOTALE DI OGNI REGIONE (CON FILTRO)]]</f>
        <v>6.4776294632602532E-4</v>
      </c>
      <c r="H733" t="str">
        <f>IF(Comuni__2[[#This Row],[Popolazione2011]]&gt;300000,"MAGGIORE","")</f>
        <v/>
      </c>
      <c r="J733">
        <v>4</v>
      </c>
      <c r="K733">
        <v>1072</v>
      </c>
      <c r="L733">
        <v>97</v>
      </c>
    </row>
    <row r="734" spans="1:12" x14ac:dyDescent="0.2">
      <c r="A734"/>
      <c r="B734"/>
      <c r="C734"/>
      <c r="D734"/>
      <c r="E734" s="2">
        <f>Comuni__2[[#This Row],[Popolazione2011]]/$D$7911</f>
        <v>2.1288025862410324E-5</v>
      </c>
      <c r="F734">
        <f>SUMIFS($D$2:$D$7909, $B$2:$B$7909, "Calabria")</f>
        <v>1959050</v>
      </c>
      <c r="G734" s="1">
        <f>Comuni__2[[#This Row],[Popolazione2011]]/Comuni__2[[#This Row],[POPOLAZIONE TOTALE DI OGNI REGIONE (CON FILTRO)]]</f>
        <v>6.4572114034863834E-4</v>
      </c>
      <c r="H734" t="str">
        <f>IF(Comuni__2[[#This Row],[Popolazione2011]]&gt;300000,"MAGGIORE","")</f>
        <v/>
      </c>
      <c r="J734">
        <v>4</v>
      </c>
      <c r="K734">
        <v>1072</v>
      </c>
      <c r="L734">
        <v>97</v>
      </c>
    </row>
    <row r="735" spans="1:12" x14ac:dyDescent="0.2">
      <c r="A735"/>
      <c r="B735"/>
      <c r="C735"/>
      <c r="D735"/>
      <c r="E735" s="2">
        <f>Comuni__2[[#This Row],[Popolazione2011]]/$D$7911</f>
        <v>2.1035598678271069E-5</v>
      </c>
      <c r="F735">
        <f>SUMIFS($D$2:$D$7909, $B$2:$B$7909, "Calabria")</f>
        <v>1959050</v>
      </c>
      <c r="G735" s="1">
        <f>Comuni__2[[#This Row],[Popolazione2011]]/Comuni__2[[#This Row],[POPOLAZIONE TOTALE DI OGNI REGIONE (CON FILTRO)]]</f>
        <v>6.3806436793343712E-4</v>
      </c>
      <c r="H735" t="str">
        <f>IF(Comuni__2[[#This Row],[Popolazione2011]]&gt;300000,"MAGGIORE","")</f>
        <v/>
      </c>
      <c r="J735">
        <v>5</v>
      </c>
      <c r="K735">
        <v>1075</v>
      </c>
      <c r="L735">
        <v>97</v>
      </c>
    </row>
    <row r="736" spans="1:12" x14ac:dyDescent="0.2">
      <c r="A736"/>
      <c r="B736"/>
      <c r="C736"/>
      <c r="D736"/>
      <c r="E736" s="2">
        <f>Comuni__2[[#This Row],[Popolazione2011]]/$D$7911</f>
        <v>2.098511324144322E-5</v>
      </c>
      <c r="F736">
        <f>SUMIFS($D$2:$D$7909, $B$2:$B$7909, "Calabria")</f>
        <v>1959050</v>
      </c>
      <c r="G736" s="1">
        <f>Comuni__2[[#This Row],[Popolazione2011]]/Comuni__2[[#This Row],[POPOLAZIONE TOTALE DI OGNI REGIONE (CON FILTRO)]]</f>
        <v>6.3653301345039683E-4</v>
      </c>
      <c r="H736" t="str">
        <f>IF(Comuni__2[[#This Row],[Popolazione2011]]&gt;300000,"MAGGIORE","")</f>
        <v/>
      </c>
      <c r="J736">
        <v>6</v>
      </c>
      <c r="K736">
        <v>1075</v>
      </c>
      <c r="L736">
        <v>97</v>
      </c>
    </row>
    <row r="737" spans="1:12" x14ac:dyDescent="0.2">
      <c r="A737"/>
      <c r="B737"/>
      <c r="C737"/>
      <c r="D737"/>
      <c r="E737" s="2">
        <f>Comuni__2[[#This Row],[Popolazione2011]]/$D$7911</f>
        <v>2.0934627804615369E-5</v>
      </c>
      <c r="F737">
        <f>SUMIFS($D$2:$D$7909, $B$2:$B$7909, "Calabria")</f>
        <v>1959050</v>
      </c>
      <c r="G737" s="1">
        <f>Comuni__2[[#This Row],[Popolazione2011]]/Comuni__2[[#This Row],[POPOLAZIONE TOTALE DI OGNI REGIONE (CON FILTRO)]]</f>
        <v>6.3500165896735665E-4</v>
      </c>
      <c r="H737" t="str">
        <f>IF(Comuni__2[[#This Row],[Popolazione2011]]&gt;300000,"MAGGIORE","")</f>
        <v/>
      </c>
      <c r="J737">
        <v>6</v>
      </c>
      <c r="K737">
        <v>1075</v>
      </c>
      <c r="L737">
        <v>97</v>
      </c>
    </row>
    <row r="738" spans="1:12" x14ac:dyDescent="0.2">
      <c r="A738"/>
      <c r="B738"/>
      <c r="C738"/>
      <c r="D738"/>
      <c r="E738" s="2">
        <f>Comuni__2[[#This Row],[Popolazione2011]]/$D$7911</f>
        <v>2.0749514536246584E-5</v>
      </c>
      <c r="F738">
        <f>SUMIFS($D$2:$D$7909, $B$2:$B$7909, "Calabria")</f>
        <v>1959050</v>
      </c>
      <c r="G738" s="1">
        <f>Comuni__2[[#This Row],[Popolazione2011]]/Comuni__2[[#This Row],[POPOLAZIONE TOTALE DI OGNI REGIONE (CON FILTRO)]]</f>
        <v>6.293866925295424E-4</v>
      </c>
      <c r="H738" t="str">
        <f>IF(Comuni__2[[#This Row],[Popolazione2011]]&gt;300000,"MAGGIORE","")</f>
        <v/>
      </c>
      <c r="J738">
        <v>7</v>
      </c>
      <c r="K738">
        <v>1076</v>
      </c>
      <c r="L738">
        <v>97</v>
      </c>
    </row>
    <row r="739" spans="1:12" x14ac:dyDescent="0.2">
      <c r="A739"/>
      <c r="B739"/>
      <c r="C739"/>
      <c r="D739"/>
      <c r="E739" s="2">
        <f>Comuni__2[[#This Row],[Popolazione2011]]/$D$7911</f>
        <v>2.0715857578361349E-5</v>
      </c>
      <c r="F739">
        <f>SUMIFS($D$2:$D$7909, $B$2:$B$7909, "Calabria")</f>
        <v>1959050</v>
      </c>
      <c r="G739" s="1">
        <f>Comuni__2[[#This Row],[Popolazione2011]]/Comuni__2[[#This Row],[POPOLAZIONE TOTALE DI OGNI REGIONE (CON FILTRO)]]</f>
        <v>6.2836578954084891E-4</v>
      </c>
      <c r="H739" t="str">
        <f>IF(Comuni__2[[#This Row],[Popolazione2011]]&gt;300000,"MAGGIORE","")</f>
        <v/>
      </c>
      <c r="J739">
        <v>7</v>
      </c>
      <c r="K739">
        <v>1076</v>
      </c>
      <c r="L739">
        <v>97</v>
      </c>
    </row>
    <row r="740" spans="1:12" x14ac:dyDescent="0.2">
      <c r="A740"/>
      <c r="B740"/>
      <c r="C740"/>
      <c r="D740"/>
      <c r="E740" s="2">
        <f>Comuni__2[[#This Row],[Popolazione2011]]/$D$7911</f>
        <v>2.0446601915279481E-5</v>
      </c>
      <c r="F740">
        <f>SUMIFS($D$2:$D$7909, $B$2:$B$7909, "Calabria")</f>
        <v>1959050</v>
      </c>
      <c r="G740" s="1">
        <f>Comuni__2[[#This Row],[Popolazione2011]]/Comuni__2[[#This Row],[POPOLAZIONE TOTALE DI OGNI REGIONE (CON FILTRO)]]</f>
        <v>6.2019856563130089E-4</v>
      </c>
      <c r="H740" t="str">
        <f>IF(Comuni__2[[#This Row],[Popolazione2011]]&gt;300000,"MAGGIORE","")</f>
        <v/>
      </c>
      <c r="J740">
        <v>8</v>
      </c>
      <c r="K740">
        <v>1088</v>
      </c>
      <c r="L740">
        <v>97</v>
      </c>
    </row>
    <row r="741" spans="1:12" x14ac:dyDescent="0.2">
      <c r="A741"/>
      <c r="B741"/>
      <c r="C741"/>
      <c r="D741"/>
      <c r="E741" s="2">
        <f>Comuni__2[[#This Row],[Popolazione2011]]/$D$7911</f>
        <v>2.0379287999509013E-5</v>
      </c>
      <c r="F741">
        <f>SUMIFS($D$2:$D$7909, $B$2:$B$7909, "Calabria")</f>
        <v>1959050</v>
      </c>
      <c r="G741" s="1">
        <f>Comuni__2[[#This Row],[Popolazione2011]]/Comuni__2[[#This Row],[POPOLAZIONE TOTALE DI OGNI REGIONE (CON FILTRO)]]</f>
        <v>6.1815675965391391E-4</v>
      </c>
      <c r="H741" t="str">
        <f>IF(Comuni__2[[#This Row],[Popolazione2011]]&gt;300000,"MAGGIORE","")</f>
        <v/>
      </c>
      <c r="J741">
        <v>8</v>
      </c>
      <c r="K741">
        <v>1089</v>
      </c>
      <c r="L741">
        <v>97</v>
      </c>
    </row>
    <row r="742" spans="1:12" x14ac:dyDescent="0.2">
      <c r="A742"/>
      <c r="B742"/>
      <c r="C742"/>
      <c r="D742"/>
      <c r="E742" s="2">
        <f>Comuni__2[[#This Row],[Popolazione2011]]/$D$7911</f>
        <v>2.0362459520566397E-5</v>
      </c>
      <c r="F742">
        <f>SUMIFS($D$2:$D$7909, $B$2:$B$7909, "Calabria")</f>
        <v>1959050</v>
      </c>
      <c r="G742" s="1">
        <f>Comuni__2[[#This Row],[Popolazione2011]]/Comuni__2[[#This Row],[POPOLAZIONE TOTALE DI OGNI REGIONE (CON FILTRO)]]</f>
        <v>6.1764630815956711E-4</v>
      </c>
      <c r="H742" t="str">
        <f>IF(Comuni__2[[#This Row],[Popolazione2011]]&gt;300000,"MAGGIORE","")</f>
        <v/>
      </c>
      <c r="J742">
        <v>10</v>
      </c>
      <c r="K742">
        <v>1089</v>
      </c>
      <c r="L742">
        <v>97</v>
      </c>
    </row>
    <row r="743" spans="1:12" x14ac:dyDescent="0.2">
      <c r="A743"/>
      <c r="B743"/>
      <c r="C743"/>
      <c r="D743"/>
      <c r="E743" s="2">
        <f>Comuni__2[[#This Row],[Popolazione2011]]/$D$7911</f>
        <v>2.0311974083738545E-5</v>
      </c>
      <c r="F743">
        <f>SUMIFS($D$2:$D$7909, $B$2:$B$7909, "Calabria")</f>
        <v>1959050</v>
      </c>
      <c r="G743" s="1">
        <f>Comuni__2[[#This Row],[Popolazione2011]]/Comuni__2[[#This Row],[POPOLAZIONE TOTALE DI OGNI REGIONE (CON FILTRO)]]</f>
        <v>6.1611495367652693E-4</v>
      </c>
      <c r="H743" t="str">
        <f>IF(Comuni__2[[#This Row],[Popolazione2011]]&gt;300000,"MAGGIORE","")</f>
        <v/>
      </c>
      <c r="J743">
        <v>10</v>
      </c>
      <c r="K743">
        <v>1090</v>
      </c>
      <c r="L743">
        <v>97</v>
      </c>
    </row>
    <row r="744" spans="1:12" x14ac:dyDescent="0.2">
      <c r="A744"/>
      <c r="B744"/>
      <c r="C744"/>
      <c r="D744"/>
      <c r="E744" s="2">
        <f>Comuni__2[[#This Row],[Popolazione2011]]/$D$7911</f>
        <v>2.0278317125853312E-5</v>
      </c>
      <c r="F744">
        <f>SUMIFS($D$2:$D$7909, $B$2:$B$7909, "Calabria")</f>
        <v>1959050</v>
      </c>
      <c r="G744" s="1">
        <f>Comuni__2[[#This Row],[Popolazione2011]]/Comuni__2[[#This Row],[POPOLAZIONE TOTALE DI OGNI REGIONE (CON FILTRO)]]</f>
        <v>6.1509405068783344E-4</v>
      </c>
      <c r="H744" t="str">
        <f>IF(Comuni__2[[#This Row],[Popolazione2011]]&gt;300000,"MAGGIORE","")</f>
        <v/>
      </c>
      <c r="J744">
        <v>9</v>
      </c>
      <c r="K744">
        <v>1091</v>
      </c>
      <c r="L744">
        <v>97</v>
      </c>
    </row>
    <row r="745" spans="1:12" x14ac:dyDescent="0.2">
      <c r="A745"/>
      <c r="B745"/>
      <c r="C745"/>
      <c r="D745"/>
      <c r="E745" s="2">
        <f>Comuni__2[[#This Row],[Popolazione2011]]/$D$7911</f>
        <v>1.9924919068058357E-5</v>
      </c>
      <c r="F745">
        <f>SUMIFS($D$2:$D$7909, $B$2:$B$7909, "Calabria")</f>
        <v>1959050</v>
      </c>
      <c r="G745" s="1">
        <f>Comuni__2[[#This Row],[Popolazione2011]]/Comuni__2[[#This Row],[POPOLAZIONE TOTALE DI OGNI REGIONE (CON FILTRO)]]</f>
        <v>6.0437456930655163E-4</v>
      </c>
      <c r="H745" t="str">
        <f>IF(Comuni__2[[#This Row],[Popolazione2011]]&gt;300000,"MAGGIORE","")</f>
        <v/>
      </c>
      <c r="J745">
        <v>9</v>
      </c>
      <c r="K745">
        <v>1091</v>
      </c>
      <c r="L745">
        <v>97</v>
      </c>
    </row>
    <row r="746" spans="1:12" x14ac:dyDescent="0.2">
      <c r="A746"/>
      <c r="B746"/>
      <c r="C746"/>
      <c r="D746"/>
      <c r="E746" s="2">
        <f>Comuni__2[[#This Row],[Popolazione2011]]/$D$7911</f>
        <v>1.9823948194402657E-5</v>
      </c>
      <c r="F746">
        <f>SUMIFS($D$2:$D$7909, $B$2:$B$7909, "Calabria")</f>
        <v>1959050</v>
      </c>
      <c r="G746" s="1">
        <f>Comuni__2[[#This Row],[Popolazione2011]]/Comuni__2[[#This Row],[POPOLAZIONE TOTALE DI OGNI REGIONE (CON FILTRO)]]</f>
        <v>6.0131186034047116E-4</v>
      </c>
      <c r="H746" t="str">
        <f>IF(Comuni__2[[#This Row],[Popolazione2011]]&gt;300000,"MAGGIORE","")</f>
        <v/>
      </c>
      <c r="J746">
        <v>9</v>
      </c>
      <c r="K746">
        <v>1097</v>
      </c>
      <c r="L746">
        <v>97</v>
      </c>
    </row>
    <row r="747" spans="1:12" x14ac:dyDescent="0.2">
      <c r="A747"/>
      <c r="B747"/>
      <c r="C747"/>
      <c r="D747"/>
      <c r="E747" s="2">
        <f>Comuni__2[[#This Row],[Popolazione2011]]/$D$7911</f>
        <v>1.9739805799689573E-5</v>
      </c>
      <c r="F747">
        <f>SUMIFS($D$2:$D$7909, $B$2:$B$7909, "Calabria")</f>
        <v>1959050</v>
      </c>
      <c r="G747" s="1">
        <f>Comuni__2[[#This Row],[Popolazione2011]]/Comuni__2[[#This Row],[POPOLAZIONE TOTALE DI OGNI REGIONE (CON FILTRO)]]</f>
        <v>5.9875960286873739E-4</v>
      </c>
      <c r="H747" t="str">
        <f>IF(Comuni__2[[#This Row],[Popolazione2011]]&gt;300000,"MAGGIORE","")</f>
        <v/>
      </c>
      <c r="J747">
        <v>9</v>
      </c>
      <c r="K747">
        <v>1100</v>
      </c>
      <c r="L747">
        <v>97</v>
      </c>
    </row>
    <row r="748" spans="1:12" x14ac:dyDescent="0.2">
      <c r="A748"/>
      <c r="B748"/>
      <c r="C748"/>
      <c r="D748"/>
      <c r="E748" s="2">
        <f>Comuni__2[[#This Row],[Popolazione2011]]/$D$7911</f>
        <v>1.9722977320746953E-5</v>
      </c>
      <c r="F748">
        <f>SUMIFS($D$2:$D$7909, $B$2:$B$7909, "Calabria")</f>
        <v>1959050</v>
      </c>
      <c r="G748" s="1">
        <f>Comuni__2[[#This Row],[Popolazione2011]]/Comuni__2[[#This Row],[POPOLAZIONE TOTALE DI OGNI REGIONE (CON FILTRO)]]</f>
        <v>5.9824915137439069E-4</v>
      </c>
      <c r="H748" t="str">
        <f>IF(Comuni__2[[#This Row],[Popolazione2011]]&gt;300000,"MAGGIORE","")</f>
        <v/>
      </c>
      <c r="J748">
        <v>8</v>
      </c>
      <c r="K748">
        <v>1105</v>
      </c>
      <c r="L748">
        <v>97</v>
      </c>
    </row>
    <row r="749" spans="1:12" x14ac:dyDescent="0.2">
      <c r="A749"/>
      <c r="B749"/>
      <c r="C749"/>
      <c r="D749"/>
      <c r="E749" s="2">
        <f>Comuni__2[[#This Row],[Popolazione2011]]/$D$7911</f>
        <v>1.9638834926033869E-5</v>
      </c>
      <c r="F749">
        <f>SUMIFS($D$2:$D$7909, $B$2:$B$7909, "Calabria")</f>
        <v>1959050</v>
      </c>
      <c r="G749" s="1">
        <f>Comuni__2[[#This Row],[Popolazione2011]]/Comuni__2[[#This Row],[POPOLAZIONE TOTALE DI OGNI REGIONE (CON FILTRO)]]</f>
        <v>5.9569689390265692E-4</v>
      </c>
      <c r="H749" t="str">
        <f>IF(Comuni__2[[#This Row],[Popolazione2011]]&gt;300000,"MAGGIORE","")</f>
        <v/>
      </c>
      <c r="J749">
        <v>9</v>
      </c>
      <c r="K749">
        <v>1105</v>
      </c>
      <c r="L749">
        <v>97</v>
      </c>
    </row>
    <row r="750" spans="1:12" x14ac:dyDescent="0.2">
      <c r="A750"/>
      <c r="B750"/>
      <c r="C750"/>
      <c r="D750"/>
      <c r="E750" s="2">
        <f>Comuni__2[[#This Row],[Popolazione2011]]/$D$7911</f>
        <v>1.9638834926033869E-5</v>
      </c>
      <c r="F750">
        <f>SUMIFS($D$2:$D$7909, $B$2:$B$7909, "Calabria")</f>
        <v>1959050</v>
      </c>
      <c r="G750" s="1">
        <f>Comuni__2[[#This Row],[Popolazione2011]]/Comuni__2[[#This Row],[POPOLAZIONE TOTALE DI OGNI REGIONE (CON FILTRO)]]</f>
        <v>5.9569689390265692E-4</v>
      </c>
      <c r="H750" t="str">
        <f>IF(Comuni__2[[#This Row],[Popolazione2011]]&gt;300000,"MAGGIORE","")</f>
        <v/>
      </c>
      <c r="J750">
        <v>10</v>
      </c>
      <c r="K750">
        <v>1105</v>
      </c>
      <c r="L750">
        <v>97</v>
      </c>
    </row>
    <row r="751" spans="1:12" x14ac:dyDescent="0.2">
      <c r="A751"/>
      <c r="B751"/>
      <c r="C751"/>
      <c r="D751"/>
      <c r="E751" s="2">
        <f>Comuni__2[[#This Row],[Popolazione2011]]/$D$7911</f>
        <v>1.9537864052378169E-5</v>
      </c>
      <c r="F751">
        <f>SUMIFS($D$2:$D$7909, $B$2:$B$7909, "Calabria")</f>
        <v>1959050</v>
      </c>
      <c r="G751" s="1">
        <f>Comuni__2[[#This Row],[Popolazione2011]]/Comuni__2[[#This Row],[POPOLAZIONE TOTALE DI OGNI REGIONE (CON FILTRO)]]</f>
        <v>5.9263418493657645E-4</v>
      </c>
      <c r="H751" t="str">
        <f>IF(Comuni__2[[#This Row],[Popolazione2011]]&gt;300000,"MAGGIORE","")</f>
        <v/>
      </c>
      <c r="J751">
        <v>9</v>
      </c>
      <c r="K751">
        <v>1106</v>
      </c>
      <c r="L751">
        <v>97</v>
      </c>
    </row>
    <row r="752" spans="1:12" x14ac:dyDescent="0.2">
      <c r="A752"/>
      <c r="B752"/>
      <c r="C752"/>
      <c r="D752"/>
      <c r="E752" s="2">
        <f>Comuni__2[[#This Row],[Popolazione2011]]/$D$7911</f>
        <v>1.9201294473525833E-5</v>
      </c>
      <c r="F752">
        <f>SUMIFS($D$2:$D$7909, $B$2:$B$7909, "Calabria")</f>
        <v>1959050</v>
      </c>
      <c r="G752" s="1">
        <f>Comuni__2[[#This Row],[Popolazione2011]]/Comuni__2[[#This Row],[POPOLAZIONE TOTALE DI OGNI REGIONE (CON FILTRO)]]</f>
        <v>5.8242515504964144E-4</v>
      </c>
      <c r="H752" t="str">
        <f>IF(Comuni__2[[#This Row],[Popolazione2011]]&gt;300000,"MAGGIORE","")</f>
        <v/>
      </c>
      <c r="J752">
        <v>11</v>
      </c>
      <c r="K752">
        <v>1106</v>
      </c>
      <c r="L752">
        <v>97</v>
      </c>
    </row>
    <row r="753" spans="1:12" x14ac:dyDescent="0.2">
      <c r="A753"/>
      <c r="B753"/>
      <c r="C753"/>
      <c r="D753"/>
      <c r="E753" s="2">
        <f>Comuni__2[[#This Row],[Popolazione2011]]/$D$7911</f>
        <v>1.9083495120927513E-5</v>
      </c>
      <c r="F753">
        <f>SUMIFS($D$2:$D$7909, $B$2:$B$7909, "Calabria")</f>
        <v>1959050</v>
      </c>
      <c r="G753" s="1">
        <f>Comuni__2[[#This Row],[Popolazione2011]]/Comuni__2[[#This Row],[POPOLAZIONE TOTALE DI OGNI REGIONE (CON FILTRO)]]</f>
        <v>5.7885199458921417E-4</v>
      </c>
      <c r="H753" t="str">
        <f>IF(Comuni__2[[#This Row],[Popolazione2011]]&gt;300000,"MAGGIORE","")</f>
        <v/>
      </c>
      <c r="J753">
        <v>11</v>
      </c>
      <c r="K753">
        <v>1120</v>
      </c>
      <c r="L753">
        <v>97</v>
      </c>
    </row>
    <row r="754" spans="1:12" x14ac:dyDescent="0.2">
      <c r="A754"/>
      <c r="B754"/>
      <c r="C754"/>
      <c r="D754"/>
      <c r="E754" s="2">
        <f>Comuni__2[[#This Row],[Popolazione2011]]/$D$7911</f>
        <v>1.9033009684099665E-5</v>
      </c>
      <c r="F754">
        <f>SUMIFS($D$2:$D$7909, $B$2:$B$7909, "Calabria")</f>
        <v>1959050</v>
      </c>
      <c r="G754" s="1">
        <f>Comuni__2[[#This Row],[Popolazione2011]]/Comuni__2[[#This Row],[POPOLAZIONE TOTALE DI OGNI REGIONE (CON FILTRO)]]</f>
        <v>5.7732064010617389E-4</v>
      </c>
      <c r="H754" t="str">
        <f>IF(Comuni__2[[#This Row],[Popolazione2011]]&gt;300000,"MAGGIORE","")</f>
        <v/>
      </c>
      <c r="J754">
        <v>12</v>
      </c>
      <c r="K754">
        <v>1129</v>
      </c>
      <c r="L754">
        <v>97</v>
      </c>
    </row>
    <row r="755" spans="1:12" x14ac:dyDescent="0.2">
      <c r="A755"/>
      <c r="B755"/>
      <c r="C755"/>
      <c r="D755"/>
      <c r="E755" s="2">
        <f>Comuni__2[[#This Row],[Popolazione2011]]/$D$7911</f>
        <v>1.8612297710534242E-5</v>
      </c>
      <c r="F755">
        <f>SUMIFS($D$2:$D$7909, $B$2:$B$7909, "Calabria")</f>
        <v>1959050</v>
      </c>
      <c r="G755" s="1">
        <f>Comuni__2[[#This Row],[Popolazione2011]]/Comuni__2[[#This Row],[POPOLAZIONE TOTALE DI OGNI REGIONE (CON FILTRO)]]</f>
        <v>5.6455935274750521E-4</v>
      </c>
      <c r="H755" t="str">
        <f>IF(Comuni__2[[#This Row],[Popolazione2011]]&gt;300000,"MAGGIORE","")</f>
        <v/>
      </c>
      <c r="J755">
        <v>12</v>
      </c>
      <c r="K755">
        <v>1129</v>
      </c>
      <c r="L755">
        <v>97</v>
      </c>
    </row>
    <row r="756" spans="1:12" x14ac:dyDescent="0.2">
      <c r="A756"/>
      <c r="B756"/>
      <c r="C756"/>
      <c r="D756"/>
      <c r="E756" s="2">
        <f>Comuni__2[[#This Row],[Popolazione2011]]/$D$7911</f>
        <v>1.846084140005069E-5</v>
      </c>
      <c r="F756">
        <f>SUMIFS($D$2:$D$7909, $B$2:$B$7909, "Calabria")</f>
        <v>1959050</v>
      </c>
      <c r="G756" s="1">
        <f>Comuni__2[[#This Row],[Popolazione2011]]/Comuni__2[[#This Row],[POPOLAZIONE TOTALE DI OGNI REGIONE (CON FILTRO)]]</f>
        <v>5.5996528929838445E-4</v>
      </c>
      <c r="H756" t="str">
        <f>IF(Comuni__2[[#This Row],[Popolazione2011]]&gt;300000,"MAGGIORE","")</f>
        <v/>
      </c>
      <c r="J756">
        <v>12</v>
      </c>
      <c r="K756">
        <v>1135</v>
      </c>
      <c r="L756">
        <v>97</v>
      </c>
    </row>
    <row r="757" spans="1:12" x14ac:dyDescent="0.2">
      <c r="A757"/>
      <c r="B757"/>
      <c r="C757"/>
      <c r="D757"/>
      <c r="E757" s="2">
        <f>Comuni__2[[#This Row],[Popolazione2011]]/$D$7911</f>
        <v>1.846084140005069E-5</v>
      </c>
      <c r="F757">
        <f>SUMIFS($D$2:$D$7909, $B$2:$B$7909, "Calabria")</f>
        <v>1959050</v>
      </c>
      <c r="G757" s="1">
        <f>Comuni__2[[#This Row],[Popolazione2011]]/Comuni__2[[#This Row],[POPOLAZIONE TOTALE DI OGNI REGIONE (CON FILTRO)]]</f>
        <v>5.5996528929838445E-4</v>
      </c>
      <c r="H757" t="str">
        <f>IF(Comuni__2[[#This Row],[Popolazione2011]]&gt;300000,"MAGGIORE","")</f>
        <v/>
      </c>
      <c r="J757">
        <v>12</v>
      </c>
      <c r="K757">
        <v>1135</v>
      </c>
      <c r="L757">
        <v>97</v>
      </c>
    </row>
    <row r="758" spans="1:12" x14ac:dyDescent="0.2">
      <c r="A758"/>
      <c r="B758"/>
      <c r="C758"/>
      <c r="D758"/>
      <c r="E758" s="2">
        <f>Comuni__2[[#This Row],[Popolazione2011]]/$D$7911</f>
        <v>1.846084140005069E-5</v>
      </c>
      <c r="F758">
        <f>SUMIFS($D$2:$D$7909, $B$2:$B$7909, "Calabria")</f>
        <v>1959050</v>
      </c>
      <c r="G758" s="1">
        <f>Comuni__2[[#This Row],[Popolazione2011]]/Comuni__2[[#This Row],[POPOLAZIONE TOTALE DI OGNI REGIONE (CON FILTRO)]]</f>
        <v>5.5996528929838445E-4</v>
      </c>
      <c r="H758" t="str">
        <f>IF(Comuni__2[[#This Row],[Popolazione2011]]&gt;300000,"MAGGIORE","")</f>
        <v/>
      </c>
      <c r="J758">
        <v>14</v>
      </c>
      <c r="K758">
        <v>1136</v>
      </c>
      <c r="L758">
        <v>97</v>
      </c>
    </row>
    <row r="759" spans="1:12" x14ac:dyDescent="0.2">
      <c r="A759"/>
      <c r="B759"/>
      <c r="C759"/>
      <c r="D759"/>
      <c r="E759" s="2">
        <f>Comuni__2[[#This Row],[Popolazione2011]]/$D$7911</f>
        <v>1.8208414215911438E-5</v>
      </c>
      <c r="F759">
        <f>SUMIFS($D$2:$D$7909, $B$2:$B$7909, "Calabria")</f>
        <v>1959050</v>
      </c>
      <c r="G759" s="1">
        <f>Comuni__2[[#This Row],[Popolazione2011]]/Comuni__2[[#This Row],[POPOLAZIONE TOTALE DI OGNI REGIONE (CON FILTRO)]]</f>
        <v>5.5230851688318323E-4</v>
      </c>
      <c r="H759" t="str">
        <f>IF(Comuni__2[[#This Row],[Popolazione2011]]&gt;300000,"MAGGIORE","")</f>
        <v/>
      </c>
      <c r="J759">
        <v>15</v>
      </c>
      <c r="K759">
        <v>1141</v>
      </c>
      <c r="L759">
        <v>97</v>
      </c>
    </row>
    <row r="760" spans="1:12" x14ac:dyDescent="0.2">
      <c r="A760"/>
      <c r="B760"/>
      <c r="C760"/>
      <c r="D760"/>
      <c r="E760" s="2">
        <f>Comuni__2[[#This Row],[Popolazione2011]]/$D$7911</f>
        <v>1.792233007388695E-5</v>
      </c>
      <c r="F760">
        <f>SUMIFS($D$2:$D$7909, $B$2:$B$7909, "Calabria")</f>
        <v>1959050</v>
      </c>
      <c r="G760" s="1">
        <f>Comuni__2[[#This Row],[Popolazione2011]]/Comuni__2[[#This Row],[POPOLAZIONE TOTALE DI OGNI REGIONE (CON FILTRO)]]</f>
        <v>5.436308414792884E-4</v>
      </c>
      <c r="H760" t="str">
        <f>IF(Comuni__2[[#This Row],[Popolazione2011]]&gt;300000,"MAGGIORE","")</f>
        <v/>
      </c>
      <c r="J760">
        <v>14</v>
      </c>
      <c r="K760">
        <v>1146</v>
      </c>
      <c r="L760">
        <v>97</v>
      </c>
    </row>
    <row r="761" spans="1:12" x14ac:dyDescent="0.2">
      <c r="A761"/>
      <c r="B761"/>
      <c r="C761"/>
      <c r="D761"/>
      <c r="E761" s="2">
        <f>Comuni__2[[#This Row],[Popolazione2011]]/$D$7911</f>
        <v>1.7636245931862466E-5</v>
      </c>
      <c r="F761">
        <f>SUMIFS($D$2:$D$7909, $B$2:$B$7909, "Calabria")</f>
        <v>1959050</v>
      </c>
      <c r="G761" s="1">
        <f>Comuni__2[[#This Row],[Popolazione2011]]/Comuni__2[[#This Row],[POPOLAZIONE TOTALE DI OGNI REGIONE (CON FILTRO)]]</f>
        <v>5.3495316607539368E-4</v>
      </c>
      <c r="H761" t="str">
        <f>IF(Comuni__2[[#This Row],[Popolazione2011]]&gt;300000,"MAGGIORE","")</f>
        <v/>
      </c>
      <c r="J761">
        <v>14</v>
      </c>
      <c r="K761">
        <v>1146</v>
      </c>
      <c r="L761">
        <v>97</v>
      </c>
    </row>
    <row r="762" spans="1:12" x14ac:dyDescent="0.2">
      <c r="A762"/>
      <c r="B762"/>
      <c r="C762"/>
      <c r="D762"/>
      <c r="E762" s="2">
        <f>Comuni__2[[#This Row],[Popolazione2011]]/$D$7911</f>
        <v>1.740064722666583E-5</v>
      </c>
      <c r="F762">
        <f>SUMIFS($D$2:$D$7909, $B$2:$B$7909, "Calabria")</f>
        <v>1959050</v>
      </c>
      <c r="G762" s="1">
        <f>Comuni__2[[#This Row],[Popolazione2011]]/Comuni__2[[#This Row],[POPOLAZIONE TOTALE DI OGNI REGIONE (CON FILTRO)]]</f>
        <v>5.2780684515453915E-4</v>
      </c>
      <c r="H762" t="str">
        <f>IF(Comuni__2[[#This Row],[Popolazione2011]]&gt;300000,"MAGGIORE","")</f>
        <v/>
      </c>
      <c r="J762">
        <v>14</v>
      </c>
      <c r="K762">
        <v>1146</v>
      </c>
      <c r="L762">
        <v>97</v>
      </c>
    </row>
    <row r="763" spans="1:12" x14ac:dyDescent="0.2">
      <c r="A763"/>
      <c r="B763"/>
      <c r="C763"/>
      <c r="D763"/>
      <c r="E763" s="2">
        <f>Comuni__2[[#This Row],[Popolazione2011]]/$D$7911</f>
        <v>1.718187700041181E-5</v>
      </c>
      <c r="F763">
        <f>SUMIFS($D$2:$D$7909, $B$2:$B$7909, "Calabria")</f>
        <v>1959050</v>
      </c>
      <c r="G763" s="1">
        <f>Comuni__2[[#This Row],[Popolazione2011]]/Comuni__2[[#This Row],[POPOLAZIONE TOTALE DI OGNI REGIONE (CON FILTRO)]]</f>
        <v>5.2117097572803141E-4</v>
      </c>
      <c r="H763" t="str">
        <f>IF(Comuni__2[[#This Row],[Popolazione2011]]&gt;300000,"MAGGIORE","")</f>
        <v/>
      </c>
      <c r="J763">
        <v>17</v>
      </c>
      <c r="K763">
        <v>1148</v>
      </c>
      <c r="L763">
        <v>97</v>
      </c>
    </row>
    <row r="764" spans="1:12" x14ac:dyDescent="0.2">
      <c r="A764"/>
      <c r="B764"/>
      <c r="C764"/>
      <c r="D764"/>
      <c r="E764" s="2">
        <f>Comuni__2[[#This Row],[Popolazione2011]]/$D$7911</f>
        <v>1.7148220042526578E-5</v>
      </c>
      <c r="F764">
        <f>SUMIFS($D$2:$D$7909, $B$2:$B$7909, "Calabria")</f>
        <v>1959050</v>
      </c>
      <c r="G764" s="1">
        <f>Comuni__2[[#This Row],[Popolazione2011]]/Comuni__2[[#This Row],[POPOLAZIONE TOTALE DI OGNI REGIONE (CON FILTRO)]]</f>
        <v>5.2015007273933792E-4</v>
      </c>
      <c r="H764" t="str">
        <f>IF(Comuni__2[[#This Row],[Popolazione2011]]&gt;300000,"MAGGIORE","")</f>
        <v/>
      </c>
      <c r="J764">
        <v>17</v>
      </c>
      <c r="K764">
        <v>1148</v>
      </c>
      <c r="L764">
        <v>97</v>
      </c>
    </row>
    <row r="765" spans="1:12" x14ac:dyDescent="0.2">
      <c r="A765"/>
      <c r="B765"/>
      <c r="C765"/>
      <c r="D765"/>
      <c r="E765" s="2">
        <f>Comuni__2[[#This Row],[Popolazione2011]]/$D$7911</f>
        <v>1.7114563084641342E-5</v>
      </c>
      <c r="F765">
        <f>SUMIFS($D$2:$D$7909, $B$2:$B$7909, "Calabria")</f>
        <v>1959050</v>
      </c>
      <c r="G765" s="1">
        <f>Comuni__2[[#This Row],[Popolazione2011]]/Comuni__2[[#This Row],[POPOLAZIONE TOTALE DI OGNI REGIONE (CON FILTRO)]]</f>
        <v>5.1912916975064443E-4</v>
      </c>
      <c r="H765" t="str">
        <f>IF(Comuni__2[[#This Row],[Popolazione2011]]&gt;300000,"MAGGIORE","")</f>
        <v/>
      </c>
      <c r="J765">
        <v>21</v>
      </c>
      <c r="K765">
        <v>1149</v>
      </c>
      <c r="L765">
        <v>97</v>
      </c>
    </row>
    <row r="766" spans="1:12" x14ac:dyDescent="0.2">
      <c r="A766"/>
      <c r="B766"/>
      <c r="C766"/>
      <c r="D766"/>
      <c r="E766" s="2">
        <f>Comuni__2[[#This Row],[Popolazione2011]]/$D$7911</f>
        <v>1.6996763732043026E-5</v>
      </c>
      <c r="F766">
        <f>SUMIFS($D$2:$D$7909, $B$2:$B$7909, "Calabria")</f>
        <v>1959050</v>
      </c>
      <c r="G766" s="1">
        <f>Comuni__2[[#This Row],[Popolazione2011]]/Comuni__2[[#This Row],[POPOLAZIONE TOTALE DI OGNI REGIONE (CON FILTRO)]]</f>
        <v>5.1555600929021716E-4</v>
      </c>
      <c r="H766" t="str">
        <f>IF(Comuni__2[[#This Row],[Popolazione2011]]&gt;300000,"MAGGIORE","")</f>
        <v/>
      </c>
      <c r="J766">
        <v>22</v>
      </c>
      <c r="K766">
        <v>1150</v>
      </c>
      <c r="L766">
        <v>97</v>
      </c>
    </row>
    <row r="767" spans="1:12" x14ac:dyDescent="0.2">
      <c r="A767"/>
      <c r="B767"/>
      <c r="C767"/>
      <c r="D767"/>
      <c r="E767" s="2">
        <f>Comuni__2[[#This Row],[Popolazione2011]]/$D$7911</f>
        <v>1.696310677415779E-5</v>
      </c>
      <c r="F767">
        <f>SUMIFS($D$2:$D$7909, $B$2:$B$7909, "Calabria")</f>
        <v>1959050</v>
      </c>
      <c r="G767" s="1">
        <f>Comuni__2[[#This Row],[Popolazione2011]]/Comuni__2[[#This Row],[POPOLAZIONE TOTALE DI OGNI REGIONE (CON FILTRO)]]</f>
        <v>5.1453510630152367E-4</v>
      </c>
      <c r="H767" t="str">
        <f>IF(Comuni__2[[#This Row],[Popolazione2011]]&gt;300000,"MAGGIORE","")</f>
        <v/>
      </c>
      <c r="J767">
        <v>21</v>
      </c>
      <c r="K767">
        <v>1158</v>
      </c>
      <c r="L767">
        <v>97</v>
      </c>
    </row>
    <row r="768" spans="1:12" x14ac:dyDescent="0.2">
      <c r="A768"/>
      <c r="B768"/>
      <c r="C768"/>
      <c r="D768"/>
      <c r="E768" s="2">
        <f>Comuni__2[[#This Row],[Popolazione2011]]/$D$7911</f>
        <v>1.6845307421559474E-5</v>
      </c>
      <c r="F768">
        <f>SUMIFS($D$2:$D$7909, $B$2:$B$7909, "Calabria")</f>
        <v>1959050</v>
      </c>
      <c r="G768" s="1">
        <f>Comuni__2[[#This Row],[Popolazione2011]]/Comuni__2[[#This Row],[POPOLAZIONE TOTALE DI OGNI REGIONE (CON FILTRO)]]</f>
        <v>5.1096194584109641E-4</v>
      </c>
      <c r="H768" t="str">
        <f>IF(Comuni__2[[#This Row],[Popolazione2011]]&gt;300000,"MAGGIORE","")</f>
        <v/>
      </c>
      <c r="J768">
        <v>21</v>
      </c>
      <c r="K768">
        <v>1167</v>
      </c>
      <c r="L768">
        <v>97</v>
      </c>
    </row>
    <row r="769" spans="1:12" x14ac:dyDescent="0.2">
      <c r="A769"/>
      <c r="B769"/>
      <c r="C769"/>
      <c r="D769"/>
      <c r="E769" s="2">
        <f>Comuni__2[[#This Row],[Popolazione2011]]/$D$7911</f>
        <v>1.676116502684639E-5</v>
      </c>
      <c r="F769">
        <f>SUMIFS($D$2:$D$7909, $B$2:$B$7909, "Calabria")</f>
        <v>1959050</v>
      </c>
      <c r="G769" s="1">
        <f>Comuni__2[[#This Row],[Popolazione2011]]/Comuni__2[[#This Row],[POPOLAZIONE TOTALE DI OGNI REGIONE (CON FILTRO)]]</f>
        <v>5.0840968836936274E-4</v>
      </c>
      <c r="H769" t="str">
        <f>IF(Comuni__2[[#This Row],[Popolazione2011]]&gt;300000,"MAGGIORE","")</f>
        <v/>
      </c>
      <c r="J769">
        <v>20</v>
      </c>
      <c r="K769">
        <v>1167</v>
      </c>
      <c r="L769">
        <v>97</v>
      </c>
    </row>
    <row r="770" spans="1:12" x14ac:dyDescent="0.2">
      <c r="A770"/>
      <c r="B770"/>
      <c r="C770"/>
      <c r="D770"/>
      <c r="E770" s="2">
        <f>Comuni__2[[#This Row],[Popolazione2011]]/$D$7911</f>
        <v>1.6592880237420218E-5</v>
      </c>
      <c r="F770">
        <f>SUMIFS($D$2:$D$7909, $B$2:$B$7909, "Calabria")</f>
        <v>1959050</v>
      </c>
      <c r="G770" s="1">
        <f>Comuni__2[[#This Row],[Popolazione2011]]/Comuni__2[[#This Row],[POPOLAZIONE TOTALE DI OGNI REGIONE (CON FILTRO)]]</f>
        <v>5.0330517342589518E-4</v>
      </c>
      <c r="H770" t="str">
        <f>IF(Comuni__2[[#This Row],[Popolazione2011]]&gt;300000,"MAGGIORE","")</f>
        <v/>
      </c>
      <c r="J770">
        <v>20</v>
      </c>
      <c r="K770">
        <v>1173</v>
      </c>
      <c r="L770">
        <v>98</v>
      </c>
    </row>
    <row r="771" spans="1:12" x14ac:dyDescent="0.2">
      <c r="A771"/>
      <c r="B771"/>
      <c r="C771"/>
      <c r="D771"/>
      <c r="E771" s="2">
        <f>Comuni__2[[#This Row],[Popolazione2011]]/$D$7911</f>
        <v>1.6475080884821902E-5</v>
      </c>
      <c r="F771">
        <f>SUMIFS($D$2:$D$7909, $B$2:$B$7909, "Calabria")</f>
        <v>1959050</v>
      </c>
      <c r="G771" s="1">
        <f>Comuni__2[[#This Row],[Popolazione2011]]/Comuni__2[[#This Row],[POPOLAZIONE TOTALE DI OGNI REGIONE (CON FILTRO)]]</f>
        <v>4.9973201296546791E-4</v>
      </c>
      <c r="H771" t="str">
        <f>IF(Comuni__2[[#This Row],[Popolazione2011]]&gt;300000,"MAGGIORE","")</f>
        <v/>
      </c>
      <c r="J771">
        <v>25</v>
      </c>
      <c r="K771">
        <v>1176</v>
      </c>
      <c r="L771">
        <v>98</v>
      </c>
    </row>
    <row r="772" spans="1:12" x14ac:dyDescent="0.2">
      <c r="A772"/>
      <c r="B772"/>
      <c r="C772"/>
      <c r="D772"/>
      <c r="E772" s="2">
        <f>Comuni__2[[#This Row],[Popolazione2011]]/$D$7911</f>
        <v>1.642459544799405E-5</v>
      </c>
      <c r="F772">
        <f>SUMIFS($D$2:$D$7909, $B$2:$B$7909, "Calabria")</f>
        <v>1959050</v>
      </c>
      <c r="G772" s="1">
        <f>Comuni__2[[#This Row],[Popolazione2011]]/Comuni__2[[#This Row],[POPOLAZIONE TOTALE DI OGNI REGIONE (CON FILTRO)]]</f>
        <v>4.9820065848242773E-4</v>
      </c>
      <c r="H772" t="str">
        <f>IF(Comuni__2[[#This Row],[Popolazione2011]]&gt;300000,"MAGGIORE","")</f>
        <v/>
      </c>
      <c r="J772">
        <v>30</v>
      </c>
      <c r="K772">
        <v>1187</v>
      </c>
      <c r="L772">
        <v>98</v>
      </c>
    </row>
    <row r="773" spans="1:12" x14ac:dyDescent="0.2">
      <c r="A773"/>
      <c r="B773"/>
      <c r="C773"/>
      <c r="D773"/>
      <c r="E773" s="2">
        <f>Comuni__2[[#This Row],[Popolazione2011]]/$D$7911</f>
        <v>1.6121682827026946E-5</v>
      </c>
      <c r="F773">
        <f>SUMIFS($D$2:$D$7909, $B$2:$B$7909, "Calabria")</f>
        <v>1959050</v>
      </c>
      <c r="G773" s="1">
        <f>Comuni__2[[#This Row],[Popolazione2011]]/Comuni__2[[#This Row],[POPOLAZIONE TOTALE DI OGNI REGIONE (CON FILTRO)]]</f>
        <v>4.8901253158418622E-4</v>
      </c>
      <c r="H773" t="str">
        <f>IF(Comuni__2[[#This Row],[Popolazione2011]]&gt;300000,"MAGGIORE","")</f>
        <v/>
      </c>
      <c r="J773">
        <v>30</v>
      </c>
      <c r="K773">
        <v>1194</v>
      </c>
      <c r="L773">
        <v>98</v>
      </c>
    </row>
    <row r="774" spans="1:12" x14ac:dyDescent="0.2">
      <c r="A774"/>
      <c r="B774"/>
      <c r="C774"/>
      <c r="D774"/>
      <c r="E774" s="2">
        <f>Comuni__2[[#This Row],[Popolazione2011]]/$D$7911</f>
        <v>1.6088025869141714E-5</v>
      </c>
      <c r="F774">
        <f>SUMIFS($D$2:$D$7909, $B$2:$B$7909, "Calabria")</f>
        <v>1959050</v>
      </c>
      <c r="G774" s="1">
        <f>Comuni__2[[#This Row],[Popolazione2011]]/Comuni__2[[#This Row],[POPOLAZIONE TOTALE DI OGNI REGIONE (CON FILTRO)]]</f>
        <v>4.8799162859549273E-4</v>
      </c>
      <c r="H774" t="str">
        <f>IF(Comuni__2[[#This Row],[Popolazione2011]]&gt;300000,"MAGGIORE","")</f>
        <v/>
      </c>
      <c r="J774">
        <v>29</v>
      </c>
      <c r="K774">
        <v>1207</v>
      </c>
      <c r="L774">
        <v>98</v>
      </c>
    </row>
    <row r="775" spans="1:12" x14ac:dyDescent="0.2">
      <c r="A775"/>
      <c r="B775"/>
      <c r="C775"/>
      <c r="D775"/>
      <c r="E775" s="2">
        <f>Comuni__2[[#This Row],[Popolazione2011]]/$D$7911</f>
        <v>1.6088025869141714E-5</v>
      </c>
      <c r="F775">
        <f>SUMIFS($D$2:$D$7909, $B$2:$B$7909, "Calabria")</f>
        <v>1959050</v>
      </c>
      <c r="G775" s="1">
        <f>Comuni__2[[#This Row],[Popolazione2011]]/Comuni__2[[#This Row],[POPOLAZIONE TOTALE DI OGNI REGIONE (CON FILTRO)]]</f>
        <v>4.8799162859549273E-4</v>
      </c>
      <c r="H775" t="str">
        <f>IF(Comuni__2[[#This Row],[Popolazione2011]]&gt;300000,"MAGGIORE","")</f>
        <v/>
      </c>
      <c r="J775">
        <v>31</v>
      </c>
      <c r="K775">
        <v>1207</v>
      </c>
      <c r="L775">
        <v>98</v>
      </c>
    </row>
    <row r="776" spans="1:12" x14ac:dyDescent="0.2">
      <c r="A776"/>
      <c r="B776"/>
      <c r="C776"/>
      <c r="D776"/>
      <c r="E776" s="2">
        <f>Comuni__2[[#This Row],[Popolazione2011]]/$D$7911</f>
        <v>1.5869255642887694E-5</v>
      </c>
      <c r="F776">
        <f>SUMIFS($D$2:$D$7909, $B$2:$B$7909, "Calabria")</f>
        <v>1959050</v>
      </c>
      <c r="G776" s="1">
        <f>Comuni__2[[#This Row],[Popolazione2011]]/Comuni__2[[#This Row],[POPOLAZIONE TOTALE DI OGNI REGIONE (CON FILTRO)]]</f>
        <v>4.8135575916898499E-4</v>
      </c>
      <c r="H776" t="str">
        <f>IF(Comuni__2[[#This Row],[Popolazione2011]]&gt;300000,"MAGGIORE","")</f>
        <v/>
      </c>
      <c r="J776">
        <v>31</v>
      </c>
      <c r="K776">
        <v>1215</v>
      </c>
      <c r="L776">
        <v>98</v>
      </c>
    </row>
    <row r="777" spans="1:12" x14ac:dyDescent="0.2">
      <c r="A777"/>
      <c r="B777"/>
      <c r="C777"/>
      <c r="D777"/>
      <c r="E777" s="2">
        <f>Comuni__2[[#This Row],[Popolazione2011]]/$D$7911</f>
        <v>1.5768284769231994E-5</v>
      </c>
      <c r="F777">
        <f>SUMIFS($D$2:$D$7909, $B$2:$B$7909, "Calabria")</f>
        <v>1959050</v>
      </c>
      <c r="G777" s="1">
        <f>Comuni__2[[#This Row],[Popolazione2011]]/Comuni__2[[#This Row],[POPOLAZIONE TOTALE DI OGNI REGIONE (CON FILTRO)]]</f>
        <v>4.7829305020290447E-4</v>
      </c>
      <c r="H777" t="str">
        <f>IF(Comuni__2[[#This Row],[Popolazione2011]]&gt;300000,"MAGGIORE","")</f>
        <v/>
      </c>
      <c r="J777">
        <v>31</v>
      </c>
      <c r="K777">
        <v>1215</v>
      </c>
      <c r="L777">
        <v>98</v>
      </c>
    </row>
    <row r="778" spans="1:12" x14ac:dyDescent="0.2">
      <c r="A778"/>
      <c r="B778"/>
      <c r="C778"/>
      <c r="D778"/>
      <c r="E778" s="2">
        <f>Comuni__2[[#This Row],[Popolazione2011]]/$D$7911</f>
        <v>1.5633656937691058E-5</v>
      </c>
      <c r="F778">
        <f>SUMIFS($D$2:$D$7909, $B$2:$B$7909, "Calabria")</f>
        <v>1959050</v>
      </c>
      <c r="G778" s="1">
        <f>Comuni__2[[#This Row],[Popolazione2011]]/Comuni__2[[#This Row],[POPOLAZIONE TOTALE DI OGNI REGIONE (CON FILTRO)]]</f>
        <v>4.7420943824813045E-4</v>
      </c>
      <c r="H778" t="str">
        <f>IF(Comuni__2[[#This Row],[Popolazione2011]]&gt;300000,"MAGGIORE","")</f>
        <v/>
      </c>
      <c r="J778">
        <v>32</v>
      </c>
      <c r="K778">
        <v>1222</v>
      </c>
      <c r="L778">
        <v>98</v>
      </c>
    </row>
    <row r="779" spans="1:12" x14ac:dyDescent="0.2">
      <c r="A779"/>
      <c r="B779"/>
      <c r="C779"/>
      <c r="D779"/>
      <c r="E779" s="2">
        <f>Comuni__2[[#This Row],[Popolazione2011]]/$D$7911</f>
        <v>1.5414886711437039E-5</v>
      </c>
      <c r="F779">
        <f>SUMIFS($D$2:$D$7909, $B$2:$B$7909, "Calabria")</f>
        <v>1959050</v>
      </c>
      <c r="G779" s="1">
        <f>Comuni__2[[#This Row],[Popolazione2011]]/Comuni__2[[#This Row],[POPOLAZIONE TOTALE DI OGNI REGIONE (CON FILTRO)]]</f>
        <v>4.6757356882162272E-4</v>
      </c>
      <c r="H779" t="str">
        <f>IF(Comuni__2[[#This Row],[Popolazione2011]]&gt;300000,"MAGGIORE","")</f>
        <v/>
      </c>
      <c r="J779">
        <v>31</v>
      </c>
      <c r="K779">
        <v>1245</v>
      </c>
      <c r="L779">
        <v>98</v>
      </c>
    </row>
    <row r="780" spans="1:12" x14ac:dyDescent="0.2">
      <c r="A780"/>
      <c r="B780"/>
      <c r="C780"/>
      <c r="D780"/>
      <c r="E780" s="2">
        <f>Comuni__2[[#This Row],[Popolazione2011]]/$D$7911</f>
        <v>1.5381229753551806E-5</v>
      </c>
      <c r="F780">
        <f>SUMIFS($D$2:$D$7909, $B$2:$B$7909, "Calabria")</f>
        <v>1959050</v>
      </c>
      <c r="G780" s="1">
        <f>Comuni__2[[#This Row],[Popolazione2011]]/Comuni__2[[#This Row],[POPOLAZIONE TOTALE DI OGNI REGIONE (CON FILTRO)]]</f>
        <v>4.6655266583292923E-4</v>
      </c>
      <c r="H780" t="str">
        <f>IF(Comuni__2[[#This Row],[Popolazione2011]]&gt;300000,"MAGGIORE","")</f>
        <v/>
      </c>
      <c r="J780">
        <v>33</v>
      </c>
      <c r="K780">
        <v>1250</v>
      </c>
      <c r="L780">
        <v>98</v>
      </c>
    </row>
    <row r="781" spans="1:12" x14ac:dyDescent="0.2">
      <c r="A781"/>
      <c r="B781"/>
      <c r="C781"/>
      <c r="D781"/>
      <c r="E781" s="2">
        <f>Comuni__2[[#This Row],[Popolazione2011]]/$D$7911</f>
        <v>1.5111974090469937E-5</v>
      </c>
      <c r="F781">
        <f>SUMIFS($D$2:$D$7909, $B$2:$B$7909, "Calabria")</f>
        <v>1959050</v>
      </c>
      <c r="G781" s="1">
        <f>Comuni__2[[#This Row],[Popolazione2011]]/Comuni__2[[#This Row],[POPOLAZIONE TOTALE DI OGNI REGIONE (CON FILTRO)]]</f>
        <v>4.5838544192338125E-4</v>
      </c>
      <c r="H781" t="str">
        <f>IF(Comuni__2[[#This Row],[Popolazione2011]]&gt;300000,"MAGGIORE","")</f>
        <v/>
      </c>
      <c r="J781">
        <v>30</v>
      </c>
      <c r="K781">
        <v>1254</v>
      </c>
      <c r="L781">
        <v>98</v>
      </c>
    </row>
    <row r="782" spans="1:12" x14ac:dyDescent="0.2">
      <c r="A782"/>
      <c r="B782"/>
      <c r="C782"/>
      <c r="D782"/>
      <c r="E782" s="2">
        <f>Comuni__2[[#This Row],[Popolazione2011]]/$D$7911</f>
        <v>1.4943689301043769E-5</v>
      </c>
      <c r="F782">
        <f>SUMIFS($D$2:$D$7909, $B$2:$B$7909, "Calabria")</f>
        <v>1959050</v>
      </c>
      <c r="G782" s="1">
        <f>Comuni__2[[#This Row],[Popolazione2011]]/Comuni__2[[#This Row],[POPOLAZIONE TOTALE DI OGNI REGIONE (CON FILTRO)]]</f>
        <v>4.5328092697991375E-4</v>
      </c>
      <c r="H782" t="str">
        <f>IF(Comuni__2[[#This Row],[Popolazione2011]]&gt;300000,"MAGGIORE","")</f>
        <v/>
      </c>
      <c r="J782">
        <v>30</v>
      </c>
      <c r="K782">
        <v>1254</v>
      </c>
      <c r="L782">
        <v>98</v>
      </c>
    </row>
    <row r="783" spans="1:12" x14ac:dyDescent="0.2">
      <c r="A783"/>
      <c r="B783"/>
      <c r="C783"/>
      <c r="D783"/>
      <c r="E783" s="2">
        <f>Comuni__2[[#This Row],[Popolazione2011]]/$D$7911</f>
        <v>1.4792232990560217E-5</v>
      </c>
      <c r="F783">
        <f>SUMIFS($D$2:$D$7909, $B$2:$B$7909, "Calabria")</f>
        <v>1959050</v>
      </c>
      <c r="G783" s="1">
        <f>Comuni__2[[#This Row],[Popolazione2011]]/Comuni__2[[#This Row],[POPOLAZIONE TOTALE DI OGNI REGIONE (CON FILTRO)]]</f>
        <v>4.4868686353079299E-4</v>
      </c>
      <c r="H783" t="str">
        <f>IF(Comuni__2[[#This Row],[Popolazione2011]]&gt;300000,"MAGGIORE","")</f>
        <v/>
      </c>
      <c r="J783">
        <v>28</v>
      </c>
      <c r="K783">
        <v>1266</v>
      </c>
      <c r="L783">
        <v>98</v>
      </c>
    </row>
    <row r="784" spans="1:12" x14ac:dyDescent="0.2">
      <c r="A784"/>
      <c r="B784"/>
      <c r="C784"/>
      <c r="D784"/>
      <c r="E784" s="2">
        <f>Comuni__2[[#This Row],[Popolazione2011]]/$D$7911</f>
        <v>1.4775404511617599E-5</v>
      </c>
      <c r="F784">
        <f>SUMIFS($D$2:$D$7909, $B$2:$B$7909, "Calabria")</f>
        <v>1959050</v>
      </c>
      <c r="G784" s="1">
        <f>Comuni__2[[#This Row],[Popolazione2011]]/Comuni__2[[#This Row],[POPOLAZIONE TOTALE DI OGNI REGIONE (CON FILTRO)]]</f>
        <v>4.4817641203644625E-4</v>
      </c>
      <c r="H784" t="str">
        <f>IF(Comuni__2[[#This Row],[Popolazione2011]]&gt;300000,"MAGGIORE","")</f>
        <v/>
      </c>
      <c r="J784">
        <v>31</v>
      </c>
      <c r="K784">
        <v>1267</v>
      </c>
      <c r="L784">
        <v>98</v>
      </c>
    </row>
    <row r="785" spans="1:12" x14ac:dyDescent="0.2">
      <c r="A785"/>
      <c r="B785"/>
      <c r="C785"/>
      <c r="D785"/>
      <c r="E785" s="2">
        <f>Comuni__2[[#This Row],[Popolazione2011]]/$D$7911</f>
        <v>1.4657605159019281E-5</v>
      </c>
      <c r="F785">
        <f>SUMIFS($D$2:$D$7909, $B$2:$B$7909, "Calabria")</f>
        <v>1959050</v>
      </c>
      <c r="G785" s="1">
        <f>Comuni__2[[#This Row],[Popolazione2011]]/Comuni__2[[#This Row],[POPOLAZIONE TOTALE DI OGNI REGIONE (CON FILTRO)]]</f>
        <v>4.4460325157601898E-4</v>
      </c>
      <c r="H785" t="str">
        <f>IF(Comuni__2[[#This Row],[Popolazione2011]]&gt;300000,"MAGGIORE","")</f>
        <v/>
      </c>
      <c r="J785">
        <v>34</v>
      </c>
      <c r="K785">
        <v>1273</v>
      </c>
      <c r="L785">
        <v>98</v>
      </c>
    </row>
    <row r="786" spans="1:12" x14ac:dyDescent="0.2">
      <c r="A786"/>
      <c r="B786"/>
      <c r="C786"/>
      <c r="D786"/>
      <c r="E786" s="2">
        <f>Comuni__2[[#This Row],[Popolazione2011]]/$D$7911</f>
        <v>1.4657605159019281E-5</v>
      </c>
      <c r="F786">
        <f>SUMIFS($D$2:$D$7909, $B$2:$B$7909, "Calabria")</f>
        <v>1959050</v>
      </c>
      <c r="G786" s="1">
        <f>Comuni__2[[#This Row],[Popolazione2011]]/Comuni__2[[#This Row],[POPOLAZIONE TOTALE DI OGNI REGIONE (CON FILTRO)]]</f>
        <v>4.4460325157601898E-4</v>
      </c>
      <c r="H786" t="str">
        <f>IF(Comuni__2[[#This Row],[Popolazione2011]]&gt;300000,"MAGGIORE","")</f>
        <v/>
      </c>
      <c r="J786">
        <v>34</v>
      </c>
      <c r="K786">
        <v>1278</v>
      </c>
      <c r="L786">
        <v>98</v>
      </c>
    </row>
    <row r="787" spans="1:12" x14ac:dyDescent="0.2">
      <c r="A787"/>
      <c r="B787"/>
      <c r="C787"/>
      <c r="D787"/>
      <c r="E787" s="2">
        <f>Comuni__2[[#This Row],[Popolazione2011]]/$D$7911</f>
        <v>1.4438834932765263E-5</v>
      </c>
      <c r="F787">
        <f>SUMIFS($D$2:$D$7909, $B$2:$B$7909, "Calabria")</f>
        <v>1959050</v>
      </c>
      <c r="G787" s="1">
        <f>Comuni__2[[#This Row],[Popolazione2011]]/Comuni__2[[#This Row],[POPOLAZIONE TOTALE DI OGNI REGIONE (CON FILTRO)]]</f>
        <v>4.3796738214951124E-4</v>
      </c>
      <c r="H787" t="str">
        <f>IF(Comuni__2[[#This Row],[Popolazione2011]]&gt;300000,"MAGGIORE","")</f>
        <v/>
      </c>
      <c r="J787">
        <v>33</v>
      </c>
      <c r="K787">
        <v>1280</v>
      </c>
      <c r="L787">
        <v>98</v>
      </c>
    </row>
    <row r="788" spans="1:12" x14ac:dyDescent="0.2">
      <c r="A788"/>
      <c r="B788"/>
      <c r="C788"/>
      <c r="D788"/>
      <c r="E788" s="2">
        <f>Comuni__2[[#This Row],[Popolazione2011]]/$D$7911</f>
        <v>1.4119093832855543E-5</v>
      </c>
      <c r="F788">
        <f>SUMIFS($D$2:$D$7909, $B$2:$B$7909, "Calabria")</f>
        <v>1959050</v>
      </c>
      <c r="G788" s="1">
        <f>Comuni__2[[#This Row],[Popolazione2011]]/Comuni__2[[#This Row],[POPOLAZIONE TOTALE DI OGNI REGIONE (CON FILTRO)]]</f>
        <v>4.2826880375692298E-4</v>
      </c>
      <c r="H788" t="str">
        <f>IF(Comuni__2[[#This Row],[Popolazione2011]]&gt;300000,"MAGGIORE","")</f>
        <v/>
      </c>
      <c r="J788">
        <v>31</v>
      </c>
      <c r="K788">
        <v>1284</v>
      </c>
      <c r="L788">
        <v>98</v>
      </c>
    </row>
    <row r="789" spans="1:12" x14ac:dyDescent="0.2">
      <c r="A789"/>
      <c r="B789"/>
      <c r="C789"/>
      <c r="D789"/>
      <c r="E789" s="2">
        <f>Comuni__2[[#This Row],[Popolazione2011]]/$D$7911</f>
        <v>1.4085436874970309E-5</v>
      </c>
      <c r="F789">
        <f>SUMIFS($D$2:$D$7909, $B$2:$B$7909, "Calabria")</f>
        <v>1959050</v>
      </c>
      <c r="G789" s="1">
        <f>Comuni__2[[#This Row],[Popolazione2011]]/Comuni__2[[#This Row],[POPOLAZIONE TOTALE DI OGNI REGIONE (CON FILTRO)]]</f>
        <v>4.2724790076822949E-4</v>
      </c>
      <c r="H789" t="str">
        <f>IF(Comuni__2[[#This Row],[Popolazione2011]]&gt;300000,"MAGGIORE","")</f>
        <v/>
      </c>
      <c r="J789">
        <v>33</v>
      </c>
      <c r="K789">
        <v>1298</v>
      </c>
      <c r="L789">
        <v>98</v>
      </c>
    </row>
    <row r="790" spans="1:12" x14ac:dyDescent="0.2">
      <c r="A790"/>
      <c r="B790"/>
      <c r="C790"/>
      <c r="D790"/>
      <c r="E790" s="2">
        <f>Comuni__2[[#This Row],[Popolazione2011]]/$D$7911</f>
        <v>1.3967637522371991E-5</v>
      </c>
      <c r="F790">
        <f>SUMIFS($D$2:$D$7909, $B$2:$B$7909, "Calabria")</f>
        <v>1959050</v>
      </c>
      <c r="G790" s="1">
        <f>Comuni__2[[#This Row],[Popolazione2011]]/Comuni__2[[#This Row],[POPOLAZIONE TOTALE DI OGNI REGIONE (CON FILTRO)]]</f>
        <v>4.2367474030780223E-4</v>
      </c>
      <c r="H790" t="str">
        <f>IF(Comuni__2[[#This Row],[Popolazione2011]]&gt;300000,"MAGGIORE","")</f>
        <v/>
      </c>
      <c r="J790">
        <v>35</v>
      </c>
      <c r="K790">
        <v>1300</v>
      </c>
      <c r="L790">
        <v>98</v>
      </c>
    </row>
    <row r="791" spans="1:12" x14ac:dyDescent="0.2">
      <c r="A791"/>
      <c r="B791"/>
      <c r="C791"/>
      <c r="D791"/>
      <c r="E791" s="2">
        <f>Comuni__2[[#This Row],[Popolazione2011]]/$D$7911</f>
        <v>1.3917152085544139E-5</v>
      </c>
      <c r="F791">
        <f>SUMIFS($D$2:$D$7909, $B$2:$B$7909, "Calabria")</f>
        <v>1959050</v>
      </c>
      <c r="G791" s="1">
        <f>Comuni__2[[#This Row],[Popolazione2011]]/Comuni__2[[#This Row],[POPOLAZIONE TOTALE DI OGNI REGIONE (CON FILTRO)]]</f>
        <v>4.2214338582476199E-4</v>
      </c>
      <c r="H791" t="str">
        <f>IF(Comuni__2[[#This Row],[Popolazione2011]]&gt;300000,"MAGGIORE","")</f>
        <v/>
      </c>
      <c r="J791">
        <v>32</v>
      </c>
      <c r="K791">
        <v>1308</v>
      </c>
      <c r="L791">
        <v>100</v>
      </c>
    </row>
    <row r="792" spans="1:12" x14ac:dyDescent="0.2">
      <c r="A792"/>
      <c r="B792"/>
      <c r="C792"/>
      <c r="D792"/>
      <c r="E792" s="2">
        <f>Comuni__2[[#This Row],[Popolazione2011]]/$D$7911</f>
        <v>1.3664724901404887E-5</v>
      </c>
      <c r="F792">
        <f>SUMIFS($D$2:$D$7909, $B$2:$B$7909, "Calabria")</f>
        <v>1959050</v>
      </c>
      <c r="G792" s="1">
        <f>Comuni__2[[#This Row],[Popolazione2011]]/Comuni__2[[#This Row],[POPOLAZIONE TOTALE DI OGNI REGIONE (CON FILTRO)]]</f>
        <v>4.1448661340956076E-4</v>
      </c>
      <c r="H792" t="str">
        <f>IF(Comuni__2[[#This Row],[Popolazione2011]]&gt;300000,"MAGGIORE","")</f>
        <v/>
      </c>
      <c r="J792">
        <v>37</v>
      </c>
      <c r="K792">
        <v>1308</v>
      </c>
      <c r="L792">
        <v>100</v>
      </c>
    </row>
    <row r="793" spans="1:12" x14ac:dyDescent="0.2">
      <c r="A793"/>
      <c r="B793"/>
      <c r="C793"/>
      <c r="D793"/>
      <c r="E793" s="2">
        <f>Comuni__2[[#This Row],[Popolazione2011]]/$D$7911</f>
        <v>1.3597410985634419E-5</v>
      </c>
      <c r="F793">
        <f>SUMIFS($D$2:$D$7909, $B$2:$B$7909, "Calabria")</f>
        <v>1959050</v>
      </c>
      <c r="G793" s="1">
        <f>Comuni__2[[#This Row],[Popolazione2011]]/Comuni__2[[#This Row],[POPOLAZIONE TOTALE DI OGNI REGIONE (CON FILTRO)]]</f>
        <v>4.1244480743217373E-4</v>
      </c>
      <c r="H793" t="str">
        <f>IF(Comuni__2[[#This Row],[Popolazione2011]]&gt;300000,"MAGGIORE","")</f>
        <v/>
      </c>
      <c r="J793">
        <v>38</v>
      </c>
      <c r="K793">
        <v>1311</v>
      </c>
      <c r="L793">
        <v>100</v>
      </c>
    </row>
    <row r="794" spans="1:12" x14ac:dyDescent="0.2">
      <c r="A794"/>
      <c r="B794"/>
      <c r="C794"/>
      <c r="D794"/>
      <c r="E794" s="2">
        <f>Comuni__2[[#This Row],[Popolazione2011]]/$D$7911</f>
        <v>1.3496440111978719E-5</v>
      </c>
      <c r="F794">
        <f>SUMIFS($D$2:$D$7909, $B$2:$B$7909, "Calabria")</f>
        <v>1959050</v>
      </c>
      <c r="G794" s="1">
        <f>Comuni__2[[#This Row],[Popolazione2011]]/Comuni__2[[#This Row],[POPOLAZIONE TOTALE DI OGNI REGIONE (CON FILTRO)]]</f>
        <v>4.0938209846609326E-4</v>
      </c>
      <c r="H794" t="str">
        <f>IF(Comuni__2[[#This Row],[Popolazione2011]]&gt;300000,"MAGGIORE","")</f>
        <v/>
      </c>
      <c r="J794">
        <v>36</v>
      </c>
      <c r="K794">
        <v>1323</v>
      </c>
      <c r="L794">
        <v>100</v>
      </c>
    </row>
    <row r="795" spans="1:12" x14ac:dyDescent="0.2">
      <c r="A795"/>
      <c r="B795"/>
      <c r="C795"/>
      <c r="D795"/>
      <c r="E795" s="2">
        <f>Comuni__2[[#This Row],[Popolazione2011]]/$D$7911</f>
        <v>1.3479611633036101E-5</v>
      </c>
      <c r="F795">
        <f>SUMIFS($D$2:$D$7909, $B$2:$B$7909, "Calabria")</f>
        <v>1959050</v>
      </c>
      <c r="G795" s="1">
        <f>Comuni__2[[#This Row],[Popolazione2011]]/Comuni__2[[#This Row],[POPOLAZIONE TOTALE DI OGNI REGIONE (CON FILTRO)]]</f>
        <v>4.0887164697174652E-4</v>
      </c>
      <c r="H795" t="str">
        <f>IF(Comuni__2[[#This Row],[Popolazione2011]]&gt;300000,"MAGGIORE","")</f>
        <v/>
      </c>
      <c r="J795">
        <v>35</v>
      </c>
      <c r="K795">
        <v>1330</v>
      </c>
      <c r="L795">
        <v>100</v>
      </c>
    </row>
    <row r="796" spans="1:12" x14ac:dyDescent="0.2">
      <c r="A796"/>
      <c r="B796"/>
      <c r="C796"/>
      <c r="D796"/>
      <c r="E796" s="2">
        <f>Comuni__2[[#This Row],[Popolazione2011]]/$D$7911</f>
        <v>1.3445954675150867E-5</v>
      </c>
      <c r="F796">
        <f>SUMIFS($D$2:$D$7909, $B$2:$B$7909, "Calabria")</f>
        <v>1959050</v>
      </c>
      <c r="G796" s="1">
        <f>Comuni__2[[#This Row],[Popolazione2011]]/Comuni__2[[#This Row],[POPOLAZIONE TOTALE DI OGNI REGIONE (CON FILTRO)]]</f>
        <v>4.0785074398305303E-4</v>
      </c>
      <c r="H796" t="str">
        <f>IF(Comuni__2[[#This Row],[Popolazione2011]]&gt;300000,"MAGGIORE","")</f>
        <v/>
      </c>
      <c r="J796">
        <v>34</v>
      </c>
      <c r="K796">
        <v>1365</v>
      </c>
      <c r="L796">
        <v>100</v>
      </c>
    </row>
    <row r="797" spans="1:12" x14ac:dyDescent="0.2">
      <c r="A797"/>
      <c r="B797"/>
      <c r="C797"/>
      <c r="D797"/>
      <c r="E797" s="2">
        <f>Comuni__2[[#This Row],[Popolazione2011]]/$D$7911</f>
        <v>1.3395469238323017E-5</v>
      </c>
      <c r="F797">
        <f>SUMIFS($D$2:$D$7909, $B$2:$B$7909, "Calabria")</f>
        <v>1959050</v>
      </c>
      <c r="G797" s="1">
        <f>Comuni__2[[#This Row],[Popolazione2011]]/Comuni__2[[#This Row],[POPOLAZIONE TOTALE DI OGNI REGIONE (CON FILTRO)]]</f>
        <v>4.0631938950001274E-4</v>
      </c>
      <c r="H797" t="str">
        <f>IF(Comuni__2[[#This Row],[Popolazione2011]]&gt;300000,"MAGGIORE","")</f>
        <v/>
      </c>
      <c r="J797">
        <v>35</v>
      </c>
      <c r="K797">
        <v>1382</v>
      </c>
      <c r="L797">
        <v>100</v>
      </c>
    </row>
    <row r="798" spans="1:12" x14ac:dyDescent="0.2">
      <c r="A798"/>
      <c r="B798"/>
      <c r="C798"/>
      <c r="D798"/>
      <c r="E798" s="2">
        <f>Comuni__2[[#This Row],[Popolazione2011]]/$D$7911</f>
        <v>1.3378640759380401E-5</v>
      </c>
      <c r="F798">
        <f>SUMIFS($D$2:$D$7909, $B$2:$B$7909, "Calabria")</f>
        <v>1959050</v>
      </c>
      <c r="G798" s="1">
        <f>Comuni__2[[#This Row],[Popolazione2011]]/Comuni__2[[#This Row],[POPOLAZIONE TOTALE DI OGNI REGIONE (CON FILTRO)]]</f>
        <v>4.0580893800566599E-4</v>
      </c>
      <c r="H798" t="str">
        <f>IF(Comuni__2[[#This Row],[Popolazione2011]]&gt;300000,"MAGGIORE","")</f>
        <v/>
      </c>
      <c r="J798">
        <v>38</v>
      </c>
      <c r="K798">
        <v>1386</v>
      </c>
      <c r="L798">
        <v>100</v>
      </c>
    </row>
    <row r="799" spans="1:12" x14ac:dyDescent="0.2">
      <c r="A799"/>
      <c r="B799"/>
      <c r="C799"/>
      <c r="D799"/>
      <c r="E799" s="2">
        <f>Comuni__2[[#This Row],[Popolazione2011]]/$D$7911</f>
        <v>1.3210355969954231E-5</v>
      </c>
      <c r="F799">
        <f>SUMIFS($D$2:$D$7909, $B$2:$B$7909, "Calabria")</f>
        <v>1959050</v>
      </c>
      <c r="G799" s="1">
        <f>Comuni__2[[#This Row],[Popolazione2011]]/Comuni__2[[#This Row],[POPOLAZIONE TOTALE DI OGNI REGIONE (CON FILTRO)]]</f>
        <v>4.0070442306219849E-4</v>
      </c>
      <c r="H799" t="str">
        <f>IF(Comuni__2[[#This Row],[Popolazione2011]]&gt;300000,"MAGGIORE","")</f>
        <v/>
      </c>
      <c r="J799">
        <v>38</v>
      </c>
      <c r="K799">
        <v>1387</v>
      </c>
      <c r="L799">
        <v>101</v>
      </c>
    </row>
    <row r="800" spans="1:12" x14ac:dyDescent="0.2">
      <c r="A800"/>
      <c r="B800"/>
      <c r="C800"/>
      <c r="D800"/>
      <c r="E800" s="2">
        <f>Comuni__2[[#This Row],[Popolazione2011]]/$D$7911</f>
        <v>1.3008414222642829E-5</v>
      </c>
      <c r="F800">
        <f>SUMIFS($D$2:$D$7909, $B$2:$B$7909, "Calabria")</f>
        <v>1959050</v>
      </c>
      <c r="G800" s="1">
        <f>Comuni__2[[#This Row],[Popolazione2011]]/Comuni__2[[#This Row],[POPOLAZIONE TOTALE DI OGNI REGIONE (CON FILTRO)]]</f>
        <v>3.945790051300375E-4</v>
      </c>
      <c r="H800" t="str">
        <f>IF(Comuni__2[[#This Row],[Popolazione2011]]&gt;300000,"MAGGIORE","")</f>
        <v/>
      </c>
      <c r="J800">
        <v>39</v>
      </c>
      <c r="K800">
        <v>1402</v>
      </c>
      <c r="L800">
        <v>101</v>
      </c>
    </row>
    <row r="801" spans="1:12" x14ac:dyDescent="0.2">
      <c r="A801"/>
      <c r="B801"/>
      <c r="C801"/>
      <c r="D801"/>
      <c r="E801" s="2">
        <f>Comuni__2[[#This Row],[Popolazione2011]]/$D$7911</f>
        <v>1.2554045291192174E-5</v>
      </c>
      <c r="F801">
        <f>SUMIFS($D$2:$D$7909, $B$2:$B$7909, "Calabria")</f>
        <v>1959050</v>
      </c>
      <c r="G801" s="1">
        <f>Comuni__2[[#This Row],[Popolazione2011]]/Comuni__2[[#This Row],[POPOLAZIONE TOTALE DI OGNI REGIONE (CON FILTRO)]]</f>
        <v>3.8079681478267528E-4</v>
      </c>
      <c r="H801" t="str">
        <f>IF(Comuni__2[[#This Row],[Popolazione2011]]&gt;300000,"MAGGIORE","")</f>
        <v/>
      </c>
      <c r="J801">
        <v>39</v>
      </c>
      <c r="K801">
        <v>1422</v>
      </c>
      <c r="L801">
        <v>102</v>
      </c>
    </row>
    <row r="802" spans="1:12" x14ac:dyDescent="0.2">
      <c r="A802"/>
      <c r="B802"/>
      <c r="C802"/>
      <c r="D802"/>
      <c r="E802" s="2">
        <f>Comuni__2[[#This Row],[Popolazione2011]]/$D$7911</f>
        <v>1.2537216812249558E-5</v>
      </c>
      <c r="F802">
        <f>SUMIFS($D$2:$D$7909, $B$2:$B$7909, "Calabria")</f>
        <v>1959050</v>
      </c>
      <c r="G802" s="1">
        <f>Comuni__2[[#This Row],[Popolazione2011]]/Comuni__2[[#This Row],[POPOLAZIONE TOTALE DI OGNI REGIONE (CON FILTRO)]]</f>
        <v>3.8028636328832854E-4</v>
      </c>
      <c r="H802" t="str">
        <f>IF(Comuni__2[[#This Row],[Popolazione2011]]&gt;300000,"MAGGIORE","")</f>
        <v/>
      </c>
      <c r="J802">
        <v>38</v>
      </c>
      <c r="K802">
        <v>1432</v>
      </c>
      <c r="L802">
        <v>102</v>
      </c>
    </row>
    <row r="803" spans="1:12" x14ac:dyDescent="0.2">
      <c r="A803"/>
      <c r="B803"/>
      <c r="C803"/>
      <c r="D803"/>
      <c r="E803" s="2">
        <f>Comuni__2[[#This Row],[Popolazione2011]]/$D$7911</f>
        <v>1.2537216812249558E-5</v>
      </c>
      <c r="F803">
        <f>SUMIFS($D$2:$D$7909, $B$2:$B$7909, "Calabria")</f>
        <v>1959050</v>
      </c>
      <c r="G803" s="1">
        <f>Comuni__2[[#This Row],[Popolazione2011]]/Comuni__2[[#This Row],[POPOLAZIONE TOTALE DI OGNI REGIONE (CON FILTRO)]]</f>
        <v>3.8028636328832854E-4</v>
      </c>
      <c r="H803" t="str">
        <f>IF(Comuni__2[[#This Row],[Popolazione2011]]&gt;300000,"MAGGIORE","")</f>
        <v/>
      </c>
      <c r="J803">
        <v>40</v>
      </c>
      <c r="K803">
        <v>1441</v>
      </c>
      <c r="L803">
        <v>102</v>
      </c>
    </row>
    <row r="804" spans="1:12" x14ac:dyDescent="0.2">
      <c r="A804"/>
      <c r="B804"/>
      <c r="C804"/>
      <c r="D804"/>
      <c r="E804" s="2">
        <f>Comuni__2[[#This Row],[Popolazione2011]]/$D$7911</f>
        <v>1.2402588980708623E-5</v>
      </c>
      <c r="F804">
        <f>SUMIFS($D$2:$D$7909, $B$2:$B$7909, "Calabria")</f>
        <v>1959050</v>
      </c>
      <c r="G804" s="1">
        <f>Comuni__2[[#This Row],[Popolazione2011]]/Comuni__2[[#This Row],[POPOLAZIONE TOTALE DI OGNI REGIONE (CON FILTRO)]]</f>
        <v>3.7620275133355452E-4</v>
      </c>
      <c r="H804" t="str">
        <f>IF(Comuni__2[[#This Row],[Popolazione2011]]&gt;300000,"MAGGIORE","")</f>
        <v/>
      </c>
      <c r="J804">
        <v>43</v>
      </c>
      <c r="K804">
        <v>1447</v>
      </c>
      <c r="L804">
        <v>103</v>
      </c>
    </row>
    <row r="805" spans="1:12" x14ac:dyDescent="0.2">
      <c r="A805"/>
      <c r="B805"/>
      <c r="C805"/>
      <c r="D805"/>
      <c r="E805" s="2">
        <f>Comuni__2[[#This Row],[Popolazione2011]]/$D$7911</f>
        <v>1.2032362443971052E-5</v>
      </c>
      <c r="F805">
        <f>SUMIFS($D$2:$D$7909, $B$2:$B$7909, "Calabria")</f>
        <v>1959050</v>
      </c>
      <c r="G805" s="1">
        <f>Comuni__2[[#This Row],[Popolazione2011]]/Comuni__2[[#This Row],[POPOLAZIONE TOTALE DI OGNI REGIONE (CON FILTRO)]]</f>
        <v>3.6497281845792603E-4</v>
      </c>
      <c r="H805" t="str">
        <f>IF(Comuni__2[[#This Row],[Popolazione2011]]&gt;300000,"MAGGIORE","")</f>
        <v/>
      </c>
      <c r="J805">
        <v>42</v>
      </c>
      <c r="K805">
        <v>1457</v>
      </c>
      <c r="L805">
        <v>103</v>
      </c>
    </row>
    <row r="806" spans="1:12" x14ac:dyDescent="0.2">
      <c r="A806"/>
      <c r="B806"/>
      <c r="C806"/>
      <c r="D806"/>
      <c r="E806" s="2">
        <f>Comuni__2[[#This Row],[Popolazione2011]]/$D$7911</f>
        <v>1.17799352598318E-5</v>
      </c>
      <c r="F806">
        <f>SUMIFS($D$2:$D$7909, $B$2:$B$7909, "Calabria")</f>
        <v>1959050</v>
      </c>
      <c r="G806" s="1">
        <f>Comuni__2[[#This Row],[Popolazione2011]]/Comuni__2[[#This Row],[POPOLAZIONE TOTALE DI OGNI REGIONE (CON FILTRO)]]</f>
        <v>3.573160460427248E-4</v>
      </c>
      <c r="H806" t="str">
        <f>IF(Comuni__2[[#This Row],[Popolazione2011]]&gt;300000,"MAGGIORE","")</f>
        <v/>
      </c>
      <c r="J806">
        <v>42</v>
      </c>
      <c r="K806">
        <v>1458</v>
      </c>
      <c r="L806">
        <v>103</v>
      </c>
    </row>
    <row r="807" spans="1:12" x14ac:dyDescent="0.2">
      <c r="A807"/>
      <c r="B807"/>
      <c r="C807"/>
      <c r="D807"/>
      <c r="E807" s="2">
        <f>Comuni__2[[#This Row],[Popolazione2011]]/$D$7911</f>
        <v>1.1477022638864696E-5</v>
      </c>
      <c r="F807">
        <f>SUMIFS($D$2:$D$7909, $B$2:$B$7909, "Calabria")</f>
        <v>1959050</v>
      </c>
      <c r="G807" s="1">
        <f>Comuni__2[[#This Row],[Popolazione2011]]/Comuni__2[[#This Row],[POPOLAZIONE TOTALE DI OGNI REGIONE (CON FILTRO)]]</f>
        <v>3.4812791914448329E-4</v>
      </c>
      <c r="H807" t="str">
        <f>IF(Comuni__2[[#This Row],[Popolazione2011]]&gt;300000,"MAGGIORE","")</f>
        <v/>
      </c>
      <c r="J807">
        <v>43</v>
      </c>
      <c r="K807">
        <v>1467</v>
      </c>
      <c r="L807">
        <v>104</v>
      </c>
    </row>
    <row r="808" spans="1:12" x14ac:dyDescent="0.2">
      <c r="A808"/>
      <c r="B808"/>
      <c r="C808"/>
      <c r="D808"/>
      <c r="E808" s="2">
        <f>Comuni__2[[#This Row],[Popolazione2011]]/$D$7911</f>
        <v>1.1426537202036846E-5</v>
      </c>
      <c r="F808">
        <f>SUMIFS($D$2:$D$7909, $B$2:$B$7909, "Calabria")</f>
        <v>1959050</v>
      </c>
      <c r="G808" s="1">
        <f>Comuni__2[[#This Row],[Popolazione2011]]/Comuni__2[[#This Row],[POPOLAZIONE TOTALE DI OGNI REGIONE (CON FILTRO)]]</f>
        <v>3.4659656466144305E-4</v>
      </c>
      <c r="H808" t="str">
        <f>IF(Comuni__2[[#This Row],[Popolazione2011]]&gt;300000,"MAGGIORE","")</f>
        <v/>
      </c>
      <c r="J808">
        <v>43</v>
      </c>
      <c r="K808">
        <v>1486</v>
      </c>
      <c r="L808">
        <v>104</v>
      </c>
    </row>
    <row r="809" spans="1:12" x14ac:dyDescent="0.2">
      <c r="A809"/>
      <c r="B809"/>
      <c r="C809"/>
      <c r="D809"/>
      <c r="E809" s="2">
        <f>Comuni__2[[#This Row],[Popolazione2011]]/$D$7911</f>
        <v>1.1275080891553294E-5</v>
      </c>
      <c r="F809">
        <f>SUMIFS($D$2:$D$7909, $B$2:$B$7909, "Calabria")</f>
        <v>1959050</v>
      </c>
      <c r="G809" s="1">
        <f>Comuni__2[[#This Row],[Popolazione2011]]/Comuni__2[[#This Row],[POPOLAZIONE TOTALE DI OGNI REGIONE (CON FILTRO)]]</f>
        <v>3.4200250121232229E-4</v>
      </c>
      <c r="H809" t="str">
        <f>IF(Comuni__2[[#This Row],[Popolazione2011]]&gt;300000,"MAGGIORE","")</f>
        <v/>
      </c>
      <c r="J809">
        <v>45</v>
      </c>
      <c r="K809">
        <v>1498</v>
      </c>
      <c r="L809">
        <v>104</v>
      </c>
    </row>
    <row r="810" spans="1:12" x14ac:dyDescent="0.2">
      <c r="A810"/>
      <c r="B810"/>
      <c r="C810"/>
      <c r="D810"/>
      <c r="E810" s="2">
        <f>Comuni__2[[#This Row],[Popolazione2011]]/$D$7911</f>
        <v>1.0770226523274788E-5</v>
      </c>
      <c r="F810">
        <f>SUMIFS($D$2:$D$7909, $B$2:$B$7909, "Calabria")</f>
        <v>1959050</v>
      </c>
      <c r="G810" s="1">
        <f>Comuni__2[[#This Row],[Popolazione2011]]/Comuni__2[[#This Row],[POPOLAZIONE TOTALE DI OGNI REGIONE (CON FILTRO)]]</f>
        <v>3.2668895638191979E-4</v>
      </c>
      <c r="H810" t="str">
        <f>IF(Comuni__2[[#This Row],[Popolazione2011]]&gt;300000,"MAGGIORE","")</f>
        <v/>
      </c>
      <c r="J810">
        <v>54</v>
      </c>
      <c r="K810">
        <v>1524</v>
      </c>
      <c r="L810">
        <v>104</v>
      </c>
    </row>
    <row r="811" spans="1:12" x14ac:dyDescent="0.2">
      <c r="A811"/>
      <c r="B811"/>
      <c r="C811"/>
      <c r="D811"/>
      <c r="E811" s="2">
        <f>Comuni__2[[#This Row],[Popolazione2011]]/$D$7911</f>
        <v>1.0585113254906002E-5</v>
      </c>
      <c r="F811">
        <f>SUMIFS($D$2:$D$7909, $B$2:$B$7909, "Calabria")</f>
        <v>1959050</v>
      </c>
      <c r="G811" s="1">
        <f>Comuni__2[[#This Row],[Popolazione2011]]/Comuni__2[[#This Row],[POPOLAZIONE TOTALE DI OGNI REGIONE (CON FILTRO)]]</f>
        <v>3.2107398994410554E-4</v>
      </c>
      <c r="H811" t="str">
        <f>IF(Comuni__2[[#This Row],[Popolazione2011]]&gt;300000,"MAGGIORE","")</f>
        <v/>
      </c>
      <c r="J811">
        <v>55</v>
      </c>
      <c r="K811">
        <v>1581</v>
      </c>
      <c r="L811">
        <v>104</v>
      </c>
    </row>
    <row r="812" spans="1:12" x14ac:dyDescent="0.2">
      <c r="A812"/>
      <c r="B812"/>
      <c r="C812"/>
      <c r="D812"/>
      <c r="E812" s="2">
        <f>Comuni__2[[#This Row],[Popolazione2011]]/$D$7911</f>
        <v>1.04841423812503E-5</v>
      </c>
      <c r="F812">
        <f>SUMIFS($D$2:$D$7909, $B$2:$B$7909, "Calabria")</f>
        <v>1959050</v>
      </c>
      <c r="G812" s="1">
        <f>Comuni__2[[#This Row],[Popolazione2011]]/Comuni__2[[#This Row],[POPOLAZIONE TOTALE DI OGNI REGIONE (CON FILTRO)]]</f>
        <v>3.1801128097802507E-4</v>
      </c>
      <c r="H812" t="str">
        <f>IF(Comuni__2[[#This Row],[Popolazione2011]]&gt;300000,"MAGGIORE","")</f>
        <v/>
      </c>
      <c r="J812">
        <v>63</v>
      </c>
      <c r="K812">
        <v>1585</v>
      </c>
      <c r="L812">
        <v>104</v>
      </c>
    </row>
    <row r="813" spans="1:12" x14ac:dyDescent="0.2">
      <c r="A813"/>
      <c r="B813"/>
      <c r="C813"/>
      <c r="D813"/>
      <c r="E813" s="2">
        <f>Comuni__2[[#This Row],[Popolazione2011]]/$D$7911</f>
        <v>1.033268607076675E-5</v>
      </c>
      <c r="F813">
        <f>SUMIFS($D$2:$D$7909, $B$2:$B$7909, "Calabria")</f>
        <v>1959050</v>
      </c>
      <c r="G813" s="1">
        <f>Comuni__2[[#This Row],[Popolazione2011]]/Comuni__2[[#This Row],[POPOLAZIONE TOTALE DI OGNI REGIONE (CON FILTRO)]]</f>
        <v>3.1341721752890431E-4</v>
      </c>
      <c r="H813" t="str">
        <f>IF(Comuni__2[[#This Row],[Popolazione2011]]&gt;300000,"MAGGIORE","")</f>
        <v/>
      </c>
      <c r="J813">
        <v>66</v>
      </c>
      <c r="K813">
        <v>1585</v>
      </c>
      <c r="L813">
        <v>104</v>
      </c>
    </row>
    <row r="814" spans="1:12" x14ac:dyDescent="0.2">
      <c r="A814"/>
      <c r="B814"/>
      <c r="C814"/>
      <c r="D814"/>
      <c r="E814" s="2">
        <f>Comuni__2[[#This Row],[Popolazione2011]]/$D$7911</f>
        <v>1.006343040768488E-5</v>
      </c>
      <c r="F814">
        <f>SUMIFS($D$2:$D$7909, $B$2:$B$7909, "Calabria")</f>
        <v>1959050</v>
      </c>
      <c r="G814" s="1">
        <f>Comuni__2[[#This Row],[Popolazione2011]]/Comuni__2[[#This Row],[POPOLAZIONE TOTALE DI OGNI REGIONE (CON FILTRO)]]</f>
        <v>3.0524999361935634E-4</v>
      </c>
      <c r="H814" t="str">
        <f>IF(Comuni__2[[#This Row],[Popolazione2011]]&gt;300000,"MAGGIORE","")</f>
        <v/>
      </c>
      <c r="J814">
        <v>71</v>
      </c>
      <c r="K814">
        <v>1595</v>
      </c>
      <c r="L814">
        <v>104</v>
      </c>
    </row>
    <row r="815" spans="1:12" x14ac:dyDescent="0.2">
      <c r="A815"/>
      <c r="B815"/>
      <c r="C815"/>
      <c r="D815"/>
      <c r="E815" s="2">
        <f>Comuni__2[[#This Row],[Popolazione2011]]/$D$7911</f>
        <v>1.0012944970857029E-5</v>
      </c>
      <c r="F815">
        <f>SUMIFS($D$2:$D$7909, $B$2:$B$7909, "Calabria")</f>
        <v>1959050</v>
      </c>
      <c r="G815" s="1">
        <f>Comuni__2[[#This Row],[Popolazione2011]]/Comuni__2[[#This Row],[POPOLAZIONE TOTALE DI OGNI REGIONE (CON FILTRO)]]</f>
        <v>3.0371863913631605E-4</v>
      </c>
      <c r="H815" t="str">
        <f>IF(Comuni__2[[#This Row],[Popolazione2011]]&gt;300000,"MAGGIORE","")</f>
        <v/>
      </c>
      <c r="J815">
        <v>79</v>
      </c>
      <c r="K815">
        <v>1607</v>
      </c>
      <c r="L815">
        <v>104</v>
      </c>
    </row>
    <row r="816" spans="1:12" x14ac:dyDescent="0.2">
      <c r="A816"/>
      <c r="B816"/>
      <c r="C816"/>
      <c r="D816"/>
      <c r="E816" s="2">
        <f>Comuni__2[[#This Row],[Popolazione2011]]/$D$7911</f>
        <v>9.8783171393160944E-6</v>
      </c>
      <c r="F816">
        <f>SUMIFS($D$2:$D$7909, $B$2:$B$7909, "Calabria")</f>
        <v>1959050</v>
      </c>
      <c r="G816" s="1">
        <f>Comuni__2[[#This Row],[Popolazione2011]]/Comuni__2[[#This Row],[POPOLAZIONE TOTALE DI OGNI REGIONE (CON FILTRO)]]</f>
        <v>2.9963502718154209E-4</v>
      </c>
      <c r="H816" t="str">
        <f>IF(Comuni__2[[#This Row],[Popolazione2011]]&gt;300000,"MAGGIORE","")</f>
        <v/>
      </c>
      <c r="J816">
        <v>87</v>
      </c>
      <c r="K816">
        <v>1614</v>
      </c>
      <c r="L816">
        <v>105</v>
      </c>
    </row>
    <row r="817" spans="1:12" x14ac:dyDescent="0.2">
      <c r="A817"/>
      <c r="B817"/>
      <c r="C817"/>
      <c r="D817"/>
      <c r="E817" s="2">
        <f>Comuni__2[[#This Row],[Popolazione2011]]/$D$7911</f>
        <v>9.5754045183489906E-6</v>
      </c>
      <c r="F817">
        <f>SUMIFS($D$2:$D$7909, $B$2:$B$7909, "Calabria")</f>
        <v>1959050</v>
      </c>
      <c r="G817" s="1">
        <f>Comuni__2[[#This Row],[Popolazione2011]]/Comuni__2[[#This Row],[POPOLAZIONE TOTALE DI OGNI REGIONE (CON FILTRO)]]</f>
        <v>2.9044690028330058E-4</v>
      </c>
      <c r="H817" t="str">
        <f>IF(Comuni__2[[#This Row],[Popolazione2011]]&gt;300000,"MAGGIORE","")</f>
        <v/>
      </c>
      <c r="J817">
        <v>94</v>
      </c>
      <c r="K817">
        <v>1644</v>
      </c>
      <c r="L817">
        <v>105</v>
      </c>
    </row>
    <row r="818" spans="1:12" x14ac:dyDescent="0.2">
      <c r="A818"/>
      <c r="B818"/>
      <c r="C818"/>
      <c r="D818"/>
      <c r="E818" s="2">
        <f>Comuni__2[[#This Row],[Popolazione2011]]/$D$7911</f>
        <v>9.3229773342097386E-6</v>
      </c>
      <c r="F818">
        <f>SUMIFS($D$2:$D$7909, $B$2:$B$7909, "Calabria")</f>
        <v>1959050</v>
      </c>
      <c r="G818" s="1">
        <f>Comuni__2[[#This Row],[Popolazione2011]]/Comuni__2[[#This Row],[POPOLAZIONE TOTALE DI OGNI REGIONE (CON FILTRO)]]</f>
        <v>2.8279012786809935E-4</v>
      </c>
      <c r="H818" t="str">
        <f>IF(Comuni__2[[#This Row],[Popolazione2011]]&gt;300000,"MAGGIORE","")</f>
        <v/>
      </c>
      <c r="J818">
        <v>109</v>
      </c>
      <c r="K818">
        <v>1645</v>
      </c>
      <c r="L818">
        <v>105</v>
      </c>
    </row>
    <row r="819" spans="1:12" x14ac:dyDescent="0.2">
      <c r="A819"/>
      <c r="B819"/>
      <c r="C819"/>
      <c r="D819"/>
      <c r="E819" s="2">
        <f>Comuni__2[[#This Row],[Popolazione2011]]/$D$7911</f>
        <v>9.2556634184392707E-6</v>
      </c>
      <c r="F819">
        <f>SUMIFS($D$2:$D$7909, $B$2:$B$7909, "Calabria")</f>
        <v>1959050</v>
      </c>
      <c r="G819" s="1">
        <f>Comuni__2[[#This Row],[Popolazione2011]]/Comuni__2[[#This Row],[POPOLAZIONE TOTALE DI OGNI REGIONE (CON FILTRO)]]</f>
        <v>2.8074832189071232E-4</v>
      </c>
      <c r="H819" t="str">
        <f>IF(Comuni__2[[#This Row],[Popolazione2011]]&gt;300000,"MAGGIORE","")</f>
        <v/>
      </c>
      <c r="J819">
        <v>110</v>
      </c>
      <c r="K819">
        <v>1657</v>
      </c>
      <c r="L819">
        <v>105</v>
      </c>
    </row>
    <row r="820" spans="1:12" x14ac:dyDescent="0.2">
      <c r="A820"/>
      <c r="B820"/>
      <c r="C820"/>
      <c r="D820"/>
      <c r="E820" s="2">
        <f>Comuni__2[[#This Row],[Popolazione2011]]/$D$7911</f>
        <v>9.2388349394966546E-6</v>
      </c>
      <c r="F820">
        <f>SUMIFS($D$2:$D$7909, $B$2:$B$7909, "Calabria")</f>
        <v>1959050</v>
      </c>
      <c r="G820" s="1">
        <f>Comuni__2[[#This Row],[Popolazione2011]]/Comuni__2[[#This Row],[POPOLAZIONE TOTALE DI OGNI REGIONE (CON FILTRO)]]</f>
        <v>2.8023787039636557E-4</v>
      </c>
      <c r="H820" t="str">
        <f>IF(Comuni__2[[#This Row],[Popolazione2011]]&gt;300000,"MAGGIORE","")</f>
        <v/>
      </c>
      <c r="J820">
        <v>116</v>
      </c>
      <c r="K820">
        <v>1671</v>
      </c>
      <c r="L820">
        <v>106</v>
      </c>
    </row>
    <row r="821" spans="1:12" x14ac:dyDescent="0.2">
      <c r="A821"/>
      <c r="B821"/>
      <c r="C821"/>
      <c r="D821"/>
      <c r="E821" s="2">
        <f>Comuni__2[[#This Row],[Popolazione2011]]/$D$7911</f>
        <v>9.2388349394966546E-6</v>
      </c>
      <c r="F821">
        <f>SUMIFS($D$2:$D$7909, $B$2:$B$7909, "Calabria")</f>
        <v>1959050</v>
      </c>
      <c r="G821" s="1">
        <f>Comuni__2[[#This Row],[Popolazione2011]]/Comuni__2[[#This Row],[POPOLAZIONE TOTALE DI OGNI REGIONE (CON FILTRO)]]</f>
        <v>2.8023787039636557E-4</v>
      </c>
      <c r="H821" t="str">
        <f>IF(Comuni__2[[#This Row],[Popolazione2011]]&gt;300000,"MAGGIORE","")</f>
        <v/>
      </c>
      <c r="J821">
        <v>117</v>
      </c>
      <c r="K821">
        <v>1678</v>
      </c>
      <c r="L821">
        <v>108</v>
      </c>
    </row>
    <row r="822" spans="1:12" x14ac:dyDescent="0.2">
      <c r="A822"/>
      <c r="B822"/>
      <c r="C822"/>
      <c r="D822"/>
      <c r="E822" s="2">
        <f>Comuni__2[[#This Row],[Popolazione2011]]/$D$7911</f>
        <v>9.0705501500704848E-6</v>
      </c>
      <c r="F822">
        <f>SUMIFS($D$2:$D$7909, $B$2:$B$7909, "Calabria")</f>
        <v>1959050</v>
      </c>
      <c r="G822" s="1">
        <f>Comuni__2[[#This Row],[Popolazione2011]]/Comuni__2[[#This Row],[POPOLAZIONE TOTALE DI OGNI REGIONE (CON FILTRO)]]</f>
        <v>2.7513335545289807E-4</v>
      </c>
      <c r="H822" t="str">
        <f>IF(Comuni__2[[#This Row],[Popolazione2011]]&gt;300000,"MAGGIORE","")</f>
        <v/>
      </c>
      <c r="J822">
        <v>126</v>
      </c>
      <c r="K822">
        <v>1768</v>
      </c>
      <c r="L822">
        <v>111</v>
      </c>
    </row>
    <row r="823" spans="1:12" x14ac:dyDescent="0.2">
      <c r="A823"/>
      <c r="B823"/>
      <c r="C823"/>
      <c r="D823"/>
      <c r="E823" s="2">
        <f>Comuni__2[[#This Row],[Popolazione2011]]/$D$7911</f>
        <v>9.0368931921852509E-6</v>
      </c>
      <c r="F823">
        <f>SUMIFS($D$2:$D$7909, $B$2:$B$7909, "Calabria")</f>
        <v>1959050</v>
      </c>
      <c r="G823" s="1">
        <f>Comuni__2[[#This Row],[Popolazione2011]]/Comuni__2[[#This Row],[POPOLAZIONE TOTALE DI OGNI REGIONE (CON FILTRO)]]</f>
        <v>2.7411245246420458E-4</v>
      </c>
      <c r="H823" t="str">
        <f>IF(Comuni__2[[#This Row],[Popolazione2011]]&gt;300000,"MAGGIORE","")</f>
        <v/>
      </c>
      <c r="J823">
        <v>131</v>
      </c>
      <c r="K823">
        <v>1785</v>
      </c>
      <c r="L823">
        <v>111</v>
      </c>
    </row>
    <row r="824" spans="1:12" x14ac:dyDescent="0.2">
      <c r="A824"/>
      <c r="B824"/>
      <c r="C824"/>
      <c r="D824"/>
      <c r="E824" s="2">
        <f>Comuni__2[[#This Row],[Popolazione2011]]/$D$7911</f>
        <v>8.9864077553574008E-6</v>
      </c>
      <c r="F824">
        <f>SUMIFS($D$2:$D$7909, $B$2:$B$7909, "Calabria")</f>
        <v>1959050</v>
      </c>
      <c r="G824" s="1">
        <f>Comuni__2[[#This Row],[Popolazione2011]]/Comuni__2[[#This Row],[POPOLAZIONE TOTALE DI OGNI REGIONE (CON FILTRO)]]</f>
        <v>2.7258109798116434E-4</v>
      </c>
      <c r="H824" t="str">
        <f>IF(Comuni__2[[#This Row],[Popolazione2011]]&gt;300000,"MAGGIORE","")</f>
        <v/>
      </c>
      <c r="J824">
        <v>141</v>
      </c>
      <c r="K824">
        <v>1798</v>
      </c>
      <c r="L824">
        <v>113</v>
      </c>
    </row>
    <row r="825" spans="1:12" x14ac:dyDescent="0.2">
      <c r="A825"/>
      <c r="B825"/>
      <c r="C825"/>
      <c r="D825"/>
      <c r="E825" s="2">
        <f>Comuni__2[[#This Row],[Popolazione2011]]/$D$7911</f>
        <v>8.9527507974721669E-6</v>
      </c>
      <c r="F825">
        <f>SUMIFS($D$2:$D$7909, $B$2:$B$7909, "Calabria")</f>
        <v>1959050</v>
      </c>
      <c r="G825" s="1">
        <f>Comuni__2[[#This Row],[Popolazione2011]]/Comuni__2[[#This Row],[POPOLAZIONE TOTALE DI OGNI REGIONE (CON FILTRO)]]</f>
        <v>2.7156019499247086E-4</v>
      </c>
      <c r="H825" t="str">
        <f>IF(Comuni__2[[#This Row],[Popolazione2011]]&gt;300000,"MAGGIORE","")</f>
        <v/>
      </c>
      <c r="J825">
        <v>151</v>
      </c>
      <c r="K825">
        <v>1799</v>
      </c>
      <c r="L825">
        <v>114</v>
      </c>
    </row>
    <row r="826" spans="1:12" x14ac:dyDescent="0.2">
      <c r="A826"/>
      <c r="B826"/>
      <c r="C826"/>
      <c r="D826"/>
      <c r="E826" s="2">
        <f>Comuni__2[[#This Row],[Popolazione2011]]/$D$7911</f>
        <v>8.9190938395869329E-6</v>
      </c>
      <c r="F826">
        <f>SUMIFS($D$2:$D$7909, $B$2:$B$7909, "Calabria")</f>
        <v>1959050</v>
      </c>
      <c r="G826" s="1">
        <f>Comuni__2[[#This Row],[Popolazione2011]]/Comuni__2[[#This Row],[POPOLAZIONE TOTALE DI OGNI REGIONE (CON FILTRO)]]</f>
        <v>2.7053929200377737E-4</v>
      </c>
      <c r="H826" t="str">
        <f>IF(Comuni__2[[#This Row],[Popolazione2011]]&gt;300000,"MAGGIORE","")</f>
        <v/>
      </c>
      <c r="J826">
        <v>163</v>
      </c>
      <c r="K826">
        <v>1825</v>
      </c>
      <c r="L826">
        <v>116</v>
      </c>
    </row>
    <row r="827" spans="1:12" x14ac:dyDescent="0.2">
      <c r="A827"/>
      <c r="B827"/>
      <c r="C827"/>
      <c r="D827"/>
      <c r="E827" s="2">
        <f>Comuni__2[[#This Row],[Popolazione2011]]/$D$7911</f>
        <v>8.9022653606443168E-6</v>
      </c>
      <c r="F827">
        <f>SUMIFS($D$2:$D$7909, $B$2:$B$7909, "Calabria")</f>
        <v>1959050</v>
      </c>
      <c r="G827" s="1">
        <f>Comuni__2[[#This Row],[Popolazione2011]]/Comuni__2[[#This Row],[POPOLAZIONE TOTALE DI OGNI REGIONE (CON FILTRO)]]</f>
        <v>2.7002884050943057E-4</v>
      </c>
      <c r="H827" t="str">
        <f>IF(Comuni__2[[#This Row],[Popolazione2011]]&gt;300000,"MAGGIORE","")</f>
        <v/>
      </c>
      <c r="J827">
        <v>174</v>
      </c>
      <c r="K827">
        <v>1831</v>
      </c>
      <c r="L827">
        <v>117</v>
      </c>
    </row>
    <row r="828" spans="1:12" x14ac:dyDescent="0.2">
      <c r="A828"/>
      <c r="B828"/>
      <c r="C828"/>
      <c r="D828"/>
      <c r="E828" s="2">
        <f>Comuni__2[[#This Row],[Popolazione2011]]/$D$7911</f>
        <v>8.8181229659312328E-6</v>
      </c>
      <c r="F828">
        <f>SUMIFS($D$2:$D$7909, $B$2:$B$7909, "Calabria")</f>
        <v>1959050</v>
      </c>
      <c r="G828" s="1">
        <f>Comuni__2[[#This Row],[Popolazione2011]]/Comuni__2[[#This Row],[POPOLAZIONE TOTALE DI OGNI REGIONE (CON FILTRO)]]</f>
        <v>2.6747658303769684E-4</v>
      </c>
      <c r="H828" t="str">
        <f>IF(Comuni__2[[#This Row],[Popolazione2011]]&gt;300000,"MAGGIORE","")</f>
        <v/>
      </c>
      <c r="J828">
        <v>183</v>
      </c>
      <c r="K828">
        <v>1841</v>
      </c>
      <c r="L828">
        <v>118</v>
      </c>
    </row>
    <row r="829" spans="1:12" x14ac:dyDescent="0.2">
      <c r="A829"/>
      <c r="B829"/>
      <c r="C829"/>
      <c r="D829"/>
      <c r="E829" s="2">
        <f>Comuni__2[[#This Row],[Popolazione2011]]/$D$7911</f>
        <v>8.599352739677213E-6</v>
      </c>
      <c r="F829">
        <f>SUMIFS($D$2:$D$7909, $B$2:$B$7909, "Calabria")</f>
        <v>1959050</v>
      </c>
      <c r="G829" s="1">
        <f>Comuni__2[[#This Row],[Popolazione2011]]/Comuni__2[[#This Row],[POPOLAZIONE TOTALE DI OGNI REGIONE (CON FILTRO)]]</f>
        <v>2.6084071361118911E-4</v>
      </c>
      <c r="H829" t="str">
        <f>IF(Comuni__2[[#This Row],[Popolazione2011]]&gt;300000,"MAGGIORE","")</f>
        <v/>
      </c>
      <c r="J829">
        <v>210</v>
      </c>
      <c r="K829">
        <v>2069</v>
      </c>
      <c r="L829">
        <v>121</v>
      </c>
    </row>
    <row r="830" spans="1:12" x14ac:dyDescent="0.2">
      <c r="A830"/>
      <c r="B830"/>
      <c r="C830"/>
      <c r="D830"/>
      <c r="E830" s="2">
        <f>Comuni__2[[#This Row],[Popolazione2011]]/$D$7911</f>
        <v>8.599352739677213E-6</v>
      </c>
      <c r="F830">
        <f>SUMIFS($D$2:$D$7909, $B$2:$B$7909, "Calabria")</f>
        <v>1959050</v>
      </c>
      <c r="G830" s="1">
        <f>Comuni__2[[#This Row],[Popolazione2011]]/Comuni__2[[#This Row],[POPOLAZIONE TOTALE DI OGNI REGIONE (CON FILTRO)]]</f>
        <v>2.6084071361118911E-4</v>
      </c>
      <c r="H830" t="str">
        <f>IF(Comuni__2[[#This Row],[Popolazione2011]]&gt;300000,"MAGGIORE","")</f>
        <v/>
      </c>
      <c r="J830">
        <v>223</v>
      </c>
      <c r="K830">
        <v>2074</v>
      </c>
      <c r="L830">
        <v>124</v>
      </c>
    </row>
    <row r="831" spans="1:12" x14ac:dyDescent="0.2">
      <c r="A831"/>
      <c r="B831"/>
      <c r="C831"/>
      <c r="D831"/>
      <c r="E831" s="2">
        <f>Comuni__2[[#This Row],[Popolazione2011]]/$D$7911</f>
        <v>7.7579287925463711E-6</v>
      </c>
      <c r="F831">
        <f>SUMIFS($D$2:$D$7909, $B$2:$B$7909, "Calabria")</f>
        <v>1959050</v>
      </c>
      <c r="G831" s="1">
        <f>Comuni__2[[#This Row],[Popolazione2011]]/Comuni__2[[#This Row],[POPOLAZIONE TOTALE DI OGNI REGIONE (CON FILTRO)]]</f>
        <v>2.3531813889385162E-4</v>
      </c>
      <c r="H831" t="str">
        <f>IF(Comuni__2[[#This Row],[Popolazione2011]]&gt;300000,"MAGGIORE","")</f>
        <v/>
      </c>
      <c r="J831">
        <v>228</v>
      </c>
      <c r="K831">
        <v>2078</v>
      </c>
      <c r="L831">
        <v>128</v>
      </c>
    </row>
    <row r="832" spans="1:12" x14ac:dyDescent="0.2">
      <c r="A832"/>
      <c r="B832"/>
      <c r="C832"/>
      <c r="D832"/>
      <c r="E832" s="2">
        <f>Comuni__2[[#This Row],[Popolazione2011]]/$D$7911</f>
        <v>7.1521035506121635E-6</v>
      </c>
      <c r="F832">
        <f>SUMIFS($D$2:$D$7909, $B$2:$B$7909, "Calabria")</f>
        <v>1959050</v>
      </c>
      <c r="G832" s="1">
        <f>Comuni__2[[#This Row],[Popolazione2011]]/Comuni__2[[#This Row],[POPOLAZIONE TOTALE DI OGNI REGIONE (CON FILTRO)]]</f>
        <v>2.1694188509736862E-4</v>
      </c>
      <c r="H832" t="str">
        <f>IF(Comuni__2[[#This Row],[Popolazione2011]]&gt;300000,"MAGGIORE","")</f>
        <v/>
      </c>
      <c r="J832">
        <v>227</v>
      </c>
      <c r="K832">
        <v>2101</v>
      </c>
      <c r="L832">
        <v>132</v>
      </c>
    </row>
    <row r="833" spans="1:12" x14ac:dyDescent="0.2">
      <c r="A833"/>
      <c r="B833"/>
      <c r="C833"/>
      <c r="D833"/>
      <c r="E833" s="2">
        <f>Comuni__2[[#This Row],[Popolazione2011]]/$D$7911</f>
        <v>7.1016181137843134E-6</v>
      </c>
      <c r="F833">
        <f>SUMIFS($D$2:$D$7909, $B$2:$B$7909, "Calabria")</f>
        <v>1959050</v>
      </c>
      <c r="G833" s="1">
        <f>Comuni__2[[#This Row],[Popolazione2011]]/Comuni__2[[#This Row],[POPOLAZIONE TOTALE DI OGNI REGIONE (CON FILTRO)]]</f>
        <v>2.1541053061432838E-4</v>
      </c>
      <c r="H833" t="str">
        <f>IF(Comuni__2[[#This Row],[Popolazione2011]]&gt;300000,"MAGGIORE","")</f>
        <v/>
      </c>
      <c r="J833">
        <v>243</v>
      </c>
      <c r="K833">
        <v>2175</v>
      </c>
      <c r="L833">
        <v>136</v>
      </c>
    </row>
    <row r="834" spans="1:12" x14ac:dyDescent="0.2">
      <c r="A834"/>
      <c r="B834"/>
      <c r="C834"/>
      <c r="D834"/>
      <c r="E834" s="2">
        <f>Comuni__2[[#This Row],[Popolazione2011]]/$D$7911</f>
        <v>6.9838187611859954E-6</v>
      </c>
      <c r="F834">
        <f>SUMIFS($D$2:$D$7909, $B$2:$B$7909, "Calabria")</f>
        <v>1959050</v>
      </c>
      <c r="G834" s="1">
        <f>Comuni__2[[#This Row],[Popolazione2011]]/Comuni__2[[#This Row],[POPOLAZIONE TOTALE DI OGNI REGIONE (CON FILTRO)]]</f>
        <v>2.1183737015390111E-4</v>
      </c>
      <c r="H834" t="str">
        <f>IF(Comuni__2[[#This Row],[Popolazione2011]]&gt;300000,"MAGGIORE","")</f>
        <v/>
      </c>
      <c r="J834">
        <v>249</v>
      </c>
      <c r="K834">
        <v>2305</v>
      </c>
      <c r="L834">
        <v>140</v>
      </c>
    </row>
    <row r="835" spans="1:12" x14ac:dyDescent="0.2">
      <c r="A835"/>
      <c r="B835"/>
      <c r="C835"/>
      <c r="D835"/>
      <c r="E835" s="2">
        <f>Comuni__2[[#This Row],[Popolazione2011]]/$D$7911</f>
        <v>6.9333333243581445E-6</v>
      </c>
      <c r="F835">
        <f>SUMIFS($D$2:$D$7909, $B$2:$B$7909, "Calabria")</f>
        <v>1959050</v>
      </c>
      <c r="G835" s="1">
        <f>Comuni__2[[#This Row],[Popolazione2011]]/Comuni__2[[#This Row],[POPOLAZIONE TOTALE DI OGNI REGIONE (CON FILTRO)]]</f>
        <v>2.1030601567086088E-4</v>
      </c>
      <c r="H835" t="str">
        <f>IF(Comuni__2[[#This Row],[Popolazione2011]]&gt;300000,"MAGGIORE","")</f>
        <v/>
      </c>
      <c r="J835">
        <v>272</v>
      </c>
      <c r="K835">
        <v>2319</v>
      </c>
      <c r="L835">
        <v>144</v>
      </c>
    </row>
    <row r="836" spans="1:12" x14ac:dyDescent="0.2">
      <c r="A836"/>
      <c r="B836"/>
      <c r="C836"/>
      <c r="D836"/>
      <c r="E836" s="2">
        <f>Comuni__2[[#This Row],[Popolazione2011]]/$D$7911</f>
        <v>6.5462783086779567E-6</v>
      </c>
      <c r="F836">
        <f>SUMIFS($D$2:$D$7909, $B$2:$B$7909, "Calabria")</f>
        <v>1959050</v>
      </c>
      <c r="G836" s="1">
        <f>Comuni__2[[#This Row],[Popolazione2011]]/Comuni__2[[#This Row],[POPOLAZIONE TOTALE DI OGNI REGIONE (CON FILTRO)]]</f>
        <v>1.9856563130088564E-4</v>
      </c>
      <c r="H836" t="str">
        <f>IF(Comuni__2[[#This Row],[Popolazione2011]]&gt;300000,"MAGGIORE","")</f>
        <v/>
      </c>
      <c r="J836">
        <v>302</v>
      </c>
      <c r="K836">
        <v>2319</v>
      </c>
      <c r="L836">
        <v>151</v>
      </c>
    </row>
    <row r="837" spans="1:12" x14ac:dyDescent="0.2">
      <c r="A837"/>
      <c r="B837"/>
      <c r="C837"/>
      <c r="D837"/>
      <c r="E837" s="2">
        <f>Comuni__2[[#This Row],[Popolazione2011]]/$D$7911</f>
        <v>5.805825235202815E-6</v>
      </c>
      <c r="F837">
        <f>SUMIFS($D$2:$D$7909, $B$2:$B$7909, "Calabria")</f>
        <v>1959050</v>
      </c>
      <c r="G837" s="1">
        <f>Comuni__2[[#This Row],[Popolazione2011]]/Comuni__2[[#This Row],[POPOLAZIONE TOTALE DI OGNI REGIONE (CON FILTRO)]]</f>
        <v>1.7610576554962865E-4</v>
      </c>
      <c r="H837" t="str">
        <f>IF(Comuni__2[[#This Row],[Popolazione2011]]&gt;300000,"MAGGIORE","")</f>
        <v/>
      </c>
      <c r="J837">
        <v>304</v>
      </c>
      <c r="K837">
        <v>2400</v>
      </c>
      <c r="L837">
        <v>156</v>
      </c>
    </row>
    <row r="838" spans="1:12" x14ac:dyDescent="0.2">
      <c r="A838"/>
      <c r="B838"/>
      <c r="C838"/>
      <c r="D838"/>
      <c r="E838" s="2">
        <f>Comuni__2[[#This Row],[Popolazione2011]]/$D$7911</f>
        <v>5.805825235202815E-6</v>
      </c>
      <c r="F838">
        <f>SUMIFS($D$2:$D$7909, $B$2:$B$7909, "Calabria")</f>
        <v>1959050</v>
      </c>
      <c r="G838" s="1">
        <f>Comuni__2[[#This Row],[Popolazione2011]]/Comuni__2[[#This Row],[POPOLAZIONE TOTALE DI OGNI REGIONE (CON FILTRO)]]</f>
        <v>1.7610576554962865E-4</v>
      </c>
      <c r="H838" t="str">
        <f>IF(Comuni__2[[#This Row],[Popolazione2011]]&gt;300000,"MAGGIORE","")</f>
        <v/>
      </c>
      <c r="J838">
        <v>319</v>
      </c>
      <c r="K838">
        <v>2402</v>
      </c>
      <c r="L838">
        <v>157</v>
      </c>
    </row>
    <row r="839" spans="1:12" x14ac:dyDescent="0.2">
      <c r="A839"/>
      <c r="B839"/>
      <c r="C839"/>
      <c r="D839"/>
      <c r="E839" s="2">
        <f>Comuni__2[[#This Row],[Popolazione2011]]/$D$7911</f>
        <v>5.4355986984652441E-6</v>
      </c>
      <c r="F839">
        <f>SUMIFS($D$2:$D$7909, $B$2:$B$7909, "Calabria")</f>
        <v>1959050</v>
      </c>
      <c r="G839" s="1">
        <f>Comuni__2[[#This Row],[Popolazione2011]]/Comuni__2[[#This Row],[POPOLAZIONE TOTALE DI OGNI REGIONE (CON FILTRO)]]</f>
        <v>1.6487583267400015E-4</v>
      </c>
      <c r="H839" t="str">
        <f>IF(Comuni__2[[#This Row],[Popolazione2011]]&gt;300000,"MAGGIORE","")</f>
        <v/>
      </c>
      <c r="J839">
        <v>365</v>
      </c>
      <c r="K839">
        <v>2575</v>
      </c>
      <c r="L839">
        <v>164</v>
      </c>
    </row>
    <row r="840" spans="1:12" x14ac:dyDescent="0.2">
      <c r="A840"/>
      <c r="B840"/>
      <c r="C840"/>
      <c r="D840"/>
      <c r="E840" s="2">
        <f>Comuni__2[[#This Row],[Popolazione2011]]/$D$7911</f>
        <v>5.0485436827850571E-6</v>
      </c>
      <c r="F840">
        <f>SUMIFS($D$2:$D$7909, $B$2:$B$7909, "Calabria")</f>
        <v>1959050</v>
      </c>
      <c r="G840" s="1">
        <f>Comuni__2[[#This Row],[Popolazione2011]]/Comuni__2[[#This Row],[POPOLAZIONE TOTALE DI OGNI REGIONE (CON FILTRO)]]</f>
        <v>1.5313544830402491E-4</v>
      </c>
      <c r="H840" t="str">
        <f>IF(Comuni__2[[#This Row],[Popolazione2011]]&gt;300000,"MAGGIORE","")</f>
        <v/>
      </c>
      <c r="J840">
        <v>371</v>
      </c>
      <c r="K840">
        <v>2594</v>
      </c>
      <c r="L840">
        <v>169</v>
      </c>
    </row>
    <row r="841" spans="1:12" x14ac:dyDescent="0.2">
      <c r="A841"/>
      <c r="B841"/>
      <c r="C841"/>
      <c r="D841"/>
      <c r="E841" s="2">
        <f>Comuni__2[[#This Row],[Popolazione2011]]/$D$7911</f>
        <v>4.6951456249901024E-6</v>
      </c>
      <c r="F841">
        <f>SUMIFS($D$2:$D$7909, $B$2:$B$7909, "Calabria")</f>
        <v>1959050</v>
      </c>
      <c r="G841" s="1">
        <f>Comuni__2[[#This Row],[Popolazione2011]]/Comuni__2[[#This Row],[POPOLAZIONE TOTALE DI OGNI REGIONE (CON FILTRO)]]</f>
        <v>1.4241596692274316E-4</v>
      </c>
      <c r="H841" t="str">
        <f>IF(Comuni__2[[#This Row],[Popolazione2011]]&gt;300000,"MAGGIORE","")</f>
        <v/>
      </c>
      <c r="J841">
        <v>383</v>
      </c>
      <c r="K841">
        <v>2880</v>
      </c>
      <c r="L841">
        <v>174</v>
      </c>
    </row>
    <row r="842" spans="1:12" x14ac:dyDescent="0.2">
      <c r="A842"/>
      <c r="B842"/>
      <c r="C842"/>
      <c r="D842"/>
      <c r="E842" s="2">
        <f>Comuni__2[[#This Row],[Popolazione2011]]/$D$7911</f>
        <v>1.6189047228234242E-2</v>
      </c>
      <c r="F842">
        <f>SUMIFS($D$2:$D$7909, $B$2:$B$7909, "Campania")</f>
        <v>5766810</v>
      </c>
      <c r="G842" s="1">
        <f>Comuni__2[[#This Row],[Popolazione2011]]/Comuni__2[[#This Row],[POPOLAZIONE TOTALE DI OGNI REGIONE (CON FILTRO)]]</f>
        <v>0.16681718315671923</v>
      </c>
      <c r="H842" t="str">
        <f>IF(Comuni__2[[#This Row],[Popolazione2011]]&gt;300000,"MAGGIORE","")</f>
        <v>MAGGIORE</v>
      </c>
      <c r="J842">
        <v>403</v>
      </c>
      <c r="K842">
        <v>2942</v>
      </c>
      <c r="L842">
        <v>180</v>
      </c>
    </row>
    <row r="843" spans="1:12" x14ac:dyDescent="0.2">
      <c r="A843"/>
      <c r="B843"/>
      <c r="C843"/>
      <c r="D843"/>
      <c r="E843" s="2">
        <f>Comuni__2[[#This Row],[Popolazione2011]]/$D$7911</f>
        <v>2.2315909356225359E-3</v>
      </c>
      <c r="F843">
        <f>SUMIFS($D$2:$D$7909, $B$2:$B$7909, "Campania")</f>
        <v>5766810</v>
      </c>
      <c r="G843" s="1">
        <f>Comuni__2[[#This Row],[Popolazione2011]]/Comuni__2[[#This Row],[POPOLAZIONE TOTALE DI OGNI REGIONE (CON FILTRO)]]</f>
        <v>2.2995035383513589E-2</v>
      </c>
      <c r="H843" t="str">
        <f>IF(Comuni__2[[#This Row],[Popolazione2011]]&gt;300000,"MAGGIORE","")</f>
        <v/>
      </c>
      <c r="J843">
        <v>406</v>
      </c>
      <c r="K843">
        <v>3145</v>
      </c>
      <c r="L843">
        <v>187</v>
      </c>
    </row>
    <row r="844" spans="1:12" x14ac:dyDescent="0.2">
      <c r="A844"/>
      <c r="B844"/>
      <c r="C844"/>
      <c r="D844"/>
      <c r="E844" s="2">
        <f>Comuni__2[[#This Row],[Popolazione2011]]/$D$7911</f>
        <v>1.8308207096041156E-3</v>
      </c>
      <c r="F844">
        <f>SUMIFS($D$2:$D$7909, $B$2:$B$7909, "Campania")</f>
        <v>5766810</v>
      </c>
      <c r="G844" s="1">
        <f>Comuni__2[[#This Row],[Popolazione2011]]/Comuni__2[[#This Row],[POPOLAZIONE TOTALE DI OGNI REGIONE (CON FILTRO)]]</f>
        <v>1.886536924226739E-2</v>
      </c>
      <c r="H844" t="str">
        <f>IF(Comuni__2[[#This Row],[Popolazione2011]]&gt;300000,"MAGGIORE","")</f>
        <v/>
      </c>
      <c r="J844">
        <v>434</v>
      </c>
      <c r="K844">
        <v>3278</v>
      </c>
      <c r="L844">
        <v>197</v>
      </c>
    </row>
    <row r="845" spans="1:12" x14ac:dyDescent="0.2">
      <c r="A845"/>
      <c r="B845"/>
      <c r="C845"/>
      <c r="D845"/>
      <c r="E845" s="2">
        <f>Comuni__2[[#This Row],[Popolazione2011]]/$D$7911</f>
        <v>1.4459365677075254E-3</v>
      </c>
      <c r="F845">
        <f>SUMIFS($D$2:$D$7909, $B$2:$B$7909, "Campania")</f>
        <v>5766810</v>
      </c>
      <c r="G845" s="1">
        <f>Comuni__2[[#This Row],[Popolazione2011]]/Comuni__2[[#This Row],[POPOLAZIONE TOTALE DI OGNI REGIONE (CON FILTRO)]]</f>
        <v>1.4899398454258073E-2</v>
      </c>
      <c r="H845" t="str">
        <f>IF(Comuni__2[[#This Row],[Popolazione2011]]&gt;300000,"MAGGIORE","")</f>
        <v/>
      </c>
      <c r="J845">
        <v>442</v>
      </c>
      <c r="K845">
        <v>3332</v>
      </c>
      <c r="L845">
        <v>202</v>
      </c>
    </row>
    <row r="846" spans="1:12" x14ac:dyDescent="0.2">
      <c r="A846"/>
      <c r="B846"/>
      <c r="C846"/>
      <c r="D846"/>
      <c r="E846" s="2">
        <f>Comuni__2[[#This Row],[Popolazione2011]]/$D$7911</f>
        <v>1.3522860823918627E-3</v>
      </c>
      <c r="F846">
        <f>SUMIFS($D$2:$D$7909, $B$2:$B$7909, "Campania")</f>
        <v>5766810</v>
      </c>
      <c r="G846" s="1">
        <f>Comuni__2[[#This Row],[Popolazione2011]]/Comuni__2[[#This Row],[POPOLAZIONE TOTALE DI OGNI REGIONE (CON FILTRO)]]</f>
        <v>1.3934393538195294E-2</v>
      </c>
      <c r="H846" t="str">
        <f>IF(Comuni__2[[#This Row],[Popolazione2011]]&gt;300000,"MAGGIORE","")</f>
        <v/>
      </c>
      <c r="J846">
        <v>461</v>
      </c>
      <c r="K846">
        <v>3447</v>
      </c>
      <c r="L846">
        <v>213</v>
      </c>
    </row>
    <row r="847" spans="1:12" x14ac:dyDescent="0.2">
      <c r="A847"/>
      <c r="B847"/>
      <c r="C847"/>
      <c r="D847"/>
      <c r="E847" s="2">
        <f>Comuni__2[[#This Row],[Popolazione2011]]/$D$7911</f>
        <v>1.3235093833999878E-3</v>
      </c>
      <c r="F847">
        <f>SUMIFS($D$2:$D$7909, $B$2:$B$7909, "Campania")</f>
        <v>5766810</v>
      </c>
      <c r="G847" s="1">
        <f>Comuni__2[[#This Row],[Popolazione2011]]/Comuni__2[[#This Row],[POPOLAZIONE TOTALE DI OGNI REGIONE (CON FILTRO)]]</f>
        <v>1.363786911654797E-2</v>
      </c>
      <c r="H847" t="str">
        <f>IF(Comuni__2[[#This Row],[Popolazione2011]]&gt;300000,"MAGGIORE","")</f>
        <v/>
      </c>
      <c r="J847">
        <v>471</v>
      </c>
      <c r="K847">
        <v>3447</v>
      </c>
      <c r="L847">
        <v>217</v>
      </c>
    </row>
    <row r="848" spans="1:12" x14ac:dyDescent="0.2">
      <c r="A848"/>
      <c r="B848"/>
      <c r="C848"/>
      <c r="D848"/>
      <c r="E848" s="2">
        <f>Comuni__2[[#This Row],[Popolazione2011]]/$D$7911</f>
        <v>1.2729061472195389E-3</v>
      </c>
      <c r="F848">
        <f>SUMIFS($D$2:$D$7909, $B$2:$B$7909, "Campania")</f>
        <v>5766810</v>
      </c>
      <c r="G848" s="1">
        <f>Comuni__2[[#This Row],[Popolazione2011]]/Comuni__2[[#This Row],[POPOLAZIONE TOTALE DI OGNI REGIONE (CON FILTRO)]]</f>
        <v>1.3116436990294461E-2</v>
      </c>
      <c r="H848" t="str">
        <f>IF(Comuni__2[[#This Row],[Popolazione2011]]&gt;300000,"MAGGIORE","")</f>
        <v/>
      </c>
      <c r="J848">
        <v>480</v>
      </c>
      <c r="K848">
        <v>3616</v>
      </c>
      <c r="L848">
        <v>222</v>
      </c>
    </row>
    <row r="849" spans="1:12" x14ac:dyDescent="0.2">
      <c r="A849"/>
      <c r="B849"/>
      <c r="C849"/>
      <c r="D849"/>
      <c r="E849" s="2">
        <f>Comuni__2[[#This Row],[Popolazione2011]]/$D$7911</f>
        <v>1.1097372153919258E-3</v>
      </c>
      <c r="F849">
        <f>SUMIFS($D$2:$D$7909, $B$2:$B$7909, "Campania")</f>
        <v>5766810</v>
      </c>
      <c r="G849" s="1">
        <f>Comuni__2[[#This Row],[Popolazione2011]]/Comuni__2[[#This Row],[POPOLAZIONE TOTALE DI OGNI REGIONE (CON FILTRO)]]</f>
        <v>1.1435091497725779E-2</v>
      </c>
      <c r="H849" t="str">
        <f>IF(Comuni__2[[#This Row],[Popolazione2011]]&gt;300000,"MAGGIORE","")</f>
        <v/>
      </c>
      <c r="J849">
        <v>482</v>
      </c>
      <c r="K849">
        <v>3832</v>
      </c>
      <c r="L849">
        <v>239</v>
      </c>
    </row>
    <row r="850" spans="1:12" x14ac:dyDescent="0.2">
      <c r="A850"/>
      <c r="B850"/>
      <c r="C850"/>
      <c r="D850"/>
      <c r="E850" s="2">
        <f>Comuni__2[[#This Row],[Popolazione2011]]/$D$7911</f>
        <v>1.0739935261178078E-3</v>
      </c>
      <c r="F850">
        <f>SUMIFS($D$2:$D$7909, $B$2:$B$7909, "Campania")</f>
        <v>5766810</v>
      </c>
      <c r="G850" s="1">
        <f>Comuni__2[[#This Row],[Popolazione2011]]/Comuni__2[[#This Row],[POPOLAZIONE TOTALE DI OGNI REGIONE (CON FILTRO)]]</f>
        <v>1.1066776952942788E-2</v>
      </c>
      <c r="H850" t="str">
        <f>IF(Comuni__2[[#This Row],[Popolazione2011]]&gt;300000,"MAGGIORE","")</f>
        <v/>
      </c>
      <c r="J850">
        <v>471</v>
      </c>
      <c r="K850">
        <v>4146</v>
      </c>
      <c r="L850">
        <v>243</v>
      </c>
    </row>
    <row r="851" spans="1:12" x14ac:dyDescent="0.2">
      <c r="A851"/>
      <c r="B851"/>
      <c r="C851"/>
      <c r="D851"/>
      <c r="E851" s="2">
        <f>Comuni__2[[#This Row],[Popolazione2011]]/$D$7911</f>
        <v>1.0347663417025678E-3</v>
      </c>
      <c r="F851">
        <f>SUMIFS($D$2:$D$7909, $B$2:$B$7909, "Campania")</f>
        <v>5766810</v>
      </c>
      <c r="G851" s="1">
        <f>Comuni__2[[#This Row],[Popolazione2011]]/Comuni__2[[#This Row],[POPOLAZIONE TOTALE DI OGNI REGIONE (CON FILTRO)]]</f>
        <v>1.0662567346591963E-2</v>
      </c>
      <c r="H851" t="str">
        <f>IF(Comuni__2[[#This Row],[Popolazione2011]]&gt;300000,"MAGGIORE","")</f>
        <v/>
      </c>
      <c r="J851">
        <v>468</v>
      </c>
      <c r="K851">
        <v>4345</v>
      </c>
      <c r="L851">
        <v>250</v>
      </c>
    </row>
    <row r="852" spans="1:12" x14ac:dyDescent="0.2">
      <c r="A852"/>
      <c r="B852"/>
      <c r="C852"/>
      <c r="D852"/>
      <c r="E852" s="2">
        <f>Comuni__2[[#This Row],[Popolazione2011]]/$D$7911</f>
        <v>9.6265630943345466E-4</v>
      </c>
      <c r="F852">
        <f>SUMIFS($D$2:$D$7909, $B$2:$B$7909, "Campania")</f>
        <v>5766810</v>
      </c>
      <c r="G852" s="1">
        <f>Comuni__2[[#This Row],[Popolazione2011]]/Comuni__2[[#This Row],[POPOLAZIONE TOTALE DI OGNI REGIONE (CON FILTRO)]]</f>
        <v>9.9195222315283486E-3</v>
      </c>
      <c r="H852" t="str">
        <f>IF(Comuni__2[[#This Row],[Popolazione2011]]&gt;300000,"MAGGIORE","")</f>
        <v/>
      </c>
      <c r="J852">
        <v>473</v>
      </c>
      <c r="K852">
        <v>4536</v>
      </c>
      <c r="L852">
        <v>254</v>
      </c>
    </row>
    <row r="853" spans="1:12" x14ac:dyDescent="0.2">
      <c r="A853"/>
      <c r="B853"/>
      <c r="C853"/>
      <c r="D853"/>
      <c r="E853" s="2">
        <f>Comuni__2[[#This Row],[Popolazione2011]]/$D$7911</f>
        <v>9.5022006349486073E-4</v>
      </c>
      <c r="F853">
        <f>SUMIFS($D$2:$D$7909, $B$2:$B$7909, "Campania")</f>
        <v>5766810</v>
      </c>
      <c r="G853" s="1">
        <f>Comuni__2[[#This Row],[Popolazione2011]]/Comuni__2[[#This Row],[POPOLAZIONE TOTALE DI OGNI REGIONE (CON FILTRO)]]</f>
        <v>9.791375127670237E-3</v>
      </c>
      <c r="H853" t="str">
        <f>IF(Comuni__2[[#This Row],[Popolazione2011]]&gt;300000,"MAGGIORE","")</f>
        <v/>
      </c>
      <c r="J853">
        <v>476</v>
      </c>
      <c r="K853">
        <v>4643</v>
      </c>
      <c r="L853">
        <v>259</v>
      </c>
    </row>
    <row r="854" spans="1:12" x14ac:dyDescent="0.2">
      <c r="A854"/>
      <c r="B854"/>
      <c r="C854"/>
      <c r="D854"/>
      <c r="E854" s="2">
        <f>Comuni__2[[#This Row],[Popolazione2011]]/$D$7911</f>
        <v>9.3844012823502895E-4</v>
      </c>
      <c r="F854">
        <f>SUMIFS($D$2:$D$7909, $B$2:$B$7909, "Campania")</f>
        <v>5766810</v>
      </c>
      <c r="G854" s="1">
        <f>Comuni__2[[#This Row],[Popolazione2011]]/Comuni__2[[#This Row],[POPOLAZIONE TOTALE DI OGNI REGIONE (CON FILTRO)]]</f>
        <v>9.6699908614988183E-3</v>
      </c>
      <c r="H854" t="str">
        <f>IF(Comuni__2[[#This Row],[Popolazione2011]]&gt;300000,"MAGGIORE","")</f>
        <v/>
      </c>
      <c r="J854">
        <v>452</v>
      </c>
      <c r="K854">
        <v>4894</v>
      </c>
      <c r="L854">
        <v>272</v>
      </c>
    </row>
    <row r="855" spans="1:12" x14ac:dyDescent="0.2">
      <c r="A855"/>
      <c r="B855"/>
      <c r="C855"/>
      <c r="D855"/>
      <c r="E855" s="2">
        <f>Comuni__2[[#This Row],[Popolazione2011]]/$D$7911</f>
        <v>9.1247378522657117E-4</v>
      </c>
      <c r="F855">
        <f>SUMIFS($D$2:$D$7909, $B$2:$B$7909, "Campania")</f>
        <v>5766810</v>
      </c>
      <c r="G855" s="1">
        <f>Comuni__2[[#This Row],[Popolazione2011]]/Comuni__2[[#This Row],[POPOLAZIONE TOTALE DI OGNI REGIONE (CON FILTRO)]]</f>
        <v>9.4024252576381043E-3</v>
      </c>
      <c r="H855" t="str">
        <f>IF(Comuni__2[[#This Row],[Popolazione2011]]&gt;300000,"MAGGIORE","")</f>
        <v/>
      </c>
      <c r="J855">
        <v>448</v>
      </c>
      <c r="K855">
        <v>5139</v>
      </c>
      <c r="L855">
        <v>281</v>
      </c>
    </row>
    <row r="856" spans="1:12" x14ac:dyDescent="0.2">
      <c r="A856"/>
      <c r="B856"/>
      <c r="C856"/>
      <c r="D856"/>
      <c r="E856" s="2">
        <f>Comuni__2[[#This Row],[Popolazione2011]]/$D$7911</f>
        <v>9.0680258782290923E-4</v>
      </c>
      <c r="F856">
        <f>SUMIFS($D$2:$D$7909, $B$2:$B$7909, "Campania")</f>
        <v>5766810</v>
      </c>
      <c r="G856" s="1">
        <f>Comuni__2[[#This Row],[Popolazione2011]]/Comuni__2[[#This Row],[POPOLAZIONE TOTALE DI OGNI REGIONE (CON FILTRO)]]</f>
        <v>9.3439874037812929E-3</v>
      </c>
      <c r="H856" t="str">
        <f>IF(Comuni__2[[#This Row],[Popolazione2011]]&gt;300000,"MAGGIORE","")</f>
        <v/>
      </c>
      <c r="J856">
        <v>442</v>
      </c>
      <c r="K856">
        <v>5449</v>
      </c>
      <c r="L856">
        <v>295</v>
      </c>
    </row>
    <row r="857" spans="1:12" x14ac:dyDescent="0.2">
      <c r="A857"/>
      <c r="B857"/>
      <c r="C857"/>
      <c r="D857"/>
      <c r="E857" s="2">
        <f>Comuni__2[[#This Row],[Popolazione2011]]/$D$7911</f>
        <v>9.0330226420284496E-4</v>
      </c>
      <c r="F857">
        <f>SUMIFS($D$2:$D$7909, $B$2:$B$7909, "Campania")</f>
        <v>5766810</v>
      </c>
      <c r="G857" s="1">
        <f>Comuni__2[[#This Row],[Popolazione2011]]/Comuni__2[[#This Row],[POPOLAZIONE TOTALE DI OGNI REGIONE (CON FILTRO)]]</f>
        <v>9.307918936118929E-3</v>
      </c>
      <c r="H857" t="str">
        <f>IF(Comuni__2[[#This Row],[Popolazione2011]]&gt;300000,"MAGGIORE","")</f>
        <v/>
      </c>
      <c r="J857">
        <v>457</v>
      </c>
      <c r="K857">
        <v>5762</v>
      </c>
      <c r="L857">
        <v>301</v>
      </c>
    </row>
    <row r="858" spans="1:12" x14ac:dyDescent="0.2">
      <c r="A858"/>
      <c r="B858"/>
      <c r="C858"/>
      <c r="D858"/>
      <c r="E858" s="2">
        <f>Comuni__2[[#This Row],[Popolazione2011]]/$D$7911</f>
        <v>8.8904854253844844E-4</v>
      </c>
      <c r="F858">
        <f>SUMIFS($D$2:$D$7909, $B$2:$B$7909, "Campania")</f>
        <v>5766810</v>
      </c>
      <c r="G858" s="1">
        <f>Comuni__2[[#This Row],[Popolazione2011]]/Comuni__2[[#This Row],[POPOLAZIONE TOTALE DI OGNI REGIONE (CON FILTRO)]]</f>
        <v>9.161043974051512E-3</v>
      </c>
      <c r="H858" t="str">
        <f>IF(Comuni__2[[#This Row],[Popolazione2011]]&gt;300000,"MAGGIORE","")</f>
        <v/>
      </c>
      <c r="J858">
        <v>447</v>
      </c>
      <c r="K858">
        <v>6062</v>
      </c>
      <c r="L858">
        <v>310</v>
      </c>
    </row>
    <row r="859" spans="1:12" x14ac:dyDescent="0.2">
      <c r="A859"/>
      <c r="B859"/>
      <c r="C859"/>
      <c r="D859"/>
      <c r="E859" s="2">
        <f>Comuni__2[[#This Row],[Popolazione2011]]/$D$7911</f>
        <v>8.4923236136021703E-4</v>
      </c>
      <c r="F859">
        <f>SUMIFS($D$2:$D$7909, $B$2:$B$7909, "Campania")</f>
        <v>5766810</v>
      </c>
      <c r="G859" s="1">
        <f>Comuni__2[[#This Row],[Popolazione2011]]/Comuni__2[[#This Row],[POPOLAZIONE TOTALE DI OGNI REGIONE (CON FILTRO)]]</f>
        <v>8.750765154392116E-3</v>
      </c>
      <c r="H859" t="str">
        <f>IF(Comuni__2[[#This Row],[Popolazione2011]]&gt;300000,"MAGGIORE","")</f>
        <v/>
      </c>
      <c r="J859">
        <v>431</v>
      </c>
      <c r="K859">
        <v>6629</v>
      </c>
      <c r="L859">
        <v>322</v>
      </c>
    </row>
    <row r="860" spans="1:12" x14ac:dyDescent="0.2">
      <c r="A860"/>
      <c r="B860"/>
      <c r="C860"/>
      <c r="D860"/>
      <c r="E860" s="2">
        <f>Comuni__2[[#This Row],[Popolazione2011]]/$D$7911</f>
        <v>8.4164271735709677E-4</v>
      </c>
      <c r="F860">
        <f>SUMIFS($D$2:$D$7909, $B$2:$B$7909, "Campania")</f>
        <v>5766810</v>
      </c>
      <c r="G860" s="1">
        <f>Comuni__2[[#This Row],[Popolazione2011]]/Comuni__2[[#This Row],[POPOLAZIONE TOTALE DI OGNI REGIONE (CON FILTRO)]]</f>
        <v>8.6725590057588169E-3</v>
      </c>
      <c r="H860" t="str">
        <f>IF(Comuni__2[[#This Row],[Popolazione2011]]&gt;300000,"MAGGIORE","")</f>
        <v/>
      </c>
      <c r="J860">
        <v>424</v>
      </c>
      <c r="K860">
        <v>6987</v>
      </c>
      <c r="L860">
        <v>329</v>
      </c>
    </row>
    <row r="861" spans="1:12" x14ac:dyDescent="0.2">
      <c r="A861"/>
      <c r="B861"/>
      <c r="C861"/>
      <c r="D861"/>
      <c r="E861" s="2">
        <f>Comuni__2[[#This Row],[Popolazione2011]]/$D$7911</f>
        <v>8.1821747466897415E-4</v>
      </c>
      <c r="F861">
        <f>SUMIFS($D$2:$D$7909, $B$2:$B$7909, "Campania")</f>
        <v>5766810</v>
      </c>
      <c r="G861" s="1">
        <f>Comuni__2[[#This Row],[Popolazione2011]]/Comuni__2[[#This Row],[POPOLAZIONE TOTALE DI OGNI REGIONE (CON FILTRO)]]</f>
        <v>8.4311777221722228E-3</v>
      </c>
      <c r="H861" t="str">
        <f>IF(Comuni__2[[#This Row],[Popolazione2011]]&gt;300000,"MAGGIORE","")</f>
        <v/>
      </c>
      <c r="J861">
        <v>408</v>
      </c>
      <c r="K861">
        <v>7196</v>
      </c>
      <c r="L861">
        <v>339</v>
      </c>
    </row>
    <row r="862" spans="1:12" x14ac:dyDescent="0.2">
      <c r="A862"/>
      <c r="B862"/>
      <c r="C862"/>
      <c r="D862"/>
      <c r="E862" s="2">
        <f>Comuni__2[[#This Row],[Popolazione2011]]/$D$7911</f>
        <v>7.8358446500506867E-4</v>
      </c>
      <c r="F862">
        <f>SUMIFS($D$2:$D$7909, $B$2:$B$7909, "Campania")</f>
        <v>5766810</v>
      </c>
      <c r="G862" s="1">
        <f>Comuni__2[[#This Row],[Popolazione2011]]/Comuni__2[[#This Row],[POPOLAZIONE TOTALE DI OGNI REGIONE (CON FILTRO)]]</f>
        <v>8.0743079796282528E-3</v>
      </c>
      <c r="H862" t="str">
        <f>IF(Comuni__2[[#This Row],[Popolazione2011]]&gt;300000,"MAGGIORE","")</f>
        <v/>
      </c>
      <c r="J862">
        <v>422</v>
      </c>
      <c r="K862">
        <v>7533</v>
      </c>
      <c r="L862">
        <v>343</v>
      </c>
    </row>
    <row r="863" spans="1:12" x14ac:dyDescent="0.2">
      <c r="A863"/>
      <c r="B863"/>
      <c r="C863"/>
      <c r="D863"/>
      <c r="E863" s="2">
        <f>Comuni__2[[#This Row],[Popolazione2011]]/$D$7911</f>
        <v>7.6608284690474714E-4</v>
      </c>
      <c r="F863">
        <f>SUMIFS($D$2:$D$7909, $B$2:$B$7909, "Campania")</f>
        <v>5766810</v>
      </c>
      <c r="G863" s="1">
        <f>Comuni__2[[#This Row],[Popolazione2011]]/Comuni__2[[#This Row],[POPOLAZIONE TOTALE DI OGNI REGIONE (CON FILTRO)]]</f>
        <v>7.8939656413164298E-3</v>
      </c>
      <c r="H863" t="str">
        <f>IF(Comuni__2[[#This Row],[Popolazione2011]]&gt;300000,"MAGGIORE","")</f>
        <v/>
      </c>
      <c r="J863">
        <v>0</v>
      </c>
      <c r="K863">
        <v>0</v>
      </c>
      <c r="L863">
        <v>0</v>
      </c>
    </row>
    <row r="864" spans="1:12" x14ac:dyDescent="0.2">
      <c r="A864"/>
      <c r="B864"/>
      <c r="C864"/>
      <c r="D864"/>
      <c r="E864" s="2">
        <f>Comuni__2[[#This Row],[Popolazione2011]]/$D$7911</f>
        <v>7.3239223206162816E-4</v>
      </c>
      <c r="F864">
        <f>SUMIFS($D$2:$D$7909, $B$2:$B$7909, "Campania")</f>
        <v>5766810</v>
      </c>
      <c r="G864" s="1">
        <f>Comuni__2[[#This Row],[Popolazione2011]]/Comuni__2[[#This Row],[POPOLAZIONE TOTALE DI OGNI REGIONE (CON FILTRO)]]</f>
        <v>7.5468066400661716E-3</v>
      </c>
      <c r="H864" t="str">
        <f>IF(Comuni__2[[#This Row],[Popolazione2011]]&gt;300000,"MAGGIORE","")</f>
        <v/>
      </c>
      <c r="J864">
        <v>0</v>
      </c>
      <c r="K864">
        <v>0</v>
      </c>
      <c r="L864">
        <v>0</v>
      </c>
    </row>
    <row r="865" spans="1:12" x14ac:dyDescent="0.2">
      <c r="A865"/>
      <c r="B865"/>
      <c r="C865"/>
      <c r="D865"/>
      <c r="E865" s="2">
        <f>Comuni__2[[#This Row],[Popolazione2011]]/$D$7911</f>
        <v>6.7813721595063139E-4</v>
      </c>
      <c r="F865">
        <f>SUMIFS($D$2:$D$7909, $B$2:$B$7909, "Campania")</f>
        <v>5766810</v>
      </c>
      <c r="G865" s="1">
        <f>Comuni__2[[#This Row],[Popolazione2011]]/Comuni__2[[#This Row],[POPOLAZIONE TOTALE DI OGNI REGIONE (CON FILTRO)]]</f>
        <v>6.9877453912995224E-3</v>
      </c>
      <c r="H865" t="str">
        <f>IF(Comuni__2[[#This Row],[Popolazione2011]]&gt;300000,"MAGGIORE","")</f>
        <v/>
      </c>
      <c r="J865">
        <v>0</v>
      </c>
      <c r="K865">
        <v>0</v>
      </c>
      <c r="L865">
        <v>0</v>
      </c>
    </row>
    <row r="866" spans="1:12" x14ac:dyDescent="0.2">
      <c r="A866"/>
      <c r="B866"/>
      <c r="C866"/>
      <c r="D866"/>
      <c r="E866" s="2">
        <f>Comuni__2[[#This Row],[Popolazione2011]]/$D$7911</f>
        <v>6.745359214569114E-4</v>
      </c>
      <c r="F866">
        <f>SUMIFS($D$2:$D$7909, $B$2:$B$7909, "Campania")</f>
        <v>5766810</v>
      </c>
      <c r="G866" s="1">
        <f>Comuni__2[[#This Row],[Popolazione2011]]/Comuni__2[[#This Row],[POPOLAZIONE TOTALE DI OGNI REGIONE (CON FILTRO)]]</f>
        <v>6.9506364870699743E-3</v>
      </c>
      <c r="H866" t="str">
        <f>IF(Comuni__2[[#This Row],[Popolazione2011]]&gt;300000,"MAGGIORE","")</f>
        <v/>
      </c>
      <c r="J866">
        <v>2</v>
      </c>
      <c r="K866">
        <v>0</v>
      </c>
      <c r="L866">
        <v>0</v>
      </c>
    </row>
    <row r="867" spans="1:12" x14ac:dyDescent="0.2">
      <c r="A867"/>
      <c r="B867"/>
      <c r="C867"/>
      <c r="D867"/>
      <c r="E867" s="2">
        <f>Comuni__2[[#This Row],[Popolazione2011]]/$D$7911</f>
        <v>6.6319352664958762E-4</v>
      </c>
      <c r="F867">
        <f>SUMIFS($D$2:$D$7909, $B$2:$B$7909, "Campania")</f>
        <v>5766810</v>
      </c>
      <c r="G867" s="1">
        <f>Comuni__2[[#This Row],[Popolazione2011]]/Comuni__2[[#This Row],[POPOLAZIONE TOTALE DI OGNI REGIONE (CON FILTRO)]]</f>
        <v>6.8337607793563515E-3</v>
      </c>
      <c r="H867" t="str">
        <f>IF(Comuni__2[[#This Row],[Popolazione2011]]&gt;300000,"MAGGIORE","")</f>
        <v/>
      </c>
      <c r="J867">
        <v>2</v>
      </c>
      <c r="K867">
        <v>0</v>
      </c>
      <c r="L867">
        <v>0</v>
      </c>
    </row>
    <row r="868" spans="1:12" x14ac:dyDescent="0.2">
      <c r="A868"/>
      <c r="B868"/>
      <c r="C868"/>
      <c r="D868"/>
      <c r="E868" s="2">
        <f>Comuni__2[[#This Row],[Popolazione2011]]/$D$7911</f>
        <v>6.6002977260837573E-4</v>
      </c>
      <c r="F868">
        <f>SUMIFS($D$2:$D$7909, $B$2:$B$7909, "Campania")</f>
        <v>5766810</v>
      </c>
      <c r="G868" s="1">
        <f>Comuni__2[[#This Row],[Popolazione2011]]/Comuni__2[[#This Row],[POPOLAZIONE TOTALE DI OGNI REGIONE (CON FILTRO)]]</f>
        <v>6.8011604335845985E-3</v>
      </c>
      <c r="H868" t="str">
        <f>IF(Comuni__2[[#This Row],[Popolazione2011]]&gt;300000,"MAGGIORE","")</f>
        <v/>
      </c>
      <c r="J868">
        <v>3</v>
      </c>
      <c r="K868">
        <v>0</v>
      </c>
      <c r="L868">
        <v>0</v>
      </c>
    </row>
    <row r="869" spans="1:12" x14ac:dyDescent="0.2">
      <c r="A869"/>
      <c r="B869"/>
      <c r="C869"/>
      <c r="D869"/>
      <c r="E869" s="2">
        <f>Comuni__2[[#This Row],[Popolazione2011]]/$D$7911</f>
        <v>6.4316763670787364E-4</v>
      </c>
      <c r="F869">
        <f>SUMIFS($D$2:$D$7909, $B$2:$B$7909, "Campania")</f>
        <v>5766810</v>
      </c>
      <c r="G869" s="1">
        <f>Comuni__2[[#This Row],[Popolazione2011]]/Comuni__2[[#This Row],[POPOLAZIONE TOTALE DI OGNI REGIONE (CON FILTRO)]]</f>
        <v>6.6274075268649389E-3</v>
      </c>
      <c r="H869" t="str">
        <f>IF(Comuni__2[[#This Row],[Popolazione2011]]&gt;300000,"MAGGIORE","")</f>
        <v/>
      </c>
      <c r="J869">
        <v>4</v>
      </c>
      <c r="K869">
        <v>0</v>
      </c>
      <c r="L869">
        <v>0</v>
      </c>
    </row>
    <row r="870" spans="1:12" x14ac:dyDescent="0.2">
      <c r="A870"/>
      <c r="B870"/>
      <c r="C870"/>
      <c r="D870"/>
      <c r="E870" s="2">
        <f>Comuni__2[[#This Row],[Popolazione2011]]/$D$7911</f>
        <v>6.3365954610529506E-4</v>
      </c>
      <c r="F870">
        <f>SUMIFS($D$2:$D$7909, $B$2:$B$7909, "Campania")</f>
        <v>5766810</v>
      </c>
      <c r="G870" s="1">
        <f>Comuni__2[[#This Row],[Popolazione2011]]/Comuni__2[[#This Row],[POPOLAZIONE TOTALE DI OGNI REGIONE (CON FILTRO)]]</f>
        <v>6.5294330834551511E-3</v>
      </c>
      <c r="H870" t="str">
        <f>IF(Comuni__2[[#This Row],[Popolazione2011]]&gt;300000,"MAGGIORE","")</f>
        <v/>
      </c>
      <c r="J870">
        <v>4</v>
      </c>
      <c r="K870">
        <v>0</v>
      </c>
      <c r="L870">
        <v>0</v>
      </c>
    </row>
    <row r="871" spans="1:12" x14ac:dyDescent="0.2">
      <c r="A871"/>
      <c r="B871"/>
      <c r="C871"/>
      <c r="D871"/>
      <c r="E871" s="2">
        <f>Comuni__2[[#This Row],[Popolazione2011]]/$D$7911</f>
        <v>6.215262127876683E-4</v>
      </c>
      <c r="F871">
        <f>SUMIFS($D$2:$D$7909, $B$2:$B$7909, "Campania")</f>
        <v>5766810</v>
      </c>
      <c r="G871" s="1">
        <f>Comuni__2[[#This Row],[Popolazione2011]]/Comuni__2[[#This Row],[POPOLAZIONE TOTALE DI OGNI REGIONE (CON FILTRO)]]</f>
        <v>6.4044072892985894E-3</v>
      </c>
      <c r="H871" t="str">
        <f>IF(Comuni__2[[#This Row],[Popolazione2011]]&gt;300000,"MAGGIORE","")</f>
        <v/>
      </c>
      <c r="J871">
        <v>11</v>
      </c>
      <c r="K871">
        <v>0</v>
      </c>
      <c r="L871">
        <v>0</v>
      </c>
    </row>
    <row r="872" spans="1:12" x14ac:dyDescent="0.2">
      <c r="A872"/>
      <c r="B872"/>
      <c r="C872"/>
      <c r="D872"/>
      <c r="E872" s="2">
        <f>Comuni__2[[#This Row],[Popolazione2011]]/$D$7911</f>
        <v>5.8786925490243464E-4</v>
      </c>
      <c r="F872">
        <f>SUMIFS($D$2:$D$7909, $B$2:$B$7909, "Campania")</f>
        <v>5766810</v>
      </c>
      <c r="G872" s="1">
        <f>Comuni__2[[#This Row],[Popolazione2011]]/Comuni__2[[#This Row],[POPOLAZIONE TOTALE DI OGNI REGIONE (CON FILTRO)]]</f>
        <v>6.0575951002373929E-3</v>
      </c>
      <c r="H872" t="str">
        <f>IF(Comuni__2[[#This Row],[Popolazione2011]]&gt;300000,"MAGGIORE","")</f>
        <v/>
      </c>
      <c r="J872">
        <v>11</v>
      </c>
      <c r="K872">
        <v>0</v>
      </c>
      <c r="L872">
        <v>0</v>
      </c>
    </row>
    <row r="873" spans="1:12" x14ac:dyDescent="0.2">
      <c r="A873"/>
      <c r="B873"/>
      <c r="C873"/>
      <c r="D873"/>
      <c r="E873" s="2">
        <f>Comuni__2[[#This Row],[Popolazione2011]]/$D$7911</f>
        <v>5.8346019341946897E-4</v>
      </c>
      <c r="F873">
        <f>SUMIFS($D$2:$D$7909, $B$2:$B$7909, "Campania")</f>
        <v>5766810</v>
      </c>
      <c r="G873" s="1">
        <f>Comuni__2[[#This Row],[Popolazione2011]]/Comuni__2[[#This Row],[POPOLAZIONE TOTALE DI OGNI REGIONE (CON FILTRO)]]</f>
        <v>6.0121627034703763E-3</v>
      </c>
      <c r="H873" t="str">
        <f>IF(Comuni__2[[#This Row],[Popolazione2011]]&gt;300000,"MAGGIORE","")</f>
        <v/>
      </c>
      <c r="J873">
        <v>12</v>
      </c>
      <c r="K873">
        <v>0</v>
      </c>
      <c r="L873">
        <v>0</v>
      </c>
    </row>
    <row r="874" spans="1:12" x14ac:dyDescent="0.2">
      <c r="A874"/>
      <c r="B874"/>
      <c r="C874"/>
      <c r="D874"/>
      <c r="E874" s="2">
        <f>Comuni__2[[#This Row],[Popolazione2011]]/$D$7911</f>
        <v>5.8213074358300229E-4</v>
      </c>
      <c r="F874">
        <f>SUMIFS($D$2:$D$7909, $B$2:$B$7909, "Campania")</f>
        <v>5766810</v>
      </c>
      <c r="G874" s="1">
        <f>Comuni__2[[#This Row],[Popolazione2011]]/Comuni__2[[#This Row],[POPOLAZIONE TOTALE DI OGNI REGIONE (CON FILTRO)]]</f>
        <v>5.998463622002459E-3</v>
      </c>
      <c r="H874" t="str">
        <f>IF(Comuni__2[[#This Row],[Popolazione2011]]&gt;300000,"MAGGIORE","")</f>
        <v/>
      </c>
      <c r="J874">
        <v>12</v>
      </c>
      <c r="K874">
        <v>0</v>
      </c>
      <c r="L874">
        <v>0</v>
      </c>
    </row>
    <row r="875" spans="1:12" x14ac:dyDescent="0.2">
      <c r="A875"/>
      <c r="B875"/>
      <c r="C875"/>
      <c r="D875"/>
      <c r="E875" s="2">
        <f>Comuni__2[[#This Row],[Popolazione2011]]/$D$7911</f>
        <v>5.8064983743605196E-4</v>
      </c>
      <c r="F875">
        <f>SUMIFS($D$2:$D$7909, $B$2:$B$7909, "Campania")</f>
        <v>5766810</v>
      </c>
      <c r="G875" s="1">
        <f>Comuni__2[[#This Row],[Popolazione2011]]/Comuni__2[[#This Row],[POPOLAZIONE TOTALE DI OGNI REGIONE (CON FILTRO)]]</f>
        <v>5.9832038856837662E-3</v>
      </c>
      <c r="H875" t="str">
        <f>IF(Comuni__2[[#This Row],[Popolazione2011]]&gt;300000,"MAGGIORE","")</f>
        <v/>
      </c>
      <c r="J875">
        <v>16</v>
      </c>
      <c r="K875">
        <v>0</v>
      </c>
      <c r="L875">
        <v>0</v>
      </c>
    </row>
    <row r="876" spans="1:12" x14ac:dyDescent="0.2">
      <c r="A876"/>
      <c r="B876"/>
      <c r="C876"/>
      <c r="D876"/>
      <c r="E876" s="2">
        <f>Comuni__2[[#This Row],[Popolazione2011]]/$D$7911</f>
        <v>5.739689312958331E-4</v>
      </c>
      <c r="F876">
        <f>SUMIFS($D$2:$D$7909, $B$2:$B$7909, "Campania")</f>
        <v>5766810</v>
      </c>
      <c r="G876" s="1">
        <f>Comuni__2[[#This Row],[Popolazione2011]]/Comuni__2[[#This Row],[POPOLAZIONE TOTALE DI OGNI REGIONE (CON FILTRO)]]</f>
        <v>5.9143616661551188E-3</v>
      </c>
      <c r="H876" t="str">
        <f>IF(Comuni__2[[#This Row],[Popolazione2011]]&gt;300000,"MAGGIORE","")</f>
        <v/>
      </c>
      <c r="J876">
        <v>37</v>
      </c>
      <c r="K876">
        <v>1</v>
      </c>
      <c r="L876">
        <v>0</v>
      </c>
    </row>
    <row r="877" spans="1:12" x14ac:dyDescent="0.2">
      <c r="A877"/>
      <c r="B877"/>
      <c r="C877"/>
      <c r="D877"/>
      <c r="E877" s="2">
        <f>Comuni__2[[#This Row],[Popolazione2011]]/$D$7911</f>
        <v>5.7181488599117813E-4</v>
      </c>
      <c r="F877">
        <f>SUMIFS($D$2:$D$7909, $B$2:$B$7909, "Campania")</f>
        <v>5766810</v>
      </c>
      <c r="G877" s="1">
        <f>Comuni__2[[#This Row],[Popolazione2011]]/Comuni__2[[#This Row],[POPOLAZIONE TOTALE DI OGNI REGIONE (CON FILTRO)]]</f>
        <v>5.8921656860552018E-3</v>
      </c>
      <c r="H877" t="str">
        <f>IF(Comuni__2[[#This Row],[Popolazione2011]]&gt;300000,"MAGGIORE","")</f>
        <v/>
      </c>
      <c r="J877">
        <v>50</v>
      </c>
      <c r="K877">
        <v>1</v>
      </c>
      <c r="L877">
        <v>0</v>
      </c>
    </row>
    <row r="878" spans="1:12" x14ac:dyDescent="0.2">
      <c r="A878"/>
      <c r="B878"/>
      <c r="C878"/>
      <c r="D878"/>
      <c r="E878" s="2">
        <f>Comuni__2[[#This Row],[Popolazione2011]]/$D$7911</f>
        <v>5.4820453003468666E-4</v>
      </c>
      <c r="F878">
        <f>SUMIFS($D$2:$D$7909, $B$2:$B$7909, "Campania")</f>
        <v>5766810</v>
      </c>
      <c r="G878" s="1">
        <f>Comuni__2[[#This Row],[Popolazione2011]]/Comuni__2[[#This Row],[POPOLAZIONE TOTALE DI OGNI REGIONE (CON FILTRO)]]</f>
        <v>5.6488769354287724E-3</v>
      </c>
      <c r="H878" t="str">
        <f>IF(Comuni__2[[#This Row],[Popolazione2011]]&gt;300000,"MAGGIORE","")</f>
        <v/>
      </c>
      <c r="J878">
        <v>41</v>
      </c>
      <c r="K878">
        <v>1</v>
      </c>
      <c r="L878">
        <v>0</v>
      </c>
    </row>
    <row r="879" spans="1:12" x14ac:dyDescent="0.2">
      <c r="A879"/>
      <c r="B879"/>
      <c r="C879"/>
      <c r="D879"/>
      <c r="E879" s="2">
        <f>Comuni__2[[#This Row],[Popolazione2011]]/$D$7911</f>
        <v>5.4697605107187569E-4</v>
      </c>
      <c r="F879">
        <f>SUMIFS($D$2:$D$7909, $B$2:$B$7909, "Campania")</f>
        <v>5766810</v>
      </c>
      <c r="G879" s="1">
        <f>Comuni__2[[#This Row],[Popolazione2011]]/Comuni__2[[#This Row],[POPOLAZIONE TOTALE DI OGNI REGIONE (CON FILTRO)]]</f>
        <v>5.6362182905280393E-3</v>
      </c>
      <c r="H879" t="str">
        <f>IF(Comuni__2[[#This Row],[Popolazione2011]]&gt;300000,"MAGGIORE","")</f>
        <v/>
      </c>
      <c r="J879">
        <v>67</v>
      </c>
      <c r="K879">
        <v>4</v>
      </c>
      <c r="L879">
        <v>1</v>
      </c>
    </row>
    <row r="880" spans="1:12" x14ac:dyDescent="0.2">
      <c r="A880"/>
      <c r="B880"/>
      <c r="C880"/>
      <c r="D880"/>
      <c r="E880" s="2">
        <f>Comuni__2[[#This Row],[Popolazione2011]]/$D$7911</f>
        <v>5.2218770158940107E-4</v>
      </c>
      <c r="F880">
        <f>SUMIFS($D$2:$D$7909, $B$2:$B$7909, "Campania")</f>
        <v>5766810</v>
      </c>
      <c r="G880" s="1">
        <f>Comuni__2[[#This Row],[Popolazione2011]]/Comuni__2[[#This Row],[POPOLAZIONE TOTALE DI OGNI REGIONE (CON FILTRO)]]</f>
        <v>5.3807911132844671E-3</v>
      </c>
      <c r="H880" t="str">
        <f>IF(Comuni__2[[#This Row],[Popolazione2011]]&gt;300000,"MAGGIORE","")</f>
        <v/>
      </c>
      <c r="J880">
        <v>67</v>
      </c>
      <c r="K880">
        <v>4</v>
      </c>
      <c r="L880">
        <v>1</v>
      </c>
    </row>
    <row r="881" spans="1:12" x14ac:dyDescent="0.2">
      <c r="A881"/>
      <c r="B881"/>
      <c r="C881"/>
      <c r="D881"/>
      <c r="E881" s="2">
        <f>Comuni__2[[#This Row],[Popolazione2011]]/$D$7911</f>
        <v>5.0901100257733209E-4</v>
      </c>
      <c r="F881">
        <f>SUMIFS($D$2:$D$7909, $B$2:$B$7909, "Campania")</f>
        <v>5766810</v>
      </c>
      <c r="G881" s="1">
        <f>Comuni__2[[#This Row],[Popolazione2011]]/Comuni__2[[#This Row],[POPOLAZIONE TOTALE DI OGNI REGIONE (CON FILTRO)]]</f>
        <v>5.2450141412670086E-3</v>
      </c>
      <c r="H881" t="str">
        <f>IF(Comuni__2[[#This Row],[Popolazione2011]]&gt;300000,"MAGGIORE","")</f>
        <v/>
      </c>
      <c r="J881">
        <v>79</v>
      </c>
      <c r="K881">
        <v>5</v>
      </c>
      <c r="L881">
        <v>2</v>
      </c>
    </row>
    <row r="882" spans="1:12" x14ac:dyDescent="0.2">
      <c r="A882"/>
      <c r="B882"/>
      <c r="C882"/>
      <c r="D882"/>
      <c r="E882" s="2">
        <f>Comuni__2[[#This Row],[Popolazione2011]]/$D$7911</f>
        <v>5.0891003170367636E-4</v>
      </c>
      <c r="F882">
        <f>SUMIFS($D$2:$D$7909, $B$2:$B$7909, "Campania")</f>
        <v>5766810</v>
      </c>
      <c r="G882" s="1">
        <f>Comuni__2[[#This Row],[Popolazione2011]]/Comuni__2[[#This Row],[POPOLAZIONE TOTALE DI OGNI REGIONE (CON FILTRO)]]</f>
        <v>5.2439737046998253E-3</v>
      </c>
      <c r="H882" t="str">
        <f>IF(Comuni__2[[#This Row],[Popolazione2011]]&gt;300000,"MAGGIORE","")</f>
        <v/>
      </c>
      <c r="J882">
        <v>89</v>
      </c>
      <c r="K882">
        <v>23</v>
      </c>
      <c r="L882">
        <v>6</v>
      </c>
    </row>
    <row r="883" spans="1:12" x14ac:dyDescent="0.2">
      <c r="A883"/>
      <c r="B883"/>
      <c r="C883"/>
      <c r="D883"/>
      <c r="E883" s="2">
        <f>Comuni__2[[#This Row],[Popolazione2011]]/$D$7911</f>
        <v>5.0572944918352177E-4</v>
      </c>
      <c r="F883">
        <f>SUMIFS($D$2:$D$7909, $B$2:$B$7909, "Campania")</f>
        <v>5766810</v>
      </c>
      <c r="G883" s="1">
        <f>Comuni__2[[#This Row],[Popolazione2011]]/Comuni__2[[#This Row],[POPOLAZIONE TOTALE DI OGNI REGIONE (CON FILTRO)]]</f>
        <v>5.2111999528335427E-3</v>
      </c>
      <c r="H883" t="str">
        <f>IF(Comuni__2[[#This Row],[Popolazione2011]]&gt;300000,"MAGGIORE","")</f>
        <v/>
      </c>
      <c r="J883">
        <v>95</v>
      </c>
      <c r="K883">
        <v>28</v>
      </c>
      <c r="L883">
        <v>9</v>
      </c>
    </row>
    <row r="884" spans="1:12" x14ac:dyDescent="0.2">
      <c r="A884"/>
      <c r="B884"/>
      <c r="C884"/>
      <c r="D884"/>
      <c r="E884" s="2">
        <f>Comuni__2[[#This Row],[Popolazione2011]]/$D$7911</f>
        <v>4.9659158511768076E-4</v>
      </c>
      <c r="F884">
        <f>SUMIFS($D$2:$D$7909, $B$2:$B$7909, "Campania")</f>
        <v>5766810</v>
      </c>
      <c r="G884" s="1">
        <f>Comuni__2[[#This Row],[Popolazione2011]]/Comuni__2[[#This Row],[POPOLAZIONE TOTALE DI OGNI REGIONE (CON FILTRO)]]</f>
        <v>5.1170404435034273E-3</v>
      </c>
      <c r="H884" t="str">
        <f>IF(Comuni__2[[#This Row],[Popolazione2011]]&gt;300000,"MAGGIORE","")</f>
        <v/>
      </c>
      <c r="J884">
        <v>125</v>
      </c>
      <c r="K884">
        <v>28</v>
      </c>
      <c r="L884">
        <v>9</v>
      </c>
    </row>
    <row r="885" spans="1:12" x14ac:dyDescent="0.2">
      <c r="A885"/>
      <c r="B885"/>
      <c r="C885"/>
      <c r="D885"/>
      <c r="E885" s="2">
        <f>Comuni__2[[#This Row],[Popolazione2011]]/$D$7911</f>
        <v>4.622278311168572E-4</v>
      </c>
      <c r="F885">
        <f>SUMIFS($D$2:$D$7909, $B$2:$B$7909, "Campania")</f>
        <v>5766810</v>
      </c>
      <c r="G885" s="1">
        <f>Comuni__2[[#This Row],[Popolazione2011]]/Comuni__2[[#This Row],[POPOLAZIONE TOTALE DI OGNI REGIONE (CON FILTRO)]]</f>
        <v>4.7629451984719457E-3</v>
      </c>
      <c r="H885" t="str">
        <f>IF(Comuni__2[[#This Row],[Popolazione2011]]&gt;300000,"MAGGIORE","")</f>
        <v/>
      </c>
      <c r="J885">
        <v>151</v>
      </c>
      <c r="K885">
        <v>28</v>
      </c>
      <c r="L885">
        <v>9</v>
      </c>
    </row>
    <row r="886" spans="1:12" x14ac:dyDescent="0.2">
      <c r="A886"/>
      <c r="B886"/>
      <c r="C886"/>
      <c r="D886"/>
      <c r="E886" s="2">
        <f>Comuni__2[[#This Row],[Popolazione2011]]/$D$7911</f>
        <v>4.6205954632743101E-4</v>
      </c>
      <c r="F886">
        <f>SUMIFS($D$2:$D$7909, $B$2:$B$7909, "Campania")</f>
        <v>5766810</v>
      </c>
      <c r="G886" s="1">
        <f>Comuni__2[[#This Row],[Popolazione2011]]/Comuni__2[[#This Row],[POPOLAZIONE TOTALE DI OGNI REGIONE (CON FILTRO)]]</f>
        <v>4.7612111375266398E-3</v>
      </c>
      <c r="H886" t="str">
        <f>IF(Comuni__2[[#This Row],[Popolazione2011]]&gt;300000,"MAGGIORE","")</f>
        <v/>
      </c>
      <c r="J886">
        <v>151</v>
      </c>
      <c r="K886">
        <v>28</v>
      </c>
      <c r="L886">
        <v>9</v>
      </c>
    </row>
    <row r="887" spans="1:12" x14ac:dyDescent="0.2">
      <c r="A887"/>
      <c r="B887"/>
      <c r="C887"/>
      <c r="D887"/>
      <c r="E887" s="2">
        <f>Comuni__2[[#This Row],[Popolazione2011]]/$D$7911</f>
        <v>4.5935016121766972E-4</v>
      </c>
      <c r="F887">
        <f>SUMIFS($D$2:$D$7909, $B$2:$B$7909, "Campania")</f>
        <v>5766810</v>
      </c>
      <c r="G887" s="1">
        <f>Comuni__2[[#This Row],[Popolazione2011]]/Comuni__2[[#This Row],[POPOLAZIONE TOTALE DI OGNI REGIONE (CON FILTRO)]]</f>
        <v>4.7332927563072131E-3</v>
      </c>
      <c r="H887" t="str">
        <f>IF(Comuni__2[[#This Row],[Popolazione2011]]&gt;300000,"MAGGIORE","")</f>
        <v/>
      </c>
      <c r="J887">
        <v>249</v>
      </c>
      <c r="K887">
        <v>30</v>
      </c>
      <c r="L887">
        <v>17</v>
      </c>
    </row>
    <row r="888" spans="1:12" x14ac:dyDescent="0.2">
      <c r="A888"/>
      <c r="B888"/>
      <c r="C888"/>
      <c r="D888"/>
      <c r="E888" s="2">
        <f>Comuni__2[[#This Row],[Popolazione2011]]/$D$7911</f>
        <v>4.5554692497663828E-4</v>
      </c>
      <c r="F888">
        <f>SUMIFS($D$2:$D$7909, $B$2:$B$7909, "Campania")</f>
        <v>5766810</v>
      </c>
      <c r="G888" s="1">
        <f>Comuni__2[[#This Row],[Popolazione2011]]/Comuni__2[[#This Row],[POPOLAZIONE TOTALE DI OGNI REGIONE (CON FILTRO)]]</f>
        <v>4.6941029789432983E-3</v>
      </c>
      <c r="H888" t="str">
        <f>IF(Comuni__2[[#This Row],[Popolazione2011]]&gt;300000,"MAGGIORE","")</f>
        <v/>
      </c>
      <c r="J888">
        <v>171</v>
      </c>
      <c r="K888">
        <v>30</v>
      </c>
      <c r="L888">
        <v>17</v>
      </c>
    </row>
    <row r="889" spans="1:12" x14ac:dyDescent="0.2">
      <c r="A889"/>
      <c r="B889"/>
      <c r="C889"/>
      <c r="D889"/>
      <c r="E889" s="2">
        <f>Comuni__2[[#This Row],[Popolazione2011]]/$D$7911</f>
        <v>4.4844530686285398E-4</v>
      </c>
      <c r="F889">
        <f>SUMIFS($D$2:$D$7909, $B$2:$B$7909, "Campania")</f>
        <v>5766810</v>
      </c>
      <c r="G889" s="1">
        <f>Comuni__2[[#This Row],[Popolazione2011]]/Comuni__2[[#This Row],[POPOLAZIONE TOTALE DI OGNI REGIONE (CON FILTRO)]]</f>
        <v>4.6209256070513854E-3</v>
      </c>
      <c r="H889" t="str">
        <f>IF(Comuni__2[[#This Row],[Popolazione2011]]&gt;300000,"MAGGIORE","")</f>
        <v/>
      </c>
      <c r="J889">
        <v>320</v>
      </c>
      <c r="K889">
        <v>29</v>
      </c>
      <c r="L889">
        <v>22</v>
      </c>
    </row>
    <row r="890" spans="1:12" x14ac:dyDescent="0.2">
      <c r="A890"/>
      <c r="B890"/>
      <c r="C890"/>
      <c r="D890"/>
      <c r="E890" s="2">
        <f>Comuni__2[[#This Row],[Popolazione2011]]/$D$7911</f>
        <v>4.2811650430017283E-4</v>
      </c>
      <c r="F890">
        <f>SUMIFS($D$2:$D$7909, $B$2:$B$7909, "Campania")</f>
        <v>5766810</v>
      </c>
      <c r="G890" s="1">
        <f>Comuni__2[[#This Row],[Popolazione2011]]/Comuni__2[[#This Row],[POPOLAZIONE TOTALE DI OGNI REGIONE (CON FILTRO)]]</f>
        <v>4.4114510448584228E-3</v>
      </c>
      <c r="H890" t="str">
        <f>IF(Comuni__2[[#This Row],[Popolazione2011]]&gt;300000,"MAGGIORE","")</f>
        <v/>
      </c>
      <c r="J890">
        <v>342</v>
      </c>
      <c r="K890">
        <v>41</v>
      </c>
      <c r="L890">
        <v>29</v>
      </c>
    </row>
    <row r="891" spans="1:12" x14ac:dyDescent="0.2">
      <c r="A891"/>
      <c r="B891"/>
      <c r="C891"/>
      <c r="D891"/>
      <c r="E891" s="2">
        <f>Comuni__2[[#This Row],[Popolazione2011]]/$D$7911</f>
        <v>4.2232750754391262E-4</v>
      </c>
      <c r="F891">
        <f>SUMIFS($D$2:$D$7909, $B$2:$B$7909, "Campania")</f>
        <v>5766810</v>
      </c>
      <c r="G891" s="1">
        <f>Comuni__2[[#This Row],[Popolazione2011]]/Comuni__2[[#This Row],[POPOLAZIONE TOTALE DI OGNI REGIONE (CON FILTRO)]]</f>
        <v>4.3517993483398968E-3</v>
      </c>
      <c r="H891" t="str">
        <f>IF(Comuni__2[[#This Row],[Popolazione2011]]&gt;300000,"MAGGIORE","")</f>
        <v/>
      </c>
      <c r="J891">
        <v>376</v>
      </c>
      <c r="K891">
        <v>48</v>
      </c>
      <c r="L891">
        <v>49</v>
      </c>
    </row>
    <row r="892" spans="1:12" x14ac:dyDescent="0.2">
      <c r="A892"/>
      <c r="B892"/>
      <c r="C892"/>
      <c r="D892"/>
      <c r="E892" s="2">
        <f>Comuni__2[[#This Row],[Popolazione2011]]/$D$7911</f>
        <v>4.1727896386112756E-4</v>
      </c>
      <c r="F892">
        <f>SUMIFS($D$2:$D$7909, $B$2:$B$7909, "Campania")</f>
        <v>5766810</v>
      </c>
      <c r="G892" s="1">
        <f>Comuni__2[[#This Row],[Popolazione2011]]/Comuni__2[[#This Row],[POPOLAZIONE TOTALE DI OGNI REGIONE (CON FILTRO)]]</f>
        <v>4.2997775199807176E-3</v>
      </c>
      <c r="H892" t="str">
        <f>IF(Comuni__2[[#This Row],[Popolazione2011]]&gt;300000,"MAGGIORE","")</f>
        <v/>
      </c>
      <c r="J892">
        <v>526</v>
      </c>
      <c r="K892">
        <v>53</v>
      </c>
      <c r="L892">
        <v>56</v>
      </c>
    </row>
    <row r="893" spans="1:12" x14ac:dyDescent="0.2">
      <c r="A893"/>
      <c r="B893"/>
      <c r="C893"/>
      <c r="D893"/>
      <c r="E893" s="2">
        <f>Comuni__2[[#This Row],[Popolazione2011]]/$D$7911</f>
        <v>4.1640388295611147E-4</v>
      </c>
      <c r="F893">
        <f>SUMIFS($D$2:$D$7909, $B$2:$B$7909, "Campania")</f>
        <v>5766810</v>
      </c>
      <c r="G893" s="1">
        <f>Comuni__2[[#This Row],[Popolazione2011]]/Comuni__2[[#This Row],[POPOLAZIONE TOTALE DI OGNI REGIONE (CON FILTRO)]]</f>
        <v>4.2907604030651258E-3</v>
      </c>
      <c r="H893" t="str">
        <f>IF(Comuni__2[[#This Row],[Popolazione2011]]&gt;300000,"MAGGIORE","")</f>
        <v/>
      </c>
      <c r="J893">
        <v>441</v>
      </c>
      <c r="K893">
        <v>53</v>
      </c>
      <c r="L893">
        <v>74</v>
      </c>
    </row>
    <row r="894" spans="1:12" x14ac:dyDescent="0.2">
      <c r="A894"/>
      <c r="B894"/>
      <c r="C894"/>
      <c r="D894"/>
      <c r="E894" s="2">
        <f>Comuni__2[[#This Row],[Popolazione2011]]/$D$7911</f>
        <v>4.0642459494313969E-4</v>
      </c>
      <c r="F894">
        <f>SUMIFS($D$2:$D$7909, $B$2:$B$7909, "Campania")</f>
        <v>5766810</v>
      </c>
      <c r="G894" s="1">
        <f>Comuni__2[[#This Row],[Popolazione2011]]/Comuni__2[[#This Row],[POPOLAZIONE TOTALE DI OGNI REGIONE (CON FILTRO)]]</f>
        <v>4.1879305890084812E-3</v>
      </c>
      <c r="H894" t="str">
        <f>IF(Comuni__2[[#This Row],[Popolazione2011]]&gt;300000,"MAGGIORE","")</f>
        <v/>
      </c>
      <c r="J894">
        <v>562</v>
      </c>
      <c r="K894">
        <v>58</v>
      </c>
      <c r="L894">
        <v>83</v>
      </c>
    </row>
    <row r="895" spans="1:12" x14ac:dyDescent="0.2">
      <c r="A895"/>
      <c r="B895"/>
      <c r="C895"/>
      <c r="D895"/>
      <c r="E895" s="2">
        <f>Comuni__2[[#This Row],[Popolazione2011]]/$D$7911</f>
        <v>3.9619287974602865E-4</v>
      </c>
      <c r="F895">
        <f>SUMIFS($D$2:$D$7909, $B$2:$B$7909, "Campania")</f>
        <v>5766810</v>
      </c>
      <c r="G895" s="1">
        <f>Comuni__2[[#This Row],[Popolazione2011]]/Comuni__2[[#This Row],[POPOLAZIONE TOTALE DI OGNI REGIONE (CON FILTRO)]]</f>
        <v>4.0824996835338778E-3</v>
      </c>
      <c r="H895" t="str">
        <f>IF(Comuni__2[[#This Row],[Popolazione2011]]&gt;300000,"MAGGIORE","")</f>
        <v/>
      </c>
      <c r="J895">
        <v>569</v>
      </c>
      <c r="K895">
        <v>64</v>
      </c>
      <c r="L895">
        <v>98</v>
      </c>
    </row>
    <row r="896" spans="1:12" x14ac:dyDescent="0.2">
      <c r="A896"/>
      <c r="B896"/>
      <c r="C896"/>
      <c r="D896"/>
      <c r="E896" s="2">
        <f>Comuni__2[[#This Row],[Popolazione2011]]/$D$7911</f>
        <v>3.8686990241181891E-4</v>
      </c>
      <c r="F896">
        <f>SUMIFS($D$2:$D$7909, $B$2:$B$7909, "Campania")</f>
        <v>5766810</v>
      </c>
      <c r="G896" s="1">
        <f>Comuni__2[[#This Row],[Popolazione2011]]/Comuni__2[[#This Row],[POPOLAZIONE TOTALE DI OGNI REGIONE (CON FILTRO)]]</f>
        <v>3.9864327071639262E-3</v>
      </c>
      <c r="H896" t="str">
        <f>IF(Comuni__2[[#This Row],[Popolazione2011]]&gt;300000,"MAGGIORE","")</f>
        <v/>
      </c>
      <c r="J896">
        <v>595</v>
      </c>
      <c r="K896">
        <v>76</v>
      </c>
      <c r="L896">
        <v>109</v>
      </c>
    </row>
    <row r="897" spans="1:12" x14ac:dyDescent="0.2">
      <c r="A897"/>
      <c r="B897"/>
      <c r="C897"/>
      <c r="D897"/>
      <c r="E897" s="2">
        <f>Comuni__2[[#This Row],[Popolazione2011]]/$D$7911</f>
        <v>3.8506925516495891E-4</v>
      </c>
      <c r="F897">
        <f>SUMIFS($D$2:$D$7909, $B$2:$B$7909, "Campania")</f>
        <v>5766810</v>
      </c>
      <c r="G897" s="1">
        <f>Comuni__2[[#This Row],[Popolazione2011]]/Comuni__2[[#This Row],[POPOLAZIONE TOTALE DI OGNI REGIONE (CON FILTRO)]]</f>
        <v>3.9678782550491521E-3</v>
      </c>
      <c r="H897" t="str">
        <f>IF(Comuni__2[[#This Row],[Popolazione2011]]&gt;300000,"MAGGIORE","")</f>
        <v/>
      </c>
      <c r="J897">
        <v>611</v>
      </c>
      <c r="K897">
        <v>86</v>
      </c>
      <c r="L897">
        <v>117</v>
      </c>
    </row>
    <row r="898" spans="1:12" x14ac:dyDescent="0.2">
      <c r="A898"/>
      <c r="B898"/>
      <c r="C898"/>
      <c r="D898"/>
      <c r="E898" s="2">
        <f>Comuni__2[[#This Row],[Popolazione2011]]/$D$7911</f>
        <v>3.7892686035090372E-4</v>
      </c>
      <c r="F898">
        <f>SUMIFS($D$2:$D$7909, $B$2:$B$7909, "Campania")</f>
        <v>5766810</v>
      </c>
      <c r="G898" s="1">
        <f>Comuni__2[[#This Row],[Popolazione2011]]/Comuni__2[[#This Row],[POPOLAZIONE TOTALE DI OGNI REGIONE (CON FILTRO)]]</f>
        <v>3.9045850305454836E-3</v>
      </c>
      <c r="H898" t="str">
        <f>IF(Comuni__2[[#This Row],[Popolazione2011]]&gt;300000,"MAGGIORE","")</f>
        <v/>
      </c>
      <c r="J898">
        <v>594</v>
      </c>
      <c r="K898">
        <v>88</v>
      </c>
      <c r="L898">
        <v>125</v>
      </c>
    </row>
    <row r="899" spans="1:12" x14ac:dyDescent="0.2">
      <c r="A899"/>
      <c r="B899"/>
      <c r="C899"/>
      <c r="D899"/>
      <c r="E899" s="2">
        <f>Comuni__2[[#This Row],[Popolazione2011]]/$D$7911</f>
        <v>3.7564530695709345E-4</v>
      </c>
      <c r="F899">
        <f>SUMIFS($D$2:$D$7909, $B$2:$B$7909, "Campania")</f>
        <v>5766810</v>
      </c>
      <c r="G899" s="1">
        <f>Comuni__2[[#This Row],[Popolazione2011]]/Comuni__2[[#This Row],[POPOLAZIONE TOTALE DI OGNI REGIONE (CON FILTRO)]]</f>
        <v>3.8707708421120168E-3</v>
      </c>
      <c r="H899" t="str">
        <f>IF(Comuni__2[[#This Row],[Popolazione2011]]&gt;300000,"MAGGIORE","")</f>
        <v/>
      </c>
      <c r="J899">
        <v>634</v>
      </c>
      <c r="K899">
        <v>88</v>
      </c>
      <c r="L899">
        <v>133</v>
      </c>
    </row>
    <row r="900" spans="1:12" x14ac:dyDescent="0.2">
      <c r="A900"/>
      <c r="B900"/>
      <c r="C900"/>
      <c r="D900"/>
      <c r="E900" s="2">
        <f>Comuni__2[[#This Row],[Popolazione2011]]/$D$7911</f>
        <v>3.7386148818917606E-4</v>
      </c>
      <c r="F900">
        <f>SUMIFS($D$2:$D$7909, $B$2:$B$7909, "Campania")</f>
        <v>5766810</v>
      </c>
      <c r="G900" s="1">
        <f>Comuni__2[[#This Row],[Popolazione2011]]/Comuni__2[[#This Row],[POPOLAZIONE TOTALE DI OGNI REGIONE (CON FILTRO)]]</f>
        <v>3.8523897960917736E-3</v>
      </c>
      <c r="H900" t="str">
        <f>IF(Comuni__2[[#This Row],[Popolazione2011]]&gt;300000,"MAGGIORE","")</f>
        <v/>
      </c>
      <c r="J900">
        <v>607</v>
      </c>
      <c r="K900">
        <v>107</v>
      </c>
      <c r="L900">
        <v>148</v>
      </c>
    </row>
    <row r="901" spans="1:12" x14ac:dyDescent="0.2">
      <c r="A901"/>
      <c r="B901"/>
      <c r="C901"/>
      <c r="D901"/>
      <c r="E901" s="2">
        <f>Comuni__2[[#This Row],[Popolazione2011]]/$D$7911</f>
        <v>3.7083236197950505E-4</v>
      </c>
      <c r="F901">
        <f>SUMIFS($D$2:$D$7909, $B$2:$B$7909, "Campania")</f>
        <v>5766810</v>
      </c>
      <c r="G901" s="1">
        <f>Comuni__2[[#This Row],[Popolazione2011]]/Comuni__2[[#This Row],[POPOLAZIONE TOTALE DI OGNI REGIONE (CON FILTRO)]]</f>
        <v>3.8211766990762655E-3</v>
      </c>
      <c r="H901" t="str">
        <f>IF(Comuni__2[[#This Row],[Popolazione2011]]&gt;300000,"MAGGIORE","")</f>
        <v/>
      </c>
      <c r="J901">
        <v>623</v>
      </c>
      <c r="K901">
        <v>149</v>
      </c>
      <c r="L901">
        <v>167</v>
      </c>
    </row>
    <row r="902" spans="1:12" x14ac:dyDescent="0.2">
      <c r="A902"/>
      <c r="B902"/>
      <c r="C902"/>
      <c r="D902"/>
      <c r="E902" s="2">
        <f>Comuni__2[[#This Row],[Popolazione2011]]/$D$7911</f>
        <v>3.7049579240065267E-4</v>
      </c>
      <c r="F902">
        <f>SUMIFS($D$2:$D$7909, $B$2:$B$7909, "Campania")</f>
        <v>5766810</v>
      </c>
      <c r="G902" s="1">
        <f>Comuni__2[[#This Row],[Popolazione2011]]/Comuni__2[[#This Row],[POPOLAZIONE TOTALE DI OGNI REGIONE (CON FILTRO)]]</f>
        <v>3.8177085771856538E-3</v>
      </c>
      <c r="H902" t="str">
        <f>IF(Comuni__2[[#This Row],[Popolazione2011]]&gt;300000,"MAGGIORE","")</f>
        <v/>
      </c>
      <c r="J902">
        <v>647</v>
      </c>
      <c r="K902">
        <v>144</v>
      </c>
      <c r="L902">
        <v>181</v>
      </c>
    </row>
    <row r="903" spans="1:12" x14ac:dyDescent="0.2">
      <c r="A903"/>
      <c r="B903"/>
      <c r="C903"/>
      <c r="D903"/>
      <c r="E903" s="2">
        <f>Comuni__2[[#This Row],[Popolazione2011]]/$D$7911</f>
        <v>3.5686472445713304E-4</v>
      </c>
      <c r="F903">
        <f>SUMIFS($D$2:$D$7909, $B$2:$B$7909, "Campania")</f>
        <v>5766810</v>
      </c>
      <c r="G903" s="1">
        <f>Comuni__2[[#This Row],[Popolazione2011]]/Comuni__2[[#This Row],[POPOLAZIONE TOTALE DI OGNI REGIONE (CON FILTRO)]]</f>
        <v>3.677249640615869E-3</v>
      </c>
      <c r="H903" t="str">
        <f>IF(Comuni__2[[#This Row],[Popolazione2011]]&gt;300000,"MAGGIORE","")</f>
        <v/>
      </c>
      <c r="J903">
        <v>681</v>
      </c>
      <c r="K903">
        <v>146</v>
      </c>
      <c r="L903">
        <v>186</v>
      </c>
    </row>
    <row r="904" spans="1:12" x14ac:dyDescent="0.2">
      <c r="A904"/>
      <c r="B904"/>
      <c r="C904"/>
      <c r="D904"/>
      <c r="E904" s="2">
        <f>Comuni__2[[#This Row],[Popolazione2011]]/$D$7911</f>
        <v>3.5604012898894481E-4</v>
      </c>
      <c r="F904">
        <f>SUMIFS($D$2:$D$7909, $B$2:$B$7909, "Campania")</f>
        <v>5766810</v>
      </c>
      <c r="G904" s="1">
        <f>Comuni__2[[#This Row],[Popolazione2011]]/Comuni__2[[#This Row],[POPOLAZIONE TOTALE DI OGNI REGIONE (CON FILTRO)]]</f>
        <v>3.6687527419838697E-3</v>
      </c>
      <c r="H904" t="str">
        <f>IF(Comuni__2[[#This Row],[Popolazione2011]]&gt;300000,"MAGGIORE","")</f>
        <v/>
      </c>
      <c r="J904">
        <v>717</v>
      </c>
      <c r="K904">
        <v>150</v>
      </c>
      <c r="L904">
        <v>189</v>
      </c>
    </row>
    <row r="905" spans="1:12" x14ac:dyDescent="0.2">
      <c r="A905"/>
      <c r="B905"/>
      <c r="C905"/>
      <c r="D905"/>
      <c r="E905" s="2">
        <f>Comuni__2[[#This Row],[Popolazione2011]]/$D$7911</f>
        <v>3.5068867268519264E-4</v>
      </c>
      <c r="F905">
        <f>SUMIFS($D$2:$D$7909, $B$2:$B$7909, "Campania")</f>
        <v>5766810</v>
      </c>
      <c r="G905" s="1">
        <f>Comuni__2[[#This Row],[Popolazione2011]]/Comuni__2[[#This Row],[POPOLAZIONE TOTALE DI OGNI REGIONE (CON FILTRO)]]</f>
        <v>3.6136096039231396E-3</v>
      </c>
      <c r="H905" t="str">
        <f>IF(Comuni__2[[#This Row],[Popolazione2011]]&gt;300000,"MAGGIORE","")</f>
        <v/>
      </c>
      <c r="J905">
        <v>711</v>
      </c>
      <c r="K905">
        <v>156</v>
      </c>
      <c r="L905">
        <v>204</v>
      </c>
    </row>
    <row r="906" spans="1:12" x14ac:dyDescent="0.2">
      <c r="A906"/>
      <c r="B906"/>
      <c r="C906"/>
      <c r="D906"/>
      <c r="E906" s="2">
        <f>Comuni__2[[#This Row],[Popolazione2011]]/$D$7911</f>
        <v>3.5050355941682385E-4</v>
      </c>
      <c r="F906">
        <f>SUMIFS($D$2:$D$7909, $B$2:$B$7909, "Campania")</f>
        <v>5766810</v>
      </c>
      <c r="G906" s="1">
        <f>Comuni__2[[#This Row],[Popolazione2011]]/Comuni__2[[#This Row],[POPOLAZIONE TOTALE DI OGNI REGIONE (CON FILTRO)]]</f>
        <v>3.6117021368833029E-3</v>
      </c>
      <c r="H906" t="str">
        <f>IF(Comuni__2[[#This Row],[Popolazione2011]]&gt;300000,"MAGGIORE","")</f>
        <v/>
      </c>
      <c r="J906">
        <v>706</v>
      </c>
      <c r="K906">
        <v>167</v>
      </c>
      <c r="L906">
        <v>216</v>
      </c>
    </row>
    <row r="907" spans="1:12" x14ac:dyDescent="0.2">
      <c r="A907"/>
      <c r="B907"/>
      <c r="C907"/>
      <c r="D907"/>
      <c r="E907" s="2">
        <f>Comuni__2[[#This Row],[Popolazione2011]]/$D$7911</f>
        <v>3.468349510073334E-4</v>
      </c>
      <c r="F907">
        <f>SUMIFS($D$2:$D$7909, $B$2:$B$7909, "Campania")</f>
        <v>5766810</v>
      </c>
      <c r="G907" s="1">
        <f>Comuni__2[[#This Row],[Popolazione2011]]/Comuni__2[[#This Row],[POPOLAZIONE TOTALE DI OGNI REGIONE (CON FILTRO)]]</f>
        <v>3.5738996082756323E-3</v>
      </c>
      <c r="H907" t="str">
        <f>IF(Comuni__2[[#This Row],[Popolazione2011]]&gt;300000,"MAGGIORE","")</f>
        <v/>
      </c>
      <c r="J907">
        <v>705</v>
      </c>
      <c r="K907">
        <v>188</v>
      </c>
      <c r="L907">
        <v>221</v>
      </c>
    </row>
    <row r="908" spans="1:12" x14ac:dyDescent="0.2">
      <c r="A908"/>
      <c r="B908"/>
      <c r="C908"/>
      <c r="D908"/>
      <c r="E908" s="2">
        <f>Comuni__2[[#This Row],[Popolazione2011]]/$D$7911</f>
        <v>3.2892944941238908E-4</v>
      </c>
      <c r="F908">
        <f>SUMIFS($D$2:$D$7909, $B$2:$B$7909, "Campania")</f>
        <v>5766810</v>
      </c>
      <c r="G908" s="1">
        <f>Comuni__2[[#This Row],[Popolazione2011]]/Comuni__2[[#This Row],[POPOLAZIONE TOTALE DI OGNI REGIONE (CON FILTRO)]]</f>
        <v>3.3893955236950759E-3</v>
      </c>
      <c r="H908" t="str">
        <f>IF(Comuni__2[[#This Row],[Popolazione2011]]&gt;300000,"MAGGIORE","")</f>
        <v/>
      </c>
      <c r="J908">
        <v>698</v>
      </c>
      <c r="K908">
        <v>244</v>
      </c>
      <c r="L908">
        <v>227</v>
      </c>
    </row>
    <row r="909" spans="1:12" x14ac:dyDescent="0.2">
      <c r="A909"/>
      <c r="B909"/>
      <c r="C909"/>
      <c r="D909"/>
      <c r="E909" s="2">
        <f>Comuni__2[[#This Row],[Popolazione2011]]/$D$7911</f>
        <v>3.2741488630755355E-4</v>
      </c>
      <c r="F909">
        <f>SUMIFS($D$2:$D$7909, $B$2:$B$7909, "Campania")</f>
        <v>5766810</v>
      </c>
      <c r="G909" s="1">
        <f>Comuni__2[[#This Row],[Popolazione2011]]/Comuni__2[[#This Row],[POPOLAZIONE TOTALE DI OGNI REGIONE (CON FILTRO)]]</f>
        <v>3.3737889751873219E-3</v>
      </c>
      <c r="H909" t="str">
        <f>IF(Comuni__2[[#This Row],[Popolazione2011]]&gt;300000,"MAGGIORE","")</f>
        <v/>
      </c>
      <c r="J909">
        <v>690</v>
      </c>
      <c r="K909">
        <v>248</v>
      </c>
      <c r="L909">
        <v>231</v>
      </c>
    </row>
    <row r="910" spans="1:12" x14ac:dyDescent="0.2">
      <c r="A910"/>
      <c r="B910"/>
      <c r="C910"/>
      <c r="D910"/>
      <c r="E910" s="2">
        <f>Comuni__2[[#This Row],[Popolazione2011]]/$D$7911</f>
        <v>3.2034692515165445E-4</v>
      </c>
      <c r="F910">
        <f>SUMIFS($D$2:$D$7909, $B$2:$B$7909, "Campania")</f>
        <v>5766810</v>
      </c>
      <c r="G910" s="1">
        <f>Comuni__2[[#This Row],[Popolazione2011]]/Comuni__2[[#This Row],[POPOLAZIONE TOTALE DI OGNI REGIONE (CON FILTRO)]]</f>
        <v>3.3009584154844707E-3</v>
      </c>
      <c r="H910" t="str">
        <f>IF(Comuni__2[[#This Row],[Popolazione2011]]&gt;300000,"MAGGIORE","")</f>
        <v/>
      </c>
      <c r="J910">
        <v>667</v>
      </c>
      <c r="K910">
        <v>277</v>
      </c>
      <c r="L910">
        <v>238</v>
      </c>
    </row>
    <row r="911" spans="1:12" x14ac:dyDescent="0.2">
      <c r="A911"/>
      <c r="B911"/>
      <c r="C911"/>
      <c r="D911"/>
      <c r="E911" s="2">
        <f>Comuni__2[[#This Row],[Popolazione2011]]/$D$7911</f>
        <v>3.1449061447962382E-4</v>
      </c>
      <c r="F911">
        <f>SUMIFS($D$2:$D$7909, $B$2:$B$7909, "Campania")</f>
        <v>5766810</v>
      </c>
      <c r="G911" s="1">
        <f>Comuni__2[[#This Row],[Popolazione2011]]/Comuni__2[[#This Row],[POPOLAZIONE TOTALE DI OGNI REGIONE (CON FILTRO)]]</f>
        <v>3.2406130945878222E-3</v>
      </c>
      <c r="H911" t="str">
        <f>IF(Comuni__2[[#This Row],[Popolazione2011]]&gt;300000,"MAGGIORE","")</f>
        <v/>
      </c>
      <c r="J911">
        <v>608</v>
      </c>
      <c r="K911">
        <v>305</v>
      </c>
      <c r="L911">
        <v>242</v>
      </c>
    </row>
    <row r="912" spans="1:12" x14ac:dyDescent="0.2">
      <c r="A912"/>
      <c r="B912"/>
      <c r="C912"/>
      <c r="D912"/>
      <c r="E912" s="2">
        <f>Comuni__2[[#This Row],[Popolazione2011]]/$D$7911</f>
        <v>3.1406990250605838E-4</v>
      </c>
      <c r="F912">
        <f>SUMIFS($D$2:$D$7909, $B$2:$B$7909, "Campania")</f>
        <v>5766810</v>
      </c>
      <c r="G912" s="1">
        <f>Comuni__2[[#This Row],[Popolazione2011]]/Comuni__2[[#This Row],[POPOLAZIONE TOTALE DI OGNI REGIONE (CON FILTRO)]]</f>
        <v>3.2362779422245576E-3</v>
      </c>
      <c r="H912" t="str">
        <f>IF(Comuni__2[[#This Row],[Popolazione2011]]&gt;300000,"MAGGIORE","")</f>
        <v/>
      </c>
      <c r="J912">
        <v>686</v>
      </c>
      <c r="K912">
        <v>360</v>
      </c>
      <c r="L912">
        <v>248</v>
      </c>
    </row>
    <row r="913" spans="1:12" x14ac:dyDescent="0.2">
      <c r="A913"/>
      <c r="B913"/>
      <c r="C913"/>
      <c r="D913"/>
      <c r="E913" s="2">
        <f>Comuni__2[[#This Row],[Popolazione2011]]/$D$7911</f>
        <v>3.0506666627175836E-4</v>
      </c>
      <c r="F913">
        <f>SUMIFS($D$2:$D$7909, $B$2:$B$7909, "Campania")</f>
        <v>5766810</v>
      </c>
      <c r="G913" s="1">
        <f>Comuni__2[[#This Row],[Popolazione2011]]/Comuni__2[[#This Row],[POPOLAZIONE TOTALE DI OGNI REGIONE (CON FILTRO)]]</f>
        <v>3.1435056816506873E-3</v>
      </c>
      <c r="H913" t="str">
        <f>IF(Comuni__2[[#This Row],[Popolazione2011]]&gt;300000,"MAGGIORE","")</f>
        <v/>
      </c>
      <c r="J913">
        <v>700</v>
      </c>
      <c r="K913">
        <v>415</v>
      </c>
      <c r="L913">
        <v>260</v>
      </c>
    </row>
    <row r="914" spans="1:12" x14ac:dyDescent="0.2">
      <c r="A914"/>
      <c r="B914"/>
      <c r="C914"/>
      <c r="D914"/>
      <c r="E914" s="2">
        <f>Comuni__2[[#This Row],[Popolazione2011]]/$D$7911</f>
        <v>3.031987051091279E-4</v>
      </c>
      <c r="F914">
        <f>SUMIFS($D$2:$D$7909, $B$2:$B$7909, "Campania")</f>
        <v>5766810</v>
      </c>
      <c r="G914" s="1">
        <f>Comuni__2[[#This Row],[Popolazione2011]]/Comuni__2[[#This Row],[POPOLAZIONE TOTALE DI OGNI REGIONE (CON FILTRO)]]</f>
        <v>3.1242576051577907E-3</v>
      </c>
      <c r="H914" t="str">
        <f>IF(Comuni__2[[#This Row],[Popolazione2011]]&gt;300000,"MAGGIORE","")</f>
        <v/>
      </c>
      <c r="J914">
        <v>693</v>
      </c>
      <c r="K914">
        <v>442</v>
      </c>
      <c r="L914">
        <v>278</v>
      </c>
    </row>
    <row r="915" spans="1:12" x14ac:dyDescent="0.2">
      <c r="A915"/>
      <c r="B915"/>
      <c r="C915"/>
      <c r="D915"/>
      <c r="E915" s="2">
        <f>Comuni__2[[#This Row],[Popolazione2011]]/$D$7911</f>
        <v>2.9949643974175219E-4</v>
      </c>
      <c r="F915">
        <f>SUMIFS($D$2:$D$7909, $B$2:$B$7909, "Campania")</f>
        <v>5766810</v>
      </c>
      <c r="G915" s="1">
        <f>Comuni__2[[#This Row],[Popolazione2011]]/Comuni__2[[#This Row],[POPOLAZIONE TOTALE DI OGNI REGIONE (CON FILTRO)]]</f>
        <v>3.0861082643610593E-3</v>
      </c>
      <c r="H915" t="str">
        <f>IF(Comuni__2[[#This Row],[Popolazione2011]]&gt;300000,"MAGGIORE","")</f>
        <v/>
      </c>
      <c r="J915">
        <v>694</v>
      </c>
      <c r="K915">
        <v>483</v>
      </c>
      <c r="L915">
        <v>286</v>
      </c>
    </row>
    <row r="916" spans="1:12" x14ac:dyDescent="0.2">
      <c r="A916"/>
      <c r="B916"/>
      <c r="C916"/>
      <c r="D916"/>
      <c r="E916" s="2">
        <f>Comuni__2[[#This Row],[Popolazione2011]]/$D$7911</f>
        <v>2.9226019379642696E-4</v>
      </c>
      <c r="F916">
        <f>SUMIFS($D$2:$D$7909, $B$2:$B$7909, "Campania")</f>
        <v>5766810</v>
      </c>
      <c r="G916" s="1">
        <f>Comuni__2[[#This Row],[Popolazione2011]]/Comuni__2[[#This Row],[POPOLAZIONE TOTALE DI OGNI REGIONE (CON FILTRO)]]</f>
        <v>3.0115436437129018E-3</v>
      </c>
      <c r="H916" t="str">
        <f>IF(Comuni__2[[#This Row],[Popolazione2011]]&gt;300000,"MAGGIORE","")</f>
        <v/>
      </c>
      <c r="J916">
        <v>698</v>
      </c>
      <c r="K916">
        <v>631</v>
      </c>
      <c r="L916">
        <v>293</v>
      </c>
    </row>
    <row r="917" spans="1:12" x14ac:dyDescent="0.2">
      <c r="A917"/>
      <c r="B917"/>
      <c r="C917"/>
      <c r="D917"/>
      <c r="E917" s="2">
        <f>Comuni__2[[#This Row],[Popolazione2011]]/$D$7911</f>
        <v>2.8793527470817441E-4</v>
      </c>
      <c r="F917">
        <f>SUMIFS($D$2:$D$7909, $B$2:$B$7909, "Campania")</f>
        <v>5766810</v>
      </c>
      <c r="G917" s="1">
        <f>Comuni__2[[#This Row],[Popolazione2011]]/Comuni__2[[#This Row],[POPOLAZIONE TOTALE DI OGNI REGIONE (CON FILTRO)]]</f>
        <v>2.9669782774185381E-3</v>
      </c>
      <c r="H917" t="str">
        <f>IF(Comuni__2[[#This Row],[Popolazione2011]]&gt;300000,"MAGGIORE","")</f>
        <v/>
      </c>
      <c r="J917">
        <v>681</v>
      </c>
      <c r="K917">
        <v>643</v>
      </c>
      <c r="L917">
        <v>300</v>
      </c>
    </row>
    <row r="918" spans="1:12" x14ac:dyDescent="0.2">
      <c r="A918"/>
      <c r="B918"/>
      <c r="C918"/>
      <c r="D918"/>
      <c r="E918" s="2">
        <f>Comuni__2[[#This Row],[Popolazione2011]]/$D$7911</f>
        <v>2.8255016144653703E-4</v>
      </c>
      <c r="F918">
        <f>SUMIFS($D$2:$D$7909, $B$2:$B$7909, "Campania")</f>
        <v>5766810</v>
      </c>
      <c r="G918" s="1">
        <f>Comuni__2[[#This Row],[Popolazione2011]]/Comuni__2[[#This Row],[POPOLAZIONE TOTALE DI OGNI REGIONE (CON FILTRO)]]</f>
        <v>2.9114883271687468E-3</v>
      </c>
      <c r="H918" t="str">
        <f>IF(Comuni__2[[#This Row],[Popolazione2011]]&gt;300000,"MAGGIORE","")</f>
        <v/>
      </c>
      <c r="J918">
        <v>651</v>
      </c>
      <c r="K918">
        <v>703</v>
      </c>
      <c r="L918">
        <v>304</v>
      </c>
    </row>
    <row r="919" spans="1:12" x14ac:dyDescent="0.2">
      <c r="A919"/>
      <c r="B919"/>
      <c r="C919"/>
      <c r="D919"/>
      <c r="E919" s="2">
        <f>Comuni__2[[#This Row],[Popolazione2011]]/$D$7911</f>
        <v>2.7930226501061197E-4</v>
      </c>
      <c r="F919">
        <f>SUMIFS($D$2:$D$7909, $B$2:$B$7909, "Campania")</f>
        <v>5766810</v>
      </c>
      <c r="G919" s="1">
        <f>Comuni__2[[#This Row],[Popolazione2011]]/Comuni__2[[#This Row],[POPOLAZIONE TOTALE DI OGNI REGIONE (CON FILTRO)]]</f>
        <v>2.8780209509243412E-3</v>
      </c>
      <c r="H919" t="str">
        <f>IF(Comuni__2[[#This Row],[Popolazione2011]]&gt;300000,"MAGGIORE","")</f>
        <v/>
      </c>
      <c r="J919">
        <v>647</v>
      </c>
      <c r="K919">
        <v>746</v>
      </c>
      <c r="L919">
        <v>309</v>
      </c>
    </row>
    <row r="920" spans="1:12" x14ac:dyDescent="0.2">
      <c r="A920"/>
      <c r="B920"/>
      <c r="C920"/>
      <c r="D920"/>
      <c r="E920" s="2">
        <f>Comuni__2[[#This Row],[Popolazione2011]]/$D$7911</f>
        <v>2.7873009672656299E-4</v>
      </c>
      <c r="F920">
        <f>SUMIFS($D$2:$D$7909, $B$2:$B$7909, "Campania")</f>
        <v>5766810</v>
      </c>
      <c r="G920" s="1">
        <f>Comuni__2[[#This Row],[Popolazione2011]]/Comuni__2[[#This Row],[POPOLAZIONE TOTALE DI OGNI REGIONE (CON FILTRO)]]</f>
        <v>2.8721251437103007E-3</v>
      </c>
      <c r="H920" t="str">
        <f>IF(Comuni__2[[#This Row],[Popolazione2011]]&gt;300000,"MAGGIORE","")</f>
        <v/>
      </c>
      <c r="J920">
        <v>590</v>
      </c>
      <c r="K920">
        <v>872</v>
      </c>
      <c r="L920">
        <v>317</v>
      </c>
    </row>
    <row r="921" spans="1:12" x14ac:dyDescent="0.2">
      <c r="A921"/>
      <c r="B921"/>
      <c r="C921"/>
      <c r="D921"/>
      <c r="E921" s="2">
        <f>Comuni__2[[#This Row],[Popolazione2011]]/$D$7911</f>
        <v>2.6942394787129586E-4</v>
      </c>
      <c r="F921">
        <f>SUMIFS($D$2:$D$7909, $B$2:$B$7909, "Campania")</f>
        <v>5766810</v>
      </c>
      <c r="G921" s="1">
        <f>Comuni__2[[#This Row],[Popolazione2011]]/Comuni__2[[#This Row],[POPOLAZIONE TOTALE DI OGNI REGIONE (CON FILTRO)]]</f>
        <v>2.77623157343488E-3</v>
      </c>
      <c r="H921" t="str">
        <f>IF(Comuni__2[[#This Row],[Popolazione2011]]&gt;300000,"MAGGIORE","")</f>
        <v/>
      </c>
      <c r="J921">
        <v>576</v>
      </c>
      <c r="K921">
        <v>860</v>
      </c>
      <c r="L921">
        <v>327</v>
      </c>
    </row>
    <row r="922" spans="1:12" x14ac:dyDescent="0.2">
      <c r="A922"/>
      <c r="B922"/>
      <c r="C922"/>
      <c r="D922"/>
      <c r="E922" s="2">
        <f>Comuni__2[[#This Row],[Popolazione2011]]/$D$7911</f>
        <v>2.684647245715667E-4</v>
      </c>
      <c r="F922">
        <f>SUMIFS($D$2:$D$7909, $B$2:$B$7909, "Campania")</f>
        <v>5766810</v>
      </c>
      <c r="G922" s="1">
        <f>Comuni__2[[#This Row],[Popolazione2011]]/Comuni__2[[#This Row],[POPOLAZIONE TOTALE DI OGNI REGIONE (CON FILTRO)]]</f>
        <v>2.7663474260466356E-3</v>
      </c>
      <c r="H922" t="str">
        <f>IF(Comuni__2[[#This Row],[Popolazione2011]]&gt;300000,"MAGGIORE","")</f>
        <v/>
      </c>
      <c r="J922">
        <v>586</v>
      </c>
      <c r="K922">
        <v>928</v>
      </c>
      <c r="L922">
        <v>332</v>
      </c>
    </row>
    <row r="923" spans="1:12" x14ac:dyDescent="0.2">
      <c r="A923"/>
      <c r="B923"/>
      <c r="C923"/>
      <c r="D923"/>
      <c r="E923" s="2">
        <f>Comuni__2[[#This Row],[Popolazione2011]]/$D$7911</f>
        <v>2.643417472306256E-4</v>
      </c>
      <c r="F923">
        <f>SUMIFS($D$2:$D$7909, $B$2:$B$7909, "Campania")</f>
        <v>5766810</v>
      </c>
      <c r="G923" s="1">
        <f>Comuni__2[[#This Row],[Popolazione2011]]/Comuni__2[[#This Row],[POPOLAZIONE TOTALE DI OGNI REGIONE (CON FILTRO)]]</f>
        <v>2.7238629328866391E-3</v>
      </c>
      <c r="H923" t="str">
        <f>IF(Comuni__2[[#This Row],[Popolazione2011]]&gt;300000,"MAGGIORE","")</f>
        <v/>
      </c>
      <c r="J923">
        <v>568</v>
      </c>
      <c r="K923">
        <v>1003</v>
      </c>
      <c r="L923">
        <v>336</v>
      </c>
    </row>
    <row r="924" spans="1:12" x14ac:dyDescent="0.2">
      <c r="A924"/>
      <c r="B924"/>
      <c r="C924"/>
      <c r="D924"/>
      <c r="E924" s="2">
        <f>Comuni__2[[#This Row],[Popolazione2011]]/$D$7911</f>
        <v>2.6063948186324989E-4</v>
      </c>
      <c r="F924">
        <f>SUMIFS($D$2:$D$7909, $B$2:$B$7909, "Campania")</f>
        <v>5766810</v>
      </c>
      <c r="G924" s="1">
        <f>Comuni__2[[#This Row],[Popolazione2011]]/Comuni__2[[#This Row],[POPOLAZIONE TOTALE DI OGNI REGIONE (CON FILTRO)]]</f>
        <v>2.6857135920899076E-3</v>
      </c>
      <c r="H924" t="str">
        <f>IF(Comuni__2[[#This Row],[Popolazione2011]]&gt;300000,"MAGGIORE","")</f>
        <v/>
      </c>
      <c r="J924">
        <v>598</v>
      </c>
      <c r="K924">
        <v>1023</v>
      </c>
      <c r="L924">
        <v>341</v>
      </c>
    </row>
    <row r="925" spans="1:12" x14ac:dyDescent="0.2">
      <c r="A925"/>
      <c r="B925"/>
      <c r="C925"/>
      <c r="D925"/>
      <c r="E925" s="2">
        <f>Comuni__2[[#This Row],[Popolazione2011]]/$D$7911</f>
        <v>2.5082847863970424E-4</v>
      </c>
      <c r="F925">
        <f>SUMIFS($D$2:$D$7909, $B$2:$B$7909, "Campania")</f>
        <v>5766810</v>
      </c>
      <c r="G925" s="1">
        <f>Comuni__2[[#This Row],[Popolazione2011]]/Comuni__2[[#This Row],[POPOLAZIONE TOTALE DI OGNI REGIONE (CON FILTRO)]]</f>
        <v>2.5846178389785689E-3</v>
      </c>
      <c r="H925" t="str">
        <f>IF(Comuni__2[[#This Row],[Popolazione2011]]&gt;300000,"MAGGIORE","")</f>
        <v/>
      </c>
      <c r="J925">
        <v>581</v>
      </c>
      <c r="K925">
        <v>1062</v>
      </c>
      <c r="L925">
        <v>345</v>
      </c>
    </row>
    <row r="926" spans="1:12" x14ac:dyDescent="0.2">
      <c r="A926"/>
      <c r="B926"/>
      <c r="C926"/>
      <c r="D926"/>
      <c r="E926" s="2">
        <f>Comuni__2[[#This Row],[Popolazione2011]]/$D$7911</f>
        <v>2.4466925534670649E-4</v>
      </c>
      <c r="F926">
        <f>SUMIFS($D$2:$D$7909, $B$2:$B$7909, "Campania")</f>
        <v>5766810</v>
      </c>
      <c r="G926" s="1">
        <f>Comuni__2[[#This Row],[Popolazione2011]]/Comuni__2[[#This Row],[POPOLAZIONE TOTALE DI OGNI REGIONE (CON FILTRO)]]</f>
        <v>2.5211512083803699E-3</v>
      </c>
      <c r="H926" t="str">
        <f>IF(Comuni__2[[#This Row],[Popolazione2011]]&gt;300000,"MAGGIORE","")</f>
        <v/>
      </c>
      <c r="J926">
        <v>578</v>
      </c>
      <c r="K926">
        <v>1120</v>
      </c>
      <c r="L926">
        <v>352</v>
      </c>
    </row>
    <row r="927" spans="1:12" x14ac:dyDescent="0.2">
      <c r="A927"/>
      <c r="B927"/>
      <c r="C927"/>
      <c r="D927"/>
      <c r="E927" s="2">
        <f>Comuni__2[[#This Row],[Popolazione2011]]/$D$7911</f>
        <v>2.3785372137494665E-4</v>
      </c>
      <c r="F927">
        <f>SUMIFS($D$2:$D$7909, $B$2:$B$7909, "Campania")</f>
        <v>5766810</v>
      </c>
      <c r="G927" s="1">
        <f>Comuni__2[[#This Row],[Popolazione2011]]/Comuni__2[[#This Row],[POPOLAZIONE TOTALE DI OGNI REGIONE (CON FILTRO)]]</f>
        <v>2.4509217400954775E-3</v>
      </c>
      <c r="H927" t="str">
        <f>IF(Comuni__2[[#This Row],[Popolazione2011]]&gt;300000,"MAGGIORE","")</f>
        <v/>
      </c>
      <c r="J927">
        <v>577</v>
      </c>
      <c r="K927">
        <v>1220</v>
      </c>
      <c r="L927">
        <v>358</v>
      </c>
    </row>
    <row r="928" spans="1:12" x14ac:dyDescent="0.2">
      <c r="A928"/>
      <c r="B928"/>
      <c r="C928"/>
      <c r="D928"/>
      <c r="E928" s="2">
        <f>Comuni__2[[#This Row],[Popolazione2011]]/$D$7911</f>
        <v>2.3687766959627486E-4</v>
      </c>
      <c r="F928">
        <f>SUMIFS($D$2:$D$7909, $B$2:$B$7909, "Campania")</f>
        <v>5766810</v>
      </c>
      <c r="G928" s="1">
        <f>Comuni__2[[#This Row],[Popolazione2011]]/Comuni__2[[#This Row],[POPOLAZIONE TOTALE DI OGNI REGIONE (CON FILTRO)]]</f>
        <v>2.4408641866127028E-3</v>
      </c>
      <c r="H928" t="str">
        <f>IF(Comuni__2[[#This Row],[Popolazione2011]]&gt;300000,"MAGGIORE","")</f>
        <v/>
      </c>
      <c r="J928">
        <v>549</v>
      </c>
      <c r="K928">
        <v>1269</v>
      </c>
      <c r="L928">
        <v>359</v>
      </c>
    </row>
    <row r="929" spans="1:12" x14ac:dyDescent="0.2">
      <c r="A929"/>
      <c r="B929"/>
      <c r="C929"/>
      <c r="D929"/>
      <c r="E929" s="2">
        <f>Comuni__2[[#This Row],[Popolazione2011]]/$D$7911</f>
        <v>2.3593527477548833E-4</v>
      </c>
      <c r="F929">
        <f>SUMIFS($D$2:$D$7909, $B$2:$B$7909, "Campania")</f>
        <v>5766810</v>
      </c>
      <c r="G929" s="1">
        <f>Comuni__2[[#This Row],[Popolazione2011]]/Comuni__2[[#This Row],[POPOLAZIONE TOTALE DI OGNI REGIONE (CON FILTRO)]]</f>
        <v>2.4311534453189893E-3</v>
      </c>
      <c r="H929" t="str">
        <f>IF(Comuni__2[[#This Row],[Popolazione2011]]&gt;300000,"MAGGIORE","")</f>
        <v/>
      </c>
      <c r="J929">
        <v>513</v>
      </c>
      <c r="K929">
        <v>1291</v>
      </c>
      <c r="L929">
        <v>359</v>
      </c>
    </row>
    <row r="930" spans="1:12" x14ac:dyDescent="0.2">
      <c r="A930"/>
      <c r="B930"/>
      <c r="C930"/>
      <c r="D930"/>
      <c r="E930" s="2">
        <f>Comuni__2[[#This Row],[Popolazione2011]]/$D$7911</f>
        <v>2.3063430390856402E-4</v>
      </c>
      <c r="F930">
        <f>SUMIFS($D$2:$D$7909, $B$2:$B$7909, "Campania")</f>
        <v>5766810</v>
      </c>
      <c r="G930" s="1">
        <f>Comuni__2[[#This Row],[Popolazione2011]]/Comuni__2[[#This Row],[POPOLAZIONE TOTALE DI OGNI REGIONE (CON FILTRO)]]</f>
        <v>2.3765305255418509E-3</v>
      </c>
      <c r="H930" t="str">
        <f>IF(Comuni__2[[#This Row],[Popolazione2011]]&gt;300000,"MAGGIORE","")</f>
        <v/>
      </c>
      <c r="J930">
        <v>507</v>
      </c>
      <c r="K930">
        <v>1332</v>
      </c>
      <c r="L930">
        <v>359</v>
      </c>
    </row>
    <row r="931" spans="1:12" x14ac:dyDescent="0.2">
      <c r="A931"/>
      <c r="B931"/>
      <c r="C931"/>
      <c r="D931"/>
      <c r="E931" s="2">
        <f>Comuni__2[[#This Row],[Popolazione2011]]/$D$7911</f>
        <v>2.3016310649817074E-4</v>
      </c>
      <c r="F931">
        <f>SUMIFS($D$2:$D$7909, $B$2:$B$7909, "Campania")</f>
        <v>5766810</v>
      </c>
      <c r="G931" s="1">
        <f>Comuni__2[[#This Row],[Popolazione2011]]/Comuni__2[[#This Row],[POPOLAZIONE TOTALE DI OGNI REGIONE (CON FILTRO)]]</f>
        <v>2.3716751548949941E-3</v>
      </c>
      <c r="H931" t="str">
        <f>IF(Comuni__2[[#This Row],[Popolazione2011]]&gt;300000,"MAGGIORE","")</f>
        <v/>
      </c>
      <c r="J931">
        <v>497</v>
      </c>
      <c r="K931">
        <v>1376</v>
      </c>
      <c r="L931">
        <v>362</v>
      </c>
    </row>
    <row r="932" spans="1:12" x14ac:dyDescent="0.2">
      <c r="A932"/>
      <c r="B932"/>
      <c r="C932"/>
      <c r="D932"/>
      <c r="E932" s="2">
        <f>Comuni__2[[#This Row],[Popolazione2011]]/$D$7911</f>
        <v>2.2903559840901542E-4</v>
      </c>
      <c r="F932">
        <f>SUMIFS($D$2:$D$7909, $B$2:$B$7909, "Campania")</f>
        <v>5766810</v>
      </c>
      <c r="G932" s="1">
        <f>Comuni__2[[#This Row],[Popolazione2011]]/Comuni__2[[#This Row],[POPOLAZIONE TOTALE DI OGNI REGIONE (CON FILTRO)]]</f>
        <v>2.3600569465614439E-3</v>
      </c>
      <c r="H932" t="str">
        <f>IF(Comuni__2[[#This Row],[Popolazione2011]]&gt;300000,"MAGGIORE","")</f>
        <v/>
      </c>
      <c r="J932">
        <v>485</v>
      </c>
      <c r="K932">
        <v>1394</v>
      </c>
      <c r="L932">
        <v>364</v>
      </c>
    </row>
    <row r="933" spans="1:12" x14ac:dyDescent="0.2">
      <c r="A933"/>
      <c r="B933"/>
      <c r="C933"/>
      <c r="D933"/>
      <c r="E933" s="2">
        <f>Comuni__2[[#This Row],[Popolazione2011]]/$D$7911</f>
        <v>2.2742006443052419E-4</v>
      </c>
      <c r="F933">
        <f>SUMIFS($D$2:$D$7909, $B$2:$B$7909, "Campania")</f>
        <v>5766810</v>
      </c>
      <c r="G933" s="1">
        <f>Comuni__2[[#This Row],[Popolazione2011]]/Comuni__2[[#This Row],[POPOLAZIONE TOTALE DI OGNI REGIONE (CON FILTRO)]]</f>
        <v>2.3434099614865066E-3</v>
      </c>
      <c r="H933" t="str">
        <f>IF(Comuni__2[[#This Row],[Popolazione2011]]&gt;300000,"MAGGIORE","")</f>
        <v/>
      </c>
      <c r="J933">
        <v>462</v>
      </c>
      <c r="K933">
        <v>1421</v>
      </c>
      <c r="L933">
        <v>366</v>
      </c>
    </row>
    <row r="934" spans="1:12" x14ac:dyDescent="0.2">
      <c r="A934"/>
      <c r="B934"/>
      <c r="C934"/>
      <c r="D934"/>
      <c r="E934" s="2">
        <f>Comuni__2[[#This Row],[Popolazione2011]]/$D$7911</f>
        <v>2.2577087349414773E-4</v>
      </c>
      <c r="F934">
        <f>SUMIFS($D$2:$D$7909, $B$2:$B$7909, "Campania")</f>
        <v>5766810</v>
      </c>
      <c r="G934" s="1">
        <f>Comuni__2[[#This Row],[Popolazione2011]]/Comuni__2[[#This Row],[POPOLAZIONE TOTALE DI OGNI REGIONE (CON FILTRO)]]</f>
        <v>2.326416164222508E-3</v>
      </c>
      <c r="H934" t="str">
        <f>IF(Comuni__2[[#This Row],[Popolazione2011]]&gt;300000,"MAGGIORE","")</f>
        <v/>
      </c>
      <c r="J934">
        <v>433</v>
      </c>
      <c r="K934">
        <v>1619</v>
      </c>
      <c r="L934">
        <v>369</v>
      </c>
    </row>
    <row r="935" spans="1:12" x14ac:dyDescent="0.2">
      <c r="A935"/>
      <c r="B935"/>
      <c r="C935"/>
      <c r="D935"/>
      <c r="E935" s="2">
        <f>Comuni__2[[#This Row],[Popolazione2011]]/$D$7911</f>
        <v>2.2568673109943466E-4</v>
      </c>
      <c r="F935">
        <f>SUMIFS($D$2:$D$7909, $B$2:$B$7909, "Campania")</f>
        <v>5766810</v>
      </c>
      <c r="G935" s="1">
        <f>Comuni__2[[#This Row],[Popolazione2011]]/Comuni__2[[#This Row],[POPOLAZIONE TOTALE DI OGNI REGIONE (CON FILTRO)]]</f>
        <v>2.3255491337498546E-3</v>
      </c>
      <c r="H935" t="str">
        <f>IF(Comuni__2[[#This Row],[Popolazione2011]]&gt;300000,"MAGGIORE","")</f>
        <v/>
      </c>
      <c r="J935">
        <v>458</v>
      </c>
      <c r="K935">
        <v>1816</v>
      </c>
      <c r="L935">
        <v>376</v>
      </c>
    </row>
    <row r="936" spans="1:12" x14ac:dyDescent="0.2">
      <c r="A936"/>
      <c r="B936"/>
      <c r="C936"/>
      <c r="D936"/>
      <c r="E936" s="2">
        <f>Comuni__2[[#This Row],[Popolazione2011]]/$D$7911</f>
        <v>2.2373462754209111E-4</v>
      </c>
      <c r="F936">
        <f>SUMIFS($D$2:$D$7909, $B$2:$B$7909, "Campania")</f>
        <v>5766810</v>
      </c>
      <c r="G936" s="1">
        <f>Comuni__2[[#This Row],[Popolazione2011]]/Comuni__2[[#This Row],[POPOLAZIONE TOTALE DI OGNI REGIONE (CON FILTRO)]]</f>
        <v>2.3054340267843055E-3</v>
      </c>
      <c r="H936" t="str">
        <f>IF(Comuni__2[[#This Row],[Popolazione2011]]&gt;300000,"MAGGIORE","")</f>
        <v/>
      </c>
      <c r="J936">
        <v>442</v>
      </c>
      <c r="K936">
        <v>2023</v>
      </c>
      <c r="L936">
        <v>379</v>
      </c>
    </row>
    <row r="937" spans="1:12" x14ac:dyDescent="0.2">
      <c r="A937"/>
      <c r="B937"/>
      <c r="C937"/>
      <c r="D937"/>
      <c r="E937" s="2">
        <f>Comuni__2[[#This Row],[Popolazione2011]]/$D$7911</f>
        <v>2.2210226508465725E-4</v>
      </c>
      <c r="F937">
        <f>SUMIFS($D$2:$D$7909, $B$2:$B$7909, "Campania")</f>
        <v>5766810</v>
      </c>
      <c r="G937" s="1">
        <f>Comuni__2[[#This Row],[Popolazione2011]]/Comuni__2[[#This Row],[POPOLAZIONE TOTALE DI OGNI REGIONE (CON FILTRO)]]</f>
        <v>2.2886136356148373E-3</v>
      </c>
      <c r="H937" t="str">
        <f>IF(Comuni__2[[#This Row],[Popolazione2011]]&gt;300000,"MAGGIORE","")</f>
        <v/>
      </c>
      <c r="J937">
        <v>446</v>
      </c>
      <c r="K937">
        <v>2164</v>
      </c>
      <c r="L937">
        <v>386</v>
      </c>
    </row>
    <row r="938" spans="1:12" x14ac:dyDescent="0.2">
      <c r="A938"/>
      <c r="B938"/>
      <c r="C938"/>
      <c r="D938"/>
      <c r="E938" s="2">
        <f>Comuni__2[[#This Row],[Popolazione2011]]/$D$7911</f>
        <v>2.1861876994353556E-4</v>
      </c>
      <c r="F938">
        <f>SUMIFS($D$2:$D$7909, $B$2:$B$7909, "Campania")</f>
        <v>5766810</v>
      </c>
      <c r="G938" s="1">
        <f>Comuni__2[[#This Row],[Popolazione2011]]/Comuni__2[[#This Row],[POPOLAZIONE TOTALE DI OGNI REGIONE (CON FILTRO)]]</f>
        <v>2.2527185740470034E-3</v>
      </c>
      <c r="H938" t="str">
        <f>IF(Comuni__2[[#This Row],[Popolazione2011]]&gt;300000,"MAGGIORE","")</f>
        <v/>
      </c>
      <c r="J938">
        <v>441</v>
      </c>
      <c r="K938">
        <v>2223</v>
      </c>
      <c r="L938">
        <v>388</v>
      </c>
    </row>
    <row r="939" spans="1:12" x14ac:dyDescent="0.2">
      <c r="A939"/>
      <c r="B939"/>
      <c r="C939"/>
      <c r="D939"/>
      <c r="E939" s="2">
        <f>Comuni__2[[#This Row],[Popolazione2011]]/$D$7911</f>
        <v>2.1834951428045371E-4</v>
      </c>
      <c r="F939">
        <f>SUMIFS($D$2:$D$7909, $B$2:$B$7909, "Campania")</f>
        <v>5766810</v>
      </c>
      <c r="G939" s="1">
        <f>Comuni__2[[#This Row],[Popolazione2011]]/Comuni__2[[#This Row],[POPOLAZIONE TOTALE DI OGNI REGIONE (CON FILTRO)]]</f>
        <v>2.2499440765345138E-3</v>
      </c>
      <c r="H939" t="str">
        <f>IF(Comuni__2[[#This Row],[Popolazione2011]]&gt;300000,"MAGGIORE","")</f>
        <v/>
      </c>
      <c r="J939">
        <v>455</v>
      </c>
      <c r="K939">
        <v>2282</v>
      </c>
      <c r="L939">
        <v>391</v>
      </c>
    </row>
    <row r="940" spans="1:12" x14ac:dyDescent="0.2">
      <c r="A940"/>
      <c r="B940"/>
      <c r="C940"/>
      <c r="D940"/>
      <c r="E940" s="2">
        <f>Comuni__2[[#This Row],[Popolazione2011]]/$D$7911</f>
        <v>2.1828220036468324E-4</v>
      </c>
      <c r="F940">
        <f>SUMIFS($D$2:$D$7909, $B$2:$B$7909, "Campania")</f>
        <v>5766810</v>
      </c>
      <c r="G940" s="1">
        <f>Comuni__2[[#This Row],[Popolazione2011]]/Comuni__2[[#This Row],[POPOLAZIONE TOTALE DI OGNI REGIONE (CON FILTRO)]]</f>
        <v>2.2492504521563917E-3</v>
      </c>
      <c r="H940" t="str">
        <f>IF(Comuni__2[[#This Row],[Popolazione2011]]&gt;300000,"MAGGIORE","")</f>
        <v/>
      </c>
      <c r="J940">
        <v>459</v>
      </c>
      <c r="K940">
        <v>2301</v>
      </c>
      <c r="L940">
        <v>392</v>
      </c>
    </row>
    <row r="941" spans="1:12" x14ac:dyDescent="0.2">
      <c r="A941"/>
      <c r="B941"/>
      <c r="C941"/>
      <c r="D941"/>
      <c r="E941" s="2">
        <f>Comuni__2[[#This Row],[Popolazione2011]]/$D$7911</f>
        <v>2.1368802561334884E-4</v>
      </c>
      <c r="F941">
        <f>SUMIFS($D$2:$D$7909, $B$2:$B$7909, "Campania")</f>
        <v>5766810</v>
      </c>
      <c r="G941" s="1">
        <f>Comuni__2[[#This Row],[Popolazione2011]]/Comuni__2[[#This Row],[POPOLAZIONE TOTALE DI OGNI REGIONE (CON FILTRO)]]</f>
        <v>2.201910588349538E-3</v>
      </c>
      <c r="H941" t="str">
        <f>IF(Comuni__2[[#This Row],[Popolazione2011]]&gt;300000,"MAGGIORE","")</f>
        <v/>
      </c>
      <c r="J941">
        <v>434</v>
      </c>
      <c r="K941">
        <v>2345</v>
      </c>
      <c r="L941">
        <v>393</v>
      </c>
    </row>
    <row r="942" spans="1:12" x14ac:dyDescent="0.2">
      <c r="A942"/>
      <c r="B942"/>
      <c r="C942"/>
      <c r="D942"/>
      <c r="E942" s="2">
        <f>Comuni__2[[#This Row],[Popolazione2011]]/$D$7911</f>
        <v>2.1276245927150491E-4</v>
      </c>
      <c r="F942">
        <f>SUMIFS($D$2:$D$7909, $B$2:$B$7909, "Campania")</f>
        <v>5766810</v>
      </c>
      <c r="G942" s="1">
        <f>Comuni__2[[#This Row],[Popolazione2011]]/Comuni__2[[#This Row],[POPOLAZIONE TOTALE DI OGNI REGIONE (CON FILTRO)]]</f>
        <v>2.1923732531503553E-3</v>
      </c>
      <c r="H942" t="str">
        <f>IF(Comuni__2[[#This Row],[Popolazione2011]]&gt;300000,"MAGGIORE","")</f>
        <v/>
      </c>
      <c r="J942">
        <v>421</v>
      </c>
      <c r="K942">
        <v>2421</v>
      </c>
      <c r="L942">
        <v>394</v>
      </c>
    </row>
    <row r="943" spans="1:12" x14ac:dyDescent="0.2">
      <c r="A943"/>
      <c r="B943"/>
      <c r="C943"/>
      <c r="D943"/>
      <c r="E943" s="2">
        <f>Comuni__2[[#This Row],[Popolazione2011]]/$D$7911</f>
        <v>2.1182006445071835E-4</v>
      </c>
      <c r="F943">
        <f>SUMIFS($D$2:$D$7909, $B$2:$B$7909, "Campania")</f>
        <v>5766810</v>
      </c>
      <c r="G943" s="1">
        <f>Comuni__2[[#This Row],[Popolazione2011]]/Comuni__2[[#This Row],[POPOLAZIONE TOTALE DI OGNI REGIONE (CON FILTRO)]]</f>
        <v>2.1826625118566419E-3</v>
      </c>
      <c r="H943" t="str">
        <f>IF(Comuni__2[[#This Row],[Popolazione2011]]&gt;300000,"MAGGIORE","")</f>
        <v/>
      </c>
      <c r="J943">
        <v>406</v>
      </c>
      <c r="K943">
        <v>2480</v>
      </c>
      <c r="L943">
        <v>394</v>
      </c>
    </row>
    <row r="944" spans="1:12" x14ac:dyDescent="0.2">
      <c r="A944"/>
      <c r="B944"/>
      <c r="C944"/>
      <c r="D944"/>
      <c r="E944" s="2">
        <f>Comuni__2[[#This Row],[Popolazione2011]]/$D$7911</f>
        <v>2.112478961666694E-4</v>
      </c>
      <c r="F944">
        <f>SUMIFS($D$2:$D$7909, $B$2:$B$7909, "Campania")</f>
        <v>5766810</v>
      </c>
      <c r="G944" s="1">
        <f>Comuni__2[[#This Row],[Popolazione2011]]/Comuni__2[[#This Row],[POPOLAZIONE TOTALE DI OGNI REGIONE (CON FILTRO)]]</f>
        <v>2.1767667046426013E-3</v>
      </c>
      <c r="H944" t="str">
        <f>IF(Comuni__2[[#This Row],[Popolazione2011]]&gt;300000,"MAGGIORE","")</f>
        <v/>
      </c>
      <c r="J944">
        <v>358</v>
      </c>
      <c r="K944">
        <v>2522</v>
      </c>
      <c r="L944">
        <v>396</v>
      </c>
    </row>
    <row r="945" spans="1:12" x14ac:dyDescent="0.2">
      <c r="A945"/>
      <c r="B945"/>
      <c r="C945"/>
      <c r="D945"/>
      <c r="E945" s="2">
        <f>Comuni__2[[#This Row],[Popolazione2011]]/$D$7911</f>
        <v>2.1097864050358752E-4</v>
      </c>
      <c r="F945">
        <f>SUMIFS($D$2:$D$7909, $B$2:$B$7909, "Campania")</f>
        <v>5766810</v>
      </c>
      <c r="G945" s="1">
        <f>Comuni__2[[#This Row],[Popolazione2011]]/Comuni__2[[#This Row],[POPOLAZIONE TOTALE DI OGNI REGIONE (CON FILTRO)]]</f>
        <v>2.1739922071301117E-3</v>
      </c>
      <c r="H945" t="str">
        <f>IF(Comuni__2[[#This Row],[Popolazione2011]]&gt;300000,"MAGGIORE","")</f>
        <v/>
      </c>
      <c r="J945">
        <v>367</v>
      </c>
      <c r="K945">
        <v>2562</v>
      </c>
      <c r="L945">
        <v>396</v>
      </c>
    </row>
    <row r="946" spans="1:12" x14ac:dyDescent="0.2">
      <c r="A946"/>
      <c r="B946"/>
      <c r="C946"/>
      <c r="D946"/>
      <c r="E946" s="2">
        <f>Comuni__2[[#This Row],[Popolazione2011]]/$D$7911</f>
        <v>2.0899287998835873E-4</v>
      </c>
      <c r="F946">
        <f>SUMIFS($D$2:$D$7909, $B$2:$B$7909, "Campania")</f>
        <v>5766810</v>
      </c>
      <c r="G946" s="1">
        <f>Comuni__2[[#This Row],[Popolazione2011]]/Comuni__2[[#This Row],[POPOLAZIONE TOTALE DI OGNI REGIONE (CON FILTRO)]]</f>
        <v>2.1535302879755014E-3</v>
      </c>
      <c r="H946" t="str">
        <f>IF(Comuni__2[[#This Row],[Popolazione2011]]&gt;300000,"MAGGIORE","")</f>
        <v/>
      </c>
      <c r="J946">
        <v>359</v>
      </c>
      <c r="K946">
        <v>2592</v>
      </c>
      <c r="L946">
        <v>396</v>
      </c>
    </row>
    <row r="947" spans="1:12" x14ac:dyDescent="0.2">
      <c r="A947"/>
      <c r="B947"/>
      <c r="C947"/>
      <c r="D947"/>
      <c r="E947" s="2">
        <f>Comuni__2[[#This Row],[Popolazione2011]]/$D$7911</f>
        <v>2.088582521568178E-4</v>
      </c>
      <c r="F947">
        <f>SUMIFS($D$2:$D$7909, $B$2:$B$7909, "Campania")</f>
        <v>5766810</v>
      </c>
      <c r="G947" s="1">
        <f>Comuni__2[[#This Row],[Popolazione2011]]/Comuni__2[[#This Row],[POPOLAZIONE TOTALE DI OGNI REGIONE (CON FILTRO)]]</f>
        <v>2.1521430392192563E-3</v>
      </c>
      <c r="H947" t="str">
        <f>IF(Comuni__2[[#This Row],[Popolazione2011]]&gt;300000,"MAGGIORE","")</f>
        <v/>
      </c>
      <c r="J947">
        <v>359</v>
      </c>
      <c r="K947">
        <v>2623</v>
      </c>
      <c r="L947">
        <v>399</v>
      </c>
    </row>
    <row r="948" spans="1:12" x14ac:dyDescent="0.2">
      <c r="A948"/>
      <c r="B948"/>
      <c r="C948"/>
      <c r="D948"/>
      <c r="E948" s="2">
        <f>Comuni__2[[#This Row],[Popolazione2011]]/$D$7911</f>
        <v>2.0872362432527687E-4</v>
      </c>
      <c r="F948">
        <f>SUMIFS($D$2:$D$7909, $B$2:$B$7909, "Campania")</f>
        <v>5766810</v>
      </c>
      <c r="G948" s="1">
        <f>Comuni__2[[#This Row],[Popolazione2011]]/Comuni__2[[#This Row],[POPOLAZIONE TOTALE DI OGNI REGIONE (CON FILTRO)]]</f>
        <v>2.1507557904630117E-3</v>
      </c>
      <c r="H948" t="str">
        <f>IF(Comuni__2[[#This Row],[Popolazione2011]]&gt;300000,"MAGGIORE","")</f>
        <v/>
      </c>
      <c r="J948">
        <v>347</v>
      </c>
      <c r="K948">
        <v>2790</v>
      </c>
      <c r="L948">
        <v>399</v>
      </c>
    </row>
    <row r="949" spans="1:12" x14ac:dyDescent="0.2">
      <c r="A949"/>
      <c r="B949"/>
      <c r="C949"/>
      <c r="D949"/>
      <c r="E949" s="2">
        <f>Comuni__2[[#This Row],[Popolazione2011]]/$D$7911</f>
        <v>2.0628349487859741E-4</v>
      </c>
      <c r="F949">
        <f>SUMIFS($D$2:$D$7909, $B$2:$B$7909, "Campania")</f>
        <v>5766810</v>
      </c>
      <c r="G949" s="1">
        <f>Comuni__2[[#This Row],[Popolazione2011]]/Comuni__2[[#This Row],[POPOLAZIONE TOTALE DI OGNI REGIONE (CON FILTRO)]]</f>
        <v>2.1256119067560746E-3</v>
      </c>
      <c r="H949" t="str">
        <f>IF(Comuni__2[[#This Row],[Popolazione2011]]&gt;300000,"MAGGIORE","")</f>
        <v/>
      </c>
      <c r="J949">
        <v>330</v>
      </c>
      <c r="K949">
        <v>2871</v>
      </c>
      <c r="L949">
        <v>401</v>
      </c>
    </row>
    <row r="950" spans="1:12" x14ac:dyDescent="0.2">
      <c r="A950"/>
      <c r="B950"/>
      <c r="C950"/>
      <c r="D950"/>
      <c r="E950" s="2">
        <f>Comuni__2[[#This Row],[Popolazione2011]]/$D$7911</f>
        <v>2.0234563080602508E-4</v>
      </c>
      <c r="F950">
        <f>SUMIFS($D$2:$D$7909, $B$2:$B$7909, "Campania")</f>
        <v>5766810</v>
      </c>
      <c r="G950" s="1">
        <f>Comuni__2[[#This Row],[Popolazione2011]]/Comuni__2[[#This Row],[POPOLAZIONE TOTALE DI OGNI REGIONE (CON FILTRO)]]</f>
        <v>2.0850348806359148E-3</v>
      </c>
      <c r="H950" t="str">
        <f>IF(Comuni__2[[#This Row],[Popolazione2011]]&gt;300000,"MAGGIORE","")</f>
        <v/>
      </c>
      <c r="J950">
        <v>321</v>
      </c>
      <c r="K950">
        <v>2947</v>
      </c>
      <c r="L950">
        <v>403</v>
      </c>
    </row>
    <row r="951" spans="1:12" x14ac:dyDescent="0.2">
      <c r="A951"/>
      <c r="B951"/>
      <c r="C951"/>
      <c r="D951"/>
      <c r="E951" s="2">
        <f>Comuni__2[[#This Row],[Popolazione2011]]/$D$7911</f>
        <v>2.0030938485396843E-4</v>
      </c>
      <c r="F951">
        <f>SUMIFS($D$2:$D$7909, $B$2:$B$7909, "Campania")</f>
        <v>5766810</v>
      </c>
      <c r="G951" s="1">
        <f>Comuni__2[[#This Row],[Popolazione2011]]/Comuni__2[[#This Row],[POPOLAZIONE TOTALE DI OGNI REGIONE (CON FILTRO)]]</f>
        <v>2.0640527431977124E-3</v>
      </c>
      <c r="H951" t="str">
        <f>IF(Comuni__2[[#This Row],[Popolazione2011]]&gt;300000,"MAGGIORE","")</f>
        <v/>
      </c>
      <c r="J951">
        <v>321</v>
      </c>
      <c r="K951">
        <v>3037</v>
      </c>
      <c r="L951">
        <v>404</v>
      </c>
    </row>
    <row r="952" spans="1:12" x14ac:dyDescent="0.2">
      <c r="A952"/>
      <c r="B952"/>
      <c r="C952"/>
      <c r="D952"/>
      <c r="E952" s="2">
        <f>Comuni__2[[#This Row],[Popolazione2011]]/$D$7911</f>
        <v>1.9733074408112526E-4</v>
      </c>
      <c r="F952">
        <f>SUMIFS($D$2:$D$7909, $B$2:$B$7909, "Campania")</f>
        <v>5766810</v>
      </c>
      <c r="G952" s="1">
        <f>Comuni__2[[#This Row],[Popolazione2011]]/Comuni__2[[#This Row],[POPOLAZIONE TOTALE DI OGNI REGIONE (CON FILTRO)]]</f>
        <v>2.0333598644657965E-3</v>
      </c>
      <c r="H952" t="str">
        <f>IF(Comuni__2[[#This Row],[Popolazione2011]]&gt;300000,"MAGGIORE","")</f>
        <v/>
      </c>
      <c r="J952">
        <v>305</v>
      </c>
      <c r="K952">
        <v>3067</v>
      </c>
      <c r="L952">
        <v>404</v>
      </c>
    </row>
    <row r="953" spans="1:12" x14ac:dyDescent="0.2">
      <c r="A953"/>
      <c r="B953"/>
      <c r="C953"/>
      <c r="D953"/>
      <c r="E953" s="2">
        <f>Comuni__2[[#This Row],[Popolazione2011]]/$D$7911</f>
        <v>1.9359482175586431E-4</v>
      </c>
      <c r="F953">
        <f>SUMIFS($D$2:$D$7909, $B$2:$B$7909, "Campania")</f>
        <v>5766810</v>
      </c>
      <c r="G953" s="1">
        <f>Comuni__2[[#This Row],[Popolazione2011]]/Comuni__2[[#This Row],[POPOLAZIONE TOTALE DI OGNI REGIONE (CON FILTRO)]]</f>
        <v>1.9948637114800037E-3</v>
      </c>
      <c r="H953" t="str">
        <f>IF(Comuni__2[[#This Row],[Popolazione2011]]&gt;300000,"MAGGIORE","")</f>
        <v/>
      </c>
      <c r="J953">
        <v>319</v>
      </c>
      <c r="K953">
        <v>3076</v>
      </c>
      <c r="L953">
        <v>405</v>
      </c>
    </row>
    <row r="954" spans="1:12" x14ac:dyDescent="0.2">
      <c r="A954"/>
      <c r="B954"/>
      <c r="C954"/>
      <c r="D954"/>
      <c r="E954" s="2">
        <f>Comuni__2[[#This Row],[Popolazione2011]]/$D$7911</f>
        <v>1.9033009684099665E-4</v>
      </c>
      <c r="F954">
        <f>SUMIFS($D$2:$D$7909, $B$2:$B$7909, "Campania")</f>
        <v>5766810</v>
      </c>
      <c r="G954" s="1">
        <f>Comuni__2[[#This Row],[Popolazione2011]]/Comuni__2[[#This Row],[POPOLAZIONE TOTALE DI OGNI REGIONE (CON FILTRO)]]</f>
        <v>1.9612229291410678E-3</v>
      </c>
      <c r="H954" t="str">
        <f>IF(Comuni__2[[#This Row],[Popolazione2011]]&gt;300000,"MAGGIORE","")</f>
        <v/>
      </c>
      <c r="J954">
        <v>294</v>
      </c>
      <c r="K954">
        <v>3137</v>
      </c>
      <c r="L954">
        <v>405</v>
      </c>
    </row>
    <row r="955" spans="1:12" x14ac:dyDescent="0.2">
      <c r="A955"/>
      <c r="B955"/>
      <c r="C955"/>
      <c r="D955"/>
      <c r="E955" s="2">
        <f>Comuni__2[[#This Row],[Popolazione2011]]/$D$7911</f>
        <v>1.8634174733159645E-4</v>
      </c>
      <c r="F955">
        <f>SUMIFS($D$2:$D$7909, $B$2:$B$7909, "Campania")</f>
        <v>5766810</v>
      </c>
      <c r="G955" s="1">
        <f>Comuni__2[[#This Row],[Popolazione2011]]/Comuni__2[[#This Row],[POPOLAZIONE TOTALE DI OGNI REGIONE (CON FILTRO)]]</f>
        <v>1.9201256847373158E-3</v>
      </c>
      <c r="H955" t="str">
        <f>IF(Comuni__2[[#This Row],[Popolazione2011]]&gt;300000,"MAGGIORE","")</f>
        <v/>
      </c>
      <c r="J955">
        <v>291</v>
      </c>
      <c r="K955">
        <v>3178</v>
      </c>
      <c r="L955">
        <v>405</v>
      </c>
    </row>
    <row r="956" spans="1:12" x14ac:dyDescent="0.2">
      <c r="A956"/>
      <c r="B956"/>
      <c r="C956"/>
      <c r="D956"/>
      <c r="E956" s="2">
        <f>Comuni__2[[#This Row],[Popolazione2011]]/$D$7911</f>
        <v>1.8531521011609683E-4</v>
      </c>
      <c r="F956">
        <f>SUMIFS($D$2:$D$7909, $B$2:$B$7909, "Campania")</f>
        <v>5766810</v>
      </c>
      <c r="G956" s="1">
        <f>Comuni__2[[#This Row],[Popolazione2011]]/Comuni__2[[#This Row],[POPOLAZIONE TOTALE DI OGNI REGIONE (CON FILTRO)]]</f>
        <v>1.9095479129709492E-3</v>
      </c>
      <c r="H956" t="str">
        <f>IF(Comuni__2[[#This Row],[Popolazione2011]]&gt;300000,"MAGGIORE","")</f>
        <v/>
      </c>
      <c r="J956">
        <v>281</v>
      </c>
      <c r="K956">
        <v>3221</v>
      </c>
      <c r="L956">
        <v>406</v>
      </c>
    </row>
    <row r="957" spans="1:12" x14ac:dyDescent="0.2">
      <c r="A957"/>
      <c r="B957"/>
      <c r="C957"/>
      <c r="D957"/>
      <c r="E957" s="2">
        <f>Comuni__2[[#This Row],[Popolazione2011]]/$D$7911</f>
        <v>1.8386796092703176E-4</v>
      </c>
      <c r="F957">
        <f>SUMIFS($D$2:$D$7909, $B$2:$B$7909, "Campania")</f>
        <v>5766810</v>
      </c>
      <c r="G957" s="1">
        <f>Comuni__2[[#This Row],[Popolazione2011]]/Comuni__2[[#This Row],[POPOLAZIONE TOTALE DI OGNI REGIONE (CON FILTRO)]]</f>
        <v>1.8946349888413177E-3</v>
      </c>
      <c r="H957" t="str">
        <f>IF(Comuni__2[[#This Row],[Popolazione2011]]&gt;300000,"MAGGIORE","")</f>
        <v/>
      </c>
      <c r="J957">
        <v>266</v>
      </c>
      <c r="K957">
        <v>3355</v>
      </c>
      <c r="L957">
        <v>410</v>
      </c>
    </row>
    <row r="958" spans="1:12" x14ac:dyDescent="0.2">
      <c r="A958"/>
      <c r="B958"/>
      <c r="C958"/>
      <c r="D958"/>
      <c r="E958" s="2">
        <f>Comuni__2[[#This Row],[Popolazione2011]]/$D$7911</f>
        <v>1.8306019393778616E-4</v>
      </c>
      <c r="F958">
        <f>SUMIFS($D$2:$D$7909, $B$2:$B$7909, "Campania")</f>
        <v>5766810</v>
      </c>
      <c r="G958" s="1">
        <f>Comuni__2[[#This Row],[Popolazione2011]]/Comuni__2[[#This Row],[POPOLAZIONE TOTALE DI OGNI REGIONE (CON FILTRO)]]</f>
        <v>1.886311496303849E-3</v>
      </c>
      <c r="H958" t="str">
        <f>IF(Comuni__2[[#This Row],[Popolazione2011]]&gt;300000,"MAGGIORE","")</f>
        <v/>
      </c>
      <c r="J958">
        <v>243</v>
      </c>
      <c r="K958">
        <v>3390</v>
      </c>
      <c r="L958">
        <v>411</v>
      </c>
    </row>
    <row r="959" spans="1:12" x14ac:dyDescent="0.2">
      <c r="A959"/>
      <c r="B959"/>
      <c r="C959"/>
      <c r="D959"/>
      <c r="E959" s="2">
        <f>Comuni__2[[#This Row],[Popolazione2011]]/$D$7911</f>
        <v>1.8031715187013961E-4</v>
      </c>
      <c r="F959">
        <f>SUMIFS($D$2:$D$7909, $B$2:$B$7909, "Campania")</f>
        <v>5766810</v>
      </c>
      <c r="G959" s="1">
        <f>Comuni__2[[#This Row],[Popolazione2011]]/Comuni__2[[#This Row],[POPOLAZIONE TOTALE DI OGNI REGIONE (CON FILTRO)]]</f>
        <v>1.8580463028953615E-3</v>
      </c>
      <c r="H959" t="str">
        <f>IF(Comuni__2[[#This Row],[Popolazione2011]]&gt;300000,"MAGGIORE","")</f>
        <v/>
      </c>
      <c r="J959">
        <v>243</v>
      </c>
      <c r="K959">
        <v>3405</v>
      </c>
      <c r="L959">
        <v>411</v>
      </c>
    </row>
    <row r="960" spans="1:12" x14ac:dyDescent="0.2">
      <c r="A960"/>
      <c r="B960"/>
      <c r="C960"/>
      <c r="D960"/>
      <c r="E960" s="2">
        <f>Comuni__2[[#This Row],[Popolazione2011]]/$D$7911</f>
        <v>1.7804530721288634E-4</v>
      </c>
      <c r="F960">
        <f>SUMIFS($D$2:$D$7909, $B$2:$B$7909, "Campania")</f>
        <v>5766810</v>
      </c>
      <c r="G960" s="1">
        <f>Comuni__2[[#This Row],[Popolazione2011]]/Comuni__2[[#This Row],[POPOLAZIONE TOTALE DI OGNI REGIONE (CON FILTRO)]]</f>
        <v>1.8346364801337307E-3</v>
      </c>
      <c r="H960" t="str">
        <f>IF(Comuni__2[[#This Row],[Popolazione2011]]&gt;300000,"MAGGIORE","")</f>
        <v/>
      </c>
      <c r="J960">
        <v>232</v>
      </c>
      <c r="K960">
        <v>3410</v>
      </c>
      <c r="L960">
        <v>412</v>
      </c>
    </row>
    <row r="961" spans="1:12" x14ac:dyDescent="0.2">
      <c r="A961"/>
      <c r="B961"/>
      <c r="C961"/>
      <c r="D961"/>
      <c r="E961" s="2">
        <f>Comuni__2[[#This Row],[Popolazione2011]]/$D$7911</f>
        <v>1.7769190915509138E-4</v>
      </c>
      <c r="F961">
        <f>SUMIFS($D$2:$D$7909, $B$2:$B$7909, "Campania")</f>
        <v>5766810</v>
      </c>
      <c r="G961" s="1">
        <f>Comuni__2[[#This Row],[Popolazione2011]]/Comuni__2[[#This Row],[POPOLAZIONE TOTALE DI OGNI REGIONE (CON FILTRO)]]</f>
        <v>1.8309949521485881E-3</v>
      </c>
      <c r="H961" t="str">
        <f>IF(Comuni__2[[#This Row],[Popolazione2011]]&gt;300000,"MAGGIORE","")</f>
        <v/>
      </c>
      <c r="J961">
        <v>230</v>
      </c>
      <c r="K961">
        <v>3454</v>
      </c>
      <c r="L961">
        <v>413</v>
      </c>
    </row>
    <row r="962" spans="1:12" x14ac:dyDescent="0.2">
      <c r="A962"/>
      <c r="B962"/>
      <c r="C962"/>
      <c r="D962"/>
      <c r="E962" s="2">
        <f>Comuni__2[[#This Row],[Popolazione2011]]/$D$7911</f>
        <v>1.7767508067614875E-4</v>
      </c>
      <c r="F962">
        <f>SUMIFS($D$2:$D$7909, $B$2:$B$7909, "Campania")</f>
        <v>5766810</v>
      </c>
      <c r="G962" s="1">
        <f>Comuni__2[[#This Row],[Popolazione2011]]/Comuni__2[[#This Row],[POPOLAZIONE TOTALE DI OGNI REGIONE (CON FILTRO)]]</f>
        <v>1.8308215460540577E-3</v>
      </c>
      <c r="H962" t="str">
        <f>IF(Comuni__2[[#This Row],[Popolazione2011]]&gt;300000,"MAGGIORE","")</f>
        <v/>
      </c>
      <c r="J962">
        <v>243</v>
      </c>
      <c r="K962">
        <v>3504</v>
      </c>
      <c r="L962">
        <v>415</v>
      </c>
    </row>
    <row r="963" spans="1:12" x14ac:dyDescent="0.2">
      <c r="A963"/>
      <c r="B963"/>
      <c r="C963"/>
      <c r="D963"/>
      <c r="E963" s="2">
        <f>Comuni__2[[#This Row],[Popolazione2011]]/$D$7911</f>
        <v>1.7567249168197737E-4</v>
      </c>
      <c r="F963">
        <f>SUMIFS($D$2:$D$7909, $B$2:$B$7909, "Campania")</f>
        <v>5766810</v>
      </c>
      <c r="G963" s="1">
        <f>Comuni__2[[#This Row],[Popolazione2011]]/Comuni__2[[#This Row],[POPOLAZIONE TOTALE DI OGNI REGIONE (CON FILTRO)]]</f>
        <v>1.8101862208049163E-3</v>
      </c>
      <c r="H963" t="str">
        <f>IF(Comuni__2[[#This Row],[Popolazione2011]]&gt;300000,"MAGGIORE","")</f>
        <v/>
      </c>
      <c r="J963">
        <v>210</v>
      </c>
      <c r="K963">
        <v>3537</v>
      </c>
      <c r="L963">
        <v>415</v>
      </c>
    </row>
    <row r="964" spans="1:12" x14ac:dyDescent="0.2">
      <c r="A964"/>
      <c r="B964"/>
      <c r="C964"/>
      <c r="D964"/>
      <c r="E964" s="2">
        <f>Comuni__2[[#This Row],[Popolazione2011]]/$D$7911</f>
        <v>1.7528543666629718E-4</v>
      </c>
      <c r="F964">
        <f>SUMIFS($D$2:$D$7909, $B$2:$B$7909, "Campania")</f>
        <v>5766810</v>
      </c>
      <c r="G964" s="1">
        <f>Comuni__2[[#This Row],[Popolazione2011]]/Comuni__2[[#This Row],[POPOLAZIONE TOTALE DI OGNI REGIONE (CON FILTRO)]]</f>
        <v>1.8061978806307127E-3</v>
      </c>
      <c r="H964" t="str">
        <f>IF(Comuni__2[[#This Row],[Popolazione2011]]&gt;300000,"MAGGIORE","")</f>
        <v/>
      </c>
      <c r="J964">
        <v>165</v>
      </c>
      <c r="K964">
        <v>3572</v>
      </c>
      <c r="L964">
        <v>420</v>
      </c>
    </row>
    <row r="965" spans="1:12" x14ac:dyDescent="0.2">
      <c r="A965"/>
      <c r="B965"/>
      <c r="C965"/>
      <c r="D965"/>
      <c r="E965" s="2">
        <f>Comuni__2[[#This Row],[Popolazione2011]]/$D$7911</f>
        <v>1.7212168262508519E-4</v>
      </c>
      <c r="F965">
        <f>SUMIFS($D$2:$D$7909, $B$2:$B$7909, "Campania")</f>
        <v>5766810</v>
      </c>
      <c r="G965" s="1">
        <f>Comuni__2[[#This Row],[Popolazione2011]]/Comuni__2[[#This Row],[POPOLAZIONE TOTALE DI OGNI REGIONE (CON FILTRO)]]</f>
        <v>1.7735975348589601E-3</v>
      </c>
      <c r="H965" t="str">
        <f>IF(Comuni__2[[#This Row],[Popolazione2011]]&gt;300000,"MAGGIORE","")</f>
        <v/>
      </c>
      <c r="J965">
        <v>140</v>
      </c>
      <c r="K965">
        <v>3623</v>
      </c>
      <c r="L965">
        <v>425</v>
      </c>
    </row>
    <row r="966" spans="1:12" x14ac:dyDescent="0.2">
      <c r="A966"/>
      <c r="B966"/>
      <c r="C966"/>
      <c r="D966"/>
      <c r="E966" s="2">
        <f>Comuni__2[[#This Row],[Popolazione2011]]/$D$7911</f>
        <v>1.7207119718825735E-4</v>
      </c>
      <c r="F966">
        <f>SUMIFS($D$2:$D$7909, $B$2:$B$7909, "Campania")</f>
        <v>5766810</v>
      </c>
      <c r="G966" s="1">
        <f>Comuni__2[[#This Row],[Popolazione2011]]/Comuni__2[[#This Row],[POPOLAZIONE TOTALE DI OGNI REGIONE (CON FILTRO)]]</f>
        <v>1.7730773165753684E-3</v>
      </c>
      <c r="H966" t="str">
        <f>IF(Comuni__2[[#This Row],[Popolazione2011]]&gt;300000,"MAGGIORE","")</f>
        <v/>
      </c>
      <c r="J966">
        <v>104</v>
      </c>
      <c r="K966">
        <v>3658</v>
      </c>
      <c r="L966">
        <v>426</v>
      </c>
    </row>
    <row r="967" spans="1:12" x14ac:dyDescent="0.2">
      <c r="A967"/>
      <c r="B967"/>
      <c r="C967"/>
      <c r="D967"/>
      <c r="E967" s="2">
        <f>Comuni__2[[#This Row],[Popolazione2011]]/$D$7911</f>
        <v>1.695300968679222E-4</v>
      </c>
      <c r="F967">
        <f>SUMIFS($D$2:$D$7909, $B$2:$B$7909, "Campania")</f>
        <v>5766810</v>
      </c>
      <c r="G967" s="1">
        <f>Comuni__2[[#This Row],[Popolazione2011]]/Comuni__2[[#This Row],[POPOLAZIONE TOTALE DI OGNI REGIONE (CON FILTRO)]]</f>
        <v>1.746892996301248E-3</v>
      </c>
      <c r="H967" t="str">
        <f>IF(Comuni__2[[#This Row],[Popolazione2011]]&gt;300000,"MAGGIORE","")</f>
        <v/>
      </c>
      <c r="J967">
        <v>92</v>
      </c>
      <c r="K967">
        <v>3675</v>
      </c>
      <c r="L967">
        <v>426</v>
      </c>
    </row>
    <row r="968" spans="1:12" x14ac:dyDescent="0.2">
      <c r="A968"/>
      <c r="B968"/>
      <c r="C968"/>
      <c r="D968"/>
      <c r="E968" s="2">
        <f>Comuni__2[[#This Row],[Popolazione2011]]/$D$7911</f>
        <v>1.6860453052607827E-4</v>
      </c>
      <c r="F968">
        <f>SUMIFS($D$2:$D$7909, $B$2:$B$7909, "Campania")</f>
        <v>5766810</v>
      </c>
      <c r="G968" s="1">
        <f>Comuni__2[[#This Row],[Popolazione2011]]/Comuni__2[[#This Row],[POPOLAZIONE TOTALE DI OGNI REGIONE (CON FILTRO)]]</f>
        <v>1.7373556611020651E-3</v>
      </c>
      <c r="H968" t="str">
        <f>IF(Comuni__2[[#This Row],[Popolazione2011]]&gt;300000,"MAGGIORE","")</f>
        <v/>
      </c>
      <c r="J968">
        <v>88</v>
      </c>
      <c r="K968">
        <v>3685</v>
      </c>
      <c r="L968">
        <v>426</v>
      </c>
    </row>
    <row r="969" spans="1:12" x14ac:dyDescent="0.2">
      <c r="A969"/>
      <c r="B969"/>
      <c r="C969"/>
      <c r="D969"/>
      <c r="E969" s="2">
        <f>Comuni__2[[#This Row],[Popolazione2011]]/$D$7911</f>
        <v>1.6830161790511118E-4</v>
      </c>
      <c r="F969">
        <f>SUMIFS($D$2:$D$7909, $B$2:$B$7909, "Campania")</f>
        <v>5766810</v>
      </c>
      <c r="G969" s="1">
        <f>Comuni__2[[#This Row],[Popolazione2011]]/Comuni__2[[#This Row],[POPOLAZIONE TOTALE DI OGNI REGIONE (CON FILTRO)]]</f>
        <v>1.7342343514005142E-3</v>
      </c>
      <c r="H969" t="str">
        <f>IF(Comuni__2[[#This Row],[Popolazione2011]]&gt;300000,"MAGGIORE","")</f>
        <v/>
      </c>
      <c r="J969">
        <v>76</v>
      </c>
      <c r="K969">
        <v>3732</v>
      </c>
      <c r="L969">
        <v>426</v>
      </c>
    </row>
    <row r="970" spans="1:12" x14ac:dyDescent="0.2">
      <c r="A970"/>
      <c r="B970"/>
      <c r="C970"/>
      <c r="D970"/>
      <c r="E970" s="2">
        <f>Comuni__2[[#This Row],[Popolazione2011]]/$D$7911</f>
        <v>1.6776310657894744E-4</v>
      </c>
      <c r="F970">
        <f>SUMIFS($D$2:$D$7909, $B$2:$B$7909, "Campania")</f>
        <v>5766810</v>
      </c>
      <c r="G970" s="1">
        <f>Comuni__2[[#This Row],[Popolazione2011]]/Comuni__2[[#This Row],[POPOLAZIONE TOTALE DI OGNI REGIONE (CON FILTRO)]]</f>
        <v>1.7286853563755352E-3</v>
      </c>
      <c r="H970" t="str">
        <f>IF(Comuni__2[[#This Row],[Popolazione2011]]&gt;300000,"MAGGIORE","")</f>
        <v/>
      </c>
      <c r="J970">
        <v>76</v>
      </c>
      <c r="K970">
        <v>3764</v>
      </c>
      <c r="L970">
        <v>428</v>
      </c>
    </row>
    <row r="971" spans="1:12" x14ac:dyDescent="0.2">
      <c r="A971"/>
      <c r="B971"/>
      <c r="C971"/>
      <c r="D971"/>
      <c r="E971" s="2">
        <f>Comuni__2[[#This Row],[Popolazione2011]]/$D$7911</f>
        <v>1.6629902891093977E-4</v>
      </c>
      <c r="F971">
        <f>SUMIFS($D$2:$D$7909, $B$2:$B$7909, "Campania")</f>
        <v>5766810</v>
      </c>
      <c r="G971" s="1">
        <f>Comuni__2[[#This Row],[Popolazione2011]]/Comuni__2[[#This Row],[POPOLAZIONE TOTALE DI OGNI REGIONE (CON FILTRO)]]</f>
        <v>1.7135990261513731E-3</v>
      </c>
      <c r="H971" t="str">
        <f>IF(Comuni__2[[#This Row],[Popolazione2011]]&gt;300000,"MAGGIORE","")</f>
        <v/>
      </c>
      <c r="J971">
        <v>76</v>
      </c>
      <c r="K971">
        <v>3797</v>
      </c>
      <c r="L971">
        <v>430</v>
      </c>
    </row>
    <row r="972" spans="1:12" x14ac:dyDescent="0.2">
      <c r="A972"/>
      <c r="B972"/>
      <c r="C972"/>
      <c r="D972"/>
      <c r="E972" s="2">
        <f>Comuni__2[[#This Row],[Popolazione2011]]/$D$7911</f>
        <v>1.6507054994812875E-4</v>
      </c>
      <c r="F972">
        <f>SUMIFS($D$2:$D$7909, $B$2:$B$7909, "Campania")</f>
        <v>5766810</v>
      </c>
      <c r="G972" s="1">
        <f>Comuni__2[[#This Row],[Popolazione2011]]/Comuni__2[[#This Row],[POPOLAZIONE TOTALE DI OGNI REGIONE (CON FILTRO)]]</f>
        <v>1.7009403812506395E-3</v>
      </c>
      <c r="H972" t="str">
        <f>IF(Comuni__2[[#This Row],[Popolazione2011]]&gt;300000,"MAGGIORE","")</f>
        <v/>
      </c>
      <c r="J972">
        <v>63</v>
      </c>
      <c r="K972">
        <v>3832</v>
      </c>
      <c r="L972">
        <v>430</v>
      </c>
    </row>
    <row r="973" spans="1:12" x14ac:dyDescent="0.2">
      <c r="A973"/>
      <c r="B973"/>
      <c r="C973"/>
      <c r="D973"/>
      <c r="E973" s="2">
        <f>Comuni__2[[#This Row],[Popolazione2011]]/$D$7911</f>
        <v>1.6446472470619454E-4</v>
      </c>
      <c r="F973">
        <f>SUMIFS($D$2:$D$7909, $B$2:$B$7909, "Campania")</f>
        <v>5766810</v>
      </c>
      <c r="G973" s="1">
        <f>Comuni__2[[#This Row],[Popolazione2011]]/Comuni__2[[#This Row],[POPOLAZIONE TOTALE DI OGNI REGIONE (CON FILTRO)]]</f>
        <v>1.694697761847538E-3</v>
      </c>
      <c r="H973" t="str">
        <f>IF(Comuni__2[[#This Row],[Popolazione2011]]&gt;300000,"MAGGIORE","")</f>
        <v/>
      </c>
      <c r="J973">
        <v>69</v>
      </c>
      <c r="K973">
        <v>3841</v>
      </c>
      <c r="L973">
        <v>430</v>
      </c>
    </row>
    <row r="974" spans="1:12" x14ac:dyDescent="0.2">
      <c r="A974"/>
      <c r="B974"/>
      <c r="C974"/>
      <c r="D974"/>
      <c r="E974" s="2">
        <f>Comuni__2[[#This Row],[Popolazione2011]]/$D$7911</f>
        <v>1.5426666646696871E-4</v>
      </c>
      <c r="F974">
        <f>SUMIFS($D$2:$D$7909, $B$2:$B$7909, "Campania")</f>
        <v>5766810</v>
      </c>
      <c r="G974" s="1">
        <f>Comuni__2[[#This Row],[Popolazione2011]]/Comuni__2[[#This Row],[POPOLAZIONE TOTALE DI OGNI REGIONE (CON FILTRO)]]</f>
        <v>1.5896136685619952E-3</v>
      </c>
      <c r="H974" t="str">
        <f>IF(Comuni__2[[#This Row],[Popolazione2011]]&gt;300000,"MAGGIORE","")</f>
        <v/>
      </c>
      <c r="J974">
        <v>55</v>
      </c>
      <c r="K974">
        <v>3860</v>
      </c>
      <c r="L974">
        <v>430</v>
      </c>
    </row>
    <row r="975" spans="1:12" x14ac:dyDescent="0.2">
      <c r="A975"/>
      <c r="B975"/>
      <c r="C975"/>
      <c r="D975"/>
      <c r="E975" s="2">
        <f>Comuni__2[[#This Row],[Popolazione2011]]/$D$7911</f>
        <v>1.535430418724362E-4</v>
      </c>
      <c r="F975">
        <f>SUMIFS($D$2:$D$7909, $B$2:$B$7909, "Campania")</f>
        <v>5766810</v>
      </c>
      <c r="G975" s="1">
        <f>Comuni__2[[#This Row],[Popolazione2011]]/Comuni__2[[#This Row],[POPOLAZIONE TOTALE DI OGNI REGIONE (CON FILTRO)]]</f>
        <v>1.5821572064971796E-3</v>
      </c>
      <c r="H975" t="str">
        <f>IF(Comuni__2[[#This Row],[Popolazione2011]]&gt;300000,"MAGGIORE","")</f>
        <v/>
      </c>
      <c r="J975">
        <v>60</v>
      </c>
      <c r="K975">
        <v>3894</v>
      </c>
      <c r="L975">
        <v>430</v>
      </c>
    </row>
    <row r="976" spans="1:12" x14ac:dyDescent="0.2">
      <c r="A976"/>
      <c r="B976"/>
      <c r="C976"/>
      <c r="D976"/>
      <c r="E976" s="2">
        <f>Comuni__2[[#This Row],[Popolazione2011]]/$D$7911</f>
        <v>1.534420709987805E-4</v>
      </c>
      <c r="F976">
        <f>SUMIFS($D$2:$D$7909, $B$2:$B$7909, "Campania")</f>
        <v>5766810</v>
      </c>
      <c r="G976" s="1">
        <f>Comuni__2[[#This Row],[Popolazione2011]]/Comuni__2[[#This Row],[POPOLAZIONE TOTALE DI OGNI REGIONE (CON FILTRO)]]</f>
        <v>1.5811167699299959E-3</v>
      </c>
      <c r="H976" t="str">
        <f>IF(Comuni__2[[#This Row],[Popolazione2011]]&gt;300000,"MAGGIORE","")</f>
        <v/>
      </c>
      <c r="J976">
        <v>59</v>
      </c>
      <c r="K976">
        <v>3910</v>
      </c>
      <c r="L976">
        <v>430</v>
      </c>
    </row>
    <row r="977" spans="1:12" x14ac:dyDescent="0.2">
      <c r="A977"/>
      <c r="B977"/>
      <c r="C977"/>
      <c r="D977"/>
      <c r="E977" s="2">
        <f>Comuni__2[[#This Row],[Popolazione2011]]/$D$7911</f>
        <v>1.519443363728876E-4</v>
      </c>
      <c r="F977">
        <f>SUMIFS($D$2:$D$7909, $B$2:$B$7909, "Campania")</f>
        <v>5766810</v>
      </c>
      <c r="G977" s="1">
        <f>Comuni__2[[#This Row],[Popolazione2011]]/Comuni__2[[#This Row],[POPOLAZIONE TOTALE DI OGNI REGIONE (CON FILTRO)]]</f>
        <v>1.5656836275167727E-3</v>
      </c>
      <c r="H977" t="str">
        <f>IF(Comuni__2[[#This Row],[Popolazione2011]]&gt;300000,"MAGGIORE","")</f>
        <v/>
      </c>
      <c r="J977">
        <v>50</v>
      </c>
      <c r="K977">
        <v>3925</v>
      </c>
      <c r="L977">
        <v>431</v>
      </c>
    </row>
    <row r="978" spans="1:12" x14ac:dyDescent="0.2">
      <c r="A978"/>
      <c r="B978"/>
      <c r="C978"/>
      <c r="D978"/>
      <c r="E978" s="2">
        <f>Comuni__2[[#This Row],[Popolazione2011]]/$D$7911</f>
        <v>1.4696310660587301E-4</v>
      </c>
      <c r="F978">
        <f>SUMIFS($D$2:$D$7909, $B$2:$B$7909, "Campania")</f>
        <v>5766810</v>
      </c>
      <c r="G978" s="1">
        <f>Comuni__2[[#This Row],[Popolazione2011]]/Comuni__2[[#This Row],[POPOLAZIONE TOTALE DI OGNI REGIONE (CON FILTRO)]]</f>
        <v>1.5143554235357156E-3</v>
      </c>
      <c r="H978" t="str">
        <f>IF(Comuni__2[[#This Row],[Popolazione2011]]&gt;300000,"MAGGIORE","")</f>
        <v/>
      </c>
      <c r="J978">
        <v>58</v>
      </c>
      <c r="K978">
        <v>3942</v>
      </c>
      <c r="L978">
        <v>431</v>
      </c>
    </row>
    <row r="979" spans="1:12" x14ac:dyDescent="0.2">
      <c r="A979"/>
      <c r="B979"/>
      <c r="C979"/>
      <c r="D979"/>
      <c r="E979" s="2">
        <f>Comuni__2[[#This Row],[Popolazione2011]]/$D$7911</f>
        <v>1.4666019398490589E-4</v>
      </c>
      <c r="F979">
        <f>SUMIFS($D$2:$D$7909, $B$2:$B$7909, "Campania")</f>
        <v>5766810</v>
      </c>
      <c r="G979" s="1">
        <f>Comuni__2[[#This Row],[Popolazione2011]]/Comuni__2[[#This Row],[POPOLAZIONE TOTALE DI OGNI REGIONE (CON FILTRO)]]</f>
        <v>1.5112341138341647E-3</v>
      </c>
      <c r="H979" t="str">
        <f>IF(Comuni__2[[#This Row],[Popolazione2011]]&gt;300000,"MAGGIORE","")</f>
        <v/>
      </c>
      <c r="J979">
        <v>50</v>
      </c>
      <c r="K979">
        <v>4059</v>
      </c>
      <c r="L979">
        <v>431</v>
      </c>
    </row>
    <row r="980" spans="1:12" x14ac:dyDescent="0.2">
      <c r="A980"/>
      <c r="B980"/>
      <c r="C980"/>
      <c r="D980"/>
      <c r="E980" s="2">
        <f>Comuni__2[[#This Row],[Popolazione2011]]/$D$7911</f>
        <v>1.4607119722191431E-4</v>
      </c>
      <c r="F980">
        <f>SUMIFS($D$2:$D$7909, $B$2:$B$7909, "Campania")</f>
        <v>5766810</v>
      </c>
      <c r="G980" s="1">
        <f>Comuni__2[[#This Row],[Popolazione2011]]/Comuni__2[[#This Row],[POPOLAZIONE TOTALE DI OGNI REGIONE (CON FILTRO)]]</f>
        <v>1.5051649005255938E-3</v>
      </c>
      <c r="H980" t="str">
        <f>IF(Comuni__2[[#This Row],[Popolazione2011]]&gt;300000,"MAGGIORE","")</f>
        <v/>
      </c>
      <c r="J980">
        <v>49</v>
      </c>
      <c r="K980">
        <v>4059</v>
      </c>
      <c r="L980">
        <v>431</v>
      </c>
    </row>
    <row r="981" spans="1:12" x14ac:dyDescent="0.2">
      <c r="A981"/>
      <c r="B981"/>
      <c r="C981"/>
      <c r="D981"/>
      <c r="E981" s="2">
        <f>Comuni__2[[#This Row],[Popolazione2011]]/$D$7911</f>
        <v>1.4297475709647281E-4</v>
      </c>
      <c r="F981">
        <f>SUMIFS($D$2:$D$7909, $B$2:$B$7909, "Campania")</f>
        <v>5766810</v>
      </c>
      <c r="G981" s="1">
        <f>Comuni__2[[#This Row],[Popolazione2011]]/Comuni__2[[#This Row],[POPOLAZIONE TOTALE DI OGNI REGIONE (CON FILTRO)]]</f>
        <v>1.4732581791319637E-3</v>
      </c>
      <c r="H981" t="str">
        <f>IF(Comuni__2[[#This Row],[Popolazione2011]]&gt;300000,"MAGGIORE","")</f>
        <v/>
      </c>
      <c r="J981">
        <v>42</v>
      </c>
      <c r="K981">
        <v>4060</v>
      </c>
      <c r="L981">
        <v>431</v>
      </c>
    </row>
    <row r="982" spans="1:12" x14ac:dyDescent="0.2">
      <c r="A982"/>
      <c r="B982"/>
      <c r="C982"/>
      <c r="D982"/>
      <c r="E982" s="2">
        <f>Comuni__2[[#This Row],[Popolazione2011]]/$D$7911</f>
        <v>1.3962588978689205E-4</v>
      </c>
      <c r="F982">
        <f>SUMIFS($D$2:$D$7909, $B$2:$B$7909, "Campania")</f>
        <v>5766810</v>
      </c>
      <c r="G982" s="1">
        <f>Comuni__2[[#This Row],[Popolazione2011]]/Comuni__2[[#This Row],[POPOLAZIONE TOTALE DI OGNI REGIONE (CON FILTRO)]]</f>
        <v>1.4387503663203748E-3</v>
      </c>
      <c r="H982" t="str">
        <f>IF(Comuni__2[[#This Row],[Popolazione2011]]&gt;300000,"MAGGIORE","")</f>
        <v/>
      </c>
      <c r="J982">
        <v>40</v>
      </c>
      <c r="K982">
        <v>4060</v>
      </c>
      <c r="L982">
        <v>431</v>
      </c>
    </row>
    <row r="983" spans="1:12" x14ac:dyDescent="0.2">
      <c r="A983"/>
      <c r="B983"/>
      <c r="C983"/>
      <c r="D983"/>
      <c r="E983" s="2">
        <f>Comuni__2[[#This Row],[Popolazione2011]]/$D$7911</f>
        <v>1.3814498363994178E-4</v>
      </c>
      <c r="F983">
        <f>SUMIFS($D$2:$D$7909, $B$2:$B$7909, "Campania")</f>
        <v>5766810</v>
      </c>
      <c r="G983" s="1">
        <f>Comuni__2[[#This Row],[Popolazione2011]]/Comuni__2[[#This Row],[POPOLAZIONE TOTALE DI OGNI REGIONE (CON FILTRO)]]</f>
        <v>1.423490630001682E-3</v>
      </c>
      <c r="H983" t="str">
        <f>IF(Comuni__2[[#This Row],[Popolazione2011]]&gt;300000,"MAGGIORE","")</f>
        <v/>
      </c>
      <c r="J983">
        <v>47</v>
      </c>
      <c r="K983">
        <v>4062</v>
      </c>
      <c r="L983">
        <v>431</v>
      </c>
    </row>
    <row r="984" spans="1:12" x14ac:dyDescent="0.2">
      <c r="A984"/>
      <c r="B984"/>
      <c r="C984"/>
      <c r="D984"/>
      <c r="E984" s="2">
        <f>Comuni__2[[#This Row],[Popolazione2011]]/$D$7911</f>
        <v>1.3806084124522869E-4</v>
      </c>
      <c r="F984">
        <f>SUMIFS($D$2:$D$7909, $B$2:$B$7909, "Campania")</f>
        <v>5766810</v>
      </c>
      <c r="G984" s="1">
        <f>Comuni__2[[#This Row],[Popolazione2011]]/Comuni__2[[#This Row],[POPOLAZIONE TOTALE DI OGNI REGIONE (CON FILTRO)]]</f>
        <v>1.4226235995290291E-3</v>
      </c>
      <c r="H984" t="str">
        <f>IF(Comuni__2[[#This Row],[Popolazione2011]]&gt;300000,"MAGGIORE","")</f>
        <v/>
      </c>
      <c r="J984">
        <v>35</v>
      </c>
      <c r="K984">
        <v>4066</v>
      </c>
      <c r="L984">
        <v>431</v>
      </c>
    </row>
    <row r="985" spans="1:12" x14ac:dyDescent="0.2">
      <c r="A985"/>
      <c r="B985"/>
      <c r="C985"/>
      <c r="D985"/>
      <c r="E985" s="2">
        <f>Comuni__2[[#This Row],[Popolazione2011]]/$D$7911</f>
        <v>1.376906147084911E-4</v>
      </c>
      <c r="F985">
        <f>SUMIFS($D$2:$D$7909, $B$2:$B$7909, "Campania")</f>
        <v>5766810</v>
      </c>
      <c r="G985" s="1">
        <f>Comuni__2[[#This Row],[Popolazione2011]]/Comuni__2[[#This Row],[POPOLAZIONE TOTALE DI OGNI REGIONE (CON FILTRO)]]</f>
        <v>1.4188086654493559E-3</v>
      </c>
      <c r="H985" t="str">
        <f>IF(Comuni__2[[#This Row],[Popolazione2011]]&gt;300000,"MAGGIORE","")</f>
        <v/>
      </c>
      <c r="J985">
        <v>47</v>
      </c>
      <c r="K985">
        <v>4067</v>
      </c>
      <c r="L985">
        <v>431</v>
      </c>
    </row>
    <row r="986" spans="1:12" x14ac:dyDescent="0.2">
      <c r="A986"/>
      <c r="B986"/>
      <c r="C986"/>
      <c r="D986"/>
      <c r="E986" s="2">
        <f>Comuni__2[[#This Row],[Popolazione2011]]/$D$7911</f>
        <v>1.3765695775060587E-4</v>
      </c>
      <c r="F986">
        <f>SUMIFS($D$2:$D$7909, $B$2:$B$7909, "Campania")</f>
        <v>5766810</v>
      </c>
      <c r="G986" s="1">
        <f>Comuni__2[[#This Row],[Popolazione2011]]/Comuni__2[[#This Row],[POPOLAZIONE TOTALE DI OGNI REGIONE (CON FILTRO)]]</f>
        <v>1.4184618532602947E-3</v>
      </c>
      <c r="H986" t="str">
        <f>IF(Comuni__2[[#This Row],[Popolazione2011]]&gt;300000,"MAGGIORE","")</f>
        <v/>
      </c>
      <c r="J986">
        <v>42</v>
      </c>
      <c r="K986">
        <v>4070</v>
      </c>
      <c r="L986">
        <v>431</v>
      </c>
    </row>
    <row r="987" spans="1:12" x14ac:dyDescent="0.2">
      <c r="A987"/>
      <c r="B987"/>
      <c r="C987"/>
      <c r="D987"/>
      <c r="E987" s="2">
        <f>Comuni__2[[#This Row],[Popolazione2011]]/$D$7911</f>
        <v>1.3711844642444213E-4</v>
      </c>
      <c r="F987">
        <f>SUMIFS($D$2:$D$7909, $B$2:$B$7909, "Campania")</f>
        <v>5766810</v>
      </c>
      <c r="G987" s="1">
        <f>Comuni__2[[#This Row],[Popolazione2011]]/Comuni__2[[#This Row],[POPOLAZIONE TOTALE DI OGNI REGIONE (CON FILTRO)]]</f>
        <v>1.4129128582353156E-3</v>
      </c>
      <c r="H987" t="str">
        <f>IF(Comuni__2[[#This Row],[Popolazione2011]]&gt;300000,"MAGGIORE","")</f>
        <v/>
      </c>
      <c r="J987">
        <v>45</v>
      </c>
      <c r="K987">
        <v>4071</v>
      </c>
      <c r="L987">
        <v>431</v>
      </c>
    </row>
    <row r="988" spans="1:12" x14ac:dyDescent="0.2">
      <c r="A988"/>
      <c r="B988"/>
      <c r="C988"/>
      <c r="D988"/>
      <c r="E988" s="2">
        <f>Comuni__2[[#This Row],[Popolazione2011]]/$D$7911</f>
        <v>1.3597410985634421E-4</v>
      </c>
      <c r="F988">
        <f>SUMIFS($D$2:$D$7909, $B$2:$B$7909, "Campania")</f>
        <v>5766810</v>
      </c>
      <c r="G988" s="1">
        <f>Comuni__2[[#This Row],[Popolazione2011]]/Comuni__2[[#This Row],[POPOLAZIONE TOTALE DI OGNI REGIONE (CON FILTRO)]]</f>
        <v>1.4011212438072348E-3</v>
      </c>
      <c r="H988" t="str">
        <f>IF(Comuni__2[[#This Row],[Popolazione2011]]&gt;300000,"MAGGIORE","")</f>
        <v/>
      </c>
      <c r="J988">
        <v>39</v>
      </c>
      <c r="K988">
        <v>4071</v>
      </c>
      <c r="L988">
        <v>431</v>
      </c>
    </row>
    <row r="989" spans="1:12" x14ac:dyDescent="0.2">
      <c r="A989"/>
      <c r="B989"/>
      <c r="C989"/>
      <c r="D989"/>
      <c r="E989" s="2">
        <f>Comuni__2[[#This Row],[Popolazione2011]]/$D$7911</f>
        <v>1.3590679594057371E-4</v>
      </c>
      <c r="F989">
        <f>SUMIFS($D$2:$D$7909, $B$2:$B$7909, "Campania")</f>
        <v>5766810</v>
      </c>
      <c r="G989" s="1">
        <f>Comuni__2[[#This Row],[Popolazione2011]]/Comuni__2[[#This Row],[POPOLAZIONE TOTALE DI OGNI REGIONE (CON FILTRO)]]</f>
        <v>1.4004276194291125E-3</v>
      </c>
      <c r="H989" t="str">
        <f>IF(Comuni__2[[#This Row],[Popolazione2011]]&gt;300000,"MAGGIORE","")</f>
        <v/>
      </c>
      <c r="J989">
        <v>20</v>
      </c>
      <c r="K989">
        <v>4073</v>
      </c>
      <c r="L989">
        <v>431</v>
      </c>
    </row>
    <row r="990" spans="1:12" x14ac:dyDescent="0.2">
      <c r="A990"/>
      <c r="B990"/>
      <c r="C990"/>
      <c r="D990"/>
      <c r="E990" s="2">
        <f>Comuni__2[[#This Row],[Popolazione2011]]/$D$7911</f>
        <v>1.3567119723537709E-4</v>
      </c>
      <c r="F990">
        <f>SUMIFS($D$2:$D$7909, $B$2:$B$7909, "Campania")</f>
        <v>5766810</v>
      </c>
      <c r="G990" s="1">
        <f>Comuni__2[[#This Row],[Popolazione2011]]/Comuni__2[[#This Row],[POPOLAZIONE TOTALE DI OGNI REGIONE (CON FILTRO)]]</f>
        <v>1.3979999341056841E-3</v>
      </c>
      <c r="H990" t="str">
        <f>IF(Comuni__2[[#This Row],[Popolazione2011]]&gt;300000,"MAGGIORE","")</f>
        <v/>
      </c>
      <c r="J990">
        <v>29</v>
      </c>
      <c r="K990">
        <v>4077</v>
      </c>
      <c r="L990">
        <v>432</v>
      </c>
    </row>
    <row r="991" spans="1:12" x14ac:dyDescent="0.2">
      <c r="A991"/>
      <c r="B991"/>
      <c r="C991"/>
      <c r="D991"/>
      <c r="E991" s="2">
        <f>Comuni__2[[#This Row],[Popolazione2011]]/$D$7911</f>
        <v>1.3557022636172139E-4</v>
      </c>
      <c r="F991">
        <f>SUMIFS($D$2:$D$7909, $B$2:$B$7909, "Campania")</f>
        <v>5766810</v>
      </c>
      <c r="G991" s="1">
        <f>Comuni__2[[#This Row],[Popolazione2011]]/Comuni__2[[#This Row],[POPOLAZIONE TOTALE DI OGNI REGIONE (CON FILTRO)]]</f>
        <v>1.3969594975385006E-3</v>
      </c>
      <c r="H991" t="str">
        <f>IF(Comuni__2[[#This Row],[Popolazione2011]]&gt;300000,"MAGGIORE","")</f>
        <v/>
      </c>
      <c r="J991">
        <v>16</v>
      </c>
      <c r="K991">
        <v>4078</v>
      </c>
      <c r="L991">
        <v>432</v>
      </c>
    </row>
    <row r="992" spans="1:12" x14ac:dyDescent="0.2">
      <c r="A992"/>
      <c r="B992"/>
      <c r="C992"/>
      <c r="D992"/>
      <c r="E992" s="2">
        <f>Comuni__2[[#This Row],[Popolazione2011]]/$D$7911</f>
        <v>1.3410614869371372E-4</v>
      </c>
      <c r="F992">
        <f>SUMIFS($D$2:$D$7909, $B$2:$B$7909, "Campania")</f>
        <v>5766810</v>
      </c>
      <c r="G992" s="1">
        <f>Comuni__2[[#This Row],[Popolazione2011]]/Comuni__2[[#This Row],[POPOLAZIONE TOTALE DI OGNI REGIONE (CON FILTRO)]]</f>
        <v>1.3818731673143384E-3</v>
      </c>
      <c r="H992" t="str">
        <f>IF(Comuni__2[[#This Row],[Popolazione2011]]&gt;300000,"MAGGIORE","")</f>
        <v/>
      </c>
      <c r="J992">
        <v>15</v>
      </c>
      <c r="K992">
        <v>4080</v>
      </c>
      <c r="L992">
        <v>432</v>
      </c>
    </row>
    <row r="993" spans="1:12" x14ac:dyDescent="0.2">
      <c r="A993"/>
      <c r="B993"/>
      <c r="C993"/>
      <c r="D993"/>
      <c r="E993" s="2">
        <f>Comuni__2[[#This Row],[Popolazione2011]]/$D$7911</f>
        <v>1.3301229756244363E-4</v>
      </c>
      <c r="F993">
        <f>SUMIFS($D$2:$D$7909, $B$2:$B$7909, "Campania")</f>
        <v>5766810</v>
      </c>
      <c r="G993" s="1">
        <f>Comuni__2[[#This Row],[Popolazione2011]]/Comuni__2[[#This Row],[POPOLAZIONE TOTALE DI OGNI REGIONE (CON FILTRO)]]</f>
        <v>1.3706017711698495E-3</v>
      </c>
      <c r="H993" t="str">
        <f>IF(Comuni__2[[#This Row],[Popolazione2011]]&gt;300000,"MAGGIORE","")</f>
        <v/>
      </c>
      <c r="J993">
        <v>35</v>
      </c>
      <c r="K993">
        <v>4083</v>
      </c>
      <c r="L993">
        <v>432</v>
      </c>
    </row>
    <row r="994" spans="1:12" x14ac:dyDescent="0.2">
      <c r="A994"/>
      <c r="B994"/>
      <c r="C994"/>
      <c r="D994"/>
      <c r="E994" s="2">
        <f>Comuni__2[[#This Row],[Popolazione2011]]/$D$7911</f>
        <v>1.3255792863099298E-4</v>
      </c>
      <c r="F994">
        <f>SUMIFS($D$2:$D$7909, $B$2:$B$7909, "Campania")</f>
        <v>5766810</v>
      </c>
      <c r="G994" s="1">
        <f>Comuni__2[[#This Row],[Popolazione2011]]/Comuni__2[[#This Row],[POPOLAZIONE TOTALE DI OGNI REGIONE (CON FILTRO)]]</f>
        <v>1.3659198066175234E-3</v>
      </c>
      <c r="H994" t="str">
        <f>IF(Comuni__2[[#This Row],[Popolazione2011]]&gt;300000,"MAGGIORE","")</f>
        <v/>
      </c>
      <c r="J994">
        <v>37</v>
      </c>
      <c r="K994">
        <v>4084</v>
      </c>
      <c r="L994">
        <v>432</v>
      </c>
    </row>
    <row r="995" spans="1:12" x14ac:dyDescent="0.2">
      <c r="A995"/>
      <c r="B995"/>
      <c r="C995"/>
      <c r="D995"/>
      <c r="E995" s="2">
        <f>Comuni__2[[#This Row],[Popolazione2011]]/$D$7911</f>
        <v>1.3106019400510008E-4</v>
      </c>
      <c r="F995">
        <f>SUMIFS($D$2:$D$7909, $B$2:$B$7909, "Campania")</f>
        <v>5766810</v>
      </c>
      <c r="G995" s="1">
        <f>Comuni__2[[#This Row],[Popolazione2011]]/Comuni__2[[#This Row],[POPOLAZIONE TOTALE DI OGNI REGIONE (CON FILTRO)]]</f>
        <v>1.3504866642043002E-3</v>
      </c>
      <c r="H995" t="str">
        <f>IF(Comuni__2[[#This Row],[Popolazione2011]]&gt;300000,"MAGGIORE","")</f>
        <v/>
      </c>
      <c r="J995">
        <v>36</v>
      </c>
      <c r="K995">
        <v>4086</v>
      </c>
      <c r="L995">
        <v>432</v>
      </c>
    </row>
    <row r="996" spans="1:12" x14ac:dyDescent="0.2">
      <c r="A996"/>
      <c r="B996"/>
      <c r="C996"/>
      <c r="D996"/>
      <c r="E996" s="2">
        <f>Comuni__2[[#This Row],[Popolazione2011]]/$D$7911</f>
        <v>1.298990289580595E-4</v>
      </c>
      <c r="F996">
        <f>SUMIFS($D$2:$D$7909, $B$2:$B$7909, "Campania")</f>
        <v>5766810</v>
      </c>
      <c r="G996" s="1">
        <f>Comuni__2[[#This Row],[Popolazione2011]]/Comuni__2[[#This Row],[POPOLAZIONE TOTALE DI OGNI REGIONE (CON FILTRO)]]</f>
        <v>1.3385216436816887E-3</v>
      </c>
      <c r="H996" t="str">
        <f>IF(Comuni__2[[#This Row],[Popolazione2011]]&gt;300000,"MAGGIORE","")</f>
        <v/>
      </c>
      <c r="J996">
        <v>42</v>
      </c>
      <c r="K996">
        <v>4087</v>
      </c>
      <c r="L996">
        <v>432</v>
      </c>
    </row>
    <row r="997" spans="1:12" x14ac:dyDescent="0.2">
      <c r="A997"/>
      <c r="B997"/>
      <c r="C997"/>
      <c r="D997"/>
      <c r="E997" s="2">
        <f>Comuni__2[[#This Row],[Popolazione2011]]/$D$7911</f>
        <v>1.2931003219506792E-4</v>
      </c>
      <c r="F997">
        <f>SUMIFS($D$2:$D$7909, $B$2:$B$7909, "Campania")</f>
        <v>5766810</v>
      </c>
      <c r="G997" s="1">
        <f>Comuni__2[[#This Row],[Popolazione2011]]/Comuni__2[[#This Row],[POPOLAZIONE TOTALE DI OGNI REGIONE (CON FILTRO)]]</f>
        <v>1.3324524303731178E-3</v>
      </c>
      <c r="H997" t="str">
        <f>IF(Comuni__2[[#This Row],[Popolazione2011]]&gt;300000,"MAGGIORE","")</f>
        <v/>
      </c>
      <c r="J997">
        <v>48</v>
      </c>
      <c r="K997">
        <v>4089</v>
      </c>
      <c r="L997">
        <v>432</v>
      </c>
    </row>
    <row r="998" spans="1:12" x14ac:dyDescent="0.2">
      <c r="A998"/>
      <c r="B998"/>
      <c r="C998"/>
      <c r="D998"/>
      <c r="E998" s="2">
        <f>Comuni__2[[#This Row],[Popolazione2011]]/$D$7911</f>
        <v>1.2890614870044511E-4</v>
      </c>
      <c r="F998">
        <f>SUMIFS($D$2:$D$7909, $B$2:$B$7909, "Campania")</f>
        <v>5766810</v>
      </c>
      <c r="G998" s="1">
        <f>Comuni__2[[#This Row],[Popolazione2011]]/Comuni__2[[#This Row],[POPOLAZIONE TOTALE DI OGNI REGIONE (CON FILTRO)]]</f>
        <v>1.3282906841043836E-3</v>
      </c>
      <c r="H998" t="str">
        <f>IF(Comuni__2[[#This Row],[Popolazione2011]]&gt;300000,"MAGGIORE","")</f>
        <v/>
      </c>
      <c r="J998">
        <v>36</v>
      </c>
      <c r="K998">
        <v>4090</v>
      </c>
      <c r="L998">
        <v>432</v>
      </c>
    </row>
    <row r="999" spans="1:12" x14ac:dyDescent="0.2">
      <c r="A999"/>
      <c r="B999"/>
      <c r="C999"/>
      <c r="D999"/>
      <c r="E999" s="2">
        <f>Comuni__2[[#This Row],[Popolazione2011]]/$D$7911</f>
        <v>1.2808155323225688E-4</v>
      </c>
      <c r="F999">
        <f>SUMIFS($D$2:$D$7909, $B$2:$B$7909, "Campania")</f>
        <v>5766810</v>
      </c>
      <c r="G999" s="1">
        <f>Comuni__2[[#This Row],[Popolazione2011]]/Comuni__2[[#This Row],[POPOLAZIONE TOTALE DI OGNI REGIONE (CON FILTRO)]]</f>
        <v>1.3197937854723843E-3</v>
      </c>
      <c r="H999" t="str">
        <f>IF(Comuni__2[[#This Row],[Popolazione2011]]&gt;300000,"MAGGIORE","")</f>
        <v/>
      </c>
      <c r="J999">
        <v>45</v>
      </c>
      <c r="K999">
        <v>4091</v>
      </c>
      <c r="L999">
        <v>432</v>
      </c>
    </row>
    <row r="1000" spans="1:12" x14ac:dyDescent="0.2">
      <c r="A1000"/>
      <c r="B1000"/>
      <c r="C1000"/>
      <c r="D1000"/>
      <c r="E1000" s="2">
        <f>Comuni__2[[#This Row],[Popolazione2011]]/$D$7911</f>
        <v>1.2742524255349483E-4</v>
      </c>
      <c r="F1000">
        <f>SUMIFS($D$2:$D$7909, $B$2:$B$7909, "Campania")</f>
        <v>5766810</v>
      </c>
      <c r="G1000" s="1">
        <f>Comuni__2[[#This Row],[Popolazione2011]]/Comuni__2[[#This Row],[POPOLAZIONE TOTALE DI OGNI REGIONE (CON FILTRO)]]</f>
        <v>1.3130309477856908E-3</v>
      </c>
      <c r="H1000" t="str">
        <f>IF(Comuni__2[[#This Row],[Popolazione2011]]&gt;300000,"MAGGIORE","")</f>
        <v/>
      </c>
      <c r="J1000">
        <v>44</v>
      </c>
      <c r="K1000">
        <v>4093</v>
      </c>
      <c r="L1000">
        <v>432</v>
      </c>
    </row>
    <row r="1001" spans="1:12" x14ac:dyDescent="0.2">
      <c r="A1001"/>
      <c r="B1001"/>
      <c r="C1001"/>
      <c r="D1001"/>
      <c r="E1001" s="2">
        <f>Comuni__2[[#This Row],[Popolazione2011]]/$D$7911</f>
        <v>1.2636504838010998E-4</v>
      </c>
      <c r="F1001">
        <f>SUMIFS($D$2:$D$7909, $B$2:$B$7909, "Campania")</f>
        <v>5766810</v>
      </c>
      <c r="G1001" s="1">
        <f>Comuni__2[[#This Row],[Popolazione2011]]/Comuni__2[[#This Row],[POPOLAZIONE TOTALE DI OGNI REGIONE (CON FILTRO)]]</f>
        <v>1.3021063638302631E-3</v>
      </c>
      <c r="H1001" t="str">
        <f>IF(Comuni__2[[#This Row],[Popolazione2011]]&gt;300000,"MAGGIORE","")</f>
        <v/>
      </c>
      <c r="J1001">
        <v>47</v>
      </c>
      <c r="K1001">
        <v>4095</v>
      </c>
      <c r="L1001">
        <v>432</v>
      </c>
    </row>
    <row r="1002" spans="1:12" x14ac:dyDescent="0.2">
      <c r="A1002"/>
      <c r="B1002"/>
      <c r="C1002"/>
      <c r="D1002"/>
      <c r="E1002" s="2">
        <f>Comuni__2[[#This Row],[Popolazione2011]]/$D$7911</f>
        <v>1.2540582508038082E-4</v>
      </c>
      <c r="F1002">
        <f>SUMIFS($D$2:$D$7909, $B$2:$B$7909, "Campania")</f>
        <v>5766810</v>
      </c>
      <c r="G1002" s="1">
        <f>Comuni__2[[#This Row],[Popolazione2011]]/Comuni__2[[#This Row],[POPOLAZIONE TOTALE DI OGNI REGIONE (CON FILTRO)]]</f>
        <v>1.292222216442019E-3</v>
      </c>
      <c r="H1002" t="str">
        <f>IF(Comuni__2[[#This Row],[Popolazione2011]]&gt;300000,"MAGGIORE","")</f>
        <v/>
      </c>
      <c r="J1002">
        <v>13</v>
      </c>
      <c r="K1002">
        <v>4094</v>
      </c>
      <c r="L1002">
        <v>432</v>
      </c>
    </row>
    <row r="1003" spans="1:12" x14ac:dyDescent="0.2">
      <c r="A1003"/>
      <c r="B1003"/>
      <c r="C1003"/>
      <c r="D1003"/>
      <c r="E1003" s="2">
        <f>Comuni__2[[#This Row],[Popolazione2011]]/$D$7911</f>
        <v>1.2407637524391408E-4</v>
      </c>
      <c r="F1003">
        <f>SUMIFS($D$2:$D$7909, $B$2:$B$7909, "Campania")</f>
        <v>5766810</v>
      </c>
      <c r="G1003" s="1">
        <f>Comuni__2[[#This Row],[Popolazione2011]]/Comuni__2[[#This Row],[POPOLAZIONE TOTALE DI OGNI REGIONE (CON FILTRO)]]</f>
        <v>1.2785231349741017E-3</v>
      </c>
      <c r="H1003" t="str">
        <f>IF(Comuni__2[[#This Row],[Popolazione2011]]&gt;300000,"MAGGIORE","")</f>
        <v/>
      </c>
      <c r="J1003">
        <v>16</v>
      </c>
      <c r="K1003">
        <v>4094</v>
      </c>
      <c r="L1003">
        <v>432</v>
      </c>
    </row>
    <row r="1004" spans="1:12" x14ac:dyDescent="0.2">
      <c r="A1004"/>
      <c r="B1004"/>
      <c r="C1004"/>
      <c r="D1004"/>
      <c r="E1004" s="2">
        <f>Comuni__2[[#This Row],[Popolazione2011]]/$D$7911</f>
        <v>1.2375663414400436E-4</v>
      </c>
      <c r="F1004">
        <f>SUMIFS($D$2:$D$7909, $B$2:$B$7909, "Campania")</f>
        <v>5766810</v>
      </c>
      <c r="G1004" s="1">
        <f>Comuni__2[[#This Row],[Popolazione2011]]/Comuni__2[[#This Row],[POPOLAZIONE TOTALE DI OGNI REGIONE (CON FILTRO)]]</f>
        <v>1.2752284191780204E-3</v>
      </c>
      <c r="H1004" t="str">
        <f>IF(Comuni__2[[#This Row],[Popolazione2011]]&gt;300000,"MAGGIORE","")</f>
        <v/>
      </c>
      <c r="J1004">
        <v>17</v>
      </c>
      <c r="K1004">
        <v>4095</v>
      </c>
      <c r="L1004">
        <v>432</v>
      </c>
    </row>
    <row r="1005" spans="1:12" x14ac:dyDescent="0.2">
      <c r="A1005"/>
      <c r="B1005"/>
      <c r="C1005"/>
      <c r="D1005"/>
      <c r="E1005" s="2">
        <f>Comuni__2[[#This Row],[Popolazione2011]]/$D$7911</f>
        <v>1.2055922314490716E-4</v>
      </c>
      <c r="F1005">
        <f>SUMIFS($D$2:$D$7909, $B$2:$B$7909, "Campania")</f>
        <v>5766810</v>
      </c>
      <c r="G1005" s="1">
        <f>Comuni__2[[#This Row],[Popolazione2011]]/Comuni__2[[#This Row],[POPOLAZIONE TOTALE DI OGNI REGIONE (CON FILTRO)]]</f>
        <v>1.2422812612172067E-3</v>
      </c>
      <c r="H1005" t="str">
        <f>IF(Comuni__2[[#This Row],[Popolazione2011]]&gt;300000,"MAGGIORE","")</f>
        <v/>
      </c>
      <c r="J1005">
        <v>52</v>
      </c>
      <c r="K1005">
        <v>4096</v>
      </c>
      <c r="L1005">
        <v>432</v>
      </c>
    </row>
    <row r="1006" spans="1:12" x14ac:dyDescent="0.2">
      <c r="A1006"/>
      <c r="B1006"/>
      <c r="C1006"/>
      <c r="D1006"/>
      <c r="E1006" s="2">
        <f>Comuni__2[[#This Row],[Popolazione2011]]/$D$7911</f>
        <v>1.1997022638191556E-4</v>
      </c>
      <c r="F1006">
        <f>SUMIFS($D$2:$D$7909, $B$2:$B$7909, "Campania")</f>
        <v>5766810</v>
      </c>
      <c r="G1006" s="1">
        <f>Comuni__2[[#This Row],[Popolazione2011]]/Comuni__2[[#This Row],[POPOLAZIONE TOTALE DI OGNI REGIONE (CON FILTRO)]]</f>
        <v>1.2362120479086358E-3</v>
      </c>
      <c r="H1006" t="str">
        <f>IF(Comuni__2[[#This Row],[Popolazione2011]]&gt;300000,"MAGGIORE","")</f>
        <v/>
      </c>
      <c r="J1006">
        <v>24</v>
      </c>
      <c r="K1006">
        <v>4097</v>
      </c>
      <c r="L1006">
        <v>432</v>
      </c>
    </row>
    <row r="1007" spans="1:12" x14ac:dyDescent="0.2">
      <c r="A1007"/>
      <c r="B1007"/>
      <c r="C1007"/>
      <c r="D1007"/>
      <c r="E1007" s="2">
        <f>Comuni__2[[#This Row],[Popolazione2011]]/$D$7911</f>
        <v>1.1965048528200585E-4</v>
      </c>
      <c r="F1007">
        <f>SUMIFS($D$2:$D$7909, $B$2:$B$7909, "Campania")</f>
        <v>5766810</v>
      </c>
      <c r="G1007" s="1">
        <f>Comuni__2[[#This Row],[Popolazione2011]]/Comuni__2[[#This Row],[POPOLAZIONE TOTALE DI OGNI REGIONE (CON FILTRO)]]</f>
        <v>1.2329173321125545E-3</v>
      </c>
      <c r="H1007" t="str">
        <f>IF(Comuni__2[[#This Row],[Popolazione2011]]&gt;300000,"MAGGIORE","")</f>
        <v/>
      </c>
      <c r="J1007">
        <v>50</v>
      </c>
      <c r="K1007">
        <v>4098</v>
      </c>
      <c r="L1007">
        <v>433</v>
      </c>
    </row>
    <row r="1008" spans="1:12" x14ac:dyDescent="0.2">
      <c r="A1008"/>
      <c r="B1008"/>
      <c r="C1008"/>
      <c r="D1008"/>
      <c r="E1008" s="2">
        <f>Comuni__2[[#This Row],[Popolazione2011]]/$D$7911</f>
        <v>1.1936440113998136E-4</v>
      </c>
      <c r="F1008">
        <f>SUMIFS($D$2:$D$7909, $B$2:$B$7909, "Campania")</f>
        <v>5766810</v>
      </c>
      <c r="G1008" s="1">
        <f>Comuni__2[[#This Row],[Popolazione2011]]/Comuni__2[[#This Row],[POPOLAZIONE TOTALE DI OGNI REGIONE (CON FILTRO)]]</f>
        <v>1.2299694285055343E-3</v>
      </c>
      <c r="H1008" t="str">
        <f>IF(Comuni__2[[#This Row],[Popolazione2011]]&gt;300000,"MAGGIORE","")</f>
        <v/>
      </c>
      <c r="J1008">
        <v>45</v>
      </c>
      <c r="K1008">
        <v>4098</v>
      </c>
      <c r="L1008">
        <v>433</v>
      </c>
    </row>
    <row r="1009" spans="1:12" x14ac:dyDescent="0.2">
      <c r="A1009"/>
      <c r="B1009"/>
      <c r="C1009"/>
      <c r="D1009"/>
      <c r="E1009" s="2">
        <f>Comuni__2[[#This Row],[Popolazione2011]]/$D$7911</f>
        <v>1.1922977330844043E-4</v>
      </c>
      <c r="F1009">
        <f>SUMIFS($D$2:$D$7909, $B$2:$B$7909, "Campania")</f>
        <v>5766810</v>
      </c>
      <c r="G1009" s="1">
        <f>Comuni__2[[#This Row],[Popolazione2011]]/Comuni__2[[#This Row],[POPOLAZIONE TOTALE DI OGNI REGIONE (CON FILTRO)]]</f>
        <v>1.2285821797492894E-3</v>
      </c>
      <c r="H1009" t="str">
        <f>IF(Comuni__2[[#This Row],[Popolazione2011]]&gt;300000,"MAGGIORE","")</f>
        <v/>
      </c>
      <c r="J1009">
        <v>34</v>
      </c>
      <c r="K1009">
        <v>4100</v>
      </c>
      <c r="L1009">
        <v>433</v>
      </c>
    </row>
    <row r="1010" spans="1:12" x14ac:dyDescent="0.2">
      <c r="A1010"/>
      <c r="B1010"/>
      <c r="C1010"/>
      <c r="D1010"/>
      <c r="E1010" s="2">
        <f>Comuni__2[[#This Row],[Popolazione2011]]/$D$7911</f>
        <v>1.1813592217717033E-4</v>
      </c>
      <c r="F1010">
        <f>SUMIFS($D$2:$D$7909, $B$2:$B$7909, "Campania")</f>
        <v>5766810</v>
      </c>
      <c r="G1010" s="1">
        <f>Comuni__2[[#This Row],[Popolazione2011]]/Comuni__2[[#This Row],[POPOLAZIONE TOTALE DI OGNI REGIONE (CON FILTRO)]]</f>
        <v>1.2173107836048005E-3</v>
      </c>
      <c r="H1010" t="str">
        <f>IF(Comuni__2[[#This Row],[Popolazione2011]]&gt;300000,"MAGGIORE","")</f>
        <v/>
      </c>
      <c r="J1010">
        <v>32</v>
      </c>
      <c r="K1010">
        <v>4104</v>
      </c>
      <c r="L1010">
        <v>433</v>
      </c>
    </row>
    <row r="1011" spans="1:12" x14ac:dyDescent="0.2">
      <c r="A1011"/>
      <c r="B1011"/>
      <c r="C1011"/>
      <c r="D1011"/>
      <c r="E1011" s="2">
        <f>Comuni__2[[#This Row],[Popolazione2011]]/$D$7911</f>
        <v>1.1774886716149014E-4</v>
      </c>
      <c r="F1011">
        <f>SUMIFS($D$2:$D$7909, $B$2:$B$7909, "Campania")</f>
        <v>5766810</v>
      </c>
      <c r="G1011" s="1">
        <f>Comuni__2[[#This Row],[Popolazione2011]]/Comuni__2[[#This Row],[POPOLAZIONE TOTALE DI OGNI REGIONE (CON FILTRO)]]</f>
        <v>1.2133224434305969E-3</v>
      </c>
      <c r="H1011" t="str">
        <f>IF(Comuni__2[[#This Row],[Popolazione2011]]&gt;300000,"MAGGIORE","")</f>
        <v/>
      </c>
      <c r="J1011">
        <v>34</v>
      </c>
      <c r="K1011">
        <v>4108</v>
      </c>
      <c r="L1011">
        <v>434</v>
      </c>
    </row>
    <row r="1012" spans="1:12" x14ac:dyDescent="0.2">
      <c r="A1012"/>
      <c r="B1012"/>
      <c r="C1012"/>
      <c r="D1012"/>
      <c r="E1012" s="2">
        <f>Comuni__2[[#This Row],[Popolazione2011]]/$D$7911</f>
        <v>1.1719352735638378E-4</v>
      </c>
      <c r="F1012">
        <f>SUMIFS($D$2:$D$7909, $B$2:$B$7909, "Campania")</f>
        <v>5766810</v>
      </c>
      <c r="G1012" s="1">
        <f>Comuni__2[[#This Row],[Popolazione2011]]/Comuni__2[[#This Row],[POPOLAZIONE TOTALE DI OGNI REGIONE (CON FILTRO)]]</f>
        <v>1.207600042311087E-3</v>
      </c>
      <c r="H1012" t="str">
        <f>IF(Comuni__2[[#This Row],[Popolazione2011]]&gt;300000,"MAGGIORE","")</f>
        <v/>
      </c>
      <c r="J1012">
        <v>30</v>
      </c>
      <c r="K1012">
        <v>4109</v>
      </c>
      <c r="L1012">
        <v>434</v>
      </c>
    </row>
    <row r="1013" spans="1:12" x14ac:dyDescent="0.2">
      <c r="A1013"/>
      <c r="B1013"/>
      <c r="C1013"/>
      <c r="D1013"/>
      <c r="E1013" s="2">
        <f>Comuni__2[[#This Row],[Popolazione2011]]/$D$7911</f>
        <v>1.1588090599885967E-4</v>
      </c>
      <c r="F1013">
        <f>SUMIFS($D$2:$D$7909, $B$2:$B$7909, "Campania")</f>
        <v>5766810</v>
      </c>
      <c r="G1013" s="1">
        <f>Comuni__2[[#This Row],[Popolazione2011]]/Comuni__2[[#This Row],[POPOLAZIONE TOTALE DI OGNI REGIONE (CON FILTRO)]]</f>
        <v>1.1940743669377003E-3</v>
      </c>
      <c r="H1013" t="str">
        <f>IF(Comuni__2[[#This Row],[Popolazione2011]]&gt;300000,"MAGGIORE","")</f>
        <v/>
      </c>
      <c r="J1013">
        <v>36</v>
      </c>
      <c r="K1013">
        <v>4111</v>
      </c>
      <c r="L1013">
        <v>434</v>
      </c>
    </row>
    <row r="1014" spans="1:12" x14ac:dyDescent="0.2">
      <c r="A1014"/>
      <c r="B1014"/>
      <c r="C1014"/>
      <c r="D1014"/>
      <c r="E1014" s="2">
        <f>Comuni__2[[#This Row],[Popolazione2011]]/$D$7911</f>
        <v>1.1583042056203182E-4</v>
      </c>
      <c r="F1014">
        <f>SUMIFS($D$2:$D$7909, $B$2:$B$7909, "Campania")</f>
        <v>5766810</v>
      </c>
      <c r="G1014" s="1">
        <f>Comuni__2[[#This Row],[Popolazione2011]]/Comuni__2[[#This Row],[POPOLAZIONE TOTALE DI OGNI REGIONE (CON FILTRO)]]</f>
        <v>1.1935541486541087E-3</v>
      </c>
      <c r="H1014" t="str">
        <f>IF(Comuni__2[[#This Row],[Popolazione2011]]&gt;300000,"MAGGIORE","")</f>
        <v/>
      </c>
      <c r="J1014">
        <v>19</v>
      </c>
      <c r="K1014">
        <v>4114</v>
      </c>
      <c r="L1014">
        <v>434</v>
      </c>
    </row>
    <row r="1015" spans="1:12" x14ac:dyDescent="0.2">
      <c r="A1015"/>
      <c r="B1015"/>
      <c r="C1015"/>
      <c r="D1015"/>
      <c r="E1015" s="2">
        <f>Comuni__2[[#This Row],[Popolazione2011]]/$D$7911</f>
        <v>1.1495533965701574E-4</v>
      </c>
      <c r="F1015">
        <f>SUMIFS($D$2:$D$7909, $B$2:$B$7909, "Campania")</f>
        <v>5766810</v>
      </c>
      <c r="G1015" s="1">
        <f>Comuni__2[[#This Row],[Popolazione2011]]/Comuni__2[[#This Row],[POPOLAZIONE TOTALE DI OGNI REGIONE (CON FILTRO)]]</f>
        <v>1.1845370317385175E-3</v>
      </c>
      <c r="H1015" t="str">
        <f>IF(Comuni__2[[#This Row],[Popolazione2011]]&gt;300000,"MAGGIORE","")</f>
        <v/>
      </c>
      <c r="J1015">
        <v>30</v>
      </c>
      <c r="K1015">
        <v>4126</v>
      </c>
      <c r="L1015">
        <v>434</v>
      </c>
    </row>
    <row r="1016" spans="1:12" x14ac:dyDescent="0.2">
      <c r="A1016"/>
      <c r="B1016"/>
      <c r="C1016"/>
      <c r="D1016"/>
      <c r="E1016" s="2">
        <f>Comuni__2[[#This Row],[Popolazione2011]]/$D$7911</f>
        <v>1.1458511312027817E-4</v>
      </c>
      <c r="F1016">
        <f>SUMIFS($D$2:$D$7909, $B$2:$B$7909, "Campania")</f>
        <v>5766810</v>
      </c>
      <c r="G1016" s="1">
        <f>Comuni__2[[#This Row],[Popolazione2011]]/Comuni__2[[#This Row],[POPOLAZIONE TOTALE DI OGNI REGIONE (CON FILTRO)]]</f>
        <v>1.1807220976588443E-3</v>
      </c>
      <c r="H1016" t="str">
        <f>IF(Comuni__2[[#This Row],[Popolazione2011]]&gt;300000,"MAGGIORE","")</f>
        <v/>
      </c>
      <c r="J1016">
        <v>32</v>
      </c>
      <c r="K1016">
        <v>4126</v>
      </c>
      <c r="L1016">
        <v>434</v>
      </c>
    </row>
    <row r="1017" spans="1:12" x14ac:dyDescent="0.2">
      <c r="A1017"/>
      <c r="B1017"/>
      <c r="C1017"/>
      <c r="D1017"/>
      <c r="E1017" s="2">
        <f>Comuni__2[[#This Row],[Popolazione2011]]/$D$7911</f>
        <v>1.141139157098849E-4</v>
      </c>
      <c r="F1017">
        <f>SUMIFS($D$2:$D$7909, $B$2:$B$7909, "Campania")</f>
        <v>5766810</v>
      </c>
      <c r="G1017" s="1">
        <f>Comuni__2[[#This Row],[Popolazione2011]]/Comuni__2[[#This Row],[POPOLAZIONE TOTALE DI OGNI REGIONE (CON FILTRO)]]</f>
        <v>1.1758667270119875E-3</v>
      </c>
      <c r="H1017" t="str">
        <f>IF(Comuni__2[[#This Row],[Popolazione2011]]&gt;300000,"MAGGIORE","")</f>
        <v/>
      </c>
      <c r="J1017">
        <v>33</v>
      </c>
      <c r="K1017">
        <v>4127</v>
      </c>
      <c r="L1017">
        <v>434</v>
      </c>
    </row>
    <row r="1018" spans="1:12" x14ac:dyDescent="0.2">
      <c r="A1018"/>
      <c r="B1018"/>
      <c r="C1018"/>
      <c r="D1018"/>
      <c r="E1018" s="2">
        <f>Comuni__2[[#This Row],[Popolazione2011]]/$D$7911</f>
        <v>1.136090613416064E-4</v>
      </c>
      <c r="F1018">
        <f>SUMIFS($D$2:$D$7909, $B$2:$B$7909, "Campania")</f>
        <v>5766810</v>
      </c>
      <c r="G1018" s="1">
        <f>Comuni__2[[#This Row],[Popolazione2011]]/Comuni__2[[#This Row],[POPOLAZIONE TOTALE DI OGNI REGIONE (CON FILTRO)]]</f>
        <v>1.1706645441760695E-3</v>
      </c>
      <c r="H1018" t="str">
        <f>IF(Comuni__2[[#This Row],[Popolazione2011]]&gt;300000,"MAGGIORE","")</f>
        <v/>
      </c>
      <c r="J1018">
        <v>31</v>
      </c>
      <c r="K1018">
        <v>4128</v>
      </c>
      <c r="L1018">
        <v>434</v>
      </c>
    </row>
    <row r="1019" spans="1:12" x14ac:dyDescent="0.2">
      <c r="A1019"/>
      <c r="B1019"/>
      <c r="C1019"/>
      <c r="D1019"/>
      <c r="E1019" s="2">
        <f>Comuni__2[[#This Row],[Popolazione2011]]/$D$7911</f>
        <v>1.1204401279994303E-4</v>
      </c>
      <c r="F1019">
        <f>SUMIFS($D$2:$D$7909, $B$2:$B$7909, "Campania")</f>
        <v>5766810</v>
      </c>
      <c r="G1019" s="1">
        <f>Comuni__2[[#This Row],[Popolazione2011]]/Comuni__2[[#This Row],[POPOLAZIONE TOTALE DI OGNI REGIONE (CON FILTRO)]]</f>
        <v>1.1545377773847241E-3</v>
      </c>
      <c r="H1019" t="str">
        <f>IF(Comuni__2[[#This Row],[Popolazione2011]]&gt;300000,"MAGGIORE","")</f>
        <v/>
      </c>
      <c r="J1019">
        <v>27</v>
      </c>
      <c r="K1019">
        <v>4132</v>
      </c>
      <c r="L1019">
        <v>434</v>
      </c>
    </row>
    <row r="1020" spans="1:12" x14ac:dyDescent="0.2">
      <c r="A1020"/>
      <c r="B1020"/>
      <c r="C1020"/>
      <c r="D1020"/>
      <c r="E1020" s="2">
        <f>Comuni__2[[#This Row],[Popolazione2011]]/$D$7911</f>
        <v>1.119262134473447E-4</v>
      </c>
      <c r="F1020">
        <f>SUMIFS($D$2:$D$7909, $B$2:$B$7909, "Campania")</f>
        <v>5766810</v>
      </c>
      <c r="G1020" s="1">
        <f>Comuni__2[[#This Row],[Popolazione2011]]/Comuni__2[[#This Row],[POPOLAZIONE TOTALE DI OGNI REGIONE (CON FILTRO)]]</f>
        <v>1.1533239347230099E-3</v>
      </c>
      <c r="H1020" t="str">
        <f>IF(Comuni__2[[#This Row],[Popolazione2011]]&gt;300000,"MAGGIORE","")</f>
        <v/>
      </c>
      <c r="J1020">
        <v>55</v>
      </c>
      <c r="K1020">
        <v>4157</v>
      </c>
      <c r="L1020">
        <v>434</v>
      </c>
    </row>
    <row r="1021" spans="1:12" x14ac:dyDescent="0.2">
      <c r="A1021"/>
      <c r="B1021"/>
      <c r="C1021"/>
      <c r="D1021"/>
      <c r="E1021" s="2">
        <f>Comuni__2[[#This Row],[Popolazione2011]]/$D$7911</f>
        <v>1.1179158561580378E-4</v>
      </c>
      <c r="F1021">
        <f>SUMIFS($D$2:$D$7909, $B$2:$B$7909, "Campania")</f>
        <v>5766810</v>
      </c>
      <c r="G1021" s="1">
        <f>Comuni__2[[#This Row],[Popolazione2011]]/Comuni__2[[#This Row],[POPOLAZIONE TOTALE DI OGNI REGIONE (CON FILTRO)]]</f>
        <v>1.1519366859667651E-3</v>
      </c>
      <c r="H1021" t="str">
        <f>IF(Comuni__2[[#This Row],[Popolazione2011]]&gt;300000,"MAGGIORE","")</f>
        <v/>
      </c>
      <c r="J1021">
        <v>54</v>
      </c>
      <c r="K1021">
        <v>4169</v>
      </c>
      <c r="L1021">
        <v>435</v>
      </c>
    </row>
    <row r="1022" spans="1:12" x14ac:dyDescent="0.2">
      <c r="A1022"/>
      <c r="B1022"/>
      <c r="C1022"/>
      <c r="D1022"/>
      <c r="E1022" s="2">
        <f>Comuni__2[[#This Row],[Popolazione2011]]/$D$7911</f>
        <v>1.1015922315836994E-4</v>
      </c>
      <c r="F1022">
        <f>SUMIFS($D$2:$D$7909, $B$2:$B$7909, "Campania")</f>
        <v>5766810</v>
      </c>
      <c r="G1022" s="1">
        <f>Comuni__2[[#This Row],[Popolazione2011]]/Comuni__2[[#This Row],[POPOLAZIONE TOTALE DI OGNI REGIONE (CON FILTRO)]]</f>
        <v>1.1351162947972968E-3</v>
      </c>
      <c r="H1022" t="str">
        <f>IF(Comuni__2[[#This Row],[Popolazione2011]]&gt;300000,"MAGGIORE","")</f>
        <v/>
      </c>
      <c r="J1022">
        <v>42</v>
      </c>
      <c r="K1022">
        <v>4177</v>
      </c>
      <c r="L1022">
        <v>435</v>
      </c>
    </row>
    <row r="1023" spans="1:12" x14ac:dyDescent="0.2">
      <c r="A1023"/>
      <c r="B1023"/>
      <c r="C1023"/>
      <c r="D1023"/>
      <c r="E1023" s="2">
        <f>Comuni__2[[#This Row],[Popolazione2011]]/$D$7911</f>
        <v>1.0943559856383741E-4</v>
      </c>
      <c r="F1023">
        <f>SUMIFS($D$2:$D$7909, $B$2:$B$7909, "Campania")</f>
        <v>5766810</v>
      </c>
      <c r="G1023" s="1">
        <f>Comuni__2[[#This Row],[Popolazione2011]]/Comuni__2[[#This Row],[POPOLAZIONE TOTALE DI OGNI REGIONE (CON FILTRO)]]</f>
        <v>1.1276598327324813E-3</v>
      </c>
      <c r="H1023" t="str">
        <f>IF(Comuni__2[[#This Row],[Popolazione2011]]&gt;300000,"MAGGIORE","")</f>
        <v/>
      </c>
      <c r="J1023">
        <v>38</v>
      </c>
      <c r="K1023">
        <v>4180</v>
      </c>
      <c r="L1023">
        <v>435</v>
      </c>
    </row>
    <row r="1024" spans="1:12" x14ac:dyDescent="0.2">
      <c r="A1024"/>
      <c r="B1024"/>
      <c r="C1024"/>
      <c r="D1024"/>
      <c r="E1024" s="2">
        <f>Comuni__2[[#This Row],[Popolazione2011]]/$D$7911</f>
        <v>1.0660841410147778E-4</v>
      </c>
      <c r="F1024">
        <f>SUMIFS($D$2:$D$7909, $B$2:$B$7909, "Campania")</f>
        <v>5766810</v>
      </c>
      <c r="G1024" s="1">
        <f>Comuni__2[[#This Row],[Popolazione2011]]/Comuni__2[[#This Row],[POPOLAZIONE TOTALE DI OGNI REGIONE (CON FILTRO)]]</f>
        <v>1.0985276088513406E-3</v>
      </c>
      <c r="H1024" t="str">
        <f>IF(Comuni__2[[#This Row],[Popolazione2011]]&gt;300000,"MAGGIORE","")</f>
        <v/>
      </c>
      <c r="J1024">
        <v>49</v>
      </c>
      <c r="K1024">
        <v>4187</v>
      </c>
      <c r="L1024">
        <v>436</v>
      </c>
    </row>
    <row r="1025" spans="1:12" x14ac:dyDescent="0.2">
      <c r="A1025"/>
      <c r="B1025"/>
      <c r="C1025"/>
      <c r="D1025"/>
      <c r="E1025" s="2">
        <f>Comuni__2[[#This Row],[Popolazione2011]]/$D$7911</f>
        <v>1.061203882121419E-4</v>
      </c>
      <c r="F1025">
        <f>SUMIFS($D$2:$D$7909, $B$2:$B$7909, "Campania")</f>
        <v>5766810</v>
      </c>
      <c r="G1025" s="1">
        <f>Comuni__2[[#This Row],[Popolazione2011]]/Comuni__2[[#This Row],[POPOLAZIONE TOTALE DI OGNI REGIONE (CON FILTRO)]]</f>
        <v>1.0934988321099532E-3</v>
      </c>
      <c r="H1025" t="str">
        <f>IF(Comuni__2[[#This Row],[Popolazione2011]]&gt;300000,"MAGGIORE","")</f>
        <v/>
      </c>
      <c r="J1025">
        <v>46</v>
      </c>
      <c r="K1025">
        <v>4194</v>
      </c>
      <c r="L1025">
        <v>436</v>
      </c>
    </row>
    <row r="1026" spans="1:12" x14ac:dyDescent="0.2">
      <c r="A1026"/>
      <c r="B1026"/>
      <c r="C1026"/>
      <c r="D1026"/>
      <c r="E1026" s="2">
        <f>Comuni__2[[#This Row],[Popolazione2011]]/$D$7911</f>
        <v>1.0484142381250302E-4</v>
      </c>
      <c r="F1026">
        <f>SUMIFS($D$2:$D$7909, $B$2:$B$7909, "Campania")</f>
        <v>5766810</v>
      </c>
      <c r="G1026" s="1">
        <f>Comuni__2[[#This Row],[Popolazione2011]]/Comuni__2[[#This Row],[POPOLAZIONE TOTALE DI OGNI REGIONE (CON FILTRO)]]</f>
        <v>1.0803199689256278E-3</v>
      </c>
      <c r="H1026" t="str">
        <f>IF(Comuni__2[[#This Row],[Popolazione2011]]&gt;300000,"MAGGIORE","")</f>
        <v/>
      </c>
      <c r="J1026">
        <v>45</v>
      </c>
      <c r="K1026">
        <v>4198</v>
      </c>
      <c r="L1026">
        <v>438</v>
      </c>
    </row>
    <row r="1027" spans="1:12" x14ac:dyDescent="0.2">
      <c r="A1027"/>
      <c r="B1027"/>
      <c r="C1027"/>
      <c r="D1027"/>
      <c r="E1027" s="2">
        <f>Comuni__2[[#This Row],[Popolazione2011]]/$D$7911</f>
        <v>1.0467313902307684E-4</v>
      </c>
      <c r="F1027">
        <f>SUMIFS($D$2:$D$7909, $B$2:$B$7909, "Campania")</f>
        <v>5766810</v>
      </c>
      <c r="G1027" s="1">
        <f>Comuni__2[[#This Row],[Popolazione2011]]/Comuni__2[[#This Row],[POPOLAZIONE TOTALE DI OGNI REGIONE (CON FILTRO)]]</f>
        <v>1.078585907980322E-3</v>
      </c>
      <c r="H1027" t="str">
        <f>IF(Comuni__2[[#This Row],[Popolazione2011]]&gt;300000,"MAGGIORE","")</f>
        <v/>
      </c>
      <c r="J1027">
        <v>21</v>
      </c>
      <c r="K1027">
        <v>4212</v>
      </c>
      <c r="L1027">
        <v>438</v>
      </c>
    </row>
    <row r="1028" spans="1:12" x14ac:dyDescent="0.2">
      <c r="A1028"/>
      <c r="B1028"/>
      <c r="C1028"/>
      <c r="D1028"/>
      <c r="E1028" s="2">
        <f>Comuni__2[[#This Row],[Popolazione2011]]/$D$7911</f>
        <v>1.0354563093392151E-4</v>
      </c>
      <c r="F1028">
        <f>SUMIFS($D$2:$D$7909, $B$2:$B$7909, "Campania")</f>
        <v>5766810</v>
      </c>
      <c r="G1028" s="1">
        <f>Comuni__2[[#This Row],[Popolazione2011]]/Comuni__2[[#This Row],[POPOLAZIONE TOTALE DI OGNI REGIONE (CON FILTRO)]]</f>
        <v>1.0669676996467718E-3</v>
      </c>
      <c r="H1028" t="str">
        <f>IF(Comuni__2[[#This Row],[Popolazione2011]]&gt;300000,"MAGGIORE","")</f>
        <v/>
      </c>
      <c r="J1028">
        <v>34</v>
      </c>
      <c r="K1028">
        <v>4240</v>
      </c>
      <c r="L1028">
        <v>438</v>
      </c>
    </row>
    <row r="1029" spans="1:12" x14ac:dyDescent="0.2">
      <c r="A1029"/>
      <c r="B1029"/>
      <c r="C1029"/>
      <c r="D1029"/>
      <c r="E1029" s="2">
        <f>Comuni__2[[#This Row],[Popolazione2011]]/$D$7911</f>
        <v>1.0208155326591385E-4</v>
      </c>
      <c r="F1029">
        <f>SUMIFS($D$2:$D$7909, $B$2:$B$7909, "Campania")</f>
        <v>5766810</v>
      </c>
      <c r="G1029" s="1">
        <f>Comuni__2[[#This Row],[Popolazione2011]]/Comuni__2[[#This Row],[POPOLAZIONE TOTALE DI OGNI REGIONE (CON FILTRO)]]</f>
        <v>1.0518813694226096E-3</v>
      </c>
      <c r="H1029" t="str">
        <f>IF(Comuni__2[[#This Row],[Popolazione2011]]&gt;300000,"MAGGIORE","")</f>
        <v/>
      </c>
      <c r="J1029">
        <v>34</v>
      </c>
      <c r="K1029">
        <v>4245</v>
      </c>
      <c r="L1029">
        <v>438</v>
      </c>
    </row>
    <row r="1030" spans="1:12" x14ac:dyDescent="0.2">
      <c r="A1030"/>
      <c r="B1030"/>
      <c r="C1030"/>
      <c r="D1030"/>
      <c r="E1030" s="2">
        <f>Comuni__2[[#This Row],[Popolazione2011]]/$D$7911</f>
        <v>1.0097087365570113E-4</v>
      </c>
      <c r="F1030">
        <f>SUMIFS($D$2:$D$7909, $B$2:$B$7909, "Campania")</f>
        <v>5766810</v>
      </c>
      <c r="G1030" s="1">
        <f>Comuni__2[[#This Row],[Popolazione2011]]/Comuni__2[[#This Row],[POPOLAZIONE TOTALE DI OGNI REGIONE (CON FILTRO)]]</f>
        <v>1.0404365671835903E-3</v>
      </c>
      <c r="H1030" t="str">
        <f>IF(Comuni__2[[#This Row],[Popolazione2011]]&gt;300000,"MAGGIORE","")</f>
        <v/>
      </c>
      <c r="J1030">
        <v>31</v>
      </c>
      <c r="K1030">
        <v>4251</v>
      </c>
      <c r="L1030">
        <v>438</v>
      </c>
    </row>
    <row r="1031" spans="1:12" x14ac:dyDescent="0.2">
      <c r="A1031"/>
      <c r="B1031"/>
      <c r="C1031"/>
      <c r="D1031"/>
      <c r="E1031" s="2">
        <f>Comuni__2[[#This Row],[Popolazione2011]]/$D$7911</f>
        <v>9.763883482506299E-5</v>
      </c>
      <c r="F1031">
        <f>SUMIFS($D$2:$D$7909, $B$2:$B$7909, "Campania")</f>
        <v>5766810</v>
      </c>
      <c r="G1031" s="1">
        <f>Comuni__2[[#This Row],[Popolazione2011]]/Comuni__2[[#This Row],[POPOLAZIONE TOTALE DI OGNI REGIONE (CON FILTRO)]]</f>
        <v>1.0061021604665318E-3</v>
      </c>
      <c r="H1031" t="str">
        <f>IF(Comuni__2[[#This Row],[Popolazione2011]]&gt;300000,"MAGGIORE","")</f>
        <v/>
      </c>
      <c r="J1031">
        <v>35</v>
      </c>
      <c r="K1031">
        <v>4254</v>
      </c>
      <c r="L1031">
        <v>439</v>
      </c>
    </row>
    <row r="1032" spans="1:12" x14ac:dyDescent="0.2">
      <c r="A1032"/>
      <c r="B1032"/>
      <c r="C1032"/>
      <c r="D1032"/>
      <c r="E1032" s="2">
        <f>Comuni__2[[#This Row],[Popolazione2011]]/$D$7911</f>
        <v>9.7352750683038516E-5</v>
      </c>
      <c r="F1032">
        <f>SUMIFS($D$2:$D$7909, $B$2:$B$7909, "Campania")</f>
        <v>5766810</v>
      </c>
      <c r="G1032" s="1">
        <f>Comuni__2[[#This Row],[Popolazione2011]]/Comuni__2[[#This Row],[POPOLAZIONE TOTALE DI OGNI REGIONE (CON FILTRO)]]</f>
        <v>1.0031542568595115E-3</v>
      </c>
      <c r="H1032" t="str">
        <f>IF(Comuni__2[[#This Row],[Popolazione2011]]&gt;300000,"MAGGIORE","")</f>
        <v/>
      </c>
      <c r="J1032">
        <v>46</v>
      </c>
      <c r="K1032">
        <v>4272</v>
      </c>
      <c r="L1032">
        <v>440</v>
      </c>
    </row>
    <row r="1033" spans="1:12" x14ac:dyDescent="0.2">
      <c r="A1033"/>
      <c r="B1033"/>
      <c r="C1033"/>
      <c r="D1033"/>
      <c r="E1033" s="2">
        <f>Comuni__2[[#This Row],[Popolazione2011]]/$D$7911</f>
        <v>9.7184465893612341E-5</v>
      </c>
      <c r="F1033">
        <f>SUMIFS($D$2:$D$7909, $B$2:$B$7909, "Campania")</f>
        <v>5766810</v>
      </c>
      <c r="G1033" s="1">
        <f>Comuni__2[[#This Row],[Popolazione2011]]/Comuni__2[[#This Row],[POPOLAZIONE TOTALE DI OGNI REGIONE (CON FILTRO)]]</f>
        <v>1.0014201959142057E-3</v>
      </c>
      <c r="H1033" t="str">
        <f>IF(Comuni__2[[#This Row],[Popolazione2011]]&gt;300000,"MAGGIORE","")</f>
        <v/>
      </c>
      <c r="J1033">
        <v>45</v>
      </c>
      <c r="K1033">
        <v>4279</v>
      </c>
      <c r="L1033">
        <v>440</v>
      </c>
    </row>
    <row r="1034" spans="1:12" x14ac:dyDescent="0.2">
      <c r="A1034"/>
      <c r="B1034"/>
      <c r="C1034"/>
      <c r="D1034"/>
      <c r="E1034" s="2">
        <f>Comuni__2[[#This Row],[Popolazione2011]]/$D$7911</f>
        <v>9.6006472367629158E-5</v>
      </c>
      <c r="F1034">
        <f>SUMIFS($D$2:$D$7909, $B$2:$B$7909, "Campania")</f>
        <v>5766810</v>
      </c>
      <c r="G1034" s="1">
        <f>Comuni__2[[#This Row],[Popolazione2011]]/Comuni__2[[#This Row],[POPOLAZIONE TOTALE DI OGNI REGIONE (CON FILTRO)]]</f>
        <v>9.8928176929706361E-4</v>
      </c>
      <c r="H1034" t="str">
        <f>IF(Comuni__2[[#This Row],[Popolazione2011]]&gt;300000,"MAGGIORE","")</f>
        <v/>
      </c>
      <c r="J1034">
        <v>40</v>
      </c>
      <c r="K1034">
        <v>4283</v>
      </c>
      <c r="L1034">
        <v>440</v>
      </c>
    </row>
    <row r="1035" spans="1:12" x14ac:dyDescent="0.2">
      <c r="A1035"/>
      <c r="B1035"/>
      <c r="C1035"/>
      <c r="D1035"/>
      <c r="E1035" s="2">
        <f>Comuni__2[[#This Row],[Popolazione2011]]/$D$7911</f>
        <v>9.5198705378383557E-5</v>
      </c>
      <c r="F1035">
        <f>SUMIFS($D$2:$D$7909, $B$2:$B$7909, "Campania")</f>
        <v>5766810</v>
      </c>
      <c r="G1035" s="1">
        <f>Comuni__2[[#This Row],[Popolazione2011]]/Comuni__2[[#This Row],[POPOLAZIONE TOTALE DI OGNI REGIONE (CON FILTRO)]]</f>
        <v>9.8095827675959493E-4</v>
      </c>
      <c r="H1035" t="str">
        <f>IF(Comuni__2[[#This Row],[Popolazione2011]]&gt;300000,"MAGGIORE","")</f>
        <v/>
      </c>
      <c r="J1035">
        <v>48</v>
      </c>
      <c r="K1035">
        <v>4287</v>
      </c>
      <c r="L1035">
        <v>440</v>
      </c>
    </row>
    <row r="1036" spans="1:12" x14ac:dyDescent="0.2">
      <c r="A1036"/>
      <c r="B1036"/>
      <c r="C1036"/>
      <c r="D1036"/>
      <c r="E1036" s="2">
        <f>Comuni__2[[#This Row],[Popolazione2011]]/$D$7911</f>
        <v>9.4020711852400374E-5</v>
      </c>
      <c r="F1036">
        <f>SUMIFS($D$2:$D$7909, $B$2:$B$7909, "Campania")</f>
        <v>5766810</v>
      </c>
      <c r="G1036" s="1">
        <f>Comuni__2[[#This Row],[Popolazione2011]]/Comuni__2[[#This Row],[POPOLAZIONE TOTALE DI OGNI REGIONE (CON FILTRO)]]</f>
        <v>9.6881985014245307E-4</v>
      </c>
      <c r="H1036" t="str">
        <f>IF(Comuni__2[[#This Row],[Popolazione2011]]&gt;300000,"MAGGIORE","")</f>
        <v/>
      </c>
      <c r="J1036">
        <v>35</v>
      </c>
      <c r="K1036">
        <v>4303</v>
      </c>
      <c r="L1036">
        <v>440</v>
      </c>
    </row>
    <row r="1037" spans="1:12" x14ac:dyDescent="0.2">
      <c r="A1037"/>
      <c r="B1037"/>
      <c r="C1037"/>
      <c r="D1037"/>
      <c r="E1037" s="2">
        <f>Comuni__2[[#This Row],[Popolazione2011]]/$D$7911</f>
        <v>9.3902912499802061E-5</v>
      </c>
      <c r="F1037">
        <f>SUMIFS($D$2:$D$7909, $B$2:$B$7909, "Campania")</f>
        <v>5766810</v>
      </c>
      <c r="G1037" s="1">
        <f>Comuni__2[[#This Row],[Popolazione2011]]/Comuni__2[[#This Row],[POPOLAZIONE TOTALE DI OGNI REGIONE (CON FILTRO)]]</f>
        <v>9.6760600748073888E-4</v>
      </c>
      <c r="H1037" t="str">
        <f>IF(Comuni__2[[#This Row],[Popolazione2011]]&gt;300000,"MAGGIORE","")</f>
        <v/>
      </c>
      <c r="J1037">
        <v>44</v>
      </c>
      <c r="K1037">
        <v>4305</v>
      </c>
      <c r="L1037">
        <v>440</v>
      </c>
    </row>
    <row r="1038" spans="1:12" x14ac:dyDescent="0.2">
      <c r="A1038"/>
      <c r="B1038"/>
      <c r="C1038"/>
      <c r="D1038"/>
      <c r="E1038" s="2">
        <f>Comuni__2[[#This Row],[Popolazione2011]]/$D$7911</f>
        <v>9.3818770105088967E-5</v>
      </c>
      <c r="F1038">
        <f>SUMIFS($D$2:$D$7909, $B$2:$B$7909, "Campania")</f>
        <v>5766810</v>
      </c>
      <c r="G1038" s="1">
        <f>Comuni__2[[#This Row],[Popolazione2011]]/Comuni__2[[#This Row],[POPOLAZIONE TOTALE DI OGNI REGIONE (CON FILTRO)]]</f>
        <v>9.6673897700808595E-4</v>
      </c>
      <c r="H1038" t="str">
        <f>IF(Comuni__2[[#This Row],[Popolazione2011]]&gt;300000,"MAGGIORE","")</f>
        <v/>
      </c>
      <c r="J1038">
        <v>48</v>
      </c>
      <c r="K1038">
        <v>4305</v>
      </c>
      <c r="L1038">
        <v>440</v>
      </c>
    </row>
    <row r="1039" spans="1:12" x14ac:dyDescent="0.2">
      <c r="A1039"/>
      <c r="B1039"/>
      <c r="C1039"/>
      <c r="D1039"/>
      <c r="E1039" s="2">
        <f>Comuni__2[[#This Row],[Popolazione2011]]/$D$7911</f>
        <v>9.1530096968893079E-5</v>
      </c>
      <c r="F1039">
        <f>SUMIFS($D$2:$D$7909, $B$2:$B$7909, "Campania")</f>
        <v>5766810</v>
      </c>
      <c r="G1039" s="1">
        <f>Comuni__2[[#This Row],[Popolazione2011]]/Comuni__2[[#This Row],[POPOLAZIONE TOTALE DI OGNI REGIONE (CON FILTRO)]]</f>
        <v>9.4315574815192452E-4</v>
      </c>
      <c r="H1039" t="str">
        <f>IF(Comuni__2[[#This Row],[Popolazione2011]]&gt;300000,"MAGGIORE","")</f>
        <v/>
      </c>
      <c r="J1039">
        <v>51</v>
      </c>
      <c r="K1039">
        <v>4311</v>
      </c>
      <c r="L1039">
        <v>440</v>
      </c>
    </row>
    <row r="1040" spans="1:12" x14ac:dyDescent="0.2">
      <c r="A1040"/>
      <c r="B1040"/>
      <c r="C1040"/>
      <c r="D1040"/>
      <c r="E1040" s="2">
        <f>Comuni__2[[#This Row],[Popolazione2011]]/$D$7911</f>
        <v>9.1344983700524288E-5</v>
      </c>
      <c r="F1040">
        <f>SUMIFS($D$2:$D$7909, $B$2:$B$7909, "Campania")</f>
        <v>5766810</v>
      </c>
      <c r="G1040" s="1">
        <f>Comuni__2[[#This Row],[Popolazione2011]]/Comuni__2[[#This Row],[POPOLAZIONE TOTALE DI OGNI REGIONE (CON FILTRO)]]</f>
        <v>9.4124828111208792E-4</v>
      </c>
      <c r="H1040" t="str">
        <f>IF(Comuni__2[[#This Row],[Popolazione2011]]&gt;300000,"MAGGIORE","")</f>
        <v/>
      </c>
      <c r="J1040">
        <v>53</v>
      </c>
      <c r="K1040">
        <v>4345</v>
      </c>
      <c r="L1040">
        <v>440</v>
      </c>
    </row>
    <row r="1041" spans="1:12" x14ac:dyDescent="0.2">
      <c r="A1041"/>
      <c r="B1041"/>
      <c r="C1041"/>
      <c r="D1041"/>
      <c r="E1041" s="2">
        <f>Comuni__2[[#This Row],[Popolazione2011]]/$D$7911</f>
        <v>9.0823300853303175E-5</v>
      </c>
      <c r="F1041">
        <f>SUMIFS($D$2:$D$7909, $B$2:$B$7909, "Campania")</f>
        <v>5766810</v>
      </c>
      <c r="G1041" s="1">
        <f>Comuni__2[[#This Row],[Popolazione2011]]/Comuni__2[[#This Row],[POPOLAZIONE TOTALE DI OGNI REGIONE (CON FILTRO)]]</f>
        <v>9.358726921816394E-4</v>
      </c>
      <c r="H1041" t="str">
        <f>IF(Comuni__2[[#This Row],[Popolazione2011]]&gt;300000,"MAGGIORE","")</f>
        <v/>
      </c>
      <c r="J1041">
        <v>58</v>
      </c>
      <c r="K1041">
        <v>4345</v>
      </c>
      <c r="L1041">
        <v>440</v>
      </c>
    </row>
    <row r="1042" spans="1:12" x14ac:dyDescent="0.2">
      <c r="A1042"/>
      <c r="B1042"/>
      <c r="C1042"/>
      <c r="D1042"/>
      <c r="E1042" s="2">
        <f>Comuni__2[[#This Row],[Popolazione2011]]/$D$7911</f>
        <v>9.0284789527139432E-5</v>
      </c>
      <c r="F1042">
        <f>SUMIFS($D$2:$D$7909, $B$2:$B$7909, "Campania")</f>
        <v>5766810</v>
      </c>
      <c r="G1042" s="1">
        <f>Comuni__2[[#This Row],[Popolazione2011]]/Comuni__2[[#This Row],[POPOLAZIONE TOTALE DI OGNI REGIONE (CON FILTRO)]]</f>
        <v>9.3032369715666024E-4</v>
      </c>
      <c r="H1042" t="str">
        <f>IF(Comuni__2[[#This Row],[Popolazione2011]]&gt;300000,"MAGGIORE","")</f>
        <v/>
      </c>
      <c r="J1042">
        <v>68</v>
      </c>
      <c r="K1042">
        <v>4348</v>
      </c>
      <c r="L1042">
        <v>440</v>
      </c>
    </row>
    <row r="1043" spans="1:12" x14ac:dyDescent="0.2">
      <c r="A1043"/>
      <c r="B1043"/>
      <c r="C1043"/>
      <c r="D1043"/>
      <c r="E1043" s="2">
        <f>Comuni__2[[#This Row],[Popolazione2011]]/$D$7911</f>
        <v>9.0217475611368967E-5</v>
      </c>
      <c r="F1043">
        <f>SUMIFS($D$2:$D$7909, $B$2:$B$7909, "Campania")</f>
        <v>5766810</v>
      </c>
      <c r="G1043" s="1">
        <f>Comuni__2[[#This Row],[Popolazione2011]]/Comuni__2[[#This Row],[POPOLAZIONE TOTALE DI OGNI REGIONE (CON FILTRO)]]</f>
        <v>9.2963007277853784E-4</v>
      </c>
      <c r="H1043" t="str">
        <f>IF(Comuni__2[[#This Row],[Popolazione2011]]&gt;300000,"MAGGIORE","")</f>
        <v/>
      </c>
      <c r="J1043">
        <v>56</v>
      </c>
      <c r="K1043">
        <v>4352</v>
      </c>
      <c r="L1043">
        <v>440</v>
      </c>
    </row>
    <row r="1044" spans="1:12" x14ac:dyDescent="0.2">
      <c r="A1044"/>
      <c r="B1044"/>
      <c r="C1044"/>
      <c r="D1044"/>
      <c r="E1044" s="2">
        <f>Comuni__2[[#This Row],[Popolazione2011]]/$D$7911</f>
        <v>8.9746278200975688E-5</v>
      </c>
      <c r="F1044">
        <f>SUMIFS($D$2:$D$7909, $B$2:$B$7909, "Campania")</f>
        <v>5766810</v>
      </c>
      <c r="G1044" s="1">
        <f>Comuni__2[[#This Row],[Popolazione2011]]/Comuni__2[[#This Row],[POPOLAZIONE TOTALE DI OGNI REGIONE (CON FILTRO)]]</f>
        <v>9.2477470213168109E-4</v>
      </c>
      <c r="H1044" t="str">
        <f>IF(Comuni__2[[#This Row],[Popolazione2011]]&gt;300000,"MAGGIORE","")</f>
        <v/>
      </c>
      <c r="J1044">
        <v>63</v>
      </c>
      <c r="K1044">
        <v>4356</v>
      </c>
      <c r="L1044">
        <v>441</v>
      </c>
    </row>
    <row r="1045" spans="1:12" x14ac:dyDescent="0.2">
      <c r="A1045"/>
      <c r="B1045"/>
      <c r="C1045"/>
      <c r="D1045"/>
      <c r="E1045" s="2">
        <f>Comuni__2[[#This Row],[Popolazione2011]]/$D$7911</f>
        <v>8.9645307327319992E-5</v>
      </c>
      <c r="F1045">
        <f>SUMIFS($D$2:$D$7909, $B$2:$B$7909, "Campania")</f>
        <v>5766810</v>
      </c>
      <c r="G1045" s="1">
        <f>Comuni__2[[#This Row],[Popolazione2011]]/Comuni__2[[#This Row],[POPOLAZIONE TOTALE DI OGNI REGIONE (CON FILTRO)]]</f>
        <v>9.2373426556449753E-4</v>
      </c>
      <c r="H1045" t="str">
        <f>IF(Comuni__2[[#This Row],[Popolazione2011]]&gt;300000,"MAGGIORE","")</f>
        <v/>
      </c>
      <c r="J1045">
        <v>74</v>
      </c>
      <c r="K1045">
        <v>4356</v>
      </c>
      <c r="L1045">
        <v>441</v>
      </c>
    </row>
    <row r="1046" spans="1:12" x14ac:dyDescent="0.2">
      <c r="A1046"/>
      <c r="B1046"/>
      <c r="C1046"/>
      <c r="D1046"/>
      <c r="E1046" s="2">
        <f>Comuni__2[[#This Row],[Popolazione2011]]/$D$7911</f>
        <v>8.9392880143180736E-5</v>
      </c>
      <c r="F1046">
        <f>SUMIFS($D$2:$D$7909, $B$2:$B$7909, "Campania")</f>
        <v>5766810</v>
      </c>
      <c r="G1046" s="1">
        <f>Comuni__2[[#This Row],[Popolazione2011]]/Comuni__2[[#This Row],[POPOLAZIONE TOTALE DI OGNI REGIONE (CON FILTRO)]]</f>
        <v>9.2113317414653853E-4</v>
      </c>
      <c r="H1046" t="str">
        <f>IF(Comuni__2[[#This Row],[Popolazione2011]]&gt;300000,"MAGGIORE","")</f>
        <v/>
      </c>
      <c r="J1046">
        <v>79</v>
      </c>
      <c r="K1046">
        <v>4370</v>
      </c>
      <c r="L1046">
        <v>442</v>
      </c>
    </row>
    <row r="1047" spans="1:12" x14ac:dyDescent="0.2">
      <c r="A1047"/>
      <c r="B1047"/>
      <c r="C1047"/>
      <c r="D1047"/>
      <c r="E1047" s="2">
        <f>Comuni__2[[#This Row],[Popolazione2011]]/$D$7911</f>
        <v>8.8837540338074377E-5</v>
      </c>
      <c r="F1047">
        <f>SUMIFS($D$2:$D$7909, $B$2:$B$7909, "Campania")</f>
        <v>5766810</v>
      </c>
      <c r="G1047" s="1">
        <f>Comuni__2[[#This Row],[Popolazione2011]]/Comuni__2[[#This Row],[POPOLAZIONE TOTALE DI OGNI REGIONE (CON FILTRO)]]</f>
        <v>9.1541077302702886E-4</v>
      </c>
      <c r="H1047" t="str">
        <f>IF(Comuni__2[[#This Row],[Popolazione2011]]&gt;300000,"MAGGIORE","")</f>
        <v/>
      </c>
      <c r="J1047">
        <v>78</v>
      </c>
      <c r="K1047">
        <v>4373</v>
      </c>
      <c r="L1047">
        <v>443</v>
      </c>
    </row>
    <row r="1048" spans="1:12" x14ac:dyDescent="0.2">
      <c r="A1048"/>
      <c r="B1048"/>
      <c r="C1048"/>
      <c r="D1048"/>
      <c r="E1048" s="2">
        <f>Comuni__2[[#This Row],[Popolazione2011]]/$D$7911</f>
        <v>8.8551456196049889E-5</v>
      </c>
      <c r="F1048">
        <f>SUMIFS($D$2:$D$7909, $B$2:$B$7909, "Campania")</f>
        <v>5766810</v>
      </c>
      <c r="G1048" s="1">
        <f>Comuni__2[[#This Row],[Popolazione2011]]/Comuni__2[[#This Row],[POPOLAZIONE TOTALE DI OGNI REGIONE (CON FILTRO)]]</f>
        <v>9.1246286942000859E-4</v>
      </c>
      <c r="H1048" t="str">
        <f>IF(Comuni__2[[#This Row],[Popolazione2011]]&gt;300000,"MAGGIORE","")</f>
        <v/>
      </c>
      <c r="J1048">
        <v>112</v>
      </c>
      <c r="K1048">
        <v>4373</v>
      </c>
      <c r="L1048">
        <v>445</v>
      </c>
    </row>
    <row r="1049" spans="1:12" x14ac:dyDescent="0.2">
      <c r="A1049"/>
      <c r="B1049"/>
      <c r="C1049"/>
      <c r="D1049"/>
      <c r="E1049" s="2">
        <f>Comuni__2[[#This Row],[Popolazione2011]]/$D$7911</f>
        <v>8.8315857490853264E-5</v>
      </c>
      <c r="F1049">
        <f>SUMIFS($D$2:$D$7909, $B$2:$B$7909, "Campania")</f>
        <v>5766810</v>
      </c>
      <c r="G1049" s="1">
        <f>Comuni__2[[#This Row],[Popolazione2011]]/Comuni__2[[#This Row],[POPOLAZIONE TOTALE DI OGNI REGIONE (CON FILTRO)]]</f>
        <v>9.1003518409658022E-4</v>
      </c>
      <c r="H1049" t="str">
        <f>IF(Comuni__2[[#This Row],[Popolazione2011]]&gt;300000,"MAGGIORE","")</f>
        <v/>
      </c>
      <c r="J1049">
        <v>126</v>
      </c>
      <c r="K1049">
        <v>4383</v>
      </c>
      <c r="L1049">
        <v>445</v>
      </c>
    </row>
    <row r="1050" spans="1:12" x14ac:dyDescent="0.2">
      <c r="A1050"/>
      <c r="B1050"/>
      <c r="C1050"/>
      <c r="D1050"/>
      <c r="E1050" s="2">
        <f>Comuni__2[[#This Row],[Popolazione2011]]/$D$7911</f>
        <v>8.8282200532968031E-5</v>
      </c>
      <c r="F1050">
        <f>SUMIFS($D$2:$D$7909, $B$2:$B$7909, "Campania")</f>
        <v>5766810</v>
      </c>
      <c r="G1050" s="1">
        <f>Comuni__2[[#This Row],[Popolazione2011]]/Comuni__2[[#This Row],[POPOLAZIONE TOTALE DI OGNI REGIONE (CON FILTRO)]]</f>
        <v>9.0968837190751907E-4</v>
      </c>
      <c r="H1050" t="str">
        <f>IF(Comuni__2[[#This Row],[Popolazione2011]]&gt;300000,"MAGGIORE","")</f>
        <v/>
      </c>
      <c r="J1050">
        <v>74</v>
      </c>
      <c r="K1050">
        <v>4396</v>
      </c>
      <c r="L1050">
        <v>445</v>
      </c>
    </row>
    <row r="1051" spans="1:12" x14ac:dyDescent="0.2">
      <c r="A1051"/>
      <c r="B1051"/>
      <c r="C1051"/>
      <c r="D1051"/>
      <c r="E1051" s="2">
        <f>Comuni__2[[#This Row],[Popolazione2011]]/$D$7911</f>
        <v>8.6885436780730825E-5</v>
      </c>
      <c r="F1051">
        <f>SUMIFS($D$2:$D$7909, $B$2:$B$7909, "Campania")</f>
        <v>5766810</v>
      </c>
      <c r="G1051" s="1">
        <f>Comuni__2[[#This Row],[Popolazione2011]]/Comuni__2[[#This Row],[POPOLAZIONE TOTALE DI OGNI REGIONE (CON FILTRO)]]</f>
        <v>8.9529566606147935E-4</v>
      </c>
      <c r="H1051" t="str">
        <f>IF(Comuni__2[[#This Row],[Popolazione2011]]&gt;300000,"MAGGIORE","")</f>
        <v/>
      </c>
      <c r="J1051">
        <v>114</v>
      </c>
      <c r="K1051">
        <v>4412</v>
      </c>
      <c r="L1051">
        <v>445</v>
      </c>
    </row>
    <row r="1052" spans="1:12" x14ac:dyDescent="0.2">
      <c r="A1052"/>
      <c r="B1052"/>
      <c r="C1052"/>
      <c r="D1052"/>
      <c r="E1052" s="2">
        <f>Comuni__2[[#This Row],[Popolazione2011]]/$D$7911</f>
        <v>8.5656957817919794E-5</v>
      </c>
      <c r="F1052">
        <f>SUMIFS($D$2:$D$7909, $B$2:$B$7909, "Campania")</f>
        <v>5766810</v>
      </c>
      <c r="G1052" s="1">
        <f>Comuni__2[[#This Row],[Popolazione2011]]/Comuni__2[[#This Row],[POPOLAZIONE TOTALE DI OGNI REGIONE (CON FILTRO)]]</f>
        <v>8.8263702116074571E-4</v>
      </c>
      <c r="H1052" t="str">
        <f>IF(Comuni__2[[#This Row],[Popolazione2011]]&gt;300000,"MAGGIORE","")</f>
        <v/>
      </c>
      <c r="J1052">
        <v>96</v>
      </c>
      <c r="K1052">
        <v>4411</v>
      </c>
      <c r="L1052">
        <v>445</v>
      </c>
    </row>
    <row r="1053" spans="1:12" x14ac:dyDescent="0.2">
      <c r="A1053"/>
      <c r="B1053"/>
      <c r="C1053"/>
      <c r="D1053"/>
      <c r="E1053" s="2">
        <f>Comuni__2[[#This Row],[Popolazione2011]]/$D$7911</f>
        <v>8.5370873675895306E-5</v>
      </c>
      <c r="F1053">
        <f>SUMIFS($D$2:$D$7909, $B$2:$B$7909, "Campania")</f>
        <v>5766810</v>
      </c>
      <c r="G1053" s="1">
        <f>Comuni__2[[#This Row],[Popolazione2011]]/Comuni__2[[#This Row],[POPOLAZIONE TOTALE DI OGNI REGIONE (CON FILTRO)]]</f>
        <v>8.7968911755372556E-4</v>
      </c>
      <c r="H1053" t="str">
        <f>IF(Comuni__2[[#This Row],[Popolazione2011]]&gt;300000,"MAGGIORE","")</f>
        <v/>
      </c>
      <c r="J1053">
        <v>149</v>
      </c>
      <c r="K1053">
        <v>4430</v>
      </c>
      <c r="L1053">
        <v>446</v>
      </c>
    </row>
    <row r="1054" spans="1:12" x14ac:dyDescent="0.2">
      <c r="A1054"/>
      <c r="B1054"/>
      <c r="C1054"/>
      <c r="D1054"/>
      <c r="E1054" s="2">
        <f>Comuni__2[[#This Row],[Popolazione2011]]/$D$7911</f>
        <v>8.5219417365411761E-5</v>
      </c>
      <c r="F1054">
        <f>SUMIFS($D$2:$D$7909, $B$2:$B$7909, "Campania")</f>
        <v>5766810</v>
      </c>
      <c r="G1054" s="1">
        <f>Comuni__2[[#This Row],[Popolazione2011]]/Comuni__2[[#This Row],[POPOLAZIONE TOTALE DI OGNI REGIONE (CON FILTRO)]]</f>
        <v>8.7812846270295011E-4</v>
      </c>
      <c r="H1054" t="str">
        <f>IF(Comuni__2[[#This Row],[Popolazione2011]]&gt;300000,"MAGGIORE","")</f>
        <v/>
      </c>
      <c r="J1054">
        <v>167</v>
      </c>
      <c r="K1054">
        <v>4437</v>
      </c>
      <c r="L1054">
        <v>446</v>
      </c>
    </row>
    <row r="1055" spans="1:12" x14ac:dyDescent="0.2">
      <c r="A1055"/>
      <c r="B1055"/>
      <c r="C1055"/>
      <c r="D1055"/>
      <c r="E1055" s="2">
        <f>Comuni__2[[#This Row],[Popolazione2011]]/$D$7911</f>
        <v>8.4849190828674193E-5</v>
      </c>
      <c r="F1055">
        <f>SUMIFS($D$2:$D$7909, $B$2:$B$7909, "Campania")</f>
        <v>5766810</v>
      </c>
      <c r="G1055" s="1">
        <f>Comuni__2[[#This Row],[Popolazione2011]]/Comuni__2[[#This Row],[POPOLAZIONE TOTALE DI OGNI REGIONE (CON FILTRO)]]</f>
        <v>8.7431352862327703E-4</v>
      </c>
      <c r="H1055" t="str">
        <f>IF(Comuni__2[[#This Row],[Popolazione2011]]&gt;300000,"MAGGIORE","")</f>
        <v/>
      </c>
      <c r="J1055">
        <v>189</v>
      </c>
      <c r="K1055">
        <v>4452</v>
      </c>
      <c r="L1055">
        <v>446</v>
      </c>
    </row>
    <row r="1056" spans="1:12" x14ac:dyDescent="0.2">
      <c r="A1056"/>
      <c r="B1056"/>
      <c r="C1056"/>
      <c r="D1056"/>
      <c r="E1056" s="2">
        <f>Comuni__2[[#This Row],[Popolazione2011]]/$D$7911</f>
        <v>8.4546278207707089E-5</v>
      </c>
      <c r="F1056">
        <f>SUMIFS($D$2:$D$7909, $B$2:$B$7909, "Campania")</f>
        <v>5766810</v>
      </c>
      <c r="G1056" s="1">
        <f>Comuni__2[[#This Row],[Popolazione2011]]/Comuni__2[[#This Row],[POPOLAZIONE TOTALE DI OGNI REGIONE (CON FILTRO)]]</f>
        <v>8.7119221892172625E-4</v>
      </c>
      <c r="H1056" t="str">
        <f>IF(Comuni__2[[#This Row],[Popolazione2011]]&gt;300000,"MAGGIORE","")</f>
        <v/>
      </c>
      <c r="J1056">
        <v>201</v>
      </c>
      <c r="K1056">
        <v>4471</v>
      </c>
      <c r="L1056">
        <v>447</v>
      </c>
    </row>
    <row r="1057" spans="1:12" x14ac:dyDescent="0.2">
      <c r="A1057"/>
      <c r="B1057"/>
      <c r="C1057"/>
      <c r="D1057"/>
      <c r="E1057" s="2">
        <f>Comuni__2[[#This Row],[Popolazione2011]]/$D$7911</f>
        <v>8.4058252318371194E-5</v>
      </c>
      <c r="F1057">
        <f>SUMIFS($D$2:$D$7909, $B$2:$B$7909, "Campania")</f>
        <v>5766810</v>
      </c>
      <c r="G1057" s="1">
        <f>Comuni__2[[#This Row],[Popolazione2011]]/Comuni__2[[#This Row],[POPOLAZIONE TOTALE DI OGNI REGIONE (CON FILTRO)]]</f>
        <v>8.6616344218033887E-4</v>
      </c>
      <c r="H1057" t="str">
        <f>IF(Comuni__2[[#This Row],[Popolazione2011]]&gt;300000,"MAGGIORE","")</f>
        <v/>
      </c>
      <c r="J1057">
        <v>213</v>
      </c>
      <c r="K1057">
        <v>4476</v>
      </c>
      <c r="L1057">
        <v>448</v>
      </c>
    </row>
    <row r="1058" spans="1:12" x14ac:dyDescent="0.2">
      <c r="A1058"/>
      <c r="B1058"/>
      <c r="C1058"/>
      <c r="D1058"/>
      <c r="E1058" s="2">
        <f>Comuni__2[[#This Row],[Popolazione2011]]/$D$7911</f>
        <v>8.3099029018642034E-5</v>
      </c>
      <c r="F1058">
        <f>SUMIFS($D$2:$D$7909, $B$2:$B$7909, "Campania")</f>
        <v>5766810</v>
      </c>
      <c r="G1058" s="1">
        <f>Comuni__2[[#This Row],[Popolazione2011]]/Comuni__2[[#This Row],[POPOLAZIONE TOTALE DI OGNI REGIONE (CON FILTRO)]]</f>
        <v>8.5627929479209475E-4</v>
      </c>
      <c r="H1058" t="str">
        <f>IF(Comuni__2[[#This Row],[Popolazione2011]]&gt;300000,"MAGGIORE","")</f>
        <v/>
      </c>
      <c r="J1058">
        <v>228</v>
      </c>
      <c r="K1058">
        <v>4478</v>
      </c>
      <c r="L1058">
        <v>448</v>
      </c>
    </row>
    <row r="1059" spans="1:12" x14ac:dyDescent="0.2">
      <c r="A1059"/>
      <c r="B1059"/>
      <c r="C1059"/>
      <c r="D1059"/>
      <c r="E1059" s="2">
        <f>Comuni__2[[#This Row],[Popolazione2011]]/$D$7911</f>
        <v>8.2812944876617546E-5</v>
      </c>
      <c r="F1059">
        <f>SUMIFS($D$2:$D$7909, $B$2:$B$7909, "Campania")</f>
        <v>5766810</v>
      </c>
      <c r="G1059" s="1">
        <f>Comuni__2[[#This Row],[Popolazione2011]]/Comuni__2[[#This Row],[POPOLAZIONE TOTALE DI OGNI REGIONE (CON FILTRO)]]</f>
        <v>8.533313911850746E-4</v>
      </c>
      <c r="H1059" t="str">
        <f>IF(Comuni__2[[#This Row],[Popolazione2011]]&gt;300000,"MAGGIORE","")</f>
        <v/>
      </c>
      <c r="J1059">
        <v>230</v>
      </c>
      <c r="K1059">
        <v>4490</v>
      </c>
      <c r="L1059">
        <v>448</v>
      </c>
    </row>
    <row r="1060" spans="1:12" x14ac:dyDescent="0.2">
      <c r="A1060"/>
      <c r="B1060"/>
      <c r="C1060"/>
      <c r="D1060"/>
      <c r="E1060" s="2">
        <f>Comuni__2[[#This Row],[Popolazione2011]]/$D$7911</f>
        <v>8.2812944876617546E-5</v>
      </c>
      <c r="F1060">
        <f>SUMIFS($D$2:$D$7909, $B$2:$B$7909, "Campania")</f>
        <v>5766810</v>
      </c>
      <c r="G1060" s="1">
        <f>Comuni__2[[#This Row],[Popolazione2011]]/Comuni__2[[#This Row],[POPOLAZIONE TOTALE DI OGNI REGIONE (CON FILTRO)]]</f>
        <v>8.533313911850746E-4</v>
      </c>
      <c r="H1060" t="str">
        <f>IF(Comuni__2[[#This Row],[Popolazione2011]]&gt;300000,"MAGGIORE","")</f>
        <v/>
      </c>
      <c r="J1060">
        <v>229</v>
      </c>
      <c r="K1060">
        <v>4514</v>
      </c>
      <c r="L1060">
        <v>448</v>
      </c>
    </row>
    <row r="1061" spans="1:12" x14ac:dyDescent="0.2">
      <c r="A1061"/>
      <c r="B1061"/>
      <c r="C1061"/>
      <c r="D1061"/>
      <c r="E1061" s="2">
        <f>Comuni__2[[#This Row],[Popolazione2011]]/$D$7911</f>
        <v>8.2695145524019234E-5</v>
      </c>
      <c r="F1061">
        <f>SUMIFS($D$2:$D$7909, $B$2:$B$7909, "Campania")</f>
        <v>5766810</v>
      </c>
      <c r="G1061" s="1">
        <f>Comuni__2[[#This Row],[Popolazione2011]]/Comuni__2[[#This Row],[POPOLAZIONE TOTALE DI OGNI REGIONE (CON FILTRO)]]</f>
        <v>8.5211754852336041E-4</v>
      </c>
      <c r="H1061" t="str">
        <f>IF(Comuni__2[[#This Row],[Popolazione2011]]&gt;300000,"MAGGIORE","")</f>
        <v/>
      </c>
      <c r="J1061">
        <v>236</v>
      </c>
      <c r="K1061">
        <v>4537</v>
      </c>
      <c r="L1061">
        <v>449</v>
      </c>
    </row>
    <row r="1062" spans="1:12" x14ac:dyDescent="0.2">
      <c r="A1062"/>
      <c r="B1062"/>
      <c r="C1062"/>
      <c r="D1062"/>
      <c r="E1062" s="2">
        <f>Comuni__2[[#This Row],[Popolazione2011]]/$D$7911</f>
        <v>7.9851132582716986E-5</v>
      </c>
      <c r="F1062">
        <f>SUMIFS($D$2:$D$7909, $B$2:$B$7909, "Campania")</f>
        <v>5766810</v>
      </c>
      <c r="G1062" s="1">
        <f>Comuni__2[[#This Row],[Popolazione2011]]/Comuni__2[[#This Row],[POPOLAZIONE TOTALE DI OGNI REGIONE (CON FILTRO)]]</f>
        <v>8.2281191854768931E-4</v>
      </c>
      <c r="H1062" t="str">
        <f>IF(Comuni__2[[#This Row],[Popolazione2011]]&gt;300000,"MAGGIORE","")</f>
        <v/>
      </c>
      <c r="J1062">
        <v>242</v>
      </c>
      <c r="K1062">
        <v>4568</v>
      </c>
      <c r="L1062">
        <v>450</v>
      </c>
    </row>
    <row r="1063" spans="1:12" x14ac:dyDescent="0.2">
      <c r="A1063"/>
      <c r="B1063"/>
      <c r="C1063"/>
      <c r="D1063"/>
      <c r="E1063" s="2">
        <f>Comuni__2[[#This Row],[Popolazione2011]]/$D$7911</f>
        <v>7.9598705398577731E-5</v>
      </c>
      <c r="F1063">
        <f>SUMIFS($D$2:$D$7909, $B$2:$B$7909, "Campania")</f>
        <v>5766810</v>
      </c>
      <c r="G1063" s="1">
        <f>Comuni__2[[#This Row],[Popolazione2011]]/Comuni__2[[#This Row],[POPOLAZIONE TOTALE DI OGNI REGIONE (CON FILTRO)]]</f>
        <v>8.202108271297303E-4</v>
      </c>
      <c r="H1063" t="str">
        <f>IF(Comuni__2[[#This Row],[Popolazione2011]]&gt;300000,"MAGGIORE","")</f>
        <v/>
      </c>
      <c r="J1063">
        <v>252</v>
      </c>
      <c r="K1063">
        <v>4584</v>
      </c>
      <c r="L1063">
        <v>451</v>
      </c>
    </row>
    <row r="1064" spans="1:12" x14ac:dyDescent="0.2">
      <c r="A1064"/>
      <c r="B1064"/>
      <c r="C1064"/>
      <c r="D1064"/>
      <c r="E1064" s="2">
        <f>Comuni__2[[#This Row],[Popolazione2011]]/$D$7911</f>
        <v>7.8673139056733803E-5</v>
      </c>
      <c r="F1064">
        <f>SUMIFS($D$2:$D$7909, $B$2:$B$7909, "Campania")</f>
        <v>5766810</v>
      </c>
      <c r="G1064" s="1">
        <f>Comuni__2[[#This Row],[Popolazione2011]]/Comuni__2[[#This Row],[POPOLAZIONE TOTALE DI OGNI REGIONE (CON FILTRO)]]</f>
        <v>8.1067349193054744E-4</v>
      </c>
      <c r="H1064" t="str">
        <f>IF(Comuni__2[[#This Row],[Popolazione2011]]&gt;300000,"MAGGIORE","")</f>
        <v/>
      </c>
      <c r="J1064">
        <v>271</v>
      </c>
      <c r="K1064">
        <v>4654</v>
      </c>
      <c r="L1064">
        <v>451</v>
      </c>
    </row>
    <row r="1065" spans="1:12" x14ac:dyDescent="0.2">
      <c r="A1065"/>
      <c r="B1065"/>
      <c r="C1065"/>
      <c r="D1065"/>
      <c r="E1065" s="2">
        <f>Comuni__2[[#This Row],[Popolazione2011]]/$D$7911</f>
        <v>7.8370226435766699E-5</v>
      </c>
      <c r="F1065">
        <f>SUMIFS($D$2:$D$7909, $B$2:$B$7909, "Campania")</f>
        <v>5766810</v>
      </c>
      <c r="G1065" s="1">
        <f>Comuni__2[[#This Row],[Popolazione2011]]/Comuni__2[[#This Row],[POPOLAZIONE TOTALE DI OGNI REGIONE (CON FILTRO)]]</f>
        <v>8.0755218222899666E-4</v>
      </c>
      <c r="H1065" t="str">
        <f>IF(Comuni__2[[#This Row],[Popolazione2011]]&gt;300000,"MAGGIORE","")</f>
        <v/>
      </c>
      <c r="J1065">
        <v>290</v>
      </c>
      <c r="K1065">
        <v>4733</v>
      </c>
      <c r="L1065">
        <v>451</v>
      </c>
    </row>
    <row r="1066" spans="1:12" x14ac:dyDescent="0.2">
      <c r="A1066"/>
      <c r="B1066"/>
      <c r="C1066"/>
      <c r="D1066"/>
      <c r="E1066" s="2">
        <f>Comuni__2[[#This Row],[Popolazione2011]]/$D$7911</f>
        <v>7.6569579188906693E-5</v>
      </c>
      <c r="F1066">
        <f>SUMIFS($D$2:$D$7909, $B$2:$B$7909, "Campania")</f>
        <v>5766810</v>
      </c>
      <c r="G1066" s="1">
        <f>Comuni__2[[#This Row],[Popolazione2011]]/Comuni__2[[#This Row],[POPOLAZIONE TOTALE DI OGNI REGIONE (CON FILTRO)]]</f>
        <v>7.889977301142226E-4</v>
      </c>
      <c r="H1066" t="str">
        <f>IF(Comuni__2[[#This Row],[Popolazione2011]]&gt;300000,"MAGGIORE","")</f>
        <v/>
      </c>
      <c r="J1066">
        <v>305</v>
      </c>
      <c r="K1066">
        <v>4759</v>
      </c>
      <c r="L1066">
        <v>452</v>
      </c>
    </row>
    <row r="1067" spans="1:12" x14ac:dyDescent="0.2">
      <c r="A1067"/>
      <c r="B1067"/>
      <c r="C1067"/>
      <c r="D1067"/>
      <c r="E1067" s="2">
        <f>Comuni__2[[#This Row],[Popolazione2011]]/$D$7911</f>
        <v>7.4331391489538653E-5</v>
      </c>
      <c r="F1067">
        <f>SUMIFS($D$2:$D$7909, $B$2:$B$7909, "Campania")</f>
        <v>5766810</v>
      </c>
      <c r="G1067" s="1">
        <f>Comuni__2[[#This Row],[Popolazione2011]]/Comuni__2[[#This Row],[POPOLAZIONE TOTALE DI OGNI REGIONE (CON FILTRO)]]</f>
        <v>7.6593471954165306E-4</v>
      </c>
      <c r="H1067" t="str">
        <f>IF(Comuni__2[[#This Row],[Popolazione2011]]&gt;300000,"MAGGIORE","")</f>
        <v/>
      </c>
      <c r="J1067">
        <v>313</v>
      </c>
      <c r="K1067">
        <v>4819</v>
      </c>
      <c r="L1067">
        <v>452</v>
      </c>
    </row>
    <row r="1068" spans="1:12" x14ac:dyDescent="0.2">
      <c r="A1068"/>
      <c r="B1068"/>
      <c r="C1068"/>
      <c r="D1068"/>
      <c r="E1068" s="2">
        <f>Comuni__2[[#This Row],[Popolazione2011]]/$D$7911</f>
        <v>7.242977336902295E-5</v>
      </c>
      <c r="F1068">
        <f>SUMIFS($D$2:$D$7909, $B$2:$B$7909, "Campania")</f>
        <v>5766810</v>
      </c>
      <c r="G1068" s="1">
        <f>Comuni__2[[#This Row],[Popolazione2011]]/Comuni__2[[#This Row],[POPOLAZIONE TOTALE DI OGNI REGIONE (CON FILTRO)]]</f>
        <v>7.4633983085969544E-4</v>
      </c>
      <c r="H1068" t="str">
        <f>IF(Comuni__2[[#This Row],[Popolazione2011]]&gt;300000,"MAGGIORE","")</f>
        <v/>
      </c>
      <c r="J1068">
        <v>320</v>
      </c>
      <c r="K1068">
        <v>4888</v>
      </c>
      <c r="L1068">
        <v>452</v>
      </c>
    </row>
    <row r="1069" spans="1:12" x14ac:dyDescent="0.2">
      <c r="A1069"/>
      <c r="B1069"/>
      <c r="C1069"/>
      <c r="D1069"/>
      <c r="E1069" s="2">
        <f>Comuni__2[[#This Row],[Popolazione2011]]/$D$7911</f>
        <v>7.2025889874400149E-5</v>
      </c>
      <c r="F1069">
        <f>SUMIFS($D$2:$D$7909, $B$2:$B$7909, "Campania")</f>
        <v>5766810</v>
      </c>
      <c r="G1069" s="1">
        <f>Comuni__2[[#This Row],[Popolazione2011]]/Comuni__2[[#This Row],[POPOLAZIONE TOTALE DI OGNI REGIONE (CON FILTRO)]]</f>
        <v>7.4217808459096099E-4</v>
      </c>
      <c r="H1069" t="str">
        <f>IF(Comuni__2[[#This Row],[Popolazione2011]]&gt;300000,"MAGGIORE","")</f>
        <v/>
      </c>
      <c r="J1069">
        <v>323</v>
      </c>
      <c r="K1069">
        <v>4970</v>
      </c>
      <c r="L1069">
        <v>455</v>
      </c>
    </row>
    <row r="1070" spans="1:12" x14ac:dyDescent="0.2">
      <c r="A1070"/>
      <c r="B1070"/>
      <c r="C1070"/>
      <c r="D1070"/>
      <c r="E1070" s="2">
        <f>Comuni__2[[#This Row],[Popolazione2011]]/$D$7911</f>
        <v>7.1756634211318277E-5</v>
      </c>
      <c r="F1070">
        <f>SUMIFS($D$2:$D$7909, $B$2:$B$7909, "Campania")</f>
        <v>5766810</v>
      </c>
      <c r="G1070" s="1">
        <f>Comuni__2[[#This Row],[Popolazione2011]]/Comuni__2[[#This Row],[POPOLAZIONE TOTALE DI OGNI REGIONE (CON FILTRO)]]</f>
        <v>7.3940358707847147E-4</v>
      </c>
      <c r="H1070" t="str">
        <f>IF(Comuni__2[[#This Row],[Popolazione2011]]&gt;300000,"MAGGIORE","")</f>
        <v/>
      </c>
      <c r="J1070">
        <v>338</v>
      </c>
      <c r="K1070">
        <v>5020</v>
      </c>
      <c r="L1070">
        <v>455</v>
      </c>
    </row>
    <row r="1071" spans="1:12" x14ac:dyDescent="0.2">
      <c r="A1071"/>
      <c r="B1071"/>
      <c r="C1071"/>
      <c r="D1071"/>
      <c r="E1071" s="2">
        <f>Comuni__2[[#This Row],[Popolazione2011]]/$D$7911</f>
        <v>7.1655663337662567E-5</v>
      </c>
      <c r="F1071">
        <f>SUMIFS($D$2:$D$7909, $B$2:$B$7909, "Campania")</f>
        <v>5766810</v>
      </c>
      <c r="G1071" s="1">
        <f>Comuni__2[[#This Row],[Popolazione2011]]/Comuni__2[[#This Row],[POPOLAZIONE TOTALE DI OGNI REGIONE (CON FILTRO)]]</f>
        <v>7.3836315051128791E-4</v>
      </c>
      <c r="H1071" t="str">
        <f>IF(Comuni__2[[#This Row],[Popolazione2011]]&gt;300000,"MAGGIORE","")</f>
        <v/>
      </c>
      <c r="J1071">
        <v>346</v>
      </c>
      <c r="K1071">
        <v>5060</v>
      </c>
      <c r="L1071">
        <v>456</v>
      </c>
    </row>
    <row r="1072" spans="1:12" x14ac:dyDescent="0.2">
      <c r="A1072"/>
      <c r="B1072"/>
      <c r="C1072"/>
      <c r="D1072"/>
      <c r="E1072" s="2">
        <f>Comuni__2[[#This Row],[Popolazione2011]]/$D$7911</f>
        <v>7.0444012853794152E-5</v>
      </c>
      <c r="F1072">
        <f>SUMIFS($D$2:$D$7909, $B$2:$B$7909, "Campania")</f>
        <v>5766810</v>
      </c>
      <c r="G1072" s="1">
        <f>Comuni__2[[#This Row],[Popolazione2011]]/Comuni__2[[#This Row],[POPOLAZIONE TOTALE DI OGNI REGIONE (CON FILTRO)]]</f>
        <v>7.2587791170508479E-4</v>
      </c>
      <c r="H1072" t="str">
        <f>IF(Comuni__2[[#This Row],[Popolazione2011]]&gt;300000,"MAGGIORE","")</f>
        <v/>
      </c>
      <c r="J1072">
        <v>366</v>
      </c>
      <c r="K1072">
        <v>5129</v>
      </c>
      <c r="L1072">
        <v>456</v>
      </c>
    </row>
    <row r="1073" spans="1:12" x14ac:dyDescent="0.2">
      <c r="A1073"/>
      <c r="B1073"/>
      <c r="C1073"/>
      <c r="D1073"/>
      <c r="E1073" s="2">
        <f>Comuni__2[[#This Row],[Popolazione2011]]/$D$7911</f>
        <v>6.9350161722524063E-5</v>
      </c>
      <c r="F1073">
        <f>SUMIFS($D$2:$D$7909, $B$2:$B$7909, "Campania")</f>
        <v>5766810</v>
      </c>
      <c r="G1073" s="1">
        <f>Comuni__2[[#This Row],[Popolazione2011]]/Comuni__2[[#This Row],[POPOLAZIONE TOTALE DI OGNI REGIONE (CON FILTRO)]]</f>
        <v>7.1460651556059585E-4</v>
      </c>
      <c r="H1073" t="str">
        <f>IF(Comuni__2[[#This Row],[Popolazione2011]]&gt;300000,"MAGGIORE","")</f>
        <v/>
      </c>
      <c r="J1073">
        <v>366</v>
      </c>
      <c r="K1073">
        <v>5149</v>
      </c>
      <c r="L1073">
        <v>457</v>
      </c>
    </row>
    <row r="1074" spans="1:12" x14ac:dyDescent="0.2">
      <c r="A1074"/>
      <c r="B1074"/>
      <c r="C1074"/>
      <c r="D1074"/>
      <c r="E1074" s="2">
        <f>Comuni__2[[#This Row],[Popolazione2011]]/$D$7911</f>
        <v>6.8744336480589855E-5</v>
      </c>
      <c r="F1074">
        <f>SUMIFS($D$2:$D$7909, $B$2:$B$7909, "Campania")</f>
        <v>5766810</v>
      </c>
      <c r="G1074" s="1">
        <f>Comuni__2[[#This Row],[Popolazione2011]]/Comuni__2[[#This Row],[POPOLAZIONE TOTALE DI OGNI REGIONE (CON FILTRO)]]</f>
        <v>7.083638961574944E-4</v>
      </c>
      <c r="H1074" t="str">
        <f>IF(Comuni__2[[#This Row],[Popolazione2011]]&gt;300000,"MAGGIORE","")</f>
        <v/>
      </c>
      <c r="J1074">
        <v>383</v>
      </c>
      <c r="K1074">
        <v>5247</v>
      </c>
      <c r="L1074">
        <v>457</v>
      </c>
    </row>
    <row r="1075" spans="1:12" x14ac:dyDescent="0.2">
      <c r="A1075"/>
      <c r="B1075"/>
      <c r="C1075"/>
      <c r="D1075"/>
      <c r="E1075" s="2">
        <f>Comuni__2[[#This Row],[Popolazione2011]]/$D$7911</f>
        <v>6.8710679522704623E-5</v>
      </c>
      <c r="F1075">
        <f>SUMIFS($D$2:$D$7909, $B$2:$B$7909, "Campania")</f>
        <v>5766810</v>
      </c>
      <c r="G1075" s="1">
        <f>Comuni__2[[#This Row],[Popolazione2011]]/Comuni__2[[#This Row],[POPOLAZIONE TOTALE DI OGNI REGIONE (CON FILTRO)]]</f>
        <v>7.0801708396843314E-4</v>
      </c>
      <c r="H1075" t="str">
        <f>IF(Comuni__2[[#This Row],[Popolazione2011]]&gt;300000,"MAGGIORE","")</f>
        <v/>
      </c>
      <c r="J1075">
        <v>378</v>
      </c>
      <c r="K1075">
        <v>5383</v>
      </c>
      <c r="L1075">
        <v>457</v>
      </c>
    </row>
    <row r="1076" spans="1:12" x14ac:dyDescent="0.2">
      <c r="A1076"/>
      <c r="B1076"/>
      <c r="C1076"/>
      <c r="D1076"/>
      <c r="E1076" s="2">
        <f>Comuni__2[[#This Row],[Popolazione2011]]/$D$7911</f>
        <v>6.8660194085876775E-5</v>
      </c>
      <c r="F1076">
        <f>SUMIFS($D$2:$D$7909, $B$2:$B$7909, "Campania")</f>
        <v>5766810</v>
      </c>
      <c r="G1076" s="1">
        <f>Comuni__2[[#This Row],[Popolazione2011]]/Comuni__2[[#This Row],[POPOLAZIONE TOTALE DI OGNI REGIONE (CON FILTRO)]]</f>
        <v>7.0749686568484136E-4</v>
      </c>
      <c r="H1076" t="str">
        <f>IF(Comuni__2[[#This Row],[Popolazione2011]]&gt;300000,"MAGGIORE","")</f>
        <v/>
      </c>
      <c r="J1076">
        <v>396</v>
      </c>
      <c r="K1076">
        <v>5488</v>
      </c>
      <c r="L1076">
        <v>457</v>
      </c>
    </row>
    <row r="1077" spans="1:12" x14ac:dyDescent="0.2">
      <c r="A1077"/>
      <c r="B1077"/>
      <c r="C1077"/>
      <c r="D1077"/>
      <c r="E1077" s="2">
        <f>Comuni__2[[#This Row],[Popolazione2011]]/$D$7911</f>
        <v>6.8609708649048926E-5</v>
      </c>
      <c r="F1077">
        <f>SUMIFS($D$2:$D$7909, $B$2:$B$7909, "Campania")</f>
        <v>5766810</v>
      </c>
      <c r="G1077" s="1">
        <f>Comuni__2[[#This Row],[Popolazione2011]]/Comuni__2[[#This Row],[POPOLAZIONE TOTALE DI OGNI REGIONE (CON FILTRO)]]</f>
        <v>7.0697664740124958E-4</v>
      </c>
      <c r="H1077" t="str">
        <f>IF(Comuni__2[[#This Row],[Popolazione2011]]&gt;300000,"MAGGIORE","")</f>
        <v/>
      </c>
      <c r="J1077">
        <v>409</v>
      </c>
      <c r="K1077">
        <v>5638</v>
      </c>
      <c r="L1077">
        <v>459</v>
      </c>
    </row>
    <row r="1078" spans="1:12" x14ac:dyDescent="0.2">
      <c r="A1078"/>
      <c r="B1078"/>
      <c r="C1078"/>
      <c r="D1078"/>
      <c r="E1078" s="2">
        <f>Comuni__2[[#This Row],[Popolazione2011]]/$D$7911</f>
        <v>6.8138511238655648E-5</v>
      </c>
      <c r="F1078">
        <f>SUMIFS($D$2:$D$7909, $B$2:$B$7909, "Campania")</f>
        <v>5766810</v>
      </c>
      <c r="G1078" s="1">
        <f>Comuni__2[[#This Row],[Popolazione2011]]/Comuni__2[[#This Row],[POPOLAZIONE TOTALE DI OGNI REGIONE (CON FILTRO)]]</f>
        <v>7.0212127675439284E-4</v>
      </c>
      <c r="H1078" t="str">
        <f>IF(Comuni__2[[#This Row],[Popolazione2011]]&gt;300000,"MAGGIORE","")</f>
        <v/>
      </c>
      <c r="J1078">
        <v>354</v>
      </c>
      <c r="K1078">
        <v>5688</v>
      </c>
      <c r="L1078">
        <v>460</v>
      </c>
    </row>
    <row r="1079" spans="1:12" x14ac:dyDescent="0.2">
      <c r="A1079"/>
      <c r="B1079"/>
      <c r="C1079"/>
      <c r="D1079"/>
      <c r="E1079" s="2">
        <f>Comuni__2[[#This Row],[Popolazione2011]]/$D$7911</f>
        <v>6.7953397970286857E-5</v>
      </c>
      <c r="F1079">
        <f>SUMIFS($D$2:$D$7909, $B$2:$B$7909, "Campania")</f>
        <v>5766810</v>
      </c>
      <c r="G1079" s="1">
        <f>Comuni__2[[#This Row],[Popolazione2011]]/Comuni__2[[#This Row],[POPOLAZIONE TOTALE DI OGNI REGIONE (CON FILTRO)]]</f>
        <v>7.0021380971455624E-4</v>
      </c>
      <c r="H1079" t="str">
        <f>IF(Comuni__2[[#This Row],[Popolazione2011]]&gt;300000,"MAGGIORE","")</f>
        <v/>
      </c>
      <c r="J1079">
        <v>430</v>
      </c>
      <c r="K1079">
        <v>5824</v>
      </c>
      <c r="L1079">
        <v>460</v>
      </c>
    </row>
    <row r="1080" spans="1:12" x14ac:dyDescent="0.2">
      <c r="A1080"/>
      <c r="B1080"/>
      <c r="C1080"/>
      <c r="D1080"/>
      <c r="E1080" s="2">
        <f>Comuni__2[[#This Row],[Popolazione2011]]/$D$7911</f>
        <v>6.6825889881131536E-5</v>
      </c>
      <c r="F1080">
        <f>SUMIFS($D$2:$D$7909, $B$2:$B$7909, "Campania")</f>
        <v>5766810</v>
      </c>
      <c r="G1080" s="1">
        <f>Comuni__2[[#This Row],[Popolazione2011]]/Comuni__2[[#This Row],[POPOLAZIONE TOTALE DI OGNI REGIONE (CON FILTRO)]]</f>
        <v>6.8859560138100615E-4</v>
      </c>
      <c r="H1080" t="str">
        <f>IF(Comuni__2[[#This Row],[Popolazione2011]]&gt;300000,"MAGGIORE","")</f>
        <v/>
      </c>
      <c r="J1080">
        <v>442</v>
      </c>
      <c r="K1080">
        <v>5968</v>
      </c>
      <c r="L1080">
        <v>461</v>
      </c>
    </row>
    <row r="1081" spans="1:12" x14ac:dyDescent="0.2">
      <c r="A1081"/>
      <c r="B1081"/>
      <c r="C1081"/>
      <c r="D1081"/>
      <c r="E1081" s="2">
        <f>Comuni__2[[#This Row],[Popolazione2011]]/$D$7911</f>
        <v>6.6724919007475839E-5</v>
      </c>
      <c r="F1081">
        <f>SUMIFS($D$2:$D$7909, $B$2:$B$7909, "Campania")</f>
        <v>5766810</v>
      </c>
      <c r="G1081" s="1">
        <f>Comuni__2[[#This Row],[Popolazione2011]]/Comuni__2[[#This Row],[POPOLAZIONE TOTALE DI OGNI REGIONE (CON FILTRO)]]</f>
        <v>6.875551648138226E-4</v>
      </c>
      <c r="H1081" t="str">
        <f>IF(Comuni__2[[#This Row],[Popolazione2011]]&gt;300000,"MAGGIORE","")</f>
        <v/>
      </c>
      <c r="J1081">
        <v>452</v>
      </c>
      <c r="K1081">
        <v>6027</v>
      </c>
      <c r="L1081">
        <v>463</v>
      </c>
    </row>
    <row r="1082" spans="1:12" x14ac:dyDescent="0.2">
      <c r="A1082"/>
      <c r="B1082"/>
      <c r="C1082"/>
      <c r="D1082"/>
      <c r="E1082" s="2">
        <f>Comuni__2[[#This Row],[Popolazione2011]]/$D$7911</f>
        <v>6.657346269699228E-5</v>
      </c>
      <c r="F1082">
        <f>SUMIFS($D$2:$D$7909, $B$2:$B$7909, "Campania")</f>
        <v>5766810</v>
      </c>
      <c r="G1082" s="1">
        <f>Comuni__2[[#This Row],[Popolazione2011]]/Comuni__2[[#This Row],[POPOLAZIONE TOTALE DI OGNI REGIONE (CON FILTRO)]]</f>
        <v>6.8599450996304715E-4</v>
      </c>
      <c r="H1082" t="str">
        <f>IF(Comuni__2[[#This Row],[Popolazione2011]]&gt;300000,"MAGGIORE","")</f>
        <v/>
      </c>
      <c r="J1082">
        <v>453</v>
      </c>
      <c r="K1082">
        <v>6166</v>
      </c>
      <c r="L1082">
        <v>463</v>
      </c>
    </row>
    <row r="1083" spans="1:12" x14ac:dyDescent="0.2">
      <c r="A1083"/>
      <c r="B1083"/>
      <c r="C1083"/>
      <c r="D1083"/>
      <c r="E1083" s="2">
        <f>Comuni__2[[#This Row],[Popolazione2011]]/$D$7911</f>
        <v>6.657346269699228E-5</v>
      </c>
      <c r="F1083">
        <f>SUMIFS($D$2:$D$7909, $B$2:$B$7909, "Campania")</f>
        <v>5766810</v>
      </c>
      <c r="G1083" s="1">
        <f>Comuni__2[[#This Row],[Popolazione2011]]/Comuni__2[[#This Row],[POPOLAZIONE TOTALE DI OGNI REGIONE (CON FILTRO)]]</f>
        <v>6.8599450996304715E-4</v>
      </c>
      <c r="H1083" t="str">
        <f>IF(Comuni__2[[#This Row],[Popolazione2011]]&gt;300000,"MAGGIORE","")</f>
        <v/>
      </c>
      <c r="J1083">
        <v>459</v>
      </c>
      <c r="K1083">
        <v>6273</v>
      </c>
      <c r="L1083">
        <v>463</v>
      </c>
    </row>
    <row r="1084" spans="1:12" x14ac:dyDescent="0.2">
      <c r="A1084"/>
      <c r="B1084"/>
      <c r="C1084"/>
      <c r="D1084"/>
      <c r="E1084" s="2">
        <f>Comuni__2[[#This Row],[Popolazione2011]]/$D$7911</f>
        <v>6.6203236160254712E-5</v>
      </c>
      <c r="F1084">
        <f>SUMIFS($D$2:$D$7909, $B$2:$B$7909, "Campania")</f>
        <v>5766810</v>
      </c>
      <c r="G1084" s="1">
        <f>Comuni__2[[#This Row],[Popolazione2011]]/Comuni__2[[#This Row],[POPOLAZIONE TOTALE DI OGNI REGIONE (CON FILTRO)]]</f>
        <v>6.8217957588337396E-4</v>
      </c>
      <c r="H1084" t="str">
        <f>IF(Comuni__2[[#This Row],[Popolazione2011]]&gt;300000,"MAGGIORE","")</f>
        <v/>
      </c>
      <c r="J1084">
        <v>478</v>
      </c>
      <c r="K1084">
        <v>6315</v>
      </c>
      <c r="L1084">
        <v>464</v>
      </c>
    </row>
    <row r="1085" spans="1:12" x14ac:dyDescent="0.2">
      <c r="A1085"/>
      <c r="B1085"/>
      <c r="C1085"/>
      <c r="D1085"/>
      <c r="E1085" s="2">
        <f>Comuni__2[[#This Row],[Popolazione2011]]/$D$7911</f>
        <v>6.5950808976115457E-5</v>
      </c>
      <c r="F1085">
        <f>SUMIFS($D$2:$D$7909, $B$2:$B$7909, "Campania")</f>
        <v>5766810</v>
      </c>
      <c r="G1085" s="1">
        <f>Comuni__2[[#This Row],[Popolazione2011]]/Comuni__2[[#This Row],[POPOLAZIONE TOTALE DI OGNI REGIONE (CON FILTRO)]]</f>
        <v>6.7957848446541507E-4</v>
      </c>
      <c r="H1085" t="str">
        <f>IF(Comuni__2[[#This Row],[Popolazione2011]]&gt;300000,"MAGGIORE","")</f>
        <v/>
      </c>
      <c r="J1085">
        <v>474</v>
      </c>
      <c r="K1085">
        <v>6418</v>
      </c>
      <c r="L1085">
        <v>465</v>
      </c>
    </row>
    <row r="1086" spans="1:12" x14ac:dyDescent="0.2">
      <c r="A1086"/>
      <c r="B1086"/>
      <c r="C1086"/>
      <c r="D1086"/>
      <c r="E1086" s="2">
        <f>Comuni__2[[#This Row],[Popolazione2011]]/$D$7911</f>
        <v>6.574886722880405E-5</v>
      </c>
      <c r="F1086">
        <f>SUMIFS($D$2:$D$7909, $B$2:$B$7909, "Campania")</f>
        <v>5766810</v>
      </c>
      <c r="G1086" s="1">
        <f>Comuni__2[[#This Row],[Popolazione2011]]/Comuni__2[[#This Row],[POPOLAZIONE TOTALE DI OGNI REGIONE (CON FILTRO)]]</f>
        <v>6.7749761133104784E-4</v>
      </c>
      <c r="H1086" t="str">
        <f>IF(Comuni__2[[#This Row],[Popolazione2011]]&gt;300000,"MAGGIORE","")</f>
        <v/>
      </c>
      <c r="J1086">
        <v>491</v>
      </c>
      <c r="K1086">
        <v>6472</v>
      </c>
      <c r="L1086">
        <v>465</v>
      </c>
    </row>
    <row r="1087" spans="1:12" x14ac:dyDescent="0.2">
      <c r="A1087"/>
      <c r="B1087"/>
      <c r="C1087"/>
      <c r="D1087"/>
      <c r="E1087" s="2">
        <f>Comuni__2[[#This Row],[Popolazione2011]]/$D$7911</f>
        <v>6.4924271760615832E-5</v>
      </c>
      <c r="F1087">
        <f>SUMIFS($D$2:$D$7909, $B$2:$B$7909, "Campania")</f>
        <v>5766810</v>
      </c>
      <c r="G1087" s="1">
        <f>Comuni__2[[#This Row],[Popolazione2011]]/Comuni__2[[#This Row],[POPOLAZIONE TOTALE DI OGNI REGIONE (CON FILTRO)]]</f>
        <v>6.6900071269904854E-4</v>
      </c>
      <c r="H1087" t="str">
        <f>IF(Comuni__2[[#This Row],[Popolazione2011]]&gt;300000,"MAGGIORE","")</f>
        <v/>
      </c>
      <c r="J1087">
        <v>506</v>
      </c>
      <c r="K1087">
        <v>6593</v>
      </c>
      <c r="L1087">
        <v>466</v>
      </c>
    </row>
    <row r="1088" spans="1:12" x14ac:dyDescent="0.2">
      <c r="A1088"/>
      <c r="B1088"/>
      <c r="C1088"/>
      <c r="D1088"/>
      <c r="E1088" s="2">
        <f>Comuni__2[[#This Row],[Popolazione2011]]/$D$7911</f>
        <v>6.4823300886960122E-5</v>
      </c>
      <c r="F1088">
        <f>SUMIFS($D$2:$D$7909, $B$2:$B$7909, "Campania")</f>
        <v>5766810</v>
      </c>
      <c r="G1088" s="1">
        <f>Comuni__2[[#This Row],[Popolazione2011]]/Comuni__2[[#This Row],[POPOLAZIONE TOTALE DI OGNI REGIONE (CON FILTRO)]]</f>
        <v>6.6796027613186498E-4</v>
      </c>
      <c r="H1088" t="str">
        <f>IF(Comuni__2[[#This Row],[Popolazione2011]]&gt;300000,"MAGGIORE","")</f>
        <v/>
      </c>
      <c r="J1088">
        <v>535</v>
      </c>
      <c r="K1088">
        <v>6718</v>
      </c>
      <c r="L1088">
        <v>468</v>
      </c>
    </row>
    <row r="1089" spans="1:12" x14ac:dyDescent="0.2">
      <c r="A1089"/>
      <c r="B1089"/>
      <c r="C1089"/>
      <c r="D1089"/>
      <c r="E1089" s="2">
        <f>Comuni__2[[#This Row],[Popolazione2011]]/$D$7911</f>
        <v>6.4486731308107786E-5</v>
      </c>
      <c r="F1089">
        <f>SUMIFS($D$2:$D$7909, $B$2:$B$7909, "Campania")</f>
        <v>5766810</v>
      </c>
      <c r="G1089" s="1">
        <f>Comuni__2[[#This Row],[Popolazione2011]]/Comuni__2[[#This Row],[POPOLAZIONE TOTALE DI OGNI REGIONE (CON FILTRO)]]</f>
        <v>6.6449215424125294E-4</v>
      </c>
      <c r="H1089" t="str">
        <f>IF(Comuni__2[[#This Row],[Popolazione2011]]&gt;300000,"MAGGIORE","")</f>
        <v/>
      </c>
      <c r="J1089">
        <v>572</v>
      </c>
      <c r="K1089">
        <v>6895</v>
      </c>
      <c r="L1089">
        <v>469</v>
      </c>
    </row>
    <row r="1090" spans="1:12" x14ac:dyDescent="0.2">
      <c r="A1090"/>
      <c r="B1090"/>
      <c r="C1090"/>
      <c r="D1090"/>
      <c r="E1090" s="2">
        <f>Comuni__2[[#This Row],[Popolazione2011]]/$D$7911</f>
        <v>6.425113260291116E-5</v>
      </c>
      <c r="F1090">
        <f>SUMIFS($D$2:$D$7909, $B$2:$B$7909, "Campania")</f>
        <v>5766810</v>
      </c>
      <c r="G1090" s="1">
        <f>Comuni__2[[#This Row],[Popolazione2011]]/Comuni__2[[#This Row],[POPOLAZIONE TOTALE DI OGNI REGIONE (CON FILTRO)]]</f>
        <v>6.6206446891782457E-4</v>
      </c>
      <c r="H1090" t="str">
        <f>IF(Comuni__2[[#This Row],[Popolazione2011]]&gt;300000,"MAGGIORE","")</f>
        <v/>
      </c>
      <c r="J1090">
        <v>603</v>
      </c>
      <c r="K1090">
        <v>7044</v>
      </c>
      <c r="L1090">
        <v>470</v>
      </c>
    </row>
    <row r="1091" spans="1:12" x14ac:dyDescent="0.2">
      <c r="A1091"/>
      <c r="B1091"/>
      <c r="C1091"/>
      <c r="D1091"/>
      <c r="E1091" s="2">
        <f>Comuni__2[[#This Row],[Popolazione2011]]/$D$7911</f>
        <v>6.3695792797804801E-5</v>
      </c>
      <c r="F1091">
        <f>SUMIFS($D$2:$D$7909, $B$2:$B$7909, "Campania")</f>
        <v>5766810</v>
      </c>
      <c r="G1091" s="1">
        <f>Comuni__2[[#This Row],[Popolazione2011]]/Comuni__2[[#This Row],[POPOLAZIONE TOTALE DI OGNI REGIONE (CON FILTRO)]]</f>
        <v>6.5634206779831489E-4</v>
      </c>
      <c r="H1091" t="str">
        <f>IF(Comuni__2[[#This Row],[Popolazione2011]]&gt;300000,"MAGGIORE","")</f>
        <v/>
      </c>
      <c r="J1091">
        <v>639</v>
      </c>
      <c r="K1091">
        <v>7161</v>
      </c>
      <c r="L1091">
        <v>475</v>
      </c>
    </row>
    <row r="1092" spans="1:12" x14ac:dyDescent="0.2">
      <c r="A1092"/>
      <c r="B1092"/>
      <c r="C1092"/>
      <c r="D1092"/>
      <c r="E1092" s="2">
        <f>Comuni__2[[#This Row],[Popolazione2011]]/$D$7911</f>
        <v>6.3342394740009849E-5</v>
      </c>
      <c r="F1092">
        <f>SUMIFS($D$2:$D$7909, $B$2:$B$7909, "Campania")</f>
        <v>5766810</v>
      </c>
      <c r="G1092" s="1">
        <f>Comuni__2[[#This Row],[Popolazione2011]]/Comuni__2[[#This Row],[POPOLAZIONE TOTALE DI OGNI REGIONE (CON FILTRO)]]</f>
        <v>6.5270053981317223E-4</v>
      </c>
      <c r="H1092" t="str">
        <f>IF(Comuni__2[[#This Row],[Popolazione2011]]&gt;300000,"MAGGIORE","")</f>
        <v/>
      </c>
      <c r="J1092">
        <v>698</v>
      </c>
      <c r="K1092">
        <v>7229</v>
      </c>
      <c r="L1092">
        <v>477</v>
      </c>
    </row>
    <row r="1093" spans="1:12" x14ac:dyDescent="0.2">
      <c r="A1093"/>
      <c r="B1093"/>
      <c r="C1093"/>
      <c r="D1093"/>
      <c r="E1093" s="2">
        <f>Comuni__2[[#This Row],[Popolazione2011]]/$D$7911</f>
        <v>6.2399999919223305E-5</v>
      </c>
      <c r="F1093">
        <f>SUMIFS($D$2:$D$7909, $B$2:$B$7909, "Campania")</f>
        <v>5766810</v>
      </c>
      <c r="G1093" s="1">
        <f>Comuni__2[[#This Row],[Popolazione2011]]/Comuni__2[[#This Row],[POPOLAZIONE TOTALE DI OGNI REGIONE (CON FILTRO)]]</f>
        <v>6.4298979851945873E-4</v>
      </c>
      <c r="H1093" t="str">
        <f>IF(Comuni__2[[#This Row],[Popolazione2011]]&gt;300000,"MAGGIORE","")</f>
        <v/>
      </c>
      <c r="J1093">
        <v>725</v>
      </c>
      <c r="K1093">
        <v>7357</v>
      </c>
      <c r="L1093">
        <v>479</v>
      </c>
    </row>
    <row r="1094" spans="1:12" x14ac:dyDescent="0.2">
      <c r="A1094"/>
      <c r="B1094"/>
      <c r="C1094"/>
      <c r="D1094"/>
      <c r="E1094" s="2">
        <f>Comuni__2[[#This Row],[Popolazione2011]]/$D$7911</f>
        <v>6.223171512979713E-5</v>
      </c>
      <c r="F1094">
        <f>SUMIFS($D$2:$D$7909, $B$2:$B$7909, "Campania")</f>
        <v>5766810</v>
      </c>
      <c r="G1094" s="1">
        <f>Comuni__2[[#This Row],[Popolazione2011]]/Comuni__2[[#This Row],[POPOLAZIONE TOTALE DI OGNI REGIONE (CON FILTRO)]]</f>
        <v>6.4125573757415277E-4</v>
      </c>
      <c r="H1094" t="str">
        <f>IF(Comuni__2[[#This Row],[Popolazione2011]]&gt;300000,"MAGGIORE","")</f>
        <v/>
      </c>
      <c r="J1094">
        <v>749</v>
      </c>
      <c r="K1094">
        <v>7487</v>
      </c>
      <c r="L1094">
        <v>479</v>
      </c>
    </row>
    <row r="1095" spans="1:12" x14ac:dyDescent="0.2">
      <c r="A1095"/>
      <c r="B1095"/>
      <c r="C1095"/>
      <c r="D1095"/>
      <c r="E1095" s="2">
        <f>Comuni__2[[#This Row],[Popolazione2011]]/$D$7911</f>
        <v>6.1811003156231713E-5</v>
      </c>
      <c r="F1095">
        <f>SUMIFS($D$2:$D$7909, $B$2:$B$7909, "Campania")</f>
        <v>5766810</v>
      </c>
      <c r="G1095" s="1">
        <f>Comuni__2[[#This Row],[Popolazione2011]]/Comuni__2[[#This Row],[POPOLAZIONE TOTALE DI OGNI REGIONE (CON FILTRO)]]</f>
        <v>6.369205852108878E-4</v>
      </c>
      <c r="H1095" t="str">
        <f>IF(Comuni__2[[#This Row],[Popolazione2011]]&gt;300000,"MAGGIORE","")</f>
        <v/>
      </c>
      <c r="J1095">
        <v>756</v>
      </c>
      <c r="K1095">
        <v>7564</v>
      </c>
      <c r="L1095">
        <v>485</v>
      </c>
    </row>
    <row r="1096" spans="1:12" x14ac:dyDescent="0.2">
      <c r="A1096"/>
      <c r="B1096"/>
      <c r="C1096"/>
      <c r="D1096"/>
      <c r="E1096" s="2">
        <f>Comuni__2[[#This Row],[Popolazione2011]]/$D$7911</f>
        <v>6.150809053526461E-5</v>
      </c>
      <c r="F1096">
        <f>SUMIFS($D$2:$D$7909, $B$2:$B$7909, "Campania")</f>
        <v>5766810</v>
      </c>
      <c r="G1096" s="1">
        <f>Comuni__2[[#This Row],[Popolazione2011]]/Comuni__2[[#This Row],[POPOLAZIONE TOTALE DI OGNI REGIONE (CON FILTRO)]]</f>
        <v>6.3379927550933702E-4</v>
      </c>
      <c r="H1096" t="str">
        <f>IF(Comuni__2[[#This Row],[Popolazione2011]]&gt;300000,"MAGGIORE","")</f>
        <v/>
      </c>
      <c r="J1096">
        <v>796</v>
      </c>
      <c r="K1096">
        <v>7715</v>
      </c>
      <c r="L1096">
        <v>487</v>
      </c>
    </row>
    <row r="1097" spans="1:12" x14ac:dyDescent="0.2">
      <c r="A1097"/>
      <c r="B1097"/>
      <c r="C1097"/>
      <c r="D1097"/>
      <c r="E1097" s="2">
        <f>Comuni__2[[#This Row],[Popolazione2011]]/$D$7911</f>
        <v>6.1255663351125354E-5</v>
      </c>
      <c r="F1097">
        <f>SUMIFS($D$2:$D$7909, $B$2:$B$7909, "Campania")</f>
        <v>5766810</v>
      </c>
      <c r="G1097" s="1">
        <f>Comuni__2[[#This Row],[Popolazione2011]]/Comuni__2[[#This Row],[POPOLAZIONE TOTALE DI OGNI REGIONE (CON FILTRO)]]</f>
        <v>6.3119818409137812E-4</v>
      </c>
      <c r="H1097" t="str">
        <f>IF(Comuni__2[[#This Row],[Popolazione2011]]&gt;300000,"MAGGIORE","")</f>
        <v/>
      </c>
      <c r="J1097">
        <v>828</v>
      </c>
      <c r="K1097">
        <v>8032</v>
      </c>
      <c r="L1097">
        <v>496</v>
      </c>
    </row>
    <row r="1098" spans="1:12" x14ac:dyDescent="0.2">
      <c r="A1098"/>
      <c r="B1098"/>
      <c r="C1098"/>
      <c r="D1098"/>
      <c r="E1098" s="2">
        <f>Comuni__2[[#This Row],[Popolazione2011]]/$D$7911</f>
        <v>6.1020064645928722E-5</v>
      </c>
      <c r="F1098">
        <f>SUMIFS($D$2:$D$7909, $B$2:$B$7909, "Campania")</f>
        <v>5766810</v>
      </c>
      <c r="G1098" s="1">
        <f>Comuni__2[[#This Row],[Popolazione2011]]/Comuni__2[[#This Row],[POPOLAZIONE TOTALE DI OGNI REGIONE (CON FILTRO)]]</f>
        <v>6.2877049876794975E-4</v>
      </c>
      <c r="H1098" t="str">
        <f>IF(Comuni__2[[#This Row],[Popolazione2011]]&gt;300000,"MAGGIORE","")</f>
        <v/>
      </c>
      <c r="J1098">
        <v>853</v>
      </c>
      <c r="K1098">
        <v>8180</v>
      </c>
      <c r="L1098">
        <v>499</v>
      </c>
    </row>
    <row r="1099" spans="1:12" x14ac:dyDescent="0.2">
      <c r="A1099"/>
      <c r="B1099"/>
      <c r="C1099"/>
      <c r="D1099"/>
      <c r="E1099" s="2">
        <f>Comuni__2[[#This Row],[Popolazione2011]]/$D$7911</f>
        <v>6.0986407688043483E-5</v>
      </c>
      <c r="F1099">
        <f>SUMIFS($D$2:$D$7909, $B$2:$B$7909, "Campania")</f>
        <v>5766810</v>
      </c>
      <c r="G1099" s="1">
        <f>Comuni__2[[#This Row],[Popolazione2011]]/Comuni__2[[#This Row],[POPOLAZIONE TOTALE DI OGNI REGIONE (CON FILTRO)]]</f>
        <v>6.2842368657888849E-4</v>
      </c>
      <c r="H1099" t="str">
        <f>IF(Comuni__2[[#This Row],[Popolazione2011]]&gt;300000,"MAGGIORE","")</f>
        <v/>
      </c>
      <c r="J1099">
        <v>892</v>
      </c>
      <c r="K1099">
        <v>8254</v>
      </c>
      <c r="L1099">
        <v>499</v>
      </c>
    </row>
    <row r="1100" spans="1:12" x14ac:dyDescent="0.2">
      <c r="A1100"/>
      <c r="B1100"/>
      <c r="C1100"/>
      <c r="D1100"/>
      <c r="E1100" s="2">
        <f>Comuni__2[[#This Row],[Popolazione2011]]/$D$7911</f>
        <v>6.0717152024961618E-5</v>
      </c>
      <c r="F1100">
        <f>SUMIFS($D$2:$D$7909, $B$2:$B$7909, "Campania")</f>
        <v>5766810</v>
      </c>
      <c r="G1100" s="1">
        <f>Comuni__2[[#This Row],[Popolazione2011]]/Comuni__2[[#This Row],[POPOLAZIONE TOTALE DI OGNI REGIONE (CON FILTRO)]]</f>
        <v>6.2564918906639897E-4</v>
      </c>
      <c r="H1100" t="str">
        <f>IF(Comuni__2[[#This Row],[Popolazione2011]]&gt;300000,"MAGGIORE","")</f>
        <v/>
      </c>
      <c r="J1100">
        <v>927</v>
      </c>
      <c r="K1100">
        <v>8453</v>
      </c>
      <c r="L1100">
        <v>501</v>
      </c>
    </row>
    <row r="1101" spans="1:12" x14ac:dyDescent="0.2">
      <c r="A1101"/>
      <c r="B1101"/>
      <c r="C1101"/>
      <c r="D1101"/>
      <c r="E1101" s="2">
        <f>Comuni__2[[#This Row],[Popolazione2011]]/$D$7911</f>
        <v>6.063300963024853E-5</v>
      </c>
      <c r="F1101">
        <f>SUMIFS($D$2:$D$7909, $B$2:$B$7909, "Campania")</f>
        <v>5766810</v>
      </c>
      <c r="G1101" s="1">
        <f>Comuni__2[[#This Row],[Popolazione2011]]/Comuni__2[[#This Row],[POPOLAZIONE TOTALE DI OGNI REGIONE (CON FILTRO)]]</f>
        <v>6.2478215859374593E-4</v>
      </c>
      <c r="H1101" t="str">
        <f>IF(Comuni__2[[#This Row],[Popolazione2011]]&gt;300000,"MAGGIORE","")</f>
        <v/>
      </c>
      <c r="J1101">
        <v>969</v>
      </c>
      <c r="K1101">
        <v>8576</v>
      </c>
      <c r="L1101">
        <v>522</v>
      </c>
    </row>
    <row r="1102" spans="1:12" x14ac:dyDescent="0.2">
      <c r="A1102"/>
      <c r="B1102"/>
      <c r="C1102"/>
      <c r="D1102"/>
      <c r="E1102" s="2">
        <f>Comuni__2[[#This Row],[Popolazione2011]]/$D$7911</f>
        <v>6.0245954614568346E-5</v>
      </c>
      <c r="F1102">
        <f>SUMIFS($D$2:$D$7909, $B$2:$B$7909, "Campania")</f>
        <v>5766810</v>
      </c>
      <c r="G1102" s="1">
        <f>Comuni__2[[#This Row],[Popolazione2011]]/Comuni__2[[#This Row],[POPOLAZIONE TOTALE DI OGNI REGIONE (CON FILTRO)]]</f>
        <v>6.2079381841954222E-4</v>
      </c>
      <c r="H1102" t="str">
        <f>IF(Comuni__2[[#This Row],[Popolazione2011]]&gt;300000,"MAGGIORE","")</f>
        <v/>
      </c>
      <c r="J1102">
        <v>1037</v>
      </c>
      <c r="K1102">
        <v>8732</v>
      </c>
      <c r="L1102">
        <v>534</v>
      </c>
    </row>
    <row r="1103" spans="1:12" x14ac:dyDescent="0.2">
      <c r="A1103"/>
      <c r="B1103"/>
      <c r="C1103"/>
      <c r="D1103"/>
      <c r="E1103" s="2">
        <f>Comuni__2[[#This Row],[Popolazione2011]]/$D$7911</f>
        <v>5.9640129372634138E-5</v>
      </c>
      <c r="F1103">
        <f>SUMIFS($D$2:$D$7909, $B$2:$B$7909, "Campania")</f>
        <v>5766810</v>
      </c>
      <c r="G1103" s="1">
        <f>Comuni__2[[#This Row],[Popolazione2011]]/Comuni__2[[#This Row],[POPOLAZIONE TOTALE DI OGNI REGIONE (CON FILTRO)]]</f>
        <v>6.1455119901644066E-4</v>
      </c>
      <c r="H1103" t="str">
        <f>IF(Comuni__2[[#This Row],[Popolazione2011]]&gt;300000,"MAGGIORE","")</f>
        <v/>
      </c>
      <c r="J1103">
        <v>1081</v>
      </c>
      <c r="K1103">
        <v>8838</v>
      </c>
      <c r="L1103">
        <v>545</v>
      </c>
    </row>
    <row r="1104" spans="1:12" x14ac:dyDescent="0.2">
      <c r="A1104"/>
      <c r="B1104"/>
      <c r="C1104"/>
      <c r="D1104"/>
      <c r="E1104" s="2">
        <f>Comuni__2[[#This Row],[Popolazione2011]]/$D$7911</f>
        <v>5.9522330020035819E-5</v>
      </c>
      <c r="F1104">
        <f>SUMIFS($D$2:$D$7909, $B$2:$B$7909, "Campania")</f>
        <v>5766810</v>
      </c>
      <c r="G1104" s="1">
        <f>Comuni__2[[#This Row],[Popolazione2011]]/Comuni__2[[#This Row],[POPOLAZIONE TOTALE DI OGNI REGIONE (CON FILTRO)]]</f>
        <v>6.1333735635472647E-4</v>
      </c>
      <c r="H1104" t="str">
        <f>IF(Comuni__2[[#This Row],[Popolazione2011]]&gt;300000,"MAGGIORE","")</f>
        <v/>
      </c>
      <c r="J1104">
        <v>1131</v>
      </c>
      <c r="K1104">
        <v>8913</v>
      </c>
      <c r="L1104">
        <v>551</v>
      </c>
    </row>
    <row r="1105" spans="1:12" x14ac:dyDescent="0.2">
      <c r="A1105"/>
      <c r="B1105"/>
      <c r="C1105"/>
      <c r="D1105"/>
      <c r="E1105" s="2">
        <f>Comuni__2[[#This Row],[Popolazione2011]]/$D$7911</f>
        <v>5.9051132609642547E-5</v>
      </c>
      <c r="F1105">
        <f>SUMIFS($D$2:$D$7909, $B$2:$B$7909, "Campania")</f>
        <v>5766810</v>
      </c>
      <c r="G1105" s="1">
        <f>Comuni__2[[#This Row],[Popolazione2011]]/Comuni__2[[#This Row],[POPOLAZIONE TOTALE DI OGNI REGIONE (CON FILTRO)]]</f>
        <v>6.0848198570786973E-4</v>
      </c>
      <c r="H1105" t="str">
        <f>IF(Comuni__2[[#This Row],[Popolazione2011]]&gt;300000,"MAGGIORE","")</f>
        <v/>
      </c>
      <c r="J1105">
        <v>1188</v>
      </c>
      <c r="K1105">
        <v>9107</v>
      </c>
      <c r="L1105">
        <v>563</v>
      </c>
    </row>
    <row r="1106" spans="1:12" x14ac:dyDescent="0.2">
      <c r="A1106"/>
      <c r="B1106"/>
      <c r="C1106"/>
      <c r="D1106"/>
      <c r="E1106" s="2">
        <f>Comuni__2[[#This Row],[Popolazione2011]]/$D$7911</f>
        <v>5.7923624520487219E-5</v>
      </c>
      <c r="F1106">
        <f>SUMIFS($D$2:$D$7909, $B$2:$B$7909, "Campania")</f>
        <v>5766810</v>
      </c>
      <c r="G1106" s="1">
        <f>Comuni__2[[#This Row],[Popolazione2011]]/Comuni__2[[#This Row],[POPOLAZIONE TOTALE DI OGNI REGIONE (CON FILTRO)]]</f>
        <v>5.9686377737431964E-4</v>
      </c>
      <c r="H1106" t="str">
        <f>IF(Comuni__2[[#This Row],[Popolazione2011]]&gt;300000,"MAGGIORE","")</f>
        <v/>
      </c>
      <c r="J1106">
        <v>1226</v>
      </c>
      <c r="K1106">
        <v>9149</v>
      </c>
      <c r="L1106">
        <v>571</v>
      </c>
    </row>
    <row r="1107" spans="1:12" x14ac:dyDescent="0.2">
      <c r="A1107"/>
      <c r="B1107"/>
      <c r="C1107"/>
      <c r="D1107"/>
      <c r="E1107" s="2">
        <f>Comuni__2[[#This Row],[Popolazione2011]]/$D$7911</f>
        <v>5.7873139083659364E-5</v>
      </c>
      <c r="F1107">
        <f>SUMIFS($D$2:$D$7909, $B$2:$B$7909, "Campania")</f>
        <v>5766810</v>
      </c>
      <c r="G1107" s="1">
        <f>Comuni__2[[#This Row],[Popolazione2011]]/Comuni__2[[#This Row],[POPOLAZIONE TOTALE DI OGNI REGIONE (CON FILTRO)]]</f>
        <v>5.9634355909072775E-4</v>
      </c>
      <c r="H1107" t="str">
        <f>IF(Comuni__2[[#This Row],[Popolazione2011]]&gt;300000,"MAGGIORE","")</f>
        <v/>
      </c>
      <c r="J1107">
        <v>1264</v>
      </c>
      <c r="K1107">
        <v>9322</v>
      </c>
      <c r="L1107">
        <v>571</v>
      </c>
    </row>
    <row r="1108" spans="1:12" x14ac:dyDescent="0.2">
      <c r="A1108"/>
      <c r="B1108"/>
      <c r="C1108"/>
      <c r="D1108"/>
      <c r="E1108" s="2">
        <f>Comuni__2[[#This Row],[Popolazione2011]]/$D$7911</f>
        <v>5.7587054941634883E-5</v>
      </c>
      <c r="F1108">
        <f>SUMIFS($D$2:$D$7909, $B$2:$B$7909, "Campania")</f>
        <v>5766810</v>
      </c>
      <c r="G1108" s="1">
        <f>Comuni__2[[#This Row],[Popolazione2011]]/Comuni__2[[#This Row],[POPOLAZIONE TOTALE DI OGNI REGIONE (CON FILTRO)]]</f>
        <v>5.933956554837076E-4</v>
      </c>
      <c r="H1108" t="str">
        <f>IF(Comuni__2[[#This Row],[Popolazione2011]]&gt;300000,"MAGGIORE","")</f>
        <v/>
      </c>
      <c r="J1108">
        <v>1314</v>
      </c>
      <c r="K1108">
        <v>9332</v>
      </c>
      <c r="L1108">
        <v>587</v>
      </c>
    </row>
    <row r="1109" spans="1:12" x14ac:dyDescent="0.2">
      <c r="A1109"/>
      <c r="B1109"/>
      <c r="C1109"/>
      <c r="D1109"/>
      <c r="E1109" s="2">
        <f>Comuni__2[[#This Row],[Popolazione2011]]/$D$7911</f>
        <v>5.7536569504807028E-5</v>
      </c>
      <c r="F1109">
        <f>SUMIFS($D$2:$D$7909, $B$2:$B$7909, "Campania")</f>
        <v>5766810</v>
      </c>
      <c r="G1109" s="1">
        <f>Comuni__2[[#This Row],[Popolazione2011]]/Comuni__2[[#This Row],[POPOLAZIONE TOTALE DI OGNI REGIONE (CON FILTRO)]]</f>
        <v>5.9287543720011582E-4</v>
      </c>
      <c r="H1109" t="str">
        <f>IF(Comuni__2[[#This Row],[Popolazione2011]]&gt;300000,"MAGGIORE","")</f>
        <v/>
      </c>
      <c r="J1109">
        <v>1350</v>
      </c>
      <c r="K1109">
        <v>9907</v>
      </c>
      <c r="L1109">
        <v>607</v>
      </c>
    </row>
    <row r="1110" spans="1:12" x14ac:dyDescent="0.2">
      <c r="A1110"/>
      <c r="B1110"/>
      <c r="C1110"/>
      <c r="D1110"/>
      <c r="E1110" s="2">
        <f>Comuni__2[[#This Row],[Popolazione2011]]/$D$7911</f>
        <v>5.7233656883839924E-5</v>
      </c>
      <c r="F1110">
        <f>SUMIFS($D$2:$D$7909, $B$2:$B$7909, "Campania")</f>
        <v>5766810</v>
      </c>
      <c r="G1110" s="1">
        <f>Comuni__2[[#This Row],[Popolazione2011]]/Comuni__2[[#This Row],[POPOLAZIONE TOTALE DI OGNI REGIONE (CON FILTRO)]]</f>
        <v>5.8975412749856504E-4</v>
      </c>
      <c r="H1110" t="str">
        <f>IF(Comuni__2[[#This Row],[Popolazione2011]]&gt;300000,"MAGGIORE","")</f>
        <v/>
      </c>
      <c r="J1110">
        <v>1395</v>
      </c>
      <c r="K1110">
        <v>10272</v>
      </c>
      <c r="L1110">
        <v>624</v>
      </c>
    </row>
    <row r="1111" spans="1:12" x14ac:dyDescent="0.2">
      <c r="A1111"/>
      <c r="B1111"/>
      <c r="C1111"/>
      <c r="D1111"/>
      <c r="E1111" s="2">
        <f>Comuni__2[[#This Row],[Popolazione2011]]/$D$7911</f>
        <v>5.6796116431331891E-5</v>
      </c>
      <c r="F1111">
        <f>SUMIFS($D$2:$D$7909, $B$2:$B$7909, "Campania")</f>
        <v>5766810</v>
      </c>
      <c r="G1111" s="1">
        <f>Comuni__2[[#This Row],[Popolazione2011]]/Comuni__2[[#This Row],[POPOLAZIONE TOTALE DI OGNI REGIONE (CON FILTRO)]]</f>
        <v>5.8524556904076955E-4</v>
      </c>
      <c r="H1111" t="str">
        <f>IF(Comuni__2[[#This Row],[Popolazione2011]]&gt;300000,"MAGGIORE","")</f>
        <v/>
      </c>
      <c r="J1111">
        <v>1461</v>
      </c>
      <c r="K1111">
        <v>10537</v>
      </c>
      <c r="L1111">
        <v>644</v>
      </c>
    </row>
    <row r="1112" spans="1:12" x14ac:dyDescent="0.2">
      <c r="A1112"/>
      <c r="B1112"/>
      <c r="C1112"/>
      <c r="D1112"/>
      <c r="E1112" s="2">
        <f>Comuni__2[[#This Row],[Popolazione2011]]/$D$7911</f>
        <v>5.6644660120848339E-5</v>
      </c>
      <c r="F1112">
        <f>SUMIFS($D$2:$D$7909, $B$2:$B$7909, "Campania")</f>
        <v>5766810</v>
      </c>
      <c r="G1112" s="1">
        <f>Comuni__2[[#This Row],[Popolazione2011]]/Comuni__2[[#This Row],[POPOLAZIONE TOTALE DI OGNI REGIONE (CON FILTRO)]]</f>
        <v>5.8368491418999411E-4</v>
      </c>
      <c r="H1112" t="str">
        <f>IF(Comuni__2[[#This Row],[Popolazione2011]]&gt;300000,"MAGGIORE","")</f>
        <v/>
      </c>
      <c r="J1112">
        <v>1546</v>
      </c>
      <c r="K1112">
        <v>11062</v>
      </c>
      <c r="L1112">
        <v>659</v>
      </c>
    </row>
    <row r="1113" spans="1:12" x14ac:dyDescent="0.2">
      <c r="A1113"/>
      <c r="B1113"/>
      <c r="C1113"/>
      <c r="D1113"/>
      <c r="E1113" s="2">
        <f>Comuni__2[[#This Row],[Popolazione2011]]/$D$7911</f>
        <v>5.6156634231512444E-5</v>
      </c>
      <c r="F1113">
        <f>SUMIFS($D$2:$D$7909, $B$2:$B$7909, "Campania")</f>
        <v>5766810</v>
      </c>
      <c r="G1113" s="1">
        <f>Comuni__2[[#This Row],[Popolazione2011]]/Comuni__2[[#This Row],[POPOLAZIONE TOTALE DI OGNI REGIONE (CON FILTRO)]]</f>
        <v>5.7865613744860673E-4</v>
      </c>
      <c r="H1113" t="str">
        <f>IF(Comuni__2[[#This Row],[Popolazione2011]]&gt;300000,"MAGGIORE","")</f>
        <v/>
      </c>
      <c r="J1113">
        <v>1571</v>
      </c>
      <c r="K1113">
        <v>11337</v>
      </c>
      <c r="L1113">
        <v>673</v>
      </c>
    </row>
    <row r="1114" spans="1:12" x14ac:dyDescent="0.2">
      <c r="A1114"/>
      <c r="B1114"/>
      <c r="C1114"/>
      <c r="D1114"/>
      <c r="E1114" s="2">
        <f>Comuni__2[[#This Row],[Popolazione2011]]/$D$7911</f>
        <v>5.5550808989578244E-5</v>
      </c>
      <c r="F1114">
        <f>SUMIFS($D$2:$D$7909, $B$2:$B$7909, "Campania")</f>
        <v>5766810</v>
      </c>
      <c r="G1114" s="1">
        <f>Comuni__2[[#This Row],[Popolazione2011]]/Comuni__2[[#This Row],[POPOLAZIONE TOTALE DI OGNI REGIONE (CON FILTRO)]]</f>
        <v>5.7241351804550528E-4</v>
      </c>
      <c r="H1114" t="str">
        <f>IF(Comuni__2[[#This Row],[Popolazione2011]]&gt;300000,"MAGGIORE","")</f>
        <v/>
      </c>
      <c r="J1114">
        <v>1586</v>
      </c>
      <c r="K1114">
        <v>11746</v>
      </c>
      <c r="L1114">
        <v>676</v>
      </c>
    </row>
    <row r="1115" spans="1:12" x14ac:dyDescent="0.2">
      <c r="A1115"/>
      <c r="B1115"/>
      <c r="C1115"/>
      <c r="D1115"/>
      <c r="E1115" s="2">
        <f>Comuni__2[[#This Row],[Popolazione2011]]/$D$7911</f>
        <v>5.5096440058127588E-5</v>
      </c>
      <c r="F1115">
        <f>SUMIFS($D$2:$D$7909, $B$2:$B$7909, "Campania")</f>
        <v>5766810</v>
      </c>
      <c r="G1115" s="1">
        <f>Comuni__2[[#This Row],[Popolazione2011]]/Comuni__2[[#This Row],[POPOLAZIONE TOTALE DI OGNI REGIONE (CON FILTRO)]]</f>
        <v>5.6773155349317905E-4</v>
      </c>
      <c r="H1115" t="str">
        <f>IF(Comuni__2[[#This Row],[Popolazione2011]]&gt;300000,"MAGGIORE","")</f>
        <v/>
      </c>
      <c r="J1115">
        <v>1657</v>
      </c>
      <c r="K1115">
        <v>12991</v>
      </c>
      <c r="L1115">
        <v>700</v>
      </c>
    </row>
    <row r="1116" spans="1:12" x14ac:dyDescent="0.2">
      <c r="A1116"/>
      <c r="B1116"/>
      <c r="C1116"/>
      <c r="D1116"/>
      <c r="E1116" s="2">
        <f>Comuni__2[[#This Row],[Popolazione2011]]/$D$7911</f>
        <v>5.5062783100242349E-5</v>
      </c>
      <c r="F1116">
        <f>SUMIFS($D$2:$D$7909, $B$2:$B$7909, "Campania")</f>
        <v>5766810</v>
      </c>
      <c r="G1116" s="1">
        <f>Comuni__2[[#This Row],[Popolazione2011]]/Comuni__2[[#This Row],[POPOLAZIONE TOTALE DI OGNI REGIONE (CON FILTRO)]]</f>
        <v>5.673847413041179E-4</v>
      </c>
      <c r="H1116" t="str">
        <f>IF(Comuni__2[[#This Row],[Popolazione2011]]&gt;300000,"MAGGIORE","")</f>
        <v/>
      </c>
      <c r="J1116">
        <v>1724</v>
      </c>
      <c r="K1116">
        <v>13989</v>
      </c>
      <c r="L1116">
        <v>724</v>
      </c>
    </row>
    <row r="1117" spans="1:12" x14ac:dyDescent="0.2">
      <c r="A1117"/>
      <c r="B1117"/>
      <c r="C1117"/>
      <c r="D1117"/>
      <c r="E1117" s="2">
        <f>Comuni__2[[#This Row],[Popolazione2011]]/$D$7911</f>
        <v>5.4827184395045716E-5</v>
      </c>
      <c r="F1117">
        <f>SUMIFS($D$2:$D$7909, $B$2:$B$7909, "Campania")</f>
        <v>5766810</v>
      </c>
      <c r="G1117" s="1">
        <f>Comuni__2[[#This Row],[Popolazione2011]]/Comuni__2[[#This Row],[POPOLAZIONE TOTALE DI OGNI REGIONE (CON FILTRO)]]</f>
        <v>5.6495705598068953E-4</v>
      </c>
      <c r="H1117" t="str">
        <f>IF(Comuni__2[[#This Row],[Popolazione2011]]&gt;300000,"MAGGIORE","")</f>
        <v/>
      </c>
      <c r="J1117">
        <v>1744</v>
      </c>
      <c r="K1117">
        <v>14386</v>
      </c>
      <c r="L1117">
        <v>739</v>
      </c>
    </row>
    <row r="1118" spans="1:12" x14ac:dyDescent="0.2">
      <c r="A1118"/>
      <c r="B1118"/>
      <c r="C1118"/>
      <c r="D1118"/>
      <c r="E1118" s="2">
        <f>Comuni__2[[#This Row],[Popolazione2011]]/$D$7911</f>
        <v>5.449061481619338E-5</v>
      </c>
      <c r="F1118">
        <f>SUMIFS($D$2:$D$7909, $B$2:$B$7909, "Campania")</f>
        <v>5766810</v>
      </c>
      <c r="G1118" s="1">
        <f>Comuni__2[[#This Row],[Popolazione2011]]/Comuni__2[[#This Row],[POPOLAZIONE TOTALE DI OGNI REGIONE (CON FILTRO)]]</f>
        <v>5.6148893409007749E-4</v>
      </c>
      <c r="H1118" t="str">
        <f>IF(Comuni__2[[#This Row],[Popolazione2011]]&gt;300000,"MAGGIORE","")</f>
        <v/>
      </c>
      <c r="J1118">
        <v>1782</v>
      </c>
      <c r="K1118">
        <v>14697</v>
      </c>
      <c r="L1118">
        <v>756</v>
      </c>
    </row>
    <row r="1119" spans="1:12" x14ac:dyDescent="0.2">
      <c r="A1119"/>
      <c r="B1119"/>
      <c r="C1119"/>
      <c r="D1119"/>
      <c r="E1119" s="2">
        <f>Comuni__2[[#This Row],[Popolazione2011]]/$D$7911</f>
        <v>5.4473786337250764E-5</v>
      </c>
      <c r="F1119">
        <f>SUMIFS($D$2:$D$7909, $B$2:$B$7909, "Campania")</f>
        <v>5766810</v>
      </c>
      <c r="G1119" s="1">
        <f>Comuni__2[[#This Row],[Popolazione2011]]/Comuni__2[[#This Row],[POPOLAZIONE TOTALE DI OGNI REGIONE (CON FILTRO)]]</f>
        <v>5.6131552799554697E-4</v>
      </c>
      <c r="H1119" t="str">
        <f>IF(Comuni__2[[#This Row],[Popolazione2011]]&gt;300000,"MAGGIORE","")</f>
        <v/>
      </c>
      <c r="J1119">
        <v>1857</v>
      </c>
      <c r="K1119">
        <v>15017</v>
      </c>
      <c r="L1119">
        <v>796</v>
      </c>
    </row>
    <row r="1120" spans="1:12" x14ac:dyDescent="0.2">
      <c r="A1120"/>
      <c r="B1120"/>
      <c r="C1120"/>
      <c r="D1120"/>
      <c r="E1120" s="2">
        <f>Comuni__2[[#This Row],[Popolazione2011]]/$D$7911</f>
        <v>5.4423300900422909E-5</v>
      </c>
      <c r="F1120">
        <f>SUMIFS($D$2:$D$7909, $B$2:$B$7909, "Campania")</f>
        <v>5766810</v>
      </c>
      <c r="G1120" s="1">
        <f>Comuni__2[[#This Row],[Popolazione2011]]/Comuni__2[[#This Row],[POPOLAZIONE TOTALE DI OGNI REGIONE (CON FILTRO)]]</f>
        <v>5.6079530971195508E-4</v>
      </c>
      <c r="H1120" t="str">
        <f>IF(Comuni__2[[#This Row],[Popolazione2011]]&gt;300000,"MAGGIORE","")</f>
        <v/>
      </c>
      <c r="J1120">
        <v>1935</v>
      </c>
      <c r="K1120">
        <v>16001</v>
      </c>
      <c r="L1120">
        <v>811</v>
      </c>
    </row>
    <row r="1121" spans="1:12" x14ac:dyDescent="0.2">
      <c r="A1121"/>
      <c r="B1121"/>
      <c r="C1121"/>
      <c r="D1121"/>
      <c r="E1121" s="2">
        <f>Comuni__2[[#This Row],[Popolazione2011]]/$D$7911</f>
        <v>5.3278964332324965E-5</v>
      </c>
      <c r="F1121">
        <f>SUMIFS($D$2:$D$7909, $B$2:$B$7909, "Campania")</f>
        <v>5766810</v>
      </c>
      <c r="G1121" s="1">
        <f>Comuni__2[[#This Row],[Popolazione2011]]/Comuni__2[[#This Row],[POPOLAZIONE TOTALE DI OGNI REGIONE (CON FILTRO)]]</f>
        <v>5.4900369528387448E-4</v>
      </c>
      <c r="H1121" t="str">
        <f>IF(Comuni__2[[#This Row],[Popolazione2011]]&gt;300000,"MAGGIORE","")</f>
        <v/>
      </c>
      <c r="J1121">
        <v>2003</v>
      </c>
      <c r="K1121">
        <v>16441</v>
      </c>
      <c r="L1121">
        <v>826</v>
      </c>
    </row>
    <row r="1122" spans="1:12" x14ac:dyDescent="0.2">
      <c r="A1122"/>
      <c r="B1122"/>
      <c r="C1122"/>
      <c r="D1122"/>
      <c r="E1122" s="2">
        <f>Comuni__2[[#This Row],[Popolazione2011]]/$D$7911</f>
        <v>5.3245307374439733E-5</v>
      </c>
      <c r="F1122">
        <f>SUMIFS($D$2:$D$7909, $B$2:$B$7909, "Campania")</f>
        <v>5766810</v>
      </c>
      <c r="G1122" s="1">
        <f>Comuni__2[[#This Row],[Popolazione2011]]/Comuni__2[[#This Row],[POPOLAZIONE TOTALE DI OGNI REGIONE (CON FILTRO)]]</f>
        <v>5.4865688309481322E-4</v>
      </c>
      <c r="H1122" t="str">
        <f>IF(Comuni__2[[#This Row],[Popolazione2011]]&gt;300000,"MAGGIORE","")</f>
        <v/>
      </c>
      <c r="J1122">
        <v>2140</v>
      </c>
      <c r="K1122">
        <v>16875</v>
      </c>
      <c r="L1122">
        <v>844</v>
      </c>
    </row>
    <row r="1123" spans="1:12" x14ac:dyDescent="0.2">
      <c r="A1123"/>
      <c r="B1123"/>
      <c r="C1123"/>
      <c r="D1123"/>
      <c r="E1123" s="2">
        <f>Comuni__2[[#This Row],[Popolazione2011]]/$D$7911</f>
        <v>5.2824595400874309E-5</v>
      </c>
      <c r="F1123">
        <f>SUMIFS($D$2:$D$7909, $B$2:$B$7909, "Campania")</f>
        <v>5766810</v>
      </c>
      <c r="G1123" s="1">
        <f>Comuni__2[[#This Row],[Popolazione2011]]/Comuni__2[[#This Row],[POPOLAZIONE TOTALE DI OGNI REGIONE (CON FILTRO)]]</f>
        <v>5.4432173073154825E-4</v>
      </c>
      <c r="H1123" t="str">
        <f>IF(Comuni__2[[#This Row],[Popolazione2011]]&gt;300000,"MAGGIORE","")</f>
        <v/>
      </c>
      <c r="J1123">
        <v>2254</v>
      </c>
      <c r="K1123">
        <v>17665</v>
      </c>
      <c r="L1123">
        <v>862</v>
      </c>
    </row>
    <row r="1124" spans="1:12" x14ac:dyDescent="0.2">
      <c r="A1124"/>
      <c r="B1124"/>
      <c r="C1124"/>
      <c r="D1124"/>
      <c r="E1124" s="2">
        <f>Comuni__2[[#This Row],[Popolazione2011]]/$D$7911</f>
        <v>5.1848543622202533E-5</v>
      </c>
      <c r="F1124">
        <f>SUMIFS($D$2:$D$7909, $B$2:$B$7909, "Campania")</f>
        <v>5766810</v>
      </c>
      <c r="G1124" s="1">
        <f>Comuni__2[[#This Row],[Popolazione2011]]/Comuni__2[[#This Row],[POPOLAZIONE TOTALE DI OGNI REGIONE (CON FILTRO)]]</f>
        <v>5.3426417724877361E-4</v>
      </c>
      <c r="H1124" t="str">
        <f>IF(Comuni__2[[#This Row],[Popolazione2011]]&gt;300000,"MAGGIORE","")</f>
        <v/>
      </c>
      <c r="J1124">
        <v>2258</v>
      </c>
      <c r="K1124">
        <v>18355</v>
      </c>
      <c r="L1124">
        <v>896</v>
      </c>
    </row>
    <row r="1125" spans="1:12" x14ac:dyDescent="0.2">
      <c r="A1125"/>
      <c r="B1125"/>
      <c r="C1125"/>
      <c r="D1125"/>
      <c r="E1125" s="2">
        <f>Comuni__2[[#This Row],[Popolazione2011]]/$D$7911</f>
        <v>5.1326860774981413E-5</v>
      </c>
      <c r="F1125">
        <f>SUMIFS($D$2:$D$7909, $B$2:$B$7909, "Campania")</f>
        <v>5766810</v>
      </c>
      <c r="G1125" s="1">
        <f>Comuni__2[[#This Row],[Popolazione2011]]/Comuni__2[[#This Row],[POPOLAZIONE TOTALE DI OGNI REGIONE (CON FILTRO)]]</f>
        <v>5.2888858831832508E-4</v>
      </c>
      <c r="H1125" t="str">
        <f>IF(Comuni__2[[#This Row],[Popolazione2011]]&gt;300000,"MAGGIORE","")</f>
        <v/>
      </c>
      <c r="J1125">
        <v>2136</v>
      </c>
      <c r="K1125">
        <v>19000</v>
      </c>
      <c r="L1125">
        <v>927</v>
      </c>
    </row>
    <row r="1126" spans="1:12" x14ac:dyDescent="0.2">
      <c r="A1126"/>
      <c r="B1126"/>
      <c r="C1126"/>
      <c r="D1126"/>
      <c r="E1126" s="2">
        <f>Comuni__2[[#This Row],[Popolazione2011]]/$D$7911</f>
        <v>5.1242718380268326E-5</v>
      </c>
      <c r="F1126">
        <f>SUMIFS($D$2:$D$7909, $B$2:$B$7909, "Campania")</f>
        <v>5766810</v>
      </c>
      <c r="G1126" s="1">
        <f>Comuni__2[[#This Row],[Popolazione2011]]/Comuni__2[[#This Row],[POPOLAZIONE TOTALE DI OGNI REGIONE (CON FILTRO)]]</f>
        <v>5.2802155784567205E-4</v>
      </c>
      <c r="H1126" t="str">
        <f>IF(Comuni__2[[#This Row],[Popolazione2011]]&gt;300000,"MAGGIORE","")</f>
        <v/>
      </c>
      <c r="J1126">
        <v>2336</v>
      </c>
      <c r="K1126">
        <v>19878</v>
      </c>
      <c r="L1126">
        <v>967</v>
      </c>
    </row>
    <row r="1127" spans="1:12" x14ac:dyDescent="0.2">
      <c r="A1127"/>
      <c r="B1127"/>
      <c r="C1127"/>
      <c r="D1127"/>
      <c r="E1127" s="2">
        <f>Comuni__2[[#This Row],[Popolazione2011]]/$D$7911</f>
        <v>5.078834944881767E-5</v>
      </c>
      <c r="F1127">
        <f>SUMIFS($D$2:$D$7909, $B$2:$B$7909, "Campania")</f>
        <v>5766810</v>
      </c>
      <c r="G1127" s="1">
        <f>Comuni__2[[#This Row],[Popolazione2011]]/Comuni__2[[#This Row],[POPOLAZIONE TOTALE DI OGNI REGIONE (CON FILTRO)]]</f>
        <v>5.2333959329334593E-4</v>
      </c>
      <c r="H1127" t="str">
        <f>IF(Comuni__2[[#This Row],[Popolazione2011]]&gt;300000,"MAGGIORE","")</f>
        <v/>
      </c>
      <c r="J1127">
        <v>2264</v>
      </c>
      <c r="K1127">
        <v>21176</v>
      </c>
      <c r="L1127">
        <v>994</v>
      </c>
    </row>
    <row r="1128" spans="1:12" x14ac:dyDescent="0.2">
      <c r="A1128"/>
      <c r="B1128"/>
      <c r="C1128"/>
      <c r="D1128"/>
      <c r="E1128" s="2">
        <f>Comuni__2[[#This Row],[Popolazione2011]]/$D$7911</f>
        <v>5.0569579222563654E-5</v>
      </c>
      <c r="F1128">
        <f>SUMIFS($D$2:$D$7909, $B$2:$B$7909, "Campania")</f>
        <v>5766810</v>
      </c>
      <c r="G1128" s="1">
        <f>Comuni__2[[#This Row],[Popolazione2011]]/Comuni__2[[#This Row],[POPOLAZIONE TOTALE DI OGNI REGIONE (CON FILTRO)]]</f>
        <v>5.2108531406444808E-4</v>
      </c>
      <c r="H1128" t="str">
        <f>IF(Comuni__2[[#This Row],[Popolazione2011]]&gt;300000,"MAGGIORE","")</f>
        <v/>
      </c>
      <c r="J1128">
        <v>2418</v>
      </c>
      <c r="K1128">
        <v>21901</v>
      </c>
      <c r="L1128">
        <v>1029</v>
      </c>
    </row>
    <row r="1129" spans="1:12" x14ac:dyDescent="0.2">
      <c r="A1129"/>
      <c r="B1129"/>
      <c r="C1129"/>
      <c r="D1129"/>
      <c r="E1129" s="2">
        <f>Comuni__2[[#This Row],[Popolazione2011]]/$D$7911</f>
        <v>5.0569579222563654E-5</v>
      </c>
      <c r="F1129">
        <f>SUMIFS($D$2:$D$7909, $B$2:$B$7909, "Campania")</f>
        <v>5766810</v>
      </c>
      <c r="G1129" s="1">
        <f>Comuni__2[[#This Row],[Popolazione2011]]/Comuni__2[[#This Row],[POPOLAZIONE TOTALE DI OGNI REGIONE (CON FILTRO)]]</f>
        <v>5.2108531406444808E-4</v>
      </c>
      <c r="H1129" t="str">
        <f>IF(Comuni__2[[#This Row],[Popolazione2011]]&gt;300000,"MAGGIORE","")</f>
        <v/>
      </c>
      <c r="J1129">
        <v>2382</v>
      </c>
      <c r="K1129">
        <v>22686</v>
      </c>
      <c r="L1129">
        <v>1066</v>
      </c>
    </row>
    <row r="1130" spans="1:12" x14ac:dyDescent="0.2">
      <c r="A1130"/>
      <c r="B1130"/>
      <c r="C1130"/>
      <c r="D1130"/>
      <c r="E1130" s="2">
        <f>Comuni__2[[#This Row],[Popolazione2011]]/$D$7911</f>
        <v>5.0115210291112998E-5</v>
      </c>
      <c r="F1130">
        <f>SUMIFS($D$2:$D$7909, $B$2:$B$7909, "Campania")</f>
        <v>5766810</v>
      </c>
      <c r="G1130" s="1">
        <f>Comuni__2[[#This Row],[Popolazione2011]]/Comuni__2[[#This Row],[POPOLAZIONE TOTALE DI OGNI REGIONE (CON FILTRO)]]</f>
        <v>5.1640334951212196E-4</v>
      </c>
      <c r="H1130" t="str">
        <f>IF(Comuni__2[[#This Row],[Popolazione2011]]&gt;300000,"MAGGIORE","")</f>
        <v/>
      </c>
      <c r="J1130">
        <v>2437</v>
      </c>
      <c r="K1130">
        <v>24474</v>
      </c>
      <c r="L1130">
        <v>1085</v>
      </c>
    </row>
    <row r="1131" spans="1:12" x14ac:dyDescent="0.2">
      <c r="A1131"/>
      <c r="B1131"/>
      <c r="C1131"/>
      <c r="D1131"/>
      <c r="E1131" s="2">
        <f>Comuni__2[[#This Row],[Popolazione2011]]/$D$7911</f>
        <v>4.930744330186739E-5</v>
      </c>
      <c r="F1131">
        <f>SUMIFS($D$2:$D$7909, $B$2:$B$7909, "Campania")</f>
        <v>5766810</v>
      </c>
      <c r="G1131" s="1">
        <f>Comuni__2[[#This Row],[Popolazione2011]]/Comuni__2[[#This Row],[POPOLAZIONE TOTALE DI OGNI REGIONE (CON FILTRO)]]</f>
        <v>5.0807985697465328E-4</v>
      </c>
      <c r="H1131" t="str">
        <f>IF(Comuni__2[[#This Row],[Popolazione2011]]&gt;300000,"MAGGIORE","")</f>
        <v/>
      </c>
      <c r="J1131">
        <v>2459</v>
      </c>
      <c r="K1131">
        <v>25643</v>
      </c>
      <c r="L1131">
        <v>1160</v>
      </c>
    </row>
    <row r="1132" spans="1:12" x14ac:dyDescent="0.2">
      <c r="A1132"/>
      <c r="B1132"/>
      <c r="C1132"/>
      <c r="D1132"/>
      <c r="E1132" s="2">
        <f>Comuni__2[[#This Row],[Popolazione2011]]/$D$7911</f>
        <v>4.9139158512441222E-5</v>
      </c>
      <c r="F1132">
        <f>SUMIFS($D$2:$D$7909, $B$2:$B$7909, "Campania")</f>
        <v>5766810</v>
      </c>
      <c r="G1132" s="1">
        <f>Comuni__2[[#This Row],[Popolazione2011]]/Comuni__2[[#This Row],[POPOLAZIONE TOTALE DI OGNI REGIONE (CON FILTRO)]]</f>
        <v>5.0634579602934721E-4</v>
      </c>
      <c r="H1132" t="str">
        <f>IF(Comuni__2[[#This Row],[Popolazione2011]]&gt;300000,"MAGGIORE","")</f>
        <v/>
      </c>
      <c r="J1132">
        <v>2481</v>
      </c>
      <c r="K1132">
        <v>27898</v>
      </c>
      <c r="L1132">
        <v>1192</v>
      </c>
    </row>
    <row r="1133" spans="1:12" x14ac:dyDescent="0.2">
      <c r="A1133"/>
      <c r="B1133"/>
      <c r="C1133"/>
      <c r="D1133"/>
      <c r="E1133" s="2">
        <f>Comuni__2[[#This Row],[Popolazione2011]]/$D$7911</f>
        <v>4.8432362396851311E-5</v>
      </c>
      <c r="F1133">
        <f>SUMIFS($D$2:$D$7909, $B$2:$B$7909, "Campania")</f>
        <v>5766810</v>
      </c>
      <c r="G1133" s="1">
        <f>Comuni__2[[#This Row],[Popolazione2011]]/Comuni__2[[#This Row],[POPOLAZIONE TOTALE DI OGNI REGIONE (CON FILTRO)]]</f>
        <v>4.9906274005906209E-4</v>
      </c>
      <c r="H1133" t="str">
        <f>IF(Comuni__2[[#This Row],[Popolazione2011]]&gt;300000,"MAGGIORE","")</f>
        <v/>
      </c>
      <c r="J1133">
        <v>2445</v>
      </c>
      <c r="K1133">
        <v>29293</v>
      </c>
      <c r="L1133">
        <v>1217</v>
      </c>
    </row>
    <row r="1134" spans="1:12" x14ac:dyDescent="0.2">
      <c r="A1134"/>
      <c r="B1134"/>
      <c r="C1134"/>
      <c r="D1134"/>
      <c r="E1134" s="2">
        <f>Comuni__2[[#This Row],[Popolazione2011]]/$D$7911</f>
        <v>4.8331391523195607E-5</v>
      </c>
      <c r="F1134">
        <f>SUMIFS($D$2:$D$7909, $B$2:$B$7909, "Campania")</f>
        <v>5766810</v>
      </c>
      <c r="G1134" s="1">
        <f>Comuni__2[[#This Row],[Popolazione2011]]/Comuni__2[[#This Row],[POPOLAZIONE TOTALE DI OGNI REGIONE (CON FILTRO)]]</f>
        <v>4.9802230349187853E-4</v>
      </c>
      <c r="H1134" t="str">
        <f>IF(Comuni__2[[#This Row],[Popolazione2011]]&gt;300000,"MAGGIORE","")</f>
        <v/>
      </c>
      <c r="J1134">
        <v>2458</v>
      </c>
      <c r="K1134">
        <v>30672</v>
      </c>
      <c r="L1134">
        <v>1249</v>
      </c>
    </row>
    <row r="1135" spans="1:12" x14ac:dyDescent="0.2">
      <c r="A1135"/>
      <c r="B1135"/>
      <c r="C1135"/>
      <c r="D1135"/>
      <c r="E1135" s="2">
        <f>Comuni__2[[#This Row],[Popolazione2011]]/$D$7911</f>
        <v>4.8062135860113742E-5</v>
      </c>
      <c r="F1135">
        <f>SUMIFS($D$2:$D$7909, $B$2:$B$7909, "Campania")</f>
        <v>5766810</v>
      </c>
      <c r="G1135" s="1">
        <f>Comuni__2[[#This Row],[Popolazione2011]]/Comuni__2[[#This Row],[POPOLAZIONE TOTALE DI OGNI REGIONE (CON FILTRO)]]</f>
        <v>4.952478059793889E-4</v>
      </c>
      <c r="H1135" t="str">
        <f>IF(Comuni__2[[#This Row],[Popolazione2011]]&gt;300000,"MAGGIORE","")</f>
        <v/>
      </c>
      <c r="J1135">
        <v>2419</v>
      </c>
      <c r="K1135">
        <v>31522</v>
      </c>
      <c r="L1135">
        <v>1270</v>
      </c>
    </row>
    <row r="1136" spans="1:12" x14ac:dyDescent="0.2">
      <c r="A1136"/>
      <c r="B1136"/>
      <c r="C1136"/>
      <c r="D1136"/>
      <c r="E1136" s="2">
        <f>Comuni__2[[#This Row],[Popolazione2011]]/$D$7911</f>
        <v>4.77255662812614E-5</v>
      </c>
      <c r="F1136">
        <f>SUMIFS($D$2:$D$7909, $B$2:$B$7909, "Campania")</f>
        <v>5766810</v>
      </c>
      <c r="G1136" s="1">
        <f>Comuni__2[[#This Row],[Popolazione2011]]/Comuni__2[[#This Row],[POPOLAZIONE TOTALE DI OGNI REGIONE (CON FILTRO)]]</f>
        <v>4.9177968408877697E-4</v>
      </c>
      <c r="H1136" t="str">
        <f>IF(Comuni__2[[#This Row],[Popolazione2011]]&gt;300000,"MAGGIORE","")</f>
        <v/>
      </c>
      <c r="J1136">
        <v>2532</v>
      </c>
      <c r="K1136">
        <v>33613</v>
      </c>
      <c r="L1136">
        <v>1309</v>
      </c>
    </row>
    <row r="1137" spans="1:12" x14ac:dyDescent="0.2">
      <c r="A1137"/>
      <c r="B1137"/>
      <c r="C1137"/>
      <c r="D1137"/>
      <c r="E1137" s="2">
        <f>Comuni__2[[#This Row],[Popolazione2011]]/$D$7911</f>
        <v>4.7489967576064767E-5</v>
      </c>
      <c r="F1137">
        <f>SUMIFS($D$2:$D$7909, $B$2:$B$7909, "Campania")</f>
        <v>5766810</v>
      </c>
      <c r="G1137" s="1">
        <f>Comuni__2[[#This Row],[Popolazione2011]]/Comuni__2[[#This Row],[POPOLAZIONE TOTALE DI OGNI REGIONE (CON FILTRO)]]</f>
        <v>4.8935199876534859E-4</v>
      </c>
      <c r="H1137" t="str">
        <f>IF(Comuni__2[[#This Row],[Popolazione2011]]&gt;300000,"MAGGIORE","")</f>
        <v/>
      </c>
      <c r="J1137">
        <v>2475</v>
      </c>
      <c r="K1137">
        <v>35957</v>
      </c>
      <c r="L1137">
        <v>1387</v>
      </c>
    </row>
    <row r="1138" spans="1:12" x14ac:dyDescent="0.2">
      <c r="A1138"/>
      <c r="B1138"/>
      <c r="C1138"/>
      <c r="D1138"/>
      <c r="E1138" s="2">
        <f>Comuni__2[[#This Row],[Popolazione2011]]/$D$7911</f>
        <v>4.7237540391925512E-5</v>
      </c>
      <c r="F1138">
        <f>SUMIFS($D$2:$D$7909, $B$2:$B$7909, "Campania")</f>
        <v>5766810</v>
      </c>
      <c r="G1138" s="1">
        <f>Comuni__2[[#This Row],[Popolazione2011]]/Comuni__2[[#This Row],[POPOLAZIONE TOTALE DI OGNI REGIONE (CON FILTRO)]]</f>
        <v>4.8675090734738965E-4</v>
      </c>
      <c r="H1138" t="str">
        <f>IF(Comuni__2[[#This Row],[Popolazione2011]]&gt;300000,"MAGGIORE","")</f>
        <v/>
      </c>
      <c r="J1138">
        <v>2474</v>
      </c>
      <c r="K1138">
        <v>39428</v>
      </c>
      <c r="L1138">
        <v>1434</v>
      </c>
    </row>
    <row r="1139" spans="1:12" x14ac:dyDescent="0.2">
      <c r="A1139"/>
      <c r="B1139"/>
      <c r="C1139"/>
      <c r="D1139"/>
      <c r="E1139" s="2">
        <f>Comuni__2[[#This Row],[Popolazione2011]]/$D$7911</f>
        <v>4.7170226476155047E-5</v>
      </c>
      <c r="F1139">
        <f>SUMIFS($D$2:$D$7909, $B$2:$B$7909, "Campania")</f>
        <v>5766810</v>
      </c>
      <c r="G1139" s="1">
        <f>Comuni__2[[#This Row],[Popolazione2011]]/Comuni__2[[#This Row],[POPOLAZIONE TOTALE DI OGNI REGIONE (CON FILTRO)]]</f>
        <v>4.8605728296926724E-4</v>
      </c>
      <c r="H1139" t="str">
        <f>IF(Comuni__2[[#This Row],[Popolazione2011]]&gt;300000,"MAGGIORE","")</f>
        <v/>
      </c>
      <c r="J1139">
        <v>2412</v>
      </c>
      <c r="K1139">
        <v>41151</v>
      </c>
      <c r="L1139">
        <v>1483</v>
      </c>
    </row>
    <row r="1140" spans="1:12" x14ac:dyDescent="0.2">
      <c r="A1140"/>
      <c r="B1140"/>
      <c r="C1140"/>
      <c r="D1140"/>
      <c r="E1140" s="2">
        <f>Comuni__2[[#This Row],[Popolazione2011]]/$D$7911</f>
        <v>4.6311974050081584E-5</v>
      </c>
      <c r="F1140">
        <f>SUMIFS($D$2:$D$7909, $B$2:$B$7909, "Campania")</f>
        <v>5766810</v>
      </c>
      <c r="G1140" s="1">
        <f>Comuni__2[[#This Row],[Popolazione2011]]/Comuni__2[[#This Row],[POPOLAZIONE TOTALE DI OGNI REGIONE (CON FILTRO)]]</f>
        <v>4.7721357214820673E-4</v>
      </c>
      <c r="H1140" t="str">
        <f>IF(Comuni__2[[#This Row],[Popolazione2011]]&gt;300000,"MAGGIORE","")</f>
        <v/>
      </c>
      <c r="J1140">
        <v>2372</v>
      </c>
      <c r="K1140">
        <v>43414</v>
      </c>
      <c r="L1140">
        <v>1546</v>
      </c>
    </row>
    <row r="1141" spans="1:12" x14ac:dyDescent="0.2">
      <c r="A1141"/>
      <c r="B1141"/>
      <c r="C1141"/>
      <c r="D1141"/>
      <c r="E1141" s="2">
        <f>Comuni__2[[#This Row],[Popolazione2011]]/$D$7911</f>
        <v>4.6244660134311119E-5</v>
      </c>
      <c r="F1141">
        <f>SUMIFS($D$2:$D$7909, $B$2:$B$7909, "Campania")</f>
        <v>5766810</v>
      </c>
      <c r="G1141" s="1">
        <f>Comuni__2[[#This Row],[Popolazione2011]]/Comuni__2[[#This Row],[POPOLAZIONE TOTALE DI OGNI REGIONE (CON FILTRO)]]</f>
        <v>4.7651994777008432E-4</v>
      </c>
      <c r="H1141" t="str">
        <f>IF(Comuni__2[[#This Row],[Popolazione2011]]&gt;300000,"MAGGIORE","")</f>
        <v/>
      </c>
      <c r="J1141">
        <v>2350</v>
      </c>
      <c r="K1141">
        <v>45693</v>
      </c>
      <c r="L1141">
        <v>1595</v>
      </c>
    </row>
    <row r="1142" spans="1:12" x14ac:dyDescent="0.2">
      <c r="A1142"/>
      <c r="B1142"/>
      <c r="C1142"/>
      <c r="D1142"/>
      <c r="E1142" s="2">
        <f>Comuni__2[[#This Row],[Popolazione2011]]/$D$7911</f>
        <v>4.6227831655368503E-5</v>
      </c>
      <c r="F1142">
        <f>SUMIFS($D$2:$D$7909, $B$2:$B$7909, "Campania")</f>
        <v>5766810</v>
      </c>
      <c r="G1142" s="1">
        <f>Comuni__2[[#This Row],[Popolazione2011]]/Comuni__2[[#This Row],[POPOLAZIONE TOTALE DI OGNI REGIONE (CON FILTRO)]]</f>
        <v>4.7634654167555375E-4</v>
      </c>
      <c r="H1142" t="str">
        <f>IF(Comuni__2[[#This Row],[Popolazione2011]]&gt;300000,"MAGGIORE","")</f>
        <v/>
      </c>
      <c r="J1142">
        <v>2348</v>
      </c>
      <c r="K1142">
        <v>47276</v>
      </c>
      <c r="L1142">
        <v>1631</v>
      </c>
    </row>
    <row r="1143" spans="1:12" x14ac:dyDescent="0.2">
      <c r="A1143"/>
      <c r="B1143"/>
      <c r="C1143"/>
      <c r="D1143"/>
      <c r="E1143" s="2">
        <f>Comuni__2[[#This Row],[Popolazione2011]]/$D$7911</f>
        <v>4.5386407708237663E-5</v>
      </c>
      <c r="F1143">
        <f>SUMIFS($D$2:$D$7909, $B$2:$B$7909, "Campania")</f>
        <v>5766810</v>
      </c>
      <c r="G1143" s="1">
        <f>Comuni__2[[#This Row],[Popolazione2011]]/Comuni__2[[#This Row],[POPOLAZIONE TOTALE DI OGNI REGIONE (CON FILTRO)]]</f>
        <v>4.6767623694902381E-4</v>
      </c>
      <c r="H1143" t="str">
        <f>IF(Comuni__2[[#This Row],[Popolazione2011]]&gt;300000,"MAGGIORE","")</f>
        <v/>
      </c>
      <c r="J1143">
        <v>2323</v>
      </c>
      <c r="K1143">
        <v>49119</v>
      </c>
      <c r="L1143">
        <v>1673</v>
      </c>
    </row>
    <row r="1144" spans="1:12" x14ac:dyDescent="0.2">
      <c r="A1144"/>
      <c r="B1144"/>
      <c r="C1144"/>
      <c r="D1144"/>
      <c r="E1144" s="2">
        <f>Comuni__2[[#This Row],[Popolazione2011]]/$D$7911</f>
        <v>4.5386407708237663E-5</v>
      </c>
      <c r="F1144">
        <f>SUMIFS($D$2:$D$7909, $B$2:$B$7909, "Campania")</f>
        <v>5766810</v>
      </c>
      <c r="G1144" s="1">
        <f>Comuni__2[[#This Row],[Popolazione2011]]/Comuni__2[[#This Row],[POPOLAZIONE TOTALE DI OGNI REGIONE (CON FILTRO)]]</f>
        <v>4.6767623694902381E-4</v>
      </c>
      <c r="H1144" t="str">
        <f>IF(Comuni__2[[#This Row],[Popolazione2011]]&gt;300000,"MAGGIORE","")</f>
        <v/>
      </c>
      <c r="J1144">
        <v>2278</v>
      </c>
      <c r="K1144">
        <v>51832</v>
      </c>
      <c r="L1144">
        <v>1721</v>
      </c>
    </row>
    <row r="1145" spans="1:12" x14ac:dyDescent="0.2">
      <c r="A1145"/>
      <c r="B1145"/>
      <c r="C1145"/>
      <c r="D1145"/>
      <c r="E1145" s="2">
        <f>Comuni__2[[#This Row],[Popolazione2011]]/$D$7911</f>
        <v>4.5133980524098408E-5</v>
      </c>
      <c r="F1145">
        <f>SUMIFS($D$2:$D$7909, $B$2:$B$7909, "Campania")</f>
        <v>5766810</v>
      </c>
      <c r="G1145" s="1">
        <f>Comuni__2[[#This Row],[Popolazione2011]]/Comuni__2[[#This Row],[POPOLAZIONE TOTALE DI OGNI REGIONE (CON FILTRO)]]</f>
        <v>4.6507514553106481E-4</v>
      </c>
      <c r="H1145" t="str">
        <f>IF(Comuni__2[[#This Row],[Popolazione2011]]&gt;300000,"MAGGIORE","")</f>
        <v/>
      </c>
      <c r="J1145">
        <v>2237</v>
      </c>
      <c r="K1145">
        <v>54015</v>
      </c>
      <c r="L1145">
        <v>1764</v>
      </c>
    </row>
    <row r="1146" spans="1:12" x14ac:dyDescent="0.2">
      <c r="A1146"/>
      <c r="B1146"/>
      <c r="C1146"/>
      <c r="D1146"/>
      <c r="E1146" s="2">
        <f>Comuni__2[[#This Row],[Popolazione2011]]/$D$7911</f>
        <v>4.4780582466303456E-5</v>
      </c>
      <c r="F1146">
        <f>SUMIFS($D$2:$D$7909, $B$2:$B$7909, "Campania")</f>
        <v>5766810</v>
      </c>
      <c r="G1146" s="1">
        <f>Comuni__2[[#This Row],[Popolazione2011]]/Comuni__2[[#This Row],[POPOLAZIONE TOTALE DI OGNI REGIONE (CON FILTRO)]]</f>
        <v>4.6143361754592225E-4</v>
      </c>
      <c r="H1146" t="str">
        <f>IF(Comuni__2[[#This Row],[Popolazione2011]]&gt;300000,"MAGGIORE","")</f>
        <v/>
      </c>
      <c r="J1146">
        <v>2203</v>
      </c>
      <c r="K1146">
        <v>56177</v>
      </c>
      <c r="L1146">
        <v>1818</v>
      </c>
    </row>
    <row r="1147" spans="1:12" x14ac:dyDescent="0.2">
      <c r="A1147"/>
      <c r="B1147"/>
      <c r="C1147"/>
      <c r="D1147"/>
      <c r="E1147" s="2">
        <f>Comuni__2[[#This Row],[Popolazione2011]]/$D$7911</f>
        <v>4.4292556576967568E-5</v>
      </c>
      <c r="F1147">
        <f>SUMIFS($D$2:$D$7909, $B$2:$B$7909, "Campania")</f>
        <v>5766810</v>
      </c>
      <c r="G1147" s="1">
        <f>Comuni__2[[#This Row],[Popolazione2011]]/Comuni__2[[#This Row],[POPOLAZIONE TOTALE DI OGNI REGIONE (CON FILTRO)]]</f>
        <v>4.5640484080453493E-4</v>
      </c>
      <c r="H1147" t="str">
        <f>IF(Comuni__2[[#This Row],[Popolazione2011]]&gt;300000,"MAGGIORE","")</f>
        <v/>
      </c>
      <c r="J1147">
        <v>2165</v>
      </c>
      <c r="K1147">
        <v>58461</v>
      </c>
      <c r="L1147">
        <v>1903</v>
      </c>
    </row>
    <row r="1148" spans="1:12" x14ac:dyDescent="0.2">
      <c r="A1148"/>
      <c r="B1148"/>
      <c r="C1148"/>
      <c r="D1148"/>
      <c r="E1148" s="2">
        <f>Comuni__2[[#This Row],[Popolazione2011]]/$D$7911</f>
        <v>4.409061482965616E-5</v>
      </c>
      <c r="F1148">
        <f>SUMIFS($D$2:$D$7909, $B$2:$B$7909, "Campania")</f>
        <v>5766810</v>
      </c>
      <c r="G1148" s="1">
        <f>Comuni__2[[#This Row],[Popolazione2011]]/Comuni__2[[#This Row],[POPOLAZIONE TOTALE DI OGNI REGIONE (CON FILTRO)]]</f>
        <v>4.5432396767016776E-4</v>
      </c>
      <c r="H1148" t="str">
        <f>IF(Comuni__2[[#This Row],[Popolazione2011]]&gt;300000,"MAGGIORE","")</f>
        <v/>
      </c>
      <c r="J1148">
        <v>1723</v>
      </c>
      <c r="K1148">
        <v>60422</v>
      </c>
      <c r="L1148">
        <v>1958</v>
      </c>
    </row>
    <row r="1149" spans="1:12" x14ac:dyDescent="0.2">
      <c r="A1149"/>
      <c r="B1149"/>
      <c r="C1149"/>
      <c r="D1149"/>
      <c r="E1149" s="2">
        <f>Comuni__2[[#This Row],[Popolazione2011]]/$D$7911</f>
        <v>4.4023300913885696E-5</v>
      </c>
      <c r="F1149">
        <f>SUMIFS($D$2:$D$7909, $B$2:$B$7909, "Campania")</f>
        <v>5766810</v>
      </c>
      <c r="G1149" s="1">
        <f>Comuni__2[[#This Row],[Popolazione2011]]/Comuni__2[[#This Row],[POPOLAZIONE TOTALE DI OGNI REGIONE (CON FILTRO)]]</f>
        <v>4.5363034329204535E-4</v>
      </c>
      <c r="H1149" t="str">
        <f>IF(Comuni__2[[#This Row],[Popolazione2011]]&gt;300000,"MAGGIORE","")</f>
        <v/>
      </c>
      <c r="J1149">
        <v>2071</v>
      </c>
      <c r="K1149">
        <v>62060</v>
      </c>
      <c r="L1149">
        <v>1990</v>
      </c>
    </row>
    <row r="1150" spans="1:12" x14ac:dyDescent="0.2">
      <c r="A1150"/>
      <c r="B1150"/>
      <c r="C1150"/>
      <c r="D1150"/>
      <c r="E1150" s="2">
        <f>Comuni__2[[#This Row],[Popolazione2011]]/$D$7911</f>
        <v>4.3720388292918592E-5</v>
      </c>
      <c r="F1150">
        <f>SUMIFS($D$2:$D$7909, $B$2:$B$7909, "Campania")</f>
        <v>5766810</v>
      </c>
      <c r="G1150" s="1">
        <f>Comuni__2[[#This Row],[Popolazione2011]]/Comuni__2[[#This Row],[POPOLAZIONE TOTALE DI OGNI REGIONE (CON FILTRO)]]</f>
        <v>4.5050903359049457E-4</v>
      </c>
      <c r="H1150" t="str">
        <f>IF(Comuni__2[[#This Row],[Popolazione2011]]&gt;300000,"MAGGIORE","")</f>
        <v/>
      </c>
      <c r="J1150">
        <v>12</v>
      </c>
      <c r="K1150">
        <v>0</v>
      </c>
      <c r="L1150">
        <v>0</v>
      </c>
    </row>
    <row r="1151" spans="1:12" x14ac:dyDescent="0.2">
      <c r="A1151"/>
      <c r="B1151"/>
      <c r="C1151"/>
      <c r="D1151"/>
      <c r="E1151" s="2">
        <f>Comuni__2[[#This Row],[Popolazione2011]]/$D$7911</f>
        <v>4.3602588940320273E-5</v>
      </c>
      <c r="F1151">
        <f>SUMIFS($D$2:$D$7909, $B$2:$B$7909, "Campania")</f>
        <v>5766810</v>
      </c>
      <c r="G1151" s="1">
        <f>Comuni__2[[#This Row],[Popolazione2011]]/Comuni__2[[#This Row],[POPOLAZIONE TOTALE DI OGNI REGIONE (CON FILTRO)]]</f>
        <v>4.4929519092878038E-4</v>
      </c>
      <c r="H1151" t="str">
        <f>IF(Comuni__2[[#This Row],[Popolazione2011]]&gt;300000,"MAGGIORE","")</f>
        <v/>
      </c>
      <c r="J1151">
        <v>17</v>
      </c>
      <c r="K1151">
        <v>0</v>
      </c>
      <c r="L1151">
        <v>0</v>
      </c>
    </row>
    <row r="1152" spans="1:12" x14ac:dyDescent="0.2">
      <c r="A1152"/>
      <c r="B1152"/>
      <c r="C1152"/>
      <c r="D1152"/>
      <c r="E1152" s="2">
        <f>Comuni__2[[#This Row],[Popolazione2011]]/$D$7911</f>
        <v>4.3535275024549808E-5</v>
      </c>
      <c r="F1152">
        <f>SUMIFS($D$2:$D$7909, $B$2:$B$7909, "Campania")</f>
        <v>5766810</v>
      </c>
      <c r="G1152" s="1">
        <f>Comuni__2[[#This Row],[Popolazione2011]]/Comuni__2[[#This Row],[POPOLAZIONE TOTALE DI OGNI REGIONE (CON FILTRO)]]</f>
        <v>4.4860156655065797E-4</v>
      </c>
      <c r="H1152" t="str">
        <f>IF(Comuni__2[[#This Row],[Popolazione2011]]&gt;300000,"MAGGIORE","")</f>
        <v/>
      </c>
      <c r="J1152">
        <v>23</v>
      </c>
      <c r="K1152">
        <v>0</v>
      </c>
      <c r="L1152">
        <v>1</v>
      </c>
    </row>
    <row r="1153" spans="1:12" x14ac:dyDescent="0.2">
      <c r="A1153"/>
      <c r="B1153"/>
      <c r="C1153"/>
      <c r="D1153"/>
      <c r="E1153" s="2">
        <f>Comuni__2[[#This Row],[Popolazione2011]]/$D$7911</f>
        <v>4.3266019361467936E-5</v>
      </c>
      <c r="F1153">
        <f>SUMIFS($D$2:$D$7909, $B$2:$B$7909, "Campania")</f>
        <v>5766810</v>
      </c>
      <c r="G1153" s="1">
        <f>Comuni__2[[#This Row],[Popolazione2011]]/Comuni__2[[#This Row],[POPOLAZIONE TOTALE DI OGNI REGIONE (CON FILTRO)]]</f>
        <v>4.458270690381684E-4</v>
      </c>
      <c r="H1153" t="str">
        <f>IF(Comuni__2[[#This Row],[Popolazione2011]]&gt;300000,"MAGGIORE","")</f>
        <v/>
      </c>
      <c r="J1153">
        <v>42</v>
      </c>
      <c r="K1153">
        <v>0</v>
      </c>
      <c r="L1153">
        <v>1</v>
      </c>
    </row>
    <row r="1154" spans="1:12" x14ac:dyDescent="0.2">
      <c r="A1154"/>
      <c r="B1154"/>
      <c r="C1154"/>
      <c r="D1154"/>
      <c r="E1154" s="2">
        <f>Comuni__2[[#This Row],[Popolazione2011]]/$D$7911</f>
        <v>4.2996763698386065E-5</v>
      </c>
      <c r="F1154">
        <f>SUMIFS($D$2:$D$7909, $B$2:$B$7909, "Campania")</f>
        <v>5766810</v>
      </c>
      <c r="G1154" s="1">
        <f>Comuni__2[[#This Row],[Popolazione2011]]/Comuni__2[[#This Row],[POPOLAZIONE TOTALE DI OGNI REGIONE (CON FILTRO)]]</f>
        <v>4.4305257152567882E-4</v>
      </c>
      <c r="H1154" t="str">
        <f>IF(Comuni__2[[#This Row],[Popolazione2011]]&gt;300000,"MAGGIORE","")</f>
        <v/>
      </c>
      <c r="J1154">
        <v>62</v>
      </c>
      <c r="K1154">
        <v>0</v>
      </c>
      <c r="L1154">
        <v>2</v>
      </c>
    </row>
    <row r="1155" spans="1:12" x14ac:dyDescent="0.2">
      <c r="A1155"/>
      <c r="B1155"/>
      <c r="C1155"/>
      <c r="D1155"/>
      <c r="E1155" s="2">
        <f>Comuni__2[[#This Row],[Popolazione2011]]/$D$7911</f>
        <v>4.2828478908959897E-5</v>
      </c>
      <c r="F1155">
        <f>SUMIFS($D$2:$D$7909, $B$2:$B$7909, "Campania")</f>
        <v>5766810</v>
      </c>
      <c r="G1155" s="1">
        <f>Comuni__2[[#This Row],[Popolazione2011]]/Comuni__2[[#This Row],[POPOLAZIONE TOTALE DI OGNI REGIONE (CON FILTRO)]]</f>
        <v>4.4131851058037285E-4</v>
      </c>
      <c r="H1155" t="str">
        <f>IF(Comuni__2[[#This Row],[Popolazione2011]]&gt;300000,"MAGGIORE","")</f>
        <v/>
      </c>
      <c r="J1155">
        <v>97</v>
      </c>
      <c r="K1155">
        <v>0</v>
      </c>
      <c r="L1155">
        <v>4</v>
      </c>
    </row>
    <row r="1156" spans="1:12" x14ac:dyDescent="0.2">
      <c r="A1156"/>
      <c r="B1156"/>
      <c r="C1156"/>
      <c r="D1156"/>
      <c r="E1156" s="2">
        <f>Comuni__2[[#This Row],[Popolazione2011]]/$D$7911</f>
        <v>4.2828478908959897E-5</v>
      </c>
      <c r="F1156">
        <f>SUMIFS($D$2:$D$7909, $B$2:$B$7909, "Campania")</f>
        <v>5766810</v>
      </c>
      <c r="G1156" s="1">
        <f>Comuni__2[[#This Row],[Popolazione2011]]/Comuni__2[[#This Row],[POPOLAZIONE TOTALE DI OGNI REGIONE (CON FILTRO)]]</f>
        <v>4.4131851058037285E-4</v>
      </c>
      <c r="H1156" t="str">
        <f>IF(Comuni__2[[#This Row],[Popolazione2011]]&gt;300000,"MAGGIORE","")</f>
        <v/>
      </c>
      <c r="J1156">
        <v>140</v>
      </c>
      <c r="K1156">
        <v>0</v>
      </c>
      <c r="L1156">
        <v>8</v>
      </c>
    </row>
    <row r="1157" spans="1:12" x14ac:dyDescent="0.2">
      <c r="A1157"/>
      <c r="B1157"/>
      <c r="C1157"/>
      <c r="D1157"/>
      <c r="E1157" s="2">
        <f>Comuni__2[[#This Row],[Popolazione2011]]/$D$7911</f>
        <v>4.260970868270588E-5</v>
      </c>
      <c r="F1157">
        <f>SUMIFS($D$2:$D$7909, $B$2:$B$7909, "Campania")</f>
        <v>5766810</v>
      </c>
      <c r="G1157" s="1">
        <f>Comuni__2[[#This Row],[Popolazione2011]]/Comuni__2[[#This Row],[POPOLAZIONE TOTALE DI OGNI REGIONE (CON FILTRO)]]</f>
        <v>4.3906423135147506E-4</v>
      </c>
      <c r="H1157" t="str">
        <f>IF(Comuni__2[[#This Row],[Popolazione2011]]&gt;300000,"MAGGIORE","")</f>
        <v/>
      </c>
      <c r="J1157">
        <v>164</v>
      </c>
      <c r="K1157">
        <v>0</v>
      </c>
      <c r="L1157">
        <v>11</v>
      </c>
    </row>
    <row r="1158" spans="1:12" x14ac:dyDescent="0.2">
      <c r="A1158"/>
      <c r="B1158"/>
      <c r="C1158"/>
      <c r="D1158"/>
      <c r="E1158" s="2">
        <f>Comuni__2[[#This Row],[Popolazione2011]]/$D$7911</f>
        <v>4.2508737809050177E-5</v>
      </c>
      <c r="F1158">
        <f>SUMIFS($D$2:$D$7909, $B$2:$B$7909, "Campania")</f>
        <v>5766810</v>
      </c>
      <c r="G1158" s="1">
        <f>Comuni__2[[#This Row],[Popolazione2011]]/Comuni__2[[#This Row],[POPOLAZIONE TOTALE DI OGNI REGIONE (CON FILTRO)]]</f>
        <v>4.380237947842915E-4</v>
      </c>
      <c r="H1158" t="str">
        <f>IF(Comuni__2[[#This Row],[Popolazione2011]]&gt;300000,"MAGGIORE","")</f>
        <v/>
      </c>
      <c r="J1158">
        <v>211</v>
      </c>
      <c r="K1158">
        <v>4</v>
      </c>
      <c r="L1158">
        <v>18</v>
      </c>
    </row>
    <row r="1159" spans="1:12" x14ac:dyDescent="0.2">
      <c r="A1159"/>
      <c r="B1159"/>
      <c r="C1159"/>
      <c r="D1159"/>
      <c r="E1159" s="2">
        <f>Comuni__2[[#This Row],[Popolazione2011]]/$D$7911</f>
        <v>4.2424595414337096E-5</v>
      </c>
      <c r="F1159">
        <f>SUMIFS($D$2:$D$7909, $B$2:$B$7909, "Campania")</f>
        <v>5766810</v>
      </c>
      <c r="G1159" s="1">
        <f>Comuni__2[[#This Row],[Popolazione2011]]/Comuni__2[[#This Row],[POPOLAZIONE TOTALE DI OGNI REGIONE (CON FILTRO)]]</f>
        <v>4.3715676431163852E-4</v>
      </c>
      <c r="H1159" t="str">
        <f>IF(Comuni__2[[#This Row],[Popolazione2011]]&gt;300000,"MAGGIORE","")</f>
        <v/>
      </c>
      <c r="J1159">
        <v>282</v>
      </c>
      <c r="K1159">
        <v>6</v>
      </c>
      <c r="L1159">
        <v>22</v>
      </c>
    </row>
    <row r="1160" spans="1:12" x14ac:dyDescent="0.2">
      <c r="A1160"/>
      <c r="B1160"/>
      <c r="C1160"/>
      <c r="D1160"/>
      <c r="E1160" s="2">
        <f>Comuni__2[[#This Row],[Popolazione2011]]/$D$7911</f>
        <v>4.228996758279616E-5</v>
      </c>
      <c r="F1160">
        <f>SUMIFS($D$2:$D$7909, $B$2:$B$7909, "Campania")</f>
        <v>5766810</v>
      </c>
      <c r="G1160" s="1">
        <f>Comuni__2[[#This Row],[Popolazione2011]]/Comuni__2[[#This Row],[POPOLAZIONE TOTALE DI OGNI REGIONE (CON FILTRO)]]</f>
        <v>4.357695155553937E-4</v>
      </c>
      <c r="H1160" t="str">
        <f>IF(Comuni__2[[#This Row],[Popolazione2011]]&gt;300000,"MAGGIORE","")</f>
        <v/>
      </c>
      <c r="J1160">
        <v>359</v>
      </c>
      <c r="K1160">
        <v>10</v>
      </c>
      <c r="L1160">
        <v>30</v>
      </c>
    </row>
    <row r="1161" spans="1:12" x14ac:dyDescent="0.2">
      <c r="A1161"/>
      <c r="B1161"/>
      <c r="C1161"/>
      <c r="D1161"/>
      <c r="E1161" s="2">
        <f>Comuni__2[[#This Row],[Popolazione2011]]/$D$7911</f>
        <v>4.2205825188083073E-5</v>
      </c>
      <c r="F1161">
        <f>SUMIFS($D$2:$D$7909, $B$2:$B$7909, "Campania")</f>
        <v>5766810</v>
      </c>
      <c r="G1161" s="1">
        <f>Comuni__2[[#This Row],[Popolazione2011]]/Comuni__2[[#This Row],[POPOLAZIONE TOTALE DI OGNI REGIONE (CON FILTRO)]]</f>
        <v>4.3490248508274072E-4</v>
      </c>
      <c r="H1161" t="str">
        <f>IF(Comuni__2[[#This Row],[Popolazione2011]]&gt;300000,"MAGGIORE","")</f>
        <v/>
      </c>
      <c r="J1161">
        <v>450</v>
      </c>
      <c r="K1161">
        <v>17</v>
      </c>
      <c r="L1161">
        <v>37</v>
      </c>
    </row>
    <row r="1162" spans="1:12" x14ac:dyDescent="0.2">
      <c r="A1162"/>
      <c r="B1162"/>
      <c r="C1162"/>
      <c r="D1162"/>
      <c r="E1162" s="2">
        <f>Comuni__2[[#This Row],[Popolazione2011]]/$D$7911</f>
        <v>4.2071197356542137E-5</v>
      </c>
      <c r="F1162">
        <f>SUMIFS($D$2:$D$7909, $B$2:$B$7909, "Campania")</f>
        <v>5766810</v>
      </c>
      <c r="G1162" s="1">
        <f>Comuni__2[[#This Row],[Popolazione2011]]/Comuni__2[[#This Row],[POPOLAZIONE TOTALE DI OGNI REGIONE (CON FILTRO)]]</f>
        <v>4.3351523632649596E-4</v>
      </c>
      <c r="H1162" t="str">
        <f>IF(Comuni__2[[#This Row],[Popolazione2011]]&gt;300000,"MAGGIORE","")</f>
        <v/>
      </c>
      <c r="J1162">
        <v>528</v>
      </c>
      <c r="K1162">
        <v>25</v>
      </c>
      <c r="L1162">
        <v>48</v>
      </c>
    </row>
    <row r="1163" spans="1:12" x14ac:dyDescent="0.2">
      <c r="A1163"/>
      <c r="B1163"/>
      <c r="C1163"/>
      <c r="D1163"/>
      <c r="E1163" s="2">
        <f>Comuni__2[[#This Row],[Popolazione2011]]/$D$7911</f>
        <v>4.1886084088173353E-5</v>
      </c>
      <c r="F1163">
        <f>SUMIFS($D$2:$D$7909, $B$2:$B$7909, "Campania")</f>
        <v>5766810</v>
      </c>
      <c r="G1163" s="1">
        <f>Comuni__2[[#This Row],[Popolazione2011]]/Comuni__2[[#This Row],[POPOLAZIONE TOTALE DI OGNI REGIONE (CON FILTRO)]]</f>
        <v>4.3160776928665936E-4</v>
      </c>
      <c r="H1163" t="str">
        <f>IF(Comuni__2[[#This Row],[Popolazione2011]]&gt;300000,"MAGGIORE","")</f>
        <v/>
      </c>
      <c r="J1163">
        <v>617</v>
      </c>
      <c r="K1163">
        <v>27</v>
      </c>
      <c r="L1163">
        <v>56</v>
      </c>
    </row>
    <row r="1164" spans="1:12" x14ac:dyDescent="0.2">
      <c r="A1164"/>
      <c r="B1164"/>
      <c r="C1164"/>
      <c r="D1164"/>
      <c r="E1164" s="2">
        <f>Comuni__2[[#This Row],[Popolazione2011]]/$D$7911</f>
        <v>4.1667313861919337E-5</v>
      </c>
      <c r="F1164">
        <f>SUMIFS($D$2:$D$7909, $B$2:$B$7909, "Campania")</f>
        <v>5766810</v>
      </c>
      <c r="G1164" s="1">
        <f>Comuni__2[[#This Row],[Popolazione2011]]/Comuni__2[[#This Row],[POPOLAZIONE TOTALE DI OGNI REGIONE (CON FILTRO)]]</f>
        <v>4.2935349005776156E-4</v>
      </c>
      <c r="H1164" t="str">
        <f>IF(Comuni__2[[#This Row],[Popolazione2011]]&gt;300000,"MAGGIORE","")</f>
        <v/>
      </c>
      <c r="J1164">
        <v>666</v>
      </c>
      <c r="K1164">
        <v>30</v>
      </c>
      <c r="L1164">
        <v>70</v>
      </c>
    </row>
    <row r="1165" spans="1:12" x14ac:dyDescent="0.2">
      <c r="A1165"/>
      <c r="B1165"/>
      <c r="C1165"/>
      <c r="D1165"/>
      <c r="E1165" s="2">
        <f>Comuni__2[[#This Row],[Popolazione2011]]/$D$7911</f>
        <v>4.1599999946148865E-5</v>
      </c>
      <c r="F1165">
        <f>SUMIFS($D$2:$D$7909, $B$2:$B$7909, "Campania")</f>
        <v>5766810</v>
      </c>
      <c r="G1165" s="1">
        <f>Comuni__2[[#This Row],[Popolazione2011]]/Comuni__2[[#This Row],[POPOLAZIONE TOTALE DI OGNI REGIONE (CON FILTRO)]]</f>
        <v>4.2865986567963916E-4</v>
      </c>
      <c r="H1165" t="str">
        <f>IF(Comuni__2[[#This Row],[Popolazione2011]]&gt;300000,"MAGGIORE","")</f>
        <v/>
      </c>
      <c r="J1165">
        <v>767</v>
      </c>
      <c r="K1165">
        <v>31</v>
      </c>
      <c r="L1165">
        <v>85</v>
      </c>
    </row>
    <row r="1166" spans="1:12" x14ac:dyDescent="0.2">
      <c r="A1166"/>
      <c r="B1166"/>
      <c r="C1166"/>
      <c r="D1166"/>
      <c r="E1166" s="2">
        <f>Comuni__2[[#This Row],[Popolazione2011]]/$D$7911</f>
        <v>4.1482200593550553E-5</v>
      </c>
      <c r="F1166">
        <f>SUMIFS($D$2:$D$7909, $B$2:$B$7909, "Campania")</f>
        <v>5766810</v>
      </c>
      <c r="G1166" s="1">
        <f>Comuni__2[[#This Row],[Popolazione2011]]/Comuni__2[[#This Row],[POPOLAZIONE TOTALE DI OGNI REGIONE (CON FILTRO)]]</f>
        <v>4.2744602301792497E-4</v>
      </c>
      <c r="H1166" t="str">
        <f>IF(Comuni__2[[#This Row],[Popolazione2011]]&gt;300000,"MAGGIORE","")</f>
        <v/>
      </c>
      <c r="J1166">
        <v>849</v>
      </c>
      <c r="K1166">
        <v>38</v>
      </c>
      <c r="L1166">
        <v>113</v>
      </c>
    </row>
    <row r="1167" spans="1:12" x14ac:dyDescent="0.2">
      <c r="A1167"/>
      <c r="B1167"/>
      <c r="C1167"/>
      <c r="D1167"/>
      <c r="E1167" s="2">
        <f>Comuni__2[[#This Row],[Popolazione2011]]/$D$7911</f>
        <v>4.1431715156722697E-5</v>
      </c>
      <c r="F1167">
        <f>SUMIFS($D$2:$D$7909, $B$2:$B$7909, "Campania")</f>
        <v>5766810</v>
      </c>
      <c r="G1167" s="1">
        <f>Comuni__2[[#This Row],[Popolazione2011]]/Comuni__2[[#This Row],[POPOLAZIONE TOTALE DI OGNI REGIONE (CON FILTRO)]]</f>
        <v>4.2692580473433319E-4</v>
      </c>
      <c r="H1167" t="str">
        <f>IF(Comuni__2[[#This Row],[Popolazione2011]]&gt;300000,"MAGGIORE","")</f>
        <v/>
      </c>
      <c r="J1167">
        <v>926</v>
      </c>
      <c r="K1167">
        <v>43</v>
      </c>
      <c r="L1167">
        <v>146</v>
      </c>
    </row>
    <row r="1168" spans="1:12" x14ac:dyDescent="0.2">
      <c r="A1168"/>
      <c r="B1168"/>
      <c r="C1168"/>
      <c r="D1168"/>
      <c r="E1168" s="2">
        <f>Comuni__2[[#This Row],[Popolazione2011]]/$D$7911</f>
        <v>4.1128802535755594E-5</v>
      </c>
      <c r="F1168">
        <f>SUMIFS($D$2:$D$7909, $B$2:$B$7909, "Campania")</f>
        <v>5766810</v>
      </c>
      <c r="G1168" s="1">
        <f>Comuni__2[[#This Row],[Popolazione2011]]/Comuni__2[[#This Row],[POPOLAZIONE TOTALE DI OGNI REGIONE (CON FILTRO)]]</f>
        <v>4.2380449503278241E-4</v>
      </c>
      <c r="H1168" t="str">
        <f>IF(Comuni__2[[#This Row],[Popolazione2011]]&gt;300000,"MAGGIORE","")</f>
        <v/>
      </c>
      <c r="J1168">
        <v>1070</v>
      </c>
      <c r="K1168">
        <v>51</v>
      </c>
      <c r="L1168">
        <v>201</v>
      </c>
    </row>
    <row r="1169" spans="1:12" x14ac:dyDescent="0.2">
      <c r="A1169"/>
      <c r="B1169"/>
      <c r="C1169"/>
      <c r="D1169"/>
      <c r="E1169" s="2">
        <f>Comuni__2[[#This Row],[Popolazione2011]]/$D$7911</f>
        <v>4.0674433604304938E-5</v>
      </c>
      <c r="F1169">
        <f>SUMIFS($D$2:$D$7909, $B$2:$B$7909, "Campania")</f>
        <v>5766810</v>
      </c>
      <c r="G1169" s="1">
        <f>Comuni__2[[#This Row],[Popolazione2011]]/Comuni__2[[#This Row],[POPOLAZIONE TOTALE DI OGNI REGIONE (CON FILTRO)]]</f>
        <v>4.1912253048045629E-4</v>
      </c>
      <c r="H1169" t="str">
        <f>IF(Comuni__2[[#This Row],[Popolazione2011]]&gt;300000,"MAGGIORE","")</f>
        <v/>
      </c>
      <c r="J1169">
        <v>1228</v>
      </c>
      <c r="K1169">
        <v>54</v>
      </c>
      <c r="L1169">
        <v>241</v>
      </c>
    </row>
    <row r="1170" spans="1:12" x14ac:dyDescent="0.2">
      <c r="A1170"/>
      <c r="B1170"/>
      <c r="C1170"/>
      <c r="D1170"/>
      <c r="E1170" s="2">
        <f>Comuni__2[[#This Row],[Popolazione2011]]/$D$7911</f>
        <v>4.0590291209591857E-5</v>
      </c>
      <c r="F1170">
        <f>SUMIFS($D$2:$D$7909, $B$2:$B$7909, "Campania")</f>
        <v>5766810</v>
      </c>
      <c r="G1170" s="1">
        <f>Comuni__2[[#This Row],[Popolazione2011]]/Comuni__2[[#This Row],[POPOLAZIONE TOTALE DI OGNI REGIONE (CON FILTRO)]]</f>
        <v>4.1825550000780325E-4</v>
      </c>
      <c r="H1170" t="str">
        <f>IF(Comuni__2[[#This Row],[Popolazione2011]]&gt;300000,"MAGGIORE","")</f>
        <v/>
      </c>
      <c r="J1170">
        <v>1384</v>
      </c>
      <c r="K1170">
        <v>68</v>
      </c>
      <c r="L1170">
        <v>284</v>
      </c>
    </row>
    <row r="1171" spans="1:12" x14ac:dyDescent="0.2">
      <c r="A1171"/>
      <c r="B1171"/>
      <c r="C1171"/>
      <c r="D1171"/>
      <c r="E1171" s="2">
        <f>Comuni__2[[#This Row],[Popolazione2011]]/$D$7911</f>
        <v>4.0489320335936154E-5</v>
      </c>
      <c r="F1171">
        <f>SUMIFS($D$2:$D$7909, $B$2:$B$7909, "Campania")</f>
        <v>5766810</v>
      </c>
      <c r="G1171" s="1">
        <f>Comuni__2[[#This Row],[Popolazione2011]]/Comuni__2[[#This Row],[POPOLAZIONE TOTALE DI OGNI REGIONE (CON FILTRO)]]</f>
        <v>4.172150634406197E-4</v>
      </c>
      <c r="H1171" t="str">
        <f>IF(Comuni__2[[#This Row],[Popolazione2011]]&gt;300000,"MAGGIORE","")</f>
        <v/>
      </c>
      <c r="J1171">
        <v>1559</v>
      </c>
      <c r="K1171">
        <v>88</v>
      </c>
      <c r="L1171">
        <v>346</v>
      </c>
    </row>
    <row r="1172" spans="1:12" x14ac:dyDescent="0.2">
      <c r="A1172"/>
      <c r="B1172"/>
      <c r="C1172"/>
      <c r="D1172"/>
      <c r="E1172" s="2">
        <f>Comuni__2[[#This Row],[Popolazione2011]]/$D$7911</f>
        <v>4.0455663378050921E-5</v>
      </c>
      <c r="F1172">
        <f>SUMIFS($D$2:$D$7909, $B$2:$B$7909, "Campania")</f>
        <v>5766810</v>
      </c>
      <c r="G1172" s="1">
        <f>Comuni__2[[#This Row],[Popolazione2011]]/Comuni__2[[#This Row],[POPOLAZIONE TOTALE DI OGNI REGIONE (CON FILTRO)]]</f>
        <v>4.1686825125155849E-4</v>
      </c>
      <c r="H1172" t="str">
        <f>IF(Comuni__2[[#This Row],[Popolazione2011]]&gt;300000,"MAGGIORE","")</f>
        <v/>
      </c>
      <c r="J1172">
        <v>1789</v>
      </c>
      <c r="K1172">
        <v>134</v>
      </c>
      <c r="L1172">
        <v>393</v>
      </c>
    </row>
    <row r="1173" spans="1:12" x14ac:dyDescent="0.2">
      <c r="A1173"/>
      <c r="B1173"/>
      <c r="C1173"/>
      <c r="D1173"/>
      <c r="E1173" s="2">
        <f>Comuni__2[[#This Row],[Popolazione2011]]/$D$7911</f>
        <v>4.0270550109682137E-5</v>
      </c>
      <c r="F1173">
        <f>SUMIFS($D$2:$D$7909, $B$2:$B$7909, "Campania")</f>
        <v>5766810</v>
      </c>
      <c r="G1173" s="1">
        <f>Comuni__2[[#This Row],[Popolazione2011]]/Comuni__2[[#This Row],[POPOLAZIONE TOTALE DI OGNI REGIONE (CON FILTRO)]]</f>
        <v>4.149607842117219E-4</v>
      </c>
      <c r="H1173" t="str">
        <f>IF(Comuni__2[[#This Row],[Popolazione2011]]&gt;300000,"MAGGIORE","")</f>
        <v/>
      </c>
      <c r="J1173">
        <v>2031</v>
      </c>
      <c r="K1173">
        <v>152</v>
      </c>
      <c r="L1173">
        <v>458</v>
      </c>
    </row>
    <row r="1174" spans="1:12" x14ac:dyDescent="0.2">
      <c r="A1174"/>
      <c r="B1174"/>
      <c r="C1174"/>
      <c r="D1174"/>
      <c r="E1174" s="2">
        <f>Comuni__2[[#This Row],[Popolazione2011]]/$D$7911</f>
        <v>4.0085436841313353E-5</v>
      </c>
      <c r="F1174">
        <f>SUMIFS($D$2:$D$7909, $B$2:$B$7909, "Campania")</f>
        <v>5766810</v>
      </c>
      <c r="G1174" s="1">
        <f>Comuni__2[[#This Row],[Popolazione2011]]/Comuni__2[[#This Row],[POPOLAZIONE TOTALE DI OGNI REGIONE (CON FILTRO)]]</f>
        <v>4.130533171718853E-4</v>
      </c>
      <c r="H1174" t="str">
        <f>IF(Comuni__2[[#This Row],[Popolazione2011]]&gt;300000,"MAGGIORE","")</f>
        <v/>
      </c>
      <c r="J1174">
        <v>2160</v>
      </c>
      <c r="K1174">
        <v>177</v>
      </c>
      <c r="L1174">
        <v>531</v>
      </c>
    </row>
    <row r="1175" spans="1:12" x14ac:dyDescent="0.2">
      <c r="A1175"/>
      <c r="B1175"/>
      <c r="C1175"/>
      <c r="D1175"/>
      <c r="E1175" s="2">
        <f>Comuni__2[[#This Row],[Popolazione2011]]/$D$7911</f>
        <v>3.9967637488715033E-5</v>
      </c>
      <c r="F1175">
        <f>SUMIFS($D$2:$D$7909, $B$2:$B$7909, "Campania")</f>
        <v>5766810</v>
      </c>
      <c r="G1175" s="1">
        <f>Comuni__2[[#This Row],[Popolazione2011]]/Comuni__2[[#This Row],[POPOLAZIONE TOTALE DI OGNI REGIONE (CON FILTRO)]]</f>
        <v>4.1183947451017112E-4</v>
      </c>
      <c r="H1175" t="str">
        <f>IF(Comuni__2[[#This Row],[Popolazione2011]]&gt;300000,"MAGGIORE","")</f>
        <v/>
      </c>
      <c r="J1175">
        <v>2350</v>
      </c>
      <c r="K1175">
        <v>239</v>
      </c>
      <c r="L1175">
        <v>640</v>
      </c>
    </row>
    <row r="1176" spans="1:12" x14ac:dyDescent="0.2">
      <c r="A1176"/>
      <c r="B1176"/>
      <c r="C1176"/>
      <c r="D1176"/>
      <c r="E1176" s="2">
        <f>Comuni__2[[#This Row],[Popolazione2011]]/$D$7911</f>
        <v>3.9816181178231482E-5</v>
      </c>
      <c r="F1176">
        <f>SUMIFS($D$2:$D$7909, $B$2:$B$7909, "Campania")</f>
        <v>5766810</v>
      </c>
      <c r="G1176" s="1">
        <f>Comuni__2[[#This Row],[Popolazione2011]]/Comuni__2[[#This Row],[POPOLAZIONE TOTALE DI OGNI REGIONE (CON FILTRO)]]</f>
        <v>4.1027881965939573E-4</v>
      </c>
      <c r="H1176" t="str">
        <f>IF(Comuni__2[[#This Row],[Popolazione2011]]&gt;300000,"MAGGIORE","")</f>
        <v/>
      </c>
      <c r="J1176">
        <v>2532</v>
      </c>
      <c r="K1176">
        <v>329</v>
      </c>
      <c r="L1176">
        <v>715</v>
      </c>
    </row>
    <row r="1177" spans="1:12" x14ac:dyDescent="0.2">
      <c r="A1177"/>
      <c r="B1177"/>
      <c r="C1177"/>
      <c r="D1177"/>
      <c r="E1177" s="2">
        <f>Comuni__2[[#This Row],[Popolazione2011]]/$D$7911</f>
        <v>3.9563753994092226E-5</v>
      </c>
      <c r="F1177">
        <f>SUMIFS($D$2:$D$7909, $B$2:$B$7909, "Campania")</f>
        <v>5766810</v>
      </c>
      <c r="G1177" s="1">
        <f>Comuni__2[[#This Row],[Popolazione2011]]/Comuni__2[[#This Row],[POPOLAZIONE TOTALE DI OGNI REGIONE (CON FILTRO)]]</f>
        <v>4.0767772824143678E-4</v>
      </c>
      <c r="H1177" t="str">
        <f>IF(Comuni__2[[#This Row],[Popolazione2011]]&gt;300000,"MAGGIORE","")</f>
        <v/>
      </c>
      <c r="J1177">
        <v>2698</v>
      </c>
      <c r="K1177">
        <v>349</v>
      </c>
      <c r="L1177">
        <v>816</v>
      </c>
    </row>
    <row r="1178" spans="1:12" x14ac:dyDescent="0.2">
      <c r="A1178"/>
      <c r="B1178"/>
      <c r="C1178"/>
      <c r="D1178"/>
      <c r="E1178" s="2">
        <f>Comuni__2[[#This Row],[Popolazione2011]]/$D$7911</f>
        <v>3.9462783120436529E-5</v>
      </c>
      <c r="F1178">
        <f>SUMIFS($D$2:$D$7909, $B$2:$B$7909, "Campania")</f>
        <v>5766810</v>
      </c>
      <c r="G1178" s="1">
        <f>Comuni__2[[#This Row],[Popolazione2011]]/Comuni__2[[#This Row],[POPOLAZIONE TOTALE DI OGNI REGIONE (CON FILTRO)]]</f>
        <v>4.0663729167425317E-4</v>
      </c>
      <c r="H1178" t="str">
        <f>IF(Comuni__2[[#This Row],[Popolazione2011]]&gt;300000,"MAGGIORE","")</f>
        <v/>
      </c>
      <c r="J1178">
        <v>3122</v>
      </c>
      <c r="K1178">
        <v>423</v>
      </c>
      <c r="L1178">
        <v>892</v>
      </c>
    </row>
    <row r="1179" spans="1:12" x14ac:dyDescent="0.2">
      <c r="A1179"/>
      <c r="B1179"/>
      <c r="C1179"/>
      <c r="D1179"/>
      <c r="E1179" s="2">
        <f>Comuni__2[[#This Row],[Popolazione2011]]/$D$7911</f>
        <v>3.9042071146871106E-5</v>
      </c>
      <c r="F1179">
        <f>SUMIFS($D$2:$D$7909, $B$2:$B$7909, "Campania")</f>
        <v>5766810</v>
      </c>
      <c r="G1179" s="1">
        <f>Comuni__2[[#This Row],[Popolazione2011]]/Comuni__2[[#This Row],[POPOLAZIONE TOTALE DI OGNI REGIONE (CON FILTRO)]]</f>
        <v>4.023021393109882E-4</v>
      </c>
      <c r="H1179" t="str">
        <f>IF(Comuni__2[[#This Row],[Popolazione2011]]&gt;300000,"MAGGIORE","")</f>
        <v/>
      </c>
      <c r="J1179">
        <v>3265</v>
      </c>
      <c r="K1179">
        <v>558</v>
      </c>
      <c r="L1179">
        <v>985</v>
      </c>
    </row>
    <row r="1180" spans="1:12" x14ac:dyDescent="0.2">
      <c r="A1180"/>
      <c r="B1180"/>
      <c r="C1180"/>
      <c r="D1180"/>
      <c r="E1180" s="2">
        <f>Comuni__2[[#This Row],[Popolazione2011]]/$D$7911</f>
        <v>3.8840129399559706E-5</v>
      </c>
      <c r="F1180">
        <f>SUMIFS($D$2:$D$7909, $B$2:$B$7909, "Campania")</f>
        <v>5766810</v>
      </c>
      <c r="G1180" s="1">
        <f>Comuni__2[[#This Row],[Popolazione2011]]/Comuni__2[[#This Row],[POPOLAZIONE TOTALE DI OGNI REGIONE (CON FILTRO)]]</f>
        <v>4.0022126617662103E-4</v>
      </c>
      <c r="H1180" t="str">
        <f>IF(Comuni__2[[#This Row],[Popolazione2011]]&gt;300000,"MAGGIORE","")</f>
        <v/>
      </c>
      <c r="J1180">
        <v>3474</v>
      </c>
      <c r="K1180">
        <v>721</v>
      </c>
      <c r="L1180">
        <v>1077</v>
      </c>
    </row>
    <row r="1181" spans="1:12" x14ac:dyDescent="0.2">
      <c r="A1181"/>
      <c r="B1181"/>
      <c r="C1181"/>
      <c r="D1181"/>
      <c r="E1181" s="2">
        <f>Comuni__2[[#This Row],[Popolazione2011]]/$D$7911</f>
        <v>3.8755987004846618E-5</v>
      </c>
      <c r="F1181">
        <f>SUMIFS($D$2:$D$7909, $B$2:$B$7909, "Campania")</f>
        <v>5766810</v>
      </c>
      <c r="G1181" s="1">
        <f>Comuni__2[[#This Row],[Popolazione2011]]/Comuni__2[[#This Row],[POPOLAZIONE TOTALE DI OGNI REGIONE (CON FILTRO)]]</f>
        <v>3.9935423570396805E-4</v>
      </c>
      <c r="H1181" t="str">
        <f>IF(Comuni__2[[#This Row],[Popolazione2011]]&gt;300000,"MAGGIORE","")</f>
        <v/>
      </c>
      <c r="J1181">
        <v>3655</v>
      </c>
      <c r="K1181">
        <v>792</v>
      </c>
      <c r="L1181">
        <v>1174</v>
      </c>
    </row>
    <row r="1182" spans="1:12" x14ac:dyDescent="0.2">
      <c r="A1182"/>
      <c r="B1182"/>
      <c r="C1182"/>
      <c r="D1182"/>
      <c r="E1182" s="2">
        <f>Comuni__2[[#This Row],[Popolazione2011]]/$D$7911</f>
        <v>3.8739158525904002E-5</v>
      </c>
      <c r="F1182">
        <f>SUMIFS($D$2:$D$7909, $B$2:$B$7909, "Campania")</f>
        <v>5766810</v>
      </c>
      <c r="G1182" s="1">
        <f>Comuni__2[[#This Row],[Popolazione2011]]/Comuni__2[[#This Row],[POPOLAZIONE TOTALE DI OGNI REGIONE (CON FILTRO)]]</f>
        <v>3.9918082960943747E-4</v>
      </c>
      <c r="H1182" t="str">
        <f>IF(Comuni__2[[#This Row],[Popolazione2011]]&gt;300000,"MAGGIORE","")</f>
        <v/>
      </c>
      <c r="J1182">
        <v>3769</v>
      </c>
      <c r="K1182">
        <v>960</v>
      </c>
      <c r="L1182">
        <v>1267</v>
      </c>
    </row>
    <row r="1183" spans="1:12" x14ac:dyDescent="0.2">
      <c r="A1183"/>
      <c r="B1183"/>
      <c r="C1183"/>
      <c r="D1183"/>
      <c r="E1183" s="2">
        <f>Comuni__2[[#This Row],[Popolazione2011]]/$D$7911</f>
        <v>3.8671844610133538E-5</v>
      </c>
      <c r="F1183">
        <f>SUMIFS($D$2:$D$7909, $B$2:$B$7909, "Campania")</f>
        <v>5766810</v>
      </c>
      <c r="G1183" s="1">
        <f>Comuni__2[[#This Row],[Popolazione2011]]/Comuni__2[[#This Row],[POPOLAZIONE TOTALE DI OGNI REGIONE (CON FILTRO)]]</f>
        <v>3.9848720523131506E-4</v>
      </c>
      <c r="H1183" t="str">
        <f>IF(Comuni__2[[#This Row],[Popolazione2011]]&gt;300000,"MAGGIORE","")</f>
        <v/>
      </c>
      <c r="J1183">
        <v>4011</v>
      </c>
      <c r="K1183">
        <v>1075</v>
      </c>
      <c r="L1183">
        <v>1344</v>
      </c>
    </row>
    <row r="1184" spans="1:12" x14ac:dyDescent="0.2">
      <c r="A1184"/>
      <c r="B1184"/>
      <c r="C1184"/>
      <c r="D1184"/>
      <c r="E1184" s="2">
        <f>Comuni__2[[#This Row],[Popolazione2011]]/$D$7911</f>
        <v>3.8503559820707363E-5</v>
      </c>
      <c r="F1184">
        <f>SUMIFS($D$2:$D$7909, $B$2:$B$7909, "Campania")</f>
        <v>5766810</v>
      </c>
      <c r="G1184" s="1">
        <f>Comuni__2[[#This Row],[Popolazione2011]]/Comuni__2[[#This Row],[POPOLAZIONE TOTALE DI OGNI REGIONE (CON FILTRO)]]</f>
        <v>3.967531442860091E-4</v>
      </c>
      <c r="H1184" t="str">
        <f>IF(Comuni__2[[#This Row],[Popolazione2011]]&gt;300000,"MAGGIORE","")</f>
        <v/>
      </c>
      <c r="J1184">
        <v>4102</v>
      </c>
      <c r="K1184">
        <v>1141</v>
      </c>
      <c r="L1184">
        <v>1443</v>
      </c>
    </row>
    <row r="1185" spans="1:12" x14ac:dyDescent="0.2">
      <c r="A1185"/>
      <c r="B1185"/>
      <c r="C1185"/>
      <c r="D1185"/>
      <c r="E1185" s="2">
        <f>Comuni__2[[#This Row],[Popolazione2011]]/$D$7911</f>
        <v>3.8503559820707363E-5</v>
      </c>
      <c r="F1185">
        <f>SUMIFS($D$2:$D$7909, $B$2:$B$7909, "Campania")</f>
        <v>5766810</v>
      </c>
      <c r="G1185" s="1">
        <f>Comuni__2[[#This Row],[Popolazione2011]]/Comuni__2[[#This Row],[POPOLAZIONE TOTALE DI OGNI REGIONE (CON FILTRO)]]</f>
        <v>3.967531442860091E-4</v>
      </c>
      <c r="H1185" t="str">
        <f>IF(Comuni__2[[#This Row],[Popolazione2011]]&gt;300000,"MAGGIORE","")</f>
        <v/>
      </c>
      <c r="J1185">
        <v>4130</v>
      </c>
      <c r="K1185">
        <v>1227</v>
      </c>
      <c r="L1185">
        <v>1538</v>
      </c>
    </row>
    <row r="1186" spans="1:12" x14ac:dyDescent="0.2">
      <c r="A1186"/>
      <c r="B1186"/>
      <c r="C1186"/>
      <c r="D1186"/>
      <c r="E1186" s="2">
        <f>Comuni__2[[#This Row],[Popolazione2011]]/$D$7911</f>
        <v>3.8301618073395962E-5</v>
      </c>
      <c r="F1186">
        <f>SUMIFS($D$2:$D$7909, $B$2:$B$7909, "Campania")</f>
        <v>5766810</v>
      </c>
      <c r="G1186" s="1">
        <f>Comuni__2[[#This Row],[Popolazione2011]]/Comuni__2[[#This Row],[POPOLAZIONE TOTALE DI OGNI REGIONE (CON FILTRO)]]</f>
        <v>3.9467227115164188E-4</v>
      </c>
      <c r="H1186" t="str">
        <f>IF(Comuni__2[[#This Row],[Popolazione2011]]&gt;300000,"MAGGIORE","")</f>
        <v/>
      </c>
      <c r="J1186">
        <v>4118</v>
      </c>
      <c r="K1186">
        <v>1477</v>
      </c>
      <c r="L1186">
        <v>1644</v>
      </c>
    </row>
    <row r="1187" spans="1:12" x14ac:dyDescent="0.2">
      <c r="A1187"/>
      <c r="B1187"/>
      <c r="C1187"/>
      <c r="D1187"/>
      <c r="E1187" s="2">
        <f>Comuni__2[[#This Row],[Popolazione2011]]/$D$7911</f>
        <v>3.7880906099830539E-5</v>
      </c>
      <c r="F1187">
        <f>SUMIFS($D$2:$D$7909, $B$2:$B$7909, "Campania")</f>
        <v>5766810</v>
      </c>
      <c r="G1187" s="1">
        <f>Comuni__2[[#This Row],[Popolazione2011]]/Comuni__2[[#This Row],[POPOLAZIONE TOTALE DI OGNI REGIONE (CON FILTRO)]]</f>
        <v>3.9033711878837696E-4</v>
      </c>
      <c r="H1187" t="str">
        <f>IF(Comuni__2[[#This Row],[Popolazione2011]]&gt;300000,"MAGGIORE","")</f>
        <v/>
      </c>
      <c r="J1187">
        <v>4257</v>
      </c>
      <c r="K1187">
        <v>1566</v>
      </c>
      <c r="L1187">
        <v>1732</v>
      </c>
    </row>
    <row r="1188" spans="1:12" x14ac:dyDescent="0.2">
      <c r="A1188"/>
      <c r="B1188"/>
      <c r="C1188"/>
      <c r="D1188"/>
      <c r="E1188" s="2">
        <f>Comuni__2[[#This Row],[Popolazione2011]]/$D$7911</f>
        <v>3.7813592184060075E-5</v>
      </c>
      <c r="F1188">
        <f>SUMIFS($D$2:$D$7909, $B$2:$B$7909, "Campania")</f>
        <v>5766810</v>
      </c>
      <c r="G1188" s="1">
        <f>Comuni__2[[#This Row],[Popolazione2011]]/Comuni__2[[#This Row],[POPOLAZIONE TOTALE DI OGNI REGIONE (CON FILTRO)]]</f>
        <v>3.8964349441025455E-4</v>
      </c>
      <c r="H1188" t="str">
        <f>IF(Comuni__2[[#This Row],[Popolazione2011]]&gt;300000,"MAGGIORE","")</f>
        <v/>
      </c>
      <c r="J1188">
        <v>4310</v>
      </c>
      <c r="K1188">
        <v>1663</v>
      </c>
      <c r="L1188">
        <v>1811</v>
      </c>
    </row>
    <row r="1189" spans="1:12" x14ac:dyDescent="0.2">
      <c r="A1189"/>
      <c r="B1189"/>
      <c r="C1189"/>
      <c r="D1189"/>
      <c r="E1189" s="2">
        <f>Comuni__2[[#This Row],[Popolazione2011]]/$D$7911</f>
        <v>3.7712621310404371E-5</v>
      </c>
      <c r="F1189">
        <f>SUMIFS($D$2:$D$7909, $B$2:$B$7909, "Campania")</f>
        <v>5766810</v>
      </c>
      <c r="G1189" s="1">
        <f>Comuni__2[[#This Row],[Popolazione2011]]/Comuni__2[[#This Row],[POPOLAZIONE TOTALE DI OGNI REGIONE (CON FILTRO)]]</f>
        <v>3.8860305784307094E-4</v>
      </c>
      <c r="H1189" t="str">
        <f>IF(Comuni__2[[#This Row],[Popolazione2011]]&gt;300000,"MAGGIORE","")</f>
        <v/>
      </c>
      <c r="J1189">
        <v>4279</v>
      </c>
      <c r="K1189">
        <v>1852</v>
      </c>
      <c r="L1189">
        <v>1902</v>
      </c>
    </row>
    <row r="1190" spans="1:12" x14ac:dyDescent="0.2">
      <c r="A1190"/>
      <c r="B1190"/>
      <c r="C1190"/>
      <c r="D1190"/>
      <c r="E1190" s="2">
        <f>Comuni__2[[#This Row],[Popolazione2011]]/$D$7911</f>
        <v>3.7678964352519139E-5</v>
      </c>
      <c r="F1190">
        <f>SUMIFS($D$2:$D$7909, $B$2:$B$7909, "Campania")</f>
        <v>5766810</v>
      </c>
      <c r="G1190" s="1">
        <f>Comuni__2[[#This Row],[Popolazione2011]]/Comuni__2[[#This Row],[POPOLAZIONE TOTALE DI OGNI REGIONE (CON FILTRO)]]</f>
        <v>3.8825624565400974E-4</v>
      </c>
      <c r="H1190" t="str">
        <f>IF(Comuni__2[[#This Row],[Popolazione2011]]&gt;300000,"MAGGIORE","")</f>
        <v/>
      </c>
      <c r="J1190">
        <v>4217</v>
      </c>
      <c r="K1190">
        <v>2040</v>
      </c>
      <c r="L1190">
        <v>1977</v>
      </c>
    </row>
    <row r="1191" spans="1:12" x14ac:dyDescent="0.2">
      <c r="A1191"/>
      <c r="B1191"/>
      <c r="C1191"/>
      <c r="D1191"/>
      <c r="E1191" s="2">
        <f>Comuni__2[[#This Row],[Popolazione2011]]/$D$7911</f>
        <v>3.7577993478863442E-5</v>
      </c>
      <c r="F1191">
        <f>SUMIFS($D$2:$D$7909, $B$2:$B$7909, "Campania")</f>
        <v>5766810</v>
      </c>
      <c r="G1191" s="1">
        <f>Comuni__2[[#This Row],[Popolazione2011]]/Comuni__2[[#This Row],[POPOLAZIONE TOTALE DI OGNI REGIONE (CON FILTRO)]]</f>
        <v>3.8721580908682618E-4</v>
      </c>
      <c r="H1191" t="str">
        <f>IF(Comuni__2[[#This Row],[Popolazione2011]]&gt;300000,"MAGGIORE","")</f>
        <v/>
      </c>
      <c r="J1191">
        <v>4214</v>
      </c>
      <c r="K1191">
        <v>2201</v>
      </c>
      <c r="L1191">
        <v>2051</v>
      </c>
    </row>
    <row r="1192" spans="1:12" x14ac:dyDescent="0.2">
      <c r="A1192"/>
      <c r="B1192"/>
      <c r="C1192"/>
      <c r="D1192"/>
      <c r="E1192" s="2">
        <f>Comuni__2[[#This Row],[Popolazione2011]]/$D$7911</f>
        <v>3.7443365647322506E-5</v>
      </c>
      <c r="F1192">
        <f>SUMIFS($D$2:$D$7909, $B$2:$B$7909, "Campania")</f>
        <v>5766810</v>
      </c>
      <c r="G1192" s="1">
        <f>Comuni__2[[#This Row],[Popolazione2011]]/Comuni__2[[#This Row],[POPOLAZIONE TOTALE DI OGNI REGIONE (CON FILTRO)]]</f>
        <v>3.8582856033058137E-4</v>
      </c>
      <c r="H1192" t="str">
        <f>IF(Comuni__2[[#This Row],[Popolazione2011]]&gt;300000,"MAGGIORE","")</f>
        <v/>
      </c>
      <c r="J1192">
        <v>4176</v>
      </c>
      <c r="K1192">
        <v>2397</v>
      </c>
      <c r="L1192">
        <v>2108</v>
      </c>
    </row>
    <row r="1193" spans="1:12" x14ac:dyDescent="0.2">
      <c r="A1193"/>
      <c r="B1193"/>
      <c r="C1193"/>
      <c r="D1193"/>
      <c r="E1193" s="2">
        <f>Comuni__2[[#This Row],[Popolazione2011]]/$D$7911</f>
        <v>3.698899671587185E-5</v>
      </c>
      <c r="F1193">
        <f>SUMIFS($D$2:$D$7909, $B$2:$B$7909, "Campania")</f>
        <v>5766810</v>
      </c>
      <c r="G1193" s="1">
        <f>Comuni__2[[#This Row],[Popolazione2011]]/Comuni__2[[#This Row],[POPOLAZIONE TOTALE DI OGNI REGIONE (CON FILTRO)]]</f>
        <v>3.8114659577825525E-4</v>
      </c>
      <c r="H1193" t="str">
        <f>IF(Comuni__2[[#This Row],[Popolazione2011]]&gt;300000,"MAGGIORE","")</f>
        <v/>
      </c>
      <c r="J1193">
        <v>4116</v>
      </c>
      <c r="K1193">
        <v>2597</v>
      </c>
      <c r="L1193">
        <v>2180</v>
      </c>
    </row>
    <row r="1194" spans="1:12" x14ac:dyDescent="0.2">
      <c r="A1194"/>
      <c r="B1194"/>
      <c r="C1194"/>
      <c r="D1194"/>
      <c r="E1194" s="2">
        <f>Comuni__2[[#This Row],[Popolazione2011]]/$D$7911</f>
        <v>3.6837540405388299E-5</v>
      </c>
      <c r="F1194">
        <f>SUMIFS($D$2:$D$7909, $B$2:$B$7909, "Campania")</f>
        <v>5766810</v>
      </c>
      <c r="G1194" s="1">
        <f>Comuni__2[[#This Row],[Popolazione2011]]/Comuni__2[[#This Row],[POPOLAZIONE TOTALE DI OGNI REGIONE (CON FILTRO)]]</f>
        <v>3.7958594092747986E-4</v>
      </c>
      <c r="H1194" t="str">
        <f>IF(Comuni__2[[#This Row],[Popolazione2011]]&gt;300000,"MAGGIORE","")</f>
        <v/>
      </c>
      <c r="J1194">
        <v>4130</v>
      </c>
      <c r="K1194">
        <v>2890</v>
      </c>
      <c r="L1194">
        <v>2234</v>
      </c>
    </row>
    <row r="1195" spans="1:12" x14ac:dyDescent="0.2">
      <c r="A1195"/>
      <c r="B1195"/>
      <c r="C1195"/>
      <c r="D1195"/>
      <c r="E1195" s="2">
        <f>Comuni__2[[#This Row],[Popolazione2011]]/$D$7911</f>
        <v>3.6770226489617827E-5</v>
      </c>
      <c r="F1195">
        <f>SUMIFS($D$2:$D$7909, $B$2:$B$7909, "Campania")</f>
        <v>5766810</v>
      </c>
      <c r="G1195" s="1">
        <f>Comuni__2[[#This Row],[Popolazione2011]]/Comuni__2[[#This Row],[POPOLAZIONE TOTALE DI OGNI REGIONE (CON FILTRO)]]</f>
        <v>3.7889231654935745E-4</v>
      </c>
      <c r="H1195" t="str">
        <f>IF(Comuni__2[[#This Row],[Popolazione2011]]&gt;300000,"MAGGIORE","")</f>
        <v/>
      </c>
      <c r="J1195">
        <v>4077</v>
      </c>
      <c r="K1195">
        <v>3103</v>
      </c>
      <c r="L1195">
        <v>2316</v>
      </c>
    </row>
    <row r="1196" spans="1:12" x14ac:dyDescent="0.2">
      <c r="A1196"/>
      <c r="B1196"/>
      <c r="C1196"/>
      <c r="D1196"/>
      <c r="E1196" s="2">
        <f>Comuni__2[[#This Row],[Popolazione2011]]/$D$7911</f>
        <v>3.6467313868650723E-5</v>
      </c>
      <c r="F1196">
        <f>SUMIFS($D$2:$D$7909, $B$2:$B$7909, "Campania")</f>
        <v>5766810</v>
      </c>
      <c r="G1196" s="1">
        <f>Comuni__2[[#This Row],[Popolazione2011]]/Comuni__2[[#This Row],[POPOLAZIONE TOTALE DI OGNI REGIONE (CON FILTRO)]]</f>
        <v>3.7577100684780667E-4</v>
      </c>
      <c r="H1196" t="str">
        <f>IF(Comuni__2[[#This Row],[Popolazione2011]]&gt;300000,"MAGGIORE","")</f>
        <v/>
      </c>
      <c r="J1196">
        <v>3945</v>
      </c>
      <c r="K1196">
        <v>3381</v>
      </c>
      <c r="L1196">
        <v>2397</v>
      </c>
    </row>
    <row r="1197" spans="1:12" x14ac:dyDescent="0.2">
      <c r="A1197"/>
      <c r="B1197"/>
      <c r="C1197"/>
      <c r="D1197"/>
      <c r="E1197" s="2">
        <f>Comuni__2[[#This Row],[Popolazione2011]]/$D$7911</f>
        <v>3.6433656910765491E-5</v>
      </c>
      <c r="F1197">
        <f>SUMIFS($D$2:$D$7909, $B$2:$B$7909, "Campania")</f>
        <v>5766810</v>
      </c>
      <c r="G1197" s="1">
        <f>Comuni__2[[#This Row],[Popolazione2011]]/Comuni__2[[#This Row],[POPOLAZIONE TOTALE DI OGNI REGIONE (CON FILTRO)]]</f>
        <v>3.7542419465874546E-4</v>
      </c>
      <c r="H1197" t="str">
        <f>IF(Comuni__2[[#This Row],[Popolazione2011]]&gt;300000,"MAGGIORE","")</f>
        <v/>
      </c>
      <c r="J1197">
        <v>3871</v>
      </c>
      <c r="K1197">
        <v>3659</v>
      </c>
      <c r="L1197">
        <v>2481</v>
      </c>
    </row>
    <row r="1198" spans="1:12" x14ac:dyDescent="0.2">
      <c r="A1198"/>
      <c r="B1198"/>
      <c r="C1198"/>
      <c r="D1198"/>
      <c r="E1198" s="2">
        <f>Comuni__2[[#This Row],[Popolazione2011]]/$D$7911</f>
        <v>3.5407119695265867E-5</v>
      </c>
      <c r="F1198">
        <f>SUMIFS($D$2:$D$7909, $B$2:$B$7909, "Campania")</f>
        <v>5766810</v>
      </c>
      <c r="G1198" s="1">
        <f>Comuni__2[[#This Row],[Popolazione2011]]/Comuni__2[[#This Row],[POPOLAZIONE TOTALE DI OGNI REGIONE (CON FILTRO)]]</f>
        <v>3.6484642289237899E-4</v>
      </c>
      <c r="H1198" t="str">
        <f>IF(Comuni__2[[#This Row],[Popolazione2011]]&gt;300000,"MAGGIORE","")</f>
        <v/>
      </c>
      <c r="J1198">
        <v>3826</v>
      </c>
      <c r="K1198">
        <v>3862</v>
      </c>
      <c r="L1198">
        <v>2564</v>
      </c>
    </row>
    <row r="1199" spans="1:12" x14ac:dyDescent="0.2">
      <c r="A1199"/>
      <c r="B1199"/>
      <c r="C1199"/>
      <c r="D1199"/>
      <c r="E1199" s="2">
        <f>Comuni__2[[#This Row],[Popolazione2011]]/$D$7911</f>
        <v>3.5188349469011844E-5</v>
      </c>
      <c r="F1199">
        <f>SUMIFS($D$2:$D$7909, $B$2:$B$7909, "Campania")</f>
        <v>5766810</v>
      </c>
      <c r="G1199" s="1">
        <f>Comuni__2[[#This Row],[Popolazione2011]]/Comuni__2[[#This Row],[POPOLAZIONE TOTALE DI OGNI REGIONE (CON FILTRO)]]</f>
        <v>3.6259214366348119E-4</v>
      </c>
      <c r="H1199" t="str">
        <f>IF(Comuni__2[[#This Row],[Popolazione2011]]&gt;300000,"MAGGIORE","")</f>
        <v/>
      </c>
      <c r="J1199">
        <v>3821</v>
      </c>
      <c r="K1199">
        <v>4007</v>
      </c>
      <c r="L1199">
        <v>2615</v>
      </c>
    </row>
    <row r="1200" spans="1:12" x14ac:dyDescent="0.2">
      <c r="A1200"/>
      <c r="B1200"/>
      <c r="C1200"/>
      <c r="D1200"/>
      <c r="E1200" s="2">
        <f>Comuni__2[[#This Row],[Popolazione2011]]/$D$7911</f>
        <v>3.5121035553241379E-5</v>
      </c>
      <c r="F1200">
        <f>SUMIFS($D$2:$D$7909, $B$2:$B$7909, "Campania")</f>
        <v>5766810</v>
      </c>
      <c r="G1200" s="1">
        <f>Comuni__2[[#This Row],[Popolazione2011]]/Comuni__2[[#This Row],[POPOLAZIONE TOTALE DI OGNI REGIONE (CON FILTRO)]]</f>
        <v>3.6189851928535878E-4</v>
      </c>
      <c r="H1200" t="str">
        <f>IF(Comuni__2[[#This Row],[Popolazione2011]]&gt;300000,"MAGGIORE","")</f>
        <v/>
      </c>
      <c r="J1200">
        <v>3801</v>
      </c>
      <c r="K1200">
        <v>4269</v>
      </c>
      <c r="L1200">
        <v>2705</v>
      </c>
    </row>
    <row r="1201" spans="1:12" x14ac:dyDescent="0.2">
      <c r="A1201"/>
      <c r="B1201"/>
      <c r="C1201"/>
      <c r="D1201"/>
      <c r="E1201" s="2">
        <f>Comuni__2[[#This Row],[Popolazione2011]]/$D$7911</f>
        <v>3.5036893158528292E-5</v>
      </c>
      <c r="F1201">
        <f>SUMIFS($D$2:$D$7909, $B$2:$B$7909, "Campania")</f>
        <v>5766810</v>
      </c>
      <c r="G1201" s="1">
        <f>Comuni__2[[#This Row],[Popolazione2011]]/Comuni__2[[#This Row],[POPOLAZIONE TOTALE DI OGNI REGIONE (CON FILTRO)]]</f>
        <v>3.610314888127058E-4</v>
      </c>
      <c r="H1201" t="str">
        <f>IF(Comuni__2[[#This Row],[Popolazione2011]]&gt;300000,"MAGGIORE","")</f>
        <v/>
      </c>
      <c r="J1201">
        <v>3713</v>
      </c>
      <c r="K1201">
        <v>4664</v>
      </c>
      <c r="L1201">
        <v>2788</v>
      </c>
    </row>
    <row r="1202" spans="1:12" x14ac:dyDescent="0.2">
      <c r="A1202"/>
      <c r="B1202"/>
      <c r="C1202"/>
      <c r="D1202"/>
      <c r="E1202" s="2">
        <f>Comuni__2[[#This Row],[Popolazione2011]]/$D$7911</f>
        <v>3.5020064679585676E-5</v>
      </c>
      <c r="F1202">
        <f>SUMIFS($D$2:$D$7909, $B$2:$B$7909, "Campania")</f>
        <v>5766810</v>
      </c>
      <c r="G1202" s="1">
        <f>Comuni__2[[#This Row],[Popolazione2011]]/Comuni__2[[#This Row],[POPOLAZIONE TOTALE DI OGNI REGIONE (CON FILTRO)]]</f>
        <v>3.6085808271817523E-4</v>
      </c>
      <c r="H1202" t="str">
        <f>IF(Comuni__2[[#This Row],[Popolazione2011]]&gt;300000,"MAGGIORE","")</f>
        <v/>
      </c>
      <c r="J1202">
        <v>3676</v>
      </c>
      <c r="K1202">
        <v>4980</v>
      </c>
      <c r="L1202">
        <v>2843</v>
      </c>
    </row>
    <row r="1203" spans="1:12" x14ac:dyDescent="0.2">
      <c r="A1203"/>
      <c r="B1203"/>
      <c r="C1203"/>
      <c r="D1203"/>
      <c r="E1203" s="2">
        <f>Comuni__2[[#This Row],[Popolazione2011]]/$D$7911</f>
        <v>3.4952750763815211E-5</v>
      </c>
      <c r="F1203">
        <f>SUMIFS($D$2:$D$7909, $B$2:$B$7909, "Campania")</f>
        <v>5766810</v>
      </c>
      <c r="G1203" s="1">
        <f>Comuni__2[[#This Row],[Popolazione2011]]/Comuni__2[[#This Row],[POPOLAZIONE TOTALE DI OGNI REGIONE (CON FILTRO)]]</f>
        <v>3.6016445834005282E-4</v>
      </c>
      <c r="H1203" t="str">
        <f>IF(Comuni__2[[#This Row],[Popolazione2011]]&gt;300000,"MAGGIORE","")</f>
        <v/>
      </c>
      <c r="J1203">
        <v>3639</v>
      </c>
      <c r="K1203">
        <v>5346</v>
      </c>
      <c r="L1203">
        <v>2903</v>
      </c>
    </row>
    <row r="1204" spans="1:12" x14ac:dyDescent="0.2">
      <c r="A1204"/>
      <c r="B1204"/>
      <c r="C1204"/>
      <c r="D1204"/>
      <c r="E1204" s="2">
        <f>Comuni__2[[#This Row],[Popolazione2011]]/$D$7911</f>
        <v>3.4599352706020252E-5</v>
      </c>
      <c r="F1204">
        <f>SUMIFS($D$2:$D$7909, $B$2:$B$7909, "Campania")</f>
        <v>5766810</v>
      </c>
      <c r="G1204" s="1">
        <f>Comuni__2[[#This Row],[Popolazione2011]]/Comuni__2[[#This Row],[POPOLAZIONE TOTALE DI OGNI REGIONE (CON FILTRO)]]</f>
        <v>3.5652293035491026E-4</v>
      </c>
      <c r="H1204" t="str">
        <f>IF(Comuni__2[[#This Row],[Popolazione2011]]&gt;300000,"MAGGIORE","")</f>
        <v/>
      </c>
      <c r="J1204">
        <v>3530</v>
      </c>
      <c r="K1204">
        <v>5635</v>
      </c>
      <c r="L1204">
        <v>2965</v>
      </c>
    </row>
    <row r="1205" spans="1:12" x14ac:dyDescent="0.2">
      <c r="A1205"/>
      <c r="B1205"/>
      <c r="C1205"/>
      <c r="D1205"/>
      <c r="E1205" s="2">
        <f>Comuni__2[[#This Row],[Popolazione2011]]/$D$7911</f>
        <v>3.392621354831558E-5</v>
      </c>
      <c r="F1205">
        <f>SUMIFS($D$2:$D$7909, $B$2:$B$7909, "Campania")</f>
        <v>5766810</v>
      </c>
      <c r="G1205" s="1">
        <f>Comuni__2[[#This Row],[Popolazione2011]]/Comuni__2[[#This Row],[POPOLAZIONE TOTALE DI OGNI REGIONE (CON FILTRO)]]</f>
        <v>3.4958668657368634E-4</v>
      </c>
      <c r="H1205" t="str">
        <f>IF(Comuni__2[[#This Row],[Popolazione2011]]&gt;300000,"MAGGIORE","")</f>
        <v/>
      </c>
      <c r="J1205">
        <v>3455</v>
      </c>
      <c r="K1205">
        <v>5985</v>
      </c>
      <c r="L1205">
        <v>3023</v>
      </c>
    </row>
    <row r="1206" spans="1:12" x14ac:dyDescent="0.2">
      <c r="A1206"/>
      <c r="B1206"/>
      <c r="C1206"/>
      <c r="D1206"/>
      <c r="E1206" s="2">
        <f>Comuni__2[[#This Row],[Popolazione2011]]/$D$7911</f>
        <v>3.3741100279946796E-5</v>
      </c>
      <c r="F1206">
        <f>SUMIFS($D$2:$D$7909, $B$2:$B$7909, "Campania")</f>
        <v>5766810</v>
      </c>
      <c r="G1206" s="1">
        <f>Comuni__2[[#This Row],[Popolazione2011]]/Comuni__2[[#This Row],[POPOLAZIONE TOTALE DI OGNI REGIONE (CON FILTRO)]]</f>
        <v>3.4767921953384975E-4</v>
      </c>
      <c r="H1206" t="str">
        <f>IF(Comuni__2[[#This Row],[Popolazione2011]]&gt;300000,"MAGGIORE","")</f>
        <v/>
      </c>
      <c r="J1206">
        <v>3427</v>
      </c>
      <c r="K1206">
        <v>6266</v>
      </c>
      <c r="L1206">
        <v>3079</v>
      </c>
    </row>
    <row r="1207" spans="1:12" x14ac:dyDescent="0.2">
      <c r="A1207"/>
      <c r="B1207"/>
      <c r="C1207"/>
      <c r="D1207"/>
      <c r="E1207" s="2">
        <f>Comuni__2[[#This Row],[Popolazione2011]]/$D$7911</f>
        <v>3.3656957885233708E-5</v>
      </c>
      <c r="F1207">
        <f>SUMIFS($D$2:$D$7909, $B$2:$B$7909, "Campania")</f>
        <v>5766810</v>
      </c>
      <c r="G1207" s="1">
        <f>Comuni__2[[#This Row],[Popolazione2011]]/Comuni__2[[#This Row],[POPOLAZIONE TOTALE DI OGNI REGIONE (CON FILTRO)]]</f>
        <v>3.4681218906119676E-4</v>
      </c>
      <c r="H1207" t="str">
        <f>IF(Comuni__2[[#This Row],[Popolazione2011]]&gt;300000,"MAGGIORE","")</f>
        <v/>
      </c>
      <c r="J1207">
        <v>3327</v>
      </c>
      <c r="K1207">
        <v>6701</v>
      </c>
      <c r="L1207">
        <v>3147</v>
      </c>
    </row>
    <row r="1208" spans="1:12" x14ac:dyDescent="0.2">
      <c r="A1208"/>
      <c r="B1208"/>
      <c r="C1208"/>
      <c r="D1208"/>
      <c r="E1208" s="2">
        <f>Comuni__2[[#This Row],[Popolazione2011]]/$D$7911</f>
        <v>3.3370873743209228E-5</v>
      </c>
      <c r="F1208">
        <f>SUMIFS($D$2:$D$7909, $B$2:$B$7909, "Campania")</f>
        <v>5766810</v>
      </c>
      <c r="G1208" s="1">
        <f>Comuni__2[[#This Row],[Popolazione2011]]/Comuni__2[[#This Row],[POPOLAZIONE TOTALE DI OGNI REGIONE (CON FILTRO)]]</f>
        <v>3.4386428545417656E-4</v>
      </c>
      <c r="H1208" t="str">
        <f>IF(Comuni__2[[#This Row],[Popolazione2011]]&gt;300000,"MAGGIORE","")</f>
        <v/>
      </c>
      <c r="J1208">
        <v>3246</v>
      </c>
      <c r="K1208">
        <v>7146</v>
      </c>
      <c r="L1208">
        <v>3204</v>
      </c>
    </row>
    <row r="1209" spans="1:12" x14ac:dyDescent="0.2">
      <c r="A1209"/>
      <c r="B1209"/>
      <c r="C1209"/>
      <c r="D1209"/>
      <c r="E1209" s="2">
        <f>Comuni__2[[#This Row],[Popolazione2011]]/$D$7911</f>
        <v>3.3185760474840437E-5</v>
      </c>
      <c r="F1209">
        <f>SUMIFS($D$2:$D$7909, $B$2:$B$7909, "Campania")</f>
        <v>5766810</v>
      </c>
      <c r="G1209" s="1">
        <f>Comuni__2[[#This Row],[Popolazione2011]]/Comuni__2[[#This Row],[POPOLAZIONE TOTALE DI OGNI REGIONE (CON FILTRO)]]</f>
        <v>3.4195681841433996E-4</v>
      </c>
      <c r="H1209" t="str">
        <f>IF(Comuni__2[[#This Row],[Popolazione2011]]&gt;300000,"MAGGIORE","")</f>
        <v/>
      </c>
      <c r="J1209">
        <v>3155</v>
      </c>
      <c r="K1209">
        <v>7609</v>
      </c>
      <c r="L1209">
        <v>3269</v>
      </c>
    </row>
    <row r="1210" spans="1:12" x14ac:dyDescent="0.2">
      <c r="A1210"/>
      <c r="B1210"/>
      <c r="C1210"/>
      <c r="D1210"/>
      <c r="E1210" s="2">
        <f>Comuni__2[[#This Row],[Popolazione2011]]/$D$7911</f>
        <v>3.3152103516955204E-5</v>
      </c>
      <c r="F1210">
        <f>SUMIFS($D$2:$D$7909, $B$2:$B$7909, "Campania")</f>
        <v>5766810</v>
      </c>
      <c r="G1210" s="1">
        <f>Comuni__2[[#This Row],[Popolazione2011]]/Comuni__2[[#This Row],[POPOLAZIONE TOTALE DI OGNI REGIONE (CON FILTRO)]]</f>
        <v>3.4161000622527881E-4</v>
      </c>
      <c r="H1210" t="str">
        <f>IF(Comuni__2[[#This Row],[Popolazione2011]]&gt;300000,"MAGGIORE","")</f>
        <v/>
      </c>
      <c r="J1210">
        <v>3071</v>
      </c>
      <c r="K1210">
        <v>8158</v>
      </c>
      <c r="L1210">
        <v>3303</v>
      </c>
    </row>
    <row r="1211" spans="1:12" x14ac:dyDescent="0.2">
      <c r="A1211"/>
      <c r="B1211"/>
      <c r="C1211"/>
      <c r="D1211"/>
      <c r="E1211" s="2">
        <f>Comuni__2[[#This Row],[Popolazione2011]]/$D$7911</f>
        <v>3.3118446559069972E-5</v>
      </c>
      <c r="F1211">
        <f>SUMIFS($D$2:$D$7909, $B$2:$B$7909, "Campania")</f>
        <v>5766810</v>
      </c>
      <c r="G1211" s="1">
        <f>Comuni__2[[#This Row],[Popolazione2011]]/Comuni__2[[#This Row],[POPOLAZIONE TOTALE DI OGNI REGIONE (CON FILTRO)]]</f>
        <v>3.4126319403621761E-4</v>
      </c>
      <c r="H1211" t="str">
        <f>IF(Comuni__2[[#This Row],[Popolazione2011]]&gt;300000,"MAGGIORE","")</f>
        <v/>
      </c>
      <c r="J1211">
        <v>2964</v>
      </c>
      <c r="K1211">
        <v>8515</v>
      </c>
      <c r="L1211">
        <v>3347</v>
      </c>
    </row>
    <row r="1212" spans="1:12" x14ac:dyDescent="0.2">
      <c r="A1212"/>
      <c r="B1212"/>
      <c r="C1212"/>
      <c r="D1212"/>
      <c r="E1212" s="2">
        <f>Comuni__2[[#This Row],[Popolazione2011]]/$D$7911</f>
        <v>3.2899676332815956E-5</v>
      </c>
      <c r="F1212">
        <f>SUMIFS($D$2:$D$7909, $B$2:$B$7909, "Campania")</f>
        <v>5766810</v>
      </c>
      <c r="G1212" s="1">
        <f>Comuni__2[[#This Row],[Popolazione2011]]/Comuni__2[[#This Row],[POPOLAZIONE TOTALE DI OGNI REGIONE (CON FILTRO)]]</f>
        <v>3.3900891480731981E-4</v>
      </c>
      <c r="H1212" t="str">
        <f>IF(Comuni__2[[#This Row],[Popolazione2011]]&gt;300000,"MAGGIORE","")</f>
        <v/>
      </c>
      <c r="J1212">
        <v>2940</v>
      </c>
      <c r="K1212">
        <v>8723</v>
      </c>
      <c r="L1212">
        <v>3386</v>
      </c>
    </row>
    <row r="1213" spans="1:12" x14ac:dyDescent="0.2">
      <c r="A1213"/>
      <c r="B1213"/>
      <c r="C1213"/>
      <c r="D1213"/>
      <c r="E1213" s="2">
        <f>Comuni__2[[#This Row],[Popolazione2011]]/$D$7911</f>
        <v>3.2579935232906236E-5</v>
      </c>
      <c r="F1213">
        <f>SUMIFS($D$2:$D$7909, $B$2:$B$7909, "Campania")</f>
        <v>5766810</v>
      </c>
      <c r="G1213" s="1">
        <f>Comuni__2[[#This Row],[Popolazione2011]]/Comuni__2[[#This Row],[POPOLAZIONE TOTALE DI OGNI REGIONE (CON FILTRO)]]</f>
        <v>3.3571419901123846E-4</v>
      </c>
      <c r="H1213" t="str">
        <f>IF(Comuni__2[[#This Row],[Popolazione2011]]&gt;300000,"MAGGIORE","")</f>
        <v/>
      </c>
      <c r="J1213">
        <v>2887</v>
      </c>
      <c r="K1213">
        <v>9006</v>
      </c>
      <c r="L1213">
        <v>3431</v>
      </c>
    </row>
    <row r="1214" spans="1:12" x14ac:dyDescent="0.2">
      <c r="A1214"/>
      <c r="B1214"/>
      <c r="C1214"/>
      <c r="D1214"/>
      <c r="E1214" s="2">
        <f>Comuni__2[[#This Row],[Popolazione2011]]/$D$7911</f>
        <v>3.2344336527709596E-5</v>
      </c>
      <c r="F1214">
        <f>SUMIFS($D$2:$D$7909, $B$2:$B$7909, "Campania")</f>
        <v>5766810</v>
      </c>
      <c r="G1214" s="1">
        <f>Comuni__2[[#This Row],[Popolazione2011]]/Comuni__2[[#This Row],[POPOLAZIONE TOTALE DI OGNI REGIONE (CON FILTRO)]]</f>
        <v>3.3328651368781008E-4</v>
      </c>
      <c r="H1214" t="str">
        <f>IF(Comuni__2[[#This Row],[Popolazione2011]]&gt;300000,"MAGGIORE","")</f>
        <v/>
      </c>
      <c r="J1214">
        <v>2802</v>
      </c>
      <c r="K1214">
        <v>9439</v>
      </c>
      <c r="L1214">
        <v>3472</v>
      </c>
    </row>
    <row r="1215" spans="1:12" x14ac:dyDescent="0.2">
      <c r="A1215"/>
      <c r="B1215"/>
      <c r="C1215"/>
      <c r="D1215"/>
      <c r="E1215" s="2">
        <f>Comuni__2[[#This Row],[Popolazione2011]]/$D$7911</f>
        <v>3.200776694885726E-5</v>
      </c>
      <c r="F1215">
        <f>SUMIFS($D$2:$D$7909, $B$2:$B$7909, "Campania")</f>
        <v>5766810</v>
      </c>
      <c r="G1215" s="1">
        <f>Comuni__2[[#This Row],[Popolazione2011]]/Comuni__2[[#This Row],[POPOLAZIONE TOTALE DI OGNI REGIONE (CON FILTRO)]]</f>
        <v>3.298183917971981E-4</v>
      </c>
      <c r="H1215" t="str">
        <f>IF(Comuni__2[[#This Row],[Popolazione2011]]&gt;300000,"MAGGIORE","")</f>
        <v/>
      </c>
      <c r="J1215">
        <v>2753</v>
      </c>
      <c r="K1215">
        <v>9803</v>
      </c>
      <c r="L1215">
        <v>3512</v>
      </c>
    </row>
    <row r="1216" spans="1:12" x14ac:dyDescent="0.2">
      <c r="A1216"/>
      <c r="B1216"/>
      <c r="C1216"/>
      <c r="D1216"/>
      <c r="E1216" s="2">
        <f>Comuni__2[[#This Row],[Popolazione2011]]/$D$7911</f>
        <v>3.1856310638373708E-5</v>
      </c>
      <c r="F1216">
        <f>SUMIFS($D$2:$D$7909, $B$2:$B$7909, "Campania")</f>
        <v>5766810</v>
      </c>
      <c r="G1216" s="1">
        <f>Comuni__2[[#This Row],[Popolazione2011]]/Comuni__2[[#This Row],[POPOLAZIONE TOTALE DI OGNI REGIONE (CON FILTRO)]]</f>
        <v>3.2825773694642271E-4</v>
      </c>
      <c r="H1216" t="str">
        <f>IF(Comuni__2[[#This Row],[Popolazione2011]]&gt;300000,"MAGGIORE","")</f>
        <v/>
      </c>
      <c r="J1216">
        <v>2352</v>
      </c>
      <c r="K1216">
        <v>12322</v>
      </c>
      <c r="L1216">
        <v>3551</v>
      </c>
    </row>
    <row r="1217" spans="1:12" x14ac:dyDescent="0.2">
      <c r="A1217"/>
      <c r="B1217"/>
      <c r="C1217"/>
      <c r="D1217"/>
      <c r="E1217" s="2">
        <f>Comuni__2[[#This Row],[Popolazione2011]]/$D$7911</f>
        <v>3.1839482159431092E-5</v>
      </c>
      <c r="F1217">
        <f>SUMIFS($D$2:$D$7909, $B$2:$B$7909, "Campania")</f>
        <v>5766810</v>
      </c>
      <c r="G1217" s="1">
        <f>Comuni__2[[#This Row],[Popolazione2011]]/Comuni__2[[#This Row],[POPOLAZIONE TOTALE DI OGNI REGIONE (CON FILTRO)]]</f>
        <v>3.2808433085189213E-4</v>
      </c>
      <c r="H1217" t="str">
        <f>IF(Comuni__2[[#This Row],[Popolazione2011]]&gt;300000,"MAGGIORE","")</f>
        <v/>
      </c>
      <c r="J1217">
        <v>2309</v>
      </c>
      <c r="K1217">
        <v>12581</v>
      </c>
      <c r="L1217">
        <v>3579</v>
      </c>
    </row>
    <row r="1218" spans="1:12" x14ac:dyDescent="0.2">
      <c r="A1218"/>
      <c r="B1218"/>
      <c r="C1218"/>
      <c r="D1218"/>
      <c r="E1218" s="2">
        <f>Comuni__2[[#This Row],[Popolazione2011]]/$D$7911</f>
        <v>3.1788996722603237E-5</v>
      </c>
      <c r="F1218">
        <f>SUMIFS($D$2:$D$7909, $B$2:$B$7909, "Campania")</f>
        <v>5766810</v>
      </c>
      <c r="G1218" s="1">
        <f>Comuni__2[[#This Row],[Popolazione2011]]/Comuni__2[[#This Row],[POPOLAZIONE TOTALE DI OGNI REGIONE (CON FILTRO)]]</f>
        <v>3.275641125683003E-4</v>
      </c>
      <c r="H1218" t="str">
        <f>IF(Comuni__2[[#This Row],[Popolazione2011]]&gt;300000,"MAGGIORE","")</f>
        <v/>
      </c>
      <c r="J1218">
        <v>2229</v>
      </c>
      <c r="K1218">
        <v>12913</v>
      </c>
      <c r="L1218">
        <v>3614</v>
      </c>
    </row>
    <row r="1219" spans="1:12" x14ac:dyDescent="0.2">
      <c r="A1219"/>
      <c r="B1219"/>
      <c r="C1219"/>
      <c r="D1219"/>
      <c r="E1219" s="2">
        <f>Comuni__2[[#This Row],[Popolazione2011]]/$D$7911</f>
        <v>3.1519741059521372E-5</v>
      </c>
      <c r="F1219">
        <f>SUMIFS($D$2:$D$7909, $B$2:$B$7909, "Campania")</f>
        <v>5766810</v>
      </c>
      <c r="G1219" s="1">
        <f>Comuni__2[[#This Row],[Popolazione2011]]/Comuni__2[[#This Row],[POPOLAZIONE TOTALE DI OGNI REGIONE (CON FILTRO)]]</f>
        <v>3.2478961505581078E-4</v>
      </c>
      <c r="H1219" t="str">
        <f>IF(Comuni__2[[#This Row],[Popolazione2011]]&gt;300000,"MAGGIORE","")</f>
        <v/>
      </c>
      <c r="J1219">
        <v>2194</v>
      </c>
      <c r="K1219">
        <v>13329</v>
      </c>
      <c r="L1219">
        <v>3642</v>
      </c>
    </row>
    <row r="1220" spans="1:12" x14ac:dyDescent="0.2">
      <c r="A1220"/>
      <c r="B1220"/>
      <c r="C1220"/>
      <c r="D1220"/>
      <c r="E1220" s="2">
        <f>Comuni__2[[#This Row],[Popolazione2011]]/$D$7911</f>
        <v>3.1233656917496885E-5</v>
      </c>
      <c r="F1220">
        <f>SUMIFS($D$2:$D$7909, $B$2:$B$7909, "Campania")</f>
        <v>5766810</v>
      </c>
      <c r="G1220" s="1">
        <f>Comuni__2[[#This Row],[Popolazione2011]]/Comuni__2[[#This Row],[POPOLAZIONE TOTALE DI OGNI REGIONE (CON FILTRO)]]</f>
        <v>3.2184171144879057E-4</v>
      </c>
      <c r="H1220" t="str">
        <f>IF(Comuni__2[[#This Row],[Popolazione2011]]&gt;300000,"MAGGIORE","")</f>
        <v/>
      </c>
      <c r="J1220">
        <v>2167</v>
      </c>
      <c r="K1220">
        <v>13525</v>
      </c>
      <c r="L1220">
        <v>3666</v>
      </c>
    </row>
    <row r="1221" spans="1:12" x14ac:dyDescent="0.2">
      <c r="A1221"/>
      <c r="B1221"/>
      <c r="C1221"/>
      <c r="D1221"/>
      <c r="E1221" s="2">
        <f>Comuni__2[[#This Row],[Popolazione2011]]/$D$7911</f>
        <v>3.1149514522783797E-5</v>
      </c>
      <c r="F1221">
        <f>SUMIFS($D$2:$D$7909, $B$2:$B$7909, "Campania")</f>
        <v>5766810</v>
      </c>
      <c r="G1221" s="1">
        <f>Comuni__2[[#This Row],[Popolazione2011]]/Comuni__2[[#This Row],[POPOLAZIONE TOTALE DI OGNI REGIONE (CON FILTRO)]]</f>
        <v>3.2097468097613759E-4</v>
      </c>
      <c r="H1221" t="str">
        <f>IF(Comuni__2[[#This Row],[Popolazione2011]]&gt;300000,"MAGGIORE","")</f>
        <v/>
      </c>
      <c r="J1221">
        <v>2108</v>
      </c>
      <c r="K1221">
        <v>13889</v>
      </c>
      <c r="L1221">
        <v>3705</v>
      </c>
    </row>
    <row r="1222" spans="1:12" x14ac:dyDescent="0.2">
      <c r="A1222"/>
      <c r="B1222"/>
      <c r="C1222"/>
      <c r="D1222"/>
      <c r="E1222" s="2">
        <f>Comuni__2[[#This Row],[Popolazione2011]]/$D$7911</f>
        <v>3.0998058212300245E-5</v>
      </c>
      <c r="F1222">
        <f>SUMIFS($D$2:$D$7909, $B$2:$B$7909, "Campania")</f>
        <v>5766810</v>
      </c>
      <c r="G1222" s="1">
        <f>Comuni__2[[#This Row],[Popolazione2011]]/Comuni__2[[#This Row],[POPOLAZIONE TOTALE DI OGNI REGIONE (CON FILTRO)]]</f>
        <v>3.194140261253622E-4</v>
      </c>
      <c r="H1222" t="str">
        <f>IF(Comuni__2[[#This Row],[Popolazione2011]]&gt;300000,"MAGGIORE","")</f>
        <v/>
      </c>
      <c r="J1222">
        <v>1992</v>
      </c>
      <c r="K1222">
        <v>14251</v>
      </c>
      <c r="L1222">
        <v>3737</v>
      </c>
    </row>
    <row r="1223" spans="1:12" x14ac:dyDescent="0.2">
      <c r="A1223"/>
      <c r="B1223"/>
      <c r="C1223"/>
      <c r="D1223"/>
      <c r="E1223" s="2">
        <f>Comuni__2[[#This Row],[Popolazione2011]]/$D$7911</f>
        <v>3.0863430380759316E-5</v>
      </c>
      <c r="F1223">
        <f>SUMIFS($D$2:$D$7909, $B$2:$B$7909, "Campania")</f>
        <v>5766810</v>
      </c>
      <c r="G1223" s="1">
        <f>Comuni__2[[#This Row],[Popolazione2011]]/Comuni__2[[#This Row],[POPOLAZIONE TOTALE DI OGNI REGIONE (CON FILTRO)]]</f>
        <v>3.1802677736911744E-4</v>
      </c>
      <c r="H1223" t="str">
        <f>IF(Comuni__2[[#This Row],[Popolazione2011]]&gt;300000,"MAGGIORE","")</f>
        <v/>
      </c>
      <c r="J1223">
        <v>1899</v>
      </c>
      <c r="K1223">
        <v>14710</v>
      </c>
      <c r="L1223">
        <v>3766</v>
      </c>
    </row>
    <row r="1224" spans="1:12" x14ac:dyDescent="0.2">
      <c r="A1224"/>
      <c r="B1224"/>
      <c r="C1224"/>
      <c r="D1224"/>
      <c r="E1224" s="2">
        <f>Comuni__2[[#This Row],[Popolazione2011]]/$D$7911</f>
        <v>3.0695145591333142E-5</v>
      </c>
      <c r="F1224">
        <f>SUMIFS($D$2:$D$7909, $B$2:$B$7909, "Campania")</f>
        <v>5766810</v>
      </c>
      <c r="G1224" s="1">
        <f>Comuni__2[[#This Row],[Popolazione2011]]/Comuni__2[[#This Row],[POPOLAZIONE TOTALE DI OGNI REGIONE (CON FILTRO)]]</f>
        <v>3.1629271642381142E-4</v>
      </c>
      <c r="H1224" t="str">
        <f>IF(Comuni__2[[#This Row],[Popolazione2011]]&gt;300000,"MAGGIORE","")</f>
        <v/>
      </c>
      <c r="J1224">
        <v>1843</v>
      </c>
      <c r="K1224">
        <v>15071</v>
      </c>
      <c r="L1224">
        <v>3797</v>
      </c>
    </row>
    <row r="1225" spans="1:12" x14ac:dyDescent="0.2">
      <c r="A1225"/>
      <c r="B1225"/>
      <c r="C1225"/>
      <c r="D1225"/>
      <c r="E1225" s="2">
        <f>Comuni__2[[#This Row],[Popolazione2011]]/$D$7911</f>
        <v>3.0661488633447909E-5</v>
      </c>
      <c r="F1225">
        <f>SUMIFS($D$2:$D$7909, $B$2:$B$7909, "Campania")</f>
        <v>5766810</v>
      </c>
      <c r="G1225" s="1">
        <f>Comuni__2[[#This Row],[Popolazione2011]]/Comuni__2[[#This Row],[POPOLAZIONE TOTALE DI OGNI REGIONE (CON FILTRO)]]</f>
        <v>3.1594590423475021E-4</v>
      </c>
      <c r="H1225" t="str">
        <f>IF(Comuni__2[[#This Row],[Popolazione2011]]&gt;300000,"MAGGIORE","")</f>
        <v/>
      </c>
      <c r="J1225">
        <v>1759</v>
      </c>
      <c r="K1225">
        <v>15491</v>
      </c>
      <c r="L1225">
        <v>3827</v>
      </c>
    </row>
    <row r="1226" spans="1:12" x14ac:dyDescent="0.2">
      <c r="A1226"/>
      <c r="B1226"/>
      <c r="C1226"/>
      <c r="D1226"/>
      <c r="E1226" s="2">
        <f>Comuni__2[[#This Row],[Popolazione2011]]/$D$7911</f>
        <v>3.0543689280849596E-5</v>
      </c>
      <c r="F1226">
        <f>SUMIFS($D$2:$D$7909, $B$2:$B$7909, "Campania")</f>
        <v>5766810</v>
      </c>
      <c r="G1226" s="1">
        <f>Comuni__2[[#This Row],[Popolazione2011]]/Comuni__2[[#This Row],[POPOLAZIONE TOTALE DI OGNI REGIONE (CON FILTRO)]]</f>
        <v>3.1473206157303603E-4</v>
      </c>
      <c r="H1226" t="str">
        <f>IF(Comuni__2[[#This Row],[Popolazione2011]]&gt;300000,"MAGGIORE","")</f>
        <v/>
      </c>
      <c r="J1226">
        <v>1712</v>
      </c>
      <c r="K1226">
        <v>15760</v>
      </c>
      <c r="L1226">
        <v>3845</v>
      </c>
    </row>
    <row r="1227" spans="1:12" x14ac:dyDescent="0.2">
      <c r="A1227"/>
      <c r="B1227"/>
      <c r="C1227"/>
      <c r="D1227"/>
      <c r="E1227" s="2">
        <f>Comuni__2[[#This Row],[Popolazione2011]]/$D$7911</f>
        <v>3.0341747533538189E-5</v>
      </c>
      <c r="F1227">
        <f>SUMIFS($D$2:$D$7909, $B$2:$B$7909, "Campania")</f>
        <v>5766810</v>
      </c>
      <c r="G1227" s="1">
        <f>Comuni__2[[#This Row],[Popolazione2011]]/Comuni__2[[#This Row],[POPOLAZIONE TOTALE DI OGNI REGIONE (CON FILTRO)]]</f>
        <v>3.1265118843866886E-4</v>
      </c>
      <c r="H1227" t="str">
        <f>IF(Comuni__2[[#This Row],[Popolazione2011]]&gt;300000,"MAGGIORE","")</f>
        <v/>
      </c>
      <c r="J1227">
        <v>1678</v>
      </c>
      <c r="K1227">
        <v>15969</v>
      </c>
      <c r="L1227">
        <v>3867</v>
      </c>
    </row>
    <row r="1228" spans="1:12" x14ac:dyDescent="0.2">
      <c r="A1228"/>
      <c r="B1228"/>
      <c r="C1228"/>
      <c r="D1228"/>
      <c r="E1228" s="2">
        <f>Comuni__2[[#This Row],[Popolazione2011]]/$D$7911</f>
        <v>3.0341747533538189E-5</v>
      </c>
      <c r="F1228">
        <f>SUMIFS($D$2:$D$7909, $B$2:$B$7909, "Campania")</f>
        <v>5766810</v>
      </c>
      <c r="G1228" s="1">
        <f>Comuni__2[[#This Row],[Popolazione2011]]/Comuni__2[[#This Row],[POPOLAZIONE TOTALE DI OGNI REGIONE (CON FILTRO)]]</f>
        <v>3.1265118843866886E-4</v>
      </c>
      <c r="H1228" t="str">
        <f>IF(Comuni__2[[#This Row],[Popolazione2011]]&gt;300000,"MAGGIORE","")</f>
        <v/>
      </c>
      <c r="J1228">
        <v>1520</v>
      </c>
      <c r="K1228">
        <v>16243</v>
      </c>
      <c r="L1228">
        <v>3885</v>
      </c>
    </row>
    <row r="1229" spans="1:12" x14ac:dyDescent="0.2">
      <c r="A1229"/>
      <c r="B1229"/>
      <c r="C1229"/>
      <c r="D1229"/>
      <c r="E1229" s="2">
        <f>Comuni__2[[#This Row],[Popolazione2011]]/$D$7911</f>
        <v>3.0038834912571089E-5</v>
      </c>
      <c r="F1229">
        <f>SUMIFS($D$2:$D$7909, $B$2:$B$7909, "Campania")</f>
        <v>5766810</v>
      </c>
      <c r="G1229" s="1">
        <f>Comuni__2[[#This Row],[Popolazione2011]]/Comuni__2[[#This Row],[POPOLAZIONE TOTALE DI OGNI REGIONE (CON FILTRO)]]</f>
        <v>3.0952987873711807E-4</v>
      </c>
      <c r="H1229" t="str">
        <f>IF(Comuni__2[[#This Row],[Popolazione2011]]&gt;300000,"MAGGIORE","")</f>
        <v/>
      </c>
      <c r="J1229">
        <v>1288</v>
      </c>
      <c r="K1229">
        <v>16572</v>
      </c>
      <c r="L1229">
        <v>3905</v>
      </c>
    </row>
    <row r="1230" spans="1:12" x14ac:dyDescent="0.2">
      <c r="A1230"/>
      <c r="B1230"/>
      <c r="C1230"/>
      <c r="D1230"/>
      <c r="E1230" s="2">
        <f>Comuni__2[[#This Row],[Popolazione2011]]/$D$7911</f>
        <v>2.9988349475743237E-5</v>
      </c>
      <c r="F1230">
        <f>SUMIFS($D$2:$D$7909, $B$2:$B$7909, "Campania")</f>
        <v>5766810</v>
      </c>
      <c r="G1230" s="1">
        <f>Comuni__2[[#This Row],[Popolazione2011]]/Comuni__2[[#This Row],[POPOLAZIONE TOTALE DI OGNI REGIONE (CON FILTRO)]]</f>
        <v>3.090096604535263E-4</v>
      </c>
      <c r="H1230" t="str">
        <f>IF(Comuni__2[[#This Row],[Popolazione2011]]&gt;300000,"MAGGIORE","")</f>
        <v/>
      </c>
      <c r="J1230">
        <v>983</v>
      </c>
      <c r="K1230">
        <v>16825</v>
      </c>
      <c r="L1230">
        <v>3930</v>
      </c>
    </row>
    <row r="1231" spans="1:12" x14ac:dyDescent="0.2">
      <c r="A1231"/>
      <c r="B1231"/>
      <c r="C1231"/>
      <c r="D1231"/>
      <c r="E1231" s="2">
        <f>Comuni__2[[#This Row],[Popolazione2011]]/$D$7911</f>
        <v>2.9904207081030153E-5</v>
      </c>
      <c r="F1231">
        <f>SUMIFS($D$2:$D$7909, $B$2:$B$7909, "Campania")</f>
        <v>5766810</v>
      </c>
      <c r="G1231" s="1">
        <f>Comuni__2[[#This Row],[Popolazione2011]]/Comuni__2[[#This Row],[POPOLAZIONE TOTALE DI OGNI REGIONE (CON FILTRO)]]</f>
        <v>3.0814262998087331E-4</v>
      </c>
      <c r="H1231" t="str">
        <f>IF(Comuni__2[[#This Row],[Popolazione2011]]&gt;300000,"MAGGIORE","")</f>
        <v/>
      </c>
      <c r="J1231">
        <v>877</v>
      </c>
      <c r="K1231">
        <v>17166</v>
      </c>
      <c r="L1231">
        <v>3943</v>
      </c>
    </row>
    <row r="1232" spans="1:12" x14ac:dyDescent="0.2">
      <c r="A1232"/>
      <c r="B1232"/>
      <c r="C1232"/>
      <c r="D1232"/>
      <c r="E1232" s="2">
        <f>Comuni__2[[#This Row],[Popolazione2011]]/$D$7911</f>
        <v>2.9752750770546601E-5</v>
      </c>
      <c r="F1232">
        <f>SUMIFS($D$2:$D$7909, $B$2:$B$7909, "Campania")</f>
        <v>5766810</v>
      </c>
      <c r="G1232" s="1">
        <f>Comuni__2[[#This Row],[Popolazione2011]]/Comuni__2[[#This Row],[POPOLAZIONE TOTALE DI OGNI REGIONE (CON FILTRO)]]</f>
        <v>3.0658197513009792E-4</v>
      </c>
      <c r="H1232" t="str">
        <f>IF(Comuni__2[[#This Row],[Popolazione2011]]&gt;300000,"MAGGIORE","")</f>
        <v/>
      </c>
      <c r="J1232">
        <v>852</v>
      </c>
      <c r="K1232">
        <v>17370</v>
      </c>
      <c r="L1232">
        <v>3960</v>
      </c>
    </row>
    <row r="1233" spans="1:12" x14ac:dyDescent="0.2">
      <c r="A1233"/>
      <c r="B1233"/>
      <c r="C1233"/>
      <c r="D1233"/>
      <c r="E1233" s="2">
        <f>Comuni__2[[#This Row],[Popolazione2011]]/$D$7911</f>
        <v>2.9584465981120433E-5</v>
      </c>
      <c r="F1233">
        <f>SUMIFS($D$2:$D$7909, $B$2:$B$7909, "Campania")</f>
        <v>5766810</v>
      </c>
      <c r="G1233" s="1">
        <f>Comuni__2[[#This Row],[Popolazione2011]]/Comuni__2[[#This Row],[POPOLAZIONE TOTALE DI OGNI REGIONE (CON FILTRO)]]</f>
        <v>3.0484791418479196E-4</v>
      </c>
      <c r="H1233" t="str">
        <f>IF(Comuni__2[[#This Row],[Popolazione2011]]&gt;300000,"MAGGIORE","")</f>
        <v/>
      </c>
      <c r="J1233">
        <v>832</v>
      </c>
      <c r="K1233">
        <v>17603</v>
      </c>
      <c r="L1233">
        <v>3973</v>
      </c>
    </row>
    <row r="1234" spans="1:12" x14ac:dyDescent="0.2">
      <c r="A1234"/>
      <c r="B1234"/>
      <c r="C1234"/>
      <c r="D1234"/>
      <c r="E1234" s="2">
        <f>Comuni__2[[#This Row],[Popolazione2011]]/$D$7911</f>
        <v>2.9399352712751646E-5</v>
      </c>
      <c r="F1234">
        <f>SUMIFS($D$2:$D$7909, $B$2:$B$7909, "Campania")</f>
        <v>5766810</v>
      </c>
      <c r="G1234" s="1">
        <f>Comuni__2[[#This Row],[Popolazione2011]]/Comuni__2[[#This Row],[POPOLAZIONE TOTALE DI OGNI REGIONE (CON FILTRO)]]</f>
        <v>3.0294044714495536E-4</v>
      </c>
      <c r="H1234" t="str">
        <f>IF(Comuni__2[[#This Row],[Popolazione2011]]&gt;300000,"MAGGIORE","")</f>
        <v/>
      </c>
      <c r="J1234">
        <v>813</v>
      </c>
      <c r="K1234">
        <v>17756</v>
      </c>
      <c r="L1234">
        <v>3986</v>
      </c>
    </row>
    <row r="1235" spans="1:12" x14ac:dyDescent="0.2">
      <c r="A1235"/>
      <c r="B1235"/>
      <c r="C1235"/>
      <c r="D1235"/>
      <c r="E1235" s="2">
        <f>Comuni__2[[#This Row],[Popolazione2011]]/$D$7911</f>
        <v>2.9231067923325478E-5</v>
      </c>
      <c r="F1235">
        <f>SUMIFS($D$2:$D$7909, $B$2:$B$7909, "Campania")</f>
        <v>5766810</v>
      </c>
      <c r="G1235" s="1">
        <f>Comuni__2[[#This Row],[Popolazione2011]]/Comuni__2[[#This Row],[POPOLAZIONE TOTALE DI OGNI REGIONE (CON FILTRO)]]</f>
        <v>3.012063861996494E-4</v>
      </c>
      <c r="H1235" t="str">
        <f>IF(Comuni__2[[#This Row],[Popolazione2011]]&gt;300000,"MAGGIORE","")</f>
        <v/>
      </c>
      <c r="J1235">
        <v>769</v>
      </c>
      <c r="K1235">
        <v>17987</v>
      </c>
      <c r="L1235">
        <v>3997</v>
      </c>
    </row>
    <row r="1236" spans="1:12" x14ac:dyDescent="0.2">
      <c r="A1236"/>
      <c r="B1236"/>
      <c r="C1236"/>
      <c r="D1236"/>
      <c r="E1236" s="2">
        <f>Comuni__2[[#This Row],[Popolazione2011]]/$D$7911</f>
        <v>2.9096440091784542E-5</v>
      </c>
      <c r="F1236">
        <f>SUMIFS($D$2:$D$7909, $B$2:$B$7909, "Campania")</f>
        <v>5766810</v>
      </c>
      <c r="G1236" s="1">
        <f>Comuni__2[[#This Row],[Popolazione2011]]/Comuni__2[[#This Row],[POPOLAZIONE TOTALE DI OGNI REGIONE (CON FILTRO)]]</f>
        <v>2.9981913744340458E-4</v>
      </c>
      <c r="H1236" t="str">
        <f>IF(Comuni__2[[#This Row],[Popolazione2011]]&gt;300000,"MAGGIORE","")</f>
        <v/>
      </c>
      <c r="J1236">
        <v>722</v>
      </c>
      <c r="K1236">
        <v>18258</v>
      </c>
      <c r="L1236">
        <v>4008</v>
      </c>
    </row>
    <row r="1237" spans="1:12" x14ac:dyDescent="0.2">
      <c r="A1237"/>
      <c r="B1237"/>
      <c r="C1237"/>
      <c r="D1237"/>
      <c r="E1237" s="2">
        <f>Comuni__2[[#This Row],[Popolazione2011]]/$D$7911</f>
        <v>2.8877669865530525E-5</v>
      </c>
      <c r="F1237">
        <f>SUMIFS($D$2:$D$7909, $B$2:$B$7909, "Campania")</f>
        <v>5766810</v>
      </c>
      <c r="G1237" s="1">
        <f>Comuni__2[[#This Row],[Popolazione2011]]/Comuni__2[[#This Row],[POPOLAZIONE TOTALE DI OGNI REGIONE (CON FILTRO)]]</f>
        <v>2.9756485821450678E-4</v>
      </c>
      <c r="H1237" t="str">
        <f>IF(Comuni__2[[#This Row],[Popolazione2011]]&gt;300000,"MAGGIORE","")</f>
        <v/>
      </c>
      <c r="J1237">
        <v>684</v>
      </c>
      <c r="K1237">
        <v>18466</v>
      </c>
      <c r="L1237">
        <v>4025</v>
      </c>
    </row>
    <row r="1238" spans="1:12" x14ac:dyDescent="0.2">
      <c r="A1238"/>
      <c r="B1238"/>
      <c r="C1238"/>
      <c r="D1238"/>
      <c r="E1238" s="2">
        <f>Comuni__2[[#This Row],[Popolazione2011]]/$D$7911</f>
        <v>2.8810355949760058E-5</v>
      </c>
      <c r="F1238">
        <f>SUMIFS($D$2:$D$7909, $B$2:$B$7909, "Campania")</f>
        <v>5766810</v>
      </c>
      <c r="G1238" s="1">
        <f>Comuni__2[[#This Row],[Popolazione2011]]/Comuni__2[[#This Row],[POPOLAZIONE TOTALE DI OGNI REGIONE (CON FILTRO)]]</f>
        <v>2.9687123383638443E-4</v>
      </c>
      <c r="H1238" t="str">
        <f>IF(Comuni__2[[#This Row],[Popolazione2011]]&gt;300000,"MAGGIORE","")</f>
        <v/>
      </c>
      <c r="J1238">
        <v>641</v>
      </c>
      <c r="K1238">
        <v>18703</v>
      </c>
      <c r="L1238">
        <v>4037</v>
      </c>
    </row>
    <row r="1239" spans="1:12" x14ac:dyDescent="0.2">
      <c r="A1239"/>
      <c r="B1239"/>
      <c r="C1239"/>
      <c r="D1239"/>
      <c r="E1239" s="2">
        <f>Comuni__2[[#This Row],[Popolazione2011]]/$D$7911</f>
        <v>2.874304203398959E-5</v>
      </c>
      <c r="F1239">
        <f>SUMIFS($D$2:$D$7909, $B$2:$B$7909, "Campania")</f>
        <v>5766810</v>
      </c>
      <c r="G1239" s="1">
        <f>Comuni__2[[#This Row],[Popolazione2011]]/Comuni__2[[#This Row],[POPOLAZIONE TOTALE DI OGNI REGIONE (CON FILTRO)]]</f>
        <v>2.9617760945826202E-4</v>
      </c>
      <c r="H1239" t="str">
        <f>IF(Comuni__2[[#This Row],[Popolazione2011]]&gt;300000,"MAGGIORE","")</f>
        <v/>
      </c>
      <c r="J1239">
        <v>608</v>
      </c>
      <c r="K1239">
        <v>18896</v>
      </c>
      <c r="L1239">
        <v>4047</v>
      </c>
    </row>
    <row r="1240" spans="1:12" x14ac:dyDescent="0.2">
      <c r="A1240"/>
      <c r="B1240"/>
      <c r="C1240"/>
      <c r="D1240"/>
      <c r="E1240" s="2">
        <f>Comuni__2[[#This Row],[Popolazione2011]]/$D$7911</f>
        <v>2.8557928765620806E-5</v>
      </c>
      <c r="F1240">
        <f>SUMIFS($D$2:$D$7909, $B$2:$B$7909, "Campania")</f>
        <v>5766810</v>
      </c>
      <c r="G1240" s="1">
        <f>Comuni__2[[#This Row],[Popolazione2011]]/Comuni__2[[#This Row],[POPOLAZIONE TOTALE DI OGNI REGIONE (CON FILTRO)]]</f>
        <v>2.9427014241842543E-4</v>
      </c>
      <c r="H1240" t="str">
        <f>IF(Comuni__2[[#This Row],[Popolazione2011]]&gt;300000,"MAGGIORE","")</f>
        <v/>
      </c>
      <c r="J1240">
        <v>602</v>
      </c>
      <c r="K1240">
        <v>19046</v>
      </c>
      <c r="L1240">
        <v>4055</v>
      </c>
    </row>
    <row r="1241" spans="1:12" x14ac:dyDescent="0.2">
      <c r="A1241"/>
      <c r="B1241"/>
      <c r="C1241"/>
      <c r="D1241"/>
      <c r="E1241" s="2">
        <f>Comuni__2[[#This Row],[Popolazione2011]]/$D$7911</f>
        <v>2.832233006042417E-5</v>
      </c>
      <c r="F1241">
        <f>SUMIFS($D$2:$D$7909, $B$2:$B$7909, "Campania")</f>
        <v>5766810</v>
      </c>
      <c r="G1241" s="1">
        <f>Comuni__2[[#This Row],[Popolazione2011]]/Comuni__2[[#This Row],[POPOLAZIONE TOTALE DI OGNI REGIONE (CON FILTRO)]]</f>
        <v>2.9184245709499705E-4</v>
      </c>
      <c r="H1241" t="str">
        <f>IF(Comuni__2[[#This Row],[Popolazione2011]]&gt;300000,"MAGGIORE","")</f>
        <v/>
      </c>
      <c r="J1241">
        <v>596</v>
      </c>
      <c r="K1241">
        <v>19160</v>
      </c>
      <c r="L1241">
        <v>4068</v>
      </c>
    </row>
    <row r="1242" spans="1:12" x14ac:dyDescent="0.2">
      <c r="A1242"/>
      <c r="B1242"/>
      <c r="C1242"/>
      <c r="D1242"/>
      <c r="E1242" s="2">
        <f>Comuni__2[[#This Row],[Popolazione2011]]/$D$7911</f>
        <v>2.8271844623596318E-5</v>
      </c>
      <c r="F1242">
        <f>SUMIFS($D$2:$D$7909, $B$2:$B$7909, "Campania")</f>
        <v>5766810</v>
      </c>
      <c r="G1242" s="1">
        <f>Comuni__2[[#This Row],[Popolazione2011]]/Comuni__2[[#This Row],[POPOLAZIONE TOTALE DI OGNI REGIONE (CON FILTRO)]]</f>
        <v>2.9132223881140528E-4</v>
      </c>
      <c r="H1242" t="str">
        <f>IF(Comuni__2[[#This Row],[Popolazione2011]]&gt;300000,"MAGGIORE","")</f>
        <v/>
      </c>
      <c r="J1242">
        <v>573</v>
      </c>
      <c r="K1242">
        <v>19389</v>
      </c>
      <c r="L1242">
        <v>4076</v>
      </c>
    </row>
    <row r="1243" spans="1:12" x14ac:dyDescent="0.2">
      <c r="A1243"/>
      <c r="B1243"/>
      <c r="C1243"/>
      <c r="D1243"/>
      <c r="E1243" s="2">
        <f>Comuni__2[[#This Row],[Popolazione2011]]/$D$7911</f>
        <v>2.8255016144653702E-5</v>
      </c>
      <c r="F1243">
        <f>SUMIFS($D$2:$D$7909, $B$2:$B$7909, "Campania")</f>
        <v>5766810</v>
      </c>
      <c r="G1243" s="1">
        <f>Comuni__2[[#This Row],[Popolazione2011]]/Comuni__2[[#This Row],[POPOLAZIONE TOTALE DI OGNI REGIONE (CON FILTRO)]]</f>
        <v>2.9114883271687465E-4</v>
      </c>
      <c r="H1243" t="str">
        <f>IF(Comuni__2[[#This Row],[Popolazione2011]]&gt;300000,"MAGGIORE","")</f>
        <v/>
      </c>
      <c r="J1243">
        <v>537</v>
      </c>
      <c r="K1243">
        <v>19546</v>
      </c>
      <c r="L1243">
        <v>4083</v>
      </c>
    </row>
    <row r="1244" spans="1:12" x14ac:dyDescent="0.2">
      <c r="A1244"/>
      <c r="B1244"/>
      <c r="C1244"/>
      <c r="D1244"/>
      <c r="E1244" s="2">
        <f>Comuni__2[[#This Row],[Popolazione2011]]/$D$7911</f>
        <v>2.8137216792055382E-5</v>
      </c>
      <c r="F1244">
        <f>SUMIFS($D$2:$D$7909, $B$2:$B$7909, "Campania")</f>
        <v>5766810</v>
      </c>
      <c r="G1244" s="1">
        <f>Comuni__2[[#This Row],[Popolazione2011]]/Comuni__2[[#This Row],[POPOLAZIONE TOTALE DI OGNI REGIONE (CON FILTRO)]]</f>
        <v>2.8993499005516046E-4</v>
      </c>
      <c r="H1244" t="str">
        <f>IF(Comuni__2[[#This Row],[Popolazione2011]]&gt;300000,"MAGGIORE","")</f>
        <v/>
      </c>
      <c r="J1244">
        <v>526</v>
      </c>
      <c r="K1244">
        <v>19857</v>
      </c>
      <c r="L1244">
        <v>4094</v>
      </c>
    </row>
    <row r="1245" spans="1:12" x14ac:dyDescent="0.2">
      <c r="A1245"/>
      <c r="B1245"/>
      <c r="C1245"/>
      <c r="D1245"/>
      <c r="E1245" s="2">
        <f>Comuni__2[[#This Row],[Popolazione2011]]/$D$7911</f>
        <v>2.8053074397342298E-5</v>
      </c>
      <c r="F1245">
        <f>SUMIFS($D$2:$D$7909, $B$2:$B$7909, "Campania")</f>
        <v>5766810</v>
      </c>
      <c r="G1245" s="1">
        <f>Comuni__2[[#This Row],[Popolazione2011]]/Comuni__2[[#This Row],[POPOLAZIONE TOTALE DI OGNI REGIONE (CON FILTRO)]]</f>
        <v>2.8906795958250748E-4</v>
      </c>
      <c r="H1245" t="str">
        <f>IF(Comuni__2[[#This Row],[Popolazione2011]]&gt;300000,"MAGGIORE","")</f>
        <v/>
      </c>
      <c r="J1245">
        <v>505</v>
      </c>
      <c r="K1245">
        <v>20073</v>
      </c>
      <c r="L1245">
        <v>4102</v>
      </c>
    </row>
    <row r="1246" spans="1:12" x14ac:dyDescent="0.2">
      <c r="A1246"/>
      <c r="B1246"/>
      <c r="C1246"/>
      <c r="D1246"/>
      <c r="E1246" s="2">
        <f>Comuni__2[[#This Row],[Popolazione2011]]/$D$7911</f>
        <v>2.7968932002629214E-5</v>
      </c>
      <c r="F1246">
        <f>SUMIFS($D$2:$D$7909, $B$2:$B$7909, "Campania")</f>
        <v>5766810</v>
      </c>
      <c r="G1246" s="1">
        <f>Comuni__2[[#This Row],[Popolazione2011]]/Comuni__2[[#This Row],[POPOLAZIONE TOTALE DI OGNI REGIONE (CON FILTRO)]]</f>
        <v>2.8820092910985449E-4</v>
      </c>
      <c r="H1246" t="str">
        <f>IF(Comuni__2[[#This Row],[Popolazione2011]]&gt;300000,"MAGGIORE","")</f>
        <v/>
      </c>
      <c r="J1246">
        <v>463</v>
      </c>
      <c r="K1246">
        <v>20373</v>
      </c>
      <c r="L1246">
        <v>4107</v>
      </c>
    </row>
    <row r="1247" spans="1:12" x14ac:dyDescent="0.2">
      <c r="A1247"/>
      <c r="B1247"/>
      <c r="C1247"/>
      <c r="D1247"/>
      <c r="E1247" s="2">
        <f>Comuni__2[[#This Row],[Popolazione2011]]/$D$7911</f>
        <v>2.7968932002629214E-5</v>
      </c>
      <c r="F1247">
        <f>SUMIFS($D$2:$D$7909, $B$2:$B$7909, "Campania")</f>
        <v>5766810</v>
      </c>
      <c r="G1247" s="1">
        <f>Comuni__2[[#This Row],[Popolazione2011]]/Comuni__2[[#This Row],[POPOLAZIONE TOTALE DI OGNI REGIONE (CON FILTRO)]]</f>
        <v>2.8820092910985449E-4</v>
      </c>
      <c r="H1247" t="str">
        <f>IF(Comuni__2[[#This Row],[Popolazione2011]]&gt;300000,"MAGGIORE","")</f>
        <v/>
      </c>
      <c r="J1247">
        <v>450</v>
      </c>
      <c r="K1247">
        <v>20513</v>
      </c>
      <c r="L1247">
        <v>4114</v>
      </c>
    </row>
    <row r="1248" spans="1:12" x14ac:dyDescent="0.2">
      <c r="A1248"/>
      <c r="B1248"/>
      <c r="C1248"/>
      <c r="D1248"/>
      <c r="E1248" s="2">
        <f>Comuni__2[[#This Row],[Popolazione2011]]/$D$7911</f>
        <v>2.7851132650030898E-5</v>
      </c>
      <c r="F1248">
        <f>SUMIFS($D$2:$D$7909, $B$2:$B$7909, "Campania")</f>
        <v>5766810</v>
      </c>
      <c r="G1248" s="1">
        <f>Comuni__2[[#This Row],[Popolazione2011]]/Comuni__2[[#This Row],[POPOLAZIONE TOTALE DI OGNI REGIONE (CON FILTRO)]]</f>
        <v>2.8698708644814031E-4</v>
      </c>
      <c r="H1248" t="str">
        <f>IF(Comuni__2[[#This Row],[Popolazione2011]]&gt;300000,"MAGGIORE","")</f>
        <v/>
      </c>
      <c r="J1248">
        <v>437</v>
      </c>
      <c r="K1248">
        <v>20617</v>
      </c>
      <c r="L1248">
        <v>4124</v>
      </c>
    </row>
    <row r="1249" spans="1:12" x14ac:dyDescent="0.2">
      <c r="A1249"/>
      <c r="B1249"/>
      <c r="C1249"/>
      <c r="D1249"/>
      <c r="E1249" s="2">
        <f>Comuni__2[[#This Row],[Popolazione2011]]/$D$7911</f>
        <v>2.776699025531781E-5</v>
      </c>
      <c r="F1249">
        <f>SUMIFS($D$2:$D$7909, $B$2:$B$7909, "Campania")</f>
        <v>5766810</v>
      </c>
      <c r="G1249" s="1">
        <f>Comuni__2[[#This Row],[Popolazione2011]]/Comuni__2[[#This Row],[POPOLAZIONE TOTALE DI OGNI REGIONE (CON FILTRO)]]</f>
        <v>2.8612005597548733E-4</v>
      </c>
      <c r="H1249" t="str">
        <f>IF(Comuni__2[[#This Row],[Popolazione2011]]&gt;300000,"MAGGIORE","")</f>
        <v/>
      </c>
      <c r="J1249">
        <v>408</v>
      </c>
      <c r="K1249">
        <v>20780</v>
      </c>
      <c r="L1249">
        <v>4136</v>
      </c>
    </row>
    <row r="1250" spans="1:12" x14ac:dyDescent="0.2">
      <c r="A1250"/>
      <c r="B1250"/>
      <c r="C1250"/>
      <c r="D1250"/>
      <c r="E1250" s="2">
        <f>Comuni__2[[#This Row],[Popolazione2011]]/$D$7911</f>
        <v>2.7733333297432578E-5</v>
      </c>
      <c r="F1250">
        <f>SUMIFS($D$2:$D$7909, $B$2:$B$7909, "Campania")</f>
        <v>5766810</v>
      </c>
      <c r="G1250" s="1">
        <f>Comuni__2[[#This Row],[Popolazione2011]]/Comuni__2[[#This Row],[POPOLAZIONE TOTALE DI OGNI REGIONE (CON FILTRO)]]</f>
        <v>2.8577324378642612E-4</v>
      </c>
      <c r="H1250" t="str">
        <f>IF(Comuni__2[[#This Row],[Popolazione2011]]&gt;300000,"MAGGIORE","")</f>
        <v/>
      </c>
      <c r="J1250">
        <v>392</v>
      </c>
      <c r="K1250">
        <v>20856</v>
      </c>
      <c r="L1250">
        <v>4147</v>
      </c>
    </row>
    <row r="1251" spans="1:12" x14ac:dyDescent="0.2">
      <c r="A1251"/>
      <c r="B1251"/>
      <c r="C1251"/>
      <c r="D1251"/>
      <c r="E1251" s="2">
        <f>Comuni__2[[#This Row],[Popolazione2011]]/$D$7911</f>
        <v>2.7430420676465474E-5</v>
      </c>
      <c r="F1251">
        <f>SUMIFS($D$2:$D$7909, $B$2:$B$7909, "Campania")</f>
        <v>5766810</v>
      </c>
      <c r="G1251" s="1">
        <f>Comuni__2[[#This Row],[Popolazione2011]]/Comuni__2[[#This Row],[POPOLAZIONE TOTALE DI OGNI REGIONE (CON FILTRO)]]</f>
        <v>2.8265193408487534E-4</v>
      </c>
      <c r="H1251" t="str">
        <f>IF(Comuni__2[[#This Row],[Popolazione2011]]&gt;300000,"MAGGIORE","")</f>
        <v/>
      </c>
      <c r="J1251">
        <v>369</v>
      </c>
      <c r="K1251">
        <v>21018</v>
      </c>
      <c r="L1251">
        <v>4154</v>
      </c>
    </row>
    <row r="1252" spans="1:12" x14ac:dyDescent="0.2">
      <c r="A1252"/>
      <c r="B1252"/>
      <c r="C1252"/>
      <c r="D1252"/>
      <c r="E1252" s="2">
        <f>Comuni__2[[#This Row],[Popolazione2011]]/$D$7911</f>
        <v>2.7177993492326222E-5</v>
      </c>
      <c r="F1252">
        <f>SUMIFS($D$2:$D$7909, $B$2:$B$7909, "Campania")</f>
        <v>5766810</v>
      </c>
      <c r="G1252" s="1">
        <f>Comuni__2[[#This Row],[Popolazione2011]]/Comuni__2[[#This Row],[POPOLAZIONE TOTALE DI OGNI REGIONE (CON FILTRO)]]</f>
        <v>2.8005084266691639E-4</v>
      </c>
      <c r="H1252" t="str">
        <f>IF(Comuni__2[[#This Row],[Popolazione2011]]&gt;300000,"MAGGIORE","")</f>
        <v/>
      </c>
      <c r="J1252">
        <v>319</v>
      </c>
      <c r="K1252">
        <v>21198</v>
      </c>
      <c r="L1252">
        <v>4167</v>
      </c>
    </row>
    <row r="1253" spans="1:12" x14ac:dyDescent="0.2">
      <c r="A1253"/>
      <c r="B1253"/>
      <c r="C1253"/>
      <c r="D1253"/>
      <c r="E1253" s="2">
        <f>Comuni__2[[#This Row],[Popolazione2011]]/$D$7911</f>
        <v>2.714433653444099E-5</v>
      </c>
      <c r="F1253">
        <f>SUMIFS($D$2:$D$7909, $B$2:$B$7909, "Campania")</f>
        <v>5766810</v>
      </c>
      <c r="G1253" s="1">
        <f>Comuni__2[[#This Row],[Popolazione2011]]/Comuni__2[[#This Row],[POPOLAZIONE TOTALE DI OGNI REGIONE (CON FILTRO)]]</f>
        <v>2.7970403047785519E-4</v>
      </c>
      <c r="H1253" t="str">
        <f>IF(Comuni__2[[#This Row],[Popolazione2011]]&gt;300000,"MAGGIORE","")</f>
        <v/>
      </c>
      <c r="J1253">
        <v>291</v>
      </c>
      <c r="K1253">
        <v>21307</v>
      </c>
      <c r="L1253">
        <v>4171</v>
      </c>
    </row>
    <row r="1254" spans="1:12" x14ac:dyDescent="0.2">
      <c r="A1254"/>
      <c r="B1254"/>
      <c r="C1254"/>
      <c r="D1254"/>
      <c r="E1254" s="2">
        <f>Comuni__2[[#This Row],[Popolazione2011]]/$D$7911</f>
        <v>2.7060194139727903E-5</v>
      </c>
      <c r="F1254">
        <f>SUMIFS($D$2:$D$7909, $B$2:$B$7909, "Campania")</f>
        <v>5766810</v>
      </c>
      <c r="G1254" s="1">
        <f>Comuni__2[[#This Row],[Popolazione2011]]/Comuni__2[[#This Row],[POPOLAZIONE TOTALE DI OGNI REGIONE (CON FILTRO)]]</f>
        <v>2.7883700000520221E-4</v>
      </c>
      <c r="H1254" t="str">
        <f>IF(Comuni__2[[#This Row],[Popolazione2011]]&gt;300000,"MAGGIORE","")</f>
        <v/>
      </c>
      <c r="J1254">
        <v>277</v>
      </c>
      <c r="K1254">
        <v>21405</v>
      </c>
      <c r="L1254">
        <v>4175</v>
      </c>
    </row>
    <row r="1255" spans="1:12" x14ac:dyDescent="0.2">
      <c r="A1255"/>
      <c r="B1255"/>
      <c r="C1255"/>
      <c r="D1255"/>
      <c r="E1255" s="2">
        <f>Comuni__2[[#This Row],[Popolazione2011]]/$D$7911</f>
        <v>2.692556630818697E-5</v>
      </c>
      <c r="F1255">
        <f>SUMIFS($D$2:$D$7909, $B$2:$B$7909, "Campania")</f>
        <v>5766810</v>
      </c>
      <c r="G1255" s="1">
        <f>Comuni__2[[#This Row],[Popolazione2011]]/Comuni__2[[#This Row],[POPOLAZIONE TOTALE DI OGNI REGIONE (CON FILTRO)]]</f>
        <v>2.7744975124895739E-4</v>
      </c>
      <c r="H1255" t="str">
        <f>IF(Comuni__2[[#This Row],[Popolazione2011]]&gt;300000,"MAGGIORE","")</f>
        <v/>
      </c>
      <c r="J1255">
        <v>270</v>
      </c>
      <c r="K1255">
        <v>21467</v>
      </c>
      <c r="L1255">
        <v>4179</v>
      </c>
    </row>
    <row r="1256" spans="1:12" x14ac:dyDescent="0.2">
      <c r="A1256"/>
      <c r="B1256"/>
      <c r="C1256"/>
      <c r="D1256"/>
      <c r="E1256" s="2">
        <f>Comuni__2[[#This Row],[Popolazione2011]]/$D$7911</f>
        <v>2.6891909350301735E-5</v>
      </c>
      <c r="F1256">
        <f>SUMIFS($D$2:$D$7909, $B$2:$B$7909, "Campania")</f>
        <v>5766810</v>
      </c>
      <c r="G1256" s="1">
        <f>Comuni__2[[#This Row],[Popolazione2011]]/Comuni__2[[#This Row],[POPOLAZIONE TOTALE DI OGNI REGIONE (CON FILTRO)]]</f>
        <v>2.7710293905989619E-4</v>
      </c>
      <c r="H1256" t="str">
        <f>IF(Comuni__2[[#This Row],[Popolazione2011]]&gt;300000,"MAGGIORE","")</f>
        <v/>
      </c>
      <c r="J1256">
        <v>257</v>
      </c>
      <c r="K1256">
        <v>21605</v>
      </c>
      <c r="L1256">
        <v>4185</v>
      </c>
    </row>
    <row r="1257" spans="1:12" x14ac:dyDescent="0.2">
      <c r="A1257"/>
      <c r="B1257"/>
      <c r="C1257"/>
      <c r="D1257"/>
      <c r="E1257" s="2">
        <f>Comuni__2[[#This Row],[Popolazione2011]]/$D$7911</f>
        <v>2.6824595434531267E-5</v>
      </c>
      <c r="F1257">
        <f>SUMIFS($D$2:$D$7909, $B$2:$B$7909, "Campania")</f>
        <v>5766810</v>
      </c>
      <c r="G1257" s="1">
        <f>Comuni__2[[#This Row],[Popolazione2011]]/Comuni__2[[#This Row],[POPOLAZIONE TOTALE DI OGNI REGIONE (CON FILTRO)]]</f>
        <v>2.7640931468177383E-4</v>
      </c>
      <c r="H1257" t="str">
        <f>IF(Comuni__2[[#This Row],[Popolazione2011]]&gt;300000,"MAGGIORE","")</f>
        <v/>
      </c>
      <c r="J1257">
        <v>253</v>
      </c>
      <c r="K1257">
        <v>21717</v>
      </c>
      <c r="L1257">
        <v>4192</v>
      </c>
    </row>
    <row r="1258" spans="1:12" x14ac:dyDescent="0.2">
      <c r="A1258"/>
      <c r="B1258"/>
      <c r="C1258"/>
      <c r="D1258"/>
      <c r="E1258" s="2">
        <f>Comuni__2[[#This Row],[Popolazione2011]]/$D$7911</f>
        <v>2.6572168250392015E-5</v>
      </c>
      <c r="F1258">
        <f>SUMIFS($D$2:$D$7909, $B$2:$B$7909, "Campania")</f>
        <v>5766810</v>
      </c>
      <c r="G1258" s="1">
        <f>Comuni__2[[#This Row],[Popolazione2011]]/Comuni__2[[#This Row],[POPOLAZIONE TOTALE DI OGNI REGIONE (CON FILTRO)]]</f>
        <v>2.7380822326381483E-4</v>
      </c>
      <c r="H1258" t="str">
        <f>IF(Comuni__2[[#This Row],[Popolazione2011]]&gt;300000,"MAGGIORE","")</f>
        <v/>
      </c>
      <c r="J1258">
        <v>234</v>
      </c>
      <c r="K1258">
        <v>21803</v>
      </c>
      <c r="L1258">
        <v>4192</v>
      </c>
    </row>
    <row r="1259" spans="1:12" x14ac:dyDescent="0.2">
      <c r="A1259"/>
      <c r="B1259"/>
      <c r="C1259"/>
      <c r="D1259"/>
      <c r="E1259" s="2">
        <f>Comuni__2[[#This Row],[Popolazione2011]]/$D$7911</f>
        <v>2.6437540418851079E-5</v>
      </c>
      <c r="F1259">
        <f>SUMIFS($D$2:$D$7909, $B$2:$B$7909, "Campania")</f>
        <v>5766810</v>
      </c>
      <c r="G1259" s="1">
        <f>Comuni__2[[#This Row],[Popolazione2011]]/Comuni__2[[#This Row],[POPOLAZIONE TOTALE DI OGNI REGIONE (CON FILTRO)]]</f>
        <v>2.7242097450757007E-4</v>
      </c>
      <c r="H1259" t="str">
        <f>IF(Comuni__2[[#This Row],[Popolazione2011]]&gt;300000,"MAGGIORE","")</f>
        <v/>
      </c>
      <c r="J1259">
        <v>217</v>
      </c>
      <c r="K1259">
        <v>22015</v>
      </c>
      <c r="L1259">
        <v>4196</v>
      </c>
    </row>
    <row r="1260" spans="1:12" x14ac:dyDescent="0.2">
      <c r="A1260"/>
      <c r="B1260"/>
      <c r="C1260"/>
      <c r="D1260"/>
      <c r="E1260" s="2">
        <f>Comuni__2[[#This Row],[Popolazione2011]]/$D$7911</f>
        <v>2.6420711939908463E-5</v>
      </c>
      <c r="F1260">
        <f>SUMIFS($D$2:$D$7909, $B$2:$B$7909, "Campania")</f>
        <v>5766810</v>
      </c>
      <c r="G1260" s="1">
        <f>Comuni__2[[#This Row],[Popolazione2011]]/Comuni__2[[#This Row],[POPOLAZIONE TOTALE DI OGNI REGIONE (CON FILTRO)]]</f>
        <v>2.7224756841303944E-4</v>
      </c>
      <c r="H1260" t="str">
        <f>IF(Comuni__2[[#This Row],[Popolazione2011]]&gt;300000,"MAGGIORE","")</f>
        <v/>
      </c>
      <c r="J1260">
        <v>207</v>
      </c>
      <c r="K1260">
        <v>22130</v>
      </c>
      <c r="L1260">
        <v>4199</v>
      </c>
    </row>
    <row r="1261" spans="1:12" x14ac:dyDescent="0.2">
      <c r="A1261"/>
      <c r="B1261"/>
      <c r="C1261"/>
      <c r="D1261"/>
      <c r="E1261" s="2">
        <f>Comuni__2[[#This Row],[Popolazione2011]]/$D$7911</f>
        <v>2.638705498202323E-5</v>
      </c>
      <c r="F1261">
        <f>SUMIFS($D$2:$D$7909, $B$2:$B$7909, "Campania")</f>
        <v>5766810</v>
      </c>
      <c r="G1261" s="1">
        <f>Comuni__2[[#This Row],[Popolazione2011]]/Comuni__2[[#This Row],[POPOLAZIONE TOTALE DI OGNI REGIONE (CON FILTRO)]]</f>
        <v>2.7190075622397824E-4</v>
      </c>
      <c r="H1261" t="str">
        <f>IF(Comuni__2[[#This Row],[Popolazione2011]]&gt;300000,"MAGGIORE","")</f>
        <v/>
      </c>
      <c r="J1261">
        <v>206</v>
      </c>
      <c r="K1261">
        <v>22232</v>
      </c>
      <c r="L1261">
        <v>4204</v>
      </c>
    </row>
    <row r="1262" spans="1:12" x14ac:dyDescent="0.2">
      <c r="A1262"/>
      <c r="B1262"/>
      <c r="C1262"/>
      <c r="D1262"/>
      <c r="E1262" s="2">
        <f>Comuni__2[[#This Row],[Popolazione2011]]/$D$7911</f>
        <v>2.6252427150482295E-5</v>
      </c>
      <c r="F1262">
        <f>SUMIFS($D$2:$D$7909, $B$2:$B$7909, "Campania")</f>
        <v>5766810</v>
      </c>
      <c r="G1262" s="1">
        <f>Comuni__2[[#This Row],[Popolazione2011]]/Comuni__2[[#This Row],[POPOLAZIONE TOTALE DI OGNI REGIONE (CON FILTRO)]]</f>
        <v>2.7051350746773347E-4</v>
      </c>
      <c r="H1262" t="str">
        <f>IF(Comuni__2[[#This Row],[Popolazione2011]]&gt;300000,"MAGGIORE","")</f>
        <v/>
      </c>
      <c r="J1262">
        <v>201</v>
      </c>
      <c r="K1262">
        <v>22377</v>
      </c>
      <c r="L1262">
        <v>4207</v>
      </c>
    </row>
    <row r="1263" spans="1:12" x14ac:dyDescent="0.2">
      <c r="A1263"/>
      <c r="B1263"/>
      <c r="C1263"/>
      <c r="D1263"/>
      <c r="E1263" s="2">
        <f>Comuni__2[[#This Row],[Popolazione2011]]/$D$7911</f>
        <v>2.6084142361056127E-5</v>
      </c>
      <c r="F1263">
        <f>SUMIFS($D$2:$D$7909, $B$2:$B$7909, "Campania")</f>
        <v>5766810</v>
      </c>
      <c r="G1263" s="1">
        <f>Comuni__2[[#This Row],[Popolazione2011]]/Comuni__2[[#This Row],[POPOLAZIONE TOTALE DI OGNI REGIONE (CON FILTRO)]]</f>
        <v>2.6877944652242745E-4</v>
      </c>
      <c r="H1263" t="str">
        <f>IF(Comuni__2[[#This Row],[Popolazione2011]]&gt;300000,"MAGGIORE","")</f>
        <v/>
      </c>
      <c r="J1263">
        <v>191</v>
      </c>
      <c r="K1263">
        <v>22483</v>
      </c>
      <c r="L1263">
        <v>4209</v>
      </c>
    </row>
    <row r="1264" spans="1:12" x14ac:dyDescent="0.2">
      <c r="A1264"/>
      <c r="B1264"/>
      <c r="C1264"/>
      <c r="D1264"/>
      <c r="E1264" s="2">
        <f>Comuni__2[[#This Row],[Popolazione2011]]/$D$7911</f>
        <v>2.6033656924228275E-5</v>
      </c>
      <c r="F1264">
        <f>SUMIFS($D$2:$D$7909, $B$2:$B$7909, "Campania")</f>
        <v>5766810</v>
      </c>
      <c r="G1264" s="1">
        <f>Comuni__2[[#This Row],[Popolazione2011]]/Comuni__2[[#This Row],[POPOLAZIONE TOTALE DI OGNI REGIONE (CON FILTRO)]]</f>
        <v>2.6825922823883568E-4</v>
      </c>
      <c r="H1264" t="str">
        <f>IF(Comuni__2[[#This Row],[Popolazione2011]]&gt;300000,"MAGGIORE","")</f>
        <v/>
      </c>
      <c r="J1264">
        <v>184</v>
      </c>
      <c r="K1264">
        <v>22551</v>
      </c>
      <c r="L1264">
        <v>4215</v>
      </c>
    </row>
    <row r="1265" spans="1:12" x14ac:dyDescent="0.2">
      <c r="A1265"/>
      <c r="B1265"/>
      <c r="C1265"/>
      <c r="D1265"/>
      <c r="E1265" s="2">
        <f>Comuni__2[[#This Row],[Popolazione2011]]/$D$7911</f>
        <v>2.6016828445285659E-5</v>
      </c>
      <c r="F1265">
        <f>SUMIFS($D$2:$D$7909, $B$2:$B$7909, "Campania")</f>
        <v>5766810</v>
      </c>
      <c r="G1265" s="1">
        <f>Comuni__2[[#This Row],[Popolazione2011]]/Comuni__2[[#This Row],[POPOLAZIONE TOTALE DI OGNI REGIONE (CON FILTRO)]]</f>
        <v>2.680858221443051E-4</v>
      </c>
      <c r="H1265" t="str">
        <f>IF(Comuni__2[[#This Row],[Popolazione2011]]&gt;300000,"MAGGIORE","")</f>
        <v/>
      </c>
      <c r="J1265">
        <v>170</v>
      </c>
      <c r="K1265">
        <v>22643</v>
      </c>
      <c r="L1265">
        <v>4219</v>
      </c>
    </row>
    <row r="1266" spans="1:12" x14ac:dyDescent="0.2">
      <c r="A1266"/>
      <c r="B1266"/>
      <c r="C1266"/>
      <c r="D1266"/>
      <c r="E1266" s="2">
        <f>Comuni__2[[#This Row],[Popolazione2011]]/$D$7911</f>
        <v>2.5966343008457807E-5</v>
      </c>
      <c r="F1266">
        <f>SUMIFS($D$2:$D$7909, $B$2:$B$7909, "Campania")</f>
        <v>5766810</v>
      </c>
      <c r="G1266" s="1">
        <f>Comuni__2[[#This Row],[Popolazione2011]]/Comuni__2[[#This Row],[POPOLAZIONE TOTALE DI OGNI REGIONE (CON FILTRO)]]</f>
        <v>2.6756560386071327E-4</v>
      </c>
      <c r="H1266" t="str">
        <f>IF(Comuni__2[[#This Row],[Popolazione2011]]&gt;300000,"MAGGIORE","")</f>
        <v/>
      </c>
      <c r="J1266">
        <v>156</v>
      </c>
      <c r="K1266">
        <v>22727</v>
      </c>
      <c r="L1266">
        <v>4224</v>
      </c>
    </row>
    <row r="1267" spans="1:12" x14ac:dyDescent="0.2">
      <c r="A1267"/>
      <c r="B1267"/>
      <c r="C1267"/>
      <c r="D1267"/>
      <c r="E1267" s="2">
        <f>Comuni__2[[#This Row],[Popolazione2011]]/$D$7911</f>
        <v>2.5966343008457807E-5</v>
      </c>
      <c r="F1267">
        <f>SUMIFS($D$2:$D$7909, $B$2:$B$7909, "Campania")</f>
        <v>5766810</v>
      </c>
      <c r="G1267" s="1">
        <f>Comuni__2[[#This Row],[Popolazione2011]]/Comuni__2[[#This Row],[POPOLAZIONE TOTALE DI OGNI REGIONE (CON FILTRO)]]</f>
        <v>2.6756560386071327E-4</v>
      </c>
      <c r="H1267" t="str">
        <f>IF(Comuni__2[[#This Row],[Popolazione2011]]&gt;300000,"MAGGIORE","")</f>
        <v/>
      </c>
      <c r="J1267">
        <v>151</v>
      </c>
      <c r="K1267">
        <v>22761</v>
      </c>
      <c r="L1267">
        <v>4230</v>
      </c>
    </row>
    <row r="1268" spans="1:12" x14ac:dyDescent="0.2">
      <c r="A1268"/>
      <c r="B1268"/>
      <c r="C1268"/>
      <c r="D1268"/>
      <c r="E1268" s="2">
        <f>Comuni__2[[#This Row],[Popolazione2011]]/$D$7911</f>
        <v>2.5545631034892387E-5</v>
      </c>
      <c r="F1268">
        <f>SUMIFS($D$2:$D$7909, $B$2:$B$7909, "Campania")</f>
        <v>5766810</v>
      </c>
      <c r="G1268" s="1">
        <f>Comuni__2[[#This Row],[Popolazione2011]]/Comuni__2[[#This Row],[POPOLAZIONE TOTALE DI OGNI REGIONE (CON FILTRO)]]</f>
        <v>2.6323045149744835E-4</v>
      </c>
      <c r="H1268" t="str">
        <f>IF(Comuni__2[[#This Row],[Popolazione2011]]&gt;300000,"MAGGIORE","")</f>
        <v/>
      </c>
      <c r="J1268">
        <v>143</v>
      </c>
      <c r="K1268">
        <v>22818</v>
      </c>
      <c r="L1268">
        <v>4231</v>
      </c>
    </row>
    <row r="1269" spans="1:12" x14ac:dyDescent="0.2">
      <c r="A1269"/>
      <c r="B1269"/>
      <c r="C1269"/>
      <c r="D1269"/>
      <c r="E1269" s="2">
        <f>Comuni__2[[#This Row],[Popolazione2011]]/$D$7911</f>
        <v>2.5394174724408835E-5</v>
      </c>
      <c r="F1269">
        <f>SUMIFS($D$2:$D$7909, $B$2:$B$7909, "Campania")</f>
        <v>5766810</v>
      </c>
      <c r="G1269" s="1">
        <f>Comuni__2[[#This Row],[Popolazione2011]]/Comuni__2[[#This Row],[POPOLAZIONE TOTALE DI OGNI REGIONE (CON FILTRO)]]</f>
        <v>2.6166979664667296E-4</v>
      </c>
      <c r="H1269" t="str">
        <f>IF(Comuni__2[[#This Row],[Popolazione2011]]&gt;300000,"MAGGIORE","")</f>
        <v/>
      </c>
      <c r="J1269">
        <v>141</v>
      </c>
      <c r="K1269">
        <v>22854</v>
      </c>
      <c r="L1269">
        <v>4235</v>
      </c>
    </row>
    <row r="1270" spans="1:12" x14ac:dyDescent="0.2">
      <c r="A1270"/>
      <c r="B1270"/>
      <c r="C1270"/>
      <c r="D1270"/>
      <c r="E1270" s="2">
        <f>Comuni__2[[#This Row],[Popolazione2011]]/$D$7911</f>
        <v>2.5310032329695751E-5</v>
      </c>
      <c r="F1270">
        <f>SUMIFS($D$2:$D$7909, $B$2:$B$7909, "Campania")</f>
        <v>5766810</v>
      </c>
      <c r="G1270" s="1">
        <f>Comuni__2[[#This Row],[Popolazione2011]]/Comuni__2[[#This Row],[POPOLAZIONE TOTALE DI OGNI REGIONE (CON FILTRO)]]</f>
        <v>2.6080276617401993E-4</v>
      </c>
      <c r="H1270" t="str">
        <f>IF(Comuni__2[[#This Row],[Popolazione2011]]&gt;300000,"MAGGIORE","")</f>
        <v/>
      </c>
      <c r="J1270">
        <v>133</v>
      </c>
      <c r="K1270">
        <v>22935</v>
      </c>
      <c r="L1270">
        <v>4236</v>
      </c>
    </row>
    <row r="1271" spans="1:12" x14ac:dyDescent="0.2">
      <c r="A1271"/>
      <c r="B1271"/>
      <c r="C1271"/>
      <c r="D1271"/>
      <c r="E1271" s="2">
        <f>Comuni__2[[#This Row],[Popolazione2011]]/$D$7911</f>
        <v>2.5209061456040051E-5</v>
      </c>
      <c r="F1271">
        <f>SUMIFS($D$2:$D$7909, $B$2:$B$7909, "Campania")</f>
        <v>5766810</v>
      </c>
      <c r="G1271" s="1">
        <f>Comuni__2[[#This Row],[Popolazione2011]]/Comuni__2[[#This Row],[POPOLAZIONE TOTALE DI OGNI REGIONE (CON FILTRO)]]</f>
        <v>2.5976232960683637E-4</v>
      </c>
      <c r="H1271" t="str">
        <f>IF(Comuni__2[[#This Row],[Popolazione2011]]&gt;300000,"MAGGIORE","")</f>
        <v/>
      </c>
      <c r="J1271">
        <v>129</v>
      </c>
      <c r="K1271">
        <v>22985</v>
      </c>
      <c r="L1271">
        <v>4245</v>
      </c>
    </row>
    <row r="1272" spans="1:12" x14ac:dyDescent="0.2">
      <c r="A1272"/>
      <c r="B1272"/>
      <c r="C1272"/>
      <c r="D1272"/>
      <c r="E1272" s="2">
        <f>Comuni__2[[#This Row],[Popolazione2011]]/$D$7911</f>
        <v>2.4990291229786031E-5</v>
      </c>
      <c r="F1272">
        <f>SUMIFS($D$2:$D$7909, $B$2:$B$7909, "Campania")</f>
        <v>5766810</v>
      </c>
      <c r="G1272" s="1">
        <f>Comuni__2[[#This Row],[Popolazione2011]]/Comuni__2[[#This Row],[POPOLAZIONE TOTALE DI OGNI REGIONE (CON FILTRO)]]</f>
        <v>2.5750805037793857E-4</v>
      </c>
      <c r="H1272" t="str">
        <f>IF(Comuni__2[[#This Row],[Popolazione2011]]&gt;300000,"MAGGIORE","")</f>
        <v/>
      </c>
      <c r="J1272">
        <v>125</v>
      </c>
      <c r="K1272">
        <v>23034</v>
      </c>
      <c r="L1272">
        <v>4249</v>
      </c>
    </row>
    <row r="1273" spans="1:12" x14ac:dyDescent="0.2">
      <c r="A1273"/>
      <c r="B1273"/>
      <c r="C1273"/>
      <c r="D1273"/>
      <c r="E1273" s="2">
        <f>Comuni__2[[#This Row],[Popolazione2011]]/$D$7911</f>
        <v>2.4956634271900799E-5</v>
      </c>
      <c r="F1273">
        <f>SUMIFS($D$2:$D$7909, $B$2:$B$7909, "Campania")</f>
        <v>5766810</v>
      </c>
      <c r="G1273" s="1">
        <f>Comuni__2[[#This Row],[Popolazione2011]]/Comuni__2[[#This Row],[POPOLAZIONE TOTALE DI OGNI REGIONE (CON FILTRO)]]</f>
        <v>2.5716123818887737E-4</v>
      </c>
      <c r="H1273" t="str">
        <f>IF(Comuni__2[[#This Row],[Popolazione2011]]&gt;300000,"MAGGIORE","")</f>
        <v/>
      </c>
      <c r="J1273">
        <v>121</v>
      </c>
      <c r="K1273">
        <v>23097</v>
      </c>
      <c r="L1273">
        <v>4252</v>
      </c>
    </row>
    <row r="1274" spans="1:12" x14ac:dyDescent="0.2">
      <c r="A1274"/>
      <c r="B1274"/>
      <c r="C1274"/>
      <c r="D1274"/>
      <c r="E1274" s="2">
        <f>Comuni__2[[#This Row],[Popolazione2011]]/$D$7911</f>
        <v>2.4855663398245095E-5</v>
      </c>
      <c r="F1274">
        <f>SUMIFS($D$2:$D$7909, $B$2:$B$7909, "Campania")</f>
        <v>5766810</v>
      </c>
      <c r="G1274" s="1">
        <f>Comuni__2[[#This Row],[Popolazione2011]]/Comuni__2[[#This Row],[POPOLAZIONE TOTALE DI OGNI REGIONE (CON FILTRO)]]</f>
        <v>2.5612080162169381E-4</v>
      </c>
      <c r="H1274" t="str">
        <f>IF(Comuni__2[[#This Row],[Popolazione2011]]&gt;300000,"MAGGIORE","")</f>
        <v/>
      </c>
      <c r="J1274">
        <v>117</v>
      </c>
      <c r="K1274">
        <v>23142</v>
      </c>
      <c r="L1274">
        <v>4252</v>
      </c>
    </row>
    <row r="1275" spans="1:12" x14ac:dyDescent="0.2">
      <c r="A1275"/>
      <c r="B1275"/>
      <c r="C1275"/>
      <c r="D1275"/>
      <c r="E1275" s="2">
        <f>Comuni__2[[#This Row],[Popolazione2011]]/$D$7911</f>
        <v>2.4805177961417247E-5</v>
      </c>
      <c r="F1275">
        <f>SUMIFS($D$2:$D$7909, $B$2:$B$7909, "Campania")</f>
        <v>5766810</v>
      </c>
      <c r="G1275" s="1">
        <f>Comuni__2[[#This Row],[Popolazione2011]]/Comuni__2[[#This Row],[POPOLAZIONE TOTALE DI OGNI REGIONE (CON FILTRO)]]</f>
        <v>2.5560058333810198E-4</v>
      </c>
      <c r="H1275" t="str">
        <f>IF(Comuni__2[[#This Row],[Popolazione2011]]&gt;300000,"MAGGIORE","")</f>
        <v/>
      </c>
      <c r="J1275">
        <v>120</v>
      </c>
      <c r="K1275">
        <v>23161</v>
      </c>
      <c r="L1275">
        <v>4253</v>
      </c>
    </row>
    <row r="1276" spans="1:12" x14ac:dyDescent="0.2">
      <c r="A1276"/>
      <c r="B1276"/>
      <c r="C1276"/>
      <c r="D1276"/>
      <c r="E1276" s="2">
        <f>Comuni__2[[#This Row],[Popolazione2011]]/$D$7911</f>
        <v>2.4620064693048459E-5</v>
      </c>
      <c r="F1276">
        <f>SUMIFS($D$2:$D$7909, $B$2:$B$7909, "Campania")</f>
        <v>5766810</v>
      </c>
      <c r="G1276" s="1">
        <f>Comuni__2[[#This Row],[Popolazione2011]]/Comuni__2[[#This Row],[POPOLAZIONE TOTALE DI OGNI REGIONE (CON FILTRO)]]</f>
        <v>2.5369311629826544E-4</v>
      </c>
      <c r="H1276" t="str">
        <f>IF(Comuni__2[[#This Row],[Popolazione2011]]&gt;300000,"MAGGIORE","")</f>
        <v/>
      </c>
      <c r="J1276">
        <v>123</v>
      </c>
      <c r="K1276">
        <v>23185</v>
      </c>
      <c r="L1276">
        <v>4255</v>
      </c>
    </row>
    <row r="1277" spans="1:12" x14ac:dyDescent="0.2">
      <c r="A1277"/>
      <c r="B1277"/>
      <c r="C1277"/>
      <c r="D1277"/>
      <c r="E1277" s="2">
        <f>Comuni__2[[#This Row],[Popolazione2011]]/$D$7911</f>
        <v>2.4350809029966591E-5</v>
      </c>
      <c r="F1277">
        <f>SUMIFS($D$2:$D$7909, $B$2:$B$7909, "Campania")</f>
        <v>5766810</v>
      </c>
      <c r="G1277" s="1">
        <f>Comuni__2[[#This Row],[Popolazione2011]]/Comuni__2[[#This Row],[POPOLAZIONE TOTALE DI OGNI REGIONE (CON FILTRO)]]</f>
        <v>2.5091861878577586E-4</v>
      </c>
      <c r="H1277" t="str">
        <f>IF(Comuni__2[[#This Row],[Popolazione2011]]&gt;300000,"MAGGIORE","")</f>
        <v/>
      </c>
      <c r="J1277">
        <v>120</v>
      </c>
      <c r="K1277">
        <v>23222</v>
      </c>
      <c r="L1277">
        <v>4260</v>
      </c>
    </row>
    <row r="1278" spans="1:12" x14ac:dyDescent="0.2">
      <c r="A1278"/>
      <c r="B1278"/>
      <c r="C1278"/>
      <c r="D1278"/>
      <c r="E1278" s="2">
        <f>Comuni__2[[#This Row],[Popolazione2011]]/$D$7911</f>
        <v>2.4333980551023975E-5</v>
      </c>
      <c r="F1278">
        <f>SUMIFS($D$2:$D$7909, $B$2:$B$7909, "Campania")</f>
        <v>5766810</v>
      </c>
      <c r="G1278" s="1">
        <f>Comuni__2[[#This Row],[Popolazione2011]]/Comuni__2[[#This Row],[POPOLAZIONE TOTALE DI OGNI REGIONE (CON FILTRO)]]</f>
        <v>2.5074521269124523E-4</v>
      </c>
      <c r="H1278" t="str">
        <f>IF(Comuni__2[[#This Row],[Popolazione2011]]&gt;300000,"MAGGIORE","")</f>
        <v/>
      </c>
      <c r="J1278">
        <v>114</v>
      </c>
      <c r="K1278">
        <v>23242</v>
      </c>
      <c r="L1278">
        <v>4264</v>
      </c>
    </row>
    <row r="1279" spans="1:12" x14ac:dyDescent="0.2">
      <c r="A1279"/>
      <c r="B1279"/>
      <c r="C1279"/>
      <c r="D1279"/>
      <c r="E1279" s="2">
        <f>Comuni__2[[#This Row],[Popolazione2011]]/$D$7911</f>
        <v>2.4098381845827339E-5</v>
      </c>
      <c r="F1279">
        <f>SUMIFS($D$2:$D$7909, $B$2:$B$7909, "Campania")</f>
        <v>5766810</v>
      </c>
      <c r="G1279" s="1">
        <f>Comuni__2[[#This Row],[Popolazione2011]]/Comuni__2[[#This Row],[POPOLAZIONE TOTALE DI OGNI REGIONE (CON FILTRO)]]</f>
        <v>2.4831752736781686E-4</v>
      </c>
      <c r="H1279" t="str">
        <f>IF(Comuni__2[[#This Row],[Popolazione2011]]&gt;300000,"MAGGIORE","")</f>
        <v/>
      </c>
      <c r="J1279">
        <v>105</v>
      </c>
      <c r="K1279">
        <v>23267</v>
      </c>
      <c r="L1279">
        <v>4265</v>
      </c>
    </row>
    <row r="1280" spans="1:12" x14ac:dyDescent="0.2">
      <c r="A1280"/>
      <c r="B1280"/>
      <c r="C1280"/>
      <c r="D1280"/>
      <c r="E1280" s="2">
        <f>Comuni__2[[#This Row],[Popolazione2011]]/$D$7911</f>
        <v>2.38627831406307E-5</v>
      </c>
      <c r="F1280">
        <f>SUMIFS($D$2:$D$7909, $B$2:$B$7909, "Campania")</f>
        <v>5766810</v>
      </c>
      <c r="G1280" s="1">
        <f>Comuni__2[[#This Row],[Popolazione2011]]/Comuni__2[[#This Row],[POPOLAZIONE TOTALE DI OGNI REGIONE (CON FILTRO)]]</f>
        <v>2.4588984204438848E-4</v>
      </c>
      <c r="H1280" t="str">
        <f>IF(Comuni__2[[#This Row],[Popolazione2011]]&gt;300000,"MAGGIORE","")</f>
        <v/>
      </c>
      <c r="J1280">
        <v>96</v>
      </c>
      <c r="K1280">
        <v>23284</v>
      </c>
      <c r="L1280">
        <v>4267</v>
      </c>
    </row>
    <row r="1281" spans="1:12" x14ac:dyDescent="0.2">
      <c r="A1281"/>
      <c r="B1281"/>
      <c r="C1281"/>
      <c r="D1281"/>
      <c r="E1281" s="2">
        <f>Comuni__2[[#This Row],[Popolazione2011]]/$D$7911</f>
        <v>2.344207116706528E-5</v>
      </c>
      <c r="F1281">
        <f>SUMIFS($D$2:$D$7909, $B$2:$B$7909, "Campania")</f>
        <v>5766810</v>
      </c>
      <c r="G1281" s="1">
        <f>Comuni__2[[#This Row],[Popolazione2011]]/Comuni__2[[#This Row],[POPOLAZIONE TOTALE DI OGNI REGIONE (CON FILTRO)]]</f>
        <v>2.4155468968112354E-4</v>
      </c>
      <c r="H1281" t="str">
        <f>IF(Comuni__2[[#This Row],[Popolazione2011]]&gt;300000,"MAGGIORE","")</f>
        <v/>
      </c>
      <c r="J1281">
        <v>96</v>
      </c>
      <c r="K1281">
        <v>23309</v>
      </c>
      <c r="L1281">
        <v>4267</v>
      </c>
    </row>
    <row r="1282" spans="1:12" x14ac:dyDescent="0.2">
      <c r="A1282"/>
      <c r="B1282"/>
      <c r="C1282"/>
      <c r="D1282"/>
      <c r="E1282" s="2">
        <f>Comuni__2[[#This Row],[Popolazione2011]]/$D$7911</f>
        <v>2.3374757251294812E-5</v>
      </c>
      <c r="F1282">
        <f>SUMIFS($D$2:$D$7909, $B$2:$B$7909, "Campania")</f>
        <v>5766810</v>
      </c>
      <c r="G1282" s="1">
        <f>Comuni__2[[#This Row],[Popolazione2011]]/Comuni__2[[#This Row],[POPOLAZIONE TOTALE DI OGNI REGIONE (CON FILTRO)]]</f>
        <v>2.4086106530300114E-4</v>
      </c>
      <c r="H1282" t="str">
        <f>IF(Comuni__2[[#This Row],[Popolazione2011]]&gt;300000,"MAGGIORE","")</f>
        <v/>
      </c>
      <c r="J1282">
        <v>97</v>
      </c>
      <c r="K1282">
        <v>23340</v>
      </c>
      <c r="L1282">
        <v>4268</v>
      </c>
    </row>
    <row r="1283" spans="1:12" x14ac:dyDescent="0.2">
      <c r="A1283"/>
      <c r="B1283"/>
      <c r="C1283"/>
      <c r="D1283"/>
      <c r="E1283" s="2">
        <f>Comuni__2[[#This Row],[Popolazione2011]]/$D$7911</f>
        <v>2.322330094081126E-5</v>
      </c>
      <c r="F1283">
        <f>SUMIFS($D$2:$D$7909, $B$2:$B$7909, "Campania")</f>
        <v>5766810</v>
      </c>
      <c r="G1283" s="1">
        <f>Comuni__2[[#This Row],[Popolazione2011]]/Comuni__2[[#This Row],[POPOLAZIONE TOTALE DI OGNI REGIONE (CON FILTRO)]]</f>
        <v>2.3930041045222574E-4</v>
      </c>
      <c r="H1283" t="str">
        <f>IF(Comuni__2[[#This Row],[Popolazione2011]]&gt;300000,"MAGGIORE","")</f>
        <v/>
      </c>
      <c r="J1283">
        <v>99</v>
      </c>
      <c r="K1283">
        <v>23343</v>
      </c>
      <c r="L1283">
        <v>4268</v>
      </c>
    </row>
    <row r="1284" spans="1:12" x14ac:dyDescent="0.2">
      <c r="A1284"/>
      <c r="B1284"/>
      <c r="C1284"/>
      <c r="D1284"/>
      <c r="E1284" s="2">
        <f>Comuni__2[[#This Row],[Popolazione2011]]/$D$7911</f>
        <v>2.322330094081126E-5</v>
      </c>
      <c r="F1284">
        <f>SUMIFS($D$2:$D$7909, $B$2:$B$7909, "Campania")</f>
        <v>5766810</v>
      </c>
      <c r="G1284" s="1">
        <f>Comuni__2[[#This Row],[Popolazione2011]]/Comuni__2[[#This Row],[POPOLAZIONE TOTALE DI OGNI REGIONE (CON FILTRO)]]</f>
        <v>2.3930041045222574E-4</v>
      </c>
      <c r="H1284" t="str">
        <f>IF(Comuni__2[[#This Row],[Popolazione2011]]&gt;300000,"MAGGIORE","")</f>
        <v/>
      </c>
      <c r="J1284">
        <v>108</v>
      </c>
      <c r="K1284">
        <v>23377</v>
      </c>
      <c r="L1284">
        <v>4269</v>
      </c>
    </row>
    <row r="1285" spans="1:12" x14ac:dyDescent="0.2">
      <c r="A1285"/>
      <c r="B1285"/>
      <c r="C1285"/>
      <c r="D1285"/>
      <c r="E1285" s="2">
        <f>Comuni__2[[#This Row],[Popolazione2011]]/$D$7911</f>
        <v>2.3155987025040792E-5</v>
      </c>
      <c r="F1285">
        <f>SUMIFS($D$2:$D$7909, $B$2:$B$7909, "Campania")</f>
        <v>5766810</v>
      </c>
      <c r="G1285" s="1">
        <f>Comuni__2[[#This Row],[Popolazione2011]]/Comuni__2[[#This Row],[POPOLAZIONE TOTALE DI OGNI REGIONE (CON FILTRO)]]</f>
        <v>2.3860678607410336E-4</v>
      </c>
      <c r="H1285" t="str">
        <f>IF(Comuni__2[[#This Row],[Popolazione2011]]&gt;300000,"MAGGIORE","")</f>
        <v/>
      </c>
      <c r="J1285">
        <v>109</v>
      </c>
      <c r="K1285">
        <v>23415</v>
      </c>
      <c r="L1285">
        <v>4269</v>
      </c>
    </row>
    <row r="1286" spans="1:12" x14ac:dyDescent="0.2">
      <c r="A1286"/>
      <c r="B1286"/>
      <c r="C1286"/>
      <c r="D1286"/>
      <c r="E1286" s="2">
        <f>Comuni__2[[#This Row],[Popolazione2011]]/$D$7911</f>
        <v>2.2987702235614624E-5</v>
      </c>
      <c r="F1286">
        <f>SUMIFS($D$2:$D$7909, $B$2:$B$7909, "Campania")</f>
        <v>5766810</v>
      </c>
      <c r="G1286" s="1">
        <f>Comuni__2[[#This Row],[Popolazione2011]]/Comuni__2[[#This Row],[POPOLAZIONE TOTALE DI OGNI REGIONE (CON FILTRO)]]</f>
        <v>2.3687272512879737E-4</v>
      </c>
      <c r="H1286" t="str">
        <f>IF(Comuni__2[[#This Row],[Popolazione2011]]&gt;300000,"MAGGIORE","")</f>
        <v/>
      </c>
      <c r="J1286">
        <v>106</v>
      </c>
      <c r="K1286">
        <v>23434</v>
      </c>
      <c r="L1286">
        <v>4269</v>
      </c>
    </row>
    <row r="1287" spans="1:12" x14ac:dyDescent="0.2">
      <c r="A1287"/>
      <c r="B1287"/>
      <c r="C1287"/>
      <c r="D1287"/>
      <c r="E1287" s="2">
        <f>Comuni__2[[#This Row],[Popolazione2011]]/$D$7911</f>
        <v>2.2987702235614624E-5</v>
      </c>
      <c r="F1287">
        <f>SUMIFS($D$2:$D$7909, $B$2:$B$7909, "Campania")</f>
        <v>5766810</v>
      </c>
      <c r="G1287" s="1">
        <f>Comuni__2[[#This Row],[Popolazione2011]]/Comuni__2[[#This Row],[POPOLAZIONE TOTALE DI OGNI REGIONE (CON FILTRO)]]</f>
        <v>2.3687272512879737E-4</v>
      </c>
      <c r="H1287" t="str">
        <f>IF(Comuni__2[[#This Row],[Popolazione2011]]&gt;300000,"MAGGIORE","")</f>
        <v/>
      </c>
      <c r="J1287">
        <v>106</v>
      </c>
      <c r="K1287">
        <v>23440</v>
      </c>
      <c r="L1287">
        <v>4269</v>
      </c>
    </row>
    <row r="1288" spans="1:12" x14ac:dyDescent="0.2">
      <c r="A1288"/>
      <c r="B1288"/>
      <c r="C1288"/>
      <c r="D1288"/>
      <c r="E1288" s="2">
        <f>Comuni__2[[#This Row],[Popolazione2011]]/$D$7911</f>
        <v>2.2886731361958924E-5</v>
      </c>
      <c r="F1288">
        <f>SUMIFS($D$2:$D$7909, $B$2:$B$7909, "Campania")</f>
        <v>5766810</v>
      </c>
      <c r="G1288" s="1">
        <f>Comuni__2[[#This Row],[Popolazione2011]]/Comuni__2[[#This Row],[POPOLAZIONE TOTALE DI OGNI REGIONE (CON FILTRO)]]</f>
        <v>2.3583228856161379E-4</v>
      </c>
      <c r="H1288" t="str">
        <f>IF(Comuni__2[[#This Row],[Popolazione2011]]&gt;300000,"MAGGIORE","")</f>
        <v/>
      </c>
      <c r="J1288">
        <v>103</v>
      </c>
      <c r="K1288">
        <v>23481</v>
      </c>
      <c r="L1288">
        <v>4269</v>
      </c>
    </row>
    <row r="1289" spans="1:12" x14ac:dyDescent="0.2">
      <c r="A1289"/>
      <c r="B1289"/>
      <c r="C1289"/>
      <c r="D1289"/>
      <c r="E1289" s="2">
        <f>Comuni__2[[#This Row],[Popolazione2011]]/$D$7911</f>
        <v>2.2819417446188456E-5</v>
      </c>
      <c r="F1289">
        <f>SUMIFS($D$2:$D$7909, $B$2:$B$7909, "Campania")</f>
        <v>5766810</v>
      </c>
      <c r="G1289" s="1">
        <f>Comuni__2[[#This Row],[Popolazione2011]]/Comuni__2[[#This Row],[POPOLAZIONE TOTALE DI OGNI REGIONE (CON FILTRO)]]</f>
        <v>2.3513866418349141E-4</v>
      </c>
      <c r="H1289" t="str">
        <f>IF(Comuni__2[[#This Row],[Popolazione2011]]&gt;300000,"MAGGIORE","")</f>
        <v/>
      </c>
      <c r="J1289">
        <v>103</v>
      </c>
      <c r="K1289">
        <v>23491</v>
      </c>
      <c r="L1289">
        <v>4269</v>
      </c>
    </row>
    <row r="1290" spans="1:12" x14ac:dyDescent="0.2">
      <c r="A1290"/>
      <c r="B1290"/>
      <c r="C1290"/>
      <c r="D1290"/>
      <c r="E1290" s="2">
        <f>Comuni__2[[#This Row],[Popolazione2011]]/$D$7911</f>
        <v>2.2617475698877056E-5</v>
      </c>
      <c r="F1290">
        <f>SUMIFS($D$2:$D$7909, $B$2:$B$7909, "Campania")</f>
        <v>5766810</v>
      </c>
      <c r="G1290" s="1">
        <f>Comuni__2[[#This Row],[Popolazione2011]]/Comuni__2[[#This Row],[POPOLAZIONE TOTALE DI OGNI REGIONE (CON FILTRO)]]</f>
        <v>2.3305779104912421E-4</v>
      </c>
      <c r="H1290" t="str">
        <f>IF(Comuni__2[[#This Row],[Popolazione2011]]&gt;300000,"MAGGIORE","")</f>
        <v/>
      </c>
      <c r="J1290">
        <v>102</v>
      </c>
      <c r="K1290">
        <v>23496</v>
      </c>
      <c r="L1290">
        <v>4269</v>
      </c>
    </row>
    <row r="1291" spans="1:12" x14ac:dyDescent="0.2">
      <c r="A1291"/>
      <c r="B1291"/>
      <c r="C1291"/>
      <c r="D1291"/>
      <c r="E1291" s="2">
        <f>Comuni__2[[#This Row],[Popolazione2011]]/$D$7911</f>
        <v>2.2533333304163968E-5</v>
      </c>
      <c r="F1291">
        <f>SUMIFS($D$2:$D$7909, $B$2:$B$7909, "Campania")</f>
        <v>5766810</v>
      </c>
      <c r="G1291" s="1">
        <f>Comuni__2[[#This Row],[Popolazione2011]]/Comuni__2[[#This Row],[POPOLAZIONE TOTALE DI OGNI REGIONE (CON FILTRO)]]</f>
        <v>2.3219076057647123E-4</v>
      </c>
      <c r="H1291" t="str">
        <f>IF(Comuni__2[[#This Row],[Popolazione2011]]&gt;300000,"MAGGIORE","")</f>
        <v/>
      </c>
      <c r="J1291">
        <v>102</v>
      </c>
      <c r="K1291">
        <v>23511</v>
      </c>
      <c r="L1291">
        <v>4271</v>
      </c>
    </row>
    <row r="1292" spans="1:12" x14ac:dyDescent="0.2">
      <c r="A1292"/>
      <c r="B1292"/>
      <c r="C1292"/>
      <c r="D1292"/>
      <c r="E1292" s="2">
        <f>Comuni__2[[#This Row],[Popolazione2011]]/$D$7911</f>
        <v>2.2314563077909952E-5</v>
      </c>
      <c r="F1292">
        <f>SUMIFS($D$2:$D$7909, $B$2:$B$7909, "Campania")</f>
        <v>5766810</v>
      </c>
      <c r="G1292" s="1">
        <f>Comuni__2[[#This Row],[Popolazione2011]]/Comuni__2[[#This Row],[POPOLAZIONE TOTALE DI OGNI REGIONE (CON FILTRO)]]</f>
        <v>2.2993648134757343E-4</v>
      </c>
      <c r="H1292" t="str">
        <f>IF(Comuni__2[[#This Row],[Popolazione2011]]&gt;300000,"MAGGIORE","")</f>
        <v/>
      </c>
      <c r="J1292">
        <v>97</v>
      </c>
      <c r="K1292">
        <v>23548</v>
      </c>
      <c r="L1292">
        <v>4271</v>
      </c>
    </row>
    <row r="1293" spans="1:12" x14ac:dyDescent="0.2">
      <c r="A1293"/>
      <c r="B1293"/>
      <c r="C1293"/>
      <c r="D1293"/>
      <c r="E1293" s="2">
        <f>Comuni__2[[#This Row],[Popolazione2011]]/$D$7911</f>
        <v>2.2028478935885464E-5</v>
      </c>
      <c r="F1293">
        <f>SUMIFS($D$2:$D$7909, $B$2:$B$7909, "Campania")</f>
        <v>5766810</v>
      </c>
      <c r="G1293" s="1">
        <f>Comuni__2[[#This Row],[Popolazione2011]]/Comuni__2[[#This Row],[POPOLAZIONE TOTALE DI OGNI REGIONE (CON FILTRO)]]</f>
        <v>2.2698857774055328E-4</v>
      </c>
      <c r="H1293" t="str">
        <f>IF(Comuni__2[[#This Row],[Popolazione2011]]&gt;300000,"MAGGIORE","")</f>
        <v/>
      </c>
      <c r="J1293">
        <v>97</v>
      </c>
      <c r="K1293">
        <v>23566</v>
      </c>
      <c r="L1293">
        <v>4271</v>
      </c>
    </row>
    <row r="1294" spans="1:12" x14ac:dyDescent="0.2">
      <c r="A1294"/>
      <c r="B1294"/>
      <c r="C1294"/>
      <c r="D1294"/>
      <c r="E1294" s="2">
        <f>Comuni__2[[#This Row],[Popolazione2011]]/$D$7911</f>
        <v>2.1809708709631444E-5</v>
      </c>
      <c r="F1294">
        <f>SUMIFS($D$2:$D$7909, $B$2:$B$7909, "Campania")</f>
        <v>5766810</v>
      </c>
      <c r="G1294" s="1">
        <f>Comuni__2[[#This Row],[Popolazione2011]]/Comuni__2[[#This Row],[POPOLAZIONE TOTALE DI OGNI REGIONE (CON FILTRO)]]</f>
        <v>2.2473429851165548E-4</v>
      </c>
      <c r="H1294" t="str">
        <f>IF(Comuni__2[[#This Row],[Popolazione2011]]&gt;300000,"MAGGIORE","")</f>
        <v/>
      </c>
      <c r="J1294">
        <v>95</v>
      </c>
      <c r="K1294">
        <v>23586</v>
      </c>
      <c r="L1294">
        <v>4273</v>
      </c>
    </row>
    <row r="1295" spans="1:12" x14ac:dyDescent="0.2">
      <c r="A1295"/>
      <c r="B1295"/>
      <c r="C1295"/>
      <c r="D1295"/>
      <c r="E1295" s="2">
        <f>Comuni__2[[#This Row],[Popolazione2011]]/$D$7911</f>
        <v>2.1489967609721724E-5</v>
      </c>
      <c r="F1295">
        <f>SUMIFS($D$2:$D$7909, $B$2:$B$7909, "Campania")</f>
        <v>5766810</v>
      </c>
      <c r="G1295" s="1">
        <f>Comuni__2[[#This Row],[Popolazione2011]]/Comuni__2[[#This Row],[POPOLAZIONE TOTALE DI OGNI REGIONE (CON FILTRO)]]</f>
        <v>2.2143958271557412E-4</v>
      </c>
      <c r="H1295" t="str">
        <f>IF(Comuni__2[[#This Row],[Popolazione2011]]&gt;300000,"MAGGIORE","")</f>
        <v/>
      </c>
      <c r="J1295">
        <v>93</v>
      </c>
      <c r="K1295">
        <v>23619</v>
      </c>
      <c r="L1295">
        <v>4274</v>
      </c>
    </row>
    <row r="1296" spans="1:12" x14ac:dyDescent="0.2">
      <c r="A1296"/>
      <c r="B1296"/>
      <c r="C1296"/>
      <c r="D1296"/>
      <c r="E1296" s="2">
        <f>Comuni__2[[#This Row],[Popolazione2011]]/$D$7911</f>
        <v>2.1321682820295556E-5</v>
      </c>
      <c r="F1296">
        <f>SUMIFS($D$2:$D$7909, $B$2:$B$7909, "Campania")</f>
        <v>5766810</v>
      </c>
      <c r="G1296" s="1">
        <f>Comuni__2[[#This Row],[Popolazione2011]]/Comuni__2[[#This Row],[POPOLAZIONE TOTALE DI OGNI REGIONE (CON FILTRO)]]</f>
        <v>2.1970552177026813E-4</v>
      </c>
      <c r="H1296" t="str">
        <f>IF(Comuni__2[[#This Row],[Popolazione2011]]&gt;300000,"MAGGIORE","")</f>
        <v/>
      </c>
      <c r="J1296">
        <v>89</v>
      </c>
      <c r="K1296">
        <v>23638</v>
      </c>
      <c r="L1296">
        <v>4274</v>
      </c>
    </row>
    <row r="1297" spans="1:12" x14ac:dyDescent="0.2">
      <c r="A1297"/>
      <c r="B1297"/>
      <c r="C1297"/>
      <c r="D1297"/>
      <c r="E1297" s="2">
        <f>Comuni__2[[#This Row],[Popolazione2011]]/$D$7911</f>
        <v>2.1237540425582472E-5</v>
      </c>
      <c r="F1297">
        <f>SUMIFS($D$2:$D$7909, $B$2:$B$7909, "Campania")</f>
        <v>5766810</v>
      </c>
      <c r="G1297" s="1">
        <f>Comuni__2[[#This Row],[Popolazione2011]]/Comuni__2[[#This Row],[POPOLAZIONE TOTALE DI OGNI REGIONE (CON FILTRO)]]</f>
        <v>2.1883849129761515E-4</v>
      </c>
      <c r="H1297" t="str">
        <f>IF(Comuni__2[[#This Row],[Popolazione2011]]&gt;300000,"MAGGIORE","")</f>
        <v/>
      </c>
      <c r="J1297">
        <v>97</v>
      </c>
      <c r="K1297">
        <v>23645</v>
      </c>
      <c r="L1297">
        <v>4277</v>
      </c>
    </row>
    <row r="1298" spans="1:12" x14ac:dyDescent="0.2">
      <c r="A1298"/>
      <c r="B1298"/>
      <c r="C1298"/>
      <c r="D1298"/>
      <c r="E1298" s="2">
        <f>Comuni__2[[#This Row],[Popolazione2011]]/$D$7911</f>
        <v>2.1136569551926772E-5</v>
      </c>
      <c r="F1298">
        <f>SUMIFS($D$2:$D$7909, $B$2:$B$7909, "Campania")</f>
        <v>5766810</v>
      </c>
      <c r="G1298" s="1">
        <f>Comuni__2[[#This Row],[Popolazione2011]]/Comuni__2[[#This Row],[POPOLAZIONE TOTALE DI OGNI REGIONE (CON FILTRO)]]</f>
        <v>2.1779805473043156E-4</v>
      </c>
      <c r="H1298" t="str">
        <f>IF(Comuni__2[[#This Row],[Popolazione2011]]&gt;300000,"MAGGIORE","")</f>
        <v/>
      </c>
      <c r="J1298">
        <v>91</v>
      </c>
      <c r="K1298">
        <v>23662</v>
      </c>
      <c r="L1298">
        <v>4279</v>
      </c>
    </row>
    <row r="1299" spans="1:12" x14ac:dyDescent="0.2">
      <c r="A1299"/>
      <c r="B1299"/>
      <c r="C1299"/>
      <c r="D1299"/>
      <c r="E1299" s="2">
        <f>Comuni__2[[#This Row],[Popolazione2011]]/$D$7911</f>
        <v>2.1018770199328453E-5</v>
      </c>
      <c r="F1299">
        <f>SUMIFS($D$2:$D$7909, $B$2:$B$7909, "Campania")</f>
        <v>5766810</v>
      </c>
      <c r="G1299" s="1">
        <f>Comuni__2[[#This Row],[Popolazione2011]]/Comuni__2[[#This Row],[POPOLAZIONE TOTALE DI OGNI REGIONE (CON FILTRO)]]</f>
        <v>2.1658421206871738E-4</v>
      </c>
      <c r="H1299" t="str">
        <f>IF(Comuni__2[[#This Row],[Popolazione2011]]&gt;300000,"MAGGIORE","")</f>
        <v/>
      </c>
      <c r="J1299">
        <v>88</v>
      </c>
      <c r="K1299">
        <v>23689</v>
      </c>
      <c r="L1299">
        <v>4281</v>
      </c>
    </row>
    <row r="1300" spans="1:12" x14ac:dyDescent="0.2">
      <c r="A1300"/>
      <c r="B1300"/>
      <c r="C1300"/>
      <c r="D1300"/>
      <c r="E1300" s="2">
        <f>Comuni__2[[#This Row],[Popolazione2011]]/$D$7911</f>
        <v>2.0833656930959668E-5</v>
      </c>
      <c r="F1300">
        <f>SUMIFS($D$2:$D$7909, $B$2:$B$7909, "Campania")</f>
        <v>5766810</v>
      </c>
      <c r="G1300" s="1">
        <f>Comuni__2[[#This Row],[Popolazione2011]]/Comuni__2[[#This Row],[POPOLAZIONE TOTALE DI OGNI REGIONE (CON FILTRO)]]</f>
        <v>2.1467674502888078E-4</v>
      </c>
      <c r="H1300" t="str">
        <f>IF(Comuni__2[[#This Row],[Popolazione2011]]&gt;300000,"MAGGIORE","")</f>
        <v/>
      </c>
      <c r="J1300">
        <v>85</v>
      </c>
      <c r="K1300">
        <v>23719</v>
      </c>
      <c r="L1300">
        <v>4281</v>
      </c>
    </row>
    <row r="1301" spans="1:12" x14ac:dyDescent="0.2">
      <c r="A1301"/>
      <c r="B1301"/>
      <c r="C1301"/>
      <c r="D1301"/>
      <c r="E1301" s="2">
        <f>Comuni__2[[#This Row],[Popolazione2011]]/$D$7911</f>
        <v>2.0833656930959668E-5</v>
      </c>
      <c r="F1301">
        <f>SUMIFS($D$2:$D$7909, $B$2:$B$7909, "Campania")</f>
        <v>5766810</v>
      </c>
      <c r="G1301" s="1">
        <f>Comuni__2[[#This Row],[Popolazione2011]]/Comuni__2[[#This Row],[POPOLAZIONE TOTALE DI OGNI REGIONE (CON FILTRO)]]</f>
        <v>2.1467674502888078E-4</v>
      </c>
      <c r="H1301" t="str">
        <f>IF(Comuni__2[[#This Row],[Popolazione2011]]&gt;300000,"MAGGIORE","")</f>
        <v/>
      </c>
      <c r="J1301">
        <v>83</v>
      </c>
      <c r="K1301">
        <v>23758</v>
      </c>
      <c r="L1301">
        <v>4283</v>
      </c>
    </row>
    <row r="1302" spans="1:12" x14ac:dyDescent="0.2">
      <c r="A1302"/>
      <c r="B1302"/>
      <c r="C1302"/>
      <c r="D1302"/>
      <c r="E1302" s="2">
        <f>Comuni__2[[#This Row],[Popolazione2011]]/$D$7911</f>
        <v>2.07663430151892E-5</v>
      </c>
      <c r="F1302">
        <f>SUMIFS($D$2:$D$7909, $B$2:$B$7909, "Campania")</f>
        <v>5766810</v>
      </c>
      <c r="G1302" s="1">
        <f>Comuni__2[[#This Row],[Popolazione2011]]/Comuni__2[[#This Row],[POPOLAZIONE TOTALE DI OGNI REGIONE (CON FILTRO)]]</f>
        <v>2.139831206507584E-4</v>
      </c>
      <c r="H1302" t="str">
        <f>IF(Comuni__2[[#This Row],[Popolazione2011]]&gt;300000,"MAGGIORE","")</f>
        <v/>
      </c>
      <c r="J1302">
        <v>82</v>
      </c>
      <c r="K1302">
        <v>23778</v>
      </c>
      <c r="L1302">
        <v>4284</v>
      </c>
    </row>
    <row r="1303" spans="1:12" x14ac:dyDescent="0.2">
      <c r="A1303"/>
      <c r="B1303"/>
      <c r="C1303"/>
      <c r="D1303"/>
      <c r="E1303" s="2">
        <f>Comuni__2[[#This Row],[Popolazione2011]]/$D$7911</f>
        <v>2.0749514536246584E-5</v>
      </c>
      <c r="F1303">
        <f>SUMIFS($D$2:$D$7909, $B$2:$B$7909, "Campania")</f>
        <v>5766810</v>
      </c>
      <c r="G1303" s="1">
        <f>Comuni__2[[#This Row],[Popolazione2011]]/Comuni__2[[#This Row],[POPOLAZIONE TOTALE DI OGNI REGIONE (CON FILTRO)]]</f>
        <v>2.138097145562278E-4</v>
      </c>
      <c r="H1303" t="str">
        <f>IF(Comuni__2[[#This Row],[Popolazione2011]]&gt;300000,"MAGGIORE","")</f>
        <v/>
      </c>
      <c r="J1303">
        <v>79</v>
      </c>
      <c r="K1303">
        <v>23793</v>
      </c>
      <c r="L1303">
        <v>4285</v>
      </c>
    </row>
    <row r="1304" spans="1:12" x14ac:dyDescent="0.2">
      <c r="A1304"/>
      <c r="B1304"/>
      <c r="C1304"/>
      <c r="D1304"/>
      <c r="E1304" s="2">
        <f>Comuni__2[[#This Row],[Popolazione2011]]/$D$7911</f>
        <v>2.0429773436336864E-5</v>
      </c>
      <c r="F1304">
        <f>SUMIFS($D$2:$D$7909, $B$2:$B$7909, "Campania")</f>
        <v>5766810</v>
      </c>
      <c r="G1304" s="1">
        <f>Comuni__2[[#This Row],[Popolazione2011]]/Comuni__2[[#This Row],[POPOLAZIONE TOTALE DI OGNI REGIONE (CON FILTRO)]]</f>
        <v>2.1051499876014642E-4</v>
      </c>
      <c r="H1304" t="str">
        <f>IF(Comuni__2[[#This Row],[Popolazione2011]]&gt;300000,"MAGGIORE","")</f>
        <v/>
      </c>
      <c r="J1304">
        <v>81</v>
      </c>
      <c r="K1304">
        <v>23814</v>
      </c>
      <c r="L1304">
        <v>4285</v>
      </c>
    </row>
    <row r="1305" spans="1:12" x14ac:dyDescent="0.2">
      <c r="A1305"/>
      <c r="B1305"/>
      <c r="C1305"/>
      <c r="D1305"/>
      <c r="E1305" s="2">
        <f>Comuni__2[[#This Row],[Popolazione2011]]/$D$7911</f>
        <v>2.0379287999509013E-5</v>
      </c>
      <c r="F1305">
        <f>SUMIFS($D$2:$D$7909, $B$2:$B$7909, "Campania")</f>
        <v>5766810</v>
      </c>
      <c r="G1305" s="1">
        <f>Comuni__2[[#This Row],[Popolazione2011]]/Comuni__2[[#This Row],[POPOLAZIONE TOTALE DI OGNI REGIONE (CON FILTRO)]]</f>
        <v>2.0999478047655464E-4</v>
      </c>
      <c r="H1305" t="str">
        <f>IF(Comuni__2[[#This Row],[Popolazione2011]]&gt;300000,"MAGGIORE","")</f>
        <v/>
      </c>
      <c r="J1305">
        <v>75</v>
      </c>
      <c r="K1305">
        <v>23830</v>
      </c>
      <c r="L1305">
        <v>4286</v>
      </c>
    </row>
    <row r="1306" spans="1:12" x14ac:dyDescent="0.2">
      <c r="A1306"/>
      <c r="B1306"/>
      <c r="C1306"/>
      <c r="D1306"/>
      <c r="E1306" s="2">
        <f>Comuni__2[[#This Row],[Popolazione2011]]/$D$7911</f>
        <v>2.0311974083738545E-5</v>
      </c>
      <c r="F1306">
        <f>SUMIFS($D$2:$D$7909, $B$2:$B$7909, "Campania")</f>
        <v>5766810</v>
      </c>
      <c r="G1306" s="1">
        <f>Comuni__2[[#This Row],[Popolazione2011]]/Comuni__2[[#This Row],[POPOLAZIONE TOTALE DI OGNI REGIONE (CON FILTRO)]]</f>
        <v>2.0930115609843223E-4</v>
      </c>
      <c r="H1306" t="str">
        <f>IF(Comuni__2[[#This Row],[Popolazione2011]]&gt;300000,"MAGGIORE","")</f>
        <v/>
      </c>
      <c r="J1306">
        <v>69</v>
      </c>
      <c r="K1306">
        <v>23865</v>
      </c>
      <c r="L1306">
        <v>4287</v>
      </c>
    </row>
    <row r="1307" spans="1:12" x14ac:dyDescent="0.2">
      <c r="A1307"/>
      <c r="B1307"/>
      <c r="C1307"/>
      <c r="D1307"/>
      <c r="E1307" s="2">
        <f>Comuni__2[[#This Row],[Popolazione2011]]/$D$7911</f>
        <v>2.0143689294312377E-5</v>
      </c>
      <c r="F1307">
        <f>SUMIFS($D$2:$D$7909, $B$2:$B$7909, "Campania")</f>
        <v>5766810</v>
      </c>
      <c r="G1307" s="1">
        <f>Comuni__2[[#This Row],[Popolazione2011]]/Comuni__2[[#This Row],[POPOLAZIONE TOTALE DI OGNI REGIONE (CON FILTRO)]]</f>
        <v>2.0756709515312626E-4</v>
      </c>
      <c r="H1307" t="str">
        <f>IF(Comuni__2[[#This Row],[Popolazione2011]]&gt;300000,"MAGGIORE","")</f>
        <v/>
      </c>
      <c r="J1307">
        <v>69</v>
      </c>
      <c r="K1307">
        <v>23874</v>
      </c>
      <c r="L1307">
        <v>4289</v>
      </c>
    </row>
    <row r="1308" spans="1:12" x14ac:dyDescent="0.2">
      <c r="A1308"/>
      <c r="B1308"/>
      <c r="C1308"/>
      <c r="D1308"/>
      <c r="E1308" s="2">
        <f>Comuni__2[[#This Row],[Popolazione2011]]/$D$7911</f>
        <v>2.0076375378541909E-5</v>
      </c>
      <c r="F1308">
        <f>SUMIFS($D$2:$D$7909, $B$2:$B$7909, "Campania")</f>
        <v>5766810</v>
      </c>
      <c r="G1308" s="1">
        <f>Comuni__2[[#This Row],[Popolazione2011]]/Comuni__2[[#This Row],[POPOLAZIONE TOTALE DI OGNI REGIONE (CON FILTRO)]]</f>
        <v>2.0687347077500386E-4</v>
      </c>
      <c r="H1308" t="str">
        <f>IF(Comuni__2[[#This Row],[Popolazione2011]]&gt;300000,"MAGGIORE","")</f>
        <v/>
      </c>
      <c r="J1308">
        <v>63</v>
      </c>
      <c r="K1308">
        <v>23885</v>
      </c>
      <c r="L1308">
        <v>4289</v>
      </c>
    </row>
    <row r="1309" spans="1:12" x14ac:dyDescent="0.2">
      <c r="A1309"/>
      <c r="B1309"/>
      <c r="C1309"/>
      <c r="D1309"/>
      <c r="E1309" s="2">
        <f>Comuni__2[[#This Row],[Popolazione2011]]/$D$7911</f>
        <v>2.0059546899599293E-5</v>
      </c>
      <c r="F1309">
        <f>SUMIFS($D$2:$D$7909, $B$2:$B$7909, "Campania")</f>
        <v>5766810</v>
      </c>
      <c r="G1309" s="1">
        <f>Comuni__2[[#This Row],[Popolazione2011]]/Comuni__2[[#This Row],[POPOLAZIONE TOTALE DI OGNI REGIONE (CON FILTRO)]]</f>
        <v>2.0670006468047325E-4</v>
      </c>
      <c r="H1309" t="str">
        <f>IF(Comuni__2[[#This Row],[Popolazione2011]]&gt;300000,"MAGGIORE","")</f>
        <v/>
      </c>
      <c r="J1309">
        <v>71</v>
      </c>
      <c r="K1309">
        <v>23925</v>
      </c>
      <c r="L1309">
        <v>4291</v>
      </c>
    </row>
    <row r="1310" spans="1:12" x14ac:dyDescent="0.2">
      <c r="A1310"/>
      <c r="B1310"/>
      <c r="C1310"/>
      <c r="D1310"/>
      <c r="E1310" s="2">
        <f>Comuni__2[[#This Row],[Popolazione2011]]/$D$7911</f>
        <v>1.9571521010263405E-5</v>
      </c>
      <c r="F1310">
        <f>SUMIFS($D$2:$D$7909, $B$2:$B$7909, "Campania")</f>
        <v>5766810</v>
      </c>
      <c r="G1310" s="1">
        <f>Comuni__2[[#This Row],[Popolazione2011]]/Comuni__2[[#This Row],[POPOLAZIONE TOTALE DI OGNI REGIONE (CON FILTRO)]]</f>
        <v>2.0167128793908591E-4</v>
      </c>
      <c r="H1310" t="str">
        <f>IF(Comuni__2[[#This Row],[Popolazione2011]]&gt;300000,"MAGGIORE","")</f>
        <v/>
      </c>
      <c r="J1310">
        <v>72</v>
      </c>
      <c r="K1310">
        <v>23943</v>
      </c>
      <c r="L1310">
        <v>4291</v>
      </c>
    </row>
    <row r="1311" spans="1:12" x14ac:dyDescent="0.2">
      <c r="A1311"/>
      <c r="B1311"/>
      <c r="C1311"/>
      <c r="D1311"/>
      <c r="E1311" s="2">
        <f>Comuni__2[[#This Row],[Popolazione2011]]/$D$7911</f>
        <v>1.9537864052378169E-5</v>
      </c>
      <c r="F1311">
        <f>SUMIFS($D$2:$D$7909, $B$2:$B$7909, "Campania")</f>
        <v>5766810</v>
      </c>
      <c r="G1311" s="1">
        <f>Comuni__2[[#This Row],[Popolazione2011]]/Comuni__2[[#This Row],[POPOLAZIONE TOTALE DI OGNI REGIONE (CON FILTRO)]]</f>
        <v>2.013244757500247E-4</v>
      </c>
      <c r="H1311" t="str">
        <f>IF(Comuni__2[[#This Row],[Popolazione2011]]&gt;300000,"MAGGIORE","")</f>
        <v/>
      </c>
      <c r="J1311">
        <v>71</v>
      </c>
      <c r="K1311">
        <v>23957</v>
      </c>
      <c r="L1311">
        <v>4291</v>
      </c>
    </row>
    <row r="1312" spans="1:12" x14ac:dyDescent="0.2">
      <c r="A1312"/>
      <c r="B1312"/>
      <c r="C1312"/>
      <c r="D1312"/>
      <c r="E1312" s="2">
        <f>Comuni__2[[#This Row],[Popolazione2011]]/$D$7911</f>
        <v>1.9470550136607701E-5</v>
      </c>
      <c r="F1312">
        <f>SUMIFS($D$2:$D$7909, $B$2:$B$7909, "Campania")</f>
        <v>5766810</v>
      </c>
      <c r="G1312" s="1">
        <f>Comuni__2[[#This Row],[Popolazione2011]]/Comuni__2[[#This Row],[POPOLAZIONE TOTALE DI OGNI REGIONE (CON FILTRO)]]</f>
        <v>2.0063085137190232E-4</v>
      </c>
      <c r="H1312" t="str">
        <f>IF(Comuni__2[[#This Row],[Popolazione2011]]&gt;300000,"MAGGIORE","")</f>
        <v/>
      </c>
      <c r="J1312">
        <v>83</v>
      </c>
      <c r="K1312">
        <v>23978</v>
      </c>
      <c r="L1312">
        <v>4291</v>
      </c>
    </row>
    <row r="1313" spans="1:12" x14ac:dyDescent="0.2">
      <c r="A1313"/>
      <c r="B1313"/>
      <c r="C1313"/>
      <c r="D1313"/>
      <c r="E1313" s="2">
        <f>Comuni__2[[#This Row],[Popolazione2011]]/$D$7911</f>
        <v>1.9386407741894617E-5</v>
      </c>
      <c r="F1313">
        <f>SUMIFS($D$2:$D$7909, $B$2:$B$7909, "Campania")</f>
        <v>5766810</v>
      </c>
      <c r="G1313" s="1">
        <f>Comuni__2[[#This Row],[Popolazione2011]]/Comuni__2[[#This Row],[POPOLAZIONE TOTALE DI OGNI REGIONE (CON FILTRO)]]</f>
        <v>1.9976382089924934E-4</v>
      </c>
      <c r="H1313" t="str">
        <f>IF(Comuni__2[[#This Row],[Popolazione2011]]&gt;300000,"MAGGIORE","")</f>
        <v/>
      </c>
      <c r="J1313">
        <v>77</v>
      </c>
      <c r="K1313">
        <v>23997</v>
      </c>
      <c r="L1313">
        <v>4291</v>
      </c>
    </row>
    <row r="1314" spans="1:12" x14ac:dyDescent="0.2">
      <c r="A1314"/>
      <c r="B1314"/>
      <c r="C1314"/>
      <c r="D1314"/>
      <c r="E1314" s="2">
        <f>Comuni__2[[#This Row],[Popolazione2011]]/$D$7911</f>
        <v>1.9369579262952001E-5</v>
      </c>
      <c r="F1314">
        <f>SUMIFS($D$2:$D$7909, $B$2:$B$7909, "Campania")</f>
        <v>5766810</v>
      </c>
      <c r="G1314" s="1">
        <f>Comuni__2[[#This Row],[Popolazione2011]]/Comuni__2[[#This Row],[POPOLAZIONE TOTALE DI OGNI REGIONE (CON FILTRO)]]</f>
        <v>1.9959041480471874E-4</v>
      </c>
      <c r="H1314" t="str">
        <f>IF(Comuni__2[[#This Row],[Popolazione2011]]&gt;300000,"MAGGIORE","")</f>
        <v/>
      </c>
      <c r="J1314">
        <v>82</v>
      </c>
      <c r="K1314">
        <v>24011</v>
      </c>
      <c r="L1314">
        <v>4291</v>
      </c>
    </row>
    <row r="1315" spans="1:12" x14ac:dyDescent="0.2">
      <c r="A1315"/>
      <c r="B1315"/>
      <c r="C1315"/>
      <c r="D1315"/>
      <c r="E1315" s="2">
        <f>Comuni__2[[#This Row],[Popolazione2011]]/$D$7911</f>
        <v>1.9352750784009385E-5</v>
      </c>
      <c r="F1315">
        <f>SUMIFS($D$2:$D$7909, $B$2:$B$7909, "Campania")</f>
        <v>5766810</v>
      </c>
      <c r="G1315" s="1">
        <f>Comuni__2[[#This Row],[Popolazione2011]]/Comuni__2[[#This Row],[POPOLAZIONE TOTALE DI OGNI REGIONE (CON FILTRO)]]</f>
        <v>1.9941700871018813E-4</v>
      </c>
      <c r="H1315" t="str">
        <f>IF(Comuni__2[[#This Row],[Popolazione2011]]&gt;300000,"MAGGIORE","")</f>
        <v/>
      </c>
      <c r="J1315">
        <v>83</v>
      </c>
      <c r="K1315">
        <v>24041</v>
      </c>
      <c r="L1315">
        <v>4292</v>
      </c>
    </row>
    <row r="1316" spans="1:12" x14ac:dyDescent="0.2">
      <c r="A1316"/>
      <c r="B1316"/>
      <c r="C1316"/>
      <c r="D1316"/>
      <c r="E1316" s="2">
        <f>Comuni__2[[#This Row],[Popolazione2011]]/$D$7911</f>
        <v>1.878058249996041E-5</v>
      </c>
      <c r="F1316">
        <f>SUMIFS($D$2:$D$7909, $B$2:$B$7909, "Campania")</f>
        <v>5766810</v>
      </c>
      <c r="G1316" s="1">
        <f>Comuni__2[[#This Row],[Popolazione2011]]/Comuni__2[[#This Row],[POPOLAZIONE TOTALE DI OGNI REGIONE (CON FILTRO)]]</f>
        <v>1.9352120149614778E-4</v>
      </c>
      <c r="H1316" t="str">
        <f>IF(Comuni__2[[#This Row],[Popolazione2011]]&gt;300000,"MAGGIORE","")</f>
        <v/>
      </c>
      <c r="J1316">
        <v>85</v>
      </c>
      <c r="K1316">
        <v>24046</v>
      </c>
      <c r="L1316">
        <v>4294</v>
      </c>
    </row>
    <row r="1317" spans="1:12" x14ac:dyDescent="0.2">
      <c r="A1317"/>
      <c r="B1317"/>
      <c r="C1317"/>
      <c r="D1317"/>
      <c r="E1317" s="2">
        <f>Comuni__2[[#This Row],[Popolazione2011]]/$D$7911</f>
        <v>1.8511326836878541E-5</v>
      </c>
      <c r="F1317">
        <f>SUMIFS($D$2:$D$7909, $B$2:$B$7909, "Campania")</f>
        <v>5766810</v>
      </c>
      <c r="G1317" s="1">
        <f>Comuni__2[[#This Row],[Popolazione2011]]/Comuni__2[[#This Row],[POPOLAZIONE TOTALE DI OGNI REGIONE (CON FILTRO)]]</f>
        <v>1.907467039836582E-4</v>
      </c>
      <c r="H1317" t="str">
        <f>IF(Comuni__2[[#This Row],[Popolazione2011]]&gt;300000,"MAGGIORE","")</f>
        <v/>
      </c>
      <c r="J1317">
        <v>85</v>
      </c>
      <c r="K1317">
        <v>24066</v>
      </c>
      <c r="L1317">
        <v>4295</v>
      </c>
    </row>
    <row r="1318" spans="1:12" x14ac:dyDescent="0.2">
      <c r="A1318"/>
      <c r="B1318"/>
      <c r="C1318"/>
      <c r="D1318"/>
      <c r="E1318" s="2">
        <f>Comuni__2[[#This Row],[Popolazione2011]]/$D$7911</f>
        <v>1.846084140005069E-5</v>
      </c>
      <c r="F1318">
        <f>SUMIFS($D$2:$D$7909, $B$2:$B$7909, "Campania")</f>
        <v>5766810</v>
      </c>
      <c r="G1318" s="1">
        <f>Comuni__2[[#This Row],[Popolazione2011]]/Comuni__2[[#This Row],[POPOLAZIONE TOTALE DI OGNI REGIONE (CON FILTRO)]]</f>
        <v>1.9022648570006642E-4</v>
      </c>
      <c r="H1318" t="str">
        <f>IF(Comuni__2[[#This Row],[Popolazione2011]]&gt;300000,"MAGGIORE","")</f>
        <v/>
      </c>
      <c r="J1318">
        <v>83</v>
      </c>
      <c r="K1318">
        <v>24073</v>
      </c>
      <c r="L1318">
        <v>4296</v>
      </c>
    </row>
    <row r="1319" spans="1:12" x14ac:dyDescent="0.2">
      <c r="A1319"/>
      <c r="B1319"/>
      <c r="C1319"/>
      <c r="D1319"/>
      <c r="E1319" s="2">
        <f>Comuni__2[[#This Row],[Popolazione2011]]/$D$7911</f>
        <v>1.8242071173796673E-5</v>
      </c>
      <c r="F1319">
        <f>SUMIFS($D$2:$D$7909, $B$2:$B$7909, "Campania")</f>
        <v>5766810</v>
      </c>
      <c r="G1319" s="1">
        <f>Comuni__2[[#This Row],[Popolazione2011]]/Comuni__2[[#This Row],[POPOLAZIONE TOTALE DI OGNI REGIONE (CON FILTRO)]]</f>
        <v>1.8797220647116865E-4</v>
      </c>
      <c r="H1319" t="str">
        <f>IF(Comuni__2[[#This Row],[Popolazione2011]]&gt;300000,"MAGGIORE","")</f>
        <v/>
      </c>
      <c r="J1319">
        <v>80</v>
      </c>
      <c r="K1319">
        <v>24091</v>
      </c>
      <c r="L1319">
        <v>4298</v>
      </c>
    </row>
    <row r="1320" spans="1:12" x14ac:dyDescent="0.2">
      <c r="A1320"/>
      <c r="B1320"/>
      <c r="C1320"/>
      <c r="D1320"/>
      <c r="E1320" s="2">
        <f>Comuni__2[[#This Row],[Popolazione2011]]/$D$7911</f>
        <v>1.8191585736968821E-5</v>
      </c>
      <c r="F1320">
        <f>SUMIFS($D$2:$D$7909, $B$2:$B$7909, "Campania")</f>
        <v>5766810</v>
      </c>
      <c r="G1320" s="1">
        <f>Comuni__2[[#This Row],[Popolazione2011]]/Comuni__2[[#This Row],[POPOLAZIONE TOTALE DI OGNI REGIONE (CON FILTRO)]]</f>
        <v>1.8745198818757684E-4</v>
      </c>
      <c r="H1320" t="str">
        <f>IF(Comuni__2[[#This Row],[Popolazione2011]]&gt;300000,"MAGGIORE","")</f>
        <v/>
      </c>
      <c r="J1320">
        <v>82</v>
      </c>
      <c r="K1320">
        <v>24115</v>
      </c>
      <c r="L1320">
        <v>4298</v>
      </c>
    </row>
    <row r="1321" spans="1:12" x14ac:dyDescent="0.2">
      <c r="A1321"/>
      <c r="B1321"/>
      <c r="C1321"/>
      <c r="D1321"/>
      <c r="E1321" s="2">
        <f>Comuni__2[[#This Row],[Popolazione2011]]/$D$7911</f>
        <v>1.804012942648527E-5</v>
      </c>
      <c r="F1321">
        <f>SUMIFS($D$2:$D$7909, $B$2:$B$7909, "Campania")</f>
        <v>5766810</v>
      </c>
      <c r="G1321" s="1">
        <f>Comuni__2[[#This Row],[Popolazione2011]]/Comuni__2[[#This Row],[POPOLAZIONE TOTALE DI OGNI REGIONE (CON FILTRO)]]</f>
        <v>1.8589133333680145E-4</v>
      </c>
      <c r="H1321" t="str">
        <f>IF(Comuni__2[[#This Row],[Popolazione2011]]&gt;300000,"MAGGIORE","")</f>
        <v/>
      </c>
      <c r="J1321">
        <v>83</v>
      </c>
      <c r="K1321">
        <v>24132</v>
      </c>
      <c r="L1321">
        <v>4298</v>
      </c>
    </row>
    <row r="1322" spans="1:12" x14ac:dyDescent="0.2">
      <c r="A1322"/>
      <c r="B1322"/>
      <c r="C1322"/>
      <c r="D1322"/>
      <c r="E1322" s="2">
        <f>Comuni__2[[#This Row],[Popolazione2011]]/$D$7911</f>
        <v>1.7198705479354426E-5</v>
      </c>
      <c r="F1322">
        <f>SUMIFS($D$2:$D$7909, $B$2:$B$7909, "Campania")</f>
        <v>5766810</v>
      </c>
      <c r="G1322" s="1">
        <f>Comuni__2[[#This Row],[Popolazione2011]]/Comuni__2[[#This Row],[POPOLAZIONE TOTALE DI OGNI REGIONE (CON FILTRO)]]</f>
        <v>1.7722102861027154E-4</v>
      </c>
      <c r="H1322" t="str">
        <f>IF(Comuni__2[[#This Row],[Popolazione2011]]&gt;300000,"MAGGIORE","")</f>
        <v/>
      </c>
      <c r="J1322">
        <v>80</v>
      </c>
      <c r="K1322">
        <v>24150</v>
      </c>
      <c r="L1322">
        <v>4298</v>
      </c>
    </row>
    <row r="1323" spans="1:12" x14ac:dyDescent="0.2">
      <c r="A1323"/>
      <c r="B1323"/>
      <c r="C1323"/>
      <c r="D1323"/>
      <c r="E1323" s="2">
        <f>Comuni__2[[#This Row],[Popolazione2011]]/$D$7911</f>
        <v>1.7165048521469194E-5</v>
      </c>
      <c r="F1323">
        <f>SUMIFS($D$2:$D$7909, $B$2:$B$7909, "Campania")</f>
        <v>5766810</v>
      </c>
      <c r="G1323" s="1">
        <f>Comuni__2[[#This Row],[Popolazione2011]]/Comuni__2[[#This Row],[POPOLAZIONE TOTALE DI OGNI REGIONE (CON FILTRO)]]</f>
        <v>1.7687421642121034E-4</v>
      </c>
      <c r="H1323" t="str">
        <f>IF(Comuni__2[[#This Row],[Popolazione2011]]&gt;300000,"MAGGIORE","")</f>
        <v/>
      </c>
      <c r="J1323">
        <v>79</v>
      </c>
      <c r="K1323">
        <v>24178</v>
      </c>
      <c r="L1323">
        <v>4453</v>
      </c>
    </row>
    <row r="1324" spans="1:12" x14ac:dyDescent="0.2">
      <c r="A1324"/>
      <c r="B1324"/>
      <c r="C1324"/>
      <c r="D1324"/>
      <c r="E1324" s="2">
        <f>Comuni__2[[#This Row],[Popolazione2011]]/$D$7911</f>
        <v>1.7131391563583958E-5</v>
      </c>
      <c r="F1324">
        <f>SUMIFS($D$2:$D$7909, $B$2:$B$7909, "Campania")</f>
        <v>5766810</v>
      </c>
      <c r="G1324" s="1">
        <f>Comuni__2[[#This Row],[Popolazione2011]]/Comuni__2[[#This Row],[POPOLAZIONE TOTALE DI OGNI REGIONE (CON FILTRO)]]</f>
        <v>1.7652740423214914E-4</v>
      </c>
      <c r="H1324" t="str">
        <f>IF(Comuni__2[[#This Row],[Popolazione2011]]&gt;300000,"MAGGIORE","")</f>
        <v/>
      </c>
      <c r="J1324">
        <v>78</v>
      </c>
      <c r="K1324">
        <v>24178</v>
      </c>
      <c r="L1324">
        <v>4453</v>
      </c>
    </row>
    <row r="1325" spans="1:12" x14ac:dyDescent="0.2">
      <c r="A1325"/>
      <c r="B1325"/>
      <c r="C1325"/>
      <c r="D1325"/>
      <c r="E1325" s="2">
        <f>Comuni__2[[#This Row],[Popolazione2011]]/$D$7911</f>
        <v>1.706407764781349E-5</v>
      </c>
      <c r="F1325">
        <f>SUMIFS($D$2:$D$7909, $B$2:$B$7909, "Campania")</f>
        <v>5766810</v>
      </c>
      <c r="G1325" s="1">
        <f>Comuni__2[[#This Row],[Popolazione2011]]/Comuni__2[[#This Row],[POPOLAZIONE TOTALE DI OGNI REGIONE (CON FILTRO)]]</f>
        <v>1.7583377985402676E-4</v>
      </c>
      <c r="H1325" t="str">
        <f>IF(Comuni__2[[#This Row],[Popolazione2011]]&gt;300000,"MAGGIORE","")</f>
        <v/>
      </c>
      <c r="J1325">
        <v>78</v>
      </c>
      <c r="K1325">
        <v>24210</v>
      </c>
      <c r="L1325">
        <v>4453</v>
      </c>
    </row>
    <row r="1326" spans="1:12" x14ac:dyDescent="0.2">
      <c r="A1326"/>
      <c r="B1326"/>
      <c r="C1326"/>
      <c r="D1326"/>
      <c r="E1326" s="2">
        <f>Comuni__2[[#This Row],[Popolazione2011]]/$D$7911</f>
        <v>1.6946278295215174E-5</v>
      </c>
      <c r="F1326">
        <f>SUMIFS($D$2:$D$7909, $B$2:$B$7909, "Campania")</f>
        <v>5766810</v>
      </c>
      <c r="G1326" s="1">
        <f>Comuni__2[[#This Row],[Popolazione2011]]/Comuni__2[[#This Row],[POPOLAZIONE TOTALE DI OGNI REGIONE (CON FILTRO)]]</f>
        <v>1.7461993719231257E-4</v>
      </c>
      <c r="H1326" t="str">
        <f>IF(Comuni__2[[#This Row],[Popolazione2011]]&gt;300000,"MAGGIORE","")</f>
        <v/>
      </c>
      <c r="J1326">
        <v>76</v>
      </c>
      <c r="K1326">
        <v>24255</v>
      </c>
      <c r="L1326">
        <v>4454</v>
      </c>
    </row>
    <row r="1327" spans="1:12" x14ac:dyDescent="0.2">
      <c r="A1327"/>
      <c r="B1327"/>
      <c r="C1327"/>
      <c r="D1327"/>
      <c r="E1327" s="2">
        <f>Comuni__2[[#This Row],[Popolazione2011]]/$D$7911</f>
        <v>1.6777993505789006E-5</v>
      </c>
      <c r="F1327">
        <f>SUMIFS($D$2:$D$7909, $B$2:$B$7909, "Campania")</f>
        <v>5766810</v>
      </c>
      <c r="G1327" s="1">
        <f>Comuni__2[[#This Row],[Popolazione2011]]/Comuni__2[[#This Row],[POPOLAZIONE TOTALE DI OGNI REGIONE (CON FILTRO)]]</f>
        <v>1.7288587624700658E-4</v>
      </c>
      <c r="H1327" t="str">
        <f>IF(Comuni__2[[#This Row],[Popolazione2011]]&gt;300000,"MAGGIORE","")</f>
        <v/>
      </c>
      <c r="J1327">
        <v>88</v>
      </c>
      <c r="K1327">
        <v>24324</v>
      </c>
      <c r="L1327">
        <v>4455</v>
      </c>
    </row>
    <row r="1328" spans="1:12" x14ac:dyDescent="0.2">
      <c r="A1328"/>
      <c r="B1328"/>
      <c r="C1328"/>
      <c r="D1328"/>
      <c r="E1328" s="2">
        <f>Comuni__2[[#This Row],[Popolazione2011]]/$D$7911</f>
        <v>1.6576051758477602E-5</v>
      </c>
      <c r="F1328">
        <f>SUMIFS($D$2:$D$7909, $B$2:$B$7909, "Campania")</f>
        <v>5766810</v>
      </c>
      <c r="G1328" s="1">
        <f>Comuni__2[[#This Row],[Popolazione2011]]/Comuni__2[[#This Row],[POPOLAZIONE TOTALE DI OGNI REGIONE (CON FILTRO)]]</f>
        <v>1.7080500311263941E-4</v>
      </c>
      <c r="H1328" t="str">
        <f>IF(Comuni__2[[#This Row],[Popolazione2011]]&gt;300000,"MAGGIORE","")</f>
        <v/>
      </c>
      <c r="J1328">
        <v>85</v>
      </c>
      <c r="K1328">
        <v>24355</v>
      </c>
      <c r="L1328">
        <v>4455</v>
      </c>
    </row>
    <row r="1329" spans="1:12" x14ac:dyDescent="0.2">
      <c r="A1329"/>
      <c r="B1329"/>
      <c r="C1329"/>
      <c r="D1329"/>
      <c r="E1329" s="2">
        <f>Comuni__2[[#This Row],[Popolazione2011]]/$D$7911</f>
        <v>1.6576051758477602E-5</v>
      </c>
      <c r="F1329">
        <f>SUMIFS($D$2:$D$7909, $B$2:$B$7909, "Campania")</f>
        <v>5766810</v>
      </c>
      <c r="G1329" s="1">
        <f>Comuni__2[[#This Row],[Popolazione2011]]/Comuni__2[[#This Row],[POPOLAZIONE TOTALE DI OGNI REGIONE (CON FILTRO)]]</f>
        <v>1.7080500311263941E-4</v>
      </c>
      <c r="H1329" t="str">
        <f>IF(Comuni__2[[#This Row],[Popolazione2011]]&gt;300000,"MAGGIORE","")</f>
        <v/>
      </c>
      <c r="J1329">
        <v>85</v>
      </c>
      <c r="K1329">
        <v>24392</v>
      </c>
      <c r="L1329">
        <v>4455</v>
      </c>
    </row>
    <row r="1330" spans="1:12" x14ac:dyDescent="0.2">
      <c r="A1330"/>
      <c r="B1330"/>
      <c r="C1330"/>
      <c r="D1330"/>
      <c r="E1330" s="2">
        <f>Comuni__2[[#This Row],[Popolazione2011]]/$D$7911</f>
        <v>1.6407766969051434E-5</v>
      </c>
      <c r="F1330">
        <f>SUMIFS($D$2:$D$7909, $B$2:$B$7909, "Campania")</f>
        <v>5766810</v>
      </c>
      <c r="G1330" s="1">
        <f>Comuni__2[[#This Row],[Popolazione2011]]/Comuni__2[[#This Row],[POPOLAZIONE TOTALE DI OGNI REGIONE (CON FILTRO)]]</f>
        <v>1.6907094216733341E-4</v>
      </c>
      <c r="H1330" t="str">
        <f>IF(Comuni__2[[#This Row],[Popolazione2011]]&gt;300000,"MAGGIORE","")</f>
        <v/>
      </c>
      <c r="J1330">
        <v>83</v>
      </c>
      <c r="K1330">
        <v>24408</v>
      </c>
      <c r="L1330">
        <v>4455</v>
      </c>
    </row>
    <row r="1331" spans="1:12" x14ac:dyDescent="0.2">
      <c r="A1331"/>
      <c r="B1331"/>
      <c r="C1331"/>
      <c r="D1331"/>
      <c r="E1331" s="2">
        <f>Comuni__2[[#This Row],[Popolazione2011]]/$D$7911</f>
        <v>1.6273139137510498E-5</v>
      </c>
      <c r="F1331">
        <f>SUMIFS($D$2:$D$7909, $B$2:$B$7909, "Campania")</f>
        <v>5766810</v>
      </c>
      <c r="G1331" s="1">
        <f>Comuni__2[[#This Row],[Popolazione2011]]/Comuni__2[[#This Row],[POPOLAZIONE TOTALE DI OGNI REGIONE (CON FILTRO)]]</f>
        <v>1.6768369341108863E-4</v>
      </c>
      <c r="H1331" t="str">
        <f>IF(Comuni__2[[#This Row],[Popolazione2011]]&gt;300000,"MAGGIORE","")</f>
        <v/>
      </c>
      <c r="J1331">
        <v>85</v>
      </c>
      <c r="K1331">
        <v>24425</v>
      </c>
      <c r="L1331">
        <v>4456</v>
      </c>
    </row>
    <row r="1332" spans="1:12" x14ac:dyDescent="0.2">
      <c r="A1332"/>
      <c r="B1332"/>
      <c r="C1332"/>
      <c r="D1332"/>
      <c r="E1332" s="2">
        <f>Comuni__2[[#This Row],[Popolazione2011]]/$D$7911</f>
        <v>1.5970226516543395E-5</v>
      </c>
      <c r="F1332">
        <f>SUMIFS($D$2:$D$7909, $B$2:$B$7909, "Campania")</f>
        <v>5766810</v>
      </c>
      <c r="G1332" s="1">
        <f>Comuni__2[[#This Row],[Popolazione2011]]/Comuni__2[[#This Row],[POPOLAZIONE TOTALE DI OGNI REGIONE (CON FILTRO)]]</f>
        <v>1.6456238370953784E-4</v>
      </c>
      <c r="H1332" t="str">
        <f>IF(Comuni__2[[#This Row],[Popolazione2011]]&gt;300000,"MAGGIORE","")</f>
        <v/>
      </c>
      <c r="J1332">
        <v>90</v>
      </c>
      <c r="K1332">
        <v>24434</v>
      </c>
      <c r="L1332">
        <v>4458</v>
      </c>
    </row>
    <row r="1333" spans="1:12" x14ac:dyDescent="0.2">
      <c r="A1333"/>
      <c r="B1333"/>
      <c r="C1333"/>
      <c r="D1333"/>
      <c r="E1333" s="2">
        <f>Comuni__2[[#This Row],[Popolazione2011]]/$D$7911</f>
        <v>1.5936569558658162E-5</v>
      </c>
      <c r="F1333">
        <f>SUMIFS($D$2:$D$7909, $B$2:$B$7909, "Campania")</f>
        <v>5766810</v>
      </c>
      <c r="G1333" s="1">
        <f>Comuni__2[[#This Row],[Popolazione2011]]/Comuni__2[[#This Row],[POPOLAZIONE TOTALE DI OGNI REGIONE (CON FILTRO)]]</f>
        <v>1.6421557152047667E-4</v>
      </c>
      <c r="H1333" t="str">
        <f>IF(Comuni__2[[#This Row],[Popolazione2011]]&gt;300000,"MAGGIORE","")</f>
        <v/>
      </c>
      <c r="J1333">
        <v>95</v>
      </c>
      <c r="K1333">
        <v>24447</v>
      </c>
      <c r="L1333">
        <v>4458</v>
      </c>
    </row>
    <row r="1334" spans="1:12" x14ac:dyDescent="0.2">
      <c r="A1334"/>
      <c r="B1334"/>
      <c r="C1334"/>
      <c r="D1334"/>
      <c r="E1334" s="2">
        <f>Comuni__2[[#This Row],[Popolazione2011]]/$D$7911</f>
        <v>1.5852427163945078E-5</v>
      </c>
      <c r="F1334">
        <f>SUMIFS($D$2:$D$7909, $B$2:$B$7909, "Campania")</f>
        <v>5766810</v>
      </c>
      <c r="G1334" s="1">
        <f>Comuni__2[[#This Row],[Popolazione2011]]/Comuni__2[[#This Row],[POPOLAZIONE TOTALE DI OGNI REGIONE (CON FILTRO)]]</f>
        <v>1.6334854104782366E-4</v>
      </c>
      <c r="H1334" t="str">
        <f>IF(Comuni__2[[#This Row],[Popolazione2011]]&gt;300000,"MAGGIORE","")</f>
        <v/>
      </c>
      <c r="J1334">
        <v>98</v>
      </c>
      <c r="K1334">
        <v>24455</v>
      </c>
      <c r="L1334">
        <v>4458</v>
      </c>
    </row>
    <row r="1335" spans="1:12" x14ac:dyDescent="0.2">
      <c r="A1335"/>
      <c r="B1335"/>
      <c r="C1335"/>
      <c r="D1335"/>
      <c r="E1335" s="2">
        <f>Comuni__2[[#This Row],[Popolazione2011]]/$D$7911</f>
        <v>1.5734627811346759E-5</v>
      </c>
      <c r="F1335">
        <f>SUMIFS($D$2:$D$7909, $B$2:$B$7909, "Campania")</f>
        <v>5766810</v>
      </c>
      <c r="G1335" s="1">
        <f>Comuni__2[[#This Row],[Popolazione2011]]/Comuni__2[[#This Row],[POPOLAZIONE TOTALE DI OGNI REGIONE (CON FILTRO)]]</f>
        <v>1.6213469838610947E-4</v>
      </c>
      <c r="H1335" t="str">
        <f>IF(Comuni__2[[#This Row],[Popolazione2011]]&gt;300000,"MAGGIORE","")</f>
        <v/>
      </c>
      <c r="J1335">
        <v>101</v>
      </c>
      <c r="K1335">
        <v>24460</v>
      </c>
      <c r="L1335">
        <v>4458</v>
      </c>
    </row>
    <row r="1336" spans="1:12" x14ac:dyDescent="0.2">
      <c r="A1336"/>
      <c r="B1336"/>
      <c r="C1336"/>
      <c r="D1336"/>
      <c r="E1336" s="2">
        <f>Comuni__2[[#This Row],[Popolazione2011]]/$D$7911</f>
        <v>1.5549514542977974E-5</v>
      </c>
      <c r="F1336">
        <f>SUMIFS($D$2:$D$7909, $B$2:$B$7909, "Campania")</f>
        <v>5766810</v>
      </c>
      <c r="G1336" s="1">
        <f>Comuni__2[[#This Row],[Popolazione2011]]/Comuni__2[[#This Row],[POPOLAZIONE TOTALE DI OGNI REGIONE (CON FILTRO)]]</f>
        <v>1.602272313462729E-4</v>
      </c>
      <c r="H1336" t="str">
        <f>IF(Comuni__2[[#This Row],[Popolazione2011]]&gt;300000,"MAGGIORE","")</f>
        <v/>
      </c>
      <c r="J1336">
        <v>103</v>
      </c>
      <c r="K1336">
        <v>24467</v>
      </c>
      <c r="L1336">
        <v>4459</v>
      </c>
    </row>
    <row r="1337" spans="1:12" x14ac:dyDescent="0.2">
      <c r="A1337"/>
      <c r="B1337"/>
      <c r="C1337"/>
      <c r="D1337"/>
      <c r="E1337" s="2">
        <f>Comuni__2[[#This Row],[Popolazione2011]]/$D$7911</f>
        <v>1.5381229753551806E-5</v>
      </c>
      <c r="F1337">
        <f>SUMIFS($D$2:$D$7909, $B$2:$B$7909, "Campania")</f>
        <v>5766810</v>
      </c>
      <c r="G1337" s="1">
        <f>Comuni__2[[#This Row],[Popolazione2011]]/Comuni__2[[#This Row],[POPOLAZIONE TOTALE DI OGNI REGIONE (CON FILTRO)]]</f>
        <v>1.5849317040096691E-4</v>
      </c>
      <c r="H1337" t="str">
        <f>IF(Comuni__2[[#This Row],[Popolazione2011]]&gt;300000,"MAGGIORE","")</f>
        <v/>
      </c>
      <c r="J1337">
        <v>108</v>
      </c>
      <c r="K1337">
        <v>24468</v>
      </c>
      <c r="L1337">
        <v>4459</v>
      </c>
    </row>
    <row r="1338" spans="1:12" x14ac:dyDescent="0.2">
      <c r="A1338"/>
      <c r="B1338"/>
      <c r="C1338"/>
      <c r="D1338"/>
      <c r="E1338" s="2">
        <f>Comuni__2[[#This Row],[Popolazione2011]]/$D$7911</f>
        <v>1.4960517779986385E-5</v>
      </c>
      <c r="F1338">
        <f>SUMIFS($D$2:$D$7909, $B$2:$B$7909, "Campania")</f>
        <v>5766810</v>
      </c>
      <c r="G1338" s="1">
        <f>Comuni__2[[#This Row],[Popolazione2011]]/Comuni__2[[#This Row],[POPOLAZIONE TOTALE DI OGNI REGIONE (CON FILTRO)]]</f>
        <v>1.5415801803770194E-4</v>
      </c>
      <c r="H1338" t="str">
        <f>IF(Comuni__2[[#This Row],[Popolazione2011]]&gt;300000,"MAGGIORE","")</f>
        <v/>
      </c>
      <c r="J1338">
        <v>110</v>
      </c>
      <c r="K1338">
        <v>24478</v>
      </c>
      <c r="L1338">
        <v>4459</v>
      </c>
    </row>
    <row r="1339" spans="1:12" x14ac:dyDescent="0.2">
      <c r="A1339"/>
      <c r="B1339"/>
      <c r="C1339"/>
      <c r="D1339"/>
      <c r="E1339" s="2">
        <f>Comuni__2[[#This Row],[Popolazione2011]]/$D$7911</f>
        <v>1.4926860822101151E-5</v>
      </c>
      <c r="F1339">
        <f>SUMIFS($D$2:$D$7909, $B$2:$B$7909, "Campania")</f>
        <v>5766810</v>
      </c>
      <c r="G1339" s="1">
        <f>Comuni__2[[#This Row],[Popolazione2011]]/Comuni__2[[#This Row],[POPOLAZIONE TOTALE DI OGNI REGIONE (CON FILTRO)]]</f>
        <v>1.5381120584864077E-4</v>
      </c>
      <c r="H1339" t="str">
        <f>IF(Comuni__2[[#This Row],[Popolazione2011]]&gt;300000,"MAGGIORE","")</f>
        <v/>
      </c>
      <c r="J1339">
        <v>115</v>
      </c>
      <c r="K1339">
        <v>24482</v>
      </c>
      <c r="L1339">
        <v>4463</v>
      </c>
    </row>
    <row r="1340" spans="1:12" x14ac:dyDescent="0.2">
      <c r="A1340"/>
      <c r="B1340"/>
      <c r="C1340"/>
      <c r="D1340"/>
      <c r="E1340" s="2">
        <f>Comuni__2[[#This Row],[Popolazione2011]]/$D$7911</f>
        <v>1.4775404511617599E-5</v>
      </c>
      <c r="F1340">
        <f>SUMIFS($D$2:$D$7909, $B$2:$B$7909, "Campania")</f>
        <v>5766810</v>
      </c>
      <c r="G1340" s="1">
        <f>Comuni__2[[#This Row],[Popolazione2011]]/Comuni__2[[#This Row],[POPOLAZIONE TOTALE DI OGNI REGIONE (CON FILTRO)]]</f>
        <v>1.5225055099786538E-4</v>
      </c>
      <c r="H1340" t="str">
        <f>IF(Comuni__2[[#This Row],[Popolazione2011]]&gt;300000,"MAGGIORE","")</f>
        <v/>
      </c>
      <c r="J1340">
        <v>115</v>
      </c>
      <c r="K1340">
        <v>24497</v>
      </c>
      <c r="L1340">
        <v>4463</v>
      </c>
    </row>
    <row r="1341" spans="1:12" x14ac:dyDescent="0.2">
      <c r="A1341"/>
      <c r="B1341"/>
      <c r="C1341"/>
      <c r="D1341"/>
      <c r="E1341" s="2">
        <f>Comuni__2[[#This Row],[Popolazione2011]]/$D$7911</f>
        <v>1.4674433637961899E-5</v>
      </c>
      <c r="F1341">
        <f>SUMIFS($D$2:$D$7909, $B$2:$B$7909, "Campania")</f>
        <v>5766810</v>
      </c>
      <c r="G1341" s="1">
        <f>Comuni__2[[#This Row],[Popolazione2011]]/Comuni__2[[#This Row],[POPOLAZIONE TOTALE DI OGNI REGIONE (CON FILTRO)]]</f>
        <v>1.5121011443068179E-4</v>
      </c>
      <c r="H1341" t="str">
        <f>IF(Comuni__2[[#This Row],[Popolazione2011]]&gt;300000,"MAGGIORE","")</f>
        <v/>
      </c>
      <c r="J1341">
        <v>114</v>
      </c>
      <c r="K1341">
        <v>24562</v>
      </c>
      <c r="L1341">
        <v>4463</v>
      </c>
    </row>
    <row r="1342" spans="1:12" x14ac:dyDescent="0.2">
      <c r="A1342"/>
      <c r="B1342"/>
      <c r="C1342"/>
      <c r="D1342"/>
      <c r="E1342" s="2">
        <f>Comuni__2[[#This Row],[Popolazione2011]]/$D$7911</f>
        <v>1.4623948201134047E-5</v>
      </c>
      <c r="F1342">
        <f>SUMIFS($D$2:$D$7909, $B$2:$B$7909, "Campania")</f>
        <v>5766810</v>
      </c>
      <c r="G1342" s="1">
        <f>Comuni__2[[#This Row],[Popolazione2011]]/Comuni__2[[#This Row],[POPOLAZIONE TOTALE DI OGNI REGIONE (CON FILTRO)]]</f>
        <v>1.5068989614708999E-4</v>
      </c>
      <c r="H1342" t="str">
        <f>IF(Comuni__2[[#This Row],[Popolazione2011]]&gt;300000,"MAGGIORE","")</f>
        <v/>
      </c>
      <c r="J1342">
        <v>119</v>
      </c>
      <c r="K1342">
        <v>24598</v>
      </c>
      <c r="L1342">
        <v>4463</v>
      </c>
    </row>
    <row r="1343" spans="1:12" x14ac:dyDescent="0.2">
      <c r="A1343"/>
      <c r="B1343"/>
      <c r="C1343"/>
      <c r="D1343"/>
      <c r="E1343" s="2">
        <f>Comuni__2[[#This Row],[Popolazione2011]]/$D$7911</f>
        <v>1.4522977327478347E-5</v>
      </c>
      <c r="F1343">
        <f>SUMIFS($D$2:$D$7909, $B$2:$B$7909, "Campania")</f>
        <v>5766810</v>
      </c>
      <c r="G1343" s="1">
        <f>Comuni__2[[#This Row],[Popolazione2011]]/Comuni__2[[#This Row],[POPOLAZIONE TOTALE DI OGNI REGIONE (CON FILTRO)]]</f>
        <v>1.496494595799064E-4</v>
      </c>
      <c r="H1343" t="str">
        <f>IF(Comuni__2[[#This Row],[Popolazione2011]]&gt;300000,"MAGGIORE","")</f>
        <v/>
      </c>
      <c r="J1343">
        <v>127</v>
      </c>
      <c r="K1343">
        <v>24719</v>
      </c>
      <c r="L1343">
        <v>4463</v>
      </c>
    </row>
    <row r="1344" spans="1:12" x14ac:dyDescent="0.2">
      <c r="A1344"/>
      <c r="B1344"/>
      <c r="C1344"/>
      <c r="D1344"/>
      <c r="E1344" s="2">
        <f>Comuni__2[[#This Row],[Popolazione2011]]/$D$7911</f>
        <v>1.4354692538052179E-5</v>
      </c>
      <c r="F1344">
        <f>SUMIFS($D$2:$D$7909, $B$2:$B$7909, "Campania")</f>
        <v>5766810</v>
      </c>
      <c r="G1344" s="1">
        <f>Comuni__2[[#This Row],[Popolazione2011]]/Comuni__2[[#This Row],[POPOLAZIONE TOTALE DI OGNI REGIONE (CON FILTRO)]]</f>
        <v>1.4791539863460041E-4</v>
      </c>
      <c r="H1344" t="str">
        <f>IF(Comuni__2[[#This Row],[Popolazione2011]]&gt;300000,"MAGGIORE","")</f>
        <v/>
      </c>
      <c r="J1344">
        <v>134</v>
      </c>
      <c r="K1344">
        <v>24790</v>
      </c>
      <c r="L1344">
        <v>4463</v>
      </c>
    </row>
    <row r="1345" spans="1:12" x14ac:dyDescent="0.2">
      <c r="A1345"/>
      <c r="B1345"/>
      <c r="C1345"/>
      <c r="D1345"/>
      <c r="E1345" s="2">
        <f>Comuni__2[[#This Row],[Popolazione2011]]/$D$7911</f>
        <v>1.4287378622281711E-5</v>
      </c>
      <c r="F1345">
        <f>SUMIFS($D$2:$D$7909, $B$2:$B$7909, "Campania")</f>
        <v>5766810</v>
      </c>
      <c r="G1345" s="1">
        <f>Comuni__2[[#This Row],[Popolazione2011]]/Comuni__2[[#This Row],[POPOLAZIONE TOTALE DI OGNI REGIONE (CON FILTRO)]]</f>
        <v>1.4722177425647803E-4</v>
      </c>
      <c r="H1345" t="str">
        <f>IF(Comuni__2[[#This Row],[Popolazione2011]]&gt;300000,"MAGGIORE","")</f>
        <v/>
      </c>
      <c r="J1345">
        <v>138</v>
      </c>
      <c r="K1345">
        <v>24794</v>
      </c>
      <c r="L1345">
        <v>4464</v>
      </c>
    </row>
    <row r="1346" spans="1:12" x14ac:dyDescent="0.2">
      <c r="A1346"/>
      <c r="B1346"/>
      <c r="C1346"/>
      <c r="D1346"/>
      <c r="E1346" s="2">
        <f>Comuni__2[[#This Row],[Popolazione2011]]/$D$7911</f>
        <v>1.4236893185453861E-5</v>
      </c>
      <c r="F1346">
        <f>SUMIFS($D$2:$D$7909, $B$2:$B$7909, "Campania")</f>
        <v>5766810</v>
      </c>
      <c r="G1346" s="1">
        <f>Comuni__2[[#This Row],[Popolazione2011]]/Comuni__2[[#This Row],[POPOLAZIONE TOTALE DI OGNI REGIONE (CON FILTRO)]]</f>
        <v>1.4670155597288622E-4</v>
      </c>
      <c r="H1346" t="str">
        <f>IF(Comuni__2[[#This Row],[Popolazione2011]]&gt;300000,"MAGGIORE","")</f>
        <v/>
      </c>
      <c r="J1346">
        <v>137</v>
      </c>
      <c r="K1346">
        <v>24803</v>
      </c>
      <c r="L1346">
        <v>4464</v>
      </c>
    </row>
    <row r="1347" spans="1:12" x14ac:dyDescent="0.2">
      <c r="A1347"/>
      <c r="B1347"/>
      <c r="C1347"/>
      <c r="D1347"/>
      <c r="E1347" s="2">
        <f>Comuni__2[[#This Row],[Popolazione2011]]/$D$7911</f>
        <v>1.4186407748626009E-5</v>
      </c>
      <c r="F1347">
        <f>SUMIFS($D$2:$D$7909, $B$2:$B$7909, "Campania")</f>
        <v>5766810</v>
      </c>
      <c r="G1347" s="1">
        <f>Comuni__2[[#This Row],[Popolazione2011]]/Comuni__2[[#This Row],[POPOLAZIONE TOTALE DI OGNI REGIONE (CON FILTRO)]]</f>
        <v>1.4618133768929442E-4</v>
      </c>
      <c r="H1347" t="str">
        <f>IF(Comuni__2[[#This Row],[Popolazione2011]]&gt;300000,"MAGGIORE","")</f>
        <v/>
      </c>
      <c r="J1347">
        <v>146</v>
      </c>
      <c r="K1347">
        <v>24857</v>
      </c>
      <c r="L1347">
        <v>4465</v>
      </c>
    </row>
    <row r="1348" spans="1:12" x14ac:dyDescent="0.2">
      <c r="A1348"/>
      <c r="B1348"/>
      <c r="C1348"/>
      <c r="D1348"/>
      <c r="E1348" s="2">
        <f>Comuni__2[[#This Row],[Popolazione2011]]/$D$7911</f>
        <v>1.4068608396027691E-5</v>
      </c>
      <c r="F1348">
        <f>SUMIFS($D$2:$D$7909, $B$2:$B$7909, "Campania")</f>
        <v>5766810</v>
      </c>
      <c r="G1348" s="1">
        <f>Comuni__2[[#This Row],[Popolazione2011]]/Comuni__2[[#This Row],[POPOLAZIONE TOTALE DI OGNI REGIONE (CON FILTRO)]]</f>
        <v>1.4496749502758023E-4</v>
      </c>
      <c r="H1348" t="str">
        <f>IF(Comuni__2[[#This Row],[Popolazione2011]]&gt;300000,"MAGGIORE","")</f>
        <v/>
      </c>
      <c r="J1348">
        <v>156</v>
      </c>
      <c r="K1348">
        <v>24942</v>
      </c>
      <c r="L1348">
        <v>4467</v>
      </c>
    </row>
    <row r="1349" spans="1:12" x14ac:dyDescent="0.2">
      <c r="A1349"/>
      <c r="B1349"/>
      <c r="C1349"/>
      <c r="D1349"/>
      <c r="E1349" s="2">
        <f>Comuni__2[[#This Row],[Popolazione2011]]/$D$7911</f>
        <v>1.3984466001314607E-5</v>
      </c>
      <c r="F1349">
        <f>SUMIFS($D$2:$D$7909, $B$2:$B$7909, "Campania")</f>
        <v>5766810</v>
      </c>
      <c r="G1349" s="1">
        <f>Comuni__2[[#This Row],[Popolazione2011]]/Comuni__2[[#This Row],[POPOLAZIONE TOTALE DI OGNI REGIONE (CON FILTRO)]]</f>
        <v>1.4410046455492725E-4</v>
      </c>
      <c r="H1349" t="str">
        <f>IF(Comuni__2[[#This Row],[Popolazione2011]]&gt;300000,"MAGGIORE","")</f>
        <v/>
      </c>
      <c r="J1349">
        <v>160</v>
      </c>
      <c r="K1349">
        <v>24994</v>
      </c>
      <c r="L1349">
        <v>4468</v>
      </c>
    </row>
    <row r="1350" spans="1:12" x14ac:dyDescent="0.2">
      <c r="A1350"/>
      <c r="B1350"/>
      <c r="C1350"/>
      <c r="D1350"/>
      <c r="E1350" s="2">
        <f>Comuni__2[[#This Row],[Popolazione2011]]/$D$7911</f>
        <v>1.3967637522371991E-5</v>
      </c>
      <c r="F1350">
        <f>SUMIFS($D$2:$D$7909, $B$2:$B$7909, "Campania")</f>
        <v>5766810</v>
      </c>
      <c r="G1350" s="1">
        <f>Comuni__2[[#This Row],[Popolazione2011]]/Comuni__2[[#This Row],[POPOLAZIONE TOTALE DI OGNI REGIONE (CON FILTRO)]]</f>
        <v>1.4392705846039665E-4</v>
      </c>
      <c r="H1350" t="str">
        <f>IF(Comuni__2[[#This Row],[Popolazione2011]]&gt;300000,"MAGGIORE","")</f>
        <v/>
      </c>
      <c r="J1350">
        <v>158</v>
      </c>
      <c r="K1350">
        <v>25027</v>
      </c>
      <c r="L1350">
        <v>4468</v>
      </c>
    </row>
    <row r="1351" spans="1:12" x14ac:dyDescent="0.2">
      <c r="A1351"/>
      <c r="B1351"/>
      <c r="C1351"/>
      <c r="D1351"/>
      <c r="E1351" s="2">
        <f>Comuni__2[[#This Row],[Popolazione2011]]/$D$7911</f>
        <v>1.3917152085544139E-5</v>
      </c>
      <c r="F1351">
        <f>SUMIFS($D$2:$D$7909, $B$2:$B$7909, "Campania")</f>
        <v>5766810</v>
      </c>
      <c r="G1351" s="1">
        <f>Comuni__2[[#This Row],[Popolazione2011]]/Comuni__2[[#This Row],[POPOLAZIONE TOTALE DI OGNI REGIONE (CON FILTRO)]]</f>
        <v>1.4340684017680487E-4</v>
      </c>
      <c r="H1351" t="str">
        <f>IF(Comuni__2[[#This Row],[Popolazione2011]]&gt;300000,"MAGGIORE","")</f>
        <v/>
      </c>
      <c r="J1351">
        <v>169</v>
      </c>
      <c r="K1351">
        <v>25067</v>
      </c>
      <c r="L1351">
        <v>4469</v>
      </c>
    </row>
    <row r="1352" spans="1:12" x14ac:dyDescent="0.2">
      <c r="A1352"/>
      <c r="B1352"/>
      <c r="C1352"/>
      <c r="D1352"/>
      <c r="E1352" s="2">
        <f>Comuni__2[[#This Row],[Popolazione2011]]/$D$7911</f>
        <v>1.3193527491011615E-5</v>
      </c>
      <c r="F1352">
        <f>SUMIFS($D$2:$D$7909, $B$2:$B$7909, "Campania")</f>
        <v>5766810</v>
      </c>
      <c r="G1352" s="1">
        <f>Comuni__2[[#This Row],[Popolazione2011]]/Comuni__2[[#This Row],[POPOLAZIONE TOTALE DI OGNI REGIONE (CON FILTRO)]]</f>
        <v>1.3595037811198912E-4</v>
      </c>
      <c r="H1352" t="str">
        <f>IF(Comuni__2[[#This Row],[Popolazione2011]]&gt;300000,"MAGGIORE","")</f>
        <v/>
      </c>
      <c r="J1352">
        <v>173</v>
      </c>
      <c r="K1352">
        <v>25096</v>
      </c>
      <c r="L1352">
        <v>4469</v>
      </c>
    </row>
    <row r="1353" spans="1:12" x14ac:dyDescent="0.2">
      <c r="A1353"/>
      <c r="B1353"/>
      <c r="C1353"/>
      <c r="D1353"/>
      <c r="E1353" s="2">
        <f>Comuni__2[[#This Row],[Popolazione2011]]/$D$7911</f>
        <v>1.3025242701585447E-5</v>
      </c>
      <c r="F1353">
        <f>SUMIFS($D$2:$D$7909, $B$2:$B$7909, "Campania")</f>
        <v>5766810</v>
      </c>
      <c r="G1353" s="1">
        <f>Comuni__2[[#This Row],[Popolazione2011]]/Comuni__2[[#This Row],[POPOLAZIONE TOTALE DI OGNI REGIONE (CON FILTRO)]]</f>
        <v>1.3421631716668315E-4</v>
      </c>
      <c r="H1353" t="str">
        <f>IF(Comuni__2[[#This Row],[Popolazione2011]]&gt;300000,"MAGGIORE","")</f>
        <v/>
      </c>
      <c r="J1353">
        <v>183</v>
      </c>
      <c r="K1353">
        <v>25098</v>
      </c>
      <c r="L1353">
        <v>4469</v>
      </c>
    </row>
    <row r="1354" spans="1:12" x14ac:dyDescent="0.2">
      <c r="A1354"/>
      <c r="B1354"/>
      <c r="C1354"/>
      <c r="D1354"/>
      <c r="E1354" s="2">
        <f>Comuni__2[[#This Row],[Popolazione2011]]/$D$7911</f>
        <v>1.2907443348987128E-5</v>
      </c>
      <c r="F1354">
        <f>SUMIFS($D$2:$D$7909, $B$2:$B$7909, "Campania")</f>
        <v>5766810</v>
      </c>
      <c r="G1354" s="1">
        <f>Comuni__2[[#This Row],[Popolazione2011]]/Comuni__2[[#This Row],[POPOLAZIONE TOTALE DI OGNI REGIONE (CON FILTRO)]]</f>
        <v>1.3300247450496894E-4</v>
      </c>
      <c r="H1354" t="str">
        <f>IF(Comuni__2[[#This Row],[Popolazione2011]]&gt;300000,"MAGGIORE","")</f>
        <v/>
      </c>
      <c r="J1354">
        <v>185</v>
      </c>
      <c r="K1354">
        <v>25184</v>
      </c>
      <c r="L1354">
        <v>4470</v>
      </c>
    </row>
    <row r="1355" spans="1:12" x14ac:dyDescent="0.2">
      <c r="A1355"/>
      <c r="B1355"/>
      <c r="C1355"/>
      <c r="D1355"/>
      <c r="E1355" s="2">
        <f>Comuni__2[[#This Row],[Popolazione2011]]/$D$7911</f>
        <v>1.2705501601675726E-5</v>
      </c>
      <c r="F1355">
        <f>SUMIFS($D$2:$D$7909, $B$2:$B$7909, "Campania")</f>
        <v>5766810</v>
      </c>
      <c r="G1355" s="1">
        <f>Comuni__2[[#This Row],[Popolazione2011]]/Comuni__2[[#This Row],[POPOLAZIONE TOTALE DI OGNI REGIONE (CON FILTRO)]]</f>
        <v>1.3092160137060177E-4</v>
      </c>
      <c r="H1355" t="str">
        <f>IF(Comuni__2[[#This Row],[Popolazione2011]]&gt;300000,"MAGGIORE","")</f>
        <v/>
      </c>
      <c r="J1355">
        <v>193</v>
      </c>
      <c r="K1355">
        <v>25213</v>
      </c>
      <c r="L1355">
        <v>4470</v>
      </c>
    </row>
    <row r="1356" spans="1:12" x14ac:dyDescent="0.2">
      <c r="A1356"/>
      <c r="B1356"/>
      <c r="C1356"/>
      <c r="D1356"/>
      <c r="E1356" s="2">
        <f>Comuni__2[[#This Row],[Popolazione2011]]/$D$7911</f>
        <v>1.2436245938593856E-5</v>
      </c>
      <c r="F1356">
        <f>SUMIFS($D$2:$D$7909, $B$2:$B$7909, "Campania")</f>
        <v>5766810</v>
      </c>
      <c r="G1356" s="1">
        <f>Comuni__2[[#This Row],[Popolazione2011]]/Comuni__2[[#This Row],[POPOLAZIONE TOTALE DI OGNI REGIONE (CON FILTRO)]]</f>
        <v>1.2814710385811219E-4</v>
      </c>
      <c r="H1356" t="str">
        <f>IF(Comuni__2[[#This Row],[Popolazione2011]]&gt;300000,"MAGGIORE","")</f>
        <v/>
      </c>
      <c r="J1356">
        <v>199</v>
      </c>
      <c r="K1356">
        <v>25224</v>
      </c>
      <c r="L1356">
        <v>4471</v>
      </c>
    </row>
    <row r="1357" spans="1:12" x14ac:dyDescent="0.2">
      <c r="A1357"/>
      <c r="B1357"/>
      <c r="C1357"/>
      <c r="D1357"/>
      <c r="E1357" s="2">
        <f>Comuni__2[[#This Row],[Popolazione2011]]/$D$7911</f>
        <v>1.2385760501766006E-5</v>
      </c>
      <c r="F1357">
        <f>SUMIFS($D$2:$D$7909, $B$2:$B$7909, "Campania")</f>
        <v>5766810</v>
      </c>
      <c r="G1357" s="1">
        <f>Comuni__2[[#This Row],[Popolazione2011]]/Comuni__2[[#This Row],[POPOLAZIONE TOTALE DI OGNI REGIONE (CON FILTRO)]]</f>
        <v>1.2762688557452041E-4</v>
      </c>
      <c r="H1357" t="str">
        <f>IF(Comuni__2[[#This Row],[Popolazione2011]]&gt;300000,"MAGGIORE","")</f>
        <v/>
      </c>
      <c r="J1357">
        <v>203</v>
      </c>
      <c r="K1357">
        <v>25252</v>
      </c>
      <c r="L1357">
        <v>4472</v>
      </c>
    </row>
    <row r="1358" spans="1:12" x14ac:dyDescent="0.2">
      <c r="A1358"/>
      <c r="B1358"/>
      <c r="C1358"/>
      <c r="D1358"/>
      <c r="E1358" s="2">
        <f>Comuni__2[[#This Row],[Popolazione2011]]/$D$7911</f>
        <v>1.2284789628110305E-5</v>
      </c>
      <c r="F1358">
        <f>SUMIFS($D$2:$D$7909, $B$2:$B$7909, "Campania")</f>
        <v>5766810</v>
      </c>
      <c r="G1358" s="1">
        <f>Comuni__2[[#This Row],[Popolazione2011]]/Comuni__2[[#This Row],[POPOLAZIONE TOTALE DI OGNI REGIONE (CON FILTRO)]]</f>
        <v>1.265864490073368E-4</v>
      </c>
      <c r="H1358" t="str">
        <f>IF(Comuni__2[[#This Row],[Popolazione2011]]&gt;300000,"MAGGIORE","")</f>
        <v/>
      </c>
      <c r="J1358">
        <v>193</v>
      </c>
      <c r="K1358">
        <v>25313</v>
      </c>
      <c r="L1358">
        <v>4474</v>
      </c>
    </row>
    <row r="1359" spans="1:12" x14ac:dyDescent="0.2">
      <c r="A1359"/>
      <c r="B1359"/>
      <c r="C1359"/>
      <c r="D1359"/>
      <c r="E1359" s="2">
        <f>Comuni__2[[#This Row],[Popolazione2011]]/$D$7911</f>
        <v>1.2082847880798902E-5</v>
      </c>
      <c r="F1359">
        <f>SUMIFS($D$2:$D$7909, $B$2:$B$7909, "Campania")</f>
        <v>5766810</v>
      </c>
      <c r="G1359" s="1">
        <f>Comuni__2[[#This Row],[Popolazione2011]]/Comuni__2[[#This Row],[POPOLAZIONE TOTALE DI OGNI REGIONE (CON FILTRO)]]</f>
        <v>1.2450557587296963E-4</v>
      </c>
      <c r="H1359" t="str">
        <f>IF(Comuni__2[[#This Row],[Popolazione2011]]&gt;300000,"MAGGIORE","")</f>
        <v/>
      </c>
      <c r="J1359">
        <v>188</v>
      </c>
      <c r="K1359">
        <v>25335</v>
      </c>
      <c r="L1359">
        <v>4476</v>
      </c>
    </row>
    <row r="1360" spans="1:12" x14ac:dyDescent="0.2">
      <c r="A1360"/>
      <c r="B1360"/>
      <c r="C1360"/>
      <c r="D1360"/>
      <c r="E1360" s="2">
        <f>Comuni__2[[#This Row],[Popolazione2011]]/$D$7911</f>
        <v>1.2032362443971052E-5</v>
      </c>
      <c r="F1360">
        <f>SUMIFS($D$2:$D$7909, $B$2:$B$7909, "Campania")</f>
        <v>5766810</v>
      </c>
      <c r="G1360" s="1">
        <f>Comuni__2[[#This Row],[Popolazione2011]]/Comuni__2[[#This Row],[POPOLAZIONE TOTALE DI OGNI REGIONE (CON FILTRO)]]</f>
        <v>1.2398535758937783E-4</v>
      </c>
      <c r="H1360" t="str">
        <f>IF(Comuni__2[[#This Row],[Popolazione2011]]&gt;300000,"MAGGIORE","")</f>
        <v/>
      </c>
      <c r="J1360">
        <v>190</v>
      </c>
      <c r="K1360">
        <v>25361</v>
      </c>
      <c r="L1360">
        <v>4477</v>
      </c>
    </row>
    <row r="1361" spans="1:12" x14ac:dyDescent="0.2">
      <c r="A1361"/>
      <c r="B1361"/>
      <c r="C1361"/>
      <c r="D1361"/>
      <c r="E1361" s="2">
        <f>Comuni__2[[#This Row],[Popolazione2011]]/$D$7911</f>
        <v>1.1864077654544884E-5</v>
      </c>
      <c r="F1361">
        <f>SUMIFS($D$2:$D$7909, $B$2:$B$7909, "Campania")</f>
        <v>5766810</v>
      </c>
      <c r="G1361" s="1">
        <f>Comuni__2[[#This Row],[Popolazione2011]]/Comuni__2[[#This Row],[POPOLAZIONE TOTALE DI OGNI REGIONE (CON FILTRO)]]</f>
        <v>1.2225129664407186E-4</v>
      </c>
      <c r="H1361" t="str">
        <f>IF(Comuni__2[[#This Row],[Popolazione2011]]&gt;300000,"MAGGIORE","")</f>
        <v/>
      </c>
      <c r="J1361">
        <v>207</v>
      </c>
      <c r="K1361">
        <v>25400</v>
      </c>
      <c r="L1361">
        <v>4478</v>
      </c>
    </row>
    <row r="1362" spans="1:12" x14ac:dyDescent="0.2">
      <c r="A1362"/>
      <c r="B1362"/>
      <c r="C1362"/>
      <c r="D1362"/>
      <c r="E1362" s="2">
        <f>Comuni__2[[#This Row],[Popolazione2011]]/$D$7911</f>
        <v>1.1763106780889182E-5</v>
      </c>
      <c r="F1362">
        <f>SUMIFS($D$2:$D$7909, $B$2:$B$7909, "Campania")</f>
        <v>5766810</v>
      </c>
      <c r="G1362" s="1">
        <f>Comuni__2[[#This Row],[Popolazione2011]]/Comuni__2[[#This Row],[POPOLAZIONE TOTALE DI OGNI REGIONE (CON FILTRO)]]</f>
        <v>1.2121086007688826E-4</v>
      </c>
      <c r="H1362" t="str">
        <f>IF(Comuni__2[[#This Row],[Popolazione2011]]&gt;300000,"MAGGIORE","")</f>
        <v/>
      </c>
      <c r="J1362">
        <v>207</v>
      </c>
      <c r="K1362">
        <v>25520</v>
      </c>
      <c r="L1362">
        <v>4479</v>
      </c>
    </row>
    <row r="1363" spans="1:12" x14ac:dyDescent="0.2">
      <c r="A1363"/>
      <c r="B1363"/>
      <c r="C1363"/>
      <c r="D1363"/>
      <c r="E1363" s="2">
        <f>Comuni__2[[#This Row],[Popolazione2011]]/$D$7911</f>
        <v>1.1544336554635164E-5</v>
      </c>
      <c r="F1363">
        <f>SUMIFS($D$2:$D$7909, $B$2:$B$7909, "Campania")</f>
        <v>5766810</v>
      </c>
      <c r="G1363" s="1">
        <f>Comuni__2[[#This Row],[Popolazione2011]]/Comuni__2[[#This Row],[POPOLAZIONE TOTALE DI OGNI REGIONE (CON FILTRO)]]</f>
        <v>1.1895658084799048E-4</v>
      </c>
      <c r="H1363" t="str">
        <f>IF(Comuni__2[[#This Row],[Popolazione2011]]&gt;300000,"MAGGIORE","")</f>
        <v/>
      </c>
      <c r="J1363">
        <v>212</v>
      </c>
      <c r="K1363">
        <v>25604</v>
      </c>
      <c r="L1363">
        <v>4480</v>
      </c>
    </row>
    <row r="1364" spans="1:12" x14ac:dyDescent="0.2">
      <c r="A1364"/>
      <c r="B1364"/>
      <c r="C1364"/>
      <c r="D1364"/>
      <c r="E1364" s="2">
        <f>Comuni__2[[#This Row],[Popolazione2011]]/$D$7911</f>
        <v>1.1443365680979462E-5</v>
      </c>
      <c r="F1364">
        <f>SUMIFS($D$2:$D$7909, $B$2:$B$7909, "Campania")</f>
        <v>5766810</v>
      </c>
      <c r="G1364" s="1">
        <f>Comuni__2[[#This Row],[Popolazione2011]]/Comuni__2[[#This Row],[POPOLAZIONE TOTALE DI OGNI REGIONE (CON FILTRO)]]</f>
        <v>1.1791614428080689E-4</v>
      </c>
      <c r="H1364" t="str">
        <f>IF(Comuni__2[[#This Row],[Popolazione2011]]&gt;300000,"MAGGIORE","")</f>
        <v/>
      </c>
      <c r="J1364">
        <v>207</v>
      </c>
      <c r="K1364">
        <v>25701</v>
      </c>
      <c r="L1364">
        <v>4481</v>
      </c>
    </row>
    <row r="1365" spans="1:12" x14ac:dyDescent="0.2">
      <c r="A1365"/>
      <c r="B1365"/>
      <c r="C1365"/>
      <c r="D1365"/>
      <c r="E1365" s="2">
        <f>Comuni__2[[#This Row],[Popolazione2011]]/$D$7911</f>
        <v>1.1157281538954976E-5</v>
      </c>
      <c r="F1365">
        <f>SUMIFS($D$2:$D$7909, $B$2:$B$7909, "Campania")</f>
        <v>5766810</v>
      </c>
      <c r="G1365" s="1">
        <f>Comuni__2[[#This Row],[Popolazione2011]]/Comuni__2[[#This Row],[POPOLAZIONE TOTALE DI OGNI REGIONE (CON FILTRO)]]</f>
        <v>1.1496824067378671E-4</v>
      </c>
      <c r="H1365" t="str">
        <f>IF(Comuni__2[[#This Row],[Popolazione2011]]&gt;300000,"MAGGIORE","")</f>
        <v/>
      </c>
      <c r="J1365">
        <v>217</v>
      </c>
      <c r="K1365">
        <v>25734</v>
      </c>
      <c r="L1365">
        <v>4481</v>
      </c>
    </row>
    <row r="1366" spans="1:12" x14ac:dyDescent="0.2">
      <c r="A1366"/>
      <c r="B1366"/>
      <c r="C1366"/>
      <c r="D1366"/>
      <c r="E1366" s="2">
        <f>Comuni__2[[#This Row],[Popolazione2011]]/$D$7911</f>
        <v>1.1089967623184508E-5</v>
      </c>
      <c r="F1366">
        <f>SUMIFS($D$2:$D$7909, $B$2:$B$7909, "Campania")</f>
        <v>5766810</v>
      </c>
      <c r="G1366" s="1">
        <f>Comuni__2[[#This Row],[Popolazione2011]]/Comuni__2[[#This Row],[POPOLAZIONE TOTALE DI OGNI REGIONE (CON FILTRO)]]</f>
        <v>1.1427461629566433E-4</v>
      </c>
      <c r="H1366" t="str">
        <f>IF(Comuni__2[[#This Row],[Popolazione2011]]&gt;300000,"MAGGIORE","")</f>
        <v/>
      </c>
      <c r="J1366">
        <v>216</v>
      </c>
      <c r="K1366">
        <v>25864</v>
      </c>
      <c r="L1366">
        <v>4482</v>
      </c>
    </row>
    <row r="1367" spans="1:12" x14ac:dyDescent="0.2">
      <c r="A1367"/>
      <c r="B1367"/>
      <c r="C1367"/>
      <c r="D1367"/>
      <c r="E1367" s="2">
        <f>Comuni__2[[#This Row],[Popolazione2011]]/$D$7911</f>
        <v>1.0988996749528806E-5</v>
      </c>
      <c r="F1367">
        <f>SUMIFS($D$2:$D$7909, $B$2:$B$7909, "Campania")</f>
        <v>5766810</v>
      </c>
      <c r="G1367" s="1">
        <f>Comuni__2[[#This Row],[Popolazione2011]]/Comuni__2[[#This Row],[POPOLAZIONE TOTALE DI OGNI REGIONE (CON FILTRO)]]</f>
        <v>1.1323417972848074E-4</v>
      </c>
      <c r="H1367" t="str">
        <f>IF(Comuni__2[[#This Row],[Popolazione2011]]&gt;300000,"MAGGIORE","")</f>
        <v/>
      </c>
      <c r="J1367">
        <v>216</v>
      </c>
      <c r="K1367">
        <v>25946</v>
      </c>
      <c r="L1367">
        <v>4482</v>
      </c>
    </row>
    <row r="1368" spans="1:12" x14ac:dyDescent="0.2">
      <c r="A1368"/>
      <c r="B1368"/>
      <c r="C1368"/>
      <c r="D1368"/>
      <c r="E1368" s="2">
        <f>Comuni__2[[#This Row],[Popolazione2011]]/$D$7911</f>
        <v>1.0904854354815722E-5</v>
      </c>
      <c r="F1368">
        <f>SUMIFS($D$2:$D$7909, $B$2:$B$7909, "Campania")</f>
        <v>5766810</v>
      </c>
      <c r="G1368" s="1">
        <f>Comuni__2[[#This Row],[Popolazione2011]]/Comuni__2[[#This Row],[POPOLAZIONE TOTALE DI OGNI REGIONE (CON FILTRO)]]</f>
        <v>1.1236714925582774E-4</v>
      </c>
      <c r="H1368" t="str">
        <f>IF(Comuni__2[[#This Row],[Popolazione2011]]&gt;300000,"MAGGIORE","")</f>
        <v/>
      </c>
      <c r="J1368">
        <v>218</v>
      </c>
      <c r="K1368">
        <v>26016</v>
      </c>
      <c r="L1368">
        <v>4484</v>
      </c>
    </row>
    <row r="1369" spans="1:12" x14ac:dyDescent="0.2">
      <c r="A1369"/>
      <c r="B1369"/>
      <c r="C1369"/>
      <c r="D1369"/>
      <c r="E1369" s="2">
        <f>Comuni__2[[#This Row],[Popolazione2011]]/$D$7911</f>
        <v>1.0820711960102638E-5</v>
      </c>
      <c r="F1369">
        <f>SUMIFS($D$2:$D$7909, $B$2:$B$7909, "Campania")</f>
        <v>5766810</v>
      </c>
      <c r="G1369" s="1">
        <f>Comuni__2[[#This Row],[Popolazione2011]]/Comuni__2[[#This Row],[POPOLAZIONE TOTALE DI OGNI REGIONE (CON FILTRO)]]</f>
        <v>1.1150011878317476E-4</v>
      </c>
      <c r="H1369" t="str">
        <f>IF(Comuni__2[[#This Row],[Popolazione2011]]&gt;300000,"MAGGIORE","")</f>
        <v/>
      </c>
      <c r="J1369">
        <v>219</v>
      </c>
      <c r="K1369">
        <v>26174</v>
      </c>
      <c r="L1369">
        <v>4484</v>
      </c>
    </row>
    <row r="1370" spans="1:12" x14ac:dyDescent="0.2">
      <c r="A1370"/>
      <c r="B1370"/>
      <c r="C1370"/>
      <c r="D1370"/>
      <c r="E1370" s="2">
        <f>Comuni__2[[#This Row],[Popolazione2011]]/$D$7911</f>
        <v>1.0787055002217404E-5</v>
      </c>
      <c r="F1370">
        <f>SUMIFS($D$2:$D$7909, $B$2:$B$7909, "Campania")</f>
        <v>5766810</v>
      </c>
      <c r="G1370" s="1">
        <f>Comuni__2[[#This Row],[Popolazione2011]]/Comuni__2[[#This Row],[POPOLAZIONE TOTALE DI OGNI REGIONE (CON FILTRO)]]</f>
        <v>1.1115330659411355E-4</v>
      </c>
      <c r="H1370" t="str">
        <f>IF(Comuni__2[[#This Row],[Popolazione2011]]&gt;300000,"MAGGIORE","")</f>
        <v/>
      </c>
      <c r="J1370">
        <v>220</v>
      </c>
      <c r="K1370">
        <v>26276</v>
      </c>
      <c r="L1370">
        <v>4484</v>
      </c>
    </row>
    <row r="1371" spans="1:12" x14ac:dyDescent="0.2">
      <c r="A1371"/>
      <c r="B1371"/>
      <c r="C1371"/>
      <c r="D1371"/>
      <c r="E1371" s="2">
        <f>Comuni__2[[#This Row],[Popolazione2011]]/$D$7911</f>
        <v>1.0787055002217404E-5</v>
      </c>
      <c r="F1371">
        <f>SUMIFS($D$2:$D$7909, $B$2:$B$7909, "Campania")</f>
        <v>5766810</v>
      </c>
      <c r="G1371" s="1">
        <f>Comuni__2[[#This Row],[Popolazione2011]]/Comuni__2[[#This Row],[POPOLAZIONE TOTALE DI OGNI REGIONE (CON FILTRO)]]</f>
        <v>1.1115330659411355E-4</v>
      </c>
      <c r="H1371" t="str">
        <f>IF(Comuni__2[[#This Row],[Popolazione2011]]&gt;300000,"MAGGIORE","")</f>
        <v/>
      </c>
      <c r="J1371">
        <v>212</v>
      </c>
      <c r="K1371">
        <v>26416</v>
      </c>
      <c r="L1371">
        <v>4484</v>
      </c>
    </row>
    <row r="1372" spans="1:12" x14ac:dyDescent="0.2">
      <c r="A1372"/>
      <c r="B1372"/>
      <c r="C1372"/>
      <c r="D1372"/>
      <c r="E1372" s="2">
        <f>Comuni__2[[#This Row],[Popolazione2011]]/$D$7911</f>
        <v>9.9961164919144124E-6</v>
      </c>
      <c r="F1372">
        <f>SUMIFS($D$2:$D$7909, $B$2:$B$7909, "Campania")</f>
        <v>5766810</v>
      </c>
      <c r="G1372" s="1">
        <f>Comuni__2[[#This Row],[Popolazione2011]]/Comuni__2[[#This Row],[POPOLAZIONE TOTALE DI OGNI REGIONE (CON FILTRO)]]</f>
        <v>1.0300322015117544E-4</v>
      </c>
      <c r="H1372" t="str">
        <f>IF(Comuni__2[[#This Row],[Popolazione2011]]&gt;300000,"MAGGIORE","")</f>
        <v/>
      </c>
      <c r="J1372">
        <v>211</v>
      </c>
      <c r="K1372">
        <v>26468</v>
      </c>
      <c r="L1372">
        <v>4485</v>
      </c>
    </row>
    <row r="1373" spans="1:12" x14ac:dyDescent="0.2">
      <c r="A1373"/>
      <c r="B1373"/>
      <c r="C1373"/>
      <c r="D1373"/>
      <c r="E1373" s="2">
        <f>Comuni__2[[#This Row],[Popolazione2011]]/$D$7911</f>
        <v>9.8783171393160944E-6</v>
      </c>
      <c r="F1373">
        <f>SUMIFS($D$2:$D$7909, $B$2:$B$7909, "Campania")</f>
        <v>5766810</v>
      </c>
      <c r="G1373" s="1">
        <f>Comuni__2[[#This Row],[Popolazione2011]]/Comuni__2[[#This Row],[POPOLAZIONE TOTALE DI OGNI REGIONE (CON FILTRO)]]</f>
        <v>1.0178937748946125E-4</v>
      </c>
      <c r="H1373" t="str">
        <f>IF(Comuni__2[[#This Row],[Popolazione2011]]&gt;300000,"MAGGIORE","")</f>
        <v/>
      </c>
      <c r="J1373">
        <v>223</v>
      </c>
      <c r="K1373">
        <v>26482</v>
      </c>
      <c r="L1373">
        <v>4486</v>
      </c>
    </row>
    <row r="1374" spans="1:12" x14ac:dyDescent="0.2">
      <c r="A1374"/>
      <c r="B1374"/>
      <c r="C1374"/>
      <c r="D1374"/>
      <c r="E1374" s="2">
        <f>Comuni__2[[#This Row],[Popolazione2011]]/$D$7911</f>
        <v>9.7941747446030104E-6</v>
      </c>
      <c r="F1374">
        <f>SUMIFS($D$2:$D$7909, $B$2:$B$7909, "Campania")</f>
        <v>5766810</v>
      </c>
      <c r="G1374" s="1">
        <f>Comuni__2[[#This Row],[Popolazione2011]]/Comuni__2[[#This Row],[POPOLAZIONE TOTALE DI OGNI REGIONE (CON FILTRO)]]</f>
        <v>1.0092234701680825E-4</v>
      </c>
      <c r="H1374" t="str">
        <f>IF(Comuni__2[[#This Row],[Popolazione2011]]&gt;300000,"MAGGIORE","")</f>
        <v/>
      </c>
      <c r="J1374">
        <v>224</v>
      </c>
      <c r="K1374">
        <v>26556</v>
      </c>
      <c r="L1374">
        <v>4487</v>
      </c>
    </row>
    <row r="1375" spans="1:12" x14ac:dyDescent="0.2">
      <c r="A1375"/>
      <c r="B1375"/>
      <c r="C1375"/>
      <c r="D1375"/>
      <c r="E1375" s="2">
        <f>Comuni__2[[#This Row],[Popolazione2011]]/$D$7911</f>
        <v>9.7605177867177765E-6</v>
      </c>
      <c r="F1375">
        <f>SUMIFS($D$2:$D$7909, $B$2:$B$7909, "Campania")</f>
        <v>5766810</v>
      </c>
      <c r="G1375" s="1">
        <f>Comuni__2[[#This Row],[Popolazione2011]]/Comuni__2[[#This Row],[POPOLAZIONE TOTALE DI OGNI REGIONE (CON FILTRO)]]</f>
        <v>1.0057553482774705E-4</v>
      </c>
      <c r="H1375" t="str">
        <f>IF(Comuni__2[[#This Row],[Popolazione2011]]&gt;300000,"MAGGIORE","")</f>
        <v/>
      </c>
      <c r="J1375">
        <v>225</v>
      </c>
      <c r="K1375">
        <v>26617</v>
      </c>
      <c r="L1375">
        <v>4490</v>
      </c>
    </row>
    <row r="1376" spans="1:12" x14ac:dyDescent="0.2">
      <c r="A1376"/>
      <c r="B1376"/>
      <c r="C1376"/>
      <c r="D1376"/>
      <c r="E1376" s="2">
        <f>Comuni__2[[#This Row],[Popolazione2011]]/$D$7911</f>
        <v>9.7268608288325425E-6</v>
      </c>
      <c r="F1376">
        <f>SUMIFS($D$2:$D$7909, $B$2:$B$7909, "Campania")</f>
        <v>5766810</v>
      </c>
      <c r="G1376" s="1">
        <f>Comuni__2[[#This Row],[Popolazione2011]]/Comuni__2[[#This Row],[POPOLAZIONE TOTALE DI OGNI REGIONE (CON FILTRO)]]</f>
        <v>1.0022872263868586E-4</v>
      </c>
      <c r="H1376" t="str">
        <f>IF(Comuni__2[[#This Row],[Popolazione2011]]&gt;300000,"MAGGIORE","")</f>
        <v/>
      </c>
      <c r="J1376">
        <v>237</v>
      </c>
      <c r="K1376">
        <v>26668</v>
      </c>
      <c r="L1376">
        <v>4491</v>
      </c>
    </row>
    <row r="1377" spans="1:12" x14ac:dyDescent="0.2">
      <c r="A1377"/>
      <c r="B1377"/>
      <c r="C1377"/>
      <c r="D1377"/>
      <c r="E1377" s="2">
        <f>Comuni__2[[#This Row],[Popolazione2011]]/$D$7911</f>
        <v>9.5080906025785227E-6</v>
      </c>
      <c r="F1377">
        <f>SUMIFS($D$2:$D$7909, $B$2:$B$7909, "Campania")</f>
        <v>5766810</v>
      </c>
      <c r="G1377" s="1">
        <f>Comuni__2[[#This Row],[Popolazione2011]]/Comuni__2[[#This Row],[POPOLAZIONE TOTALE DI OGNI REGIONE (CON FILTRO)]]</f>
        <v>9.7974443409788075E-5</v>
      </c>
      <c r="H1377" t="str">
        <f>IF(Comuni__2[[#This Row],[Popolazione2011]]&gt;300000,"MAGGIORE","")</f>
        <v/>
      </c>
      <c r="J1377">
        <v>245</v>
      </c>
      <c r="K1377">
        <v>26722</v>
      </c>
      <c r="L1377">
        <v>4492</v>
      </c>
    </row>
    <row r="1378" spans="1:12" x14ac:dyDescent="0.2">
      <c r="A1378"/>
      <c r="B1378"/>
      <c r="C1378"/>
      <c r="D1378"/>
      <c r="E1378" s="2">
        <f>Comuni__2[[#This Row],[Popolazione2011]]/$D$7911</f>
        <v>9.4744336446932905E-6</v>
      </c>
      <c r="F1378">
        <f>SUMIFS($D$2:$D$7909, $B$2:$B$7909, "Campania")</f>
        <v>5766810</v>
      </c>
      <c r="G1378" s="1">
        <f>Comuni__2[[#This Row],[Popolazione2011]]/Comuni__2[[#This Row],[POPOLAZIONE TOTALE DI OGNI REGIONE (CON FILTRO)]]</f>
        <v>9.7627631220726884E-5</v>
      </c>
      <c r="H1378" t="str">
        <f>IF(Comuni__2[[#This Row],[Popolazione2011]]&gt;300000,"MAGGIORE","")</f>
        <v/>
      </c>
      <c r="J1378">
        <v>240</v>
      </c>
      <c r="K1378">
        <v>26812</v>
      </c>
      <c r="L1378">
        <v>4493</v>
      </c>
    </row>
    <row r="1379" spans="1:12" x14ac:dyDescent="0.2">
      <c r="A1379"/>
      <c r="B1379"/>
      <c r="C1379"/>
      <c r="D1379"/>
      <c r="E1379" s="2">
        <f>Comuni__2[[#This Row],[Popolazione2011]]/$D$7911</f>
        <v>9.4071197289228226E-6</v>
      </c>
      <c r="F1379">
        <f>SUMIFS($D$2:$D$7909, $B$2:$B$7909, "Campania")</f>
        <v>5766810</v>
      </c>
      <c r="G1379" s="1">
        <f>Comuni__2[[#This Row],[Popolazione2011]]/Comuni__2[[#This Row],[POPOLAZIONE TOTALE DI OGNI REGIONE (CON FILTRO)]]</f>
        <v>9.693400684260449E-5</v>
      </c>
      <c r="H1379" t="str">
        <f>IF(Comuni__2[[#This Row],[Popolazione2011]]&gt;300000,"MAGGIORE","")</f>
        <v/>
      </c>
      <c r="J1379">
        <v>257</v>
      </c>
      <c r="K1379">
        <v>26827</v>
      </c>
      <c r="L1379">
        <v>4494</v>
      </c>
    </row>
    <row r="1380" spans="1:12" x14ac:dyDescent="0.2">
      <c r="A1380"/>
      <c r="B1380"/>
      <c r="C1380"/>
      <c r="D1380"/>
      <c r="E1380" s="2">
        <f>Comuni__2[[#This Row],[Popolazione2011]]/$D$7911</f>
        <v>9.2724918973818868E-6</v>
      </c>
      <c r="F1380">
        <f>SUMIFS($D$2:$D$7909, $B$2:$B$7909, "Campania")</f>
        <v>5766810</v>
      </c>
      <c r="G1380" s="1">
        <f>Comuni__2[[#This Row],[Popolazione2011]]/Comuni__2[[#This Row],[POPOLAZIONE TOTALE DI OGNI REGIONE (CON FILTRO)]]</f>
        <v>9.5546758086359701E-5</v>
      </c>
      <c r="H1380" t="str">
        <f>IF(Comuni__2[[#This Row],[Popolazione2011]]&gt;300000,"MAGGIORE","")</f>
        <v/>
      </c>
      <c r="J1380">
        <v>277</v>
      </c>
      <c r="K1380">
        <v>26837</v>
      </c>
      <c r="L1380">
        <v>4495</v>
      </c>
    </row>
    <row r="1381" spans="1:12" x14ac:dyDescent="0.2">
      <c r="A1381"/>
      <c r="B1381"/>
      <c r="C1381"/>
      <c r="D1381"/>
      <c r="E1381" s="2">
        <f>Comuni__2[[#This Row],[Popolazione2011]]/$D$7911</f>
        <v>8.9527507974721669E-6</v>
      </c>
      <c r="F1381">
        <f>SUMIFS($D$2:$D$7909, $B$2:$B$7909, "Campania")</f>
        <v>5766810</v>
      </c>
      <c r="G1381" s="1">
        <f>Comuni__2[[#This Row],[Popolazione2011]]/Comuni__2[[#This Row],[POPOLAZIONE TOTALE DI OGNI REGIONE (CON FILTRO)]]</f>
        <v>9.2252042290278332E-5</v>
      </c>
      <c r="H1381" t="str">
        <f>IF(Comuni__2[[#This Row],[Popolazione2011]]&gt;300000,"MAGGIORE","")</f>
        <v/>
      </c>
      <c r="J1381">
        <v>309</v>
      </c>
      <c r="K1381">
        <v>26849</v>
      </c>
      <c r="L1381">
        <v>4496</v>
      </c>
    </row>
    <row r="1382" spans="1:12" x14ac:dyDescent="0.2">
      <c r="A1382"/>
      <c r="B1382"/>
      <c r="C1382"/>
      <c r="D1382"/>
      <c r="E1382" s="2">
        <f>Comuni__2[[#This Row],[Popolazione2011]]/$D$7911</f>
        <v>7.9598705398577731E-6</v>
      </c>
      <c r="F1382">
        <f>SUMIFS($D$2:$D$7909, $B$2:$B$7909, "Campania")</f>
        <v>5766810</v>
      </c>
      <c r="G1382" s="1">
        <f>Comuni__2[[#This Row],[Popolazione2011]]/Comuni__2[[#This Row],[POPOLAZIONE TOTALE DI OGNI REGIONE (CON FILTRO)]]</f>
        <v>8.2021082712973033E-5</v>
      </c>
      <c r="H1382" t="str">
        <f>IF(Comuni__2[[#This Row],[Popolazione2011]]&gt;300000,"MAGGIORE","")</f>
        <v/>
      </c>
      <c r="J1382">
        <v>354</v>
      </c>
      <c r="K1382">
        <v>26982</v>
      </c>
      <c r="L1382">
        <v>4498</v>
      </c>
    </row>
    <row r="1383" spans="1:12" x14ac:dyDescent="0.2">
      <c r="A1383"/>
      <c r="B1383"/>
      <c r="C1383"/>
      <c r="D1383"/>
      <c r="E1383" s="2">
        <f>Comuni__2[[#This Row],[Popolazione2011]]/$D$7911</f>
        <v>7.7915857504316034E-6</v>
      </c>
      <c r="F1383">
        <f>SUMIFS($D$2:$D$7909, $B$2:$B$7909, "Campania")</f>
        <v>5766810</v>
      </c>
      <c r="G1383" s="1">
        <f>Comuni__2[[#This Row],[Popolazione2011]]/Comuni__2[[#This Row],[POPOLAZIONE TOTALE DI OGNI REGIONE (CON FILTRO)]]</f>
        <v>8.0287021767667041E-5</v>
      </c>
      <c r="H1383" t="str">
        <f>IF(Comuni__2[[#This Row],[Popolazione2011]]&gt;300000,"MAGGIORE","")</f>
        <v/>
      </c>
      <c r="J1383">
        <v>418</v>
      </c>
      <c r="K1383">
        <v>27045</v>
      </c>
      <c r="L1383">
        <v>4502</v>
      </c>
    </row>
    <row r="1384" spans="1:12" x14ac:dyDescent="0.2">
      <c r="A1384"/>
      <c r="B1384"/>
      <c r="C1384"/>
      <c r="D1384"/>
      <c r="E1384" s="2">
        <f>Comuni__2[[#This Row],[Popolazione2011]]/$D$7911</f>
        <v>7.7579287925463711E-6</v>
      </c>
      <c r="F1384">
        <f>SUMIFS($D$2:$D$7909, $B$2:$B$7909, "Campania")</f>
        <v>5766810</v>
      </c>
      <c r="G1384" s="1">
        <f>Comuni__2[[#This Row],[Popolazione2011]]/Comuni__2[[#This Row],[POPOLAZIONE TOTALE DI OGNI REGIONE (CON FILTRO)]]</f>
        <v>7.994020957860585E-5</v>
      </c>
      <c r="H1384" t="str">
        <f>IF(Comuni__2[[#This Row],[Popolazione2011]]&gt;300000,"MAGGIORE","")</f>
        <v/>
      </c>
      <c r="J1384">
        <v>441</v>
      </c>
      <c r="K1384">
        <v>27124</v>
      </c>
      <c r="L1384">
        <v>4503</v>
      </c>
    </row>
    <row r="1385" spans="1:12" x14ac:dyDescent="0.2">
      <c r="A1385"/>
      <c r="B1385"/>
      <c r="C1385"/>
      <c r="D1385"/>
      <c r="E1385" s="2">
        <f>Comuni__2[[#This Row],[Popolazione2011]]/$D$7911</f>
        <v>7.5896440031202022E-6</v>
      </c>
      <c r="F1385">
        <f>SUMIFS($D$2:$D$7909, $B$2:$B$7909, "Campania")</f>
        <v>5766810</v>
      </c>
      <c r="G1385" s="1">
        <f>Comuni__2[[#This Row],[Popolazione2011]]/Comuni__2[[#This Row],[POPOLAZIONE TOTALE DI OGNI REGIONE (CON FILTRO)]]</f>
        <v>7.8206148633299871E-5</v>
      </c>
      <c r="H1385" t="str">
        <f>IF(Comuni__2[[#This Row],[Popolazione2011]]&gt;300000,"MAGGIORE","")</f>
        <v/>
      </c>
      <c r="J1385">
        <v>465</v>
      </c>
      <c r="K1385">
        <v>27155</v>
      </c>
      <c r="L1385">
        <v>4504</v>
      </c>
    </row>
    <row r="1386" spans="1:12" x14ac:dyDescent="0.2">
      <c r="A1386"/>
      <c r="B1386"/>
      <c r="C1386"/>
      <c r="D1386"/>
      <c r="E1386" s="2">
        <f>Comuni__2[[#This Row],[Popolazione2011]]/$D$7911</f>
        <v>7.4045307347514164E-6</v>
      </c>
      <c r="F1386">
        <f>SUMIFS($D$2:$D$7909, $B$2:$B$7909, "Campania")</f>
        <v>5766810</v>
      </c>
      <c r="G1386" s="1">
        <f>Comuni__2[[#This Row],[Popolazione2011]]/Comuni__2[[#This Row],[POPOLAZIONE TOTALE DI OGNI REGIONE (CON FILTRO)]]</f>
        <v>7.629868159346329E-5</v>
      </c>
      <c r="H1386" t="str">
        <f>IF(Comuni__2[[#This Row],[Popolazione2011]]&gt;300000,"MAGGIORE","")</f>
        <v/>
      </c>
      <c r="J1386">
        <v>492</v>
      </c>
      <c r="K1386">
        <v>27175</v>
      </c>
      <c r="L1386">
        <v>4509</v>
      </c>
    </row>
    <row r="1387" spans="1:12" x14ac:dyDescent="0.2">
      <c r="A1387"/>
      <c r="B1387"/>
      <c r="C1387"/>
      <c r="D1387"/>
      <c r="E1387" s="2">
        <f>Comuni__2[[#This Row],[Popolazione2011]]/$D$7911</f>
        <v>6.5799352665631906E-6</v>
      </c>
      <c r="F1387">
        <f>SUMIFS($D$2:$D$7909, $B$2:$B$7909, "Campania")</f>
        <v>5766810</v>
      </c>
      <c r="G1387" s="1">
        <f>Comuni__2[[#This Row],[Popolazione2011]]/Comuni__2[[#This Row],[POPOLAZIONE TOTALE DI OGNI REGIONE (CON FILTRO)]]</f>
        <v>6.7801782961463957E-5</v>
      </c>
      <c r="H1387" t="str">
        <f>IF(Comuni__2[[#This Row],[Popolazione2011]]&gt;300000,"MAGGIORE","")</f>
        <v/>
      </c>
      <c r="J1387">
        <v>506</v>
      </c>
      <c r="K1387">
        <v>27181</v>
      </c>
      <c r="L1387">
        <v>4515</v>
      </c>
    </row>
    <row r="1388" spans="1:12" x14ac:dyDescent="0.2">
      <c r="A1388"/>
      <c r="B1388"/>
      <c r="C1388"/>
      <c r="D1388"/>
      <c r="E1388" s="2">
        <f>Comuni__2[[#This Row],[Popolazione2011]]/$D$7911</f>
        <v>5.8563106720306659E-6</v>
      </c>
      <c r="F1388">
        <f>SUMIFS($D$2:$D$7909, $B$2:$B$7909, "Campania")</f>
        <v>5766810</v>
      </c>
      <c r="G1388" s="1">
        <f>Comuni__2[[#This Row],[Popolazione2011]]/Comuni__2[[#This Row],[POPOLAZIONE TOTALE DI OGNI REGIONE (CON FILTRO)]]</f>
        <v>6.0345320896648235E-5</v>
      </c>
      <c r="H1388" t="str">
        <f>IF(Comuni__2[[#This Row],[Popolazione2011]]&gt;300000,"MAGGIORE","")</f>
        <v/>
      </c>
      <c r="J1388">
        <v>551</v>
      </c>
      <c r="K1388">
        <v>27222</v>
      </c>
      <c r="L1388">
        <v>4518</v>
      </c>
    </row>
    <row r="1389" spans="1:12" x14ac:dyDescent="0.2">
      <c r="A1389"/>
      <c r="B1389"/>
      <c r="C1389"/>
      <c r="D1389"/>
      <c r="E1389" s="2">
        <f>Comuni__2[[#This Row],[Popolazione2011]]/$D$7911</f>
        <v>5.8394821930880489E-6</v>
      </c>
      <c r="F1389">
        <f>SUMIFS($D$2:$D$7909, $B$2:$B$7909, "Campania")</f>
        <v>5766810</v>
      </c>
      <c r="G1389" s="1">
        <f>Comuni__2[[#This Row],[Popolazione2011]]/Comuni__2[[#This Row],[POPOLAZIONE TOTALE DI OGNI REGIONE (CON FILTRO)]]</f>
        <v>6.0171914802117633E-5</v>
      </c>
      <c r="H1389" t="str">
        <f>IF(Comuni__2[[#This Row],[Popolazione2011]]&gt;300000,"MAGGIORE","")</f>
        <v/>
      </c>
      <c r="J1389">
        <v>609</v>
      </c>
      <c r="K1389">
        <v>27226</v>
      </c>
      <c r="L1389">
        <v>4523</v>
      </c>
    </row>
    <row r="1390" spans="1:12" x14ac:dyDescent="0.2">
      <c r="A1390"/>
      <c r="B1390"/>
      <c r="C1390"/>
      <c r="D1390"/>
      <c r="E1390" s="2">
        <f>Comuni__2[[#This Row],[Popolazione2011]]/$D$7911</f>
        <v>5.7385113194323479E-6</v>
      </c>
      <c r="F1390">
        <f>SUMIFS($D$2:$D$7909, $B$2:$B$7909, "Campania")</f>
        <v>5766810</v>
      </c>
      <c r="G1390" s="1">
        <f>Comuni__2[[#This Row],[Popolazione2011]]/Comuni__2[[#This Row],[POPOLAZIONE TOTALE DI OGNI REGIONE (CON FILTRO)]]</f>
        <v>5.9131478234934042E-5</v>
      </c>
      <c r="H1390" t="str">
        <f>IF(Comuni__2[[#This Row],[Popolazione2011]]&gt;300000,"MAGGIORE","")</f>
        <v/>
      </c>
      <c r="J1390">
        <v>682</v>
      </c>
      <c r="K1390">
        <v>27257</v>
      </c>
      <c r="L1390">
        <v>4531</v>
      </c>
    </row>
    <row r="1391" spans="1:12" x14ac:dyDescent="0.2">
      <c r="A1391"/>
      <c r="B1391"/>
      <c r="C1391"/>
      <c r="D1391"/>
      <c r="E1391" s="2">
        <f>Comuni__2[[#This Row],[Popolazione2011]]/$D$7911</f>
        <v>4.7119741039327194E-6</v>
      </c>
      <c r="F1391">
        <f>SUMIFS($D$2:$D$7909, $B$2:$B$7909, "Campania")</f>
        <v>5766810</v>
      </c>
      <c r="G1391" s="1">
        <f>Comuni__2[[#This Row],[Popolazione2011]]/Comuni__2[[#This Row],[POPOLAZIONE TOTALE DI OGNI REGIONE (CON FILTRO)]]</f>
        <v>4.8553706468567546E-5</v>
      </c>
      <c r="H1391" t="str">
        <f>IF(Comuni__2[[#This Row],[Popolazione2011]]&gt;300000,"MAGGIORE","")</f>
        <v/>
      </c>
      <c r="J1391">
        <v>722</v>
      </c>
      <c r="K1391">
        <v>27277</v>
      </c>
      <c r="L1391">
        <v>4537</v>
      </c>
    </row>
    <row r="1392" spans="1:12" x14ac:dyDescent="0.2">
      <c r="A1392"/>
      <c r="B1392"/>
      <c r="C1392"/>
      <c r="D1392"/>
      <c r="E1392" s="2">
        <f>Comuni__2[[#This Row],[Popolazione2011]]/$D$7911</f>
        <v>6.249036885114515E-3</v>
      </c>
      <c r="F1392">
        <f>SUMIFS($D$2:$D$7909, $B$2:$B$7909, "Emilia-Romagna")</f>
        <v>4342135</v>
      </c>
      <c r="G1392" s="1">
        <f>Comuni__2[[#This Row],[Popolazione2011]]/Comuni__2[[#This Row],[POPOLAZIONE TOTALE DI OGNI REGIONE (CON FILTRO)]]</f>
        <v>8.5519450684974102E-2</v>
      </c>
      <c r="H1392" t="str">
        <f>IF(Comuni__2[[#This Row],[Popolazione2011]]&gt;300000,"MAGGIORE","")</f>
        <v>MAGGIORE</v>
      </c>
      <c r="J1392">
        <v>743</v>
      </c>
      <c r="K1392">
        <v>27304</v>
      </c>
      <c r="L1392">
        <v>4547</v>
      </c>
    </row>
    <row r="1393" spans="1:12" x14ac:dyDescent="0.2">
      <c r="A1393"/>
      <c r="B1393"/>
      <c r="C1393"/>
      <c r="D1393"/>
      <c r="E1393" s="2">
        <f>Comuni__2[[#This Row],[Popolazione2011]]/$D$7911</f>
        <v>3.0148051740908669E-3</v>
      </c>
      <c r="F1393">
        <f>SUMIFS($D$2:$D$7909, $B$2:$B$7909, "Emilia-Romagna")</f>
        <v>4342135</v>
      </c>
      <c r="G1393" s="1">
        <f>Comuni__2[[#This Row],[Popolazione2011]]/Comuni__2[[#This Row],[POPOLAZIONE TOTALE DI OGNI REGIONE (CON FILTRO)]]</f>
        <v>4.125827501908623E-2</v>
      </c>
      <c r="H1393" t="str">
        <f>IF(Comuni__2[[#This Row],[Popolazione2011]]&gt;300000,"MAGGIORE","")</f>
        <v/>
      </c>
      <c r="J1393">
        <v>812</v>
      </c>
      <c r="K1393">
        <v>27343</v>
      </c>
      <c r="L1393">
        <v>4557</v>
      </c>
    </row>
    <row r="1394" spans="1:12" x14ac:dyDescent="0.2">
      <c r="A1394"/>
      <c r="B1394"/>
      <c r="C1394"/>
      <c r="D1394"/>
      <c r="E1394" s="2">
        <f>Comuni__2[[#This Row],[Popolazione2011]]/$D$7911</f>
        <v>2.9600453036115917E-3</v>
      </c>
      <c r="F1394">
        <f>SUMIFS($D$2:$D$7909, $B$2:$B$7909, "Emilia-Romagna")</f>
        <v>4342135</v>
      </c>
      <c r="G1394" s="1">
        <f>Comuni__2[[#This Row],[Popolazione2011]]/Comuni__2[[#This Row],[POPOLAZIONE TOTALE DI OGNI REGIONE (CON FILTRO)]]</f>
        <v>4.0508874090741075E-2</v>
      </c>
      <c r="H1394" t="str">
        <f>IF(Comuni__2[[#This Row],[Popolazione2011]]&gt;300000,"MAGGIORE","")</f>
        <v/>
      </c>
      <c r="J1394">
        <v>845</v>
      </c>
      <c r="K1394">
        <v>27345</v>
      </c>
      <c r="L1394">
        <v>4561</v>
      </c>
    </row>
    <row r="1395" spans="1:12" x14ac:dyDescent="0.2">
      <c r="A1395"/>
      <c r="B1395"/>
      <c r="C1395"/>
      <c r="D1395"/>
      <c r="E1395" s="2">
        <f>Comuni__2[[#This Row],[Popolazione2011]]/$D$7911</f>
        <v>2.7275935239772253E-3</v>
      </c>
      <c r="F1395">
        <f>SUMIFS($D$2:$D$7909, $B$2:$B$7909, "Emilia-Romagna")</f>
        <v>4342135</v>
      </c>
      <c r="G1395" s="1">
        <f>Comuni__2[[#This Row],[Popolazione2011]]/Comuni__2[[#This Row],[POPOLAZIONE TOTALE DI OGNI REGIONE (CON FILTRO)]]</f>
        <v>3.7327720119250091E-2</v>
      </c>
      <c r="H1395" t="str">
        <f>IF(Comuni__2[[#This Row],[Popolazione2011]]&gt;300000,"MAGGIORE","")</f>
        <v/>
      </c>
      <c r="J1395">
        <v>909</v>
      </c>
      <c r="K1395">
        <v>27544</v>
      </c>
      <c r="L1395">
        <v>4564</v>
      </c>
    </row>
    <row r="1396" spans="1:12" x14ac:dyDescent="0.2">
      <c r="A1396"/>
      <c r="B1396"/>
      <c r="C1396"/>
      <c r="D1396"/>
      <c r="E1396" s="2">
        <f>Comuni__2[[#This Row],[Popolazione2011]]/$D$7911</f>
        <v>2.5872103526379153E-3</v>
      </c>
      <c r="F1396">
        <f>SUMIFS($D$2:$D$7909, $B$2:$B$7909, "Emilia-Romagna")</f>
        <v>4342135</v>
      </c>
      <c r="G1396" s="1">
        <f>Comuni__2[[#This Row],[Popolazione2011]]/Comuni__2[[#This Row],[POPOLAZIONE TOTALE DI OGNI REGIONE (CON FILTRO)]]</f>
        <v>3.5406545397598188E-2</v>
      </c>
      <c r="H1396" t="str">
        <f>IF(Comuni__2[[#This Row],[Popolazione2011]]&gt;300000,"MAGGIORE","")</f>
        <v/>
      </c>
      <c r="J1396">
        <v>1037</v>
      </c>
      <c r="K1396">
        <v>27626</v>
      </c>
      <c r="L1396">
        <v>4579</v>
      </c>
    </row>
    <row r="1397" spans="1:12" x14ac:dyDescent="0.2">
      <c r="A1397"/>
      <c r="B1397"/>
      <c r="C1397"/>
      <c r="D1397"/>
      <c r="E1397" s="2">
        <f>Comuni__2[[#This Row],[Popolazione2011]]/$D$7911</f>
        <v>2.3492724888682557E-3</v>
      </c>
      <c r="F1397">
        <f>SUMIFS($D$2:$D$7909, $B$2:$B$7909, "Emilia-Romagna")</f>
        <v>4342135</v>
      </c>
      <c r="G1397" s="1">
        <f>Comuni__2[[#This Row],[Popolazione2011]]/Comuni__2[[#This Row],[POPOLAZIONE TOTALE DI OGNI REGIONE (CON FILTRO)]]</f>
        <v>3.2150313152400835E-2</v>
      </c>
      <c r="H1397" t="str">
        <f>IF(Comuni__2[[#This Row],[Popolazione2011]]&gt;300000,"MAGGIORE","")</f>
        <v/>
      </c>
      <c r="J1397">
        <v>1118</v>
      </c>
      <c r="K1397">
        <v>27671</v>
      </c>
      <c r="L1397">
        <v>4593</v>
      </c>
    </row>
    <row r="1398" spans="1:12" x14ac:dyDescent="0.2">
      <c r="A1398"/>
      <c r="B1398"/>
      <c r="C1398"/>
      <c r="D1398"/>
      <c r="E1398" s="2">
        <f>Comuni__2[[#This Row],[Popolazione2011]]/$D$7911</f>
        <v>2.2305307414491513E-3</v>
      </c>
      <c r="F1398">
        <f>SUMIFS($D$2:$D$7909, $B$2:$B$7909, "Emilia-Romagna")</f>
        <v>4342135</v>
      </c>
      <c r="G1398" s="1">
        <f>Comuni__2[[#This Row],[Popolazione2011]]/Comuni__2[[#This Row],[POPOLAZIONE TOTALE DI OGNI REGIONE (CON FILTRO)]]</f>
        <v>3.0525306099418833E-2</v>
      </c>
      <c r="H1398" t="str">
        <f>IF(Comuni__2[[#This Row],[Popolazione2011]]&gt;300000,"MAGGIORE","")</f>
        <v/>
      </c>
      <c r="J1398">
        <v>1177</v>
      </c>
      <c r="K1398">
        <v>27724</v>
      </c>
      <c r="L1398">
        <v>4601</v>
      </c>
    </row>
    <row r="1399" spans="1:12" x14ac:dyDescent="0.2">
      <c r="A1399"/>
      <c r="B1399"/>
      <c r="C1399"/>
      <c r="D1399"/>
      <c r="E1399" s="2">
        <f>Comuni__2[[#This Row],[Popolazione2011]]/$D$7911</f>
        <v>1.9594071172046512E-3</v>
      </c>
      <c r="F1399">
        <f>SUMIFS($D$2:$D$7909, $B$2:$B$7909, "Emilia-Romagna")</f>
        <v>4342135</v>
      </c>
      <c r="G1399" s="1">
        <f>Comuni__2[[#This Row],[Popolazione2011]]/Comuni__2[[#This Row],[POPOLAZIONE TOTALE DI OGNI REGIONE (CON FILTRO)]]</f>
        <v>2.6814919388733885E-2</v>
      </c>
      <c r="H1399" t="str">
        <f>IF(Comuni__2[[#This Row],[Popolazione2011]]&gt;300000,"MAGGIORE","")</f>
        <v/>
      </c>
      <c r="J1399">
        <v>1276</v>
      </c>
      <c r="K1399">
        <v>27764</v>
      </c>
      <c r="L1399">
        <v>4612</v>
      </c>
    </row>
    <row r="1400" spans="1:12" x14ac:dyDescent="0.2">
      <c r="A1400"/>
      <c r="B1400"/>
      <c r="C1400"/>
      <c r="D1400"/>
      <c r="E1400" s="2">
        <f>Comuni__2[[#This Row],[Popolazione2011]]/$D$7911</f>
        <v>1.6880815512128394E-3</v>
      </c>
      <c r="F1400">
        <f>SUMIFS($D$2:$D$7909, $B$2:$B$7909, "Emilia-Romagna")</f>
        <v>4342135</v>
      </c>
      <c r="G1400" s="1">
        <f>Comuni__2[[#This Row],[Popolazione2011]]/Comuni__2[[#This Row],[POPOLAZIONE TOTALE DI OGNI REGIONE (CON FILTRO)]]</f>
        <v>2.3101769060611888E-2</v>
      </c>
      <c r="H1400" t="str">
        <f>IF(Comuni__2[[#This Row],[Popolazione2011]]&gt;300000,"MAGGIORE","")</f>
        <v/>
      </c>
      <c r="J1400">
        <v>1348</v>
      </c>
      <c r="K1400">
        <v>27997</v>
      </c>
      <c r="L1400">
        <v>4631</v>
      </c>
    </row>
    <row r="1401" spans="1:12" x14ac:dyDescent="0.2">
      <c r="A1401"/>
      <c r="B1401"/>
      <c r="C1401"/>
      <c r="D1401"/>
      <c r="E1401" s="2">
        <f>Comuni__2[[#This Row],[Popolazione2011]]/$D$7911</f>
        <v>1.6153656937017921E-3</v>
      </c>
      <c r="F1401">
        <f>SUMIFS($D$2:$D$7909, $B$2:$B$7909, "Emilia-Romagna")</f>
        <v>4342135</v>
      </c>
      <c r="G1401" s="1">
        <f>Comuni__2[[#This Row],[Popolazione2011]]/Comuni__2[[#This Row],[POPOLAZIONE TOTALE DI OGNI REGIONE (CON FILTRO)]]</f>
        <v>2.2106636481822883E-2</v>
      </c>
      <c r="H1401" t="str">
        <f>IF(Comuni__2[[#This Row],[Popolazione2011]]&gt;300000,"MAGGIORE","")</f>
        <v/>
      </c>
      <c r="J1401">
        <v>1399</v>
      </c>
      <c r="K1401">
        <v>28033</v>
      </c>
      <c r="L1401">
        <v>4647</v>
      </c>
    </row>
    <row r="1402" spans="1:12" x14ac:dyDescent="0.2">
      <c r="A1402"/>
      <c r="B1402"/>
      <c r="C1402"/>
      <c r="D1402"/>
      <c r="E1402" s="2">
        <f>Comuni__2[[#This Row],[Popolazione2011]]/$D$7911</f>
        <v>1.1425190923721436E-3</v>
      </c>
      <c r="F1402">
        <f>SUMIFS($D$2:$D$7909, $B$2:$B$7909, "Emilia-Romagna")</f>
        <v>4342135</v>
      </c>
      <c r="G1402" s="1">
        <f>Comuni__2[[#This Row],[Popolazione2011]]/Comuni__2[[#This Row],[POPOLAZIONE TOTALE DI OGNI REGIONE (CON FILTRO)]]</f>
        <v>1.5635626252983842E-2</v>
      </c>
      <c r="H1402" t="str">
        <f>IF(Comuni__2[[#This Row],[Popolazione2011]]&gt;300000,"MAGGIORE","")</f>
        <v/>
      </c>
      <c r="J1402">
        <v>1520</v>
      </c>
      <c r="K1402">
        <v>28093</v>
      </c>
      <c r="L1402">
        <v>4664</v>
      </c>
    </row>
    <row r="1403" spans="1:12" x14ac:dyDescent="0.2">
      <c r="A1403"/>
      <c r="B1403"/>
      <c r="C1403"/>
      <c r="D1403"/>
      <c r="E1403" s="2">
        <f>Comuni__2[[#This Row],[Popolazione2011]]/$D$7911</f>
        <v>1.1320181215119507E-3</v>
      </c>
      <c r="F1403">
        <f>SUMIFS($D$2:$D$7909, $B$2:$B$7909, "Emilia-Romagna")</f>
        <v>4342135</v>
      </c>
      <c r="G1403" s="1">
        <f>Comuni__2[[#This Row],[Popolazione2011]]/Comuni__2[[#This Row],[POPOLAZIONE TOTALE DI OGNI REGIONE (CON FILTRO)]]</f>
        <v>1.5491918146257545E-2</v>
      </c>
      <c r="H1403" t="str">
        <f>IF(Comuni__2[[#This Row],[Popolazione2011]]&gt;300000,"MAGGIORE","")</f>
        <v/>
      </c>
      <c r="J1403">
        <v>1617</v>
      </c>
      <c r="K1403">
        <v>28123</v>
      </c>
      <c r="L1403">
        <v>4687</v>
      </c>
    </row>
    <row r="1404" spans="1:12" x14ac:dyDescent="0.2">
      <c r="A1404"/>
      <c r="B1404"/>
      <c r="C1404"/>
      <c r="D1404"/>
      <c r="E1404" s="2">
        <f>Comuni__2[[#This Row],[Popolazione2011]]/$D$7911</f>
        <v>9.7181100197823815E-4</v>
      </c>
      <c r="F1404">
        <f>SUMIFS($D$2:$D$7909, $B$2:$B$7909, "Emilia-Romagna")</f>
        <v>4342135</v>
      </c>
      <c r="G1404" s="1">
        <f>Comuni__2[[#This Row],[Popolazione2011]]/Comuni__2[[#This Row],[POPOLAZIONE TOTALE DI OGNI REGIONE (CON FILTRO)]]</f>
        <v>1.329944831286913E-2</v>
      </c>
      <c r="H1404" t="str">
        <f>IF(Comuni__2[[#This Row],[Popolazione2011]]&gt;300000,"MAGGIORE","")</f>
        <v/>
      </c>
      <c r="J1404">
        <v>1715</v>
      </c>
      <c r="K1404">
        <v>28241</v>
      </c>
      <c r="L1404">
        <v>4699</v>
      </c>
    </row>
    <row r="1405" spans="1:12" x14ac:dyDescent="0.2">
      <c r="A1405"/>
      <c r="B1405"/>
      <c r="C1405"/>
      <c r="D1405"/>
      <c r="E1405" s="2">
        <f>Comuni__2[[#This Row],[Popolazione2011]]/$D$7911</f>
        <v>6.7120388262627327E-4</v>
      </c>
      <c r="F1405">
        <f>SUMIFS($D$2:$D$7909, $B$2:$B$7909, "Emilia-Romagna")</f>
        <v>4342135</v>
      </c>
      <c r="G1405" s="1">
        <f>Comuni__2[[#This Row],[Popolazione2011]]/Comuni__2[[#This Row],[POPOLAZIONE TOTALE DI OGNI REGIONE (CON FILTRO)]]</f>
        <v>9.1855734563757226E-3</v>
      </c>
      <c r="H1405" t="str">
        <f>IF(Comuni__2[[#This Row],[Popolazione2011]]&gt;300000,"MAGGIORE","")</f>
        <v/>
      </c>
      <c r="J1405">
        <v>1765</v>
      </c>
      <c r="K1405">
        <v>28403</v>
      </c>
      <c r="L1405">
        <v>4712</v>
      </c>
    </row>
    <row r="1406" spans="1:12" x14ac:dyDescent="0.2">
      <c r="A1406"/>
      <c r="B1406"/>
      <c r="C1406"/>
      <c r="D1406"/>
      <c r="E1406" s="2">
        <f>Comuni__2[[#This Row],[Popolazione2011]]/$D$7911</f>
        <v>5.9190808984866262E-4</v>
      </c>
      <c r="F1406">
        <f>SUMIFS($D$2:$D$7909, $B$2:$B$7909, "Emilia-Romagna")</f>
        <v>4342135</v>
      </c>
      <c r="G1406" s="1">
        <f>Comuni__2[[#This Row],[Popolazione2011]]/Comuni__2[[#This Row],[POPOLAZIONE TOTALE DI OGNI REGIONE (CON FILTRO)]]</f>
        <v>8.1003930094296923E-3</v>
      </c>
      <c r="H1406" t="str">
        <f>IF(Comuni__2[[#This Row],[Popolazione2011]]&gt;300000,"MAGGIORE","")</f>
        <v/>
      </c>
      <c r="J1406">
        <v>1850</v>
      </c>
      <c r="K1406">
        <v>28559</v>
      </c>
      <c r="L1406">
        <v>4752</v>
      </c>
    </row>
    <row r="1407" spans="1:12" x14ac:dyDescent="0.2">
      <c r="A1407"/>
      <c r="B1407"/>
      <c r="C1407"/>
      <c r="D1407"/>
      <c r="E1407" s="2">
        <f>Comuni__2[[#This Row],[Popolazione2011]]/$D$7911</f>
        <v>5.8433527432448507E-4</v>
      </c>
      <c r="F1407">
        <f>SUMIFS($D$2:$D$7909, $B$2:$B$7909, "Emilia-Romagna")</f>
        <v>4342135</v>
      </c>
      <c r="G1407" s="1">
        <f>Comuni__2[[#This Row],[Popolazione2011]]/Comuni__2[[#This Row],[POPOLAZIONE TOTALE DI OGNI REGIONE (CON FILTRO)]]</f>
        <v>7.9967573555405347E-3</v>
      </c>
      <c r="H1407" t="str">
        <f>IF(Comuni__2[[#This Row],[Popolazione2011]]&gt;300000,"MAGGIORE","")</f>
        <v/>
      </c>
      <c r="J1407">
        <v>1911</v>
      </c>
      <c r="K1407">
        <v>28619</v>
      </c>
      <c r="L1407">
        <v>4781</v>
      </c>
    </row>
    <row r="1408" spans="1:12" x14ac:dyDescent="0.2">
      <c r="A1408"/>
      <c r="B1408"/>
      <c r="C1408"/>
      <c r="D1408"/>
      <c r="E1408" s="2">
        <f>Comuni__2[[#This Row],[Popolazione2011]]/$D$7911</f>
        <v>5.8118834876221578E-4</v>
      </c>
      <c r="F1408">
        <f>SUMIFS($D$2:$D$7909, $B$2:$B$7909, "Emilia-Romagna")</f>
        <v>4342135</v>
      </c>
      <c r="G1408" s="1">
        <f>Comuni__2[[#This Row],[Popolazione2011]]/Comuni__2[[#This Row],[POPOLAZIONE TOTALE DI OGNI REGIONE (CON FILTRO)]]</f>
        <v>7.9536909838132629E-3</v>
      </c>
      <c r="H1408" t="str">
        <f>IF(Comuni__2[[#This Row],[Popolazione2011]]&gt;300000,"MAGGIORE","")</f>
        <v/>
      </c>
      <c r="J1408">
        <v>2030</v>
      </c>
      <c r="K1408">
        <v>28740</v>
      </c>
      <c r="L1408">
        <v>4816</v>
      </c>
    </row>
    <row r="1409" spans="1:12" x14ac:dyDescent="0.2">
      <c r="A1409"/>
      <c r="B1409"/>
      <c r="C1409"/>
      <c r="D1409"/>
      <c r="E1409" s="2">
        <f>Comuni__2[[#This Row],[Popolazione2011]]/$D$7911</f>
        <v>5.6656440056108168E-4</v>
      </c>
      <c r="F1409">
        <f>SUMIFS($D$2:$D$7909, $B$2:$B$7909, "Emilia-Romagna")</f>
        <v>4342135</v>
      </c>
      <c r="G1409" s="1">
        <f>Comuni__2[[#This Row],[Popolazione2011]]/Comuni__2[[#This Row],[POPOLAZIONE TOTALE DI OGNI REGIONE (CON FILTRO)]]</f>
        <v>7.7535590210806435E-3</v>
      </c>
      <c r="H1409" t="str">
        <f>IF(Comuni__2[[#This Row],[Popolazione2011]]&gt;300000,"MAGGIORE","")</f>
        <v/>
      </c>
      <c r="J1409">
        <v>2143</v>
      </c>
      <c r="K1409">
        <v>28978</v>
      </c>
      <c r="L1409">
        <v>4824</v>
      </c>
    </row>
    <row r="1410" spans="1:12" x14ac:dyDescent="0.2">
      <c r="A1410"/>
      <c r="B1410"/>
      <c r="C1410"/>
      <c r="D1410"/>
      <c r="E1410" s="2">
        <f>Comuni__2[[#This Row],[Popolazione2011]]/$D$7911</f>
        <v>5.3955469185818167E-4</v>
      </c>
      <c r="F1410">
        <f>SUMIFS($D$2:$D$7909, $B$2:$B$7909, "Emilia-Romagna")</f>
        <v>4342135</v>
      </c>
      <c r="G1410" s="1">
        <f>Comuni__2[[#This Row],[Popolazione2011]]/Comuni__2[[#This Row],[POPOLAZIONE TOTALE DI OGNI REGIONE (CON FILTRO)]]</f>
        <v>7.3839251888759795E-3</v>
      </c>
      <c r="H1410" t="str">
        <f>IF(Comuni__2[[#This Row],[Popolazione2011]]&gt;300000,"MAGGIORE","")</f>
        <v/>
      </c>
      <c r="J1410">
        <v>2235</v>
      </c>
      <c r="K1410">
        <v>29230</v>
      </c>
      <c r="L1410">
        <v>4845</v>
      </c>
    </row>
    <row r="1411" spans="1:12" x14ac:dyDescent="0.2">
      <c r="A1411"/>
      <c r="B1411"/>
      <c r="C1411"/>
      <c r="D1411"/>
      <c r="E1411" s="2">
        <f>Comuni__2[[#This Row],[Popolazione2011]]/$D$7911</f>
        <v>5.3272232940747917E-4</v>
      </c>
      <c r="F1411">
        <f>SUMIFS($D$2:$D$7909, $B$2:$B$7909, "Emilia-Romagna")</f>
        <v>4342135</v>
      </c>
      <c r="G1411" s="1">
        <f>Comuni__2[[#This Row],[Popolazione2011]]/Comuni__2[[#This Row],[POPOLAZIONE TOTALE DI OGNI REGIONE (CON FILTRO)]]</f>
        <v>7.2904227989226498E-3</v>
      </c>
      <c r="H1411" t="str">
        <f>IF(Comuni__2[[#This Row],[Popolazione2011]]&gt;300000,"MAGGIORE","")</f>
        <v/>
      </c>
      <c r="J1411">
        <v>2294</v>
      </c>
      <c r="K1411">
        <v>29516</v>
      </c>
      <c r="L1411">
        <v>4876</v>
      </c>
    </row>
    <row r="1412" spans="1:12" x14ac:dyDescent="0.2">
      <c r="A1412"/>
      <c r="B1412"/>
      <c r="C1412"/>
      <c r="D1412"/>
      <c r="E1412" s="2">
        <f>Comuni__2[[#This Row],[Popolazione2011]]/$D$7911</f>
        <v>5.2321423880490069E-4</v>
      </c>
      <c r="F1412">
        <f>SUMIFS($D$2:$D$7909, $B$2:$B$7909, "Emilia-Romagna")</f>
        <v>4342135</v>
      </c>
      <c r="G1412" s="1">
        <f>Comuni__2[[#This Row],[Popolazione2011]]/Comuni__2[[#This Row],[POPOLAZIONE TOTALE DI OGNI REGIONE (CON FILTRO)]]</f>
        <v>7.1603024779284844E-3</v>
      </c>
      <c r="H1412" t="str">
        <f>IF(Comuni__2[[#This Row],[Popolazione2011]]&gt;300000,"MAGGIORE","")</f>
        <v/>
      </c>
      <c r="J1412">
        <v>2322</v>
      </c>
      <c r="K1412">
        <v>29735</v>
      </c>
      <c r="L1412">
        <v>4925</v>
      </c>
    </row>
    <row r="1413" spans="1:12" x14ac:dyDescent="0.2">
      <c r="A1413"/>
      <c r="B1413"/>
      <c r="C1413"/>
      <c r="D1413"/>
      <c r="E1413" s="2">
        <f>Comuni__2[[#This Row],[Popolazione2011]]/$D$7911</f>
        <v>4.9521164984438616E-4</v>
      </c>
      <c r="F1413">
        <f>SUMIFS($D$2:$D$7909, $B$2:$B$7909, "Emilia-Romagna")</f>
        <v>4342135</v>
      </c>
      <c r="G1413" s="1">
        <f>Comuni__2[[#This Row],[Popolazione2011]]/Comuni__2[[#This Row],[POPOLAZIONE TOTALE DI OGNI REGIONE (CON FILTRO)]]</f>
        <v>6.7770808599916859E-3</v>
      </c>
      <c r="H1413" t="str">
        <f>IF(Comuni__2[[#This Row],[Popolazione2011]]&gt;300000,"MAGGIORE","")</f>
        <v/>
      </c>
      <c r="J1413">
        <v>2389</v>
      </c>
      <c r="K1413">
        <v>29947</v>
      </c>
      <c r="L1413">
        <v>4965</v>
      </c>
    </row>
    <row r="1414" spans="1:12" x14ac:dyDescent="0.2">
      <c r="A1414"/>
      <c r="B1414"/>
      <c r="C1414"/>
      <c r="D1414"/>
      <c r="E1414" s="2">
        <f>Comuni__2[[#This Row],[Popolazione2011]]/$D$7911</f>
        <v>4.8627572752585666E-4</v>
      </c>
      <c r="F1414">
        <f>SUMIFS($D$2:$D$7909, $B$2:$B$7909, "Emilia-Romagna")</f>
        <v>4342135</v>
      </c>
      <c r="G1414" s="1">
        <f>Comuni__2[[#This Row],[Popolazione2011]]/Comuni__2[[#This Row],[POPOLAZIONE TOTALE DI OGNI REGIONE (CON FILTRO)]]</f>
        <v>6.6547907884024794E-3</v>
      </c>
      <c r="H1414" t="str">
        <f>IF(Comuni__2[[#This Row],[Popolazione2011]]&gt;300000,"MAGGIORE","")</f>
        <v/>
      </c>
      <c r="J1414">
        <v>2474</v>
      </c>
      <c r="K1414">
        <v>30129</v>
      </c>
      <c r="L1414">
        <v>5008</v>
      </c>
    </row>
    <row r="1415" spans="1:12" x14ac:dyDescent="0.2">
      <c r="A1415"/>
      <c r="B1415"/>
      <c r="C1415"/>
      <c r="D1415"/>
      <c r="E1415" s="2">
        <f>Comuni__2[[#This Row],[Popolazione2011]]/$D$7911</f>
        <v>4.5423430361911415E-4</v>
      </c>
      <c r="F1415">
        <f>SUMIFS($D$2:$D$7909, $B$2:$B$7909, "Emilia-Romagna")</f>
        <v>4342135</v>
      </c>
      <c r="G1415" s="1">
        <f>Comuni__2[[#This Row],[Popolazione2011]]/Comuni__2[[#This Row],[POPOLAZIONE TOTALE DI OGNI REGIONE (CON FILTRO)]]</f>
        <v>6.2162968217247963E-3</v>
      </c>
      <c r="H1415" t="str">
        <f>IF(Comuni__2[[#This Row],[Popolazione2011]]&gt;300000,"MAGGIORE","")</f>
        <v/>
      </c>
      <c r="J1415">
        <v>2531</v>
      </c>
      <c r="K1415">
        <v>30275</v>
      </c>
      <c r="L1415">
        <v>5044</v>
      </c>
    </row>
    <row r="1416" spans="1:12" x14ac:dyDescent="0.2">
      <c r="A1416"/>
      <c r="B1416"/>
      <c r="C1416"/>
      <c r="D1416"/>
      <c r="E1416" s="2">
        <f>Comuni__2[[#This Row],[Popolazione2011]]/$D$7911</f>
        <v>4.2947961109452478E-4</v>
      </c>
      <c r="F1416">
        <f>SUMIFS($D$2:$D$7909, $B$2:$B$7909, "Emilia-Romagna")</f>
        <v>4342135</v>
      </c>
      <c r="G1416" s="1">
        <f>Comuni__2[[#This Row],[Popolazione2011]]/Comuni__2[[#This Row],[POPOLAZIONE TOTALE DI OGNI REGIONE (CON FILTRO)]]</f>
        <v>5.8775233842337932E-3</v>
      </c>
      <c r="H1416" t="str">
        <f>IF(Comuni__2[[#This Row],[Popolazione2011]]&gt;300000,"MAGGIORE","")</f>
        <v/>
      </c>
      <c r="J1416">
        <v>2640</v>
      </c>
      <c r="K1416">
        <v>30570</v>
      </c>
      <c r="L1416">
        <v>5067</v>
      </c>
    </row>
    <row r="1417" spans="1:12" x14ac:dyDescent="0.2">
      <c r="A1417"/>
      <c r="B1417"/>
      <c r="C1417"/>
      <c r="D1417"/>
      <c r="E1417" s="2">
        <f>Comuni__2[[#This Row],[Popolazione2011]]/$D$7911</f>
        <v>4.2764530688977953E-4</v>
      </c>
      <c r="F1417">
        <f>SUMIFS($D$2:$D$7909, $B$2:$B$7909, "Emilia-Romagna")</f>
        <v>4342135</v>
      </c>
      <c r="G1417" s="1">
        <f>Comuni__2[[#This Row],[Popolazione2011]]/Comuni__2[[#This Row],[POPOLAZIONE TOTALE DI OGNI REGIONE (CON FILTRO)]]</f>
        <v>5.8524205258473081E-3</v>
      </c>
      <c r="H1417" t="str">
        <f>IF(Comuni__2[[#This Row],[Popolazione2011]]&gt;300000,"MAGGIORE","")</f>
        <v/>
      </c>
      <c r="J1417">
        <v>2698</v>
      </c>
      <c r="K1417">
        <v>30902</v>
      </c>
      <c r="L1417">
        <v>5115</v>
      </c>
    </row>
    <row r="1418" spans="1:12" x14ac:dyDescent="0.2">
      <c r="A1418"/>
      <c r="B1418"/>
      <c r="C1418"/>
      <c r="D1418"/>
      <c r="E1418" s="2">
        <f>Comuni__2[[#This Row],[Popolazione2011]]/$D$7911</f>
        <v>4.1776698975046347E-4</v>
      </c>
      <c r="F1418">
        <f>SUMIFS($D$2:$D$7909, $B$2:$B$7909, "Emilia-Romagna")</f>
        <v>4342135</v>
      </c>
      <c r="G1418" s="1">
        <f>Comuni__2[[#This Row],[Popolazione2011]]/Comuni__2[[#This Row],[POPOLAZIONE TOTALE DI OGNI REGIONE (CON FILTRO)]]</f>
        <v>5.7172335728852284E-3</v>
      </c>
      <c r="H1418" t="str">
        <f>IF(Comuni__2[[#This Row],[Popolazione2011]]&gt;300000,"MAGGIORE","")</f>
        <v/>
      </c>
      <c r="J1418">
        <v>2693</v>
      </c>
      <c r="K1418">
        <v>31167</v>
      </c>
      <c r="L1418">
        <v>5168</v>
      </c>
    </row>
    <row r="1419" spans="1:12" x14ac:dyDescent="0.2">
      <c r="A1419"/>
      <c r="B1419"/>
      <c r="C1419"/>
      <c r="D1419"/>
      <c r="E1419" s="2">
        <f>Comuni__2[[#This Row],[Popolazione2011]]/$D$7911</f>
        <v>4.172116499453571E-4</v>
      </c>
      <c r="F1419">
        <f>SUMIFS($D$2:$D$7909, $B$2:$B$7909, "Emilia-Romagna")</f>
        <v>4342135</v>
      </c>
      <c r="G1419" s="1">
        <f>Comuni__2[[#This Row],[Popolazione2011]]/Comuni__2[[#This Row],[POPOLAZIONE TOTALE DI OGNI REGIONE (CON FILTRO)]]</f>
        <v>5.7096336249333563E-3</v>
      </c>
      <c r="H1419" t="str">
        <f>IF(Comuni__2[[#This Row],[Popolazione2011]]&gt;300000,"MAGGIORE","")</f>
        <v/>
      </c>
      <c r="J1419">
        <v>2733</v>
      </c>
      <c r="K1419">
        <v>31587</v>
      </c>
      <c r="L1419">
        <v>5218</v>
      </c>
    </row>
    <row r="1420" spans="1:12" x14ac:dyDescent="0.2">
      <c r="A1420"/>
      <c r="B1420"/>
      <c r="C1420"/>
      <c r="D1420"/>
      <c r="E1420" s="2">
        <f>Comuni__2[[#This Row],[Popolazione2011]]/$D$7911</f>
        <v>4.0967249137906475E-4</v>
      </c>
      <c r="F1420">
        <f>SUMIFS($D$2:$D$7909, $B$2:$B$7909, "Emilia-Romagna")</f>
        <v>4342135</v>
      </c>
      <c r="G1420" s="1">
        <f>Comuni__2[[#This Row],[Popolazione2011]]/Comuni__2[[#This Row],[POPOLAZIONE TOTALE DI OGNI REGIONE (CON FILTRO)]]</f>
        <v>5.6064585739503724E-3</v>
      </c>
      <c r="H1420" t="str">
        <f>IF(Comuni__2[[#This Row],[Popolazione2011]]&gt;300000,"MAGGIORE","")</f>
        <v/>
      </c>
      <c r="J1420">
        <v>2778</v>
      </c>
      <c r="K1420">
        <v>32145</v>
      </c>
      <c r="L1420">
        <v>5265</v>
      </c>
    </row>
    <row r="1421" spans="1:12" x14ac:dyDescent="0.2">
      <c r="A1421"/>
      <c r="B1421"/>
      <c r="C1421"/>
      <c r="D1421"/>
      <c r="E1421" s="2">
        <f>Comuni__2[[#This Row],[Popolazione2011]]/$D$7911</f>
        <v>4.0321035546509988E-4</v>
      </c>
      <c r="F1421">
        <f>SUMIFS($D$2:$D$7909, $B$2:$B$7909, "Emilia-Romagna")</f>
        <v>4342135</v>
      </c>
      <c r="G1421" s="1">
        <f>Comuni__2[[#This Row],[Popolazione2011]]/Comuni__2[[#This Row],[POPOLAZIONE TOTALE DI OGNI REGIONE (CON FILTRO)]]</f>
        <v>5.5180228159649571E-3</v>
      </c>
      <c r="H1421" t="str">
        <f>IF(Comuni__2[[#This Row],[Popolazione2011]]&gt;300000,"MAGGIORE","")</f>
        <v/>
      </c>
      <c r="J1421">
        <v>2835</v>
      </c>
      <c r="K1421">
        <v>32672</v>
      </c>
      <c r="L1421">
        <v>5312</v>
      </c>
    </row>
    <row r="1422" spans="1:12" x14ac:dyDescent="0.2">
      <c r="A1422"/>
      <c r="B1422"/>
      <c r="C1422"/>
      <c r="D1422"/>
      <c r="E1422" s="2">
        <f>Comuni__2[[#This Row],[Popolazione2011]]/$D$7911</f>
        <v>3.8113139109238655E-4</v>
      </c>
      <c r="F1422">
        <f>SUMIFS($D$2:$D$7909, $B$2:$B$7909, "Emilia-Romagna")</f>
        <v>4342135</v>
      </c>
      <c r="G1422" s="1">
        <f>Comuni__2[[#This Row],[Popolazione2011]]/Comuni__2[[#This Row],[POPOLAZIONE TOTALE DI OGNI REGIONE (CON FILTRO)]]</f>
        <v>5.2158673095147896E-3</v>
      </c>
      <c r="H1422" t="str">
        <f>IF(Comuni__2[[#This Row],[Popolazione2011]]&gt;300000,"MAGGIORE","")</f>
        <v/>
      </c>
      <c r="J1422">
        <v>2915</v>
      </c>
      <c r="K1422">
        <v>33105</v>
      </c>
      <c r="L1422">
        <v>5350</v>
      </c>
    </row>
    <row r="1423" spans="1:12" x14ac:dyDescent="0.2">
      <c r="A1423"/>
      <c r="B1423"/>
      <c r="C1423"/>
      <c r="D1423"/>
      <c r="E1423" s="2">
        <f>Comuni__2[[#This Row],[Popolazione2011]]/$D$7911</f>
        <v>3.7246472443693885E-4</v>
      </c>
      <c r="F1423">
        <f>SUMIFS($D$2:$D$7909, $B$2:$B$7909, "Emilia-Romagna")</f>
        <v>4342135</v>
      </c>
      <c r="G1423" s="1">
        <f>Comuni__2[[#This Row],[Popolazione2011]]/Comuni__2[[#This Row],[POPOLAZIONE TOTALE DI OGNI REGIONE (CON FILTRO)]]</f>
        <v>5.0972620611749748E-3</v>
      </c>
      <c r="H1423" t="str">
        <f>IF(Comuni__2[[#This Row],[Popolazione2011]]&gt;300000,"MAGGIORE","")</f>
        <v/>
      </c>
      <c r="J1423">
        <v>2986</v>
      </c>
      <c r="K1423">
        <v>33309</v>
      </c>
      <c r="L1423">
        <v>5384</v>
      </c>
    </row>
    <row r="1424" spans="1:12" x14ac:dyDescent="0.2">
      <c r="A1424"/>
      <c r="B1424"/>
      <c r="C1424"/>
      <c r="D1424"/>
      <c r="E1424" s="2">
        <f>Comuni__2[[#This Row],[Popolazione2011]]/$D$7911</f>
        <v>3.5068867268519264E-4</v>
      </c>
      <c r="F1424">
        <f>SUMIFS($D$2:$D$7909, $B$2:$B$7909, "Emilia-Romagna")</f>
        <v>4342135</v>
      </c>
      <c r="G1424" s="1">
        <f>Comuni__2[[#This Row],[Popolazione2011]]/Comuni__2[[#This Row],[POPOLAZIONE TOTALE DI OGNI REGIONE (CON FILTRO)]]</f>
        <v>4.7992519808803735E-3</v>
      </c>
      <c r="H1424" t="str">
        <f>IF(Comuni__2[[#This Row],[Popolazione2011]]&gt;300000,"MAGGIORE","")</f>
        <v/>
      </c>
      <c r="J1424">
        <v>2966</v>
      </c>
      <c r="K1424">
        <v>33788</v>
      </c>
      <c r="L1424">
        <v>5439</v>
      </c>
    </row>
    <row r="1425" spans="1:12" x14ac:dyDescent="0.2">
      <c r="A1425"/>
      <c r="B1425"/>
      <c r="C1425"/>
      <c r="D1425"/>
      <c r="E1425" s="2">
        <f>Comuni__2[[#This Row],[Popolazione2011]]/$D$7911</f>
        <v>3.4444530699748182E-4</v>
      </c>
      <c r="F1425">
        <f>SUMIFS($D$2:$D$7909, $B$2:$B$7909, "Emilia-Romagna")</f>
        <v>4342135</v>
      </c>
      <c r="G1425" s="1">
        <f>Comuni__2[[#This Row],[Popolazione2011]]/Comuni__2[[#This Row],[POPOLAZIONE TOTALE DI OGNI REGIONE (CON FILTRO)]]</f>
        <v>4.7138101417850894E-3</v>
      </c>
      <c r="H1425" t="str">
        <f>IF(Comuni__2[[#This Row],[Popolazione2011]]&gt;300000,"MAGGIORE","")</f>
        <v/>
      </c>
      <c r="J1425">
        <v>3012</v>
      </c>
      <c r="K1425">
        <v>34681</v>
      </c>
      <c r="L1425">
        <v>5493</v>
      </c>
    </row>
    <row r="1426" spans="1:12" x14ac:dyDescent="0.2">
      <c r="A1426"/>
      <c r="B1426"/>
      <c r="C1426"/>
      <c r="D1426"/>
      <c r="E1426" s="2">
        <f>Comuni__2[[#This Row],[Popolazione2011]]/$D$7911</f>
        <v>3.2823948177574178E-4</v>
      </c>
      <c r="F1426">
        <f>SUMIFS($D$2:$D$7909, $B$2:$B$7909, "Emilia-Romagna")</f>
        <v>4342135</v>
      </c>
      <c r="G1426" s="1">
        <f>Comuni__2[[#This Row],[Popolazione2011]]/Comuni__2[[#This Row],[POPOLAZIONE TOTALE DI OGNI REGIONE (CON FILTRO)]]</f>
        <v>4.4920298424622907E-3</v>
      </c>
      <c r="H1426" t="str">
        <f>IF(Comuni__2[[#This Row],[Popolazione2011]]&gt;300000,"MAGGIORE","")</f>
        <v/>
      </c>
      <c r="J1426">
        <v>2937</v>
      </c>
      <c r="K1426">
        <v>37835</v>
      </c>
      <c r="L1426">
        <v>5548</v>
      </c>
    </row>
    <row r="1427" spans="1:12" x14ac:dyDescent="0.2">
      <c r="A1427"/>
      <c r="B1427"/>
      <c r="C1427"/>
      <c r="D1427"/>
      <c r="E1427" s="2">
        <f>Comuni__2[[#This Row],[Popolazione2011]]/$D$7911</f>
        <v>3.1359870509566512E-4</v>
      </c>
      <c r="F1427">
        <f>SUMIFS($D$2:$D$7909, $B$2:$B$7909, "Emilia-Romagna")</f>
        <v>4342135</v>
      </c>
      <c r="G1427" s="1">
        <f>Comuni__2[[#This Row],[Popolazione2011]]/Comuni__2[[#This Row],[POPOLAZIONE TOTALE DI OGNI REGIONE (CON FILTRO)]]</f>
        <v>4.2916675782765853E-3</v>
      </c>
      <c r="H1427" t="str">
        <f>IF(Comuni__2[[#This Row],[Popolazione2011]]&gt;300000,"MAGGIORE","")</f>
        <v/>
      </c>
      <c r="J1427">
        <v>2923</v>
      </c>
      <c r="K1427">
        <v>41116</v>
      </c>
      <c r="L1427">
        <v>5614</v>
      </c>
    </row>
    <row r="1428" spans="1:12" x14ac:dyDescent="0.2">
      <c r="A1428"/>
      <c r="B1428"/>
      <c r="C1428"/>
      <c r="D1428"/>
      <c r="E1428" s="2">
        <f>Comuni__2[[#This Row],[Popolazione2011]]/$D$7911</f>
        <v>3.1285825202218996E-4</v>
      </c>
      <c r="F1428">
        <f>SUMIFS($D$2:$D$7909, $B$2:$B$7909, "Emilia-Romagna")</f>
        <v>4342135</v>
      </c>
      <c r="G1428" s="1">
        <f>Comuni__2[[#This Row],[Popolazione2011]]/Comuni__2[[#This Row],[POPOLAZIONE TOTALE DI OGNI REGIONE (CON FILTRO)]]</f>
        <v>4.2815343143407566E-3</v>
      </c>
      <c r="H1428" t="str">
        <f>IF(Comuni__2[[#This Row],[Popolazione2011]]&gt;300000,"MAGGIORE","")</f>
        <v/>
      </c>
      <c r="J1428">
        <v>2918</v>
      </c>
      <c r="K1428">
        <v>43717</v>
      </c>
      <c r="L1428">
        <v>5684</v>
      </c>
    </row>
    <row r="1429" spans="1:12" x14ac:dyDescent="0.2">
      <c r="A1429"/>
      <c r="B1429"/>
      <c r="C1429"/>
      <c r="D1429"/>
      <c r="E1429" s="2">
        <f>Comuni__2[[#This Row],[Popolazione2011]]/$D$7911</f>
        <v>3.0616051740302844E-4</v>
      </c>
      <c r="F1429">
        <f>SUMIFS($D$2:$D$7909, $B$2:$B$7909, "Emilia-Romagna")</f>
        <v>4342135</v>
      </c>
      <c r="G1429" s="1">
        <f>Comuni__2[[#This Row],[Popolazione2011]]/Comuni__2[[#This Row],[POPOLAZIONE TOTALE DI OGNI REGIONE (CON FILTRO)]]</f>
        <v>4.1898743360121232E-3</v>
      </c>
      <c r="H1429" t="str">
        <f>IF(Comuni__2[[#This Row],[Popolazione2011]]&gt;300000,"MAGGIORE","")</f>
        <v/>
      </c>
      <c r="J1429">
        <v>2913</v>
      </c>
      <c r="K1429">
        <v>45089</v>
      </c>
      <c r="L1429">
        <v>5714</v>
      </c>
    </row>
    <row r="1430" spans="1:12" x14ac:dyDescent="0.2">
      <c r="A1430"/>
      <c r="B1430"/>
      <c r="C1430"/>
      <c r="D1430"/>
      <c r="E1430" s="2">
        <f>Comuni__2[[#This Row],[Popolazione2011]]/$D$7911</f>
        <v>3.0304724879864431E-4</v>
      </c>
      <c r="F1430">
        <f>SUMIFS($D$2:$D$7909, $B$2:$B$7909, "Emilia-Romagna")</f>
        <v>4342135</v>
      </c>
      <c r="G1430" s="1">
        <f>Comuni__2[[#This Row],[Popolazione2011]]/Comuni__2[[#This Row],[POPOLAZIONE TOTALE DI OGNI REGIONE (CON FILTRO)]]</f>
        <v>4.147268567191025E-3</v>
      </c>
      <c r="H1430" t="str">
        <f>IF(Comuni__2[[#This Row],[Popolazione2011]]&gt;300000,"MAGGIORE","")</f>
        <v/>
      </c>
      <c r="J1430">
        <v>3004</v>
      </c>
      <c r="K1430">
        <v>45586</v>
      </c>
      <c r="L1430">
        <v>5753</v>
      </c>
    </row>
    <row r="1431" spans="1:12" x14ac:dyDescent="0.2">
      <c r="A1431"/>
      <c r="B1431"/>
      <c r="C1431"/>
      <c r="D1431"/>
      <c r="E1431" s="2">
        <f>Comuni__2[[#This Row],[Popolazione2011]]/$D$7911</f>
        <v>2.9485177955358992E-4</v>
      </c>
      <c r="F1431">
        <f>SUMIFS($D$2:$D$7909, $B$2:$B$7909, "Emilia-Romagna")</f>
        <v>4342135</v>
      </c>
      <c r="G1431" s="1">
        <f>Comuni__2[[#This Row],[Popolazione2011]]/Comuni__2[[#This Row],[POPOLAZIONE TOTALE DI OGNI REGIONE (CON FILTRO)]]</f>
        <v>4.0351117595376464E-3</v>
      </c>
      <c r="H1431" t="str">
        <f>IF(Comuni__2[[#This Row],[Popolazione2011]]&gt;300000,"MAGGIORE","")</f>
        <v/>
      </c>
      <c r="J1431">
        <v>2976</v>
      </c>
      <c r="K1431">
        <v>46894</v>
      </c>
      <c r="L1431">
        <v>5805</v>
      </c>
    </row>
    <row r="1432" spans="1:12" x14ac:dyDescent="0.2">
      <c r="A1432"/>
      <c r="B1432"/>
      <c r="C1432"/>
      <c r="D1432"/>
      <c r="E1432" s="2">
        <f>Comuni__2[[#This Row],[Popolazione2011]]/$D$7911</f>
        <v>2.9461618084839327E-4</v>
      </c>
      <c r="F1432">
        <f>SUMIFS($D$2:$D$7909, $B$2:$B$7909, "Emilia-Romagna")</f>
        <v>4342135</v>
      </c>
      <c r="G1432" s="1">
        <f>Comuni__2[[#This Row],[Popolazione2011]]/Comuni__2[[#This Row],[POPOLAZIONE TOTALE DI OGNI REGIONE (CON FILTRO)]]</f>
        <v>4.0318875391944283E-3</v>
      </c>
      <c r="H1432" t="str">
        <f>IF(Comuni__2[[#This Row],[Popolazione2011]]&gt;300000,"MAGGIORE","")</f>
        <v/>
      </c>
      <c r="J1432">
        <v>2939</v>
      </c>
      <c r="K1432">
        <v>48931</v>
      </c>
      <c r="L1432">
        <v>5874</v>
      </c>
    </row>
    <row r="1433" spans="1:12" x14ac:dyDescent="0.2">
      <c r="A1433"/>
      <c r="B1433"/>
      <c r="C1433"/>
      <c r="D1433"/>
      <c r="E1433" s="2">
        <f>Comuni__2[[#This Row],[Popolazione2011]]/$D$7911</f>
        <v>2.8941618085512468E-4</v>
      </c>
      <c r="F1433">
        <f>SUMIFS($D$2:$D$7909, $B$2:$B$7909, "Emilia-Romagna")</f>
        <v>4342135</v>
      </c>
      <c r="G1433" s="1">
        <f>Comuni__2[[#This Row],[Popolazione2011]]/Comuni__2[[#This Row],[POPOLAZIONE TOTALE DI OGNI REGIONE (CON FILTRO)]]</f>
        <v>3.9607243901905401E-3</v>
      </c>
      <c r="H1433" t="str">
        <f>IF(Comuni__2[[#This Row],[Popolazione2011]]&gt;300000,"MAGGIORE","")</f>
        <v/>
      </c>
      <c r="J1433">
        <v>2913</v>
      </c>
      <c r="K1433">
        <v>51674</v>
      </c>
      <c r="L1433">
        <v>5959</v>
      </c>
    </row>
    <row r="1434" spans="1:12" x14ac:dyDescent="0.2">
      <c r="A1434"/>
      <c r="B1434"/>
      <c r="C1434"/>
      <c r="D1434"/>
      <c r="E1434" s="2">
        <f>Comuni__2[[#This Row],[Popolazione2011]]/$D$7911</f>
        <v>2.8637022616651101E-4</v>
      </c>
      <c r="F1434">
        <f>SUMIFS($D$2:$D$7909, $B$2:$B$7909, "Emilia-Romagna")</f>
        <v>4342135</v>
      </c>
      <c r="G1434" s="1">
        <f>Comuni__2[[#This Row],[Popolazione2011]]/Comuni__2[[#This Row],[POPOLAZIONE TOTALE DI OGNI REGIONE (CON FILTRO)]]</f>
        <v>3.9190398271817892E-3</v>
      </c>
      <c r="H1434" t="str">
        <f>IF(Comuni__2[[#This Row],[Popolazione2011]]&gt;300000,"MAGGIORE","")</f>
        <v/>
      </c>
      <c r="J1434">
        <v>2965</v>
      </c>
      <c r="K1434">
        <v>53931</v>
      </c>
      <c r="L1434">
        <v>6022</v>
      </c>
    </row>
    <row r="1435" spans="1:12" x14ac:dyDescent="0.2">
      <c r="A1435"/>
      <c r="B1435"/>
      <c r="C1435"/>
      <c r="D1435"/>
      <c r="E1435" s="2">
        <f>Comuni__2[[#This Row],[Popolazione2011]]/$D$7911</f>
        <v>2.851585756826426E-4</v>
      </c>
      <c r="F1435">
        <f>SUMIFS($D$2:$D$7909, $B$2:$B$7909, "Emilia-Romagna")</f>
        <v>4342135</v>
      </c>
      <c r="G1435" s="1">
        <f>Comuni__2[[#This Row],[Popolazione2011]]/Comuni__2[[#This Row],[POPOLAZIONE TOTALE DI OGNI REGIONE (CON FILTRO)]]</f>
        <v>3.9024581225595243E-3</v>
      </c>
      <c r="H1435" t="str">
        <f>IF(Comuni__2[[#This Row],[Popolazione2011]]&gt;300000,"MAGGIORE","")</f>
        <v/>
      </c>
      <c r="J1435">
        <v>2950</v>
      </c>
      <c r="K1435">
        <v>56270</v>
      </c>
      <c r="L1435">
        <v>6074</v>
      </c>
    </row>
    <row r="1436" spans="1:12" x14ac:dyDescent="0.2">
      <c r="A1436"/>
      <c r="B1436"/>
      <c r="C1436"/>
      <c r="D1436"/>
      <c r="E1436" s="2">
        <f>Comuni__2[[#This Row],[Popolazione2011]]/$D$7911</f>
        <v>2.842330093407987E-4</v>
      </c>
      <c r="F1436">
        <f>SUMIFS($D$2:$D$7909, $B$2:$B$7909, "Emilia-Romagna")</f>
        <v>4342135</v>
      </c>
      <c r="G1436" s="1">
        <f>Comuni__2[[#This Row],[Popolazione2011]]/Comuni__2[[#This Row],[POPOLAZIONE TOTALE DI OGNI REGIONE (CON FILTRO)]]</f>
        <v>3.8897915426397383E-3</v>
      </c>
      <c r="H1436" t="str">
        <f>IF(Comuni__2[[#This Row],[Popolazione2011]]&gt;300000,"MAGGIORE","")</f>
        <v/>
      </c>
      <c r="J1436">
        <v>2977</v>
      </c>
      <c r="K1436">
        <v>59432</v>
      </c>
      <c r="L1436">
        <v>6162</v>
      </c>
    </row>
    <row r="1437" spans="1:12" x14ac:dyDescent="0.2">
      <c r="A1437"/>
      <c r="B1437"/>
      <c r="C1437"/>
      <c r="D1437"/>
      <c r="E1437" s="2">
        <f>Comuni__2[[#This Row],[Popolazione2011]]/$D$7911</f>
        <v>2.8128802552584075E-4</v>
      </c>
      <c r="F1437">
        <f>SUMIFS($D$2:$D$7909, $B$2:$B$7909, "Emilia-Romagna")</f>
        <v>4342135</v>
      </c>
      <c r="G1437" s="1">
        <f>Comuni__2[[#This Row],[Popolazione2011]]/Comuni__2[[#This Row],[POPOLAZIONE TOTALE DI OGNI REGIONE (CON FILTRO)]]</f>
        <v>3.8494887883495101E-3</v>
      </c>
      <c r="H1437" t="str">
        <f>IF(Comuni__2[[#This Row],[Popolazione2011]]&gt;300000,"MAGGIORE","")</f>
        <v/>
      </c>
      <c r="J1437">
        <v>0</v>
      </c>
      <c r="K1437">
        <v>0</v>
      </c>
      <c r="L1437">
        <v>0</v>
      </c>
    </row>
    <row r="1438" spans="1:12" x14ac:dyDescent="0.2">
      <c r="A1438"/>
      <c r="B1438"/>
      <c r="C1438"/>
      <c r="D1438"/>
      <c r="E1438" s="2">
        <f>Comuni__2[[#This Row],[Popolazione2011]]/$D$7911</f>
        <v>2.7972297698417736E-4</v>
      </c>
      <c r="F1438">
        <f>SUMIFS($D$2:$D$7909, $B$2:$B$7909, "Emilia-Romagna")</f>
        <v>4342135</v>
      </c>
      <c r="G1438" s="1">
        <f>Comuni__2[[#This Row],[Popolazione2011]]/Comuni__2[[#This Row],[POPOLAZIONE TOTALE DI OGNI REGIONE (CON FILTRO)]]</f>
        <v>3.8280707532124176E-3</v>
      </c>
      <c r="H1438" t="str">
        <f>IF(Comuni__2[[#This Row],[Popolazione2011]]&gt;300000,"MAGGIORE","")</f>
        <v/>
      </c>
      <c r="J1438">
        <v>0</v>
      </c>
      <c r="K1438">
        <v>0</v>
      </c>
      <c r="L1438">
        <v>0</v>
      </c>
    </row>
    <row r="1439" spans="1:12" x14ac:dyDescent="0.2">
      <c r="A1439"/>
      <c r="B1439"/>
      <c r="C1439"/>
      <c r="D1439"/>
      <c r="E1439" s="2">
        <f>Comuni__2[[#This Row],[Popolazione2011]]/$D$7911</f>
        <v>2.7851132650030894E-4</v>
      </c>
      <c r="F1439">
        <f>SUMIFS($D$2:$D$7909, $B$2:$B$7909, "Emilia-Romagna")</f>
        <v>4342135</v>
      </c>
      <c r="G1439" s="1">
        <f>Comuni__2[[#This Row],[Popolazione2011]]/Comuni__2[[#This Row],[POPOLAZIONE TOTALE DI OGNI REGIONE (CON FILTRO)]]</f>
        <v>3.8114890485901522E-3</v>
      </c>
      <c r="H1439" t="str">
        <f>IF(Comuni__2[[#This Row],[Popolazione2011]]&gt;300000,"MAGGIORE","")</f>
        <v/>
      </c>
      <c r="J1439">
        <v>0</v>
      </c>
      <c r="K1439">
        <v>0</v>
      </c>
      <c r="L1439">
        <v>0</v>
      </c>
    </row>
    <row r="1440" spans="1:12" x14ac:dyDescent="0.2">
      <c r="A1440"/>
      <c r="B1440"/>
      <c r="C1440"/>
      <c r="D1440"/>
      <c r="E1440" s="2">
        <f>Comuni__2[[#This Row],[Popolazione2011]]/$D$7911</f>
        <v>2.7810744300568616E-4</v>
      </c>
      <c r="F1440">
        <f>SUMIFS($D$2:$D$7909, $B$2:$B$7909, "Emilia-Romagna")</f>
        <v>4342135</v>
      </c>
      <c r="G1440" s="1">
        <f>Comuni__2[[#This Row],[Popolazione2011]]/Comuni__2[[#This Row],[POPOLAZIONE TOTALE DI OGNI REGIONE (CON FILTRO)]]</f>
        <v>3.8059618137160638E-3</v>
      </c>
      <c r="H1440" t="str">
        <f>IF(Comuni__2[[#This Row],[Popolazione2011]]&gt;300000,"MAGGIORE","")</f>
        <v/>
      </c>
      <c r="J1440">
        <v>0</v>
      </c>
      <c r="K1440">
        <v>0</v>
      </c>
      <c r="L1440">
        <v>0</v>
      </c>
    </row>
    <row r="1441" spans="1:12" x14ac:dyDescent="0.2">
      <c r="A1441"/>
      <c r="B1441"/>
      <c r="C1441"/>
      <c r="D1441"/>
      <c r="E1441" s="2">
        <f>Comuni__2[[#This Row],[Popolazione2011]]/$D$7911</f>
        <v>2.6442588962533866E-4</v>
      </c>
      <c r="F1441">
        <f>SUMIFS($D$2:$D$7909, $B$2:$B$7909, "Emilia-Romagna")</f>
        <v>4342135</v>
      </c>
      <c r="G1441" s="1">
        <f>Comuni__2[[#This Row],[Popolazione2011]]/Comuni__2[[#This Row],[POPOLAZIONE TOTALE DI OGNI REGIONE (CON FILTRO)]]</f>
        <v>3.618726732356318E-3</v>
      </c>
      <c r="H1441" t="str">
        <f>IF(Comuni__2[[#This Row],[Popolazione2011]]&gt;300000,"MAGGIORE","")</f>
        <v/>
      </c>
      <c r="J1441">
        <v>0</v>
      </c>
      <c r="K1441">
        <v>0</v>
      </c>
      <c r="L1441">
        <v>0</v>
      </c>
    </row>
    <row r="1442" spans="1:12" x14ac:dyDescent="0.2">
      <c r="A1442"/>
      <c r="B1442"/>
      <c r="C1442"/>
      <c r="D1442"/>
      <c r="E1442" s="2">
        <f>Comuni__2[[#This Row],[Popolazione2011]]/$D$7911</f>
        <v>2.6338252393089638E-4</v>
      </c>
      <c r="F1442">
        <f>SUMIFS($D$2:$D$7909, $B$2:$B$7909, "Emilia-Romagna")</f>
        <v>4342135</v>
      </c>
      <c r="G1442" s="1">
        <f>Comuni__2[[#This Row],[Popolazione2011]]/Comuni__2[[#This Row],[POPOLAZIONE TOTALE DI OGNI REGIONE (CON FILTRO)]]</f>
        <v>3.6044480422649226E-3</v>
      </c>
      <c r="H1442" t="str">
        <f>IF(Comuni__2[[#This Row],[Popolazione2011]]&gt;300000,"MAGGIORE","")</f>
        <v/>
      </c>
      <c r="J1442">
        <v>0</v>
      </c>
      <c r="K1442">
        <v>0</v>
      </c>
      <c r="L1442">
        <v>0</v>
      </c>
    </row>
    <row r="1443" spans="1:12" x14ac:dyDescent="0.2">
      <c r="A1443"/>
      <c r="B1443"/>
      <c r="C1443"/>
      <c r="D1443"/>
      <c r="E1443" s="2">
        <f>Comuni__2[[#This Row],[Popolazione2011]]/$D$7911</f>
        <v>2.5543948186998125E-4</v>
      </c>
      <c r="F1443">
        <f>SUMIFS($D$2:$D$7909, $B$2:$B$7909, "Emilia-Romagna")</f>
        <v>4342135</v>
      </c>
      <c r="G1443" s="1">
        <f>Comuni__2[[#This Row],[Popolazione2011]]/Comuni__2[[#This Row],[POPOLAZIONE TOTALE DI OGNI REGIONE (CON FILTRO)]]</f>
        <v>3.4957457564078502E-3</v>
      </c>
      <c r="H1443" t="str">
        <f>IF(Comuni__2[[#This Row],[Popolazione2011]]&gt;300000,"MAGGIORE","")</f>
        <v/>
      </c>
      <c r="J1443">
        <v>0</v>
      </c>
      <c r="K1443">
        <v>0</v>
      </c>
      <c r="L1443">
        <v>0</v>
      </c>
    </row>
    <row r="1444" spans="1:12" x14ac:dyDescent="0.2">
      <c r="A1444"/>
      <c r="B1444"/>
      <c r="C1444"/>
      <c r="D1444"/>
      <c r="E1444" s="2">
        <f>Comuni__2[[#This Row],[Popolazione2011]]/$D$7911</f>
        <v>2.5437928769659642E-4</v>
      </c>
      <c r="F1444">
        <f>SUMIFS($D$2:$D$7909, $B$2:$B$7909, "Emilia-Romagna")</f>
        <v>4342135</v>
      </c>
      <c r="G1444" s="1">
        <f>Comuni__2[[#This Row],[Popolazione2011]]/Comuni__2[[#This Row],[POPOLAZIONE TOTALE DI OGNI REGIONE (CON FILTRO)]]</f>
        <v>3.4812367648633679E-3</v>
      </c>
      <c r="H1444" t="str">
        <f>IF(Comuni__2[[#This Row],[Popolazione2011]]&gt;300000,"MAGGIORE","")</f>
        <v/>
      </c>
      <c r="J1444">
        <v>0</v>
      </c>
      <c r="K1444">
        <v>0</v>
      </c>
      <c r="L1444">
        <v>0</v>
      </c>
    </row>
    <row r="1445" spans="1:12" x14ac:dyDescent="0.2">
      <c r="A1445"/>
      <c r="B1445"/>
      <c r="C1445"/>
      <c r="D1445"/>
      <c r="E1445" s="2">
        <f>Comuni__2[[#This Row],[Popolazione2011]]/$D$7911</f>
        <v>2.5345372135475246E-4</v>
      </c>
      <c r="F1445">
        <f>SUMIFS($D$2:$D$7909, $B$2:$B$7909, "Emilia-Romagna")</f>
        <v>4342135</v>
      </c>
      <c r="G1445" s="1">
        <f>Comuni__2[[#This Row],[Popolazione2011]]/Comuni__2[[#This Row],[POPOLAZIONE TOTALE DI OGNI REGIONE (CON FILTRO)]]</f>
        <v>3.468570184943582E-3</v>
      </c>
      <c r="H1445" t="str">
        <f>IF(Comuni__2[[#This Row],[Popolazione2011]]&gt;300000,"MAGGIORE","")</f>
        <v/>
      </c>
      <c r="J1445">
        <v>1</v>
      </c>
      <c r="K1445">
        <v>0</v>
      </c>
      <c r="L1445">
        <v>0</v>
      </c>
    </row>
    <row r="1446" spans="1:12" x14ac:dyDescent="0.2">
      <c r="A1446"/>
      <c r="B1446"/>
      <c r="C1446"/>
      <c r="D1446"/>
      <c r="E1446" s="2">
        <f>Comuni__2[[#This Row],[Popolazione2011]]/$D$7911</f>
        <v>2.5050873753979452E-4</v>
      </c>
      <c r="F1446">
        <f>SUMIFS($D$2:$D$7909, $B$2:$B$7909, "Emilia-Romagna")</f>
        <v>4342135</v>
      </c>
      <c r="G1446" s="1">
        <f>Comuni__2[[#This Row],[Popolazione2011]]/Comuni__2[[#This Row],[POPOLAZIONE TOTALE DI OGNI REGIONE (CON FILTRO)]]</f>
        <v>3.4282674306533537E-3</v>
      </c>
      <c r="H1446" t="str">
        <f>IF(Comuni__2[[#This Row],[Popolazione2011]]&gt;300000,"MAGGIORE","")</f>
        <v/>
      </c>
      <c r="J1446">
        <v>3</v>
      </c>
      <c r="K1446">
        <v>0</v>
      </c>
      <c r="L1446">
        <v>0</v>
      </c>
    </row>
    <row r="1447" spans="1:12" x14ac:dyDescent="0.2">
      <c r="A1447"/>
      <c r="B1447"/>
      <c r="C1447"/>
      <c r="D1447"/>
      <c r="E1447" s="2">
        <f>Comuni__2[[#This Row],[Popolazione2011]]/$D$7911</f>
        <v>2.4970097055054889E-4</v>
      </c>
      <c r="F1447">
        <f>SUMIFS($D$2:$D$7909, $B$2:$B$7909, "Emilia-Romagna")</f>
        <v>4342135</v>
      </c>
      <c r="G1447" s="1">
        <f>Comuni__2[[#This Row],[Popolazione2011]]/Comuni__2[[#This Row],[POPOLAZIONE TOTALE DI OGNI REGIONE (CON FILTRO)]]</f>
        <v>3.4172129609051768E-3</v>
      </c>
      <c r="H1447" t="str">
        <f>IF(Comuni__2[[#This Row],[Popolazione2011]]&gt;300000,"MAGGIORE","")</f>
        <v/>
      </c>
      <c r="J1447">
        <v>4</v>
      </c>
      <c r="K1447">
        <v>0</v>
      </c>
      <c r="L1447">
        <v>0</v>
      </c>
    </row>
    <row r="1448" spans="1:12" x14ac:dyDescent="0.2">
      <c r="A1448"/>
      <c r="B1448"/>
      <c r="C1448"/>
      <c r="D1448"/>
      <c r="E1448" s="2">
        <f>Comuni__2[[#This Row],[Popolazione2011]]/$D$7911</f>
        <v>2.4882588964553285E-4</v>
      </c>
      <c r="F1448">
        <f>SUMIFS($D$2:$D$7909, $B$2:$B$7909, "Emilia-Romagna")</f>
        <v>4342135</v>
      </c>
      <c r="G1448" s="1">
        <f>Comuni__2[[#This Row],[Popolazione2011]]/Comuni__2[[#This Row],[POPOLAZIONE TOTALE DI OGNI REGIONE (CON FILTRO)]]</f>
        <v>3.4052372853446517E-3</v>
      </c>
      <c r="H1448" t="str">
        <f>IF(Comuni__2[[#This Row],[Popolazione2011]]&gt;300000,"MAGGIORE","")</f>
        <v/>
      </c>
      <c r="J1448">
        <v>4</v>
      </c>
      <c r="K1448">
        <v>3</v>
      </c>
      <c r="L1448">
        <v>0</v>
      </c>
    </row>
    <row r="1449" spans="1:12" x14ac:dyDescent="0.2">
      <c r="A1449"/>
      <c r="B1449"/>
      <c r="C1449"/>
      <c r="D1449"/>
      <c r="E1449" s="2">
        <f>Comuni__2[[#This Row],[Popolazione2011]]/$D$7911</f>
        <v>2.4477022622036216E-4</v>
      </c>
      <c r="F1449">
        <f>SUMIFS($D$2:$D$7909, $B$2:$B$7909, "Emilia-Romagna")</f>
        <v>4342135</v>
      </c>
      <c r="G1449" s="1">
        <f>Comuni__2[[#This Row],[Popolazione2011]]/Comuni__2[[#This Row],[POPOLAZIONE TOTALE DI OGNI REGIONE (CON FILTRO)]]</f>
        <v>3.3497346351506804E-3</v>
      </c>
      <c r="H1449" t="str">
        <f>IF(Comuni__2[[#This Row],[Popolazione2011]]&gt;300000,"MAGGIORE","")</f>
        <v/>
      </c>
      <c r="J1449">
        <v>8</v>
      </c>
      <c r="K1449">
        <v>3</v>
      </c>
      <c r="L1449">
        <v>0</v>
      </c>
    </row>
    <row r="1450" spans="1:12" x14ac:dyDescent="0.2">
      <c r="A1450"/>
      <c r="B1450"/>
      <c r="C1450"/>
      <c r="D1450"/>
      <c r="E1450" s="2">
        <f>Comuni__2[[#This Row],[Popolazione2011]]/$D$7911</f>
        <v>2.4268349483147768E-4</v>
      </c>
      <c r="F1450">
        <f>SUMIFS($D$2:$D$7909, $B$2:$B$7909, "Emilia-Romagna")</f>
        <v>4342135</v>
      </c>
      <c r="G1450" s="1">
        <f>Comuni__2[[#This Row],[Popolazione2011]]/Comuni__2[[#This Row],[POPOLAZIONE TOTALE DI OGNI REGIONE (CON FILTRO)]]</f>
        <v>3.3211772549678904E-3</v>
      </c>
      <c r="H1450" t="str">
        <f>IF(Comuni__2[[#This Row],[Popolazione2011]]&gt;300000,"MAGGIORE","")</f>
        <v/>
      </c>
      <c r="J1450">
        <v>8</v>
      </c>
      <c r="K1450">
        <v>3</v>
      </c>
      <c r="L1450">
        <v>1</v>
      </c>
    </row>
    <row r="1451" spans="1:12" x14ac:dyDescent="0.2">
      <c r="A1451"/>
      <c r="B1451"/>
      <c r="C1451"/>
      <c r="D1451"/>
      <c r="E1451" s="2">
        <f>Comuni__2[[#This Row],[Popolazione2011]]/$D$7911</f>
        <v>2.4152232978443713E-4</v>
      </c>
      <c r="F1451">
        <f>SUMIFS($D$2:$D$7909, $B$2:$B$7909, "Emilia-Romagna")</f>
        <v>4342135</v>
      </c>
      <c r="G1451" s="1">
        <f>Comuni__2[[#This Row],[Popolazione2011]]/Comuni__2[[#This Row],[POPOLAZIONE TOTALE DI OGNI REGIONE (CON FILTRO)]]</f>
        <v>3.3052864547048859E-3</v>
      </c>
      <c r="H1451" t="str">
        <f>IF(Comuni__2[[#This Row],[Popolazione2011]]&gt;300000,"MAGGIORE","")</f>
        <v/>
      </c>
      <c r="J1451">
        <v>19</v>
      </c>
      <c r="K1451">
        <v>3</v>
      </c>
      <c r="L1451">
        <v>1</v>
      </c>
    </row>
    <row r="1452" spans="1:12" x14ac:dyDescent="0.2">
      <c r="A1452"/>
      <c r="B1452"/>
      <c r="C1452"/>
      <c r="D1452"/>
      <c r="E1452" s="2">
        <f>Comuni__2[[#This Row],[Popolazione2011]]/$D$7911</f>
        <v>2.3755080875397953E-4</v>
      </c>
      <c r="F1452">
        <f>SUMIFS($D$2:$D$7909, $B$2:$B$7909, "Emilia-Romagna")</f>
        <v>4342135</v>
      </c>
      <c r="G1452" s="1">
        <f>Comuni__2[[#This Row],[Popolazione2011]]/Comuni__2[[#This Row],[POPOLAZIONE TOTALE DI OGNI REGIONE (CON FILTRO)]]</f>
        <v>3.2509353117763495E-3</v>
      </c>
      <c r="H1452" t="str">
        <f>IF(Comuni__2[[#This Row],[Popolazione2011]]&gt;300000,"MAGGIORE","")</f>
        <v/>
      </c>
      <c r="J1452">
        <v>33</v>
      </c>
      <c r="K1452">
        <v>3</v>
      </c>
      <c r="L1452">
        <v>3</v>
      </c>
    </row>
    <row r="1453" spans="1:12" x14ac:dyDescent="0.2">
      <c r="A1453"/>
      <c r="B1453"/>
      <c r="C1453"/>
      <c r="D1453"/>
      <c r="E1453" s="2">
        <f>Comuni__2[[#This Row],[Popolazione2011]]/$D$7911</f>
        <v>2.3379805794977599E-4</v>
      </c>
      <c r="F1453">
        <f>SUMIFS($D$2:$D$7909, $B$2:$B$7909, "Emilia-Romagna")</f>
        <v>4342135</v>
      </c>
      <c r="G1453" s="1">
        <f>Comuni__2[[#This Row],[Popolazione2011]]/Comuni__2[[#This Row],[POPOLAZIONE TOTALE DI OGNI REGIONE (CON FILTRO)]]</f>
        <v>3.1995780877379447E-3</v>
      </c>
      <c r="H1453" t="str">
        <f>IF(Comuni__2[[#This Row],[Popolazione2011]]&gt;300000,"MAGGIORE","")</f>
        <v/>
      </c>
      <c r="J1453">
        <v>21</v>
      </c>
      <c r="K1453">
        <v>10</v>
      </c>
      <c r="L1453">
        <v>6</v>
      </c>
    </row>
    <row r="1454" spans="1:12" x14ac:dyDescent="0.2">
      <c r="A1454"/>
      <c r="B1454"/>
      <c r="C1454"/>
      <c r="D1454"/>
      <c r="E1454" s="2">
        <f>Comuni__2[[#This Row],[Popolazione2011]]/$D$7911</f>
        <v>2.2935533950892514E-4</v>
      </c>
      <c r="F1454">
        <f>SUMIFS($D$2:$D$7909, $B$2:$B$7909, "Emilia-Romagna")</f>
        <v>4342135</v>
      </c>
      <c r="G1454" s="1">
        <f>Comuni__2[[#This Row],[Popolazione2011]]/Comuni__2[[#This Row],[POPOLAZIONE TOTALE DI OGNI REGIONE (CON FILTRO)]]</f>
        <v>3.1387785041229717E-3</v>
      </c>
      <c r="H1454" t="str">
        <f>IF(Comuni__2[[#This Row],[Popolazione2011]]&gt;300000,"MAGGIORE","")</f>
        <v/>
      </c>
      <c r="J1454">
        <v>33</v>
      </c>
      <c r="K1454">
        <v>11</v>
      </c>
      <c r="L1454">
        <v>8</v>
      </c>
    </row>
    <row r="1455" spans="1:12" x14ac:dyDescent="0.2">
      <c r="A1455"/>
      <c r="B1455"/>
      <c r="C1455"/>
      <c r="D1455"/>
      <c r="E1455" s="2">
        <f>Comuni__2[[#This Row],[Popolazione2011]]/$D$7911</f>
        <v>2.2763883465677821E-4</v>
      </c>
      <c r="F1455">
        <f>SUMIFS($D$2:$D$7909, $B$2:$B$7909, "Emilia-Romagna")</f>
        <v>4342135</v>
      </c>
      <c r="G1455" s="1">
        <f>Comuni__2[[#This Row],[Popolazione2011]]/Comuni__2[[#This Row],[POPOLAZIONE TOTALE DI OGNI REGIONE (CON FILTRO)]]</f>
        <v>3.1152877559080961E-3</v>
      </c>
      <c r="H1455" t="str">
        <f>IF(Comuni__2[[#This Row],[Popolazione2011]]&gt;300000,"MAGGIORE","")</f>
        <v/>
      </c>
      <c r="J1455">
        <v>67</v>
      </c>
      <c r="K1455">
        <v>11</v>
      </c>
      <c r="L1455">
        <v>10</v>
      </c>
    </row>
    <row r="1456" spans="1:12" x14ac:dyDescent="0.2">
      <c r="A1456"/>
      <c r="B1456"/>
      <c r="C1456"/>
      <c r="D1456"/>
      <c r="E1456" s="2">
        <f>Comuni__2[[#This Row],[Popolazione2011]]/$D$7911</f>
        <v>2.264271841729098E-4</v>
      </c>
      <c r="F1456">
        <f>SUMIFS($D$2:$D$7909, $B$2:$B$7909, "Emilia-Romagna")</f>
        <v>4342135</v>
      </c>
      <c r="G1456" s="1">
        <f>Comuni__2[[#This Row],[Popolazione2011]]/Comuni__2[[#This Row],[POPOLAZIONE TOTALE DI OGNI REGIONE (CON FILTRO)]]</f>
        <v>3.0987060512858307E-3</v>
      </c>
      <c r="H1456" t="str">
        <f>IF(Comuni__2[[#This Row],[Popolazione2011]]&gt;300000,"MAGGIORE","")</f>
        <v/>
      </c>
      <c r="J1456">
        <v>78</v>
      </c>
      <c r="K1456">
        <v>17</v>
      </c>
      <c r="L1456">
        <v>13</v>
      </c>
    </row>
    <row r="1457" spans="1:12" x14ac:dyDescent="0.2">
      <c r="A1457"/>
      <c r="B1457"/>
      <c r="C1457"/>
      <c r="D1457"/>
      <c r="E1457" s="2">
        <f>Comuni__2[[#This Row],[Popolazione2011]]/$D$7911</f>
        <v>2.2126084113752642E-4</v>
      </c>
      <c r="F1457">
        <f>SUMIFS($D$2:$D$7909, $B$2:$B$7909, "Emilia-Romagna")</f>
        <v>4342135</v>
      </c>
      <c r="G1457" s="1">
        <f>Comuni__2[[#This Row],[Popolazione2011]]/Comuni__2[[#This Row],[POPOLAZIONE TOTALE DI OGNI REGIONE (CON FILTRO)]]</f>
        <v>3.0280035051881162E-3</v>
      </c>
      <c r="H1457" t="str">
        <f>IF(Comuni__2[[#This Row],[Popolazione2011]]&gt;300000,"MAGGIORE","")</f>
        <v/>
      </c>
      <c r="J1457">
        <v>110</v>
      </c>
      <c r="K1457">
        <v>17</v>
      </c>
      <c r="L1457">
        <v>14</v>
      </c>
    </row>
    <row r="1458" spans="1:12" x14ac:dyDescent="0.2">
      <c r="A1458"/>
      <c r="B1458"/>
      <c r="C1458"/>
      <c r="D1458"/>
      <c r="E1458" s="2">
        <f>Comuni__2[[#This Row],[Popolazione2011]]/$D$7911</f>
        <v>2.1850097059093726E-4</v>
      </c>
      <c r="F1458">
        <f>SUMIFS($D$2:$D$7909, $B$2:$B$7909, "Emilia-Romagna")</f>
        <v>4342135</v>
      </c>
      <c r="G1458" s="1">
        <f>Comuni__2[[#This Row],[Popolazione2011]]/Comuni__2[[#This Row],[POPOLAZIONE TOTALE DI OGNI REGIONE (CON FILTRO)]]</f>
        <v>2.9902340668818451E-3</v>
      </c>
      <c r="H1458" t="str">
        <f>IF(Comuni__2[[#This Row],[Popolazione2011]]&gt;300000,"MAGGIORE","")</f>
        <v/>
      </c>
      <c r="J1458">
        <v>115</v>
      </c>
      <c r="K1458">
        <v>18</v>
      </c>
      <c r="L1458">
        <v>22</v>
      </c>
    </row>
    <row r="1459" spans="1:12" x14ac:dyDescent="0.2">
      <c r="A1459"/>
      <c r="B1459"/>
      <c r="C1459"/>
      <c r="D1459"/>
      <c r="E1459" s="2">
        <f>Comuni__2[[#This Row],[Popolazione2011]]/$D$7911</f>
        <v>2.1846731363305203E-4</v>
      </c>
      <c r="F1459">
        <f>SUMIFS($D$2:$D$7909, $B$2:$B$7909, "Emilia-Romagna")</f>
        <v>4342135</v>
      </c>
      <c r="G1459" s="1">
        <f>Comuni__2[[#This Row],[Popolazione2011]]/Comuni__2[[#This Row],[POPOLAZIONE TOTALE DI OGNI REGIONE (CON FILTRO)]]</f>
        <v>2.9897734639756711E-3</v>
      </c>
      <c r="H1459" t="str">
        <f>IF(Comuni__2[[#This Row],[Popolazione2011]]&gt;300000,"MAGGIORE","")</f>
        <v/>
      </c>
      <c r="J1459">
        <v>125</v>
      </c>
      <c r="K1459">
        <v>17</v>
      </c>
      <c r="L1459">
        <v>30</v>
      </c>
    </row>
    <row r="1460" spans="1:12" x14ac:dyDescent="0.2">
      <c r="A1460"/>
      <c r="B1460"/>
      <c r="C1460"/>
      <c r="D1460"/>
      <c r="E1460" s="2">
        <f>Comuni__2[[#This Row],[Popolazione2011]]/$D$7911</f>
        <v>2.1723883467024099E-4</v>
      </c>
      <c r="F1460">
        <f>SUMIFS($D$2:$D$7909, $B$2:$B$7909, "Emilia-Romagna")</f>
        <v>4342135</v>
      </c>
      <c r="G1460" s="1">
        <f>Comuni__2[[#This Row],[Popolazione2011]]/Comuni__2[[#This Row],[POPOLAZIONE TOTALE DI OGNI REGIONE (CON FILTRO)]]</f>
        <v>2.9729614579003185E-3</v>
      </c>
      <c r="H1460" t="str">
        <f>IF(Comuni__2[[#This Row],[Popolazione2011]]&gt;300000,"MAGGIORE","")</f>
        <v/>
      </c>
      <c r="J1460">
        <v>155</v>
      </c>
      <c r="K1460">
        <v>15</v>
      </c>
      <c r="L1460">
        <v>31</v>
      </c>
    </row>
    <row r="1461" spans="1:12" x14ac:dyDescent="0.2">
      <c r="A1461"/>
      <c r="B1461"/>
      <c r="C1461"/>
      <c r="D1461"/>
      <c r="E1461" s="2">
        <f>Comuni__2[[#This Row],[Popolazione2011]]/$D$7911</f>
        <v>2.1658252399147894E-4</v>
      </c>
      <c r="F1461">
        <f>SUMIFS($D$2:$D$7909, $B$2:$B$7909, "Emilia-Romagna")</f>
        <v>4342135</v>
      </c>
      <c r="G1461" s="1">
        <f>Comuni__2[[#This Row],[Popolazione2011]]/Comuni__2[[#This Row],[POPOLAZIONE TOTALE DI OGNI REGIONE (CON FILTRO)]]</f>
        <v>2.9639797012299251E-3</v>
      </c>
      <c r="H1461" t="str">
        <f>IF(Comuni__2[[#This Row],[Popolazione2011]]&gt;300000,"MAGGIORE","")</f>
        <v/>
      </c>
      <c r="J1461">
        <v>163</v>
      </c>
      <c r="K1461">
        <v>41</v>
      </c>
      <c r="L1461">
        <v>36</v>
      </c>
    </row>
    <row r="1462" spans="1:12" x14ac:dyDescent="0.2">
      <c r="A1462"/>
      <c r="B1462"/>
      <c r="C1462"/>
      <c r="D1462"/>
      <c r="E1462" s="2">
        <f>Comuni__2[[#This Row],[Popolazione2011]]/$D$7911</f>
        <v>2.1380582496594716E-4</v>
      </c>
      <c r="F1462">
        <f>SUMIFS($D$2:$D$7909, $B$2:$B$7909, "Emilia-Romagna")</f>
        <v>4342135</v>
      </c>
      <c r="G1462" s="1">
        <f>Comuni__2[[#This Row],[Popolazione2011]]/Comuni__2[[#This Row],[POPOLAZIONE TOTALE DI OGNI REGIONE (CON FILTRO)]]</f>
        <v>2.9259799614705668E-3</v>
      </c>
      <c r="H1462" t="str">
        <f>IF(Comuni__2[[#This Row],[Popolazione2011]]&gt;300000,"MAGGIORE","")</f>
        <v/>
      </c>
      <c r="J1462">
        <v>175</v>
      </c>
      <c r="K1462">
        <v>63</v>
      </c>
      <c r="L1462">
        <v>38</v>
      </c>
    </row>
    <row r="1463" spans="1:12" x14ac:dyDescent="0.2">
      <c r="A1463"/>
      <c r="B1463"/>
      <c r="C1463"/>
      <c r="D1463"/>
      <c r="E1463" s="2">
        <f>Comuni__2[[#This Row],[Popolazione2011]]/$D$7911</f>
        <v>2.0848802562008022E-4</v>
      </c>
      <c r="F1463">
        <f>SUMIFS($D$2:$D$7909, $B$2:$B$7909, "Emilia-Romagna")</f>
        <v>4342135</v>
      </c>
      <c r="G1463" s="1">
        <f>Comuni__2[[#This Row],[Popolazione2011]]/Comuni__2[[#This Row],[POPOLAZIONE TOTALE DI OGNI REGIONE (CON FILTRO)]]</f>
        <v>2.8532047022950691E-3</v>
      </c>
      <c r="H1463" t="str">
        <f>IF(Comuni__2[[#This Row],[Popolazione2011]]&gt;300000,"MAGGIORE","")</f>
        <v/>
      </c>
      <c r="J1463">
        <v>189</v>
      </c>
      <c r="K1463">
        <v>82</v>
      </c>
      <c r="L1463">
        <v>42</v>
      </c>
    </row>
    <row r="1464" spans="1:12" x14ac:dyDescent="0.2">
      <c r="A1464"/>
      <c r="B1464"/>
      <c r="C1464"/>
      <c r="D1464"/>
      <c r="E1464" s="2">
        <f>Comuni__2[[#This Row],[Popolazione2011]]/$D$7911</f>
        <v>2.0618252400494172E-4</v>
      </c>
      <c r="F1464">
        <f>SUMIFS($D$2:$D$7909, $B$2:$B$7909, "Emilia-Romagna")</f>
        <v>4342135</v>
      </c>
      <c r="G1464" s="1">
        <f>Comuni__2[[#This Row],[Popolazione2011]]/Comuni__2[[#This Row],[POPOLAZIONE TOTALE DI OGNI REGIONE (CON FILTRO)]]</f>
        <v>2.8216534032221474E-3</v>
      </c>
      <c r="H1464" t="str">
        <f>IF(Comuni__2[[#This Row],[Popolazione2011]]&gt;300000,"MAGGIORE","")</f>
        <v/>
      </c>
      <c r="J1464">
        <v>210</v>
      </c>
      <c r="K1464">
        <v>89</v>
      </c>
      <c r="L1464">
        <v>47</v>
      </c>
    </row>
    <row r="1465" spans="1:12" x14ac:dyDescent="0.2">
      <c r="A1465"/>
      <c r="B1465"/>
      <c r="C1465"/>
      <c r="D1465"/>
      <c r="E1465" s="2">
        <f>Comuni__2[[#This Row],[Popolazione2011]]/$D$7911</f>
        <v>2.0606472465234339E-4</v>
      </c>
      <c r="F1465">
        <f>SUMIFS($D$2:$D$7909, $B$2:$B$7909, "Emilia-Romagna")</f>
        <v>4342135</v>
      </c>
      <c r="G1465" s="1">
        <f>Comuni__2[[#This Row],[Popolazione2011]]/Comuni__2[[#This Row],[POPOLAZIONE TOTALE DI OGNI REGIONE (CON FILTRO)]]</f>
        <v>2.8200412930505384E-3</v>
      </c>
      <c r="H1465" t="str">
        <f>IF(Comuni__2[[#This Row],[Popolazione2011]]&gt;300000,"MAGGIORE","")</f>
        <v/>
      </c>
      <c r="J1465">
        <v>226</v>
      </c>
      <c r="K1465">
        <v>105</v>
      </c>
      <c r="L1465">
        <v>54</v>
      </c>
    </row>
    <row r="1466" spans="1:12" x14ac:dyDescent="0.2">
      <c r="A1466"/>
      <c r="B1466"/>
      <c r="C1466"/>
      <c r="D1466"/>
      <c r="E1466" s="2">
        <f>Comuni__2[[#This Row],[Popolazione2011]]/$D$7911</f>
        <v>2.050550159157864E-4</v>
      </c>
      <c r="F1466">
        <f>SUMIFS($D$2:$D$7909, $B$2:$B$7909, "Emilia-Romagna")</f>
        <v>4342135</v>
      </c>
      <c r="G1466" s="1">
        <f>Comuni__2[[#This Row],[Popolazione2011]]/Comuni__2[[#This Row],[POPOLAZIONE TOTALE DI OGNI REGIONE (CON FILTRO)]]</f>
        <v>2.8062232058653175E-3</v>
      </c>
      <c r="H1466" t="str">
        <f>IF(Comuni__2[[#This Row],[Popolazione2011]]&gt;300000,"MAGGIORE","")</f>
        <v/>
      </c>
      <c r="J1466">
        <v>244</v>
      </c>
      <c r="K1466">
        <v>80</v>
      </c>
      <c r="L1466">
        <v>64</v>
      </c>
    </row>
    <row r="1467" spans="1:12" x14ac:dyDescent="0.2">
      <c r="A1467"/>
      <c r="B1467"/>
      <c r="C1467"/>
      <c r="D1467"/>
      <c r="E1467" s="2">
        <f>Comuni__2[[#This Row],[Popolazione2011]]/$D$7911</f>
        <v>2.0412944957394247E-4</v>
      </c>
      <c r="F1467">
        <f>SUMIFS($D$2:$D$7909, $B$2:$B$7909, "Emilia-Romagna")</f>
        <v>4342135</v>
      </c>
      <c r="G1467" s="1">
        <f>Comuni__2[[#This Row],[Popolazione2011]]/Comuni__2[[#This Row],[POPOLAZIONE TOTALE DI OGNI REGIONE (CON FILTRO)]]</f>
        <v>2.7935566259455315E-3</v>
      </c>
      <c r="H1467" t="str">
        <f>IF(Comuni__2[[#This Row],[Popolazione2011]]&gt;300000,"MAGGIORE","")</f>
        <v/>
      </c>
      <c r="J1467">
        <v>252</v>
      </c>
      <c r="K1467">
        <v>158</v>
      </c>
      <c r="L1467">
        <v>70</v>
      </c>
    </row>
    <row r="1468" spans="1:12" x14ac:dyDescent="0.2">
      <c r="A1468"/>
      <c r="B1468"/>
      <c r="C1468"/>
      <c r="D1468"/>
      <c r="E1468" s="2">
        <f>Comuni__2[[#This Row],[Popolazione2011]]/$D$7911</f>
        <v>2.0333851106363947E-4</v>
      </c>
      <c r="F1468">
        <f>SUMIFS($D$2:$D$7909, $B$2:$B$7909, "Emilia-Romagna")</f>
        <v>4342135</v>
      </c>
      <c r="G1468" s="1">
        <f>Comuni__2[[#This Row],[Popolazione2011]]/Comuni__2[[#This Row],[POPOLAZIONE TOTALE DI OGNI REGIONE (CON FILTRO)]]</f>
        <v>2.7827324576504414E-3</v>
      </c>
      <c r="H1468" t="str">
        <f>IF(Comuni__2[[#This Row],[Popolazione2011]]&gt;300000,"MAGGIORE","")</f>
        <v/>
      </c>
      <c r="J1468">
        <v>266</v>
      </c>
      <c r="K1468">
        <v>197</v>
      </c>
      <c r="L1468">
        <v>72</v>
      </c>
    </row>
    <row r="1469" spans="1:12" x14ac:dyDescent="0.2">
      <c r="A1469"/>
      <c r="B1469"/>
      <c r="C1469"/>
      <c r="D1469"/>
      <c r="E1469" s="2">
        <f>Comuni__2[[#This Row],[Popolazione2011]]/$D$7911</f>
        <v>1.9943430394895237E-4</v>
      </c>
      <c r="F1469">
        <f>SUMIFS($D$2:$D$7909, $B$2:$B$7909, "Emilia-Romagna")</f>
        <v>4342135</v>
      </c>
      <c r="G1469" s="1">
        <f>Comuni__2[[#This Row],[Popolazione2011]]/Comuni__2[[#This Row],[POPOLAZIONE TOTALE DI OGNI REGIONE (CON FILTRO)]]</f>
        <v>2.7293025205342531E-3</v>
      </c>
      <c r="H1469" t="str">
        <f>IF(Comuni__2[[#This Row],[Popolazione2011]]&gt;300000,"MAGGIORE","")</f>
        <v/>
      </c>
      <c r="J1469">
        <v>279</v>
      </c>
      <c r="K1469">
        <v>214</v>
      </c>
      <c r="L1469">
        <v>76</v>
      </c>
    </row>
    <row r="1470" spans="1:12" x14ac:dyDescent="0.2">
      <c r="A1470"/>
      <c r="B1470"/>
      <c r="C1470"/>
      <c r="D1470"/>
      <c r="E1470" s="2">
        <f>Comuni__2[[#This Row],[Popolazione2011]]/$D$7911</f>
        <v>1.9749902887055142E-4</v>
      </c>
      <c r="F1470">
        <f>SUMIFS($D$2:$D$7909, $B$2:$B$7909, "Emilia-Romagna")</f>
        <v>4342135</v>
      </c>
      <c r="G1470" s="1">
        <f>Comuni__2[[#This Row],[Popolazione2011]]/Comuni__2[[#This Row],[POPOLAZIONE TOTALE DI OGNI REGIONE (CON FILTRO)]]</f>
        <v>2.7028178534292463E-3</v>
      </c>
      <c r="H1470" t="str">
        <f>IF(Comuni__2[[#This Row],[Popolazione2011]]&gt;300000,"MAGGIORE","")</f>
        <v/>
      </c>
      <c r="J1470">
        <v>282</v>
      </c>
      <c r="K1470">
        <v>229</v>
      </c>
      <c r="L1470">
        <v>87</v>
      </c>
    </row>
    <row r="1471" spans="1:12" x14ac:dyDescent="0.2">
      <c r="A1471"/>
      <c r="B1471"/>
      <c r="C1471"/>
      <c r="D1471"/>
      <c r="E1471" s="2">
        <f>Comuni__2[[#This Row],[Popolazione2011]]/$D$7911</f>
        <v>1.9590032337100282E-4</v>
      </c>
      <c r="F1471">
        <f>SUMIFS($D$2:$D$7909, $B$2:$B$7909, "Emilia-Romagna")</f>
        <v>4342135</v>
      </c>
      <c r="G1471" s="1">
        <f>Comuni__2[[#This Row],[Popolazione2011]]/Comuni__2[[#This Row],[POPOLAZIONE TOTALE DI OGNI REGIONE (CON FILTRO)]]</f>
        <v>2.6809392153859797E-3</v>
      </c>
      <c r="H1471" t="str">
        <f>IF(Comuni__2[[#This Row],[Popolazione2011]]&gt;300000,"MAGGIORE","")</f>
        <v/>
      </c>
      <c r="J1471">
        <v>296</v>
      </c>
      <c r="K1471">
        <v>241</v>
      </c>
      <c r="L1471">
        <v>98</v>
      </c>
    </row>
    <row r="1472" spans="1:12" x14ac:dyDescent="0.2">
      <c r="A1472"/>
      <c r="B1472"/>
      <c r="C1472"/>
      <c r="D1472"/>
      <c r="E1472" s="2">
        <f>Comuni__2[[#This Row],[Popolazione2011]]/$D$7911</f>
        <v>1.8662783147362094E-4</v>
      </c>
      <c r="F1472">
        <f>SUMIFS($D$2:$D$7909, $B$2:$B$7909, "Emilia-Romagna")</f>
        <v>4342135</v>
      </c>
      <c r="G1472" s="1">
        <f>Comuni__2[[#This Row],[Popolazione2011]]/Comuni__2[[#This Row],[POPOLAZIONE TOTALE DI OGNI REGIONE (CON FILTRO)]]</f>
        <v>2.5540431147350324E-3</v>
      </c>
      <c r="H1472" t="str">
        <f>IF(Comuni__2[[#This Row],[Popolazione2011]]&gt;300000,"MAGGIORE","")</f>
        <v/>
      </c>
      <c r="J1472">
        <v>289</v>
      </c>
      <c r="K1472">
        <v>285</v>
      </c>
      <c r="L1472">
        <v>107</v>
      </c>
    </row>
    <row r="1473" spans="1:12" x14ac:dyDescent="0.2">
      <c r="A1473"/>
      <c r="B1473"/>
      <c r="C1473"/>
      <c r="D1473"/>
      <c r="E1473" s="2">
        <f>Comuni__2[[#This Row],[Popolazione2011]]/$D$7911</f>
        <v>1.8555080882129345E-4</v>
      </c>
      <c r="F1473">
        <f>SUMIFS($D$2:$D$7909, $B$2:$B$7909, "Emilia-Romagna")</f>
        <v>4342135</v>
      </c>
      <c r="G1473" s="1">
        <f>Comuni__2[[#This Row],[Popolazione2011]]/Comuni__2[[#This Row],[POPOLAZIONE TOTALE DI OGNI REGIONE (CON FILTRO)]]</f>
        <v>2.5393038217374634E-3</v>
      </c>
      <c r="H1473" t="str">
        <f>IF(Comuni__2[[#This Row],[Popolazione2011]]&gt;300000,"MAGGIORE","")</f>
        <v/>
      </c>
      <c r="J1473">
        <v>275</v>
      </c>
      <c r="K1473">
        <v>320</v>
      </c>
      <c r="L1473">
        <v>113</v>
      </c>
    </row>
    <row r="1474" spans="1:12" x14ac:dyDescent="0.2">
      <c r="A1474"/>
      <c r="B1474"/>
      <c r="C1474"/>
      <c r="D1474"/>
      <c r="E1474" s="2">
        <f>Comuni__2[[#This Row],[Popolazione2011]]/$D$7911</f>
        <v>1.8531521011609683E-4</v>
      </c>
      <c r="F1474">
        <f>SUMIFS($D$2:$D$7909, $B$2:$B$7909, "Emilia-Romagna")</f>
        <v>4342135</v>
      </c>
      <c r="G1474" s="1">
        <f>Comuni__2[[#This Row],[Popolazione2011]]/Comuni__2[[#This Row],[POPOLAZIONE TOTALE DI OGNI REGIONE (CON FILTRO)]]</f>
        <v>2.5360796013942448E-3</v>
      </c>
      <c r="H1474" t="str">
        <f>IF(Comuni__2[[#This Row],[Popolazione2011]]&gt;300000,"MAGGIORE","")</f>
        <v/>
      </c>
      <c r="J1474">
        <v>266</v>
      </c>
      <c r="K1474">
        <v>357</v>
      </c>
      <c r="L1474">
        <v>122</v>
      </c>
    </row>
    <row r="1475" spans="1:12" x14ac:dyDescent="0.2">
      <c r="A1475"/>
      <c r="B1475"/>
      <c r="C1475"/>
      <c r="D1475"/>
      <c r="E1475" s="2">
        <f>Comuni__2[[#This Row],[Popolazione2011]]/$D$7911</f>
        <v>1.8464207095839213E-4</v>
      </c>
      <c r="F1475">
        <f>SUMIFS($D$2:$D$7909, $B$2:$B$7909, "Emilia-Romagna")</f>
        <v>4342135</v>
      </c>
      <c r="G1475" s="1">
        <f>Comuni__2[[#This Row],[Popolazione2011]]/Comuni__2[[#This Row],[POPOLAZIONE TOTALE DI OGNI REGIONE (CON FILTRO)]]</f>
        <v>2.5268675432707642E-3</v>
      </c>
      <c r="H1475" t="str">
        <f>IF(Comuni__2[[#This Row],[Popolazione2011]]&gt;300000,"MAGGIORE","")</f>
        <v/>
      </c>
      <c r="J1475">
        <v>259</v>
      </c>
      <c r="K1475">
        <v>376</v>
      </c>
      <c r="L1475">
        <v>129</v>
      </c>
    </row>
    <row r="1476" spans="1:12" x14ac:dyDescent="0.2">
      <c r="A1476"/>
      <c r="B1476"/>
      <c r="C1476"/>
      <c r="D1476"/>
      <c r="E1476" s="2">
        <f>Comuni__2[[#This Row],[Popolazione2011]]/$D$7911</f>
        <v>1.8408673115328578E-4</v>
      </c>
      <c r="F1476">
        <f>SUMIFS($D$2:$D$7909, $B$2:$B$7909, "Emilia-Romagna")</f>
        <v>4342135</v>
      </c>
      <c r="G1476" s="1">
        <f>Comuni__2[[#This Row],[Popolazione2011]]/Comuni__2[[#This Row],[POPOLAZIONE TOTALE DI OGNI REGIONE (CON FILTRO)]]</f>
        <v>2.5192675953188927E-3</v>
      </c>
      <c r="H1476" t="str">
        <f>IF(Comuni__2[[#This Row],[Popolazione2011]]&gt;300000,"MAGGIORE","")</f>
        <v/>
      </c>
      <c r="J1476">
        <v>262</v>
      </c>
      <c r="K1476">
        <v>419</v>
      </c>
      <c r="L1476">
        <v>136</v>
      </c>
    </row>
    <row r="1477" spans="1:12" x14ac:dyDescent="0.2">
      <c r="A1477"/>
      <c r="B1477"/>
      <c r="C1477"/>
      <c r="D1477"/>
      <c r="E1477" s="2">
        <f>Comuni__2[[#This Row],[Popolazione2011]]/$D$7911</f>
        <v>1.8208414215911437E-4</v>
      </c>
      <c r="F1477">
        <f>SUMIFS($D$2:$D$7909, $B$2:$B$7909, "Emilia-Romagna")</f>
        <v>4342135</v>
      </c>
      <c r="G1477" s="1">
        <f>Comuni__2[[#This Row],[Popolazione2011]]/Comuni__2[[#This Row],[POPOLAZIONE TOTALE DI OGNI REGIONE (CON FILTRO)]]</f>
        <v>2.4918617224015376E-3</v>
      </c>
      <c r="H1477" t="str">
        <f>IF(Comuni__2[[#This Row],[Popolazione2011]]&gt;300000,"MAGGIORE","")</f>
        <v/>
      </c>
      <c r="J1477">
        <v>233</v>
      </c>
      <c r="K1477">
        <v>505</v>
      </c>
      <c r="L1477">
        <v>145</v>
      </c>
    </row>
    <row r="1478" spans="1:12" x14ac:dyDescent="0.2">
      <c r="A1478"/>
      <c r="B1478"/>
      <c r="C1478"/>
      <c r="D1478"/>
      <c r="E1478" s="2">
        <f>Comuni__2[[#This Row],[Popolazione2011]]/$D$7911</f>
        <v>1.8171391562237681E-4</v>
      </c>
      <c r="F1478">
        <f>SUMIFS($D$2:$D$7909, $B$2:$B$7909, "Emilia-Romagna")</f>
        <v>4342135</v>
      </c>
      <c r="G1478" s="1">
        <f>Comuni__2[[#This Row],[Popolazione2011]]/Comuni__2[[#This Row],[POPOLAZIONE TOTALE DI OGNI REGIONE (CON FILTRO)]]</f>
        <v>2.4867950904336232E-3</v>
      </c>
      <c r="H1478" t="str">
        <f>IF(Comuni__2[[#This Row],[Popolazione2011]]&gt;300000,"MAGGIORE","")</f>
        <v/>
      </c>
      <c r="J1478">
        <v>235</v>
      </c>
      <c r="K1478">
        <v>531</v>
      </c>
      <c r="L1478">
        <v>154</v>
      </c>
    </row>
    <row r="1479" spans="1:12" x14ac:dyDescent="0.2">
      <c r="A1479"/>
      <c r="B1479"/>
      <c r="C1479"/>
      <c r="D1479"/>
      <c r="E1479" s="2">
        <f>Comuni__2[[#This Row],[Popolazione2011]]/$D$7911</f>
        <v>1.8117540429621307E-4</v>
      </c>
      <c r="F1479">
        <f>SUMIFS($D$2:$D$7909, $B$2:$B$7909, "Emilia-Romagna")</f>
        <v>4342135</v>
      </c>
      <c r="G1479" s="1">
        <f>Comuni__2[[#This Row],[Popolazione2011]]/Comuni__2[[#This Row],[POPOLAZIONE TOTALE DI OGNI REGIONE (CON FILTRO)]]</f>
        <v>2.4794254439348385E-3</v>
      </c>
      <c r="H1479" t="str">
        <f>IF(Comuni__2[[#This Row],[Popolazione2011]]&gt;300000,"MAGGIORE","")</f>
        <v/>
      </c>
      <c r="J1479">
        <v>235</v>
      </c>
      <c r="K1479">
        <v>549</v>
      </c>
      <c r="L1479">
        <v>158</v>
      </c>
    </row>
    <row r="1480" spans="1:12" x14ac:dyDescent="0.2">
      <c r="A1480"/>
      <c r="B1480"/>
      <c r="C1480"/>
      <c r="D1480"/>
      <c r="E1480" s="2">
        <f>Comuni__2[[#This Row],[Popolazione2011]]/$D$7911</f>
        <v>1.7944207096512354E-4</v>
      </c>
      <c r="F1480">
        <f>SUMIFS($D$2:$D$7909, $B$2:$B$7909, "Emilia-Romagna")</f>
        <v>4342135</v>
      </c>
      <c r="G1480" s="1">
        <f>Comuni__2[[#This Row],[Popolazione2011]]/Comuni__2[[#This Row],[POPOLAZIONE TOTALE DI OGNI REGIONE (CON FILTRO)]]</f>
        <v>2.4557043942668756E-3</v>
      </c>
      <c r="H1480" t="str">
        <f>IF(Comuni__2[[#This Row],[Popolazione2011]]&gt;300000,"MAGGIORE","")</f>
        <v/>
      </c>
      <c r="J1480">
        <v>229</v>
      </c>
      <c r="K1480">
        <v>610</v>
      </c>
      <c r="L1480">
        <v>164</v>
      </c>
    </row>
    <row r="1481" spans="1:12" x14ac:dyDescent="0.2">
      <c r="A1481"/>
      <c r="B1481"/>
      <c r="C1481"/>
      <c r="D1481"/>
      <c r="E1481" s="2">
        <f>Comuni__2[[#This Row],[Popolazione2011]]/$D$7911</f>
        <v>1.7789385090240278E-4</v>
      </c>
      <c r="F1481">
        <f>SUMIFS($D$2:$D$7909, $B$2:$B$7909, "Emilia-Romagna")</f>
        <v>4342135</v>
      </c>
      <c r="G1481" s="1">
        <f>Comuni__2[[#This Row],[Popolazione2011]]/Comuni__2[[#This Row],[POPOLAZIONE TOTALE DI OGNI REGIONE (CON FILTRO)]]</f>
        <v>2.4345166605828699E-3</v>
      </c>
      <c r="H1481" t="str">
        <f>IF(Comuni__2[[#This Row],[Popolazione2011]]&gt;300000,"MAGGIORE","")</f>
        <v/>
      </c>
      <c r="J1481">
        <v>203</v>
      </c>
      <c r="K1481">
        <v>634</v>
      </c>
      <c r="L1481">
        <v>169</v>
      </c>
    </row>
    <row r="1482" spans="1:12" x14ac:dyDescent="0.2">
      <c r="A1482"/>
      <c r="B1482"/>
      <c r="C1482"/>
      <c r="D1482"/>
      <c r="E1482" s="2">
        <f>Comuni__2[[#This Row],[Popolazione2011]]/$D$7911</f>
        <v>1.7639611627650987E-4</v>
      </c>
      <c r="F1482">
        <f>SUMIFS($D$2:$D$7909, $B$2:$B$7909, "Emilia-Romagna")</f>
        <v>4342135</v>
      </c>
      <c r="G1482" s="1">
        <f>Comuni__2[[#This Row],[Popolazione2011]]/Comuni__2[[#This Row],[POPOLAZIONE TOTALE DI OGNI REGIONE (CON FILTRO)]]</f>
        <v>2.4140198312581252E-3</v>
      </c>
      <c r="H1482" t="str">
        <f>IF(Comuni__2[[#This Row],[Popolazione2011]]&gt;300000,"MAGGIORE","")</f>
        <v/>
      </c>
      <c r="J1482">
        <v>204</v>
      </c>
      <c r="K1482">
        <v>738</v>
      </c>
      <c r="L1482">
        <v>171</v>
      </c>
    </row>
    <row r="1483" spans="1:12" x14ac:dyDescent="0.2">
      <c r="A1483"/>
      <c r="B1483"/>
      <c r="C1483"/>
      <c r="D1483"/>
      <c r="E1483" s="2">
        <f>Comuni__2[[#This Row],[Popolazione2011]]/$D$7911</f>
        <v>1.7637928779756727E-4</v>
      </c>
      <c r="F1483">
        <f>SUMIFS($D$2:$D$7909, $B$2:$B$7909, "Emilia-Romagna")</f>
        <v>4342135</v>
      </c>
      <c r="G1483" s="1">
        <f>Comuni__2[[#This Row],[Popolazione2011]]/Comuni__2[[#This Row],[POPOLAZIONE TOTALE DI OGNI REGIONE (CON FILTRO)]]</f>
        <v>2.4137895298050383E-3</v>
      </c>
      <c r="H1483" t="str">
        <f>IF(Comuni__2[[#This Row],[Popolazione2011]]&gt;300000,"MAGGIORE","")</f>
        <v/>
      </c>
      <c r="J1483">
        <v>200</v>
      </c>
      <c r="K1483">
        <v>772</v>
      </c>
      <c r="L1483">
        <v>179</v>
      </c>
    </row>
    <row r="1484" spans="1:12" x14ac:dyDescent="0.2">
      <c r="A1484"/>
      <c r="B1484"/>
      <c r="C1484"/>
      <c r="D1484"/>
      <c r="E1484" s="2">
        <f>Comuni__2[[#This Row],[Popolazione2011]]/$D$7911</f>
        <v>1.7584077647140353E-4</v>
      </c>
      <c r="F1484">
        <f>SUMIFS($D$2:$D$7909, $B$2:$B$7909, "Emilia-Romagna")</f>
        <v>4342135</v>
      </c>
      <c r="G1484" s="1">
        <f>Comuni__2[[#This Row],[Popolazione2011]]/Comuni__2[[#This Row],[POPOLAZIONE TOTALE DI OGNI REGIONE (CON FILTRO)]]</f>
        <v>2.4064198833062536E-3</v>
      </c>
      <c r="H1484" t="str">
        <f>IF(Comuni__2[[#This Row],[Popolazione2011]]&gt;300000,"MAGGIORE","")</f>
        <v/>
      </c>
      <c r="J1484">
        <v>200</v>
      </c>
      <c r="K1484">
        <v>826</v>
      </c>
      <c r="L1484">
        <v>185</v>
      </c>
    </row>
    <row r="1485" spans="1:12" x14ac:dyDescent="0.2">
      <c r="A1485"/>
      <c r="B1485"/>
      <c r="C1485"/>
      <c r="D1485"/>
      <c r="E1485" s="2">
        <f>Comuni__2[[#This Row],[Popolazione2011]]/$D$7911</f>
        <v>1.7516763731369886E-4</v>
      </c>
      <c r="F1485">
        <f>SUMIFS($D$2:$D$7909, $B$2:$B$7909, "Emilia-Romagna")</f>
        <v>4342135</v>
      </c>
      <c r="G1485" s="1">
        <f>Comuni__2[[#This Row],[Popolazione2011]]/Comuni__2[[#This Row],[POPOLAZIONE TOTALE DI OGNI REGIONE (CON FILTRO)]]</f>
        <v>2.397207825182773E-3</v>
      </c>
      <c r="H1485" t="str">
        <f>IF(Comuni__2[[#This Row],[Popolazione2011]]&gt;300000,"MAGGIORE","")</f>
        <v/>
      </c>
      <c r="J1485">
        <v>188</v>
      </c>
      <c r="K1485">
        <v>910</v>
      </c>
      <c r="L1485">
        <v>195</v>
      </c>
    </row>
    <row r="1486" spans="1:12" x14ac:dyDescent="0.2">
      <c r="A1486"/>
      <c r="B1486"/>
      <c r="C1486"/>
      <c r="D1486"/>
      <c r="E1486" s="2">
        <f>Comuni__2[[#This Row],[Popolazione2011]]/$D$7911</f>
        <v>1.7228996741451138E-4</v>
      </c>
      <c r="F1486">
        <f>SUMIFS($D$2:$D$7909, $B$2:$B$7909, "Emilia-Romagna")</f>
        <v>4342135</v>
      </c>
      <c r="G1486" s="1">
        <f>Comuni__2[[#This Row],[Popolazione2011]]/Comuni__2[[#This Row],[POPOLAZIONE TOTALE DI OGNI REGIONE (CON FILTRO)]]</f>
        <v>2.3578262767048929E-3</v>
      </c>
      <c r="H1486" t="str">
        <f>IF(Comuni__2[[#This Row],[Popolazione2011]]&gt;300000,"MAGGIORE","")</f>
        <v/>
      </c>
      <c r="J1486">
        <v>189</v>
      </c>
      <c r="K1486">
        <v>973</v>
      </c>
      <c r="L1486">
        <v>202</v>
      </c>
    </row>
    <row r="1487" spans="1:12" x14ac:dyDescent="0.2">
      <c r="A1487"/>
      <c r="B1487"/>
      <c r="C1487"/>
      <c r="D1487"/>
      <c r="E1487" s="2">
        <f>Comuni__2[[#This Row],[Popolazione2011]]/$D$7911</f>
        <v>1.7166731369363454E-4</v>
      </c>
      <c r="F1487">
        <f>SUMIFS($D$2:$D$7909, $B$2:$B$7909, "Emilia-Romagna")</f>
        <v>4342135</v>
      </c>
      <c r="G1487" s="1">
        <f>Comuni__2[[#This Row],[Popolazione2011]]/Comuni__2[[#This Row],[POPOLAZIONE TOTALE DI OGNI REGIONE (CON FILTRO)]]</f>
        <v>2.3493051229406731E-3</v>
      </c>
      <c r="H1487" t="str">
        <f>IF(Comuni__2[[#This Row],[Popolazione2011]]&gt;300000,"MAGGIORE","")</f>
        <v/>
      </c>
      <c r="J1487">
        <v>194</v>
      </c>
      <c r="K1487">
        <v>1415</v>
      </c>
      <c r="L1487">
        <v>206</v>
      </c>
    </row>
    <row r="1488" spans="1:12" x14ac:dyDescent="0.2">
      <c r="A1488"/>
      <c r="B1488"/>
      <c r="C1488"/>
      <c r="D1488"/>
      <c r="E1488" s="2">
        <f>Comuni__2[[#This Row],[Popolazione2011]]/$D$7911</f>
        <v>1.6875598683656183E-4</v>
      </c>
      <c r="F1488">
        <f>SUMIFS($D$2:$D$7909, $B$2:$B$7909, "Emilia-Romagna")</f>
        <v>4342135</v>
      </c>
      <c r="G1488" s="1">
        <f>Comuni__2[[#This Row],[Popolazione2011]]/Comuni__2[[#This Row],[POPOLAZIONE TOTALE DI OGNI REGIONE (CON FILTRO)]]</f>
        <v>2.309462971556619E-3</v>
      </c>
      <c r="H1488" t="str">
        <f>IF(Comuni__2[[#This Row],[Popolazione2011]]&gt;300000,"MAGGIORE","")</f>
        <v/>
      </c>
      <c r="J1488">
        <v>187</v>
      </c>
      <c r="K1488">
        <v>938</v>
      </c>
      <c r="L1488">
        <v>212</v>
      </c>
    </row>
    <row r="1489" spans="1:12" x14ac:dyDescent="0.2">
      <c r="A1489"/>
      <c r="B1489"/>
      <c r="C1489"/>
      <c r="D1489"/>
      <c r="E1489" s="2">
        <f>Comuni__2[[#This Row],[Popolazione2011]]/$D$7911</f>
        <v>1.6828478942616855E-4</v>
      </c>
      <c r="F1489">
        <f>SUMIFS($D$2:$D$7909, $B$2:$B$7909, "Emilia-Romagna")</f>
        <v>4342135</v>
      </c>
      <c r="G1489" s="1">
        <f>Comuni__2[[#This Row],[Popolazione2011]]/Comuni__2[[#This Row],[POPOLAZIONE TOTALE DI OGNI REGIONE (CON FILTRO)]]</f>
        <v>2.3030145308701824E-3</v>
      </c>
      <c r="H1489" t="str">
        <f>IF(Comuni__2[[#This Row],[Popolazione2011]]&gt;300000,"MAGGIORE","")</f>
        <v/>
      </c>
      <c r="J1489">
        <v>185</v>
      </c>
      <c r="K1489">
        <v>1069</v>
      </c>
      <c r="L1489">
        <v>217</v>
      </c>
    </row>
    <row r="1490" spans="1:12" x14ac:dyDescent="0.2">
      <c r="A1490"/>
      <c r="B1490"/>
      <c r="C1490"/>
      <c r="D1490"/>
      <c r="E1490" s="2">
        <f>Comuni__2[[#This Row],[Popolazione2011]]/$D$7911</f>
        <v>1.6769579266317697E-4</v>
      </c>
      <c r="F1490">
        <f>SUMIFS($D$2:$D$7909, $B$2:$B$7909, "Emilia-Romagna")</f>
        <v>4342135</v>
      </c>
      <c r="G1490" s="1">
        <f>Comuni__2[[#This Row],[Popolazione2011]]/Comuni__2[[#This Row],[POPOLAZIONE TOTALE DI OGNI REGIONE (CON FILTRO)]]</f>
        <v>2.2949539800121367E-3</v>
      </c>
      <c r="H1490" t="str">
        <f>IF(Comuni__2[[#This Row],[Popolazione2011]]&gt;300000,"MAGGIORE","")</f>
        <v/>
      </c>
      <c r="J1490">
        <v>171</v>
      </c>
      <c r="K1490">
        <v>1027</v>
      </c>
      <c r="L1490">
        <v>220</v>
      </c>
    </row>
    <row r="1491" spans="1:12" x14ac:dyDescent="0.2">
      <c r="A1491"/>
      <c r="B1491"/>
      <c r="C1491"/>
      <c r="D1491"/>
      <c r="E1491" s="2">
        <f>Comuni__2[[#This Row],[Popolazione2011]]/$D$7911</f>
        <v>1.6761165026846388E-4</v>
      </c>
      <c r="F1491">
        <f>SUMIFS($D$2:$D$7909, $B$2:$B$7909, "Emilia-Romagna")</f>
        <v>4342135</v>
      </c>
      <c r="G1491" s="1">
        <f>Comuni__2[[#This Row],[Popolazione2011]]/Comuni__2[[#This Row],[POPOLAZIONE TOTALE DI OGNI REGIONE (CON FILTRO)]]</f>
        <v>2.2938024727467018E-3</v>
      </c>
      <c r="H1491" t="str">
        <f>IF(Comuni__2[[#This Row],[Popolazione2011]]&gt;300000,"MAGGIORE","")</f>
        <v/>
      </c>
      <c r="J1491">
        <v>168</v>
      </c>
      <c r="K1491">
        <v>1106</v>
      </c>
      <c r="L1491">
        <v>222</v>
      </c>
    </row>
    <row r="1492" spans="1:12" x14ac:dyDescent="0.2">
      <c r="A1492"/>
      <c r="B1492"/>
      <c r="C1492"/>
      <c r="D1492"/>
      <c r="E1492" s="2">
        <f>Comuni__2[[#This Row],[Popolazione2011]]/$D$7911</f>
        <v>1.65541747358522E-4</v>
      </c>
      <c r="F1492">
        <f>SUMIFS($D$2:$D$7909, $B$2:$B$7909, "Emilia-Romagna")</f>
        <v>4342135</v>
      </c>
      <c r="G1492" s="1">
        <f>Comuni__2[[#This Row],[Popolazione2011]]/Comuni__2[[#This Row],[POPOLAZIONE TOTALE DI OGNI REGIONE (CON FILTRO)]]</f>
        <v>2.2654753940169986E-3</v>
      </c>
      <c r="H1492" t="str">
        <f>IF(Comuni__2[[#This Row],[Popolazione2011]]&gt;300000,"MAGGIORE","")</f>
        <v/>
      </c>
      <c r="J1492">
        <v>165</v>
      </c>
      <c r="K1492">
        <v>1183</v>
      </c>
      <c r="L1492">
        <v>225</v>
      </c>
    </row>
    <row r="1493" spans="1:12" x14ac:dyDescent="0.2">
      <c r="A1493"/>
      <c r="B1493"/>
      <c r="C1493"/>
      <c r="D1493"/>
      <c r="E1493" s="2">
        <f>Comuni__2[[#This Row],[Popolazione2011]]/$D$7911</f>
        <v>1.646498379745633E-4</v>
      </c>
      <c r="F1493">
        <f>SUMIFS($D$2:$D$7909, $B$2:$B$7909, "Emilia-Romagna")</f>
        <v>4342135</v>
      </c>
      <c r="G1493" s="1">
        <f>Comuni__2[[#This Row],[Popolazione2011]]/Comuni__2[[#This Row],[POPOLAZIONE TOTALE DI OGNI REGIONE (CON FILTRO)]]</f>
        <v>2.2532694170033867E-3</v>
      </c>
      <c r="H1493" t="str">
        <f>IF(Comuni__2[[#This Row],[Popolazione2011]]&gt;300000,"MAGGIORE","")</f>
        <v/>
      </c>
      <c r="J1493">
        <v>162</v>
      </c>
      <c r="K1493">
        <v>1346</v>
      </c>
      <c r="L1493">
        <v>239</v>
      </c>
    </row>
    <row r="1494" spans="1:12" x14ac:dyDescent="0.2">
      <c r="A1494"/>
      <c r="B1494"/>
      <c r="C1494"/>
      <c r="D1494"/>
      <c r="E1494" s="2">
        <f>Comuni__2[[#This Row],[Popolazione2011]]/$D$7911</f>
        <v>1.6426278295888312E-4</v>
      </c>
      <c r="F1494">
        <f>SUMIFS($D$2:$D$7909, $B$2:$B$7909, "Emilia-Romagna")</f>
        <v>4342135</v>
      </c>
      <c r="G1494" s="1">
        <f>Comuni__2[[#This Row],[Popolazione2011]]/Comuni__2[[#This Row],[POPOLAZIONE TOTALE DI OGNI REGIONE (CON FILTRO)]]</f>
        <v>2.2479724835823851E-3</v>
      </c>
      <c r="H1494" t="str">
        <f>IF(Comuni__2[[#This Row],[Popolazione2011]]&gt;300000,"MAGGIORE","")</f>
        <v/>
      </c>
      <c r="J1494">
        <v>160</v>
      </c>
      <c r="K1494">
        <v>1229</v>
      </c>
      <c r="L1494">
        <v>241</v>
      </c>
    </row>
    <row r="1495" spans="1:12" x14ac:dyDescent="0.2">
      <c r="A1495"/>
      <c r="B1495"/>
      <c r="C1495"/>
      <c r="D1495"/>
      <c r="E1495" s="2">
        <f>Comuni__2[[#This Row],[Popolazione2011]]/$D$7911</f>
        <v>1.6320258878549826E-4</v>
      </c>
      <c r="F1495">
        <f>SUMIFS($D$2:$D$7909, $B$2:$B$7909, "Emilia-Romagna")</f>
        <v>4342135</v>
      </c>
      <c r="G1495" s="1">
        <f>Comuni__2[[#This Row],[Popolazione2011]]/Comuni__2[[#This Row],[POPOLAZIONE TOTALE DI OGNI REGIONE (CON FILTRO)]]</f>
        <v>2.2334634920379028E-3</v>
      </c>
      <c r="H1495" t="str">
        <f>IF(Comuni__2[[#This Row],[Popolazione2011]]&gt;300000,"MAGGIORE","")</f>
        <v/>
      </c>
      <c r="J1495">
        <v>154</v>
      </c>
      <c r="K1495">
        <v>1263</v>
      </c>
      <c r="L1495">
        <v>246</v>
      </c>
    </row>
    <row r="1496" spans="1:12" x14ac:dyDescent="0.2">
      <c r="A1496"/>
      <c r="B1496"/>
      <c r="C1496"/>
      <c r="D1496"/>
      <c r="E1496" s="2">
        <f>Comuni__2[[#This Row],[Popolazione2011]]/$D$7911</f>
        <v>1.6279870529087548E-4</v>
      </c>
      <c r="F1496">
        <f>SUMIFS($D$2:$D$7909, $B$2:$B$7909, "Emilia-Romagna")</f>
        <v>4342135</v>
      </c>
      <c r="G1496" s="1">
        <f>Comuni__2[[#This Row],[Popolazione2011]]/Comuni__2[[#This Row],[POPOLAZIONE TOTALE DI OGNI REGIONE (CON FILTRO)]]</f>
        <v>2.2279362571638148E-3</v>
      </c>
      <c r="H1496" t="str">
        <f>IF(Comuni__2[[#This Row],[Popolazione2011]]&gt;300000,"MAGGIORE","")</f>
        <v/>
      </c>
      <c r="J1496">
        <v>156</v>
      </c>
      <c r="K1496">
        <v>1467</v>
      </c>
      <c r="L1496">
        <v>256</v>
      </c>
    </row>
    <row r="1497" spans="1:12" x14ac:dyDescent="0.2">
      <c r="A1497"/>
      <c r="B1497"/>
      <c r="C1497"/>
      <c r="D1497"/>
      <c r="E1497" s="2">
        <f>Comuni__2[[#This Row],[Popolazione2011]]/$D$7911</f>
        <v>1.6249579266990836E-4</v>
      </c>
      <c r="F1497">
        <f>SUMIFS($D$2:$D$7909, $B$2:$B$7909, "Emilia-Romagna")</f>
        <v>4342135</v>
      </c>
      <c r="G1497" s="1">
        <f>Comuni__2[[#This Row],[Popolazione2011]]/Comuni__2[[#This Row],[POPOLAZIONE TOTALE DI OGNI REGIONE (CON FILTRO)]]</f>
        <v>2.2237908310082481E-3</v>
      </c>
      <c r="H1497" t="str">
        <f>IF(Comuni__2[[#This Row],[Popolazione2011]]&gt;300000,"MAGGIORE","")</f>
        <v/>
      </c>
      <c r="J1497">
        <v>152</v>
      </c>
      <c r="K1497">
        <v>1304</v>
      </c>
      <c r="L1497">
        <v>258</v>
      </c>
    </row>
    <row r="1498" spans="1:12" x14ac:dyDescent="0.2">
      <c r="A1498"/>
      <c r="B1498"/>
      <c r="C1498"/>
      <c r="D1498"/>
      <c r="E1498" s="2">
        <f>Comuni__2[[#This Row],[Popolazione2011]]/$D$7911</f>
        <v>1.6019029105476985E-4</v>
      </c>
      <c r="F1498">
        <f>SUMIFS($D$2:$D$7909, $B$2:$B$7909, "Emilia-Romagna")</f>
        <v>4342135</v>
      </c>
      <c r="G1498" s="1">
        <f>Comuni__2[[#This Row],[Popolazione2011]]/Comuni__2[[#This Row],[POPOLAZIONE TOTALE DI OGNI REGIONE (CON FILTRO)]]</f>
        <v>2.1922395319353269E-3</v>
      </c>
      <c r="H1498" t="str">
        <f>IF(Comuni__2[[#This Row],[Popolazione2011]]&gt;300000,"MAGGIORE","")</f>
        <v/>
      </c>
      <c r="J1498">
        <v>137</v>
      </c>
      <c r="K1498">
        <v>1556</v>
      </c>
      <c r="L1498">
        <v>263</v>
      </c>
    </row>
    <row r="1499" spans="1:12" x14ac:dyDescent="0.2">
      <c r="A1499"/>
      <c r="B1499"/>
      <c r="C1499"/>
      <c r="D1499"/>
      <c r="E1499" s="2">
        <f>Comuni__2[[#This Row],[Popolazione2011]]/$D$7911</f>
        <v>1.6019029105476985E-4</v>
      </c>
      <c r="F1499">
        <f>SUMIFS($D$2:$D$7909, $B$2:$B$7909, "Emilia-Romagna")</f>
        <v>4342135</v>
      </c>
      <c r="G1499" s="1">
        <f>Comuni__2[[#This Row],[Popolazione2011]]/Comuni__2[[#This Row],[POPOLAZIONE TOTALE DI OGNI REGIONE (CON FILTRO)]]</f>
        <v>2.1922395319353269E-3</v>
      </c>
      <c r="H1499" t="str">
        <f>IF(Comuni__2[[#This Row],[Popolazione2011]]&gt;300000,"MAGGIORE","")</f>
        <v/>
      </c>
      <c r="J1499">
        <v>142</v>
      </c>
      <c r="K1499">
        <v>1405</v>
      </c>
      <c r="L1499">
        <v>264</v>
      </c>
    </row>
    <row r="1500" spans="1:12" x14ac:dyDescent="0.2">
      <c r="A1500"/>
      <c r="B1500"/>
      <c r="C1500"/>
      <c r="D1500"/>
      <c r="E1500" s="2">
        <f>Comuni__2[[#This Row],[Popolazione2011]]/$D$7911</f>
        <v>1.5795210335540181E-4</v>
      </c>
      <c r="F1500">
        <f>SUMIFS($D$2:$D$7909, $B$2:$B$7909, "Emilia-Romagna")</f>
        <v>4342135</v>
      </c>
      <c r="G1500" s="1">
        <f>Comuni__2[[#This Row],[Popolazione2011]]/Comuni__2[[#This Row],[POPOLAZIONE TOTALE DI OGNI REGIONE (CON FILTRO)]]</f>
        <v>2.1616094386747533E-3</v>
      </c>
      <c r="H1500" t="str">
        <f>IF(Comuni__2[[#This Row],[Popolazione2011]]&gt;300000,"MAGGIORE","")</f>
        <v/>
      </c>
      <c r="J1500">
        <v>143</v>
      </c>
      <c r="K1500">
        <v>1448</v>
      </c>
      <c r="L1500">
        <v>271</v>
      </c>
    </row>
    <row r="1501" spans="1:12" x14ac:dyDescent="0.2">
      <c r="A1501"/>
      <c r="B1501"/>
      <c r="C1501"/>
      <c r="D1501"/>
      <c r="E1501" s="2">
        <f>Comuni__2[[#This Row],[Popolazione2011]]/$D$7911</f>
        <v>1.5610097067171396E-4</v>
      </c>
      <c r="F1501">
        <f>SUMIFS($D$2:$D$7909, $B$2:$B$7909, "Emilia-Romagna")</f>
        <v>4342135</v>
      </c>
      <c r="G1501" s="1">
        <f>Comuni__2[[#This Row],[Popolazione2011]]/Comuni__2[[#This Row],[POPOLAZIONE TOTALE DI OGNI REGIONE (CON FILTRO)]]</f>
        <v>2.1362762788351814E-3</v>
      </c>
      <c r="H1501" t="str">
        <f>IF(Comuni__2[[#This Row],[Popolazione2011]]&gt;300000,"MAGGIORE","")</f>
        <v/>
      </c>
      <c r="J1501">
        <v>149</v>
      </c>
      <c r="K1501">
        <v>1478</v>
      </c>
      <c r="L1501">
        <v>278</v>
      </c>
    </row>
    <row r="1502" spans="1:12" x14ac:dyDescent="0.2">
      <c r="A1502"/>
      <c r="B1502"/>
      <c r="C1502"/>
      <c r="D1502"/>
      <c r="E1502" s="2">
        <f>Comuni__2[[#This Row],[Popolazione2011]]/$D$7911</f>
        <v>1.5608414219277133E-4</v>
      </c>
      <c r="F1502">
        <f>SUMIFS($D$2:$D$7909, $B$2:$B$7909, "Emilia-Romagna")</f>
        <v>4342135</v>
      </c>
      <c r="G1502" s="1">
        <f>Comuni__2[[#This Row],[Popolazione2011]]/Comuni__2[[#This Row],[POPOLAZIONE TOTALE DI OGNI REGIONE (CON FILTRO)]]</f>
        <v>2.1360459773820941E-3</v>
      </c>
      <c r="H1502" t="str">
        <f>IF(Comuni__2[[#This Row],[Popolazione2011]]&gt;300000,"MAGGIORE","")</f>
        <v/>
      </c>
      <c r="J1502">
        <v>146</v>
      </c>
      <c r="K1502">
        <v>1498</v>
      </c>
      <c r="L1502">
        <v>285</v>
      </c>
    </row>
    <row r="1503" spans="1:12" x14ac:dyDescent="0.2">
      <c r="A1503"/>
      <c r="B1503"/>
      <c r="C1503"/>
      <c r="D1503"/>
      <c r="E1503" s="2">
        <f>Comuni__2[[#This Row],[Popolazione2011]]/$D$7911</f>
        <v>1.5510809041409957E-4</v>
      </c>
      <c r="F1503">
        <f>SUMIFS($D$2:$D$7909, $B$2:$B$7909, "Emilia-Romagna")</f>
        <v>4342135</v>
      </c>
      <c r="G1503" s="1">
        <f>Comuni__2[[#This Row],[Popolazione2011]]/Comuni__2[[#This Row],[POPOLAZIONE TOTALE DI OGNI REGIONE (CON FILTRO)]]</f>
        <v>2.1226884931030473E-3</v>
      </c>
      <c r="H1503" t="str">
        <f>IF(Comuni__2[[#This Row],[Popolazione2011]]&gt;300000,"MAGGIORE","")</f>
        <v/>
      </c>
      <c r="J1503">
        <v>120</v>
      </c>
      <c r="K1503">
        <v>1566</v>
      </c>
      <c r="L1503">
        <v>289</v>
      </c>
    </row>
    <row r="1504" spans="1:12" x14ac:dyDescent="0.2">
      <c r="A1504"/>
      <c r="B1504"/>
      <c r="C1504"/>
      <c r="D1504"/>
      <c r="E1504" s="2">
        <f>Comuni__2[[#This Row],[Popolazione2011]]/$D$7911</f>
        <v>1.5430032342485394E-4</v>
      </c>
      <c r="F1504">
        <f>SUMIFS($D$2:$D$7909, $B$2:$B$7909, "Emilia-Romagna")</f>
        <v>4342135</v>
      </c>
      <c r="G1504" s="1">
        <f>Comuni__2[[#This Row],[Popolazione2011]]/Comuni__2[[#This Row],[POPOLAZIONE TOTALE DI OGNI REGIONE (CON FILTRO)]]</f>
        <v>2.1116340233548704E-3</v>
      </c>
      <c r="H1504" t="str">
        <f>IF(Comuni__2[[#This Row],[Popolazione2011]]&gt;300000,"MAGGIORE","")</f>
        <v/>
      </c>
      <c r="J1504">
        <v>137</v>
      </c>
      <c r="K1504">
        <v>1632</v>
      </c>
      <c r="L1504">
        <v>294</v>
      </c>
    </row>
    <row r="1505" spans="1:12" x14ac:dyDescent="0.2">
      <c r="A1505"/>
      <c r="B1505"/>
      <c r="C1505"/>
      <c r="D1505"/>
      <c r="E1505" s="2">
        <f>Comuni__2[[#This Row],[Popolazione2011]]/$D$7911</f>
        <v>1.5128802569412553E-4</v>
      </c>
      <c r="F1505">
        <f>SUMIFS($D$2:$D$7909, $B$2:$B$7909, "Emilia-Romagna")</f>
        <v>4342135</v>
      </c>
      <c r="G1505" s="1">
        <f>Comuni__2[[#This Row],[Popolazione2011]]/Comuni__2[[#This Row],[POPOLAZIONE TOTALE DI OGNI REGIONE (CON FILTRO)]]</f>
        <v>2.070410063252294E-3</v>
      </c>
      <c r="H1505" t="str">
        <f>IF(Comuni__2[[#This Row],[Popolazione2011]]&gt;300000,"MAGGIORE","")</f>
        <v/>
      </c>
      <c r="J1505">
        <v>136</v>
      </c>
      <c r="K1505">
        <v>1655</v>
      </c>
      <c r="L1505">
        <v>295</v>
      </c>
    </row>
    <row r="1506" spans="1:12" x14ac:dyDescent="0.2">
      <c r="A1506"/>
      <c r="B1506"/>
      <c r="C1506"/>
      <c r="D1506"/>
      <c r="E1506" s="2">
        <f>Comuni__2[[#This Row],[Popolazione2011]]/$D$7911</f>
        <v>1.5100194155210104E-4</v>
      </c>
      <c r="F1506">
        <f>SUMIFS($D$2:$D$7909, $B$2:$B$7909, "Emilia-Romagna")</f>
        <v>4342135</v>
      </c>
      <c r="G1506" s="1">
        <f>Comuni__2[[#This Row],[Popolazione2011]]/Comuni__2[[#This Row],[POPOLAZIONE TOTALE DI OGNI REGIONE (CON FILTRO)]]</f>
        <v>2.0664949385498146E-3</v>
      </c>
      <c r="H1506" t="str">
        <f>IF(Comuni__2[[#This Row],[Popolazione2011]]&gt;300000,"MAGGIORE","")</f>
        <v/>
      </c>
      <c r="J1506">
        <v>137</v>
      </c>
      <c r="K1506">
        <v>1688</v>
      </c>
      <c r="L1506">
        <v>297</v>
      </c>
    </row>
    <row r="1507" spans="1:12" x14ac:dyDescent="0.2">
      <c r="A1507"/>
      <c r="B1507"/>
      <c r="C1507"/>
      <c r="D1507"/>
      <c r="E1507" s="2">
        <f>Comuni__2[[#This Row],[Popolazione2011]]/$D$7911</f>
        <v>1.5091779915738798E-4</v>
      </c>
      <c r="F1507">
        <f>SUMIFS($D$2:$D$7909, $B$2:$B$7909, "Emilia-Romagna")</f>
        <v>4342135</v>
      </c>
      <c r="G1507" s="1">
        <f>Comuni__2[[#This Row],[Popolazione2011]]/Comuni__2[[#This Row],[POPOLAZIONE TOTALE DI OGNI REGIONE (CON FILTRO)]]</f>
        <v>2.0653434312843796E-3</v>
      </c>
      <c r="H1507" t="str">
        <f>IF(Comuni__2[[#This Row],[Popolazione2011]]&gt;300000,"MAGGIORE","")</f>
        <v/>
      </c>
      <c r="J1507">
        <v>134</v>
      </c>
      <c r="K1507">
        <v>1727</v>
      </c>
      <c r="L1507">
        <v>299</v>
      </c>
    </row>
    <row r="1508" spans="1:12" x14ac:dyDescent="0.2">
      <c r="A1508"/>
      <c r="B1508"/>
      <c r="C1508"/>
      <c r="D1508"/>
      <c r="E1508" s="2">
        <f>Comuni__2[[#This Row],[Popolazione2011]]/$D$7911</f>
        <v>1.5011003216814235E-4</v>
      </c>
      <c r="F1508">
        <f>SUMIFS($D$2:$D$7909, $B$2:$B$7909, "Emilia-Romagna")</f>
        <v>4342135</v>
      </c>
      <c r="G1508" s="1">
        <f>Comuni__2[[#This Row],[Popolazione2011]]/Comuni__2[[#This Row],[POPOLAZIONE TOTALE DI OGNI REGIONE (CON FILTRO)]]</f>
        <v>2.0542889615362027E-3</v>
      </c>
      <c r="H1508" t="str">
        <f>IF(Comuni__2[[#This Row],[Popolazione2011]]&gt;300000,"MAGGIORE","")</f>
        <v/>
      </c>
      <c r="J1508">
        <v>124</v>
      </c>
      <c r="K1508">
        <v>1798</v>
      </c>
      <c r="L1508">
        <v>303</v>
      </c>
    </row>
    <row r="1509" spans="1:12" x14ac:dyDescent="0.2">
      <c r="A1509"/>
      <c r="B1509"/>
      <c r="C1509"/>
      <c r="D1509"/>
      <c r="E1509" s="2">
        <f>Comuni__2[[#This Row],[Popolazione2011]]/$D$7911</f>
        <v>1.4994174737871619E-4</v>
      </c>
      <c r="F1509">
        <f>SUMIFS($D$2:$D$7909, $B$2:$B$7909, "Emilia-Romagna")</f>
        <v>4342135</v>
      </c>
      <c r="G1509" s="1">
        <f>Comuni__2[[#This Row],[Popolazione2011]]/Comuni__2[[#This Row],[POPOLAZIONE TOTALE DI OGNI REGIONE (CON FILTRO)]]</f>
        <v>2.0519859470053328E-3</v>
      </c>
      <c r="H1509" t="str">
        <f>IF(Comuni__2[[#This Row],[Popolazione2011]]&gt;300000,"MAGGIORE","")</f>
        <v/>
      </c>
      <c r="J1509">
        <v>118</v>
      </c>
      <c r="K1509">
        <v>1826</v>
      </c>
      <c r="L1509">
        <v>306</v>
      </c>
    </row>
    <row r="1510" spans="1:12" x14ac:dyDescent="0.2">
      <c r="A1510"/>
      <c r="B1510"/>
      <c r="C1510"/>
      <c r="D1510"/>
      <c r="E1510" s="2">
        <f>Comuni__2[[#This Row],[Popolazione2011]]/$D$7911</f>
        <v>1.4760258880569245E-4</v>
      </c>
      <c r="F1510">
        <f>SUMIFS($D$2:$D$7909, $B$2:$B$7909, "Emilia-Romagna")</f>
        <v>4342135</v>
      </c>
      <c r="G1510" s="1">
        <f>Comuni__2[[#This Row],[Popolazione2011]]/Comuni__2[[#This Row],[POPOLAZIONE TOTALE DI OGNI REGIONE (CON FILTRO)]]</f>
        <v>2.019974045026237E-3</v>
      </c>
      <c r="H1510" t="str">
        <f>IF(Comuni__2[[#This Row],[Popolazione2011]]&gt;300000,"MAGGIORE","")</f>
        <v/>
      </c>
      <c r="J1510">
        <v>111</v>
      </c>
      <c r="K1510">
        <v>1872</v>
      </c>
      <c r="L1510">
        <v>308</v>
      </c>
    </row>
    <row r="1511" spans="1:12" x14ac:dyDescent="0.2">
      <c r="A1511"/>
      <c r="B1511"/>
      <c r="C1511"/>
      <c r="D1511"/>
      <c r="E1511" s="2">
        <f>Comuni__2[[#This Row],[Popolazione2011]]/$D$7911</f>
        <v>1.4733333314261056E-4</v>
      </c>
      <c r="F1511">
        <f>SUMIFS($D$2:$D$7909, $B$2:$B$7909, "Emilia-Romagna")</f>
        <v>4342135</v>
      </c>
      <c r="G1511" s="1">
        <f>Comuni__2[[#This Row],[Popolazione2011]]/Comuni__2[[#This Row],[POPOLAZIONE TOTALE DI OGNI REGIONE (CON FILTRO)]]</f>
        <v>2.0162892217768448E-3</v>
      </c>
      <c r="H1511" t="str">
        <f>IF(Comuni__2[[#This Row],[Popolazione2011]]&gt;300000,"MAGGIORE","")</f>
        <v/>
      </c>
      <c r="J1511">
        <v>107</v>
      </c>
      <c r="K1511">
        <v>1897</v>
      </c>
      <c r="L1511">
        <v>308</v>
      </c>
    </row>
    <row r="1512" spans="1:12" x14ac:dyDescent="0.2">
      <c r="A1512"/>
      <c r="B1512"/>
      <c r="C1512"/>
      <c r="D1512"/>
      <c r="E1512" s="2">
        <f>Comuni__2[[#This Row],[Popolazione2011]]/$D$7911</f>
        <v>1.4597022634825862E-4</v>
      </c>
      <c r="F1512">
        <f>SUMIFS($D$2:$D$7909, $B$2:$B$7909, "Emilia-Romagna")</f>
        <v>4342135</v>
      </c>
      <c r="G1512" s="1">
        <f>Comuni__2[[#This Row],[Popolazione2011]]/Comuni__2[[#This Row],[POPOLAZIONE TOTALE DI OGNI REGIONE (CON FILTRO)]]</f>
        <v>1.9976348040767963E-3</v>
      </c>
      <c r="H1512" t="str">
        <f>IF(Comuni__2[[#This Row],[Popolazione2011]]&gt;300000,"MAGGIORE","")</f>
        <v/>
      </c>
      <c r="J1512">
        <v>104</v>
      </c>
      <c r="K1512">
        <v>1947</v>
      </c>
      <c r="L1512">
        <v>308</v>
      </c>
    </row>
    <row r="1513" spans="1:12" x14ac:dyDescent="0.2">
      <c r="A1513"/>
      <c r="B1513"/>
      <c r="C1513"/>
      <c r="D1513"/>
      <c r="E1513" s="2">
        <f>Comuni__2[[#This Row],[Popolazione2011]]/$D$7911</f>
        <v>1.4507831696429992E-4</v>
      </c>
      <c r="F1513">
        <f>SUMIFS($D$2:$D$7909, $B$2:$B$7909, "Emilia-Romagna")</f>
        <v>4342135</v>
      </c>
      <c r="G1513" s="1">
        <f>Comuni__2[[#This Row],[Popolazione2011]]/Comuni__2[[#This Row],[POPOLAZIONE TOTALE DI OGNI REGIONE (CON FILTRO)]]</f>
        <v>1.9854288270631845E-3</v>
      </c>
      <c r="H1513" t="str">
        <f>IF(Comuni__2[[#This Row],[Popolazione2011]]&gt;300000,"MAGGIORE","")</f>
        <v/>
      </c>
      <c r="J1513">
        <v>101</v>
      </c>
      <c r="K1513">
        <v>1969</v>
      </c>
      <c r="L1513">
        <v>310</v>
      </c>
    </row>
    <row r="1514" spans="1:12" x14ac:dyDescent="0.2">
      <c r="A1514"/>
      <c r="B1514"/>
      <c r="C1514"/>
      <c r="D1514"/>
      <c r="E1514" s="2">
        <f>Comuni__2[[#This Row],[Popolazione2011]]/$D$7911</f>
        <v>1.4462394803284925E-4</v>
      </c>
      <c r="F1514">
        <f>SUMIFS($D$2:$D$7909, $B$2:$B$7909, "Emilia-Romagna")</f>
        <v>4342135</v>
      </c>
      <c r="G1514" s="1">
        <f>Comuni__2[[#This Row],[Popolazione2011]]/Comuni__2[[#This Row],[POPOLAZIONE TOTALE DI OGNI REGIONE (CON FILTRO)]]</f>
        <v>1.9792106878298347E-3</v>
      </c>
      <c r="H1514" t="str">
        <f>IF(Comuni__2[[#This Row],[Popolazione2011]]&gt;300000,"MAGGIORE","")</f>
        <v/>
      </c>
      <c r="J1514">
        <v>99</v>
      </c>
      <c r="K1514">
        <v>1996</v>
      </c>
      <c r="L1514">
        <v>312</v>
      </c>
    </row>
    <row r="1515" spans="1:12" x14ac:dyDescent="0.2">
      <c r="A1515"/>
      <c r="B1515"/>
      <c r="C1515"/>
      <c r="D1515"/>
      <c r="E1515" s="2">
        <f>Comuni__2[[#This Row],[Popolazione2011]]/$D$7911</f>
        <v>1.432776697174399E-4</v>
      </c>
      <c r="F1515">
        <f>SUMIFS($D$2:$D$7909, $B$2:$B$7909, "Emilia-Romagna")</f>
        <v>4342135</v>
      </c>
      <c r="G1515" s="1">
        <f>Comuni__2[[#This Row],[Popolazione2011]]/Comuni__2[[#This Row],[POPOLAZIONE TOTALE DI OGNI REGIONE (CON FILTRO)]]</f>
        <v>1.9607865715828734E-3</v>
      </c>
      <c r="H1515" t="str">
        <f>IF(Comuni__2[[#This Row],[Popolazione2011]]&gt;300000,"MAGGIORE","")</f>
        <v/>
      </c>
      <c r="J1515">
        <v>98</v>
      </c>
      <c r="K1515">
        <v>2034</v>
      </c>
      <c r="L1515">
        <v>313</v>
      </c>
    </row>
    <row r="1516" spans="1:12" x14ac:dyDescent="0.2">
      <c r="A1516"/>
      <c r="B1516"/>
      <c r="C1516"/>
      <c r="D1516"/>
      <c r="E1516" s="2">
        <f>Comuni__2[[#This Row],[Popolazione2011]]/$D$7911</f>
        <v>1.4317669884378421E-4</v>
      </c>
      <c r="F1516">
        <f>SUMIFS($D$2:$D$7909, $B$2:$B$7909, "Emilia-Romagna")</f>
        <v>4342135</v>
      </c>
      <c r="G1516" s="1">
        <f>Comuni__2[[#This Row],[Popolazione2011]]/Comuni__2[[#This Row],[POPOLAZIONE TOTALE DI OGNI REGIONE (CON FILTRO)]]</f>
        <v>1.9594047628643512E-3</v>
      </c>
      <c r="H1516" t="str">
        <f>IF(Comuni__2[[#This Row],[Popolazione2011]]&gt;300000,"MAGGIORE","")</f>
        <v/>
      </c>
      <c r="J1516">
        <v>94</v>
      </c>
      <c r="K1516">
        <v>2061</v>
      </c>
      <c r="L1516">
        <v>316</v>
      </c>
    </row>
    <row r="1517" spans="1:12" x14ac:dyDescent="0.2">
      <c r="A1517"/>
      <c r="B1517"/>
      <c r="C1517"/>
      <c r="D1517"/>
      <c r="E1517" s="2">
        <f>Comuni__2[[#This Row],[Popolazione2011]]/$D$7911</f>
        <v>1.3898640758707261E-4</v>
      </c>
      <c r="F1517">
        <f>SUMIFS($D$2:$D$7909, $B$2:$B$7909, "Emilia-Romagna")</f>
        <v>4342135</v>
      </c>
      <c r="G1517" s="1">
        <f>Comuni__2[[#This Row],[Popolazione2011]]/Comuni__2[[#This Row],[POPOLAZIONE TOTALE DI OGNI REGIONE (CON FILTRO)]]</f>
        <v>1.9020597010456837E-3</v>
      </c>
      <c r="H1517" t="str">
        <f>IF(Comuni__2[[#This Row],[Popolazione2011]]&gt;300000,"MAGGIORE","")</f>
        <v/>
      </c>
      <c r="J1517">
        <v>151</v>
      </c>
      <c r="K1517">
        <v>2074</v>
      </c>
      <c r="L1517">
        <v>317</v>
      </c>
    </row>
    <row r="1518" spans="1:12" x14ac:dyDescent="0.2">
      <c r="A1518"/>
      <c r="B1518"/>
      <c r="C1518"/>
      <c r="D1518"/>
      <c r="E1518" s="2">
        <f>Comuni__2[[#This Row],[Popolazione2011]]/$D$7911</f>
        <v>1.3875080888187599E-4</v>
      </c>
      <c r="F1518">
        <f>SUMIFS($D$2:$D$7909, $B$2:$B$7909, "Emilia-Romagna")</f>
        <v>4342135</v>
      </c>
      <c r="G1518" s="1">
        <f>Comuni__2[[#This Row],[Popolazione2011]]/Comuni__2[[#This Row],[POPOLAZIONE TOTALE DI OGNI REGIONE (CON FILTRO)]]</f>
        <v>1.8988354807024654E-3</v>
      </c>
      <c r="H1518" t="str">
        <f>IF(Comuni__2[[#This Row],[Popolazione2011]]&gt;300000,"MAGGIORE","")</f>
        <v/>
      </c>
      <c r="J1518">
        <v>83</v>
      </c>
      <c r="K1518">
        <v>2116</v>
      </c>
      <c r="L1518">
        <v>318</v>
      </c>
    </row>
    <row r="1519" spans="1:12" x14ac:dyDescent="0.2">
      <c r="A1519"/>
      <c r="B1519"/>
      <c r="C1519"/>
      <c r="D1519"/>
      <c r="E1519" s="2">
        <f>Comuni__2[[#This Row],[Popolazione2011]]/$D$7911</f>
        <v>1.3801035580840082E-4</v>
      </c>
      <c r="F1519">
        <f>SUMIFS($D$2:$D$7909, $B$2:$B$7909, "Emilia-Romagna")</f>
        <v>4342135</v>
      </c>
      <c r="G1519" s="1">
        <f>Comuni__2[[#This Row],[Popolazione2011]]/Comuni__2[[#This Row],[POPOLAZIONE TOTALE DI OGNI REGIONE (CON FILTRO)]]</f>
        <v>1.8887022167666367E-3</v>
      </c>
      <c r="H1519" t="str">
        <f>IF(Comuni__2[[#This Row],[Popolazione2011]]&gt;300000,"MAGGIORE","")</f>
        <v/>
      </c>
      <c r="J1519">
        <v>82</v>
      </c>
      <c r="K1519">
        <v>2184</v>
      </c>
      <c r="L1519">
        <v>319</v>
      </c>
    </row>
    <row r="1520" spans="1:12" x14ac:dyDescent="0.2">
      <c r="A1520"/>
      <c r="B1520"/>
      <c r="C1520"/>
      <c r="D1520"/>
      <c r="E1520" s="2">
        <f>Comuni__2[[#This Row],[Popolazione2011]]/$D$7911</f>
        <v>1.3486343024613149E-4</v>
      </c>
      <c r="F1520">
        <f>SUMIFS($D$2:$D$7909, $B$2:$B$7909, "Emilia-Romagna")</f>
        <v>4342135</v>
      </c>
      <c r="G1520" s="1">
        <f>Comuni__2[[#This Row],[Popolazione2011]]/Comuni__2[[#This Row],[POPOLAZIONE TOTALE DI OGNI REGIONE (CON FILTRO)]]</f>
        <v>1.8456358450393642E-3</v>
      </c>
      <c r="H1520" t="str">
        <f>IF(Comuni__2[[#This Row],[Popolazione2011]]&gt;300000,"MAGGIORE","")</f>
        <v/>
      </c>
      <c r="J1520">
        <v>83</v>
      </c>
      <c r="K1520">
        <v>2218</v>
      </c>
      <c r="L1520">
        <v>319</v>
      </c>
    </row>
    <row r="1521" spans="1:12" x14ac:dyDescent="0.2">
      <c r="A1521"/>
      <c r="B1521"/>
      <c r="C1521"/>
      <c r="D1521"/>
      <c r="E1521" s="2">
        <f>Comuni__2[[#This Row],[Popolazione2011]]/$D$7911</f>
        <v>1.344763752304513E-4</v>
      </c>
      <c r="F1521">
        <f>SUMIFS($D$2:$D$7909, $B$2:$B$7909, "Emilia-Romagna")</f>
        <v>4342135</v>
      </c>
      <c r="G1521" s="1">
        <f>Comuni__2[[#This Row],[Popolazione2011]]/Comuni__2[[#This Row],[POPOLAZIONE TOTALE DI OGNI REGIONE (CON FILTRO)]]</f>
        <v>1.8403389116183628E-3</v>
      </c>
      <c r="H1521" t="str">
        <f>IF(Comuni__2[[#This Row],[Popolazione2011]]&gt;300000,"MAGGIORE","")</f>
        <v/>
      </c>
      <c r="J1521">
        <v>84</v>
      </c>
      <c r="K1521">
        <v>2257</v>
      </c>
      <c r="L1521">
        <v>320</v>
      </c>
    </row>
    <row r="1522" spans="1:12" x14ac:dyDescent="0.2">
      <c r="A1522"/>
      <c r="B1522"/>
      <c r="C1522"/>
      <c r="D1522"/>
      <c r="E1522" s="2">
        <f>Comuni__2[[#This Row],[Popolazione2011]]/$D$7911</f>
        <v>1.3080776682096082E-4</v>
      </c>
      <c r="F1522">
        <f>SUMIFS($D$2:$D$7909, $B$2:$B$7909, "Emilia-Romagna")</f>
        <v>4342135</v>
      </c>
      <c r="G1522" s="1">
        <f>Comuni__2[[#This Row],[Popolazione2011]]/Comuni__2[[#This Row],[POPOLAZIONE TOTALE DI OGNI REGIONE (CON FILTRO)]]</f>
        <v>1.7901331948453928E-3</v>
      </c>
      <c r="H1522" t="str">
        <f>IF(Comuni__2[[#This Row],[Popolazione2011]]&gt;300000,"MAGGIORE","")</f>
        <v/>
      </c>
      <c r="J1522">
        <v>78</v>
      </c>
      <c r="K1522">
        <v>2283</v>
      </c>
      <c r="L1522">
        <v>320</v>
      </c>
    </row>
    <row r="1523" spans="1:12" x14ac:dyDescent="0.2">
      <c r="A1523"/>
      <c r="B1523"/>
      <c r="C1523"/>
      <c r="D1523"/>
      <c r="E1523" s="2">
        <f>Comuni__2[[#This Row],[Popolazione2011]]/$D$7911</f>
        <v>1.2897346261621557E-4</v>
      </c>
      <c r="F1523">
        <f>SUMIFS($D$2:$D$7909, $B$2:$B$7909, "Emilia-Romagna")</f>
        <v>4342135</v>
      </c>
      <c r="G1523" s="1">
        <f>Comuni__2[[#This Row],[Popolazione2011]]/Comuni__2[[#This Row],[POPOLAZIONE TOTALE DI OGNI REGIONE (CON FILTRO)]]</f>
        <v>1.7650303364589079E-3</v>
      </c>
      <c r="H1523" t="str">
        <f>IF(Comuni__2[[#This Row],[Popolazione2011]]&gt;300000,"MAGGIORE","")</f>
        <v/>
      </c>
      <c r="J1523">
        <v>78</v>
      </c>
      <c r="K1523">
        <v>2291</v>
      </c>
      <c r="L1523">
        <v>322</v>
      </c>
    </row>
    <row r="1524" spans="1:12" x14ac:dyDescent="0.2">
      <c r="A1524"/>
      <c r="B1524"/>
      <c r="C1524"/>
      <c r="D1524"/>
      <c r="E1524" s="2">
        <f>Comuni__2[[#This Row],[Popolazione2011]]/$D$7911</f>
        <v>1.2860323607947802E-4</v>
      </c>
      <c r="F1524">
        <f>SUMIFS($D$2:$D$7909, $B$2:$B$7909, "Emilia-Romagna")</f>
        <v>4342135</v>
      </c>
      <c r="G1524" s="1">
        <f>Comuni__2[[#This Row],[Popolazione2011]]/Comuni__2[[#This Row],[POPOLAZIONE TOTALE DI OGNI REGIONE (CON FILTRO)]]</f>
        <v>1.7599637044909936E-3</v>
      </c>
      <c r="H1524" t="str">
        <f>IF(Comuni__2[[#This Row],[Popolazione2011]]&gt;300000,"MAGGIORE","")</f>
        <v/>
      </c>
      <c r="J1524">
        <v>74</v>
      </c>
      <c r="K1524">
        <v>2314</v>
      </c>
      <c r="L1524">
        <v>323</v>
      </c>
    </row>
    <row r="1525" spans="1:12" x14ac:dyDescent="0.2">
      <c r="A1525"/>
      <c r="B1525"/>
      <c r="C1525"/>
      <c r="D1525"/>
      <c r="E1525" s="2">
        <f>Comuni__2[[#This Row],[Popolazione2011]]/$D$7911</f>
        <v>1.2841812281110923E-4</v>
      </c>
      <c r="F1525">
        <f>SUMIFS($D$2:$D$7909, $B$2:$B$7909, "Emilia-Romagna")</f>
        <v>4342135</v>
      </c>
      <c r="G1525" s="1">
        <f>Comuni__2[[#This Row],[Popolazione2011]]/Comuni__2[[#This Row],[POPOLAZIONE TOTALE DI OGNI REGIONE (CON FILTRO)]]</f>
        <v>1.7574303885070364E-3</v>
      </c>
      <c r="H1525" t="str">
        <f>IF(Comuni__2[[#This Row],[Popolazione2011]]&gt;300000,"MAGGIORE","")</f>
        <v/>
      </c>
      <c r="J1525">
        <v>70</v>
      </c>
      <c r="K1525">
        <v>2417</v>
      </c>
      <c r="L1525">
        <v>325</v>
      </c>
    </row>
    <row r="1526" spans="1:12" x14ac:dyDescent="0.2">
      <c r="A1526"/>
      <c r="B1526"/>
      <c r="C1526"/>
      <c r="D1526"/>
      <c r="E1526" s="2">
        <f>Comuni__2[[#This Row],[Popolazione2011]]/$D$7911</f>
        <v>1.2683624579050323E-4</v>
      </c>
      <c r="F1526">
        <f>SUMIFS($D$2:$D$7909, $B$2:$B$7909, "Emilia-Romagna")</f>
        <v>4342135</v>
      </c>
      <c r="G1526" s="1">
        <f>Comuni__2[[#This Row],[Popolazione2011]]/Comuni__2[[#This Row],[POPOLAZIONE TOTALE DI OGNI REGIONE (CON FILTRO)]]</f>
        <v>1.7357820519168566E-3</v>
      </c>
      <c r="H1526" t="str">
        <f>IF(Comuni__2[[#This Row],[Popolazione2011]]&gt;300000,"MAGGIORE","")</f>
        <v/>
      </c>
      <c r="J1526">
        <v>64</v>
      </c>
      <c r="K1526">
        <v>2447</v>
      </c>
      <c r="L1526">
        <v>327</v>
      </c>
    </row>
    <row r="1527" spans="1:12" x14ac:dyDescent="0.2">
      <c r="A1527"/>
      <c r="B1527"/>
      <c r="C1527"/>
      <c r="D1527"/>
      <c r="E1527" s="2">
        <f>Comuni__2[[#This Row],[Popolazione2011]]/$D$7911</f>
        <v>1.2550679595403651E-4</v>
      </c>
      <c r="F1527">
        <f>SUMIFS($D$2:$D$7909, $B$2:$B$7909, "Emilia-Romagna")</f>
        <v>4342135</v>
      </c>
      <c r="G1527" s="1">
        <f>Comuni__2[[#This Row],[Popolazione2011]]/Comuni__2[[#This Row],[POPOLAZIONE TOTALE DI OGNI REGIONE (CON FILTRO)]]</f>
        <v>1.7175882371229822E-3</v>
      </c>
      <c r="H1527" t="str">
        <f>IF(Comuni__2[[#This Row],[Popolazione2011]]&gt;300000,"MAGGIORE","")</f>
        <v/>
      </c>
      <c r="J1527">
        <v>63</v>
      </c>
      <c r="K1527">
        <v>2495</v>
      </c>
      <c r="L1527">
        <v>329</v>
      </c>
    </row>
    <row r="1528" spans="1:12" x14ac:dyDescent="0.2">
      <c r="A1528"/>
      <c r="B1528"/>
      <c r="C1528"/>
      <c r="D1528"/>
      <c r="E1528" s="2">
        <f>Comuni__2[[#This Row],[Popolazione2011]]/$D$7911</f>
        <v>1.2505242702258587E-4</v>
      </c>
      <c r="F1528">
        <f>SUMIFS($D$2:$D$7909, $B$2:$B$7909, "Emilia-Romagna")</f>
        <v>4342135</v>
      </c>
      <c r="G1528" s="1">
        <f>Comuni__2[[#This Row],[Popolazione2011]]/Comuni__2[[#This Row],[POPOLAZIONE TOTALE DI OGNI REGIONE (CON FILTRO)]]</f>
        <v>1.7113700978896326E-3</v>
      </c>
      <c r="H1528" t="str">
        <f>IF(Comuni__2[[#This Row],[Popolazione2011]]&gt;300000,"MAGGIORE","")</f>
        <v/>
      </c>
      <c r="J1528">
        <v>63</v>
      </c>
      <c r="K1528">
        <v>2525</v>
      </c>
      <c r="L1528">
        <v>329</v>
      </c>
    </row>
    <row r="1529" spans="1:12" x14ac:dyDescent="0.2">
      <c r="A1529"/>
      <c r="B1529"/>
      <c r="C1529"/>
      <c r="D1529"/>
      <c r="E1529" s="2">
        <f>Comuni__2[[#This Row],[Popolazione2011]]/$D$7911</f>
        <v>1.2426148851228287E-4</v>
      </c>
      <c r="F1529">
        <f>SUMIFS($D$2:$D$7909, $B$2:$B$7909, "Emilia-Romagna")</f>
        <v>4342135</v>
      </c>
      <c r="G1529" s="1">
        <f>Comuni__2[[#This Row],[Popolazione2011]]/Comuni__2[[#This Row],[POPOLAZIONE TOTALE DI OGNI REGIONE (CON FILTRO)]]</f>
        <v>1.7005459295945428E-3</v>
      </c>
      <c r="H1529" t="str">
        <f>IF(Comuni__2[[#This Row],[Popolazione2011]]&gt;300000,"MAGGIORE","")</f>
        <v/>
      </c>
      <c r="J1529">
        <v>60</v>
      </c>
      <c r="K1529">
        <v>2547</v>
      </c>
      <c r="L1529">
        <v>329</v>
      </c>
    </row>
    <row r="1530" spans="1:12" x14ac:dyDescent="0.2">
      <c r="A1530"/>
      <c r="B1530"/>
      <c r="C1530"/>
      <c r="D1530"/>
      <c r="E1530" s="2">
        <f>Comuni__2[[#This Row],[Popolazione2011]]/$D$7911</f>
        <v>1.2392491893343052E-4</v>
      </c>
      <c r="F1530">
        <f>SUMIFS($D$2:$D$7909, $B$2:$B$7909, "Emilia-Romagna")</f>
        <v>4342135</v>
      </c>
      <c r="G1530" s="1">
        <f>Comuni__2[[#This Row],[Popolazione2011]]/Comuni__2[[#This Row],[POPOLAZIONE TOTALE DI OGNI REGIONE (CON FILTRO)]]</f>
        <v>1.6959399005328024E-3</v>
      </c>
      <c r="H1530" t="str">
        <f>IF(Comuni__2[[#This Row],[Popolazione2011]]&gt;300000,"MAGGIORE","")</f>
        <v/>
      </c>
      <c r="J1530">
        <v>52</v>
      </c>
      <c r="K1530">
        <v>2568</v>
      </c>
      <c r="L1530">
        <v>331</v>
      </c>
    </row>
    <row r="1531" spans="1:12" x14ac:dyDescent="0.2">
      <c r="A1531"/>
      <c r="B1531"/>
      <c r="C1531"/>
      <c r="D1531"/>
      <c r="E1531" s="2">
        <f>Comuni__2[[#This Row],[Popolazione2011]]/$D$7911</f>
        <v>1.2254498366013594E-4</v>
      </c>
      <c r="F1531">
        <f>SUMIFS($D$2:$D$7909, $B$2:$B$7909, "Emilia-Romagna")</f>
        <v>4342135</v>
      </c>
      <c r="G1531" s="1">
        <f>Comuni__2[[#This Row],[Popolazione2011]]/Comuni__2[[#This Row],[POPOLAZIONE TOTALE DI OGNI REGIONE (CON FILTRO)]]</f>
        <v>1.6770551813796669E-3</v>
      </c>
      <c r="H1531" t="str">
        <f>IF(Comuni__2[[#This Row],[Popolazione2011]]&gt;300000,"MAGGIORE","")</f>
        <v/>
      </c>
      <c r="J1531">
        <v>52</v>
      </c>
      <c r="K1531">
        <v>2593</v>
      </c>
      <c r="L1531">
        <v>333</v>
      </c>
    </row>
    <row r="1532" spans="1:12" x14ac:dyDescent="0.2">
      <c r="A1532"/>
      <c r="B1532"/>
      <c r="C1532"/>
      <c r="D1532"/>
      <c r="E1532" s="2">
        <f>Comuni__2[[#This Row],[Popolazione2011]]/$D$7911</f>
        <v>1.2242718430753761E-4</v>
      </c>
      <c r="F1532">
        <f>SUMIFS($D$2:$D$7909, $B$2:$B$7909, "Emilia-Romagna")</f>
        <v>4342135</v>
      </c>
      <c r="G1532" s="1">
        <f>Comuni__2[[#This Row],[Popolazione2011]]/Comuni__2[[#This Row],[POPOLAZIONE TOTALE DI OGNI REGIONE (CON FILTRO)]]</f>
        <v>1.6754430712080579E-3</v>
      </c>
      <c r="H1532" t="str">
        <f>IF(Comuni__2[[#This Row],[Popolazione2011]]&gt;300000,"MAGGIORE","")</f>
        <v/>
      </c>
      <c r="J1532">
        <v>47</v>
      </c>
      <c r="K1532">
        <v>2611</v>
      </c>
      <c r="L1532">
        <v>333</v>
      </c>
    </row>
    <row r="1533" spans="1:12" x14ac:dyDescent="0.2">
      <c r="A1533"/>
      <c r="B1533"/>
      <c r="C1533"/>
      <c r="D1533"/>
      <c r="E1533" s="2">
        <f>Comuni__2[[#This Row],[Popolazione2011]]/$D$7911</f>
        <v>1.210977344710709E-4</v>
      </c>
      <c r="F1533">
        <f>SUMIFS($D$2:$D$7909, $B$2:$B$7909, "Emilia-Romagna")</f>
        <v>4342135</v>
      </c>
      <c r="G1533" s="1">
        <f>Comuni__2[[#This Row],[Popolazione2011]]/Comuni__2[[#This Row],[POPOLAZIONE TOTALE DI OGNI REGIONE (CON FILTRO)]]</f>
        <v>1.6572492564141833E-3</v>
      </c>
      <c r="H1533" t="str">
        <f>IF(Comuni__2[[#This Row],[Popolazione2011]]&gt;300000,"MAGGIORE","")</f>
        <v/>
      </c>
      <c r="J1533">
        <v>46</v>
      </c>
      <c r="K1533">
        <v>2633</v>
      </c>
      <c r="L1533">
        <v>333</v>
      </c>
    </row>
    <row r="1534" spans="1:12" x14ac:dyDescent="0.2">
      <c r="A1534"/>
      <c r="B1534"/>
      <c r="C1534"/>
      <c r="D1534"/>
      <c r="E1534" s="2">
        <f>Comuni__2[[#This Row],[Popolazione2011]]/$D$7911</f>
        <v>1.2015533965028436E-4</v>
      </c>
      <c r="F1534">
        <f>SUMIFS($D$2:$D$7909, $B$2:$B$7909, "Emilia-Romagna")</f>
        <v>4342135</v>
      </c>
      <c r="G1534" s="1">
        <f>Comuni__2[[#This Row],[Popolazione2011]]/Comuni__2[[#This Row],[POPOLAZIONE TOTALE DI OGNI REGIONE (CON FILTRO)]]</f>
        <v>1.6443523750413103E-3</v>
      </c>
      <c r="H1534" t="str">
        <f>IF(Comuni__2[[#This Row],[Popolazione2011]]&gt;300000,"MAGGIORE","")</f>
        <v/>
      </c>
      <c r="J1534">
        <v>42</v>
      </c>
      <c r="K1534">
        <v>2662</v>
      </c>
      <c r="L1534">
        <v>333</v>
      </c>
    </row>
    <row r="1535" spans="1:12" x14ac:dyDescent="0.2">
      <c r="A1535"/>
      <c r="B1535"/>
      <c r="C1535"/>
      <c r="D1535"/>
      <c r="E1535" s="2">
        <f>Comuni__2[[#This Row],[Popolazione2011]]/$D$7911</f>
        <v>1.2015533965028436E-4</v>
      </c>
      <c r="F1535">
        <f>SUMIFS($D$2:$D$7909, $B$2:$B$7909, "Emilia-Romagna")</f>
        <v>4342135</v>
      </c>
      <c r="G1535" s="1">
        <f>Comuni__2[[#This Row],[Popolazione2011]]/Comuni__2[[#This Row],[POPOLAZIONE TOTALE DI OGNI REGIONE (CON FILTRO)]]</f>
        <v>1.6443523750413103E-3</v>
      </c>
      <c r="H1535" t="str">
        <f>IF(Comuni__2[[#This Row],[Popolazione2011]]&gt;300000,"MAGGIORE","")</f>
        <v/>
      </c>
      <c r="J1535">
        <v>42</v>
      </c>
      <c r="K1535">
        <v>2673</v>
      </c>
      <c r="L1535">
        <v>335</v>
      </c>
    </row>
    <row r="1536" spans="1:12" x14ac:dyDescent="0.2">
      <c r="A1536"/>
      <c r="B1536"/>
      <c r="C1536"/>
      <c r="D1536"/>
      <c r="E1536" s="2">
        <f>Comuni__2[[#This Row],[Popolazione2011]]/$D$7911</f>
        <v>1.1855663415073574E-4</v>
      </c>
      <c r="F1536">
        <f>SUMIFS($D$2:$D$7909, $B$2:$B$7909, "Emilia-Romagna")</f>
        <v>4342135</v>
      </c>
      <c r="G1536" s="1">
        <f>Comuni__2[[#This Row],[Popolazione2011]]/Comuni__2[[#This Row],[POPOLAZIONE TOTALE DI OGNI REGIONE (CON FILTRO)]]</f>
        <v>1.6224737369980437E-3</v>
      </c>
      <c r="H1536" t="str">
        <f>IF(Comuni__2[[#This Row],[Popolazione2011]]&gt;300000,"MAGGIORE","")</f>
        <v/>
      </c>
      <c r="J1536">
        <v>42</v>
      </c>
      <c r="K1536">
        <v>2696</v>
      </c>
      <c r="L1536">
        <v>336</v>
      </c>
    </row>
    <row r="1537" spans="1:12" x14ac:dyDescent="0.2">
      <c r="A1537"/>
      <c r="B1537"/>
      <c r="C1537"/>
      <c r="D1537"/>
      <c r="E1537" s="2">
        <f>Comuni__2[[#This Row],[Popolazione2011]]/$D$7911</f>
        <v>1.1852297719285051E-4</v>
      </c>
      <c r="F1537">
        <f>SUMIFS($D$2:$D$7909, $B$2:$B$7909, "Emilia-Romagna")</f>
        <v>4342135</v>
      </c>
      <c r="G1537" s="1">
        <f>Comuni__2[[#This Row],[Popolazione2011]]/Comuni__2[[#This Row],[POPOLAZIONE TOTALE DI OGNI REGIONE (CON FILTRO)]]</f>
        <v>1.6220131340918696E-3</v>
      </c>
      <c r="H1537" t="str">
        <f>IF(Comuni__2[[#This Row],[Popolazione2011]]&gt;300000,"MAGGIORE","")</f>
        <v/>
      </c>
      <c r="J1537">
        <v>41</v>
      </c>
      <c r="K1537">
        <v>2707</v>
      </c>
      <c r="L1537">
        <v>336</v>
      </c>
    </row>
    <row r="1538" spans="1:12" x14ac:dyDescent="0.2">
      <c r="A1538"/>
      <c r="B1538"/>
      <c r="C1538"/>
      <c r="D1538"/>
      <c r="E1538" s="2">
        <f>Comuni__2[[#This Row],[Popolazione2011]]/$D$7911</f>
        <v>1.1774886716149014E-4</v>
      </c>
      <c r="F1538">
        <f>SUMIFS($D$2:$D$7909, $B$2:$B$7909, "Emilia-Romagna")</f>
        <v>4342135</v>
      </c>
      <c r="G1538" s="1">
        <f>Comuni__2[[#This Row],[Popolazione2011]]/Comuni__2[[#This Row],[POPOLAZIONE TOTALE DI OGNI REGIONE (CON FILTRO)]]</f>
        <v>1.6114192672498668E-3</v>
      </c>
      <c r="H1538" t="str">
        <f>IF(Comuni__2[[#This Row],[Popolazione2011]]&gt;300000,"MAGGIORE","")</f>
        <v/>
      </c>
      <c r="J1538">
        <v>36</v>
      </c>
      <c r="K1538">
        <v>2730</v>
      </c>
      <c r="L1538">
        <v>336</v>
      </c>
    </row>
    <row r="1539" spans="1:12" x14ac:dyDescent="0.2">
      <c r="A1539"/>
      <c r="B1539"/>
      <c r="C1539"/>
      <c r="D1539"/>
      <c r="E1539" s="2">
        <f>Comuni__2[[#This Row],[Popolazione2011]]/$D$7911</f>
        <v>1.1724401279321163E-4</v>
      </c>
      <c r="F1539">
        <f>SUMIFS($D$2:$D$7909, $B$2:$B$7909, "Emilia-Romagna")</f>
        <v>4342135</v>
      </c>
      <c r="G1539" s="1">
        <f>Comuni__2[[#This Row],[Popolazione2011]]/Comuni__2[[#This Row],[POPOLAZIONE TOTALE DI OGNI REGIONE (CON FILTRO)]]</f>
        <v>1.6045102236572561E-3</v>
      </c>
      <c r="H1539" t="str">
        <f>IF(Comuni__2[[#This Row],[Popolazione2011]]&gt;300000,"MAGGIORE","")</f>
        <v/>
      </c>
      <c r="J1539">
        <v>27</v>
      </c>
      <c r="K1539">
        <v>2762</v>
      </c>
      <c r="L1539">
        <v>338</v>
      </c>
    </row>
    <row r="1540" spans="1:12" x14ac:dyDescent="0.2">
      <c r="A1540"/>
      <c r="B1540"/>
      <c r="C1540"/>
      <c r="D1540"/>
      <c r="E1540" s="2">
        <f>Comuni__2[[#This Row],[Popolazione2011]]/$D$7911</f>
        <v>1.1717669887744117E-4</v>
      </c>
      <c r="F1540">
        <f>SUMIFS($D$2:$D$7909, $B$2:$B$7909, "Emilia-Romagna")</f>
        <v>4342135</v>
      </c>
      <c r="G1540" s="1">
        <f>Comuni__2[[#This Row],[Popolazione2011]]/Comuni__2[[#This Row],[POPOLAZIONE TOTALE DI OGNI REGIONE (CON FILTRO)]]</f>
        <v>1.6035890178449082E-3</v>
      </c>
      <c r="H1540" t="str">
        <f>IF(Comuni__2[[#This Row],[Popolazione2011]]&gt;300000,"MAGGIORE","")</f>
        <v/>
      </c>
      <c r="J1540">
        <v>26</v>
      </c>
      <c r="K1540">
        <v>2784</v>
      </c>
      <c r="L1540">
        <v>338</v>
      </c>
    </row>
    <row r="1541" spans="1:12" x14ac:dyDescent="0.2">
      <c r="A1541"/>
      <c r="B1541"/>
      <c r="C1541"/>
      <c r="D1541"/>
      <c r="E1541" s="2">
        <f>Comuni__2[[#This Row],[Popolazione2011]]/$D$7911</f>
        <v>1.1603236230934322E-4</v>
      </c>
      <c r="F1541">
        <f>SUMIFS($D$2:$D$7909, $B$2:$B$7909, "Emilia-Romagna")</f>
        <v>4342135</v>
      </c>
      <c r="G1541" s="1">
        <f>Comuni__2[[#This Row],[Popolazione2011]]/Comuni__2[[#This Row],[POPOLAZIONE TOTALE DI OGNI REGIONE (CON FILTRO)]]</f>
        <v>1.5879285190349909E-3</v>
      </c>
      <c r="H1541" t="str">
        <f>IF(Comuni__2[[#This Row],[Popolazione2011]]&gt;300000,"MAGGIORE","")</f>
        <v/>
      </c>
      <c r="J1541">
        <v>26</v>
      </c>
      <c r="K1541">
        <v>2793</v>
      </c>
      <c r="L1541">
        <v>339</v>
      </c>
    </row>
    <row r="1542" spans="1:12" x14ac:dyDescent="0.2">
      <c r="A1542"/>
      <c r="B1542"/>
      <c r="C1542"/>
      <c r="D1542"/>
      <c r="E1542" s="2">
        <f>Comuni__2[[#This Row],[Popolazione2011]]/$D$7911</f>
        <v>1.1598187687251537E-4</v>
      </c>
      <c r="F1542">
        <f>SUMIFS($D$2:$D$7909, $B$2:$B$7909, "Emilia-Romagna")</f>
        <v>4342135</v>
      </c>
      <c r="G1542" s="1">
        <f>Comuni__2[[#This Row],[Popolazione2011]]/Comuni__2[[#This Row],[POPOLAZIONE TOTALE DI OGNI REGIONE (CON FILTRO)]]</f>
        <v>1.5872376146757298E-3</v>
      </c>
      <c r="H1542" t="str">
        <f>IF(Comuni__2[[#This Row],[Popolazione2011]]&gt;300000,"MAGGIORE","")</f>
        <v/>
      </c>
      <c r="J1542">
        <v>25</v>
      </c>
      <c r="K1542">
        <v>2800</v>
      </c>
      <c r="L1542">
        <v>340</v>
      </c>
    </row>
    <row r="1543" spans="1:12" x14ac:dyDescent="0.2">
      <c r="A1543"/>
      <c r="B1543"/>
      <c r="C1543"/>
      <c r="D1543"/>
      <c r="E1543" s="2">
        <f>Comuni__2[[#This Row],[Popolazione2011]]/$D$7911</f>
        <v>1.1532556619375331E-4</v>
      </c>
      <c r="F1543">
        <f>SUMIFS($D$2:$D$7909, $B$2:$B$7909, "Emilia-Romagna")</f>
        <v>4342135</v>
      </c>
      <c r="G1543" s="1">
        <f>Comuni__2[[#This Row],[Popolazione2011]]/Comuni__2[[#This Row],[POPOLAZIONE TOTALE DI OGNI REGIONE (CON FILTRO)]]</f>
        <v>1.578255858005336E-3</v>
      </c>
      <c r="H1543" t="str">
        <f>IF(Comuni__2[[#This Row],[Popolazione2011]]&gt;300000,"MAGGIORE","")</f>
        <v/>
      </c>
      <c r="J1543">
        <v>23</v>
      </c>
      <c r="K1543">
        <v>2816</v>
      </c>
      <c r="L1543">
        <v>340</v>
      </c>
    </row>
    <row r="1544" spans="1:12" x14ac:dyDescent="0.2">
      <c r="A1544"/>
      <c r="B1544"/>
      <c r="C1544"/>
      <c r="D1544"/>
      <c r="E1544" s="2">
        <f>Comuni__2[[#This Row],[Popolazione2011]]/$D$7911</f>
        <v>1.1505631053067144E-4</v>
      </c>
      <c r="F1544">
        <f>SUMIFS($D$2:$D$7909, $B$2:$B$7909, "Emilia-Romagna")</f>
        <v>4342135</v>
      </c>
      <c r="G1544" s="1">
        <f>Comuni__2[[#This Row],[Popolazione2011]]/Comuni__2[[#This Row],[POPOLAZIONE TOTALE DI OGNI REGIONE (CON FILTRO)]]</f>
        <v>1.5745710347559439E-3</v>
      </c>
      <c r="H1544" t="str">
        <f>IF(Comuni__2[[#This Row],[Popolazione2011]]&gt;300000,"MAGGIORE","")</f>
        <v/>
      </c>
      <c r="J1544">
        <v>26</v>
      </c>
      <c r="K1544">
        <v>2832</v>
      </c>
      <c r="L1544">
        <v>341</v>
      </c>
    </row>
    <row r="1545" spans="1:12" x14ac:dyDescent="0.2">
      <c r="A1545"/>
      <c r="B1545"/>
      <c r="C1545"/>
      <c r="D1545"/>
      <c r="E1545" s="2">
        <f>Comuni__2[[#This Row],[Popolazione2011]]/$D$7911</f>
        <v>1.1381100308891779E-4</v>
      </c>
      <c r="F1545">
        <f>SUMIFS($D$2:$D$7909, $B$2:$B$7909, "Emilia-Romagna")</f>
        <v>4342135</v>
      </c>
      <c r="G1545" s="1">
        <f>Comuni__2[[#This Row],[Popolazione2011]]/Comuni__2[[#This Row],[POPOLAZIONE TOTALE DI OGNI REGIONE (CON FILTRO)]]</f>
        <v>1.5575287272275044E-3</v>
      </c>
      <c r="H1545" t="str">
        <f>IF(Comuni__2[[#This Row],[Popolazione2011]]&gt;300000,"MAGGIORE","")</f>
        <v/>
      </c>
      <c r="J1545">
        <v>22</v>
      </c>
      <c r="K1545">
        <v>2833</v>
      </c>
      <c r="L1545">
        <v>342</v>
      </c>
    </row>
    <row r="1546" spans="1:12" x14ac:dyDescent="0.2">
      <c r="A1546"/>
      <c r="B1546"/>
      <c r="C1546"/>
      <c r="D1546"/>
      <c r="E1546" s="2">
        <f>Comuni__2[[#This Row],[Popolazione2011]]/$D$7911</f>
        <v>1.1268349499976247E-4</v>
      </c>
      <c r="F1546">
        <f>SUMIFS($D$2:$D$7909, $B$2:$B$7909, "Emilia-Romagna")</f>
        <v>4342135</v>
      </c>
      <c r="G1546" s="1">
        <f>Comuni__2[[#This Row],[Popolazione2011]]/Comuni__2[[#This Row],[POPOLAZIONE TOTALE DI OGNI REGIONE (CON FILTRO)]]</f>
        <v>1.5420985298706742E-3</v>
      </c>
      <c r="H1546" t="str">
        <f>IF(Comuni__2[[#This Row],[Popolazione2011]]&gt;300000,"MAGGIORE","")</f>
        <v/>
      </c>
      <c r="J1546">
        <v>18</v>
      </c>
      <c r="K1546">
        <v>2840</v>
      </c>
      <c r="L1546">
        <v>342</v>
      </c>
    </row>
    <row r="1547" spans="1:12" x14ac:dyDescent="0.2">
      <c r="A1547"/>
      <c r="B1547"/>
      <c r="C1547"/>
      <c r="D1547"/>
      <c r="E1547" s="2">
        <f>Comuni__2[[#This Row],[Popolazione2011]]/$D$7911</f>
        <v>1.1248155325245106E-4</v>
      </c>
      <c r="F1547">
        <f>SUMIFS($D$2:$D$7909, $B$2:$B$7909, "Emilia-Romagna")</f>
        <v>4342135</v>
      </c>
      <c r="G1547" s="1">
        <f>Comuni__2[[#This Row],[Popolazione2011]]/Comuni__2[[#This Row],[POPOLAZIONE TOTALE DI OGNI REGIONE (CON FILTRO)]]</f>
        <v>1.53933491243363E-3</v>
      </c>
      <c r="H1547" t="str">
        <f>IF(Comuni__2[[#This Row],[Popolazione2011]]&gt;300000,"MAGGIORE","")</f>
        <v/>
      </c>
      <c r="J1547">
        <v>15</v>
      </c>
      <c r="K1547">
        <v>2848</v>
      </c>
      <c r="L1547">
        <v>343</v>
      </c>
    </row>
    <row r="1548" spans="1:12" x14ac:dyDescent="0.2">
      <c r="A1548"/>
      <c r="B1548"/>
      <c r="C1548"/>
      <c r="D1548"/>
      <c r="E1548" s="2">
        <f>Comuni__2[[#This Row],[Popolazione2011]]/$D$7911</f>
        <v>1.1172427170003331E-4</v>
      </c>
      <c r="F1548">
        <f>SUMIFS($D$2:$D$7909, $B$2:$B$7909, "Emilia-Romagna")</f>
        <v>4342135</v>
      </c>
      <c r="G1548" s="1">
        <f>Comuni__2[[#This Row],[Popolazione2011]]/Comuni__2[[#This Row],[POPOLAZIONE TOTALE DI OGNI REGIONE (CON FILTRO)]]</f>
        <v>1.5289713470447142E-3</v>
      </c>
      <c r="H1548" t="str">
        <f>IF(Comuni__2[[#This Row],[Popolazione2011]]&gt;300000,"MAGGIORE","")</f>
        <v/>
      </c>
      <c r="J1548">
        <v>16</v>
      </c>
      <c r="K1548">
        <v>2850</v>
      </c>
      <c r="L1548">
        <v>343</v>
      </c>
    </row>
    <row r="1549" spans="1:12" x14ac:dyDescent="0.2">
      <c r="A1549"/>
      <c r="B1549"/>
      <c r="C1549"/>
      <c r="D1549"/>
      <c r="E1549" s="2">
        <f>Comuni__2[[#This Row],[Popolazione2011]]/$D$7911</f>
        <v>1.1116893189492695E-4</v>
      </c>
      <c r="F1549">
        <f>SUMIFS($D$2:$D$7909, $B$2:$B$7909, "Emilia-Romagna")</f>
        <v>4342135</v>
      </c>
      <c r="G1549" s="1">
        <f>Comuni__2[[#This Row],[Popolazione2011]]/Comuni__2[[#This Row],[POPOLAZIONE TOTALE DI OGNI REGIONE (CON FILTRO)]]</f>
        <v>1.5213713990928426E-3</v>
      </c>
      <c r="H1549" t="str">
        <f>IF(Comuni__2[[#This Row],[Popolazione2011]]&gt;300000,"MAGGIORE","")</f>
        <v/>
      </c>
      <c r="J1549">
        <v>16</v>
      </c>
      <c r="K1549">
        <v>2854</v>
      </c>
      <c r="L1549">
        <v>343</v>
      </c>
    </row>
    <row r="1550" spans="1:12" x14ac:dyDescent="0.2">
      <c r="A1550"/>
      <c r="B1550"/>
      <c r="C1550"/>
      <c r="D1550"/>
      <c r="E1550" s="2">
        <f>Comuni__2[[#This Row],[Popolazione2011]]/$D$7911</f>
        <v>1.0970485422691928E-4</v>
      </c>
      <c r="F1550">
        <f>SUMIFS($D$2:$D$7909, $B$2:$B$7909, "Emilia-Romagna")</f>
        <v>4342135</v>
      </c>
      <c r="G1550" s="1">
        <f>Comuni__2[[#This Row],[Popolazione2011]]/Comuni__2[[#This Row],[POPOLAZIONE TOTALE DI OGNI REGIONE (CON FILTRO)]]</f>
        <v>1.5013351726742719E-3</v>
      </c>
      <c r="H1550" t="str">
        <f>IF(Comuni__2[[#This Row],[Popolazione2011]]&gt;300000,"MAGGIORE","")</f>
        <v/>
      </c>
      <c r="J1550">
        <v>14</v>
      </c>
      <c r="K1550">
        <v>2855</v>
      </c>
      <c r="L1550">
        <v>343</v>
      </c>
    </row>
    <row r="1551" spans="1:12" x14ac:dyDescent="0.2">
      <c r="A1551"/>
      <c r="B1551"/>
      <c r="C1551"/>
      <c r="D1551"/>
      <c r="E1551" s="2">
        <f>Comuni__2[[#This Row],[Popolazione2011]]/$D$7911</f>
        <v>1.0958705487432097E-4</v>
      </c>
      <c r="F1551">
        <f>SUMIFS($D$2:$D$7909, $B$2:$B$7909, "Emilia-Romagna")</f>
        <v>4342135</v>
      </c>
      <c r="G1551" s="1">
        <f>Comuni__2[[#This Row],[Popolazione2011]]/Comuni__2[[#This Row],[POPOLAZIONE TOTALE DI OGNI REGIONE (CON FILTRO)]]</f>
        <v>1.4997230625026629E-3</v>
      </c>
      <c r="H1551" t="str">
        <f>IF(Comuni__2[[#This Row],[Popolazione2011]]&gt;300000,"MAGGIORE","")</f>
        <v/>
      </c>
      <c r="J1551">
        <v>16</v>
      </c>
      <c r="K1551">
        <v>2857</v>
      </c>
      <c r="L1551">
        <v>343</v>
      </c>
    </row>
    <row r="1552" spans="1:12" x14ac:dyDescent="0.2">
      <c r="A1552"/>
      <c r="B1552"/>
      <c r="C1552"/>
      <c r="D1552"/>
      <c r="E1552" s="2">
        <f>Comuni__2[[#This Row],[Popolazione2011]]/$D$7911</f>
        <v>1.0867831701141966E-4</v>
      </c>
      <c r="F1552">
        <f>SUMIFS($D$2:$D$7909, $B$2:$B$7909, "Emilia-Romagna")</f>
        <v>4342135</v>
      </c>
      <c r="G1552" s="1">
        <f>Comuni__2[[#This Row],[Popolazione2011]]/Comuni__2[[#This Row],[POPOLAZIONE TOTALE DI OGNI REGIONE (CON FILTRO)]]</f>
        <v>1.487286784035964E-3</v>
      </c>
      <c r="H1552" t="str">
        <f>IF(Comuni__2[[#This Row],[Popolazione2011]]&gt;300000,"MAGGIORE","")</f>
        <v/>
      </c>
      <c r="J1552">
        <v>16</v>
      </c>
      <c r="K1552">
        <v>2861</v>
      </c>
      <c r="L1552">
        <v>343</v>
      </c>
    </row>
    <row r="1553" spans="1:12" x14ac:dyDescent="0.2">
      <c r="A1553"/>
      <c r="B1553"/>
      <c r="C1553"/>
      <c r="D1553"/>
      <c r="E1553" s="2">
        <f>Comuni__2[[#This Row],[Popolazione2011]]/$D$7911</f>
        <v>1.0859417461670658E-4</v>
      </c>
      <c r="F1553">
        <f>SUMIFS($D$2:$D$7909, $B$2:$B$7909, "Emilia-Romagna")</f>
        <v>4342135</v>
      </c>
      <c r="G1553" s="1">
        <f>Comuni__2[[#This Row],[Popolazione2011]]/Comuni__2[[#This Row],[POPOLAZIONE TOTALE DI OGNI REGIONE (CON FILTRO)]]</f>
        <v>1.4861352767705288E-3</v>
      </c>
      <c r="H1553" t="str">
        <f>IF(Comuni__2[[#This Row],[Popolazione2011]]&gt;300000,"MAGGIORE","")</f>
        <v/>
      </c>
      <c r="J1553">
        <v>16</v>
      </c>
      <c r="K1553">
        <v>2875</v>
      </c>
      <c r="L1553">
        <v>343</v>
      </c>
    </row>
    <row r="1554" spans="1:12" x14ac:dyDescent="0.2">
      <c r="A1554"/>
      <c r="B1554"/>
      <c r="C1554"/>
      <c r="D1554"/>
      <c r="E1554" s="2">
        <f>Comuni__2[[#This Row],[Popolazione2011]]/$D$7911</f>
        <v>1.0837540439045255E-4</v>
      </c>
      <c r="F1554">
        <f>SUMIFS($D$2:$D$7909, $B$2:$B$7909, "Emilia-Romagna")</f>
        <v>4342135</v>
      </c>
      <c r="G1554" s="1">
        <f>Comuni__2[[#This Row],[Popolazione2011]]/Comuni__2[[#This Row],[POPOLAZIONE TOTALE DI OGNI REGIONE (CON FILTRO)]]</f>
        <v>1.4831413578803975E-3</v>
      </c>
      <c r="H1554" t="str">
        <f>IF(Comuni__2[[#This Row],[Popolazione2011]]&gt;300000,"MAGGIORE","")</f>
        <v/>
      </c>
      <c r="J1554">
        <v>17</v>
      </c>
      <c r="K1554">
        <v>2877</v>
      </c>
      <c r="L1554">
        <v>344</v>
      </c>
    </row>
    <row r="1555" spans="1:12" x14ac:dyDescent="0.2">
      <c r="A1555"/>
      <c r="B1555"/>
      <c r="C1555"/>
      <c r="D1555"/>
      <c r="E1555" s="2">
        <f>Comuni__2[[#This Row],[Popolazione2011]]/$D$7911</f>
        <v>1.0724789630129722E-4</v>
      </c>
      <c r="F1555">
        <f>SUMIFS($D$2:$D$7909, $B$2:$B$7909, "Emilia-Romagna")</f>
        <v>4342135</v>
      </c>
      <c r="G1555" s="1">
        <f>Comuni__2[[#This Row],[Popolazione2011]]/Comuni__2[[#This Row],[POPOLAZIONE TOTALE DI OGNI REGIONE (CON FILTRO)]]</f>
        <v>1.4677111605235673E-3</v>
      </c>
      <c r="H1555" t="str">
        <f>IF(Comuni__2[[#This Row],[Popolazione2011]]&gt;300000,"MAGGIORE","")</f>
        <v/>
      </c>
      <c r="J1555">
        <v>16</v>
      </c>
      <c r="K1555">
        <v>2883</v>
      </c>
      <c r="L1555">
        <v>344</v>
      </c>
    </row>
    <row r="1556" spans="1:12" x14ac:dyDescent="0.2">
      <c r="A1556"/>
      <c r="B1556"/>
      <c r="C1556"/>
      <c r="D1556"/>
      <c r="E1556" s="2">
        <f>Comuni__2[[#This Row],[Popolazione2011]]/$D$7911</f>
        <v>1.0638964387522377E-4</v>
      </c>
      <c r="F1556">
        <f>SUMIFS($D$2:$D$7909, $B$2:$B$7909, "Emilia-Romagna")</f>
        <v>4342135</v>
      </c>
      <c r="G1556" s="1">
        <f>Comuni__2[[#This Row],[Popolazione2011]]/Comuni__2[[#This Row],[POPOLAZIONE TOTALE DI OGNI REGIONE (CON FILTRO)]]</f>
        <v>1.4559657864161293E-3</v>
      </c>
      <c r="H1556" t="str">
        <f>IF(Comuni__2[[#This Row],[Popolazione2011]]&gt;300000,"MAGGIORE","")</f>
        <v/>
      </c>
      <c r="J1556">
        <v>15</v>
      </c>
      <c r="K1556">
        <v>2889</v>
      </c>
      <c r="L1556">
        <v>344</v>
      </c>
    </row>
    <row r="1557" spans="1:12" x14ac:dyDescent="0.2">
      <c r="A1557"/>
      <c r="B1557"/>
      <c r="C1557"/>
      <c r="D1557"/>
      <c r="E1557" s="2">
        <f>Comuni__2[[#This Row],[Popolazione2011]]/$D$7911</f>
        <v>1.0420194161268358E-4</v>
      </c>
      <c r="F1557">
        <f>SUMIFS($D$2:$D$7909, $B$2:$B$7909, "Emilia-Romagna")</f>
        <v>4342135</v>
      </c>
      <c r="G1557" s="1">
        <f>Comuni__2[[#This Row],[Popolazione2011]]/Comuni__2[[#This Row],[POPOLAZIONE TOTALE DI OGNI REGIONE (CON FILTRO)]]</f>
        <v>1.4260265975148171E-3</v>
      </c>
      <c r="H1557" t="str">
        <f>IF(Comuni__2[[#This Row],[Popolazione2011]]&gt;300000,"MAGGIORE","")</f>
        <v/>
      </c>
      <c r="J1557">
        <v>14</v>
      </c>
      <c r="K1557">
        <v>2890</v>
      </c>
      <c r="L1557">
        <v>344</v>
      </c>
    </row>
    <row r="1558" spans="1:12" x14ac:dyDescent="0.2">
      <c r="A1558"/>
      <c r="B1558"/>
      <c r="C1558"/>
      <c r="D1558"/>
      <c r="E1558" s="2">
        <f>Comuni__2[[#This Row],[Popolazione2011]]/$D$7911</f>
        <v>1.0374757268123291E-4</v>
      </c>
      <c r="F1558">
        <f>SUMIFS($D$2:$D$7909, $B$2:$B$7909, "Emilia-Romagna")</f>
        <v>4342135</v>
      </c>
      <c r="G1558" s="1">
        <f>Comuni__2[[#This Row],[Popolazione2011]]/Comuni__2[[#This Row],[POPOLAZIONE TOTALE DI OGNI REGIONE (CON FILTRO)]]</f>
        <v>1.4198084582814675E-3</v>
      </c>
      <c r="H1558" t="str">
        <f>IF(Comuni__2[[#This Row],[Popolazione2011]]&gt;300000,"MAGGIORE","")</f>
        <v/>
      </c>
      <c r="J1558">
        <v>13</v>
      </c>
      <c r="K1558">
        <v>2904</v>
      </c>
      <c r="L1558">
        <v>344</v>
      </c>
    </row>
    <row r="1559" spans="1:12" x14ac:dyDescent="0.2">
      <c r="A1559"/>
      <c r="B1559"/>
      <c r="C1559"/>
      <c r="D1559"/>
      <c r="E1559" s="2">
        <f>Comuni__2[[#This Row],[Popolazione2011]]/$D$7911</f>
        <v>1.0329320374978227E-4</v>
      </c>
      <c r="F1559">
        <f>SUMIFS($D$2:$D$7909, $B$2:$B$7909, "Emilia-Romagna")</f>
        <v>4342135</v>
      </c>
      <c r="G1559" s="1">
        <f>Comuni__2[[#This Row],[Popolazione2011]]/Comuni__2[[#This Row],[POPOLAZIONE TOTALE DI OGNI REGIONE (CON FILTRO)]]</f>
        <v>1.4135903190481179E-3</v>
      </c>
      <c r="H1559" t="str">
        <f>IF(Comuni__2[[#This Row],[Popolazione2011]]&gt;300000,"MAGGIORE","")</f>
        <v/>
      </c>
      <c r="J1559">
        <v>12</v>
      </c>
      <c r="K1559">
        <v>2907</v>
      </c>
      <c r="L1559">
        <v>345</v>
      </c>
    </row>
    <row r="1560" spans="1:12" x14ac:dyDescent="0.2">
      <c r="A1560"/>
      <c r="B1560"/>
      <c r="C1560"/>
      <c r="D1560"/>
      <c r="E1560" s="2">
        <f>Comuni__2[[#This Row],[Popolazione2011]]/$D$7911</f>
        <v>1.0320906135506917E-4</v>
      </c>
      <c r="F1560">
        <f>SUMIFS($D$2:$D$7909, $B$2:$B$7909, "Emilia-Romagna")</f>
        <v>4342135</v>
      </c>
      <c r="G1560" s="1">
        <f>Comuni__2[[#This Row],[Popolazione2011]]/Comuni__2[[#This Row],[POPOLAZIONE TOTALE DI OGNI REGIONE (CON FILTRO)]]</f>
        <v>1.412438811782683E-3</v>
      </c>
      <c r="H1560" t="str">
        <f>IF(Comuni__2[[#This Row],[Popolazione2011]]&gt;300000,"MAGGIORE","")</f>
        <v/>
      </c>
      <c r="J1560">
        <v>13</v>
      </c>
      <c r="K1560">
        <v>2914</v>
      </c>
      <c r="L1560">
        <v>345</v>
      </c>
    </row>
    <row r="1561" spans="1:12" x14ac:dyDescent="0.2">
      <c r="A1561"/>
      <c r="B1561"/>
      <c r="C1561"/>
      <c r="D1561"/>
      <c r="E1561" s="2">
        <f>Comuni__2[[#This Row],[Popolazione2011]]/$D$7911</f>
        <v>1.029398056919873E-4</v>
      </c>
      <c r="F1561">
        <f>SUMIFS($D$2:$D$7909, $B$2:$B$7909, "Emilia-Romagna")</f>
        <v>4342135</v>
      </c>
      <c r="G1561" s="1">
        <f>Comuni__2[[#This Row],[Popolazione2011]]/Comuni__2[[#This Row],[POPOLAZIONE TOTALE DI OGNI REGIONE (CON FILTRO)]]</f>
        <v>1.4087539885332906E-3</v>
      </c>
      <c r="H1561" t="str">
        <f>IF(Comuni__2[[#This Row],[Popolazione2011]]&gt;300000,"MAGGIORE","")</f>
        <v/>
      </c>
      <c r="J1561">
        <v>12</v>
      </c>
      <c r="K1561">
        <v>2920</v>
      </c>
      <c r="L1561">
        <v>345</v>
      </c>
    </row>
    <row r="1562" spans="1:12" x14ac:dyDescent="0.2">
      <c r="A1562"/>
      <c r="B1562"/>
      <c r="C1562"/>
      <c r="D1562"/>
      <c r="E1562" s="2">
        <f>Comuni__2[[#This Row],[Popolazione2011]]/$D$7911</f>
        <v>1.0251909371842188E-4</v>
      </c>
      <c r="F1562">
        <f>SUMIFS($D$2:$D$7909, $B$2:$B$7909, "Emilia-Romagna")</f>
        <v>4342135</v>
      </c>
      <c r="G1562" s="1">
        <f>Comuni__2[[#This Row],[Popolazione2011]]/Comuni__2[[#This Row],[POPOLAZIONE TOTALE DI OGNI REGIONE (CON FILTRO)]]</f>
        <v>1.4029964522061151E-3</v>
      </c>
      <c r="H1562" t="str">
        <f>IF(Comuni__2[[#This Row],[Popolazione2011]]&gt;300000,"MAGGIORE","")</f>
        <v/>
      </c>
      <c r="J1562">
        <v>12</v>
      </c>
      <c r="K1562">
        <v>2925</v>
      </c>
      <c r="L1562">
        <v>345</v>
      </c>
    </row>
    <row r="1563" spans="1:12" x14ac:dyDescent="0.2">
      <c r="A1563"/>
      <c r="B1563"/>
      <c r="C1563"/>
      <c r="D1563"/>
      <c r="E1563" s="2">
        <f>Comuni__2[[#This Row],[Popolazione2011]]/$D$7911</f>
        <v>1.0184595456071721E-4</v>
      </c>
      <c r="F1563">
        <f>SUMIFS($D$2:$D$7909, $B$2:$B$7909, "Emilia-Romagna")</f>
        <v>4342135</v>
      </c>
      <c r="G1563" s="1">
        <f>Comuni__2[[#This Row],[Popolazione2011]]/Comuni__2[[#This Row],[POPOLAZIONE TOTALE DI OGNI REGIONE (CON FILTRO)]]</f>
        <v>1.3937843940826345E-3</v>
      </c>
      <c r="H1563" t="str">
        <f>IF(Comuni__2[[#This Row],[Popolazione2011]]&gt;300000,"MAGGIORE","")</f>
        <v/>
      </c>
      <c r="J1563">
        <v>12</v>
      </c>
      <c r="K1563">
        <v>2927</v>
      </c>
      <c r="L1563">
        <v>345</v>
      </c>
    </row>
    <row r="1564" spans="1:12" x14ac:dyDescent="0.2">
      <c r="A1564"/>
      <c r="B1564"/>
      <c r="C1564"/>
      <c r="D1564"/>
      <c r="E1564" s="2">
        <f>Comuni__2[[#This Row],[Popolazione2011]]/$D$7911</f>
        <v>1.0011262122962767E-4</v>
      </c>
      <c r="F1564">
        <f>SUMIFS($D$2:$D$7909, $B$2:$B$7909, "Emilia-Romagna")</f>
        <v>4342135</v>
      </c>
      <c r="G1564" s="1">
        <f>Comuni__2[[#This Row],[Popolazione2011]]/Comuni__2[[#This Row],[POPOLAZIONE TOTALE DI OGNI REGIONE (CON FILTRO)]]</f>
        <v>1.3700633444146716E-3</v>
      </c>
      <c r="H1564" t="str">
        <f>IF(Comuni__2[[#This Row],[Popolazione2011]]&gt;300000,"MAGGIORE","")</f>
        <v/>
      </c>
      <c r="J1564">
        <v>9</v>
      </c>
      <c r="K1564">
        <v>2918</v>
      </c>
      <c r="L1564">
        <v>345</v>
      </c>
    </row>
    <row r="1565" spans="1:12" x14ac:dyDescent="0.2">
      <c r="A1565"/>
      <c r="B1565"/>
      <c r="C1565"/>
      <c r="D1565"/>
      <c r="E1565" s="2">
        <f>Comuni__2[[#This Row],[Popolazione2011]]/$D$7911</f>
        <v>9.9271197282496836E-5</v>
      </c>
      <c r="F1565">
        <f>SUMIFS($D$2:$D$7909, $B$2:$B$7909, "Emilia-Romagna")</f>
        <v>4342135</v>
      </c>
      <c r="G1565" s="1">
        <f>Comuni__2[[#This Row],[Popolazione2011]]/Comuni__2[[#This Row],[POPOLAZIONE TOTALE DI OGNI REGIONE (CON FILTRO)]]</f>
        <v>1.3585482717603206E-3</v>
      </c>
      <c r="H1565" t="str">
        <f>IF(Comuni__2[[#This Row],[Popolazione2011]]&gt;300000,"MAGGIORE","")</f>
        <v/>
      </c>
      <c r="J1565">
        <v>6</v>
      </c>
      <c r="K1565">
        <v>2911</v>
      </c>
      <c r="L1565">
        <v>345</v>
      </c>
    </row>
    <row r="1566" spans="1:12" x14ac:dyDescent="0.2">
      <c r="A1566"/>
      <c r="B1566"/>
      <c r="C1566"/>
      <c r="D1566"/>
      <c r="E1566" s="2">
        <f>Comuni__2[[#This Row],[Popolazione2011]]/$D$7911</f>
        <v>9.8783171393160941E-5</v>
      </c>
      <c r="F1566">
        <f>SUMIFS($D$2:$D$7909, $B$2:$B$7909, "Emilia-Romagna")</f>
        <v>4342135</v>
      </c>
      <c r="G1566" s="1">
        <f>Comuni__2[[#This Row],[Popolazione2011]]/Comuni__2[[#This Row],[POPOLAZIONE TOTALE DI OGNI REGIONE (CON FILTRO)]]</f>
        <v>1.3518695296207972E-3</v>
      </c>
      <c r="H1566" t="str">
        <f>IF(Comuni__2[[#This Row],[Popolazione2011]]&gt;300000,"MAGGIORE","")</f>
        <v/>
      </c>
      <c r="J1566">
        <v>6</v>
      </c>
      <c r="K1566">
        <v>2907</v>
      </c>
      <c r="L1566">
        <v>345</v>
      </c>
    </row>
    <row r="1567" spans="1:12" x14ac:dyDescent="0.2">
      <c r="A1567"/>
      <c r="B1567"/>
      <c r="C1567"/>
      <c r="D1567"/>
      <c r="E1567" s="2">
        <f>Comuni__2[[#This Row],[Popolazione2011]]/$D$7911</f>
        <v>9.8497087251136453E-5</v>
      </c>
      <c r="F1567">
        <f>SUMIFS($D$2:$D$7909, $B$2:$B$7909, "Emilia-Romagna")</f>
        <v>4342135</v>
      </c>
      <c r="G1567" s="1">
        <f>Comuni__2[[#This Row],[Popolazione2011]]/Comuni__2[[#This Row],[POPOLAZIONE TOTALE DI OGNI REGIONE (CON FILTRO)]]</f>
        <v>1.3479544049183178E-3</v>
      </c>
      <c r="H1567" t="str">
        <f>IF(Comuni__2[[#This Row],[Popolazione2011]]&gt;300000,"MAGGIORE","")</f>
        <v/>
      </c>
      <c r="J1567">
        <v>6</v>
      </c>
      <c r="K1567">
        <v>2905</v>
      </c>
      <c r="L1567">
        <v>345</v>
      </c>
    </row>
    <row r="1568" spans="1:12" x14ac:dyDescent="0.2">
      <c r="A1568"/>
      <c r="B1568"/>
      <c r="C1568"/>
      <c r="D1568"/>
      <c r="E1568" s="2">
        <f>Comuni__2[[#This Row],[Popolazione2011]]/$D$7911</f>
        <v>9.829514550382506E-5</v>
      </c>
      <c r="F1568">
        <f>SUMIFS($D$2:$D$7909, $B$2:$B$7909, "Emilia-Romagna")</f>
        <v>4342135</v>
      </c>
      <c r="G1568" s="1">
        <f>Comuni__2[[#This Row],[Popolazione2011]]/Comuni__2[[#This Row],[POPOLAZIONE TOTALE DI OGNI REGIONE (CON FILTRO)]]</f>
        <v>1.3451907874812736E-3</v>
      </c>
      <c r="H1568" t="str">
        <f>IF(Comuni__2[[#This Row],[Popolazione2011]]&gt;300000,"MAGGIORE","")</f>
        <v/>
      </c>
      <c r="J1568">
        <v>6</v>
      </c>
      <c r="K1568">
        <v>2908</v>
      </c>
      <c r="L1568">
        <v>345</v>
      </c>
    </row>
    <row r="1569" spans="1:12" x14ac:dyDescent="0.2">
      <c r="A1569"/>
      <c r="B1569"/>
      <c r="C1569"/>
      <c r="D1569"/>
      <c r="E1569" s="2">
        <f>Comuni__2[[#This Row],[Popolazione2011]]/$D$7911</f>
        <v>9.7908090488144862E-5</v>
      </c>
      <c r="F1569">
        <f>SUMIFS($D$2:$D$7909, $B$2:$B$7909, "Emilia-Romagna")</f>
        <v>4342135</v>
      </c>
      <c r="G1569" s="1">
        <f>Comuni__2[[#This Row],[Popolazione2011]]/Comuni__2[[#This Row],[POPOLAZIONE TOTALE DI OGNI REGIONE (CON FILTRO)]]</f>
        <v>1.3398938540602721E-3</v>
      </c>
      <c r="H1569" t="str">
        <f>IF(Comuni__2[[#This Row],[Popolazione2011]]&gt;300000,"MAGGIORE","")</f>
        <v/>
      </c>
      <c r="J1569">
        <v>7</v>
      </c>
      <c r="K1569">
        <v>2908</v>
      </c>
      <c r="L1569">
        <v>345</v>
      </c>
    </row>
    <row r="1570" spans="1:12" x14ac:dyDescent="0.2">
      <c r="A1570"/>
      <c r="B1570"/>
      <c r="C1570"/>
      <c r="D1570"/>
      <c r="E1570" s="2">
        <f>Comuni__2[[#This Row],[Popolazione2011]]/$D$7911</f>
        <v>9.7218122851497574E-5</v>
      </c>
      <c r="F1570">
        <f>SUMIFS($D$2:$D$7909, $B$2:$B$7909, "Emilia-Romagna")</f>
        <v>4342135</v>
      </c>
      <c r="G1570" s="1">
        <f>Comuni__2[[#This Row],[Popolazione2011]]/Comuni__2[[#This Row],[POPOLAZIONE TOTALE DI OGNI REGIONE (CON FILTRO)]]</f>
        <v>1.3304514944837045E-3</v>
      </c>
      <c r="H1570" t="str">
        <f>IF(Comuni__2[[#This Row],[Popolazione2011]]&gt;300000,"MAGGIORE","")</f>
        <v/>
      </c>
      <c r="J1570">
        <v>9</v>
      </c>
      <c r="K1570">
        <v>2910</v>
      </c>
      <c r="L1570">
        <v>345</v>
      </c>
    </row>
    <row r="1571" spans="1:12" x14ac:dyDescent="0.2">
      <c r="A1571"/>
      <c r="B1571"/>
      <c r="C1571"/>
      <c r="D1571"/>
      <c r="E1571" s="2">
        <f>Comuni__2[[#This Row],[Popolazione2011]]/$D$7911</f>
        <v>9.3970226415572526E-5</v>
      </c>
      <c r="F1571">
        <f>SUMIFS($D$2:$D$7909, $B$2:$B$7909, "Emilia-Romagna")</f>
        <v>4342135</v>
      </c>
      <c r="G1571" s="1">
        <f>Comuni__2[[#This Row],[Popolazione2011]]/Comuni__2[[#This Row],[POPOLAZIONE TOTALE DI OGNI REGIONE (CON FILTRO)]]</f>
        <v>1.28600331403791E-3</v>
      </c>
      <c r="H1571" t="str">
        <f>IF(Comuni__2[[#This Row],[Popolazione2011]]&gt;300000,"MAGGIORE","")</f>
        <v/>
      </c>
      <c r="J1571">
        <v>7</v>
      </c>
      <c r="K1571">
        <v>2910</v>
      </c>
      <c r="L1571">
        <v>345</v>
      </c>
    </row>
    <row r="1572" spans="1:12" x14ac:dyDescent="0.2">
      <c r="A1572"/>
      <c r="B1572"/>
      <c r="C1572"/>
      <c r="D1572"/>
      <c r="E1572" s="2">
        <f>Comuni__2[[#This Row],[Popolazione2011]]/$D$7911</f>
        <v>9.3330744215753086E-5</v>
      </c>
      <c r="F1572">
        <f>SUMIFS($D$2:$D$7909, $B$2:$B$7909, "Emilia-Romagna")</f>
        <v>4342135</v>
      </c>
      <c r="G1572" s="1">
        <f>Comuni__2[[#This Row],[Popolazione2011]]/Comuni__2[[#This Row],[POPOLAZIONE TOTALE DI OGNI REGIONE (CON FILTRO)]]</f>
        <v>1.2772518588206033E-3</v>
      </c>
      <c r="H1572" t="str">
        <f>IF(Comuni__2[[#This Row],[Popolazione2011]]&gt;300000,"MAGGIORE","")</f>
        <v/>
      </c>
      <c r="J1572">
        <v>8</v>
      </c>
      <c r="K1572">
        <v>2904</v>
      </c>
      <c r="L1572">
        <v>345</v>
      </c>
    </row>
    <row r="1573" spans="1:12" x14ac:dyDescent="0.2">
      <c r="A1573"/>
      <c r="B1573"/>
      <c r="C1573"/>
      <c r="D1573"/>
      <c r="E1573" s="2">
        <f>Comuni__2[[#This Row],[Popolazione2011]]/$D$7911</f>
        <v>9.2876375284302423E-5</v>
      </c>
      <c r="F1573">
        <f>SUMIFS($D$2:$D$7909, $B$2:$B$7909, "Emilia-Romagna")</f>
        <v>4342135</v>
      </c>
      <c r="G1573" s="1">
        <f>Comuni__2[[#This Row],[Popolazione2011]]/Comuni__2[[#This Row],[POPOLAZIONE TOTALE DI OGNI REGIONE (CON FILTRO)]]</f>
        <v>1.2710337195872537E-3</v>
      </c>
      <c r="H1573" t="str">
        <f>IF(Comuni__2[[#This Row],[Popolazione2011]]&gt;300000,"MAGGIORE","")</f>
        <v/>
      </c>
      <c r="J1573">
        <v>2</v>
      </c>
      <c r="K1573">
        <v>2912</v>
      </c>
      <c r="L1573">
        <v>345</v>
      </c>
    </row>
    <row r="1574" spans="1:12" x14ac:dyDescent="0.2">
      <c r="A1574"/>
      <c r="B1574"/>
      <c r="C1574"/>
      <c r="D1574"/>
      <c r="E1574" s="2">
        <f>Comuni__2[[#This Row],[Popolazione2011]]/$D$7911</f>
        <v>9.2438834831794391E-5</v>
      </c>
      <c r="F1574">
        <f>SUMIFS($D$2:$D$7909, $B$2:$B$7909, "Emilia-Romagna")</f>
        <v>4342135</v>
      </c>
      <c r="G1574" s="1">
        <f>Comuni__2[[#This Row],[Popolazione2011]]/Comuni__2[[#This Row],[POPOLAZIONE TOTALE DI OGNI REGIONE (CON FILTRO)]]</f>
        <v>1.2650458818069912E-3</v>
      </c>
      <c r="H1574" t="str">
        <f>IF(Comuni__2[[#This Row],[Popolazione2011]]&gt;300000,"MAGGIORE","")</f>
        <v/>
      </c>
      <c r="J1574">
        <v>2</v>
      </c>
      <c r="K1574">
        <v>2910</v>
      </c>
      <c r="L1574">
        <v>345</v>
      </c>
    </row>
    <row r="1575" spans="1:12" x14ac:dyDescent="0.2">
      <c r="A1575"/>
      <c r="B1575"/>
      <c r="C1575"/>
      <c r="D1575"/>
      <c r="E1575" s="2">
        <f>Comuni__2[[#This Row],[Popolazione2011]]/$D$7911</f>
        <v>9.1917151984573264E-5</v>
      </c>
      <c r="F1575">
        <f>SUMIFS($D$2:$D$7909, $B$2:$B$7909, "Emilia-Romagna")</f>
        <v>4342135</v>
      </c>
      <c r="G1575" s="1">
        <f>Comuni__2[[#This Row],[Popolazione2011]]/Comuni__2[[#This Row],[POPOLAZIONE TOTALE DI OGNI REGIONE (CON FILTRO)]]</f>
        <v>1.2579065367612937E-3</v>
      </c>
      <c r="H1575" t="str">
        <f>IF(Comuni__2[[#This Row],[Popolazione2011]]&gt;300000,"MAGGIORE","")</f>
        <v/>
      </c>
      <c r="J1575">
        <v>1</v>
      </c>
      <c r="K1575">
        <v>2911</v>
      </c>
      <c r="L1575">
        <v>345</v>
      </c>
    </row>
    <row r="1576" spans="1:12" x14ac:dyDescent="0.2">
      <c r="A1576"/>
      <c r="B1576"/>
      <c r="C1576"/>
      <c r="D1576"/>
      <c r="E1576" s="2">
        <f>Comuni__2[[#This Row],[Popolazione2011]]/$D$7911</f>
        <v>9.139546913735215E-5</v>
      </c>
      <c r="F1576">
        <f>SUMIFS($D$2:$D$7909, $B$2:$B$7909, "Emilia-Romagna")</f>
        <v>4342135</v>
      </c>
      <c r="G1576" s="1">
        <f>Comuni__2[[#This Row],[Popolazione2011]]/Comuni__2[[#This Row],[POPOLAZIONE TOTALE DI OGNI REGIONE (CON FILTRO)]]</f>
        <v>1.2507671917155962E-3</v>
      </c>
      <c r="H1576" t="str">
        <f>IF(Comuni__2[[#This Row],[Popolazione2011]]&gt;300000,"MAGGIORE","")</f>
        <v/>
      </c>
      <c r="J1576">
        <v>2</v>
      </c>
      <c r="K1576">
        <v>2911</v>
      </c>
      <c r="L1576">
        <v>345</v>
      </c>
    </row>
    <row r="1577" spans="1:12" x14ac:dyDescent="0.2">
      <c r="A1577"/>
      <c r="B1577"/>
      <c r="C1577"/>
      <c r="D1577"/>
      <c r="E1577" s="2">
        <f>Comuni__2[[#This Row],[Popolazione2011]]/$D$7911</f>
        <v>9.1344983700524288E-5</v>
      </c>
      <c r="F1577">
        <f>SUMIFS($D$2:$D$7909, $B$2:$B$7909, "Emilia-Romagna")</f>
        <v>4342135</v>
      </c>
      <c r="G1577" s="1">
        <f>Comuni__2[[#This Row],[Popolazione2011]]/Comuni__2[[#This Row],[POPOLAZIONE TOTALE DI OGNI REGIONE (CON FILTRO)]]</f>
        <v>1.250076287356335E-3</v>
      </c>
      <c r="H1577" t="str">
        <f>IF(Comuni__2[[#This Row],[Popolazione2011]]&gt;300000,"MAGGIORE","")</f>
        <v/>
      </c>
      <c r="J1577">
        <v>3</v>
      </c>
      <c r="K1577">
        <v>2910</v>
      </c>
      <c r="L1577">
        <v>345</v>
      </c>
    </row>
    <row r="1578" spans="1:12" x14ac:dyDescent="0.2">
      <c r="A1578"/>
      <c r="B1578"/>
      <c r="C1578"/>
      <c r="D1578"/>
      <c r="E1578" s="2">
        <f>Comuni__2[[#This Row],[Popolazione2011]]/$D$7911</f>
        <v>9.1344983700524288E-5</v>
      </c>
      <c r="F1578">
        <f>SUMIFS($D$2:$D$7909, $B$2:$B$7909, "Emilia-Romagna")</f>
        <v>4342135</v>
      </c>
      <c r="G1578" s="1">
        <f>Comuni__2[[#This Row],[Popolazione2011]]/Comuni__2[[#This Row],[POPOLAZIONE TOTALE DI OGNI REGIONE (CON FILTRO)]]</f>
        <v>1.250076287356335E-3</v>
      </c>
      <c r="H1578" t="str">
        <f>IF(Comuni__2[[#This Row],[Popolazione2011]]&gt;300000,"MAGGIORE","")</f>
        <v/>
      </c>
      <c r="J1578">
        <v>4</v>
      </c>
      <c r="K1578">
        <v>2907</v>
      </c>
      <c r="L1578">
        <v>345</v>
      </c>
    </row>
    <row r="1579" spans="1:12" x14ac:dyDescent="0.2">
      <c r="A1579"/>
      <c r="B1579"/>
      <c r="C1579"/>
      <c r="D1579"/>
      <c r="E1579" s="2">
        <f>Comuni__2[[#This Row],[Popolazione2011]]/$D$7911</f>
        <v>9.0739158458590081E-5</v>
      </c>
      <c r="F1579">
        <f>SUMIFS($D$2:$D$7909, $B$2:$B$7909, "Emilia-Romagna")</f>
        <v>4342135</v>
      </c>
      <c r="G1579" s="1">
        <f>Comuni__2[[#This Row],[Popolazione2011]]/Comuni__2[[#This Row],[POPOLAZIONE TOTALE DI OGNI REGIONE (CON FILTRO)]]</f>
        <v>1.2417854350452024E-3</v>
      </c>
      <c r="H1579" t="str">
        <f>IF(Comuni__2[[#This Row],[Popolazione2011]]&gt;300000,"MAGGIORE","")</f>
        <v/>
      </c>
      <c r="J1579">
        <v>5</v>
      </c>
      <c r="K1579">
        <v>2901</v>
      </c>
      <c r="L1579">
        <v>345</v>
      </c>
    </row>
    <row r="1580" spans="1:12" x14ac:dyDescent="0.2">
      <c r="A1580"/>
      <c r="B1580"/>
      <c r="C1580"/>
      <c r="D1580"/>
      <c r="E1580" s="2">
        <f>Comuni__2[[#This Row],[Popolazione2011]]/$D$7911</f>
        <v>9.0166990174541119E-5</v>
      </c>
      <c r="F1580">
        <f>SUMIFS($D$2:$D$7909, $B$2:$B$7909, "Emilia-Romagna")</f>
        <v>4342135</v>
      </c>
      <c r="G1580" s="1">
        <f>Comuni__2[[#This Row],[Popolazione2011]]/Comuni__2[[#This Row],[POPOLAZIONE TOTALE DI OGNI REGIONE (CON FILTRO)]]</f>
        <v>1.2339551856402437E-3</v>
      </c>
      <c r="H1580" t="str">
        <f>IF(Comuni__2[[#This Row],[Popolazione2011]]&gt;300000,"MAGGIORE","")</f>
        <v/>
      </c>
      <c r="J1580">
        <v>7</v>
      </c>
      <c r="K1580">
        <v>2901</v>
      </c>
      <c r="L1580">
        <v>345</v>
      </c>
    </row>
    <row r="1581" spans="1:12" x14ac:dyDescent="0.2">
      <c r="A1581"/>
      <c r="B1581"/>
      <c r="C1581"/>
      <c r="D1581"/>
      <c r="E1581" s="2">
        <f>Comuni__2[[#This Row],[Popolazione2011]]/$D$7911</f>
        <v>8.8568284674992505E-5</v>
      </c>
      <c r="F1581">
        <f>SUMIFS($D$2:$D$7909, $B$2:$B$7909, "Emilia-Romagna")</f>
        <v>4342135</v>
      </c>
      <c r="G1581" s="1">
        <f>Comuni__2[[#This Row],[Popolazione2011]]/Comuni__2[[#This Row],[POPOLAZIONE TOTALE DI OGNI REGIONE (CON FILTRO)]]</f>
        <v>1.212076547596977E-3</v>
      </c>
      <c r="H1581" t="str">
        <f>IF(Comuni__2[[#This Row],[Popolazione2011]]&gt;300000,"MAGGIORE","")</f>
        <v/>
      </c>
      <c r="J1581">
        <v>7</v>
      </c>
      <c r="K1581">
        <v>2905</v>
      </c>
      <c r="L1581">
        <v>345</v>
      </c>
    </row>
    <row r="1582" spans="1:12" x14ac:dyDescent="0.2">
      <c r="A1582"/>
      <c r="B1582"/>
      <c r="C1582"/>
      <c r="D1582"/>
      <c r="E1582" s="2">
        <f>Comuni__2[[#This Row],[Popolazione2011]]/$D$7911</f>
        <v>8.8080258785656624E-5</v>
      </c>
      <c r="F1582">
        <f>SUMIFS($D$2:$D$7909, $B$2:$B$7909, "Emilia-Romagna")</f>
        <v>4342135</v>
      </c>
      <c r="G1582" s="1">
        <f>Comuni__2[[#This Row],[Popolazione2011]]/Comuni__2[[#This Row],[POPOLAZIONE TOTALE DI OGNI REGIONE (CON FILTRO)]]</f>
        <v>1.2053978054574535E-3</v>
      </c>
      <c r="H1582" t="str">
        <f>IF(Comuni__2[[#This Row],[Popolazione2011]]&gt;300000,"MAGGIORE","")</f>
        <v/>
      </c>
      <c r="J1582">
        <v>7</v>
      </c>
      <c r="K1582">
        <v>2906</v>
      </c>
      <c r="L1582">
        <v>345</v>
      </c>
    </row>
    <row r="1583" spans="1:12" x14ac:dyDescent="0.2">
      <c r="A1583"/>
      <c r="B1583"/>
      <c r="C1583"/>
      <c r="D1583"/>
      <c r="E1583" s="2">
        <f>Comuni__2[[#This Row],[Popolazione2011]]/$D$7911</f>
        <v>8.6060841312542594E-5</v>
      </c>
      <c r="F1583">
        <f>SUMIFS($D$2:$D$7909, $B$2:$B$7909, "Emilia-Romagna")</f>
        <v>4342135</v>
      </c>
      <c r="G1583" s="1">
        <f>Comuni__2[[#This Row],[Popolazione2011]]/Comuni__2[[#This Row],[POPOLAZIONE TOTALE DI OGNI REGIONE (CON FILTRO)]]</f>
        <v>1.1777616310870113E-3</v>
      </c>
      <c r="H1583" t="str">
        <f>IF(Comuni__2[[#This Row],[Popolazione2011]]&gt;300000,"MAGGIORE","")</f>
        <v/>
      </c>
      <c r="J1583">
        <v>7</v>
      </c>
      <c r="K1583">
        <v>2911</v>
      </c>
      <c r="L1583">
        <v>345</v>
      </c>
    </row>
    <row r="1584" spans="1:12" x14ac:dyDescent="0.2">
      <c r="A1584"/>
      <c r="B1584"/>
      <c r="C1584"/>
      <c r="D1584"/>
      <c r="E1584" s="2">
        <f>Comuni__2[[#This Row],[Popolazione2011]]/$D$7911</f>
        <v>8.5253074323296993E-5</v>
      </c>
      <c r="F1584">
        <f>SUMIFS($D$2:$D$7909, $B$2:$B$7909, "Emilia-Romagna")</f>
        <v>4342135</v>
      </c>
      <c r="G1584" s="1">
        <f>Comuni__2[[#This Row],[Popolazione2011]]/Comuni__2[[#This Row],[POPOLAZIONE TOTALE DI OGNI REGIONE (CON FILTRO)]]</f>
        <v>1.1667071613388346E-3</v>
      </c>
      <c r="H1584" t="str">
        <f>IF(Comuni__2[[#This Row],[Popolazione2011]]&gt;300000,"MAGGIORE","")</f>
        <v/>
      </c>
      <c r="J1584">
        <v>7</v>
      </c>
      <c r="K1584">
        <v>2912</v>
      </c>
      <c r="L1584">
        <v>345</v>
      </c>
    </row>
    <row r="1585" spans="1:12" x14ac:dyDescent="0.2">
      <c r="A1585"/>
      <c r="B1585"/>
      <c r="C1585"/>
      <c r="D1585"/>
      <c r="E1585" s="2">
        <f>Comuni__2[[#This Row],[Popolazione2011]]/$D$7911</f>
        <v>8.3469255555379602E-5</v>
      </c>
      <c r="F1585">
        <f>SUMIFS($D$2:$D$7909, $B$2:$B$7909, "Emilia-Romagna")</f>
        <v>4342135</v>
      </c>
      <c r="G1585" s="1">
        <f>Comuni__2[[#This Row],[Popolazione2011]]/Comuni__2[[#This Row],[POPOLAZIONE TOTALE DI OGNI REGIONE (CON FILTRO)]]</f>
        <v>1.1422952073116106E-3</v>
      </c>
      <c r="H1585" t="str">
        <f>IF(Comuni__2[[#This Row],[Popolazione2011]]&gt;300000,"MAGGIORE","")</f>
        <v/>
      </c>
      <c r="J1585">
        <v>7</v>
      </c>
      <c r="K1585">
        <v>2914</v>
      </c>
      <c r="L1585">
        <v>345</v>
      </c>
    </row>
    <row r="1586" spans="1:12" x14ac:dyDescent="0.2">
      <c r="A1586"/>
      <c r="B1586"/>
      <c r="C1586"/>
      <c r="D1586"/>
      <c r="E1586" s="2">
        <f>Comuni__2[[#This Row],[Popolazione2011]]/$D$7911</f>
        <v>8.3334627723838673E-5</v>
      </c>
      <c r="F1586">
        <f>SUMIFS($D$2:$D$7909, $B$2:$B$7909, "Emilia-Romagna")</f>
        <v>4342135</v>
      </c>
      <c r="G1586" s="1">
        <f>Comuni__2[[#This Row],[Popolazione2011]]/Comuni__2[[#This Row],[POPOLAZIONE TOTALE DI OGNI REGIONE (CON FILTRO)]]</f>
        <v>1.1404527956869145E-3</v>
      </c>
      <c r="H1586" t="str">
        <f>IF(Comuni__2[[#This Row],[Popolazione2011]]&gt;300000,"MAGGIORE","")</f>
        <v/>
      </c>
      <c r="J1586">
        <v>8</v>
      </c>
      <c r="K1586">
        <v>2917</v>
      </c>
      <c r="L1586">
        <v>345</v>
      </c>
    </row>
    <row r="1587" spans="1:12" x14ac:dyDescent="0.2">
      <c r="A1587"/>
      <c r="B1587"/>
      <c r="C1587"/>
      <c r="D1587"/>
      <c r="E1587" s="2">
        <f>Comuni__2[[#This Row],[Popolazione2011]]/$D$7911</f>
        <v>8.3065372060756802E-5</v>
      </c>
      <c r="F1587">
        <f>SUMIFS($D$2:$D$7909, $B$2:$B$7909, "Emilia-Romagna")</f>
        <v>4342135</v>
      </c>
      <c r="G1587" s="1">
        <f>Comuni__2[[#This Row],[Popolazione2011]]/Comuni__2[[#This Row],[POPOLAZIONE TOTALE DI OGNI REGIONE (CON FILTRO)]]</f>
        <v>1.1367679724375221E-3</v>
      </c>
      <c r="H1587" t="str">
        <f>IF(Comuni__2[[#This Row],[Popolazione2011]]&gt;300000,"MAGGIORE","")</f>
        <v/>
      </c>
      <c r="J1587">
        <v>8</v>
      </c>
      <c r="K1587">
        <v>2921</v>
      </c>
      <c r="L1587">
        <v>345</v>
      </c>
    </row>
    <row r="1588" spans="1:12" x14ac:dyDescent="0.2">
      <c r="A1588"/>
      <c r="B1588"/>
      <c r="C1588"/>
      <c r="D1588"/>
      <c r="E1588" s="2">
        <f>Comuni__2[[#This Row],[Popolazione2011]]/$D$7911</f>
        <v>8.2173462676798107E-5</v>
      </c>
      <c r="F1588">
        <f>SUMIFS($D$2:$D$7909, $B$2:$B$7909, "Emilia-Romagna")</f>
        <v>4342135</v>
      </c>
      <c r="G1588" s="1">
        <f>Comuni__2[[#This Row],[Popolazione2011]]/Comuni__2[[#This Row],[POPOLAZIONE TOTALE DI OGNI REGIONE (CON FILTRO)]]</f>
        <v>1.1245619954239102E-3</v>
      </c>
      <c r="H1588" t="str">
        <f>IF(Comuni__2[[#This Row],[Popolazione2011]]&gt;300000,"MAGGIORE","")</f>
        <v/>
      </c>
      <c r="J1588">
        <v>11</v>
      </c>
      <c r="K1588">
        <v>2925</v>
      </c>
      <c r="L1588">
        <v>345</v>
      </c>
    </row>
    <row r="1589" spans="1:12" x14ac:dyDescent="0.2">
      <c r="A1589"/>
      <c r="B1589"/>
      <c r="C1589"/>
      <c r="D1589"/>
      <c r="E1589" s="2">
        <f>Comuni__2[[#This Row],[Popolazione2011]]/$D$7911</f>
        <v>8.1988349408429316E-5</v>
      </c>
      <c r="F1589">
        <f>SUMIFS($D$2:$D$7909, $B$2:$B$7909, "Emilia-Romagna")</f>
        <v>4342135</v>
      </c>
      <c r="G1589" s="1">
        <f>Comuni__2[[#This Row],[Popolazione2011]]/Comuni__2[[#This Row],[POPOLAZIONE TOTALE DI OGNI REGIONE (CON FILTRO)]]</f>
        <v>1.1220286794399528E-3</v>
      </c>
      <c r="H1589" t="str">
        <f>IF(Comuni__2[[#This Row],[Popolazione2011]]&gt;300000,"MAGGIORE","")</f>
        <v/>
      </c>
      <c r="J1589">
        <v>10</v>
      </c>
      <c r="K1589">
        <v>2925</v>
      </c>
      <c r="L1589">
        <v>345</v>
      </c>
    </row>
    <row r="1590" spans="1:12" x14ac:dyDescent="0.2">
      <c r="A1590"/>
      <c r="B1590"/>
      <c r="C1590"/>
      <c r="D1590"/>
      <c r="E1590" s="2">
        <f>Comuni__2[[#This Row],[Popolazione2011]]/$D$7911</f>
        <v>8.1281553292839411E-5</v>
      </c>
      <c r="F1590">
        <f>SUMIFS($D$2:$D$7909, $B$2:$B$7909, "Emilia-Romagna")</f>
        <v>4342135</v>
      </c>
      <c r="G1590" s="1">
        <f>Comuni__2[[#This Row],[Popolazione2011]]/Comuni__2[[#This Row],[POPOLAZIONE TOTALE DI OGNI REGIONE (CON FILTRO)]]</f>
        <v>1.1123560184102981E-3</v>
      </c>
      <c r="H1590" t="str">
        <f>IF(Comuni__2[[#This Row],[Popolazione2011]]&gt;300000,"MAGGIORE","")</f>
        <v/>
      </c>
      <c r="J1590">
        <v>11</v>
      </c>
      <c r="K1590">
        <v>2925</v>
      </c>
      <c r="L1590">
        <v>345</v>
      </c>
    </row>
    <row r="1591" spans="1:12" x14ac:dyDescent="0.2">
      <c r="A1591"/>
      <c r="B1591"/>
      <c r="C1591"/>
      <c r="D1591"/>
      <c r="E1591" s="2">
        <f>Comuni__2[[#This Row],[Popolazione2011]]/$D$7911</f>
        <v>8.1163753940241098E-5</v>
      </c>
      <c r="F1591">
        <f>SUMIFS($D$2:$D$7909, $B$2:$B$7909, "Emilia-Romagna")</f>
        <v>4342135</v>
      </c>
      <c r="G1591" s="1">
        <f>Comuni__2[[#This Row],[Popolazione2011]]/Comuni__2[[#This Row],[POPOLAZIONE TOTALE DI OGNI REGIONE (CON FILTRO)]]</f>
        <v>1.1107439082386891E-3</v>
      </c>
      <c r="H1591" t="str">
        <f>IF(Comuni__2[[#This Row],[Popolazione2011]]&gt;300000,"MAGGIORE","")</f>
        <v/>
      </c>
      <c r="J1591">
        <v>10</v>
      </c>
      <c r="K1591">
        <v>2918</v>
      </c>
      <c r="L1591">
        <v>345</v>
      </c>
    </row>
    <row r="1592" spans="1:12" x14ac:dyDescent="0.2">
      <c r="A1592"/>
      <c r="B1592"/>
      <c r="C1592"/>
      <c r="D1592"/>
      <c r="E1592" s="2">
        <f>Comuni__2[[#This Row],[Popolazione2011]]/$D$7911</f>
        <v>8.0557928698306891E-5</v>
      </c>
      <c r="F1592">
        <f>SUMIFS($D$2:$D$7909, $B$2:$B$7909, "Emilia-Romagna")</f>
        <v>4342135</v>
      </c>
      <c r="G1592" s="1">
        <f>Comuni__2[[#This Row],[Popolazione2011]]/Comuni__2[[#This Row],[POPOLAZIONE TOTALE DI OGNI REGIONE (CON FILTRO)]]</f>
        <v>1.1024530559275564E-3</v>
      </c>
      <c r="H1592" t="str">
        <f>IF(Comuni__2[[#This Row],[Popolazione2011]]&gt;300000,"MAGGIORE","")</f>
        <v/>
      </c>
      <c r="J1592">
        <v>9</v>
      </c>
      <c r="K1592">
        <v>2918</v>
      </c>
      <c r="L1592">
        <v>345</v>
      </c>
    </row>
    <row r="1593" spans="1:12" x14ac:dyDescent="0.2">
      <c r="A1593"/>
      <c r="B1593"/>
      <c r="C1593"/>
      <c r="D1593"/>
      <c r="E1593" s="2">
        <f>Comuni__2[[#This Row],[Popolazione2011]]/$D$7911</f>
        <v>8.0086731287913612E-5</v>
      </c>
      <c r="F1593">
        <f>SUMIFS($D$2:$D$7909, $B$2:$B$7909, "Emilia-Romagna")</f>
        <v>4342135</v>
      </c>
      <c r="G1593" s="1">
        <f>Comuni__2[[#This Row],[Popolazione2011]]/Comuni__2[[#This Row],[POPOLAZIONE TOTALE DI OGNI REGIONE (CON FILTRO)]]</f>
        <v>1.0960046152411198E-3</v>
      </c>
      <c r="H1593" t="str">
        <f>IF(Comuni__2[[#This Row],[Popolazione2011]]&gt;300000,"MAGGIORE","")</f>
        <v/>
      </c>
      <c r="J1593">
        <v>10</v>
      </c>
      <c r="K1593">
        <v>2921</v>
      </c>
      <c r="L1593">
        <v>345</v>
      </c>
    </row>
    <row r="1594" spans="1:12" x14ac:dyDescent="0.2">
      <c r="A1594"/>
      <c r="B1594"/>
      <c r="C1594"/>
      <c r="D1594"/>
      <c r="E1594" s="2">
        <f>Comuni__2[[#This Row],[Popolazione2011]]/$D$7911</f>
        <v>7.9531391482807266E-5</v>
      </c>
      <c r="F1594">
        <f>SUMIFS($D$2:$D$7909, $B$2:$B$7909, "Emilia-Romagna")</f>
        <v>4342135</v>
      </c>
      <c r="G1594" s="1">
        <f>Comuni__2[[#This Row],[Popolazione2011]]/Comuni__2[[#This Row],[POPOLAZIONE TOTALE DI OGNI REGIONE (CON FILTRO)]]</f>
        <v>1.0884046672892482E-3</v>
      </c>
      <c r="H1594" t="str">
        <f>IF(Comuni__2[[#This Row],[Popolazione2011]]&gt;300000,"MAGGIORE","")</f>
        <v/>
      </c>
      <c r="J1594">
        <v>11</v>
      </c>
      <c r="K1594">
        <v>2924</v>
      </c>
      <c r="L1594">
        <v>345</v>
      </c>
    </row>
    <row r="1595" spans="1:12" x14ac:dyDescent="0.2">
      <c r="A1595"/>
      <c r="B1595"/>
      <c r="C1595"/>
      <c r="D1595"/>
      <c r="E1595" s="2">
        <f>Comuni__2[[#This Row],[Popolazione2011]]/$D$7911</f>
        <v>7.9295792777610627E-5</v>
      </c>
      <c r="F1595">
        <f>SUMIFS($D$2:$D$7909, $B$2:$B$7909, "Emilia-Romagna")</f>
        <v>4342135</v>
      </c>
      <c r="G1595" s="1">
        <f>Comuni__2[[#This Row],[Popolazione2011]]/Comuni__2[[#This Row],[POPOLAZIONE TOTALE DI OGNI REGIONE (CON FILTRO)]]</f>
        <v>1.0851804469460299E-3</v>
      </c>
      <c r="H1595" t="str">
        <f>IF(Comuni__2[[#This Row],[Popolazione2011]]&gt;300000,"MAGGIORE","")</f>
        <v/>
      </c>
      <c r="J1595">
        <v>11</v>
      </c>
      <c r="K1595">
        <v>2927</v>
      </c>
      <c r="L1595">
        <v>345</v>
      </c>
    </row>
    <row r="1596" spans="1:12" x14ac:dyDescent="0.2">
      <c r="A1596"/>
      <c r="B1596"/>
      <c r="C1596"/>
      <c r="D1596"/>
      <c r="E1596" s="2">
        <f>Comuni__2[[#This Row],[Popolazione2011]]/$D$7911</f>
        <v>7.8151456209512676E-5</v>
      </c>
      <c r="F1596">
        <f>SUMIFS($D$2:$D$7909, $B$2:$B$7909, "Emilia-Romagna")</f>
        <v>4342135</v>
      </c>
      <c r="G1596" s="1">
        <f>Comuni__2[[#This Row],[Popolazione2011]]/Comuni__2[[#This Row],[POPOLAZIONE TOTALE DI OGNI REGIONE (CON FILTRO)]]</f>
        <v>1.0695199481361127E-3</v>
      </c>
      <c r="H1596" t="str">
        <f>IF(Comuni__2[[#This Row],[Popolazione2011]]&gt;300000,"MAGGIORE","")</f>
        <v/>
      </c>
      <c r="J1596">
        <v>11</v>
      </c>
      <c r="K1596">
        <v>2927</v>
      </c>
      <c r="L1596">
        <v>345</v>
      </c>
    </row>
    <row r="1597" spans="1:12" x14ac:dyDescent="0.2">
      <c r="A1597"/>
      <c r="B1597"/>
      <c r="C1597"/>
      <c r="D1597"/>
      <c r="E1597" s="2">
        <f>Comuni__2[[#This Row],[Popolazione2011]]/$D$7911</f>
        <v>7.6300323525824821E-5</v>
      </c>
      <c r="F1597">
        <f>SUMIFS($D$2:$D$7909, $B$2:$B$7909, "Emilia-Romagna")</f>
        <v>4342135</v>
      </c>
      <c r="G1597" s="1">
        <f>Comuni__2[[#This Row],[Popolazione2011]]/Comuni__2[[#This Row],[POPOLAZIONE TOTALE DI OGNI REGIONE (CON FILTRO)]]</f>
        <v>1.0441867882965408E-3</v>
      </c>
      <c r="H1597" t="str">
        <f>IF(Comuni__2[[#This Row],[Popolazione2011]]&gt;300000,"MAGGIORE","")</f>
        <v/>
      </c>
      <c r="J1597">
        <v>12</v>
      </c>
      <c r="K1597">
        <v>2929</v>
      </c>
      <c r="L1597">
        <v>345</v>
      </c>
    </row>
    <row r="1598" spans="1:12" x14ac:dyDescent="0.2">
      <c r="A1598"/>
      <c r="B1598"/>
      <c r="C1598"/>
      <c r="D1598"/>
      <c r="E1598" s="2">
        <f>Comuni__2[[#This Row],[Popolazione2011]]/$D$7911</f>
        <v>7.5543041973407068E-5</v>
      </c>
      <c r="F1598">
        <f>SUMIFS($D$2:$D$7909, $B$2:$B$7909, "Emilia-Romagna")</f>
        <v>4342135</v>
      </c>
      <c r="G1598" s="1">
        <f>Comuni__2[[#This Row],[Popolazione2011]]/Comuni__2[[#This Row],[POPOLAZIONE TOTALE DI OGNI REGIONE (CON FILTRO)]]</f>
        <v>1.033823222907625E-3</v>
      </c>
      <c r="H1598" t="str">
        <f>IF(Comuni__2[[#This Row],[Popolazione2011]]&gt;300000,"MAGGIORE","")</f>
        <v/>
      </c>
      <c r="J1598">
        <v>12</v>
      </c>
      <c r="K1598">
        <v>2929</v>
      </c>
      <c r="L1598">
        <v>346</v>
      </c>
    </row>
    <row r="1599" spans="1:12" x14ac:dyDescent="0.2">
      <c r="A1599"/>
      <c r="B1599"/>
      <c r="C1599"/>
      <c r="D1599"/>
      <c r="E1599" s="2">
        <f>Comuni__2[[#This Row],[Popolazione2011]]/$D$7911</f>
        <v>7.5021359126185941E-5</v>
      </c>
      <c r="F1599">
        <f>SUMIFS($D$2:$D$7909, $B$2:$B$7909, "Emilia-Romagna")</f>
        <v>4342135</v>
      </c>
      <c r="G1599" s="1">
        <f>Comuni__2[[#This Row],[Popolazione2011]]/Comuni__2[[#This Row],[POPOLAZIONE TOTALE DI OGNI REGIONE (CON FILTRO)]]</f>
        <v>1.0266838778619273E-3</v>
      </c>
      <c r="H1599" t="str">
        <f>IF(Comuni__2[[#This Row],[Popolazione2011]]&gt;300000,"MAGGIORE","")</f>
        <v/>
      </c>
      <c r="J1599">
        <v>9</v>
      </c>
      <c r="K1599">
        <v>2932</v>
      </c>
      <c r="L1599">
        <v>346</v>
      </c>
    </row>
    <row r="1600" spans="1:12" x14ac:dyDescent="0.2">
      <c r="A1600"/>
      <c r="B1600"/>
      <c r="C1600"/>
      <c r="D1600"/>
      <c r="E1600" s="2">
        <f>Comuni__2[[#This Row],[Popolazione2011]]/$D$7911</f>
        <v>7.4987702168300709E-5</v>
      </c>
      <c r="F1600">
        <f>SUMIFS($D$2:$D$7909, $B$2:$B$7909, "Emilia-Romagna")</f>
        <v>4342135</v>
      </c>
      <c r="G1600" s="1">
        <f>Comuni__2[[#This Row],[Popolazione2011]]/Comuni__2[[#This Row],[POPOLAZIONE TOTALE DI OGNI REGIONE (CON FILTRO)]]</f>
        <v>1.0262232749557534E-3</v>
      </c>
      <c r="H1600" t="str">
        <f>IF(Comuni__2[[#This Row],[Popolazione2011]]&gt;300000,"MAGGIORE","")</f>
        <v/>
      </c>
      <c r="J1600">
        <v>10</v>
      </c>
      <c r="K1600">
        <v>2932</v>
      </c>
      <c r="L1600">
        <v>346</v>
      </c>
    </row>
    <row r="1601" spans="1:12" x14ac:dyDescent="0.2">
      <c r="A1601"/>
      <c r="B1601"/>
      <c r="C1601"/>
      <c r="D1601"/>
      <c r="E1601" s="2">
        <f>Comuni__2[[#This Row],[Popolazione2011]]/$D$7911</f>
        <v>7.4617475631563141E-5</v>
      </c>
      <c r="F1601">
        <f>SUMIFS($D$2:$D$7909, $B$2:$B$7909, "Emilia-Romagna")</f>
        <v>4342135</v>
      </c>
      <c r="G1601" s="1">
        <f>Comuni__2[[#This Row],[Popolazione2011]]/Comuni__2[[#This Row],[POPOLAZIONE TOTALE DI OGNI REGIONE (CON FILTRO)]]</f>
        <v>1.021156642987839E-3</v>
      </c>
      <c r="H1601" t="str">
        <f>IF(Comuni__2[[#This Row],[Popolazione2011]]&gt;300000,"MAGGIORE","")</f>
        <v/>
      </c>
      <c r="J1601">
        <v>13</v>
      </c>
      <c r="K1601">
        <v>2933</v>
      </c>
      <c r="L1601">
        <v>346</v>
      </c>
    </row>
    <row r="1602" spans="1:12" x14ac:dyDescent="0.2">
      <c r="A1602"/>
      <c r="B1602"/>
      <c r="C1602"/>
      <c r="D1602"/>
      <c r="E1602" s="2">
        <f>Comuni__2[[#This Row],[Popolazione2011]]/$D$7911</f>
        <v>7.4163106700112478E-5</v>
      </c>
      <c r="F1602">
        <f>SUMIFS($D$2:$D$7909, $B$2:$B$7909, "Emilia-Romagna")</f>
        <v>4342135</v>
      </c>
      <c r="G1602" s="1">
        <f>Comuni__2[[#This Row],[Popolazione2011]]/Comuni__2[[#This Row],[POPOLAZIONE TOTALE DI OGNI REGIONE (CON FILTRO)]]</f>
        <v>1.0149385037544895E-3</v>
      </c>
      <c r="H1602" t="str">
        <f>IF(Comuni__2[[#This Row],[Popolazione2011]]&gt;300000,"MAGGIORE","")</f>
        <v/>
      </c>
      <c r="J1602">
        <v>16</v>
      </c>
      <c r="K1602">
        <v>2935</v>
      </c>
      <c r="L1602">
        <v>346</v>
      </c>
    </row>
    <row r="1603" spans="1:12" x14ac:dyDescent="0.2">
      <c r="A1603"/>
      <c r="B1603"/>
      <c r="C1603"/>
      <c r="D1603"/>
      <c r="E1603" s="2">
        <f>Comuni__2[[#This Row],[Popolazione2011]]/$D$7911</f>
        <v>7.3927507994915853E-5</v>
      </c>
      <c r="F1603">
        <f>SUMIFS($D$2:$D$7909, $B$2:$B$7909, "Emilia-Romagna")</f>
        <v>4342135</v>
      </c>
      <c r="G1603" s="1">
        <f>Comuni__2[[#This Row],[Popolazione2011]]/Comuni__2[[#This Row],[POPOLAZIONE TOTALE DI OGNI REGIONE (CON FILTRO)]]</f>
        <v>1.0117142834112712E-3</v>
      </c>
      <c r="H1603" t="str">
        <f>IF(Comuni__2[[#This Row],[Popolazione2011]]&gt;300000,"MAGGIORE","")</f>
        <v/>
      </c>
      <c r="J1603">
        <v>14</v>
      </c>
      <c r="K1603">
        <v>2936</v>
      </c>
      <c r="L1603">
        <v>346</v>
      </c>
    </row>
    <row r="1604" spans="1:12" x14ac:dyDescent="0.2">
      <c r="A1604"/>
      <c r="B1604"/>
      <c r="C1604"/>
      <c r="D1604"/>
      <c r="E1604" s="2">
        <f>Comuni__2[[#This Row],[Popolazione2011]]/$D$7911</f>
        <v>7.3809708642317526E-5</v>
      </c>
      <c r="F1604">
        <f>SUMIFS($D$2:$D$7909, $B$2:$B$7909, "Emilia-Romagna")</f>
        <v>4342135</v>
      </c>
      <c r="G1604" s="1">
        <f>Comuni__2[[#This Row],[Popolazione2011]]/Comuni__2[[#This Row],[POPOLAZIONE TOTALE DI OGNI REGIONE (CON FILTRO)]]</f>
        <v>1.0101021732396621E-3</v>
      </c>
      <c r="H1604" t="str">
        <f>IF(Comuni__2[[#This Row],[Popolazione2011]]&gt;300000,"MAGGIORE","")</f>
        <v/>
      </c>
      <c r="J1604">
        <v>14</v>
      </c>
      <c r="K1604">
        <v>2937</v>
      </c>
      <c r="L1604">
        <v>346</v>
      </c>
    </row>
    <row r="1605" spans="1:12" x14ac:dyDescent="0.2">
      <c r="A1605"/>
      <c r="B1605"/>
      <c r="C1605"/>
      <c r="D1605"/>
      <c r="E1605" s="2">
        <f>Comuni__2[[#This Row],[Popolazione2011]]/$D$7911</f>
        <v>7.1975404437572287E-5</v>
      </c>
      <c r="F1605">
        <f>SUMIFS($D$2:$D$7909, $B$2:$B$7909, "Emilia-Romagna")</f>
        <v>4342135</v>
      </c>
      <c r="G1605" s="1">
        <f>Comuni__2[[#This Row],[Popolazione2011]]/Comuni__2[[#This Row],[POPOLAZIONE TOTALE DI OGNI REGIONE (CON FILTRO)]]</f>
        <v>9.8499931485317702E-4</v>
      </c>
      <c r="H1605" t="str">
        <f>IF(Comuni__2[[#This Row],[Popolazione2011]]&gt;300000,"MAGGIORE","")</f>
        <v/>
      </c>
      <c r="J1605">
        <v>13</v>
      </c>
      <c r="K1605">
        <v>2938</v>
      </c>
      <c r="L1605">
        <v>347</v>
      </c>
    </row>
    <row r="1606" spans="1:12" x14ac:dyDescent="0.2">
      <c r="A1606"/>
      <c r="B1606"/>
      <c r="C1606"/>
      <c r="D1606"/>
      <c r="E1606" s="2">
        <f>Comuni__2[[#This Row],[Popolazione2011]]/$D$7911</f>
        <v>7.1823948127088742E-5</v>
      </c>
      <c r="F1606">
        <f>SUMIFS($D$2:$D$7909, $B$2:$B$7909, "Emilia-Romagna")</f>
        <v>4342135</v>
      </c>
      <c r="G1606" s="1">
        <f>Comuni__2[[#This Row],[Popolazione2011]]/Comuni__2[[#This Row],[POPOLAZIONE TOTALE DI OGNI REGIONE (CON FILTRO)]]</f>
        <v>9.8292660177539391E-4</v>
      </c>
      <c r="H1606" t="str">
        <f>IF(Comuni__2[[#This Row],[Popolazione2011]]&gt;300000,"MAGGIORE","")</f>
        <v/>
      </c>
      <c r="J1606">
        <v>11</v>
      </c>
      <c r="K1606">
        <v>2948</v>
      </c>
      <c r="L1606">
        <v>348</v>
      </c>
    </row>
    <row r="1607" spans="1:12" x14ac:dyDescent="0.2">
      <c r="A1607"/>
      <c r="B1607"/>
      <c r="C1607"/>
      <c r="D1607"/>
      <c r="E1607" s="2">
        <f>Comuni__2[[#This Row],[Popolazione2011]]/$D$7911</f>
        <v>7.0915210264187431E-5</v>
      </c>
      <c r="F1607">
        <f>SUMIFS($D$2:$D$7909, $B$2:$B$7909, "Emilia-Romagna")</f>
        <v>4342135</v>
      </c>
      <c r="G1607" s="1">
        <f>Comuni__2[[#This Row],[Popolazione2011]]/Comuni__2[[#This Row],[POPOLAZIONE TOTALE DI OGNI REGIONE (CON FILTRO)]]</f>
        <v>9.7049032330869488E-4</v>
      </c>
      <c r="H1607" t="str">
        <f>IF(Comuni__2[[#This Row],[Popolazione2011]]&gt;300000,"MAGGIORE","")</f>
        <v/>
      </c>
      <c r="J1607">
        <v>10</v>
      </c>
      <c r="K1607">
        <v>2949</v>
      </c>
      <c r="L1607">
        <v>348</v>
      </c>
    </row>
    <row r="1608" spans="1:12" x14ac:dyDescent="0.2">
      <c r="A1608"/>
      <c r="B1608"/>
      <c r="C1608"/>
      <c r="D1608"/>
      <c r="E1608" s="2">
        <f>Comuni__2[[#This Row],[Popolazione2011]]/$D$7911</f>
        <v>7.0561812206392478E-5</v>
      </c>
      <c r="F1608">
        <f>SUMIFS($D$2:$D$7909, $B$2:$B$7909, "Emilia-Romagna")</f>
        <v>4342135</v>
      </c>
      <c r="G1608" s="1">
        <f>Comuni__2[[#This Row],[Popolazione2011]]/Comuni__2[[#This Row],[POPOLAZIONE TOTALE DI OGNI REGIONE (CON FILTRO)]]</f>
        <v>9.6565399279386753E-4</v>
      </c>
      <c r="H1608" t="str">
        <f>IF(Comuni__2[[#This Row],[Popolazione2011]]&gt;300000,"MAGGIORE","")</f>
        <v/>
      </c>
      <c r="J1608">
        <v>10</v>
      </c>
      <c r="K1608">
        <v>2952</v>
      </c>
      <c r="L1608">
        <v>348</v>
      </c>
    </row>
    <row r="1609" spans="1:12" x14ac:dyDescent="0.2">
      <c r="A1609"/>
      <c r="B1609"/>
      <c r="C1609"/>
      <c r="D1609"/>
      <c r="E1609" s="2">
        <f>Comuni__2[[#This Row],[Popolazione2011]]/$D$7911</f>
        <v>7.0309385022253223E-5</v>
      </c>
      <c r="F1609">
        <f>SUMIFS($D$2:$D$7909, $B$2:$B$7909, "Emilia-Romagna")</f>
        <v>4342135</v>
      </c>
      <c r="G1609" s="1">
        <f>Comuni__2[[#This Row],[Popolazione2011]]/Comuni__2[[#This Row],[POPOLAZIONE TOTALE DI OGNI REGIONE (CON FILTRO)]]</f>
        <v>9.621994709975623E-4</v>
      </c>
      <c r="H1609" t="str">
        <f>IF(Comuni__2[[#This Row],[Popolazione2011]]&gt;300000,"MAGGIORE","")</f>
        <v/>
      </c>
      <c r="J1609">
        <v>6</v>
      </c>
      <c r="K1609">
        <v>2953</v>
      </c>
      <c r="L1609">
        <v>348</v>
      </c>
    </row>
    <row r="1610" spans="1:12" x14ac:dyDescent="0.2">
      <c r="A1610"/>
      <c r="B1610"/>
      <c r="C1610"/>
      <c r="D1610"/>
      <c r="E1610" s="2">
        <f>Comuni__2[[#This Row],[Popolazione2011]]/$D$7911</f>
        <v>6.9922330006573038E-5</v>
      </c>
      <c r="F1610">
        <f>SUMIFS($D$2:$D$7909, $B$2:$B$7909, "Emilia-Romagna")</f>
        <v>4342135</v>
      </c>
      <c r="G1610" s="1">
        <f>Comuni__2[[#This Row],[Popolazione2011]]/Comuni__2[[#This Row],[POPOLAZIONE TOTALE DI OGNI REGIONE (CON FILTRO)]]</f>
        <v>9.5690253757656088E-4</v>
      </c>
      <c r="H1610" t="str">
        <f>IF(Comuni__2[[#This Row],[Popolazione2011]]&gt;300000,"MAGGIORE","")</f>
        <v/>
      </c>
      <c r="J1610">
        <v>5</v>
      </c>
      <c r="K1610">
        <v>2962</v>
      </c>
      <c r="L1610">
        <v>348</v>
      </c>
    </row>
    <row r="1611" spans="1:12" x14ac:dyDescent="0.2">
      <c r="A1611"/>
      <c r="B1611"/>
      <c r="C1611"/>
      <c r="D1611"/>
      <c r="E1611" s="2">
        <f>Comuni__2[[#This Row],[Popolazione2011]]/$D$7911</f>
        <v>6.7953397970286857E-5</v>
      </c>
      <c r="F1611">
        <f>SUMIFS($D$2:$D$7909, $B$2:$B$7909, "Emilia-Romagna")</f>
        <v>4342135</v>
      </c>
      <c r="G1611" s="1">
        <f>Comuni__2[[#This Row],[Popolazione2011]]/Comuni__2[[#This Row],[POPOLAZIONE TOTALE DI OGNI REGIONE (CON FILTRO)]]</f>
        <v>9.2995726756537971E-4</v>
      </c>
      <c r="H1611" t="str">
        <f>IF(Comuni__2[[#This Row],[Popolazione2011]]&gt;300000,"MAGGIORE","")</f>
        <v/>
      </c>
      <c r="J1611">
        <v>6</v>
      </c>
      <c r="K1611">
        <v>2963</v>
      </c>
      <c r="L1611">
        <v>348</v>
      </c>
    </row>
    <row r="1612" spans="1:12" x14ac:dyDescent="0.2">
      <c r="A1612"/>
      <c r="B1612"/>
      <c r="C1612"/>
      <c r="D1612"/>
      <c r="E1612" s="2">
        <f>Comuni__2[[#This Row],[Popolazione2011]]/$D$7911</f>
        <v>6.7297087291524801E-5</v>
      </c>
      <c r="F1612">
        <f>SUMIFS($D$2:$D$7909, $B$2:$B$7909, "Emilia-Romagna")</f>
        <v>4342135</v>
      </c>
      <c r="G1612" s="1">
        <f>Comuni__2[[#This Row],[Popolazione2011]]/Comuni__2[[#This Row],[POPOLAZIONE TOTALE DI OGNI REGIONE (CON FILTRO)]]</f>
        <v>9.2097551089498602E-4</v>
      </c>
      <c r="H1612" t="str">
        <f>IF(Comuni__2[[#This Row],[Popolazione2011]]&gt;300000,"MAGGIORE","")</f>
        <v/>
      </c>
      <c r="J1612">
        <v>9</v>
      </c>
      <c r="K1612">
        <v>2963</v>
      </c>
      <c r="L1612">
        <v>348</v>
      </c>
    </row>
    <row r="1613" spans="1:12" x14ac:dyDescent="0.2">
      <c r="A1613"/>
      <c r="B1613"/>
      <c r="C1613"/>
      <c r="D1613"/>
      <c r="E1613" s="2">
        <f>Comuni__2[[#This Row],[Popolazione2011]]/$D$7911</f>
        <v>6.7061488586328175E-5</v>
      </c>
      <c r="F1613">
        <f>SUMIFS($D$2:$D$7909, $B$2:$B$7909, "Emilia-Romagna")</f>
        <v>4342135</v>
      </c>
      <c r="G1613" s="1">
        <f>Comuni__2[[#This Row],[Popolazione2011]]/Comuni__2[[#This Row],[POPOLAZIONE TOTALE DI OGNI REGIONE (CON FILTRO)]]</f>
        <v>9.1775129055176772E-4</v>
      </c>
      <c r="H1613" t="str">
        <f>IF(Comuni__2[[#This Row],[Popolazione2011]]&gt;300000,"MAGGIORE","")</f>
        <v/>
      </c>
      <c r="J1613">
        <v>8</v>
      </c>
      <c r="K1613">
        <v>2970</v>
      </c>
      <c r="L1613">
        <v>348</v>
      </c>
    </row>
    <row r="1614" spans="1:12" x14ac:dyDescent="0.2">
      <c r="A1614"/>
      <c r="B1614"/>
      <c r="C1614"/>
      <c r="D1614"/>
      <c r="E1614" s="2">
        <f>Comuni__2[[#This Row],[Popolazione2011]]/$D$7911</f>
        <v>6.7011003149500313E-5</v>
      </c>
      <c r="F1614">
        <f>SUMIFS($D$2:$D$7909, $B$2:$B$7909, "Emilia-Romagna")</f>
        <v>4342135</v>
      </c>
      <c r="G1614" s="1">
        <f>Comuni__2[[#This Row],[Popolazione2011]]/Comuni__2[[#This Row],[POPOLAZIONE TOTALE DI OGNI REGIONE (CON FILTRO)]]</f>
        <v>9.1706038619250672E-4</v>
      </c>
      <c r="H1614" t="str">
        <f>IF(Comuni__2[[#This Row],[Popolazione2011]]&gt;300000,"MAGGIORE","")</f>
        <v/>
      </c>
      <c r="J1614">
        <v>10</v>
      </c>
      <c r="K1614">
        <v>2975</v>
      </c>
      <c r="L1614">
        <v>348</v>
      </c>
    </row>
    <row r="1615" spans="1:12" x14ac:dyDescent="0.2">
      <c r="A1615"/>
      <c r="B1615"/>
      <c r="C1615"/>
      <c r="D1615"/>
      <c r="E1615" s="2">
        <f>Comuni__2[[#This Row],[Popolazione2011]]/$D$7911</f>
        <v>6.5631067876205737E-5</v>
      </c>
      <c r="F1615">
        <f>SUMIFS($D$2:$D$7909, $B$2:$B$7909, "Emilia-Romagna")</f>
        <v>4342135</v>
      </c>
      <c r="G1615" s="1">
        <f>Comuni__2[[#This Row],[Popolazione2011]]/Comuni__2[[#This Row],[POPOLAZIONE TOTALE DI OGNI REGIONE (CON FILTRO)]]</f>
        <v>8.9817566703937119E-4</v>
      </c>
      <c r="H1615" t="str">
        <f>IF(Comuni__2[[#This Row],[Popolazione2011]]&gt;300000,"MAGGIORE","")</f>
        <v/>
      </c>
      <c r="J1615">
        <v>12</v>
      </c>
      <c r="K1615">
        <v>2977</v>
      </c>
      <c r="L1615">
        <v>348</v>
      </c>
    </row>
    <row r="1616" spans="1:12" x14ac:dyDescent="0.2">
      <c r="A1616"/>
      <c r="B1616"/>
      <c r="C1616"/>
      <c r="D1616"/>
      <c r="E1616" s="2">
        <f>Comuni__2[[#This Row],[Popolazione2011]]/$D$7911</f>
        <v>6.5546925481492656E-5</v>
      </c>
      <c r="F1616">
        <f>SUMIFS($D$2:$D$7909, $B$2:$B$7909, "Emilia-Romagna")</f>
        <v>4342135</v>
      </c>
      <c r="G1616" s="1">
        <f>Comuni__2[[#This Row],[Popolazione2011]]/Comuni__2[[#This Row],[POPOLAZIONE TOTALE DI OGNI REGIONE (CON FILTRO)]]</f>
        <v>8.9702415977393612E-4</v>
      </c>
      <c r="H1616" t="str">
        <f>IF(Comuni__2[[#This Row],[Popolazione2011]]&gt;300000,"MAGGIORE","")</f>
        <v/>
      </c>
      <c r="J1616">
        <v>11</v>
      </c>
      <c r="K1616">
        <v>2992</v>
      </c>
      <c r="L1616">
        <v>348</v>
      </c>
    </row>
    <row r="1617" spans="1:12" x14ac:dyDescent="0.2">
      <c r="A1617"/>
      <c r="B1617"/>
      <c r="C1617"/>
      <c r="D1617"/>
      <c r="E1617" s="2">
        <f>Comuni__2[[#This Row],[Popolazione2011]]/$D$7911</f>
        <v>6.4739158492247041E-5</v>
      </c>
      <c r="F1617">
        <f>SUMIFS($D$2:$D$7909, $B$2:$B$7909, "Emilia-Romagna")</f>
        <v>4342135</v>
      </c>
      <c r="G1617" s="1">
        <f>Comuni__2[[#This Row],[Popolazione2011]]/Comuni__2[[#This Row],[POPOLAZIONE TOTALE DI OGNI REGIONE (CON FILTRO)]]</f>
        <v>8.859696900257592E-4</v>
      </c>
      <c r="H1617" t="str">
        <f>IF(Comuni__2[[#This Row],[Popolazione2011]]&gt;300000,"MAGGIORE","")</f>
        <v/>
      </c>
      <c r="J1617">
        <v>11</v>
      </c>
      <c r="K1617">
        <v>2996</v>
      </c>
      <c r="L1617">
        <v>348</v>
      </c>
    </row>
    <row r="1618" spans="1:12" x14ac:dyDescent="0.2">
      <c r="A1618"/>
      <c r="B1618"/>
      <c r="C1618"/>
      <c r="D1618"/>
      <c r="E1618" s="2">
        <f>Comuni__2[[#This Row],[Popolazione2011]]/$D$7911</f>
        <v>6.4049190855599753E-5</v>
      </c>
      <c r="F1618">
        <f>SUMIFS($D$2:$D$7909, $B$2:$B$7909, "Emilia-Romagna")</f>
        <v>4342135</v>
      </c>
      <c r="G1618" s="1">
        <f>Comuni__2[[#This Row],[Popolazione2011]]/Comuni__2[[#This Row],[POPOLAZIONE TOTALE DI OGNI REGIONE (CON FILTRO)]]</f>
        <v>8.7652733044919144E-4</v>
      </c>
      <c r="H1618" t="str">
        <f>IF(Comuni__2[[#This Row],[Popolazione2011]]&gt;300000,"MAGGIORE","")</f>
        <v/>
      </c>
      <c r="J1618">
        <v>12</v>
      </c>
      <c r="K1618">
        <v>3001</v>
      </c>
      <c r="L1618">
        <v>348</v>
      </c>
    </row>
    <row r="1619" spans="1:12" x14ac:dyDescent="0.2">
      <c r="A1619"/>
      <c r="B1619"/>
      <c r="C1619"/>
      <c r="D1619"/>
      <c r="E1619" s="2">
        <f>Comuni__2[[#This Row],[Popolazione2011]]/$D$7911</f>
        <v>6.3813592150403114E-5</v>
      </c>
      <c r="F1619">
        <f>SUMIFS($D$2:$D$7909, $B$2:$B$7909, "Emilia-Romagna")</f>
        <v>4342135</v>
      </c>
      <c r="G1619" s="1">
        <f>Comuni__2[[#This Row],[Popolazione2011]]/Comuni__2[[#This Row],[POPOLAZIONE TOTALE DI OGNI REGIONE (CON FILTRO)]]</f>
        <v>8.7330311010597325E-4</v>
      </c>
      <c r="H1619" t="str">
        <f>IF(Comuni__2[[#This Row],[Popolazione2011]]&gt;300000,"MAGGIORE","")</f>
        <v/>
      </c>
      <c r="J1619">
        <v>13</v>
      </c>
      <c r="K1619">
        <v>3003</v>
      </c>
      <c r="L1619">
        <v>348</v>
      </c>
    </row>
    <row r="1620" spans="1:12" x14ac:dyDescent="0.2">
      <c r="A1620"/>
      <c r="B1620"/>
      <c r="C1620"/>
      <c r="D1620"/>
      <c r="E1620" s="2">
        <f>Comuni__2[[#This Row],[Popolazione2011]]/$D$7911</f>
        <v>6.3695792797804801E-5</v>
      </c>
      <c r="F1620">
        <f>SUMIFS($D$2:$D$7909, $B$2:$B$7909, "Emilia-Romagna")</f>
        <v>4342135</v>
      </c>
      <c r="G1620" s="1">
        <f>Comuni__2[[#This Row],[Popolazione2011]]/Comuni__2[[#This Row],[POPOLAZIONE TOTALE DI OGNI REGIONE (CON FILTRO)]]</f>
        <v>8.7169099993436409E-4</v>
      </c>
      <c r="H1620" t="str">
        <f>IF(Comuni__2[[#This Row],[Popolazione2011]]&gt;300000,"MAGGIORE","")</f>
        <v/>
      </c>
      <c r="J1620">
        <v>15</v>
      </c>
      <c r="K1620">
        <v>3005</v>
      </c>
      <c r="L1620">
        <v>348</v>
      </c>
    </row>
    <row r="1621" spans="1:12" x14ac:dyDescent="0.2">
      <c r="A1621"/>
      <c r="B1621"/>
      <c r="C1621"/>
      <c r="D1621"/>
      <c r="E1621" s="2">
        <f>Comuni__2[[#This Row],[Popolazione2011]]/$D$7911</f>
        <v>6.3493851050493394E-5</v>
      </c>
      <c r="F1621">
        <f>SUMIFS($D$2:$D$7909, $B$2:$B$7909, "Emilia-Romagna")</f>
        <v>4342135</v>
      </c>
      <c r="G1621" s="1">
        <f>Comuni__2[[#This Row],[Popolazione2011]]/Comuni__2[[#This Row],[POPOLAZIONE TOTALE DI OGNI REGIONE (CON FILTRO)]]</f>
        <v>8.6892738249731987E-4</v>
      </c>
      <c r="H1621" t="str">
        <f>IF(Comuni__2[[#This Row],[Popolazione2011]]&gt;300000,"MAGGIORE","")</f>
        <v/>
      </c>
      <c r="J1621">
        <v>14</v>
      </c>
      <c r="K1621">
        <v>3015</v>
      </c>
      <c r="L1621">
        <v>348</v>
      </c>
    </row>
    <row r="1622" spans="1:12" x14ac:dyDescent="0.2">
      <c r="A1622"/>
      <c r="B1622"/>
      <c r="C1622"/>
      <c r="D1622"/>
      <c r="E1622" s="2">
        <f>Comuni__2[[#This Row],[Popolazione2011]]/$D$7911</f>
        <v>6.2450485356051153E-5</v>
      </c>
      <c r="F1622">
        <f>SUMIFS($D$2:$D$7909, $B$2:$B$7909, "Emilia-Romagna")</f>
        <v>4342135</v>
      </c>
      <c r="G1622" s="1">
        <f>Comuni__2[[#This Row],[Popolazione2011]]/Comuni__2[[#This Row],[POPOLAZIONE TOTALE DI OGNI REGIONE (CON FILTRO)]]</f>
        <v>8.5464869240592476E-4</v>
      </c>
      <c r="H1622" t="str">
        <f>IF(Comuni__2[[#This Row],[Popolazione2011]]&gt;300000,"MAGGIORE","")</f>
        <v/>
      </c>
      <c r="J1622">
        <v>13</v>
      </c>
      <c r="K1622">
        <v>3026</v>
      </c>
      <c r="L1622">
        <v>348</v>
      </c>
    </row>
    <row r="1623" spans="1:12" x14ac:dyDescent="0.2">
      <c r="A1623"/>
      <c r="B1623"/>
      <c r="C1623"/>
      <c r="D1623"/>
      <c r="E1623" s="2">
        <f>Comuni__2[[#This Row],[Popolazione2011]]/$D$7911</f>
        <v>6.2113915777198817E-5</v>
      </c>
      <c r="F1623">
        <f>SUMIFS($D$2:$D$7909, $B$2:$B$7909, "Emilia-Romagna")</f>
        <v>4342135</v>
      </c>
      <c r="G1623" s="1">
        <f>Comuni__2[[#This Row],[Popolazione2011]]/Comuni__2[[#This Row],[POPOLAZIONE TOTALE DI OGNI REGIONE (CON FILTRO)]]</f>
        <v>8.5004266334418434E-4</v>
      </c>
      <c r="H1623" t="str">
        <f>IF(Comuni__2[[#This Row],[Popolazione2011]]&gt;300000,"MAGGIORE","")</f>
        <v/>
      </c>
      <c r="J1623">
        <v>13</v>
      </c>
      <c r="K1623">
        <v>3033</v>
      </c>
      <c r="L1623">
        <v>348</v>
      </c>
    </row>
    <row r="1624" spans="1:12" x14ac:dyDescent="0.2">
      <c r="A1624"/>
      <c r="B1624"/>
      <c r="C1624"/>
      <c r="D1624"/>
      <c r="E1624" s="2">
        <f>Comuni__2[[#This Row],[Popolazione2011]]/$D$7911</f>
        <v>6.0935922251215634E-5</v>
      </c>
      <c r="F1624">
        <f>SUMIFS($D$2:$D$7909, $B$2:$B$7909, "Emilia-Romagna")</f>
        <v>4342135</v>
      </c>
      <c r="G1624" s="1">
        <f>Comuni__2[[#This Row],[Popolazione2011]]/Comuni__2[[#This Row],[POPOLAZIONE TOTALE DI OGNI REGIONE (CON FILTRO)]]</f>
        <v>8.3392156162809305E-4</v>
      </c>
      <c r="H1624" t="str">
        <f>IF(Comuni__2[[#This Row],[Popolazione2011]]&gt;300000,"MAGGIORE","")</f>
        <v/>
      </c>
      <c r="J1624">
        <v>15</v>
      </c>
      <c r="K1624">
        <v>3052</v>
      </c>
      <c r="L1624">
        <v>348</v>
      </c>
    </row>
    <row r="1625" spans="1:12" x14ac:dyDescent="0.2">
      <c r="A1625"/>
      <c r="B1625"/>
      <c r="C1625"/>
      <c r="D1625"/>
      <c r="E1625" s="2">
        <f>Comuni__2[[#This Row],[Popolazione2011]]/$D$7911</f>
        <v>6.086860833544517E-5</v>
      </c>
      <c r="F1625">
        <f>SUMIFS($D$2:$D$7909, $B$2:$B$7909, "Emilia-Romagna")</f>
        <v>4342135</v>
      </c>
      <c r="G1625" s="1">
        <f>Comuni__2[[#This Row],[Popolazione2011]]/Comuni__2[[#This Row],[POPOLAZIONE TOTALE DI OGNI REGIONE (CON FILTRO)]]</f>
        <v>8.3300035581574501E-4</v>
      </c>
      <c r="H1625" t="str">
        <f>IF(Comuni__2[[#This Row],[Popolazione2011]]&gt;300000,"MAGGIORE","")</f>
        <v/>
      </c>
      <c r="J1625">
        <v>16</v>
      </c>
      <c r="K1625">
        <v>3056</v>
      </c>
      <c r="L1625">
        <v>348</v>
      </c>
    </row>
    <row r="1626" spans="1:12" x14ac:dyDescent="0.2">
      <c r="A1626"/>
      <c r="B1626"/>
      <c r="C1626"/>
      <c r="D1626"/>
      <c r="E1626" s="2">
        <f>Comuni__2[[#This Row],[Popolazione2011]]/$D$7911</f>
        <v>6.0616181151305914E-5</v>
      </c>
      <c r="F1626">
        <f>SUMIFS($D$2:$D$7909, $B$2:$B$7909, "Emilia-Romagna")</f>
        <v>4342135</v>
      </c>
      <c r="G1626" s="1">
        <f>Comuni__2[[#This Row],[Popolazione2011]]/Comuni__2[[#This Row],[POPOLAZIONE TOTALE DI OGNI REGIONE (CON FILTRO)]]</f>
        <v>8.2954583401943977E-4</v>
      </c>
      <c r="H1626" t="str">
        <f>IF(Comuni__2[[#This Row],[Popolazione2011]]&gt;300000,"MAGGIORE","")</f>
        <v/>
      </c>
      <c r="J1626">
        <v>15</v>
      </c>
      <c r="K1626">
        <v>3056</v>
      </c>
      <c r="L1626">
        <v>348</v>
      </c>
    </row>
    <row r="1627" spans="1:12" x14ac:dyDescent="0.2">
      <c r="A1627"/>
      <c r="B1627"/>
      <c r="C1627"/>
      <c r="D1627"/>
      <c r="E1627" s="2">
        <f>Comuni__2[[#This Row],[Popolazione2011]]/$D$7911</f>
        <v>5.8546278241364043E-5</v>
      </c>
      <c r="F1627">
        <f>SUMIFS($D$2:$D$7909, $B$2:$B$7909, "Emilia-Romagna")</f>
        <v>4342135</v>
      </c>
      <c r="G1627" s="1">
        <f>Comuni__2[[#This Row],[Popolazione2011]]/Comuni__2[[#This Row],[POPOLAZIONE TOTALE DI OGNI REGIONE (CON FILTRO)]]</f>
        <v>8.0121875528973649E-4</v>
      </c>
      <c r="H1627" t="str">
        <f>IF(Comuni__2[[#This Row],[Popolazione2011]]&gt;300000,"MAGGIORE","")</f>
        <v/>
      </c>
      <c r="J1627">
        <v>14</v>
      </c>
      <c r="K1627">
        <v>3061</v>
      </c>
      <c r="L1627">
        <v>348</v>
      </c>
    </row>
    <row r="1628" spans="1:12" x14ac:dyDescent="0.2">
      <c r="A1628"/>
      <c r="B1628"/>
      <c r="C1628"/>
      <c r="D1628"/>
      <c r="E1628" s="2">
        <f>Comuni__2[[#This Row],[Popolazione2011]]/$D$7911</f>
        <v>5.8243365620396939E-5</v>
      </c>
      <c r="F1628">
        <f>SUMIFS($D$2:$D$7909, $B$2:$B$7909, "Emilia-Romagna")</f>
        <v>4342135</v>
      </c>
      <c r="G1628" s="1">
        <f>Comuni__2[[#This Row],[Popolazione2011]]/Comuni__2[[#This Row],[POPOLAZIONE TOTALE DI OGNI REGIONE (CON FILTRO)]]</f>
        <v>7.9707332913417014E-4</v>
      </c>
      <c r="H1628" t="str">
        <f>IF(Comuni__2[[#This Row],[Popolazione2011]]&gt;300000,"MAGGIORE","")</f>
        <v/>
      </c>
      <c r="J1628">
        <v>14</v>
      </c>
      <c r="K1628">
        <v>3070</v>
      </c>
      <c r="L1628">
        <v>349</v>
      </c>
    </row>
    <row r="1629" spans="1:12" x14ac:dyDescent="0.2">
      <c r="A1629"/>
      <c r="B1629"/>
      <c r="C1629"/>
      <c r="D1629"/>
      <c r="E1629" s="2">
        <f>Comuni__2[[#This Row],[Popolazione2011]]/$D$7911</f>
        <v>5.7267313841725163E-5</v>
      </c>
      <c r="F1629">
        <f>SUMIFS($D$2:$D$7909, $B$2:$B$7909, "Emilia-Romagna")</f>
        <v>4342135</v>
      </c>
      <c r="G1629" s="1">
        <f>Comuni__2[[#This Row],[Popolazione2011]]/Comuni__2[[#This Row],[POPOLAZIONE TOTALE DI OGNI REGIONE (CON FILTRO)]]</f>
        <v>7.8371584485512308E-4</v>
      </c>
      <c r="H1629" t="str">
        <f>IF(Comuni__2[[#This Row],[Popolazione2011]]&gt;300000,"MAGGIORE","")</f>
        <v/>
      </c>
      <c r="J1629">
        <v>15</v>
      </c>
      <c r="K1629">
        <v>3080</v>
      </c>
      <c r="L1629">
        <v>349</v>
      </c>
    </row>
    <row r="1630" spans="1:12" x14ac:dyDescent="0.2">
      <c r="A1630"/>
      <c r="B1630"/>
      <c r="C1630"/>
      <c r="D1630"/>
      <c r="E1630" s="2">
        <f>Comuni__2[[#This Row],[Popolazione2011]]/$D$7911</f>
        <v>5.7132686010184227E-5</v>
      </c>
      <c r="F1630">
        <f>SUMIFS($D$2:$D$7909, $B$2:$B$7909, "Emilia-Romagna")</f>
        <v>4342135</v>
      </c>
      <c r="G1630" s="1">
        <f>Comuni__2[[#This Row],[Popolazione2011]]/Comuni__2[[#This Row],[POPOLAZIONE TOTALE DI OGNI REGIONE (CON FILTRO)]]</f>
        <v>7.81873433230427E-4</v>
      </c>
      <c r="H1630" t="str">
        <f>IF(Comuni__2[[#This Row],[Popolazione2011]]&gt;300000,"MAGGIORE","")</f>
        <v/>
      </c>
      <c r="J1630">
        <v>15</v>
      </c>
      <c r="K1630">
        <v>3093</v>
      </c>
      <c r="L1630">
        <v>349</v>
      </c>
    </row>
    <row r="1631" spans="1:12" x14ac:dyDescent="0.2">
      <c r="A1631"/>
      <c r="B1631"/>
      <c r="C1631"/>
      <c r="D1631"/>
      <c r="E1631" s="2">
        <f>Comuni__2[[#This Row],[Popolazione2011]]/$D$7911</f>
        <v>5.6829773389217123E-5</v>
      </c>
      <c r="F1631">
        <f>SUMIFS($D$2:$D$7909, $B$2:$B$7909, "Emilia-Romagna")</f>
        <v>4342135</v>
      </c>
      <c r="G1631" s="1">
        <f>Comuni__2[[#This Row],[Popolazione2011]]/Comuni__2[[#This Row],[POPOLAZIONE TOTALE DI OGNI REGIONE (CON FILTRO)]]</f>
        <v>7.7772800707486065E-4</v>
      </c>
      <c r="H1631" t="str">
        <f>IF(Comuni__2[[#This Row],[Popolazione2011]]&gt;300000,"MAGGIORE","")</f>
        <v/>
      </c>
      <c r="J1631">
        <v>18</v>
      </c>
      <c r="K1631">
        <v>3109</v>
      </c>
      <c r="L1631">
        <v>349</v>
      </c>
    </row>
    <row r="1632" spans="1:12" x14ac:dyDescent="0.2">
      <c r="A1632"/>
      <c r="B1632"/>
      <c r="C1632"/>
      <c r="D1632"/>
      <c r="E1632" s="2">
        <f>Comuni__2[[#This Row],[Popolazione2011]]/$D$7911</f>
        <v>5.6493203810364787E-5</v>
      </c>
      <c r="F1632">
        <f>SUMIFS($D$2:$D$7909, $B$2:$B$7909, "Emilia-Romagna")</f>
        <v>4342135</v>
      </c>
      <c r="G1632" s="1">
        <f>Comuni__2[[#This Row],[Popolazione2011]]/Comuni__2[[#This Row],[POPOLAZIONE TOTALE DI OGNI REGIONE (CON FILTRO)]]</f>
        <v>7.7312197801312024E-4</v>
      </c>
      <c r="H1632" t="str">
        <f>IF(Comuni__2[[#This Row],[Popolazione2011]]&gt;300000,"MAGGIORE","")</f>
        <v/>
      </c>
      <c r="J1632">
        <v>19</v>
      </c>
      <c r="K1632">
        <v>3115</v>
      </c>
      <c r="L1632">
        <v>349</v>
      </c>
    </row>
    <row r="1633" spans="1:12" x14ac:dyDescent="0.2">
      <c r="A1633"/>
      <c r="B1633"/>
      <c r="C1633"/>
      <c r="D1633"/>
      <c r="E1633" s="2">
        <f>Comuni__2[[#This Row],[Popolazione2011]]/$D$7911</f>
        <v>5.6358575978823852E-5</v>
      </c>
      <c r="F1633">
        <f>SUMIFS($D$2:$D$7909, $B$2:$B$7909, "Emilia-Romagna")</f>
        <v>4342135</v>
      </c>
      <c r="G1633" s="1">
        <f>Comuni__2[[#This Row],[Popolazione2011]]/Comuni__2[[#This Row],[POPOLAZIONE TOTALE DI OGNI REGIONE (CON FILTRO)]]</f>
        <v>7.7127956638842416E-4</v>
      </c>
      <c r="H1633" t="str">
        <f>IF(Comuni__2[[#This Row],[Popolazione2011]]&gt;300000,"MAGGIORE","")</f>
        <v/>
      </c>
      <c r="J1633">
        <v>20</v>
      </c>
      <c r="K1633">
        <v>3123</v>
      </c>
      <c r="L1633">
        <v>349</v>
      </c>
    </row>
    <row r="1634" spans="1:12" x14ac:dyDescent="0.2">
      <c r="A1634"/>
      <c r="B1634"/>
      <c r="C1634"/>
      <c r="D1634"/>
      <c r="E1634" s="2">
        <f>Comuni__2[[#This Row],[Popolazione2011]]/$D$7911</f>
        <v>5.6341747499881235E-5</v>
      </c>
      <c r="F1634">
        <f>SUMIFS($D$2:$D$7909, $B$2:$B$7909, "Emilia-Romagna")</f>
        <v>4342135</v>
      </c>
      <c r="G1634" s="1">
        <f>Comuni__2[[#This Row],[Popolazione2011]]/Comuni__2[[#This Row],[POPOLAZIONE TOTALE DI OGNI REGIONE (CON FILTRO)]]</f>
        <v>7.7104926493533712E-4</v>
      </c>
      <c r="H1634" t="str">
        <f>IF(Comuni__2[[#This Row],[Popolazione2011]]&gt;300000,"MAGGIORE","")</f>
        <v/>
      </c>
      <c r="J1634">
        <v>22</v>
      </c>
      <c r="K1634">
        <v>3124</v>
      </c>
      <c r="L1634">
        <v>349</v>
      </c>
    </row>
    <row r="1635" spans="1:12" x14ac:dyDescent="0.2">
      <c r="A1635"/>
      <c r="B1635"/>
      <c r="C1635"/>
      <c r="D1635"/>
      <c r="E1635" s="2">
        <f>Comuni__2[[#This Row],[Popolazione2011]]/$D$7911</f>
        <v>5.556763746852086E-5</v>
      </c>
      <c r="F1635">
        <f>SUMIFS($D$2:$D$7909, $B$2:$B$7909, "Emilia-Romagna")</f>
        <v>4342135</v>
      </c>
      <c r="G1635" s="1">
        <f>Comuni__2[[#This Row],[Popolazione2011]]/Comuni__2[[#This Row],[POPOLAZIONE TOTALE DI OGNI REGIONE (CON FILTRO)]]</f>
        <v>7.6045539809333428E-4</v>
      </c>
      <c r="H1635" t="str">
        <f>IF(Comuni__2[[#This Row],[Popolazione2011]]&gt;300000,"MAGGIORE","")</f>
        <v/>
      </c>
      <c r="J1635">
        <v>20</v>
      </c>
      <c r="K1635">
        <v>3140</v>
      </c>
      <c r="L1635">
        <v>349</v>
      </c>
    </row>
    <row r="1636" spans="1:12" x14ac:dyDescent="0.2">
      <c r="A1636"/>
      <c r="B1636"/>
      <c r="C1636"/>
      <c r="D1636"/>
      <c r="E1636" s="2">
        <f>Comuni__2[[#This Row],[Popolazione2011]]/$D$7911</f>
        <v>5.4709385042447397E-5</v>
      </c>
      <c r="F1636">
        <f>SUMIFS($D$2:$D$7909, $B$2:$B$7909, "Emilia-Romagna")</f>
        <v>4342135</v>
      </c>
      <c r="G1636" s="1">
        <f>Comuni__2[[#This Row],[Popolazione2011]]/Comuni__2[[#This Row],[POPOLAZIONE TOTALE DI OGNI REGIONE (CON FILTRO)]]</f>
        <v>7.4871002398589636E-4</v>
      </c>
      <c r="H1636" t="str">
        <f>IF(Comuni__2[[#This Row],[Popolazione2011]]&gt;300000,"MAGGIORE","")</f>
        <v/>
      </c>
      <c r="J1636">
        <v>20</v>
      </c>
      <c r="K1636">
        <v>3144</v>
      </c>
      <c r="L1636">
        <v>349</v>
      </c>
    </row>
    <row r="1637" spans="1:12" x14ac:dyDescent="0.2">
      <c r="A1637"/>
      <c r="B1637"/>
      <c r="C1637"/>
      <c r="D1637"/>
      <c r="E1637" s="2">
        <f>Comuni__2[[#This Row],[Popolazione2011]]/$D$7911</f>
        <v>5.3363106727038052E-5</v>
      </c>
      <c r="F1637">
        <f>SUMIFS($D$2:$D$7909, $B$2:$B$7909, "Emilia-Romagna")</f>
        <v>4342135</v>
      </c>
      <c r="G1637" s="1">
        <f>Comuni__2[[#This Row],[Popolazione2011]]/Comuni__2[[#This Row],[POPOLAZIONE TOTALE DI OGNI REGIONE (CON FILTRO)]]</f>
        <v>7.3028590773893491E-4</v>
      </c>
      <c r="H1637" t="str">
        <f>IF(Comuni__2[[#This Row],[Popolazione2011]]&gt;300000,"MAGGIORE","")</f>
        <v/>
      </c>
      <c r="J1637">
        <v>20</v>
      </c>
      <c r="K1637">
        <v>3162</v>
      </c>
      <c r="L1637">
        <v>349</v>
      </c>
    </row>
    <row r="1638" spans="1:12" x14ac:dyDescent="0.2">
      <c r="A1638"/>
      <c r="B1638"/>
      <c r="C1638"/>
      <c r="D1638"/>
      <c r="E1638" s="2">
        <f>Comuni__2[[#This Row],[Popolazione2011]]/$D$7911</f>
        <v>5.1646601874891133E-5</v>
      </c>
      <c r="F1638">
        <f>SUMIFS($D$2:$D$7909, $B$2:$B$7909, "Emilia-Romagna")</f>
        <v>4342135</v>
      </c>
      <c r="G1638" s="1">
        <f>Comuni__2[[#This Row],[Popolazione2011]]/Comuni__2[[#This Row],[POPOLAZIONE TOTALE DI OGNI REGIONE (CON FILTRO)]]</f>
        <v>7.0679515952405897E-4</v>
      </c>
      <c r="H1638" t="str">
        <f>IF(Comuni__2[[#This Row],[Popolazione2011]]&gt;300000,"MAGGIORE","")</f>
        <v/>
      </c>
      <c r="J1638">
        <v>20</v>
      </c>
      <c r="K1638">
        <v>3177</v>
      </c>
      <c r="L1638">
        <v>349</v>
      </c>
    </row>
    <row r="1639" spans="1:12" x14ac:dyDescent="0.2">
      <c r="A1639"/>
      <c r="B1639"/>
      <c r="C1639"/>
      <c r="D1639"/>
      <c r="E1639" s="2">
        <f>Comuni__2[[#This Row],[Popolazione2011]]/$D$7911</f>
        <v>5.0956634238243838E-5</v>
      </c>
      <c r="F1639">
        <f>SUMIFS($D$2:$D$7909, $B$2:$B$7909, "Emilia-Romagna")</f>
        <v>4342135</v>
      </c>
      <c r="G1639" s="1">
        <f>Comuni__2[[#This Row],[Popolazione2011]]/Comuni__2[[#This Row],[POPOLAZIONE TOTALE DI OGNI REGIONE (CON FILTRO)]]</f>
        <v>6.9735279994749132E-4</v>
      </c>
      <c r="H1639" t="str">
        <f>IF(Comuni__2[[#This Row],[Popolazione2011]]&gt;300000,"MAGGIORE","")</f>
        <v/>
      </c>
      <c r="J1639">
        <v>25</v>
      </c>
      <c r="K1639">
        <v>3219</v>
      </c>
      <c r="L1639">
        <v>349</v>
      </c>
    </row>
    <row r="1640" spans="1:12" x14ac:dyDescent="0.2">
      <c r="A1640"/>
      <c r="B1640"/>
      <c r="C1640"/>
      <c r="D1640"/>
      <c r="E1640" s="2">
        <f>Comuni__2[[#This Row],[Popolazione2011]]/$D$7911</f>
        <v>5.0956634238243838E-5</v>
      </c>
      <c r="F1640">
        <f>SUMIFS($D$2:$D$7909, $B$2:$B$7909, "Emilia-Romagna")</f>
        <v>4342135</v>
      </c>
      <c r="G1640" s="1">
        <f>Comuni__2[[#This Row],[Popolazione2011]]/Comuni__2[[#This Row],[POPOLAZIONE TOTALE DI OGNI REGIONE (CON FILTRO)]]</f>
        <v>6.9735279994749132E-4</v>
      </c>
      <c r="H1640" t="str">
        <f>IF(Comuni__2[[#This Row],[Popolazione2011]]&gt;300000,"MAGGIORE","")</f>
        <v/>
      </c>
      <c r="J1640">
        <v>25</v>
      </c>
      <c r="K1640">
        <v>3220</v>
      </c>
      <c r="L1640">
        <v>349</v>
      </c>
    </row>
    <row r="1641" spans="1:12" x14ac:dyDescent="0.2">
      <c r="A1641"/>
      <c r="B1641"/>
      <c r="C1641"/>
      <c r="D1641"/>
      <c r="E1641" s="2">
        <f>Comuni__2[[#This Row],[Popolazione2011]]/$D$7911</f>
        <v>5.0771520969875054E-5</v>
      </c>
      <c r="F1641">
        <f>SUMIFS($D$2:$D$7909, $B$2:$B$7909, "Emilia-Romagna")</f>
        <v>4342135</v>
      </c>
      <c r="G1641" s="1">
        <f>Comuni__2[[#This Row],[Popolazione2011]]/Comuni__2[[#This Row],[POPOLAZIONE TOTALE DI OGNI REGIONE (CON FILTRO)]]</f>
        <v>6.9481948396353402E-4</v>
      </c>
      <c r="H1641" t="str">
        <f>IF(Comuni__2[[#This Row],[Popolazione2011]]&gt;300000,"MAGGIORE","")</f>
        <v/>
      </c>
      <c r="J1641">
        <v>26</v>
      </c>
      <c r="K1641">
        <v>3223</v>
      </c>
      <c r="L1641">
        <v>349</v>
      </c>
    </row>
    <row r="1642" spans="1:12" x14ac:dyDescent="0.2">
      <c r="A1642"/>
      <c r="B1642"/>
      <c r="C1642"/>
      <c r="D1642"/>
      <c r="E1642" s="2">
        <f>Comuni__2[[#This Row],[Popolazione2011]]/$D$7911</f>
        <v>5.0535922264678414E-5</v>
      </c>
      <c r="F1642">
        <f>SUMIFS($D$2:$D$7909, $B$2:$B$7909, "Emilia-Romagna")</f>
        <v>4342135</v>
      </c>
      <c r="G1642" s="1">
        <f>Comuni__2[[#This Row],[Popolazione2011]]/Comuni__2[[#This Row],[POPOLAZIONE TOTALE DI OGNI REGIONE (CON FILTRO)]]</f>
        <v>6.9159526362031582E-4</v>
      </c>
      <c r="H1642" t="str">
        <f>IF(Comuni__2[[#This Row],[Popolazione2011]]&gt;300000,"MAGGIORE","")</f>
        <v/>
      </c>
      <c r="J1642">
        <v>25</v>
      </c>
      <c r="K1642">
        <v>3249</v>
      </c>
      <c r="L1642">
        <v>349</v>
      </c>
    </row>
    <row r="1643" spans="1:12" x14ac:dyDescent="0.2">
      <c r="A1643"/>
      <c r="B1643"/>
      <c r="C1643"/>
      <c r="D1643"/>
      <c r="E1643" s="2">
        <f>Comuni__2[[#This Row],[Popolazione2011]]/$D$7911</f>
        <v>5.046860834890795E-5</v>
      </c>
      <c r="F1643">
        <f>SUMIFS($D$2:$D$7909, $B$2:$B$7909, "Emilia-Romagna")</f>
        <v>4342135</v>
      </c>
      <c r="G1643" s="1">
        <f>Comuni__2[[#This Row],[Popolazione2011]]/Comuni__2[[#This Row],[POPOLAZIONE TOTALE DI OGNI REGIONE (CON FILTRO)]]</f>
        <v>6.9067405780796778E-4</v>
      </c>
      <c r="H1643" t="str">
        <f>IF(Comuni__2[[#This Row],[Popolazione2011]]&gt;300000,"MAGGIORE","")</f>
        <v/>
      </c>
      <c r="J1643">
        <v>26</v>
      </c>
      <c r="K1643">
        <v>3268</v>
      </c>
      <c r="L1643">
        <v>349</v>
      </c>
    </row>
    <row r="1644" spans="1:12" x14ac:dyDescent="0.2">
      <c r="A1644"/>
      <c r="B1644"/>
      <c r="C1644"/>
      <c r="D1644"/>
      <c r="E1644" s="2">
        <f>Comuni__2[[#This Row],[Popolazione2011]]/$D$7911</f>
        <v>4.9980582459572062E-5</v>
      </c>
      <c r="F1644">
        <f>SUMIFS($D$2:$D$7909, $B$2:$B$7909, "Emilia-Romagna")</f>
        <v>4342135</v>
      </c>
      <c r="G1644" s="1">
        <f>Comuni__2[[#This Row],[Popolazione2011]]/Comuni__2[[#This Row],[POPOLAZIONE TOTALE DI OGNI REGIONE (CON FILTRO)]]</f>
        <v>6.8399531566844425E-4</v>
      </c>
      <c r="H1644" t="str">
        <f>IF(Comuni__2[[#This Row],[Popolazione2011]]&gt;300000,"MAGGIORE","")</f>
        <v/>
      </c>
      <c r="J1644">
        <v>26</v>
      </c>
      <c r="K1644">
        <v>3291</v>
      </c>
      <c r="L1644">
        <v>349</v>
      </c>
    </row>
    <row r="1645" spans="1:12" x14ac:dyDescent="0.2">
      <c r="A1645"/>
      <c r="B1645"/>
      <c r="C1645"/>
      <c r="D1645"/>
      <c r="E1645" s="2">
        <f>Comuni__2[[#This Row],[Popolazione2011]]/$D$7911</f>
        <v>4.9122330033498599E-5</v>
      </c>
      <c r="F1645">
        <f>SUMIFS($D$2:$D$7909, $B$2:$B$7909, "Emilia-Romagna")</f>
        <v>4342135</v>
      </c>
      <c r="G1645" s="1">
        <f>Comuni__2[[#This Row],[Popolazione2011]]/Comuni__2[[#This Row],[POPOLAZIONE TOTALE DI OGNI REGIONE (CON FILTRO)]]</f>
        <v>6.7224994156100623E-4</v>
      </c>
      <c r="H1645" t="str">
        <f>IF(Comuni__2[[#This Row],[Popolazione2011]]&gt;300000,"MAGGIORE","")</f>
        <v/>
      </c>
      <c r="J1645">
        <v>23</v>
      </c>
      <c r="K1645">
        <v>3314</v>
      </c>
      <c r="L1645">
        <v>350</v>
      </c>
    </row>
    <row r="1646" spans="1:12" x14ac:dyDescent="0.2">
      <c r="A1646"/>
      <c r="B1646"/>
      <c r="C1646"/>
      <c r="D1646"/>
      <c r="E1646" s="2">
        <f>Comuni__2[[#This Row],[Popolazione2011]]/$D$7911</f>
        <v>4.7860194112802335E-5</v>
      </c>
      <c r="F1646">
        <f>SUMIFS($D$2:$D$7909, $B$2:$B$7909, "Emilia-Romagna")</f>
        <v>4342135</v>
      </c>
      <c r="G1646" s="1">
        <f>Comuni__2[[#This Row],[Popolazione2011]]/Comuni__2[[#This Row],[POPOLAZIONE TOTALE DI OGNI REGIONE (CON FILTRO)]]</f>
        <v>6.5497733257947996E-4</v>
      </c>
      <c r="H1646" t="str">
        <f>IF(Comuni__2[[#This Row],[Popolazione2011]]&gt;300000,"MAGGIORE","")</f>
        <v/>
      </c>
      <c r="J1646">
        <v>23</v>
      </c>
      <c r="K1646">
        <v>3341</v>
      </c>
      <c r="L1646">
        <v>350</v>
      </c>
    </row>
    <row r="1647" spans="1:12" x14ac:dyDescent="0.2">
      <c r="A1647"/>
      <c r="B1647"/>
      <c r="C1647"/>
      <c r="D1647"/>
      <c r="E1647" s="2">
        <f>Comuni__2[[#This Row],[Popolazione2011]]/$D$7911</f>
        <v>4.7489967576064767E-5</v>
      </c>
      <c r="F1647">
        <f>SUMIFS($D$2:$D$7909, $B$2:$B$7909, "Emilia-Romagna")</f>
        <v>4342135</v>
      </c>
      <c r="G1647" s="1">
        <f>Comuni__2[[#This Row],[Popolazione2011]]/Comuni__2[[#This Row],[POPOLAZIONE TOTALE DI OGNI REGIONE (CON FILTRO)]]</f>
        <v>6.4991070061156547E-4</v>
      </c>
      <c r="H1647" t="str">
        <f>IF(Comuni__2[[#This Row],[Popolazione2011]]&gt;300000,"MAGGIORE","")</f>
        <v/>
      </c>
      <c r="J1647">
        <v>25</v>
      </c>
      <c r="K1647">
        <v>3344</v>
      </c>
      <c r="L1647">
        <v>350</v>
      </c>
    </row>
    <row r="1648" spans="1:12" x14ac:dyDescent="0.2">
      <c r="A1648"/>
      <c r="B1648"/>
      <c r="C1648"/>
      <c r="D1648"/>
      <c r="E1648" s="2">
        <f>Comuni__2[[#This Row],[Popolazione2011]]/$D$7911</f>
        <v>4.5840776639688312E-5</v>
      </c>
      <c r="F1648">
        <f>SUMIFS($D$2:$D$7909, $B$2:$B$7909, "Emilia-Romagna")</f>
        <v>4342135</v>
      </c>
      <c r="G1648" s="1">
        <f>Comuni__2[[#This Row],[Popolazione2011]]/Comuni__2[[#This Row],[POPOLAZIONE TOTALE DI OGNI REGIONE (CON FILTRO)]]</f>
        <v>6.2734115820903768E-4</v>
      </c>
      <c r="H1648" t="str">
        <f>IF(Comuni__2[[#This Row],[Popolazione2011]]&gt;300000,"MAGGIORE","")</f>
        <v/>
      </c>
      <c r="J1648">
        <v>26</v>
      </c>
      <c r="K1648">
        <v>3351</v>
      </c>
      <c r="L1648">
        <v>350</v>
      </c>
    </row>
    <row r="1649" spans="1:12" x14ac:dyDescent="0.2">
      <c r="A1649"/>
      <c r="B1649"/>
      <c r="C1649"/>
      <c r="D1649"/>
      <c r="E1649" s="2">
        <f>Comuni__2[[#This Row],[Popolazione2011]]/$D$7911</f>
        <v>4.5739805766032615E-5</v>
      </c>
      <c r="F1649">
        <f>SUMIFS($D$2:$D$7909, $B$2:$B$7909, "Emilia-Romagna")</f>
        <v>4342135</v>
      </c>
      <c r="G1649" s="1">
        <f>Comuni__2[[#This Row],[Popolazione2011]]/Comuni__2[[#This Row],[POPOLAZIONE TOTALE DI OGNI REGIONE (CON FILTRO)]]</f>
        <v>6.2595934949051556E-4</v>
      </c>
      <c r="H1649" t="str">
        <f>IF(Comuni__2[[#This Row],[Popolazione2011]]&gt;300000,"MAGGIORE","")</f>
        <v/>
      </c>
      <c r="J1649">
        <v>22</v>
      </c>
      <c r="K1649">
        <v>3401</v>
      </c>
      <c r="L1649">
        <v>350</v>
      </c>
    </row>
    <row r="1650" spans="1:12" x14ac:dyDescent="0.2">
      <c r="A1650"/>
      <c r="B1650"/>
      <c r="C1650"/>
      <c r="D1650"/>
      <c r="E1650" s="2">
        <f>Comuni__2[[#This Row],[Popolazione2011]]/$D$7911</f>
        <v>4.5251779876696727E-5</v>
      </c>
      <c r="F1650">
        <f>SUMIFS($D$2:$D$7909, $B$2:$B$7909, "Emilia-Romagna")</f>
        <v>4342135</v>
      </c>
      <c r="G1650" s="1">
        <f>Comuni__2[[#This Row],[Popolazione2011]]/Comuni__2[[#This Row],[POPOLAZIONE TOTALE DI OGNI REGIONE (CON FILTRO)]]</f>
        <v>6.1928060735099203E-4</v>
      </c>
      <c r="H1650" t="str">
        <f>IF(Comuni__2[[#This Row],[Popolazione2011]]&gt;300000,"MAGGIORE","")</f>
        <v/>
      </c>
      <c r="J1650">
        <v>27</v>
      </c>
      <c r="K1650">
        <v>3432</v>
      </c>
      <c r="L1650">
        <v>350</v>
      </c>
    </row>
    <row r="1651" spans="1:12" x14ac:dyDescent="0.2">
      <c r="A1651"/>
      <c r="B1651"/>
      <c r="C1651"/>
      <c r="D1651"/>
      <c r="E1651" s="2">
        <f>Comuni__2[[#This Row],[Popolazione2011]]/$D$7911</f>
        <v>4.4343042013795416E-5</v>
      </c>
      <c r="F1651">
        <f>SUMIFS($D$2:$D$7909, $B$2:$B$7909, "Emilia-Romagna")</f>
        <v>4342135</v>
      </c>
      <c r="G1651" s="1">
        <f>Comuni__2[[#This Row],[Popolazione2011]]/Comuni__2[[#This Row],[POPOLAZIONE TOTALE DI OGNI REGIONE (CON FILTRO)]]</f>
        <v>6.0684432888429311E-4</v>
      </c>
      <c r="H1651" t="str">
        <f>IF(Comuni__2[[#This Row],[Popolazione2011]]&gt;300000,"MAGGIORE","")</f>
        <v/>
      </c>
      <c r="J1651">
        <v>23</v>
      </c>
      <c r="K1651">
        <v>3463</v>
      </c>
      <c r="L1651">
        <v>350</v>
      </c>
    </row>
    <row r="1652" spans="1:12" x14ac:dyDescent="0.2">
      <c r="A1652"/>
      <c r="B1652"/>
      <c r="C1652"/>
      <c r="D1652"/>
      <c r="E1652" s="2">
        <f>Comuni__2[[#This Row],[Popolazione2011]]/$D$7911</f>
        <v>4.3787702208689057E-5</v>
      </c>
      <c r="F1652">
        <f>SUMIFS($D$2:$D$7909, $B$2:$B$7909, "Emilia-Romagna")</f>
        <v>4342135</v>
      </c>
      <c r="G1652" s="1">
        <f>Comuni__2[[#This Row],[Popolazione2011]]/Comuni__2[[#This Row],[POPOLAZIONE TOTALE DI OGNI REGIONE (CON FILTRO)]]</f>
        <v>5.9924438093242154E-4</v>
      </c>
      <c r="H1652" t="str">
        <f>IF(Comuni__2[[#This Row],[Popolazione2011]]&gt;300000,"MAGGIORE","")</f>
        <v/>
      </c>
      <c r="J1652">
        <v>24</v>
      </c>
      <c r="K1652">
        <v>3512</v>
      </c>
      <c r="L1652">
        <v>350</v>
      </c>
    </row>
    <row r="1653" spans="1:12" x14ac:dyDescent="0.2">
      <c r="A1653"/>
      <c r="B1653"/>
      <c r="C1653"/>
      <c r="D1653"/>
      <c r="E1653" s="2">
        <f>Comuni__2[[#This Row],[Popolazione2011]]/$D$7911</f>
        <v>4.2340453019624009E-5</v>
      </c>
      <c r="F1653">
        <f>SUMIFS($D$2:$D$7909, $B$2:$B$7909, "Emilia-Romagna")</f>
        <v>4342135</v>
      </c>
      <c r="G1653" s="1">
        <f>Comuni__2[[#This Row],[Popolazione2011]]/Comuni__2[[#This Row],[POPOLAZIONE TOTALE DI OGNI REGIONE (CON FILTRO)]]</f>
        <v>5.7943845596693797E-4</v>
      </c>
      <c r="H1653" t="str">
        <f>IF(Comuni__2[[#This Row],[Popolazione2011]]&gt;300000,"MAGGIORE","")</f>
        <v/>
      </c>
      <c r="J1653">
        <v>24</v>
      </c>
      <c r="K1653">
        <v>3537</v>
      </c>
      <c r="L1653">
        <v>351</v>
      </c>
    </row>
    <row r="1654" spans="1:12" x14ac:dyDescent="0.2">
      <c r="A1654"/>
      <c r="B1654"/>
      <c r="C1654"/>
      <c r="D1654"/>
      <c r="E1654" s="2">
        <f>Comuni__2[[#This Row],[Popolazione2011]]/$D$7911</f>
        <v>4.1196116451526065E-5</v>
      </c>
      <c r="F1654">
        <f>SUMIFS($D$2:$D$7909, $B$2:$B$7909, "Emilia-Romagna")</f>
        <v>4342135</v>
      </c>
      <c r="G1654" s="1">
        <f>Comuni__2[[#This Row],[Popolazione2011]]/Comuni__2[[#This Row],[POPOLAZIONE TOTALE DI OGNI REGIONE (CON FILTRO)]]</f>
        <v>5.6377795715702064E-4</v>
      </c>
      <c r="H1654" t="str">
        <f>IF(Comuni__2[[#This Row],[Popolazione2011]]&gt;300000,"MAGGIORE","")</f>
        <v/>
      </c>
      <c r="J1654">
        <v>24</v>
      </c>
      <c r="K1654">
        <v>3538</v>
      </c>
      <c r="L1654">
        <v>351</v>
      </c>
    </row>
    <row r="1655" spans="1:12" x14ac:dyDescent="0.2">
      <c r="A1655"/>
      <c r="B1655"/>
      <c r="C1655"/>
      <c r="D1655"/>
      <c r="E1655" s="2">
        <f>Comuni__2[[#This Row],[Popolazione2011]]/$D$7911</f>
        <v>3.9849838136116714E-5</v>
      </c>
      <c r="F1655">
        <f>SUMIFS($D$2:$D$7909, $B$2:$B$7909, "Emilia-Romagna")</f>
        <v>4342135</v>
      </c>
      <c r="G1655" s="1">
        <f>Comuni__2[[#This Row],[Popolazione2011]]/Comuni__2[[#This Row],[POPOLAZIONE TOTALE DI OGNI REGIONE (CON FILTRO)]]</f>
        <v>5.4535384091005919E-4</v>
      </c>
      <c r="H1655" t="str">
        <f>IF(Comuni__2[[#This Row],[Popolazione2011]]&gt;300000,"MAGGIORE","")</f>
        <v/>
      </c>
      <c r="J1655">
        <v>27</v>
      </c>
      <c r="K1655">
        <v>3563</v>
      </c>
      <c r="L1655">
        <v>351</v>
      </c>
    </row>
    <row r="1656" spans="1:12" x14ac:dyDescent="0.2">
      <c r="A1656"/>
      <c r="B1656"/>
      <c r="C1656"/>
      <c r="D1656"/>
      <c r="E1656" s="2">
        <f>Comuni__2[[#This Row],[Popolazione2011]]/$D$7911</f>
        <v>3.9614239430920081E-5</v>
      </c>
      <c r="F1656">
        <f>SUMIFS($D$2:$D$7909, $B$2:$B$7909, "Emilia-Romagna")</f>
        <v>4342135</v>
      </c>
      <c r="G1656" s="1">
        <f>Comuni__2[[#This Row],[Popolazione2011]]/Comuni__2[[#This Row],[POPOLAZIONE TOTALE DI OGNI REGIONE (CON FILTRO)]]</f>
        <v>5.42129620566841E-4</v>
      </c>
      <c r="H1656" t="str">
        <f>IF(Comuni__2[[#This Row],[Popolazione2011]]&gt;300000,"MAGGIORE","")</f>
        <v/>
      </c>
      <c r="J1656">
        <v>25</v>
      </c>
      <c r="K1656">
        <v>3597</v>
      </c>
      <c r="L1656">
        <v>351</v>
      </c>
    </row>
    <row r="1657" spans="1:12" x14ac:dyDescent="0.2">
      <c r="A1657"/>
      <c r="B1657"/>
      <c r="C1657"/>
      <c r="D1657"/>
      <c r="E1657" s="2">
        <f>Comuni__2[[#This Row],[Popolazione2011]]/$D$7911</f>
        <v>3.9513268557264378E-5</v>
      </c>
      <c r="F1657">
        <f>SUMIFS($D$2:$D$7909, $B$2:$B$7909, "Emilia-Romagna")</f>
        <v>4342135</v>
      </c>
      <c r="G1657" s="1">
        <f>Comuni__2[[#This Row],[Popolazione2011]]/Comuni__2[[#This Row],[POPOLAZIONE TOTALE DI OGNI REGIONE (CON FILTRO)]]</f>
        <v>5.4074781184831888E-4</v>
      </c>
      <c r="H1657" t="str">
        <f>IF(Comuni__2[[#This Row],[Popolazione2011]]&gt;300000,"MAGGIORE","")</f>
        <v/>
      </c>
      <c r="J1657">
        <v>24</v>
      </c>
      <c r="K1657">
        <v>3613</v>
      </c>
      <c r="L1657">
        <v>351</v>
      </c>
    </row>
    <row r="1658" spans="1:12" x14ac:dyDescent="0.2">
      <c r="A1658"/>
      <c r="B1658"/>
      <c r="C1658"/>
      <c r="D1658"/>
      <c r="E1658" s="2">
        <f>Comuni__2[[#This Row],[Popolazione2011]]/$D$7911</f>
        <v>3.9328155288895594E-5</v>
      </c>
      <c r="F1658">
        <f>SUMIFS($D$2:$D$7909, $B$2:$B$7909, "Emilia-Romagna")</f>
        <v>4342135</v>
      </c>
      <c r="G1658" s="1">
        <f>Comuni__2[[#This Row],[Popolazione2011]]/Comuni__2[[#This Row],[POPOLAZIONE TOTALE DI OGNI REGIONE (CON FILTRO)]]</f>
        <v>5.3821449586436169E-4</v>
      </c>
      <c r="H1658" t="str">
        <f>IF(Comuni__2[[#This Row],[Popolazione2011]]&gt;300000,"MAGGIORE","")</f>
        <v/>
      </c>
      <c r="J1658">
        <v>20</v>
      </c>
      <c r="K1658">
        <v>3643</v>
      </c>
      <c r="L1658">
        <v>353</v>
      </c>
    </row>
    <row r="1659" spans="1:12" x14ac:dyDescent="0.2">
      <c r="A1659"/>
      <c r="B1659"/>
      <c r="C1659"/>
      <c r="D1659"/>
      <c r="E1659" s="2">
        <f>Comuni__2[[#This Row],[Popolazione2011]]/$D$7911</f>
        <v>3.910938506264157E-5</v>
      </c>
      <c r="F1659">
        <f>SUMIFS($D$2:$D$7909, $B$2:$B$7909, "Emilia-Romagna")</f>
        <v>4342135</v>
      </c>
      <c r="G1659" s="1">
        <f>Comuni__2[[#This Row],[Popolazione2011]]/Comuni__2[[#This Row],[POPOLAZIONE TOTALE DI OGNI REGIONE (CON FILTRO)]]</f>
        <v>5.3522057697423043E-4</v>
      </c>
      <c r="H1659" t="str">
        <f>IF(Comuni__2[[#This Row],[Popolazione2011]]&gt;300000,"MAGGIORE","")</f>
        <v/>
      </c>
      <c r="J1659">
        <v>22</v>
      </c>
      <c r="K1659">
        <v>3659</v>
      </c>
      <c r="L1659">
        <v>353</v>
      </c>
    </row>
    <row r="1660" spans="1:12" x14ac:dyDescent="0.2">
      <c r="A1660"/>
      <c r="B1660"/>
      <c r="C1660"/>
      <c r="D1660"/>
      <c r="E1660" s="2">
        <f>Comuni__2[[#This Row],[Popolazione2011]]/$D$7911</f>
        <v>3.8856957878502322E-5</v>
      </c>
      <c r="F1660">
        <f>SUMIFS($D$2:$D$7909, $B$2:$B$7909, "Emilia-Romagna")</f>
        <v>4342135</v>
      </c>
      <c r="G1660" s="1">
        <f>Comuni__2[[#This Row],[Popolazione2011]]/Comuni__2[[#This Row],[POPOLAZIONE TOTALE DI OGNI REGIONE (CON FILTRO)]]</f>
        <v>5.3176605517792519E-4</v>
      </c>
      <c r="H1660" t="str">
        <f>IF(Comuni__2[[#This Row],[Popolazione2011]]&gt;300000,"MAGGIORE","")</f>
        <v/>
      </c>
      <c r="J1660">
        <v>23</v>
      </c>
      <c r="K1660">
        <v>3686</v>
      </c>
      <c r="L1660">
        <v>353</v>
      </c>
    </row>
    <row r="1661" spans="1:12" x14ac:dyDescent="0.2">
      <c r="A1661"/>
      <c r="B1661"/>
      <c r="C1661"/>
      <c r="D1661"/>
      <c r="E1661" s="2">
        <f>Comuni__2[[#This Row],[Popolazione2011]]/$D$7911</f>
        <v>3.8537216778592602E-5</v>
      </c>
      <c r="F1661">
        <f>SUMIFS($D$2:$D$7909, $B$2:$B$7909, "Emilia-Romagna")</f>
        <v>4342135</v>
      </c>
      <c r="G1661" s="1">
        <f>Comuni__2[[#This Row],[Popolazione2011]]/Comuni__2[[#This Row],[POPOLAZIONE TOTALE DI OGNI REGIONE (CON FILTRO)]]</f>
        <v>5.2739032756927181E-4</v>
      </c>
      <c r="H1661" t="str">
        <f>IF(Comuni__2[[#This Row],[Popolazione2011]]&gt;300000,"MAGGIORE","")</f>
        <v/>
      </c>
      <c r="J1661">
        <v>28</v>
      </c>
      <c r="K1661">
        <v>3690</v>
      </c>
      <c r="L1661">
        <v>353</v>
      </c>
    </row>
    <row r="1662" spans="1:12" x14ac:dyDescent="0.2">
      <c r="A1662"/>
      <c r="B1662"/>
      <c r="C1662"/>
      <c r="D1662"/>
      <c r="E1662" s="2">
        <f>Comuni__2[[#This Row],[Popolazione2011]]/$D$7911</f>
        <v>3.8368931989166434E-5</v>
      </c>
      <c r="F1662">
        <f>SUMIFS($D$2:$D$7909, $B$2:$B$7909, "Emilia-Romagna")</f>
        <v>4342135</v>
      </c>
      <c r="G1662" s="1">
        <f>Comuni__2[[#This Row],[Popolazione2011]]/Comuni__2[[#This Row],[POPOLAZIONE TOTALE DI OGNI REGIONE (CON FILTRO)]]</f>
        <v>5.2508731303840166E-4</v>
      </c>
      <c r="H1662" t="str">
        <f>IF(Comuni__2[[#This Row],[Popolazione2011]]&gt;300000,"MAGGIORE","")</f>
        <v/>
      </c>
      <c r="J1662">
        <v>29</v>
      </c>
      <c r="K1662">
        <v>3699</v>
      </c>
      <c r="L1662">
        <v>355</v>
      </c>
    </row>
    <row r="1663" spans="1:12" x14ac:dyDescent="0.2">
      <c r="A1663"/>
      <c r="B1663"/>
      <c r="C1663"/>
      <c r="D1663"/>
      <c r="E1663" s="2">
        <f>Comuni__2[[#This Row],[Popolazione2011]]/$D$7911</f>
        <v>3.7914563057715778E-5</v>
      </c>
      <c r="F1663">
        <f>SUMIFS($D$2:$D$7909, $B$2:$B$7909, "Emilia-Romagna")</f>
        <v>4342135</v>
      </c>
      <c r="G1663" s="1">
        <f>Comuni__2[[#This Row],[Popolazione2011]]/Comuni__2[[#This Row],[POPOLAZIONE TOTALE DI OGNI REGIONE (CON FILTRO)]]</f>
        <v>5.1886917380505209E-4</v>
      </c>
      <c r="H1663" t="str">
        <f>IF(Comuni__2[[#This Row],[Popolazione2011]]&gt;300000,"MAGGIORE","")</f>
        <v/>
      </c>
      <c r="J1663">
        <v>32</v>
      </c>
      <c r="K1663">
        <v>3734</v>
      </c>
      <c r="L1663">
        <v>355</v>
      </c>
    </row>
    <row r="1664" spans="1:12" x14ac:dyDescent="0.2">
      <c r="A1664"/>
      <c r="B1664"/>
      <c r="C1664"/>
      <c r="D1664"/>
      <c r="E1664" s="2">
        <f>Comuni__2[[#This Row],[Popolazione2011]]/$D$7911</f>
        <v>3.7712621310404371E-5</v>
      </c>
      <c r="F1664">
        <f>SUMIFS($D$2:$D$7909, $B$2:$B$7909, "Emilia-Romagna")</f>
        <v>4342135</v>
      </c>
      <c r="G1664" s="1">
        <f>Comuni__2[[#This Row],[Popolazione2011]]/Comuni__2[[#This Row],[POPOLAZIONE TOTALE DI OGNI REGIONE (CON FILTRO)]]</f>
        <v>5.1610555636800786E-4</v>
      </c>
      <c r="H1664" t="str">
        <f>IF(Comuni__2[[#This Row],[Popolazione2011]]&gt;300000,"MAGGIORE","")</f>
        <v/>
      </c>
      <c r="J1664">
        <v>29</v>
      </c>
      <c r="K1664">
        <v>3769</v>
      </c>
      <c r="L1664">
        <v>355</v>
      </c>
    </row>
    <row r="1665" spans="1:12" x14ac:dyDescent="0.2">
      <c r="A1665"/>
      <c r="B1665"/>
      <c r="C1665"/>
      <c r="D1665"/>
      <c r="E1665" s="2">
        <f>Comuni__2[[#This Row],[Popolazione2011]]/$D$7911</f>
        <v>3.7712621310404371E-5</v>
      </c>
      <c r="F1665">
        <f>SUMIFS($D$2:$D$7909, $B$2:$B$7909, "Emilia-Romagna")</f>
        <v>4342135</v>
      </c>
      <c r="G1665" s="1">
        <f>Comuni__2[[#This Row],[Popolazione2011]]/Comuni__2[[#This Row],[POPOLAZIONE TOTALE DI OGNI REGIONE (CON FILTRO)]]</f>
        <v>5.1610555636800786E-4</v>
      </c>
      <c r="H1665" t="str">
        <f>IF(Comuni__2[[#This Row],[Popolazione2011]]&gt;300000,"MAGGIORE","")</f>
        <v/>
      </c>
      <c r="J1665">
        <v>29</v>
      </c>
      <c r="K1665">
        <v>3794</v>
      </c>
      <c r="L1665">
        <v>355</v>
      </c>
    </row>
    <row r="1666" spans="1:12" x14ac:dyDescent="0.2">
      <c r="A1666"/>
      <c r="B1666"/>
      <c r="C1666"/>
      <c r="D1666"/>
      <c r="E1666" s="2">
        <f>Comuni__2[[#This Row],[Popolazione2011]]/$D$7911</f>
        <v>3.6938511279043995E-5</v>
      </c>
      <c r="F1666">
        <f>SUMIFS($D$2:$D$7909, $B$2:$B$7909, "Emilia-Romagna")</f>
        <v>4342135</v>
      </c>
      <c r="G1666" s="1">
        <f>Comuni__2[[#This Row],[Popolazione2011]]/Comuni__2[[#This Row],[POPOLAZIONE TOTALE DI OGNI REGIONE (CON FILTRO)]]</f>
        <v>5.0551168952600502E-4</v>
      </c>
      <c r="H1666" t="str">
        <f>IF(Comuni__2[[#This Row],[Popolazione2011]]&gt;300000,"MAGGIORE","")</f>
        <v/>
      </c>
      <c r="J1666">
        <v>29</v>
      </c>
      <c r="K1666">
        <v>3817</v>
      </c>
      <c r="L1666">
        <v>355</v>
      </c>
    </row>
    <row r="1667" spans="1:12" x14ac:dyDescent="0.2">
      <c r="A1667"/>
      <c r="B1667"/>
      <c r="C1667"/>
      <c r="D1667"/>
      <c r="E1667" s="2">
        <f>Comuni__2[[#This Row],[Popolazione2011]]/$D$7911</f>
        <v>3.6433656910765491E-5</v>
      </c>
      <c r="F1667">
        <f>SUMIFS($D$2:$D$7909, $B$2:$B$7909, "Emilia-Romagna")</f>
        <v>4342135</v>
      </c>
      <c r="G1667" s="1">
        <f>Comuni__2[[#This Row],[Popolazione2011]]/Comuni__2[[#This Row],[POPOLAZIONE TOTALE DI OGNI REGIONE (CON FILTRO)]]</f>
        <v>4.9860264593339456E-4</v>
      </c>
      <c r="H1667" t="str">
        <f>IF(Comuni__2[[#This Row],[Popolazione2011]]&gt;300000,"MAGGIORE","")</f>
        <v/>
      </c>
      <c r="J1667">
        <v>27</v>
      </c>
      <c r="K1667">
        <v>3834</v>
      </c>
      <c r="L1667">
        <v>356</v>
      </c>
    </row>
    <row r="1668" spans="1:12" x14ac:dyDescent="0.2">
      <c r="A1668"/>
      <c r="B1668"/>
      <c r="C1668"/>
      <c r="D1668"/>
      <c r="E1668" s="2">
        <f>Comuni__2[[#This Row],[Popolazione2011]]/$D$7911</f>
        <v>3.6080258852970539E-5</v>
      </c>
      <c r="F1668">
        <f>SUMIFS($D$2:$D$7909, $B$2:$B$7909, "Emilia-Romagna")</f>
        <v>4342135</v>
      </c>
      <c r="G1668" s="1">
        <f>Comuni__2[[#This Row],[Popolazione2011]]/Comuni__2[[#This Row],[POPOLAZIONE TOTALE DI OGNI REGIONE (CON FILTRO)]]</f>
        <v>4.9376631541856711E-4</v>
      </c>
      <c r="H1668" t="str">
        <f>IF(Comuni__2[[#This Row],[Popolazione2011]]&gt;300000,"MAGGIORE","")</f>
        <v/>
      </c>
      <c r="J1668">
        <v>27</v>
      </c>
      <c r="K1668">
        <v>3844</v>
      </c>
      <c r="L1668">
        <v>356</v>
      </c>
    </row>
    <row r="1669" spans="1:12" x14ac:dyDescent="0.2">
      <c r="A1669"/>
      <c r="B1669"/>
      <c r="C1669"/>
      <c r="D1669"/>
      <c r="E1669" s="2">
        <f>Comuni__2[[#This Row],[Popolazione2011]]/$D$7911</f>
        <v>3.5558576005749419E-5</v>
      </c>
      <c r="F1669">
        <f>SUMIFS($D$2:$D$7909, $B$2:$B$7909, "Emilia-Romagna")</f>
        <v>4342135</v>
      </c>
      <c r="G1669" s="1">
        <f>Comuni__2[[#This Row],[Popolazione2011]]/Comuni__2[[#This Row],[POPOLAZIONE TOTALE DI OGNI REGIONE (CON FILTRO)]]</f>
        <v>4.8662697037286955E-4</v>
      </c>
      <c r="H1669" t="str">
        <f>IF(Comuni__2[[#This Row],[Popolazione2011]]&gt;300000,"MAGGIORE","")</f>
        <v/>
      </c>
      <c r="J1669">
        <v>37</v>
      </c>
      <c r="K1669">
        <v>3850</v>
      </c>
      <c r="L1669">
        <v>356</v>
      </c>
    </row>
    <row r="1670" spans="1:12" x14ac:dyDescent="0.2">
      <c r="A1670"/>
      <c r="B1670"/>
      <c r="C1670"/>
      <c r="D1670"/>
      <c r="E1670" s="2">
        <f>Comuni__2[[#This Row],[Popolazione2011]]/$D$7911</f>
        <v>3.4834951411216891E-5</v>
      </c>
      <c r="F1670">
        <f>SUMIFS($D$2:$D$7909, $B$2:$B$7909, "Emilia-Romagna")</f>
        <v>4342135</v>
      </c>
      <c r="G1670" s="1">
        <f>Comuni__2[[#This Row],[Popolazione2011]]/Comuni__2[[#This Row],[POPOLAZIONE TOTALE DI OGNI REGIONE (CON FILTRO)]]</f>
        <v>4.7672400789012777E-4</v>
      </c>
      <c r="H1670" t="str">
        <f>IF(Comuni__2[[#This Row],[Popolazione2011]]&gt;300000,"MAGGIORE","")</f>
        <v/>
      </c>
      <c r="J1670">
        <v>39</v>
      </c>
      <c r="K1670">
        <v>3882</v>
      </c>
      <c r="L1670">
        <v>356</v>
      </c>
    </row>
    <row r="1671" spans="1:12" x14ac:dyDescent="0.2">
      <c r="A1671"/>
      <c r="B1671"/>
      <c r="C1671"/>
      <c r="D1671"/>
      <c r="E1671" s="2">
        <f>Comuni__2[[#This Row],[Popolazione2011]]/$D$7911</f>
        <v>3.4212297690340068E-5</v>
      </c>
      <c r="F1671">
        <f>SUMIFS($D$2:$D$7909, $B$2:$B$7909, "Emilia-Romagna")</f>
        <v>4342135</v>
      </c>
      <c r="G1671" s="1">
        <f>Comuni__2[[#This Row],[Popolazione2011]]/Comuni__2[[#This Row],[POPOLAZIONE TOTALE DI OGNI REGIONE (CON FILTRO)]]</f>
        <v>4.682028541259081E-4</v>
      </c>
      <c r="H1671" t="str">
        <f>IF(Comuni__2[[#This Row],[Popolazione2011]]&gt;300000,"MAGGIORE","")</f>
        <v/>
      </c>
      <c r="J1671">
        <v>43</v>
      </c>
      <c r="K1671">
        <v>3923</v>
      </c>
      <c r="L1671">
        <v>358</v>
      </c>
    </row>
    <row r="1672" spans="1:12" x14ac:dyDescent="0.2">
      <c r="A1672"/>
      <c r="B1672"/>
      <c r="C1672"/>
      <c r="D1672"/>
      <c r="E1672" s="2">
        <f>Comuni__2[[#This Row],[Popolazione2011]]/$D$7911</f>
        <v>3.3656957885233708E-5</v>
      </c>
      <c r="F1672">
        <f>SUMIFS($D$2:$D$7909, $B$2:$B$7909, "Emilia-Romagna")</f>
        <v>4342135</v>
      </c>
      <c r="G1672" s="1">
        <f>Comuni__2[[#This Row],[Popolazione2011]]/Comuni__2[[#This Row],[POPOLAZIONE TOTALE DI OGNI REGIONE (CON FILTRO)]]</f>
        <v>4.6060290617403653E-4</v>
      </c>
      <c r="H1672" t="str">
        <f>IF(Comuni__2[[#This Row],[Popolazione2011]]&gt;300000,"MAGGIORE","")</f>
        <v/>
      </c>
      <c r="J1672">
        <v>57</v>
      </c>
      <c r="K1672">
        <v>3935</v>
      </c>
      <c r="L1672">
        <v>359</v>
      </c>
    </row>
    <row r="1673" spans="1:12" x14ac:dyDescent="0.2">
      <c r="A1673"/>
      <c r="B1673"/>
      <c r="C1673"/>
      <c r="D1673"/>
      <c r="E1673" s="2">
        <f>Comuni__2[[#This Row],[Popolazione2011]]/$D$7911</f>
        <v>3.3656957885233708E-5</v>
      </c>
      <c r="F1673">
        <f>SUMIFS($D$2:$D$7909, $B$2:$B$7909, "Emilia-Romagna")</f>
        <v>4342135</v>
      </c>
      <c r="G1673" s="1">
        <f>Comuni__2[[#This Row],[Popolazione2011]]/Comuni__2[[#This Row],[POPOLAZIONE TOTALE DI OGNI REGIONE (CON FILTRO)]]</f>
        <v>4.6060290617403653E-4</v>
      </c>
      <c r="H1673" t="str">
        <f>IF(Comuni__2[[#This Row],[Popolazione2011]]&gt;300000,"MAGGIORE","")</f>
        <v/>
      </c>
      <c r="J1673">
        <v>62</v>
      </c>
      <c r="K1673">
        <v>3962</v>
      </c>
      <c r="L1673">
        <v>359</v>
      </c>
    </row>
    <row r="1674" spans="1:12" x14ac:dyDescent="0.2">
      <c r="A1674"/>
      <c r="B1674"/>
      <c r="C1674"/>
      <c r="D1674"/>
      <c r="E1674" s="2">
        <f>Comuni__2[[#This Row],[Popolazione2011]]/$D$7911</f>
        <v>3.3640129406291092E-5</v>
      </c>
      <c r="F1674">
        <f>SUMIFS($D$2:$D$7909, $B$2:$B$7909, "Emilia-Romagna")</f>
        <v>4342135</v>
      </c>
      <c r="G1674" s="1">
        <f>Comuni__2[[#This Row],[Popolazione2011]]/Comuni__2[[#This Row],[POPOLAZIONE TOTALE DI OGNI REGIONE (CON FILTRO)]]</f>
        <v>4.6037260472094949E-4</v>
      </c>
      <c r="H1674" t="str">
        <f>IF(Comuni__2[[#This Row],[Popolazione2011]]&gt;300000,"MAGGIORE","")</f>
        <v/>
      </c>
      <c r="J1674">
        <v>70</v>
      </c>
      <c r="K1674">
        <v>3973</v>
      </c>
      <c r="L1674">
        <v>361</v>
      </c>
    </row>
    <row r="1675" spans="1:12" x14ac:dyDescent="0.2">
      <c r="A1675"/>
      <c r="B1675"/>
      <c r="C1675"/>
      <c r="D1675"/>
      <c r="E1675" s="2">
        <f>Comuni__2[[#This Row],[Popolazione2011]]/$D$7911</f>
        <v>3.360647244840586E-5</v>
      </c>
      <c r="F1675">
        <f>SUMIFS($D$2:$D$7909, $B$2:$B$7909, "Emilia-Romagna")</f>
        <v>4342135</v>
      </c>
      <c r="G1675" s="1">
        <f>Comuni__2[[#This Row],[Popolazione2011]]/Comuni__2[[#This Row],[POPOLAZIONE TOTALE DI OGNI REGIONE (CON FILTRO)]]</f>
        <v>4.5991200181477547E-4</v>
      </c>
      <c r="H1675" t="str">
        <f>IF(Comuni__2[[#This Row],[Popolazione2011]]&gt;300000,"MAGGIORE","")</f>
        <v/>
      </c>
      <c r="J1675">
        <v>75</v>
      </c>
      <c r="K1675">
        <v>3973</v>
      </c>
      <c r="L1675">
        <v>364</v>
      </c>
    </row>
    <row r="1676" spans="1:12" x14ac:dyDescent="0.2">
      <c r="A1676"/>
      <c r="B1676"/>
      <c r="C1676"/>
      <c r="D1676"/>
      <c r="E1676" s="2">
        <f>Comuni__2[[#This Row],[Popolazione2011]]/$D$7911</f>
        <v>3.360647244840586E-5</v>
      </c>
      <c r="F1676">
        <f>SUMIFS($D$2:$D$7909, $B$2:$B$7909, "Emilia-Romagna")</f>
        <v>4342135</v>
      </c>
      <c r="G1676" s="1">
        <f>Comuni__2[[#This Row],[Popolazione2011]]/Comuni__2[[#This Row],[POPOLAZIONE TOTALE DI OGNI REGIONE (CON FILTRO)]]</f>
        <v>4.5991200181477547E-4</v>
      </c>
      <c r="H1676" t="str">
        <f>IF(Comuni__2[[#This Row],[Popolazione2011]]&gt;300000,"MAGGIORE","")</f>
        <v/>
      </c>
      <c r="J1676">
        <v>79</v>
      </c>
      <c r="K1676">
        <v>4338</v>
      </c>
      <c r="L1676">
        <v>366</v>
      </c>
    </row>
    <row r="1677" spans="1:12" x14ac:dyDescent="0.2">
      <c r="A1677"/>
      <c r="B1677"/>
      <c r="C1677"/>
      <c r="D1677"/>
      <c r="E1677" s="2">
        <f>Comuni__2[[#This Row],[Popolazione2011]]/$D$7911</f>
        <v>3.3539158532635396E-5</v>
      </c>
      <c r="F1677">
        <f>SUMIFS($D$2:$D$7909, $B$2:$B$7909, "Emilia-Romagna")</f>
        <v>4342135</v>
      </c>
      <c r="G1677" s="1">
        <f>Comuni__2[[#This Row],[Popolazione2011]]/Comuni__2[[#This Row],[POPOLAZIONE TOTALE DI OGNI REGIONE (CON FILTRO)]]</f>
        <v>4.5899079600242738E-4</v>
      </c>
      <c r="H1677" t="str">
        <f>IF(Comuni__2[[#This Row],[Popolazione2011]]&gt;300000,"MAGGIORE","")</f>
        <v/>
      </c>
      <c r="J1677">
        <v>92</v>
      </c>
      <c r="K1677">
        <v>4382</v>
      </c>
      <c r="L1677">
        <v>367</v>
      </c>
    </row>
    <row r="1678" spans="1:12" x14ac:dyDescent="0.2">
      <c r="A1678"/>
      <c r="B1678"/>
      <c r="C1678"/>
      <c r="D1678"/>
      <c r="E1678" s="2">
        <f>Comuni__2[[#This Row],[Popolazione2011]]/$D$7911</f>
        <v>3.3219417432725676E-5</v>
      </c>
      <c r="F1678">
        <f>SUMIFS($D$2:$D$7909, $B$2:$B$7909, "Emilia-Romagna")</f>
        <v>4342135</v>
      </c>
      <c r="G1678" s="1">
        <f>Comuni__2[[#This Row],[Popolazione2011]]/Comuni__2[[#This Row],[POPOLAZIONE TOTALE DI OGNI REGIONE (CON FILTRO)]]</f>
        <v>4.5461506839377405E-4</v>
      </c>
      <c r="H1678" t="str">
        <f>IF(Comuni__2[[#This Row],[Popolazione2011]]&gt;300000,"MAGGIORE","")</f>
        <v/>
      </c>
      <c r="J1678">
        <v>97</v>
      </c>
      <c r="K1678">
        <v>4482</v>
      </c>
      <c r="L1678">
        <v>368</v>
      </c>
    </row>
    <row r="1679" spans="1:12" x14ac:dyDescent="0.2">
      <c r="A1679"/>
      <c r="B1679"/>
      <c r="C1679"/>
      <c r="D1679"/>
      <c r="E1679" s="2">
        <f>Comuni__2[[#This Row],[Popolazione2011]]/$D$7911</f>
        <v>3.2916504811758572E-5</v>
      </c>
      <c r="F1679">
        <f>SUMIFS($D$2:$D$7909, $B$2:$B$7909, "Emilia-Romagna")</f>
        <v>4342135</v>
      </c>
      <c r="G1679" s="1">
        <f>Comuni__2[[#This Row],[Popolazione2011]]/Comuni__2[[#This Row],[POPOLAZIONE TOTALE DI OGNI REGIONE (CON FILTRO)]]</f>
        <v>4.5046964223820771E-4</v>
      </c>
      <c r="H1679" t="str">
        <f>IF(Comuni__2[[#This Row],[Popolazione2011]]&gt;300000,"MAGGIORE","")</f>
        <v/>
      </c>
      <c r="J1679">
        <v>107</v>
      </c>
      <c r="K1679">
        <v>4569</v>
      </c>
      <c r="L1679">
        <v>369</v>
      </c>
    </row>
    <row r="1680" spans="1:12" x14ac:dyDescent="0.2">
      <c r="A1680"/>
      <c r="B1680"/>
      <c r="C1680"/>
      <c r="D1680"/>
      <c r="E1680" s="2">
        <f>Comuni__2[[#This Row],[Popolazione2011]]/$D$7911</f>
        <v>3.2832362417045484E-5</v>
      </c>
      <c r="F1680">
        <f>SUMIFS($D$2:$D$7909, $B$2:$B$7909, "Emilia-Romagna")</f>
        <v>4342135</v>
      </c>
      <c r="G1680" s="1">
        <f>Comuni__2[[#This Row],[Popolazione2011]]/Comuni__2[[#This Row],[POPOLAZIONE TOTALE DI OGNI REGIONE (CON FILTRO)]]</f>
        <v>4.4931813497277263E-4</v>
      </c>
      <c r="H1680" t="str">
        <f>IF(Comuni__2[[#This Row],[Popolazione2011]]&gt;300000,"MAGGIORE","")</f>
        <v/>
      </c>
      <c r="J1680">
        <v>116</v>
      </c>
      <c r="K1680">
        <v>4679</v>
      </c>
      <c r="L1680">
        <v>372</v>
      </c>
    </row>
    <row r="1681" spans="1:12" x14ac:dyDescent="0.2">
      <c r="A1681"/>
      <c r="B1681"/>
      <c r="C1681"/>
      <c r="D1681"/>
      <c r="E1681" s="2">
        <f>Comuni__2[[#This Row],[Popolazione2011]]/$D$7911</f>
        <v>3.2579935232906236E-5</v>
      </c>
      <c r="F1681">
        <f>SUMIFS($D$2:$D$7909, $B$2:$B$7909, "Emilia-Romagna")</f>
        <v>4342135</v>
      </c>
      <c r="G1681" s="1">
        <f>Comuni__2[[#This Row],[Popolazione2011]]/Comuni__2[[#This Row],[POPOLAZIONE TOTALE DI OGNI REGIONE (CON FILTRO)]]</f>
        <v>4.4586361317646735E-4</v>
      </c>
      <c r="H1681" t="str">
        <f>IF(Comuni__2[[#This Row],[Popolazione2011]]&gt;300000,"MAGGIORE","")</f>
        <v/>
      </c>
      <c r="J1681">
        <v>135</v>
      </c>
      <c r="K1681">
        <v>4760</v>
      </c>
      <c r="L1681">
        <v>374</v>
      </c>
    </row>
    <row r="1682" spans="1:12" x14ac:dyDescent="0.2">
      <c r="A1682"/>
      <c r="B1682"/>
      <c r="C1682"/>
      <c r="D1682"/>
      <c r="E1682" s="2">
        <f>Comuni__2[[#This Row],[Popolazione2011]]/$D$7911</f>
        <v>3.2428478922422684E-5</v>
      </c>
      <c r="F1682">
        <f>SUMIFS($D$2:$D$7909, $B$2:$B$7909, "Emilia-Romagna")</f>
        <v>4342135</v>
      </c>
      <c r="G1682" s="1">
        <f>Comuni__2[[#This Row],[Popolazione2011]]/Comuni__2[[#This Row],[POPOLAZIONE TOTALE DI OGNI REGIONE (CON FILTRO)]]</f>
        <v>4.4379090009868418E-4</v>
      </c>
      <c r="H1682" t="str">
        <f>IF(Comuni__2[[#This Row],[Popolazione2011]]&gt;300000,"MAGGIORE","")</f>
        <v/>
      </c>
      <c r="J1682">
        <v>146</v>
      </c>
      <c r="K1682">
        <v>4833</v>
      </c>
      <c r="L1682">
        <v>377</v>
      </c>
    </row>
    <row r="1683" spans="1:12" x14ac:dyDescent="0.2">
      <c r="A1683"/>
      <c r="B1683"/>
      <c r="C1683"/>
      <c r="D1683"/>
      <c r="E1683" s="2">
        <f>Comuni__2[[#This Row],[Popolazione2011]]/$D$7911</f>
        <v>3.0442718407193893E-5</v>
      </c>
      <c r="F1683">
        <f>SUMIFS($D$2:$D$7909, $B$2:$B$7909, "Emilia-Romagna")</f>
        <v>4342135</v>
      </c>
      <c r="G1683" s="1">
        <f>Comuni__2[[#This Row],[Popolazione2011]]/Comuni__2[[#This Row],[POPOLAZIONE TOTALE DI OGNI REGIONE (CON FILTRO)]]</f>
        <v>4.1661532863441602E-4</v>
      </c>
      <c r="H1683" t="str">
        <f>IF(Comuni__2[[#This Row],[Popolazione2011]]&gt;300000,"MAGGIORE","")</f>
        <v/>
      </c>
      <c r="J1683">
        <v>170</v>
      </c>
      <c r="K1683">
        <v>4913</v>
      </c>
      <c r="L1683">
        <v>378</v>
      </c>
    </row>
    <row r="1684" spans="1:12" x14ac:dyDescent="0.2">
      <c r="A1684"/>
      <c r="B1684"/>
      <c r="C1684"/>
      <c r="D1684"/>
      <c r="E1684" s="2">
        <f>Comuni__2[[#This Row],[Popolazione2011]]/$D$7911</f>
        <v>2.9315210318038562E-5</v>
      </c>
      <c r="F1684">
        <f>SUMIFS($D$2:$D$7909, $B$2:$B$7909, "Emilia-Romagna")</f>
        <v>4342135</v>
      </c>
      <c r="G1684" s="1">
        <f>Comuni__2[[#This Row],[Popolazione2011]]/Comuni__2[[#This Row],[POPOLAZIONE TOTALE DI OGNI REGIONE (CON FILTRO)]]</f>
        <v>4.0118513127758578E-4</v>
      </c>
      <c r="H1684" t="str">
        <f>IF(Comuni__2[[#This Row],[Popolazione2011]]&gt;300000,"MAGGIORE","")</f>
        <v/>
      </c>
      <c r="J1684">
        <v>181</v>
      </c>
      <c r="K1684">
        <v>5028</v>
      </c>
      <c r="L1684">
        <v>382</v>
      </c>
    </row>
    <row r="1685" spans="1:12" x14ac:dyDescent="0.2">
      <c r="A1685"/>
      <c r="B1685"/>
      <c r="C1685"/>
      <c r="D1685"/>
      <c r="E1685" s="2">
        <f>Comuni__2[[#This Row],[Popolazione2011]]/$D$7911</f>
        <v>2.862524268139127E-5</v>
      </c>
      <c r="F1685">
        <f>SUMIFS($D$2:$D$7909, $B$2:$B$7909, "Emilia-Romagna")</f>
        <v>4342135</v>
      </c>
      <c r="G1685" s="1">
        <f>Comuni__2[[#This Row],[Popolazione2011]]/Comuni__2[[#This Row],[POPOLAZIONE TOTALE DI OGNI REGIONE (CON FILTRO)]]</f>
        <v>3.9174277170101807E-4</v>
      </c>
      <c r="H1685" t="str">
        <f>IF(Comuni__2[[#This Row],[Popolazione2011]]&gt;300000,"MAGGIORE","")</f>
        <v/>
      </c>
      <c r="J1685">
        <v>186</v>
      </c>
      <c r="K1685">
        <v>5115</v>
      </c>
      <c r="L1685">
        <v>387</v>
      </c>
    </row>
    <row r="1686" spans="1:12" x14ac:dyDescent="0.2">
      <c r="A1686"/>
      <c r="B1686"/>
      <c r="C1686"/>
      <c r="D1686"/>
      <c r="E1686" s="2">
        <f>Comuni__2[[#This Row],[Popolazione2011]]/$D$7911</f>
        <v>2.7952103523686598E-5</v>
      </c>
      <c r="F1686">
        <f>SUMIFS($D$2:$D$7909, $B$2:$B$7909, "Emilia-Romagna")</f>
        <v>4342135</v>
      </c>
      <c r="G1686" s="1">
        <f>Comuni__2[[#This Row],[Popolazione2011]]/Comuni__2[[#This Row],[POPOLAZIONE TOTALE DI OGNI REGIONE (CON FILTRO)]]</f>
        <v>3.8253071357753729E-4</v>
      </c>
      <c r="H1686" t="str">
        <f>IF(Comuni__2[[#This Row],[Popolazione2011]]&gt;300000,"MAGGIORE","")</f>
        <v/>
      </c>
      <c r="J1686">
        <v>196</v>
      </c>
      <c r="K1686">
        <v>5186</v>
      </c>
      <c r="L1686">
        <v>394</v>
      </c>
    </row>
    <row r="1687" spans="1:12" x14ac:dyDescent="0.2">
      <c r="A1687"/>
      <c r="B1687"/>
      <c r="C1687"/>
      <c r="D1687"/>
      <c r="E1687" s="2">
        <f>Comuni__2[[#This Row],[Popolazione2011]]/$D$7911</f>
        <v>2.4485436861507524E-5</v>
      </c>
      <c r="F1687">
        <f>SUMIFS($D$2:$D$7909, $B$2:$B$7909, "Emilia-Romagna")</f>
        <v>4342135</v>
      </c>
      <c r="G1687" s="1">
        <f>Comuni__2[[#This Row],[Popolazione2011]]/Comuni__2[[#This Row],[POPOLAZIONE TOTALE DI OGNI REGIONE (CON FILTRO)]]</f>
        <v>3.3508861424161155E-4</v>
      </c>
      <c r="H1687" t="str">
        <f>IF(Comuni__2[[#This Row],[Popolazione2011]]&gt;300000,"MAGGIORE","")</f>
        <v/>
      </c>
      <c r="J1687">
        <v>203</v>
      </c>
      <c r="K1687">
        <v>5312</v>
      </c>
      <c r="L1687">
        <v>397</v>
      </c>
    </row>
    <row r="1688" spans="1:12" x14ac:dyDescent="0.2">
      <c r="A1688"/>
      <c r="B1688"/>
      <c r="C1688"/>
      <c r="D1688"/>
      <c r="E1688" s="2">
        <f>Comuni__2[[#This Row],[Popolazione2011]]/$D$7911</f>
        <v>2.4249838156310888E-5</v>
      </c>
      <c r="F1688">
        <f>SUMIFS($D$2:$D$7909, $B$2:$B$7909, "Emilia-Romagna")</f>
        <v>4342135</v>
      </c>
      <c r="G1688" s="1">
        <f>Comuni__2[[#This Row],[Popolazione2011]]/Comuni__2[[#This Row],[POPOLAZIONE TOTALE DI OGNI REGIONE (CON FILTRO)]]</f>
        <v>3.3186439389839331E-4</v>
      </c>
      <c r="H1688" t="str">
        <f>IF(Comuni__2[[#This Row],[Popolazione2011]]&gt;300000,"MAGGIORE","")</f>
        <v/>
      </c>
      <c r="J1688">
        <v>218</v>
      </c>
      <c r="K1688">
        <v>5470</v>
      </c>
      <c r="L1688">
        <v>398</v>
      </c>
    </row>
    <row r="1689" spans="1:12" x14ac:dyDescent="0.2">
      <c r="A1689"/>
      <c r="B1689"/>
      <c r="C1689"/>
      <c r="D1689"/>
      <c r="E1689" s="2">
        <f>Comuni__2[[#This Row],[Popolazione2011]]/$D$7911</f>
        <v>2.3980582493229019E-5</v>
      </c>
      <c r="F1689">
        <f>SUMIFS($D$2:$D$7909, $B$2:$B$7909, "Emilia-Romagna")</f>
        <v>4342135</v>
      </c>
      <c r="G1689" s="1">
        <f>Comuni__2[[#This Row],[Popolazione2011]]/Comuni__2[[#This Row],[POPOLAZIONE TOTALE DI OGNI REGIONE (CON FILTRO)]]</f>
        <v>3.2817957064900098E-4</v>
      </c>
      <c r="H1689" t="str">
        <f>IF(Comuni__2[[#This Row],[Popolazione2011]]&gt;300000,"MAGGIORE","")</f>
        <v/>
      </c>
      <c r="J1689">
        <v>216</v>
      </c>
      <c r="K1689">
        <v>5506</v>
      </c>
      <c r="L1689">
        <v>403</v>
      </c>
    </row>
    <row r="1690" spans="1:12" x14ac:dyDescent="0.2">
      <c r="A1690"/>
      <c r="B1690"/>
      <c r="C1690"/>
      <c r="D1690"/>
      <c r="E1690" s="2">
        <f>Comuni__2[[#This Row],[Popolazione2011]]/$D$7911</f>
        <v>2.194433654117238E-5</v>
      </c>
      <c r="F1690">
        <f>SUMIFS($D$2:$D$7909, $B$2:$B$7909, "Emilia-Romagna")</f>
        <v>4342135</v>
      </c>
      <c r="G1690" s="1">
        <f>Comuni__2[[#This Row],[Popolazione2011]]/Comuni__2[[#This Row],[POPOLAZIONE TOTALE DI OGNI REGIONE (CON FILTRO)]]</f>
        <v>3.0031309482547183E-4</v>
      </c>
      <c r="H1690" t="str">
        <f>IF(Comuni__2[[#This Row],[Popolazione2011]]&gt;300000,"MAGGIORE","")</f>
        <v/>
      </c>
      <c r="J1690">
        <v>244</v>
      </c>
      <c r="K1690">
        <v>5659</v>
      </c>
      <c r="L1690">
        <v>411</v>
      </c>
    </row>
    <row r="1691" spans="1:12" x14ac:dyDescent="0.2">
      <c r="A1691"/>
      <c r="B1691"/>
      <c r="C1691"/>
      <c r="D1691"/>
      <c r="E1691" s="2">
        <f>Comuni__2[[#This Row],[Popolazione2011]]/$D$7911</f>
        <v>2.1557281525492192E-5</v>
      </c>
      <c r="F1691">
        <f>SUMIFS($D$2:$D$7909, $B$2:$B$7909, "Emilia-Romagna")</f>
        <v>4342135</v>
      </c>
      <c r="G1691" s="1">
        <f>Comuni__2[[#This Row],[Popolazione2011]]/Comuni__2[[#This Row],[POPOLAZIONE TOTALE DI OGNI REGIONE (CON FILTRO)]]</f>
        <v>2.9501616140447041E-4</v>
      </c>
      <c r="H1691" t="str">
        <f>IF(Comuni__2[[#This Row],[Popolazione2011]]&gt;300000,"MAGGIORE","")</f>
        <v/>
      </c>
      <c r="J1691">
        <v>255</v>
      </c>
      <c r="K1691">
        <v>5869</v>
      </c>
      <c r="L1691">
        <v>414</v>
      </c>
    </row>
    <row r="1692" spans="1:12" x14ac:dyDescent="0.2">
      <c r="A1692"/>
      <c r="B1692"/>
      <c r="C1692"/>
      <c r="D1692"/>
      <c r="E1692" s="2">
        <f>Comuni__2[[#This Row],[Popolazione2011]]/$D$7911</f>
        <v>2.1187054988754621E-5</v>
      </c>
      <c r="F1692">
        <f>SUMIFS($D$2:$D$7909, $B$2:$B$7909, "Emilia-Romagna")</f>
        <v>4342135</v>
      </c>
      <c r="G1692" s="1">
        <f>Comuni__2[[#This Row],[Popolazione2011]]/Comuni__2[[#This Row],[POPOLAZIONE TOTALE DI OGNI REGIONE (CON FILTRO)]]</f>
        <v>2.8994952943655597E-4</v>
      </c>
      <c r="H1692" t="str">
        <f>IF(Comuni__2[[#This Row],[Popolazione2011]]&gt;300000,"MAGGIORE","")</f>
        <v/>
      </c>
      <c r="J1692">
        <v>312</v>
      </c>
      <c r="K1692">
        <v>6008</v>
      </c>
      <c r="L1692">
        <v>423</v>
      </c>
    </row>
    <row r="1693" spans="1:12" x14ac:dyDescent="0.2">
      <c r="A1693"/>
      <c r="B1693"/>
      <c r="C1693"/>
      <c r="D1693"/>
      <c r="E1693" s="2">
        <f>Comuni__2[[#This Row],[Popolazione2011]]/$D$7911</f>
        <v>2.0699029099418733E-5</v>
      </c>
      <c r="F1693">
        <f>SUMIFS($D$2:$D$7909, $B$2:$B$7909, "Emilia-Romagna")</f>
        <v>4342135</v>
      </c>
      <c r="G1693" s="1">
        <f>Comuni__2[[#This Row],[Popolazione2011]]/Comuni__2[[#This Row],[POPOLAZIONE TOTALE DI OGNI REGIONE (CON FILTRO)]]</f>
        <v>2.8327078729703243E-4</v>
      </c>
      <c r="H1693" t="str">
        <f>IF(Comuni__2[[#This Row],[Popolazione2011]]&gt;300000,"MAGGIORE","")</f>
        <v/>
      </c>
      <c r="J1693">
        <v>304</v>
      </c>
      <c r="K1693">
        <v>6162</v>
      </c>
      <c r="L1693">
        <v>435</v>
      </c>
    </row>
    <row r="1694" spans="1:12" x14ac:dyDescent="0.2">
      <c r="A1694"/>
      <c r="B1694"/>
      <c r="C1694"/>
      <c r="D1694"/>
      <c r="E1694" s="2">
        <f>Comuni__2[[#This Row],[Popolazione2011]]/$D$7911</f>
        <v>2.0110032336427141E-5</v>
      </c>
      <c r="F1694">
        <f>SUMIFS($D$2:$D$7909, $B$2:$B$7909, "Emilia-Romagna")</f>
        <v>4342135</v>
      </c>
      <c r="G1694" s="1">
        <f>Comuni__2[[#This Row],[Popolazione2011]]/Comuni__2[[#This Row],[POPOLAZIONE TOTALE DI OGNI REGIONE (CON FILTRO)]]</f>
        <v>2.7521023643898679E-4</v>
      </c>
      <c r="H1694" t="str">
        <f>IF(Comuni__2[[#This Row],[Popolazione2011]]&gt;300000,"MAGGIORE","")</f>
        <v/>
      </c>
      <c r="J1694">
        <v>331</v>
      </c>
      <c r="K1694">
        <v>6422</v>
      </c>
      <c r="L1694">
        <v>442</v>
      </c>
    </row>
    <row r="1695" spans="1:12" x14ac:dyDescent="0.2">
      <c r="A1695"/>
      <c r="B1695"/>
      <c r="C1695"/>
      <c r="D1695"/>
      <c r="E1695" s="2">
        <f>Comuni__2[[#This Row],[Popolazione2011]]/$D$7911</f>
        <v>1.9605177968148637E-5</v>
      </c>
      <c r="F1695">
        <f>SUMIFS($D$2:$D$7909, $B$2:$B$7909, "Emilia-Romagna")</f>
        <v>4342135</v>
      </c>
      <c r="G1695" s="1">
        <f>Comuni__2[[#This Row],[Popolazione2011]]/Comuni__2[[#This Row],[POPOLAZIONE TOTALE DI OGNI REGIONE (CON FILTRO)]]</f>
        <v>2.6830119284637627E-4</v>
      </c>
      <c r="H1695" t="str">
        <f>IF(Comuni__2[[#This Row],[Popolazione2011]]&gt;300000,"MAGGIORE","")</f>
        <v/>
      </c>
      <c r="J1695">
        <v>346</v>
      </c>
      <c r="K1695">
        <v>6636</v>
      </c>
      <c r="L1695">
        <v>451</v>
      </c>
    </row>
    <row r="1696" spans="1:12" x14ac:dyDescent="0.2">
      <c r="A1696"/>
      <c r="B1696"/>
      <c r="C1696"/>
      <c r="D1696"/>
      <c r="E1696" s="2">
        <f>Comuni__2[[#This Row],[Popolazione2011]]/$D$7911</f>
        <v>1.9386407741894617E-5</v>
      </c>
      <c r="F1696">
        <f>SUMIFS($D$2:$D$7909, $B$2:$B$7909, "Emilia-Romagna")</f>
        <v>4342135</v>
      </c>
      <c r="G1696" s="1">
        <f>Comuni__2[[#This Row],[Popolazione2011]]/Comuni__2[[#This Row],[POPOLAZIONE TOTALE DI OGNI REGIONE (CON FILTRO)]]</f>
        <v>2.65307273956245E-4</v>
      </c>
      <c r="H1696" t="str">
        <f>IF(Comuni__2[[#This Row],[Popolazione2011]]&gt;300000,"MAGGIORE","")</f>
        <v/>
      </c>
      <c r="J1696">
        <v>365</v>
      </c>
      <c r="K1696">
        <v>6760</v>
      </c>
      <c r="L1696">
        <v>456</v>
      </c>
    </row>
    <row r="1697" spans="1:12" x14ac:dyDescent="0.2">
      <c r="A1697"/>
      <c r="B1697"/>
      <c r="C1697"/>
      <c r="D1697"/>
      <c r="E1697" s="2">
        <f>Comuni__2[[#This Row],[Popolazione2011]]/$D$7911</f>
        <v>1.8881553373616113E-5</v>
      </c>
      <c r="F1697">
        <f>SUMIFS($D$2:$D$7909, $B$2:$B$7909, "Emilia-Romagna")</f>
        <v>4342135</v>
      </c>
      <c r="G1697" s="1">
        <f>Comuni__2[[#This Row],[Popolazione2011]]/Comuni__2[[#This Row],[POPOLAZIONE TOTALE DI OGNI REGIONE (CON FILTRO)]]</f>
        <v>2.5839823036363449E-4</v>
      </c>
      <c r="H1697" t="str">
        <f>IF(Comuni__2[[#This Row],[Popolazione2011]]&gt;300000,"MAGGIORE","")</f>
        <v/>
      </c>
      <c r="J1697">
        <v>383</v>
      </c>
      <c r="K1697">
        <v>7213</v>
      </c>
      <c r="L1697">
        <v>476</v>
      </c>
    </row>
    <row r="1698" spans="1:12" x14ac:dyDescent="0.2">
      <c r="A1698"/>
      <c r="B1698"/>
      <c r="C1698"/>
      <c r="D1698"/>
      <c r="E1698" s="2">
        <f>Comuni__2[[#This Row],[Popolazione2011]]/$D$7911</f>
        <v>1.8595469231591625E-5</v>
      </c>
      <c r="F1698">
        <f>SUMIFS($D$2:$D$7909, $B$2:$B$7909, "Emilia-Romagna")</f>
        <v>4342135</v>
      </c>
      <c r="G1698" s="1">
        <f>Comuni__2[[#This Row],[Popolazione2011]]/Comuni__2[[#This Row],[POPOLAZIONE TOTALE DI OGNI REGIONE (CON FILTRO)]]</f>
        <v>2.5448310566115518E-4</v>
      </c>
      <c r="H1698" t="str">
        <f>IF(Comuni__2[[#This Row],[Popolazione2011]]&gt;300000,"MAGGIORE","")</f>
        <v/>
      </c>
      <c r="J1698">
        <v>392</v>
      </c>
      <c r="K1698">
        <v>7448</v>
      </c>
      <c r="L1698">
        <v>489</v>
      </c>
    </row>
    <row r="1699" spans="1:12" x14ac:dyDescent="0.2">
      <c r="A1699"/>
      <c r="B1699"/>
      <c r="C1699"/>
      <c r="D1699"/>
      <c r="E1699" s="2">
        <f>Comuni__2[[#This Row],[Popolazione2011]]/$D$7911</f>
        <v>1.8544983794763774E-5</v>
      </c>
      <c r="F1699">
        <f>SUMIFS($D$2:$D$7909, $B$2:$B$7909, "Emilia-Romagna")</f>
        <v>4342135</v>
      </c>
      <c r="G1699" s="1">
        <f>Comuni__2[[#This Row],[Popolazione2011]]/Comuni__2[[#This Row],[POPOLAZIONE TOTALE DI OGNI REGIONE (CON FILTRO)]]</f>
        <v>2.5379220130189412E-4</v>
      </c>
      <c r="H1699" t="str">
        <f>IF(Comuni__2[[#This Row],[Popolazione2011]]&gt;300000,"MAGGIORE","")</f>
        <v/>
      </c>
      <c r="J1699">
        <v>393</v>
      </c>
      <c r="K1699">
        <v>7795</v>
      </c>
      <c r="L1699">
        <v>498</v>
      </c>
    </row>
    <row r="1700" spans="1:12" x14ac:dyDescent="0.2">
      <c r="A1700"/>
      <c r="B1700"/>
      <c r="C1700"/>
      <c r="D1700"/>
      <c r="E1700" s="2">
        <f>Comuni__2[[#This Row],[Popolazione2011]]/$D$7911</f>
        <v>1.7939158552829569E-5</v>
      </c>
      <c r="F1700">
        <f>SUMIFS($D$2:$D$7909, $B$2:$B$7909, "Emilia-Romagna")</f>
        <v>4342135</v>
      </c>
      <c r="G1700" s="1">
        <f>Comuni__2[[#This Row],[Popolazione2011]]/Comuni__2[[#This Row],[POPOLAZIONE TOTALE DI OGNI REGIONE (CON FILTRO)]]</f>
        <v>2.4550134899076144E-4</v>
      </c>
      <c r="H1700" t="str">
        <f>IF(Comuni__2[[#This Row],[Popolazione2011]]&gt;300000,"MAGGIORE","")</f>
        <v/>
      </c>
      <c r="J1700">
        <v>413</v>
      </c>
      <c r="K1700">
        <v>8114</v>
      </c>
      <c r="L1700">
        <v>506</v>
      </c>
    </row>
    <row r="1701" spans="1:12" x14ac:dyDescent="0.2">
      <c r="A1701"/>
      <c r="B1701"/>
      <c r="C1701"/>
      <c r="D1701"/>
      <c r="E1701" s="2">
        <f>Comuni__2[[#This Row],[Popolazione2011]]/$D$7911</f>
        <v>1.7838187679173866E-5</v>
      </c>
      <c r="F1701">
        <f>SUMIFS($D$2:$D$7909, $B$2:$B$7909, "Emilia-Romagna")</f>
        <v>4342135</v>
      </c>
      <c r="G1701" s="1">
        <f>Comuni__2[[#This Row],[Popolazione2011]]/Comuni__2[[#This Row],[POPOLAZIONE TOTALE DI OGNI REGIONE (CON FILTRO)]]</f>
        <v>2.4411954027223935E-4</v>
      </c>
      <c r="H1701" t="str">
        <f>IF(Comuni__2[[#This Row],[Popolazione2011]]&gt;300000,"MAGGIORE","")</f>
        <v/>
      </c>
      <c r="J1701">
        <v>423</v>
      </c>
      <c r="K1701">
        <v>8284</v>
      </c>
      <c r="L1701">
        <v>516</v>
      </c>
    </row>
    <row r="1702" spans="1:12" x14ac:dyDescent="0.2">
      <c r="A1702"/>
      <c r="B1702"/>
      <c r="C1702"/>
      <c r="D1702"/>
      <c r="E1702" s="2">
        <f>Comuni__2[[#This Row],[Popolazione2011]]/$D$7911</f>
        <v>1.7316504831952746E-5</v>
      </c>
      <c r="F1702">
        <f>SUMIFS($D$2:$D$7909, $B$2:$B$7909, "Emilia-Romagna")</f>
        <v>4342135</v>
      </c>
      <c r="G1702" s="1">
        <f>Comuni__2[[#This Row],[Popolazione2011]]/Comuni__2[[#This Row],[POPOLAZIONE TOTALE DI OGNI REGIONE (CON FILTRO)]]</f>
        <v>2.3698019522654177E-4</v>
      </c>
      <c r="H1702" t="str">
        <f>IF(Comuni__2[[#This Row],[Popolazione2011]]&gt;300000,"MAGGIORE","")</f>
        <v/>
      </c>
      <c r="J1702">
        <v>444</v>
      </c>
      <c r="K1702">
        <v>8482</v>
      </c>
      <c r="L1702">
        <v>528</v>
      </c>
    </row>
    <row r="1703" spans="1:12" x14ac:dyDescent="0.2">
      <c r="A1703"/>
      <c r="B1703"/>
      <c r="C1703"/>
      <c r="D1703"/>
      <c r="E1703" s="2">
        <f>Comuni__2[[#This Row],[Popolazione2011]]/$D$7911</f>
        <v>1.6828478942616854E-5</v>
      </c>
      <c r="F1703">
        <f>SUMIFS($D$2:$D$7909, $B$2:$B$7909, "Emilia-Romagna")</f>
        <v>4342135</v>
      </c>
      <c r="G1703" s="1">
        <f>Comuni__2[[#This Row],[Popolazione2011]]/Comuni__2[[#This Row],[POPOLAZIONE TOTALE DI OGNI REGIONE (CON FILTRO)]]</f>
        <v>2.3030145308701826E-4</v>
      </c>
      <c r="H1703" t="str">
        <f>IF(Comuni__2[[#This Row],[Popolazione2011]]&gt;300000,"MAGGIORE","")</f>
        <v/>
      </c>
      <c r="J1703">
        <v>454</v>
      </c>
      <c r="K1703">
        <v>8792</v>
      </c>
      <c r="L1703">
        <v>546</v>
      </c>
    </row>
    <row r="1704" spans="1:12" x14ac:dyDescent="0.2">
      <c r="A1704"/>
      <c r="B1704"/>
      <c r="C1704"/>
      <c r="D1704"/>
      <c r="E1704" s="2">
        <f>Comuni__2[[#This Row],[Popolazione2011]]/$D$7911</f>
        <v>1.6576051758477602E-5</v>
      </c>
      <c r="F1704">
        <f>SUMIFS($D$2:$D$7909, $B$2:$B$7909, "Emilia-Romagna")</f>
        <v>4342135</v>
      </c>
      <c r="G1704" s="1">
        <f>Comuni__2[[#This Row],[Popolazione2011]]/Comuni__2[[#This Row],[POPOLAZIONE TOTALE DI OGNI REGIONE (CON FILTRO)]]</f>
        <v>2.2684693129071298E-4</v>
      </c>
      <c r="H1704" t="str">
        <f>IF(Comuni__2[[#This Row],[Popolazione2011]]&gt;300000,"MAGGIORE","")</f>
        <v/>
      </c>
      <c r="J1704">
        <v>498</v>
      </c>
      <c r="K1704">
        <v>8952</v>
      </c>
      <c r="L1704">
        <v>556</v>
      </c>
    </row>
    <row r="1705" spans="1:12" x14ac:dyDescent="0.2">
      <c r="A1705"/>
      <c r="B1705"/>
      <c r="C1705"/>
      <c r="D1705"/>
      <c r="E1705" s="2">
        <f>Comuni__2[[#This Row],[Popolazione2011]]/$D$7911</f>
        <v>1.642459544799405E-5</v>
      </c>
      <c r="F1705">
        <f>SUMIFS($D$2:$D$7909, $B$2:$B$7909, "Emilia-Romagna")</f>
        <v>4342135</v>
      </c>
      <c r="G1705" s="1">
        <f>Comuni__2[[#This Row],[Popolazione2011]]/Comuni__2[[#This Row],[POPOLAZIONE TOTALE DI OGNI REGIONE (CON FILTRO)]]</f>
        <v>2.2477421821292981E-4</v>
      </c>
      <c r="H1705" t="str">
        <f>IF(Comuni__2[[#This Row],[Popolazione2011]]&gt;300000,"MAGGIORE","")</f>
        <v/>
      </c>
      <c r="J1705">
        <v>519</v>
      </c>
      <c r="K1705">
        <v>9404</v>
      </c>
      <c r="L1705">
        <v>567</v>
      </c>
    </row>
    <row r="1706" spans="1:12" x14ac:dyDescent="0.2">
      <c r="A1706"/>
      <c r="B1706"/>
      <c r="C1706"/>
      <c r="D1706"/>
      <c r="E1706" s="2">
        <f>Comuni__2[[#This Row],[Popolazione2011]]/$D$7911</f>
        <v>1.6071197390199098E-5</v>
      </c>
      <c r="F1706">
        <f>SUMIFS($D$2:$D$7909, $B$2:$B$7909, "Emilia-Romagna")</f>
        <v>4342135</v>
      </c>
      <c r="G1706" s="1">
        <f>Comuni__2[[#This Row],[Popolazione2011]]/Comuni__2[[#This Row],[POPOLAZIONE TOTALE DI OGNI REGIONE (CON FILTRO)]]</f>
        <v>2.1993788769810244E-4</v>
      </c>
      <c r="H1706" t="str">
        <f>IF(Comuni__2[[#This Row],[Popolazione2011]]&gt;300000,"MAGGIORE","")</f>
        <v/>
      </c>
      <c r="J1706">
        <v>533</v>
      </c>
      <c r="K1706">
        <v>9697</v>
      </c>
      <c r="L1706">
        <v>580</v>
      </c>
    </row>
    <row r="1707" spans="1:12" x14ac:dyDescent="0.2">
      <c r="A1707"/>
      <c r="B1707"/>
      <c r="C1707"/>
      <c r="D1707"/>
      <c r="E1707" s="2">
        <f>Comuni__2[[#This Row],[Popolazione2011]]/$D$7911</f>
        <v>1.5583171500863207E-5</v>
      </c>
      <c r="F1707">
        <f>SUMIFS($D$2:$D$7909, $B$2:$B$7909, "Emilia-Romagna")</f>
        <v>4342135</v>
      </c>
      <c r="G1707" s="1">
        <f>Comuni__2[[#This Row],[Popolazione2011]]/Comuni__2[[#This Row],[POPOLAZIONE TOTALE DI OGNI REGIONE (CON FILTRO)]]</f>
        <v>2.132591455585789E-4</v>
      </c>
      <c r="H1707" t="str">
        <f>IF(Comuni__2[[#This Row],[Popolazione2011]]&gt;300000,"MAGGIORE","")</f>
        <v/>
      </c>
      <c r="J1707">
        <v>559</v>
      </c>
      <c r="K1707">
        <v>10157</v>
      </c>
      <c r="L1707">
        <v>608</v>
      </c>
    </row>
    <row r="1708" spans="1:12" x14ac:dyDescent="0.2">
      <c r="A1708"/>
      <c r="B1708"/>
      <c r="C1708"/>
      <c r="D1708"/>
      <c r="E1708" s="2">
        <f>Comuni__2[[#This Row],[Popolazione2011]]/$D$7911</f>
        <v>1.4270550143339093E-5</v>
      </c>
      <c r="F1708">
        <f>SUMIFS($D$2:$D$7909, $B$2:$B$7909, "Emilia-Romagna")</f>
        <v>4342135</v>
      </c>
      <c r="G1708" s="1">
        <f>Comuni__2[[#This Row],[Popolazione2011]]/Comuni__2[[#This Row],[POPOLAZIONE TOTALE DI OGNI REGIONE (CON FILTRO)]]</f>
        <v>1.9529563221779147E-4</v>
      </c>
      <c r="H1708" t="str">
        <f>IF(Comuni__2[[#This Row],[Popolazione2011]]&gt;300000,"MAGGIORE","")</f>
        <v/>
      </c>
      <c r="J1708">
        <v>564</v>
      </c>
      <c r="K1708">
        <v>10593</v>
      </c>
      <c r="L1708">
        <v>633</v>
      </c>
    </row>
    <row r="1709" spans="1:12" x14ac:dyDescent="0.2">
      <c r="A1709"/>
      <c r="B1709"/>
      <c r="C1709"/>
      <c r="D1709"/>
      <c r="E1709" s="2">
        <f>Comuni__2[[#This Row],[Popolazione2011]]/$D$7911</f>
        <v>1.3513268590921335E-5</v>
      </c>
      <c r="F1709">
        <f>SUMIFS($D$2:$D$7909, $B$2:$B$7909, "Emilia-Romagna")</f>
        <v>4342135</v>
      </c>
      <c r="G1709" s="1">
        <f>Comuni__2[[#This Row],[Popolazione2011]]/Comuni__2[[#This Row],[POPOLAZIONE TOTALE DI OGNI REGIONE (CON FILTRO)]]</f>
        <v>1.8493206682887567E-4</v>
      </c>
      <c r="H1709" t="str">
        <f>IF(Comuni__2[[#This Row],[Popolazione2011]]&gt;300000,"MAGGIORE","")</f>
        <v/>
      </c>
      <c r="J1709">
        <v>601</v>
      </c>
      <c r="K1709">
        <v>10961</v>
      </c>
      <c r="L1709">
        <v>646</v>
      </c>
    </row>
    <row r="1710" spans="1:12" x14ac:dyDescent="0.2">
      <c r="A1710"/>
      <c r="B1710"/>
      <c r="C1710"/>
      <c r="D1710"/>
      <c r="E1710" s="2">
        <f>Comuni__2[[#This Row],[Popolazione2011]]/$D$7911</f>
        <v>1.3445954675150867E-5</v>
      </c>
      <c r="F1710">
        <f>SUMIFS($D$2:$D$7909, $B$2:$B$7909, "Emilia-Romagna")</f>
        <v>4342135</v>
      </c>
      <c r="G1710" s="1">
        <f>Comuni__2[[#This Row],[Popolazione2011]]/Comuni__2[[#This Row],[POPOLAZIONE TOTALE DI OGNI REGIONE (CON FILTRO)]]</f>
        <v>1.8401086101652757E-4</v>
      </c>
      <c r="H1710" t="str">
        <f>IF(Comuni__2[[#This Row],[Popolazione2011]]&gt;300000,"MAGGIORE","")</f>
        <v/>
      </c>
      <c r="J1710">
        <v>620</v>
      </c>
      <c r="K1710">
        <v>11157</v>
      </c>
      <c r="L1710">
        <v>673</v>
      </c>
    </row>
    <row r="1711" spans="1:12" x14ac:dyDescent="0.2">
      <c r="A1711"/>
      <c r="B1711"/>
      <c r="C1711"/>
      <c r="D1711"/>
      <c r="E1711" s="2">
        <f>Comuni__2[[#This Row],[Popolazione2011]]/$D$7911</f>
        <v>1.2941100306872361E-5</v>
      </c>
      <c r="F1711">
        <f>SUMIFS($D$2:$D$7909, $B$2:$B$7909, "Emilia-Romagna")</f>
        <v>4342135</v>
      </c>
      <c r="G1711" s="1">
        <f>Comuni__2[[#This Row],[Popolazione2011]]/Comuni__2[[#This Row],[POPOLAZIONE TOTALE DI OGNI REGIONE (CON FILTRO)]]</f>
        <v>1.7710181742391703E-4</v>
      </c>
      <c r="H1711" t="str">
        <f>IF(Comuni__2[[#This Row],[Popolazione2011]]&gt;300000,"MAGGIORE","")</f>
        <v/>
      </c>
      <c r="J1711">
        <v>615</v>
      </c>
      <c r="K1711">
        <v>11543</v>
      </c>
      <c r="L1711">
        <v>699</v>
      </c>
    </row>
    <row r="1712" spans="1:12" x14ac:dyDescent="0.2">
      <c r="A1712"/>
      <c r="B1712"/>
      <c r="C1712"/>
      <c r="D1712"/>
      <c r="E1712" s="2">
        <f>Comuni__2[[#This Row],[Popolazione2011]]/$D$7911</f>
        <v>1.2772815517446193E-5</v>
      </c>
      <c r="F1712">
        <f>SUMIFS($D$2:$D$7909, $B$2:$B$7909, "Emilia-Romagna")</f>
        <v>4342135</v>
      </c>
      <c r="G1712" s="1">
        <f>Comuni__2[[#This Row],[Popolazione2011]]/Comuni__2[[#This Row],[POPOLAZIONE TOTALE DI OGNI REGIONE (CON FILTRO)]]</f>
        <v>1.7479880289304685E-4</v>
      </c>
      <c r="H1712" t="str">
        <f>IF(Comuni__2[[#This Row],[Popolazione2011]]&gt;300000,"MAGGIORE","")</f>
        <v/>
      </c>
      <c r="J1712">
        <v>642</v>
      </c>
      <c r="K1712">
        <v>12034</v>
      </c>
      <c r="L1712">
        <v>715</v>
      </c>
    </row>
    <row r="1713" spans="1:12" x14ac:dyDescent="0.2">
      <c r="A1713"/>
      <c r="B1713"/>
      <c r="C1713"/>
      <c r="D1713"/>
      <c r="E1713" s="2">
        <f>Comuni__2[[#This Row],[Popolazione2011]]/$D$7911</f>
        <v>1.129190937049591E-5</v>
      </c>
      <c r="F1713">
        <f>SUMIFS($D$2:$D$7909, $B$2:$B$7909, "Emilia-Romagna")</f>
        <v>4342135</v>
      </c>
      <c r="G1713" s="1">
        <f>Comuni__2[[#This Row],[Popolazione2011]]/Comuni__2[[#This Row],[POPOLAZIONE TOTALE DI OGNI REGIONE (CON FILTRO)]]</f>
        <v>1.5453227502138924E-4</v>
      </c>
      <c r="H1713" t="str">
        <f>IF(Comuni__2[[#This Row],[Popolazione2011]]&gt;300000,"MAGGIORE","")</f>
        <v/>
      </c>
      <c r="J1713">
        <v>654</v>
      </c>
      <c r="K1713">
        <v>12536</v>
      </c>
      <c r="L1713">
        <v>741</v>
      </c>
    </row>
    <row r="1714" spans="1:12" x14ac:dyDescent="0.2">
      <c r="A1714"/>
      <c r="B1714"/>
      <c r="C1714"/>
      <c r="D1714"/>
      <c r="E1714" s="2">
        <f>Comuni__2[[#This Row],[Popolazione2011]]/$D$7911</f>
        <v>1.0803883481160022E-5</v>
      </c>
      <c r="F1714">
        <f>SUMIFS($D$2:$D$7909, $B$2:$B$7909, "Emilia-Romagna")</f>
        <v>4342135</v>
      </c>
      <c r="G1714" s="1">
        <f>Comuni__2[[#This Row],[Popolazione2011]]/Comuni__2[[#This Row],[POPOLAZIONE TOTALE DI OGNI REGIONE (CON FILTRO)]]</f>
        <v>1.4785353288186573E-4</v>
      </c>
      <c r="H1714" t="str">
        <f>IF(Comuni__2[[#This Row],[Popolazione2011]]&gt;300000,"MAGGIORE","")</f>
        <v/>
      </c>
      <c r="J1714">
        <v>649</v>
      </c>
      <c r="K1714">
        <v>12932</v>
      </c>
      <c r="L1714">
        <v>776</v>
      </c>
    </row>
    <row r="1715" spans="1:12" x14ac:dyDescent="0.2">
      <c r="A1715"/>
      <c r="B1715"/>
      <c r="C1715"/>
      <c r="D1715"/>
      <c r="E1715" s="2">
        <f>Comuni__2[[#This Row],[Popolazione2011]]/$D$7911</f>
        <v>9.5922329972916084E-6</v>
      </c>
      <c r="F1715">
        <f>SUMIFS($D$2:$D$7909, $B$2:$B$7909, "Emilia-Romagna")</f>
        <v>4342135</v>
      </c>
      <c r="G1715" s="1">
        <f>Comuni__2[[#This Row],[Popolazione2011]]/Comuni__2[[#This Row],[POPOLAZIONE TOTALE DI OGNI REGIONE (CON FILTRO)]]</f>
        <v>1.3127182825960042E-4</v>
      </c>
      <c r="H1715" t="str">
        <f>IF(Comuni__2[[#This Row],[Popolazione2011]]&gt;300000,"MAGGIORE","")</f>
        <v/>
      </c>
      <c r="J1715">
        <v>657</v>
      </c>
      <c r="K1715">
        <v>14598</v>
      </c>
      <c r="L1715">
        <v>801</v>
      </c>
    </row>
    <row r="1716" spans="1:12" x14ac:dyDescent="0.2">
      <c r="A1716"/>
      <c r="B1716"/>
      <c r="C1716"/>
      <c r="D1716"/>
      <c r="E1716" s="2">
        <f>Comuni__2[[#This Row],[Popolazione2011]]/$D$7911</f>
        <v>9.5417475604637567E-6</v>
      </c>
      <c r="F1716">
        <f>SUMIFS($D$2:$D$7909, $B$2:$B$7909, "Emilia-Romagna")</f>
        <v>4342135</v>
      </c>
      <c r="G1716" s="1">
        <f>Comuni__2[[#This Row],[Popolazione2011]]/Comuni__2[[#This Row],[POPOLAZIONE TOTALE DI OGNI REGIONE (CON FILTRO)]]</f>
        <v>1.3058092390033936E-4</v>
      </c>
      <c r="H1716" t="str">
        <f>IF(Comuni__2[[#This Row],[Popolazione2011]]&gt;300000,"MAGGIORE","")</f>
        <v/>
      </c>
      <c r="J1716">
        <v>677</v>
      </c>
      <c r="K1716">
        <v>14949</v>
      </c>
      <c r="L1716">
        <v>817</v>
      </c>
    </row>
    <row r="1717" spans="1:12" x14ac:dyDescent="0.2">
      <c r="A1717"/>
      <c r="B1717"/>
      <c r="C1717"/>
      <c r="D1717"/>
      <c r="E1717" s="2">
        <f>Comuni__2[[#This Row],[Popolazione2011]]/$D$7911</f>
        <v>7.4886731294645004E-6</v>
      </c>
      <c r="F1717">
        <f>SUMIFS($D$2:$D$7909, $B$2:$B$7909, "Emilia-Romagna")</f>
        <v>4342135</v>
      </c>
      <c r="G1717" s="1">
        <f>Comuni__2[[#This Row],[Popolazione2011]]/Comuni__2[[#This Row],[POPOLAZIONE TOTALE DI OGNI REGIONE (CON FILTRO)]]</f>
        <v>1.0248414662372312E-4</v>
      </c>
      <c r="H1717" t="str">
        <f>IF(Comuni__2[[#This Row],[Popolazione2011]]&gt;300000,"MAGGIORE","")</f>
        <v/>
      </c>
      <c r="J1717">
        <v>688</v>
      </c>
      <c r="K1717">
        <v>15297</v>
      </c>
      <c r="L1717">
        <v>838</v>
      </c>
    </row>
    <row r="1718" spans="1:12" x14ac:dyDescent="0.2">
      <c r="A1718"/>
      <c r="B1718"/>
      <c r="C1718"/>
      <c r="D1718"/>
      <c r="E1718" s="2">
        <f>Comuni__2[[#This Row],[Popolazione2011]]/$D$7911</f>
        <v>2.6084142361056126E-6</v>
      </c>
      <c r="F1718">
        <f>SUMIFS($D$2:$D$7909, $B$2:$B$7909, "Emilia-Romagna")</f>
        <v>4342135</v>
      </c>
      <c r="G1718" s="1">
        <f>Comuni__2[[#This Row],[Popolazione2011]]/Comuni__2[[#This Row],[POPOLAZIONE TOTALE DI OGNI REGIONE (CON FILTRO)]]</f>
        <v>3.569672522848783E-5</v>
      </c>
      <c r="H1718" t="str">
        <f>IF(Comuni__2[[#This Row],[Popolazione2011]]&gt;300000,"MAGGIORE","")</f>
        <v/>
      </c>
      <c r="J1718">
        <v>699</v>
      </c>
      <c r="K1718">
        <v>16055</v>
      </c>
      <c r="L1718">
        <v>863</v>
      </c>
    </row>
    <row r="1719" spans="1:12" x14ac:dyDescent="0.2">
      <c r="A1719"/>
      <c r="B1719"/>
      <c r="C1719"/>
      <c r="D1719"/>
      <c r="E1719" s="2">
        <f>Comuni__2[[#This Row],[Popolazione2011]]/$D$7911</f>
        <v>1.5482200627207507E-6</v>
      </c>
      <c r="F1719">
        <f>SUMIFS($D$2:$D$7909, $B$2:$B$7909, "Emilia-Romagna")</f>
        <v>4342135</v>
      </c>
      <c r="G1719" s="1">
        <f>Comuni__2[[#This Row],[Popolazione2011]]/Comuni__2[[#This Row],[POPOLAZIONE TOTALE DI OGNI REGIONE (CON FILTRO)]]</f>
        <v>2.1187733684005679E-5</v>
      </c>
      <c r="H1719" t="str">
        <f>IF(Comuni__2[[#This Row],[Popolazione2011]]&gt;300000,"MAGGIORE","")</f>
        <v/>
      </c>
      <c r="J1719">
        <v>710</v>
      </c>
      <c r="K1719">
        <v>16616</v>
      </c>
      <c r="L1719">
        <v>889</v>
      </c>
    </row>
    <row r="1720" spans="1:12" x14ac:dyDescent="0.2">
      <c r="A1720"/>
      <c r="B1720"/>
      <c r="C1720"/>
      <c r="D1720"/>
      <c r="E1720" s="2">
        <f>Comuni__2[[#This Row],[Popolazione2011]]/$D$7911</f>
        <v>3.4014226493185467E-3</v>
      </c>
      <c r="F1720">
        <f>SUMIFS($D$2:$D$7909, $B$2:$B$7909, "Friuli-Venezia Giulia")</f>
        <v>1220291</v>
      </c>
      <c r="G1720" s="1">
        <f>Comuni__2[[#This Row],[Popolazione2011]]/Comuni__2[[#This Row],[POPOLAZIONE TOTALE DI OGNI REGIONE (CON FILTRO)]]</f>
        <v>0.16563508212385405</v>
      </c>
      <c r="H1720" t="str">
        <f>IF(Comuni__2[[#This Row],[Popolazione2011]]&gt;300000,"MAGGIORE","")</f>
        <v/>
      </c>
      <c r="J1720">
        <v>688</v>
      </c>
      <c r="K1720">
        <v>17146</v>
      </c>
      <c r="L1720">
        <v>941</v>
      </c>
    </row>
    <row r="1721" spans="1:12" x14ac:dyDescent="0.2">
      <c r="A1721"/>
      <c r="B1721"/>
      <c r="C1721"/>
      <c r="D1721"/>
      <c r="E1721" s="2">
        <f>Comuni__2[[#This Row],[Popolazione2011]]/$D$7911</f>
        <v>1.6540207098329829E-3</v>
      </c>
      <c r="F1721">
        <f>SUMIFS($D$2:$D$7909, $B$2:$B$7909, "Friuli-Venezia Giulia")</f>
        <v>1220291</v>
      </c>
      <c r="G1721" s="1">
        <f>Comuni__2[[#This Row],[Popolazione2011]]/Comuni__2[[#This Row],[POPOLAZIONE TOTALE DI OGNI REGIONE (CON FILTRO)]]</f>
        <v>8.0543903052632523E-2</v>
      </c>
      <c r="H1721" t="str">
        <f>IF(Comuni__2[[#This Row],[Popolazione2011]]&gt;300000,"MAGGIORE","")</f>
        <v/>
      </c>
      <c r="J1721">
        <v>691</v>
      </c>
      <c r="K1721">
        <v>17860</v>
      </c>
      <c r="L1721">
        <v>977</v>
      </c>
    </row>
    <row r="1722" spans="1:12" x14ac:dyDescent="0.2">
      <c r="A1722"/>
      <c r="B1722"/>
      <c r="C1722"/>
      <c r="D1722"/>
      <c r="E1722" s="2">
        <f>Comuni__2[[#This Row],[Popolazione2011]]/$D$7911</f>
        <v>8.5123495035438837E-4</v>
      </c>
      <c r="F1722">
        <f>SUMIFS($D$2:$D$7909, $B$2:$B$7909, "Friuli-Venezia Giulia")</f>
        <v>1220291</v>
      </c>
      <c r="G1722" s="1">
        <f>Comuni__2[[#This Row],[Popolazione2011]]/Comuni__2[[#This Row],[POPOLAZIONE TOTALE DI OGNI REGIONE (CON FILTRO)]]</f>
        <v>4.1451588186752174E-2</v>
      </c>
      <c r="H1722" t="str">
        <f>IF(Comuni__2[[#This Row],[Popolazione2011]]&gt;300000,"MAGGIORE","")</f>
        <v/>
      </c>
      <c r="J1722">
        <v>698</v>
      </c>
      <c r="K1722">
        <v>18693</v>
      </c>
      <c r="L1722">
        <v>1008</v>
      </c>
    </row>
    <row r="1723" spans="1:12" x14ac:dyDescent="0.2">
      <c r="A1723"/>
      <c r="B1723"/>
      <c r="C1723"/>
      <c r="D1723"/>
      <c r="E1723" s="2">
        <f>Comuni__2[[#This Row],[Popolazione2011]]/$D$7911</f>
        <v>5.9256440052742477E-4</v>
      </c>
      <c r="F1723">
        <f>SUMIFS($D$2:$D$7909, $B$2:$B$7909, "Friuli-Venezia Giulia")</f>
        <v>1220291</v>
      </c>
      <c r="G1723" s="1">
        <f>Comuni__2[[#This Row],[Popolazione2011]]/Comuni__2[[#This Row],[POPOLAZIONE TOTALE DI OGNI REGIONE (CON FILTRO)]]</f>
        <v>2.8855412356560854E-2</v>
      </c>
      <c r="H1723" t="str">
        <f>IF(Comuni__2[[#This Row],[Popolazione2011]]&gt;300000,"MAGGIORE","")</f>
        <v/>
      </c>
      <c r="J1723">
        <v>711</v>
      </c>
      <c r="K1723">
        <v>19401</v>
      </c>
      <c r="L1723">
        <v>1035</v>
      </c>
    </row>
    <row r="1724" spans="1:12" x14ac:dyDescent="0.2">
      <c r="A1724"/>
      <c r="B1724"/>
      <c r="C1724"/>
      <c r="D1724"/>
      <c r="E1724" s="2">
        <f>Comuni__2[[#This Row],[Popolazione2011]]/$D$7911</f>
        <v>4.5505889908730238E-4</v>
      </c>
      <c r="F1724">
        <f>SUMIFS($D$2:$D$7909, $B$2:$B$7909, "Friuli-Venezia Giulia")</f>
        <v>1220291</v>
      </c>
      <c r="G1724" s="1">
        <f>Comuni__2[[#This Row],[Popolazione2011]]/Comuni__2[[#This Row],[POPOLAZIONE TOTALE DI OGNI REGIONE (CON FILTRO)]]</f>
        <v>2.215946852021362E-2</v>
      </c>
      <c r="H1724" t="str">
        <f>IF(Comuni__2[[#This Row],[Popolazione2011]]&gt;300000,"MAGGIORE","")</f>
        <v/>
      </c>
      <c r="J1724">
        <v>2</v>
      </c>
      <c r="K1724">
        <v>1</v>
      </c>
      <c r="L1724">
        <v>0</v>
      </c>
    </row>
    <row r="1725" spans="1:12" x14ac:dyDescent="0.2">
      <c r="A1725"/>
      <c r="B1725"/>
      <c r="C1725"/>
      <c r="D1725"/>
      <c r="E1725" s="2">
        <f>Comuni__2[[#This Row],[Popolazione2011]]/$D$7911</f>
        <v>3.3483624552124757E-4</v>
      </c>
      <c r="F1725">
        <f>SUMIFS($D$2:$D$7909, $B$2:$B$7909, "Friuli-Venezia Giulia")</f>
        <v>1220291</v>
      </c>
      <c r="G1725" s="1">
        <f>Comuni__2[[#This Row],[Popolazione2011]]/Comuni__2[[#This Row],[POPOLAZIONE TOTALE DI OGNI REGIONE (CON FILTRO)]]</f>
        <v>1.6305127219654984E-2</v>
      </c>
      <c r="H1725" t="str">
        <f>IF(Comuni__2[[#This Row],[Popolazione2011]]&gt;300000,"MAGGIORE","")</f>
        <v/>
      </c>
      <c r="J1725">
        <v>2</v>
      </c>
      <c r="K1725">
        <v>1</v>
      </c>
      <c r="L1725">
        <v>0</v>
      </c>
    </row>
    <row r="1726" spans="1:12" x14ac:dyDescent="0.2">
      <c r="A1726"/>
      <c r="B1726"/>
      <c r="C1726"/>
      <c r="D1726"/>
      <c r="E1726" s="2">
        <f>Comuni__2[[#This Row],[Popolazione2011]]/$D$7911</f>
        <v>3.0632880219245463E-4</v>
      </c>
      <c r="F1726">
        <f>SUMIFS($D$2:$D$7909, $B$2:$B$7909, "Friuli-Venezia Giulia")</f>
        <v>1220291</v>
      </c>
      <c r="G1726" s="1">
        <f>Comuni__2[[#This Row],[Popolazione2011]]/Comuni__2[[#This Row],[POPOLAZIONE TOTALE DI OGNI REGIONE (CON FILTRO)]]</f>
        <v>1.4916933747769999E-2</v>
      </c>
      <c r="H1726" t="str">
        <f>IF(Comuni__2[[#This Row],[Popolazione2011]]&gt;300000,"MAGGIORE","")</f>
        <v/>
      </c>
      <c r="J1726">
        <v>0</v>
      </c>
      <c r="K1726">
        <v>3</v>
      </c>
      <c r="L1726">
        <v>0</v>
      </c>
    </row>
    <row r="1727" spans="1:12" x14ac:dyDescent="0.2">
      <c r="A1727"/>
      <c r="B1727"/>
      <c r="C1727"/>
      <c r="D1727"/>
      <c r="E1727" s="2">
        <f>Comuni__2[[#This Row],[Popolazione2011]]/$D$7911</f>
        <v>2.65990938167002E-4</v>
      </c>
      <c r="F1727">
        <f>SUMIFS($D$2:$D$7909, $B$2:$B$7909, "Friuli-Venezia Giulia")</f>
        <v>1220291</v>
      </c>
      <c r="G1727" s="1">
        <f>Comuni__2[[#This Row],[Popolazione2011]]/Comuni__2[[#This Row],[POPOLAZIONE TOTALE DI OGNI REGIONE (CON FILTRO)]]</f>
        <v>1.2952648179819403E-2</v>
      </c>
      <c r="H1727" t="str">
        <f>IF(Comuni__2[[#This Row],[Popolazione2011]]&gt;300000,"MAGGIORE","")</f>
        <v/>
      </c>
      <c r="J1727">
        <v>0</v>
      </c>
      <c r="K1727">
        <v>3</v>
      </c>
      <c r="L1727">
        <v>0</v>
      </c>
    </row>
    <row r="1728" spans="1:12" x14ac:dyDescent="0.2">
      <c r="A1728"/>
      <c r="B1728"/>
      <c r="C1728"/>
      <c r="D1728"/>
      <c r="E1728" s="2">
        <f>Comuni__2[[#This Row],[Popolazione2011]]/$D$7911</f>
        <v>2.6175016147346258E-4</v>
      </c>
      <c r="F1728">
        <f>SUMIFS($D$2:$D$7909, $B$2:$B$7909, "Friuli-Venezia Giulia")</f>
        <v>1220291</v>
      </c>
      <c r="G1728" s="1">
        <f>Comuni__2[[#This Row],[Popolazione2011]]/Comuni__2[[#This Row],[POPOLAZIONE TOTALE DI OGNI REGIONE (CON FILTRO)]]</f>
        <v>1.274614006003486E-2</v>
      </c>
      <c r="H1728" t="str">
        <f>IF(Comuni__2[[#This Row],[Popolazione2011]]&gt;300000,"MAGGIORE","")</f>
        <v/>
      </c>
      <c r="J1728">
        <v>0</v>
      </c>
      <c r="K1728">
        <v>3</v>
      </c>
      <c r="L1728">
        <v>0</v>
      </c>
    </row>
    <row r="1729" spans="1:12" x14ac:dyDescent="0.2">
      <c r="A1729"/>
      <c r="B1729"/>
      <c r="C1729"/>
      <c r="D1729"/>
      <c r="E1729" s="2">
        <f>Comuni__2[[#This Row],[Popolazione2011]]/$D$7911</f>
        <v>2.5665113235384966E-4</v>
      </c>
      <c r="F1729">
        <f>SUMIFS($D$2:$D$7909, $B$2:$B$7909, "Friuli-Venezia Giulia")</f>
        <v>1220291</v>
      </c>
      <c r="G1729" s="1">
        <f>Comuni__2[[#This Row],[Popolazione2011]]/Comuni__2[[#This Row],[POPOLAZIONE TOTALE DI OGNI REGIONE (CON FILTRO)]]</f>
        <v>1.2497838630293922E-2</v>
      </c>
      <c r="H1729" t="str">
        <f>IF(Comuni__2[[#This Row],[Popolazione2011]]&gt;300000,"MAGGIORE","")</f>
        <v/>
      </c>
      <c r="J1729">
        <v>3</v>
      </c>
      <c r="K1729">
        <v>3</v>
      </c>
      <c r="L1729">
        <v>0</v>
      </c>
    </row>
    <row r="1730" spans="1:12" x14ac:dyDescent="0.2">
      <c r="A1730"/>
      <c r="B1730"/>
      <c r="C1730"/>
      <c r="D1730"/>
      <c r="E1730" s="2">
        <f>Comuni__2[[#This Row],[Popolazione2011]]/$D$7911</f>
        <v>2.5261229740762163E-4</v>
      </c>
      <c r="F1730">
        <f>SUMIFS($D$2:$D$7909, $B$2:$B$7909, "Friuli-Venezia Giulia")</f>
        <v>1220291</v>
      </c>
      <c r="G1730" s="1">
        <f>Comuni__2[[#This Row],[Popolazione2011]]/Comuni__2[[#This Row],[POPOLAZIONE TOTALE DI OGNI REGIONE (CON FILTRO)]]</f>
        <v>1.2301164230499118E-2</v>
      </c>
      <c r="H1730" t="str">
        <f>IF(Comuni__2[[#This Row],[Popolazione2011]]&gt;300000,"MAGGIORE","")</f>
        <v/>
      </c>
      <c r="J1730">
        <v>3</v>
      </c>
      <c r="K1730">
        <v>3</v>
      </c>
      <c r="L1730">
        <v>0</v>
      </c>
    </row>
    <row r="1731" spans="1:12" x14ac:dyDescent="0.2">
      <c r="A1731"/>
      <c r="B1731"/>
      <c r="C1731"/>
      <c r="D1731"/>
      <c r="E1731" s="2">
        <f>Comuni__2[[#This Row],[Popolazione2011]]/$D$7911</f>
        <v>2.4000776667960159E-4</v>
      </c>
      <c r="F1731">
        <f>SUMIFS($D$2:$D$7909, $B$2:$B$7909, "Friuli-Venezia Giulia")</f>
        <v>1220291</v>
      </c>
      <c r="G1731" s="1">
        <f>Comuni__2[[#This Row],[Popolazione2011]]/Comuni__2[[#This Row],[POPOLAZIONE TOTALE DI OGNI REGIONE (CON FILTRO)]]</f>
        <v>1.1687376207806171E-2</v>
      </c>
      <c r="H1731" t="str">
        <f>IF(Comuni__2[[#This Row],[Popolazione2011]]&gt;300000,"MAGGIORE","")</f>
        <v/>
      </c>
      <c r="J1731">
        <v>3</v>
      </c>
      <c r="K1731">
        <v>3</v>
      </c>
      <c r="L1731">
        <v>0</v>
      </c>
    </row>
    <row r="1732" spans="1:12" x14ac:dyDescent="0.2">
      <c r="A1732"/>
      <c r="B1732"/>
      <c r="C1732"/>
      <c r="D1732"/>
      <c r="E1732" s="2">
        <f>Comuni__2[[#This Row],[Popolazione2011]]/$D$7911</f>
        <v>2.2965825212989223E-4</v>
      </c>
      <c r="F1732">
        <f>SUMIFS($D$2:$D$7909, $B$2:$B$7909, "Friuli-Venezia Giulia")</f>
        <v>1220291</v>
      </c>
      <c r="G1732" s="1">
        <f>Comuni__2[[#This Row],[Popolazione2011]]/Comuni__2[[#This Row],[POPOLAZIONE TOTALE DI OGNI REGIONE (CON FILTRO)]]</f>
        <v>1.1183398058331987E-2</v>
      </c>
      <c r="H1732" t="str">
        <f>IF(Comuni__2[[#This Row],[Popolazione2011]]&gt;300000,"MAGGIORE","")</f>
        <v/>
      </c>
      <c r="J1732">
        <v>10</v>
      </c>
      <c r="K1732">
        <v>3</v>
      </c>
      <c r="L1732">
        <v>0</v>
      </c>
    </row>
    <row r="1733" spans="1:12" x14ac:dyDescent="0.2">
      <c r="A1733"/>
      <c r="B1733"/>
      <c r="C1733"/>
      <c r="D1733"/>
      <c r="E1733" s="2">
        <f>Comuni__2[[#This Row],[Popolazione2011]]/$D$7911</f>
        <v>2.2565307414154943E-4</v>
      </c>
      <c r="F1733">
        <f>SUMIFS($D$2:$D$7909, $B$2:$B$7909, "Friuli-Venezia Giulia")</f>
        <v>1220291</v>
      </c>
      <c r="G1733" s="1">
        <f>Comuni__2[[#This Row],[Popolazione2011]]/Comuni__2[[#This Row],[POPOLAZIONE TOTALE DI OGNI REGIONE (CON FILTRO)]]</f>
        <v>1.0988362611868809E-2</v>
      </c>
      <c r="H1733" t="str">
        <f>IF(Comuni__2[[#This Row],[Popolazione2011]]&gt;300000,"MAGGIORE","")</f>
        <v/>
      </c>
      <c r="J1733">
        <v>18</v>
      </c>
      <c r="K1733">
        <v>3</v>
      </c>
      <c r="L1733">
        <v>0</v>
      </c>
    </row>
    <row r="1734" spans="1:12" x14ac:dyDescent="0.2">
      <c r="A1734"/>
      <c r="B1734"/>
      <c r="C1734"/>
      <c r="D1734"/>
      <c r="E1734" s="2">
        <f>Comuni__2[[#This Row],[Popolazione2011]]/$D$7911</f>
        <v>2.191404527907567E-4</v>
      </c>
      <c r="F1734">
        <f>SUMIFS($D$2:$D$7909, $B$2:$B$7909, "Friuli-Venezia Giulia")</f>
        <v>1220291</v>
      </c>
      <c r="G1734" s="1">
        <f>Comuni__2[[#This Row],[Popolazione2011]]/Comuni__2[[#This Row],[POPOLAZIONE TOTALE DI OGNI REGIONE (CON FILTRO)]]</f>
        <v>1.0671225142199689E-2</v>
      </c>
      <c r="H1734" t="str">
        <f>IF(Comuni__2[[#This Row],[Popolazione2011]]&gt;300000,"MAGGIORE","")</f>
        <v/>
      </c>
      <c r="J1734">
        <v>27</v>
      </c>
      <c r="K1734">
        <v>3</v>
      </c>
      <c r="L1734">
        <v>0</v>
      </c>
    </row>
    <row r="1735" spans="1:12" x14ac:dyDescent="0.2">
      <c r="A1735"/>
      <c r="B1735"/>
      <c r="C1735"/>
      <c r="D1735"/>
      <c r="E1735" s="2">
        <f>Comuni__2[[#This Row],[Popolazione2011]]/$D$7911</f>
        <v>2.0126860815369759E-4</v>
      </c>
      <c r="F1735">
        <f>SUMIFS($D$2:$D$7909, $B$2:$B$7909, "Friuli-Venezia Giulia")</f>
        <v>1220291</v>
      </c>
      <c r="G1735" s="1">
        <f>Comuni__2[[#This Row],[Popolazione2011]]/Comuni__2[[#This Row],[POPOLAZIONE TOTALE DI OGNI REGIONE (CON FILTRO)]]</f>
        <v>9.8009409231076851E-3</v>
      </c>
      <c r="H1735" t="str">
        <f>IF(Comuni__2[[#This Row],[Popolazione2011]]&gt;300000,"MAGGIORE","")</f>
        <v/>
      </c>
      <c r="J1735">
        <v>34</v>
      </c>
      <c r="K1735">
        <v>3</v>
      </c>
      <c r="L1735">
        <v>1</v>
      </c>
    </row>
    <row r="1736" spans="1:12" x14ac:dyDescent="0.2">
      <c r="A1736"/>
      <c r="B1736"/>
      <c r="C1736"/>
      <c r="D1736"/>
      <c r="E1736" s="2">
        <f>Comuni__2[[#This Row],[Popolazione2011]]/$D$7911</f>
        <v>2.0029255637502583E-4</v>
      </c>
      <c r="F1736">
        <f>SUMIFS($D$2:$D$7909, $B$2:$B$7909, "Friuli-Venezia Giulia")</f>
        <v>1220291</v>
      </c>
      <c r="G1736" s="1">
        <f>Comuni__2[[#This Row],[Popolazione2011]]/Comuni__2[[#This Row],[POPOLAZIONE TOTALE DI OGNI REGIONE (CON FILTRO)]]</f>
        <v>9.7534112764906082E-3</v>
      </c>
      <c r="H1736" t="str">
        <f>IF(Comuni__2[[#This Row],[Popolazione2011]]&gt;300000,"MAGGIORE","")</f>
        <v/>
      </c>
      <c r="J1736">
        <v>51</v>
      </c>
      <c r="K1736">
        <v>3</v>
      </c>
      <c r="L1736">
        <v>1</v>
      </c>
    </row>
    <row r="1737" spans="1:12" x14ac:dyDescent="0.2">
      <c r="A1737"/>
      <c r="B1737"/>
      <c r="C1737"/>
      <c r="D1737"/>
      <c r="E1737" s="2">
        <f>Comuni__2[[#This Row],[Popolazione2011]]/$D$7911</f>
        <v>1.9887896414384599E-4</v>
      </c>
      <c r="F1737">
        <f>SUMIFS($D$2:$D$7909, $B$2:$B$7909, "Friuli-Venezia Giulia")</f>
        <v>1220291</v>
      </c>
      <c r="G1737" s="1">
        <f>Comuni__2[[#This Row],[Popolazione2011]]/Comuni__2[[#This Row],[POPOLAZIONE TOTALE DI OGNI REGIONE (CON FILTRO)]]</f>
        <v>9.6845752365624267E-3</v>
      </c>
      <c r="H1737" t="str">
        <f>IF(Comuni__2[[#This Row],[Popolazione2011]]&gt;300000,"MAGGIORE","")</f>
        <v/>
      </c>
      <c r="J1737">
        <v>55</v>
      </c>
      <c r="K1737">
        <v>3</v>
      </c>
      <c r="L1737">
        <v>3</v>
      </c>
    </row>
    <row r="1738" spans="1:12" x14ac:dyDescent="0.2">
      <c r="A1738"/>
      <c r="B1738"/>
      <c r="C1738"/>
      <c r="D1738"/>
      <c r="E1738" s="2">
        <f>Comuni__2[[#This Row],[Popolazione2011]]/$D$7911</f>
        <v>1.9415016156097066E-4</v>
      </c>
      <c r="F1738">
        <f>SUMIFS($D$2:$D$7909, $B$2:$B$7909, "Friuli-Venezia Giulia")</f>
        <v>1220291</v>
      </c>
      <c r="G1738" s="1">
        <f>Comuni__2[[#This Row],[Popolazione2011]]/Comuni__2[[#This Row],[POPOLAZIONE TOTALE DI OGNI REGIONE (CON FILTRO)]]</f>
        <v>9.4543022934693438E-3</v>
      </c>
      <c r="H1738" t="str">
        <f>IF(Comuni__2[[#This Row],[Popolazione2011]]&gt;300000,"MAGGIORE","")</f>
        <v/>
      </c>
      <c r="J1738">
        <v>63</v>
      </c>
      <c r="K1738">
        <v>3</v>
      </c>
      <c r="L1738">
        <v>5</v>
      </c>
    </row>
    <row r="1739" spans="1:12" x14ac:dyDescent="0.2">
      <c r="A1739"/>
      <c r="B1739"/>
      <c r="C1739"/>
      <c r="D1739"/>
      <c r="E1739" s="2">
        <f>Comuni__2[[#This Row],[Popolazione2011]]/$D$7911</f>
        <v>1.932919091348972E-4</v>
      </c>
      <c r="F1739">
        <f>SUMIFS($D$2:$D$7909, $B$2:$B$7909, "Friuli-Venezia Giulia")</f>
        <v>1220291</v>
      </c>
      <c r="G1739" s="1">
        <f>Comuni__2[[#This Row],[Popolazione2011]]/Comuni__2[[#This Row],[POPOLAZIONE TOTALE DI OGNI REGIONE (CON FILTRO)]]</f>
        <v>9.4125089835129482E-3</v>
      </c>
      <c r="H1739" t="str">
        <f>IF(Comuni__2[[#This Row],[Popolazione2011]]&gt;300000,"MAGGIORE","")</f>
        <v/>
      </c>
      <c r="J1739">
        <v>65</v>
      </c>
      <c r="K1739">
        <v>11</v>
      </c>
      <c r="L1739">
        <v>6</v>
      </c>
    </row>
    <row r="1740" spans="1:12" x14ac:dyDescent="0.2">
      <c r="A1740"/>
      <c r="B1740"/>
      <c r="C1740"/>
      <c r="D1740"/>
      <c r="E1740" s="2">
        <f>Comuni__2[[#This Row],[Popolazione2011]]/$D$7911</f>
        <v>1.9147443340909457E-4</v>
      </c>
      <c r="F1740">
        <f>SUMIFS($D$2:$D$7909, $B$2:$B$7909, "Friuli-Venezia Giulia")</f>
        <v>1220291</v>
      </c>
      <c r="G1740" s="1">
        <f>Comuni__2[[#This Row],[Popolazione2011]]/Comuni__2[[#This Row],[POPOLAZIONE TOTALE DI OGNI REGIONE (CON FILTRO)]]</f>
        <v>9.3240055036052875E-3</v>
      </c>
      <c r="H1740" t="str">
        <f>IF(Comuni__2[[#This Row],[Popolazione2011]]&gt;300000,"MAGGIORE","")</f>
        <v/>
      </c>
      <c r="J1740">
        <v>85</v>
      </c>
      <c r="K1740">
        <v>19</v>
      </c>
      <c r="L1740">
        <v>6</v>
      </c>
    </row>
    <row r="1741" spans="1:12" x14ac:dyDescent="0.2">
      <c r="A1741"/>
      <c r="B1741"/>
      <c r="C1741"/>
      <c r="D1741"/>
      <c r="E1741" s="2">
        <f>Comuni__2[[#This Row],[Popolazione2011]]/$D$7911</f>
        <v>1.874860838996944E-4</v>
      </c>
      <c r="F1741">
        <f>SUMIFS($D$2:$D$7909, $B$2:$B$7909, "Friuli-Venezia Giulia")</f>
        <v>1220291</v>
      </c>
      <c r="G1741" s="1">
        <f>Comuni__2[[#This Row],[Popolazione2011]]/Comuni__2[[#This Row],[POPOLAZIONE TOTALE DI OGNI REGIONE (CON FILTRO)]]</f>
        <v>9.129789533807919E-3</v>
      </c>
      <c r="H1741" t="str">
        <f>IF(Comuni__2[[#This Row],[Popolazione2011]]&gt;300000,"MAGGIORE","")</f>
        <v/>
      </c>
      <c r="J1741">
        <v>105</v>
      </c>
      <c r="K1741">
        <v>19</v>
      </c>
      <c r="L1741">
        <v>9</v>
      </c>
    </row>
    <row r="1742" spans="1:12" x14ac:dyDescent="0.2">
      <c r="A1742"/>
      <c r="B1742"/>
      <c r="C1742"/>
      <c r="D1742"/>
      <c r="E1742" s="2">
        <f>Comuni__2[[#This Row],[Popolazione2011]]/$D$7911</f>
        <v>1.7787702242346017E-4</v>
      </c>
      <c r="F1742">
        <f>SUMIFS($D$2:$D$7909, $B$2:$B$7909, "Friuli-Venezia Giulia")</f>
        <v>1220291</v>
      </c>
      <c r="G1742" s="1">
        <f>Comuni__2[[#This Row],[Popolazione2011]]/Comuni__2[[#This Row],[POPOLAZIONE TOTALE DI OGNI REGIONE (CON FILTRO)]]</f>
        <v>8.66186835762945E-3</v>
      </c>
      <c r="H1742" t="str">
        <f>IF(Comuni__2[[#This Row],[Popolazione2011]]&gt;300000,"MAGGIORE","")</f>
        <v/>
      </c>
      <c r="J1742">
        <v>146</v>
      </c>
      <c r="K1742">
        <v>24</v>
      </c>
      <c r="L1742">
        <v>11</v>
      </c>
    </row>
    <row r="1743" spans="1:12" x14ac:dyDescent="0.2">
      <c r="A1743"/>
      <c r="B1743"/>
      <c r="C1743"/>
      <c r="D1743"/>
      <c r="E1743" s="2">
        <f>Comuni__2[[#This Row],[Popolazione2011]]/$D$7911</f>
        <v>1.5776699008703302E-4</v>
      </c>
      <c r="F1743">
        <f>SUMIFS($D$2:$D$7909, $B$2:$B$7909, "Friuli-Venezia Giulia")</f>
        <v>1220291</v>
      </c>
      <c r="G1743" s="1">
        <f>Comuni__2[[#This Row],[Popolazione2011]]/Comuni__2[[#This Row],[POPOLAZIONE TOTALE DI OGNI REGIONE (CON FILTRO)]]</f>
        <v>7.6825937419844935E-3</v>
      </c>
      <c r="H1743" t="str">
        <f>IF(Comuni__2[[#This Row],[Popolazione2011]]&gt;300000,"MAGGIORE","")</f>
        <v/>
      </c>
      <c r="J1743">
        <v>206</v>
      </c>
      <c r="K1743">
        <v>24</v>
      </c>
      <c r="L1743">
        <v>13</v>
      </c>
    </row>
    <row r="1744" spans="1:12" x14ac:dyDescent="0.2">
      <c r="A1744"/>
      <c r="B1744"/>
      <c r="C1744"/>
      <c r="D1744"/>
      <c r="E1744" s="2">
        <f>Comuni__2[[#This Row],[Popolazione2011]]/$D$7911</f>
        <v>1.5573074413497638E-4</v>
      </c>
      <c r="F1744">
        <f>SUMIFS($D$2:$D$7909, $B$2:$B$7909, "Friuli-Venezia Giulia")</f>
        <v>1220291</v>
      </c>
      <c r="G1744" s="1">
        <f>Comuni__2[[#This Row],[Popolazione2011]]/Comuni__2[[#This Row],[POPOLAZIONE TOTALE DI OGNI REGIONE (CON FILTRO)]]</f>
        <v>7.5834370654212805E-3</v>
      </c>
      <c r="H1744" t="str">
        <f>IF(Comuni__2[[#This Row],[Popolazione2011]]&gt;300000,"MAGGIORE","")</f>
        <v/>
      </c>
      <c r="J1744">
        <v>254</v>
      </c>
      <c r="K1744">
        <v>24</v>
      </c>
      <c r="L1744">
        <v>16</v>
      </c>
    </row>
    <row r="1745" spans="1:12" x14ac:dyDescent="0.2">
      <c r="A1745"/>
      <c r="B1745"/>
      <c r="C1745"/>
      <c r="D1745"/>
      <c r="E1745" s="2">
        <f>Comuni__2[[#This Row],[Popolazione2011]]/$D$7911</f>
        <v>1.5305501598310029E-4</v>
      </c>
      <c r="F1745">
        <f>SUMIFS($D$2:$D$7909, $B$2:$B$7909, "Friuli-Venezia Giulia")</f>
        <v>1220291</v>
      </c>
      <c r="G1745" s="1">
        <f>Comuni__2[[#This Row],[Popolazione2011]]/Comuni__2[[#This Row],[POPOLAZIONE TOTALE DI OGNI REGIONE (CON FILTRO)]]</f>
        <v>7.4531402755572233E-3</v>
      </c>
      <c r="H1745" t="str">
        <f>IF(Comuni__2[[#This Row],[Popolazione2011]]&gt;300000,"MAGGIORE","")</f>
        <v/>
      </c>
      <c r="J1745">
        <v>298</v>
      </c>
      <c r="K1745">
        <v>32</v>
      </c>
      <c r="L1745">
        <v>19</v>
      </c>
    </row>
    <row r="1746" spans="1:12" x14ac:dyDescent="0.2">
      <c r="A1746"/>
      <c r="B1746"/>
      <c r="C1746"/>
      <c r="D1746"/>
      <c r="E1746" s="2">
        <f>Comuni__2[[#This Row],[Popolazione2011]]/$D$7911</f>
        <v>1.5187702245711714E-4</v>
      </c>
      <c r="F1746">
        <f>SUMIFS($D$2:$D$7909, $B$2:$B$7909, "Friuli-Venezia Giulia")</f>
        <v>1220291</v>
      </c>
      <c r="G1746" s="1">
        <f>Comuni__2[[#This Row],[Popolazione2011]]/Comuni__2[[#This Row],[POPOLAZIONE TOTALE DI OGNI REGIONE (CON FILTRO)]]</f>
        <v>7.395776908950406E-3</v>
      </c>
      <c r="H1746" t="str">
        <f>IF(Comuni__2[[#This Row],[Popolazione2011]]&gt;300000,"MAGGIORE","")</f>
        <v/>
      </c>
      <c r="J1746">
        <v>358</v>
      </c>
      <c r="K1746">
        <v>34</v>
      </c>
      <c r="L1746">
        <v>23</v>
      </c>
    </row>
    <row r="1747" spans="1:12" x14ac:dyDescent="0.2">
      <c r="A1747"/>
      <c r="B1747"/>
      <c r="C1747"/>
      <c r="D1747"/>
      <c r="E1747" s="2">
        <f>Comuni__2[[#This Row],[Popolazione2011]]/$D$7911</f>
        <v>1.4448932020130832E-4</v>
      </c>
      <c r="F1747">
        <f>SUMIFS($D$2:$D$7909, $B$2:$B$7909, "Friuli-Venezia Giulia")</f>
        <v>1220291</v>
      </c>
      <c r="G1747" s="1">
        <f>Comuni__2[[#This Row],[Popolazione2011]]/Comuni__2[[#This Row],[POPOLAZIONE TOTALE DI OGNI REGIONE (CON FILTRO)]]</f>
        <v>7.0360266526590786E-3</v>
      </c>
      <c r="H1747" t="str">
        <f>IF(Comuni__2[[#This Row],[Popolazione2011]]&gt;300000,"MAGGIORE","")</f>
        <v/>
      </c>
      <c r="J1747">
        <v>418</v>
      </c>
      <c r="K1747">
        <v>42</v>
      </c>
      <c r="L1747">
        <v>32</v>
      </c>
    </row>
    <row r="1748" spans="1:12" x14ac:dyDescent="0.2">
      <c r="A1748"/>
      <c r="B1748"/>
      <c r="C1748"/>
      <c r="D1748"/>
      <c r="E1748" s="2">
        <f>Comuni__2[[#This Row],[Popolazione2011]]/$D$7911</f>
        <v>1.4240258881242384E-4</v>
      </c>
      <c r="F1748">
        <f>SUMIFS($D$2:$D$7909, $B$2:$B$7909, "Friuli-Venezia Giulia")</f>
        <v>1220291</v>
      </c>
      <c r="G1748" s="1">
        <f>Comuni__2[[#This Row],[Popolazione2011]]/Comuni__2[[#This Row],[POPOLAZIONE TOTALE DI OGNI REGIONE (CON FILTRO)]]</f>
        <v>6.9344115460984309E-3</v>
      </c>
      <c r="H1748" t="str">
        <f>IF(Comuni__2[[#This Row],[Popolazione2011]]&gt;300000,"MAGGIORE","")</f>
        <v/>
      </c>
      <c r="J1748">
        <v>471</v>
      </c>
      <c r="K1748">
        <v>44</v>
      </c>
      <c r="L1748">
        <v>38</v>
      </c>
    </row>
    <row r="1749" spans="1:12" x14ac:dyDescent="0.2">
      <c r="A1749"/>
      <c r="B1749"/>
      <c r="C1749"/>
      <c r="D1749"/>
      <c r="E1749" s="2">
        <f>Comuni__2[[#This Row],[Popolazione2011]]/$D$7911</f>
        <v>1.4221747554405505E-4</v>
      </c>
      <c r="F1749">
        <f>SUMIFS($D$2:$D$7909, $B$2:$B$7909, "Friuli-Venezia Giulia")</f>
        <v>1220291</v>
      </c>
      <c r="G1749" s="1">
        <f>Comuni__2[[#This Row],[Popolazione2011]]/Comuni__2[[#This Row],[POPOLAZIONE TOTALE DI OGNI REGIONE (CON FILTRO)]]</f>
        <v>6.9253973027745023E-3</v>
      </c>
      <c r="H1749" t="str">
        <f>IF(Comuni__2[[#This Row],[Popolazione2011]]&gt;300000,"MAGGIORE","")</f>
        <v/>
      </c>
      <c r="J1749">
        <v>584</v>
      </c>
      <c r="K1749">
        <v>53</v>
      </c>
      <c r="L1749">
        <v>43</v>
      </c>
    </row>
    <row r="1750" spans="1:12" x14ac:dyDescent="0.2">
      <c r="A1750"/>
      <c r="B1750"/>
      <c r="C1750"/>
      <c r="D1750"/>
      <c r="E1750" s="2">
        <f>Comuni__2[[#This Row],[Popolazione2011]]/$D$7911</f>
        <v>1.4203236227568625E-4</v>
      </c>
      <c r="F1750">
        <f>SUMIFS($D$2:$D$7909, $B$2:$B$7909, "Friuli-Venezia Giulia")</f>
        <v>1220291</v>
      </c>
      <c r="G1750" s="1">
        <f>Comuni__2[[#This Row],[Popolazione2011]]/Comuni__2[[#This Row],[POPOLAZIONE TOTALE DI OGNI REGIONE (CON FILTRO)]]</f>
        <v>6.9163830594505737E-3</v>
      </c>
      <c r="H1750" t="str">
        <f>IF(Comuni__2[[#This Row],[Popolazione2011]]&gt;300000,"MAGGIORE","")</f>
        <v/>
      </c>
      <c r="J1750">
        <v>661</v>
      </c>
      <c r="K1750">
        <v>54</v>
      </c>
      <c r="L1750">
        <v>50</v>
      </c>
    </row>
    <row r="1751" spans="1:12" x14ac:dyDescent="0.2">
      <c r="A1751"/>
      <c r="B1751"/>
      <c r="C1751"/>
      <c r="D1751"/>
      <c r="E1751" s="2">
        <f>Comuni__2[[#This Row],[Popolazione2011]]/$D$7911</f>
        <v>1.416789642178913E-4</v>
      </c>
      <c r="F1751">
        <f>SUMIFS($D$2:$D$7909, $B$2:$B$7909, "Friuli-Venezia Giulia")</f>
        <v>1220291</v>
      </c>
      <c r="G1751" s="1">
        <f>Comuni__2[[#This Row],[Popolazione2011]]/Comuni__2[[#This Row],[POPOLAZIONE TOTALE DI OGNI REGIONE (CON FILTRO)]]</f>
        <v>6.8991740494685283E-3</v>
      </c>
      <c r="H1751" t="str">
        <f>IF(Comuni__2[[#This Row],[Popolazione2011]]&gt;300000,"MAGGIORE","")</f>
        <v/>
      </c>
      <c r="J1751">
        <v>750</v>
      </c>
      <c r="K1751">
        <v>58</v>
      </c>
      <c r="L1751">
        <v>53</v>
      </c>
    </row>
    <row r="1752" spans="1:12" x14ac:dyDescent="0.2">
      <c r="A1752"/>
      <c r="B1752"/>
      <c r="C1752"/>
      <c r="D1752"/>
      <c r="E1752" s="2">
        <f>Comuni__2[[#This Row],[Popolazione2011]]/$D$7911</f>
        <v>1.3583948202480325E-4</v>
      </c>
      <c r="F1752">
        <f>SUMIFS($D$2:$D$7909, $B$2:$B$7909, "Friuli-Venezia Giulia")</f>
        <v>1220291</v>
      </c>
      <c r="G1752" s="1">
        <f>Comuni__2[[#This Row],[Popolazione2011]]/Comuni__2[[#This Row],[POPOLAZIONE TOTALE DI OGNI REGIONE (CON FILTRO)]]</f>
        <v>6.6148156464318755E-3</v>
      </c>
      <c r="H1752" t="str">
        <f>IF(Comuni__2[[#This Row],[Popolazione2011]]&gt;300000,"MAGGIORE","")</f>
        <v/>
      </c>
      <c r="J1752">
        <v>814</v>
      </c>
      <c r="K1752">
        <v>63</v>
      </c>
      <c r="L1752">
        <v>63</v>
      </c>
    </row>
    <row r="1753" spans="1:12" x14ac:dyDescent="0.2">
      <c r="A1753"/>
      <c r="B1753"/>
      <c r="C1753"/>
      <c r="D1753"/>
      <c r="E1753" s="2">
        <f>Comuni__2[[#This Row],[Popolazione2011]]/$D$7911</f>
        <v>1.3198576034694401E-4</v>
      </c>
      <c r="F1753">
        <f>SUMIFS($D$2:$D$7909, $B$2:$B$7909, "Friuli-Venezia Giulia")</f>
        <v>1220291</v>
      </c>
      <c r="G1753" s="1">
        <f>Comuni__2[[#This Row],[Popolazione2011]]/Comuni__2[[#This Row],[POPOLAZIONE TOTALE DI OGNI REGIONE (CON FILTRO)]]</f>
        <v>6.427155489961001E-3</v>
      </c>
      <c r="H1753" t="str">
        <f>IF(Comuni__2[[#This Row],[Popolazione2011]]&gt;300000,"MAGGIORE","")</f>
        <v/>
      </c>
      <c r="J1753">
        <v>841</v>
      </c>
      <c r="K1753">
        <v>103</v>
      </c>
      <c r="L1753">
        <v>80</v>
      </c>
    </row>
    <row r="1754" spans="1:12" x14ac:dyDescent="0.2">
      <c r="A1754"/>
      <c r="B1754"/>
      <c r="C1754"/>
      <c r="D1754"/>
      <c r="E1754" s="2">
        <f>Comuni__2[[#This Row],[Popolazione2011]]/$D$7911</f>
        <v>1.2925954675824006E-4</v>
      </c>
      <c r="F1754">
        <f>SUMIFS($D$2:$D$7909, $B$2:$B$7909, "Friuli-Venezia Giulia")</f>
        <v>1220291</v>
      </c>
      <c r="G1754" s="1">
        <f>Comuni__2[[#This Row],[Popolazione2011]]/Comuni__2[[#This Row],[POPOLAZIONE TOTALE DI OGNI REGIONE (CON FILTRO)]]</f>
        <v>6.2944002700995091E-3</v>
      </c>
      <c r="H1754" t="str">
        <f>IF(Comuni__2[[#This Row],[Popolazione2011]]&gt;300000,"MAGGIORE","")</f>
        <v/>
      </c>
      <c r="J1754">
        <v>906</v>
      </c>
      <c r="K1754">
        <v>131</v>
      </c>
      <c r="L1754">
        <v>95</v>
      </c>
    </row>
    <row r="1755" spans="1:12" x14ac:dyDescent="0.2">
      <c r="A1755"/>
      <c r="B1755"/>
      <c r="C1755"/>
      <c r="D1755"/>
      <c r="E1755" s="2">
        <f>Comuni__2[[#This Row],[Popolazione2011]]/$D$7911</f>
        <v>1.2922588980035483E-4</v>
      </c>
      <c r="F1755">
        <f>SUMIFS($D$2:$D$7909, $B$2:$B$7909, "Friuli-Venezia Giulia")</f>
        <v>1220291</v>
      </c>
      <c r="G1755" s="1">
        <f>Comuni__2[[#This Row],[Popolazione2011]]/Comuni__2[[#This Row],[POPOLAZIONE TOTALE DI OGNI REGIONE (CON FILTRO)]]</f>
        <v>6.2927613167678854E-3</v>
      </c>
      <c r="H1755" t="str">
        <f>IF(Comuni__2[[#This Row],[Popolazione2011]]&gt;300000,"MAGGIORE","")</f>
        <v/>
      </c>
      <c r="J1755">
        <v>991</v>
      </c>
      <c r="K1755">
        <v>155</v>
      </c>
      <c r="L1755">
        <v>106</v>
      </c>
    </row>
    <row r="1756" spans="1:12" x14ac:dyDescent="0.2">
      <c r="A1756"/>
      <c r="B1756"/>
      <c r="C1756"/>
      <c r="D1756"/>
      <c r="E1756" s="2">
        <f>Comuni__2[[#This Row],[Popolazione2011]]/$D$7911</f>
        <v>1.2804789627437164E-4</v>
      </c>
      <c r="F1756">
        <f>SUMIFS($D$2:$D$7909, $B$2:$B$7909, "Friuli-Venezia Giulia")</f>
        <v>1220291</v>
      </c>
      <c r="G1756" s="1">
        <f>Comuni__2[[#This Row],[Popolazione2011]]/Comuni__2[[#This Row],[POPOLAZIONE TOTALE DI OGNI REGIONE (CON FILTRO)]]</f>
        <v>6.235397950161068E-3</v>
      </c>
      <c r="H1756" t="str">
        <f>IF(Comuni__2[[#This Row],[Popolazione2011]]&gt;300000,"MAGGIORE","")</f>
        <v/>
      </c>
      <c r="J1756">
        <v>1118</v>
      </c>
      <c r="K1756">
        <v>164</v>
      </c>
      <c r="L1756">
        <v>118</v>
      </c>
    </row>
    <row r="1757" spans="1:12" x14ac:dyDescent="0.2">
      <c r="A1757"/>
      <c r="B1757"/>
      <c r="C1757"/>
      <c r="D1757"/>
      <c r="E1757" s="2">
        <f>Comuni__2[[#This Row],[Popolazione2011]]/$D$7911</f>
        <v>1.2693721666415895E-4</v>
      </c>
      <c r="F1757">
        <f>SUMIFS($D$2:$D$7909, $B$2:$B$7909, "Friuli-Venezia Giulia")</f>
        <v>1220291</v>
      </c>
      <c r="G1757" s="1">
        <f>Comuni__2[[#This Row],[Popolazione2011]]/Comuni__2[[#This Row],[POPOLAZIONE TOTALE DI OGNI REGIONE (CON FILTRO)]]</f>
        <v>6.1813124902174972E-3</v>
      </c>
      <c r="H1757" t="str">
        <f>IF(Comuni__2[[#This Row],[Popolazione2011]]&gt;300000,"MAGGIORE","")</f>
        <v/>
      </c>
      <c r="J1757">
        <v>1118</v>
      </c>
      <c r="K1757">
        <v>200</v>
      </c>
      <c r="L1757">
        <v>124</v>
      </c>
    </row>
    <row r="1758" spans="1:12" x14ac:dyDescent="0.2">
      <c r="A1758"/>
      <c r="B1758"/>
      <c r="C1758"/>
      <c r="D1758"/>
      <c r="E1758" s="2">
        <f>Comuni__2[[#This Row],[Popolazione2011]]/$D$7911</f>
        <v>1.2114821990789875E-4</v>
      </c>
      <c r="F1758">
        <f>SUMIFS($D$2:$D$7909, $B$2:$B$7909, "Friuli-Venezia Giulia")</f>
        <v>1220291</v>
      </c>
      <c r="G1758" s="1">
        <f>Comuni__2[[#This Row],[Popolazione2011]]/Comuni__2[[#This Row],[POPOLAZIONE TOTALE DI OGNI REGIONE (CON FILTRO)]]</f>
        <v>5.8994125171782799E-3</v>
      </c>
      <c r="H1758" t="str">
        <f>IF(Comuni__2[[#This Row],[Popolazione2011]]&gt;300000,"MAGGIORE","")</f>
        <v/>
      </c>
      <c r="J1758">
        <v>1195</v>
      </c>
      <c r="K1758">
        <v>208</v>
      </c>
      <c r="L1758">
        <v>136</v>
      </c>
    </row>
    <row r="1759" spans="1:12" x14ac:dyDescent="0.2">
      <c r="A1759"/>
      <c r="B1759"/>
      <c r="C1759"/>
      <c r="D1759"/>
      <c r="E1759" s="2">
        <f>Comuni__2[[#This Row],[Popolazione2011]]/$D$7911</f>
        <v>1.1577993512520397E-4</v>
      </c>
      <c r="F1759">
        <f>SUMIFS($D$2:$D$7909, $B$2:$B$7909, "Friuli-Venezia Giulia")</f>
        <v>1220291</v>
      </c>
      <c r="G1759" s="1">
        <f>Comuni__2[[#This Row],[Popolazione2011]]/Comuni__2[[#This Row],[POPOLAZIONE TOTALE DI OGNI REGIONE (CON FILTRO)]]</f>
        <v>5.6379994607843537E-3</v>
      </c>
      <c r="H1759" t="str">
        <f>IF(Comuni__2[[#This Row],[Popolazione2011]]&gt;300000,"MAGGIORE","")</f>
        <v/>
      </c>
      <c r="J1759">
        <v>1233</v>
      </c>
      <c r="K1759">
        <v>267</v>
      </c>
      <c r="L1759">
        <v>150</v>
      </c>
    </row>
    <row r="1760" spans="1:12" x14ac:dyDescent="0.2">
      <c r="A1760"/>
      <c r="B1760"/>
      <c r="C1760"/>
      <c r="D1760"/>
      <c r="E1760" s="2">
        <f>Comuni__2[[#This Row],[Popolazione2011]]/$D$7911</f>
        <v>1.1436634289402415E-4</v>
      </c>
      <c r="F1760">
        <f>SUMIFS($D$2:$D$7909, $B$2:$B$7909, "Friuli-Venezia Giulia")</f>
        <v>1220291</v>
      </c>
      <c r="G1760" s="1">
        <f>Comuni__2[[#This Row],[Popolazione2011]]/Comuni__2[[#This Row],[POPOLAZIONE TOTALE DI OGNI REGIONE (CON FILTRO)]]</f>
        <v>5.5691634208561731E-3</v>
      </c>
      <c r="H1760" t="str">
        <f>IF(Comuni__2[[#This Row],[Popolazione2011]]&gt;300000,"MAGGIORE","")</f>
        <v/>
      </c>
      <c r="J1760">
        <v>1300</v>
      </c>
      <c r="K1760">
        <v>291</v>
      </c>
      <c r="L1760">
        <v>162</v>
      </c>
    </row>
    <row r="1761" spans="1:12" x14ac:dyDescent="0.2">
      <c r="A1761"/>
      <c r="B1761"/>
      <c r="C1761"/>
      <c r="D1761"/>
      <c r="E1761" s="2">
        <f>Comuni__2[[#This Row],[Popolazione2011]]/$D$7911</f>
        <v>1.115223299527219E-4</v>
      </c>
      <c r="F1761">
        <f>SUMIFS($D$2:$D$7909, $B$2:$B$7909, "Friuli-Venezia Giulia")</f>
        <v>1220291</v>
      </c>
      <c r="G1761" s="1">
        <f>Comuni__2[[#This Row],[Popolazione2011]]/Comuni__2[[#This Row],[POPOLAZIONE TOTALE DI OGNI REGIONE (CON FILTRO)]]</f>
        <v>5.4306718643339991E-3</v>
      </c>
      <c r="H1761" t="str">
        <f>IF(Comuni__2[[#This Row],[Popolazione2011]]&gt;300000,"MAGGIORE","")</f>
        <v/>
      </c>
      <c r="J1761">
        <v>1308</v>
      </c>
      <c r="K1761">
        <v>337</v>
      </c>
      <c r="L1761">
        <v>169</v>
      </c>
    </row>
    <row r="1762" spans="1:12" x14ac:dyDescent="0.2">
      <c r="A1762"/>
      <c r="B1762"/>
      <c r="C1762"/>
      <c r="D1762"/>
      <c r="E1762" s="2">
        <f>Comuni__2[[#This Row],[Popolazione2011]]/$D$7911</f>
        <v>1.1074821992136152E-4</v>
      </c>
      <c r="F1762">
        <f>SUMIFS($D$2:$D$7909, $B$2:$B$7909, "Friuli-Venezia Giulia")</f>
        <v>1220291</v>
      </c>
      <c r="G1762" s="1">
        <f>Comuni__2[[#This Row],[Popolazione2011]]/Comuni__2[[#This Row],[POPOLAZIONE TOTALE DI OGNI REGIONE (CON FILTRO)]]</f>
        <v>5.3929759377066618E-3</v>
      </c>
      <c r="H1762" t="str">
        <f>IF(Comuni__2[[#This Row],[Popolazione2011]]&gt;300000,"MAGGIORE","")</f>
        <v/>
      </c>
      <c r="J1762">
        <v>1350</v>
      </c>
      <c r="K1762">
        <v>369</v>
      </c>
      <c r="L1762">
        <v>185</v>
      </c>
    </row>
    <row r="1763" spans="1:12" x14ac:dyDescent="0.2">
      <c r="A1763"/>
      <c r="B1763"/>
      <c r="C1763"/>
      <c r="D1763"/>
      <c r="E1763" s="2">
        <f>Comuni__2[[#This Row],[Popolazione2011]]/$D$7911</f>
        <v>1.0985631053740284E-4</v>
      </c>
      <c r="F1763">
        <f>SUMIFS($D$2:$D$7909, $B$2:$B$7909, "Friuli-Venezia Giulia")</f>
        <v>1220291</v>
      </c>
      <c r="G1763" s="1">
        <f>Comuni__2[[#This Row],[Popolazione2011]]/Comuni__2[[#This Row],[POPOLAZIONE TOTALE DI OGNI REGIONE (CON FILTRO)]]</f>
        <v>5.3495436744186425E-3</v>
      </c>
      <c r="H1763" t="str">
        <f>IF(Comuni__2[[#This Row],[Popolazione2011]]&gt;300000,"MAGGIORE","")</f>
        <v/>
      </c>
      <c r="J1763">
        <v>1382</v>
      </c>
      <c r="K1763">
        <v>392</v>
      </c>
      <c r="L1763">
        <v>199</v>
      </c>
    </row>
    <row r="1764" spans="1:12" x14ac:dyDescent="0.2">
      <c r="A1764"/>
      <c r="B1764"/>
      <c r="C1764"/>
      <c r="D1764"/>
      <c r="E1764" s="2">
        <f>Comuni__2[[#This Row],[Popolazione2011]]/$D$7911</f>
        <v>1.0945242704278003E-4</v>
      </c>
      <c r="F1764">
        <f>SUMIFS($D$2:$D$7909, $B$2:$B$7909, "Friuli-Venezia Giulia")</f>
        <v>1220291</v>
      </c>
      <c r="G1764" s="1">
        <f>Comuni__2[[#This Row],[Popolazione2011]]/Comuni__2[[#This Row],[POPOLAZIONE TOTALE DI OGNI REGIONE (CON FILTRO)]]</f>
        <v>5.3298762344391624E-3</v>
      </c>
      <c r="H1764" t="str">
        <f>IF(Comuni__2[[#This Row],[Popolazione2011]]&gt;300000,"MAGGIORE","")</f>
        <v/>
      </c>
      <c r="J1764">
        <v>1429</v>
      </c>
      <c r="K1764">
        <v>439</v>
      </c>
      <c r="L1764">
        <v>212</v>
      </c>
    </row>
    <row r="1765" spans="1:12" x14ac:dyDescent="0.2">
      <c r="A1765"/>
      <c r="B1765"/>
      <c r="C1765"/>
      <c r="D1765"/>
      <c r="E1765" s="2">
        <f>Comuni__2[[#This Row],[Popolazione2011]]/$D$7911</f>
        <v>1.0849320374305087E-4</v>
      </c>
      <c r="F1765">
        <f>SUMIFS($D$2:$D$7909, $B$2:$B$7909, "Friuli-Venezia Giulia")</f>
        <v>1220291</v>
      </c>
      <c r="G1765" s="1">
        <f>Comuni__2[[#This Row],[Popolazione2011]]/Comuni__2[[#This Row],[POPOLAZIONE TOTALE DI OGNI REGIONE (CON FILTRO)]]</f>
        <v>5.2831660644878965E-3</v>
      </c>
      <c r="H1765" t="str">
        <f>IF(Comuni__2[[#This Row],[Popolazione2011]]&gt;300000,"MAGGIORE","")</f>
        <v/>
      </c>
      <c r="J1765">
        <v>1432</v>
      </c>
      <c r="K1765">
        <v>475</v>
      </c>
      <c r="L1765">
        <v>219</v>
      </c>
    </row>
    <row r="1766" spans="1:12" x14ac:dyDescent="0.2">
      <c r="A1766"/>
      <c r="B1766"/>
      <c r="C1766"/>
      <c r="D1766"/>
      <c r="E1766" s="2">
        <f>Comuni__2[[#This Row],[Popolazione2011]]/$D$7911</f>
        <v>1.0783689306428881E-4</v>
      </c>
      <c r="F1766">
        <f>SUMIFS($D$2:$D$7909, $B$2:$B$7909, "Friuli-Venezia Giulia")</f>
        <v>1220291</v>
      </c>
      <c r="G1766" s="1">
        <f>Comuni__2[[#This Row],[Popolazione2011]]/Comuni__2[[#This Row],[POPOLAZIONE TOTALE DI OGNI REGIONE (CON FILTRO)]]</f>
        <v>5.2512064745212413E-3</v>
      </c>
      <c r="H1766" t="str">
        <f>IF(Comuni__2[[#This Row],[Popolazione2011]]&gt;300000,"MAGGIORE","")</f>
        <v/>
      </c>
      <c r="J1766">
        <v>1432</v>
      </c>
      <c r="K1766">
        <v>502</v>
      </c>
      <c r="L1766">
        <v>229</v>
      </c>
    </row>
    <row r="1767" spans="1:12" x14ac:dyDescent="0.2">
      <c r="A1767"/>
      <c r="B1767"/>
      <c r="C1767"/>
      <c r="D1767"/>
      <c r="E1767" s="2">
        <f>Comuni__2[[#This Row],[Popolazione2011]]/$D$7911</f>
        <v>1.0775275066957573E-4</v>
      </c>
      <c r="F1767">
        <f>SUMIFS($D$2:$D$7909, $B$2:$B$7909, "Friuli-Venezia Giulia")</f>
        <v>1220291</v>
      </c>
      <c r="G1767" s="1">
        <f>Comuni__2[[#This Row],[Popolazione2011]]/Comuni__2[[#This Row],[POPOLAZIONE TOTALE DI OGNI REGIONE (CON FILTRO)]]</f>
        <v>5.2471090911921829E-3</v>
      </c>
      <c r="H1767" t="str">
        <f>IF(Comuni__2[[#This Row],[Popolazione2011]]&gt;300000,"MAGGIORE","")</f>
        <v/>
      </c>
      <c r="J1767">
        <v>1421</v>
      </c>
      <c r="K1767">
        <v>546</v>
      </c>
      <c r="L1767">
        <v>238</v>
      </c>
    </row>
    <row r="1768" spans="1:12" x14ac:dyDescent="0.2">
      <c r="A1768"/>
      <c r="B1768"/>
      <c r="C1768"/>
      <c r="D1768"/>
      <c r="E1768" s="2">
        <f>Comuni__2[[#This Row],[Popolazione2011]]/$D$7911</f>
        <v>1.0633915843839591E-4</v>
      </c>
      <c r="F1768">
        <f>SUMIFS($D$2:$D$7909, $B$2:$B$7909, "Friuli-Venezia Giulia")</f>
        <v>1220291</v>
      </c>
      <c r="G1768" s="1">
        <f>Comuni__2[[#This Row],[Popolazione2011]]/Comuni__2[[#This Row],[POPOLAZIONE TOTALE DI OGNI REGIONE (CON FILTRO)]]</f>
        <v>5.1782730512640015E-3</v>
      </c>
      <c r="H1768" t="str">
        <f>IF(Comuni__2[[#This Row],[Popolazione2011]]&gt;300000,"MAGGIORE","")</f>
        <v/>
      </c>
      <c r="J1768">
        <v>1437</v>
      </c>
      <c r="K1768">
        <v>574</v>
      </c>
      <c r="L1768">
        <v>244</v>
      </c>
    </row>
    <row r="1769" spans="1:12" x14ac:dyDescent="0.2">
      <c r="A1769"/>
      <c r="B1769"/>
      <c r="C1769"/>
      <c r="D1769"/>
      <c r="E1769" s="2">
        <f>Comuni__2[[#This Row],[Popolazione2011]]/$D$7911</f>
        <v>1.0617087364896975E-4</v>
      </c>
      <c r="F1769">
        <f>SUMIFS($D$2:$D$7909, $B$2:$B$7909, "Friuli-Venezia Giulia")</f>
        <v>1220291</v>
      </c>
      <c r="G1769" s="1">
        <f>Comuni__2[[#This Row],[Popolazione2011]]/Comuni__2[[#This Row],[POPOLAZIONE TOTALE DI OGNI REGIONE (CON FILTRO)]]</f>
        <v>5.1700782846058847E-3</v>
      </c>
      <c r="H1769" t="str">
        <f>IF(Comuni__2[[#This Row],[Popolazione2011]]&gt;300000,"MAGGIORE","")</f>
        <v/>
      </c>
      <c r="J1769">
        <v>1442</v>
      </c>
      <c r="K1769">
        <v>644</v>
      </c>
      <c r="L1769">
        <v>253</v>
      </c>
    </row>
    <row r="1770" spans="1:12" x14ac:dyDescent="0.2">
      <c r="A1770"/>
      <c r="B1770"/>
      <c r="C1770"/>
      <c r="D1770"/>
      <c r="E1770" s="2">
        <f>Comuni__2[[#This Row],[Popolazione2011]]/$D$7911</f>
        <v>1.0566601928069123E-4</v>
      </c>
      <c r="F1770">
        <f>SUMIFS($D$2:$D$7909, $B$2:$B$7909, "Friuli-Venezia Giulia")</f>
        <v>1220291</v>
      </c>
      <c r="G1770" s="1">
        <f>Comuni__2[[#This Row],[Popolazione2011]]/Comuni__2[[#This Row],[POPOLAZIONE TOTALE DI OGNI REGIONE (CON FILTRO)]]</f>
        <v>5.1454939846315344E-3</v>
      </c>
      <c r="H1770" t="str">
        <f>IF(Comuni__2[[#This Row],[Popolazione2011]]&gt;300000,"MAGGIORE","")</f>
        <v/>
      </c>
      <c r="J1770">
        <v>1437</v>
      </c>
      <c r="K1770">
        <v>687</v>
      </c>
      <c r="L1770">
        <v>263</v>
      </c>
    </row>
    <row r="1771" spans="1:12" x14ac:dyDescent="0.2">
      <c r="A1771"/>
      <c r="B1771"/>
      <c r="C1771"/>
      <c r="D1771"/>
      <c r="E1771" s="2">
        <f>Comuni__2[[#This Row],[Popolazione2011]]/$D$7911</f>
        <v>1.029398056919873E-4</v>
      </c>
      <c r="F1771">
        <f>SUMIFS($D$2:$D$7909, $B$2:$B$7909, "Friuli-Venezia Giulia")</f>
        <v>1220291</v>
      </c>
      <c r="G1771" s="1">
        <f>Comuni__2[[#This Row],[Popolazione2011]]/Comuni__2[[#This Row],[POPOLAZIONE TOTALE DI OGNI REGIONE (CON FILTRO)]]</f>
        <v>5.0127387647700425E-3</v>
      </c>
      <c r="H1771" t="str">
        <f>IF(Comuni__2[[#This Row],[Popolazione2011]]&gt;300000,"MAGGIORE","")</f>
        <v/>
      </c>
      <c r="J1771">
        <v>1467</v>
      </c>
      <c r="K1771">
        <v>720</v>
      </c>
      <c r="L1771">
        <v>273</v>
      </c>
    </row>
    <row r="1772" spans="1:12" x14ac:dyDescent="0.2">
      <c r="A1772"/>
      <c r="B1772"/>
      <c r="C1772"/>
      <c r="D1772"/>
      <c r="E1772" s="2">
        <f>Comuni__2[[#This Row],[Popolazione2011]]/$D$7911</f>
        <v>1.0208155326591385E-4</v>
      </c>
      <c r="F1772">
        <f>SUMIFS($D$2:$D$7909, $B$2:$B$7909, "Friuli-Venezia Giulia")</f>
        <v>1220291</v>
      </c>
      <c r="G1772" s="1">
        <f>Comuni__2[[#This Row],[Popolazione2011]]/Comuni__2[[#This Row],[POPOLAZIONE TOTALE DI OGNI REGIONE (CON FILTRO)]]</f>
        <v>4.9709454548136469E-3</v>
      </c>
      <c r="H1772" t="str">
        <f>IF(Comuni__2[[#This Row],[Popolazione2011]]&gt;300000,"MAGGIORE","")</f>
        <v/>
      </c>
      <c r="J1772">
        <v>1469</v>
      </c>
      <c r="K1772">
        <v>749</v>
      </c>
      <c r="L1772">
        <v>279</v>
      </c>
    </row>
    <row r="1773" spans="1:12" x14ac:dyDescent="0.2">
      <c r="A1773"/>
      <c r="B1773"/>
      <c r="C1773"/>
      <c r="D1773"/>
      <c r="E1773" s="2">
        <f>Comuni__2[[#This Row],[Popolazione2011]]/$D$7911</f>
        <v>1.018291260817746E-4</v>
      </c>
      <c r="F1773">
        <f>SUMIFS($D$2:$D$7909, $B$2:$B$7909, "Friuli-Venezia Giulia")</f>
        <v>1220291</v>
      </c>
      <c r="G1773" s="1">
        <f>Comuni__2[[#This Row],[Popolazione2011]]/Comuni__2[[#This Row],[POPOLAZIONE TOTALE DI OGNI REGIONE (CON FILTRO)]]</f>
        <v>4.9586533048264717E-3</v>
      </c>
      <c r="H1773" t="str">
        <f>IF(Comuni__2[[#This Row],[Popolazione2011]]&gt;300000,"MAGGIORE","")</f>
        <v/>
      </c>
      <c r="J1773">
        <v>1514</v>
      </c>
      <c r="K1773">
        <v>764</v>
      </c>
      <c r="L1773">
        <v>284</v>
      </c>
    </row>
    <row r="1774" spans="1:12" x14ac:dyDescent="0.2">
      <c r="A1774"/>
      <c r="B1774"/>
      <c r="C1774"/>
      <c r="D1774"/>
      <c r="E1774" s="2">
        <f>Comuni__2[[#This Row],[Popolazione2011]]/$D$7911</f>
        <v>9.9489967508750845E-5</v>
      </c>
      <c r="F1774">
        <f>SUMIFS($D$2:$D$7909, $B$2:$B$7909, "Friuli-Venezia Giulia")</f>
        <v>1220291</v>
      </c>
      <c r="G1774" s="1">
        <f>Comuni__2[[#This Row],[Popolazione2011]]/Comuni__2[[#This Row],[POPOLAZIONE TOTALE DI OGNI REGIONE (CON FILTRO)]]</f>
        <v>4.844746048278648E-3</v>
      </c>
      <c r="H1774" t="str">
        <f>IF(Comuni__2[[#This Row],[Popolazione2011]]&gt;300000,"MAGGIORE","")</f>
        <v/>
      </c>
      <c r="J1774">
        <v>1543</v>
      </c>
      <c r="K1774">
        <v>789</v>
      </c>
      <c r="L1774">
        <v>300</v>
      </c>
    </row>
    <row r="1775" spans="1:12" x14ac:dyDescent="0.2">
      <c r="A1775"/>
      <c r="B1775"/>
      <c r="C1775"/>
      <c r="D1775"/>
      <c r="E1775" s="2">
        <f>Comuni__2[[#This Row],[Popolazione2011]]/$D$7911</f>
        <v>9.7251779809382806E-5</v>
      </c>
      <c r="F1775">
        <f>SUMIFS($D$2:$D$7909, $B$2:$B$7909, "Friuli-Venezia Giulia")</f>
        <v>1220291</v>
      </c>
      <c r="G1775" s="1">
        <f>Comuni__2[[#This Row],[Popolazione2011]]/Comuni__2[[#This Row],[POPOLAZIONE TOTALE DI OGNI REGIONE (CON FILTRO)]]</f>
        <v>4.7357556517256946E-3</v>
      </c>
      <c r="H1775" t="str">
        <f>IF(Comuni__2[[#This Row],[Popolazione2011]]&gt;300000,"MAGGIORE","")</f>
        <v/>
      </c>
      <c r="J1775">
        <v>1538</v>
      </c>
      <c r="K1775">
        <v>874</v>
      </c>
      <c r="L1775">
        <v>311</v>
      </c>
    </row>
    <row r="1776" spans="1:12" x14ac:dyDescent="0.2">
      <c r="A1776"/>
      <c r="B1776"/>
      <c r="C1776"/>
      <c r="D1776"/>
      <c r="E1776" s="2">
        <f>Comuni__2[[#This Row],[Popolazione2011]]/$D$7911</f>
        <v>9.5888673015030845E-5</v>
      </c>
      <c r="F1776">
        <f>SUMIFS($D$2:$D$7909, $B$2:$B$7909, "Friuli-Venezia Giulia")</f>
        <v>1220291</v>
      </c>
      <c r="G1776" s="1">
        <f>Comuni__2[[#This Row],[Popolazione2011]]/Comuni__2[[#This Row],[POPOLAZIONE TOTALE DI OGNI REGIONE (CON FILTRO)]]</f>
        <v>4.6693780417949486E-3</v>
      </c>
      <c r="H1776" t="str">
        <f>IF(Comuni__2[[#This Row],[Popolazione2011]]&gt;300000,"MAGGIORE","")</f>
        <v/>
      </c>
      <c r="J1776">
        <v>1544</v>
      </c>
      <c r="K1776">
        <v>920</v>
      </c>
      <c r="L1776">
        <v>316</v>
      </c>
    </row>
    <row r="1777" spans="1:12" x14ac:dyDescent="0.2">
      <c r="A1777"/>
      <c r="B1777"/>
      <c r="C1777"/>
      <c r="D1777"/>
      <c r="E1777" s="2">
        <f>Comuni__2[[#This Row],[Popolazione2011]]/$D$7911</f>
        <v>9.3768284668261119E-5</v>
      </c>
      <c r="F1777">
        <f>SUMIFS($D$2:$D$7909, $B$2:$B$7909, "Friuli-Venezia Giulia")</f>
        <v>1220291</v>
      </c>
      <c r="G1777" s="1">
        <f>Comuni__2[[#This Row],[Popolazione2011]]/Comuni__2[[#This Row],[POPOLAZIONE TOTALE DI OGNI REGIONE (CON FILTRO)]]</f>
        <v>4.5661239819026773E-3</v>
      </c>
      <c r="H1777" t="str">
        <f>IF(Comuni__2[[#This Row],[Popolazione2011]]&gt;300000,"MAGGIORE","")</f>
        <v/>
      </c>
      <c r="J1777">
        <v>1519</v>
      </c>
      <c r="K1777">
        <v>978</v>
      </c>
      <c r="L1777">
        <v>332</v>
      </c>
    </row>
    <row r="1778" spans="1:12" x14ac:dyDescent="0.2">
      <c r="A1778"/>
      <c r="B1778"/>
      <c r="C1778"/>
      <c r="D1778"/>
      <c r="E1778" s="2">
        <f>Comuni__2[[#This Row],[Popolazione2011]]/$D$7911</f>
        <v>9.1025242600614568E-5</v>
      </c>
      <c r="F1778">
        <f>SUMIFS($D$2:$D$7909, $B$2:$B$7909, "Friuli-Venezia Giulia")</f>
        <v>1220291</v>
      </c>
      <c r="G1778" s="1">
        <f>Comuni__2[[#This Row],[Popolazione2011]]/Comuni__2[[#This Row],[POPOLAZIONE TOTALE DI OGNI REGIONE (CON FILTRO)]]</f>
        <v>4.4325492853753735E-3</v>
      </c>
      <c r="H1778" t="str">
        <f>IF(Comuni__2[[#This Row],[Popolazione2011]]&gt;300000,"MAGGIORE","")</f>
        <v/>
      </c>
      <c r="J1778">
        <v>1562</v>
      </c>
      <c r="K1778">
        <v>1046</v>
      </c>
      <c r="L1778">
        <v>340</v>
      </c>
    </row>
    <row r="1779" spans="1:12" x14ac:dyDescent="0.2">
      <c r="A1779"/>
      <c r="B1779"/>
      <c r="C1779"/>
      <c r="D1779"/>
      <c r="E1779" s="2">
        <f>Comuni__2[[#This Row],[Popolazione2011]]/$D$7911</f>
        <v>9.0082847779828024E-5</v>
      </c>
      <c r="F1779">
        <f>SUMIFS($D$2:$D$7909, $B$2:$B$7909, "Friuli-Venezia Giulia")</f>
        <v>1220291</v>
      </c>
      <c r="G1779" s="1">
        <f>Comuni__2[[#This Row],[Popolazione2011]]/Comuni__2[[#This Row],[POPOLAZIONE TOTALE DI OGNI REGIONE (CON FILTRO)]]</f>
        <v>4.3866585920899195E-3</v>
      </c>
      <c r="H1779" t="str">
        <f>IF(Comuni__2[[#This Row],[Popolazione2011]]&gt;300000,"MAGGIORE","")</f>
        <v/>
      </c>
      <c r="J1779">
        <v>1555</v>
      </c>
      <c r="K1779">
        <v>1093</v>
      </c>
      <c r="L1779">
        <v>341</v>
      </c>
    </row>
    <row r="1780" spans="1:12" x14ac:dyDescent="0.2">
      <c r="A1780"/>
      <c r="B1780"/>
      <c r="C1780"/>
      <c r="D1780"/>
      <c r="E1780" s="2">
        <f>Comuni__2[[#This Row],[Popolazione2011]]/$D$7911</f>
        <v>8.7306148754296242E-5</v>
      </c>
      <c r="F1780">
        <f>SUMIFS($D$2:$D$7909, $B$2:$B$7909, "Friuli-Venezia Giulia")</f>
        <v>1220291</v>
      </c>
      <c r="G1780" s="1">
        <f>Comuni__2[[#This Row],[Popolazione2011]]/Comuni__2[[#This Row],[POPOLAZIONE TOTALE DI OGNI REGIONE (CON FILTRO)]]</f>
        <v>4.2514449422309921E-3</v>
      </c>
      <c r="H1780" t="str">
        <f>IF(Comuni__2[[#This Row],[Popolazione2011]]&gt;300000,"MAGGIORE","")</f>
        <v/>
      </c>
      <c r="J1780">
        <v>1573</v>
      </c>
      <c r="K1780">
        <v>1101</v>
      </c>
      <c r="L1780">
        <v>349</v>
      </c>
    </row>
    <row r="1781" spans="1:12" x14ac:dyDescent="0.2">
      <c r="A1781"/>
      <c r="B1781"/>
      <c r="C1781"/>
      <c r="D1781"/>
      <c r="E1781" s="2">
        <f>Comuni__2[[#This Row],[Popolazione2011]]/$D$7911</f>
        <v>8.4899676265502041E-5</v>
      </c>
      <c r="F1781">
        <f>SUMIFS($D$2:$D$7909, $B$2:$B$7909, "Friuli-Venezia Giulia")</f>
        <v>1220291</v>
      </c>
      <c r="G1781" s="1">
        <f>Comuni__2[[#This Row],[Popolazione2011]]/Comuni__2[[#This Row],[POPOLAZIONE TOTALE DI OGNI REGIONE (CON FILTRO)]]</f>
        <v>4.1342597790199227E-3</v>
      </c>
      <c r="H1781" t="str">
        <f>IF(Comuni__2[[#This Row],[Popolazione2011]]&gt;300000,"MAGGIORE","")</f>
        <v/>
      </c>
      <c r="J1781">
        <v>1564</v>
      </c>
      <c r="K1781">
        <v>1130</v>
      </c>
      <c r="L1781">
        <v>363</v>
      </c>
    </row>
    <row r="1782" spans="1:12" x14ac:dyDescent="0.2">
      <c r="A1782"/>
      <c r="B1782"/>
      <c r="C1782"/>
      <c r="D1782"/>
      <c r="E1782" s="2">
        <f>Comuni__2[[#This Row],[Popolazione2011]]/$D$7911</f>
        <v>8.4882847786559425E-5</v>
      </c>
      <c r="F1782">
        <f>SUMIFS($D$2:$D$7909, $B$2:$B$7909, "Friuli-Venezia Giulia")</f>
        <v>1220291</v>
      </c>
      <c r="G1782" s="1">
        <f>Comuni__2[[#This Row],[Popolazione2011]]/Comuni__2[[#This Row],[POPOLAZIONE TOTALE DI OGNI REGIONE (CON FILTRO)]]</f>
        <v>4.1334403023541109E-3</v>
      </c>
      <c r="H1782" t="str">
        <f>IF(Comuni__2[[#This Row],[Popolazione2011]]&gt;300000,"MAGGIORE","")</f>
        <v/>
      </c>
      <c r="J1782">
        <v>1571</v>
      </c>
      <c r="K1782">
        <v>1142</v>
      </c>
      <c r="L1782">
        <v>370</v>
      </c>
    </row>
    <row r="1783" spans="1:12" x14ac:dyDescent="0.2">
      <c r="A1783"/>
      <c r="B1783"/>
      <c r="C1783"/>
      <c r="D1783"/>
      <c r="E1783" s="2">
        <f>Comuni__2[[#This Row],[Popolazione2011]]/$D$7911</f>
        <v>8.4680906039248018E-5</v>
      </c>
      <c r="F1783">
        <f>SUMIFS($D$2:$D$7909, $B$2:$B$7909, "Friuli-Venezia Giulia")</f>
        <v>1220291</v>
      </c>
      <c r="G1783" s="1">
        <f>Comuni__2[[#This Row],[Popolazione2011]]/Comuni__2[[#This Row],[POPOLAZIONE TOTALE DI OGNI REGIONE (CON FILTRO)]]</f>
        <v>4.1236065823643704E-3</v>
      </c>
      <c r="H1783" t="str">
        <f>IF(Comuni__2[[#This Row],[Popolazione2011]]&gt;300000,"MAGGIORE","")</f>
        <v/>
      </c>
      <c r="J1783">
        <v>1571</v>
      </c>
      <c r="K1783">
        <v>1193</v>
      </c>
      <c r="L1783">
        <v>375</v>
      </c>
    </row>
    <row r="1784" spans="1:12" x14ac:dyDescent="0.2">
      <c r="A1784"/>
      <c r="B1784"/>
      <c r="C1784"/>
      <c r="D1784"/>
      <c r="E1784" s="2">
        <f>Comuni__2[[#This Row],[Popolazione2011]]/$D$7911</f>
        <v>8.0608414135134739E-5</v>
      </c>
      <c r="F1784">
        <f>SUMIFS($D$2:$D$7909, $B$2:$B$7909, "Friuli-Venezia Giulia")</f>
        <v>1220291</v>
      </c>
      <c r="G1784" s="1">
        <f>Comuni__2[[#This Row],[Popolazione2011]]/Comuni__2[[#This Row],[POPOLAZIONE TOTALE DI OGNI REGIONE (CON FILTRO)]]</f>
        <v>3.9252932292379444E-3</v>
      </c>
      <c r="H1784" t="str">
        <f>IF(Comuni__2[[#This Row],[Popolazione2011]]&gt;300000,"MAGGIORE","")</f>
        <v/>
      </c>
      <c r="J1784">
        <v>1580</v>
      </c>
      <c r="K1784">
        <v>1256</v>
      </c>
      <c r="L1784">
        <v>384</v>
      </c>
    </row>
    <row r="1785" spans="1:12" x14ac:dyDescent="0.2">
      <c r="A1785"/>
      <c r="B1785"/>
      <c r="C1785"/>
      <c r="D1785"/>
      <c r="E1785" s="2">
        <f>Comuni__2[[#This Row],[Popolazione2011]]/$D$7911</f>
        <v>7.7023948120357355E-5</v>
      </c>
      <c r="F1785">
        <f>SUMIFS($D$2:$D$7909, $B$2:$B$7909, "Friuli-Venezia Giulia")</f>
        <v>1220291</v>
      </c>
      <c r="G1785" s="1">
        <f>Comuni__2[[#This Row],[Popolazione2011]]/Comuni__2[[#This Row],[POPOLAZIONE TOTALE DI OGNI REGIONE (CON FILTRO)]]</f>
        <v>3.7507446994200565E-3</v>
      </c>
      <c r="H1785" t="str">
        <f>IF(Comuni__2[[#This Row],[Popolazione2011]]&gt;300000,"MAGGIORE","")</f>
        <v/>
      </c>
      <c r="J1785">
        <v>1604</v>
      </c>
      <c r="K1785">
        <v>1276</v>
      </c>
      <c r="L1785">
        <v>387</v>
      </c>
    </row>
    <row r="1786" spans="1:12" x14ac:dyDescent="0.2">
      <c r="A1786"/>
      <c r="B1786"/>
      <c r="C1786"/>
      <c r="D1786"/>
      <c r="E1786" s="2">
        <f>Comuni__2[[#This Row],[Popolazione2011]]/$D$7911</f>
        <v>7.6233009610054357E-5</v>
      </c>
      <c r="F1786">
        <f>SUMIFS($D$2:$D$7909, $B$2:$B$7909, "Friuli-Venezia Giulia")</f>
        <v>1220291</v>
      </c>
      <c r="G1786" s="1">
        <f>Comuni__2[[#This Row],[Popolazione2011]]/Comuni__2[[#This Row],[POPOLAZIONE TOTALE DI OGNI REGIONE (CON FILTRO)]]</f>
        <v>3.7122292961269073E-3</v>
      </c>
      <c r="H1786" t="str">
        <f>IF(Comuni__2[[#This Row],[Popolazione2011]]&gt;300000,"MAGGIORE","")</f>
        <v/>
      </c>
      <c r="J1786">
        <v>1603</v>
      </c>
      <c r="K1786">
        <v>1347</v>
      </c>
      <c r="L1786">
        <v>389</v>
      </c>
    </row>
    <row r="1787" spans="1:12" x14ac:dyDescent="0.2">
      <c r="A1787"/>
      <c r="B1787"/>
      <c r="C1787"/>
      <c r="D1787"/>
      <c r="E1787" s="2">
        <f>Comuni__2[[#This Row],[Popolazione2011]]/$D$7911</f>
        <v>7.6014239383800333E-5</v>
      </c>
      <c r="F1787">
        <f>SUMIFS($D$2:$D$7909, $B$2:$B$7909, "Friuli-Venezia Giulia")</f>
        <v>1220291</v>
      </c>
      <c r="G1787" s="1">
        <f>Comuni__2[[#This Row],[Popolazione2011]]/Comuni__2[[#This Row],[POPOLAZIONE TOTALE DI OGNI REGIONE (CON FILTRO)]]</f>
        <v>3.7015760994713555E-3</v>
      </c>
      <c r="H1787" t="str">
        <f>IF(Comuni__2[[#This Row],[Popolazione2011]]&gt;300000,"MAGGIORE","")</f>
        <v/>
      </c>
      <c r="J1787">
        <v>1607</v>
      </c>
      <c r="K1787">
        <v>1433</v>
      </c>
      <c r="L1787">
        <v>397</v>
      </c>
    </row>
    <row r="1788" spans="1:12" x14ac:dyDescent="0.2">
      <c r="A1788"/>
      <c r="B1788"/>
      <c r="C1788"/>
      <c r="D1788"/>
      <c r="E1788" s="2">
        <f>Comuni__2[[#This Row],[Popolazione2011]]/$D$7911</f>
        <v>7.1924919000744439E-5</v>
      </c>
      <c r="F1788">
        <f>SUMIFS($D$2:$D$7909, $B$2:$B$7909, "Friuli-Venezia Giulia")</f>
        <v>1220291</v>
      </c>
      <c r="G1788" s="1">
        <f>Comuni__2[[#This Row],[Popolazione2011]]/Comuni__2[[#This Row],[POPOLAZIONE TOTALE DI OGNI REGIONE (CON FILTRO)]]</f>
        <v>3.5024432696791176E-3</v>
      </c>
      <c r="H1788" t="str">
        <f>IF(Comuni__2[[#This Row],[Popolazione2011]]&gt;300000,"MAGGIORE","")</f>
        <v/>
      </c>
      <c r="J1788">
        <v>1600</v>
      </c>
      <c r="K1788">
        <v>1491</v>
      </c>
      <c r="L1788">
        <v>414</v>
      </c>
    </row>
    <row r="1789" spans="1:12" x14ac:dyDescent="0.2">
      <c r="A1789"/>
      <c r="B1789"/>
      <c r="C1789"/>
      <c r="D1789"/>
      <c r="E1789" s="2">
        <f>Comuni__2[[#This Row],[Popolazione2011]]/$D$7911</f>
        <v>7.0460841332736782E-5</v>
      </c>
      <c r="F1789">
        <f>SUMIFS($D$2:$D$7909, $B$2:$B$7909, "Friuli-Venezia Giulia")</f>
        <v>1220291</v>
      </c>
      <c r="G1789" s="1">
        <f>Comuni__2[[#This Row],[Popolazione2011]]/Comuni__2[[#This Row],[POPOLAZIONE TOTALE DI OGNI REGIONE (CON FILTRO)]]</f>
        <v>3.4311487997535015E-3</v>
      </c>
      <c r="H1789" t="str">
        <f>IF(Comuni__2[[#This Row],[Popolazione2011]]&gt;300000,"MAGGIORE","")</f>
        <v/>
      </c>
      <c r="J1789">
        <v>1575</v>
      </c>
      <c r="K1789">
        <v>1579</v>
      </c>
      <c r="L1789">
        <v>431</v>
      </c>
    </row>
    <row r="1790" spans="1:12" x14ac:dyDescent="0.2">
      <c r="A1790"/>
      <c r="B1790"/>
      <c r="C1790"/>
      <c r="D1790"/>
      <c r="E1790" s="2">
        <f>Comuni__2[[#This Row],[Popolazione2011]]/$D$7911</f>
        <v>6.9737216738204247E-5</v>
      </c>
      <c r="F1790">
        <f>SUMIFS($D$2:$D$7909, $B$2:$B$7909, "Friuli-Venezia Giulia")</f>
        <v>1220291</v>
      </c>
      <c r="G1790" s="1">
        <f>Comuni__2[[#This Row],[Popolazione2011]]/Comuni__2[[#This Row],[POPOLAZIONE TOTALE DI OGNI REGIONE (CON FILTRO)]]</f>
        <v>3.3959113031235993E-3</v>
      </c>
      <c r="H1790" t="str">
        <f>IF(Comuni__2[[#This Row],[Popolazione2011]]&gt;300000,"MAGGIORE","")</f>
        <v/>
      </c>
      <c r="J1790">
        <v>1532</v>
      </c>
      <c r="K1790">
        <v>1707</v>
      </c>
      <c r="L1790">
        <v>441</v>
      </c>
    </row>
    <row r="1791" spans="1:12" x14ac:dyDescent="0.2">
      <c r="A1791"/>
      <c r="B1791"/>
      <c r="C1791"/>
      <c r="D1791"/>
      <c r="E1791" s="2">
        <f>Comuni__2[[#This Row],[Popolazione2011]]/$D$7911</f>
        <v>6.7970226449229487E-5</v>
      </c>
      <c r="F1791">
        <f>SUMIFS($D$2:$D$7909, $B$2:$B$7909, "Friuli-Venezia Giulia")</f>
        <v>1220291</v>
      </c>
      <c r="G1791" s="1">
        <f>Comuni__2[[#This Row],[Popolazione2011]]/Comuni__2[[#This Row],[POPOLAZIONE TOTALE DI OGNI REGIONE (CON FILTRO)]]</f>
        <v>3.3098662532133729E-3</v>
      </c>
      <c r="H1791" t="str">
        <f>IF(Comuni__2[[#This Row],[Popolazione2011]]&gt;300000,"MAGGIORE","")</f>
        <v/>
      </c>
      <c r="J1791">
        <v>1477</v>
      </c>
      <c r="K1791">
        <v>1744</v>
      </c>
      <c r="L1791">
        <v>482</v>
      </c>
    </row>
    <row r="1792" spans="1:12" x14ac:dyDescent="0.2">
      <c r="A1792"/>
      <c r="B1792"/>
      <c r="C1792"/>
      <c r="D1792"/>
      <c r="E1792" s="2">
        <f>Comuni__2[[#This Row],[Popolazione2011]]/$D$7911</f>
        <v>6.6758575965361071E-5</v>
      </c>
      <c r="F1792">
        <f>SUMIFS($D$2:$D$7909, $B$2:$B$7909, "Friuli-Venezia Giulia")</f>
        <v>1220291</v>
      </c>
      <c r="G1792" s="1">
        <f>Comuni__2[[#This Row],[Popolazione2011]]/Comuni__2[[#This Row],[POPOLAZIONE TOTALE DI OGNI REGIONE (CON FILTRO)]]</f>
        <v>3.2508639332749318E-3</v>
      </c>
      <c r="H1792" t="str">
        <f>IF(Comuni__2[[#This Row],[Popolazione2011]]&gt;300000,"MAGGIORE","")</f>
        <v/>
      </c>
      <c r="J1792">
        <v>1466</v>
      </c>
      <c r="K1792">
        <v>1807</v>
      </c>
      <c r="L1792">
        <v>497</v>
      </c>
    </row>
    <row r="1793" spans="1:12" x14ac:dyDescent="0.2">
      <c r="A1793"/>
      <c r="B1793"/>
      <c r="C1793"/>
      <c r="D1793"/>
      <c r="E1793" s="2">
        <f>Comuni__2[[#This Row],[Popolazione2011]]/$D$7911</f>
        <v>6.625372159708256E-5</v>
      </c>
      <c r="F1793">
        <f>SUMIFS($D$2:$D$7909, $B$2:$B$7909, "Friuli-Venezia Giulia")</f>
        <v>1220291</v>
      </c>
      <c r="G1793" s="1">
        <f>Comuni__2[[#This Row],[Popolazione2011]]/Comuni__2[[#This Row],[POPOLAZIONE TOTALE DI OGNI REGIONE (CON FILTRO)]]</f>
        <v>3.2262796333005815E-3</v>
      </c>
      <c r="H1793" t="str">
        <f>IF(Comuni__2[[#This Row],[Popolazione2011]]&gt;300000,"MAGGIORE","")</f>
        <v/>
      </c>
      <c r="J1793">
        <v>1441</v>
      </c>
      <c r="K1793">
        <v>1916</v>
      </c>
      <c r="L1793">
        <v>508</v>
      </c>
    </row>
    <row r="1794" spans="1:12" x14ac:dyDescent="0.2">
      <c r="A1794"/>
      <c r="B1794"/>
      <c r="C1794"/>
      <c r="D1794"/>
      <c r="E1794" s="2">
        <f>Comuni__2[[#This Row],[Popolazione2011]]/$D$7911</f>
        <v>6.5378640692066481E-5</v>
      </c>
      <c r="F1794">
        <f>SUMIFS($D$2:$D$7909, $B$2:$B$7909, "Friuli-Venezia Giulia")</f>
        <v>1220291</v>
      </c>
      <c r="G1794" s="1">
        <f>Comuni__2[[#This Row],[Popolazione2011]]/Comuni__2[[#This Row],[POPOLAZIONE TOTALE DI OGNI REGIONE (CON FILTRO)]]</f>
        <v>3.1836668466783745E-3</v>
      </c>
      <c r="H1794" t="str">
        <f>IF(Comuni__2[[#This Row],[Popolazione2011]]&gt;300000,"MAGGIORE","")</f>
        <v/>
      </c>
      <c r="J1794">
        <v>1430</v>
      </c>
      <c r="K1794">
        <v>1938</v>
      </c>
      <c r="L1794">
        <v>524</v>
      </c>
    </row>
    <row r="1795" spans="1:12" x14ac:dyDescent="0.2">
      <c r="A1795"/>
      <c r="B1795"/>
      <c r="C1795"/>
      <c r="D1795"/>
      <c r="E1795" s="2">
        <f>Comuni__2[[#This Row],[Popolazione2011]]/$D$7911</f>
        <v>6.5058899592156761E-5</v>
      </c>
      <c r="F1795">
        <f>SUMIFS($D$2:$D$7909, $B$2:$B$7909, "Friuli-Venezia Giulia")</f>
        <v>1220291</v>
      </c>
      <c r="G1795" s="1">
        <f>Comuni__2[[#This Row],[Popolazione2011]]/Comuni__2[[#This Row],[POPOLAZIONE TOTALE DI OGNI REGIONE (CON FILTRO)]]</f>
        <v>3.1680967900279524E-3</v>
      </c>
      <c r="H1795" t="str">
        <f>IF(Comuni__2[[#This Row],[Popolazione2011]]&gt;300000,"MAGGIORE","")</f>
        <v/>
      </c>
      <c r="J1795">
        <v>1406</v>
      </c>
      <c r="K1795">
        <v>2010</v>
      </c>
      <c r="L1795">
        <v>534</v>
      </c>
    </row>
    <row r="1796" spans="1:12" x14ac:dyDescent="0.2">
      <c r="A1796"/>
      <c r="B1796"/>
      <c r="C1796"/>
      <c r="D1796"/>
      <c r="E1796" s="2">
        <f>Comuni__2[[#This Row],[Popolazione2011]]/$D$7911</f>
        <v>6.2299029045567595E-5</v>
      </c>
      <c r="F1796">
        <f>SUMIFS($D$2:$D$7909, $B$2:$B$7909, "Friuli-Venezia Giulia")</f>
        <v>1220291</v>
      </c>
      <c r="G1796" s="1">
        <f>Comuni__2[[#This Row],[Popolazione2011]]/Comuni__2[[#This Row],[POPOLAZIONE TOTALE DI OGNI REGIONE (CON FILTRO)]]</f>
        <v>3.0337026168348368E-3</v>
      </c>
      <c r="H1796" t="str">
        <f>IF(Comuni__2[[#This Row],[Popolazione2011]]&gt;300000,"MAGGIORE","")</f>
        <v/>
      </c>
      <c r="J1796">
        <v>1442</v>
      </c>
      <c r="K1796">
        <v>2024</v>
      </c>
      <c r="L1796">
        <v>538</v>
      </c>
    </row>
    <row r="1797" spans="1:12" x14ac:dyDescent="0.2">
      <c r="A1797"/>
      <c r="B1797"/>
      <c r="C1797"/>
      <c r="D1797"/>
      <c r="E1797" s="2">
        <f>Comuni__2[[#This Row],[Popolazione2011]]/$D$7911</f>
        <v>6.0195469177740491E-5</v>
      </c>
      <c r="F1797">
        <f>SUMIFS($D$2:$D$7909, $B$2:$B$7909, "Friuli-Venezia Giulia")</f>
        <v>1220291</v>
      </c>
      <c r="G1797" s="1">
        <f>Comuni__2[[#This Row],[Popolazione2011]]/Comuni__2[[#This Row],[POPOLAZIONE TOTALE DI OGNI REGIONE (CON FILTRO)]]</f>
        <v>2.9312680336083768E-3</v>
      </c>
      <c r="H1797" t="str">
        <f>IF(Comuni__2[[#This Row],[Popolazione2011]]&gt;300000,"MAGGIORE","")</f>
        <v/>
      </c>
      <c r="J1797">
        <v>1380</v>
      </c>
      <c r="K1797">
        <v>2143</v>
      </c>
      <c r="L1797">
        <v>543</v>
      </c>
    </row>
    <row r="1798" spans="1:12" x14ac:dyDescent="0.2">
      <c r="A1798"/>
      <c r="B1798"/>
      <c r="C1798"/>
      <c r="D1798"/>
      <c r="E1798" s="2">
        <f>Comuni__2[[#This Row],[Popolazione2011]]/$D$7911</f>
        <v>5.9505501541093203E-5</v>
      </c>
      <c r="F1798">
        <f>SUMIFS($D$2:$D$7909, $B$2:$B$7909, "Friuli-Venezia Giulia")</f>
        <v>1220291</v>
      </c>
      <c r="G1798" s="1">
        <f>Comuni__2[[#This Row],[Popolazione2011]]/Comuni__2[[#This Row],[POPOLAZIONE TOTALE DI OGNI REGIONE (CON FILTRO)]]</f>
        <v>2.8976694903100984E-3</v>
      </c>
      <c r="H1798" t="str">
        <f>IF(Comuni__2[[#This Row],[Popolazione2011]]&gt;300000,"MAGGIORE","")</f>
        <v/>
      </c>
      <c r="J1798">
        <v>1362</v>
      </c>
      <c r="K1798">
        <v>2209</v>
      </c>
      <c r="L1798">
        <v>549</v>
      </c>
    </row>
    <row r="1799" spans="1:12" x14ac:dyDescent="0.2">
      <c r="A1799"/>
      <c r="B1799"/>
      <c r="C1799"/>
      <c r="D1799"/>
      <c r="E1799" s="2">
        <f>Comuni__2[[#This Row],[Popolazione2011]]/$D$7911</f>
        <v>5.8411650409823107E-5</v>
      </c>
      <c r="F1799">
        <f>SUMIFS($D$2:$D$7909, $B$2:$B$7909, "Friuli-Venezia Giulia")</f>
        <v>1220291</v>
      </c>
      <c r="G1799" s="1">
        <f>Comuni__2[[#This Row],[Popolazione2011]]/Comuni__2[[#This Row],[POPOLAZIONE TOTALE DI OGNI REGIONE (CON FILTRO)]]</f>
        <v>2.844403507032339E-3</v>
      </c>
      <c r="H1799" t="str">
        <f>IF(Comuni__2[[#This Row],[Popolazione2011]]&gt;300000,"MAGGIORE","")</f>
        <v/>
      </c>
      <c r="J1799">
        <v>1359</v>
      </c>
      <c r="K1799">
        <v>2235</v>
      </c>
      <c r="L1799">
        <v>553</v>
      </c>
    </row>
    <row r="1800" spans="1:12" x14ac:dyDescent="0.2">
      <c r="A1800"/>
      <c r="B1800"/>
      <c r="C1800"/>
      <c r="D1800"/>
      <c r="E1800" s="2">
        <f>Comuni__2[[#This Row],[Popolazione2011]]/$D$7911</f>
        <v>5.7906796041544603E-5</v>
      </c>
      <c r="F1800">
        <f>SUMIFS($D$2:$D$7909, $B$2:$B$7909, "Friuli-Venezia Giulia")</f>
        <v>1220291</v>
      </c>
      <c r="G1800" s="1">
        <f>Comuni__2[[#This Row],[Popolazione2011]]/Comuni__2[[#This Row],[POPOLAZIONE TOTALE DI OGNI REGIONE (CON FILTRO)]]</f>
        <v>2.8198192070579887E-3</v>
      </c>
      <c r="H1800" t="str">
        <f>IF(Comuni__2[[#This Row],[Popolazione2011]]&gt;300000,"MAGGIORE","")</f>
        <v/>
      </c>
      <c r="J1800">
        <v>1349</v>
      </c>
      <c r="K1800">
        <v>2322</v>
      </c>
      <c r="L1800">
        <v>557</v>
      </c>
    </row>
    <row r="1801" spans="1:12" x14ac:dyDescent="0.2">
      <c r="A1801"/>
      <c r="B1801"/>
      <c r="C1801"/>
      <c r="D1801"/>
      <c r="E1801" s="2">
        <f>Comuni__2[[#This Row],[Popolazione2011]]/$D$7911</f>
        <v>5.50122976634145E-5</v>
      </c>
      <c r="F1801">
        <f>SUMIFS($D$2:$D$7909, $B$2:$B$7909, "Friuli-Venezia Giulia")</f>
        <v>1220291</v>
      </c>
      <c r="G1801" s="1">
        <f>Comuni__2[[#This Row],[Popolazione2011]]/Comuni__2[[#This Row],[POPOLAZIONE TOTALE DI OGNI REGIONE (CON FILTRO)]]</f>
        <v>2.6788692205383796E-3</v>
      </c>
      <c r="H1801" t="str">
        <f>IF(Comuni__2[[#This Row],[Popolazione2011]]&gt;300000,"MAGGIORE","")</f>
        <v/>
      </c>
      <c r="J1801">
        <v>1349</v>
      </c>
      <c r="K1801">
        <v>2334</v>
      </c>
      <c r="L1801">
        <v>562</v>
      </c>
    </row>
    <row r="1802" spans="1:12" x14ac:dyDescent="0.2">
      <c r="A1802"/>
      <c r="B1802"/>
      <c r="C1802"/>
      <c r="D1802"/>
      <c r="E1802" s="2">
        <f>Comuni__2[[#This Row],[Popolazione2011]]/$D$7911</f>
        <v>5.3447249121751133E-5</v>
      </c>
      <c r="F1802">
        <f>SUMIFS($D$2:$D$7909, $B$2:$B$7909, "Friuli-Venezia Giulia")</f>
        <v>1220291</v>
      </c>
      <c r="G1802" s="1">
        <f>Comuni__2[[#This Row],[Popolazione2011]]/Comuni__2[[#This Row],[POPOLAZIONE TOTALE DI OGNI REGIONE (CON FILTRO)]]</f>
        <v>2.6026578906178936E-3</v>
      </c>
      <c r="H1802" t="str">
        <f>IF(Comuni__2[[#This Row],[Popolazione2011]]&gt;300000,"MAGGIORE","")</f>
        <v/>
      </c>
      <c r="J1802">
        <v>1342</v>
      </c>
      <c r="K1802">
        <v>2373</v>
      </c>
      <c r="L1802">
        <v>566</v>
      </c>
    </row>
    <row r="1803" spans="1:12" x14ac:dyDescent="0.2">
      <c r="A1803"/>
      <c r="B1803"/>
      <c r="C1803"/>
      <c r="D1803"/>
      <c r="E1803" s="2">
        <f>Comuni__2[[#This Row],[Popolazione2011]]/$D$7911</f>
        <v>5.1360517732866645E-5</v>
      </c>
      <c r="F1803">
        <f>SUMIFS($D$2:$D$7909, $B$2:$B$7909, "Friuli-Venezia Giulia")</f>
        <v>1220291</v>
      </c>
      <c r="G1803" s="1">
        <f>Comuni__2[[#This Row],[Popolazione2011]]/Comuni__2[[#This Row],[POPOLAZIONE TOTALE DI OGNI REGIONE (CON FILTRO)]]</f>
        <v>2.5010427840572455E-3</v>
      </c>
      <c r="H1803" t="str">
        <f>IF(Comuni__2[[#This Row],[Popolazione2011]]&gt;300000,"MAGGIORE","")</f>
        <v/>
      </c>
      <c r="J1803">
        <v>1307</v>
      </c>
      <c r="K1803">
        <v>2438</v>
      </c>
      <c r="L1803">
        <v>577</v>
      </c>
    </row>
    <row r="1804" spans="1:12" x14ac:dyDescent="0.2">
      <c r="A1804"/>
      <c r="B1804"/>
      <c r="C1804"/>
      <c r="D1804"/>
      <c r="E1804" s="2">
        <f>Comuni__2[[#This Row],[Popolazione2011]]/$D$7911</f>
        <v>5.0872491843530757E-5</v>
      </c>
      <c r="F1804">
        <f>SUMIFS($D$2:$D$7909, $B$2:$B$7909, "Friuli-Venezia Giulia")</f>
        <v>1220291</v>
      </c>
      <c r="G1804" s="1">
        <f>Comuni__2[[#This Row],[Popolazione2011]]/Comuni__2[[#This Row],[POPOLAZIONE TOTALE DI OGNI REGIONE (CON FILTRO)]]</f>
        <v>2.4772779607487067E-3</v>
      </c>
      <c r="H1804" t="str">
        <f>IF(Comuni__2[[#This Row],[Popolazione2011]]&gt;300000,"MAGGIORE","")</f>
        <v/>
      </c>
      <c r="J1804">
        <v>1257</v>
      </c>
      <c r="K1804">
        <v>2600</v>
      </c>
      <c r="L1804">
        <v>595</v>
      </c>
    </row>
    <row r="1805" spans="1:12" x14ac:dyDescent="0.2">
      <c r="A1805"/>
      <c r="B1805"/>
      <c r="C1805"/>
      <c r="D1805"/>
      <c r="E1805" s="2">
        <f>Comuni__2[[#This Row],[Popolazione2011]]/$D$7911</f>
        <v>5.0721035533047205E-5</v>
      </c>
      <c r="F1805">
        <f>SUMIFS($D$2:$D$7909, $B$2:$B$7909, "Friuli-Venezia Giulia")</f>
        <v>1220291</v>
      </c>
      <c r="G1805" s="1">
        <f>Comuni__2[[#This Row],[Popolazione2011]]/Comuni__2[[#This Row],[POPOLAZIONE TOTALE DI OGNI REGIONE (CON FILTRO)]]</f>
        <v>2.4699026707564018E-3</v>
      </c>
      <c r="H1805" t="str">
        <f>IF(Comuni__2[[#This Row],[Popolazione2011]]&gt;300000,"MAGGIORE","")</f>
        <v/>
      </c>
      <c r="J1805">
        <v>1252</v>
      </c>
      <c r="K1805">
        <v>2672</v>
      </c>
      <c r="L1805">
        <v>604</v>
      </c>
    </row>
    <row r="1806" spans="1:12" x14ac:dyDescent="0.2">
      <c r="A1806"/>
      <c r="B1806"/>
      <c r="C1806"/>
      <c r="D1806"/>
      <c r="E1806" s="2">
        <f>Comuni__2[[#This Row],[Popolazione2011]]/$D$7911</f>
        <v>5.0620064659391502E-5</v>
      </c>
      <c r="F1806">
        <f>SUMIFS($D$2:$D$7909, $B$2:$B$7909, "Friuli-Venezia Giulia")</f>
        <v>1220291</v>
      </c>
      <c r="G1806" s="1">
        <f>Comuni__2[[#This Row],[Popolazione2011]]/Comuni__2[[#This Row],[POPOLAZIONE TOTALE DI OGNI REGIONE (CON FILTRO)]]</f>
        <v>2.4649858107615315E-3</v>
      </c>
      <c r="H1806" t="str">
        <f>IF(Comuni__2[[#This Row],[Popolazione2011]]&gt;300000,"MAGGIORE","")</f>
        <v/>
      </c>
      <c r="J1806">
        <v>1232</v>
      </c>
      <c r="K1806">
        <v>2758</v>
      </c>
      <c r="L1806">
        <v>616</v>
      </c>
    </row>
    <row r="1807" spans="1:12" x14ac:dyDescent="0.2">
      <c r="A1807"/>
      <c r="B1807"/>
      <c r="C1807"/>
      <c r="D1807"/>
      <c r="E1807" s="2">
        <f>Comuni__2[[#This Row],[Popolazione2011]]/$D$7911</f>
        <v>5.058640770150627E-5</v>
      </c>
      <c r="F1807">
        <f>SUMIFS($D$2:$D$7909, $B$2:$B$7909, "Friuli-Venezia Giulia")</f>
        <v>1220291</v>
      </c>
      <c r="G1807" s="1">
        <f>Comuni__2[[#This Row],[Popolazione2011]]/Comuni__2[[#This Row],[POPOLAZIONE TOTALE DI OGNI REGIONE (CON FILTRO)]]</f>
        <v>2.4633468574299083E-3</v>
      </c>
      <c r="H1807" t="str">
        <f>IF(Comuni__2[[#This Row],[Popolazione2011]]&gt;300000,"MAGGIORE","")</f>
        <v/>
      </c>
      <c r="J1807">
        <v>1224</v>
      </c>
      <c r="K1807">
        <v>2914</v>
      </c>
      <c r="L1807">
        <v>622</v>
      </c>
    </row>
    <row r="1808" spans="1:12" x14ac:dyDescent="0.2">
      <c r="A1808"/>
      <c r="B1808"/>
      <c r="C1808"/>
      <c r="D1808"/>
      <c r="E1808" s="2">
        <f>Comuni__2[[#This Row],[Popolazione2011]]/$D$7911</f>
        <v>5.0401294433137485E-5</v>
      </c>
      <c r="F1808">
        <f>SUMIFS($D$2:$D$7909, $B$2:$B$7909, "Friuli-Venezia Giulia")</f>
        <v>1220291</v>
      </c>
      <c r="G1808" s="1">
        <f>Comuni__2[[#This Row],[Popolazione2011]]/Comuni__2[[#This Row],[POPOLAZIONE TOTALE DI OGNI REGIONE (CON FILTRO)]]</f>
        <v>2.4543326141059797E-3</v>
      </c>
      <c r="H1808" t="str">
        <f>IF(Comuni__2[[#This Row],[Popolazione2011]]&gt;300000,"MAGGIORE","")</f>
        <v/>
      </c>
      <c r="J1808">
        <v>1210</v>
      </c>
      <c r="K1808">
        <v>3031</v>
      </c>
      <c r="L1808">
        <v>628</v>
      </c>
    </row>
    <row r="1809" spans="1:12" x14ac:dyDescent="0.2">
      <c r="A1809"/>
      <c r="B1809"/>
      <c r="C1809"/>
      <c r="D1809"/>
      <c r="E1809" s="2">
        <f>Comuni__2[[#This Row],[Popolazione2011]]/$D$7911</f>
        <v>4.9963753980629446E-5</v>
      </c>
      <c r="F1809">
        <f>SUMIFS($D$2:$D$7909, $B$2:$B$7909, "Friuli-Venezia Giulia")</f>
        <v>1220291</v>
      </c>
      <c r="G1809" s="1">
        <f>Comuni__2[[#This Row],[Popolazione2011]]/Comuni__2[[#This Row],[POPOLAZIONE TOTALE DI OGNI REGIONE (CON FILTRO)]]</f>
        <v>2.4330262207948759E-3</v>
      </c>
      <c r="H1809" t="str">
        <f>IF(Comuni__2[[#This Row],[Popolazione2011]]&gt;300000,"MAGGIORE","")</f>
        <v/>
      </c>
      <c r="J1809">
        <v>1198</v>
      </c>
      <c r="K1809">
        <v>3079</v>
      </c>
      <c r="L1809">
        <v>640</v>
      </c>
    </row>
    <row r="1810" spans="1:12" x14ac:dyDescent="0.2">
      <c r="A1810"/>
      <c r="B1810"/>
      <c r="C1810"/>
      <c r="D1810"/>
      <c r="E1810" s="2">
        <f>Comuni__2[[#This Row],[Popolazione2011]]/$D$7911</f>
        <v>4.898770220195767E-5</v>
      </c>
      <c r="F1810">
        <f>SUMIFS($D$2:$D$7909, $B$2:$B$7909, "Friuli-Venezia Giulia")</f>
        <v>1220291</v>
      </c>
      <c r="G1810" s="1">
        <f>Comuni__2[[#This Row],[Popolazione2011]]/Comuni__2[[#This Row],[POPOLAZIONE TOTALE DI OGNI REGIONE (CON FILTRO)]]</f>
        <v>2.3854965741777986E-3</v>
      </c>
      <c r="H1810" t="str">
        <f>IF(Comuni__2[[#This Row],[Popolazione2011]]&gt;300000,"MAGGIORE","")</f>
        <v/>
      </c>
      <c r="J1810">
        <v>1193</v>
      </c>
      <c r="K1810">
        <v>3100</v>
      </c>
      <c r="L1810">
        <v>647</v>
      </c>
    </row>
    <row r="1811" spans="1:12" x14ac:dyDescent="0.2">
      <c r="A1811"/>
      <c r="B1811"/>
      <c r="C1811"/>
      <c r="D1811"/>
      <c r="E1811" s="2">
        <f>Comuni__2[[#This Row],[Popolazione2011]]/$D$7911</f>
        <v>4.8482847833679159E-5</v>
      </c>
      <c r="F1811">
        <f>SUMIFS($D$2:$D$7909, $B$2:$B$7909, "Friuli-Venezia Giulia")</f>
        <v>1220291</v>
      </c>
      <c r="G1811" s="1">
        <f>Comuni__2[[#This Row],[Popolazione2011]]/Comuni__2[[#This Row],[POPOLAZIONE TOTALE DI OGNI REGIONE (CON FILTRO)]]</f>
        <v>2.3609122742034483E-3</v>
      </c>
      <c r="H1811" t="str">
        <f>IF(Comuni__2[[#This Row],[Popolazione2011]]&gt;300000,"MAGGIORE","")</f>
        <v/>
      </c>
      <c r="J1811">
        <v>1178</v>
      </c>
      <c r="K1811">
        <v>3259</v>
      </c>
      <c r="L1811">
        <v>662</v>
      </c>
    </row>
    <row r="1812" spans="1:12" x14ac:dyDescent="0.2">
      <c r="A1812"/>
      <c r="B1812"/>
      <c r="C1812"/>
      <c r="D1812"/>
      <c r="E1812" s="2">
        <f>Comuni__2[[#This Row],[Popolazione2011]]/$D$7911</f>
        <v>4.8415533917908695E-5</v>
      </c>
      <c r="F1812">
        <f>SUMIFS($D$2:$D$7909, $B$2:$B$7909, "Friuli-Venezia Giulia")</f>
        <v>1220291</v>
      </c>
      <c r="G1812" s="1">
        <f>Comuni__2[[#This Row],[Popolazione2011]]/Comuni__2[[#This Row],[POPOLAZIONE TOTALE DI OGNI REGIONE (CON FILTRO)]]</f>
        <v>2.3576343675402013E-3</v>
      </c>
      <c r="H1812" t="str">
        <f>IF(Comuni__2[[#This Row],[Popolazione2011]]&gt;300000,"MAGGIORE","")</f>
        <v/>
      </c>
      <c r="J1812">
        <v>1178</v>
      </c>
      <c r="K1812">
        <v>3285</v>
      </c>
      <c r="L1812">
        <v>669</v>
      </c>
    </row>
    <row r="1813" spans="1:12" x14ac:dyDescent="0.2">
      <c r="A1813"/>
      <c r="B1813"/>
      <c r="C1813"/>
      <c r="D1813"/>
      <c r="E1813" s="2">
        <f>Comuni__2[[#This Row],[Popolazione2011]]/$D$7911</f>
        <v>4.8213592170597294E-5</v>
      </c>
      <c r="F1813">
        <f>SUMIFS($D$2:$D$7909, $B$2:$B$7909, "Friuli-Venezia Giulia")</f>
        <v>1220291</v>
      </c>
      <c r="G1813" s="1">
        <f>Comuni__2[[#This Row],[Popolazione2011]]/Comuni__2[[#This Row],[POPOLAZIONE TOTALE DI OGNI REGIONE (CON FILTRO)]]</f>
        <v>2.3478006475504613E-3</v>
      </c>
      <c r="H1813" t="str">
        <f>IF(Comuni__2[[#This Row],[Popolazione2011]]&gt;300000,"MAGGIORE","")</f>
        <v/>
      </c>
      <c r="J1813">
        <v>1157</v>
      </c>
      <c r="K1813">
        <v>3350</v>
      </c>
      <c r="L1813">
        <v>676</v>
      </c>
    </row>
    <row r="1814" spans="1:12" x14ac:dyDescent="0.2">
      <c r="A1814"/>
      <c r="B1814"/>
      <c r="C1814"/>
      <c r="D1814"/>
      <c r="E1814" s="2">
        <f>Comuni__2[[#This Row],[Popolazione2011]]/$D$7911</f>
        <v>4.7624595407605703E-5</v>
      </c>
      <c r="F1814">
        <f>SUMIFS($D$2:$D$7909, $B$2:$B$7909, "Friuli-Venezia Giulia")</f>
        <v>1220291</v>
      </c>
      <c r="G1814" s="1">
        <f>Comuni__2[[#This Row],[Popolazione2011]]/Comuni__2[[#This Row],[POPOLAZIONE TOTALE DI OGNI REGIONE (CON FILTRO)]]</f>
        <v>2.3191189642470527E-3</v>
      </c>
      <c r="H1814" t="str">
        <f>IF(Comuni__2[[#This Row],[Popolazione2011]]&gt;300000,"MAGGIORE","")</f>
        <v/>
      </c>
      <c r="J1814">
        <v>1149</v>
      </c>
      <c r="K1814">
        <v>3374</v>
      </c>
      <c r="L1814">
        <v>684</v>
      </c>
    </row>
    <row r="1815" spans="1:12" x14ac:dyDescent="0.2">
      <c r="A1815"/>
      <c r="B1815"/>
      <c r="C1815"/>
      <c r="D1815"/>
      <c r="E1815" s="2">
        <f>Comuni__2[[#This Row],[Popolazione2011]]/$D$7911</f>
        <v>4.6951456249901031E-5</v>
      </c>
      <c r="F1815">
        <f>SUMIFS($D$2:$D$7909, $B$2:$B$7909, "Friuli-Venezia Giulia")</f>
        <v>1220291</v>
      </c>
      <c r="G1815" s="1">
        <f>Comuni__2[[#This Row],[Popolazione2011]]/Comuni__2[[#This Row],[POPOLAZIONE TOTALE DI OGNI REGIONE (CON FILTRO)]]</f>
        <v>2.2863398976145852E-3</v>
      </c>
      <c r="H1815" t="str">
        <f>IF(Comuni__2[[#This Row],[Popolazione2011]]&gt;300000,"MAGGIORE","")</f>
        <v/>
      </c>
      <c r="J1815">
        <v>1145</v>
      </c>
      <c r="K1815">
        <v>3401</v>
      </c>
      <c r="L1815">
        <v>688</v>
      </c>
    </row>
    <row r="1816" spans="1:12" x14ac:dyDescent="0.2">
      <c r="A1816"/>
      <c r="B1816"/>
      <c r="C1816"/>
      <c r="D1816"/>
      <c r="E1816" s="2">
        <f>Comuni__2[[#This Row],[Popolazione2011]]/$D$7911</f>
        <v>4.6783171460474856E-5</v>
      </c>
      <c r="F1816">
        <f>SUMIFS($D$2:$D$7909, $B$2:$B$7909, "Friuli-Venezia Giulia")</f>
        <v>1220291</v>
      </c>
      <c r="G1816" s="1">
        <f>Comuni__2[[#This Row],[Popolazione2011]]/Comuni__2[[#This Row],[POPOLAZIONE TOTALE DI OGNI REGIONE (CON FILTRO)]]</f>
        <v>2.2781451309564684E-3</v>
      </c>
      <c r="H1816" t="str">
        <f>IF(Comuni__2[[#This Row],[Popolazione2011]]&gt;300000,"MAGGIORE","")</f>
        <v/>
      </c>
      <c r="J1816">
        <v>1142</v>
      </c>
      <c r="K1816">
        <v>3430</v>
      </c>
      <c r="L1816">
        <v>693</v>
      </c>
    </row>
    <row r="1817" spans="1:12" x14ac:dyDescent="0.2">
      <c r="A1817"/>
      <c r="B1817"/>
      <c r="C1817"/>
      <c r="D1817"/>
      <c r="E1817" s="2">
        <f>Comuni__2[[#This Row],[Popolazione2011]]/$D$7911</f>
        <v>4.6749514502589624E-5</v>
      </c>
      <c r="F1817">
        <f>SUMIFS($D$2:$D$7909, $B$2:$B$7909, "Friuli-Venezia Giulia")</f>
        <v>1220291</v>
      </c>
      <c r="G1817" s="1">
        <f>Comuni__2[[#This Row],[Popolazione2011]]/Comuni__2[[#This Row],[POPOLAZIONE TOTALE DI OGNI REGIONE (CON FILTRO)]]</f>
        <v>2.2765061776248451E-3</v>
      </c>
      <c r="H1817" t="str">
        <f>IF(Comuni__2[[#This Row],[Popolazione2011]]&gt;300000,"MAGGIORE","")</f>
        <v/>
      </c>
      <c r="J1817">
        <v>1127</v>
      </c>
      <c r="K1817">
        <v>3483</v>
      </c>
      <c r="L1817">
        <v>701</v>
      </c>
    </row>
    <row r="1818" spans="1:12" x14ac:dyDescent="0.2">
      <c r="A1818"/>
      <c r="B1818"/>
      <c r="C1818"/>
      <c r="D1818"/>
      <c r="E1818" s="2">
        <f>Comuni__2[[#This Row],[Popolazione2011]]/$D$7911</f>
        <v>4.6244660134311119E-5</v>
      </c>
      <c r="F1818">
        <f>SUMIFS($D$2:$D$7909, $B$2:$B$7909, "Friuli-Venezia Giulia")</f>
        <v>1220291</v>
      </c>
      <c r="G1818" s="1">
        <f>Comuni__2[[#This Row],[Popolazione2011]]/Comuni__2[[#This Row],[POPOLAZIONE TOTALE DI OGNI REGIONE (CON FILTRO)]]</f>
        <v>2.2519218776504949E-3</v>
      </c>
      <c r="H1818" t="str">
        <f>IF(Comuni__2[[#This Row],[Popolazione2011]]&gt;300000,"MAGGIORE","")</f>
        <v/>
      </c>
      <c r="J1818">
        <v>1099</v>
      </c>
      <c r="K1818">
        <v>3580</v>
      </c>
      <c r="L1818">
        <v>708</v>
      </c>
    </row>
    <row r="1819" spans="1:12" x14ac:dyDescent="0.2">
      <c r="A1819"/>
      <c r="B1819"/>
      <c r="C1819"/>
      <c r="D1819"/>
      <c r="E1819" s="2">
        <f>Comuni__2[[#This Row],[Popolazione2011]]/$D$7911</f>
        <v>4.6059546865942335E-5</v>
      </c>
      <c r="F1819">
        <f>SUMIFS($D$2:$D$7909, $B$2:$B$7909, "Friuli-Venezia Giulia")</f>
        <v>1220291</v>
      </c>
      <c r="G1819" s="1">
        <f>Comuni__2[[#This Row],[Popolazione2011]]/Comuni__2[[#This Row],[POPOLAZIONE TOTALE DI OGNI REGIONE (CON FILTRO)]]</f>
        <v>2.2429076343265662E-3</v>
      </c>
      <c r="H1819" t="str">
        <f>IF(Comuni__2[[#This Row],[Popolazione2011]]&gt;300000,"MAGGIORE","")</f>
        <v/>
      </c>
      <c r="J1819">
        <v>876</v>
      </c>
      <c r="K1819">
        <v>3825</v>
      </c>
      <c r="L1819">
        <v>721</v>
      </c>
    </row>
    <row r="1820" spans="1:12" x14ac:dyDescent="0.2">
      <c r="A1820"/>
      <c r="B1820"/>
      <c r="C1820"/>
      <c r="D1820"/>
      <c r="E1820" s="2">
        <f>Comuni__2[[#This Row],[Popolazione2011]]/$D$7911</f>
        <v>4.5588349455549063E-5</v>
      </c>
      <c r="F1820">
        <f>SUMIFS($D$2:$D$7909, $B$2:$B$7909, "Friuli-Venezia Giulia")</f>
        <v>1220291</v>
      </c>
      <c r="G1820" s="1">
        <f>Comuni__2[[#This Row],[Popolazione2011]]/Comuni__2[[#This Row],[POPOLAZIONE TOTALE DI OGNI REGIONE (CON FILTRO)]]</f>
        <v>2.2199622876838392E-3</v>
      </c>
      <c r="H1820" t="str">
        <f>IF(Comuni__2[[#This Row],[Popolazione2011]]&gt;300000,"MAGGIORE","")</f>
        <v/>
      </c>
      <c r="J1820">
        <v>827</v>
      </c>
      <c r="K1820">
        <v>3932</v>
      </c>
      <c r="L1820">
        <v>728</v>
      </c>
    </row>
    <row r="1821" spans="1:12" x14ac:dyDescent="0.2">
      <c r="A1821"/>
      <c r="B1821"/>
      <c r="C1821"/>
      <c r="D1821"/>
      <c r="E1821" s="2">
        <f>Comuni__2[[#This Row],[Popolazione2011]]/$D$7911</f>
        <v>4.4595469197934665E-5</v>
      </c>
      <c r="F1821">
        <f>SUMIFS($D$2:$D$7909, $B$2:$B$7909, "Friuli-Venezia Giulia")</f>
        <v>1220291</v>
      </c>
      <c r="G1821" s="1">
        <f>Comuni__2[[#This Row],[Popolazione2011]]/Comuni__2[[#This Row],[POPOLAZIONE TOTALE DI OGNI REGIONE (CON FILTRO)]]</f>
        <v>2.1716131644009501E-3</v>
      </c>
      <c r="H1821" t="str">
        <f>IF(Comuni__2[[#This Row],[Popolazione2011]]&gt;300000,"MAGGIORE","")</f>
        <v/>
      </c>
      <c r="J1821">
        <v>787</v>
      </c>
      <c r="K1821">
        <v>4010</v>
      </c>
      <c r="L1821">
        <v>735</v>
      </c>
    </row>
    <row r="1822" spans="1:12" x14ac:dyDescent="0.2">
      <c r="A1822"/>
      <c r="B1822"/>
      <c r="C1822"/>
      <c r="D1822"/>
      <c r="E1822" s="2">
        <f>Comuni__2[[#This Row],[Popolazione2011]]/$D$7911</f>
        <v>4.4444012887451113E-5</v>
      </c>
      <c r="F1822">
        <f>SUMIFS($D$2:$D$7909, $B$2:$B$7909, "Friuli-Venezia Giulia")</f>
        <v>1220291</v>
      </c>
      <c r="G1822" s="1">
        <f>Comuni__2[[#This Row],[Popolazione2011]]/Comuni__2[[#This Row],[POPOLAZIONE TOTALE DI OGNI REGIONE (CON FILTRO)]]</f>
        <v>2.1642378744086452E-3</v>
      </c>
      <c r="H1822" t="str">
        <f>IF(Comuni__2[[#This Row],[Popolazione2011]]&gt;300000,"MAGGIORE","")</f>
        <v/>
      </c>
      <c r="J1822">
        <v>650</v>
      </c>
      <c r="K1822">
        <v>4105</v>
      </c>
      <c r="L1822">
        <v>739</v>
      </c>
    </row>
    <row r="1823" spans="1:12" x14ac:dyDescent="0.2">
      <c r="A1823"/>
      <c r="B1823"/>
      <c r="C1823"/>
      <c r="D1823"/>
      <c r="E1823" s="2">
        <f>Comuni__2[[#This Row],[Popolazione2011]]/$D$7911</f>
        <v>4.3669902856090744E-5</v>
      </c>
      <c r="F1823">
        <f>SUMIFS($D$2:$D$7909, $B$2:$B$7909, "Friuli-Venezia Giulia")</f>
        <v>1220291</v>
      </c>
      <c r="G1823" s="1">
        <f>Comuni__2[[#This Row],[Popolazione2011]]/Comuni__2[[#This Row],[POPOLAZIONE TOTALE DI OGNI REGIONE (CON FILTRO)]]</f>
        <v>2.1265419477813079E-3</v>
      </c>
      <c r="H1823" t="str">
        <f>IF(Comuni__2[[#This Row],[Popolazione2011]]&gt;300000,"MAGGIORE","")</f>
        <v/>
      </c>
      <c r="J1823">
        <v>636</v>
      </c>
      <c r="K1823">
        <v>4155</v>
      </c>
      <c r="L1823">
        <v>741</v>
      </c>
    </row>
    <row r="1824" spans="1:12" x14ac:dyDescent="0.2">
      <c r="A1824"/>
      <c r="B1824"/>
      <c r="C1824"/>
      <c r="D1824"/>
      <c r="E1824" s="2">
        <f>Comuni__2[[#This Row],[Popolazione2011]]/$D$7911</f>
        <v>4.336699023512364E-5</v>
      </c>
      <c r="F1824">
        <f>SUMIFS($D$2:$D$7909, $B$2:$B$7909, "Friuli-Venezia Giulia")</f>
        <v>1220291</v>
      </c>
      <c r="G1824" s="1">
        <f>Comuni__2[[#This Row],[Popolazione2011]]/Comuni__2[[#This Row],[POPOLAZIONE TOTALE DI OGNI REGIONE (CON FILTRO)]]</f>
        <v>2.1117913677966976E-3</v>
      </c>
      <c r="H1824" t="str">
        <f>IF(Comuni__2[[#This Row],[Popolazione2011]]&gt;300000,"MAGGIORE","")</f>
        <v/>
      </c>
      <c r="J1824">
        <v>570</v>
      </c>
      <c r="K1824">
        <v>4188</v>
      </c>
      <c r="L1824">
        <v>747</v>
      </c>
    </row>
    <row r="1825" spans="1:12" x14ac:dyDescent="0.2">
      <c r="A1825"/>
      <c r="B1825"/>
      <c r="C1825"/>
      <c r="D1825"/>
      <c r="E1825" s="2">
        <f>Comuni__2[[#This Row],[Popolazione2011]]/$D$7911</f>
        <v>4.2946278261558216E-5</v>
      </c>
      <c r="F1825">
        <f>SUMIFS($D$2:$D$7909, $B$2:$B$7909, "Friuli-Venezia Giulia")</f>
        <v>1220291</v>
      </c>
      <c r="G1825" s="1">
        <f>Comuni__2[[#This Row],[Popolazione2011]]/Comuni__2[[#This Row],[POPOLAZIONE TOTALE DI OGNI REGIONE (CON FILTRO)]]</f>
        <v>2.0913044511514057E-3</v>
      </c>
      <c r="H1825" t="str">
        <f>IF(Comuni__2[[#This Row],[Popolazione2011]]&gt;300000,"MAGGIORE","")</f>
        <v/>
      </c>
      <c r="J1825">
        <v>539</v>
      </c>
      <c r="K1825">
        <v>4260</v>
      </c>
      <c r="L1825">
        <v>750</v>
      </c>
    </row>
    <row r="1826" spans="1:12" x14ac:dyDescent="0.2">
      <c r="A1826"/>
      <c r="B1826"/>
      <c r="C1826"/>
      <c r="D1826"/>
      <c r="E1826" s="2">
        <f>Comuni__2[[#This Row],[Popolazione2011]]/$D$7911</f>
        <v>4.1717799298747185E-5</v>
      </c>
      <c r="F1826">
        <f>SUMIFS($D$2:$D$7909, $B$2:$B$7909, "Friuli-Venezia Giulia")</f>
        <v>1220291</v>
      </c>
      <c r="G1826" s="1">
        <f>Comuni__2[[#This Row],[Popolazione2011]]/Comuni__2[[#This Row],[POPOLAZIONE TOTALE DI OGNI REGIONE (CON FILTRO)]]</f>
        <v>2.0314826545471533E-3</v>
      </c>
      <c r="H1826" t="str">
        <f>IF(Comuni__2[[#This Row],[Popolazione2011]]&gt;300000,"MAGGIORE","")</f>
        <v/>
      </c>
      <c r="J1826">
        <v>531</v>
      </c>
      <c r="K1826">
        <v>4309</v>
      </c>
      <c r="L1826">
        <v>754</v>
      </c>
    </row>
    <row r="1827" spans="1:12" x14ac:dyDescent="0.2">
      <c r="A1827"/>
      <c r="B1827"/>
      <c r="C1827"/>
      <c r="D1827"/>
      <c r="E1827" s="2">
        <f>Comuni__2[[#This Row],[Popolazione2011]]/$D$7911</f>
        <v>4.0674433604304938E-5</v>
      </c>
      <c r="F1827">
        <f>SUMIFS($D$2:$D$7909, $B$2:$B$7909, "Friuli-Venezia Giulia")</f>
        <v>1220291</v>
      </c>
      <c r="G1827" s="1">
        <f>Comuni__2[[#This Row],[Popolazione2011]]/Comuni__2[[#This Row],[POPOLAZIONE TOTALE DI OGNI REGIONE (CON FILTRO)]]</f>
        <v>1.980675101266829E-3</v>
      </c>
      <c r="H1827" t="str">
        <f>IF(Comuni__2[[#This Row],[Popolazione2011]]&gt;300000,"MAGGIORE","")</f>
        <v/>
      </c>
      <c r="J1827">
        <v>526</v>
      </c>
      <c r="K1827">
        <v>4346</v>
      </c>
      <c r="L1827">
        <v>758</v>
      </c>
    </row>
    <row r="1828" spans="1:12" x14ac:dyDescent="0.2">
      <c r="A1828"/>
      <c r="B1828"/>
      <c r="C1828"/>
      <c r="D1828"/>
      <c r="E1828" s="2">
        <f>Comuni__2[[#This Row],[Popolazione2011]]/$D$7911</f>
        <v>4.0236893151796905E-5</v>
      </c>
      <c r="F1828">
        <f>SUMIFS($D$2:$D$7909, $B$2:$B$7909, "Friuli-Venezia Giulia")</f>
        <v>1220291</v>
      </c>
      <c r="G1828" s="1">
        <f>Comuni__2[[#This Row],[Popolazione2011]]/Comuni__2[[#This Row],[POPOLAZIONE TOTALE DI OGNI REGIONE (CON FILTRO)]]</f>
        <v>1.9593687079557253E-3</v>
      </c>
      <c r="H1828" t="str">
        <f>IF(Comuni__2[[#This Row],[Popolazione2011]]&gt;300000,"MAGGIORE","")</f>
        <v/>
      </c>
      <c r="J1828">
        <v>516</v>
      </c>
      <c r="K1828">
        <v>4362</v>
      </c>
      <c r="L1828">
        <v>760</v>
      </c>
    </row>
    <row r="1829" spans="1:12" x14ac:dyDescent="0.2">
      <c r="A1829"/>
      <c r="B1829"/>
      <c r="C1829"/>
      <c r="D1829"/>
      <c r="E1829" s="2">
        <f>Comuni__2[[#This Row],[Popolazione2011]]/$D$7911</f>
        <v>4.0203236193911666E-5</v>
      </c>
      <c r="F1829">
        <f>SUMIFS($D$2:$D$7909, $B$2:$B$7909, "Friuli-Venezia Giulia")</f>
        <v>1220291</v>
      </c>
      <c r="G1829" s="1">
        <f>Comuni__2[[#This Row],[Popolazione2011]]/Comuni__2[[#This Row],[POPOLAZIONE TOTALE DI OGNI REGIONE (CON FILTRO)]]</f>
        <v>1.957729754624102E-3</v>
      </c>
      <c r="H1829" t="str">
        <f>IF(Comuni__2[[#This Row],[Popolazione2011]]&gt;300000,"MAGGIORE","")</f>
        <v/>
      </c>
      <c r="J1829">
        <v>515</v>
      </c>
      <c r="K1829">
        <v>4450</v>
      </c>
      <c r="L1829">
        <v>763</v>
      </c>
    </row>
    <row r="1830" spans="1:12" x14ac:dyDescent="0.2">
      <c r="A1830"/>
      <c r="B1830"/>
      <c r="C1830"/>
      <c r="D1830"/>
      <c r="E1830" s="2">
        <f>Comuni__2[[#This Row],[Popolazione2011]]/$D$7911</f>
        <v>3.9917152051887185E-5</v>
      </c>
      <c r="F1830">
        <f>SUMIFS($D$2:$D$7909, $B$2:$B$7909, "Friuli-Venezia Giulia")</f>
        <v>1220291</v>
      </c>
      <c r="G1830" s="1">
        <f>Comuni__2[[#This Row],[Popolazione2011]]/Comuni__2[[#This Row],[POPOLAZIONE TOTALE DI OGNI REGIONE (CON FILTRO)]]</f>
        <v>1.9437986513053034E-3</v>
      </c>
      <c r="H1830" t="str">
        <f>IF(Comuni__2[[#This Row],[Popolazione2011]]&gt;300000,"MAGGIORE","")</f>
        <v/>
      </c>
      <c r="J1830">
        <v>509</v>
      </c>
      <c r="K1830">
        <v>4515</v>
      </c>
      <c r="L1830">
        <v>766</v>
      </c>
    </row>
    <row r="1831" spans="1:12" x14ac:dyDescent="0.2">
      <c r="A1831"/>
      <c r="B1831"/>
      <c r="C1831"/>
      <c r="D1831"/>
      <c r="E1831" s="2">
        <f>Comuni__2[[#This Row],[Popolazione2011]]/$D$7911</f>
        <v>3.9816181178231482E-5</v>
      </c>
      <c r="F1831">
        <f>SUMIFS($D$2:$D$7909, $B$2:$B$7909, "Friuli-Venezia Giulia")</f>
        <v>1220291</v>
      </c>
      <c r="G1831" s="1">
        <f>Comuni__2[[#This Row],[Popolazione2011]]/Comuni__2[[#This Row],[POPOLAZIONE TOTALE DI OGNI REGIONE (CON FILTRO)]]</f>
        <v>1.9388817913104333E-3</v>
      </c>
      <c r="H1831" t="str">
        <f>IF(Comuni__2[[#This Row],[Popolazione2011]]&gt;300000,"MAGGIORE","")</f>
        <v/>
      </c>
      <c r="J1831">
        <v>415</v>
      </c>
      <c r="K1831">
        <v>4533</v>
      </c>
      <c r="L1831">
        <v>770</v>
      </c>
    </row>
    <row r="1832" spans="1:12" x14ac:dyDescent="0.2">
      <c r="A1832"/>
      <c r="B1832"/>
      <c r="C1832"/>
      <c r="D1832"/>
      <c r="E1832" s="2">
        <f>Comuni__2[[#This Row],[Popolazione2011]]/$D$7911</f>
        <v>3.8671844610133538E-5</v>
      </c>
      <c r="F1832">
        <f>SUMIFS($D$2:$D$7909, $B$2:$B$7909, "Friuli-Venezia Giulia")</f>
        <v>1220291</v>
      </c>
      <c r="G1832" s="1">
        <f>Comuni__2[[#This Row],[Popolazione2011]]/Comuni__2[[#This Row],[POPOLAZIONE TOTALE DI OGNI REGIONE (CON FILTRO)]]</f>
        <v>1.8831573780352391E-3</v>
      </c>
      <c r="H1832" t="str">
        <f>IF(Comuni__2[[#This Row],[Popolazione2011]]&gt;300000,"MAGGIORE","")</f>
        <v/>
      </c>
      <c r="J1832">
        <v>366</v>
      </c>
      <c r="K1832">
        <v>4596</v>
      </c>
      <c r="L1832">
        <v>776</v>
      </c>
    </row>
    <row r="1833" spans="1:12" x14ac:dyDescent="0.2">
      <c r="A1833"/>
      <c r="B1833"/>
      <c r="C1833"/>
      <c r="D1833"/>
      <c r="E1833" s="2">
        <f>Comuni__2[[#This Row],[Popolazione2011]]/$D$7911</f>
        <v>3.8234304157625498E-5</v>
      </c>
      <c r="F1833">
        <f>SUMIFS($D$2:$D$7909, $B$2:$B$7909, "Friuli-Venezia Giulia")</f>
        <v>1220291</v>
      </c>
      <c r="G1833" s="1">
        <f>Comuni__2[[#This Row],[Popolazione2011]]/Comuni__2[[#This Row],[POPOLAZIONE TOTALE DI OGNI REGIONE (CON FILTRO)]]</f>
        <v>1.8618509847241355E-3</v>
      </c>
      <c r="H1833" t="str">
        <f>IF(Comuni__2[[#This Row],[Popolazione2011]]&gt;300000,"MAGGIORE","")</f>
        <v/>
      </c>
      <c r="J1833">
        <v>340</v>
      </c>
      <c r="K1833">
        <v>4913</v>
      </c>
      <c r="L1833">
        <v>781</v>
      </c>
    </row>
    <row r="1834" spans="1:12" x14ac:dyDescent="0.2">
      <c r="A1834"/>
      <c r="B1834"/>
      <c r="C1834"/>
      <c r="D1834"/>
      <c r="E1834" s="2">
        <f>Comuni__2[[#This Row],[Popolazione2011]]/$D$7911</f>
        <v>3.7813592184060075E-5</v>
      </c>
      <c r="F1834">
        <f>SUMIFS($D$2:$D$7909, $B$2:$B$7909, "Friuli-Venezia Giulia")</f>
        <v>1220291</v>
      </c>
      <c r="G1834" s="1">
        <f>Comuni__2[[#This Row],[Popolazione2011]]/Comuni__2[[#This Row],[POPOLAZIONE TOTALE DI OGNI REGIONE (CON FILTRO)]]</f>
        <v>1.8413640680788434E-3</v>
      </c>
      <c r="H1834" t="str">
        <f>IF(Comuni__2[[#This Row],[Popolazione2011]]&gt;300000,"MAGGIORE","")</f>
        <v/>
      </c>
      <c r="J1834">
        <v>348</v>
      </c>
      <c r="K1834">
        <v>5778</v>
      </c>
      <c r="L1834">
        <v>806</v>
      </c>
    </row>
    <row r="1835" spans="1:12" x14ac:dyDescent="0.2">
      <c r="A1835"/>
      <c r="B1835"/>
      <c r="C1835"/>
      <c r="D1835"/>
      <c r="E1835" s="2">
        <f>Comuni__2[[#This Row],[Popolazione2011]]/$D$7911</f>
        <v>3.774627826828961E-5</v>
      </c>
      <c r="F1835">
        <f>SUMIFS($D$2:$D$7909, $B$2:$B$7909, "Friuli-Venezia Giulia")</f>
        <v>1220291</v>
      </c>
      <c r="G1835" s="1">
        <f>Comuni__2[[#This Row],[Popolazione2011]]/Comuni__2[[#This Row],[POPOLAZIONE TOTALE DI OGNI REGIONE (CON FILTRO)]]</f>
        <v>1.8380861614155969E-3</v>
      </c>
      <c r="H1835" t="str">
        <f>IF(Comuni__2[[#This Row],[Popolazione2011]]&gt;300000,"MAGGIORE","")</f>
        <v/>
      </c>
      <c r="J1835">
        <v>342</v>
      </c>
      <c r="K1835">
        <v>5825</v>
      </c>
      <c r="L1835">
        <v>808</v>
      </c>
    </row>
    <row r="1836" spans="1:12" x14ac:dyDescent="0.2">
      <c r="A1836"/>
      <c r="B1836"/>
      <c r="C1836"/>
      <c r="D1836"/>
      <c r="E1836" s="2">
        <f>Comuni__2[[#This Row],[Popolazione2011]]/$D$7911</f>
        <v>3.762847891569129E-5</v>
      </c>
      <c r="F1836">
        <f>SUMIFS($D$2:$D$7909, $B$2:$B$7909, "Friuli-Venezia Giulia")</f>
        <v>1220291</v>
      </c>
      <c r="G1836" s="1">
        <f>Comuni__2[[#This Row],[Popolazione2011]]/Comuni__2[[#This Row],[POPOLAZIONE TOTALE DI OGNI REGIONE (CON FILTRO)]]</f>
        <v>1.832349824754915E-3</v>
      </c>
      <c r="H1836" t="str">
        <f>IF(Comuni__2[[#This Row],[Popolazione2011]]&gt;300000,"MAGGIORE","")</f>
        <v/>
      </c>
      <c r="J1836">
        <v>341</v>
      </c>
      <c r="K1836">
        <v>5855</v>
      </c>
      <c r="L1836">
        <v>811</v>
      </c>
    </row>
    <row r="1837" spans="1:12" x14ac:dyDescent="0.2">
      <c r="A1837"/>
      <c r="B1837"/>
      <c r="C1837"/>
      <c r="D1837"/>
      <c r="E1837" s="2">
        <f>Comuni__2[[#This Row],[Popolazione2011]]/$D$7911</f>
        <v>3.7544336520978203E-5</v>
      </c>
      <c r="F1837">
        <f>SUMIFS($D$2:$D$7909, $B$2:$B$7909, "Friuli-Venezia Giulia")</f>
        <v>1220291</v>
      </c>
      <c r="G1837" s="1">
        <f>Comuni__2[[#This Row],[Popolazione2011]]/Comuni__2[[#This Row],[POPOLAZIONE TOTALE DI OGNI REGIONE (CON FILTRO)]]</f>
        <v>1.8282524414258566E-3</v>
      </c>
      <c r="H1837" t="str">
        <f>IF(Comuni__2[[#This Row],[Popolazione2011]]&gt;300000,"MAGGIORE","")</f>
        <v/>
      </c>
      <c r="J1837">
        <v>346</v>
      </c>
      <c r="K1837">
        <v>6024</v>
      </c>
      <c r="L1837">
        <v>814</v>
      </c>
    </row>
    <row r="1838" spans="1:12" x14ac:dyDescent="0.2">
      <c r="A1838"/>
      <c r="B1838"/>
      <c r="C1838"/>
      <c r="D1838"/>
      <c r="E1838" s="2">
        <f>Comuni__2[[#This Row],[Popolazione2011]]/$D$7911</f>
        <v>3.7527508042035587E-5</v>
      </c>
      <c r="F1838">
        <f>SUMIFS($D$2:$D$7909, $B$2:$B$7909, "Friuli-Venezia Giulia")</f>
        <v>1220291</v>
      </c>
      <c r="G1838" s="1">
        <f>Comuni__2[[#This Row],[Popolazione2011]]/Comuni__2[[#This Row],[POPOLAZIONE TOTALE DI OGNI REGIONE (CON FILTRO)]]</f>
        <v>1.827432964760045E-3</v>
      </c>
      <c r="H1838" t="str">
        <f>IF(Comuni__2[[#This Row],[Popolazione2011]]&gt;300000,"MAGGIORE","")</f>
        <v/>
      </c>
      <c r="J1838">
        <v>322</v>
      </c>
      <c r="K1838">
        <v>6120</v>
      </c>
      <c r="L1838">
        <v>818</v>
      </c>
    </row>
    <row r="1839" spans="1:12" x14ac:dyDescent="0.2">
      <c r="A1839"/>
      <c r="B1839"/>
      <c r="C1839"/>
      <c r="D1839"/>
      <c r="E1839" s="2">
        <f>Comuni__2[[#This Row],[Popolazione2011]]/$D$7911</f>
        <v>3.7409708689437267E-5</v>
      </c>
      <c r="F1839">
        <f>SUMIFS($D$2:$D$7909, $B$2:$B$7909, "Friuli-Venezia Giulia")</f>
        <v>1220291</v>
      </c>
      <c r="G1839" s="1">
        <f>Comuni__2[[#This Row],[Popolazione2011]]/Comuni__2[[#This Row],[POPOLAZIONE TOTALE DI OGNI REGIONE (CON FILTRO)]]</f>
        <v>1.8216966280993631E-3</v>
      </c>
      <c r="H1839" t="str">
        <f>IF(Comuni__2[[#This Row],[Popolazione2011]]&gt;300000,"MAGGIORE","")</f>
        <v/>
      </c>
      <c r="J1839">
        <v>299</v>
      </c>
      <c r="K1839">
        <v>6167</v>
      </c>
      <c r="L1839">
        <v>822</v>
      </c>
    </row>
    <row r="1840" spans="1:12" x14ac:dyDescent="0.2">
      <c r="A1840"/>
      <c r="B1840"/>
      <c r="C1840"/>
      <c r="D1840"/>
      <c r="E1840" s="2">
        <f>Comuni__2[[#This Row],[Popolazione2011]]/$D$7911</f>
        <v>3.7392880210494651E-5</v>
      </c>
      <c r="F1840">
        <f>SUMIFS($D$2:$D$7909, $B$2:$B$7909, "Friuli-Venezia Giulia")</f>
        <v>1220291</v>
      </c>
      <c r="G1840" s="1">
        <f>Comuni__2[[#This Row],[Popolazione2011]]/Comuni__2[[#This Row],[POPOLAZIONE TOTALE DI OGNI REGIONE (CON FILTRO)]]</f>
        <v>1.8208771514335515E-3</v>
      </c>
      <c r="H1840" t="str">
        <f>IF(Comuni__2[[#This Row],[Popolazione2011]]&gt;300000,"MAGGIORE","")</f>
        <v/>
      </c>
      <c r="J1840">
        <v>285</v>
      </c>
      <c r="K1840">
        <v>6181</v>
      </c>
      <c r="L1840">
        <v>826</v>
      </c>
    </row>
    <row r="1841" spans="1:12" x14ac:dyDescent="0.2">
      <c r="A1841"/>
      <c r="B1841"/>
      <c r="C1841"/>
      <c r="D1841"/>
      <c r="E1841" s="2">
        <f>Comuni__2[[#This Row],[Popolazione2011]]/$D$7911</f>
        <v>3.7376051731552035E-5</v>
      </c>
      <c r="F1841">
        <f>SUMIFS($D$2:$D$7909, $B$2:$B$7909, "Friuli-Venezia Giulia")</f>
        <v>1220291</v>
      </c>
      <c r="G1841" s="1">
        <f>Comuni__2[[#This Row],[Popolazione2011]]/Comuni__2[[#This Row],[POPOLAZIONE TOTALE DI OGNI REGIONE (CON FILTRO)]]</f>
        <v>1.8200576747677399E-3</v>
      </c>
      <c r="H1841" t="str">
        <f>IF(Comuni__2[[#This Row],[Popolazione2011]]&gt;300000,"MAGGIORE","")</f>
        <v/>
      </c>
      <c r="J1841">
        <v>286</v>
      </c>
      <c r="K1841">
        <v>6195</v>
      </c>
      <c r="L1841">
        <v>827</v>
      </c>
    </row>
    <row r="1842" spans="1:12" x14ac:dyDescent="0.2">
      <c r="A1842"/>
      <c r="B1842"/>
      <c r="C1842"/>
      <c r="D1842"/>
      <c r="E1842" s="2">
        <f>Comuni__2[[#This Row],[Popolazione2011]]/$D$7911</f>
        <v>3.7241423900011099E-5</v>
      </c>
      <c r="F1842">
        <f>SUMIFS($D$2:$D$7909, $B$2:$B$7909, "Friuli-Venezia Giulia")</f>
        <v>1220291</v>
      </c>
      <c r="G1842" s="1">
        <f>Comuni__2[[#This Row],[Popolazione2011]]/Comuni__2[[#This Row],[POPOLAZIONE TOTALE DI OGNI REGIONE (CON FILTRO)]]</f>
        <v>1.8135018614412464E-3</v>
      </c>
      <c r="H1842" t="str">
        <f>IF(Comuni__2[[#This Row],[Popolazione2011]]&gt;300000,"MAGGIORE","")</f>
        <v/>
      </c>
      <c r="J1842">
        <v>286</v>
      </c>
      <c r="K1842">
        <v>6199</v>
      </c>
      <c r="L1842">
        <v>827</v>
      </c>
    </row>
    <row r="1843" spans="1:12" x14ac:dyDescent="0.2">
      <c r="A1843"/>
      <c r="B1843"/>
      <c r="C1843"/>
      <c r="D1843"/>
      <c r="E1843" s="2">
        <f>Comuni__2[[#This Row],[Popolazione2011]]/$D$7911</f>
        <v>3.4952750763815211E-5</v>
      </c>
      <c r="F1843">
        <f>SUMIFS($D$2:$D$7909, $B$2:$B$7909, "Friuli-Venezia Giulia")</f>
        <v>1220291</v>
      </c>
      <c r="G1843" s="1">
        <f>Comuni__2[[#This Row],[Popolazione2011]]/Comuni__2[[#This Row],[POPOLAZIONE TOTALE DI OGNI REGIONE (CON FILTRO)]]</f>
        <v>1.702053034890858E-3</v>
      </c>
      <c r="H1843" t="str">
        <f>IF(Comuni__2[[#This Row],[Popolazione2011]]&gt;300000,"MAGGIORE","")</f>
        <v/>
      </c>
      <c r="J1843">
        <v>224</v>
      </c>
      <c r="K1843">
        <v>6250</v>
      </c>
      <c r="L1843">
        <v>830</v>
      </c>
    </row>
    <row r="1844" spans="1:12" x14ac:dyDescent="0.2">
      <c r="A1844"/>
      <c r="B1844"/>
      <c r="C1844"/>
      <c r="D1844"/>
      <c r="E1844" s="2">
        <f>Comuni__2[[#This Row],[Popolazione2011]]/$D$7911</f>
        <v>3.456569574813502E-5</v>
      </c>
      <c r="F1844">
        <f>SUMIFS($D$2:$D$7909, $B$2:$B$7909, "Friuli-Venezia Giulia")</f>
        <v>1220291</v>
      </c>
      <c r="G1844" s="1">
        <f>Comuni__2[[#This Row],[Popolazione2011]]/Comuni__2[[#This Row],[POPOLAZIONE TOTALE DI OGNI REGIONE (CON FILTRO)]]</f>
        <v>1.6832050715771894E-3</v>
      </c>
      <c r="H1844" t="str">
        <f>IF(Comuni__2[[#This Row],[Popolazione2011]]&gt;300000,"MAGGIORE","")</f>
        <v/>
      </c>
      <c r="J1844">
        <v>200</v>
      </c>
      <c r="K1844">
        <v>6315</v>
      </c>
      <c r="L1844">
        <v>832</v>
      </c>
    </row>
    <row r="1845" spans="1:12" x14ac:dyDescent="0.2">
      <c r="A1845"/>
      <c r="B1845"/>
      <c r="C1845"/>
      <c r="D1845"/>
      <c r="E1845" s="2">
        <f>Comuni__2[[#This Row],[Popolazione2011]]/$D$7911</f>
        <v>3.3976698985143428E-5</v>
      </c>
      <c r="F1845">
        <f>SUMIFS($D$2:$D$7909, $B$2:$B$7909, "Friuli-Venezia Giulia")</f>
        <v>1220291</v>
      </c>
      <c r="G1845" s="1">
        <f>Comuni__2[[#This Row],[Popolazione2011]]/Comuni__2[[#This Row],[POPOLAZIONE TOTALE DI OGNI REGIONE (CON FILTRO)]]</f>
        <v>1.6545233882737805E-3</v>
      </c>
      <c r="H1845" t="str">
        <f>IF(Comuni__2[[#This Row],[Popolazione2011]]&gt;300000,"MAGGIORE","")</f>
        <v/>
      </c>
      <c r="J1845">
        <v>194</v>
      </c>
      <c r="K1845">
        <v>6337</v>
      </c>
      <c r="L1845">
        <v>833</v>
      </c>
    </row>
    <row r="1846" spans="1:12" x14ac:dyDescent="0.2">
      <c r="A1846"/>
      <c r="B1846"/>
      <c r="C1846"/>
      <c r="D1846"/>
      <c r="E1846" s="2">
        <f>Comuni__2[[#This Row],[Popolazione2011]]/$D$7911</f>
        <v>3.3825242674659883E-5</v>
      </c>
      <c r="F1846">
        <f>SUMIFS($D$2:$D$7909, $B$2:$B$7909, "Friuli-Venezia Giulia")</f>
        <v>1220291</v>
      </c>
      <c r="G1846" s="1">
        <f>Comuni__2[[#This Row],[Popolazione2011]]/Comuni__2[[#This Row],[POPOLAZIONE TOTALE DI OGNI REGIONE (CON FILTRO)]]</f>
        <v>1.6471480982814754E-3</v>
      </c>
      <c r="H1846" t="str">
        <f>IF(Comuni__2[[#This Row],[Popolazione2011]]&gt;300000,"MAGGIORE","")</f>
        <v/>
      </c>
      <c r="J1846">
        <v>193</v>
      </c>
      <c r="K1846">
        <v>6354</v>
      </c>
      <c r="L1846">
        <v>835</v>
      </c>
    </row>
    <row r="1847" spans="1:12" x14ac:dyDescent="0.2">
      <c r="A1847"/>
      <c r="B1847"/>
      <c r="C1847"/>
      <c r="D1847"/>
      <c r="E1847" s="2">
        <f>Comuni__2[[#This Row],[Popolazione2011]]/$D$7911</f>
        <v>3.3034304164356885E-5</v>
      </c>
      <c r="F1847">
        <f>SUMIFS($D$2:$D$7909, $B$2:$B$7909, "Friuli-Venezia Giulia")</f>
        <v>1220291</v>
      </c>
      <c r="G1847" s="1">
        <f>Comuni__2[[#This Row],[Popolazione2011]]/Comuni__2[[#This Row],[POPOLAZIONE TOTALE DI OGNI REGIONE (CON FILTRO)]]</f>
        <v>1.6086326949883265E-3</v>
      </c>
      <c r="H1847" t="str">
        <f>IF(Comuni__2[[#This Row],[Popolazione2011]]&gt;300000,"MAGGIORE","")</f>
        <v/>
      </c>
      <c r="J1847">
        <v>198</v>
      </c>
      <c r="K1847">
        <v>6412</v>
      </c>
      <c r="L1847">
        <v>836</v>
      </c>
    </row>
    <row r="1848" spans="1:12" x14ac:dyDescent="0.2">
      <c r="A1848"/>
      <c r="B1848"/>
      <c r="C1848"/>
      <c r="D1848"/>
      <c r="E1848" s="2">
        <f>Comuni__2[[#This Row],[Popolazione2011]]/$D$7911</f>
        <v>3.2344336527709596E-5</v>
      </c>
      <c r="F1848">
        <f>SUMIFS($D$2:$D$7909, $B$2:$B$7909, "Friuli-Venezia Giulia")</f>
        <v>1220291</v>
      </c>
      <c r="G1848" s="1">
        <f>Comuni__2[[#This Row],[Popolazione2011]]/Comuni__2[[#This Row],[POPOLAZIONE TOTALE DI OGNI REGIONE (CON FILTRO)]]</f>
        <v>1.5750341516900478E-3</v>
      </c>
      <c r="H1848" t="str">
        <f>IF(Comuni__2[[#This Row],[Popolazione2011]]&gt;300000,"MAGGIORE","")</f>
        <v/>
      </c>
      <c r="J1848">
        <v>198</v>
      </c>
      <c r="K1848">
        <v>6418</v>
      </c>
      <c r="L1848">
        <v>837</v>
      </c>
    </row>
    <row r="1849" spans="1:12" x14ac:dyDescent="0.2">
      <c r="A1849"/>
      <c r="B1849"/>
      <c r="C1849"/>
      <c r="D1849"/>
      <c r="E1849" s="2">
        <f>Comuni__2[[#This Row],[Popolazione2011]]/$D$7911</f>
        <v>3.1317799312209965E-5</v>
      </c>
      <c r="F1849">
        <f>SUMIFS($D$2:$D$7909, $B$2:$B$7909, "Friuli-Venezia Giulia")</f>
        <v>1220291</v>
      </c>
      <c r="G1849" s="1">
        <f>Comuni__2[[#This Row],[Popolazione2011]]/Comuni__2[[#This Row],[POPOLAZIONE TOTALE DI OGNI REGIONE (CON FILTRO)]]</f>
        <v>1.5250460750755354E-3</v>
      </c>
      <c r="H1849" t="str">
        <f>IF(Comuni__2[[#This Row],[Popolazione2011]]&gt;300000,"MAGGIORE","")</f>
        <v/>
      </c>
      <c r="J1849">
        <v>200</v>
      </c>
      <c r="K1849">
        <v>6418</v>
      </c>
      <c r="L1849">
        <v>837</v>
      </c>
    </row>
    <row r="1850" spans="1:12" x14ac:dyDescent="0.2">
      <c r="A1850"/>
      <c r="B1850"/>
      <c r="C1850"/>
      <c r="D1850"/>
      <c r="E1850" s="2">
        <f>Comuni__2[[#This Row],[Popolazione2011]]/$D$7911</f>
        <v>3.0728802549218381E-5</v>
      </c>
      <c r="F1850">
        <f>SUMIFS($D$2:$D$7909, $B$2:$B$7909, "Friuli-Venezia Giulia")</f>
        <v>1220291</v>
      </c>
      <c r="G1850" s="1">
        <f>Comuni__2[[#This Row],[Popolazione2011]]/Comuni__2[[#This Row],[POPOLAZIONE TOTALE DI OGNI REGIONE (CON FILTRO)]]</f>
        <v>1.4963643917721265E-3</v>
      </c>
      <c r="H1850" t="str">
        <f>IF(Comuni__2[[#This Row],[Popolazione2011]]&gt;300000,"MAGGIORE","")</f>
        <v/>
      </c>
      <c r="J1850">
        <v>203</v>
      </c>
      <c r="K1850">
        <v>6428</v>
      </c>
      <c r="L1850">
        <v>837</v>
      </c>
    </row>
    <row r="1851" spans="1:12" x14ac:dyDescent="0.2">
      <c r="A1851"/>
      <c r="B1851"/>
      <c r="C1851"/>
      <c r="D1851"/>
      <c r="E1851" s="2">
        <f>Comuni__2[[#This Row],[Popolazione2011]]/$D$7911</f>
        <v>3.0526860801906974E-5</v>
      </c>
      <c r="F1851">
        <f>SUMIFS($D$2:$D$7909, $B$2:$B$7909, "Friuli-Venezia Giulia")</f>
        <v>1220291</v>
      </c>
      <c r="G1851" s="1">
        <f>Comuni__2[[#This Row],[Popolazione2011]]/Comuni__2[[#This Row],[POPOLAZIONE TOTALE DI OGNI REGIONE (CON FILTRO)]]</f>
        <v>1.4865306717823862E-3</v>
      </c>
      <c r="H1851" t="str">
        <f>IF(Comuni__2[[#This Row],[Popolazione2011]]&gt;300000,"MAGGIORE","")</f>
        <v/>
      </c>
      <c r="J1851">
        <v>202</v>
      </c>
      <c r="K1851">
        <v>6437</v>
      </c>
      <c r="L1851">
        <v>837</v>
      </c>
    </row>
    <row r="1852" spans="1:12" x14ac:dyDescent="0.2">
      <c r="A1852"/>
      <c r="B1852"/>
      <c r="C1852"/>
      <c r="D1852"/>
      <c r="E1852" s="2">
        <f>Comuni__2[[#This Row],[Popolazione2011]]/$D$7911</f>
        <v>3.0526860801906974E-5</v>
      </c>
      <c r="F1852">
        <f>SUMIFS($D$2:$D$7909, $B$2:$B$7909, "Friuli-Venezia Giulia")</f>
        <v>1220291</v>
      </c>
      <c r="G1852" s="1">
        <f>Comuni__2[[#This Row],[Popolazione2011]]/Comuni__2[[#This Row],[POPOLAZIONE TOTALE DI OGNI REGIONE (CON FILTRO)]]</f>
        <v>1.4865306717823862E-3</v>
      </c>
      <c r="H1852" t="str">
        <f>IF(Comuni__2[[#This Row],[Popolazione2011]]&gt;300000,"MAGGIORE","")</f>
        <v/>
      </c>
      <c r="J1852">
        <v>202</v>
      </c>
      <c r="K1852">
        <v>6448</v>
      </c>
      <c r="L1852">
        <v>839</v>
      </c>
    </row>
    <row r="1853" spans="1:12" x14ac:dyDescent="0.2">
      <c r="A1853"/>
      <c r="B1853"/>
      <c r="C1853"/>
      <c r="D1853"/>
      <c r="E1853" s="2">
        <f>Comuni__2[[#This Row],[Popolazione2011]]/$D$7911</f>
        <v>2.948349510746473E-5</v>
      </c>
      <c r="F1853">
        <f>SUMIFS($D$2:$D$7909, $B$2:$B$7909, "Friuli-Venezia Giulia")</f>
        <v>1220291</v>
      </c>
      <c r="G1853" s="1">
        <f>Comuni__2[[#This Row],[Popolazione2011]]/Comuni__2[[#This Row],[POPOLAZIONE TOTALE DI OGNI REGIONE (CON FILTRO)]]</f>
        <v>1.4357231185020622E-3</v>
      </c>
      <c r="H1853" t="str">
        <f>IF(Comuni__2[[#This Row],[Popolazione2011]]&gt;300000,"MAGGIORE","")</f>
        <v/>
      </c>
      <c r="J1853">
        <v>199</v>
      </c>
      <c r="K1853">
        <v>6460</v>
      </c>
      <c r="L1853">
        <v>839</v>
      </c>
    </row>
    <row r="1854" spans="1:12" x14ac:dyDescent="0.2">
      <c r="A1854"/>
      <c r="B1854"/>
      <c r="C1854"/>
      <c r="D1854"/>
      <c r="E1854" s="2">
        <f>Comuni__2[[#This Row],[Popolazione2011]]/$D$7911</f>
        <v>2.9298381839095946E-5</v>
      </c>
      <c r="F1854">
        <f>SUMIFS($D$2:$D$7909, $B$2:$B$7909, "Friuli-Venezia Giulia")</f>
        <v>1220291</v>
      </c>
      <c r="G1854" s="1">
        <f>Comuni__2[[#This Row],[Popolazione2011]]/Comuni__2[[#This Row],[POPOLAZIONE TOTALE DI OGNI REGIONE (CON FILTRO)]]</f>
        <v>1.4267088751781338E-3</v>
      </c>
      <c r="H1854" t="str">
        <f>IF(Comuni__2[[#This Row],[Popolazione2011]]&gt;300000,"MAGGIORE","")</f>
        <v/>
      </c>
      <c r="J1854">
        <v>199</v>
      </c>
      <c r="K1854">
        <v>6475</v>
      </c>
      <c r="L1854">
        <v>840</v>
      </c>
    </row>
    <row r="1855" spans="1:12" x14ac:dyDescent="0.2">
      <c r="A1855"/>
      <c r="B1855"/>
      <c r="C1855"/>
      <c r="D1855"/>
      <c r="E1855" s="2">
        <f>Comuni__2[[#This Row],[Popolazione2011]]/$D$7911</f>
        <v>2.9130097049669778E-5</v>
      </c>
      <c r="F1855">
        <f>SUMIFS($D$2:$D$7909, $B$2:$B$7909, "Friuli-Venezia Giulia")</f>
        <v>1220291</v>
      </c>
      <c r="G1855" s="1">
        <f>Comuni__2[[#This Row],[Popolazione2011]]/Comuni__2[[#This Row],[POPOLAZIONE TOTALE DI OGNI REGIONE (CON FILTRO)]]</f>
        <v>1.418514108520017E-3</v>
      </c>
      <c r="H1855" t="str">
        <f>IF(Comuni__2[[#This Row],[Popolazione2011]]&gt;300000,"MAGGIORE","")</f>
        <v/>
      </c>
      <c r="J1855">
        <v>208</v>
      </c>
      <c r="K1855">
        <v>6477</v>
      </c>
      <c r="L1855">
        <v>841</v>
      </c>
    </row>
    <row r="1856" spans="1:12" x14ac:dyDescent="0.2">
      <c r="A1856"/>
      <c r="B1856"/>
      <c r="C1856"/>
      <c r="D1856"/>
      <c r="E1856" s="2">
        <f>Comuni__2[[#This Row],[Popolazione2011]]/$D$7911</f>
        <v>2.906278313389931E-5</v>
      </c>
      <c r="F1856">
        <f>SUMIFS($D$2:$D$7909, $B$2:$B$7909, "Friuli-Venezia Giulia")</f>
        <v>1220291</v>
      </c>
      <c r="G1856" s="1">
        <f>Comuni__2[[#This Row],[Popolazione2011]]/Comuni__2[[#This Row],[POPOLAZIONE TOTALE DI OGNI REGIONE (CON FILTRO)]]</f>
        <v>1.4152362018567703E-3</v>
      </c>
      <c r="H1856" t="str">
        <f>IF(Comuni__2[[#This Row],[Popolazione2011]]&gt;300000,"MAGGIORE","")</f>
        <v/>
      </c>
      <c r="J1856">
        <v>210</v>
      </c>
      <c r="K1856">
        <v>6484</v>
      </c>
      <c r="L1856">
        <v>841</v>
      </c>
    </row>
    <row r="1857" spans="1:12" x14ac:dyDescent="0.2">
      <c r="A1857"/>
      <c r="B1857"/>
      <c r="C1857"/>
      <c r="D1857"/>
      <c r="E1857" s="2">
        <f>Comuni__2[[#This Row],[Popolazione2011]]/$D$7911</f>
        <v>2.8894498344473142E-5</v>
      </c>
      <c r="F1857">
        <f>SUMIFS($D$2:$D$7909, $B$2:$B$7909, "Friuli-Venezia Giulia")</f>
        <v>1220291</v>
      </c>
      <c r="G1857" s="1">
        <f>Comuni__2[[#This Row],[Popolazione2011]]/Comuni__2[[#This Row],[POPOLAZIONE TOTALE DI OGNI REGIONE (CON FILTRO)]]</f>
        <v>1.4070414351986535E-3</v>
      </c>
      <c r="H1857" t="str">
        <f>IF(Comuni__2[[#This Row],[Popolazione2011]]&gt;300000,"MAGGIORE","")</f>
        <v/>
      </c>
      <c r="J1857">
        <v>212</v>
      </c>
      <c r="K1857">
        <v>6493</v>
      </c>
      <c r="L1857">
        <v>842</v>
      </c>
    </row>
    <row r="1858" spans="1:12" x14ac:dyDescent="0.2">
      <c r="A1858"/>
      <c r="B1858"/>
      <c r="C1858"/>
      <c r="D1858"/>
      <c r="E1858" s="2">
        <f>Comuni__2[[#This Row],[Popolazione2011]]/$D$7911</f>
        <v>2.8860841386587906E-5</v>
      </c>
      <c r="F1858">
        <f>SUMIFS($D$2:$D$7909, $B$2:$B$7909, "Friuli-Venezia Giulia")</f>
        <v>1220291</v>
      </c>
      <c r="G1858" s="1">
        <f>Comuni__2[[#This Row],[Popolazione2011]]/Comuni__2[[#This Row],[POPOLAZIONE TOTALE DI OGNI REGIONE (CON FILTRO)]]</f>
        <v>1.40540248186703E-3</v>
      </c>
      <c r="H1858" t="str">
        <f>IF(Comuni__2[[#This Row],[Popolazione2011]]&gt;300000,"MAGGIORE","")</f>
        <v/>
      </c>
      <c r="J1858">
        <v>215</v>
      </c>
      <c r="K1858">
        <v>6495</v>
      </c>
      <c r="L1858">
        <v>842</v>
      </c>
    </row>
    <row r="1859" spans="1:12" x14ac:dyDescent="0.2">
      <c r="A1859"/>
      <c r="B1859"/>
      <c r="C1859"/>
      <c r="D1859"/>
      <c r="E1859" s="2">
        <f>Comuni__2[[#This Row],[Popolazione2011]]/$D$7911</f>
        <v>2.842330093407987E-5</v>
      </c>
      <c r="F1859">
        <f>SUMIFS($D$2:$D$7909, $B$2:$B$7909, "Friuli-Venezia Giulia")</f>
        <v>1220291</v>
      </c>
      <c r="G1859" s="1">
        <f>Comuni__2[[#This Row],[Popolazione2011]]/Comuni__2[[#This Row],[POPOLAZIONE TOTALE DI OGNI REGIONE (CON FILTRO)]]</f>
        <v>1.3840960885559265E-3</v>
      </c>
      <c r="H1859" t="str">
        <f>IF(Comuni__2[[#This Row],[Popolazione2011]]&gt;300000,"MAGGIORE","")</f>
        <v/>
      </c>
      <c r="J1859">
        <v>211</v>
      </c>
      <c r="K1859">
        <v>6508</v>
      </c>
      <c r="L1859">
        <v>842</v>
      </c>
    </row>
    <row r="1860" spans="1:12" x14ac:dyDescent="0.2">
      <c r="A1860"/>
      <c r="B1860"/>
      <c r="C1860"/>
      <c r="D1860"/>
      <c r="E1860" s="2">
        <f>Comuni__2[[#This Row],[Popolazione2011]]/$D$7911</f>
        <v>2.830550158148155E-5</v>
      </c>
      <c r="F1860">
        <f>SUMIFS($D$2:$D$7909, $B$2:$B$7909, "Friuli-Venezia Giulia")</f>
        <v>1220291</v>
      </c>
      <c r="G1860" s="1">
        <f>Comuni__2[[#This Row],[Popolazione2011]]/Comuni__2[[#This Row],[POPOLAZIONE TOTALE DI OGNI REGIONE (CON FILTRO)]]</f>
        <v>1.3783597518952446E-3</v>
      </c>
      <c r="H1860" t="str">
        <f>IF(Comuni__2[[#This Row],[Popolazione2011]]&gt;300000,"MAGGIORE","")</f>
        <v/>
      </c>
      <c r="J1860">
        <v>211</v>
      </c>
      <c r="K1860">
        <v>6520</v>
      </c>
      <c r="L1860">
        <v>843</v>
      </c>
    </row>
    <row r="1861" spans="1:12" x14ac:dyDescent="0.2">
      <c r="A1861"/>
      <c r="B1861"/>
      <c r="C1861"/>
      <c r="D1861"/>
      <c r="E1861" s="2">
        <f>Comuni__2[[#This Row],[Popolazione2011]]/$D$7911</f>
        <v>2.8170873749940618E-5</v>
      </c>
      <c r="F1861">
        <f>SUMIFS($D$2:$D$7909, $B$2:$B$7909, "Friuli-Venezia Giulia")</f>
        <v>1220291</v>
      </c>
      <c r="G1861" s="1">
        <f>Comuni__2[[#This Row],[Popolazione2011]]/Comuni__2[[#This Row],[POPOLAZIONE TOTALE DI OGNI REGIONE (CON FILTRO)]]</f>
        <v>1.3718039385687511E-3</v>
      </c>
      <c r="H1861" t="str">
        <f>IF(Comuni__2[[#This Row],[Popolazione2011]]&gt;300000,"MAGGIORE","")</f>
        <v/>
      </c>
      <c r="J1861">
        <v>210</v>
      </c>
      <c r="K1861">
        <v>6530</v>
      </c>
      <c r="L1861">
        <v>844</v>
      </c>
    </row>
    <row r="1862" spans="1:12" x14ac:dyDescent="0.2">
      <c r="A1862"/>
      <c r="B1862"/>
      <c r="C1862"/>
      <c r="D1862"/>
      <c r="E1862" s="2">
        <f>Comuni__2[[#This Row],[Popolazione2011]]/$D$7911</f>
        <v>2.7935275044743982E-5</v>
      </c>
      <c r="F1862">
        <f>SUMIFS($D$2:$D$7909, $B$2:$B$7909, "Friuli-Venezia Giulia")</f>
        <v>1220291</v>
      </c>
      <c r="G1862" s="1">
        <f>Comuni__2[[#This Row],[Popolazione2011]]/Comuni__2[[#This Row],[POPOLAZIONE TOTALE DI OGNI REGIONE (CON FILTRO)]]</f>
        <v>1.3603312652473876E-3</v>
      </c>
      <c r="H1862" t="str">
        <f>IF(Comuni__2[[#This Row],[Popolazione2011]]&gt;300000,"MAGGIORE","")</f>
        <v/>
      </c>
      <c r="J1862">
        <v>211</v>
      </c>
      <c r="K1862">
        <v>6535</v>
      </c>
      <c r="L1862">
        <v>844</v>
      </c>
    </row>
    <row r="1863" spans="1:12" x14ac:dyDescent="0.2">
      <c r="A1863"/>
      <c r="B1863"/>
      <c r="C1863"/>
      <c r="D1863"/>
      <c r="E1863" s="2">
        <f>Comuni__2[[#This Row],[Popolazione2011]]/$D$7911</f>
        <v>2.7918446565801362E-5</v>
      </c>
      <c r="F1863">
        <f>SUMIFS($D$2:$D$7909, $B$2:$B$7909, "Friuli-Venezia Giulia")</f>
        <v>1220291</v>
      </c>
      <c r="G1863" s="1">
        <f>Comuni__2[[#This Row],[Popolazione2011]]/Comuni__2[[#This Row],[POPOLAZIONE TOTALE DI OGNI REGIONE (CON FILTRO)]]</f>
        <v>1.359511788581576E-3</v>
      </c>
      <c r="H1863" t="str">
        <f>IF(Comuni__2[[#This Row],[Popolazione2011]]&gt;300000,"MAGGIORE","")</f>
        <v/>
      </c>
      <c r="J1863">
        <v>209</v>
      </c>
      <c r="K1863">
        <v>6557</v>
      </c>
      <c r="L1863">
        <v>844</v>
      </c>
    </row>
    <row r="1864" spans="1:12" x14ac:dyDescent="0.2">
      <c r="A1864"/>
      <c r="B1864"/>
      <c r="C1864"/>
      <c r="D1864"/>
      <c r="E1864" s="2">
        <f>Comuni__2[[#This Row],[Popolazione2011]]/$D$7911</f>
        <v>2.7733333297432578E-5</v>
      </c>
      <c r="F1864">
        <f>SUMIFS($D$2:$D$7909, $B$2:$B$7909, "Friuli-Venezia Giulia")</f>
        <v>1220291</v>
      </c>
      <c r="G1864" s="1">
        <f>Comuni__2[[#This Row],[Popolazione2011]]/Comuni__2[[#This Row],[POPOLAZIONE TOTALE DI OGNI REGIONE (CON FILTRO)]]</f>
        <v>1.3504975452576476E-3</v>
      </c>
      <c r="H1864" t="str">
        <f>IF(Comuni__2[[#This Row],[Popolazione2011]]&gt;300000,"MAGGIORE","")</f>
        <v/>
      </c>
      <c r="J1864">
        <v>202</v>
      </c>
      <c r="K1864">
        <v>6601</v>
      </c>
      <c r="L1864">
        <v>845</v>
      </c>
    </row>
    <row r="1865" spans="1:12" x14ac:dyDescent="0.2">
      <c r="A1865"/>
      <c r="B1865"/>
      <c r="C1865"/>
      <c r="D1865"/>
      <c r="E1865" s="2">
        <f>Comuni__2[[#This Row],[Popolazione2011]]/$D$7911</f>
        <v>2.702653718184267E-5</v>
      </c>
      <c r="F1865">
        <f>SUMIFS($D$2:$D$7909, $B$2:$B$7909, "Friuli-Venezia Giulia")</f>
        <v>1220291</v>
      </c>
      <c r="G1865" s="1">
        <f>Comuni__2[[#This Row],[Popolazione2011]]/Comuni__2[[#This Row],[POPOLAZIONE TOTALE DI OGNI REGIONE (CON FILTRO)]]</f>
        <v>1.3160795252935571E-3</v>
      </c>
      <c r="H1865" t="str">
        <f>IF(Comuni__2[[#This Row],[Popolazione2011]]&gt;300000,"MAGGIORE","")</f>
        <v/>
      </c>
      <c r="J1865">
        <v>198</v>
      </c>
      <c r="K1865">
        <v>6616</v>
      </c>
      <c r="L1865">
        <v>846</v>
      </c>
    </row>
    <row r="1866" spans="1:12" x14ac:dyDescent="0.2">
      <c r="A1866"/>
      <c r="B1866"/>
      <c r="C1866"/>
      <c r="D1866"/>
      <c r="E1866" s="2">
        <f>Comuni__2[[#This Row],[Popolazione2011]]/$D$7911</f>
        <v>2.692556630818697E-5</v>
      </c>
      <c r="F1866">
        <f>SUMIFS($D$2:$D$7909, $B$2:$B$7909, "Friuli-Venezia Giulia")</f>
        <v>1220291</v>
      </c>
      <c r="G1866" s="1">
        <f>Comuni__2[[#This Row],[Popolazione2011]]/Comuni__2[[#This Row],[POPOLAZIONE TOTALE DI OGNI REGIONE (CON FILTRO)]]</f>
        <v>1.3111626652986868E-3</v>
      </c>
      <c r="H1866" t="str">
        <f>IF(Comuni__2[[#This Row],[Popolazione2011]]&gt;300000,"MAGGIORE","")</f>
        <v/>
      </c>
      <c r="J1866">
        <v>200</v>
      </c>
      <c r="K1866">
        <v>6631</v>
      </c>
      <c r="L1866">
        <v>847</v>
      </c>
    </row>
    <row r="1867" spans="1:12" x14ac:dyDescent="0.2">
      <c r="A1867"/>
      <c r="B1867"/>
      <c r="C1867"/>
      <c r="D1867"/>
      <c r="E1867" s="2">
        <f>Comuni__2[[#This Row],[Popolazione2011]]/$D$7911</f>
        <v>2.6370226503080614E-5</v>
      </c>
      <c r="F1867">
        <f>SUMIFS($D$2:$D$7909, $B$2:$B$7909, "Friuli-Venezia Giulia")</f>
        <v>1220291</v>
      </c>
      <c r="G1867" s="1">
        <f>Comuni__2[[#This Row],[Popolazione2011]]/Comuni__2[[#This Row],[POPOLAZIONE TOTALE DI OGNI REGIONE (CON FILTRO)]]</f>
        <v>1.2841199353269014E-3</v>
      </c>
      <c r="H1867" t="str">
        <f>IF(Comuni__2[[#This Row],[Popolazione2011]]&gt;300000,"MAGGIORE","")</f>
        <v/>
      </c>
      <c r="J1867">
        <v>184</v>
      </c>
      <c r="K1867">
        <v>6687</v>
      </c>
      <c r="L1867">
        <v>848</v>
      </c>
    </row>
    <row r="1868" spans="1:12" x14ac:dyDescent="0.2">
      <c r="A1868"/>
      <c r="B1868"/>
      <c r="C1868"/>
      <c r="D1868"/>
      <c r="E1868" s="2">
        <f>Comuni__2[[#This Row],[Popolazione2011]]/$D$7911</f>
        <v>2.6185113234711827E-5</v>
      </c>
      <c r="F1868">
        <f>SUMIFS($D$2:$D$7909, $B$2:$B$7909, "Friuli-Venezia Giulia")</f>
        <v>1220291</v>
      </c>
      <c r="G1868" s="1">
        <f>Comuni__2[[#This Row],[Popolazione2011]]/Comuni__2[[#This Row],[POPOLAZIONE TOTALE DI OGNI REGIONE (CON FILTRO)]]</f>
        <v>1.2751056920029731E-3</v>
      </c>
      <c r="H1868" t="str">
        <f>IF(Comuni__2[[#This Row],[Popolazione2011]]&gt;300000,"MAGGIORE","")</f>
        <v/>
      </c>
      <c r="J1868">
        <v>184</v>
      </c>
      <c r="K1868">
        <v>6698</v>
      </c>
      <c r="L1868">
        <v>849</v>
      </c>
    </row>
    <row r="1869" spans="1:12" x14ac:dyDescent="0.2">
      <c r="A1869"/>
      <c r="B1869"/>
      <c r="C1869"/>
      <c r="D1869"/>
      <c r="E1869" s="2">
        <f>Comuni__2[[#This Row],[Popolazione2011]]/$D$7911</f>
        <v>2.6050485403170894E-5</v>
      </c>
      <c r="F1869">
        <f>SUMIFS($D$2:$D$7909, $B$2:$B$7909, "Friuli-Venezia Giulia")</f>
        <v>1220291</v>
      </c>
      <c r="G1869" s="1">
        <f>Comuni__2[[#This Row],[Popolazione2011]]/Comuni__2[[#This Row],[POPOLAZIONE TOTALE DI OGNI REGIONE (CON FILTRO)]]</f>
        <v>1.2685498786764796E-3</v>
      </c>
      <c r="H1869" t="str">
        <f>IF(Comuni__2[[#This Row],[Popolazione2011]]&gt;300000,"MAGGIORE","")</f>
        <v/>
      </c>
      <c r="J1869">
        <v>183</v>
      </c>
      <c r="K1869">
        <v>6703</v>
      </c>
      <c r="L1869">
        <v>850</v>
      </c>
    </row>
    <row r="1870" spans="1:12" x14ac:dyDescent="0.2">
      <c r="A1870"/>
      <c r="B1870"/>
      <c r="C1870"/>
      <c r="D1870"/>
      <c r="E1870" s="2">
        <f>Comuni__2[[#This Row],[Popolazione2011]]/$D$7911</f>
        <v>2.5293203850753135E-5</v>
      </c>
      <c r="F1870">
        <f>SUMIFS($D$2:$D$7909, $B$2:$B$7909, "Friuli-Venezia Giulia")</f>
        <v>1220291</v>
      </c>
      <c r="G1870" s="1">
        <f>Comuni__2[[#This Row],[Popolazione2011]]/Comuni__2[[#This Row],[POPOLAZIONE TOTALE DI OGNI REGIONE (CON FILTRO)]]</f>
        <v>1.2316734287149541E-3</v>
      </c>
      <c r="H1870" t="str">
        <f>IF(Comuni__2[[#This Row],[Popolazione2011]]&gt;300000,"MAGGIORE","")</f>
        <v/>
      </c>
      <c r="J1870">
        <v>189</v>
      </c>
      <c r="K1870">
        <v>6713</v>
      </c>
      <c r="L1870">
        <v>851</v>
      </c>
    </row>
    <row r="1871" spans="1:12" x14ac:dyDescent="0.2">
      <c r="A1871"/>
      <c r="B1871"/>
      <c r="C1871"/>
      <c r="D1871"/>
      <c r="E1871" s="2">
        <f>Comuni__2[[#This Row],[Popolazione2011]]/$D$7911</f>
        <v>2.5175404498154815E-5</v>
      </c>
      <c r="F1871">
        <f>SUMIFS($D$2:$D$7909, $B$2:$B$7909, "Friuli-Venezia Giulia")</f>
        <v>1220291</v>
      </c>
      <c r="G1871" s="1">
        <f>Comuni__2[[#This Row],[Popolazione2011]]/Comuni__2[[#This Row],[POPOLAZIONE TOTALE DI OGNI REGIONE (CON FILTRO)]]</f>
        <v>1.2259370920542723E-3</v>
      </c>
      <c r="H1871" t="str">
        <f>IF(Comuni__2[[#This Row],[Popolazione2011]]&gt;300000,"MAGGIORE","")</f>
        <v/>
      </c>
      <c r="J1871">
        <v>184</v>
      </c>
      <c r="K1871">
        <v>6714</v>
      </c>
      <c r="L1871">
        <v>851</v>
      </c>
    </row>
    <row r="1872" spans="1:12" x14ac:dyDescent="0.2">
      <c r="A1872"/>
      <c r="B1872"/>
      <c r="C1872"/>
      <c r="D1872"/>
      <c r="E1872" s="2">
        <f>Comuni__2[[#This Row],[Popolazione2011]]/$D$7911</f>
        <v>2.4973462750843415E-5</v>
      </c>
      <c r="F1872">
        <f>SUMIFS($D$2:$D$7909, $B$2:$B$7909, "Friuli-Venezia Giulia")</f>
        <v>1220291</v>
      </c>
      <c r="G1872" s="1">
        <f>Comuni__2[[#This Row],[Popolazione2011]]/Comuni__2[[#This Row],[POPOLAZIONE TOTALE DI OGNI REGIONE (CON FILTRO)]]</f>
        <v>1.2161033720645322E-3</v>
      </c>
      <c r="H1872" t="str">
        <f>IF(Comuni__2[[#This Row],[Popolazione2011]]&gt;300000,"MAGGIORE","")</f>
        <v/>
      </c>
      <c r="J1872">
        <v>184</v>
      </c>
      <c r="K1872">
        <v>6722</v>
      </c>
      <c r="L1872">
        <v>853</v>
      </c>
    </row>
    <row r="1873" spans="1:12" x14ac:dyDescent="0.2">
      <c r="A1873"/>
      <c r="B1873"/>
      <c r="C1873"/>
      <c r="D1873"/>
      <c r="E1873" s="2">
        <f>Comuni__2[[#This Row],[Popolazione2011]]/$D$7911</f>
        <v>2.4249838156310888E-5</v>
      </c>
      <c r="F1873">
        <f>SUMIFS($D$2:$D$7909, $B$2:$B$7909, "Friuli-Venezia Giulia")</f>
        <v>1220291</v>
      </c>
      <c r="G1873" s="1">
        <f>Comuni__2[[#This Row],[Popolazione2011]]/Comuni__2[[#This Row],[POPOLAZIONE TOTALE DI OGNI REGIONE (CON FILTRO)]]</f>
        <v>1.1808658754346299E-3</v>
      </c>
      <c r="H1873" t="str">
        <f>IF(Comuni__2[[#This Row],[Popolazione2011]]&gt;300000,"MAGGIORE","")</f>
        <v/>
      </c>
      <c r="J1873">
        <v>183</v>
      </c>
      <c r="K1873">
        <v>6728</v>
      </c>
      <c r="L1873">
        <v>855</v>
      </c>
    </row>
    <row r="1874" spans="1:12" x14ac:dyDescent="0.2">
      <c r="A1874"/>
      <c r="B1874"/>
      <c r="C1874"/>
      <c r="D1874"/>
      <c r="E1874" s="2">
        <f>Comuni__2[[#This Row],[Popolazione2011]]/$D$7911</f>
        <v>2.354304204072098E-5</v>
      </c>
      <c r="F1874">
        <f>SUMIFS($D$2:$D$7909, $B$2:$B$7909, "Friuli-Venezia Giulia")</f>
        <v>1220291</v>
      </c>
      <c r="G1874" s="1">
        <f>Comuni__2[[#This Row],[Popolazione2011]]/Comuni__2[[#This Row],[POPOLAZIONE TOTALE DI OGNI REGIONE (CON FILTRO)]]</f>
        <v>1.1464478554705393E-3</v>
      </c>
      <c r="H1874" t="str">
        <f>IF(Comuni__2[[#This Row],[Popolazione2011]]&gt;300000,"MAGGIORE","")</f>
        <v/>
      </c>
      <c r="J1874">
        <v>189</v>
      </c>
      <c r="K1874">
        <v>6735</v>
      </c>
      <c r="L1874">
        <v>856</v>
      </c>
    </row>
    <row r="1875" spans="1:12" x14ac:dyDescent="0.2">
      <c r="A1875"/>
      <c r="B1875"/>
      <c r="C1875"/>
      <c r="D1875"/>
      <c r="E1875" s="2">
        <f>Comuni__2[[#This Row],[Popolazione2011]]/$D$7911</f>
        <v>2.3071844630327708E-5</v>
      </c>
      <c r="F1875">
        <f>SUMIFS($D$2:$D$7909, $B$2:$B$7909, "Friuli-Venezia Giulia")</f>
        <v>1220291</v>
      </c>
      <c r="G1875" s="1">
        <f>Comuni__2[[#This Row],[Popolazione2011]]/Comuni__2[[#This Row],[POPOLAZIONE TOTALE DI OGNI REGIONE (CON FILTRO)]]</f>
        <v>1.1235025088278123E-3</v>
      </c>
      <c r="H1875" t="str">
        <f>IF(Comuni__2[[#This Row],[Popolazione2011]]&gt;300000,"MAGGIORE","")</f>
        <v/>
      </c>
      <c r="J1875">
        <v>193</v>
      </c>
      <c r="K1875">
        <v>6743</v>
      </c>
      <c r="L1875">
        <v>857</v>
      </c>
    </row>
    <row r="1876" spans="1:12" x14ac:dyDescent="0.2">
      <c r="A1876"/>
      <c r="B1876"/>
      <c r="C1876"/>
      <c r="D1876"/>
      <c r="E1876" s="2">
        <f>Comuni__2[[#This Row],[Popolazione2011]]/$D$7911</f>
        <v>2.2735275051475372E-5</v>
      </c>
      <c r="F1876">
        <f>SUMIFS($D$2:$D$7909, $B$2:$B$7909, "Friuli-Venezia Giulia")</f>
        <v>1220291</v>
      </c>
      <c r="G1876" s="1">
        <f>Comuni__2[[#This Row],[Popolazione2011]]/Comuni__2[[#This Row],[POPOLAZIONE TOTALE DI OGNI REGIONE (CON FILTRO)]]</f>
        <v>1.1071129755115788E-3</v>
      </c>
      <c r="H1876" t="str">
        <f>IF(Comuni__2[[#This Row],[Popolazione2011]]&gt;300000,"MAGGIORE","")</f>
        <v/>
      </c>
      <c r="J1876">
        <v>195</v>
      </c>
      <c r="K1876">
        <v>6749</v>
      </c>
      <c r="L1876">
        <v>858</v>
      </c>
    </row>
    <row r="1877" spans="1:12" x14ac:dyDescent="0.2">
      <c r="A1877"/>
      <c r="B1877"/>
      <c r="C1877"/>
      <c r="D1877"/>
      <c r="E1877" s="2">
        <f>Comuni__2[[#This Row],[Popolazione2011]]/$D$7911</f>
        <v>2.2432362430508268E-5</v>
      </c>
      <c r="F1877">
        <f>SUMIFS($D$2:$D$7909, $B$2:$B$7909, "Friuli-Venezia Giulia")</f>
        <v>1220291</v>
      </c>
      <c r="G1877" s="1">
        <f>Comuni__2[[#This Row],[Popolazione2011]]/Comuni__2[[#This Row],[POPOLAZIONE TOTALE DI OGNI REGIONE (CON FILTRO)]]</f>
        <v>1.0923623955269685E-3</v>
      </c>
      <c r="H1877" t="str">
        <f>IF(Comuni__2[[#This Row],[Popolazione2011]]&gt;300000,"MAGGIORE","")</f>
        <v/>
      </c>
      <c r="J1877">
        <v>198</v>
      </c>
      <c r="K1877">
        <v>6759</v>
      </c>
      <c r="L1877">
        <v>860</v>
      </c>
    </row>
    <row r="1878" spans="1:12" x14ac:dyDescent="0.2">
      <c r="A1878"/>
      <c r="B1878"/>
      <c r="C1878"/>
      <c r="D1878"/>
      <c r="E1878" s="2">
        <f>Comuni__2[[#This Row],[Popolazione2011]]/$D$7911</f>
        <v>2.2028478935885464E-5</v>
      </c>
      <c r="F1878">
        <f>SUMIFS($D$2:$D$7909, $B$2:$B$7909, "Friuli-Venezia Giulia")</f>
        <v>1220291</v>
      </c>
      <c r="G1878" s="1">
        <f>Comuni__2[[#This Row],[Popolazione2011]]/Comuni__2[[#This Row],[POPOLAZIONE TOTALE DI OGNI REGIONE (CON FILTRO)]]</f>
        <v>1.0726949555474883E-3</v>
      </c>
      <c r="H1878" t="str">
        <f>IF(Comuni__2[[#This Row],[Popolazione2011]]&gt;300000,"MAGGIORE","")</f>
        <v/>
      </c>
      <c r="J1878">
        <v>202</v>
      </c>
      <c r="K1878">
        <v>6762</v>
      </c>
      <c r="L1878">
        <v>861</v>
      </c>
    </row>
    <row r="1879" spans="1:12" x14ac:dyDescent="0.2">
      <c r="A1879"/>
      <c r="B1879"/>
      <c r="C1879"/>
      <c r="D1879"/>
      <c r="E1879" s="2">
        <f>Comuni__2[[#This Row],[Popolazione2011]]/$D$7911</f>
        <v>2.1977993499057612E-5</v>
      </c>
      <c r="F1879">
        <f>SUMIFS($D$2:$D$7909, $B$2:$B$7909, "Friuli-Venezia Giulia")</f>
        <v>1220291</v>
      </c>
      <c r="G1879" s="1">
        <f>Comuni__2[[#This Row],[Popolazione2011]]/Comuni__2[[#This Row],[POPOLAZIONE TOTALE DI OGNI REGIONE (CON FILTRO)]]</f>
        <v>1.0702365255500531E-3</v>
      </c>
      <c r="H1879" t="str">
        <f>IF(Comuni__2[[#This Row],[Popolazione2011]]&gt;300000,"MAGGIORE","")</f>
        <v/>
      </c>
      <c r="J1879">
        <v>203</v>
      </c>
      <c r="K1879">
        <v>6773</v>
      </c>
      <c r="L1879">
        <v>862</v>
      </c>
    </row>
    <row r="1880" spans="1:12" x14ac:dyDescent="0.2">
      <c r="A1880"/>
      <c r="B1880"/>
      <c r="C1880"/>
      <c r="D1880"/>
      <c r="E1880" s="2">
        <f>Comuni__2[[#This Row],[Popolazione2011]]/$D$7911</f>
        <v>2.0362459520566397E-5</v>
      </c>
      <c r="F1880">
        <f>SUMIFS($D$2:$D$7909, $B$2:$B$7909, "Friuli-Venezia Giulia")</f>
        <v>1220291</v>
      </c>
      <c r="G1880" s="1">
        <f>Comuni__2[[#This Row],[Popolazione2011]]/Comuni__2[[#This Row],[POPOLAZIONE TOTALE DI OGNI REGIONE (CON FILTRO)]]</f>
        <v>9.9156676563213206E-4</v>
      </c>
      <c r="H1880" t="str">
        <f>IF(Comuni__2[[#This Row],[Popolazione2011]]&gt;300000,"MAGGIORE","")</f>
        <v/>
      </c>
      <c r="J1880">
        <v>207</v>
      </c>
      <c r="K1880">
        <v>6780</v>
      </c>
      <c r="L1880">
        <v>862</v>
      </c>
    </row>
    <row r="1881" spans="1:12" x14ac:dyDescent="0.2">
      <c r="A1881"/>
      <c r="B1881"/>
      <c r="C1881"/>
      <c r="D1881"/>
      <c r="E1881" s="2">
        <f>Comuni__2[[#This Row],[Popolazione2011]]/$D$7911</f>
        <v>2.0143689294312377E-5</v>
      </c>
      <c r="F1881">
        <f>SUMIFS($D$2:$D$7909, $B$2:$B$7909, "Friuli-Venezia Giulia")</f>
        <v>1220291</v>
      </c>
      <c r="G1881" s="1">
        <f>Comuni__2[[#This Row],[Popolazione2011]]/Comuni__2[[#This Row],[POPOLAZIONE TOTALE DI OGNI REGIONE (CON FILTRO)]]</f>
        <v>9.8091356897658018E-4</v>
      </c>
      <c r="H1881" t="str">
        <f>IF(Comuni__2[[#This Row],[Popolazione2011]]&gt;300000,"MAGGIORE","")</f>
        <v/>
      </c>
      <c r="J1881">
        <v>197</v>
      </c>
      <c r="K1881">
        <v>6829</v>
      </c>
      <c r="L1881">
        <v>863</v>
      </c>
    </row>
    <row r="1882" spans="1:12" x14ac:dyDescent="0.2">
      <c r="A1882"/>
      <c r="B1882"/>
      <c r="C1882"/>
      <c r="D1882"/>
      <c r="E1882" s="2">
        <f>Comuni__2[[#This Row],[Popolazione2011]]/$D$7911</f>
        <v>1.9537864052378169E-5</v>
      </c>
      <c r="F1882">
        <f>SUMIFS($D$2:$D$7909, $B$2:$B$7909, "Friuli-Venezia Giulia")</f>
        <v>1220291</v>
      </c>
      <c r="G1882" s="1">
        <f>Comuni__2[[#This Row],[Popolazione2011]]/Comuni__2[[#This Row],[POPOLAZIONE TOTALE DI OGNI REGIONE (CON FILTRO)]]</f>
        <v>9.5141240900735967E-4</v>
      </c>
      <c r="H1882" t="str">
        <f>IF(Comuni__2[[#This Row],[Popolazione2011]]&gt;300000,"MAGGIORE","")</f>
        <v/>
      </c>
      <c r="J1882">
        <v>192</v>
      </c>
      <c r="K1882">
        <v>6839</v>
      </c>
      <c r="L1882">
        <v>863</v>
      </c>
    </row>
    <row r="1883" spans="1:12" x14ac:dyDescent="0.2">
      <c r="A1883"/>
      <c r="B1883"/>
      <c r="C1883"/>
      <c r="D1883"/>
      <c r="E1883" s="2">
        <f>Comuni__2[[#This Row],[Popolazione2011]]/$D$7911</f>
        <v>1.8359870526394989E-5</v>
      </c>
      <c r="F1883">
        <f>SUMIFS($D$2:$D$7909, $B$2:$B$7909, "Friuli-Venezia Giulia")</f>
        <v>1220291</v>
      </c>
      <c r="G1883" s="1">
        <f>Comuni__2[[#This Row],[Popolazione2011]]/Comuni__2[[#This Row],[POPOLAZIONE TOTALE DI OGNI REGIONE (CON FILTRO)]]</f>
        <v>8.9404904240054212E-4</v>
      </c>
      <c r="H1883" t="str">
        <f>IF(Comuni__2[[#This Row],[Popolazione2011]]&gt;300000,"MAGGIORE","")</f>
        <v/>
      </c>
      <c r="J1883">
        <v>181</v>
      </c>
      <c r="K1883">
        <v>6852</v>
      </c>
      <c r="L1883">
        <v>863</v>
      </c>
    </row>
    <row r="1884" spans="1:12" x14ac:dyDescent="0.2">
      <c r="A1884"/>
      <c r="B1884"/>
      <c r="C1884"/>
      <c r="D1884"/>
      <c r="E1884" s="2">
        <f>Comuni__2[[#This Row],[Popolazione2011]]/$D$7911</f>
        <v>1.8292556610624522E-5</v>
      </c>
      <c r="F1884">
        <f>SUMIFS($D$2:$D$7909, $B$2:$B$7909, "Friuli-Venezia Giulia")</f>
        <v>1220291</v>
      </c>
      <c r="G1884" s="1">
        <f>Comuni__2[[#This Row],[Popolazione2011]]/Comuni__2[[#This Row],[POPOLAZIONE TOTALE DI OGNI REGIONE (CON FILTRO)]]</f>
        <v>8.9077113573729548E-4</v>
      </c>
      <c r="H1884" t="str">
        <f>IF(Comuni__2[[#This Row],[Popolazione2011]]&gt;300000,"MAGGIORE","")</f>
        <v/>
      </c>
      <c r="J1884">
        <v>185</v>
      </c>
      <c r="K1884">
        <v>6855</v>
      </c>
      <c r="L1884">
        <v>863</v>
      </c>
    </row>
    <row r="1885" spans="1:12" x14ac:dyDescent="0.2">
      <c r="A1885"/>
      <c r="B1885"/>
      <c r="C1885"/>
      <c r="D1885"/>
      <c r="E1885" s="2">
        <f>Comuni__2[[#This Row],[Popolazione2011]]/$D$7911</f>
        <v>1.7383818747723213E-5</v>
      </c>
      <c r="F1885">
        <f>SUMIFS($D$2:$D$7909, $B$2:$B$7909, "Friuli-Venezia Giulia")</f>
        <v>1220291</v>
      </c>
      <c r="G1885" s="1">
        <f>Comuni__2[[#This Row],[Popolazione2011]]/Comuni__2[[#This Row],[POPOLAZIONE TOTALE DI OGNI REGIONE (CON FILTRO)]]</f>
        <v>8.4651939578346482E-4</v>
      </c>
      <c r="H1885" t="str">
        <f>IF(Comuni__2[[#This Row],[Popolazione2011]]&gt;300000,"MAGGIORE","")</f>
        <v/>
      </c>
      <c r="J1885">
        <v>183</v>
      </c>
      <c r="K1885">
        <v>6859</v>
      </c>
      <c r="L1885">
        <v>864</v>
      </c>
    </row>
    <row r="1886" spans="1:12" x14ac:dyDescent="0.2">
      <c r="A1886"/>
      <c r="B1886"/>
      <c r="C1886"/>
      <c r="D1886"/>
      <c r="E1886" s="2">
        <f>Comuni__2[[#This Row],[Popolazione2011]]/$D$7911</f>
        <v>1.7333333310895362E-5</v>
      </c>
      <c r="F1886">
        <f>SUMIFS($D$2:$D$7909, $B$2:$B$7909, "Friuli-Venezia Giulia")</f>
        <v>1220291</v>
      </c>
      <c r="G1886" s="1">
        <f>Comuni__2[[#This Row],[Popolazione2011]]/Comuni__2[[#This Row],[POPOLAZIONE TOTALE DI OGNI REGIONE (CON FILTRO)]]</f>
        <v>8.440609657860297E-4</v>
      </c>
      <c r="H1886" t="str">
        <f>IF(Comuni__2[[#This Row],[Popolazione2011]]&gt;300000,"MAGGIORE","")</f>
        <v/>
      </c>
      <c r="J1886">
        <v>187</v>
      </c>
      <c r="K1886">
        <v>6863</v>
      </c>
      <c r="L1886">
        <v>864</v>
      </c>
    </row>
    <row r="1887" spans="1:12" x14ac:dyDescent="0.2">
      <c r="A1887"/>
      <c r="B1887"/>
      <c r="C1887"/>
      <c r="D1887"/>
      <c r="E1887" s="2">
        <f>Comuni__2[[#This Row],[Popolazione2011]]/$D$7911</f>
        <v>1.728284787406751E-5</v>
      </c>
      <c r="F1887">
        <f>SUMIFS($D$2:$D$7909, $B$2:$B$7909, "Friuli-Venezia Giulia")</f>
        <v>1220291</v>
      </c>
      <c r="G1887" s="1">
        <f>Comuni__2[[#This Row],[Popolazione2011]]/Comuni__2[[#This Row],[POPOLAZIONE TOTALE DI OGNI REGIONE (CON FILTRO)]]</f>
        <v>8.4160253578859469E-4</v>
      </c>
      <c r="H1887" t="str">
        <f>IF(Comuni__2[[#This Row],[Popolazione2011]]&gt;300000,"MAGGIORE","")</f>
        <v/>
      </c>
      <c r="J1887">
        <v>195</v>
      </c>
      <c r="K1887">
        <v>6878</v>
      </c>
      <c r="L1887">
        <v>865</v>
      </c>
    </row>
    <row r="1888" spans="1:12" x14ac:dyDescent="0.2">
      <c r="A1888"/>
      <c r="B1888"/>
      <c r="C1888"/>
      <c r="D1888"/>
      <c r="E1888" s="2">
        <f>Comuni__2[[#This Row],[Popolazione2011]]/$D$7911</f>
        <v>1.6912621337329942E-5</v>
      </c>
      <c r="F1888">
        <f>SUMIFS($D$2:$D$7909, $B$2:$B$7909, "Friuli-Venezia Giulia")</f>
        <v>1220291</v>
      </c>
      <c r="G1888" s="1">
        <f>Comuni__2[[#This Row],[Popolazione2011]]/Comuni__2[[#This Row],[POPOLAZIONE TOTALE DI OGNI REGIONE (CON FILTRO)]]</f>
        <v>8.2357404914073769E-4</v>
      </c>
      <c r="H1888" t="str">
        <f>IF(Comuni__2[[#This Row],[Popolazione2011]]&gt;300000,"MAGGIORE","")</f>
        <v/>
      </c>
      <c r="J1888">
        <v>193</v>
      </c>
      <c r="K1888">
        <v>6886</v>
      </c>
      <c r="L1888">
        <v>865</v>
      </c>
    </row>
    <row r="1889" spans="1:12" x14ac:dyDescent="0.2">
      <c r="A1889"/>
      <c r="B1889"/>
      <c r="C1889"/>
      <c r="D1889"/>
      <c r="E1889" s="2">
        <f>Comuni__2[[#This Row],[Popolazione2011]]/$D$7911</f>
        <v>1.632362457433835E-5</v>
      </c>
      <c r="F1889">
        <f>SUMIFS($D$2:$D$7909, $B$2:$B$7909, "Friuli-Venezia Giulia")</f>
        <v>1220291</v>
      </c>
      <c r="G1889" s="1">
        <f>Comuni__2[[#This Row],[Popolazione2011]]/Comuni__2[[#This Row],[POPOLAZIONE TOTALE DI OGNI REGIONE (CON FILTRO)]]</f>
        <v>7.9489236583732891E-4</v>
      </c>
      <c r="H1889" t="str">
        <f>IF(Comuni__2[[#This Row],[Popolazione2011]]&gt;300000,"MAGGIORE","")</f>
        <v/>
      </c>
      <c r="J1889">
        <v>192</v>
      </c>
      <c r="K1889">
        <v>6891</v>
      </c>
      <c r="L1889">
        <v>865</v>
      </c>
    </row>
    <row r="1890" spans="1:12" x14ac:dyDescent="0.2">
      <c r="A1890"/>
      <c r="B1890"/>
      <c r="C1890"/>
      <c r="D1890"/>
      <c r="E1890" s="2">
        <f>Comuni__2[[#This Row],[Popolazione2011]]/$D$7911</f>
        <v>1.6306796095395734E-5</v>
      </c>
      <c r="F1890">
        <f>SUMIFS($D$2:$D$7909, $B$2:$B$7909, "Friuli-Venezia Giulia")</f>
        <v>1220291</v>
      </c>
      <c r="G1890" s="1">
        <f>Comuni__2[[#This Row],[Popolazione2011]]/Comuni__2[[#This Row],[POPOLAZIONE TOTALE DI OGNI REGIONE (CON FILTRO)]]</f>
        <v>7.9407288917151728E-4</v>
      </c>
      <c r="H1890" t="str">
        <f>IF(Comuni__2[[#This Row],[Popolazione2011]]&gt;300000,"MAGGIORE","")</f>
        <v/>
      </c>
      <c r="J1890">
        <v>197</v>
      </c>
      <c r="K1890">
        <v>6901</v>
      </c>
      <c r="L1890">
        <v>866</v>
      </c>
    </row>
    <row r="1891" spans="1:12" x14ac:dyDescent="0.2">
      <c r="A1891"/>
      <c r="B1891"/>
      <c r="C1891"/>
      <c r="D1891"/>
      <c r="E1891" s="2">
        <f>Comuni__2[[#This Row],[Popolazione2011]]/$D$7911</f>
        <v>1.5835598685002462E-5</v>
      </c>
      <c r="F1891">
        <f>SUMIFS($D$2:$D$7909, $B$2:$B$7909, "Friuli-Venezia Giulia")</f>
        <v>1220291</v>
      </c>
      <c r="G1891" s="1">
        <f>Comuni__2[[#This Row],[Popolazione2011]]/Comuni__2[[#This Row],[POPOLAZIONE TOTALE DI OGNI REGIONE (CON FILTRO)]]</f>
        <v>7.7112754252879026E-4</v>
      </c>
      <c r="H1891" t="str">
        <f>IF(Comuni__2[[#This Row],[Popolazione2011]]&gt;300000,"MAGGIORE","")</f>
        <v/>
      </c>
      <c r="J1891">
        <v>197</v>
      </c>
      <c r="K1891">
        <v>6910</v>
      </c>
      <c r="L1891">
        <v>866</v>
      </c>
    </row>
    <row r="1892" spans="1:12" x14ac:dyDescent="0.2">
      <c r="A1892"/>
      <c r="B1892"/>
      <c r="C1892"/>
      <c r="D1892"/>
      <c r="E1892" s="2">
        <f>Comuni__2[[#This Row],[Popolazione2011]]/$D$7911</f>
        <v>1.5599999979805826E-5</v>
      </c>
      <c r="F1892">
        <f>SUMIFS($D$2:$D$7909, $B$2:$B$7909, "Friuli-Venezia Giulia")</f>
        <v>1220291</v>
      </c>
      <c r="G1892" s="1">
        <f>Comuni__2[[#This Row],[Popolazione2011]]/Comuni__2[[#This Row],[POPOLAZIONE TOTALE DI OGNI REGIONE (CON FILTRO)]]</f>
        <v>7.5965486920742675E-4</v>
      </c>
      <c r="H1892" t="str">
        <f>IF(Comuni__2[[#This Row],[Popolazione2011]]&gt;300000,"MAGGIORE","")</f>
        <v/>
      </c>
      <c r="J1892">
        <v>203</v>
      </c>
      <c r="K1892">
        <v>6912</v>
      </c>
      <c r="L1892">
        <v>867</v>
      </c>
    </row>
    <row r="1893" spans="1:12" x14ac:dyDescent="0.2">
      <c r="A1893"/>
      <c r="B1893"/>
      <c r="C1893"/>
      <c r="D1893"/>
      <c r="E1893" s="2">
        <f>Comuni__2[[#This Row],[Popolazione2011]]/$D$7911</f>
        <v>1.536440127460919E-5</v>
      </c>
      <c r="F1893">
        <f>SUMIFS($D$2:$D$7909, $B$2:$B$7909, "Friuli-Venezia Giulia")</f>
        <v>1220291</v>
      </c>
      <c r="G1893" s="1">
        <f>Comuni__2[[#This Row],[Popolazione2011]]/Comuni__2[[#This Row],[POPOLAZIONE TOTALE DI OGNI REGIONE (CON FILTRO)]]</f>
        <v>7.4818219588606324E-4</v>
      </c>
      <c r="H1893" t="str">
        <f>IF(Comuni__2[[#This Row],[Popolazione2011]]&gt;300000,"MAGGIORE","")</f>
        <v/>
      </c>
      <c r="J1893">
        <v>212</v>
      </c>
      <c r="K1893">
        <v>6915</v>
      </c>
      <c r="L1893">
        <v>867</v>
      </c>
    </row>
    <row r="1894" spans="1:12" x14ac:dyDescent="0.2">
      <c r="A1894"/>
      <c r="B1894"/>
      <c r="C1894"/>
      <c r="D1894"/>
      <c r="E1894" s="2">
        <f>Comuni__2[[#This Row],[Popolazione2011]]/$D$7911</f>
        <v>1.5246601922010871E-5</v>
      </c>
      <c r="F1894">
        <f>SUMIFS($D$2:$D$7909, $B$2:$B$7909, "Friuli-Venezia Giulia")</f>
        <v>1220291</v>
      </c>
      <c r="G1894" s="1">
        <f>Comuni__2[[#This Row],[Popolazione2011]]/Comuni__2[[#This Row],[POPOLAZIONE TOTALE DI OGNI REGIONE (CON FILTRO)]]</f>
        <v>7.4244585922538149E-4</v>
      </c>
      <c r="H1894" t="str">
        <f>IF(Comuni__2[[#This Row],[Popolazione2011]]&gt;300000,"MAGGIORE","")</f>
        <v/>
      </c>
      <c r="J1894">
        <v>199</v>
      </c>
      <c r="K1894">
        <v>6931</v>
      </c>
      <c r="L1894">
        <v>868</v>
      </c>
    </row>
    <row r="1895" spans="1:12" x14ac:dyDescent="0.2">
      <c r="A1895"/>
      <c r="B1895"/>
      <c r="C1895"/>
      <c r="D1895"/>
      <c r="E1895" s="2">
        <f>Comuni__2[[#This Row],[Popolazione2011]]/$D$7911</f>
        <v>1.4825889948445451E-5</v>
      </c>
      <c r="F1895">
        <f>SUMIFS($D$2:$D$7909, $B$2:$B$7909, "Friuli-Venezia Giulia")</f>
        <v>1220291</v>
      </c>
      <c r="G1895" s="1">
        <f>Comuni__2[[#This Row],[Popolazione2011]]/Comuni__2[[#This Row],[POPOLAZIONE TOTALE DI OGNI REGIONE (CON FILTRO)]]</f>
        <v>7.2195894258008948E-4</v>
      </c>
      <c r="H1895" t="str">
        <f>IF(Comuni__2[[#This Row],[Popolazione2011]]&gt;300000,"MAGGIORE","")</f>
        <v/>
      </c>
      <c r="J1895">
        <v>204</v>
      </c>
      <c r="K1895">
        <v>6960</v>
      </c>
      <c r="L1895">
        <v>869</v>
      </c>
    </row>
    <row r="1896" spans="1:12" x14ac:dyDescent="0.2">
      <c r="A1896"/>
      <c r="B1896"/>
      <c r="C1896"/>
      <c r="D1896"/>
      <c r="E1896" s="2">
        <f>Comuni__2[[#This Row],[Popolazione2011]]/$D$7911</f>
        <v>1.4152750790740775E-5</v>
      </c>
      <c r="F1896">
        <f>SUMIFS($D$2:$D$7909, $B$2:$B$7909, "Friuli-Venezia Giulia")</f>
        <v>1220291</v>
      </c>
      <c r="G1896" s="1">
        <f>Comuni__2[[#This Row],[Popolazione2011]]/Comuni__2[[#This Row],[POPOLAZIONE TOTALE DI OGNI REGIONE (CON FILTRO)]]</f>
        <v>6.8917987594762232E-4</v>
      </c>
      <c r="H1896" t="str">
        <f>IF(Comuni__2[[#This Row],[Popolazione2011]]&gt;300000,"MAGGIORE","")</f>
        <v/>
      </c>
      <c r="J1896">
        <v>201</v>
      </c>
      <c r="K1896">
        <v>6966</v>
      </c>
      <c r="L1896">
        <v>870</v>
      </c>
    </row>
    <row r="1897" spans="1:12" x14ac:dyDescent="0.2">
      <c r="A1897"/>
      <c r="B1897"/>
      <c r="C1897"/>
      <c r="D1897"/>
      <c r="E1897" s="2">
        <f>Comuni__2[[#This Row],[Popolazione2011]]/$D$7911</f>
        <v>1.3765695775060587E-5</v>
      </c>
      <c r="F1897">
        <f>SUMIFS($D$2:$D$7909, $B$2:$B$7909, "Friuli-Venezia Giulia")</f>
        <v>1220291</v>
      </c>
      <c r="G1897" s="1">
        <f>Comuni__2[[#This Row],[Popolazione2011]]/Comuni__2[[#This Row],[POPOLAZIONE TOTALE DI OGNI REGIONE (CON FILTRO)]]</f>
        <v>6.7033191263395368E-4</v>
      </c>
      <c r="H1897" t="str">
        <f>IF(Comuni__2[[#This Row],[Popolazione2011]]&gt;300000,"MAGGIORE","")</f>
        <v/>
      </c>
      <c r="J1897">
        <v>202</v>
      </c>
      <c r="K1897">
        <v>6971</v>
      </c>
      <c r="L1897">
        <v>870</v>
      </c>
    </row>
    <row r="1898" spans="1:12" x14ac:dyDescent="0.2">
      <c r="A1898"/>
      <c r="B1898"/>
      <c r="C1898"/>
      <c r="D1898"/>
      <c r="E1898" s="2">
        <f>Comuni__2[[#This Row],[Popolazione2011]]/$D$7911</f>
        <v>1.3614239464577037E-5</v>
      </c>
      <c r="F1898">
        <f>SUMIFS($D$2:$D$7909, $B$2:$B$7909, "Friuli-Venezia Giulia")</f>
        <v>1220291</v>
      </c>
      <c r="G1898" s="1">
        <f>Comuni__2[[#This Row],[Popolazione2011]]/Comuni__2[[#This Row],[POPOLAZIONE TOTALE DI OGNI REGIONE (CON FILTRO)]]</f>
        <v>6.6295662264164855E-4</v>
      </c>
      <c r="H1898" t="str">
        <f>IF(Comuni__2[[#This Row],[Popolazione2011]]&gt;300000,"MAGGIORE","")</f>
        <v/>
      </c>
      <c r="J1898">
        <v>213</v>
      </c>
      <c r="K1898">
        <v>6973</v>
      </c>
      <c r="L1898">
        <v>870</v>
      </c>
    </row>
    <row r="1899" spans="1:12" x14ac:dyDescent="0.2">
      <c r="A1899"/>
      <c r="B1899"/>
      <c r="C1899"/>
      <c r="D1899"/>
      <c r="E1899" s="2">
        <f>Comuni__2[[#This Row],[Popolazione2011]]/$D$7911</f>
        <v>1.3429126196208251E-5</v>
      </c>
      <c r="F1899">
        <f>SUMIFS($D$2:$D$7909, $B$2:$B$7909, "Friuli-Venezia Giulia")</f>
        <v>1220291</v>
      </c>
      <c r="G1899" s="1">
        <f>Comuni__2[[#This Row],[Popolazione2011]]/Comuni__2[[#This Row],[POPOLAZIONE TOTALE DI OGNI REGIONE (CON FILTRO)]]</f>
        <v>6.5394237931772016E-4</v>
      </c>
      <c r="H1899" t="str">
        <f>IF(Comuni__2[[#This Row],[Popolazione2011]]&gt;300000,"MAGGIORE","")</f>
        <v/>
      </c>
      <c r="J1899">
        <v>221</v>
      </c>
      <c r="K1899">
        <v>6979</v>
      </c>
      <c r="L1899">
        <v>870</v>
      </c>
    </row>
    <row r="1900" spans="1:12" x14ac:dyDescent="0.2">
      <c r="A1900"/>
      <c r="B1900"/>
      <c r="C1900"/>
      <c r="D1900"/>
      <c r="E1900" s="2">
        <f>Comuni__2[[#This Row],[Popolazione2011]]/$D$7911</f>
        <v>1.3277669885724699E-5</v>
      </c>
      <c r="F1900">
        <f>SUMIFS($D$2:$D$7909, $B$2:$B$7909, "Friuli-Venezia Giulia")</f>
        <v>1220291</v>
      </c>
      <c r="G1900" s="1">
        <f>Comuni__2[[#This Row],[Popolazione2011]]/Comuni__2[[#This Row],[POPOLAZIONE TOTALE DI OGNI REGIONE (CON FILTRO)]]</f>
        <v>6.4656708932541503E-4</v>
      </c>
      <c r="H1900" t="str">
        <f>IF(Comuni__2[[#This Row],[Popolazione2011]]&gt;300000,"MAGGIORE","")</f>
        <v/>
      </c>
      <c r="J1900">
        <v>224</v>
      </c>
      <c r="K1900">
        <v>6991</v>
      </c>
      <c r="L1900">
        <v>871</v>
      </c>
    </row>
    <row r="1901" spans="1:12" x14ac:dyDescent="0.2">
      <c r="A1901"/>
      <c r="B1901"/>
      <c r="C1901"/>
      <c r="D1901"/>
      <c r="E1901" s="2">
        <f>Comuni__2[[#This Row],[Popolazione2011]]/$D$7911</f>
        <v>1.3193527491011615E-5</v>
      </c>
      <c r="F1901">
        <f>SUMIFS($D$2:$D$7909, $B$2:$B$7909, "Friuli-Venezia Giulia")</f>
        <v>1220291</v>
      </c>
      <c r="G1901" s="1">
        <f>Comuni__2[[#This Row],[Popolazione2011]]/Comuni__2[[#This Row],[POPOLAZIONE TOTALE DI OGNI REGIONE (CON FILTRO)]]</f>
        <v>6.4246970599635665E-4</v>
      </c>
      <c r="H1901" t="str">
        <f>IF(Comuni__2[[#This Row],[Popolazione2011]]&gt;300000,"MAGGIORE","")</f>
        <v/>
      </c>
      <c r="J1901">
        <v>235</v>
      </c>
      <c r="K1901">
        <v>6996</v>
      </c>
      <c r="L1901">
        <v>871</v>
      </c>
    </row>
    <row r="1902" spans="1:12" x14ac:dyDescent="0.2">
      <c r="A1902"/>
      <c r="B1902"/>
      <c r="C1902"/>
      <c r="D1902"/>
      <c r="E1902" s="2">
        <f>Comuni__2[[#This Row],[Popolazione2011]]/$D$7911</f>
        <v>1.3193527491011615E-5</v>
      </c>
      <c r="F1902">
        <f>SUMIFS($D$2:$D$7909, $B$2:$B$7909, "Friuli-Venezia Giulia")</f>
        <v>1220291</v>
      </c>
      <c r="G1902" s="1">
        <f>Comuni__2[[#This Row],[Popolazione2011]]/Comuni__2[[#This Row],[POPOLAZIONE TOTALE DI OGNI REGIONE (CON FILTRO)]]</f>
        <v>6.4246970599635665E-4</v>
      </c>
      <c r="H1902" t="str">
        <f>IF(Comuni__2[[#This Row],[Popolazione2011]]&gt;300000,"MAGGIORE","")</f>
        <v/>
      </c>
      <c r="J1902">
        <v>244</v>
      </c>
      <c r="K1902">
        <v>6999</v>
      </c>
      <c r="L1902">
        <v>872</v>
      </c>
    </row>
    <row r="1903" spans="1:12" x14ac:dyDescent="0.2">
      <c r="A1903"/>
      <c r="B1903"/>
      <c r="C1903"/>
      <c r="D1903"/>
      <c r="E1903" s="2">
        <f>Comuni__2[[#This Row],[Popolazione2011]]/$D$7911</f>
        <v>1.3042071180528063E-5</v>
      </c>
      <c r="F1903">
        <f>SUMIFS($D$2:$D$7909, $B$2:$B$7909, "Friuli-Venezia Giulia")</f>
        <v>1220291</v>
      </c>
      <c r="G1903" s="1">
        <f>Comuni__2[[#This Row],[Popolazione2011]]/Comuni__2[[#This Row],[POPOLAZIONE TOTALE DI OGNI REGIONE (CON FILTRO)]]</f>
        <v>6.3509441600405152E-4</v>
      </c>
      <c r="H1903" t="str">
        <f>IF(Comuni__2[[#This Row],[Popolazione2011]]&gt;300000,"MAGGIORE","")</f>
        <v/>
      </c>
      <c r="J1903">
        <v>254</v>
      </c>
      <c r="K1903">
        <v>7009</v>
      </c>
      <c r="L1903">
        <v>873</v>
      </c>
    </row>
    <row r="1904" spans="1:12" x14ac:dyDescent="0.2">
      <c r="A1904"/>
      <c r="B1904"/>
      <c r="C1904"/>
      <c r="D1904"/>
      <c r="E1904" s="2">
        <f>Comuni__2[[#This Row],[Popolazione2011]]/$D$7911</f>
        <v>1.2907443348987128E-5</v>
      </c>
      <c r="F1904">
        <f>SUMIFS($D$2:$D$7909, $B$2:$B$7909, "Friuli-Venezia Giulia")</f>
        <v>1220291</v>
      </c>
      <c r="G1904" s="1">
        <f>Comuni__2[[#This Row],[Popolazione2011]]/Comuni__2[[#This Row],[POPOLAZIONE TOTALE DI OGNI REGIONE (CON FILTRO)]]</f>
        <v>6.2853860267755802E-4</v>
      </c>
      <c r="H1904" t="str">
        <f>IF(Comuni__2[[#This Row],[Popolazione2011]]&gt;300000,"MAGGIORE","")</f>
        <v/>
      </c>
      <c r="J1904">
        <v>271</v>
      </c>
      <c r="K1904">
        <v>7020</v>
      </c>
      <c r="L1904">
        <v>873</v>
      </c>
    </row>
    <row r="1905" spans="1:12" x14ac:dyDescent="0.2">
      <c r="A1905"/>
      <c r="B1905"/>
      <c r="C1905"/>
      <c r="D1905"/>
      <c r="E1905" s="2">
        <f>Comuni__2[[#This Row],[Popolazione2011]]/$D$7911</f>
        <v>1.183042069665965E-5</v>
      </c>
      <c r="F1905">
        <f>SUMIFS($D$2:$D$7909, $B$2:$B$7909, "Friuli-Venezia Giulia")</f>
        <v>1220291</v>
      </c>
      <c r="G1905" s="1">
        <f>Comuni__2[[#This Row],[Popolazione2011]]/Comuni__2[[#This Row],[POPOLAZIONE TOTALE DI OGNI REGIONE (CON FILTRO)]]</f>
        <v>5.760920960656106E-4</v>
      </c>
      <c r="H1905" t="str">
        <f>IF(Comuni__2[[#This Row],[Popolazione2011]]&gt;300000,"MAGGIORE","")</f>
        <v/>
      </c>
      <c r="J1905">
        <v>292</v>
      </c>
      <c r="K1905">
        <v>7046</v>
      </c>
      <c r="L1905">
        <v>874</v>
      </c>
    </row>
    <row r="1906" spans="1:12" x14ac:dyDescent="0.2">
      <c r="A1906"/>
      <c r="B1906"/>
      <c r="C1906"/>
      <c r="D1906"/>
      <c r="E1906" s="2">
        <f>Comuni__2[[#This Row],[Popolazione2011]]/$D$7911</f>
        <v>1.17799352598318E-5</v>
      </c>
      <c r="F1906">
        <f>SUMIFS($D$2:$D$7909, $B$2:$B$7909, "Friuli-Venezia Giulia")</f>
        <v>1220291</v>
      </c>
      <c r="G1906" s="1">
        <f>Comuni__2[[#This Row],[Popolazione2011]]/Comuni__2[[#This Row],[POPOLAZIONE TOTALE DI OGNI REGIONE (CON FILTRO)]]</f>
        <v>5.7363366606817559E-4</v>
      </c>
      <c r="H1906" t="str">
        <f>IF(Comuni__2[[#This Row],[Popolazione2011]]&gt;300000,"MAGGIORE","")</f>
        <v/>
      </c>
      <c r="J1906">
        <v>305</v>
      </c>
      <c r="K1906">
        <v>7067</v>
      </c>
      <c r="L1906">
        <v>875</v>
      </c>
    </row>
    <row r="1907" spans="1:12" x14ac:dyDescent="0.2">
      <c r="A1907"/>
      <c r="B1907"/>
      <c r="C1907"/>
      <c r="D1907"/>
      <c r="E1907" s="2">
        <f>Comuni__2[[#This Row],[Popolazione2011]]/$D$7911</f>
        <v>1.1712621344061332E-5</v>
      </c>
      <c r="F1907">
        <f>SUMIFS($D$2:$D$7909, $B$2:$B$7909, "Friuli-Venezia Giulia")</f>
        <v>1220291</v>
      </c>
      <c r="G1907" s="1">
        <f>Comuni__2[[#This Row],[Popolazione2011]]/Comuni__2[[#This Row],[POPOLAZIONE TOTALE DI OGNI REGIONE (CON FILTRO)]]</f>
        <v>5.7035575940492884E-4</v>
      </c>
      <c r="H1907" t="str">
        <f>IF(Comuni__2[[#This Row],[Popolazione2011]]&gt;300000,"MAGGIORE","")</f>
        <v/>
      </c>
      <c r="J1907">
        <v>287</v>
      </c>
      <c r="K1907">
        <v>7077</v>
      </c>
      <c r="L1907">
        <v>875</v>
      </c>
    </row>
    <row r="1908" spans="1:12" x14ac:dyDescent="0.2">
      <c r="A1908"/>
      <c r="B1908"/>
      <c r="C1908"/>
      <c r="D1908"/>
      <c r="E1908" s="2">
        <f>Comuni__2[[#This Row],[Popolazione2011]]/$D$7911</f>
        <v>1.1426537202036846E-5</v>
      </c>
      <c r="F1908">
        <f>SUMIFS($D$2:$D$7909, $B$2:$B$7909, "Friuli-Venezia Giulia")</f>
        <v>1220291</v>
      </c>
      <c r="G1908" s="1">
        <f>Comuni__2[[#This Row],[Popolazione2011]]/Comuni__2[[#This Row],[POPOLAZIONE TOTALE DI OGNI REGIONE (CON FILTRO)]]</f>
        <v>5.5642465608613033E-4</v>
      </c>
      <c r="H1908" t="str">
        <f>IF(Comuni__2[[#This Row],[Popolazione2011]]&gt;300000,"MAGGIORE","")</f>
        <v/>
      </c>
      <c r="J1908">
        <v>269</v>
      </c>
      <c r="K1908">
        <v>7110</v>
      </c>
      <c r="L1908">
        <v>876</v>
      </c>
    </row>
    <row r="1909" spans="1:12" x14ac:dyDescent="0.2">
      <c r="A1909"/>
      <c r="B1909"/>
      <c r="C1909"/>
      <c r="D1909"/>
      <c r="E1909" s="2">
        <f>Comuni__2[[#This Row],[Popolazione2011]]/$D$7911</f>
        <v>1.0854368917987872E-5</v>
      </c>
      <c r="F1909">
        <f>SUMIFS($D$2:$D$7909, $B$2:$B$7909, "Friuli-Venezia Giulia")</f>
        <v>1220291</v>
      </c>
      <c r="G1909" s="1">
        <f>Comuni__2[[#This Row],[Popolazione2011]]/Comuni__2[[#This Row],[POPOLAZIONE TOTALE DI OGNI REGIONE (CON FILTRO)]]</f>
        <v>5.2856244944853319E-4</v>
      </c>
      <c r="H1909" t="str">
        <f>IF(Comuni__2[[#This Row],[Popolazione2011]]&gt;300000,"MAGGIORE","")</f>
        <v/>
      </c>
      <c r="J1909">
        <v>274</v>
      </c>
      <c r="K1909">
        <v>7118</v>
      </c>
      <c r="L1909">
        <v>877</v>
      </c>
    </row>
    <row r="1910" spans="1:12" x14ac:dyDescent="0.2">
      <c r="A1910"/>
      <c r="B1910"/>
      <c r="C1910"/>
      <c r="D1910"/>
      <c r="E1910" s="2">
        <f>Comuni__2[[#This Row],[Popolazione2011]]/$D$7911</f>
        <v>1.0803883481160022E-5</v>
      </c>
      <c r="F1910">
        <f>SUMIFS($D$2:$D$7909, $B$2:$B$7909, "Friuli-Venezia Giulia")</f>
        <v>1220291</v>
      </c>
      <c r="G1910" s="1">
        <f>Comuni__2[[#This Row],[Popolazione2011]]/Comuni__2[[#This Row],[POPOLAZIONE TOTALE DI OGNI REGIONE (CON FILTRO)]]</f>
        <v>5.2610401945109818E-4</v>
      </c>
      <c r="H1910" t="str">
        <f>IF(Comuni__2[[#This Row],[Popolazione2011]]&gt;300000,"MAGGIORE","")</f>
        <v/>
      </c>
      <c r="J1910">
        <v>289</v>
      </c>
      <c r="K1910">
        <v>7122</v>
      </c>
      <c r="L1910">
        <v>878</v>
      </c>
    </row>
    <row r="1911" spans="1:12" x14ac:dyDescent="0.2">
      <c r="A1911"/>
      <c r="B1911"/>
      <c r="C1911"/>
      <c r="D1911"/>
      <c r="E1911" s="2">
        <f>Comuni__2[[#This Row],[Popolazione2011]]/$D$7911</f>
        <v>1.043365694442245E-5</v>
      </c>
      <c r="F1911">
        <f>SUMIFS($D$2:$D$7909, $B$2:$B$7909, "Friuli-Venezia Giulia")</f>
        <v>1220291</v>
      </c>
      <c r="G1911" s="1">
        <f>Comuni__2[[#This Row],[Popolazione2011]]/Comuni__2[[#This Row],[POPOLAZIONE TOTALE DI OGNI REGIONE (CON FILTRO)]]</f>
        <v>5.0807553280324117E-4</v>
      </c>
      <c r="H1911" t="str">
        <f>IF(Comuni__2[[#This Row],[Popolazione2011]]&gt;300000,"MAGGIORE","")</f>
        <v/>
      </c>
      <c r="J1911">
        <v>301</v>
      </c>
      <c r="K1911">
        <v>7127</v>
      </c>
      <c r="L1911">
        <v>878</v>
      </c>
    </row>
    <row r="1912" spans="1:12" x14ac:dyDescent="0.2">
      <c r="A1912"/>
      <c r="B1912"/>
      <c r="C1912"/>
      <c r="D1912"/>
      <c r="E1912" s="2">
        <f>Comuni__2[[#This Row],[Popolazione2011]]/$D$7911</f>
        <v>1.043365694442245E-5</v>
      </c>
      <c r="F1912">
        <f>SUMIFS($D$2:$D$7909, $B$2:$B$7909, "Friuli-Venezia Giulia")</f>
        <v>1220291</v>
      </c>
      <c r="G1912" s="1">
        <f>Comuni__2[[#This Row],[Popolazione2011]]/Comuni__2[[#This Row],[POPOLAZIONE TOTALE DI OGNI REGIONE (CON FILTRO)]]</f>
        <v>5.0807553280324117E-4</v>
      </c>
      <c r="H1912" t="str">
        <f>IF(Comuni__2[[#This Row],[Popolazione2011]]&gt;300000,"MAGGIORE","")</f>
        <v/>
      </c>
      <c r="J1912">
        <v>317</v>
      </c>
      <c r="K1912">
        <v>7130</v>
      </c>
      <c r="L1912">
        <v>878</v>
      </c>
    </row>
    <row r="1913" spans="1:12" x14ac:dyDescent="0.2">
      <c r="A1913"/>
      <c r="B1913"/>
      <c r="C1913"/>
      <c r="D1913"/>
      <c r="E1913" s="2">
        <f>Comuni__2[[#This Row],[Popolazione2011]]/$D$7911</f>
        <v>1.0198058239225814E-5</v>
      </c>
      <c r="F1913">
        <f>SUMIFS($D$2:$D$7909, $B$2:$B$7909, "Friuli-Venezia Giulia")</f>
        <v>1220291</v>
      </c>
      <c r="G1913" s="1">
        <f>Comuni__2[[#This Row],[Popolazione2011]]/Comuni__2[[#This Row],[POPOLAZIONE TOTALE DI OGNI REGIONE (CON FILTRO)]]</f>
        <v>4.9660285948187766E-4</v>
      </c>
      <c r="H1913" t="str">
        <f>IF(Comuni__2[[#This Row],[Popolazione2011]]&gt;300000,"MAGGIORE","")</f>
        <v/>
      </c>
      <c r="J1913">
        <v>335</v>
      </c>
      <c r="K1913">
        <v>7139</v>
      </c>
      <c r="L1913">
        <v>878</v>
      </c>
    </row>
    <row r="1914" spans="1:12" x14ac:dyDescent="0.2">
      <c r="A1914"/>
      <c r="B1914"/>
      <c r="C1914"/>
      <c r="D1914"/>
      <c r="E1914" s="2">
        <f>Comuni__2[[#This Row],[Popolazione2011]]/$D$7911</f>
        <v>9.4239482078654387E-6</v>
      </c>
      <c r="F1914">
        <f>SUMIFS($D$2:$D$7909, $B$2:$B$7909, "Friuli-Venezia Giulia")</f>
        <v>1220291</v>
      </c>
      <c r="G1914" s="1">
        <f>Comuni__2[[#This Row],[Popolazione2011]]/Comuni__2[[#This Row],[POPOLAZIONE TOTALE DI OGNI REGIONE (CON FILTRO)]]</f>
        <v>4.5890693285454044E-4</v>
      </c>
      <c r="H1914" t="str">
        <f>IF(Comuni__2[[#This Row],[Popolazione2011]]&gt;300000,"MAGGIORE","")</f>
        <v/>
      </c>
      <c r="J1914">
        <v>344</v>
      </c>
      <c r="K1914">
        <v>7153</v>
      </c>
      <c r="L1914">
        <v>878</v>
      </c>
    </row>
    <row r="1915" spans="1:12" x14ac:dyDescent="0.2">
      <c r="A1915"/>
      <c r="B1915"/>
      <c r="C1915"/>
      <c r="D1915"/>
      <c r="E1915" s="2">
        <f>Comuni__2[[#This Row],[Popolazione2011]]/$D$7911</f>
        <v>9.3902912499802048E-6</v>
      </c>
      <c r="F1915">
        <f>SUMIFS($D$2:$D$7909, $B$2:$B$7909, "Friuli-Venezia Giulia")</f>
        <v>1220291</v>
      </c>
      <c r="G1915" s="1">
        <f>Comuni__2[[#This Row],[Popolazione2011]]/Comuni__2[[#This Row],[POPOLAZIONE TOTALE DI OGNI REGIONE (CON FILTRO)]]</f>
        <v>4.5726797952291707E-4</v>
      </c>
      <c r="H1915" t="str">
        <f>IF(Comuni__2[[#This Row],[Popolazione2011]]&gt;300000,"MAGGIORE","")</f>
        <v/>
      </c>
      <c r="J1915">
        <v>352</v>
      </c>
      <c r="K1915">
        <v>7161</v>
      </c>
      <c r="L1915">
        <v>878</v>
      </c>
    </row>
    <row r="1916" spans="1:12" x14ac:dyDescent="0.2">
      <c r="A1916"/>
      <c r="B1916"/>
      <c r="C1916"/>
      <c r="D1916"/>
      <c r="E1916" s="2">
        <f>Comuni__2[[#This Row],[Popolazione2011]]/$D$7911</f>
        <v>8.9527507974721669E-6</v>
      </c>
      <c r="F1916">
        <f>SUMIFS($D$2:$D$7909, $B$2:$B$7909, "Friuli-Venezia Giulia")</f>
        <v>1220291</v>
      </c>
      <c r="G1916" s="1">
        <f>Comuni__2[[#This Row],[Popolazione2011]]/Comuni__2[[#This Row],[POPOLAZIONE TOTALE DI OGNI REGIONE (CON FILTRO)]]</f>
        <v>4.3596158621181342E-4</v>
      </c>
      <c r="H1916" t="str">
        <f>IF(Comuni__2[[#This Row],[Popolazione2011]]&gt;300000,"MAGGIORE","")</f>
        <v/>
      </c>
      <c r="J1916">
        <v>360</v>
      </c>
      <c r="K1916">
        <v>7177</v>
      </c>
      <c r="L1916">
        <v>879</v>
      </c>
    </row>
    <row r="1917" spans="1:12" x14ac:dyDescent="0.2">
      <c r="A1917"/>
      <c r="B1917"/>
      <c r="C1917"/>
      <c r="D1917"/>
      <c r="E1917" s="2">
        <f>Comuni__2[[#This Row],[Popolazione2011]]/$D$7911</f>
        <v>8.5488673028493629E-6</v>
      </c>
      <c r="F1917">
        <f>SUMIFS($D$2:$D$7909, $B$2:$B$7909, "Friuli-Venezia Giulia")</f>
        <v>1220291</v>
      </c>
      <c r="G1917" s="1">
        <f>Comuni__2[[#This Row],[Popolazione2011]]/Comuni__2[[#This Row],[POPOLAZIONE TOTALE DI OGNI REGIONE (CON FILTRO)]]</f>
        <v>4.162941462323331E-4</v>
      </c>
      <c r="H1917" t="str">
        <f>IF(Comuni__2[[#This Row],[Popolazione2011]]&gt;300000,"MAGGIORE","")</f>
        <v/>
      </c>
      <c r="J1917">
        <v>372</v>
      </c>
      <c r="K1917">
        <v>7204</v>
      </c>
      <c r="L1917">
        <v>879</v>
      </c>
    </row>
    <row r="1918" spans="1:12" x14ac:dyDescent="0.2">
      <c r="A1918"/>
      <c r="B1918"/>
      <c r="C1918"/>
      <c r="D1918"/>
      <c r="E1918" s="2">
        <f>Comuni__2[[#This Row],[Popolazione2011]]/$D$7911</f>
        <v>8.4478964291936611E-6</v>
      </c>
      <c r="F1918">
        <f>SUMIFS($D$2:$D$7909, $B$2:$B$7909, "Friuli-Venezia Giulia")</f>
        <v>1220291</v>
      </c>
      <c r="G1918" s="1">
        <f>Comuni__2[[#This Row],[Popolazione2011]]/Comuni__2[[#This Row],[POPOLAZIONE TOTALE DI OGNI REGIONE (CON FILTRO)]]</f>
        <v>4.1137728623746303E-4</v>
      </c>
      <c r="H1918" t="str">
        <f>IF(Comuni__2[[#This Row],[Popolazione2011]]&gt;300000,"MAGGIORE","")</f>
        <v/>
      </c>
      <c r="J1918">
        <v>355</v>
      </c>
      <c r="K1918">
        <v>7242</v>
      </c>
      <c r="L1918">
        <v>880</v>
      </c>
    </row>
    <row r="1919" spans="1:12" x14ac:dyDescent="0.2">
      <c r="A1919"/>
      <c r="B1919"/>
      <c r="C1919"/>
      <c r="D1919"/>
      <c r="E1919" s="2">
        <f>Comuni__2[[#This Row],[Popolazione2011]]/$D$7911</f>
        <v>8.111326850341325E-6</v>
      </c>
      <c r="F1919">
        <f>SUMIFS($D$2:$D$7909, $B$2:$B$7909, "Friuli-Venezia Giulia")</f>
        <v>1220291</v>
      </c>
      <c r="G1919" s="1">
        <f>Comuni__2[[#This Row],[Popolazione2011]]/Comuni__2[[#This Row],[POPOLAZIONE TOTALE DI OGNI REGIONE (CON FILTRO)]]</f>
        <v>3.9498775292122945E-4</v>
      </c>
      <c r="H1919" t="str">
        <f>IF(Comuni__2[[#This Row],[Popolazione2011]]&gt;300000,"MAGGIORE","")</f>
        <v/>
      </c>
      <c r="J1919">
        <v>365</v>
      </c>
      <c r="K1919">
        <v>7257</v>
      </c>
      <c r="L1919">
        <v>881</v>
      </c>
    </row>
    <row r="1920" spans="1:12" x14ac:dyDescent="0.2">
      <c r="A1920"/>
      <c r="B1920"/>
      <c r="C1920"/>
      <c r="D1920"/>
      <c r="E1920" s="2">
        <f>Comuni__2[[#This Row],[Popolazione2011]]/$D$7911</f>
        <v>7.0847896348416964E-6</v>
      </c>
      <c r="F1920">
        <f>SUMIFS($D$2:$D$7909, $B$2:$B$7909, "Friuli-Venezia Giulia")</f>
        <v>1220291</v>
      </c>
      <c r="G1920" s="1">
        <f>Comuni__2[[#This Row],[Popolazione2011]]/Comuni__2[[#This Row],[POPOLAZIONE TOTALE DI OGNI REGIONE (CON FILTRO)]]</f>
        <v>3.4499967630671703E-4</v>
      </c>
      <c r="H1920" t="str">
        <f>IF(Comuni__2[[#This Row],[Popolazione2011]]&gt;300000,"MAGGIORE","")</f>
        <v/>
      </c>
      <c r="J1920">
        <v>368</v>
      </c>
      <c r="K1920">
        <v>7294</v>
      </c>
      <c r="L1920">
        <v>881</v>
      </c>
    </row>
    <row r="1921" spans="1:12" x14ac:dyDescent="0.2">
      <c r="A1921"/>
      <c r="B1921"/>
      <c r="C1921"/>
      <c r="D1921"/>
      <c r="E1921" s="2">
        <f>Comuni__2[[#This Row],[Popolazione2011]]/$D$7911</f>
        <v>7.0511326769564625E-6</v>
      </c>
      <c r="F1921">
        <f>SUMIFS($D$2:$D$7909, $B$2:$B$7909, "Friuli-Venezia Giulia")</f>
        <v>1220291</v>
      </c>
      <c r="G1921" s="1">
        <f>Comuni__2[[#This Row],[Popolazione2011]]/Comuni__2[[#This Row],[POPOLAZIONE TOTALE DI OGNI REGIONE (CON FILTRO)]]</f>
        <v>3.4336072297509366E-4</v>
      </c>
      <c r="H1921" t="str">
        <f>IF(Comuni__2[[#This Row],[Popolazione2011]]&gt;300000,"MAGGIORE","")</f>
        <v/>
      </c>
      <c r="J1921">
        <v>363</v>
      </c>
      <c r="K1921">
        <v>7334</v>
      </c>
      <c r="L1921">
        <v>881</v>
      </c>
    </row>
    <row r="1922" spans="1:12" x14ac:dyDescent="0.2">
      <c r="A1922"/>
      <c r="B1922"/>
      <c r="C1922"/>
      <c r="D1922"/>
      <c r="E1922" s="2">
        <f>Comuni__2[[#This Row],[Popolazione2011]]/$D$7911</f>
        <v>6.8996763664729106E-6</v>
      </c>
      <c r="F1922">
        <f>SUMIFS($D$2:$D$7909, $B$2:$B$7909, "Friuli-Venezia Giulia")</f>
        <v>1220291</v>
      </c>
      <c r="G1922" s="1">
        <f>Comuni__2[[#This Row],[Popolazione2011]]/Comuni__2[[#This Row],[POPOLAZIONE TOTALE DI OGNI REGIONE (CON FILTRO)]]</f>
        <v>3.3598543298278853E-4</v>
      </c>
      <c r="H1922" t="str">
        <f>IF(Comuni__2[[#This Row],[Popolazione2011]]&gt;300000,"MAGGIORE","")</f>
        <v/>
      </c>
      <c r="J1922">
        <v>367</v>
      </c>
      <c r="K1922">
        <v>7363</v>
      </c>
      <c r="L1922">
        <v>881</v>
      </c>
    </row>
    <row r="1923" spans="1:12" x14ac:dyDescent="0.2">
      <c r="A1923"/>
      <c r="B1923"/>
      <c r="C1923"/>
      <c r="D1923"/>
      <c r="E1923" s="2">
        <f>Comuni__2[[#This Row],[Popolazione2011]]/$D$7911</f>
        <v>6.6977346191615086E-6</v>
      </c>
      <c r="F1923">
        <f>SUMIFS($D$2:$D$7909, $B$2:$B$7909, "Friuli-Venezia Giulia")</f>
        <v>1220291</v>
      </c>
      <c r="G1923" s="1">
        <f>Comuni__2[[#This Row],[Popolazione2011]]/Comuni__2[[#This Row],[POPOLAZIONE TOTALE DI OGNI REGIONE (CON FILTRO)]]</f>
        <v>3.2615171299304839E-4</v>
      </c>
      <c r="H1923" t="str">
        <f>IF(Comuni__2[[#This Row],[Popolazione2011]]&gt;300000,"MAGGIORE","")</f>
        <v/>
      </c>
      <c r="J1923">
        <v>381</v>
      </c>
      <c r="K1923">
        <v>7413</v>
      </c>
      <c r="L1923">
        <v>882</v>
      </c>
    </row>
    <row r="1924" spans="1:12" x14ac:dyDescent="0.2">
      <c r="A1924"/>
      <c r="B1924"/>
      <c r="C1924"/>
      <c r="D1924"/>
      <c r="E1924" s="2">
        <f>Comuni__2[[#This Row],[Popolazione2011]]/$D$7911</f>
        <v>6.5631067876205737E-6</v>
      </c>
      <c r="F1924">
        <f>SUMIFS($D$2:$D$7909, $B$2:$B$7909, "Friuli-Venezia Giulia")</f>
        <v>1220291</v>
      </c>
      <c r="G1924" s="1">
        <f>Comuni__2[[#This Row],[Popolazione2011]]/Comuni__2[[#This Row],[POPOLAZIONE TOTALE DI OGNI REGIONE (CON FILTRO)]]</f>
        <v>3.1959589966655495E-4</v>
      </c>
      <c r="H1924" t="str">
        <f>IF(Comuni__2[[#This Row],[Popolazione2011]]&gt;300000,"MAGGIORE","")</f>
        <v/>
      </c>
      <c r="J1924">
        <v>379</v>
      </c>
      <c r="K1924">
        <v>7466</v>
      </c>
      <c r="L1924">
        <v>883</v>
      </c>
    </row>
    <row r="1925" spans="1:12" x14ac:dyDescent="0.2">
      <c r="A1925"/>
      <c r="B1925"/>
      <c r="C1925"/>
      <c r="D1925"/>
      <c r="E1925" s="2">
        <f>Comuni__2[[#This Row],[Popolazione2011]]/$D$7911</f>
        <v>6.5631067876205737E-6</v>
      </c>
      <c r="F1925">
        <f>SUMIFS($D$2:$D$7909, $B$2:$B$7909, "Friuli-Venezia Giulia")</f>
        <v>1220291</v>
      </c>
      <c r="G1925" s="1">
        <f>Comuni__2[[#This Row],[Popolazione2011]]/Comuni__2[[#This Row],[POPOLAZIONE TOTALE DI OGNI REGIONE (CON FILTRO)]]</f>
        <v>3.1959589966655495E-4</v>
      </c>
      <c r="H1925" t="str">
        <f>IF(Comuni__2[[#This Row],[Popolazione2011]]&gt;300000,"MAGGIORE","")</f>
        <v/>
      </c>
      <c r="J1925">
        <v>417</v>
      </c>
      <c r="K1925">
        <v>7475</v>
      </c>
      <c r="L1925">
        <v>884</v>
      </c>
    </row>
    <row r="1926" spans="1:12" x14ac:dyDescent="0.2">
      <c r="A1926"/>
      <c r="B1926"/>
      <c r="C1926"/>
      <c r="D1926"/>
      <c r="E1926" s="2">
        <f>Comuni__2[[#This Row],[Popolazione2011]]/$D$7911</f>
        <v>6.5126213507927236E-6</v>
      </c>
      <c r="F1926">
        <f>SUMIFS($D$2:$D$7909, $B$2:$B$7909, "Friuli-Venezia Giulia")</f>
        <v>1220291</v>
      </c>
      <c r="G1926" s="1">
        <f>Comuni__2[[#This Row],[Popolazione2011]]/Comuni__2[[#This Row],[POPOLAZIONE TOTALE DI OGNI REGIONE (CON FILTRO)]]</f>
        <v>3.1713746966911989E-4</v>
      </c>
      <c r="H1926" t="str">
        <f>IF(Comuni__2[[#This Row],[Popolazione2011]]&gt;300000,"MAGGIORE","")</f>
        <v/>
      </c>
      <c r="J1926">
        <v>441</v>
      </c>
      <c r="K1926">
        <v>7483</v>
      </c>
      <c r="L1926">
        <v>885</v>
      </c>
    </row>
    <row r="1927" spans="1:12" x14ac:dyDescent="0.2">
      <c r="A1927"/>
      <c r="B1927"/>
      <c r="C1927"/>
      <c r="D1927"/>
      <c r="E1927" s="2">
        <f>Comuni__2[[#This Row],[Popolazione2011]]/$D$7911</f>
        <v>6.2938511245387038E-6</v>
      </c>
      <c r="F1927">
        <f>SUMIFS($D$2:$D$7909, $B$2:$B$7909, "Friuli-Venezia Giulia")</f>
        <v>1220291</v>
      </c>
      <c r="G1927" s="1">
        <f>Comuni__2[[#This Row],[Popolazione2011]]/Comuni__2[[#This Row],[POPOLAZIONE TOTALE DI OGNI REGIONE (CON FILTRO)]]</f>
        <v>3.0648427301356807E-4</v>
      </c>
      <c r="H1927" t="str">
        <f>IF(Comuni__2[[#This Row],[Popolazione2011]]&gt;300000,"MAGGIORE","")</f>
        <v/>
      </c>
      <c r="J1927">
        <v>427</v>
      </c>
      <c r="K1927">
        <v>7523</v>
      </c>
      <c r="L1927">
        <v>885</v>
      </c>
    </row>
    <row r="1928" spans="1:12" x14ac:dyDescent="0.2">
      <c r="A1928"/>
      <c r="B1928"/>
      <c r="C1928"/>
      <c r="D1928"/>
      <c r="E1928" s="2">
        <f>Comuni__2[[#This Row],[Popolazione2011]]/$D$7911</f>
        <v>6.0245954614568348E-6</v>
      </c>
      <c r="F1928">
        <f>SUMIFS($D$2:$D$7909, $B$2:$B$7909, "Friuli-Venezia Giulia")</f>
        <v>1220291</v>
      </c>
      <c r="G1928" s="1">
        <f>Comuni__2[[#This Row],[Popolazione2011]]/Comuni__2[[#This Row],[POPOLAZIONE TOTALE DI OGNI REGIONE (CON FILTRO)]]</f>
        <v>2.9337264636058118E-4</v>
      </c>
      <c r="H1928" t="str">
        <f>IF(Comuni__2[[#This Row],[Popolazione2011]]&gt;300000,"MAGGIORE","")</f>
        <v/>
      </c>
      <c r="J1928">
        <v>471</v>
      </c>
      <c r="K1928">
        <v>7559</v>
      </c>
      <c r="L1928">
        <v>887</v>
      </c>
    </row>
    <row r="1929" spans="1:12" x14ac:dyDescent="0.2">
      <c r="A1929"/>
      <c r="B1929"/>
      <c r="C1929"/>
      <c r="D1929"/>
      <c r="E1929" s="2">
        <f>Comuni__2[[#This Row],[Popolazione2011]]/$D$7911</f>
        <v>5.3009708669243092E-6</v>
      </c>
      <c r="F1929">
        <f>SUMIFS($D$2:$D$7909, $B$2:$B$7909, "Friuli-Venezia Giulia")</f>
        <v>1220291</v>
      </c>
      <c r="G1929" s="1">
        <f>Comuni__2[[#This Row],[Popolazione2011]]/Comuni__2[[#This Row],[POPOLAZIONE TOTALE DI OGNI REGIONE (CON FILTRO)]]</f>
        <v>2.5813514973067897E-4</v>
      </c>
      <c r="H1929" t="str">
        <f>IF(Comuni__2[[#This Row],[Popolazione2011]]&gt;300000,"MAGGIORE","")</f>
        <v/>
      </c>
      <c r="J1929">
        <v>485</v>
      </c>
      <c r="K1929">
        <v>7593</v>
      </c>
      <c r="L1929">
        <v>887</v>
      </c>
    </row>
    <row r="1930" spans="1:12" x14ac:dyDescent="0.2">
      <c r="A1930"/>
      <c r="B1930"/>
      <c r="C1930"/>
      <c r="D1930"/>
      <c r="E1930" s="2">
        <f>Comuni__2[[#This Row],[Popolazione2011]]/$D$7911</f>
        <v>4.7456310618179533E-6</v>
      </c>
      <c r="F1930">
        <f>SUMIFS($D$2:$D$7909, $B$2:$B$7909, "Friuli-Venezia Giulia")</f>
        <v>1220291</v>
      </c>
      <c r="G1930" s="1">
        <f>Comuni__2[[#This Row],[Popolazione2011]]/Comuni__2[[#This Row],[POPOLAZIONE TOTALE DI OGNI REGIONE (CON FILTRO)]]</f>
        <v>2.3109241975889357E-4</v>
      </c>
      <c r="H1930" t="str">
        <f>IF(Comuni__2[[#This Row],[Popolazione2011]]&gt;300000,"MAGGIORE","")</f>
        <v/>
      </c>
      <c r="J1930">
        <v>508</v>
      </c>
      <c r="K1930">
        <v>7617</v>
      </c>
      <c r="L1930">
        <v>889</v>
      </c>
    </row>
    <row r="1931" spans="1:12" x14ac:dyDescent="0.2">
      <c r="A1931"/>
      <c r="B1931"/>
      <c r="C1931"/>
      <c r="D1931"/>
      <c r="E1931" s="2">
        <f>Comuni__2[[#This Row],[Popolazione2011]]/$D$7911</f>
        <v>4.4763753987360834E-6</v>
      </c>
      <c r="F1931">
        <f>SUMIFS($D$2:$D$7909, $B$2:$B$7909, "Friuli-Venezia Giulia")</f>
        <v>1220291</v>
      </c>
      <c r="G1931" s="1">
        <f>Comuni__2[[#This Row],[Popolazione2011]]/Comuni__2[[#This Row],[POPOLAZIONE TOTALE DI OGNI REGIONE (CON FILTRO)]]</f>
        <v>2.1798079310590671E-4</v>
      </c>
      <c r="H1931" t="str">
        <f>IF(Comuni__2[[#This Row],[Popolazione2011]]&gt;300000,"MAGGIORE","")</f>
        <v/>
      </c>
      <c r="J1931">
        <v>476</v>
      </c>
      <c r="K1931">
        <v>7680</v>
      </c>
      <c r="L1931">
        <v>889</v>
      </c>
    </row>
    <row r="1932" spans="1:12" x14ac:dyDescent="0.2">
      <c r="A1932"/>
      <c r="B1932"/>
      <c r="C1932"/>
      <c r="D1932"/>
      <c r="E1932" s="2">
        <f>Comuni__2[[#This Row],[Popolazione2011]]/$D$7911</f>
        <v>4.3922330040229994E-6</v>
      </c>
      <c r="F1932">
        <f>SUMIFS($D$2:$D$7909, $B$2:$B$7909, "Friuli-Venezia Giulia")</f>
        <v>1220291</v>
      </c>
      <c r="G1932" s="1">
        <f>Comuni__2[[#This Row],[Popolazione2011]]/Comuni__2[[#This Row],[POPOLAZIONE TOTALE DI OGNI REGIONE (CON FILTRO)]]</f>
        <v>2.138834097768483E-4</v>
      </c>
      <c r="H1932" t="str">
        <f>IF(Comuni__2[[#This Row],[Popolazione2011]]&gt;300000,"MAGGIORE","")</f>
        <v/>
      </c>
      <c r="J1932">
        <v>467</v>
      </c>
      <c r="K1932">
        <v>7751</v>
      </c>
      <c r="L1932">
        <v>890</v>
      </c>
    </row>
    <row r="1933" spans="1:12" x14ac:dyDescent="0.2">
      <c r="A1933"/>
      <c r="B1933"/>
      <c r="C1933"/>
      <c r="D1933"/>
      <c r="E1933" s="2">
        <f>Comuni__2[[#This Row],[Popolazione2011]]/$D$7911</f>
        <v>3.2310679569824363E-6</v>
      </c>
      <c r="F1933">
        <f>SUMIFS($D$2:$D$7909, $B$2:$B$7909, "Friuli-Venezia Giulia")</f>
        <v>1220291</v>
      </c>
      <c r="G1933" s="1">
        <f>Comuni__2[[#This Row],[Popolazione2011]]/Comuni__2[[#This Row],[POPOLAZIONE TOTALE DI OGNI REGIONE (CON FILTRO)]]</f>
        <v>1.5733951983584244E-4</v>
      </c>
      <c r="H1933" t="str">
        <f>IF(Comuni__2[[#This Row],[Popolazione2011]]&gt;300000,"MAGGIORE","")</f>
        <v/>
      </c>
      <c r="J1933">
        <v>445</v>
      </c>
      <c r="K1933">
        <v>7765</v>
      </c>
      <c r="L1933">
        <v>890</v>
      </c>
    </row>
    <row r="1934" spans="1:12" x14ac:dyDescent="0.2">
      <c r="A1934"/>
      <c r="B1934"/>
      <c r="C1934"/>
      <c r="D1934"/>
      <c r="E1934" s="2">
        <f>Comuni__2[[#This Row],[Popolazione2011]]/$D$7911</f>
        <v>2.2550161783106587E-6</v>
      </c>
      <c r="F1934">
        <f>SUMIFS($D$2:$D$7909, $B$2:$B$7909, "Friuli-Venezia Giulia")</f>
        <v>1220291</v>
      </c>
      <c r="G1934" s="1">
        <f>Comuni__2[[#This Row],[Popolazione2011]]/Comuni__2[[#This Row],[POPOLAZIONE TOTALE DI OGNI REGIONE (CON FILTRO)]]</f>
        <v>1.0980987321876503E-4</v>
      </c>
      <c r="H1934" t="str">
        <f>IF(Comuni__2[[#This Row],[Popolazione2011]]&gt;300000,"MAGGIORE","")</f>
        <v/>
      </c>
      <c r="J1934">
        <v>493</v>
      </c>
      <c r="K1934">
        <v>7807</v>
      </c>
      <c r="L1934">
        <v>895</v>
      </c>
    </row>
    <row r="1935" spans="1:12" x14ac:dyDescent="0.2">
      <c r="A1935"/>
      <c r="B1935"/>
      <c r="C1935"/>
      <c r="D1935"/>
      <c r="E1935" s="2">
        <f>Comuni__2[[#This Row],[Popolazione2011]]/$D$7911</f>
        <v>4.4043074376643267E-2</v>
      </c>
      <c r="F1935">
        <f>SUMIFS($D$2:$D$7909, $B$2:$B$7909, "Lazio")</f>
        <v>5502886</v>
      </c>
      <c r="G1935" s="1">
        <f>Comuni__2[[#This Row],[Popolazione2011]]/Comuni__2[[#This Row],[POPOLAZIONE TOTALE DI OGNI REGIONE (CON FILTRO)]]</f>
        <v>0.47560043947848457</v>
      </c>
      <c r="H1935" t="str">
        <f>IF(Comuni__2[[#This Row],[Popolazione2011]]&gt;300000,"MAGGIORE","")</f>
        <v>MAGGIORE</v>
      </c>
      <c r="J1935">
        <v>513</v>
      </c>
      <c r="K1935">
        <v>7851</v>
      </c>
      <c r="L1935">
        <v>899</v>
      </c>
    </row>
    <row r="1936" spans="1:12" x14ac:dyDescent="0.2">
      <c r="A1936"/>
      <c r="B1936"/>
      <c r="C1936"/>
      <c r="D1936"/>
      <c r="E1936" s="2">
        <f>Comuni__2[[#This Row],[Popolazione2011]]/$D$7911</f>
        <v>1.9839430395029866E-3</v>
      </c>
      <c r="F1936">
        <f>SUMIFS($D$2:$D$7909, $B$2:$B$7909, "Lazio")</f>
        <v>5502886</v>
      </c>
      <c r="G1936" s="1">
        <f>Comuni__2[[#This Row],[Popolazione2011]]/Comuni__2[[#This Row],[POPOLAZIONE TOTALE DI OGNI REGIONE (CON FILTRO)]]</f>
        <v>2.1423667508285654E-2</v>
      </c>
      <c r="H1936" t="str">
        <f>IF(Comuni__2[[#This Row],[Popolazione2011]]&gt;300000,"MAGGIORE","")</f>
        <v/>
      </c>
      <c r="J1936">
        <v>553</v>
      </c>
      <c r="K1936">
        <v>7889</v>
      </c>
      <c r="L1936">
        <v>902</v>
      </c>
    </row>
    <row r="1937" spans="1:12" x14ac:dyDescent="0.2">
      <c r="A1937"/>
      <c r="B1937"/>
      <c r="C1937"/>
      <c r="D1937"/>
      <c r="E1937" s="2">
        <f>Comuni__2[[#This Row],[Popolazione2011]]/$D$7911</f>
        <v>1.3706291244393151E-3</v>
      </c>
      <c r="F1937">
        <f>SUMIFS($D$2:$D$7909, $B$2:$B$7909, "Lazio")</f>
        <v>5502886</v>
      </c>
      <c r="G1937" s="1">
        <f>Comuni__2[[#This Row],[Popolazione2011]]/Comuni__2[[#This Row],[POPOLAZIONE TOTALE DI OGNI REGIONE (CON FILTRO)]]</f>
        <v>1.4800779082103463E-2</v>
      </c>
      <c r="H1937" t="str">
        <f>IF(Comuni__2[[#This Row],[Popolazione2011]]&gt;300000,"MAGGIORE","")</f>
        <v/>
      </c>
      <c r="J1937">
        <v>579</v>
      </c>
      <c r="K1937">
        <v>7956</v>
      </c>
      <c r="L1937">
        <v>902</v>
      </c>
    </row>
    <row r="1938" spans="1:12" x14ac:dyDescent="0.2">
      <c r="A1938"/>
      <c r="B1938"/>
      <c r="C1938"/>
      <c r="D1938"/>
      <c r="E1938" s="2">
        <f>Comuni__2[[#This Row],[Popolazione2011]]/$D$7911</f>
        <v>1.1380427169734074E-3</v>
      </c>
      <c r="F1938">
        <f>SUMIFS($D$2:$D$7909, $B$2:$B$7909, "Lazio")</f>
        <v>5502886</v>
      </c>
      <c r="G1938" s="1">
        <f>Comuni__2[[#This Row],[Popolazione2011]]/Comuni__2[[#This Row],[POPOLAZIONE TOTALE DI OGNI REGIONE (CON FILTRO)]]</f>
        <v>1.2289187891589977E-2</v>
      </c>
      <c r="H1938" t="str">
        <f>IF(Comuni__2[[#This Row],[Popolazione2011]]&gt;300000,"MAGGIORE","")</f>
        <v/>
      </c>
      <c r="J1938">
        <v>599</v>
      </c>
      <c r="K1938">
        <v>8040</v>
      </c>
      <c r="L1938">
        <v>904</v>
      </c>
    </row>
    <row r="1939" spans="1:12" x14ac:dyDescent="0.2">
      <c r="A1939"/>
      <c r="B1939"/>
      <c r="C1939"/>
      <c r="D1939"/>
      <c r="E1939" s="2">
        <f>Comuni__2[[#This Row],[Popolazione2011]]/$D$7911</f>
        <v>1.1271546910975345E-3</v>
      </c>
      <c r="F1939">
        <f>SUMIFS($D$2:$D$7909, $B$2:$B$7909, "Lazio")</f>
        <v>5502886</v>
      </c>
      <c r="G1939" s="1">
        <f>Comuni__2[[#This Row],[Popolazione2011]]/Comuni__2[[#This Row],[POPOLAZIONE TOTALE DI OGNI REGIONE (CON FILTRO)]]</f>
        <v>1.217161322258902E-2</v>
      </c>
      <c r="H1939" t="str">
        <f>IF(Comuni__2[[#This Row],[Popolazione2011]]&gt;300000,"MAGGIORE","")</f>
        <v/>
      </c>
      <c r="J1939">
        <v>626</v>
      </c>
      <c r="K1939">
        <v>8081</v>
      </c>
      <c r="L1939">
        <v>906</v>
      </c>
    </row>
    <row r="1940" spans="1:12" x14ac:dyDescent="0.2">
      <c r="A1940"/>
      <c r="B1940"/>
      <c r="C1940"/>
      <c r="D1940"/>
      <c r="E1940" s="2">
        <f>Comuni__2[[#This Row],[Popolazione2011]]/$D$7911</f>
        <v>1.0637113254838688E-3</v>
      </c>
      <c r="F1940">
        <f>SUMIFS($D$2:$D$7909, $B$2:$B$7909, "Lazio")</f>
        <v>5502886</v>
      </c>
      <c r="G1940" s="1">
        <f>Comuni__2[[#This Row],[Popolazione2011]]/Comuni__2[[#This Row],[POPOLAZIONE TOTALE DI OGNI REGIONE (CON FILTRO)]]</f>
        <v>1.1486518165195499E-2</v>
      </c>
      <c r="H1940" t="str">
        <f>IF(Comuni__2[[#This Row],[Popolazione2011]]&gt;300000,"MAGGIORE","")</f>
        <v/>
      </c>
      <c r="J1940">
        <v>648</v>
      </c>
      <c r="K1940">
        <v>8119</v>
      </c>
      <c r="L1940">
        <v>907</v>
      </c>
    </row>
    <row r="1941" spans="1:12" x14ac:dyDescent="0.2">
      <c r="A1941"/>
      <c r="B1941"/>
      <c r="C1941"/>
      <c r="D1941"/>
      <c r="E1941" s="2">
        <f>Comuni__2[[#This Row],[Popolazione2011]]/$D$7911</f>
        <v>9.4865501495319739E-4</v>
      </c>
      <c r="F1941">
        <f>SUMIFS($D$2:$D$7909, $B$2:$B$7909, "Lazio")</f>
        <v>5502886</v>
      </c>
      <c r="G1941" s="1">
        <f>Comuni__2[[#This Row],[Popolazione2011]]/Comuni__2[[#This Row],[POPOLAZIONE TOTALE DI OGNI REGIONE (CON FILTRO)]]</f>
        <v>1.0244079197715526E-2</v>
      </c>
      <c r="H1941" t="str">
        <f>IF(Comuni__2[[#This Row],[Popolazione2011]]&gt;300000,"MAGGIORE","")</f>
        <v/>
      </c>
      <c r="J1941">
        <v>681</v>
      </c>
      <c r="K1941">
        <v>8215</v>
      </c>
      <c r="L1941">
        <v>910</v>
      </c>
    </row>
    <row r="1942" spans="1:12" x14ac:dyDescent="0.2">
      <c r="A1942"/>
      <c r="B1942"/>
      <c r="C1942"/>
      <c r="D1942"/>
      <c r="E1942" s="2">
        <f>Comuni__2[[#This Row],[Popolazione2011]]/$D$7911</f>
        <v>8.9039482085385784E-4</v>
      </c>
      <c r="F1942">
        <f>SUMIFS($D$2:$D$7909, $B$2:$B$7909, "Lazio")</f>
        <v>5502886</v>
      </c>
      <c r="G1942" s="1">
        <f>Comuni__2[[#This Row],[Popolazione2011]]/Comuni__2[[#This Row],[POPOLAZIONE TOTALE DI OGNI REGIONE (CON FILTRO)]]</f>
        <v>9.6149547710056137E-3</v>
      </c>
      <c r="H1942" t="str">
        <f>IF(Comuni__2[[#This Row],[Popolazione2011]]&gt;300000,"MAGGIORE","")</f>
        <v/>
      </c>
      <c r="J1942">
        <v>719</v>
      </c>
      <c r="K1942">
        <v>8303</v>
      </c>
      <c r="L1942">
        <v>913</v>
      </c>
    </row>
    <row r="1943" spans="1:12" x14ac:dyDescent="0.2">
      <c r="A1943"/>
      <c r="B1943"/>
      <c r="C1943"/>
      <c r="D1943"/>
      <c r="E1943" s="2">
        <f>Comuni__2[[#This Row],[Popolazione2011]]/$D$7911</f>
        <v>8.8004530630414848E-4</v>
      </c>
      <c r="F1943">
        <f>SUMIFS($D$2:$D$7909, $B$2:$B$7909, "Lazio")</f>
        <v>5502886</v>
      </c>
      <c r="G1943" s="1">
        <f>Comuni__2[[#This Row],[Popolazione2011]]/Comuni__2[[#This Row],[POPOLAZIONE TOTALE DI OGNI REGIONE (CON FILTRO)]]</f>
        <v>9.5031952324652925E-3</v>
      </c>
      <c r="H1943" t="str">
        <f>IF(Comuni__2[[#This Row],[Popolazione2011]]&gt;300000,"MAGGIORE","")</f>
        <v/>
      </c>
      <c r="J1943">
        <v>706</v>
      </c>
      <c r="K1943">
        <v>8409</v>
      </c>
      <c r="L1943">
        <v>918</v>
      </c>
    </row>
    <row r="1944" spans="1:12" x14ac:dyDescent="0.2">
      <c r="A1944"/>
      <c r="B1944"/>
      <c r="C1944"/>
      <c r="D1944"/>
      <c r="E1944" s="2">
        <f>Comuni__2[[#This Row],[Popolazione2011]]/$D$7911</f>
        <v>8.6210614775131895E-4</v>
      </c>
      <c r="F1944">
        <f>SUMIFS($D$2:$D$7909, $B$2:$B$7909, "Lazio")</f>
        <v>5502886</v>
      </c>
      <c r="G1944" s="1">
        <f>Comuni__2[[#This Row],[Popolazione2011]]/Comuni__2[[#This Row],[POPOLAZIONE TOTALE DI OGNI REGIONE (CON FILTRO)]]</f>
        <v>9.3094786989953993E-3</v>
      </c>
      <c r="H1944" t="str">
        <f>IF(Comuni__2[[#This Row],[Popolazione2011]]&gt;300000,"MAGGIORE","")</f>
        <v/>
      </c>
      <c r="J1944">
        <v>715</v>
      </c>
      <c r="K1944">
        <v>8474</v>
      </c>
      <c r="L1944">
        <v>923</v>
      </c>
    </row>
    <row r="1945" spans="1:12" x14ac:dyDescent="0.2">
      <c r="A1945"/>
      <c r="B1945"/>
      <c r="C1945"/>
      <c r="D1945"/>
      <c r="E1945" s="2">
        <f>Comuni__2[[#This Row],[Popolazione2011]]/$D$7911</f>
        <v>8.3689708629527883E-4</v>
      </c>
      <c r="F1945">
        <f>SUMIFS($D$2:$D$7909, $B$2:$B$7909, "Lazio")</f>
        <v>5502886</v>
      </c>
      <c r="G1945" s="1">
        <f>Comuni__2[[#This Row],[Popolazione2011]]/Comuni__2[[#This Row],[POPOLAZIONE TOTALE DI OGNI REGIONE (CON FILTRO)]]</f>
        <v>9.03725790430694E-3</v>
      </c>
      <c r="H1945" t="str">
        <f>IF(Comuni__2[[#This Row],[Popolazione2011]]&gt;300000,"MAGGIORE","")</f>
        <v/>
      </c>
      <c r="J1945">
        <v>727</v>
      </c>
      <c r="K1945">
        <v>8529</v>
      </c>
      <c r="L1945">
        <v>928</v>
      </c>
    </row>
    <row r="1946" spans="1:12" x14ac:dyDescent="0.2">
      <c r="A1946"/>
      <c r="B1946"/>
      <c r="C1946"/>
      <c r="D1946"/>
      <c r="E1946" s="2">
        <f>Comuni__2[[#This Row],[Popolazione2011]]/$D$7911</f>
        <v>7.8503171419413368E-4</v>
      </c>
      <c r="F1946">
        <f>SUMIFS($D$2:$D$7909, $B$2:$B$7909, "Lazio")</f>
        <v>5502886</v>
      </c>
      <c r="G1946" s="1">
        <f>Comuni__2[[#This Row],[Popolazione2011]]/Comuni__2[[#This Row],[POPOLAZIONE TOTALE DI OGNI REGIONE (CON FILTRO)]]</f>
        <v>8.4771881518170642E-3</v>
      </c>
      <c r="H1946" t="str">
        <f>IF(Comuni__2[[#This Row],[Popolazione2011]]&gt;300000,"MAGGIORE","")</f>
        <v/>
      </c>
      <c r="J1946">
        <v>758</v>
      </c>
      <c r="K1946">
        <v>8607</v>
      </c>
      <c r="L1946">
        <v>933</v>
      </c>
    </row>
    <row r="1947" spans="1:12" x14ac:dyDescent="0.2">
      <c r="A1947"/>
      <c r="B1947"/>
      <c r="C1947"/>
      <c r="D1947"/>
      <c r="E1947" s="2">
        <f>Comuni__2[[#This Row],[Popolazione2011]]/$D$7911</f>
        <v>7.7725695692264468E-4</v>
      </c>
      <c r="F1947">
        <f>SUMIFS($D$2:$D$7909, $B$2:$B$7909, "Lazio")</f>
        <v>5502886</v>
      </c>
      <c r="G1947" s="1">
        <f>Comuni__2[[#This Row],[Popolazione2011]]/Comuni__2[[#This Row],[POPOLAZIONE TOTALE DI OGNI REGIONE (CON FILTRO)]]</f>
        <v>8.3932322057916516E-3</v>
      </c>
      <c r="H1947" t="str">
        <f>IF(Comuni__2[[#This Row],[Popolazione2011]]&gt;300000,"MAGGIORE","")</f>
        <v/>
      </c>
      <c r="J1947">
        <v>785</v>
      </c>
      <c r="K1947">
        <v>8637</v>
      </c>
      <c r="L1947">
        <v>939</v>
      </c>
    </row>
    <row r="1948" spans="1:12" x14ac:dyDescent="0.2">
      <c r="A1948"/>
      <c r="B1948"/>
      <c r="C1948"/>
      <c r="D1948"/>
      <c r="E1948" s="2">
        <f>Comuni__2[[#This Row],[Popolazione2011]]/$D$7911</f>
        <v>7.6502265273136231E-4</v>
      </c>
      <c r="F1948">
        <f>SUMIFS($D$2:$D$7909, $B$2:$B$7909, "Lazio")</f>
        <v>5502886</v>
      </c>
      <c r="G1948" s="1">
        <f>Comuni__2[[#This Row],[Popolazione2011]]/Comuni__2[[#This Row],[POPOLAZIONE TOTALE DI OGNI REGIONE (CON FILTRO)]]</f>
        <v>8.2611197106391091E-3</v>
      </c>
      <c r="H1948" t="str">
        <f>IF(Comuni__2[[#This Row],[Popolazione2011]]&gt;300000,"MAGGIORE","")</f>
        <v/>
      </c>
      <c r="J1948">
        <v>812</v>
      </c>
      <c r="K1948">
        <v>8671</v>
      </c>
      <c r="L1948">
        <v>944</v>
      </c>
    </row>
    <row r="1949" spans="1:12" x14ac:dyDescent="0.2">
      <c r="A1949"/>
      <c r="B1949"/>
      <c r="C1949"/>
      <c r="D1949"/>
      <c r="E1949" s="2">
        <f>Comuni__2[[#This Row],[Popolazione2011]]/$D$7911</f>
        <v>7.4437410906877139E-4</v>
      </c>
      <c r="F1949">
        <f>SUMIFS($D$2:$D$7909, $B$2:$B$7909, "Lazio")</f>
        <v>5502886</v>
      </c>
      <c r="G1949" s="1">
        <f>Comuni__2[[#This Row],[Popolazione2011]]/Comuni__2[[#This Row],[POPOLAZIONE TOTALE DI OGNI REGIONE (CON FILTRO)]]</f>
        <v>8.0381458020391486E-3</v>
      </c>
      <c r="H1949" t="str">
        <f>IF(Comuni__2[[#This Row],[Popolazione2011]]&gt;300000,"MAGGIORE","")</f>
        <v/>
      </c>
      <c r="J1949">
        <v>818</v>
      </c>
      <c r="K1949">
        <v>8794</v>
      </c>
      <c r="L1949">
        <v>948</v>
      </c>
    </row>
    <row r="1950" spans="1:12" x14ac:dyDescent="0.2">
      <c r="A1950"/>
      <c r="B1950"/>
      <c r="C1950"/>
      <c r="D1950"/>
      <c r="E1950" s="2">
        <f>Comuni__2[[#This Row],[Popolazione2011]]/$D$7911</f>
        <v>7.4385242622155027E-4</v>
      </c>
      <c r="F1950">
        <f>SUMIFS($D$2:$D$7909, $B$2:$B$7909, "Lazio")</f>
        <v>5502886</v>
      </c>
      <c r="G1950" s="1">
        <f>Comuni__2[[#This Row],[Popolazione2011]]/Comuni__2[[#This Row],[POPOLAZIONE TOTALE DI OGNI REGIONE (CON FILTRO)]]</f>
        <v>8.032512394405408E-3</v>
      </c>
      <c r="H1950" t="str">
        <f>IF(Comuni__2[[#This Row],[Popolazione2011]]&gt;300000,"MAGGIORE","")</f>
        <v/>
      </c>
      <c r="J1950">
        <v>856</v>
      </c>
      <c r="K1950">
        <v>8855</v>
      </c>
      <c r="L1950">
        <v>954</v>
      </c>
    </row>
    <row r="1951" spans="1:12" x14ac:dyDescent="0.2">
      <c r="A1951"/>
      <c r="B1951"/>
      <c r="C1951"/>
      <c r="D1951"/>
      <c r="E1951" s="2">
        <f>Comuni__2[[#This Row],[Popolazione2011]]/$D$7911</f>
        <v>6.6475857519125107E-4</v>
      </c>
      <c r="F1951">
        <f>SUMIFS($D$2:$D$7909, $B$2:$B$7909, "Lazio")</f>
        <v>5502886</v>
      </c>
      <c r="G1951" s="1">
        <f>Comuni__2[[#This Row],[Popolazione2011]]/Comuni__2[[#This Row],[POPOLAZIONE TOTALE DI OGNI REGIONE (CON FILTRO)]]</f>
        <v>7.178415107999693E-3</v>
      </c>
      <c r="H1951" t="str">
        <f>IF(Comuni__2[[#This Row],[Popolazione2011]]&gt;300000,"MAGGIORE","")</f>
        <v/>
      </c>
      <c r="J1951">
        <v>876</v>
      </c>
      <c r="K1951">
        <v>8936</v>
      </c>
      <c r="L1951">
        <v>960</v>
      </c>
    </row>
    <row r="1952" spans="1:12" x14ac:dyDescent="0.2">
      <c r="A1952"/>
      <c r="B1952"/>
      <c r="C1952"/>
      <c r="D1952"/>
      <c r="E1952" s="2">
        <f>Comuni__2[[#This Row],[Popolazione2011]]/$D$7911</f>
        <v>6.4676893120159363E-4</v>
      </c>
      <c r="F1952">
        <f>SUMIFS($D$2:$D$7909, $B$2:$B$7909, "Lazio")</f>
        <v>5502886</v>
      </c>
      <c r="G1952" s="1">
        <f>Comuni__2[[#This Row],[Popolazione2011]]/Comuni__2[[#This Row],[POPOLAZIONE TOTALE DI OGNI REGIONE (CON FILTRO)]]</f>
        <v>6.984153406049117E-3</v>
      </c>
      <c r="H1952" t="str">
        <f>IF(Comuni__2[[#This Row],[Popolazione2011]]&gt;300000,"MAGGIORE","")</f>
        <v/>
      </c>
      <c r="J1952">
        <v>910</v>
      </c>
      <c r="K1952">
        <v>8983</v>
      </c>
      <c r="L1952">
        <v>966</v>
      </c>
    </row>
    <row r="1953" spans="1:12" x14ac:dyDescent="0.2">
      <c r="A1953"/>
      <c r="B1953"/>
      <c r="C1953"/>
      <c r="D1953"/>
      <c r="E1953" s="2">
        <f>Comuni__2[[#This Row],[Popolazione2011]]/$D$7911</f>
        <v>6.4360517716038164E-4</v>
      </c>
      <c r="F1953">
        <f>SUMIFS($D$2:$D$7909, $B$2:$B$7909, "Lazio")</f>
        <v>5502886</v>
      </c>
      <c r="G1953" s="1">
        <f>Comuni__2[[#This Row],[Popolazione2011]]/Comuni__2[[#This Row],[POPOLAZIONE TOTALE DI OGNI REGIONE (CON FILTRO)]]</f>
        <v>6.9499895145928884E-3</v>
      </c>
      <c r="H1953" t="str">
        <f>IF(Comuni__2[[#This Row],[Popolazione2011]]&gt;300000,"MAGGIORE","")</f>
        <v/>
      </c>
      <c r="J1953">
        <v>941</v>
      </c>
      <c r="K1953">
        <v>9042</v>
      </c>
      <c r="L1953">
        <v>972</v>
      </c>
    </row>
    <row r="1954" spans="1:12" x14ac:dyDescent="0.2">
      <c r="A1954"/>
      <c r="B1954"/>
      <c r="C1954"/>
      <c r="D1954"/>
      <c r="E1954" s="2">
        <f>Comuni__2[[#This Row],[Popolazione2011]]/$D$7911</f>
        <v>6.2758446520701043E-4</v>
      </c>
      <c r="F1954">
        <f>SUMIFS($D$2:$D$7909, $B$2:$B$7909, "Lazio")</f>
        <v>5502886</v>
      </c>
      <c r="G1954" s="1">
        <f>Comuni__2[[#This Row],[Popolazione2011]]/Comuni__2[[#This Row],[POPOLAZIONE TOTALE DI OGNI REGIONE (CON FILTRO)]]</f>
        <v>6.7769893833890069E-3</v>
      </c>
      <c r="H1954" t="str">
        <f>IF(Comuni__2[[#This Row],[Popolazione2011]]&gt;300000,"MAGGIORE","")</f>
        <v/>
      </c>
      <c r="J1954">
        <v>980</v>
      </c>
      <c r="K1954">
        <v>9072</v>
      </c>
      <c r="L1954">
        <v>976</v>
      </c>
    </row>
    <row r="1955" spans="1:12" x14ac:dyDescent="0.2">
      <c r="A1955"/>
      <c r="B1955"/>
      <c r="C1955"/>
      <c r="D1955"/>
      <c r="E1955" s="2">
        <f>Comuni__2[[#This Row],[Popolazione2011]]/$D$7911</f>
        <v>6.2660841342833862E-4</v>
      </c>
      <c r="F1955">
        <f>SUMIFS($D$2:$D$7909, $B$2:$B$7909, "Lazio")</f>
        <v>5502886</v>
      </c>
      <c r="G1955" s="1">
        <f>Comuni__2[[#This Row],[Popolazione2011]]/Comuni__2[[#This Row],[POPOLAZIONE TOTALE DI OGNI REGIONE (CON FILTRO)]]</f>
        <v>6.7664494594291066E-3</v>
      </c>
      <c r="H1955" t="str">
        <f>IF(Comuni__2[[#This Row],[Popolazione2011]]&gt;300000,"MAGGIORE","")</f>
        <v/>
      </c>
      <c r="J1955">
        <v>1005</v>
      </c>
      <c r="K1955">
        <v>9179</v>
      </c>
      <c r="L1955">
        <v>984</v>
      </c>
    </row>
    <row r="1956" spans="1:12" x14ac:dyDescent="0.2">
      <c r="A1956"/>
      <c r="B1956"/>
      <c r="C1956"/>
      <c r="D1956"/>
      <c r="E1956" s="2">
        <f>Comuni__2[[#This Row],[Popolazione2011]]/$D$7911</f>
        <v>6.2568284708649472E-4</v>
      </c>
      <c r="F1956">
        <f>SUMIFS($D$2:$D$7909, $B$2:$B$7909, "Lazio")</f>
        <v>5502886</v>
      </c>
      <c r="G1956" s="1">
        <f>Comuni__2[[#This Row],[Popolazione2011]]/Comuni__2[[#This Row],[POPOLAZIONE TOTALE DI OGNI REGIONE (CON FILTRO)]]</f>
        <v>6.7564547039498908E-3</v>
      </c>
      <c r="H1956" t="str">
        <f>IF(Comuni__2[[#This Row],[Popolazione2011]]&gt;300000,"MAGGIORE","")</f>
        <v/>
      </c>
      <c r="J1956">
        <v>979</v>
      </c>
      <c r="K1956">
        <v>9238</v>
      </c>
      <c r="L1956">
        <v>989</v>
      </c>
    </row>
    <row r="1957" spans="1:12" x14ac:dyDescent="0.2">
      <c r="A1957"/>
      <c r="B1957"/>
      <c r="C1957"/>
      <c r="D1957"/>
      <c r="E1957" s="2">
        <f>Comuni__2[[#This Row],[Popolazione2011]]/$D$7911</f>
        <v>6.1139546846421299E-4</v>
      </c>
      <c r="F1957">
        <f>SUMIFS($D$2:$D$7909, $B$2:$B$7909, "Lazio")</f>
        <v>5502886</v>
      </c>
      <c r="G1957" s="1">
        <f>Comuni__2[[#This Row],[Popolazione2011]]/Comuni__2[[#This Row],[POPOLAZIONE TOTALE DI OGNI REGIONE (CON FILTRO)]]</f>
        <v>6.602172023916178E-3</v>
      </c>
      <c r="H1957" t="str">
        <f>IF(Comuni__2[[#This Row],[Popolazione2011]]&gt;300000,"MAGGIORE","")</f>
        <v/>
      </c>
      <c r="J1957">
        <v>1022</v>
      </c>
      <c r="K1957">
        <v>9350</v>
      </c>
      <c r="L1957">
        <v>994</v>
      </c>
    </row>
    <row r="1958" spans="1:12" x14ac:dyDescent="0.2">
      <c r="A1958"/>
      <c r="B1958"/>
      <c r="C1958"/>
      <c r="D1958"/>
      <c r="E1958" s="2">
        <f>Comuni__2[[#This Row],[Popolazione2011]]/$D$7911</f>
        <v>5.9826925488897181E-4</v>
      </c>
      <c r="F1958">
        <f>SUMIFS($D$2:$D$7909, $B$2:$B$7909, "Lazio")</f>
        <v>5502886</v>
      </c>
      <c r="G1958" s="1">
        <f>Comuni__2[[#This Row],[Popolazione2011]]/Comuni__2[[#This Row],[POPOLAZIONE TOTALE DI OGNI REGIONE (CON FILTRO)]]</f>
        <v>6.4604282189382077E-3</v>
      </c>
      <c r="H1958" t="str">
        <f>IF(Comuni__2[[#This Row],[Popolazione2011]]&gt;300000,"MAGGIORE","")</f>
        <v/>
      </c>
      <c r="J1958">
        <v>1059</v>
      </c>
      <c r="K1958">
        <v>9395</v>
      </c>
      <c r="L1958">
        <v>1001</v>
      </c>
    </row>
    <row r="1959" spans="1:12" x14ac:dyDescent="0.2">
      <c r="A1959"/>
      <c r="B1959"/>
      <c r="C1959"/>
      <c r="D1959"/>
      <c r="E1959" s="2">
        <f>Comuni__2[[#This Row],[Popolazione2011]]/$D$7911</f>
        <v>5.9248025813271165E-4</v>
      </c>
      <c r="F1959">
        <f>SUMIFS($D$2:$D$7909, $B$2:$B$7909, "Lazio")</f>
        <v>5502886</v>
      </c>
      <c r="G1959" s="1">
        <f>Comuni__2[[#This Row],[Popolazione2011]]/Comuni__2[[#This Row],[POPOLAZIONE TOTALE DI OGNI REGIONE (CON FILTRO)]]</f>
        <v>6.3979155664863853E-3</v>
      </c>
      <c r="H1959" t="str">
        <f>IF(Comuni__2[[#This Row],[Popolazione2011]]&gt;300000,"MAGGIORE","")</f>
        <v/>
      </c>
      <c r="J1959">
        <v>1102</v>
      </c>
      <c r="K1959">
        <v>9473</v>
      </c>
      <c r="L1959">
        <v>1006</v>
      </c>
    </row>
    <row r="1960" spans="1:12" x14ac:dyDescent="0.2">
      <c r="A1960"/>
      <c r="B1960"/>
      <c r="C1960"/>
      <c r="D1960"/>
      <c r="E1960" s="2">
        <f>Comuni__2[[#This Row],[Popolazione2011]]/$D$7911</f>
        <v>5.6641294425059815E-4</v>
      </c>
      <c r="F1960">
        <f>SUMIFS($D$2:$D$7909, $B$2:$B$7909, "Lazio")</f>
        <v>5502886</v>
      </c>
      <c r="G1960" s="1">
        <f>Comuni__2[[#This Row],[Popolazione2011]]/Comuni__2[[#This Row],[POPOLAZIONE TOTALE DI OGNI REGIONE (CON FILTRO)]]</f>
        <v>6.1164269076262896E-3</v>
      </c>
      <c r="H1960" t="str">
        <f>IF(Comuni__2[[#This Row],[Popolazione2011]]&gt;300000,"MAGGIORE","")</f>
        <v/>
      </c>
      <c r="J1960">
        <v>1141</v>
      </c>
      <c r="K1960">
        <v>9535</v>
      </c>
      <c r="L1960">
        <v>1018</v>
      </c>
    </row>
    <row r="1961" spans="1:12" x14ac:dyDescent="0.2">
      <c r="A1961"/>
      <c r="B1961"/>
      <c r="C1961"/>
      <c r="D1961"/>
      <c r="E1961" s="2">
        <f>Comuni__2[[#This Row],[Popolazione2011]]/$D$7911</f>
        <v>5.1448025823368248E-4</v>
      </c>
      <c r="F1961">
        <f>SUMIFS($D$2:$D$7909, $B$2:$B$7909, "Lazio")</f>
        <v>5502886</v>
      </c>
      <c r="G1961" s="1">
        <f>Comuni__2[[#This Row],[Popolazione2011]]/Comuni__2[[#This Row],[POPOLAZIONE TOTALE DI OGNI REGIONE (CON FILTRO)]]</f>
        <v>5.5556302638288344E-3</v>
      </c>
      <c r="H1961" t="str">
        <f>IF(Comuni__2[[#This Row],[Popolazione2011]]&gt;300000,"MAGGIORE","")</f>
        <v/>
      </c>
      <c r="J1961">
        <v>1184</v>
      </c>
      <c r="K1961">
        <v>9584</v>
      </c>
      <c r="L1961">
        <v>1024</v>
      </c>
    </row>
    <row r="1962" spans="1:12" x14ac:dyDescent="0.2">
      <c r="A1962"/>
      <c r="B1962"/>
      <c r="C1962"/>
      <c r="D1962"/>
      <c r="E1962" s="2">
        <f>Comuni__2[[#This Row],[Popolazione2011]]/$D$7911</f>
        <v>4.814459540693256E-4</v>
      </c>
      <c r="F1962">
        <f>SUMIFS($D$2:$D$7909, $B$2:$B$7909, "Lazio")</f>
        <v>5502886</v>
      </c>
      <c r="G1962" s="1">
        <f>Comuni__2[[#This Row],[Popolazione2011]]/Comuni__2[[#This Row],[POPOLAZIONE TOTALE DI OGNI REGIONE (CON FILTRO)]]</f>
        <v>5.1989083546342772E-3</v>
      </c>
      <c r="H1962" t="str">
        <f>IF(Comuni__2[[#This Row],[Popolazione2011]]&gt;300000,"MAGGIORE","")</f>
        <v/>
      </c>
      <c r="J1962">
        <v>1241</v>
      </c>
      <c r="K1962">
        <v>9703</v>
      </c>
      <c r="L1962">
        <v>1033</v>
      </c>
    </row>
    <row r="1963" spans="1:12" x14ac:dyDescent="0.2">
      <c r="A1963"/>
      <c r="B1963"/>
      <c r="C1963"/>
      <c r="D1963"/>
      <c r="E1963" s="2">
        <f>Comuni__2[[#This Row],[Popolazione2011]]/$D$7911</f>
        <v>4.416970868068646E-4</v>
      </c>
      <c r="F1963">
        <f>SUMIFS($D$2:$D$7909, $B$2:$B$7909, "Lazio")</f>
        <v>5502886</v>
      </c>
      <c r="G1963" s="1">
        <f>Comuni__2[[#This Row],[Popolazione2011]]/Comuni__2[[#This Row],[POPOLAZIONE TOTALE DI OGNI REGIONE (CON FILTRO)]]</f>
        <v>4.7696790375086817E-3</v>
      </c>
      <c r="H1963" t="str">
        <f>IF(Comuni__2[[#This Row],[Popolazione2011]]&gt;300000,"MAGGIORE","")</f>
        <v/>
      </c>
      <c r="J1963">
        <v>1319</v>
      </c>
      <c r="K1963">
        <v>9780</v>
      </c>
      <c r="L1963">
        <v>1038</v>
      </c>
    </row>
    <row r="1964" spans="1:12" x14ac:dyDescent="0.2">
      <c r="A1964"/>
      <c r="B1964"/>
      <c r="C1964"/>
      <c r="D1964"/>
      <c r="E1964" s="2">
        <f>Comuni__2[[#This Row],[Popolazione2011]]/$D$7911</f>
        <v>4.0580194122226285E-4</v>
      </c>
      <c r="F1964">
        <f>SUMIFS($D$2:$D$7909, $B$2:$B$7909, "Lazio")</f>
        <v>5502886</v>
      </c>
      <c r="G1964" s="1">
        <f>Comuni__2[[#This Row],[Popolazione2011]]/Comuni__2[[#This Row],[POPOLAZIONE TOTALE DI OGNI REGIONE (CON FILTRO)]]</f>
        <v>4.3820642477420029E-3</v>
      </c>
      <c r="H1964" t="str">
        <f>IF(Comuni__2[[#This Row],[Popolazione2011]]&gt;300000,"MAGGIORE","")</f>
        <v/>
      </c>
      <c r="J1964">
        <v>1355</v>
      </c>
      <c r="K1964">
        <v>9913</v>
      </c>
      <c r="L1964">
        <v>1054</v>
      </c>
    </row>
    <row r="1965" spans="1:12" x14ac:dyDescent="0.2">
      <c r="A1965"/>
      <c r="B1965"/>
      <c r="C1965"/>
      <c r="D1965"/>
      <c r="E1965" s="2">
        <f>Comuni__2[[#This Row],[Popolazione2011]]/$D$7911</f>
        <v>4.0018122925542882E-4</v>
      </c>
      <c r="F1965">
        <f>SUMIFS($D$2:$D$7909, $B$2:$B$7909, "Lazio")</f>
        <v>5502886</v>
      </c>
      <c r="G1965" s="1">
        <f>Comuni__2[[#This Row],[Popolazione2011]]/Comuni__2[[#This Row],[POPOLAZIONE TOTALE DI OGNI REGIONE (CON FILTRO)]]</f>
        <v>4.3213688235591288E-3</v>
      </c>
      <c r="H1965" t="str">
        <f>IF(Comuni__2[[#This Row],[Popolazione2011]]&gt;300000,"MAGGIORE","")</f>
        <v/>
      </c>
      <c r="J1965">
        <v>1424</v>
      </c>
      <c r="K1965">
        <v>10020</v>
      </c>
      <c r="L1965">
        <v>1070</v>
      </c>
    </row>
    <row r="1966" spans="1:12" x14ac:dyDescent="0.2">
      <c r="A1966"/>
      <c r="B1966"/>
      <c r="C1966"/>
      <c r="D1966"/>
      <c r="E1966" s="2">
        <f>Comuni__2[[#This Row],[Popolazione2011]]/$D$7911</f>
        <v>3.8870420661656416E-4</v>
      </c>
      <c r="F1966">
        <f>SUMIFS($D$2:$D$7909, $B$2:$B$7909, "Lazio")</f>
        <v>5502886</v>
      </c>
      <c r="G1966" s="1">
        <f>Comuni__2[[#This Row],[Popolazione2011]]/Comuni__2[[#This Row],[POPOLAZIONE TOTALE DI OGNI REGIONE (CON FILTRO)]]</f>
        <v>4.197433855616853E-3</v>
      </c>
      <c r="H1966" t="str">
        <f>IF(Comuni__2[[#This Row],[Popolazione2011]]&gt;300000,"MAGGIORE","")</f>
        <v/>
      </c>
      <c r="J1966">
        <v>1489</v>
      </c>
      <c r="K1966">
        <v>10108</v>
      </c>
      <c r="L1966">
        <v>1081</v>
      </c>
    </row>
    <row r="1967" spans="1:12" x14ac:dyDescent="0.2">
      <c r="A1967"/>
      <c r="B1967"/>
      <c r="C1967"/>
      <c r="D1967"/>
      <c r="E1967" s="2">
        <f>Comuni__2[[#This Row],[Popolazione2011]]/$D$7911</f>
        <v>3.6305760470801605E-4</v>
      </c>
      <c r="F1967">
        <f>SUMIFS($D$2:$D$7909, $B$2:$B$7909, "Lazio")</f>
        <v>5502886</v>
      </c>
      <c r="G1967" s="1">
        <f>Comuni__2[[#This Row],[Popolazione2011]]/Comuni__2[[#This Row],[POPOLAZIONE TOTALE DI OGNI REGIONE (CON FILTRO)]]</f>
        <v>3.9204882674291272E-3</v>
      </c>
      <c r="H1967" t="str">
        <f>IF(Comuni__2[[#This Row],[Popolazione2011]]&gt;300000,"MAGGIORE","")</f>
        <v/>
      </c>
      <c r="J1967">
        <v>1579</v>
      </c>
      <c r="K1967">
        <v>10202</v>
      </c>
      <c r="L1967">
        <v>1090</v>
      </c>
    </row>
    <row r="1968" spans="1:12" x14ac:dyDescent="0.2">
      <c r="A1968"/>
      <c r="B1968"/>
      <c r="C1968"/>
      <c r="D1968"/>
      <c r="E1968" s="2">
        <f>Comuni__2[[#This Row],[Popolazione2011]]/$D$7911</f>
        <v>3.6081941700864801E-4</v>
      </c>
      <c r="F1968">
        <f>SUMIFS($D$2:$D$7909, $B$2:$B$7909, "Lazio")</f>
        <v>5502886</v>
      </c>
      <c r="G1968" s="1">
        <f>Comuni__2[[#This Row],[Popolazione2011]]/Comuni__2[[#This Row],[POPOLAZIONE TOTALE DI OGNI REGIONE (CON FILTRO)]]</f>
        <v>3.8963191314521145E-3</v>
      </c>
      <c r="H1968" t="str">
        <f>IF(Comuni__2[[#This Row],[Popolazione2011]]&gt;300000,"MAGGIORE","")</f>
        <v/>
      </c>
      <c r="J1968">
        <v>1622</v>
      </c>
      <c r="K1968">
        <v>10323</v>
      </c>
      <c r="L1968">
        <v>1100</v>
      </c>
    </row>
    <row r="1969" spans="1:12" x14ac:dyDescent="0.2">
      <c r="A1969"/>
      <c r="B1969"/>
      <c r="C1969"/>
      <c r="D1969"/>
      <c r="E1969" s="2">
        <f>Comuni__2[[#This Row],[Popolazione2011]]/$D$7911</f>
        <v>3.5282588951090501E-4</v>
      </c>
      <c r="F1969">
        <f>SUMIFS($D$2:$D$7909, $B$2:$B$7909, "Lazio")</f>
        <v>5502886</v>
      </c>
      <c r="G1969" s="1">
        <f>Comuni__2[[#This Row],[Popolazione2011]]/Comuni__2[[#This Row],[POPOLAZIONE TOTALE DI OGNI REGIONE (CON FILTRO)]]</f>
        <v>3.8100007886770685E-3</v>
      </c>
      <c r="H1969" t="str">
        <f>IF(Comuni__2[[#This Row],[Popolazione2011]]&gt;300000,"MAGGIORE","")</f>
        <v/>
      </c>
      <c r="J1969">
        <v>1757</v>
      </c>
      <c r="K1969">
        <v>10414</v>
      </c>
      <c r="L1969">
        <v>1116</v>
      </c>
    </row>
    <row r="1970" spans="1:12" x14ac:dyDescent="0.2">
      <c r="A1970"/>
      <c r="B1970"/>
      <c r="C1970"/>
      <c r="D1970"/>
      <c r="E1970" s="2">
        <f>Comuni__2[[#This Row],[Popolazione2011]]/$D$7911</f>
        <v>3.4956116459603734E-4</v>
      </c>
      <c r="F1970">
        <f>SUMIFS($D$2:$D$7909, $B$2:$B$7909, "Lazio")</f>
        <v>5502886</v>
      </c>
      <c r="G1970" s="1">
        <f>Comuni__2[[#This Row],[Popolazione2011]]/Comuni__2[[#This Row],[POPOLAZIONE TOTALE DI OGNI REGIONE (CON FILTRO)]]</f>
        <v>3.774746560259471E-3</v>
      </c>
      <c r="H1970" t="str">
        <f>IF(Comuni__2[[#This Row],[Popolazione2011]]&gt;300000,"MAGGIORE","")</f>
        <v/>
      </c>
      <c r="J1970">
        <v>1798</v>
      </c>
      <c r="K1970">
        <v>10648</v>
      </c>
      <c r="L1970">
        <v>1139</v>
      </c>
    </row>
    <row r="1971" spans="1:12" x14ac:dyDescent="0.2">
      <c r="A1971"/>
      <c r="B1971"/>
      <c r="C1971"/>
      <c r="D1971"/>
      <c r="E1971" s="2">
        <f>Comuni__2[[#This Row],[Popolazione2011]]/$D$7911</f>
        <v>3.4940970828555376E-4</v>
      </c>
      <c r="F1971">
        <f>SUMIFS($D$2:$D$7909, $B$2:$B$7909, "Lazio")</f>
        <v>5502886</v>
      </c>
      <c r="G1971" s="1">
        <f>Comuni__2[[#This Row],[Popolazione2011]]/Comuni__2[[#This Row],[POPOLAZIONE TOTALE DI OGNI REGIONE (CON FILTRO)]]</f>
        <v>3.7731110548174175E-3</v>
      </c>
      <c r="H1971" t="str">
        <f>IF(Comuni__2[[#This Row],[Popolazione2011]]&gt;300000,"MAGGIORE","")</f>
        <v/>
      </c>
      <c r="J1971">
        <v>1835</v>
      </c>
      <c r="K1971">
        <v>10788</v>
      </c>
      <c r="L1971">
        <v>1158</v>
      </c>
    </row>
    <row r="1972" spans="1:12" x14ac:dyDescent="0.2">
      <c r="A1972"/>
      <c r="B1972"/>
      <c r="C1972"/>
      <c r="D1972"/>
      <c r="E1972" s="2">
        <f>Comuni__2[[#This Row],[Popolazione2011]]/$D$7911</f>
        <v>3.4939287980661116E-4</v>
      </c>
      <c r="F1972">
        <f>SUMIFS($D$2:$D$7909, $B$2:$B$7909, "Lazio")</f>
        <v>5502886</v>
      </c>
      <c r="G1972" s="1">
        <f>Comuni__2[[#This Row],[Popolazione2011]]/Comuni__2[[#This Row],[POPOLAZIONE TOTALE DI OGNI REGIONE (CON FILTRO)]]</f>
        <v>3.7729293319905227E-3</v>
      </c>
      <c r="H1972" t="str">
        <f>IF(Comuni__2[[#This Row],[Popolazione2011]]&gt;300000,"MAGGIORE","")</f>
        <v/>
      </c>
      <c r="J1972">
        <v>1954</v>
      </c>
      <c r="K1972">
        <v>11002</v>
      </c>
      <c r="L1972">
        <v>1173</v>
      </c>
    </row>
    <row r="1973" spans="1:12" x14ac:dyDescent="0.2">
      <c r="A1973"/>
      <c r="B1973"/>
      <c r="C1973"/>
      <c r="D1973"/>
      <c r="E1973" s="2">
        <f>Comuni__2[[#This Row],[Popolazione2011]]/$D$7911</f>
        <v>3.4927508045401283E-4</v>
      </c>
      <c r="F1973">
        <f>SUMIFS($D$2:$D$7909, $B$2:$B$7909, "Lazio")</f>
        <v>5502886</v>
      </c>
      <c r="G1973" s="1">
        <f>Comuni__2[[#This Row],[Popolazione2011]]/Comuni__2[[#This Row],[POPOLAZIONE TOTALE DI OGNI REGIONE (CON FILTRO)]]</f>
        <v>3.7716572722022589E-3</v>
      </c>
      <c r="H1973" t="str">
        <f>IF(Comuni__2[[#This Row],[Popolazione2011]]&gt;300000,"MAGGIORE","")</f>
        <v/>
      </c>
      <c r="J1973">
        <v>2048</v>
      </c>
      <c r="K1973">
        <v>11196</v>
      </c>
      <c r="L1973">
        <v>1190</v>
      </c>
    </row>
    <row r="1974" spans="1:12" x14ac:dyDescent="0.2">
      <c r="A1974"/>
      <c r="B1974"/>
      <c r="C1974"/>
      <c r="D1974"/>
      <c r="E1974" s="2">
        <f>Comuni__2[[#This Row],[Popolazione2011]]/$D$7911</f>
        <v>3.4495016136576034E-4</v>
      </c>
      <c r="F1974">
        <f>SUMIFS($D$2:$D$7909, $B$2:$B$7909, "Lazio")</f>
        <v>5502886</v>
      </c>
      <c r="G1974" s="1">
        <f>Comuni__2[[#This Row],[Popolazione2011]]/Comuni__2[[#This Row],[POPOLAZIONE TOTALE DI OGNI REGIONE (CON FILTRO)]]</f>
        <v>3.7249545056902869E-3</v>
      </c>
      <c r="H1974" t="str">
        <f>IF(Comuni__2[[#This Row],[Popolazione2011]]&gt;300000,"MAGGIORE","")</f>
        <v/>
      </c>
      <c r="J1974">
        <v>2126</v>
      </c>
      <c r="K1974">
        <v>11304</v>
      </c>
      <c r="L1974">
        <v>1212</v>
      </c>
    </row>
    <row r="1975" spans="1:12" x14ac:dyDescent="0.2">
      <c r="A1975"/>
      <c r="B1975"/>
      <c r="C1975"/>
      <c r="D1975"/>
      <c r="E1975" s="2">
        <f>Comuni__2[[#This Row],[Popolazione2011]]/$D$7911</f>
        <v>3.276841419706354E-4</v>
      </c>
      <c r="F1975">
        <f>SUMIFS($D$2:$D$7909, $B$2:$B$7909, "Lazio")</f>
        <v>5502886</v>
      </c>
      <c r="G1975" s="1">
        <f>Comuni__2[[#This Row],[Popolazione2011]]/Comuni__2[[#This Row],[POPOLAZIONE TOTALE DI OGNI REGIONE (CON FILTRO)]]</f>
        <v>3.5385068852961882E-3</v>
      </c>
      <c r="H1975" t="str">
        <f>IF(Comuni__2[[#This Row],[Popolazione2011]]&gt;300000,"MAGGIORE","")</f>
        <v/>
      </c>
      <c r="J1975">
        <v>2240</v>
      </c>
      <c r="K1975">
        <v>11436</v>
      </c>
      <c r="L1975">
        <v>1231</v>
      </c>
    </row>
    <row r="1976" spans="1:12" x14ac:dyDescent="0.2">
      <c r="A1976"/>
      <c r="B1976"/>
      <c r="C1976"/>
      <c r="D1976"/>
      <c r="E1976" s="2">
        <f>Comuni__2[[#This Row],[Popolazione2011]]/$D$7911</f>
        <v>3.2236634262476849E-4</v>
      </c>
      <c r="F1976">
        <f>SUMIFS($D$2:$D$7909, $B$2:$B$7909, "Lazio")</f>
        <v>5502886</v>
      </c>
      <c r="G1976" s="1">
        <f>Comuni__2[[#This Row],[Popolazione2011]]/Comuni__2[[#This Row],[POPOLAZIONE TOTALE DI OGNI REGIONE (CON FILTRO)]]</f>
        <v>3.4810824719974211E-3</v>
      </c>
      <c r="H1976" t="str">
        <f>IF(Comuni__2[[#This Row],[Popolazione2011]]&gt;300000,"MAGGIORE","")</f>
        <v/>
      </c>
      <c r="J1976">
        <v>2217</v>
      </c>
      <c r="K1976">
        <v>11595</v>
      </c>
      <c r="L1976">
        <v>1254</v>
      </c>
    </row>
    <row r="1977" spans="1:12" x14ac:dyDescent="0.2">
      <c r="A1977"/>
      <c r="B1977"/>
      <c r="C1977"/>
      <c r="D1977"/>
      <c r="E1977" s="2">
        <f>Comuni__2[[#This Row],[Popolazione2011]]/$D$7911</f>
        <v>3.1657734586850827E-4</v>
      </c>
      <c r="F1977">
        <f>SUMIFS($D$2:$D$7909, $B$2:$B$7909, "Lazio")</f>
        <v>5502886</v>
      </c>
      <c r="G1977" s="1">
        <f>Comuni__2[[#This Row],[Popolazione2011]]/Comuni__2[[#This Row],[POPOLAZIONE TOTALE DI OGNI REGIONE (CON FILTRO)]]</f>
        <v>3.4185698195455983E-3</v>
      </c>
      <c r="H1977" t="str">
        <f>IF(Comuni__2[[#This Row],[Popolazione2011]]&gt;300000,"MAGGIORE","")</f>
        <v/>
      </c>
      <c r="J1977">
        <v>2389</v>
      </c>
      <c r="K1977">
        <v>11837</v>
      </c>
      <c r="L1977">
        <v>1275</v>
      </c>
    </row>
    <row r="1978" spans="1:12" x14ac:dyDescent="0.2">
      <c r="A1978"/>
      <c r="B1978"/>
      <c r="C1978"/>
      <c r="D1978"/>
      <c r="E1978" s="2">
        <f>Comuni__2[[#This Row],[Popolazione2011]]/$D$7911</f>
        <v>3.125889963591081E-4</v>
      </c>
      <c r="F1978">
        <f>SUMIFS($D$2:$D$7909, $B$2:$B$7909, "Lazio")</f>
        <v>5502886</v>
      </c>
      <c r="G1978" s="1">
        <f>Comuni__2[[#This Row],[Popolazione2011]]/Comuni__2[[#This Row],[POPOLAZIONE TOTALE DI OGNI REGIONE (CON FILTRO)]]</f>
        <v>3.3755015095715229E-3</v>
      </c>
      <c r="H1978" t="str">
        <f>IF(Comuni__2[[#This Row],[Popolazione2011]]&gt;300000,"MAGGIORE","")</f>
        <v/>
      </c>
      <c r="J1978">
        <v>2534</v>
      </c>
      <c r="K1978">
        <v>12081</v>
      </c>
      <c r="L1978">
        <v>1309</v>
      </c>
    </row>
    <row r="1979" spans="1:12" x14ac:dyDescent="0.2">
      <c r="A1979"/>
      <c r="B1979"/>
      <c r="C1979"/>
      <c r="D1979"/>
      <c r="E1979" s="2">
        <f>Comuni__2[[#This Row],[Popolazione2011]]/$D$7911</f>
        <v>3.1215145590660006E-4</v>
      </c>
      <c r="F1979">
        <f>SUMIFS($D$2:$D$7909, $B$2:$B$7909, "Lazio")</f>
        <v>5502886</v>
      </c>
      <c r="G1979" s="1">
        <f>Comuni__2[[#This Row],[Popolazione2011]]/Comuni__2[[#This Row],[POPOLAZIONE TOTALE DI OGNI REGIONE (CON FILTRO)]]</f>
        <v>3.3707767160722573E-3</v>
      </c>
      <c r="H1979" t="str">
        <f>IF(Comuni__2[[#This Row],[Popolazione2011]]&gt;300000,"MAGGIORE","")</f>
        <v/>
      </c>
      <c r="J1979">
        <v>2730</v>
      </c>
      <c r="K1979">
        <v>12374</v>
      </c>
      <c r="L1979">
        <v>1344</v>
      </c>
    </row>
    <row r="1980" spans="1:12" x14ac:dyDescent="0.2">
      <c r="A1980"/>
      <c r="B1980"/>
      <c r="C1980"/>
      <c r="D1980"/>
      <c r="E1980" s="2">
        <f>Comuni__2[[#This Row],[Popolazione2011]]/$D$7911</f>
        <v>3.0814627791825723E-4</v>
      </c>
      <c r="F1980">
        <f>SUMIFS($D$2:$D$7909, $B$2:$B$7909, "Lazio")</f>
        <v>5502886</v>
      </c>
      <c r="G1980" s="1">
        <f>Comuni__2[[#This Row],[Popolazione2011]]/Comuni__2[[#This Row],[POPOLAZIONE TOTALE DI OGNI REGIONE (CON FILTRO)]]</f>
        <v>3.3275266832712871E-3</v>
      </c>
      <c r="H1980" t="str">
        <f>IF(Comuni__2[[#This Row],[Popolazione2011]]&gt;300000,"MAGGIORE","")</f>
        <v/>
      </c>
      <c r="J1980">
        <v>2745</v>
      </c>
      <c r="K1980">
        <v>12653</v>
      </c>
      <c r="L1980">
        <v>1370</v>
      </c>
    </row>
    <row r="1981" spans="1:12" x14ac:dyDescent="0.2">
      <c r="A1981"/>
      <c r="B1981"/>
      <c r="C1981"/>
      <c r="D1981"/>
      <c r="E1981" s="2">
        <f>Comuni__2[[#This Row],[Popolazione2011]]/$D$7911</f>
        <v>2.9286601903836114E-4</v>
      </c>
      <c r="F1981">
        <f>SUMIFS($D$2:$D$7909, $B$2:$B$7909, "Lazio")</f>
        <v>5502886</v>
      </c>
      <c r="G1981" s="1">
        <f>Comuni__2[[#This Row],[Popolazione2011]]/Comuni__2[[#This Row],[POPOLAZIONE TOTALE DI OGNI REGIONE (CON FILTRO)]]</f>
        <v>3.1625223564507787E-3</v>
      </c>
      <c r="H1981" t="str">
        <f>IF(Comuni__2[[#This Row],[Popolazione2011]]&gt;300000,"MAGGIORE","")</f>
        <v/>
      </c>
      <c r="J1981">
        <v>2856</v>
      </c>
      <c r="K1981">
        <v>12892</v>
      </c>
      <c r="L1981">
        <v>1397</v>
      </c>
    </row>
    <row r="1982" spans="1:12" x14ac:dyDescent="0.2">
      <c r="A1982"/>
      <c r="B1982"/>
      <c r="C1982"/>
      <c r="D1982"/>
      <c r="E1982" s="2">
        <f>Comuni__2[[#This Row],[Popolazione2011]]/$D$7911</f>
        <v>2.8477152066696241E-4</v>
      </c>
      <c r="F1982">
        <f>SUMIFS($D$2:$D$7909, $B$2:$B$7909, "Lazio")</f>
        <v>5502886</v>
      </c>
      <c r="G1982" s="1">
        <f>Comuni__2[[#This Row],[Popolazione2011]]/Comuni__2[[#This Row],[POPOLAZIONE TOTALE DI OGNI REGIONE (CON FILTRO)]]</f>
        <v>3.0751136767143642E-3</v>
      </c>
      <c r="H1982" t="str">
        <f>IF(Comuni__2[[#This Row],[Popolazione2011]]&gt;300000,"MAGGIORE","")</f>
        <v/>
      </c>
      <c r="J1982">
        <v>2923</v>
      </c>
      <c r="K1982">
        <v>13023</v>
      </c>
      <c r="L1982">
        <v>1413</v>
      </c>
    </row>
    <row r="1983" spans="1:12" x14ac:dyDescent="0.2">
      <c r="A1983"/>
      <c r="B1983"/>
      <c r="C1983"/>
      <c r="D1983"/>
      <c r="E1983" s="2">
        <f>Comuni__2[[#This Row],[Popolazione2011]]/$D$7911</f>
        <v>2.6952491874495158E-4</v>
      </c>
      <c r="F1983">
        <f>SUMIFS($D$2:$D$7909, $B$2:$B$7909, "Lazio")</f>
        <v>5502886</v>
      </c>
      <c r="G1983" s="1">
        <f>Comuni__2[[#This Row],[Popolazione2011]]/Comuni__2[[#This Row],[POPOLAZIONE TOTALE DI OGNI REGIONE (CON FILTRO)]]</f>
        <v>2.9104727955476454E-3</v>
      </c>
      <c r="H1983" t="str">
        <f>IF(Comuni__2[[#This Row],[Popolazione2011]]&gt;300000,"MAGGIORE","")</f>
        <v/>
      </c>
      <c r="J1983">
        <v>2998</v>
      </c>
      <c r="K1983">
        <v>13264</v>
      </c>
      <c r="L1983">
        <v>1429</v>
      </c>
    </row>
    <row r="1984" spans="1:12" x14ac:dyDescent="0.2">
      <c r="A1984"/>
      <c r="B1984"/>
      <c r="C1984"/>
      <c r="D1984"/>
      <c r="E1984" s="2">
        <f>Comuni__2[[#This Row],[Popolazione2011]]/$D$7911</f>
        <v>2.6245695758905248E-4</v>
      </c>
      <c r="F1984">
        <f>SUMIFS($D$2:$D$7909, $B$2:$B$7909, "Lazio")</f>
        <v>5502886</v>
      </c>
      <c r="G1984" s="1">
        <f>Comuni__2[[#This Row],[Popolazione2011]]/Comuni__2[[#This Row],[POPOLAZIONE TOTALE DI OGNI REGIONE (CON FILTRO)]]</f>
        <v>2.8341492082518153E-3</v>
      </c>
      <c r="H1984" t="str">
        <f>IF(Comuni__2[[#This Row],[Popolazione2011]]&gt;300000,"MAGGIORE","")</f>
        <v/>
      </c>
      <c r="J1984">
        <v>3042</v>
      </c>
      <c r="K1984">
        <v>13521</v>
      </c>
      <c r="L1984">
        <v>1465</v>
      </c>
    </row>
    <row r="1985" spans="1:12" x14ac:dyDescent="0.2">
      <c r="A1985"/>
      <c r="B1985"/>
      <c r="C1985"/>
      <c r="D1985"/>
      <c r="E1985" s="2">
        <f>Comuni__2[[#This Row],[Popolazione2011]]/$D$7911</f>
        <v>2.6212038801020016E-4</v>
      </c>
      <c r="F1985">
        <f>SUMIFS($D$2:$D$7909, $B$2:$B$7909, "Lazio")</f>
        <v>5502886</v>
      </c>
      <c r="G1985" s="1">
        <f>Comuni__2[[#This Row],[Popolazione2011]]/Comuni__2[[#This Row],[POPOLAZIONE TOTALE DI OGNI REGIONE (CON FILTRO)]]</f>
        <v>2.8305147517139187E-3</v>
      </c>
      <c r="H1985" t="str">
        <f>IF(Comuni__2[[#This Row],[Popolazione2011]]&gt;300000,"MAGGIORE","")</f>
        <v/>
      </c>
      <c r="J1985">
        <v>3168</v>
      </c>
      <c r="K1985">
        <v>13968</v>
      </c>
      <c r="L1985">
        <v>1503</v>
      </c>
    </row>
    <row r="1986" spans="1:12" x14ac:dyDescent="0.2">
      <c r="A1986"/>
      <c r="B1986"/>
      <c r="C1986"/>
      <c r="D1986"/>
      <c r="E1986" s="2">
        <f>Comuni__2[[#This Row],[Popolazione2011]]/$D$7911</f>
        <v>2.5200647216568739E-4</v>
      </c>
      <c r="F1986">
        <f>SUMIFS($D$2:$D$7909, $B$2:$B$7909, "Lazio")</f>
        <v>5502886</v>
      </c>
      <c r="G1986" s="1">
        <f>Comuni__2[[#This Row],[Popolazione2011]]/Comuni__2[[#This Row],[POPOLAZIONE TOTALE DI OGNI REGIONE (CON FILTRO)]]</f>
        <v>2.7212993327501243E-3</v>
      </c>
      <c r="H1986" t="str">
        <f>IF(Comuni__2[[#This Row],[Popolazione2011]]&gt;300000,"MAGGIORE","")</f>
        <v/>
      </c>
      <c r="J1986">
        <v>3212</v>
      </c>
      <c r="K1986">
        <v>14269</v>
      </c>
      <c r="L1986">
        <v>1552</v>
      </c>
    </row>
    <row r="1987" spans="1:12" x14ac:dyDescent="0.2">
      <c r="A1987"/>
      <c r="B1987"/>
      <c r="C1987"/>
      <c r="D1987"/>
      <c r="E1987" s="2">
        <f>Comuni__2[[#This Row],[Popolazione2011]]/$D$7911</f>
        <v>2.3376440099189075E-4</v>
      </c>
      <c r="F1987">
        <f>SUMIFS($D$2:$D$7909, $B$2:$B$7909, "Lazio")</f>
        <v>5502886</v>
      </c>
      <c r="G1987" s="1">
        <f>Comuni__2[[#This Row],[Popolazione2011]]/Comuni__2[[#This Row],[POPOLAZIONE TOTALE DI OGNI REGIONE (CON FILTRO)]]</f>
        <v>2.5243117883961253E-3</v>
      </c>
      <c r="H1987" t="str">
        <f>IF(Comuni__2[[#This Row],[Popolazione2011]]&gt;300000,"MAGGIORE","")</f>
        <v/>
      </c>
      <c r="J1987">
        <v>3278</v>
      </c>
      <c r="K1987">
        <v>14680</v>
      </c>
      <c r="L1987">
        <v>1586</v>
      </c>
    </row>
    <row r="1988" spans="1:12" x14ac:dyDescent="0.2">
      <c r="A1988"/>
      <c r="B1988"/>
      <c r="C1988"/>
      <c r="D1988"/>
      <c r="E1988" s="2">
        <f>Comuni__2[[#This Row],[Popolazione2011]]/$D$7911</f>
        <v>2.3243495115542401E-4</v>
      </c>
      <c r="F1988">
        <f>SUMIFS($D$2:$D$7909, $B$2:$B$7909, "Lazio")</f>
        <v>5502886</v>
      </c>
      <c r="G1988" s="1">
        <f>Comuni__2[[#This Row],[Popolazione2011]]/Comuni__2[[#This Row],[POPOLAZIONE TOTALE DI OGNI REGIONE (CON FILTRO)]]</f>
        <v>2.5099556850714335E-3</v>
      </c>
      <c r="H1988" t="str">
        <f>IF(Comuni__2[[#This Row],[Popolazione2011]]&gt;300000,"MAGGIORE","")</f>
        <v/>
      </c>
      <c r="J1988">
        <v>3349</v>
      </c>
      <c r="K1988">
        <v>15079</v>
      </c>
      <c r="L1988">
        <v>1625</v>
      </c>
    </row>
    <row r="1989" spans="1:12" x14ac:dyDescent="0.2">
      <c r="A1989"/>
      <c r="B1989"/>
      <c r="C1989"/>
      <c r="D1989"/>
      <c r="E1989" s="2">
        <f>Comuni__2[[#This Row],[Popolazione2011]]/$D$7911</f>
        <v>2.3233398028176832E-4</v>
      </c>
      <c r="F1989">
        <f>SUMIFS($D$2:$D$7909, $B$2:$B$7909, "Lazio")</f>
        <v>5502886</v>
      </c>
      <c r="G1989" s="1">
        <f>Comuni__2[[#This Row],[Popolazione2011]]/Comuni__2[[#This Row],[POPOLAZIONE TOTALE DI OGNI REGIONE (CON FILTRO)]]</f>
        <v>2.5088653481100645E-3</v>
      </c>
      <c r="H1989" t="str">
        <f>IF(Comuni__2[[#This Row],[Popolazione2011]]&gt;300000,"MAGGIORE","")</f>
        <v/>
      </c>
      <c r="J1989">
        <v>3433</v>
      </c>
      <c r="K1989">
        <v>15319</v>
      </c>
      <c r="L1989">
        <v>1646</v>
      </c>
    </row>
    <row r="1990" spans="1:12" x14ac:dyDescent="0.2">
      <c r="A1990"/>
      <c r="B1990"/>
      <c r="C1990"/>
      <c r="D1990"/>
      <c r="E1990" s="2">
        <f>Comuni__2[[#This Row],[Popolazione2011]]/$D$7911</f>
        <v>2.2996116475085935E-4</v>
      </c>
      <c r="F1990">
        <f>SUMIFS($D$2:$D$7909, $B$2:$B$7909, "Lazio")</f>
        <v>5502886</v>
      </c>
      <c r="G1990" s="1">
        <f>Comuni__2[[#This Row],[Popolazione2011]]/Comuni__2[[#This Row],[POPOLAZIONE TOTALE DI OGNI REGIONE (CON FILTRO)]]</f>
        <v>2.4832424295178931E-3</v>
      </c>
      <c r="H1990" t="str">
        <f>IF(Comuni__2[[#This Row],[Popolazione2011]]&gt;300000,"MAGGIORE","")</f>
        <v/>
      </c>
      <c r="J1990">
        <v>3377</v>
      </c>
      <c r="K1990">
        <v>15731</v>
      </c>
      <c r="L1990">
        <v>1680</v>
      </c>
    </row>
    <row r="1991" spans="1:12" x14ac:dyDescent="0.2">
      <c r="A1991"/>
      <c r="B1991"/>
      <c r="C1991"/>
      <c r="D1991"/>
      <c r="E1991" s="2">
        <f>Comuni__2[[#This Row],[Popolazione2011]]/$D$7911</f>
        <v>2.2730226507792586E-4</v>
      </c>
      <c r="F1991">
        <f>SUMIFS($D$2:$D$7909, $B$2:$B$7909, "Lazio")</f>
        <v>5502886</v>
      </c>
      <c r="G1991" s="1">
        <f>Comuni__2[[#This Row],[Popolazione2011]]/Comuni__2[[#This Row],[POPOLAZIONE TOTALE DI OGNI REGIONE (CON FILTRO)]]</f>
        <v>2.4545302228685091E-3</v>
      </c>
      <c r="H1991" t="str">
        <f>IF(Comuni__2[[#This Row],[Popolazione2011]]&gt;300000,"MAGGIORE","")</f>
        <v/>
      </c>
      <c r="J1991">
        <v>3374</v>
      </c>
      <c r="K1991">
        <v>16225</v>
      </c>
      <c r="L1991">
        <v>1739</v>
      </c>
    </row>
    <row r="1992" spans="1:12" x14ac:dyDescent="0.2">
      <c r="A1992"/>
      <c r="B1992"/>
      <c r="C1992"/>
      <c r="D1992"/>
      <c r="E1992" s="2">
        <f>Comuni__2[[#This Row],[Popolazione2011]]/$D$7911</f>
        <v>2.2529967608375448E-4</v>
      </c>
      <c r="F1992">
        <f>SUMIFS($D$2:$D$7909, $B$2:$B$7909, "Lazio")</f>
        <v>5502886</v>
      </c>
      <c r="G1992" s="1">
        <f>Comuni__2[[#This Row],[Popolazione2011]]/Comuni__2[[#This Row],[POPOLAZIONE TOTALE DI OGNI REGIONE (CON FILTRO)]]</f>
        <v>2.4329052064680241E-3</v>
      </c>
      <c r="H1992" t="str">
        <f>IF(Comuni__2[[#This Row],[Popolazione2011]]&gt;300000,"MAGGIORE","")</f>
        <v/>
      </c>
      <c r="J1992">
        <v>3374</v>
      </c>
      <c r="K1992">
        <v>16775</v>
      </c>
      <c r="L1992">
        <v>1819</v>
      </c>
    </row>
    <row r="1993" spans="1:12" x14ac:dyDescent="0.2">
      <c r="A1993"/>
      <c r="B1993"/>
      <c r="C1993"/>
      <c r="D1993"/>
      <c r="E1993" s="2">
        <f>Comuni__2[[#This Row],[Popolazione2011]]/$D$7911</f>
        <v>2.2252297705822269E-4</v>
      </c>
      <c r="F1993">
        <f>SUMIFS($D$2:$D$7909, $B$2:$B$7909, "Lazio")</f>
        <v>5502886</v>
      </c>
      <c r="G1993" s="1">
        <f>Comuni__2[[#This Row],[Popolazione2011]]/Comuni__2[[#This Row],[POPOLAZIONE TOTALE DI OGNI REGIONE (CON FILTRO)]]</f>
        <v>2.4029209400303767E-3</v>
      </c>
      <c r="H1993" t="str">
        <f>IF(Comuni__2[[#This Row],[Popolazione2011]]&gt;300000,"MAGGIORE","")</f>
        <v/>
      </c>
      <c r="J1993">
        <v>3432</v>
      </c>
      <c r="K1993">
        <v>17361</v>
      </c>
      <c r="L1993">
        <v>1880</v>
      </c>
    </row>
    <row r="1994" spans="1:12" x14ac:dyDescent="0.2">
      <c r="A1994"/>
      <c r="B1994"/>
      <c r="C1994"/>
      <c r="D1994"/>
      <c r="E1994" s="2">
        <f>Comuni__2[[#This Row],[Popolazione2011]]/$D$7911</f>
        <v>2.1976310651163351E-4</v>
      </c>
      <c r="F1994">
        <f>SUMIFS($D$2:$D$7909, $B$2:$B$7909, "Lazio")</f>
        <v>5502886</v>
      </c>
      <c r="G1994" s="1">
        <f>Comuni__2[[#This Row],[Popolazione2011]]/Comuni__2[[#This Row],[POPOLAZIONE TOTALE DI OGNI REGIONE (CON FILTRO)]]</f>
        <v>2.3731183964196241E-3</v>
      </c>
      <c r="H1994" t="str">
        <f>IF(Comuni__2[[#This Row],[Popolazione2011]]&gt;300000,"MAGGIORE","")</f>
        <v/>
      </c>
      <c r="J1994">
        <v>3539</v>
      </c>
      <c r="K1994">
        <v>17782</v>
      </c>
      <c r="L1994">
        <v>1921</v>
      </c>
    </row>
    <row r="1995" spans="1:12" x14ac:dyDescent="0.2">
      <c r="A1995"/>
      <c r="B1995"/>
      <c r="C1995"/>
      <c r="D1995"/>
      <c r="E1995" s="2">
        <f>Comuni__2[[#This Row],[Popolazione2011]]/$D$7911</f>
        <v>2.1887119712767482E-4</v>
      </c>
      <c r="F1995">
        <f>SUMIFS($D$2:$D$7909, $B$2:$B$7909, "Lazio")</f>
        <v>5502886</v>
      </c>
      <c r="G1995" s="1">
        <f>Comuni__2[[#This Row],[Popolazione2011]]/Comuni__2[[#This Row],[POPOLAZIONE TOTALE DI OGNI REGIONE (CON FILTRO)]]</f>
        <v>2.363487086594198E-3</v>
      </c>
      <c r="H1995" t="str">
        <f>IF(Comuni__2[[#This Row],[Popolazione2011]]&gt;300000,"MAGGIORE","")</f>
        <v/>
      </c>
      <c r="J1995">
        <v>3594</v>
      </c>
      <c r="K1995">
        <v>18273</v>
      </c>
      <c r="L1995">
        <v>1958</v>
      </c>
    </row>
    <row r="1996" spans="1:12" x14ac:dyDescent="0.2">
      <c r="A1996"/>
      <c r="B1996"/>
      <c r="C1996"/>
      <c r="D1996"/>
      <c r="E1996" s="2">
        <f>Comuni__2[[#This Row],[Popolazione2011]]/$D$7911</f>
        <v>2.1696957900715913E-4</v>
      </c>
      <c r="F1996">
        <f>SUMIFS($D$2:$D$7909, $B$2:$B$7909, "Lazio")</f>
        <v>5502886</v>
      </c>
      <c r="G1996" s="1">
        <f>Comuni__2[[#This Row],[Popolazione2011]]/Comuni__2[[#This Row],[POPOLAZIONE TOTALE DI OGNI REGIONE (CON FILTRO)]]</f>
        <v>2.3429524071550819E-3</v>
      </c>
      <c r="H1996" t="str">
        <f>IF(Comuni__2[[#This Row],[Popolazione2011]]&gt;300000,"MAGGIORE","")</f>
        <v/>
      </c>
      <c r="J1996">
        <v>3637</v>
      </c>
      <c r="K1996">
        <v>18609</v>
      </c>
      <c r="L1996">
        <v>1978</v>
      </c>
    </row>
    <row r="1997" spans="1:12" x14ac:dyDescent="0.2">
      <c r="A1997"/>
      <c r="B1997"/>
      <c r="C1997"/>
      <c r="D1997"/>
      <c r="E1997" s="2">
        <f>Comuni__2[[#This Row],[Popolazione2011]]/$D$7911</f>
        <v>2.1678446573879034E-4</v>
      </c>
      <c r="F1997">
        <f>SUMIFS($D$2:$D$7909, $B$2:$B$7909, "Lazio")</f>
        <v>5502886</v>
      </c>
      <c r="G1997" s="1">
        <f>Comuni__2[[#This Row],[Popolazione2011]]/Comuni__2[[#This Row],[POPOLAZIONE TOTALE DI OGNI REGIONE (CON FILTRO)]]</f>
        <v>2.3409534560592388E-3</v>
      </c>
      <c r="H1997" t="str">
        <f>IF(Comuni__2[[#This Row],[Popolazione2011]]&gt;300000,"MAGGIORE","")</f>
        <v/>
      </c>
      <c r="J1997">
        <v>3686</v>
      </c>
      <c r="K1997">
        <v>19066</v>
      </c>
      <c r="L1997">
        <v>2026</v>
      </c>
    </row>
    <row r="1998" spans="1:12" x14ac:dyDescent="0.2">
      <c r="A1998"/>
      <c r="B1998"/>
      <c r="C1998"/>
      <c r="D1998"/>
      <c r="E1998" s="2">
        <f>Comuni__2[[#This Row],[Popolazione2011]]/$D$7911</f>
        <v>2.0742783144669537E-4</v>
      </c>
      <c r="F1998">
        <f>SUMIFS($D$2:$D$7909, $B$2:$B$7909, "Lazio")</f>
        <v>5502886</v>
      </c>
      <c r="G1998" s="1">
        <f>Comuni__2[[#This Row],[Popolazione2011]]/Comuni__2[[#This Row],[POPOLAZIONE TOTALE DI OGNI REGIONE (CON FILTRO)]]</f>
        <v>2.2399155643057114E-3</v>
      </c>
      <c r="H1998" t="str">
        <f>IF(Comuni__2[[#This Row],[Popolazione2011]]&gt;300000,"MAGGIORE","")</f>
        <v/>
      </c>
      <c r="J1998">
        <v>3706</v>
      </c>
      <c r="K1998">
        <v>19606</v>
      </c>
      <c r="L1998">
        <v>2088</v>
      </c>
    </row>
    <row r="1999" spans="1:12" x14ac:dyDescent="0.2">
      <c r="A1999"/>
      <c r="B1999"/>
      <c r="C1999"/>
      <c r="D1999"/>
      <c r="E1999" s="2">
        <f>Comuni__2[[#This Row],[Popolazione2011]]/$D$7911</f>
        <v>2.0475210329481928E-4</v>
      </c>
      <c r="F1999">
        <f>SUMIFS($D$2:$D$7909, $B$2:$B$7909, "Lazio")</f>
        <v>5502886</v>
      </c>
      <c r="G1999" s="1">
        <f>Comuni__2[[#This Row],[Popolazione2011]]/Comuni__2[[#This Row],[POPOLAZIONE TOTALE DI OGNI REGIONE (CON FILTRO)]]</f>
        <v>2.211021634829433E-3</v>
      </c>
      <c r="H1999" t="str">
        <f>IF(Comuni__2[[#This Row],[Popolazione2011]]&gt;300000,"MAGGIORE","")</f>
        <v/>
      </c>
      <c r="J1999">
        <v>3697</v>
      </c>
      <c r="K1999">
        <v>20881</v>
      </c>
      <c r="L1999">
        <v>2146</v>
      </c>
    </row>
    <row r="2000" spans="1:12" x14ac:dyDescent="0.2">
      <c r="A2000"/>
      <c r="B2000"/>
      <c r="C2000"/>
      <c r="D2000"/>
      <c r="E2000" s="2">
        <f>Comuni__2[[#This Row],[Popolazione2011]]/$D$7911</f>
        <v>2.0131909359052545E-4</v>
      </c>
      <c r="F2000">
        <f>SUMIFS($D$2:$D$7909, $B$2:$B$7909, "Lazio")</f>
        <v>5502886</v>
      </c>
      <c r="G2000" s="1">
        <f>Comuni__2[[#This Row],[Popolazione2011]]/Comuni__2[[#This Row],[POPOLAZIONE TOTALE DI OGNI REGIONE (CON FILTRO)]]</f>
        <v>2.1739501781428872E-3</v>
      </c>
      <c r="H2000" t="str">
        <f>IF(Comuni__2[[#This Row],[Popolazione2011]]&gt;300000,"MAGGIORE","")</f>
        <v/>
      </c>
      <c r="J2000">
        <v>3760</v>
      </c>
      <c r="K2000">
        <v>22334</v>
      </c>
      <c r="L2000">
        <v>2215</v>
      </c>
    </row>
    <row r="2001" spans="1:12" x14ac:dyDescent="0.2">
      <c r="A2001"/>
      <c r="B2001"/>
      <c r="C2001"/>
      <c r="D2001"/>
      <c r="E2001" s="2">
        <f>Comuni__2[[#This Row],[Popolazione2011]]/$D$7911</f>
        <v>2.0041035572762413E-4</v>
      </c>
      <c r="F2001">
        <f>SUMIFS($D$2:$D$7909, $B$2:$B$7909, "Lazio")</f>
        <v>5502886</v>
      </c>
      <c r="G2001" s="1">
        <f>Comuni__2[[#This Row],[Popolazione2011]]/Comuni__2[[#This Row],[POPOLAZIONE TOTALE DI OGNI REGIONE (CON FILTRO)]]</f>
        <v>2.1641371454905662E-3</v>
      </c>
      <c r="H2001" t="str">
        <f>IF(Comuni__2[[#This Row],[Popolazione2011]]&gt;300000,"MAGGIORE","")</f>
        <v/>
      </c>
      <c r="J2001">
        <v>3762</v>
      </c>
      <c r="K2001">
        <v>23910</v>
      </c>
      <c r="L2001">
        <v>2284</v>
      </c>
    </row>
    <row r="2002" spans="1:12" x14ac:dyDescent="0.2">
      <c r="A2002"/>
      <c r="B2002"/>
      <c r="C2002"/>
      <c r="D2002"/>
      <c r="E2002" s="2">
        <f>Comuni__2[[#This Row],[Popolazione2011]]/$D$7911</f>
        <v>1.8905113244135777E-4</v>
      </c>
      <c r="F2002">
        <f>SUMIFS($D$2:$D$7909, $B$2:$B$7909, "Lazio")</f>
        <v>5502886</v>
      </c>
      <c r="G2002" s="1">
        <f>Comuni__2[[#This Row],[Popolazione2011]]/Comuni__2[[#This Row],[POPOLAZIONE TOTALE DI OGNI REGIONE (CON FILTRO)]]</f>
        <v>2.0414742373365538E-3</v>
      </c>
      <c r="H2002" t="str">
        <f>IF(Comuni__2[[#This Row],[Popolazione2011]]&gt;300000,"MAGGIORE","")</f>
        <v/>
      </c>
      <c r="J2002">
        <v>3708</v>
      </c>
      <c r="K2002">
        <v>24627</v>
      </c>
      <c r="L2002">
        <v>2309</v>
      </c>
    </row>
    <row r="2003" spans="1:12" x14ac:dyDescent="0.2">
      <c r="A2003"/>
      <c r="B2003"/>
      <c r="C2003"/>
      <c r="D2003"/>
      <c r="E2003" s="2">
        <f>Comuni__2[[#This Row],[Popolazione2011]]/$D$7911</f>
        <v>1.8691391561564543E-4</v>
      </c>
      <c r="F2003">
        <f>SUMIFS($D$2:$D$7909, $B$2:$B$7909, "Lazio")</f>
        <v>5502886</v>
      </c>
      <c r="G2003" s="1">
        <f>Comuni__2[[#This Row],[Popolazione2011]]/Comuni__2[[#This Row],[POPOLAZIONE TOTALE DI OGNI REGIONE (CON FILTRO)]]</f>
        <v>2.01839543832091E-3</v>
      </c>
      <c r="H2003" t="str">
        <f>IF(Comuni__2[[#This Row],[Popolazione2011]]&gt;300000,"MAGGIORE","")</f>
        <v/>
      </c>
      <c r="J2003">
        <v>3713</v>
      </c>
      <c r="K2003">
        <v>26151</v>
      </c>
      <c r="L2003">
        <v>2328</v>
      </c>
    </row>
    <row r="2004" spans="1:12" x14ac:dyDescent="0.2">
      <c r="A2004"/>
      <c r="B2004"/>
      <c r="C2004"/>
      <c r="D2004"/>
      <c r="E2004" s="2">
        <f>Comuni__2[[#This Row],[Popolazione2011]]/$D$7911</f>
        <v>1.8553398034235082E-4</v>
      </c>
      <c r="F2004">
        <f>SUMIFS($D$2:$D$7909, $B$2:$B$7909, "Lazio")</f>
        <v>5502886</v>
      </c>
      <c r="G2004" s="1">
        <f>Comuni__2[[#This Row],[Popolazione2011]]/Comuni__2[[#This Row],[POPOLAZIONE TOTALE DI OGNI REGIONE (CON FILTRO)]]</f>
        <v>2.0034941665155338E-3</v>
      </c>
      <c r="H2004" t="str">
        <f>IF(Comuni__2[[#This Row],[Popolazione2011]]&gt;300000,"MAGGIORE","")</f>
        <v/>
      </c>
      <c r="J2004">
        <v>3734</v>
      </c>
      <c r="K2004">
        <v>27212</v>
      </c>
      <c r="L2004">
        <v>2367</v>
      </c>
    </row>
    <row r="2005" spans="1:12" x14ac:dyDescent="0.2">
      <c r="A2005"/>
      <c r="B2005"/>
      <c r="C2005"/>
      <c r="D2005"/>
      <c r="E2005" s="2">
        <f>Comuni__2[[#This Row],[Popolazione2011]]/$D$7911</f>
        <v>1.8206731368017177E-4</v>
      </c>
      <c r="F2005">
        <f>SUMIFS($D$2:$D$7909, $B$2:$B$7909, "Lazio")</f>
        <v>5502886</v>
      </c>
      <c r="G2005" s="1">
        <f>Comuni__2[[#This Row],[Popolazione2011]]/Comuni__2[[#This Row],[POPOLAZIONE TOTALE DI OGNI REGIONE (CON FILTRO)]]</f>
        <v>1.9660592641751982E-3</v>
      </c>
      <c r="H2005" t="str">
        <f>IF(Comuni__2[[#This Row],[Popolazione2011]]&gt;300000,"MAGGIORE","")</f>
        <v/>
      </c>
      <c r="J2005">
        <v>3593</v>
      </c>
      <c r="K2005">
        <v>28080</v>
      </c>
      <c r="L2005">
        <v>2431</v>
      </c>
    </row>
    <row r="2006" spans="1:12" x14ac:dyDescent="0.2">
      <c r="A2006"/>
      <c r="B2006"/>
      <c r="C2006"/>
      <c r="D2006"/>
      <c r="E2006" s="2">
        <f>Comuni__2[[#This Row],[Popolazione2011]]/$D$7911</f>
        <v>1.7602588973977232E-4</v>
      </c>
      <c r="F2006">
        <f>SUMIFS($D$2:$D$7909, $B$2:$B$7909, "Lazio")</f>
        <v>5502886</v>
      </c>
      <c r="G2006" s="1">
        <f>Comuni__2[[#This Row],[Popolazione2011]]/Comuni__2[[#This Row],[POPOLAZIONE TOTALE DI OGNI REGIONE (CON FILTRO)]]</f>
        <v>1.9008207693199531E-3</v>
      </c>
      <c r="H2006" t="str">
        <f>IF(Comuni__2[[#This Row],[Popolazione2011]]&gt;300000,"MAGGIORE","")</f>
        <v/>
      </c>
      <c r="J2006">
        <v>3632</v>
      </c>
      <c r="K2006">
        <v>28860</v>
      </c>
      <c r="L2006">
        <v>2476</v>
      </c>
    </row>
    <row r="2007" spans="1:12" x14ac:dyDescent="0.2">
      <c r="A2007"/>
      <c r="B2007"/>
      <c r="C2007"/>
      <c r="D2007"/>
      <c r="E2007" s="2">
        <f>Comuni__2[[#This Row],[Popolazione2011]]/$D$7911</f>
        <v>1.7536957906101025E-4</v>
      </c>
      <c r="F2007">
        <f>SUMIFS($D$2:$D$7909, $B$2:$B$7909, "Lazio")</f>
        <v>5502886</v>
      </c>
      <c r="G2007" s="1">
        <f>Comuni__2[[#This Row],[Popolazione2011]]/Comuni__2[[#This Row],[POPOLAZIONE TOTALE DI OGNI REGIONE (CON FILTRO)]]</f>
        <v>1.8937335790710547E-3</v>
      </c>
      <c r="H2007" t="str">
        <f>IF(Comuni__2[[#This Row],[Popolazione2011]]&gt;300000,"MAGGIORE","")</f>
        <v/>
      </c>
      <c r="J2007">
        <v>3597</v>
      </c>
      <c r="K2007">
        <v>29616</v>
      </c>
      <c r="L2007">
        <v>2514</v>
      </c>
    </row>
    <row r="2008" spans="1:12" x14ac:dyDescent="0.2">
      <c r="A2008"/>
      <c r="B2008"/>
      <c r="C2008"/>
      <c r="D2008"/>
      <c r="E2008" s="2">
        <f>Comuni__2[[#This Row],[Popolazione2011]]/$D$7911</f>
        <v>1.6231067940153957E-4</v>
      </c>
      <c r="F2008">
        <f>SUMIFS($D$2:$D$7909, $B$2:$B$7909, "Lazio")</f>
        <v>5502886</v>
      </c>
      <c r="G2008" s="1">
        <f>Comuni__2[[#This Row],[Popolazione2011]]/Comuni__2[[#This Row],[POPOLAZIONE TOTALE DI OGNI REGIONE (CON FILTRO)]]</f>
        <v>1.7527166654006643E-3</v>
      </c>
      <c r="H2008" t="str">
        <f>IF(Comuni__2[[#This Row],[Popolazione2011]]&gt;300000,"MAGGIORE","")</f>
        <v/>
      </c>
      <c r="J2008">
        <v>3538</v>
      </c>
      <c r="K2008">
        <v>30427</v>
      </c>
      <c r="L2008">
        <v>2576</v>
      </c>
    </row>
    <row r="2009" spans="1:12" x14ac:dyDescent="0.2">
      <c r="A2009"/>
      <c r="B2009"/>
      <c r="C2009"/>
      <c r="D2009"/>
      <c r="E2009" s="2">
        <f>Comuni__2[[#This Row],[Popolazione2011]]/$D$7911</f>
        <v>1.6109902891767115E-4</v>
      </c>
      <c r="F2009">
        <f>SUMIFS($D$2:$D$7909, $B$2:$B$7909, "Lazio")</f>
        <v>5502886</v>
      </c>
      <c r="G2009" s="1">
        <f>Comuni__2[[#This Row],[Popolazione2011]]/Comuni__2[[#This Row],[POPOLAZIONE TOTALE DI OGNI REGIONE (CON FILTRO)]]</f>
        <v>1.7396326218642364E-3</v>
      </c>
      <c r="H2009" t="str">
        <f>IF(Comuni__2[[#This Row],[Popolazione2011]]&gt;300000,"MAGGIORE","")</f>
        <v/>
      </c>
      <c r="J2009">
        <v>3424</v>
      </c>
      <c r="K2009">
        <v>32536</v>
      </c>
      <c r="L2009">
        <v>2608</v>
      </c>
    </row>
    <row r="2010" spans="1:12" x14ac:dyDescent="0.2">
      <c r="A2010"/>
      <c r="B2010"/>
      <c r="C2010"/>
      <c r="D2010"/>
      <c r="E2010" s="2">
        <f>Comuni__2[[#This Row],[Popolazione2011]]/$D$7911</f>
        <v>1.6047637519679434E-4</v>
      </c>
      <c r="F2010">
        <f>SUMIFS($D$2:$D$7909, $B$2:$B$7909, "Lazio")</f>
        <v>5502886</v>
      </c>
      <c r="G2010" s="1">
        <f>Comuni__2[[#This Row],[Popolazione2011]]/Comuni__2[[#This Row],[POPOLAZIONE TOTALE DI OGNI REGIONE (CON FILTRO)]]</f>
        <v>1.7329088772691276E-3</v>
      </c>
      <c r="H2010" t="str">
        <f>IF(Comuni__2[[#This Row],[Popolazione2011]]&gt;300000,"MAGGIORE","")</f>
        <v/>
      </c>
      <c r="J2010">
        <v>3476</v>
      </c>
      <c r="K2010">
        <v>33422</v>
      </c>
      <c r="L2010">
        <v>2622</v>
      </c>
    </row>
    <row r="2011" spans="1:12" x14ac:dyDescent="0.2">
      <c r="A2011"/>
      <c r="B2011"/>
      <c r="C2011"/>
      <c r="D2011"/>
      <c r="E2011" s="2">
        <f>Comuni__2[[#This Row],[Popolazione2011]]/$D$7911</f>
        <v>1.5966860820754874E-4</v>
      </c>
      <c r="F2011">
        <f>SUMIFS($D$2:$D$7909, $B$2:$B$7909, "Lazio")</f>
        <v>5502886</v>
      </c>
      <c r="G2011" s="1">
        <f>Comuni__2[[#This Row],[Popolazione2011]]/Comuni__2[[#This Row],[POPOLAZIONE TOTALE DI OGNI REGIONE (CON FILTRO)]]</f>
        <v>1.7241861815781756E-3</v>
      </c>
      <c r="H2011" t="str">
        <f>IF(Comuni__2[[#This Row],[Popolazione2011]]&gt;300000,"MAGGIORE","")</f>
        <v/>
      </c>
      <c r="J2011">
        <v>0</v>
      </c>
      <c r="K2011">
        <v>0</v>
      </c>
      <c r="L2011">
        <v>0</v>
      </c>
    </row>
    <row r="2012" spans="1:12" x14ac:dyDescent="0.2">
      <c r="A2012"/>
      <c r="B2012"/>
      <c r="C2012"/>
      <c r="D2012"/>
      <c r="E2012" s="2">
        <f>Comuni__2[[#This Row],[Popolazione2011]]/$D$7911</f>
        <v>1.5739676355029544E-4</v>
      </c>
      <c r="F2012">
        <f>SUMIFS($D$2:$D$7909, $B$2:$B$7909, "Lazio")</f>
        <v>5502886</v>
      </c>
      <c r="G2012" s="1">
        <f>Comuni__2[[#This Row],[Popolazione2011]]/Comuni__2[[#This Row],[POPOLAZIONE TOTALE DI OGNI REGIONE (CON FILTRO)]]</f>
        <v>1.699653599947373E-3</v>
      </c>
      <c r="H2012" t="str">
        <f>IF(Comuni__2[[#This Row],[Popolazione2011]]&gt;300000,"MAGGIORE","")</f>
        <v/>
      </c>
      <c r="J2012">
        <v>1</v>
      </c>
      <c r="K2012">
        <v>0</v>
      </c>
      <c r="L2012">
        <v>0</v>
      </c>
    </row>
    <row r="2013" spans="1:12" x14ac:dyDescent="0.2">
      <c r="A2013"/>
      <c r="B2013"/>
      <c r="C2013"/>
      <c r="D2013"/>
      <c r="E2013" s="2">
        <f>Comuni__2[[#This Row],[Popolazione2011]]/$D$7911</f>
        <v>1.5362718426714927E-4</v>
      </c>
      <c r="F2013">
        <f>SUMIFS($D$2:$D$7909, $B$2:$B$7909, "Lazio")</f>
        <v>5502886</v>
      </c>
      <c r="G2013" s="1">
        <f>Comuni__2[[#This Row],[Popolazione2011]]/Comuni__2[[#This Row],[POPOLAZIONE TOTALE DI OGNI REGIONE (CON FILTRO)]]</f>
        <v>1.6589476867229305E-3</v>
      </c>
      <c r="H2013" t="str">
        <f>IF(Comuni__2[[#This Row],[Popolazione2011]]&gt;300000,"MAGGIORE","")</f>
        <v/>
      </c>
      <c r="J2013">
        <v>6</v>
      </c>
      <c r="K2013">
        <v>0</v>
      </c>
      <c r="L2013">
        <v>0</v>
      </c>
    </row>
    <row r="2014" spans="1:12" x14ac:dyDescent="0.2">
      <c r="A2014"/>
      <c r="B2014"/>
      <c r="C2014"/>
      <c r="D2014"/>
      <c r="E2014" s="2">
        <f>Comuni__2[[#This Row],[Popolazione2011]]/$D$7911</f>
        <v>1.5315598685675602E-4</v>
      </c>
      <c r="F2014">
        <f>SUMIFS($D$2:$D$7909, $B$2:$B$7909, "Lazio")</f>
        <v>5502886</v>
      </c>
      <c r="G2014" s="1">
        <f>Comuni__2[[#This Row],[Popolazione2011]]/Comuni__2[[#This Row],[POPOLAZIONE TOTALE DI OGNI REGIONE (CON FILTRO)]]</f>
        <v>1.6538594475698752E-3</v>
      </c>
      <c r="H2014" t="str">
        <f>IF(Comuni__2[[#This Row],[Popolazione2011]]&gt;300000,"MAGGIORE","")</f>
        <v/>
      </c>
      <c r="J2014">
        <v>9</v>
      </c>
      <c r="K2014">
        <v>0</v>
      </c>
      <c r="L2014">
        <v>0</v>
      </c>
    </row>
    <row r="2015" spans="1:12" x14ac:dyDescent="0.2">
      <c r="A2015"/>
      <c r="B2015"/>
      <c r="C2015"/>
      <c r="D2015"/>
      <c r="E2015" s="2">
        <f>Comuni__2[[#This Row],[Popolazione2011]]/$D$7911</f>
        <v>1.5256699009376441E-4</v>
      </c>
      <c r="F2015">
        <f>SUMIFS($D$2:$D$7909, $B$2:$B$7909, "Lazio")</f>
        <v>5502886</v>
      </c>
      <c r="G2015" s="1">
        <f>Comuni__2[[#This Row],[Popolazione2011]]/Comuni__2[[#This Row],[POPOLAZIONE TOTALE DI OGNI REGIONE (CON FILTRO)]]</f>
        <v>1.647499148628556E-3</v>
      </c>
      <c r="H2015" t="str">
        <f>IF(Comuni__2[[#This Row],[Popolazione2011]]&gt;300000,"MAGGIORE","")</f>
        <v/>
      </c>
      <c r="J2015">
        <v>9</v>
      </c>
      <c r="K2015">
        <v>0</v>
      </c>
      <c r="L2015">
        <v>0</v>
      </c>
    </row>
    <row r="2016" spans="1:12" x14ac:dyDescent="0.2">
      <c r="A2016"/>
      <c r="B2016"/>
      <c r="C2016"/>
      <c r="D2016"/>
      <c r="E2016" s="2">
        <f>Comuni__2[[#This Row],[Popolazione2011]]/$D$7911</f>
        <v>1.4827572796339712E-4</v>
      </c>
      <c r="F2016">
        <f>SUMIFS($D$2:$D$7909, $B$2:$B$7909, "Lazio")</f>
        <v>5502886</v>
      </c>
      <c r="G2016" s="1">
        <f>Comuni__2[[#This Row],[Popolazione2011]]/Comuni__2[[#This Row],[POPOLAZIONE TOTALE DI OGNI REGIONE (CON FILTRO)]]</f>
        <v>1.6011598277703735E-3</v>
      </c>
      <c r="H2016" t="str">
        <f>IF(Comuni__2[[#This Row],[Popolazione2011]]&gt;300000,"MAGGIORE","")</f>
        <v/>
      </c>
      <c r="J2016">
        <v>5</v>
      </c>
      <c r="K2016">
        <v>4</v>
      </c>
      <c r="L2016">
        <v>0</v>
      </c>
    </row>
    <row r="2017" spans="1:12" x14ac:dyDescent="0.2">
      <c r="A2017"/>
      <c r="B2017"/>
      <c r="C2017"/>
      <c r="D2017"/>
      <c r="E2017" s="2">
        <f>Comuni__2[[#This Row],[Popolazione2011]]/$D$7911</f>
        <v>1.4778770207406124E-4</v>
      </c>
      <c r="F2017">
        <f>SUMIFS($D$2:$D$7909, $B$2:$B$7909, "Lazio")</f>
        <v>5502886</v>
      </c>
      <c r="G2017" s="1">
        <f>Comuni__2[[#This Row],[Popolazione2011]]/Comuni__2[[#This Row],[POPOLAZIONE TOTALE DI OGNI REGIONE (CON FILTRO)]]</f>
        <v>1.5958898657904234E-3</v>
      </c>
      <c r="H2017" t="str">
        <f>IF(Comuni__2[[#This Row],[Popolazione2011]]&gt;300000,"MAGGIORE","")</f>
        <v/>
      </c>
      <c r="J2017">
        <v>13</v>
      </c>
      <c r="K2017">
        <v>4</v>
      </c>
      <c r="L2017">
        <v>0</v>
      </c>
    </row>
    <row r="2018" spans="1:12" x14ac:dyDescent="0.2">
      <c r="A2018"/>
      <c r="B2018"/>
      <c r="C2018"/>
      <c r="D2018"/>
      <c r="E2018" s="2">
        <f>Comuni__2[[#This Row],[Popolazione2011]]/$D$7911</f>
        <v>1.4758576032674982E-4</v>
      </c>
      <c r="F2018">
        <f>SUMIFS($D$2:$D$7909, $B$2:$B$7909, "Lazio")</f>
        <v>5502886</v>
      </c>
      <c r="G2018" s="1">
        <f>Comuni__2[[#This Row],[Popolazione2011]]/Comuni__2[[#This Row],[POPOLAZIONE TOTALE DI OGNI REGIONE (CON FILTRO)]]</f>
        <v>1.5937091918676854E-3</v>
      </c>
      <c r="H2018" t="str">
        <f>IF(Comuni__2[[#This Row],[Popolazione2011]]&gt;300000,"MAGGIORE","")</f>
        <v/>
      </c>
      <c r="J2018">
        <v>13</v>
      </c>
      <c r="K2018">
        <v>4</v>
      </c>
      <c r="L2018">
        <v>0</v>
      </c>
    </row>
    <row r="2019" spans="1:12" x14ac:dyDescent="0.2">
      <c r="A2019"/>
      <c r="B2019"/>
      <c r="C2019"/>
      <c r="D2019"/>
      <c r="E2019" s="2">
        <f>Comuni__2[[#This Row],[Popolazione2011]]/$D$7911</f>
        <v>1.4708090595847131E-4</v>
      </c>
      <c r="F2019">
        <f>SUMIFS($D$2:$D$7909, $B$2:$B$7909, "Lazio")</f>
        <v>5502886</v>
      </c>
      <c r="G2019" s="1">
        <f>Comuni__2[[#This Row],[Popolazione2011]]/Comuni__2[[#This Row],[POPOLAZIONE TOTALE DI OGNI REGIONE (CON FILTRO)]]</f>
        <v>1.5882575070608404E-3</v>
      </c>
      <c r="H2019" t="str">
        <f>IF(Comuni__2[[#This Row],[Popolazione2011]]&gt;300000,"MAGGIORE","")</f>
        <v/>
      </c>
      <c r="J2019">
        <v>14</v>
      </c>
      <c r="K2019">
        <v>4</v>
      </c>
      <c r="L2019">
        <v>1</v>
      </c>
    </row>
    <row r="2020" spans="1:12" x14ac:dyDescent="0.2">
      <c r="A2020"/>
      <c r="B2020"/>
      <c r="C2020"/>
      <c r="D2020"/>
      <c r="E2020" s="2">
        <f>Comuni__2[[#This Row],[Popolazione2011]]/$D$7911</f>
        <v>1.465592231112502E-4</v>
      </c>
      <c r="F2020">
        <f>SUMIFS($D$2:$D$7909, $B$2:$B$7909, "Lazio")</f>
        <v>5502886</v>
      </c>
      <c r="G2020" s="1">
        <f>Comuni__2[[#This Row],[Popolazione2011]]/Comuni__2[[#This Row],[POPOLAZIONE TOTALE DI OGNI REGIONE (CON FILTRO)]]</f>
        <v>1.5826240994271006E-3</v>
      </c>
      <c r="H2020" t="str">
        <f>IF(Comuni__2[[#This Row],[Popolazione2011]]&gt;300000,"MAGGIORE","")</f>
        <v/>
      </c>
      <c r="J2020">
        <v>13</v>
      </c>
      <c r="K2020">
        <v>4</v>
      </c>
      <c r="L2020">
        <v>1</v>
      </c>
    </row>
    <row r="2021" spans="1:12" x14ac:dyDescent="0.2">
      <c r="A2021"/>
      <c r="B2021"/>
      <c r="C2021"/>
      <c r="D2021"/>
      <c r="E2021" s="2">
        <f>Comuni__2[[#This Row],[Popolazione2011]]/$D$7911</f>
        <v>1.4581877003777506E-4</v>
      </c>
      <c r="F2021">
        <f>SUMIFS($D$2:$D$7909, $B$2:$B$7909, "Lazio")</f>
        <v>5502886</v>
      </c>
      <c r="G2021" s="1">
        <f>Comuni__2[[#This Row],[Popolazione2011]]/Comuni__2[[#This Row],[POPOLAZIONE TOTALE DI OGNI REGIONE (CON FILTRO)]]</f>
        <v>1.574628295043728E-3</v>
      </c>
      <c r="H2021" t="str">
        <f>IF(Comuni__2[[#This Row],[Popolazione2011]]&gt;300000,"MAGGIORE","")</f>
        <v/>
      </c>
      <c r="J2021">
        <v>14</v>
      </c>
      <c r="K2021">
        <v>4</v>
      </c>
      <c r="L2021">
        <v>3</v>
      </c>
    </row>
    <row r="2022" spans="1:12" x14ac:dyDescent="0.2">
      <c r="A2022"/>
      <c r="B2022"/>
      <c r="C2022"/>
      <c r="D2022"/>
      <c r="E2022" s="2">
        <f>Comuni__2[[#This Row],[Popolazione2011]]/$D$7911</f>
        <v>1.4501100304852946E-4</v>
      </c>
      <c r="F2022">
        <f>SUMIFS($D$2:$D$7909, $B$2:$B$7909, "Lazio")</f>
        <v>5502886</v>
      </c>
      <c r="G2022" s="1">
        <f>Comuni__2[[#This Row],[Popolazione2011]]/Comuni__2[[#This Row],[POPOLAZIONE TOTALE DI OGNI REGIONE (CON FILTRO)]]</f>
        <v>1.565905599352776E-3</v>
      </c>
      <c r="H2022" t="str">
        <f>IF(Comuni__2[[#This Row],[Popolazione2011]]&gt;300000,"MAGGIORE","")</f>
        <v/>
      </c>
      <c r="J2022">
        <v>17</v>
      </c>
      <c r="K2022">
        <v>5</v>
      </c>
      <c r="L2022">
        <v>3</v>
      </c>
    </row>
    <row r="2023" spans="1:12" x14ac:dyDescent="0.2">
      <c r="A2023"/>
      <c r="B2023"/>
      <c r="C2023"/>
      <c r="D2023"/>
      <c r="E2023" s="2">
        <f>Comuni__2[[#This Row],[Popolazione2011]]/$D$7911</f>
        <v>1.4378252408571841E-4</v>
      </c>
      <c r="F2023">
        <f>SUMIFS($D$2:$D$7909, $B$2:$B$7909, "Lazio")</f>
        <v>5502886</v>
      </c>
      <c r="G2023" s="1">
        <f>Comuni__2[[#This Row],[Popolazione2011]]/Comuni__2[[#This Row],[POPOLAZIONE TOTALE DI OGNI REGIONE (CON FILTRO)]]</f>
        <v>1.5526398329894532E-3</v>
      </c>
      <c r="H2023" t="str">
        <f>IF(Comuni__2[[#This Row],[Popolazione2011]]&gt;300000,"MAGGIORE","")</f>
        <v/>
      </c>
      <c r="J2023">
        <v>32</v>
      </c>
      <c r="K2023">
        <v>5</v>
      </c>
      <c r="L2023">
        <v>4</v>
      </c>
    </row>
    <row r="2024" spans="1:12" x14ac:dyDescent="0.2">
      <c r="A2024"/>
      <c r="B2024"/>
      <c r="C2024"/>
      <c r="D2024"/>
      <c r="E2024" s="2">
        <f>Comuni__2[[#This Row],[Popolazione2011]]/$D$7911</f>
        <v>1.3981100305526084E-4</v>
      </c>
      <c r="F2024">
        <f>SUMIFS($D$2:$D$7909, $B$2:$B$7909, "Lazio")</f>
        <v>5502886</v>
      </c>
      <c r="G2024" s="1">
        <f>Comuni__2[[#This Row],[Popolazione2011]]/Comuni__2[[#This Row],[POPOLAZIONE TOTALE DI OGNI REGIONE (CON FILTRO)]]</f>
        <v>1.5097532458422725E-3</v>
      </c>
      <c r="H2024" t="str">
        <f>IF(Comuni__2[[#This Row],[Popolazione2011]]&gt;300000,"MAGGIORE","")</f>
        <v/>
      </c>
      <c r="J2024">
        <v>50</v>
      </c>
      <c r="K2024">
        <v>5</v>
      </c>
      <c r="L2024">
        <v>6</v>
      </c>
    </row>
    <row r="2025" spans="1:12" x14ac:dyDescent="0.2">
      <c r="A2025"/>
      <c r="B2025"/>
      <c r="C2025"/>
      <c r="D2025"/>
      <c r="E2025" s="2">
        <f>Comuni__2[[#This Row],[Popolazione2011]]/$D$7911</f>
        <v>1.370847894665569E-4</v>
      </c>
      <c r="F2025">
        <f>SUMIFS($D$2:$D$7909, $B$2:$B$7909, "Lazio")</f>
        <v>5502886</v>
      </c>
      <c r="G2025" s="1">
        <f>Comuni__2[[#This Row],[Popolazione2011]]/Comuni__2[[#This Row],[POPOLAZIONE TOTALE DI OGNI REGIONE (CON FILTRO)]]</f>
        <v>1.4803141478853096E-3</v>
      </c>
      <c r="H2025" t="str">
        <f>IF(Comuni__2[[#This Row],[Popolazione2011]]&gt;300000,"MAGGIORE","")</f>
        <v/>
      </c>
      <c r="J2025">
        <v>77</v>
      </c>
      <c r="K2025">
        <v>5</v>
      </c>
      <c r="L2025">
        <v>7</v>
      </c>
    </row>
    <row r="2026" spans="1:12" x14ac:dyDescent="0.2">
      <c r="A2026"/>
      <c r="B2026"/>
      <c r="C2026"/>
      <c r="D2026"/>
      <c r="E2026" s="2">
        <f>Comuni__2[[#This Row],[Popolazione2011]]/$D$7911</f>
        <v>1.3706796098761429E-4</v>
      </c>
      <c r="F2026">
        <f>SUMIFS($D$2:$D$7909, $B$2:$B$7909, "Lazio")</f>
        <v>5502886</v>
      </c>
      <c r="G2026" s="1">
        <f>Comuni__2[[#This Row],[Popolazione2011]]/Comuni__2[[#This Row],[POPOLAZIONE TOTALE DI OGNI REGIONE (CON FILTRO)]]</f>
        <v>1.4801324250584148E-3</v>
      </c>
      <c r="H2026" t="str">
        <f>IF(Comuni__2[[#This Row],[Popolazione2011]]&gt;300000,"MAGGIORE","")</f>
        <v/>
      </c>
      <c r="J2026">
        <v>86</v>
      </c>
      <c r="K2026">
        <v>5</v>
      </c>
      <c r="L2026">
        <v>8</v>
      </c>
    </row>
    <row r="2027" spans="1:12" x14ac:dyDescent="0.2">
      <c r="A2027"/>
      <c r="B2027"/>
      <c r="C2027"/>
      <c r="D2027"/>
      <c r="E2027" s="2">
        <f>Comuni__2[[#This Row],[Popolazione2011]]/$D$7911</f>
        <v>1.3691650467713074E-4</v>
      </c>
      <c r="F2027">
        <f>SUMIFS($D$2:$D$7909, $B$2:$B$7909, "Lazio")</f>
        <v>5502886</v>
      </c>
      <c r="G2027" s="1">
        <f>Comuni__2[[#This Row],[Popolazione2011]]/Comuni__2[[#This Row],[POPOLAZIONE TOTALE DI OGNI REGIONE (CON FILTRO)]]</f>
        <v>1.4784969196163613E-3</v>
      </c>
      <c r="H2027" t="str">
        <f>IF(Comuni__2[[#This Row],[Popolazione2011]]&gt;300000,"MAGGIORE","")</f>
        <v/>
      </c>
      <c r="J2027">
        <v>108</v>
      </c>
      <c r="K2027">
        <v>5</v>
      </c>
      <c r="L2027">
        <v>8</v>
      </c>
    </row>
    <row r="2028" spans="1:12" x14ac:dyDescent="0.2">
      <c r="A2028"/>
      <c r="B2028"/>
      <c r="C2028"/>
      <c r="D2028"/>
      <c r="E2028" s="2">
        <f>Comuni__2[[#This Row],[Popolazione2011]]/$D$7911</f>
        <v>1.3668090597193411E-4</v>
      </c>
      <c r="F2028">
        <f>SUMIFS($D$2:$D$7909, $B$2:$B$7909, "Lazio")</f>
        <v>5502886</v>
      </c>
      <c r="G2028" s="1">
        <f>Comuni__2[[#This Row],[Popolazione2011]]/Comuni__2[[#This Row],[POPOLAZIONE TOTALE DI OGNI REGIONE (CON FILTRO)]]</f>
        <v>1.4759528000398336E-3</v>
      </c>
      <c r="H2028" t="str">
        <f>IF(Comuni__2[[#This Row],[Popolazione2011]]&gt;300000,"MAGGIORE","")</f>
        <v/>
      </c>
      <c r="J2028">
        <v>136</v>
      </c>
      <c r="K2028">
        <v>20</v>
      </c>
      <c r="L2028">
        <v>11</v>
      </c>
    </row>
    <row r="2029" spans="1:12" x14ac:dyDescent="0.2">
      <c r="A2029"/>
      <c r="B2029"/>
      <c r="C2029"/>
      <c r="D2029"/>
      <c r="E2029" s="2">
        <f>Comuni__2[[#This Row],[Popolazione2011]]/$D$7911</f>
        <v>1.3562071179854925E-4</v>
      </c>
      <c r="F2029">
        <f>SUMIFS($D$2:$D$7909, $B$2:$B$7909, "Lazio")</f>
        <v>5502886</v>
      </c>
      <c r="G2029" s="1">
        <f>Comuni__2[[#This Row],[Popolazione2011]]/Comuni__2[[#This Row],[POPOLAZIONE TOTALE DI OGNI REGIONE (CON FILTRO)]]</f>
        <v>1.4645042619454592E-3</v>
      </c>
      <c r="H2029" t="str">
        <f>IF(Comuni__2[[#This Row],[Popolazione2011]]&gt;300000,"MAGGIORE","")</f>
        <v/>
      </c>
      <c r="J2029">
        <v>172</v>
      </c>
      <c r="K2029">
        <v>24</v>
      </c>
      <c r="L2029">
        <v>17</v>
      </c>
    </row>
    <row r="2030" spans="1:12" x14ac:dyDescent="0.2">
      <c r="A2030"/>
      <c r="B2030"/>
      <c r="C2030"/>
      <c r="D2030"/>
      <c r="E2030" s="2">
        <f>Comuni__2[[#This Row],[Popolazione2011]]/$D$7911</f>
        <v>1.3031974093162494E-4</v>
      </c>
      <c r="F2030">
        <f>SUMIFS($D$2:$D$7909, $B$2:$B$7909, "Lazio")</f>
        <v>5502886</v>
      </c>
      <c r="G2030" s="1">
        <f>Comuni__2[[#This Row],[Popolazione2011]]/Comuni__2[[#This Row],[POPOLAZIONE TOTALE DI OGNI REGIONE (CON FILTRO)]]</f>
        <v>1.4072615714735867E-3</v>
      </c>
      <c r="H2030" t="str">
        <f>IF(Comuni__2[[#This Row],[Popolazione2011]]&gt;300000,"MAGGIORE","")</f>
        <v/>
      </c>
      <c r="J2030">
        <v>275</v>
      </c>
      <c r="K2030">
        <v>52</v>
      </c>
      <c r="L2030">
        <v>27</v>
      </c>
    </row>
    <row r="2031" spans="1:12" x14ac:dyDescent="0.2">
      <c r="A2031"/>
      <c r="B2031"/>
      <c r="C2031"/>
      <c r="D2031"/>
      <c r="E2031" s="2">
        <f>Comuni__2[[#This Row],[Popolazione2011]]/$D$7911</f>
        <v>1.2681941731156063E-4</v>
      </c>
      <c r="F2031">
        <f>SUMIFS($D$2:$D$7909, $B$2:$B$7909, "Lazio")</f>
        <v>5502886</v>
      </c>
      <c r="G2031" s="1">
        <f>Comuni__2[[#This Row],[Popolazione2011]]/Comuni__2[[#This Row],[POPOLAZIONE TOTALE DI OGNI REGIONE (CON FILTRO)]]</f>
        <v>1.3694632234794615E-3</v>
      </c>
      <c r="H2031" t="str">
        <f>IF(Comuni__2[[#This Row],[Popolazione2011]]&gt;300000,"MAGGIORE","")</f>
        <v/>
      </c>
      <c r="J2031">
        <v>319</v>
      </c>
      <c r="K2031">
        <v>33</v>
      </c>
      <c r="L2031">
        <v>33</v>
      </c>
    </row>
    <row r="2032" spans="1:12" x14ac:dyDescent="0.2">
      <c r="A2032"/>
      <c r="B2032"/>
      <c r="C2032"/>
      <c r="D2032"/>
      <c r="E2032" s="2">
        <f>Comuni__2[[#This Row],[Popolazione2011]]/$D$7911</f>
        <v>1.242951454701681E-4</v>
      </c>
      <c r="F2032">
        <f>SUMIFS($D$2:$D$7909, $B$2:$B$7909, "Lazio")</f>
        <v>5502886</v>
      </c>
      <c r="G2032" s="1">
        <f>Comuni__2[[#This Row],[Popolazione2011]]/Comuni__2[[#This Row],[POPOLAZIONE TOTALE DI OGNI REGIONE (CON FILTRO)]]</f>
        <v>1.3422047994452366E-3</v>
      </c>
      <c r="H2032" t="str">
        <f>IF(Comuni__2[[#This Row],[Popolazione2011]]&gt;300000,"MAGGIORE","")</f>
        <v/>
      </c>
      <c r="J2032">
        <v>328</v>
      </c>
      <c r="K2032">
        <v>42</v>
      </c>
      <c r="L2032">
        <v>50</v>
      </c>
    </row>
    <row r="2033" spans="1:12" x14ac:dyDescent="0.2">
      <c r="A2033"/>
      <c r="B2033"/>
      <c r="C2033"/>
      <c r="D2033"/>
      <c r="E2033" s="2">
        <f>Comuni__2[[#This Row],[Popolazione2011]]/$D$7911</f>
        <v>1.2331909369149631E-4</v>
      </c>
      <c r="F2033">
        <f>SUMIFS($D$2:$D$7909, $B$2:$B$7909, "Lazio")</f>
        <v>5502886</v>
      </c>
      <c r="G2033" s="1">
        <f>Comuni__2[[#This Row],[Popolazione2011]]/Comuni__2[[#This Row],[POPOLAZIONE TOTALE DI OGNI REGIONE (CON FILTRO)]]</f>
        <v>1.3316648754853363E-3</v>
      </c>
      <c r="H2033" t="str">
        <f>IF(Comuni__2[[#This Row],[Popolazione2011]]&gt;300000,"MAGGIORE","")</f>
        <v/>
      </c>
      <c r="J2033">
        <v>384</v>
      </c>
      <c r="K2033">
        <v>57</v>
      </c>
      <c r="L2033">
        <v>60</v>
      </c>
    </row>
    <row r="2034" spans="1:12" x14ac:dyDescent="0.2">
      <c r="A2034"/>
      <c r="B2034"/>
      <c r="C2034"/>
      <c r="D2034"/>
      <c r="E2034" s="2">
        <f>Comuni__2[[#This Row],[Popolazione2011]]/$D$7911</f>
        <v>1.2249449822330811E-4</v>
      </c>
      <c r="F2034">
        <f>SUMIFS($D$2:$D$7909, $B$2:$B$7909, "Lazio")</f>
        <v>5502886</v>
      </c>
      <c r="G2034" s="1">
        <f>Comuni__2[[#This Row],[Popolazione2011]]/Comuni__2[[#This Row],[POPOLAZIONE TOTALE DI OGNI REGIONE (CON FILTRO)]]</f>
        <v>1.3227604569674893E-3</v>
      </c>
      <c r="H2034" t="str">
        <f>IF(Comuni__2[[#This Row],[Popolazione2011]]&gt;300000,"MAGGIORE","")</f>
        <v/>
      </c>
      <c r="J2034">
        <v>501</v>
      </c>
      <c r="K2034">
        <v>70</v>
      </c>
      <c r="L2034">
        <v>73</v>
      </c>
    </row>
    <row r="2035" spans="1:12" x14ac:dyDescent="0.2">
      <c r="A2035"/>
      <c r="B2035"/>
      <c r="C2035"/>
      <c r="D2035"/>
      <c r="E2035" s="2">
        <f>Comuni__2[[#This Row],[Popolazione2011]]/$D$7911</f>
        <v>1.1917928787161257E-4</v>
      </c>
      <c r="F2035">
        <f>SUMIFS($D$2:$D$7909, $B$2:$B$7909, "Lazio")</f>
        <v>5502886</v>
      </c>
      <c r="G2035" s="1">
        <f>Comuni__2[[#This Row],[Popolazione2011]]/Comuni__2[[#This Row],[POPOLAZIONE TOTALE DI OGNI REGIONE (CON FILTRO)]]</f>
        <v>1.2869610600692073E-3</v>
      </c>
      <c r="H2035" t="str">
        <f>IF(Comuni__2[[#This Row],[Popolazione2011]]&gt;300000,"MAGGIORE","")</f>
        <v/>
      </c>
      <c r="J2035">
        <v>603</v>
      </c>
      <c r="K2035">
        <v>85</v>
      </c>
      <c r="L2035">
        <v>91</v>
      </c>
    </row>
    <row r="2036" spans="1:12" x14ac:dyDescent="0.2">
      <c r="A2036"/>
      <c r="B2036"/>
      <c r="C2036"/>
      <c r="D2036"/>
      <c r="E2036" s="2">
        <f>Comuni__2[[#This Row],[Popolazione2011]]/$D$7911</f>
        <v>1.1613333318299893E-4</v>
      </c>
      <c r="F2036">
        <f>SUMIFS($D$2:$D$7909, $B$2:$B$7909, "Lazio")</f>
        <v>5502886</v>
      </c>
      <c r="G2036" s="1">
        <f>Comuni__2[[#This Row],[Popolazione2011]]/Comuni__2[[#This Row],[POPOLAZIONE TOTALE DI OGNI REGIONE (CON FILTRO)]]</f>
        <v>1.2540692284012426E-3</v>
      </c>
      <c r="H2036" t="str">
        <f>IF(Comuni__2[[#This Row],[Popolazione2011]]&gt;300000,"MAGGIORE","")</f>
        <v/>
      </c>
      <c r="J2036">
        <v>694</v>
      </c>
      <c r="K2036">
        <v>101</v>
      </c>
      <c r="L2036">
        <v>119</v>
      </c>
    </row>
    <row r="2037" spans="1:12" x14ac:dyDescent="0.2">
      <c r="A2037"/>
      <c r="B2037"/>
      <c r="C2037"/>
      <c r="D2037"/>
      <c r="E2037" s="2">
        <f>Comuni__2[[#This Row],[Popolazione2011]]/$D$7911</f>
        <v>1.1611650470405631E-4</v>
      </c>
      <c r="F2037">
        <f>SUMIFS($D$2:$D$7909, $B$2:$B$7909, "Lazio")</f>
        <v>5502886</v>
      </c>
      <c r="G2037" s="1">
        <f>Comuni__2[[#This Row],[Popolazione2011]]/Comuni__2[[#This Row],[POPOLAZIONE TOTALE DI OGNI REGIONE (CON FILTRO)]]</f>
        <v>1.2538875055743478E-3</v>
      </c>
      <c r="H2037" t="str">
        <f>IF(Comuni__2[[#This Row],[Popolazione2011]]&gt;300000,"MAGGIORE","")</f>
        <v/>
      </c>
      <c r="J2037">
        <v>727</v>
      </c>
      <c r="K2037">
        <v>125</v>
      </c>
      <c r="L2037">
        <v>152</v>
      </c>
    </row>
    <row r="2038" spans="1:12" x14ac:dyDescent="0.2">
      <c r="A2038"/>
      <c r="B2038"/>
      <c r="C2038"/>
      <c r="D2038"/>
      <c r="E2038" s="2">
        <f>Comuni__2[[#This Row],[Popolazione2011]]/$D$7911</f>
        <v>1.1581359208308921E-4</v>
      </c>
      <c r="F2038">
        <f>SUMIFS($D$2:$D$7909, $B$2:$B$7909, "Lazio")</f>
        <v>5502886</v>
      </c>
      <c r="G2038" s="1">
        <f>Comuni__2[[#This Row],[Popolazione2011]]/Comuni__2[[#This Row],[POPOLAZIONE TOTALE DI OGNI REGIONE (CON FILTRO)]]</f>
        <v>1.2506164946902408E-3</v>
      </c>
      <c r="H2038" t="str">
        <f>IF(Comuni__2[[#This Row],[Popolazione2011]]&gt;300000,"MAGGIORE","")</f>
        <v/>
      </c>
      <c r="J2038">
        <v>868</v>
      </c>
      <c r="K2038">
        <v>143</v>
      </c>
      <c r="L2038">
        <v>171</v>
      </c>
    </row>
    <row r="2039" spans="1:12" x14ac:dyDescent="0.2">
      <c r="A2039"/>
      <c r="B2039"/>
      <c r="C2039"/>
      <c r="D2039"/>
      <c r="E2039" s="2">
        <f>Comuni__2[[#This Row],[Popolazione2011]]/$D$7911</f>
        <v>1.1345760503112284E-4</v>
      </c>
      <c r="F2039">
        <f>SUMIFS($D$2:$D$7909, $B$2:$B$7909, "Lazio")</f>
        <v>5502886</v>
      </c>
      <c r="G2039" s="1">
        <f>Comuni__2[[#This Row],[Popolazione2011]]/Comuni__2[[#This Row],[POPOLAZIONE TOTALE DI OGNI REGIONE (CON FILTRO)]]</f>
        <v>1.225175298924964E-3</v>
      </c>
      <c r="H2039" t="str">
        <f>IF(Comuni__2[[#This Row],[Popolazione2011]]&gt;300000,"MAGGIORE","")</f>
        <v/>
      </c>
      <c r="J2039">
        <v>894</v>
      </c>
      <c r="K2039">
        <v>159</v>
      </c>
      <c r="L2039">
        <v>212</v>
      </c>
    </row>
    <row r="2040" spans="1:12" x14ac:dyDescent="0.2">
      <c r="A2040"/>
      <c r="B2040"/>
      <c r="C2040"/>
      <c r="D2040"/>
      <c r="E2040" s="2">
        <f>Comuni__2[[#This Row],[Popolazione2011]]/$D$7911</f>
        <v>1.1221229758936919E-4</v>
      </c>
      <c r="F2040">
        <f>SUMIFS($D$2:$D$7909, $B$2:$B$7909, "Lazio")</f>
        <v>5502886</v>
      </c>
      <c r="G2040" s="1">
        <f>Comuni__2[[#This Row],[Popolazione2011]]/Comuni__2[[#This Row],[POPOLAZIONE TOTALE DI OGNI REGIONE (CON FILTRO)]]</f>
        <v>1.2117278097347464E-3</v>
      </c>
      <c r="H2040" t="str">
        <f>IF(Comuni__2[[#This Row],[Popolazione2011]]&gt;300000,"MAGGIORE","")</f>
        <v/>
      </c>
      <c r="J2040">
        <v>950</v>
      </c>
      <c r="K2040">
        <v>193</v>
      </c>
      <c r="L2040">
        <v>231</v>
      </c>
    </row>
    <row r="2041" spans="1:12" x14ac:dyDescent="0.2">
      <c r="A2041"/>
      <c r="B2041"/>
      <c r="C2041"/>
      <c r="D2041"/>
      <c r="E2041" s="2">
        <f>Comuni__2[[#This Row],[Popolazione2011]]/$D$7911</f>
        <v>1.1180841409474639E-4</v>
      </c>
      <c r="F2041">
        <f>SUMIFS($D$2:$D$7909, $B$2:$B$7909, "Lazio")</f>
        <v>5502886</v>
      </c>
      <c r="G2041" s="1">
        <f>Comuni__2[[#This Row],[Popolazione2011]]/Comuni__2[[#This Row],[POPOLAZIONE TOTALE DI OGNI REGIONE (CON FILTRO)]]</f>
        <v>1.2073664618892704E-3</v>
      </c>
      <c r="H2041" t="str">
        <f>IF(Comuni__2[[#This Row],[Popolazione2011]]&gt;300000,"MAGGIORE","")</f>
        <v/>
      </c>
      <c r="J2041">
        <v>1074</v>
      </c>
      <c r="K2041">
        <v>225</v>
      </c>
      <c r="L2041">
        <v>254</v>
      </c>
    </row>
    <row r="2042" spans="1:12" x14ac:dyDescent="0.2">
      <c r="A2042"/>
      <c r="B2042"/>
      <c r="C2042"/>
      <c r="D2042"/>
      <c r="E2042" s="2">
        <f>Comuni__2[[#This Row],[Popolazione2011]]/$D$7911</f>
        <v>1.1026019403202564E-4</v>
      </c>
      <c r="F2042">
        <f>SUMIFS($D$2:$D$7909, $B$2:$B$7909, "Lazio")</f>
        <v>5502886</v>
      </c>
      <c r="G2042" s="1">
        <f>Comuni__2[[#This Row],[Popolazione2011]]/Comuni__2[[#This Row],[POPOLAZIONE TOTALE DI OGNI REGIONE (CON FILTRO)]]</f>
        <v>1.1906479618149458E-3</v>
      </c>
      <c r="H2042" t="str">
        <f>IF(Comuni__2[[#This Row],[Popolazione2011]]&gt;300000,"MAGGIORE","")</f>
        <v/>
      </c>
      <c r="J2042">
        <v>1152</v>
      </c>
      <c r="K2042">
        <v>260</v>
      </c>
      <c r="L2042">
        <v>280</v>
      </c>
    </row>
    <row r="2043" spans="1:12" x14ac:dyDescent="0.2">
      <c r="A2043"/>
      <c r="B2043"/>
      <c r="C2043"/>
      <c r="D2043"/>
      <c r="E2043" s="2">
        <f>Comuni__2[[#This Row],[Popolazione2011]]/$D$7911</f>
        <v>1.0479093837567516E-4</v>
      </c>
      <c r="F2043">
        <f>SUMIFS($D$2:$D$7909, $B$2:$B$7909, "Lazio")</f>
        <v>5502886</v>
      </c>
      <c r="G2043" s="1">
        <f>Comuni__2[[#This Row],[Popolazione2011]]/Comuni__2[[#This Row],[POPOLAZIONE TOTALE DI OGNI REGIONE (CON FILTRO)]]</f>
        <v>1.1315880430741252E-3</v>
      </c>
      <c r="H2043" t="str">
        <f>IF(Comuni__2[[#This Row],[Popolazione2011]]&gt;300000,"MAGGIORE","")</f>
        <v/>
      </c>
      <c r="J2043">
        <v>1180</v>
      </c>
      <c r="K2043">
        <v>305</v>
      </c>
      <c r="L2043">
        <v>331</v>
      </c>
    </row>
    <row r="2044" spans="1:12" x14ac:dyDescent="0.2">
      <c r="A2044"/>
      <c r="B2044"/>
      <c r="C2044"/>
      <c r="D2044"/>
      <c r="E2044" s="2">
        <f>Comuni__2[[#This Row],[Popolazione2011]]/$D$7911</f>
        <v>1.0339417462343796E-4</v>
      </c>
      <c r="F2044">
        <f>SUMIFS($D$2:$D$7909, $B$2:$B$7909, "Lazio")</f>
        <v>5502886</v>
      </c>
      <c r="G2044" s="1">
        <f>Comuni__2[[#This Row],[Popolazione2011]]/Comuni__2[[#This Row],[POPOLAZIONE TOTALE DI OGNI REGIONE (CON FILTRO)]]</f>
        <v>1.1165050484418539E-3</v>
      </c>
      <c r="H2044" t="str">
        <f>IF(Comuni__2[[#This Row],[Popolazione2011]]&gt;300000,"MAGGIORE","")</f>
        <v/>
      </c>
      <c r="J2044">
        <v>1198</v>
      </c>
      <c r="K2044">
        <v>378</v>
      </c>
      <c r="L2044">
        <v>358</v>
      </c>
    </row>
    <row r="2045" spans="1:12" x14ac:dyDescent="0.2">
      <c r="A2045"/>
      <c r="B2045"/>
      <c r="C2045"/>
      <c r="D2045"/>
      <c r="E2045" s="2">
        <f>Comuni__2[[#This Row],[Popolazione2011]]/$D$7911</f>
        <v>1.0157669889763534E-4</v>
      </c>
      <c r="F2045">
        <f>SUMIFS($D$2:$D$7909, $B$2:$B$7909, "Lazio")</f>
        <v>5502886</v>
      </c>
      <c r="G2045" s="1">
        <f>Comuni__2[[#This Row],[Popolazione2011]]/Comuni__2[[#This Row],[POPOLAZIONE TOTALE DI OGNI REGIONE (CON FILTRO)]]</f>
        <v>1.096878983137212E-3</v>
      </c>
      <c r="H2045" t="str">
        <f>IF(Comuni__2[[#This Row],[Popolazione2011]]&gt;300000,"MAGGIORE","")</f>
        <v/>
      </c>
      <c r="J2045">
        <v>1243</v>
      </c>
      <c r="K2045">
        <v>420</v>
      </c>
      <c r="L2045">
        <v>377</v>
      </c>
    </row>
    <row r="2046" spans="1:12" x14ac:dyDescent="0.2">
      <c r="A2046"/>
      <c r="B2046"/>
      <c r="C2046"/>
      <c r="D2046"/>
      <c r="E2046" s="2">
        <f>Comuni__2[[#This Row],[Popolazione2011]]/$D$7911</f>
        <v>1.0088673126098805E-4</v>
      </c>
      <c r="F2046">
        <f>SUMIFS($D$2:$D$7909, $B$2:$B$7909, "Lazio")</f>
        <v>5502886</v>
      </c>
      <c r="G2046" s="1">
        <f>Comuni__2[[#This Row],[Popolazione2011]]/Comuni__2[[#This Row],[POPOLAZIONE TOTALE DI OGNI REGIONE (CON FILTRO)]]</f>
        <v>1.0894283472345238E-3</v>
      </c>
      <c r="H2046" t="str">
        <f>IF(Comuni__2[[#This Row],[Popolazione2011]]&gt;300000,"MAGGIORE","")</f>
        <v/>
      </c>
      <c r="J2046">
        <v>1317</v>
      </c>
      <c r="K2046">
        <v>437</v>
      </c>
      <c r="L2046">
        <v>397</v>
      </c>
    </row>
    <row r="2047" spans="1:12" x14ac:dyDescent="0.2">
      <c r="A2047"/>
      <c r="B2047"/>
      <c r="C2047"/>
      <c r="D2047"/>
      <c r="E2047" s="2">
        <f>Comuni__2[[#This Row],[Popolazione2011]]/$D$7911</f>
        <v>1.0061747559790618E-4</v>
      </c>
      <c r="F2047">
        <f>SUMIFS($D$2:$D$7909, $B$2:$B$7909, "Lazio")</f>
        <v>5502886</v>
      </c>
      <c r="G2047" s="1">
        <f>Comuni__2[[#This Row],[Popolazione2011]]/Comuni__2[[#This Row],[POPOLAZIONE TOTALE DI OGNI REGIONE (CON FILTRO)]]</f>
        <v>1.0865207820042065E-3</v>
      </c>
      <c r="H2047" t="str">
        <f>IF(Comuni__2[[#This Row],[Popolazione2011]]&gt;300000,"MAGGIORE","")</f>
        <v/>
      </c>
      <c r="J2047">
        <v>1332</v>
      </c>
      <c r="K2047">
        <v>480</v>
      </c>
      <c r="L2047">
        <v>428</v>
      </c>
    </row>
    <row r="2048" spans="1:12" x14ac:dyDescent="0.2">
      <c r="A2048"/>
      <c r="B2048"/>
      <c r="C2048"/>
      <c r="D2048"/>
      <c r="E2048" s="2">
        <f>Comuni__2[[#This Row],[Popolazione2011]]/$D$7911</f>
        <v>1.0028090601905384E-4</v>
      </c>
      <c r="F2048">
        <f>SUMIFS($D$2:$D$7909, $B$2:$B$7909, "Lazio")</f>
        <v>5502886</v>
      </c>
      <c r="G2048" s="1">
        <f>Comuni__2[[#This Row],[Popolazione2011]]/Comuni__2[[#This Row],[POPOLAZIONE TOTALE DI OGNI REGIONE (CON FILTRO)]]</f>
        <v>1.0828863254663099E-3</v>
      </c>
      <c r="H2048" t="str">
        <f>IF(Comuni__2[[#This Row],[Popolazione2011]]&gt;300000,"MAGGIORE","")</f>
        <v/>
      </c>
      <c r="J2048">
        <v>1293</v>
      </c>
      <c r="K2048">
        <v>555</v>
      </c>
      <c r="L2048">
        <v>460</v>
      </c>
    </row>
    <row r="2049" spans="1:12" x14ac:dyDescent="0.2">
      <c r="A2049"/>
      <c r="B2049"/>
      <c r="C2049"/>
      <c r="D2049"/>
      <c r="E2049" s="2">
        <f>Comuni__2[[#This Row],[Popolazione2011]]/$D$7911</f>
        <v>9.731909372515327E-5</v>
      </c>
      <c r="F2049">
        <f>SUMIFS($D$2:$D$7909, $B$2:$B$7909, "Lazio")</f>
        <v>5502886</v>
      </c>
      <c r="G2049" s="1">
        <f>Comuni__2[[#This Row],[Popolazione2011]]/Comuni__2[[#This Row],[POPOLAZIONE TOTALE DI OGNI REGIONE (CON FILTRO)]]</f>
        <v>1.0509031079328193E-3</v>
      </c>
      <c r="H2049" t="str">
        <f>IF(Comuni__2[[#This Row],[Popolazione2011]]&gt;300000,"MAGGIORE","")</f>
        <v/>
      </c>
      <c r="J2049">
        <v>1292</v>
      </c>
      <c r="K2049">
        <v>634</v>
      </c>
      <c r="L2049">
        <v>488</v>
      </c>
    </row>
    <row r="2050" spans="1:12" x14ac:dyDescent="0.2">
      <c r="A2050"/>
      <c r="B2050"/>
      <c r="C2050"/>
      <c r="D2050"/>
      <c r="E2050" s="2">
        <f>Comuni__2[[#This Row],[Popolazione2011]]/$D$7911</f>
        <v>9.6746925441104308E-5</v>
      </c>
      <c r="F2050">
        <f>SUMIFS($D$2:$D$7909, $B$2:$B$7909, "Lazio")</f>
        <v>5502886</v>
      </c>
      <c r="G2050" s="1">
        <f>Comuni__2[[#This Row],[Popolazione2011]]/Comuni__2[[#This Row],[POPOLAZIONE TOTALE DI OGNI REGIONE (CON FILTRO)]]</f>
        <v>1.044724531818395E-3</v>
      </c>
      <c r="H2050" t="str">
        <f>IF(Comuni__2[[#This Row],[Popolazione2011]]&gt;300000,"MAGGIORE","")</f>
        <v/>
      </c>
      <c r="J2050">
        <v>1320</v>
      </c>
      <c r="K2050">
        <v>700</v>
      </c>
      <c r="L2050">
        <v>519</v>
      </c>
    </row>
    <row r="2051" spans="1:12" x14ac:dyDescent="0.2">
      <c r="A2051"/>
      <c r="B2051"/>
      <c r="C2051"/>
      <c r="D2051"/>
      <c r="E2051" s="2">
        <f>Comuni__2[[#This Row],[Popolazione2011]]/$D$7911</f>
        <v>9.5165048420498325E-5</v>
      </c>
      <c r="F2051">
        <f>SUMIFS($D$2:$D$7909, $B$2:$B$7909, "Lazio")</f>
        <v>5502886</v>
      </c>
      <c r="G2051" s="1">
        <f>Comuni__2[[#This Row],[Popolazione2011]]/Comuni__2[[#This Row],[POPOLAZIONE TOTALE DI OGNI REGIONE (CON FILTRO)]]</f>
        <v>1.0276425860902805E-3</v>
      </c>
      <c r="H2051" t="str">
        <f>IF(Comuni__2[[#This Row],[Popolazione2011]]&gt;300000,"MAGGIORE","")</f>
        <v/>
      </c>
      <c r="J2051">
        <v>1290</v>
      </c>
      <c r="K2051">
        <v>767</v>
      </c>
      <c r="L2051">
        <v>542</v>
      </c>
    </row>
    <row r="2052" spans="1:12" x14ac:dyDescent="0.2">
      <c r="A2052"/>
      <c r="B2052"/>
      <c r="C2052"/>
      <c r="D2052"/>
      <c r="E2052" s="2">
        <f>Comuni__2[[#This Row],[Popolazione2011]]/$D$7911</f>
        <v>8.9965048427229712E-5</v>
      </c>
      <c r="F2052">
        <f>SUMIFS($D$2:$D$7909, $B$2:$B$7909, "Lazio")</f>
        <v>5502886</v>
      </c>
      <c r="G2052" s="1">
        <f>Comuni__2[[#This Row],[Popolazione2011]]/Comuni__2[[#This Row],[POPOLAZIONE TOTALE DI OGNI REGIONE (CON FILTRO)]]</f>
        <v>9.7149023257977725E-4</v>
      </c>
      <c r="H2052" t="str">
        <f>IF(Comuni__2[[#This Row],[Popolazione2011]]&gt;300000,"MAGGIORE","")</f>
        <v/>
      </c>
      <c r="J2052">
        <v>1291</v>
      </c>
      <c r="K2052">
        <v>800</v>
      </c>
      <c r="L2052">
        <v>556</v>
      </c>
    </row>
    <row r="2053" spans="1:12" x14ac:dyDescent="0.2">
      <c r="A2053"/>
      <c r="B2053"/>
      <c r="C2053"/>
      <c r="D2053"/>
      <c r="E2053" s="2">
        <f>Comuni__2[[#This Row],[Popolazione2011]]/$D$7911</f>
        <v>8.9948219948287095E-5</v>
      </c>
      <c r="F2053">
        <f>SUMIFS($D$2:$D$7909, $B$2:$B$7909, "Lazio")</f>
        <v>5502886</v>
      </c>
      <c r="G2053" s="1">
        <f>Comuni__2[[#This Row],[Popolazione2011]]/Comuni__2[[#This Row],[POPOLAZIONE TOTALE DI OGNI REGIONE (CON FILTRO)]]</f>
        <v>9.7130850975288242E-4</v>
      </c>
      <c r="H2053" t="str">
        <f>IF(Comuni__2[[#This Row],[Popolazione2011]]&gt;300000,"MAGGIORE","")</f>
        <v/>
      </c>
      <c r="J2053">
        <v>1303</v>
      </c>
      <c r="K2053">
        <v>837</v>
      </c>
      <c r="L2053">
        <v>595</v>
      </c>
    </row>
    <row r="2054" spans="1:12" x14ac:dyDescent="0.2">
      <c r="A2054"/>
      <c r="B2054"/>
      <c r="C2054"/>
      <c r="D2054"/>
      <c r="E2054" s="2">
        <f>Comuni__2[[#This Row],[Popolazione2011]]/$D$7911</f>
        <v>8.9342394706352888E-5</v>
      </c>
      <c r="F2054">
        <f>SUMIFS($D$2:$D$7909, $B$2:$B$7909, "Lazio")</f>
        <v>5502886</v>
      </c>
      <c r="G2054" s="1">
        <f>Comuni__2[[#This Row],[Popolazione2011]]/Comuni__2[[#This Row],[POPOLAZIONE TOTALE DI OGNI REGIONE (CON FILTRO)]]</f>
        <v>9.6476648798466845E-4</v>
      </c>
      <c r="H2054" t="str">
        <f>IF(Comuni__2[[#This Row],[Popolazione2011]]&gt;300000,"MAGGIORE","")</f>
        <v/>
      </c>
      <c r="J2054">
        <v>1246</v>
      </c>
      <c r="K2054">
        <v>925</v>
      </c>
      <c r="L2054">
        <v>620</v>
      </c>
    </row>
    <row r="2055" spans="1:12" x14ac:dyDescent="0.2">
      <c r="A2055"/>
      <c r="B2055"/>
      <c r="C2055"/>
      <c r="D2055"/>
      <c r="E2055" s="2">
        <f>Comuni__2[[#This Row],[Popolazione2011]]/$D$7911</f>
        <v>8.8753397943361296E-5</v>
      </c>
      <c r="F2055">
        <f>SUMIFS($D$2:$D$7909, $B$2:$B$7909, "Lazio")</f>
        <v>5502886</v>
      </c>
      <c r="G2055" s="1">
        <f>Comuni__2[[#This Row],[Popolazione2011]]/Comuni__2[[#This Row],[POPOLAZIONE TOTALE DI OGNI REGIONE (CON FILTRO)]]</f>
        <v>9.5840618904334931E-4</v>
      </c>
      <c r="H2055" t="str">
        <f>IF(Comuni__2[[#This Row],[Popolazione2011]]&gt;300000,"MAGGIORE","")</f>
        <v/>
      </c>
      <c r="J2055">
        <v>1262</v>
      </c>
      <c r="K2055">
        <v>1007</v>
      </c>
      <c r="L2055">
        <v>654</v>
      </c>
    </row>
    <row r="2056" spans="1:12" x14ac:dyDescent="0.2">
      <c r="A2056"/>
      <c r="B2056"/>
      <c r="C2056"/>
      <c r="D2056"/>
      <c r="E2056" s="2">
        <f>Comuni__2[[#This Row],[Popolazione2011]]/$D$7911</f>
        <v>8.8686084027590832E-5</v>
      </c>
      <c r="F2056">
        <f>SUMIFS($D$2:$D$7909, $B$2:$B$7909, "Lazio")</f>
        <v>5502886</v>
      </c>
      <c r="G2056" s="1">
        <f>Comuni__2[[#This Row],[Popolazione2011]]/Comuni__2[[#This Row],[POPOLAZIONE TOTALE DI OGNI REGIONE (CON FILTRO)]]</f>
        <v>9.5767929773576998E-4</v>
      </c>
      <c r="H2056" t="str">
        <f>IF(Comuni__2[[#This Row],[Popolazione2011]]&gt;300000,"MAGGIORE","")</f>
        <v/>
      </c>
      <c r="J2056">
        <v>1257</v>
      </c>
      <c r="K2056">
        <v>1085</v>
      </c>
      <c r="L2056">
        <v>682</v>
      </c>
    </row>
    <row r="2057" spans="1:12" x14ac:dyDescent="0.2">
      <c r="A2057"/>
      <c r="B2057"/>
      <c r="C2057"/>
      <c r="D2057"/>
      <c r="E2057" s="2">
        <f>Comuni__2[[#This Row],[Popolazione2011]]/$D$7911</f>
        <v>8.7726860727861672E-5</v>
      </c>
      <c r="F2057">
        <f>SUMIFS($D$2:$D$7909, $B$2:$B$7909, "Lazio")</f>
        <v>5502886</v>
      </c>
      <c r="G2057" s="1">
        <f>Comuni__2[[#This Row],[Popolazione2011]]/Comuni__2[[#This Row],[POPOLAZIONE TOTALE DI OGNI REGIONE (CON FILTRO)]]</f>
        <v>9.4732109660276441E-4</v>
      </c>
      <c r="H2057" t="str">
        <f>IF(Comuni__2[[#This Row],[Popolazione2011]]&gt;300000,"MAGGIORE","")</f>
        <v/>
      </c>
      <c r="J2057">
        <v>1227</v>
      </c>
      <c r="K2057">
        <v>1181</v>
      </c>
      <c r="L2057">
        <v>709</v>
      </c>
    </row>
    <row r="2058" spans="1:12" x14ac:dyDescent="0.2">
      <c r="A2058"/>
      <c r="B2058"/>
      <c r="C2058"/>
      <c r="D2058"/>
      <c r="E2058" s="2">
        <f>Comuni__2[[#This Row],[Popolazione2011]]/$D$7911</f>
        <v>8.6616181117648954E-5</v>
      </c>
      <c r="F2058">
        <f>SUMIFS($D$2:$D$7909, $B$2:$B$7909, "Lazio")</f>
        <v>5502886</v>
      </c>
      <c r="G2058" s="1">
        <f>Comuni__2[[#This Row],[Popolazione2011]]/Comuni__2[[#This Row],[POPOLAZIONE TOTALE DI OGNI REGIONE (CON FILTRO)]]</f>
        <v>9.3532739002770546E-4</v>
      </c>
      <c r="H2058" t="str">
        <f>IF(Comuni__2[[#This Row],[Popolazione2011]]&gt;300000,"MAGGIORE","")</f>
        <v/>
      </c>
      <c r="J2058">
        <v>1149</v>
      </c>
      <c r="K2058">
        <v>1309</v>
      </c>
      <c r="L2058">
        <v>734</v>
      </c>
    </row>
    <row r="2059" spans="1:12" x14ac:dyDescent="0.2">
      <c r="A2059"/>
      <c r="B2059"/>
      <c r="C2059"/>
      <c r="D2059"/>
      <c r="E2059" s="2">
        <f>Comuni__2[[#This Row],[Popolazione2011]]/$D$7911</f>
        <v>8.3401941639609138E-5</v>
      </c>
      <c r="F2059">
        <f>SUMIFS($D$2:$D$7909, $B$2:$B$7909, "Lazio")</f>
        <v>5502886</v>
      </c>
      <c r="G2059" s="1">
        <f>Comuni__2[[#This Row],[Popolazione2011]]/Comuni__2[[#This Row],[POPOLAZIONE TOTALE DI OGNI REGIONE (CON FILTRO)]]</f>
        <v>9.0061833009079232E-4</v>
      </c>
      <c r="H2059" t="str">
        <f>IF(Comuni__2[[#This Row],[Popolazione2011]]&gt;300000,"MAGGIORE","")</f>
        <v/>
      </c>
      <c r="J2059">
        <v>1176</v>
      </c>
      <c r="K2059">
        <v>1412</v>
      </c>
      <c r="L2059">
        <v>749</v>
      </c>
    </row>
    <row r="2060" spans="1:12" x14ac:dyDescent="0.2">
      <c r="A2060"/>
      <c r="B2060"/>
      <c r="C2060"/>
      <c r="D2060"/>
      <c r="E2060" s="2">
        <f>Comuni__2[[#This Row],[Popolazione2011]]/$D$7911</f>
        <v>8.2510032255650443E-5</v>
      </c>
      <c r="F2060">
        <f>SUMIFS($D$2:$D$7909, $B$2:$B$7909, "Lazio")</f>
        <v>5502886</v>
      </c>
      <c r="G2060" s="1">
        <f>Comuni__2[[#This Row],[Popolazione2011]]/Comuni__2[[#This Row],[POPOLAZIONE TOTALE DI OGNI REGIONE (CON FILTRO)]]</f>
        <v>8.9098702026536619E-4</v>
      </c>
      <c r="H2060" t="str">
        <f>IF(Comuni__2[[#This Row],[Popolazione2011]]&gt;300000,"MAGGIORE","")</f>
        <v/>
      </c>
      <c r="J2060">
        <v>1226</v>
      </c>
      <c r="K2060">
        <v>1471</v>
      </c>
      <c r="L2060">
        <v>760</v>
      </c>
    </row>
    <row r="2061" spans="1:12" x14ac:dyDescent="0.2">
      <c r="A2061"/>
      <c r="B2061"/>
      <c r="C2061"/>
      <c r="D2061"/>
      <c r="E2061" s="2">
        <f>Comuni__2[[#This Row],[Popolazione2011]]/$D$7911</f>
        <v>8.2341747466224281E-5</v>
      </c>
      <c r="F2061">
        <f>SUMIFS($D$2:$D$7909, $B$2:$B$7909, "Lazio")</f>
        <v>5502886</v>
      </c>
      <c r="G2061" s="1">
        <f>Comuni__2[[#This Row],[Popolazione2011]]/Comuni__2[[#This Row],[POPOLAZIONE TOTALE DI OGNI REGIONE (CON FILTRO)]]</f>
        <v>8.8916979199641787E-4</v>
      </c>
      <c r="H2061" t="str">
        <f>IF(Comuni__2[[#This Row],[Popolazione2011]]&gt;300000,"MAGGIORE","")</f>
        <v/>
      </c>
      <c r="J2061">
        <v>1100</v>
      </c>
      <c r="K2061">
        <v>1549</v>
      </c>
      <c r="L2061">
        <v>793</v>
      </c>
    </row>
    <row r="2062" spans="1:12" x14ac:dyDescent="0.2">
      <c r="A2062"/>
      <c r="B2062"/>
      <c r="C2062"/>
      <c r="D2062"/>
      <c r="E2062" s="2">
        <f>Comuni__2[[#This Row],[Popolazione2011]]/$D$7911</f>
        <v>8.1348867208609876E-5</v>
      </c>
      <c r="F2062">
        <f>SUMIFS($D$2:$D$7909, $B$2:$B$7909, "Lazio")</f>
        <v>5502886</v>
      </c>
      <c r="G2062" s="1">
        <f>Comuni__2[[#This Row],[Popolazione2011]]/Comuni__2[[#This Row],[POPOLAZIONE TOTALE DI OGNI REGIONE (CON FILTRO)]]</f>
        <v>8.7844814520962274E-4</v>
      </c>
      <c r="H2062" t="str">
        <f>IF(Comuni__2[[#This Row],[Popolazione2011]]&gt;300000,"MAGGIORE","")</f>
        <v/>
      </c>
      <c r="J2062">
        <v>1079</v>
      </c>
      <c r="K2062">
        <v>1665</v>
      </c>
      <c r="L2062">
        <v>807</v>
      </c>
    </row>
    <row r="2063" spans="1:12" x14ac:dyDescent="0.2">
      <c r="A2063"/>
      <c r="B2063"/>
      <c r="C2063"/>
      <c r="D2063"/>
      <c r="E2063" s="2">
        <f>Comuni__2[[#This Row],[Popolazione2011]]/$D$7911</f>
        <v>8.1214239377068947E-5</v>
      </c>
      <c r="F2063">
        <f>SUMIFS($D$2:$D$7909, $B$2:$B$7909, "Lazio")</f>
        <v>5502886</v>
      </c>
      <c r="G2063" s="1">
        <f>Comuni__2[[#This Row],[Popolazione2011]]/Comuni__2[[#This Row],[POPOLAZIONE TOTALE DI OGNI REGIONE (CON FILTRO)]]</f>
        <v>8.7699436259446408E-4</v>
      </c>
      <c r="H2063" t="str">
        <f>IF(Comuni__2[[#This Row],[Popolazione2011]]&gt;300000,"MAGGIORE","")</f>
        <v/>
      </c>
      <c r="J2063">
        <v>1060</v>
      </c>
      <c r="K2063">
        <v>1774</v>
      </c>
      <c r="L2063">
        <v>828</v>
      </c>
    </row>
    <row r="2064" spans="1:12" x14ac:dyDescent="0.2">
      <c r="A2064"/>
      <c r="B2064"/>
      <c r="C2064"/>
      <c r="D2064"/>
      <c r="E2064" s="2">
        <f>Comuni__2[[#This Row],[Popolazione2011]]/$D$7911</f>
        <v>7.8370226435766699E-5</v>
      </c>
      <c r="F2064">
        <f>SUMIFS($D$2:$D$7909, $B$2:$B$7909, "Lazio")</f>
        <v>5502886</v>
      </c>
      <c r="G2064" s="1">
        <f>Comuni__2[[#This Row],[Popolazione2011]]/Comuni__2[[#This Row],[POPOLAZIONE TOTALE DI OGNI REGIONE (CON FILTRO)]]</f>
        <v>8.4628320484923727E-4</v>
      </c>
      <c r="H2064" t="str">
        <f>IF(Comuni__2[[#This Row],[Popolazione2011]]&gt;300000,"MAGGIORE","")</f>
        <v/>
      </c>
      <c r="J2064">
        <v>1002</v>
      </c>
      <c r="K2064">
        <v>1863</v>
      </c>
      <c r="L2064">
        <v>866</v>
      </c>
    </row>
    <row r="2065" spans="1:12" x14ac:dyDescent="0.2">
      <c r="A2065"/>
      <c r="B2065"/>
      <c r="C2065"/>
      <c r="D2065"/>
      <c r="E2065" s="2">
        <f>Comuni__2[[#This Row],[Popolazione2011]]/$D$7911</f>
        <v>7.8235598604225757E-5</v>
      </c>
      <c r="F2065">
        <f>SUMIFS($D$2:$D$7909, $B$2:$B$7909, "Lazio")</f>
        <v>5502886</v>
      </c>
      <c r="G2065" s="1">
        <f>Comuni__2[[#This Row],[Popolazione2011]]/Comuni__2[[#This Row],[POPOLAZIONE TOTALE DI OGNI REGIONE (CON FILTRO)]]</f>
        <v>8.448294222340786E-4</v>
      </c>
      <c r="H2065" t="str">
        <f>IF(Comuni__2[[#This Row],[Popolazione2011]]&gt;300000,"MAGGIORE","")</f>
        <v/>
      </c>
      <c r="J2065">
        <v>1006</v>
      </c>
      <c r="K2065">
        <v>1992</v>
      </c>
      <c r="L2065">
        <v>897</v>
      </c>
    </row>
    <row r="2066" spans="1:12" x14ac:dyDescent="0.2">
      <c r="A2066"/>
      <c r="B2066"/>
      <c r="C2066"/>
      <c r="D2066"/>
      <c r="E2066" s="2">
        <f>Comuni__2[[#This Row],[Popolazione2011]]/$D$7911</f>
        <v>7.7663430320176795E-5</v>
      </c>
      <c r="F2066">
        <f>SUMIFS($D$2:$D$7909, $B$2:$B$7909, "Lazio")</f>
        <v>5502886</v>
      </c>
      <c r="G2066" s="1">
        <f>Comuni__2[[#This Row],[Popolazione2011]]/Comuni__2[[#This Row],[POPOLAZIONE TOTALE DI OGNI REGIONE (CON FILTRO)]]</f>
        <v>8.386508461196543E-4</v>
      </c>
      <c r="H2066" t="str">
        <f>IF(Comuni__2[[#This Row],[Popolazione2011]]&gt;300000,"MAGGIORE","")</f>
        <v/>
      </c>
      <c r="J2066">
        <v>986</v>
      </c>
      <c r="K2066">
        <v>2110</v>
      </c>
      <c r="L2066">
        <v>928</v>
      </c>
    </row>
    <row r="2067" spans="1:12" x14ac:dyDescent="0.2">
      <c r="A2067"/>
      <c r="B2067"/>
      <c r="C2067"/>
      <c r="D2067"/>
      <c r="E2067" s="2">
        <f>Comuni__2[[#This Row],[Popolazione2011]]/$D$7911</f>
        <v>7.7545630967578469E-5</v>
      </c>
      <c r="F2067">
        <f>SUMIFS($D$2:$D$7909, $B$2:$B$7909, "Lazio")</f>
        <v>5502886</v>
      </c>
      <c r="G2067" s="1">
        <f>Comuni__2[[#This Row],[Popolazione2011]]/Comuni__2[[#This Row],[POPOLAZIONE TOTALE DI OGNI REGIONE (CON FILTRO)]]</f>
        <v>8.3737878633139047E-4</v>
      </c>
      <c r="H2067" t="str">
        <f>IF(Comuni__2[[#This Row],[Popolazione2011]]&gt;300000,"MAGGIORE","")</f>
        <v/>
      </c>
      <c r="J2067">
        <v>980</v>
      </c>
      <c r="K2067">
        <v>2216</v>
      </c>
      <c r="L2067">
        <v>957</v>
      </c>
    </row>
    <row r="2068" spans="1:12" x14ac:dyDescent="0.2">
      <c r="A2068"/>
      <c r="B2068"/>
      <c r="C2068"/>
      <c r="D2068"/>
      <c r="E2068" s="2">
        <f>Comuni__2[[#This Row],[Popolazione2011]]/$D$7911</f>
        <v>7.6603236146791925E-5</v>
      </c>
      <c r="F2068">
        <f>SUMIFS($D$2:$D$7909, $B$2:$B$7909, "Lazio")</f>
        <v>5502886</v>
      </c>
      <c r="G2068" s="1">
        <f>Comuni__2[[#This Row],[Popolazione2011]]/Comuni__2[[#This Row],[POPOLAZIONE TOTALE DI OGNI REGIONE (CON FILTRO)]]</f>
        <v>8.2720230802527984E-4</v>
      </c>
      <c r="H2068" t="str">
        <f>IF(Comuni__2[[#This Row],[Popolazione2011]]&gt;300000,"MAGGIORE","")</f>
        <v/>
      </c>
      <c r="J2068">
        <v>1008</v>
      </c>
      <c r="K2068">
        <v>2311</v>
      </c>
      <c r="L2068">
        <v>990</v>
      </c>
    </row>
    <row r="2069" spans="1:12" x14ac:dyDescent="0.2">
      <c r="A2069"/>
      <c r="B2069"/>
      <c r="C2069"/>
      <c r="D2069"/>
      <c r="E2069" s="2">
        <f>Comuni__2[[#This Row],[Popolazione2011]]/$D$7911</f>
        <v>7.5526213494464452E-5</v>
      </c>
      <c r="F2069">
        <f>SUMIFS($D$2:$D$7909, $B$2:$B$7909, "Lazio")</f>
        <v>5502886</v>
      </c>
      <c r="G2069" s="1">
        <f>Comuni__2[[#This Row],[Popolazione2011]]/Comuni__2[[#This Row],[POPOLAZIONE TOTALE DI OGNI REGIONE (CON FILTRO)]]</f>
        <v>8.1557204710401056E-4</v>
      </c>
      <c r="H2069" t="str">
        <f>IF(Comuni__2[[#This Row],[Popolazione2011]]&gt;300000,"MAGGIORE","")</f>
        <v/>
      </c>
      <c r="J2069">
        <v>952</v>
      </c>
      <c r="K2069">
        <v>2420</v>
      </c>
      <c r="L2069">
        <v>1022</v>
      </c>
    </row>
    <row r="2070" spans="1:12" x14ac:dyDescent="0.2">
      <c r="A2070"/>
      <c r="B2070"/>
      <c r="C2070"/>
      <c r="D2070"/>
      <c r="E2070" s="2">
        <f>Comuni__2[[#This Row],[Popolazione2011]]/$D$7911</f>
        <v>7.507184456301379E-5</v>
      </c>
      <c r="F2070">
        <f>SUMIFS($D$2:$D$7909, $B$2:$B$7909, "Lazio")</f>
        <v>5502886</v>
      </c>
      <c r="G2070" s="1">
        <f>Comuni__2[[#This Row],[Popolazione2011]]/Comuni__2[[#This Row],[POPOLAZIONE TOTALE DI OGNI REGIONE (CON FILTRO)]]</f>
        <v>8.1066553077785008E-4</v>
      </c>
      <c r="H2070" t="str">
        <f>IF(Comuni__2[[#This Row],[Popolazione2011]]&gt;300000,"MAGGIORE","")</f>
        <v/>
      </c>
      <c r="J2070">
        <v>874</v>
      </c>
      <c r="K2070">
        <v>2536</v>
      </c>
      <c r="L2070">
        <v>1047</v>
      </c>
    </row>
    <row r="2071" spans="1:12" x14ac:dyDescent="0.2">
      <c r="A2071"/>
      <c r="B2071"/>
      <c r="C2071"/>
      <c r="D2071"/>
      <c r="E2071" s="2">
        <f>Comuni__2[[#This Row],[Popolazione2011]]/$D$7911</f>
        <v>7.4062135826456782E-5</v>
      </c>
      <c r="F2071">
        <f>SUMIFS($D$2:$D$7909, $B$2:$B$7909, "Lazio")</f>
        <v>5502886</v>
      </c>
      <c r="G2071" s="1">
        <f>Comuni__2[[#This Row],[Popolazione2011]]/Comuni__2[[#This Row],[POPOLAZIONE TOTALE DI OGNI REGIONE (CON FILTRO)]]</f>
        <v>7.9976216116416001E-4</v>
      </c>
      <c r="H2071" t="str">
        <f>IF(Comuni__2[[#This Row],[Popolazione2011]]&gt;300000,"MAGGIORE","")</f>
        <v/>
      </c>
      <c r="J2071">
        <v>847</v>
      </c>
      <c r="K2071">
        <v>2660</v>
      </c>
      <c r="L2071">
        <v>1076</v>
      </c>
    </row>
    <row r="2072" spans="1:12" x14ac:dyDescent="0.2">
      <c r="A2072"/>
      <c r="B2072"/>
      <c r="C2072"/>
      <c r="D2072"/>
      <c r="E2072" s="2">
        <f>Comuni__2[[#This Row],[Popolazione2011]]/$D$7911</f>
        <v>7.2598058158449111E-5</v>
      </c>
      <c r="F2072">
        <f>SUMIFS($D$2:$D$7909, $B$2:$B$7909, "Lazio")</f>
        <v>5502886</v>
      </c>
      <c r="G2072" s="1">
        <f>Comuni__2[[#This Row],[Popolazione2011]]/Comuni__2[[#This Row],[POPOLAZIONE TOTALE DI OGNI REGIONE (CON FILTRO)]]</f>
        <v>7.8395227522430957E-4</v>
      </c>
      <c r="H2072" t="str">
        <f>IF(Comuni__2[[#This Row],[Popolazione2011]]&gt;300000,"MAGGIORE","")</f>
        <v/>
      </c>
      <c r="J2072">
        <v>842</v>
      </c>
      <c r="K2072">
        <v>2775</v>
      </c>
      <c r="L2072">
        <v>1093</v>
      </c>
    </row>
    <row r="2073" spans="1:12" x14ac:dyDescent="0.2">
      <c r="A2073"/>
      <c r="B2073"/>
      <c r="C2073"/>
      <c r="D2073"/>
      <c r="E2073" s="2">
        <f>Comuni__2[[#This Row],[Popolazione2011]]/$D$7911</f>
        <v>7.2412944890080333E-5</v>
      </c>
      <c r="F2073">
        <f>SUMIFS($D$2:$D$7909, $B$2:$B$7909, "Lazio")</f>
        <v>5502886</v>
      </c>
      <c r="G2073" s="1">
        <f>Comuni__2[[#This Row],[Popolazione2011]]/Comuni__2[[#This Row],[POPOLAZIONE TOTALE DI OGNI REGIONE (CON FILTRO)]]</f>
        <v>7.8195332412846642E-4</v>
      </c>
      <c r="H2073" t="str">
        <f>IF(Comuni__2[[#This Row],[Popolazione2011]]&gt;300000,"MAGGIORE","")</f>
        <v/>
      </c>
      <c r="J2073">
        <v>830</v>
      </c>
      <c r="K2073">
        <v>2894</v>
      </c>
      <c r="L2073">
        <v>1114</v>
      </c>
    </row>
    <row r="2074" spans="1:12" x14ac:dyDescent="0.2">
      <c r="A2074"/>
      <c r="B2074"/>
      <c r="C2074"/>
      <c r="D2074"/>
      <c r="E2074" s="2">
        <f>Comuni__2[[#This Row],[Popolazione2011]]/$D$7911</f>
        <v>7.104983809572836E-5</v>
      </c>
      <c r="F2074">
        <f>SUMIFS($D$2:$D$7909, $B$2:$B$7909, "Lazio")</f>
        <v>5502886</v>
      </c>
      <c r="G2074" s="1">
        <f>Comuni__2[[#This Row],[Popolazione2011]]/Comuni__2[[#This Row],[POPOLAZIONE TOTALE DI OGNI REGIONE (CON FILTRO)]]</f>
        <v>7.6723377514998498E-4</v>
      </c>
      <c r="H2074" t="str">
        <f>IF(Comuni__2[[#This Row],[Popolazione2011]]&gt;300000,"MAGGIORE","")</f>
        <v/>
      </c>
      <c r="J2074">
        <v>837</v>
      </c>
      <c r="K2074">
        <v>2934</v>
      </c>
      <c r="L2074">
        <v>1128</v>
      </c>
    </row>
    <row r="2075" spans="1:12" x14ac:dyDescent="0.2">
      <c r="A2075"/>
      <c r="B2075"/>
      <c r="C2075"/>
      <c r="D2075"/>
      <c r="E2075" s="2">
        <f>Comuni__2[[#This Row],[Popolazione2011]]/$D$7911</f>
        <v>7.0023300880228735E-5</v>
      </c>
      <c r="F2075">
        <f>SUMIFS($D$2:$D$7909, $B$2:$B$7909, "Lazio")</f>
        <v>5502886</v>
      </c>
      <c r="G2075" s="1">
        <f>Comuni__2[[#This Row],[Popolazione2011]]/Comuni__2[[#This Row],[POPOLAZIONE TOTALE DI OGNI REGIONE (CON FILTRO)]]</f>
        <v>7.5614868270940008E-4</v>
      </c>
      <c r="H2075" t="str">
        <f>IF(Comuni__2[[#This Row],[Popolazione2011]]&gt;300000,"MAGGIORE","")</f>
        <v/>
      </c>
      <c r="J2075">
        <v>799</v>
      </c>
      <c r="K2075">
        <v>3060</v>
      </c>
      <c r="L2075">
        <v>1141</v>
      </c>
    </row>
    <row r="2076" spans="1:12" x14ac:dyDescent="0.2">
      <c r="A2076"/>
      <c r="B2076"/>
      <c r="C2076"/>
      <c r="D2076"/>
      <c r="E2076" s="2">
        <f>Comuni__2[[#This Row],[Popolazione2011]]/$D$7911</f>
        <v>6.9922330006573038E-5</v>
      </c>
      <c r="F2076">
        <f>SUMIFS($D$2:$D$7909, $B$2:$B$7909, "Lazio")</f>
        <v>5502886</v>
      </c>
      <c r="G2076" s="1">
        <f>Comuni__2[[#This Row],[Popolazione2011]]/Comuni__2[[#This Row],[POPOLAZIONE TOTALE DI OGNI REGIONE (CON FILTRO)]]</f>
        <v>7.5505834574803108E-4</v>
      </c>
      <c r="H2076" t="str">
        <f>IF(Comuni__2[[#This Row],[Popolazione2011]]&gt;300000,"MAGGIORE","")</f>
        <v/>
      </c>
      <c r="J2076">
        <v>767</v>
      </c>
      <c r="K2076">
        <v>3161</v>
      </c>
      <c r="L2076">
        <v>1152</v>
      </c>
    </row>
    <row r="2077" spans="1:12" x14ac:dyDescent="0.2">
      <c r="A2077"/>
      <c r="B2077"/>
      <c r="C2077"/>
      <c r="D2077"/>
      <c r="E2077" s="2">
        <f>Comuni__2[[#This Row],[Popolazione2011]]/$D$7911</f>
        <v>6.9619417385605935E-5</v>
      </c>
      <c r="F2077">
        <f>SUMIFS($D$2:$D$7909, $B$2:$B$7909, "Lazio")</f>
        <v>5502886</v>
      </c>
      <c r="G2077" s="1">
        <f>Comuni__2[[#This Row],[Popolazione2011]]/Comuni__2[[#This Row],[POPOLAZIONE TOTALE DI OGNI REGIONE (CON FILTRO)]]</f>
        <v>7.517873348639241E-4</v>
      </c>
      <c r="H2077" t="str">
        <f>IF(Comuni__2[[#This Row],[Popolazione2011]]&gt;300000,"MAGGIORE","")</f>
        <v/>
      </c>
      <c r="J2077">
        <v>745</v>
      </c>
      <c r="K2077">
        <v>3275</v>
      </c>
      <c r="L2077">
        <v>1167</v>
      </c>
    </row>
    <row r="2078" spans="1:12" x14ac:dyDescent="0.2">
      <c r="A2078"/>
      <c r="B2078"/>
      <c r="C2078"/>
      <c r="D2078"/>
      <c r="E2078" s="2">
        <f>Comuni__2[[#This Row],[Popolazione2011]]/$D$7911</f>
        <v>6.955210346983547E-5</v>
      </c>
      <c r="F2078">
        <f>SUMIFS($D$2:$D$7909, $B$2:$B$7909, "Lazio")</f>
        <v>5502886</v>
      </c>
      <c r="G2078" s="1">
        <f>Comuni__2[[#This Row],[Popolazione2011]]/Comuni__2[[#This Row],[POPOLAZIONE TOTALE DI OGNI REGIONE (CON FILTRO)]]</f>
        <v>7.5106044355634477E-4</v>
      </c>
      <c r="H2078" t="str">
        <f>IF(Comuni__2[[#This Row],[Popolazione2011]]&gt;300000,"MAGGIORE","")</f>
        <v/>
      </c>
      <c r="J2078">
        <v>734</v>
      </c>
      <c r="K2078">
        <v>3424</v>
      </c>
      <c r="L2078">
        <v>1184</v>
      </c>
    </row>
    <row r="2079" spans="1:12" x14ac:dyDescent="0.2">
      <c r="A2079"/>
      <c r="B2079"/>
      <c r="C2079"/>
      <c r="D2079"/>
      <c r="E2079" s="2">
        <f>Comuni__2[[#This Row],[Popolazione2011]]/$D$7911</f>
        <v>6.8508737775393216E-5</v>
      </c>
      <c r="F2079">
        <f>SUMIFS($D$2:$D$7909, $B$2:$B$7909, "Lazio")</f>
        <v>5502886</v>
      </c>
      <c r="G2079" s="1">
        <f>Comuni__2[[#This Row],[Popolazione2011]]/Comuni__2[[#This Row],[POPOLAZIONE TOTALE DI OGNI REGIONE (CON FILTRO)]]</f>
        <v>7.3979362828886514E-4</v>
      </c>
      <c r="H2079" t="str">
        <f>IF(Comuni__2[[#This Row],[Popolazione2011]]&gt;300000,"MAGGIORE","")</f>
        <v/>
      </c>
      <c r="J2079">
        <v>715</v>
      </c>
      <c r="K2079">
        <v>3519</v>
      </c>
      <c r="L2079">
        <v>1195</v>
      </c>
    </row>
    <row r="2080" spans="1:12" x14ac:dyDescent="0.2">
      <c r="A2080"/>
      <c r="B2080"/>
      <c r="C2080"/>
      <c r="D2080"/>
      <c r="E2080" s="2">
        <f>Comuni__2[[#This Row],[Popolazione2011]]/$D$7911</f>
        <v>6.7902912533459008E-5</v>
      </c>
      <c r="F2080">
        <f>SUMIFS($D$2:$D$7909, $B$2:$B$7909, "Lazio")</f>
        <v>5502886</v>
      </c>
      <c r="G2080" s="1">
        <f>Comuni__2[[#This Row],[Popolazione2011]]/Comuni__2[[#This Row],[POPOLAZIONE TOTALE DI OGNI REGIONE (CON FILTRO)]]</f>
        <v>7.3325160652065117E-4</v>
      </c>
      <c r="H2080" t="str">
        <f>IF(Comuni__2[[#This Row],[Popolazione2011]]&gt;300000,"MAGGIORE","")</f>
        <v/>
      </c>
      <c r="J2080">
        <v>695</v>
      </c>
      <c r="K2080">
        <v>3599</v>
      </c>
      <c r="L2080">
        <v>1209</v>
      </c>
    </row>
    <row r="2081" spans="1:12" x14ac:dyDescent="0.2">
      <c r="A2081"/>
      <c r="B2081"/>
      <c r="C2081"/>
      <c r="D2081"/>
      <c r="E2081" s="2">
        <f>Comuni__2[[#This Row],[Popolazione2011]]/$D$7911</f>
        <v>6.7347572728352663E-5</v>
      </c>
      <c r="F2081">
        <f>SUMIFS($D$2:$D$7909, $B$2:$B$7909, "Lazio")</f>
        <v>5502886</v>
      </c>
      <c r="G2081" s="1">
        <f>Comuni__2[[#This Row],[Popolazione2011]]/Comuni__2[[#This Row],[POPOLAZIONE TOTALE DI OGNI REGIONE (CON FILTRO)]]</f>
        <v>7.272547532331217E-4</v>
      </c>
      <c r="H2081" t="str">
        <f>IF(Comuni__2[[#This Row],[Popolazione2011]]&gt;300000,"MAGGIORE","")</f>
        <v/>
      </c>
      <c r="J2081">
        <v>678</v>
      </c>
      <c r="K2081">
        <v>3683</v>
      </c>
      <c r="L2081">
        <v>1221</v>
      </c>
    </row>
    <row r="2082" spans="1:12" x14ac:dyDescent="0.2">
      <c r="A2082"/>
      <c r="B2082"/>
      <c r="C2082"/>
      <c r="D2082"/>
      <c r="E2082" s="2">
        <f>Comuni__2[[#This Row],[Popolazione2011]]/$D$7911</f>
        <v>6.6792232923246304E-5</v>
      </c>
      <c r="F2082">
        <f>SUMIFS($D$2:$D$7909, $B$2:$B$7909, "Lazio")</f>
        <v>5502886</v>
      </c>
      <c r="G2082" s="1">
        <f>Comuni__2[[#This Row],[Popolazione2011]]/Comuni__2[[#This Row],[POPOLAZIONE TOTALE DI OGNI REGIONE (CON FILTRO)]]</f>
        <v>7.2125789994559222E-4</v>
      </c>
      <c r="H2082" t="str">
        <f>IF(Comuni__2[[#This Row],[Popolazione2011]]&gt;300000,"MAGGIORE","")</f>
        <v/>
      </c>
      <c r="J2082">
        <v>651</v>
      </c>
      <c r="K2082">
        <v>3816</v>
      </c>
      <c r="L2082">
        <v>1232</v>
      </c>
    </row>
    <row r="2083" spans="1:12" x14ac:dyDescent="0.2">
      <c r="A2083"/>
      <c r="B2083"/>
      <c r="C2083"/>
      <c r="D2083"/>
      <c r="E2083" s="2">
        <f>Comuni__2[[#This Row],[Popolazione2011]]/$D$7911</f>
        <v>6.625372159708256E-5</v>
      </c>
      <c r="F2083">
        <f>SUMIFS($D$2:$D$7909, $B$2:$B$7909, "Lazio")</f>
        <v>5502886</v>
      </c>
      <c r="G2083" s="1">
        <f>Comuni__2[[#This Row],[Popolazione2011]]/Comuni__2[[#This Row],[POPOLAZIONE TOTALE DI OGNI REGIONE (CON FILTRO)]]</f>
        <v>7.1544276948495758E-4</v>
      </c>
      <c r="H2083" t="str">
        <f>IF(Comuni__2[[#This Row],[Popolazione2011]]&gt;300000,"MAGGIORE","")</f>
        <v/>
      </c>
      <c r="J2083">
        <v>607</v>
      </c>
      <c r="K2083">
        <v>4002</v>
      </c>
      <c r="L2083">
        <v>1243</v>
      </c>
    </row>
    <row r="2084" spans="1:12" x14ac:dyDescent="0.2">
      <c r="A2084"/>
      <c r="B2084"/>
      <c r="C2084"/>
      <c r="D2084"/>
      <c r="E2084" s="2">
        <f>Comuni__2[[#This Row],[Popolazione2011]]/$D$7911</f>
        <v>6.5681553313033585E-5</v>
      </c>
      <c r="F2084">
        <f>SUMIFS($D$2:$D$7909, $B$2:$B$7909, "Lazio")</f>
        <v>5502886</v>
      </c>
      <c r="G2084" s="1">
        <f>Comuni__2[[#This Row],[Popolazione2011]]/Comuni__2[[#This Row],[POPOLAZIONE TOTALE DI OGNI REGIONE (CON FILTRO)]]</f>
        <v>7.0926419337053316E-4</v>
      </c>
      <c r="H2084" t="str">
        <f>IF(Comuni__2[[#This Row],[Popolazione2011]]&gt;300000,"MAGGIORE","")</f>
        <v/>
      </c>
      <c r="J2084">
        <v>582</v>
      </c>
      <c r="K2084">
        <v>4143</v>
      </c>
      <c r="L2084">
        <v>1254</v>
      </c>
    </row>
    <row r="2085" spans="1:12" x14ac:dyDescent="0.2">
      <c r="A2085"/>
      <c r="B2085"/>
      <c r="C2085"/>
      <c r="D2085"/>
      <c r="E2085" s="2">
        <f>Comuni__2[[#This Row],[Popolazione2011]]/$D$7911</f>
        <v>6.5092556550041993E-5</v>
      </c>
      <c r="F2085">
        <f>SUMIFS($D$2:$D$7909, $B$2:$B$7909, "Lazio")</f>
        <v>5502886</v>
      </c>
      <c r="G2085" s="1">
        <f>Comuni__2[[#This Row],[Popolazione2011]]/Comuni__2[[#This Row],[POPOLAZIONE TOTALE DI OGNI REGIONE (CON FILTRO)]]</f>
        <v>7.0290389442921402E-4</v>
      </c>
      <c r="H2085" t="str">
        <f>IF(Comuni__2[[#This Row],[Popolazione2011]]&gt;300000,"MAGGIORE","")</f>
        <v/>
      </c>
      <c r="J2085">
        <v>563</v>
      </c>
      <c r="K2085">
        <v>4282</v>
      </c>
      <c r="L2085">
        <v>1265</v>
      </c>
    </row>
    <row r="2086" spans="1:12" x14ac:dyDescent="0.2">
      <c r="A2086"/>
      <c r="B2086"/>
      <c r="C2086"/>
      <c r="D2086"/>
      <c r="E2086" s="2">
        <f>Comuni__2[[#This Row],[Popolazione2011]]/$D$7911</f>
        <v>6.393139150300144E-5</v>
      </c>
      <c r="F2086">
        <f>SUMIFS($D$2:$D$7909, $B$2:$B$7909, "Lazio")</f>
        <v>5502886</v>
      </c>
      <c r="G2086" s="1">
        <f>Comuni__2[[#This Row],[Popolazione2011]]/Comuni__2[[#This Row],[POPOLAZIONE TOTALE DI OGNI REGIONE (CON FILTRO)]]</f>
        <v>6.9036501937347057E-4</v>
      </c>
      <c r="H2086" t="str">
        <f>IF(Comuni__2[[#This Row],[Popolazione2011]]&gt;300000,"MAGGIORE","")</f>
        <v/>
      </c>
      <c r="J2086">
        <v>543</v>
      </c>
      <c r="K2086">
        <v>4480</v>
      </c>
      <c r="L2086">
        <v>1276</v>
      </c>
    </row>
    <row r="2087" spans="1:12" x14ac:dyDescent="0.2">
      <c r="A2087"/>
      <c r="B2087"/>
      <c r="C2087"/>
      <c r="D2087"/>
      <c r="E2087" s="2">
        <f>Comuni__2[[#This Row],[Popolazione2011]]/$D$7911</f>
        <v>6.2938511245387035E-5</v>
      </c>
      <c r="F2087">
        <f>SUMIFS($D$2:$D$7909, $B$2:$B$7909, "Lazio")</f>
        <v>5502886</v>
      </c>
      <c r="G2087" s="1">
        <f>Comuni__2[[#This Row],[Popolazione2011]]/Comuni__2[[#This Row],[POPOLAZIONE TOTALE DI OGNI REGIONE (CON FILTRO)]]</f>
        <v>6.7964337258667545E-4</v>
      </c>
      <c r="H2087" t="str">
        <f>IF(Comuni__2[[#This Row],[Popolazione2011]]&gt;300000,"MAGGIORE","")</f>
        <v/>
      </c>
      <c r="J2087">
        <v>522</v>
      </c>
      <c r="K2087">
        <v>4607</v>
      </c>
      <c r="L2087">
        <v>1281</v>
      </c>
    </row>
    <row r="2088" spans="1:12" x14ac:dyDescent="0.2">
      <c r="A2088"/>
      <c r="B2088"/>
      <c r="C2088"/>
      <c r="D2088"/>
      <c r="E2088" s="2">
        <f>Comuni__2[[#This Row],[Popolazione2011]]/$D$7911</f>
        <v>6.2299029045567595E-5</v>
      </c>
      <c r="F2088">
        <f>SUMIFS($D$2:$D$7909, $B$2:$B$7909, "Lazio")</f>
        <v>5502886</v>
      </c>
      <c r="G2088" s="1">
        <f>Comuni__2[[#This Row],[Popolazione2011]]/Comuni__2[[#This Row],[POPOLAZIONE TOTALE DI OGNI REGIONE (CON FILTRO)]]</f>
        <v>6.7273790516467181E-4</v>
      </c>
      <c r="H2088" t="str">
        <f>IF(Comuni__2[[#This Row],[Popolazione2011]]&gt;300000,"MAGGIORE","")</f>
        <v/>
      </c>
      <c r="J2088">
        <v>522</v>
      </c>
      <c r="K2088">
        <v>4695</v>
      </c>
      <c r="L2088">
        <v>1293</v>
      </c>
    </row>
    <row r="2089" spans="1:12" x14ac:dyDescent="0.2">
      <c r="A2089"/>
      <c r="B2089"/>
      <c r="C2089"/>
      <c r="D2089"/>
      <c r="E2089" s="2">
        <f>Comuni__2[[#This Row],[Popolazione2011]]/$D$7911</f>
        <v>6.182783163517433E-5</v>
      </c>
      <c r="F2089">
        <f>SUMIFS($D$2:$D$7909, $B$2:$B$7909, "Lazio")</f>
        <v>5502886</v>
      </c>
      <c r="G2089" s="1">
        <f>Comuni__2[[#This Row],[Popolazione2011]]/Comuni__2[[#This Row],[POPOLAZIONE TOTALE DI OGNI REGIONE (CON FILTRO)]]</f>
        <v>6.6764966601161649E-4</v>
      </c>
      <c r="H2089" t="str">
        <f>IF(Comuni__2[[#This Row],[Popolazione2011]]&gt;300000,"MAGGIORE","")</f>
        <v/>
      </c>
      <c r="J2089">
        <v>482</v>
      </c>
      <c r="K2089">
        <v>4783</v>
      </c>
      <c r="L2089">
        <v>1301</v>
      </c>
    </row>
    <row r="2090" spans="1:12" x14ac:dyDescent="0.2">
      <c r="A2090"/>
      <c r="B2090"/>
      <c r="C2090"/>
      <c r="D2090"/>
      <c r="E2090" s="2">
        <f>Comuni__2[[#This Row],[Popolazione2011]]/$D$7911</f>
        <v>6.1390291182666283E-5</v>
      </c>
      <c r="F2090">
        <f>SUMIFS($D$2:$D$7909, $B$2:$B$7909, "Lazio")</f>
        <v>5502886</v>
      </c>
      <c r="G2090" s="1">
        <f>Comuni__2[[#This Row],[Popolazione2011]]/Comuni__2[[#This Row],[POPOLAZIONE TOTALE DI OGNI REGIONE (CON FILTRO)]]</f>
        <v>6.6292487251235085E-4</v>
      </c>
      <c r="H2090" t="str">
        <f>IF(Comuni__2[[#This Row],[Popolazione2011]]&gt;300000,"MAGGIORE","")</f>
        <v/>
      </c>
      <c r="J2090">
        <v>465</v>
      </c>
      <c r="K2090">
        <v>4898</v>
      </c>
      <c r="L2090">
        <v>1314</v>
      </c>
    </row>
    <row r="2091" spans="1:12" x14ac:dyDescent="0.2">
      <c r="A2091"/>
      <c r="B2091"/>
      <c r="C2091"/>
      <c r="D2091"/>
      <c r="E2091" s="2">
        <f>Comuni__2[[#This Row],[Popolazione2011]]/$D$7911</f>
        <v>6.0599352672363298E-5</v>
      </c>
      <c r="F2091">
        <f>SUMIFS($D$2:$D$7909, $B$2:$B$7909, "Lazio")</f>
        <v>5502886</v>
      </c>
      <c r="G2091" s="1">
        <f>Comuni__2[[#This Row],[Popolazione2011]]/Comuni__2[[#This Row],[POPOLAZIONE TOTALE DI OGNI REGIONE (CON FILTRO)]]</f>
        <v>6.5438389964829361E-4</v>
      </c>
      <c r="H2091" t="str">
        <f>IF(Comuni__2[[#This Row],[Popolazione2011]]&gt;300000,"MAGGIORE","")</f>
        <v/>
      </c>
      <c r="J2091">
        <v>443</v>
      </c>
      <c r="K2091">
        <v>5006</v>
      </c>
      <c r="L2091">
        <v>1329</v>
      </c>
    </row>
    <row r="2092" spans="1:12" x14ac:dyDescent="0.2">
      <c r="A2092"/>
      <c r="B2092"/>
      <c r="C2092"/>
      <c r="D2092"/>
      <c r="E2092" s="2">
        <f>Comuni__2[[#This Row],[Popolazione2011]]/$D$7911</f>
        <v>5.9455016104265354E-5</v>
      </c>
      <c r="F2092">
        <f>SUMIFS($D$2:$D$7909, $B$2:$B$7909, "Lazio")</f>
        <v>5502886</v>
      </c>
      <c r="G2092" s="1">
        <f>Comuni__2[[#This Row],[Popolazione2011]]/Comuni__2[[#This Row],[POPOLAZIONE TOTALE DI OGNI REGIONE (CON FILTRO)]]</f>
        <v>6.4202674741944499E-4</v>
      </c>
      <c r="H2092" t="str">
        <f>IF(Comuni__2[[#This Row],[Popolazione2011]]&gt;300000,"MAGGIORE","")</f>
        <v/>
      </c>
      <c r="J2092">
        <v>416</v>
      </c>
      <c r="K2092">
        <v>5121</v>
      </c>
      <c r="L2092">
        <v>1336</v>
      </c>
    </row>
    <row r="2093" spans="1:12" x14ac:dyDescent="0.2">
      <c r="A2093"/>
      <c r="B2093"/>
      <c r="C2093"/>
      <c r="D2093"/>
      <c r="E2093" s="2">
        <f>Comuni__2[[#This Row],[Popolazione2011]]/$D$7911</f>
        <v>5.9236245878011331E-5</v>
      </c>
      <c r="F2093">
        <f>SUMIFS($D$2:$D$7909, $B$2:$B$7909, "Lazio")</f>
        <v>5502886</v>
      </c>
      <c r="G2093" s="1">
        <f>Comuni__2[[#This Row],[Popolazione2011]]/Comuni__2[[#This Row],[POPOLAZIONE TOTALE DI OGNI REGIONE (CON FILTRO)]]</f>
        <v>6.3966435066981216E-4</v>
      </c>
      <c r="H2093" t="str">
        <f>IF(Comuni__2[[#This Row],[Popolazione2011]]&gt;300000,"MAGGIORE","")</f>
        <v/>
      </c>
      <c r="J2093">
        <v>395</v>
      </c>
      <c r="K2093">
        <v>5232</v>
      </c>
      <c r="L2093">
        <v>1346</v>
      </c>
    </row>
    <row r="2094" spans="1:12" x14ac:dyDescent="0.2">
      <c r="A2094"/>
      <c r="B2094"/>
      <c r="C2094"/>
      <c r="D2094"/>
      <c r="E2094" s="2">
        <f>Comuni__2[[#This Row],[Popolazione2011]]/$D$7911</f>
        <v>5.7385113194323476E-5</v>
      </c>
      <c r="F2094">
        <f>SUMIFS($D$2:$D$7909, $B$2:$B$7909, "Lazio")</f>
        <v>5502886</v>
      </c>
      <c r="G2094" s="1">
        <f>Comuni__2[[#This Row],[Popolazione2011]]/Comuni__2[[#This Row],[POPOLAZIONE TOTALE DI OGNI REGIONE (CON FILTRO)]]</f>
        <v>6.1967483971138058E-4</v>
      </c>
      <c r="H2094" t="str">
        <f>IF(Comuni__2[[#This Row],[Popolazione2011]]&gt;300000,"MAGGIORE","")</f>
        <v/>
      </c>
      <c r="J2094">
        <v>384</v>
      </c>
      <c r="K2094">
        <v>5348</v>
      </c>
      <c r="L2094">
        <v>1355</v>
      </c>
    </row>
    <row r="2095" spans="1:12" x14ac:dyDescent="0.2">
      <c r="A2095"/>
      <c r="B2095"/>
      <c r="C2095"/>
      <c r="D2095"/>
      <c r="E2095" s="2">
        <f>Comuni__2[[#This Row],[Popolazione2011]]/$D$7911</f>
        <v>5.6644660120848339E-5</v>
      </c>
      <c r="F2095">
        <f>SUMIFS($D$2:$D$7909, $B$2:$B$7909, "Lazio")</f>
        <v>5502886</v>
      </c>
      <c r="G2095" s="1">
        <f>Comuni__2[[#This Row],[Popolazione2011]]/Comuni__2[[#This Row],[POPOLAZIONE TOTALE DI OGNI REGIONE (CON FILTRO)]]</f>
        <v>6.1167903532800784E-4</v>
      </c>
      <c r="H2095" t="str">
        <f>IF(Comuni__2[[#This Row],[Popolazione2011]]&gt;300000,"MAGGIORE","")</f>
        <v/>
      </c>
      <c r="J2095">
        <v>383</v>
      </c>
      <c r="K2095">
        <v>5485</v>
      </c>
      <c r="L2095">
        <v>1367</v>
      </c>
    </row>
    <row r="2096" spans="1:12" x14ac:dyDescent="0.2">
      <c r="A2096"/>
      <c r="B2096"/>
      <c r="C2096"/>
      <c r="D2096"/>
      <c r="E2096" s="2">
        <f>Comuni__2[[#This Row],[Popolazione2011]]/$D$7911</f>
        <v>5.6476375331422171E-5</v>
      </c>
      <c r="F2096">
        <f>SUMIFS($D$2:$D$7909, $B$2:$B$7909, "Lazio")</f>
        <v>5502886</v>
      </c>
      <c r="G2096" s="1">
        <f>Comuni__2[[#This Row],[Popolazione2011]]/Comuni__2[[#This Row],[POPOLAZIONE TOTALE DI OGNI REGIONE (CON FILTRO)]]</f>
        <v>6.0986180705905951E-4</v>
      </c>
      <c r="H2096" t="str">
        <f>IF(Comuni__2[[#This Row],[Popolazione2011]]&gt;300000,"MAGGIORE","")</f>
        <v/>
      </c>
      <c r="J2096">
        <v>360</v>
      </c>
      <c r="K2096">
        <v>5617</v>
      </c>
      <c r="L2096">
        <v>1376</v>
      </c>
    </row>
    <row r="2097" spans="1:12" x14ac:dyDescent="0.2">
      <c r="A2097"/>
      <c r="B2097"/>
      <c r="C2097"/>
      <c r="D2097"/>
      <c r="E2097" s="2">
        <f>Comuni__2[[#This Row],[Popolazione2011]]/$D$7911</f>
        <v>5.6106148794684596E-5</v>
      </c>
      <c r="F2097">
        <f>SUMIFS($D$2:$D$7909, $B$2:$B$7909, "Lazio")</f>
        <v>5502886</v>
      </c>
      <c r="G2097" s="1">
        <f>Comuni__2[[#This Row],[Popolazione2011]]/Comuni__2[[#This Row],[POPOLAZIONE TOTALE DI OGNI REGIONE (CON FILTRO)]]</f>
        <v>6.0586390486737319E-4</v>
      </c>
      <c r="H2097" t="str">
        <f>IF(Comuni__2[[#This Row],[Popolazione2011]]&gt;300000,"MAGGIORE","")</f>
        <v/>
      </c>
      <c r="J2097">
        <v>332</v>
      </c>
      <c r="K2097">
        <v>5725</v>
      </c>
      <c r="L2097">
        <v>1386</v>
      </c>
    </row>
    <row r="2098" spans="1:12" x14ac:dyDescent="0.2">
      <c r="A2098"/>
      <c r="B2098"/>
      <c r="C2098"/>
      <c r="D2098"/>
      <c r="E2098" s="2">
        <f>Comuni__2[[#This Row],[Popolazione2011]]/$D$7911</f>
        <v>5.4978640705529268E-5</v>
      </c>
      <c r="F2098">
        <f>SUMIFS($D$2:$D$7909, $B$2:$B$7909, "Lazio")</f>
        <v>5502886</v>
      </c>
      <c r="G2098" s="1">
        <f>Comuni__2[[#This Row],[Popolazione2011]]/Comuni__2[[#This Row],[POPOLAZIONE TOTALE DI OGNI REGIONE (CON FILTRO)]]</f>
        <v>5.9368847546541941E-4</v>
      </c>
      <c r="H2098" t="str">
        <f>IF(Comuni__2[[#This Row],[Popolazione2011]]&gt;300000,"MAGGIORE","")</f>
        <v/>
      </c>
      <c r="J2098">
        <v>305</v>
      </c>
      <c r="K2098">
        <v>5872</v>
      </c>
      <c r="L2098">
        <v>1397</v>
      </c>
    </row>
    <row r="2099" spans="1:12" x14ac:dyDescent="0.2">
      <c r="A2099"/>
      <c r="B2099"/>
      <c r="C2099"/>
      <c r="D2099"/>
      <c r="E2099" s="2">
        <f>Comuni__2[[#This Row],[Popolazione2011]]/$D$7911</f>
        <v>5.4776698958217868E-5</v>
      </c>
      <c r="F2099">
        <f>SUMIFS($D$2:$D$7909, $B$2:$B$7909, "Lazio")</f>
        <v>5502886</v>
      </c>
      <c r="G2099" s="1">
        <f>Comuni__2[[#This Row],[Popolazione2011]]/Comuni__2[[#This Row],[POPOLAZIONE TOTALE DI OGNI REGIONE (CON FILTRO)]]</f>
        <v>5.9150780154268142E-4</v>
      </c>
      <c r="H2099" t="str">
        <f>IF(Comuni__2[[#This Row],[Popolazione2011]]&gt;300000,"MAGGIORE","")</f>
        <v/>
      </c>
      <c r="J2099">
        <v>288</v>
      </c>
      <c r="K2099">
        <v>6074</v>
      </c>
      <c r="L2099">
        <v>1407</v>
      </c>
    </row>
    <row r="2100" spans="1:12" x14ac:dyDescent="0.2">
      <c r="A2100"/>
      <c r="B2100"/>
      <c r="C2100"/>
      <c r="D2100"/>
      <c r="E2100" s="2">
        <f>Comuni__2[[#This Row],[Popolazione2011]]/$D$7911</f>
        <v>5.3278964332324965E-5</v>
      </c>
      <c r="F2100">
        <f>SUMIFS($D$2:$D$7909, $B$2:$B$7909, "Lazio")</f>
        <v>5502886</v>
      </c>
      <c r="G2100" s="1">
        <f>Comuni__2[[#This Row],[Popolazione2011]]/Comuni__2[[#This Row],[POPOLAZIONE TOTALE DI OGNI REGIONE (CON FILTRO)]]</f>
        <v>5.7533446994904132E-4</v>
      </c>
      <c r="H2100" t="str">
        <f>IF(Comuni__2[[#This Row],[Popolazione2011]]&gt;300000,"MAGGIORE","")</f>
        <v/>
      </c>
      <c r="J2100">
        <v>267</v>
      </c>
      <c r="K2100">
        <v>6279</v>
      </c>
      <c r="L2100">
        <v>1414</v>
      </c>
    </row>
    <row r="2101" spans="1:12" x14ac:dyDescent="0.2">
      <c r="A2101"/>
      <c r="B2101"/>
      <c r="C2101"/>
      <c r="D2101"/>
      <c r="E2101" s="2">
        <f>Comuni__2[[#This Row],[Popolazione2011]]/$D$7911</f>
        <v>5.2992880190300477E-5</v>
      </c>
      <c r="F2101">
        <f>SUMIFS($D$2:$D$7909, $B$2:$B$7909, "Lazio")</f>
        <v>5502886</v>
      </c>
      <c r="G2101" s="1">
        <f>Comuni__2[[#This Row],[Popolazione2011]]/Comuni__2[[#This Row],[POPOLAZIONE TOTALE DI OGNI REGIONE (CON FILTRO)]]</f>
        <v>5.7224518189182916E-4</v>
      </c>
      <c r="H2101" t="str">
        <f>IF(Comuni__2[[#This Row],[Popolazione2011]]&gt;300000,"MAGGIORE","")</f>
        <v/>
      </c>
      <c r="J2101">
        <v>265</v>
      </c>
      <c r="K2101">
        <v>6437</v>
      </c>
      <c r="L2101">
        <v>1419</v>
      </c>
    </row>
    <row r="2102" spans="1:12" x14ac:dyDescent="0.2">
      <c r="A2102"/>
      <c r="B2102"/>
      <c r="C2102"/>
      <c r="D2102"/>
      <c r="E2102" s="2">
        <f>Comuni__2[[#This Row],[Popolazione2011]]/$D$7911</f>
        <v>5.1899029059030382E-5</v>
      </c>
      <c r="F2102">
        <f>SUMIFS($D$2:$D$7909, $B$2:$B$7909, "Lazio")</f>
        <v>5502886</v>
      </c>
      <c r="G2102" s="1">
        <f>Comuni__2[[#This Row],[Popolazione2011]]/Comuni__2[[#This Row],[POPOLAZIONE TOTALE DI OGNI REGIONE (CON FILTRO)]]</f>
        <v>5.6043319814366493E-4</v>
      </c>
      <c r="H2102" t="str">
        <f>IF(Comuni__2[[#This Row],[Popolazione2011]]&gt;300000,"MAGGIORE","")</f>
        <v/>
      </c>
      <c r="J2102">
        <v>254</v>
      </c>
      <c r="K2102">
        <v>6516</v>
      </c>
      <c r="L2102">
        <v>1425</v>
      </c>
    </row>
    <row r="2103" spans="1:12" x14ac:dyDescent="0.2">
      <c r="A2103"/>
      <c r="B2103"/>
      <c r="C2103"/>
      <c r="D2103"/>
      <c r="E2103" s="2">
        <f>Comuni__2[[#This Row],[Popolazione2011]]/$D$7911</f>
        <v>5.1798058185374685E-5</v>
      </c>
      <c r="F2103">
        <f>SUMIFS($D$2:$D$7909, $B$2:$B$7909, "Lazio")</f>
        <v>5502886</v>
      </c>
      <c r="G2103" s="1">
        <f>Comuni__2[[#This Row],[Popolazione2011]]/Comuni__2[[#This Row],[POPOLAZIONE TOTALE DI OGNI REGIONE (CON FILTRO)]]</f>
        <v>5.5934286118229594E-4</v>
      </c>
      <c r="H2103" t="str">
        <f>IF(Comuni__2[[#This Row],[Popolazione2011]]&gt;300000,"MAGGIORE","")</f>
        <v/>
      </c>
      <c r="J2103">
        <v>242</v>
      </c>
      <c r="K2103">
        <v>6681</v>
      </c>
      <c r="L2103">
        <v>1431</v>
      </c>
    </row>
    <row r="2104" spans="1:12" x14ac:dyDescent="0.2">
      <c r="A2104"/>
      <c r="B2104"/>
      <c r="C2104"/>
      <c r="D2104"/>
      <c r="E2104" s="2">
        <f>Comuni__2[[#This Row],[Popolazione2011]]/$D$7911</f>
        <v>5.1646601874891133E-5</v>
      </c>
      <c r="F2104">
        <f>SUMIFS($D$2:$D$7909, $B$2:$B$7909, "Lazio")</f>
        <v>5502886</v>
      </c>
      <c r="G2104" s="1">
        <f>Comuni__2[[#This Row],[Popolazione2011]]/Comuni__2[[#This Row],[POPOLAZIONE TOTALE DI OGNI REGIONE (CON FILTRO)]]</f>
        <v>5.5770735574024244E-4</v>
      </c>
      <c r="H2104" t="str">
        <f>IF(Comuni__2[[#This Row],[Popolazione2011]]&gt;300000,"MAGGIORE","")</f>
        <v/>
      </c>
      <c r="J2104">
        <v>219</v>
      </c>
      <c r="K2104">
        <v>6882</v>
      </c>
      <c r="L2104">
        <v>1438</v>
      </c>
    </row>
    <row r="2105" spans="1:12" x14ac:dyDescent="0.2">
      <c r="A2105"/>
      <c r="B2105"/>
      <c r="C2105"/>
      <c r="D2105"/>
      <c r="E2105" s="2">
        <f>Comuni__2[[#This Row],[Popolazione2011]]/$D$7911</f>
        <v>5.142783164863711E-5</v>
      </c>
      <c r="F2105">
        <f>SUMIFS($D$2:$D$7909, $B$2:$B$7909, "Lazio")</f>
        <v>5502886</v>
      </c>
      <c r="G2105" s="1">
        <f>Comuni__2[[#This Row],[Popolazione2011]]/Comuni__2[[#This Row],[POPOLAZIONE TOTALE DI OGNI REGIONE (CON FILTRO)]]</f>
        <v>5.5534495899060962E-4</v>
      </c>
      <c r="H2105" t="str">
        <f>IF(Comuni__2[[#This Row],[Popolazione2011]]&gt;300000,"MAGGIORE","")</f>
        <v/>
      </c>
      <c r="J2105">
        <v>211</v>
      </c>
      <c r="K2105">
        <v>7015</v>
      </c>
      <c r="L2105">
        <v>1445</v>
      </c>
    </row>
    <row r="2106" spans="1:12" x14ac:dyDescent="0.2">
      <c r="A2106"/>
      <c r="B2106"/>
      <c r="C2106"/>
      <c r="D2106"/>
      <c r="E2106" s="2">
        <f>Comuni__2[[#This Row],[Popolazione2011]]/$D$7911</f>
        <v>5.0552750743621037E-5</v>
      </c>
      <c r="F2106">
        <f>SUMIFS($D$2:$D$7909, $B$2:$B$7909, "Lazio")</f>
        <v>5502886</v>
      </c>
      <c r="G2106" s="1">
        <f>Comuni__2[[#This Row],[Popolazione2011]]/Comuni__2[[#This Row],[POPOLAZIONE TOTALE DI OGNI REGIONE (CON FILTRO)]]</f>
        <v>5.4589537199207833E-4</v>
      </c>
      <c r="H2106" t="str">
        <f>IF(Comuni__2[[#This Row],[Popolazione2011]]&gt;300000,"MAGGIORE","")</f>
        <v/>
      </c>
      <c r="J2106">
        <v>205</v>
      </c>
      <c r="K2106">
        <v>7173</v>
      </c>
      <c r="L2106">
        <v>1452</v>
      </c>
    </row>
    <row r="2107" spans="1:12" x14ac:dyDescent="0.2">
      <c r="A2107"/>
      <c r="B2107"/>
      <c r="C2107"/>
      <c r="D2107"/>
      <c r="E2107" s="2">
        <f>Comuni__2[[#This Row],[Popolazione2011]]/$D$7911</f>
        <v>5.0384465954194869E-5</v>
      </c>
      <c r="F2107">
        <f>SUMIFS($D$2:$D$7909, $B$2:$B$7909, "Lazio")</f>
        <v>5502886</v>
      </c>
      <c r="G2107" s="1">
        <f>Comuni__2[[#This Row],[Popolazione2011]]/Comuni__2[[#This Row],[POPOLAZIONE TOTALE DI OGNI REGIONE (CON FILTRO)]]</f>
        <v>5.4407814372313E-4</v>
      </c>
      <c r="H2107" t="str">
        <f>IF(Comuni__2[[#This Row],[Popolazione2011]]&gt;300000,"MAGGIORE","")</f>
        <v/>
      </c>
      <c r="J2107">
        <v>195</v>
      </c>
      <c r="K2107">
        <v>7411</v>
      </c>
      <c r="L2107">
        <v>1459</v>
      </c>
    </row>
    <row r="2108" spans="1:12" x14ac:dyDescent="0.2">
      <c r="A2108"/>
      <c r="B2108"/>
      <c r="C2108"/>
      <c r="D2108"/>
      <c r="E2108" s="2">
        <f>Comuni__2[[#This Row],[Popolazione2011]]/$D$7911</f>
        <v>5.0367637475252246E-5</v>
      </c>
      <c r="F2108">
        <f>SUMIFS($D$2:$D$7909, $B$2:$B$7909, "Lazio")</f>
        <v>5502886</v>
      </c>
      <c r="G2108" s="1">
        <f>Comuni__2[[#This Row],[Popolazione2011]]/Comuni__2[[#This Row],[POPOLAZIONE TOTALE DI OGNI REGIONE (CON FILTRO)]]</f>
        <v>5.4389642089623517E-4</v>
      </c>
      <c r="H2108" t="str">
        <f>IF(Comuni__2[[#This Row],[Popolazione2011]]&gt;300000,"MAGGIORE","")</f>
        <v/>
      </c>
      <c r="J2108">
        <v>203</v>
      </c>
      <c r="K2108">
        <v>7529</v>
      </c>
      <c r="L2108">
        <v>1465</v>
      </c>
    </row>
    <row r="2109" spans="1:12" x14ac:dyDescent="0.2">
      <c r="A2109"/>
      <c r="B2109"/>
      <c r="C2109"/>
      <c r="D2109"/>
      <c r="E2109" s="2">
        <f>Comuni__2[[#This Row],[Popolazione2011]]/$D$7911</f>
        <v>5.0216181164768695E-5</v>
      </c>
      <c r="F2109">
        <f>SUMIFS($D$2:$D$7909, $B$2:$B$7909, "Lazio")</f>
        <v>5502886</v>
      </c>
      <c r="G2109" s="1">
        <f>Comuni__2[[#This Row],[Popolazione2011]]/Comuni__2[[#This Row],[POPOLAZIONE TOTALE DI OGNI REGIONE (CON FILTRO)]]</f>
        <v>5.4226091545418167E-4</v>
      </c>
      <c r="H2109" t="str">
        <f>IF(Comuni__2[[#This Row],[Popolazione2011]]&gt;300000,"MAGGIORE","")</f>
        <v/>
      </c>
      <c r="J2109">
        <v>198</v>
      </c>
      <c r="K2109">
        <v>7641</v>
      </c>
      <c r="L2109">
        <v>1467</v>
      </c>
    </row>
    <row r="2110" spans="1:12" x14ac:dyDescent="0.2">
      <c r="A2110"/>
      <c r="B2110"/>
      <c r="C2110"/>
      <c r="D2110"/>
      <c r="E2110" s="2">
        <f>Comuni__2[[#This Row],[Popolazione2011]]/$D$7911</f>
        <v>4.9610355922834494E-5</v>
      </c>
      <c r="F2110">
        <f>SUMIFS($D$2:$D$7909, $B$2:$B$7909, "Lazio")</f>
        <v>5502886</v>
      </c>
      <c r="G2110" s="1">
        <f>Comuni__2[[#This Row],[Popolazione2011]]/Comuni__2[[#This Row],[POPOLAZIONE TOTALE DI OGNI REGIONE (CON FILTRO)]]</f>
        <v>5.357188936859677E-4</v>
      </c>
      <c r="H2110" t="str">
        <f>IF(Comuni__2[[#This Row],[Popolazione2011]]&gt;300000,"MAGGIORE","")</f>
        <v/>
      </c>
      <c r="J2110">
        <v>182</v>
      </c>
      <c r="K2110">
        <v>7720</v>
      </c>
      <c r="L2110">
        <v>1468</v>
      </c>
    </row>
    <row r="2111" spans="1:12" x14ac:dyDescent="0.2">
      <c r="A2111"/>
      <c r="B2111"/>
      <c r="C2111"/>
      <c r="D2111"/>
      <c r="E2111" s="2">
        <f>Comuni__2[[#This Row],[Popolazione2011]]/$D$7911</f>
        <v>4.9374757217637854E-5</v>
      </c>
      <c r="F2111">
        <f>SUMIFS($D$2:$D$7909, $B$2:$B$7909, "Lazio")</f>
        <v>5502886</v>
      </c>
      <c r="G2111" s="1">
        <f>Comuni__2[[#This Row],[Popolazione2011]]/Comuni__2[[#This Row],[POPOLAZIONE TOTALE DI OGNI REGIONE (CON FILTRO)]]</f>
        <v>5.3317477410944004E-4</v>
      </c>
      <c r="H2111" t="str">
        <f>IF(Comuni__2[[#This Row],[Popolazione2011]]&gt;300000,"MAGGIORE","")</f>
        <v/>
      </c>
      <c r="J2111">
        <v>175</v>
      </c>
      <c r="K2111">
        <v>7764</v>
      </c>
      <c r="L2111">
        <v>1473</v>
      </c>
    </row>
    <row r="2112" spans="1:12" x14ac:dyDescent="0.2">
      <c r="A2112"/>
      <c r="B2112"/>
      <c r="C2112"/>
      <c r="D2112"/>
      <c r="E2112" s="2">
        <f>Comuni__2[[#This Row],[Popolazione2011]]/$D$7911</f>
        <v>4.9357928738695238E-5</v>
      </c>
      <c r="F2112">
        <f>SUMIFS($D$2:$D$7909, $B$2:$B$7909, "Lazio")</f>
        <v>5502886</v>
      </c>
      <c r="G2112" s="1">
        <f>Comuni__2[[#This Row],[Popolazione2011]]/Comuni__2[[#This Row],[POPOLAZIONE TOTALE DI OGNI REGIONE (CON FILTRO)]]</f>
        <v>5.3299305128254521E-4</v>
      </c>
      <c r="H2112" t="str">
        <f>IF(Comuni__2[[#This Row],[Popolazione2011]]&gt;300000,"MAGGIORE","")</f>
        <v/>
      </c>
      <c r="J2112">
        <v>155</v>
      </c>
      <c r="K2112">
        <v>7899</v>
      </c>
      <c r="L2112">
        <v>1479</v>
      </c>
    </row>
    <row r="2113" spans="1:12" x14ac:dyDescent="0.2">
      <c r="A2113"/>
      <c r="B2113"/>
      <c r="C2113"/>
      <c r="D2113"/>
      <c r="E2113" s="2">
        <f>Comuni__2[[#This Row],[Popolazione2011]]/$D$7911</f>
        <v>4.8853074370416734E-5</v>
      </c>
      <c r="F2113">
        <f>SUMIFS($D$2:$D$7909, $B$2:$B$7909, "Lazio")</f>
        <v>5502886</v>
      </c>
      <c r="G2113" s="1">
        <f>Comuni__2[[#This Row],[Popolazione2011]]/Comuni__2[[#This Row],[POPOLAZIONE TOTALE DI OGNI REGIONE (CON FILTRO)]]</f>
        <v>5.2754136647570023E-4</v>
      </c>
      <c r="H2113" t="str">
        <f>IF(Comuni__2[[#This Row],[Popolazione2011]]&gt;300000,"MAGGIORE","")</f>
        <v/>
      </c>
      <c r="J2113">
        <v>148</v>
      </c>
      <c r="K2113">
        <v>8056</v>
      </c>
      <c r="L2113">
        <v>1486</v>
      </c>
    </row>
    <row r="2114" spans="1:12" x14ac:dyDescent="0.2">
      <c r="A2114"/>
      <c r="B2114"/>
      <c r="C2114"/>
      <c r="D2114"/>
      <c r="E2114" s="2">
        <f>Comuni__2[[#This Row],[Popolazione2011]]/$D$7911</f>
        <v>4.8718446538875798E-5</v>
      </c>
      <c r="F2114">
        <f>SUMIFS($D$2:$D$7909, $B$2:$B$7909, "Lazio")</f>
        <v>5502886</v>
      </c>
      <c r="G2114" s="1">
        <f>Comuni__2[[#This Row],[Popolazione2011]]/Comuni__2[[#This Row],[POPOLAZIONE TOTALE DI OGNI REGIONE (CON FILTRO)]]</f>
        <v>5.2608758386054157E-4</v>
      </c>
      <c r="H2114" t="str">
        <f>IF(Comuni__2[[#This Row],[Popolazione2011]]&gt;300000,"MAGGIORE","")</f>
        <v/>
      </c>
      <c r="J2114">
        <v>140</v>
      </c>
      <c r="K2114">
        <v>8062</v>
      </c>
      <c r="L2114">
        <v>1492</v>
      </c>
    </row>
    <row r="2115" spans="1:12" x14ac:dyDescent="0.2">
      <c r="A2115"/>
      <c r="B2115"/>
      <c r="C2115"/>
      <c r="D2115"/>
      <c r="E2115" s="2">
        <f>Comuni__2[[#This Row],[Popolazione2011]]/$D$7911</f>
        <v>4.8247249128482527E-5</v>
      </c>
      <c r="F2115">
        <f>SUMIFS($D$2:$D$7909, $B$2:$B$7909, "Lazio")</f>
        <v>5502886</v>
      </c>
      <c r="G2115" s="1">
        <f>Comuni__2[[#This Row],[Popolazione2011]]/Comuni__2[[#This Row],[POPOLAZIONE TOTALE DI OGNI REGIONE (CON FILTRO)]]</f>
        <v>5.2099934470748626E-4</v>
      </c>
      <c r="H2115" t="str">
        <f>IF(Comuni__2[[#This Row],[Popolazione2011]]&gt;300000,"MAGGIORE","")</f>
        <v/>
      </c>
      <c r="J2115">
        <v>132</v>
      </c>
      <c r="K2115">
        <v>8070</v>
      </c>
      <c r="L2115">
        <v>1499</v>
      </c>
    </row>
    <row r="2116" spans="1:12" x14ac:dyDescent="0.2">
      <c r="A2116"/>
      <c r="B2116"/>
      <c r="C2116"/>
      <c r="D2116"/>
      <c r="E2116" s="2">
        <f>Comuni__2[[#This Row],[Popolazione2011]]/$D$7911</f>
        <v>4.7994821944343271E-5</v>
      </c>
      <c r="F2116">
        <f>SUMIFS($D$2:$D$7909, $B$2:$B$7909, "Lazio")</f>
        <v>5502886</v>
      </c>
      <c r="G2116" s="1">
        <f>Comuni__2[[#This Row],[Popolazione2011]]/Comuni__2[[#This Row],[POPOLAZIONE TOTALE DI OGNI REGIONE (CON FILTRO)]]</f>
        <v>5.1827350230406377E-4</v>
      </c>
      <c r="H2116" t="str">
        <f>IF(Comuni__2[[#This Row],[Popolazione2011]]&gt;300000,"MAGGIORE","")</f>
        <v/>
      </c>
      <c r="J2116">
        <v>130</v>
      </c>
      <c r="K2116">
        <v>8073</v>
      </c>
      <c r="L2116">
        <v>1505</v>
      </c>
    </row>
    <row r="2117" spans="1:12" x14ac:dyDescent="0.2">
      <c r="A2117"/>
      <c r="B2117"/>
      <c r="C2117"/>
      <c r="D2117"/>
      <c r="E2117" s="2">
        <f>Comuni__2[[#This Row],[Popolazione2011]]/$D$7911</f>
        <v>4.7237540391925512E-5</v>
      </c>
      <c r="F2117">
        <f>SUMIFS($D$2:$D$7909, $B$2:$B$7909, "Lazio")</f>
        <v>5502886</v>
      </c>
      <c r="G2117" s="1">
        <f>Comuni__2[[#This Row],[Popolazione2011]]/Comuni__2[[#This Row],[POPOLAZIONE TOTALE DI OGNI REGIONE (CON FILTRO)]]</f>
        <v>5.1009597509379619E-4</v>
      </c>
      <c r="H2117" t="str">
        <f>IF(Comuni__2[[#This Row],[Popolazione2011]]&gt;300000,"MAGGIORE","")</f>
        <v/>
      </c>
      <c r="J2117">
        <v>124</v>
      </c>
      <c r="K2117">
        <v>8076</v>
      </c>
      <c r="L2117">
        <v>1509</v>
      </c>
    </row>
    <row r="2118" spans="1:12" x14ac:dyDescent="0.2">
      <c r="A2118"/>
      <c r="B2118"/>
      <c r="C2118"/>
      <c r="D2118"/>
      <c r="E2118" s="2">
        <f>Comuni__2[[#This Row],[Popolazione2011]]/$D$7911</f>
        <v>4.7119741039327199E-5</v>
      </c>
      <c r="F2118">
        <f>SUMIFS($D$2:$D$7909, $B$2:$B$7909, "Lazio")</f>
        <v>5502886</v>
      </c>
      <c r="G2118" s="1">
        <f>Comuni__2[[#This Row],[Popolazione2011]]/Comuni__2[[#This Row],[POPOLAZIONE TOTALE DI OGNI REGIONE (CON FILTRO)]]</f>
        <v>5.0882391530553237E-4</v>
      </c>
      <c r="H2118" t="str">
        <f>IF(Comuni__2[[#This Row],[Popolazione2011]]&gt;300000,"MAGGIORE","")</f>
        <v/>
      </c>
      <c r="J2118">
        <v>113</v>
      </c>
      <c r="K2118">
        <v>8096</v>
      </c>
      <c r="L2118">
        <v>1513</v>
      </c>
    </row>
    <row r="2119" spans="1:12" x14ac:dyDescent="0.2">
      <c r="A2119"/>
      <c r="B2119"/>
      <c r="C2119"/>
      <c r="D2119"/>
      <c r="E2119" s="2">
        <f>Comuni__2[[#This Row],[Popolazione2011]]/$D$7911</f>
        <v>4.708608408144196E-5</v>
      </c>
      <c r="F2119">
        <f>SUMIFS($D$2:$D$7909, $B$2:$B$7909, "Lazio")</f>
        <v>5502886</v>
      </c>
      <c r="G2119" s="1">
        <f>Comuni__2[[#This Row],[Popolazione2011]]/Comuni__2[[#This Row],[POPOLAZIONE TOTALE DI OGNI REGIONE (CON FILTRO)]]</f>
        <v>5.084604696517427E-4</v>
      </c>
      <c r="H2119" t="str">
        <f>IF(Comuni__2[[#This Row],[Popolazione2011]]&gt;300000,"MAGGIORE","")</f>
        <v/>
      </c>
      <c r="J2119">
        <v>110</v>
      </c>
      <c r="K2119">
        <v>8100</v>
      </c>
      <c r="L2119">
        <v>1514</v>
      </c>
    </row>
    <row r="2120" spans="1:12" x14ac:dyDescent="0.2">
      <c r="A2120"/>
      <c r="B2120"/>
      <c r="C2120"/>
      <c r="D2120"/>
      <c r="E2120" s="2">
        <f>Comuni__2[[#This Row],[Popolazione2011]]/$D$7911</f>
        <v>4.7035598644614111E-5</v>
      </c>
      <c r="F2120">
        <f>SUMIFS($D$2:$D$7909, $B$2:$B$7909, "Lazio")</f>
        <v>5502886</v>
      </c>
      <c r="G2120" s="1">
        <f>Comuni__2[[#This Row],[Popolazione2011]]/Comuni__2[[#This Row],[POPOLAZIONE TOTALE DI OGNI REGIONE (CON FILTRO)]]</f>
        <v>5.079153011710582E-4</v>
      </c>
      <c r="H2120" t="str">
        <f>IF(Comuni__2[[#This Row],[Popolazione2011]]&gt;300000,"MAGGIORE","")</f>
        <v/>
      </c>
      <c r="J2120">
        <v>106</v>
      </c>
      <c r="K2120">
        <v>8106</v>
      </c>
      <c r="L2120">
        <v>1516</v>
      </c>
    </row>
    <row r="2121" spans="1:12" x14ac:dyDescent="0.2">
      <c r="A2121"/>
      <c r="B2121"/>
      <c r="C2121"/>
      <c r="D2121"/>
      <c r="E2121" s="2">
        <f>Comuni__2[[#This Row],[Popolazione2011]]/$D$7911</f>
        <v>4.5874433597573551E-5</v>
      </c>
      <c r="F2121">
        <f>SUMIFS($D$2:$D$7909, $B$2:$B$7909, "Lazio")</f>
        <v>5502886</v>
      </c>
      <c r="G2121" s="1">
        <f>Comuni__2[[#This Row],[Popolazione2011]]/Comuni__2[[#This Row],[POPOLAZIONE TOTALE DI OGNI REGIONE (CON FILTRO)]]</f>
        <v>4.9537642611531475E-4</v>
      </c>
      <c r="H2121" t="str">
        <f>IF(Comuni__2[[#This Row],[Popolazione2011]]&gt;300000,"MAGGIORE","")</f>
        <v/>
      </c>
      <c r="J2121">
        <v>94</v>
      </c>
      <c r="K2121">
        <v>8113</v>
      </c>
      <c r="L2121">
        <v>1518</v>
      </c>
    </row>
    <row r="2122" spans="1:12" x14ac:dyDescent="0.2">
      <c r="A2122"/>
      <c r="B2122"/>
      <c r="C2122"/>
      <c r="D2122"/>
      <c r="E2122" s="2">
        <f>Comuni__2[[#This Row],[Popolazione2011]]/$D$7911</f>
        <v>4.5504207060835976E-5</v>
      </c>
      <c r="F2122">
        <f>SUMIFS($D$2:$D$7909, $B$2:$B$7909, "Lazio")</f>
        <v>5502886</v>
      </c>
      <c r="G2122" s="1">
        <f>Comuni__2[[#This Row],[Popolazione2011]]/Comuni__2[[#This Row],[POPOLAZIONE TOTALE DI OGNI REGIONE (CON FILTRO)]]</f>
        <v>4.9137852392362844E-4</v>
      </c>
      <c r="H2122" t="str">
        <f>IF(Comuni__2[[#This Row],[Popolazione2011]]&gt;300000,"MAGGIORE","")</f>
        <v/>
      </c>
      <c r="J2122">
        <v>88</v>
      </c>
      <c r="K2122">
        <v>8115</v>
      </c>
      <c r="L2122">
        <v>1521</v>
      </c>
    </row>
    <row r="2123" spans="1:12" x14ac:dyDescent="0.2">
      <c r="A2123"/>
      <c r="B2123"/>
      <c r="C2123"/>
      <c r="D2123"/>
      <c r="E2123" s="2">
        <f>Comuni__2[[#This Row],[Popolazione2011]]/$D$7911</f>
        <v>4.5150809003041024E-5</v>
      </c>
      <c r="F2123">
        <f>SUMIFS($D$2:$D$7909, $B$2:$B$7909, "Lazio")</f>
        <v>5502886</v>
      </c>
      <c r="G2123" s="1">
        <f>Comuni__2[[#This Row],[Popolazione2011]]/Comuni__2[[#This Row],[POPOLAZIONE TOTALE DI OGNI REGIONE (CON FILTRO)]]</f>
        <v>4.8756234455883695E-4</v>
      </c>
      <c r="H2123" t="str">
        <f>IF(Comuni__2[[#This Row],[Popolazione2011]]&gt;300000,"MAGGIORE","")</f>
        <v/>
      </c>
      <c r="J2123">
        <v>89</v>
      </c>
      <c r="K2123">
        <v>8116</v>
      </c>
      <c r="L2123">
        <v>1525</v>
      </c>
    </row>
    <row r="2124" spans="1:12" x14ac:dyDescent="0.2">
      <c r="A2124"/>
      <c r="B2124"/>
      <c r="C2124"/>
      <c r="D2124"/>
      <c r="E2124" s="2">
        <f>Comuni__2[[#This Row],[Popolazione2011]]/$D$7911</f>
        <v>4.5083495087270559E-5</v>
      </c>
      <c r="F2124">
        <f>SUMIFS($D$2:$D$7909, $B$2:$B$7909, "Lazio")</f>
        <v>5502886</v>
      </c>
      <c r="G2124" s="1">
        <f>Comuni__2[[#This Row],[Popolazione2011]]/Comuni__2[[#This Row],[POPOLAZIONE TOTALE DI OGNI REGIONE (CON FILTRO)]]</f>
        <v>4.8683545325125762E-4</v>
      </c>
      <c r="H2124" t="str">
        <f>IF(Comuni__2[[#This Row],[Popolazione2011]]&gt;300000,"MAGGIORE","")</f>
        <v/>
      </c>
      <c r="J2124">
        <v>78</v>
      </c>
      <c r="K2124">
        <v>8120</v>
      </c>
      <c r="L2124">
        <v>1529</v>
      </c>
    </row>
    <row r="2125" spans="1:12" x14ac:dyDescent="0.2">
      <c r="A2125"/>
      <c r="B2125"/>
      <c r="C2125"/>
      <c r="D2125"/>
      <c r="E2125" s="2">
        <f>Comuni__2[[#This Row],[Popolazione2011]]/$D$7911</f>
        <v>4.4595469197934665E-5</v>
      </c>
      <c r="F2125">
        <f>SUMIFS($D$2:$D$7909, $B$2:$B$7909, "Lazio")</f>
        <v>5502886</v>
      </c>
      <c r="G2125" s="1">
        <f>Comuni__2[[#This Row],[Popolazione2011]]/Comuni__2[[#This Row],[POPOLAZIONE TOTALE DI OGNI REGIONE (CON FILTRO)]]</f>
        <v>4.8156549127130748E-4</v>
      </c>
      <c r="H2125" t="str">
        <f>IF(Comuni__2[[#This Row],[Popolazione2011]]&gt;300000,"MAGGIORE","")</f>
        <v/>
      </c>
      <c r="J2125">
        <v>75</v>
      </c>
      <c r="K2125">
        <v>8120</v>
      </c>
      <c r="L2125">
        <v>1532</v>
      </c>
    </row>
    <row r="2126" spans="1:12" x14ac:dyDescent="0.2">
      <c r="A2126"/>
      <c r="B2126"/>
      <c r="C2126"/>
      <c r="D2126"/>
      <c r="E2126" s="2">
        <f>Comuni__2[[#This Row],[Popolazione2011]]/$D$7911</f>
        <v>4.45281552821642E-5</v>
      </c>
      <c r="F2126">
        <f>SUMIFS($D$2:$D$7909, $B$2:$B$7909, "Lazio")</f>
        <v>5502886</v>
      </c>
      <c r="G2126" s="1">
        <f>Comuni__2[[#This Row],[Popolazione2011]]/Comuni__2[[#This Row],[POPOLAZIONE TOTALE DI OGNI REGIONE (CON FILTRO)]]</f>
        <v>4.8083859996372815E-4</v>
      </c>
      <c r="H2126" t="str">
        <f>IF(Comuni__2[[#This Row],[Popolazione2011]]&gt;300000,"MAGGIORE","")</f>
        <v/>
      </c>
      <c r="J2126">
        <v>72</v>
      </c>
      <c r="K2126">
        <v>8121</v>
      </c>
      <c r="L2126">
        <v>1536</v>
      </c>
    </row>
    <row r="2127" spans="1:12" x14ac:dyDescent="0.2">
      <c r="A2127"/>
      <c r="B2127"/>
      <c r="C2127"/>
      <c r="D2127"/>
      <c r="E2127" s="2">
        <f>Comuni__2[[#This Row],[Popolazione2011]]/$D$7911</f>
        <v>4.441035592956588E-5</v>
      </c>
      <c r="F2127">
        <f>SUMIFS($D$2:$D$7909, $B$2:$B$7909, "Lazio")</f>
        <v>5502886</v>
      </c>
      <c r="G2127" s="1">
        <f>Comuni__2[[#This Row],[Popolazione2011]]/Comuni__2[[#This Row],[POPOLAZIONE TOTALE DI OGNI REGIONE (CON FILTRO)]]</f>
        <v>4.7956654017546432E-4</v>
      </c>
      <c r="H2127" t="str">
        <f>IF(Comuni__2[[#This Row],[Popolazione2011]]&gt;300000,"MAGGIORE","")</f>
        <v/>
      </c>
      <c r="J2127">
        <v>69</v>
      </c>
      <c r="K2127">
        <v>8121</v>
      </c>
      <c r="L2127">
        <v>1540</v>
      </c>
    </row>
    <row r="2128" spans="1:12" x14ac:dyDescent="0.2">
      <c r="A2128"/>
      <c r="B2128"/>
      <c r="C2128"/>
      <c r="D2128"/>
      <c r="E2128" s="2">
        <f>Comuni__2[[#This Row],[Popolazione2011]]/$D$7911</f>
        <v>4.4141100266484016E-5</v>
      </c>
      <c r="F2128">
        <f>SUMIFS($D$2:$D$7909, $B$2:$B$7909, "Lazio")</f>
        <v>5502886</v>
      </c>
      <c r="G2128" s="1">
        <f>Comuni__2[[#This Row],[Popolazione2011]]/Comuni__2[[#This Row],[POPOLAZIONE TOTALE DI OGNI REGIONE (CON FILTRO)]]</f>
        <v>4.7665897494514694E-4</v>
      </c>
      <c r="H2128" t="str">
        <f>IF(Comuni__2[[#This Row],[Popolazione2011]]&gt;300000,"MAGGIORE","")</f>
        <v/>
      </c>
      <c r="J2128">
        <v>64</v>
      </c>
      <c r="K2128">
        <v>8125</v>
      </c>
      <c r="L2128">
        <v>1545</v>
      </c>
    </row>
    <row r="2129" spans="1:12" x14ac:dyDescent="0.2">
      <c r="A2129"/>
      <c r="B2129"/>
      <c r="C2129"/>
      <c r="D2129"/>
      <c r="E2129" s="2">
        <f>Comuni__2[[#This Row],[Popolazione2011]]/$D$7911</f>
        <v>4.3972815477057841E-5</v>
      </c>
      <c r="F2129">
        <f>SUMIFS($D$2:$D$7909, $B$2:$B$7909, "Lazio")</f>
        <v>5502886</v>
      </c>
      <c r="G2129" s="1">
        <f>Comuni__2[[#This Row],[Popolazione2011]]/Comuni__2[[#This Row],[POPOLAZIONE TOTALE DI OGNI REGIONE (CON FILTRO)]]</f>
        <v>4.7484174667619862E-4</v>
      </c>
      <c r="H2129" t="str">
        <f>IF(Comuni__2[[#This Row],[Popolazione2011]]&gt;300000,"MAGGIORE","")</f>
        <v/>
      </c>
      <c r="J2129">
        <v>61</v>
      </c>
      <c r="K2129">
        <v>8130</v>
      </c>
      <c r="L2129">
        <v>1549</v>
      </c>
    </row>
    <row r="2130" spans="1:12" x14ac:dyDescent="0.2">
      <c r="A2130"/>
      <c r="B2130"/>
      <c r="C2130"/>
      <c r="D2130"/>
      <c r="E2130" s="2">
        <f>Comuni__2[[#This Row],[Popolazione2011]]/$D$7911</f>
        <v>4.304724913521392E-5</v>
      </c>
      <c r="F2130">
        <f>SUMIFS($D$2:$D$7909, $B$2:$B$7909, "Lazio")</f>
        <v>5502886</v>
      </c>
      <c r="G2130" s="1">
        <f>Comuni__2[[#This Row],[Popolazione2011]]/Comuni__2[[#This Row],[POPOLAZIONE TOTALE DI OGNI REGIONE (CON FILTRO)]]</f>
        <v>4.6484699119698282E-4</v>
      </c>
      <c r="H2130" t="str">
        <f>IF(Comuni__2[[#This Row],[Popolazione2011]]&gt;300000,"MAGGIORE","")</f>
        <v/>
      </c>
      <c r="J2130">
        <v>59</v>
      </c>
      <c r="K2130">
        <v>8133</v>
      </c>
      <c r="L2130">
        <v>1552</v>
      </c>
    </row>
    <row r="2131" spans="1:12" x14ac:dyDescent="0.2">
      <c r="A2131"/>
      <c r="B2131"/>
      <c r="C2131"/>
      <c r="D2131"/>
      <c r="E2131" s="2">
        <f>Comuni__2[[#This Row],[Popolazione2011]]/$D$7911</f>
        <v>4.304724913521392E-5</v>
      </c>
      <c r="F2131">
        <f>SUMIFS($D$2:$D$7909, $B$2:$B$7909, "Lazio")</f>
        <v>5502886</v>
      </c>
      <c r="G2131" s="1">
        <f>Comuni__2[[#This Row],[Popolazione2011]]/Comuni__2[[#This Row],[POPOLAZIONE TOTALE DI OGNI REGIONE (CON FILTRO)]]</f>
        <v>4.6484699119698282E-4</v>
      </c>
      <c r="H2131" t="str">
        <f>IF(Comuni__2[[#This Row],[Popolazione2011]]&gt;300000,"MAGGIORE","")</f>
        <v/>
      </c>
      <c r="J2131">
        <v>62</v>
      </c>
      <c r="K2131">
        <v>8131</v>
      </c>
      <c r="L2131">
        <v>1553</v>
      </c>
    </row>
    <row r="2132" spans="1:12" x14ac:dyDescent="0.2">
      <c r="A2132"/>
      <c r="B2132"/>
      <c r="C2132"/>
      <c r="D2132"/>
      <c r="E2132" s="2">
        <f>Comuni__2[[#This Row],[Popolazione2011]]/$D$7911</f>
        <v>4.2088025835484753E-5</v>
      </c>
      <c r="F2132">
        <f>SUMIFS($D$2:$D$7909, $B$2:$B$7909, "Lazio")</f>
        <v>5502886</v>
      </c>
      <c r="G2132" s="1">
        <f>Comuni__2[[#This Row],[Popolazione2011]]/Comuni__2[[#This Row],[POPOLAZIONE TOTALE DI OGNI REGIONE (CON FILTRO)]]</f>
        <v>4.5448879006397736E-4</v>
      </c>
      <c r="H2132" t="str">
        <f>IF(Comuni__2[[#This Row],[Popolazione2011]]&gt;300000,"MAGGIORE","")</f>
        <v/>
      </c>
      <c r="J2132">
        <v>60</v>
      </c>
      <c r="K2132">
        <v>8124</v>
      </c>
      <c r="L2132">
        <v>1555</v>
      </c>
    </row>
    <row r="2133" spans="1:12" x14ac:dyDescent="0.2">
      <c r="A2133"/>
      <c r="B2133"/>
      <c r="C2133"/>
      <c r="D2133"/>
      <c r="E2133" s="2">
        <f>Comuni__2[[#This Row],[Popolazione2011]]/$D$7911</f>
        <v>4.1734627777689801E-5</v>
      </c>
      <c r="F2133">
        <f>SUMIFS($D$2:$D$7909, $B$2:$B$7909, "Lazio")</f>
        <v>5502886</v>
      </c>
      <c r="G2133" s="1">
        <f>Comuni__2[[#This Row],[Popolazione2011]]/Comuni__2[[#This Row],[POPOLAZIONE TOTALE DI OGNI REGIONE (CON FILTRO)]]</f>
        <v>4.5067261069918583E-4</v>
      </c>
      <c r="H2133" t="str">
        <f>IF(Comuni__2[[#This Row],[Popolazione2011]]&gt;300000,"MAGGIORE","")</f>
        <v/>
      </c>
      <c r="J2133">
        <v>57</v>
      </c>
      <c r="K2133">
        <v>8139</v>
      </c>
      <c r="L2133">
        <v>1556</v>
      </c>
    </row>
    <row r="2134" spans="1:12" x14ac:dyDescent="0.2">
      <c r="A2134"/>
      <c r="B2134"/>
      <c r="C2134"/>
      <c r="D2134"/>
      <c r="E2134" s="2">
        <f>Comuni__2[[#This Row],[Popolazione2011]]/$D$7911</f>
        <v>4.1330744283067001E-5</v>
      </c>
      <c r="F2134">
        <f>SUMIFS($D$2:$D$7909, $B$2:$B$7909, "Lazio")</f>
        <v>5502886</v>
      </c>
      <c r="G2134" s="1">
        <f>Comuni__2[[#This Row],[Popolazione2011]]/Comuni__2[[#This Row],[POPOLAZIONE TOTALE DI OGNI REGIONE (CON FILTRO)]]</f>
        <v>4.4631126285370984E-4</v>
      </c>
      <c r="H2134" t="str">
        <f>IF(Comuni__2[[#This Row],[Popolazione2011]]&gt;300000,"MAGGIORE","")</f>
        <v/>
      </c>
      <c r="J2134">
        <v>57</v>
      </c>
      <c r="K2134">
        <v>8138</v>
      </c>
      <c r="L2134">
        <v>1556</v>
      </c>
    </row>
    <row r="2135" spans="1:12" x14ac:dyDescent="0.2">
      <c r="A2135"/>
      <c r="B2135"/>
      <c r="C2135"/>
      <c r="D2135"/>
      <c r="E2135" s="2">
        <f>Comuni__2[[#This Row],[Popolazione2011]]/$D$7911</f>
        <v>4.0943689267386809E-5</v>
      </c>
      <c r="F2135">
        <f>SUMIFS($D$2:$D$7909, $B$2:$B$7909, "Lazio")</f>
        <v>5502886</v>
      </c>
      <c r="G2135" s="1">
        <f>Comuni__2[[#This Row],[Popolazione2011]]/Comuni__2[[#This Row],[POPOLAZIONE TOTALE DI OGNI REGIONE (CON FILTRO)]]</f>
        <v>4.4213163783512869E-4</v>
      </c>
      <c r="H2135" t="str">
        <f>IF(Comuni__2[[#This Row],[Popolazione2011]]&gt;300000,"MAGGIORE","")</f>
        <v/>
      </c>
      <c r="J2135">
        <v>52</v>
      </c>
      <c r="K2135">
        <v>8138</v>
      </c>
      <c r="L2135">
        <v>1557</v>
      </c>
    </row>
    <row r="2136" spans="1:12" x14ac:dyDescent="0.2">
      <c r="A2136"/>
      <c r="B2136"/>
      <c r="C2136"/>
      <c r="D2136"/>
      <c r="E2136" s="2">
        <f>Comuni__2[[#This Row],[Popolazione2011]]/$D$7911</f>
        <v>4.0135922278141202E-5</v>
      </c>
      <c r="F2136">
        <f>SUMIFS($D$2:$D$7909, $B$2:$B$7909, "Lazio")</f>
        <v>5502886</v>
      </c>
      <c r="G2136" s="1">
        <f>Comuni__2[[#This Row],[Popolazione2011]]/Comuni__2[[#This Row],[POPOLAZIONE TOTALE DI OGNI REGIONE (CON FILTRO)]]</f>
        <v>4.3340894214417673E-4</v>
      </c>
      <c r="H2136" t="str">
        <f>IF(Comuni__2[[#This Row],[Popolazione2011]]&gt;300000,"MAGGIORE","")</f>
        <v/>
      </c>
      <c r="J2136">
        <v>51</v>
      </c>
      <c r="K2136">
        <v>8137</v>
      </c>
      <c r="L2136">
        <v>1558</v>
      </c>
    </row>
    <row r="2137" spans="1:12" x14ac:dyDescent="0.2">
      <c r="A2137"/>
      <c r="B2137"/>
      <c r="C2137"/>
      <c r="D2137"/>
      <c r="E2137" s="2">
        <f>Comuni__2[[#This Row],[Popolazione2011]]/$D$7911</f>
        <v>4.0034951404485498E-5</v>
      </c>
      <c r="F2137">
        <f>SUMIFS($D$2:$D$7909, $B$2:$B$7909, "Lazio")</f>
        <v>5502886</v>
      </c>
      <c r="G2137" s="1">
        <f>Comuni__2[[#This Row],[Popolazione2011]]/Comuni__2[[#This Row],[POPOLAZIONE TOTALE DI OGNI REGIONE (CON FILTRO)]]</f>
        <v>4.3231860518280773E-4</v>
      </c>
      <c r="H2137" t="str">
        <f>IF(Comuni__2[[#This Row],[Popolazione2011]]&gt;300000,"MAGGIORE","")</f>
        <v/>
      </c>
      <c r="J2137">
        <v>50</v>
      </c>
      <c r="K2137">
        <v>8139</v>
      </c>
      <c r="L2137">
        <v>1558</v>
      </c>
    </row>
    <row r="2138" spans="1:12" x14ac:dyDescent="0.2">
      <c r="A2138"/>
      <c r="B2138"/>
      <c r="C2138"/>
      <c r="D2138"/>
      <c r="E2138" s="2">
        <f>Comuni__2[[#This Row],[Popolazione2011]]/$D$7911</f>
        <v>4.0001294446600266E-5</v>
      </c>
      <c r="F2138">
        <f>SUMIFS($D$2:$D$7909, $B$2:$B$7909, "Lazio")</f>
        <v>5502886</v>
      </c>
      <c r="G2138" s="1">
        <f>Comuni__2[[#This Row],[Popolazione2011]]/Comuni__2[[#This Row],[POPOLAZIONE TOTALE DI OGNI REGIONE (CON FILTRO)]]</f>
        <v>4.3195515952901807E-4</v>
      </c>
      <c r="H2138" t="str">
        <f>IF(Comuni__2[[#This Row],[Popolazione2011]]&gt;300000,"MAGGIORE","")</f>
        <v/>
      </c>
      <c r="J2138">
        <v>49</v>
      </c>
      <c r="K2138">
        <v>8139</v>
      </c>
      <c r="L2138">
        <v>1558</v>
      </c>
    </row>
    <row r="2139" spans="1:12" x14ac:dyDescent="0.2">
      <c r="A2139"/>
      <c r="B2139"/>
      <c r="C2139"/>
      <c r="D2139"/>
      <c r="E2139" s="2">
        <f>Comuni__2[[#This Row],[Popolazione2011]]/$D$7911</f>
        <v>3.942912616255129E-5</v>
      </c>
      <c r="F2139">
        <f>SUMIFS($D$2:$D$7909, $B$2:$B$7909, "Lazio")</f>
        <v>5502886</v>
      </c>
      <c r="G2139" s="1">
        <f>Comuni__2[[#This Row],[Popolazione2011]]/Comuni__2[[#This Row],[POPOLAZIONE TOTALE DI OGNI REGIONE (CON FILTRO)]]</f>
        <v>4.2577658341459371E-4</v>
      </c>
      <c r="H2139" t="str">
        <f>IF(Comuni__2[[#This Row],[Popolazione2011]]&gt;300000,"MAGGIORE","")</f>
        <v/>
      </c>
      <c r="J2139">
        <v>45</v>
      </c>
      <c r="K2139">
        <v>8144</v>
      </c>
      <c r="L2139">
        <v>1558</v>
      </c>
    </row>
    <row r="2140" spans="1:12" x14ac:dyDescent="0.2">
      <c r="A2140"/>
      <c r="B2140"/>
      <c r="C2140"/>
      <c r="D2140"/>
      <c r="E2140" s="2">
        <f>Comuni__2[[#This Row],[Popolazione2011]]/$D$7911</f>
        <v>3.902524266792849E-5</v>
      </c>
      <c r="F2140">
        <f>SUMIFS($D$2:$D$7909, $B$2:$B$7909, "Lazio")</f>
        <v>5502886</v>
      </c>
      <c r="G2140" s="1">
        <f>Comuni__2[[#This Row],[Popolazione2011]]/Comuni__2[[#This Row],[POPOLAZIONE TOTALE DI OGNI REGIONE (CON FILTRO)]]</f>
        <v>4.2141523556911772E-4</v>
      </c>
      <c r="H2140" t="str">
        <f>IF(Comuni__2[[#This Row],[Popolazione2011]]&gt;300000,"MAGGIORE","")</f>
        <v/>
      </c>
      <c r="J2140">
        <v>44</v>
      </c>
      <c r="K2140">
        <v>8145</v>
      </c>
      <c r="L2140">
        <v>1558</v>
      </c>
    </row>
    <row r="2141" spans="1:12" x14ac:dyDescent="0.2">
      <c r="A2141"/>
      <c r="B2141"/>
      <c r="C2141"/>
      <c r="D2141"/>
      <c r="E2141" s="2">
        <f>Comuni__2[[#This Row],[Popolazione2011]]/$D$7911</f>
        <v>3.8671844610133538E-5</v>
      </c>
      <c r="F2141">
        <f>SUMIFS($D$2:$D$7909, $B$2:$B$7909, "Lazio")</f>
        <v>5502886</v>
      </c>
      <c r="G2141" s="1">
        <f>Comuni__2[[#This Row],[Popolazione2011]]/Comuni__2[[#This Row],[POPOLAZIONE TOTALE DI OGNI REGIONE (CON FILTRO)]]</f>
        <v>4.1759905620432624E-4</v>
      </c>
      <c r="H2141" t="str">
        <f>IF(Comuni__2[[#This Row],[Popolazione2011]]&gt;300000,"MAGGIORE","")</f>
        <v/>
      </c>
      <c r="J2141">
        <v>43</v>
      </c>
      <c r="K2141">
        <v>8146</v>
      </c>
      <c r="L2141">
        <v>1558</v>
      </c>
    </row>
    <row r="2142" spans="1:12" x14ac:dyDescent="0.2">
      <c r="A2142"/>
      <c r="B2142"/>
      <c r="C2142"/>
      <c r="D2142"/>
      <c r="E2142" s="2">
        <f>Comuni__2[[#This Row],[Popolazione2011]]/$D$7911</f>
        <v>3.7965048494543626E-5</v>
      </c>
      <c r="F2142">
        <f>SUMIFS($D$2:$D$7909, $B$2:$B$7909, "Lazio")</f>
        <v>5502886</v>
      </c>
      <c r="G2142" s="1">
        <f>Comuni__2[[#This Row],[Popolazione2011]]/Comuni__2[[#This Row],[POPOLAZIONE TOTALE DI OGNI REGIONE (CON FILTRO)]]</f>
        <v>4.0996669747474327E-4</v>
      </c>
      <c r="H2142" t="str">
        <f>IF(Comuni__2[[#This Row],[Popolazione2011]]&gt;300000,"MAGGIORE","")</f>
        <v/>
      </c>
      <c r="J2142">
        <v>41</v>
      </c>
      <c r="K2142">
        <v>8150</v>
      </c>
      <c r="L2142">
        <v>1558</v>
      </c>
    </row>
    <row r="2143" spans="1:12" x14ac:dyDescent="0.2">
      <c r="A2143"/>
      <c r="B2143"/>
      <c r="C2143"/>
      <c r="D2143"/>
      <c r="E2143" s="2">
        <f>Comuni__2[[#This Row],[Popolazione2011]]/$D$7911</f>
        <v>3.7712621310404371E-5</v>
      </c>
      <c r="F2143">
        <f>SUMIFS($D$2:$D$7909, $B$2:$B$7909, "Lazio")</f>
        <v>5502886</v>
      </c>
      <c r="G2143" s="1">
        <f>Comuni__2[[#This Row],[Popolazione2011]]/Comuni__2[[#This Row],[POPOLAZIONE TOTALE DI OGNI REGIONE (CON FILTRO)]]</f>
        <v>4.0724085507132078E-4</v>
      </c>
      <c r="H2143" t="str">
        <f>IF(Comuni__2[[#This Row],[Popolazione2011]]&gt;300000,"MAGGIORE","")</f>
        <v/>
      </c>
      <c r="J2143">
        <v>46</v>
      </c>
      <c r="K2143">
        <v>8152</v>
      </c>
      <c r="L2143">
        <v>1558</v>
      </c>
    </row>
    <row r="2144" spans="1:12" x14ac:dyDescent="0.2">
      <c r="A2144"/>
      <c r="B2144"/>
      <c r="C2144"/>
      <c r="D2144"/>
      <c r="E2144" s="2">
        <f>Comuni__2[[#This Row],[Popolazione2011]]/$D$7911</f>
        <v>3.7207766942125867E-5</v>
      </c>
      <c r="F2144">
        <f>SUMIFS($D$2:$D$7909, $B$2:$B$7909, "Lazio")</f>
        <v>5502886</v>
      </c>
      <c r="G2144" s="1">
        <f>Comuni__2[[#This Row],[Popolazione2011]]/Comuni__2[[#This Row],[POPOLAZIONE TOTALE DI OGNI REGIONE (CON FILTRO)]]</f>
        <v>4.0178917026447575E-4</v>
      </c>
      <c r="H2144" t="str">
        <f>IF(Comuni__2[[#This Row],[Popolazione2011]]&gt;300000,"MAGGIORE","")</f>
        <v/>
      </c>
      <c r="J2144">
        <v>46</v>
      </c>
      <c r="K2144">
        <v>8154</v>
      </c>
      <c r="L2144">
        <v>1558</v>
      </c>
    </row>
    <row r="2145" spans="1:12" x14ac:dyDescent="0.2">
      <c r="A2145"/>
      <c r="B2145"/>
      <c r="C2145"/>
      <c r="D2145"/>
      <c r="E2145" s="2">
        <f>Comuni__2[[#This Row],[Popolazione2011]]/$D$7911</f>
        <v>3.6686084094904747E-5</v>
      </c>
      <c r="F2145">
        <f>SUMIFS($D$2:$D$7909, $B$2:$B$7909, "Lazio")</f>
        <v>5502886</v>
      </c>
      <c r="G2145" s="1">
        <f>Comuni__2[[#This Row],[Popolazione2011]]/Comuni__2[[#This Row],[POPOLAZIONE TOTALE DI OGNI REGIONE (CON FILTRO)]]</f>
        <v>3.9615576263073594E-4</v>
      </c>
      <c r="H2145" t="str">
        <f>IF(Comuni__2[[#This Row],[Popolazione2011]]&gt;300000,"MAGGIORE","")</f>
        <v/>
      </c>
      <c r="J2145">
        <v>38</v>
      </c>
      <c r="K2145">
        <v>8160</v>
      </c>
      <c r="L2145">
        <v>1558</v>
      </c>
    </row>
    <row r="2146" spans="1:12" x14ac:dyDescent="0.2">
      <c r="A2146"/>
      <c r="B2146"/>
      <c r="C2146"/>
      <c r="D2146"/>
      <c r="E2146" s="2">
        <f>Comuni__2[[#This Row],[Popolazione2011]]/$D$7911</f>
        <v>3.6450485389708107E-5</v>
      </c>
      <c r="F2146">
        <f>SUMIFS($D$2:$D$7909, $B$2:$B$7909, "Lazio")</f>
        <v>5502886</v>
      </c>
      <c r="G2146" s="1">
        <f>Comuni__2[[#This Row],[Popolazione2011]]/Comuni__2[[#This Row],[POPOLAZIONE TOTALE DI OGNI REGIONE (CON FILTRO)]]</f>
        <v>3.9361164305420828E-4</v>
      </c>
      <c r="H2146" t="str">
        <f>IF(Comuni__2[[#This Row],[Popolazione2011]]&gt;300000,"MAGGIORE","")</f>
        <v/>
      </c>
      <c r="J2146">
        <v>37</v>
      </c>
      <c r="K2146">
        <v>8161</v>
      </c>
      <c r="L2146">
        <v>1558</v>
      </c>
    </row>
    <row r="2147" spans="1:12" x14ac:dyDescent="0.2">
      <c r="A2147"/>
      <c r="B2147"/>
      <c r="C2147"/>
      <c r="D2147"/>
      <c r="E2147" s="2">
        <f>Comuni__2[[#This Row],[Popolazione2011]]/$D$7911</f>
        <v>3.6214886684511475E-5</v>
      </c>
      <c r="F2147">
        <f>SUMIFS($D$2:$D$7909, $B$2:$B$7909, "Lazio")</f>
        <v>5502886</v>
      </c>
      <c r="G2147" s="1">
        <f>Comuni__2[[#This Row],[Popolazione2011]]/Comuni__2[[#This Row],[POPOLAZIONE TOTALE DI OGNI REGIONE (CON FILTRO)]]</f>
        <v>3.9106752347768062E-4</v>
      </c>
      <c r="H2147" t="str">
        <f>IF(Comuni__2[[#This Row],[Popolazione2011]]&gt;300000,"MAGGIORE","")</f>
        <v/>
      </c>
      <c r="J2147">
        <v>35</v>
      </c>
      <c r="K2147">
        <v>8174</v>
      </c>
      <c r="L2147">
        <v>1558</v>
      </c>
    </row>
    <row r="2148" spans="1:12" x14ac:dyDescent="0.2">
      <c r="A2148"/>
      <c r="B2148"/>
      <c r="C2148"/>
      <c r="D2148"/>
      <c r="E2148" s="2">
        <f>Comuni__2[[#This Row],[Popolazione2011]]/$D$7911</f>
        <v>3.6130744289798387E-5</v>
      </c>
      <c r="F2148">
        <f>SUMIFS($D$2:$D$7909, $B$2:$B$7909, "Lazio")</f>
        <v>5502886</v>
      </c>
      <c r="G2148" s="1">
        <f>Comuni__2[[#This Row],[Popolazione2011]]/Comuni__2[[#This Row],[POPOLAZIONE TOTALE DI OGNI REGIONE (CON FILTRO)]]</f>
        <v>3.9015890934320646E-4</v>
      </c>
      <c r="H2148" t="str">
        <f>IF(Comuni__2[[#This Row],[Popolazione2011]]&gt;300000,"MAGGIORE","")</f>
        <v/>
      </c>
      <c r="J2148">
        <v>26</v>
      </c>
      <c r="K2148">
        <v>8203</v>
      </c>
      <c r="L2148">
        <v>1558</v>
      </c>
    </row>
    <row r="2149" spans="1:12" x14ac:dyDescent="0.2">
      <c r="A2149"/>
      <c r="B2149"/>
      <c r="C2149"/>
      <c r="D2149"/>
      <c r="E2149" s="2">
        <f>Comuni__2[[#This Row],[Popolazione2011]]/$D$7911</f>
        <v>3.58446601477739E-5</v>
      </c>
      <c r="F2149">
        <f>SUMIFS($D$2:$D$7909, $B$2:$B$7909, "Lazio")</f>
        <v>5502886</v>
      </c>
      <c r="G2149" s="1">
        <f>Comuni__2[[#This Row],[Popolazione2011]]/Comuni__2[[#This Row],[POPOLAZIONE TOTALE DI OGNI REGIONE (CON FILTRO)]]</f>
        <v>3.8706962128599431E-4</v>
      </c>
      <c r="H2149" t="str">
        <f>IF(Comuni__2[[#This Row],[Popolazione2011]]&gt;300000,"MAGGIORE","")</f>
        <v/>
      </c>
      <c r="J2149">
        <v>26</v>
      </c>
      <c r="K2149">
        <v>8219</v>
      </c>
      <c r="L2149">
        <v>1559</v>
      </c>
    </row>
    <row r="2150" spans="1:12" x14ac:dyDescent="0.2">
      <c r="A2150"/>
      <c r="B2150"/>
      <c r="C2150"/>
      <c r="D2150"/>
      <c r="E2150" s="2">
        <f>Comuni__2[[#This Row],[Popolazione2011]]/$D$7911</f>
        <v>3.5710032316232971E-5</v>
      </c>
      <c r="F2150">
        <f>SUMIFS($D$2:$D$7909, $B$2:$B$7909, "Lazio")</f>
        <v>5502886</v>
      </c>
      <c r="G2150" s="1">
        <f>Comuni__2[[#This Row],[Popolazione2011]]/Comuni__2[[#This Row],[POPOLAZIONE TOTALE DI OGNI REGIONE (CON FILTRO)]]</f>
        <v>3.8561583867083565E-4</v>
      </c>
      <c r="H2150" t="str">
        <f>IF(Comuni__2[[#This Row],[Popolazione2011]]&gt;300000,"MAGGIORE","")</f>
        <v/>
      </c>
      <c r="J2150">
        <v>25</v>
      </c>
      <c r="K2150">
        <v>8233</v>
      </c>
      <c r="L2150">
        <v>1559</v>
      </c>
    </row>
    <row r="2151" spans="1:12" x14ac:dyDescent="0.2">
      <c r="A2151"/>
      <c r="B2151"/>
      <c r="C2151"/>
      <c r="D2151"/>
      <c r="E2151" s="2">
        <f>Comuni__2[[#This Row],[Popolazione2011]]/$D$7911</f>
        <v>3.5592232963634651E-5</v>
      </c>
      <c r="F2151">
        <f>SUMIFS($D$2:$D$7909, $B$2:$B$7909, "Lazio")</f>
        <v>5502886</v>
      </c>
      <c r="G2151" s="1">
        <f>Comuni__2[[#This Row],[Popolazione2011]]/Comuni__2[[#This Row],[POPOLAZIONE TOTALE DI OGNI REGIONE (CON FILTRO)]]</f>
        <v>3.8434377888257182E-4</v>
      </c>
      <c r="H2151" t="str">
        <f>IF(Comuni__2[[#This Row],[Popolazione2011]]&gt;300000,"MAGGIORE","")</f>
        <v/>
      </c>
      <c r="J2151">
        <v>24</v>
      </c>
      <c r="K2151">
        <v>8255</v>
      </c>
      <c r="L2151">
        <v>1559</v>
      </c>
    </row>
    <row r="2152" spans="1:12" x14ac:dyDescent="0.2">
      <c r="A2152"/>
      <c r="B2152"/>
      <c r="C2152"/>
      <c r="D2152"/>
      <c r="E2152" s="2">
        <f>Comuni__2[[#This Row],[Popolazione2011]]/$D$7911</f>
        <v>3.436375400082362E-5</v>
      </c>
      <c r="F2152">
        <f>SUMIFS($D$2:$D$7909, $B$2:$B$7909, "Lazio")</f>
        <v>5502886</v>
      </c>
      <c r="G2152" s="1">
        <f>Comuni__2[[#This Row],[Popolazione2011]]/Comuni__2[[#This Row],[POPOLAZIONE TOTALE DI OGNI REGIONE (CON FILTRO)]]</f>
        <v>3.7107801251924898E-4</v>
      </c>
      <c r="H2152" t="str">
        <f>IF(Comuni__2[[#This Row],[Popolazione2011]]&gt;300000,"MAGGIORE","")</f>
        <v/>
      </c>
      <c r="J2152">
        <v>23</v>
      </c>
      <c r="K2152">
        <v>8283</v>
      </c>
      <c r="L2152">
        <v>1561</v>
      </c>
    </row>
    <row r="2153" spans="1:12" x14ac:dyDescent="0.2">
      <c r="A2153"/>
      <c r="B2153"/>
      <c r="C2153"/>
      <c r="D2153"/>
      <c r="E2153" s="2">
        <f>Comuni__2[[#This Row],[Popolazione2011]]/$D$7911</f>
        <v>3.42459546482253E-5</v>
      </c>
      <c r="F2153">
        <f>SUMIFS($D$2:$D$7909, $B$2:$B$7909, "Lazio")</f>
        <v>5502886</v>
      </c>
      <c r="G2153" s="1">
        <f>Comuni__2[[#This Row],[Popolazione2011]]/Comuni__2[[#This Row],[POPOLAZIONE TOTALE DI OGNI REGIONE (CON FILTRO)]]</f>
        <v>3.6980595273098516E-4</v>
      </c>
      <c r="H2153" t="str">
        <f>IF(Comuni__2[[#This Row],[Popolazione2011]]&gt;300000,"MAGGIORE","")</f>
        <v/>
      </c>
      <c r="J2153">
        <v>24</v>
      </c>
      <c r="K2153">
        <v>8285</v>
      </c>
      <c r="L2153">
        <v>1561</v>
      </c>
    </row>
    <row r="2154" spans="1:12" x14ac:dyDescent="0.2">
      <c r="A2154"/>
      <c r="B2154"/>
      <c r="C2154"/>
      <c r="D2154"/>
      <c r="E2154" s="2">
        <f>Comuni__2[[#This Row],[Popolazione2011]]/$D$7911</f>
        <v>3.3774757237832028E-5</v>
      </c>
      <c r="F2154">
        <f>SUMIFS($D$2:$D$7909, $B$2:$B$7909, "Lazio")</f>
        <v>5502886</v>
      </c>
      <c r="G2154" s="1">
        <f>Comuni__2[[#This Row],[Popolazione2011]]/Comuni__2[[#This Row],[POPOLAZIONE TOTALE DI OGNI REGIONE (CON FILTRO)]]</f>
        <v>3.6471771357792984E-4</v>
      </c>
      <c r="H2154" t="str">
        <f>IF(Comuni__2[[#This Row],[Popolazione2011]]&gt;300000,"MAGGIORE","")</f>
        <v/>
      </c>
      <c r="J2154">
        <v>28</v>
      </c>
      <c r="K2154">
        <v>8285</v>
      </c>
      <c r="L2154">
        <v>1564</v>
      </c>
    </row>
    <row r="2155" spans="1:12" x14ac:dyDescent="0.2">
      <c r="A2155"/>
      <c r="B2155"/>
      <c r="C2155"/>
      <c r="D2155"/>
      <c r="E2155" s="2">
        <f>Comuni__2[[#This Row],[Popolazione2011]]/$D$7911</f>
        <v>3.2916504811758572E-5</v>
      </c>
      <c r="F2155">
        <f>SUMIFS($D$2:$D$7909, $B$2:$B$7909, "Lazio")</f>
        <v>5502886</v>
      </c>
      <c r="G2155" s="1">
        <f>Comuni__2[[#This Row],[Popolazione2011]]/Comuni__2[[#This Row],[POPOLAZIONE TOTALE DI OGNI REGIONE (CON FILTRO)]]</f>
        <v>3.5544984940629333E-4</v>
      </c>
      <c r="H2155" t="str">
        <f>IF(Comuni__2[[#This Row],[Popolazione2011]]&gt;300000,"MAGGIORE","")</f>
        <v/>
      </c>
      <c r="J2155">
        <v>29</v>
      </c>
      <c r="K2155">
        <v>8301</v>
      </c>
      <c r="L2155">
        <v>1565</v>
      </c>
    </row>
    <row r="2156" spans="1:12" x14ac:dyDescent="0.2">
      <c r="A2156"/>
      <c r="B2156"/>
      <c r="C2156"/>
      <c r="D2156"/>
      <c r="E2156" s="2">
        <f>Comuni__2[[#This Row],[Popolazione2011]]/$D$7911</f>
        <v>3.2495792838193148E-5</v>
      </c>
      <c r="F2156">
        <f>SUMIFS($D$2:$D$7909, $B$2:$B$7909, "Lazio")</f>
        <v>5502886</v>
      </c>
      <c r="G2156" s="1">
        <f>Comuni__2[[#This Row],[Popolazione2011]]/Comuni__2[[#This Row],[POPOLAZIONE TOTALE DI OGNI REGIONE (CON FILTRO)]]</f>
        <v>3.5090677873392251E-4</v>
      </c>
      <c r="H2156" t="str">
        <f>IF(Comuni__2[[#This Row],[Popolazione2011]]&gt;300000,"MAGGIORE","")</f>
        <v/>
      </c>
      <c r="J2156">
        <v>28</v>
      </c>
      <c r="K2156">
        <v>8305</v>
      </c>
      <c r="L2156">
        <v>1565</v>
      </c>
    </row>
    <row r="2157" spans="1:12" x14ac:dyDescent="0.2">
      <c r="A2157"/>
      <c r="B2157"/>
      <c r="C2157"/>
      <c r="D2157"/>
      <c r="E2157" s="2">
        <f>Comuni__2[[#This Row],[Popolazione2011]]/$D$7911</f>
        <v>3.2394821964537445E-5</v>
      </c>
      <c r="F2157">
        <f>SUMIFS($D$2:$D$7909, $B$2:$B$7909, "Lazio")</f>
        <v>5502886</v>
      </c>
      <c r="G2157" s="1">
        <f>Comuni__2[[#This Row],[Popolazione2011]]/Comuni__2[[#This Row],[POPOLAZIONE TOTALE DI OGNI REGIONE (CON FILTRO)]]</f>
        <v>3.4981644177255352E-4</v>
      </c>
      <c r="H2157" t="str">
        <f>IF(Comuni__2[[#This Row],[Popolazione2011]]&gt;300000,"MAGGIORE","")</f>
        <v/>
      </c>
      <c r="J2157">
        <v>27</v>
      </c>
      <c r="K2157">
        <v>8324</v>
      </c>
      <c r="L2157">
        <v>1565</v>
      </c>
    </row>
    <row r="2158" spans="1:12" x14ac:dyDescent="0.2">
      <c r="A2158"/>
      <c r="B2158"/>
      <c r="C2158"/>
      <c r="D2158"/>
      <c r="E2158" s="2">
        <f>Comuni__2[[#This Row],[Popolazione2011]]/$D$7911</f>
        <v>3.2142394780398196E-5</v>
      </c>
      <c r="F2158">
        <f>SUMIFS($D$2:$D$7909, $B$2:$B$7909, "Lazio")</f>
        <v>5502886</v>
      </c>
      <c r="G2158" s="1">
        <f>Comuni__2[[#This Row],[Popolazione2011]]/Comuni__2[[#This Row],[POPOLAZIONE TOTALE DI OGNI REGIONE (CON FILTRO)]]</f>
        <v>3.4709059936913103E-4</v>
      </c>
      <c r="H2158" t="str">
        <f>IF(Comuni__2[[#This Row],[Popolazione2011]]&gt;300000,"MAGGIORE","")</f>
        <v/>
      </c>
      <c r="J2158">
        <v>28</v>
      </c>
      <c r="K2158">
        <v>8355</v>
      </c>
      <c r="L2158">
        <v>1565</v>
      </c>
    </row>
    <row r="2159" spans="1:12" x14ac:dyDescent="0.2">
      <c r="A2159"/>
      <c r="B2159"/>
      <c r="C2159"/>
      <c r="D2159"/>
      <c r="E2159" s="2">
        <f>Comuni__2[[#This Row],[Popolazione2011]]/$D$7911</f>
        <v>3.1183171480669036E-5</v>
      </c>
      <c r="F2159">
        <f>SUMIFS($D$2:$D$7909, $B$2:$B$7909, "Lazio")</f>
        <v>5502886</v>
      </c>
      <c r="G2159" s="1">
        <f>Comuni__2[[#This Row],[Popolazione2011]]/Comuni__2[[#This Row],[POPOLAZIONE TOTALE DI OGNI REGIONE (CON FILTRO)]]</f>
        <v>3.3673239823612557E-4</v>
      </c>
      <c r="H2159" t="str">
        <f>IF(Comuni__2[[#This Row],[Popolazione2011]]&gt;300000,"MAGGIORE","")</f>
        <v/>
      </c>
      <c r="J2159">
        <v>29</v>
      </c>
      <c r="K2159">
        <v>8362</v>
      </c>
      <c r="L2159">
        <v>1565</v>
      </c>
    </row>
    <row r="2160" spans="1:12" x14ac:dyDescent="0.2">
      <c r="A2160"/>
      <c r="B2160"/>
      <c r="C2160"/>
      <c r="D2160"/>
      <c r="E2160" s="2">
        <f>Comuni__2[[#This Row],[Popolazione2011]]/$D$7911</f>
        <v>3.1183171480669036E-5</v>
      </c>
      <c r="F2160">
        <f>SUMIFS($D$2:$D$7909, $B$2:$B$7909, "Lazio")</f>
        <v>5502886</v>
      </c>
      <c r="G2160" s="1">
        <f>Comuni__2[[#This Row],[Popolazione2011]]/Comuni__2[[#This Row],[POPOLAZIONE TOTALE DI OGNI REGIONE (CON FILTRO)]]</f>
        <v>3.3673239823612557E-4</v>
      </c>
      <c r="H2160" t="str">
        <f>IF(Comuni__2[[#This Row],[Popolazione2011]]&gt;300000,"MAGGIORE","")</f>
        <v/>
      </c>
      <c r="J2160">
        <v>31</v>
      </c>
      <c r="K2160">
        <v>8364</v>
      </c>
      <c r="L2160">
        <v>1565</v>
      </c>
    </row>
    <row r="2161" spans="1:12" x14ac:dyDescent="0.2">
      <c r="A2161"/>
      <c r="B2161"/>
      <c r="C2161"/>
      <c r="D2161"/>
      <c r="E2161" s="2">
        <f>Comuni__2[[#This Row],[Popolazione2011]]/$D$7911</f>
        <v>3.0644660154505293E-5</v>
      </c>
      <c r="F2161">
        <f>SUMIFS($D$2:$D$7909, $B$2:$B$7909, "Lazio")</f>
        <v>5502886</v>
      </c>
      <c r="G2161" s="1">
        <f>Comuni__2[[#This Row],[Popolazione2011]]/Comuni__2[[#This Row],[POPOLAZIONE TOTALE DI OGNI REGIONE (CON FILTRO)]]</f>
        <v>3.3091726777549087E-4</v>
      </c>
      <c r="H2161" t="str">
        <f>IF(Comuni__2[[#This Row],[Popolazione2011]]&gt;300000,"MAGGIORE","")</f>
        <v/>
      </c>
      <c r="J2161">
        <v>29</v>
      </c>
      <c r="K2161">
        <v>8374</v>
      </c>
      <c r="L2161">
        <v>1566</v>
      </c>
    </row>
    <row r="2162" spans="1:12" x14ac:dyDescent="0.2">
      <c r="A2162"/>
      <c r="B2162"/>
      <c r="C2162"/>
      <c r="D2162"/>
      <c r="E2162" s="2">
        <f>Comuni__2[[#This Row],[Popolazione2011]]/$D$7911</f>
        <v>3.0526860801906974E-5</v>
      </c>
      <c r="F2162">
        <f>SUMIFS($D$2:$D$7909, $B$2:$B$7909, "Lazio")</f>
        <v>5502886</v>
      </c>
      <c r="G2162" s="1">
        <f>Comuni__2[[#This Row],[Popolazione2011]]/Comuni__2[[#This Row],[POPOLAZIONE TOTALE DI OGNI REGIONE (CON FILTRO)]]</f>
        <v>3.2964520798722704E-4</v>
      </c>
      <c r="H2162" t="str">
        <f>IF(Comuni__2[[#This Row],[Popolazione2011]]&gt;300000,"MAGGIORE","")</f>
        <v/>
      </c>
      <c r="J2162">
        <v>26</v>
      </c>
      <c r="K2162">
        <v>8380</v>
      </c>
      <c r="L2162">
        <v>1566</v>
      </c>
    </row>
    <row r="2163" spans="1:12" x14ac:dyDescent="0.2">
      <c r="A2163"/>
      <c r="B2163"/>
      <c r="C2163"/>
      <c r="D2163"/>
      <c r="E2163" s="2">
        <f>Comuni__2[[#This Row],[Popolazione2011]]/$D$7911</f>
        <v>2.9618122939005665E-5</v>
      </c>
      <c r="F2163">
        <f>SUMIFS($D$2:$D$7909, $B$2:$B$7909, "Lazio")</f>
        <v>5502886</v>
      </c>
      <c r="G2163" s="1">
        <f>Comuni__2[[#This Row],[Popolazione2011]]/Comuni__2[[#This Row],[POPOLAZIONE TOTALE DI OGNI REGIONE (CON FILTRO)]]</f>
        <v>3.1983217533490608E-4</v>
      </c>
      <c r="H2163" t="str">
        <f>IF(Comuni__2[[#This Row],[Popolazione2011]]&gt;300000,"MAGGIORE","")</f>
        <v/>
      </c>
      <c r="J2163">
        <v>27</v>
      </c>
      <c r="K2163">
        <v>8381</v>
      </c>
      <c r="L2163">
        <v>1566</v>
      </c>
    </row>
    <row r="2164" spans="1:12" x14ac:dyDescent="0.2">
      <c r="A2164"/>
      <c r="B2164"/>
      <c r="C2164"/>
      <c r="D2164"/>
      <c r="E2164" s="2">
        <f>Comuni__2[[#This Row],[Popolazione2011]]/$D$7911</f>
        <v>2.9517152065349965E-5</v>
      </c>
      <c r="F2164">
        <f>SUMIFS($D$2:$D$7909, $B$2:$B$7909, "Lazio")</f>
        <v>5502886</v>
      </c>
      <c r="G2164" s="1">
        <f>Comuni__2[[#This Row],[Popolazione2011]]/Comuni__2[[#This Row],[POPOLAZIONE TOTALE DI OGNI REGIONE (CON FILTRO)]]</f>
        <v>3.1874183837353709E-4</v>
      </c>
      <c r="H2164" t="str">
        <f>IF(Comuni__2[[#This Row],[Popolazione2011]]&gt;300000,"MAGGIORE","")</f>
        <v/>
      </c>
      <c r="J2164">
        <v>30</v>
      </c>
      <c r="K2164">
        <v>8381</v>
      </c>
      <c r="L2164">
        <v>1566</v>
      </c>
    </row>
    <row r="2165" spans="1:12" x14ac:dyDescent="0.2">
      <c r="A2165"/>
      <c r="B2165"/>
      <c r="C2165"/>
      <c r="D2165"/>
      <c r="E2165" s="2">
        <f>Comuni__2[[#This Row],[Popolazione2011]]/$D$7911</f>
        <v>2.9433009670636881E-5</v>
      </c>
      <c r="F2165">
        <f>SUMIFS($D$2:$D$7909, $B$2:$B$7909, "Lazio")</f>
        <v>5502886</v>
      </c>
      <c r="G2165" s="1">
        <f>Comuni__2[[#This Row],[Popolazione2011]]/Comuni__2[[#This Row],[POPOLAZIONE TOTALE DI OGNI REGIONE (CON FILTRO)]]</f>
        <v>3.1783322423906292E-4</v>
      </c>
      <c r="H2165" t="str">
        <f>IF(Comuni__2[[#This Row],[Popolazione2011]]&gt;300000,"MAGGIORE","")</f>
        <v/>
      </c>
      <c r="J2165">
        <v>30</v>
      </c>
      <c r="K2165">
        <v>8398</v>
      </c>
      <c r="L2165">
        <v>1566</v>
      </c>
    </row>
    <row r="2166" spans="1:12" x14ac:dyDescent="0.2">
      <c r="A2166"/>
      <c r="B2166"/>
      <c r="C2166"/>
      <c r="D2166"/>
      <c r="E2166" s="2">
        <f>Comuni__2[[#This Row],[Popolazione2011]]/$D$7911</f>
        <v>2.9298381839095946E-5</v>
      </c>
      <c r="F2166">
        <f>SUMIFS($D$2:$D$7909, $B$2:$B$7909, "Lazio")</f>
        <v>5502886</v>
      </c>
      <c r="G2166" s="1">
        <f>Comuni__2[[#This Row],[Popolazione2011]]/Comuni__2[[#This Row],[POPOLAZIONE TOTALE DI OGNI REGIONE (CON FILTRO)]]</f>
        <v>3.1637944162390426E-4</v>
      </c>
      <c r="H2166" t="str">
        <f>IF(Comuni__2[[#This Row],[Popolazione2011]]&gt;300000,"MAGGIORE","")</f>
        <v/>
      </c>
      <c r="J2166">
        <v>27</v>
      </c>
      <c r="K2166">
        <v>8402</v>
      </c>
      <c r="L2166">
        <v>1566</v>
      </c>
    </row>
    <row r="2167" spans="1:12" x14ac:dyDescent="0.2">
      <c r="A2167"/>
      <c r="B2167"/>
      <c r="C2167"/>
      <c r="D2167"/>
      <c r="E2167" s="2">
        <f>Comuni__2[[#This Row],[Popolazione2011]]/$D$7911</f>
        <v>2.9214239444382862E-5</v>
      </c>
      <c r="F2167">
        <f>SUMIFS($D$2:$D$7909, $B$2:$B$7909, "Lazio")</f>
        <v>5502886</v>
      </c>
      <c r="G2167" s="1">
        <f>Comuni__2[[#This Row],[Popolazione2011]]/Comuni__2[[#This Row],[POPOLAZIONE TOTALE DI OGNI REGIONE (CON FILTRO)]]</f>
        <v>3.154708274894301E-4</v>
      </c>
      <c r="H2167" t="str">
        <f>IF(Comuni__2[[#This Row],[Popolazione2011]]&gt;300000,"MAGGIORE","")</f>
        <v/>
      </c>
      <c r="J2167">
        <v>21</v>
      </c>
      <c r="K2167">
        <v>8434</v>
      </c>
      <c r="L2167">
        <v>1566</v>
      </c>
    </row>
    <row r="2168" spans="1:12" x14ac:dyDescent="0.2">
      <c r="A2168"/>
      <c r="B2168"/>
      <c r="C2168"/>
      <c r="D2168"/>
      <c r="E2168" s="2">
        <f>Comuni__2[[#This Row],[Popolazione2011]]/$D$7911</f>
        <v>2.8726213555046974E-5</v>
      </c>
      <c r="F2168">
        <f>SUMIFS($D$2:$D$7909, $B$2:$B$7909, "Lazio")</f>
        <v>5502886</v>
      </c>
      <c r="G2168" s="1">
        <f>Comuni__2[[#This Row],[Popolazione2011]]/Comuni__2[[#This Row],[POPOLAZIONE TOTALE DI OGNI REGIONE (CON FILTRO)]]</f>
        <v>3.1020086550947995E-4</v>
      </c>
      <c r="H2168" t="str">
        <f>IF(Comuni__2[[#This Row],[Popolazione2011]]&gt;300000,"MAGGIORE","")</f>
        <v/>
      </c>
      <c r="J2168">
        <v>21</v>
      </c>
      <c r="K2168">
        <v>8448</v>
      </c>
      <c r="L2168">
        <v>1566</v>
      </c>
    </row>
    <row r="2169" spans="1:12" x14ac:dyDescent="0.2">
      <c r="A2169"/>
      <c r="B2169"/>
      <c r="C2169"/>
      <c r="D2169"/>
      <c r="E2169" s="2">
        <f>Comuni__2[[#This Row],[Popolazione2011]]/$D$7911</f>
        <v>2.8490614849850338E-5</v>
      </c>
      <c r="F2169">
        <f>SUMIFS($D$2:$D$7909, $B$2:$B$7909, "Lazio")</f>
        <v>5502886</v>
      </c>
      <c r="G2169" s="1">
        <f>Comuni__2[[#This Row],[Popolazione2011]]/Comuni__2[[#This Row],[POPOLAZIONE TOTALE DI OGNI REGIONE (CON FILTRO)]]</f>
        <v>3.076567459329523E-4</v>
      </c>
      <c r="H2169" t="str">
        <f>IF(Comuni__2[[#This Row],[Popolazione2011]]&gt;300000,"MAGGIORE","")</f>
        <v/>
      </c>
      <c r="J2169">
        <v>19</v>
      </c>
      <c r="K2169">
        <v>8447</v>
      </c>
      <c r="L2169">
        <v>1567</v>
      </c>
    </row>
    <row r="2170" spans="1:12" x14ac:dyDescent="0.2">
      <c r="A2170"/>
      <c r="B2170"/>
      <c r="C2170"/>
      <c r="D2170"/>
      <c r="E2170" s="2">
        <f>Comuni__2[[#This Row],[Popolazione2011]]/$D$7911</f>
        <v>2.8120388313112766E-5</v>
      </c>
      <c r="F2170">
        <f>SUMIFS($D$2:$D$7909, $B$2:$B$7909, "Lazio")</f>
        <v>5502886</v>
      </c>
      <c r="G2170" s="1">
        <f>Comuni__2[[#This Row],[Popolazione2011]]/Comuni__2[[#This Row],[POPOLAZIONE TOTALE DI OGNI REGIONE (CON FILTRO)]]</f>
        <v>3.0365884374126593E-4</v>
      </c>
      <c r="H2170" t="str">
        <f>IF(Comuni__2[[#This Row],[Popolazione2011]]&gt;300000,"MAGGIORE","")</f>
        <v/>
      </c>
      <c r="J2170">
        <v>19</v>
      </c>
      <c r="K2170">
        <v>8450</v>
      </c>
      <c r="L2170">
        <v>1567</v>
      </c>
    </row>
    <row r="2171" spans="1:12" x14ac:dyDescent="0.2">
      <c r="A2171"/>
      <c r="B2171"/>
      <c r="C2171"/>
      <c r="D2171"/>
      <c r="E2171" s="2">
        <f>Comuni__2[[#This Row],[Popolazione2011]]/$D$7911</f>
        <v>2.8120388313112766E-5</v>
      </c>
      <c r="F2171">
        <f>SUMIFS($D$2:$D$7909, $B$2:$B$7909, "Lazio")</f>
        <v>5502886</v>
      </c>
      <c r="G2171" s="1">
        <f>Comuni__2[[#This Row],[Popolazione2011]]/Comuni__2[[#This Row],[POPOLAZIONE TOTALE DI OGNI REGIONE (CON FILTRO)]]</f>
        <v>3.0365884374126593E-4</v>
      </c>
      <c r="H2171" t="str">
        <f>IF(Comuni__2[[#This Row],[Popolazione2011]]&gt;300000,"MAGGIORE","")</f>
        <v/>
      </c>
      <c r="J2171">
        <v>20</v>
      </c>
      <c r="K2171">
        <v>8453</v>
      </c>
      <c r="L2171">
        <v>1567</v>
      </c>
    </row>
    <row r="2172" spans="1:12" x14ac:dyDescent="0.2">
      <c r="A2172"/>
      <c r="B2172"/>
      <c r="C2172"/>
      <c r="D2172"/>
      <c r="E2172" s="2">
        <f>Comuni__2[[#This Row],[Popolazione2011]]/$D$7911</f>
        <v>2.7901618086858746E-5</v>
      </c>
      <c r="F2172">
        <f>SUMIFS($D$2:$D$7909, $B$2:$B$7909, "Lazio")</f>
        <v>5502886</v>
      </c>
      <c r="G2172" s="1">
        <f>Comuni__2[[#This Row],[Popolazione2011]]/Comuni__2[[#This Row],[POPOLAZIONE TOTALE DI OGNI REGIONE (CON FILTRO)]]</f>
        <v>3.012964469916331E-4</v>
      </c>
      <c r="H2172" t="str">
        <f>IF(Comuni__2[[#This Row],[Popolazione2011]]&gt;300000,"MAGGIORE","")</f>
        <v/>
      </c>
      <c r="J2172">
        <v>21</v>
      </c>
      <c r="K2172">
        <v>8475</v>
      </c>
      <c r="L2172">
        <v>1568</v>
      </c>
    </row>
    <row r="2173" spans="1:12" x14ac:dyDescent="0.2">
      <c r="A2173"/>
      <c r="B2173"/>
      <c r="C2173"/>
      <c r="D2173"/>
      <c r="E2173" s="2">
        <f>Comuni__2[[#This Row],[Popolazione2011]]/$D$7911</f>
        <v>2.7901618086858746E-5</v>
      </c>
      <c r="F2173">
        <f>SUMIFS($D$2:$D$7909, $B$2:$B$7909, "Lazio")</f>
        <v>5502886</v>
      </c>
      <c r="G2173" s="1">
        <f>Comuni__2[[#This Row],[Popolazione2011]]/Comuni__2[[#This Row],[POPOLAZIONE TOTALE DI OGNI REGIONE (CON FILTRO)]]</f>
        <v>3.012964469916331E-4</v>
      </c>
      <c r="H2173" t="str">
        <f>IF(Comuni__2[[#This Row],[Popolazione2011]]&gt;300000,"MAGGIORE","")</f>
        <v/>
      </c>
      <c r="J2173">
        <v>22</v>
      </c>
      <c r="K2173">
        <v>8475</v>
      </c>
      <c r="L2173">
        <v>1568</v>
      </c>
    </row>
    <row r="2174" spans="1:12" x14ac:dyDescent="0.2">
      <c r="A2174"/>
      <c r="B2174"/>
      <c r="C2174"/>
      <c r="D2174"/>
      <c r="E2174" s="2">
        <f>Comuni__2[[#This Row],[Popolazione2011]]/$D$7911</f>
        <v>2.7716504818489962E-5</v>
      </c>
      <c r="F2174">
        <f>SUMIFS($D$2:$D$7909, $B$2:$B$7909, "Lazio")</f>
        <v>5502886</v>
      </c>
      <c r="G2174" s="1">
        <f>Comuni__2[[#This Row],[Popolazione2011]]/Comuni__2[[#This Row],[POPOLAZIONE TOTALE DI OGNI REGIONE (CON FILTRO)]]</f>
        <v>2.9929749589578994E-4</v>
      </c>
      <c r="H2174" t="str">
        <f>IF(Comuni__2[[#This Row],[Popolazione2011]]&gt;300000,"MAGGIORE","")</f>
        <v/>
      </c>
      <c r="J2174">
        <v>18</v>
      </c>
      <c r="K2174">
        <v>8475</v>
      </c>
      <c r="L2174">
        <v>1568</v>
      </c>
    </row>
    <row r="2175" spans="1:12" x14ac:dyDescent="0.2">
      <c r="A2175"/>
      <c r="B2175"/>
      <c r="C2175"/>
      <c r="D2175"/>
      <c r="E2175" s="2">
        <f>Comuni__2[[#This Row],[Popolazione2011]]/$D$7911</f>
        <v>2.744724915540809E-5</v>
      </c>
      <c r="F2175">
        <f>SUMIFS($D$2:$D$7909, $B$2:$B$7909, "Lazio")</f>
        <v>5502886</v>
      </c>
      <c r="G2175" s="1">
        <f>Comuni__2[[#This Row],[Popolazione2011]]/Comuni__2[[#This Row],[POPOLAZIONE TOTALE DI OGNI REGIONE (CON FILTRO)]]</f>
        <v>2.9638993066547262E-4</v>
      </c>
      <c r="H2175" t="str">
        <f>IF(Comuni__2[[#This Row],[Popolazione2011]]&gt;300000,"MAGGIORE","")</f>
        <v/>
      </c>
      <c r="J2175">
        <v>20</v>
      </c>
      <c r="K2175">
        <v>8485</v>
      </c>
      <c r="L2175">
        <v>1568</v>
      </c>
    </row>
    <row r="2176" spans="1:12" x14ac:dyDescent="0.2">
      <c r="A2176"/>
      <c r="B2176"/>
      <c r="C2176"/>
      <c r="D2176"/>
      <c r="E2176" s="2">
        <f>Comuni__2[[#This Row],[Popolazione2011]]/$D$7911</f>
        <v>2.6841423913473886E-5</v>
      </c>
      <c r="F2176">
        <f>SUMIFS($D$2:$D$7909, $B$2:$B$7909, "Lazio")</f>
        <v>5502886</v>
      </c>
      <c r="G2176" s="1">
        <f>Comuni__2[[#This Row],[Popolazione2011]]/Comuni__2[[#This Row],[POPOLAZIONE TOTALE DI OGNI REGIONE (CON FILTRO)]]</f>
        <v>2.8984790889725865E-4</v>
      </c>
      <c r="H2176" t="str">
        <f>IF(Comuni__2[[#This Row],[Popolazione2011]]&gt;300000,"MAGGIORE","")</f>
        <v/>
      </c>
      <c r="J2176">
        <v>23</v>
      </c>
      <c r="K2176">
        <v>8488</v>
      </c>
      <c r="L2176">
        <v>1568</v>
      </c>
    </row>
    <row r="2177" spans="1:12" x14ac:dyDescent="0.2">
      <c r="A2177"/>
      <c r="B2177"/>
      <c r="C2177"/>
      <c r="D2177"/>
      <c r="E2177" s="2">
        <f>Comuni__2[[#This Row],[Popolazione2011]]/$D$7911</f>
        <v>2.6588996729334631E-5</v>
      </c>
      <c r="F2177">
        <f>SUMIFS($D$2:$D$7909, $B$2:$B$7909, "Lazio")</f>
        <v>5502886</v>
      </c>
      <c r="G2177" s="1">
        <f>Comuni__2[[#This Row],[Popolazione2011]]/Comuni__2[[#This Row],[POPOLAZIONE TOTALE DI OGNI REGIONE (CON FILTRO)]]</f>
        <v>2.8712206649383616E-4</v>
      </c>
      <c r="H2177" t="str">
        <f>IF(Comuni__2[[#This Row],[Popolazione2011]]&gt;300000,"MAGGIORE","")</f>
        <v/>
      </c>
      <c r="J2177">
        <v>21</v>
      </c>
      <c r="K2177">
        <v>8493</v>
      </c>
      <c r="L2177">
        <v>1569</v>
      </c>
    </row>
    <row r="2178" spans="1:12" x14ac:dyDescent="0.2">
      <c r="A2178"/>
      <c r="B2178"/>
      <c r="C2178"/>
      <c r="D2178"/>
      <c r="E2178" s="2">
        <f>Comuni__2[[#This Row],[Popolazione2011]]/$D$7911</f>
        <v>2.6353398024137995E-5</v>
      </c>
      <c r="F2178">
        <f>SUMIFS($D$2:$D$7909, $B$2:$B$7909, "Lazio")</f>
        <v>5502886</v>
      </c>
      <c r="G2178" s="1">
        <f>Comuni__2[[#This Row],[Popolazione2011]]/Comuni__2[[#This Row],[POPOLAZIONE TOTALE DI OGNI REGIONE (CON FILTRO)]]</f>
        <v>2.845779469173085E-4</v>
      </c>
      <c r="H2178" t="str">
        <f>IF(Comuni__2[[#This Row],[Popolazione2011]]&gt;300000,"MAGGIORE","")</f>
        <v/>
      </c>
      <c r="J2178">
        <v>22</v>
      </c>
      <c r="K2178">
        <v>8498</v>
      </c>
      <c r="L2178">
        <v>1569</v>
      </c>
    </row>
    <row r="2179" spans="1:12" x14ac:dyDescent="0.2">
      <c r="A2179"/>
      <c r="B2179"/>
      <c r="C2179"/>
      <c r="D2179"/>
      <c r="E2179" s="2">
        <f>Comuni__2[[#This Row],[Popolazione2011]]/$D$7911</f>
        <v>2.6134627797883978E-5</v>
      </c>
      <c r="F2179">
        <f>SUMIFS($D$2:$D$7909, $B$2:$B$7909, "Lazio")</f>
        <v>5502886</v>
      </c>
      <c r="G2179" s="1">
        <f>Comuni__2[[#This Row],[Popolazione2011]]/Comuni__2[[#This Row],[POPOLAZIONE TOTALE DI OGNI REGIONE (CON FILTRO)]]</f>
        <v>2.8221555016767563E-4</v>
      </c>
      <c r="H2179" t="str">
        <f>IF(Comuni__2[[#This Row],[Popolazione2011]]&gt;300000,"MAGGIORE","")</f>
        <v/>
      </c>
      <c r="J2179">
        <v>22</v>
      </c>
      <c r="K2179">
        <v>8512</v>
      </c>
      <c r="L2179">
        <v>1569</v>
      </c>
    </row>
    <row r="2180" spans="1:12" x14ac:dyDescent="0.2">
      <c r="A2180"/>
      <c r="B2180"/>
      <c r="C2180"/>
      <c r="D2180"/>
      <c r="E2180" s="2">
        <f>Comuni__2[[#This Row],[Popolazione2011]]/$D$7911</f>
        <v>2.6117799318941359E-5</v>
      </c>
      <c r="F2180">
        <f>SUMIFS($D$2:$D$7909, $B$2:$B$7909, "Lazio")</f>
        <v>5502886</v>
      </c>
      <c r="G2180" s="1">
        <f>Comuni__2[[#This Row],[Popolazione2011]]/Comuni__2[[#This Row],[POPOLAZIONE TOTALE DI OGNI REGIONE (CON FILTRO)]]</f>
        <v>2.8203382734078079E-4</v>
      </c>
      <c r="H2180" t="str">
        <f>IF(Comuni__2[[#This Row],[Popolazione2011]]&gt;300000,"MAGGIORE","")</f>
        <v/>
      </c>
      <c r="J2180">
        <v>20</v>
      </c>
      <c r="K2180">
        <v>8512</v>
      </c>
      <c r="L2180">
        <v>1569</v>
      </c>
    </row>
    <row r="2181" spans="1:12" x14ac:dyDescent="0.2">
      <c r="A2181"/>
      <c r="B2181"/>
      <c r="C2181"/>
      <c r="D2181"/>
      <c r="E2181" s="2">
        <f>Comuni__2[[#This Row],[Popolazione2011]]/$D$7911</f>
        <v>2.6117799318941359E-5</v>
      </c>
      <c r="F2181">
        <f>SUMIFS($D$2:$D$7909, $B$2:$B$7909, "Lazio")</f>
        <v>5502886</v>
      </c>
      <c r="G2181" s="1">
        <f>Comuni__2[[#This Row],[Popolazione2011]]/Comuni__2[[#This Row],[POPOLAZIONE TOTALE DI OGNI REGIONE (CON FILTRO)]]</f>
        <v>2.8203382734078079E-4</v>
      </c>
      <c r="H2181" t="str">
        <f>IF(Comuni__2[[#This Row],[Popolazione2011]]&gt;300000,"MAGGIORE","")</f>
        <v/>
      </c>
      <c r="J2181">
        <v>19</v>
      </c>
      <c r="K2181">
        <v>8534</v>
      </c>
      <c r="L2181">
        <v>1569</v>
      </c>
    </row>
    <row r="2182" spans="1:12" x14ac:dyDescent="0.2">
      <c r="A2182"/>
      <c r="B2182"/>
      <c r="C2182"/>
      <c r="D2182"/>
      <c r="E2182" s="2">
        <f>Comuni__2[[#This Row],[Popolazione2011]]/$D$7911</f>
        <v>2.5713915824318555E-5</v>
      </c>
      <c r="F2182">
        <f>SUMIFS($D$2:$D$7909, $B$2:$B$7909, "Lazio")</f>
        <v>5502886</v>
      </c>
      <c r="G2182" s="1">
        <f>Comuni__2[[#This Row],[Popolazione2011]]/Comuni__2[[#This Row],[POPOLAZIONE TOTALE DI OGNI REGIONE (CON FILTRO)]]</f>
        <v>2.7767247949530481E-4</v>
      </c>
      <c r="H2182" t="str">
        <f>IF(Comuni__2[[#This Row],[Popolazione2011]]&gt;300000,"MAGGIORE","")</f>
        <v/>
      </c>
      <c r="J2182">
        <v>22</v>
      </c>
      <c r="K2182">
        <v>8567</v>
      </c>
      <c r="L2182">
        <v>1569</v>
      </c>
    </row>
    <row r="2183" spans="1:12" x14ac:dyDescent="0.2">
      <c r="A2183"/>
      <c r="B2183"/>
      <c r="C2183"/>
      <c r="D2183"/>
      <c r="E2183" s="2">
        <f>Comuni__2[[#This Row],[Popolazione2011]]/$D$7911</f>
        <v>2.5579287992777619E-5</v>
      </c>
      <c r="F2183">
        <f>SUMIFS($D$2:$D$7909, $B$2:$B$7909, "Lazio")</f>
        <v>5502886</v>
      </c>
      <c r="G2183" s="1">
        <f>Comuni__2[[#This Row],[Popolazione2011]]/Comuni__2[[#This Row],[POPOLAZIONE TOTALE DI OGNI REGIONE (CON FILTRO)]]</f>
        <v>2.7621869688014615E-4</v>
      </c>
      <c r="H2183" t="str">
        <f>IF(Comuni__2[[#This Row],[Popolazione2011]]&gt;300000,"MAGGIORE","")</f>
        <v/>
      </c>
      <c r="J2183">
        <v>20</v>
      </c>
      <c r="K2183">
        <v>8572</v>
      </c>
      <c r="L2183">
        <v>1569</v>
      </c>
    </row>
    <row r="2184" spans="1:12" x14ac:dyDescent="0.2">
      <c r="A2184"/>
      <c r="B2184"/>
      <c r="C2184"/>
      <c r="D2184"/>
      <c r="E2184" s="2">
        <f>Comuni__2[[#This Row],[Popolazione2011]]/$D$7911</f>
        <v>2.4805177961417247E-5</v>
      </c>
      <c r="F2184">
        <f>SUMIFS($D$2:$D$7909, $B$2:$B$7909, "Lazio")</f>
        <v>5502886</v>
      </c>
      <c r="G2184" s="1">
        <f>Comuni__2[[#This Row],[Popolazione2011]]/Comuni__2[[#This Row],[POPOLAZIONE TOTALE DI OGNI REGIONE (CON FILTRO)]]</f>
        <v>2.6785944684298385E-4</v>
      </c>
      <c r="H2184" t="str">
        <f>IF(Comuni__2[[#This Row],[Popolazione2011]]&gt;300000,"MAGGIORE","")</f>
        <v/>
      </c>
      <c r="J2184">
        <v>20</v>
      </c>
      <c r="K2184">
        <v>8604</v>
      </c>
      <c r="L2184">
        <v>1569</v>
      </c>
    </row>
    <row r="2185" spans="1:12" x14ac:dyDescent="0.2">
      <c r="A2185"/>
      <c r="B2185"/>
      <c r="C2185"/>
      <c r="D2185"/>
      <c r="E2185" s="2">
        <f>Comuni__2[[#This Row],[Popolazione2011]]/$D$7911</f>
        <v>2.4737864045646779E-5</v>
      </c>
      <c r="F2185">
        <f>SUMIFS($D$2:$D$7909, $B$2:$B$7909, "Lazio")</f>
        <v>5502886</v>
      </c>
      <c r="G2185" s="1">
        <f>Comuni__2[[#This Row],[Popolazione2011]]/Comuni__2[[#This Row],[POPOLAZIONE TOTALE DI OGNI REGIONE (CON FILTRO)]]</f>
        <v>2.6713255553540452E-4</v>
      </c>
      <c r="H2185" t="str">
        <f>IF(Comuni__2[[#This Row],[Popolazione2011]]&gt;300000,"MAGGIORE","")</f>
        <v/>
      </c>
      <c r="J2185">
        <v>22</v>
      </c>
      <c r="K2185">
        <v>8604</v>
      </c>
      <c r="L2185">
        <v>1569</v>
      </c>
    </row>
    <row r="2186" spans="1:12" x14ac:dyDescent="0.2">
      <c r="A2186"/>
      <c r="B2186"/>
      <c r="C2186"/>
      <c r="D2186"/>
      <c r="E2186" s="2">
        <f>Comuni__2[[#This Row],[Popolazione2011]]/$D$7911</f>
        <v>2.4485436861507524E-5</v>
      </c>
      <c r="F2186">
        <f>SUMIFS($D$2:$D$7909, $B$2:$B$7909, "Lazio")</f>
        <v>5502886</v>
      </c>
      <c r="G2186" s="1">
        <f>Comuni__2[[#This Row],[Popolazione2011]]/Comuni__2[[#This Row],[POPOLAZIONE TOTALE DI OGNI REGIONE (CON FILTRO)]]</f>
        <v>2.6440671313198203E-4</v>
      </c>
      <c r="H2186" t="str">
        <f>IF(Comuni__2[[#This Row],[Popolazione2011]]&gt;300000,"MAGGIORE","")</f>
        <v/>
      </c>
      <c r="J2186">
        <v>25</v>
      </c>
      <c r="K2186">
        <v>8610</v>
      </c>
      <c r="L2186">
        <v>1569</v>
      </c>
    </row>
    <row r="2187" spans="1:12" x14ac:dyDescent="0.2">
      <c r="A2187"/>
      <c r="B2187"/>
      <c r="C2187"/>
      <c r="D2187"/>
      <c r="E2187" s="2">
        <f>Comuni__2[[#This Row],[Popolazione2011]]/$D$7911</f>
        <v>2.408155336688472E-5</v>
      </c>
      <c r="F2187">
        <f>SUMIFS($D$2:$D$7909, $B$2:$B$7909, "Lazio")</f>
        <v>5502886</v>
      </c>
      <c r="G2187" s="1">
        <f>Comuni__2[[#This Row],[Popolazione2011]]/Comuni__2[[#This Row],[POPOLAZIONE TOTALE DI OGNI REGIONE (CON FILTRO)]]</f>
        <v>2.6004536528650605E-4</v>
      </c>
      <c r="H2187" t="str">
        <f>IF(Comuni__2[[#This Row],[Popolazione2011]]&gt;300000,"MAGGIORE","")</f>
        <v/>
      </c>
      <c r="J2187">
        <v>26</v>
      </c>
      <c r="K2187">
        <v>8610</v>
      </c>
      <c r="L2187">
        <v>1569</v>
      </c>
    </row>
    <row r="2188" spans="1:12" x14ac:dyDescent="0.2">
      <c r="A2188"/>
      <c r="B2188"/>
      <c r="C2188"/>
      <c r="D2188"/>
      <c r="E2188" s="2">
        <f>Comuni__2[[#This Row],[Popolazione2011]]/$D$7911</f>
        <v>2.3728155309089767E-5</v>
      </c>
      <c r="F2188">
        <f>SUMIFS($D$2:$D$7909, $B$2:$B$7909, "Lazio")</f>
        <v>5502886</v>
      </c>
      <c r="G2188" s="1">
        <f>Comuni__2[[#This Row],[Popolazione2011]]/Comuni__2[[#This Row],[POPOLAZIONE TOTALE DI OGNI REGIONE (CON FILTRO)]]</f>
        <v>2.5622918592171451E-4</v>
      </c>
      <c r="H2188" t="str">
        <f>IF(Comuni__2[[#This Row],[Popolazione2011]]&gt;300000,"MAGGIORE","")</f>
        <v/>
      </c>
      <c r="J2188">
        <v>24</v>
      </c>
      <c r="K2188">
        <v>8619</v>
      </c>
      <c r="L2188">
        <v>1569</v>
      </c>
    </row>
    <row r="2189" spans="1:12" x14ac:dyDescent="0.2">
      <c r="A2189"/>
      <c r="B2189"/>
      <c r="C2189"/>
      <c r="D2189"/>
      <c r="E2189" s="2">
        <f>Comuni__2[[#This Row],[Popolazione2011]]/$D$7911</f>
        <v>2.3644012914376683E-5</v>
      </c>
      <c r="F2189">
        <f>SUMIFS($D$2:$D$7909, $B$2:$B$7909, "Lazio")</f>
        <v>5502886</v>
      </c>
      <c r="G2189" s="1">
        <f>Comuni__2[[#This Row],[Popolazione2011]]/Comuni__2[[#This Row],[POPOLAZIONE TOTALE DI OGNI REGIONE (CON FILTRO)]]</f>
        <v>2.5532057178724035E-4</v>
      </c>
      <c r="H2189" t="str">
        <f>IF(Comuni__2[[#This Row],[Popolazione2011]]&gt;300000,"MAGGIORE","")</f>
        <v/>
      </c>
      <c r="J2189">
        <v>22</v>
      </c>
      <c r="K2189">
        <v>8636</v>
      </c>
      <c r="L2189">
        <v>1571</v>
      </c>
    </row>
    <row r="2190" spans="1:12" x14ac:dyDescent="0.2">
      <c r="A2190"/>
      <c r="B2190"/>
      <c r="C2190"/>
      <c r="D2190"/>
      <c r="E2190" s="2">
        <f>Comuni__2[[#This Row],[Popolazione2011]]/$D$7911</f>
        <v>2.354304204072098E-5</v>
      </c>
      <c r="F2190">
        <f>SUMIFS($D$2:$D$7909, $B$2:$B$7909, "Lazio")</f>
        <v>5502886</v>
      </c>
      <c r="G2190" s="1">
        <f>Comuni__2[[#This Row],[Popolazione2011]]/Comuni__2[[#This Row],[POPOLAZIONE TOTALE DI OGNI REGIONE (CON FILTRO)]]</f>
        <v>2.5423023482587135E-4</v>
      </c>
      <c r="H2190" t="str">
        <f>IF(Comuni__2[[#This Row],[Popolazione2011]]&gt;300000,"MAGGIORE","")</f>
        <v/>
      </c>
      <c r="J2190">
        <v>20</v>
      </c>
      <c r="K2190">
        <v>8647</v>
      </c>
      <c r="L2190">
        <v>1571</v>
      </c>
    </row>
    <row r="2191" spans="1:12" x14ac:dyDescent="0.2">
      <c r="A2191"/>
      <c r="B2191"/>
      <c r="C2191"/>
      <c r="D2191"/>
      <c r="E2191" s="2">
        <f>Comuni__2[[#This Row],[Popolazione2011]]/$D$7911</f>
        <v>2.3458899646007896E-5</v>
      </c>
      <c r="F2191">
        <f>SUMIFS($D$2:$D$7909, $B$2:$B$7909, "Lazio")</f>
        <v>5502886</v>
      </c>
      <c r="G2191" s="1">
        <f>Comuni__2[[#This Row],[Popolazione2011]]/Comuni__2[[#This Row],[POPOLAZIONE TOTALE DI OGNI REGIONE (CON FILTRO)]]</f>
        <v>2.5332162069139719E-4</v>
      </c>
      <c r="H2191" t="str">
        <f>IF(Comuni__2[[#This Row],[Popolazione2011]]&gt;300000,"MAGGIORE","")</f>
        <v/>
      </c>
      <c r="J2191">
        <v>19</v>
      </c>
      <c r="K2191">
        <v>8671</v>
      </c>
      <c r="L2191">
        <v>1571</v>
      </c>
    </row>
    <row r="2192" spans="1:12" x14ac:dyDescent="0.2">
      <c r="A2192"/>
      <c r="B2192"/>
      <c r="C2192"/>
      <c r="D2192"/>
      <c r="E2192" s="2">
        <f>Comuni__2[[#This Row],[Popolazione2011]]/$D$7911</f>
        <v>2.3425242688122664E-5</v>
      </c>
      <c r="F2192">
        <f>SUMIFS($D$2:$D$7909, $B$2:$B$7909, "Lazio")</f>
        <v>5502886</v>
      </c>
      <c r="G2192" s="1">
        <f>Comuni__2[[#This Row],[Popolazione2011]]/Comuni__2[[#This Row],[POPOLAZIONE TOTALE DI OGNI REGIONE (CON FILTRO)]]</f>
        <v>2.5295817503760752E-4</v>
      </c>
      <c r="H2192" t="str">
        <f>IF(Comuni__2[[#This Row],[Popolazione2011]]&gt;300000,"MAGGIORE","")</f>
        <v/>
      </c>
      <c r="J2192">
        <v>19</v>
      </c>
      <c r="K2192">
        <v>8676</v>
      </c>
      <c r="L2192">
        <v>1571</v>
      </c>
    </row>
    <row r="2193" spans="1:12" x14ac:dyDescent="0.2">
      <c r="A2193"/>
      <c r="B2193"/>
      <c r="C2193"/>
      <c r="D2193"/>
      <c r="E2193" s="2">
        <f>Comuni__2[[#This Row],[Popolazione2011]]/$D$7911</f>
        <v>2.3357928772352196E-5</v>
      </c>
      <c r="F2193">
        <f>SUMIFS($D$2:$D$7909, $B$2:$B$7909, "Lazio")</f>
        <v>5502886</v>
      </c>
      <c r="G2193" s="1">
        <f>Comuni__2[[#This Row],[Popolazione2011]]/Comuni__2[[#This Row],[POPOLAZIONE TOTALE DI OGNI REGIONE (CON FILTRO)]]</f>
        <v>2.5223128373002819E-4</v>
      </c>
      <c r="H2193" t="str">
        <f>IF(Comuni__2[[#This Row],[Popolazione2011]]&gt;300000,"MAGGIORE","")</f>
        <v/>
      </c>
      <c r="J2193">
        <v>22</v>
      </c>
      <c r="K2193">
        <v>8699</v>
      </c>
      <c r="L2193">
        <v>1571</v>
      </c>
    </row>
    <row r="2194" spans="1:12" x14ac:dyDescent="0.2">
      <c r="A2194"/>
      <c r="B2194"/>
      <c r="C2194"/>
      <c r="D2194"/>
      <c r="E2194" s="2">
        <f>Comuni__2[[#This Row],[Popolazione2011]]/$D$7911</f>
        <v>2.290355984090154E-5</v>
      </c>
      <c r="F2194">
        <f>SUMIFS($D$2:$D$7909, $B$2:$B$7909, "Lazio")</f>
        <v>5502886</v>
      </c>
      <c r="G2194" s="1">
        <f>Comuni__2[[#This Row],[Popolazione2011]]/Comuni__2[[#This Row],[POPOLAZIONE TOTALE DI OGNI REGIONE (CON FILTRO)]]</f>
        <v>2.4732476740386771E-4</v>
      </c>
      <c r="H2194" t="str">
        <f>IF(Comuni__2[[#This Row],[Popolazione2011]]&gt;300000,"MAGGIORE","")</f>
        <v/>
      </c>
      <c r="J2194">
        <v>24</v>
      </c>
      <c r="K2194">
        <v>8699</v>
      </c>
      <c r="L2194">
        <v>1571</v>
      </c>
    </row>
    <row r="2195" spans="1:12" x14ac:dyDescent="0.2">
      <c r="A2195"/>
      <c r="B2195"/>
      <c r="C2195"/>
      <c r="D2195"/>
      <c r="E2195" s="2">
        <f>Comuni__2[[#This Row],[Popolazione2011]]/$D$7911</f>
        <v>2.2768932009360604E-5</v>
      </c>
      <c r="F2195">
        <f>SUMIFS($D$2:$D$7909, $B$2:$B$7909, "Lazio")</f>
        <v>5502886</v>
      </c>
      <c r="G2195" s="1">
        <f>Comuni__2[[#This Row],[Popolazione2011]]/Comuni__2[[#This Row],[POPOLAZIONE TOTALE DI OGNI REGIONE (CON FILTRO)]]</f>
        <v>2.4587098478870905E-4</v>
      </c>
      <c r="H2195" t="str">
        <f>IF(Comuni__2[[#This Row],[Popolazione2011]]&gt;300000,"MAGGIORE","")</f>
        <v/>
      </c>
      <c r="J2195">
        <v>23</v>
      </c>
      <c r="K2195">
        <v>8713</v>
      </c>
      <c r="L2195">
        <v>1571</v>
      </c>
    </row>
    <row r="2196" spans="1:12" x14ac:dyDescent="0.2">
      <c r="A2196"/>
      <c r="B2196"/>
      <c r="C2196"/>
      <c r="D2196"/>
      <c r="E2196" s="2">
        <f>Comuni__2[[#This Row],[Popolazione2011]]/$D$7911</f>
        <v>2.2600647219934436E-5</v>
      </c>
      <c r="F2196">
        <f>SUMIFS($D$2:$D$7909, $B$2:$B$7909, "Lazio")</f>
        <v>5502886</v>
      </c>
      <c r="G2196" s="1">
        <f>Comuni__2[[#This Row],[Popolazione2011]]/Comuni__2[[#This Row],[POPOLAZIONE TOTALE DI OGNI REGIONE (CON FILTRO)]]</f>
        <v>2.4405375651976073E-4</v>
      </c>
      <c r="H2196" t="str">
        <f>IF(Comuni__2[[#This Row],[Popolazione2011]]&gt;300000,"MAGGIORE","")</f>
        <v/>
      </c>
      <c r="J2196">
        <v>26</v>
      </c>
      <c r="K2196">
        <v>8732</v>
      </c>
      <c r="L2196">
        <v>1571</v>
      </c>
    </row>
    <row r="2197" spans="1:12" x14ac:dyDescent="0.2">
      <c r="A2197"/>
      <c r="B2197"/>
      <c r="C2197"/>
      <c r="D2197"/>
      <c r="E2197" s="2">
        <f>Comuni__2[[#This Row],[Popolazione2011]]/$D$7911</f>
        <v>2.2466019388393504E-5</v>
      </c>
      <c r="F2197">
        <f>SUMIFS($D$2:$D$7909, $B$2:$B$7909, "Lazio")</f>
        <v>5502886</v>
      </c>
      <c r="G2197" s="1">
        <f>Comuni__2[[#This Row],[Popolazione2011]]/Comuni__2[[#This Row],[POPOLAZIONE TOTALE DI OGNI REGIONE (CON FILTRO)]]</f>
        <v>2.4259997390460206E-4</v>
      </c>
      <c r="H2197" t="str">
        <f>IF(Comuni__2[[#This Row],[Popolazione2011]]&gt;300000,"MAGGIORE","")</f>
        <v/>
      </c>
      <c r="J2197">
        <v>28</v>
      </c>
      <c r="K2197">
        <v>8767</v>
      </c>
      <c r="L2197">
        <v>1571</v>
      </c>
    </row>
    <row r="2198" spans="1:12" x14ac:dyDescent="0.2">
      <c r="A2198"/>
      <c r="B2198"/>
      <c r="C2198"/>
      <c r="D2198"/>
      <c r="E2198" s="2">
        <f>Comuni__2[[#This Row],[Popolazione2011]]/$D$7911</f>
        <v>2.2179935246369016E-5</v>
      </c>
      <c r="F2198">
        <f>SUMIFS($D$2:$D$7909, $B$2:$B$7909, "Lazio")</f>
        <v>5502886</v>
      </c>
      <c r="G2198" s="1">
        <f>Comuni__2[[#This Row],[Popolazione2011]]/Comuni__2[[#This Row],[POPOLAZIONE TOTALE DI OGNI REGIONE (CON FILTRO)]]</f>
        <v>2.3951068584738991E-4</v>
      </c>
      <c r="H2198" t="str">
        <f>IF(Comuni__2[[#This Row],[Popolazione2011]]&gt;300000,"MAGGIORE","")</f>
        <v/>
      </c>
      <c r="J2198">
        <v>30</v>
      </c>
      <c r="K2198">
        <v>8790</v>
      </c>
      <c r="L2198">
        <v>1571</v>
      </c>
    </row>
    <row r="2199" spans="1:12" x14ac:dyDescent="0.2">
      <c r="A2199"/>
      <c r="B2199"/>
      <c r="C2199"/>
      <c r="D2199"/>
      <c r="E2199" s="2">
        <f>Comuni__2[[#This Row],[Popolazione2011]]/$D$7911</f>
        <v>2.2095792851655932E-5</v>
      </c>
      <c r="F2199">
        <f>SUMIFS($D$2:$D$7909, $B$2:$B$7909, "Lazio")</f>
        <v>5502886</v>
      </c>
      <c r="G2199" s="1">
        <f>Comuni__2[[#This Row],[Popolazione2011]]/Comuni__2[[#This Row],[POPOLAZIONE TOTALE DI OGNI REGIONE (CON FILTRO)]]</f>
        <v>2.3860207171291572E-4</v>
      </c>
      <c r="H2199" t="str">
        <f>IF(Comuni__2[[#This Row],[Popolazione2011]]&gt;300000,"MAGGIORE","")</f>
        <v/>
      </c>
      <c r="J2199">
        <v>33</v>
      </c>
      <c r="K2199">
        <v>8827</v>
      </c>
      <c r="L2199">
        <v>1571</v>
      </c>
    </row>
    <row r="2200" spans="1:12" x14ac:dyDescent="0.2">
      <c r="A2200"/>
      <c r="B2200"/>
      <c r="C2200"/>
      <c r="D2200"/>
      <c r="E2200" s="2">
        <f>Comuni__2[[#This Row],[Popolazione2011]]/$D$7911</f>
        <v>2.182653718857406E-5</v>
      </c>
      <c r="F2200">
        <f>SUMIFS($D$2:$D$7909, $B$2:$B$7909, "Lazio")</f>
        <v>5502886</v>
      </c>
      <c r="G2200" s="1">
        <f>Comuni__2[[#This Row],[Popolazione2011]]/Comuni__2[[#This Row],[POPOLAZIONE TOTALE DI OGNI REGIONE (CON FILTRO)]]</f>
        <v>2.356945064825984E-4</v>
      </c>
      <c r="H2200" t="str">
        <f>IF(Comuni__2[[#This Row],[Popolazione2011]]&gt;300000,"MAGGIORE","")</f>
        <v/>
      </c>
      <c r="J2200">
        <v>39</v>
      </c>
      <c r="K2200">
        <v>8839</v>
      </c>
      <c r="L2200">
        <v>1571</v>
      </c>
    </row>
    <row r="2201" spans="1:12" x14ac:dyDescent="0.2">
      <c r="A2201"/>
      <c r="B2201"/>
      <c r="C2201"/>
      <c r="D2201"/>
      <c r="E2201" s="2">
        <f>Comuni__2[[#This Row],[Popolazione2011]]/$D$7911</f>
        <v>2.1691909357033128E-5</v>
      </c>
      <c r="F2201">
        <f>SUMIFS($D$2:$D$7909, $B$2:$B$7909, "Lazio")</f>
        <v>5502886</v>
      </c>
      <c r="G2201" s="1">
        <f>Comuni__2[[#This Row],[Popolazione2011]]/Comuni__2[[#This Row],[POPOLAZIONE TOTALE DI OGNI REGIONE (CON FILTRO)]]</f>
        <v>2.3424072386743974E-4</v>
      </c>
      <c r="H2201" t="str">
        <f>IF(Comuni__2[[#This Row],[Popolazione2011]]&gt;300000,"MAGGIORE","")</f>
        <v/>
      </c>
      <c r="J2201">
        <v>44</v>
      </c>
      <c r="K2201">
        <v>8839</v>
      </c>
      <c r="L2201">
        <v>1571</v>
      </c>
    </row>
    <row r="2202" spans="1:12" x14ac:dyDescent="0.2">
      <c r="A2202"/>
      <c r="B2202"/>
      <c r="C2202"/>
      <c r="D2202"/>
      <c r="E2202" s="2">
        <f>Comuni__2[[#This Row],[Popolazione2011]]/$D$7911</f>
        <v>2.1641423920205276E-5</v>
      </c>
      <c r="F2202">
        <f>SUMIFS($D$2:$D$7909, $B$2:$B$7909, "Lazio")</f>
        <v>5502886</v>
      </c>
      <c r="G2202" s="1">
        <f>Comuni__2[[#This Row],[Popolazione2011]]/Comuni__2[[#This Row],[POPOLAZIONE TOTALE DI OGNI REGIONE (CON FILTRO)]]</f>
        <v>2.3369555538675524E-4</v>
      </c>
      <c r="H2202" t="str">
        <f>IF(Comuni__2[[#This Row],[Popolazione2011]]&gt;300000,"MAGGIORE","")</f>
        <v/>
      </c>
      <c r="J2202">
        <v>44</v>
      </c>
      <c r="K2202">
        <v>8839</v>
      </c>
      <c r="L2202">
        <v>1571</v>
      </c>
    </row>
    <row r="2203" spans="1:12" x14ac:dyDescent="0.2">
      <c r="A2203"/>
      <c r="B2203"/>
      <c r="C2203"/>
      <c r="D2203"/>
      <c r="E2203" s="2">
        <f>Comuni__2[[#This Row],[Popolazione2011]]/$D$7911</f>
        <v>2.1489967609721724E-5</v>
      </c>
      <c r="F2203">
        <f>SUMIFS($D$2:$D$7909, $B$2:$B$7909, "Lazio")</f>
        <v>5502886</v>
      </c>
      <c r="G2203" s="1">
        <f>Comuni__2[[#This Row],[Popolazione2011]]/Comuni__2[[#This Row],[POPOLAZIONE TOTALE DI OGNI REGIONE (CON FILTRO)]]</f>
        <v>2.3206004994470175E-4</v>
      </c>
      <c r="H2203" t="str">
        <f>IF(Comuni__2[[#This Row],[Popolazione2011]]&gt;300000,"MAGGIORE","")</f>
        <v/>
      </c>
      <c r="J2203">
        <v>46</v>
      </c>
      <c r="K2203">
        <v>8840</v>
      </c>
      <c r="L2203">
        <v>1572</v>
      </c>
    </row>
    <row r="2204" spans="1:12" x14ac:dyDescent="0.2">
      <c r="A2204"/>
      <c r="B2204"/>
      <c r="C2204"/>
      <c r="D2204"/>
      <c r="E2204" s="2">
        <f>Comuni__2[[#This Row],[Popolazione2011]]/$D$7911</f>
        <v>2.1119741072984153E-5</v>
      </c>
      <c r="F2204">
        <f>SUMIFS($D$2:$D$7909, $B$2:$B$7909, "Lazio")</f>
        <v>5502886</v>
      </c>
      <c r="G2204" s="1">
        <f>Comuni__2[[#This Row],[Popolazione2011]]/Comuni__2[[#This Row],[POPOLAZIONE TOTALE DI OGNI REGIONE (CON FILTRO)]]</f>
        <v>2.2806214775301543E-4</v>
      </c>
      <c r="H2204" t="str">
        <f>IF(Comuni__2[[#This Row],[Popolazione2011]]&gt;300000,"MAGGIORE","")</f>
        <v/>
      </c>
      <c r="J2204">
        <v>54</v>
      </c>
      <c r="K2204">
        <v>8841</v>
      </c>
      <c r="L2204">
        <v>1572</v>
      </c>
    </row>
    <row r="2205" spans="1:12" x14ac:dyDescent="0.2">
      <c r="A2205"/>
      <c r="B2205"/>
      <c r="C2205"/>
      <c r="D2205"/>
      <c r="E2205" s="2">
        <f>Comuni__2[[#This Row],[Popolazione2011]]/$D$7911</f>
        <v>2.1018770199328453E-5</v>
      </c>
      <c r="F2205">
        <f>SUMIFS($D$2:$D$7909, $B$2:$B$7909, "Lazio")</f>
        <v>5502886</v>
      </c>
      <c r="G2205" s="1">
        <f>Comuni__2[[#This Row],[Popolazione2011]]/Comuni__2[[#This Row],[POPOLAZIONE TOTALE DI OGNI REGIONE (CON FILTRO)]]</f>
        <v>2.2697181079164641E-4</v>
      </c>
      <c r="H2205" t="str">
        <f>IF(Comuni__2[[#This Row],[Popolazione2011]]&gt;300000,"MAGGIORE","")</f>
        <v/>
      </c>
      <c r="J2205">
        <v>61</v>
      </c>
      <c r="K2205">
        <v>8901</v>
      </c>
      <c r="L2205">
        <v>1573</v>
      </c>
    </row>
    <row r="2206" spans="1:12" x14ac:dyDescent="0.2">
      <c r="A2206"/>
      <c r="B2206"/>
      <c r="C2206"/>
      <c r="D2206"/>
      <c r="E2206" s="2">
        <f>Comuni__2[[#This Row],[Popolazione2011]]/$D$7911</f>
        <v>2.1001941720385836E-5</v>
      </c>
      <c r="F2206">
        <f>SUMIFS($D$2:$D$7909, $B$2:$B$7909, "Lazio")</f>
        <v>5502886</v>
      </c>
      <c r="G2206" s="1">
        <f>Comuni__2[[#This Row],[Popolazione2011]]/Comuni__2[[#This Row],[POPOLAZIONE TOTALE DI OGNI REGIONE (CON FILTRO)]]</f>
        <v>2.2679008796475157E-4</v>
      </c>
      <c r="H2206" t="str">
        <f>IF(Comuni__2[[#This Row],[Popolazione2011]]&gt;300000,"MAGGIORE","")</f>
        <v/>
      </c>
      <c r="J2206">
        <v>71</v>
      </c>
      <c r="K2206">
        <v>8949</v>
      </c>
      <c r="L2206">
        <v>1575</v>
      </c>
    </row>
    <row r="2207" spans="1:12" x14ac:dyDescent="0.2">
      <c r="A2207"/>
      <c r="B2207"/>
      <c r="C2207"/>
      <c r="D2207"/>
      <c r="E2207" s="2">
        <f>Comuni__2[[#This Row],[Popolazione2011]]/$D$7911</f>
        <v>2.0968284762500601E-5</v>
      </c>
      <c r="F2207">
        <f>SUMIFS($D$2:$D$7909, $B$2:$B$7909, "Lazio")</f>
        <v>5502886</v>
      </c>
      <c r="G2207" s="1">
        <f>Comuni__2[[#This Row],[Popolazione2011]]/Comuni__2[[#This Row],[POPOLAZIONE TOTALE DI OGNI REGIONE (CON FILTRO)]]</f>
        <v>2.2642664231096191E-4</v>
      </c>
      <c r="H2207" t="str">
        <f>IF(Comuni__2[[#This Row],[Popolazione2011]]&gt;300000,"MAGGIORE","")</f>
        <v/>
      </c>
      <c r="J2207">
        <v>77</v>
      </c>
      <c r="K2207">
        <v>8951</v>
      </c>
      <c r="L2207">
        <v>1577</v>
      </c>
    </row>
    <row r="2208" spans="1:12" x14ac:dyDescent="0.2">
      <c r="A2208"/>
      <c r="B2208"/>
      <c r="C2208"/>
      <c r="D2208"/>
      <c r="E2208" s="2">
        <f>Comuni__2[[#This Row],[Popolazione2011]]/$D$7911</f>
        <v>2.0749514536246584E-5</v>
      </c>
      <c r="F2208">
        <f>SUMIFS($D$2:$D$7909, $B$2:$B$7909, "Lazio")</f>
        <v>5502886</v>
      </c>
      <c r="G2208" s="1">
        <f>Comuni__2[[#This Row],[Popolazione2011]]/Comuni__2[[#This Row],[POPOLAZIONE TOTALE DI OGNI REGIONE (CON FILTRO)]]</f>
        <v>2.2406424556132908E-4</v>
      </c>
      <c r="H2208" t="str">
        <f>IF(Comuni__2[[#This Row],[Popolazione2011]]&gt;300000,"MAGGIORE","")</f>
        <v/>
      </c>
      <c r="J2208">
        <v>96</v>
      </c>
      <c r="K2208">
        <v>8977</v>
      </c>
      <c r="L2208">
        <v>1578</v>
      </c>
    </row>
    <row r="2209" spans="1:12" x14ac:dyDescent="0.2">
      <c r="A2209"/>
      <c r="B2209"/>
      <c r="C2209"/>
      <c r="D2209"/>
      <c r="E2209" s="2">
        <f>Comuni__2[[#This Row],[Popolazione2011]]/$D$7911</f>
        <v>2.0732686057303965E-5</v>
      </c>
      <c r="F2209">
        <f>SUMIFS($D$2:$D$7909, $B$2:$B$7909, "Lazio")</f>
        <v>5502886</v>
      </c>
      <c r="G2209" s="1">
        <f>Comuni__2[[#This Row],[Popolazione2011]]/Comuni__2[[#This Row],[POPOLAZIONE TOTALE DI OGNI REGIONE (CON FILTRO)]]</f>
        <v>2.2388252273443425E-4</v>
      </c>
      <c r="H2209" t="str">
        <f>IF(Comuni__2[[#This Row],[Popolazione2011]]&gt;300000,"MAGGIORE","")</f>
        <v/>
      </c>
      <c r="J2209">
        <v>98</v>
      </c>
      <c r="K2209">
        <v>8980</v>
      </c>
      <c r="L2209">
        <v>1579</v>
      </c>
    </row>
    <row r="2210" spans="1:12" x14ac:dyDescent="0.2">
      <c r="A2210"/>
      <c r="B2210"/>
      <c r="C2210"/>
      <c r="D2210"/>
      <c r="E2210" s="2">
        <f>Comuni__2[[#This Row],[Popolazione2011]]/$D$7911</f>
        <v>2.0715857578361349E-5</v>
      </c>
      <c r="F2210">
        <f>SUMIFS($D$2:$D$7909, $B$2:$B$7909, "Lazio")</f>
        <v>5502886</v>
      </c>
      <c r="G2210" s="1">
        <f>Comuni__2[[#This Row],[Popolazione2011]]/Comuni__2[[#This Row],[POPOLAZIONE TOTALE DI OGNI REGIONE (CON FILTRO)]]</f>
        <v>2.2370079990753942E-4</v>
      </c>
      <c r="H2210" t="str">
        <f>IF(Comuni__2[[#This Row],[Popolazione2011]]&gt;300000,"MAGGIORE","")</f>
        <v/>
      </c>
      <c r="J2210">
        <v>102</v>
      </c>
      <c r="K2210">
        <v>9060</v>
      </c>
      <c r="L2210">
        <v>1579</v>
      </c>
    </row>
    <row r="2211" spans="1:12" x14ac:dyDescent="0.2">
      <c r="A2211"/>
      <c r="B2211"/>
      <c r="C2211"/>
      <c r="D2211"/>
      <c r="E2211" s="2">
        <f>Comuni__2[[#This Row],[Popolazione2011]]/$D$7911</f>
        <v>2.0699029099418733E-5</v>
      </c>
      <c r="F2211">
        <f>SUMIFS($D$2:$D$7909, $B$2:$B$7909, "Lazio")</f>
        <v>5502886</v>
      </c>
      <c r="G2211" s="1">
        <f>Comuni__2[[#This Row],[Popolazione2011]]/Comuni__2[[#This Row],[POPOLAZIONE TOTALE DI OGNI REGIONE (CON FILTRO)]]</f>
        <v>2.2351907708064459E-4</v>
      </c>
      <c r="H2211" t="str">
        <f>IF(Comuni__2[[#This Row],[Popolazione2011]]&gt;300000,"MAGGIORE","")</f>
        <v/>
      </c>
      <c r="J2211">
        <v>108</v>
      </c>
      <c r="K2211">
        <v>9089</v>
      </c>
      <c r="L2211">
        <v>1579</v>
      </c>
    </row>
    <row r="2212" spans="1:12" x14ac:dyDescent="0.2">
      <c r="A2212"/>
      <c r="B2212"/>
      <c r="C2212"/>
      <c r="D2212"/>
      <c r="E2212" s="2">
        <f>Comuni__2[[#This Row],[Popolazione2011]]/$D$7911</f>
        <v>2.0480258873164713E-5</v>
      </c>
      <c r="F2212">
        <f>SUMIFS($D$2:$D$7909, $B$2:$B$7909, "Lazio")</f>
        <v>5502886</v>
      </c>
      <c r="G2212" s="1">
        <f>Comuni__2[[#This Row],[Popolazione2011]]/Comuni__2[[#This Row],[POPOLAZIONE TOTALE DI OGNI REGIONE (CON FILTRO)]]</f>
        <v>2.2115668033101176E-4</v>
      </c>
      <c r="H2212" t="str">
        <f>IF(Comuni__2[[#This Row],[Popolazione2011]]&gt;300000,"MAGGIORE","")</f>
        <v/>
      </c>
      <c r="J2212">
        <v>120</v>
      </c>
      <c r="K2212">
        <v>9107</v>
      </c>
      <c r="L2212">
        <v>1579</v>
      </c>
    </row>
    <row r="2213" spans="1:12" x14ac:dyDescent="0.2">
      <c r="A2213"/>
      <c r="B2213"/>
      <c r="C2213"/>
      <c r="D2213"/>
      <c r="E2213" s="2">
        <f>Comuni__2[[#This Row],[Popolazione2011]]/$D$7911</f>
        <v>2.0396116478451629E-5</v>
      </c>
      <c r="F2213">
        <f>SUMIFS($D$2:$D$7909, $B$2:$B$7909, "Lazio")</f>
        <v>5502886</v>
      </c>
      <c r="G2213" s="1">
        <f>Comuni__2[[#This Row],[Popolazione2011]]/Comuni__2[[#This Row],[POPOLAZIONE TOTALE DI OGNI REGIONE (CON FILTRO)]]</f>
        <v>2.202480661965376E-4</v>
      </c>
      <c r="H2213" t="str">
        <f>IF(Comuni__2[[#This Row],[Popolazione2011]]&gt;300000,"MAGGIORE","")</f>
        <v/>
      </c>
      <c r="J2213">
        <v>126</v>
      </c>
      <c r="K2213">
        <v>9130</v>
      </c>
      <c r="L2213">
        <v>1579</v>
      </c>
    </row>
    <row r="2214" spans="1:12" x14ac:dyDescent="0.2">
      <c r="A2214"/>
      <c r="B2214"/>
      <c r="C2214"/>
      <c r="D2214"/>
      <c r="E2214" s="2">
        <f>Comuni__2[[#This Row],[Popolazione2011]]/$D$7911</f>
        <v>2.0059546899599293E-5</v>
      </c>
      <c r="F2214">
        <f>SUMIFS($D$2:$D$7909, $B$2:$B$7909, "Lazio")</f>
        <v>5502886</v>
      </c>
      <c r="G2214" s="1">
        <f>Comuni__2[[#This Row],[Popolazione2011]]/Comuni__2[[#This Row],[POPOLAZIONE TOTALE DI OGNI REGIONE (CON FILTRO)]]</f>
        <v>2.1661360965864095E-4</v>
      </c>
      <c r="H2214" t="str">
        <f>IF(Comuni__2[[#This Row],[Popolazione2011]]&gt;300000,"MAGGIORE","")</f>
        <v/>
      </c>
      <c r="J2214">
        <v>138</v>
      </c>
      <c r="K2214">
        <v>9135</v>
      </c>
      <c r="L2214">
        <v>1582</v>
      </c>
    </row>
    <row r="2215" spans="1:12" x14ac:dyDescent="0.2">
      <c r="A2215"/>
      <c r="B2215"/>
      <c r="C2215"/>
      <c r="D2215"/>
      <c r="E2215" s="2">
        <f>Comuni__2[[#This Row],[Popolazione2011]]/$D$7911</f>
        <v>1.9487378615550317E-5</v>
      </c>
      <c r="F2215">
        <f>SUMIFS($D$2:$D$7909, $B$2:$B$7909, "Lazio")</f>
        <v>5502886</v>
      </c>
      <c r="G2215" s="1">
        <f>Comuni__2[[#This Row],[Popolazione2011]]/Comuni__2[[#This Row],[POPOLAZIONE TOTALE DI OGNI REGIONE (CON FILTRO)]]</f>
        <v>2.1043503354421661E-4</v>
      </c>
      <c r="H2215" t="str">
        <f>IF(Comuni__2[[#This Row],[Popolazione2011]]&gt;300000,"MAGGIORE","")</f>
        <v/>
      </c>
      <c r="J2215">
        <v>140</v>
      </c>
      <c r="K2215">
        <v>9225</v>
      </c>
      <c r="L2215">
        <v>1582</v>
      </c>
    </row>
    <row r="2216" spans="1:12" x14ac:dyDescent="0.2">
      <c r="A2216"/>
      <c r="B2216"/>
      <c r="C2216"/>
      <c r="D2216"/>
      <c r="E2216" s="2">
        <f>Comuni__2[[#This Row],[Popolazione2011]]/$D$7911</f>
        <v>1.8948867289386581E-5</v>
      </c>
      <c r="F2216">
        <f>SUMIFS($D$2:$D$7909, $B$2:$B$7909, "Lazio")</f>
        <v>5502886</v>
      </c>
      <c r="G2216" s="1">
        <f>Comuni__2[[#This Row],[Popolazione2011]]/Comuni__2[[#This Row],[POPOLAZIONE TOTALE DI OGNI REGIONE (CON FILTRO)]]</f>
        <v>2.0461990308358197E-4</v>
      </c>
      <c r="H2216" t="str">
        <f>IF(Comuni__2[[#This Row],[Popolazione2011]]&gt;300000,"MAGGIORE","")</f>
        <v/>
      </c>
      <c r="J2216">
        <v>149</v>
      </c>
      <c r="K2216">
        <v>9225</v>
      </c>
      <c r="L2216">
        <v>1583</v>
      </c>
    </row>
    <row r="2217" spans="1:12" x14ac:dyDescent="0.2">
      <c r="A2217"/>
      <c r="B2217"/>
      <c r="C2217"/>
      <c r="D2217"/>
      <c r="E2217" s="2">
        <f>Comuni__2[[#This Row],[Popolazione2011]]/$D$7911</f>
        <v>1.8612297710534242E-5</v>
      </c>
      <c r="F2217">
        <f>SUMIFS($D$2:$D$7909, $B$2:$B$7909, "Lazio")</f>
        <v>5502886</v>
      </c>
      <c r="G2217" s="1">
        <f>Comuni__2[[#This Row],[Popolazione2011]]/Comuni__2[[#This Row],[POPOLAZIONE TOTALE DI OGNI REGIONE (CON FILTRO)]]</f>
        <v>2.0098544654568529E-4</v>
      </c>
      <c r="H2217" t="str">
        <f>IF(Comuni__2[[#This Row],[Popolazione2011]]&gt;300000,"MAGGIORE","")</f>
        <v/>
      </c>
      <c r="J2217">
        <v>150</v>
      </c>
      <c r="K2217">
        <v>9227</v>
      </c>
      <c r="L2217">
        <v>1586</v>
      </c>
    </row>
    <row r="2218" spans="1:12" x14ac:dyDescent="0.2">
      <c r="A2218"/>
      <c r="B2218"/>
      <c r="C2218"/>
      <c r="D2218"/>
      <c r="E2218" s="2">
        <f>Comuni__2[[#This Row],[Popolazione2011]]/$D$7911</f>
        <v>1.8410355963222841E-5</v>
      </c>
      <c r="F2218">
        <f>SUMIFS($D$2:$D$7909, $B$2:$B$7909, "Lazio")</f>
        <v>5502886</v>
      </c>
      <c r="G2218" s="1">
        <f>Comuni__2[[#This Row],[Popolazione2011]]/Comuni__2[[#This Row],[POPOLAZIONE TOTALE DI OGNI REGIONE (CON FILTRO)]]</f>
        <v>1.988047726229473E-4</v>
      </c>
      <c r="H2218" t="str">
        <f>IF(Comuni__2[[#This Row],[Popolazione2011]]&gt;300000,"MAGGIORE","")</f>
        <v/>
      </c>
      <c r="J2218">
        <v>157</v>
      </c>
      <c r="K2218">
        <v>9329</v>
      </c>
      <c r="L2218">
        <v>1586</v>
      </c>
    </row>
    <row r="2219" spans="1:12" x14ac:dyDescent="0.2">
      <c r="A2219"/>
      <c r="B2219"/>
      <c r="C2219"/>
      <c r="D2219"/>
      <c r="E2219" s="2">
        <f>Comuni__2[[#This Row],[Popolazione2011]]/$D$7911</f>
        <v>1.8258899652739289E-5</v>
      </c>
      <c r="F2219">
        <f>SUMIFS($D$2:$D$7909, $B$2:$B$7909, "Lazio")</f>
        <v>5502886</v>
      </c>
      <c r="G2219" s="1">
        <f>Comuni__2[[#This Row],[Popolazione2011]]/Comuni__2[[#This Row],[POPOLAZIONE TOTALE DI OGNI REGIONE (CON FILTRO)]]</f>
        <v>1.9716926718089381E-4</v>
      </c>
      <c r="H2219" t="str">
        <f>IF(Comuni__2[[#This Row],[Popolazione2011]]&gt;300000,"MAGGIORE","")</f>
        <v/>
      </c>
      <c r="J2219">
        <v>156</v>
      </c>
      <c r="K2219">
        <v>9386</v>
      </c>
      <c r="L2219">
        <v>1588</v>
      </c>
    </row>
    <row r="2220" spans="1:12" x14ac:dyDescent="0.2">
      <c r="A2220"/>
      <c r="B2220"/>
      <c r="C2220"/>
      <c r="D2220"/>
      <c r="E2220" s="2">
        <f>Comuni__2[[#This Row],[Popolazione2011]]/$D$7911</f>
        <v>1.8023300947542653E-5</v>
      </c>
      <c r="F2220">
        <f>SUMIFS($D$2:$D$7909, $B$2:$B$7909, "Lazio")</f>
        <v>5502886</v>
      </c>
      <c r="G2220" s="1">
        <f>Comuni__2[[#This Row],[Popolazione2011]]/Comuni__2[[#This Row],[POPOLAZIONE TOTALE DI OGNI REGIONE (CON FILTRO)]]</f>
        <v>1.9462514760436615E-4</v>
      </c>
      <c r="H2220" t="str">
        <f>IF(Comuni__2[[#This Row],[Popolazione2011]]&gt;300000,"MAGGIORE","")</f>
        <v/>
      </c>
      <c r="J2220">
        <v>151</v>
      </c>
      <c r="K2220">
        <v>9440</v>
      </c>
      <c r="L2220">
        <v>1591</v>
      </c>
    </row>
    <row r="2221" spans="1:12" x14ac:dyDescent="0.2">
      <c r="A2221"/>
      <c r="B2221"/>
      <c r="C2221"/>
      <c r="D2221"/>
      <c r="E2221" s="2">
        <f>Comuni__2[[#This Row],[Popolazione2011]]/$D$7911</f>
        <v>1.7619417452919849E-5</v>
      </c>
      <c r="F2221">
        <f>SUMIFS($D$2:$D$7909, $B$2:$B$7909, "Lazio")</f>
        <v>5502886</v>
      </c>
      <c r="G2221" s="1">
        <f>Comuni__2[[#This Row],[Popolazione2011]]/Comuni__2[[#This Row],[POPOLAZIONE TOTALE DI OGNI REGIONE (CON FILTRO)]]</f>
        <v>1.9026379975889017E-4</v>
      </c>
      <c r="H2221" t="str">
        <f>IF(Comuni__2[[#This Row],[Popolazione2011]]&gt;300000,"MAGGIORE","")</f>
        <v/>
      </c>
      <c r="J2221">
        <v>160</v>
      </c>
      <c r="K2221">
        <v>9440</v>
      </c>
      <c r="L2221">
        <v>1591</v>
      </c>
    </row>
    <row r="2222" spans="1:12" x14ac:dyDescent="0.2">
      <c r="A2222"/>
      <c r="B2222"/>
      <c r="C2222"/>
      <c r="D2222"/>
      <c r="E2222" s="2">
        <f>Comuni__2[[#This Row],[Popolazione2011]]/$D$7911</f>
        <v>1.7299676353010126E-5</v>
      </c>
      <c r="F2222">
        <f>SUMIFS($D$2:$D$7909, $B$2:$B$7909, "Lazio")</f>
        <v>5502886</v>
      </c>
      <c r="G2222" s="1">
        <f>Comuni__2[[#This Row],[Popolazione2011]]/Comuni__2[[#This Row],[POPOLAZIONE TOTALE DI OGNI REGIONE (CON FILTRO)]]</f>
        <v>1.8681106604788832E-4</v>
      </c>
      <c r="H2222" t="str">
        <f>IF(Comuni__2[[#This Row],[Popolazione2011]]&gt;300000,"MAGGIORE","")</f>
        <v/>
      </c>
      <c r="J2222">
        <v>165</v>
      </c>
      <c r="K2222">
        <v>9539</v>
      </c>
      <c r="L2222">
        <v>1592</v>
      </c>
    </row>
    <row r="2223" spans="1:12" x14ac:dyDescent="0.2">
      <c r="A2223"/>
      <c r="B2223"/>
      <c r="C2223"/>
      <c r="D2223"/>
      <c r="E2223" s="2">
        <f>Comuni__2[[#This Row],[Popolazione2011]]/$D$7911</f>
        <v>1.7114563084641342E-5</v>
      </c>
      <c r="F2223">
        <f>SUMIFS($D$2:$D$7909, $B$2:$B$7909, "Lazio")</f>
        <v>5502886</v>
      </c>
      <c r="G2223" s="1">
        <f>Comuni__2[[#This Row],[Popolazione2011]]/Comuni__2[[#This Row],[POPOLAZIONE TOTALE DI OGNI REGIONE (CON FILTRO)]]</f>
        <v>1.8481211495204516E-4</v>
      </c>
      <c r="H2223" t="str">
        <f>IF(Comuni__2[[#This Row],[Popolazione2011]]&gt;300000,"MAGGIORE","")</f>
        <v/>
      </c>
      <c r="J2223">
        <v>167</v>
      </c>
      <c r="K2223">
        <v>9582</v>
      </c>
      <c r="L2223">
        <v>1594</v>
      </c>
    </row>
    <row r="2224" spans="1:12" x14ac:dyDescent="0.2">
      <c r="A2224"/>
      <c r="B2224"/>
      <c r="C2224"/>
      <c r="D2224"/>
      <c r="E2224" s="2">
        <f>Comuni__2[[#This Row],[Popolazione2011]]/$D$7911</f>
        <v>1.7030420689928258E-5</v>
      </c>
      <c r="F2224">
        <f>SUMIFS($D$2:$D$7909, $B$2:$B$7909, "Lazio")</f>
        <v>5502886</v>
      </c>
      <c r="G2224" s="1">
        <f>Comuni__2[[#This Row],[Popolazione2011]]/Comuni__2[[#This Row],[POPOLAZIONE TOTALE DI OGNI REGIONE (CON FILTRO)]]</f>
        <v>1.83903500817571E-4</v>
      </c>
      <c r="H2224" t="str">
        <f>IF(Comuni__2[[#This Row],[Popolazione2011]]&gt;300000,"MAGGIORE","")</f>
        <v/>
      </c>
      <c r="J2224">
        <v>171</v>
      </c>
      <c r="K2224">
        <v>9621</v>
      </c>
      <c r="L2224">
        <v>1596</v>
      </c>
    </row>
    <row r="2225" spans="1:12" x14ac:dyDescent="0.2">
      <c r="A2225"/>
      <c r="B2225"/>
      <c r="C2225"/>
      <c r="D2225"/>
      <c r="E2225" s="2">
        <f>Comuni__2[[#This Row],[Popolazione2011]]/$D$7911</f>
        <v>1.686213590050209E-5</v>
      </c>
      <c r="F2225">
        <f>SUMIFS($D$2:$D$7909, $B$2:$B$7909, "Lazio")</f>
        <v>5502886</v>
      </c>
      <c r="G2225" s="1">
        <f>Comuni__2[[#This Row],[Popolazione2011]]/Comuni__2[[#This Row],[POPOLAZIONE TOTALE DI OGNI REGIONE (CON FILTRO)]]</f>
        <v>1.8208627254862267E-4</v>
      </c>
      <c r="H2225" t="str">
        <f>IF(Comuni__2[[#This Row],[Popolazione2011]]&gt;300000,"MAGGIORE","")</f>
        <v/>
      </c>
      <c r="J2225">
        <v>162</v>
      </c>
      <c r="K2225">
        <v>9621</v>
      </c>
      <c r="L2225">
        <v>1597</v>
      </c>
    </row>
    <row r="2226" spans="1:12" x14ac:dyDescent="0.2">
      <c r="A2226"/>
      <c r="B2226"/>
      <c r="C2226"/>
      <c r="D2226"/>
      <c r="E2226" s="2">
        <f>Comuni__2[[#This Row],[Popolazione2011]]/$D$7911</f>
        <v>1.686213590050209E-5</v>
      </c>
      <c r="F2226">
        <f>SUMIFS($D$2:$D$7909, $B$2:$B$7909, "Lazio")</f>
        <v>5502886</v>
      </c>
      <c r="G2226" s="1">
        <f>Comuni__2[[#This Row],[Popolazione2011]]/Comuni__2[[#This Row],[POPOLAZIONE TOTALE DI OGNI REGIONE (CON FILTRO)]]</f>
        <v>1.8208627254862267E-4</v>
      </c>
      <c r="H2226" t="str">
        <f>IF(Comuni__2[[#This Row],[Popolazione2011]]&gt;300000,"MAGGIORE","")</f>
        <v/>
      </c>
      <c r="J2226">
        <v>155</v>
      </c>
      <c r="K2226">
        <v>9705</v>
      </c>
      <c r="L2226">
        <v>1599</v>
      </c>
    </row>
    <row r="2227" spans="1:12" x14ac:dyDescent="0.2">
      <c r="A2227"/>
      <c r="B2227"/>
      <c r="C2227"/>
      <c r="D2227"/>
      <c r="E2227" s="2">
        <f>Comuni__2[[#This Row],[Popolazione2011]]/$D$7911</f>
        <v>1.6727508068961154E-5</v>
      </c>
      <c r="F2227">
        <f>SUMIFS($D$2:$D$7909, $B$2:$B$7909, "Lazio")</f>
        <v>5502886</v>
      </c>
      <c r="G2227" s="1">
        <f>Comuni__2[[#This Row],[Popolazione2011]]/Comuni__2[[#This Row],[POPOLAZIONE TOTALE DI OGNI REGIONE (CON FILTRO)]]</f>
        <v>1.8063248993346401E-4</v>
      </c>
      <c r="H2227" t="str">
        <f>IF(Comuni__2[[#This Row],[Popolazione2011]]&gt;300000,"MAGGIORE","")</f>
        <v/>
      </c>
      <c r="J2227">
        <v>159</v>
      </c>
      <c r="K2227">
        <v>9749</v>
      </c>
      <c r="L2227">
        <v>1599</v>
      </c>
    </row>
    <row r="2228" spans="1:12" x14ac:dyDescent="0.2">
      <c r="A2228"/>
      <c r="B2228"/>
      <c r="C2228"/>
      <c r="D2228"/>
      <c r="E2228" s="2">
        <f>Comuni__2[[#This Row],[Popolazione2011]]/$D$7911</f>
        <v>1.6660194153190686E-5</v>
      </c>
      <c r="F2228">
        <f>SUMIFS($D$2:$D$7909, $B$2:$B$7909, "Lazio")</f>
        <v>5502886</v>
      </c>
      <c r="G2228" s="1">
        <f>Comuni__2[[#This Row],[Popolazione2011]]/Comuni__2[[#This Row],[POPOLAZIONE TOTALE DI OGNI REGIONE (CON FILTRO)]]</f>
        <v>1.7990559862588468E-4</v>
      </c>
      <c r="H2228" t="str">
        <f>IF(Comuni__2[[#This Row],[Popolazione2011]]&gt;300000,"MAGGIORE","")</f>
        <v/>
      </c>
      <c r="J2228">
        <v>169</v>
      </c>
      <c r="K2228">
        <v>9825</v>
      </c>
      <c r="L2228">
        <v>1600</v>
      </c>
    </row>
    <row r="2229" spans="1:12" x14ac:dyDescent="0.2">
      <c r="A2229"/>
      <c r="B2229"/>
      <c r="C2229"/>
      <c r="D2229"/>
      <c r="E2229" s="2">
        <f>Comuni__2[[#This Row],[Popolazione2011]]/$D$7911</f>
        <v>1.6407766969051434E-5</v>
      </c>
      <c r="F2229">
        <f>SUMIFS($D$2:$D$7909, $B$2:$B$7909, "Lazio")</f>
        <v>5502886</v>
      </c>
      <c r="G2229" s="1">
        <f>Comuni__2[[#This Row],[Popolazione2011]]/Comuni__2[[#This Row],[POPOLAZIONE TOTALE DI OGNI REGIONE (CON FILTRO)]]</f>
        <v>1.7717975622246217E-4</v>
      </c>
      <c r="H2229" t="str">
        <f>IF(Comuni__2[[#This Row],[Popolazione2011]]&gt;300000,"MAGGIORE","")</f>
        <v/>
      </c>
      <c r="J2229">
        <v>165</v>
      </c>
      <c r="K2229">
        <v>9963</v>
      </c>
      <c r="L2229">
        <v>1603</v>
      </c>
    </row>
    <row r="2230" spans="1:12" x14ac:dyDescent="0.2">
      <c r="A2230"/>
      <c r="B2230"/>
      <c r="C2230"/>
      <c r="D2230"/>
      <c r="E2230" s="2">
        <f>Comuni__2[[#This Row],[Popolazione2011]]/$D$7911</f>
        <v>1.6340453053280966E-5</v>
      </c>
      <c r="F2230">
        <f>SUMIFS($D$2:$D$7909, $B$2:$B$7909, "Lazio")</f>
        <v>5502886</v>
      </c>
      <c r="G2230" s="1">
        <f>Comuni__2[[#This Row],[Popolazione2011]]/Comuni__2[[#This Row],[POPOLAZIONE TOTALE DI OGNI REGIONE (CON FILTRO)]]</f>
        <v>1.7645286491488283E-4</v>
      </c>
      <c r="H2230" t="str">
        <f>IF(Comuni__2[[#This Row],[Popolazione2011]]&gt;300000,"MAGGIORE","")</f>
        <v/>
      </c>
      <c r="J2230">
        <v>165</v>
      </c>
      <c r="K2230">
        <v>9992</v>
      </c>
      <c r="L2230">
        <v>1604</v>
      </c>
    </row>
    <row r="2231" spans="1:12" x14ac:dyDescent="0.2">
      <c r="A2231"/>
      <c r="B2231"/>
      <c r="C2231"/>
      <c r="D2231"/>
      <c r="E2231" s="2">
        <f>Comuni__2[[#This Row],[Popolazione2011]]/$D$7911</f>
        <v>1.5852427163945078E-5</v>
      </c>
      <c r="F2231">
        <f>SUMIFS($D$2:$D$7909, $B$2:$B$7909, "Lazio")</f>
        <v>5502886</v>
      </c>
      <c r="G2231" s="1">
        <f>Comuni__2[[#This Row],[Popolazione2011]]/Comuni__2[[#This Row],[POPOLAZIONE TOTALE DI OGNI REGIONE (CON FILTRO)]]</f>
        <v>1.7118290293493269E-4</v>
      </c>
      <c r="H2231" t="str">
        <f>IF(Comuni__2[[#This Row],[Popolazione2011]]&gt;300000,"MAGGIORE","")</f>
        <v/>
      </c>
      <c r="J2231">
        <v>173</v>
      </c>
      <c r="K2231">
        <v>10067</v>
      </c>
      <c r="L2231">
        <v>1608</v>
      </c>
    </row>
    <row r="2232" spans="1:12" x14ac:dyDescent="0.2">
      <c r="A2232"/>
      <c r="B2232"/>
      <c r="C2232"/>
      <c r="D2232"/>
      <c r="E2232" s="2">
        <f>Comuni__2[[#This Row],[Popolazione2011]]/$D$7911</f>
        <v>1.5751456290289378E-5</v>
      </c>
      <c r="F2232">
        <f>SUMIFS($D$2:$D$7909, $B$2:$B$7909, "Lazio")</f>
        <v>5502886</v>
      </c>
      <c r="G2232" s="1">
        <f>Comuni__2[[#This Row],[Popolazione2011]]/Comuni__2[[#This Row],[POPOLAZIONE TOTALE DI OGNI REGIONE (CON FILTRO)]]</f>
        <v>1.7009256597356369E-4</v>
      </c>
      <c r="H2232" t="str">
        <f>IF(Comuni__2[[#This Row],[Popolazione2011]]&gt;300000,"MAGGIORE","")</f>
        <v/>
      </c>
      <c r="J2232">
        <v>184</v>
      </c>
      <c r="K2232">
        <v>10149</v>
      </c>
      <c r="L2232">
        <v>1608</v>
      </c>
    </row>
    <row r="2233" spans="1:12" x14ac:dyDescent="0.2">
      <c r="A2233"/>
      <c r="B2233"/>
      <c r="C2233"/>
      <c r="D2233"/>
      <c r="E2233" s="2">
        <f>Comuni__2[[#This Row],[Popolazione2011]]/$D$7911</f>
        <v>1.5700970853461526E-5</v>
      </c>
      <c r="F2233">
        <f>SUMIFS($D$2:$D$7909, $B$2:$B$7909, "Lazio")</f>
        <v>5502886</v>
      </c>
      <c r="G2233" s="1">
        <f>Comuni__2[[#This Row],[Popolazione2011]]/Comuni__2[[#This Row],[POPOLAZIONE TOTALE DI OGNI REGIONE (CON FILTRO)]]</f>
        <v>1.695473974928792E-4</v>
      </c>
      <c r="H2233" t="str">
        <f>IF(Comuni__2[[#This Row],[Popolazione2011]]&gt;300000,"MAGGIORE","")</f>
        <v/>
      </c>
      <c r="J2233">
        <v>188</v>
      </c>
      <c r="K2233">
        <v>10279</v>
      </c>
      <c r="L2233">
        <v>1609</v>
      </c>
    </row>
    <row r="2234" spans="1:12" x14ac:dyDescent="0.2">
      <c r="A2234"/>
      <c r="B2234"/>
      <c r="C2234"/>
      <c r="D2234"/>
      <c r="E2234" s="2">
        <f>Comuni__2[[#This Row],[Popolazione2011]]/$D$7911</f>
        <v>1.546537214826489E-5</v>
      </c>
      <c r="F2234">
        <f>SUMIFS($D$2:$D$7909, $B$2:$B$7909, "Lazio")</f>
        <v>5502886</v>
      </c>
      <c r="G2234" s="1">
        <f>Comuni__2[[#This Row],[Popolazione2011]]/Comuni__2[[#This Row],[POPOLAZIONE TOTALE DI OGNI REGIONE (CON FILTRO)]]</f>
        <v>1.6700327791635154E-4</v>
      </c>
      <c r="H2234" t="str">
        <f>IF(Comuni__2[[#This Row],[Popolazione2011]]&gt;300000,"MAGGIORE","")</f>
        <v/>
      </c>
      <c r="J2234">
        <v>190</v>
      </c>
      <c r="K2234">
        <v>10382</v>
      </c>
      <c r="L2234">
        <v>1610</v>
      </c>
    </row>
    <row r="2235" spans="1:12" x14ac:dyDescent="0.2">
      <c r="A2235"/>
      <c r="B2235"/>
      <c r="C2235"/>
      <c r="D2235"/>
      <c r="E2235" s="2">
        <f>Comuni__2[[#This Row],[Popolazione2011]]/$D$7911</f>
        <v>1.5431715190379658E-5</v>
      </c>
      <c r="F2235">
        <f>SUMIFS($D$2:$D$7909, $B$2:$B$7909, "Lazio")</f>
        <v>5502886</v>
      </c>
      <c r="G2235" s="1">
        <f>Comuni__2[[#This Row],[Popolazione2011]]/Comuni__2[[#This Row],[POPOLAZIONE TOTALE DI OGNI REGIONE (CON FILTRO)]]</f>
        <v>1.6663983226256187E-4</v>
      </c>
      <c r="H2235" t="str">
        <f>IF(Comuni__2[[#This Row],[Popolazione2011]]&gt;300000,"MAGGIORE","")</f>
        <v/>
      </c>
      <c r="J2235">
        <v>204</v>
      </c>
      <c r="K2235">
        <v>10459</v>
      </c>
      <c r="L2235">
        <v>1610</v>
      </c>
    </row>
    <row r="2236" spans="1:12" x14ac:dyDescent="0.2">
      <c r="A2236"/>
      <c r="B2236"/>
      <c r="C2236"/>
      <c r="D2236"/>
      <c r="E2236" s="2">
        <f>Comuni__2[[#This Row],[Popolazione2011]]/$D$7911</f>
        <v>1.5229773443068255E-5</v>
      </c>
      <c r="F2236">
        <f>SUMIFS($D$2:$D$7909, $B$2:$B$7909, "Lazio")</f>
        <v>5502886</v>
      </c>
      <c r="G2236" s="1">
        <f>Comuni__2[[#This Row],[Popolazione2011]]/Comuni__2[[#This Row],[POPOLAZIONE TOTALE DI OGNI REGIONE (CON FILTRO)]]</f>
        <v>1.6445915833982386E-4</v>
      </c>
      <c r="H2236" t="str">
        <f>IF(Comuni__2[[#This Row],[Popolazione2011]]&gt;300000,"MAGGIORE","")</f>
        <v/>
      </c>
      <c r="J2236">
        <v>201</v>
      </c>
      <c r="K2236">
        <v>10609</v>
      </c>
      <c r="L2236">
        <v>1612</v>
      </c>
    </row>
    <row r="2237" spans="1:12" x14ac:dyDescent="0.2">
      <c r="A2237"/>
      <c r="B2237"/>
      <c r="C2237"/>
      <c r="D2237"/>
      <c r="E2237" s="2">
        <f>Comuni__2[[#This Row],[Popolazione2011]]/$D$7911</f>
        <v>1.5179288006240404E-5</v>
      </c>
      <c r="F2237">
        <f>SUMIFS($D$2:$D$7909, $B$2:$B$7909, "Lazio")</f>
        <v>5502886</v>
      </c>
      <c r="G2237" s="1">
        <f>Comuni__2[[#This Row],[Popolazione2011]]/Comuni__2[[#This Row],[POPOLAZIONE TOTALE DI OGNI REGIONE (CON FILTRO)]]</f>
        <v>1.6391398985913936E-4</v>
      </c>
      <c r="H2237" t="str">
        <f>IF(Comuni__2[[#This Row],[Popolazione2011]]&gt;300000,"MAGGIORE","")</f>
        <v/>
      </c>
      <c r="J2237">
        <v>220</v>
      </c>
      <c r="K2237">
        <v>10676</v>
      </c>
      <c r="L2237">
        <v>1614</v>
      </c>
    </row>
    <row r="2238" spans="1:12" x14ac:dyDescent="0.2">
      <c r="A2238"/>
      <c r="B2238"/>
      <c r="C2238"/>
      <c r="D2238"/>
      <c r="E2238" s="2">
        <f>Comuni__2[[#This Row],[Popolazione2011]]/$D$7911</f>
        <v>1.509514561152732E-5</v>
      </c>
      <c r="F2238">
        <f>SUMIFS($D$2:$D$7909, $B$2:$B$7909, "Lazio")</f>
        <v>5502886</v>
      </c>
      <c r="G2238" s="1">
        <f>Comuni__2[[#This Row],[Popolazione2011]]/Comuni__2[[#This Row],[POPOLAZIONE TOTALE DI OGNI REGIONE (CON FILTRO)]]</f>
        <v>1.630053757246652E-4</v>
      </c>
      <c r="H2238" t="str">
        <f>IF(Comuni__2[[#This Row],[Popolazione2011]]&gt;300000,"MAGGIORE","")</f>
        <v/>
      </c>
      <c r="J2238">
        <v>223</v>
      </c>
      <c r="K2238">
        <v>10705</v>
      </c>
      <c r="L2238">
        <v>1614</v>
      </c>
    </row>
    <row r="2239" spans="1:12" x14ac:dyDescent="0.2">
      <c r="A2239"/>
      <c r="B2239"/>
      <c r="C2239"/>
      <c r="D2239"/>
      <c r="E2239" s="2">
        <f>Comuni__2[[#This Row],[Popolazione2011]]/$D$7911</f>
        <v>1.4910032343158535E-5</v>
      </c>
      <c r="F2239">
        <f>SUMIFS($D$2:$D$7909, $B$2:$B$7909, "Lazio")</f>
        <v>5502886</v>
      </c>
      <c r="G2239" s="1">
        <f>Comuni__2[[#This Row],[Popolazione2011]]/Comuni__2[[#This Row],[POPOLAZIONE TOTALE DI OGNI REGIONE (CON FILTRO)]]</f>
        <v>1.6100642462882204E-4</v>
      </c>
      <c r="H2239" t="str">
        <f>IF(Comuni__2[[#This Row],[Popolazione2011]]&gt;300000,"MAGGIORE","")</f>
        <v/>
      </c>
      <c r="J2239">
        <v>225</v>
      </c>
      <c r="K2239">
        <v>10780</v>
      </c>
      <c r="L2239">
        <v>1615</v>
      </c>
    </row>
    <row r="2240" spans="1:12" x14ac:dyDescent="0.2">
      <c r="A2240"/>
      <c r="B2240"/>
      <c r="C2240"/>
      <c r="D2240"/>
      <c r="E2240" s="2">
        <f>Comuni__2[[#This Row],[Popolazione2011]]/$D$7911</f>
        <v>1.4388349495937411E-5</v>
      </c>
      <c r="F2240">
        <f>SUMIFS($D$2:$D$7909, $B$2:$B$7909, "Lazio")</f>
        <v>5502886</v>
      </c>
      <c r="G2240" s="1">
        <f>Comuni__2[[#This Row],[Popolazione2011]]/Comuni__2[[#This Row],[POPOLAZIONE TOTALE DI OGNI REGIONE (CON FILTRO)]]</f>
        <v>1.5537301699508223E-4</v>
      </c>
      <c r="H2240" t="str">
        <f>IF(Comuni__2[[#This Row],[Popolazione2011]]&gt;300000,"MAGGIORE","")</f>
        <v/>
      </c>
      <c r="J2240">
        <v>248</v>
      </c>
      <c r="K2240">
        <v>10820</v>
      </c>
      <c r="L2240">
        <v>1617</v>
      </c>
    </row>
    <row r="2241" spans="1:12" x14ac:dyDescent="0.2">
      <c r="A2241"/>
      <c r="B2241"/>
      <c r="C2241"/>
      <c r="D2241"/>
      <c r="E2241" s="2">
        <f>Comuni__2[[#This Row],[Popolazione2011]]/$D$7911</f>
        <v>1.4354692538052179E-5</v>
      </c>
      <c r="F2241">
        <f>SUMIFS($D$2:$D$7909, $B$2:$B$7909, "Lazio")</f>
        <v>5502886</v>
      </c>
      <c r="G2241" s="1">
        <f>Comuni__2[[#This Row],[Popolazione2011]]/Comuni__2[[#This Row],[POPOLAZIONE TOTALE DI OGNI REGIONE (CON FILTRO)]]</f>
        <v>1.5500957134129256E-4</v>
      </c>
      <c r="H2241" t="str">
        <f>IF(Comuni__2[[#This Row],[Popolazione2011]]&gt;300000,"MAGGIORE","")</f>
        <v/>
      </c>
      <c r="J2241">
        <v>264</v>
      </c>
      <c r="K2241">
        <v>11052</v>
      </c>
      <c r="L2241">
        <v>1619</v>
      </c>
    </row>
    <row r="2242" spans="1:12" x14ac:dyDescent="0.2">
      <c r="A2242"/>
      <c r="B2242"/>
      <c r="C2242"/>
      <c r="D2242"/>
      <c r="E2242" s="2">
        <f>Comuni__2[[#This Row],[Popolazione2011]]/$D$7911</f>
        <v>1.3563754027749185E-5</v>
      </c>
      <c r="F2242">
        <f>SUMIFS($D$2:$D$7909, $B$2:$B$7909, "Lazio")</f>
        <v>5502886</v>
      </c>
      <c r="G2242" s="1">
        <f>Comuni__2[[#This Row],[Popolazione2011]]/Comuni__2[[#This Row],[POPOLAZIONE TOTALE DI OGNI REGIONE (CON FILTRO)]]</f>
        <v>1.464685984772354E-4</v>
      </c>
      <c r="H2242" t="str">
        <f>IF(Comuni__2[[#This Row],[Popolazione2011]]&gt;300000,"MAGGIORE","")</f>
        <v/>
      </c>
      <c r="J2242">
        <v>285</v>
      </c>
      <c r="K2242">
        <v>11093</v>
      </c>
      <c r="L2242">
        <v>1621</v>
      </c>
    </row>
    <row r="2243" spans="1:12" x14ac:dyDescent="0.2">
      <c r="A2243"/>
      <c r="B2243"/>
      <c r="C2243"/>
      <c r="D2243"/>
      <c r="E2243" s="2">
        <f>Comuni__2[[#This Row],[Popolazione2011]]/$D$7911</f>
        <v>1.3513268590921335E-5</v>
      </c>
      <c r="F2243">
        <f>SUMIFS($D$2:$D$7909, $B$2:$B$7909, "Lazio")</f>
        <v>5502886</v>
      </c>
      <c r="G2243" s="1">
        <f>Comuni__2[[#This Row],[Popolazione2011]]/Comuni__2[[#This Row],[POPOLAZIONE TOTALE DI OGNI REGIONE (CON FILTRO)]]</f>
        <v>1.459234299965509E-4</v>
      </c>
      <c r="H2243" t="str">
        <f>IF(Comuni__2[[#This Row],[Popolazione2011]]&gt;300000,"MAGGIORE","")</f>
        <v/>
      </c>
      <c r="J2243">
        <v>299</v>
      </c>
      <c r="K2243">
        <v>11357</v>
      </c>
      <c r="L2243">
        <v>1622</v>
      </c>
    </row>
    <row r="2244" spans="1:12" x14ac:dyDescent="0.2">
      <c r="A2244"/>
      <c r="B2244"/>
      <c r="C2244"/>
      <c r="D2244"/>
      <c r="E2244" s="2">
        <f>Comuni__2[[#This Row],[Popolazione2011]]/$D$7911</f>
        <v>1.3328155322552549E-5</v>
      </c>
      <c r="F2244">
        <f>SUMIFS($D$2:$D$7909, $B$2:$B$7909, "Lazio")</f>
        <v>5502886</v>
      </c>
      <c r="G2244" s="1">
        <f>Comuni__2[[#This Row],[Popolazione2011]]/Comuni__2[[#This Row],[POPOLAZIONE TOTALE DI OGNI REGIONE (CON FILTRO)]]</f>
        <v>1.4392447890070775E-4</v>
      </c>
      <c r="H2244" t="str">
        <f>IF(Comuni__2[[#This Row],[Popolazione2011]]&gt;300000,"MAGGIORE","")</f>
        <v/>
      </c>
      <c r="J2244">
        <v>315</v>
      </c>
      <c r="K2244">
        <v>11566</v>
      </c>
      <c r="L2244">
        <v>1623</v>
      </c>
    </row>
    <row r="2245" spans="1:12" x14ac:dyDescent="0.2">
      <c r="A2245"/>
      <c r="B2245"/>
      <c r="C2245"/>
      <c r="D2245"/>
      <c r="E2245" s="2">
        <f>Comuni__2[[#This Row],[Popolazione2011]]/$D$7911</f>
        <v>1.3227184448896849E-5</v>
      </c>
      <c r="F2245">
        <f>SUMIFS($D$2:$D$7909, $B$2:$B$7909, "Lazio")</f>
        <v>5502886</v>
      </c>
      <c r="G2245" s="1">
        <f>Comuni__2[[#This Row],[Popolazione2011]]/Comuni__2[[#This Row],[POPOLAZIONE TOTALE DI OGNI REGIONE (CON FILTRO)]]</f>
        <v>1.4283414193933875E-4</v>
      </c>
      <c r="H2245" t="str">
        <f>IF(Comuni__2[[#This Row],[Popolazione2011]]&gt;300000,"MAGGIORE","")</f>
        <v/>
      </c>
      <c r="J2245">
        <v>342</v>
      </c>
      <c r="K2245">
        <v>11957</v>
      </c>
      <c r="L2245">
        <v>1626</v>
      </c>
    </row>
    <row r="2246" spans="1:12" x14ac:dyDescent="0.2">
      <c r="A2246"/>
      <c r="B2246"/>
      <c r="C2246"/>
      <c r="D2246"/>
      <c r="E2246" s="2">
        <f>Comuni__2[[#This Row],[Popolazione2011]]/$D$7911</f>
        <v>1.3092556617355913E-5</v>
      </c>
      <c r="F2246">
        <f>SUMIFS($D$2:$D$7909, $B$2:$B$7909, "Lazio")</f>
        <v>5502886</v>
      </c>
      <c r="G2246" s="1">
        <f>Comuni__2[[#This Row],[Popolazione2011]]/Comuni__2[[#This Row],[POPOLAZIONE TOTALE DI OGNI REGIONE (CON FILTRO)]]</f>
        <v>1.4138035932418009E-4</v>
      </c>
      <c r="H2246" t="str">
        <f>IF(Comuni__2[[#This Row],[Popolazione2011]]&gt;300000,"MAGGIORE","")</f>
        <v/>
      </c>
      <c r="J2246">
        <v>379</v>
      </c>
      <c r="K2246">
        <v>12408</v>
      </c>
      <c r="L2246">
        <v>1632</v>
      </c>
    </row>
    <row r="2247" spans="1:12" x14ac:dyDescent="0.2">
      <c r="A2247"/>
      <c r="B2247"/>
      <c r="C2247"/>
      <c r="D2247"/>
      <c r="E2247" s="2">
        <f>Comuni__2[[#This Row],[Popolazione2011]]/$D$7911</f>
        <v>1.2907443348987128E-5</v>
      </c>
      <c r="F2247">
        <f>SUMIFS($D$2:$D$7909, $B$2:$B$7909, "Lazio")</f>
        <v>5502886</v>
      </c>
      <c r="G2247" s="1">
        <f>Comuni__2[[#This Row],[Popolazione2011]]/Comuni__2[[#This Row],[POPOLAZIONE TOTALE DI OGNI REGIONE (CON FILTRO)]]</f>
        <v>1.393814082283369E-4</v>
      </c>
      <c r="H2247" t="str">
        <f>IF(Comuni__2[[#This Row],[Popolazione2011]]&gt;300000,"MAGGIORE","")</f>
        <v/>
      </c>
      <c r="J2247">
        <v>402</v>
      </c>
      <c r="K2247">
        <v>12554</v>
      </c>
      <c r="L2247">
        <v>1633</v>
      </c>
    </row>
    <row r="2248" spans="1:12" x14ac:dyDescent="0.2">
      <c r="A2248"/>
      <c r="B2248"/>
      <c r="C2248"/>
      <c r="D2248"/>
      <c r="E2248" s="2">
        <f>Comuni__2[[#This Row],[Popolazione2011]]/$D$7911</f>
        <v>1.2823300954274044E-5</v>
      </c>
      <c r="F2248">
        <f>SUMIFS($D$2:$D$7909, $B$2:$B$7909, "Lazio")</f>
        <v>5502886</v>
      </c>
      <c r="G2248" s="1">
        <f>Comuni__2[[#This Row],[Popolazione2011]]/Comuni__2[[#This Row],[POPOLAZIONE TOTALE DI OGNI REGIONE (CON FILTRO)]]</f>
        <v>1.3847279409386274E-4</v>
      </c>
      <c r="H2248" t="str">
        <f>IF(Comuni__2[[#This Row],[Popolazione2011]]&gt;300000,"MAGGIORE","")</f>
        <v/>
      </c>
      <c r="J2248">
        <v>441</v>
      </c>
      <c r="K2248">
        <v>12720</v>
      </c>
      <c r="L2248">
        <v>1636</v>
      </c>
    </row>
    <row r="2249" spans="1:12" x14ac:dyDescent="0.2">
      <c r="A2249"/>
      <c r="B2249"/>
      <c r="C2249"/>
      <c r="D2249"/>
      <c r="E2249" s="2">
        <f>Comuni__2[[#This Row],[Popolazione2011]]/$D$7911</f>
        <v>1.2655016164847875E-5</v>
      </c>
      <c r="F2249">
        <f>SUMIFS($D$2:$D$7909, $B$2:$B$7909, "Lazio")</f>
        <v>5502886</v>
      </c>
      <c r="G2249" s="1">
        <f>Comuni__2[[#This Row],[Popolazione2011]]/Comuni__2[[#This Row],[POPOLAZIONE TOTALE DI OGNI REGIONE (CON FILTRO)]]</f>
        <v>1.3665556582491441E-4</v>
      </c>
      <c r="H2249" t="str">
        <f>IF(Comuni__2[[#This Row],[Popolazione2011]]&gt;300000,"MAGGIORE","")</f>
        <v/>
      </c>
      <c r="J2249">
        <v>470</v>
      </c>
      <c r="K2249">
        <v>12886</v>
      </c>
      <c r="L2249">
        <v>1641</v>
      </c>
    </row>
    <row r="2250" spans="1:12" x14ac:dyDescent="0.2">
      <c r="A2250"/>
      <c r="B2250"/>
      <c r="C2250"/>
      <c r="D2250"/>
      <c r="E2250" s="2">
        <f>Comuni__2[[#This Row],[Popolazione2011]]/$D$7911</f>
        <v>1.2604530728020025E-5</v>
      </c>
      <c r="F2250">
        <f>SUMIFS($D$2:$D$7909, $B$2:$B$7909, "Lazio")</f>
        <v>5502886</v>
      </c>
      <c r="G2250" s="1">
        <f>Comuni__2[[#This Row],[Popolazione2011]]/Comuni__2[[#This Row],[POPOLAZIONE TOTALE DI OGNI REGIONE (CON FILTRO)]]</f>
        <v>1.3611039734422992E-4</v>
      </c>
      <c r="H2250" t="str">
        <f>IF(Comuni__2[[#This Row],[Popolazione2011]]&gt;300000,"MAGGIORE","")</f>
        <v/>
      </c>
      <c r="J2250">
        <v>537</v>
      </c>
      <c r="K2250">
        <v>13214</v>
      </c>
      <c r="L2250">
        <v>1647</v>
      </c>
    </row>
    <row r="2251" spans="1:12" x14ac:dyDescent="0.2">
      <c r="A2251"/>
      <c r="B2251"/>
      <c r="C2251"/>
      <c r="D2251"/>
      <c r="E2251" s="2">
        <f>Comuni__2[[#This Row],[Popolazione2011]]/$D$7911</f>
        <v>1.2520388333306941E-5</v>
      </c>
      <c r="F2251">
        <f>SUMIFS($D$2:$D$7909, $B$2:$B$7909, "Lazio")</f>
        <v>5502886</v>
      </c>
      <c r="G2251" s="1">
        <f>Comuni__2[[#This Row],[Popolazione2011]]/Comuni__2[[#This Row],[POPOLAZIONE TOTALE DI OGNI REGIONE (CON FILTRO)]]</f>
        <v>1.3520178320975575E-4</v>
      </c>
      <c r="H2251" t="str">
        <f>IF(Comuni__2[[#This Row],[Popolazione2011]]&gt;300000,"MAGGIORE","")</f>
        <v/>
      </c>
      <c r="J2251">
        <v>578</v>
      </c>
      <c r="K2251">
        <v>13614</v>
      </c>
      <c r="L2251">
        <v>1656</v>
      </c>
    </row>
    <row r="2252" spans="1:12" x14ac:dyDescent="0.2">
      <c r="A2252"/>
      <c r="B2252"/>
      <c r="C2252"/>
      <c r="D2252"/>
      <c r="E2252" s="2">
        <f>Comuni__2[[#This Row],[Popolazione2011]]/$D$7911</f>
        <v>1.2402588980708623E-5</v>
      </c>
      <c r="F2252">
        <f>SUMIFS($D$2:$D$7909, $B$2:$B$7909, "Lazio")</f>
        <v>5502886</v>
      </c>
      <c r="G2252" s="1">
        <f>Comuni__2[[#This Row],[Popolazione2011]]/Comuni__2[[#This Row],[POPOLAZIONE TOTALE DI OGNI REGIONE (CON FILTRO)]]</f>
        <v>1.3392972342149193E-4</v>
      </c>
      <c r="H2252" t="str">
        <f>IF(Comuni__2[[#This Row],[Popolazione2011]]&gt;300000,"MAGGIORE","")</f>
        <v/>
      </c>
      <c r="J2252">
        <v>574</v>
      </c>
      <c r="K2252">
        <v>13842</v>
      </c>
      <c r="L2252">
        <v>1673</v>
      </c>
    </row>
    <row r="2253" spans="1:12" x14ac:dyDescent="0.2">
      <c r="A2253"/>
      <c r="B2253"/>
      <c r="C2253"/>
      <c r="D2253"/>
      <c r="E2253" s="2">
        <f>Comuni__2[[#This Row],[Popolazione2011]]/$D$7911</f>
        <v>1.2166990275511987E-5</v>
      </c>
      <c r="F2253">
        <f>SUMIFS($D$2:$D$7909, $B$2:$B$7909, "Lazio")</f>
        <v>5502886</v>
      </c>
      <c r="G2253" s="1">
        <f>Comuni__2[[#This Row],[Popolazione2011]]/Comuni__2[[#This Row],[POPOLAZIONE TOTALE DI OGNI REGIONE (CON FILTRO)]]</f>
        <v>1.3138560384496427E-4</v>
      </c>
      <c r="H2253" t="str">
        <f>IF(Comuni__2[[#This Row],[Popolazione2011]]&gt;300000,"MAGGIORE","")</f>
        <v/>
      </c>
      <c r="J2253">
        <v>631</v>
      </c>
      <c r="K2253">
        <v>14210</v>
      </c>
      <c r="L2253">
        <v>1680</v>
      </c>
    </row>
    <row r="2254" spans="1:12" x14ac:dyDescent="0.2">
      <c r="A2254"/>
      <c r="B2254"/>
      <c r="C2254"/>
      <c r="D2254"/>
      <c r="E2254" s="2">
        <f>Comuni__2[[#This Row],[Popolazione2011]]/$D$7911</f>
        <v>1.1628478949348248E-5</v>
      </c>
      <c r="F2254">
        <f>SUMIFS($D$2:$D$7909, $B$2:$B$7909, "Lazio")</f>
        <v>5502886</v>
      </c>
      <c r="G2254" s="1">
        <f>Comuni__2[[#This Row],[Popolazione2011]]/Comuni__2[[#This Row],[POPOLAZIONE TOTALE DI OGNI REGIONE (CON FILTRO)]]</f>
        <v>1.255704733843296E-4</v>
      </c>
      <c r="H2254" t="str">
        <f>IF(Comuni__2[[#This Row],[Popolazione2011]]&gt;300000,"MAGGIORE","")</f>
        <v/>
      </c>
      <c r="J2254">
        <v>679</v>
      </c>
      <c r="K2254">
        <v>14948</v>
      </c>
      <c r="L2254">
        <v>1686</v>
      </c>
    </row>
    <row r="2255" spans="1:12" x14ac:dyDescent="0.2">
      <c r="A2255"/>
      <c r="B2255"/>
      <c r="C2255"/>
      <c r="D2255"/>
      <c r="E2255" s="2">
        <f>Comuni__2[[#This Row],[Popolazione2011]]/$D$7911</f>
        <v>1.1577993512520396E-5</v>
      </c>
      <c r="F2255">
        <f>SUMIFS($D$2:$D$7909, $B$2:$B$7909, "Lazio")</f>
        <v>5502886</v>
      </c>
      <c r="G2255" s="1">
        <f>Comuni__2[[#This Row],[Popolazione2011]]/Comuni__2[[#This Row],[POPOLAZIONE TOTALE DI OGNI REGIONE (CON FILTRO)]]</f>
        <v>1.250253049036451E-4</v>
      </c>
      <c r="H2255" t="str">
        <f>IF(Comuni__2[[#This Row],[Popolazione2011]]&gt;300000,"MAGGIORE","")</f>
        <v/>
      </c>
      <c r="J2255">
        <v>737</v>
      </c>
      <c r="K2255">
        <v>15324</v>
      </c>
      <c r="L2255">
        <v>1691</v>
      </c>
    </row>
    <row r="2256" spans="1:12" x14ac:dyDescent="0.2">
      <c r="A2256"/>
      <c r="B2256"/>
      <c r="C2256"/>
      <c r="D2256"/>
      <c r="E2256" s="2">
        <f>Comuni__2[[#This Row],[Popolazione2011]]/$D$7911</f>
        <v>1.1544336554635164E-5</v>
      </c>
      <c r="F2256">
        <f>SUMIFS($D$2:$D$7909, $B$2:$B$7909, "Lazio")</f>
        <v>5502886</v>
      </c>
      <c r="G2256" s="1">
        <f>Comuni__2[[#This Row],[Popolazione2011]]/Comuni__2[[#This Row],[POPOLAZIONE TOTALE DI OGNI REGIONE (CON FILTRO)]]</f>
        <v>1.2466185924985544E-4</v>
      </c>
      <c r="H2256" t="str">
        <f>IF(Comuni__2[[#This Row],[Popolazione2011]]&gt;300000,"MAGGIORE","")</f>
        <v/>
      </c>
      <c r="J2256">
        <v>834</v>
      </c>
      <c r="K2256">
        <v>15324</v>
      </c>
      <c r="L2256">
        <v>1704</v>
      </c>
    </row>
    <row r="2257" spans="1:12" x14ac:dyDescent="0.2">
      <c r="A2257"/>
      <c r="B2257"/>
      <c r="C2257"/>
      <c r="D2257"/>
      <c r="E2257" s="2">
        <f>Comuni__2[[#This Row],[Popolazione2011]]/$D$7911</f>
        <v>1.1308737849438528E-5</v>
      </c>
      <c r="F2257">
        <f>SUMIFS($D$2:$D$7909, $B$2:$B$7909, "Lazio")</f>
        <v>5502886</v>
      </c>
      <c r="G2257" s="1">
        <f>Comuni__2[[#This Row],[Popolazione2011]]/Comuni__2[[#This Row],[POPOLAZIONE TOTALE DI OGNI REGIONE (CON FILTRO)]]</f>
        <v>1.2211773967332778E-4</v>
      </c>
      <c r="H2257" t="str">
        <f>IF(Comuni__2[[#This Row],[Popolazione2011]]&gt;300000,"MAGGIORE","")</f>
        <v/>
      </c>
      <c r="J2257">
        <v>882</v>
      </c>
      <c r="K2257">
        <v>15922</v>
      </c>
      <c r="L2257">
        <v>1718</v>
      </c>
    </row>
    <row r="2258" spans="1:12" x14ac:dyDescent="0.2">
      <c r="A2258"/>
      <c r="B2258"/>
      <c r="C2258"/>
      <c r="D2258"/>
      <c r="E2258" s="2">
        <f>Comuni__2[[#This Row],[Popolazione2011]]/$D$7911</f>
        <v>1.0988996749528806E-5</v>
      </c>
      <c r="F2258">
        <f>SUMIFS($D$2:$D$7909, $B$2:$B$7909, "Lazio")</f>
        <v>5502886</v>
      </c>
      <c r="G2258" s="1">
        <f>Comuni__2[[#This Row],[Popolazione2011]]/Comuni__2[[#This Row],[POPOLAZIONE TOTALE DI OGNI REGIONE (CON FILTRO)]]</f>
        <v>1.1866500596232595E-4</v>
      </c>
      <c r="H2258" t="str">
        <f>IF(Comuni__2[[#This Row],[Popolazione2011]]&gt;300000,"MAGGIORE","")</f>
        <v/>
      </c>
      <c r="J2258">
        <v>924</v>
      </c>
      <c r="K2258">
        <v>16312</v>
      </c>
      <c r="L2258">
        <v>1733</v>
      </c>
    </row>
    <row r="2259" spans="1:12" x14ac:dyDescent="0.2">
      <c r="A2259"/>
      <c r="B2259"/>
      <c r="C2259"/>
      <c r="D2259"/>
      <c r="E2259" s="2">
        <f>Comuni__2[[#This Row],[Popolazione2011]]/$D$7911</f>
        <v>1.0938511312700956E-5</v>
      </c>
      <c r="F2259">
        <f>SUMIFS($D$2:$D$7909, $B$2:$B$7909, "Lazio")</f>
        <v>5502886</v>
      </c>
      <c r="G2259" s="1">
        <f>Comuni__2[[#This Row],[Popolazione2011]]/Comuni__2[[#This Row],[POPOLAZIONE TOTALE DI OGNI REGIONE (CON FILTRO)]]</f>
        <v>1.1811983748164145E-4</v>
      </c>
      <c r="H2259" t="str">
        <f>IF(Comuni__2[[#This Row],[Popolazione2011]]&gt;300000,"MAGGIORE","")</f>
        <v/>
      </c>
      <c r="J2259">
        <v>957</v>
      </c>
      <c r="K2259">
        <v>16863</v>
      </c>
      <c r="L2259">
        <v>1742</v>
      </c>
    </row>
    <row r="2260" spans="1:12" x14ac:dyDescent="0.2">
      <c r="A2260"/>
      <c r="B2260"/>
      <c r="C2260"/>
      <c r="D2260"/>
      <c r="E2260" s="2">
        <f>Comuni__2[[#This Row],[Popolazione2011]]/$D$7911</f>
        <v>1.092168283375834E-5</v>
      </c>
      <c r="F2260">
        <f>SUMIFS($D$2:$D$7909, $B$2:$B$7909, "Lazio")</f>
        <v>5502886</v>
      </c>
      <c r="G2260" s="1">
        <f>Comuni__2[[#This Row],[Popolazione2011]]/Comuni__2[[#This Row],[POPOLAZIONE TOTALE DI OGNI REGIONE (CON FILTRO)]]</f>
        <v>1.1793811465474662E-4</v>
      </c>
      <c r="H2260" t="str">
        <f>IF(Comuni__2[[#This Row],[Popolazione2011]]&gt;300000,"MAGGIORE","")</f>
        <v/>
      </c>
      <c r="J2260">
        <v>1000</v>
      </c>
      <c r="K2260">
        <v>17469</v>
      </c>
      <c r="L2260">
        <v>1749</v>
      </c>
    </row>
    <row r="2261" spans="1:12" x14ac:dyDescent="0.2">
      <c r="A2261"/>
      <c r="B2261"/>
      <c r="C2261"/>
      <c r="D2261"/>
      <c r="E2261" s="2">
        <f>Comuni__2[[#This Row],[Popolazione2011]]/$D$7911</f>
        <v>1.0787055002217404E-5</v>
      </c>
      <c r="F2261">
        <f>SUMIFS($D$2:$D$7909, $B$2:$B$7909, "Lazio")</f>
        <v>5502886</v>
      </c>
      <c r="G2261" s="1">
        <f>Comuni__2[[#This Row],[Popolazione2011]]/Comuni__2[[#This Row],[POPOLAZIONE TOTALE DI OGNI REGIONE (CON FILTRO)]]</f>
        <v>1.1648433203958795E-4</v>
      </c>
      <c r="H2261" t="str">
        <f>IF(Comuni__2[[#This Row],[Popolazione2011]]&gt;300000,"MAGGIORE","")</f>
        <v/>
      </c>
      <c r="J2261">
        <v>1093</v>
      </c>
      <c r="K2261">
        <v>18403</v>
      </c>
      <c r="L2261">
        <v>1774</v>
      </c>
    </row>
    <row r="2262" spans="1:12" x14ac:dyDescent="0.2">
      <c r="A2262"/>
      <c r="B2262"/>
      <c r="C2262"/>
      <c r="D2262"/>
      <c r="E2262" s="2">
        <f>Comuni__2[[#This Row],[Popolazione2011]]/$D$7911</f>
        <v>1.0787055002217404E-5</v>
      </c>
      <c r="F2262">
        <f>SUMIFS($D$2:$D$7909, $B$2:$B$7909, "Lazio")</f>
        <v>5502886</v>
      </c>
      <c r="G2262" s="1">
        <f>Comuni__2[[#This Row],[Popolazione2011]]/Comuni__2[[#This Row],[POPOLAZIONE TOTALE DI OGNI REGIONE (CON FILTRO)]]</f>
        <v>1.1648433203958795E-4</v>
      </c>
      <c r="H2262" t="str">
        <f>IF(Comuni__2[[#This Row],[Popolazione2011]]&gt;300000,"MAGGIORE","")</f>
        <v/>
      </c>
      <c r="J2262">
        <v>1143</v>
      </c>
      <c r="K2262">
        <v>18849</v>
      </c>
      <c r="L2262">
        <v>1781</v>
      </c>
    </row>
    <row r="2263" spans="1:12" x14ac:dyDescent="0.2">
      <c r="A2263"/>
      <c r="B2263"/>
      <c r="C2263"/>
      <c r="D2263"/>
      <c r="E2263" s="2">
        <f>Comuni__2[[#This Row],[Popolazione2011]]/$D$7911</f>
        <v>1.0736569565389554E-5</v>
      </c>
      <c r="F2263">
        <f>SUMIFS($D$2:$D$7909, $B$2:$B$7909, "Lazio")</f>
        <v>5502886</v>
      </c>
      <c r="G2263" s="1">
        <f>Comuni__2[[#This Row],[Popolazione2011]]/Comuni__2[[#This Row],[POPOLAZIONE TOTALE DI OGNI REGIONE (CON FILTRO)]]</f>
        <v>1.1593916355890346E-4</v>
      </c>
      <c r="H2263" t="str">
        <f>IF(Comuni__2[[#This Row],[Popolazione2011]]&gt;300000,"MAGGIORE","")</f>
        <v/>
      </c>
      <c r="J2263">
        <v>1190</v>
      </c>
      <c r="K2263">
        <v>18859</v>
      </c>
      <c r="L2263">
        <v>1790</v>
      </c>
    </row>
    <row r="2264" spans="1:12" x14ac:dyDescent="0.2">
      <c r="A2264"/>
      <c r="B2264"/>
      <c r="C2264"/>
      <c r="D2264"/>
      <c r="E2264" s="2">
        <f>Comuni__2[[#This Row],[Popolazione2011]]/$D$7911</f>
        <v>1.0181229760283198E-5</v>
      </c>
      <c r="F2264">
        <f>SUMIFS($D$2:$D$7909, $B$2:$B$7909, "Lazio")</f>
        <v>5502886</v>
      </c>
      <c r="G2264" s="1">
        <f>Comuni__2[[#This Row],[Popolazione2011]]/Comuni__2[[#This Row],[POPOLAZIONE TOTALE DI OGNI REGIONE (CON FILTRO)]]</f>
        <v>1.0994231027137397E-4</v>
      </c>
      <c r="H2264" t="str">
        <f>IF(Comuni__2[[#This Row],[Popolazione2011]]&gt;300000,"MAGGIORE","")</f>
        <v/>
      </c>
      <c r="J2264">
        <v>1211</v>
      </c>
      <c r="K2264">
        <v>19356</v>
      </c>
      <c r="L2264">
        <v>1810</v>
      </c>
    </row>
    <row r="2265" spans="1:12" x14ac:dyDescent="0.2">
      <c r="A2265"/>
      <c r="B2265"/>
      <c r="C2265"/>
      <c r="D2265"/>
      <c r="E2265" s="2">
        <f>Comuni__2[[#This Row],[Popolazione2011]]/$D$7911</f>
        <v>1.0181229760283198E-5</v>
      </c>
      <c r="F2265">
        <f>SUMIFS($D$2:$D$7909, $B$2:$B$7909, "Lazio")</f>
        <v>5502886</v>
      </c>
      <c r="G2265" s="1">
        <f>Comuni__2[[#This Row],[Popolazione2011]]/Comuni__2[[#This Row],[POPOLAZIONE TOTALE DI OGNI REGIONE (CON FILTRO)]]</f>
        <v>1.0994231027137397E-4</v>
      </c>
      <c r="H2265" t="str">
        <f>IF(Comuni__2[[#This Row],[Popolazione2011]]&gt;300000,"MAGGIORE","")</f>
        <v/>
      </c>
      <c r="J2265">
        <v>1273</v>
      </c>
      <c r="K2265">
        <v>19816</v>
      </c>
      <c r="L2265">
        <v>1834</v>
      </c>
    </row>
    <row r="2266" spans="1:12" x14ac:dyDescent="0.2">
      <c r="A2266"/>
      <c r="B2266"/>
      <c r="C2266"/>
      <c r="D2266"/>
      <c r="E2266" s="2">
        <f>Comuni__2[[#This Row],[Popolazione2011]]/$D$7911</f>
        <v>9.8110032235456265E-6</v>
      </c>
      <c r="F2266">
        <f>SUMIFS($D$2:$D$7909, $B$2:$B$7909, "Lazio")</f>
        <v>5502886</v>
      </c>
      <c r="G2266" s="1">
        <f>Comuni__2[[#This Row],[Popolazione2011]]/Comuni__2[[#This Row],[POPOLAZIONE TOTALE DI OGNI REGIONE (CON FILTRO)]]</f>
        <v>1.0594440807968764E-4</v>
      </c>
      <c r="H2266" t="str">
        <f>IF(Comuni__2[[#This Row],[Popolazione2011]]&gt;300000,"MAGGIORE","")</f>
        <v/>
      </c>
      <c r="J2266">
        <v>1312</v>
      </c>
      <c r="K2266">
        <v>20239</v>
      </c>
      <c r="L2266">
        <v>1863</v>
      </c>
    </row>
    <row r="2267" spans="1:12" x14ac:dyDescent="0.2">
      <c r="A2267"/>
      <c r="B2267"/>
      <c r="C2267"/>
      <c r="D2267"/>
      <c r="E2267" s="2">
        <f>Comuni__2[[#This Row],[Popolazione2011]]/$D$7911</f>
        <v>9.7605177867177765E-6</v>
      </c>
      <c r="F2267">
        <f>SUMIFS($D$2:$D$7909, $B$2:$B$7909, "Lazio")</f>
        <v>5502886</v>
      </c>
      <c r="G2267" s="1">
        <f>Comuni__2[[#This Row],[Popolazione2011]]/Comuni__2[[#This Row],[POPOLAZIONE TOTALE DI OGNI REGIONE (CON FILTRO)]]</f>
        <v>1.0539923959900314E-4</v>
      </c>
      <c r="H2267" t="str">
        <f>IF(Comuni__2[[#This Row],[Popolazione2011]]&gt;300000,"MAGGIORE","")</f>
        <v/>
      </c>
      <c r="J2267">
        <v>1393</v>
      </c>
      <c r="K2267">
        <v>20881</v>
      </c>
      <c r="L2267">
        <v>1879</v>
      </c>
    </row>
    <row r="2268" spans="1:12" x14ac:dyDescent="0.2">
      <c r="A2268"/>
      <c r="B2268"/>
      <c r="C2268"/>
      <c r="D2268"/>
      <c r="E2268" s="2">
        <f>Comuni__2[[#This Row],[Popolazione2011]]/$D$7911</f>
        <v>9.5417475604637567E-6</v>
      </c>
      <c r="F2268">
        <f>SUMIFS($D$2:$D$7909, $B$2:$B$7909, "Lazio")</f>
        <v>5502886</v>
      </c>
      <c r="G2268" s="1">
        <f>Comuni__2[[#This Row],[Popolazione2011]]/Comuni__2[[#This Row],[POPOLAZIONE TOTALE DI OGNI REGIONE (CON FILTRO)]]</f>
        <v>1.0303684284937032E-4</v>
      </c>
      <c r="H2268" t="str">
        <f>IF(Comuni__2[[#This Row],[Popolazione2011]]&gt;300000,"MAGGIORE","")</f>
        <v/>
      </c>
      <c r="J2268">
        <v>1380</v>
      </c>
      <c r="K2268">
        <v>21522</v>
      </c>
      <c r="L2268">
        <v>1914</v>
      </c>
    </row>
    <row r="2269" spans="1:12" x14ac:dyDescent="0.2">
      <c r="A2269"/>
      <c r="B2269"/>
      <c r="C2269"/>
      <c r="D2269"/>
      <c r="E2269" s="2">
        <f>Comuni__2[[#This Row],[Popolazione2011]]/$D$7911</f>
        <v>9.4576051657506727E-6</v>
      </c>
      <c r="F2269">
        <f>SUMIFS($D$2:$D$7909, $B$2:$B$7909, "Lazio")</f>
        <v>5502886</v>
      </c>
      <c r="G2269" s="1">
        <f>Comuni__2[[#This Row],[Popolazione2011]]/Comuni__2[[#This Row],[POPOLAZIONE TOTALE DI OGNI REGIONE (CON FILTRO)]]</f>
        <v>1.0212822871489615E-4</v>
      </c>
      <c r="H2269" t="str">
        <f>IF(Comuni__2[[#This Row],[Popolazione2011]]&gt;300000,"MAGGIORE","")</f>
        <v/>
      </c>
      <c r="J2269">
        <v>1415</v>
      </c>
      <c r="K2269">
        <v>22106</v>
      </c>
      <c r="L2269">
        <v>1916</v>
      </c>
    </row>
    <row r="2270" spans="1:12" x14ac:dyDescent="0.2">
      <c r="A2270"/>
      <c r="B2270"/>
      <c r="C2270"/>
      <c r="D2270"/>
      <c r="E2270" s="2">
        <f>Comuni__2[[#This Row],[Popolazione2011]]/$D$7911</f>
        <v>9.3902912499802048E-6</v>
      </c>
      <c r="F2270">
        <f>SUMIFS($D$2:$D$7909, $B$2:$B$7909, "Lazio")</f>
        <v>5502886</v>
      </c>
      <c r="G2270" s="1">
        <f>Comuni__2[[#This Row],[Popolazione2011]]/Comuni__2[[#This Row],[POPOLAZIONE TOTALE DI OGNI REGIONE (CON FILTRO)]]</f>
        <v>1.0140133740731682E-4</v>
      </c>
      <c r="H2270" t="str">
        <f>IF(Comuni__2[[#This Row],[Popolazione2011]]&gt;300000,"MAGGIORE","")</f>
        <v/>
      </c>
      <c r="J2270">
        <v>1479</v>
      </c>
      <c r="K2270">
        <v>22310</v>
      </c>
      <c r="L2270">
        <v>1937</v>
      </c>
    </row>
    <row r="2271" spans="1:12" x14ac:dyDescent="0.2">
      <c r="A2271"/>
      <c r="B2271"/>
      <c r="C2271"/>
      <c r="D2271"/>
      <c r="E2271" s="2">
        <f>Comuni__2[[#This Row],[Popolazione2011]]/$D$7911</f>
        <v>9.2724918973818868E-6</v>
      </c>
      <c r="F2271">
        <f>SUMIFS($D$2:$D$7909, $B$2:$B$7909, "Lazio")</f>
        <v>5502886</v>
      </c>
      <c r="G2271" s="1">
        <f>Comuni__2[[#This Row],[Popolazione2011]]/Comuni__2[[#This Row],[POPOLAZIONE TOTALE DI OGNI REGIONE (CON FILTRO)]]</f>
        <v>1.0012927761905298E-4</v>
      </c>
      <c r="H2271" t="str">
        <f>IF(Comuni__2[[#This Row],[Popolazione2011]]&gt;300000,"MAGGIORE","")</f>
        <v/>
      </c>
      <c r="J2271">
        <v>1407</v>
      </c>
      <c r="K2271">
        <v>22828</v>
      </c>
      <c r="L2271">
        <v>1976</v>
      </c>
    </row>
    <row r="2272" spans="1:12" x14ac:dyDescent="0.2">
      <c r="A2272"/>
      <c r="B2272"/>
      <c r="C2272"/>
      <c r="D2272"/>
      <c r="E2272" s="2">
        <f>Comuni__2[[#This Row],[Popolazione2011]]/$D$7911</f>
        <v>8.9864077553574008E-6</v>
      </c>
      <c r="F2272">
        <f>SUMIFS($D$2:$D$7909, $B$2:$B$7909, "Lazio")</f>
        <v>5502886</v>
      </c>
      <c r="G2272" s="1">
        <f>Comuni__2[[#This Row],[Popolazione2011]]/Comuni__2[[#This Row],[POPOLAZIONE TOTALE DI OGNI REGIONE (CON FILTRO)]]</f>
        <v>9.7039989561840826E-5</v>
      </c>
      <c r="H2272" t="str">
        <f>IF(Comuni__2[[#This Row],[Popolazione2011]]&gt;300000,"MAGGIORE","")</f>
        <v/>
      </c>
      <c r="J2272">
        <v>1413</v>
      </c>
      <c r="K2272">
        <v>23278</v>
      </c>
      <c r="L2272">
        <v>2009</v>
      </c>
    </row>
    <row r="2273" spans="1:12" x14ac:dyDescent="0.2">
      <c r="A2273"/>
      <c r="B2273"/>
      <c r="C2273"/>
      <c r="D2273"/>
      <c r="E2273" s="2">
        <f>Comuni__2[[#This Row],[Popolazione2011]]/$D$7911</f>
        <v>8.8181229659312328E-6</v>
      </c>
      <c r="F2273">
        <f>SUMIFS($D$2:$D$7909, $B$2:$B$7909, "Lazio")</f>
        <v>5502886</v>
      </c>
      <c r="G2273" s="1">
        <f>Comuni__2[[#This Row],[Popolazione2011]]/Comuni__2[[#This Row],[POPOLAZIONE TOTALE DI OGNI REGIONE (CON FILTRO)]]</f>
        <v>9.52227612928925E-5</v>
      </c>
      <c r="H2273" t="str">
        <f>IF(Comuni__2[[#This Row],[Popolazione2011]]&gt;300000,"MAGGIORE","")</f>
        <v/>
      </c>
      <c r="J2273">
        <v>1472</v>
      </c>
      <c r="K2273">
        <v>23554</v>
      </c>
      <c r="L2273">
        <v>2040</v>
      </c>
    </row>
    <row r="2274" spans="1:12" x14ac:dyDescent="0.2">
      <c r="A2274"/>
      <c r="B2274"/>
      <c r="C2274"/>
      <c r="D2274"/>
      <c r="E2274" s="2">
        <f>Comuni__2[[#This Row],[Popolazione2011]]/$D$7911</f>
        <v>8.2459546818822591E-6</v>
      </c>
      <c r="F2274">
        <f>SUMIFS($D$2:$D$7909, $B$2:$B$7909, "Lazio")</f>
        <v>5502886</v>
      </c>
      <c r="G2274" s="1">
        <f>Comuni__2[[#This Row],[Popolazione2011]]/Comuni__2[[#This Row],[POPOLAZIONE TOTALE DI OGNI REGIONE (CON FILTRO)]]</f>
        <v>8.9044185178468178E-5</v>
      </c>
      <c r="H2274" t="str">
        <f>IF(Comuni__2[[#This Row],[Popolazione2011]]&gt;300000,"MAGGIORE","")</f>
        <v/>
      </c>
      <c r="J2274">
        <v>1482</v>
      </c>
      <c r="K2274">
        <v>24521</v>
      </c>
      <c r="L2274">
        <v>2058</v>
      </c>
    </row>
    <row r="2275" spans="1:12" x14ac:dyDescent="0.2">
      <c r="A2275"/>
      <c r="B2275"/>
      <c r="C2275"/>
      <c r="D2275"/>
      <c r="E2275" s="2">
        <f>Comuni__2[[#This Row],[Popolazione2011]]/$D$7911</f>
        <v>7.9430420609151553E-6</v>
      </c>
      <c r="F2275">
        <f>SUMIFS($D$2:$D$7909, $B$2:$B$7909, "Lazio")</f>
        <v>5502886</v>
      </c>
      <c r="G2275" s="1">
        <f>Comuni__2[[#This Row],[Popolazione2011]]/Comuni__2[[#This Row],[POPOLAZIONE TOTALE DI OGNI REGIONE (CON FILTRO)]]</f>
        <v>8.5773174294361177E-5</v>
      </c>
      <c r="H2275" t="str">
        <f>IF(Comuni__2[[#This Row],[Popolazione2011]]&gt;300000,"MAGGIORE","")</f>
        <v/>
      </c>
      <c r="J2275">
        <v>1510</v>
      </c>
      <c r="K2275">
        <v>25133</v>
      </c>
      <c r="L2275">
        <v>2088</v>
      </c>
    </row>
    <row r="2276" spans="1:12" x14ac:dyDescent="0.2">
      <c r="A2276"/>
      <c r="B2276"/>
      <c r="C2276"/>
      <c r="D2276"/>
      <c r="E2276" s="2">
        <f>Comuni__2[[#This Row],[Popolazione2011]]/$D$7911</f>
        <v>7.909385103029923E-6</v>
      </c>
      <c r="F2276">
        <f>SUMIFS($D$2:$D$7909, $B$2:$B$7909, "Lazio")</f>
        <v>5502886</v>
      </c>
      <c r="G2276" s="1">
        <f>Comuni__2[[#This Row],[Popolazione2011]]/Comuni__2[[#This Row],[POPOLAZIONE TOTALE DI OGNI REGIONE (CON FILTRO)]]</f>
        <v>8.5409728640571512E-5</v>
      </c>
      <c r="H2276" t="str">
        <f>IF(Comuni__2[[#This Row],[Popolazione2011]]&gt;300000,"MAGGIORE","")</f>
        <v/>
      </c>
      <c r="J2276">
        <v>1508</v>
      </c>
      <c r="K2276">
        <v>25530</v>
      </c>
      <c r="L2276">
        <v>2109</v>
      </c>
    </row>
    <row r="2277" spans="1:12" x14ac:dyDescent="0.2">
      <c r="A2277"/>
      <c r="B2277"/>
      <c r="C2277"/>
      <c r="D2277"/>
      <c r="E2277" s="2">
        <f>Comuni__2[[#This Row],[Popolazione2011]]/$D$7911</f>
        <v>7.7411003136037533E-6</v>
      </c>
      <c r="F2277">
        <f>SUMIFS($D$2:$D$7909, $B$2:$B$7909, "Lazio")</f>
        <v>5502886</v>
      </c>
      <c r="G2277" s="1">
        <f>Comuni__2[[#This Row],[Popolazione2011]]/Comuni__2[[#This Row],[POPOLAZIONE TOTALE DI OGNI REGIONE (CON FILTRO)]]</f>
        <v>8.3592500371623186E-5</v>
      </c>
      <c r="H2277" t="str">
        <f>IF(Comuni__2[[#This Row],[Popolazione2011]]&gt;300000,"MAGGIORE","")</f>
        <v/>
      </c>
      <c r="J2277">
        <v>1492</v>
      </c>
      <c r="K2277">
        <v>25717</v>
      </c>
      <c r="L2277">
        <v>2124</v>
      </c>
    </row>
    <row r="2278" spans="1:12" x14ac:dyDescent="0.2">
      <c r="A2278"/>
      <c r="B2278"/>
      <c r="C2278"/>
      <c r="D2278"/>
      <c r="E2278" s="2">
        <f>Comuni__2[[#This Row],[Popolazione2011]]/$D$7911</f>
        <v>7.7411003136037533E-6</v>
      </c>
      <c r="F2278">
        <f>SUMIFS($D$2:$D$7909, $B$2:$B$7909, "Lazio")</f>
        <v>5502886</v>
      </c>
      <c r="G2278" s="1">
        <f>Comuni__2[[#This Row],[Popolazione2011]]/Comuni__2[[#This Row],[POPOLAZIONE TOTALE DI OGNI REGIONE (CON FILTRO)]]</f>
        <v>8.3592500371623186E-5</v>
      </c>
      <c r="H2278" t="str">
        <f>IF(Comuni__2[[#This Row],[Popolazione2011]]&gt;300000,"MAGGIORE","")</f>
        <v/>
      </c>
      <c r="J2278">
        <v>1510</v>
      </c>
      <c r="K2278">
        <v>25752</v>
      </c>
      <c r="L2278">
        <v>2144</v>
      </c>
    </row>
    <row r="2279" spans="1:12" x14ac:dyDescent="0.2">
      <c r="A2279"/>
      <c r="B2279"/>
      <c r="C2279"/>
      <c r="D2279"/>
      <c r="E2279" s="2">
        <f>Comuni__2[[#This Row],[Popolazione2011]]/$D$7911</f>
        <v>7.5391585662923513E-6</v>
      </c>
      <c r="F2279">
        <f>SUMIFS($D$2:$D$7909, $B$2:$B$7909, "Lazio")</f>
        <v>5502886</v>
      </c>
      <c r="G2279" s="1">
        <f>Comuni__2[[#This Row],[Popolazione2011]]/Comuni__2[[#This Row],[POPOLAZIONE TOTALE DI OGNI REGIONE (CON FILTRO)]]</f>
        <v>8.1411826448885181E-5</v>
      </c>
      <c r="H2279" t="str">
        <f>IF(Comuni__2[[#This Row],[Popolazione2011]]&gt;300000,"MAGGIORE","")</f>
        <v/>
      </c>
      <c r="J2279">
        <v>1489</v>
      </c>
      <c r="K2279">
        <v>26271</v>
      </c>
      <c r="L2279">
        <v>2163</v>
      </c>
    </row>
    <row r="2280" spans="1:12" x14ac:dyDescent="0.2">
      <c r="A2280"/>
      <c r="B2280"/>
      <c r="C2280"/>
      <c r="D2280"/>
      <c r="E2280" s="2">
        <f>Comuni__2[[#This Row],[Popolazione2011]]/$D$7911</f>
        <v>7.4045307347514164E-6</v>
      </c>
      <c r="F2280">
        <f>SUMIFS($D$2:$D$7909, $B$2:$B$7909, "Lazio")</f>
        <v>5502886</v>
      </c>
      <c r="G2280" s="1">
        <f>Comuni__2[[#This Row],[Popolazione2011]]/Comuni__2[[#This Row],[POPOLAZIONE TOTALE DI OGNI REGIONE (CON FILTRO)]]</f>
        <v>7.9958043833726521E-5</v>
      </c>
      <c r="H2280" t="str">
        <f>IF(Comuni__2[[#This Row],[Popolazione2011]]&gt;300000,"MAGGIORE","")</f>
        <v/>
      </c>
      <c r="J2280">
        <v>1438</v>
      </c>
      <c r="K2280">
        <v>26789</v>
      </c>
      <c r="L2280">
        <v>2178</v>
      </c>
    </row>
    <row r="2281" spans="1:12" x14ac:dyDescent="0.2">
      <c r="A2281"/>
      <c r="B2281"/>
      <c r="C2281"/>
      <c r="D2281"/>
      <c r="E2281" s="2">
        <f>Comuni__2[[#This Row],[Popolazione2011]]/$D$7911</f>
        <v>6.7818770138745926E-6</v>
      </c>
      <c r="F2281">
        <f>SUMIFS($D$2:$D$7909, $B$2:$B$7909, "Lazio")</f>
        <v>5502886</v>
      </c>
      <c r="G2281" s="1">
        <f>Comuni__2[[#This Row],[Popolazione2011]]/Comuni__2[[#This Row],[POPOLAZIONE TOTALE DI OGNI REGIONE (CON FILTRO)]]</f>
        <v>7.3234299238617701E-5</v>
      </c>
      <c r="H2281" t="str">
        <f>IF(Comuni__2[[#This Row],[Popolazione2011]]&gt;300000,"MAGGIORE","")</f>
        <v/>
      </c>
      <c r="J2281">
        <v>1410</v>
      </c>
      <c r="K2281">
        <v>28594</v>
      </c>
      <c r="L2281">
        <v>2207</v>
      </c>
    </row>
    <row r="2282" spans="1:12" x14ac:dyDescent="0.2">
      <c r="A2282"/>
      <c r="B2282"/>
      <c r="C2282"/>
      <c r="D2282"/>
      <c r="E2282" s="2">
        <f>Comuni__2[[#This Row],[Popolazione2011]]/$D$7911</f>
        <v>6.6977346191615086E-6</v>
      </c>
      <c r="F2282">
        <f>SUMIFS($D$2:$D$7909, $B$2:$B$7909, "Lazio")</f>
        <v>5502886</v>
      </c>
      <c r="G2282" s="1">
        <f>Comuni__2[[#This Row],[Popolazione2011]]/Comuni__2[[#This Row],[POPOLAZIONE TOTALE DI OGNI REGIONE (CON FILTRO)]]</f>
        <v>7.2325685104143538E-5</v>
      </c>
      <c r="H2282" t="str">
        <f>IF(Comuni__2[[#This Row],[Popolazione2011]]&gt;300000,"MAGGIORE","")</f>
        <v/>
      </c>
      <c r="J2282">
        <v>1360</v>
      </c>
      <c r="K2282">
        <v>29416</v>
      </c>
      <c r="L2282">
        <v>2227</v>
      </c>
    </row>
    <row r="2283" spans="1:12" x14ac:dyDescent="0.2">
      <c r="A2283"/>
      <c r="B2283"/>
      <c r="C2283"/>
      <c r="D2283"/>
      <c r="E2283" s="2">
        <f>Comuni__2[[#This Row],[Popolazione2011]]/$D$7911</f>
        <v>6.6640776612762747E-6</v>
      </c>
      <c r="F2283">
        <f>SUMIFS($D$2:$D$7909, $B$2:$B$7909, "Lazio")</f>
        <v>5502886</v>
      </c>
      <c r="G2283" s="1">
        <f>Comuni__2[[#This Row],[Popolazione2011]]/Comuni__2[[#This Row],[POPOLAZIONE TOTALE DI OGNI REGIONE (CON FILTRO)]]</f>
        <v>7.1962239450353873E-5</v>
      </c>
      <c r="H2283" t="str">
        <f>IF(Comuni__2[[#This Row],[Popolazione2011]]&gt;300000,"MAGGIORE","")</f>
        <v/>
      </c>
      <c r="J2283">
        <v>1375</v>
      </c>
      <c r="K2283">
        <v>30008</v>
      </c>
      <c r="L2283">
        <v>2241</v>
      </c>
    </row>
    <row r="2284" spans="1:12" x14ac:dyDescent="0.2">
      <c r="A2284"/>
      <c r="B2284"/>
      <c r="C2284"/>
      <c r="D2284"/>
      <c r="E2284" s="2">
        <f>Comuni__2[[#This Row],[Popolazione2011]]/$D$7911</f>
        <v>6.4621359139648727E-6</v>
      </c>
      <c r="F2284">
        <f>SUMIFS($D$2:$D$7909, $B$2:$B$7909, "Lazio")</f>
        <v>5502886</v>
      </c>
      <c r="G2284" s="1">
        <f>Comuni__2[[#This Row],[Popolazione2011]]/Comuni__2[[#This Row],[POPOLAZIONE TOTALE DI OGNI REGIONE (CON FILTRO)]]</f>
        <v>6.9781565527615868E-5</v>
      </c>
      <c r="H2284" t="str">
        <f>IF(Comuni__2[[#This Row],[Popolazione2011]]&gt;300000,"MAGGIORE","")</f>
        <v/>
      </c>
      <c r="J2284">
        <v>1370</v>
      </c>
      <c r="K2284">
        <v>30830</v>
      </c>
      <c r="L2284">
        <v>2261</v>
      </c>
    </row>
    <row r="2285" spans="1:12" x14ac:dyDescent="0.2">
      <c r="A2285"/>
      <c r="B2285"/>
      <c r="C2285"/>
      <c r="D2285"/>
      <c r="E2285" s="2">
        <f>Comuni__2[[#This Row],[Popolazione2011]]/$D$7911</f>
        <v>6.2601941666534707E-6</v>
      </c>
      <c r="F2285">
        <f>SUMIFS($D$2:$D$7909, $B$2:$B$7909, "Lazio")</f>
        <v>5502886</v>
      </c>
      <c r="G2285" s="1">
        <f>Comuni__2[[#This Row],[Popolazione2011]]/Comuni__2[[#This Row],[POPOLAZIONE TOTALE DI OGNI REGIONE (CON FILTRO)]]</f>
        <v>6.7600891604877877E-5</v>
      </c>
      <c r="H2285" t="str">
        <f>IF(Comuni__2[[#This Row],[Popolazione2011]]&gt;300000,"MAGGIORE","")</f>
        <v/>
      </c>
      <c r="J2285">
        <v>1300</v>
      </c>
      <c r="K2285">
        <v>31852</v>
      </c>
      <c r="L2285">
        <v>2286</v>
      </c>
    </row>
    <row r="2286" spans="1:12" x14ac:dyDescent="0.2">
      <c r="A2286"/>
      <c r="B2286"/>
      <c r="C2286"/>
      <c r="D2286"/>
      <c r="E2286" s="2">
        <f>Comuni__2[[#This Row],[Popolazione2011]]/$D$7911</f>
        <v>6.0750808982846848E-6</v>
      </c>
      <c r="F2286">
        <f>SUMIFS($D$2:$D$7909, $B$2:$B$7909, "Lazio")</f>
        <v>5502886</v>
      </c>
      <c r="G2286" s="1">
        <f>Comuni__2[[#This Row],[Popolazione2011]]/Comuni__2[[#This Row],[POPOLAZIONE TOTALE DI OGNI REGIONE (CON FILTRO)]]</f>
        <v>6.5601940509034718E-5</v>
      </c>
      <c r="H2286" t="str">
        <f>IF(Comuni__2[[#This Row],[Popolazione2011]]&gt;300000,"MAGGIORE","")</f>
        <v/>
      </c>
      <c r="J2286">
        <v>1238</v>
      </c>
      <c r="K2286">
        <v>33018</v>
      </c>
      <c r="L2286">
        <v>2308</v>
      </c>
    </row>
    <row r="2287" spans="1:12" x14ac:dyDescent="0.2">
      <c r="A2287"/>
      <c r="B2287"/>
      <c r="C2287"/>
      <c r="D2287"/>
      <c r="E2287" s="2">
        <f>Comuni__2[[#This Row],[Popolazione2011]]/$D$7911</f>
        <v>6.0750808982846848E-6</v>
      </c>
      <c r="F2287">
        <f>SUMIFS($D$2:$D$7909, $B$2:$B$7909, "Lazio")</f>
        <v>5502886</v>
      </c>
      <c r="G2287" s="1">
        <f>Comuni__2[[#This Row],[Popolazione2011]]/Comuni__2[[#This Row],[POPOLAZIONE TOTALE DI OGNI REGIONE (CON FILTRO)]]</f>
        <v>6.5601940509034718E-5</v>
      </c>
      <c r="H2287" t="str">
        <f>IF(Comuni__2[[#This Row],[Popolazione2011]]&gt;300000,"MAGGIORE","")</f>
        <v/>
      </c>
      <c r="J2287">
        <v>1189</v>
      </c>
      <c r="K2287">
        <v>34137</v>
      </c>
      <c r="L2287">
        <v>2322</v>
      </c>
    </row>
    <row r="2288" spans="1:12" x14ac:dyDescent="0.2">
      <c r="A2288"/>
      <c r="B2288"/>
      <c r="C2288"/>
      <c r="D2288"/>
      <c r="E2288" s="2">
        <f>Comuni__2[[#This Row],[Popolazione2011]]/$D$7911</f>
        <v>6.0414239403994509E-6</v>
      </c>
      <c r="F2288">
        <f>SUMIFS($D$2:$D$7909, $B$2:$B$7909, "Lazio")</f>
        <v>5502886</v>
      </c>
      <c r="G2288" s="1">
        <f>Comuni__2[[#This Row],[Popolazione2011]]/Comuni__2[[#This Row],[POPOLAZIONE TOTALE DI OGNI REGIONE (CON FILTRO)]]</f>
        <v>6.5238494855245053E-5</v>
      </c>
      <c r="H2288" t="str">
        <f>IF(Comuni__2[[#This Row],[Popolazione2011]]&gt;300000,"MAGGIORE","")</f>
        <v/>
      </c>
      <c r="J2288">
        <v>1128</v>
      </c>
      <c r="K2288">
        <v>35210</v>
      </c>
      <c r="L2288">
        <v>2336</v>
      </c>
    </row>
    <row r="2289" spans="1:12" x14ac:dyDescent="0.2">
      <c r="A2289"/>
      <c r="B2289"/>
      <c r="C2289"/>
      <c r="D2289"/>
      <c r="E2289" s="2">
        <f>Comuni__2[[#This Row],[Popolazione2011]]/$D$7911</f>
        <v>5.9909385035716008E-6</v>
      </c>
      <c r="F2289">
        <f>SUMIFS($D$2:$D$7909, $B$2:$B$7909, "Lazio")</f>
        <v>5502886</v>
      </c>
      <c r="G2289" s="1">
        <f>Comuni__2[[#This Row],[Popolazione2011]]/Comuni__2[[#This Row],[POPOLAZIONE TOTALE DI OGNI REGIONE (CON FILTRO)]]</f>
        <v>6.4693326374560555E-5</v>
      </c>
      <c r="H2289" t="str">
        <f>IF(Comuni__2[[#This Row],[Popolazione2011]]&gt;300000,"MAGGIORE","")</f>
        <v/>
      </c>
      <c r="J2289">
        <v>1085</v>
      </c>
      <c r="K2289">
        <v>35925</v>
      </c>
      <c r="L2289">
        <v>2361</v>
      </c>
    </row>
    <row r="2290" spans="1:12" x14ac:dyDescent="0.2">
      <c r="A2290"/>
      <c r="B2290"/>
      <c r="C2290"/>
      <c r="D2290"/>
      <c r="E2290" s="2">
        <f>Comuni__2[[#This Row],[Popolazione2011]]/$D$7911</f>
        <v>5.8899676299158998E-6</v>
      </c>
      <c r="F2290">
        <f>SUMIFS($D$2:$D$7909, $B$2:$B$7909, "Lazio")</f>
        <v>5502886</v>
      </c>
      <c r="G2290" s="1">
        <f>Comuni__2[[#This Row],[Popolazione2011]]/Comuni__2[[#This Row],[POPOLAZIONE TOTALE DI OGNI REGIONE (CON FILTRO)]]</f>
        <v>6.3602989413191546E-5</v>
      </c>
      <c r="H2290" t="str">
        <f>IF(Comuni__2[[#This Row],[Popolazione2011]]&gt;300000,"MAGGIORE","")</f>
        <v/>
      </c>
      <c r="J2290">
        <v>1081</v>
      </c>
      <c r="K2290">
        <v>36462</v>
      </c>
      <c r="L2290">
        <v>2380</v>
      </c>
    </row>
    <row r="2291" spans="1:12" x14ac:dyDescent="0.2">
      <c r="A2291"/>
      <c r="B2291"/>
      <c r="C2291"/>
      <c r="D2291"/>
      <c r="E2291" s="2">
        <f>Comuni__2[[#This Row],[Popolazione2011]]/$D$7911</f>
        <v>5.788996756260198E-6</v>
      </c>
      <c r="F2291">
        <f>SUMIFS($D$2:$D$7909, $B$2:$B$7909, "Lazio")</f>
        <v>5502886</v>
      </c>
      <c r="G2291" s="1">
        <f>Comuni__2[[#This Row],[Popolazione2011]]/Comuni__2[[#This Row],[POPOLAZIONE TOTALE DI OGNI REGIONE (CON FILTRO)]]</f>
        <v>6.251265245182255E-5</v>
      </c>
      <c r="H2291" t="str">
        <f>IF(Comuni__2[[#This Row],[Popolazione2011]]&gt;300000,"MAGGIORE","")</f>
        <v/>
      </c>
      <c r="J2291">
        <v>1110</v>
      </c>
      <c r="K2291">
        <v>37081</v>
      </c>
      <c r="L2291">
        <v>2387</v>
      </c>
    </row>
    <row r="2292" spans="1:12" x14ac:dyDescent="0.2">
      <c r="A2292"/>
      <c r="B2292"/>
      <c r="C2292"/>
      <c r="D2292"/>
      <c r="E2292" s="2">
        <f>Comuni__2[[#This Row],[Popolazione2011]]/$D$7911</f>
        <v>5.5533980510635621E-6</v>
      </c>
      <c r="F2292">
        <f>SUMIFS($D$2:$D$7909, $B$2:$B$7909, "Lazio")</f>
        <v>5502886</v>
      </c>
      <c r="G2292" s="1">
        <f>Comuni__2[[#This Row],[Popolazione2011]]/Comuni__2[[#This Row],[POPOLAZIONE TOTALE DI OGNI REGIONE (CON FILTRO)]]</f>
        <v>5.9968532875294894E-5</v>
      </c>
      <c r="H2292" t="str">
        <f>IF(Comuni__2[[#This Row],[Popolazione2011]]&gt;300000,"MAGGIORE","")</f>
        <v/>
      </c>
      <c r="J2292">
        <v>1108</v>
      </c>
      <c r="K2292">
        <v>37469</v>
      </c>
      <c r="L2292">
        <v>2404</v>
      </c>
    </row>
    <row r="2293" spans="1:12" x14ac:dyDescent="0.2">
      <c r="A2293"/>
      <c r="B2293"/>
      <c r="C2293"/>
      <c r="D2293"/>
      <c r="E2293" s="2">
        <f>Comuni__2[[#This Row],[Popolazione2011]]/$D$7911</f>
        <v>5.3346278248095431E-6</v>
      </c>
      <c r="F2293">
        <f>SUMIFS($D$2:$D$7909, $B$2:$B$7909, "Lazio")</f>
        <v>5502886</v>
      </c>
      <c r="G2293" s="1">
        <f>Comuni__2[[#This Row],[Popolazione2011]]/Comuni__2[[#This Row],[POPOLAZIONE TOTALE DI OGNI REGIONE (CON FILTRO)]]</f>
        <v>5.7606136125662063E-5</v>
      </c>
      <c r="H2293" t="str">
        <f>IF(Comuni__2[[#This Row],[Popolazione2011]]&gt;300000,"MAGGIORE","")</f>
        <v/>
      </c>
      <c r="J2293">
        <v>1065</v>
      </c>
      <c r="K2293">
        <v>37950</v>
      </c>
      <c r="L2293">
        <v>2423</v>
      </c>
    </row>
    <row r="2294" spans="1:12" x14ac:dyDescent="0.2">
      <c r="A2294"/>
      <c r="B2294"/>
      <c r="C2294"/>
      <c r="D2294"/>
      <c r="E2294" s="2">
        <f>Comuni__2[[#This Row],[Popolazione2011]]/$D$7911</f>
        <v>5.2336569511538421E-6</v>
      </c>
      <c r="F2294">
        <f>SUMIFS($D$2:$D$7909, $B$2:$B$7909, "Lazio")</f>
        <v>5502886</v>
      </c>
      <c r="G2294" s="1">
        <f>Comuni__2[[#This Row],[Popolazione2011]]/Comuni__2[[#This Row],[POPOLAZIONE TOTALE DI OGNI REGIONE (CON FILTRO)]]</f>
        <v>5.6515799164293061E-5</v>
      </c>
      <c r="H2294" t="str">
        <f>IF(Comuni__2[[#This Row],[Popolazione2011]]&gt;300000,"MAGGIORE","")</f>
        <v/>
      </c>
      <c r="J2294">
        <v>1034</v>
      </c>
      <c r="K2294">
        <v>38887</v>
      </c>
      <c r="L2294">
        <v>2449</v>
      </c>
    </row>
    <row r="2295" spans="1:12" x14ac:dyDescent="0.2">
      <c r="A2295"/>
      <c r="B2295"/>
      <c r="C2295"/>
      <c r="D2295"/>
      <c r="E2295" s="2">
        <f>Comuni__2[[#This Row],[Popolazione2011]]/$D$7911</f>
        <v>5.1495145564407581E-6</v>
      </c>
      <c r="F2295">
        <f>SUMIFS($D$2:$D$7909, $B$2:$B$7909, "Lazio")</f>
        <v>5502886</v>
      </c>
      <c r="G2295" s="1">
        <f>Comuni__2[[#This Row],[Popolazione2011]]/Comuni__2[[#This Row],[POPOLAZIONE TOTALE DI OGNI REGIONE (CON FILTRO)]]</f>
        <v>5.5607185029818898E-5</v>
      </c>
      <c r="H2295" t="str">
        <f>IF(Comuni__2[[#This Row],[Popolazione2011]]&gt;300000,"MAGGIORE","")</f>
        <v/>
      </c>
      <c r="J2295">
        <v>1011</v>
      </c>
      <c r="K2295">
        <v>39660</v>
      </c>
      <c r="L2295">
        <v>2474</v>
      </c>
    </row>
    <row r="2296" spans="1:12" x14ac:dyDescent="0.2">
      <c r="A2296"/>
      <c r="B2296"/>
      <c r="C2296"/>
      <c r="D2296"/>
      <c r="E2296" s="2">
        <f>Comuni__2[[#This Row],[Popolazione2011]]/$D$7911</f>
        <v>5.0317152038424401E-6</v>
      </c>
      <c r="F2296">
        <f>SUMIFS($D$2:$D$7909, $B$2:$B$7909, "Lazio")</f>
        <v>5502886</v>
      </c>
      <c r="G2296" s="1">
        <f>Comuni__2[[#This Row],[Popolazione2011]]/Comuni__2[[#This Row],[POPOLAZIONE TOTALE DI OGNI REGIONE (CON FILTRO)]]</f>
        <v>5.433512524155507E-5</v>
      </c>
      <c r="H2296" t="str">
        <f>IF(Comuni__2[[#This Row],[Popolazione2011]]&gt;300000,"MAGGIORE","")</f>
        <v/>
      </c>
      <c r="J2296">
        <v>990</v>
      </c>
      <c r="K2296">
        <v>40456</v>
      </c>
      <c r="L2296">
        <v>2501</v>
      </c>
    </row>
    <row r="2297" spans="1:12" x14ac:dyDescent="0.2">
      <c r="A2297"/>
      <c r="B2297"/>
      <c r="C2297"/>
      <c r="D2297"/>
      <c r="E2297" s="2">
        <f>Comuni__2[[#This Row],[Popolazione2011]]/$D$7911</f>
        <v>4.9644012880719723E-6</v>
      </c>
      <c r="F2297">
        <f>SUMIFS($D$2:$D$7909, $B$2:$B$7909, "Lazio")</f>
        <v>5502886</v>
      </c>
      <c r="G2297" s="1">
        <f>Comuni__2[[#This Row],[Popolazione2011]]/Comuni__2[[#This Row],[POPOLAZIONE TOTALE DI OGNI REGIONE (CON FILTRO)]]</f>
        <v>5.3608233933975732E-5</v>
      </c>
      <c r="H2297" t="str">
        <f>IF(Comuni__2[[#This Row],[Popolazione2011]]&gt;300000,"MAGGIORE","")</f>
        <v/>
      </c>
      <c r="J2297">
        <v>960</v>
      </c>
      <c r="K2297">
        <v>40842</v>
      </c>
      <c r="L2297">
        <v>2521</v>
      </c>
    </row>
    <row r="2298" spans="1:12" x14ac:dyDescent="0.2">
      <c r="A2298"/>
      <c r="B2298"/>
      <c r="C2298"/>
      <c r="D2298"/>
      <c r="E2298" s="2">
        <f>Comuni__2[[#This Row],[Popolazione2011]]/$D$7911</f>
        <v>4.7456310618179533E-6</v>
      </c>
      <c r="F2298">
        <f>SUMIFS($D$2:$D$7909, $B$2:$B$7909, "Lazio")</f>
        <v>5502886</v>
      </c>
      <c r="G2298" s="1">
        <f>Comuni__2[[#This Row],[Popolazione2011]]/Comuni__2[[#This Row],[POPOLAZIONE TOTALE DI OGNI REGIONE (CON FILTRO)]]</f>
        <v>5.1245837184342909E-5</v>
      </c>
      <c r="H2298" t="str">
        <f>IF(Comuni__2[[#This Row],[Popolazione2011]]&gt;300000,"MAGGIORE","")</f>
        <v/>
      </c>
      <c r="J2298">
        <v>95</v>
      </c>
      <c r="K2298">
        <v>0</v>
      </c>
      <c r="L2298">
        <v>6</v>
      </c>
    </row>
    <row r="2299" spans="1:12" x14ac:dyDescent="0.2">
      <c r="A2299"/>
      <c r="B2299"/>
      <c r="C2299"/>
      <c r="D2299"/>
      <c r="E2299" s="2">
        <f>Comuni__2[[#This Row],[Popolazione2011]]/$D$7911</f>
        <v>4.7119741039327194E-6</v>
      </c>
      <c r="F2299">
        <f>SUMIFS($D$2:$D$7909, $B$2:$B$7909, "Lazio")</f>
        <v>5502886</v>
      </c>
      <c r="G2299" s="1">
        <f>Comuni__2[[#This Row],[Popolazione2011]]/Comuni__2[[#This Row],[POPOLAZIONE TOTALE DI OGNI REGIONE (CON FILTRO)]]</f>
        <v>5.0882391530553243E-5</v>
      </c>
      <c r="H2299" t="str">
        <f>IF(Comuni__2[[#This Row],[Popolazione2011]]&gt;300000,"MAGGIORE","")</f>
        <v/>
      </c>
      <c r="J2299">
        <v>104</v>
      </c>
      <c r="K2299">
        <v>0</v>
      </c>
      <c r="L2299">
        <v>9</v>
      </c>
    </row>
    <row r="2300" spans="1:12" x14ac:dyDescent="0.2">
      <c r="A2300"/>
      <c r="B2300"/>
      <c r="C2300"/>
      <c r="D2300"/>
      <c r="E2300" s="2">
        <f>Comuni__2[[#This Row],[Popolazione2011]]/$D$7911</f>
        <v>4.6614886671048693E-6</v>
      </c>
      <c r="F2300">
        <f>SUMIFS($D$2:$D$7909, $B$2:$B$7909, "Lazio")</f>
        <v>5502886</v>
      </c>
      <c r="G2300" s="1">
        <f>Comuni__2[[#This Row],[Popolazione2011]]/Comuni__2[[#This Row],[POPOLAZIONE TOTALE DI OGNI REGIONE (CON FILTRO)]]</f>
        <v>5.0337223049868739E-5</v>
      </c>
      <c r="H2300" t="str">
        <f>IF(Comuni__2[[#This Row],[Popolazione2011]]&gt;300000,"MAGGIORE","")</f>
        <v/>
      </c>
      <c r="J2300">
        <v>104</v>
      </c>
      <c r="K2300">
        <v>0</v>
      </c>
      <c r="L2300">
        <v>9</v>
      </c>
    </row>
    <row r="2301" spans="1:12" x14ac:dyDescent="0.2">
      <c r="A2301"/>
      <c r="B2301"/>
      <c r="C2301"/>
      <c r="D2301"/>
      <c r="E2301" s="2">
        <f>Comuni__2[[#This Row],[Popolazione2011]]/$D$7911</f>
        <v>4.6110032302770184E-6</v>
      </c>
      <c r="F2301">
        <f>SUMIFS($D$2:$D$7909, $B$2:$B$7909, "Lazio")</f>
        <v>5502886</v>
      </c>
      <c r="G2301" s="1">
        <f>Comuni__2[[#This Row],[Popolazione2011]]/Comuni__2[[#This Row],[POPOLAZIONE TOTALE DI OGNI REGIONE (CON FILTRO)]]</f>
        <v>4.9792054569184241E-5</v>
      </c>
      <c r="H2301" t="str">
        <f>IF(Comuni__2[[#This Row],[Popolazione2011]]&gt;300000,"MAGGIORE","")</f>
        <v/>
      </c>
      <c r="J2301">
        <v>213</v>
      </c>
      <c r="K2301">
        <v>40</v>
      </c>
      <c r="L2301">
        <v>14</v>
      </c>
    </row>
    <row r="2302" spans="1:12" x14ac:dyDescent="0.2">
      <c r="A2302"/>
      <c r="B2302"/>
      <c r="C2302"/>
      <c r="D2302"/>
      <c r="E2302" s="2">
        <f>Comuni__2[[#This Row],[Popolazione2011]]/$D$7911</f>
        <v>4.4763753987360834E-6</v>
      </c>
      <c r="F2302">
        <f>SUMIFS($D$2:$D$7909, $B$2:$B$7909, "Lazio")</f>
        <v>5502886</v>
      </c>
      <c r="G2302" s="1">
        <f>Comuni__2[[#This Row],[Popolazione2011]]/Comuni__2[[#This Row],[POPOLAZIONE TOTALE DI OGNI REGIONE (CON FILTRO)]]</f>
        <v>4.833827195402558E-5</v>
      </c>
      <c r="H2302" t="str">
        <f>IF(Comuni__2[[#This Row],[Popolazione2011]]&gt;300000,"MAGGIORE","")</f>
        <v/>
      </c>
      <c r="J2302">
        <v>282</v>
      </c>
      <c r="K2302">
        <v>40</v>
      </c>
      <c r="L2302">
        <v>17</v>
      </c>
    </row>
    <row r="2303" spans="1:12" x14ac:dyDescent="0.2">
      <c r="A2303"/>
      <c r="B2303"/>
      <c r="C2303"/>
      <c r="D2303"/>
      <c r="E2303" s="2">
        <f>Comuni__2[[#This Row],[Popolazione2011]]/$D$7911</f>
        <v>4.4427184408508503E-6</v>
      </c>
      <c r="F2303">
        <f>SUMIFS($D$2:$D$7909, $B$2:$B$7909, "Lazio")</f>
        <v>5502886</v>
      </c>
      <c r="G2303" s="1">
        <f>Comuni__2[[#This Row],[Popolazione2011]]/Comuni__2[[#This Row],[POPOLAZIONE TOTALE DI OGNI REGIONE (CON FILTRO)]]</f>
        <v>4.7974826300235915E-5</v>
      </c>
      <c r="H2303" t="str">
        <f>IF(Comuni__2[[#This Row],[Popolazione2011]]&gt;300000,"MAGGIORE","")</f>
        <v/>
      </c>
      <c r="J2303">
        <v>336</v>
      </c>
      <c r="K2303">
        <v>40</v>
      </c>
      <c r="L2303">
        <v>23</v>
      </c>
    </row>
    <row r="2304" spans="1:12" x14ac:dyDescent="0.2">
      <c r="A2304"/>
      <c r="B2304"/>
      <c r="C2304"/>
      <c r="D2304"/>
      <c r="E2304" s="2">
        <f>Comuni__2[[#This Row],[Popolazione2011]]/$D$7911</f>
        <v>4.1229773409411295E-6</v>
      </c>
      <c r="F2304">
        <f>SUMIFS($D$2:$D$7909, $B$2:$B$7909, "Lazio")</f>
        <v>5502886</v>
      </c>
      <c r="G2304" s="1">
        <f>Comuni__2[[#This Row],[Popolazione2011]]/Comuni__2[[#This Row],[POPOLAZIONE TOTALE DI OGNI REGIONE (CON FILTRO)]]</f>
        <v>4.4522092589234089E-5</v>
      </c>
      <c r="H2304" t="str">
        <f>IF(Comuni__2[[#This Row],[Popolazione2011]]&gt;300000,"MAGGIORE","")</f>
        <v/>
      </c>
      <c r="J2304">
        <v>512</v>
      </c>
      <c r="K2304">
        <v>73</v>
      </c>
      <c r="L2304">
        <v>24</v>
      </c>
    </row>
    <row r="2305" spans="1:12" x14ac:dyDescent="0.2">
      <c r="A2305"/>
      <c r="B2305"/>
      <c r="C2305"/>
      <c r="D2305"/>
      <c r="E2305" s="2">
        <f>Comuni__2[[#This Row],[Popolazione2011]]/$D$7911</f>
        <v>3.5339805779495397E-6</v>
      </c>
      <c r="F2305">
        <f>SUMIFS($D$2:$D$7909, $B$2:$B$7909, "Lazio")</f>
        <v>5502886</v>
      </c>
      <c r="G2305" s="1">
        <f>Comuni__2[[#This Row],[Popolazione2011]]/Comuni__2[[#This Row],[POPOLAZIONE TOTALE DI OGNI REGIONE (CON FILTRO)]]</f>
        <v>3.8161793647914927E-5</v>
      </c>
      <c r="H2305" t="str">
        <f>IF(Comuni__2[[#This Row],[Popolazione2011]]&gt;300000,"MAGGIORE","")</f>
        <v/>
      </c>
      <c r="J2305">
        <v>605</v>
      </c>
      <c r="K2305">
        <v>139</v>
      </c>
      <c r="L2305">
        <v>38</v>
      </c>
    </row>
    <row r="2306" spans="1:12" x14ac:dyDescent="0.2">
      <c r="A2306"/>
      <c r="B2306"/>
      <c r="C2306"/>
      <c r="D2306"/>
      <c r="E2306" s="2">
        <f>Comuni__2[[#This Row],[Popolazione2011]]/$D$7911</f>
        <v>3.4834951411216892E-6</v>
      </c>
      <c r="F2306">
        <f>SUMIFS($D$2:$D$7909, $B$2:$B$7909, "Lazio")</f>
        <v>5502886</v>
      </c>
      <c r="G2306" s="1">
        <f>Comuni__2[[#This Row],[Popolazione2011]]/Comuni__2[[#This Row],[POPOLAZIONE TOTALE DI OGNI REGIONE (CON FILTRO)]]</f>
        <v>3.761662516723043E-5</v>
      </c>
      <c r="H2306" t="str">
        <f>IF(Comuni__2[[#This Row],[Popolazione2011]]&gt;300000,"MAGGIORE","")</f>
        <v/>
      </c>
      <c r="J2306">
        <v>865</v>
      </c>
      <c r="K2306">
        <v>139</v>
      </c>
      <c r="L2306">
        <v>55</v>
      </c>
    </row>
    <row r="2307" spans="1:12" x14ac:dyDescent="0.2">
      <c r="A2307"/>
      <c r="B2307"/>
      <c r="C2307"/>
      <c r="D2307"/>
      <c r="E2307" s="2">
        <f>Comuni__2[[#This Row],[Popolazione2011]]/$D$7911</f>
        <v>3.0964401254415014E-6</v>
      </c>
      <c r="F2307">
        <f>SUMIFS($D$2:$D$7909, $B$2:$B$7909, "Lazio")</f>
        <v>5502886</v>
      </c>
      <c r="G2307" s="1">
        <f>Comuni__2[[#This Row],[Popolazione2011]]/Comuni__2[[#This Row],[POPOLAZIONE TOTALE DI OGNI REGIONE (CON FILTRO)]]</f>
        <v>3.3437000148649273E-5</v>
      </c>
      <c r="H2307" t="str">
        <f>IF(Comuni__2[[#This Row],[Popolazione2011]]&gt;300000,"MAGGIORE","")</f>
        <v/>
      </c>
      <c r="J2307">
        <v>1086</v>
      </c>
      <c r="K2307">
        <v>250</v>
      </c>
      <c r="L2307">
        <v>73</v>
      </c>
    </row>
    <row r="2308" spans="1:12" x14ac:dyDescent="0.2">
      <c r="A2308"/>
      <c r="B2308"/>
      <c r="C2308"/>
      <c r="D2308"/>
      <c r="E2308" s="2">
        <f>Comuni__2[[#This Row],[Popolazione2011]]/$D$7911</f>
        <v>2.9786407728431834E-6</v>
      </c>
      <c r="F2308">
        <f>SUMIFS($D$2:$D$7909, $B$2:$B$7909, "Lazio")</f>
        <v>5502886</v>
      </c>
      <c r="G2308" s="1">
        <f>Comuni__2[[#This Row],[Popolazione2011]]/Comuni__2[[#This Row],[POPOLAZIONE TOTALE DI OGNI REGIONE (CON FILTRO)]]</f>
        <v>3.2164940360385438E-5</v>
      </c>
      <c r="H2308" t="str">
        <f>IF(Comuni__2[[#This Row],[Popolazione2011]]&gt;300000,"MAGGIORE","")</f>
        <v/>
      </c>
      <c r="J2308">
        <v>1413</v>
      </c>
      <c r="K2308">
        <v>376</v>
      </c>
      <c r="L2308">
        <v>98</v>
      </c>
    </row>
    <row r="2309" spans="1:12" x14ac:dyDescent="0.2">
      <c r="A2309"/>
      <c r="B2309"/>
      <c r="C2309"/>
      <c r="D2309"/>
      <c r="E2309" s="2">
        <f>Comuni__2[[#This Row],[Popolazione2011]]/$D$7911</f>
        <v>2.894498378130099E-6</v>
      </c>
      <c r="F2309">
        <f>SUMIFS($D$2:$D$7909, $B$2:$B$7909, "Lazio")</f>
        <v>5502886</v>
      </c>
      <c r="G2309" s="1">
        <f>Comuni__2[[#This Row],[Popolazione2011]]/Comuni__2[[#This Row],[POPOLAZIONE TOTALE DI OGNI REGIONE (CON FILTRO)]]</f>
        <v>3.1256326225911275E-5</v>
      </c>
      <c r="H2309" t="str">
        <f>IF(Comuni__2[[#This Row],[Popolazione2011]]&gt;300000,"MAGGIORE","")</f>
        <v/>
      </c>
      <c r="J2309">
        <v>1931</v>
      </c>
      <c r="K2309">
        <v>469</v>
      </c>
      <c r="L2309">
        <v>135</v>
      </c>
    </row>
    <row r="2310" spans="1:12" x14ac:dyDescent="0.2">
      <c r="A2310"/>
      <c r="B2310"/>
      <c r="C2310"/>
      <c r="D2310"/>
      <c r="E2310" s="2">
        <f>Comuni__2[[#This Row],[Popolazione2011]]/$D$7911</f>
        <v>2.8440129413022485E-6</v>
      </c>
      <c r="F2310">
        <f>SUMIFS($D$2:$D$7909, $B$2:$B$7909, "Lazio")</f>
        <v>5502886</v>
      </c>
      <c r="G2310" s="1">
        <f>Comuni__2[[#This Row],[Popolazione2011]]/Comuni__2[[#This Row],[POPOLAZIONE TOTALE DI OGNI REGIONE (CON FILTRO)]]</f>
        <v>3.0711157745226777E-5</v>
      </c>
      <c r="H2310" t="str">
        <f>IF(Comuni__2[[#This Row],[Popolazione2011]]&gt;300000,"MAGGIORE","")</f>
        <v/>
      </c>
      <c r="J2310">
        <v>2020</v>
      </c>
      <c r="K2310">
        <v>524</v>
      </c>
      <c r="L2310">
        <v>154</v>
      </c>
    </row>
    <row r="2311" spans="1:12" x14ac:dyDescent="0.2">
      <c r="A2311"/>
      <c r="B2311"/>
      <c r="C2311"/>
      <c r="D2311"/>
      <c r="E2311" s="2">
        <f>Comuni__2[[#This Row],[Popolazione2011]]/$D$7911</f>
        <v>2.2045307414828082E-6</v>
      </c>
      <c r="F2311">
        <f>SUMIFS($D$2:$D$7909, $B$2:$B$7909, "Lazio")</f>
        <v>5502886</v>
      </c>
      <c r="G2311" s="1">
        <f>Comuni__2[[#This Row],[Popolazione2011]]/Comuni__2[[#This Row],[POPOLAZIONE TOTALE DI OGNI REGIONE (CON FILTRO)]]</f>
        <v>2.3805690323223125E-5</v>
      </c>
      <c r="H2311" t="str">
        <f>IF(Comuni__2[[#This Row],[Popolazione2011]]&gt;300000,"MAGGIORE","")</f>
        <v/>
      </c>
      <c r="J2311">
        <v>2616</v>
      </c>
      <c r="K2311">
        <v>550</v>
      </c>
      <c r="L2311">
        <v>267</v>
      </c>
    </row>
    <row r="2312" spans="1:12" x14ac:dyDescent="0.2">
      <c r="A2312"/>
      <c r="B2312"/>
      <c r="C2312"/>
      <c r="D2312"/>
      <c r="E2312" s="2">
        <f>Comuni__2[[#This Row],[Popolazione2011]]/$D$7911</f>
        <v>1.6323624574338349E-6</v>
      </c>
      <c r="F2312">
        <f>SUMIFS($D$2:$D$7909, $B$2:$B$7909, "Lazio")</f>
        <v>5502886</v>
      </c>
      <c r="G2312" s="1">
        <f>Comuni__2[[#This Row],[Popolazione2011]]/Comuni__2[[#This Row],[POPOLAZIONE TOTALE DI OGNI REGIONE (CON FILTRO)]]</f>
        <v>1.76271142087988E-5</v>
      </c>
      <c r="H2312" t="str">
        <f>IF(Comuni__2[[#This Row],[Popolazione2011]]&gt;300000,"MAGGIORE","")</f>
        <v/>
      </c>
      <c r="J2312">
        <v>3242</v>
      </c>
      <c r="K2312">
        <v>646</v>
      </c>
      <c r="L2312">
        <v>333</v>
      </c>
    </row>
    <row r="2313" spans="1:12" x14ac:dyDescent="0.2">
      <c r="A2313"/>
      <c r="B2313"/>
      <c r="C2313"/>
      <c r="D2313"/>
      <c r="E2313" s="2">
        <f>Comuni__2[[#This Row],[Popolazione2011]]/$D$7911</f>
        <v>9.864517786583149E-3</v>
      </c>
      <c r="F2313">
        <f>SUMIFS($D$2:$D$7909, $B$2:$B$7909, "Liguria")</f>
        <v>1570694</v>
      </c>
      <c r="G2313" s="1">
        <f>Comuni__2[[#This Row],[Popolazione2011]]/Comuni__2[[#This Row],[POPOLAZIONE TOTALE DI OGNI REGIONE (CON FILTRO)]]</f>
        <v>0.37319808950693134</v>
      </c>
      <c r="H2313" t="str">
        <f>IF(Comuni__2[[#This Row],[Popolazione2011]]&gt;300000,"MAGGIORE","")</f>
        <v>MAGGIORE</v>
      </c>
      <c r="J2313">
        <v>3785</v>
      </c>
      <c r="K2313">
        <v>896</v>
      </c>
      <c r="L2313">
        <v>468</v>
      </c>
    </row>
    <row r="2314" spans="1:12" x14ac:dyDescent="0.2">
      <c r="A2314"/>
      <c r="B2314"/>
      <c r="C2314"/>
      <c r="D2314"/>
      <c r="E2314" s="2">
        <f>Comuni__2[[#This Row],[Popolazione2011]]/$D$7911</f>
        <v>1.5593100303439352E-3</v>
      </c>
      <c r="F2314">
        <f>SUMIFS($D$2:$D$7909, $B$2:$B$7909, "Liguria")</f>
        <v>1570694</v>
      </c>
      <c r="G2314" s="1">
        <f>Comuni__2[[#This Row],[Popolazione2011]]/Comuni__2[[#This Row],[POPOLAZIONE TOTALE DI OGNI REGIONE (CON FILTRO)]]</f>
        <v>5.899239444474863E-2</v>
      </c>
      <c r="H2314" t="str">
        <f>IF(Comuni__2[[#This Row],[Popolazione2011]]&gt;300000,"MAGGIORE","")</f>
        <v/>
      </c>
      <c r="J2314">
        <v>4412</v>
      </c>
      <c r="K2314">
        <v>900</v>
      </c>
      <c r="L2314">
        <v>617</v>
      </c>
    </row>
    <row r="2315" spans="1:12" x14ac:dyDescent="0.2">
      <c r="A2315"/>
      <c r="B2315"/>
      <c r="C2315"/>
      <c r="D2315"/>
      <c r="E2315" s="2">
        <f>Comuni__2[[#This Row],[Popolazione2011]]/$D$7911</f>
        <v>1.0208323611380812E-3</v>
      </c>
      <c r="F2315">
        <f>SUMIFS($D$2:$D$7909, $B$2:$B$7909, "Liguria")</f>
        <v>1570694</v>
      </c>
      <c r="G2315" s="1">
        <f>Comuni__2[[#This Row],[Popolazione2011]]/Comuni__2[[#This Row],[POPOLAZIONE TOTALE DI OGNI REGIONE (CON FILTRO)]]</f>
        <v>3.8620507877409602E-2</v>
      </c>
      <c r="H2315" t="str">
        <f>IF(Comuni__2[[#This Row],[Popolazione2011]]&gt;300000,"MAGGIORE","")</f>
        <v/>
      </c>
      <c r="J2315">
        <v>4852</v>
      </c>
      <c r="K2315">
        <v>1085</v>
      </c>
      <c r="L2315">
        <v>744</v>
      </c>
    </row>
    <row r="2316" spans="1:12" x14ac:dyDescent="0.2">
      <c r="A2316"/>
      <c r="B2316"/>
      <c r="C2316"/>
      <c r="D2316"/>
      <c r="E2316" s="2">
        <f>Comuni__2[[#This Row],[Popolazione2011]]/$D$7911</f>
        <v>9.1104336451644876E-4</v>
      </c>
      <c r="F2316">
        <f>SUMIFS($D$2:$D$7909, $B$2:$B$7909, "Liguria")</f>
        <v>1570694</v>
      </c>
      <c r="G2316" s="1">
        <f>Comuni__2[[#This Row],[Popolazione2011]]/Comuni__2[[#This Row],[POPOLAZIONE TOTALE DI OGNI REGIONE (CON FILTRO)]]</f>
        <v>3.4466929904870075E-2</v>
      </c>
      <c r="H2316" t="str">
        <f>IF(Comuni__2[[#This Row],[Popolazione2011]]&gt;300000,"MAGGIORE","")</f>
        <v/>
      </c>
      <c r="J2316">
        <v>5085</v>
      </c>
      <c r="K2316">
        <v>1198</v>
      </c>
      <c r="L2316">
        <v>890</v>
      </c>
    </row>
    <row r="2317" spans="1:12" x14ac:dyDescent="0.2">
      <c r="A2317"/>
      <c r="B2317"/>
      <c r="C2317"/>
      <c r="D2317"/>
      <c r="E2317" s="2">
        <f>Comuni__2[[#This Row],[Popolazione2011]]/$D$7911</f>
        <v>7.1221488580943055E-4</v>
      </c>
      <c r="F2317">
        <f>SUMIFS($D$2:$D$7909, $B$2:$B$7909, "Liguria")</f>
        <v>1570694</v>
      </c>
      <c r="G2317" s="1">
        <f>Comuni__2[[#This Row],[Popolazione2011]]/Comuni__2[[#This Row],[POPOLAZIONE TOTALE DI OGNI REGIONE (CON FILTRO)]]</f>
        <v>2.6944777276796117E-2</v>
      </c>
      <c r="H2317" t="str">
        <f>IF(Comuni__2[[#This Row],[Popolazione2011]]&gt;300000,"MAGGIORE","")</f>
        <v/>
      </c>
      <c r="J2317">
        <v>5630</v>
      </c>
      <c r="K2317">
        <v>1660</v>
      </c>
      <c r="L2317">
        <v>966</v>
      </c>
    </row>
    <row r="2318" spans="1:12" x14ac:dyDescent="0.2">
      <c r="A2318"/>
      <c r="B2318"/>
      <c r="C2318"/>
      <c r="D2318"/>
      <c r="E2318" s="2">
        <f>Comuni__2[[#This Row],[Popolazione2011]]/$D$7911</f>
        <v>4.9182912557692022E-4</v>
      </c>
      <c r="F2318">
        <f>SUMIFS($D$2:$D$7909, $B$2:$B$7909, "Liguria")</f>
        <v>1570694</v>
      </c>
      <c r="G2318" s="1">
        <f>Comuni__2[[#This Row],[Popolazione2011]]/Comuni__2[[#This Row],[POPOLAZIONE TOTALE DI OGNI REGIONE (CON FILTRO)]]</f>
        <v>1.8607061591882315E-2</v>
      </c>
      <c r="H2318" t="str">
        <f>IF(Comuni__2[[#This Row],[Popolazione2011]]&gt;300000,"MAGGIORE","")</f>
        <v/>
      </c>
      <c r="J2318">
        <v>6267</v>
      </c>
      <c r="K2318">
        <v>2011</v>
      </c>
      <c r="L2318">
        <v>1218</v>
      </c>
    </row>
    <row r="2319" spans="1:12" x14ac:dyDescent="0.2">
      <c r="A2319"/>
      <c r="B2319"/>
      <c r="C2319"/>
      <c r="D2319"/>
      <c r="E2319" s="2">
        <f>Comuni__2[[#This Row],[Popolazione2011]]/$D$7911</f>
        <v>4.6005695733325962E-4</v>
      </c>
      <c r="F2319">
        <f>SUMIFS($D$2:$D$7909, $B$2:$B$7909, "Liguria")</f>
        <v>1570694</v>
      </c>
      <c r="G2319" s="1">
        <f>Comuni__2[[#This Row],[Popolazione2011]]/Comuni__2[[#This Row],[POPOLAZIONE TOTALE DI OGNI REGIONE (CON FILTRO)]]</f>
        <v>1.7405045158382218E-2</v>
      </c>
      <c r="H2319" t="str">
        <f>IF(Comuni__2[[#This Row],[Popolazione2011]]&gt;300000,"MAGGIORE","")</f>
        <v/>
      </c>
      <c r="J2319">
        <v>6994</v>
      </c>
      <c r="K2319">
        <v>2368</v>
      </c>
      <c r="L2319">
        <v>1420</v>
      </c>
    </row>
    <row r="2320" spans="1:12" x14ac:dyDescent="0.2">
      <c r="A2320"/>
      <c r="B2320"/>
      <c r="C2320"/>
      <c r="D2320"/>
      <c r="E2320" s="2">
        <f>Comuni__2[[#This Row],[Popolazione2011]]/$D$7911</f>
        <v>4.0263818718105091E-4</v>
      </c>
      <c r="F2320">
        <f>SUMIFS($D$2:$D$7909, $B$2:$B$7909, "Liguria")</f>
        <v>1570694</v>
      </c>
      <c r="G2320" s="1">
        <f>Comuni__2[[#This Row],[Popolazione2011]]/Comuni__2[[#This Row],[POPOLAZIONE TOTALE DI OGNI REGIONE (CON FILTRO)]]</f>
        <v>1.5232756985128867E-2</v>
      </c>
      <c r="H2320" t="str">
        <f>IF(Comuni__2[[#This Row],[Popolazione2011]]&gt;300000,"MAGGIORE","")</f>
        <v/>
      </c>
      <c r="J2320">
        <v>7832</v>
      </c>
      <c r="K2320">
        <v>2485</v>
      </c>
      <c r="L2320">
        <v>1640</v>
      </c>
    </row>
    <row r="2321" spans="1:12" x14ac:dyDescent="0.2">
      <c r="A2321"/>
      <c r="B2321"/>
      <c r="C2321"/>
      <c r="D2321"/>
      <c r="E2321" s="2">
        <f>Comuni__2[[#This Row],[Popolazione2011]]/$D$7911</f>
        <v>3.9674821955113497E-4</v>
      </c>
      <c r="F2321">
        <f>SUMIFS($D$2:$D$7909, $B$2:$B$7909, "Liguria")</f>
        <v>1570694</v>
      </c>
      <c r="G2321" s="1">
        <f>Comuni__2[[#This Row],[Popolazione2011]]/Comuni__2[[#This Row],[POPOLAZIONE TOTALE DI OGNI REGIONE (CON FILTRO)]]</f>
        <v>1.5009925548833828E-2</v>
      </c>
      <c r="H2321" t="str">
        <f>IF(Comuni__2[[#This Row],[Popolazione2011]]&gt;300000,"MAGGIORE","")</f>
        <v/>
      </c>
      <c r="J2321">
        <v>8209</v>
      </c>
      <c r="K2321">
        <v>3488</v>
      </c>
      <c r="L2321">
        <v>1959</v>
      </c>
    </row>
    <row r="2322" spans="1:12" x14ac:dyDescent="0.2">
      <c r="A2322"/>
      <c r="B2322"/>
      <c r="C2322"/>
      <c r="D2322"/>
      <c r="E2322" s="2">
        <f>Comuni__2[[#This Row],[Popolazione2011]]/$D$7911</f>
        <v>3.6734886683838333E-4</v>
      </c>
      <c r="F2322">
        <f>SUMIFS($D$2:$D$7909, $B$2:$B$7909, "Liguria")</f>
        <v>1570694</v>
      </c>
      <c r="G2322" s="1">
        <f>Comuni__2[[#This Row],[Popolazione2011]]/Comuni__2[[#This Row],[POPOLAZIONE TOTALE DI OGNI REGIONE (CON FILTRO)]]</f>
        <v>1.3897678351098305E-2</v>
      </c>
      <c r="H2322" t="str">
        <f>IF(Comuni__2[[#This Row],[Popolazione2011]]&gt;300000,"MAGGIORE","")</f>
        <v/>
      </c>
      <c r="J2322">
        <v>8393</v>
      </c>
      <c r="K2322">
        <v>3778</v>
      </c>
      <c r="L2322">
        <v>2168</v>
      </c>
    </row>
    <row r="2323" spans="1:12" x14ac:dyDescent="0.2">
      <c r="A2323"/>
      <c r="B2323"/>
      <c r="C2323"/>
      <c r="D2323"/>
      <c r="E2323" s="2">
        <f>Comuni__2[[#This Row],[Popolazione2011]]/$D$7911</f>
        <v>3.0580711934523352E-4</v>
      </c>
      <c r="F2323">
        <f>SUMIFS($D$2:$D$7909, $B$2:$B$7909, "Liguria")</f>
        <v>1570694</v>
      </c>
      <c r="G2323" s="1">
        <f>Comuni__2[[#This Row],[Popolazione2011]]/Comuni__2[[#This Row],[POPOLAZIONE TOTALE DI OGNI REGIONE (CON FILTRO)]]</f>
        <v>1.1569408172438426E-2</v>
      </c>
      <c r="H2323" t="str">
        <f>IF(Comuni__2[[#This Row],[Popolazione2011]]&gt;300000,"MAGGIORE","")</f>
        <v/>
      </c>
      <c r="J2323">
        <v>8785</v>
      </c>
      <c r="K2323">
        <v>4295</v>
      </c>
      <c r="L2323">
        <v>2549</v>
      </c>
    </row>
    <row r="2324" spans="1:12" x14ac:dyDescent="0.2">
      <c r="A2324"/>
      <c r="B2324"/>
      <c r="C2324"/>
      <c r="D2324"/>
      <c r="E2324" s="2">
        <f>Comuni__2[[#This Row],[Popolazione2011]]/$D$7911</f>
        <v>2.3613721652279972E-4</v>
      </c>
      <c r="F2324">
        <f>SUMIFS($D$2:$D$7909, $B$2:$B$7909, "Liguria")</f>
        <v>1570694</v>
      </c>
      <c r="G2324" s="1">
        <f>Comuni__2[[#This Row],[Popolazione2011]]/Comuni__2[[#This Row],[POPOLAZIONE TOTALE DI OGNI REGIONE (CON FILTRO)]]</f>
        <v>8.9336306116913917E-3</v>
      </c>
      <c r="H2324" t="str">
        <f>IF(Comuni__2[[#This Row],[Popolazione2011]]&gt;300000,"MAGGIORE","")</f>
        <v/>
      </c>
      <c r="J2324">
        <v>9351</v>
      </c>
      <c r="K2324">
        <v>5050</v>
      </c>
      <c r="L2324">
        <v>3095</v>
      </c>
    </row>
    <row r="2325" spans="1:12" x14ac:dyDescent="0.2">
      <c r="A2325"/>
      <c r="B2325"/>
      <c r="C2325"/>
      <c r="D2325"/>
      <c r="E2325" s="2">
        <f>Comuni__2[[#This Row],[Popolazione2011]]/$D$7911</f>
        <v>2.2652815504656549E-4</v>
      </c>
      <c r="F2325">
        <f>SUMIFS($D$2:$D$7909, $B$2:$B$7909, "Liguria")</f>
        <v>1570694</v>
      </c>
      <c r="G2325" s="1">
        <f>Comuni__2[[#This Row],[Popolazione2011]]/Comuni__2[[#This Row],[POPOLAZIONE TOTALE DI OGNI REGIONE (CON FILTRO)]]</f>
        <v>8.5700970399071996E-3</v>
      </c>
      <c r="H2325" t="str">
        <f>IF(Comuni__2[[#This Row],[Popolazione2011]]&gt;300000,"MAGGIORE","")</f>
        <v/>
      </c>
      <c r="J2325">
        <v>10581</v>
      </c>
      <c r="K2325">
        <v>5865</v>
      </c>
      <c r="L2325">
        <v>3456</v>
      </c>
    </row>
    <row r="2326" spans="1:12" x14ac:dyDescent="0.2">
      <c r="A2326"/>
      <c r="B2326"/>
      <c r="C2326"/>
      <c r="D2326"/>
      <c r="E2326" s="2">
        <f>Comuni__2[[#This Row],[Popolazione2011]]/$D$7911</f>
        <v>2.2275857576341932E-4</v>
      </c>
      <c r="F2326">
        <f>SUMIFS($D$2:$D$7909, $B$2:$B$7909, "Liguria")</f>
        <v>1570694</v>
      </c>
      <c r="G2326" s="1">
        <f>Comuni__2[[#This Row],[Popolazione2011]]/Comuni__2[[#This Row],[POPOLAZIONE TOTALE DI OGNI REGIONE (CON FILTRO)]]</f>
        <v>8.4274849206783745E-3</v>
      </c>
      <c r="H2326" t="str">
        <f>IF(Comuni__2[[#This Row],[Popolazione2011]]&gt;300000,"MAGGIORE","")</f>
        <v/>
      </c>
      <c r="J2326">
        <v>10449</v>
      </c>
      <c r="K2326">
        <v>6075</v>
      </c>
      <c r="L2326">
        <v>3776</v>
      </c>
    </row>
    <row r="2327" spans="1:12" x14ac:dyDescent="0.2">
      <c r="A2327"/>
      <c r="B2327"/>
      <c r="C2327"/>
      <c r="D2327"/>
      <c r="E2327" s="2">
        <f>Comuni__2[[#This Row],[Popolazione2011]]/$D$7911</f>
        <v>2.1168543661917742E-4</v>
      </c>
      <c r="F2327">
        <f>SUMIFS($D$2:$D$7909, $B$2:$B$7909, "Liguria")</f>
        <v>1570694</v>
      </c>
      <c r="G2327" s="1">
        <f>Comuni__2[[#This Row],[Popolazione2011]]/Comuni__2[[#This Row],[POPOLAZIONE TOTALE DI OGNI REGIONE (CON FILTRO)]]</f>
        <v>8.0085618204437017E-3</v>
      </c>
      <c r="H2327" t="str">
        <f>IF(Comuni__2[[#This Row],[Popolazione2011]]&gt;300000,"MAGGIORE","")</f>
        <v/>
      </c>
      <c r="J2327">
        <v>10905</v>
      </c>
      <c r="K2327">
        <v>6657</v>
      </c>
      <c r="L2327">
        <v>4178</v>
      </c>
    </row>
    <row r="2328" spans="1:12" x14ac:dyDescent="0.2">
      <c r="A2328"/>
      <c r="B2328"/>
      <c r="C2328"/>
      <c r="D2328"/>
      <c r="E2328" s="2">
        <f>Comuni__2[[#This Row],[Popolazione2011]]/$D$7911</f>
        <v>1.9729708712324002E-4</v>
      </c>
      <c r="F2328">
        <f>SUMIFS($D$2:$D$7909, $B$2:$B$7909, "Liguria")</f>
        <v>1570694</v>
      </c>
      <c r="G2328" s="1">
        <f>Comuni__2[[#This Row],[Popolazione2011]]/Comuni__2[[#This Row],[POPOLAZIONE TOTALE DI OGNI REGIONE (CON FILTRO)]]</f>
        <v>7.4642164546372498E-3</v>
      </c>
      <c r="H2328" t="str">
        <f>IF(Comuni__2[[#This Row],[Popolazione2011]]&gt;300000,"MAGGIORE","")</f>
        <v/>
      </c>
      <c r="J2328">
        <v>11262</v>
      </c>
      <c r="K2328">
        <v>7281</v>
      </c>
      <c r="L2328">
        <v>4474</v>
      </c>
    </row>
    <row r="2329" spans="1:12" x14ac:dyDescent="0.2">
      <c r="A2329"/>
      <c r="B2329"/>
      <c r="C2329"/>
      <c r="D2329"/>
      <c r="E2329" s="2">
        <f>Comuni__2[[#This Row],[Popolazione2011]]/$D$7911</f>
        <v>1.9494110007127366E-4</v>
      </c>
      <c r="F2329">
        <f>SUMIFS($D$2:$D$7909, $B$2:$B$7909, "Liguria")</f>
        <v>1570694</v>
      </c>
      <c r="G2329" s="1">
        <f>Comuni__2[[#This Row],[Popolazione2011]]/Comuni__2[[#This Row],[POPOLAZIONE TOTALE DI OGNI REGIONE (CON FILTRO)]]</f>
        <v>7.3750838801192337E-3</v>
      </c>
      <c r="H2329" t="str">
        <f>IF(Comuni__2[[#This Row],[Popolazione2011]]&gt;300000,"MAGGIORE","")</f>
        <v/>
      </c>
      <c r="J2329">
        <v>11944</v>
      </c>
      <c r="K2329">
        <v>7839</v>
      </c>
      <c r="L2329">
        <v>4861</v>
      </c>
    </row>
    <row r="2330" spans="1:12" x14ac:dyDescent="0.2">
      <c r="A2330"/>
      <c r="B2330"/>
      <c r="C2330"/>
      <c r="D2330"/>
      <c r="E2330" s="2">
        <f>Comuni__2[[#This Row],[Popolazione2011]]/$D$7911</f>
        <v>1.9458770201347871E-4</v>
      </c>
      <c r="F2330">
        <f>SUMIFS($D$2:$D$7909, $B$2:$B$7909, "Liguria")</f>
        <v>1570694</v>
      </c>
      <c r="G2330" s="1">
        <f>Comuni__2[[#This Row],[Popolazione2011]]/Comuni__2[[#This Row],[POPOLAZIONE TOTALE DI OGNI REGIONE (CON FILTRO)]]</f>
        <v>7.3617139939415313E-3</v>
      </c>
      <c r="H2330" t="str">
        <f>IF(Comuni__2[[#This Row],[Popolazione2011]]&gt;300000,"MAGGIORE","")</f>
        <v/>
      </c>
      <c r="J2330">
        <v>12429</v>
      </c>
      <c r="K2330">
        <v>8001</v>
      </c>
      <c r="L2330">
        <v>5402</v>
      </c>
    </row>
    <row r="2331" spans="1:12" x14ac:dyDescent="0.2">
      <c r="A2331"/>
      <c r="B2331"/>
      <c r="C2331"/>
      <c r="D2331"/>
      <c r="E2331" s="2">
        <f>Comuni__2[[#This Row],[Popolazione2011]]/$D$7911</f>
        <v>1.8555080882129345E-4</v>
      </c>
      <c r="F2331">
        <f>SUMIFS($D$2:$D$7909, $B$2:$B$7909, "Liguria")</f>
        <v>1570694</v>
      </c>
      <c r="G2331" s="1">
        <f>Comuni__2[[#This Row],[Popolazione2011]]/Comuni__2[[#This Row],[POPOLAZIONE TOTALE DI OGNI REGIONE (CON FILTRO)]]</f>
        <v>7.0198269045402863E-3</v>
      </c>
      <c r="H2331" t="str">
        <f>IF(Comuni__2[[#This Row],[Popolazione2011]]&gt;300000,"MAGGIORE","")</f>
        <v/>
      </c>
      <c r="J2331">
        <v>12471</v>
      </c>
      <c r="K2331">
        <v>8962</v>
      </c>
      <c r="L2331">
        <v>5944</v>
      </c>
    </row>
    <row r="2332" spans="1:12" x14ac:dyDescent="0.2">
      <c r="A2332"/>
      <c r="B2332"/>
      <c r="C2332"/>
      <c r="D2332"/>
      <c r="E2332" s="2">
        <f>Comuni__2[[#This Row],[Popolazione2011]]/$D$7911</f>
        <v>1.7528543666629718E-4</v>
      </c>
      <c r="F2332">
        <f>SUMIFS($D$2:$D$7909, $B$2:$B$7909, "Liguria")</f>
        <v>1570694</v>
      </c>
      <c r="G2332" s="1">
        <f>Comuni__2[[#This Row],[Popolazione2011]]/Comuni__2[[#This Row],[POPOLAZIONE TOTALE DI OGNI REGIONE (CON FILTRO)]]</f>
        <v>6.631463544140361E-3</v>
      </c>
      <c r="H2332" t="str">
        <f>IF(Comuni__2[[#This Row],[Popolazione2011]]&gt;300000,"MAGGIORE","")</f>
        <v/>
      </c>
      <c r="J2332">
        <v>12941</v>
      </c>
      <c r="K2332">
        <v>9255</v>
      </c>
      <c r="L2332">
        <v>6360</v>
      </c>
    </row>
    <row r="2333" spans="1:12" x14ac:dyDescent="0.2">
      <c r="A2333"/>
      <c r="B2333"/>
      <c r="C2333"/>
      <c r="D2333"/>
      <c r="E2333" s="2">
        <f>Comuni__2[[#This Row],[Popolazione2011]]/$D$7911</f>
        <v>1.7513398035581362E-4</v>
      </c>
      <c r="F2333">
        <f>SUMIFS($D$2:$D$7909, $B$2:$B$7909, "Liguria")</f>
        <v>1570694</v>
      </c>
      <c r="G2333" s="1">
        <f>Comuni__2[[#This Row],[Popolazione2011]]/Comuni__2[[#This Row],[POPOLAZIONE TOTALE DI OGNI REGIONE (CON FILTRO)]]</f>
        <v>6.6257335929213457E-3</v>
      </c>
      <c r="H2333" t="str">
        <f>IF(Comuni__2[[#This Row],[Popolazione2011]]&gt;300000,"MAGGIORE","")</f>
        <v/>
      </c>
      <c r="J2333">
        <v>13145</v>
      </c>
      <c r="K2333">
        <v>10337</v>
      </c>
      <c r="L2333">
        <v>6818</v>
      </c>
    </row>
    <row r="2334" spans="1:12" x14ac:dyDescent="0.2">
      <c r="A2334"/>
      <c r="B2334"/>
      <c r="C2334"/>
      <c r="D2334"/>
      <c r="E2334" s="2">
        <f>Comuni__2[[#This Row],[Popolazione2011]]/$D$7911</f>
        <v>1.7360258877203549E-4</v>
      </c>
      <c r="F2334">
        <f>SUMIFS($D$2:$D$7909, $B$2:$B$7909, "Liguria")</f>
        <v>1570694</v>
      </c>
      <c r="G2334" s="1">
        <f>Comuni__2[[#This Row],[Popolazione2011]]/Comuni__2[[#This Row],[POPOLAZIONE TOTALE DI OGNI REGIONE (CON FILTRO)]]</f>
        <v>6.5677974194846356E-3</v>
      </c>
      <c r="H2334" t="str">
        <f>IF(Comuni__2[[#This Row],[Popolazione2011]]&gt;300000,"MAGGIORE","")</f>
        <v/>
      </c>
      <c r="J2334">
        <v>13207</v>
      </c>
      <c r="K2334">
        <v>10885</v>
      </c>
      <c r="L2334">
        <v>7199</v>
      </c>
    </row>
    <row r="2335" spans="1:12" x14ac:dyDescent="0.2">
      <c r="A2335"/>
      <c r="B2335"/>
      <c r="C2335"/>
      <c r="D2335"/>
      <c r="E2335" s="2">
        <f>Comuni__2[[#This Row],[Popolazione2011]]/$D$7911</f>
        <v>1.7006860819408594E-4</v>
      </c>
      <c r="F2335">
        <f>SUMIFS($D$2:$D$7909, $B$2:$B$7909, "Liguria")</f>
        <v>1570694</v>
      </c>
      <c r="G2335" s="1">
        <f>Comuni__2[[#This Row],[Popolazione2011]]/Comuni__2[[#This Row],[POPOLAZIONE TOTALE DI OGNI REGIONE (CON FILTRO)]]</f>
        <v>6.4340985577076119E-3</v>
      </c>
      <c r="H2335" t="str">
        <f>IF(Comuni__2[[#This Row],[Popolazione2011]]&gt;300000,"MAGGIORE","")</f>
        <v/>
      </c>
      <c r="J2335">
        <v>13269</v>
      </c>
      <c r="K2335">
        <v>11415</v>
      </c>
      <c r="L2335">
        <v>7593</v>
      </c>
    </row>
    <row r="2336" spans="1:12" x14ac:dyDescent="0.2">
      <c r="A2336"/>
      <c r="B2336"/>
      <c r="C2336"/>
      <c r="D2336"/>
      <c r="E2336" s="2">
        <f>Comuni__2[[#This Row],[Popolazione2011]]/$D$7911</f>
        <v>1.6979935253100408E-4</v>
      </c>
      <c r="F2336">
        <f>SUMIFS($D$2:$D$7909, $B$2:$B$7909, "Liguria")</f>
        <v>1570694</v>
      </c>
      <c r="G2336" s="1">
        <f>Comuni__2[[#This Row],[Popolazione2011]]/Comuni__2[[#This Row],[POPOLAZIONE TOTALE DI OGNI REGIONE (CON FILTRO)]]</f>
        <v>6.4239119777626964E-3</v>
      </c>
      <c r="H2336" t="str">
        <f>IF(Comuni__2[[#This Row],[Popolazione2011]]&gt;300000,"MAGGIORE","")</f>
        <v/>
      </c>
      <c r="J2336">
        <v>13113</v>
      </c>
      <c r="K2336">
        <v>12229</v>
      </c>
      <c r="L2336">
        <v>7960</v>
      </c>
    </row>
    <row r="2337" spans="1:12" x14ac:dyDescent="0.2">
      <c r="A2337"/>
      <c r="B2337"/>
      <c r="C2337"/>
      <c r="D2337"/>
      <c r="E2337" s="2">
        <f>Comuni__2[[#This Row],[Popolazione2011]]/$D$7911</f>
        <v>1.6338770205386705E-4</v>
      </c>
      <c r="F2337">
        <f>SUMIFS($D$2:$D$7909, $B$2:$B$7909, "Liguria")</f>
        <v>1570694</v>
      </c>
      <c r="G2337" s="1">
        <f>Comuni__2[[#This Row],[Popolazione2011]]/Comuni__2[[#This Row],[POPOLAZIONE TOTALE DI OGNI REGIONE (CON FILTRO)]]</f>
        <v>6.1813440428243821E-3</v>
      </c>
      <c r="H2337" t="str">
        <f>IF(Comuni__2[[#This Row],[Popolazione2011]]&gt;300000,"MAGGIORE","")</f>
        <v/>
      </c>
      <c r="J2337">
        <v>13183</v>
      </c>
      <c r="K2337">
        <v>13020</v>
      </c>
      <c r="L2337">
        <v>8311</v>
      </c>
    </row>
    <row r="2338" spans="1:12" x14ac:dyDescent="0.2">
      <c r="A2338"/>
      <c r="B2338"/>
      <c r="C2338"/>
      <c r="D2338"/>
      <c r="E2338" s="2">
        <f>Comuni__2[[#This Row],[Popolazione2011]]/$D$7911</f>
        <v>1.5389643993023115E-4</v>
      </c>
      <c r="F2338">
        <f>SUMIFS($D$2:$D$7909, $B$2:$B$7909, "Liguria")</f>
        <v>1570694</v>
      </c>
      <c r="G2338" s="1">
        <f>Comuni__2[[#This Row],[Popolazione2011]]/Comuni__2[[#This Row],[POPOLAZIONE TOTALE DI OGNI REGIONE (CON FILTRO)]]</f>
        <v>5.8222670997660902E-3</v>
      </c>
      <c r="H2338" t="str">
        <f>IF(Comuni__2[[#This Row],[Popolazione2011]]&gt;300000,"MAGGIORE","")</f>
        <v/>
      </c>
      <c r="J2338">
        <v>13328</v>
      </c>
      <c r="K2338">
        <v>13242</v>
      </c>
      <c r="L2338">
        <v>8656</v>
      </c>
    </row>
    <row r="2339" spans="1:12" x14ac:dyDescent="0.2">
      <c r="A2339"/>
      <c r="B2339"/>
      <c r="C2339"/>
      <c r="D2339"/>
      <c r="E2339" s="2">
        <f>Comuni__2[[#This Row],[Popolazione2011]]/$D$7911</f>
        <v>1.4943689301043768E-4</v>
      </c>
      <c r="F2339">
        <f>SUMIFS($D$2:$D$7909, $B$2:$B$7909, "Liguria")</f>
        <v>1570694</v>
      </c>
      <c r="G2339" s="1">
        <f>Comuni__2[[#This Row],[Popolazione2011]]/Comuni__2[[#This Row],[POPOLAZIONE TOTALE DI OGNI REGIONE (CON FILTRO)]]</f>
        <v>5.6535518694284179E-3</v>
      </c>
      <c r="H2339" t="str">
        <f>IF(Comuni__2[[#This Row],[Popolazione2011]]&gt;300000,"MAGGIORE","")</f>
        <v/>
      </c>
      <c r="J2339">
        <v>13326</v>
      </c>
      <c r="K2339">
        <v>13426</v>
      </c>
      <c r="L2339">
        <v>8905</v>
      </c>
    </row>
    <row r="2340" spans="1:12" x14ac:dyDescent="0.2">
      <c r="A2340"/>
      <c r="B2340"/>
      <c r="C2340"/>
      <c r="D2340"/>
      <c r="E2340" s="2">
        <f>Comuni__2[[#This Row],[Popolazione2011]]/$D$7911</f>
        <v>1.4792232990560217E-4</v>
      </c>
      <c r="F2340">
        <f>SUMIFS($D$2:$D$7909, $B$2:$B$7909, "Liguria")</f>
        <v>1570694</v>
      </c>
      <c r="G2340" s="1">
        <f>Comuni__2[[#This Row],[Popolazione2011]]/Comuni__2[[#This Row],[POPOLAZIONE TOTALE DI OGNI REGIONE (CON FILTRO)]]</f>
        <v>5.5962523572382654E-3</v>
      </c>
      <c r="H2340" t="str">
        <f>IF(Comuni__2[[#This Row],[Popolazione2011]]&gt;300000,"MAGGIORE","")</f>
        <v/>
      </c>
      <c r="J2340">
        <v>13257</v>
      </c>
      <c r="K2340">
        <v>13863</v>
      </c>
      <c r="L2340">
        <v>9202</v>
      </c>
    </row>
    <row r="2341" spans="1:12" x14ac:dyDescent="0.2">
      <c r="A2341"/>
      <c r="B2341"/>
      <c r="C2341"/>
      <c r="D2341"/>
      <c r="E2341" s="2">
        <f>Comuni__2[[#This Row],[Popolazione2011]]/$D$7911</f>
        <v>1.4144336551269468E-4</v>
      </c>
      <c r="F2341">
        <f>SUMIFS($D$2:$D$7909, $B$2:$B$7909, "Liguria")</f>
        <v>1570694</v>
      </c>
      <c r="G2341" s="1">
        <f>Comuni__2[[#This Row],[Popolazione2011]]/Comuni__2[[#This Row],[POPOLAZIONE TOTALE DI OGNI REGIONE (CON FILTRO)]]</f>
        <v>5.3511377773137227E-3</v>
      </c>
      <c r="H2341" t="str">
        <f>IF(Comuni__2[[#This Row],[Popolazione2011]]&gt;300000,"MAGGIORE","")</f>
        <v/>
      </c>
      <c r="J2341">
        <v>13138</v>
      </c>
      <c r="K2341">
        <v>14498</v>
      </c>
      <c r="L2341">
        <v>9484</v>
      </c>
    </row>
    <row r="2342" spans="1:12" x14ac:dyDescent="0.2">
      <c r="A2342"/>
      <c r="B2342"/>
      <c r="C2342"/>
      <c r="D2342"/>
      <c r="E2342" s="2">
        <f>Comuni__2[[#This Row],[Popolazione2011]]/$D$7911</f>
        <v>1.3915469237649878E-4</v>
      </c>
      <c r="F2342">
        <f>SUMIFS($D$2:$D$7909, $B$2:$B$7909, "Liguria")</f>
        <v>1570694</v>
      </c>
      <c r="G2342" s="1">
        <f>Comuni__2[[#This Row],[Popolazione2011]]/Comuni__2[[#This Row],[POPOLAZIONE TOTALE DI OGNI REGIONE (CON FILTRO)]]</f>
        <v>5.2645518477819359E-3</v>
      </c>
      <c r="H2342" t="str">
        <f>IF(Comuni__2[[#This Row],[Popolazione2011]]&gt;300000,"MAGGIORE","")</f>
        <v/>
      </c>
      <c r="J2342">
        <v>12976</v>
      </c>
      <c r="K2342">
        <v>15147</v>
      </c>
      <c r="L2342">
        <v>9722</v>
      </c>
    </row>
    <row r="2343" spans="1:12" x14ac:dyDescent="0.2">
      <c r="A2343"/>
      <c r="B2343"/>
      <c r="C2343"/>
      <c r="D2343"/>
      <c r="E2343" s="2">
        <f>Comuni__2[[#This Row],[Popolazione2011]]/$D$7911</f>
        <v>1.3853203865562196E-4</v>
      </c>
      <c r="F2343">
        <f>SUMIFS($D$2:$D$7909, $B$2:$B$7909, "Liguria")</f>
        <v>1570694</v>
      </c>
      <c r="G2343" s="1">
        <f>Comuni__2[[#This Row],[Popolazione2011]]/Comuni__2[[#This Row],[POPOLAZIONE TOTALE DI OGNI REGIONE (CON FILTRO)]]</f>
        <v>5.2409953816593179E-3</v>
      </c>
      <c r="H2343" t="str">
        <f>IF(Comuni__2[[#This Row],[Popolazione2011]]&gt;300000,"MAGGIORE","")</f>
        <v/>
      </c>
      <c r="J2343">
        <v>13032</v>
      </c>
      <c r="K2343">
        <v>15706</v>
      </c>
      <c r="L2343">
        <v>10022</v>
      </c>
    </row>
    <row r="2344" spans="1:12" x14ac:dyDescent="0.2">
      <c r="A2344"/>
      <c r="B2344"/>
      <c r="C2344"/>
      <c r="D2344"/>
      <c r="E2344" s="2">
        <f>Comuni__2[[#This Row],[Popolazione2011]]/$D$7911</f>
        <v>1.3346666649389428E-4</v>
      </c>
      <c r="F2344">
        <f>SUMIFS($D$2:$D$7909, $B$2:$B$7909, "Liguria")</f>
        <v>1570694</v>
      </c>
      <c r="G2344" s="1">
        <f>Comuni__2[[#This Row],[Popolazione2011]]/Comuni__2[[#This Row],[POPOLAZIONE TOTALE DI OGNI REGIONE (CON FILTRO)]]</f>
        <v>5.0493603464455842E-3</v>
      </c>
      <c r="H2344" t="str">
        <f>IF(Comuni__2[[#This Row],[Popolazione2011]]&gt;300000,"MAGGIORE","")</f>
        <v/>
      </c>
      <c r="J2344">
        <v>13079</v>
      </c>
      <c r="K2344">
        <v>16280</v>
      </c>
      <c r="L2344">
        <v>10238</v>
      </c>
    </row>
    <row r="2345" spans="1:12" x14ac:dyDescent="0.2">
      <c r="A2345"/>
      <c r="B2345"/>
      <c r="C2345"/>
      <c r="D2345"/>
      <c r="E2345" s="2">
        <f>Comuni__2[[#This Row],[Popolazione2011]]/$D$7911</f>
        <v>1.3057216811576417E-4</v>
      </c>
      <c r="F2345">
        <f>SUMIFS($D$2:$D$7909, $B$2:$B$7909, "Liguria")</f>
        <v>1570694</v>
      </c>
      <c r="G2345" s="1">
        <f>Comuni__2[[#This Row],[Popolazione2011]]/Comuni__2[[#This Row],[POPOLAZIONE TOTALE DI OGNI REGIONE (CON FILTRO)]]</f>
        <v>4.9398546120377361E-3</v>
      </c>
      <c r="H2345" t="str">
        <f>IF(Comuni__2[[#This Row],[Popolazione2011]]&gt;300000,"MAGGIORE","")</f>
        <v/>
      </c>
      <c r="J2345">
        <v>13200</v>
      </c>
      <c r="K2345">
        <v>16823</v>
      </c>
      <c r="L2345">
        <v>10511</v>
      </c>
    </row>
    <row r="2346" spans="1:12" x14ac:dyDescent="0.2">
      <c r="A2346"/>
      <c r="B2346"/>
      <c r="C2346"/>
      <c r="D2346"/>
      <c r="E2346" s="2">
        <f>Comuni__2[[#This Row],[Popolazione2011]]/$D$7911</f>
        <v>1.2570873770134791E-4</v>
      </c>
      <c r="F2346">
        <f>SUMIFS($D$2:$D$7909, $B$2:$B$7909, "Liguria")</f>
        <v>1570694</v>
      </c>
      <c r="G2346" s="1">
        <f>Comuni__2[[#This Row],[Popolazione2011]]/Comuni__2[[#This Row],[POPOLAZIONE TOTALE DI OGNI REGIONE (CON FILTRO)]]</f>
        <v>4.7558595117826894E-3</v>
      </c>
      <c r="H2346" t="str">
        <f>IF(Comuni__2[[#This Row],[Popolazione2011]]&gt;300000,"MAGGIORE","")</f>
        <v/>
      </c>
      <c r="J2346">
        <v>13145</v>
      </c>
      <c r="K2346">
        <v>17166</v>
      </c>
      <c r="L2346">
        <v>10621</v>
      </c>
    </row>
    <row r="2347" spans="1:12" x14ac:dyDescent="0.2">
      <c r="A2347"/>
      <c r="B2347"/>
      <c r="C2347"/>
      <c r="D2347"/>
      <c r="E2347" s="2">
        <f>Comuni__2[[#This Row],[Popolazione2011]]/$D$7911</f>
        <v>1.2437928786488119E-4</v>
      </c>
      <c r="F2347">
        <f>SUMIFS($D$2:$D$7909, $B$2:$B$7909, "Liguria")</f>
        <v>1570694</v>
      </c>
      <c r="G2347" s="1">
        <f>Comuni__2[[#This Row],[Popolazione2011]]/Comuni__2[[#This Row],[POPOLAZIONE TOTALE DI OGNI REGIONE (CON FILTRO)]]</f>
        <v>4.7055632733046665E-3</v>
      </c>
      <c r="H2347" t="str">
        <f>IF(Comuni__2[[#This Row],[Popolazione2011]]&gt;300000,"MAGGIORE","")</f>
        <v/>
      </c>
      <c r="J2347">
        <v>13171</v>
      </c>
      <c r="K2347">
        <v>17478</v>
      </c>
      <c r="L2347">
        <v>10901</v>
      </c>
    </row>
    <row r="2348" spans="1:12" x14ac:dyDescent="0.2">
      <c r="A2348"/>
      <c r="B2348"/>
      <c r="C2348"/>
      <c r="D2348"/>
      <c r="E2348" s="2">
        <f>Comuni__2[[#This Row],[Popolazione2011]]/$D$7911</f>
        <v>1.2345372152303727E-4</v>
      </c>
      <c r="F2348">
        <f>SUMIFS($D$2:$D$7909, $B$2:$B$7909, "Liguria")</f>
        <v>1570694</v>
      </c>
      <c r="G2348" s="1">
        <f>Comuni__2[[#This Row],[Popolazione2011]]/Comuni__2[[#This Row],[POPOLAZIONE TOTALE DI OGNI REGIONE (CON FILTRO)]]</f>
        <v>4.6705469047440178E-3</v>
      </c>
      <c r="H2348" t="str">
        <f>IF(Comuni__2[[#This Row],[Popolazione2011]]&gt;300000,"MAGGIORE","")</f>
        <v/>
      </c>
      <c r="J2348">
        <v>13199</v>
      </c>
      <c r="K2348">
        <v>17821</v>
      </c>
      <c r="L2348">
        <v>11142</v>
      </c>
    </row>
    <row r="2349" spans="1:12" x14ac:dyDescent="0.2">
      <c r="A2349"/>
      <c r="B2349"/>
      <c r="C2349"/>
      <c r="D2349"/>
      <c r="E2349" s="2">
        <f>Comuni__2[[#This Row],[Popolazione2011]]/$D$7911</f>
        <v>1.2294886715475875E-4</v>
      </c>
      <c r="F2349">
        <f>SUMIFS($D$2:$D$7909, $B$2:$B$7909, "Liguria")</f>
        <v>1570694</v>
      </c>
      <c r="G2349" s="1">
        <f>Comuni__2[[#This Row],[Popolazione2011]]/Comuni__2[[#This Row],[POPOLAZIONE TOTALE DI OGNI REGIONE (CON FILTRO)]]</f>
        <v>4.6514470673473E-3</v>
      </c>
      <c r="H2349" t="str">
        <f>IF(Comuni__2[[#This Row],[Popolazione2011]]&gt;300000,"MAGGIORE","")</f>
        <v/>
      </c>
      <c r="J2349">
        <v>13117</v>
      </c>
      <c r="K2349">
        <v>17855</v>
      </c>
      <c r="L2349">
        <v>11377</v>
      </c>
    </row>
    <row r="2350" spans="1:12" x14ac:dyDescent="0.2">
      <c r="A2350"/>
      <c r="B2350"/>
      <c r="C2350"/>
      <c r="D2350"/>
      <c r="E2350" s="2">
        <f>Comuni__2[[#This Row],[Popolazione2011]]/$D$7911</f>
        <v>1.1833786392448173E-4</v>
      </c>
      <c r="F2350">
        <f>SUMIFS($D$2:$D$7909, $B$2:$B$7909, "Liguria")</f>
        <v>1570694</v>
      </c>
      <c r="G2350" s="1">
        <f>Comuni__2[[#This Row],[Popolazione2011]]/Comuni__2[[#This Row],[POPOLAZIONE TOTALE DI OGNI REGIONE (CON FILTRO)]]</f>
        <v>4.4770018857906123E-3</v>
      </c>
      <c r="H2350" t="str">
        <f>IF(Comuni__2[[#This Row],[Popolazione2011]]&gt;300000,"MAGGIORE","")</f>
        <v/>
      </c>
      <c r="J2350">
        <v>12388</v>
      </c>
      <c r="K2350">
        <v>18396</v>
      </c>
      <c r="L2350">
        <v>11608</v>
      </c>
    </row>
    <row r="2351" spans="1:12" x14ac:dyDescent="0.2">
      <c r="A2351"/>
      <c r="B2351"/>
      <c r="C2351"/>
      <c r="D2351"/>
      <c r="E2351" s="2">
        <f>Comuni__2[[#This Row],[Popolazione2011]]/$D$7911</f>
        <v>1.1288543674707386E-4</v>
      </c>
      <c r="F2351">
        <f>SUMIFS($D$2:$D$7909, $B$2:$B$7909, "Liguria")</f>
        <v>1570694</v>
      </c>
      <c r="G2351" s="1">
        <f>Comuni__2[[#This Row],[Popolazione2011]]/Comuni__2[[#This Row],[POPOLAZIONE TOTALE DI OGNI REGIONE (CON FILTRO)]]</f>
        <v>4.2707236419060619E-3</v>
      </c>
      <c r="H2351" t="str">
        <f>IF(Comuni__2[[#This Row],[Popolazione2011]]&gt;300000,"MAGGIORE","")</f>
        <v/>
      </c>
      <c r="J2351">
        <v>11598</v>
      </c>
      <c r="K2351">
        <v>18850</v>
      </c>
      <c r="L2351">
        <v>11851</v>
      </c>
    </row>
    <row r="2352" spans="1:12" x14ac:dyDescent="0.2">
      <c r="A2352"/>
      <c r="B2352"/>
      <c r="C2352"/>
      <c r="D2352"/>
      <c r="E2352" s="2">
        <f>Comuni__2[[#This Row],[Popolazione2011]]/$D$7911</f>
        <v>1.0664207105936301E-4</v>
      </c>
      <c r="F2352">
        <f>SUMIFS($D$2:$D$7909, $B$2:$B$7909, "Liguria")</f>
        <v>1570694</v>
      </c>
      <c r="G2352" s="1">
        <f>Comuni__2[[#This Row],[Popolazione2011]]/Comuni__2[[#This Row],[POPOLAZIONE TOTALE DI OGNI REGIONE (CON FILTRO)]]</f>
        <v>4.0345223194333205E-3</v>
      </c>
      <c r="H2352" t="str">
        <f>IF(Comuni__2[[#This Row],[Popolazione2011]]&gt;300000,"MAGGIORE","")</f>
        <v/>
      </c>
      <c r="J2352">
        <v>10989</v>
      </c>
      <c r="K2352">
        <v>19136</v>
      </c>
      <c r="L2352">
        <v>12050</v>
      </c>
    </row>
    <row r="2353" spans="1:12" x14ac:dyDescent="0.2">
      <c r="A2353"/>
      <c r="B2353"/>
      <c r="C2353"/>
      <c r="D2353"/>
      <c r="E2353" s="2">
        <f>Comuni__2[[#This Row],[Popolazione2011]]/$D$7911</f>
        <v>1.010381875714716E-4</v>
      </c>
      <c r="F2353">
        <f>SUMIFS($D$2:$D$7909, $B$2:$B$7909, "Liguria")</f>
        <v>1570694</v>
      </c>
      <c r="G2353" s="1">
        <f>Comuni__2[[#This Row],[Popolazione2011]]/Comuni__2[[#This Row],[POPOLAZIONE TOTALE DI OGNI REGIONE (CON FILTRO)]]</f>
        <v>3.8225141243297548E-3</v>
      </c>
      <c r="H2353" t="str">
        <f>IF(Comuni__2[[#This Row],[Popolazione2011]]&gt;300000,"MAGGIORE","")</f>
        <v/>
      </c>
      <c r="J2353">
        <v>11264</v>
      </c>
      <c r="K2353">
        <v>19526</v>
      </c>
      <c r="L2353">
        <v>12213</v>
      </c>
    </row>
    <row r="2354" spans="1:12" x14ac:dyDescent="0.2">
      <c r="A2354"/>
      <c r="B2354"/>
      <c r="C2354"/>
      <c r="D2354"/>
      <c r="E2354" s="2">
        <f>Comuni__2[[#This Row],[Popolazione2011]]/$D$7911</f>
        <v>9.9473139029808229E-5</v>
      </c>
      <c r="F2354">
        <f>SUMIFS($D$2:$D$7909, $B$2:$B$7909, "Liguria")</f>
        <v>1570694</v>
      </c>
      <c r="G2354" s="1">
        <f>Comuni__2[[#This Row],[Popolazione2011]]/Comuni__2[[#This Row],[POPOLAZIONE TOTALE DI OGNI REGIONE (CON FILTRO)]]</f>
        <v>3.76330462839993E-3</v>
      </c>
      <c r="H2354" t="str">
        <f>IF(Comuni__2[[#This Row],[Popolazione2011]]&gt;300000,"MAGGIORE","")</f>
        <v/>
      </c>
      <c r="J2354">
        <v>11039</v>
      </c>
      <c r="K2354">
        <v>20008</v>
      </c>
      <c r="L2354">
        <v>12376</v>
      </c>
    </row>
    <row r="2355" spans="1:12" x14ac:dyDescent="0.2">
      <c r="A2355"/>
      <c r="B2355"/>
      <c r="C2355"/>
      <c r="D2355"/>
      <c r="E2355" s="2">
        <f>Comuni__2[[#This Row],[Popolazione2011]]/$D$7911</f>
        <v>9.7857605051317013E-5</v>
      </c>
      <c r="F2355">
        <f>SUMIFS($D$2:$D$7909, $B$2:$B$7909, "Liguria")</f>
        <v>1570694</v>
      </c>
      <c r="G2355" s="1">
        <f>Comuni__2[[#This Row],[Popolazione2011]]/Comuni__2[[#This Row],[POPOLAZIONE TOTALE DI OGNI REGIONE (CON FILTRO)]]</f>
        <v>3.702185148730434E-3</v>
      </c>
      <c r="H2355" t="str">
        <f>IF(Comuni__2[[#This Row],[Popolazione2011]]&gt;300000,"MAGGIORE","")</f>
        <v/>
      </c>
      <c r="J2355">
        <v>10656</v>
      </c>
      <c r="K2355">
        <v>21374</v>
      </c>
      <c r="L2355">
        <v>12579</v>
      </c>
    </row>
    <row r="2356" spans="1:12" x14ac:dyDescent="0.2">
      <c r="A2356"/>
      <c r="B2356"/>
      <c r="C2356"/>
      <c r="D2356"/>
      <c r="E2356" s="2">
        <f>Comuni__2[[#This Row],[Popolazione2011]]/$D$7911</f>
        <v>9.6612297609563366E-5</v>
      </c>
      <c r="F2356">
        <f>SUMIFS($D$2:$D$7909, $B$2:$B$7909, "Liguria")</f>
        <v>1570694</v>
      </c>
      <c r="G2356" s="1">
        <f>Comuni__2[[#This Row],[Popolazione2011]]/Comuni__2[[#This Row],[POPOLAZIONE TOTALE DI OGNI REGIONE (CON FILTRO)]]</f>
        <v>3.6550722164851971E-3</v>
      </c>
      <c r="H2356" t="str">
        <f>IF(Comuni__2[[#This Row],[Popolazione2011]]&gt;300000,"MAGGIORE","")</f>
        <v/>
      </c>
      <c r="J2356">
        <v>10509</v>
      </c>
      <c r="K2356">
        <v>22110</v>
      </c>
      <c r="L2356">
        <v>12740</v>
      </c>
    </row>
    <row r="2357" spans="1:12" x14ac:dyDescent="0.2">
      <c r="A2357"/>
      <c r="B2357"/>
      <c r="C2357"/>
      <c r="D2357"/>
      <c r="E2357" s="2">
        <f>Comuni__2[[#This Row],[Popolazione2011]]/$D$7911</f>
        <v>9.4929449715301686E-5</v>
      </c>
      <c r="F2357">
        <f>SUMIFS($D$2:$D$7909, $B$2:$B$7909, "Liguria")</f>
        <v>1570694</v>
      </c>
      <c r="G2357" s="1">
        <f>Comuni__2[[#This Row],[Popolazione2011]]/Comuni__2[[#This Row],[POPOLAZIONE TOTALE DI OGNI REGIONE (CON FILTRO)]]</f>
        <v>3.5914060918294717E-3</v>
      </c>
      <c r="H2357" t="str">
        <f>IF(Comuni__2[[#This Row],[Popolazione2011]]&gt;300000,"MAGGIORE","")</f>
        <v/>
      </c>
      <c r="J2357">
        <v>9982</v>
      </c>
      <c r="K2357">
        <v>23352</v>
      </c>
      <c r="L2357">
        <v>12940</v>
      </c>
    </row>
    <row r="2358" spans="1:12" x14ac:dyDescent="0.2">
      <c r="A2358"/>
      <c r="B2358"/>
      <c r="C2358"/>
      <c r="D2358"/>
      <c r="E2358" s="2">
        <f>Comuni__2[[#This Row],[Popolazione2011]]/$D$7911</f>
        <v>9.4323624473367478E-5</v>
      </c>
      <c r="F2358">
        <f>SUMIFS($D$2:$D$7909, $B$2:$B$7909, "Liguria")</f>
        <v>1570694</v>
      </c>
      <c r="G2358" s="1">
        <f>Comuni__2[[#This Row],[Popolazione2011]]/Comuni__2[[#This Row],[POPOLAZIONE TOTALE DI OGNI REGIONE (CON FILTRO)]]</f>
        <v>3.5684862869534103E-3</v>
      </c>
      <c r="H2358" t="str">
        <f>IF(Comuni__2[[#This Row],[Popolazione2011]]&gt;300000,"MAGGIORE","")</f>
        <v/>
      </c>
      <c r="J2358">
        <v>9547</v>
      </c>
      <c r="K2358">
        <v>23782</v>
      </c>
      <c r="L2358">
        <v>13106</v>
      </c>
    </row>
    <row r="2359" spans="1:12" x14ac:dyDescent="0.2">
      <c r="A2359"/>
      <c r="B2359"/>
      <c r="C2359"/>
      <c r="D2359"/>
      <c r="E2359" s="2">
        <f>Comuni__2[[#This Row],[Popolazione2011]]/$D$7911</f>
        <v>9.363365683672019E-5</v>
      </c>
      <c r="F2359">
        <f>SUMIFS($D$2:$D$7909, $B$2:$B$7909, "Liguria")</f>
        <v>1570694</v>
      </c>
      <c r="G2359" s="1">
        <f>Comuni__2[[#This Row],[Popolazione2011]]/Comuni__2[[#This Row],[POPOLAZIONE TOTALE DI OGNI REGIONE (CON FILTRO)]]</f>
        <v>3.5423831758445629E-3</v>
      </c>
      <c r="H2359" t="str">
        <f>IF(Comuni__2[[#This Row],[Popolazione2011]]&gt;300000,"MAGGIORE","")</f>
        <v/>
      </c>
      <c r="J2359">
        <v>9213</v>
      </c>
      <c r="K2359">
        <v>24227</v>
      </c>
      <c r="L2359">
        <v>13269</v>
      </c>
    </row>
    <row r="2360" spans="1:12" x14ac:dyDescent="0.2">
      <c r="A2360"/>
      <c r="B2360"/>
      <c r="C2360"/>
      <c r="D2360"/>
      <c r="E2360" s="2">
        <f>Comuni__2[[#This Row],[Popolazione2011]]/$D$7911</f>
        <v>9.2708090494876262E-5</v>
      </c>
      <c r="F2360">
        <f>SUMIFS($D$2:$D$7909, $B$2:$B$7909, "Liguria")</f>
        <v>1570694</v>
      </c>
      <c r="G2360" s="1">
        <f>Comuni__2[[#This Row],[Popolazione2011]]/Comuni__2[[#This Row],[POPOLAZIONE TOTALE DI OGNI REGIONE (CON FILTRO)]]</f>
        <v>3.5073668072839138E-3</v>
      </c>
      <c r="H2360" t="str">
        <f>IF(Comuni__2[[#This Row],[Popolazione2011]]&gt;300000,"MAGGIORE","")</f>
        <v/>
      </c>
      <c r="J2360">
        <v>9187</v>
      </c>
      <c r="K2360">
        <v>24398</v>
      </c>
      <c r="L2360">
        <v>13325</v>
      </c>
    </row>
    <row r="2361" spans="1:12" x14ac:dyDescent="0.2">
      <c r="A2361"/>
      <c r="B2361"/>
      <c r="C2361"/>
      <c r="D2361"/>
      <c r="E2361" s="2">
        <f>Comuni__2[[#This Row],[Popolazione2011]]/$D$7911</f>
        <v>9.2236893084482983E-5</v>
      </c>
      <c r="F2361">
        <f>SUMIFS($D$2:$D$7909, $B$2:$B$7909, "Liguria")</f>
        <v>1570694</v>
      </c>
      <c r="G2361" s="1">
        <f>Comuni__2[[#This Row],[Popolazione2011]]/Comuni__2[[#This Row],[POPOLAZIONE TOTALE DI OGNI REGIONE (CON FILTRO)]]</f>
        <v>3.4895402923803107E-3</v>
      </c>
      <c r="H2361" t="str">
        <f>IF(Comuni__2[[#This Row],[Popolazione2011]]&gt;300000,"MAGGIORE","")</f>
        <v/>
      </c>
      <c r="J2361">
        <v>8205</v>
      </c>
      <c r="K2361">
        <v>24589</v>
      </c>
      <c r="L2361">
        <v>13449</v>
      </c>
    </row>
    <row r="2362" spans="1:12" x14ac:dyDescent="0.2">
      <c r="A2362"/>
      <c r="B2362"/>
      <c r="C2362"/>
      <c r="D2362"/>
      <c r="E2362" s="2">
        <f>Comuni__2[[#This Row],[Popolazione2011]]/$D$7911</f>
        <v>9.1193527390040743E-5</v>
      </c>
      <c r="F2362">
        <f>SUMIFS($D$2:$D$7909, $B$2:$B$7909, "Liguria")</f>
        <v>1570694</v>
      </c>
      <c r="G2362" s="1">
        <f>Comuni__2[[#This Row],[Popolazione2011]]/Comuni__2[[#This Row],[POPOLAZIONE TOTALE DI OGNI REGIONE (CON FILTRO)]]</f>
        <v>3.4500672950937613E-3</v>
      </c>
      <c r="H2362" t="str">
        <f>IF(Comuni__2[[#This Row],[Popolazione2011]]&gt;300000,"MAGGIORE","")</f>
        <v/>
      </c>
      <c r="J2362">
        <v>7935</v>
      </c>
      <c r="K2362">
        <v>25029</v>
      </c>
      <c r="L2362">
        <v>13575</v>
      </c>
    </row>
    <row r="2363" spans="1:12" x14ac:dyDescent="0.2">
      <c r="A2363"/>
      <c r="B2363"/>
      <c r="C2363"/>
      <c r="D2363"/>
      <c r="E2363" s="2">
        <f>Comuni__2[[#This Row],[Popolazione2011]]/$D$7911</f>
        <v>9.0082847779828024E-5</v>
      </c>
      <c r="F2363">
        <f>SUMIFS($D$2:$D$7909, $B$2:$B$7909, "Liguria")</f>
        <v>1570694</v>
      </c>
      <c r="G2363" s="1">
        <f>Comuni__2[[#This Row],[Popolazione2011]]/Comuni__2[[#This Row],[POPOLAZIONE TOTALE DI OGNI REGIONE (CON FILTRO)]]</f>
        <v>3.4080476528209822E-3</v>
      </c>
      <c r="H2363" t="str">
        <f>IF(Comuni__2[[#This Row],[Popolazione2011]]&gt;300000,"MAGGIORE","")</f>
        <v/>
      </c>
      <c r="J2363">
        <v>7754</v>
      </c>
      <c r="K2363">
        <v>25333</v>
      </c>
      <c r="L2363">
        <v>13679</v>
      </c>
    </row>
    <row r="2364" spans="1:12" x14ac:dyDescent="0.2">
      <c r="A2364"/>
      <c r="B2364"/>
      <c r="C2364"/>
      <c r="D2364"/>
      <c r="E2364" s="2">
        <f>Comuni__2[[#This Row],[Popolazione2011]]/$D$7911</f>
        <v>8.673398047024728E-5</v>
      </c>
      <c r="F2364">
        <f>SUMIFS($D$2:$D$7909, $B$2:$B$7909, "Liguria")</f>
        <v>1570694</v>
      </c>
      <c r="G2364" s="1">
        <f>Comuni__2[[#This Row],[Popolazione2011]]/Comuni__2[[#This Row],[POPOLAZIONE TOTALE DI OGNI REGIONE (CON FILTRO)]]</f>
        <v>3.2813520647560889E-3</v>
      </c>
      <c r="H2364" t="str">
        <f>IF(Comuni__2[[#This Row],[Popolazione2011]]&gt;300000,"MAGGIORE","")</f>
        <v/>
      </c>
      <c r="J2364">
        <v>7439</v>
      </c>
      <c r="K2364">
        <v>25749</v>
      </c>
      <c r="L2364">
        <v>13772</v>
      </c>
    </row>
    <row r="2365" spans="1:12" x14ac:dyDescent="0.2">
      <c r="A2365"/>
      <c r="B2365"/>
      <c r="C2365"/>
      <c r="D2365"/>
      <c r="E2365" s="2">
        <f>Comuni__2[[#This Row],[Popolazione2011]]/$D$7911</f>
        <v>7.6704207020447622E-5</v>
      </c>
      <c r="F2365">
        <f>SUMIFS($D$2:$D$7909, $B$2:$B$7909, "Liguria")</f>
        <v>1570694</v>
      </c>
      <c r="G2365" s="1">
        <f>Comuni__2[[#This Row],[Popolazione2011]]/Comuni__2[[#This Row],[POPOLAZIONE TOTALE DI OGNI REGIONE (CON FILTRO)]]</f>
        <v>2.901901961807965E-3</v>
      </c>
      <c r="H2365" t="str">
        <f>IF(Comuni__2[[#This Row],[Popolazione2011]]&gt;300000,"MAGGIORE","")</f>
        <v/>
      </c>
      <c r="J2365">
        <v>7191</v>
      </c>
      <c r="K2365">
        <v>26136</v>
      </c>
      <c r="L2365">
        <v>13860</v>
      </c>
    </row>
    <row r="2366" spans="1:12" x14ac:dyDescent="0.2">
      <c r="A2366"/>
      <c r="B2366"/>
      <c r="C2366"/>
      <c r="D2366"/>
      <c r="E2366" s="2">
        <f>Comuni__2[[#This Row],[Popolazione2011]]/$D$7911</f>
        <v>7.549255653657922E-5</v>
      </c>
      <c r="F2366">
        <f>SUMIFS($D$2:$D$7909, $B$2:$B$7909, "Liguria")</f>
        <v>1570694</v>
      </c>
      <c r="G2366" s="1">
        <f>Comuni__2[[#This Row],[Popolazione2011]]/Comuni__2[[#This Row],[POPOLAZIONE TOTALE DI OGNI REGIONE (CON FILTRO)]]</f>
        <v>2.8560623520558427E-3</v>
      </c>
      <c r="H2366" t="str">
        <f>IF(Comuni__2[[#This Row],[Popolazione2011]]&gt;300000,"MAGGIORE","")</f>
        <v/>
      </c>
      <c r="J2366">
        <v>7074</v>
      </c>
      <c r="K2366">
        <v>26146</v>
      </c>
      <c r="L2366">
        <v>14189</v>
      </c>
    </row>
    <row r="2367" spans="1:12" x14ac:dyDescent="0.2">
      <c r="A2367"/>
      <c r="B2367"/>
      <c r="C2367"/>
      <c r="D2367"/>
      <c r="E2367" s="2">
        <f>Comuni__2[[#This Row],[Popolazione2011]]/$D$7911</f>
        <v>7.5458899578693988E-5</v>
      </c>
      <c r="F2367">
        <f>SUMIFS($D$2:$D$7909, $B$2:$B$7909, "Liguria")</f>
        <v>1570694</v>
      </c>
      <c r="G2367" s="1">
        <f>Comuni__2[[#This Row],[Popolazione2011]]/Comuni__2[[#This Row],[POPOLAZIONE TOTALE DI OGNI REGIONE (CON FILTRO)]]</f>
        <v>2.8547890295627285E-3</v>
      </c>
      <c r="H2367" t="str">
        <f>IF(Comuni__2[[#This Row],[Popolazione2011]]&gt;300000,"MAGGIORE","")</f>
        <v/>
      </c>
      <c r="J2367">
        <v>7141</v>
      </c>
      <c r="K2367">
        <v>26371</v>
      </c>
      <c r="L2367">
        <v>14231</v>
      </c>
    </row>
    <row r="2368" spans="1:12" x14ac:dyDescent="0.2">
      <c r="A2368"/>
      <c r="B2368"/>
      <c r="C2368"/>
      <c r="D2368"/>
      <c r="E2368" s="2">
        <f>Comuni__2[[#This Row],[Popolazione2011]]/$D$7911</f>
        <v>7.411262126328463E-5</v>
      </c>
      <c r="F2368">
        <f>SUMIFS($D$2:$D$7909, $B$2:$B$7909, "Liguria")</f>
        <v>1570694</v>
      </c>
      <c r="G2368" s="1">
        <f>Comuni__2[[#This Row],[Popolazione2011]]/Comuni__2[[#This Row],[POPOLAZIONE TOTALE DI OGNI REGIONE (CON FILTRO)]]</f>
        <v>2.803856129838148E-3</v>
      </c>
      <c r="H2368" t="str">
        <f>IF(Comuni__2[[#This Row],[Popolazione2011]]&gt;300000,"MAGGIORE","")</f>
        <v/>
      </c>
      <c r="J2368">
        <v>6946</v>
      </c>
      <c r="K2368">
        <v>26504</v>
      </c>
      <c r="L2368">
        <v>14294</v>
      </c>
    </row>
    <row r="2369" spans="1:12" x14ac:dyDescent="0.2">
      <c r="A2369"/>
      <c r="B2369"/>
      <c r="C2369"/>
      <c r="D2369"/>
      <c r="E2369" s="2">
        <f>Comuni__2[[#This Row],[Popolazione2011]]/$D$7911</f>
        <v>6.7414886644123127E-5</v>
      </c>
      <c r="F2369">
        <f>SUMIFS($D$2:$D$7909, $B$2:$B$7909, "Liguria")</f>
        <v>1570694</v>
      </c>
      <c r="G2369" s="1">
        <f>Comuni__2[[#This Row],[Popolazione2011]]/Comuni__2[[#This Row],[POPOLAZIONE TOTALE DI OGNI REGIONE (CON FILTRO)]]</f>
        <v>2.5504649537083607E-3</v>
      </c>
      <c r="H2369" t="str">
        <f>IF(Comuni__2[[#This Row],[Popolazione2011]]&gt;300000,"MAGGIORE","")</f>
        <v/>
      </c>
      <c r="J2369">
        <v>6710</v>
      </c>
      <c r="K2369">
        <v>27124</v>
      </c>
      <c r="L2369">
        <v>14389</v>
      </c>
    </row>
    <row r="2370" spans="1:12" x14ac:dyDescent="0.2">
      <c r="A2370"/>
      <c r="B2370"/>
      <c r="C2370"/>
      <c r="D2370"/>
      <c r="E2370" s="2">
        <f>Comuni__2[[#This Row],[Popolazione2011]]/$D$7911</f>
        <v>6.5395469171009097E-5</v>
      </c>
      <c r="F2370">
        <f>SUMIFS($D$2:$D$7909, $B$2:$B$7909, "Liguria")</f>
        <v>1570694</v>
      </c>
      <c r="G2370" s="1">
        <f>Comuni__2[[#This Row],[Popolazione2011]]/Comuni__2[[#This Row],[POPOLAZIONE TOTALE DI OGNI REGIONE (CON FILTRO)]]</f>
        <v>2.4740656041214904E-3</v>
      </c>
      <c r="H2370" t="str">
        <f>IF(Comuni__2[[#This Row],[Popolazione2011]]&gt;300000,"MAGGIORE","")</f>
        <v/>
      </c>
      <c r="J2370">
        <v>6559</v>
      </c>
      <c r="K2370">
        <v>33005</v>
      </c>
      <c r="L2370">
        <v>14611</v>
      </c>
    </row>
    <row r="2371" spans="1:12" x14ac:dyDescent="0.2">
      <c r="A2371"/>
      <c r="B2371"/>
      <c r="C2371"/>
      <c r="D2371"/>
      <c r="E2371" s="2">
        <f>Comuni__2[[#This Row],[Popolazione2011]]/$D$7911</f>
        <v>6.3241423866354138E-5</v>
      </c>
      <c r="F2371">
        <f>SUMIFS($D$2:$D$7909, $B$2:$B$7909, "Liguria")</f>
        <v>1570694</v>
      </c>
      <c r="G2371" s="1">
        <f>Comuni__2[[#This Row],[Popolazione2011]]/Comuni__2[[#This Row],[POPOLAZIONE TOTALE DI OGNI REGIONE (CON FILTRO)]]</f>
        <v>2.3925729645621618E-3</v>
      </c>
      <c r="H2371" t="str">
        <f>IF(Comuni__2[[#This Row],[Popolazione2011]]&gt;300000,"MAGGIORE","")</f>
        <v/>
      </c>
      <c r="J2371">
        <v>6328</v>
      </c>
      <c r="K2371">
        <v>33329</v>
      </c>
      <c r="L2371">
        <v>14745</v>
      </c>
    </row>
    <row r="2372" spans="1:12" x14ac:dyDescent="0.2">
      <c r="A2372"/>
      <c r="B2372"/>
      <c r="C2372"/>
      <c r="D2372"/>
      <c r="E2372" s="2">
        <f>Comuni__2[[#This Row],[Popolazione2011]]/$D$7911</f>
        <v>6.3207766908468906E-5</v>
      </c>
      <c r="F2372">
        <f>SUMIFS($D$2:$D$7909, $B$2:$B$7909, "Liguria")</f>
        <v>1570694</v>
      </c>
      <c r="G2372" s="1">
        <f>Comuni__2[[#This Row],[Popolazione2011]]/Comuni__2[[#This Row],[POPOLAZIONE TOTALE DI OGNI REGIONE (CON FILTRO)]]</f>
        <v>2.3912996420690472E-3</v>
      </c>
      <c r="H2372" t="str">
        <f>IF(Comuni__2[[#This Row],[Popolazione2011]]&gt;300000,"MAGGIORE","")</f>
        <v/>
      </c>
      <c r="J2372">
        <v>6102</v>
      </c>
      <c r="K2372">
        <v>33901</v>
      </c>
      <c r="L2372">
        <v>14839</v>
      </c>
    </row>
    <row r="2373" spans="1:12" x14ac:dyDescent="0.2">
      <c r="A2373"/>
      <c r="B2373"/>
      <c r="C2373"/>
      <c r="D2373"/>
      <c r="E2373" s="2">
        <f>Comuni__2[[#This Row],[Popolazione2011]]/$D$7911</f>
        <v>6.2299029045567595E-5</v>
      </c>
      <c r="F2373">
        <f>SUMIFS($D$2:$D$7909, $B$2:$B$7909, "Liguria")</f>
        <v>1570694</v>
      </c>
      <c r="G2373" s="1">
        <f>Comuni__2[[#This Row],[Popolazione2011]]/Comuni__2[[#This Row],[POPOLAZIONE TOTALE DI OGNI REGIONE (CON FILTRO)]]</f>
        <v>2.3569199347549556E-3</v>
      </c>
      <c r="H2373" t="str">
        <f>IF(Comuni__2[[#This Row],[Popolazione2011]]&gt;300000,"MAGGIORE","")</f>
        <v/>
      </c>
      <c r="J2373">
        <v>5865</v>
      </c>
      <c r="K2373">
        <v>36039</v>
      </c>
      <c r="L2373">
        <v>14924</v>
      </c>
    </row>
    <row r="2374" spans="1:12" x14ac:dyDescent="0.2">
      <c r="A2374"/>
      <c r="B2374"/>
      <c r="C2374"/>
      <c r="D2374"/>
      <c r="E2374" s="2">
        <f>Comuni__2[[#This Row],[Popolazione2011]]/$D$7911</f>
        <v>6.1895145550944794E-5</v>
      </c>
      <c r="F2374">
        <f>SUMIFS($D$2:$D$7909, $B$2:$B$7909, "Liguria")</f>
        <v>1570694</v>
      </c>
      <c r="G2374" s="1">
        <f>Comuni__2[[#This Row],[Popolazione2011]]/Comuni__2[[#This Row],[POPOLAZIONE TOTALE DI OGNI REGIONE (CON FILTRO)]]</f>
        <v>2.3416400648375814E-3</v>
      </c>
      <c r="H2374" t="str">
        <f>IF(Comuni__2[[#This Row],[Popolazione2011]]&gt;300000,"MAGGIORE","")</f>
        <v/>
      </c>
      <c r="J2374">
        <v>5776</v>
      </c>
      <c r="K2374">
        <v>36331</v>
      </c>
      <c r="L2374">
        <v>14986</v>
      </c>
    </row>
    <row r="2375" spans="1:12" x14ac:dyDescent="0.2">
      <c r="A2375"/>
      <c r="B2375"/>
      <c r="C2375"/>
      <c r="D2375"/>
      <c r="E2375" s="2">
        <f>Comuni__2[[#This Row],[Popolazione2011]]/$D$7911</f>
        <v>6.1407119661608913E-5</v>
      </c>
      <c r="F2375">
        <f>SUMIFS($D$2:$D$7909, $B$2:$B$7909, "Liguria")</f>
        <v>1570694</v>
      </c>
      <c r="G2375" s="1">
        <f>Comuni__2[[#This Row],[Popolazione2011]]/Comuni__2[[#This Row],[POPOLAZIONE TOTALE DI OGNI REGIONE (CON FILTRO)]]</f>
        <v>2.3231768886874211E-3</v>
      </c>
      <c r="H2375" t="str">
        <f>IF(Comuni__2[[#This Row],[Popolazione2011]]&gt;300000,"MAGGIORE","")</f>
        <v/>
      </c>
      <c r="J2375">
        <v>5738</v>
      </c>
      <c r="K2375">
        <v>36406</v>
      </c>
      <c r="L2375">
        <v>15054</v>
      </c>
    </row>
    <row r="2376" spans="1:12" x14ac:dyDescent="0.2">
      <c r="A2376"/>
      <c r="B2376"/>
      <c r="C2376"/>
      <c r="D2376"/>
      <c r="E2376" s="2">
        <f>Comuni__2[[#This Row],[Popolazione2011]]/$D$7911</f>
        <v>5.9522330020035819E-5</v>
      </c>
      <c r="F2376">
        <f>SUMIFS($D$2:$D$7909, $B$2:$B$7909, "Liguria")</f>
        <v>1570694</v>
      </c>
      <c r="G2376" s="1">
        <f>Comuni__2[[#This Row],[Popolazione2011]]/Comuni__2[[#This Row],[POPOLAZIONE TOTALE DI OGNI REGIONE (CON FILTRO)]]</f>
        <v>2.2518708290730086E-3</v>
      </c>
      <c r="H2376" t="str">
        <f>IF(Comuni__2[[#This Row],[Popolazione2011]]&gt;300000,"MAGGIORE","")</f>
        <v/>
      </c>
      <c r="J2376">
        <v>5544</v>
      </c>
      <c r="K2376">
        <v>37113</v>
      </c>
      <c r="L2376">
        <v>15116</v>
      </c>
    </row>
    <row r="2377" spans="1:12" x14ac:dyDescent="0.2">
      <c r="A2377"/>
      <c r="B2377"/>
      <c r="C2377"/>
      <c r="D2377"/>
      <c r="E2377" s="2">
        <f>Comuni__2[[#This Row],[Popolazione2011]]/$D$7911</f>
        <v>5.7654368857405347E-5</v>
      </c>
      <c r="F2377">
        <f>SUMIFS($D$2:$D$7909, $B$2:$B$7909, "Liguria")</f>
        <v>1570694</v>
      </c>
      <c r="G2377" s="1">
        <f>Comuni__2[[#This Row],[Popolazione2011]]/Comuni__2[[#This Row],[POPOLAZIONE TOTALE DI OGNI REGIONE (CON FILTRO)]]</f>
        <v>2.1812014307051532E-3</v>
      </c>
      <c r="H2377" t="str">
        <f>IF(Comuni__2[[#This Row],[Popolazione2011]]&gt;300000,"MAGGIORE","")</f>
        <v/>
      </c>
      <c r="J2377">
        <v>5314</v>
      </c>
      <c r="K2377">
        <v>38081</v>
      </c>
      <c r="L2377">
        <v>15185</v>
      </c>
    </row>
    <row r="2378" spans="1:12" x14ac:dyDescent="0.2">
      <c r="A2378"/>
      <c r="B2378"/>
      <c r="C2378"/>
      <c r="D2378"/>
      <c r="E2378" s="2">
        <f>Comuni__2[[#This Row],[Popolazione2011]]/$D$7911</f>
        <v>5.6981229699700675E-5</v>
      </c>
      <c r="F2378">
        <f>SUMIFS($D$2:$D$7909, $B$2:$B$7909, "Liguria")</f>
        <v>1570694</v>
      </c>
      <c r="G2378" s="1">
        <f>Comuni__2[[#This Row],[Popolazione2011]]/Comuni__2[[#This Row],[POPOLAZIONE TOTALE DI OGNI REGIONE (CON FILTRO)]]</f>
        <v>2.155734980842863E-3</v>
      </c>
      <c r="H2378" t="str">
        <f>IF(Comuni__2[[#This Row],[Popolazione2011]]&gt;300000,"MAGGIORE","")</f>
        <v/>
      </c>
      <c r="J2378">
        <v>5115</v>
      </c>
      <c r="K2378">
        <v>38568</v>
      </c>
      <c r="L2378">
        <v>15296</v>
      </c>
    </row>
    <row r="2379" spans="1:12" x14ac:dyDescent="0.2">
      <c r="A2379"/>
      <c r="B2379"/>
      <c r="C2379"/>
      <c r="D2379"/>
      <c r="E2379" s="2">
        <f>Comuni__2[[#This Row],[Popolazione2011]]/$D$7911</f>
        <v>5.4389643942537677E-5</v>
      </c>
      <c r="F2379">
        <f>SUMIFS($D$2:$D$7909, $B$2:$B$7909, "Liguria")</f>
        <v>1570694</v>
      </c>
      <c r="G2379" s="1">
        <f>Comuni__2[[#This Row],[Popolazione2011]]/Comuni__2[[#This Row],[POPOLAZIONE TOTALE DI OGNI REGIONE (CON FILTRO)]]</f>
        <v>2.057689148873046E-3</v>
      </c>
      <c r="H2379" t="str">
        <f>IF(Comuni__2[[#This Row],[Popolazione2011]]&gt;300000,"MAGGIORE","")</f>
        <v/>
      </c>
      <c r="J2379">
        <v>4981</v>
      </c>
      <c r="K2379">
        <v>40962</v>
      </c>
      <c r="L2379">
        <v>15411</v>
      </c>
    </row>
    <row r="2380" spans="1:12" x14ac:dyDescent="0.2">
      <c r="A2380"/>
      <c r="B2380"/>
      <c r="C2380"/>
      <c r="D2380"/>
      <c r="E2380" s="2">
        <f>Comuni__2[[#This Row],[Popolazione2011]]/$D$7911</f>
        <v>5.428867306888198E-5</v>
      </c>
      <c r="F2380">
        <f>SUMIFS($D$2:$D$7909, $B$2:$B$7909, "Liguria")</f>
        <v>1570694</v>
      </c>
      <c r="G2380" s="1">
        <f>Comuni__2[[#This Row],[Popolazione2011]]/Comuni__2[[#This Row],[POPOLAZIONE TOTALE DI OGNI REGIONE (CON FILTRO)]]</f>
        <v>2.0538691813937024E-3</v>
      </c>
      <c r="H2380" t="str">
        <f>IF(Comuni__2[[#This Row],[Popolazione2011]]&gt;300000,"MAGGIORE","")</f>
        <v/>
      </c>
      <c r="J2380">
        <v>4789</v>
      </c>
      <c r="K2380">
        <v>41389</v>
      </c>
      <c r="L2380">
        <v>15450</v>
      </c>
    </row>
    <row r="2381" spans="1:12" x14ac:dyDescent="0.2">
      <c r="A2381"/>
      <c r="B2381"/>
      <c r="C2381"/>
      <c r="D2381"/>
      <c r="E2381" s="2">
        <f>Comuni__2[[#This Row],[Popolazione2011]]/$D$7911</f>
        <v>5.2622653653562909E-5</v>
      </c>
      <c r="F2381">
        <f>SUMIFS($D$2:$D$7909, $B$2:$B$7909, "Liguria")</f>
        <v>1570694</v>
      </c>
      <c r="G2381" s="1">
        <f>Comuni__2[[#This Row],[Popolazione2011]]/Comuni__2[[#This Row],[POPOLAZIONE TOTALE DI OGNI REGIONE (CON FILTRO)]]</f>
        <v>1.9908397179845341E-3</v>
      </c>
      <c r="H2381" t="str">
        <f>IF(Comuni__2[[#This Row],[Popolazione2011]]&gt;300000,"MAGGIORE","")</f>
        <v/>
      </c>
      <c r="J2381">
        <v>4735</v>
      </c>
      <c r="K2381">
        <v>41895</v>
      </c>
      <c r="L2381">
        <v>15519</v>
      </c>
    </row>
    <row r="2382" spans="1:12" x14ac:dyDescent="0.2">
      <c r="A2382"/>
      <c r="B2382"/>
      <c r="C2382"/>
      <c r="D2382"/>
      <c r="E2382" s="2">
        <f>Comuni__2[[#This Row],[Popolazione2011]]/$D$7911</f>
        <v>5.1596116438063278E-5</v>
      </c>
      <c r="F2382">
        <f>SUMIFS($D$2:$D$7909, $B$2:$B$7909, "Liguria")</f>
        <v>1570694</v>
      </c>
      <c r="G2382" s="1">
        <f>Comuni__2[[#This Row],[Popolazione2011]]/Comuni__2[[#This Row],[POPOLAZIONE TOTALE DI OGNI REGIONE (CON FILTRO)]]</f>
        <v>1.9520033819445416E-3</v>
      </c>
      <c r="H2382" t="str">
        <f>IF(Comuni__2[[#This Row],[Popolazione2011]]&gt;300000,"MAGGIORE","")</f>
        <v/>
      </c>
      <c r="J2382">
        <v>4734</v>
      </c>
      <c r="K2382">
        <v>42403</v>
      </c>
      <c r="L2382">
        <v>15543</v>
      </c>
    </row>
    <row r="2383" spans="1:12" x14ac:dyDescent="0.2">
      <c r="A2383"/>
      <c r="B2383"/>
      <c r="C2383"/>
      <c r="D2383"/>
      <c r="E2383" s="2">
        <f>Comuni__2[[#This Row],[Popolazione2011]]/$D$7911</f>
        <v>5.1242718380268326E-5</v>
      </c>
      <c r="F2383">
        <f>SUMIFS($D$2:$D$7909, $B$2:$B$7909, "Liguria")</f>
        <v>1570694</v>
      </c>
      <c r="G2383" s="1">
        <f>Comuni__2[[#This Row],[Popolazione2011]]/Comuni__2[[#This Row],[POPOLAZIONE TOTALE DI OGNI REGIONE (CON FILTRO)]]</f>
        <v>1.9386334957668394E-3</v>
      </c>
      <c r="H2383" t="str">
        <f>IF(Comuni__2[[#This Row],[Popolazione2011]]&gt;300000,"MAGGIORE","")</f>
        <v/>
      </c>
      <c r="J2383">
        <v>4670</v>
      </c>
      <c r="K2383">
        <v>42593</v>
      </c>
      <c r="L2383">
        <v>15597</v>
      </c>
    </row>
    <row r="2384" spans="1:12" x14ac:dyDescent="0.2">
      <c r="A2384"/>
      <c r="B2384"/>
      <c r="C2384"/>
      <c r="D2384"/>
      <c r="E2384" s="2">
        <f>Comuni__2[[#This Row],[Popolazione2011]]/$D$7911</f>
        <v>4.9341100259752622E-5</v>
      </c>
      <c r="F2384">
        <f>SUMIFS($D$2:$D$7909, $B$2:$B$7909, "Liguria")</f>
        <v>1570694</v>
      </c>
      <c r="G2384" s="1">
        <f>Comuni__2[[#This Row],[Popolazione2011]]/Comuni__2[[#This Row],[POPOLAZIONE TOTALE DI OGNI REGIONE (CON FILTRO)]]</f>
        <v>1.8666907749058696E-3</v>
      </c>
      <c r="H2384" t="str">
        <f>IF(Comuni__2[[#This Row],[Popolazione2011]]&gt;300000,"MAGGIORE","")</f>
        <v/>
      </c>
      <c r="J2384">
        <v>4512</v>
      </c>
      <c r="K2384">
        <v>43442</v>
      </c>
      <c r="L2384">
        <v>15662</v>
      </c>
    </row>
    <row r="2385" spans="1:12" x14ac:dyDescent="0.2">
      <c r="A2385"/>
      <c r="B2385"/>
      <c r="C2385"/>
      <c r="D2385"/>
      <c r="E2385" s="2">
        <f>Comuni__2[[#This Row],[Popolazione2011]]/$D$7911</f>
        <v>4.8634304144162711E-5</v>
      </c>
      <c r="F2385">
        <f>SUMIFS($D$2:$D$7909, $B$2:$B$7909, "Liguria")</f>
        <v>1570694</v>
      </c>
      <c r="G2385" s="1">
        <f>Comuni__2[[#This Row],[Popolazione2011]]/Comuni__2[[#This Row],[POPOLAZIONE TOTALE DI OGNI REGIONE (CON FILTRO)]]</f>
        <v>1.8399510025504649E-3</v>
      </c>
      <c r="H2385" t="str">
        <f>IF(Comuni__2[[#This Row],[Popolazione2011]]&gt;300000,"MAGGIORE","")</f>
        <v/>
      </c>
      <c r="J2385">
        <v>4345</v>
      </c>
      <c r="K2385">
        <v>43649</v>
      </c>
      <c r="L2385">
        <v>15727</v>
      </c>
    </row>
    <row r="2386" spans="1:12" x14ac:dyDescent="0.2">
      <c r="A2386"/>
      <c r="B2386"/>
      <c r="C2386"/>
      <c r="D2386"/>
      <c r="E2386" s="2">
        <f>Comuni__2[[#This Row],[Popolazione2011]]/$D$7911</f>
        <v>4.8146278254826823E-5</v>
      </c>
      <c r="F2386">
        <f>SUMIFS($D$2:$D$7909, $B$2:$B$7909, "Liguria")</f>
        <v>1570694</v>
      </c>
      <c r="G2386" s="1">
        <f>Comuni__2[[#This Row],[Popolazione2011]]/Comuni__2[[#This Row],[POPOLAZIONE TOTALE DI OGNI REGIONE (CON FILTRO)]]</f>
        <v>1.8214878264003046E-3</v>
      </c>
      <c r="H2386" t="str">
        <f>IF(Comuni__2[[#This Row],[Popolazione2011]]&gt;300000,"MAGGIORE","")</f>
        <v/>
      </c>
      <c r="J2386">
        <v>4235</v>
      </c>
      <c r="K2386">
        <v>44667</v>
      </c>
      <c r="L2386">
        <v>15784</v>
      </c>
    </row>
    <row r="2387" spans="1:12" x14ac:dyDescent="0.2">
      <c r="A2387"/>
      <c r="B2387"/>
      <c r="C2387"/>
      <c r="D2387"/>
      <c r="E2387" s="2">
        <f>Comuni__2[[#This Row],[Popolazione2011]]/$D$7911</f>
        <v>4.7288025828753367E-5</v>
      </c>
      <c r="F2387">
        <f>SUMIFS($D$2:$D$7909, $B$2:$B$7909, "Liguria")</f>
        <v>1570694</v>
      </c>
      <c r="G2387" s="1">
        <f>Comuni__2[[#This Row],[Popolazione2011]]/Comuni__2[[#This Row],[POPOLAZIONE TOTALE DI OGNI REGIONE (CON FILTRO)]]</f>
        <v>1.7890181028258846E-3</v>
      </c>
      <c r="H2387" t="str">
        <f>IF(Comuni__2[[#This Row],[Popolazione2011]]&gt;300000,"MAGGIORE","")</f>
        <v/>
      </c>
      <c r="J2387">
        <v>4225</v>
      </c>
      <c r="K2387">
        <v>45355</v>
      </c>
      <c r="L2387">
        <v>15840</v>
      </c>
    </row>
    <row r="2388" spans="1:12" x14ac:dyDescent="0.2">
      <c r="A2388"/>
      <c r="B2388"/>
      <c r="C2388"/>
      <c r="D2388"/>
      <c r="E2388" s="2">
        <f>Comuni__2[[#This Row],[Popolazione2011]]/$D$7911</f>
        <v>4.7136569518269815E-5</v>
      </c>
      <c r="F2388">
        <f>SUMIFS($D$2:$D$7909, $B$2:$B$7909, "Liguria")</f>
        <v>1570694</v>
      </c>
      <c r="G2388" s="1">
        <f>Comuni__2[[#This Row],[Popolazione2011]]/Comuni__2[[#This Row],[POPOLAZIONE TOTALE DI OGNI REGIONE (CON FILTRO)]]</f>
        <v>1.7832881516068693E-3</v>
      </c>
      <c r="H2388" t="str">
        <f>IF(Comuni__2[[#This Row],[Popolazione2011]]&gt;300000,"MAGGIORE","")</f>
        <v/>
      </c>
      <c r="J2388">
        <v>4214</v>
      </c>
      <c r="K2388">
        <v>45656</v>
      </c>
      <c r="L2388">
        <v>15840</v>
      </c>
    </row>
    <row r="2389" spans="1:12" x14ac:dyDescent="0.2">
      <c r="A2389"/>
      <c r="B2389"/>
      <c r="C2389"/>
      <c r="D2389"/>
      <c r="E2389" s="2">
        <f>Comuni__2[[#This Row],[Popolazione2011]]/$D$7911</f>
        <v>4.5352750750352424E-5</v>
      </c>
      <c r="F2389">
        <f>SUMIFS($D$2:$D$7909, $B$2:$B$7909, "Liguria")</f>
        <v>1570694</v>
      </c>
      <c r="G2389" s="1">
        <f>Comuni__2[[#This Row],[Popolazione2011]]/Comuni__2[[#This Row],[POPOLAZIONE TOTALE DI OGNI REGIONE (CON FILTRO)]]</f>
        <v>1.7158020594718003E-3</v>
      </c>
      <c r="H2389" t="str">
        <f>IF(Comuni__2[[#This Row],[Popolazione2011]]&gt;300000,"MAGGIORE","")</f>
        <v/>
      </c>
      <c r="J2389">
        <v>3917</v>
      </c>
      <c r="K2389">
        <v>46169</v>
      </c>
      <c r="L2389">
        <v>15874</v>
      </c>
    </row>
    <row r="2390" spans="1:12" x14ac:dyDescent="0.2">
      <c r="A2390"/>
      <c r="B2390"/>
      <c r="C2390"/>
      <c r="D2390"/>
      <c r="E2390" s="2">
        <f>Comuni__2[[#This Row],[Popolazione2011]]/$D$7911</f>
        <v>4.5218122918811488E-5</v>
      </c>
      <c r="F2390">
        <f>SUMIFS($D$2:$D$7909, $B$2:$B$7909, "Liguria")</f>
        <v>1570694</v>
      </c>
      <c r="G2390" s="1">
        <f>Comuni__2[[#This Row],[Popolazione2011]]/Comuni__2[[#This Row],[POPOLAZIONE TOTALE DI OGNI REGIONE (CON FILTRO)]]</f>
        <v>1.7107087694993423E-3</v>
      </c>
      <c r="H2390" t="str">
        <f>IF(Comuni__2[[#This Row],[Popolazione2011]]&gt;300000,"MAGGIORE","")</f>
        <v/>
      </c>
      <c r="J2390">
        <v>3805</v>
      </c>
      <c r="K2390">
        <v>47044</v>
      </c>
      <c r="L2390">
        <v>15896</v>
      </c>
    </row>
    <row r="2391" spans="1:12" x14ac:dyDescent="0.2">
      <c r="A2391"/>
      <c r="B2391"/>
      <c r="C2391"/>
      <c r="D2391"/>
      <c r="E2391" s="2">
        <f>Comuni__2[[#This Row],[Popolazione2011]]/$D$7911</f>
        <v>4.5218122918811488E-5</v>
      </c>
      <c r="F2391">
        <f>SUMIFS($D$2:$D$7909, $B$2:$B$7909, "Liguria")</f>
        <v>1570694</v>
      </c>
      <c r="G2391" s="1">
        <f>Comuni__2[[#This Row],[Popolazione2011]]/Comuni__2[[#This Row],[POPOLAZIONE TOTALE DI OGNI REGIONE (CON FILTRO)]]</f>
        <v>1.7107087694993423E-3</v>
      </c>
      <c r="H2391" t="str">
        <f>IF(Comuni__2[[#This Row],[Popolazione2011]]&gt;300000,"MAGGIORE","")</f>
        <v/>
      </c>
      <c r="J2391">
        <v>3801</v>
      </c>
      <c r="K2391">
        <v>47810</v>
      </c>
      <c r="L2391">
        <v>15954</v>
      </c>
    </row>
    <row r="2392" spans="1:12" x14ac:dyDescent="0.2">
      <c r="A2392"/>
      <c r="B2392"/>
      <c r="C2392"/>
      <c r="D2392"/>
      <c r="E2392" s="2">
        <f>Comuni__2[[#This Row],[Popolazione2011]]/$D$7911</f>
        <v>4.4915210297844391E-5</v>
      </c>
      <c r="F2392">
        <f>SUMIFS($D$2:$D$7909, $B$2:$B$7909, "Liguria")</f>
        <v>1570694</v>
      </c>
      <c r="G2392" s="1">
        <f>Comuni__2[[#This Row],[Popolazione2011]]/Comuni__2[[#This Row],[POPOLAZIONE TOTALE DI OGNI REGIONE (CON FILTRO)]]</f>
        <v>1.6992488670613118E-3</v>
      </c>
      <c r="H2392" t="str">
        <f>IF(Comuni__2[[#This Row],[Popolazione2011]]&gt;300000,"MAGGIORE","")</f>
        <v/>
      </c>
      <c r="J2392">
        <v>3643</v>
      </c>
      <c r="K2392">
        <v>49296</v>
      </c>
      <c r="L2392">
        <v>15974</v>
      </c>
    </row>
    <row r="2393" spans="1:12" x14ac:dyDescent="0.2">
      <c r="A2393"/>
      <c r="B2393"/>
      <c r="C2393"/>
      <c r="D2393"/>
      <c r="E2393" s="2">
        <f>Comuni__2[[#This Row],[Popolazione2011]]/$D$7911</f>
        <v>4.3451132629836721E-5</v>
      </c>
      <c r="F2393">
        <f>SUMIFS($D$2:$D$7909, $B$2:$B$7909, "Liguria")</f>
        <v>1570694</v>
      </c>
      <c r="G2393" s="1">
        <f>Comuni__2[[#This Row],[Popolazione2011]]/Comuni__2[[#This Row],[POPOLAZIONE TOTALE DI OGNI REGIONE (CON FILTRO)]]</f>
        <v>1.6438593386108307E-3</v>
      </c>
      <c r="H2393" t="str">
        <f>IF(Comuni__2[[#This Row],[Popolazione2011]]&gt;300000,"MAGGIORE","")</f>
        <v/>
      </c>
      <c r="J2393">
        <v>3725</v>
      </c>
      <c r="K2393">
        <v>49842</v>
      </c>
      <c r="L2393">
        <v>16012</v>
      </c>
    </row>
    <row r="2394" spans="1:12" x14ac:dyDescent="0.2">
      <c r="A2394"/>
      <c r="B2394"/>
      <c r="C2394"/>
      <c r="D2394"/>
      <c r="E2394" s="2">
        <f>Comuni__2[[#This Row],[Popolazione2011]]/$D$7911</f>
        <v>4.3181876966754849E-5</v>
      </c>
      <c r="F2394">
        <f>SUMIFS($D$2:$D$7909, $B$2:$B$7909, "Liguria")</f>
        <v>1570694</v>
      </c>
      <c r="G2394" s="1">
        <f>Comuni__2[[#This Row],[Popolazione2011]]/Comuni__2[[#This Row],[POPOLAZIONE TOTALE DI OGNI REGIONE (CON FILTRO)]]</f>
        <v>1.6336727586659145E-3</v>
      </c>
      <c r="H2394" t="str">
        <f>IF(Comuni__2[[#This Row],[Popolazione2011]]&gt;300000,"MAGGIORE","")</f>
        <v/>
      </c>
      <c r="J2394">
        <v>3479</v>
      </c>
      <c r="K2394">
        <v>50870</v>
      </c>
      <c r="L2394">
        <v>16079</v>
      </c>
    </row>
    <row r="2395" spans="1:12" x14ac:dyDescent="0.2">
      <c r="A2395"/>
      <c r="B2395"/>
      <c r="C2395"/>
      <c r="D2395"/>
      <c r="E2395" s="2">
        <f>Comuni__2[[#This Row],[Popolazione2011]]/$D$7911</f>
        <v>4.27275080353042E-5</v>
      </c>
      <c r="F2395">
        <f>SUMIFS($D$2:$D$7909, $B$2:$B$7909, "Liguria")</f>
        <v>1570694</v>
      </c>
      <c r="G2395" s="1">
        <f>Comuni__2[[#This Row],[Popolazione2011]]/Comuni__2[[#This Row],[POPOLAZIONE TOTALE DI OGNI REGIONE (CON FILTRO)]]</f>
        <v>1.6164829050088687E-3</v>
      </c>
      <c r="H2395" t="str">
        <f>IF(Comuni__2[[#This Row],[Popolazione2011]]&gt;300000,"MAGGIORE","")</f>
        <v/>
      </c>
      <c r="J2395">
        <v>3301</v>
      </c>
      <c r="K2395">
        <v>51860</v>
      </c>
      <c r="L2395">
        <v>16112</v>
      </c>
    </row>
    <row r="2396" spans="1:12" x14ac:dyDescent="0.2">
      <c r="A2396"/>
      <c r="B2396"/>
      <c r="C2396"/>
      <c r="D2396"/>
      <c r="E2396" s="2">
        <f>Comuni__2[[#This Row],[Popolazione2011]]/$D$7911</f>
        <v>4.2441423893279712E-5</v>
      </c>
      <c r="F2396">
        <f>SUMIFS($D$2:$D$7909, $B$2:$B$7909, "Liguria")</f>
        <v>1570694</v>
      </c>
      <c r="G2396" s="1">
        <f>Comuni__2[[#This Row],[Popolazione2011]]/Comuni__2[[#This Row],[POPOLAZIONE TOTALE DI OGNI REGIONE (CON FILTRO)]]</f>
        <v>1.6056596638173953E-3</v>
      </c>
      <c r="H2396" t="str">
        <f>IF(Comuni__2[[#This Row],[Popolazione2011]]&gt;300000,"MAGGIORE","")</f>
        <v/>
      </c>
      <c r="J2396">
        <v>3252</v>
      </c>
      <c r="K2396">
        <v>52026</v>
      </c>
      <c r="L2396">
        <v>16131</v>
      </c>
    </row>
    <row r="2397" spans="1:12" x14ac:dyDescent="0.2">
      <c r="A2397"/>
      <c r="B2397"/>
      <c r="C2397"/>
      <c r="D2397"/>
      <c r="E2397" s="2">
        <f>Comuni__2[[#This Row],[Popolazione2011]]/$D$7911</f>
        <v>4.2340453019624009E-5</v>
      </c>
      <c r="F2397">
        <f>SUMIFS($D$2:$D$7909, $B$2:$B$7909, "Liguria")</f>
        <v>1570694</v>
      </c>
      <c r="G2397" s="1">
        <f>Comuni__2[[#This Row],[Popolazione2011]]/Comuni__2[[#This Row],[POPOLAZIONE TOTALE DI OGNI REGIONE (CON FILTRO)]]</f>
        <v>1.6018396963380518E-3</v>
      </c>
      <c r="H2397" t="str">
        <f>IF(Comuni__2[[#This Row],[Popolazione2011]]&gt;300000,"MAGGIORE","")</f>
        <v/>
      </c>
      <c r="J2397">
        <v>3187</v>
      </c>
      <c r="K2397">
        <v>52807</v>
      </c>
      <c r="L2397">
        <v>16143</v>
      </c>
    </row>
    <row r="2398" spans="1:12" x14ac:dyDescent="0.2">
      <c r="A2398"/>
      <c r="B2398"/>
      <c r="C2398"/>
      <c r="D2398"/>
      <c r="E2398" s="2">
        <f>Comuni__2[[#This Row],[Popolazione2011]]/$D$7911</f>
        <v>4.1886084088173353E-5</v>
      </c>
      <c r="F2398">
        <f>SUMIFS($D$2:$D$7909, $B$2:$B$7909, "Liguria")</f>
        <v>1570694</v>
      </c>
      <c r="G2398" s="1">
        <f>Comuni__2[[#This Row],[Popolazione2011]]/Comuni__2[[#This Row],[POPOLAZIONE TOTALE DI OGNI REGIONE (CON FILTRO)]]</f>
        <v>1.584649842681006E-3</v>
      </c>
      <c r="H2398" t="str">
        <f>IF(Comuni__2[[#This Row],[Popolazione2011]]&gt;300000,"MAGGIORE","")</f>
        <v/>
      </c>
      <c r="J2398">
        <v>3126</v>
      </c>
      <c r="K2398">
        <v>53046</v>
      </c>
      <c r="L2398">
        <v>16172</v>
      </c>
    </row>
    <row r="2399" spans="1:12" x14ac:dyDescent="0.2">
      <c r="A2399"/>
      <c r="B2399"/>
      <c r="C2399"/>
      <c r="D2399"/>
      <c r="E2399" s="2">
        <f>Comuni__2[[#This Row],[Popolazione2011]]/$D$7911</f>
        <v>4.1011003183157281E-5</v>
      </c>
      <c r="F2399">
        <f>SUMIFS($D$2:$D$7909, $B$2:$B$7909, "Liguria")</f>
        <v>1570694</v>
      </c>
      <c r="G2399" s="1">
        <f>Comuni__2[[#This Row],[Popolazione2011]]/Comuni__2[[#This Row],[POPOLAZIONE TOTALE DI OGNI REGIONE (CON FILTRO)]]</f>
        <v>1.5515434578600288E-3</v>
      </c>
      <c r="H2399" t="str">
        <f>IF(Comuni__2[[#This Row],[Popolazione2011]]&gt;300000,"MAGGIORE","")</f>
        <v/>
      </c>
      <c r="J2399">
        <v>3079</v>
      </c>
      <c r="K2399">
        <v>53101</v>
      </c>
      <c r="L2399">
        <v>16201</v>
      </c>
    </row>
    <row r="2400" spans="1:12" x14ac:dyDescent="0.2">
      <c r="A2400"/>
      <c r="B2400"/>
      <c r="C2400"/>
      <c r="D2400"/>
      <c r="E2400" s="2">
        <f>Comuni__2[[#This Row],[Popolazione2011]]/$D$7911</f>
        <v>4.0438834899108305E-5</v>
      </c>
      <c r="F2400">
        <f>SUMIFS($D$2:$D$7909, $B$2:$B$7909, "Liguria")</f>
        <v>1570694</v>
      </c>
      <c r="G2400" s="1">
        <f>Comuni__2[[#This Row],[Popolazione2011]]/Comuni__2[[#This Row],[POPOLAZIONE TOTALE DI OGNI REGIONE (CON FILTRO)]]</f>
        <v>1.5298969754770821E-3</v>
      </c>
      <c r="H2400" t="str">
        <f>IF(Comuni__2[[#This Row],[Popolazione2011]]&gt;300000,"MAGGIORE","")</f>
        <v/>
      </c>
      <c r="J2400">
        <v>3080</v>
      </c>
      <c r="K2400">
        <v>53853</v>
      </c>
      <c r="L2400">
        <v>16222</v>
      </c>
    </row>
    <row r="2401" spans="1:12" x14ac:dyDescent="0.2">
      <c r="A2401"/>
      <c r="B2401"/>
      <c r="C2401"/>
      <c r="D2401"/>
      <c r="E2401" s="2">
        <f>Comuni__2[[#This Row],[Popolazione2011]]/$D$7911</f>
        <v>4.0253721630739521E-5</v>
      </c>
      <c r="F2401">
        <f>SUMIFS($D$2:$D$7909, $B$2:$B$7909, "Liguria")</f>
        <v>1570694</v>
      </c>
      <c r="G2401" s="1">
        <f>Comuni__2[[#This Row],[Popolazione2011]]/Comuni__2[[#This Row],[POPOLAZIONE TOTALE DI OGNI REGIONE (CON FILTRO)]]</f>
        <v>1.5228937017649523E-3</v>
      </c>
      <c r="H2401" t="str">
        <f>IF(Comuni__2[[#This Row],[Popolazione2011]]&gt;300000,"MAGGIORE","")</f>
        <v/>
      </c>
      <c r="J2401">
        <v>2950</v>
      </c>
      <c r="K2401">
        <v>54322</v>
      </c>
      <c r="L2401">
        <v>16249</v>
      </c>
    </row>
    <row r="2402" spans="1:12" x14ac:dyDescent="0.2">
      <c r="A2402"/>
      <c r="B2402"/>
      <c r="C2402"/>
      <c r="D2402"/>
      <c r="E2402" s="2">
        <f>Comuni__2[[#This Row],[Popolazione2011]]/$D$7911</f>
        <v>3.9732038783518394E-5</v>
      </c>
      <c r="F2402">
        <f>SUMIFS($D$2:$D$7909, $B$2:$B$7909, "Liguria")</f>
        <v>1570694</v>
      </c>
      <c r="G2402" s="1">
        <f>Comuni__2[[#This Row],[Popolazione2011]]/Comuni__2[[#This Row],[POPOLAZIONE TOTALE DI OGNI REGIONE (CON FILTRO)]]</f>
        <v>1.5031572031216774E-3</v>
      </c>
      <c r="H2402" t="str">
        <f>IF(Comuni__2[[#This Row],[Popolazione2011]]&gt;300000,"MAGGIORE","")</f>
        <v/>
      </c>
      <c r="J2402">
        <v>2908</v>
      </c>
      <c r="K2402">
        <v>54505</v>
      </c>
      <c r="L2402">
        <v>16270</v>
      </c>
    </row>
    <row r="2403" spans="1:12" x14ac:dyDescent="0.2">
      <c r="A2403"/>
      <c r="B2403"/>
      <c r="C2403"/>
      <c r="D2403"/>
      <c r="E2403" s="2">
        <f>Comuni__2[[#This Row],[Popolazione2011]]/$D$7911</f>
        <v>3.9647896388805314E-5</v>
      </c>
      <c r="F2403">
        <f>SUMIFS($D$2:$D$7909, $B$2:$B$7909, "Liguria")</f>
        <v>1570694</v>
      </c>
      <c r="G2403" s="1">
        <f>Comuni__2[[#This Row],[Popolazione2011]]/Comuni__2[[#This Row],[POPOLAZIONE TOTALE DI OGNI REGIONE (CON FILTRO)]]</f>
        <v>1.4999738968888912E-3</v>
      </c>
      <c r="H2403" t="str">
        <f>IF(Comuni__2[[#This Row],[Popolazione2011]]&gt;300000,"MAGGIORE","")</f>
        <v/>
      </c>
      <c r="J2403">
        <v>2815</v>
      </c>
      <c r="K2403">
        <v>54768</v>
      </c>
      <c r="L2403">
        <v>16302</v>
      </c>
    </row>
    <row r="2404" spans="1:12" x14ac:dyDescent="0.2">
      <c r="A2404"/>
      <c r="B2404"/>
      <c r="C2404"/>
      <c r="D2404"/>
      <c r="E2404" s="2">
        <f>Comuni__2[[#This Row],[Popolazione2011]]/$D$7911</f>
        <v>3.9530097036206994E-5</v>
      </c>
      <c r="F2404">
        <f>SUMIFS($D$2:$D$7909, $B$2:$B$7909, "Liguria")</f>
        <v>1570694</v>
      </c>
      <c r="G2404" s="1">
        <f>Comuni__2[[#This Row],[Popolazione2011]]/Comuni__2[[#This Row],[POPOLAZIONE TOTALE DI OGNI REGIONE (CON FILTRO)]]</f>
        <v>1.4955172681629903E-3</v>
      </c>
      <c r="H2404" t="str">
        <f>IF(Comuni__2[[#This Row],[Popolazione2011]]&gt;300000,"MAGGIORE","")</f>
        <v/>
      </c>
      <c r="J2404">
        <v>2756</v>
      </c>
      <c r="K2404">
        <v>55967</v>
      </c>
      <c r="L2404">
        <v>16317</v>
      </c>
    </row>
    <row r="2405" spans="1:12" x14ac:dyDescent="0.2">
      <c r="A2405"/>
      <c r="B2405"/>
      <c r="C2405"/>
      <c r="D2405"/>
      <c r="E2405" s="2">
        <f>Comuni__2[[#This Row],[Popolazione2011]]/$D$7911</f>
        <v>3.9159870499469426E-5</v>
      </c>
      <c r="F2405">
        <f>SUMIFS($D$2:$D$7909, $B$2:$B$7909, "Liguria")</f>
        <v>1570694</v>
      </c>
      <c r="G2405" s="1">
        <f>Comuni__2[[#This Row],[Popolazione2011]]/Comuni__2[[#This Row],[POPOLAZIONE TOTALE DI OGNI REGIONE (CON FILTRO)]]</f>
        <v>1.4815107207387308E-3</v>
      </c>
      <c r="H2405" t="str">
        <f>IF(Comuni__2[[#This Row],[Popolazione2011]]&gt;300000,"MAGGIORE","")</f>
        <v/>
      </c>
      <c r="J2405">
        <v>2663</v>
      </c>
      <c r="K2405">
        <v>56474</v>
      </c>
      <c r="L2405">
        <v>16349</v>
      </c>
    </row>
    <row r="2406" spans="1:12" x14ac:dyDescent="0.2">
      <c r="A2406"/>
      <c r="B2406"/>
      <c r="C2406"/>
      <c r="D2406"/>
      <c r="E2406" s="2">
        <f>Comuni__2[[#This Row],[Popolazione2011]]/$D$7911</f>
        <v>3.8284789594453346E-5</v>
      </c>
      <c r="F2406">
        <f>SUMIFS($D$2:$D$7909, $B$2:$B$7909, "Liguria")</f>
        <v>1570694</v>
      </c>
      <c r="G2406" s="1">
        <f>Comuni__2[[#This Row],[Popolazione2011]]/Comuni__2[[#This Row],[POPOLAZIONE TOTALE DI OGNI REGIONE (CON FILTRO)]]</f>
        <v>1.4484043359177536E-3</v>
      </c>
      <c r="H2406" t="str">
        <f>IF(Comuni__2[[#This Row],[Popolazione2011]]&gt;300000,"MAGGIORE","")</f>
        <v/>
      </c>
      <c r="J2406">
        <v>2585</v>
      </c>
      <c r="K2406">
        <v>57218</v>
      </c>
      <c r="L2406">
        <v>16374</v>
      </c>
    </row>
    <row r="2407" spans="1:12" x14ac:dyDescent="0.2">
      <c r="A2407"/>
      <c r="B2407"/>
      <c r="C2407"/>
      <c r="D2407"/>
      <c r="E2407" s="2">
        <f>Comuni__2[[#This Row],[Popolazione2011]]/$D$7911</f>
        <v>3.7981876973486243E-5</v>
      </c>
      <c r="F2407">
        <f>SUMIFS($D$2:$D$7909, $B$2:$B$7909, "Liguria")</f>
        <v>1570694</v>
      </c>
      <c r="G2407" s="1">
        <f>Comuni__2[[#This Row],[Popolazione2011]]/Comuni__2[[#This Row],[POPOLAZIONE TOTALE DI OGNI REGIONE (CON FILTRO)]]</f>
        <v>1.4369444334797229E-3</v>
      </c>
      <c r="H2407" t="str">
        <f>IF(Comuni__2[[#This Row],[Popolazione2011]]&gt;300000,"MAGGIORE","")</f>
        <v/>
      </c>
      <c r="J2407">
        <v>2454</v>
      </c>
      <c r="K2407">
        <v>57775</v>
      </c>
      <c r="L2407">
        <v>16405</v>
      </c>
    </row>
    <row r="2408" spans="1:12" x14ac:dyDescent="0.2">
      <c r="A2408"/>
      <c r="B2408"/>
      <c r="C2408"/>
      <c r="D2408"/>
      <c r="E2408" s="2">
        <f>Comuni__2[[#This Row],[Popolazione2011]]/$D$7911</f>
        <v>3.7678964352519139E-5</v>
      </c>
      <c r="F2408">
        <f>SUMIFS($D$2:$D$7909, $B$2:$B$7909, "Liguria")</f>
        <v>1570694</v>
      </c>
      <c r="G2408" s="1">
        <f>Comuni__2[[#This Row],[Popolazione2011]]/Comuni__2[[#This Row],[POPOLAZIONE TOTALE DI OGNI REGIONE (CON FILTRO)]]</f>
        <v>1.4254845310416925E-3</v>
      </c>
      <c r="H2408" t="str">
        <f>IF(Comuni__2[[#This Row],[Popolazione2011]]&gt;300000,"MAGGIORE","")</f>
        <v/>
      </c>
      <c r="J2408">
        <v>2348</v>
      </c>
      <c r="K2408">
        <v>58201</v>
      </c>
      <c r="L2408">
        <v>16428</v>
      </c>
    </row>
    <row r="2409" spans="1:12" x14ac:dyDescent="0.2">
      <c r="A2409"/>
      <c r="B2409"/>
      <c r="C2409"/>
      <c r="D2409"/>
      <c r="E2409" s="2">
        <f>Comuni__2[[#This Row],[Popolazione2011]]/$D$7911</f>
        <v>3.5794174710946051E-5</v>
      </c>
      <c r="F2409">
        <f>SUMIFS($D$2:$D$7909, $B$2:$B$7909, "Liguria")</f>
        <v>1570694</v>
      </c>
      <c r="G2409" s="1">
        <f>Comuni__2[[#This Row],[Popolazione2011]]/Comuni__2[[#This Row],[POPOLAZIONE TOTALE DI OGNI REGIONE (CON FILTRO)]]</f>
        <v>1.35417847142728E-3</v>
      </c>
      <c r="H2409" t="str">
        <f>IF(Comuni__2[[#This Row],[Popolazione2011]]&gt;300000,"MAGGIORE","")</f>
        <v/>
      </c>
      <c r="J2409">
        <v>2210</v>
      </c>
      <c r="K2409">
        <v>59220</v>
      </c>
      <c r="L2409">
        <v>16449</v>
      </c>
    </row>
    <row r="2410" spans="1:12" x14ac:dyDescent="0.2">
      <c r="A2410"/>
      <c r="B2410"/>
      <c r="C2410"/>
      <c r="D2410"/>
      <c r="E2410" s="2">
        <f>Comuni__2[[#This Row],[Popolazione2011]]/$D$7911</f>
        <v>3.5743689274118203E-5</v>
      </c>
      <c r="F2410">
        <f>SUMIFS($D$2:$D$7909, $B$2:$B$7909, "Liguria")</f>
        <v>1570694</v>
      </c>
      <c r="G2410" s="1">
        <f>Comuni__2[[#This Row],[Popolazione2011]]/Comuni__2[[#This Row],[POPOLAZIONE TOTALE DI OGNI REGIONE (CON FILTRO)]]</f>
        <v>1.3522684876876082E-3</v>
      </c>
      <c r="H2410" t="str">
        <f>IF(Comuni__2[[#This Row],[Popolazione2011]]&gt;300000,"MAGGIORE","")</f>
        <v/>
      </c>
      <c r="J2410">
        <v>2112</v>
      </c>
      <c r="K2410">
        <v>59484</v>
      </c>
      <c r="L2410">
        <v>16457</v>
      </c>
    </row>
    <row r="2411" spans="1:12" x14ac:dyDescent="0.2">
      <c r="A2411"/>
      <c r="B2411"/>
      <c r="C2411"/>
      <c r="D2411"/>
      <c r="E2411" s="2">
        <f>Comuni__2[[#This Row],[Popolazione2011]]/$D$7911</f>
        <v>3.5390291216323251E-5</v>
      </c>
      <c r="F2411">
        <f>SUMIFS($D$2:$D$7909, $B$2:$B$7909, "Liguria")</f>
        <v>1570694</v>
      </c>
      <c r="G2411" s="1">
        <f>Comuni__2[[#This Row],[Popolazione2011]]/Comuni__2[[#This Row],[POPOLAZIONE TOTALE DI OGNI REGIONE (CON FILTRO)]]</f>
        <v>1.3388986015099057E-3</v>
      </c>
      <c r="H2411" t="str">
        <f>IF(Comuni__2[[#This Row],[Popolazione2011]]&gt;300000,"MAGGIORE","")</f>
        <v/>
      </c>
      <c r="J2411">
        <v>1971</v>
      </c>
      <c r="K2411">
        <v>60361</v>
      </c>
      <c r="L2411">
        <v>16466</v>
      </c>
    </row>
    <row r="2412" spans="1:12" x14ac:dyDescent="0.2">
      <c r="A2412"/>
      <c r="B2412"/>
      <c r="C2412"/>
      <c r="D2412"/>
      <c r="E2412" s="2">
        <f>Comuni__2[[#This Row],[Popolazione2011]]/$D$7911</f>
        <v>3.4700323579675956E-5</v>
      </c>
      <c r="F2412">
        <f>SUMIFS($D$2:$D$7909, $B$2:$B$7909, "Liguria")</f>
        <v>1570694</v>
      </c>
      <c r="G2412" s="1">
        <f>Comuni__2[[#This Row],[Popolazione2011]]/Comuni__2[[#This Row],[POPOLAZIONE TOTALE DI OGNI REGIONE (CON FILTRO)]]</f>
        <v>1.3127954904010584E-3</v>
      </c>
      <c r="H2412" t="str">
        <f>IF(Comuni__2[[#This Row],[Popolazione2011]]&gt;300000,"MAGGIORE","")</f>
        <v/>
      </c>
      <c r="J2412">
        <v>1855</v>
      </c>
      <c r="K2412">
        <v>60850</v>
      </c>
      <c r="L2412">
        <v>16480</v>
      </c>
    </row>
    <row r="2413" spans="1:12" x14ac:dyDescent="0.2">
      <c r="A2413"/>
      <c r="B2413"/>
      <c r="C2413"/>
      <c r="D2413"/>
      <c r="E2413" s="2">
        <f>Comuni__2[[#This Row],[Popolazione2011]]/$D$7911</f>
        <v>3.3707443322061564E-5</v>
      </c>
      <c r="F2413">
        <f>SUMIFS($D$2:$D$7909, $B$2:$B$7909, "Liguria")</f>
        <v>1570694</v>
      </c>
      <c r="G2413" s="1">
        <f>Comuni__2[[#This Row],[Popolazione2011]]/Comuni__2[[#This Row],[POPOLAZIONE TOTALE DI OGNI REGIONE (CON FILTRO)]]</f>
        <v>1.2752324768541803E-3</v>
      </c>
      <c r="H2413" t="str">
        <f>IF(Comuni__2[[#This Row],[Popolazione2011]]&gt;300000,"MAGGIORE","")</f>
        <v/>
      </c>
      <c r="J2413">
        <v>1733</v>
      </c>
      <c r="K2413">
        <v>61355</v>
      </c>
      <c r="L2413">
        <v>16516</v>
      </c>
    </row>
    <row r="2414" spans="1:12" x14ac:dyDescent="0.2">
      <c r="A2414"/>
      <c r="B2414"/>
      <c r="C2414"/>
      <c r="D2414"/>
      <c r="E2414" s="2">
        <f>Comuni__2[[#This Row],[Popolazione2011]]/$D$7911</f>
        <v>3.348867309580754E-5</v>
      </c>
      <c r="F2414">
        <f>SUMIFS($D$2:$D$7909, $B$2:$B$7909, "Liguria")</f>
        <v>1570694</v>
      </c>
      <c r="G2414" s="1">
        <f>Comuni__2[[#This Row],[Popolazione2011]]/Comuni__2[[#This Row],[POPOLAZIONE TOTALE DI OGNI REGIONE (CON FILTRO)]]</f>
        <v>1.2669558806489361E-3</v>
      </c>
      <c r="H2414" t="str">
        <f>IF(Comuni__2[[#This Row],[Popolazione2011]]&gt;300000,"MAGGIORE","")</f>
        <v/>
      </c>
      <c r="J2414">
        <v>1597</v>
      </c>
      <c r="K2414">
        <v>62096</v>
      </c>
      <c r="L2414">
        <v>16534</v>
      </c>
    </row>
    <row r="2415" spans="1:12" x14ac:dyDescent="0.2">
      <c r="A2415"/>
      <c r="B2415"/>
      <c r="C2415"/>
      <c r="D2415"/>
      <c r="E2415" s="2">
        <f>Comuni__2[[#This Row],[Popolazione2011]]/$D$7911</f>
        <v>3.3051132643299508E-5</v>
      </c>
      <c r="F2415">
        <f>SUMIFS($D$2:$D$7909, $B$2:$B$7909, "Liguria")</f>
        <v>1570694</v>
      </c>
      <c r="G2415" s="1">
        <f>Comuni__2[[#This Row],[Popolazione2011]]/Comuni__2[[#This Row],[POPOLAZIONE TOTALE DI OGNI REGIONE (CON FILTRO)]]</f>
        <v>1.2504026882384474E-3</v>
      </c>
      <c r="H2415" t="str">
        <f>IF(Comuni__2[[#This Row],[Popolazione2011]]&gt;300000,"MAGGIORE","")</f>
        <v/>
      </c>
      <c r="J2415">
        <v>1455</v>
      </c>
      <c r="K2415">
        <v>62372</v>
      </c>
      <c r="L2415">
        <v>16557</v>
      </c>
    </row>
    <row r="2416" spans="1:12" x14ac:dyDescent="0.2">
      <c r="A2416"/>
      <c r="B2416"/>
      <c r="C2416"/>
      <c r="D2416"/>
      <c r="E2416" s="2">
        <f>Comuni__2[[#This Row],[Popolazione2011]]/$D$7911</f>
        <v>3.2428478922422684E-5</v>
      </c>
      <c r="F2416">
        <f>SUMIFS($D$2:$D$7909, $B$2:$B$7909, "Liguria")</f>
        <v>1570694</v>
      </c>
      <c r="G2416" s="1">
        <f>Comuni__2[[#This Row],[Popolazione2011]]/Comuni__2[[#This Row],[POPOLAZIONE TOTALE DI OGNI REGIONE (CON FILTRO)]]</f>
        <v>1.226846222115829E-3</v>
      </c>
      <c r="H2416" t="str">
        <f>IF(Comuni__2[[#This Row],[Popolazione2011]]&gt;300000,"MAGGIORE","")</f>
        <v/>
      </c>
      <c r="J2416">
        <v>1313</v>
      </c>
      <c r="K2416">
        <v>62555</v>
      </c>
      <c r="L2416">
        <v>16570</v>
      </c>
    </row>
    <row r="2417" spans="1:12" x14ac:dyDescent="0.2">
      <c r="A2417"/>
      <c r="B2417"/>
      <c r="C2417"/>
      <c r="D2417"/>
      <c r="E2417" s="2">
        <f>Comuni__2[[#This Row],[Popolazione2011]]/$D$7911</f>
        <v>3.1671197370004924E-5</v>
      </c>
      <c r="F2417">
        <f>SUMIFS($D$2:$D$7909, $B$2:$B$7909, "Liguria")</f>
        <v>1570694</v>
      </c>
      <c r="G2417" s="1">
        <f>Comuni__2[[#This Row],[Popolazione2011]]/Comuni__2[[#This Row],[POPOLAZIONE TOTALE DI OGNI REGIONE (CON FILTRO)]]</f>
        <v>1.1981964660207527E-3</v>
      </c>
      <c r="H2417" t="str">
        <f>IF(Comuni__2[[#This Row],[Popolazione2011]]&gt;300000,"MAGGIORE","")</f>
        <v/>
      </c>
      <c r="J2417">
        <v>1098</v>
      </c>
      <c r="K2417">
        <v>62900</v>
      </c>
      <c r="L2417">
        <v>16573</v>
      </c>
    </row>
    <row r="2418" spans="1:12" x14ac:dyDescent="0.2">
      <c r="A2418"/>
      <c r="B2418"/>
      <c r="C2418"/>
      <c r="D2418"/>
      <c r="E2418" s="2">
        <f>Comuni__2[[#This Row],[Popolazione2011]]/$D$7911</f>
        <v>3.0291262096710341E-5</v>
      </c>
      <c r="F2418">
        <f>SUMIFS($D$2:$D$7909, $B$2:$B$7909, "Liguria")</f>
        <v>1570694</v>
      </c>
      <c r="G2418" s="1">
        <f>Comuni__2[[#This Row],[Popolazione2011]]/Comuni__2[[#This Row],[POPOLAZIONE TOTALE DI OGNI REGIONE (CON FILTRO)]]</f>
        <v>1.1459902438030578E-3</v>
      </c>
      <c r="H2418" t="str">
        <f>IF(Comuni__2[[#This Row],[Popolazione2011]]&gt;300000,"MAGGIORE","")</f>
        <v/>
      </c>
      <c r="J2418">
        <v>961</v>
      </c>
      <c r="K2418">
        <v>63691</v>
      </c>
      <c r="L2418">
        <v>16579</v>
      </c>
    </row>
    <row r="2419" spans="1:12" x14ac:dyDescent="0.2">
      <c r="A2419"/>
      <c r="B2419"/>
      <c r="C2419"/>
      <c r="D2419"/>
      <c r="E2419" s="2">
        <f>Comuni__2[[#This Row],[Popolazione2011]]/$D$7911</f>
        <v>2.832233006042417E-5</v>
      </c>
      <c r="F2419">
        <f>SUMIFS($D$2:$D$7909, $B$2:$B$7909, "Liguria")</f>
        <v>1570694</v>
      </c>
      <c r="G2419" s="1">
        <f>Comuni__2[[#This Row],[Popolazione2011]]/Comuni__2[[#This Row],[POPOLAZIONE TOTALE DI OGNI REGIONE (CON FILTRO)]]</f>
        <v>1.071500877955859E-3</v>
      </c>
      <c r="H2419" t="str">
        <f>IF(Comuni__2[[#This Row],[Popolazione2011]]&gt;300000,"MAGGIORE","")</f>
        <v/>
      </c>
      <c r="J2419">
        <v>740</v>
      </c>
      <c r="K2419">
        <v>64448</v>
      </c>
      <c r="L2419">
        <v>16586</v>
      </c>
    </row>
    <row r="2420" spans="1:12" x14ac:dyDescent="0.2">
      <c r="A2420"/>
      <c r="B2420"/>
      <c r="C2420"/>
      <c r="D2420"/>
      <c r="E2420" s="2">
        <f>Comuni__2[[#This Row],[Popolazione2011]]/$D$7911</f>
        <v>2.8086731355227534E-5</v>
      </c>
      <c r="F2420">
        <f>SUMIFS($D$2:$D$7909, $B$2:$B$7909, "Liguria")</f>
        <v>1570694</v>
      </c>
      <c r="G2420" s="1">
        <f>Comuni__2[[#This Row],[Popolazione2011]]/Comuni__2[[#This Row],[POPOLAZIONE TOTALE DI OGNI REGIONE (CON FILTRO)]]</f>
        <v>1.0625876205040575E-3</v>
      </c>
      <c r="H2420" t="str">
        <f>IF(Comuni__2[[#This Row],[Popolazione2011]]&gt;300000,"MAGGIORE","")</f>
        <v/>
      </c>
      <c r="J2420">
        <v>670</v>
      </c>
      <c r="K2420">
        <v>64831</v>
      </c>
      <c r="L2420">
        <v>16608</v>
      </c>
    </row>
    <row r="2421" spans="1:12" x14ac:dyDescent="0.2">
      <c r="A2421"/>
      <c r="B2421"/>
      <c r="C2421"/>
      <c r="D2421"/>
      <c r="E2421" s="2">
        <f>Comuni__2[[#This Row],[Popolazione2011]]/$D$7911</f>
        <v>2.7632362423776878E-5</v>
      </c>
      <c r="F2421">
        <f>SUMIFS($D$2:$D$7909, $B$2:$B$7909, "Liguria")</f>
        <v>1570694</v>
      </c>
      <c r="G2421" s="1">
        <f>Comuni__2[[#This Row],[Popolazione2011]]/Comuni__2[[#This Row],[POPOLAZIONE TOTALE DI OGNI REGIONE (CON FILTRO)]]</f>
        <v>1.0453977668470117E-3</v>
      </c>
      <c r="H2421" t="str">
        <f>IF(Comuni__2[[#This Row],[Popolazione2011]]&gt;300000,"MAGGIORE","")</f>
        <v/>
      </c>
      <c r="J2421">
        <v>548</v>
      </c>
      <c r="K2421">
        <v>65323</v>
      </c>
      <c r="L2421">
        <v>16624</v>
      </c>
    </row>
    <row r="2422" spans="1:12" x14ac:dyDescent="0.2">
      <c r="A2422"/>
      <c r="B2422"/>
      <c r="C2422"/>
      <c r="D2422"/>
      <c r="E2422" s="2">
        <f>Comuni__2[[#This Row],[Popolazione2011]]/$D$7911</f>
        <v>2.7329449802809774E-5</v>
      </c>
      <c r="F2422">
        <f>SUMIFS($D$2:$D$7909, $B$2:$B$7909, "Liguria")</f>
        <v>1570694</v>
      </c>
      <c r="G2422" s="1">
        <f>Comuni__2[[#This Row],[Popolazione2011]]/Comuni__2[[#This Row],[POPOLAZIONE TOTALE DI OGNI REGIONE (CON FILTRO)]]</f>
        <v>1.033937864408981E-3</v>
      </c>
      <c r="H2422" t="str">
        <f>IF(Comuni__2[[#This Row],[Popolazione2011]]&gt;300000,"MAGGIORE","")</f>
        <v/>
      </c>
      <c r="J2422">
        <v>458</v>
      </c>
      <c r="K2422">
        <v>66046</v>
      </c>
      <c r="L2422">
        <v>16626</v>
      </c>
    </row>
    <row r="2423" spans="1:12" x14ac:dyDescent="0.2">
      <c r="A2423"/>
      <c r="B2423"/>
      <c r="C2423"/>
      <c r="D2423"/>
      <c r="E2423" s="2">
        <f>Comuni__2[[#This Row],[Popolazione2011]]/$D$7911</f>
        <v>2.6824595434531267E-5</v>
      </c>
      <c r="F2423">
        <f>SUMIFS($D$2:$D$7909, $B$2:$B$7909, "Liguria")</f>
        <v>1570694</v>
      </c>
      <c r="G2423" s="1">
        <f>Comuni__2[[#This Row],[Popolazione2011]]/Comuni__2[[#This Row],[POPOLAZIONE TOTALE DI OGNI REGIONE (CON FILTRO)]]</f>
        <v>1.0148380270122634E-3</v>
      </c>
      <c r="H2423" t="str">
        <f>IF(Comuni__2[[#This Row],[Popolazione2011]]&gt;300000,"MAGGIORE","")</f>
        <v/>
      </c>
      <c r="J2423">
        <v>366</v>
      </c>
      <c r="K2423">
        <v>66175</v>
      </c>
      <c r="L2423">
        <v>16639</v>
      </c>
    </row>
    <row r="2424" spans="1:12" x14ac:dyDescent="0.2">
      <c r="A2424"/>
      <c r="B2424"/>
      <c r="C2424"/>
      <c r="D2424"/>
      <c r="E2424" s="2">
        <f>Comuni__2[[#This Row],[Popolazione2011]]/$D$7911</f>
        <v>2.6639482166162482E-5</v>
      </c>
      <c r="F2424">
        <f>SUMIFS($D$2:$D$7909, $B$2:$B$7909, "Liguria")</f>
        <v>1570694</v>
      </c>
      <c r="G2424" s="1">
        <f>Comuni__2[[#This Row],[Popolazione2011]]/Comuni__2[[#This Row],[POPOLAZIONE TOTALE DI OGNI REGIONE (CON FILTRO)]]</f>
        <v>1.0078347533001336E-3</v>
      </c>
      <c r="H2424" t="str">
        <f>IF(Comuni__2[[#This Row],[Popolazione2011]]&gt;300000,"MAGGIORE","")</f>
        <v/>
      </c>
      <c r="J2424">
        <v>364</v>
      </c>
      <c r="K2424">
        <v>66376</v>
      </c>
      <c r="L2424">
        <v>16640</v>
      </c>
    </row>
    <row r="2425" spans="1:12" x14ac:dyDescent="0.2">
      <c r="A2425"/>
      <c r="B2425"/>
      <c r="C2425"/>
      <c r="D2425"/>
      <c r="E2425" s="2">
        <f>Comuni__2[[#This Row],[Popolazione2011]]/$D$7911</f>
        <v>2.6084142361056127E-5</v>
      </c>
      <c r="F2425">
        <f>SUMIFS($D$2:$D$7909, $B$2:$B$7909, "Liguria")</f>
        <v>1570694</v>
      </c>
      <c r="G2425" s="1">
        <f>Comuni__2[[#This Row],[Popolazione2011]]/Comuni__2[[#This Row],[POPOLAZIONE TOTALE DI OGNI REGIONE (CON FILTRO)]]</f>
        <v>9.8682493216374428E-4</v>
      </c>
      <c r="H2425" t="str">
        <f>IF(Comuni__2[[#This Row],[Popolazione2011]]&gt;300000,"MAGGIORE","")</f>
        <v/>
      </c>
      <c r="J2425">
        <v>339</v>
      </c>
      <c r="K2425">
        <v>67197</v>
      </c>
      <c r="L2425">
        <v>16644</v>
      </c>
    </row>
    <row r="2426" spans="1:12" x14ac:dyDescent="0.2">
      <c r="A2426"/>
      <c r="B2426"/>
      <c r="C2426"/>
      <c r="D2426"/>
      <c r="E2426" s="2">
        <f>Comuni__2[[#This Row],[Popolazione2011]]/$D$7911</f>
        <v>2.5831715176916875E-5</v>
      </c>
      <c r="F2426">
        <f>SUMIFS($D$2:$D$7909, $B$2:$B$7909, "Liguria")</f>
        <v>1570694</v>
      </c>
      <c r="G2426" s="1">
        <f>Comuni__2[[#This Row],[Popolazione2011]]/Comuni__2[[#This Row],[POPOLAZIONE TOTALE DI OGNI REGIONE (CON FILTRO)]]</f>
        <v>9.7727501346538538E-4</v>
      </c>
      <c r="H2426" t="str">
        <f>IF(Comuni__2[[#This Row],[Popolazione2011]]&gt;300000,"MAGGIORE","")</f>
        <v/>
      </c>
      <c r="J2426">
        <v>318</v>
      </c>
      <c r="K2426">
        <v>67422</v>
      </c>
      <c r="L2426">
        <v>16650</v>
      </c>
    </row>
    <row r="2427" spans="1:12" x14ac:dyDescent="0.2">
      <c r="A2427"/>
      <c r="B2427"/>
      <c r="C2427"/>
      <c r="D2427"/>
      <c r="E2427" s="2">
        <f>Comuni__2[[#This Row],[Popolazione2011]]/$D$7911</f>
        <v>2.4922977314015563E-5</v>
      </c>
      <c r="F2427">
        <f>SUMIFS($D$2:$D$7909, $B$2:$B$7909, "Liguria")</f>
        <v>1570694</v>
      </c>
      <c r="G2427" s="1">
        <f>Comuni__2[[#This Row],[Popolazione2011]]/Comuni__2[[#This Row],[POPOLAZIONE TOTALE DI OGNI REGIONE (CON FILTRO)]]</f>
        <v>9.4289530615129368E-4</v>
      </c>
      <c r="H2427" t="str">
        <f>IF(Comuni__2[[#This Row],[Popolazione2011]]&gt;300000,"MAGGIORE","")</f>
        <v/>
      </c>
      <c r="J2427">
        <v>282</v>
      </c>
      <c r="K2427">
        <v>67610</v>
      </c>
      <c r="L2427">
        <v>16671</v>
      </c>
    </row>
    <row r="2428" spans="1:12" x14ac:dyDescent="0.2">
      <c r="A2428"/>
      <c r="B2428"/>
      <c r="C2428"/>
      <c r="D2428"/>
      <c r="E2428" s="2">
        <f>Comuni__2[[#This Row],[Popolazione2011]]/$D$7911</f>
        <v>2.4434951424679675E-5</v>
      </c>
      <c r="F2428">
        <f>SUMIFS($D$2:$D$7909, $B$2:$B$7909, "Liguria")</f>
        <v>1570694</v>
      </c>
      <c r="G2428" s="1">
        <f>Comuni__2[[#This Row],[Popolazione2011]]/Comuni__2[[#This Row],[POPOLAZIONE TOTALE DI OGNI REGIONE (CON FILTRO)]]</f>
        <v>9.2443213000113322E-4</v>
      </c>
      <c r="H2428" t="str">
        <f>IF(Comuni__2[[#This Row],[Popolazione2011]]&gt;300000,"MAGGIORE","")</f>
        <v/>
      </c>
      <c r="J2428">
        <v>282</v>
      </c>
      <c r="K2428">
        <v>67871</v>
      </c>
      <c r="L2428">
        <v>16675</v>
      </c>
    </row>
    <row r="2429" spans="1:12" x14ac:dyDescent="0.2">
      <c r="A2429"/>
      <c r="B2429"/>
      <c r="C2429"/>
      <c r="D2429"/>
      <c r="E2429" s="2">
        <f>Comuni__2[[#This Row],[Popolazione2011]]/$D$7911</f>
        <v>2.4418122945737059E-5</v>
      </c>
      <c r="F2429">
        <f>SUMIFS($D$2:$D$7909, $B$2:$B$7909, "Liguria")</f>
        <v>1570694</v>
      </c>
      <c r="G2429" s="1">
        <f>Comuni__2[[#This Row],[Popolazione2011]]/Comuni__2[[#This Row],[POPOLAZIONE TOTALE DI OGNI REGIONE (CON FILTRO)]]</f>
        <v>9.23795468754576E-4</v>
      </c>
      <c r="H2429" t="str">
        <f>IF(Comuni__2[[#This Row],[Popolazione2011]]&gt;300000,"MAGGIORE","")</f>
        <v/>
      </c>
      <c r="J2429">
        <v>267</v>
      </c>
      <c r="K2429">
        <v>68201</v>
      </c>
      <c r="L2429">
        <v>16691</v>
      </c>
    </row>
    <row r="2430" spans="1:12" x14ac:dyDescent="0.2">
      <c r="A2430"/>
      <c r="B2430"/>
      <c r="C2430"/>
      <c r="D2430"/>
      <c r="E2430" s="2">
        <f>Comuni__2[[#This Row],[Popolazione2011]]/$D$7911</f>
        <v>2.4199352719483039E-5</v>
      </c>
      <c r="F2430">
        <f>SUMIFS($D$2:$D$7909, $B$2:$B$7909, "Liguria")</f>
        <v>1570694</v>
      </c>
      <c r="G2430" s="1">
        <f>Comuni__2[[#This Row],[Popolazione2011]]/Comuni__2[[#This Row],[POPOLAZIONE TOTALE DI OGNI REGIONE (CON FILTRO)]]</f>
        <v>9.1551887254933165E-4</v>
      </c>
      <c r="H2430" t="str">
        <f>IF(Comuni__2[[#This Row],[Popolazione2011]]&gt;300000,"MAGGIORE","")</f>
        <v/>
      </c>
      <c r="J2430">
        <v>266</v>
      </c>
      <c r="K2430">
        <v>68274</v>
      </c>
      <c r="L2430">
        <v>16697</v>
      </c>
    </row>
    <row r="2431" spans="1:12" x14ac:dyDescent="0.2">
      <c r="A2431"/>
      <c r="B2431"/>
      <c r="C2431"/>
      <c r="D2431"/>
      <c r="E2431" s="2">
        <f>Comuni__2[[#This Row],[Popolazione2011]]/$D$7911</f>
        <v>2.3559870519663599E-5</v>
      </c>
      <c r="F2431">
        <f>SUMIFS($D$2:$D$7909, $B$2:$B$7909, "Liguria")</f>
        <v>1570694</v>
      </c>
      <c r="G2431" s="1">
        <f>Comuni__2[[#This Row],[Popolazione2011]]/Comuni__2[[#This Row],[POPOLAZIONE TOTALE DI OGNI REGIONE (CON FILTRO)]]</f>
        <v>8.9132574518015607E-4</v>
      </c>
      <c r="H2431" t="str">
        <f>IF(Comuni__2[[#This Row],[Popolazione2011]]&gt;300000,"MAGGIORE","")</f>
        <v/>
      </c>
      <c r="J2431">
        <v>269</v>
      </c>
      <c r="K2431">
        <v>68335</v>
      </c>
      <c r="L2431">
        <v>16700</v>
      </c>
    </row>
    <row r="2432" spans="1:12" x14ac:dyDescent="0.2">
      <c r="A2432"/>
      <c r="B2432"/>
      <c r="C2432"/>
      <c r="D2432"/>
      <c r="E2432" s="2">
        <f>Comuni__2[[#This Row],[Popolazione2011]]/$D$7911</f>
        <v>2.3105501588212944E-5</v>
      </c>
      <c r="F2432">
        <f>SUMIFS($D$2:$D$7909, $B$2:$B$7909, "Liguria")</f>
        <v>1570694</v>
      </c>
      <c r="G2432" s="1">
        <f>Comuni__2[[#This Row],[Popolazione2011]]/Comuni__2[[#This Row],[POPOLAZIONE TOTALE DI OGNI REGIONE (CON FILTRO)]]</f>
        <v>8.7413589152311017E-4</v>
      </c>
      <c r="H2432" t="str">
        <f>IF(Comuni__2[[#This Row],[Popolazione2011]]&gt;300000,"MAGGIORE","")</f>
        <v/>
      </c>
      <c r="J2432">
        <v>265</v>
      </c>
      <c r="K2432">
        <v>68793</v>
      </c>
      <c r="L2432">
        <v>16713</v>
      </c>
    </row>
    <row r="2433" spans="1:12" x14ac:dyDescent="0.2">
      <c r="A2433"/>
      <c r="B2433"/>
      <c r="C2433"/>
      <c r="D2433"/>
      <c r="E2433" s="2">
        <f>Comuni__2[[#This Row],[Popolazione2011]]/$D$7911</f>
        <v>2.2415533951565652E-5</v>
      </c>
      <c r="F2433">
        <f>SUMIFS($D$2:$D$7909, $B$2:$B$7909, "Liguria")</f>
        <v>1570694</v>
      </c>
      <c r="G2433" s="1">
        <f>Comuni__2[[#This Row],[Popolazione2011]]/Comuni__2[[#This Row],[POPOLAZIONE TOTALE DI OGNI REGIONE (CON FILTRO)]]</f>
        <v>8.480327804142627E-4</v>
      </c>
      <c r="H2433" t="str">
        <f>IF(Comuni__2[[#This Row],[Popolazione2011]]&gt;300000,"MAGGIORE","")</f>
        <v/>
      </c>
      <c r="J2433">
        <v>245</v>
      </c>
      <c r="K2433">
        <v>69466</v>
      </c>
      <c r="L2433">
        <v>16725</v>
      </c>
    </row>
    <row r="2434" spans="1:12" x14ac:dyDescent="0.2">
      <c r="A2434"/>
      <c r="B2434"/>
      <c r="C2434"/>
      <c r="D2434"/>
      <c r="E2434" s="2">
        <f>Comuni__2[[#This Row],[Popolazione2011]]/$D$7911</f>
        <v>2.150679608866434E-5</v>
      </c>
      <c r="F2434">
        <f>SUMIFS($D$2:$D$7909, $B$2:$B$7909, "Liguria")</f>
        <v>1570694</v>
      </c>
      <c r="G2434" s="1">
        <f>Comuni__2[[#This Row],[Popolazione2011]]/Comuni__2[[#This Row],[POPOLAZIONE TOTALE DI OGNI REGIONE (CON FILTRO)]]</f>
        <v>8.13653073100171E-4</v>
      </c>
      <c r="H2434" t="str">
        <f>IF(Comuni__2[[#This Row],[Popolazione2011]]&gt;300000,"MAGGIORE","")</f>
        <v/>
      </c>
      <c r="J2434">
        <v>232</v>
      </c>
      <c r="K2434">
        <v>69683</v>
      </c>
      <c r="L2434">
        <v>16730</v>
      </c>
    </row>
    <row r="2435" spans="1:12" x14ac:dyDescent="0.2">
      <c r="A2435"/>
      <c r="B2435"/>
      <c r="C2435"/>
      <c r="D2435"/>
      <c r="E2435" s="2">
        <f>Comuni__2[[#This Row],[Popolazione2011]]/$D$7911</f>
        <v>2.1388996736066024E-5</v>
      </c>
      <c r="F2435">
        <f>SUMIFS($D$2:$D$7909, $B$2:$B$7909, "Liguria")</f>
        <v>1570694</v>
      </c>
      <c r="G2435" s="1">
        <f>Comuni__2[[#This Row],[Popolazione2011]]/Comuni__2[[#This Row],[POPOLAZIONE TOTALE DI OGNI REGIONE (CON FILTRO)]]</f>
        <v>8.0919644437427022E-4</v>
      </c>
      <c r="H2435" t="str">
        <f>IF(Comuni__2[[#This Row],[Popolazione2011]]&gt;300000,"MAGGIORE","")</f>
        <v/>
      </c>
      <c r="J2435">
        <v>217</v>
      </c>
      <c r="K2435">
        <v>69828</v>
      </c>
      <c r="L2435">
        <v>16736</v>
      </c>
    </row>
    <row r="2436" spans="1:12" x14ac:dyDescent="0.2">
      <c r="A2436"/>
      <c r="B2436"/>
      <c r="C2436"/>
      <c r="D2436"/>
      <c r="E2436" s="2">
        <f>Comuni__2[[#This Row],[Popolazione2011]]/$D$7911</f>
        <v>2.130485434135294E-5</v>
      </c>
      <c r="F2436">
        <f>SUMIFS($D$2:$D$7909, $B$2:$B$7909, "Liguria")</f>
        <v>1570694</v>
      </c>
      <c r="G2436" s="1">
        <f>Comuni__2[[#This Row],[Popolazione2011]]/Comuni__2[[#This Row],[POPOLAZIONE TOTALE DI OGNI REGIONE (CON FILTRO)]]</f>
        <v>8.0601313814148399E-4</v>
      </c>
      <c r="H2436" t="str">
        <f>IF(Comuni__2[[#This Row],[Popolazione2011]]&gt;300000,"MAGGIORE","")</f>
        <v/>
      </c>
      <c r="J2436">
        <v>202</v>
      </c>
      <c r="K2436">
        <v>70020</v>
      </c>
      <c r="L2436">
        <v>16740</v>
      </c>
    </row>
    <row r="2437" spans="1:12" x14ac:dyDescent="0.2">
      <c r="A2437"/>
      <c r="B2437"/>
      <c r="C2437"/>
      <c r="D2437"/>
      <c r="E2437" s="2">
        <f>Comuni__2[[#This Row],[Popolazione2011]]/$D$7911</f>
        <v>2.108608411509892E-5</v>
      </c>
      <c r="F2437">
        <f>SUMIFS($D$2:$D$7909, $B$2:$B$7909, "Liguria")</f>
        <v>1570694</v>
      </c>
      <c r="G2437" s="1">
        <f>Comuni__2[[#This Row],[Popolazione2011]]/Comuni__2[[#This Row],[POPOLAZIONE TOTALE DI OGNI REGIONE (CON FILTRO)]]</f>
        <v>7.9773654193623965E-4</v>
      </c>
      <c r="H2437" t="str">
        <f>IF(Comuni__2[[#This Row],[Popolazione2011]]&gt;300000,"MAGGIORE","")</f>
        <v/>
      </c>
      <c r="J2437">
        <v>191</v>
      </c>
      <c r="K2437">
        <v>70297</v>
      </c>
      <c r="L2437">
        <v>16748</v>
      </c>
    </row>
    <row r="2438" spans="1:12" x14ac:dyDescent="0.2">
      <c r="A2438"/>
      <c r="B2438"/>
      <c r="C2438"/>
      <c r="D2438"/>
      <c r="E2438" s="2">
        <f>Comuni__2[[#This Row],[Popolazione2011]]/$D$7911</f>
        <v>2.0749514536246584E-5</v>
      </c>
      <c r="F2438">
        <f>SUMIFS($D$2:$D$7909, $B$2:$B$7909, "Liguria")</f>
        <v>1570694</v>
      </c>
      <c r="G2438" s="1">
        <f>Comuni__2[[#This Row],[Popolazione2011]]/Comuni__2[[#This Row],[POPOLAZIONE TOTALE DI OGNI REGIONE (CON FILTRO)]]</f>
        <v>7.8500331700509453E-4</v>
      </c>
      <c r="H2438" t="str">
        <f>IF(Comuni__2[[#This Row],[Popolazione2011]]&gt;300000,"MAGGIORE","")</f>
        <v/>
      </c>
      <c r="J2438">
        <v>198</v>
      </c>
      <c r="K2438">
        <v>70375</v>
      </c>
      <c r="L2438">
        <v>16757</v>
      </c>
    </row>
    <row r="2439" spans="1:12" x14ac:dyDescent="0.2">
      <c r="A2439"/>
      <c r="B2439"/>
      <c r="C2439"/>
      <c r="D2439"/>
      <c r="E2439" s="2">
        <f>Comuni__2[[#This Row],[Popolazione2011]]/$D$7911</f>
        <v>2.0480258873164713E-5</v>
      </c>
      <c r="F2439">
        <f>SUMIFS($D$2:$D$7909, $B$2:$B$7909, "Liguria")</f>
        <v>1570694</v>
      </c>
      <c r="G2439" s="1">
        <f>Comuni__2[[#This Row],[Popolazione2011]]/Comuni__2[[#This Row],[POPOLAZIONE TOTALE DI OGNI REGIONE (CON FILTRO)]]</f>
        <v>7.7481673706017852E-4</v>
      </c>
      <c r="H2439" t="str">
        <f>IF(Comuni__2[[#This Row],[Popolazione2011]]&gt;300000,"MAGGIORE","")</f>
        <v/>
      </c>
      <c r="J2439">
        <v>203</v>
      </c>
      <c r="K2439">
        <v>70461</v>
      </c>
      <c r="L2439">
        <v>16760</v>
      </c>
    </row>
    <row r="2440" spans="1:12" x14ac:dyDescent="0.2">
      <c r="A2440"/>
      <c r="B2440"/>
      <c r="C2440"/>
      <c r="D2440"/>
      <c r="E2440" s="2">
        <f>Comuni__2[[#This Row],[Popolazione2011]]/$D$7911</f>
        <v>2.0429773436336864E-5</v>
      </c>
      <c r="F2440">
        <f>SUMIFS($D$2:$D$7909, $B$2:$B$7909, "Liguria")</f>
        <v>1570694</v>
      </c>
      <c r="G2440" s="1">
        <f>Comuni__2[[#This Row],[Popolazione2011]]/Comuni__2[[#This Row],[POPOLAZIONE TOTALE DI OGNI REGIONE (CON FILTRO)]]</f>
        <v>7.7290675332050674E-4</v>
      </c>
      <c r="H2440" t="str">
        <f>IF(Comuni__2[[#This Row],[Popolazione2011]]&gt;300000,"MAGGIORE","")</f>
        <v/>
      </c>
      <c r="J2440">
        <v>200</v>
      </c>
      <c r="K2440">
        <v>70936</v>
      </c>
      <c r="L2440">
        <v>16765</v>
      </c>
    </row>
    <row r="2441" spans="1:12" x14ac:dyDescent="0.2">
      <c r="A2441"/>
      <c r="B2441"/>
      <c r="C2441"/>
      <c r="D2441"/>
      <c r="E2441" s="2">
        <f>Comuni__2[[#This Row],[Popolazione2011]]/$D$7911</f>
        <v>2.0194174731140228E-5</v>
      </c>
      <c r="F2441">
        <f>SUMIFS($D$2:$D$7909, $B$2:$B$7909, "Liguria")</f>
        <v>1570694</v>
      </c>
      <c r="G2441" s="1">
        <f>Comuni__2[[#This Row],[Popolazione2011]]/Comuni__2[[#This Row],[POPOLAZIONE TOTALE DI OGNI REGIONE (CON FILTRO)]]</f>
        <v>7.6399349586870518E-4</v>
      </c>
      <c r="H2441" t="str">
        <f>IF(Comuni__2[[#This Row],[Popolazione2011]]&gt;300000,"MAGGIORE","")</f>
        <v/>
      </c>
      <c r="J2441">
        <v>187</v>
      </c>
      <c r="K2441">
        <v>71032</v>
      </c>
      <c r="L2441">
        <v>16775</v>
      </c>
    </row>
    <row r="2442" spans="1:12" x14ac:dyDescent="0.2">
      <c r="A2442"/>
      <c r="B2442"/>
      <c r="C2442"/>
      <c r="D2442"/>
      <c r="E2442" s="2">
        <f>Comuni__2[[#This Row],[Popolazione2011]]/$D$7911</f>
        <v>2.0025889941714057E-5</v>
      </c>
      <c r="F2442">
        <f>SUMIFS($D$2:$D$7909, $B$2:$B$7909, "Liguria")</f>
        <v>1570694</v>
      </c>
      <c r="G2442" s="1">
        <f>Comuni__2[[#This Row],[Popolazione2011]]/Comuni__2[[#This Row],[POPOLAZIONE TOTALE DI OGNI REGIONE (CON FILTRO)]]</f>
        <v>7.5762688340313261E-4</v>
      </c>
      <c r="H2442" t="str">
        <f>IF(Comuni__2[[#This Row],[Popolazione2011]]&gt;300000,"MAGGIORE","")</f>
        <v/>
      </c>
      <c r="J2442">
        <v>181</v>
      </c>
      <c r="K2442">
        <v>71172</v>
      </c>
      <c r="L2442">
        <v>16778</v>
      </c>
    </row>
    <row r="2443" spans="1:12" x14ac:dyDescent="0.2">
      <c r="A2443"/>
      <c r="B2443"/>
      <c r="C2443"/>
      <c r="D2443"/>
      <c r="E2443" s="2">
        <f>Comuni__2[[#This Row],[Popolazione2011]]/$D$7911</f>
        <v>1.9285436868238917E-5</v>
      </c>
      <c r="F2443">
        <f>SUMIFS($D$2:$D$7909, $B$2:$B$7909, "Liguria")</f>
        <v>1570694</v>
      </c>
      <c r="G2443" s="1">
        <f>Comuni__2[[#This Row],[Popolazione2011]]/Comuni__2[[#This Row],[POPOLAZIONE TOTALE DI OGNI REGIONE (CON FILTRO)]]</f>
        <v>7.2961378855461348E-4</v>
      </c>
      <c r="H2443" t="str">
        <f>IF(Comuni__2[[#This Row],[Popolazione2011]]&gt;300000,"MAGGIORE","")</f>
        <v/>
      </c>
      <c r="J2443">
        <v>171</v>
      </c>
      <c r="K2443">
        <v>71416</v>
      </c>
      <c r="L2443">
        <v>16788</v>
      </c>
    </row>
    <row r="2444" spans="1:12" x14ac:dyDescent="0.2">
      <c r="A2444"/>
      <c r="B2444"/>
      <c r="C2444"/>
      <c r="D2444"/>
      <c r="E2444" s="2">
        <f>Comuni__2[[#This Row],[Popolazione2011]]/$D$7911</f>
        <v>1.8982524247271813E-5</v>
      </c>
      <c r="F2444">
        <f>SUMIFS($D$2:$D$7909, $B$2:$B$7909, "Liguria")</f>
        <v>1570694</v>
      </c>
      <c r="G2444" s="1">
        <f>Comuni__2[[#This Row],[Popolazione2011]]/Comuni__2[[#This Row],[POPOLAZIONE TOTALE DI OGNI REGIONE (CON FILTRO)]]</f>
        <v>7.1815388611658291E-4</v>
      </c>
      <c r="H2444" t="str">
        <f>IF(Comuni__2[[#This Row],[Popolazione2011]]&gt;300000,"MAGGIORE","")</f>
        <v/>
      </c>
      <c r="J2444">
        <v>170</v>
      </c>
      <c r="K2444">
        <v>71464</v>
      </c>
      <c r="L2444">
        <v>16788</v>
      </c>
    </row>
    <row r="2445" spans="1:12" x14ac:dyDescent="0.2">
      <c r="A2445"/>
      <c r="B2445"/>
      <c r="C2445"/>
      <c r="D2445"/>
      <c r="E2445" s="2">
        <f>Comuni__2[[#This Row],[Popolazione2011]]/$D$7911</f>
        <v>1.8948867289386581E-5</v>
      </c>
      <c r="F2445">
        <f>SUMIFS($D$2:$D$7909, $B$2:$B$7909, "Liguria")</f>
        <v>1570694</v>
      </c>
      <c r="G2445" s="1">
        <f>Comuni__2[[#This Row],[Popolazione2011]]/Comuni__2[[#This Row],[POPOLAZIONE TOTALE DI OGNI REGIONE (CON FILTRO)]]</f>
        <v>7.1688056362346835E-4</v>
      </c>
      <c r="H2445" t="str">
        <f>IF(Comuni__2[[#This Row],[Popolazione2011]]&gt;300000,"MAGGIORE","")</f>
        <v/>
      </c>
      <c r="J2445">
        <v>172</v>
      </c>
      <c r="K2445">
        <v>71611</v>
      </c>
      <c r="L2445">
        <v>16796</v>
      </c>
    </row>
    <row r="2446" spans="1:12" x14ac:dyDescent="0.2">
      <c r="A2446"/>
      <c r="B2446"/>
      <c r="C2446"/>
      <c r="D2446"/>
      <c r="E2446" s="2">
        <f>Comuni__2[[#This Row],[Popolazione2011]]/$D$7911</f>
        <v>1.8528155315821157E-5</v>
      </c>
      <c r="F2446">
        <f>SUMIFS($D$2:$D$7909, $B$2:$B$7909, "Liguria")</f>
        <v>1570694</v>
      </c>
      <c r="G2446" s="1">
        <f>Comuni__2[[#This Row],[Popolazione2011]]/Comuni__2[[#This Row],[POPOLAZIONE TOTALE DI OGNI REGIONE (CON FILTRO)]]</f>
        <v>7.00964032459537E-4</v>
      </c>
      <c r="H2446" t="str">
        <f>IF(Comuni__2[[#This Row],[Popolazione2011]]&gt;300000,"MAGGIORE","")</f>
        <v/>
      </c>
      <c r="J2446">
        <v>172</v>
      </c>
      <c r="K2446">
        <v>71775</v>
      </c>
      <c r="L2446">
        <v>16797</v>
      </c>
    </row>
    <row r="2447" spans="1:12" x14ac:dyDescent="0.2">
      <c r="A2447"/>
      <c r="B2447"/>
      <c r="C2447"/>
      <c r="D2447"/>
      <c r="E2447" s="2">
        <f>Comuni__2[[#This Row],[Popolazione2011]]/$D$7911</f>
        <v>1.8174757258026205E-5</v>
      </c>
      <c r="F2447">
        <f>SUMIFS($D$2:$D$7909, $B$2:$B$7909, "Liguria")</f>
        <v>1570694</v>
      </c>
      <c r="G2447" s="1">
        <f>Comuni__2[[#This Row],[Popolazione2011]]/Comuni__2[[#This Row],[POPOLAZIONE TOTALE DI OGNI REGIONE (CON FILTRO)]]</f>
        <v>6.8759414628183466E-4</v>
      </c>
      <c r="H2447" t="str">
        <f>IF(Comuni__2[[#This Row],[Popolazione2011]]&gt;300000,"MAGGIORE","")</f>
        <v/>
      </c>
      <c r="J2447">
        <v>166</v>
      </c>
      <c r="K2447">
        <v>71860</v>
      </c>
      <c r="L2447">
        <v>16798</v>
      </c>
    </row>
    <row r="2448" spans="1:12" x14ac:dyDescent="0.2">
      <c r="A2448"/>
      <c r="B2448"/>
      <c r="C2448"/>
      <c r="D2448"/>
      <c r="E2448" s="2">
        <f>Comuni__2[[#This Row],[Popolazione2011]]/$D$7911</f>
        <v>1.8174757258026205E-5</v>
      </c>
      <c r="F2448">
        <f>SUMIFS($D$2:$D$7909, $B$2:$B$7909, "Liguria")</f>
        <v>1570694</v>
      </c>
      <c r="G2448" s="1">
        <f>Comuni__2[[#This Row],[Popolazione2011]]/Comuni__2[[#This Row],[POPOLAZIONE TOTALE DI OGNI REGIONE (CON FILTRO)]]</f>
        <v>6.8759414628183466E-4</v>
      </c>
      <c r="H2448" t="str">
        <f>IF(Comuni__2[[#This Row],[Popolazione2011]]&gt;300000,"MAGGIORE","")</f>
        <v/>
      </c>
      <c r="J2448">
        <v>156</v>
      </c>
      <c r="K2448">
        <v>71973</v>
      </c>
      <c r="L2448">
        <v>16801</v>
      </c>
    </row>
    <row r="2449" spans="1:12" x14ac:dyDescent="0.2">
      <c r="A2449"/>
      <c r="B2449"/>
      <c r="C2449"/>
      <c r="D2449"/>
      <c r="E2449" s="2">
        <f>Comuni__2[[#This Row],[Popolazione2011]]/$D$7911</f>
        <v>1.696310677415779E-5</v>
      </c>
      <c r="F2449">
        <f>SUMIFS($D$2:$D$7909, $B$2:$B$7909, "Liguria")</f>
        <v>1570694</v>
      </c>
      <c r="G2449" s="1">
        <f>Comuni__2[[#This Row],[Popolazione2011]]/Comuni__2[[#This Row],[POPOLAZIONE TOTALE DI OGNI REGIONE (CON FILTRO)]]</f>
        <v>6.4175453652971239E-4</v>
      </c>
      <c r="H2449" t="str">
        <f>IF(Comuni__2[[#This Row],[Popolazione2011]]&gt;300000,"MAGGIORE","")</f>
        <v/>
      </c>
      <c r="J2449">
        <v>161</v>
      </c>
      <c r="K2449">
        <v>72208</v>
      </c>
      <c r="L2449">
        <v>16801</v>
      </c>
    </row>
    <row r="2450" spans="1:12" x14ac:dyDescent="0.2">
      <c r="A2450"/>
      <c r="B2450"/>
      <c r="C2450"/>
      <c r="D2450"/>
      <c r="E2450" s="2">
        <f>Comuni__2[[#This Row],[Popolazione2011]]/$D$7911</f>
        <v>1.674433654790377E-5</v>
      </c>
      <c r="F2450">
        <f>SUMIFS($D$2:$D$7909, $B$2:$B$7909, "Liguria")</f>
        <v>1570694</v>
      </c>
      <c r="G2450" s="1">
        <f>Comuni__2[[#This Row],[Popolazione2011]]/Comuni__2[[#This Row],[POPOLAZIONE TOTALE DI OGNI REGIONE (CON FILTRO)]]</f>
        <v>6.3347794032446805E-4</v>
      </c>
      <c r="H2450" t="str">
        <f>IF(Comuni__2[[#This Row],[Popolazione2011]]&gt;300000,"MAGGIORE","")</f>
        <v/>
      </c>
      <c r="J2450">
        <v>161</v>
      </c>
      <c r="K2450">
        <v>72271</v>
      </c>
      <c r="L2450">
        <v>16801</v>
      </c>
    </row>
    <row r="2451" spans="1:12" x14ac:dyDescent="0.2">
      <c r="A2451"/>
      <c r="B2451"/>
      <c r="C2451"/>
      <c r="D2451"/>
      <c r="E2451" s="2">
        <f>Comuni__2[[#This Row],[Popolazione2011]]/$D$7911</f>
        <v>1.6576051758477602E-5</v>
      </c>
      <c r="F2451">
        <f>SUMIFS($D$2:$D$7909, $B$2:$B$7909, "Liguria")</f>
        <v>1570694</v>
      </c>
      <c r="G2451" s="1">
        <f>Comuni__2[[#This Row],[Popolazione2011]]/Comuni__2[[#This Row],[POPOLAZIONE TOTALE DI OGNI REGIONE (CON FILTRO)]]</f>
        <v>6.2711132785889549E-4</v>
      </c>
      <c r="H2451" t="str">
        <f>IF(Comuni__2[[#This Row],[Popolazione2011]]&gt;300000,"MAGGIORE","")</f>
        <v/>
      </c>
      <c r="J2451">
        <v>152</v>
      </c>
      <c r="K2451">
        <v>72349</v>
      </c>
      <c r="L2451">
        <v>16801</v>
      </c>
    </row>
    <row r="2452" spans="1:12" x14ac:dyDescent="0.2">
      <c r="A2452"/>
      <c r="B2452"/>
      <c r="C2452"/>
      <c r="D2452"/>
      <c r="E2452" s="2">
        <f>Comuni__2[[#This Row],[Popolazione2011]]/$D$7911</f>
        <v>1.6559223279534986E-5</v>
      </c>
      <c r="F2452">
        <f>SUMIFS($D$2:$D$7909, $B$2:$B$7909, "Liguria")</f>
        <v>1570694</v>
      </c>
      <c r="G2452" s="1">
        <f>Comuni__2[[#This Row],[Popolazione2011]]/Comuni__2[[#This Row],[POPOLAZIONE TOTALE DI OGNI REGIONE (CON FILTRO)]]</f>
        <v>6.2647466661233827E-4</v>
      </c>
      <c r="H2452" t="str">
        <f>IF(Comuni__2[[#This Row],[Popolazione2011]]&gt;300000,"MAGGIORE","")</f>
        <v/>
      </c>
      <c r="J2452">
        <v>151</v>
      </c>
      <c r="K2452">
        <v>72429</v>
      </c>
      <c r="L2452">
        <v>16801</v>
      </c>
    </row>
    <row r="2453" spans="1:12" x14ac:dyDescent="0.2">
      <c r="A2453"/>
      <c r="B2453"/>
      <c r="C2453"/>
      <c r="D2453"/>
      <c r="E2453" s="2">
        <f>Comuni__2[[#This Row],[Popolazione2011]]/$D$7911</f>
        <v>1.610485434808433E-5</v>
      </c>
      <c r="F2453">
        <f>SUMIFS($D$2:$D$7909, $B$2:$B$7909, "Liguria")</f>
        <v>1570694</v>
      </c>
      <c r="G2453" s="1">
        <f>Comuni__2[[#This Row],[Popolazione2011]]/Comuni__2[[#This Row],[POPOLAZIONE TOTALE DI OGNI REGIONE (CON FILTRO)]]</f>
        <v>6.0928481295529236E-4</v>
      </c>
      <c r="H2453" t="str">
        <f>IF(Comuni__2[[#This Row],[Popolazione2011]]&gt;300000,"MAGGIORE","")</f>
        <v/>
      </c>
      <c r="J2453">
        <v>164</v>
      </c>
      <c r="K2453">
        <v>72528</v>
      </c>
      <c r="L2453">
        <v>16802</v>
      </c>
    </row>
    <row r="2454" spans="1:12" x14ac:dyDescent="0.2">
      <c r="A2454"/>
      <c r="B2454"/>
      <c r="C2454"/>
      <c r="D2454"/>
      <c r="E2454" s="2">
        <f>Comuni__2[[#This Row],[Popolazione2011]]/$D$7911</f>
        <v>1.5919741079715546E-5</v>
      </c>
      <c r="F2454">
        <f>SUMIFS($D$2:$D$7909, $B$2:$B$7909, "Liguria")</f>
        <v>1570694</v>
      </c>
      <c r="G2454" s="1">
        <f>Comuni__2[[#This Row],[Popolazione2011]]/Comuni__2[[#This Row],[POPOLAZIONE TOTALE DI OGNI REGIONE (CON FILTRO)]]</f>
        <v>6.0228153924316258E-4</v>
      </c>
      <c r="H2454" t="str">
        <f>IF(Comuni__2[[#This Row],[Popolazione2011]]&gt;300000,"MAGGIORE","")</f>
        <v/>
      </c>
      <c r="J2454">
        <v>167</v>
      </c>
      <c r="K2454">
        <v>72689</v>
      </c>
      <c r="L2454">
        <v>16802</v>
      </c>
    </row>
    <row r="2455" spans="1:12" x14ac:dyDescent="0.2">
      <c r="A2455"/>
      <c r="B2455"/>
      <c r="C2455"/>
      <c r="D2455"/>
      <c r="E2455" s="2">
        <f>Comuni__2[[#This Row],[Popolazione2011]]/$D$7911</f>
        <v>1.5835598685002462E-5</v>
      </c>
      <c r="F2455">
        <f>SUMIFS($D$2:$D$7909, $B$2:$B$7909, "Liguria")</f>
        <v>1570694</v>
      </c>
      <c r="G2455" s="1">
        <f>Comuni__2[[#This Row],[Popolazione2011]]/Comuni__2[[#This Row],[POPOLAZIONE TOTALE DI OGNI REGIONE (CON FILTRO)]]</f>
        <v>5.9909823301037635E-4</v>
      </c>
      <c r="H2455" t="str">
        <f>IF(Comuni__2[[#This Row],[Popolazione2011]]&gt;300000,"MAGGIORE","")</f>
        <v/>
      </c>
      <c r="J2455">
        <v>164</v>
      </c>
      <c r="K2455">
        <v>73305</v>
      </c>
      <c r="L2455">
        <v>16802</v>
      </c>
    </row>
    <row r="2456" spans="1:12" x14ac:dyDescent="0.2">
      <c r="A2456"/>
      <c r="B2456"/>
      <c r="C2456"/>
      <c r="D2456"/>
      <c r="E2456" s="2">
        <f>Comuni__2[[#This Row],[Popolazione2011]]/$D$7911</f>
        <v>1.5431715190379658E-5</v>
      </c>
      <c r="F2456">
        <f>SUMIFS($D$2:$D$7909, $B$2:$B$7909, "Liguria")</f>
        <v>1570694</v>
      </c>
      <c r="G2456" s="1">
        <f>Comuni__2[[#This Row],[Popolazione2011]]/Comuni__2[[#This Row],[POPOLAZIONE TOTALE DI OGNI REGIONE (CON FILTRO)]]</f>
        <v>5.8381836309300222E-4</v>
      </c>
      <c r="H2456" t="str">
        <f>IF(Comuni__2[[#This Row],[Popolazione2011]]&gt;300000,"MAGGIORE","")</f>
        <v/>
      </c>
      <c r="J2456">
        <v>155</v>
      </c>
      <c r="K2456">
        <v>73402</v>
      </c>
      <c r="L2456">
        <v>16806</v>
      </c>
    </row>
    <row r="2457" spans="1:12" x14ac:dyDescent="0.2">
      <c r="A2457"/>
      <c r="B2457"/>
      <c r="C2457"/>
      <c r="D2457"/>
      <c r="E2457" s="2">
        <f>Comuni__2[[#This Row],[Popolazione2011]]/$D$7911</f>
        <v>1.5347572795666571E-5</v>
      </c>
      <c r="F2457">
        <f>SUMIFS($D$2:$D$7909, $B$2:$B$7909, "Liguria")</f>
        <v>1570694</v>
      </c>
      <c r="G2457" s="1">
        <f>Comuni__2[[#This Row],[Popolazione2011]]/Comuni__2[[#This Row],[POPOLAZIONE TOTALE DI OGNI REGIONE (CON FILTRO)]]</f>
        <v>5.8063505686021589E-4</v>
      </c>
      <c r="H2457" t="str">
        <f>IF(Comuni__2[[#This Row],[Popolazione2011]]&gt;300000,"MAGGIORE","")</f>
        <v/>
      </c>
      <c r="J2457">
        <v>167</v>
      </c>
      <c r="K2457">
        <v>73512</v>
      </c>
      <c r="L2457">
        <v>16807</v>
      </c>
    </row>
    <row r="2458" spans="1:12" x14ac:dyDescent="0.2">
      <c r="A2458"/>
      <c r="B2458"/>
      <c r="C2458"/>
      <c r="D2458"/>
      <c r="E2458" s="2">
        <f>Comuni__2[[#This Row],[Popolazione2011]]/$D$7911</f>
        <v>1.5061488653642086E-5</v>
      </c>
      <c r="F2458">
        <f>SUMIFS($D$2:$D$7909, $B$2:$B$7909, "Liguria")</f>
        <v>1570694</v>
      </c>
      <c r="G2458" s="1">
        <f>Comuni__2[[#This Row],[Popolazione2011]]/Comuni__2[[#This Row],[POPOLAZIONE TOTALE DI OGNI REGIONE (CON FILTRO)]]</f>
        <v>5.6981181566874266E-4</v>
      </c>
      <c r="H2458" t="str">
        <f>IF(Comuni__2[[#This Row],[Popolazione2011]]&gt;300000,"MAGGIORE","")</f>
        <v/>
      </c>
      <c r="J2458">
        <v>162</v>
      </c>
      <c r="K2458">
        <v>73676</v>
      </c>
      <c r="L2458">
        <v>16815</v>
      </c>
    </row>
    <row r="2459" spans="1:12" x14ac:dyDescent="0.2">
      <c r="A2459"/>
      <c r="B2459"/>
      <c r="C2459"/>
      <c r="D2459"/>
      <c r="E2459" s="2">
        <f>Comuni__2[[#This Row],[Popolazione2011]]/$D$7911</f>
        <v>1.5044660174699469E-5</v>
      </c>
      <c r="F2459">
        <f>SUMIFS($D$2:$D$7909, $B$2:$B$7909, "Liguria")</f>
        <v>1570694</v>
      </c>
      <c r="G2459" s="1">
        <f>Comuni__2[[#This Row],[Popolazione2011]]/Comuni__2[[#This Row],[POPOLAZIONE TOTALE DI OGNI REGIONE (CON FILTRO)]]</f>
        <v>5.6917515442218532E-4</v>
      </c>
      <c r="H2459" t="str">
        <f>IF(Comuni__2[[#This Row],[Popolazione2011]]&gt;300000,"MAGGIORE","")</f>
        <v/>
      </c>
      <c r="J2459">
        <v>171</v>
      </c>
      <c r="K2459">
        <v>73724</v>
      </c>
      <c r="L2459">
        <v>16818</v>
      </c>
    </row>
    <row r="2460" spans="1:12" x14ac:dyDescent="0.2">
      <c r="A2460"/>
      <c r="B2460"/>
      <c r="C2460"/>
      <c r="D2460"/>
      <c r="E2460" s="2">
        <f>Comuni__2[[#This Row],[Popolazione2011]]/$D$7911</f>
        <v>1.4691262116904515E-5</v>
      </c>
      <c r="F2460">
        <f>SUMIFS($D$2:$D$7909, $B$2:$B$7909, "Liguria")</f>
        <v>1570694</v>
      </c>
      <c r="G2460" s="1">
        <f>Comuni__2[[#This Row],[Popolazione2011]]/Comuni__2[[#This Row],[POPOLAZIONE TOTALE DI OGNI REGIONE (CON FILTRO)]]</f>
        <v>5.5580526824448298E-4</v>
      </c>
      <c r="H2460" t="str">
        <f>IF(Comuni__2[[#This Row],[Popolazione2011]]&gt;300000,"MAGGIORE","")</f>
        <v/>
      </c>
      <c r="J2460">
        <v>169</v>
      </c>
      <c r="K2460">
        <v>73810</v>
      </c>
      <c r="L2460">
        <v>16819</v>
      </c>
    </row>
    <row r="2461" spans="1:12" x14ac:dyDescent="0.2">
      <c r="A2461"/>
      <c r="B2461"/>
      <c r="C2461"/>
      <c r="D2461"/>
      <c r="E2461" s="2">
        <f>Comuni__2[[#This Row],[Popolazione2011]]/$D$7911</f>
        <v>1.4438834932765263E-5</v>
      </c>
      <c r="F2461">
        <f>SUMIFS($D$2:$D$7909, $B$2:$B$7909, "Liguria")</f>
        <v>1570694</v>
      </c>
      <c r="G2461" s="1">
        <f>Comuni__2[[#This Row],[Popolazione2011]]/Comuni__2[[#This Row],[POPOLAZIONE TOTALE DI OGNI REGIONE (CON FILTRO)]]</f>
        <v>5.4625534954612419E-4</v>
      </c>
      <c r="H2461" t="str">
        <f>IF(Comuni__2[[#This Row],[Popolazione2011]]&gt;300000,"MAGGIORE","")</f>
        <v/>
      </c>
      <c r="J2461">
        <v>175</v>
      </c>
      <c r="K2461">
        <v>73872</v>
      </c>
      <c r="L2461">
        <v>16824</v>
      </c>
    </row>
    <row r="2462" spans="1:12" x14ac:dyDescent="0.2">
      <c r="A2462"/>
      <c r="B2462"/>
      <c r="C2462"/>
      <c r="D2462"/>
      <c r="E2462" s="2">
        <f>Comuni__2[[#This Row],[Popolazione2011]]/$D$7911</f>
        <v>1.4422006453822645E-5</v>
      </c>
      <c r="F2462">
        <f>SUMIFS($D$2:$D$7909, $B$2:$B$7909, "Liguria")</f>
        <v>1570694</v>
      </c>
      <c r="G2462" s="1">
        <f>Comuni__2[[#This Row],[Popolazione2011]]/Comuni__2[[#This Row],[POPOLAZIONE TOTALE DI OGNI REGIONE (CON FILTRO)]]</f>
        <v>5.4561868829956697E-4</v>
      </c>
      <c r="H2462" t="str">
        <f>IF(Comuni__2[[#This Row],[Popolazione2011]]&gt;300000,"MAGGIORE","")</f>
        <v/>
      </c>
      <c r="J2462">
        <v>179</v>
      </c>
      <c r="K2462">
        <v>74080</v>
      </c>
      <c r="L2462">
        <v>16829</v>
      </c>
    </row>
    <row r="2463" spans="1:12" x14ac:dyDescent="0.2">
      <c r="A2463"/>
      <c r="B2463"/>
      <c r="C2463"/>
      <c r="D2463"/>
      <c r="E2463" s="2">
        <f>Comuni__2[[#This Row],[Popolazione2011]]/$D$7911</f>
        <v>1.4236893185453861E-5</v>
      </c>
      <c r="F2463">
        <f>SUMIFS($D$2:$D$7909, $B$2:$B$7909, "Liguria")</f>
        <v>1570694</v>
      </c>
      <c r="G2463" s="1">
        <f>Comuni__2[[#This Row],[Popolazione2011]]/Comuni__2[[#This Row],[POPOLAZIONE TOTALE DI OGNI REGIONE (CON FILTRO)]]</f>
        <v>5.3861541458743718E-4</v>
      </c>
      <c r="H2463" t="str">
        <f>IF(Comuni__2[[#This Row],[Popolazione2011]]&gt;300000,"MAGGIORE","")</f>
        <v/>
      </c>
      <c r="J2463">
        <v>179</v>
      </c>
      <c r="K2463">
        <v>74232</v>
      </c>
      <c r="L2463">
        <v>16829</v>
      </c>
    </row>
    <row r="2464" spans="1:12" x14ac:dyDescent="0.2">
      <c r="A2464"/>
      <c r="B2464"/>
      <c r="C2464"/>
      <c r="D2464"/>
      <c r="E2464" s="2">
        <f>Comuni__2[[#This Row],[Popolazione2011]]/$D$7911</f>
        <v>1.4102265353912925E-5</v>
      </c>
      <c r="F2464">
        <f>SUMIFS($D$2:$D$7909, $B$2:$B$7909, "Liguria")</f>
        <v>1570694</v>
      </c>
      <c r="G2464" s="1">
        <f>Comuni__2[[#This Row],[Popolazione2011]]/Comuni__2[[#This Row],[POPOLAZIONE TOTALE DI OGNI REGIONE (CON FILTRO)]]</f>
        <v>5.3352212461497907E-4</v>
      </c>
      <c r="H2464" t="str">
        <f>IF(Comuni__2[[#This Row],[Popolazione2011]]&gt;300000,"MAGGIORE","")</f>
        <v/>
      </c>
      <c r="J2464">
        <v>171</v>
      </c>
      <c r="K2464">
        <v>74403</v>
      </c>
      <c r="L2464">
        <v>16832</v>
      </c>
    </row>
    <row r="2465" spans="1:12" x14ac:dyDescent="0.2">
      <c r="A2465"/>
      <c r="B2465"/>
      <c r="C2465"/>
      <c r="D2465"/>
      <c r="E2465" s="2">
        <f>Comuni__2[[#This Row],[Popolazione2011]]/$D$7911</f>
        <v>1.3664724901404887E-5</v>
      </c>
      <c r="F2465">
        <f>SUMIFS($D$2:$D$7909, $B$2:$B$7909, "Liguria")</f>
        <v>1570694</v>
      </c>
      <c r="G2465" s="1">
        <f>Comuni__2[[#This Row],[Popolazione2011]]/Comuni__2[[#This Row],[POPOLAZIONE TOTALE DI OGNI REGIONE (CON FILTRO)]]</f>
        <v>5.1696893220449049E-4</v>
      </c>
      <c r="H2465" t="str">
        <f>IF(Comuni__2[[#This Row],[Popolazione2011]]&gt;300000,"MAGGIORE","")</f>
        <v/>
      </c>
      <c r="J2465">
        <v>164</v>
      </c>
      <c r="K2465">
        <v>74432</v>
      </c>
      <c r="L2465">
        <v>16833</v>
      </c>
    </row>
    <row r="2466" spans="1:12" x14ac:dyDescent="0.2">
      <c r="A2466"/>
      <c r="B2466"/>
      <c r="C2466"/>
      <c r="D2466"/>
      <c r="E2466" s="2">
        <f>Comuni__2[[#This Row],[Popolazione2011]]/$D$7911</f>
        <v>1.3631067943519653E-5</v>
      </c>
      <c r="F2466">
        <f>SUMIFS($D$2:$D$7909, $B$2:$B$7909, "Liguria")</f>
        <v>1570694</v>
      </c>
      <c r="G2466" s="1">
        <f>Comuni__2[[#This Row],[Popolazione2011]]/Comuni__2[[#This Row],[POPOLAZIONE TOTALE DI OGNI REGIONE (CON FILTRO)]]</f>
        <v>5.1569560971137594E-4</v>
      </c>
      <c r="H2466" t="str">
        <f>IF(Comuni__2[[#This Row],[Popolazione2011]]&gt;300000,"MAGGIORE","")</f>
        <v/>
      </c>
      <c r="J2466">
        <v>159</v>
      </c>
      <c r="K2466">
        <v>74504</v>
      </c>
      <c r="L2466">
        <v>16833</v>
      </c>
    </row>
    <row r="2467" spans="1:12" x14ac:dyDescent="0.2">
      <c r="A2467"/>
      <c r="B2467"/>
      <c r="C2467"/>
      <c r="D2467"/>
      <c r="E2467" s="2">
        <f>Comuni__2[[#This Row],[Popolazione2011]]/$D$7911</f>
        <v>1.3614239464577037E-5</v>
      </c>
      <c r="F2467">
        <f>SUMIFS($D$2:$D$7909, $B$2:$B$7909, "Liguria")</f>
        <v>1570694</v>
      </c>
      <c r="G2467" s="1">
        <f>Comuni__2[[#This Row],[Popolazione2011]]/Comuni__2[[#This Row],[POPOLAZIONE TOTALE DI OGNI REGIONE (CON FILTRO)]]</f>
        <v>5.1505894846481872E-4</v>
      </c>
      <c r="H2467" t="str">
        <f>IF(Comuni__2[[#This Row],[Popolazione2011]]&gt;300000,"MAGGIORE","")</f>
        <v/>
      </c>
      <c r="J2467">
        <v>170</v>
      </c>
      <c r="K2467">
        <v>74605</v>
      </c>
      <c r="L2467">
        <v>16833</v>
      </c>
    </row>
    <row r="2468" spans="1:12" x14ac:dyDescent="0.2">
      <c r="A2468"/>
      <c r="B2468"/>
      <c r="C2468"/>
      <c r="D2468"/>
      <c r="E2468" s="2">
        <f>Comuni__2[[#This Row],[Popolazione2011]]/$D$7911</f>
        <v>1.3513268590921335E-5</v>
      </c>
      <c r="F2468">
        <f>SUMIFS($D$2:$D$7909, $B$2:$B$7909, "Liguria")</f>
        <v>1570694</v>
      </c>
      <c r="G2468" s="1">
        <f>Comuni__2[[#This Row],[Popolazione2011]]/Comuni__2[[#This Row],[POPOLAZIONE TOTALE DI OGNI REGIONE (CON FILTRO)]]</f>
        <v>5.1123898098547516E-4</v>
      </c>
      <c r="H2468" t="str">
        <f>IF(Comuni__2[[#This Row],[Popolazione2011]]&gt;300000,"MAGGIORE","")</f>
        <v/>
      </c>
      <c r="J2468">
        <v>175</v>
      </c>
      <c r="K2468">
        <v>74700</v>
      </c>
      <c r="L2468">
        <v>16833</v>
      </c>
    </row>
    <row r="2469" spans="1:12" x14ac:dyDescent="0.2">
      <c r="A2469"/>
      <c r="B2469"/>
      <c r="C2469"/>
      <c r="D2469"/>
      <c r="E2469" s="2">
        <f>Comuni__2[[#This Row],[Popolazione2011]]/$D$7911</f>
        <v>1.3210355969954231E-5</v>
      </c>
      <c r="F2469">
        <f>SUMIFS($D$2:$D$7909, $B$2:$B$7909, "Liguria")</f>
        <v>1570694</v>
      </c>
      <c r="G2469" s="1">
        <f>Comuni__2[[#This Row],[Popolazione2011]]/Comuni__2[[#This Row],[POPOLAZIONE TOTALE DI OGNI REGIONE (CON FILTRO)]]</f>
        <v>4.9977907854744459E-4</v>
      </c>
      <c r="H2469" t="str">
        <f>IF(Comuni__2[[#This Row],[Popolazione2011]]&gt;300000,"MAGGIORE","")</f>
        <v/>
      </c>
      <c r="J2469">
        <v>181</v>
      </c>
      <c r="K2469">
        <v>74754</v>
      </c>
      <c r="L2469">
        <v>16835</v>
      </c>
    </row>
    <row r="2470" spans="1:12" x14ac:dyDescent="0.2">
      <c r="A2470"/>
      <c r="B2470"/>
      <c r="C2470"/>
      <c r="D2470"/>
      <c r="E2470" s="2">
        <f>Comuni__2[[#This Row],[Popolazione2011]]/$D$7911</f>
        <v>1.2941100306872361E-5</v>
      </c>
      <c r="F2470">
        <f>SUMIFS($D$2:$D$7909, $B$2:$B$7909, "Liguria")</f>
        <v>1570694</v>
      </c>
      <c r="G2470" s="1">
        <f>Comuni__2[[#This Row],[Popolazione2011]]/Comuni__2[[#This Row],[POPOLAZIONE TOTALE DI OGNI REGIONE (CON FILTRO)]]</f>
        <v>4.8959249860252858E-4</v>
      </c>
      <c r="H2470" t="str">
        <f>IF(Comuni__2[[#This Row],[Popolazione2011]]&gt;300000,"MAGGIORE","")</f>
        <v/>
      </c>
      <c r="J2470">
        <v>165</v>
      </c>
      <c r="K2470">
        <v>75012</v>
      </c>
      <c r="L2470">
        <v>16836</v>
      </c>
    </row>
    <row r="2471" spans="1:12" x14ac:dyDescent="0.2">
      <c r="A2471"/>
      <c r="B2471"/>
      <c r="C2471"/>
      <c r="D2471"/>
      <c r="E2471" s="2">
        <f>Comuni__2[[#This Row],[Popolazione2011]]/$D$7911</f>
        <v>1.2554045291192174E-5</v>
      </c>
      <c r="F2471">
        <f>SUMIFS($D$2:$D$7909, $B$2:$B$7909, "Liguria")</f>
        <v>1570694</v>
      </c>
      <c r="G2471" s="1">
        <f>Comuni__2[[#This Row],[Popolazione2011]]/Comuni__2[[#This Row],[POPOLAZIONE TOTALE DI OGNI REGIONE (CON FILTRO)]]</f>
        <v>4.7494928993171173E-4</v>
      </c>
      <c r="H2471" t="str">
        <f>IF(Comuni__2[[#This Row],[Popolazione2011]]&gt;300000,"MAGGIORE","")</f>
        <v/>
      </c>
      <c r="J2471">
        <v>161</v>
      </c>
      <c r="K2471">
        <v>75125</v>
      </c>
      <c r="L2471">
        <v>16837</v>
      </c>
    </row>
    <row r="2472" spans="1:12" x14ac:dyDescent="0.2">
      <c r="A2472"/>
      <c r="B2472"/>
      <c r="C2472"/>
      <c r="D2472"/>
      <c r="E2472" s="2">
        <f>Comuni__2[[#This Row],[Popolazione2011]]/$D$7911</f>
        <v>1.2520388333306941E-5</v>
      </c>
      <c r="F2472">
        <f>SUMIFS($D$2:$D$7909, $B$2:$B$7909, "Liguria")</f>
        <v>1570694</v>
      </c>
      <c r="G2472" s="1">
        <f>Comuni__2[[#This Row],[Popolazione2011]]/Comuni__2[[#This Row],[POPOLAZIONE TOTALE DI OGNI REGIONE (CON FILTRO)]]</f>
        <v>4.7367596743859723E-4</v>
      </c>
      <c r="H2472" t="str">
        <f>IF(Comuni__2[[#This Row],[Popolazione2011]]&gt;300000,"MAGGIORE","")</f>
        <v/>
      </c>
      <c r="J2472">
        <v>160</v>
      </c>
      <c r="K2472">
        <v>75163</v>
      </c>
      <c r="L2472">
        <v>16840</v>
      </c>
    </row>
    <row r="2473" spans="1:12" x14ac:dyDescent="0.2">
      <c r="A2473"/>
      <c r="B2473"/>
      <c r="C2473"/>
      <c r="D2473"/>
      <c r="E2473" s="2">
        <f>Comuni__2[[#This Row],[Popolazione2011]]/$D$7911</f>
        <v>1.1729449823003948E-5</v>
      </c>
      <c r="F2473">
        <f>SUMIFS($D$2:$D$7909, $B$2:$B$7909, "Liguria")</f>
        <v>1570694</v>
      </c>
      <c r="G2473" s="1">
        <f>Comuni__2[[#This Row],[Popolazione2011]]/Comuni__2[[#This Row],[POPOLAZIONE TOTALE DI OGNI REGIONE (CON FILTRO)]]</f>
        <v>4.4375288885040626E-4</v>
      </c>
      <c r="H2473" t="str">
        <f>IF(Comuni__2[[#This Row],[Popolazione2011]]&gt;300000,"MAGGIORE","")</f>
        <v/>
      </c>
      <c r="J2473">
        <v>161</v>
      </c>
      <c r="K2473">
        <v>75248</v>
      </c>
      <c r="L2473">
        <v>16840</v>
      </c>
    </row>
    <row r="2474" spans="1:12" x14ac:dyDescent="0.2">
      <c r="A2474"/>
      <c r="B2474"/>
      <c r="C2474"/>
      <c r="D2474"/>
      <c r="E2474" s="2">
        <f>Comuni__2[[#This Row],[Popolazione2011]]/$D$7911</f>
        <v>1.1493851117807312E-5</v>
      </c>
      <c r="F2474">
        <f>SUMIFS($D$2:$D$7909, $B$2:$B$7909, "Liguria")</f>
        <v>1570694</v>
      </c>
      <c r="G2474" s="1">
        <f>Comuni__2[[#This Row],[Popolazione2011]]/Comuni__2[[#This Row],[POPOLAZIONE TOTALE DI OGNI REGIONE (CON FILTRO)]]</f>
        <v>4.3483963139860469E-4</v>
      </c>
      <c r="H2474" t="str">
        <f>IF(Comuni__2[[#This Row],[Popolazione2011]]&gt;300000,"MAGGIORE","")</f>
        <v/>
      </c>
      <c r="J2474">
        <v>164</v>
      </c>
      <c r="K2474">
        <v>75319</v>
      </c>
      <c r="L2474">
        <v>16840</v>
      </c>
    </row>
    <row r="2475" spans="1:12" x14ac:dyDescent="0.2">
      <c r="A2475"/>
      <c r="B2475"/>
      <c r="C2475"/>
      <c r="D2475"/>
      <c r="E2475" s="2">
        <f>Comuni__2[[#This Row],[Popolazione2011]]/$D$7911</f>
        <v>1.1409708723094228E-5</v>
      </c>
      <c r="F2475">
        <f>SUMIFS($D$2:$D$7909, $B$2:$B$7909, "Liguria")</f>
        <v>1570694</v>
      </c>
      <c r="G2475" s="1">
        <f>Comuni__2[[#This Row],[Popolazione2011]]/Comuni__2[[#This Row],[POPOLAZIONE TOTALE DI OGNI REGIONE (CON FILTRO)]]</f>
        <v>4.3165632516581841E-4</v>
      </c>
      <c r="H2475" t="str">
        <f>IF(Comuni__2[[#This Row],[Popolazione2011]]&gt;300000,"MAGGIORE","")</f>
        <v/>
      </c>
      <c r="J2475">
        <v>165</v>
      </c>
      <c r="K2475">
        <v>75398</v>
      </c>
      <c r="L2475">
        <v>16844</v>
      </c>
    </row>
    <row r="2476" spans="1:12" x14ac:dyDescent="0.2">
      <c r="A2476"/>
      <c r="B2476"/>
      <c r="C2476"/>
      <c r="D2476"/>
      <c r="E2476" s="2">
        <f>Comuni__2[[#This Row],[Popolazione2011]]/$D$7911</f>
        <v>1.1409708723094228E-5</v>
      </c>
      <c r="F2476">
        <f>SUMIFS($D$2:$D$7909, $B$2:$B$7909, "Liguria")</f>
        <v>1570694</v>
      </c>
      <c r="G2476" s="1">
        <f>Comuni__2[[#This Row],[Popolazione2011]]/Comuni__2[[#This Row],[POPOLAZIONE TOTALE DI OGNI REGIONE (CON FILTRO)]]</f>
        <v>4.3165632516581841E-4</v>
      </c>
      <c r="H2476" t="str">
        <f>IF(Comuni__2[[#This Row],[Popolazione2011]]&gt;300000,"MAGGIORE","")</f>
        <v/>
      </c>
      <c r="J2476">
        <v>171</v>
      </c>
      <c r="K2476">
        <v>75449</v>
      </c>
      <c r="L2476">
        <v>16846</v>
      </c>
    </row>
    <row r="2477" spans="1:12" x14ac:dyDescent="0.2">
      <c r="A2477"/>
      <c r="B2477"/>
      <c r="C2477"/>
      <c r="D2477"/>
      <c r="E2477" s="2">
        <f>Comuni__2[[#This Row],[Popolazione2011]]/$D$7911</f>
        <v>1.1089967623184508E-5</v>
      </c>
      <c r="F2477">
        <f>SUMIFS($D$2:$D$7909, $B$2:$B$7909, "Liguria")</f>
        <v>1570694</v>
      </c>
      <c r="G2477" s="1">
        <f>Comuni__2[[#This Row],[Popolazione2011]]/Comuni__2[[#This Row],[POPOLAZIONE TOTALE DI OGNI REGIONE (CON FILTRO)]]</f>
        <v>4.1955976148123057E-4</v>
      </c>
      <c r="H2477" t="str">
        <f>IF(Comuni__2[[#This Row],[Popolazione2011]]&gt;300000,"MAGGIORE","")</f>
        <v/>
      </c>
      <c r="J2477">
        <v>166</v>
      </c>
      <c r="K2477">
        <v>75546</v>
      </c>
      <c r="L2477">
        <v>16852</v>
      </c>
    </row>
    <row r="2478" spans="1:12" x14ac:dyDescent="0.2">
      <c r="A2478"/>
      <c r="B2478"/>
      <c r="C2478"/>
      <c r="D2478"/>
      <c r="E2478" s="2">
        <f>Comuni__2[[#This Row],[Popolazione2011]]/$D$7911</f>
        <v>1.0904854354815722E-5</v>
      </c>
      <c r="F2478">
        <f>SUMIFS($D$2:$D$7909, $B$2:$B$7909, "Liguria")</f>
        <v>1570694</v>
      </c>
      <c r="G2478" s="1">
        <f>Comuni__2[[#This Row],[Popolazione2011]]/Comuni__2[[#This Row],[POPOLAZIONE TOTALE DI OGNI REGIONE (CON FILTRO)]]</f>
        <v>4.1255648776910078E-4</v>
      </c>
      <c r="H2478" t="str">
        <f>IF(Comuni__2[[#This Row],[Popolazione2011]]&gt;300000,"MAGGIORE","")</f>
        <v/>
      </c>
      <c r="J2478">
        <v>162</v>
      </c>
      <c r="K2478">
        <v>75649</v>
      </c>
      <c r="L2478">
        <v>16852</v>
      </c>
    </row>
    <row r="2479" spans="1:12" x14ac:dyDescent="0.2">
      <c r="A2479"/>
      <c r="B2479"/>
      <c r="C2479"/>
      <c r="D2479"/>
      <c r="E2479" s="2">
        <f>Comuni__2[[#This Row],[Popolazione2011]]/$D$7911</f>
        <v>1.0770226523274788E-5</v>
      </c>
      <c r="F2479">
        <f>SUMIFS($D$2:$D$7909, $B$2:$B$7909, "Liguria")</f>
        <v>1570694</v>
      </c>
      <c r="G2479" s="1">
        <f>Comuni__2[[#This Row],[Popolazione2011]]/Comuni__2[[#This Row],[POPOLAZIONE TOTALE DI OGNI REGIONE (CON FILTRO)]]</f>
        <v>4.0746319779664278E-4</v>
      </c>
      <c r="H2479" t="str">
        <f>IF(Comuni__2[[#This Row],[Popolazione2011]]&gt;300000,"MAGGIORE","")</f>
        <v/>
      </c>
      <c r="J2479">
        <v>162</v>
      </c>
      <c r="K2479">
        <v>75678</v>
      </c>
      <c r="L2479">
        <v>16856</v>
      </c>
    </row>
    <row r="2480" spans="1:12" x14ac:dyDescent="0.2">
      <c r="A2480"/>
      <c r="B2480"/>
      <c r="C2480"/>
      <c r="D2480"/>
      <c r="E2480" s="2">
        <f>Comuni__2[[#This Row],[Popolazione2011]]/$D$7911</f>
        <v>1.0601941733848618E-5</v>
      </c>
      <c r="F2480">
        <f>SUMIFS($D$2:$D$7909, $B$2:$B$7909, "Liguria")</f>
        <v>1570694</v>
      </c>
      <c r="G2480" s="1">
        <f>Comuni__2[[#This Row],[Popolazione2011]]/Comuni__2[[#This Row],[POPOLAZIONE TOTALE DI OGNI REGIONE (CON FILTRO)]]</f>
        <v>4.0109658533107022E-4</v>
      </c>
      <c r="H2480" t="str">
        <f>IF(Comuni__2[[#This Row],[Popolazione2011]]&gt;300000,"MAGGIORE","")</f>
        <v/>
      </c>
      <c r="J2480">
        <v>168</v>
      </c>
      <c r="K2480">
        <v>75705</v>
      </c>
      <c r="L2480">
        <v>16857</v>
      </c>
    </row>
    <row r="2481" spans="1:12" x14ac:dyDescent="0.2">
      <c r="A2481"/>
      <c r="B2481"/>
      <c r="C2481"/>
      <c r="D2481"/>
      <c r="E2481" s="2">
        <f>Comuni__2[[#This Row],[Popolazione2011]]/$D$7911</f>
        <v>1.0534627818078152E-5</v>
      </c>
      <c r="F2481">
        <f>SUMIFS($D$2:$D$7909, $B$2:$B$7909, "Liguria")</f>
        <v>1570694</v>
      </c>
      <c r="G2481" s="1">
        <f>Comuni__2[[#This Row],[Popolazione2011]]/Comuni__2[[#This Row],[POPOLAZIONE TOTALE DI OGNI REGIONE (CON FILTRO)]]</f>
        <v>3.9854994034484121E-4</v>
      </c>
      <c r="H2481" t="str">
        <f>IF(Comuni__2[[#This Row],[Popolazione2011]]&gt;300000,"MAGGIORE","")</f>
        <v/>
      </c>
      <c r="J2481">
        <v>173</v>
      </c>
      <c r="K2481">
        <v>75901</v>
      </c>
      <c r="L2481">
        <v>16857</v>
      </c>
    </row>
    <row r="2482" spans="1:12" x14ac:dyDescent="0.2">
      <c r="A2482"/>
      <c r="B2482"/>
      <c r="C2482"/>
      <c r="D2482"/>
      <c r="E2482" s="2">
        <f>Comuni__2[[#This Row],[Popolazione2011]]/$D$7911</f>
        <v>1.0517799339135534E-5</v>
      </c>
      <c r="F2482">
        <f>SUMIFS($D$2:$D$7909, $B$2:$B$7909, "Liguria")</f>
        <v>1570694</v>
      </c>
      <c r="G2482" s="1">
        <f>Comuni__2[[#This Row],[Popolazione2011]]/Comuni__2[[#This Row],[POPOLAZIONE TOTALE DI OGNI REGIONE (CON FILTRO)]]</f>
        <v>3.9791327909828394E-4</v>
      </c>
      <c r="H2482" t="str">
        <f>IF(Comuni__2[[#This Row],[Popolazione2011]]&gt;300000,"MAGGIORE","")</f>
        <v/>
      </c>
      <c r="J2482">
        <v>175</v>
      </c>
      <c r="K2482">
        <v>75988</v>
      </c>
      <c r="L2482">
        <v>16857</v>
      </c>
    </row>
    <row r="2483" spans="1:12" x14ac:dyDescent="0.2">
      <c r="A2483"/>
      <c r="B2483"/>
      <c r="C2483"/>
      <c r="D2483"/>
      <c r="E2483" s="2">
        <f>Comuni__2[[#This Row],[Popolazione2011]]/$D$7911</f>
        <v>1.043365694442245E-5</v>
      </c>
      <c r="F2483">
        <f>SUMIFS($D$2:$D$7909, $B$2:$B$7909, "Liguria")</f>
        <v>1570694</v>
      </c>
      <c r="G2483" s="1">
        <f>Comuni__2[[#This Row],[Popolazione2011]]/Comuni__2[[#This Row],[POPOLAZIONE TOTALE DI OGNI REGIONE (CON FILTRO)]]</f>
        <v>3.9472997286549766E-4</v>
      </c>
      <c r="H2483" t="str">
        <f>IF(Comuni__2[[#This Row],[Popolazione2011]]&gt;300000,"MAGGIORE","")</f>
        <v/>
      </c>
      <c r="J2483">
        <v>187</v>
      </c>
      <c r="K2483">
        <v>76018</v>
      </c>
      <c r="L2483">
        <v>16857</v>
      </c>
    </row>
    <row r="2484" spans="1:12" x14ac:dyDescent="0.2">
      <c r="A2484"/>
      <c r="B2484"/>
      <c r="C2484"/>
      <c r="D2484"/>
      <c r="E2484" s="2">
        <f>Comuni__2[[#This Row],[Popolazione2011]]/$D$7911</f>
        <v>1.016440128134058E-5</v>
      </c>
      <c r="F2484">
        <f>SUMIFS($D$2:$D$7909, $B$2:$B$7909, "Liguria")</f>
        <v>1570694</v>
      </c>
      <c r="G2484" s="1">
        <f>Comuni__2[[#This Row],[Popolazione2011]]/Comuni__2[[#This Row],[POPOLAZIONE TOTALE DI OGNI REGIONE (CON FILTRO)]]</f>
        <v>3.8454339292058159E-4</v>
      </c>
      <c r="H2484" t="str">
        <f>IF(Comuni__2[[#This Row],[Popolazione2011]]&gt;300000,"MAGGIORE","")</f>
        <v/>
      </c>
      <c r="J2484">
        <v>189</v>
      </c>
      <c r="K2484">
        <v>76102</v>
      </c>
      <c r="L2484">
        <v>16860</v>
      </c>
    </row>
    <row r="2485" spans="1:12" x14ac:dyDescent="0.2">
      <c r="A2485"/>
      <c r="B2485"/>
      <c r="C2485"/>
      <c r="D2485"/>
      <c r="E2485" s="2">
        <f>Comuni__2[[#This Row],[Popolazione2011]]/$D$7911</f>
        <v>1.0147572802397964E-5</v>
      </c>
      <c r="F2485">
        <f>SUMIFS($D$2:$D$7909, $B$2:$B$7909, "Liguria")</f>
        <v>1570694</v>
      </c>
      <c r="G2485" s="1">
        <f>Comuni__2[[#This Row],[Popolazione2011]]/Comuni__2[[#This Row],[POPOLAZIONE TOTALE DI OGNI REGIONE (CON FILTRO)]]</f>
        <v>3.8390673167402437E-4</v>
      </c>
      <c r="H2485" t="str">
        <f>IF(Comuni__2[[#This Row],[Popolazione2011]]&gt;300000,"MAGGIORE","")</f>
        <v/>
      </c>
      <c r="J2485">
        <v>203</v>
      </c>
      <c r="K2485">
        <v>76200</v>
      </c>
      <c r="L2485">
        <v>16860</v>
      </c>
    </row>
    <row r="2486" spans="1:12" x14ac:dyDescent="0.2">
      <c r="A2486"/>
      <c r="B2486"/>
      <c r="C2486"/>
      <c r="D2486"/>
      <c r="E2486" s="2">
        <f>Comuni__2[[#This Row],[Popolazione2011]]/$D$7911</f>
        <v>1.0080258886627496E-5</v>
      </c>
      <c r="F2486">
        <f>SUMIFS($D$2:$D$7909, $B$2:$B$7909, "Liguria")</f>
        <v>1570694</v>
      </c>
      <c r="G2486" s="1">
        <f>Comuni__2[[#This Row],[Popolazione2011]]/Comuni__2[[#This Row],[POPOLAZIONE TOTALE DI OGNI REGIONE (CON FILTRO)]]</f>
        <v>3.8136008668779531E-4</v>
      </c>
      <c r="H2486" t="str">
        <f>IF(Comuni__2[[#This Row],[Popolazione2011]]&gt;300000,"MAGGIORE","")</f>
        <v/>
      </c>
      <c r="J2486">
        <v>214</v>
      </c>
      <c r="K2486">
        <v>76248</v>
      </c>
      <c r="L2486">
        <v>16863</v>
      </c>
    </row>
    <row r="2487" spans="1:12" x14ac:dyDescent="0.2">
      <c r="A2487"/>
      <c r="B2487"/>
      <c r="C2487"/>
      <c r="D2487"/>
      <c r="E2487" s="2">
        <f>Comuni__2[[#This Row],[Popolazione2011]]/$D$7911</f>
        <v>1.0046601928742262E-5</v>
      </c>
      <c r="F2487">
        <f>SUMIFS($D$2:$D$7909, $B$2:$B$7909, "Liguria")</f>
        <v>1570694</v>
      </c>
      <c r="G2487" s="1">
        <f>Comuni__2[[#This Row],[Popolazione2011]]/Comuni__2[[#This Row],[POPOLAZIONE TOTALE DI OGNI REGIONE (CON FILTRO)]]</f>
        <v>3.8008676419468081E-4</v>
      </c>
      <c r="H2487" t="str">
        <f>IF(Comuni__2[[#This Row],[Popolazione2011]]&gt;300000,"MAGGIORE","")</f>
        <v/>
      </c>
      <c r="J2487">
        <v>217</v>
      </c>
      <c r="K2487">
        <v>76258</v>
      </c>
      <c r="L2487">
        <v>16865</v>
      </c>
    </row>
    <row r="2488" spans="1:12" x14ac:dyDescent="0.2">
      <c r="A2488"/>
      <c r="B2488"/>
      <c r="C2488"/>
      <c r="D2488"/>
      <c r="E2488" s="2">
        <f>Comuni__2[[#This Row],[Popolazione2011]]/$D$7911</f>
        <v>9.8278317024882444E-6</v>
      </c>
      <c r="F2488">
        <f>SUMIFS($D$2:$D$7909, $B$2:$B$7909, "Liguria")</f>
        <v>1570694</v>
      </c>
      <c r="G2488" s="1">
        <f>Comuni__2[[#This Row],[Popolazione2011]]/Comuni__2[[#This Row],[POPOLAZIONE TOTALE DI OGNI REGIONE (CON FILTRO)]]</f>
        <v>3.7181016798943652E-4</v>
      </c>
      <c r="H2488" t="str">
        <f>IF(Comuni__2[[#This Row],[Popolazione2011]]&gt;300000,"MAGGIORE","")</f>
        <v/>
      </c>
      <c r="J2488">
        <v>233</v>
      </c>
      <c r="K2488">
        <v>76368</v>
      </c>
      <c r="L2488">
        <v>16867</v>
      </c>
    </row>
    <row r="2489" spans="1:12" x14ac:dyDescent="0.2">
      <c r="A2489"/>
      <c r="B2489"/>
      <c r="C2489"/>
      <c r="D2489"/>
      <c r="E2489" s="2">
        <f>Comuni__2[[#This Row],[Popolazione2011]]/$D$7911</f>
        <v>9.7605177867177765E-6</v>
      </c>
      <c r="F2489">
        <f>SUMIFS($D$2:$D$7909, $B$2:$B$7909, "Liguria")</f>
        <v>1570694</v>
      </c>
      <c r="G2489" s="1">
        <f>Comuni__2[[#This Row],[Popolazione2011]]/Comuni__2[[#This Row],[POPOLAZIONE TOTALE DI OGNI REGIONE (CON FILTRO)]]</f>
        <v>3.6926352300320752E-4</v>
      </c>
      <c r="H2489" t="str">
        <f>IF(Comuni__2[[#This Row],[Popolazione2011]]&gt;300000,"MAGGIORE","")</f>
        <v/>
      </c>
      <c r="J2489">
        <v>242</v>
      </c>
      <c r="K2489">
        <v>76407</v>
      </c>
      <c r="L2489">
        <v>16869</v>
      </c>
    </row>
    <row r="2490" spans="1:12" x14ac:dyDescent="0.2">
      <c r="A2490"/>
      <c r="B2490"/>
      <c r="C2490"/>
      <c r="D2490"/>
      <c r="E2490" s="2">
        <f>Comuni__2[[#This Row],[Popolazione2011]]/$D$7911</f>
        <v>9.7605177867177765E-6</v>
      </c>
      <c r="F2490">
        <f>SUMIFS($D$2:$D$7909, $B$2:$B$7909, "Liguria")</f>
        <v>1570694</v>
      </c>
      <c r="G2490" s="1">
        <f>Comuni__2[[#This Row],[Popolazione2011]]/Comuni__2[[#This Row],[POPOLAZIONE TOTALE DI OGNI REGIONE (CON FILTRO)]]</f>
        <v>3.6926352300320752E-4</v>
      </c>
      <c r="H2490" t="str">
        <f>IF(Comuni__2[[#This Row],[Popolazione2011]]&gt;300000,"MAGGIORE","")</f>
        <v/>
      </c>
      <c r="J2490">
        <v>252</v>
      </c>
      <c r="K2490">
        <v>76467</v>
      </c>
      <c r="L2490">
        <v>16870</v>
      </c>
    </row>
    <row r="2491" spans="1:12" x14ac:dyDescent="0.2">
      <c r="A2491"/>
      <c r="B2491"/>
      <c r="C2491"/>
      <c r="D2491"/>
      <c r="E2491" s="2">
        <f>Comuni__2[[#This Row],[Popolazione2011]]/$D$7911</f>
        <v>9.5585760394063745E-6</v>
      </c>
      <c r="F2491">
        <f>SUMIFS($D$2:$D$7909, $B$2:$B$7909, "Liguria")</f>
        <v>1570694</v>
      </c>
      <c r="G2491" s="1">
        <f>Comuni__2[[#This Row],[Popolazione2011]]/Comuni__2[[#This Row],[POPOLAZIONE TOTALE DI OGNI REGIONE (CON FILTRO)]]</f>
        <v>3.6162358804452046E-4</v>
      </c>
      <c r="H2491" t="str">
        <f>IF(Comuni__2[[#This Row],[Popolazione2011]]&gt;300000,"MAGGIORE","")</f>
        <v/>
      </c>
      <c r="J2491">
        <v>270</v>
      </c>
      <c r="K2491">
        <v>76574</v>
      </c>
      <c r="L2491">
        <v>16876</v>
      </c>
    </row>
    <row r="2492" spans="1:12" x14ac:dyDescent="0.2">
      <c r="A2492"/>
      <c r="B2492"/>
      <c r="C2492"/>
      <c r="D2492"/>
      <c r="E2492" s="2">
        <f>Comuni__2[[#This Row],[Popolazione2011]]/$D$7911</f>
        <v>9.5080906025785227E-6</v>
      </c>
      <c r="F2492">
        <f>SUMIFS($D$2:$D$7909, $B$2:$B$7909, "Liguria")</f>
        <v>1570694</v>
      </c>
      <c r="G2492" s="1">
        <f>Comuni__2[[#This Row],[Popolazione2011]]/Comuni__2[[#This Row],[POPOLAZIONE TOTALE DI OGNI REGIONE (CON FILTRO)]]</f>
        <v>3.5971360430484868E-4</v>
      </c>
      <c r="H2492" t="str">
        <f>IF(Comuni__2[[#This Row],[Popolazione2011]]&gt;300000,"MAGGIORE","")</f>
        <v/>
      </c>
      <c r="J2492">
        <v>268</v>
      </c>
      <c r="K2492">
        <v>76708</v>
      </c>
      <c r="L2492">
        <v>16877</v>
      </c>
    </row>
    <row r="2493" spans="1:12" x14ac:dyDescent="0.2">
      <c r="A2493"/>
      <c r="B2493"/>
      <c r="C2493"/>
      <c r="D2493"/>
      <c r="E2493" s="2">
        <f>Comuni__2[[#This Row],[Popolazione2011]]/$D$7911</f>
        <v>9.4912621236359066E-6</v>
      </c>
      <c r="F2493">
        <f>SUMIFS($D$2:$D$7909, $B$2:$B$7909, "Liguria")</f>
        <v>1570694</v>
      </c>
      <c r="G2493" s="1">
        <f>Comuni__2[[#This Row],[Popolazione2011]]/Comuni__2[[#This Row],[POPOLAZIONE TOTALE DI OGNI REGIONE (CON FILTRO)]]</f>
        <v>3.5907694305829145E-4</v>
      </c>
      <c r="H2493" t="str">
        <f>IF(Comuni__2[[#This Row],[Popolazione2011]]&gt;300000,"MAGGIORE","")</f>
        <v/>
      </c>
      <c r="J2493">
        <v>273</v>
      </c>
      <c r="K2493">
        <v>76794</v>
      </c>
      <c r="L2493">
        <v>16880</v>
      </c>
    </row>
    <row r="2494" spans="1:12" x14ac:dyDescent="0.2">
      <c r="A2494"/>
      <c r="B2494"/>
      <c r="C2494"/>
      <c r="D2494"/>
      <c r="E2494" s="2">
        <f>Comuni__2[[#This Row],[Popolazione2011]]/$D$7911</f>
        <v>9.4407766868080565E-6</v>
      </c>
      <c r="F2494">
        <f>SUMIFS($D$2:$D$7909, $B$2:$B$7909, "Liguria")</f>
        <v>1570694</v>
      </c>
      <c r="G2494" s="1">
        <f>Comuni__2[[#This Row],[Popolazione2011]]/Comuni__2[[#This Row],[POPOLAZIONE TOTALE DI OGNI REGIONE (CON FILTRO)]]</f>
        <v>3.5716695931861967E-4</v>
      </c>
      <c r="H2494" t="str">
        <f>IF(Comuni__2[[#This Row],[Popolazione2011]]&gt;300000,"MAGGIORE","")</f>
        <v/>
      </c>
      <c r="J2494">
        <v>268</v>
      </c>
      <c r="K2494">
        <v>76818</v>
      </c>
      <c r="L2494">
        <v>16886</v>
      </c>
    </row>
    <row r="2495" spans="1:12" x14ac:dyDescent="0.2">
      <c r="A2495"/>
      <c r="B2495"/>
      <c r="C2495"/>
      <c r="D2495"/>
      <c r="E2495" s="2">
        <f>Comuni__2[[#This Row],[Popolazione2011]]/$D$7911</f>
        <v>9.3566342920949725E-6</v>
      </c>
      <c r="F2495">
        <f>SUMIFS($D$2:$D$7909, $B$2:$B$7909, "Liguria")</f>
        <v>1570694</v>
      </c>
      <c r="G2495" s="1">
        <f>Comuni__2[[#This Row],[Popolazione2011]]/Comuni__2[[#This Row],[POPOLAZIONE TOTALE DI OGNI REGIONE (CON FILTRO)]]</f>
        <v>3.5398365308583339E-4</v>
      </c>
      <c r="H2495" t="str">
        <f>IF(Comuni__2[[#This Row],[Popolazione2011]]&gt;300000,"MAGGIORE","")</f>
        <v/>
      </c>
      <c r="J2495">
        <v>275</v>
      </c>
      <c r="K2495">
        <v>76976</v>
      </c>
      <c r="L2495">
        <v>16888</v>
      </c>
    </row>
    <row r="2496" spans="1:12" x14ac:dyDescent="0.2">
      <c r="A2496"/>
      <c r="B2496"/>
      <c r="C2496"/>
      <c r="D2496"/>
      <c r="E2496" s="2">
        <f>Comuni__2[[#This Row],[Popolazione2011]]/$D$7911</f>
        <v>9.1042071079557188E-6</v>
      </c>
      <c r="F2496">
        <f>SUMIFS($D$2:$D$7909, $B$2:$B$7909, "Liguria")</f>
        <v>1570694</v>
      </c>
      <c r="G2496" s="1">
        <f>Comuni__2[[#This Row],[Popolazione2011]]/Comuni__2[[#This Row],[POPOLAZIONE TOTALE DI OGNI REGIONE (CON FILTRO)]]</f>
        <v>3.4443373438747461E-4</v>
      </c>
      <c r="H2496" t="str">
        <f>IF(Comuni__2[[#This Row],[Popolazione2011]]&gt;300000,"MAGGIORE","")</f>
        <v/>
      </c>
      <c r="J2496">
        <v>279</v>
      </c>
      <c r="K2496">
        <v>77088</v>
      </c>
      <c r="L2496">
        <v>16891</v>
      </c>
    </row>
    <row r="2497" spans="1:12" x14ac:dyDescent="0.2">
      <c r="A2497"/>
      <c r="B2497"/>
      <c r="C2497"/>
      <c r="D2497"/>
      <c r="E2497" s="2">
        <f>Comuni__2[[#This Row],[Popolazione2011]]/$D$7911</f>
        <v>9.0705501500704848E-6</v>
      </c>
      <c r="F2497">
        <f>SUMIFS($D$2:$D$7909, $B$2:$B$7909, "Liguria")</f>
        <v>1570694</v>
      </c>
      <c r="G2497" s="1">
        <f>Comuni__2[[#This Row],[Popolazione2011]]/Comuni__2[[#This Row],[POPOLAZIONE TOTALE DI OGNI REGIONE (CON FILTRO)]]</f>
        <v>3.4316041189436005E-4</v>
      </c>
      <c r="H2497" t="str">
        <f>IF(Comuni__2[[#This Row],[Popolazione2011]]&gt;300000,"MAGGIORE","")</f>
        <v/>
      </c>
      <c r="J2497">
        <v>286</v>
      </c>
      <c r="K2497">
        <v>77204</v>
      </c>
      <c r="L2497">
        <v>16892</v>
      </c>
    </row>
    <row r="2498" spans="1:12" x14ac:dyDescent="0.2">
      <c r="A2498"/>
      <c r="B2498"/>
      <c r="C2498"/>
      <c r="D2498"/>
      <c r="E2498" s="2">
        <f>Comuni__2[[#This Row],[Popolazione2011]]/$D$7911</f>
        <v>8.8181229659312328E-6</v>
      </c>
      <c r="F2498">
        <f>SUMIFS($D$2:$D$7909, $B$2:$B$7909, "Liguria")</f>
        <v>1570694</v>
      </c>
      <c r="G2498" s="1">
        <f>Comuni__2[[#This Row],[Popolazione2011]]/Comuni__2[[#This Row],[POPOLAZIONE TOTALE DI OGNI REGIONE (CON FILTRO)]]</f>
        <v>3.3361049319600126E-4</v>
      </c>
      <c r="H2498" t="str">
        <f>IF(Comuni__2[[#This Row],[Popolazione2011]]&gt;300000,"MAGGIORE","")</f>
        <v/>
      </c>
      <c r="J2498">
        <v>273</v>
      </c>
      <c r="K2498">
        <v>77318</v>
      </c>
      <c r="L2498">
        <v>16896</v>
      </c>
    </row>
    <row r="2499" spans="1:12" x14ac:dyDescent="0.2">
      <c r="A2499"/>
      <c r="B2499"/>
      <c r="C2499"/>
      <c r="D2499"/>
      <c r="E2499" s="2">
        <f>Comuni__2[[#This Row],[Popolazione2011]]/$D$7911</f>
        <v>8.767637529103381E-6</v>
      </c>
      <c r="F2499">
        <f>SUMIFS($D$2:$D$7909, $B$2:$B$7909, "Liguria")</f>
        <v>1570694</v>
      </c>
      <c r="G2499" s="1">
        <f>Comuni__2[[#This Row],[Popolazione2011]]/Comuni__2[[#This Row],[POPOLAZIONE TOTALE DI OGNI REGIONE (CON FILTRO)]]</f>
        <v>3.3170050945632948E-4</v>
      </c>
      <c r="H2499" t="str">
        <f>IF(Comuni__2[[#This Row],[Popolazione2011]]&gt;300000,"MAGGIORE","")</f>
        <v/>
      </c>
      <c r="J2499">
        <v>278</v>
      </c>
      <c r="K2499">
        <v>77611</v>
      </c>
      <c r="L2499">
        <v>16896</v>
      </c>
    </row>
    <row r="2500" spans="1:12" x14ac:dyDescent="0.2">
      <c r="A2500"/>
      <c r="B2500"/>
      <c r="C2500"/>
      <c r="D2500"/>
      <c r="E2500" s="2">
        <f>Comuni__2[[#This Row],[Popolazione2011]]/$D$7911</f>
        <v>8.7339805712181488E-6</v>
      </c>
      <c r="F2500">
        <f>SUMIFS($D$2:$D$7909, $B$2:$B$7909, "Liguria")</f>
        <v>1570694</v>
      </c>
      <c r="G2500" s="1">
        <f>Comuni__2[[#This Row],[Popolazione2011]]/Comuni__2[[#This Row],[POPOLAZIONE TOTALE DI OGNI REGIONE (CON FILTRO)]]</f>
        <v>3.3042718696321498E-4</v>
      </c>
      <c r="H2500" t="str">
        <f>IF(Comuni__2[[#This Row],[Popolazione2011]]&gt;300000,"MAGGIORE","")</f>
        <v/>
      </c>
      <c r="J2500">
        <v>280</v>
      </c>
      <c r="K2500">
        <v>77651</v>
      </c>
      <c r="L2500">
        <v>16899</v>
      </c>
    </row>
    <row r="2501" spans="1:12" x14ac:dyDescent="0.2">
      <c r="A2501"/>
      <c r="B2501"/>
      <c r="C2501"/>
      <c r="D2501"/>
      <c r="E2501" s="2">
        <f>Comuni__2[[#This Row],[Popolazione2011]]/$D$7911</f>
        <v>8.7003236133329148E-6</v>
      </c>
      <c r="F2501">
        <f>SUMIFS($D$2:$D$7909, $B$2:$B$7909, "Liguria")</f>
        <v>1570694</v>
      </c>
      <c r="G2501" s="1">
        <f>Comuni__2[[#This Row],[Popolazione2011]]/Comuni__2[[#This Row],[POPOLAZIONE TOTALE DI OGNI REGIONE (CON FILTRO)]]</f>
        <v>3.2915386447010048E-4</v>
      </c>
      <c r="H2501" t="str">
        <f>IF(Comuni__2[[#This Row],[Popolazione2011]]&gt;300000,"MAGGIORE","")</f>
        <v/>
      </c>
      <c r="J2501">
        <v>290</v>
      </c>
      <c r="K2501">
        <v>77715</v>
      </c>
      <c r="L2501">
        <v>16901</v>
      </c>
    </row>
    <row r="2502" spans="1:12" x14ac:dyDescent="0.2">
      <c r="A2502"/>
      <c r="B2502"/>
      <c r="C2502"/>
      <c r="D2502"/>
      <c r="E2502" s="2">
        <f>Comuni__2[[#This Row],[Popolazione2011]]/$D$7911</f>
        <v>8.481553387078895E-6</v>
      </c>
      <c r="F2502">
        <f>SUMIFS($D$2:$D$7909, $B$2:$B$7909, "Liguria")</f>
        <v>1570694</v>
      </c>
      <c r="G2502" s="1">
        <f>Comuni__2[[#This Row],[Popolazione2011]]/Comuni__2[[#This Row],[POPOLAZIONE TOTALE DI OGNI REGIONE (CON FILTRO)]]</f>
        <v>3.208772682648562E-4</v>
      </c>
      <c r="H2502" t="str">
        <f>IF(Comuni__2[[#This Row],[Popolazione2011]]&gt;300000,"MAGGIORE","")</f>
        <v/>
      </c>
      <c r="J2502">
        <v>292</v>
      </c>
      <c r="K2502">
        <v>77938</v>
      </c>
      <c r="L2502">
        <v>16903</v>
      </c>
    </row>
    <row r="2503" spans="1:12" x14ac:dyDescent="0.2">
      <c r="A2503"/>
      <c r="B2503"/>
      <c r="C2503"/>
      <c r="D2503"/>
      <c r="E2503" s="2">
        <f>Comuni__2[[#This Row],[Popolazione2011]]/$D$7911</f>
        <v>8.4142394713084271E-6</v>
      </c>
      <c r="F2503">
        <f>SUMIFS($D$2:$D$7909, $B$2:$B$7909, "Liguria")</f>
        <v>1570694</v>
      </c>
      <c r="G2503" s="1">
        <f>Comuni__2[[#This Row],[Popolazione2011]]/Comuni__2[[#This Row],[POPOLAZIONE TOTALE DI OGNI REGIONE (CON FILTRO)]]</f>
        <v>3.1833062327862714E-4</v>
      </c>
      <c r="H2503" t="str">
        <f>IF(Comuni__2[[#This Row],[Popolazione2011]]&gt;300000,"MAGGIORE","")</f>
        <v/>
      </c>
      <c r="J2503">
        <v>294</v>
      </c>
      <c r="K2503">
        <v>78090</v>
      </c>
      <c r="L2503">
        <v>16905</v>
      </c>
    </row>
    <row r="2504" spans="1:12" x14ac:dyDescent="0.2">
      <c r="A2504"/>
      <c r="B2504"/>
      <c r="C2504"/>
      <c r="D2504"/>
      <c r="E2504" s="2">
        <f>Comuni__2[[#This Row],[Popolazione2011]]/$D$7911</f>
        <v>7.8925566240873052E-6</v>
      </c>
      <c r="F2504">
        <f>SUMIFS($D$2:$D$7909, $B$2:$B$7909, "Liguria")</f>
        <v>1570694</v>
      </c>
      <c r="G2504" s="1">
        <f>Comuni__2[[#This Row],[Popolazione2011]]/Comuni__2[[#This Row],[POPOLAZIONE TOTALE DI OGNI REGIONE (CON FILTRO)]]</f>
        <v>2.9859412463535229E-4</v>
      </c>
      <c r="H2504" t="str">
        <f>IF(Comuni__2[[#This Row],[Popolazione2011]]&gt;300000,"MAGGIORE","")</f>
        <v/>
      </c>
      <c r="J2504">
        <v>304</v>
      </c>
      <c r="K2504">
        <v>78240</v>
      </c>
      <c r="L2504">
        <v>16906</v>
      </c>
    </row>
    <row r="2505" spans="1:12" x14ac:dyDescent="0.2">
      <c r="A2505"/>
      <c r="B2505"/>
      <c r="C2505"/>
      <c r="D2505"/>
      <c r="E2505" s="2">
        <f>Comuni__2[[#This Row],[Popolazione2011]]/$D$7911</f>
        <v>7.7915857504316034E-6</v>
      </c>
      <c r="F2505">
        <f>SUMIFS($D$2:$D$7909, $B$2:$B$7909, "Liguria")</f>
        <v>1570694</v>
      </c>
      <c r="G2505" s="1">
        <f>Comuni__2[[#This Row],[Popolazione2011]]/Comuni__2[[#This Row],[POPOLAZIONE TOTALE DI OGNI REGIONE (CON FILTRO)]]</f>
        <v>2.9477415715600873E-4</v>
      </c>
      <c r="H2505" t="str">
        <f>IF(Comuni__2[[#This Row],[Popolazione2011]]&gt;300000,"MAGGIORE","")</f>
        <v/>
      </c>
      <c r="J2505">
        <v>316</v>
      </c>
      <c r="K2505">
        <v>78369</v>
      </c>
      <c r="L2505">
        <v>16908</v>
      </c>
    </row>
    <row r="2506" spans="1:12" x14ac:dyDescent="0.2">
      <c r="A2506"/>
      <c r="B2506"/>
      <c r="C2506"/>
      <c r="D2506"/>
      <c r="E2506" s="2">
        <f>Comuni__2[[#This Row],[Popolazione2011]]/$D$7911</f>
        <v>7.7915857504316034E-6</v>
      </c>
      <c r="F2506">
        <f>SUMIFS($D$2:$D$7909, $B$2:$B$7909, "Liguria")</f>
        <v>1570694</v>
      </c>
      <c r="G2506" s="1">
        <f>Comuni__2[[#This Row],[Popolazione2011]]/Comuni__2[[#This Row],[POPOLAZIONE TOTALE DI OGNI REGIONE (CON FILTRO)]]</f>
        <v>2.9477415715600873E-4</v>
      </c>
      <c r="H2506" t="str">
        <f>IF(Comuni__2[[#This Row],[Popolazione2011]]&gt;300000,"MAGGIORE","")</f>
        <v/>
      </c>
      <c r="J2506">
        <v>307</v>
      </c>
      <c r="K2506">
        <v>78695</v>
      </c>
      <c r="L2506">
        <v>16917</v>
      </c>
    </row>
    <row r="2507" spans="1:12" x14ac:dyDescent="0.2">
      <c r="A2507"/>
      <c r="B2507"/>
      <c r="C2507"/>
      <c r="D2507"/>
      <c r="E2507" s="2">
        <f>Comuni__2[[#This Row],[Popolazione2011]]/$D$7911</f>
        <v>7.7579287925463711E-6</v>
      </c>
      <c r="F2507">
        <f>SUMIFS($D$2:$D$7909, $B$2:$B$7909, "Liguria")</f>
        <v>1570694</v>
      </c>
      <c r="G2507" s="1">
        <f>Comuni__2[[#This Row],[Popolazione2011]]/Comuni__2[[#This Row],[POPOLAZIONE TOTALE DI OGNI REGIONE (CON FILTRO)]]</f>
        <v>2.9350083466289423E-4</v>
      </c>
      <c r="H2507" t="str">
        <f>IF(Comuni__2[[#This Row],[Popolazione2011]]&gt;300000,"MAGGIORE","")</f>
        <v/>
      </c>
      <c r="J2507">
        <v>302</v>
      </c>
      <c r="K2507">
        <v>78829</v>
      </c>
      <c r="L2507">
        <v>16922</v>
      </c>
    </row>
    <row r="2508" spans="1:12" x14ac:dyDescent="0.2">
      <c r="A2508"/>
      <c r="B2508"/>
      <c r="C2508"/>
      <c r="D2508"/>
      <c r="E2508" s="2">
        <f>Comuni__2[[#This Row],[Popolazione2011]]/$D$7911</f>
        <v>7.7411003136037533E-6</v>
      </c>
      <c r="F2508">
        <f>SUMIFS($D$2:$D$7909, $B$2:$B$7909, "Liguria")</f>
        <v>1570694</v>
      </c>
      <c r="G2508" s="1">
        <f>Comuni__2[[#This Row],[Popolazione2011]]/Comuni__2[[#This Row],[POPOLAZIONE TOTALE DI OGNI REGIONE (CON FILTRO)]]</f>
        <v>2.92864173416337E-4</v>
      </c>
      <c r="H2508" t="str">
        <f>IF(Comuni__2[[#This Row],[Popolazione2011]]&gt;300000,"MAGGIORE","")</f>
        <v/>
      </c>
      <c r="J2508">
        <v>319</v>
      </c>
      <c r="K2508">
        <v>78849</v>
      </c>
      <c r="L2508">
        <v>16923</v>
      </c>
    </row>
    <row r="2509" spans="1:12" x14ac:dyDescent="0.2">
      <c r="A2509"/>
      <c r="B2509"/>
      <c r="C2509"/>
      <c r="D2509"/>
      <c r="E2509" s="2">
        <f>Comuni__2[[#This Row],[Popolazione2011]]/$D$7911</f>
        <v>7.6233009610054353E-6</v>
      </c>
      <c r="F2509">
        <f>SUMIFS($D$2:$D$7909, $B$2:$B$7909, "Liguria")</f>
        <v>1570694</v>
      </c>
      <c r="G2509" s="1">
        <f>Comuni__2[[#This Row],[Popolazione2011]]/Comuni__2[[#This Row],[POPOLAZIONE TOTALE DI OGNI REGIONE (CON FILTRO)]]</f>
        <v>2.8840754469043622E-4</v>
      </c>
      <c r="H2509" t="str">
        <f>IF(Comuni__2[[#This Row],[Popolazione2011]]&gt;300000,"MAGGIORE","")</f>
        <v/>
      </c>
      <c r="J2509">
        <v>328</v>
      </c>
      <c r="K2509">
        <v>79078</v>
      </c>
      <c r="L2509">
        <v>16925</v>
      </c>
    </row>
    <row r="2510" spans="1:12" x14ac:dyDescent="0.2">
      <c r="A2510"/>
      <c r="B2510"/>
      <c r="C2510"/>
      <c r="D2510"/>
      <c r="E2510" s="2">
        <f>Comuni__2[[#This Row],[Popolazione2011]]/$D$7911</f>
        <v>7.3540452979235663E-6</v>
      </c>
      <c r="F2510">
        <f>SUMIFS($D$2:$D$7909, $B$2:$B$7909, "Liguria")</f>
        <v>1570694</v>
      </c>
      <c r="G2510" s="1">
        <f>Comuni__2[[#This Row],[Popolazione2011]]/Comuni__2[[#This Row],[POPOLAZIONE TOTALE DI OGNI REGIONE (CON FILTRO)]]</f>
        <v>2.7822096474552015E-4</v>
      </c>
      <c r="H2510" t="str">
        <f>IF(Comuni__2[[#This Row],[Popolazione2011]]&gt;300000,"MAGGIORE","")</f>
        <v/>
      </c>
      <c r="J2510">
        <v>341</v>
      </c>
      <c r="K2510">
        <v>79197</v>
      </c>
      <c r="L2510">
        <v>16925</v>
      </c>
    </row>
    <row r="2511" spans="1:12" x14ac:dyDescent="0.2">
      <c r="A2511"/>
      <c r="B2511"/>
      <c r="C2511"/>
      <c r="D2511"/>
      <c r="E2511" s="2">
        <f>Comuni__2[[#This Row],[Popolazione2011]]/$D$7911</f>
        <v>7.1352750716695465E-6</v>
      </c>
      <c r="F2511">
        <f>SUMIFS($D$2:$D$7909, $B$2:$B$7909, "Liguria")</f>
        <v>1570694</v>
      </c>
      <c r="G2511" s="1">
        <f>Comuni__2[[#This Row],[Popolazione2011]]/Comuni__2[[#This Row],[POPOLAZIONE TOTALE DI OGNI REGIONE (CON FILTRO)]]</f>
        <v>2.6994436854027581E-4</v>
      </c>
      <c r="H2511" t="str">
        <f>IF(Comuni__2[[#This Row],[Popolazione2011]]&gt;300000,"MAGGIORE","")</f>
        <v/>
      </c>
      <c r="J2511">
        <v>334</v>
      </c>
      <c r="K2511">
        <v>79472</v>
      </c>
      <c r="L2511">
        <v>16935</v>
      </c>
    </row>
    <row r="2512" spans="1:12" x14ac:dyDescent="0.2">
      <c r="A2512"/>
      <c r="B2512"/>
      <c r="C2512"/>
      <c r="D2512"/>
      <c r="E2512" s="2">
        <f>Comuni__2[[#This Row],[Popolazione2011]]/$D$7911</f>
        <v>6.7818770138745926E-6</v>
      </c>
      <c r="F2512">
        <f>SUMIFS($D$2:$D$7909, $B$2:$B$7909, "Liguria")</f>
        <v>1570694</v>
      </c>
      <c r="G2512" s="1">
        <f>Comuni__2[[#This Row],[Popolazione2011]]/Comuni__2[[#This Row],[POPOLAZIONE TOTALE DI OGNI REGIONE (CON FILTRO)]]</f>
        <v>2.5657448236257347E-4</v>
      </c>
      <c r="H2512" t="str">
        <f>IF(Comuni__2[[#This Row],[Popolazione2011]]&gt;300000,"MAGGIORE","")</f>
        <v/>
      </c>
      <c r="J2512">
        <v>330</v>
      </c>
      <c r="K2512">
        <v>79624</v>
      </c>
      <c r="L2512">
        <v>16937</v>
      </c>
    </row>
    <row r="2513" spans="1:12" x14ac:dyDescent="0.2">
      <c r="A2513"/>
      <c r="B2513"/>
      <c r="C2513"/>
      <c r="D2513"/>
      <c r="E2513" s="2">
        <f>Comuni__2[[#This Row],[Popolazione2011]]/$D$7911</f>
        <v>6.7482200559893595E-6</v>
      </c>
      <c r="F2513">
        <f>SUMIFS($D$2:$D$7909, $B$2:$B$7909, "Liguria")</f>
        <v>1570694</v>
      </c>
      <c r="G2513" s="1">
        <f>Comuni__2[[#This Row],[Popolazione2011]]/Comuni__2[[#This Row],[POPOLAZIONE TOTALE DI OGNI REGIONE (CON FILTRO)]]</f>
        <v>2.5530115986945897E-4</v>
      </c>
      <c r="H2513" t="str">
        <f>IF(Comuni__2[[#This Row],[Popolazione2011]]&gt;300000,"MAGGIORE","")</f>
        <v/>
      </c>
      <c r="J2513">
        <v>342</v>
      </c>
      <c r="K2513">
        <v>79960</v>
      </c>
      <c r="L2513">
        <v>16941</v>
      </c>
    </row>
    <row r="2514" spans="1:12" x14ac:dyDescent="0.2">
      <c r="A2514"/>
      <c r="B2514"/>
      <c r="C2514"/>
      <c r="D2514"/>
      <c r="E2514" s="2">
        <f>Comuni__2[[#This Row],[Popolazione2011]]/$D$7911</f>
        <v>6.2938511245387038E-6</v>
      </c>
      <c r="F2514">
        <f>SUMIFS($D$2:$D$7909, $B$2:$B$7909, "Liguria")</f>
        <v>1570694</v>
      </c>
      <c r="G2514" s="1">
        <f>Comuni__2[[#This Row],[Popolazione2011]]/Comuni__2[[#This Row],[POPOLAZIONE TOTALE DI OGNI REGIONE (CON FILTRO)]]</f>
        <v>2.3811130621241312E-4</v>
      </c>
      <c r="H2514" t="str">
        <f>IF(Comuni__2[[#This Row],[Popolazione2011]]&gt;300000,"MAGGIORE","")</f>
        <v/>
      </c>
      <c r="J2514">
        <v>333</v>
      </c>
      <c r="K2514">
        <v>80021</v>
      </c>
      <c r="L2514">
        <v>16946</v>
      </c>
    </row>
    <row r="2515" spans="1:12" x14ac:dyDescent="0.2">
      <c r="A2515"/>
      <c r="B2515"/>
      <c r="C2515"/>
      <c r="D2515"/>
      <c r="E2515" s="2">
        <f>Comuni__2[[#This Row],[Popolazione2011]]/$D$7911</f>
        <v>6.2433656877108537E-6</v>
      </c>
      <c r="F2515">
        <f>SUMIFS($D$2:$D$7909, $B$2:$B$7909, "Liguria")</f>
        <v>1570694</v>
      </c>
      <c r="G2515" s="1">
        <f>Comuni__2[[#This Row],[Popolazione2011]]/Comuni__2[[#This Row],[POPOLAZIONE TOTALE DI OGNI REGIONE (CON FILTRO)]]</f>
        <v>2.3620132247274134E-4</v>
      </c>
      <c r="H2515" t="str">
        <f>IF(Comuni__2[[#This Row],[Popolazione2011]]&gt;300000,"MAGGIORE","")</f>
        <v/>
      </c>
      <c r="J2515">
        <v>337</v>
      </c>
      <c r="K2515">
        <v>80041</v>
      </c>
      <c r="L2515">
        <v>16948</v>
      </c>
    </row>
    <row r="2516" spans="1:12" x14ac:dyDescent="0.2">
      <c r="A2516"/>
      <c r="B2516"/>
      <c r="C2516"/>
      <c r="D2516"/>
      <c r="E2516" s="2">
        <f>Comuni__2[[#This Row],[Popolazione2011]]/$D$7911</f>
        <v>5.8226537141454319E-6</v>
      </c>
      <c r="F2516">
        <f>SUMIFS($D$2:$D$7909, $B$2:$B$7909, "Liguria")</f>
        <v>1570694</v>
      </c>
      <c r="G2516" s="1">
        <f>Comuni__2[[#This Row],[Popolazione2011]]/Comuni__2[[#This Row],[POPOLAZIONE TOTALE DI OGNI REGIONE (CON FILTRO)]]</f>
        <v>2.2028479130880999E-4</v>
      </c>
      <c r="H2516" t="str">
        <f>IF(Comuni__2[[#This Row],[Popolazione2011]]&gt;300000,"MAGGIORE","")</f>
        <v/>
      </c>
      <c r="J2516">
        <v>348</v>
      </c>
      <c r="K2516">
        <v>80476</v>
      </c>
      <c r="L2516">
        <v>16951</v>
      </c>
    </row>
    <row r="2517" spans="1:12" x14ac:dyDescent="0.2">
      <c r="A2517"/>
      <c r="B2517"/>
      <c r="C2517"/>
      <c r="D2517"/>
      <c r="E2517" s="2">
        <f>Comuni__2[[#This Row],[Popolazione2011]]/$D$7911</f>
        <v>5.5365695721209459E-6</v>
      </c>
      <c r="F2517">
        <f>SUMIFS($D$2:$D$7909, $B$2:$B$7909, "Liguria")</f>
        <v>1570694</v>
      </c>
      <c r="G2517" s="1">
        <f>Comuni__2[[#This Row],[Popolazione2011]]/Comuni__2[[#This Row],[POPOLAZIONE TOTALE DI OGNI REGIONE (CON FILTRO)]]</f>
        <v>2.0946155011733667E-4</v>
      </c>
      <c r="H2517" t="str">
        <f>IF(Comuni__2[[#This Row],[Popolazione2011]]&gt;300000,"MAGGIORE","")</f>
        <v/>
      </c>
      <c r="J2517">
        <v>340</v>
      </c>
      <c r="K2517">
        <v>80712</v>
      </c>
      <c r="L2517">
        <v>16955</v>
      </c>
    </row>
    <row r="2518" spans="1:12" x14ac:dyDescent="0.2">
      <c r="A2518"/>
      <c r="B2518"/>
      <c r="C2518"/>
      <c r="D2518"/>
      <c r="E2518" s="2">
        <f>Comuni__2[[#This Row],[Popolazione2011]]/$D$7911</f>
        <v>5.4355986984652441E-6</v>
      </c>
      <c r="F2518">
        <f>SUMIFS($D$2:$D$7909, $B$2:$B$7909, "Liguria")</f>
        <v>1570694</v>
      </c>
      <c r="G2518" s="1">
        <f>Comuni__2[[#This Row],[Popolazione2011]]/Comuni__2[[#This Row],[POPOLAZIONE TOTALE DI OGNI REGIONE (CON FILTRO)]]</f>
        <v>2.0564158263799314E-4</v>
      </c>
      <c r="H2518" t="str">
        <f>IF(Comuni__2[[#This Row],[Popolazione2011]]&gt;300000,"MAGGIORE","")</f>
        <v/>
      </c>
      <c r="J2518">
        <v>333</v>
      </c>
      <c r="K2518">
        <v>80924</v>
      </c>
      <c r="L2518">
        <v>16960</v>
      </c>
    </row>
    <row r="2519" spans="1:12" x14ac:dyDescent="0.2">
      <c r="A2519"/>
      <c r="B2519"/>
      <c r="C2519"/>
      <c r="D2519"/>
      <c r="E2519" s="2">
        <f>Comuni__2[[#This Row],[Popolazione2011]]/$D$7911</f>
        <v>5.4187702195226271E-6</v>
      </c>
      <c r="F2519">
        <f>SUMIFS($D$2:$D$7909, $B$2:$B$7909, "Liguria")</f>
        <v>1570694</v>
      </c>
      <c r="G2519" s="1">
        <f>Comuni__2[[#This Row],[Popolazione2011]]/Comuni__2[[#This Row],[POPOLAZIONE TOTALE DI OGNI REGIONE (CON FILTRO)]]</f>
        <v>2.0500492139143589E-4</v>
      </c>
      <c r="H2519" t="str">
        <f>IF(Comuni__2[[#This Row],[Popolazione2011]]&gt;300000,"MAGGIORE","")</f>
        <v/>
      </c>
      <c r="J2519">
        <v>341</v>
      </c>
      <c r="K2519">
        <v>81228</v>
      </c>
      <c r="L2519">
        <v>16964</v>
      </c>
    </row>
    <row r="2520" spans="1:12" x14ac:dyDescent="0.2">
      <c r="A2520"/>
      <c r="B2520"/>
      <c r="C2520"/>
      <c r="D2520"/>
      <c r="E2520" s="2">
        <f>Comuni__2[[#This Row],[Popolazione2011]]/$D$7911</f>
        <v>5.401941740580011E-6</v>
      </c>
      <c r="F2520">
        <f>SUMIFS($D$2:$D$7909, $B$2:$B$7909, "Liguria")</f>
        <v>1570694</v>
      </c>
      <c r="G2520" s="1">
        <f>Comuni__2[[#This Row],[Popolazione2011]]/Comuni__2[[#This Row],[POPOLAZIONE TOTALE DI OGNI REGIONE (CON FILTRO)]]</f>
        <v>2.0436826014487864E-4</v>
      </c>
      <c r="H2520" t="str">
        <f>IF(Comuni__2[[#This Row],[Popolazione2011]]&gt;300000,"MAGGIORE","")</f>
        <v/>
      </c>
      <c r="J2520">
        <v>335</v>
      </c>
      <c r="K2520">
        <v>81620</v>
      </c>
      <c r="L2520">
        <v>16969</v>
      </c>
    </row>
    <row r="2521" spans="1:12" x14ac:dyDescent="0.2">
      <c r="A2521"/>
      <c r="B2521"/>
      <c r="C2521"/>
      <c r="D2521"/>
      <c r="E2521" s="2">
        <f>Comuni__2[[#This Row],[Popolazione2011]]/$D$7911</f>
        <v>5.2504854300964591E-6</v>
      </c>
      <c r="F2521">
        <f>SUMIFS($D$2:$D$7909, $B$2:$B$7909, "Liguria")</f>
        <v>1570694</v>
      </c>
      <c r="G2521" s="1">
        <f>Comuni__2[[#This Row],[Popolazione2011]]/Comuni__2[[#This Row],[POPOLAZIONE TOTALE DI OGNI REGIONE (CON FILTRO)]]</f>
        <v>1.9863830892586336E-4</v>
      </c>
      <c r="H2521" t="str">
        <f>IF(Comuni__2[[#This Row],[Popolazione2011]]&gt;300000,"MAGGIORE","")</f>
        <v/>
      </c>
      <c r="J2521">
        <v>335</v>
      </c>
      <c r="K2521">
        <v>81733</v>
      </c>
      <c r="L2521">
        <v>16971</v>
      </c>
    </row>
    <row r="2522" spans="1:12" x14ac:dyDescent="0.2">
      <c r="A2522"/>
      <c r="B2522"/>
      <c r="C2522"/>
      <c r="D2522"/>
      <c r="E2522" s="2">
        <f>Comuni__2[[#This Row],[Popolazione2011]]/$D$7911</f>
        <v>5.0990291196129072E-6</v>
      </c>
      <c r="F2522">
        <f>SUMIFS($D$2:$D$7909, $B$2:$B$7909, "Liguria")</f>
        <v>1570694</v>
      </c>
      <c r="G2522" s="1">
        <f>Comuni__2[[#This Row],[Popolazione2011]]/Comuni__2[[#This Row],[POPOLAZIONE TOTALE DI OGNI REGIONE (CON FILTRO)]]</f>
        <v>1.9290835770684805E-4</v>
      </c>
      <c r="H2522" t="str">
        <f>IF(Comuni__2[[#This Row],[Popolazione2011]]&gt;300000,"MAGGIORE","")</f>
        <v/>
      </c>
      <c r="J2522">
        <v>346</v>
      </c>
      <c r="K2522">
        <v>81811</v>
      </c>
      <c r="L2522">
        <v>16973</v>
      </c>
    </row>
    <row r="2523" spans="1:12" x14ac:dyDescent="0.2">
      <c r="A2523"/>
      <c r="B2523"/>
      <c r="C2523"/>
      <c r="D2523"/>
      <c r="E2523" s="2">
        <f>Comuni__2[[#This Row],[Popolazione2011]]/$D$7911</f>
        <v>4.8297734565310373E-6</v>
      </c>
      <c r="F2523">
        <f>SUMIFS($D$2:$D$7909, $B$2:$B$7909, "Liguria")</f>
        <v>1570694</v>
      </c>
      <c r="G2523" s="1">
        <f>Comuni__2[[#This Row],[Popolazione2011]]/Comuni__2[[#This Row],[POPOLAZIONE TOTALE DI OGNI REGIONE (CON FILTRO)]]</f>
        <v>1.8272177776193198E-4</v>
      </c>
      <c r="H2523" t="str">
        <f>IF(Comuni__2[[#This Row],[Popolazione2011]]&gt;300000,"MAGGIORE","")</f>
        <v/>
      </c>
      <c r="J2523">
        <v>360</v>
      </c>
      <c r="K2523">
        <v>82184</v>
      </c>
      <c r="L2523">
        <v>16973</v>
      </c>
    </row>
    <row r="2524" spans="1:12" x14ac:dyDescent="0.2">
      <c r="A2524"/>
      <c r="B2524"/>
      <c r="C2524"/>
      <c r="D2524"/>
      <c r="E2524" s="2">
        <f>Comuni__2[[#This Row],[Popolazione2011]]/$D$7911</f>
        <v>4.8129449775884203E-6</v>
      </c>
      <c r="F2524">
        <f>SUMIFS($D$2:$D$7909, $B$2:$B$7909, "Liguria")</f>
        <v>1570694</v>
      </c>
      <c r="G2524" s="1">
        <f>Comuni__2[[#This Row],[Popolazione2011]]/Comuni__2[[#This Row],[POPOLAZIONE TOTALE DI OGNI REGIONE (CON FILTRO)]]</f>
        <v>1.8208511651537473E-4</v>
      </c>
      <c r="H2524" t="str">
        <f>IF(Comuni__2[[#This Row],[Popolazione2011]]&gt;300000,"MAGGIORE","")</f>
        <v/>
      </c>
      <c r="J2524">
        <v>379</v>
      </c>
      <c r="K2524">
        <v>82331</v>
      </c>
      <c r="L2524">
        <v>16978</v>
      </c>
    </row>
    <row r="2525" spans="1:12" x14ac:dyDescent="0.2">
      <c r="A2525"/>
      <c r="B2525"/>
      <c r="C2525"/>
      <c r="D2525"/>
      <c r="E2525" s="2">
        <f>Comuni__2[[#This Row],[Popolazione2011]]/$D$7911</f>
        <v>4.7119741039327194E-6</v>
      </c>
      <c r="F2525">
        <f>SUMIFS($D$2:$D$7909, $B$2:$B$7909, "Liguria")</f>
        <v>1570694</v>
      </c>
      <c r="G2525" s="1">
        <f>Comuni__2[[#This Row],[Popolazione2011]]/Comuni__2[[#This Row],[POPOLAZIONE TOTALE DI OGNI REGIONE (CON FILTRO)]]</f>
        <v>1.782651490360312E-4</v>
      </c>
      <c r="H2525" t="str">
        <f>IF(Comuni__2[[#This Row],[Popolazione2011]]&gt;300000,"MAGGIORE","")</f>
        <v/>
      </c>
      <c r="J2525">
        <v>402</v>
      </c>
      <c r="K2525">
        <v>82484</v>
      </c>
      <c r="L2525">
        <v>16979</v>
      </c>
    </row>
    <row r="2526" spans="1:12" x14ac:dyDescent="0.2">
      <c r="A2526"/>
      <c r="B2526"/>
      <c r="C2526"/>
      <c r="D2526"/>
      <c r="E2526" s="2">
        <f>Comuni__2[[#This Row],[Popolazione2011]]/$D$7911</f>
        <v>4.6110032302770184E-6</v>
      </c>
      <c r="F2526">
        <f>SUMIFS($D$2:$D$7909, $B$2:$B$7909, "Liguria")</f>
        <v>1570694</v>
      </c>
      <c r="G2526" s="1">
        <f>Comuni__2[[#This Row],[Popolazione2011]]/Comuni__2[[#This Row],[POPOLAZIONE TOTALE DI OGNI REGIONE (CON FILTRO)]]</f>
        <v>1.7444518155668767E-4</v>
      </c>
      <c r="H2526" t="str">
        <f>IF(Comuni__2[[#This Row],[Popolazione2011]]&gt;300000,"MAGGIORE","")</f>
        <v/>
      </c>
      <c r="J2526">
        <v>415</v>
      </c>
      <c r="K2526">
        <v>82744</v>
      </c>
      <c r="L2526">
        <v>16980</v>
      </c>
    </row>
    <row r="2527" spans="1:12" x14ac:dyDescent="0.2">
      <c r="A2527"/>
      <c r="B2527"/>
      <c r="C2527"/>
      <c r="D2527"/>
      <c r="E2527" s="2">
        <f>Comuni__2[[#This Row],[Popolazione2011]]/$D$7911</f>
        <v>4.6110032302770184E-6</v>
      </c>
      <c r="F2527">
        <f>SUMIFS($D$2:$D$7909, $B$2:$B$7909, "Liguria")</f>
        <v>1570694</v>
      </c>
      <c r="G2527" s="1">
        <f>Comuni__2[[#This Row],[Popolazione2011]]/Comuni__2[[#This Row],[POPOLAZIONE TOTALE DI OGNI REGIONE (CON FILTRO)]]</f>
        <v>1.7444518155668767E-4</v>
      </c>
      <c r="H2527" t="str">
        <f>IF(Comuni__2[[#This Row],[Popolazione2011]]&gt;300000,"MAGGIORE","")</f>
        <v/>
      </c>
      <c r="J2527">
        <v>452</v>
      </c>
      <c r="K2527">
        <v>82988</v>
      </c>
      <c r="L2527">
        <v>16982</v>
      </c>
    </row>
    <row r="2528" spans="1:12" x14ac:dyDescent="0.2">
      <c r="A2528"/>
      <c r="B2528"/>
      <c r="C2528"/>
      <c r="D2528"/>
      <c r="E2528" s="2">
        <f>Comuni__2[[#This Row],[Popolazione2011]]/$D$7911</f>
        <v>4.5773462723917844E-6</v>
      </c>
      <c r="F2528">
        <f>SUMIFS($D$2:$D$7909, $B$2:$B$7909, "Liguria")</f>
        <v>1570694</v>
      </c>
      <c r="G2528" s="1">
        <f>Comuni__2[[#This Row],[Popolazione2011]]/Comuni__2[[#This Row],[POPOLAZIONE TOTALE DI OGNI REGIONE (CON FILTRO)]]</f>
        <v>1.7317185906357317E-4</v>
      </c>
      <c r="H2528" t="str">
        <f>IF(Comuni__2[[#This Row],[Popolazione2011]]&gt;300000,"MAGGIORE","")</f>
        <v/>
      </c>
      <c r="J2528">
        <v>481</v>
      </c>
      <c r="K2528">
        <v>83190</v>
      </c>
      <c r="L2528">
        <v>16985</v>
      </c>
    </row>
    <row r="2529" spans="1:12" x14ac:dyDescent="0.2">
      <c r="A2529"/>
      <c r="B2529"/>
      <c r="C2529"/>
      <c r="D2529"/>
      <c r="E2529" s="2">
        <f>Comuni__2[[#This Row],[Popolazione2011]]/$D$7911</f>
        <v>4.3080906093099154E-6</v>
      </c>
      <c r="F2529">
        <f>SUMIFS($D$2:$D$7909, $B$2:$B$7909, "Liguria")</f>
        <v>1570694</v>
      </c>
      <c r="G2529" s="1">
        <f>Comuni__2[[#This Row],[Popolazione2011]]/Comuni__2[[#This Row],[POPOLAZIONE TOTALE DI OGNI REGIONE (CON FILTRO)]]</f>
        <v>1.629852791186571E-4</v>
      </c>
      <c r="H2529" t="str">
        <f>IF(Comuni__2[[#This Row],[Popolazione2011]]&gt;300000,"MAGGIORE","")</f>
        <v/>
      </c>
      <c r="J2529">
        <v>513</v>
      </c>
      <c r="K2529">
        <v>83353</v>
      </c>
      <c r="L2529">
        <v>16988</v>
      </c>
    </row>
    <row r="2530" spans="1:12" x14ac:dyDescent="0.2">
      <c r="A2530"/>
      <c r="B2530"/>
      <c r="C2530"/>
      <c r="D2530"/>
      <c r="E2530" s="2">
        <f>Comuni__2[[#This Row],[Popolazione2011]]/$D$7911</f>
        <v>4.1734627777689805E-6</v>
      </c>
      <c r="F2530">
        <f>SUMIFS($D$2:$D$7909, $B$2:$B$7909, "Liguria")</f>
        <v>1570694</v>
      </c>
      <c r="G2530" s="1">
        <f>Comuni__2[[#This Row],[Popolazione2011]]/Comuni__2[[#This Row],[POPOLAZIONE TOTALE DI OGNI REGIONE (CON FILTRO)]]</f>
        <v>1.5789198914619907E-4</v>
      </c>
      <c r="H2530" t="str">
        <f>IF(Comuni__2[[#This Row],[Popolazione2011]]&gt;300000,"MAGGIORE","")</f>
        <v/>
      </c>
      <c r="J2530">
        <v>608</v>
      </c>
      <c r="K2530">
        <v>83550</v>
      </c>
      <c r="L2530">
        <v>16994</v>
      </c>
    </row>
    <row r="2531" spans="1:12" x14ac:dyDescent="0.2">
      <c r="A2531"/>
      <c r="B2531"/>
      <c r="C2531"/>
      <c r="D2531"/>
      <c r="E2531" s="2">
        <f>Comuni__2[[#This Row],[Popolazione2011]]/$D$7911</f>
        <v>3.9378640725723445E-6</v>
      </c>
      <c r="F2531">
        <f>SUMIFS($D$2:$D$7909, $B$2:$B$7909, "Liguria")</f>
        <v>1570694</v>
      </c>
      <c r="G2531" s="1">
        <f>Comuni__2[[#This Row],[Popolazione2011]]/Comuni__2[[#This Row],[POPOLAZIONE TOTALE DI OGNI REGIONE (CON FILTRO)]]</f>
        <v>1.489787316943975E-4</v>
      </c>
      <c r="H2531" t="str">
        <f>IF(Comuni__2[[#This Row],[Popolazione2011]]&gt;300000,"MAGGIORE","")</f>
        <v/>
      </c>
      <c r="J2531">
        <v>709</v>
      </c>
      <c r="K2531">
        <v>84415</v>
      </c>
      <c r="L2531">
        <v>17011</v>
      </c>
    </row>
    <row r="2532" spans="1:12" x14ac:dyDescent="0.2">
      <c r="A2532"/>
      <c r="B2532"/>
      <c r="C2532"/>
      <c r="D2532"/>
      <c r="E2532" s="2">
        <f>Comuni__2[[#This Row],[Popolazione2011]]/$D$7911</f>
        <v>3.9042071146871106E-6</v>
      </c>
      <c r="F2532">
        <f>SUMIFS($D$2:$D$7909, $B$2:$B$7909, "Liguria")</f>
        <v>1570694</v>
      </c>
      <c r="G2532" s="1">
        <f>Comuni__2[[#This Row],[Popolazione2011]]/Comuni__2[[#This Row],[POPOLAZIONE TOTALE DI OGNI REGIONE (CON FILTRO)]]</f>
        <v>1.47705409201283E-4</v>
      </c>
      <c r="H2532" t="str">
        <f>IF(Comuni__2[[#This Row],[Popolazione2011]]&gt;300000,"MAGGIORE","")</f>
        <v/>
      </c>
      <c r="J2532">
        <v>798</v>
      </c>
      <c r="K2532">
        <v>84624</v>
      </c>
      <c r="L2532">
        <v>17037</v>
      </c>
    </row>
    <row r="2533" spans="1:12" x14ac:dyDescent="0.2">
      <c r="A2533"/>
      <c r="B2533"/>
      <c r="C2533"/>
      <c r="D2533"/>
      <c r="E2533" s="2">
        <f>Comuni__2[[#This Row],[Popolazione2011]]/$D$7911</f>
        <v>3.7864077620887926E-6</v>
      </c>
      <c r="F2533">
        <f>SUMIFS($D$2:$D$7909, $B$2:$B$7909, "Liguria")</f>
        <v>1570694</v>
      </c>
      <c r="G2533" s="1">
        <f>Comuni__2[[#This Row],[Popolazione2011]]/Comuni__2[[#This Row],[POPOLAZIONE TOTALE DI OGNI REGIONE (CON FILTRO)]]</f>
        <v>1.4324878047538222E-4</v>
      </c>
      <c r="H2533" t="str">
        <f>IF(Comuni__2[[#This Row],[Popolazione2011]]&gt;300000,"MAGGIORE","")</f>
        <v/>
      </c>
      <c r="J2533">
        <v>905</v>
      </c>
      <c r="K2533">
        <v>84958</v>
      </c>
      <c r="L2533">
        <v>17044</v>
      </c>
    </row>
    <row r="2534" spans="1:12" x14ac:dyDescent="0.2">
      <c r="A2534"/>
      <c r="B2534"/>
      <c r="C2534"/>
      <c r="D2534"/>
      <c r="E2534" s="2">
        <f>Comuni__2[[#This Row],[Popolazione2011]]/$D$7911</f>
        <v>3.7359223252609421E-6</v>
      </c>
      <c r="F2534">
        <f>SUMIFS($D$2:$D$7909, $B$2:$B$7909, "Liguria")</f>
        <v>1570694</v>
      </c>
      <c r="G2534" s="1">
        <f>Comuni__2[[#This Row],[Popolazione2011]]/Comuni__2[[#This Row],[POPOLAZIONE TOTALE DI OGNI REGIONE (CON FILTRO)]]</f>
        <v>1.4133879673571047E-4</v>
      </c>
      <c r="H2534" t="str">
        <f>IF(Comuni__2[[#This Row],[Popolazione2011]]&gt;300000,"MAGGIORE","")</f>
        <v/>
      </c>
      <c r="J2534">
        <v>1039</v>
      </c>
      <c r="K2534">
        <v>85112</v>
      </c>
      <c r="L2534">
        <v>17057</v>
      </c>
    </row>
    <row r="2535" spans="1:12" x14ac:dyDescent="0.2">
      <c r="A2535"/>
      <c r="B2535"/>
      <c r="C2535"/>
      <c r="D2535"/>
      <c r="E2535" s="2">
        <f>Comuni__2[[#This Row],[Popolazione2011]]/$D$7911</f>
        <v>3.6517799305478577E-6</v>
      </c>
      <c r="F2535">
        <f>SUMIFS($D$2:$D$7909, $B$2:$B$7909, "Liguria")</f>
        <v>1570694</v>
      </c>
      <c r="G2535" s="1">
        <f>Comuni__2[[#This Row],[Popolazione2011]]/Comuni__2[[#This Row],[POPOLAZIONE TOTALE DI OGNI REGIONE (CON FILTRO)]]</f>
        <v>1.3815549050292419E-4</v>
      </c>
      <c r="H2535" t="str">
        <f>IF(Comuni__2[[#This Row],[Popolazione2011]]&gt;300000,"MAGGIORE","")</f>
        <v/>
      </c>
      <c r="J2535">
        <v>1175</v>
      </c>
      <c r="K2535">
        <v>86397</v>
      </c>
      <c r="L2535">
        <v>17078</v>
      </c>
    </row>
    <row r="2536" spans="1:12" x14ac:dyDescent="0.2">
      <c r="A2536"/>
      <c r="B2536"/>
      <c r="C2536"/>
      <c r="D2536"/>
      <c r="E2536" s="2">
        <f>Comuni__2[[#This Row],[Popolazione2011]]/$D$7911</f>
        <v>3.5676375358347733E-6</v>
      </c>
      <c r="F2536">
        <f>SUMIFS($D$2:$D$7909, $B$2:$B$7909, "Liguria")</f>
        <v>1570694</v>
      </c>
      <c r="G2536" s="1">
        <f>Comuni__2[[#This Row],[Popolazione2011]]/Comuni__2[[#This Row],[POPOLAZIONE TOTALE DI OGNI REGIONE (CON FILTRO)]]</f>
        <v>1.3497218427013791E-4</v>
      </c>
      <c r="H2536" t="str">
        <f>IF(Comuni__2[[#This Row],[Popolazione2011]]&gt;300000,"MAGGIORE","")</f>
        <v/>
      </c>
      <c r="J2536">
        <v>1249</v>
      </c>
      <c r="K2536">
        <v>86738</v>
      </c>
      <c r="L2536">
        <v>17084</v>
      </c>
    </row>
    <row r="2537" spans="1:12" x14ac:dyDescent="0.2">
      <c r="A2537"/>
      <c r="B2537"/>
      <c r="C2537"/>
      <c r="D2537"/>
      <c r="E2537" s="2">
        <f>Comuni__2[[#This Row],[Popolazione2011]]/$D$7911</f>
        <v>3.4498381832364553E-6</v>
      </c>
      <c r="F2537">
        <f>SUMIFS($D$2:$D$7909, $B$2:$B$7909, "Liguria")</f>
        <v>1570694</v>
      </c>
      <c r="G2537" s="1">
        <f>Comuni__2[[#This Row],[Popolazione2011]]/Comuni__2[[#This Row],[POPOLAZIONE TOTALE DI OGNI REGIONE (CON FILTRO)]]</f>
        <v>1.3051555554423713E-4</v>
      </c>
      <c r="H2537" t="str">
        <f>IF(Comuni__2[[#This Row],[Popolazione2011]]&gt;300000,"MAGGIORE","")</f>
        <v/>
      </c>
      <c r="J2537">
        <v>1391</v>
      </c>
      <c r="K2537">
        <v>87072</v>
      </c>
      <c r="L2537">
        <v>17103</v>
      </c>
    </row>
    <row r="2538" spans="1:12" x14ac:dyDescent="0.2">
      <c r="A2538"/>
      <c r="B2538"/>
      <c r="C2538"/>
      <c r="D2538"/>
      <c r="E2538" s="2">
        <f>Comuni__2[[#This Row],[Popolazione2011]]/$D$7911</f>
        <v>2.9618122939005665E-6</v>
      </c>
      <c r="F2538">
        <f>SUMIFS($D$2:$D$7909, $B$2:$B$7909, "Liguria")</f>
        <v>1570694</v>
      </c>
      <c r="G2538" s="1">
        <f>Comuni__2[[#This Row],[Popolazione2011]]/Comuni__2[[#This Row],[POPOLAZIONE TOTALE DI OGNI REGIONE (CON FILTRO)]]</f>
        <v>1.1205237939407676E-4</v>
      </c>
      <c r="H2538" t="str">
        <f>IF(Comuni__2[[#This Row],[Popolazione2011]]&gt;300000,"MAGGIORE","")</f>
        <v/>
      </c>
      <c r="J2538">
        <v>1655</v>
      </c>
      <c r="K2538">
        <v>87591</v>
      </c>
      <c r="L2538">
        <v>17123</v>
      </c>
    </row>
    <row r="2539" spans="1:12" x14ac:dyDescent="0.2">
      <c r="A2539"/>
      <c r="B2539"/>
      <c r="C2539"/>
      <c r="D2539"/>
      <c r="E2539" s="2">
        <f>Comuni__2[[#This Row],[Popolazione2011]]/$D$7911</f>
        <v>2.894498378130099E-6</v>
      </c>
      <c r="F2539">
        <f>SUMIFS($D$2:$D$7909, $B$2:$B$7909, "Liguria")</f>
        <v>1570694</v>
      </c>
      <c r="G2539" s="1">
        <f>Comuni__2[[#This Row],[Popolazione2011]]/Comuni__2[[#This Row],[POPOLAZIONE TOTALE DI OGNI REGIONE (CON FILTRO)]]</f>
        <v>1.0950573440784774E-4</v>
      </c>
      <c r="H2539" t="str">
        <f>IF(Comuni__2[[#This Row],[Popolazione2011]]&gt;300000,"MAGGIORE","")</f>
        <v/>
      </c>
      <c r="J2539">
        <v>1841</v>
      </c>
      <c r="K2539">
        <v>88059</v>
      </c>
      <c r="L2539">
        <v>17152</v>
      </c>
    </row>
    <row r="2540" spans="1:12" x14ac:dyDescent="0.2">
      <c r="A2540"/>
      <c r="B2540"/>
      <c r="C2540"/>
      <c r="D2540"/>
      <c r="E2540" s="2">
        <f>Comuni__2[[#This Row],[Popolazione2011]]/$D$7911</f>
        <v>2.7093851097613136E-6</v>
      </c>
      <c r="F2540">
        <f>SUMIFS($D$2:$D$7909, $B$2:$B$7909, "Liguria")</f>
        <v>1570694</v>
      </c>
      <c r="G2540" s="1">
        <f>Comuni__2[[#This Row],[Popolazione2011]]/Comuni__2[[#This Row],[POPOLAZIONE TOTALE DI OGNI REGIONE (CON FILTRO)]]</f>
        <v>1.0250246069571795E-4</v>
      </c>
      <c r="H2540" t="str">
        <f>IF(Comuni__2[[#This Row],[Popolazione2011]]&gt;300000,"MAGGIORE","")</f>
        <v/>
      </c>
      <c r="J2540">
        <v>2197</v>
      </c>
      <c r="K2540">
        <v>88536</v>
      </c>
      <c r="L2540">
        <v>17159</v>
      </c>
    </row>
    <row r="2541" spans="1:12" x14ac:dyDescent="0.2">
      <c r="A2541"/>
      <c r="B2541"/>
      <c r="C2541"/>
      <c r="D2541"/>
      <c r="E2541" s="2">
        <f>Comuni__2[[#This Row],[Popolazione2011]]/$D$7911</f>
        <v>2.0867313888844902E-6</v>
      </c>
      <c r="F2541">
        <f>SUMIFS($D$2:$D$7909, $B$2:$B$7909, "Liguria")</f>
        <v>1570694</v>
      </c>
      <c r="G2541" s="1">
        <f>Comuni__2[[#This Row],[Popolazione2011]]/Comuni__2[[#This Row],[POPOLAZIONE TOTALE DI OGNI REGIONE (CON FILTRO)]]</f>
        <v>7.8945994573099534E-5</v>
      </c>
      <c r="H2541" t="str">
        <f>IF(Comuni__2[[#This Row],[Popolazione2011]]&gt;300000,"MAGGIORE","")</f>
        <v/>
      </c>
      <c r="J2541">
        <v>2366</v>
      </c>
      <c r="K2541">
        <v>88706</v>
      </c>
      <c r="L2541">
        <v>17210</v>
      </c>
    </row>
    <row r="2542" spans="1:12" x14ac:dyDescent="0.2">
      <c r="A2542"/>
      <c r="B2542"/>
      <c r="C2542"/>
      <c r="D2542"/>
      <c r="E2542" s="2">
        <f>Comuni__2[[#This Row],[Popolazione2011]]/$D$7911</f>
        <v>2.0362459520566397E-6</v>
      </c>
      <c r="F2542">
        <f>SUMIFS($D$2:$D$7909, $B$2:$B$7909, "Liguria")</f>
        <v>1570694</v>
      </c>
      <c r="G2542" s="1">
        <f>Comuni__2[[#This Row],[Popolazione2011]]/Comuni__2[[#This Row],[POPOLAZIONE TOTALE DI OGNI REGIONE (CON FILTRO)]]</f>
        <v>7.7036010833427768E-5</v>
      </c>
      <c r="H2542" t="str">
        <f>IF(Comuni__2[[#This Row],[Popolazione2011]]&gt;300000,"MAGGIORE","")</f>
        <v/>
      </c>
      <c r="J2542">
        <v>2557</v>
      </c>
      <c r="K2542">
        <v>89145</v>
      </c>
      <c r="L2542">
        <v>17235</v>
      </c>
    </row>
    <row r="2543" spans="1:12" x14ac:dyDescent="0.2">
      <c r="A2543"/>
      <c r="B2543"/>
      <c r="C2543"/>
      <c r="D2543"/>
      <c r="E2543" s="2">
        <f>Comuni__2[[#This Row],[Popolazione2011]]/$D$7911</f>
        <v>2.0362459520566397E-6</v>
      </c>
      <c r="F2543">
        <f>SUMIFS($D$2:$D$7909, $B$2:$B$7909, "Liguria")</f>
        <v>1570694</v>
      </c>
      <c r="G2543" s="1">
        <f>Comuni__2[[#This Row],[Popolazione2011]]/Comuni__2[[#This Row],[POPOLAZIONE TOTALE DI OGNI REGIONE (CON FILTRO)]]</f>
        <v>7.7036010833427768E-5</v>
      </c>
      <c r="H2543" t="str">
        <f>IF(Comuni__2[[#This Row],[Popolazione2011]]&gt;300000,"MAGGIORE","")</f>
        <v/>
      </c>
      <c r="J2543">
        <v>2701</v>
      </c>
      <c r="K2543">
        <v>90356</v>
      </c>
      <c r="L2543">
        <v>17252</v>
      </c>
    </row>
    <row r="2544" spans="1:12" x14ac:dyDescent="0.2">
      <c r="A2544"/>
      <c r="B2544"/>
      <c r="C2544"/>
      <c r="D2544"/>
      <c r="E2544" s="2">
        <f>Comuni__2[[#This Row],[Popolazione2011]]/$D$7911</f>
        <v>1.8006472468600036E-6</v>
      </c>
      <c r="F2544">
        <f>SUMIFS($D$2:$D$7909, $B$2:$B$7909, "Liguria")</f>
        <v>1570694</v>
      </c>
      <c r="G2544" s="1">
        <f>Comuni__2[[#This Row],[Popolazione2011]]/Comuni__2[[#This Row],[POPOLAZIONE TOTALE DI OGNI REGIONE (CON FILTRO)]]</f>
        <v>6.8122753381626218E-5</v>
      </c>
      <c r="H2544" t="str">
        <f>IF(Comuni__2[[#This Row],[Popolazione2011]]&gt;300000,"MAGGIORE","")</f>
        <v/>
      </c>
      <c r="J2544">
        <v>2986</v>
      </c>
      <c r="K2544">
        <v>90774</v>
      </c>
      <c r="L2544">
        <v>17310</v>
      </c>
    </row>
    <row r="2545" spans="1:12" x14ac:dyDescent="0.2">
      <c r="A2545"/>
      <c r="B2545"/>
      <c r="C2545"/>
      <c r="D2545"/>
      <c r="E2545" s="2">
        <f>Comuni__2[[#This Row],[Popolazione2011]]/$D$7911</f>
        <v>1.6828478942616856E-6</v>
      </c>
      <c r="F2545">
        <f>SUMIFS($D$2:$D$7909, $B$2:$B$7909, "Liguria")</f>
        <v>1570694</v>
      </c>
      <c r="G2545" s="1">
        <f>Comuni__2[[#This Row],[Popolazione2011]]/Comuni__2[[#This Row],[POPOLAZIONE TOTALE DI OGNI REGIONE (CON FILTRO)]]</f>
        <v>6.3666124655725436E-5</v>
      </c>
      <c r="H2545" t="str">
        <f>IF(Comuni__2[[#This Row],[Popolazione2011]]&gt;300000,"MAGGIORE","")</f>
        <v/>
      </c>
      <c r="J2545">
        <v>3364</v>
      </c>
      <c r="K2545">
        <v>91763</v>
      </c>
      <c r="L2545">
        <v>17357</v>
      </c>
    </row>
    <row r="2546" spans="1:12" x14ac:dyDescent="0.2">
      <c r="A2546"/>
      <c r="B2546"/>
      <c r="C2546"/>
      <c r="D2546"/>
      <c r="E2546" s="2">
        <f>Comuni__2[[#This Row],[Popolazione2011]]/$D$7911</f>
        <v>1.1611650470405631E-6</v>
      </c>
      <c r="F2546">
        <f>SUMIFS($D$2:$D$7909, $B$2:$B$7909, "Liguria")</f>
        <v>1570694</v>
      </c>
      <c r="G2546" s="1">
        <f>Comuni__2[[#This Row],[Popolazione2011]]/Comuni__2[[#This Row],[POPOLAZIONE TOTALE DI OGNI REGIONE (CON FILTRO)]]</f>
        <v>4.3929626012450549E-5</v>
      </c>
      <c r="H2546" t="str">
        <f>IF(Comuni__2[[#This Row],[Popolazione2011]]&gt;300000,"MAGGIORE","")</f>
        <v/>
      </c>
      <c r="J2546">
        <v>3700</v>
      </c>
      <c r="K2546">
        <v>92567</v>
      </c>
      <c r="L2546">
        <v>17414</v>
      </c>
    </row>
    <row r="2547" spans="1:12" x14ac:dyDescent="0.2">
      <c r="A2547"/>
      <c r="B2547"/>
      <c r="C2547"/>
      <c r="D2547"/>
      <c r="E2547" s="2">
        <f>Comuni__2[[#This Row],[Popolazione2011]]/$D$7911</f>
        <v>2.0903040749640077E-2</v>
      </c>
      <c r="F2547">
        <f>SUMIFS($D$2:$D$7909, $B$2:$B$7909, "Lombardia")</f>
        <v>9704151</v>
      </c>
      <c r="G2547" s="1">
        <f>Comuni__2[[#This Row],[Popolazione2011]]/Comuni__2[[#This Row],[POPOLAZIONE TOTALE DI OGNI REGIONE (CON FILTRO)]]</f>
        <v>0.12799914181055097</v>
      </c>
      <c r="H2547" t="str">
        <f>IF(Comuni__2[[#This Row],[Popolazione2011]]&gt;300000,"MAGGIORE","")</f>
        <v>MAGGIORE</v>
      </c>
      <c r="J2547">
        <v>4068</v>
      </c>
      <c r="K2547">
        <v>94134</v>
      </c>
      <c r="L2547">
        <v>17462</v>
      </c>
    </row>
    <row r="2548" spans="1:12" x14ac:dyDescent="0.2">
      <c r="A2548"/>
      <c r="B2548"/>
      <c r="C2548"/>
      <c r="D2548"/>
      <c r="E2548" s="2">
        <f>Comuni__2[[#This Row],[Popolazione2011]]/$D$7911</f>
        <v>3.1957618081608261E-3</v>
      </c>
      <c r="F2548">
        <f>SUMIFS($D$2:$D$7909, $B$2:$B$7909, "Lombardia")</f>
        <v>9704151</v>
      </c>
      <c r="G2548" s="1">
        <f>Comuni__2[[#This Row],[Popolazione2011]]/Comuni__2[[#This Row],[POPOLAZIONE TOTALE DI OGNI REGIONE (CON FILTRO)]]</f>
        <v>1.9569151386865269E-2</v>
      </c>
      <c r="H2548" t="str">
        <f>IF(Comuni__2[[#This Row],[Popolazione2011]]&gt;300000,"MAGGIORE","")</f>
        <v/>
      </c>
      <c r="J2548">
        <v>4425</v>
      </c>
      <c r="K2548">
        <v>96198</v>
      </c>
      <c r="L2548">
        <v>17535</v>
      </c>
    </row>
    <row r="2549" spans="1:12" x14ac:dyDescent="0.2">
      <c r="A2549"/>
      <c r="B2549"/>
      <c r="C2549"/>
      <c r="D2549"/>
      <c r="E2549" s="2">
        <f>Comuni__2[[#This Row],[Popolazione2011]]/$D$7911</f>
        <v>2.0169941721462858E-3</v>
      </c>
      <c r="F2549">
        <f>SUMIFS($D$2:$D$7909, $B$2:$B$7909, "Lombardia")</f>
        <v>9704151</v>
      </c>
      <c r="G2549" s="1">
        <f>Comuni__2[[#This Row],[Popolazione2011]]/Comuni__2[[#This Row],[POPOLAZIONE TOTALE DI OGNI REGIONE (CON FILTRO)]]</f>
        <v>1.2351003194406188E-2</v>
      </c>
      <c r="H2549" t="str">
        <f>IF(Comuni__2[[#This Row],[Popolazione2011]]&gt;300000,"MAGGIORE","")</f>
        <v/>
      </c>
      <c r="J2549">
        <v>4664</v>
      </c>
      <c r="K2549">
        <v>96687</v>
      </c>
      <c r="L2549">
        <v>17589</v>
      </c>
    </row>
    <row r="2550" spans="1:12" x14ac:dyDescent="0.2">
      <c r="A2550"/>
      <c r="B2550"/>
      <c r="C2550"/>
      <c r="D2550"/>
      <c r="E2550" s="2">
        <f>Comuni__2[[#This Row],[Popolazione2011]]/$D$7911</f>
        <v>1.9411482175519118E-3</v>
      </c>
      <c r="F2550">
        <f>SUMIFS($D$2:$D$7909, $B$2:$B$7909, "Lombardia")</f>
        <v>9704151</v>
      </c>
      <c r="G2550" s="1">
        <f>Comuni__2[[#This Row],[Popolazione2011]]/Comuni__2[[#This Row],[POPOLAZIONE TOTALE DI OGNI REGIONE (CON FILTRO)]]</f>
        <v>1.1886562770921434E-2</v>
      </c>
      <c r="H2550" t="str">
        <f>IF(Comuni__2[[#This Row],[Popolazione2011]]&gt;300000,"MAGGIORE","")</f>
        <v/>
      </c>
      <c r="J2550">
        <v>4841</v>
      </c>
      <c r="K2550">
        <v>97576</v>
      </c>
      <c r="L2550">
        <v>17635</v>
      </c>
    </row>
    <row r="2551" spans="1:12" x14ac:dyDescent="0.2">
      <c r="A2551"/>
      <c r="B2551"/>
      <c r="C2551"/>
      <c r="D2551"/>
      <c r="E2551" s="2">
        <f>Comuni__2[[#This Row],[Popolazione2011]]/$D$7911</f>
        <v>1.3806925548469999E-3</v>
      </c>
      <c r="F2551">
        <f>SUMIFS($D$2:$D$7909, $B$2:$B$7909, "Lombardia")</f>
        <v>9704151</v>
      </c>
      <c r="G2551" s="1">
        <f>Comuni__2[[#This Row],[Popolazione2011]]/Comuni__2[[#This Row],[POPOLAZIONE TOTALE DI OGNI REGIONE (CON FILTRO)]]</f>
        <v>8.4546293642792664E-3</v>
      </c>
      <c r="H2551" t="str">
        <f>IF(Comuni__2[[#This Row],[Popolazione2011]]&gt;300000,"MAGGIORE","")</f>
        <v/>
      </c>
      <c r="J2551">
        <v>5215</v>
      </c>
      <c r="K2551">
        <v>100115</v>
      </c>
      <c r="L2551">
        <v>17752</v>
      </c>
    </row>
    <row r="2552" spans="1:12" x14ac:dyDescent="0.2">
      <c r="A2552"/>
      <c r="B2552"/>
      <c r="C2552"/>
      <c r="D2552"/>
      <c r="E2552" s="2">
        <f>Comuni__2[[#This Row],[Popolazione2011]]/$D$7911</f>
        <v>1.3427948202682268E-3</v>
      </c>
      <c r="F2552">
        <f>SUMIFS($D$2:$D$7909, $B$2:$B$7909, "Lombardia")</f>
        <v>9704151</v>
      </c>
      <c r="G2552" s="1">
        <f>Comuni__2[[#This Row],[Popolazione2011]]/Comuni__2[[#This Row],[POPOLAZIONE TOTALE DI OGNI REGIONE (CON FILTRO)]]</f>
        <v>8.222563725564451E-3</v>
      </c>
      <c r="H2552" t="str">
        <f>IF(Comuni__2[[#This Row],[Popolazione2011]]&gt;300000,"MAGGIORE","")</f>
        <v/>
      </c>
      <c r="J2552">
        <v>5525</v>
      </c>
      <c r="K2552">
        <v>101610</v>
      </c>
      <c r="L2552">
        <v>17848</v>
      </c>
    </row>
    <row r="2553" spans="1:12" x14ac:dyDescent="0.2">
      <c r="A2553"/>
      <c r="B2553"/>
      <c r="C2553"/>
      <c r="D2553"/>
      <c r="E2553" s="2">
        <f>Comuni__2[[#This Row],[Popolazione2011]]/$D$7911</f>
        <v>1.3410951438950225E-3</v>
      </c>
      <c r="F2553">
        <f>SUMIFS($D$2:$D$7909, $B$2:$B$7909, "Lombardia")</f>
        <v>9704151</v>
      </c>
      <c r="G2553" s="1">
        <f>Comuni__2[[#This Row],[Popolazione2011]]/Comuni__2[[#This Row],[POPOLAZIONE TOTALE DI OGNI REGIONE (CON FILTRO)]]</f>
        <v>8.2121558083751989E-3</v>
      </c>
      <c r="H2553" t="str">
        <f>IF(Comuni__2[[#This Row],[Popolazione2011]]&gt;300000,"MAGGIORE","")</f>
        <v/>
      </c>
      <c r="J2553">
        <v>5840</v>
      </c>
      <c r="K2553">
        <v>102502</v>
      </c>
      <c r="L2553">
        <v>17987</v>
      </c>
    </row>
    <row r="2554" spans="1:12" x14ac:dyDescent="0.2">
      <c r="A2554"/>
      <c r="B2554"/>
      <c r="C2554"/>
      <c r="D2554"/>
      <c r="E2554" s="2">
        <f>Comuni__2[[#This Row],[Popolazione2011]]/$D$7911</f>
        <v>1.2876142378153862E-3</v>
      </c>
      <c r="F2554">
        <f>SUMIFS($D$2:$D$7909, $B$2:$B$7909, "Lombardia")</f>
        <v>9704151</v>
      </c>
      <c r="G2554" s="1">
        <f>Comuni__2[[#This Row],[Popolazione2011]]/Comuni__2[[#This Row],[POPOLAZIONE TOTALE DI OGNI REGIONE (CON FILTRO)]]</f>
        <v>7.8846670873113991E-3</v>
      </c>
      <c r="H2554" t="str">
        <f>IF(Comuni__2[[#This Row],[Popolazione2011]]&gt;300000,"MAGGIORE","")</f>
        <v/>
      </c>
      <c r="J2554">
        <v>6133</v>
      </c>
      <c r="K2554">
        <v>107463</v>
      </c>
      <c r="L2554">
        <v>18118</v>
      </c>
    </row>
    <row r="2555" spans="1:12" x14ac:dyDescent="0.2">
      <c r="A2555"/>
      <c r="B2555"/>
      <c r="C2555"/>
      <c r="D2555"/>
      <c r="E2555" s="2">
        <f>Comuni__2[[#This Row],[Popolazione2011]]/$D$7911</f>
        <v>1.1969760502304517E-3</v>
      </c>
      <c r="F2555">
        <f>SUMIFS($D$2:$D$7909, $B$2:$B$7909, "Lombardia")</f>
        <v>9704151</v>
      </c>
      <c r="G2555" s="1">
        <f>Comuni__2[[#This Row],[Popolazione2011]]/Comuni__2[[#This Row],[POPOLAZIONE TOTALE DI OGNI REGIONE (CON FILTRO)]]</f>
        <v>7.3296468696746374E-3</v>
      </c>
      <c r="H2555" t="str">
        <f>IF(Comuni__2[[#This Row],[Popolazione2011]]&gt;300000,"MAGGIORE","")</f>
        <v/>
      </c>
      <c r="J2555">
        <v>6423</v>
      </c>
      <c r="K2555">
        <v>108581</v>
      </c>
      <c r="L2555">
        <v>18226</v>
      </c>
    </row>
    <row r="2556" spans="1:12" x14ac:dyDescent="0.2">
      <c r="A2556"/>
      <c r="B2556"/>
      <c r="C2556"/>
      <c r="D2556"/>
      <c r="E2556" s="2">
        <f>Comuni__2[[#This Row],[Popolazione2011]]/$D$7911</f>
        <v>1.1710770211377645E-3</v>
      </c>
      <c r="F2556">
        <f>SUMIFS($D$2:$D$7909, $B$2:$B$7909, "Lombardia")</f>
        <v>9704151</v>
      </c>
      <c r="G2556" s="1">
        <f>Comuni__2[[#This Row],[Popolazione2011]]/Comuni__2[[#This Row],[POPOLAZIONE TOTALE DI OGNI REGIONE (CON FILTRO)]]</f>
        <v>7.1710549433948419E-3</v>
      </c>
      <c r="H2556" t="str">
        <f>IF(Comuni__2[[#This Row],[Popolazione2011]]&gt;300000,"MAGGIORE","")</f>
        <v/>
      </c>
      <c r="J2556">
        <v>6875</v>
      </c>
      <c r="K2556">
        <v>110001</v>
      </c>
      <c r="L2556">
        <v>18343</v>
      </c>
    </row>
    <row r="2557" spans="1:12" x14ac:dyDescent="0.2">
      <c r="A2557"/>
      <c r="B2557"/>
      <c r="C2557"/>
      <c r="D2557"/>
      <c r="E2557" s="2">
        <f>Comuni__2[[#This Row],[Popolazione2011]]/$D$7911</f>
        <v>1.1490485422018788E-3</v>
      </c>
      <c r="F2557">
        <f>SUMIFS($D$2:$D$7909, $B$2:$B$7909, "Lombardia")</f>
        <v>9704151</v>
      </c>
      <c r="G2557" s="1">
        <f>Comuni__2[[#This Row],[Popolazione2011]]/Comuni__2[[#This Row],[POPOLAZIONE TOTALE DI OGNI REGIONE (CON FILTRO)]]</f>
        <v>7.0361642146747304E-3</v>
      </c>
      <c r="H2557" t="str">
        <f>IF(Comuni__2[[#This Row],[Popolazione2011]]&gt;300000,"MAGGIORE","")</f>
        <v/>
      </c>
      <c r="J2557">
        <v>7084</v>
      </c>
      <c r="K2557">
        <v>115630</v>
      </c>
      <c r="L2557">
        <v>18442</v>
      </c>
    </row>
    <row r="2558" spans="1:12" x14ac:dyDescent="0.2">
      <c r="A2558"/>
      <c r="B2558"/>
      <c r="C2558"/>
      <c r="D2558"/>
      <c r="E2558" s="2">
        <f>Comuni__2[[#This Row],[Popolazione2011]]/$D$7911</f>
        <v>1.0115430407617565E-3</v>
      </c>
      <c r="F2558">
        <f>SUMIFS($D$2:$D$7909, $B$2:$B$7909, "Lombardia")</f>
        <v>9704151</v>
      </c>
      <c r="G2558" s="1">
        <f>Comuni__2[[#This Row],[Popolazione2011]]/Comuni__2[[#This Row],[POPOLAZIONE TOTALE DI OGNI REGIONE (CON FILTRO)]]</f>
        <v>6.1941534091957146E-3</v>
      </c>
      <c r="H2558" t="str">
        <f>IF(Comuni__2[[#This Row],[Popolazione2011]]&gt;300000,"MAGGIORE","")</f>
        <v/>
      </c>
      <c r="J2558">
        <v>7390</v>
      </c>
      <c r="K2558">
        <v>122410</v>
      </c>
      <c r="L2558">
        <v>18571</v>
      </c>
    </row>
    <row r="2559" spans="1:12" x14ac:dyDescent="0.2">
      <c r="A2559"/>
      <c r="B2559"/>
      <c r="C2559"/>
      <c r="D2559"/>
      <c r="E2559" s="2">
        <f>Comuni__2[[#This Row],[Popolazione2011]]/$D$7911</f>
        <v>9.7011132560503388E-4</v>
      </c>
      <c r="F2559">
        <f>SUMIFS($D$2:$D$7909, $B$2:$B$7909, "Lombardia")</f>
        <v>9704151</v>
      </c>
      <c r="G2559" s="1">
        <f>Comuni__2[[#This Row],[Popolazione2011]]/Comuni__2[[#This Row],[POPOLAZIONE TOTALE DI OGNI REGIONE (CON FILTRO)]]</f>
        <v>5.940447546622059E-3</v>
      </c>
      <c r="H2559" t="str">
        <f>IF(Comuni__2[[#This Row],[Popolazione2011]]&gt;300000,"MAGGIORE","")</f>
        <v/>
      </c>
      <c r="J2559">
        <v>7671</v>
      </c>
      <c r="K2559">
        <v>124025</v>
      </c>
      <c r="L2559">
        <v>18723</v>
      </c>
    </row>
    <row r="2560" spans="1:12" x14ac:dyDescent="0.2">
      <c r="A2560"/>
      <c r="B2560"/>
      <c r="C2560"/>
      <c r="D2560"/>
      <c r="E2560" s="2">
        <f>Comuni__2[[#This Row],[Popolazione2011]]/$D$7911</f>
        <v>8.4909773352867611E-4</v>
      </c>
      <c r="F2560">
        <f>SUMIFS($D$2:$D$7909, $B$2:$B$7909, "Lombardia")</f>
        <v>9704151</v>
      </c>
      <c r="G2560" s="1">
        <f>Comuni__2[[#This Row],[Popolazione2011]]/Comuni__2[[#This Row],[POPOLAZIONE TOTALE DI OGNI REGIONE (CON FILTRO)]]</f>
        <v>5.1994244524843029E-3</v>
      </c>
      <c r="H2560" t="str">
        <f>IF(Comuni__2[[#This Row],[Popolazione2011]]&gt;300000,"MAGGIORE","")</f>
        <v/>
      </c>
      <c r="J2560">
        <v>7829</v>
      </c>
      <c r="K2560">
        <v>132254</v>
      </c>
      <c r="L2560">
        <v>18910</v>
      </c>
    </row>
    <row r="2561" spans="1:12" x14ac:dyDescent="0.2">
      <c r="A2561"/>
      <c r="B2561"/>
      <c r="C2561"/>
      <c r="D2561"/>
      <c r="E2561" s="2">
        <f>Comuni__2[[#This Row],[Popolazione2011]]/$D$7911</f>
        <v>8.4229902803585881E-4</v>
      </c>
      <c r="F2561">
        <f>SUMIFS($D$2:$D$7909, $B$2:$B$7909, "Lombardia")</f>
        <v>9704151</v>
      </c>
      <c r="G2561" s="1">
        <f>Comuni__2[[#This Row],[Popolazione2011]]/Comuni__2[[#This Row],[POPOLAZIONE TOTALE DI OGNI REGIONE (CON FILTRO)]]</f>
        <v>5.1577927837272936E-3</v>
      </c>
      <c r="H2561" t="str">
        <f>IF(Comuni__2[[#This Row],[Popolazione2011]]&gt;300000,"MAGGIORE","")</f>
        <v/>
      </c>
      <c r="J2561">
        <v>8120</v>
      </c>
      <c r="K2561">
        <v>134294</v>
      </c>
      <c r="L2561">
        <v>19028</v>
      </c>
    </row>
    <row r="2562" spans="1:12" x14ac:dyDescent="0.2">
      <c r="A2562"/>
      <c r="B2562"/>
      <c r="C2562"/>
      <c r="D2562"/>
      <c r="E2562" s="2">
        <f>Comuni__2[[#This Row],[Popolazione2011]]/$D$7911</f>
        <v>7.8597410901492029E-4</v>
      </c>
      <c r="F2562">
        <f>SUMIFS($D$2:$D$7909, $B$2:$B$7909, "Lombardia")</f>
        <v>9704151</v>
      </c>
      <c r="G2562" s="1">
        <f>Comuni__2[[#This Row],[Popolazione2011]]/Comuni__2[[#This Row],[POPOLAZIONE TOTALE DI OGNI REGIONE (CON FILTRO)]]</f>
        <v>4.8128888348913778E-3</v>
      </c>
      <c r="H2562" t="str">
        <f>IF(Comuni__2[[#This Row],[Popolazione2011]]&gt;300000,"MAGGIORE","")</f>
        <v/>
      </c>
      <c r="J2562">
        <v>8438</v>
      </c>
      <c r="K2562">
        <v>137255</v>
      </c>
      <c r="L2562">
        <v>19186</v>
      </c>
    </row>
    <row r="2563" spans="1:12" x14ac:dyDescent="0.2">
      <c r="A2563"/>
      <c r="B2563"/>
      <c r="C2563"/>
      <c r="D2563"/>
      <c r="E2563" s="2">
        <f>Comuni__2[[#This Row],[Popolazione2011]]/$D$7911</f>
        <v>7.8503171419413368E-4</v>
      </c>
      <c r="F2563">
        <f>SUMIFS($D$2:$D$7909, $B$2:$B$7909, "Lombardia")</f>
        <v>9704151</v>
      </c>
      <c r="G2563" s="1">
        <f>Comuni__2[[#This Row],[Popolazione2011]]/Comuni__2[[#This Row],[POPOLAZIONE TOTALE DI OGNI REGIONE (CON FILTRO)]]</f>
        <v>4.80711810852902E-3</v>
      </c>
      <c r="H2563" t="str">
        <f>IF(Comuni__2[[#This Row],[Popolazione2011]]&gt;300000,"MAGGIORE","")</f>
        <v/>
      </c>
      <c r="J2563">
        <v>8618</v>
      </c>
      <c r="K2563">
        <v>138872</v>
      </c>
      <c r="L2563">
        <v>19367</v>
      </c>
    </row>
    <row r="2564" spans="1:12" x14ac:dyDescent="0.2">
      <c r="A2564"/>
      <c r="B2564"/>
      <c r="C2564"/>
      <c r="D2564"/>
      <c r="E2564" s="2">
        <f>Comuni__2[[#This Row],[Popolazione2011]]/$D$7911</f>
        <v>7.8356763652612607E-4</v>
      </c>
      <c r="F2564">
        <f>SUMIFS($D$2:$D$7909, $B$2:$B$7909, "Lombardia")</f>
        <v>9704151</v>
      </c>
      <c r="G2564" s="1">
        <f>Comuni__2[[#This Row],[Popolazione2011]]/Comuni__2[[#This Row],[POPOLAZIONE TOTALE DI OGNI REGIONE (CON FILTRO)]]</f>
        <v>4.7981528729303573E-3</v>
      </c>
      <c r="H2564" t="str">
        <f>IF(Comuni__2[[#This Row],[Popolazione2011]]&gt;300000,"MAGGIORE","")</f>
        <v/>
      </c>
      <c r="J2564">
        <v>8756</v>
      </c>
      <c r="K2564">
        <v>153103</v>
      </c>
      <c r="L2564">
        <v>19466</v>
      </c>
    </row>
    <row r="2565" spans="1:12" x14ac:dyDescent="0.2">
      <c r="A2565"/>
      <c r="B2565"/>
      <c r="C2565"/>
      <c r="D2565"/>
      <c r="E2565" s="2">
        <f>Comuni__2[[#This Row],[Popolazione2011]]/$D$7911</f>
        <v>7.7050873686665541E-4</v>
      </c>
      <c r="F2565">
        <f>SUMIFS($D$2:$D$7909, $B$2:$B$7909, "Lombardia")</f>
        <v>9704151</v>
      </c>
      <c r="G2565" s="1">
        <f>Comuni__2[[#This Row],[Popolazione2011]]/Comuni__2[[#This Row],[POPOLAZIONE TOTALE DI OGNI REGIONE (CON FILTRO)]]</f>
        <v>4.7181870933376861E-3</v>
      </c>
      <c r="H2565" t="str">
        <f>IF(Comuni__2[[#This Row],[Popolazione2011]]&gt;300000,"MAGGIORE","")</f>
        <v/>
      </c>
      <c r="J2565">
        <v>9045</v>
      </c>
      <c r="K2565">
        <v>157121</v>
      </c>
      <c r="L2565">
        <v>19668</v>
      </c>
    </row>
    <row r="2566" spans="1:12" x14ac:dyDescent="0.2">
      <c r="A2566"/>
      <c r="B2566"/>
      <c r="C2566"/>
      <c r="D2566"/>
      <c r="E2566" s="2">
        <f>Comuni__2[[#This Row],[Popolazione2011]]/$D$7911</f>
        <v>7.2921164954147357E-4</v>
      </c>
      <c r="F2566">
        <f>SUMIFS($D$2:$D$7909, $B$2:$B$7909, "Lombardia")</f>
        <v>9704151</v>
      </c>
      <c r="G2566" s="1">
        <f>Comuni__2[[#This Row],[Popolazione2011]]/Comuni__2[[#This Row],[POPOLAZIONE TOTALE DI OGNI REGIONE (CON FILTRO)]]</f>
        <v>4.4653056202443673E-3</v>
      </c>
      <c r="H2566" t="str">
        <f>IF(Comuni__2[[#This Row],[Popolazione2011]]&gt;300000,"MAGGIORE","")</f>
        <v/>
      </c>
      <c r="J2566">
        <v>9226</v>
      </c>
      <c r="K2566">
        <v>169056</v>
      </c>
      <c r="L2566">
        <v>19850</v>
      </c>
    </row>
    <row r="2567" spans="1:12" x14ac:dyDescent="0.2">
      <c r="A2567"/>
      <c r="B2567"/>
      <c r="C2567"/>
      <c r="D2567"/>
      <c r="E2567" s="2">
        <f>Comuni__2[[#This Row],[Popolazione2011]]/$D$7911</f>
        <v>7.2364142301146745E-4</v>
      </c>
      <c r="F2567">
        <f>SUMIFS($D$2:$D$7909, $B$2:$B$7909, "Lombardia")</f>
        <v>9704151</v>
      </c>
      <c r="G2567" s="1">
        <f>Comuni__2[[#This Row],[Popolazione2011]]/Comuni__2[[#This Row],[POPOLAZIONE TOTALE DI OGNI REGIONE (CON FILTRO)]]</f>
        <v>4.4311965054954321E-3</v>
      </c>
      <c r="H2567" t="str">
        <f>IF(Comuni__2[[#This Row],[Popolazione2011]]&gt;300000,"MAGGIORE","")</f>
        <v/>
      </c>
      <c r="J2567">
        <v>9206</v>
      </c>
      <c r="K2567">
        <v>172847</v>
      </c>
      <c r="L2567">
        <v>20015</v>
      </c>
    </row>
    <row r="2568" spans="1:12" x14ac:dyDescent="0.2">
      <c r="A2568"/>
      <c r="B2568"/>
      <c r="C2568"/>
      <c r="D2568"/>
      <c r="E2568" s="2">
        <f>Comuni__2[[#This Row],[Popolazione2011]]/$D$7911</f>
        <v>7.1049838095728368E-4</v>
      </c>
      <c r="F2568">
        <f>SUMIFS($D$2:$D$7909, $B$2:$B$7909, "Lombardia")</f>
        <v>9704151</v>
      </c>
      <c r="G2568" s="1">
        <f>Comuni__2[[#This Row],[Popolazione2011]]/Comuni__2[[#This Row],[POPOLAZIONE TOTALE DI OGNI REGIONE (CON FILTRO)]]</f>
        <v>4.3507154824775499E-3</v>
      </c>
      <c r="H2568" t="str">
        <f>IF(Comuni__2[[#This Row],[Popolazione2011]]&gt;300000,"MAGGIORE","")</f>
        <v/>
      </c>
      <c r="J2568">
        <v>9234</v>
      </c>
      <c r="K2568">
        <v>177832</v>
      </c>
      <c r="L2568">
        <v>20190</v>
      </c>
    </row>
    <row r="2569" spans="1:12" x14ac:dyDescent="0.2">
      <c r="A2569"/>
      <c r="B2569"/>
      <c r="C2569"/>
      <c r="D2569"/>
      <c r="E2569" s="2">
        <f>Comuni__2[[#This Row],[Popolazione2011]]/$D$7911</f>
        <v>6.7982006384489316E-4</v>
      </c>
      <c r="F2569">
        <f>SUMIFS($D$2:$D$7909, $B$2:$B$7909, "Lombardia")</f>
        <v>9704151</v>
      </c>
      <c r="G2569" s="1">
        <f>Comuni__2[[#This Row],[Popolazione2011]]/Comuni__2[[#This Row],[POPOLAZIONE TOTALE DI OGNI REGIONE (CON FILTRO)]]</f>
        <v>4.1628577296457976E-3</v>
      </c>
      <c r="H2569" t="str">
        <f>IF(Comuni__2[[#This Row],[Popolazione2011]]&gt;300000,"MAGGIORE","")</f>
        <v/>
      </c>
      <c r="J2569">
        <v>9250</v>
      </c>
      <c r="K2569">
        <v>183472</v>
      </c>
      <c r="L2569">
        <v>20359</v>
      </c>
    </row>
    <row r="2570" spans="1:12" x14ac:dyDescent="0.2">
      <c r="A2570"/>
      <c r="B2570"/>
      <c r="C2570"/>
      <c r="D2570"/>
      <c r="E2570" s="2">
        <f>Comuni__2[[#This Row],[Popolazione2011]]/$D$7911</f>
        <v>6.7285307356264974E-4</v>
      </c>
      <c r="F2570">
        <f>SUMIFS($D$2:$D$7909, $B$2:$B$7909, "Lombardia")</f>
        <v>9704151</v>
      </c>
      <c r="G2570" s="1">
        <f>Comuni__2[[#This Row],[Popolazione2011]]/Comuni__2[[#This Row],[POPOLAZIONE TOTALE DI OGNI REGIONE (CON FILTRO)]]</f>
        <v>4.1201955740383673E-3</v>
      </c>
      <c r="H2570" t="str">
        <f>IF(Comuni__2[[#This Row],[Popolazione2011]]&gt;300000,"MAGGIORE","")</f>
        <v/>
      </c>
      <c r="J2570">
        <v>9340</v>
      </c>
      <c r="K2570">
        <v>186680</v>
      </c>
      <c r="L2570">
        <v>20524</v>
      </c>
    </row>
    <row r="2571" spans="1:12" x14ac:dyDescent="0.2">
      <c r="A2571"/>
      <c r="B2571"/>
      <c r="C2571"/>
      <c r="D2571"/>
      <c r="E2571" s="2">
        <f>Comuni__2[[#This Row],[Popolazione2011]]/$D$7911</f>
        <v>6.5154821922129677E-4</v>
      </c>
      <c r="F2571">
        <f>SUMIFS($D$2:$D$7909, $B$2:$B$7909, "Lombardia")</f>
        <v>9704151</v>
      </c>
      <c r="G2571" s="1">
        <f>Comuni__2[[#This Row],[Popolazione2011]]/Comuni__2[[#This Row],[POPOLAZIONE TOTALE DI OGNI REGIONE (CON FILTRO)]]</f>
        <v>3.9897359387750667E-3</v>
      </c>
      <c r="H2571" t="str">
        <f>IF(Comuni__2[[#This Row],[Popolazione2011]]&gt;300000,"MAGGIORE","")</f>
        <v/>
      </c>
      <c r="J2571">
        <v>9276</v>
      </c>
      <c r="K2571">
        <v>206317</v>
      </c>
      <c r="L2571">
        <v>20664</v>
      </c>
    </row>
    <row r="2572" spans="1:12" x14ac:dyDescent="0.2">
      <c r="A2572"/>
      <c r="B2572"/>
      <c r="C2572"/>
      <c r="D2572"/>
      <c r="E2572" s="2">
        <f>Comuni__2[[#This Row],[Popolazione2011]]/$D$7911</f>
        <v>6.4954563022712544E-4</v>
      </c>
      <c r="F2572">
        <f>SUMIFS($D$2:$D$7909, $B$2:$B$7909, "Lombardia")</f>
        <v>9704151</v>
      </c>
      <c r="G2572" s="1">
        <f>Comuni__2[[#This Row],[Popolazione2011]]/Comuni__2[[#This Row],[POPOLAZIONE TOTALE DI OGNI REGIONE (CON FILTRO)]]</f>
        <v>3.9774731452550567E-3</v>
      </c>
      <c r="H2572" t="str">
        <f>IF(Comuni__2[[#This Row],[Popolazione2011]]&gt;300000,"MAGGIORE","")</f>
        <v/>
      </c>
      <c r="J2572">
        <v>9292</v>
      </c>
      <c r="K2572">
        <v>212175</v>
      </c>
      <c r="L2572">
        <v>20850</v>
      </c>
    </row>
    <row r="2573" spans="1:12" x14ac:dyDescent="0.2">
      <c r="A2573"/>
      <c r="B2573"/>
      <c r="C2573"/>
      <c r="D2573"/>
      <c r="E2573" s="2">
        <f>Comuni__2[[#This Row],[Popolazione2011]]/$D$7911</f>
        <v>6.4241035515545588E-4</v>
      </c>
      <c r="F2573">
        <f>SUMIFS($D$2:$D$7909, $B$2:$B$7909, "Lombardia")</f>
        <v>9704151</v>
      </c>
      <c r="G2573" s="1">
        <f>Comuni__2[[#This Row],[Popolazione2011]]/Comuni__2[[#This Row],[POPOLAZIONE TOTALE DI OGNI REGIONE (CON FILTRO)]]</f>
        <v>3.9337805027972053E-3</v>
      </c>
      <c r="H2573" t="str">
        <f>IF(Comuni__2[[#This Row],[Popolazione2011]]&gt;300000,"MAGGIORE","")</f>
        <v/>
      </c>
      <c r="J2573">
        <v>9056</v>
      </c>
      <c r="K2573">
        <v>227924</v>
      </c>
      <c r="L2573">
        <v>21005</v>
      </c>
    </row>
    <row r="2574" spans="1:12" x14ac:dyDescent="0.2">
      <c r="A2574"/>
      <c r="B2574"/>
      <c r="C2574"/>
      <c r="D2574"/>
      <c r="E2574" s="2">
        <f>Comuni__2[[#This Row],[Popolazione2011]]/$D$7911</f>
        <v>6.2282200566624979E-4</v>
      </c>
      <c r="F2574">
        <f>SUMIFS($D$2:$D$7909, $B$2:$B$7909, "Lombardia")</f>
        <v>9704151</v>
      </c>
      <c r="G2574" s="1">
        <f>Comuni__2[[#This Row],[Popolazione2011]]/Comuni__2[[#This Row],[POPOLAZIONE TOTALE DI OGNI REGIONE (CON FILTRO)]]</f>
        <v>3.8138318334081981E-3</v>
      </c>
      <c r="H2574" t="str">
        <f>IF(Comuni__2[[#This Row],[Popolazione2011]]&gt;300000,"MAGGIORE","")</f>
        <v/>
      </c>
      <c r="J2574">
        <v>8930</v>
      </c>
      <c r="K2574">
        <v>231042</v>
      </c>
      <c r="L2574">
        <v>21212</v>
      </c>
    </row>
    <row r="2575" spans="1:12" x14ac:dyDescent="0.2">
      <c r="A2575"/>
      <c r="B2575"/>
      <c r="C2575"/>
      <c r="D2575"/>
      <c r="E2575" s="2">
        <f>Comuni__2[[#This Row],[Popolazione2011]]/$D$7911</f>
        <v>6.0533721604487097E-4</v>
      </c>
      <c r="F2575">
        <f>SUMIFS($D$2:$D$7909, $B$2:$B$7909, "Lombardia")</f>
        <v>9704151</v>
      </c>
      <c r="G2575" s="1">
        <f>Comuni__2[[#This Row],[Popolazione2011]]/Comuni__2[[#This Row],[POPOLAZIONE TOTALE DI OGNI REGIONE (CON FILTRO)]]</f>
        <v>3.7067642496494543E-3</v>
      </c>
      <c r="H2575" t="str">
        <f>IF(Comuni__2[[#This Row],[Popolazione2011]]&gt;300000,"MAGGIORE","")</f>
        <v/>
      </c>
      <c r="J2575">
        <v>8794</v>
      </c>
      <c r="K2575">
        <v>246096</v>
      </c>
      <c r="L2575">
        <v>21393</v>
      </c>
    </row>
    <row r="2576" spans="1:12" x14ac:dyDescent="0.2">
      <c r="A2576"/>
      <c r="B2576"/>
      <c r="C2576"/>
      <c r="D2576"/>
      <c r="E2576" s="2">
        <f>Comuni__2[[#This Row],[Popolazione2011]]/$D$7911</f>
        <v>5.9837022576262754E-4</v>
      </c>
      <c r="F2576">
        <f>SUMIFS($D$2:$D$7909, $B$2:$B$7909, "Lombardia")</f>
        <v>9704151</v>
      </c>
      <c r="G2576" s="1">
        <f>Comuni__2[[#This Row],[Popolazione2011]]/Comuni__2[[#This Row],[POPOLAZIONE TOTALE DI OGNI REGIONE (CON FILTRO)]]</f>
        <v>3.664102094042024E-3</v>
      </c>
      <c r="H2576" t="str">
        <f>IF(Comuni__2[[#This Row],[Popolazione2011]]&gt;300000,"MAGGIORE","")</f>
        <v/>
      </c>
      <c r="J2576">
        <v>8535</v>
      </c>
      <c r="K2576">
        <v>250832</v>
      </c>
      <c r="L2576">
        <v>21512</v>
      </c>
    </row>
    <row r="2577" spans="1:12" x14ac:dyDescent="0.2">
      <c r="A2577"/>
      <c r="B2577"/>
      <c r="C2577"/>
      <c r="D2577"/>
      <c r="E2577" s="2">
        <f>Comuni__2[[#This Row],[Popolazione2011]]/$D$7911</f>
        <v>5.9010744260180263E-4</v>
      </c>
      <c r="F2577">
        <f>SUMIFS($D$2:$D$7909, $B$2:$B$7909, "Lombardia")</f>
        <v>9704151</v>
      </c>
      <c r="G2577" s="1">
        <f>Comuni__2[[#This Row],[Popolazione2011]]/Comuni__2[[#This Row],[POPOLAZIONE TOTALE DI OGNI REGIONE (CON FILTRO)]]</f>
        <v>3.6135051896863516E-3</v>
      </c>
      <c r="H2577" t="str">
        <f>IF(Comuni__2[[#This Row],[Popolazione2011]]&gt;300000,"MAGGIORE","")</f>
        <v/>
      </c>
      <c r="J2577">
        <v>8307</v>
      </c>
      <c r="K2577">
        <v>251588</v>
      </c>
      <c r="L2577">
        <v>21647</v>
      </c>
    </row>
    <row r="2578" spans="1:12" x14ac:dyDescent="0.2">
      <c r="A2578"/>
      <c r="B2578"/>
      <c r="C2578"/>
      <c r="D2578"/>
      <c r="E2578" s="2">
        <f>Comuni__2[[#This Row],[Popolazione2011]]/$D$7911</f>
        <v>5.7053592159153925E-4</v>
      </c>
      <c r="F2578">
        <f>SUMIFS($D$2:$D$7909, $B$2:$B$7909, "Lombardia")</f>
        <v>9704151</v>
      </c>
      <c r="G2578" s="1">
        <f>Comuni__2[[#This Row],[Popolazione2011]]/Comuni__2[[#This Row],[POPOLAZIONE TOTALE DI OGNI REGIONE (CON FILTRO)]]</f>
        <v>3.4936595689823869E-3</v>
      </c>
      <c r="H2578" t="str">
        <f>IF(Comuni__2[[#This Row],[Popolazione2011]]&gt;300000,"MAGGIORE","")</f>
        <v/>
      </c>
      <c r="J2578">
        <v>8339</v>
      </c>
      <c r="K2578">
        <v>260528</v>
      </c>
      <c r="L2578">
        <v>21855</v>
      </c>
    </row>
    <row r="2579" spans="1:12" x14ac:dyDescent="0.2">
      <c r="A2579"/>
      <c r="B2579"/>
      <c r="C2579"/>
      <c r="D2579"/>
      <c r="E2579" s="2">
        <f>Comuni__2[[#This Row],[Popolazione2011]]/$D$7911</f>
        <v>5.6659805751896688E-4</v>
      </c>
      <c r="F2579">
        <f>SUMIFS($D$2:$D$7909, $B$2:$B$7909, "Lombardia")</f>
        <v>9704151</v>
      </c>
      <c r="G2579" s="1">
        <f>Comuni__2[[#This Row],[Popolazione2011]]/Comuni__2[[#This Row],[POPOLAZIONE TOTALE DI OGNI REGIONE (CON FILTRO)]]</f>
        <v>3.4695461766825349E-3</v>
      </c>
      <c r="H2579" t="str">
        <f>IF(Comuni__2[[#This Row],[Popolazione2011]]&gt;300000,"MAGGIORE","")</f>
        <v/>
      </c>
      <c r="J2579">
        <v>8218</v>
      </c>
      <c r="K2579">
        <v>268702</v>
      </c>
      <c r="L2579">
        <v>22104</v>
      </c>
    </row>
    <row r="2580" spans="1:12" x14ac:dyDescent="0.2">
      <c r="A2580"/>
      <c r="B2580"/>
      <c r="C2580"/>
      <c r="D2580"/>
      <c r="E2580" s="2">
        <f>Comuni__2[[#This Row],[Popolazione2011]]/$D$7911</f>
        <v>5.6407378567757444E-4</v>
      </c>
      <c r="F2580">
        <f>SUMIFS($D$2:$D$7909, $B$2:$B$7909, "Lombardia")</f>
        <v>9704151</v>
      </c>
      <c r="G2580" s="1">
        <f>Comuni__2[[#This Row],[Popolazione2011]]/Comuni__2[[#This Row],[POPOLAZIONE TOTALE DI OGNI REGIONE (CON FILTRO)]]</f>
        <v>3.4540888739262197E-3</v>
      </c>
      <c r="H2580" t="str">
        <f>IF(Comuni__2[[#This Row],[Popolazione2011]]&gt;300000,"MAGGIORE","")</f>
        <v/>
      </c>
      <c r="J2580">
        <v>8077</v>
      </c>
      <c r="K2580">
        <v>274189</v>
      </c>
      <c r="L2580">
        <v>22279</v>
      </c>
    </row>
    <row r="2581" spans="1:12" x14ac:dyDescent="0.2">
      <c r="A2581"/>
      <c r="B2581"/>
      <c r="C2581"/>
      <c r="D2581"/>
      <c r="E2581" s="2">
        <f>Comuni__2[[#This Row],[Popolazione2011]]/$D$7911</f>
        <v>5.5820064652660115E-4</v>
      </c>
      <c r="F2581">
        <f>SUMIFS($D$2:$D$7909, $B$2:$B$7909, "Lombardia")</f>
        <v>9704151</v>
      </c>
      <c r="G2581" s="1">
        <f>Comuni__2[[#This Row],[Popolazione2011]]/Comuni__2[[#This Row],[POPOLAZIONE TOTALE DI OGNI REGIONE (CON FILTRO)]]</f>
        <v>3.4181248828465262E-3</v>
      </c>
      <c r="H2581" t="str">
        <f>IF(Comuni__2[[#This Row],[Popolazione2011]]&gt;300000,"MAGGIORE","")</f>
        <v/>
      </c>
      <c r="J2581">
        <v>7861</v>
      </c>
      <c r="K2581">
        <v>278058</v>
      </c>
      <c r="L2581">
        <v>22626</v>
      </c>
    </row>
    <row r="2582" spans="1:12" x14ac:dyDescent="0.2">
      <c r="A2582"/>
      <c r="B2582"/>
      <c r="C2582"/>
      <c r="D2582"/>
      <c r="E2582" s="2">
        <f>Comuni__2[[#This Row],[Popolazione2011]]/$D$7911</f>
        <v>5.5687119669013436E-4</v>
      </c>
      <c r="F2582">
        <f>SUMIFS($D$2:$D$7909, $B$2:$B$7909, "Lombardia")</f>
        <v>9704151</v>
      </c>
      <c r="G2582" s="1">
        <f>Comuni__2[[#This Row],[Popolazione2011]]/Comuni__2[[#This Row],[POPOLAZIONE TOTALE DI OGNI REGIONE (CON FILTRO)]]</f>
        <v>3.4099840367281999E-3</v>
      </c>
      <c r="H2582" t="str">
        <f>IF(Comuni__2[[#This Row],[Popolazione2011]]&gt;300000,"MAGGIORE","")</f>
        <v/>
      </c>
      <c r="J2582">
        <v>7614</v>
      </c>
      <c r="K2582">
        <v>284073</v>
      </c>
      <c r="L2582">
        <v>22773</v>
      </c>
    </row>
    <row r="2583" spans="1:12" x14ac:dyDescent="0.2">
      <c r="A2583"/>
      <c r="B2583"/>
      <c r="C2583"/>
      <c r="D2583"/>
      <c r="E2583" s="2">
        <f>Comuni__2[[#This Row],[Popolazione2011]]/$D$7911</f>
        <v>5.2158187634746684E-4</v>
      </c>
      <c r="F2583">
        <f>SUMIFS($D$2:$D$7909, $B$2:$B$7909, "Lombardia")</f>
        <v>9704151</v>
      </c>
      <c r="G2583" s="1">
        <f>Comuni__2[[#This Row],[Popolazione2011]]/Comuni__2[[#This Row],[POPOLAZIONE TOTALE DI OGNI REGIONE (CON FILTRO)]]</f>
        <v>3.1938909441949119E-3</v>
      </c>
      <c r="H2583" t="str">
        <f>IF(Comuni__2[[#This Row],[Popolazione2011]]&gt;300000,"MAGGIORE","")</f>
        <v/>
      </c>
      <c r="J2583">
        <v>7359</v>
      </c>
      <c r="K2583">
        <v>288056</v>
      </c>
      <c r="L2583">
        <v>22884</v>
      </c>
    </row>
    <row r="2584" spans="1:12" x14ac:dyDescent="0.2">
      <c r="A2584"/>
      <c r="B2584"/>
      <c r="C2584"/>
      <c r="D2584"/>
      <c r="E2584" s="2">
        <f>Comuni__2[[#This Row],[Popolazione2011]]/$D$7911</f>
        <v>5.2154821938958163E-4</v>
      </c>
      <c r="F2584">
        <f>SUMIFS($D$2:$D$7909, $B$2:$B$7909, "Lombardia")</f>
        <v>9704151</v>
      </c>
      <c r="G2584" s="1">
        <f>Comuni__2[[#This Row],[Popolazione2011]]/Comuni__2[[#This Row],[POPOLAZIONE TOTALE DI OGNI REGIONE (CON FILTRO)]]</f>
        <v>3.1936848468248277E-3</v>
      </c>
      <c r="H2584" t="str">
        <f>IF(Comuni__2[[#This Row],[Popolazione2011]]&gt;300000,"MAGGIORE","")</f>
        <v/>
      </c>
      <c r="J2584">
        <v>7179</v>
      </c>
      <c r="K2584">
        <v>289706</v>
      </c>
      <c r="L2584">
        <v>23024</v>
      </c>
    </row>
    <row r="2585" spans="1:12" x14ac:dyDescent="0.2">
      <c r="A2585"/>
      <c r="B2585"/>
      <c r="C2585"/>
      <c r="D2585"/>
      <c r="E2585" s="2">
        <f>Comuni__2[[#This Row],[Popolazione2011]]/$D$7911</f>
        <v>5.1658381810150964E-4</v>
      </c>
      <c r="F2585">
        <f>SUMIFS($D$2:$D$7909, $B$2:$B$7909, "Lombardia")</f>
        <v>9704151</v>
      </c>
      <c r="G2585" s="1">
        <f>Comuni__2[[#This Row],[Popolazione2011]]/Comuni__2[[#This Row],[POPOLAZIONE TOTALE DI OGNI REGIONE (CON FILTRO)]]</f>
        <v>3.1632854847374078E-3</v>
      </c>
      <c r="H2585" t="str">
        <f>IF(Comuni__2[[#This Row],[Popolazione2011]]&gt;300000,"MAGGIORE","")</f>
        <v/>
      </c>
      <c r="J2585">
        <v>0</v>
      </c>
      <c r="K2585">
        <v>0</v>
      </c>
      <c r="L2585">
        <v>0</v>
      </c>
    </row>
    <row r="2586" spans="1:12" x14ac:dyDescent="0.2">
      <c r="A2586"/>
      <c r="B2586"/>
      <c r="C2586"/>
      <c r="D2586"/>
      <c r="E2586" s="2">
        <f>Comuni__2[[#This Row],[Popolazione2011]]/$D$7911</f>
        <v>4.7809708675974487E-4</v>
      </c>
      <c r="F2586">
        <f>SUMIFS($D$2:$D$7909, $B$2:$B$7909, "Lombardia")</f>
        <v>9704151</v>
      </c>
      <c r="G2586" s="1">
        <f>Comuni__2[[#This Row],[Popolazione2011]]/Comuni__2[[#This Row],[POPOLAZIONE TOTALE DI OGNI REGIONE (CON FILTRO)]]</f>
        <v>2.9276131420461204E-3</v>
      </c>
      <c r="H2586" t="str">
        <f>IF(Comuni__2[[#This Row],[Popolazione2011]]&gt;300000,"MAGGIORE","")</f>
        <v/>
      </c>
      <c r="J2586">
        <v>0</v>
      </c>
      <c r="K2586">
        <v>0</v>
      </c>
      <c r="L2586">
        <v>0</v>
      </c>
    </row>
    <row r="2587" spans="1:12" x14ac:dyDescent="0.2">
      <c r="A2587"/>
      <c r="B2587"/>
      <c r="C2587"/>
      <c r="D2587"/>
      <c r="E2587" s="2">
        <f>Comuni__2[[#This Row],[Popolazione2011]]/$D$7911</f>
        <v>4.5088543630953341E-4</v>
      </c>
      <c r="F2587">
        <f>SUMIFS($D$2:$D$7909, $B$2:$B$7909, "Lombardia")</f>
        <v>9704151</v>
      </c>
      <c r="G2587" s="1">
        <f>Comuni__2[[#This Row],[Popolazione2011]]/Comuni__2[[#This Row],[POPOLAZIONE TOTALE DI OGNI REGIONE (CON FILTRO)]]</f>
        <v>2.7609834183330412E-3</v>
      </c>
      <c r="H2587" t="str">
        <f>IF(Comuni__2[[#This Row],[Popolazione2011]]&gt;300000,"MAGGIORE","")</f>
        <v/>
      </c>
      <c r="J2587">
        <v>1</v>
      </c>
      <c r="K2587">
        <v>0</v>
      </c>
      <c r="L2587">
        <v>0</v>
      </c>
    </row>
    <row r="2588" spans="1:12" x14ac:dyDescent="0.2">
      <c r="A2588"/>
      <c r="B2588"/>
      <c r="C2588"/>
      <c r="D2588"/>
      <c r="E2588" s="2">
        <f>Comuni__2[[#This Row],[Popolazione2011]]/$D$7911</f>
        <v>4.4792362401563287E-4</v>
      </c>
      <c r="F2588">
        <f>SUMIFS($D$2:$D$7909, $B$2:$B$7909, "Lombardia")</f>
        <v>9704151</v>
      </c>
      <c r="G2588" s="1">
        <f>Comuni__2[[#This Row],[Popolazione2011]]/Comuni__2[[#This Row],[POPOLAZIONE TOTALE DI OGNI REGIONE (CON FILTRO)]]</f>
        <v>2.7428468497656313E-3</v>
      </c>
      <c r="H2588" t="str">
        <f>IF(Comuni__2[[#This Row],[Popolazione2011]]&gt;300000,"MAGGIORE","")</f>
        <v/>
      </c>
      <c r="J2588">
        <v>3</v>
      </c>
      <c r="K2588">
        <v>0</v>
      </c>
      <c r="L2588">
        <v>0</v>
      </c>
    </row>
    <row r="2589" spans="1:12" x14ac:dyDescent="0.2">
      <c r="A2589"/>
      <c r="B2589"/>
      <c r="C2589"/>
      <c r="D2589"/>
      <c r="E2589" s="2">
        <f>Comuni__2[[#This Row],[Popolazione2011]]/$D$7911</f>
        <v>4.4600517741617455E-4</v>
      </c>
      <c r="F2589">
        <f>SUMIFS($D$2:$D$7909, $B$2:$B$7909, "Lombardia")</f>
        <v>9704151</v>
      </c>
      <c r="G2589" s="1">
        <f>Comuni__2[[#This Row],[Popolazione2011]]/Comuni__2[[#This Row],[POPOLAZIONE TOTALE DI OGNI REGIONE (CON FILTRO)]]</f>
        <v>2.7310992996708314E-3</v>
      </c>
      <c r="H2589" t="str">
        <f>IF(Comuni__2[[#This Row],[Popolazione2011]]&gt;300000,"MAGGIORE","")</f>
        <v/>
      </c>
      <c r="J2589">
        <v>5</v>
      </c>
      <c r="K2589">
        <v>0</v>
      </c>
      <c r="L2589">
        <v>0</v>
      </c>
    </row>
    <row r="2590" spans="1:12" x14ac:dyDescent="0.2">
      <c r="A2590"/>
      <c r="B2590"/>
      <c r="C2590"/>
      <c r="D2590"/>
      <c r="E2590" s="2">
        <f>Comuni__2[[#This Row],[Popolazione2011]]/$D$7911</f>
        <v>4.4194951399100386E-4</v>
      </c>
      <c r="F2590">
        <f>SUMIFS($D$2:$D$7909, $B$2:$B$7909, "Lombardia")</f>
        <v>9704151</v>
      </c>
      <c r="G2590" s="1">
        <f>Comuni__2[[#This Row],[Popolazione2011]]/Comuni__2[[#This Row],[POPOLAZIONE TOTALE DI OGNI REGIONE (CON FILTRO)]]</f>
        <v>2.7062645665756851E-3</v>
      </c>
      <c r="H2590" t="str">
        <f>IF(Comuni__2[[#This Row],[Popolazione2011]]&gt;300000,"MAGGIORE","")</f>
        <v/>
      </c>
      <c r="J2590">
        <v>8</v>
      </c>
      <c r="K2590">
        <v>0</v>
      </c>
      <c r="L2590">
        <v>0</v>
      </c>
    </row>
    <row r="2591" spans="1:12" x14ac:dyDescent="0.2">
      <c r="A2591"/>
      <c r="B2591"/>
      <c r="C2591"/>
      <c r="D2591"/>
      <c r="E2591" s="2">
        <f>Comuni__2[[#This Row],[Popolazione2011]]/$D$7911</f>
        <v>4.3269385057256458E-4</v>
      </c>
      <c r="F2591">
        <f>SUMIFS($D$2:$D$7909, $B$2:$B$7909, "Lombardia")</f>
        <v>9704151</v>
      </c>
      <c r="G2591" s="1">
        <f>Comuni__2[[#This Row],[Popolazione2011]]/Comuni__2[[#This Row],[POPOLAZIONE TOTALE DI OGNI REGIONE (CON FILTRO)]]</f>
        <v>2.6495877898025286E-3</v>
      </c>
      <c r="H2591" t="str">
        <f>IF(Comuni__2[[#This Row],[Popolazione2011]]&gt;300000,"MAGGIORE","")</f>
        <v/>
      </c>
      <c r="J2591">
        <v>17</v>
      </c>
      <c r="K2591">
        <v>0</v>
      </c>
      <c r="L2591">
        <v>0</v>
      </c>
    </row>
    <row r="2592" spans="1:12" x14ac:dyDescent="0.2">
      <c r="A2592"/>
      <c r="B2592"/>
      <c r="C2592"/>
      <c r="D2592"/>
      <c r="E2592" s="2">
        <f>Comuni__2[[#This Row],[Popolazione2011]]/$D$7911</f>
        <v>4.2591197355869E-4</v>
      </c>
      <c r="F2592">
        <f>SUMIFS($D$2:$D$7909, $B$2:$B$7909, "Lombardia")</f>
        <v>9704151</v>
      </c>
      <c r="G2592" s="1">
        <f>Comuni__2[[#This Row],[Popolazione2011]]/Comuni__2[[#This Row],[POPOLAZIONE TOTALE DI OGNI REGIONE (CON FILTRO)]]</f>
        <v>2.6080591697305619E-3</v>
      </c>
      <c r="H2592" t="str">
        <f>IF(Comuni__2[[#This Row],[Popolazione2011]]&gt;300000,"MAGGIORE","")</f>
        <v/>
      </c>
      <c r="J2592">
        <v>23</v>
      </c>
      <c r="K2592">
        <v>0</v>
      </c>
      <c r="L2592">
        <v>1</v>
      </c>
    </row>
    <row r="2593" spans="1:12" x14ac:dyDescent="0.2">
      <c r="A2593"/>
      <c r="B2593"/>
      <c r="C2593"/>
      <c r="D2593"/>
      <c r="E2593" s="2">
        <f>Comuni__2[[#This Row],[Popolazione2011]]/$D$7911</f>
        <v>4.2162071142832271E-4</v>
      </c>
      <c r="F2593">
        <f>SUMIFS($D$2:$D$7909, $B$2:$B$7909, "Lombardia")</f>
        <v>9704151</v>
      </c>
      <c r="G2593" s="1">
        <f>Comuni__2[[#This Row],[Popolazione2011]]/Comuni__2[[#This Row],[POPOLAZIONE TOTALE DI OGNI REGIONE (CON FILTRO)]]</f>
        <v>2.5817817550448257E-3</v>
      </c>
      <c r="H2593" t="str">
        <f>IF(Comuni__2[[#This Row],[Popolazione2011]]&gt;300000,"MAGGIORE","")</f>
        <v/>
      </c>
      <c r="J2593">
        <v>40</v>
      </c>
      <c r="K2593">
        <v>0</v>
      </c>
      <c r="L2593">
        <v>2</v>
      </c>
    </row>
    <row r="2594" spans="1:12" x14ac:dyDescent="0.2">
      <c r="A2594"/>
      <c r="B2594"/>
      <c r="C2594"/>
      <c r="D2594"/>
      <c r="E2594" s="2">
        <f>Comuni__2[[#This Row],[Popolazione2011]]/$D$7911</f>
        <v>4.1275210302556362E-4</v>
      </c>
      <c r="F2594">
        <f>SUMIFS($D$2:$D$7909, $B$2:$B$7909, "Lombardia")</f>
        <v>9704151</v>
      </c>
      <c r="G2594" s="1">
        <f>Comuni__2[[#This Row],[Popolazione2011]]/Comuni__2[[#This Row],[POPOLAZIONE TOTALE DI OGNI REGIONE (CON FILTRO)]]</f>
        <v>2.527475098027638E-3</v>
      </c>
      <c r="H2594" t="str">
        <f>IF(Comuni__2[[#This Row],[Popolazione2011]]&gt;300000,"MAGGIORE","")</f>
        <v/>
      </c>
      <c r="J2594">
        <v>49</v>
      </c>
      <c r="K2594">
        <v>0</v>
      </c>
      <c r="L2594">
        <v>4</v>
      </c>
    </row>
    <row r="2595" spans="1:12" x14ac:dyDescent="0.2">
      <c r="A2595"/>
      <c r="B2595"/>
      <c r="C2595"/>
      <c r="D2595"/>
      <c r="E2595" s="2">
        <f>Comuni__2[[#This Row],[Popolazione2011]]/$D$7911</f>
        <v>4.0953786354752382E-4</v>
      </c>
      <c r="F2595">
        <f>SUMIFS($D$2:$D$7909, $B$2:$B$7909, "Lombardia")</f>
        <v>9704151</v>
      </c>
      <c r="G2595" s="1">
        <f>Comuni__2[[#This Row],[Popolazione2011]]/Comuni__2[[#This Row],[POPOLAZIONE TOTALE DI OGNI REGIONE (CON FILTRO)]]</f>
        <v>2.5077927991845965E-3</v>
      </c>
      <c r="H2595" t="str">
        <f>IF(Comuni__2[[#This Row],[Popolazione2011]]&gt;300000,"MAGGIORE","")</f>
        <v/>
      </c>
      <c r="J2595">
        <v>76</v>
      </c>
      <c r="K2595">
        <v>0</v>
      </c>
      <c r="L2595">
        <v>4</v>
      </c>
    </row>
    <row r="2596" spans="1:12" x14ac:dyDescent="0.2">
      <c r="A2596"/>
      <c r="B2596"/>
      <c r="C2596"/>
      <c r="D2596"/>
      <c r="E2596" s="2">
        <f>Comuni__2[[#This Row],[Popolazione2011]]/$D$7911</f>
        <v>3.9940711922406845E-4</v>
      </c>
      <c r="F2596">
        <f>SUMIFS($D$2:$D$7909, $B$2:$B$7909, "Lombardia")</f>
        <v>9704151</v>
      </c>
      <c r="G2596" s="1">
        <f>Comuni__2[[#This Row],[Popolazione2011]]/Comuni__2[[#This Row],[POPOLAZIONE TOTALE DI OGNI REGIONE (CON FILTRO)]]</f>
        <v>2.445757490789251E-3</v>
      </c>
      <c r="H2596" t="str">
        <f>IF(Comuni__2[[#This Row],[Popolazione2011]]&gt;300000,"MAGGIORE","")</f>
        <v/>
      </c>
      <c r="J2596">
        <v>93</v>
      </c>
      <c r="K2596">
        <v>0</v>
      </c>
      <c r="L2596">
        <v>4</v>
      </c>
    </row>
    <row r="2597" spans="1:12" x14ac:dyDescent="0.2">
      <c r="A2597"/>
      <c r="B2597"/>
      <c r="C2597"/>
      <c r="D2597"/>
      <c r="E2597" s="2">
        <f>Comuni__2[[#This Row],[Popolazione2011]]/$D$7911</f>
        <v>3.9546925515149609E-4</v>
      </c>
      <c r="F2597">
        <f>SUMIFS($D$2:$D$7909, $B$2:$B$7909, "Lombardia")</f>
        <v>9704151</v>
      </c>
      <c r="G2597" s="1">
        <f>Comuni__2[[#This Row],[Popolazione2011]]/Comuni__2[[#This Row],[POPOLAZIONE TOTALE DI OGNI REGIONE (CON FILTRO)]]</f>
        <v>2.4216440984893991E-3</v>
      </c>
      <c r="H2597" t="str">
        <f>IF(Comuni__2[[#This Row],[Popolazione2011]]&gt;300000,"MAGGIORE","")</f>
        <v/>
      </c>
      <c r="J2597">
        <v>130</v>
      </c>
      <c r="K2597">
        <v>0</v>
      </c>
      <c r="L2597">
        <v>6</v>
      </c>
    </row>
    <row r="2598" spans="1:12" x14ac:dyDescent="0.2">
      <c r="A2598"/>
      <c r="B2598"/>
      <c r="C2598"/>
      <c r="D2598"/>
      <c r="E2598" s="2">
        <f>Comuni__2[[#This Row],[Popolazione2011]]/$D$7911</f>
        <v>3.9375275029934921E-4</v>
      </c>
      <c r="F2598">
        <f>SUMIFS($D$2:$D$7909, $B$2:$B$7909, "Lombardia")</f>
        <v>9704151</v>
      </c>
      <c r="G2598" s="1">
        <f>Comuni__2[[#This Row],[Popolazione2011]]/Comuni__2[[#This Row],[POPOLAZIONE TOTALE DI OGNI REGIONE (CON FILTRO)]]</f>
        <v>2.4111331326151044E-3</v>
      </c>
      <c r="H2598" t="str">
        <f>IF(Comuni__2[[#This Row],[Popolazione2011]]&gt;300000,"MAGGIORE","")</f>
        <v/>
      </c>
      <c r="J2598">
        <v>151</v>
      </c>
      <c r="K2598">
        <v>0</v>
      </c>
      <c r="L2598">
        <v>7</v>
      </c>
    </row>
    <row r="2599" spans="1:12" x14ac:dyDescent="0.2">
      <c r="A2599"/>
      <c r="B2599"/>
      <c r="C2599"/>
      <c r="D2599"/>
      <c r="E2599" s="2">
        <f>Comuni__2[[#This Row],[Popolazione2011]]/$D$7911</f>
        <v>3.9361812246780823E-4</v>
      </c>
      <c r="F2599">
        <f>SUMIFS($D$2:$D$7909, $B$2:$B$7909, "Lombardia")</f>
        <v>9704151</v>
      </c>
      <c r="G2599" s="1">
        <f>Comuni__2[[#This Row],[Popolazione2011]]/Comuni__2[[#This Row],[POPOLAZIONE TOTALE DI OGNI REGIONE (CON FILTRO)]]</f>
        <v>2.4103087431347676E-3</v>
      </c>
      <c r="H2599" t="str">
        <f>IF(Comuni__2[[#This Row],[Popolazione2011]]&gt;300000,"MAGGIORE","")</f>
        <v/>
      </c>
      <c r="J2599">
        <v>183</v>
      </c>
      <c r="K2599">
        <v>0</v>
      </c>
      <c r="L2599">
        <v>10</v>
      </c>
    </row>
    <row r="2600" spans="1:12" x14ac:dyDescent="0.2">
      <c r="A2600"/>
      <c r="B2600"/>
      <c r="C2600"/>
      <c r="D2600"/>
      <c r="E2600" s="2">
        <f>Comuni__2[[#This Row],[Popolazione2011]]/$D$7911</f>
        <v>3.9055533930025196E-4</v>
      </c>
      <c r="F2600">
        <f>SUMIFS($D$2:$D$7909, $B$2:$B$7909, "Lombardia")</f>
        <v>9704151</v>
      </c>
      <c r="G2600" s="1">
        <f>Comuni__2[[#This Row],[Popolazione2011]]/Comuni__2[[#This Row],[POPOLAZIONE TOTALE DI OGNI REGIONE (CON FILTRO)]]</f>
        <v>2.391553882457105E-3</v>
      </c>
      <c r="H2600" t="str">
        <f>IF(Comuni__2[[#This Row],[Popolazione2011]]&gt;300000,"MAGGIORE","")</f>
        <v/>
      </c>
      <c r="J2600">
        <v>206</v>
      </c>
      <c r="K2600">
        <v>0</v>
      </c>
      <c r="L2600">
        <v>13</v>
      </c>
    </row>
    <row r="2601" spans="1:12" x14ac:dyDescent="0.2">
      <c r="A2601"/>
      <c r="B2601"/>
      <c r="C2601"/>
      <c r="D2601"/>
      <c r="E2601" s="2">
        <f>Comuni__2[[#This Row],[Popolazione2011]]/$D$7911</f>
        <v>3.8828349464299872E-4</v>
      </c>
      <c r="F2601">
        <f>SUMIFS($D$2:$D$7909, $B$2:$B$7909, "Lombardia")</f>
        <v>9704151</v>
      </c>
      <c r="G2601" s="1">
        <f>Comuni__2[[#This Row],[Popolazione2011]]/Comuni__2[[#This Row],[POPOLAZIONE TOTALE DI OGNI REGIONE (CON FILTRO)]]</f>
        <v>2.3776423099764214E-3</v>
      </c>
      <c r="H2601" t="str">
        <f>IF(Comuni__2[[#This Row],[Popolazione2011]]&gt;300000,"MAGGIORE","")</f>
        <v/>
      </c>
      <c r="J2601">
        <v>278</v>
      </c>
      <c r="K2601">
        <v>0</v>
      </c>
      <c r="L2601">
        <v>18</v>
      </c>
    </row>
    <row r="2602" spans="1:12" x14ac:dyDescent="0.2">
      <c r="A2602"/>
      <c r="B2602"/>
      <c r="C2602"/>
      <c r="D2602"/>
      <c r="E2602" s="2">
        <f>Comuni__2[[#This Row],[Popolazione2011]]/$D$7911</f>
        <v>3.8505242668601626E-4</v>
      </c>
      <c r="F2602">
        <f>SUMIFS($D$2:$D$7909, $B$2:$B$7909, "Lombardia")</f>
        <v>9704151</v>
      </c>
      <c r="G2602" s="1">
        <f>Comuni__2[[#This Row],[Popolazione2011]]/Comuni__2[[#This Row],[POPOLAZIONE TOTALE DI OGNI REGIONE (CON FILTRO)]]</f>
        <v>2.3578569624483378E-3</v>
      </c>
      <c r="H2602" t="str">
        <f>IF(Comuni__2[[#This Row],[Popolazione2011]]&gt;300000,"MAGGIORE","")</f>
        <v/>
      </c>
      <c r="J2602">
        <v>330</v>
      </c>
      <c r="K2602">
        <v>0</v>
      </c>
      <c r="L2602">
        <v>22</v>
      </c>
    </row>
    <row r="2603" spans="1:12" x14ac:dyDescent="0.2">
      <c r="A2603"/>
      <c r="B2603"/>
      <c r="C2603"/>
      <c r="D2603"/>
      <c r="E2603" s="2">
        <f>Comuni__2[[#This Row],[Popolazione2011]]/$D$7911</f>
        <v>3.8498511277024579E-4</v>
      </c>
      <c r="F2603">
        <f>SUMIFS($D$2:$D$7909, $B$2:$B$7909, "Lombardia")</f>
        <v>9704151</v>
      </c>
      <c r="G2603" s="1">
        <f>Comuni__2[[#This Row],[Popolazione2011]]/Comuni__2[[#This Row],[POPOLAZIONE TOTALE DI OGNI REGIONE (CON FILTRO)]]</f>
        <v>2.3574447677081694E-3</v>
      </c>
      <c r="H2603" t="str">
        <f>IF(Comuni__2[[#This Row],[Popolazione2011]]&gt;300000,"MAGGIORE","")</f>
        <v/>
      </c>
      <c r="J2603">
        <v>422</v>
      </c>
      <c r="K2603">
        <v>0</v>
      </c>
      <c r="L2603">
        <v>27</v>
      </c>
    </row>
    <row r="2604" spans="1:12" x14ac:dyDescent="0.2">
      <c r="A2604"/>
      <c r="B2604"/>
      <c r="C2604"/>
      <c r="D2604"/>
      <c r="E2604" s="2">
        <f>Comuni__2[[#This Row],[Popolazione2011]]/$D$7911</f>
        <v>3.8256181180250896E-4</v>
      </c>
      <c r="F2604">
        <f>SUMIFS($D$2:$D$7909, $B$2:$B$7909, "Lombardia")</f>
        <v>9704151</v>
      </c>
      <c r="G2604" s="1">
        <f>Comuni__2[[#This Row],[Popolazione2011]]/Comuni__2[[#This Row],[POPOLAZIONE TOTALE DI OGNI REGIONE (CON FILTRO)]]</f>
        <v>2.3426057570621068E-3</v>
      </c>
      <c r="H2604" t="str">
        <f>IF(Comuni__2[[#This Row],[Popolazione2011]]&gt;300000,"MAGGIORE","")</f>
        <v/>
      </c>
      <c r="J2604">
        <v>542</v>
      </c>
      <c r="K2604">
        <v>0</v>
      </c>
      <c r="L2604">
        <v>36</v>
      </c>
    </row>
    <row r="2605" spans="1:12" x14ac:dyDescent="0.2">
      <c r="A2605"/>
      <c r="B2605"/>
      <c r="C2605"/>
      <c r="D2605"/>
      <c r="E2605" s="2">
        <f>Comuni__2[[#This Row],[Popolazione2011]]/$D$7911</f>
        <v>3.7552750760449512E-4</v>
      </c>
      <c r="F2605">
        <f>SUMIFS($D$2:$D$7909, $B$2:$B$7909, "Lombardia")</f>
        <v>9704151</v>
      </c>
      <c r="G2605" s="1">
        <f>Comuni__2[[#This Row],[Popolazione2011]]/Comuni__2[[#This Row],[POPOLAZIONE TOTALE DI OGNI REGIONE (CON FILTRO)]]</f>
        <v>2.299531406714508E-3</v>
      </c>
      <c r="H2605" t="str">
        <f>IF(Comuni__2[[#This Row],[Popolazione2011]]&gt;300000,"MAGGIORE","")</f>
        <v/>
      </c>
      <c r="J2605">
        <v>619</v>
      </c>
      <c r="K2605">
        <v>0</v>
      </c>
      <c r="L2605">
        <v>46</v>
      </c>
    </row>
    <row r="2606" spans="1:12" x14ac:dyDescent="0.2">
      <c r="A2606"/>
      <c r="B2606"/>
      <c r="C2606"/>
      <c r="D2606"/>
      <c r="E2606" s="2">
        <f>Comuni__2[[#This Row],[Popolazione2011]]/$D$7911</f>
        <v>3.745009703889955E-4</v>
      </c>
      <c r="F2606">
        <f>SUMIFS($D$2:$D$7909, $B$2:$B$7909, "Lombardia")</f>
        <v>9704151</v>
      </c>
      <c r="G2606" s="1">
        <f>Comuni__2[[#This Row],[Popolazione2011]]/Comuni__2[[#This Row],[POPOLAZIONE TOTALE DI OGNI REGIONE (CON FILTRO)]]</f>
        <v>2.2932454369269397E-3</v>
      </c>
      <c r="H2606" t="str">
        <f>IF(Comuni__2[[#This Row],[Popolazione2011]]&gt;300000,"MAGGIORE","")</f>
        <v/>
      </c>
      <c r="J2606">
        <v>638</v>
      </c>
      <c r="K2606">
        <v>0</v>
      </c>
      <c r="L2606">
        <v>57</v>
      </c>
    </row>
    <row r="2607" spans="1:12" x14ac:dyDescent="0.2">
      <c r="A2607"/>
      <c r="B2607"/>
      <c r="C2607"/>
      <c r="D2607"/>
      <c r="E2607" s="2">
        <f>Comuni__2[[#This Row],[Popolazione2011]]/$D$7911</f>
        <v>3.7110161764258691E-4</v>
      </c>
      <c r="F2607">
        <f>SUMIFS($D$2:$D$7909, $B$2:$B$7909, "Lombardia")</f>
        <v>9704151</v>
      </c>
      <c r="G2607" s="1">
        <f>Comuni__2[[#This Row],[Popolazione2011]]/Comuni__2[[#This Row],[POPOLAZIONE TOTALE DI OGNI REGIONE (CON FILTRO)]]</f>
        <v>2.272429602548435E-3</v>
      </c>
      <c r="H2607" t="str">
        <f>IF(Comuni__2[[#This Row],[Popolazione2011]]&gt;300000,"MAGGIORE","")</f>
        <v/>
      </c>
      <c r="J2607">
        <v>708</v>
      </c>
      <c r="K2607">
        <v>0</v>
      </c>
      <c r="L2607">
        <v>69</v>
      </c>
    </row>
    <row r="2608" spans="1:12" x14ac:dyDescent="0.2">
      <c r="A2608"/>
      <c r="B2608"/>
      <c r="C2608"/>
      <c r="D2608"/>
      <c r="E2608" s="2">
        <f>Comuni__2[[#This Row],[Popolazione2011]]/$D$7911</f>
        <v>3.64201941276114E-4</v>
      </c>
      <c r="F2608">
        <f>SUMIFS($D$2:$D$7909, $B$2:$B$7909, "Lombardia")</f>
        <v>9704151</v>
      </c>
      <c r="G2608" s="1">
        <f>Comuni__2[[#This Row],[Popolazione2011]]/Comuni__2[[#This Row],[POPOLAZIONE TOTALE DI OGNI REGIONE (CON FILTRO)]]</f>
        <v>2.2301796416811731E-3</v>
      </c>
      <c r="H2608" t="str">
        <f>IF(Comuni__2[[#This Row],[Popolazione2011]]&gt;300000,"MAGGIORE","")</f>
        <v/>
      </c>
      <c r="J2608">
        <v>757</v>
      </c>
      <c r="K2608">
        <v>0</v>
      </c>
      <c r="L2608">
        <v>92</v>
      </c>
    </row>
    <row r="2609" spans="1:12" x14ac:dyDescent="0.2">
      <c r="A2609"/>
      <c r="B2609"/>
      <c r="C2609"/>
      <c r="D2609"/>
      <c r="E2609" s="2">
        <f>Comuni__2[[#This Row],[Popolazione2011]]/$D$7911</f>
        <v>3.5989385066680405E-4</v>
      </c>
      <c r="F2609">
        <f>SUMIFS($D$2:$D$7909, $B$2:$B$7909, "Lombardia")</f>
        <v>9704151</v>
      </c>
      <c r="G2609" s="1">
        <f>Comuni__2[[#This Row],[Popolazione2011]]/Comuni__2[[#This Row],[POPOLAZIONE TOTALE DI OGNI REGIONE (CON FILTRO)]]</f>
        <v>2.2037991783103953E-3</v>
      </c>
      <c r="H2609" t="str">
        <f>IF(Comuni__2[[#This Row],[Popolazione2011]]&gt;300000,"MAGGIORE","")</f>
        <v/>
      </c>
      <c r="J2609">
        <v>797</v>
      </c>
      <c r="K2609">
        <v>0</v>
      </c>
      <c r="L2609">
        <v>115</v>
      </c>
    </row>
    <row r="2610" spans="1:12" x14ac:dyDescent="0.2">
      <c r="A2610"/>
      <c r="B2610"/>
      <c r="C2610"/>
      <c r="D2610"/>
      <c r="E2610" s="2">
        <f>Comuni__2[[#This Row],[Popolazione2011]]/$D$7911</f>
        <v>3.5195080860588891E-4</v>
      </c>
      <c r="F2610">
        <f>SUMIFS($D$2:$D$7909, $B$2:$B$7909, "Lombardia")</f>
        <v>9704151</v>
      </c>
      <c r="G2610" s="1">
        <f>Comuni__2[[#This Row],[Popolazione2011]]/Comuni__2[[#This Row],[POPOLAZIONE TOTALE DI OGNI REGIONE (CON FILTRO)]]</f>
        <v>2.1551601989705229E-3</v>
      </c>
      <c r="H2610" t="str">
        <f>IF(Comuni__2[[#This Row],[Popolazione2011]]&gt;300000,"MAGGIORE","")</f>
        <v/>
      </c>
      <c r="J2610">
        <v>842</v>
      </c>
      <c r="K2610">
        <v>0</v>
      </c>
      <c r="L2610">
        <v>137</v>
      </c>
    </row>
    <row r="2611" spans="1:12" x14ac:dyDescent="0.2">
      <c r="A2611"/>
      <c r="B2611"/>
      <c r="C2611"/>
      <c r="D2611"/>
      <c r="E2611" s="2">
        <f>Comuni__2[[#This Row],[Popolazione2011]]/$D$7911</f>
        <v>3.4574109987606331E-4</v>
      </c>
      <c r="F2611">
        <f>SUMIFS($D$2:$D$7909, $B$2:$B$7909, "Lombardia")</f>
        <v>9704151</v>
      </c>
      <c r="G2611" s="1">
        <f>Comuni__2[[#This Row],[Popolazione2011]]/Comuni__2[[#This Row],[POPOLAZIONE TOTALE DI OGNI REGIONE (CON FILTRO)]]</f>
        <v>2.1171352341899873E-3</v>
      </c>
      <c r="H2611" t="str">
        <f>IF(Comuni__2[[#This Row],[Popolazione2011]]&gt;300000,"MAGGIORE","")</f>
        <v/>
      </c>
      <c r="J2611">
        <v>883</v>
      </c>
      <c r="K2611">
        <v>2</v>
      </c>
      <c r="L2611">
        <v>154</v>
      </c>
    </row>
    <row r="2612" spans="1:12" x14ac:dyDescent="0.2">
      <c r="A2612"/>
      <c r="B2612"/>
      <c r="C2612"/>
      <c r="D2612"/>
      <c r="E2612" s="2">
        <f>Comuni__2[[#This Row],[Popolazione2011]]/$D$7911</f>
        <v>3.3860582480439374E-4</v>
      </c>
      <c r="F2612">
        <f>SUMIFS($D$2:$D$7909, $B$2:$B$7909, "Lombardia")</f>
        <v>9704151</v>
      </c>
      <c r="G2612" s="1">
        <f>Comuni__2[[#This Row],[Popolazione2011]]/Comuni__2[[#This Row],[POPOLAZIONE TOTALE DI OGNI REGIONE (CON FILTRO)]]</f>
        <v>2.0734425917321359E-3</v>
      </c>
      <c r="H2612" t="str">
        <f>IF(Comuni__2[[#This Row],[Popolazione2011]]&gt;300000,"MAGGIORE","")</f>
        <v/>
      </c>
      <c r="J2612">
        <v>954</v>
      </c>
      <c r="K2612">
        <v>6</v>
      </c>
      <c r="L2612">
        <v>184</v>
      </c>
    </row>
    <row r="2613" spans="1:12" x14ac:dyDescent="0.2">
      <c r="A2613"/>
      <c r="B2613"/>
      <c r="C2613"/>
      <c r="D2613"/>
      <c r="E2613" s="2">
        <f>Comuni__2[[#This Row],[Popolazione2011]]/$D$7911</f>
        <v>3.3687249147330422E-4</v>
      </c>
      <c r="F2613">
        <f>SUMIFS($D$2:$D$7909, $B$2:$B$7909, "Lombardia")</f>
        <v>9704151</v>
      </c>
      <c r="G2613" s="1">
        <f>Comuni__2[[#This Row],[Popolazione2011]]/Comuni__2[[#This Row],[POPOLAZIONE TOTALE DI OGNI REGIONE (CON FILTRO)]]</f>
        <v>2.0628285771727996E-3</v>
      </c>
      <c r="H2613" t="str">
        <f>IF(Comuni__2[[#This Row],[Popolazione2011]]&gt;300000,"MAGGIORE","")</f>
        <v/>
      </c>
      <c r="J2613">
        <v>1030</v>
      </c>
      <c r="K2613">
        <v>8</v>
      </c>
      <c r="L2613">
        <v>203</v>
      </c>
    </row>
    <row r="2614" spans="1:12" x14ac:dyDescent="0.2">
      <c r="A2614"/>
      <c r="B2614"/>
      <c r="C2614"/>
      <c r="D2614"/>
      <c r="E2614" s="2">
        <f>Comuni__2[[#This Row],[Popolazione2011]]/$D$7911</f>
        <v>3.356271840315506E-4</v>
      </c>
      <c r="F2614">
        <f>SUMIFS($D$2:$D$7909, $B$2:$B$7909, "Lombardia")</f>
        <v>9704151</v>
      </c>
      <c r="G2614" s="1">
        <f>Comuni__2[[#This Row],[Popolazione2011]]/Comuni__2[[#This Row],[POPOLAZIONE TOTALE DI OGNI REGIONE (CON FILTRO)]]</f>
        <v>2.0552029744796839E-3</v>
      </c>
      <c r="H2614" t="str">
        <f>IF(Comuni__2[[#This Row],[Popolazione2011]]&gt;300000,"MAGGIORE","")</f>
        <v/>
      </c>
      <c r="J2614">
        <v>1011</v>
      </c>
      <c r="K2614">
        <v>8</v>
      </c>
      <c r="L2614">
        <v>231</v>
      </c>
    </row>
    <row r="2615" spans="1:12" x14ac:dyDescent="0.2">
      <c r="A2615"/>
      <c r="B2615"/>
      <c r="C2615"/>
      <c r="D2615"/>
      <c r="E2615" s="2">
        <f>Comuni__2[[#This Row],[Popolazione2011]]/$D$7911</f>
        <v>3.3552621315789487E-4</v>
      </c>
      <c r="F2615">
        <f>SUMIFS($D$2:$D$7909, $B$2:$B$7909, "Lombardia")</f>
        <v>9704151</v>
      </c>
      <c r="G2615" s="1">
        <f>Comuni__2[[#This Row],[Popolazione2011]]/Comuni__2[[#This Row],[POPOLAZIONE TOTALE DI OGNI REGIONE (CON FILTRO)]]</f>
        <v>2.0545846823694313E-3</v>
      </c>
      <c r="H2615" t="str">
        <f>IF(Comuni__2[[#This Row],[Popolazione2011]]&gt;300000,"MAGGIORE","")</f>
        <v/>
      </c>
      <c r="J2615">
        <v>1086</v>
      </c>
      <c r="K2615">
        <v>8</v>
      </c>
      <c r="L2615">
        <v>287</v>
      </c>
    </row>
    <row r="2616" spans="1:12" x14ac:dyDescent="0.2">
      <c r="A2616"/>
      <c r="B2616"/>
      <c r="C2616"/>
      <c r="D2616"/>
      <c r="E2616" s="2">
        <f>Comuni__2[[#This Row],[Popolazione2011]]/$D$7911</f>
        <v>3.276841419706354E-4</v>
      </c>
      <c r="F2616">
        <f>SUMIFS($D$2:$D$7909, $B$2:$B$7909, "Lombardia")</f>
        <v>9704151</v>
      </c>
      <c r="G2616" s="1">
        <f>Comuni__2[[#This Row],[Popolazione2011]]/Comuni__2[[#This Row],[POPOLAZIONE TOTALE DI OGNI REGIONE (CON FILTRO)]]</f>
        <v>2.006563995139812E-3</v>
      </c>
      <c r="H2616" t="str">
        <f>IF(Comuni__2[[#This Row],[Popolazione2011]]&gt;300000,"MAGGIORE","")</f>
        <v/>
      </c>
      <c r="J2616">
        <v>1143</v>
      </c>
      <c r="K2616">
        <v>9</v>
      </c>
      <c r="L2616">
        <v>310</v>
      </c>
    </row>
    <row r="2617" spans="1:12" x14ac:dyDescent="0.2">
      <c r="A2617"/>
      <c r="B2617"/>
      <c r="C2617"/>
      <c r="D2617"/>
      <c r="E2617" s="2">
        <f>Comuni__2[[#This Row],[Popolazione2011]]/$D$7911</f>
        <v>3.2650614844465225E-4</v>
      </c>
      <c r="F2617">
        <f>SUMIFS($D$2:$D$7909, $B$2:$B$7909, "Lombardia")</f>
        <v>9704151</v>
      </c>
      <c r="G2617" s="1">
        <f>Comuni__2[[#This Row],[Popolazione2011]]/Comuni__2[[#This Row],[POPOLAZIONE TOTALE DI OGNI REGIONE (CON FILTRO)]]</f>
        <v>1.9993505871868647E-3</v>
      </c>
      <c r="H2617" t="str">
        <f>IF(Comuni__2[[#This Row],[Popolazione2011]]&gt;300000,"MAGGIORE","")</f>
        <v/>
      </c>
      <c r="J2617">
        <v>1141</v>
      </c>
      <c r="K2617">
        <v>10</v>
      </c>
      <c r="L2617">
        <v>336</v>
      </c>
    </row>
    <row r="2618" spans="1:12" x14ac:dyDescent="0.2">
      <c r="A2618"/>
      <c r="B2618"/>
      <c r="C2618"/>
      <c r="D2618"/>
      <c r="E2618" s="2">
        <f>Comuni__2[[#This Row],[Popolazione2011]]/$D$7911</f>
        <v>3.2238317110371109E-4</v>
      </c>
      <c r="F2618">
        <f>SUMIFS($D$2:$D$7909, $B$2:$B$7909, "Lombardia")</f>
        <v>9704151</v>
      </c>
      <c r="G2618" s="1">
        <f>Comuni__2[[#This Row],[Popolazione2011]]/Comuni__2[[#This Row],[POPOLAZIONE TOTALE DI OGNI REGIONE (CON FILTRO)]]</f>
        <v>1.9741036593515495E-3</v>
      </c>
      <c r="H2618" t="str">
        <f>IF(Comuni__2[[#This Row],[Popolazione2011]]&gt;300000,"MAGGIORE","")</f>
        <v/>
      </c>
      <c r="J2618">
        <v>1153</v>
      </c>
      <c r="K2618">
        <v>10</v>
      </c>
      <c r="L2618">
        <v>364</v>
      </c>
    </row>
    <row r="2619" spans="1:12" x14ac:dyDescent="0.2">
      <c r="A2619"/>
      <c r="B2619"/>
      <c r="C2619"/>
      <c r="D2619"/>
      <c r="E2619" s="2">
        <f>Comuni__2[[#This Row],[Popolazione2011]]/$D$7911</f>
        <v>3.2223171479322756E-4</v>
      </c>
      <c r="F2619">
        <f>SUMIFS($D$2:$D$7909, $B$2:$B$7909, "Lombardia")</f>
        <v>9704151</v>
      </c>
      <c r="G2619" s="1">
        <f>Comuni__2[[#This Row],[Popolazione2011]]/Comuni__2[[#This Row],[POPOLAZIONE TOTALE DI OGNI REGIONE (CON FILTRO)]]</f>
        <v>1.9731762211861706E-3</v>
      </c>
      <c r="H2619" t="str">
        <f>IF(Comuni__2[[#This Row],[Popolazione2011]]&gt;300000,"MAGGIORE","")</f>
        <v/>
      </c>
      <c r="J2619">
        <v>1168</v>
      </c>
      <c r="K2619">
        <v>12</v>
      </c>
      <c r="L2619">
        <v>386</v>
      </c>
    </row>
    <row r="2620" spans="1:12" x14ac:dyDescent="0.2">
      <c r="A2620"/>
      <c r="B2620"/>
      <c r="C2620"/>
      <c r="D2620"/>
      <c r="E2620" s="2">
        <f>Comuni__2[[#This Row],[Popolazione2011]]/$D$7911</f>
        <v>3.2206343000380137E-4</v>
      </c>
      <c r="F2620">
        <f>SUMIFS($D$2:$D$7909, $B$2:$B$7909, "Lombardia")</f>
        <v>9704151</v>
      </c>
      <c r="G2620" s="1">
        <f>Comuni__2[[#This Row],[Popolazione2011]]/Comuni__2[[#This Row],[POPOLAZIONE TOTALE DI OGNI REGIONE (CON FILTRO)]]</f>
        <v>1.9721457343357496E-3</v>
      </c>
      <c r="H2620" t="str">
        <f>IF(Comuni__2[[#This Row],[Popolazione2011]]&gt;300000,"MAGGIORE","")</f>
        <v/>
      </c>
      <c r="J2620">
        <v>1165</v>
      </c>
      <c r="K2620">
        <v>16</v>
      </c>
      <c r="L2620">
        <v>417</v>
      </c>
    </row>
    <row r="2621" spans="1:12" x14ac:dyDescent="0.2">
      <c r="A2621"/>
      <c r="B2621"/>
      <c r="C2621"/>
      <c r="D2621"/>
      <c r="E2621" s="2">
        <f>Comuni__2[[#This Row],[Popolazione2011]]/$D$7911</f>
        <v>3.1814239441017167E-4</v>
      </c>
      <c r="F2621">
        <f>SUMIFS($D$2:$D$7909, $B$2:$B$7909, "Lombardia")</f>
        <v>9704151</v>
      </c>
      <c r="G2621" s="1">
        <f>Comuni__2[[#This Row],[Popolazione2011]]/Comuni__2[[#This Row],[POPOLAZIONE TOTALE DI OGNI REGIONE (CON FILTRO)]]</f>
        <v>1.9481353907209399E-3</v>
      </c>
      <c r="H2621" t="str">
        <f>IF(Comuni__2[[#This Row],[Popolazione2011]]&gt;300000,"MAGGIORE","")</f>
        <v/>
      </c>
      <c r="J2621">
        <v>1115</v>
      </c>
      <c r="K2621">
        <v>21</v>
      </c>
      <c r="L2621">
        <v>452</v>
      </c>
    </row>
    <row r="2622" spans="1:12" x14ac:dyDescent="0.2">
      <c r="A2622"/>
      <c r="B2622"/>
      <c r="C2622"/>
      <c r="D2622"/>
      <c r="E2622" s="2">
        <f>Comuni__2[[#This Row],[Popolazione2011]]/$D$7911</f>
        <v>3.1610614845811502E-4</v>
      </c>
      <c r="F2622">
        <f>SUMIFS($D$2:$D$7909, $B$2:$B$7909, "Lombardia")</f>
        <v>9704151</v>
      </c>
      <c r="G2622" s="1">
        <f>Comuni__2[[#This Row],[Popolazione2011]]/Comuni__2[[#This Row],[POPOLAZIONE TOTALE DI OGNI REGIONE (CON FILTRO)]]</f>
        <v>1.9356664998308455E-3</v>
      </c>
      <c r="H2622" t="str">
        <f>IF(Comuni__2[[#This Row],[Popolazione2011]]&gt;300000,"MAGGIORE","")</f>
        <v/>
      </c>
      <c r="J2622">
        <v>1152</v>
      </c>
      <c r="K2622">
        <v>29</v>
      </c>
      <c r="L2622">
        <v>477</v>
      </c>
    </row>
    <row r="2623" spans="1:12" x14ac:dyDescent="0.2">
      <c r="A2623"/>
      <c r="B2623"/>
      <c r="C2623"/>
      <c r="D2623"/>
      <c r="E2623" s="2">
        <f>Comuni__2[[#This Row],[Popolazione2011]]/$D$7911</f>
        <v>3.1220194134342792E-4</v>
      </c>
      <c r="F2623">
        <f>SUMIFS($D$2:$D$7909, $B$2:$B$7909, "Lombardia")</f>
        <v>9704151</v>
      </c>
      <c r="G2623" s="1">
        <f>Comuni__2[[#This Row],[Popolazione2011]]/Comuni__2[[#This Row],[POPOLAZIONE TOTALE DI OGNI REGIONE (CON FILTRO)]]</f>
        <v>1.9117592049010779E-3</v>
      </c>
      <c r="H2623" t="str">
        <f>IF(Comuni__2[[#This Row],[Popolazione2011]]&gt;300000,"MAGGIORE","")</f>
        <v/>
      </c>
      <c r="J2623">
        <v>1150</v>
      </c>
      <c r="K2623">
        <v>40</v>
      </c>
      <c r="L2623">
        <v>503</v>
      </c>
    </row>
    <row r="2624" spans="1:12" x14ac:dyDescent="0.2">
      <c r="A2624"/>
      <c r="B2624"/>
      <c r="C2624"/>
      <c r="D2624"/>
      <c r="E2624" s="2">
        <f>Comuni__2[[#This Row],[Popolazione2011]]/$D$7911</f>
        <v>3.0949255623366657E-4</v>
      </c>
      <c r="F2624">
        <f>SUMIFS($D$2:$D$7909, $B$2:$B$7909, "Lombardia")</f>
        <v>9704151</v>
      </c>
      <c r="G2624" s="1">
        <f>Comuni__2[[#This Row],[Popolazione2011]]/Comuni__2[[#This Row],[POPOLAZIONE TOTALE DI OGNI REGIONE (CON FILTRO)]]</f>
        <v>1.8951683666092994E-3</v>
      </c>
      <c r="H2624" t="str">
        <f>IF(Comuni__2[[#This Row],[Popolazione2011]]&gt;300000,"MAGGIORE","")</f>
        <v/>
      </c>
      <c r="J2624">
        <v>1140</v>
      </c>
      <c r="K2624">
        <v>42</v>
      </c>
      <c r="L2624">
        <v>557</v>
      </c>
    </row>
    <row r="2625" spans="1:12" x14ac:dyDescent="0.2">
      <c r="A2625"/>
      <c r="B2625"/>
      <c r="C2625"/>
      <c r="D2625"/>
      <c r="E2625" s="2">
        <f>Comuni__2[[#This Row],[Popolazione2011]]/$D$7911</f>
        <v>3.0831456270768342E-4</v>
      </c>
      <c r="F2625">
        <f>SUMIFS($D$2:$D$7909, $B$2:$B$7909, "Lombardia")</f>
        <v>9704151</v>
      </c>
      <c r="G2625" s="1">
        <f>Comuni__2[[#This Row],[Popolazione2011]]/Comuni__2[[#This Row],[POPOLAZIONE TOTALE DI OGNI REGIONE (CON FILTRO)]]</f>
        <v>1.8879549586563523E-3</v>
      </c>
      <c r="H2625" t="str">
        <f>IF(Comuni__2[[#This Row],[Popolazione2011]]&gt;300000,"MAGGIORE","")</f>
        <v/>
      </c>
      <c r="J2625">
        <v>1150</v>
      </c>
      <c r="K2625">
        <v>270</v>
      </c>
      <c r="L2625">
        <v>574</v>
      </c>
    </row>
    <row r="2626" spans="1:12" x14ac:dyDescent="0.2">
      <c r="A2626"/>
      <c r="B2626"/>
      <c r="C2626"/>
      <c r="D2626"/>
      <c r="E2626" s="2">
        <f>Comuni__2[[#This Row],[Popolazione2011]]/$D$7911</f>
        <v>3.0632880219245463E-4</v>
      </c>
      <c r="F2626">
        <f>SUMIFS($D$2:$D$7909, $B$2:$B$7909, "Lombardia")</f>
        <v>9704151</v>
      </c>
      <c r="G2626" s="1">
        <f>Comuni__2[[#This Row],[Popolazione2011]]/Comuni__2[[#This Row],[POPOLAZIONE TOTALE DI OGNI REGIONE (CON FILTRO)]]</f>
        <v>1.8757952138213842E-3</v>
      </c>
      <c r="H2626" t="str">
        <f>IF(Comuni__2[[#This Row],[Popolazione2011]]&gt;300000,"MAGGIORE","")</f>
        <v/>
      </c>
      <c r="J2626">
        <v>1138</v>
      </c>
      <c r="K2626">
        <v>287</v>
      </c>
      <c r="L2626">
        <v>599</v>
      </c>
    </row>
    <row r="2627" spans="1:12" x14ac:dyDescent="0.2">
      <c r="A2627"/>
      <c r="B2627"/>
      <c r="C2627"/>
      <c r="D2627"/>
      <c r="E2627" s="2">
        <f>Comuni__2[[#This Row],[Popolazione2011]]/$D$7911</f>
        <v>3.0437669863511105E-4</v>
      </c>
      <c r="F2627">
        <f>SUMIFS($D$2:$D$7909, $B$2:$B$7909, "Lombardia")</f>
        <v>9704151</v>
      </c>
      <c r="G2627" s="1">
        <f>Comuni__2[[#This Row],[Popolazione2011]]/Comuni__2[[#This Row],[POPOLAZIONE TOTALE DI OGNI REGIONE (CON FILTRO)]]</f>
        <v>1.8638415663565005E-3</v>
      </c>
      <c r="H2627" t="str">
        <f>IF(Comuni__2[[#This Row],[Popolazione2011]]&gt;300000,"MAGGIORE","")</f>
        <v/>
      </c>
      <c r="J2627">
        <v>1141</v>
      </c>
      <c r="K2627">
        <v>296</v>
      </c>
      <c r="L2627">
        <v>612</v>
      </c>
    </row>
    <row r="2628" spans="1:12" x14ac:dyDescent="0.2">
      <c r="A2628"/>
      <c r="B2628"/>
      <c r="C2628"/>
      <c r="D2628"/>
      <c r="E2628" s="2">
        <f>Comuni__2[[#This Row],[Popolazione2011]]/$D$7911</f>
        <v>2.9835210317365424E-4</v>
      </c>
      <c r="F2628">
        <f>SUMIFS($D$2:$D$7909, $B$2:$B$7909, "Lombardia")</f>
        <v>9704151</v>
      </c>
      <c r="G2628" s="1">
        <f>Comuni__2[[#This Row],[Popolazione2011]]/Comuni__2[[#This Row],[POPOLAZIONE TOTALE DI OGNI REGIONE (CON FILTRO)]]</f>
        <v>1.8269501371114278E-3</v>
      </c>
      <c r="H2628" t="str">
        <f>IF(Comuni__2[[#This Row],[Popolazione2011]]&gt;300000,"MAGGIORE","")</f>
        <v/>
      </c>
      <c r="J2628">
        <v>1101</v>
      </c>
      <c r="K2628">
        <v>342</v>
      </c>
      <c r="L2628">
        <v>630</v>
      </c>
    </row>
    <row r="2629" spans="1:12" x14ac:dyDescent="0.2">
      <c r="A2629"/>
      <c r="B2629"/>
      <c r="C2629"/>
      <c r="D2629"/>
      <c r="E2629" s="2">
        <f>Comuni__2[[#This Row],[Popolazione2011]]/$D$7911</f>
        <v>2.9759482162123647E-4</v>
      </c>
      <c r="F2629">
        <f>SUMIFS($D$2:$D$7909, $B$2:$B$7909, "Lombardia")</f>
        <v>9704151</v>
      </c>
      <c r="G2629" s="1">
        <f>Comuni__2[[#This Row],[Popolazione2011]]/Comuni__2[[#This Row],[POPOLAZIONE TOTALE DI OGNI REGIONE (CON FILTRO)]]</f>
        <v>1.8223129462845333E-3</v>
      </c>
      <c r="H2629" t="str">
        <f>IF(Comuni__2[[#This Row],[Popolazione2011]]&gt;300000,"MAGGIORE","")</f>
        <v/>
      </c>
      <c r="J2629">
        <v>1107</v>
      </c>
      <c r="K2629">
        <v>645</v>
      </c>
      <c r="L2629">
        <v>652</v>
      </c>
    </row>
    <row r="2630" spans="1:12" x14ac:dyDescent="0.2">
      <c r="A2630"/>
      <c r="B2630"/>
      <c r="C2630"/>
      <c r="D2630"/>
      <c r="E2630" s="2">
        <f>Comuni__2[[#This Row],[Popolazione2011]]/$D$7911</f>
        <v>2.9554174719023722E-4</v>
      </c>
      <c r="F2630">
        <f>SUMIFS($D$2:$D$7909, $B$2:$B$7909, "Lombardia")</f>
        <v>9704151</v>
      </c>
      <c r="G2630" s="1">
        <f>Comuni__2[[#This Row],[Popolazione2011]]/Comuni__2[[#This Row],[POPOLAZIONE TOTALE DI OGNI REGIONE (CON FILTRO)]]</f>
        <v>1.8097410067093968E-3</v>
      </c>
      <c r="H2630" t="str">
        <f>IF(Comuni__2[[#This Row],[Popolazione2011]]&gt;300000,"MAGGIORE","")</f>
        <v/>
      </c>
      <c r="J2630">
        <v>1078</v>
      </c>
      <c r="K2630">
        <v>885</v>
      </c>
      <c r="L2630">
        <v>669</v>
      </c>
    </row>
    <row r="2631" spans="1:12" x14ac:dyDescent="0.2">
      <c r="A2631"/>
      <c r="B2631"/>
      <c r="C2631"/>
      <c r="D2631"/>
      <c r="E2631" s="2">
        <f>Comuni__2[[#This Row],[Popolazione2011]]/$D$7911</f>
        <v>2.938252423380903E-4</v>
      </c>
      <c r="F2631">
        <f>SUMIFS($D$2:$D$7909, $B$2:$B$7909, "Lombardia")</f>
        <v>9704151</v>
      </c>
      <c r="G2631" s="1">
        <f>Comuni__2[[#This Row],[Popolazione2011]]/Comuni__2[[#This Row],[POPOLAZIONE TOTALE DI OGNI REGIONE (CON FILTRO)]]</f>
        <v>1.7992300408351024E-3</v>
      </c>
      <c r="H2631" t="str">
        <f>IF(Comuni__2[[#This Row],[Popolazione2011]]&gt;300000,"MAGGIORE","")</f>
        <v/>
      </c>
      <c r="J2631">
        <v>1052</v>
      </c>
      <c r="K2631">
        <v>1086</v>
      </c>
      <c r="L2631">
        <v>682</v>
      </c>
    </row>
    <row r="2632" spans="1:12" x14ac:dyDescent="0.2">
      <c r="A2632"/>
      <c r="B2632"/>
      <c r="C2632"/>
      <c r="D2632"/>
      <c r="E2632" s="2">
        <f>Comuni__2[[#This Row],[Popolazione2011]]/$D$7911</f>
        <v>2.9088025852313235E-4</v>
      </c>
      <c r="F2632">
        <f>SUMIFS($D$2:$D$7909, $B$2:$B$7909, "Lombardia")</f>
        <v>9704151</v>
      </c>
      <c r="G2632" s="1">
        <f>Comuni__2[[#This Row],[Popolazione2011]]/Comuni__2[[#This Row],[POPOLAZIONE TOTALE DI OGNI REGIONE (CON FILTRO)]]</f>
        <v>1.7811965209527346E-3</v>
      </c>
      <c r="H2632" t="str">
        <f>IF(Comuni__2[[#This Row],[Popolazione2011]]&gt;300000,"MAGGIORE","")</f>
        <v/>
      </c>
      <c r="J2632">
        <v>1078</v>
      </c>
      <c r="K2632">
        <v>1291</v>
      </c>
      <c r="L2632">
        <v>689</v>
      </c>
    </row>
    <row r="2633" spans="1:12" x14ac:dyDescent="0.2">
      <c r="A2633"/>
      <c r="B2633"/>
      <c r="C2633"/>
      <c r="D2633"/>
      <c r="E2633" s="2">
        <f>Comuni__2[[#This Row],[Popolazione2011]]/$D$7911</f>
        <v>2.8758187665037943E-4</v>
      </c>
      <c r="F2633">
        <f>SUMIFS($D$2:$D$7909, $B$2:$B$7909, "Lombardia")</f>
        <v>9704151</v>
      </c>
      <c r="G2633" s="1">
        <f>Comuni__2[[#This Row],[Popolazione2011]]/Comuni__2[[#This Row],[POPOLAZIONE TOTALE DI OGNI REGIONE (CON FILTRO)]]</f>
        <v>1.7609989786844826E-3</v>
      </c>
      <c r="H2633" t="str">
        <f>IF(Comuni__2[[#This Row],[Popolazione2011]]&gt;300000,"MAGGIORE","")</f>
        <v/>
      </c>
      <c r="J2633">
        <v>1063</v>
      </c>
      <c r="K2633">
        <v>1489</v>
      </c>
      <c r="L2633">
        <v>700</v>
      </c>
    </row>
    <row r="2634" spans="1:12" x14ac:dyDescent="0.2">
      <c r="A2634"/>
      <c r="B2634"/>
      <c r="C2634"/>
      <c r="D2634"/>
      <c r="E2634" s="2">
        <f>Comuni__2[[#This Row],[Popolazione2011]]/$D$7911</f>
        <v>2.8667313878747813E-4</v>
      </c>
      <c r="F2634">
        <f>SUMIFS($D$2:$D$7909, $B$2:$B$7909, "Lombardia")</f>
        <v>9704151</v>
      </c>
      <c r="G2634" s="1">
        <f>Comuni__2[[#This Row],[Popolazione2011]]/Comuni__2[[#This Row],[POPOLAZIONE TOTALE DI OGNI REGIONE (CON FILTRO)]]</f>
        <v>1.7554343496922089E-3</v>
      </c>
      <c r="H2634" t="str">
        <f>IF(Comuni__2[[#This Row],[Popolazione2011]]&gt;300000,"MAGGIORE","")</f>
        <v/>
      </c>
      <c r="J2634">
        <v>1067</v>
      </c>
      <c r="K2634">
        <v>1588</v>
      </c>
      <c r="L2634">
        <v>713</v>
      </c>
    </row>
    <row r="2635" spans="1:12" x14ac:dyDescent="0.2">
      <c r="A2635"/>
      <c r="B2635"/>
      <c r="C2635"/>
      <c r="D2635"/>
      <c r="E2635" s="2">
        <f>Comuni__2[[#This Row],[Popolazione2011]]/$D$7911</f>
        <v>2.8448543652493795E-4</v>
      </c>
      <c r="F2635">
        <f>SUMIFS($D$2:$D$7909, $B$2:$B$7909, "Lombardia")</f>
        <v>9704151</v>
      </c>
      <c r="G2635" s="1">
        <f>Comuni__2[[#This Row],[Popolazione2011]]/Comuni__2[[#This Row],[POPOLAZIONE TOTALE DI OGNI REGIONE (CON FILTRO)]]</f>
        <v>1.7420380206367358E-3</v>
      </c>
      <c r="H2635" t="str">
        <f>IF(Comuni__2[[#This Row],[Popolazione2011]]&gt;300000,"MAGGIORE","")</f>
        <v/>
      </c>
      <c r="J2635">
        <v>1043</v>
      </c>
      <c r="K2635">
        <v>1603</v>
      </c>
      <c r="L2635">
        <v>728</v>
      </c>
    </row>
    <row r="2636" spans="1:12" x14ac:dyDescent="0.2">
      <c r="A2636"/>
      <c r="B2636"/>
      <c r="C2636"/>
      <c r="D2636"/>
      <c r="E2636" s="2">
        <f>Comuni__2[[#This Row],[Popolazione2011]]/$D$7911</f>
        <v>2.8228090578345512E-4</v>
      </c>
      <c r="F2636">
        <f>SUMIFS($D$2:$D$7909, $B$2:$B$7909, "Lombardia")</f>
        <v>9704151</v>
      </c>
      <c r="G2636" s="1">
        <f>Comuni__2[[#This Row],[Popolazione2011]]/Comuni__2[[#This Row],[POPOLAZIONE TOTALE DI OGNI REGIONE (CON FILTRO)]]</f>
        <v>1.7285386428962204E-3</v>
      </c>
      <c r="H2636" t="str">
        <f>IF(Comuni__2[[#This Row],[Popolazione2011]]&gt;300000,"MAGGIORE","")</f>
        <v/>
      </c>
      <c r="J2636">
        <v>994</v>
      </c>
      <c r="K2636">
        <v>1660</v>
      </c>
      <c r="L2636">
        <v>746</v>
      </c>
    </row>
    <row r="2637" spans="1:12" x14ac:dyDescent="0.2">
      <c r="A2637"/>
      <c r="B2637"/>
      <c r="C2637"/>
      <c r="D2637"/>
      <c r="E2637" s="2">
        <f>Comuni__2[[#This Row],[Popolazione2011]]/$D$7911</f>
        <v>2.794200643632103E-4</v>
      </c>
      <c r="F2637">
        <f>SUMIFS($D$2:$D$7909, $B$2:$B$7909, "Lombardia")</f>
        <v>9704151</v>
      </c>
      <c r="G2637" s="1">
        <f>Comuni__2[[#This Row],[Popolazione2011]]/Comuni__2[[#This Row],[POPOLAZIONE TOTALE DI OGNI REGIONE (CON FILTRO)]]</f>
        <v>1.7110203664390631E-3</v>
      </c>
      <c r="H2637" t="str">
        <f>IF(Comuni__2[[#This Row],[Popolazione2011]]&gt;300000,"MAGGIORE","")</f>
        <v/>
      </c>
      <c r="J2637">
        <v>952</v>
      </c>
      <c r="K2637">
        <v>1694</v>
      </c>
      <c r="L2637">
        <v>764</v>
      </c>
    </row>
    <row r="2638" spans="1:12" x14ac:dyDescent="0.2">
      <c r="A2638"/>
      <c r="B2638"/>
      <c r="C2638"/>
      <c r="D2638"/>
      <c r="E2638" s="2">
        <f>Comuni__2[[#This Row],[Popolazione2011]]/$D$7911</f>
        <v>2.7928543653166931E-4</v>
      </c>
      <c r="F2638">
        <f>SUMIFS($D$2:$D$7909, $B$2:$B$7909, "Lombardia")</f>
        <v>9704151</v>
      </c>
      <c r="G2638" s="1">
        <f>Comuni__2[[#This Row],[Popolazione2011]]/Comuni__2[[#This Row],[POPOLAZIONE TOTALE DI OGNI REGIONE (CON FILTRO)]]</f>
        <v>1.7101959769587262E-3</v>
      </c>
      <c r="H2638" t="str">
        <f>IF(Comuni__2[[#This Row],[Popolazione2011]]&gt;300000,"MAGGIORE","")</f>
        <v/>
      </c>
      <c r="J2638">
        <v>933</v>
      </c>
      <c r="K2638">
        <v>1726</v>
      </c>
      <c r="L2638">
        <v>785</v>
      </c>
    </row>
    <row r="2639" spans="1:12" x14ac:dyDescent="0.2">
      <c r="A2639"/>
      <c r="B2639"/>
      <c r="C2639"/>
      <c r="D2639"/>
      <c r="E2639" s="2">
        <f>Comuni__2[[#This Row],[Popolazione2011]]/$D$7911</f>
        <v>2.7772038799000597E-4</v>
      </c>
      <c r="F2639">
        <f>SUMIFS($D$2:$D$7909, $B$2:$B$7909, "Lombardia")</f>
        <v>9704151</v>
      </c>
      <c r="G2639" s="1">
        <f>Comuni__2[[#This Row],[Popolazione2011]]/Comuni__2[[#This Row],[POPOLAZIONE TOTALE DI OGNI REGIONE (CON FILTRO)]]</f>
        <v>1.7006124492498107E-3</v>
      </c>
      <c r="H2639" t="str">
        <f>IF(Comuni__2[[#This Row],[Popolazione2011]]&gt;300000,"MAGGIORE","")</f>
        <v/>
      </c>
      <c r="J2639">
        <v>892</v>
      </c>
      <c r="K2639">
        <v>1754</v>
      </c>
      <c r="L2639">
        <v>795</v>
      </c>
    </row>
    <row r="2640" spans="1:12" x14ac:dyDescent="0.2">
      <c r="A2640"/>
      <c r="B2640"/>
      <c r="C2640"/>
      <c r="D2640"/>
      <c r="E2640" s="2">
        <f>Comuni__2[[#This Row],[Popolazione2011]]/$D$7911</f>
        <v>2.7642459511142449E-4</v>
      </c>
      <c r="F2640">
        <f>SUMIFS($D$2:$D$7909, $B$2:$B$7909, "Lombardia")</f>
        <v>9704151</v>
      </c>
      <c r="G2640" s="1">
        <f>Comuni__2[[#This Row],[Popolazione2011]]/Comuni__2[[#This Row],[POPOLAZIONE TOTALE DI OGNI REGIONE (CON FILTRO)]]</f>
        <v>1.6926777005015689E-3</v>
      </c>
      <c r="H2640" t="str">
        <f>IF(Comuni__2[[#This Row],[Popolazione2011]]&gt;300000,"MAGGIORE","")</f>
        <v/>
      </c>
      <c r="J2640">
        <v>885</v>
      </c>
      <c r="K2640">
        <v>1780</v>
      </c>
      <c r="L2640">
        <v>807</v>
      </c>
    </row>
    <row r="2641" spans="1:12" x14ac:dyDescent="0.2">
      <c r="A2641"/>
      <c r="B2641"/>
      <c r="C2641"/>
      <c r="D2641"/>
      <c r="E2641" s="2">
        <f>Comuni__2[[#This Row],[Popolazione2011]]/$D$7911</f>
        <v>2.7603754009574431E-4</v>
      </c>
      <c r="F2641">
        <f>SUMIFS($D$2:$D$7909, $B$2:$B$7909, "Lombardia")</f>
        <v>9704151</v>
      </c>
      <c r="G2641" s="1">
        <f>Comuni__2[[#This Row],[Popolazione2011]]/Comuni__2[[#This Row],[POPOLAZIONE TOTALE DI OGNI REGIONE (CON FILTRO)]]</f>
        <v>1.6903075807456005E-3</v>
      </c>
      <c r="H2641" t="str">
        <f>IF(Comuni__2[[#This Row],[Popolazione2011]]&gt;300000,"MAGGIORE","")</f>
        <v/>
      </c>
      <c r="J2641">
        <v>872</v>
      </c>
      <c r="K2641">
        <v>1792</v>
      </c>
      <c r="L2641">
        <v>822</v>
      </c>
    </row>
    <row r="2642" spans="1:12" x14ac:dyDescent="0.2">
      <c r="A2642"/>
      <c r="B2642"/>
      <c r="C2642"/>
      <c r="D2642"/>
      <c r="E2642" s="2">
        <f>Comuni__2[[#This Row],[Popolazione2011]]/$D$7911</f>
        <v>2.7593656922208858E-4</v>
      </c>
      <c r="F2642">
        <f>SUMIFS($D$2:$D$7909, $B$2:$B$7909, "Lombardia")</f>
        <v>9704151</v>
      </c>
      <c r="G2642" s="1">
        <f>Comuni__2[[#This Row],[Popolazione2011]]/Comuni__2[[#This Row],[POPOLAZIONE TOTALE DI OGNI REGIONE (CON FILTRO)]]</f>
        <v>1.6896892886353479E-3</v>
      </c>
      <c r="H2642" t="str">
        <f>IF(Comuni__2[[#This Row],[Popolazione2011]]&gt;300000,"MAGGIORE","")</f>
        <v/>
      </c>
      <c r="J2642">
        <v>862</v>
      </c>
      <c r="K2642">
        <v>1825</v>
      </c>
      <c r="L2642">
        <v>834</v>
      </c>
    </row>
    <row r="2643" spans="1:12" x14ac:dyDescent="0.2">
      <c r="A2643"/>
      <c r="B2643"/>
      <c r="C2643"/>
      <c r="D2643"/>
      <c r="E2643" s="2">
        <f>Comuni__2[[#This Row],[Popolazione2011]]/$D$7911</f>
        <v>2.7208284754422934E-4</v>
      </c>
      <c r="F2643">
        <f>SUMIFS($D$2:$D$7909, $B$2:$B$7909, "Lombardia")</f>
        <v>9704151</v>
      </c>
      <c r="G2643" s="1">
        <f>Comuni__2[[#This Row],[Popolazione2011]]/Comuni__2[[#This Row],[POPOLAZIONE TOTALE DI OGNI REGIONE (CON FILTRO)]]</f>
        <v>1.6660911397607064E-3</v>
      </c>
      <c r="H2643" t="str">
        <f>IF(Comuni__2[[#This Row],[Popolazione2011]]&gt;300000,"MAGGIORE","")</f>
        <v/>
      </c>
      <c r="J2643">
        <v>811</v>
      </c>
      <c r="K2643">
        <v>1849</v>
      </c>
      <c r="L2643">
        <v>845</v>
      </c>
    </row>
    <row r="2644" spans="1:12" x14ac:dyDescent="0.2">
      <c r="A2644"/>
      <c r="B2644"/>
      <c r="C2644"/>
      <c r="D2644"/>
      <c r="E2644" s="2">
        <f>Comuni__2[[#This Row],[Popolazione2011]]/$D$7911</f>
        <v>2.6787572780857512E-4</v>
      </c>
      <c r="F2644">
        <f>SUMIFS($D$2:$D$7909, $B$2:$B$7909, "Lombardia")</f>
        <v>9704151</v>
      </c>
      <c r="G2644" s="1">
        <f>Comuni__2[[#This Row],[Popolazione2011]]/Comuni__2[[#This Row],[POPOLAZIONE TOTALE DI OGNI REGIONE (CON FILTRO)]]</f>
        <v>1.640328968500181E-3</v>
      </c>
      <c r="H2644" t="str">
        <f>IF(Comuni__2[[#This Row],[Popolazione2011]]&gt;300000,"MAGGIORE","")</f>
        <v/>
      </c>
      <c r="J2644">
        <v>798</v>
      </c>
      <c r="K2644">
        <v>1865</v>
      </c>
      <c r="L2644">
        <v>857</v>
      </c>
    </row>
    <row r="2645" spans="1:12" x14ac:dyDescent="0.2">
      <c r="A2645"/>
      <c r="B2645"/>
      <c r="C2645"/>
      <c r="D2645"/>
      <c r="E2645" s="2">
        <f>Comuni__2[[#This Row],[Popolazione2011]]/$D$7911</f>
        <v>2.6726990256664088E-4</v>
      </c>
      <c r="F2645">
        <f>SUMIFS($D$2:$D$7909, $B$2:$B$7909, "Lombardia")</f>
        <v>9704151</v>
      </c>
      <c r="G2645" s="1">
        <f>Comuni__2[[#This Row],[Popolazione2011]]/Comuni__2[[#This Row],[POPOLAZIONE TOTALE DI OGNI REGIONE (CON FILTRO)]]</f>
        <v>1.6366192158386653E-3</v>
      </c>
      <c r="H2645" t="str">
        <f>IF(Comuni__2[[#This Row],[Popolazione2011]]&gt;300000,"MAGGIORE","")</f>
        <v/>
      </c>
      <c r="J2645">
        <v>766</v>
      </c>
      <c r="K2645">
        <v>1890</v>
      </c>
      <c r="L2645">
        <v>865</v>
      </c>
    </row>
    <row r="2646" spans="1:12" x14ac:dyDescent="0.2">
      <c r="A2646"/>
      <c r="B2646"/>
      <c r="C2646"/>
      <c r="D2646"/>
      <c r="E2646" s="2">
        <f>Comuni__2[[#This Row],[Popolazione2011]]/$D$7911</f>
        <v>2.6183430386817564E-4</v>
      </c>
      <c r="F2646">
        <f>SUMIFS($D$2:$D$7909, $B$2:$B$7909, "Lombardia")</f>
        <v>9704151</v>
      </c>
      <c r="G2646" s="1">
        <f>Comuni__2[[#This Row],[Popolazione2011]]/Comuni__2[[#This Row],[POPOLAZIONE TOTALE DI OGNI REGIONE (CON FILTRO)]]</f>
        <v>1.6033344905700664E-3</v>
      </c>
      <c r="H2646" t="str">
        <f>IF(Comuni__2[[#This Row],[Popolazione2011]]&gt;300000,"MAGGIORE","")</f>
        <v/>
      </c>
      <c r="J2646">
        <v>747</v>
      </c>
      <c r="K2646">
        <v>1912</v>
      </c>
      <c r="L2646">
        <v>874</v>
      </c>
    </row>
    <row r="2647" spans="1:12" x14ac:dyDescent="0.2">
      <c r="A2647"/>
      <c r="B2647"/>
      <c r="C2647"/>
      <c r="D2647"/>
      <c r="E2647" s="2">
        <f>Comuni__2[[#This Row],[Popolazione2011]]/$D$7911</f>
        <v>2.6124530710518407E-4</v>
      </c>
      <c r="F2647">
        <f>SUMIFS($D$2:$D$7909, $B$2:$B$7909, "Lombardia")</f>
        <v>9704151</v>
      </c>
      <c r="G2647" s="1">
        <f>Comuni__2[[#This Row],[Popolazione2011]]/Comuni__2[[#This Row],[POPOLAZIONE TOTALE DI OGNI REGIONE (CON FILTRO)]]</f>
        <v>1.5997277865935928E-3</v>
      </c>
      <c r="H2647" t="str">
        <f>IF(Comuni__2[[#This Row],[Popolazione2011]]&gt;300000,"MAGGIORE","")</f>
        <v/>
      </c>
      <c r="J2647">
        <v>726</v>
      </c>
      <c r="K2647">
        <v>1924</v>
      </c>
      <c r="L2647">
        <v>879</v>
      </c>
    </row>
    <row r="2648" spans="1:12" x14ac:dyDescent="0.2">
      <c r="A2648"/>
      <c r="B2648"/>
      <c r="C2648"/>
      <c r="D2648"/>
      <c r="E2648" s="2">
        <f>Comuni__2[[#This Row],[Popolazione2011]]/$D$7911</f>
        <v>2.6100970839998741E-4</v>
      </c>
      <c r="F2648">
        <f>SUMIFS($D$2:$D$7909, $B$2:$B$7909, "Lombardia")</f>
        <v>9704151</v>
      </c>
      <c r="G2648" s="1">
        <f>Comuni__2[[#This Row],[Popolazione2011]]/Comuni__2[[#This Row],[POPOLAZIONE TOTALE DI OGNI REGIONE (CON FILTRO)]]</f>
        <v>1.5982851050030033E-3</v>
      </c>
      <c r="H2648" t="str">
        <f>IF(Comuni__2[[#This Row],[Popolazione2011]]&gt;300000,"MAGGIORE","")</f>
        <v/>
      </c>
      <c r="J2648">
        <v>725</v>
      </c>
      <c r="K2648">
        <v>1933</v>
      </c>
      <c r="L2648">
        <v>884</v>
      </c>
    </row>
    <row r="2649" spans="1:12" x14ac:dyDescent="0.2">
      <c r="A2649"/>
      <c r="B2649"/>
      <c r="C2649"/>
      <c r="D2649"/>
      <c r="E2649" s="2">
        <f>Comuni__2[[#This Row],[Popolazione2011]]/$D$7911</f>
        <v>2.6060582490536463E-4</v>
      </c>
      <c r="F2649">
        <f>SUMIFS($D$2:$D$7909, $B$2:$B$7909, "Lombardia")</f>
        <v>9704151</v>
      </c>
      <c r="G2649" s="1">
        <f>Comuni__2[[#This Row],[Popolazione2011]]/Comuni__2[[#This Row],[POPOLAZIONE TOTALE DI OGNI REGIONE (CON FILTRO)]]</f>
        <v>1.5958119365619928E-3</v>
      </c>
      <c r="H2649" t="str">
        <f>IF(Comuni__2[[#This Row],[Popolazione2011]]&gt;300000,"MAGGIORE","")</f>
        <v/>
      </c>
      <c r="J2649">
        <v>724</v>
      </c>
      <c r="K2649">
        <v>1948</v>
      </c>
      <c r="L2649">
        <v>893</v>
      </c>
    </row>
    <row r="2650" spans="1:12" x14ac:dyDescent="0.2">
      <c r="A2650"/>
      <c r="B2650"/>
      <c r="C2650"/>
      <c r="D2650"/>
      <c r="E2650" s="2">
        <f>Comuni__2[[#This Row],[Popolazione2011]]/$D$7911</f>
        <v>2.586705498269637E-4</v>
      </c>
      <c r="F2650">
        <f>SUMIFS($D$2:$D$7909, $B$2:$B$7909, "Lombardia")</f>
        <v>9704151</v>
      </c>
      <c r="G2650" s="1">
        <f>Comuni__2[[#This Row],[Popolazione2011]]/Comuni__2[[#This Row],[POPOLAZIONE TOTALE DI OGNI REGIONE (CON FILTRO)]]</f>
        <v>1.5839613377821513E-3</v>
      </c>
      <c r="H2650" t="str">
        <f>IF(Comuni__2[[#This Row],[Popolazione2011]]&gt;300000,"MAGGIORE","")</f>
        <v/>
      </c>
      <c r="J2650">
        <v>692</v>
      </c>
      <c r="K2650">
        <v>1964</v>
      </c>
      <c r="L2650">
        <v>899</v>
      </c>
    </row>
    <row r="2651" spans="1:12" x14ac:dyDescent="0.2">
      <c r="A2651"/>
      <c r="B2651"/>
      <c r="C2651"/>
      <c r="D2651"/>
      <c r="E2651" s="2">
        <f>Comuni__2[[#This Row],[Popolazione2011]]/$D$7911</f>
        <v>2.556750805751779E-4</v>
      </c>
      <c r="F2651">
        <f>SUMIFS($D$2:$D$7909, $B$2:$B$7909, "Lombardia")</f>
        <v>9704151</v>
      </c>
      <c r="G2651" s="1">
        <f>Comuni__2[[#This Row],[Popolazione2011]]/Comuni__2[[#This Row],[POPOLAZIONE TOTALE DI OGNI REGIONE (CON FILTRO)]]</f>
        <v>1.5656186718446569E-3</v>
      </c>
      <c r="H2651" t="str">
        <f>IF(Comuni__2[[#This Row],[Popolazione2011]]&gt;300000,"MAGGIORE","")</f>
        <v/>
      </c>
      <c r="J2651">
        <v>513</v>
      </c>
      <c r="K2651">
        <v>2131</v>
      </c>
      <c r="L2651">
        <v>906</v>
      </c>
    </row>
    <row r="2652" spans="1:12" x14ac:dyDescent="0.2">
      <c r="A2652"/>
      <c r="B2652"/>
      <c r="C2652"/>
      <c r="D2652"/>
      <c r="E2652" s="2">
        <f>Comuni__2[[#This Row],[Popolazione2011]]/$D$7911</f>
        <v>2.5505242685430106E-4</v>
      </c>
      <c r="F2652">
        <f>SUMIFS($D$2:$D$7909, $B$2:$B$7909, "Lombardia")</f>
        <v>9704151</v>
      </c>
      <c r="G2652" s="1">
        <f>Comuni__2[[#This Row],[Popolazione2011]]/Comuni__2[[#This Row],[POPOLAZIONE TOTALE DI OGNI REGIONE (CON FILTRO)]]</f>
        <v>1.5618058704980993E-3</v>
      </c>
      <c r="H2652" t="str">
        <f>IF(Comuni__2[[#This Row],[Popolazione2011]]&gt;300000,"MAGGIORE","")</f>
        <v/>
      </c>
      <c r="J2652">
        <v>457</v>
      </c>
      <c r="K2652">
        <v>2153</v>
      </c>
      <c r="L2652">
        <v>911</v>
      </c>
    </row>
    <row r="2653" spans="1:12" x14ac:dyDescent="0.2">
      <c r="A2653"/>
      <c r="B2653"/>
      <c r="C2653"/>
      <c r="D2653"/>
      <c r="E2653" s="2">
        <f>Comuni__2[[#This Row],[Popolazione2011]]/$D$7911</f>
        <v>2.542951453018833E-4</v>
      </c>
      <c r="F2653">
        <f>SUMIFS($D$2:$D$7909, $B$2:$B$7909, "Lombardia")</f>
        <v>9704151</v>
      </c>
      <c r="G2653" s="1">
        <f>Comuni__2[[#This Row],[Popolazione2011]]/Comuni__2[[#This Row],[POPOLAZIONE TOTALE DI OGNI REGIONE (CON FILTRO)]]</f>
        <v>1.5571686796712046E-3</v>
      </c>
      <c r="H2653" t="str">
        <f>IF(Comuni__2[[#This Row],[Popolazione2011]]&gt;300000,"MAGGIORE","")</f>
        <v/>
      </c>
      <c r="J2653">
        <v>445</v>
      </c>
      <c r="K2653">
        <v>2177</v>
      </c>
      <c r="L2653">
        <v>916</v>
      </c>
    </row>
    <row r="2654" spans="1:12" x14ac:dyDescent="0.2">
      <c r="A2654"/>
      <c r="B2654"/>
      <c r="C2654"/>
      <c r="D2654"/>
      <c r="E2654" s="2">
        <f>Comuni__2[[#This Row],[Popolazione2011]]/$D$7911</f>
        <v>2.502058249188274E-4</v>
      </c>
      <c r="F2654">
        <f>SUMIFS($D$2:$D$7909, $B$2:$B$7909, "Lombardia")</f>
        <v>9704151</v>
      </c>
      <c r="G2654" s="1">
        <f>Comuni__2[[#This Row],[Popolazione2011]]/Comuni__2[[#This Row],[POPOLAZIONE TOTALE DI OGNI REGIONE (CON FILTRO)]]</f>
        <v>1.5321278492059739E-3</v>
      </c>
      <c r="H2654" t="str">
        <f>IF(Comuni__2[[#This Row],[Popolazione2011]]&gt;300000,"MAGGIORE","")</f>
        <v/>
      </c>
      <c r="J2654">
        <v>443</v>
      </c>
      <c r="K2654">
        <v>2194</v>
      </c>
      <c r="L2654">
        <v>927</v>
      </c>
    </row>
    <row r="2655" spans="1:12" x14ac:dyDescent="0.2">
      <c r="A2655"/>
      <c r="B2655"/>
      <c r="C2655"/>
      <c r="D2655"/>
      <c r="E2655" s="2">
        <f>Comuni__2[[#This Row],[Popolazione2011]]/$D$7911</f>
        <v>2.4993656925574554E-4</v>
      </c>
      <c r="F2655">
        <f>SUMIFS($D$2:$D$7909, $B$2:$B$7909, "Lombardia")</f>
        <v>9704151</v>
      </c>
      <c r="G2655" s="1">
        <f>Comuni__2[[#This Row],[Popolazione2011]]/Comuni__2[[#This Row],[POPOLAZIONE TOTALE DI OGNI REGIONE (CON FILTRO)]]</f>
        <v>1.5304790702453002E-3</v>
      </c>
      <c r="H2655" t="str">
        <f>IF(Comuni__2[[#This Row],[Popolazione2011]]&gt;300000,"MAGGIORE","")</f>
        <v/>
      </c>
      <c r="J2655">
        <v>433</v>
      </c>
      <c r="K2655">
        <v>2225</v>
      </c>
      <c r="L2655">
        <v>932</v>
      </c>
    </row>
    <row r="2656" spans="1:12" x14ac:dyDescent="0.2">
      <c r="A2656"/>
      <c r="B2656"/>
      <c r="C2656"/>
      <c r="D2656"/>
      <c r="E2656" s="2">
        <f>Comuni__2[[#This Row],[Popolazione2011]]/$D$7911</f>
        <v>2.492802585769835E-4</v>
      </c>
      <c r="F2656">
        <f>SUMIFS($D$2:$D$7909, $B$2:$B$7909, "Lombardia")</f>
        <v>9704151</v>
      </c>
      <c r="G2656" s="1">
        <f>Comuni__2[[#This Row],[Popolazione2011]]/Comuni__2[[#This Row],[POPOLAZIONE TOTALE DI OGNI REGIONE (CON FILTRO)]]</f>
        <v>1.5264601715286581E-3</v>
      </c>
      <c r="H2656" t="str">
        <f>IF(Comuni__2[[#This Row],[Popolazione2011]]&gt;300000,"MAGGIORE","")</f>
        <v/>
      </c>
      <c r="J2656">
        <v>429</v>
      </c>
      <c r="K2656">
        <v>2237</v>
      </c>
      <c r="L2656">
        <v>936</v>
      </c>
    </row>
    <row r="2657" spans="1:12" x14ac:dyDescent="0.2">
      <c r="A2657"/>
      <c r="B2657"/>
      <c r="C2657"/>
      <c r="D2657"/>
      <c r="E2657" s="2">
        <f>Comuni__2[[#This Row],[Popolazione2011]]/$D$7911</f>
        <v>2.4855663398245094E-4</v>
      </c>
      <c r="F2657">
        <f>SUMIFS($D$2:$D$7909, $B$2:$B$7909, "Lombardia")</f>
        <v>9704151</v>
      </c>
      <c r="G2657" s="1">
        <f>Comuni__2[[#This Row],[Popolazione2011]]/Comuni__2[[#This Row],[POPOLAZIONE TOTALE DI OGNI REGIONE (CON FILTRO)]]</f>
        <v>1.5220290780718479E-3</v>
      </c>
      <c r="H2657" t="str">
        <f>IF(Comuni__2[[#This Row],[Popolazione2011]]&gt;300000,"MAGGIORE","")</f>
        <v/>
      </c>
      <c r="J2657">
        <v>395</v>
      </c>
      <c r="K2657">
        <v>2242</v>
      </c>
      <c r="L2657">
        <v>943</v>
      </c>
    </row>
    <row r="2658" spans="1:12" x14ac:dyDescent="0.2">
      <c r="A2658"/>
      <c r="B2658"/>
      <c r="C2658"/>
      <c r="D2658"/>
      <c r="E2658" s="2">
        <f>Comuni__2[[#This Row],[Popolazione2011]]/$D$7911</f>
        <v>2.4796763721945936E-4</v>
      </c>
      <c r="F2658">
        <f>SUMIFS($D$2:$D$7909, $B$2:$B$7909, "Lombardia")</f>
        <v>9704151</v>
      </c>
      <c r="G2658" s="1">
        <f>Comuni__2[[#This Row],[Popolazione2011]]/Comuni__2[[#This Row],[POPOLAZIONE TOTALE DI OGNI REGIONE (CON FILTRO)]]</f>
        <v>1.5184223740953742E-3</v>
      </c>
      <c r="H2658" t="str">
        <f>IF(Comuni__2[[#This Row],[Popolazione2011]]&gt;300000,"MAGGIORE","")</f>
        <v/>
      </c>
      <c r="J2658">
        <v>369</v>
      </c>
      <c r="K2658">
        <v>2257</v>
      </c>
      <c r="L2658">
        <v>948</v>
      </c>
    </row>
    <row r="2659" spans="1:12" x14ac:dyDescent="0.2">
      <c r="A2659"/>
      <c r="B2659"/>
      <c r="C2659"/>
      <c r="D2659"/>
      <c r="E2659" s="2">
        <f>Comuni__2[[#This Row],[Popolazione2011]]/$D$7911</f>
        <v>2.454097084201816E-4</v>
      </c>
      <c r="F2659">
        <f>SUMIFS($D$2:$D$7909, $B$2:$B$7909, "Lombardia")</f>
        <v>9704151</v>
      </c>
      <c r="G2659" s="1">
        <f>Comuni__2[[#This Row],[Popolazione2011]]/Comuni__2[[#This Row],[POPOLAZIONE TOTALE DI OGNI REGIONE (CON FILTRO)]]</f>
        <v>1.5027589739689748E-3</v>
      </c>
      <c r="H2659" t="str">
        <f>IF(Comuni__2[[#This Row],[Popolazione2011]]&gt;300000,"MAGGIORE","")</f>
        <v/>
      </c>
      <c r="J2659">
        <v>341</v>
      </c>
      <c r="K2659">
        <v>2278</v>
      </c>
      <c r="L2659">
        <v>954</v>
      </c>
    </row>
    <row r="2660" spans="1:12" x14ac:dyDescent="0.2">
      <c r="A2660"/>
      <c r="B2660"/>
      <c r="C2660"/>
      <c r="D2660"/>
      <c r="E2660" s="2">
        <f>Comuni__2[[#This Row],[Popolazione2011]]/$D$7911</f>
        <v>2.4519093819392761E-4</v>
      </c>
      <c r="F2660">
        <f>SUMIFS($D$2:$D$7909, $B$2:$B$7909, "Lombardia")</f>
        <v>9704151</v>
      </c>
      <c r="G2660" s="1">
        <f>Comuni__2[[#This Row],[Popolazione2011]]/Comuni__2[[#This Row],[POPOLAZIONE TOTALE DI OGNI REGIONE (CON FILTRO)]]</f>
        <v>1.5014193410634274E-3</v>
      </c>
      <c r="H2660" t="str">
        <f>IF(Comuni__2[[#This Row],[Popolazione2011]]&gt;300000,"MAGGIORE","")</f>
        <v/>
      </c>
      <c r="J2660">
        <v>317</v>
      </c>
      <c r="K2660">
        <v>2305</v>
      </c>
      <c r="L2660">
        <v>958</v>
      </c>
    </row>
    <row r="2661" spans="1:12" x14ac:dyDescent="0.2">
      <c r="A2661"/>
      <c r="B2661"/>
      <c r="C2661"/>
      <c r="D2661"/>
      <c r="E2661" s="2">
        <f>Comuni__2[[#This Row],[Popolazione2011]]/$D$7911</f>
        <v>2.4233009677368273E-4</v>
      </c>
      <c r="F2661">
        <f>SUMIFS($D$2:$D$7909, $B$2:$B$7909, "Lombardia")</f>
        <v>9704151</v>
      </c>
      <c r="G2661" s="1">
        <f>Comuni__2[[#This Row],[Popolazione2011]]/Comuni__2[[#This Row],[POPOLAZIONE TOTALE DI OGNI REGIONE (CON FILTRO)]]</f>
        <v>1.4839010646062701E-3</v>
      </c>
      <c r="H2661" t="str">
        <f>IF(Comuni__2[[#This Row],[Popolazione2011]]&gt;300000,"MAGGIORE","")</f>
        <v/>
      </c>
      <c r="J2661">
        <v>314</v>
      </c>
      <c r="K2661">
        <v>2322</v>
      </c>
      <c r="L2661">
        <v>960</v>
      </c>
    </row>
    <row r="2662" spans="1:12" x14ac:dyDescent="0.2">
      <c r="A2662"/>
      <c r="B2662"/>
      <c r="C2662"/>
      <c r="D2662"/>
      <c r="E2662" s="2">
        <f>Comuni__2[[#This Row],[Popolazione2011]]/$D$7911</f>
        <v>2.4172427153174852E-4</v>
      </c>
      <c r="F2662">
        <f>SUMIFS($D$2:$D$7909, $B$2:$B$7909, "Lombardia")</f>
        <v>9704151</v>
      </c>
      <c r="G2662" s="1">
        <f>Comuni__2[[#This Row],[Popolazione2011]]/Comuni__2[[#This Row],[POPOLAZIONE TOTALE DI OGNI REGIONE (CON FILTRO)]]</f>
        <v>1.4801913119447544E-3</v>
      </c>
      <c r="H2662" t="str">
        <f>IF(Comuni__2[[#This Row],[Popolazione2011]]&gt;300000,"MAGGIORE","")</f>
        <v/>
      </c>
      <c r="J2662">
        <v>305</v>
      </c>
      <c r="K2662">
        <v>2352</v>
      </c>
      <c r="L2662">
        <v>964</v>
      </c>
    </row>
    <row r="2663" spans="1:12" x14ac:dyDescent="0.2">
      <c r="A2663"/>
      <c r="B2663"/>
      <c r="C2663"/>
      <c r="D2663"/>
      <c r="E2663" s="2">
        <f>Comuni__2[[#This Row],[Popolazione2011]]/$D$7911</f>
        <v>2.4024336538479822E-4</v>
      </c>
      <c r="F2663">
        <f>SUMIFS($D$2:$D$7909, $B$2:$B$7909, "Lombardia")</f>
        <v>9704151</v>
      </c>
      <c r="G2663" s="1">
        <f>Comuni__2[[#This Row],[Popolazione2011]]/Comuni__2[[#This Row],[POPOLAZIONE TOTALE DI OGNI REGIONE (CON FILTRO)]]</f>
        <v>1.4711230276610494E-3</v>
      </c>
      <c r="H2663" t="str">
        <f>IF(Comuni__2[[#This Row],[Popolazione2011]]&gt;300000,"MAGGIORE","")</f>
        <v/>
      </c>
      <c r="J2663">
        <v>254</v>
      </c>
      <c r="K2663">
        <v>2391</v>
      </c>
      <c r="L2663">
        <v>969</v>
      </c>
    </row>
    <row r="2664" spans="1:12" x14ac:dyDescent="0.2">
      <c r="A2664"/>
      <c r="B2664"/>
      <c r="C2664"/>
      <c r="D2664"/>
      <c r="E2664" s="2">
        <f>Comuni__2[[#This Row],[Popolazione2011]]/$D$7911</f>
        <v>2.397048540586345E-4</v>
      </c>
      <c r="F2664">
        <f>SUMIFS($D$2:$D$7909, $B$2:$B$7909, "Lombardia")</f>
        <v>9704151</v>
      </c>
      <c r="G2664" s="1">
        <f>Comuni__2[[#This Row],[Popolazione2011]]/Comuni__2[[#This Row],[POPOLAZIONE TOTALE DI OGNI REGIONE (CON FILTRO)]]</f>
        <v>1.4678254697397021E-3</v>
      </c>
      <c r="H2664" t="str">
        <f>IF(Comuni__2[[#This Row],[Popolazione2011]]&gt;300000,"MAGGIORE","")</f>
        <v/>
      </c>
      <c r="J2664">
        <v>231</v>
      </c>
      <c r="K2664">
        <v>2604</v>
      </c>
      <c r="L2664">
        <v>971</v>
      </c>
    </row>
    <row r="2665" spans="1:12" x14ac:dyDescent="0.2">
      <c r="A2665"/>
      <c r="B2665"/>
      <c r="C2665"/>
      <c r="D2665"/>
      <c r="E2665" s="2">
        <f>Comuni__2[[#This Row],[Popolazione2011]]/$D$7911</f>
        <v>2.3854368901159392E-4</v>
      </c>
      <c r="F2665">
        <f>SUMIFS($D$2:$D$7909, $B$2:$B$7909, "Lombardia")</f>
        <v>9704151</v>
      </c>
      <c r="G2665" s="1">
        <f>Comuni__2[[#This Row],[Popolazione2011]]/Comuni__2[[#This Row],[POPOLAZIONE TOTALE DI OGNI REGIONE (CON FILTRO)]]</f>
        <v>1.4607151104717971E-3</v>
      </c>
      <c r="H2665" t="str">
        <f>IF(Comuni__2[[#This Row],[Popolazione2011]]&gt;300000,"MAGGIORE","")</f>
        <v/>
      </c>
      <c r="J2665">
        <v>207</v>
      </c>
      <c r="K2665">
        <v>2725</v>
      </c>
      <c r="L2665">
        <v>974</v>
      </c>
    </row>
    <row r="2666" spans="1:12" x14ac:dyDescent="0.2">
      <c r="A2666"/>
      <c r="B2666"/>
      <c r="C2666"/>
      <c r="D2666"/>
      <c r="E2666" s="2">
        <f>Comuni__2[[#This Row],[Popolazione2011]]/$D$7911</f>
        <v>2.3788737833283188E-4</v>
      </c>
      <c r="F2666">
        <f>SUMIFS($D$2:$D$7909, $B$2:$B$7909, "Lombardia")</f>
        <v>9704151</v>
      </c>
      <c r="G2666" s="1">
        <f>Comuni__2[[#This Row],[Popolazione2011]]/Comuni__2[[#This Row],[POPOLAZIONE TOTALE DI OGNI REGIONE (CON FILTRO)]]</f>
        <v>1.456696211755155E-3</v>
      </c>
      <c r="H2666" t="str">
        <f>IF(Comuni__2[[#This Row],[Popolazione2011]]&gt;300000,"MAGGIORE","")</f>
        <v/>
      </c>
      <c r="J2666">
        <v>196</v>
      </c>
      <c r="K2666">
        <v>2847</v>
      </c>
      <c r="L2666">
        <v>977</v>
      </c>
    </row>
    <row r="2667" spans="1:12" x14ac:dyDescent="0.2">
      <c r="A2667"/>
      <c r="B2667"/>
      <c r="C2667"/>
      <c r="D2667"/>
      <c r="E2667" s="2">
        <f>Comuni__2[[#This Row],[Popolazione2011]]/$D$7911</f>
        <v>2.3575016150711954E-4</v>
      </c>
      <c r="F2667">
        <f>SUMIFS($D$2:$D$7909, $B$2:$B$7909, "Lombardia")</f>
        <v>9704151</v>
      </c>
      <c r="G2667" s="1">
        <f>Comuni__2[[#This Row],[Popolazione2011]]/Comuni__2[[#This Row],[POPOLAZIONE TOTALE DI OGNI REGIONE (CON FILTRO)]]</f>
        <v>1.4436090287548082E-3</v>
      </c>
      <c r="H2667" t="str">
        <f>IF(Comuni__2[[#This Row],[Popolazione2011]]&gt;300000,"MAGGIORE","")</f>
        <v/>
      </c>
      <c r="J2667">
        <v>171</v>
      </c>
      <c r="K2667">
        <v>3003</v>
      </c>
      <c r="L2667">
        <v>982</v>
      </c>
    </row>
    <row r="2668" spans="1:12" x14ac:dyDescent="0.2">
      <c r="A2668"/>
      <c r="B2668"/>
      <c r="C2668"/>
      <c r="D2668"/>
      <c r="E2668" s="2">
        <f>Comuni__2[[#This Row],[Popolazione2011]]/$D$7911</f>
        <v>2.3425242688122664E-4</v>
      </c>
      <c r="F2668">
        <f>SUMIFS($D$2:$D$7909, $B$2:$B$7909, "Lombardia")</f>
        <v>9704151</v>
      </c>
      <c r="G2668" s="1">
        <f>Comuni__2[[#This Row],[Popolazione2011]]/Comuni__2[[#This Row],[POPOLAZIONE TOTALE DI OGNI REGIONE (CON FILTRO)]]</f>
        <v>1.4344376957860611E-3</v>
      </c>
      <c r="H2668" t="str">
        <f>IF(Comuni__2[[#This Row],[Popolazione2011]]&gt;300000,"MAGGIORE","")</f>
        <v/>
      </c>
      <c r="J2668">
        <v>169</v>
      </c>
      <c r="K2668">
        <v>3118</v>
      </c>
      <c r="L2668">
        <v>984</v>
      </c>
    </row>
    <row r="2669" spans="1:12" x14ac:dyDescent="0.2">
      <c r="A2669"/>
      <c r="B2669"/>
      <c r="C2669"/>
      <c r="D2669"/>
      <c r="E2669" s="2">
        <f>Comuni__2[[#This Row],[Popolazione2011]]/$D$7911</f>
        <v>2.3374757251294812E-4</v>
      </c>
      <c r="F2669">
        <f>SUMIFS($D$2:$D$7909, $B$2:$B$7909, "Lombardia")</f>
        <v>9704151</v>
      </c>
      <c r="G2669" s="1">
        <f>Comuni__2[[#This Row],[Popolazione2011]]/Comuni__2[[#This Row],[POPOLAZIONE TOTALE DI OGNI REGIONE (CON FILTRO)]]</f>
        <v>1.431346235234798E-3</v>
      </c>
      <c r="H2669" t="str">
        <f>IF(Comuni__2[[#This Row],[Popolazione2011]]&gt;300000,"MAGGIORE","")</f>
        <v/>
      </c>
      <c r="J2669">
        <v>173</v>
      </c>
      <c r="K2669">
        <v>3379</v>
      </c>
      <c r="L2669">
        <v>984</v>
      </c>
    </row>
    <row r="2670" spans="1:12" x14ac:dyDescent="0.2">
      <c r="A2670"/>
      <c r="B2670"/>
      <c r="C2670"/>
      <c r="D2670"/>
      <c r="E2670" s="2">
        <f>Comuni__2[[#This Row],[Popolazione2011]]/$D$7911</f>
        <v>2.3320906118678438E-4</v>
      </c>
      <c r="F2670">
        <f>SUMIFS($D$2:$D$7909, $B$2:$B$7909, "Lombardia")</f>
        <v>9704151</v>
      </c>
      <c r="G2670" s="1">
        <f>Comuni__2[[#This Row],[Popolazione2011]]/Comuni__2[[#This Row],[POPOLAZIONE TOTALE DI OGNI REGIONE (CON FILTRO)]]</f>
        <v>1.4280486773134507E-3</v>
      </c>
      <c r="H2670" t="str">
        <f>IF(Comuni__2[[#This Row],[Popolazione2011]]&gt;300000,"MAGGIORE","")</f>
        <v/>
      </c>
      <c r="J2670">
        <v>161</v>
      </c>
      <c r="K2670">
        <v>3561</v>
      </c>
      <c r="L2670">
        <v>986</v>
      </c>
    </row>
    <row r="2671" spans="1:12" x14ac:dyDescent="0.2">
      <c r="A2671"/>
      <c r="B2671"/>
      <c r="C2671"/>
      <c r="D2671"/>
      <c r="E2671" s="2">
        <f>Comuni__2[[#This Row],[Popolazione2011]]/$D$7911</f>
        <v>2.2918705471949895E-4</v>
      </c>
      <c r="F2671">
        <f>SUMIFS($D$2:$D$7909, $B$2:$B$7909, "Lombardia")</f>
        <v>9704151</v>
      </c>
      <c r="G2671" s="1">
        <f>Comuni__2[[#This Row],[Popolazione2011]]/Comuni__2[[#This Row],[POPOLAZIONE TOTALE DI OGNI REGIONE (CON FILTRO)]]</f>
        <v>1.4034200415883884E-3</v>
      </c>
      <c r="H2671" t="str">
        <f>IF(Comuni__2[[#This Row],[Popolazione2011]]&gt;300000,"MAGGIORE","")</f>
        <v/>
      </c>
      <c r="J2671">
        <v>141</v>
      </c>
      <c r="K2671">
        <v>3716</v>
      </c>
      <c r="L2671">
        <v>987</v>
      </c>
    </row>
    <row r="2672" spans="1:12" x14ac:dyDescent="0.2">
      <c r="A2672"/>
      <c r="B2672"/>
      <c r="C2672"/>
      <c r="D2672"/>
      <c r="E2672" s="2">
        <f>Comuni__2[[#This Row],[Popolazione2011]]/$D$7911</f>
        <v>2.287158573091057E-4</v>
      </c>
      <c r="F2672">
        <f>SUMIFS($D$2:$D$7909, $B$2:$B$7909, "Lombardia")</f>
        <v>9704151</v>
      </c>
      <c r="G2672" s="1">
        <f>Comuni__2[[#This Row],[Popolazione2011]]/Comuni__2[[#This Row],[POPOLAZIONE TOTALE DI OGNI REGIONE (CON FILTRO)]]</f>
        <v>1.4005346784072095E-3</v>
      </c>
      <c r="H2672" t="str">
        <f>IF(Comuni__2[[#This Row],[Popolazione2011]]&gt;300000,"MAGGIORE","")</f>
        <v/>
      </c>
      <c r="J2672">
        <v>127</v>
      </c>
      <c r="K2672">
        <v>3867</v>
      </c>
      <c r="L2672">
        <v>990</v>
      </c>
    </row>
    <row r="2673" spans="1:12" x14ac:dyDescent="0.2">
      <c r="A2673"/>
      <c r="B2673"/>
      <c r="C2673"/>
      <c r="D2673"/>
      <c r="E2673" s="2">
        <f>Comuni__2[[#This Row],[Popolazione2011]]/$D$7911</f>
        <v>2.2851391556179428E-4</v>
      </c>
      <c r="F2673">
        <f>SUMIFS($D$2:$D$7909, $B$2:$B$7909, "Lombardia")</f>
        <v>9704151</v>
      </c>
      <c r="G2673" s="1">
        <f>Comuni__2[[#This Row],[Popolazione2011]]/Comuni__2[[#This Row],[POPOLAZIONE TOTALE DI OGNI REGIONE (CON FILTRO)]]</f>
        <v>1.3992980941867042E-3</v>
      </c>
      <c r="H2673" t="str">
        <f>IF(Comuni__2[[#This Row],[Popolazione2011]]&gt;300000,"MAGGIORE","")</f>
        <v/>
      </c>
      <c r="J2673">
        <v>116</v>
      </c>
      <c r="K2673">
        <v>3939</v>
      </c>
      <c r="L2673">
        <v>990</v>
      </c>
    </row>
    <row r="2674" spans="1:12" x14ac:dyDescent="0.2">
      <c r="A2674"/>
      <c r="B2674"/>
      <c r="C2674"/>
      <c r="D2674"/>
      <c r="E2674" s="2">
        <f>Comuni__2[[#This Row],[Popolazione2011]]/$D$7911</f>
        <v>2.2683106766753259E-4</v>
      </c>
      <c r="F2674">
        <f>SUMIFS($D$2:$D$7909, $B$2:$B$7909, "Lombardia")</f>
        <v>9704151</v>
      </c>
      <c r="G2674" s="1">
        <f>Comuni__2[[#This Row],[Popolazione2011]]/Comuni__2[[#This Row],[POPOLAZIONE TOTALE DI OGNI REGIONE (CON FILTRO)]]</f>
        <v>1.388993225682494E-3</v>
      </c>
      <c r="H2674" t="str">
        <f>IF(Comuni__2[[#This Row],[Popolazione2011]]&gt;300000,"MAGGIORE","")</f>
        <v/>
      </c>
      <c r="J2674">
        <v>115</v>
      </c>
      <c r="K2674">
        <v>3995</v>
      </c>
      <c r="L2674">
        <v>993</v>
      </c>
    </row>
    <row r="2675" spans="1:12" x14ac:dyDescent="0.2">
      <c r="A2675"/>
      <c r="B2675"/>
      <c r="C2675"/>
      <c r="D2675"/>
      <c r="E2675" s="2">
        <f>Comuni__2[[#This Row],[Popolazione2011]]/$D$7911</f>
        <v>2.2666278287810642E-4</v>
      </c>
      <c r="F2675">
        <f>SUMIFS($D$2:$D$7909, $B$2:$B$7909, "Lombardia")</f>
        <v>9704151</v>
      </c>
      <c r="G2675" s="1">
        <f>Comuni__2[[#This Row],[Popolazione2011]]/Comuni__2[[#This Row],[POPOLAZIONE TOTALE DI OGNI REGIONE (CON FILTRO)]]</f>
        <v>1.387962738832073E-3</v>
      </c>
      <c r="H2675" t="str">
        <f>IF(Comuni__2[[#This Row],[Popolazione2011]]&gt;300000,"MAGGIORE","")</f>
        <v/>
      </c>
      <c r="J2675">
        <v>114</v>
      </c>
      <c r="K2675">
        <v>4028</v>
      </c>
      <c r="L2675">
        <v>994</v>
      </c>
    </row>
    <row r="2676" spans="1:12" x14ac:dyDescent="0.2">
      <c r="A2676"/>
      <c r="B2676"/>
      <c r="C2676"/>
      <c r="D2676"/>
      <c r="E2676" s="2">
        <f>Comuni__2[[#This Row],[Popolazione2011]]/$D$7911</f>
        <v>2.2629255634136887E-4</v>
      </c>
      <c r="F2676">
        <f>SUMIFS($D$2:$D$7909, $B$2:$B$7909, "Lombardia")</f>
        <v>9704151</v>
      </c>
      <c r="G2676" s="1">
        <f>Comuni__2[[#This Row],[Popolazione2011]]/Comuni__2[[#This Row],[POPOLAZIONE TOTALE DI OGNI REGIONE (CON FILTRO)]]</f>
        <v>1.3856956677611467E-3</v>
      </c>
      <c r="H2676" t="str">
        <f>IF(Comuni__2[[#This Row],[Popolazione2011]]&gt;300000,"MAGGIORE","")</f>
        <v/>
      </c>
      <c r="J2676">
        <v>108</v>
      </c>
      <c r="K2676">
        <v>4059</v>
      </c>
      <c r="L2676">
        <v>995</v>
      </c>
    </row>
    <row r="2677" spans="1:12" x14ac:dyDescent="0.2">
      <c r="A2677"/>
      <c r="B2677"/>
      <c r="C2677"/>
      <c r="D2677"/>
      <c r="E2677" s="2">
        <f>Comuni__2[[#This Row],[Popolazione2011]]/$D$7911</f>
        <v>2.2257346249505053E-4</v>
      </c>
      <c r="F2677">
        <f>SUMIFS($D$2:$D$7909, $B$2:$B$7909, "Lombardia")</f>
        <v>9704151</v>
      </c>
      <c r="G2677" s="1">
        <f>Comuni__2[[#This Row],[Popolazione2011]]/Comuni__2[[#This Row],[POPOLAZIONE TOTALE DI OGNI REGIONE (CON FILTRO)]]</f>
        <v>1.3629219083668423E-3</v>
      </c>
      <c r="H2677" t="str">
        <f>IF(Comuni__2[[#This Row],[Popolazione2011]]&gt;300000,"MAGGIORE","")</f>
        <v/>
      </c>
      <c r="J2677">
        <v>107</v>
      </c>
      <c r="K2677">
        <v>4147</v>
      </c>
      <c r="L2677">
        <v>996</v>
      </c>
    </row>
    <row r="2678" spans="1:12" x14ac:dyDescent="0.2">
      <c r="A2678"/>
      <c r="B2678"/>
      <c r="C2678"/>
      <c r="D2678"/>
      <c r="E2678" s="2">
        <f>Comuni__2[[#This Row],[Popolazione2011]]/$D$7911</f>
        <v>2.2223689291619821E-4</v>
      </c>
      <c r="F2678">
        <f>SUMIFS($D$2:$D$7909, $B$2:$B$7909, "Lombardia")</f>
        <v>9704151</v>
      </c>
      <c r="G2678" s="1">
        <f>Comuni__2[[#This Row],[Popolazione2011]]/Comuni__2[[#This Row],[POPOLAZIONE TOTALE DI OGNI REGIONE (CON FILTRO)]]</f>
        <v>1.3608609346660002E-3</v>
      </c>
      <c r="H2678" t="str">
        <f>IF(Comuni__2[[#This Row],[Popolazione2011]]&gt;300000,"MAGGIORE","")</f>
        <v/>
      </c>
      <c r="J2678">
        <v>103</v>
      </c>
      <c r="K2678">
        <v>4272</v>
      </c>
      <c r="L2678">
        <v>996</v>
      </c>
    </row>
    <row r="2679" spans="1:12" x14ac:dyDescent="0.2">
      <c r="A2679"/>
      <c r="B2679"/>
      <c r="C2679"/>
      <c r="D2679"/>
      <c r="E2679" s="2">
        <f>Comuni__2[[#This Row],[Popolazione2011]]/$D$7911</f>
        <v>2.176427181648638E-4</v>
      </c>
      <c r="F2679">
        <f>SUMIFS($D$2:$D$7909, $B$2:$B$7909, "Lombardia")</f>
        <v>9704151</v>
      </c>
      <c r="G2679" s="1">
        <f>Comuni__2[[#This Row],[Popolazione2011]]/Comuni__2[[#This Row],[POPOLAZIONE TOTALE DI OGNI REGIONE (CON FILTRO)]]</f>
        <v>1.3327286436495063E-3</v>
      </c>
      <c r="H2679" t="str">
        <f>IF(Comuni__2[[#This Row],[Popolazione2011]]&gt;300000,"MAGGIORE","")</f>
        <v/>
      </c>
      <c r="J2679">
        <v>92</v>
      </c>
      <c r="K2679">
        <v>4376</v>
      </c>
      <c r="L2679">
        <v>997</v>
      </c>
    </row>
    <row r="2680" spans="1:12" x14ac:dyDescent="0.2">
      <c r="A2680"/>
      <c r="B2680"/>
      <c r="C2680"/>
      <c r="D2680"/>
      <c r="E2680" s="2">
        <f>Comuni__2[[#This Row],[Popolazione2011]]/$D$7911</f>
        <v>2.1656569551253631E-4</v>
      </c>
      <c r="F2680">
        <f>SUMIFS($D$2:$D$7909, $B$2:$B$7909, "Lombardia")</f>
        <v>9704151</v>
      </c>
      <c r="G2680" s="1">
        <f>Comuni__2[[#This Row],[Popolazione2011]]/Comuni__2[[#This Row],[POPOLAZIONE TOTALE DI OGNI REGIONE (CON FILTRO)]]</f>
        <v>1.3261335278068117E-3</v>
      </c>
      <c r="H2680" t="str">
        <f>IF(Comuni__2[[#This Row],[Popolazione2011]]&gt;300000,"MAGGIORE","")</f>
        <v/>
      </c>
      <c r="J2680">
        <v>78</v>
      </c>
      <c r="K2680">
        <v>4385</v>
      </c>
      <c r="L2680">
        <v>986</v>
      </c>
    </row>
    <row r="2681" spans="1:12" x14ac:dyDescent="0.2">
      <c r="A2681"/>
      <c r="B2681"/>
      <c r="C2681"/>
      <c r="D2681"/>
      <c r="E2681" s="2">
        <f>Comuni__2[[#This Row],[Popolazione2011]]/$D$7911</f>
        <v>2.1495016153404509E-4</v>
      </c>
      <c r="F2681">
        <f>SUMIFS($D$2:$D$7909, $B$2:$B$7909, "Lombardia")</f>
        <v>9704151</v>
      </c>
      <c r="G2681" s="1">
        <f>Comuni__2[[#This Row],[Popolazione2011]]/Comuni__2[[#This Row],[POPOLAZIONE TOTALE DI OGNI REGIONE (CON FILTRO)]]</f>
        <v>1.3162408540427699E-3</v>
      </c>
      <c r="H2681" t="str">
        <f>IF(Comuni__2[[#This Row],[Popolazione2011]]&gt;300000,"MAGGIORE","")</f>
        <v/>
      </c>
      <c r="J2681">
        <v>75</v>
      </c>
      <c r="K2681">
        <v>4393</v>
      </c>
      <c r="L2681">
        <v>987</v>
      </c>
    </row>
    <row r="2682" spans="1:12" x14ac:dyDescent="0.2">
      <c r="A2682"/>
      <c r="B2682"/>
      <c r="C2682"/>
      <c r="D2682"/>
      <c r="E2682" s="2">
        <f>Comuni__2[[#This Row],[Popolazione2011]]/$D$7911</f>
        <v>2.1358705473969314E-4</v>
      </c>
      <c r="F2682">
        <f>SUMIFS($D$2:$D$7909, $B$2:$B$7909, "Lombardia")</f>
        <v>9704151</v>
      </c>
      <c r="G2682" s="1">
        <f>Comuni__2[[#This Row],[Popolazione2011]]/Comuni__2[[#This Row],[POPOLAZIONE TOTALE DI OGNI REGIONE (CON FILTRO)]]</f>
        <v>1.3078939105543596E-3</v>
      </c>
      <c r="H2682" t="str">
        <f>IF(Comuni__2[[#This Row],[Popolazione2011]]&gt;300000,"MAGGIORE","")</f>
        <v/>
      </c>
      <c r="J2682">
        <v>71</v>
      </c>
      <c r="K2682">
        <v>4405</v>
      </c>
      <c r="L2682">
        <v>987</v>
      </c>
    </row>
    <row r="2683" spans="1:12" x14ac:dyDescent="0.2">
      <c r="A2683"/>
      <c r="B2683"/>
      <c r="C2683"/>
      <c r="D2683"/>
      <c r="E2683" s="2">
        <f>Comuni__2[[#This Row],[Popolazione2011]]/$D$7911</f>
        <v>2.1313268580824249E-4</v>
      </c>
      <c r="F2683">
        <f>SUMIFS($D$2:$D$7909, $B$2:$B$7909, "Lombardia")</f>
        <v>9704151</v>
      </c>
      <c r="G2683" s="1">
        <f>Comuni__2[[#This Row],[Popolazione2011]]/Comuni__2[[#This Row],[POPOLAZIONE TOTALE DI OGNI REGIONE (CON FILTRO)]]</f>
        <v>1.3051115960582228E-3</v>
      </c>
      <c r="H2683" t="str">
        <f>IF(Comuni__2[[#This Row],[Popolazione2011]]&gt;300000,"MAGGIORE","")</f>
        <v/>
      </c>
      <c r="J2683">
        <v>72</v>
      </c>
      <c r="K2683">
        <v>4416</v>
      </c>
      <c r="L2683">
        <v>987</v>
      </c>
    </row>
    <row r="2684" spans="1:12" x14ac:dyDescent="0.2">
      <c r="A2684"/>
      <c r="B2684"/>
      <c r="C2684"/>
      <c r="D2684"/>
      <c r="E2684" s="2">
        <f>Comuni__2[[#This Row],[Popolazione2011]]/$D$7911</f>
        <v>2.1311585732929986E-4</v>
      </c>
      <c r="F2684">
        <f>SUMIFS($D$2:$D$7909, $B$2:$B$7909, "Lombardia")</f>
        <v>9704151</v>
      </c>
      <c r="G2684" s="1">
        <f>Comuni__2[[#This Row],[Popolazione2011]]/Comuni__2[[#This Row],[POPOLAZIONE TOTALE DI OGNI REGIONE (CON FILTRO)]]</f>
        <v>1.3050085473731807E-3</v>
      </c>
      <c r="H2684" t="str">
        <f>IF(Comuni__2[[#This Row],[Popolazione2011]]&gt;300000,"MAGGIORE","")</f>
        <v/>
      </c>
      <c r="J2684">
        <v>69</v>
      </c>
      <c r="K2684">
        <v>4421</v>
      </c>
      <c r="L2684">
        <v>987</v>
      </c>
    </row>
    <row r="2685" spans="1:12" x14ac:dyDescent="0.2">
      <c r="A2685"/>
      <c r="B2685"/>
      <c r="C2685"/>
      <c r="D2685"/>
      <c r="E2685" s="2">
        <f>Comuni__2[[#This Row],[Popolazione2011]]/$D$7911</f>
        <v>2.128634301451606E-4</v>
      </c>
      <c r="F2685">
        <f>SUMIFS($D$2:$D$7909, $B$2:$B$7909, "Lombardia")</f>
        <v>9704151</v>
      </c>
      <c r="G2685" s="1">
        <f>Comuni__2[[#This Row],[Popolazione2011]]/Comuni__2[[#This Row],[POPOLAZIONE TOTALE DI OGNI REGIONE (CON FILTRO)]]</f>
        <v>1.3034628170975494E-3</v>
      </c>
      <c r="H2685" t="str">
        <f>IF(Comuni__2[[#This Row],[Popolazione2011]]&gt;300000,"MAGGIORE","")</f>
        <v/>
      </c>
      <c r="J2685">
        <v>65</v>
      </c>
      <c r="K2685">
        <v>4438</v>
      </c>
      <c r="L2685">
        <v>987</v>
      </c>
    </row>
    <row r="2686" spans="1:12" x14ac:dyDescent="0.2">
      <c r="A2686"/>
      <c r="B2686"/>
      <c r="C2686"/>
      <c r="D2686"/>
      <c r="E2686" s="2">
        <f>Comuni__2[[#This Row],[Popolazione2011]]/$D$7911</f>
        <v>2.1242588969265256E-4</v>
      </c>
      <c r="F2686">
        <f>SUMIFS($D$2:$D$7909, $B$2:$B$7909, "Lombardia")</f>
        <v>9704151</v>
      </c>
      <c r="G2686" s="1">
        <f>Comuni__2[[#This Row],[Popolazione2011]]/Comuni__2[[#This Row],[POPOLAZIONE TOTALE DI OGNI REGIONE (CON FILTRO)]]</f>
        <v>1.3007835512864547E-3</v>
      </c>
      <c r="H2686" t="str">
        <f>IF(Comuni__2[[#This Row],[Popolazione2011]]&gt;300000,"MAGGIORE","")</f>
        <v/>
      </c>
      <c r="J2686">
        <v>57</v>
      </c>
      <c r="K2686">
        <v>4447</v>
      </c>
      <c r="L2686">
        <v>988</v>
      </c>
    </row>
    <row r="2687" spans="1:12" x14ac:dyDescent="0.2">
      <c r="A2687"/>
      <c r="B2687"/>
      <c r="C2687"/>
      <c r="D2687"/>
      <c r="E2687" s="2">
        <f>Comuni__2[[#This Row],[Popolazione2011]]/$D$7911</f>
        <v>2.1202200619802977E-4</v>
      </c>
      <c r="F2687">
        <f>SUMIFS($D$2:$D$7909, $B$2:$B$7909, "Lombardia")</f>
        <v>9704151</v>
      </c>
      <c r="G2687" s="1">
        <f>Comuni__2[[#This Row],[Popolazione2011]]/Comuni__2[[#This Row],[POPOLAZIONE TOTALE DI OGNI REGIONE (CON FILTRO)]]</f>
        <v>1.2983103828454442E-3</v>
      </c>
      <c r="H2687" t="str">
        <f>IF(Comuni__2[[#This Row],[Popolazione2011]]&gt;300000,"MAGGIORE","")</f>
        <v/>
      </c>
      <c r="J2687">
        <v>55</v>
      </c>
      <c r="K2687">
        <v>4458</v>
      </c>
      <c r="L2687">
        <v>989</v>
      </c>
    </row>
    <row r="2688" spans="1:12" x14ac:dyDescent="0.2">
      <c r="A2688"/>
      <c r="B2688"/>
      <c r="C2688"/>
      <c r="D2688"/>
      <c r="E2688" s="2">
        <f>Comuni__2[[#This Row],[Popolazione2011]]/$D$7911</f>
        <v>2.0931262108826845E-4</v>
      </c>
      <c r="F2688">
        <f>SUMIFS($D$2:$D$7909, $B$2:$B$7909, "Lombardia")</f>
        <v>9704151</v>
      </c>
      <c r="G2688" s="1">
        <f>Comuni__2[[#This Row],[Popolazione2011]]/Comuni__2[[#This Row],[POPOLAZIONE TOTALE DI OGNI REGIONE (CON FILTRO)]]</f>
        <v>1.2817195445536658E-3</v>
      </c>
      <c r="H2688" t="str">
        <f>IF(Comuni__2[[#This Row],[Popolazione2011]]&gt;300000,"MAGGIORE","")</f>
        <v/>
      </c>
      <c r="J2688">
        <v>49</v>
      </c>
      <c r="K2688">
        <v>4556</v>
      </c>
      <c r="L2688">
        <v>991</v>
      </c>
    </row>
    <row r="2689" spans="1:12" x14ac:dyDescent="0.2">
      <c r="A2689"/>
      <c r="B2689"/>
      <c r="C2689"/>
      <c r="D2689"/>
      <c r="E2689" s="2">
        <f>Comuni__2[[#This Row],[Popolazione2011]]/$D$7911</f>
        <v>2.0771391558871985E-4</v>
      </c>
      <c r="F2689">
        <f>SUMIFS($D$2:$D$7909, $B$2:$B$7909, "Lombardia")</f>
        <v>9704151</v>
      </c>
      <c r="G2689" s="1">
        <f>Comuni__2[[#This Row],[Popolazione2011]]/Comuni__2[[#This Row],[POPOLAZIONE TOTALE DI OGNI REGIONE (CON FILTRO)]]</f>
        <v>1.2719299194746661E-3</v>
      </c>
      <c r="H2689" t="str">
        <f>IF(Comuni__2[[#This Row],[Popolazione2011]]&gt;300000,"MAGGIORE","")</f>
        <v/>
      </c>
      <c r="J2689">
        <v>43</v>
      </c>
      <c r="K2689">
        <v>4595</v>
      </c>
      <c r="L2689">
        <v>991</v>
      </c>
    </row>
    <row r="2690" spans="1:12" x14ac:dyDescent="0.2">
      <c r="A2690"/>
      <c r="B2690"/>
      <c r="C2690"/>
      <c r="D2690"/>
      <c r="E2690" s="2">
        <f>Comuni__2[[#This Row],[Popolazione2011]]/$D$7911</f>
        <v>2.0555987028406488E-4</v>
      </c>
      <c r="F2690">
        <f>SUMIFS($D$2:$D$7909, $B$2:$B$7909, "Lombardia")</f>
        <v>9704151</v>
      </c>
      <c r="G2690" s="1">
        <f>Comuni__2[[#This Row],[Popolazione2011]]/Comuni__2[[#This Row],[POPOLAZIONE TOTALE DI OGNI REGIONE (CON FILTRO)]]</f>
        <v>1.258739687789277E-3</v>
      </c>
      <c r="H2690" t="str">
        <f>IF(Comuni__2[[#This Row],[Popolazione2011]]&gt;300000,"MAGGIORE","")</f>
        <v/>
      </c>
      <c r="J2690">
        <v>43</v>
      </c>
      <c r="K2690">
        <v>4681</v>
      </c>
      <c r="L2690">
        <v>991</v>
      </c>
    </row>
    <row r="2691" spans="1:12" x14ac:dyDescent="0.2">
      <c r="A2691"/>
      <c r="B2691"/>
      <c r="C2691"/>
      <c r="D2691"/>
      <c r="E2691" s="2">
        <f>Comuni__2[[#This Row],[Popolazione2011]]/$D$7911</f>
        <v>2.0431456284231123E-4</v>
      </c>
      <c r="F2691">
        <f>SUMIFS($D$2:$D$7909, $B$2:$B$7909, "Lombardia")</f>
        <v>9704151</v>
      </c>
      <c r="G2691" s="1">
        <f>Comuni__2[[#This Row],[Popolazione2011]]/Comuni__2[[#This Row],[POPOLAZIONE TOTALE DI OGNI REGIONE (CON FILTRO)]]</f>
        <v>1.2511140850961615E-3</v>
      </c>
      <c r="H2691" t="str">
        <f>IF(Comuni__2[[#This Row],[Popolazione2011]]&gt;300000,"MAGGIORE","")</f>
        <v/>
      </c>
      <c r="J2691">
        <v>32</v>
      </c>
      <c r="K2691">
        <v>4763</v>
      </c>
      <c r="L2691">
        <v>992</v>
      </c>
    </row>
    <row r="2692" spans="1:12" x14ac:dyDescent="0.2">
      <c r="A2692"/>
      <c r="B2692"/>
      <c r="C2692"/>
      <c r="D2692"/>
      <c r="E2692" s="2">
        <f>Comuni__2[[#This Row],[Popolazione2011]]/$D$7911</f>
        <v>2.0328802562681161E-4</v>
      </c>
      <c r="F2692">
        <f>SUMIFS($D$2:$D$7909, $B$2:$B$7909, "Lombardia")</f>
        <v>9704151</v>
      </c>
      <c r="G2692" s="1">
        <f>Comuni__2[[#This Row],[Popolazione2011]]/Comuni__2[[#This Row],[POPOLAZIONE TOTALE DI OGNI REGIONE (CON FILTRO)]]</f>
        <v>1.2448281153085931E-3</v>
      </c>
      <c r="H2692" t="str">
        <f>IF(Comuni__2[[#This Row],[Popolazione2011]]&gt;300000,"MAGGIORE","")</f>
        <v/>
      </c>
      <c r="J2692">
        <v>29</v>
      </c>
      <c r="K2692">
        <v>4811</v>
      </c>
      <c r="L2692">
        <v>992</v>
      </c>
    </row>
    <row r="2693" spans="1:12" x14ac:dyDescent="0.2">
      <c r="A2693"/>
      <c r="B2693"/>
      <c r="C2693"/>
      <c r="D2693"/>
      <c r="E2693" s="2">
        <f>Comuni__2[[#This Row],[Popolazione2011]]/$D$7911</f>
        <v>2.0328802562681161E-4</v>
      </c>
      <c r="F2693">
        <f>SUMIFS($D$2:$D$7909, $B$2:$B$7909, "Lombardia")</f>
        <v>9704151</v>
      </c>
      <c r="G2693" s="1">
        <f>Comuni__2[[#This Row],[Popolazione2011]]/Comuni__2[[#This Row],[POPOLAZIONE TOTALE DI OGNI REGIONE (CON FILTRO)]]</f>
        <v>1.2448281153085931E-3</v>
      </c>
      <c r="H2693" t="str">
        <f>IF(Comuni__2[[#This Row],[Popolazione2011]]&gt;300000,"MAGGIORE","")</f>
        <v/>
      </c>
      <c r="J2693">
        <v>26</v>
      </c>
      <c r="K2693">
        <v>4857</v>
      </c>
      <c r="L2693">
        <v>992</v>
      </c>
    </row>
    <row r="2694" spans="1:12" x14ac:dyDescent="0.2">
      <c r="A2694"/>
      <c r="B2694"/>
      <c r="C2694"/>
      <c r="D2694"/>
      <c r="E2694" s="2">
        <f>Comuni__2[[#This Row],[Popolazione2011]]/$D$7911</f>
        <v>2.0303559844267235E-4</v>
      </c>
      <c r="F2694">
        <f>SUMIFS($D$2:$D$7909, $B$2:$B$7909, "Lombardia")</f>
        <v>9704151</v>
      </c>
      <c r="G2694" s="1">
        <f>Comuni__2[[#This Row],[Popolazione2011]]/Comuni__2[[#This Row],[POPOLAZIONE TOTALE DI OGNI REGIONE (CON FILTRO)]]</f>
        <v>1.2432823850329617E-3</v>
      </c>
      <c r="H2694" t="str">
        <f>IF(Comuni__2[[#This Row],[Popolazione2011]]&gt;300000,"MAGGIORE","")</f>
        <v/>
      </c>
      <c r="J2694">
        <v>22</v>
      </c>
      <c r="K2694">
        <v>5009</v>
      </c>
      <c r="L2694">
        <v>993</v>
      </c>
    </row>
    <row r="2695" spans="1:12" x14ac:dyDescent="0.2">
      <c r="A2695"/>
      <c r="B2695"/>
      <c r="C2695"/>
      <c r="D2695"/>
      <c r="E2695" s="2">
        <f>Comuni__2[[#This Row],[Popolazione2011]]/$D$7911</f>
        <v>1.9997281527511611E-4</v>
      </c>
      <c r="F2695">
        <f>SUMIFS($D$2:$D$7909, $B$2:$B$7909, "Lombardia")</f>
        <v>9704151</v>
      </c>
      <c r="G2695" s="1">
        <f>Comuni__2[[#This Row],[Popolazione2011]]/Comuni__2[[#This Row],[POPOLAZIONE TOTALE DI OGNI REGIONE (CON FILTRO)]]</f>
        <v>1.2245275243552992E-3</v>
      </c>
      <c r="H2695" t="str">
        <f>IF(Comuni__2[[#This Row],[Popolazione2011]]&gt;300000,"MAGGIORE","")</f>
        <v/>
      </c>
      <c r="J2695">
        <v>22</v>
      </c>
      <c r="K2695">
        <v>5084</v>
      </c>
      <c r="L2695">
        <v>993</v>
      </c>
    </row>
    <row r="2696" spans="1:12" x14ac:dyDescent="0.2">
      <c r="A2696"/>
      <c r="B2696"/>
      <c r="C2696"/>
      <c r="D2696"/>
      <c r="E2696" s="2">
        <f>Comuni__2[[#This Row],[Popolazione2011]]/$D$7911</f>
        <v>1.9884530718596076E-4</v>
      </c>
      <c r="F2696">
        <f>SUMIFS($D$2:$D$7909, $B$2:$B$7909, "Lombardia")</f>
        <v>9704151</v>
      </c>
      <c r="G2696" s="1">
        <f>Comuni__2[[#This Row],[Popolazione2011]]/Comuni__2[[#This Row],[POPOLAZIONE TOTALE DI OGNI REGIONE (CON FILTRO)]]</f>
        <v>1.2176232624574782E-3</v>
      </c>
      <c r="H2696" t="str">
        <f>IF(Comuni__2[[#This Row],[Popolazione2011]]&gt;300000,"MAGGIORE","")</f>
        <v/>
      </c>
      <c r="J2696">
        <v>21</v>
      </c>
      <c r="K2696">
        <v>5139</v>
      </c>
      <c r="L2696">
        <v>993</v>
      </c>
    </row>
    <row r="2697" spans="1:12" x14ac:dyDescent="0.2">
      <c r="A2697"/>
      <c r="B2697"/>
      <c r="C2697"/>
      <c r="D2697"/>
      <c r="E2697" s="2">
        <f>Comuni__2[[#This Row],[Popolazione2011]]/$D$7911</f>
        <v>1.9834045281768225E-4</v>
      </c>
      <c r="F2697">
        <f>SUMIFS($D$2:$D$7909, $B$2:$B$7909, "Lombardia")</f>
        <v>9704151</v>
      </c>
      <c r="G2697" s="1">
        <f>Comuni__2[[#This Row],[Popolazione2011]]/Comuni__2[[#This Row],[POPOLAZIONE TOTALE DI OGNI REGIONE (CON FILTRO)]]</f>
        <v>1.2145318019062153E-3</v>
      </c>
      <c r="H2697" t="str">
        <f>IF(Comuni__2[[#This Row],[Popolazione2011]]&gt;300000,"MAGGIORE","")</f>
        <v/>
      </c>
      <c r="J2697">
        <v>18</v>
      </c>
      <c r="K2697">
        <v>5152</v>
      </c>
      <c r="L2697">
        <v>993</v>
      </c>
    </row>
    <row r="2698" spans="1:12" x14ac:dyDescent="0.2">
      <c r="A2698"/>
      <c r="B2698"/>
      <c r="C2698"/>
      <c r="D2698"/>
      <c r="E2698" s="2">
        <f>Comuni__2[[#This Row],[Popolazione2011]]/$D$7911</f>
        <v>1.9770097061786281E-4</v>
      </c>
      <c r="F2698">
        <f>SUMIFS($D$2:$D$7909, $B$2:$B$7909, "Lombardia")</f>
        <v>9704151</v>
      </c>
      <c r="G2698" s="1">
        <f>Comuni__2[[#This Row],[Popolazione2011]]/Comuni__2[[#This Row],[POPOLAZIONE TOTALE DI OGNI REGIONE (CON FILTRO)]]</f>
        <v>1.2106159518746153E-3</v>
      </c>
      <c r="H2698" t="str">
        <f>IF(Comuni__2[[#This Row],[Popolazione2011]]&gt;300000,"MAGGIORE","")</f>
        <v/>
      </c>
      <c r="J2698">
        <v>19</v>
      </c>
      <c r="K2698">
        <v>5168</v>
      </c>
      <c r="L2698">
        <v>994</v>
      </c>
    </row>
    <row r="2699" spans="1:12" x14ac:dyDescent="0.2">
      <c r="A2699"/>
      <c r="B2699"/>
      <c r="C2699"/>
      <c r="D2699"/>
      <c r="E2699" s="2">
        <f>Comuni__2[[#This Row],[Popolazione2011]]/$D$7911</f>
        <v>1.9689320362861721E-4</v>
      </c>
      <c r="F2699">
        <f>SUMIFS($D$2:$D$7909, $B$2:$B$7909, "Lombardia")</f>
        <v>9704151</v>
      </c>
      <c r="G2699" s="1">
        <f>Comuni__2[[#This Row],[Popolazione2011]]/Comuni__2[[#This Row],[POPOLAZIONE TOTALE DI OGNI REGIONE (CON FILTRO)]]</f>
        <v>1.2056696149925943E-3</v>
      </c>
      <c r="H2699" t="str">
        <f>IF(Comuni__2[[#This Row],[Popolazione2011]]&gt;300000,"MAGGIORE","")</f>
        <v/>
      </c>
      <c r="J2699">
        <v>21</v>
      </c>
      <c r="K2699">
        <v>5185</v>
      </c>
      <c r="L2699">
        <v>994</v>
      </c>
    </row>
    <row r="2700" spans="1:12" x14ac:dyDescent="0.2">
      <c r="A2700"/>
      <c r="B2700"/>
      <c r="C2700"/>
      <c r="D2700"/>
      <c r="E2700" s="2">
        <f>Comuni__2[[#This Row],[Popolazione2011]]/$D$7911</f>
        <v>1.9684271819178938E-4</v>
      </c>
      <c r="F2700">
        <f>SUMIFS($D$2:$D$7909, $B$2:$B$7909, "Lombardia")</f>
        <v>9704151</v>
      </c>
      <c r="G2700" s="1">
        <f>Comuni__2[[#This Row],[Popolazione2011]]/Comuni__2[[#This Row],[POPOLAZIONE TOTALE DI OGNI REGIONE (CON FILTRO)]]</f>
        <v>1.205360468937468E-3</v>
      </c>
      <c r="H2700" t="str">
        <f>IF(Comuni__2[[#This Row],[Popolazione2011]]&gt;300000,"MAGGIORE","")</f>
        <v/>
      </c>
      <c r="J2700">
        <v>19</v>
      </c>
      <c r="K2700">
        <v>5197</v>
      </c>
      <c r="L2700">
        <v>994</v>
      </c>
    </row>
    <row r="2701" spans="1:12" x14ac:dyDescent="0.2">
      <c r="A2701"/>
      <c r="B2701"/>
      <c r="C2701"/>
      <c r="D2701"/>
      <c r="E2701" s="2">
        <f>Comuni__2[[#This Row],[Popolazione2011]]/$D$7911</f>
        <v>1.9665760492342058E-4</v>
      </c>
      <c r="F2701">
        <f>SUMIFS($D$2:$D$7909, $B$2:$B$7909, "Lombardia")</f>
        <v>9704151</v>
      </c>
      <c r="G2701" s="1">
        <f>Comuni__2[[#This Row],[Popolazione2011]]/Comuni__2[[#This Row],[POPOLAZIONE TOTALE DI OGNI REGIONE (CON FILTRO)]]</f>
        <v>1.2042269334020051E-3</v>
      </c>
      <c r="H2701" t="str">
        <f>IF(Comuni__2[[#This Row],[Popolazione2011]]&gt;300000,"MAGGIORE","")</f>
        <v/>
      </c>
      <c r="J2701">
        <v>14</v>
      </c>
      <c r="K2701">
        <v>5214</v>
      </c>
      <c r="L2701">
        <v>994</v>
      </c>
    </row>
    <row r="2702" spans="1:12" x14ac:dyDescent="0.2">
      <c r="A2702"/>
      <c r="B2702"/>
      <c r="C2702"/>
      <c r="D2702"/>
      <c r="E2702" s="2">
        <f>Comuni__2[[#This Row],[Popolazione2011]]/$D$7911</f>
        <v>1.9586666641311759E-4</v>
      </c>
      <c r="F2702">
        <f>SUMIFS($D$2:$D$7909, $B$2:$B$7909, "Lombardia")</f>
        <v>9704151</v>
      </c>
      <c r="G2702" s="1">
        <f>Comuni__2[[#This Row],[Popolazione2011]]/Comuni__2[[#This Row],[POPOLAZIONE TOTALE DI OGNI REGIONE (CON FILTRO)]]</f>
        <v>1.1993836452050262E-3</v>
      </c>
      <c r="H2702" t="str">
        <f>IF(Comuni__2[[#This Row],[Popolazione2011]]&gt;300000,"MAGGIORE","")</f>
        <v/>
      </c>
      <c r="J2702">
        <v>13</v>
      </c>
      <c r="K2702">
        <v>5235</v>
      </c>
      <c r="L2702">
        <v>994</v>
      </c>
    </row>
    <row r="2703" spans="1:12" x14ac:dyDescent="0.2">
      <c r="A2703"/>
      <c r="B2703"/>
      <c r="C2703"/>
      <c r="D2703"/>
      <c r="E2703" s="2">
        <f>Comuni__2[[#This Row],[Popolazione2011]]/$D$7911</f>
        <v>1.9541229748166694E-4</v>
      </c>
      <c r="F2703">
        <f>SUMIFS($D$2:$D$7909, $B$2:$B$7909, "Lombardia")</f>
        <v>9704151</v>
      </c>
      <c r="G2703" s="1">
        <f>Comuni__2[[#This Row],[Popolazione2011]]/Comuni__2[[#This Row],[POPOLAZIONE TOTALE DI OGNI REGIONE (CON FILTRO)]]</f>
        <v>1.1966013307088894E-3</v>
      </c>
      <c r="H2703" t="str">
        <f>IF(Comuni__2[[#This Row],[Popolazione2011]]&gt;300000,"MAGGIORE","")</f>
        <v/>
      </c>
      <c r="J2703">
        <v>14</v>
      </c>
      <c r="K2703">
        <v>5247</v>
      </c>
      <c r="L2703">
        <v>994</v>
      </c>
    </row>
    <row r="2704" spans="1:12" x14ac:dyDescent="0.2">
      <c r="A2704"/>
      <c r="B2704"/>
      <c r="C2704"/>
      <c r="D2704"/>
      <c r="E2704" s="2">
        <f>Comuni__2[[#This Row],[Popolazione2011]]/$D$7911</f>
        <v>1.9423430395568375E-4</v>
      </c>
      <c r="F2704">
        <f>SUMIFS($D$2:$D$7909, $B$2:$B$7909, "Lombardia")</f>
        <v>9704151</v>
      </c>
      <c r="G2704" s="1">
        <f>Comuni__2[[#This Row],[Popolazione2011]]/Comuni__2[[#This Row],[POPOLAZIONE TOTALE DI OGNI REGIONE (CON FILTRO)]]</f>
        <v>1.1893879227559423E-3</v>
      </c>
      <c r="H2704" t="str">
        <f>IF(Comuni__2[[#This Row],[Popolazione2011]]&gt;300000,"MAGGIORE","")</f>
        <v/>
      </c>
      <c r="J2704">
        <v>13</v>
      </c>
      <c r="K2704">
        <v>5275</v>
      </c>
      <c r="L2704">
        <v>994</v>
      </c>
    </row>
    <row r="2705" spans="1:12" x14ac:dyDescent="0.2">
      <c r="A2705"/>
      <c r="B2705"/>
      <c r="C2705"/>
      <c r="D2705"/>
      <c r="E2705" s="2">
        <f>Comuni__2[[#This Row],[Popolazione2011]]/$D$7911</f>
        <v>1.9344336544538075E-4</v>
      </c>
      <c r="F2705">
        <f>SUMIFS($D$2:$D$7909, $B$2:$B$7909, "Lombardia")</f>
        <v>9704151</v>
      </c>
      <c r="G2705" s="1">
        <f>Comuni__2[[#This Row],[Popolazione2011]]/Comuni__2[[#This Row],[POPOLAZIONE TOTALE DI OGNI REGIONE (CON FILTRO)]]</f>
        <v>1.1845446345589636E-3</v>
      </c>
      <c r="H2705" t="str">
        <f>IF(Comuni__2[[#This Row],[Popolazione2011]]&gt;300000,"MAGGIORE","")</f>
        <v/>
      </c>
      <c r="J2705">
        <v>11</v>
      </c>
      <c r="K2705">
        <v>5288</v>
      </c>
      <c r="L2705">
        <v>994</v>
      </c>
    </row>
    <row r="2706" spans="1:12" x14ac:dyDescent="0.2">
      <c r="A2706"/>
      <c r="B2706"/>
      <c r="C2706"/>
      <c r="D2706"/>
      <c r="E2706" s="2">
        <f>Comuni__2[[#This Row],[Popolazione2011]]/$D$7911</f>
        <v>1.9330873761383983E-4</v>
      </c>
      <c r="F2706">
        <f>SUMIFS($D$2:$D$7909, $B$2:$B$7909, "Lombardia")</f>
        <v>9704151</v>
      </c>
      <c r="G2706" s="1">
        <f>Comuni__2[[#This Row],[Popolazione2011]]/Comuni__2[[#This Row],[POPOLAZIONE TOTALE DI OGNI REGIONE (CON FILTRO)]]</f>
        <v>1.1837202450786267E-3</v>
      </c>
      <c r="H2706" t="str">
        <f>IF(Comuni__2[[#This Row],[Popolazione2011]]&gt;300000,"MAGGIORE","")</f>
        <v/>
      </c>
      <c r="J2706">
        <v>12</v>
      </c>
      <c r="K2706">
        <v>5314</v>
      </c>
      <c r="L2706">
        <v>994</v>
      </c>
    </row>
    <row r="2707" spans="1:12" x14ac:dyDescent="0.2">
      <c r="A2707"/>
      <c r="B2707"/>
      <c r="C2707"/>
      <c r="D2707"/>
      <c r="E2707" s="2">
        <f>Comuni__2[[#This Row],[Popolazione2011]]/$D$7911</f>
        <v>1.9320776674018413E-4</v>
      </c>
      <c r="F2707">
        <f>SUMIFS($D$2:$D$7909, $B$2:$B$7909, "Lombardia")</f>
        <v>9704151</v>
      </c>
      <c r="G2707" s="1">
        <f>Comuni__2[[#This Row],[Popolazione2011]]/Comuni__2[[#This Row],[POPOLAZIONE TOTALE DI OGNI REGIONE (CON FILTRO)]]</f>
        <v>1.1831019529683741E-3</v>
      </c>
      <c r="H2707" t="str">
        <f>IF(Comuni__2[[#This Row],[Popolazione2011]]&gt;300000,"MAGGIORE","")</f>
        <v/>
      </c>
      <c r="J2707">
        <v>10</v>
      </c>
      <c r="K2707">
        <v>5330</v>
      </c>
      <c r="L2707">
        <v>991</v>
      </c>
    </row>
    <row r="2708" spans="1:12" x14ac:dyDescent="0.2">
      <c r="A2708"/>
      <c r="B2708"/>
      <c r="C2708"/>
      <c r="D2708"/>
      <c r="E2708" s="2">
        <f>Comuni__2[[#This Row],[Popolazione2011]]/$D$7911</f>
        <v>1.9186148842477478E-4</v>
      </c>
      <c r="F2708">
        <f>SUMIFS($D$2:$D$7909, $B$2:$B$7909, "Lombardia")</f>
        <v>9704151</v>
      </c>
      <c r="G2708" s="1">
        <f>Comuni__2[[#This Row],[Popolazione2011]]/Comuni__2[[#This Row],[POPOLAZIONE TOTALE DI OGNI REGIONE (CON FILTRO)]]</f>
        <v>1.1748580581650058E-3</v>
      </c>
      <c r="H2708" t="str">
        <f>IF(Comuni__2[[#This Row],[Popolazione2011]]&gt;300000,"MAGGIORE","")</f>
        <v/>
      </c>
      <c r="J2708">
        <v>10</v>
      </c>
      <c r="K2708">
        <v>5385</v>
      </c>
      <c r="L2708">
        <v>991</v>
      </c>
    </row>
    <row r="2709" spans="1:12" x14ac:dyDescent="0.2">
      <c r="A2709"/>
      <c r="B2709"/>
      <c r="C2709"/>
      <c r="D2709"/>
      <c r="E2709" s="2">
        <f>Comuni__2[[#This Row],[Popolazione2011]]/$D$7911</f>
        <v>1.8970744312011981E-4</v>
      </c>
      <c r="F2709">
        <f>SUMIFS($D$2:$D$7909, $B$2:$B$7909, "Lombardia")</f>
        <v>9704151</v>
      </c>
      <c r="G2709" s="1">
        <f>Comuni__2[[#This Row],[Popolazione2011]]/Comuni__2[[#This Row],[POPOLAZIONE TOTALE DI OGNI REGIONE (CON FILTRO)]]</f>
        <v>1.1616678264796169E-3</v>
      </c>
      <c r="H2709" t="str">
        <f>IF(Comuni__2[[#This Row],[Popolazione2011]]&gt;300000,"MAGGIORE","")</f>
        <v/>
      </c>
      <c r="J2709">
        <v>9</v>
      </c>
      <c r="K2709">
        <v>5437</v>
      </c>
      <c r="L2709">
        <v>991</v>
      </c>
    </row>
    <row r="2710" spans="1:12" x14ac:dyDescent="0.2">
      <c r="A2710"/>
      <c r="B2710"/>
      <c r="C2710"/>
      <c r="D2710"/>
      <c r="E2710" s="2">
        <f>Comuni__2[[#This Row],[Popolazione2011]]/$D$7911</f>
        <v>1.8965695768329198E-4</v>
      </c>
      <c r="F2710">
        <f>SUMIFS($D$2:$D$7909, $B$2:$B$7909, "Lombardia")</f>
        <v>9704151</v>
      </c>
      <c r="G2710" s="1">
        <f>Comuni__2[[#This Row],[Popolazione2011]]/Comuni__2[[#This Row],[POPOLAZIONE TOTALE DI OGNI REGIONE (CON FILTRO)]]</f>
        <v>1.1613586804244905E-3</v>
      </c>
      <c r="H2710" t="str">
        <f>IF(Comuni__2[[#This Row],[Popolazione2011]]&gt;300000,"MAGGIORE","")</f>
        <v/>
      </c>
      <c r="J2710">
        <v>9</v>
      </c>
      <c r="K2710">
        <v>5474</v>
      </c>
      <c r="L2710">
        <v>991</v>
      </c>
    </row>
    <row r="2711" spans="1:12" x14ac:dyDescent="0.2">
      <c r="A2711"/>
      <c r="B2711"/>
      <c r="C2711"/>
      <c r="D2711"/>
      <c r="E2711" s="2">
        <f>Comuni__2[[#This Row],[Popolazione2011]]/$D$7911</f>
        <v>1.8780582499960412E-4</v>
      </c>
      <c r="F2711">
        <f>SUMIFS($D$2:$D$7909, $B$2:$B$7909, "Lombardia")</f>
        <v>9704151</v>
      </c>
      <c r="G2711" s="1">
        <f>Comuni__2[[#This Row],[Popolazione2011]]/Comuni__2[[#This Row],[POPOLAZIONE TOTALE DI OGNI REGIONE (CON FILTRO)]]</f>
        <v>1.1500233250698593E-3</v>
      </c>
      <c r="H2711" t="str">
        <f>IF(Comuni__2[[#This Row],[Popolazione2011]]&gt;300000,"MAGGIORE","")</f>
        <v/>
      </c>
      <c r="J2711">
        <v>9</v>
      </c>
      <c r="K2711">
        <v>5520</v>
      </c>
      <c r="L2711">
        <v>991</v>
      </c>
    </row>
    <row r="2712" spans="1:12" x14ac:dyDescent="0.2">
      <c r="A2712"/>
      <c r="B2712"/>
      <c r="C2712"/>
      <c r="D2712"/>
      <c r="E2712" s="2">
        <f>Comuni__2[[#This Row],[Popolazione2011]]/$D$7911</f>
        <v>1.8534886707398206E-4</v>
      </c>
      <c r="F2712">
        <f>SUMIFS($D$2:$D$7909, $B$2:$B$7909, "Lombardia")</f>
        <v>9704151</v>
      </c>
      <c r="G2712" s="1">
        <f>Comuni__2[[#This Row],[Popolazione2011]]/Comuni__2[[#This Row],[POPOLAZIONE TOTALE DI OGNI REGIONE (CON FILTRO)]]</f>
        <v>1.1349782170537123E-3</v>
      </c>
      <c r="H2712" t="str">
        <f>IF(Comuni__2[[#This Row],[Popolazione2011]]&gt;300000,"MAGGIORE","")</f>
        <v/>
      </c>
      <c r="J2712">
        <v>8</v>
      </c>
      <c r="K2712">
        <v>5528</v>
      </c>
      <c r="L2712">
        <v>991</v>
      </c>
    </row>
    <row r="2713" spans="1:12" x14ac:dyDescent="0.2">
      <c r="A2713"/>
      <c r="B2713"/>
      <c r="C2713"/>
      <c r="D2713"/>
      <c r="E2713" s="2">
        <f>Comuni__2[[#This Row],[Popolazione2011]]/$D$7911</f>
        <v>1.8494498357935925E-4</v>
      </c>
      <c r="F2713">
        <f>SUMIFS($D$2:$D$7909, $B$2:$B$7909, "Lombardia")</f>
        <v>9704151</v>
      </c>
      <c r="G2713" s="1">
        <f>Comuni__2[[#This Row],[Popolazione2011]]/Comuni__2[[#This Row],[POPOLAZIONE TOTALE DI OGNI REGIONE (CON FILTRO)]]</f>
        <v>1.132505048612702E-3</v>
      </c>
      <c r="H2713" t="str">
        <f>IF(Comuni__2[[#This Row],[Popolazione2011]]&gt;300000,"MAGGIORE","")</f>
        <v/>
      </c>
      <c r="J2713">
        <v>8</v>
      </c>
      <c r="K2713">
        <v>5551</v>
      </c>
      <c r="L2713">
        <v>987</v>
      </c>
    </row>
    <row r="2714" spans="1:12" x14ac:dyDescent="0.2">
      <c r="A2714"/>
      <c r="B2714"/>
      <c r="C2714"/>
      <c r="D2714"/>
      <c r="E2714" s="2">
        <f>Comuni__2[[#This Row],[Popolazione2011]]/$D$7911</f>
        <v>1.8442330073213813E-4</v>
      </c>
      <c r="F2714">
        <f>SUMIFS($D$2:$D$7909, $B$2:$B$7909, "Lombardia")</f>
        <v>9704151</v>
      </c>
      <c r="G2714" s="1">
        <f>Comuni__2[[#This Row],[Popolazione2011]]/Comuni__2[[#This Row],[POPOLAZIONE TOTALE DI OGNI REGIONE (CON FILTRO)]]</f>
        <v>1.1293105393763968E-3</v>
      </c>
      <c r="H2714" t="str">
        <f>IF(Comuni__2[[#This Row],[Popolazione2011]]&gt;300000,"MAGGIORE","")</f>
        <v/>
      </c>
      <c r="J2714">
        <v>8</v>
      </c>
      <c r="K2714">
        <v>5564</v>
      </c>
      <c r="L2714">
        <v>987</v>
      </c>
    </row>
    <row r="2715" spans="1:12" x14ac:dyDescent="0.2">
      <c r="A2715"/>
      <c r="B2715"/>
      <c r="C2715"/>
      <c r="D2715"/>
      <c r="E2715" s="2">
        <f>Comuni__2[[#This Row],[Popolazione2011]]/$D$7911</f>
        <v>1.843896437742529E-4</v>
      </c>
      <c r="F2715">
        <f>SUMIFS($D$2:$D$7909, $B$2:$B$7909, "Lombardia")</f>
        <v>9704151</v>
      </c>
      <c r="G2715" s="1">
        <f>Comuni__2[[#This Row],[Popolazione2011]]/Comuni__2[[#This Row],[POPOLAZIONE TOTALE DI OGNI REGIONE (CON FILTRO)]]</f>
        <v>1.1291044420063125E-3</v>
      </c>
      <c r="H2715" t="str">
        <f>IF(Comuni__2[[#This Row],[Popolazione2011]]&gt;300000,"MAGGIORE","")</f>
        <v/>
      </c>
      <c r="J2715">
        <v>6</v>
      </c>
      <c r="K2715">
        <v>5575</v>
      </c>
      <c r="L2715">
        <v>987</v>
      </c>
    </row>
    <row r="2716" spans="1:12" x14ac:dyDescent="0.2">
      <c r="A2716"/>
      <c r="B2716"/>
      <c r="C2716"/>
      <c r="D2716"/>
      <c r="E2716" s="2">
        <f>Comuni__2[[#This Row],[Popolazione2011]]/$D$7911</f>
        <v>1.8242071173796672E-4</v>
      </c>
      <c r="F2716">
        <f>SUMIFS($D$2:$D$7909, $B$2:$B$7909, "Lombardia")</f>
        <v>9704151</v>
      </c>
      <c r="G2716" s="1">
        <f>Comuni__2[[#This Row],[Popolazione2011]]/Comuni__2[[#This Row],[POPOLAZIONE TOTALE DI OGNI REGIONE (CON FILTRO)]]</f>
        <v>1.1170477458563866E-3</v>
      </c>
      <c r="H2716" t="str">
        <f>IF(Comuni__2[[#This Row],[Popolazione2011]]&gt;300000,"MAGGIORE","")</f>
        <v/>
      </c>
      <c r="J2716">
        <v>5</v>
      </c>
      <c r="K2716">
        <v>5599</v>
      </c>
      <c r="L2716">
        <v>987</v>
      </c>
    </row>
    <row r="2717" spans="1:12" x14ac:dyDescent="0.2">
      <c r="A2717"/>
      <c r="B2717"/>
      <c r="C2717"/>
      <c r="D2717"/>
      <c r="E2717" s="2">
        <f>Comuni__2[[#This Row],[Popolazione2011]]/$D$7911</f>
        <v>1.8206731368017177E-4</v>
      </c>
      <c r="F2717">
        <f>SUMIFS($D$2:$D$7909, $B$2:$B$7909, "Lombardia")</f>
        <v>9704151</v>
      </c>
      <c r="G2717" s="1">
        <f>Comuni__2[[#This Row],[Popolazione2011]]/Comuni__2[[#This Row],[POPOLAZIONE TOTALE DI OGNI REGIONE (CON FILTRO)]]</f>
        <v>1.1148837234705024E-3</v>
      </c>
      <c r="H2717" t="str">
        <f>IF(Comuni__2[[#This Row],[Popolazione2011]]&gt;300000,"MAGGIORE","")</f>
        <v/>
      </c>
      <c r="J2717">
        <v>5</v>
      </c>
      <c r="K2717">
        <v>5609</v>
      </c>
      <c r="L2717">
        <v>987</v>
      </c>
    </row>
    <row r="2718" spans="1:12" x14ac:dyDescent="0.2">
      <c r="A2718"/>
      <c r="B2718"/>
      <c r="C2718"/>
      <c r="D2718"/>
      <c r="E2718" s="2">
        <f>Comuni__2[[#This Row],[Popolazione2011]]/$D$7911</f>
        <v>1.8154563083295065E-4</v>
      </c>
      <c r="F2718">
        <f>SUMIFS($D$2:$D$7909, $B$2:$B$7909, "Lombardia")</f>
        <v>9704151</v>
      </c>
      <c r="G2718" s="1">
        <f>Comuni__2[[#This Row],[Popolazione2011]]/Comuni__2[[#This Row],[POPOLAZIONE TOTALE DI OGNI REGIONE (CON FILTRO)]]</f>
        <v>1.1116892142341973E-3</v>
      </c>
      <c r="H2718" t="str">
        <f>IF(Comuni__2[[#This Row],[Popolazione2011]]&gt;300000,"MAGGIORE","")</f>
        <v/>
      </c>
      <c r="J2718">
        <v>5</v>
      </c>
      <c r="K2718">
        <v>5614</v>
      </c>
      <c r="L2718">
        <v>987</v>
      </c>
    </row>
    <row r="2719" spans="1:12" x14ac:dyDescent="0.2">
      <c r="A2719"/>
      <c r="B2719"/>
      <c r="C2719"/>
      <c r="D2719"/>
      <c r="E2719" s="2">
        <f>Comuni__2[[#This Row],[Popolazione2011]]/$D$7911</f>
        <v>1.8139417452246709E-4</v>
      </c>
      <c r="F2719">
        <f>SUMIFS($D$2:$D$7909, $B$2:$B$7909, "Lombardia")</f>
        <v>9704151</v>
      </c>
      <c r="G2719" s="1">
        <f>Comuni__2[[#This Row],[Popolazione2011]]/Comuni__2[[#This Row],[POPOLAZIONE TOTALE DI OGNI REGIONE (CON FILTRO)]]</f>
        <v>1.1107617760688184E-3</v>
      </c>
      <c r="H2719" t="str">
        <f>IF(Comuni__2[[#This Row],[Popolazione2011]]&gt;300000,"MAGGIORE","")</f>
        <v/>
      </c>
      <c r="J2719">
        <v>5</v>
      </c>
      <c r="K2719">
        <v>5619</v>
      </c>
      <c r="L2719">
        <v>987</v>
      </c>
    </row>
    <row r="2720" spans="1:12" x14ac:dyDescent="0.2">
      <c r="A2720"/>
      <c r="B2720"/>
      <c r="C2720"/>
      <c r="D2720"/>
      <c r="E2720" s="2">
        <f>Comuni__2[[#This Row],[Popolazione2011]]/$D$7911</f>
        <v>1.8099029102784428E-4</v>
      </c>
      <c r="F2720">
        <f>SUMIFS($D$2:$D$7909, $B$2:$B$7909, "Lombardia")</f>
        <v>9704151</v>
      </c>
      <c r="G2720" s="1">
        <f>Comuni__2[[#This Row],[Popolazione2011]]/Comuni__2[[#This Row],[POPOLAZIONE TOTALE DI OGNI REGIONE (CON FILTRO)]]</f>
        <v>1.1082886076278079E-3</v>
      </c>
      <c r="H2720" t="str">
        <f>IF(Comuni__2[[#This Row],[Popolazione2011]]&gt;300000,"MAGGIORE","")</f>
        <v/>
      </c>
      <c r="J2720">
        <v>5</v>
      </c>
      <c r="K2720">
        <v>5623</v>
      </c>
      <c r="L2720">
        <v>987</v>
      </c>
    </row>
    <row r="2721" spans="1:12" x14ac:dyDescent="0.2">
      <c r="A2721"/>
      <c r="B2721"/>
      <c r="C2721"/>
      <c r="D2721"/>
      <c r="E2721" s="2">
        <f>Comuni__2[[#This Row],[Popolazione2011]]/$D$7911</f>
        <v>1.7831456287596819E-4</v>
      </c>
      <c r="F2721">
        <f>SUMIFS($D$2:$D$7909, $B$2:$B$7909, "Lombardia")</f>
        <v>9704151</v>
      </c>
      <c r="G2721" s="1">
        <f>Comuni__2[[#This Row],[Popolazione2011]]/Comuni__2[[#This Row],[POPOLAZIONE TOTALE DI OGNI REGIONE (CON FILTRO)]]</f>
        <v>1.0919038667061137E-3</v>
      </c>
      <c r="H2721" t="str">
        <f>IF(Comuni__2[[#This Row],[Popolazione2011]]&gt;300000,"MAGGIORE","")</f>
        <v/>
      </c>
      <c r="J2721">
        <v>5</v>
      </c>
      <c r="K2721">
        <v>5638</v>
      </c>
      <c r="L2721">
        <v>987</v>
      </c>
    </row>
    <row r="2722" spans="1:12" x14ac:dyDescent="0.2">
      <c r="A2722"/>
      <c r="B2722"/>
      <c r="C2722"/>
      <c r="D2722"/>
      <c r="E2722" s="2">
        <f>Comuni__2[[#This Row],[Popolazione2011]]/$D$7911</f>
        <v>1.780116502550011E-4</v>
      </c>
      <c r="F2722">
        <f>SUMIFS($D$2:$D$7909, $B$2:$B$7909, "Lombardia")</f>
        <v>9704151</v>
      </c>
      <c r="G2722" s="1">
        <f>Comuni__2[[#This Row],[Popolazione2011]]/Comuni__2[[#This Row],[POPOLAZIONE TOTALE DI OGNI REGIONE (CON FILTRO)]]</f>
        <v>1.0900489903753559E-3</v>
      </c>
      <c r="H2722" t="str">
        <f>IF(Comuni__2[[#This Row],[Popolazione2011]]&gt;300000,"MAGGIORE","")</f>
        <v/>
      </c>
      <c r="J2722">
        <v>4</v>
      </c>
      <c r="K2722">
        <v>5644</v>
      </c>
      <c r="L2722">
        <v>987</v>
      </c>
    </row>
    <row r="2723" spans="1:12" x14ac:dyDescent="0.2">
      <c r="A2723"/>
      <c r="B2723"/>
      <c r="C2723"/>
      <c r="D2723"/>
      <c r="E2723" s="2">
        <f>Comuni__2[[#This Row],[Popolazione2011]]/$D$7911</f>
        <v>1.7762459523932092E-4</v>
      </c>
      <c r="F2723">
        <f>SUMIFS($D$2:$D$7909, $B$2:$B$7909, "Lombardia")</f>
        <v>9704151</v>
      </c>
      <c r="G2723" s="1">
        <f>Comuni__2[[#This Row],[Popolazione2011]]/Comuni__2[[#This Row],[POPOLAZIONE TOTALE DI OGNI REGIONE (CON FILTRO)]]</f>
        <v>1.0876788706193875E-3</v>
      </c>
      <c r="H2723" t="str">
        <f>IF(Comuni__2[[#This Row],[Popolazione2011]]&gt;300000,"MAGGIORE","")</f>
        <v/>
      </c>
      <c r="J2723">
        <v>4</v>
      </c>
      <c r="K2723">
        <v>5647</v>
      </c>
      <c r="L2723">
        <v>987</v>
      </c>
    </row>
    <row r="2724" spans="1:12" x14ac:dyDescent="0.2">
      <c r="A2724"/>
      <c r="B2724"/>
      <c r="C2724"/>
      <c r="D2724"/>
      <c r="E2724" s="2">
        <f>Comuni__2[[#This Row],[Popolazione2011]]/$D$7911</f>
        <v>1.7737216805518166E-4</v>
      </c>
      <c r="F2724">
        <f>SUMIFS($D$2:$D$7909, $B$2:$B$7909, "Lombardia")</f>
        <v>9704151</v>
      </c>
      <c r="G2724" s="1">
        <f>Comuni__2[[#This Row],[Popolazione2011]]/Comuni__2[[#This Row],[POPOLAZIONE TOTALE DI OGNI REGIONE (CON FILTRO)]]</f>
        <v>1.0861331403437559E-3</v>
      </c>
      <c r="H2724" t="str">
        <f>IF(Comuni__2[[#This Row],[Popolazione2011]]&gt;300000,"MAGGIORE","")</f>
        <v/>
      </c>
      <c r="J2724">
        <v>4</v>
      </c>
      <c r="K2724">
        <v>5650</v>
      </c>
      <c r="L2724">
        <v>987</v>
      </c>
    </row>
    <row r="2725" spans="1:12" x14ac:dyDescent="0.2">
      <c r="A2725"/>
      <c r="B2725"/>
      <c r="C2725"/>
      <c r="D2725"/>
      <c r="E2725" s="2">
        <f>Comuni__2[[#This Row],[Popolazione2011]]/$D$7911</f>
        <v>1.7579029103457567E-4</v>
      </c>
      <c r="F2725">
        <f>SUMIFS($D$2:$D$7909, $B$2:$B$7909, "Lombardia")</f>
        <v>9704151</v>
      </c>
      <c r="G2725" s="1">
        <f>Comuni__2[[#This Row],[Popolazione2011]]/Comuni__2[[#This Row],[POPOLAZIONE TOTALE DI OGNI REGIONE (CON FILTRO)]]</f>
        <v>1.0764465639497983E-3</v>
      </c>
      <c r="H2725" t="str">
        <f>IF(Comuni__2[[#This Row],[Popolazione2011]]&gt;300000,"MAGGIORE","")</f>
        <v/>
      </c>
      <c r="J2725">
        <v>4</v>
      </c>
      <c r="K2725">
        <v>5658</v>
      </c>
      <c r="L2725">
        <v>987</v>
      </c>
    </row>
    <row r="2726" spans="1:12" x14ac:dyDescent="0.2">
      <c r="A2726"/>
      <c r="B2726"/>
      <c r="C2726"/>
      <c r="D2726"/>
      <c r="E2726" s="2">
        <f>Comuni__2[[#This Row],[Popolazione2011]]/$D$7911</f>
        <v>1.7520129427158409E-4</v>
      </c>
      <c r="F2726">
        <f>SUMIFS($D$2:$D$7909, $B$2:$B$7909, "Lombardia")</f>
        <v>9704151</v>
      </c>
      <c r="G2726" s="1">
        <f>Comuni__2[[#This Row],[Popolazione2011]]/Comuni__2[[#This Row],[POPOLAZIONE TOTALE DI OGNI REGIONE (CON FILTRO)]]</f>
        <v>1.0728398599733249E-3</v>
      </c>
      <c r="H2726" t="str">
        <f>IF(Comuni__2[[#This Row],[Popolazione2011]]&gt;300000,"MAGGIORE","")</f>
        <v/>
      </c>
      <c r="J2726">
        <v>4</v>
      </c>
      <c r="K2726">
        <v>5658</v>
      </c>
      <c r="L2726">
        <v>987</v>
      </c>
    </row>
    <row r="2727" spans="1:12" x14ac:dyDescent="0.2">
      <c r="A2727"/>
      <c r="B2727"/>
      <c r="C2727"/>
      <c r="D2727"/>
      <c r="E2727" s="2">
        <f>Comuni__2[[#This Row],[Popolazione2011]]/$D$7911</f>
        <v>1.7439352728233849E-4</v>
      </c>
      <c r="F2727">
        <f>SUMIFS($D$2:$D$7909, $B$2:$B$7909, "Lombardia")</f>
        <v>9704151</v>
      </c>
      <c r="G2727" s="1">
        <f>Comuni__2[[#This Row],[Popolazione2011]]/Comuni__2[[#This Row],[POPOLAZIONE TOTALE DI OGNI REGIONE (CON FILTRO)]]</f>
        <v>1.0678935230913039E-3</v>
      </c>
      <c r="H2727" t="str">
        <f>IF(Comuni__2[[#This Row],[Popolazione2011]]&gt;300000,"MAGGIORE","")</f>
        <v/>
      </c>
      <c r="J2727">
        <v>4</v>
      </c>
      <c r="K2727">
        <v>5661</v>
      </c>
      <c r="L2727">
        <v>987</v>
      </c>
    </row>
    <row r="2728" spans="1:12" x14ac:dyDescent="0.2">
      <c r="A2728"/>
      <c r="B2728"/>
      <c r="C2728"/>
      <c r="D2728"/>
      <c r="E2728" s="2">
        <f>Comuni__2[[#This Row],[Popolazione2011]]/$D$7911</f>
        <v>1.7417475705608446E-4</v>
      </c>
      <c r="F2728">
        <f>SUMIFS($D$2:$D$7909, $B$2:$B$7909, "Lombardia")</f>
        <v>9704151</v>
      </c>
      <c r="G2728" s="1">
        <f>Comuni__2[[#This Row],[Popolazione2011]]/Comuni__2[[#This Row],[POPOLAZIONE TOTALE DI OGNI REGIONE (CON FILTRO)]]</f>
        <v>1.0665538901857565E-3</v>
      </c>
      <c r="H2728" t="str">
        <f>IF(Comuni__2[[#This Row],[Popolazione2011]]&gt;300000,"MAGGIORE","")</f>
        <v/>
      </c>
      <c r="J2728">
        <v>4</v>
      </c>
      <c r="K2728">
        <v>5663</v>
      </c>
      <c r="L2728">
        <v>987</v>
      </c>
    </row>
    <row r="2729" spans="1:12" x14ac:dyDescent="0.2">
      <c r="A2729"/>
      <c r="B2729"/>
      <c r="C2729"/>
      <c r="D2729"/>
      <c r="E2729" s="2">
        <f>Comuni__2[[#This Row],[Popolazione2011]]/$D$7911</f>
        <v>1.7393915835088781E-4</v>
      </c>
      <c r="F2729">
        <f>SUMIFS($D$2:$D$7909, $B$2:$B$7909, "Lombardia")</f>
        <v>9704151</v>
      </c>
      <c r="G2729" s="1">
        <f>Comuni__2[[#This Row],[Popolazione2011]]/Comuni__2[[#This Row],[POPOLAZIONE TOTALE DI OGNI REGIONE (CON FILTRO)]]</f>
        <v>1.0651112085951671E-3</v>
      </c>
      <c r="H2729" t="str">
        <f>IF(Comuni__2[[#This Row],[Popolazione2011]]&gt;300000,"MAGGIORE","")</f>
        <v/>
      </c>
      <c r="J2729">
        <v>4</v>
      </c>
      <c r="K2729">
        <v>5667</v>
      </c>
      <c r="L2729">
        <v>987</v>
      </c>
    </row>
    <row r="2730" spans="1:12" x14ac:dyDescent="0.2">
      <c r="A2730"/>
      <c r="B2730"/>
      <c r="C2730"/>
      <c r="D2730"/>
      <c r="E2730" s="2">
        <f>Comuni__2[[#This Row],[Popolazione2011]]/$D$7911</f>
        <v>1.7336699006683884E-4</v>
      </c>
      <c r="F2730">
        <f>SUMIFS($D$2:$D$7909, $B$2:$B$7909, "Lombardia")</f>
        <v>9704151</v>
      </c>
      <c r="G2730" s="1">
        <f>Comuni__2[[#This Row],[Popolazione2011]]/Comuni__2[[#This Row],[POPOLAZIONE TOTALE DI OGNI REGIONE (CON FILTRO)]]</f>
        <v>1.0616075533037357E-3</v>
      </c>
      <c r="H2730" t="str">
        <f>IF(Comuni__2[[#This Row],[Popolazione2011]]&gt;300000,"MAGGIORE","")</f>
        <v/>
      </c>
      <c r="J2730">
        <v>3</v>
      </c>
      <c r="K2730">
        <v>5670</v>
      </c>
      <c r="L2730">
        <v>987</v>
      </c>
    </row>
    <row r="2731" spans="1:12" x14ac:dyDescent="0.2">
      <c r="A2731"/>
      <c r="B2731"/>
      <c r="C2731"/>
      <c r="D2731"/>
      <c r="E2731" s="2">
        <f>Comuni__2[[#This Row],[Popolazione2011]]/$D$7911</f>
        <v>1.7318187679847007E-4</v>
      </c>
      <c r="F2731">
        <f>SUMIFS($D$2:$D$7909, $B$2:$B$7909, "Lombardia")</f>
        <v>9704151</v>
      </c>
      <c r="G2731" s="1">
        <f>Comuni__2[[#This Row],[Popolazione2011]]/Comuni__2[[#This Row],[POPOLAZIONE TOTALE DI OGNI REGIONE (CON FILTRO)]]</f>
        <v>1.0604740177682726E-3</v>
      </c>
      <c r="H2731" t="str">
        <f>IF(Comuni__2[[#This Row],[Popolazione2011]]&gt;300000,"MAGGIORE","")</f>
        <v/>
      </c>
      <c r="J2731">
        <v>3</v>
      </c>
      <c r="K2731">
        <v>5674</v>
      </c>
      <c r="L2731">
        <v>987</v>
      </c>
    </row>
    <row r="2732" spans="1:12" x14ac:dyDescent="0.2">
      <c r="A2732"/>
      <c r="B2732"/>
      <c r="C2732"/>
      <c r="D2732"/>
      <c r="E2732" s="2">
        <f>Comuni__2[[#This Row],[Popolazione2011]]/$D$7911</f>
        <v>1.7314821984058484E-4</v>
      </c>
      <c r="F2732">
        <f>SUMIFS($D$2:$D$7909, $B$2:$B$7909, "Lombardia")</f>
        <v>9704151</v>
      </c>
      <c r="G2732" s="1">
        <f>Comuni__2[[#This Row],[Popolazione2011]]/Comuni__2[[#This Row],[POPOLAZIONE TOTALE DI OGNI REGIONE (CON FILTRO)]]</f>
        <v>1.0602679203981884E-3</v>
      </c>
      <c r="H2732" t="str">
        <f>IF(Comuni__2[[#This Row],[Popolazione2011]]&gt;300000,"MAGGIORE","")</f>
        <v/>
      </c>
      <c r="J2732">
        <v>3</v>
      </c>
      <c r="K2732">
        <v>5678</v>
      </c>
      <c r="L2732">
        <v>987</v>
      </c>
    </row>
    <row r="2733" spans="1:12" x14ac:dyDescent="0.2">
      <c r="A2733"/>
      <c r="B2733"/>
      <c r="C2733"/>
      <c r="D2733"/>
      <c r="E2733" s="2">
        <f>Comuni__2[[#This Row],[Popolazione2011]]/$D$7911</f>
        <v>1.6976569557311885E-4</v>
      </c>
      <c r="F2733">
        <f>SUMIFS($D$2:$D$7909, $B$2:$B$7909, "Lombardia")</f>
        <v>9704151</v>
      </c>
      <c r="G2733" s="1">
        <f>Comuni__2[[#This Row],[Popolazione2011]]/Comuni__2[[#This Row],[POPOLAZIONE TOTALE DI OGNI REGIONE (CON FILTRO)]]</f>
        <v>1.0395551347047258E-3</v>
      </c>
      <c r="H2733" t="str">
        <f>IF(Comuni__2[[#This Row],[Popolazione2011]]&gt;300000,"MAGGIORE","")</f>
        <v/>
      </c>
      <c r="J2733">
        <v>3</v>
      </c>
      <c r="K2733">
        <v>5682</v>
      </c>
      <c r="L2733">
        <v>987</v>
      </c>
    </row>
    <row r="2734" spans="1:12" x14ac:dyDescent="0.2">
      <c r="A2734"/>
      <c r="B2734"/>
      <c r="C2734"/>
      <c r="D2734"/>
      <c r="E2734" s="2">
        <f>Comuni__2[[#This Row],[Popolazione2011]]/$D$7911</f>
        <v>1.6958058230475006E-4</v>
      </c>
      <c r="F2734">
        <f>SUMIFS($D$2:$D$7909, $B$2:$B$7909, "Lombardia")</f>
        <v>9704151</v>
      </c>
      <c r="G2734" s="1">
        <f>Comuni__2[[#This Row],[Popolazione2011]]/Comuni__2[[#This Row],[POPOLAZIONE TOTALE DI OGNI REGIONE (CON FILTRO)]]</f>
        <v>1.0384215991692627E-3</v>
      </c>
      <c r="H2734" t="str">
        <f>IF(Comuni__2[[#This Row],[Popolazione2011]]&gt;300000,"MAGGIORE","")</f>
        <v/>
      </c>
      <c r="J2734">
        <v>3</v>
      </c>
      <c r="K2734">
        <v>5687</v>
      </c>
      <c r="L2734">
        <v>987</v>
      </c>
    </row>
    <row r="2735" spans="1:12" x14ac:dyDescent="0.2">
      <c r="A2735"/>
      <c r="B2735"/>
      <c r="C2735"/>
      <c r="D2735"/>
      <c r="E2735" s="2">
        <f>Comuni__2[[#This Row],[Popolazione2011]]/$D$7911</f>
        <v>1.6884012923127492E-4</v>
      </c>
      <c r="F2735">
        <f>SUMIFS($D$2:$D$7909, $B$2:$B$7909, "Lombardia")</f>
        <v>9704151</v>
      </c>
      <c r="G2735" s="1">
        <f>Comuni__2[[#This Row],[Popolazione2011]]/Comuni__2[[#This Row],[POPOLAZIONE TOTALE DI OGNI REGIONE (CON FILTRO)]]</f>
        <v>1.0338874570274103E-3</v>
      </c>
      <c r="H2735" t="str">
        <f>IF(Comuni__2[[#This Row],[Popolazione2011]]&gt;300000,"MAGGIORE","")</f>
        <v/>
      </c>
      <c r="J2735">
        <v>3</v>
      </c>
      <c r="K2735">
        <v>5691</v>
      </c>
      <c r="L2735">
        <v>987</v>
      </c>
    </row>
    <row r="2736" spans="1:12" x14ac:dyDescent="0.2">
      <c r="A2736"/>
      <c r="B2736"/>
      <c r="C2736"/>
      <c r="D2736"/>
      <c r="E2736" s="2">
        <f>Comuni__2[[#This Row],[Popolazione2011]]/$D$7911</f>
        <v>1.6801553376308669E-4</v>
      </c>
      <c r="F2736">
        <f>SUMIFS($D$2:$D$7909, $B$2:$B$7909, "Lombardia")</f>
        <v>9704151</v>
      </c>
      <c r="G2736" s="1">
        <f>Comuni__2[[#This Row],[Popolazione2011]]/Comuni__2[[#This Row],[POPOLAZIONE TOTALE DI OGNI REGIONE (CON FILTRO)]]</f>
        <v>1.0288380714603472E-3</v>
      </c>
      <c r="H2736" t="str">
        <f>IF(Comuni__2[[#This Row],[Popolazione2011]]&gt;300000,"MAGGIORE","")</f>
        <v/>
      </c>
      <c r="J2736">
        <v>3</v>
      </c>
      <c r="K2736">
        <v>5697</v>
      </c>
      <c r="L2736">
        <v>987</v>
      </c>
    </row>
    <row r="2737" spans="1:12" x14ac:dyDescent="0.2">
      <c r="A2737"/>
      <c r="B2737"/>
      <c r="C2737"/>
      <c r="D2737"/>
      <c r="E2737" s="2">
        <f>Comuni__2[[#This Row],[Popolazione2011]]/$D$7911</f>
        <v>1.6697216806864444E-4</v>
      </c>
      <c r="F2737">
        <f>SUMIFS($D$2:$D$7909, $B$2:$B$7909, "Lombardia")</f>
        <v>9704151</v>
      </c>
      <c r="G2737" s="1">
        <f>Comuni__2[[#This Row],[Popolazione2011]]/Comuni__2[[#This Row],[POPOLAZIONE TOTALE DI OGNI REGIONE (CON FILTRO)]]</f>
        <v>1.022449052987737E-3</v>
      </c>
      <c r="H2737" t="str">
        <f>IF(Comuni__2[[#This Row],[Popolazione2011]]&gt;300000,"MAGGIORE","")</f>
        <v/>
      </c>
      <c r="J2737">
        <v>4</v>
      </c>
      <c r="K2737">
        <v>5702</v>
      </c>
      <c r="L2737">
        <v>987</v>
      </c>
    </row>
    <row r="2738" spans="1:12" x14ac:dyDescent="0.2">
      <c r="A2738"/>
      <c r="B2738"/>
      <c r="C2738"/>
      <c r="D2738"/>
      <c r="E2738" s="2">
        <f>Comuni__2[[#This Row],[Popolazione2011]]/$D$7911</f>
        <v>1.6576051758477602E-4</v>
      </c>
      <c r="F2738">
        <f>SUMIFS($D$2:$D$7909, $B$2:$B$7909, "Lombardia")</f>
        <v>9704151</v>
      </c>
      <c r="G2738" s="1">
        <f>Comuni__2[[#This Row],[Popolazione2011]]/Comuni__2[[#This Row],[POPOLAZIONE TOTALE DI OGNI REGIONE (CON FILTRO)]]</f>
        <v>1.0150295476647054E-3</v>
      </c>
      <c r="H2738" t="str">
        <f>IF(Comuni__2[[#This Row],[Popolazione2011]]&gt;300000,"MAGGIORE","")</f>
        <v/>
      </c>
      <c r="J2738">
        <v>4</v>
      </c>
      <c r="K2738">
        <v>5716</v>
      </c>
      <c r="L2738">
        <v>987</v>
      </c>
    </row>
    <row r="2739" spans="1:12" x14ac:dyDescent="0.2">
      <c r="A2739"/>
      <c r="B2739"/>
      <c r="C2739"/>
      <c r="D2739"/>
      <c r="E2739" s="2">
        <f>Comuni__2[[#This Row],[Popolazione2011]]/$D$7911</f>
        <v>1.6550809040063677E-4</v>
      </c>
      <c r="F2739">
        <f>SUMIFS($D$2:$D$7909, $B$2:$B$7909, "Lombardia")</f>
        <v>9704151</v>
      </c>
      <c r="G2739" s="1">
        <f>Comuni__2[[#This Row],[Popolazione2011]]/Comuni__2[[#This Row],[POPOLAZIONE TOTALE DI OGNI REGIONE (CON FILTRO)]]</f>
        <v>1.0134838173890741E-3</v>
      </c>
      <c r="H2739" t="str">
        <f>IF(Comuni__2[[#This Row],[Popolazione2011]]&gt;300000,"MAGGIORE","")</f>
        <v/>
      </c>
      <c r="J2739">
        <v>5</v>
      </c>
      <c r="K2739">
        <v>5728</v>
      </c>
      <c r="L2739">
        <v>987</v>
      </c>
    </row>
    <row r="2740" spans="1:12" x14ac:dyDescent="0.2">
      <c r="A2740"/>
      <c r="B2740"/>
      <c r="C2740"/>
      <c r="D2740"/>
      <c r="E2740" s="2">
        <f>Comuni__2[[#This Row],[Popolazione2011]]/$D$7911</f>
        <v>1.6476763732716163E-4</v>
      </c>
      <c r="F2740">
        <f>SUMIFS($D$2:$D$7909, $B$2:$B$7909, "Lombardia")</f>
        <v>9704151</v>
      </c>
      <c r="G2740" s="1">
        <f>Comuni__2[[#This Row],[Popolazione2011]]/Comuni__2[[#This Row],[POPOLAZIONE TOTALE DI OGNI REGIONE (CON FILTRO)]]</f>
        <v>1.0089496752472215E-3</v>
      </c>
      <c r="H2740" t="str">
        <f>IF(Comuni__2[[#This Row],[Popolazione2011]]&gt;300000,"MAGGIORE","")</f>
        <v/>
      </c>
      <c r="J2740">
        <v>4</v>
      </c>
      <c r="K2740">
        <v>5731</v>
      </c>
      <c r="L2740">
        <v>987</v>
      </c>
    </row>
    <row r="2741" spans="1:12" x14ac:dyDescent="0.2">
      <c r="A2741"/>
      <c r="B2741"/>
      <c r="C2741"/>
      <c r="D2741"/>
      <c r="E2741" s="2">
        <f>Comuni__2[[#This Row],[Popolazione2011]]/$D$7911</f>
        <v>1.6456569557985024E-4</v>
      </c>
      <c r="F2741">
        <f>SUMIFS($D$2:$D$7909, $B$2:$B$7909, "Lombardia")</f>
        <v>9704151</v>
      </c>
      <c r="G2741" s="1">
        <f>Comuni__2[[#This Row],[Popolazione2011]]/Comuni__2[[#This Row],[POPOLAZIONE TOTALE DI OGNI REGIONE (CON FILTRO)]]</f>
        <v>1.0077130910267163E-3</v>
      </c>
      <c r="H2741" t="str">
        <f>IF(Comuni__2[[#This Row],[Popolazione2011]]&gt;300000,"MAGGIORE","")</f>
        <v/>
      </c>
      <c r="J2741">
        <v>5</v>
      </c>
      <c r="K2741">
        <v>5738</v>
      </c>
      <c r="L2741">
        <v>987</v>
      </c>
    </row>
    <row r="2742" spans="1:12" x14ac:dyDescent="0.2">
      <c r="A2742"/>
      <c r="B2742"/>
      <c r="C2742"/>
      <c r="D2742"/>
      <c r="E2742" s="2">
        <f>Comuni__2[[#This Row],[Popolazione2011]]/$D$7911</f>
        <v>1.6247896419096576E-4</v>
      </c>
      <c r="F2742">
        <f>SUMIFS($D$2:$D$7909, $B$2:$B$7909, "Lombardia")</f>
        <v>9704151</v>
      </c>
      <c r="G2742" s="1">
        <f>Comuni__2[[#This Row],[Popolazione2011]]/Comuni__2[[#This Row],[POPOLAZIONE TOTALE DI OGNI REGIONE (CON FILTRO)]]</f>
        <v>9.9493505408149554E-4</v>
      </c>
      <c r="H2742" t="str">
        <f>IF(Comuni__2[[#This Row],[Popolazione2011]]&gt;300000,"MAGGIORE","")</f>
        <v/>
      </c>
      <c r="J2742">
        <v>6</v>
      </c>
      <c r="K2742">
        <v>5746</v>
      </c>
      <c r="L2742">
        <v>987</v>
      </c>
    </row>
    <row r="2743" spans="1:12" x14ac:dyDescent="0.2">
      <c r="A2743"/>
      <c r="B2743"/>
      <c r="C2743"/>
      <c r="D2743"/>
      <c r="E2743" s="2">
        <f>Comuni__2[[#This Row],[Popolazione2011]]/$D$7911</f>
        <v>1.6175533959643322E-4</v>
      </c>
      <c r="F2743">
        <f>SUMIFS($D$2:$D$7909, $B$2:$B$7909, "Lombardia")</f>
        <v>9704151</v>
      </c>
      <c r="G2743" s="1">
        <f>Comuni__2[[#This Row],[Popolazione2011]]/Comuni__2[[#This Row],[POPOLAZIONE TOTALE DI OGNI REGIONE (CON FILTRO)]]</f>
        <v>9.9050396062468527E-4</v>
      </c>
      <c r="H2743" t="str">
        <f>IF(Comuni__2[[#This Row],[Popolazione2011]]&gt;300000,"MAGGIORE","")</f>
        <v/>
      </c>
      <c r="J2743">
        <v>6</v>
      </c>
      <c r="K2743">
        <v>5750</v>
      </c>
      <c r="L2743">
        <v>987</v>
      </c>
    </row>
    <row r="2744" spans="1:12" x14ac:dyDescent="0.2">
      <c r="A2744"/>
      <c r="B2744"/>
      <c r="C2744"/>
      <c r="D2744"/>
      <c r="E2744" s="2">
        <f>Comuni__2[[#This Row],[Popolazione2011]]/$D$7911</f>
        <v>1.6103171500190069E-4</v>
      </c>
      <c r="F2744">
        <f>SUMIFS($D$2:$D$7909, $B$2:$B$7909, "Lombardia")</f>
        <v>9704151</v>
      </c>
      <c r="G2744" s="1">
        <f>Comuni__2[[#This Row],[Popolazione2011]]/Comuni__2[[#This Row],[POPOLAZIONE TOTALE DI OGNI REGIONE (CON FILTRO)]]</f>
        <v>9.8607286716787478E-4</v>
      </c>
      <c r="H2744" t="str">
        <f>IF(Comuni__2[[#This Row],[Popolazione2011]]&gt;300000,"MAGGIORE","")</f>
        <v/>
      </c>
      <c r="J2744">
        <v>8</v>
      </c>
      <c r="K2744">
        <v>5758</v>
      </c>
      <c r="L2744">
        <v>987</v>
      </c>
    </row>
    <row r="2745" spans="1:12" x14ac:dyDescent="0.2">
      <c r="A2745"/>
      <c r="B2745"/>
      <c r="C2745"/>
      <c r="D2745"/>
      <c r="E2745" s="2">
        <f>Comuni__2[[#This Row],[Popolazione2011]]/$D$7911</f>
        <v>1.6069514542304836E-4</v>
      </c>
      <c r="F2745">
        <f>SUMIFS($D$2:$D$7909, $B$2:$B$7909, "Lombardia")</f>
        <v>9704151</v>
      </c>
      <c r="G2745" s="1">
        <f>Comuni__2[[#This Row],[Popolazione2011]]/Comuni__2[[#This Row],[POPOLAZIONE TOTALE DI OGNI REGIONE (CON FILTRO)]]</f>
        <v>9.8401189346703291E-4</v>
      </c>
      <c r="H2745" t="str">
        <f>IF(Comuni__2[[#This Row],[Popolazione2011]]&gt;300000,"MAGGIORE","")</f>
        <v/>
      </c>
      <c r="J2745">
        <v>11</v>
      </c>
      <c r="K2745">
        <v>5763</v>
      </c>
      <c r="L2745">
        <v>987</v>
      </c>
    </row>
    <row r="2746" spans="1:12" x14ac:dyDescent="0.2">
      <c r="A2746"/>
      <c r="B2746"/>
      <c r="C2746"/>
      <c r="D2746"/>
      <c r="E2746" s="2">
        <f>Comuni__2[[#This Row],[Popolazione2011]]/$D$7911</f>
        <v>1.5997152082851583E-4</v>
      </c>
      <c r="F2746">
        <f>SUMIFS($D$2:$D$7909, $B$2:$B$7909, "Lombardia")</f>
        <v>9704151</v>
      </c>
      <c r="G2746" s="1">
        <f>Comuni__2[[#This Row],[Popolazione2011]]/Comuni__2[[#This Row],[POPOLAZIONE TOTALE DI OGNI REGIONE (CON FILTRO)]]</f>
        <v>9.7958080001022243E-4</v>
      </c>
      <c r="H2746" t="str">
        <f>IF(Comuni__2[[#This Row],[Popolazione2011]]&gt;300000,"MAGGIORE","")</f>
        <v/>
      </c>
      <c r="J2746">
        <v>13</v>
      </c>
      <c r="K2746">
        <v>5770</v>
      </c>
      <c r="L2746">
        <v>987</v>
      </c>
    </row>
    <row r="2747" spans="1:12" x14ac:dyDescent="0.2">
      <c r="A2747"/>
      <c r="B2747"/>
      <c r="C2747"/>
      <c r="D2747"/>
      <c r="E2747" s="2">
        <f>Comuni__2[[#This Row],[Popolazione2011]]/$D$7911</f>
        <v>1.5864207099204909E-4</v>
      </c>
      <c r="F2747">
        <f>SUMIFS($D$2:$D$7909, $B$2:$B$7909, "Lombardia")</f>
        <v>9704151</v>
      </c>
      <c r="G2747" s="1">
        <f>Comuni__2[[#This Row],[Popolazione2011]]/Comuni__2[[#This Row],[POPOLAZIONE TOTALE DI OGNI REGIONE (CON FILTRO)]]</f>
        <v>9.714399538918964E-4</v>
      </c>
      <c r="H2747" t="str">
        <f>IF(Comuni__2[[#This Row],[Popolazione2011]]&gt;300000,"MAGGIORE","")</f>
        <v/>
      </c>
      <c r="J2747">
        <v>15</v>
      </c>
      <c r="K2747">
        <v>5773</v>
      </c>
      <c r="L2747">
        <v>987</v>
      </c>
    </row>
    <row r="2748" spans="1:12" x14ac:dyDescent="0.2">
      <c r="A2748"/>
      <c r="B2748"/>
      <c r="C2748"/>
      <c r="D2748"/>
      <c r="E2748" s="2">
        <f>Comuni__2[[#This Row],[Popolazione2011]]/$D$7911</f>
        <v>1.5608414219277133E-4</v>
      </c>
      <c r="F2748">
        <f>SUMIFS($D$2:$D$7909, $B$2:$B$7909, "Lombardia")</f>
        <v>9704151</v>
      </c>
      <c r="G2748" s="1">
        <f>Comuni__2[[#This Row],[Popolazione2011]]/Comuni__2[[#This Row],[POPOLAZIONE TOTALE DI OGNI REGIONE (CON FILTRO)]]</f>
        <v>9.5577655376549687E-4</v>
      </c>
      <c r="H2748" t="str">
        <f>IF(Comuni__2[[#This Row],[Popolazione2011]]&gt;300000,"MAGGIORE","")</f>
        <v/>
      </c>
      <c r="J2748">
        <v>15</v>
      </c>
      <c r="K2748">
        <v>5781</v>
      </c>
      <c r="L2748">
        <v>987</v>
      </c>
    </row>
    <row r="2749" spans="1:12" x14ac:dyDescent="0.2">
      <c r="A2749"/>
      <c r="B2749"/>
      <c r="C2749"/>
      <c r="D2749"/>
      <c r="E2749" s="2">
        <f>Comuni__2[[#This Row],[Popolazione2011]]/$D$7911</f>
        <v>1.5591585740334517E-4</v>
      </c>
      <c r="F2749">
        <f>SUMIFS($D$2:$D$7909, $B$2:$B$7909, "Lombardia")</f>
        <v>9704151</v>
      </c>
      <c r="G2749" s="1">
        <f>Comuni__2[[#This Row],[Popolazione2011]]/Comuni__2[[#This Row],[POPOLAZIONE TOTALE DI OGNI REGIONE (CON FILTRO)]]</f>
        <v>9.5474606691507583E-4</v>
      </c>
      <c r="H2749" t="str">
        <f>IF(Comuni__2[[#This Row],[Popolazione2011]]&gt;300000,"MAGGIORE","")</f>
        <v/>
      </c>
      <c r="J2749">
        <v>16</v>
      </c>
      <c r="K2749">
        <v>5786</v>
      </c>
      <c r="L2749">
        <v>987</v>
      </c>
    </row>
    <row r="2750" spans="1:12" x14ac:dyDescent="0.2">
      <c r="A2750"/>
      <c r="B2750"/>
      <c r="C2750"/>
      <c r="D2750"/>
      <c r="E2750" s="2">
        <f>Comuni__2[[#This Row],[Popolazione2011]]/$D$7911</f>
        <v>1.5497346258255864E-4</v>
      </c>
      <c r="F2750">
        <f>SUMIFS($D$2:$D$7909, $B$2:$B$7909, "Lombardia")</f>
        <v>9704151</v>
      </c>
      <c r="G2750" s="1">
        <f>Comuni__2[[#This Row],[Popolazione2011]]/Comuni__2[[#This Row],[POPOLAZIONE TOTALE DI OGNI REGIONE (CON FILTRO)]]</f>
        <v>9.4897534055271809E-4</v>
      </c>
      <c r="H2750" t="str">
        <f>IF(Comuni__2[[#This Row],[Popolazione2011]]&gt;300000,"MAGGIORE","")</f>
        <v/>
      </c>
      <c r="J2750">
        <v>13</v>
      </c>
      <c r="K2750">
        <v>5790</v>
      </c>
      <c r="L2750">
        <v>987</v>
      </c>
    </row>
    <row r="2751" spans="1:12" x14ac:dyDescent="0.2">
      <c r="A2751"/>
      <c r="B2751"/>
      <c r="C2751"/>
      <c r="D2751"/>
      <c r="E2751" s="2">
        <f>Comuni__2[[#This Row],[Popolazione2011]]/$D$7911</f>
        <v>1.5472103539841938E-4</v>
      </c>
      <c r="F2751">
        <f>SUMIFS($D$2:$D$7909, $B$2:$B$7909, "Lombardia")</f>
        <v>9704151</v>
      </c>
      <c r="G2751" s="1">
        <f>Comuni__2[[#This Row],[Popolazione2011]]/Comuni__2[[#This Row],[POPOLAZIONE TOTALE DI OGNI REGIONE (CON FILTRO)]]</f>
        <v>9.4742961027708653E-4</v>
      </c>
      <c r="H2751" t="str">
        <f>IF(Comuni__2[[#This Row],[Popolazione2011]]&gt;300000,"MAGGIORE","")</f>
        <v/>
      </c>
      <c r="J2751">
        <v>14</v>
      </c>
      <c r="K2751">
        <v>5795</v>
      </c>
      <c r="L2751">
        <v>987</v>
      </c>
    </row>
    <row r="2752" spans="1:12" x14ac:dyDescent="0.2">
      <c r="A2752"/>
      <c r="B2752"/>
      <c r="C2752"/>
      <c r="D2752"/>
      <c r="E2752" s="2">
        <f>Comuni__2[[#This Row],[Popolazione2011]]/$D$7911</f>
        <v>1.5472103539841938E-4</v>
      </c>
      <c r="F2752">
        <f>SUMIFS($D$2:$D$7909, $B$2:$B$7909, "Lombardia")</f>
        <v>9704151</v>
      </c>
      <c r="G2752" s="1">
        <f>Comuni__2[[#This Row],[Popolazione2011]]/Comuni__2[[#This Row],[POPOLAZIONE TOTALE DI OGNI REGIONE (CON FILTRO)]]</f>
        <v>9.4742961027708653E-4</v>
      </c>
      <c r="H2752" t="str">
        <f>IF(Comuni__2[[#This Row],[Popolazione2011]]&gt;300000,"MAGGIORE","")</f>
        <v/>
      </c>
      <c r="J2752">
        <v>13</v>
      </c>
      <c r="K2752">
        <v>5799</v>
      </c>
      <c r="L2752">
        <v>987</v>
      </c>
    </row>
    <row r="2753" spans="1:12" x14ac:dyDescent="0.2">
      <c r="A2753"/>
      <c r="B2753"/>
      <c r="C2753"/>
      <c r="D2753"/>
      <c r="E2753" s="2">
        <f>Comuni__2[[#This Row],[Popolazione2011]]/$D$7911</f>
        <v>1.5377864057763283E-4</v>
      </c>
      <c r="F2753">
        <f>SUMIFS($D$2:$D$7909, $B$2:$B$7909, "Lombardia")</f>
        <v>9704151</v>
      </c>
      <c r="G2753" s="1">
        <f>Comuni__2[[#This Row],[Popolazione2011]]/Comuni__2[[#This Row],[POPOLAZIONE TOTALE DI OGNI REGIONE (CON FILTRO)]]</f>
        <v>9.416588839147289E-4</v>
      </c>
      <c r="H2753" t="str">
        <f>IF(Comuni__2[[#This Row],[Popolazione2011]]&gt;300000,"MAGGIORE","")</f>
        <v/>
      </c>
      <c r="J2753">
        <v>11</v>
      </c>
      <c r="K2753">
        <v>5804</v>
      </c>
      <c r="L2753">
        <v>987</v>
      </c>
    </row>
    <row r="2754" spans="1:12" x14ac:dyDescent="0.2">
      <c r="A2754"/>
      <c r="B2754"/>
      <c r="C2754"/>
      <c r="D2754"/>
      <c r="E2754" s="2">
        <f>Comuni__2[[#This Row],[Popolazione2011]]/$D$7911</f>
        <v>1.5339158556195264E-4</v>
      </c>
      <c r="F2754">
        <f>SUMIFS($D$2:$D$7909, $B$2:$B$7909, "Lombardia")</f>
        <v>9704151</v>
      </c>
      <c r="G2754" s="1">
        <f>Comuni__2[[#This Row],[Popolazione2011]]/Comuni__2[[#This Row],[POPOLAZIONE TOTALE DI OGNI REGIONE (CON FILTRO)]]</f>
        <v>9.392887641587605E-4</v>
      </c>
      <c r="H2754" t="str">
        <f>IF(Comuni__2[[#This Row],[Popolazione2011]]&gt;300000,"MAGGIORE","")</f>
        <v/>
      </c>
      <c r="J2754">
        <v>11</v>
      </c>
      <c r="K2754">
        <v>5811</v>
      </c>
      <c r="L2754">
        <v>987</v>
      </c>
    </row>
    <row r="2755" spans="1:12" x14ac:dyDescent="0.2">
      <c r="A2755"/>
      <c r="B2755"/>
      <c r="C2755"/>
      <c r="D2755"/>
      <c r="E2755" s="2">
        <f>Comuni__2[[#This Row],[Popolazione2011]]/$D$7911</f>
        <v>1.5313915837781339E-4</v>
      </c>
      <c r="F2755">
        <f>SUMIFS($D$2:$D$7909, $B$2:$B$7909, "Lombardia")</f>
        <v>9704151</v>
      </c>
      <c r="G2755" s="1">
        <f>Comuni__2[[#This Row],[Popolazione2011]]/Comuni__2[[#This Row],[POPOLAZIONE TOTALE DI OGNI REGIONE (CON FILTRO)]]</f>
        <v>9.3774303388312894E-4</v>
      </c>
      <c r="H2755" t="str">
        <f>IF(Comuni__2[[#This Row],[Popolazione2011]]&gt;300000,"MAGGIORE","")</f>
        <v/>
      </c>
      <c r="J2755">
        <v>10</v>
      </c>
      <c r="K2755">
        <v>5822</v>
      </c>
      <c r="L2755">
        <v>987</v>
      </c>
    </row>
    <row r="2756" spans="1:12" x14ac:dyDescent="0.2">
      <c r="A2756"/>
      <c r="B2756"/>
      <c r="C2756"/>
      <c r="D2756"/>
      <c r="E2756" s="2">
        <f>Comuni__2[[#This Row],[Popolazione2011]]/$D$7911</f>
        <v>1.5308867294098552E-4</v>
      </c>
      <c r="F2756">
        <f>SUMIFS($D$2:$D$7909, $B$2:$B$7909, "Lombardia")</f>
        <v>9704151</v>
      </c>
      <c r="G2756" s="1">
        <f>Comuni__2[[#This Row],[Popolazione2011]]/Comuni__2[[#This Row],[POPOLAZIONE TOTALE DI OGNI REGIONE (CON FILTRO)]]</f>
        <v>9.3743388782800263E-4</v>
      </c>
      <c r="H2756" t="str">
        <f>IF(Comuni__2[[#This Row],[Popolazione2011]]&gt;300000,"MAGGIORE","")</f>
        <v/>
      </c>
      <c r="J2756">
        <v>8</v>
      </c>
      <c r="K2756">
        <v>5831</v>
      </c>
      <c r="L2756">
        <v>987</v>
      </c>
    </row>
    <row r="2757" spans="1:12" x14ac:dyDescent="0.2">
      <c r="A2757"/>
      <c r="B2757"/>
      <c r="C2757"/>
      <c r="D2757"/>
      <c r="E2757" s="2">
        <f>Comuni__2[[#This Row],[Popolazione2011]]/$D$7911</f>
        <v>1.5303818750415769E-4</v>
      </c>
      <c r="F2757">
        <f>SUMIFS($D$2:$D$7909, $B$2:$B$7909, "Lombardia")</f>
        <v>9704151</v>
      </c>
      <c r="G2757" s="1">
        <f>Comuni__2[[#This Row],[Popolazione2011]]/Comuni__2[[#This Row],[POPOLAZIONE TOTALE DI OGNI REGIONE (CON FILTRO)]]</f>
        <v>9.3712474177287642E-4</v>
      </c>
      <c r="H2757" t="str">
        <f>IF(Comuni__2[[#This Row],[Popolazione2011]]&gt;300000,"MAGGIORE","")</f>
        <v/>
      </c>
      <c r="J2757">
        <v>11</v>
      </c>
      <c r="K2757">
        <v>5842</v>
      </c>
      <c r="L2757">
        <v>987</v>
      </c>
    </row>
    <row r="2758" spans="1:12" x14ac:dyDescent="0.2">
      <c r="A2758"/>
      <c r="B2758"/>
      <c r="C2758"/>
      <c r="D2758"/>
      <c r="E2758" s="2">
        <f>Comuni__2[[#This Row],[Popolazione2011]]/$D$7911</f>
        <v>1.5288673119367413E-4</v>
      </c>
      <c r="F2758">
        <f>SUMIFS($D$2:$D$7909, $B$2:$B$7909, "Lombardia")</f>
        <v>9704151</v>
      </c>
      <c r="G2758" s="1">
        <f>Comuni__2[[#This Row],[Popolazione2011]]/Comuni__2[[#This Row],[POPOLAZIONE TOTALE DI OGNI REGIONE (CON FILTRO)]]</f>
        <v>9.3619730360749748E-4</v>
      </c>
      <c r="H2758" t="str">
        <f>IF(Comuni__2[[#This Row],[Popolazione2011]]&gt;300000,"MAGGIORE","")</f>
        <v/>
      </c>
      <c r="J2758">
        <v>14</v>
      </c>
      <c r="K2758">
        <v>5849</v>
      </c>
      <c r="L2758">
        <v>987</v>
      </c>
    </row>
    <row r="2759" spans="1:12" x14ac:dyDescent="0.2">
      <c r="A2759"/>
      <c r="B2759"/>
      <c r="C2759"/>
      <c r="D2759"/>
      <c r="E2759" s="2">
        <f>Comuni__2[[#This Row],[Popolazione2011]]/$D$7911</f>
        <v>1.5268478944636274E-4</v>
      </c>
      <c r="F2759">
        <f>SUMIFS($D$2:$D$7909, $B$2:$B$7909, "Lombardia")</f>
        <v>9704151</v>
      </c>
      <c r="G2759" s="1">
        <f>Comuni__2[[#This Row],[Popolazione2011]]/Comuni__2[[#This Row],[POPOLAZIONE TOTALE DI OGNI REGIONE (CON FILTRO)]]</f>
        <v>9.3496071938699223E-4</v>
      </c>
      <c r="H2759" t="str">
        <f>IF(Comuni__2[[#This Row],[Popolazione2011]]&gt;300000,"MAGGIORE","")</f>
        <v/>
      </c>
      <c r="J2759">
        <v>13</v>
      </c>
      <c r="K2759">
        <v>5854</v>
      </c>
      <c r="L2759">
        <v>987</v>
      </c>
    </row>
    <row r="2760" spans="1:12" x14ac:dyDescent="0.2">
      <c r="A2760"/>
      <c r="B2760"/>
      <c r="C2760"/>
      <c r="D2760"/>
      <c r="E2760" s="2">
        <f>Comuni__2[[#This Row],[Popolazione2011]]/$D$7911</f>
        <v>1.5268478944636274E-4</v>
      </c>
      <c r="F2760">
        <f>SUMIFS($D$2:$D$7909, $B$2:$B$7909, "Lombardia")</f>
        <v>9704151</v>
      </c>
      <c r="G2760" s="1">
        <f>Comuni__2[[#This Row],[Popolazione2011]]/Comuni__2[[#This Row],[POPOLAZIONE TOTALE DI OGNI REGIONE (CON FILTRO)]]</f>
        <v>9.3496071938699223E-4</v>
      </c>
      <c r="H2760" t="str">
        <f>IF(Comuni__2[[#This Row],[Popolazione2011]]&gt;300000,"MAGGIORE","")</f>
        <v/>
      </c>
      <c r="J2760">
        <v>13</v>
      </c>
      <c r="K2760">
        <v>5861</v>
      </c>
      <c r="L2760">
        <v>987</v>
      </c>
    </row>
    <row r="2761" spans="1:12" x14ac:dyDescent="0.2">
      <c r="A2761"/>
      <c r="B2761"/>
      <c r="C2761"/>
      <c r="D2761"/>
      <c r="E2761" s="2">
        <f>Comuni__2[[#This Row],[Popolazione2011]]/$D$7911</f>
        <v>1.5253333313587918E-4</v>
      </c>
      <c r="F2761">
        <f>SUMIFS($D$2:$D$7909, $B$2:$B$7909, "Lombardia")</f>
        <v>9704151</v>
      </c>
      <c r="G2761" s="1">
        <f>Comuni__2[[#This Row],[Popolazione2011]]/Comuni__2[[#This Row],[POPOLAZIONE TOTALE DI OGNI REGIONE (CON FILTRO)]]</f>
        <v>9.3403328122161329E-4</v>
      </c>
      <c r="H2761" t="str">
        <f>IF(Comuni__2[[#This Row],[Popolazione2011]]&gt;300000,"MAGGIORE","")</f>
        <v/>
      </c>
      <c r="J2761">
        <v>14</v>
      </c>
      <c r="K2761">
        <v>5866</v>
      </c>
      <c r="L2761">
        <v>987</v>
      </c>
    </row>
    <row r="2762" spans="1:12" x14ac:dyDescent="0.2">
      <c r="A2762"/>
      <c r="B2762"/>
      <c r="C2762"/>
      <c r="D2762"/>
      <c r="E2762" s="2">
        <f>Comuni__2[[#This Row],[Popolazione2011]]/$D$7911</f>
        <v>1.5236504834645302E-4</v>
      </c>
      <c r="F2762">
        <f>SUMIFS($D$2:$D$7909, $B$2:$B$7909, "Lombardia")</f>
        <v>9704151</v>
      </c>
      <c r="G2762" s="1">
        <f>Comuni__2[[#This Row],[Popolazione2011]]/Comuni__2[[#This Row],[POPOLAZIONE TOTALE DI OGNI REGIONE (CON FILTRO)]]</f>
        <v>9.3300279437119225E-4</v>
      </c>
      <c r="H2762" t="str">
        <f>IF(Comuni__2[[#This Row],[Popolazione2011]]&gt;300000,"MAGGIORE","")</f>
        <v/>
      </c>
      <c r="J2762">
        <v>14</v>
      </c>
      <c r="K2762">
        <v>5871</v>
      </c>
      <c r="L2762">
        <v>987</v>
      </c>
    </row>
    <row r="2763" spans="1:12" x14ac:dyDescent="0.2">
      <c r="A2763"/>
      <c r="B2763"/>
      <c r="C2763"/>
      <c r="D2763"/>
      <c r="E2763" s="2">
        <f>Comuni__2[[#This Row],[Popolazione2011]]/$D$7911</f>
        <v>1.5234821986751039E-4</v>
      </c>
      <c r="F2763">
        <f>SUMIFS($D$2:$D$7909, $B$2:$B$7909, "Lombardia")</f>
        <v>9704151</v>
      </c>
      <c r="G2763" s="1">
        <f>Comuni__2[[#This Row],[Popolazione2011]]/Comuni__2[[#This Row],[POPOLAZIONE TOTALE DI OGNI REGIONE (CON FILTRO)]]</f>
        <v>9.3289974568615014E-4</v>
      </c>
      <c r="H2763" t="str">
        <f>IF(Comuni__2[[#This Row],[Popolazione2011]]&gt;300000,"MAGGIORE","")</f>
        <v/>
      </c>
      <c r="J2763">
        <v>15</v>
      </c>
      <c r="K2763">
        <v>5874</v>
      </c>
      <c r="L2763">
        <v>987</v>
      </c>
    </row>
    <row r="2764" spans="1:12" x14ac:dyDescent="0.2">
      <c r="A2764"/>
      <c r="B2764"/>
      <c r="C2764"/>
      <c r="D2764"/>
      <c r="E2764" s="2">
        <f>Comuni__2[[#This Row],[Popolazione2011]]/$D$7911</f>
        <v>1.5184336549923188E-4</v>
      </c>
      <c r="F2764">
        <f>SUMIFS($D$2:$D$7909, $B$2:$B$7909, "Lombardia")</f>
        <v>9704151</v>
      </c>
      <c r="G2764" s="1">
        <f>Comuni__2[[#This Row],[Popolazione2011]]/Comuni__2[[#This Row],[POPOLAZIONE TOTALE DI OGNI REGIONE (CON FILTRO)]]</f>
        <v>9.2980828513488712E-4</v>
      </c>
      <c r="H2764" t="str">
        <f>IF(Comuni__2[[#This Row],[Popolazione2011]]&gt;300000,"MAGGIORE","")</f>
        <v/>
      </c>
      <c r="J2764">
        <v>14</v>
      </c>
      <c r="K2764">
        <v>5876</v>
      </c>
      <c r="L2764">
        <v>987</v>
      </c>
    </row>
    <row r="2765" spans="1:12" x14ac:dyDescent="0.2">
      <c r="A2765"/>
      <c r="B2765"/>
      <c r="C2765"/>
      <c r="D2765"/>
      <c r="E2765" s="2">
        <f>Comuni__2[[#This Row],[Popolazione2011]]/$D$7911</f>
        <v>1.5137216808883862E-4</v>
      </c>
      <c r="F2765">
        <f>SUMIFS($D$2:$D$7909, $B$2:$B$7909, "Lombardia")</f>
        <v>9704151</v>
      </c>
      <c r="G2765" s="1">
        <f>Comuni__2[[#This Row],[Popolazione2011]]/Comuni__2[[#This Row],[POPOLAZIONE TOTALE DI OGNI REGIONE (CON FILTRO)]]</f>
        <v>9.2692292195370831E-4</v>
      </c>
      <c r="H2765" t="str">
        <f>IF(Comuni__2[[#This Row],[Popolazione2011]]&gt;300000,"MAGGIORE","")</f>
        <v/>
      </c>
      <c r="J2765">
        <v>12</v>
      </c>
      <c r="K2765">
        <v>5876</v>
      </c>
      <c r="L2765">
        <v>987</v>
      </c>
    </row>
    <row r="2766" spans="1:12" x14ac:dyDescent="0.2">
      <c r="A2766"/>
      <c r="B2766"/>
      <c r="C2766"/>
      <c r="D2766"/>
      <c r="E2766" s="2">
        <f>Comuni__2[[#This Row],[Popolazione2011]]/$D$7911</f>
        <v>1.5135533960989599E-4</v>
      </c>
      <c r="F2766">
        <f>SUMIFS($D$2:$D$7909, $B$2:$B$7909, "Lombardia")</f>
        <v>9704151</v>
      </c>
      <c r="G2766" s="1">
        <f>Comuni__2[[#This Row],[Popolazione2011]]/Comuni__2[[#This Row],[POPOLAZIONE TOTALE DI OGNI REGIONE (CON FILTRO)]]</f>
        <v>9.2681987326866621E-4</v>
      </c>
      <c r="H2766" t="str">
        <f>IF(Comuni__2[[#This Row],[Popolazione2011]]&gt;300000,"MAGGIORE","")</f>
        <v/>
      </c>
      <c r="J2766">
        <v>13</v>
      </c>
      <c r="K2766">
        <v>5878</v>
      </c>
      <c r="L2766">
        <v>987</v>
      </c>
    </row>
    <row r="2767" spans="1:12" x14ac:dyDescent="0.2">
      <c r="A2767"/>
      <c r="B2767"/>
      <c r="C2767"/>
      <c r="D2767"/>
      <c r="E2767" s="2">
        <f>Comuni__2[[#This Row],[Popolazione2011]]/$D$7911</f>
        <v>1.5100194155210104E-4</v>
      </c>
      <c r="F2767">
        <f>SUMIFS($D$2:$D$7909, $B$2:$B$7909, "Lombardia")</f>
        <v>9704151</v>
      </c>
      <c r="G2767" s="1">
        <f>Comuni__2[[#This Row],[Popolazione2011]]/Comuni__2[[#This Row],[POPOLAZIONE TOTALE DI OGNI REGIONE (CON FILTRO)]]</f>
        <v>9.2465585088278201E-4</v>
      </c>
      <c r="H2767" t="str">
        <f>IF(Comuni__2[[#This Row],[Popolazione2011]]&gt;300000,"MAGGIORE","")</f>
        <v/>
      </c>
      <c r="J2767">
        <v>13</v>
      </c>
      <c r="K2767">
        <v>5883</v>
      </c>
      <c r="L2767">
        <v>987</v>
      </c>
    </row>
    <row r="2768" spans="1:12" x14ac:dyDescent="0.2">
      <c r="A2768"/>
      <c r="B2768"/>
      <c r="C2768"/>
      <c r="D2768"/>
      <c r="E2768" s="2">
        <f>Comuni__2[[#This Row],[Popolazione2011]]/$D$7911</f>
        <v>1.5090097067844535E-4</v>
      </c>
      <c r="F2768">
        <f>SUMIFS($D$2:$D$7909, $B$2:$B$7909, "Lombardia")</f>
        <v>9704151</v>
      </c>
      <c r="G2768" s="1">
        <f>Comuni__2[[#This Row],[Popolazione2011]]/Comuni__2[[#This Row],[POPOLAZIONE TOTALE DI OGNI REGIONE (CON FILTRO)]]</f>
        <v>9.2403755877252939E-4</v>
      </c>
      <c r="H2768" t="str">
        <f>IF(Comuni__2[[#This Row],[Popolazione2011]]&gt;300000,"MAGGIORE","")</f>
        <v/>
      </c>
      <c r="J2768">
        <v>14</v>
      </c>
      <c r="K2768">
        <v>5889</v>
      </c>
      <c r="L2768">
        <v>987</v>
      </c>
    </row>
    <row r="2769" spans="1:12" x14ac:dyDescent="0.2">
      <c r="A2769"/>
      <c r="B2769"/>
      <c r="C2769"/>
      <c r="D2769"/>
      <c r="E2769" s="2">
        <f>Comuni__2[[#This Row],[Popolazione2011]]/$D$7911</f>
        <v>1.5059805805747823E-4</v>
      </c>
      <c r="F2769">
        <f>SUMIFS($D$2:$D$7909, $B$2:$B$7909, "Lombardia")</f>
        <v>9704151</v>
      </c>
      <c r="G2769" s="1">
        <f>Comuni__2[[#This Row],[Popolazione2011]]/Comuni__2[[#This Row],[POPOLAZIONE TOTALE DI OGNI REGIONE (CON FILTRO)]]</f>
        <v>9.2218268244177162E-4</v>
      </c>
      <c r="H2769" t="str">
        <f>IF(Comuni__2[[#This Row],[Popolazione2011]]&gt;300000,"MAGGIORE","")</f>
        <v/>
      </c>
      <c r="J2769">
        <v>9</v>
      </c>
      <c r="K2769">
        <v>5905</v>
      </c>
      <c r="L2769">
        <v>987</v>
      </c>
    </row>
    <row r="2770" spans="1:12" x14ac:dyDescent="0.2">
      <c r="A2770"/>
      <c r="B2770"/>
      <c r="C2770"/>
      <c r="D2770"/>
      <c r="E2770" s="2">
        <f>Comuni__2[[#This Row],[Popolazione2011]]/$D$7911</f>
        <v>1.5032880239439637E-4</v>
      </c>
      <c r="F2770">
        <f>SUMIFS($D$2:$D$7909, $B$2:$B$7909, "Lombardia")</f>
        <v>9704151</v>
      </c>
      <c r="G2770" s="1">
        <f>Comuni__2[[#This Row],[Popolazione2011]]/Comuni__2[[#This Row],[POPOLAZIONE TOTALE DI OGNI REGIONE (CON FILTRO)]]</f>
        <v>9.2053390348109795E-4</v>
      </c>
      <c r="H2770" t="str">
        <f>IF(Comuni__2[[#This Row],[Popolazione2011]]&gt;300000,"MAGGIORE","")</f>
        <v/>
      </c>
      <c r="J2770">
        <v>8</v>
      </c>
      <c r="K2770">
        <v>5924</v>
      </c>
      <c r="L2770">
        <v>987</v>
      </c>
    </row>
    <row r="2771" spans="1:12" x14ac:dyDescent="0.2">
      <c r="A2771"/>
      <c r="B2771"/>
      <c r="C2771"/>
      <c r="D2771"/>
      <c r="E2771" s="2">
        <f>Comuni__2[[#This Row],[Popolazione2011]]/$D$7911</f>
        <v>1.5021100304179804E-4</v>
      </c>
      <c r="F2771">
        <f>SUMIFS($D$2:$D$7909, $B$2:$B$7909, "Lombardia")</f>
        <v>9704151</v>
      </c>
      <c r="G2771" s="1">
        <f>Comuni__2[[#This Row],[Popolazione2011]]/Comuni__2[[#This Row],[POPOLAZIONE TOTALE DI OGNI REGIONE (CON FILTRO)]]</f>
        <v>9.1981256268580322E-4</v>
      </c>
      <c r="H2771" t="str">
        <f>IF(Comuni__2[[#This Row],[Popolazione2011]]&gt;300000,"MAGGIORE","")</f>
        <v/>
      </c>
      <c r="J2771">
        <v>9</v>
      </c>
      <c r="K2771">
        <v>5933</v>
      </c>
      <c r="L2771">
        <v>987</v>
      </c>
    </row>
    <row r="2772" spans="1:12" x14ac:dyDescent="0.2">
      <c r="A2772"/>
      <c r="B2772"/>
      <c r="C2772"/>
      <c r="D2772"/>
      <c r="E2772" s="2">
        <f>Comuni__2[[#This Row],[Popolazione2011]]/$D$7911</f>
        <v>1.5011003216814235E-4</v>
      </c>
      <c r="F2772">
        <f>SUMIFS($D$2:$D$7909, $B$2:$B$7909, "Lombardia")</f>
        <v>9704151</v>
      </c>
      <c r="G2772" s="1">
        <f>Comuni__2[[#This Row],[Popolazione2011]]/Comuni__2[[#This Row],[POPOLAZIONE TOTALE DI OGNI REGIONE (CON FILTRO)]]</f>
        <v>9.1919427057555059E-4</v>
      </c>
      <c r="H2772" t="str">
        <f>IF(Comuni__2[[#This Row],[Popolazione2011]]&gt;300000,"MAGGIORE","")</f>
        <v/>
      </c>
      <c r="J2772">
        <v>11</v>
      </c>
      <c r="K2772">
        <v>5940</v>
      </c>
      <c r="L2772">
        <v>987</v>
      </c>
    </row>
    <row r="2773" spans="1:12" x14ac:dyDescent="0.2">
      <c r="A2773"/>
      <c r="B2773"/>
      <c r="C2773"/>
      <c r="D2773"/>
      <c r="E2773" s="2">
        <f>Comuni__2[[#This Row],[Popolazione2011]]/$D$7911</f>
        <v>1.5000906129448665E-4</v>
      </c>
      <c r="F2773">
        <f>SUMIFS($D$2:$D$7909, $B$2:$B$7909, "Lombardia")</f>
        <v>9704151</v>
      </c>
      <c r="G2773" s="1">
        <f>Comuni__2[[#This Row],[Popolazione2011]]/Comuni__2[[#This Row],[POPOLAZIONE TOTALE DI OGNI REGIONE (CON FILTRO)]]</f>
        <v>9.1857597846529797E-4</v>
      </c>
      <c r="H2773" t="str">
        <f>IF(Comuni__2[[#This Row],[Popolazione2011]]&gt;300000,"MAGGIORE","")</f>
        <v/>
      </c>
      <c r="J2773">
        <v>13</v>
      </c>
      <c r="K2773">
        <v>5949</v>
      </c>
      <c r="L2773">
        <v>987</v>
      </c>
    </row>
    <row r="2774" spans="1:12" x14ac:dyDescent="0.2">
      <c r="A2774"/>
      <c r="B2774"/>
      <c r="C2774"/>
      <c r="D2774"/>
      <c r="E2774" s="2">
        <f>Comuni__2[[#This Row],[Popolazione2011]]/$D$7911</f>
        <v>1.4985760498400309E-4</v>
      </c>
      <c r="F2774">
        <f>SUMIFS($D$2:$D$7909, $B$2:$B$7909, "Lombardia")</f>
        <v>9704151</v>
      </c>
      <c r="G2774" s="1">
        <f>Comuni__2[[#This Row],[Popolazione2011]]/Comuni__2[[#This Row],[POPOLAZIONE TOTALE DI OGNI REGIONE (CON FILTRO)]]</f>
        <v>9.1764854029991903E-4</v>
      </c>
      <c r="H2774" t="str">
        <f>IF(Comuni__2[[#This Row],[Popolazione2011]]&gt;300000,"MAGGIORE","")</f>
        <v/>
      </c>
      <c r="J2774">
        <v>14</v>
      </c>
      <c r="K2774">
        <v>5955</v>
      </c>
      <c r="L2774">
        <v>987</v>
      </c>
    </row>
    <row r="2775" spans="1:12" x14ac:dyDescent="0.2">
      <c r="A2775"/>
      <c r="B2775"/>
      <c r="C2775"/>
      <c r="D2775"/>
      <c r="E2775" s="2">
        <f>Comuni__2[[#This Row],[Popolazione2011]]/$D$7911</f>
        <v>1.4952103540515077E-4</v>
      </c>
      <c r="F2775">
        <f>SUMIFS($D$2:$D$7909, $B$2:$B$7909, "Lombardia")</f>
        <v>9704151</v>
      </c>
      <c r="G2775" s="1">
        <f>Comuni__2[[#This Row],[Popolazione2011]]/Comuni__2[[#This Row],[POPOLAZIONE TOTALE DI OGNI REGIONE (CON FILTRO)]]</f>
        <v>9.1558756659907705E-4</v>
      </c>
      <c r="H2775" t="str">
        <f>IF(Comuni__2[[#This Row],[Popolazione2011]]&gt;300000,"MAGGIORE","")</f>
        <v/>
      </c>
      <c r="J2775">
        <v>15</v>
      </c>
      <c r="K2775">
        <v>5960</v>
      </c>
      <c r="L2775">
        <v>987</v>
      </c>
    </row>
    <row r="2776" spans="1:12" x14ac:dyDescent="0.2">
      <c r="A2776"/>
      <c r="B2776"/>
      <c r="C2776"/>
      <c r="D2776"/>
      <c r="E2776" s="2">
        <f>Comuni__2[[#This Row],[Popolazione2011]]/$D$7911</f>
        <v>1.4800647230031524E-4</v>
      </c>
      <c r="F2776">
        <f>SUMIFS($D$2:$D$7909, $B$2:$B$7909, "Lombardia")</f>
        <v>9704151</v>
      </c>
      <c r="G2776" s="1">
        <f>Comuni__2[[#This Row],[Popolazione2011]]/Comuni__2[[#This Row],[POPOLAZIONE TOTALE DI OGNI REGIONE (CON FILTRO)]]</f>
        <v>9.0631318494528788E-4</v>
      </c>
      <c r="H2776" t="str">
        <f>IF(Comuni__2[[#This Row],[Popolazione2011]]&gt;300000,"MAGGIORE","")</f>
        <v/>
      </c>
      <c r="J2776">
        <v>15</v>
      </c>
      <c r="K2776">
        <v>5966</v>
      </c>
      <c r="L2776">
        <v>987</v>
      </c>
    </row>
    <row r="2777" spans="1:12" x14ac:dyDescent="0.2">
      <c r="A2777"/>
      <c r="B2777"/>
      <c r="C2777"/>
      <c r="D2777"/>
      <c r="E2777" s="2">
        <f>Comuni__2[[#This Row],[Popolazione2011]]/$D$7911</f>
        <v>1.472491907478975E-4</v>
      </c>
      <c r="F2777">
        <f>SUMIFS($D$2:$D$7909, $B$2:$B$7909, "Lombardia")</f>
        <v>9704151</v>
      </c>
      <c r="G2777" s="1">
        <f>Comuni__2[[#This Row],[Popolazione2011]]/Comuni__2[[#This Row],[POPOLAZIONE TOTALE DI OGNI REGIONE (CON FILTRO)]]</f>
        <v>9.0167599411839329E-4</v>
      </c>
      <c r="H2777" t="str">
        <f>IF(Comuni__2[[#This Row],[Popolazione2011]]&gt;300000,"MAGGIORE","")</f>
        <v/>
      </c>
      <c r="J2777">
        <v>14</v>
      </c>
      <c r="K2777">
        <v>5971</v>
      </c>
      <c r="L2777">
        <v>988</v>
      </c>
    </row>
    <row r="2778" spans="1:12" x14ac:dyDescent="0.2">
      <c r="A2778"/>
      <c r="B2778"/>
      <c r="C2778"/>
      <c r="D2778"/>
      <c r="E2778" s="2">
        <f>Comuni__2[[#This Row],[Popolazione2011]]/$D$7911</f>
        <v>1.4603754026402908E-4</v>
      </c>
      <c r="F2778">
        <f>SUMIFS($D$2:$D$7909, $B$2:$B$7909, "Lombardia")</f>
        <v>9704151</v>
      </c>
      <c r="G2778" s="1">
        <f>Comuni__2[[#This Row],[Popolazione2011]]/Comuni__2[[#This Row],[POPOLAZIONE TOTALE DI OGNI REGIONE (CON FILTRO)]]</f>
        <v>8.9425648879536189E-4</v>
      </c>
      <c r="H2778" t="str">
        <f>IF(Comuni__2[[#This Row],[Popolazione2011]]&gt;300000,"MAGGIORE","")</f>
        <v/>
      </c>
      <c r="J2778">
        <v>13</v>
      </c>
      <c r="K2778">
        <v>5982</v>
      </c>
      <c r="L2778">
        <v>988</v>
      </c>
    </row>
    <row r="2779" spans="1:12" x14ac:dyDescent="0.2">
      <c r="A2779"/>
      <c r="B2779"/>
      <c r="C2779"/>
      <c r="D2779"/>
      <c r="E2779" s="2">
        <f>Comuni__2[[#This Row],[Popolazione2011]]/$D$7911</f>
        <v>1.4580194155883243E-4</v>
      </c>
      <c r="F2779">
        <f>SUMIFS($D$2:$D$7909, $B$2:$B$7909, "Lombardia")</f>
        <v>9704151</v>
      </c>
      <c r="G2779" s="1">
        <f>Comuni__2[[#This Row],[Popolazione2011]]/Comuni__2[[#This Row],[POPOLAZIONE TOTALE DI OGNI REGIONE (CON FILTRO)]]</f>
        <v>8.9281380720477243E-4</v>
      </c>
      <c r="H2779" t="str">
        <f>IF(Comuni__2[[#This Row],[Popolazione2011]]&gt;300000,"MAGGIORE","")</f>
        <v/>
      </c>
      <c r="J2779">
        <v>14</v>
      </c>
      <c r="K2779">
        <v>5986</v>
      </c>
      <c r="L2779">
        <v>988</v>
      </c>
    </row>
    <row r="2780" spans="1:12" x14ac:dyDescent="0.2">
      <c r="A2780"/>
      <c r="B2780"/>
      <c r="C2780"/>
      <c r="D2780"/>
      <c r="E2780" s="2">
        <f>Comuni__2[[#This Row],[Popolazione2011]]/$D$7911</f>
        <v>1.448763752169885E-4</v>
      </c>
      <c r="F2780">
        <f>SUMIFS($D$2:$D$7909, $B$2:$B$7909, "Lombardia")</f>
        <v>9704151</v>
      </c>
      <c r="G2780" s="1">
        <f>Comuni__2[[#This Row],[Popolazione2011]]/Comuni__2[[#This Row],[POPOLAZIONE TOTALE DI OGNI REGIONE (CON FILTRO)]]</f>
        <v>8.8714612952745691E-4</v>
      </c>
      <c r="H2780" t="str">
        <f>IF(Comuni__2[[#This Row],[Popolazione2011]]&gt;300000,"MAGGIORE","")</f>
        <v/>
      </c>
      <c r="J2780">
        <v>15</v>
      </c>
      <c r="K2780">
        <v>5990</v>
      </c>
      <c r="L2780">
        <v>988</v>
      </c>
    </row>
    <row r="2781" spans="1:12" x14ac:dyDescent="0.2">
      <c r="A2781"/>
      <c r="B2781"/>
      <c r="C2781"/>
      <c r="D2781"/>
      <c r="E2781" s="2">
        <f>Comuni__2[[#This Row],[Popolazione2011]]/$D$7911</f>
        <v>1.4450614868025095E-4</v>
      </c>
      <c r="F2781">
        <f>SUMIFS($D$2:$D$7909, $B$2:$B$7909, "Lombardia")</f>
        <v>9704151</v>
      </c>
      <c r="G2781" s="1">
        <f>Comuni__2[[#This Row],[Popolazione2011]]/Comuni__2[[#This Row],[POPOLAZIONE TOTALE DI OGNI REGIONE (CON FILTRO)]]</f>
        <v>8.8487905845653061E-4</v>
      </c>
      <c r="H2781" t="str">
        <f>IF(Comuni__2[[#This Row],[Popolazione2011]]&gt;300000,"MAGGIORE","")</f>
        <v/>
      </c>
      <c r="J2781">
        <v>17</v>
      </c>
      <c r="K2781">
        <v>5994</v>
      </c>
      <c r="L2781">
        <v>988</v>
      </c>
    </row>
    <row r="2782" spans="1:12" x14ac:dyDescent="0.2">
      <c r="A2782"/>
      <c r="B2782"/>
      <c r="C2782"/>
      <c r="D2782"/>
      <c r="E2782" s="2">
        <f>Comuni__2[[#This Row],[Popolazione2011]]/$D$7911</f>
        <v>1.4437152084871002E-4</v>
      </c>
      <c r="F2782">
        <f>SUMIFS($D$2:$D$7909, $B$2:$B$7909, "Lombardia")</f>
        <v>9704151</v>
      </c>
      <c r="G2782" s="1">
        <f>Comuni__2[[#This Row],[Popolazione2011]]/Comuni__2[[#This Row],[POPOLAZIONE TOTALE DI OGNI REGIONE (CON FILTRO)]]</f>
        <v>8.8405466897619378E-4</v>
      </c>
      <c r="H2782" t="str">
        <f>IF(Comuni__2[[#This Row],[Popolazione2011]]&gt;300000,"MAGGIORE","")</f>
        <v/>
      </c>
      <c r="J2782">
        <v>17</v>
      </c>
      <c r="K2782">
        <v>5999</v>
      </c>
      <c r="L2782">
        <v>988</v>
      </c>
    </row>
    <row r="2783" spans="1:12" x14ac:dyDescent="0.2">
      <c r="A2783"/>
      <c r="B2783"/>
      <c r="C2783"/>
      <c r="D2783"/>
      <c r="E2783" s="2">
        <f>Comuni__2[[#This Row],[Popolazione2011]]/$D$7911</f>
        <v>1.4381618104360365E-4</v>
      </c>
      <c r="F2783">
        <f>SUMIFS($D$2:$D$7909, $B$2:$B$7909, "Lombardia")</f>
        <v>9704151</v>
      </c>
      <c r="G2783" s="1">
        <f>Comuni__2[[#This Row],[Popolazione2011]]/Comuni__2[[#This Row],[POPOLAZIONE TOTALE DI OGNI REGIONE (CON FILTRO)]]</f>
        <v>8.8065406236980445E-4</v>
      </c>
      <c r="H2783" t="str">
        <f>IF(Comuni__2[[#This Row],[Popolazione2011]]&gt;300000,"MAGGIORE","")</f>
        <v/>
      </c>
      <c r="J2783">
        <v>16</v>
      </c>
      <c r="K2783">
        <v>6005</v>
      </c>
      <c r="L2783">
        <v>988</v>
      </c>
    </row>
    <row r="2784" spans="1:12" x14ac:dyDescent="0.2">
      <c r="A2784"/>
      <c r="B2784"/>
      <c r="C2784"/>
      <c r="D2784"/>
      <c r="E2784" s="2">
        <f>Comuni__2[[#This Row],[Popolazione2011]]/$D$7911</f>
        <v>1.4366472473312009E-4</v>
      </c>
      <c r="F2784">
        <f>SUMIFS($D$2:$D$7909, $B$2:$B$7909, "Lombardia")</f>
        <v>9704151</v>
      </c>
      <c r="G2784" s="1">
        <f>Comuni__2[[#This Row],[Popolazione2011]]/Comuni__2[[#This Row],[POPOLAZIONE TOTALE DI OGNI REGIONE (CON FILTRO)]]</f>
        <v>8.7972662420442551E-4</v>
      </c>
      <c r="H2784" t="str">
        <f>IF(Comuni__2[[#This Row],[Popolazione2011]]&gt;300000,"MAGGIORE","")</f>
        <v/>
      </c>
      <c r="J2784">
        <v>13</v>
      </c>
      <c r="K2784">
        <v>6015</v>
      </c>
      <c r="L2784">
        <v>989</v>
      </c>
    </row>
    <row r="2785" spans="1:12" x14ac:dyDescent="0.2">
      <c r="A2785"/>
      <c r="B2785"/>
      <c r="C2785"/>
      <c r="D2785"/>
      <c r="E2785" s="2">
        <f>Comuni__2[[#This Row],[Popolazione2011]]/$D$7911</f>
        <v>1.4358058233840702E-4</v>
      </c>
      <c r="F2785">
        <f>SUMIFS($D$2:$D$7909, $B$2:$B$7909, "Lombardia")</f>
        <v>9704151</v>
      </c>
      <c r="G2785" s="1">
        <f>Comuni__2[[#This Row],[Popolazione2011]]/Comuni__2[[#This Row],[POPOLAZIONE TOTALE DI OGNI REGIONE (CON FILTRO)]]</f>
        <v>8.7921138077921498E-4</v>
      </c>
      <c r="H2785" t="str">
        <f>IF(Comuni__2[[#This Row],[Popolazione2011]]&gt;300000,"MAGGIORE","")</f>
        <v/>
      </c>
      <c r="J2785">
        <v>15</v>
      </c>
      <c r="K2785">
        <v>6029</v>
      </c>
      <c r="L2785">
        <v>989</v>
      </c>
    </row>
    <row r="2786" spans="1:12" x14ac:dyDescent="0.2">
      <c r="A2786"/>
      <c r="B2786"/>
      <c r="C2786"/>
      <c r="D2786"/>
      <c r="E2786" s="2">
        <f>Comuni__2[[#This Row],[Popolazione2011]]/$D$7911</f>
        <v>1.4304207101224328E-4</v>
      </c>
      <c r="F2786">
        <f>SUMIFS($D$2:$D$7909, $B$2:$B$7909, "Lombardia")</f>
        <v>9704151</v>
      </c>
      <c r="G2786" s="1">
        <f>Comuni__2[[#This Row],[Popolazione2011]]/Comuni__2[[#This Row],[POPOLAZIONE TOTALE DI OGNI REGIONE (CON FILTRO)]]</f>
        <v>8.7591382285786776E-4</v>
      </c>
      <c r="H2786" t="str">
        <f>IF(Comuni__2[[#This Row],[Popolazione2011]]&gt;300000,"MAGGIORE","")</f>
        <v/>
      </c>
      <c r="J2786">
        <v>14</v>
      </c>
      <c r="K2786">
        <v>6036</v>
      </c>
      <c r="L2786">
        <v>989</v>
      </c>
    </row>
    <row r="2787" spans="1:12" x14ac:dyDescent="0.2">
      <c r="A2787"/>
      <c r="B2787"/>
      <c r="C2787"/>
      <c r="D2787"/>
      <c r="E2787" s="2">
        <f>Comuni__2[[#This Row],[Popolazione2011]]/$D$7911</f>
        <v>1.4270550143339093E-4</v>
      </c>
      <c r="F2787">
        <f>SUMIFS($D$2:$D$7909, $B$2:$B$7909, "Lombardia")</f>
        <v>9704151</v>
      </c>
      <c r="G2787" s="1">
        <f>Comuni__2[[#This Row],[Popolazione2011]]/Comuni__2[[#This Row],[POPOLAZIONE TOTALE DI OGNI REGIONE (CON FILTRO)]]</f>
        <v>8.7385284915702567E-4</v>
      </c>
      <c r="H2787" t="str">
        <f>IF(Comuni__2[[#This Row],[Popolazione2011]]&gt;300000,"MAGGIORE","")</f>
        <v/>
      </c>
      <c r="J2787">
        <v>16</v>
      </c>
      <c r="K2787">
        <v>6041</v>
      </c>
      <c r="L2787">
        <v>989</v>
      </c>
    </row>
    <row r="2788" spans="1:12" x14ac:dyDescent="0.2">
      <c r="A2788"/>
      <c r="B2788"/>
      <c r="C2788"/>
      <c r="D2788"/>
      <c r="E2788" s="2">
        <f>Comuni__2[[#This Row],[Popolazione2011]]/$D$7911</f>
        <v>1.4252038816502216E-4</v>
      </c>
      <c r="F2788">
        <f>SUMIFS($D$2:$D$7909, $B$2:$B$7909, "Lombardia")</f>
        <v>9704151</v>
      </c>
      <c r="G2788" s="1">
        <f>Comuni__2[[#This Row],[Popolazione2011]]/Comuni__2[[#This Row],[POPOLAZIONE TOTALE DI OGNI REGIONE (CON FILTRO)]]</f>
        <v>8.7271931362156252E-4</v>
      </c>
      <c r="H2788" t="str">
        <f>IF(Comuni__2[[#This Row],[Popolazione2011]]&gt;300000,"MAGGIORE","")</f>
        <v/>
      </c>
      <c r="J2788">
        <v>17</v>
      </c>
      <c r="K2788">
        <v>6044</v>
      </c>
      <c r="L2788">
        <v>989</v>
      </c>
    </row>
    <row r="2789" spans="1:12" x14ac:dyDescent="0.2">
      <c r="A2789"/>
      <c r="B2789"/>
      <c r="C2789"/>
      <c r="D2789"/>
      <c r="E2789" s="2">
        <f>Comuni__2[[#This Row],[Popolazione2011]]/$D$7911</f>
        <v>1.4220064706511244E-4</v>
      </c>
      <c r="F2789">
        <f>SUMIFS($D$2:$D$7909, $B$2:$B$7909, "Lombardia")</f>
        <v>9704151</v>
      </c>
      <c r="G2789" s="1">
        <f>Comuni__2[[#This Row],[Popolazione2011]]/Comuni__2[[#This Row],[POPOLAZIONE TOTALE DI OGNI REGIONE (CON FILTRO)]]</f>
        <v>8.7076138860576265E-4</v>
      </c>
      <c r="H2789" t="str">
        <f>IF(Comuni__2[[#This Row],[Popolazione2011]]&gt;300000,"MAGGIORE","")</f>
        <v/>
      </c>
      <c r="J2789">
        <v>19</v>
      </c>
      <c r="K2789">
        <v>6050</v>
      </c>
      <c r="L2789">
        <v>989</v>
      </c>
    </row>
    <row r="2790" spans="1:12" x14ac:dyDescent="0.2">
      <c r="A2790"/>
      <c r="B2790"/>
      <c r="C2790"/>
      <c r="D2790"/>
      <c r="E2790" s="2">
        <f>Comuni__2[[#This Row],[Popolazione2011]]/$D$7911</f>
        <v>1.4203236227568625E-4</v>
      </c>
      <c r="F2790">
        <f>SUMIFS($D$2:$D$7909, $B$2:$B$7909, "Lombardia")</f>
        <v>9704151</v>
      </c>
      <c r="G2790" s="1">
        <f>Comuni__2[[#This Row],[Popolazione2011]]/Comuni__2[[#This Row],[POPOLAZIONE TOTALE DI OGNI REGIONE (CON FILTRO)]]</f>
        <v>8.697309017553416E-4</v>
      </c>
      <c r="H2790" t="str">
        <f>IF(Comuni__2[[#This Row],[Popolazione2011]]&gt;300000,"MAGGIORE","")</f>
        <v/>
      </c>
      <c r="J2790">
        <v>17</v>
      </c>
      <c r="K2790">
        <v>6063</v>
      </c>
      <c r="L2790">
        <v>989</v>
      </c>
    </row>
    <row r="2791" spans="1:12" x14ac:dyDescent="0.2">
      <c r="A2791"/>
      <c r="B2791"/>
      <c r="C2791"/>
      <c r="D2791"/>
      <c r="E2791" s="2">
        <f>Comuni__2[[#This Row],[Popolazione2011]]/$D$7911</f>
        <v>1.4132556616009635E-4</v>
      </c>
      <c r="F2791">
        <f>SUMIFS($D$2:$D$7909, $B$2:$B$7909, "Lombardia")</f>
        <v>9704151</v>
      </c>
      <c r="G2791" s="1">
        <f>Comuni__2[[#This Row],[Popolazione2011]]/Comuni__2[[#This Row],[POPOLAZIONE TOTALE DI OGNI REGIONE (CON FILTRO)]]</f>
        <v>8.6540285698357333E-4</v>
      </c>
      <c r="H2791" t="str">
        <f>IF(Comuni__2[[#This Row],[Popolazione2011]]&gt;300000,"MAGGIORE","")</f>
        <v/>
      </c>
      <c r="J2791">
        <v>22</v>
      </c>
      <c r="K2791">
        <v>6079</v>
      </c>
      <c r="L2791">
        <v>989</v>
      </c>
    </row>
    <row r="2792" spans="1:12" x14ac:dyDescent="0.2">
      <c r="A2792"/>
      <c r="B2792"/>
      <c r="C2792"/>
      <c r="D2792"/>
      <c r="E2792" s="2">
        <f>Comuni__2[[#This Row],[Popolazione2011]]/$D$7911</f>
        <v>1.4119093832855542E-4</v>
      </c>
      <c r="F2792">
        <f>SUMIFS($D$2:$D$7909, $B$2:$B$7909, "Lombardia")</f>
        <v>9704151</v>
      </c>
      <c r="G2792" s="1">
        <f>Comuni__2[[#This Row],[Popolazione2011]]/Comuni__2[[#This Row],[POPOLAZIONE TOTALE DI OGNI REGIONE (CON FILTRO)]]</f>
        <v>8.645784675032365E-4</v>
      </c>
      <c r="H2792" t="str">
        <f>IF(Comuni__2[[#This Row],[Popolazione2011]]&gt;300000,"MAGGIORE","")</f>
        <v/>
      </c>
      <c r="J2792">
        <v>23</v>
      </c>
      <c r="K2792">
        <v>6084</v>
      </c>
      <c r="L2792">
        <v>989</v>
      </c>
    </row>
    <row r="2793" spans="1:12" x14ac:dyDescent="0.2">
      <c r="A2793"/>
      <c r="B2793"/>
      <c r="C2793"/>
      <c r="D2793"/>
      <c r="E2793" s="2">
        <f>Comuni__2[[#This Row],[Popolazione2011]]/$D$7911</f>
        <v>1.4023171502882626E-4</v>
      </c>
      <c r="F2793">
        <f>SUMIFS($D$2:$D$7909, $B$2:$B$7909, "Lombardia")</f>
        <v>9704151</v>
      </c>
      <c r="G2793" s="1">
        <f>Comuni__2[[#This Row],[Popolazione2011]]/Comuni__2[[#This Row],[POPOLAZIONE TOTALE DI OGNI REGIONE (CON FILTRO)]]</f>
        <v>8.5870469245583666E-4</v>
      </c>
      <c r="H2793" t="str">
        <f>IF(Comuni__2[[#This Row],[Popolazione2011]]&gt;300000,"MAGGIORE","")</f>
        <v/>
      </c>
      <c r="J2793">
        <v>25</v>
      </c>
      <c r="K2793">
        <v>6093</v>
      </c>
      <c r="L2793">
        <v>989</v>
      </c>
    </row>
    <row r="2794" spans="1:12" x14ac:dyDescent="0.2">
      <c r="A2794"/>
      <c r="B2794"/>
      <c r="C2794"/>
      <c r="D2794"/>
      <c r="E2794" s="2">
        <f>Comuni__2[[#This Row],[Popolazione2011]]/$D$7911</f>
        <v>1.3955857587112159E-4</v>
      </c>
      <c r="F2794">
        <f>SUMIFS($D$2:$D$7909, $B$2:$B$7909, "Lombardia")</f>
        <v>9704151</v>
      </c>
      <c r="G2794" s="1">
        <f>Comuni__2[[#This Row],[Popolazione2011]]/Comuni__2[[#This Row],[POPOLAZIONE TOTALE DI OGNI REGIONE (CON FILTRO)]]</f>
        <v>8.5458274505415259E-4</v>
      </c>
      <c r="H2794" t="str">
        <f>IF(Comuni__2[[#This Row],[Popolazione2011]]&gt;300000,"MAGGIORE","")</f>
        <v/>
      </c>
      <c r="J2794">
        <v>23</v>
      </c>
      <c r="K2794">
        <v>6103</v>
      </c>
      <c r="L2794">
        <v>989</v>
      </c>
    </row>
    <row r="2795" spans="1:12" x14ac:dyDescent="0.2">
      <c r="A2795"/>
      <c r="B2795"/>
      <c r="C2795"/>
      <c r="D2795"/>
      <c r="E2795" s="2">
        <f>Comuni__2[[#This Row],[Popolazione2011]]/$D$7911</f>
        <v>1.3944077651852326E-4</v>
      </c>
      <c r="F2795">
        <f>SUMIFS($D$2:$D$7909, $B$2:$B$7909, "Lombardia")</f>
        <v>9704151</v>
      </c>
      <c r="G2795" s="1">
        <f>Comuni__2[[#This Row],[Popolazione2011]]/Comuni__2[[#This Row],[POPOLAZIONE TOTALE DI OGNI REGIONE (CON FILTRO)]]</f>
        <v>8.5386140425885786E-4</v>
      </c>
      <c r="H2795" t="str">
        <f>IF(Comuni__2[[#This Row],[Popolazione2011]]&gt;300000,"MAGGIORE","")</f>
        <v/>
      </c>
      <c r="J2795">
        <v>26</v>
      </c>
      <c r="K2795">
        <v>6112</v>
      </c>
      <c r="L2795">
        <v>989</v>
      </c>
    </row>
    <row r="2796" spans="1:12" x14ac:dyDescent="0.2">
      <c r="A2796"/>
      <c r="B2796"/>
      <c r="C2796"/>
      <c r="D2796"/>
      <c r="E2796" s="2">
        <f>Comuni__2[[#This Row],[Popolazione2011]]/$D$7911</f>
        <v>1.3890226519235952E-4</v>
      </c>
      <c r="F2796">
        <f>SUMIFS($D$2:$D$7909, $B$2:$B$7909, "Lombardia")</f>
        <v>9704151</v>
      </c>
      <c r="G2796" s="1">
        <f>Comuni__2[[#This Row],[Popolazione2011]]/Comuni__2[[#This Row],[POPOLAZIONE TOTALE DI OGNI REGIONE (CON FILTRO)]]</f>
        <v>8.5056384633751063E-4</v>
      </c>
      <c r="H2796" t="str">
        <f>IF(Comuni__2[[#This Row],[Popolazione2011]]&gt;300000,"MAGGIORE","")</f>
        <v/>
      </c>
      <c r="J2796">
        <v>27</v>
      </c>
      <c r="K2796">
        <v>6120</v>
      </c>
      <c r="L2796">
        <v>989</v>
      </c>
    </row>
    <row r="2797" spans="1:12" x14ac:dyDescent="0.2">
      <c r="A2797"/>
      <c r="B2797"/>
      <c r="C2797"/>
      <c r="D2797"/>
      <c r="E2797" s="2">
        <f>Comuni__2[[#This Row],[Popolazione2011]]/$D$7911</f>
        <v>1.3854886713456457E-4</v>
      </c>
      <c r="F2797">
        <f>SUMIFS($D$2:$D$7909, $B$2:$B$7909, "Lombardia")</f>
        <v>9704151</v>
      </c>
      <c r="G2797" s="1">
        <f>Comuni__2[[#This Row],[Popolazione2011]]/Comuni__2[[#This Row],[POPOLAZIONE TOTALE DI OGNI REGIONE (CON FILTRO)]]</f>
        <v>8.4839982395162644E-4</v>
      </c>
      <c r="H2797" t="str">
        <f>IF(Comuni__2[[#This Row],[Popolazione2011]]&gt;300000,"MAGGIORE","")</f>
        <v/>
      </c>
      <c r="J2797">
        <v>28</v>
      </c>
      <c r="K2797">
        <v>6126</v>
      </c>
      <c r="L2797">
        <v>989</v>
      </c>
    </row>
    <row r="2798" spans="1:12" x14ac:dyDescent="0.2">
      <c r="A2798"/>
      <c r="B2798"/>
      <c r="C2798"/>
      <c r="D2798"/>
      <c r="E2798" s="2">
        <f>Comuni__2[[#This Row],[Popolazione2011]]/$D$7911</f>
        <v>1.3812815516099915E-4</v>
      </c>
      <c r="F2798">
        <f>SUMIFS($D$2:$D$7909, $B$2:$B$7909, "Lombardia")</f>
        <v>9704151</v>
      </c>
      <c r="G2798" s="1">
        <f>Comuni__2[[#This Row],[Popolazione2011]]/Comuni__2[[#This Row],[POPOLAZIONE TOTALE DI OGNI REGIONE (CON FILTRO)]]</f>
        <v>8.4582360682557394E-4</v>
      </c>
      <c r="H2798" t="str">
        <f>IF(Comuni__2[[#This Row],[Popolazione2011]]&gt;300000,"MAGGIORE","")</f>
        <v/>
      </c>
      <c r="J2798">
        <v>28</v>
      </c>
      <c r="K2798">
        <v>6129</v>
      </c>
      <c r="L2798">
        <v>989</v>
      </c>
    </row>
    <row r="2799" spans="1:12" x14ac:dyDescent="0.2">
      <c r="A2799"/>
      <c r="B2799"/>
      <c r="C2799"/>
      <c r="D2799"/>
      <c r="E2799" s="2">
        <f>Comuni__2[[#This Row],[Popolazione2011]]/$D$7911</f>
        <v>1.378757279768599E-4</v>
      </c>
      <c r="F2799">
        <f>SUMIFS($D$2:$D$7909, $B$2:$B$7909, "Lombardia")</f>
        <v>9704151</v>
      </c>
      <c r="G2799" s="1">
        <f>Comuni__2[[#This Row],[Popolazione2011]]/Comuni__2[[#This Row],[POPOLAZIONE TOTALE DI OGNI REGIONE (CON FILTRO)]]</f>
        <v>8.4427787654994238E-4</v>
      </c>
      <c r="H2799" t="str">
        <f>IF(Comuni__2[[#This Row],[Popolazione2011]]&gt;300000,"MAGGIORE","")</f>
        <v/>
      </c>
      <c r="J2799">
        <v>24</v>
      </c>
      <c r="K2799">
        <v>6140</v>
      </c>
      <c r="L2799">
        <v>990</v>
      </c>
    </row>
    <row r="2800" spans="1:12" x14ac:dyDescent="0.2">
      <c r="A2800"/>
      <c r="B2800"/>
      <c r="C2800"/>
      <c r="D2800"/>
      <c r="E2800" s="2">
        <f>Comuni__2[[#This Row],[Popolazione2011]]/$D$7911</f>
        <v>1.3715210338232736E-4</v>
      </c>
      <c r="F2800">
        <f>SUMIFS($D$2:$D$7909, $B$2:$B$7909, "Lombardia")</f>
        <v>9704151</v>
      </c>
      <c r="G2800" s="1">
        <f>Comuni__2[[#This Row],[Popolazione2011]]/Comuni__2[[#This Row],[POPOLAZIONE TOTALE DI OGNI REGIONE (CON FILTRO)]]</f>
        <v>8.39846783093132E-4</v>
      </c>
      <c r="H2800" t="str">
        <f>IF(Comuni__2[[#This Row],[Popolazione2011]]&gt;300000,"MAGGIORE","")</f>
        <v/>
      </c>
      <c r="J2800">
        <v>25</v>
      </c>
      <c r="K2800">
        <v>6146</v>
      </c>
      <c r="L2800">
        <v>990</v>
      </c>
    </row>
    <row r="2801" spans="1:12" x14ac:dyDescent="0.2">
      <c r="A2801"/>
      <c r="B2801"/>
      <c r="C2801"/>
      <c r="D2801"/>
      <c r="E2801" s="2">
        <f>Comuni__2[[#This Row],[Popolazione2011]]/$D$7911</f>
        <v>1.3701747555078643E-4</v>
      </c>
      <c r="F2801">
        <f>SUMIFS($D$2:$D$7909, $B$2:$B$7909, "Lombardia")</f>
        <v>9704151</v>
      </c>
      <c r="G2801" s="1">
        <f>Comuni__2[[#This Row],[Popolazione2011]]/Comuni__2[[#This Row],[POPOLAZIONE TOTALE DI OGNI REGIONE (CON FILTRO)]]</f>
        <v>8.3902239361279517E-4</v>
      </c>
      <c r="H2801" t="str">
        <f>IF(Comuni__2[[#This Row],[Popolazione2011]]&gt;300000,"MAGGIORE","")</f>
        <v/>
      </c>
      <c r="J2801">
        <v>22</v>
      </c>
      <c r="K2801">
        <v>6151</v>
      </c>
      <c r="L2801">
        <v>990</v>
      </c>
    </row>
    <row r="2802" spans="1:12" x14ac:dyDescent="0.2">
      <c r="A2802"/>
      <c r="B2802"/>
      <c r="C2802"/>
      <c r="D2802"/>
      <c r="E2802" s="2">
        <f>Comuni__2[[#This Row],[Popolazione2011]]/$D$7911</f>
        <v>1.3700064707184383E-4</v>
      </c>
      <c r="F2802">
        <f>SUMIFS($D$2:$D$7909, $B$2:$B$7909, "Lombardia")</f>
        <v>9704151</v>
      </c>
      <c r="G2802" s="1">
        <f>Comuni__2[[#This Row],[Popolazione2011]]/Comuni__2[[#This Row],[POPOLAZIONE TOTALE DI OGNI REGIONE (CON FILTRO)]]</f>
        <v>8.3891934492775306E-4</v>
      </c>
      <c r="H2802" t="str">
        <f>IF(Comuni__2[[#This Row],[Popolazione2011]]&gt;300000,"MAGGIORE","")</f>
        <v/>
      </c>
      <c r="J2802">
        <v>29</v>
      </c>
      <c r="K2802">
        <v>6154</v>
      </c>
      <c r="L2802">
        <v>990</v>
      </c>
    </row>
    <row r="2803" spans="1:12" x14ac:dyDescent="0.2">
      <c r="A2803"/>
      <c r="B2803"/>
      <c r="C2803"/>
      <c r="D2803"/>
      <c r="E2803" s="2">
        <f>Comuni__2[[#This Row],[Popolazione2011]]/$D$7911</f>
        <v>1.368660192403029E-4</v>
      </c>
      <c r="F2803">
        <f>SUMIFS($D$2:$D$7909, $B$2:$B$7909, "Lombardia")</f>
        <v>9704151</v>
      </c>
      <c r="G2803" s="1">
        <f>Comuni__2[[#This Row],[Popolazione2011]]/Comuni__2[[#This Row],[POPOLAZIONE TOTALE DI OGNI REGIONE (CON FILTRO)]]</f>
        <v>8.3809495544741623E-4</v>
      </c>
      <c r="H2803" t="str">
        <f>IF(Comuni__2[[#This Row],[Popolazione2011]]&gt;300000,"MAGGIORE","")</f>
        <v/>
      </c>
      <c r="J2803">
        <v>29</v>
      </c>
      <c r="K2803">
        <v>6161</v>
      </c>
      <c r="L2803">
        <v>990</v>
      </c>
    </row>
    <row r="2804" spans="1:12" x14ac:dyDescent="0.2">
      <c r="A2804"/>
      <c r="B2804"/>
      <c r="C2804"/>
      <c r="D2804"/>
      <c r="E2804" s="2">
        <f>Comuni__2[[#This Row],[Popolazione2011]]/$D$7911</f>
        <v>1.3674821988770457E-4</v>
      </c>
      <c r="F2804">
        <f>SUMIFS($D$2:$D$7909, $B$2:$B$7909, "Lombardia")</f>
        <v>9704151</v>
      </c>
      <c r="G2804" s="1">
        <f>Comuni__2[[#This Row],[Popolazione2011]]/Comuni__2[[#This Row],[POPOLAZIONE TOTALE DI OGNI REGIONE (CON FILTRO)]]</f>
        <v>8.373736146521215E-4</v>
      </c>
      <c r="H2804" t="str">
        <f>IF(Comuni__2[[#This Row],[Popolazione2011]]&gt;300000,"MAGGIORE","")</f>
        <v/>
      </c>
      <c r="J2804">
        <v>30</v>
      </c>
      <c r="K2804">
        <v>6170</v>
      </c>
      <c r="L2804">
        <v>990</v>
      </c>
    </row>
    <row r="2805" spans="1:12" x14ac:dyDescent="0.2">
      <c r="A2805"/>
      <c r="B2805"/>
      <c r="C2805"/>
      <c r="D2805"/>
      <c r="E2805" s="2">
        <f>Comuni__2[[#This Row],[Popolazione2011]]/$D$7911</f>
        <v>1.3671456292981934E-4</v>
      </c>
      <c r="F2805">
        <f>SUMIFS($D$2:$D$7909, $B$2:$B$7909, "Lombardia")</f>
        <v>9704151</v>
      </c>
      <c r="G2805" s="1">
        <f>Comuni__2[[#This Row],[Popolazione2011]]/Comuni__2[[#This Row],[POPOLAZIONE TOTALE DI OGNI REGIONE (CON FILTRO)]]</f>
        <v>8.371675172820374E-4</v>
      </c>
      <c r="H2805" t="str">
        <f>IF(Comuni__2[[#This Row],[Popolazione2011]]&gt;300000,"MAGGIORE","")</f>
        <v/>
      </c>
      <c r="J2805">
        <v>30</v>
      </c>
      <c r="K2805">
        <v>6180</v>
      </c>
      <c r="L2805">
        <v>990</v>
      </c>
    </row>
    <row r="2806" spans="1:12" x14ac:dyDescent="0.2">
      <c r="A2806"/>
      <c r="B2806"/>
      <c r="C2806"/>
      <c r="D2806"/>
      <c r="E2806" s="2">
        <f>Comuni__2[[#This Row],[Popolazione2011]]/$D$7911</f>
        <v>1.3651262118250792E-4</v>
      </c>
      <c r="F2806">
        <f>SUMIFS($D$2:$D$7909, $B$2:$B$7909, "Lombardia")</f>
        <v>9704151</v>
      </c>
      <c r="G2806" s="1">
        <f>Comuni__2[[#This Row],[Popolazione2011]]/Comuni__2[[#This Row],[POPOLAZIONE TOTALE DI OGNI REGIONE (CON FILTRO)]]</f>
        <v>8.3593093306153215E-4</v>
      </c>
      <c r="H2806" t="str">
        <f>IF(Comuni__2[[#This Row],[Popolazione2011]]&gt;300000,"MAGGIORE","")</f>
        <v/>
      </c>
      <c r="J2806">
        <v>29</v>
      </c>
      <c r="K2806">
        <v>6191</v>
      </c>
      <c r="L2806">
        <v>990</v>
      </c>
    </row>
    <row r="2807" spans="1:12" x14ac:dyDescent="0.2">
      <c r="A2807"/>
      <c r="B2807"/>
      <c r="C2807"/>
      <c r="D2807"/>
      <c r="E2807" s="2">
        <f>Comuni__2[[#This Row],[Popolazione2011]]/$D$7911</f>
        <v>1.3620970856154083E-4</v>
      </c>
      <c r="F2807">
        <f>SUMIFS($D$2:$D$7909, $B$2:$B$7909, "Lombardia")</f>
        <v>9704151</v>
      </c>
      <c r="G2807" s="1">
        <f>Comuni__2[[#This Row],[Popolazione2011]]/Comuni__2[[#This Row],[POPOLAZIONE TOTALE DI OGNI REGIONE (CON FILTRO)]]</f>
        <v>8.3407605673077427E-4</v>
      </c>
      <c r="H2807" t="str">
        <f>IF(Comuni__2[[#This Row],[Popolazione2011]]&gt;300000,"MAGGIORE","")</f>
        <v/>
      </c>
      <c r="J2807">
        <v>29</v>
      </c>
      <c r="K2807">
        <v>6197</v>
      </c>
      <c r="L2807">
        <v>991</v>
      </c>
    </row>
    <row r="2808" spans="1:12" x14ac:dyDescent="0.2">
      <c r="A2808"/>
      <c r="B2808"/>
      <c r="C2808"/>
      <c r="D2808"/>
      <c r="E2808" s="2">
        <f>Comuni__2[[#This Row],[Popolazione2011]]/$D$7911</f>
        <v>1.3578899658797541E-4</v>
      </c>
      <c r="F2808">
        <f>SUMIFS($D$2:$D$7909, $B$2:$B$7909, "Lombardia")</f>
        <v>9704151</v>
      </c>
      <c r="G2808" s="1">
        <f>Comuni__2[[#This Row],[Popolazione2011]]/Comuni__2[[#This Row],[POPOLAZIONE TOTALE DI OGNI REGIONE (CON FILTRO)]]</f>
        <v>8.3149983960472177E-4</v>
      </c>
      <c r="H2808" t="str">
        <f>IF(Comuni__2[[#This Row],[Popolazione2011]]&gt;300000,"MAGGIORE","")</f>
        <v/>
      </c>
      <c r="J2808">
        <v>30</v>
      </c>
      <c r="K2808">
        <v>6210</v>
      </c>
      <c r="L2808">
        <v>992</v>
      </c>
    </row>
    <row r="2809" spans="1:12" x14ac:dyDescent="0.2">
      <c r="A2809"/>
      <c r="B2809"/>
      <c r="C2809"/>
      <c r="D2809"/>
      <c r="E2809" s="2">
        <f>Comuni__2[[#This Row],[Popolazione2011]]/$D$7911</f>
        <v>1.3514951438815597E-4</v>
      </c>
      <c r="F2809">
        <f>SUMIFS($D$2:$D$7909, $B$2:$B$7909, "Lombardia")</f>
        <v>9704151</v>
      </c>
      <c r="G2809" s="1">
        <f>Comuni__2[[#This Row],[Popolazione2011]]/Comuni__2[[#This Row],[POPOLAZIONE TOTALE DI OGNI REGIONE (CON FILTRO)]]</f>
        <v>8.275839895731218E-4</v>
      </c>
      <c r="H2809" t="str">
        <f>IF(Comuni__2[[#This Row],[Popolazione2011]]&gt;300000,"MAGGIORE","")</f>
        <v/>
      </c>
      <c r="J2809">
        <v>34</v>
      </c>
      <c r="K2809">
        <v>6219</v>
      </c>
      <c r="L2809">
        <v>992</v>
      </c>
    </row>
    <row r="2810" spans="1:12" x14ac:dyDescent="0.2">
      <c r="A2810"/>
      <c r="B2810"/>
      <c r="C2810"/>
      <c r="D2810"/>
      <c r="E2810" s="2">
        <f>Comuni__2[[#This Row],[Popolazione2011]]/$D$7911</f>
        <v>1.3511585743027074E-4</v>
      </c>
      <c r="F2810">
        <f>SUMIFS($D$2:$D$7909, $B$2:$B$7909, "Lombardia")</f>
        <v>9704151</v>
      </c>
      <c r="G2810" s="1">
        <f>Comuni__2[[#This Row],[Popolazione2011]]/Comuni__2[[#This Row],[POPOLAZIONE TOTALE DI OGNI REGIONE (CON FILTRO)]]</f>
        <v>8.273778922030376E-4</v>
      </c>
      <c r="H2810" t="str">
        <f>IF(Comuni__2[[#This Row],[Popolazione2011]]&gt;300000,"MAGGIORE","")</f>
        <v/>
      </c>
      <c r="J2810">
        <v>35</v>
      </c>
      <c r="K2810">
        <v>6226</v>
      </c>
      <c r="L2810">
        <v>992</v>
      </c>
    </row>
    <row r="2811" spans="1:12" x14ac:dyDescent="0.2">
      <c r="A2811"/>
      <c r="B2811"/>
      <c r="C2811"/>
      <c r="D2811"/>
      <c r="E2811" s="2">
        <f>Comuni__2[[#This Row],[Popolazione2011]]/$D$7911</f>
        <v>1.3452686066727914E-4</v>
      </c>
      <c r="F2811">
        <f>SUMIFS($D$2:$D$7909, $B$2:$B$7909, "Lombardia")</f>
        <v>9704151</v>
      </c>
      <c r="G2811" s="1">
        <f>Comuni__2[[#This Row],[Popolazione2011]]/Comuni__2[[#This Row],[POPOLAZIONE TOTALE DI OGNI REGIONE (CON FILTRO)]]</f>
        <v>8.2377118822656405E-4</v>
      </c>
      <c r="H2811" t="str">
        <f>IF(Comuni__2[[#This Row],[Popolazione2011]]&gt;300000,"MAGGIORE","")</f>
        <v/>
      </c>
      <c r="J2811">
        <v>36</v>
      </c>
      <c r="K2811">
        <v>6240</v>
      </c>
      <c r="L2811">
        <v>992</v>
      </c>
    </row>
    <row r="2812" spans="1:12" x14ac:dyDescent="0.2">
      <c r="A2812"/>
      <c r="B2812"/>
      <c r="C2812"/>
      <c r="D2812"/>
      <c r="E2812" s="2">
        <f>Comuni__2[[#This Row],[Popolazione2011]]/$D$7911</f>
        <v>1.3434174739891035E-4</v>
      </c>
      <c r="F2812">
        <f>SUMIFS($D$2:$D$7909, $B$2:$B$7909, "Lombardia")</f>
        <v>9704151</v>
      </c>
      <c r="G2812" s="1">
        <f>Comuni__2[[#This Row],[Popolazione2011]]/Comuni__2[[#This Row],[POPOLAZIONE TOTALE DI OGNI REGIONE (CON FILTRO)]]</f>
        <v>8.2263765269110091E-4</v>
      </c>
      <c r="H2812" t="str">
        <f>IF(Comuni__2[[#This Row],[Popolazione2011]]&gt;300000,"MAGGIORE","")</f>
        <v/>
      </c>
      <c r="J2812">
        <v>39</v>
      </c>
      <c r="K2812">
        <v>6251</v>
      </c>
      <c r="L2812">
        <v>992</v>
      </c>
    </row>
    <row r="2813" spans="1:12" x14ac:dyDescent="0.2">
      <c r="A2813"/>
      <c r="B2813"/>
      <c r="C2813"/>
      <c r="D2813"/>
      <c r="E2813" s="2">
        <f>Comuni__2[[#This Row],[Popolazione2011]]/$D$7911</f>
        <v>1.3324789626764026E-4</v>
      </c>
      <c r="F2813">
        <f>SUMIFS($D$2:$D$7909, $B$2:$B$7909, "Lombardia")</f>
        <v>9704151</v>
      </c>
      <c r="G2813" s="1">
        <f>Comuni__2[[#This Row],[Popolazione2011]]/Comuni__2[[#This Row],[POPOLAZIONE TOTALE DI OGNI REGIONE (CON FILTRO)]]</f>
        <v>8.1593948816336434E-4</v>
      </c>
      <c r="H2813" t="str">
        <f>IF(Comuni__2[[#This Row],[Popolazione2011]]&gt;300000,"MAGGIORE","")</f>
        <v/>
      </c>
      <c r="J2813">
        <v>40</v>
      </c>
      <c r="K2813">
        <v>6262</v>
      </c>
      <c r="L2813">
        <v>992</v>
      </c>
    </row>
    <row r="2814" spans="1:12" x14ac:dyDescent="0.2">
      <c r="A2814"/>
      <c r="B2814"/>
      <c r="C2814"/>
      <c r="D2814"/>
      <c r="E2814" s="2">
        <f>Comuni__2[[#This Row],[Popolazione2011]]/$D$7911</f>
        <v>1.3316375387292719E-4</v>
      </c>
      <c r="F2814">
        <f>SUMIFS($D$2:$D$7909, $B$2:$B$7909, "Lombardia")</f>
        <v>9704151</v>
      </c>
      <c r="G2814" s="1">
        <f>Comuni__2[[#This Row],[Popolazione2011]]/Comuni__2[[#This Row],[POPOLAZIONE TOTALE DI OGNI REGIONE (CON FILTRO)]]</f>
        <v>8.1542424473815382E-4</v>
      </c>
      <c r="H2814" t="str">
        <f>IF(Comuni__2[[#This Row],[Popolazione2011]]&gt;300000,"MAGGIORE","")</f>
        <v/>
      </c>
      <c r="J2814">
        <v>44</v>
      </c>
      <c r="K2814">
        <v>6290</v>
      </c>
      <c r="L2814">
        <v>992</v>
      </c>
    </row>
    <row r="2815" spans="1:12" x14ac:dyDescent="0.2">
      <c r="A2815"/>
      <c r="B2815"/>
      <c r="C2815"/>
      <c r="D2815"/>
      <c r="E2815" s="2">
        <f>Comuni__2[[#This Row],[Popolazione2011]]/$D$7911</f>
        <v>1.3186796099434568E-4</v>
      </c>
      <c r="F2815">
        <f>SUMIFS($D$2:$D$7909, $B$2:$B$7909, "Lombardia")</f>
        <v>9704151</v>
      </c>
      <c r="G2815" s="1">
        <f>Comuni__2[[#This Row],[Popolazione2011]]/Comuni__2[[#This Row],[POPOLAZIONE TOTALE DI OGNI REGIONE (CON FILTRO)]]</f>
        <v>8.074894959899119E-4</v>
      </c>
      <c r="H2815" t="str">
        <f>IF(Comuni__2[[#This Row],[Popolazione2011]]&gt;300000,"MAGGIORE","")</f>
        <v/>
      </c>
      <c r="J2815">
        <v>50</v>
      </c>
      <c r="K2815">
        <v>6298</v>
      </c>
      <c r="L2815">
        <v>992</v>
      </c>
    </row>
    <row r="2816" spans="1:12" x14ac:dyDescent="0.2">
      <c r="A2816"/>
      <c r="B2816"/>
      <c r="C2816"/>
      <c r="D2816"/>
      <c r="E2816" s="2">
        <f>Comuni__2[[#This Row],[Popolazione2011]]/$D$7911</f>
        <v>1.3176699012068998E-4</v>
      </c>
      <c r="F2816">
        <f>SUMIFS($D$2:$D$7909, $B$2:$B$7909, "Lombardia")</f>
        <v>9704151</v>
      </c>
      <c r="G2816" s="1">
        <f>Comuni__2[[#This Row],[Popolazione2011]]/Comuni__2[[#This Row],[POPOLAZIONE TOTALE DI OGNI REGIONE (CON FILTRO)]]</f>
        <v>8.0687120387965938E-4</v>
      </c>
      <c r="H2816" t="str">
        <f>IF(Comuni__2[[#This Row],[Popolazione2011]]&gt;300000,"MAGGIORE","")</f>
        <v/>
      </c>
      <c r="J2816">
        <v>55</v>
      </c>
      <c r="K2816">
        <v>6309</v>
      </c>
      <c r="L2816">
        <v>992</v>
      </c>
    </row>
    <row r="2817" spans="1:12" x14ac:dyDescent="0.2">
      <c r="A2817"/>
      <c r="B2817"/>
      <c r="C2817"/>
      <c r="D2817"/>
      <c r="E2817" s="2">
        <f>Comuni__2[[#This Row],[Popolazione2011]]/$D$7911</f>
        <v>1.3114433639981315E-4</v>
      </c>
      <c r="F2817">
        <f>SUMIFS($D$2:$D$7909, $B$2:$B$7909, "Lombardia")</f>
        <v>9704151</v>
      </c>
      <c r="G2817" s="1">
        <f>Comuni__2[[#This Row],[Popolazione2011]]/Comuni__2[[#This Row],[POPOLAZIONE TOTALE DI OGNI REGIONE (CON FILTRO)]]</f>
        <v>8.0305840253310152E-4</v>
      </c>
      <c r="H2817" t="str">
        <f>IF(Comuni__2[[#This Row],[Popolazione2011]]&gt;300000,"MAGGIORE","")</f>
        <v/>
      </c>
      <c r="J2817">
        <v>66</v>
      </c>
      <c r="K2817">
        <v>6325</v>
      </c>
      <c r="L2817">
        <v>992</v>
      </c>
    </row>
    <row r="2818" spans="1:12" x14ac:dyDescent="0.2">
      <c r="A2818"/>
      <c r="B2818"/>
      <c r="C2818"/>
      <c r="D2818"/>
      <c r="E2818" s="2">
        <f>Comuni__2[[#This Row],[Popolazione2011]]/$D$7911</f>
        <v>1.3087508073673129E-4</v>
      </c>
      <c r="F2818">
        <f>SUMIFS($D$2:$D$7909, $B$2:$B$7909, "Lombardia")</f>
        <v>9704151</v>
      </c>
      <c r="G2818" s="1">
        <f>Comuni__2[[#This Row],[Popolazione2011]]/Comuni__2[[#This Row],[POPOLAZIONE TOTALE DI OGNI REGIONE (CON FILTRO)]]</f>
        <v>8.0140962357242796E-4</v>
      </c>
      <c r="H2818" t="str">
        <f>IF(Comuni__2[[#This Row],[Popolazione2011]]&gt;300000,"MAGGIORE","")</f>
        <v/>
      </c>
      <c r="J2818">
        <v>72</v>
      </c>
      <c r="K2818">
        <v>6349</v>
      </c>
      <c r="L2818">
        <v>992</v>
      </c>
    </row>
    <row r="2819" spans="1:12" x14ac:dyDescent="0.2">
      <c r="A2819"/>
      <c r="B2819"/>
      <c r="C2819"/>
      <c r="D2819"/>
      <c r="E2819" s="2">
        <f>Comuni__2[[#This Row],[Popolazione2011]]/$D$7911</f>
        <v>1.3077410986307559E-4</v>
      </c>
      <c r="F2819">
        <f>SUMIFS($D$2:$D$7909, $B$2:$B$7909, "Lombardia")</f>
        <v>9704151</v>
      </c>
      <c r="G2819" s="1">
        <f>Comuni__2[[#This Row],[Popolazione2011]]/Comuni__2[[#This Row],[POPOLAZIONE TOTALE DI OGNI REGIONE (CON FILTRO)]]</f>
        <v>8.0079133146217533E-4</v>
      </c>
      <c r="H2819" t="str">
        <f>IF(Comuni__2[[#This Row],[Popolazione2011]]&gt;300000,"MAGGIORE","")</f>
        <v/>
      </c>
      <c r="J2819">
        <v>70</v>
      </c>
      <c r="K2819">
        <v>6362</v>
      </c>
      <c r="L2819">
        <v>992</v>
      </c>
    </row>
    <row r="2820" spans="1:12" x14ac:dyDescent="0.2">
      <c r="A2820"/>
      <c r="B2820"/>
      <c r="C2820"/>
      <c r="D2820"/>
      <c r="E2820" s="2">
        <f>Comuni__2[[#This Row],[Popolazione2011]]/$D$7911</f>
        <v>1.3057216811576417E-4</v>
      </c>
      <c r="F2820">
        <f>SUMIFS($D$2:$D$7909, $B$2:$B$7909, "Lombardia")</f>
        <v>9704151</v>
      </c>
      <c r="G2820" s="1">
        <f>Comuni__2[[#This Row],[Popolazione2011]]/Comuni__2[[#This Row],[POPOLAZIONE TOTALE DI OGNI REGIONE (CON FILTRO)]]</f>
        <v>7.9955474724167008E-4</v>
      </c>
      <c r="H2820" t="str">
        <f>IF(Comuni__2[[#This Row],[Popolazione2011]]&gt;300000,"MAGGIORE","")</f>
        <v/>
      </c>
      <c r="J2820">
        <v>83</v>
      </c>
      <c r="K2820">
        <v>6387</v>
      </c>
      <c r="L2820">
        <v>992</v>
      </c>
    </row>
    <row r="2821" spans="1:12" x14ac:dyDescent="0.2">
      <c r="A2821"/>
      <c r="B2821"/>
      <c r="C2821"/>
      <c r="D2821"/>
      <c r="E2821" s="2">
        <f>Comuni__2[[#This Row],[Popolazione2011]]/$D$7911</f>
        <v>1.3038705484739541E-4</v>
      </c>
      <c r="F2821">
        <f>SUMIFS($D$2:$D$7909, $B$2:$B$7909, "Lombardia")</f>
        <v>9704151</v>
      </c>
      <c r="G2821" s="1">
        <f>Comuni__2[[#This Row],[Popolazione2011]]/Comuni__2[[#This Row],[POPOLAZIONE TOTALE DI OGNI REGIONE (CON FILTRO)]]</f>
        <v>7.9842121170620693E-4</v>
      </c>
      <c r="H2821" t="str">
        <f>IF(Comuni__2[[#This Row],[Popolazione2011]]&gt;300000,"MAGGIORE","")</f>
        <v/>
      </c>
      <c r="J2821">
        <v>87</v>
      </c>
      <c r="K2821">
        <v>6400</v>
      </c>
      <c r="L2821">
        <v>992</v>
      </c>
    </row>
    <row r="2822" spans="1:12" x14ac:dyDescent="0.2">
      <c r="A2822"/>
      <c r="B2822"/>
      <c r="C2822"/>
      <c r="D2822"/>
      <c r="E2822" s="2">
        <f>Comuni__2[[#This Row],[Popolazione2011]]/$D$7911</f>
        <v>1.3001682831065783E-4</v>
      </c>
      <c r="F2822">
        <f>SUMIFS($D$2:$D$7909, $B$2:$B$7909, "Lombardia")</f>
        <v>9704151</v>
      </c>
      <c r="G2822" s="1">
        <f>Comuni__2[[#This Row],[Popolazione2011]]/Comuni__2[[#This Row],[POPOLAZIONE TOTALE DI OGNI REGIONE (CON FILTRO)]]</f>
        <v>7.9615414063528075E-4</v>
      </c>
      <c r="H2822" t="str">
        <f>IF(Comuni__2[[#This Row],[Popolazione2011]]&gt;300000,"MAGGIORE","")</f>
        <v/>
      </c>
      <c r="J2822">
        <v>101</v>
      </c>
      <c r="K2822">
        <v>6418</v>
      </c>
      <c r="L2822">
        <v>995</v>
      </c>
    </row>
    <row r="2823" spans="1:12" x14ac:dyDescent="0.2">
      <c r="A2823"/>
      <c r="B2823"/>
      <c r="C2823"/>
      <c r="D2823"/>
      <c r="E2823" s="2">
        <f>Comuni__2[[#This Row],[Popolazione2011]]/$D$7911</f>
        <v>1.2998317135277259E-4</v>
      </c>
      <c r="F2823">
        <f>SUMIFS($D$2:$D$7909, $B$2:$B$7909, "Lombardia")</f>
        <v>9704151</v>
      </c>
      <c r="G2823" s="1">
        <f>Comuni__2[[#This Row],[Popolazione2011]]/Comuni__2[[#This Row],[POPOLAZIONE TOTALE DI OGNI REGIONE (CON FILTRO)]]</f>
        <v>7.9594804326519654E-4</v>
      </c>
      <c r="H2823" t="str">
        <f>IF(Comuni__2[[#This Row],[Popolazione2011]]&gt;300000,"MAGGIORE","")</f>
        <v/>
      </c>
      <c r="J2823">
        <v>113</v>
      </c>
      <c r="K2823">
        <v>6443</v>
      </c>
      <c r="L2823">
        <v>995</v>
      </c>
    </row>
    <row r="2824" spans="1:12" x14ac:dyDescent="0.2">
      <c r="A2824"/>
      <c r="B2824"/>
      <c r="C2824"/>
      <c r="D2824"/>
      <c r="E2824" s="2">
        <f>Comuni__2[[#This Row],[Popolazione2011]]/$D$7911</f>
        <v>1.298822004791169E-4</v>
      </c>
      <c r="F2824">
        <f>SUMIFS($D$2:$D$7909, $B$2:$B$7909, "Lombardia")</f>
        <v>9704151</v>
      </c>
      <c r="G2824" s="1">
        <f>Comuni__2[[#This Row],[Popolazione2011]]/Comuni__2[[#This Row],[POPOLAZIONE TOTALE DI OGNI REGIONE (CON FILTRO)]]</f>
        <v>7.9532975115494391E-4</v>
      </c>
      <c r="H2824" t="str">
        <f>IF(Comuni__2[[#This Row],[Popolazione2011]]&gt;300000,"MAGGIORE","")</f>
        <v/>
      </c>
      <c r="J2824">
        <v>118</v>
      </c>
      <c r="K2824">
        <v>6467</v>
      </c>
      <c r="L2824">
        <v>996</v>
      </c>
    </row>
    <row r="2825" spans="1:12" x14ac:dyDescent="0.2">
      <c r="A2825"/>
      <c r="B2825"/>
      <c r="C2825"/>
      <c r="D2825"/>
      <c r="E2825" s="2">
        <f>Comuni__2[[#This Row],[Popolazione2011]]/$D$7911</f>
        <v>1.2956245937920718E-4</v>
      </c>
      <c r="F2825">
        <f>SUMIFS($D$2:$D$7909, $B$2:$B$7909, "Lombardia")</f>
        <v>9704151</v>
      </c>
      <c r="G2825" s="1">
        <f>Comuni__2[[#This Row],[Popolazione2011]]/Comuni__2[[#This Row],[POPOLAZIONE TOTALE DI OGNI REGIONE (CON FILTRO)]]</f>
        <v>7.9337182613914393E-4</v>
      </c>
      <c r="H2825" t="str">
        <f>IF(Comuni__2[[#This Row],[Popolazione2011]]&gt;300000,"MAGGIORE","")</f>
        <v/>
      </c>
      <c r="J2825">
        <v>134</v>
      </c>
      <c r="K2825">
        <v>6497</v>
      </c>
      <c r="L2825">
        <v>997</v>
      </c>
    </row>
    <row r="2826" spans="1:12" x14ac:dyDescent="0.2">
      <c r="A2826"/>
      <c r="B2826"/>
      <c r="C2826"/>
      <c r="D2826"/>
      <c r="E2826" s="2">
        <f>Comuni__2[[#This Row],[Popolazione2011]]/$D$7911</f>
        <v>1.289902910951582E-4</v>
      </c>
      <c r="F2826">
        <f>SUMIFS($D$2:$D$7909, $B$2:$B$7909, "Lombardia")</f>
        <v>9704151</v>
      </c>
      <c r="G2826" s="1">
        <f>Comuni__2[[#This Row],[Popolazione2011]]/Comuni__2[[#This Row],[POPOLAZIONE TOTALE DI OGNI REGIONE (CON FILTRO)]]</f>
        <v>7.8986817084771249E-4</v>
      </c>
      <c r="H2826" t="str">
        <f>IF(Comuni__2[[#This Row],[Popolazione2011]]&gt;300000,"MAGGIORE","")</f>
        <v/>
      </c>
      <c r="J2826">
        <v>152</v>
      </c>
      <c r="K2826">
        <v>6570</v>
      </c>
      <c r="L2826">
        <v>998</v>
      </c>
    </row>
    <row r="2827" spans="1:12" x14ac:dyDescent="0.2">
      <c r="A2827"/>
      <c r="B2827"/>
      <c r="C2827"/>
      <c r="D2827"/>
      <c r="E2827" s="2">
        <f>Comuni__2[[#This Row],[Popolazione2011]]/$D$7911</f>
        <v>1.2880517782678941E-4</v>
      </c>
      <c r="F2827">
        <f>SUMIFS($D$2:$D$7909, $B$2:$B$7909, "Lombardia")</f>
        <v>9704151</v>
      </c>
      <c r="G2827" s="1">
        <f>Comuni__2[[#This Row],[Popolazione2011]]/Comuni__2[[#This Row],[POPOLAZIONE TOTALE DI OGNI REGIONE (CON FILTRO)]]</f>
        <v>7.8873463531224934E-4</v>
      </c>
      <c r="H2827" t="str">
        <f>IF(Comuni__2[[#This Row],[Popolazione2011]]&gt;300000,"MAGGIORE","")</f>
        <v/>
      </c>
      <c r="J2827">
        <v>174</v>
      </c>
      <c r="K2827">
        <v>6596</v>
      </c>
      <c r="L2827">
        <v>1000</v>
      </c>
    </row>
    <row r="2828" spans="1:12" x14ac:dyDescent="0.2">
      <c r="A2828"/>
      <c r="B2828"/>
      <c r="C2828"/>
      <c r="D2828"/>
      <c r="E2828" s="2">
        <f>Comuni__2[[#This Row],[Popolazione2011]]/$D$7911</f>
        <v>1.2848543672687969E-4</v>
      </c>
      <c r="F2828">
        <f>SUMIFS($D$2:$D$7909, $B$2:$B$7909, "Lombardia")</f>
        <v>9704151</v>
      </c>
      <c r="G2828" s="1">
        <f>Comuni__2[[#This Row],[Popolazione2011]]/Comuni__2[[#This Row],[POPOLAZIONE TOTALE DI OGNI REGIONE (CON FILTRO)]]</f>
        <v>7.8677671029644947E-4</v>
      </c>
      <c r="H2828" t="str">
        <f>IF(Comuni__2[[#This Row],[Popolazione2011]]&gt;300000,"MAGGIORE","")</f>
        <v/>
      </c>
      <c r="J2828">
        <v>201</v>
      </c>
      <c r="K2828">
        <v>6619</v>
      </c>
      <c r="L2828">
        <v>1001</v>
      </c>
    </row>
    <row r="2829" spans="1:12" x14ac:dyDescent="0.2">
      <c r="A2829"/>
      <c r="B2829"/>
      <c r="C2829"/>
      <c r="D2829"/>
      <c r="E2829" s="2">
        <f>Comuni__2[[#This Row],[Popolazione2011]]/$D$7911</f>
        <v>1.2841812281110923E-4</v>
      </c>
      <c r="F2829">
        <f>SUMIFS($D$2:$D$7909, $B$2:$B$7909, "Lombardia")</f>
        <v>9704151</v>
      </c>
      <c r="G2829" s="1">
        <f>Comuni__2[[#This Row],[Popolazione2011]]/Comuni__2[[#This Row],[POPOLAZIONE TOTALE DI OGNI REGIONE (CON FILTRO)]]</f>
        <v>7.8636451555628105E-4</v>
      </c>
      <c r="H2829" t="str">
        <f>IF(Comuni__2[[#This Row],[Popolazione2011]]&gt;300000,"MAGGIORE","")</f>
        <v/>
      </c>
      <c r="J2829">
        <v>201</v>
      </c>
      <c r="K2829">
        <v>6711</v>
      </c>
      <c r="L2829">
        <v>1003</v>
      </c>
    </row>
    <row r="2830" spans="1:12" x14ac:dyDescent="0.2">
      <c r="A2830"/>
      <c r="B2830"/>
      <c r="C2830"/>
      <c r="D2830"/>
      <c r="E2830" s="2">
        <f>Comuni__2[[#This Row],[Popolazione2011]]/$D$7911</f>
        <v>1.2821618106379783E-4</v>
      </c>
      <c r="F2830">
        <f>SUMIFS($D$2:$D$7909, $B$2:$B$7909, "Lombardia")</f>
        <v>9704151</v>
      </c>
      <c r="G2830" s="1">
        <f>Comuni__2[[#This Row],[Popolazione2011]]/Comuni__2[[#This Row],[POPOLAZIONE TOTALE DI OGNI REGIONE (CON FILTRO)]]</f>
        <v>7.851279313357758E-4</v>
      </c>
      <c r="H2830" t="str">
        <f>IF(Comuni__2[[#This Row],[Popolazione2011]]&gt;300000,"MAGGIORE","")</f>
        <v/>
      </c>
      <c r="J2830">
        <v>253</v>
      </c>
      <c r="K2830">
        <v>6752</v>
      </c>
      <c r="L2830">
        <v>1004</v>
      </c>
    </row>
    <row r="2831" spans="1:12" x14ac:dyDescent="0.2">
      <c r="A2831"/>
      <c r="B2831"/>
      <c r="C2831"/>
      <c r="D2831"/>
      <c r="E2831" s="2">
        <f>Comuni__2[[#This Row],[Popolazione2011]]/$D$7911</f>
        <v>1.2794692540071595E-4</v>
      </c>
      <c r="F2831">
        <f>SUMIFS($D$2:$D$7909, $B$2:$B$7909, "Lombardia")</f>
        <v>9704151</v>
      </c>
      <c r="G2831" s="1">
        <f>Comuni__2[[#This Row],[Popolazione2011]]/Comuni__2[[#This Row],[POPOLAZIONE TOTALE DI OGNI REGIONE (CON FILTRO)]]</f>
        <v>7.8347915237510213E-4</v>
      </c>
      <c r="H2831" t="str">
        <f>IF(Comuni__2[[#This Row],[Popolazione2011]]&gt;300000,"MAGGIORE","")</f>
        <v/>
      </c>
      <c r="J2831">
        <v>278</v>
      </c>
      <c r="K2831">
        <v>6827</v>
      </c>
      <c r="L2831">
        <v>1006</v>
      </c>
    </row>
    <row r="2832" spans="1:12" x14ac:dyDescent="0.2">
      <c r="A2832"/>
      <c r="B2832"/>
      <c r="C2832"/>
      <c r="D2832"/>
      <c r="E2832" s="2">
        <f>Comuni__2[[#This Row],[Popolazione2011]]/$D$7911</f>
        <v>1.2791326844283072E-4</v>
      </c>
      <c r="F2832">
        <f>SUMIFS($D$2:$D$7909, $B$2:$B$7909, "Lombardia")</f>
        <v>9704151</v>
      </c>
      <c r="G2832" s="1">
        <f>Comuni__2[[#This Row],[Popolazione2011]]/Comuni__2[[#This Row],[POPOLAZIONE TOTALE DI OGNI REGIONE (CON FILTRO)]]</f>
        <v>7.8327305500501792E-4</v>
      </c>
      <c r="H2832" t="str">
        <f>IF(Comuni__2[[#This Row],[Popolazione2011]]&gt;300000,"MAGGIORE","")</f>
        <v/>
      </c>
      <c r="J2832">
        <v>282</v>
      </c>
      <c r="K2832">
        <v>6875</v>
      </c>
      <c r="L2832">
        <v>1008</v>
      </c>
    </row>
    <row r="2833" spans="1:12" x14ac:dyDescent="0.2">
      <c r="A2833"/>
      <c r="B2833"/>
      <c r="C2833"/>
      <c r="D2833"/>
      <c r="E2833" s="2">
        <f>Comuni__2[[#This Row],[Popolazione2011]]/$D$7911</f>
        <v>1.2784595452706025E-4</v>
      </c>
      <c r="F2833">
        <f>SUMIFS($D$2:$D$7909, $B$2:$B$7909, "Lombardia")</f>
        <v>9704151</v>
      </c>
      <c r="G2833" s="1">
        <f>Comuni__2[[#This Row],[Popolazione2011]]/Comuni__2[[#This Row],[POPOLAZIONE TOTALE DI OGNI REGIONE (CON FILTRO)]]</f>
        <v>7.828608602648495E-4</v>
      </c>
      <c r="H2833" t="str">
        <f>IF(Comuni__2[[#This Row],[Popolazione2011]]&gt;300000,"MAGGIORE","")</f>
        <v/>
      </c>
      <c r="J2833">
        <v>286</v>
      </c>
      <c r="K2833">
        <v>6950</v>
      </c>
      <c r="L2833">
        <v>1009</v>
      </c>
    </row>
    <row r="2834" spans="1:12" x14ac:dyDescent="0.2">
      <c r="A2834"/>
      <c r="B2834"/>
      <c r="C2834"/>
      <c r="D2834"/>
      <c r="E2834" s="2">
        <f>Comuni__2[[#This Row],[Popolazione2011]]/$D$7911</f>
        <v>1.2734110015878174E-4</v>
      </c>
      <c r="F2834">
        <f>SUMIFS($D$2:$D$7909, $B$2:$B$7909, "Lombardia")</f>
        <v>9704151</v>
      </c>
      <c r="G2834" s="1">
        <f>Comuni__2[[#This Row],[Popolazione2011]]/Comuni__2[[#This Row],[POPOLAZIONE TOTALE DI OGNI REGIONE (CON FILTRO)]]</f>
        <v>7.7976939971358648E-4</v>
      </c>
      <c r="H2834" t="str">
        <f>IF(Comuni__2[[#This Row],[Popolazione2011]]&gt;300000,"MAGGIORE","")</f>
        <v/>
      </c>
      <c r="J2834">
        <v>301</v>
      </c>
      <c r="K2834">
        <v>6965</v>
      </c>
      <c r="L2834">
        <v>1013</v>
      </c>
    </row>
    <row r="2835" spans="1:12" x14ac:dyDescent="0.2">
      <c r="A2835"/>
      <c r="B2835"/>
      <c r="C2835"/>
      <c r="D2835"/>
      <c r="E2835" s="2">
        <f>Comuni__2[[#This Row],[Popolazione2011]]/$D$7911</f>
        <v>1.2730744320089651E-4</v>
      </c>
      <c r="F2835">
        <f>SUMIFS($D$2:$D$7909, $B$2:$B$7909, "Lombardia")</f>
        <v>9704151</v>
      </c>
      <c r="G2835" s="1">
        <f>Comuni__2[[#This Row],[Popolazione2011]]/Comuni__2[[#This Row],[POPOLAZIONE TOTALE DI OGNI REGIONE (CON FILTRO)]]</f>
        <v>7.7956330234350227E-4</v>
      </c>
      <c r="H2835" t="str">
        <f>IF(Comuni__2[[#This Row],[Popolazione2011]]&gt;300000,"MAGGIORE","")</f>
        <v/>
      </c>
      <c r="J2835">
        <v>322</v>
      </c>
      <c r="K2835">
        <v>6997</v>
      </c>
      <c r="L2835">
        <v>1019</v>
      </c>
    </row>
    <row r="2836" spans="1:12" x14ac:dyDescent="0.2">
      <c r="A2836"/>
      <c r="B2836"/>
      <c r="C2836"/>
      <c r="D2836"/>
      <c r="E2836" s="2">
        <f>Comuni__2[[#This Row],[Popolazione2011]]/$D$7911</f>
        <v>1.2678576035367539E-4</v>
      </c>
      <c r="F2836">
        <f>SUMIFS($D$2:$D$7909, $B$2:$B$7909, "Lombardia")</f>
        <v>9704151</v>
      </c>
      <c r="G2836" s="1">
        <f>Comuni__2[[#This Row],[Popolazione2011]]/Comuni__2[[#This Row],[POPOLAZIONE TOTALE DI OGNI REGIONE (CON FILTRO)]]</f>
        <v>7.7636879310719715E-4</v>
      </c>
      <c r="H2836" t="str">
        <f>IF(Comuni__2[[#This Row],[Popolazione2011]]&gt;300000,"MAGGIORE","")</f>
        <v/>
      </c>
      <c r="J2836">
        <v>369</v>
      </c>
      <c r="K2836">
        <v>7060</v>
      </c>
      <c r="L2836">
        <v>1021</v>
      </c>
    </row>
    <row r="2837" spans="1:12" x14ac:dyDescent="0.2">
      <c r="A2837"/>
      <c r="B2837"/>
      <c r="C2837"/>
      <c r="D2837"/>
      <c r="E2837" s="2">
        <f>Comuni__2[[#This Row],[Popolazione2011]]/$D$7911</f>
        <v>1.2592750792760193E-4</v>
      </c>
      <c r="F2837">
        <f>SUMIFS($D$2:$D$7909, $B$2:$B$7909, "Lombardia")</f>
        <v>9704151</v>
      </c>
      <c r="G2837" s="1">
        <f>Comuni__2[[#This Row],[Popolazione2011]]/Comuni__2[[#This Row],[POPOLAZIONE TOTALE DI OGNI REGIONE (CON FILTRO)]]</f>
        <v>7.7111331017004994E-4</v>
      </c>
      <c r="H2837" t="str">
        <f>IF(Comuni__2[[#This Row],[Popolazione2011]]&gt;300000,"MAGGIORE","")</f>
        <v/>
      </c>
      <c r="J2837">
        <v>384</v>
      </c>
      <c r="K2837">
        <v>7110</v>
      </c>
      <c r="L2837">
        <v>1025</v>
      </c>
    </row>
    <row r="2838" spans="1:12" x14ac:dyDescent="0.2">
      <c r="A2838"/>
      <c r="B2838"/>
      <c r="C2838"/>
      <c r="D2838"/>
      <c r="E2838" s="2">
        <f>Comuni__2[[#This Row],[Popolazione2011]]/$D$7911</f>
        <v>1.2575922313817577E-4</v>
      </c>
      <c r="F2838">
        <f>SUMIFS($D$2:$D$7909, $B$2:$B$7909, "Lombardia")</f>
        <v>9704151</v>
      </c>
      <c r="G2838" s="1">
        <f>Comuni__2[[#This Row],[Popolazione2011]]/Comuni__2[[#This Row],[POPOLAZIONE TOTALE DI OGNI REGIONE (CON FILTRO)]]</f>
        <v>7.7008282331962889E-4</v>
      </c>
      <c r="H2838" t="str">
        <f>IF(Comuni__2[[#This Row],[Popolazione2011]]&gt;300000,"MAGGIORE","")</f>
        <v/>
      </c>
      <c r="J2838">
        <v>427</v>
      </c>
      <c r="K2838">
        <v>7160</v>
      </c>
      <c r="L2838">
        <v>1031</v>
      </c>
    </row>
    <row r="2839" spans="1:12" x14ac:dyDescent="0.2">
      <c r="A2839"/>
      <c r="B2839"/>
      <c r="C2839"/>
      <c r="D2839"/>
      <c r="E2839" s="2">
        <f>Comuni__2[[#This Row],[Popolazione2011]]/$D$7911</f>
        <v>1.2554045291192175E-4</v>
      </c>
      <c r="F2839">
        <f>SUMIFS($D$2:$D$7909, $B$2:$B$7909, "Lombardia")</f>
        <v>9704151</v>
      </c>
      <c r="G2839" s="1">
        <f>Comuni__2[[#This Row],[Popolazione2011]]/Comuni__2[[#This Row],[POPOLAZIONE TOTALE DI OGNI REGIONE (CON FILTRO)]]</f>
        <v>7.6874319041408154E-4</v>
      </c>
      <c r="H2839" t="str">
        <f>IF(Comuni__2[[#This Row],[Popolazione2011]]&gt;300000,"MAGGIORE","")</f>
        <v/>
      </c>
      <c r="J2839">
        <v>452</v>
      </c>
      <c r="K2839">
        <v>7231</v>
      </c>
      <c r="L2839">
        <v>1032</v>
      </c>
    </row>
    <row r="2840" spans="1:12" x14ac:dyDescent="0.2">
      <c r="A2840"/>
      <c r="B2840"/>
      <c r="C2840"/>
      <c r="D2840"/>
      <c r="E2840" s="2">
        <f>Comuni__2[[#This Row],[Popolazione2011]]/$D$7911</f>
        <v>1.2517022637518416E-4</v>
      </c>
      <c r="F2840">
        <f>SUMIFS($D$2:$D$7909, $B$2:$B$7909, "Lombardia")</f>
        <v>9704151</v>
      </c>
      <c r="G2840" s="1">
        <f>Comuni__2[[#This Row],[Popolazione2011]]/Comuni__2[[#This Row],[POPOLAZIONE TOTALE DI OGNI REGIONE (CON FILTRO)]]</f>
        <v>7.6647611934315535E-4</v>
      </c>
      <c r="H2840" t="str">
        <f>IF(Comuni__2[[#This Row],[Popolazione2011]]&gt;300000,"MAGGIORE","")</f>
        <v/>
      </c>
      <c r="J2840">
        <v>477</v>
      </c>
      <c r="K2840">
        <v>7298</v>
      </c>
      <c r="L2840">
        <v>1034</v>
      </c>
    </row>
    <row r="2841" spans="1:12" x14ac:dyDescent="0.2">
      <c r="A2841"/>
      <c r="B2841"/>
      <c r="C2841"/>
      <c r="D2841"/>
      <c r="E2841" s="2">
        <f>Comuni__2[[#This Row],[Popolazione2011]]/$D$7911</f>
        <v>1.2496828462787277E-4</v>
      </c>
      <c r="F2841">
        <f>SUMIFS($D$2:$D$7909, $B$2:$B$7909, "Lombardia")</f>
        <v>9704151</v>
      </c>
      <c r="G2841" s="1">
        <f>Comuni__2[[#This Row],[Popolazione2011]]/Comuni__2[[#This Row],[POPOLAZIONE TOTALE DI OGNI REGIONE (CON FILTRO)]]</f>
        <v>7.652395351226501E-4</v>
      </c>
      <c r="H2841" t="str">
        <f>IF(Comuni__2[[#This Row],[Popolazione2011]]&gt;300000,"MAGGIORE","")</f>
        <v/>
      </c>
      <c r="J2841">
        <v>504</v>
      </c>
      <c r="K2841">
        <v>7379</v>
      </c>
      <c r="L2841">
        <v>1037</v>
      </c>
    </row>
    <row r="2842" spans="1:12" x14ac:dyDescent="0.2">
      <c r="A2842"/>
      <c r="B2842"/>
      <c r="C2842"/>
      <c r="D2842"/>
      <c r="E2842" s="2">
        <f>Comuni__2[[#This Row],[Popolazione2011]]/$D$7911</f>
        <v>1.2479999983844661E-4</v>
      </c>
      <c r="F2842">
        <f>SUMIFS($D$2:$D$7909, $B$2:$B$7909, "Lombardia")</f>
        <v>9704151</v>
      </c>
      <c r="G2842" s="1">
        <f>Comuni__2[[#This Row],[Popolazione2011]]/Comuni__2[[#This Row],[POPOLAZIONE TOTALE DI OGNI REGIONE (CON FILTRO)]]</f>
        <v>7.6420904827222906E-4</v>
      </c>
      <c r="H2842" t="str">
        <f>IF(Comuni__2[[#This Row],[Popolazione2011]]&gt;300000,"MAGGIORE","")</f>
        <v/>
      </c>
      <c r="J2842">
        <v>521</v>
      </c>
      <c r="K2842">
        <v>7415</v>
      </c>
      <c r="L2842">
        <v>1045</v>
      </c>
    </row>
    <row r="2843" spans="1:12" x14ac:dyDescent="0.2">
      <c r="A2843"/>
      <c r="B2843"/>
      <c r="C2843"/>
      <c r="D2843"/>
      <c r="E2843" s="2">
        <f>Comuni__2[[#This Row],[Popolazione2011]]/$D$7911</f>
        <v>1.2473268592267615E-4</v>
      </c>
      <c r="F2843">
        <f>SUMIFS($D$2:$D$7909, $B$2:$B$7909, "Lombardia")</f>
        <v>9704151</v>
      </c>
      <c r="G2843" s="1">
        <f>Comuni__2[[#This Row],[Popolazione2011]]/Comuni__2[[#This Row],[POPOLAZIONE TOTALE DI OGNI REGIONE (CON FILTRO)]]</f>
        <v>7.6379685353206064E-4</v>
      </c>
      <c r="H2843" t="str">
        <f>IF(Comuni__2[[#This Row],[Popolazione2011]]&gt;300000,"MAGGIORE","")</f>
        <v/>
      </c>
      <c r="J2843">
        <v>562</v>
      </c>
      <c r="K2843">
        <v>7498</v>
      </c>
      <c r="L2843">
        <v>1050</v>
      </c>
    </row>
    <row r="2844" spans="1:12" x14ac:dyDescent="0.2">
      <c r="A2844"/>
      <c r="B2844"/>
      <c r="C2844"/>
      <c r="D2844"/>
      <c r="E2844" s="2">
        <f>Comuni__2[[#This Row],[Popolazione2011]]/$D$7911</f>
        <v>1.2434563090699593E-4</v>
      </c>
      <c r="F2844">
        <f>SUMIFS($D$2:$D$7909, $B$2:$B$7909, "Lombardia")</f>
        <v>9704151</v>
      </c>
      <c r="G2844" s="1">
        <f>Comuni__2[[#This Row],[Popolazione2011]]/Comuni__2[[#This Row],[POPOLAZIONE TOTALE DI OGNI REGIONE (CON FILTRO)]]</f>
        <v>7.6142673377609235E-4</v>
      </c>
      <c r="H2844" t="str">
        <f>IF(Comuni__2[[#This Row],[Popolazione2011]]&gt;300000,"MAGGIORE","")</f>
        <v/>
      </c>
      <c r="J2844">
        <v>590</v>
      </c>
      <c r="K2844">
        <v>7543</v>
      </c>
      <c r="L2844">
        <v>1057</v>
      </c>
    </row>
    <row r="2845" spans="1:12" x14ac:dyDescent="0.2">
      <c r="A2845"/>
      <c r="B2845"/>
      <c r="C2845"/>
      <c r="D2845"/>
      <c r="E2845" s="2">
        <f>Comuni__2[[#This Row],[Popolazione2011]]/$D$7911</f>
        <v>1.241941745965124E-4</v>
      </c>
      <c r="F2845">
        <f>SUMIFS($D$2:$D$7909, $B$2:$B$7909, "Lombardia")</f>
        <v>9704151</v>
      </c>
      <c r="G2845" s="1">
        <f>Comuni__2[[#This Row],[Popolazione2011]]/Comuni__2[[#This Row],[POPOLAZIONE TOTALE DI OGNI REGIONE (CON FILTRO)]]</f>
        <v>7.6049929561071341E-4</v>
      </c>
      <c r="H2845" t="str">
        <f>IF(Comuni__2[[#This Row],[Popolazione2011]]&gt;300000,"MAGGIORE","")</f>
        <v/>
      </c>
      <c r="J2845">
        <v>600</v>
      </c>
      <c r="K2845">
        <v>7599</v>
      </c>
      <c r="L2845">
        <v>1067</v>
      </c>
    </row>
    <row r="2846" spans="1:12" x14ac:dyDescent="0.2">
      <c r="A2846"/>
      <c r="B2846"/>
      <c r="C2846"/>
      <c r="D2846"/>
      <c r="E2846" s="2">
        <f>Comuni__2[[#This Row],[Popolazione2011]]/$D$7911</f>
        <v>1.2379029110188959E-4</v>
      </c>
      <c r="F2846">
        <f>SUMIFS($D$2:$D$7909, $B$2:$B$7909, "Lombardia")</f>
        <v>9704151</v>
      </c>
      <c r="G2846" s="1">
        <f>Comuni__2[[#This Row],[Popolazione2011]]/Comuni__2[[#This Row],[POPOLAZIONE TOTALE DI OGNI REGIONE (CON FILTRO)]]</f>
        <v>7.5802612716970291E-4</v>
      </c>
      <c r="H2846" t="str">
        <f>IF(Comuni__2[[#This Row],[Popolazione2011]]&gt;300000,"MAGGIORE","")</f>
        <v/>
      </c>
      <c r="J2846">
        <v>610</v>
      </c>
      <c r="K2846">
        <v>7665</v>
      </c>
      <c r="L2846">
        <v>1077</v>
      </c>
    </row>
    <row r="2847" spans="1:12" x14ac:dyDescent="0.2">
      <c r="A2847"/>
      <c r="B2847"/>
      <c r="C2847"/>
      <c r="D2847"/>
      <c r="E2847" s="2">
        <f>Comuni__2[[#This Row],[Popolazione2011]]/$D$7911</f>
        <v>1.2345372152303727E-4</v>
      </c>
      <c r="F2847">
        <f>SUMIFS($D$2:$D$7909, $B$2:$B$7909, "Lombardia")</f>
        <v>9704151</v>
      </c>
      <c r="G2847" s="1">
        <f>Comuni__2[[#This Row],[Popolazione2011]]/Comuni__2[[#This Row],[POPOLAZIONE TOTALE DI OGNI REGIONE (CON FILTRO)]]</f>
        <v>7.5596515346886093E-4</v>
      </c>
      <c r="H2847" t="str">
        <f>IF(Comuni__2[[#This Row],[Popolazione2011]]&gt;300000,"MAGGIORE","")</f>
        <v/>
      </c>
      <c r="J2847">
        <v>610</v>
      </c>
      <c r="K2847">
        <v>7795</v>
      </c>
      <c r="L2847">
        <v>1083</v>
      </c>
    </row>
    <row r="2848" spans="1:12" x14ac:dyDescent="0.2">
      <c r="A2848"/>
      <c r="B2848"/>
      <c r="C2848"/>
      <c r="D2848"/>
      <c r="E2848" s="2">
        <f>Comuni__2[[#This Row],[Popolazione2011]]/$D$7911</f>
        <v>1.2331909369149631E-4</v>
      </c>
      <c r="F2848">
        <f>SUMIFS($D$2:$D$7909, $B$2:$B$7909, "Lombardia")</f>
        <v>9704151</v>
      </c>
      <c r="G2848" s="1">
        <f>Comuni__2[[#This Row],[Popolazione2011]]/Comuni__2[[#This Row],[POPOLAZIONE TOTALE DI OGNI REGIONE (CON FILTRO)]]</f>
        <v>7.5514076398852409E-4</v>
      </c>
      <c r="H2848" t="str">
        <f>IF(Comuni__2[[#This Row],[Popolazione2011]]&gt;300000,"MAGGIORE","")</f>
        <v/>
      </c>
      <c r="J2848">
        <v>633</v>
      </c>
      <c r="K2848">
        <v>7902</v>
      </c>
      <c r="L2848">
        <v>1094</v>
      </c>
    </row>
    <row r="2849" spans="1:12" x14ac:dyDescent="0.2">
      <c r="A2849"/>
      <c r="B2849"/>
      <c r="C2849"/>
      <c r="D2849"/>
      <c r="E2849" s="2">
        <f>Comuni__2[[#This Row],[Popolazione2011]]/$D$7911</f>
        <v>1.2286472476004566E-4</v>
      </c>
      <c r="F2849">
        <f>SUMIFS($D$2:$D$7909, $B$2:$B$7909, "Lombardia")</f>
        <v>9704151</v>
      </c>
      <c r="G2849" s="1">
        <f>Comuni__2[[#This Row],[Popolazione2011]]/Comuni__2[[#This Row],[POPOLAZIONE TOTALE DI OGNI REGIONE (CON FILTRO)]]</f>
        <v>7.5235844949238728E-4</v>
      </c>
      <c r="H2849" t="str">
        <f>IF(Comuni__2[[#This Row],[Popolazione2011]]&gt;300000,"MAGGIORE","")</f>
        <v/>
      </c>
      <c r="J2849">
        <v>558</v>
      </c>
      <c r="K2849">
        <v>8088</v>
      </c>
      <c r="L2849">
        <v>1102</v>
      </c>
    </row>
    <row r="2850" spans="1:12" x14ac:dyDescent="0.2">
      <c r="A2850"/>
      <c r="B2850"/>
      <c r="C2850"/>
      <c r="D2850"/>
      <c r="E2850" s="2">
        <f>Comuni__2[[#This Row],[Popolazione2011]]/$D$7911</f>
        <v>1.2283106780216043E-4</v>
      </c>
      <c r="F2850">
        <f>SUMIFS($D$2:$D$7909, $B$2:$B$7909, "Lombardia")</f>
        <v>9704151</v>
      </c>
      <c r="G2850" s="1">
        <f>Comuni__2[[#This Row],[Popolazione2011]]/Comuni__2[[#This Row],[POPOLAZIONE TOTALE DI OGNI REGIONE (CON FILTRO)]]</f>
        <v>7.5215235212230318E-4</v>
      </c>
      <c r="H2850" t="str">
        <f>IF(Comuni__2[[#This Row],[Popolazione2011]]&gt;300000,"MAGGIORE","")</f>
        <v/>
      </c>
      <c r="J2850">
        <v>560</v>
      </c>
      <c r="K2850">
        <v>8156</v>
      </c>
      <c r="L2850">
        <v>1111</v>
      </c>
    </row>
    <row r="2851" spans="1:12" x14ac:dyDescent="0.2">
      <c r="A2851"/>
      <c r="B2851"/>
      <c r="C2851"/>
      <c r="D2851"/>
      <c r="E2851" s="2">
        <f>Comuni__2[[#This Row],[Popolazione2011]]/$D$7911</f>
        <v>1.2281423932321783E-4</v>
      </c>
      <c r="F2851">
        <f>SUMIFS($D$2:$D$7909, $B$2:$B$7909, "Lombardia")</f>
        <v>9704151</v>
      </c>
      <c r="G2851" s="1">
        <f>Comuni__2[[#This Row],[Popolazione2011]]/Comuni__2[[#This Row],[POPOLAZIONE TOTALE DI OGNI REGIONE (CON FILTRO)]]</f>
        <v>7.5204930343726107E-4</v>
      </c>
      <c r="H2851" t="str">
        <f>IF(Comuni__2[[#This Row],[Popolazione2011]]&gt;300000,"MAGGIORE","")</f>
        <v/>
      </c>
      <c r="J2851">
        <v>577</v>
      </c>
      <c r="K2851">
        <v>8268</v>
      </c>
      <c r="L2851">
        <v>1119</v>
      </c>
    </row>
    <row r="2852" spans="1:12" x14ac:dyDescent="0.2">
      <c r="A2852"/>
      <c r="B2852"/>
      <c r="C2852"/>
      <c r="D2852"/>
      <c r="E2852" s="2">
        <f>Comuni__2[[#This Row],[Popolazione2011]]/$D$7911</f>
        <v>1.227974108442752E-4</v>
      </c>
      <c r="F2852">
        <f>SUMIFS($D$2:$D$7909, $B$2:$B$7909, "Lombardia")</f>
        <v>9704151</v>
      </c>
      <c r="G2852" s="1">
        <f>Comuni__2[[#This Row],[Popolazione2011]]/Comuni__2[[#This Row],[POPOLAZIONE TOTALE DI OGNI REGIONE (CON FILTRO)]]</f>
        <v>7.5194625475221897E-4</v>
      </c>
      <c r="H2852" t="str">
        <f>IF(Comuni__2[[#This Row],[Popolazione2011]]&gt;300000,"MAGGIORE","")</f>
        <v/>
      </c>
      <c r="J2852">
        <v>603</v>
      </c>
      <c r="K2852">
        <v>8314</v>
      </c>
      <c r="L2852">
        <v>1130</v>
      </c>
    </row>
    <row r="2853" spans="1:12" x14ac:dyDescent="0.2">
      <c r="A2853"/>
      <c r="B2853"/>
      <c r="C2853"/>
      <c r="D2853"/>
      <c r="E2853" s="2">
        <f>Comuni__2[[#This Row],[Popolazione2011]]/$D$7911</f>
        <v>1.219055014603165E-4</v>
      </c>
      <c r="F2853">
        <f>SUMIFS($D$2:$D$7909, $B$2:$B$7909, "Lombardia")</f>
        <v>9704151</v>
      </c>
      <c r="G2853" s="1">
        <f>Comuni__2[[#This Row],[Popolazione2011]]/Comuni__2[[#This Row],[POPOLAZIONE TOTALE DI OGNI REGIONE (CON FILTRO)]]</f>
        <v>7.4648467444498755E-4</v>
      </c>
      <c r="H2853" t="str">
        <f>IF(Comuni__2[[#This Row],[Popolazione2011]]&gt;300000,"MAGGIORE","")</f>
        <v/>
      </c>
      <c r="J2853">
        <v>606</v>
      </c>
      <c r="K2853">
        <v>8542</v>
      </c>
      <c r="L2853">
        <v>1139</v>
      </c>
    </row>
    <row r="2854" spans="1:12" x14ac:dyDescent="0.2">
      <c r="A2854"/>
      <c r="B2854"/>
      <c r="C2854"/>
      <c r="D2854"/>
      <c r="E2854" s="2">
        <f>Comuni__2[[#This Row],[Popolazione2011]]/$D$7911</f>
        <v>1.2163624579723463E-4</v>
      </c>
      <c r="F2854">
        <f>SUMIFS($D$2:$D$7909, $B$2:$B$7909, "Lombardia")</f>
        <v>9704151</v>
      </c>
      <c r="G2854" s="1">
        <f>Comuni__2[[#This Row],[Popolazione2011]]/Comuni__2[[#This Row],[POPOLAZIONE TOTALE DI OGNI REGIONE (CON FILTRO)]]</f>
        <v>7.4483589548431388E-4</v>
      </c>
      <c r="H2854" t="str">
        <f>IF(Comuni__2[[#This Row],[Popolazione2011]]&gt;300000,"MAGGIORE","")</f>
        <v/>
      </c>
      <c r="J2854">
        <v>604</v>
      </c>
      <c r="K2854">
        <v>9095</v>
      </c>
      <c r="L2854">
        <v>1150</v>
      </c>
    </row>
    <row r="2855" spans="1:12" x14ac:dyDescent="0.2">
      <c r="A2855"/>
      <c r="B2855"/>
      <c r="C2855"/>
      <c r="D2855"/>
      <c r="E2855" s="2">
        <f>Comuni__2[[#This Row],[Popolazione2011]]/$D$7911</f>
        <v>1.2136699013415276E-4</v>
      </c>
      <c r="F2855">
        <f>SUMIFS($D$2:$D$7909, $B$2:$B$7909, "Lombardia")</f>
        <v>9704151</v>
      </c>
      <c r="G2855" s="1">
        <f>Comuni__2[[#This Row],[Popolazione2011]]/Comuni__2[[#This Row],[POPOLAZIONE TOTALE DI OGNI REGIONE (CON FILTRO)]]</f>
        <v>7.4318711652364021E-4</v>
      </c>
      <c r="H2855" t="str">
        <f>IF(Comuni__2[[#This Row],[Popolazione2011]]&gt;300000,"MAGGIORE","")</f>
        <v/>
      </c>
      <c r="J2855">
        <v>623</v>
      </c>
      <c r="K2855">
        <v>9475</v>
      </c>
      <c r="L2855">
        <v>1161</v>
      </c>
    </row>
    <row r="2856" spans="1:12" x14ac:dyDescent="0.2">
      <c r="A2856"/>
      <c r="B2856"/>
      <c r="C2856"/>
      <c r="D2856"/>
      <c r="E2856" s="2">
        <f>Comuni__2[[#This Row],[Popolazione2011]]/$D$7911</f>
        <v>1.2118187686578398E-4</v>
      </c>
      <c r="F2856">
        <f>SUMIFS($D$2:$D$7909, $B$2:$B$7909, "Lombardia")</f>
        <v>9704151</v>
      </c>
      <c r="G2856" s="1">
        <f>Comuni__2[[#This Row],[Popolazione2011]]/Comuni__2[[#This Row],[POPOLAZIONE TOTALE DI OGNI REGIONE (CON FILTRO)]]</f>
        <v>7.4205358098817717E-4</v>
      </c>
      <c r="H2856" t="str">
        <f>IF(Comuni__2[[#This Row],[Popolazione2011]]&gt;300000,"MAGGIORE","")</f>
        <v/>
      </c>
      <c r="J2856">
        <v>630</v>
      </c>
      <c r="K2856">
        <v>9775</v>
      </c>
      <c r="L2856">
        <v>1168</v>
      </c>
    </row>
    <row r="2857" spans="1:12" x14ac:dyDescent="0.2">
      <c r="A2857"/>
      <c r="B2857"/>
      <c r="C2857"/>
      <c r="D2857"/>
      <c r="E2857" s="2">
        <f>Comuni__2[[#This Row],[Popolazione2011]]/$D$7911</f>
        <v>1.2082847880798903E-4</v>
      </c>
      <c r="F2857">
        <f>SUMIFS($D$2:$D$7909, $B$2:$B$7909, "Lombardia")</f>
        <v>9704151</v>
      </c>
      <c r="G2857" s="1">
        <f>Comuni__2[[#This Row],[Popolazione2011]]/Comuni__2[[#This Row],[POPOLAZIONE TOTALE DI OGNI REGIONE (CON FILTRO)]]</f>
        <v>7.3988955860229298E-4</v>
      </c>
      <c r="H2857" t="str">
        <f>IF(Comuni__2[[#This Row],[Popolazione2011]]&gt;300000,"MAGGIORE","")</f>
        <v/>
      </c>
      <c r="J2857">
        <v>630</v>
      </c>
      <c r="K2857">
        <v>10047</v>
      </c>
      <c r="L2857">
        <v>1180</v>
      </c>
    </row>
    <row r="2858" spans="1:12" x14ac:dyDescent="0.2">
      <c r="A2858"/>
      <c r="B2858"/>
      <c r="C2858"/>
      <c r="D2858"/>
      <c r="E2858" s="2">
        <f>Comuni__2[[#This Row],[Popolazione2011]]/$D$7911</f>
        <v>1.2077799337116118E-4</v>
      </c>
      <c r="F2858">
        <f>SUMIFS($D$2:$D$7909, $B$2:$B$7909, "Lombardia")</f>
        <v>9704151</v>
      </c>
      <c r="G2858" s="1">
        <f>Comuni__2[[#This Row],[Popolazione2011]]/Comuni__2[[#This Row],[POPOLAZIONE TOTALE DI OGNI REGIONE (CON FILTRO)]]</f>
        <v>7.3958041254716667E-4</v>
      </c>
      <c r="H2858" t="str">
        <f>IF(Comuni__2[[#This Row],[Popolazione2011]]&gt;300000,"MAGGIORE","")</f>
        <v/>
      </c>
      <c r="J2858">
        <v>640</v>
      </c>
      <c r="K2858">
        <v>10105</v>
      </c>
      <c r="L2858">
        <v>1188</v>
      </c>
    </row>
    <row r="2859" spans="1:12" x14ac:dyDescent="0.2">
      <c r="A2859"/>
      <c r="B2859"/>
      <c r="C2859"/>
      <c r="D2859"/>
      <c r="E2859" s="2">
        <f>Comuni__2[[#This Row],[Popolazione2011]]/$D$7911</f>
        <v>1.2045825227125146E-4</v>
      </c>
      <c r="F2859">
        <f>SUMIFS($D$2:$D$7909, $B$2:$B$7909, "Lombardia")</f>
        <v>9704151</v>
      </c>
      <c r="G2859" s="1">
        <f>Comuni__2[[#This Row],[Popolazione2011]]/Comuni__2[[#This Row],[POPOLAZIONE TOTALE DI OGNI REGIONE (CON FILTRO)]]</f>
        <v>7.3762248753136668E-4</v>
      </c>
      <c r="H2859" t="str">
        <f>IF(Comuni__2[[#This Row],[Popolazione2011]]&gt;300000,"MAGGIORE","")</f>
        <v/>
      </c>
      <c r="J2859">
        <v>644</v>
      </c>
      <c r="K2859">
        <v>10188</v>
      </c>
      <c r="L2859">
        <v>1201</v>
      </c>
    </row>
    <row r="2860" spans="1:12" x14ac:dyDescent="0.2">
      <c r="A2860"/>
      <c r="B2860"/>
      <c r="C2860"/>
      <c r="D2860"/>
      <c r="E2860" s="2">
        <f>Comuni__2[[#This Row],[Popolazione2011]]/$D$7911</f>
        <v>1.2008802573451388E-4</v>
      </c>
      <c r="F2860">
        <f>SUMIFS($D$2:$D$7909, $B$2:$B$7909, "Lombardia")</f>
        <v>9704151</v>
      </c>
      <c r="G2860" s="1">
        <f>Comuni__2[[#This Row],[Popolazione2011]]/Comuni__2[[#This Row],[POPOLAZIONE TOTALE DI OGNI REGIONE (CON FILTRO)]]</f>
        <v>7.353554164604405E-4</v>
      </c>
      <c r="H2860" t="str">
        <f>IF(Comuni__2[[#This Row],[Popolazione2011]]&gt;300000,"MAGGIORE","")</f>
        <v/>
      </c>
      <c r="J2860">
        <v>672</v>
      </c>
      <c r="K2860">
        <v>10312</v>
      </c>
      <c r="L2860">
        <v>1211</v>
      </c>
    </row>
    <row r="2861" spans="1:12" x14ac:dyDescent="0.2">
      <c r="A2861"/>
      <c r="B2861"/>
      <c r="C2861"/>
      <c r="D2861"/>
      <c r="E2861" s="2">
        <f>Comuni__2[[#This Row],[Popolazione2011]]/$D$7911</f>
        <v>1.1998705486085818E-4</v>
      </c>
      <c r="F2861">
        <f>SUMIFS($D$2:$D$7909, $B$2:$B$7909, "Lombardia")</f>
        <v>9704151</v>
      </c>
      <c r="G2861" s="1">
        <f>Comuni__2[[#This Row],[Popolazione2011]]/Comuni__2[[#This Row],[POPOLAZIONE TOTALE DI OGNI REGIONE (CON FILTRO)]]</f>
        <v>7.3473712435018787E-4</v>
      </c>
      <c r="H2861" t="str">
        <f>IF(Comuni__2[[#This Row],[Popolazione2011]]&gt;300000,"MAGGIORE","")</f>
        <v/>
      </c>
      <c r="J2861">
        <v>676</v>
      </c>
      <c r="K2861">
        <v>10443</v>
      </c>
      <c r="L2861">
        <v>1221</v>
      </c>
    </row>
    <row r="2862" spans="1:12" x14ac:dyDescent="0.2">
      <c r="A2862"/>
      <c r="B2862"/>
      <c r="C2862"/>
      <c r="D2862"/>
      <c r="E2862" s="2">
        <f>Comuni__2[[#This Row],[Popolazione2011]]/$D$7911</f>
        <v>1.1983559855037464E-4</v>
      </c>
      <c r="F2862">
        <f>SUMIFS($D$2:$D$7909, $B$2:$B$7909, "Lombardia")</f>
        <v>9704151</v>
      </c>
      <c r="G2862" s="1">
        <f>Comuni__2[[#This Row],[Popolazione2011]]/Comuni__2[[#This Row],[POPOLAZIONE TOTALE DI OGNI REGIONE (CON FILTRO)]]</f>
        <v>7.3380968618480893E-4</v>
      </c>
      <c r="H2862" t="str">
        <f>IF(Comuni__2[[#This Row],[Popolazione2011]]&gt;300000,"MAGGIORE","")</f>
        <v/>
      </c>
      <c r="J2862">
        <v>655</v>
      </c>
      <c r="K2862">
        <v>10490</v>
      </c>
      <c r="L2862">
        <v>1230</v>
      </c>
    </row>
    <row r="2863" spans="1:12" x14ac:dyDescent="0.2">
      <c r="A2863"/>
      <c r="B2863"/>
      <c r="C2863"/>
      <c r="D2863"/>
      <c r="E2863" s="2">
        <f>Comuni__2[[#This Row],[Popolazione2011]]/$D$7911</f>
        <v>1.1971779919777631E-4</v>
      </c>
      <c r="F2863">
        <f>SUMIFS($D$2:$D$7909, $B$2:$B$7909, "Lombardia")</f>
        <v>9704151</v>
      </c>
      <c r="G2863" s="1">
        <f>Comuni__2[[#This Row],[Popolazione2011]]/Comuni__2[[#This Row],[POPOLAZIONE TOTALE DI OGNI REGIONE (CON FILTRO)]]</f>
        <v>7.330883453895142E-4</v>
      </c>
      <c r="H2863" t="str">
        <f>IF(Comuni__2[[#This Row],[Popolazione2011]]&gt;300000,"MAGGIORE","")</f>
        <v/>
      </c>
      <c r="J2863">
        <v>656</v>
      </c>
      <c r="K2863">
        <v>10551</v>
      </c>
      <c r="L2863">
        <v>1242</v>
      </c>
    </row>
    <row r="2864" spans="1:12" x14ac:dyDescent="0.2">
      <c r="A2864"/>
      <c r="B2864"/>
      <c r="C2864"/>
      <c r="D2864"/>
      <c r="E2864" s="2">
        <f>Comuni__2[[#This Row],[Popolazione2011]]/$D$7911</f>
        <v>1.1971779919777631E-4</v>
      </c>
      <c r="F2864">
        <f>SUMIFS($D$2:$D$7909, $B$2:$B$7909, "Lombardia")</f>
        <v>9704151</v>
      </c>
      <c r="G2864" s="1">
        <f>Comuni__2[[#This Row],[Popolazione2011]]/Comuni__2[[#This Row],[POPOLAZIONE TOTALE DI OGNI REGIONE (CON FILTRO)]]</f>
        <v>7.330883453895142E-4</v>
      </c>
      <c r="H2864" t="str">
        <f>IF(Comuni__2[[#This Row],[Popolazione2011]]&gt;300000,"MAGGIORE","")</f>
        <v/>
      </c>
      <c r="J2864">
        <v>683</v>
      </c>
      <c r="K2864">
        <v>10603</v>
      </c>
      <c r="L2864">
        <v>1255</v>
      </c>
    </row>
    <row r="2865" spans="1:12" x14ac:dyDescent="0.2">
      <c r="A2865"/>
      <c r="B2865"/>
      <c r="C2865"/>
      <c r="D2865"/>
      <c r="E2865" s="2">
        <f>Comuni__2[[#This Row],[Popolazione2011]]/$D$7911</f>
        <v>1.1951585745046492E-4</v>
      </c>
      <c r="F2865">
        <f>SUMIFS($D$2:$D$7909, $B$2:$B$7909, "Lombardia")</f>
        <v>9704151</v>
      </c>
      <c r="G2865" s="1">
        <f>Comuni__2[[#This Row],[Popolazione2011]]/Comuni__2[[#This Row],[POPOLAZIONE TOTALE DI OGNI REGIONE (CON FILTRO)]]</f>
        <v>7.3185176116900906E-4</v>
      </c>
      <c r="H2865" t="str">
        <f>IF(Comuni__2[[#This Row],[Popolazione2011]]&gt;300000,"MAGGIORE","")</f>
        <v/>
      </c>
      <c r="J2865">
        <v>672</v>
      </c>
      <c r="K2865">
        <v>10626</v>
      </c>
      <c r="L2865">
        <v>1264</v>
      </c>
    </row>
    <row r="2866" spans="1:12" x14ac:dyDescent="0.2">
      <c r="A2866"/>
      <c r="B2866"/>
      <c r="C2866"/>
      <c r="D2866"/>
      <c r="E2866" s="2">
        <f>Comuni__2[[#This Row],[Popolazione2011]]/$D$7911</f>
        <v>1.1919611635055518E-4</v>
      </c>
      <c r="F2866">
        <f>SUMIFS($D$2:$D$7909, $B$2:$B$7909, "Lombardia")</f>
        <v>9704151</v>
      </c>
      <c r="G2866" s="1">
        <f>Comuni__2[[#This Row],[Popolazione2011]]/Comuni__2[[#This Row],[POPOLAZIONE TOTALE DI OGNI REGIONE (CON FILTRO)]]</f>
        <v>7.2989383615320908E-4</v>
      </c>
      <c r="H2866" t="str">
        <f>IF(Comuni__2[[#This Row],[Popolazione2011]]&gt;300000,"MAGGIORE","")</f>
        <v/>
      </c>
      <c r="J2866">
        <v>672</v>
      </c>
      <c r="K2866">
        <v>10663</v>
      </c>
      <c r="L2866">
        <v>1276</v>
      </c>
    </row>
    <row r="2867" spans="1:12" x14ac:dyDescent="0.2">
      <c r="A2867"/>
      <c r="B2867"/>
      <c r="C2867"/>
      <c r="D2867"/>
      <c r="E2867" s="2">
        <f>Comuni__2[[#This Row],[Popolazione2011]]/$D$7911</f>
        <v>1.191119739558421E-4</v>
      </c>
      <c r="F2867">
        <f>SUMIFS($D$2:$D$7909, $B$2:$B$7909, "Lombardia")</f>
        <v>9704151</v>
      </c>
      <c r="G2867" s="1">
        <f>Comuni__2[[#This Row],[Popolazione2011]]/Comuni__2[[#This Row],[POPOLAZIONE TOTALE DI OGNI REGIONE (CON FILTRO)]]</f>
        <v>7.2937859272799855E-4</v>
      </c>
      <c r="H2867" t="str">
        <f>IF(Comuni__2[[#This Row],[Popolazione2011]]&gt;300000,"MAGGIORE","")</f>
        <v/>
      </c>
      <c r="J2867">
        <v>650</v>
      </c>
      <c r="K2867">
        <v>10706</v>
      </c>
      <c r="L2867">
        <v>1289</v>
      </c>
    </row>
    <row r="2868" spans="1:12" x14ac:dyDescent="0.2">
      <c r="A2868"/>
      <c r="B2868"/>
      <c r="C2868"/>
      <c r="D2868"/>
      <c r="E2868" s="2">
        <f>Comuni__2[[#This Row],[Popolazione2011]]/$D$7911</f>
        <v>1.1678964386176098E-4</v>
      </c>
      <c r="F2868">
        <f>SUMIFS($D$2:$D$7909, $B$2:$B$7909, "Lombardia")</f>
        <v>9704151</v>
      </c>
      <c r="G2868" s="1">
        <f>Comuni__2[[#This Row],[Popolazione2011]]/Comuni__2[[#This Row],[POPOLAZIONE TOTALE DI OGNI REGIONE (CON FILTRO)]]</f>
        <v>7.1515787419218848E-4</v>
      </c>
      <c r="H2868" t="str">
        <f>IF(Comuni__2[[#This Row],[Popolazione2011]]&gt;300000,"MAGGIORE","")</f>
        <v/>
      </c>
      <c r="J2868">
        <v>614</v>
      </c>
      <c r="K2868">
        <v>10793</v>
      </c>
      <c r="L2868">
        <v>1298</v>
      </c>
    </row>
    <row r="2869" spans="1:12" x14ac:dyDescent="0.2">
      <c r="A2869"/>
      <c r="B2869"/>
      <c r="C2869"/>
      <c r="D2869"/>
      <c r="E2869" s="2">
        <f>Comuni__2[[#This Row],[Popolazione2011]]/$D$7911</f>
        <v>1.1678964386176098E-4</v>
      </c>
      <c r="F2869">
        <f>SUMIFS($D$2:$D$7909, $B$2:$B$7909, "Lombardia")</f>
        <v>9704151</v>
      </c>
      <c r="G2869" s="1">
        <f>Comuni__2[[#This Row],[Popolazione2011]]/Comuni__2[[#This Row],[POPOLAZIONE TOTALE DI OGNI REGIONE (CON FILTRO)]]</f>
        <v>7.1515787419218848E-4</v>
      </c>
      <c r="H2869" t="str">
        <f>IF(Comuni__2[[#This Row],[Popolazione2011]]&gt;300000,"MAGGIORE","")</f>
        <v/>
      </c>
      <c r="J2869">
        <v>605</v>
      </c>
      <c r="K2869">
        <v>10866</v>
      </c>
      <c r="L2869">
        <v>1305</v>
      </c>
    </row>
    <row r="2870" spans="1:12" x14ac:dyDescent="0.2">
      <c r="A2870"/>
      <c r="B2870"/>
      <c r="C2870"/>
      <c r="D2870"/>
      <c r="E2870" s="2">
        <f>Comuni__2[[#This Row],[Popolazione2011]]/$D$7911</f>
        <v>1.1633527493031032E-4</v>
      </c>
      <c r="F2870">
        <f>SUMIFS($D$2:$D$7909, $B$2:$B$7909, "Lombardia")</f>
        <v>9704151</v>
      </c>
      <c r="G2870" s="1">
        <f>Comuni__2[[#This Row],[Popolazione2011]]/Comuni__2[[#This Row],[POPOLAZIONE TOTALE DI OGNI REGIONE (CON FILTRO)]]</f>
        <v>7.1237555969605167E-4</v>
      </c>
      <c r="H2870" t="str">
        <f>IF(Comuni__2[[#This Row],[Popolazione2011]]&gt;300000,"MAGGIORE","")</f>
        <v/>
      </c>
      <c r="J2870">
        <v>590</v>
      </c>
      <c r="K2870">
        <v>10938</v>
      </c>
      <c r="L2870">
        <v>1314</v>
      </c>
    </row>
    <row r="2871" spans="1:12" x14ac:dyDescent="0.2">
      <c r="A2871"/>
      <c r="B2871"/>
      <c r="C2871"/>
      <c r="D2871"/>
      <c r="E2871" s="2">
        <f>Comuni__2[[#This Row],[Popolazione2011]]/$D$7911</f>
        <v>1.163184464513677E-4</v>
      </c>
      <c r="F2871">
        <f>SUMIFS($D$2:$D$7909, $B$2:$B$7909, "Lombardia")</f>
        <v>9704151</v>
      </c>
      <c r="G2871" s="1">
        <f>Comuni__2[[#This Row],[Popolazione2011]]/Comuni__2[[#This Row],[POPOLAZIONE TOTALE DI OGNI REGIONE (CON FILTRO)]]</f>
        <v>7.1227251101100967E-4</v>
      </c>
      <c r="H2871" t="str">
        <f>IF(Comuni__2[[#This Row],[Popolazione2011]]&gt;300000,"MAGGIORE","")</f>
        <v/>
      </c>
      <c r="J2871">
        <v>600</v>
      </c>
      <c r="K2871">
        <v>11008</v>
      </c>
      <c r="L2871">
        <v>1327</v>
      </c>
    </row>
    <row r="2872" spans="1:12" x14ac:dyDescent="0.2">
      <c r="A2872"/>
      <c r="B2872"/>
      <c r="C2872"/>
      <c r="D2872"/>
      <c r="E2872" s="2">
        <f>Comuni__2[[#This Row],[Popolazione2011]]/$D$7911</f>
        <v>1.160155338304006E-4</v>
      </c>
      <c r="F2872">
        <f>SUMIFS($D$2:$D$7909, $B$2:$B$7909, "Lombardia")</f>
        <v>9704151</v>
      </c>
      <c r="G2872" s="1">
        <f>Comuni__2[[#This Row],[Popolazione2011]]/Comuni__2[[#This Row],[POPOLAZIONE TOTALE DI OGNI REGIONE (CON FILTRO)]]</f>
        <v>7.1041763468025179E-4</v>
      </c>
      <c r="H2872" t="str">
        <f>IF(Comuni__2[[#This Row],[Popolazione2011]]&gt;300000,"MAGGIORE","")</f>
        <v/>
      </c>
      <c r="J2872">
        <v>0</v>
      </c>
      <c r="K2872">
        <v>0</v>
      </c>
      <c r="L2872">
        <v>0</v>
      </c>
    </row>
    <row r="2873" spans="1:12" x14ac:dyDescent="0.2">
      <c r="A2873"/>
      <c r="B2873"/>
      <c r="C2873"/>
      <c r="D2873"/>
      <c r="E2873" s="2">
        <f>Comuni__2[[#This Row],[Popolazione2011]]/$D$7911</f>
        <v>1.1583042056203182E-4</v>
      </c>
      <c r="F2873">
        <f>SUMIFS($D$2:$D$7909, $B$2:$B$7909, "Lombardia")</f>
        <v>9704151</v>
      </c>
      <c r="G2873" s="1">
        <f>Comuni__2[[#This Row],[Popolazione2011]]/Comuni__2[[#This Row],[POPOLAZIONE TOTALE DI OGNI REGIONE (CON FILTRO)]]</f>
        <v>7.0928409914478865E-4</v>
      </c>
      <c r="H2873" t="str">
        <f>IF(Comuni__2[[#This Row],[Popolazione2011]]&gt;300000,"MAGGIORE","")</f>
        <v/>
      </c>
      <c r="J2873">
        <v>0</v>
      </c>
      <c r="K2873">
        <v>0</v>
      </c>
      <c r="L2873">
        <v>0</v>
      </c>
    </row>
    <row r="2874" spans="1:12" x14ac:dyDescent="0.2">
      <c r="A2874"/>
      <c r="B2874"/>
      <c r="C2874"/>
      <c r="D2874"/>
      <c r="E2874" s="2">
        <f>Comuni__2[[#This Row],[Popolazione2011]]/$D$7911</f>
        <v>1.1564530729366303E-4</v>
      </c>
      <c r="F2874">
        <f>SUMIFS($D$2:$D$7909, $B$2:$B$7909, "Lombardia")</f>
        <v>9704151</v>
      </c>
      <c r="G2874" s="1">
        <f>Comuni__2[[#This Row],[Popolazione2011]]/Comuni__2[[#This Row],[POPOLAZIONE TOTALE DI OGNI REGIONE (CON FILTRO)]]</f>
        <v>7.081505636093255E-4</v>
      </c>
      <c r="H2874" t="str">
        <f>IF(Comuni__2[[#This Row],[Popolazione2011]]&gt;300000,"MAGGIORE","")</f>
        <v/>
      </c>
      <c r="J2874">
        <v>0</v>
      </c>
      <c r="K2874">
        <v>0</v>
      </c>
      <c r="L2874">
        <v>0</v>
      </c>
    </row>
    <row r="2875" spans="1:12" x14ac:dyDescent="0.2">
      <c r="A2875"/>
      <c r="B2875"/>
      <c r="C2875"/>
      <c r="D2875"/>
      <c r="E2875" s="2">
        <f>Comuni__2[[#This Row],[Popolazione2011]]/$D$7911</f>
        <v>1.1556116489894995E-4</v>
      </c>
      <c r="F2875">
        <f>SUMIFS($D$2:$D$7909, $B$2:$B$7909, "Lombardia")</f>
        <v>9704151</v>
      </c>
      <c r="G2875" s="1">
        <f>Comuni__2[[#This Row],[Popolazione2011]]/Comuni__2[[#This Row],[POPOLAZIONE TOTALE DI OGNI REGIONE (CON FILTRO)]]</f>
        <v>7.0763532018411498E-4</v>
      </c>
      <c r="H2875" t="str">
        <f>IF(Comuni__2[[#This Row],[Popolazione2011]]&gt;300000,"MAGGIORE","")</f>
        <v/>
      </c>
      <c r="J2875">
        <v>0</v>
      </c>
      <c r="K2875">
        <v>0</v>
      </c>
      <c r="L2875">
        <v>0</v>
      </c>
    </row>
    <row r="2876" spans="1:12" x14ac:dyDescent="0.2">
      <c r="A2876"/>
      <c r="B2876"/>
      <c r="C2876"/>
      <c r="D2876"/>
      <c r="E2876" s="2">
        <f>Comuni__2[[#This Row],[Popolazione2011]]/$D$7911</f>
        <v>1.1529190923586808E-4</v>
      </c>
      <c r="F2876">
        <f>SUMIFS($D$2:$D$7909, $B$2:$B$7909, "Lombardia")</f>
        <v>9704151</v>
      </c>
      <c r="G2876" s="1">
        <f>Comuni__2[[#This Row],[Popolazione2011]]/Comuni__2[[#This Row],[POPOLAZIONE TOTALE DI OGNI REGIONE (CON FILTRO)]]</f>
        <v>7.0598654122344142E-4</v>
      </c>
      <c r="H2876" t="str">
        <f>IF(Comuni__2[[#This Row],[Popolazione2011]]&gt;300000,"MAGGIORE","")</f>
        <v/>
      </c>
      <c r="J2876">
        <v>0</v>
      </c>
      <c r="K2876">
        <v>0</v>
      </c>
      <c r="L2876">
        <v>0</v>
      </c>
    </row>
    <row r="2877" spans="1:12" x14ac:dyDescent="0.2">
      <c r="A2877"/>
      <c r="B2877"/>
      <c r="C2877"/>
      <c r="D2877"/>
      <c r="E2877" s="2">
        <f>Comuni__2[[#This Row],[Popolazione2011]]/$D$7911</f>
        <v>1.1514045292538453E-4</v>
      </c>
      <c r="F2877">
        <f>SUMIFS($D$2:$D$7909, $B$2:$B$7909, "Lombardia")</f>
        <v>9704151</v>
      </c>
      <c r="G2877" s="1">
        <f>Comuni__2[[#This Row],[Popolazione2011]]/Comuni__2[[#This Row],[POPOLAZIONE TOTALE DI OGNI REGIONE (CON FILTRO)]]</f>
        <v>7.0505910305806248E-4</v>
      </c>
      <c r="H2877" t="str">
        <f>IF(Comuni__2[[#This Row],[Popolazione2011]]&gt;300000,"MAGGIORE","")</f>
        <v/>
      </c>
      <c r="J2877">
        <v>0</v>
      </c>
      <c r="K2877">
        <v>0</v>
      </c>
      <c r="L2877">
        <v>0</v>
      </c>
    </row>
    <row r="2878" spans="1:12" x14ac:dyDescent="0.2">
      <c r="A2878"/>
      <c r="B2878"/>
      <c r="C2878"/>
      <c r="D2878"/>
      <c r="E2878" s="2">
        <f>Comuni__2[[#This Row],[Popolazione2011]]/$D$7911</f>
        <v>1.1503948205172882E-4</v>
      </c>
      <c r="F2878">
        <f>SUMIFS($D$2:$D$7909, $B$2:$B$7909, "Lombardia")</f>
        <v>9704151</v>
      </c>
      <c r="G2878" s="1">
        <f>Comuni__2[[#This Row],[Popolazione2011]]/Comuni__2[[#This Row],[POPOLAZIONE TOTALE DI OGNI REGIONE (CON FILTRO)]]</f>
        <v>7.0444081094780985E-4</v>
      </c>
      <c r="H2878" t="str">
        <f>IF(Comuni__2[[#This Row],[Popolazione2011]]&gt;300000,"MAGGIORE","")</f>
        <v/>
      </c>
      <c r="J2878">
        <v>0</v>
      </c>
      <c r="K2878">
        <v>0</v>
      </c>
      <c r="L2878">
        <v>0</v>
      </c>
    </row>
    <row r="2879" spans="1:12" x14ac:dyDescent="0.2">
      <c r="A2879"/>
      <c r="B2879"/>
      <c r="C2879"/>
      <c r="D2879"/>
      <c r="E2879" s="2">
        <f>Comuni__2[[#This Row],[Popolazione2011]]/$D$7911</f>
        <v>1.1493851117807313E-4</v>
      </c>
      <c r="F2879">
        <f>SUMIFS($D$2:$D$7909, $B$2:$B$7909, "Lombardia")</f>
        <v>9704151</v>
      </c>
      <c r="G2879" s="1">
        <f>Comuni__2[[#This Row],[Popolazione2011]]/Comuni__2[[#This Row],[POPOLAZIONE TOTALE DI OGNI REGIONE (CON FILTRO)]]</f>
        <v>7.0382251883755723E-4</v>
      </c>
      <c r="H2879" t="str">
        <f>IF(Comuni__2[[#This Row],[Popolazione2011]]&gt;300000,"MAGGIORE","")</f>
        <v/>
      </c>
      <c r="J2879">
        <v>0</v>
      </c>
      <c r="K2879">
        <v>0</v>
      </c>
      <c r="L2879">
        <v>0</v>
      </c>
    </row>
    <row r="2880" spans="1:12" x14ac:dyDescent="0.2">
      <c r="A2880"/>
      <c r="B2880"/>
      <c r="C2880"/>
      <c r="D2880"/>
      <c r="E2880" s="2">
        <f>Comuni__2[[#This Row],[Popolazione2011]]/$D$7911</f>
        <v>1.1487119726230266E-4</v>
      </c>
      <c r="F2880">
        <f>SUMIFS($D$2:$D$7909, $B$2:$B$7909, "Lombardia")</f>
        <v>9704151</v>
      </c>
      <c r="G2880" s="1">
        <f>Comuni__2[[#This Row],[Popolazione2011]]/Comuni__2[[#This Row],[POPOLAZIONE TOTALE DI OGNI REGIONE (CON FILTRO)]]</f>
        <v>7.0341032409738881E-4</v>
      </c>
      <c r="H2880" t="str">
        <f>IF(Comuni__2[[#This Row],[Popolazione2011]]&gt;300000,"MAGGIORE","")</f>
        <v/>
      </c>
      <c r="J2880">
        <v>3</v>
      </c>
      <c r="K2880">
        <v>0</v>
      </c>
      <c r="L2880">
        <v>0</v>
      </c>
    </row>
    <row r="2881" spans="1:12" x14ac:dyDescent="0.2">
      <c r="A2881"/>
      <c r="B2881"/>
      <c r="C2881"/>
      <c r="D2881"/>
      <c r="E2881" s="2">
        <f>Comuni__2[[#This Row],[Popolazione2011]]/$D$7911</f>
        <v>1.1470291247287649E-4</v>
      </c>
      <c r="F2881">
        <f>SUMIFS($D$2:$D$7909, $B$2:$B$7909, "Lombardia")</f>
        <v>9704151</v>
      </c>
      <c r="G2881" s="1">
        <f>Comuni__2[[#This Row],[Popolazione2011]]/Comuni__2[[#This Row],[POPOLAZIONE TOTALE DI OGNI REGIONE (CON FILTRO)]]</f>
        <v>7.0237983724696776E-4</v>
      </c>
      <c r="H2881" t="str">
        <f>IF(Comuni__2[[#This Row],[Popolazione2011]]&gt;300000,"MAGGIORE","")</f>
        <v/>
      </c>
      <c r="J2881">
        <v>3</v>
      </c>
      <c r="K2881">
        <v>0</v>
      </c>
      <c r="L2881">
        <v>0</v>
      </c>
    </row>
    <row r="2882" spans="1:12" x14ac:dyDescent="0.2">
      <c r="A2882"/>
      <c r="B2882"/>
      <c r="C2882"/>
      <c r="D2882"/>
      <c r="E2882" s="2">
        <f>Comuni__2[[#This Row],[Popolazione2011]]/$D$7911</f>
        <v>1.1461877007816341E-4</v>
      </c>
      <c r="F2882">
        <f>SUMIFS($D$2:$D$7909, $B$2:$B$7909, "Lombardia")</f>
        <v>9704151</v>
      </c>
      <c r="G2882" s="1">
        <f>Comuni__2[[#This Row],[Popolazione2011]]/Comuni__2[[#This Row],[POPOLAZIONE TOTALE DI OGNI REGIONE (CON FILTRO)]]</f>
        <v>7.0186459382175735E-4</v>
      </c>
      <c r="H2882" t="str">
        <f>IF(Comuni__2[[#This Row],[Popolazione2011]]&gt;300000,"MAGGIORE","")</f>
        <v/>
      </c>
      <c r="J2882">
        <v>4</v>
      </c>
      <c r="K2882">
        <v>0</v>
      </c>
      <c r="L2882">
        <v>0</v>
      </c>
    </row>
    <row r="2883" spans="1:12" x14ac:dyDescent="0.2">
      <c r="A2883"/>
      <c r="B2883"/>
      <c r="C2883"/>
      <c r="D2883"/>
      <c r="E2883" s="2">
        <f>Comuni__2[[#This Row],[Popolazione2011]]/$D$7911</f>
        <v>1.1423171506248322E-4</v>
      </c>
      <c r="F2883">
        <f>SUMIFS($D$2:$D$7909, $B$2:$B$7909, "Lombardia")</f>
        <v>9704151</v>
      </c>
      <c r="G2883" s="1">
        <f>Comuni__2[[#This Row],[Popolazione2011]]/Comuni__2[[#This Row],[POPOLAZIONE TOTALE DI OGNI REGIONE (CON FILTRO)]]</f>
        <v>6.9949447406578895E-4</v>
      </c>
      <c r="H2883" t="str">
        <f>IF(Comuni__2[[#This Row],[Popolazione2011]]&gt;300000,"MAGGIORE","")</f>
        <v/>
      </c>
      <c r="J2883">
        <v>5</v>
      </c>
      <c r="K2883">
        <v>0</v>
      </c>
      <c r="L2883">
        <v>0</v>
      </c>
    </row>
    <row r="2884" spans="1:12" x14ac:dyDescent="0.2">
      <c r="A2884"/>
      <c r="B2884"/>
      <c r="C2884"/>
      <c r="D2884"/>
      <c r="E2884" s="2">
        <f>Comuni__2[[#This Row],[Popolazione2011]]/$D$7911</f>
        <v>1.1419805810459798E-4</v>
      </c>
      <c r="F2884">
        <f>SUMIFS($D$2:$D$7909, $B$2:$B$7909, "Lombardia")</f>
        <v>9704151</v>
      </c>
      <c r="G2884" s="1">
        <f>Comuni__2[[#This Row],[Popolazione2011]]/Comuni__2[[#This Row],[POPOLAZIONE TOTALE DI OGNI REGIONE (CON FILTRO)]]</f>
        <v>6.9928837669570474E-4</v>
      </c>
      <c r="H2884" t="str">
        <f>IF(Comuni__2[[#This Row],[Popolazione2011]]&gt;300000,"MAGGIORE","")</f>
        <v/>
      </c>
      <c r="J2884">
        <v>5</v>
      </c>
      <c r="K2884">
        <v>0</v>
      </c>
      <c r="L2884">
        <v>0</v>
      </c>
    </row>
    <row r="2885" spans="1:12" x14ac:dyDescent="0.2">
      <c r="A2885"/>
      <c r="B2885"/>
      <c r="C2885"/>
      <c r="D2885"/>
      <c r="E2885" s="2">
        <f>Comuni__2[[#This Row],[Popolazione2011]]/$D$7911</f>
        <v>1.1325566328381143E-4</v>
      </c>
      <c r="F2885">
        <f>SUMIFS($D$2:$D$7909, $B$2:$B$7909, "Lombardia")</f>
        <v>9704151</v>
      </c>
      <c r="G2885" s="1">
        <f>Comuni__2[[#This Row],[Popolazione2011]]/Comuni__2[[#This Row],[POPOLAZIONE TOTALE DI OGNI REGIONE (CON FILTRO)]]</f>
        <v>6.9351765033334701E-4</v>
      </c>
      <c r="H2885" t="str">
        <f>IF(Comuni__2[[#This Row],[Popolazione2011]]&gt;300000,"MAGGIORE","")</f>
        <v/>
      </c>
      <c r="J2885">
        <v>6</v>
      </c>
      <c r="K2885">
        <v>0</v>
      </c>
      <c r="L2885">
        <v>0</v>
      </c>
    </row>
    <row r="2886" spans="1:12" x14ac:dyDescent="0.2">
      <c r="A2886"/>
      <c r="B2886"/>
      <c r="C2886"/>
      <c r="D2886"/>
      <c r="E2886" s="2">
        <f>Comuni__2[[#This Row],[Popolazione2011]]/$D$7911</f>
        <v>1.1280129435236078E-4</v>
      </c>
      <c r="F2886">
        <f>SUMIFS($D$2:$D$7909, $B$2:$B$7909, "Lombardia")</f>
        <v>9704151</v>
      </c>
      <c r="G2886" s="1">
        <f>Comuni__2[[#This Row],[Popolazione2011]]/Comuni__2[[#This Row],[POPOLAZIONE TOTALE DI OGNI REGIONE (CON FILTRO)]]</f>
        <v>6.907353358372103E-4</v>
      </c>
      <c r="H2886" t="str">
        <f>IF(Comuni__2[[#This Row],[Popolazione2011]]&gt;300000,"MAGGIORE","")</f>
        <v/>
      </c>
      <c r="J2886">
        <v>6</v>
      </c>
      <c r="K2886">
        <v>0</v>
      </c>
      <c r="L2886">
        <v>0</v>
      </c>
    </row>
    <row r="2887" spans="1:12" x14ac:dyDescent="0.2">
      <c r="A2887"/>
      <c r="B2887"/>
      <c r="C2887"/>
      <c r="D2887"/>
      <c r="E2887" s="2">
        <f>Comuni__2[[#This Row],[Popolazione2011]]/$D$7911</f>
        <v>1.1140453060012359E-4</v>
      </c>
      <c r="F2887">
        <f>SUMIFS($D$2:$D$7909, $B$2:$B$7909, "Lombardia")</f>
        <v>9704151</v>
      </c>
      <c r="G2887" s="1">
        <f>Comuni__2[[#This Row],[Popolazione2011]]/Comuni__2[[#This Row],[POPOLAZIONE TOTALE DI OGNI REGIONE (CON FILTRO)]]</f>
        <v>6.8218229497871586E-4</v>
      </c>
      <c r="H2887" t="str">
        <f>IF(Comuni__2[[#This Row],[Popolazione2011]]&gt;300000,"MAGGIORE","")</f>
        <v/>
      </c>
      <c r="J2887">
        <v>6</v>
      </c>
      <c r="K2887">
        <v>0</v>
      </c>
      <c r="L2887">
        <v>0</v>
      </c>
    </row>
    <row r="2888" spans="1:12" x14ac:dyDescent="0.2">
      <c r="A2888"/>
      <c r="B2888"/>
      <c r="C2888"/>
      <c r="D2888"/>
      <c r="E2888" s="2">
        <f>Comuni__2[[#This Row],[Popolazione2011]]/$D$7911</f>
        <v>1.1095016166867293E-4</v>
      </c>
      <c r="F2888">
        <f>SUMIFS($D$2:$D$7909, $B$2:$B$7909, "Lombardia")</f>
        <v>9704151</v>
      </c>
      <c r="G2888" s="1">
        <f>Comuni__2[[#This Row],[Popolazione2011]]/Comuni__2[[#This Row],[POPOLAZIONE TOTALE DI OGNI REGIONE (CON FILTRO)]]</f>
        <v>6.7939998048257904E-4</v>
      </c>
      <c r="H2888" t="str">
        <f>IF(Comuni__2[[#This Row],[Popolazione2011]]&gt;300000,"MAGGIORE","")</f>
        <v/>
      </c>
      <c r="J2888">
        <v>7</v>
      </c>
      <c r="K2888">
        <v>0</v>
      </c>
      <c r="L2888">
        <v>0</v>
      </c>
    </row>
    <row r="2889" spans="1:12" x14ac:dyDescent="0.2">
      <c r="A2889"/>
      <c r="B2889"/>
      <c r="C2889"/>
      <c r="D2889"/>
      <c r="E2889" s="2">
        <f>Comuni__2[[#This Row],[Popolazione2011]]/$D$7911</f>
        <v>1.1083236231607462E-4</v>
      </c>
      <c r="F2889">
        <f>SUMIFS($D$2:$D$7909, $B$2:$B$7909, "Lombardia")</f>
        <v>9704151</v>
      </c>
      <c r="G2889" s="1">
        <f>Comuni__2[[#This Row],[Popolazione2011]]/Comuni__2[[#This Row],[POPOLAZIONE TOTALE DI OGNI REGIONE (CON FILTRO)]]</f>
        <v>6.7867863968728431E-4</v>
      </c>
      <c r="H2889" t="str">
        <f>IF(Comuni__2[[#This Row],[Popolazione2011]]&gt;300000,"MAGGIORE","")</f>
        <v/>
      </c>
      <c r="J2889">
        <v>7</v>
      </c>
      <c r="K2889">
        <v>0</v>
      </c>
      <c r="L2889">
        <v>0</v>
      </c>
    </row>
    <row r="2890" spans="1:12" x14ac:dyDescent="0.2">
      <c r="A2890"/>
      <c r="B2890"/>
      <c r="C2890"/>
      <c r="D2890"/>
      <c r="E2890" s="2">
        <f>Comuni__2[[#This Row],[Popolazione2011]]/$D$7911</f>
        <v>1.1026019403202564E-4</v>
      </c>
      <c r="F2890">
        <f>SUMIFS($D$2:$D$7909, $B$2:$B$7909, "Lombardia")</f>
        <v>9704151</v>
      </c>
      <c r="G2890" s="1">
        <f>Comuni__2[[#This Row],[Popolazione2011]]/Comuni__2[[#This Row],[POPOLAZIONE TOTALE DI OGNI REGIONE (CON FILTRO)]]</f>
        <v>6.7517498439585287E-4</v>
      </c>
      <c r="H2890" t="str">
        <f>IF(Comuni__2[[#This Row],[Popolazione2011]]&gt;300000,"MAGGIORE","")</f>
        <v/>
      </c>
      <c r="J2890">
        <v>8</v>
      </c>
      <c r="K2890">
        <v>0</v>
      </c>
      <c r="L2890">
        <v>0</v>
      </c>
    </row>
    <row r="2891" spans="1:12" x14ac:dyDescent="0.2">
      <c r="A2891"/>
      <c r="B2891"/>
      <c r="C2891"/>
      <c r="D2891"/>
      <c r="E2891" s="2">
        <f>Comuni__2[[#This Row],[Popolazione2011]]/$D$7911</f>
        <v>1.0978899662163236E-4</v>
      </c>
      <c r="F2891">
        <f>SUMIFS($D$2:$D$7909, $B$2:$B$7909, "Lombardia")</f>
        <v>9704151</v>
      </c>
      <c r="G2891" s="1">
        <f>Comuni__2[[#This Row],[Popolazione2011]]/Comuni__2[[#This Row],[POPOLAZIONE TOTALE DI OGNI REGIONE (CON FILTRO)]]</f>
        <v>6.7228962121467406E-4</v>
      </c>
      <c r="H2891" t="str">
        <f>IF(Comuni__2[[#This Row],[Popolazione2011]]&gt;300000,"MAGGIORE","")</f>
        <v/>
      </c>
      <c r="J2891">
        <v>8</v>
      </c>
      <c r="K2891">
        <v>0</v>
      </c>
      <c r="L2891">
        <v>0</v>
      </c>
    </row>
    <row r="2892" spans="1:12" x14ac:dyDescent="0.2">
      <c r="A2892"/>
      <c r="B2892"/>
      <c r="C2892"/>
      <c r="D2892"/>
      <c r="E2892" s="2">
        <f>Comuni__2[[#This Row],[Popolazione2011]]/$D$7911</f>
        <v>1.0973851118480451E-4</v>
      </c>
      <c r="F2892">
        <f>SUMIFS($D$2:$D$7909, $B$2:$B$7909, "Lombardia")</f>
        <v>9704151</v>
      </c>
      <c r="G2892" s="1">
        <f>Comuni__2[[#This Row],[Popolazione2011]]/Comuni__2[[#This Row],[POPOLAZIONE TOTALE DI OGNI REGIONE (CON FILTRO)]]</f>
        <v>6.7198047515954775E-4</v>
      </c>
      <c r="H2892" t="str">
        <f>IF(Comuni__2[[#This Row],[Popolazione2011]]&gt;300000,"MAGGIORE","")</f>
        <v/>
      </c>
      <c r="J2892">
        <v>7</v>
      </c>
      <c r="K2892">
        <v>0</v>
      </c>
      <c r="L2892">
        <v>0</v>
      </c>
    </row>
    <row r="2893" spans="1:12" x14ac:dyDescent="0.2">
      <c r="A2893"/>
      <c r="B2893"/>
      <c r="C2893"/>
      <c r="D2893"/>
      <c r="E2893" s="2">
        <f>Comuni__2[[#This Row],[Popolazione2011]]/$D$7911</f>
        <v>1.095197409585505E-4</v>
      </c>
      <c r="F2893">
        <f>SUMIFS($D$2:$D$7909, $B$2:$B$7909, "Lombardia")</f>
        <v>9704151</v>
      </c>
      <c r="G2893" s="1">
        <f>Comuni__2[[#This Row],[Popolazione2011]]/Comuni__2[[#This Row],[POPOLAZIONE TOTALE DI OGNI REGIONE (CON FILTRO)]]</f>
        <v>6.7064084225400039E-4</v>
      </c>
      <c r="H2893" t="str">
        <f>IF(Comuni__2[[#This Row],[Popolazione2011]]&gt;300000,"MAGGIORE","")</f>
        <v/>
      </c>
      <c r="J2893">
        <v>8</v>
      </c>
      <c r="K2893">
        <v>5</v>
      </c>
      <c r="L2893">
        <v>1</v>
      </c>
    </row>
    <row r="2894" spans="1:12" x14ac:dyDescent="0.2">
      <c r="A2894"/>
      <c r="B2894"/>
      <c r="C2894"/>
      <c r="D2894"/>
      <c r="E2894" s="2">
        <f>Comuni__2[[#This Row],[Popolazione2011]]/$D$7911</f>
        <v>1.0941877008489479E-4</v>
      </c>
      <c r="F2894">
        <f>SUMIFS($D$2:$D$7909, $B$2:$B$7909, "Lombardia")</f>
        <v>9704151</v>
      </c>
      <c r="G2894" s="1">
        <f>Comuni__2[[#This Row],[Popolazione2011]]/Comuni__2[[#This Row],[POPOLAZIONE TOTALE DI OGNI REGIONE (CON FILTRO)]]</f>
        <v>6.7002255014374777E-4</v>
      </c>
      <c r="H2894" t="str">
        <f>IF(Comuni__2[[#This Row],[Popolazione2011]]&gt;300000,"MAGGIORE","")</f>
        <v/>
      </c>
      <c r="J2894">
        <v>12</v>
      </c>
      <c r="K2894">
        <v>5</v>
      </c>
      <c r="L2894">
        <v>1</v>
      </c>
    </row>
    <row r="2895" spans="1:12" x14ac:dyDescent="0.2">
      <c r="A2895"/>
      <c r="B2895"/>
      <c r="C2895"/>
      <c r="D2895"/>
      <c r="E2895" s="2">
        <f>Comuni__2[[#This Row],[Popolazione2011]]/$D$7911</f>
        <v>1.0862783157459181E-4</v>
      </c>
      <c r="F2895">
        <f>SUMIFS($D$2:$D$7909, $B$2:$B$7909, "Lombardia")</f>
        <v>9704151</v>
      </c>
      <c r="G2895" s="1">
        <f>Comuni__2[[#This Row],[Popolazione2011]]/Comuni__2[[#This Row],[POPOLAZIONE TOTALE DI OGNI REGIONE (CON FILTRO)]]</f>
        <v>6.6517926194676897E-4</v>
      </c>
      <c r="H2895" t="str">
        <f>IF(Comuni__2[[#This Row],[Popolazione2011]]&gt;300000,"MAGGIORE","")</f>
        <v/>
      </c>
      <c r="J2895">
        <v>13</v>
      </c>
      <c r="K2895">
        <v>6</v>
      </c>
      <c r="L2895">
        <v>1</v>
      </c>
    </row>
    <row r="2896" spans="1:12" x14ac:dyDescent="0.2">
      <c r="A2896"/>
      <c r="B2896"/>
      <c r="C2896"/>
      <c r="D2896"/>
      <c r="E2896" s="2">
        <f>Comuni__2[[#This Row],[Popolazione2011]]/$D$7911</f>
        <v>1.0859417461670658E-4</v>
      </c>
      <c r="F2896">
        <f>SUMIFS($D$2:$D$7909, $B$2:$B$7909, "Lombardia")</f>
        <v>9704151</v>
      </c>
      <c r="G2896" s="1">
        <f>Comuni__2[[#This Row],[Popolazione2011]]/Comuni__2[[#This Row],[POPOLAZIONE TOTALE DI OGNI REGIONE (CON FILTRO)]]</f>
        <v>6.6497316457668476E-4</v>
      </c>
      <c r="H2896" t="str">
        <f>IF(Comuni__2[[#This Row],[Popolazione2011]]&gt;300000,"MAGGIORE","")</f>
        <v/>
      </c>
      <c r="J2896">
        <v>25</v>
      </c>
      <c r="K2896">
        <v>6</v>
      </c>
      <c r="L2896">
        <v>2</v>
      </c>
    </row>
    <row r="2897" spans="1:12" x14ac:dyDescent="0.2">
      <c r="A2897"/>
      <c r="B2897"/>
      <c r="C2897"/>
      <c r="D2897"/>
      <c r="E2897" s="2">
        <f>Comuni__2[[#This Row],[Popolazione2011]]/$D$7911</f>
        <v>1.0845954678516563E-4</v>
      </c>
      <c r="F2897">
        <f>SUMIFS($D$2:$D$7909, $B$2:$B$7909, "Lombardia")</f>
        <v>9704151</v>
      </c>
      <c r="G2897" s="1">
        <f>Comuni__2[[#This Row],[Popolazione2011]]/Comuni__2[[#This Row],[POPOLAZIONE TOTALE DI OGNI REGIONE (CON FILTRO)]]</f>
        <v>6.6414877509634793E-4</v>
      </c>
      <c r="H2897" t="str">
        <f>IF(Comuni__2[[#This Row],[Popolazione2011]]&gt;300000,"MAGGIORE","")</f>
        <v/>
      </c>
      <c r="J2897">
        <v>26</v>
      </c>
      <c r="K2897">
        <v>6</v>
      </c>
      <c r="L2897">
        <v>5</v>
      </c>
    </row>
    <row r="2898" spans="1:12" x14ac:dyDescent="0.2">
      <c r="A2898"/>
      <c r="B2898"/>
      <c r="C2898"/>
      <c r="D2898"/>
      <c r="E2898" s="2">
        <f>Comuni__2[[#This Row],[Popolazione2011]]/$D$7911</f>
        <v>1.0792103545900189E-4</v>
      </c>
      <c r="F2898">
        <f>SUMIFS($D$2:$D$7909, $B$2:$B$7909, "Lombardia")</f>
        <v>9704151</v>
      </c>
      <c r="G2898" s="1">
        <f>Comuni__2[[#This Row],[Popolazione2011]]/Comuni__2[[#This Row],[POPOLAZIONE TOTALE DI OGNI REGIONE (CON FILTRO)]]</f>
        <v>6.608512171750007E-4</v>
      </c>
      <c r="H2898" t="str">
        <f>IF(Comuni__2[[#This Row],[Popolazione2011]]&gt;300000,"MAGGIORE","")</f>
        <v/>
      </c>
      <c r="J2898">
        <v>27</v>
      </c>
      <c r="K2898">
        <v>7</v>
      </c>
      <c r="L2898">
        <v>7</v>
      </c>
    </row>
    <row r="2899" spans="1:12" x14ac:dyDescent="0.2">
      <c r="A2899"/>
      <c r="B2899"/>
      <c r="C2899"/>
      <c r="D2899"/>
      <c r="E2899" s="2">
        <f>Comuni__2[[#This Row],[Popolazione2011]]/$D$7911</f>
        <v>1.0753398044332171E-4</v>
      </c>
      <c r="F2899">
        <f>SUMIFS($D$2:$D$7909, $B$2:$B$7909, "Lombardia")</f>
        <v>9704151</v>
      </c>
      <c r="G2899" s="1">
        <f>Comuni__2[[#This Row],[Popolazione2011]]/Comuni__2[[#This Row],[POPOLAZIONE TOTALE DI OGNI REGIONE (CON FILTRO)]]</f>
        <v>6.584810974190323E-4</v>
      </c>
      <c r="H2899" t="str">
        <f>IF(Comuni__2[[#This Row],[Popolazione2011]]&gt;300000,"MAGGIORE","")</f>
        <v/>
      </c>
      <c r="J2899">
        <v>31</v>
      </c>
      <c r="K2899">
        <v>7</v>
      </c>
      <c r="L2899">
        <v>7</v>
      </c>
    </row>
    <row r="2900" spans="1:12" x14ac:dyDescent="0.2">
      <c r="A2900"/>
      <c r="B2900"/>
      <c r="C2900"/>
      <c r="D2900"/>
      <c r="E2900" s="2">
        <f>Comuni__2[[#This Row],[Popolazione2011]]/$D$7911</f>
        <v>1.0753398044332171E-4</v>
      </c>
      <c r="F2900">
        <f>SUMIFS($D$2:$D$7909, $B$2:$B$7909, "Lombardia")</f>
        <v>9704151</v>
      </c>
      <c r="G2900" s="1">
        <f>Comuni__2[[#This Row],[Popolazione2011]]/Comuni__2[[#This Row],[POPOLAZIONE TOTALE DI OGNI REGIONE (CON FILTRO)]]</f>
        <v>6.584810974190323E-4</v>
      </c>
      <c r="H2900" t="str">
        <f>IF(Comuni__2[[#This Row],[Popolazione2011]]&gt;300000,"MAGGIORE","")</f>
        <v/>
      </c>
      <c r="J2900">
        <v>32</v>
      </c>
      <c r="K2900">
        <v>10</v>
      </c>
      <c r="L2900">
        <v>7</v>
      </c>
    </row>
    <row r="2901" spans="1:12" x14ac:dyDescent="0.2">
      <c r="A2901"/>
      <c r="B2901"/>
      <c r="C2901"/>
      <c r="D2901"/>
      <c r="E2901" s="2">
        <f>Comuni__2[[#This Row],[Popolazione2011]]/$D$7911</f>
        <v>1.0719741086446937E-4</v>
      </c>
      <c r="F2901">
        <f>SUMIFS($D$2:$D$7909, $B$2:$B$7909, "Lombardia")</f>
        <v>9704151</v>
      </c>
      <c r="G2901" s="1">
        <f>Comuni__2[[#This Row],[Popolazione2011]]/Comuni__2[[#This Row],[POPOLAZIONE TOTALE DI OGNI REGIONE (CON FILTRO)]]</f>
        <v>6.5642012371819032E-4</v>
      </c>
      <c r="H2901" t="str">
        <f>IF(Comuni__2[[#This Row],[Popolazione2011]]&gt;300000,"MAGGIORE","")</f>
        <v/>
      </c>
      <c r="J2901">
        <v>34</v>
      </c>
      <c r="K2901">
        <v>10</v>
      </c>
      <c r="L2901">
        <v>8</v>
      </c>
    </row>
    <row r="2902" spans="1:12" x14ac:dyDescent="0.2">
      <c r="A2902"/>
      <c r="B2902"/>
      <c r="C2902"/>
      <c r="D2902"/>
      <c r="E2902" s="2">
        <f>Comuni__2[[#This Row],[Popolazione2011]]/$D$7911</f>
        <v>1.0677669889090395E-4</v>
      </c>
      <c r="F2902">
        <f>SUMIFS($D$2:$D$7909, $B$2:$B$7909, "Lombardia")</f>
        <v>9704151</v>
      </c>
      <c r="G2902" s="1">
        <f>Comuni__2[[#This Row],[Popolazione2011]]/Comuni__2[[#This Row],[POPOLAZIONE TOTALE DI OGNI REGIONE (CON FILTRO)]]</f>
        <v>6.5384390659213771E-4</v>
      </c>
      <c r="H2902" t="str">
        <f>IF(Comuni__2[[#This Row],[Popolazione2011]]&gt;300000,"MAGGIORE","")</f>
        <v/>
      </c>
      <c r="J2902">
        <v>33</v>
      </c>
      <c r="K2902">
        <v>12</v>
      </c>
      <c r="L2902">
        <v>8</v>
      </c>
    </row>
    <row r="2903" spans="1:12" x14ac:dyDescent="0.2">
      <c r="A2903"/>
      <c r="B2903"/>
      <c r="C2903"/>
      <c r="D2903"/>
      <c r="E2903" s="2">
        <f>Comuni__2[[#This Row],[Popolazione2011]]/$D$7911</f>
        <v>1.06423300833109E-4</v>
      </c>
      <c r="F2903">
        <f>SUMIFS($D$2:$D$7909, $B$2:$B$7909, "Lombardia")</f>
        <v>9704151</v>
      </c>
      <c r="G2903" s="1">
        <f>Comuni__2[[#This Row],[Popolazione2011]]/Comuni__2[[#This Row],[POPOLAZIONE TOTALE DI OGNI REGIONE (CON FILTRO)]]</f>
        <v>6.5167988420625363E-4</v>
      </c>
      <c r="H2903" t="str">
        <f>IF(Comuni__2[[#This Row],[Popolazione2011]]&gt;300000,"MAGGIORE","")</f>
        <v/>
      </c>
      <c r="J2903">
        <v>35</v>
      </c>
      <c r="K2903">
        <v>14</v>
      </c>
      <c r="L2903">
        <v>8</v>
      </c>
    </row>
    <row r="2904" spans="1:12" x14ac:dyDescent="0.2">
      <c r="A2904"/>
      <c r="B2904"/>
      <c r="C2904"/>
      <c r="D2904"/>
      <c r="E2904" s="2">
        <f>Comuni__2[[#This Row],[Popolazione2011]]/$D$7911</f>
        <v>1.0580064711223218E-4</v>
      </c>
      <c r="F2904">
        <f>SUMIFS($D$2:$D$7909, $B$2:$B$7909, "Lombardia")</f>
        <v>9704151</v>
      </c>
      <c r="G2904" s="1">
        <f>Comuni__2[[#This Row],[Popolazione2011]]/Comuni__2[[#This Row],[POPOLAZIONE TOTALE DI OGNI REGIONE (CON FILTRO)]]</f>
        <v>6.4786708285969577E-4</v>
      </c>
      <c r="H2904" t="str">
        <f>IF(Comuni__2[[#This Row],[Popolazione2011]]&gt;300000,"MAGGIORE","")</f>
        <v/>
      </c>
      <c r="J2904">
        <v>35</v>
      </c>
      <c r="K2904">
        <v>14</v>
      </c>
      <c r="L2904">
        <v>9</v>
      </c>
    </row>
    <row r="2905" spans="1:12" x14ac:dyDescent="0.2">
      <c r="A2905"/>
      <c r="B2905"/>
      <c r="C2905"/>
      <c r="D2905"/>
      <c r="E2905" s="2">
        <f>Comuni__2[[#This Row],[Popolazione2011]]/$D$7911</f>
        <v>1.0548090601232246E-4</v>
      </c>
      <c r="F2905">
        <f>SUMIFS($D$2:$D$7909, $B$2:$B$7909, "Lombardia")</f>
        <v>9704151</v>
      </c>
      <c r="G2905" s="1">
        <f>Comuni__2[[#This Row],[Popolazione2011]]/Comuni__2[[#This Row],[POPOLAZIONE TOTALE DI OGNI REGIONE (CON FILTRO)]]</f>
        <v>6.459091578438959E-4</v>
      </c>
      <c r="H2905" t="str">
        <f>IF(Comuni__2[[#This Row],[Popolazione2011]]&gt;300000,"MAGGIORE","")</f>
        <v/>
      </c>
      <c r="J2905">
        <v>35</v>
      </c>
      <c r="K2905">
        <v>16</v>
      </c>
      <c r="L2905">
        <v>9</v>
      </c>
    </row>
    <row r="2906" spans="1:12" x14ac:dyDescent="0.2">
      <c r="A2906"/>
      <c r="B2906"/>
      <c r="C2906"/>
      <c r="D2906"/>
      <c r="E2906" s="2">
        <f>Comuni__2[[#This Row],[Popolazione2011]]/$D$7911</f>
        <v>1.0526213578606843E-4</v>
      </c>
      <c r="F2906">
        <f>SUMIFS($D$2:$D$7909, $B$2:$B$7909, "Lombardia")</f>
        <v>9704151</v>
      </c>
      <c r="G2906" s="1">
        <f>Comuni__2[[#This Row],[Popolazione2011]]/Comuni__2[[#This Row],[POPOLAZIONE TOTALE DI OGNI REGIONE (CON FILTRO)]]</f>
        <v>6.4456952493834854E-4</v>
      </c>
      <c r="H2906" t="str">
        <f>IF(Comuni__2[[#This Row],[Popolazione2011]]&gt;300000,"MAGGIORE","")</f>
        <v/>
      </c>
      <c r="J2906">
        <v>34</v>
      </c>
      <c r="K2906">
        <v>18</v>
      </c>
      <c r="L2906">
        <v>9</v>
      </c>
    </row>
    <row r="2907" spans="1:12" x14ac:dyDescent="0.2">
      <c r="A2907"/>
      <c r="B2907"/>
      <c r="C2907"/>
      <c r="D2907"/>
      <c r="E2907" s="2">
        <f>Comuni__2[[#This Row],[Popolazione2011]]/$D$7911</f>
        <v>1.0524530730712582E-4</v>
      </c>
      <c r="F2907">
        <f>SUMIFS($D$2:$D$7909, $B$2:$B$7909, "Lombardia")</f>
        <v>9704151</v>
      </c>
      <c r="G2907" s="1">
        <f>Comuni__2[[#This Row],[Popolazione2011]]/Comuni__2[[#This Row],[POPOLAZIONE TOTALE DI OGNI REGIONE (CON FILTRO)]]</f>
        <v>6.4446647625330644E-4</v>
      </c>
      <c r="H2907" t="str">
        <f>IF(Comuni__2[[#This Row],[Popolazione2011]]&gt;300000,"MAGGIORE","")</f>
        <v/>
      </c>
      <c r="J2907">
        <v>35</v>
      </c>
      <c r="K2907">
        <v>18</v>
      </c>
      <c r="L2907">
        <v>9</v>
      </c>
    </row>
    <row r="2908" spans="1:12" x14ac:dyDescent="0.2">
      <c r="A2908"/>
      <c r="B2908"/>
      <c r="C2908"/>
      <c r="D2908"/>
      <c r="E2908" s="2">
        <f>Comuni__2[[#This Row],[Popolazione2011]]/$D$7911</f>
        <v>1.0506019403875703E-4</v>
      </c>
      <c r="F2908">
        <f>SUMIFS($D$2:$D$7909, $B$2:$B$7909, "Lombardia")</f>
        <v>9704151</v>
      </c>
      <c r="G2908" s="1">
        <f>Comuni__2[[#This Row],[Popolazione2011]]/Comuni__2[[#This Row],[POPOLAZIONE TOTALE DI OGNI REGIONE (CON FILTRO)]]</f>
        <v>6.4333294071784329E-4</v>
      </c>
      <c r="H2908" t="str">
        <f>IF(Comuni__2[[#This Row],[Popolazione2011]]&gt;300000,"MAGGIORE","")</f>
        <v/>
      </c>
      <c r="J2908">
        <v>37</v>
      </c>
      <c r="K2908">
        <v>18</v>
      </c>
      <c r="L2908">
        <v>9</v>
      </c>
    </row>
    <row r="2909" spans="1:12" x14ac:dyDescent="0.2">
      <c r="A2909"/>
      <c r="B2909"/>
      <c r="C2909"/>
      <c r="D2909"/>
      <c r="E2909" s="2">
        <f>Comuni__2[[#This Row],[Popolazione2011]]/$D$7911</f>
        <v>1.0497605164404395E-4</v>
      </c>
      <c r="F2909">
        <f>SUMIFS($D$2:$D$7909, $B$2:$B$7909, "Lombardia")</f>
        <v>9704151</v>
      </c>
      <c r="G2909" s="1">
        <f>Comuni__2[[#This Row],[Popolazione2011]]/Comuni__2[[#This Row],[POPOLAZIONE TOTALE DI OGNI REGIONE (CON FILTRO)]]</f>
        <v>6.4281769729263277E-4</v>
      </c>
      <c r="H2909" t="str">
        <f>IF(Comuni__2[[#This Row],[Popolazione2011]]&gt;300000,"MAGGIORE","")</f>
        <v/>
      </c>
      <c r="J2909">
        <v>40</v>
      </c>
      <c r="K2909">
        <v>19</v>
      </c>
      <c r="L2909">
        <v>10</v>
      </c>
    </row>
    <row r="2910" spans="1:12" x14ac:dyDescent="0.2">
      <c r="A2910"/>
      <c r="B2910"/>
      <c r="C2910"/>
      <c r="D2910"/>
      <c r="E2910" s="2">
        <f>Comuni__2[[#This Row],[Popolazione2011]]/$D$7911</f>
        <v>1.0482459533356039E-4</v>
      </c>
      <c r="F2910">
        <f>SUMIFS($D$2:$D$7909, $B$2:$B$7909, "Lombardia")</f>
        <v>9704151</v>
      </c>
      <c r="G2910" s="1">
        <f>Comuni__2[[#This Row],[Popolazione2011]]/Comuni__2[[#This Row],[POPOLAZIONE TOTALE DI OGNI REGIONE (CON FILTRO)]]</f>
        <v>6.4189025912725394E-4</v>
      </c>
      <c r="H2910" t="str">
        <f>IF(Comuni__2[[#This Row],[Popolazione2011]]&gt;300000,"MAGGIORE","")</f>
        <v/>
      </c>
      <c r="J2910">
        <v>38</v>
      </c>
      <c r="K2910">
        <v>21</v>
      </c>
      <c r="L2910">
        <v>11</v>
      </c>
    </row>
    <row r="2911" spans="1:12" x14ac:dyDescent="0.2">
      <c r="A2911"/>
      <c r="B2911"/>
      <c r="C2911"/>
      <c r="D2911"/>
      <c r="E2911" s="2">
        <f>Comuni__2[[#This Row],[Popolazione2011]]/$D$7911</f>
        <v>1.0416828465479833E-4</v>
      </c>
      <c r="F2911">
        <f>SUMIFS($D$2:$D$7909, $B$2:$B$7909, "Lombardia")</f>
        <v>9704151</v>
      </c>
      <c r="G2911" s="1">
        <f>Comuni__2[[#This Row],[Popolazione2011]]/Comuni__2[[#This Row],[POPOLAZIONE TOTALE DI OGNI REGIONE (CON FILTRO)]]</f>
        <v>6.3787136041061187E-4</v>
      </c>
      <c r="H2911" t="str">
        <f>IF(Comuni__2[[#This Row],[Popolazione2011]]&gt;300000,"MAGGIORE","")</f>
        <v/>
      </c>
      <c r="J2911">
        <v>39</v>
      </c>
      <c r="K2911">
        <v>21</v>
      </c>
      <c r="L2911">
        <v>11</v>
      </c>
    </row>
    <row r="2912" spans="1:12" x14ac:dyDescent="0.2">
      <c r="A2912"/>
      <c r="B2912"/>
      <c r="C2912"/>
      <c r="D2912"/>
      <c r="E2912" s="2">
        <f>Comuni__2[[#This Row],[Popolazione2011]]/$D$7911</f>
        <v>1.0416828465479833E-4</v>
      </c>
      <c r="F2912">
        <f>SUMIFS($D$2:$D$7909, $B$2:$B$7909, "Lombardia")</f>
        <v>9704151</v>
      </c>
      <c r="G2912" s="1">
        <f>Comuni__2[[#This Row],[Popolazione2011]]/Comuni__2[[#This Row],[POPOLAZIONE TOTALE DI OGNI REGIONE (CON FILTRO)]]</f>
        <v>6.3787136041061187E-4</v>
      </c>
      <c r="H2912" t="str">
        <f>IF(Comuni__2[[#This Row],[Popolazione2011]]&gt;300000,"MAGGIORE","")</f>
        <v/>
      </c>
      <c r="J2912">
        <v>37</v>
      </c>
      <c r="K2912">
        <v>24</v>
      </c>
      <c r="L2912">
        <v>11</v>
      </c>
    </row>
    <row r="2913" spans="1:12" x14ac:dyDescent="0.2">
      <c r="A2913"/>
      <c r="B2913"/>
      <c r="C2913"/>
      <c r="D2913"/>
      <c r="E2913" s="2">
        <f>Comuni__2[[#This Row],[Popolazione2011]]/$D$7911</f>
        <v>1.037307442022903E-4</v>
      </c>
      <c r="F2913">
        <f>SUMIFS($D$2:$D$7909, $B$2:$B$7909, "Lombardia")</f>
        <v>9704151</v>
      </c>
      <c r="G2913" s="1">
        <f>Comuni__2[[#This Row],[Popolazione2011]]/Comuni__2[[#This Row],[POPOLAZIONE TOTALE DI OGNI REGIONE (CON FILTRO)]]</f>
        <v>6.3519209459951727E-4</v>
      </c>
      <c r="H2913" t="str">
        <f>IF(Comuni__2[[#This Row],[Popolazione2011]]&gt;300000,"MAGGIORE","")</f>
        <v/>
      </c>
      <c r="J2913">
        <v>39</v>
      </c>
      <c r="K2913">
        <v>24</v>
      </c>
      <c r="L2913">
        <v>13</v>
      </c>
    </row>
    <row r="2914" spans="1:12" x14ac:dyDescent="0.2">
      <c r="A2914"/>
      <c r="B2914"/>
      <c r="C2914"/>
      <c r="D2914"/>
      <c r="E2914" s="2">
        <f>Comuni__2[[#This Row],[Popolazione2011]]/$D$7911</f>
        <v>1.0349514549709366E-4</v>
      </c>
      <c r="F2914">
        <f>SUMIFS($D$2:$D$7909, $B$2:$B$7909, "Lombardia")</f>
        <v>9704151</v>
      </c>
      <c r="G2914" s="1">
        <f>Comuni__2[[#This Row],[Popolazione2011]]/Comuni__2[[#This Row],[POPOLAZIONE TOTALE DI OGNI REGIONE (CON FILTRO)]]</f>
        <v>6.337494130089278E-4</v>
      </c>
      <c r="H2914" t="str">
        <f>IF(Comuni__2[[#This Row],[Popolazione2011]]&gt;300000,"MAGGIORE","")</f>
        <v/>
      </c>
      <c r="J2914">
        <v>39</v>
      </c>
      <c r="K2914">
        <v>24</v>
      </c>
      <c r="L2914">
        <v>13</v>
      </c>
    </row>
    <row r="2915" spans="1:12" x14ac:dyDescent="0.2">
      <c r="A2915"/>
      <c r="B2915"/>
      <c r="C2915"/>
      <c r="D2915"/>
      <c r="E2915" s="2">
        <f>Comuni__2[[#This Row],[Popolazione2011]]/$D$7911</f>
        <v>1.0344466006026581E-4</v>
      </c>
      <c r="F2915">
        <f>SUMIFS($D$2:$D$7909, $B$2:$B$7909, "Lombardia")</f>
        <v>9704151</v>
      </c>
      <c r="G2915" s="1">
        <f>Comuni__2[[#This Row],[Popolazione2011]]/Comuni__2[[#This Row],[POPOLAZIONE TOTALE DI OGNI REGIONE (CON FILTRO)]]</f>
        <v>6.3344026695380149E-4</v>
      </c>
      <c r="H2915" t="str">
        <f>IF(Comuni__2[[#This Row],[Popolazione2011]]&gt;300000,"MAGGIORE","")</f>
        <v/>
      </c>
      <c r="J2915">
        <v>40</v>
      </c>
      <c r="K2915">
        <v>26</v>
      </c>
      <c r="L2915">
        <v>13</v>
      </c>
    </row>
    <row r="2916" spans="1:12" x14ac:dyDescent="0.2">
      <c r="A2916"/>
      <c r="B2916"/>
      <c r="C2916"/>
      <c r="D2916"/>
      <c r="E2916" s="2">
        <f>Comuni__2[[#This Row],[Popolazione2011]]/$D$7911</f>
        <v>1.0267055002890544E-4</v>
      </c>
      <c r="F2916">
        <f>SUMIFS($D$2:$D$7909, $B$2:$B$7909, "Lombardia")</f>
        <v>9704151</v>
      </c>
      <c r="G2916" s="1">
        <f>Comuni__2[[#This Row],[Popolazione2011]]/Comuni__2[[#This Row],[POPOLAZIONE TOTALE DI OGNI REGIONE (CON FILTRO)]]</f>
        <v>6.287000274418648E-4</v>
      </c>
      <c r="H2916" t="str">
        <f>IF(Comuni__2[[#This Row],[Popolazione2011]]&gt;300000,"MAGGIORE","")</f>
        <v/>
      </c>
      <c r="J2916">
        <v>34</v>
      </c>
      <c r="K2916">
        <v>32</v>
      </c>
      <c r="L2916">
        <v>13</v>
      </c>
    </row>
    <row r="2917" spans="1:12" x14ac:dyDescent="0.2">
      <c r="A2917"/>
      <c r="B2917"/>
      <c r="C2917"/>
      <c r="D2917"/>
      <c r="E2917" s="2">
        <f>Comuni__2[[#This Row],[Popolazione2011]]/$D$7911</f>
        <v>1.026368930710202E-4</v>
      </c>
      <c r="F2917">
        <f>SUMIFS($D$2:$D$7909, $B$2:$B$7909, "Lombardia")</f>
        <v>9704151</v>
      </c>
      <c r="G2917" s="1">
        <f>Comuni__2[[#This Row],[Popolazione2011]]/Comuni__2[[#This Row],[POPOLAZIONE TOTALE DI OGNI REGIONE (CON FILTRO)]]</f>
        <v>6.2849393007178059E-4</v>
      </c>
      <c r="H2917" t="str">
        <f>IF(Comuni__2[[#This Row],[Popolazione2011]]&gt;300000,"MAGGIORE","")</f>
        <v/>
      </c>
      <c r="J2917">
        <v>34</v>
      </c>
      <c r="K2917">
        <v>32</v>
      </c>
      <c r="L2917">
        <v>13</v>
      </c>
    </row>
    <row r="2918" spans="1:12" x14ac:dyDescent="0.2">
      <c r="A2918"/>
      <c r="B2918"/>
      <c r="C2918"/>
      <c r="D2918"/>
      <c r="E2918" s="2">
        <f>Comuni__2[[#This Row],[Popolazione2011]]/$D$7911</f>
        <v>1.0155987041869272E-4</v>
      </c>
      <c r="F2918">
        <f>SUMIFS($D$2:$D$7909, $B$2:$B$7909, "Lombardia")</f>
        <v>9704151</v>
      </c>
      <c r="G2918" s="1">
        <f>Comuni__2[[#This Row],[Popolazione2011]]/Comuni__2[[#This Row],[POPOLAZIONE TOTALE DI OGNI REGIONE (CON FILTRO)]]</f>
        <v>6.2189881422908613E-4</v>
      </c>
      <c r="H2918" t="str">
        <f>IF(Comuni__2[[#This Row],[Popolazione2011]]&gt;300000,"MAGGIORE","")</f>
        <v/>
      </c>
      <c r="J2918">
        <v>32</v>
      </c>
      <c r="K2918">
        <v>37</v>
      </c>
      <c r="L2918">
        <v>13</v>
      </c>
    </row>
    <row r="2919" spans="1:12" x14ac:dyDescent="0.2">
      <c r="A2919"/>
      <c r="B2919"/>
      <c r="C2919"/>
      <c r="D2919"/>
      <c r="E2919" s="2">
        <f>Comuni__2[[#This Row],[Popolazione2011]]/$D$7911</f>
        <v>1.0150938498186488E-4</v>
      </c>
      <c r="F2919">
        <f>SUMIFS($D$2:$D$7909, $B$2:$B$7909, "Lombardia")</f>
        <v>9704151</v>
      </c>
      <c r="G2919" s="1">
        <f>Comuni__2[[#This Row],[Popolazione2011]]/Comuni__2[[#This Row],[POPOLAZIONE TOTALE DI OGNI REGIONE (CON FILTRO)]]</f>
        <v>6.2158966817395982E-4</v>
      </c>
      <c r="H2919" t="str">
        <f>IF(Comuni__2[[#This Row],[Popolazione2011]]&gt;300000,"MAGGIORE","")</f>
        <v/>
      </c>
      <c r="J2919">
        <v>32</v>
      </c>
      <c r="K2919">
        <v>39</v>
      </c>
      <c r="L2919">
        <v>14</v>
      </c>
    </row>
    <row r="2920" spans="1:12" x14ac:dyDescent="0.2">
      <c r="A2920"/>
      <c r="B2920"/>
      <c r="C2920"/>
      <c r="D2920"/>
      <c r="E2920" s="2">
        <f>Comuni__2[[#This Row],[Popolazione2011]]/$D$7911</f>
        <v>1.0147572802397964E-4</v>
      </c>
      <c r="F2920">
        <f>SUMIFS($D$2:$D$7909, $B$2:$B$7909, "Lombardia")</f>
        <v>9704151</v>
      </c>
      <c r="G2920" s="1">
        <f>Comuni__2[[#This Row],[Popolazione2011]]/Comuni__2[[#This Row],[POPOLAZIONE TOTALE DI OGNI REGIONE (CON FILTRO)]]</f>
        <v>6.2138357080387561E-4</v>
      </c>
      <c r="H2920" t="str">
        <f>IF(Comuni__2[[#This Row],[Popolazione2011]]&gt;300000,"MAGGIORE","")</f>
        <v/>
      </c>
      <c r="J2920">
        <v>31</v>
      </c>
      <c r="K2920">
        <v>40</v>
      </c>
      <c r="L2920">
        <v>15</v>
      </c>
    </row>
    <row r="2921" spans="1:12" x14ac:dyDescent="0.2">
      <c r="A2921"/>
      <c r="B2921"/>
      <c r="C2921"/>
      <c r="D2921"/>
      <c r="E2921" s="2">
        <f>Comuni__2[[#This Row],[Popolazione2011]]/$D$7911</f>
        <v>1.0073527495050449E-4</v>
      </c>
      <c r="F2921">
        <f>SUMIFS($D$2:$D$7909, $B$2:$B$7909, "Lombardia")</f>
        <v>9704151</v>
      </c>
      <c r="G2921" s="1">
        <f>Comuni__2[[#This Row],[Popolazione2011]]/Comuni__2[[#This Row],[POPOLAZIONE TOTALE DI OGNI REGIONE (CON FILTRO)]]</f>
        <v>6.1684942866202313E-4</v>
      </c>
      <c r="H2921" t="str">
        <f>IF(Comuni__2[[#This Row],[Popolazione2011]]&gt;300000,"MAGGIORE","")</f>
        <v/>
      </c>
      <c r="J2921">
        <v>32</v>
      </c>
      <c r="K2921">
        <v>40</v>
      </c>
      <c r="L2921">
        <v>15</v>
      </c>
    </row>
    <row r="2922" spans="1:12" x14ac:dyDescent="0.2">
      <c r="A2922"/>
      <c r="B2922"/>
      <c r="C2922"/>
      <c r="D2922"/>
      <c r="E2922" s="2">
        <f>Comuni__2[[#This Row],[Popolazione2011]]/$D$7911</f>
        <v>1.0056699016107833E-4</v>
      </c>
      <c r="F2922">
        <f>SUMIFS($D$2:$D$7909, $B$2:$B$7909, "Lombardia")</f>
        <v>9704151</v>
      </c>
      <c r="G2922" s="1">
        <f>Comuni__2[[#This Row],[Popolazione2011]]/Comuni__2[[#This Row],[POPOLAZIONE TOTALE DI OGNI REGIONE (CON FILTRO)]]</f>
        <v>6.1581894181160209E-4</v>
      </c>
      <c r="H2922" t="str">
        <f>IF(Comuni__2[[#This Row],[Popolazione2011]]&gt;300000,"MAGGIORE","")</f>
        <v/>
      </c>
      <c r="J2922">
        <v>30</v>
      </c>
      <c r="K2922">
        <v>42</v>
      </c>
      <c r="L2922">
        <v>15</v>
      </c>
    </row>
    <row r="2923" spans="1:12" x14ac:dyDescent="0.2">
      <c r="A2923"/>
      <c r="B2923"/>
      <c r="C2923"/>
      <c r="D2923"/>
      <c r="E2923" s="2">
        <f>Comuni__2[[#This Row],[Popolazione2011]]/$D$7911</f>
        <v>1.0043236232953739E-4</v>
      </c>
      <c r="F2923">
        <f>SUMIFS($D$2:$D$7909, $B$2:$B$7909, "Lombardia")</f>
        <v>9704151</v>
      </c>
      <c r="G2923" s="1">
        <f>Comuni__2[[#This Row],[Popolazione2011]]/Comuni__2[[#This Row],[POPOLAZIONE TOTALE DI OGNI REGIONE (CON FILTRO)]]</f>
        <v>6.1499455233126525E-4</v>
      </c>
      <c r="H2923" t="str">
        <f>IF(Comuni__2[[#This Row],[Popolazione2011]]&gt;300000,"MAGGIORE","")</f>
        <v/>
      </c>
      <c r="J2923">
        <v>31</v>
      </c>
      <c r="K2923">
        <v>42</v>
      </c>
      <c r="L2923">
        <v>15</v>
      </c>
    </row>
    <row r="2924" spans="1:12" x14ac:dyDescent="0.2">
      <c r="A2924"/>
      <c r="B2924"/>
      <c r="C2924"/>
      <c r="D2924"/>
      <c r="E2924" s="2">
        <f>Comuni__2[[#This Row],[Popolazione2011]]/$D$7911</f>
        <v>1.0039870537165216E-4</v>
      </c>
      <c r="F2924">
        <f>SUMIFS($D$2:$D$7909, $B$2:$B$7909, "Lombardia")</f>
        <v>9704151</v>
      </c>
      <c r="G2924" s="1">
        <f>Comuni__2[[#This Row],[Popolazione2011]]/Comuni__2[[#This Row],[POPOLAZIONE TOTALE DI OGNI REGIONE (CON FILTRO)]]</f>
        <v>6.1478845496118104E-4</v>
      </c>
      <c r="H2924" t="str">
        <f>IF(Comuni__2[[#This Row],[Popolazione2011]]&gt;300000,"MAGGIORE","")</f>
        <v/>
      </c>
      <c r="J2924">
        <v>29</v>
      </c>
      <c r="K2924">
        <v>44</v>
      </c>
      <c r="L2924">
        <v>16</v>
      </c>
    </row>
    <row r="2925" spans="1:12" x14ac:dyDescent="0.2">
      <c r="A2925"/>
      <c r="B2925"/>
      <c r="C2925"/>
      <c r="D2925"/>
      <c r="E2925" s="2">
        <f>Comuni__2[[#This Row],[Popolazione2011]]/$D$7911</f>
        <v>9.9910679482316276E-5</v>
      </c>
      <c r="F2925">
        <f>SUMIFS($D$2:$D$7909, $B$2:$B$7909, "Lombardia")</f>
        <v>9704151</v>
      </c>
      <c r="G2925" s="1">
        <f>Comuni__2[[#This Row],[Popolazione2011]]/Comuni__2[[#This Row],[POPOLAZIONE TOTALE DI OGNI REGIONE (CON FILTRO)]]</f>
        <v>6.1180004309496013E-4</v>
      </c>
      <c r="H2925" t="str">
        <f>IF(Comuni__2[[#This Row],[Popolazione2011]]&gt;300000,"MAGGIORE","")</f>
        <v/>
      </c>
      <c r="J2925">
        <v>30</v>
      </c>
      <c r="K2925">
        <v>45</v>
      </c>
      <c r="L2925">
        <v>16</v>
      </c>
    </row>
    <row r="2926" spans="1:12" x14ac:dyDescent="0.2">
      <c r="A2926"/>
      <c r="B2926"/>
      <c r="C2926"/>
      <c r="D2926"/>
      <c r="E2926" s="2">
        <f>Comuni__2[[#This Row],[Popolazione2011]]/$D$7911</f>
        <v>9.9843365566545811E-5</v>
      </c>
      <c r="F2926">
        <f>SUMIFS($D$2:$D$7909, $B$2:$B$7909, "Lombardia")</f>
        <v>9704151</v>
      </c>
      <c r="G2926" s="1">
        <f>Comuni__2[[#This Row],[Popolazione2011]]/Comuni__2[[#This Row],[POPOLAZIONE TOTALE DI OGNI REGIONE (CON FILTRO)]]</f>
        <v>6.1138784835479171E-4</v>
      </c>
      <c r="H2926" t="str">
        <f>IF(Comuni__2[[#This Row],[Popolazione2011]]&gt;300000,"MAGGIORE","")</f>
        <v/>
      </c>
      <c r="J2926">
        <v>31</v>
      </c>
      <c r="K2926">
        <v>44</v>
      </c>
      <c r="L2926">
        <v>16</v>
      </c>
    </row>
    <row r="2927" spans="1:12" x14ac:dyDescent="0.2">
      <c r="A2927"/>
      <c r="B2927"/>
      <c r="C2927"/>
      <c r="D2927"/>
      <c r="E2927" s="2">
        <f>Comuni__2[[#This Row],[Popolazione2011]]/$D$7911</f>
        <v>9.9675080777119636E-5</v>
      </c>
      <c r="F2927">
        <f>SUMIFS($D$2:$D$7909, $B$2:$B$7909, "Lombardia")</f>
        <v>9704151</v>
      </c>
      <c r="G2927" s="1">
        <f>Comuni__2[[#This Row],[Popolazione2011]]/Comuni__2[[#This Row],[POPOLAZIONE TOTALE DI OGNI REGIONE (CON FILTRO)]]</f>
        <v>6.1035736150437067E-4</v>
      </c>
      <c r="H2927" t="str">
        <f>IF(Comuni__2[[#This Row],[Popolazione2011]]&gt;300000,"MAGGIORE","")</f>
        <v/>
      </c>
      <c r="J2927">
        <v>31</v>
      </c>
      <c r="K2927">
        <v>47</v>
      </c>
      <c r="L2927">
        <v>17</v>
      </c>
    </row>
    <row r="2928" spans="1:12" x14ac:dyDescent="0.2">
      <c r="A2928"/>
      <c r="B2928"/>
      <c r="C2928"/>
      <c r="D2928"/>
      <c r="E2928" s="2">
        <f>Comuni__2[[#This Row],[Popolazione2011]]/$D$7911</f>
        <v>9.9675080777119636E-5</v>
      </c>
      <c r="F2928">
        <f>SUMIFS($D$2:$D$7909, $B$2:$B$7909, "Lombardia")</f>
        <v>9704151</v>
      </c>
      <c r="G2928" s="1">
        <f>Comuni__2[[#This Row],[Popolazione2011]]/Comuni__2[[#This Row],[POPOLAZIONE TOTALE DI OGNI REGIONE (CON FILTRO)]]</f>
        <v>6.1035736150437067E-4</v>
      </c>
      <c r="H2928" t="str">
        <f>IF(Comuni__2[[#This Row],[Popolazione2011]]&gt;300000,"MAGGIORE","")</f>
        <v/>
      </c>
      <c r="J2928">
        <v>29</v>
      </c>
      <c r="K2928">
        <v>50</v>
      </c>
      <c r="L2928">
        <v>18</v>
      </c>
    </row>
    <row r="2929" spans="1:12" x14ac:dyDescent="0.2">
      <c r="A2929"/>
      <c r="B2929"/>
      <c r="C2929"/>
      <c r="D2929"/>
      <c r="E2929" s="2">
        <f>Comuni__2[[#This Row],[Popolazione2011]]/$D$7911</f>
        <v>9.957410990346394E-5</v>
      </c>
      <c r="F2929">
        <f>SUMIFS($D$2:$D$7909, $B$2:$B$7909, "Lombardia")</f>
        <v>9704151</v>
      </c>
      <c r="G2929" s="1">
        <f>Comuni__2[[#This Row],[Popolazione2011]]/Comuni__2[[#This Row],[POPOLAZIONE TOTALE DI OGNI REGIONE (CON FILTRO)]]</f>
        <v>6.0973906939411804E-4</v>
      </c>
      <c r="H2929" t="str">
        <f>IF(Comuni__2[[#This Row],[Popolazione2011]]&gt;300000,"MAGGIORE","")</f>
        <v/>
      </c>
      <c r="J2929">
        <v>29</v>
      </c>
      <c r="K2929">
        <v>51</v>
      </c>
      <c r="L2929">
        <v>18</v>
      </c>
    </row>
    <row r="2930" spans="1:12" x14ac:dyDescent="0.2">
      <c r="A2930"/>
      <c r="B2930"/>
      <c r="C2930"/>
      <c r="D2930"/>
      <c r="E2930" s="2">
        <f>Comuni__2[[#This Row],[Popolazione2011]]/$D$7911</f>
        <v>9.8850485308931406E-5</v>
      </c>
      <c r="F2930">
        <f>SUMIFS($D$2:$D$7909, $B$2:$B$7909, "Lombardia")</f>
        <v>9704151</v>
      </c>
      <c r="G2930" s="1">
        <f>Comuni__2[[#This Row],[Popolazione2011]]/Comuni__2[[#This Row],[POPOLAZIONE TOTALE DI OGNI REGIONE (CON FILTRO)]]</f>
        <v>6.0530797593730766E-4</v>
      </c>
      <c r="H2930" t="str">
        <f>IF(Comuni__2[[#This Row],[Popolazione2011]]&gt;300000,"MAGGIORE","")</f>
        <v/>
      </c>
      <c r="J2930">
        <v>23</v>
      </c>
      <c r="K2930">
        <v>60</v>
      </c>
      <c r="L2930">
        <v>19</v>
      </c>
    </row>
    <row r="2931" spans="1:12" x14ac:dyDescent="0.2">
      <c r="A2931"/>
      <c r="B2931"/>
      <c r="C2931"/>
      <c r="D2931"/>
      <c r="E2931" s="2">
        <f>Comuni__2[[#This Row],[Popolazione2011]]/$D$7911</f>
        <v>9.8766342914218325E-5</v>
      </c>
      <c r="F2931">
        <f>SUMIFS($D$2:$D$7909, $B$2:$B$7909, "Lombardia")</f>
        <v>9704151</v>
      </c>
      <c r="G2931" s="1">
        <f>Comuni__2[[#This Row],[Popolazione2011]]/Comuni__2[[#This Row],[POPOLAZIONE TOTALE DI OGNI REGIONE (CON FILTRO)]]</f>
        <v>6.0479273251209714E-4</v>
      </c>
      <c r="H2931" t="str">
        <f>IF(Comuni__2[[#This Row],[Popolazione2011]]&gt;300000,"MAGGIORE","")</f>
        <v/>
      </c>
      <c r="J2931">
        <v>20</v>
      </c>
      <c r="K2931">
        <v>66</v>
      </c>
      <c r="L2931">
        <v>20</v>
      </c>
    </row>
    <row r="2932" spans="1:12" x14ac:dyDescent="0.2">
      <c r="A2932"/>
      <c r="B2932"/>
      <c r="C2932"/>
      <c r="D2932"/>
      <c r="E2932" s="2">
        <f>Comuni__2[[#This Row],[Popolazione2011]]/$D$7911</f>
        <v>9.8648543561620012E-5</v>
      </c>
      <c r="F2932">
        <f>SUMIFS($D$2:$D$7909, $B$2:$B$7909, "Lombardia")</f>
        <v>9704151</v>
      </c>
      <c r="G2932" s="1">
        <f>Comuni__2[[#This Row],[Popolazione2011]]/Comuni__2[[#This Row],[POPOLAZIONE TOTALE DI OGNI REGIONE (CON FILTRO)]]</f>
        <v>6.0407139171680241E-4</v>
      </c>
      <c r="H2932" t="str">
        <f>IF(Comuni__2[[#This Row],[Popolazione2011]]&gt;300000,"MAGGIORE","")</f>
        <v/>
      </c>
      <c r="J2932">
        <v>20</v>
      </c>
      <c r="K2932">
        <v>67</v>
      </c>
      <c r="L2932">
        <v>20</v>
      </c>
    </row>
    <row r="2933" spans="1:12" x14ac:dyDescent="0.2">
      <c r="A2933"/>
      <c r="B2933"/>
      <c r="C2933"/>
      <c r="D2933"/>
      <c r="E2933" s="2">
        <f>Comuni__2[[#This Row],[Popolazione2011]]/$D$7911</f>
        <v>9.8480258772193837E-5</v>
      </c>
      <c r="F2933">
        <f>SUMIFS($D$2:$D$7909, $B$2:$B$7909, "Lombardia")</f>
        <v>9704151</v>
      </c>
      <c r="G2933" s="1">
        <f>Comuni__2[[#This Row],[Popolazione2011]]/Comuni__2[[#This Row],[POPOLAZIONE TOTALE DI OGNI REGIONE (CON FILTRO)]]</f>
        <v>6.0304090486638137E-4</v>
      </c>
      <c r="H2933" t="str">
        <f>IF(Comuni__2[[#This Row],[Popolazione2011]]&gt;300000,"MAGGIORE","")</f>
        <v/>
      </c>
      <c r="J2933">
        <v>20</v>
      </c>
      <c r="K2933">
        <v>73</v>
      </c>
      <c r="L2933">
        <v>21</v>
      </c>
    </row>
    <row r="2934" spans="1:12" x14ac:dyDescent="0.2">
      <c r="A2934"/>
      <c r="B2934"/>
      <c r="C2934"/>
      <c r="D2934"/>
      <c r="E2934" s="2">
        <f>Comuni__2[[#This Row],[Popolazione2011]]/$D$7911</f>
        <v>9.829514550382506E-5</v>
      </c>
      <c r="F2934">
        <f>SUMIFS($D$2:$D$7909, $B$2:$B$7909, "Lombardia")</f>
        <v>9704151</v>
      </c>
      <c r="G2934" s="1">
        <f>Comuni__2[[#This Row],[Popolazione2011]]/Comuni__2[[#This Row],[POPOLAZIONE TOTALE DI OGNI REGIONE (CON FILTRO)]]</f>
        <v>6.0190736933091833E-4</v>
      </c>
      <c r="H2934" t="str">
        <f>IF(Comuni__2[[#This Row],[Popolazione2011]]&gt;300000,"MAGGIORE","")</f>
        <v/>
      </c>
      <c r="J2934">
        <v>21</v>
      </c>
      <c r="K2934">
        <v>75</v>
      </c>
      <c r="L2934">
        <v>21</v>
      </c>
    </row>
    <row r="2935" spans="1:12" x14ac:dyDescent="0.2">
      <c r="A2935"/>
      <c r="B2935"/>
      <c r="C2935"/>
      <c r="D2935"/>
      <c r="E2935" s="2">
        <f>Comuni__2[[#This Row],[Popolazione2011]]/$D$7911</f>
        <v>9.8126860714398885E-5</v>
      </c>
      <c r="F2935">
        <f>SUMIFS($D$2:$D$7909, $B$2:$B$7909, "Lombardia")</f>
        <v>9704151</v>
      </c>
      <c r="G2935" s="1">
        <f>Comuni__2[[#This Row],[Popolazione2011]]/Comuni__2[[#This Row],[POPOLAZIONE TOTALE DI OGNI REGIONE (CON FILTRO)]]</f>
        <v>6.0087688248049729E-4</v>
      </c>
      <c r="H2935" t="str">
        <f>IF(Comuni__2[[#This Row],[Popolazione2011]]&gt;300000,"MAGGIORE","")</f>
        <v/>
      </c>
      <c r="J2935">
        <v>21</v>
      </c>
      <c r="K2935">
        <v>75</v>
      </c>
      <c r="L2935">
        <v>21</v>
      </c>
    </row>
    <row r="2936" spans="1:12" x14ac:dyDescent="0.2">
      <c r="A2936"/>
      <c r="B2936"/>
      <c r="C2936"/>
      <c r="D2936"/>
      <c r="E2936" s="2">
        <f>Comuni__2[[#This Row],[Popolazione2011]]/$D$7911</f>
        <v>9.7840776572374397E-5</v>
      </c>
      <c r="F2936">
        <f>SUMIFS($D$2:$D$7909, $B$2:$B$7909, "Lombardia")</f>
        <v>9704151</v>
      </c>
      <c r="G2936" s="1">
        <f>Comuni__2[[#This Row],[Popolazione2011]]/Comuni__2[[#This Row],[POPOLAZIONE TOTALE DI OGNI REGIONE (CON FILTRO)]]</f>
        <v>5.9912505483478151E-4</v>
      </c>
      <c r="H2936" t="str">
        <f>IF(Comuni__2[[#This Row],[Popolazione2011]]&gt;300000,"MAGGIORE","")</f>
        <v/>
      </c>
      <c r="J2936">
        <v>19</v>
      </c>
      <c r="K2936">
        <v>81</v>
      </c>
      <c r="L2936">
        <v>21</v>
      </c>
    </row>
    <row r="2937" spans="1:12" x14ac:dyDescent="0.2">
      <c r="A2937"/>
      <c r="B2937"/>
      <c r="C2937"/>
      <c r="D2937"/>
      <c r="E2937" s="2">
        <f>Comuni__2[[#This Row],[Popolazione2011]]/$D$7911</f>
        <v>9.7722977219776084E-5</v>
      </c>
      <c r="F2937">
        <f>SUMIFS($D$2:$D$7909, $B$2:$B$7909, "Lombardia")</f>
        <v>9704151</v>
      </c>
      <c r="G2937" s="1">
        <f>Comuni__2[[#This Row],[Popolazione2011]]/Comuni__2[[#This Row],[POPOLAZIONE TOTALE DI OGNI REGIONE (CON FILTRO)]]</f>
        <v>5.9840371403948678E-4</v>
      </c>
      <c r="H2937" t="str">
        <f>IF(Comuni__2[[#This Row],[Popolazione2011]]&gt;300000,"MAGGIORE","")</f>
        <v/>
      </c>
      <c r="J2937">
        <v>18</v>
      </c>
      <c r="K2937">
        <v>83</v>
      </c>
      <c r="L2937">
        <v>21</v>
      </c>
    </row>
    <row r="2938" spans="1:12" x14ac:dyDescent="0.2">
      <c r="A2938"/>
      <c r="B2938"/>
      <c r="C2938"/>
      <c r="D2938"/>
      <c r="E2938" s="2">
        <f>Comuni__2[[#This Row],[Popolazione2011]]/$D$7911</f>
        <v>9.7605177867177758E-5</v>
      </c>
      <c r="F2938">
        <f>SUMIFS($D$2:$D$7909, $B$2:$B$7909, "Lombardia")</f>
        <v>9704151</v>
      </c>
      <c r="G2938" s="1">
        <f>Comuni__2[[#This Row],[Popolazione2011]]/Comuni__2[[#This Row],[POPOLAZIONE TOTALE DI OGNI REGIONE (CON FILTRO)]]</f>
        <v>5.9768237324419205E-4</v>
      </c>
      <c r="H2938" t="str">
        <f>IF(Comuni__2[[#This Row],[Popolazione2011]]&gt;300000,"MAGGIORE","")</f>
        <v/>
      </c>
      <c r="J2938">
        <v>18</v>
      </c>
      <c r="K2938">
        <v>87</v>
      </c>
      <c r="L2938">
        <v>21</v>
      </c>
    </row>
    <row r="2939" spans="1:12" x14ac:dyDescent="0.2">
      <c r="A2939"/>
      <c r="B2939"/>
      <c r="C2939"/>
      <c r="D2939"/>
      <c r="E2939" s="2">
        <f>Comuni__2[[#This Row],[Popolazione2011]]/$D$7911</f>
        <v>9.7588349388235142E-5</v>
      </c>
      <c r="F2939">
        <f>SUMIFS($D$2:$D$7909, $B$2:$B$7909, "Lombardia")</f>
        <v>9704151</v>
      </c>
      <c r="G2939" s="1">
        <f>Comuni__2[[#This Row],[Popolazione2011]]/Comuni__2[[#This Row],[POPOLAZIONE TOTALE DI OGNI REGIONE (CON FILTRO)]]</f>
        <v>5.9757932455914995E-4</v>
      </c>
      <c r="H2939" t="str">
        <f>IF(Comuni__2[[#This Row],[Popolazione2011]]&gt;300000,"MAGGIORE","")</f>
        <v/>
      </c>
      <c r="J2939">
        <v>18</v>
      </c>
      <c r="K2939">
        <v>89</v>
      </c>
      <c r="L2939">
        <v>21</v>
      </c>
    </row>
    <row r="2940" spans="1:12" x14ac:dyDescent="0.2">
      <c r="A2940"/>
      <c r="B2940"/>
      <c r="C2940"/>
      <c r="D2940"/>
      <c r="E2940" s="2">
        <f>Comuni__2[[#This Row],[Popolazione2011]]/$D$7911</f>
        <v>9.7302265246210654E-5</v>
      </c>
      <c r="F2940">
        <f>SUMIFS($D$2:$D$7909, $B$2:$B$7909, "Lombardia")</f>
        <v>9704151</v>
      </c>
      <c r="G2940" s="1">
        <f>Comuni__2[[#This Row],[Popolazione2011]]/Comuni__2[[#This Row],[POPOLAZIONE TOTALE DI OGNI REGIONE (CON FILTRO)]]</f>
        <v>5.9582749691343428E-4</v>
      </c>
      <c r="H2940" t="str">
        <f>IF(Comuni__2[[#This Row],[Popolazione2011]]&gt;300000,"MAGGIORE","")</f>
        <v/>
      </c>
      <c r="J2940">
        <v>10</v>
      </c>
      <c r="K2940">
        <v>98</v>
      </c>
      <c r="L2940">
        <v>21</v>
      </c>
    </row>
    <row r="2941" spans="1:12" x14ac:dyDescent="0.2">
      <c r="A2941"/>
      <c r="B2941"/>
      <c r="C2941"/>
      <c r="D2941"/>
      <c r="E2941" s="2">
        <f>Comuni__2[[#This Row],[Popolazione2011]]/$D$7911</f>
        <v>9.7150808935727109E-5</v>
      </c>
      <c r="F2941">
        <f>SUMIFS($D$2:$D$7909, $B$2:$B$7909, "Lombardia")</f>
        <v>9704151</v>
      </c>
      <c r="G2941" s="1">
        <f>Comuni__2[[#This Row],[Popolazione2011]]/Comuni__2[[#This Row],[POPOLAZIONE TOTALE DI OGNI REGIONE (CON FILTRO)]]</f>
        <v>5.9490005874805534E-4</v>
      </c>
      <c r="H2941" t="str">
        <f>IF(Comuni__2[[#This Row],[Popolazione2011]]&gt;300000,"MAGGIORE","")</f>
        <v/>
      </c>
      <c r="J2941">
        <v>9</v>
      </c>
      <c r="K2941">
        <v>98</v>
      </c>
      <c r="L2941">
        <v>22</v>
      </c>
    </row>
    <row r="2942" spans="1:12" x14ac:dyDescent="0.2">
      <c r="A2942"/>
      <c r="B2942"/>
      <c r="C2942"/>
      <c r="D2942"/>
      <c r="E2942" s="2">
        <f>Comuni__2[[#This Row],[Popolazione2011]]/$D$7911</f>
        <v>9.6932038709473086E-5</v>
      </c>
      <c r="F2942">
        <f>SUMIFS($D$2:$D$7909, $B$2:$B$7909, "Lombardia")</f>
        <v>9704151</v>
      </c>
      <c r="G2942" s="1">
        <f>Comuni__2[[#This Row],[Popolazione2011]]/Comuni__2[[#This Row],[POPOLAZIONE TOTALE DI OGNI REGIONE (CON FILTRO)]]</f>
        <v>5.9356042584250799E-4</v>
      </c>
      <c r="H2942" t="str">
        <f>IF(Comuni__2[[#This Row],[Popolazione2011]]&gt;300000,"MAGGIORE","")</f>
        <v/>
      </c>
      <c r="J2942">
        <v>10</v>
      </c>
      <c r="K2942">
        <v>101</v>
      </c>
      <c r="L2942">
        <v>22</v>
      </c>
    </row>
    <row r="2943" spans="1:12" x14ac:dyDescent="0.2">
      <c r="A2943"/>
      <c r="B2943"/>
      <c r="C2943"/>
      <c r="D2943"/>
      <c r="E2943" s="2">
        <f>Comuni__2[[#This Row],[Popolazione2011]]/$D$7911</f>
        <v>9.6561812172735518E-5</v>
      </c>
      <c r="F2943">
        <f>SUMIFS($D$2:$D$7909, $B$2:$B$7909, "Lombardia")</f>
        <v>9704151</v>
      </c>
      <c r="G2943" s="1">
        <f>Comuni__2[[#This Row],[Popolazione2011]]/Comuni__2[[#This Row],[POPOLAZIONE TOTALE DI OGNI REGIONE (CON FILTRO)]]</f>
        <v>5.912933547715818E-4</v>
      </c>
      <c r="H2943" t="str">
        <f>IF(Comuni__2[[#This Row],[Popolazione2011]]&gt;300000,"MAGGIORE","")</f>
        <v/>
      </c>
      <c r="J2943">
        <v>10</v>
      </c>
      <c r="K2943">
        <v>102</v>
      </c>
      <c r="L2943">
        <v>22</v>
      </c>
    </row>
    <row r="2944" spans="1:12" x14ac:dyDescent="0.2">
      <c r="A2944"/>
      <c r="B2944"/>
      <c r="C2944"/>
      <c r="D2944"/>
      <c r="E2944" s="2">
        <f>Comuni__2[[#This Row],[Popolazione2011]]/$D$7911</f>
        <v>9.6477669778022437E-5</v>
      </c>
      <c r="F2944">
        <f>SUMIFS($D$2:$D$7909, $B$2:$B$7909, "Lombardia")</f>
        <v>9704151</v>
      </c>
      <c r="G2944" s="1">
        <f>Comuni__2[[#This Row],[Popolazione2011]]/Comuni__2[[#This Row],[POPOLAZIONE TOTALE DI OGNI REGIONE (CON FILTRO)]]</f>
        <v>5.9077811134637128E-4</v>
      </c>
      <c r="H2944" t="str">
        <f>IF(Comuni__2[[#This Row],[Popolazione2011]]&gt;300000,"MAGGIORE","")</f>
        <v/>
      </c>
      <c r="J2944">
        <v>9</v>
      </c>
      <c r="K2944">
        <v>103</v>
      </c>
      <c r="L2944">
        <v>22</v>
      </c>
    </row>
    <row r="2945" spans="1:12" x14ac:dyDescent="0.2">
      <c r="A2945"/>
      <c r="B2945"/>
      <c r="C2945"/>
      <c r="D2945"/>
      <c r="E2945" s="2">
        <f>Comuni__2[[#This Row],[Popolazione2011]]/$D$7911</f>
        <v>9.635987042542411E-5</v>
      </c>
      <c r="F2945">
        <f>SUMIFS($D$2:$D$7909, $B$2:$B$7909, "Lombardia")</f>
        <v>9704151</v>
      </c>
      <c r="G2945" s="1">
        <f>Comuni__2[[#This Row],[Popolazione2011]]/Comuni__2[[#This Row],[POPOLAZIONE TOTALE DI OGNI REGIONE (CON FILTRO)]]</f>
        <v>5.9005677055107655E-4</v>
      </c>
      <c r="H2945" t="str">
        <f>IF(Comuni__2[[#This Row],[Popolazione2011]]&gt;300000,"MAGGIORE","")</f>
        <v/>
      </c>
      <c r="J2945">
        <v>8</v>
      </c>
      <c r="K2945">
        <v>113</v>
      </c>
      <c r="L2945">
        <v>22</v>
      </c>
    </row>
    <row r="2946" spans="1:12" x14ac:dyDescent="0.2">
      <c r="A2946"/>
      <c r="B2946"/>
      <c r="C2946"/>
      <c r="D2946"/>
      <c r="E2946" s="2">
        <f>Comuni__2[[#This Row],[Popolazione2011]]/$D$7911</f>
        <v>9.6292556509653646E-5</v>
      </c>
      <c r="F2946">
        <f>SUMIFS($D$2:$D$7909, $B$2:$B$7909, "Lombardia")</f>
        <v>9704151</v>
      </c>
      <c r="G2946" s="1">
        <f>Comuni__2[[#This Row],[Popolazione2011]]/Comuni__2[[#This Row],[POPOLAZIONE TOTALE DI OGNI REGIONE (CON FILTRO)]]</f>
        <v>5.8964457581090813E-4</v>
      </c>
      <c r="H2946" t="str">
        <f>IF(Comuni__2[[#This Row],[Popolazione2011]]&gt;300000,"MAGGIORE","")</f>
        <v/>
      </c>
      <c r="J2946">
        <v>6</v>
      </c>
      <c r="K2946">
        <v>121</v>
      </c>
      <c r="L2946">
        <v>22</v>
      </c>
    </row>
    <row r="2947" spans="1:12" x14ac:dyDescent="0.2">
      <c r="A2947"/>
      <c r="B2947"/>
      <c r="C2947"/>
      <c r="D2947"/>
      <c r="E2947" s="2">
        <f>Comuni__2[[#This Row],[Popolazione2011]]/$D$7911</f>
        <v>9.6141100199170101E-5</v>
      </c>
      <c r="F2947">
        <f>SUMIFS($D$2:$D$7909, $B$2:$B$7909, "Lombardia")</f>
        <v>9704151</v>
      </c>
      <c r="G2947" s="1">
        <f>Comuni__2[[#This Row],[Popolazione2011]]/Comuni__2[[#This Row],[POPOLAZIONE TOTALE DI OGNI REGIONE (CON FILTRO)]]</f>
        <v>5.8871713764552919E-4</v>
      </c>
      <c r="H2947" t="str">
        <f>IF(Comuni__2[[#This Row],[Popolazione2011]]&gt;300000,"MAGGIORE","")</f>
        <v/>
      </c>
      <c r="J2947">
        <v>8</v>
      </c>
      <c r="K2947">
        <v>120</v>
      </c>
      <c r="L2947">
        <v>22</v>
      </c>
    </row>
    <row r="2948" spans="1:12" x14ac:dyDescent="0.2">
      <c r="A2948"/>
      <c r="B2948"/>
      <c r="C2948"/>
      <c r="D2948"/>
      <c r="E2948" s="2">
        <f>Comuni__2[[#This Row],[Popolazione2011]]/$D$7911</f>
        <v>9.6006472367629158E-5</v>
      </c>
      <c r="F2948">
        <f>SUMIFS($D$2:$D$7909, $B$2:$B$7909, "Lombardia")</f>
        <v>9704151</v>
      </c>
      <c r="G2948" s="1">
        <f>Comuni__2[[#This Row],[Popolazione2011]]/Comuni__2[[#This Row],[POPOLAZIONE TOTALE DI OGNI REGIONE (CON FILTRO)]]</f>
        <v>5.8789274816519236E-4</v>
      </c>
      <c r="H2948" t="str">
        <f>IF(Comuni__2[[#This Row],[Popolazione2011]]&gt;300000,"MAGGIORE","")</f>
        <v/>
      </c>
      <c r="J2948">
        <v>9</v>
      </c>
      <c r="K2948">
        <v>130</v>
      </c>
      <c r="L2948">
        <v>22</v>
      </c>
    </row>
    <row r="2949" spans="1:12" x14ac:dyDescent="0.2">
      <c r="A2949"/>
      <c r="B2949"/>
      <c r="C2949"/>
      <c r="D2949"/>
      <c r="E2949" s="2">
        <f>Comuni__2[[#This Row],[Popolazione2011]]/$D$7911</f>
        <v>9.6006472367629158E-5</v>
      </c>
      <c r="F2949">
        <f>SUMIFS($D$2:$D$7909, $B$2:$B$7909, "Lombardia")</f>
        <v>9704151</v>
      </c>
      <c r="G2949" s="1">
        <f>Comuni__2[[#This Row],[Popolazione2011]]/Comuni__2[[#This Row],[POPOLAZIONE TOTALE DI OGNI REGIONE (CON FILTRO)]]</f>
        <v>5.8789274816519236E-4</v>
      </c>
      <c r="H2949" t="str">
        <f>IF(Comuni__2[[#This Row],[Popolazione2011]]&gt;300000,"MAGGIORE","")</f>
        <v/>
      </c>
      <c r="J2949">
        <v>11</v>
      </c>
      <c r="K2949">
        <v>132</v>
      </c>
      <c r="L2949">
        <v>22</v>
      </c>
    </row>
    <row r="2950" spans="1:12" x14ac:dyDescent="0.2">
      <c r="A2950"/>
      <c r="B2950"/>
      <c r="C2950"/>
      <c r="D2950"/>
      <c r="E2950" s="2">
        <f>Comuni__2[[#This Row],[Popolazione2011]]/$D$7911</f>
        <v>9.5905501493973462E-5</v>
      </c>
      <c r="F2950">
        <f>SUMIFS($D$2:$D$7909, $B$2:$B$7909, "Lombardia")</f>
        <v>9704151</v>
      </c>
      <c r="G2950" s="1">
        <f>Comuni__2[[#This Row],[Popolazione2011]]/Comuni__2[[#This Row],[POPOLAZIONE TOTALE DI OGNI REGIONE (CON FILTRO)]]</f>
        <v>5.8727445605493984E-4</v>
      </c>
      <c r="H2950" t="str">
        <f>IF(Comuni__2[[#This Row],[Popolazione2011]]&gt;300000,"MAGGIORE","")</f>
        <v/>
      </c>
      <c r="J2950">
        <v>14</v>
      </c>
      <c r="K2950">
        <v>138</v>
      </c>
      <c r="L2950">
        <v>22</v>
      </c>
    </row>
    <row r="2951" spans="1:12" x14ac:dyDescent="0.2">
      <c r="A2951"/>
      <c r="B2951"/>
      <c r="C2951"/>
      <c r="D2951"/>
      <c r="E2951" s="2">
        <f>Comuni__2[[#This Row],[Popolazione2011]]/$D$7911</f>
        <v>9.5720388225604671E-5</v>
      </c>
      <c r="F2951">
        <f>SUMIFS($D$2:$D$7909, $B$2:$B$7909, "Lombardia")</f>
        <v>9704151</v>
      </c>
      <c r="G2951" s="1">
        <f>Comuni__2[[#This Row],[Popolazione2011]]/Comuni__2[[#This Row],[POPOLAZIONE TOTALE DI OGNI REGIONE (CON FILTRO)]]</f>
        <v>5.8614092051947669E-4</v>
      </c>
      <c r="H2951" t="str">
        <f>IF(Comuni__2[[#This Row],[Popolazione2011]]&gt;300000,"MAGGIORE","")</f>
        <v/>
      </c>
      <c r="J2951">
        <v>10</v>
      </c>
      <c r="K2951">
        <v>148</v>
      </c>
      <c r="L2951">
        <v>22</v>
      </c>
    </row>
    <row r="2952" spans="1:12" x14ac:dyDescent="0.2">
      <c r="A2952"/>
      <c r="B2952"/>
      <c r="C2952"/>
      <c r="D2952"/>
      <c r="E2952" s="2">
        <f>Comuni__2[[#This Row],[Popolazione2011]]/$D$7911</f>
        <v>9.5366990167809718E-5</v>
      </c>
      <c r="F2952">
        <f>SUMIFS($D$2:$D$7909, $B$2:$B$7909, "Lombardia")</f>
        <v>9704151</v>
      </c>
      <c r="G2952" s="1">
        <f>Comuni__2[[#This Row],[Popolazione2011]]/Comuni__2[[#This Row],[POPOLAZIONE TOTALE DI OGNI REGIONE (CON FILTRO)]]</f>
        <v>5.839768981335925E-4</v>
      </c>
      <c r="H2952" t="str">
        <f>IF(Comuni__2[[#This Row],[Popolazione2011]]&gt;300000,"MAGGIORE","")</f>
        <v/>
      </c>
      <c r="J2952">
        <v>11</v>
      </c>
      <c r="K2952">
        <v>152</v>
      </c>
      <c r="L2952">
        <v>22</v>
      </c>
    </row>
    <row r="2953" spans="1:12" x14ac:dyDescent="0.2">
      <c r="A2953"/>
      <c r="B2953"/>
      <c r="C2953"/>
      <c r="D2953"/>
      <c r="E2953" s="2">
        <f>Comuni__2[[#This Row],[Popolazione2011]]/$D$7911</f>
        <v>9.5333333209924486E-5</v>
      </c>
      <c r="F2953">
        <f>SUMIFS($D$2:$D$7909, $B$2:$B$7909, "Lombardia")</f>
        <v>9704151</v>
      </c>
      <c r="G2953" s="1">
        <f>Comuni__2[[#This Row],[Popolazione2011]]/Comuni__2[[#This Row],[POPOLAZIONE TOTALE DI OGNI REGIONE (CON FILTRO)]]</f>
        <v>5.8377080076350829E-4</v>
      </c>
      <c r="H2953" t="str">
        <f>IF(Comuni__2[[#This Row],[Popolazione2011]]&gt;300000,"MAGGIORE","")</f>
        <v/>
      </c>
      <c r="J2953">
        <v>10</v>
      </c>
      <c r="K2953">
        <v>158</v>
      </c>
      <c r="L2953">
        <v>22</v>
      </c>
    </row>
    <row r="2954" spans="1:12" x14ac:dyDescent="0.2">
      <c r="A2954"/>
      <c r="B2954"/>
      <c r="C2954"/>
      <c r="D2954"/>
      <c r="E2954" s="2">
        <f>Comuni__2[[#This Row],[Popolazione2011]]/$D$7911</f>
        <v>9.5266019294154022E-5</v>
      </c>
      <c r="F2954">
        <f>SUMIFS($D$2:$D$7909, $B$2:$B$7909, "Lombardia")</f>
        <v>9704151</v>
      </c>
      <c r="G2954" s="1">
        <f>Comuni__2[[#This Row],[Popolazione2011]]/Comuni__2[[#This Row],[POPOLAZIONE TOTALE DI OGNI REGIONE (CON FILTRO)]]</f>
        <v>5.8335860602333988E-4</v>
      </c>
      <c r="H2954" t="str">
        <f>IF(Comuni__2[[#This Row],[Popolazione2011]]&gt;300000,"MAGGIORE","")</f>
        <v/>
      </c>
      <c r="J2954">
        <v>10</v>
      </c>
      <c r="K2954">
        <v>173</v>
      </c>
      <c r="L2954">
        <v>22</v>
      </c>
    </row>
    <row r="2955" spans="1:12" x14ac:dyDescent="0.2">
      <c r="A2955"/>
      <c r="B2955"/>
      <c r="C2955"/>
      <c r="D2955"/>
      <c r="E2955" s="2">
        <f>Comuni__2[[#This Row],[Popolazione2011]]/$D$7911</f>
        <v>9.5232362336268789E-5</v>
      </c>
      <c r="F2955">
        <f>SUMIFS($D$2:$D$7909, $B$2:$B$7909, "Lombardia")</f>
        <v>9704151</v>
      </c>
      <c r="G2955" s="1">
        <f>Comuni__2[[#This Row],[Popolazione2011]]/Comuni__2[[#This Row],[POPOLAZIONE TOTALE DI OGNI REGIONE (CON FILTRO)]]</f>
        <v>5.8315250865325567E-4</v>
      </c>
      <c r="H2955" t="str">
        <f>IF(Comuni__2[[#This Row],[Popolazione2011]]&gt;300000,"MAGGIORE","")</f>
        <v/>
      </c>
      <c r="J2955">
        <v>13</v>
      </c>
      <c r="K2955">
        <v>173</v>
      </c>
      <c r="L2955">
        <v>22</v>
      </c>
    </row>
    <row r="2956" spans="1:12" x14ac:dyDescent="0.2">
      <c r="A2956"/>
      <c r="B2956"/>
      <c r="C2956"/>
      <c r="D2956"/>
      <c r="E2956" s="2">
        <f>Comuni__2[[#This Row],[Popolazione2011]]/$D$7911</f>
        <v>9.5181876899440941E-5</v>
      </c>
      <c r="F2956">
        <f>SUMIFS($D$2:$D$7909, $B$2:$B$7909, "Lombardia")</f>
        <v>9704151</v>
      </c>
      <c r="G2956" s="1">
        <f>Comuni__2[[#This Row],[Popolazione2011]]/Comuni__2[[#This Row],[POPOLAZIONE TOTALE DI OGNI REGIONE (CON FILTRO)]]</f>
        <v>5.8284336259812935E-4</v>
      </c>
      <c r="H2956" t="str">
        <f>IF(Comuni__2[[#This Row],[Popolazione2011]]&gt;300000,"MAGGIORE","")</f>
        <v/>
      </c>
      <c r="J2956">
        <v>11</v>
      </c>
      <c r="K2956">
        <v>183</v>
      </c>
      <c r="L2956">
        <v>22</v>
      </c>
    </row>
    <row r="2957" spans="1:12" x14ac:dyDescent="0.2">
      <c r="A2957"/>
      <c r="B2957"/>
      <c r="C2957"/>
      <c r="D2957"/>
      <c r="E2957" s="2">
        <f>Comuni__2[[#This Row],[Popolazione2011]]/$D$7911</f>
        <v>9.5097734504727847E-5</v>
      </c>
      <c r="F2957">
        <f>SUMIFS($D$2:$D$7909, $B$2:$B$7909, "Lombardia")</f>
        <v>9704151</v>
      </c>
      <c r="G2957" s="1">
        <f>Comuni__2[[#This Row],[Popolazione2011]]/Comuni__2[[#This Row],[POPOLAZIONE TOTALE DI OGNI REGIONE (CON FILTRO)]]</f>
        <v>5.8232811917291894E-4</v>
      </c>
      <c r="H2957" t="str">
        <f>IF(Comuni__2[[#This Row],[Popolazione2011]]&gt;300000,"MAGGIORE","")</f>
        <v/>
      </c>
      <c r="J2957">
        <v>11</v>
      </c>
      <c r="K2957">
        <v>188</v>
      </c>
      <c r="L2957">
        <v>22</v>
      </c>
    </row>
    <row r="2958" spans="1:12" x14ac:dyDescent="0.2">
      <c r="A2958"/>
      <c r="B2958"/>
      <c r="C2958"/>
      <c r="D2958"/>
      <c r="E2958" s="2">
        <f>Comuni__2[[#This Row],[Popolazione2011]]/$D$7911</f>
        <v>9.4979935152129534E-5</v>
      </c>
      <c r="F2958">
        <f>SUMIFS($D$2:$D$7909, $B$2:$B$7909, "Lombardia")</f>
        <v>9704151</v>
      </c>
      <c r="G2958" s="1">
        <f>Comuni__2[[#This Row],[Popolazione2011]]/Comuni__2[[#This Row],[POPOLAZIONE TOTALE DI OGNI REGIONE (CON FILTRO)]]</f>
        <v>5.8160677837762421E-4</v>
      </c>
      <c r="H2958" t="str">
        <f>IF(Comuni__2[[#This Row],[Popolazione2011]]&gt;300000,"MAGGIORE","")</f>
        <v/>
      </c>
      <c r="J2958">
        <v>9</v>
      </c>
      <c r="K2958">
        <v>202</v>
      </c>
      <c r="L2958">
        <v>22</v>
      </c>
    </row>
    <row r="2959" spans="1:12" x14ac:dyDescent="0.2">
      <c r="A2959"/>
      <c r="B2959"/>
      <c r="C2959"/>
      <c r="D2959"/>
      <c r="E2959" s="2">
        <f>Comuni__2[[#This Row],[Popolazione2011]]/$D$7911</f>
        <v>9.4895792757416453E-5</v>
      </c>
      <c r="F2959">
        <f>SUMIFS($D$2:$D$7909, $B$2:$B$7909, "Lombardia")</f>
        <v>9704151</v>
      </c>
      <c r="G2959" s="1">
        <f>Comuni__2[[#This Row],[Popolazione2011]]/Comuni__2[[#This Row],[POPOLAZIONE TOTALE DI OGNI REGIONE (CON FILTRO)]]</f>
        <v>5.8109153495241369E-4</v>
      </c>
      <c r="H2959" t="str">
        <f>IF(Comuni__2[[#This Row],[Popolazione2011]]&gt;300000,"MAGGIORE","")</f>
        <v/>
      </c>
      <c r="J2959">
        <v>10</v>
      </c>
      <c r="K2959">
        <v>207</v>
      </c>
      <c r="L2959">
        <v>22</v>
      </c>
    </row>
    <row r="2960" spans="1:12" x14ac:dyDescent="0.2">
      <c r="A2960"/>
      <c r="B2960"/>
      <c r="C2960"/>
      <c r="D2960"/>
      <c r="E2960" s="2">
        <f>Comuni__2[[#This Row],[Popolazione2011]]/$D$7911</f>
        <v>9.4609708615391966E-5</v>
      </c>
      <c r="F2960">
        <f>SUMIFS($D$2:$D$7909, $B$2:$B$7909, "Lombardia")</f>
        <v>9704151</v>
      </c>
      <c r="G2960" s="1">
        <f>Comuni__2[[#This Row],[Popolazione2011]]/Comuni__2[[#This Row],[POPOLAZIONE TOTALE DI OGNI REGIONE (CON FILTRO)]]</f>
        <v>5.7933970730669792E-4</v>
      </c>
      <c r="H2960" t="str">
        <f>IF(Comuni__2[[#This Row],[Popolazione2011]]&gt;300000,"MAGGIORE","")</f>
        <v/>
      </c>
      <c r="J2960">
        <v>10</v>
      </c>
      <c r="K2960">
        <v>220</v>
      </c>
      <c r="L2960">
        <v>22</v>
      </c>
    </row>
    <row r="2961" spans="1:12" x14ac:dyDescent="0.2">
      <c r="A2961"/>
      <c r="B2961"/>
      <c r="C2961"/>
      <c r="D2961"/>
      <c r="E2961" s="2">
        <f>Comuni__2[[#This Row],[Popolazione2011]]/$D$7911</f>
        <v>9.4559223178564117E-5</v>
      </c>
      <c r="F2961">
        <f>SUMIFS($D$2:$D$7909, $B$2:$B$7909, "Lombardia")</f>
        <v>9704151</v>
      </c>
      <c r="G2961" s="1">
        <f>Comuni__2[[#This Row],[Popolazione2011]]/Comuni__2[[#This Row],[POPOLAZIONE TOTALE DI OGNI REGIONE (CON FILTRO)]]</f>
        <v>5.790305612515716E-4</v>
      </c>
      <c r="H2961" t="str">
        <f>IF(Comuni__2[[#This Row],[Popolazione2011]]&gt;300000,"MAGGIORE","")</f>
        <v/>
      </c>
      <c r="J2961">
        <v>10</v>
      </c>
      <c r="K2961">
        <v>220</v>
      </c>
      <c r="L2961">
        <v>22</v>
      </c>
    </row>
    <row r="2962" spans="1:12" x14ac:dyDescent="0.2">
      <c r="A2962"/>
      <c r="B2962"/>
      <c r="C2962"/>
      <c r="D2962"/>
      <c r="E2962" s="2">
        <f>Comuni__2[[#This Row],[Popolazione2011]]/$D$7911</f>
        <v>9.3886084020859432E-5</v>
      </c>
      <c r="F2962">
        <f>SUMIFS($D$2:$D$7909, $B$2:$B$7909, "Lombardia")</f>
        <v>9704151</v>
      </c>
      <c r="G2962" s="1">
        <f>Comuni__2[[#This Row],[Popolazione2011]]/Comuni__2[[#This Row],[POPOLAZIONE TOTALE DI OGNI REGIONE (CON FILTRO)]]</f>
        <v>5.7490861384988754E-4</v>
      </c>
      <c r="H2962" t="str">
        <f>IF(Comuni__2[[#This Row],[Popolazione2011]]&gt;300000,"MAGGIORE","")</f>
        <v/>
      </c>
      <c r="J2962">
        <v>8</v>
      </c>
      <c r="K2962">
        <v>227</v>
      </c>
      <c r="L2962">
        <v>22</v>
      </c>
    </row>
    <row r="2963" spans="1:12" x14ac:dyDescent="0.2">
      <c r="A2963"/>
      <c r="B2963"/>
      <c r="C2963"/>
      <c r="D2963"/>
      <c r="E2963" s="2">
        <f>Comuni__2[[#This Row],[Popolazione2011]]/$D$7911</f>
        <v>9.3835598584031583E-5</v>
      </c>
      <c r="F2963">
        <f>SUMIFS($D$2:$D$7909, $B$2:$B$7909, "Lombardia")</f>
        <v>9704151</v>
      </c>
      <c r="G2963" s="1">
        <f>Comuni__2[[#This Row],[Popolazione2011]]/Comuni__2[[#This Row],[POPOLAZIONE TOTALE DI OGNI REGIONE (CON FILTRO)]]</f>
        <v>5.7459946779476123E-4</v>
      </c>
      <c r="H2963" t="str">
        <f>IF(Comuni__2[[#This Row],[Popolazione2011]]&gt;300000,"MAGGIORE","")</f>
        <v/>
      </c>
      <c r="J2963">
        <v>7</v>
      </c>
      <c r="K2963">
        <v>233</v>
      </c>
      <c r="L2963">
        <v>22</v>
      </c>
    </row>
    <row r="2964" spans="1:12" x14ac:dyDescent="0.2">
      <c r="A2964"/>
      <c r="B2964"/>
      <c r="C2964"/>
      <c r="D2964"/>
      <c r="E2964" s="2">
        <f>Comuni__2[[#This Row],[Popolazione2011]]/$D$7911</f>
        <v>9.3835598584031583E-5</v>
      </c>
      <c r="F2964">
        <f>SUMIFS($D$2:$D$7909, $B$2:$B$7909, "Lombardia")</f>
        <v>9704151</v>
      </c>
      <c r="G2964" s="1">
        <f>Comuni__2[[#This Row],[Popolazione2011]]/Comuni__2[[#This Row],[POPOLAZIONE TOTALE DI OGNI REGIONE (CON FILTRO)]]</f>
        <v>5.7459946779476123E-4</v>
      </c>
      <c r="H2964" t="str">
        <f>IF(Comuni__2[[#This Row],[Popolazione2011]]&gt;300000,"MAGGIORE","")</f>
        <v/>
      </c>
      <c r="J2964">
        <v>7</v>
      </c>
      <c r="K2964">
        <v>236</v>
      </c>
      <c r="L2964">
        <v>22</v>
      </c>
    </row>
    <row r="2965" spans="1:12" x14ac:dyDescent="0.2">
      <c r="A2965"/>
      <c r="B2965"/>
      <c r="C2965"/>
      <c r="D2965"/>
      <c r="E2965" s="2">
        <f>Comuni__2[[#This Row],[Popolazione2011]]/$D$7911</f>
        <v>9.2977346157958134E-5</v>
      </c>
      <c r="F2965">
        <f>SUMIFS($D$2:$D$7909, $B$2:$B$7909, "Lombardia")</f>
        <v>9704151</v>
      </c>
      <c r="G2965" s="1">
        <f>Comuni__2[[#This Row],[Popolazione2011]]/Comuni__2[[#This Row],[POPOLAZIONE TOTALE DI OGNI REGIONE (CON FILTRO)]]</f>
        <v>5.6934398485761401E-4</v>
      </c>
      <c r="H2965" t="str">
        <f>IF(Comuni__2[[#This Row],[Popolazione2011]]&gt;300000,"MAGGIORE","")</f>
        <v/>
      </c>
      <c r="J2965">
        <v>5</v>
      </c>
      <c r="K2965">
        <v>246</v>
      </c>
      <c r="L2965">
        <v>22</v>
      </c>
    </row>
    <row r="2966" spans="1:12" x14ac:dyDescent="0.2">
      <c r="A2966"/>
      <c r="B2966"/>
      <c r="C2966"/>
      <c r="D2966"/>
      <c r="E2966" s="2">
        <f>Comuni__2[[#This Row],[Popolazione2011]]/$D$7911</f>
        <v>9.2708090494876262E-5</v>
      </c>
      <c r="F2966">
        <f>SUMIFS($D$2:$D$7909, $B$2:$B$7909, "Lombardia")</f>
        <v>9704151</v>
      </c>
      <c r="G2966" s="1">
        <f>Comuni__2[[#This Row],[Popolazione2011]]/Comuni__2[[#This Row],[POPOLAZIONE TOTALE DI OGNI REGIONE (CON FILTRO)]]</f>
        <v>5.6769520589694034E-4</v>
      </c>
      <c r="H2966" t="str">
        <f>IF(Comuni__2[[#This Row],[Popolazione2011]]&gt;300000,"MAGGIORE","")</f>
        <v/>
      </c>
      <c r="J2966">
        <v>5</v>
      </c>
      <c r="K2966">
        <v>250</v>
      </c>
      <c r="L2966">
        <v>22</v>
      </c>
    </row>
    <row r="2967" spans="1:12" x14ac:dyDescent="0.2">
      <c r="A2967"/>
      <c r="B2967"/>
      <c r="C2967"/>
      <c r="D2967"/>
      <c r="E2967" s="2">
        <f>Comuni__2[[#This Row],[Popolazione2011]]/$D$7911</f>
        <v>9.2489320268622239E-5</v>
      </c>
      <c r="F2967">
        <f>SUMIFS($D$2:$D$7909, $B$2:$B$7909, "Lombardia")</f>
        <v>9704151</v>
      </c>
      <c r="G2967" s="1">
        <f>Comuni__2[[#This Row],[Popolazione2011]]/Comuni__2[[#This Row],[POPOLAZIONE TOTALE DI OGNI REGIONE (CON FILTRO)]]</f>
        <v>5.663555729913931E-4</v>
      </c>
      <c r="H2967" t="str">
        <f>IF(Comuni__2[[#This Row],[Popolazione2011]]&gt;300000,"MAGGIORE","")</f>
        <v/>
      </c>
      <c r="J2967">
        <v>5</v>
      </c>
      <c r="K2967">
        <v>252</v>
      </c>
      <c r="L2967">
        <v>22</v>
      </c>
    </row>
    <row r="2968" spans="1:12" x14ac:dyDescent="0.2">
      <c r="A2968"/>
      <c r="B2968"/>
      <c r="C2968"/>
      <c r="D2968"/>
      <c r="E2968" s="2">
        <f>Comuni__2[[#This Row],[Popolazione2011]]/$D$7911</f>
        <v>9.2220064605540367E-5</v>
      </c>
      <c r="F2968">
        <f>SUMIFS($D$2:$D$7909, $B$2:$B$7909, "Lombardia")</f>
        <v>9704151</v>
      </c>
      <c r="G2968" s="1">
        <f>Comuni__2[[#This Row],[Popolazione2011]]/Comuni__2[[#This Row],[POPOLAZIONE TOTALE DI OGNI REGIONE (CON FILTRO)]]</f>
        <v>5.6470679403071943E-4</v>
      </c>
      <c r="H2968" t="str">
        <f>IF(Comuni__2[[#This Row],[Popolazione2011]]&gt;300000,"MAGGIORE","")</f>
        <v/>
      </c>
      <c r="J2968">
        <v>5</v>
      </c>
      <c r="K2968">
        <v>258</v>
      </c>
      <c r="L2968">
        <v>22</v>
      </c>
    </row>
    <row r="2969" spans="1:12" x14ac:dyDescent="0.2">
      <c r="A2969"/>
      <c r="B2969"/>
      <c r="C2969"/>
      <c r="D2969"/>
      <c r="E2969" s="2">
        <f>Comuni__2[[#This Row],[Popolazione2011]]/$D$7911</f>
        <v>9.1950808942458496E-5</v>
      </c>
      <c r="F2969">
        <f>SUMIFS($D$2:$D$7909, $B$2:$B$7909, "Lombardia")</f>
        <v>9704151</v>
      </c>
      <c r="G2969" s="1">
        <f>Comuni__2[[#This Row],[Popolazione2011]]/Comuni__2[[#This Row],[POPOLAZIONE TOTALE DI OGNI REGIONE (CON FILTRO)]]</f>
        <v>5.6305801507004576E-4</v>
      </c>
      <c r="H2969" t="str">
        <f>IF(Comuni__2[[#This Row],[Popolazione2011]]&gt;300000,"MAGGIORE","")</f>
        <v/>
      </c>
      <c r="J2969">
        <v>4</v>
      </c>
      <c r="K2969">
        <v>269</v>
      </c>
      <c r="L2969">
        <v>22</v>
      </c>
    </row>
    <row r="2970" spans="1:12" x14ac:dyDescent="0.2">
      <c r="A2970"/>
      <c r="B2970"/>
      <c r="C2970"/>
      <c r="D2970"/>
      <c r="E2970" s="2">
        <f>Comuni__2[[#This Row],[Popolazione2011]]/$D$7911</f>
        <v>9.1109384995327662E-5</v>
      </c>
      <c r="F2970">
        <f>SUMIFS($D$2:$D$7909, $B$2:$B$7909, "Lombardia")</f>
        <v>9704151</v>
      </c>
      <c r="G2970" s="1">
        <f>Comuni__2[[#This Row],[Popolazione2011]]/Comuni__2[[#This Row],[POPOLAZIONE TOTALE DI OGNI REGIONE (CON FILTRO)]]</f>
        <v>5.5790558081794065E-4</v>
      </c>
      <c r="H2970" t="str">
        <f>IF(Comuni__2[[#This Row],[Popolazione2011]]&gt;300000,"MAGGIORE","")</f>
        <v/>
      </c>
      <c r="J2970">
        <v>4</v>
      </c>
      <c r="K2970">
        <v>279</v>
      </c>
      <c r="L2970">
        <v>22</v>
      </c>
    </row>
    <row r="2971" spans="1:12" x14ac:dyDescent="0.2">
      <c r="A2971"/>
      <c r="B2971"/>
      <c r="C2971"/>
      <c r="D2971"/>
      <c r="E2971" s="2">
        <f>Comuni__2[[#This Row],[Popolazione2011]]/$D$7911</f>
        <v>9.0873786290131023E-5</v>
      </c>
      <c r="F2971">
        <f>SUMIFS($D$2:$D$7909, $B$2:$B$7909, "Lombardia")</f>
        <v>9704151</v>
      </c>
      <c r="G2971" s="1">
        <f>Comuni__2[[#This Row],[Popolazione2011]]/Comuni__2[[#This Row],[POPOLAZIONE TOTALE DI OGNI REGIONE (CON FILTRO)]]</f>
        <v>5.564628992273513E-4</v>
      </c>
      <c r="H2971" t="str">
        <f>IF(Comuni__2[[#This Row],[Popolazione2011]]&gt;300000,"MAGGIORE","")</f>
        <v/>
      </c>
      <c r="J2971">
        <v>5</v>
      </c>
      <c r="K2971">
        <v>281</v>
      </c>
      <c r="L2971">
        <v>22</v>
      </c>
    </row>
    <row r="2972" spans="1:12" x14ac:dyDescent="0.2">
      <c r="A2972"/>
      <c r="B2972"/>
      <c r="C2972"/>
      <c r="D2972"/>
      <c r="E2972" s="2">
        <f>Comuni__2[[#This Row],[Popolazione2011]]/$D$7911</f>
        <v>9.0789643895417942E-5</v>
      </c>
      <c r="F2972">
        <f>SUMIFS($D$2:$D$7909, $B$2:$B$7909, "Lombardia")</f>
        <v>9704151</v>
      </c>
      <c r="G2972" s="1">
        <f>Comuni__2[[#This Row],[Popolazione2011]]/Comuni__2[[#This Row],[POPOLAZIONE TOTALE DI OGNI REGIONE (CON FILTRO)]]</f>
        <v>5.5594765580214078E-4</v>
      </c>
      <c r="H2972" t="str">
        <f>IF(Comuni__2[[#This Row],[Popolazione2011]]&gt;300000,"MAGGIORE","")</f>
        <v/>
      </c>
      <c r="J2972">
        <v>3</v>
      </c>
      <c r="K2972">
        <v>287</v>
      </c>
      <c r="L2972">
        <v>22</v>
      </c>
    </row>
    <row r="2973" spans="1:12" x14ac:dyDescent="0.2">
      <c r="A2973"/>
      <c r="B2973"/>
      <c r="C2973"/>
      <c r="D2973"/>
      <c r="E2973" s="2">
        <f>Comuni__2[[#This Row],[Popolazione2011]]/$D$7911</f>
        <v>9.0755986937532697E-5</v>
      </c>
      <c r="F2973">
        <f>SUMIFS($D$2:$D$7909, $B$2:$B$7909, "Lombardia")</f>
        <v>9704151</v>
      </c>
      <c r="G2973" s="1">
        <f>Comuni__2[[#This Row],[Popolazione2011]]/Comuni__2[[#This Row],[POPOLAZIONE TOTALE DI OGNI REGIONE (CON FILTRO)]]</f>
        <v>5.5574155843205657E-4</v>
      </c>
      <c r="H2973" t="str">
        <f>IF(Comuni__2[[#This Row],[Popolazione2011]]&gt;300000,"MAGGIORE","")</f>
        <v/>
      </c>
      <c r="J2973">
        <v>2</v>
      </c>
      <c r="K2973">
        <v>288</v>
      </c>
      <c r="L2973">
        <v>23</v>
      </c>
    </row>
    <row r="2974" spans="1:12" x14ac:dyDescent="0.2">
      <c r="A2974"/>
      <c r="B2974"/>
      <c r="C2974"/>
      <c r="D2974"/>
      <c r="E2974" s="2">
        <f>Comuni__2[[#This Row],[Popolazione2011]]/$D$7911</f>
        <v>9.0638187584934384E-5</v>
      </c>
      <c r="F2974">
        <f>SUMIFS($D$2:$D$7909, $B$2:$B$7909, "Lombardia")</f>
        <v>9704151</v>
      </c>
      <c r="G2974" s="1">
        <f>Comuni__2[[#This Row],[Popolazione2011]]/Comuni__2[[#This Row],[POPOLAZIONE TOTALE DI OGNI REGIONE (CON FILTRO)]]</f>
        <v>5.5502021763676184E-4</v>
      </c>
      <c r="H2974" t="str">
        <f>IF(Comuni__2[[#This Row],[Popolazione2011]]&gt;300000,"MAGGIORE","")</f>
        <v/>
      </c>
      <c r="J2974">
        <v>2</v>
      </c>
      <c r="K2974">
        <v>291</v>
      </c>
      <c r="L2974">
        <v>23</v>
      </c>
    </row>
    <row r="2975" spans="1:12" x14ac:dyDescent="0.2">
      <c r="A2975"/>
      <c r="B2975"/>
      <c r="C2975"/>
      <c r="D2975"/>
      <c r="E2975" s="2">
        <f>Comuni__2[[#This Row],[Popolazione2011]]/$D$7911</f>
        <v>9.0200647132426351E-5</v>
      </c>
      <c r="F2975">
        <f>SUMIFS($D$2:$D$7909, $B$2:$B$7909, "Lombardia")</f>
        <v>9704151</v>
      </c>
      <c r="G2975" s="1">
        <f>Comuni__2[[#This Row],[Popolazione2011]]/Comuni__2[[#This Row],[POPOLAZIONE TOTALE DI OGNI REGIONE (CON FILTRO)]]</f>
        <v>5.5234095182566723E-4</v>
      </c>
      <c r="H2975" t="str">
        <f>IF(Comuni__2[[#This Row],[Popolazione2011]]&gt;300000,"MAGGIORE","")</f>
        <v/>
      </c>
      <c r="J2975">
        <v>2</v>
      </c>
      <c r="K2975">
        <v>292</v>
      </c>
      <c r="L2975">
        <v>23</v>
      </c>
    </row>
    <row r="2976" spans="1:12" x14ac:dyDescent="0.2">
      <c r="A2976"/>
      <c r="B2976"/>
      <c r="C2976"/>
      <c r="D2976"/>
      <c r="E2976" s="2">
        <f>Comuni__2[[#This Row],[Popolazione2011]]/$D$7911</f>
        <v>9.0116504737713257E-5</v>
      </c>
      <c r="F2976">
        <f>SUMIFS($D$2:$D$7909, $B$2:$B$7909, "Lombardia")</f>
        <v>9704151</v>
      </c>
      <c r="G2976" s="1">
        <f>Comuni__2[[#This Row],[Popolazione2011]]/Comuni__2[[#This Row],[POPOLAZIONE TOTALE DI OGNI REGIONE (CON FILTRO)]]</f>
        <v>5.5182570840045671E-4</v>
      </c>
      <c r="H2976" t="str">
        <f>IF(Comuni__2[[#This Row],[Popolazione2011]]&gt;300000,"MAGGIORE","")</f>
        <v/>
      </c>
      <c r="J2976">
        <v>2</v>
      </c>
      <c r="K2976">
        <v>293</v>
      </c>
      <c r="L2976">
        <v>23</v>
      </c>
    </row>
    <row r="2977" spans="1:12" x14ac:dyDescent="0.2">
      <c r="A2977"/>
      <c r="B2977"/>
      <c r="C2977"/>
      <c r="D2977"/>
      <c r="E2977" s="2">
        <f>Comuni__2[[#This Row],[Popolazione2011]]/$D$7911</f>
        <v>9.0049190821942792E-5</v>
      </c>
      <c r="F2977">
        <f>SUMIFS($D$2:$D$7909, $B$2:$B$7909, "Lombardia")</f>
        <v>9704151</v>
      </c>
      <c r="G2977" s="1">
        <f>Comuni__2[[#This Row],[Popolazione2011]]/Comuni__2[[#This Row],[POPOLAZIONE TOTALE DI OGNI REGIONE (CON FILTRO)]]</f>
        <v>5.514135136602883E-4</v>
      </c>
      <c r="H2977" t="str">
        <f>IF(Comuni__2[[#This Row],[Popolazione2011]]&gt;300000,"MAGGIORE","")</f>
        <v/>
      </c>
      <c r="J2977">
        <v>2</v>
      </c>
      <c r="K2977">
        <v>294</v>
      </c>
      <c r="L2977">
        <v>23</v>
      </c>
    </row>
    <row r="2978" spans="1:12" x14ac:dyDescent="0.2">
      <c r="A2978"/>
      <c r="B2978"/>
      <c r="C2978"/>
      <c r="D2978"/>
      <c r="E2978" s="2">
        <f>Comuni__2[[#This Row],[Popolazione2011]]/$D$7911</f>
        <v>8.9931391469344479E-5</v>
      </c>
      <c r="F2978">
        <f>SUMIFS($D$2:$D$7909, $B$2:$B$7909, "Lombardia")</f>
        <v>9704151</v>
      </c>
      <c r="G2978" s="1">
        <f>Comuni__2[[#This Row],[Popolazione2011]]/Comuni__2[[#This Row],[POPOLAZIONE TOTALE DI OGNI REGIONE (CON FILTRO)]]</f>
        <v>5.5069217286499357E-4</v>
      </c>
      <c r="H2978" t="str">
        <f>IF(Comuni__2[[#This Row],[Popolazione2011]]&gt;300000,"MAGGIORE","")</f>
        <v/>
      </c>
      <c r="J2978">
        <v>2</v>
      </c>
      <c r="K2978">
        <v>295</v>
      </c>
      <c r="L2978">
        <v>23</v>
      </c>
    </row>
    <row r="2979" spans="1:12" x14ac:dyDescent="0.2">
      <c r="A2979"/>
      <c r="B2979"/>
      <c r="C2979"/>
      <c r="D2979"/>
      <c r="E2979" s="2">
        <f>Comuni__2[[#This Row],[Popolazione2011]]/$D$7911</f>
        <v>8.9796763637803537E-5</v>
      </c>
      <c r="F2979">
        <f>SUMIFS($D$2:$D$7909, $B$2:$B$7909, "Lombardia")</f>
        <v>9704151</v>
      </c>
      <c r="G2979" s="1">
        <f>Comuni__2[[#This Row],[Popolazione2011]]/Comuni__2[[#This Row],[POPOLAZIONE TOTALE DI OGNI REGIONE (CON FILTRO)]]</f>
        <v>5.4986778338465673E-4</v>
      </c>
      <c r="H2979" t="str">
        <f>IF(Comuni__2[[#This Row],[Popolazione2011]]&gt;300000,"MAGGIORE","")</f>
        <v/>
      </c>
      <c r="J2979">
        <v>2</v>
      </c>
      <c r="K2979">
        <v>296</v>
      </c>
      <c r="L2979">
        <v>23</v>
      </c>
    </row>
    <row r="2980" spans="1:12" x14ac:dyDescent="0.2">
      <c r="A2980"/>
      <c r="B2980"/>
      <c r="C2980"/>
      <c r="D2980"/>
      <c r="E2980" s="2">
        <f>Comuni__2[[#This Row],[Popolazione2011]]/$D$7911</f>
        <v>8.9779935158860921E-5</v>
      </c>
      <c r="F2980">
        <f>SUMIFS($D$2:$D$7909, $B$2:$B$7909, "Lombardia")</f>
        <v>9704151</v>
      </c>
      <c r="G2980" s="1">
        <f>Comuni__2[[#This Row],[Popolazione2011]]/Comuni__2[[#This Row],[POPOLAZIONE TOTALE DI OGNI REGIONE (CON FILTRO)]]</f>
        <v>5.4976473469961463E-4</v>
      </c>
      <c r="H2980" t="str">
        <f>IF(Comuni__2[[#This Row],[Popolazione2011]]&gt;300000,"MAGGIORE","")</f>
        <v/>
      </c>
      <c r="J2980">
        <v>2</v>
      </c>
      <c r="K2980">
        <v>300</v>
      </c>
      <c r="L2980">
        <v>23</v>
      </c>
    </row>
    <row r="2981" spans="1:12" x14ac:dyDescent="0.2">
      <c r="A2981"/>
      <c r="B2981"/>
      <c r="C2981"/>
      <c r="D2981"/>
      <c r="E2981" s="2">
        <f>Comuni__2[[#This Row],[Popolazione2011]]/$D$7911</f>
        <v>8.9493851016836433E-5</v>
      </c>
      <c r="F2981">
        <f>SUMIFS($D$2:$D$7909, $B$2:$B$7909, "Lombardia")</f>
        <v>9704151</v>
      </c>
      <c r="G2981" s="1">
        <f>Comuni__2[[#This Row],[Popolazione2011]]/Comuni__2[[#This Row],[POPOLAZIONE TOTALE DI OGNI REGIONE (CON FILTRO)]]</f>
        <v>5.4801290705389885E-4</v>
      </c>
      <c r="H2981" t="str">
        <f>IF(Comuni__2[[#This Row],[Popolazione2011]]&gt;300000,"MAGGIORE","")</f>
        <v/>
      </c>
      <c r="J2981">
        <v>2</v>
      </c>
      <c r="K2981">
        <v>302</v>
      </c>
      <c r="L2981">
        <v>23</v>
      </c>
    </row>
    <row r="2982" spans="1:12" x14ac:dyDescent="0.2">
      <c r="A2982"/>
      <c r="B2982"/>
      <c r="C2982"/>
      <c r="D2982"/>
      <c r="E2982" s="2">
        <f>Comuni__2[[#This Row],[Popolazione2011]]/$D$7911</f>
        <v>8.9291909269525039E-5</v>
      </c>
      <c r="F2982">
        <f>SUMIFS($D$2:$D$7909, $B$2:$B$7909, "Lombardia")</f>
        <v>9704151</v>
      </c>
      <c r="G2982" s="1">
        <f>Comuni__2[[#This Row],[Popolazione2011]]/Comuni__2[[#This Row],[POPOLAZIONE TOTALE DI OGNI REGIONE (CON FILTRO)]]</f>
        <v>5.4677632283339371E-4</v>
      </c>
      <c r="H2982" t="str">
        <f>IF(Comuni__2[[#This Row],[Popolazione2011]]&gt;300000,"MAGGIORE","")</f>
        <v/>
      </c>
      <c r="J2982">
        <v>0</v>
      </c>
      <c r="K2982">
        <v>319</v>
      </c>
      <c r="L2982">
        <v>23</v>
      </c>
    </row>
    <row r="2983" spans="1:12" x14ac:dyDescent="0.2">
      <c r="A2983"/>
      <c r="B2983"/>
      <c r="C2983"/>
      <c r="D2983"/>
      <c r="E2983" s="2">
        <f>Comuni__2[[#This Row],[Popolazione2011]]/$D$7911</f>
        <v>8.90563105643284E-5</v>
      </c>
      <c r="F2983">
        <f>SUMIFS($D$2:$D$7909, $B$2:$B$7909, "Lombardia")</f>
        <v>9704151</v>
      </c>
      <c r="G2983" s="1">
        <f>Comuni__2[[#This Row],[Popolazione2011]]/Comuni__2[[#This Row],[POPOLAZIONE TOTALE DI OGNI REGIONE (CON FILTRO)]]</f>
        <v>5.4533364124280425E-4</v>
      </c>
      <c r="H2983" t="str">
        <f>IF(Comuni__2[[#This Row],[Popolazione2011]]&gt;300000,"MAGGIORE","")</f>
        <v/>
      </c>
      <c r="J2983">
        <v>0</v>
      </c>
      <c r="K2983">
        <v>342</v>
      </c>
      <c r="L2983">
        <v>23</v>
      </c>
    </row>
    <row r="2984" spans="1:12" x14ac:dyDescent="0.2">
      <c r="A2984"/>
      <c r="B2984"/>
      <c r="C2984"/>
      <c r="D2984"/>
      <c r="E2984" s="2">
        <f>Comuni__2[[#This Row],[Popolazione2011]]/$D$7911</f>
        <v>8.8315857490853264E-5</v>
      </c>
      <c r="F2984">
        <f>SUMIFS($D$2:$D$7909, $B$2:$B$7909, "Lombardia")</f>
        <v>9704151</v>
      </c>
      <c r="G2984" s="1">
        <f>Comuni__2[[#This Row],[Popolazione2011]]/Comuni__2[[#This Row],[POPOLAZIONE TOTALE DI OGNI REGIONE (CON FILTRO)]]</f>
        <v>5.4079949910095177E-4</v>
      </c>
      <c r="H2984" t="str">
        <f>IF(Comuni__2[[#This Row],[Popolazione2011]]&gt;300000,"MAGGIORE","")</f>
        <v/>
      </c>
      <c r="J2984">
        <v>0</v>
      </c>
      <c r="K2984">
        <v>346</v>
      </c>
      <c r="L2984">
        <v>23</v>
      </c>
    </row>
    <row r="2985" spans="1:12" x14ac:dyDescent="0.2">
      <c r="A2985"/>
      <c r="B2985"/>
      <c r="C2985"/>
      <c r="D2985"/>
      <c r="E2985" s="2">
        <f>Comuni__2[[#This Row],[Popolazione2011]]/$D$7911</f>
        <v>8.8147572701427089E-5</v>
      </c>
      <c r="F2985">
        <f>SUMIFS($D$2:$D$7909, $B$2:$B$7909, "Lombardia")</f>
        <v>9704151</v>
      </c>
      <c r="G2985" s="1">
        <f>Comuni__2[[#This Row],[Popolazione2011]]/Comuni__2[[#This Row],[POPOLAZIONE TOTALE DI OGNI REGIONE (CON FILTRO)]]</f>
        <v>5.3976901225053072E-4</v>
      </c>
      <c r="H2985" t="str">
        <f>IF(Comuni__2[[#This Row],[Popolazione2011]]&gt;300000,"MAGGIORE","")</f>
        <v/>
      </c>
      <c r="J2985">
        <v>1</v>
      </c>
      <c r="K2985">
        <v>351</v>
      </c>
      <c r="L2985">
        <v>23</v>
      </c>
    </row>
    <row r="2986" spans="1:12" x14ac:dyDescent="0.2">
      <c r="A2986"/>
      <c r="B2986"/>
      <c r="C2986"/>
      <c r="D2986"/>
      <c r="E2986" s="2">
        <f>Comuni__2[[#This Row],[Popolazione2011]]/$D$7911</f>
        <v>8.8080258785656624E-5</v>
      </c>
      <c r="F2986">
        <f>SUMIFS($D$2:$D$7909, $B$2:$B$7909, "Lombardia")</f>
        <v>9704151</v>
      </c>
      <c r="G2986" s="1">
        <f>Comuni__2[[#This Row],[Popolazione2011]]/Comuni__2[[#This Row],[POPOLAZIONE TOTALE DI OGNI REGIONE (CON FILTRO)]]</f>
        <v>5.3935681751036231E-4</v>
      </c>
      <c r="H2986" t="str">
        <f>IF(Comuni__2[[#This Row],[Popolazione2011]]&gt;300000,"MAGGIORE","")</f>
        <v/>
      </c>
      <c r="J2986">
        <v>1</v>
      </c>
      <c r="K2986">
        <v>355</v>
      </c>
      <c r="L2986">
        <v>23</v>
      </c>
    </row>
    <row r="2987" spans="1:12" x14ac:dyDescent="0.2">
      <c r="A2987"/>
      <c r="B2987"/>
      <c r="C2987"/>
      <c r="D2987"/>
      <c r="E2987" s="2">
        <f>Comuni__2[[#This Row],[Popolazione2011]]/$D$7911</f>
        <v>8.7945630954115682E-5</v>
      </c>
      <c r="F2987">
        <f>SUMIFS($D$2:$D$7909, $B$2:$B$7909, "Lombardia")</f>
        <v>9704151</v>
      </c>
      <c r="G2987" s="1">
        <f>Comuni__2[[#This Row],[Popolazione2011]]/Comuni__2[[#This Row],[POPOLAZIONE TOTALE DI OGNI REGIONE (CON FILTRO)]]</f>
        <v>5.3853242803002547E-4</v>
      </c>
      <c r="H2987" t="str">
        <f>IF(Comuni__2[[#This Row],[Popolazione2011]]&gt;300000,"MAGGIORE","")</f>
        <v/>
      </c>
      <c r="J2987">
        <v>1</v>
      </c>
      <c r="K2987">
        <v>357</v>
      </c>
      <c r="L2987">
        <v>23</v>
      </c>
    </row>
    <row r="2988" spans="1:12" x14ac:dyDescent="0.2">
      <c r="A2988"/>
      <c r="B2988"/>
      <c r="C2988"/>
      <c r="D2988"/>
      <c r="E2988" s="2">
        <f>Comuni__2[[#This Row],[Popolazione2011]]/$D$7911</f>
        <v>8.7945630954115682E-5</v>
      </c>
      <c r="F2988">
        <f>SUMIFS($D$2:$D$7909, $B$2:$B$7909, "Lombardia")</f>
        <v>9704151</v>
      </c>
      <c r="G2988" s="1">
        <f>Comuni__2[[#This Row],[Popolazione2011]]/Comuni__2[[#This Row],[POPOLAZIONE TOTALE DI OGNI REGIONE (CON FILTRO)]]</f>
        <v>5.3853242803002547E-4</v>
      </c>
      <c r="H2988" t="str">
        <f>IF(Comuni__2[[#This Row],[Popolazione2011]]&gt;300000,"MAGGIORE","")</f>
        <v/>
      </c>
      <c r="J2988">
        <v>2</v>
      </c>
      <c r="K2988">
        <v>365</v>
      </c>
      <c r="L2988">
        <v>23</v>
      </c>
    </row>
    <row r="2989" spans="1:12" x14ac:dyDescent="0.2">
      <c r="A2989"/>
      <c r="B2989"/>
      <c r="C2989"/>
      <c r="D2989"/>
      <c r="E2989" s="2">
        <f>Comuni__2[[#This Row],[Popolazione2011]]/$D$7911</f>
        <v>8.7827831601517369E-5</v>
      </c>
      <c r="F2989">
        <f>SUMIFS($D$2:$D$7909, $B$2:$B$7909, "Lombardia")</f>
        <v>9704151</v>
      </c>
      <c r="G2989" s="1">
        <f>Comuni__2[[#This Row],[Popolazione2011]]/Comuni__2[[#This Row],[POPOLAZIONE TOTALE DI OGNI REGIONE (CON FILTRO)]]</f>
        <v>5.3781108723473074E-4</v>
      </c>
      <c r="H2989" t="str">
        <f>IF(Comuni__2[[#This Row],[Popolazione2011]]&gt;300000,"MAGGIORE","")</f>
        <v/>
      </c>
      <c r="J2989">
        <v>2</v>
      </c>
      <c r="K2989">
        <v>365</v>
      </c>
      <c r="L2989">
        <v>23</v>
      </c>
    </row>
    <row r="2990" spans="1:12" x14ac:dyDescent="0.2">
      <c r="A2990"/>
      <c r="B2990"/>
      <c r="C2990"/>
      <c r="D2990"/>
      <c r="E2990" s="2">
        <f>Comuni__2[[#This Row],[Popolazione2011]]/$D$7911</f>
        <v>8.7625889854205962E-5</v>
      </c>
      <c r="F2990">
        <f>SUMIFS($D$2:$D$7909, $B$2:$B$7909, "Lombardia")</f>
        <v>9704151</v>
      </c>
      <c r="G2990" s="1">
        <f>Comuni__2[[#This Row],[Popolazione2011]]/Comuni__2[[#This Row],[POPOLAZIONE TOTALE DI OGNI REGIONE (CON FILTRO)]]</f>
        <v>5.365745030142256E-4</v>
      </c>
      <c r="H2990" t="str">
        <f>IF(Comuni__2[[#This Row],[Popolazione2011]]&gt;300000,"MAGGIORE","")</f>
        <v/>
      </c>
      <c r="J2990">
        <v>2</v>
      </c>
      <c r="K2990">
        <v>378</v>
      </c>
      <c r="L2990">
        <v>23</v>
      </c>
    </row>
    <row r="2991" spans="1:12" x14ac:dyDescent="0.2">
      <c r="A2991"/>
      <c r="B2991"/>
      <c r="C2991"/>
      <c r="D2991"/>
      <c r="E2991" s="2">
        <f>Comuni__2[[#This Row],[Popolazione2011]]/$D$7911</f>
        <v>8.7592232896320729E-5</v>
      </c>
      <c r="F2991">
        <f>SUMIFS($D$2:$D$7909, $B$2:$B$7909, "Lombardia")</f>
        <v>9704151</v>
      </c>
      <c r="G2991" s="1">
        <f>Comuni__2[[#This Row],[Popolazione2011]]/Comuni__2[[#This Row],[POPOLAZIONE TOTALE DI OGNI REGIONE (CON FILTRO)]]</f>
        <v>5.3636840564414139E-4</v>
      </c>
      <c r="H2991" t="str">
        <f>IF(Comuni__2[[#This Row],[Popolazione2011]]&gt;300000,"MAGGIORE","")</f>
        <v/>
      </c>
      <c r="J2991">
        <v>3</v>
      </c>
      <c r="K2991">
        <v>378</v>
      </c>
      <c r="L2991">
        <v>23</v>
      </c>
    </row>
    <row r="2992" spans="1:12" x14ac:dyDescent="0.2">
      <c r="A2992"/>
      <c r="B2992"/>
      <c r="C2992"/>
      <c r="D2992"/>
      <c r="E2992" s="2">
        <f>Comuni__2[[#This Row],[Popolazione2011]]/$D$7911</f>
        <v>8.7423948106894568E-5</v>
      </c>
      <c r="F2992">
        <f>SUMIFS($D$2:$D$7909, $B$2:$B$7909, "Lombardia")</f>
        <v>9704151</v>
      </c>
      <c r="G2992" s="1">
        <f>Comuni__2[[#This Row],[Popolazione2011]]/Comuni__2[[#This Row],[POPOLAZIONE TOTALE DI OGNI REGIONE (CON FILTRO)]]</f>
        <v>5.3533791879372035E-4</v>
      </c>
      <c r="H2992" t="str">
        <f>IF(Comuni__2[[#This Row],[Popolazione2011]]&gt;300000,"MAGGIORE","")</f>
        <v/>
      </c>
      <c r="J2992">
        <v>3</v>
      </c>
      <c r="K2992">
        <v>378</v>
      </c>
      <c r="L2992">
        <v>23</v>
      </c>
    </row>
    <row r="2993" spans="1:12" x14ac:dyDescent="0.2">
      <c r="A2993"/>
      <c r="B2993"/>
      <c r="C2993"/>
      <c r="D2993"/>
      <c r="E2993" s="2">
        <f>Comuni__2[[#This Row],[Popolazione2011]]/$D$7911</f>
        <v>8.727249179641101E-5</v>
      </c>
      <c r="F2993">
        <f>SUMIFS($D$2:$D$7909, $B$2:$B$7909, "Lombardia")</f>
        <v>9704151</v>
      </c>
      <c r="G2993" s="1">
        <f>Comuni__2[[#This Row],[Popolazione2011]]/Comuni__2[[#This Row],[POPOLAZIONE TOTALE DI OGNI REGIONE (CON FILTRO)]]</f>
        <v>5.3441048062834141E-4</v>
      </c>
      <c r="H2993" t="str">
        <f>IF(Comuni__2[[#This Row],[Popolazione2011]]&gt;300000,"MAGGIORE","")</f>
        <v/>
      </c>
      <c r="J2993">
        <v>2</v>
      </c>
      <c r="K2993">
        <v>378</v>
      </c>
      <c r="L2993">
        <v>23</v>
      </c>
    </row>
    <row r="2994" spans="1:12" x14ac:dyDescent="0.2">
      <c r="A2994"/>
      <c r="B2994"/>
      <c r="C2994"/>
      <c r="D2994"/>
      <c r="E2994" s="2">
        <f>Comuni__2[[#This Row],[Popolazione2011]]/$D$7911</f>
        <v>8.7137863964870081E-5</v>
      </c>
      <c r="F2994">
        <f>SUMIFS($D$2:$D$7909, $B$2:$B$7909, "Lombardia")</f>
        <v>9704151</v>
      </c>
      <c r="G2994" s="1">
        <f>Comuni__2[[#This Row],[Popolazione2011]]/Comuni__2[[#This Row],[POPOLAZIONE TOTALE DI OGNI REGIONE (CON FILTRO)]]</f>
        <v>5.3358609114800457E-4</v>
      </c>
      <c r="H2994" t="str">
        <f>IF(Comuni__2[[#This Row],[Popolazione2011]]&gt;300000,"MAGGIORE","")</f>
        <v/>
      </c>
      <c r="J2994">
        <v>2</v>
      </c>
      <c r="K2994">
        <v>385</v>
      </c>
      <c r="L2994">
        <v>23</v>
      </c>
    </row>
    <row r="2995" spans="1:12" x14ac:dyDescent="0.2">
      <c r="A2995"/>
      <c r="B2995"/>
      <c r="C2995"/>
      <c r="D2995"/>
      <c r="E2995" s="2">
        <f>Comuni__2[[#This Row],[Popolazione2011]]/$D$7911</f>
        <v>8.7104207006984848E-5</v>
      </c>
      <c r="F2995">
        <f>SUMIFS($D$2:$D$7909, $B$2:$B$7909, "Lombardia")</f>
        <v>9704151</v>
      </c>
      <c r="G2995" s="1">
        <f>Comuni__2[[#This Row],[Popolazione2011]]/Comuni__2[[#This Row],[POPOLAZIONE TOTALE DI OGNI REGIONE (CON FILTRO)]]</f>
        <v>5.3337999377792036E-4</v>
      </c>
      <c r="H2995" t="str">
        <f>IF(Comuni__2[[#This Row],[Popolazione2011]]&gt;300000,"MAGGIORE","")</f>
        <v/>
      </c>
      <c r="J2995">
        <v>1</v>
      </c>
      <c r="K2995">
        <v>393</v>
      </c>
      <c r="L2995">
        <v>23</v>
      </c>
    </row>
    <row r="2996" spans="1:12" x14ac:dyDescent="0.2">
      <c r="A2996"/>
      <c r="B2996"/>
      <c r="C2996"/>
      <c r="D2996"/>
      <c r="E2996" s="2">
        <f>Comuni__2[[#This Row],[Popolazione2011]]/$D$7911</f>
        <v>8.7020064612271768E-5</v>
      </c>
      <c r="F2996">
        <f>SUMIFS($D$2:$D$7909, $B$2:$B$7909, "Lombardia")</f>
        <v>9704151</v>
      </c>
      <c r="G2996" s="1">
        <f>Comuni__2[[#This Row],[Popolazione2011]]/Comuni__2[[#This Row],[POPOLAZIONE TOTALE DI OGNI REGIONE (CON FILTRO)]]</f>
        <v>5.3286475035270984E-4</v>
      </c>
      <c r="H2996" t="str">
        <f>IF(Comuni__2[[#This Row],[Popolazione2011]]&gt;300000,"MAGGIORE","")</f>
        <v/>
      </c>
      <c r="J2996">
        <v>0</v>
      </c>
      <c r="K2996">
        <v>396</v>
      </c>
      <c r="L2996">
        <v>23</v>
      </c>
    </row>
    <row r="2997" spans="1:12" x14ac:dyDescent="0.2">
      <c r="A2997"/>
      <c r="B2997"/>
      <c r="C2997"/>
      <c r="D2997"/>
      <c r="E2997" s="2">
        <f>Comuni__2[[#This Row],[Popolazione2011]]/$D$7911</f>
        <v>8.6834951343902977E-5</v>
      </c>
      <c r="F2997">
        <f>SUMIFS($D$2:$D$7909, $B$2:$B$7909, "Lombardia")</f>
        <v>9704151</v>
      </c>
      <c r="G2997" s="1">
        <f>Comuni__2[[#This Row],[Popolazione2011]]/Comuni__2[[#This Row],[POPOLAZIONE TOTALE DI OGNI REGIONE (CON FILTRO)]]</f>
        <v>5.317312148172468E-4</v>
      </c>
      <c r="H2997" t="str">
        <f>IF(Comuni__2[[#This Row],[Popolazione2011]]&gt;300000,"MAGGIORE","")</f>
        <v/>
      </c>
      <c r="J2997">
        <v>0</v>
      </c>
      <c r="K2997">
        <v>396</v>
      </c>
      <c r="L2997">
        <v>23</v>
      </c>
    </row>
    <row r="2998" spans="1:12" x14ac:dyDescent="0.2">
      <c r="A2998"/>
      <c r="B2998"/>
      <c r="C2998"/>
      <c r="D2998"/>
      <c r="E2998" s="2">
        <f>Comuni__2[[#This Row],[Popolazione2011]]/$D$7911</f>
        <v>8.6784465907075128E-5</v>
      </c>
      <c r="F2998">
        <f>SUMIFS($D$2:$D$7909, $B$2:$B$7909, "Lombardia")</f>
        <v>9704151</v>
      </c>
      <c r="G2998" s="1">
        <f>Comuni__2[[#This Row],[Popolazione2011]]/Comuni__2[[#This Row],[POPOLAZIONE TOTALE DI OGNI REGIONE (CON FILTRO)]]</f>
        <v>5.3142206876212049E-4</v>
      </c>
      <c r="H2998" t="str">
        <f>IF(Comuni__2[[#This Row],[Popolazione2011]]&gt;300000,"MAGGIORE","")</f>
        <v/>
      </c>
      <c r="J2998">
        <v>0</v>
      </c>
      <c r="K2998">
        <v>396</v>
      </c>
      <c r="L2998">
        <v>23</v>
      </c>
    </row>
    <row r="2999" spans="1:12" x14ac:dyDescent="0.2">
      <c r="A2999"/>
      <c r="B2999"/>
      <c r="C2999"/>
      <c r="D2999"/>
      <c r="E2999" s="2">
        <f>Comuni__2[[#This Row],[Popolazione2011]]/$D$7911</f>
        <v>8.6044012833599978E-5</v>
      </c>
      <c r="F2999">
        <f>SUMIFS($D$2:$D$7909, $B$2:$B$7909, "Lombardia")</f>
        <v>9704151</v>
      </c>
      <c r="G2999" s="1">
        <f>Comuni__2[[#This Row],[Popolazione2011]]/Comuni__2[[#This Row],[POPOLAZIONE TOTALE DI OGNI REGIONE (CON FILTRO)]]</f>
        <v>5.2688792662026801E-4</v>
      </c>
      <c r="H2999" t="str">
        <f>IF(Comuni__2[[#This Row],[Popolazione2011]]&gt;300000,"MAGGIORE","")</f>
        <v/>
      </c>
      <c r="J2999">
        <v>0</v>
      </c>
      <c r="K2999">
        <v>397</v>
      </c>
      <c r="L2999">
        <v>23</v>
      </c>
    </row>
    <row r="3000" spans="1:12" x14ac:dyDescent="0.2">
      <c r="A3000"/>
      <c r="B3000"/>
      <c r="C3000"/>
      <c r="D3000"/>
      <c r="E3000" s="2">
        <f>Comuni__2[[#This Row],[Popolazione2011]]/$D$7911</f>
        <v>8.5976698917829514E-5</v>
      </c>
      <c r="F3000">
        <f>SUMIFS($D$2:$D$7909, $B$2:$B$7909, "Lombardia")</f>
        <v>9704151</v>
      </c>
      <c r="G3000" s="1">
        <f>Comuni__2[[#This Row],[Popolazione2011]]/Comuni__2[[#This Row],[POPOLAZIONE TOTALE DI OGNI REGIONE (CON FILTRO)]]</f>
        <v>5.2647573188009959E-4</v>
      </c>
      <c r="H3000" t="str">
        <f>IF(Comuni__2[[#This Row],[Popolazione2011]]&gt;300000,"MAGGIORE","")</f>
        <v/>
      </c>
      <c r="J3000">
        <v>0</v>
      </c>
      <c r="K3000">
        <v>397</v>
      </c>
      <c r="L3000">
        <v>23</v>
      </c>
    </row>
    <row r="3001" spans="1:12" x14ac:dyDescent="0.2">
      <c r="A3001"/>
      <c r="B3001"/>
      <c r="C3001"/>
      <c r="D3001"/>
      <c r="E3001" s="2">
        <f>Comuni__2[[#This Row],[Popolazione2011]]/$D$7911</f>
        <v>8.5555986944264097E-5</v>
      </c>
      <c r="F3001">
        <f>SUMIFS($D$2:$D$7909, $B$2:$B$7909, "Lombardia")</f>
        <v>9704151</v>
      </c>
      <c r="G3001" s="1">
        <f>Comuni__2[[#This Row],[Popolazione2011]]/Comuni__2[[#This Row],[POPOLAZIONE TOTALE DI OGNI REGIONE (CON FILTRO)]]</f>
        <v>5.2389951475404698E-4</v>
      </c>
      <c r="H3001" t="str">
        <f>IF(Comuni__2[[#This Row],[Popolazione2011]]&gt;300000,"MAGGIORE","")</f>
        <v/>
      </c>
      <c r="J3001">
        <v>0</v>
      </c>
      <c r="K3001">
        <v>401</v>
      </c>
      <c r="L3001">
        <v>23</v>
      </c>
    </row>
    <row r="3002" spans="1:12" x14ac:dyDescent="0.2">
      <c r="A3002"/>
      <c r="B3002"/>
      <c r="C3002"/>
      <c r="D3002"/>
      <c r="E3002" s="2">
        <f>Comuni__2[[#This Row],[Popolazione2011]]/$D$7911</f>
        <v>8.5505501507436249E-5</v>
      </c>
      <c r="F3002">
        <f>SUMIFS($D$2:$D$7909, $B$2:$B$7909, "Lombardia")</f>
        <v>9704151</v>
      </c>
      <c r="G3002" s="1">
        <f>Comuni__2[[#This Row],[Popolazione2011]]/Comuni__2[[#This Row],[POPOLAZIONE TOTALE DI OGNI REGIONE (CON FILTRO)]]</f>
        <v>5.2359036869892067E-4</v>
      </c>
      <c r="H3002" t="str">
        <f>IF(Comuni__2[[#This Row],[Popolazione2011]]&gt;300000,"MAGGIORE","")</f>
        <v/>
      </c>
      <c r="J3002">
        <v>0</v>
      </c>
      <c r="K3002">
        <v>401</v>
      </c>
      <c r="L3002">
        <v>23</v>
      </c>
    </row>
    <row r="3003" spans="1:12" x14ac:dyDescent="0.2">
      <c r="A3003"/>
      <c r="B3003"/>
      <c r="C3003"/>
      <c r="D3003"/>
      <c r="E3003" s="2">
        <f>Comuni__2[[#This Row],[Popolazione2011]]/$D$7911</f>
        <v>8.5471844549551016E-5</v>
      </c>
      <c r="F3003">
        <f>SUMIFS($D$2:$D$7909, $B$2:$B$7909, "Lombardia")</f>
        <v>9704151</v>
      </c>
      <c r="G3003" s="1">
        <f>Comuni__2[[#This Row],[Popolazione2011]]/Comuni__2[[#This Row],[POPOLAZIONE TOTALE DI OGNI REGIONE (CON FILTRO)]]</f>
        <v>5.2338427132883646E-4</v>
      </c>
      <c r="H3003" t="str">
        <f>IF(Comuni__2[[#This Row],[Popolazione2011]]&gt;300000,"MAGGIORE","")</f>
        <v/>
      </c>
      <c r="J3003">
        <v>0</v>
      </c>
      <c r="K3003">
        <v>401</v>
      </c>
      <c r="L3003">
        <v>23</v>
      </c>
    </row>
    <row r="3004" spans="1:12" x14ac:dyDescent="0.2">
      <c r="A3004"/>
      <c r="B3004"/>
      <c r="C3004"/>
      <c r="D3004"/>
      <c r="E3004" s="2">
        <f>Comuni__2[[#This Row],[Popolazione2011]]/$D$7911</f>
        <v>8.54550160706084E-5</v>
      </c>
      <c r="F3004">
        <f>SUMIFS($D$2:$D$7909, $B$2:$B$7909, "Lombardia")</f>
        <v>9704151</v>
      </c>
      <c r="G3004" s="1">
        <f>Comuni__2[[#This Row],[Popolazione2011]]/Comuni__2[[#This Row],[POPOLAZIONE TOTALE DI OGNI REGIONE (CON FILTRO)]]</f>
        <v>5.2328122264379436E-4</v>
      </c>
      <c r="H3004" t="str">
        <f>IF(Comuni__2[[#This Row],[Popolazione2011]]&gt;300000,"MAGGIORE","")</f>
        <v/>
      </c>
      <c r="J3004">
        <v>0</v>
      </c>
      <c r="K3004">
        <v>401</v>
      </c>
      <c r="L3004">
        <v>23</v>
      </c>
    </row>
    <row r="3005" spans="1:12" x14ac:dyDescent="0.2">
      <c r="A3005"/>
      <c r="B3005"/>
      <c r="C3005"/>
      <c r="D3005"/>
      <c r="E3005" s="2">
        <f>Comuni__2[[#This Row],[Popolazione2011]]/$D$7911</f>
        <v>8.5337216718010074E-5</v>
      </c>
      <c r="F3005">
        <f>SUMIFS($D$2:$D$7909, $B$2:$B$7909, "Lombardia")</f>
        <v>9704151</v>
      </c>
      <c r="G3005" s="1">
        <f>Comuni__2[[#This Row],[Popolazione2011]]/Comuni__2[[#This Row],[POPOLAZIONE TOTALE DI OGNI REGIONE (CON FILTRO)]]</f>
        <v>5.2255988184849963E-4</v>
      </c>
      <c r="H3005" t="str">
        <f>IF(Comuni__2[[#This Row],[Popolazione2011]]&gt;300000,"MAGGIORE","")</f>
        <v/>
      </c>
      <c r="J3005">
        <v>0</v>
      </c>
      <c r="K3005">
        <v>401</v>
      </c>
      <c r="L3005">
        <v>23</v>
      </c>
    </row>
    <row r="3006" spans="1:12" x14ac:dyDescent="0.2">
      <c r="A3006"/>
      <c r="B3006"/>
      <c r="C3006"/>
      <c r="D3006"/>
      <c r="E3006" s="2">
        <f>Comuni__2[[#This Row],[Popolazione2011]]/$D$7911</f>
        <v>8.4966990181272505E-5</v>
      </c>
      <c r="F3006">
        <f>SUMIFS($D$2:$D$7909, $B$2:$B$7909, "Lombardia")</f>
        <v>9704151</v>
      </c>
      <c r="G3006" s="1">
        <f>Comuni__2[[#This Row],[Popolazione2011]]/Comuni__2[[#This Row],[POPOLAZIONE TOTALE DI OGNI REGIONE (CON FILTRO)]]</f>
        <v>5.2029281077757344E-4</v>
      </c>
      <c r="H3006" t="str">
        <f>IF(Comuni__2[[#This Row],[Popolazione2011]]&gt;300000,"MAGGIORE","")</f>
        <v/>
      </c>
      <c r="J3006">
        <v>0</v>
      </c>
      <c r="K3006">
        <v>404</v>
      </c>
      <c r="L3006">
        <v>23</v>
      </c>
    </row>
    <row r="3007" spans="1:12" x14ac:dyDescent="0.2">
      <c r="A3007"/>
      <c r="B3007"/>
      <c r="C3007"/>
      <c r="D3007"/>
      <c r="E3007" s="2">
        <f>Comuni__2[[#This Row],[Popolazione2011]]/$D$7911</f>
        <v>8.4882847786559425E-5</v>
      </c>
      <c r="F3007">
        <f>SUMIFS($D$2:$D$7909, $B$2:$B$7909, "Lombardia")</f>
        <v>9704151</v>
      </c>
      <c r="G3007" s="1">
        <f>Comuni__2[[#This Row],[Popolazione2011]]/Comuni__2[[#This Row],[POPOLAZIONE TOTALE DI OGNI REGIONE (CON FILTRO)]]</f>
        <v>5.1977756735236292E-4</v>
      </c>
      <c r="H3007" t="str">
        <f>IF(Comuni__2[[#This Row],[Popolazione2011]]&gt;300000,"MAGGIORE","")</f>
        <v/>
      </c>
      <c r="J3007">
        <v>0</v>
      </c>
      <c r="K3007">
        <v>405</v>
      </c>
      <c r="L3007">
        <v>23</v>
      </c>
    </row>
    <row r="3008" spans="1:12" x14ac:dyDescent="0.2">
      <c r="A3008"/>
      <c r="B3008"/>
      <c r="C3008"/>
      <c r="D3008"/>
      <c r="E3008" s="2">
        <f>Comuni__2[[#This Row],[Popolazione2011]]/$D$7911</f>
        <v>8.4613592123477553E-5</v>
      </c>
      <c r="F3008">
        <f>SUMIFS($D$2:$D$7909, $B$2:$B$7909, "Lombardia")</f>
        <v>9704151</v>
      </c>
      <c r="G3008" s="1">
        <f>Comuni__2[[#This Row],[Popolazione2011]]/Comuni__2[[#This Row],[POPOLAZIONE TOTALE DI OGNI REGIONE (CON FILTRO)]]</f>
        <v>5.1812878839168925E-4</v>
      </c>
      <c r="H3008" t="str">
        <f>IF(Comuni__2[[#This Row],[Popolazione2011]]&gt;300000,"MAGGIORE","")</f>
        <v/>
      </c>
      <c r="J3008">
        <v>0</v>
      </c>
      <c r="K3008">
        <v>407</v>
      </c>
      <c r="L3008">
        <v>23</v>
      </c>
    </row>
    <row r="3009" spans="1:12" x14ac:dyDescent="0.2">
      <c r="A3009"/>
      <c r="B3009"/>
      <c r="C3009"/>
      <c r="D3009"/>
      <c r="E3009" s="2">
        <f>Comuni__2[[#This Row],[Popolazione2011]]/$D$7911</f>
        <v>8.4462135812993995E-5</v>
      </c>
      <c r="F3009">
        <f>SUMIFS($D$2:$D$7909, $B$2:$B$7909, "Lombardia")</f>
        <v>9704151</v>
      </c>
      <c r="G3009" s="1">
        <f>Comuni__2[[#This Row],[Popolazione2011]]/Comuni__2[[#This Row],[POPOLAZIONE TOTALE DI OGNI REGIONE (CON FILTRO)]]</f>
        <v>5.1720135022631042E-4</v>
      </c>
      <c r="H3009" t="str">
        <f>IF(Comuni__2[[#This Row],[Popolazione2011]]&gt;300000,"MAGGIORE","")</f>
        <v/>
      </c>
      <c r="J3009">
        <v>0</v>
      </c>
      <c r="K3009">
        <v>407</v>
      </c>
      <c r="L3009">
        <v>23</v>
      </c>
    </row>
    <row r="3010" spans="1:12" x14ac:dyDescent="0.2">
      <c r="A3010"/>
      <c r="B3010"/>
      <c r="C3010"/>
      <c r="D3010"/>
      <c r="E3010" s="2">
        <f>Comuni__2[[#This Row],[Popolazione2011]]/$D$7911</f>
        <v>8.4209708628854753E-5</v>
      </c>
      <c r="F3010">
        <f>SUMIFS($D$2:$D$7909, $B$2:$B$7909, "Lombardia")</f>
        <v>9704151</v>
      </c>
      <c r="G3010" s="1">
        <f>Comuni__2[[#This Row],[Popolazione2011]]/Comuni__2[[#This Row],[POPOLAZIONE TOTALE DI OGNI REGIONE (CON FILTRO)]]</f>
        <v>5.1565561995067886E-4</v>
      </c>
      <c r="H3010" t="str">
        <f>IF(Comuni__2[[#This Row],[Popolazione2011]]&gt;300000,"MAGGIORE","")</f>
        <v/>
      </c>
      <c r="J3010">
        <v>0</v>
      </c>
      <c r="K3010">
        <v>410</v>
      </c>
      <c r="L3010">
        <v>23</v>
      </c>
    </row>
    <row r="3011" spans="1:12" x14ac:dyDescent="0.2">
      <c r="A3011"/>
      <c r="B3011"/>
      <c r="C3011"/>
      <c r="D3011"/>
      <c r="E3011" s="2">
        <f>Comuni__2[[#This Row],[Popolazione2011]]/$D$7911</f>
        <v>8.4024595360485962E-5</v>
      </c>
      <c r="F3011">
        <f>SUMIFS($D$2:$D$7909, $B$2:$B$7909, "Lombardia")</f>
        <v>9704151</v>
      </c>
      <c r="G3011" s="1">
        <f>Comuni__2[[#This Row],[Popolazione2011]]/Comuni__2[[#This Row],[POPOLAZIONE TOTALE DI OGNI REGIONE (CON FILTRO)]]</f>
        <v>5.1452208441521571E-4</v>
      </c>
      <c r="H3011" t="str">
        <f>IF(Comuni__2[[#This Row],[Popolazione2011]]&gt;300000,"MAGGIORE","")</f>
        <v/>
      </c>
      <c r="J3011">
        <v>1</v>
      </c>
      <c r="K3011">
        <v>410</v>
      </c>
      <c r="L3011">
        <v>23</v>
      </c>
    </row>
    <row r="3012" spans="1:12" x14ac:dyDescent="0.2">
      <c r="A3012"/>
      <c r="B3012"/>
      <c r="C3012"/>
      <c r="D3012"/>
      <c r="E3012" s="2">
        <f>Comuni__2[[#This Row],[Popolazione2011]]/$D$7911</f>
        <v>8.3923624486830265E-5</v>
      </c>
      <c r="F3012">
        <f>SUMIFS($D$2:$D$7909, $B$2:$B$7909, "Lombardia")</f>
        <v>9704151</v>
      </c>
      <c r="G3012" s="1">
        <f>Comuni__2[[#This Row],[Popolazione2011]]/Comuni__2[[#This Row],[POPOLAZIONE TOTALE DI OGNI REGIONE (CON FILTRO)]]</f>
        <v>5.1390379230496308E-4</v>
      </c>
      <c r="H3012" t="str">
        <f>IF(Comuni__2[[#This Row],[Popolazione2011]]&gt;300000,"MAGGIORE","")</f>
        <v/>
      </c>
      <c r="J3012">
        <v>1</v>
      </c>
      <c r="K3012">
        <v>410</v>
      </c>
      <c r="L3012">
        <v>23</v>
      </c>
    </row>
    <row r="3013" spans="1:12" x14ac:dyDescent="0.2">
      <c r="A3013"/>
      <c r="B3013"/>
      <c r="C3013"/>
      <c r="D3013"/>
      <c r="E3013" s="2">
        <f>Comuni__2[[#This Row],[Popolazione2011]]/$D$7911</f>
        <v>8.3401941639609138E-5</v>
      </c>
      <c r="F3013">
        <f>SUMIFS($D$2:$D$7909, $B$2:$B$7909, "Lombardia")</f>
        <v>9704151</v>
      </c>
      <c r="G3013" s="1">
        <f>Comuni__2[[#This Row],[Popolazione2011]]/Comuni__2[[#This Row],[POPOLAZIONE TOTALE DI OGNI REGIONE (CON FILTRO)]]</f>
        <v>5.1070928306865796E-4</v>
      </c>
      <c r="H3013" t="str">
        <f>IF(Comuni__2[[#This Row],[Popolazione2011]]&gt;300000,"MAGGIORE","")</f>
        <v/>
      </c>
      <c r="J3013">
        <v>1</v>
      </c>
      <c r="K3013">
        <v>414</v>
      </c>
      <c r="L3013">
        <v>23</v>
      </c>
    </row>
    <row r="3014" spans="1:12" x14ac:dyDescent="0.2">
      <c r="A3014"/>
      <c r="B3014"/>
      <c r="C3014"/>
      <c r="D3014"/>
      <c r="E3014" s="2">
        <f>Comuni__2[[#This Row],[Popolazione2011]]/$D$7911</f>
        <v>8.3300970765953441E-5</v>
      </c>
      <c r="F3014">
        <f>SUMIFS($D$2:$D$7909, $B$2:$B$7909, "Lombardia")</f>
        <v>9704151</v>
      </c>
      <c r="G3014" s="1">
        <f>Comuni__2[[#This Row],[Popolazione2011]]/Comuni__2[[#This Row],[POPOLAZIONE TOTALE DI OGNI REGIONE (CON FILTRO)]]</f>
        <v>5.1009099095840533E-4</v>
      </c>
      <c r="H3014" t="str">
        <f>IF(Comuni__2[[#This Row],[Popolazione2011]]&gt;300000,"MAGGIORE","")</f>
        <v/>
      </c>
      <c r="J3014">
        <v>1</v>
      </c>
      <c r="K3014">
        <v>414</v>
      </c>
      <c r="L3014">
        <v>23</v>
      </c>
    </row>
    <row r="3015" spans="1:12" x14ac:dyDescent="0.2">
      <c r="A3015"/>
      <c r="B3015"/>
      <c r="C3015"/>
      <c r="D3015"/>
      <c r="E3015" s="2">
        <f>Comuni__2[[#This Row],[Popolazione2011]]/$D$7911</f>
        <v>8.3216828371240347E-5</v>
      </c>
      <c r="F3015">
        <f>SUMIFS($D$2:$D$7909, $B$2:$B$7909, "Lombardia")</f>
        <v>9704151</v>
      </c>
      <c r="G3015" s="1">
        <f>Comuni__2[[#This Row],[Popolazione2011]]/Comuni__2[[#This Row],[POPOLAZIONE TOTALE DI OGNI REGIONE (CON FILTRO)]]</f>
        <v>5.0957574753319481E-4</v>
      </c>
      <c r="H3015" t="str">
        <f>IF(Comuni__2[[#This Row],[Popolazione2011]]&gt;300000,"MAGGIORE","")</f>
        <v/>
      </c>
      <c r="J3015">
        <v>1</v>
      </c>
      <c r="K3015">
        <v>414</v>
      </c>
      <c r="L3015">
        <v>23</v>
      </c>
    </row>
    <row r="3016" spans="1:12" x14ac:dyDescent="0.2">
      <c r="A3016"/>
      <c r="B3016"/>
      <c r="C3016"/>
      <c r="D3016"/>
      <c r="E3016" s="2">
        <f>Comuni__2[[#This Row],[Popolazione2011]]/$D$7911</f>
        <v>8.3132685976527266E-5</v>
      </c>
      <c r="F3016">
        <f>SUMIFS($D$2:$D$7909, $B$2:$B$7909, "Lombardia")</f>
        <v>9704151</v>
      </c>
      <c r="G3016" s="1">
        <f>Comuni__2[[#This Row],[Popolazione2011]]/Comuni__2[[#This Row],[POPOLAZIONE TOTALE DI OGNI REGIONE (CON FILTRO)]]</f>
        <v>5.0906050410798429E-4</v>
      </c>
      <c r="H3016" t="str">
        <f>IF(Comuni__2[[#This Row],[Popolazione2011]]&gt;300000,"MAGGIORE","")</f>
        <v/>
      </c>
      <c r="J3016">
        <v>1</v>
      </c>
      <c r="K3016">
        <v>415</v>
      </c>
      <c r="L3016">
        <v>23</v>
      </c>
    </row>
    <row r="3017" spans="1:12" x14ac:dyDescent="0.2">
      <c r="A3017"/>
      <c r="B3017"/>
      <c r="C3017"/>
      <c r="D3017"/>
      <c r="E3017" s="2">
        <f>Comuni__2[[#This Row],[Popolazione2011]]/$D$7911</f>
        <v>8.303171510287157E-5</v>
      </c>
      <c r="F3017">
        <f>SUMIFS($D$2:$D$7909, $B$2:$B$7909, "Lombardia")</f>
        <v>9704151</v>
      </c>
      <c r="G3017" s="1">
        <f>Comuni__2[[#This Row],[Popolazione2011]]/Comuni__2[[#This Row],[POPOLAZIONE TOTALE DI OGNI REGIONE (CON FILTRO)]]</f>
        <v>5.0844221199773166E-4</v>
      </c>
      <c r="H3017" t="str">
        <f>IF(Comuni__2[[#This Row],[Popolazione2011]]&gt;300000,"MAGGIORE","")</f>
        <v/>
      </c>
      <c r="J3017">
        <v>1</v>
      </c>
      <c r="K3017">
        <v>415</v>
      </c>
      <c r="L3017">
        <v>23</v>
      </c>
    </row>
    <row r="3018" spans="1:12" x14ac:dyDescent="0.2">
      <c r="A3018"/>
      <c r="B3018"/>
      <c r="C3018"/>
      <c r="D3018"/>
      <c r="E3018" s="2">
        <f>Comuni__2[[#This Row],[Popolazione2011]]/$D$7911</f>
        <v>8.279611639767493E-5</v>
      </c>
      <c r="F3018">
        <f>SUMIFS($D$2:$D$7909, $B$2:$B$7909, "Lombardia")</f>
        <v>9704151</v>
      </c>
      <c r="G3018" s="1">
        <f>Comuni__2[[#This Row],[Popolazione2011]]/Comuni__2[[#This Row],[POPOLAZIONE TOTALE DI OGNI REGIONE (CON FILTRO)]]</f>
        <v>5.0699953040714231E-4</v>
      </c>
      <c r="H3018" t="str">
        <f>IF(Comuni__2[[#This Row],[Popolazione2011]]&gt;300000,"MAGGIORE","")</f>
        <v/>
      </c>
      <c r="J3018">
        <v>1</v>
      </c>
      <c r="K3018">
        <v>415</v>
      </c>
      <c r="L3018">
        <v>23</v>
      </c>
    </row>
    <row r="3019" spans="1:12" x14ac:dyDescent="0.2">
      <c r="A3019"/>
      <c r="B3019"/>
      <c r="C3019"/>
      <c r="D3019"/>
      <c r="E3019" s="2">
        <f>Comuni__2[[#This Row],[Popolazione2011]]/$D$7911</f>
        <v>8.271197400296185E-5</v>
      </c>
      <c r="F3019">
        <f>SUMIFS($D$2:$D$7909, $B$2:$B$7909, "Lombardia")</f>
        <v>9704151</v>
      </c>
      <c r="G3019" s="1">
        <f>Comuni__2[[#This Row],[Popolazione2011]]/Comuni__2[[#This Row],[POPOLAZIONE TOTALE DI OGNI REGIONE (CON FILTRO)]]</f>
        <v>5.0648428698193179E-4</v>
      </c>
      <c r="H3019" t="str">
        <f>IF(Comuni__2[[#This Row],[Popolazione2011]]&gt;300000,"MAGGIORE","")</f>
        <v/>
      </c>
      <c r="J3019">
        <v>1</v>
      </c>
      <c r="K3019">
        <v>415</v>
      </c>
      <c r="L3019">
        <v>23</v>
      </c>
    </row>
    <row r="3020" spans="1:12" x14ac:dyDescent="0.2">
      <c r="A3020"/>
      <c r="B3020"/>
      <c r="C3020"/>
      <c r="D3020"/>
      <c r="E3020" s="2">
        <f>Comuni__2[[#This Row],[Popolazione2011]]/$D$7911</f>
        <v>8.2493203776707827E-5</v>
      </c>
      <c r="F3020">
        <f>SUMIFS($D$2:$D$7909, $B$2:$B$7909, "Lombardia")</f>
        <v>9704151</v>
      </c>
      <c r="G3020" s="1">
        <f>Comuni__2[[#This Row],[Popolazione2011]]/Comuni__2[[#This Row],[POPOLAZIONE TOTALE DI OGNI REGIONE (CON FILTRO)]]</f>
        <v>5.0514465407638443E-4</v>
      </c>
      <c r="H3020" t="str">
        <f>IF(Comuni__2[[#This Row],[Popolazione2011]]&gt;300000,"MAGGIORE","")</f>
        <v/>
      </c>
      <c r="J3020">
        <v>1</v>
      </c>
      <c r="K3020">
        <v>415</v>
      </c>
      <c r="L3020">
        <v>23</v>
      </c>
    </row>
    <row r="3021" spans="1:12" x14ac:dyDescent="0.2">
      <c r="A3021"/>
      <c r="B3021"/>
      <c r="C3021"/>
      <c r="D3021"/>
      <c r="E3021" s="2">
        <f>Comuni__2[[#This Row],[Popolazione2011]]/$D$7911</f>
        <v>8.2442718339879978E-5</v>
      </c>
      <c r="F3021">
        <f>SUMIFS($D$2:$D$7909, $B$2:$B$7909, "Lombardia")</f>
        <v>9704151</v>
      </c>
      <c r="G3021" s="1">
        <f>Comuni__2[[#This Row],[Popolazione2011]]/Comuni__2[[#This Row],[POPOLAZIONE TOTALE DI OGNI REGIONE (CON FILTRO)]]</f>
        <v>5.0483550802125812E-4</v>
      </c>
      <c r="H3021" t="str">
        <f>IF(Comuni__2[[#This Row],[Popolazione2011]]&gt;300000,"MAGGIORE","")</f>
        <v/>
      </c>
      <c r="J3021">
        <v>1</v>
      </c>
      <c r="K3021">
        <v>416</v>
      </c>
      <c r="L3021">
        <v>23</v>
      </c>
    </row>
    <row r="3022" spans="1:12" x14ac:dyDescent="0.2">
      <c r="A3022"/>
      <c r="B3022"/>
      <c r="C3022"/>
      <c r="D3022"/>
      <c r="E3022" s="2">
        <f>Comuni__2[[#This Row],[Popolazione2011]]/$D$7911</f>
        <v>8.1937863971601467E-5</v>
      </c>
      <c r="F3022">
        <f>SUMIFS($D$2:$D$7909, $B$2:$B$7909, "Lombardia")</f>
        <v>9704151</v>
      </c>
      <c r="G3022" s="1">
        <f>Comuni__2[[#This Row],[Popolazione2011]]/Comuni__2[[#This Row],[POPOLAZIONE TOTALE DI OGNI REGIONE (CON FILTRO)]]</f>
        <v>5.017440474699951E-4</v>
      </c>
      <c r="H3022" t="str">
        <f>IF(Comuni__2[[#This Row],[Popolazione2011]]&gt;300000,"MAGGIORE","")</f>
        <v/>
      </c>
      <c r="J3022">
        <v>0</v>
      </c>
      <c r="K3022">
        <v>419</v>
      </c>
      <c r="L3022">
        <v>23</v>
      </c>
    </row>
    <row r="3023" spans="1:12" x14ac:dyDescent="0.2">
      <c r="A3023"/>
      <c r="B3023"/>
      <c r="C3023"/>
      <c r="D3023"/>
      <c r="E3023" s="2">
        <f>Comuni__2[[#This Row],[Popolazione2011]]/$D$7911</f>
        <v>8.1803236140060538E-5</v>
      </c>
      <c r="F3023">
        <f>SUMIFS($D$2:$D$7909, $B$2:$B$7909, "Lombardia")</f>
        <v>9704151</v>
      </c>
      <c r="G3023" s="1">
        <f>Comuni__2[[#This Row],[Popolazione2011]]/Comuni__2[[#This Row],[POPOLAZIONE TOTALE DI OGNI REGIONE (CON FILTRO)]]</f>
        <v>5.0091965798965826E-4</v>
      </c>
      <c r="H3023" t="str">
        <f>IF(Comuni__2[[#This Row],[Popolazione2011]]&gt;300000,"MAGGIORE","")</f>
        <v/>
      </c>
      <c r="J3023">
        <v>0</v>
      </c>
      <c r="K3023">
        <v>419</v>
      </c>
      <c r="L3023">
        <v>23</v>
      </c>
    </row>
    <row r="3024" spans="1:12" x14ac:dyDescent="0.2">
      <c r="A3024"/>
      <c r="B3024"/>
      <c r="C3024"/>
      <c r="D3024"/>
      <c r="E3024" s="2">
        <f>Comuni__2[[#This Row],[Popolazione2011]]/$D$7911</f>
        <v>8.1786407661117922E-5</v>
      </c>
      <c r="F3024">
        <f>SUMIFS($D$2:$D$7909, $B$2:$B$7909, "Lombardia")</f>
        <v>9704151</v>
      </c>
      <c r="G3024" s="1">
        <f>Comuni__2[[#This Row],[Popolazione2011]]/Comuni__2[[#This Row],[POPOLAZIONE TOTALE DI OGNI REGIONE (CON FILTRO)]]</f>
        <v>5.0081660930461616E-4</v>
      </c>
      <c r="H3024" t="str">
        <f>IF(Comuni__2[[#This Row],[Popolazione2011]]&gt;300000,"MAGGIORE","")</f>
        <v/>
      </c>
      <c r="J3024">
        <v>0</v>
      </c>
      <c r="K3024">
        <v>419</v>
      </c>
      <c r="L3024">
        <v>23</v>
      </c>
    </row>
    <row r="3025" spans="1:12" x14ac:dyDescent="0.2">
      <c r="A3025"/>
      <c r="B3025"/>
      <c r="C3025"/>
      <c r="D3025"/>
      <c r="E3025" s="2">
        <f>Comuni__2[[#This Row],[Popolazione2011]]/$D$7911</f>
        <v>8.1735922224290074E-5</v>
      </c>
      <c r="F3025">
        <f>SUMIFS($D$2:$D$7909, $B$2:$B$7909, "Lombardia")</f>
        <v>9704151</v>
      </c>
      <c r="G3025" s="1">
        <f>Comuni__2[[#This Row],[Popolazione2011]]/Comuni__2[[#This Row],[POPOLAZIONE TOTALE DI OGNI REGIONE (CON FILTRO)]]</f>
        <v>5.0050746324948985E-4</v>
      </c>
      <c r="H3025" t="str">
        <f>IF(Comuni__2[[#This Row],[Popolazione2011]]&gt;300000,"MAGGIORE","")</f>
        <v/>
      </c>
      <c r="J3025">
        <v>1</v>
      </c>
      <c r="K3025">
        <v>421</v>
      </c>
      <c r="L3025">
        <v>23</v>
      </c>
    </row>
    <row r="3026" spans="1:12" x14ac:dyDescent="0.2">
      <c r="A3026"/>
      <c r="B3026"/>
      <c r="C3026"/>
      <c r="D3026"/>
      <c r="E3026" s="2">
        <f>Comuni__2[[#This Row],[Popolazione2011]]/$D$7911</f>
        <v>8.1533980476978667E-5</v>
      </c>
      <c r="F3026">
        <f>SUMIFS($D$2:$D$7909, $B$2:$B$7909, "Lombardia")</f>
        <v>9704151</v>
      </c>
      <c r="G3026" s="1">
        <f>Comuni__2[[#This Row],[Popolazione2011]]/Comuni__2[[#This Row],[POPOLAZIONE TOTALE DI OGNI REGIONE (CON FILTRO)]]</f>
        <v>4.9927087902898459E-4</v>
      </c>
      <c r="H3026" t="str">
        <f>IF(Comuni__2[[#This Row],[Popolazione2011]]&gt;300000,"MAGGIORE","")</f>
        <v/>
      </c>
      <c r="J3026">
        <v>1</v>
      </c>
      <c r="K3026">
        <v>421</v>
      </c>
      <c r="L3026">
        <v>23</v>
      </c>
    </row>
    <row r="3027" spans="1:12" x14ac:dyDescent="0.2">
      <c r="A3027"/>
      <c r="B3027"/>
      <c r="C3027"/>
      <c r="D3027"/>
      <c r="E3027" s="2">
        <f>Comuni__2[[#This Row],[Popolazione2011]]/$D$7911</f>
        <v>8.1517151998036051E-5</v>
      </c>
      <c r="F3027">
        <f>SUMIFS($D$2:$D$7909, $B$2:$B$7909, "Lombardia")</f>
        <v>9704151</v>
      </c>
      <c r="G3027" s="1">
        <f>Comuni__2[[#This Row],[Popolazione2011]]/Comuni__2[[#This Row],[POPOLAZIONE TOTALE DI OGNI REGIONE (CON FILTRO)]]</f>
        <v>4.9916783034394249E-4</v>
      </c>
      <c r="H3027" t="str">
        <f>IF(Comuni__2[[#This Row],[Popolazione2011]]&gt;300000,"MAGGIORE","")</f>
        <v/>
      </c>
      <c r="J3027">
        <v>1</v>
      </c>
      <c r="K3027">
        <v>421</v>
      </c>
      <c r="L3027">
        <v>23</v>
      </c>
    </row>
    <row r="3028" spans="1:12" x14ac:dyDescent="0.2">
      <c r="A3028"/>
      <c r="B3028"/>
      <c r="C3028"/>
      <c r="D3028"/>
      <c r="E3028" s="2">
        <f>Comuni__2[[#This Row],[Popolazione2011]]/$D$7911</f>
        <v>8.1399352645437738E-5</v>
      </c>
      <c r="F3028">
        <f>SUMIFS($D$2:$D$7909, $B$2:$B$7909, "Lombardia")</f>
        <v>9704151</v>
      </c>
      <c r="G3028" s="1">
        <f>Comuni__2[[#This Row],[Popolazione2011]]/Comuni__2[[#This Row],[POPOLAZIONE TOTALE DI OGNI REGIONE (CON FILTRO)]]</f>
        <v>4.9844648954864776E-4</v>
      </c>
      <c r="H3028" t="str">
        <f>IF(Comuni__2[[#This Row],[Popolazione2011]]&gt;300000,"MAGGIORE","")</f>
        <v/>
      </c>
      <c r="J3028">
        <v>1</v>
      </c>
      <c r="K3028">
        <v>421</v>
      </c>
      <c r="L3028">
        <v>23</v>
      </c>
    </row>
    <row r="3029" spans="1:12" x14ac:dyDescent="0.2">
      <c r="A3029"/>
      <c r="B3029"/>
      <c r="C3029"/>
      <c r="D3029"/>
      <c r="E3029" s="2">
        <f>Comuni__2[[#This Row],[Popolazione2011]]/$D$7911</f>
        <v>8.1348867208609876E-5</v>
      </c>
      <c r="F3029">
        <f>SUMIFS($D$2:$D$7909, $B$2:$B$7909, "Lombardia")</f>
        <v>9704151</v>
      </c>
      <c r="G3029" s="1">
        <f>Comuni__2[[#This Row],[Popolazione2011]]/Comuni__2[[#This Row],[POPOLAZIONE TOTALE DI OGNI REGIONE (CON FILTRO)]]</f>
        <v>4.9813734349352145E-4</v>
      </c>
      <c r="H3029" t="str">
        <f>IF(Comuni__2[[#This Row],[Popolazione2011]]&gt;300000,"MAGGIORE","")</f>
        <v/>
      </c>
      <c r="J3029">
        <v>1</v>
      </c>
      <c r="K3029">
        <v>421</v>
      </c>
      <c r="L3029">
        <v>23</v>
      </c>
    </row>
    <row r="3030" spans="1:12" x14ac:dyDescent="0.2">
      <c r="A3030"/>
      <c r="B3030"/>
      <c r="C3030"/>
      <c r="D3030"/>
      <c r="E3030" s="2">
        <f>Comuni__2[[#This Row],[Popolazione2011]]/$D$7911</f>
        <v>8.1079611545528004E-5</v>
      </c>
      <c r="F3030">
        <f>SUMIFS($D$2:$D$7909, $B$2:$B$7909, "Lombardia")</f>
        <v>9704151</v>
      </c>
      <c r="G3030" s="1">
        <f>Comuni__2[[#This Row],[Popolazione2011]]/Comuni__2[[#This Row],[POPOLAZIONE TOTALE DI OGNI REGIONE (CON FILTRO)]]</f>
        <v>4.9648856453284789E-4</v>
      </c>
      <c r="H3030" t="str">
        <f>IF(Comuni__2[[#This Row],[Popolazione2011]]&gt;300000,"MAGGIORE","")</f>
        <v/>
      </c>
      <c r="J3030">
        <v>1</v>
      </c>
      <c r="K3030">
        <v>421</v>
      </c>
      <c r="L3030">
        <v>23</v>
      </c>
    </row>
    <row r="3031" spans="1:12" x14ac:dyDescent="0.2">
      <c r="A3031"/>
      <c r="B3031"/>
      <c r="C3031"/>
      <c r="D3031"/>
      <c r="E3031" s="2">
        <f>Comuni__2[[#This Row],[Popolazione2011]]/$D$7911</f>
        <v>8.0894498277159227E-5</v>
      </c>
      <c r="F3031">
        <f>SUMIFS($D$2:$D$7909, $B$2:$B$7909, "Lombardia")</f>
        <v>9704151</v>
      </c>
      <c r="G3031" s="1">
        <f>Comuni__2[[#This Row],[Popolazione2011]]/Comuni__2[[#This Row],[POPOLAZIONE TOTALE DI OGNI REGIONE (CON FILTRO)]]</f>
        <v>4.9535502899738474E-4</v>
      </c>
      <c r="H3031" t="str">
        <f>IF(Comuni__2[[#This Row],[Popolazione2011]]&gt;300000,"MAGGIORE","")</f>
        <v/>
      </c>
      <c r="J3031">
        <v>1</v>
      </c>
      <c r="K3031">
        <v>421</v>
      </c>
      <c r="L3031">
        <v>23</v>
      </c>
    </row>
    <row r="3032" spans="1:12" x14ac:dyDescent="0.2">
      <c r="A3032"/>
      <c r="B3032"/>
      <c r="C3032"/>
      <c r="D3032"/>
      <c r="E3032" s="2">
        <f>Comuni__2[[#This Row],[Popolazione2011]]/$D$7911</f>
        <v>8.079352740350353E-5</v>
      </c>
      <c r="F3032">
        <f>SUMIFS($D$2:$D$7909, $B$2:$B$7909, "Lombardia")</f>
        <v>9704151</v>
      </c>
      <c r="G3032" s="1">
        <f>Comuni__2[[#This Row],[Popolazione2011]]/Comuni__2[[#This Row],[POPOLAZIONE TOTALE DI OGNI REGIONE (CON FILTRO)]]</f>
        <v>4.9473673688713211E-4</v>
      </c>
      <c r="H3032" t="str">
        <f>IF(Comuni__2[[#This Row],[Popolazione2011]]&gt;300000,"MAGGIORE","")</f>
        <v/>
      </c>
      <c r="J3032">
        <v>1</v>
      </c>
      <c r="K3032">
        <v>421</v>
      </c>
      <c r="L3032">
        <v>23</v>
      </c>
    </row>
    <row r="3033" spans="1:12" x14ac:dyDescent="0.2">
      <c r="A3033"/>
      <c r="B3033"/>
      <c r="C3033"/>
      <c r="D3033"/>
      <c r="E3033" s="2">
        <f>Comuni__2[[#This Row],[Popolazione2011]]/$D$7911</f>
        <v>8.0574757177249507E-5</v>
      </c>
      <c r="F3033">
        <f>SUMIFS($D$2:$D$7909, $B$2:$B$7909, "Lombardia")</f>
        <v>9704151</v>
      </c>
      <c r="G3033" s="1">
        <f>Comuni__2[[#This Row],[Popolazione2011]]/Comuni__2[[#This Row],[POPOLAZIONE TOTALE DI OGNI REGIONE (CON FILTRO)]]</f>
        <v>4.9339710398158476E-4</v>
      </c>
      <c r="H3033" t="str">
        <f>IF(Comuni__2[[#This Row],[Popolazione2011]]&gt;300000,"MAGGIORE","")</f>
        <v/>
      </c>
      <c r="J3033">
        <v>1</v>
      </c>
      <c r="K3033">
        <v>421</v>
      </c>
      <c r="L3033">
        <v>23</v>
      </c>
    </row>
    <row r="3034" spans="1:12" x14ac:dyDescent="0.2">
      <c r="A3034"/>
      <c r="B3034"/>
      <c r="C3034"/>
      <c r="D3034"/>
      <c r="E3034" s="2">
        <f>Comuni__2[[#This Row],[Popolazione2011]]/$D$7911</f>
        <v>8.0557928698306891E-5</v>
      </c>
      <c r="F3034">
        <f>SUMIFS($D$2:$D$7909, $B$2:$B$7909, "Lombardia")</f>
        <v>9704151</v>
      </c>
      <c r="G3034" s="1">
        <f>Comuni__2[[#This Row],[Popolazione2011]]/Comuni__2[[#This Row],[POPOLAZIONE TOTALE DI OGNI REGIONE (CON FILTRO)]]</f>
        <v>4.9329405529654265E-4</v>
      </c>
      <c r="H3034" t="str">
        <f>IF(Comuni__2[[#This Row],[Popolazione2011]]&gt;300000,"MAGGIORE","")</f>
        <v/>
      </c>
      <c r="J3034">
        <v>1</v>
      </c>
      <c r="K3034">
        <v>421</v>
      </c>
      <c r="L3034">
        <v>23</v>
      </c>
    </row>
    <row r="3035" spans="1:12" x14ac:dyDescent="0.2">
      <c r="A3035"/>
      <c r="B3035"/>
      <c r="C3035"/>
      <c r="D3035"/>
      <c r="E3035" s="2">
        <f>Comuni__2[[#This Row],[Popolazione2011]]/$D$7911</f>
        <v>8.03728154299381E-5</v>
      </c>
      <c r="F3035">
        <f>SUMIFS($D$2:$D$7909, $B$2:$B$7909, "Lombardia")</f>
        <v>9704151</v>
      </c>
      <c r="G3035" s="1">
        <f>Comuni__2[[#This Row],[Popolazione2011]]/Comuni__2[[#This Row],[POPOLAZIONE TOTALE DI OGNI REGIONE (CON FILTRO)]]</f>
        <v>4.9216051976107961E-4</v>
      </c>
      <c r="H3035" t="str">
        <f>IF(Comuni__2[[#This Row],[Popolazione2011]]&gt;300000,"MAGGIORE","")</f>
        <v/>
      </c>
      <c r="J3035">
        <v>1</v>
      </c>
      <c r="K3035">
        <v>421</v>
      </c>
      <c r="L3035">
        <v>23</v>
      </c>
    </row>
    <row r="3036" spans="1:12" x14ac:dyDescent="0.2">
      <c r="A3036"/>
      <c r="B3036"/>
      <c r="C3036"/>
      <c r="D3036"/>
      <c r="E3036" s="2">
        <f>Comuni__2[[#This Row],[Popolazione2011]]/$D$7911</f>
        <v>8.0355986950995484E-5</v>
      </c>
      <c r="F3036">
        <f>SUMIFS($D$2:$D$7909, $B$2:$B$7909, "Lombardia")</f>
        <v>9704151</v>
      </c>
      <c r="G3036" s="1">
        <f>Comuni__2[[#This Row],[Popolazione2011]]/Comuni__2[[#This Row],[POPOLAZIONE TOTALE DI OGNI REGIONE (CON FILTRO)]]</f>
        <v>4.9205747107603751E-4</v>
      </c>
      <c r="H3036" t="str">
        <f>IF(Comuni__2[[#This Row],[Popolazione2011]]&gt;300000,"MAGGIORE","")</f>
        <v/>
      </c>
      <c r="J3036">
        <v>1</v>
      </c>
      <c r="K3036">
        <v>421</v>
      </c>
      <c r="L3036">
        <v>23</v>
      </c>
    </row>
    <row r="3037" spans="1:12" x14ac:dyDescent="0.2">
      <c r="A3037"/>
      <c r="B3037"/>
      <c r="C3037"/>
      <c r="D3037"/>
      <c r="E3037" s="2">
        <f>Comuni__2[[#This Row],[Popolazione2011]]/$D$7911</f>
        <v>8.0238187598397171E-5</v>
      </c>
      <c r="F3037">
        <f>SUMIFS($D$2:$D$7909, $B$2:$B$7909, "Lombardia")</f>
        <v>9704151</v>
      </c>
      <c r="G3037" s="1">
        <f>Comuni__2[[#This Row],[Popolazione2011]]/Comuni__2[[#This Row],[POPOLAZIONE TOTALE DI OGNI REGIONE (CON FILTRO)]]</f>
        <v>4.9133613028074278E-4</v>
      </c>
      <c r="H3037" t="str">
        <f>IF(Comuni__2[[#This Row],[Popolazione2011]]&gt;300000,"MAGGIORE","")</f>
        <v/>
      </c>
      <c r="J3037">
        <v>1</v>
      </c>
      <c r="K3037">
        <v>421</v>
      </c>
      <c r="L3037">
        <v>23</v>
      </c>
    </row>
    <row r="3038" spans="1:12" x14ac:dyDescent="0.2">
      <c r="A3038"/>
      <c r="B3038"/>
      <c r="C3038"/>
      <c r="D3038"/>
      <c r="E3038" s="2">
        <f>Comuni__2[[#This Row],[Popolazione2011]]/$D$7911</f>
        <v>8.0221359119454555E-5</v>
      </c>
      <c r="F3038">
        <f>SUMIFS($D$2:$D$7909, $B$2:$B$7909, "Lombardia")</f>
        <v>9704151</v>
      </c>
      <c r="G3038" s="1">
        <f>Comuni__2[[#This Row],[Popolazione2011]]/Comuni__2[[#This Row],[POPOLAZIONE TOTALE DI OGNI REGIONE (CON FILTRO)]]</f>
        <v>4.9123308159570067E-4</v>
      </c>
      <c r="H3038" t="str">
        <f>IF(Comuni__2[[#This Row],[Popolazione2011]]&gt;300000,"MAGGIORE","")</f>
        <v/>
      </c>
      <c r="J3038">
        <v>1</v>
      </c>
      <c r="K3038">
        <v>421</v>
      </c>
      <c r="L3038">
        <v>23</v>
      </c>
    </row>
    <row r="3039" spans="1:12" x14ac:dyDescent="0.2">
      <c r="A3039"/>
      <c r="B3039"/>
      <c r="C3039"/>
      <c r="D3039"/>
      <c r="E3039" s="2">
        <f>Comuni__2[[#This Row],[Popolazione2011]]/$D$7911</f>
        <v>8.0036245851085764E-5</v>
      </c>
      <c r="F3039">
        <f>SUMIFS($D$2:$D$7909, $B$2:$B$7909, "Lombardia")</f>
        <v>9704151</v>
      </c>
      <c r="G3039" s="1">
        <f>Comuni__2[[#This Row],[Popolazione2011]]/Comuni__2[[#This Row],[POPOLAZIONE TOTALE DI OGNI REGIONE (CON FILTRO)]]</f>
        <v>4.9009954606023753E-4</v>
      </c>
      <c r="H3039" t="str">
        <f>IF(Comuni__2[[#This Row],[Popolazione2011]]&gt;300000,"MAGGIORE","")</f>
        <v/>
      </c>
      <c r="J3039">
        <v>1</v>
      </c>
      <c r="K3039">
        <v>421</v>
      </c>
      <c r="L3039">
        <v>23</v>
      </c>
    </row>
    <row r="3040" spans="1:12" x14ac:dyDescent="0.2">
      <c r="A3040"/>
      <c r="B3040"/>
      <c r="C3040"/>
      <c r="D3040"/>
      <c r="E3040" s="2">
        <f>Comuni__2[[#This Row],[Popolazione2011]]/$D$7911</f>
        <v>7.9952103456372683E-5</v>
      </c>
      <c r="F3040">
        <f>SUMIFS($D$2:$D$7909, $B$2:$B$7909, "Lombardia")</f>
        <v>9704151</v>
      </c>
      <c r="G3040" s="1">
        <f>Comuni__2[[#This Row],[Popolazione2011]]/Comuni__2[[#This Row],[POPOLAZIONE TOTALE DI OGNI REGIONE (CON FILTRO)]]</f>
        <v>4.89584302635027E-4</v>
      </c>
      <c r="H3040" t="str">
        <f>IF(Comuni__2[[#This Row],[Popolazione2011]]&gt;300000,"MAGGIORE","")</f>
        <v/>
      </c>
      <c r="J3040">
        <v>1</v>
      </c>
      <c r="K3040">
        <v>423</v>
      </c>
      <c r="L3040">
        <v>23</v>
      </c>
    </row>
    <row r="3041" spans="1:12" x14ac:dyDescent="0.2">
      <c r="A3041"/>
      <c r="B3041"/>
      <c r="C3041"/>
      <c r="D3041"/>
      <c r="E3041" s="2">
        <f>Comuni__2[[#This Row],[Popolazione2011]]/$D$7911</f>
        <v>7.9952103456372683E-5</v>
      </c>
      <c r="F3041">
        <f>SUMIFS($D$2:$D$7909, $B$2:$B$7909, "Lombardia")</f>
        <v>9704151</v>
      </c>
      <c r="G3041" s="1">
        <f>Comuni__2[[#This Row],[Popolazione2011]]/Comuni__2[[#This Row],[POPOLAZIONE TOTALE DI OGNI REGIONE (CON FILTRO)]]</f>
        <v>4.89584302635027E-4</v>
      </c>
      <c r="H3041" t="str">
        <f>IF(Comuni__2[[#This Row],[Popolazione2011]]&gt;300000,"MAGGIORE","")</f>
        <v/>
      </c>
      <c r="J3041">
        <v>1</v>
      </c>
      <c r="K3041">
        <v>423</v>
      </c>
      <c r="L3041">
        <v>23</v>
      </c>
    </row>
    <row r="3042" spans="1:12" x14ac:dyDescent="0.2">
      <c r="A3042"/>
      <c r="B3042"/>
      <c r="C3042"/>
      <c r="D3042"/>
      <c r="E3042" s="2">
        <f>Comuni__2[[#This Row],[Popolazione2011]]/$D$7911</f>
        <v>7.9682847793290812E-5</v>
      </c>
      <c r="F3042">
        <f>SUMIFS($D$2:$D$7909, $B$2:$B$7909, "Lombardia")</f>
        <v>9704151</v>
      </c>
      <c r="G3042" s="1">
        <f>Comuni__2[[#This Row],[Popolazione2011]]/Comuni__2[[#This Row],[POPOLAZIONE TOTALE DI OGNI REGIONE (CON FILTRO)]]</f>
        <v>4.8793552367435339E-4</v>
      </c>
      <c r="H3042" t="str">
        <f>IF(Comuni__2[[#This Row],[Popolazione2011]]&gt;300000,"MAGGIORE","")</f>
        <v/>
      </c>
      <c r="J3042">
        <v>0</v>
      </c>
      <c r="K3042">
        <v>427</v>
      </c>
      <c r="L3042">
        <v>23</v>
      </c>
    </row>
    <row r="3043" spans="1:12" x14ac:dyDescent="0.2">
      <c r="A3043"/>
      <c r="B3043"/>
      <c r="C3043"/>
      <c r="D3043"/>
      <c r="E3043" s="2">
        <f>Comuni__2[[#This Row],[Popolazione2011]]/$D$7911</f>
        <v>7.9615533877520347E-5</v>
      </c>
      <c r="F3043">
        <f>SUMIFS($D$2:$D$7909, $B$2:$B$7909, "Lombardia")</f>
        <v>9704151</v>
      </c>
      <c r="G3043" s="1">
        <f>Comuni__2[[#This Row],[Popolazione2011]]/Comuni__2[[#This Row],[POPOLAZIONE TOTALE DI OGNI REGIONE (CON FILTRO)]]</f>
        <v>4.8752332893418497E-4</v>
      </c>
      <c r="H3043" t="str">
        <f>IF(Comuni__2[[#This Row],[Popolazione2011]]&gt;300000,"MAGGIORE","")</f>
        <v/>
      </c>
      <c r="J3043">
        <v>0</v>
      </c>
      <c r="K3043">
        <v>427</v>
      </c>
      <c r="L3043">
        <v>23</v>
      </c>
    </row>
    <row r="3044" spans="1:12" x14ac:dyDescent="0.2">
      <c r="A3044"/>
      <c r="B3044"/>
      <c r="C3044"/>
      <c r="D3044"/>
      <c r="E3044" s="2">
        <f>Comuni__2[[#This Row],[Popolazione2011]]/$D$7911</f>
        <v>7.9127507988184452E-5</v>
      </c>
      <c r="F3044">
        <f>SUMIFS($D$2:$D$7909, $B$2:$B$7909, "Lombardia")</f>
        <v>9704151</v>
      </c>
      <c r="G3044" s="1">
        <f>Comuni__2[[#This Row],[Popolazione2011]]/Comuni__2[[#This Row],[POPOLAZIONE TOTALE DI OGNI REGIONE (CON FILTRO)]]</f>
        <v>4.84534917067964E-4</v>
      </c>
      <c r="H3044" t="str">
        <f>IF(Comuni__2[[#This Row],[Popolazione2011]]&gt;300000,"MAGGIORE","")</f>
        <v/>
      </c>
      <c r="J3044">
        <v>0</v>
      </c>
      <c r="K3044">
        <v>427</v>
      </c>
      <c r="L3044">
        <v>23</v>
      </c>
    </row>
    <row r="3045" spans="1:12" x14ac:dyDescent="0.2">
      <c r="A3045"/>
      <c r="B3045"/>
      <c r="C3045"/>
      <c r="D3045"/>
      <c r="E3045" s="2">
        <f>Comuni__2[[#This Row],[Popolazione2011]]/$D$7911</f>
        <v>7.9060194072413988E-5</v>
      </c>
      <c r="F3045">
        <f>SUMIFS($D$2:$D$7909, $B$2:$B$7909, "Lombardia")</f>
        <v>9704151</v>
      </c>
      <c r="G3045" s="1">
        <f>Comuni__2[[#This Row],[Popolazione2011]]/Comuni__2[[#This Row],[POPOLAZIONE TOTALE DI OGNI REGIONE (CON FILTRO)]]</f>
        <v>4.8412272232779558E-4</v>
      </c>
      <c r="H3045" t="str">
        <f>IF(Comuni__2[[#This Row],[Popolazione2011]]&gt;300000,"MAGGIORE","")</f>
        <v/>
      </c>
      <c r="J3045">
        <v>0</v>
      </c>
      <c r="K3045">
        <v>429</v>
      </c>
      <c r="L3045">
        <v>23</v>
      </c>
    </row>
    <row r="3046" spans="1:12" x14ac:dyDescent="0.2">
      <c r="A3046"/>
      <c r="B3046"/>
      <c r="C3046"/>
      <c r="D3046"/>
      <c r="E3046" s="2">
        <f>Comuni__2[[#This Row],[Popolazione2011]]/$D$7911</f>
        <v>7.9043365593471372E-5</v>
      </c>
      <c r="F3046">
        <f>SUMIFS($D$2:$D$7909, $B$2:$B$7909, "Lombardia")</f>
        <v>9704151</v>
      </c>
      <c r="G3046" s="1">
        <f>Comuni__2[[#This Row],[Popolazione2011]]/Comuni__2[[#This Row],[POPOLAZIONE TOTALE DI OGNI REGIONE (CON FILTRO)]]</f>
        <v>4.8401967364275348E-4</v>
      </c>
      <c r="H3046" t="str">
        <f>IF(Comuni__2[[#This Row],[Popolazione2011]]&gt;300000,"MAGGIORE","")</f>
        <v/>
      </c>
      <c r="J3046">
        <v>0</v>
      </c>
      <c r="K3046">
        <v>429</v>
      </c>
      <c r="L3046">
        <v>23</v>
      </c>
    </row>
    <row r="3047" spans="1:12" x14ac:dyDescent="0.2">
      <c r="A3047"/>
      <c r="B3047"/>
      <c r="C3047"/>
      <c r="D3047"/>
      <c r="E3047" s="2">
        <f>Comuni__2[[#This Row],[Popolazione2011]]/$D$7911</f>
        <v>7.8858252325102581E-5</v>
      </c>
      <c r="F3047">
        <f>SUMIFS($D$2:$D$7909, $B$2:$B$7909, "Lombardia")</f>
        <v>9704151</v>
      </c>
      <c r="G3047" s="1">
        <f>Comuni__2[[#This Row],[Popolazione2011]]/Comuni__2[[#This Row],[POPOLAZIONE TOTALE DI OGNI REGIONE (CON FILTRO)]]</f>
        <v>4.8288613810729039E-4</v>
      </c>
      <c r="H3047" t="str">
        <f>IF(Comuni__2[[#This Row],[Popolazione2011]]&gt;300000,"MAGGIORE","")</f>
        <v/>
      </c>
      <c r="J3047">
        <v>0</v>
      </c>
      <c r="K3047">
        <v>429</v>
      </c>
      <c r="L3047">
        <v>23</v>
      </c>
    </row>
    <row r="3048" spans="1:12" x14ac:dyDescent="0.2">
      <c r="A3048"/>
      <c r="B3048"/>
      <c r="C3048"/>
      <c r="D3048"/>
      <c r="E3048" s="2">
        <f>Comuni__2[[#This Row],[Popolazione2011]]/$D$7911</f>
        <v>7.8740452972504268E-5</v>
      </c>
      <c r="F3048">
        <f>SUMIFS($D$2:$D$7909, $B$2:$B$7909, "Lombardia")</f>
        <v>9704151</v>
      </c>
      <c r="G3048" s="1">
        <f>Comuni__2[[#This Row],[Popolazione2011]]/Comuni__2[[#This Row],[POPOLAZIONE TOTALE DI OGNI REGIONE (CON FILTRO)]]</f>
        <v>4.8216479731199566E-4</v>
      </c>
      <c r="H3048" t="str">
        <f>IF(Comuni__2[[#This Row],[Popolazione2011]]&gt;300000,"MAGGIORE","")</f>
        <v/>
      </c>
      <c r="J3048">
        <v>0</v>
      </c>
      <c r="K3048">
        <v>429</v>
      </c>
      <c r="L3048">
        <v>23</v>
      </c>
    </row>
    <row r="3049" spans="1:12" x14ac:dyDescent="0.2">
      <c r="A3049"/>
      <c r="B3049"/>
      <c r="C3049"/>
      <c r="D3049"/>
      <c r="E3049" s="2">
        <f>Comuni__2[[#This Row],[Popolazione2011]]/$D$7911</f>
        <v>7.8689967535676419E-5</v>
      </c>
      <c r="F3049">
        <f>SUMIFS($D$2:$D$7909, $B$2:$B$7909, "Lombardia")</f>
        <v>9704151</v>
      </c>
      <c r="G3049" s="1">
        <f>Comuni__2[[#This Row],[Popolazione2011]]/Comuni__2[[#This Row],[POPOLAZIONE TOTALE DI OGNI REGIONE (CON FILTRO)]]</f>
        <v>4.8185565125686934E-4</v>
      </c>
      <c r="H3049" t="str">
        <f>IF(Comuni__2[[#This Row],[Popolazione2011]]&gt;300000,"MAGGIORE","")</f>
        <v/>
      </c>
      <c r="J3049">
        <v>0</v>
      </c>
      <c r="K3049">
        <v>429</v>
      </c>
      <c r="L3049">
        <v>23</v>
      </c>
    </row>
    <row r="3050" spans="1:12" x14ac:dyDescent="0.2">
      <c r="A3050"/>
      <c r="B3050"/>
      <c r="C3050"/>
      <c r="D3050"/>
      <c r="E3050" s="2">
        <f>Comuni__2[[#This Row],[Popolazione2011]]/$D$7911</f>
        <v>7.8605825140963339E-5</v>
      </c>
      <c r="F3050">
        <f>SUMIFS($D$2:$D$7909, $B$2:$B$7909, "Lombardia")</f>
        <v>9704151</v>
      </c>
      <c r="G3050" s="1">
        <f>Comuni__2[[#This Row],[Popolazione2011]]/Comuni__2[[#This Row],[POPOLAZIONE TOTALE DI OGNI REGIONE (CON FILTRO)]]</f>
        <v>4.8134040783165882E-4</v>
      </c>
      <c r="H3050" t="str">
        <f>IF(Comuni__2[[#This Row],[Popolazione2011]]&gt;300000,"MAGGIORE","")</f>
        <v/>
      </c>
      <c r="J3050">
        <v>1</v>
      </c>
      <c r="K3050">
        <v>429</v>
      </c>
      <c r="L3050">
        <v>23</v>
      </c>
    </row>
    <row r="3051" spans="1:12" x14ac:dyDescent="0.2">
      <c r="A3051"/>
      <c r="B3051"/>
      <c r="C3051"/>
      <c r="D3051"/>
      <c r="E3051" s="2">
        <f>Comuni__2[[#This Row],[Popolazione2011]]/$D$7911</f>
        <v>7.8521682746250245E-5</v>
      </c>
      <c r="F3051">
        <f>SUMIFS($D$2:$D$7909, $B$2:$B$7909, "Lombardia")</f>
        <v>9704151</v>
      </c>
      <c r="G3051" s="1">
        <f>Comuni__2[[#This Row],[Popolazione2011]]/Comuni__2[[#This Row],[POPOLAZIONE TOTALE DI OGNI REGIONE (CON FILTRO)]]</f>
        <v>4.8082516440644835E-4</v>
      </c>
      <c r="H3051" t="str">
        <f>IF(Comuni__2[[#This Row],[Popolazione2011]]&gt;300000,"MAGGIORE","")</f>
        <v/>
      </c>
      <c r="J3051">
        <v>1</v>
      </c>
      <c r="K3051">
        <v>430</v>
      </c>
      <c r="L3051">
        <v>23</v>
      </c>
    </row>
    <row r="3052" spans="1:12" x14ac:dyDescent="0.2">
      <c r="A3052"/>
      <c r="B3052"/>
      <c r="C3052"/>
      <c r="D3052"/>
      <c r="E3052" s="2">
        <f>Comuni__2[[#This Row],[Popolazione2011]]/$D$7911</f>
        <v>7.8437540351537164E-5</v>
      </c>
      <c r="F3052">
        <f>SUMIFS($D$2:$D$7909, $B$2:$B$7909, "Lombardia")</f>
        <v>9704151</v>
      </c>
      <c r="G3052" s="1">
        <f>Comuni__2[[#This Row],[Popolazione2011]]/Comuni__2[[#This Row],[POPOLAZIONE TOTALE DI OGNI REGIONE (CON FILTRO)]]</f>
        <v>4.8030992098123783E-4</v>
      </c>
      <c r="H3052" t="str">
        <f>IF(Comuni__2[[#This Row],[Popolazione2011]]&gt;300000,"MAGGIORE","")</f>
        <v/>
      </c>
      <c r="J3052">
        <v>1</v>
      </c>
      <c r="K3052">
        <v>430</v>
      </c>
      <c r="L3052">
        <v>23</v>
      </c>
    </row>
    <row r="3053" spans="1:12" x14ac:dyDescent="0.2">
      <c r="A3053"/>
      <c r="B3053"/>
      <c r="C3053"/>
      <c r="D3053"/>
      <c r="E3053" s="2">
        <f>Comuni__2[[#This Row],[Popolazione2011]]/$D$7911</f>
        <v>7.8319740998938851E-5</v>
      </c>
      <c r="F3053">
        <f>SUMIFS($D$2:$D$7909, $B$2:$B$7909, "Lombardia")</f>
        <v>9704151</v>
      </c>
      <c r="G3053" s="1">
        <f>Comuni__2[[#This Row],[Popolazione2011]]/Comuni__2[[#This Row],[POPOLAZIONE TOTALE DI OGNI REGIONE (CON FILTRO)]]</f>
        <v>4.795885801859431E-4</v>
      </c>
      <c r="H3053" t="str">
        <f>IF(Comuni__2[[#This Row],[Popolazione2011]]&gt;300000,"MAGGIORE","")</f>
        <v/>
      </c>
      <c r="J3053">
        <v>1</v>
      </c>
      <c r="K3053">
        <v>430</v>
      </c>
      <c r="L3053">
        <v>23</v>
      </c>
    </row>
    <row r="3054" spans="1:12" x14ac:dyDescent="0.2">
      <c r="A3054"/>
      <c r="B3054"/>
      <c r="C3054"/>
      <c r="D3054"/>
      <c r="E3054" s="2">
        <f>Comuni__2[[#This Row],[Popolazione2011]]/$D$7911</f>
        <v>7.8151456209512676E-5</v>
      </c>
      <c r="F3054">
        <f>SUMIFS($D$2:$D$7909, $B$2:$B$7909, "Lombardia")</f>
        <v>9704151</v>
      </c>
      <c r="G3054" s="1">
        <f>Comuni__2[[#This Row],[Popolazione2011]]/Comuni__2[[#This Row],[POPOLAZIONE TOTALE DI OGNI REGIONE (CON FILTRO)]]</f>
        <v>4.7855809333552211E-4</v>
      </c>
      <c r="H3054" t="str">
        <f>IF(Comuni__2[[#This Row],[Popolazione2011]]&gt;300000,"MAGGIORE","")</f>
        <v/>
      </c>
      <c r="J3054">
        <v>2</v>
      </c>
      <c r="K3054">
        <v>432</v>
      </c>
      <c r="L3054">
        <v>23</v>
      </c>
    </row>
    <row r="3055" spans="1:12" x14ac:dyDescent="0.2">
      <c r="A3055"/>
      <c r="B3055"/>
      <c r="C3055"/>
      <c r="D3055"/>
      <c r="E3055" s="2">
        <f>Comuni__2[[#This Row],[Popolazione2011]]/$D$7911</f>
        <v>7.8016828377971747E-5</v>
      </c>
      <c r="F3055">
        <f>SUMIFS($D$2:$D$7909, $B$2:$B$7909, "Lombardia")</f>
        <v>9704151</v>
      </c>
      <c r="G3055" s="1">
        <f>Comuni__2[[#This Row],[Popolazione2011]]/Comuni__2[[#This Row],[POPOLAZIONE TOTALE DI OGNI REGIONE (CON FILTRO)]]</f>
        <v>4.7773370385518528E-4</v>
      </c>
      <c r="H3055" t="str">
        <f>IF(Comuni__2[[#This Row],[Popolazione2011]]&gt;300000,"MAGGIORE","")</f>
        <v/>
      </c>
      <c r="J3055">
        <v>2</v>
      </c>
      <c r="K3055">
        <v>432</v>
      </c>
      <c r="L3055">
        <v>23</v>
      </c>
    </row>
    <row r="3056" spans="1:12" x14ac:dyDescent="0.2">
      <c r="A3056"/>
      <c r="B3056"/>
      <c r="C3056"/>
      <c r="D3056"/>
      <c r="E3056" s="2">
        <f>Comuni__2[[#This Row],[Popolazione2011]]/$D$7911</f>
        <v>7.7764401193832492E-5</v>
      </c>
      <c r="F3056">
        <f>SUMIFS($D$2:$D$7909, $B$2:$B$7909, "Lombardia")</f>
        <v>9704151</v>
      </c>
      <c r="G3056" s="1">
        <f>Comuni__2[[#This Row],[Popolazione2011]]/Comuni__2[[#This Row],[POPOLAZIONE TOTALE DI OGNI REGIONE (CON FILTRO)]]</f>
        <v>4.7618797357955371E-4</v>
      </c>
      <c r="H3056" t="str">
        <f>IF(Comuni__2[[#This Row],[Popolazione2011]]&gt;300000,"MAGGIORE","")</f>
        <v/>
      </c>
      <c r="J3056">
        <v>3</v>
      </c>
      <c r="K3056">
        <v>432</v>
      </c>
      <c r="L3056">
        <v>23</v>
      </c>
    </row>
    <row r="3057" spans="1:12" x14ac:dyDescent="0.2">
      <c r="A3057"/>
      <c r="B3057"/>
      <c r="C3057"/>
      <c r="D3057"/>
      <c r="E3057" s="2">
        <f>Comuni__2[[#This Row],[Popolazione2011]]/$D$7911</f>
        <v>7.773074423594726E-5</v>
      </c>
      <c r="F3057">
        <f>SUMIFS($D$2:$D$7909, $B$2:$B$7909, "Lombardia")</f>
        <v>9704151</v>
      </c>
      <c r="G3057" s="1">
        <f>Comuni__2[[#This Row],[Popolazione2011]]/Comuni__2[[#This Row],[POPOLAZIONE TOTALE DI OGNI REGIONE (CON FILTRO)]]</f>
        <v>4.7598187620946956E-4</v>
      </c>
      <c r="H3057" t="str">
        <f>IF(Comuni__2[[#This Row],[Popolazione2011]]&gt;300000,"MAGGIORE","")</f>
        <v/>
      </c>
      <c r="J3057">
        <v>3</v>
      </c>
      <c r="K3057">
        <v>432</v>
      </c>
      <c r="L3057">
        <v>23</v>
      </c>
    </row>
    <row r="3058" spans="1:12" x14ac:dyDescent="0.2">
      <c r="A3058"/>
      <c r="B3058"/>
      <c r="C3058"/>
      <c r="D3058"/>
      <c r="E3058" s="2">
        <f>Comuni__2[[#This Row],[Popolazione2011]]/$D$7911</f>
        <v>7.7427831614980156E-5</v>
      </c>
      <c r="F3058">
        <f>SUMIFS($D$2:$D$7909, $B$2:$B$7909, "Lombardia")</f>
        <v>9704151</v>
      </c>
      <c r="G3058" s="1">
        <f>Comuni__2[[#This Row],[Popolazione2011]]/Comuni__2[[#This Row],[POPOLAZIONE TOTALE DI OGNI REGIONE (CON FILTRO)]]</f>
        <v>4.7412699987871168E-4</v>
      </c>
      <c r="H3058" t="str">
        <f>IF(Comuni__2[[#This Row],[Popolazione2011]]&gt;300000,"MAGGIORE","")</f>
        <v/>
      </c>
      <c r="J3058">
        <v>3</v>
      </c>
      <c r="K3058">
        <v>432</v>
      </c>
      <c r="L3058">
        <v>23</v>
      </c>
    </row>
    <row r="3059" spans="1:12" x14ac:dyDescent="0.2">
      <c r="A3059"/>
      <c r="B3059"/>
      <c r="C3059"/>
      <c r="D3059"/>
      <c r="E3059" s="2">
        <f>Comuni__2[[#This Row],[Popolazione2011]]/$D$7911</f>
        <v>7.7276375304496597E-5</v>
      </c>
      <c r="F3059">
        <f>SUMIFS($D$2:$D$7909, $B$2:$B$7909, "Lombardia")</f>
        <v>9704151</v>
      </c>
      <c r="G3059" s="1">
        <f>Comuni__2[[#This Row],[Popolazione2011]]/Comuni__2[[#This Row],[POPOLAZIONE TOTALE DI OGNI REGIONE (CON FILTRO)]]</f>
        <v>4.731995617133328E-4</v>
      </c>
      <c r="H3059" t="str">
        <f>IF(Comuni__2[[#This Row],[Popolazione2011]]&gt;300000,"MAGGIORE","")</f>
        <v/>
      </c>
      <c r="J3059">
        <v>3</v>
      </c>
      <c r="K3059">
        <v>432</v>
      </c>
      <c r="L3059">
        <v>23</v>
      </c>
    </row>
    <row r="3060" spans="1:12" x14ac:dyDescent="0.2">
      <c r="A3060"/>
      <c r="B3060"/>
      <c r="C3060"/>
      <c r="D3060"/>
      <c r="E3060" s="2">
        <f>Comuni__2[[#This Row],[Popolazione2011]]/$D$7911</f>
        <v>7.7209061388726133E-5</v>
      </c>
      <c r="F3060">
        <f>SUMIFS($D$2:$D$7909, $B$2:$B$7909, "Lombardia")</f>
        <v>9704151</v>
      </c>
      <c r="G3060" s="1">
        <f>Comuni__2[[#This Row],[Popolazione2011]]/Comuni__2[[#This Row],[POPOLAZIONE TOTALE DI OGNI REGIONE (CON FILTRO)]]</f>
        <v>4.7278736697316438E-4</v>
      </c>
      <c r="H3060" t="str">
        <f>IF(Comuni__2[[#This Row],[Popolazione2011]]&gt;300000,"MAGGIORE","")</f>
        <v/>
      </c>
      <c r="J3060">
        <v>3</v>
      </c>
      <c r="K3060">
        <v>432</v>
      </c>
      <c r="L3060">
        <v>23</v>
      </c>
    </row>
    <row r="3061" spans="1:12" x14ac:dyDescent="0.2">
      <c r="A3061"/>
      <c r="B3061"/>
      <c r="C3061"/>
      <c r="D3061"/>
      <c r="E3061" s="2">
        <f>Comuni__2[[#This Row],[Popolazione2011]]/$D$7911</f>
        <v>7.7141747472955668E-5</v>
      </c>
      <c r="F3061">
        <f>SUMIFS($D$2:$D$7909, $B$2:$B$7909, "Lombardia")</f>
        <v>9704151</v>
      </c>
      <c r="G3061" s="1">
        <f>Comuni__2[[#This Row],[Popolazione2011]]/Comuni__2[[#This Row],[POPOLAZIONE TOTALE DI OGNI REGIONE (CON FILTRO)]]</f>
        <v>4.7237517223299596E-4</v>
      </c>
      <c r="H3061" t="str">
        <f>IF(Comuni__2[[#This Row],[Popolazione2011]]&gt;300000,"MAGGIORE","")</f>
        <v/>
      </c>
      <c r="J3061">
        <v>3</v>
      </c>
      <c r="K3061">
        <v>432</v>
      </c>
      <c r="L3061">
        <v>23</v>
      </c>
    </row>
    <row r="3062" spans="1:12" x14ac:dyDescent="0.2">
      <c r="A3062"/>
      <c r="B3062"/>
      <c r="C3062"/>
      <c r="D3062"/>
      <c r="E3062" s="2">
        <f>Comuni__2[[#This Row],[Popolazione2011]]/$D$7911</f>
        <v>7.6973462683529493E-5</v>
      </c>
      <c r="F3062">
        <f>SUMIFS($D$2:$D$7909, $B$2:$B$7909, "Lombardia")</f>
        <v>9704151</v>
      </c>
      <c r="G3062" s="1">
        <f>Comuni__2[[#This Row],[Popolazione2011]]/Comuni__2[[#This Row],[POPOLAZIONE TOTALE DI OGNI REGIONE (CON FILTRO)]]</f>
        <v>4.7134468538257492E-4</v>
      </c>
      <c r="H3062" t="str">
        <f>IF(Comuni__2[[#This Row],[Popolazione2011]]&gt;300000,"MAGGIORE","")</f>
        <v/>
      </c>
      <c r="J3062">
        <v>3</v>
      </c>
      <c r="K3062">
        <v>432</v>
      </c>
      <c r="L3062">
        <v>23</v>
      </c>
    </row>
    <row r="3063" spans="1:12" x14ac:dyDescent="0.2">
      <c r="A3063"/>
      <c r="B3063"/>
      <c r="C3063"/>
      <c r="D3063"/>
      <c r="E3063" s="2">
        <f>Comuni__2[[#This Row],[Popolazione2011]]/$D$7911</f>
        <v>7.6889320288816413E-5</v>
      </c>
      <c r="F3063">
        <f>SUMIFS($D$2:$D$7909, $B$2:$B$7909, "Lombardia")</f>
        <v>9704151</v>
      </c>
      <c r="G3063" s="1">
        <f>Comuni__2[[#This Row],[Popolazione2011]]/Comuni__2[[#This Row],[POPOLAZIONE TOTALE DI OGNI REGIONE (CON FILTRO)]]</f>
        <v>4.7082944195736445E-4</v>
      </c>
      <c r="H3063" t="str">
        <f>IF(Comuni__2[[#This Row],[Popolazione2011]]&gt;300000,"MAGGIORE","")</f>
        <v/>
      </c>
      <c r="J3063">
        <v>3</v>
      </c>
      <c r="K3063">
        <v>432</v>
      </c>
      <c r="L3063">
        <v>23</v>
      </c>
    </row>
    <row r="3064" spans="1:12" x14ac:dyDescent="0.2">
      <c r="A3064"/>
      <c r="B3064"/>
      <c r="C3064"/>
      <c r="D3064"/>
      <c r="E3064" s="2">
        <f>Comuni__2[[#This Row],[Popolazione2011]]/$D$7911</f>
        <v>7.6636893104677157E-5</v>
      </c>
      <c r="F3064">
        <f>SUMIFS($D$2:$D$7909, $B$2:$B$7909, "Lombardia")</f>
        <v>9704151</v>
      </c>
      <c r="G3064" s="1">
        <f>Comuni__2[[#This Row],[Popolazione2011]]/Comuni__2[[#This Row],[POPOLAZIONE TOTALE DI OGNI REGIONE (CON FILTRO)]]</f>
        <v>4.6928371168173289E-4</v>
      </c>
      <c r="H3064" t="str">
        <f>IF(Comuni__2[[#This Row],[Popolazione2011]]&gt;300000,"MAGGIORE","")</f>
        <v/>
      </c>
      <c r="J3064">
        <v>3</v>
      </c>
      <c r="K3064">
        <v>432</v>
      </c>
      <c r="L3064">
        <v>23</v>
      </c>
    </row>
    <row r="3065" spans="1:12" x14ac:dyDescent="0.2">
      <c r="A3065"/>
      <c r="B3065"/>
      <c r="C3065"/>
      <c r="D3065"/>
      <c r="E3065" s="2">
        <f>Comuni__2[[#This Row],[Popolazione2011]]/$D$7911</f>
        <v>7.6620064625734541E-5</v>
      </c>
      <c r="F3065">
        <f>SUMIFS($D$2:$D$7909, $B$2:$B$7909, "Lombardia")</f>
        <v>9704151</v>
      </c>
      <c r="G3065" s="1">
        <f>Comuni__2[[#This Row],[Popolazione2011]]/Comuni__2[[#This Row],[POPOLAZIONE TOTALE DI OGNI REGIONE (CON FILTRO)]]</f>
        <v>4.6918066299669078E-4</v>
      </c>
      <c r="H3065" t="str">
        <f>IF(Comuni__2[[#This Row],[Popolazione2011]]&gt;300000,"MAGGIORE","")</f>
        <v/>
      </c>
      <c r="J3065">
        <v>3</v>
      </c>
      <c r="K3065">
        <v>433</v>
      </c>
      <c r="L3065">
        <v>23</v>
      </c>
    </row>
    <row r="3066" spans="1:12" x14ac:dyDescent="0.2">
      <c r="A3066"/>
      <c r="B3066"/>
      <c r="C3066"/>
      <c r="D3066"/>
      <c r="E3066" s="2">
        <f>Comuni__2[[#This Row],[Popolazione2011]]/$D$7911</f>
        <v>7.6552750709964077E-5</v>
      </c>
      <c r="F3066">
        <f>SUMIFS($D$2:$D$7909, $B$2:$B$7909, "Lombardia")</f>
        <v>9704151</v>
      </c>
      <c r="G3066" s="1">
        <f>Comuni__2[[#This Row],[Popolazione2011]]/Comuni__2[[#This Row],[POPOLAZIONE TOTALE DI OGNI REGIONE (CON FILTRO)]]</f>
        <v>4.6876846825652236E-4</v>
      </c>
      <c r="H3066" t="str">
        <f>IF(Comuni__2[[#This Row],[Popolazione2011]]&gt;300000,"MAGGIORE","")</f>
        <v/>
      </c>
      <c r="J3066">
        <v>3</v>
      </c>
      <c r="K3066">
        <v>436</v>
      </c>
      <c r="L3066">
        <v>23</v>
      </c>
    </row>
    <row r="3067" spans="1:12" x14ac:dyDescent="0.2">
      <c r="A3067"/>
      <c r="B3067"/>
      <c r="C3067"/>
      <c r="D3067"/>
      <c r="E3067" s="2">
        <f>Comuni__2[[#This Row],[Popolazione2011]]/$D$7911</f>
        <v>7.6317152004767437E-5</v>
      </c>
      <c r="F3067">
        <f>SUMIFS($D$2:$D$7909, $B$2:$B$7909, "Lombardia")</f>
        <v>9704151</v>
      </c>
      <c r="G3067" s="1">
        <f>Comuni__2[[#This Row],[Popolazione2011]]/Comuni__2[[#This Row],[POPOLAZIONE TOTALE DI OGNI REGIONE (CON FILTRO)]]</f>
        <v>4.6732578666593296E-4</v>
      </c>
      <c r="H3067" t="str">
        <f>IF(Comuni__2[[#This Row],[Popolazione2011]]&gt;300000,"MAGGIORE","")</f>
        <v/>
      </c>
      <c r="J3067">
        <v>3</v>
      </c>
      <c r="K3067">
        <v>436</v>
      </c>
      <c r="L3067">
        <v>23</v>
      </c>
    </row>
    <row r="3068" spans="1:12" x14ac:dyDescent="0.2">
      <c r="A3068"/>
      <c r="B3068"/>
      <c r="C3068"/>
      <c r="D3068"/>
      <c r="E3068" s="2">
        <f>Comuni__2[[#This Row],[Popolazione2011]]/$D$7911</f>
        <v>7.6165695694283892E-5</v>
      </c>
      <c r="F3068">
        <f>SUMIFS($D$2:$D$7909, $B$2:$B$7909, "Lombardia")</f>
        <v>9704151</v>
      </c>
      <c r="G3068" s="1">
        <f>Comuni__2[[#This Row],[Popolazione2011]]/Comuni__2[[#This Row],[POPOLAZIONE TOTALE DI OGNI REGIONE (CON FILTRO)]]</f>
        <v>4.6639834850055402E-4</v>
      </c>
      <c r="H3068" t="str">
        <f>IF(Comuni__2[[#This Row],[Popolazione2011]]&gt;300000,"MAGGIORE","")</f>
        <v/>
      </c>
      <c r="J3068">
        <v>3</v>
      </c>
      <c r="K3068">
        <v>436</v>
      </c>
      <c r="L3068">
        <v>23</v>
      </c>
    </row>
    <row r="3069" spans="1:12" x14ac:dyDescent="0.2">
      <c r="A3069"/>
      <c r="B3069"/>
      <c r="C3069"/>
      <c r="D3069"/>
      <c r="E3069" s="2">
        <f>Comuni__2[[#This Row],[Popolazione2011]]/$D$7911</f>
        <v>7.6098381778513428E-5</v>
      </c>
      <c r="F3069">
        <f>SUMIFS($D$2:$D$7909, $B$2:$B$7909, "Lombardia")</f>
        <v>9704151</v>
      </c>
      <c r="G3069" s="1">
        <f>Comuni__2[[#This Row],[Popolazione2011]]/Comuni__2[[#This Row],[POPOLAZIONE TOTALE DI OGNI REGIONE (CON FILTRO)]]</f>
        <v>4.6598615376038566E-4</v>
      </c>
      <c r="H3069" t="str">
        <f>IF(Comuni__2[[#This Row],[Popolazione2011]]&gt;300000,"MAGGIORE","")</f>
        <v/>
      </c>
      <c r="J3069">
        <v>5</v>
      </c>
      <c r="K3069">
        <v>437</v>
      </c>
      <c r="L3069">
        <v>23</v>
      </c>
    </row>
    <row r="3070" spans="1:12" x14ac:dyDescent="0.2">
      <c r="A3070"/>
      <c r="B3070"/>
      <c r="C3070"/>
      <c r="D3070"/>
      <c r="E3070" s="2">
        <f>Comuni__2[[#This Row],[Popolazione2011]]/$D$7911</f>
        <v>7.5913268510144637E-5</v>
      </c>
      <c r="F3070">
        <f>SUMIFS($D$2:$D$7909, $B$2:$B$7909, "Lombardia")</f>
        <v>9704151</v>
      </c>
      <c r="G3070" s="1">
        <f>Comuni__2[[#This Row],[Popolazione2011]]/Comuni__2[[#This Row],[POPOLAZIONE TOTALE DI OGNI REGIONE (CON FILTRO)]]</f>
        <v>4.6485261822492251E-4</v>
      </c>
      <c r="H3070" t="str">
        <f>IF(Comuni__2[[#This Row],[Popolazione2011]]&gt;300000,"MAGGIORE","")</f>
        <v/>
      </c>
      <c r="J3070">
        <v>4</v>
      </c>
      <c r="K3070">
        <v>437</v>
      </c>
      <c r="L3070">
        <v>23</v>
      </c>
    </row>
    <row r="3071" spans="1:12" x14ac:dyDescent="0.2">
      <c r="A3071"/>
      <c r="B3071"/>
      <c r="C3071"/>
      <c r="D3071"/>
      <c r="E3071" s="2">
        <f>Comuni__2[[#This Row],[Popolazione2011]]/$D$7911</f>
        <v>7.5879611552259404E-5</v>
      </c>
      <c r="F3071">
        <f>SUMIFS($D$2:$D$7909, $B$2:$B$7909, "Lombardia")</f>
        <v>9704151</v>
      </c>
      <c r="G3071" s="1">
        <f>Comuni__2[[#This Row],[Popolazione2011]]/Comuni__2[[#This Row],[POPOLAZIONE TOTALE DI OGNI REGIONE (CON FILTRO)]]</f>
        <v>4.646465208548383E-4</v>
      </c>
      <c r="H3071" t="str">
        <f>IF(Comuni__2[[#This Row],[Popolazione2011]]&gt;300000,"MAGGIORE","")</f>
        <v/>
      </c>
      <c r="J3071">
        <v>4</v>
      </c>
      <c r="K3071">
        <v>437</v>
      </c>
      <c r="L3071">
        <v>23</v>
      </c>
    </row>
    <row r="3072" spans="1:12" x14ac:dyDescent="0.2">
      <c r="A3072"/>
      <c r="B3072"/>
      <c r="C3072"/>
      <c r="D3072"/>
      <c r="E3072" s="2">
        <f>Comuni__2[[#This Row],[Popolazione2011]]/$D$7911</f>
        <v>7.5795469157546324E-5</v>
      </c>
      <c r="F3072">
        <f>SUMIFS($D$2:$D$7909, $B$2:$B$7909, "Lombardia")</f>
        <v>9704151</v>
      </c>
      <c r="G3072" s="1">
        <f>Comuni__2[[#This Row],[Popolazione2011]]/Comuni__2[[#This Row],[POPOLAZIONE TOTALE DI OGNI REGIONE (CON FILTRO)]]</f>
        <v>4.6413127742962778E-4</v>
      </c>
      <c r="H3072" t="str">
        <f>IF(Comuni__2[[#This Row],[Popolazione2011]]&gt;300000,"MAGGIORE","")</f>
        <v/>
      </c>
      <c r="J3072">
        <v>4</v>
      </c>
      <c r="K3072">
        <v>448</v>
      </c>
      <c r="L3072">
        <v>23</v>
      </c>
    </row>
    <row r="3073" spans="1:12" x14ac:dyDescent="0.2">
      <c r="A3073"/>
      <c r="B3073"/>
      <c r="C3073"/>
      <c r="D3073"/>
      <c r="E3073" s="2">
        <f>Comuni__2[[#This Row],[Popolazione2011]]/$D$7911</f>
        <v>7.5139158478784254E-5</v>
      </c>
      <c r="F3073">
        <f>SUMIFS($D$2:$D$7909, $B$2:$B$7909, "Lombardia")</f>
        <v>9704151</v>
      </c>
      <c r="G3073" s="1">
        <f>Comuni__2[[#This Row],[Popolazione2011]]/Comuni__2[[#This Row],[POPOLAZIONE TOTALE DI OGNI REGIONE (CON FILTRO)]]</f>
        <v>4.6011237871298582E-4</v>
      </c>
      <c r="H3073" t="str">
        <f>IF(Comuni__2[[#This Row],[Popolazione2011]]&gt;300000,"MAGGIORE","")</f>
        <v/>
      </c>
      <c r="J3073">
        <v>3</v>
      </c>
      <c r="K3073">
        <v>449</v>
      </c>
      <c r="L3073">
        <v>23</v>
      </c>
    </row>
    <row r="3074" spans="1:12" x14ac:dyDescent="0.2">
      <c r="A3074"/>
      <c r="B3074"/>
      <c r="C3074"/>
      <c r="D3074"/>
      <c r="E3074" s="2">
        <f>Comuni__2[[#This Row],[Popolazione2011]]/$D$7911</f>
        <v>7.5122329999841638E-5</v>
      </c>
      <c r="F3074">
        <f>SUMIFS($D$2:$D$7909, $B$2:$B$7909, "Lombardia")</f>
        <v>9704151</v>
      </c>
      <c r="G3074" s="1">
        <f>Comuni__2[[#This Row],[Popolazione2011]]/Comuni__2[[#This Row],[POPOLAZIONE TOTALE DI OGNI REGIONE (CON FILTRO)]]</f>
        <v>4.6000933002794371E-4</v>
      </c>
      <c r="H3074" t="str">
        <f>IF(Comuni__2[[#This Row],[Popolazione2011]]&gt;300000,"MAGGIORE","")</f>
        <v/>
      </c>
      <c r="J3074">
        <v>4</v>
      </c>
      <c r="K3074">
        <v>449</v>
      </c>
      <c r="L3074">
        <v>23</v>
      </c>
    </row>
    <row r="3075" spans="1:12" x14ac:dyDescent="0.2">
      <c r="A3075"/>
      <c r="B3075"/>
      <c r="C3075"/>
      <c r="D3075"/>
      <c r="E3075" s="2">
        <f>Comuni__2[[#This Row],[Popolazione2011]]/$D$7911</f>
        <v>7.507184456301379E-5</v>
      </c>
      <c r="F3075">
        <f>SUMIFS($D$2:$D$7909, $B$2:$B$7909, "Lombardia")</f>
        <v>9704151</v>
      </c>
      <c r="G3075" s="1">
        <f>Comuni__2[[#This Row],[Popolazione2011]]/Comuni__2[[#This Row],[POPOLAZIONE TOTALE DI OGNI REGIONE (CON FILTRO)]]</f>
        <v>4.597001839728174E-4</v>
      </c>
      <c r="H3075" t="str">
        <f>IF(Comuni__2[[#This Row],[Popolazione2011]]&gt;300000,"MAGGIORE","")</f>
        <v/>
      </c>
      <c r="J3075">
        <v>5</v>
      </c>
      <c r="K3075">
        <v>450</v>
      </c>
      <c r="L3075">
        <v>23</v>
      </c>
    </row>
    <row r="3076" spans="1:12" x14ac:dyDescent="0.2">
      <c r="A3076"/>
      <c r="B3076"/>
      <c r="C3076"/>
      <c r="D3076"/>
      <c r="E3076" s="2">
        <f>Comuni__2[[#This Row],[Popolazione2011]]/$D$7911</f>
        <v>7.5055016084071174E-5</v>
      </c>
      <c r="F3076">
        <f>SUMIFS($D$2:$D$7909, $B$2:$B$7909, "Lombardia")</f>
        <v>9704151</v>
      </c>
      <c r="G3076" s="1">
        <f>Comuni__2[[#This Row],[Popolazione2011]]/Comuni__2[[#This Row],[POPOLAZIONE TOTALE DI OGNI REGIONE (CON FILTRO)]]</f>
        <v>4.595971352877753E-4</v>
      </c>
      <c r="H3076" t="str">
        <f>IF(Comuni__2[[#This Row],[Popolazione2011]]&gt;300000,"MAGGIORE","")</f>
        <v/>
      </c>
      <c r="J3076">
        <v>6</v>
      </c>
      <c r="K3076">
        <v>450</v>
      </c>
      <c r="L3076">
        <v>23</v>
      </c>
    </row>
    <row r="3077" spans="1:12" x14ac:dyDescent="0.2">
      <c r="A3077"/>
      <c r="B3077"/>
      <c r="C3077"/>
      <c r="D3077"/>
      <c r="E3077" s="2">
        <f>Comuni__2[[#This Row],[Popolazione2011]]/$D$7911</f>
        <v>7.4903559773587629E-5</v>
      </c>
      <c r="F3077">
        <f>SUMIFS($D$2:$D$7909, $B$2:$B$7909, "Lombardia")</f>
        <v>9704151</v>
      </c>
      <c r="G3077" s="1">
        <f>Comuni__2[[#This Row],[Popolazione2011]]/Comuni__2[[#This Row],[POPOLAZIONE TOTALE DI OGNI REGIONE (CON FILTRO)]]</f>
        <v>4.5866969712239636E-4</v>
      </c>
      <c r="H3077" t="str">
        <f>IF(Comuni__2[[#This Row],[Popolazione2011]]&gt;300000,"MAGGIORE","")</f>
        <v/>
      </c>
      <c r="J3077">
        <v>4</v>
      </c>
      <c r="K3077">
        <v>454</v>
      </c>
      <c r="L3077">
        <v>23</v>
      </c>
    </row>
    <row r="3078" spans="1:12" x14ac:dyDescent="0.2">
      <c r="A3078"/>
      <c r="B3078"/>
      <c r="C3078"/>
      <c r="D3078"/>
      <c r="E3078" s="2">
        <f>Comuni__2[[#This Row],[Popolazione2011]]/$D$7911</f>
        <v>7.4617475631563141E-5</v>
      </c>
      <c r="F3078">
        <f>SUMIFS($D$2:$D$7909, $B$2:$B$7909, "Lombardia")</f>
        <v>9704151</v>
      </c>
      <c r="G3078" s="1">
        <f>Comuni__2[[#This Row],[Popolazione2011]]/Comuni__2[[#This Row],[POPOLAZIONE TOTALE DI OGNI REGIONE (CON FILTRO)]]</f>
        <v>4.5691786947668064E-4</v>
      </c>
      <c r="H3078" t="str">
        <f>IF(Comuni__2[[#This Row],[Popolazione2011]]&gt;300000,"MAGGIORE","")</f>
        <v/>
      </c>
      <c r="J3078">
        <v>4</v>
      </c>
      <c r="K3078">
        <v>455</v>
      </c>
      <c r="L3078">
        <v>23</v>
      </c>
    </row>
    <row r="3079" spans="1:12" x14ac:dyDescent="0.2">
      <c r="A3079"/>
      <c r="B3079"/>
      <c r="C3079"/>
      <c r="D3079"/>
      <c r="E3079" s="2">
        <f>Comuni__2[[#This Row],[Popolazione2011]]/$D$7911</f>
        <v>7.4146278221169862E-5</v>
      </c>
      <c r="F3079">
        <f>SUMIFS($D$2:$D$7909, $B$2:$B$7909, "Lombardia")</f>
        <v>9704151</v>
      </c>
      <c r="G3079" s="1">
        <f>Comuni__2[[#This Row],[Popolazione2011]]/Comuni__2[[#This Row],[POPOLAZIONE TOTALE DI OGNI REGIONE (CON FILTRO)]]</f>
        <v>4.5403250629550177E-4</v>
      </c>
      <c r="H3079" t="str">
        <f>IF(Comuni__2[[#This Row],[Popolazione2011]]&gt;300000,"MAGGIORE","")</f>
        <v/>
      </c>
      <c r="J3079">
        <v>4</v>
      </c>
      <c r="K3079">
        <v>458</v>
      </c>
      <c r="L3079">
        <v>23</v>
      </c>
    </row>
    <row r="3080" spans="1:12" x14ac:dyDescent="0.2">
      <c r="A3080"/>
      <c r="B3080"/>
      <c r="C3080"/>
      <c r="D3080"/>
      <c r="E3080" s="2">
        <f>Comuni__2[[#This Row],[Popolazione2011]]/$D$7911</f>
        <v>7.4062135826456782E-5</v>
      </c>
      <c r="F3080">
        <f>SUMIFS($D$2:$D$7909, $B$2:$B$7909, "Lombardia")</f>
        <v>9704151</v>
      </c>
      <c r="G3080" s="1">
        <f>Comuni__2[[#This Row],[Popolazione2011]]/Comuni__2[[#This Row],[POPOLAZIONE TOTALE DI OGNI REGIONE (CON FILTRO)]]</f>
        <v>4.535172628702913E-4</v>
      </c>
      <c r="H3080" t="str">
        <f>IF(Comuni__2[[#This Row],[Popolazione2011]]&gt;300000,"MAGGIORE","")</f>
        <v/>
      </c>
      <c r="J3080">
        <v>6</v>
      </c>
      <c r="K3080">
        <v>459</v>
      </c>
      <c r="L3080">
        <v>23</v>
      </c>
    </row>
    <row r="3081" spans="1:12" x14ac:dyDescent="0.2">
      <c r="A3081"/>
      <c r="B3081"/>
      <c r="C3081"/>
      <c r="D3081"/>
      <c r="E3081" s="2">
        <f>Comuni__2[[#This Row],[Popolazione2011]]/$D$7911</f>
        <v>7.4045307347514165E-5</v>
      </c>
      <c r="F3081">
        <f>SUMIFS($D$2:$D$7909, $B$2:$B$7909, "Lombardia")</f>
        <v>9704151</v>
      </c>
      <c r="G3081" s="1">
        <f>Comuni__2[[#This Row],[Popolazione2011]]/Comuni__2[[#This Row],[POPOLAZIONE TOTALE DI OGNI REGIONE (CON FILTRO)]]</f>
        <v>4.534142141852492E-4</v>
      </c>
      <c r="H3081" t="str">
        <f>IF(Comuni__2[[#This Row],[Popolazione2011]]&gt;300000,"MAGGIORE","")</f>
        <v/>
      </c>
      <c r="J3081">
        <v>5</v>
      </c>
      <c r="K3081">
        <v>460</v>
      </c>
      <c r="L3081">
        <v>23</v>
      </c>
    </row>
    <row r="3082" spans="1:12" x14ac:dyDescent="0.2">
      <c r="A3082"/>
      <c r="B3082"/>
      <c r="C3082"/>
      <c r="D3082"/>
      <c r="E3082" s="2">
        <f>Comuni__2[[#This Row],[Popolazione2011]]/$D$7911</f>
        <v>7.3691909289719213E-5</v>
      </c>
      <c r="F3082">
        <f>SUMIFS($D$2:$D$7909, $B$2:$B$7909, "Lombardia")</f>
        <v>9704151</v>
      </c>
      <c r="G3082" s="1">
        <f>Comuni__2[[#This Row],[Popolazione2011]]/Comuni__2[[#This Row],[POPOLAZIONE TOTALE DI OGNI REGIONE (CON FILTRO)]]</f>
        <v>4.5125019179936501E-4</v>
      </c>
      <c r="H3082" t="str">
        <f>IF(Comuni__2[[#This Row],[Popolazione2011]]&gt;300000,"MAGGIORE","")</f>
        <v/>
      </c>
      <c r="J3082">
        <v>6</v>
      </c>
      <c r="K3082">
        <v>463</v>
      </c>
      <c r="L3082">
        <v>23</v>
      </c>
    </row>
    <row r="3083" spans="1:12" x14ac:dyDescent="0.2">
      <c r="A3083"/>
      <c r="B3083"/>
      <c r="C3083"/>
      <c r="D3083"/>
      <c r="E3083" s="2">
        <f>Comuni__2[[#This Row],[Popolazione2011]]/$D$7911</f>
        <v>7.3557281458178271E-5</v>
      </c>
      <c r="F3083">
        <f>SUMIFS($D$2:$D$7909, $B$2:$B$7909, "Lombardia")</f>
        <v>9704151</v>
      </c>
      <c r="G3083" s="1">
        <f>Comuni__2[[#This Row],[Popolazione2011]]/Comuni__2[[#This Row],[POPOLAZIONE TOTALE DI OGNI REGIONE (CON FILTRO)]]</f>
        <v>4.5042580231902823E-4</v>
      </c>
      <c r="H3083" t="str">
        <f>IF(Comuni__2[[#This Row],[Popolazione2011]]&gt;300000,"MAGGIORE","")</f>
        <v/>
      </c>
      <c r="J3083">
        <v>6</v>
      </c>
      <c r="K3083">
        <v>466</v>
      </c>
      <c r="L3083">
        <v>23</v>
      </c>
    </row>
    <row r="3084" spans="1:12" x14ac:dyDescent="0.2">
      <c r="A3084"/>
      <c r="B3084"/>
      <c r="C3084"/>
      <c r="D3084"/>
      <c r="E3084" s="2">
        <f>Comuni__2[[#This Row],[Popolazione2011]]/$D$7911</f>
        <v>7.3388996668752109E-5</v>
      </c>
      <c r="F3084">
        <f>SUMIFS($D$2:$D$7909, $B$2:$B$7909, "Lombardia")</f>
        <v>9704151</v>
      </c>
      <c r="G3084" s="1">
        <f>Comuni__2[[#This Row],[Popolazione2011]]/Comuni__2[[#This Row],[POPOLAZIONE TOTALE DI OGNI REGIONE (CON FILTRO)]]</f>
        <v>4.4939531546860719E-4</v>
      </c>
      <c r="H3084" t="str">
        <f>IF(Comuni__2[[#This Row],[Popolazione2011]]&gt;300000,"MAGGIORE","")</f>
        <v/>
      </c>
      <c r="J3084">
        <v>4</v>
      </c>
      <c r="K3084">
        <v>468</v>
      </c>
      <c r="L3084">
        <v>23</v>
      </c>
    </row>
    <row r="3085" spans="1:12" x14ac:dyDescent="0.2">
      <c r="A3085"/>
      <c r="B3085"/>
      <c r="C3085"/>
      <c r="D3085"/>
      <c r="E3085" s="2">
        <f>Comuni__2[[#This Row],[Popolazione2011]]/$D$7911</f>
        <v>7.3355339710866877E-5</v>
      </c>
      <c r="F3085">
        <f>SUMIFS($D$2:$D$7909, $B$2:$B$7909, "Lombardia")</f>
        <v>9704151</v>
      </c>
      <c r="G3085" s="1">
        <f>Comuni__2[[#This Row],[Popolazione2011]]/Comuni__2[[#This Row],[POPOLAZIONE TOTALE DI OGNI REGIONE (CON FILTRO)]]</f>
        <v>4.4918921809852298E-4</v>
      </c>
      <c r="H3085" t="str">
        <f>IF(Comuni__2[[#This Row],[Popolazione2011]]&gt;300000,"MAGGIORE","")</f>
        <v/>
      </c>
      <c r="J3085">
        <v>4</v>
      </c>
      <c r="K3085">
        <v>471</v>
      </c>
      <c r="L3085">
        <v>23</v>
      </c>
    </row>
    <row r="3086" spans="1:12" x14ac:dyDescent="0.2">
      <c r="A3086"/>
      <c r="B3086"/>
      <c r="C3086"/>
      <c r="D3086"/>
      <c r="E3086" s="2">
        <f>Comuni__2[[#This Row],[Popolazione2011]]/$D$7911</f>
        <v>7.3203883400383318E-5</v>
      </c>
      <c r="F3086">
        <f>SUMIFS($D$2:$D$7909, $B$2:$B$7909, "Lombardia")</f>
        <v>9704151</v>
      </c>
      <c r="G3086" s="1">
        <f>Comuni__2[[#This Row],[Popolazione2011]]/Comuni__2[[#This Row],[POPOLAZIONE TOTALE DI OGNI REGIONE (CON FILTRO)]]</f>
        <v>4.4826177993314409E-4</v>
      </c>
      <c r="H3086" t="str">
        <f>IF(Comuni__2[[#This Row],[Popolazione2011]]&gt;300000,"MAGGIORE","")</f>
        <v/>
      </c>
      <c r="J3086">
        <v>4</v>
      </c>
      <c r="K3086">
        <v>476</v>
      </c>
      <c r="L3086">
        <v>23</v>
      </c>
    </row>
    <row r="3087" spans="1:12" x14ac:dyDescent="0.2">
      <c r="A3087"/>
      <c r="B3087"/>
      <c r="C3087"/>
      <c r="D3087"/>
      <c r="E3087" s="2">
        <f>Comuni__2[[#This Row],[Popolazione2011]]/$D$7911</f>
        <v>7.3119741005670238E-5</v>
      </c>
      <c r="F3087">
        <f>SUMIFS($D$2:$D$7909, $B$2:$B$7909, "Lombardia")</f>
        <v>9704151</v>
      </c>
      <c r="G3087" s="1">
        <f>Comuni__2[[#This Row],[Popolazione2011]]/Comuni__2[[#This Row],[POPOLAZIONE TOTALE DI OGNI REGIONE (CON FILTRO)]]</f>
        <v>4.4774653650793357E-4</v>
      </c>
      <c r="H3087" t="str">
        <f>IF(Comuni__2[[#This Row],[Popolazione2011]]&gt;300000,"MAGGIORE","")</f>
        <v/>
      </c>
      <c r="J3087">
        <v>5</v>
      </c>
      <c r="K3087">
        <v>479</v>
      </c>
      <c r="L3087">
        <v>23</v>
      </c>
    </row>
    <row r="3088" spans="1:12" x14ac:dyDescent="0.2">
      <c r="A3088"/>
      <c r="B3088"/>
      <c r="C3088"/>
      <c r="D3088"/>
      <c r="E3088" s="2">
        <f>Comuni__2[[#This Row],[Popolazione2011]]/$D$7911</f>
        <v>7.3018770132014541E-5</v>
      </c>
      <c r="F3088">
        <f>SUMIFS($D$2:$D$7909, $B$2:$B$7909, "Lombardia")</f>
        <v>9704151</v>
      </c>
      <c r="G3088" s="1">
        <f>Comuni__2[[#This Row],[Popolazione2011]]/Comuni__2[[#This Row],[POPOLAZIONE TOTALE DI OGNI REGIONE (CON FILTRO)]]</f>
        <v>4.4712824439768095E-4</v>
      </c>
      <c r="H3088" t="str">
        <f>IF(Comuni__2[[#This Row],[Popolazione2011]]&gt;300000,"MAGGIORE","")</f>
        <v/>
      </c>
      <c r="J3088">
        <v>3</v>
      </c>
      <c r="K3088">
        <v>479</v>
      </c>
      <c r="L3088">
        <v>24</v>
      </c>
    </row>
    <row r="3089" spans="1:12" x14ac:dyDescent="0.2">
      <c r="A3089"/>
      <c r="B3089"/>
      <c r="C3089"/>
      <c r="D3089"/>
      <c r="E3089" s="2">
        <f>Comuni__2[[#This Row],[Popolazione2011]]/$D$7911</f>
        <v>7.2816828384703134E-5</v>
      </c>
      <c r="F3089">
        <f>SUMIFS($D$2:$D$7909, $B$2:$B$7909, "Lombardia")</f>
        <v>9704151</v>
      </c>
      <c r="G3089" s="1">
        <f>Comuni__2[[#This Row],[Popolazione2011]]/Comuni__2[[#This Row],[POPOLAZIONE TOTALE DI OGNI REGIONE (CON FILTRO)]]</f>
        <v>4.4589166017717575E-4</v>
      </c>
      <c r="H3089" t="str">
        <f>IF(Comuni__2[[#This Row],[Popolazione2011]]&gt;300000,"MAGGIORE","")</f>
        <v/>
      </c>
      <c r="J3089">
        <v>5</v>
      </c>
      <c r="K3089">
        <v>487</v>
      </c>
      <c r="L3089">
        <v>24</v>
      </c>
    </row>
    <row r="3090" spans="1:12" x14ac:dyDescent="0.2">
      <c r="A3090"/>
      <c r="B3090"/>
      <c r="C3090"/>
      <c r="D3090"/>
      <c r="E3090" s="2">
        <f>Comuni__2[[#This Row],[Popolazione2011]]/$D$7911</f>
        <v>7.2581229679506495E-5</v>
      </c>
      <c r="F3090">
        <f>SUMIFS($D$2:$D$7909, $B$2:$B$7909, "Lombardia")</f>
        <v>9704151</v>
      </c>
      <c r="G3090" s="1">
        <f>Comuni__2[[#This Row],[Popolazione2011]]/Comuni__2[[#This Row],[POPOLAZIONE TOTALE DI OGNI REGIONE (CON FILTRO)]]</f>
        <v>4.4444897858658629E-4</v>
      </c>
      <c r="H3090" t="str">
        <f>IF(Comuni__2[[#This Row],[Popolazione2011]]&gt;300000,"MAGGIORE","")</f>
        <v/>
      </c>
      <c r="J3090">
        <v>6</v>
      </c>
      <c r="K3090">
        <v>490</v>
      </c>
      <c r="L3090">
        <v>24</v>
      </c>
    </row>
    <row r="3091" spans="1:12" x14ac:dyDescent="0.2">
      <c r="A3091"/>
      <c r="B3091"/>
      <c r="C3091"/>
      <c r="D3091"/>
      <c r="E3091" s="2">
        <f>Comuni__2[[#This Row],[Popolazione2011]]/$D$7911</f>
        <v>7.2497087284793414E-5</v>
      </c>
      <c r="F3091">
        <f>SUMIFS($D$2:$D$7909, $B$2:$B$7909, "Lombardia")</f>
        <v>9704151</v>
      </c>
      <c r="G3091" s="1">
        <f>Comuni__2[[#This Row],[Popolazione2011]]/Comuni__2[[#This Row],[POPOLAZIONE TOTALE DI OGNI REGIONE (CON FILTRO)]]</f>
        <v>4.4393373516137577E-4</v>
      </c>
      <c r="H3091" t="str">
        <f>IF(Comuni__2[[#This Row],[Popolazione2011]]&gt;300000,"MAGGIORE","")</f>
        <v/>
      </c>
      <c r="J3091">
        <v>4</v>
      </c>
      <c r="K3091">
        <v>498</v>
      </c>
      <c r="L3091">
        <v>24</v>
      </c>
    </row>
    <row r="3092" spans="1:12" x14ac:dyDescent="0.2">
      <c r="A3092"/>
      <c r="B3092"/>
      <c r="C3092"/>
      <c r="D3092"/>
      <c r="E3092" s="2">
        <f>Comuni__2[[#This Row],[Popolazione2011]]/$D$7911</f>
        <v>7.2412944890080333E-5</v>
      </c>
      <c r="F3092">
        <f>SUMIFS($D$2:$D$7909, $B$2:$B$7909, "Lombardia")</f>
        <v>9704151</v>
      </c>
      <c r="G3092" s="1">
        <f>Comuni__2[[#This Row],[Popolazione2011]]/Comuni__2[[#This Row],[POPOLAZIONE TOTALE DI OGNI REGIONE (CON FILTRO)]]</f>
        <v>4.434184917361653E-4</v>
      </c>
      <c r="H3092" t="str">
        <f>IF(Comuni__2[[#This Row],[Popolazione2011]]&gt;300000,"MAGGIORE","")</f>
        <v/>
      </c>
      <c r="J3092">
        <v>4</v>
      </c>
      <c r="K3092">
        <v>498</v>
      </c>
      <c r="L3092">
        <v>24</v>
      </c>
    </row>
    <row r="3093" spans="1:12" x14ac:dyDescent="0.2">
      <c r="A3093"/>
      <c r="B3093"/>
      <c r="C3093"/>
      <c r="D3093"/>
      <c r="E3093" s="2">
        <f>Comuni__2[[#This Row],[Popolazione2011]]/$D$7911</f>
        <v>7.2278317058539391E-5</v>
      </c>
      <c r="F3093">
        <f>SUMIFS($D$2:$D$7909, $B$2:$B$7909, "Lombardia")</f>
        <v>9704151</v>
      </c>
      <c r="G3093" s="1">
        <f>Comuni__2[[#This Row],[Popolazione2011]]/Comuni__2[[#This Row],[POPOLAZIONE TOTALE DI OGNI REGIONE (CON FILTRO)]]</f>
        <v>4.4259410225582846E-4</v>
      </c>
      <c r="H3093" t="str">
        <f>IF(Comuni__2[[#This Row],[Popolazione2011]]&gt;300000,"MAGGIORE","")</f>
        <v/>
      </c>
      <c r="J3093">
        <v>5</v>
      </c>
      <c r="K3093">
        <v>505</v>
      </c>
      <c r="L3093">
        <v>24</v>
      </c>
    </row>
    <row r="3094" spans="1:12" x14ac:dyDescent="0.2">
      <c r="A3094"/>
      <c r="B3094"/>
      <c r="C3094"/>
      <c r="D3094"/>
      <c r="E3094" s="2">
        <f>Comuni__2[[#This Row],[Popolazione2011]]/$D$7911</f>
        <v>7.2244660100654159E-5</v>
      </c>
      <c r="F3094">
        <f>SUMIFS($D$2:$D$7909, $B$2:$B$7909, "Lombardia")</f>
        <v>9704151</v>
      </c>
      <c r="G3094" s="1">
        <f>Comuni__2[[#This Row],[Popolazione2011]]/Comuni__2[[#This Row],[POPOLAZIONE TOTALE DI OGNI REGIONE (CON FILTRO)]]</f>
        <v>4.4238800488574425E-4</v>
      </c>
      <c r="H3094" t="str">
        <f>IF(Comuni__2[[#This Row],[Popolazione2011]]&gt;300000,"MAGGIORE","")</f>
        <v/>
      </c>
      <c r="J3094">
        <v>3</v>
      </c>
      <c r="K3094">
        <v>507</v>
      </c>
      <c r="L3094">
        <v>25</v>
      </c>
    </row>
    <row r="3095" spans="1:12" x14ac:dyDescent="0.2">
      <c r="A3095"/>
      <c r="B3095"/>
      <c r="C3095"/>
      <c r="D3095"/>
      <c r="E3095" s="2">
        <f>Comuni__2[[#This Row],[Popolazione2011]]/$D$7911</f>
        <v>7.2211003142768926E-5</v>
      </c>
      <c r="F3095">
        <f>SUMIFS($D$2:$D$7909, $B$2:$B$7909, "Lombardia")</f>
        <v>9704151</v>
      </c>
      <c r="G3095" s="1">
        <f>Comuni__2[[#This Row],[Popolazione2011]]/Comuni__2[[#This Row],[POPOLAZIONE TOTALE DI OGNI REGIONE (CON FILTRO)]]</f>
        <v>4.4218190751566005E-4</v>
      </c>
      <c r="H3095" t="str">
        <f>IF(Comuni__2[[#This Row],[Popolazione2011]]&gt;300000,"MAGGIORE","")</f>
        <v/>
      </c>
      <c r="J3095">
        <v>2</v>
      </c>
      <c r="K3095">
        <v>509</v>
      </c>
      <c r="L3095">
        <v>25</v>
      </c>
    </row>
    <row r="3096" spans="1:12" x14ac:dyDescent="0.2">
      <c r="A3096"/>
      <c r="B3096"/>
      <c r="C3096"/>
      <c r="D3096"/>
      <c r="E3096" s="2">
        <f>Comuni__2[[#This Row],[Popolazione2011]]/$D$7911</f>
        <v>7.1958575958629671E-5</v>
      </c>
      <c r="F3096">
        <f>SUMIFS($D$2:$D$7909, $B$2:$B$7909, "Lombardia")</f>
        <v>9704151</v>
      </c>
      <c r="G3096" s="1">
        <f>Comuni__2[[#This Row],[Popolazione2011]]/Comuni__2[[#This Row],[POPOLAZIONE TOTALE DI OGNI REGIONE (CON FILTRO)]]</f>
        <v>4.4063617724002854E-4</v>
      </c>
      <c r="H3096" t="str">
        <f>IF(Comuni__2[[#This Row],[Popolazione2011]]&gt;300000,"MAGGIORE","")</f>
        <v/>
      </c>
      <c r="J3096">
        <v>3</v>
      </c>
      <c r="K3096">
        <v>515</v>
      </c>
      <c r="L3096">
        <v>25</v>
      </c>
    </row>
    <row r="3097" spans="1:12" x14ac:dyDescent="0.2">
      <c r="A3097"/>
      <c r="B3097"/>
      <c r="C3097"/>
      <c r="D3097"/>
      <c r="E3097" s="2">
        <f>Comuni__2[[#This Row],[Popolazione2011]]/$D$7911</f>
        <v>7.1924919000744439E-5</v>
      </c>
      <c r="F3097">
        <f>SUMIFS($D$2:$D$7909, $B$2:$B$7909, "Lombardia")</f>
        <v>9704151</v>
      </c>
      <c r="G3097" s="1">
        <f>Comuni__2[[#This Row],[Popolazione2011]]/Comuni__2[[#This Row],[POPOLAZIONE TOTALE DI OGNI REGIONE (CON FILTRO)]]</f>
        <v>4.4043007986994433E-4</v>
      </c>
      <c r="H3097" t="str">
        <f>IF(Comuni__2[[#This Row],[Popolazione2011]]&gt;300000,"MAGGIORE","")</f>
        <v/>
      </c>
      <c r="J3097">
        <v>3</v>
      </c>
      <c r="K3097">
        <v>520</v>
      </c>
      <c r="L3097">
        <v>25</v>
      </c>
    </row>
    <row r="3098" spans="1:12" x14ac:dyDescent="0.2">
      <c r="A3098"/>
      <c r="B3098"/>
      <c r="C3098"/>
      <c r="D3098"/>
      <c r="E3098" s="2">
        <f>Comuni__2[[#This Row],[Popolazione2011]]/$D$7911</f>
        <v>7.1924919000744439E-5</v>
      </c>
      <c r="F3098">
        <f>SUMIFS($D$2:$D$7909, $B$2:$B$7909, "Lombardia")</f>
        <v>9704151</v>
      </c>
      <c r="G3098" s="1">
        <f>Comuni__2[[#This Row],[Popolazione2011]]/Comuni__2[[#This Row],[POPOLAZIONE TOTALE DI OGNI REGIONE (CON FILTRO)]]</f>
        <v>4.4043007986994433E-4</v>
      </c>
      <c r="H3098" t="str">
        <f>IF(Comuni__2[[#This Row],[Popolazione2011]]&gt;300000,"MAGGIORE","")</f>
        <v/>
      </c>
      <c r="J3098">
        <v>4</v>
      </c>
      <c r="K3098">
        <v>521</v>
      </c>
      <c r="L3098">
        <v>25</v>
      </c>
    </row>
    <row r="3099" spans="1:12" x14ac:dyDescent="0.2">
      <c r="A3099"/>
      <c r="B3099"/>
      <c r="C3099"/>
      <c r="D3099"/>
      <c r="E3099" s="2">
        <f>Comuni__2[[#This Row],[Popolazione2011]]/$D$7911</f>
        <v>7.1840776606031358E-5</v>
      </c>
      <c r="F3099">
        <f>SUMIFS($D$2:$D$7909, $B$2:$B$7909, "Lombardia")</f>
        <v>9704151</v>
      </c>
      <c r="G3099" s="1">
        <f>Comuni__2[[#This Row],[Popolazione2011]]/Comuni__2[[#This Row],[POPOLAZIONE TOTALE DI OGNI REGIONE (CON FILTRO)]]</f>
        <v>4.3991483644473381E-4</v>
      </c>
      <c r="H3099" t="str">
        <f>IF(Comuni__2[[#This Row],[Popolazione2011]]&gt;300000,"MAGGIORE","")</f>
        <v/>
      </c>
      <c r="J3099">
        <v>6</v>
      </c>
      <c r="K3099">
        <v>523</v>
      </c>
      <c r="L3099">
        <v>25</v>
      </c>
    </row>
    <row r="3100" spans="1:12" x14ac:dyDescent="0.2">
      <c r="A3100"/>
      <c r="B3100"/>
      <c r="C3100"/>
      <c r="D3100"/>
      <c r="E3100" s="2">
        <f>Comuni__2[[#This Row],[Popolazione2011]]/$D$7911</f>
        <v>7.1807119648146126E-5</v>
      </c>
      <c r="F3100">
        <f>SUMIFS($D$2:$D$7909, $B$2:$B$7909, "Lombardia")</f>
        <v>9704151</v>
      </c>
      <c r="G3100" s="1">
        <f>Comuni__2[[#This Row],[Popolazione2011]]/Comuni__2[[#This Row],[POPOLAZIONE TOTALE DI OGNI REGIONE (CON FILTRO)]]</f>
        <v>4.397087390746496E-4</v>
      </c>
      <c r="H3100" t="str">
        <f>IF(Comuni__2[[#This Row],[Popolazione2011]]&gt;300000,"MAGGIORE","")</f>
        <v/>
      </c>
      <c r="J3100">
        <v>8</v>
      </c>
      <c r="K3100">
        <v>524</v>
      </c>
      <c r="L3100">
        <v>25</v>
      </c>
    </row>
    <row r="3101" spans="1:12" x14ac:dyDescent="0.2">
      <c r="A3101"/>
      <c r="B3101"/>
      <c r="C3101"/>
      <c r="D3101"/>
      <c r="E3101" s="2">
        <f>Comuni__2[[#This Row],[Popolazione2011]]/$D$7911</f>
        <v>7.1739805732375661E-5</v>
      </c>
      <c r="F3101">
        <f>SUMIFS($D$2:$D$7909, $B$2:$B$7909, "Lombardia")</f>
        <v>9704151</v>
      </c>
      <c r="G3101" s="1">
        <f>Comuni__2[[#This Row],[Popolazione2011]]/Comuni__2[[#This Row],[POPOLAZIONE TOTALE DI OGNI REGIONE (CON FILTRO)]]</f>
        <v>4.3929654433448118E-4</v>
      </c>
      <c r="H3101" t="str">
        <f>IF(Comuni__2[[#This Row],[Popolazione2011]]&gt;300000,"MAGGIORE","")</f>
        <v/>
      </c>
      <c r="J3101">
        <v>7</v>
      </c>
      <c r="K3101">
        <v>543</v>
      </c>
      <c r="L3101">
        <v>26</v>
      </c>
    </row>
    <row r="3102" spans="1:12" x14ac:dyDescent="0.2">
      <c r="A3102"/>
      <c r="B3102"/>
      <c r="C3102"/>
      <c r="D3102"/>
      <c r="E3102" s="2">
        <f>Comuni__2[[#This Row],[Popolazione2011]]/$D$7911</f>
        <v>7.1352750716695463E-5</v>
      </c>
      <c r="F3102">
        <f>SUMIFS($D$2:$D$7909, $B$2:$B$7909, "Lombardia")</f>
        <v>9704151</v>
      </c>
      <c r="G3102" s="1">
        <f>Comuni__2[[#This Row],[Popolazione2011]]/Comuni__2[[#This Row],[POPOLAZIONE TOTALE DI OGNI REGIONE (CON FILTRO)]]</f>
        <v>4.3692642457851283E-4</v>
      </c>
      <c r="H3102" t="str">
        <f>IF(Comuni__2[[#This Row],[Popolazione2011]]&gt;300000,"MAGGIORE","")</f>
        <v/>
      </c>
      <c r="J3102">
        <v>9</v>
      </c>
      <c r="K3102">
        <v>548</v>
      </c>
      <c r="L3102">
        <v>26</v>
      </c>
    </row>
    <row r="3103" spans="1:12" x14ac:dyDescent="0.2">
      <c r="A3103"/>
      <c r="B3103"/>
      <c r="C3103"/>
      <c r="D3103"/>
      <c r="E3103" s="2">
        <f>Comuni__2[[#This Row],[Popolazione2011]]/$D$7911</f>
        <v>7.1302265279867615E-5</v>
      </c>
      <c r="F3103">
        <f>SUMIFS($D$2:$D$7909, $B$2:$B$7909, "Lombardia")</f>
        <v>9704151</v>
      </c>
      <c r="G3103" s="1">
        <f>Comuni__2[[#This Row],[Popolazione2011]]/Comuni__2[[#This Row],[POPOLAZIONE TOTALE DI OGNI REGIONE (CON FILTRO)]]</f>
        <v>4.3661727852338652E-4</v>
      </c>
      <c r="H3103" t="str">
        <f>IF(Comuni__2[[#This Row],[Popolazione2011]]&gt;300000,"MAGGIORE","")</f>
        <v/>
      </c>
      <c r="J3103">
        <v>9</v>
      </c>
      <c r="K3103">
        <v>556</v>
      </c>
      <c r="L3103">
        <v>26</v>
      </c>
    </row>
    <row r="3104" spans="1:12" x14ac:dyDescent="0.2">
      <c r="A3104"/>
      <c r="B3104"/>
      <c r="C3104"/>
      <c r="D3104"/>
      <c r="E3104" s="2">
        <f>Comuni__2[[#This Row],[Popolazione2011]]/$D$7911</f>
        <v>7.1302265279867615E-5</v>
      </c>
      <c r="F3104">
        <f>SUMIFS($D$2:$D$7909, $B$2:$B$7909, "Lombardia")</f>
        <v>9704151</v>
      </c>
      <c r="G3104" s="1">
        <f>Comuni__2[[#This Row],[Popolazione2011]]/Comuni__2[[#This Row],[POPOLAZIONE TOTALE DI OGNI REGIONE (CON FILTRO)]]</f>
        <v>4.3661727852338652E-4</v>
      </c>
      <c r="H3104" t="str">
        <f>IF(Comuni__2[[#This Row],[Popolazione2011]]&gt;300000,"MAGGIORE","")</f>
        <v/>
      </c>
      <c r="J3104">
        <v>10</v>
      </c>
      <c r="K3104">
        <v>559</v>
      </c>
      <c r="L3104">
        <v>26</v>
      </c>
    </row>
    <row r="3105" spans="1:12" x14ac:dyDescent="0.2">
      <c r="A3105"/>
      <c r="B3105"/>
      <c r="C3105"/>
      <c r="D3105"/>
      <c r="E3105" s="2">
        <f>Comuni__2[[#This Row],[Popolazione2011]]/$D$7911</f>
        <v>7.1167637448326686E-5</v>
      </c>
      <c r="F3105">
        <f>SUMIFS($D$2:$D$7909, $B$2:$B$7909, "Lombardia")</f>
        <v>9704151</v>
      </c>
      <c r="G3105" s="1">
        <f>Comuni__2[[#This Row],[Popolazione2011]]/Comuni__2[[#This Row],[POPOLAZIONE TOTALE DI OGNI REGIONE (CON FILTRO)]]</f>
        <v>4.3579288904304974E-4</v>
      </c>
      <c r="H3105" t="str">
        <f>IF(Comuni__2[[#This Row],[Popolazione2011]]&gt;300000,"MAGGIORE","")</f>
        <v/>
      </c>
      <c r="J3105">
        <v>9</v>
      </c>
      <c r="K3105">
        <v>563</v>
      </c>
      <c r="L3105">
        <v>26</v>
      </c>
    </row>
    <row r="3106" spans="1:12" x14ac:dyDescent="0.2">
      <c r="A3106"/>
      <c r="B3106"/>
      <c r="C3106"/>
      <c r="D3106"/>
      <c r="E3106" s="2">
        <f>Comuni__2[[#This Row],[Popolazione2011]]/$D$7911</f>
        <v>7.0965695701015279E-5</v>
      </c>
      <c r="F3106">
        <f>SUMIFS($D$2:$D$7909, $B$2:$B$7909, "Lombardia")</f>
        <v>9704151</v>
      </c>
      <c r="G3106" s="1">
        <f>Comuni__2[[#This Row],[Popolazione2011]]/Comuni__2[[#This Row],[POPOLAZIONE TOTALE DI OGNI REGIONE (CON FILTRO)]]</f>
        <v>4.3455630482254449E-4</v>
      </c>
      <c r="H3106" t="str">
        <f>IF(Comuni__2[[#This Row],[Popolazione2011]]&gt;300000,"MAGGIORE","")</f>
        <v/>
      </c>
      <c r="J3106">
        <v>7</v>
      </c>
      <c r="K3106">
        <v>566</v>
      </c>
      <c r="L3106">
        <v>26</v>
      </c>
    </row>
    <row r="3107" spans="1:12" x14ac:dyDescent="0.2">
      <c r="A3107"/>
      <c r="B3107"/>
      <c r="C3107"/>
      <c r="D3107"/>
      <c r="E3107" s="2">
        <f>Comuni__2[[#This Row],[Popolazione2011]]/$D$7911</f>
        <v>7.0948867222072663E-5</v>
      </c>
      <c r="F3107">
        <f>SUMIFS($D$2:$D$7909, $B$2:$B$7909, "Lombardia")</f>
        <v>9704151</v>
      </c>
      <c r="G3107" s="1">
        <f>Comuni__2[[#This Row],[Popolazione2011]]/Comuni__2[[#This Row],[POPOLAZIONE TOTALE DI OGNI REGIONE (CON FILTRO)]]</f>
        <v>4.3445325613750238E-4</v>
      </c>
      <c r="H3107" t="str">
        <f>IF(Comuni__2[[#This Row],[Popolazione2011]]&gt;300000,"MAGGIORE","")</f>
        <v/>
      </c>
      <c r="J3107">
        <v>8</v>
      </c>
      <c r="K3107">
        <v>573</v>
      </c>
      <c r="L3107">
        <v>26</v>
      </c>
    </row>
    <row r="3108" spans="1:12" x14ac:dyDescent="0.2">
      <c r="A3108"/>
      <c r="B3108"/>
      <c r="C3108"/>
      <c r="D3108"/>
      <c r="E3108" s="2">
        <f>Comuni__2[[#This Row],[Popolazione2011]]/$D$7911</f>
        <v>7.0948867222072663E-5</v>
      </c>
      <c r="F3108">
        <f>SUMIFS($D$2:$D$7909, $B$2:$B$7909, "Lombardia")</f>
        <v>9704151</v>
      </c>
      <c r="G3108" s="1">
        <f>Comuni__2[[#This Row],[Popolazione2011]]/Comuni__2[[#This Row],[POPOLAZIONE TOTALE DI OGNI REGIONE (CON FILTRO)]]</f>
        <v>4.3445325613750238E-4</v>
      </c>
      <c r="H3108" t="str">
        <f>IF(Comuni__2[[#This Row],[Popolazione2011]]&gt;300000,"MAGGIORE","")</f>
        <v/>
      </c>
      <c r="J3108">
        <v>9</v>
      </c>
      <c r="K3108">
        <v>573</v>
      </c>
      <c r="L3108">
        <v>26</v>
      </c>
    </row>
    <row r="3109" spans="1:12" x14ac:dyDescent="0.2">
      <c r="A3109"/>
      <c r="B3109"/>
      <c r="C3109"/>
      <c r="D3109"/>
      <c r="E3109" s="2">
        <f>Comuni__2[[#This Row],[Popolazione2011]]/$D$7911</f>
        <v>7.083106786947435E-5</v>
      </c>
      <c r="F3109">
        <f>SUMIFS($D$2:$D$7909, $B$2:$B$7909, "Lombardia")</f>
        <v>9704151</v>
      </c>
      <c r="G3109" s="1">
        <f>Comuni__2[[#This Row],[Popolazione2011]]/Comuni__2[[#This Row],[POPOLAZIONE TOTALE DI OGNI REGIONE (CON FILTRO)]]</f>
        <v>4.3373191534220765E-4</v>
      </c>
      <c r="H3109" t="str">
        <f>IF(Comuni__2[[#This Row],[Popolazione2011]]&gt;300000,"MAGGIORE","")</f>
        <v/>
      </c>
      <c r="J3109">
        <v>12</v>
      </c>
      <c r="K3109">
        <v>575</v>
      </c>
      <c r="L3109">
        <v>26</v>
      </c>
    </row>
    <row r="3110" spans="1:12" x14ac:dyDescent="0.2">
      <c r="A3110"/>
      <c r="B3110"/>
      <c r="C3110"/>
      <c r="D3110"/>
      <c r="E3110" s="2">
        <f>Comuni__2[[#This Row],[Popolazione2011]]/$D$7911</f>
        <v>7.0797410911589118E-5</v>
      </c>
      <c r="F3110">
        <f>SUMIFS($D$2:$D$7909, $B$2:$B$7909, "Lombardia")</f>
        <v>9704151</v>
      </c>
      <c r="G3110" s="1">
        <f>Comuni__2[[#This Row],[Popolazione2011]]/Comuni__2[[#This Row],[POPOLAZIONE TOTALE DI OGNI REGIONE (CON FILTRO)]]</f>
        <v>4.335258179721235E-4</v>
      </c>
      <c r="H3110" t="str">
        <f>IF(Comuni__2[[#This Row],[Popolazione2011]]&gt;300000,"MAGGIORE","")</f>
        <v/>
      </c>
      <c r="J3110">
        <v>12</v>
      </c>
      <c r="K3110">
        <v>575</v>
      </c>
      <c r="L3110">
        <v>26</v>
      </c>
    </row>
    <row r="3111" spans="1:12" x14ac:dyDescent="0.2">
      <c r="A3111"/>
      <c r="B3111"/>
      <c r="C3111"/>
      <c r="D3111"/>
      <c r="E3111" s="2">
        <f>Comuni__2[[#This Row],[Popolazione2011]]/$D$7911</f>
        <v>7.0595469164277711E-5</v>
      </c>
      <c r="F3111">
        <f>SUMIFS($D$2:$D$7909, $B$2:$B$7909, "Lombardia")</f>
        <v>9704151</v>
      </c>
      <c r="G3111" s="1">
        <f>Comuni__2[[#This Row],[Popolazione2011]]/Comuni__2[[#This Row],[POPOLAZIONE TOTALE DI OGNI REGIONE (CON FILTRO)]]</f>
        <v>4.3228923375161825E-4</v>
      </c>
      <c r="H3111" t="str">
        <f>IF(Comuni__2[[#This Row],[Popolazione2011]]&gt;300000,"MAGGIORE","")</f>
        <v/>
      </c>
      <c r="J3111">
        <v>12</v>
      </c>
      <c r="K3111">
        <v>581</v>
      </c>
      <c r="L3111">
        <v>26</v>
      </c>
    </row>
    <row r="3112" spans="1:12" x14ac:dyDescent="0.2">
      <c r="A3112"/>
      <c r="B3112"/>
      <c r="C3112"/>
      <c r="D3112"/>
      <c r="E3112" s="2">
        <f>Comuni__2[[#This Row],[Popolazione2011]]/$D$7911</f>
        <v>7.0544983727449862E-5</v>
      </c>
      <c r="F3112">
        <f>SUMIFS($D$2:$D$7909, $B$2:$B$7909, "Lombardia")</f>
        <v>9704151</v>
      </c>
      <c r="G3112" s="1">
        <f>Comuni__2[[#This Row],[Popolazione2011]]/Comuni__2[[#This Row],[POPOLAZIONE TOTALE DI OGNI REGIONE (CON FILTRO)]]</f>
        <v>4.3198008769649194E-4</v>
      </c>
      <c r="H3112" t="str">
        <f>IF(Comuni__2[[#This Row],[Popolazione2011]]&gt;300000,"MAGGIORE","")</f>
        <v/>
      </c>
      <c r="J3112">
        <v>10</v>
      </c>
      <c r="K3112">
        <v>591</v>
      </c>
      <c r="L3112">
        <v>26</v>
      </c>
    </row>
    <row r="3113" spans="1:12" x14ac:dyDescent="0.2">
      <c r="A3113"/>
      <c r="B3113"/>
      <c r="C3113"/>
      <c r="D3113"/>
      <c r="E3113" s="2">
        <f>Comuni__2[[#This Row],[Popolazione2011]]/$D$7911</f>
        <v>7.0444012853794152E-5</v>
      </c>
      <c r="F3113">
        <f>SUMIFS($D$2:$D$7909, $B$2:$B$7909, "Lombardia")</f>
        <v>9704151</v>
      </c>
      <c r="G3113" s="1">
        <f>Comuni__2[[#This Row],[Popolazione2011]]/Comuni__2[[#This Row],[POPOLAZIONE TOTALE DI OGNI REGIONE (CON FILTRO)]]</f>
        <v>4.3136179558623931E-4</v>
      </c>
      <c r="H3113" t="str">
        <f>IF(Comuni__2[[#This Row],[Popolazione2011]]&gt;300000,"MAGGIORE","")</f>
        <v/>
      </c>
      <c r="J3113">
        <v>14</v>
      </c>
      <c r="K3113">
        <v>594</v>
      </c>
      <c r="L3113">
        <v>26</v>
      </c>
    </row>
    <row r="3114" spans="1:12" x14ac:dyDescent="0.2">
      <c r="A3114"/>
      <c r="B3114"/>
      <c r="C3114"/>
      <c r="D3114"/>
      <c r="E3114" s="2">
        <f>Comuni__2[[#This Row],[Popolazione2011]]/$D$7911</f>
        <v>7.0359870459081071E-5</v>
      </c>
      <c r="F3114">
        <f>SUMIFS($D$2:$D$7909, $B$2:$B$7909, "Lombardia")</f>
        <v>9704151</v>
      </c>
      <c r="G3114" s="1">
        <f>Comuni__2[[#This Row],[Popolazione2011]]/Comuni__2[[#This Row],[POPOLAZIONE TOTALE DI OGNI REGIONE (CON FILTRO)]]</f>
        <v>4.3084655216102884E-4</v>
      </c>
      <c r="H3114" t="str">
        <f>IF(Comuni__2[[#This Row],[Popolazione2011]]&gt;300000,"MAGGIORE","")</f>
        <v/>
      </c>
      <c r="J3114">
        <v>14</v>
      </c>
      <c r="K3114">
        <v>606</v>
      </c>
      <c r="L3114">
        <v>26</v>
      </c>
    </row>
    <row r="3115" spans="1:12" x14ac:dyDescent="0.2">
      <c r="A3115"/>
      <c r="B3115"/>
      <c r="C3115"/>
      <c r="D3115"/>
      <c r="E3115" s="2">
        <f>Comuni__2[[#This Row],[Popolazione2011]]/$D$7911</f>
        <v>7.0292556543310607E-5</v>
      </c>
      <c r="F3115">
        <f>SUMIFS($D$2:$D$7909, $B$2:$B$7909, "Lombardia")</f>
        <v>9704151</v>
      </c>
      <c r="G3115" s="1">
        <f>Comuni__2[[#This Row],[Popolazione2011]]/Comuni__2[[#This Row],[POPOLAZIONE TOTALE DI OGNI REGIONE (CON FILTRO)]]</f>
        <v>4.3043435742086042E-4</v>
      </c>
      <c r="H3115" t="str">
        <f>IF(Comuni__2[[#This Row],[Popolazione2011]]&gt;300000,"MAGGIORE","")</f>
        <v/>
      </c>
      <c r="J3115">
        <v>18</v>
      </c>
      <c r="K3115">
        <v>640</v>
      </c>
      <c r="L3115">
        <v>27</v>
      </c>
    </row>
    <row r="3116" spans="1:12" x14ac:dyDescent="0.2">
      <c r="A3116"/>
      <c r="B3116"/>
      <c r="C3116"/>
      <c r="D3116"/>
      <c r="E3116" s="2">
        <f>Comuni__2[[#This Row],[Popolazione2011]]/$D$7911</f>
        <v>7.0073786317056584E-5</v>
      </c>
      <c r="F3116">
        <f>SUMIFS($D$2:$D$7909, $B$2:$B$7909, "Lombardia")</f>
        <v>9704151</v>
      </c>
      <c r="G3116" s="1">
        <f>Comuni__2[[#This Row],[Popolazione2011]]/Comuni__2[[#This Row],[POPOLAZIONE TOTALE DI OGNI REGIONE (CON FILTRO)]]</f>
        <v>4.2909472451531307E-4</v>
      </c>
      <c r="H3116" t="str">
        <f>IF(Comuni__2[[#This Row],[Popolazione2011]]&gt;300000,"MAGGIORE","")</f>
        <v/>
      </c>
      <c r="J3116">
        <v>22</v>
      </c>
      <c r="K3116">
        <v>640</v>
      </c>
      <c r="L3116">
        <v>28</v>
      </c>
    </row>
    <row r="3117" spans="1:12" x14ac:dyDescent="0.2">
      <c r="A3117"/>
      <c r="B3117"/>
      <c r="C3117"/>
      <c r="D3117"/>
      <c r="E3117" s="2">
        <f>Comuni__2[[#This Row],[Popolazione2011]]/$D$7911</f>
        <v>7.0056957838113967E-5</v>
      </c>
      <c r="F3117">
        <f>SUMIFS($D$2:$D$7909, $B$2:$B$7909, "Lombardia")</f>
        <v>9704151</v>
      </c>
      <c r="G3117" s="1">
        <f>Comuni__2[[#This Row],[Popolazione2011]]/Comuni__2[[#This Row],[POPOLAZIONE TOTALE DI OGNI REGIONE (CON FILTRO)]]</f>
        <v>4.2899167583027096E-4</v>
      </c>
      <c r="H3117" t="str">
        <f>IF(Comuni__2[[#This Row],[Popolazione2011]]&gt;300000,"MAGGIORE","")</f>
        <v/>
      </c>
      <c r="J3117">
        <v>22</v>
      </c>
      <c r="K3117">
        <v>651</v>
      </c>
      <c r="L3117">
        <v>28</v>
      </c>
    </row>
    <row r="3118" spans="1:12" x14ac:dyDescent="0.2">
      <c r="A3118"/>
      <c r="B3118"/>
      <c r="C3118"/>
      <c r="D3118"/>
      <c r="E3118" s="2">
        <f>Comuni__2[[#This Row],[Popolazione2011]]/$D$7911</f>
        <v>6.9922330006573038E-5</v>
      </c>
      <c r="F3118">
        <f>SUMIFS($D$2:$D$7909, $B$2:$B$7909, "Lombardia")</f>
        <v>9704151</v>
      </c>
      <c r="G3118" s="1">
        <f>Comuni__2[[#This Row],[Popolazione2011]]/Comuni__2[[#This Row],[POPOLAZIONE TOTALE DI OGNI REGIONE (CON FILTRO)]]</f>
        <v>4.2816728634993418E-4</v>
      </c>
      <c r="H3118" t="str">
        <f>IF(Comuni__2[[#This Row],[Popolazione2011]]&gt;300000,"MAGGIORE","")</f>
        <v/>
      </c>
      <c r="J3118">
        <v>21</v>
      </c>
      <c r="K3118">
        <v>664</v>
      </c>
      <c r="L3118">
        <v>29</v>
      </c>
    </row>
    <row r="3119" spans="1:12" x14ac:dyDescent="0.2">
      <c r="A3119"/>
      <c r="B3119"/>
      <c r="C3119"/>
      <c r="D3119"/>
      <c r="E3119" s="2">
        <f>Comuni__2[[#This Row],[Popolazione2011]]/$D$7911</f>
        <v>6.9905501527630422E-5</v>
      </c>
      <c r="F3119">
        <f>SUMIFS($D$2:$D$7909, $B$2:$B$7909, "Lombardia")</f>
        <v>9704151</v>
      </c>
      <c r="G3119" s="1">
        <f>Comuni__2[[#This Row],[Popolazione2011]]/Comuni__2[[#This Row],[POPOLAZIONE TOTALE DI OGNI REGIONE (CON FILTRO)]]</f>
        <v>4.2806423766489208E-4</v>
      </c>
      <c r="H3119" t="str">
        <f>IF(Comuni__2[[#This Row],[Popolazione2011]]&gt;300000,"MAGGIORE","")</f>
        <v/>
      </c>
      <c r="J3119">
        <v>23</v>
      </c>
      <c r="K3119">
        <v>674</v>
      </c>
      <c r="L3119">
        <v>31</v>
      </c>
    </row>
    <row r="3120" spans="1:12" x14ac:dyDescent="0.2">
      <c r="A3120"/>
      <c r="B3120"/>
      <c r="C3120"/>
      <c r="D3120"/>
      <c r="E3120" s="2">
        <f>Comuni__2[[#This Row],[Popolazione2011]]/$D$7911</f>
        <v>6.9568931948778086E-5</v>
      </c>
      <c r="F3120">
        <f>SUMIFS($D$2:$D$7909, $B$2:$B$7909, "Lombardia")</f>
        <v>9704151</v>
      </c>
      <c r="G3120" s="1">
        <f>Comuni__2[[#This Row],[Popolazione2011]]/Comuni__2[[#This Row],[POPOLAZIONE TOTALE DI OGNI REGIONE (CON FILTRO)]]</f>
        <v>4.2600326396405005E-4</v>
      </c>
      <c r="H3120" t="str">
        <f>IF(Comuni__2[[#This Row],[Popolazione2011]]&gt;300000,"MAGGIORE","")</f>
        <v/>
      </c>
      <c r="J3120">
        <v>23</v>
      </c>
      <c r="K3120">
        <v>675</v>
      </c>
      <c r="L3120">
        <v>32</v>
      </c>
    </row>
    <row r="3121" spans="1:12" x14ac:dyDescent="0.2">
      <c r="A3121"/>
      <c r="B3121"/>
      <c r="C3121"/>
      <c r="D3121"/>
      <c r="E3121" s="2">
        <f>Comuni__2[[#This Row],[Popolazione2011]]/$D$7911</f>
        <v>6.9535274990892854E-5</v>
      </c>
      <c r="F3121">
        <f>SUMIFS($D$2:$D$7909, $B$2:$B$7909, "Lombardia")</f>
        <v>9704151</v>
      </c>
      <c r="G3121" s="1">
        <f>Comuni__2[[#This Row],[Popolazione2011]]/Comuni__2[[#This Row],[POPOLAZIONE TOTALE DI OGNI REGIONE (CON FILTRO)]]</f>
        <v>4.2579716659396584E-4</v>
      </c>
      <c r="H3121" t="str">
        <f>IF(Comuni__2[[#This Row],[Popolazione2011]]&gt;300000,"MAGGIORE","")</f>
        <v/>
      </c>
      <c r="J3121">
        <v>24</v>
      </c>
      <c r="K3121">
        <v>692</v>
      </c>
      <c r="L3121">
        <v>32</v>
      </c>
    </row>
    <row r="3122" spans="1:12" x14ac:dyDescent="0.2">
      <c r="A3122"/>
      <c r="B3122"/>
      <c r="C3122"/>
      <c r="D3122"/>
      <c r="E3122" s="2">
        <f>Comuni__2[[#This Row],[Popolazione2011]]/$D$7911</f>
        <v>6.9400647159351911E-5</v>
      </c>
      <c r="F3122">
        <f>SUMIFS($D$2:$D$7909, $B$2:$B$7909, "Lombardia")</f>
        <v>9704151</v>
      </c>
      <c r="G3122" s="1">
        <f>Comuni__2[[#This Row],[Popolazione2011]]/Comuni__2[[#This Row],[POPOLAZIONE TOTALE DI OGNI REGIONE (CON FILTRO)]]</f>
        <v>4.24972777113629E-4</v>
      </c>
      <c r="H3122" t="str">
        <f>IF(Comuni__2[[#This Row],[Popolazione2011]]&gt;300000,"MAGGIORE","")</f>
        <v/>
      </c>
      <c r="J3122">
        <v>23</v>
      </c>
      <c r="K3122">
        <v>702</v>
      </c>
      <c r="L3122">
        <v>37</v>
      </c>
    </row>
    <row r="3123" spans="1:12" x14ac:dyDescent="0.2">
      <c r="A3123"/>
      <c r="B3123"/>
      <c r="C3123"/>
      <c r="D3123"/>
      <c r="E3123" s="2">
        <f>Comuni__2[[#This Row],[Popolazione2011]]/$D$7911</f>
        <v>6.9097734538384808E-5</v>
      </c>
      <c r="F3123">
        <f>SUMIFS($D$2:$D$7909, $B$2:$B$7909, "Lombardia")</f>
        <v>9704151</v>
      </c>
      <c r="G3123" s="1">
        <f>Comuni__2[[#This Row],[Popolazione2011]]/Comuni__2[[#This Row],[POPOLAZIONE TOTALE DI OGNI REGIONE (CON FILTRO)]]</f>
        <v>4.2311790078287118E-4</v>
      </c>
      <c r="H3123" t="str">
        <f>IF(Comuni__2[[#This Row],[Popolazione2011]]&gt;300000,"MAGGIORE","")</f>
        <v/>
      </c>
      <c r="J3123">
        <v>23</v>
      </c>
      <c r="K3123">
        <v>703</v>
      </c>
      <c r="L3123">
        <v>40</v>
      </c>
    </row>
    <row r="3124" spans="1:12" x14ac:dyDescent="0.2">
      <c r="A3124"/>
      <c r="B3124"/>
      <c r="C3124"/>
      <c r="D3124"/>
      <c r="E3124" s="2">
        <f>Comuni__2[[#This Row],[Popolazione2011]]/$D$7911</f>
        <v>6.9047249101556959E-5</v>
      </c>
      <c r="F3124">
        <f>SUMIFS($D$2:$D$7909, $B$2:$B$7909, "Lombardia")</f>
        <v>9704151</v>
      </c>
      <c r="G3124" s="1">
        <f>Comuni__2[[#This Row],[Popolazione2011]]/Comuni__2[[#This Row],[POPOLAZIONE TOTALE DI OGNI REGIONE (CON FILTRO)]]</f>
        <v>4.2280875472774487E-4</v>
      </c>
      <c r="H3124" t="str">
        <f>IF(Comuni__2[[#This Row],[Popolazione2011]]&gt;300000,"MAGGIORE","")</f>
        <v/>
      </c>
      <c r="J3124">
        <v>27</v>
      </c>
      <c r="K3124">
        <v>703</v>
      </c>
      <c r="L3124">
        <v>41</v>
      </c>
    </row>
    <row r="3125" spans="1:12" x14ac:dyDescent="0.2">
      <c r="A3125"/>
      <c r="B3125"/>
      <c r="C3125"/>
      <c r="D3125"/>
      <c r="E3125" s="2">
        <f>Comuni__2[[#This Row],[Popolazione2011]]/$D$7911</f>
        <v>6.8845307354245552E-5</v>
      </c>
      <c r="F3125">
        <f>SUMIFS($D$2:$D$7909, $B$2:$B$7909, "Lombardia")</f>
        <v>9704151</v>
      </c>
      <c r="G3125" s="1">
        <f>Comuni__2[[#This Row],[Popolazione2011]]/Comuni__2[[#This Row],[POPOLAZIONE TOTALE DI OGNI REGIONE (CON FILTRO)]]</f>
        <v>4.2157217050723962E-4</v>
      </c>
      <c r="H3125" t="str">
        <f>IF(Comuni__2[[#This Row],[Popolazione2011]]&gt;300000,"MAGGIORE","")</f>
        <v/>
      </c>
      <c r="J3125">
        <v>30</v>
      </c>
      <c r="K3125">
        <v>705</v>
      </c>
      <c r="L3125">
        <v>41</v>
      </c>
    </row>
    <row r="3126" spans="1:12" x14ac:dyDescent="0.2">
      <c r="A3126"/>
      <c r="B3126"/>
      <c r="C3126"/>
      <c r="D3126"/>
      <c r="E3126" s="2">
        <f>Comuni__2[[#This Row],[Popolazione2011]]/$D$7911</f>
        <v>6.8441423859622752E-5</v>
      </c>
      <c r="F3126">
        <f>SUMIFS($D$2:$D$7909, $B$2:$B$7909, "Lombardia")</f>
        <v>9704151</v>
      </c>
      <c r="G3126" s="1">
        <f>Comuni__2[[#This Row],[Popolazione2011]]/Comuni__2[[#This Row],[POPOLAZIONE TOTALE DI OGNI REGIONE (CON FILTRO)]]</f>
        <v>4.1909900206622917E-4</v>
      </c>
      <c r="H3126" t="str">
        <f>IF(Comuni__2[[#This Row],[Popolazione2011]]&gt;300000,"MAGGIORE","")</f>
        <v/>
      </c>
      <c r="J3126">
        <v>35</v>
      </c>
      <c r="K3126">
        <v>733</v>
      </c>
      <c r="L3126">
        <v>41</v>
      </c>
    </row>
    <row r="3127" spans="1:12" x14ac:dyDescent="0.2">
      <c r="A3127"/>
      <c r="B3127"/>
      <c r="C3127"/>
      <c r="D3127"/>
      <c r="E3127" s="2">
        <f>Comuni__2[[#This Row],[Popolazione2011]]/$D$7911</f>
        <v>6.8424595380680135E-5</v>
      </c>
      <c r="F3127">
        <f>SUMIFS($D$2:$D$7909, $B$2:$B$7909, "Lombardia")</f>
        <v>9704151</v>
      </c>
      <c r="G3127" s="1">
        <f>Comuni__2[[#This Row],[Popolazione2011]]/Comuni__2[[#This Row],[POPOLAZIONE TOTALE DI OGNI REGIONE (CON FILTRO)]]</f>
        <v>4.1899595338118706E-4</v>
      </c>
      <c r="H3127" t="str">
        <f>IF(Comuni__2[[#This Row],[Popolazione2011]]&gt;300000,"MAGGIORE","")</f>
        <v/>
      </c>
      <c r="J3127">
        <v>34</v>
      </c>
      <c r="K3127">
        <v>746</v>
      </c>
      <c r="L3127">
        <v>42</v>
      </c>
    </row>
    <row r="3128" spans="1:12" x14ac:dyDescent="0.2">
      <c r="A3128"/>
      <c r="B3128"/>
      <c r="C3128"/>
      <c r="D3128"/>
      <c r="E3128" s="2">
        <f>Comuni__2[[#This Row],[Popolazione2011]]/$D$7911</f>
        <v>6.8340452985967055E-5</v>
      </c>
      <c r="F3128">
        <f>SUMIFS($D$2:$D$7909, $B$2:$B$7909, "Lombardia")</f>
        <v>9704151</v>
      </c>
      <c r="G3128" s="1">
        <f>Comuni__2[[#This Row],[Popolazione2011]]/Comuni__2[[#This Row],[POPOLAZIONE TOTALE DI OGNI REGIONE (CON FILTRO)]]</f>
        <v>4.1848070995597659E-4</v>
      </c>
      <c r="H3128" t="str">
        <f>IF(Comuni__2[[#This Row],[Popolazione2011]]&gt;300000,"MAGGIORE","")</f>
        <v/>
      </c>
      <c r="J3128">
        <v>34</v>
      </c>
      <c r="K3128">
        <v>749</v>
      </c>
      <c r="L3128">
        <v>45</v>
      </c>
    </row>
    <row r="3129" spans="1:12" x14ac:dyDescent="0.2">
      <c r="A3129"/>
      <c r="B3129"/>
      <c r="C3129"/>
      <c r="D3129"/>
      <c r="E3129" s="2">
        <f>Comuni__2[[#This Row],[Popolazione2011]]/$D$7911</f>
        <v>6.8155339717598264E-5</v>
      </c>
      <c r="F3129">
        <f>SUMIFS($D$2:$D$7909, $B$2:$B$7909, "Lombardia")</f>
        <v>9704151</v>
      </c>
      <c r="G3129" s="1">
        <f>Comuni__2[[#This Row],[Popolazione2011]]/Comuni__2[[#This Row],[POPOLAZIONE TOTALE DI OGNI REGIONE (CON FILTRO)]]</f>
        <v>4.1734717442051345E-4</v>
      </c>
      <c r="H3129" t="str">
        <f>IF(Comuni__2[[#This Row],[Popolazione2011]]&gt;300000,"MAGGIORE","")</f>
        <v/>
      </c>
      <c r="J3129">
        <v>34</v>
      </c>
      <c r="K3129">
        <v>749</v>
      </c>
      <c r="L3129">
        <v>45</v>
      </c>
    </row>
    <row r="3130" spans="1:12" x14ac:dyDescent="0.2">
      <c r="A3130"/>
      <c r="B3130"/>
      <c r="C3130"/>
      <c r="D3130"/>
      <c r="E3130" s="2">
        <f>Comuni__2[[#This Row],[Popolazione2011]]/$D$7911</f>
        <v>6.8071197322885183E-5</v>
      </c>
      <c r="F3130">
        <f>SUMIFS($D$2:$D$7909, $B$2:$B$7909, "Lombardia")</f>
        <v>9704151</v>
      </c>
      <c r="G3130" s="1">
        <f>Comuni__2[[#This Row],[Popolazione2011]]/Comuni__2[[#This Row],[POPOLAZIONE TOTALE DI OGNI REGIONE (CON FILTRO)]]</f>
        <v>4.1683193099530293E-4</v>
      </c>
      <c r="H3130" t="str">
        <f>IF(Comuni__2[[#This Row],[Popolazione2011]]&gt;300000,"MAGGIORE","")</f>
        <v/>
      </c>
      <c r="J3130">
        <v>46</v>
      </c>
      <c r="K3130">
        <v>752</v>
      </c>
      <c r="L3130">
        <v>48</v>
      </c>
    </row>
    <row r="3131" spans="1:12" x14ac:dyDescent="0.2">
      <c r="A3131"/>
      <c r="B3131"/>
      <c r="C3131"/>
      <c r="D3131"/>
      <c r="E3131" s="2">
        <f>Comuni__2[[#This Row],[Popolazione2011]]/$D$7911</f>
        <v>6.8071197322885183E-5</v>
      </c>
      <c r="F3131">
        <f>SUMIFS($D$2:$D$7909, $B$2:$B$7909, "Lombardia")</f>
        <v>9704151</v>
      </c>
      <c r="G3131" s="1">
        <f>Comuni__2[[#This Row],[Popolazione2011]]/Comuni__2[[#This Row],[POPOLAZIONE TOTALE DI OGNI REGIONE (CON FILTRO)]]</f>
        <v>4.1683193099530293E-4</v>
      </c>
      <c r="H3131" t="str">
        <f>IF(Comuni__2[[#This Row],[Popolazione2011]]&gt;300000,"MAGGIORE","")</f>
        <v/>
      </c>
      <c r="J3131">
        <v>45</v>
      </c>
      <c r="K3131">
        <v>831</v>
      </c>
      <c r="L3131">
        <v>49</v>
      </c>
    </row>
    <row r="3132" spans="1:12" x14ac:dyDescent="0.2">
      <c r="A3132"/>
      <c r="B3132"/>
      <c r="C3132"/>
      <c r="D3132"/>
      <c r="E3132" s="2">
        <f>Comuni__2[[#This Row],[Popolazione2011]]/$D$7911</f>
        <v>6.7953397970286857E-5</v>
      </c>
      <c r="F3132">
        <f>SUMIFS($D$2:$D$7909, $B$2:$B$7909, "Lombardia")</f>
        <v>9704151</v>
      </c>
      <c r="G3132" s="1">
        <f>Comuni__2[[#This Row],[Popolazione2011]]/Comuni__2[[#This Row],[POPOLAZIONE TOTALE DI OGNI REGIONE (CON FILTRO)]]</f>
        <v>4.1611059020000825E-4</v>
      </c>
      <c r="H3132" t="str">
        <f>IF(Comuni__2[[#This Row],[Popolazione2011]]&gt;300000,"MAGGIORE","")</f>
        <v/>
      </c>
      <c r="J3132">
        <v>51</v>
      </c>
      <c r="K3132">
        <v>834</v>
      </c>
      <c r="L3132">
        <v>56</v>
      </c>
    </row>
    <row r="3133" spans="1:12" x14ac:dyDescent="0.2">
      <c r="A3133"/>
      <c r="B3133"/>
      <c r="C3133"/>
      <c r="D3133"/>
      <c r="E3133" s="2">
        <f>Comuni__2[[#This Row],[Popolazione2011]]/$D$7911</f>
        <v>6.7919741012401625E-5</v>
      </c>
      <c r="F3133">
        <f>SUMIFS($D$2:$D$7909, $B$2:$B$7909, "Lombardia")</f>
        <v>9704151</v>
      </c>
      <c r="G3133" s="1">
        <f>Comuni__2[[#This Row],[Popolazione2011]]/Comuni__2[[#This Row],[POPOLAZIONE TOTALE DI OGNI REGIONE (CON FILTRO)]]</f>
        <v>4.1590449282992404E-4</v>
      </c>
      <c r="H3133" t="str">
        <f>IF(Comuni__2[[#This Row],[Popolazione2011]]&gt;300000,"MAGGIORE","")</f>
        <v/>
      </c>
      <c r="J3133">
        <v>56</v>
      </c>
      <c r="K3133">
        <v>840</v>
      </c>
      <c r="L3133">
        <v>57</v>
      </c>
    </row>
    <row r="3134" spans="1:12" x14ac:dyDescent="0.2">
      <c r="A3134"/>
      <c r="B3134"/>
      <c r="C3134"/>
      <c r="D3134"/>
      <c r="E3134" s="2">
        <f>Comuni__2[[#This Row],[Popolazione2011]]/$D$7911</f>
        <v>6.7684142307204999E-5</v>
      </c>
      <c r="F3134">
        <f>SUMIFS($D$2:$D$7909, $B$2:$B$7909, "Lombardia")</f>
        <v>9704151</v>
      </c>
      <c r="G3134" s="1">
        <f>Comuni__2[[#This Row],[Popolazione2011]]/Comuni__2[[#This Row],[POPOLAZIONE TOTALE DI OGNI REGIONE (CON FILTRO)]]</f>
        <v>4.1446181123933458E-4</v>
      </c>
      <c r="H3134" t="str">
        <f>IF(Comuni__2[[#This Row],[Popolazione2011]]&gt;300000,"MAGGIORE","")</f>
        <v/>
      </c>
      <c r="J3134">
        <v>62</v>
      </c>
      <c r="K3134">
        <v>841</v>
      </c>
      <c r="L3134">
        <v>61</v>
      </c>
    </row>
    <row r="3135" spans="1:12" x14ac:dyDescent="0.2">
      <c r="A3135"/>
      <c r="B3135"/>
      <c r="C3135"/>
      <c r="D3135"/>
      <c r="E3135" s="2">
        <f>Comuni__2[[#This Row],[Popolazione2011]]/$D$7911</f>
        <v>6.7667313828262383E-5</v>
      </c>
      <c r="F3135">
        <f>SUMIFS($D$2:$D$7909, $B$2:$B$7909, "Lombardia")</f>
        <v>9704151</v>
      </c>
      <c r="G3135" s="1">
        <f>Comuni__2[[#This Row],[Popolazione2011]]/Comuni__2[[#This Row],[POPOLAZIONE TOTALE DI OGNI REGIONE (CON FILTRO)]]</f>
        <v>4.1435876255429248E-4</v>
      </c>
      <c r="H3135" t="str">
        <f>IF(Comuni__2[[#This Row],[Popolazione2011]]&gt;300000,"MAGGIORE","")</f>
        <v/>
      </c>
      <c r="J3135">
        <v>62</v>
      </c>
      <c r="K3135">
        <v>848</v>
      </c>
      <c r="L3135">
        <v>62</v>
      </c>
    </row>
    <row r="3136" spans="1:12" x14ac:dyDescent="0.2">
      <c r="A3136"/>
      <c r="B3136"/>
      <c r="C3136"/>
      <c r="D3136"/>
      <c r="E3136" s="2">
        <f>Comuni__2[[#This Row],[Popolazione2011]]/$D$7911</f>
        <v>6.7633656870377137E-5</v>
      </c>
      <c r="F3136">
        <f>SUMIFS($D$2:$D$7909, $B$2:$B$7909, "Lombardia")</f>
        <v>9704151</v>
      </c>
      <c r="G3136" s="1">
        <f>Comuni__2[[#This Row],[Popolazione2011]]/Comuni__2[[#This Row],[POPOLAZIONE TOTALE DI OGNI REGIONE (CON FILTRO)]]</f>
        <v>4.1415266518420827E-4</v>
      </c>
      <c r="H3136" t="str">
        <f>IF(Comuni__2[[#This Row],[Popolazione2011]]&gt;300000,"MAGGIORE","")</f>
        <v/>
      </c>
      <c r="J3136">
        <v>61</v>
      </c>
      <c r="K3136">
        <v>914</v>
      </c>
      <c r="L3136">
        <v>66</v>
      </c>
    </row>
    <row r="3137" spans="1:12" x14ac:dyDescent="0.2">
      <c r="A3137"/>
      <c r="B3137"/>
      <c r="C3137"/>
      <c r="D3137"/>
      <c r="E3137" s="2">
        <f>Comuni__2[[#This Row],[Popolazione2011]]/$D$7911</f>
        <v>6.7616828391434521E-5</v>
      </c>
      <c r="F3137">
        <f>SUMIFS($D$2:$D$7909, $B$2:$B$7909, "Lombardia")</f>
        <v>9704151</v>
      </c>
      <c r="G3137" s="1">
        <f>Comuni__2[[#This Row],[Popolazione2011]]/Comuni__2[[#This Row],[POPOLAZIONE TOTALE DI OGNI REGIONE (CON FILTRO)]]</f>
        <v>4.1404961649916616E-4</v>
      </c>
      <c r="H3137" t="str">
        <f>IF(Comuni__2[[#This Row],[Popolazione2011]]&gt;300000,"MAGGIORE","")</f>
        <v/>
      </c>
      <c r="J3137">
        <v>67</v>
      </c>
      <c r="K3137">
        <v>916</v>
      </c>
      <c r="L3137">
        <v>67</v>
      </c>
    </row>
    <row r="3138" spans="1:12" x14ac:dyDescent="0.2">
      <c r="A3138"/>
      <c r="B3138"/>
      <c r="C3138"/>
      <c r="D3138"/>
      <c r="E3138" s="2">
        <f>Comuni__2[[#This Row],[Popolazione2011]]/$D$7911</f>
        <v>6.7499029038836208E-5</v>
      </c>
      <c r="F3138">
        <f>SUMIFS($D$2:$D$7909, $B$2:$B$7909, "Lombardia")</f>
        <v>9704151</v>
      </c>
      <c r="G3138" s="1">
        <f>Comuni__2[[#This Row],[Popolazione2011]]/Comuni__2[[#This Row],[POPOLAZIONE TOTALE DI OGNI REGIONE (CON FILTRO)]]</f>
        <v>4.1332827570387149E-4</v>
      </c>
      <c r="H3138" t="str">
        <f>IF(Comuni__2[[#This Row],[Popolazione2011]]&gt;300000,"MAGGIORE","")</f>
        <v/>
      </c>
      <c r="J3138">
        <v>63</v>
      </c>
      <c r="K3138">
        <v>968</v>
      </c>
      <c r="L3138">
        <v>71</v>
      </c>
    </row>
    <row r="3139" spans="1:12" x14ac:dyDescent="0.2">
      <c r="A3139"/>
      <c r="B3139"/>
      <c r="C3139"/>
      <c r="D3139"/>
      <c r="E3139" s="2">
        <f>Comuni__2[[#This Row],[Popolazione2011]]/$D$7911</f>
        <v>6.7246601854696952E-5</v>
      </c>
      <c r="F3139">
        <f>SUMIFS($D$2:$D$7909, $B$2:$B$7909, "Lombardia")</f>
        <v>9704151</v>
      </c>
      <c r="G3139" s="1">
        <f>Comuni__2[[#This Row],[Popolazione2011]]/Comuni__2[[#This Row],[POPOLAZIONE TOTALE DI OGNI REGIONE (CON FILTRO)]]</f>
        <v>4.1178254542823992E-4</v>
      </c>
      <c r="H3139" t="str">
        <f>IF(Comuni__2[[#This Row],[Popolazione2011]]&gt;300000,"MAGGIORE","")</f>
        <v/>
      </c>
      <c r="J3139">
        <v>69</v>
      </c>
      <c r="K3139">
        <v>995</v>
      </c>
      <c r="L3139">
        <v>72</v>
      </c>
    </row>
    <row r="3140" spans="1:12" x14ac:dyDescent="0.2">
      <c r="A3140"/>
      <c r="B3140"/>
      <c r="C3140"/>
      <c r="D3140"/>
      <c r="E3140" s="2">
        <f>Comuni__2[[#This Row],[Popolazione2011]]/$D$7911</f>
        <v>6.7179287938926488E-5</v>
      </c>
      <c r="F3140">
        <f>SUMIFS($D$2:$D$7909, $B$2:$B$7909, "Lombardia")</f>
        <v>9704151</v>
      </c>
      <c r="G3140" s="1">
        <f>Comuni__2[[#This Row],[Popolazione2011]]/Comuni__2[[#This Row],[POPOLAZIONE TOTALE DI OGNI REGIONE (CON FILTRO)]]</f>
        <v>4.113703506880715E-4</v>
      </c>
      <c r="H3140" t="str">
        <f>IF(Comuni__2[[#This Row],[Popolazione2011]]&gt;300000,"MAGGIORE","")</f>
        <v/>
      </c>
      <c r="J3140">
        <v>65</v>
      </c>
      <c r="K3140">
        <v>1219</v>
      </c>
      <c r="L3140">
        <v>80</v>
      </c>
    </row>
    <row r="3141" spans="1:12" x14ac:dyDescent="0.2">
      <c r="A3141"/>
      <c r="B3141"/>
      <c r="C3141"/>
      <c r="D3141"/>
      <c r="E3141" s="2">
        <f>Comuni__2[[#This Row],[Popolazione2011]]/$D$7911</f>
        <v>6.7162459459983872E-5</v>
      </c>
      <c r="F3141">
        <f>SUMIFS($D$2:$D$7909, $B$2:$B$7909, "Lombardia")</f>
        <v>9704151</v>
      </c>
      <c r="G3141" s="1">
        <f>Comuni__2[[#This Row],[Popolazione2011]]/Comuni__2[[#This Row],[POPOLAZIONE TOTALE DI OGNI REGIONE (CON FILTRO)]]</f>
        <v>4.112673020030294E-4</v>
      </c>
      <c r="H3141" t="str">
        <f>IF(Comuni__2[[#This Row],[Popolazione2011]]&gt;300000,"MAGGIORE","")</f>
        <v/>
      </c>
      <c r="J3141">
        <v>74</v>
      </c>
      <c r="K3141">
        <v>1237</v>
      </c>
      <c r="L3141">
        <v>84</v>
      </c>
    </row>
    <row r="3142" spans="1:12" x14ac:dyDescent="0.2">
      <c r="A3142"/>
      <c r="B3142"/>
      <c r="C3142"/>
      <c r="D3142"/>
      <c r="E3142" s="2">
        <f>Comuni__2[[#This Row],[Popolazione2011]]/$D$7911</f>
        <v>6.7011003149500313E-5</v>
      </c>
      <c r="F3142">
        <f>SUMIFS($D$2:$D$7909, $B$2:$B$7909, "Lombardia")</f>
        <v>9704151</v>
      </c>
      <c r="G3142" s="1">
        <f>Comuni__2[[#This Row],[Popolazione2011]]/Comuni__2[[#This Row],[POPOLAZIONE TOTALE DI OGNI REGIONE (CON FILTRO)]]</f>
        <v>4.1033986383765052E-4</v>
      </c>
      <c r="H3142" t="str">
        <f>IF(Comuni__2[[#This Row],[Popolazione2011]]&gt;300000,"MAGGIORE","")</f>
        <v/>
      </c>
      <c r="J3142">
        <v>60</v>
      </c>
      <c r="K3142">
        <v>1402</v>
      </c>
      <c r="L3142">
        <v>86</v>
      </c>
    </row>
    <row r="3143" spans="1:12" x14ac:dyDescent="0.2">
      <c r="A3143"/>
      <c r="B3143"/>
      <c r="C3143"/>
      <c r="D3143"/>
      <c r="E3143" s="2">
        <f>Comuni__2[[#This Row],[Popolazione2011]]/$D$7911</f>
        <v>6.6910032275844616E-5</v>
      </c>
      <c r="F3143">
        <f>SUMIFS($D$2:$D$7909, $B$2:$B$7909, "Lombardia")</f>
        <v>9704151</v>
      </c>
      <c r="G3143" s="1">
        <f>Comuni__2[[#This Row],[Popolazione2011]]/Comuni__2[[#This Row],[POPOLAZIONE TOTALE DI OGNI REGIONE (CON FILTRO)]]</f>
        <v>4.0972157172739789E-4</v>
      </c>
      <c r="H3143" t="str">
        <f>IF(Comuni__2[[#This Row],[Popolazione2011]]&gt;300000,"MAGGIORE","")</f>
        <v/>
      </c>
      <c r="J3143">
        <v>60</v>
      </c>
      <c r="K3143">
        <v>1416</v>
      </c>
      <c r="L3143">
        <v>92</v>
      </c>
    </row>
    <row r="3144" spans="1:12" x14ac:dyDescent="0.2">
      <c r="A3144"/>
      <c r="B3144"/>
      <c r="C3144"/>
      <c r="D3144"/>
      <c r="E3144" s="2">
        <f>Comuni__2[[#This Row],[Popolazione2011]]/$D$7911</f>
        <v>6.6842718360074152E-5</v>
      </c>
      <c r="F3144">
        <f>SUMIFS($D$2:$D$7909, $B$2:$B$7909, "Lombardia")</f>
        <v>9704151</v>
      </c>
      <c r="G3144" s="1">
        <f>Comuni__2[[#This Row],[Popolazione2011]]/Comuni__2[[#This Row],[POPOLAZIONE TOTALE DI OGNI REGIONE (CON FILTRO)]]</f>
        <v>4.0930937698722947E-4</v>
      </c>
      <c r="H3144" t="str">
        <f>IF(Comuni__2[[#This Row],[Popolazione2011]]&gt;300000,"MAGGIORE","")</f>
        <v/>
      </c>
      <c r="J3144">
        <v>62</v>
      </c>
      <c r="K3144">
        <v>1445</v>
      </c>
      <c r="L3144">
        <v>94</v>
      </c>
    </row>
    <row r="3145" spans="1:12" x14ac:dyDescent="0.2">
      <c r="A3145"/>
      <c r="B3145"/>
      <c r="C3145"/>
      <c r="D3145"/>
      <c r="E3145" s="2">
        <f>Comuni__2[[#This Row],[Popolazione2011]]/$D$7911</f>
        <v>6.6607119654877513E-5</v>
      </c>
      <c r="F3145">
        <f>SUMIFS($D$2:$D$7909, $B$2:$B$7909, "Lombardia")</f>
        <v>9704151</v>
      </c>
      <c r="G3145" s="1">
        <f>Comuni__2[[#This Row],[Popolazione2011]]/Comuni__2[[#This Row],[POPOLAZIONE TOTALE DI OGNI REGIONE (CON FILTRO)]]</f>
        <v>4.0786669539664007E-4</v>
      </c>
      <c r="H3145" t="str">
        <f>IF(Comuni__2[[#This Row],[Popolazione2011]]&gt;300000,"MAGGIORE","")</f>
        <v/>
      </c>
      <c r="J3145">
        <v>67</v>
      </c>
      <c r="K3145">
        <v>1497</v>
      </c>
      <c r="L3145">
        <v>95</v>
      </c>
    </row>
    <row r="3146" spans="1:12" x14ac:dyDescent="0.2">
      <c r="A3146"/>
      <c r="B3146"/>
      <c r="C3146"/>
      <c r="D3146"/>
      <c r="E3146" s="2">
        <f>Comuni__2[[#This Row],[Popolazione2011]]/$D$7911</f>
        <v>6.6522977260164432E-5</v>
      </c>
      <c r="F3146">
        <f>SUMIFS($D$2:$D$7909, $B$2:$B$7909, "Lombardia")</f>
        <v>9704151</v>
      </c>
      <c r="G3146" s="1">
        <f>Comuni__2[[#This Row],[Popolazione2011]]/Comuni__2[[#This Row],[POPOLAZIONE TOTALE DI OGNI REGIONE (CON FILTRO)]]</f>
        <v>4.0735145197142954E-4</v>
      </c>
      <c r="H3146" t="str">
        <f>IF(Comuni__2[[#This Row],[Popolazione2011]]&gt;300000,"MAGGIORE","")</f>
        <v/>
      </c>
      <c r="J3146">
        <v>71</v>
      </c>
      <c r="K3146">
        <v>1516</v>
      </c>
      <c r="L3146">
        <v>96</v>
      </c>
    </row>
    <row r="3147" spans="1:12" x14ac:dyDescent="0.2">
      <c r="A3147"/>
      <c r="B3147"/>
      <c r="C3147"/>
      <c r="D3147"/>
      <c r="E3147" s="2">
        <f>Comuni__2[[#This Row],[Popolazione2011]]/$D$7911</f>
        <v>6.6354692470738257E-5</v>
      </c>
      <c r="F3147">
        <f>SUMIFS($D$2:$D$7909, $B$2:$B$7909, "Lombardia")</f>
        <v>9704151</v>
      </c>
      <c r="G3147" s="1">
        <f>Comuni__2[[#This Row],[Popolazione2011]]/Comuni__2[[#This Row],[POPOLAZIONE TOTALE DI OGNI REGIONE (CON FILTRO)]]</f>
        <v>4.063209651210085E-4</v>
      </c>
      <c r="H3147" t="str">
        <f>IF(Comuni__2[[#This Row],[Popolazione2011]]&gt;300000,"MAGGIORE","")</f>
        <v/>
      </c>
      <c r="J3147">
        <v>76</v>
      </c>
      <c r="K3147">
        <v>1528</v>
      </c>
      <c r="L3147">
        <v>99</v>
      </c>
    </row>
    <row r="3148" spans="1:12" x14ac:dyDescent="0.2">
      <c r="A3148"/>
      <c r="B3148"/>
      <c r="C3148"/>
      <c r="D3148"/>
      <c r="E3148" s="2">
        <f>Comuni__2[[#This Row],[Popolazione2011]]/$D$7911</f>
        <v>6.6304207033910409E-5</v>
      </c>
      <c r="F3148">
        <f>SUMIFS($D$2:$D$7909, $B$2:$B$7909, "Lombardia")</f>
        <v>9704151</v>
      </c>
      <c r="G3148" s="1">
        <f>Comuni__2[[#This Row],[Popolazione2011]]/Comuni__2[[#This Row],[POPOLAZIONE TOTALE DI OGNI REGIONE (CON FILTRO)]]</f>
        <v>4.0601181906588224E-4</v>
      </c>
      <c r="H3148" t="str">
        <f>IF(Comuni__2[[#This Row],[Popolazione2011]]&gt;300000,"MAGGIORE","")</f>
        <v/>
      </c>
      <c r="J3148">
        <v>78</v>
      </c>
      <c r="K3148">
        <v>1530</v>
      </c>
      <c r="L3148">
        <v>103</v>
      </c>
    </row>
    <row r="3149" spans="1:12" x14ac:dyDescent="0.2">
      <c r="A3149"/>
      <c r="B3149"/>
      <c r="C3149"/>
      <c r="D3149"/>
      <c r="E3149" s="2">
        <f>Comuni__2[[#This Row],[Popolazione2011]]/$D$7911</f>
        <v>6.6051779849771153E-5</v>
      </c>
      <c r="F3149">
        <f>SUMIFS($D$2:$D$7909, $B$2:$B$7909, "Lombardia")</f>
        <v>9704151</v>
      </c>
      <c r="G3149" s="1">
        <f>Comuni__2[[#This Row],[Popolazione2011]]/Comuni__2[[#This Row],[POPOLAZIONE TOTALE DI OGNI REGIONE (CON FILTRO)]]</f>
        <v>4.0446608879025068E-4</v>
      </c>
      <c r="H3149" t="str">
        <f>IF(Comuni__2[[#This Row],[Popolazione2011]]&gt;300000,"MAGGIORE","")</f>
        <v/>
      </c>
      <c r="J3149">
        <v>73</v>
      </c>
      <c r="K3149">
        <v>1631</v>
      </c>
      <c r="L3149">
        <v>108</v>
      </c>
    </row>
    <row r="3150" spans="1:12" x14ac:dyDescent="0.2">
      <c r="A3150"/>
      <c r="B3150"/>
      <c r="C3150"/>
      <c r="D3150"/>
      <c r="E3150" s="2">
        <f>Comuni__2[[#This Row],[Popolazione2011]]/$D$7911</f>
        <v>6.5816181144574528E-5</v>
      </c>
      <c r="F3150">
        <f>SUMIFS($D$2:$D$7909, $B$2:$B$7909, "Lombardia")</f>
        <v>9704151</v>
      </c>
      <c r="G3150" s="1">
        <f>Comuni__2[[#This Row],[Popolazione2011]]/Comuni__2[[#This Row],[POPOLAZIONE TOTALE DI OGNI REGIONE (CON FILTRO)]]</f>
        <v>4.0302340719966127E-4</v>
      </c>
      <c r="H3150" t="str">
        <f>IF(Comuni__2[[#This Row],[Popolazione2011]]&gt;300000,"MAGGIORE","")</f>
        <v/>
      </c>
      <c r="J3150">
        <v>71</v>
      </c>
      <c r="K3150">
        <v>1802</v>
      </c>
      <c r="L3150">
        <v>113</v>
      </c>
    </row>
    <row r="3151" spans="1:12" x14ac:dyDescent="0.2">
      <c r="A3151"/>
      <c r="B3151"/>
      <c r="C3151"/>
      <c r="D3151"/>
      <c r="E3151" s="2">
        <f>Comuni__2[[#This Row],[Popolazione2011]]/$D$7911</f>
        <v>6.5782524186689295E-5</v>
      </c>
      <c r="F3151">
        <f>SUMIFS($D$2:$D$7909, $B$2:$B$7909, "Lombardia")</f>
        <v>9704151</v>
      </c>
      <c r="G3151" s="1">
        <f>Comuni__2[[#This Row],[Popolazione2011]]/Comuni__2[[#This Row],[POPOLAZIONE TOTALE DI OGNI REGIONE (CON FILTRO)]]</f>
        <v>4.0281730982957706E-4</v>
      </c>
      <c r="H3151" t="str">
        <f>IF(Comuni__2[[#This Row],[Popolazione2011]]&gt;300000,"MAGGIORE","")</f>
        <v/>
      </c>
      <c r="J3151">
        <v>74</v>
      </c>
      <c r="K3151">
        <v>1864</v>
      </c>
      <c r="L3151">
        <v>117</v>
      </c>
    </row>
    <row r="3152" spans="1:12" x14ac:dyDescent="0.2">
      <c r="A3152"/>
      <c r="B3152"/>
      <c r="C3152"/>
      <c r="D3152"/>
      <c r="E3152" s="2">
        <f>Comuni__2[[#This Row],[Popolazione2011]]/$D$7911</f>
        <v>6.553009700255004E-5</v>
      </c>
      <c r="F3152">
        <f>SUMIFS($D$2:$D$7909, $B$2:$B$7909, "Lombardia")</f>
        <v>9704151</v>
      </c>
      <c r="G3152" s="1">
        <f>Comuni__2[[#This Row],[Popolazione2011]]/Comuni__2[[#This Row],[POPOLAZIONE TOTALE DI OGNI REGIONE (CON FILTRO)]]</f>
        <v>4.012715795539455E-4</v>
      </c>
      <c r="H3152" t="str">
        <f>IF(Comuni__2[[#This Row],[Popolazione2011]]&gt;300000,"MAGGIORE","")</f>
        <v/>
      </c>
      <c r="J3152">
        <v>76</v>
      </c>
      <c r="K3152">
        <v>1875</v>
      </c>
      <c r="L3152">
        <v>118</v>
      </c>
    </row>
    <row r="3153" spans="1:12" x14ac:dyDescent="0.2">
      <c r="A3153"/>
      <c r="B3153"/>
      <c r="C3153"/>
      <c r="D3153"/>
      <c r="E3153" s="2">
        <f>Comuni__2[[#This Row],[Popolazione2011]]/$D$7911</f>
        <v>6.5513268523607424E-5</v>
      </c>
      <c r="F3153">
        <f>SUMIFS($D$2:$D$7909, $B$2:$B$7909, "Lombardia")</f>
        <v>9704151</v>
      </c>
      <c r="G3153" s="1">
        <f>Comuni__2[[#This Row],[Popolazione2011]]/Comuni__2[[#This Row],[POPOLAZIONE TOTALE DI OGNI REGIONE (CON FILTRO)]]</f>
        <v>4.0116853086890339E-4</v>
      </c>
      <c r="H3153" t="str">
        <f>IF(Comuni__2[[#This Row],[Popolazione2011]]&gt;300000,"MAGGIORE","")</f>
        <v/>
      </c>
      <c r="J3153">
        <v>77</v>
      </c>
      <c r="K3153">
        <v>1942</v>
      </c>
      <c r="L3153">
        <v>120</v>
      </c>
    </row>
    <row r="3154" spans="1:12" x14ac:dyDescent="0.2">
      <c r="A3154"/>
      <c r="B3154"/>
      <c r="C3154"/>
      <c r="D3154"/>
      <c r="E3154" s="2">
        <f>Comuni__2[[#This Row],[Popolazione2011]]/$D$7911</f>
        <v>6.5513268523607424E-5</v>
      </c>
      <c r="F3154">
        <f>SUMIFS($D$2:$D$7909, $B$2:$B$7909, "Lombardia")</f>
        <v>9704151</v>
      </c>
      <c r="G3154" s="1">
        <f>Comuni__2[[#This Row],[Popolazione2011]]/Comuni__2[[#This Row],[POPOLAZIONE TOTALE DI OGNI REGIONE (CON FILTRO)]]</f>
        <v>4.0116853086890339E-4</v>
      </c>
      <c r="H3154" t="str">
        <f>IF(Comuni__2[[#This Row],[Popolazione2011]]&gt;300000,"MAGGIORE","")</f>
        <v/>
      </c>
      <c r="J3154">
        <v>74</v>
      </c>
      <c r="K3154">
        <v>2158</v>
      </c>
      <c r="L3154">
        <v>127</v>
      </c>
    </row>
    <row r="3155" spans="1:12" x14ac:dyDescent="0.2">
      <c r="A3155"/>
      <c r="B3155"/>
      <c r="C3155"/>
      <c r="D3155"/>
      <c r="E3155" s="2">
        <f>Comuni__2[[#This Row],[Popolazione2011]]/$D$7911</f>
        <v>6.542912612889433E-5</v>
      </c>
      <c r="F3155">
        <f>SUMIFS($D$2:$D$7909, $B$2:$B$7909, "Lombardia")</f>
        <v>9704151</v>
      </c>
      <c r="G3155" s="1">
        <f>Comuni__2[[#This Row],[Popolazione2011]]/Comuni__2[[#This Row],[POPOLAZIONE TOTALE DI OGNI REGIONE (CON FILTRO)]]</f>
        <v>4.0065328744369293E-4</v>
      </c>
      <c r="H3155" t="str">
        <f>IF(Comuni__2[[#This Row],[Popolazione2011]]&gt;300000,"MAGGIORE","")</f>
        <v/>
      </c>
      <c r="J3155">
        <v>75</v>
      </c>
      <c r="K3155">
        <v>2362</v>
      </c>
      <c r="L3155">
        <v>127</v>
      </c>
    </row>
    <row r="3156" spans="1:12" x14ac:dyDescent="0.2">
      <c r="A3156"/>
      <c r="B3156"/>
      <c r="C3156"/>
      <c r="D3156"/>
      <c r="E3156" s="2">
        <f>Comuni__2[[#This Row],[Popolazione2011]]/$D$7911</f>
        <v>6.5395469171009097E-5</v>
      </c>
      <c r="F3156">
        <f>SUMIFS($D$2:$D$7909, $B$2:$B$7909, "Lombardia")</f>
        <v>9704151</v>
      </c>
      <c r="G3156" s="1">
        <f>Comuni__2[[#This Row],[Popolazione2011]]/Comuni__2[[#This Row],[POPOLAZIONE TOTALE DI OGNI REGIONE (CON FILTRO)]]</f>
        <v>4.0044719007360872E-4</v>
      </c>
      <c r="H3156" t="str">
        <f>IF(Comuni__2[[#This Row],[Popolazione2011]]&gt;300000,"MAGGIORE","")</f>
        <v/>
      </c>
      <c r="J3156">
        <v>74</v>
      </c>
      <c r="K3156">
        <v>2364</v>
      </c>
      <c r="L3156">
        <v>129</v>
      </c>
    </row>
    <row r="3157" spans="1:12" x14ac:dyDescent="0.2">
      <c r="A3157"/>
      <c r="B3157"/>
      <c r="C3157"/>
      <c r="D3157"/>
      <c r="E3157" s="2">
        <f>Comuni__2[[#This Row],[Popolazione2011]]/$D$7911</f>
        <v>6.5344983734181249E-5</v>
      </c>
      <c r="F3157">
        <f>SUMIFS($D$2:$D$7909, $B$2:$B$7909, "Lombardia")</f>
        <v>9704151</v>
      </c>
      <c r="G3157" s="1">
        <f>Comuni__2[[#This Row],[Popolazione2011]]/Comuni__2[[#This Row],[POPOLAZIONE TOTALE DI OGNI REGIONE (CON FILTRO)]]</f>
        <v>4.001380440184824E-4</v>
      </c>
      <c r="H3157" t="str">
        <f>IF(Comuni__2[[#This Row],[Popolazione2011]]&gt;300000,"MAGGIORE","")</f>
        <v/>
      </c>
      <c r="J3157">
        <v>70</v>
      </c>
      <c r="K3157">
        <v>2432</v>
      </c>
      <c r="L3157">
        <v>133</v>
      </c>
    </row>
    <row r="3158" spans="1:12" x14ac:dyDescent="0.2">
      <c r="A3158"/>
      <c r="B3158"/>
      <c r="C3158"/>
      <c r="D3158"/>
      <c r="E3158" s="2">
        <f>Comuni__2[[#This Row],[Popolazione2011]]/$D$7911</f>
        <v>6.5311326776296017E-5</v>
      </c>
      <c r="F3158">
        <f>SUMIFS($D$2:$D$7909, $B$2:$B$7909, "Lombardia")</f>
        <v>9704151</v>
      </c>
      <c r="G3158" s="1">
        <f>Comuni__2[[#This Row],[Popolazione2011]]/Comuni__2[[#This Row],[POPOLAZIONE TOTALE DI OGNI REGIONE (CON FILTRO)]]</f>
        <v>3.999319466483982E-4</v>
      </c>
      <c r="H3158" t="str">
        <f>IF(Comuni__2[[#This Row],[Popolazione2011]]&gt;300000,"MAGGIORE","")</f>
        <v/>
      </c>
      <c r="J3158">
        <v>66</v>
      </c>
      <c r="K3158">
        <v>2438</v>
      </c>
      <c r="L3158">
        <v>135</v>
      </c>
    </row>
    <row r="3159" spans="1:12" x14ac:dyDescent="0.2">
      <c r="A3159"/>
      <c r="B3159"/>
      <c r="C3159"/>
      <c r="D3159"/>
      <c r="E3159" s="2">
        <f>Comuni__2[[#This Row],[Popolazione2011]]/$D$7911</f>
        <v>6.5244012860525552E-5</v>
      </c>
      <c r="F3159">
        <f>SUMIFS($D$2:$D$7909, $B$2:$B$7909, "Lombardia")</f>
        <v>9704151</v>
      </c>
      <c r="G3159" s="1">
        <f>Comuni__2[[#This Row],[Popolazione2011]]/Comuni__2[[#This Row],[POPOLAZIONE TOTALE DI OGNI REGIONE (CON FILTRO)]]</f>
        <v>3.9951975190822978E-4</v>
      </c>
      <c r="H3159" t="str">
        <f>IF(Comuni__2[[#This Row],[Popolazione2011]]&gt;300000,"MAGGIORE","")</f>
        <v/>
      </c>
      <c r="J3159">
        <v>2</v>
      </c>
      <c r="K3159">
        <v>0</v>
      </c>
      <c r="L3159">
        <v>0</v>
      </c>
    </row>
    <row r="3160" spans="1:12" x14ac:dyDescent="0.2">
      <c r="A3160"/>
      <c r="B3160"/>
      <c r="C3160"/>
      <c r="D3160"/>
      <c r="E3160" s="2">
        <f>Comuni__2[[#This Row],[Popolazione2011]]/$D$7911</f>
        <v>6.521035590264032E-5</v>
      </c>
      <c r="F3160">
        <f>SUMIFS($D$2:$D$7909, $B$2:$B$7909, "Lombardia")</f>
        <v>9704151</v>
      </c>
      <c r="G3160" s="1">
        <f>Comuni__2[[#This Row],[Popolazione2011]]/Comuni__2[[#This Row],[POPOLAZIONE TOTALE DI OGNI REGIONE (CON FILTRO)]]</f>
        <v>3.9931365453814557E-4</v>
      </c>
      <c r="H3160" t="str">
        <f>IF(Comuni__2[[#This Row],[Popolazione2011]]&gt;300000,"MAGGIORE","")</f>
        <v/>
      </c>
      <c r="J3160">
        <v>2</v>
      </c>
      <c r="K3160">
        <v>0</v>
      </c>
      <c r="L3160">
        <v>0</v>
      </c>
    </row>
    <row r="3161" spans="1:12" x14ac:dyDescent="0.2">
      <c r="A3161"/>
      <c r="B3161"/>
      <c r="C3161"/>
      <c r="D3161"/>
      <c r="E3161" s="2">
        <f>Comuni__2[[#This Row],[Popolazione2011]]/$D$7911</f>
        <v>6.5176698944755088E-5</v>
      </c>
      <c r="F3161">
        <f>SUMIFS($D$2:$D$7909, $B$2:$B$7909, "Lombardia")</f>
        <v>9704151</v>
      </c>
      <c r="G3161" s="1">
        <f>Comuni__2[[#This Row],[Popolazione2011]]/Comuni__2[[#This Row],[POPOLAZIONE TOTALE DI OGNI REGIONE (CON FILTRO)]]</f>
        <v>3.9910755716806136E-4</v>
      </c>
      <c r="H3161" t="str">
        <f>IF(Comuni__2[[#This Row],[Popolazione2011]]&gt;300000,"MAGGIORE","")</f>
        <v/>
      </c>
      <c r="J3161">
        <v>2</v>
      </c>
      <c r="K3161">
        <v>0</v>
      </c>
      <c r="L3161">
        <v>0</v>
      </c>
    </row>
    <row r="3162" spans="1:12" x14ac:dyDescent="0.2">
      <c r="A3162"/>
      <c r="B3162"/>
      <c r="C3162"/>
      <c r="D3162"/>
      <c r="E3162" s="2">
        <f>Comuni__2[[#This Row],[Popolazione2011]]/$D$7911</f>
        <v>6.510938502898461E-5</v>
      </c>
      <c r="F3162">
        <f>SUMIFS($D$2:$D$7909, $B$2:$B$7909, "Lombardia")</f>
        <v>9704151</v>
      </c>
      <c r="G3162" s="1">
        <f>Comuni__2[[#This Row],[Popolazione2011]]/Comuni__2[[#This Row],[POPOLAZIONE TOTALE DI OGNI REGIONE (CON FILTRO)]]</f>
        <v>3.9869536242789294E-4</v>
      </c>
      <c r="H3162" t="str">
        <f>IF(Comuni__2[[#This Row],[Popolazione2011]]&gt;300000,"MAGGIORE","")</f>
        <v/>
      </c>
      <c r="J3162">
        <v>2</v>
      </c>
      <c r="K3162">
        <v>0</v>
      </c>
      <c r="L3162">
        <v>0</v>
      </c>
    </row>
    <row r="3163" spans="1:12" x14ac:dyDescent="0.2">
      <c r="A3163"/>
      <c r="B3163"/>
      <c r="C3163"/>
      <c r="D3163"/>
      <c r="E3163" s="2">
        <f>Comuni__2[[#This Row],[Popolazione2011]]/$D$7911</f>
        <v>6.5075728071099377E-5</v>
      </c>
      <c r="F3163">
        <f>SUMIFS($D$2:$D$7909, $B$2:$B$7909, "Lombardia")</f>
        <v>9704151</v>
      </c>
      <c r="G3163" s="1">
        <f>Comuni__2[[#This Row],[Popolazione2011]]/Comuni__2[[#This Row],[POPOLAZIONE TOTALE DI OGNI REGIONE (CON FILTRO)]]</f>
        <v>3.9848926505780879E-4</v>
      </c>
      <c r="H3163" t="str">
        <f>IF(Comuni__2[[#This Row],[Popolazione2011]]&gt;300000,"MAGGIORE","")</f>
        <v/>
      </c>
      <c r="J3163">
        <v>7</v>
      </c>
      <c r="K3163">
        <v>0</v>
      </c>
      <c r="L3163">
        <v>0</v>
      </c>
    </row>
    <row r="3164" spans="1:12" x14ac:dyDescent="0.2">
      <c r="A3164"/>
      <c r="B3164"/>
      <c r="C3164"/>
      <c r="D3164"/>
      <c r="E3164" s="2">
        <f>Comuni__2[[#This Row],[Popolazione2011]]/$D$7911</f>
        <v>6.5042071113214145E-5</v>
      </c>
      <c r="F3164">
        <f>SUMIFS($D$2:$D$7909, $B$2:$B$7909, "Lombardia")</f>
        <v>9704151</v>
      </c>
      <c r="G3164" s="1">
        <f>Comuni__2[[#This Row],[Popolazione2011]]/Comuni__2[[#This Row],[POPOLAZIONE TOTALE DI OGNI REGIONE (CON FILTRO)]]</f>
        <v>3.9828316768772458E-4</v>
      </c>
      <c r="H3164" t="str">
        <f>IF(Comuni__2[[#This Row],[Popolazione2011]]&gt;300000,"MAGGIORE","")</f>
        <v/>
      </c>
      <c r="J3164">
        <v>7</v>
      </c>
      <c r="K3164">
        <v>0</v>
      </c>
      <c r="L3164">
        <v>0</v>
      </c>
    </row>
    <row r="3165" spans="1:12" x14ac:dyDescent="0.2">
      <c r="A3165"/>
      <c r="B3165"/>
      <c r="C3165"/>
      <c r="D3165"/>
      <c r="E3165" s="2">
        <f>Comuni__2[[#This Row],[Popolazione2011]]/$D$7911</f>
        <v>6.5042071113214145E-5</v>
      </c>
      <c r="F3165">
        <f>SUMIFS($D$2:$D$7909, $B$2:$B$7909, "Lombardia")</f>
        <v>9704151</v>
      </c>
      <c r="G3165" s="1">
        <f>Comuni__2[[#This Row],[Popolazione2011]]/Comuni__2[[#This Row],[POPOLAZIONE TOTALE DI OGNI REGIONE (CON FILTRO)]]</f>
        <v>3.9828316768772458E-4</v>
      </c>
      <c r="H3165" t="str">
        <f>IF(Comuni__2[[#This Row],[Popolazione2011]]&gt;300000,"MAGGIORE","")</f>
        <v/>
      </c>
      <c r="J3165">
        <v>13</v>
      </c>
      <c r="K3165">
        <v>0</v>
      </c>
      <c r="L3165">
        <v>0</v>
      </c>
    </row>
    <row r="3166" spans="1:12" x14ac:dyDescent="0.2">
      <c r="A3166"/>
      <c r="B3166"/>
      <c r="C3166"/>
      <c r="D3166"/>
      <c r="E3166" s="2">
        <f>Comuni__2[[#This Row],[Popolazione2011]]/$D$7911</f>
        <v>6.4806472408017506E-5</v>
      </c>
      <c r="F3166">
        <f>SUMIFS($D$2:$D$7909, $B$2:$B$7909, "Lombardia")</f>
        <v>9704151</v>
      </c>
      <c r="G3166" s="1">
        <f>Comuni__2[[#This Row],[Popolazione2011]]/Comuni__2[[#This Row],[POPOLAZIONE TOTALE DI OGNI REGIONE (CON FILTRO)]]</f>
        <v>3.9684048609713512E-4</v>
      </c>
      <c r="H3166" t="str">
        <f>IF(Comuni__2[[#This Row],[Popolazione2011]]&gt;300000,"MAGGIORE","")</f>
        <v/>
      </c>
      <c r="J3166">
        <v>14</v>
      </c>
      <c r="K3166">
        <v>0</v>
      </c>
      <c r="L3166">
        <v>0</v>
      </c>
    </row>
    <row r="3167" spans="1:12" x14ac:dyDescent="0.2">
      <c r="A3167"/>
      <c r="B3167"/>
      <c r="C3167"/>
      <c r="D3167"/>
      <c r="E3167" s="2">
        <f>Comuni__2[[#This Row],[Popolazione2011]]/$D$7911</f>
        <v>6.4755986971189657E-5</v>
      </c>
      <c r="F3167">
        <f>SUMIFS($D$2:$D$7909, $B$2:$B$7909, "Lombardia")</f>
        <v>9704151</v>
      </c>
      <c r="G3167" s="1">
        <f>Comuni__2[[#This Row],[Popolazione2011]]/Comuni__2[[#This Row],[POPOLAZIONE TOTALE DI OGNI REGIONE (CON FILTRO)]]</f>
        <v>3.9653134004200881E-4</v>
      </c>
      <c r="H3167" t="str">
        <f>IF(Comuni__2[[#This Row],[Popolazione2011]]&gt;300000,"MAGGIORE","")</f>
        <v/>
      </c>
      <c r="J3167">
        <v>16</v>
      </c>
      <c r="K3167">
        <v>0</v>
      </c>
      <c r="L3167">
        <v>0</v>
      </c>
    </row>
    <row r="3168" spans="1:12" x14ac:dyDescent="0.2">
      <c r="A3168"/>
      <c r="B3168"/>
      <c r="C3168"/>
      <c r="D3168"/>
      <c r="E3168" s="2">
        <f>Comuni__2[[#This Row],[Popolazione2011]]/$D$7911</f>
        <v>6.446990282916517E-5</v>
      </c>
      <c r="F3168">
        <f>SUMIFS($D$2:$D$7909, $B$2:$B$7909, "Lombardia")</f>
        <v>9704151</v>
      </c>
      <c r="G3168" s="1">
        <f>Comuni__2[[#This Row],[Popolazione2011]]/Comuni__2[[#This Row],[POPOLAZIONE TOTALE DI OGNI REGIONE (CON FILTRO)]]</f>
        <v>3.9477951239629309E-4</v>
      </c>
      <c r="H3168" t="str">
        <f>IF(Comuni__2[[#This Row],[Popolazione2011]]&gt;300000,"MAGGIORE","")</f>
        <v/>
      </c>
      <c r="J3168">
        <v>39</v>
      </c>
      <c r="K3168">
        <v>0</v>
      </c>
      <c r="L3168">
        <v>0</v>
      </c>
    </row>
    <row r="3169" spans="1:12" x14ac:dyDescent="0.2">
      <c r="A3169"/>
      <c r="B3169"/>
      <c r="C3169"/>
      <c r="D3169"/>
      <c r="E3169" s="2">
        <f>Comuni__2[[#This Row],[Popolazione2011]]/$D$7911</f>
        <v>6.4419417392337321E-5</v>
      </c>
      <c r="F3169">
        <f>SUMIFS($D$2:$D$7909, $B$2:$B$7909, "Lombardia")</f>
        <v>9704151</v>
      </c>
      <c r="G3169" s="1">
        <f>Comuni__2[[#This Row],[Popolazione2011]]/Comuni__2[[#This Row],[POPOLAZIONE TOTALE DI OGNI REGIONE (CON FILTRO)]]</f>
        <v>3.9447036634116678E-4</v>
      </c>
      <c r="H3169" t="str">
        <f>IF(Comuni__2[[#This Row],[Popolazione2011]]&gt;300000,"MAGGIORE","")</f>
        <v/>
      </c>
      <c r="J3169">
        <v>60</v>
      </c>
      <c r="K3169">
        <v>0</v>
      </c>
      <c r="L3169">
        <v>2</v>
      </c>
    </row>
    <row r="3170" spans="1:12" x14ac:dyDescent="0.2">
      <c r="A3170"/>
      <c r="B3170"/>
      <c r="C3170"/>
      <c r="D3170"/>
      <c r="E3170" s="2">
        <f>Comuni__2[[#This Row],[Popolazione2011]]/$D$7911</f>
        <v>6.4116504771370218E-5</v>
      </c>
      <c r="F3170">
        <f>SUMIFS($D$2:$D$7909, $B$2:$B$7909, "Lombardia")</f>
        <v>9704151</v>
      </c>
      <c r="G3170" s="1">
        <f>Comuni__2[[#This Row],[Popolazione2011]]/Comuni__2[[#This Row],[POPOLAZIONE TOTALE DI OGNI REGIONE (CON FILTRO)]]</f>
        <v>3.9261549001040895E-4</v>
      </c>
      <c r="H3170" t="str">
        <f>IF(Comuni__2[[#This Row],[Popolazione2011]]&gt;300000,"MAGGIORE","")</f>
        <v/>
      </c>
      <c r="J3170">
        <v>87</v>
      </c>
      <c r="K3170">
        <v>0</v>
      </c>
      <c r="L3170">
        <v>4</v>
      </c>
    </row>
    <row r="3171" spans="1:12" x14ac:dyDescent="0.2">
      <c r="A3171"/>
      <c r="B3171"/>
      <c r="C3171"/>
      <c r="D3171"/>
      <c r="E3171" s="2">
        <f>Comuni__2[[#This Row],[Popolazione2011]]/$D$7911</f>
        <v>6.3981876939829289E-5</v>
      </c>
      <c r="F3171">
        <f>SUMIFS($D$2:$D$7909, $B$2:$B$7909, "Lombardia")</f>
        <v>9704151</v>
      </c>
      <c r="G3171" s="1">
        <f>Comuni__2[[#This Row],[Popolazione2011]]/Comuni__2[[#This Row],[POPOLAZIONE TOTALE DI OGNI REGIONE (CON FILTRO)]]</f>
        <v>3.9179110053007212E-4</v>
      </c>
      <c r="H3171" t="str">
        <f>IF(Comuni__2[[#This Row],[Popolazione2011]]&gt;300000,"MAGGIORE","")</f>
        <v/>
      </c>
      <c r="J3171">
        <v>148</v>
      </c>
      <c r="K3171">
        <v>0</v>
      </c>
      <c r="L3171">
        <v>5</v>
      </c>
    </row>
    <row r="3172" spans="1:12" x14ac:dyDescent="0.2">
      <c r="A3172"/>
      <c r="B3172"/>
      <c r="C3172"/>
      <c r="D3172"/>
      <c r="E3172" s="2">
        <f>Comuni__2[[#This Row],[Popolazione2011]]/$D$7911</f>
        <v>6.3880906066173578E-5</v>
      </c>
      <c r="F3172">
        <f>SUMIFS($D$2:$D$7909, $B$2:$B$7909, "Lombardia")</f>
        <v>9704151</v>
      </c>
      <c r="G3172" s="1">
        <f>Comuni__2[[#This Row],[Popolazione2011]]/Comuni__2[[#This Row],[POPOLAZIONE TOTALE DI OGNI REGIONE (CON FILTRO)]]</f>
        <v>3.9117280841981949E-4</v>
      </c>
      <c r="H3172" t="str">
        <f>IF(Comuni__2[[#This Row],[Popolazione2011]]&gt;300000,"MAGGIORE","")</f>
        <v/>
      </c>
      <c r="J3172">
        <v>290</v>
      </c>
      <c r="K3172">
        <v>0</v>
      </c>
      <c r="L3172">
        <v>5</v>
      </c>
    </row>
    <row r="3173" spans="1:12" x14ac:dyDescent="0.2">
      <c r="A3173"/>
      <c r="B3173"/>
      <c r="C3173"/>
      <c r="D3173"/>
      <c r="E3173" s="2">
        <f>Comuni__2[[#This Row],[Popolazione2011]]/$D$7911</f>
        <v>6.383042062934573E-5</v>
      </c>
      <c r="F3173">
        <f>SUMIFS($D$2:$D$7909, $B$2:$B$7909, "Lombardia")</f>
        <v>9704151</v>
      </c>
      <c r="G3173" s="1">
        <f>Comuni__2[[#This Row],[Popolazione2011]]/Comuni__2[[#This Row],[POPOLAZIONE TOTALE DI OGNI REGIONE (CON FILTRO)]]</f>
        <v>3.9086366236469323E-4</v>
      </c>
      <c r="H3173" t="str">
        <f>IF(Comuni__2[[#This Row],[Popolazione2011]]&gt;300000,"MAGGIORE","")</f>
        <v/>
      </c>
      <c r="J3173">
        <v>272</v>
      </c>
      <c r="K3173">
        <v>0</v>
      </c>
      <c r="L3173">
        <v>13</v>
      </c>
    </row>
    <row r="3174" spans="1:12" x14ac:dyDescent="0.2">
      <c r="A3174"/>
      <c r="B3174"/>
      <c r="C3174"/>
      <c r="D3174"/>
      <c r="E3174" s="2">
        <f>Comuni__2[[#This Row],[Popolazione2011]]/$D$7911</f>
        <v>6.383042062934573E-5</v>
      </c>
      <c r="F3174">
        <f>SUMIFS($D$2:$D$7909, $B$2:$B$7909, "Lombardia")</f>
        <v>9704151</v>
      </c>
      <c r="G3174" s="1">
        <f>Comuni__2[[#This Row],[Popolazione2011]]/Comuni__2[[#This Row],[POPOLAZIONE TOTALE DI OGNI REGIONE (CON FILTRO)]]</f>
        <v>3.9086366236469323E-4</v>
      </c>
      <c r="H3174" t="str">
        <f>IF(Comuni__2[[#This Row],[Popolazione2011]]&gt;300000,"MAGGIORE","")</f>
        <v/>
      </c>
      <c r="J3174">
        <v>372</v>
      </c>
      <c r="K3174">
        <v>0</v>
      </c>
      <c r="L3174">
        <v>17</v>
      </c>
    </row>
    <row r="3175" spans="1:12" x14ac:dyDescent="0.2">
      <c r="A3175"/>
      <c r="B3175"/>
      <c r="C3175"/>
      <c r="D3175"/>
      <c r="E3175" s="2">
        <f>Comuni__2[[#This Row],[Popolazione2011]]/$D$7911</f>
        <v>6.3813592150403114E-5</v>
      </c>
      <c r="F3175">
        <f>SUMIFS($D$2:$D$7909, $B$2:$B$7909, "Lombardia")</f>
        <v>9704151</v>
      </c>
      <c r="G3175" s="1">
        <f>Comuni__2[[#This Row],[Popolazione2011]]/Comuni__2[[#This Row],[POPOLAZIONE TOTALE DI OGNI REGIONE (CON FILTRO)]]</f>
        <v>3.9076061367965113E-4</v>
      </c>
      <c r="H3175" t="str">
        <f>IF(Comuni__2[[#This Row],[Popolazione2011]]&gt;300000,"MAGGIORE","")</f>
        <v/>
      </c>
      <c r="J3175">
        <v>394</v>
      </c>
      <c r="K3175">
        <v>0</v>
      </c>
      <c r="L3175">
        <v>21</v>
      </c>
    </row>
    <row r="3176" spans="1:12" x14ac:dyDescent="0.2">
      <c r="A3176"/>
      <c r="B3176"/>
      <c r="C3176"/>
      <c r="D3176"/>
      <c r="E3176" s="2">
        <f>Comuni__2[[#This Row],[Popolazione2011]]/$D$7911</f>
        <v>6.3746278234632649E-5</v>
      </c>
      <c r="F3176">
        <f>SUMIFS($D$2:$D$7909, $B$2:$B$7909, "Lombardia")</f>
        <v>9704151</v>
      </c>
      <c r="G3176" s="1">
        <f>Comuni__2[[#This Row],[Popolazione2011]]/Comuni__2[[#This Row],[POPOLAZIONE TOTALE DI OGNI REGIONE (CON FILTRO)]]</f>
        <v>3.9034841893948271E-4</v>
      </c>
      <c r="H3176" t="str">
        <f>IF(Comuni__2[[#This Row],[Popolazione2011]]&gt;300000,"MAGGIORE","")</f>
        <v/>
      </c>
      <c r="J3176">
        <v>465</v>
      </c>
      <c r="K3176">
        <v>0</v>
      </c>
      <c r="L3176">
        <v>26</v>
      </c>
    </row>
    <row r="3177" spans="1:12" x14ac:dyDescent="0.2">
      <c r="A3177"/>
      <c r="B3177"/>
      <c r="C3177"/>
      <c r="D3177"/>
      <c r="E3177" s="2">
        <f>Comuni__2[[#This Row],[Popolazione2011]]/$D$7911</f>
        <v>6.3308737782124616E-5</v>
      </c>
      <c r="F3177">
        <f>SUMIFS($D$2:$D$7909, $B$2:$B$7909, "Lombardia")</f>
        <v>9704151</v>
      </c>
      <c r="G3177" s="1">
        <f>Comuni__2[[#This Row],[Popolazione2011]]/Comuni__2[[#This Row],[POPOLAZIONE TOTALE DI OGNI REGIONE (CON FILTRO)]]</f>
        <v>3.8766915312838805E-4</v>
      </c>
      <c r="H3177" t="str">
        <f>IF(Comuni__2[[#This Row],[Popolazione2011]]&gt;300000,"MAGGIORE","")</f>
        <v/>
      </c>
      <c r="J3177">
        <v>691</v>
      </c>
      <c r="K3177">
        <v>0</v>
      </c>
      <c r="L3177">
        <v>46</v>
      </c>
    </row>
    <row r="3178" spans="1:12" x14ac:dyDescent="0.2">
      <c r="A3178"/>
      <c r="B3178"/>
      <c r="C3178"/>
      <c r="D3178"/>
      <c r="E3178" s="2">
        <f>Comuni__2[[#This Row],[Popolazione2011]]/$D$7911</f>
        <v>6.3224595387411522E-5</v>
      </c>
      <c r="F3178">
        <f>SUMIFS($D$2:$D$7909, $B$2:$B$7909, "Lombardia")</f>
        <v>9704151</v>
      </c>
      <c r="G3178" s="1">
        <f>Comuni__2[[#This Row],[Popolazione2011]]/Comuni__2[[#This Row],[POPOLAZIONE TOTALE DI OGNI REGIONE (CON FILTRO)]]</f>
        <v>3.8715390970317753E-4</v>
      </c>
      <c r="H3178" t="str">
        <f>IF(Comuni__2[[#This Row],[Popolazione2011]]&gt;300000,"MAGGIORE","")</f>
        <v/>
      </c>
      <c r="J3178">
        <v>688</v>
      </c>
      <c r="K3178">
        <v>0</v>
      </c>
      <c r="L3178">
        <v>59</v>
      </c>
    </row>
    <row r="3179" spans="1:12" x14ac:dyDescent="0.2">
      <c r="A3179"/>
      <c r="B3179"/>
      <c r="C3179"/>
      <c r="D3179"/>
      <c r="E3179" s="2">
        <f>Comuni__2[[#This Row],[Popolazione2011]]/$D$7911</f>
        <v>6.2669255582305177E-5</v>
      </c>
      <c r="F3179">
        <f>SUMIFS($D$2:$D$7909, $B$2:$B$7909, "Lombardia")</f>
        <v>9704151</v>
      </c>
      <c r="G3179" s="1">
        <f>Comuni__2[[#This Row],[Popolazione2011]]/Comuni__2[[#This Row],[POPOLAZIONE TOTALE DI OGNI REGIONE (CON FILTRO)]]</f>
        <v>3.8375330309678814E-4</v>
      </c>
      <c r="H3179" t="str">
        <f>IF(Comuni__2[[#This Row],[Popolazione2011]]&gt;300000,"MAGGIORE","")</f>
        <v/>
      </c>
      <c r="J3179">
        <v>897</v>
      </c>
      <c r="K3179">
        <v>0</v>
      </c>
      <c r="L3179">
        <v>81</v>
      </c>
    </row>
    <row r="3180" spans="1:12" x14ac:dyDescent="0.2">
      <c r="A3180"/>
      <c r="B3180"/>
      <c r="C3180"/>
      <c r="D3180"/>
      <c r="E3180" s="2">
        <f>Comuni__2[[#This Row],[Popolazione2011]]/$D$7911</f>
        <v>6.255145622970685E-5</v>
      </c>
      <c r="F3180">
        <f>SUMIFS($D$2:$D$7909, $B$2:$B$7909, "Lombardia")</f>
        <v>9704151</v>
      </c>
      <c r="G3180" s="1">
        <f>Comuni__2[[#This Row],[Popolazione2011]]/Comuni__2[[#This Row],[POPOLAZIONE TOTALE DI OGNI REGIONE (CON FILTRO)]]</f>
        <v>3.8303196230149347E-4</v>
      </c>
      <c r="H3180" t="str">
        <f>IF(Comuni__2[[#This Row],[Popolazione2011]]&gt;300000,"MAGGIORE","")</f>
        <v/>
      </c>
      <c r="J3180">
        <v>1231</v>
      </c>
      <c r="K3180">
        <v>0</v>
      </c>
      <c r="L3180">
        <v>111</v>
      </c>
    </row>
    <row r="3181" spans="1:12" x14ac:dyDescent="0.2">
      <c r="A3181"/>
      <c r="B3181"/>
      <c r="C3181"/>
      <c r="D3181"/>
      <c r="E3181" s="2">
        <f>Comuni__2[[#This Row],[Popolazione2011]]/$D$7911</f>
        <v>6.2248543608739746E-5</v>
      </c>
      <c r="F3181">
        <f>SUMIFS($D$2:$D$7909, $B$2:$B$7909, "Lombardia")</f>
        <v>9704151</v>
      </c>
      <c r="G3181" s="1">
        <f>Comuni__2[[#This Row],[Popolazione2011]]/Comuni__2[[#This Row],[POPOLAZIONE TOTALE DI OGNI REGIONE (CON FILTRO)]]</f>
        <v>3.8117708597073559E-4</v>
      </c>
      <c r="H3181" t="str">
        <f>IF(Comuni__2[[#This Row],[Popolazione2011]]&gt;300000,"MAGGIORE","")</f>
        <v/>
      </c>
      <c r="J3181">
        <v>1584</v>
      </c>
      <c r="K3181">
        <v>0</v>
      </c>
      <c r="L3181">
        <v>133</v>
      </c>
    </row>
    <row r="3182" spans="1:12" x14ac:dyDescent="0.2">
      <c r="A3182"/>
      <c r="B3182"/>
      <c r="C3182"/>
      <c r="D3182"/>
      <c r="E3182" s="2">
        <f>Comuni__2[[#This Row],[Popolazione2011]]/$D$7911</f>
        <v>6.1609061408920306E-5</v>
      </c>
      <c r="F3182">
        <f>SUMIFS($D$2:$D$7909, $B$2:$B$7909, "Lombardia")</f>
        <v>9704151</v>
      </c>
      <c r="G3182" s="1">
        <f>Comuni__2[[#This Row],[Popolazione2011]]/Comuni__2[[#This Row],[POPOLAZIONE TOTALE DI OGNI REGIONE (CON FILTRO)]]</f>
        <v>3.7726123593913573E-4</v>
      </c>
      <c r="H3182" t="str">
        <f>IF(Comuni__2[[#This Row],[Popolazione2011]]&gt;300000,"MAGGIORE","")</f>
        <v/>
      </c>
      <c r="J3182">
        <v>2007</v>
      </c>
      <c r="K3182">
        <v>0</v>
      </c>
      <c r="L3182">
        <v>154</v>
      </c>
    </row>
    <row r="3183" spans="1:12" x14ac:dyDescent="0.2">
      <c r="A3183"/>
      <c r="B3183"/>
      <c r="C3183"/>
      <c r="D3183"/>
      <c r="E3183" s="2">
        <f>Comuni__2[[#This Row],[Popolazione2011]]/$D$7911</f>
        <v>6.1238834872182738E-5</v>
      </c>
      <c r="F3183">
        <f>SUMIFS($D$2:$D$7909, $B$2:$B$7909, "Lombardia")</f>
        <v>9704151</v>
      </c>
      <c r="G3183" s="1">
        <f>Comuni__2[[#This Row],[Popolazione2011]]/Comuni__2[[#This Row],[POPOLAZIONE TOTALE DI OGNI REGIONE (CON FILTRO)]]</f>
        <v>3.7499416486820949E-4</v>
      </c>
      <c r="H3183" t="str">
        <f>IF(Comuni__2[[#This Row],[Popolazione2011]]&gt;300000,"MAGGIORE","")</f>
        <v/>
      </c>
      <c r="J3183">
        <v>2536</v>
      </c>
      <c r="K3183">
        <v>3</v>
      </c>
      <c r="L3183">
        <v>175</v>
      </c>
    </row>
    <row r="3184" spans="1:12" x14ac:dyDescent="0.2">
      <c r="A3184"/>
      <c r="B3184"/>
      <c r="C3184"/>
      <c r="D3184"/>
      <c r="E3184" s="2">
        <f>Comuni__2[[#This Row],[Popolazione2011]]/$D$7911</f>
        <v>6.1121035519584425E-5</v>
      </c>
      <c r="F3184">
        <f>SUMIFS($D$2:$D$7909, $B$2:$B$7909, "Lombardia")</f>
        <v>9704151</v>
      </c>
      <c r="G3184" s="1">
        <f>Comuni__2[[#This Row],[Popolazione2011]]/Comuni__2[[#This Row],[POPOLAZIONE TOTALE DI OGNI REGIONE (CON FILTRO)]]</f>
        <v>3.7427282407291476E-4</v>
      </c>
      <c r="H3184" t="str">
        <f>IF(Comuni__2[[#This Row],[Popolazione2011]]&gt;300000,"MAGGIORE","")</f>
        <v/>
      </c>
      <c r="J3184">
        <v>1821</v>
      </c>
      <c r="K3184">
        <v>8</v>
      </c>
      <c r="L3184">
        <v>209</v>
      </c>
    </row>
    <row r="3185" spans="1:12" x14ac:dyDescent="0.2">
      <c r="A3185"/>
      <c r="B3185"/>
      <c r="C3185"/>
      <c r="D3185"/>
      <c r="E3185" s="2">
        <f>Comuni__2[[#This Row],[Popolazione2011]]/$D$7911</f>
        <v>6.1104207040641809E-5</v>
      </c>
      <c r="F3185">
        <f>SUMIFS($D$2:$D$7909, $B$2:$B$7909, "Lombardia")</f>
        <v>9704151</v>
      </c>
      <c r="G3185" s="1">
        <f>Comuni__2[[#This Row],[Popolazione2011]]/Comuni__2[[#This Row],[POPOLAZIONE TOTALE DI OGNI REGIONE (CON FILTRO)]]</f>
        <v>3.7416977538787266E-4</v>
      </c>
      <c r="H3185" t="str">
        <f>IF(Comuni__2[[#This Row],[Popolazione2011]]&gt;300000,"MAGGIORE","")</f>
        <v/>
      </c>
      <c r="J3185">
        <v>2277</v>
      </c>
      <c r="K3185">
        <v>8</v>
      </c>
      <c r="L3185">
        <v>238</v>
      </c>
    </row>
    <row r="3186" spans="1:12" x14ac:dyDescent="0.2">
      <c r="A3186"/>
      <c r="B3186"/>
      <c r="C3186"/>
      <c r="D3186"/>
      <c r="E3186" s="2">
        <f>Comuni__2[[#This Row],[Popolazione2011]]/$D$7911</f>
        <v>6.1087378561699193E-5</v>
      </c>
      <c r="F3186">
        <f>SUMIFS($D$2:$D$7909, $B$2:$B$7909, "Lombardia")</f>
        <v>9704151</v>
      </c>
      <c r="G3186" s="1">
        <f>Comuni__2[[#This Row],[Popolazione2011]]/Comuni__2[[#This Row],[POPOLAZIONE TOTALE DI OGNI REGIONE (CON FILTRO)]]</f>
        <v>3.7406672670283055E-4</v>
      </c>
      <c r="H3186" t="str">
        <f>IF(Comuni__2[[#This Row],[Popolazione2011]]&gt;300000,"MAGGIORE","")</f>
        <v/>
      </c>
      <c r="J3186">
        <v>2426</v>
      </c>
      <c r="K3186">
        <v>10</v>
      </c>
      <c r="L3186">
        <v>283</v>
      </c>
    </row>
    <row r="3187" spans="1:12" x14ac:dyDescent="0.2">
      <c r="A3187"/>
      <c r="B3187"/>
      <c r="C3187"/>
      <c r="D3187"/>
      <c r="E3187" s="2">
        <f>Comuni__2[[#This Row],[Popolazione2011]]/$D$7911</f>
        <v>6.1003236166986099E-5</v>
      </c>
      <c r="F3187">
        <f>SUMIFS($D$2:$D$7909, $B$2:$B$7909, "Lombardia")</f>
        <v>9704151</v>
      </c>
      <c r="G3187" s="1">
        <f>Comuni__2[[#This Row],[Popolazione2011]]/Comuni__2[[#This Row],[POPOLAZIONE TOTALE DI OGNI REGIONE (CON FILTRO)]]</f>
        <v>3.7355148327762009E-4</v>
      </c>
      <c r="H3187" t="str">
        <f>IF(Comuni__2[[#This Row],[Popolazione2011]]&gt;300000,"MAGGIORE","")</f>
        <v/>
      </c>
      <c r="J3187">
        <v>2537</v>
      </c>
      <c r="K3187">
        <v>17</v>
      </c>
      <c r="L3187">
        <v>315</v>
      </c>
    </row>
    <row r="3188" spans="1:12" x14ac:dyDescent="0.2">
      <c r="A3188"/>
      <c r="B3188"/>
      <c r="C3188"/>
      <c r="D3188"/>
      <c r="E3188" s="2">
        <f>Comuni__2[[#This Row],[Popolazione2011]]/$D$7911</f>
        <v>6.0986407688043483E-5</v>
      </c>
      <c r="F3188">
        <f>SUMIFS($D$2:$D$7909, $B$2:$B$7909, "Lombardia")</f>
        <v>9704151</v>
      </c>
      <c r="G3188" s="1">
        <f>Comuni__2[[#This Row],[Popolazione2011]]/Comuni__2[[#This Row],[POPOLAZIONE TOTALE DI OGNI REGIONE (CON FILTRO)]]</f>
        <v>3.7344843459257798E-4</v>
      </c>
      <c r="H3188" t="str">
        <f>IF(Comuni__2[[#This Row],[Popolazione2011]]&gt;300000,"MAGGIORE","")</f>
        <v/>
      </c>
      <c r="J3188">
        <v>2764</v>
      </c>
      <c r="K3188">
        <v>17</v>
      </c>
      <c r="L3188">
        <v>374</v>
      </c>
    </row>
    <row r="3189" spans="1:12" x14ac:dyDescent="0.2">
      <c r="A3189"/>
      <c r="B3189"/>
      <c r="C3189"/>
      <c r="D3189"/>
      <c r="E3189" s="2">
        <f>Comuni__2[[#This Row],[Popolazione2011]]/$D$7911</f>
        <v>6.0649838109191147E-5</v>
      </c>
      <c r="F3189">
        <f>SUMIFS($D$2:$D$7909, $B$2:$B$7909, "Lombardia")</f>
        <v>9704151</v>
      </c>
      <c r="G3189" s="1">
        <f>Comuni__2[[#This Row],[Popolazione2011]]/Comuni__2[[#This Row],[POPOLAZIONE TOTALE DI OGNI REGIONE (CON FILTRO)]]</f>
        <v>3.713874608917359E-4</v>
      </c>
      <c r="H3189" t="str">
        <f>IF(Comuni__2[[#This Row],[Popolazione2011]]&gt;300000,"MAGGIORE","")</f>
        <v/>
      </c>
      <c r="J3189">
        <v>2925</v>
      </c>
      <c r="K3189">
        <v>19</v>
      </c>
      <c r="L3189">
        <v>449</v>
      </c>
    </row>
    <row r="3190" spans="1:12" x14ac:dyDescent="0.2">
      <c r="A3190"/>
      <c r="B3190"/>
      <c r="C3190"/>
      <c r="D3190"/>
      <c r="E3190" s="2">
        <f>Comuni__2[[#This Row],[Popolazione2011]]/$D$7911</f>
        <v>6.0532038756592827E-5</v>
      </c>
      <c r="F3190">
        <f>SUMIFS($D$2:$D$7909, $B$2:$B$7909, "Lombardia")</f>
        <v>9704151</v>
      </c>
      <c r="G3190" s="1">
        <f>Comuni__2[[#This Row],[Popolazione2011]]/Comuni__2[[#This Row],[POPOLAZIONE TOTALE DI OGNI REGIONE (CON FILTRO)]]</f>
        <v>3.7066612009644122E-4</v>
      </c>
      <c r="H3190" t="str">
        <f>IF(Comuni__2[[#This Row],[Popolazione2011]]&gt;300000,"MAGGIORE","")</f>
        <v/>
      </c>
      <c r="J3190">
        <v>3041</v>
      </c>
      <c r="K3190">
        <v>135</v>
      </c>
      <c r="L3190">
        <v>449</v>
      </c>
    </row>
    <row r="3191" spans="1:12" x14ac:dyDescent="0.2">
      <c r="A3191"/>
      <c r="B3191"/>
      <c r="C3191"/>
      <c r="D3191"/>
      <c r="E3191" s="2">
        <f>Comuni__2[[#This Row],[Popolazione2011]]/$D$7911</f>
        <v>6.0363753967166659E-5</v>
      </c>
      <c r="F3191">
        <f>SUMIFS($D$2:$D$7909, $B$2:$B$7909, "Lombardia")</f>
        <v>9704151</v>
      </c>
      <c r="G3191" s="1">
        <f>Comuni__2[[#This Row],[Popolazione2011]]/Comuni__2[[#This Row],[POPOLAZIONE TOTALE DI OGNI REGIONE (CON FILTRO)]]</f>
        <v>3.6963563324602018E-4</v>
      </c>
      <c r="H3191" t="str">
        <f>IF(Comuni__2[[#This Row],[Popolazione2011]]&gt;300000,"MAGGIORE","")</f>
        <v/>
      </c>
      <c r="J3191">
        <v>3283</v>
      </c>
      <c r="K3191">
        <v>176</v>
      </c>
      <c r="L3191">
        <v>569</v>
      </c>
    </row>
    <row r="3192" spans="1:12" x14ac:dyDescent="0.2">
      <c r="A3192"/>
      <c r="B3192"/>
      <c r="C3192"/>
      <c r="D3192"/>
      <c r="E3192" s="2">
        <f>Comuni__2[[#This Row],[Popolazione2011]]/$D$7911</f>
        <v>6.0094498304084794E-5</v>
      </c>
      <c r="F3192">
        <f>SUMIFS($D$2:$D$7909, $B$2:$B$7909, "Lombardia")</f>
        <v>9704151</v>
      </c>
      <c r="G3192" s="1">
        <f>Comuni__2[[#This Row],[Popolazione2011]]/Comuni__2[[#This Row],[POPOLAZIONE TOTALE DI OGNI REGIONE (CON FILTRO)]]</f>
        <v>3.6798685428534656E-4</v>
      </c>
      <c r="H3192" t="str">
        <f>IF(Comuni__2[[#This Row],[Popolazione2011]]&gt;300000,"MAGGIORE","")</f>
        <v/>
      </c>
      <c r="J3192">
        <v>3533</v>
      </c>
      <c r="K3192">
        <v>203</v>
      </c>
      <c r="L3192">
        <v>617</v>
      </c>
    </row>
    <row r="3193" spans="1:12" x14ac:dyDescent="0.2">
      <c r="A3193"/>
      <c r="B3193"/>
      <c r="C3193"/>
      <c r="D3193"/>
      <c r="E3193" s="2">
        <f>Comuni__2[[#This Row],[Popolazione2011]]/$D$7911</f>
        <v>6.0094498304084794E-5</v>
      </c>
      <c r="F3193">
        <f>SUMIFS($D$2:$D$7909, $B$2:$B$7909, "Lombardia")</f>
        <v>9704151</v>
      </c>
      <c r="G3193" s="1">
        <f>Comuni__2[[#This Row],[Popolazione2011]]/Comuni__2[[#This Row],[POPOLAZIONE TOTALE DI OGNI REGIONE (CON FILTRO)]]</f>
        <v>3.6798685428534656E-4</v>
      </c>
      <c r="H3193" t="str">
        <f>IF(Comuni__2[[#This Row],[Popolazione2011]]&gt;300000,"MAGGIORE","")</f>
        <v/>
      </c>
      <c r="J3193">
        <v>3428</v>
      </c>
      <c r="K3193">
        <v>254</v>
      </c>
      <c r="L3193">
        <v>684</v>
      </c>
    </row>
    <row r="3194" spans="1:12" x14ac:dyDescent="0.2">
      <c r="A3194"/>
      <c r="B3194"/>
      <c r="C3194"/>
      <c r="D3194"/>
      <c r="E3194" s="2">
        <f>Comuni__2[[#This Row],[Popolazione2011]]/$D$7911</f>
        <v>5.9757928725232458E-5</v>
      </c>
      <c r="F3194">
        <f>SUMIFS($D$2:$D$7909, $B$2:$B$7909, "Lombardia")</f>
        <v>9704151</v>
      </c>
      <c r="G3194" s="1">
        <f>Comuni__2[[#This Row],[Popolazione2011]]/Comuni__2[[#This Row],[POPOLAZIONE TOTALE DI OGNI REGIONE (CON FILTRO)]]</f>
        <v>3.6592588058450453E-4</v>
      </c>
      <c r="H3194" t="str">
        <f>IF(Comuni__2[[#This Row],[Popolazione2011]]&gt;300000,"MAGGIORE","")</f>
        <v/>
      </c>
      <c r="J3194">
        <v>3437</v>
      </c>
      <c r="K3194">
        <v>308</v>
      </c>
      <c r="L3194">
        <v>749</v>
      </c>
    </row>
    <row r="3195" spans="1:12" x14ac:dyDescent="0.2">
      <c r="A3195"/>
      <c r="B3195"/>
      <c r="C3195"/>
      <c r="D3195"/>
      <c r="E3195" s="2">
        <f>Comuni__2[[#This Row],[Popolazione2011]]/$D$7911</f>
        <v>5.9488673062150586E-5</v>
      </c>
      <c r="F3195">
        <f>SUMIFS($D$2:$D$7909, $B$2:$B$7909, "Lombardia")</f>
        <v>9704151</v>
      </c>
      <c r="G3195" s="1">
        <f>Comuni__2[[#This Row],[Popolazione2011]]/Comuni__2[[#This Row],[POPOLAZIONE TOTALE DI OGNI REGIONE (CON FILTRO)]]</f>
        <v>3.6427710162383086E-4</v>
      </c>
      <c r="H3195" t="str">
        <f>IF(Comuni__2[[#This Row],[Popolazione2011]]&gt;300000,"MAGGIORE","")</f>
        <v/>
      </c>
      <c r="J3195">
        <v>3626</v>
      </c>
      <c r="K3195">
        <v>365</v>
      </c>
      <c r="L3195">
        <v>854</v>
      </c>
    </row>
    <row r="3196" spans="1:12" x14ac:dyDescent="0.2">
      <c r="A3196"/>
      <c r="B3196"/>
      <c r="C3196"/>
      <c r="D3196"/>
      <c r="E3196" s="2">
        <f>Comuni__2[[#This Row],[Popolazione2011]]/$D$7911</f>
        <v>5.9455016104265354E-5</v>
      </c>
      <c r="F3196">
        <f>SUMIFS($D$2:$D$7909, $B$2:$B$7909, "Lombardia")</f>
        <v>9704151</v>
      </c>
      <c r="G3196" s="1">
        <f>Comuni__2[[#This Row],[Popolazione2011]]/Comuni__2[[#This Row],[POPOLAZIONE TOTALE DI OGNI REGIONE (CON FILTRO)]]</f>
        <v>3.6407100425374665E-4</v>
      </c>
      <c r="H3196" t="str">
        <f>IF(Comuni__2[[#This Row],[Popolazione2011]]&gt;300000,"MAGGIORE","")</f>
        <v/>
      </c>
      <c r="J3196">
        <v>3599</v>
      </c>
      <c r="K3196">
        <v>439</v>
      </c>
      <c r="L3196">
        <v>886</v>
      </c>
    </row>
    <row r="3197" spans="1:12" x14ac:dyDescent="0.2">
      <c r="A3197"/>
      <c r="B3197"/>
      <c r="C3197"/>
      <c r="D3197"/>
      <c r="E3197" s="2">
        <f>Comuni__2[[#This Row],[Popolazione2011]]/$D$7911</f>
        <v>5.9219417399068715E-5</v>
      </c>
      <c r="F3197">
        <f>SUMIFS($D$2:$D$7909, $B$2:$B$7909, "Lombardia")</f>
        <v>9704151</v>
      </c>
      <c r="G3197" s="1">
        <f>Comuni__2[[#This Row],[Popolazione2011]]/Comuni__2[[#This Row],[POPOLAZIONE TOTALE DI OGNI REGIONE (CON FILTRO)]]</f>
        <v>3.6262832266315725E-4</v>
      </c>
      <c r="H3197" t="str">
        <f>IF(Comuni__2[[#This Row],[Popolazione2011]]&gt;300000,"MAGGIORE","")</f>
        <v/>
      </c>
      <c r="J3197">
        <v>3794</v>
      </c>
      <c r="K3197">
        <v>571</v>
      </c>
      <c r="L3197">
        <v>983</v>
      </c>
    </row>
    <row r="3198" spans="1:12" x14ac:dyDescent="0.2">
      <c r="A3198"/>
      <c r="B3198"/>
      <c r="C3198"/>
      <c r="D3198"/>
      <c r="E3198" s="2">
        <f>Comuni__2[[#This Row],[Popolazione2011]]/$D$7911</f>
        <v>5.8966990214929459E-5</v>
      </c>
      <c r="F3198">
        <f>SUMIFS($D$2:$D$7909, $B$2:$B$7909, "Lombardia")</f>
        <v>9704151</v>
      </c>
      <c r="G3198" s="1">
        <f>Comuni__2[[#This Row],[Popolazione2011]]/Comuni__2[[#This Row],[POPOLAZIONE TOTALE DI OGNI REGIONE (CON FILTRO)]]</f>
        <v>3.6108259238752573E-4</v>
      </c>
      <c r="H3198" t="str">
        <f>IF(Comuni__2[[#This Row],[Popolazione2011]]&gt;300000,"MAGGIORE","")</f>
        <v/>
      </c>
      <c r="J3198">
        <v>3752</v>
      </c>
      <c r="K3198">
        <v>723</v>
      </c>
      <c r="L3198">
        <v>1043</v>
      </c>
    </row>
    <row r="3199" spans="1:12" x14ac:dyDescent="0.2">
      <c r="A3199"/>
      <c r="B3199"/>
      <c r="C3199"/>
      <c r="D3199"/>
      <c r="E3199" s="2">
        <f>Comuni__2[[#This Row],[Popolazione2011]]/$D$7911</f>
        <v>5.8798705425503291E-5</v>
      </c>
      <c r="F3199">
        <f>SUMIFS($D$2:$D$7909, $B$2:$B$7909, "Lombardia")</f>
        <v>9704151</v>
      </c>
      <c r="G3199" s="1">
        <f>Comuni__2[[#This Row],[Popolazione2011]]/Comuni__2[[#This Row],[POPOLAZIONE TOTALE DI OGNI REGIONE (CON FILTRO)]]</f>
        <v>3.6005210553710469E-4</v>
      </c>
      <c r="H3199" t="str">
        <f>IF(Comuni__2[[#This Row],[Popolazione2011]]&gt;300000,"MAGGIORE","")</f>
        <v/>
      </c>
      <c r="J3199">
        <v>3891</v>
      </c>
      <c r="K3199">
        <v>888</v>
      </c>
      <c r="L3199">
        <v>1128</v>
      </c>
    </row>
    <row r="3200" spans="1:12" x14ac:dyDescent="0.2">
      <c r="A3200"/>
      <c r="B3200"/>
      <c r="C3200"/>
      <c r="D3200"/>
      <c r="E3200" s="2">
        <f>Comuni__2[[#This Row],[Popolazione2011]]/$D$7911</f>
        <v>5.8714563030790211E-5</v>
      </c>
      <c r="F3200">
        <f>SUMIFS($D$2:$D$7909, $B$2:$B$7909, "Lombardia")</f>
        <v>9704151</v>
      </c>
      <c r="G3200" s="1">
        <f>Comuni__2[[#This Row],[Popolazione2011]]/Comuni__2[[#This Row],[POPOLAZIONE TOTALE DI OGNI REGIONE (CON FILTRO)]]</f>
        <v>3.5953686211189417E-4</v>
      </c>
      <c r="H3200" t="str">
        <f>IF(Comuni__2[[#This Row],[Popolazione2011]]&gt;300000,"MAGGIORE","")</f>
        <v/>
      </c>
      <c r="J3200">
        <v>3916</v>
      </c>
      <c r="K3200">
        <v>1017</v>
      </c>
      <c r="L3200">
        <v>1168</v>
      </c>
    </row>
    <row r="3201" spans="1:12" x14ac:dyDescent="0.2">
      <c r="A3201"/>
      <c r="B3201"/>
      <c r="C3201"/>
      <c r="D3201"/>
      <c r="E3201" s="2">
        <f>Comuni__2[[#This Row],[Popolazione2011]]/$D$7911</f>
        <v>5.8293851057224787E-5</v>
      </c>
      <c r="F3201">
        <f>SUMIFS($D$2:$D$7909, $B$2:$B$7909, "Lombardia")</f>
        <v>9704151</v>
      </c>
      <c r="G3201" s="1">
        <f>Comuni__2[[#This Row],[Popolazione2011]]/Comuni__2[[#This Row],[POPOLAZIONE TOTALE DI OGNI REGIONE (CON FILTRO)]]</f>
        <v>3.5696064498584162E-4</v>
      </c>
      <c r="H3201" t="str">
        <f>IF(Comuni__2[[#This Row],[Popolazione2011]]&gt;300000,"MAGGIORE","")</f>
        <v/>
      </c>
      <c r="J3201">
        <v>3922</v>
      </c>
      <c r="K3201">
        <v>1128</v>
      </c>
      <c r="L3201">
        <v>1251</v>
      </c>
    </row>
    <row r="3202" spans="1:12" x14ac:dyDescent="0.2">
      <c r="A3202"/>
      <c r="B3202"/>
      <c r="C3202"/>
      <c r="D3202"/>
      <c r="E3202" s="2">
        <f>Comuni__2[[#This Row],[Popolazione2011]]/$D$7911</f>
        <v>5.8243365620396939E-5</v>
      </c>
      <c r="F3202">
        <f>SUMIFS($D$2:$D$7909, $B$2:$B$7909, "Lombardia")</f>
        <v>9704151</v>
      </c>
      <c r="G3202" s="1">
        <f>Comuni__2[[#This Row],[Popolazione2011]]/Comuni__2[[#This Row],[POPOLAZIONE TOTALE DI OGNI REGIONE (CON FILTRO)]]</f>
        <v>3.566514989307153E-4</v>
      </c>
      <c r="H3202" t="str">
        <f>IF(Comuni__2[[#This Row],[Popolazione2011]]&gt;300000,"MAGGIORE","")</f>
        <v/>
      </c>
      <c r="J3202">
        <v>3985</v>
      </c>
      <c r="K3202">
        <v>1320</v>
      </c>
      <c r="L3202">
        <v>1319</v>
      </c>
    </row>
    <row r="3203" spans="1:12" x14ac:dyDescent="0.2">
      <c r="A3203"/>
      <c r="B3203"/>
      <c r="C3203"/>
      <c r="D3203"/>
      <c r="E3203" s="2">
        <f>Comuni__2[[#This Row],[Popolazione2011]]/$D$7911</f>
        <v>5.8142394746741235E-5</v>
      </c>
      <c r="F3203">
        <f>SUMIFS($D$2:$D$7909, $B$2:$B$7909, "Lombardia")</f>
        <v>9704151</v>
      </c>
      <c r="G3203" s="1">
        <f>Comuni__2[[#This Row],[Popolazione2011]]/Comuni__2[[#This Row],[POPOLAZIONE TOTALE DI OGNI REGIONE (CON FILTRO)]]</f>
        <v>3.5603320682046273E-4</v>
      </c>
      <c r="H3203" t="str">
        <f>IF(Comuni__2[[#This Row],[Popolazione2011]]&gt;300000,"MAGGIORE","")</f>
        <v/>
      </c>
      <c r="J3203">
        <v>3916</v>
      </c>
      <c r="K3203">
        <v>1516</v>
      </c>
      <c r="L3203">
        <v>1378</v>
      </c>
    </row>
    <row r="3204" spans="1:12" x14ac:dyDescent="0.2">
      <c r="A3204"/>
      <c r="B3204"/>
      <c r="C3204"/>
      <c r="D3204"/>
      <c r="E3204" s="2">
        <f>Comuni__2[[#This Row],[Popolazione2011]]/$D$7911</f>
        <v>5.8058252352028155E-5</v>
      </c>
      <c r="F3204">
        <f>SUMIFS($D$2:$D$7909, $B$2:$B$7909, "Lombardia")</f>
        <v>9704151</v>
      </c>
      <c r="G3204" s="1">
        <f>Comuni__2[[#This Row],[Popolazione2011]]/Comuni__2[[#This Row],[POPOLAZIONE TOTALE DI OGNI REGIONE (CON FILTRO)]]</f>
        <v>3.5551796339525221E-4</v>
      </c>
      <c r="H3204" t="str">
        <f>IF(Comuni__2[[#This Row],[Popolazione2011]]&gt;300000,"MAGGIORE","")</f>
        <v/>
      </c>
      <c r="J3204">
        <v>3926</v>
      </c>
      <c r="K3204">
        <v>1732</v>
      </c>
      <c r="L3204">
        <v>1454</v>
      </c>
    </row>
    <row r="3205" spans="1:12" x14ac:dyDescent="0.2">
      <c r="A3205"/>
      <c r="B3205"/>
      <c r="C3205"/>
      <c r="D3205"/>
      <c r="E3205" s="2">
        <f>Comuni__2[[#This Row],[Popolazione2011]]/$D$7911</f>
        <v>5.7856310604716748E-5</v>
      </c>
      <c r="F3205">
        <f>SUMIFS($D$2:$D$7909, $B$2:$B$7909, "Lombardia")</f>
        <v>9704151</v>
      </c>
      <c r="G3205" s="1">
        <f>Comuni__2[[#This Row],[Popolazione2011]]/Comuni__2[[#This Row],[POPOLAZIONE TOTALE DI OGNI REGIONE (CON FILTRO)]]</f>
        <v>3.5428137917474696E-4</v>
      </c>
      <c r="H3205" t="str">
        <f>IF(Comuni__2[[#This Row],[Popolazione2011]]&gt;300000,"MAGGIORE","")</f>
        <v/>
      </c>
      <c r="J3205">
        <v>3891</v>
      </c>
      <c r="K3205">
        <v>1904</v>
      </c>
      <c r="L3205">
        <v>1532</v>
      </c>
    </row>
    <row r="3206" spans="1:12" x14ac:dyDescent="0.2">
      <c r="A3206"/>
      <c r="B3206"/>
      <c r="C3206"/>
      <c r="D3206"/>
      <c r="E3206" s="2">
        <f>Comuni__2[[#This Row],[Popolazione2011]]/$D$7911</f>
        <v>5.7671197336347964E-5</v>
      </c>
      <c r="F3206">
        <f>SUMIFS($D$2:$D$7909, $B$2:$B$7909, "Lombardia")</f>
        <v>9704151</v>
      </c>
      <c r="G3206" s="1">
        <f>Comuni__2[[#This Row],[Popolazione2011]]/Comuni__2[[#This Row],[POPOLAZIONE TOTALE DI OGNI REGIONE (CON FILTRO)]]</f>
        <v>3.5314784363928386E-4</v>
      </c>
      <c r="H3206" t="str">
        <f>IF(Comuni__2[[#This Row],[Popolazione2011]]&gt;300000,"MAGGIORE","")</f>
        <v/>
      </c>
      <c r="J3206">
        <v>3819</v>
      </c>
      <c r="K3206">
        <v>2205</v>
      </c>
      <c r="L3206">
        <v>1633</v>
      </c>
    </row>
    <row r="3207" spans="1:12" x14ac:dyDescent="0.2">
      <c r="A3207"/>
      <c r="B3207"/>
      <c r="C3207"/>
      <c r="D3207"/>
      <c r="E3207" s="2">
        <f>Comuni__2[[#This Row],[Popolazione2011]]/$D$7911</f>
        <v>5.7385113194323476E-5</v>
      </c>
      <c r="F3207">
        <f>SUMIFS($D$2:$D$7909, $B$2:$B$7909, "Lombardia")</f>
        <v>9704151</v>
      </c>
      <c r="G3207" s="1">
        <f>Comuni__2[[#This Row],[Popolazione2011]]/Comuni__2[[#This Row],[POPOLAZIONE TOTALE DI OGNI REGIONE (CON FILTRO)]]</f>
        <v>3.5139601599356809E-4</v>
      </c>
      <c r="H3207" t="str">
        <f>IF(Comuni__2[[#This Row],[Popolazione2011]]&gt;300000,"MAGGIORE","")</f>
        <v/>
      </c>
      <c r="J3207">
        <v>3810</v>
      </c>
      <c r="K3207">
        <v>2426</v>
      </c>
      <c r="L3207">
        <v>1729</v>
      </c>
    </row>
    <row r="3208" spans="1:12" x14ac:dyDescent="0.2">
      <c r="A3208"/>
      <c r="B3208"/>
      <c r="C3208"/>
      <c r="D3208"/>
      <c r="E3208" s="2">
        <f>Comuni__2[[#This Row],[Popolazione2011]]/$D$7911</f>
        <v>5.7300970799610395E-5</v>
      </c>
      <c r="F3208">
        <f>SUMIFS($D$2:$D$7909, $B$2:$B$7909, "Lombardia")</f>
        <v>9704151</v>
      </c>
      <c r="G3208" s="1">
        <f>Comuni__2[[#This Row],[Popolazione2011]]/Comuni__2[[#This Row],[POPOLAZIONE TOTALE DI OGNI REGIONE (CON FILTRO)]]</f>
        <v>3.5088077256835762E-4</v>
      </c>
      <c r="H3208" t="str">
        <f>IF(Comuni__2[[#This Row],[Popolazione2011]]&gt;300000,"MAGGIORE","")</f>
        <v/>
      </c>
      <c r="J3208">
        <v>3723</v>
      </c>
      <c r="K3208">
        <v>2543</v>
      </c>
      <c r="L3208">
        <v>1826</v>
      </c>
    </row>
    <row r="3209" spans="1:12" x14ac:dyDescent="0.2">
      <c r="A3209"/>
      <c r="B3209"/>
      <c r="C3209"/>
      <c r="D3209"/>
      <c r="E3209" s="2">
        <f>Comuni__2[[#This Row],[Popolazione2011]]/$D$7911</f>
        <v>5.7267313841725163E-5</v>
      </c>
      <c r="F3209">
        <f>SUMIFS($D$2:$D$7909, $B$2:$B$7909, "Lombardia")</f>
        <v>9704151</v>
      </c>
      <c r="G3209" s="1">
        <f>Comuni__2[[#This Row],[Popolazione2011]]/Comuni__2[[#This Row],[POPOLAZIONE TOTALE DI OGNI REGIONE (CON FILTRO)]]</f>
        <v>3.5067467519827341E-4</v>
      </c>
      <c r="H3209" t="str">
        <f>IF(Comuni__2[[#This Row],[Popolazione2011]]&gt;300000,"MAGGIORE","")</f>
        <v/>
      </c>
      <c r="J3209">
        <v>3762</v>
      </c>
      <c r="K3209">
        <v>2708</v>
      </c>
      <c r="L3209">
        <v>1927</v>
      </c>
    </row>
    <row r="3210" spans="1:12" x14ac:dyDescent="0.2">
      <c r="A3210"/>
      <c r="B3210"/>
      <c r="C3210"/>
      <c r="D3210"/>
      <c r="E3210" s="2">
        <f>Comuni__2[[#This Row],[Popolazione2011]]/$D$7911</f>
        <v>5.7166342968069459E-5</v>
      </c>
      <c r="F3210">
        <f>SUMIFS($D$2:$D$7909, $B$2:$B$7909, "Lombardia")</f>
        <v>9704151</v>
      </c>
      <c r="G3210" s="1">
        <f>Comuni__2[[#This Row],[Popolazione2011]]/Comuni__2[[#This Row],[POPOLAZIONE TOTALE DI OGNI REGIONE (CON FILTRO)]]</f>
        <v>3.5005638308802079E-4</v>
      </c>
      <c r="H3210" t="str">
        <f>IF(Comuni__2[[#This Row],[Popolazione2011]]&gt;300000,"MAGGIORE","")</f>
        <v/>
      </c>
      <c r="J3210">
        <v>3704</v>
      </c>
      <c r="K3210">
        <v>3019</v>
      </c>
      <c r="L3210">
        <v>2015</v>
      </c>
    </row>
    <row r="3211" spans="1:12" x14ac:dyDescent="0.2">
      <c r="A3211"/>
      <c r="B3211"/>
      <c r="C3211"/>
      <c r="D3211"/>
      <c r="E3211" s="2">
        <f>Comuni__2[[#This Row],[Popolazione2011]]/$D$7911</f>
        <v>5.7115857531241611E-5</v>
      </c>
      <c r="F3211">
        <f>SUMIFS($D$2:$D$7909, $B$2:$B$7909, "Lombardia")</f>
        <v>9704151</v>
      </c>
      <c r="G3211" s="1">
        <f>Comuni__2[[#This Row],[Popolazione2011]]/Comuni__2[[#This Row],[POPOLAZIONE TOTALE DI OGNI REGIONE (CON FILTRO)]]</f>
        <v>3.4974723703289448E-4</v>
      </c>
      <c r="H3211" t="str">
        <f>IF(Comuni__2[[#This Row],[Popolazione2011]]&gt;300000,"MAGGIORE","")</f>
        <v/>
      </c>
      <c r="J3211">
        <v>3764</v>
      </c>
      <c r="K3211">
        <v>3231</v>
      </c>
      <c r="L3211">
        <v>2094</v>
      </c>
    </row>
    <row r="3212" spans="1:12" x14ac:dyDescent="0.2">
      <c r="A3212"/>
      <c r="B3212"/>
      <c r="C3212"/>
      <c r="D3212"/>
      <c r="E3212" s="2">
        <f>Comuni__2[[#This Row],[Popolazione2011]]/$D$7911</f>
        <v>5.7031715136528524E-5</v>
      </c>
      <c r="F3212">
        <f>SUMIFS($D$2:$D$7909, $B$2:$B$7909, "Lombardia")</f>
        <v>9704151</v>
      </c>
      <c r="G3212" s="1">
        <f>Comuni__2[[#This Row],[Popolazione2011]]/Comuni__2[[#This Row],[POPOLAZIONE TOTALE DI OGNI REGIONE (CON FILTRO)]]</f>
        <v>3.4923199360768395E-4</v>
      </c>
      <c r="H3212" t="str">
        <f>IF(Comuni__2[[#This Row],[Popolazione2011]]&gt;300000,"MAGGIORE","")</f>
        <v/>
      </c>
      <c r="J3212">
        <v>3599</v>
      </c>
      <c r="K3212">
        <v>3634</v>
      </c>
      <c r="L3212">
        <v>2171</v>
      </c>
    </row>
    <row r="3213" spans="1:12" x14ac:dyDescent="0.2">
      <c r="A3213"/>
      <c r="B3213"/>
      <c r="C3213"/>
      <c r="D3213"/>
      <c r="E3213" s="2">
        <f>Comuni__2[[#This Row],[Popolazione2011]]/$D$7911</f>
        <v>5.6998058178643291E-5</v>
      </c>
      <c r="F3213">
        <f>SUMIFS($D$2:$D$7909, $B$2:$B$7909, "Lombardia")</f>
        <v>9704151</v>
      </c>
      <c r="G3213" s="1">
        <f>Comuni__2[[#This Row],[Popolazione2011]]/Comuni__2[[#This Row],[POPOLAZIONE TOTALE DI OGNI REGIONE (CON FILTRO)]]</f>
        <v>3.4902589623759975E-4</v>
      </c>
      <c r="H3213" t="str">
        <f>IF(Comuni__2[[#This Row],[Popolazione2011]]&gt;300000,"MAGGIORE","")</f>
        <v/>
      </c>
      <c r="J3213">
        <v>3594</v>
      </c>
      <c r="K3213">
        <v>3989</v>
      </c>
      <c r="L3213">
        <v>2252</v>
      </c>
    </row>
    <row r="3214" spans="1:12" x14ac:dyDescent="0.2">
      <c r="A3214"/>
      <c r="B3214"/>
      <c r="C3214"/>
      <c r="D3214"/>
      <c r="E3214" s="2">
        <f>Comuni__2[[#This Row],[Popolazione2011]]/$D$7911</f>
        <v>5.6964401220758059E-5</v>
      </c>
      <c r="F3214">
        <f>SUMIFS($D$2:$D$7909, $B$2:$B$7909, "Lombardia")</f>
        <v>9704151</v>
      </c>
      <c r="G3214" s="1">
        <f>Comuni__2[[#This Row],[Popolazione2011]]/Comuni__2[[#This Row],[POPOLAZIONE TOTALE DI OGNI REGIONE (CON FILTRO)]]</f>
        <v>3.4881979886751554E-4</v>
      </c>
      <c r="H3214" t="str">
        <f>IF(Comuni__2[[#This Row],[Popolazione2011]]&gt;300000,"MAGGIORE","")</f>
        <v/>
      </c>
      <c r="J3214">
        <v>3506</v>
      </c>
      <c r="K3214">
        <v>4256</v>
      </c>
      <c r="L3214">
        <v>2331</v>
      </c>
    </row>
    <row r="3215" spans="1:12" x14ac:dyDescent="0.2">
      <c r="A3215"/>
      <c r="B3215"/>
      <c r="C3215"/>
      <c r="D3215"/>
      <c r="E3215" s="2">
        <f>Comuni__2[[#This Row],[Popolazione2011]]/$D$7911</f>
        <v>5.6897087304987588E-5</v>
      </c>
      <c r="F3215">
        <f>SUMIFS($D$2:$D$7909, $B$2:$B$7909, "Lombardia")</f>
        <v>9704151</v>
      </c>
      <c r="G3215" s="1">
        <f>Comuni__2[[#This Row],[Popolazione2011]]/Comuni__2[[#This Row],[POPOLAZIONE TOTALE DI OGNI REGIONE (CON FILTRO)]]</f>
        <v>3.4840760412734717E-4</v>
      </c>
      <c r="H3215" t="str">
        <f>IF(Comuni__2[[#This Row],[Popolazione2011]]&gt;300000,"MAGGIORE","")</f>
        <v/>
      </c>
      <c r="J3215">
        <v>3600</v>
      </c>
      <c r="K3215">
        <v>4383</v>
      </c>
      <c r="L3215">
        <v>2409</v>
      </c>
    </row>
    <row r="3216" spans="1:12" x14ac:dyDescent="0.2">
      <c r="A3216"/>
      <c r="B3216"/>
      <c r="C3216"/>
      <c r="D3216"/>
      <c r="E3216" s="2">
        <f>Comuni__2[[#This Row],[Popolazione2011]]/$D$7911</f>
        <v>5.6745630994504036E-5</v>
      </c>
      <c r="F3216">
        <f>SUMIFS($D$2:$D$7909, $B$2:$B$7909, "Lombardia")</f>
        <v>9704151</v>
      </c>
      <c r="G3216" s="1">
        <f>Comuni__2[[#This Row],[Popolazione2011]]/Comuni__2[[#This Row],[POPOLAZIONE TOTALE DI OGNI REGIONE (CON FILTRO)]]</f>
        <v>3.4748016596196824E-4</v>
      </c>
      <c r="H3216" t="str">
        <f>IF(Comuni__2[[#This Row],[Popolazione2011]]&gt;300000,"MAGGIORE","")</f>
        <v/>
      </c>
      <c r="J3216">
        <v>3409</v>
      </c>
      <c r="K3216">
        <v>4659</v>
      </c>
      <c r="L3216">
        <v>2485</v>
      </c>
    </row>
    <row r="3217" spans="1:12" x14ac:dyDescent="0.2">
      <c r="A3217"/>
      <c r="B3217"/>
      <c r="C3217"/>
      <c r="D3217"/>
      <c r="E3217" s="2">
        <f>Comuni__2[[#This Row],[Popolazione2011]]/$D$7911</f>
        <v>5.6711974036618804E-5</v>
      </c>
      <c r="F3217">
        <f>SUMIFS($D$2:$D$7909, $B$2:$B$7909, "Lombardia")</f>
        <v>9704151</v>
      </c>
      <c r="G3217" s="1">
        <f>Comuni__2[[#This Row],[Popolazione2011]]/Comuni__2[[#This Row],[POPOLAZIONE TOTALE DI OGNI REGIONE (CON FILTRO)]]</f>
        <v>3.4727406859188403E-4</v>
      </c>
      <c r="H3217" t="str">
        <f>IF(Comuni__2[[#This Row],[Popolazione2011]]&gt;300000,"MAGGIORE","")</f>
        <v/>
      </c>
      <c r="J3217">
        <v>3486</v>
      </c>
      <c r="K3217">
        <v>5058</v>
      </c>
      <c r="L3217">
        <v>2559</v>
      </c>
    </row>
    <row r="3218" spans="1:12" x14ac:dyDescent="0.2">
      <c r="A3218"/>
      <c r="B3218"/>
      <c r="C3218"/>
      <c r="D3218"/>
      <c r="E3218" s="2">
        <f>Comuni__2[[#This Row],[Popolazione2011]]/$D$7911</f>
        <v>5.6577346205077868E-5</v>
      </c>
      <c r="F3218">
        <f>SUMIFS($D$2:$D$7909, $B$2:$B$7909, "Lombardia")</f>
        <v>9704151</v>
      </c>
      <c r="G3218" s="1">
        <f>Comuni__2[[#This Row],[Popolazione2011]]/Comuni__2[[#This Row],[POPOLAZIONE TOTALE DI OGNI REGIONE (CON FILTRO)]]</f>
        <v>3.4644967911154719E-4</v>
      </c>
      <c r="H3218" t="str">
        <f>IF(Comuni__2[[#This Row],[Popolazione2011]]&gt;300000,"MAGGIORE","")</f>
        <v/>
      </c>
      <c r="J3218">
        <v>3300</v>
      </c>
      <c r="K3218">
        <v>5358</v>
      </c>
      <c r="L3218">
        <v>2630</v>
      </c>
    </row>
    <row r="3219" spans="1:12" x14ac:dyDescent="0.2">
      <c r="A3219"/>
      <c r="B3219"/>
      <c r="C3219"/>
      <c r="D3219"/>
      <c r="E3219" s="2">
        <f>Comuni__2[[#This Row],[Popolazione2011]]/$D$7911</f>
        <v>5.6459546852479548E-5</v>
      </c>
      <c r="F3219">
        <f>SUMIFS($D$2:$D$7909, $B$2:$B$7909, "Lombardia")</f>
        <v>9704151</v>
      </c>
      <c r="G3219" s="1">
        <f>Comuni__2[[#This Row],[Popolazione2011]]/Comuni__2[[#This Row],[POPOLAZIONE TOTALE DI OGNI REGIONE (CON FILTRO)]]</f>
        <v>3.4572833831625252E-4</v>
      </c>
      <c r="H3219" t="str">
        <f>IF(Comuni__2[[#This Row],[Popolazione2011]]&gt;300000,"MAGGIORE","")</f>
        <v/>
      </c>
      <c r="J3219">
        <v>3175</v>
      </c>
      <c r="K3219">
        <v>5732</v>
      </c>
      <c r="L3219">
        <v>2699</v>
      </c>
    </row>
    <row r="3220" spans="1:12" x14ac:dyDescent="0.2">
      <c r="A3220"/>
      <c r="B3220"/>
      <c r="C3220"/>
      <c r="D3220"/>
      <c r="E3220" s="2">
        <f>Comuni__2[[#This Row],[Popolazione2011]]/$D$7911</f>
        <v>5.6139805752569828E-5</v>
      </c>
      <c r="F3220">
        <f>SUMIFS($D$2:$D$7909, $B$2:$B$7909, "Lombardia")</f>
        <v>9704151</v>
      </c>
      <c r="G3220" s="1">
        <f>Comuni__2[[#This Row],[Popolazione2011]]/Comuni__2[[#This Row],[POPOLAZIONE TOTALE DI OGNI REGIONE (CON FILTRO)]]</f>
        <v>3.4377041330045253E-4</v>
      </c>
      <c r="H3220" t="str">
        <f>IF(Comuni__2[[#This Row],[Popolazione2011]]&gt;300000,"MAGGIORE","")</f>
        <v/>
      </c>
      <c r="J3220">
        <v>3175</v>
      </c>
      <c r="K3220">
        <v>6157</v>
      </c>
      <c r="L3220">
        <v>2767</v>
      </c>
    </row>
    <row r="3221" spans="1:12" x14ac:dyDescent="0.2">
      <c r="A3221"/>
      <c r="B3221"/>
      <c r="C3221"/>
      <c r="D3221"/>
      <c r="E3221" s="2">
        <f>Comuni__2[[#This Row],[Popolazione2011]]/$D$7911</f>
        <v>5.6106148794684596E-5</v>
      </c>
      <c r="F3221">
        <f>SUMIFS($D$2:$D$7909, $B$2:$B$7909, "Lombardia")</f>
        <v>9704151</v>
      </c>
      <c r="G3221" s="1">
        <f>Comuni__2[[#This Row],[Popolazione2011]]/Comuni__2[[#This Row],[POPOLAZIONE TOTALE DI OGNI REGIONE (CON FILTRO)]]</f>
        <v>3.4356431593036838E-4</v>
      </c>
      <c r="H3221" t="str">
        <f>IF(Comuni__2[[#This Row],[Popolazione2011]]&gt;300000,"MAGGIORE","")</f>
        <v/>
      </c>
      <c r="J3221">
        <v>3080</v>
      </c>
      <c r="K3221">
        <v>6478</v>
      </c>
      <c r="L3221">
        <v>2823</v>
      </c>
    </row>
    <row r="3222" spans="1:12" x14ac:dyDescent="0.2">
      <c r="A3222"/>
      <c r="B3222"/>
      <c r="C3222"/>
      <c r="D3222"/>
      <c r="E3222" s="2">
        <f>Comuni__2[[#This Row],[Popolazione2011]]/$D$7911</f>
        <v>5.6022006399971515E-5</v>
      </c>
      <c r="F3222">
        <f>SUMIFS($D$2:$D$7909, $B$2:$B$7909, "Lombardia")</f>
        <v>9704151</v>
      </c>
      <c r="G3222" s="1">
        <f>Comuni__2[[#This Row],[Popolazione2011]]/Comuni__2[[#This Row],[POPOLAZIONE TOTALE DI OGNI REGIONE (CON FILTRO)]]</f>
        <v>3.4304907250515786E-4</v>
      </c>
      <c r="H3222" t="str">
        <f>IF(Comuni__2[[#This Row],[Popolazione2011]]&gt;300000,"MAGGIORE","")</f>
        <v/>
      </c>
      <c r="J3222">
        <v>3044</v>
      </c>
      <c r="K3222">
        <v>6712</v>
      </c>
      <c r="L3222">
        <v>2878</v>
      </c>
    </row>
    <row r="3223" spans="1:12" x14ac:dyDescent="0.2">
      <c r="A3223"/>
      <c r="B3223"/>
      <c r="C3223"/>
      <c r="D3223"/>
      <c r="E3223" s="2">
        <f>Comuni__2[[#This Row],[Popolazione2011]]/$D$7911</f>
        <v>5.5870550089487964E-5</v>
      </c>
      <c r="F3223">
        <f>SUMIFS($D$2:$D$7909, $B$2:$B$7909, "Lombardia")</f>
        <v>9704151</v>
      </c>
      <c r="G3223" s="1">
        <f>Comuni__2[[#This Row],[Popolazione2011]]/Comuni__2[[#This Row],[POPOLAZIONE TOTALE DI OGNI REGIONE (CON FILTRO)]]</f>
        <v>3.4212163433977892E-4</v>
      </c>
      <c r="H3223" t="str">
        <f>IF(Comuni__2[[#This Row],[Popolazione2011]]&gt;300000,"MAGGIORE","")</f>
        <v/>
      </c>
      <c r="J3223">
        <v>2903</v>
      </c>
      <c r="K3223">
        <v>7008</v>
      </c>
      <c r="L3223">
        <v>2936</v>
      </c>
    </row>
    <row r="3224" spans="1:12" x14ac:dyDescent="0.2">
      <c r="A3224"/>
      <c r="B3224"/>
      <c r="C3224"/>
      <c r="D3224"/>
      <c r="E3224" s="2">
        <f>Comuni__2[[#This Row],[Popolazione2011]]/$D$7911</f>
        <v>5.5853721610545347E-5</v>
      </c>
      <c r="F3224">
        <f>SUMIFS($D$2:$D$7909, $B$2:$B$7909, "Lombardia")</f>
        <v>9704151</v>
      </c>
      <c r="G3224" s="1">
        <f>Comuni__2[[#This Row],[Popolazione2011]]/Comuni__2[[#This Row],[POPOLAZIONE TOTALE DI OGNI REGIONE (CON FILTRO)]]</f>
        <v>3.4201858565473681E-4</v>
      </c>
      <c r="H3224" t="str">
        <f>IF(Comuni__2[[#This Row],[Popolazione2011]]&gt;300000,"MAGGIORE","")</f>
        <v/>
      </c>
      <c r="J3224">
        <v>2839</v>
      </c>
      <c r="K3224">
        <v>7337</v>
      </c>
      <c r="L3224">
        <v>3003</v>
      </c>
    </row>
    <row r="3225" spans="1:12" x14ac:dyDescent="0.2">
      <c r="A3225"/>
      <c r="B3225"/>
      <c r="C3225"/>
      <c r="D3225"/>
      <c r="E3225" s="2">
        <f>Comuni__2[[#This Row],[Popolazione2011]]/$D$7911</f>
        <v>5.5735922257947028E-5</v>
      </c>
      <c r="F3225">
        <f>SUMIFS($D$2:$D$7909, $B$2:$B$7909, "Lombardia")</f>
        <v>9704151</v>
      </c>
      <c r="G3225" s="1">
        <f>Comuni__2[[#This Row],[Popolazione2011]]/Comuni__2[[#This Row],[POPOLAZIONE TOTALE DI OGNI REGIONE (CON FILTRO)]]</f>
        <v>3.4129724485944208E-4</v>
      </c>
      <c r="H3225" t="str">
        <f>IF(Comuni__2[[#This Row],[Popolazione2011]]&gt;300000,"MAGGIORE","")</f>
        <v/>
      </c>
      <c r="J3225">
        <v>2820</v>
      </c>
      <c r="K3225">
        <v>7730</v>
      </c>
      <c r="L3225">
        <v>3066</v>
      </c>
    </row>
    <row r="3226" spans="1:12" x14ac:dyDescent="0.2">
      <c r="A3226"/>
      <c r="B3226"/>
      <c r="C3226"/>
      <c r="D3226"/>
      <c r="E3226" s="2">
        <f>Comuni__2[[#This Row],[Popolazione2011]]/$D$7911</f>
        <v>5.5735922257947028E-5</v>
      </c>
      <c r="F3226">
        <f>SUMIFS($D$2:$D$7909, $B$2:$B$7909, "Lombardia")</f>
        <v>9704151</v>
      </c>
      <c r="G3226" s="1">
        <f>Comuni__2[[#This Row],[Popolazione2011]]/Comuni__2[[#This Row],[POPOLAZIONE TOTALE DI OGNI REGIONE (CON FILTRO)]]</f>
        <v>3.4129724485944208E-4</v>
      </c>
      <c r="H3226" t="str">
        <f>IF(Comuni__2[[#This Row],[Popolazione2011]]&gt;300000,"MAGGIORE","")</f>
        <v/>
      </c>
      <c r="J3226">
        <v>2684</v>
      </c>
      <c r="K3226">
        <v>8025</v>
      </c>
      <c r="L3226">
        <v>3097</v>
      </c>
    </row>
    <row r="3227" spans="1:12" x14ac:dyDescent="0.2">
      <c r="A3227"/>
      <c r="B3227"/>
      <c r="C3227"/>
      <c r="D3227"/>
      <c r="E3227" s="2">
        <f>Comuni__2[[#This Row],[Popolazione2011]]/$D$7911</f>
        <v>5.5618122905348708E-5</v>
      </c>
      <c r="F3227">
        <f>SUMIFS($D$2:$D$7909, $B$2:$B$7909, "Lombardia")</f>
        <v>9704151</v>
      </c>
      <c r="G3227" s="1">
        <f>Comuni__2[[#This Row],[Popolazione2011]]/Comuni__2[[#This Row],[POPOLAZIONE TOTALE DI OGNI REGIONE (CON FILTRO)]]</f>
        <v>3.4057590406414741E-4</v>
      </c>
      <c r="H3227" t="str">
        <f>IF(Comuni__2[[#This Row],[Popolazione2011]]&gt;300000,"MAGGIORE","")</f>
        <v/>
      </c>
      <c r="J3227">
        <v>2728</v>
      </c>
      <c r="K3227">
        <v>8334</v>
      </c>
      <c r="L3227">
        <v>3126</v>
      </c>
    </row>
    <row r="3228" spans="1:12" x14ac:dyDescent="0.2">
      <c r="A3228"/>
      <c r="B3228"/>
      <c r="C3228"/>
      <c r="D3228"/>
      <c r="E3228" s="2">
        <f>Comuni__2[[#This Row],[Popolazione2011]]/$D$7911</f>
        <v>5.5416181158037308E-5</v>
      </c>
      <c r="F3228">
        <f>SUMIFS($D$2:$D$7909, $B$2:$B$7909, "Lombardia")</f>
        <v>9704151</v>
      </c>
      <c r="G3228" s="1">
        <f>Comuni__2[[#This Row],[Popolazione2011]]/Comuni__2[[#This Row],[POPOLAZIONE TOTALE DI OGNI REGIONE (CON FILTRO)]]</f>
        <v>3.3933931984364216E-4</v>
      </c>
      <c r="H3228" t="str">
        <f>IF(Comuni__2[[#This Row],[Popolazione2011]]&gt;300000,"MAGGIORE","")</f>
        <v/>
      </c>
      <c r="J3228">
        <v>2665</v>
      </c>
      <c r="K3228">
        <v>8640</v>
      </c>
      <c r="L3228">
        <v>3152</v>
      </c>
    </row>
    <row r="3229" spans="1:12" x14ac:dyDescent="0.2">
      <c r="A3229"/>
      <c r="B3229"/>
      <c r="C3229"/>
      <c r="D3229"/>
      <c r="E3229" s="2">
        <f>Comuni__2[[#This Row],[Popolazione2011]]/$D$7911</f>
        <v>5.5281553326496372E-5</v>
      </c>
      <c r="F3229">
        <f>SUMIFS($D$2:$D$7909, $B$2:$B$7909, "Lombardia")</f>
        <v>9704151</v>
      </c>
      <c r="G3229" s="1">
        <f>Comuni__2[[#This Row],[Popolazione2011]]/Comuni__2[[#This Row],[POPOLAZIONE TOTALE DI OGNI REGIONE (CON FILTRO)]]</f>
        <v>3.3851493036330538E-4</v>
      </c>
      <c r="H3229" t="str">
        <f>IF(Comuni__2[[#This Row],[Popolazione2011]]&gt;300000,"MAGGIORE","")</f>
        <v/>
      </c>
      <c r="J3229">
        <v>2552</v>
      </c>
      <c r="K3229">
        <v>8874</v>
      </c>
      <c r="L3229">
        <v>3186</v>
      </c>
    </row>
    <row r="3230" spans="1:12" x14ac:dyDescent="0.2">
      <c r="A3230"/>
      <c r="B3230"/>
      <c r="C3230"/>
      <c r="D3230"/>
      <c r="E3230" s="2">
        <f>Comuni__2[[#This Row],[Popolazione2011]]/$D$7911</f>
        <v>5.5045954621299733E-5</v>
      </c>
      <c r="F3230">
        <f>SUMIFS($D$2:$D$7909, $B$2:$B$7909, "Lombardia")</f>
        <v>9704151</v>
      </c>
      <c r="G3230" s="1">
        <f>Comuni__2[[#This Row],[Popolazione2011]]/Comuni__2[[#This Row],[POPOLAZIONE TOTALE DI OGNI REGIONE (CON FILTRO)]]</f>
        <v>3.3707224877271592E-4</v>
      </c>
      <c r="H3230" t="str">
        <f>IF(Comuni__2[[#This Row],[Popolazione2011]]&gt;300000,"MAGGIORE","")</f>
        <v/>
      </c>
      <c r="J3230">
        <v>2462</v>
      </c>
      <c r="K3230">
        <v>9235</v>
      </c>
      <c r="L3230">
        <v>3216</v>
      </c>
    </row>
    <row r="3231" spans="1:12" x14ac:dyDescent="0.2">
      <c r="A3231"/>
      <c r="B3231"/>
      <c r="C3231"/>
      <c r="D3231"/>
      <c r="E3231" s="2">
        <f>Comuni__2[[#This Row],[Popolazione2011]]/$D$7911</f>
        <v>5.5029126142357117E-5</v>
      </c>
      <c r="F3231">
        <f>SUMIFS($D$2:$D$7909, $B$2:$B$7909, "Lombardia")</f>
        <v>9704151</v>
      </c>
      <c r="G3231" s="1">
        <f>Comuni__2[[#This Row],[Popolazione2011]]/Comuni__2[[#This Row],[POPOLAZIONE TOTALE DI OGNI REGIONE (CON FILTRO)]]</f>
        <v>3.3696920008767381E-4</v>
      </c>
      <c r="H3231" t="str">
        <f>IF(Comuni__2[[#This Row],[Popolazione2011]]&gt;300000,"MAGGIORE","")</f>
        <v/>
      </c>
      <c r="J3231">
        <v>2297</v>
      </c>
      <c r="K3231">
        <v>9834</v>
      </c>
      <c r="L3231">
        <v>3247</v>
      </c>
    </row>
    <row r="3232" spans="1:12" x14ac:dyDescent="0.2">
      <c r="A3232"/>
      <c r="B3232"/>
      <c r="C3232"/>
      <c r="D3232"/>
      <c r="E3232" s="2">
        <f>Comuni__2[[#This Row],[Popolazione2011]]/$D$7911</f>
        <v>5.492815526870142E-5</v>
      </c>
      <c r="F3232">
        <f>SUMIFS($D$2:$D$7909, $B$2:$B$7909, "Lombardia")</f>
        <v>9704151</v>
      </c>
      <c r="G3232" s="1">
        <f>Comuni__2[[#This Row],[Popolazione2011]]/Comuni__2[[#This Row],[POPOLAZIONE TOTALE DI OGNI REGIONE (CON FILTRO)]]</f>
        <v>3.3635090797742119E-4</v>
      </c>
      <c r="H3232" t="str">
        <f>IF(Comuni__2[[#This Row],[Popolazione2011]]&gt;300000,"MAGGIORE","")</f>
        <v/>
      </c>
      <c r="J3232">
        <v>2297</v>
      </c>
      <c r="K3232">
        <v>10384</v>
      </c>
      <c r="L3232">
        <v>3282</v>
      </c>
    </row>
    <row r="3233" spans="1:12" x14ac:dyDescent="0.2">
      <c r="A3233"/>
      <c r="B3233"/>
      <c r="C3233"/>
      <c r="D3233"/>
      <c r="E3233" s="2">
        <f>Comuni__2[[#This Row],[Popolazione2011]]/$D$7911</f>
        <v>5.4911326789758797E-5</v>
      </c>
      <c r="F3233">
        <f>SUMIFS($D$2:$D$7909, $B$2:$B$7909, "Lombardia")</f>
        <v>9704151</v>
      </c>
      <c r="G3233" s="1">
        <f>Comuni__2[[#This Row],[Popolazione2011]]/Comuni__2[[#This Row],[POPOLAZIONE TOTALE DI OGNI REGIONE (CON FILTRO)]]</f>
        <v>3.3624785929237908E-4</v>
      </c>
      <c r="H3233" t="str">
        <f>IF(Comuni__2[[#This Row],[Popolazione2011]]&gt;300000,"MAGGIORE","")</f>
        <v/>
      </c>
      <c r="J3233">
        <v>2153</v>
      </c>
      <c r="K3233">
        <v>10956</v>
      </c>
      <c r="L3233">
        <v>3305</v>
      </c>
    </row>
    <row r="3234" spans="1:12" x14ac:dyDescent="0.2">
      <c r="A3234"/>
      <c r="B3234"/>
      <c r="C3234"/>
      <c r="D3234"/>
      <c r="E3234" s="2">
        <f>Comuni__2[[#This Row],[Popolazione2011]]/$D$7911</f>
        <v>5.4675728084562164E-5</v>
      </c>
      <c r="F3234">
        <f>SUMIFS($D$2:$D$7909, $B$2:$B$7909, "Lombardia")</f>
        <v>9704151</v>
      </c>
      <c r="G3234" s="1">
        <f>Comuni__2[[#This Row],[Popolazione2011]]/Comuni__2[[#This Row],[POPOLAZIONE TOTALE DI OGNI REGIONE (CON FILTRO)]]</f>
        <v>3.3480517770178967E-4</v>
      </c>
      <c r="H3234" t="str">
        <f>IF(Comuni__2[[#This Row],[Popolazione2011]]&gt;300000,"MAGGIORE","")</f>
        <v/>
      </c>
      <c r="J3234">
        <v>2153</v>
      </c>
      <c r="K3234">
        <v>11284</v>
      </c>
      <c r="L3234">
        <v>3331</v>
      </c>
    </row>
    <row r="3235" spans="1:12" x14ac:dyDescent="0.2">
      <c r="A3235"/>
      <c r="B3235"/>
      <c r="C3235"/>
      <c r="D3235"/>
      <c r="E3235" s="2">
        <f>Comuni__2[[#This Row],[Popolazione2011]]/$D$7911</f>
        <v>5.4675728084562164E-5</v>
      </c>
      <c r="F3235">
        <f>SUMIFS($D$2:$D$7909, $B$2:$B$7909, "Lombardia")</f>
        <v>9704151</v>
      </c>
      <c r="G3235" s="1">
        <f>Comuni__2[[#This Row],[Popolazione2011]]/Comuni__2[[#This Row],[POPOLAZIONE TOTALE DI OGNI REGIONE (CON FILTRO)]]</f>
        <v>3.3480517770178967E-4</v>
      </c>
      <c r="H3235" t="str">
        <f>IF(Comuni__2[[#This Row],[Popolazione2011]]&gt;300000,"MAGGIORE","")</f>
        <v/>
      </c>
      <c r="J3235">
        <v>2161</v>
      </c>
      <c r="K3235">
        <v>11648</v>
      </c>
      <c r="L3235">
        <v>3367</v>
      </c>
    </row>
    <row r="3236" spans="1:12" x14ac:dyDescent="0.2">
      <c r="A3236"/>
      <c r="B3236"/>
      <c r="C3236"/>
      <c r="D3236"/>
      <c r="E3236" s="2">
        <f>Comuni__2[[#This Row],[Popolazione2011]]/$D$7911</f>
        <v>5.449061481619338E-5</v>
      </c>
      <c r="F3236">
        <f>SUMIFS($D$2:$D$7909, $B$2:$B$7909, "Lombardia")</f>
        <v>9704151</v>
      </c>
      <c r="G3236" s="1">
        <f>Comuni__2[[#This Row],[Popolazione2011]]/Comuni__2[[#This Row],[POPOLAZIONE TOTALE DI OGNI REGIONE (CON FILTRO)]]</f>
        <v>3.3367164216632658E-4</v>
      </c>
      <c r="H3236" t="str">
        <f>IF(Comuni__2[[#This Row],[Popolazione2011]]&gt;300000,"MAGGIORE","")</f>
        <v/>
      </c>
      <c r="J3236">
        <v>2156</v>
      </c>
      <c r="K3236">
        <v>12038</v>
      </c>
      <c r="L3236">
        <v>3400</v>
      </c>
    </row>
    <row r="3237" spans="1:12" x14ac:dyDescent="0.2">
      <c r="A3237"/>
      <c r="B3237"/>
      <c r="C3237"/>
      <c r="D3237"/>
      <c r="E3237" s="2">
        <f>Comuni__2[[#This Row],[Popolazione2011]]/$D$7911</f>
        <v>5.4456957858308148E-5</v>
      </c>
      <c r="F3237">
        <f>SUMIFS($D$2:$D$7909, $B$2:$B$7909, "Lombardia")</f>
        <v>9704151</v>
      </c>
      <c r="G3237" s="1">
        <f>Comuni__2[[#This Row],[Popolazione2011]]/Comuni__2[[#This Row],[POPOLAZIONE TOTALE DI OGNI REGIONE (CON FILTRO)]]</f>
        <v>3.3346554479624237E-4</v>
      </c>
      <c r="H3237" t="str">
        <f>IF(Comuni__2[[#This Row],[Popolazione2011]]&gt;300000,"MAGGIORE","")</f>
        <v/>
      </c>
      <c r="J3237">
        <v>2036</v>
      </c>
      <c r="K3237">
        <v>12277</v>
      </c>
      <c r="L3237">
        <v>3428</v>
      </c>
    </row>
    <row r="3238" spans="1:12" x14ac:dyDescent="0.2">
      <c r="A3238"/>
      <c r="B3238"/>
      <c r="C3238"/>
      <c r="D3238"/>
      <c r="E3238" s="2">
        <f>Comuni__2[[#This Row],[Popolazione2011]]/$D$7911</f>
        <v>5.4305501547824596E-5</v>
      </c>
      <c r="F3238">
        <f>SUMIFS($D$2:$D$7909, $B$2:$B$7909, "Lombardia")</f>
        <v>9704151</v>
      </c>
      <c r="G3238" s="1">
        <f>Comuni__2[[#This Row],[Popolazione2011]]/Comuni__2[[#This Row],[POPOLAZIONE TOTALE DI OGNI REGIONE (CON FILTRO)]]</f>
        <v>3.3253810663086343E-4</v>
      </c>
      <c r="H3238" t="str">
        <f>IF(Comuni__2[[#This Row],[Popolazione2011]]&gt;300000,"MAGGIORE","")</f>
        <v/>
      </c>
      <c r="J3238">
        <v>1980</v>
      </c>
      <c r="K3238">
        <v>13107</v>
      </c>
      <c r="L3238">
        <v>3460</v>
      </c>
    </row>
    <row r="3239" spans="1:12" x14ac:dyDescent="0.2">
      <c r="A3239"/>
      <c r="B3239"/>
      <c r="C3239"/>
      <c r="D3239"/>
      <c r="E3239" s="2">
        <f>Comuni__2[[#This Row],[Popolazione2011]]/$D$7911</f>
        <v>5.4238187632054125E-5</v>
      </c>
      <c r="F3239">
        <f>SUMIFS($D$2:$D$7909, $B$2:$B$7909, "Lombardia")</f>
        <v>9704151</v>
      </c>
      <c r="G3239" s="1">
        <f>Comuni__2[[#This Row],[Popolazione2011]]/Comuni__2[[#This Row],[POPOLAZIONE TOTALE DI OGNI REGIONE (CON FILTRO)]]</f>
        <v>3.3212591189069502E-4</v>
      </c>
      <c r="H3239" t="str">
        <f>IF(Comuni__2[[#This Row],[Popolazione2011]]&gt;300000,"MAGGIORE","")</f>
        <v/>
      </c>
      <c r="J3239">
        <v>1891</v>
      </c>
      <c r="K3239">
        <v>13825</v>
      </c>
      <c r="L3239">
        <v>3493</v>
      </c>
    </row>
    <row r="3240" spans="1:12" x14ac:dyDescent="0.2">
      <c r="A3240"/>
      <c r="B3240"/>
      <c r="C3240"/>
      <c r="D3240"/>
      <c r="E3240" s="2">
        <f>Comuni__2[[#This Row],[Popolazione2011]]/$D$7911</f>
        <v>5.4086731321570573E-5</v>
      </c>
      <c r="F3240">
        <f>SUMIFS($D$2:$D$7909, $B$2:$B$7909, "Lombardia")</f>
        <v>9704151</v>
      </c>
      <c r="G3240" s="1">
        <f>Comuni__2[[#This Row],[Popolazione2011]]/Comuni__2[[#This Row],[POPOLAZIONE TOTALE DI OGNI REGIONE (CON FILTRO)]]</f>
        <v>3.3119847372531608E-4</v>
      </c>
      <c r="H3240" t="str">
        <f>IF(Comuni__2[[#This Row],[Popolazione2011]]&gt;300000,"MAGGIORE","")</f>
        <v/>
      </c>
      <c r="J3240">
        <v>1701</v>
      </c>
      <c r="K3240">
        <v>14676</v>
      </c>
      <c r="L3240">
        <v>3557</v>
      </c>
    </row>
    <row r="3241" spans="1:12" x14ac:dyDescent="0.2">
      <c r="A3241"/>
      <c r="B3241"/>
      <c r="C3241"/>
      <c r="D3241"/>
      <c r="E3241" s="2">
        <f>Comuni__2[[#This Row],[Popolazione2011]]/$D$7911</f>
        <v>5.4019417405800108E-5</v>
      </c>
      <c r="F3241">
        <f>SUMIFS($D$2:$D$7909, $B$2:$B$7909, "Lombardia")</f>
        <v>9704151</v>
      </c>
      <c r="G3241" s="1">
        <f>Comuni__2[[#This Row],[Popolazione2011]]/Comuni__2[[#This Row],[POPOLAZIONE TOTALE DI OGNI REGIONE (CON FILTRO)]]</f>
        <v>3.3078627898514771E-4</v>
      </c>
      <c r="H3241" t="str">
        <f>IF(Comuni__2[[#This Row],[Popolazione2011]]&gt;300000,"MAGGIORE","")</f>
        <v/>
      </c>
      <c r="J3241">
        <v>1662</v>
      </c>
      <c r="K3241">
        <v>15187</v>
      </c>
      <c r="L3241">
        <v>3594</v>
      </c>
    </row>
    <row r="3242" spans="1:12" x14ac:dyDescent="0.2">
      <c r="A3242"/>
      <c r="B3242"/>
      <c r="C3242"/>
      <c r="D3242"/>
      <c r="E3242" s="2">
        <f>Comuni__2[[#This Row],[Popolazione2011]]/$D$7911</f>
        <v>5.3800647179546085E-5</v>
      </c>
      <c r="F3242">
        <f>SUMIFS($D$2:$D$7909, $B$2:$B$7909, "Lombardia")</f>
        <v>9704151</v>
      </c>
      <c r="G3242" s="1">
        <f>Comuni__2[[#This Row],[Popolazione2011]]/Comuni__2[[#This Row],[POPOLAZIONE TOTALE DI OGNI REGIONE (CON FILTRO)]]</f>
        <v>3.2944664607960036E-4</v>
      </c>
      <c r="H3242" t="str">
        <f>IF(Comuni__2[[#This Row],[Popolazione2011]]&gt;300000,"MAGGIORE","")</f>
        <v/>
      </c>
      <c r="J3242">
        <v>1721</v>
      </c>
      <c r="K3242">
        <v>15696</v>
      </c>
      <c r="L3242">
        <v>3612</v>
      </c>
    </row>
    <row r="3243" spans="1:12" x14ac:dyDescent="0.2">
      <c r="A3243"/>
      <c r="B3243"/>
      <c r="C3243"/>
      <c r="D3243"/>
      <c r="E3243" s="2">
        <f>Comuni__2[[#This Row],[Popolazione2011]]/$D$7911</f>
        <v>5.3548219995406837E-5</v>
      </c>
      <c r="F3243">
        <f>SUMIFS($D$2:$D$7909, $B$2:$B$7909, "Lombardia")</f>
        <v>9704151</v>
      </c>
      <c r="G3243" s="1">
        <f>Comuni__2[[#This Row],[Popolazione2011]]/Comuni__2[[#This Row],[POPOLAZIONE TOTALE DI OGNI REGIONE (CON FILTRO)]]</f>
        <v>3.2790091580396885E-4</v>
      </c>
      <c r="H3243" t="str">
        <f>IF(Comuni__2[[#This Row],[Popolazione2011]]&gt;300000,"MAGGIORE","")</f>
        <v/>
      </c>
      <c r="J3243">
        <v>1688</v>
      </c>
      <c r="K3243">
        <v>16113</v>
      </c>
      <c r="L3243">
        <v>3632</v>
      </c>
    </row>
    <row r="3244" spans="1:12" x14ac:dyDescent="0.2">
      <c r="A3244"/>
      <c r="B3244"/>
      <c r="C3244"/>
      <c r="D3244"/>
      <c r="E3244" s="2">
        <f>Comuni__2[[#This Row],[Popolazione2011]]/$D$7911</f>
        <v>5.353139151646422E-5</v>
      </c>
      <c r="F3244">
        <f>SUMIFS($D$2:$D$7909, $B$2:$B$7909, "Lombardia")</f>
        <v>9704151</v>
      </c>
      <c r="G3244" s="1">
        <f>Comuni__2[[#This Row],[Popolazione2011]]/Comuni__2[[#This Row],[POPOLAZIONE TOTALE DI OGNI REGIONE (CON FILTRO)]]</f>
        <v>3.2779786711892674E-4</v>
      </c>
      <c r="H3244" t="str">
        <f>IF(Comuni__2[[#This Row],[Popolazione2011]]&gt;300000,"MAGGIORE","")</f>
        <v/>
      </c>
      <c r="J3244">
        <v>1675</v>
      </c>
      <c r="K3244">
        <v>16413</v>
      </c>
      <c r="L3244">
        <v>3679</v>
      </c>
    </row>
    <row r="3245" spans="1:12" x14ac:dyDescent="0.2">
      <c r="A3245"/>
      <c r="B3245"/>
      <c r="C3245"/>
      <c r="D3245"/>
      <c r="E3245" s="2">
        <f>Comuni__2[[#This Row],[Popolazione2011]]/$D$7911</f>
        <v>5.3447249121751133E-5</v>
      </c>
      <c r="F3245">
        <f>SUMIFS($D$2:$D$7909, $B$2:$B$7909, "Lombardia")</f>
        <v>9704151</v>
      </c>
      <c r="G3245" s="1">
        <f>Comuni__2[[#This Row],[Popolazione2011]]/Comuni__2[[#This Row],[POPOLAZIONE TOTALE DI OGNI REGIONE (CON FILTRO)]]</f>
        <v>3.2728262369371622E-4</v>
      </c>
      <c r="H3245" t="str">
        <f>IF(Comuni__2[[#This Row],[Popolazione2011]]&gt;300000,"MAGGIORE","")</f>
        <v/>
      </c>
      <c r="J3245">
        <v>1609</v>
      </c>
      <c r="K3245">
        <v>17016</v>
      </c>
      <c r="L3245">
        <v>3718</v>
      </c>
    </row>
    <row r="3246" spans="1:12" x14ac:dyDescent="0.2">
      <c r="A3246"/>
      <c r="B3246"/>
      <c r="C3246"/>
      <c r="D3246"/>
      <c r="E3246" s="2">
        <f>Comuni__2[[#This Row],[Popolazione2011]]/$D$7911</f>
        <v>5.3430420642808517E-5</v>
      </c>
      <c r="F3246">
        <f>SUMIFS($D$2:$D$7909, $B$2:$B$7909, "Lombardia")</f>
        <v>9704151</v>
      </c>
      <c r="G3246" s="1">
        <f>Comuni__2[[#This Row],[Popolazione2011]]/Comuni__2[[#This Row],[POPOLAZIONE TOTALE DI OGNI REGIONE (CON FILTRO)]]</f>
        <v>3.2717957500867412E-4</v>
      </c>
      <c r="H3246" t="str">
        <f>IF(Comuni__2[[#This Row],[Popolazione2011]]&gt;300000,"MAGGIORE","")</f>
        <v/>
      </c>
      <c r="J3246">
        <v>1562</v>
      </c>
      <c r="K3246">
        <v>17538</v>
      </c>
      <c r="L3246">
        <v>3742</v>
      </c>
    </row>
    <row r="3247" spans="1:12" x14ac:dyDescent="0.2">
      <c r="A3247"/>
      <c r="B3247"/>
      <c r="C3247"/>
      <c r="D3247"/>
      <c r="E3247" s="2">
        <f>Comuni__2[[#This Row],[Popolazione2011]]/$D$7911</f>
        <v>5.3396763684923285E-5</v>
      </c>
      <c r="F3247">
        <f>SUMIFS($D$2:$D$7909, $B$2:$B$7909, "Lombardia")</f>
        <v>9704151</v>
      </c>
      <c r="G3247" s="1">
        <f>Comuni__2[[#This Row],[Popolazione2011]]/Comuni__2[[#This Row],[POPOLAZIONE TOTALE DI OGNI REGIONE (CON FILTRO)]]</f>
        <v>3.2697347763858991E-4</v>
      </c>
      <c r="H3247" t="str">
        <f>IF(Comuni__2[[#This Row],[Popolazione2011]]&gt;300000,"MAGGIORE","")</f>
        <v/>
      </c>
      <c r="J3247">
        <v>1493</v>
      </c>
      <c r="K3247">
        <v>17868</v>
      </c>
      <c r="L3247">
        <v>3757</v>
      </c>
    </row>
    <row r="3248" spans="1:12" x14ac:dyDescent="0.2">
      <c r="A3248"/>
      <c r="B3248"/>
      <c r="C3248"/>
      <c r="D3248"/>
      <c r="E3248" s="2">
        <f>Comuni__2[[#This Row],[Popolazione2011]]/$D$7911</f>
        <v>5.3396763684923285E-5</v>
      </c>
      <c r="F3248">
        <f>SUMIFS($D$2:$D$7909, $B$2:$B$7909, "Lombardia")</f>
        <v>9704151</v>
      </c>
      <c r="G3248" s="1">
        <f>Comuni__2[[#This Row],[Popolazione2011]]/Comuni__2[[#This Row],[POPOLAZIONE TOTALE DI OGNI REGIONE (CON FILTRO)]]</f>
        <v>3.2697347763858991E-4</v>
      </c>
      <c r="H3248" t="str">
        <f>IF(Comuni__2[[#This Row],[Popolazione2011]]&gt;300000,"MAGGIORE","")</f>
        <v/>
      </c>
      <c r="J3248">
        <v>1367</v>
      </c>
      <c r="K3248">
        <v>18341</v>
      </c>
      <c r="L3248">
        <v>3771</v>
      </c>
    </row>
    <row r="3249" spans="1:12" x14ac:dyDescent="0.2">
      <c r="A3249"/>
      <c r="B3249"/>
      <c r="C3249"/>
      <c r="D3249"/>
      <c r="E3249" s="2">
        <f>Comuni__2[[#This Row],[Popolazione2011]]/$D$7911</f>
        <v>5.3363106727038052E-5</v>
      </c>
      <c r="F3249">
        <f>SUMIFS($D$2:$D$7909, $B$2:$B$7909, "Lombardia")</f>
        <v>9704151</v>
      </c>
      <c r="G3249" s="1">
        <f>Comuni__2[[#This Row],[Popolazione2011]]/Comuni__2[[#This Row],[POPOLAZIONE TOTALE DI OGNI REGIONE (CON FILTRO)]]</f>
        <v>3.267673802685057E-4</v>
      </c>
      <c r="H3249" t="str">
        <f>IF(Comuni__2[[#This Row],[Popolazione2011]]&gt;300000,"MAGGIORE","")</f>
        <v/>
      </c>
      <c r="J3249">
        <v>1358</v>
      </c>
      <c r="K3249">
        <v>18694</v>
      </c>
      <c r="L3249">
        <v>3783</v>
      </c>
    </row>
    <row r="3250" spans="1:12" x14ac:dyDescent="0.2">
      <c r="A3250"/>
      <c r="B3250"/>
      <c r="C3250"/>
      <c r="D3250"/>
      <c r="E3250" s="2">
        <f>Comuni__2[[#This Row],[Popolazione2011]]/$D$7911</f>
        <v>5.3060194106070949E-5</v>
      </c>
      <c r="F3250">
        <f>SUMIFS($D$2:$D$7909, $B$2:$B$7909, "Lombardia")</f>
        <v>9704151</v>
      </c>
      <c r="G3250" s="1">
        <f>Comuni__2[[#This Row],[Popolazione2011]]/Comuni__2[[#This Row],[POPOLAZIONE TOTALE DI OGNI REGIONE (CON FILTRO)]]</f>
        <v>3.2491250393774788E-4</v>
      </c>
      <c r="H3250" t="str">
        <f>IF(Comuni__2[[#This Row],[Popolazione2011]]&gt;300000,"MAGGIORE","")</f>
        <v/>
      </c>
      <c r="J3250">
        <v>1299</v>
      </c>
      <c r="K3250">
        <v>18934</v>
      </c>
      <c r="L3250">
        <v>3798</v>
      </c>
    </row>
    <row r="3251" spans="1:12" x14ac:dyDescent="0.2">
      <c r="A3251"/>
      <c r="B3251"/>
      <c r="C3251"/>
      <c r="D3251"/>
      <c r="E3251" s="2">
        <f>Comuni__2[[#This Row],[Popolazione2011]]/$D$7911</f>
        <v>5.3060194106070949E-5</v>
      </c>
      <c r="F3251">
        <f>SUMIFS($D$2:$D$7909, $B$2:$B$7909, "Lombardia")</f>
        <v>9704151</v>
      </c>
      <c r="G3251" s="1">
        <f>Comuni__2[[#This Row],[Popolazione2011]]/Comuni__2[[#This Row],[POPOLAZIONE TOTALE DI OGNI REGIONE (CON FILTRO)]]</f>
        <v>3.2491250393774788E-4</v>
      </c>
      <c r="H3251" t="str">
        <f>IF(Comuni__2[[#This Row],[Popolazione2011]]&gt;300000,"MAGGIORE","")</f>
        <v/>
      </c>
      <c r="J3251">
        <v>1232</v>
      </c>
      <c r="K3251">
        <v>19561</v>
      </c>
      <c r="L3251">
        <v>3812</v>
      </c>
    </row>
    <row r="3252" spans="1:12" x14ac:dyDescent="0.2">
      <c r="A3252"/>
      <c r="B3252"/>
      <c r="C3252"/>
      <c r="D3252"/>
      <c r="E3252" s="2">
        <f>Comuni__2[[#This Row],[Popolazione2011]]/$D$7911</f>
        <v>5.2992880190300477E-5</v>
      </c>
      <c r="F3252">
        <f>SUMIFS($D$2:$D$7909, $B$2:$B$7909, "Lombardia")</f>
        <v>9704151</v>
      </c>
      <c r="G3252" s="1">
        <f>Comuni__2[[#This Row],[Popolazione2011]]/Comuni__2[[#This Row],[POPOLAZIONE TOTALE DI OGNI REGIONE (CON FILTRO)]]</f>
        <v>3.2450030919757946E-4</v>
      </c>
      <c r="H3252" t="str">
        <f>IF(Comuni__2[[#This Row],[Popolazione2011]]&gt;300000,"MAGGIORE","")</f>
        <v/>
      </c>
      <c r="J3252">
        <v>1186</v>
      </c>
      <c r="K3252">
        <v>20095</v>
      </c>
      <c r="L3252">
        <v>3828</v>
      </c>
    </row>
    <row r="3253" spans="1:12" x14ac:dyDescent="0.2">
      <c r="A3253"/>
      <c r="B3253"/>
      <c r="C3253"/>
      <c r="D3253"/>
      <c r="E3253" s="2">
        <f>Comuni__2[[#This Row],[Popolazione2011]]/$D$7911</f>
        <v>5.2959223232415245E-5</v>
      </c>
      <c r="F3253">
        <f>SUMIFS($D$2:$D$7909, $B$2:$B$7909, "Lombardia")</f>
        <v>9704151</v>
      </c>
      <c r="G3253" s="1">
        <f>Comuni__2[[#This Row],[Popolazione2011]]/Comuni__2[[#This Row],[POPOLAZIONE TOTALE DI OGNI REGIONE (CON FILTRO)]]</f>
        <v>3.2429421182749525E-4</v>
      </c>
      <c r="H3253" t="str">
        <f>IF(Comuni__2[[#This Row],[Popolazione2011]]&gt;300000,"MAGGIORE","")</f>
        <v/>
      </c>
      <c r="J3253">
        <v>1122</v>
      </c>
      <c r="K3253">
        <v>20535</v>
      </c>
      <c r="L3253">
        <v>3838</v>
      </c>
    </row>
    <row r="3254" spans="1:12" x14ac:dyDescent="0.2">
      <c r="A3254"/>
      <c r="B3254"/>
      <c r="C3254"/>
      <c r="D3254"/>
      <c r="E3254" s="2">
        <f>Comuni__2[[#This Row],[Popolazione2011]]/$D$7911</f>
        <v>5.2942394753472629E-5</v>
      </c>
      <c r="F3254">
        <f>SUMIFS($D$2:$D$7909, $B$2:$B$7909, "Lombardia")</f>
        <v>9704151</v>
      </c>
      <c r="G3254" s="1">
        <f>Comuni__2[[#This Row],[Popolazione2011]]/Comuni__2[[#This Row],[POPOLAZIONE TOTALE DI OGNI REGIONE (CON FILTRO)]]</f>
        <v>3.2419116314245315E-4</v>
      </c>
      <c r="H3254" t="str">
        <f>IF(Comuni__2[[#This Row],[Popolazione2011]]&gt;300000,"MAGGIORE","")</f>
        <v/>
      </c>
      <c r="J3254">
        <v>1090</v>
      </c>
      <c r="K3254">
        <v>20992</v>
      </c>
      <c r="L3254">
        <v>3851</v>
      </c>
    </row>
    <row r="3255" spans="1:12" x14ac:dyDescent="0.2">
      <c r="A3255"/>
      <c r="B3255"/>
      <c r="C3255"/>
      <c r="D3255"/>
      <c r="E3255" s="2">
        <f>Comuni__2[[#This Row],[Popolazione2011]]/$D$7911</f>
        <v>5.2673139090390757E-5</v>
      </c>
      <c r="F3255">
        <f>SUMIFS($D$2:$D$7909, $B$2:$B$7909, "Lombardia")</f>
        <v>9704151</v>
      </c>
      <c r="G3255" s="1">
        <f>Comuni__2[[#This Row],[Popolazione2011]]/Comuni__2[[#This Row],[POPOLAZIONE TOTALE DI OGNI REGIONE (CON FILTRO)]]</f>
        <v>3.2254238418177953E-4</v>
      </c>
      <c r="H3255" t="str">
        <f>IF(Comuni__2[[#This Row],[Popolazione2011]]&gt;300000,"MAGGIORE","")</f>
        <v/>
      </c>
      <c r="J3255">
        <v>1048</v>
      </c>
      <c r="K3255">
        <v>21435</v>
      </c>
      <c r="L3255">
        <v>3858</v>
      </c>
    </row>
    <row r="3256" spans="1:12" x14ac:dyDescent="0.2">
      <c r="A3256"/>
      <c r="B3256"/>
      <c r="C3256"/>
      <c r="D3256"/>
      <c r="E3256" s="2">
        <f>Comuni__2[[#This Row],[Popolazione2011]]/$D$7911</f>
        <v>5.2622653653562909E-5</v>
      </c>
      <c r="F3256">
        <f>SUMIFS($D$2:$D$7909, $B$2:$B$7909, "Lombardia")</f>
        <v>9704151</v>
      </c>
      <c r="G3256" s="1">
        <f>Comuni__2[[#This Row],[Popolazione2011]]/Comuni__2[[#This Row],[POPOLAZIONE TOTALE DI OGNI REGIONE (CON FILTRO)]]</f>
        <v>3.2223323812665322E-4</v>
      </c>
      <c r="H3256" t="str">
        <f>IF(Comuni__2[[#This Row],[Popolazione2011]]&gt;300000,"MAGGIORE","")</f>
        <v/>
      </c>
      <c r="J3256">
        <v>1031</v>
      </c>
      <c r="K3256">
        <v>21609</v>
      </c>
      <c r="L3256">
        <v>3867</v>
      </c>
    </row>
    <row r="3257" spans="1:12" x14ac:dyDescent="0.2">
      <c r="A3257"/>
      <c r="B3257"/>
      <c r="C3257"/>
      <c r="D3257"/>
      <c r="E3257" s="2">
        <f>Comuni__2[[#This Row],[Popolazione2011]]/$D$7911</f>
        <v>5.2420711906251509E-5</v>
      </c>
      <c r="F3257">
        <f>SUMIFS($D$2:$D$7909, $B$2:$B$7909, "Lombardia")</f>
        <v>9704151</v>
      </c>
      <c r="G3257" s="1">
        <f>Comuni__2[[#This Row],[Popolazione2011]]/Comuni__2[[#This Row],[POPOLAZIONE TOTALE DI OGNI REGIONE (CON FILTRO)]]</f>
        <v>3.2099665390614802E-4</v>
      </c>
      <c r="H3257" t="str">
        <f>IF(Comuni__2[[#This Row],[Popolazione2011]]&gt;300000,"MAGGIORE","")</f>
        <v/>
      </c>
      <c r="J3257">
        <v>958</v>
      </c>
      <c r="K3257">
        <v>21720</v>
      </c>
      <c r="L3257">
        <v>3876</v>
      </c>
    </row>
    <row r="3258" spans="1:12" x14ac:dyDescent="0.2">
      <c r="A3258"/>
      <c r="B3258"/>
      <c r="C3258"/>
      <c r="D3258"/>
      <c r="E3258" s="2">
        <f>Comuni__2[[#This Row],[Popolazione2011]]/$D$7911</f>
        <v>5.2286084074710573E-5</v>
      </c>
      <c r="F3258">
        <f>SUMIFS($D$2:$D$7909, $B$2:$B$7909, "Lombardia")</f>
        <v>9704151</v>
      </c>
      <c r="G3258" s="1">
        <f>Comuni__2[[#This Row],[Popolazione2011]]/Comuni__2[[#This Row],[POPOLAZIONE TOTALE DI OGNI REGIONE (CON FILTRO)]]</f>
        <v>3.2017226442581119E-4</v>
      </c>
      <c r="H3258" t="str">
        <f>IF(Comuni__2[[#This Row],[Popolazione2011]]&gt;300000,"MAGGIORE","")</f>
        <v/>
      </c>
      <c r="J3258">
        <v>895</v>
      </c>
      <c r="K3258">
        <v>22003</v>
      </c>
      <c r="L3258">
        <v>3884</v>
      </c>
    </row>
    <row r="3259" spans="1:12" x14ac:dyDescent="0.2">
      <c r="A3259"/>
      <c r="B3259"/>
      <c r="C3259"/>
      <c r="D3259"/>
      <c r="E3259" s="2">
        <f>Comuni__2[[#This Row],[Popolazione2011]]/$D$7911</f>
        <v>5.2168284722112253E-5</v>
      </c>
      <c r="F3259">
        <f>SUMIFS($D$2:$D$7909, $B$2:$B$7909, "Lombardia")</f>
        <v>9704151</v>
      </c>
      <c r="G3259" s="1">
        <f>Comuni__2[[#This Row],[Popolazione2011]]/Comuni__2[[#This Row],[POPOLAZIONE TOTALE DI OGNI REGIONE (CON FILTRO)]]</f>
        <v>3.1945092363051646E-4</v>
      </c>
      <c r="H3259" t="str">
        <f>IF(Comuni__2[[#This Row],[Popolazione2011]]&gt;300000,"MAGGIORE","")</f>
        <v/>
      </c>
      <c r="J3259">
        <v>885</v>
      </c>
      <c r="K3259">
        <v>22150</v>
      </c>
      <c r="L3259">
        <v>3898</v>
      </c>
    </row>
    <row r="3260" spans="1:12" x14ac:dyDescent="0.2">
      <c r="A3260"/>
      <c r="B3260"/>
      <c r="C3260"/>
      <c r="D3260"/>
      <c r="E3260" s="2">
        <f>Comuni__2[[#This Row],[Popolazione2011]]/$D$7911</f>
        <v>5.2033656890571317E-5</v>
      </c>
      <c r="F3260">
        <f>SUMIFS($D$2:$D$7909, $B$2:$B$7909, "Lombardia")</f>
        <v>9704151</v>
      </c>
      <c r="G3260" s="1">
        <f>Comuni__2[[#This Row],[Popolazione2011]]/Comuni__2[[#This Row],[POPOLAZIONE TOTALE DI OGNI REGIONE (CON FILTRO)]]</f>
        <v>3.1862653415017968E-4</v>
      </c>
      <c r="H3260" t="str">
        <f>IF(Comuni__2[[#This Row],[Popolazione2011]]&gt;300000,"MAGGIORE","")</f>
        <v/>
      </c>
      <c r="J3260">
        <v>851</v>
      </c>
      <c r="K3260">
        <v>22292</v>
      </c>
      <c r="L3260">
        <v>3910</v>
      </c>
    </row>
    <row r="3261" spans="1:12" x14ac:dyDescent="0.2">
      <c r="A3261"/>
      <c r="B3261"/>
      <c r="C3261"/>
      <c r="D3261"/>
      <c r="E3261" s="2">
        <f>Comuni__2[[#This Row],[Popolazione2011]]/$D$7911</f>
        <v>5.174757274854683E-5</v>
      </c>
      <c r="F3261">
        <f>SUMIFS($D$2:$D$7909, $B$2:$B$7909, "Lombardia")</f>
        <v>9704151</v>
      </c>
      <c r="G3261" s="1">
        <f>Comuni__2[[#This Row],[Popolazione2011]]/Comuni__2[[#This Row],[POPOLAZIONE TOTALE DI OGNI REGIONE (CON FILTRO)]]</f>
        <v>3.168747065044639E-4</v>
      </c>
      <c r="H3261" t="str">
        <f>IF(Comuni__2[[#This Row],[Popolazione2011]]&gt;300000,"MAGGIORE","")</f>
        <v/>
      </c>
      <c r="J3261">
        <v>783</v>
      </c>
      <c r="K3261">
        <v>22511</v>
      </c>
      <c r="L3261">
        <v>3927</v>
      </c>
    </row>
    <row r="3262" spans="1:12" x14ac:dyDescent="0.2">
      <c r="A3262"/>
      <c r="B3262"/>
      <c r="C3262"/>
      <c r="D3262"/>
      <c r="E3262" s="2">
        <f>Comuni__2[[#This Row],[Popolazione2011]]/$D$7911</f>
        <v>5.174757274854683E-5</v>
      </c>
      <c r="F3262">
        <f>SUMIFS($D$2:$D$7909, $B$2:$B$7909, "Lombardia")</f>
        <v>9704151</v>
      </c>
      <c r="G3262" s="1">
        <f>Comuni__2[[#This Row],[Popolazione2011]]/Comuni__2[[#This Row],[POPOLAZIONE TOTALE DI OGNI REGIONE (CON FILTRO)]]</f>
        <v>3.168747065044639E-4</v>
      </c>
      <c r="H3262" t="str">
        <f>IF(Comuni__2[[#This Row],[Popolazione2011]]&gt;300000,"MAGGIORE","")</f>
        <v/>
      </c>
      <c r="J3262">
        <v>721</v>
      </c>
      <c r="K3262">
        <v>22744</v>
      </c>
      <c r="L3262">
        <v>3934</v>
      </c>
    </row>
    <row r="3263" spans="1:12" x14ac:dyDescent="0.2">
      <c r="A3263"/>
      <c r="B3263"/>
      <c r="C3263"/>
      <c r="D3263"/>
      <c r="E3263" s="2">
        <f>Comuni__2[[#This Row],[Popolazione2011]]/$D$7911</f>
        <v>5.1730744269604214E-5</v>
      </c>
      <c r="F3263">
        <f>SUMIFS($D$2:$D$7909, $B$2:$B$7909, "Lombardia")</f>
        <v>9704151</v>
      </c>
      <c r="G3263" s="1">
        <f>Comuni__2[[#This Row],[Popolazione2011]]/Comuni__2[[#This Row],[POPOLAZIONE TOTALE DI OGNI REGIONE (CON FILTRO)]]</f>
        <v>3.167716578194218E-4</v>
      </c>
      <c r="H3263" t="str">
        <f>IF(Comuni__2[[#This Row],[Popolazione2011]]&gt;300000,"MAGGIORE","")</f>
        <v/>
      </c>
      <c r="J3263">
        <v>697</v>
      </c>
      <c r="K3263">
        <v>22952</v>
      </c>
      <c r="L3263">
        <v>3941</v>
      </c>
    </row>
    <row r="3264" spans="1:12" x14ac:dyDescent="0.2">
      <c r="A3264"/>
      <c r="B3264"/>
      <c r="C3264"/>
      <c r="D3264"/>
      <c r="E3264" s="2">
        <f>Comuni__2[[#This Row],[Popolazione2011]]/$D$7911</f>
        <v>5.1680258832776365E-5</v>
      </c>
      <c r="F3264">
        <f>SUMIFS($D$2:$D$7909, $B$2:$B$7909, "Lombardia")</f>
        <v>9704151</v>
      </c>
      <c r="G3264" s="1">
        <f>Comuni__2[[#This Row],[Popolazione2011]]/Comuni__2[[#This Row],[POPOLAZIONE TOTALE DI OGNI REGIONE (CON FILTRO)]]</f>
        <v>3.1646251176429549E-4</v>
      </c>
      <c r="H3264" t="str">
        <f>IF(Comuni__2[[#This Row],[Popolazione2011]]&gt;300000,"MAGGIORE","")</f>
        <v/>
      </c>
      <c r="J3264">
        <v>669</v>
      </c>
      <c r="K3264">
        <v>23049</v>
      </c>
      <c r="L3264">
        <v>3954</v>
      </c>
    </row>
    <row r="3265" spans="1:12" x14ac:dyDescent="0.2">
      <c r="A3265"/>
      <c r="B3265"/>
      <c r="C3265"/>
      <c r="D3265"/>
      <c r="E3265" s="2">
        <f>Comuni__2[[#This Row],[Popolazione2011]]/$D$7911</f>
        <v>5.1680258832776365E-5</v>
      </c>
      <c r="F3265">
        <f>SUMIFS($D$2:$D$7909, $B$2:$B$7909, "Lombardia")</f>
        <v>9704151</v>
      </c>
      <c r="G3265" s="1">
        <f>Comuni__2[[#This Row],[Popolazione2011]]/Comuni__2[[#This Row],[POPOLAZIONE TOTALE DI OGNI REGIONE (CON FILTRO)]]</f>
        <v>3.1646251176429549E-4</v>
      </c>
      <c r="H3265" t="str">
        <f>IF(Comuni__2[[#This Row],[Popolazione2011]]&gt;300000,"MAGGIORE","")</f>
        <v/>
      </c>
      <c r="J3265">
        <v>638</v>
      </c>
      <c r="K3265">
        <v>23258</v>
      </c>
      <c r="L3265">
        <v>3961</v>
      </c>
    </row>
    <row r="3266" spans="1:12" x14ac:dyDescent="0.2">
      <c r="A3266"/>
      <c r="B3266"/>
      <c r="C3266"/>
      <c r="D3266"/>
      <c r="E3266" s="2">
        <f>Comuni__2[[#This Row],[Popolazione2011]]/$D$7911</f>
        <v>5.1646601874891133E-5</v>
      </c>
      <c r="F3266">
        <f>SUMIFS($D$2:$D$7909, $B$2:$B$7909, "Lombardia")</f>
        <v>9704151</v>
      </c>
      <c r="G3266" s="1">
        <f>Comuni__2[[#This Row],[Popolazione2011]]/Comuni__2[[#This Row],[POPOLAZIONE TOTALE DI OGNI REGIONE (CON FILTRO)]]</f>
        <v>3.1625641439421128E-4</v>
      </c>
      <c r="H3266" t="str">
        <f>IF(Comuni__2[[#This Row],[Popolazione2011]]&gt;300000,"MAGGIORE","")</f>
        <v/>
      </c>
      <c r="J3266">
        <v>599</v>
      </c>
      <c r="K3266">
        <v>23568</v>
      </c>
      <c r="L3266">
        <v>3976</v>
      </c>
    </row>
    <row r="3267" spans="1:12" x14ac:dyDescent="0.2">
      <c r="A3267"/>
      <c r="B3267"/>
      <c r="C3267"/>
      <c r="D3267"/>
      <c r="E3267" s="2">
        <f>Comuni__2[[#This Row],[Popolazione2011]]/$D$7911</f>
        <v>5.1646601874891133E-5</v>
      </c>
      <c r="F3267">
        <f>SUMIFS($D$2:$D$7909, $B$2:$B$7909, "Lombardia")</f>
        <v>9704151</v>
      </c>
      <c r="G3267" s="1">
        <f>Comuni__2[[#This Row],[Popolazione2011]]/Comuni__2[[#This Row],[POPOLAZIONE TOTALE DI OGNI REGIONE (CON FILTRO)]]</f>
        <v>3.1625641439421128E-4</v>
      </c>
      <c r="H3267" t="str">
        <f>IF(Comuni__2[[#This Row],[Popolazione2011]]&gt;300000,"MAGGIORE","")</f>
        <v/>
      </c>
      <c r="J3267">
        <v>577</v>
      </c>
      <c r="K3267">
        <v>23787</v>
      </c>
      <c r="L3267">
        <v>3988</v>
      </c>
    </row>
    <row r="3268" spans="1:12" x14ac:dyDescent="0.2">
      <c r="A3268"/>
      <c r="B3268"/>
      <c r="C3268"/>
      <c r="D3268"/>
      <c r="E3268" s="2">
        <f>Comuni__2[[#This Row],[Popolazione2011]]/$D$7911</f>
        <v>5.1596116438063278E-5</v>
      </c>
      <c r="F3268">
        <f>SUMIFS($D$2:$D$7909, $B$2:$B$7909, "Lombardia")</f>
        <v>9704151</v>
      </c>
      <c r="G3268" s="1">
        <f>Comuni__2[[#This Row],[Popolazione2011]]/Comuni__2[[#This Row],[POPOLAZIONE TOTALE DI OGNI REGIONE (CON FILTRO)]]</f>
        <v>3.1594726833908502E-4</v>
      </c>
      <c r="H3268" t="str">
        <f>IF(Comuni__2[[#This Row],[Popolazione2011]]&gt;300000,"MAGGIORE","")</f>
        <v/>
      </c>
      <c r="J3268">
        <v>557</v>
      </c>
      <c r="K3268">
        <v>24096</v>
      </c>
      <c r="L3268">
        <v>3996</v>
      </c>
    </row>
    <row r="3269" spans="1:12" x14ac:dyDescent="0.2">
      <c r="A3269"/>
      <c r="B3269"/>
      <c r="C3269"/>
      <c r="D3269"/>
      <c r="E3269" s="2">
        <f>Comuni__2[[#This Row],[Popolazione2011]]/$D$7911</f>
        <v>5.1040776632956925E-5</v>
      </c>
      <c r="F3269">
        <f>SUMIFS($D$2:$D$7909, $B$2:$B$7909, "Lombardia")</f>
        <v>9704151</v>
      </c>
      <c r="G3269" s="1">
        <f>Comuni__2[[#This Row],[Popolazione2011]]/Comuni__2[[#This Row],[POPOLAZIONE TOTALE DI OGNI REGIONE (CON FILTRO)]]</f>
        <v>3.1254666173269563E-4</v>
      </c>
      <c r="H3269" t="str">
        <f>IF(Comuni__2[[#This Row],[Popolazione2011]]&gt;300000,"MAGGIORE","")</f>
        <v/>
      </c>
      <c r="J3269">
        <v>537</v>
      </c>
      <c r="K3269">
        <v>24203</v>
      </c>
      <c r="L3269">
        <v>4006</v>
      </c>
    </row>
    <row r="3270" spans="1:12" x14ac:dyDescent="0.2">
      <c r="A3270"/>
      <c r="B3270"/>
      <c r="C3270"/>
      <c r="D3270"/>
      <c r="E3270" s="2">
        <f>Comuni__2[[#This Row],[Popolazione2011]]/$D$7911</f>
        <v>5.1007119675071693E-5</v>
      </c>
      <c r="F3270">
        <f>SUMIFS($D$2:$D$7909, $B$2:$B$7909, "Lombardia")</f>
        <v>9704151</v>
      </c>
      <c r="G3270" s="1">
        <f>Comuni__2[[#This Row],[Popolazione2011]]/Comuni__2[[#This Row],[POPOLAZIONE TOTALE DI OGNI REGIONE (CON FILTRO)]]</f>
        <v>3.1234056436261142E-4</v>
      </c>
      <c r="H3270" t="str">
        <f>IF(Comuni__2[[#This Row],[Popolazione2011]]&gt;300000,"MAGGIORE","")</f>
        <v/>
      </c>
      <c r="J3270">
        <v>543</v>
      </c>
      <c r="K3270">
        <v>24399</v>
      </c>
      <c r="L3270">
        <v>4012</v>
      </c>
    </row>
    <row r="3271" spans="1:12" x14ac:dyDescent="0.2">
      <c r="A3271"/>
      <c r="B3271"/>
      <c r="C3271"/>
      <c r="D3271"/>
      <c r="E3271" s="2">
        <f>Comuni__2[[#This Row],[Popolazione2011]]/$D$7911</f>
        <v>5.0872491843530757E-5</v>
      </c>
      <c r="F3271">
        <f>SUMIFS($D$2:$D$7909, $B$2:$B$7909, "Lombardia")</f>
        <v>9704151</v>
      </c>
      <c r="G3271" s="1">
        <f>Comuni__2[[#This Row],[Popolazione2011]]/Comuni__2[[#This Row],[POPOLAZIONE TOTALE DI OGNI REGIONE (CON FILTRO)]]</f>
        <v>3.1151617488227459E-4</v>
      </c>
      <c r="H3271" t="str">
        <f>IF(Comuni__2[[#This Row],[Popolazione2011]]&gt;300000,"MAGGIORE","")</f>
        <v/>
      </c>
      <c r="J3271">
        <v>545</v>
      </c>
      <c r="K3271">
        <v>24445</v>
      </c>
      <c r="L3271">
        <v>4012</v>
      </c>
    </row>
    <row r="3272" spans="1:12" x14ac:dyDescent="0.2">
      <c r="A3272"/>
      <c r="B3272"/>
      <c r="C3272"/>
      <c r="D3272"/>
      <c r="E3272" s="2">
        <f>Comuni__2[[#This Row],[Popolazione2011]]/$D$7911</f>
        <v>5.0838834885645518E-5</v>
      </c>
      <c r="F3272">
        <f>SUMIFS($D$2:$D$7909, $B$2:$B$7909, "Lombardia")</f>
        <v>9704151</v>
      </c>
      <c r="G3272" s="1">
        <f>Comuni__2[[#This Row],[Popolazione2011]]/Comuni__2[[#This Row],[POPOLAZIONE TOTALE DI OGNI REGIONE (CON FILTRO)]]</f>
        <v>3.1131007751219038E-4</v>
      </c>
      <c r="H3272" t="str">
        <f>IF(Comuni__2[[#This Row],[Popolazione2011]]&gt;300000,"MAGGIORE","")</f>
        <v/>
      </c>
      <c r="J3272">
        <v>500</v>
      </c>
      <c r="K3272">
        <v>24622</v>
      </c>
      <c r="L3272">
        <v>4018</v>
      </c>
    </row>
    <row r="3273" spans="1:12" x14ac:dyDescent="0.2">
      <c r="A3273"/>
      <c r="B3273"/>
      <c r="C3273"/>
      <c r="D3273"/>
      <c r="E3273" s="2">
        <f>Comuni__2[[#This Row],[Popolazione2011]]/$D$7911</f>
        <v>5.0822006406702902E-5</v>
      </c>
      <c r="F3273">
        <f>SUMIFS($D$2:$D$7909, $B$2:$B$7909, "Lombardia")</f>
        <v>9704151</v>
      </c>
      <c r="G3273" s="1">
        <f>Comuni__2[[#This Row],[Popolazione2011]]/Comuni__2[[#This Row],[POPOLAZIONE TOTALE DI OGNI REGIONE (CON FILTRO)]]</f>
        <v>3.1120702882714827E-4</v>
      </c>
      <c r="H3273" t="str">
        <f>IF(Comuni__2[[#This Row],[Popolazione2011]]&gt;300000,"MAGGIORE","")</f>
        <v/>
      </c>
      <c r="J3273">
        <v>473</v>
      </c>
      <c r="K3273">
        <v>24720</v>
      </c>
      <c r="L3273">
        <v>4026</v>
      </c>
    </row>
    <row r="3274" spans="1:12" x14ac:dyDescent="0.2">
      <c r="A3274"/>
      <c r="B3274"/>
      <c r="C3274"/>
      <c r="D3274"/>
      <c r="E3274" s="2">
        <f>Comuni__2[[#This Row],[Popolazione2011]]/$D$7911</f>
        <v>5.0704207054104589E-5</v>
      </c>
      <c r="F3274">
        <f>SUMIFS($D$2:$D$7909, $B$2:$B$7909, "Lombardia")</f>
        <v>9704151</v>
      </c>
      <c r="G3274" s="1">
        <f>Comuni__2[[#This Row],[Popolazione2011]]/Comuni__2[[#This Row],[POPOLAZIONE TOTALE DI OGNI REGIONE (CON FILTRO)]]</f>
        <v>3.104856880318536E-4</v>
      </c>
      <c r="H3274" t="str">
        <f>IF(Comuni__2[[#This Row],[Popolazione2011]]&gt;300000,"MAGGIORE","")</f>
        <v/>
      </c>
      <c r="J3274">
        <v>422</v>
      </c>
      <c r="K3274">
        <v>24840</v>
      </c>
      <c r="L3274">
        <v>4032</v>
      </c>
    </row>
    <row r="3275" spans="1:12" x14ac:dyDescent="0.2">
      <c r="A3275"/>
      <c r="B3275"/>
      <c r="C3275"/>
      <c r="D3275"/>
      <c r="E3275" s="2">
        <f>Comuni__2[[#This Row],[Popolazione2011]]/$D$7911</f>
        <v>5.0502265306793182E-5</v>
      </c>
      <c r="F3275">
        <f>SUMIFS($D$2:$D$7909, $B$2:$B$7909, "Lombardia")</f>
        <v>9704151</v>
      </c>
      <c r="G3275" s="1">
        <f>Comuni__2[[#This Row],[Popolazione2011]]/Comuni__2[[#This Row],[POPOLAZIONE TOTALE DI OGNI REGIONE (CON FILTRO)]]</f>
        <v>3.0924910381134835E-4</v>
      </c>
      <c r="H3275" t="str">
        <f>IF(Comuni__2[[#This Row],[Popolazione2011]]&gt;300000,"MAGGIORE","")</f>
        <v/>
      </c>
      <c r="J3275">
        <v>385</v>
      </c>
      <c r="K3275">
        <v>24971</v>
      </c>
      <c r="L3275">
        <v>4039</v>
      </c>
    </row>
    <row r="3276" spans="1:12" x14ac:dyDescent="0.2">
      <c r="A3276"/>
      <c r="B3276"/>
      <c r="C3276"/>
      <c r="D3276"/>
      <c r="E3276" s="2">
        <f>Comuni__2[[#This Row],[Popolazione2011]]/$D$7911</f>
        <v>5.0418122912080102E-5</v>
      </c>
      <c r="F3276">
        <f>SUMIFS($D$2:$D$7909, $B$2:$B$7909, "Lombardia")</f>
        <v>9704151</v>
      </c>
      <c r="G3276" s="1">
        <f>Comuni__2[[#This Row],[Popolazione2011]]/Comuni__2[[#This Row],[POPOLAZIONE TOTALE DI OGNI REGIONE (CON FILTRO)]]</f>
        <v>3.0873386038613782E-4</v>
      </c>
      <c r="H3276" t="str">
        <f>IF(Comuni__2[[#This Row],[Popolazione2011]]&gt;300000,"MAGGIORE","")</f>
        <v/>
      </c>
      <c r="J3276">
        <v>375</v>
      </c>
      <c r="K3276">
        <v>25082</v>
      </c>
      <c r="L3276">
        <v>4045</v>
      </c>
    </row>
    <row r="3277" spans="1:12" x14ac:dyDescent="0.2">
      <c r="A3277"/>
      <c r="B3277"/>
      <c r="C3277"/>
      <c r="D3277"/>
      <c r="E3277" s="2">
        <f>Comuni__2[[#This Row],[Popolazione2011]]/$D$7911</f>
        <v>5.0132038770055614E-5</v>
      </c>
      <c r="F3277">
        <f>SUMIFS($D$2:$D$7909, $B$2:$B$7909, "Lombardia")</f>
        <v>9704151</v>
      </c>
      <c r="G3277" s="1">
        <f>Comuni__2[[#This Row],[Popolazione2011]]/Comuni__2[[#This Row],[POPOLAZIONE TOTALE DI OGNI REGIONE (CON FILTRO)]]</f>
        <v>3.069820327404221E-4</v>
      </c>
      <c r="H3277" t="str">
        <f>IF(Comuni__2[[#This Row],[Popolazione2011]]&gt;300000,"MAGGIORE","")</f>
        <v/>
      </c>
      <c r="J3277">
        <v>375</v>
      </c>
      <c r="K3277">
        <v>25177</v>
      </c>
      <c r="L3277">
        <v>4051</v>
      </c>
    </row>
    <row r="3278" spans="1:12" x14ac:dyDescent="0.2">
      <c r="A3278"/>
      <c r="B3278"/>
      <c r="C3278"/>
      <c r="D3278"/>
      <c r="E3278" s="2">
        <f>Comuni__2[[#This Row],[Popolazione2011]]/$D$7911</f>
        <v>5.0014239417457294E-5</v>
      </c>
      <c r="F3278">
        <f>SUMIFS($D$2:$D$7909, $B$2:$B$7909, "Lombardia")</f>
        <v>9704151</v>
      </c>
      <c r="G3278" s="1">
        <f>Comuni__2[[#This Row],[Popolazione2011]]/Comuni__2[[#This Row],[POPOLAZIONE TOTALE DI OGNI REGIONE (CON FILTRO)]]</f>
        <v>3.0626069194512737E-4</v>
      </c>
      <c r="H3278" t="str">
        <f>IF(Comuni__2[[#This Row],[Popolazione2011]]&gt;300000,"MAGGIORE","")</f>
        <v/>
      </c>
      <c r="J3278">
        <v>365</v>
      </c>
      <c r="K3278">
        <v>25223</v>
      </c>
      <c r="L3278">
        <v>4055</v>
      </c>
    </row>
    <row r="3279" spans="1:12" x14ac:dyDescent="0.2">
      <c r="A3279"/>
      <c r="B3279"/>
      <c r="C3279"/>
      <c r="D3279"/>
      <c r="E3279" s="2">
        <f>Comuni__2[[#This Row],[Popolazione2011]]/$D$7911</f>
        <v>4.9963753980629446E-5</v>
      </c>
      <c r="F3279">
        <f>SUMIFS($D$2:$D$7909, $B$2:$B$7909, "Lombardia")</f>
        <v>9704151</v>
      </c>
      <c r="G3279" s="1">
        <f>Comuni__2[[#This Row],[Popolazione2011]]/Comuni__2[[#This Row],[POPOLAZIONE TOTALE DI OGNI REGIONE (CON FILTRO)]]</f>
        <v>3.0595154589000112E-4</v>
      </c>
      <c r="H3279" t="str">
        <f>IF(Comuni__2[[#This Row],[Popolazione2011]]&gt;300000,"MAGGIORE","")</f>
        <v/>
      </c>
      <c r="J3279">
        <v>348</v>
      </c>
      <c r="K3279">
        <v>25325</v>
      </c>
      <c r="L3279">
        <v>4059</v>
      </c>
    </row>
    <row r="3280" spans="1:12" x14ac:dyDescent="0.2">
      <c r="A3280"/>
      <c r="B3280"/>
      <c r="C3280"/>
      <c r="D3280"/>
      <c r="E3280" s="2">
        <f>Comuni__2[[#This Row],[Popolazione2011]]/$D$7911</f>
        <v>4.994692550168683E-5</v>
      </c>
      <c r="F3280">
        <f>SUMIFS($D$2:$D$7909, $B$2:$B$7909, "Lombardia")</f>
        <v>9704151</v>
      </c>
      <c r="G3280" s="1">
        <f>Comuni__2[[#This Row],[Popolazione2011]]/Comuni__2[[#This Row],[POPOLAZIONE TOTALE DI OGNI REGIONE (CON FILTRO)]]</f>
        <v>3.0584849720495901E-4</v>
      </c>
      <c r="H3280" t="str">
        <f>IF(Comuni__2[[#This Row],[Popolazione2011]]&gt;300000,"MAGGIORE","")</f>
        <v/>
      </c>
      <c r="J3280">
        <v>352</v>
      </c>
      <c r="K3280">
        <v>25480</v>
      </c>
      <c r="L3280">
        <v>4066</v>
      </c>
    </row>
    <row r="3281" spans="1:12" x14ac:dyDescent="0.2">
      <c r="A3281"/>
      <c r="B3281"/>
      <c r="C3281"/>
      <c r="D3281"/>
      <c r="E3281" s="2">
        <f>Comuni__2[[#This Row],[Popolazione2011]]/$D$7911</f>
        <v>4.9761812233318046E-5</v>
      </c>
      <c r="F3281">
        <f>SUMIFS($D$2:$D$7909, $B$2:$B$7909, "Lombardia")</f>
        <v>9704151</v>
      </c>
      <c r="G3281" s="1">
        <f>Comuni__2[[#This Row],[Popolazione2011]]/Comuni__2[[#This Row],[POPOLAZIONE TOTALE DI OGNI REGIONE (CON FILTRO)]]</f>
        <v>3.0471496166949586E-4</v>
      </c>
      <c r="H3281" t="str">
        <f>IF(Comuni__2[[#This Row],[Popolazione2011]]&gt;300000,"MAGGIORE","")</f>
        <v/>
      </c>
      <c r="J3281">
        <v>331</v>
      </c>
      <c r="K3281">
        <v>25544</v>
      </c>
      <c r="L3281">
        <v>4071</v>
      </c>
    </row>
    <row r="3282" spans="1:12" x14ac:dyDescent="0.2">
      <c r="A3282"/>
      <c r="B3282"/>
      <c r="C3282"/>
      <c r="D3282"/>
      <c r="E3282" s="2">
        <f>Comuni__2[[#This Row],[Popolazione2011]]/$D$7911</f>
        <v>4.9610355922834494E-5</v>
      </c>
      <c r="F3282">
        <f>SUMIFS($D$2:$D$7909, $B$2:$B$7909, "Lombardia")</f>
        <v>9704151</v>
      </c>
      <c r="G3282" s="1">
        <f>Comuni__2[[#This Row],[Popolazione2011]]/Comuni__2[[#This Row],[POPOLAZIONE TOTALE DI OGNI REGIONE (CON FILTRO)]]</f>
        <v>3.0378752350411692E-4</v>
      </c>
      <c r="H3282" t="str">
        <f>IF(Comuni__2[[#This Row],[Popolazione2011]]&gt;300000,"MAGGIORE","")</f>
        <v/>
      </c>
      <c r="J3282">
        <v>321</v>
      </c>
      <c r="K3282">
        <v>25649</v>
      </c>
      <c r="L3282">
        <v>4077</v>
      </c>
    </row>
    <row r="3283" spans="1:12" x14ac:dyDescent="0.2">
      <c r="A3283"/>
      <c r="B3283"/>
      <c r="C3283"/>
      <c r="D3283"/>
      <c r="E3283" s="2">
        <f>Comuni__2[[#This Row],[Popolazione2011]]/$D$7911</f>
        <v>4.9324271780810006E-5</v>
      </c>
      <c r="F3283">
        <f>SUMIFS($D$2:$D$7909, $B$2:$B$7909, "Lombardia")</f>
        <v>9704151</v>
      </c>
      <c r="G3283" s="1">
        <f>Comuni__2[[#This Row],[Popolazione2011]]/Comuni__2[[#This Row],[POPOLAZIONE TOTALE DI OGNI REGIONE (CON FILTRO)]]</f>
        <v>3.0203569585840121E-4</v>
      </c>
      <c r="H3283" t="str">
        <f>IF(Comuni__2[[#This Row],[Popolazione2011]]&gt;300000,"MAGGIORE","")</f>
        <v/>
      </c>
      <c r="J3283">
        <v>315</v>
      </c>
      <c r="K3283">
        <v>25739</v>
      </c>
      <c r="L3283">
        <v>4080</v>
      </c>
    </row>
    <row r="3284" spans="1:12" x14ac:dyDescent="0.2">
      <c r="A3284"/>
      <c r="B3284"/>
      <c r="C3284"/>
      <c r="D3284"/>
      <c r="E3284" s="2">
        <f>Comuni__2[[#This Row],[Popolazione2011]]/$D$7911</f>
        <v>4.9256957865039535E-5</v>
      </c>
      <c r="F3284">
        <f>SUMIFS($D$2:$D$7909, $B$2:$B$7909, "Lombardia")</f>
        <v>9704151</v>
      </c>
      <c r="G3284" s="1">
        <f>Comuni__2[[#This Row],[Popolazione2011]]/Comuni__2[[#This Row],[POPOLAZIONE TOTALE DI OGNI REGIONE (CON FILTRO)]]</f>
        <v>3.0162350111823279E-4</v>
      </c>
      <c r="H3284" t="str">
        <f>IF(Comuni__2[[#This Row],[Popolazione2011]]&gt;300000,"MAGGIORE","")</f>
        <v/>
      </c>
      <c r="J3284">
        <v>317</v>
      </c>
      <c r="K3284">
        <v>25756</v>
      </c>
      <c r="L3284">
        <v>4085</v>
      </c>
    </row>
    <row r="3285" spans="1:12" x14ac:dyDescent="0.2">
      <c r="A3285"/>
      <c r="B3285"/>
      <c r="C3285"/>
      <c r="D3285"/>
      <c r="E3285" s="2">
        <f>Comuni__2[[#This Row],[Popolazione2011]]/$D$7911</f>
        <v>4.9155986991383838E-5</v>
      </c>
      <c r="F3285">
        <f>SUMIFS($D$2:$D$7909, $B$2:$B$7909, "Lombardia")</f>
        <v>9704151</v>
      </c>
      <c r="G3285" s="1">
        <f>Comuni__2[[#This Row],[Popolazione2011]]/Comuni__2[[#This Row],[POPOLAZIONE TOTALE DI OGNI REGIONE (CON FILTRO)]]</f>
        <v>3.0100520900798022E-4</v>
      </c>
      <c r="H3285" t="str">
        <f>IF(Comuni__2[[#This Row],[Popolazione2011]]&gt;300000,"MAGGIORE","")</f>
        <v/>
      </c>
      <c r="J3285">
        <v>294</v>
      </c>
      <c r="K3285">
        <v>25761</v>
      </c>
      <c r="L3285">
        <v>4087</v>
      </c>
    </row>
    <row r="3286" spans="1:12" x14ac:dyDescent="0.2">
      <c r="A3286"/>
      <c r="B3286"/>
      <c r="C3286"/>
      <c r="D3286"/>
      <c r="E3286" s="2">
        <f>Comuni__2[[#This Row],[Popolazione2011]]/$D$7911</f>
        <v>4.9139158512441222E-5</v>
      </c>
      <c r="F3286">
        <f>SUMIFS($D$2:$D$7909, $B$2:$B$7909, "Lombardia")</f>
        <v>9704151</v>
      </c>
      <c r="G3286" s="1">
        <f>Comuni__2[[#This Row],[Popolazione2011]]/Comuni__2[[#This Row],[POPOLAZIONE TOTALE DI OGNI REGIONE (CON FILTRO)]]</f>
        <v>3.0090216032293811E-4</v>
      </c>
      <c r="H3286" t="str">
        <f>IF(Comuni__2[[#This Row],[Popolazione2011]]&gt;300000,"MAGGIORE","")</f>
        <v/>
      </c>
      <c r="J3286">
        <v>279</v>
      </c>
      <c r="K3286">
        <v>25836</v>
      </c>
      <c r="L3286">
        <v>4090</v>
      </c>
    </row>
    <row r="3287" spans="1:12" x14ac:dyDescent="0.2">
      <c r="A3287"/>
      <c r="B3287"/>
      <c r="C3287"/>
      <c r="D3287"/>
      <c r="E3287" s="2">
        <f>Comuni__2[[#This Row],[Popolazione2011]]/$D$7911</f>
        <v>4.9004530680900286E-5</v>
      </c>
      <c r="F3287">
        <f>SUMIFS($D$2:$D$7909, $B$2:$B$7909, "Lombardia")</f>
        <v>9704151</v>
      </c>
      <c r="G3287" s="1">
        <f>Comuni__2[[#This Row],[Popolazione2011]]/Comuni__2[[#This Row],[POPOLAZIONE TOTALE DI OGNI REGIONE (CON FILTRO)]]</f>
        <v>3.0007777084260128E-4</v>
      </c>
      <c r="H3287" t="str">
        <f>IF(Comuni__2[[#This Row],[Popolazione2011]]&gt;300000,"MAGGIORE","")</f>
        <v/>
      </c>
      <c r="J3287">
        <v>271</v>
      </c>
      <c r="K3287">
        <v>25921</v>
      </c>
      <c r="L3287">
        <v>4091</v>
      </c>
    </row>
    <row r="3288" spans="1:12" x14ac:dyDescent="0.2">
      <c r="A3288"/>
      <c r="B3288"/>
      <c r="C3288"/>
      <c r="D3288"/>
      <c r="E3288" s="2">
        <f>Comuni__2[[#This Row],[Popolazione2011]]/$D$7911</f>
        <v>4.8886731328301966E-5</v>
      </c>
      <c r="F3288">
        <f>SUMIFS($D$2:$D$7909, $B$2:$B$7909, "Lombardia")</f>
        <v>9704151</v>
      </c>
      <c r="G3288" s="1">
        <f>Comuni__2[[#This Row],[Popolazione2011]]/Comuni__2[[#This Row],[POPOLAZIONE TOTALE DI OGNI REGIONE (CON FILTRO)]]</f>
        <v>2.9935643004730655E-4</v>
      </c>
      <c r="H3288" t="str">
        <f>IF(Comuni__2[[#This Row],[Popolazione2011]]&gt;300000,"MAGGIORE","")</f>
        <v/>
      </c>
      <c r="J3288">
        <v>259</v>
      </c>
      <c r="K3288">
        <v>25983</v>
      </c>
      <c r="L3288">
        <v>4096</v>
      </c>
    </row>
    <row r="3289" spans="1:12" x14ac:dyDescent="0.2">
      <c r="A3289"/>
      <c r="B3289"/>
      <c r="C3289"/>
      <c r="D3289"/>
      <c r="E3289" s="2">
        <f>Comuni__2[[#This Row],[Popolazione2011]]/$D$7911</f>
        <v>4.8735275017818414E-5</v>
      </c>
      <c r="F3289">
        <f>SUMIFS($D$2:$D$7909, $B$2:$B$7909, "Lombardia")</f>
        <v>9704151</v>
      </c>
      <c r="G3289" s="1">
        <f>Comuni__2[[#This Row],[Popolazione2011]]/Comuni__2[[#This Row],[POPOLAZIONE TOTALE DI OGNI REGIONE (CON FILTRO)]]</f>
        <v>2.9842899188192766E-4</v>
      </c>
      <c r="H3289" t="str">
        <f>IF(Comuni__2[[#This Row],[Popolazione2011]]&gt;300000,"MAGGIORE","")</f>
        <v/>
      </c>
      <c r="J3289">
        <v>245</v>
      </c>
      <c r="K3289">
        <v>26019</v>
      </c>
      <c r="L3289">
        <v>4100</v>
      </c>
    </row>
    <row r="3290" spans="1:12" x14ac:dyDescent="0.2">
      <c r="A3290"/>
      <c r="B3290"/>
      <c r="C3290"/>
      <c r="D3290"/>
      <c r="E3290" s="2">
        <f>Comuni__2[[#This Row],[Popolazione2011]]/$D$7911</f>
        <v>4.8634304144162711E-5</v>
      </c>
      <c r="F3290">
        <f>SUMIFS($D$2:$D$7909, $B$2:$B$7909, "Lombardia")</f>
        <v>9704151</v>
      </c>
      <c r="G3290" s="1">
        <f>Comuni__2[[#This Row],[Popolazione2011]]/Comuni__2[[#This Row],[POPOLAZIONE TOTALE DI OGNI REGIONE (CON FILTRO)]]</f>
        <v>2.9781069977167504E-4</v>
      </c>
      <c r="H3290" t="str">
        <f>IF(Comuni__2[[#This Row],[Popolazione2011]]&gt;300000,"MAGGIORE","")</f>
        <v/>
      </c>
      <c r="J3290">
        <v>234</v>
      </c>
      <c r="K3290">
        <v>26086</v>
      </c>
      <c r="L3290">
        <v>4102</v>
      </c>
    </row>
    <row r="3291" spans="1:12" x14ac:dyDescent="0.2">
      <c r="A3291"/>
      <c r="B3291"/>
      <c r="C3291"/>
      <c r="D3291"/>
      <c r="E3291" s="2">
        <f>Comuni__2[[#This Row],[Popolazione2011]]/$D$7911</f>
        <v>4.8583818707334863E-5</v>
      </c>
      <c r="F3291">
        <f>SUMIFS($D$2:$D$7909, $B$2:$B$7909, "Lombardia")</f>
        <v>9704151</v>
      </c>
      <c r="G3291" s="1">
        <f>Comuni__2[[#This Row],[Popolazione2011]]/Comuni__2[[#This Row],[POPOLAZIONE TOTALE DI OGNI REGIONE (CON FILTRO)]]</f>
        <v>2.9750155371654872E-4</v>
      </c>
      <c r="H3291" t="str">
        <f>IF(Comuni__2[[#This Row],[Popolazione2011]]&gt;300000,"MAGGIORE","")</f>
        <v/>
      </c>
      <c r="J3291">
        <v>235</v>
      </c>
      <c r="K3291">
        <v>26104</v>
      </c>
      <c r="L3291">
        <v>4102</v>
      </c>
    </row>
    <row r="3292" spans="1:12" x14ac:dyDescent="0.2">
      <c r="A3292"/>
      <c r="B3292"/>
      <c r="C3292"/>
      <c r="D3292"/>
      <c r="E3292" s="2">
        <f>Comuni__2[[#This Row],[Popolazione2011]]/$D$7911</f>
        <v>4.8583818707334863E-5</v>
      </c>
      <c r="F3292">
        <f>SUMIFS($D$2:$D$7909, $B$2:$B$7909, "Lombardia")</f>
        <v>9704151</v>
      </c>
      <c r="G3292" s="1">
        <f>Comuni__2[[#This Row],[Popolazione2011]]/Comuni__2[[#This Row],[POPOLAZIONE TOTALE DI OGNI REGIONE (CON FILTRO)]]</f>
        <v>2.9750155371654872E-4</v>
      </c>
      <c r="H3292" t="str">
        <f>IF(Comuni__2[[#This Row],[Popolazione2011]]&gt;300000,"MAGGIORE","")</f>
        <v/>
      </c>
      <c r="J3292">
        <v>219</v>
      </c>
      <c r="K3292">
        <v>26117</v>
      </c>
      <c r="L3292">
        <v>4104</v>
      </c>
    </row>
    <row r="3293" spans="1:12" x14ac:dyDescent="0.2">
      <c r="A3293"/>
      <c r="B3293"/>
      <c r="C3293"/>
      <c r="D3293"/>
      <c r="E3293" s="2">
        <f>Comuni__2[[#This Row],[Popolazione2011]]/$D$7911</f>
        <v>4.8533333270507014E-5</v>
      </c>
      <c r="F3293">
        <f>SUMIFS($D$2:$D$7909, $B$2:$B$7909, "Lombardia")</f>
        <v>9704151</v>
      </c>
      <c r="G3293" s="1">
        <f>Comuni__2[[#This Row],[Popolazione2011]]/Comuni__2[[#This Row],[POPOLAZIONE TOTALE DI OGNI REGIONE (CON FILTRO)]]</f>
        <v>2.9719240766142241E-4</v>
      </c>
      <c r="H3293" t="str">
        <f>IF(Comuni__2[[#This Row],[Popolazione2011]]&gt;300000,"MAGGIORE","")</f>
        <v/>
      </c>
      <c r="J3293">
        <v>218</v>
      </c>
      <c r="K3293">
        <v>26154</v>
      </c>
      <c r="L3293">
        <v>4107</v>
      </c>
    </row>
    <row r="3294" spans="1:12" x14ac:dyDescent="0.2">
      <c r="A3294"/>
      <c r="B3294"/>
      <c r="C3294"/>
      <c r="D3294"/>
      <c r="E3294" s="2">
        <f>Comuni__2[[#This Row],[Popolazione2011]]/$D$7911</f>
        <v>4.8516504791564398E-5</v>
      </c>
      <c r="F3294">
        <f>SUMIFS($D$2:$D$7909, $B$2:$B$7909, "Lombardia")</f>
        <v>9704151</v>
      </c>
      <c r="G3294" s="1">
        <f>Comuni__2[[#This Row],[Popolazione2011]]/Comuni__2[[#This Row],[POPOLAZIONE TOTALE DI OGNI REGIONE (CON FILTRO)]]</f>
        <v>2.9708935897638031E-4</v>
      </c>
      <c r="H3294" t="str">
        <f>IF(Comuni__2[[#This Row],[Popolazione2011]]&gt;300000,"MAGGIORE","")</f>
        <v/>
      </c>
      <c r="J3294">
        <v>213</v>
      </c>
      <c r="K3294">
        <v>26212</v>
      </c>
      <c r="L3294">
        <v>4107</v>
      </c>
    </row>
    <row r="3295" spans="1:12" x14ac:dyDescent="0.2">
      <c r="A3295"/>
      <c r="B3295"/>
      <c r="C3295"/>
      <c r="D3295"/>
      <c r="E3295" s="2">
        <f>Comuni__2[[#This Row],[Popolazione2011]]/$D$7911</f>
        <v>4.8499676312621775E-5</v>
      </c>
      <c r="F3295">
        <f>SUMIFS($D$2:$D$7909, $B$2:$B$7909, "Lombardia")</f>
        <v>9704151</v>
      </c>
      <c r="G3295" s="1">
        <f>Comuni__2[[#This Row],[Popolazione2011]]/Comuni__2[[#This Row],[POPOLAZIONE TOTALE DI OGNI REGIONE (CON FILTRO)]]</f>
        <v>2.969863102913382E-4</v>
      </c>
      <c r="H3295" t="str">
        <f>IF(Comuni__2[[#This Row],[Popolazione2011]]&gt;300000,"MAGGIORE","")</f>
        <v/>
      </c>
      <c r="J3295">
        <v>203</v>
      </c>
      <c r="K3295">
        <v>26243</v>
      </c>
      <c r="L3295">
        <v>4108</v>
      </c>
    </row>
    <row r="3296" spans="1:12" x14ac:dyDescent="0.2">
      <c r="A3296"/>
      <c r="B3296"/>
      <c r="C3296"/>
      <c r="D3296"/>
      <c r="E3296" s="2">
        <f>Comuni__2[[#This Row],[Popolazione2011]]/$D$7911</f>
        <v>4.8348220002138223E-5</v>
      </c>
      <c r="F3296">
        <f>SUMIFS($D$2:$D$7909, $B$2:$B$7909, "Lombardia")</f>
        <v>9704151</v>
      </c>
      <c r="G3296" s="1">
        <f>Comuni__2[[#This Row],[Popolazione2011]]/Comuni__2[[#This Row],[POPOLAZIONE TOTALE DI OGNI REGIONE (CON FILTRO)]]</f>
        <v>2.9605887212595932E-4</v>
      </c>
      <c r="H3296" t="str">
        <f>IF(Comuni__2[[#This Row],[Popolazione2011]]&gt;300000,"MAGGIORE","")</f>
        <v/>
      </c>
      <c r="J3296">
        <v>202</v>
      </c>
      <c r="K3296">
        <v>26300</v>
      </c>
      <c r="L3296">
        <v>4110</v>
      </c>
    </row>
    <row r="3297" spans="1:12" x14ac:dyDescent="0.2">
      <c r="A3297"/>
      <c r="B3297"/>
      <c r="C3297"/>
      <c r="D3297"/>
      <c r="E3297" s="2">
        <f>Comuni__2[[#This Row],[Popolazione2011]]/$D$7911</f>
        <v>4.8348220002138223E-5</v>
      </c>
      <c r="F3297">
        <f>SUMIFS($D$2:$D$7909, $B$2:$B$7909, "Lombardia")</f>
        <v>9704151</v>
      </c>
      <c r="G3297" s="1">
        <f>Comuni__2[[#This Row],[Popolazione2011]]/Comuni__2[[#This Row],[POPOLAZIONE TOTALE DI OGNI REGIONE (CON FILTRO)]]</f>
        <v>2.9605887212595932E-4</v>
      </c>
      <c r="H3297" t="str">
        <f>IF(Comuni__2[[#This Row],[Popolazione2011]]&gt;300000,"MAGGIORE","")</f>
        <v/>
      </c>
      <c r="J3297">
        <v>199</v>
      </c>
      <c r="K3297">
        <v>26314</v>
      </c>
      <c r="L3297">
        <v>4111</v>
      </c>
    </row>
    <row r="3298" spans="1:12" x14ac:dyDescent="0.2">
      <c r="A3298"/>
      <c r="B3298"/>
      <c r="C3298"/>
      <c r="D3298"/>
      <c r="E3298" s="2">
        <f>Comuni__2[[#This Row],[Popolazione2011]]/$D$7911</f>
        <v>4.8163106733769439E-5</v>
      </c>
      <c r="F3298">
        <f>SUMIFS($D$2:$D$7909, $B$2:$B$7909, "Lombardia")</f>
        <v>9704151</v>
      </c>
      <c r="G3298" s="1">
        <f>Comuni__2[[#This Row],[Popolazione2011]]/Comuni__2[[#This Row],[POPOLAZIONE TOTALE DI OGNI REGIONE (CON FILTRO)]]</f>
        <v>2.9492533659049617E-4</v>
      </c>
      <c r="H3298" t="str">
        <f>IF(Comuni__2[[#This Row],[Popolazione2011]]&gt;300000,"MAGGIORE","")</f>
        <v/>
      </c>
      <c r="J3298">
        <v>199</v>
      </c>
      <c r="K3298">
        <v>26329</v>
      </c>
      <c r="L3298">
        <v>4111</v>
      </c>
    </row>
    <row r="3299" spans="1:12" x14ac:dyDescent="0.2">
      <c r="A3299"/>
      <c r="B3299"/>
      <c r="C3299"/>
      <c r="D3299"/>
      <c r="E3299" s="2">
        <f>Comuni__2[[#This Row],[Popolazione2011]]/$D$7911</f>
        <v>4.7826537154917103E-5</v>
      </c>
      <c r="F3299">
        <f>SUMIFS($D$2:$D$7909, $B$2:$B$7909, "Lombardia")</f>
        <v>9704151</v>
      </c>
      <c r="G3299" s="1">
        <f>Comuni__2[[#This Row],[Popolazione2011]]/Comuni__2[[#This Row],[POPOLAZIONE TOTALE DI OGNI REGIONE (CON FILTRO)]]</f>
        <v>2.9286436288965414E-4</v>
      </c>
      <c r="H3299" t="str">
        <f>IF(Comuni__2[[#This Row],[Popolazione2011]]&gt;300000,"MAGGIORE","")</f>
        <v/>
      </c>
      <c r="J3299">
        <v>189</v>
      </c>
      <c r="K3299">
        <v>26339</v>
      </c>
      <c r="L3299">
        <v>4112</v>
      </c>
    </row>
    <row r="3300" spans="1:12" x14ac:dyDescent="0.2">
      <c r="A3300"/>
      <c r="B3300"/>
      <c r="C3300"/>
      <c r="D3300"/>
      <c r="E3300" s="2">
        <f>Comuni__2[[#This Row],[Popolazione2011]]/$D$7911</f>
        <v>4.7759223239146639E-5</v>
      </c>
      <c r="F3300">
        <f>SUMIFS($D$2:$D$7909, $B$2:$B$7909, "Lombardia")</f>
        <v>9704151</v>
      </c>
      <c r="G3300" s="1">
        <f>Comuni__2[[#This Row],[Popolazione2011]]/Comuni__2[[#This Row],[POPOLAZIONE TOTALE DI OGNI REGIONE (CON FILTRO)]]</f>
        <v>2.9245216814948572E-4</v>
      </c>
      <c r="H3300" t="str">
        <f>IF(Comuni__2[[#This Row],[Popolazione2011]]&gt;300000,"MAGGIORE","")</f>
        <v/>
      </c>
      <c r="J3300">
        <v>184</v>
      </c>
      <c r="K3300">
        <v>26478</v>
      </c>
      <c r="L3300">
        <v>4115</v>
      </c>
    </row>
    <row r="3301" spans="1:12" x14ac:dyDescent="0.2">
      <c r="A3301"/>
      <c r="B3301"/>
      <c r="C3301"/>
      <c r="D3301"/>
      <c r="E3301" s="2">
        <f>Comuni__2[[#This Row],[Popolazione2011]]/$D$7911</f>
        <v>4.7759223239146639E-5</v>
      </c>
      <c r="F3301">
        <f>SUMIFS($D$2:$D$7909, $B$2:$B$7909, "Lombardia")</f>
        <v>9704151</v>
      </c>
      <c r="G3301" s="1">
        <f>Comuni__2[[#This Row],[Popolazione2011]]/Comuni__2[[#This Row],[POPOLAZIONE TOTALE DI OGNI REGIONE (CON FILTRO)]]</f>
        <v>2.9245216814948572E-4</v>
      </c>
      <c r="H3301" t="str">
        <f>IF(Comuni__2[[#This Row],[Popolazione2011]]&gt;300000,"MAGGIORE","")</f>
        <v/>
      </c>
      <c r="J3301">
        <v>171</v>
      </c>
      <c r="K3301">
        <v>26510</v>
      </c>
      <c r="L3301">
        <v>4118</v>
      </c>
    </row>
    <row r="3302" spans="1:12" x14ac:dyDescent="0.2">
      <c r="A3302"/>
      <c r="B3302"/>
      <c r="C3302"/>
      <c r="D3302"/>
      <c r="E3302" s="2">
        <f>Comuni__2[[#This Row],[Popolazione2011]]/$D$7911</f>
        <v>4.7708737802318783E-5</v>
      </c>
      <c r="F3302">
        <f>SUMIFS($D$2:$D$7909, $B$2:$B$7909, "Lombardia")</f>
        <v>9704151</v>
      </c>
      <c r="G3302" s="1">
        <f>Comuni__2[[#This Row],[Popolazione2011]]/Comuni__2[[#This Row],[POPOLAZIONE TOTALE DI OGNI REGIONE (CON FILTRO)]]</f>
        <v>2.9214302209435941E-4</v>
      </c>
      <c r="H3302" t="str">
        <f>IF(Comuni__2[[#This Row],[Popolazione2011]]&gt;300000,"MAGGIORE","")</f>
        <v/>
      </c>
      <c r="J3302">
        <v>165</v>
      </c>
      <c r="K3302">
        <v>26536</v>
      </c>
      <c r="L3302">
        <v>4118</v>
      </c>
    </row>
    <row r="3303" spans="1:12" x14ac:dyDescent="0.2">
      <c r="A3303"/>
      <c r="B3303"/>
      <c r="C3303"/>
      <c r="D3303"/>
      <c r="E3303" s="2">
        <f>Comuni__2[[#This Row],[Popolazione2011]]/$D$7911</f>
        <v>4.7675080844433551E-5</v>
      </c>
      <c r="F3303">
        <f>SUMIFS($D$2:$D$7909, $B$2:$B$7909, "Lombardia")</f>
        <v>9704151</v>
      </c>
      <c r="G3303" s="1">
        <f>Comuni__2[[#This Row],[Popolazione2011]]/Comuni__2[[#This Row],[POPOLAZIONE TOTALE DI OGNI REGIONE (CON FILTRO)]]</f>
        <v>2.919369247242752E-4</v>
      </c>
      <c r="H3303" t="str">
        <f>IF(Comuni__2[[#This Row],[Popolazione2011]]&gt;300000,"MAGGIORE","")</f>
        <v/>
      </c>
      <c r="J3303">
        <v>156</v>
      </c>
      <c r="K3303">
        <v>26555</v>
      </c>
      <c r="L3303">
        <v>4119</v>
      </c>
    </row>
    <row r="3304" spans="1:12" x14ac:dyDescent="0.2">
      <c r="A3304"/>
      <c r="B3304"/>
      <c r="C3304"/>
      <c r="D3304"/>
      <c r="E3304" s="2">
        <f>Comuni__2[[#This Row],[Popolazione2011]]/$D$7911</f>
        <v>4.7237540391925512E-5</v>
      </c>
      <c r="F3304">
        <f>SUMIFS($D$2:$D$7909, $B$2:$B$7909, "Lombardia")</f>
        <v>9704151</v>
      </c>
      <c r="G3304" s="1">
        <f>Comuni__2[[#This Row],[Popolazione2011]]/Comuni__2[[#This Row],[POPOLAZIONE TOTALE DI OGNI REGIONE (CON FILTRO)]]</f>
        <v>2.8925765891318054E-4</v>
      </c>
      <c r="H3304" t="str">
        <f>IF(Comuni__2[[#This Row],[Popolazione2011]]&gt;300000,"MAGGIORE","")</f>
        <v/>
      </c>
      <c r="J3304">
        <v>156</v>
      </c>
      <c r="K3304">
        <v>26567</v>
      </c>
      <c r="L3304">
        <v>4119</v>
      </c>
    </row>
    <row r="3305" spans="1:12" x14ac:dyDescent="0.2">
      <c r="A3305"/>
      <c r="B3305"/>
      <c r="C3305"/>
      <c r="D3305"/>
      <c r="E3305" s="2">
        <f>Comuni__2[[#This Row],[Popolazione2011]]/$D$7911</f>
        <v>4.6917799292015792E-5</v>
      </c>
      <c r="F3305">
        <f>SUMIFS($D$2:$D$7909, $B$2:$B$7909, "Lombardia")</f>
        <v>9704151</v>
      </c>
      <c r="G3305" s="1">
        <f>Comuni__2[[#This Row],[Popolazione2011]]/Comuni__2[[#This Row],[POPOLAZIONE TOTALE DI OGNI REGIONE (CON FILTRO)]]</f>
        <v>2.8729973389738061E-4</v>
      </c>
      <c r="H3305" t="str">
        <f>IF(Comuni__2[[#This Row],[Popolazione2011]]&gt;300000,"MAGGIORE","")</f>
        <v/>
      </c>
      <c r="J3305">
        <v>158</v>
      </c>
      <c r="K3305">
        <v>26580</v>
      </c>
      <c r="L3305">
        <v>4119</v>
      </c>
    </row>
    <row r="3306" spans="1:12" x14ac:dyDescent="0.2">
      <c r="A3306"/>
      <c r="B3306"/>
      <c r="C3306"/>
      <c r="D3306"/>
      <c r="E3306" s="2">
        <f>Comuni__2[[#This Row],[Popolazione2011]]/$D$7911</f>
        <v>4.676634298153224E-5</v>
      </c>
      <c r="F3306">
        <f>SUMIFS($D$2:$D$7909, $B$2:$B$7909, "Lombardia")</f>
        <v>9704151</v>
      </c>
      <c r="G3306" s="1">
        <f>Comuni__2[[#This Row],[Popolazione2011]]/Comuni__2[[#This Row],[POPOLAZIONE TOTALE DI OGNI REGIONE (CON FILTRO)]]</f>
        <v>2.8637229573200167E-4</v>
      </c>
      <c r="H3306" t="str">
        <f>IF(Comuni__2[[#This Row],[Popolazione2011]]&gt;300000,"MAGGIORE","")</f>
        <v/>
      </c>
      <c r="J3306">
        <v>156</v>
      </c>
      <c r="K3306">
        <v>26584</v>
      </c>
      <c r="L3306">
        <v>4120</v>
      </c>
    </row>
    <row r="3307" spans="1:12" x14ac:dyDescent="0.2">
      <c r="A3307"/>
      <c r="B3307"/>
      <c r="C3307"/>
      <c r="D3307"/>
      <c r="E3307" s="2">
        <f>Comuni__2[[#This Row],[Popolazione2011]]/$D$7911</f>
        <v>4.6699029065761775E-5</v>
      </c>
      <c r="F3307">
        <f>SUMIFS($D$2:$D$7909, $B$2:$B$7909, "Lombardia")</f>
        <v>9704151</v>
      </c>
      <c r="G3307" s="1">
        <f>Comuni__2[[#This Row],[Popolazione2011]]/Comuni__2[[#This Row],[POPOLAZIONE TOTALE DI OGNI REGIONE (CON FILTRO)]]</f>
        <v>2.8596010099183331E-4</v>
      </c>
      <c r="H3307" t="str">
        <f>IF(Comuni__2[[#This Row],[Popolazione2011]]&gt;300000,"MAGGIORE","")</f>
        <v/>
      </c>
      <c r="J3307">
        <v>150</v>
      </c>
      <c r="K3307">
        <v>26609</v>
      </c>
      <c r="L3307">
        <v>4123</v>
      </c>
    </row>
    <row r="3308" spans="1:12" x14ac:dyDescent="0.2">
      <c r="A3308"/>
      <c r="B3308"/>
      <c r="C3308"/>
      <c r="D3308"/>
      <c r="E3308" s="2">
        <f>Comuni__2[[#This Row],[Popolazione2011]]/$D$7911</f>
        <v>4.6598058192106072E-5</v>
      </c>
      <c r="F3308">
        <f>SUMIFS($D$2:$D$7909, $B$2:$B$7909, "Lombardia")</f>
        <v>9704151</v>
      </c>
      <c r="G3308" s="1">
        <f>Comuni__2[[#This Row],[Popolazione2011]]/Comuni__2[[#This Row],[POPOLAZIONE TOTALE DI OGNI REGIONE (CON FILTRO)]]</f>
        <v>2.8534180888158068E-4</v>
      </c>
      <c r="H3308" t="str">
        <f>IF(Comuni__2[[#This Row],[Popolazione2011]]&gt;300000,"MAGGIORE","")</f>
        <v/>
      </c>
      <c r="J3308">
        <v>152</v>
      </c>
      <c r="K3308">
        <v>26646</v>
      </c>
      <c r="L3308">
        <v>4123</v>
      </c>
    </row>
    <row r="3309" spans="1:12" x14ac:dyDescent="0.2">
      <c r="A3309"/>
      <c r="B3309"/>
      <c r="C3309"/>
      <c r="D3309"/>
      <c r="E3309" s="2">
        <f>Comuni__2[[#This Row],[Popolazione2011]]/$D$7911</f>
        <v>4.6480258839507759E-5</v>
      </c>
      <c r="F3309">
        <f>SUMIFS($D$2:$D$7909, $B$2:$B$7909, "Lombardia")</f>
        <v>9704151</v>
      </c>
      <c r="G3309" s="1">
        <f>Comuni__2[[#This Row],[Popolazione2011]]/Comuni__2[[#This Row],[POPOLAZIONE TOTALE DI OGNI REGIONE (CON FILTRO)]]</f>
        <v>2.8462046808628595E-4</v>
      </c>
      <c r="H3309" t="str">
        <f>IF(Comuni__2[[#This Row],[Popolazione2011]]&gt;300000,"MAGGIORE","")</f>
        <v/>
      </c>
      <c r="J3309">
        <v>150</v>
      </c>
      <c r="K3309">
        <v>26659</v>
      </c>
      <c r="L3309">
        <v>4123</v>
      </c>
    </row>
    <row r="3310" spans="1:12" x14ac:dyDescent="0.2">
      <c r="A3310"/>
      <c r="B3310"/>
      <c r="C3310"/>
      <c r="D3310"/>
      <c r="E3310" s="2">
        <f>Comuni__2[[#This Row],[Popolazione2011]]/$D$7911</f>
        <v>4.644660188162252E-5</v>
      </c>
      <c r="F3310">
        <f>SUMIFS($D$2:$D$7909, $B$2:$B$7909, "Lombardia")</f>
        <v>9704151</v>
      </c>
      <c r="G3310" s="1">
        <f>Comuni__2[[#This Row],[Popolazione2011]]/Comuni__2[[#This Row],[POPOLAZIONE TOTALE DI OGNI REGIONE (CON FILTRO)]]</f>
        <v>2.8441437071620175E-4</v>
      </c>
      <c r="H3310" t="str">
        <f>IF(Comuni__2[[#This Row],[Popolazione2011]]&gt;300000,"MAGGIORE","")</f>
        <v/>
      </c>
      <c r="J3310">
        <v>152</v>
      </c>
      <c r="K3310">
        <v>26679</v>
      </c>
      <c r="L3310">
        <v>4123</v>
      </c>
    </row>
    <row r="3311" spans="1:12" x14ac:dyDescent="0.2">
      <c r="A3311"/>
      <c r="B3311"/>
      <c r="C3311"/>
      <c r="D3311"/>
      <c r="E3311" s="2">
        <f>Comuni__2[[#This Row],[Popolazione2011]]/$D$7911</f>
        <v>4.6396116444794671E-5</v>
      </c>
      <c r="F3311">
        <f>SUMIFS($D$2:$D$7909, $B$2:$B$7909, "Lombardia")</f>
        <v>9704151</v>
      </c>
      <c r="G3311" s="1">
        <f>Comuni__2[[#This Row],[Popolazione2011]]/Comuni__2[[#This Row],[POPOLAZIONE TOTALE DI OGNI REGIONE (CON FILTRO)]]</f>
        <v>2.8410522466107543E-4</v>
      </c>
      <c r="H3311" t="str">
        <f>IF(Comuni__2[[#This Row],[Popolazione2011]]&gt;300000,"MAGGIORE","")</f>
        <v/>
      </c>
      <c r="J3311">
        <v>146</v>
      </c>
      <c r="K3311">
        <v>26677</v>
      </c>
      <c r="L3311">
        <v>4125</v>
      </c>
    </row>
    <row r="3312" spans="1:12" x14ac:dyDescent="0.2">
      <c r="A3312"/>
      <c r="B3312"/>
      <c r="C3312"/>
      <c r="D3312"/>
      <c r="E3312" s="2">
        <f>Comuni__2[[#This Row],[Popolazione2011]]/$D$7911</f>
        <v>4.6345631007966823E-5</v>
      </c>
      <c r="F3312">
        <f>SUMIFS($D$2:$D$7909, $B$2:$B$7909, "Lombardia")</f>
        <v>9704151</v>
      </c>
      <c r="G3312" s="1">
        <f>Comuni__2[[#This Row],[Popolazione2011]]/Comuni__2[[#This Row],[POPOLAZIONE TOTALE DI OGNI REGIONE (CON FILTRO)]]</f>
        <v>2.8379607860594912E-4</v>
      </c>
      <c r="H3312" t="str">
        <f>IF(Comuni__2[[#This Row],[Popolazione2011]]&gt;300000,"MAGGIORE","")</f>
        <v/>
      </c>
      <c r="J3312">
        <v>148</v>
      </c>
      <c r="K3312">
        <v>26678</v>
      </c>
      <c r="L3312">
        <v>4126</v>
      </c>
    </row>
    <row r="3313" spans="1:12" x14ac:dyDescent="0.2">
      <c r="A3313"/>
      <c r="B3313"/>
      <c r="C3313"/>
      <c r="D3313"/>
      <c r="E3313" s="2">
        <f>Comuni__2[[#This Row],[Popolazione2011]]/$D$7911</f>
        <v>4.5773462723917848E-5</v>
      </c>
      <c r="F3313">
        <f>SUMIFS($D$2:$D$7909, $B$2:$B$7909, "Lombardia")</f>
        <v>9704151</v>
      </c>
      <c r="G3313" s="1">
        <f>Comuni__2[[#This Row],[Popolazione2011]]/Comuni__2[[#This Row],[POPOLAZIONE TOTALE DI OGNI REGIONE (CON FILTRO)]]</f>
        <v>2.8029242331451768E-4</v>
      </c>
      <c r="H3313" t="str">
        <f>IF(Comuni__2[[#This Row],[Popolazione2011]]&gt;300000,"MAGGIORE","")</f>
        <v/>
      </c>
      <c r="J3313">
        <v>146</v>
      </c>
      <c r="K3313">
        <v>26681</v>
      </c>
      <c r="L3313">
        <v>4127</v>
      </c>
    </row>
    <row r="3314" spans="1:12" x14ac:dyDescent="0.2">
      <c r="A3314"/>
      <c r="B3314"/>
      <c r="C3314"/>
      <c r="D3314"/>
      <c r="E3314" s="2">
        <f>Comuni__2[[#This Row],[Popolazione2011]]/$D$7911</f>
        <v>4.5655663371319528E-5</v>
      </c>
      <c r="F3314">
        <f>SUMIFS($D$2:$D$7909, $B$2:$B$7909, "Lombardia")</f>
        <v>9704151</v>
      </c>
      <c r="G3314" s="1">
        <f>Comuni__2[[#This Row],[Popolazione2011]]/Comuni__2[[#This Row],[POPOLAZIONE TOTALE DI OGNI REGIONE (CON FILTRO)]]</f>
        <v>2.7957108251922295E-4</v>
      </c>
      <c r="H3314" t="str">
        <f>IF(Comuni__2[[#This Row],[Popolazione2011]]&gt;300000,"MAGGIORE","")</f>
        <v/>
      </c>
      <c r="J3314">
        <v>141</v>
      </c>
      <c r="K3314">
        <v>26694</v>
      </c>
      <c r="L3314">
        <v>4127</v>
      </c>
    </row>
    <row r="3315" spans="1:12" x14ac:dyDescent="0.2">
      <c r="A3315"/>
      <c r="B3315"/>
      <c r="C3315"/>
      <c r="D3315"/>
      <c r="E3315" s="2">
        <f>Comuni__2[[#This Row],[Popolazione2011]]/$D$7911</f>
        <v>4.5638834892376912E-5</v>
      </c>
      <c r="F3315">
        <f>SUMIFS($D$2:$D$7909, $B$2:$B$7909, "Lombardia")</f>
        <v>9704151</v>
      </c>
      <c r="G3315" s="1">
        <f>Comuni__2[[#This Row],[Popolazione2011]]/Comuni__2[[#This Row],[POPOLAZIONE TOTALE DI OGNI REGIONE (CON FILTRO)]]</f>
        <v>2.7946803383418085E-4</v>
      </c>
      <c r="H3315" t="str">
        <f>IF(Comuni__2[[#This Row],[Popolazione2011]]&gt;300000,"MAGGIORE","")</f>
        <v/>
      </c>
      <c r="J3315">
        <v>129</v>
      </c>
      <c r="K3315">
        <v>26707</v>
      </c>
      <c r="L3315">
        <v>4128</v>
      </c>
    </row>
    <row r="3316" spans="1:12" x14ac:dyDescent="0.2">
      <c r="A3316"/>
      <c r="B3316"/>
      <c r="C3316"/>
      <c r="D3316"/>
      <c r="E3316" s="2">
        <f>Comuni__2[[#This Row],[Popolazione2011]]/$D$7911</f>
        <v>4.548737858189336E-5</v>
      </c>
      <c r="F3316">
        <f>SUMIFS($D$2:$D$7909, $B$2:$B$7909, "Lombardia")</f>
        <v>9704151</v>
      </c>
      <c r="G3316" s="1">
        <f>Comuni__2[[#This Row],[Popolazione2011]]/Comuni__2[[#This Row],[POPOLAZIONE TOTALE DI OGNI REGIONE (CON FILTRO)]]</f>
        <v>2.7854059566880196E-4</v>
      </c>
      <c r="H3316" t="str">
        <f>IF(Comuni__2[[#This Row],[Popolazione2011]]&gt;300000,"MAGGIORE","")</f>
        <v/>
      </c>
      <c r="J3316">
        <v>129</v>
      </c>
      <c r="K3316">
        <v>26728</v>
      </c>
      <c r="L3316">
        <v>4128</v>
      </c>
    </row>
    <row r="3317" spans="1:12" x14ac:dyDescent="0.2">
      <c r="A3317"/>
      <c r="B3317"/>
      <c r="C3317"/>
      <c r="D3317"/>
      <c r="E3317" s="2">
        <f>Comuni__2[[#This Row],[Popolazione2011]]/$D$7911</f>
        <v>4.5234951397754111E-5</v>
      </c>
      <c r="F3317">
        <f>SUMIFS($D$2:$D$7909, $B$2:$B$7909, "Lombardia")</f>
        <v>9704151</v>
      </c>
      <c r="G3317" s="1">
        <f>Comuni__2[[#This Row],[Popolazione2011]]/Comuni__2[[#This Row],[POPOLAZIONE TOTALE DI OGNI REGIONE (CON FILTRO)]]</f>
        <v>2.769948653931704E-4</v>
      </c>
      <c r="H3317" t="str">
        <f>IF(Comuni__2[[#This Row],[Popolazione2011]]&gt;300000,"MAGGIORE","")</f>
        <v/>
      </c>
      <c r="J3317">
        <v>108</v>
      </c>
      <c r="K3317">
        <v>26739</v>
      </c>
      <c r="L3317">
        <v>4129</v>
      </c>
    </row>
    <row r="3318" spans="1:12" x14ac:dyDescent="0.2">
      <c r="A3318"/>
      <c r="B3318"/>
      <c r="C3318"/>
      <c r="D3318"/>
      <c r="E3318" s="2">
        <f>Comuni__2[[#This Row],[Popolazione2011]]/$D$7911</f>
        <v>4.5218122918811488E-5</v>
      </c>
      <c r="F3318">
        <f>SUMIFS($D$2:$D$7909, $B$2:$B$7909, "Lombardia")</f>
        <v>9704151</v>
      </c>
      <c r="G3318" s="1">
        <f>Comuni__2[[#This Row],[Popolazione2011]]/Comuni__2[[#This Row],[POPOLAZIONE TOTALE DI OGNI REGIONE (CON FILTRO)]]</f>
        <v>2.7689181670812829E-4</v>
      </c>
      <c r="H3318" t="str">
        <f>IF(Comuni__2[[#This Row],[Popolazione2011]]&gt;300000,"MAGGIORE","")</f>
        <v/>
      </c>
      <c r="J3318">
        <v>101</v>
      </c>
      <c r="K3318">
        <v>26753</v>
      </c>
      <c r="L3318">
        <v>4129</v>
      </c>
    </row>
    <row r="3319" spans="1:12" x14ac:dyDescent="0.2">
      <c r="A3319"/>
      <c r="B3319"/>
      <c r="C3319"/>
      <c r="D3319"/>
      <c r="E3319" s="2">
        <f>Comuni__2[[#This Row],[Popolazione2011]]/$D$7911</f>
        <v>4.5201294439868872E-5</v>
      </c>
      <c r="F3319">
        <f>SUMIFS($D$2:$D$7909, $B$2:$B$7909, "Lombardia")</f>
        <v>9704151</v>
      </c>
      <c r="G3319" s="1">
        <f>Comuni__2[[#This Row],[Popolazione2011]]/Comuni__2[[#This Row],[POPOLAZIONE TOTALE DI OGNI REGIONE (CON FILTRO)]]</f>
        <v>2.7678876802308619E-4</v>
      </c>
      <c r="H3319" t="str">
        <f>IF(Comuni__2[[#This Row],[Popolazione2011]]&gt;300000,"MAGGIORE","")</f>
        <v/>
      </c>
      <c r="J3319">
        <v>100</v>
      </c>
      <c r="K3319">
        <v>26759</v>
      </c>
      <c r="L3319">
        <v>4129</v>
      </c>
    </row>
    <row r="3320" spans="1:12" x14ac:dyDescent="0.2">
      <c r="A3320"/>
      <c r="B3320"/>
      <c r="C3320"/>
      <c r="D3320"/>
      <c r="E3320" s="2">
        <f>Comuni__2[[#This Row],[Popolazione2011]]/$D$7911</f>
        <v>4.5117152045155792E-5</v>
      </c>
      <c r="F3320">
        <f>SUMIFS($D$2:$D$7909, $B$2:$B$7909, "Lombardia")</f>
        <v>9704151</v>
      </c>
      <c r="G3320" s="1">
        <f>Comuni__2[[#This Row],[Popolazione2011]]/Comuni__2[[#This Row],[POPOLAZIONE TOTALE DI OGNI REGIONE (CON FILTRO)]]</f>
        <v>2.7627352459787567E-4</v>
      </c>
      <c r="H3320" t="str">
        <f>IF(Comuni__2[[#This Row],[Popolazione2011]]&gt;300000,"MAGGIORE","")</f>
        <v/>
      </c>
      <c r="J3320">
        <v>100</v>
      </c>
      <c r="K3320">
        <v>26767</v>
      </c>
      <c r="L3320">
        <v>4131</v>
      </c>
    </row>
    <row r="3321" spans="1:12" x14ac:dyDescent="0.2">
      <c r="A3321"/>
      <c r="B3321"/>
      <c r="C3321"/>
      <c r="D3321"/>
      <c r="E3321" s="2">
        <f>Comuni__2[[#This Row],[Popolazione2011]]/$D$7911</f>
        <v>4.5083495087270559E-5</v>
      </c>
      <c r="F3321">
        <f>SUMIFS($D$2:$D$7909, $B$2:$B$7909, "Lombardia")</f>
        <v>9704151</v>
      </c>
      <c r="G3321" s="1">
        <f>Comuni__2[[#This Row],[Popolazione2011]]/Comuni__2[[#This Row],[POPOLAZIONE TOTALE DI OGNI REGIONE (CON FILTRO)]]</f>
        <v>2.7606742722779151E-4</v>
      </c>
      <c r="H3321" t="str">
        <f>IF(Comuni__2[[#This Row],[Popolazione2011]]&gt;300000,"MAGGIORE","")</f>
        <v/>
      </c>
      <c r="J3321">
        <v>107</v>
      </c>
      <c r="K3321">
        <v>26789</v>
      </c>
      <c r="L3321">
        <v>4132</v>
      </c>
    </row>
    <row r="3322" spans="1:12" x14ac:dyDescent="0.2">
      <c r="A3322"/>
      <c r="B3322"/>
      <c r="C3322"/>
      <c r="D3322"/>
      <c r="E3322" s="2">
        <f>Comuni__2[[#This Row],[Popolazione2011]]/$D$7911</f>
        <v>4.4780582466303456E-5</v>
      </c>
      <c r="F3322">
        <f>SUMIFS($D$2:$D$7909, $B$2:$B$7909, "Lombardia")</f>
        <v>9704151</v>
      </c>
      <c r="G3322" s="1">
        <f>Comuni__2[[#This Row],[Popolazione2011]]/Comuni__2[[#This Row],[POPOLAZIONE TOTALE DI OGNI REGIONE (CON FILTRO)]]</f>
        <v>2.7421255089703364E-4</v>
      </c>
      <c r="H3322" t="str">
        <f>IF(Comuni__2[[#This Row],[Popolazione2011]]&gt;300000,"MAGGIORE","")</f>
        <v/>
      </c>
      <c r="J3322">
        <v>98</v>
      </c>
      <c r="K3322">
        <v>26826</v>
      </c>
      <c r="L3322">
        <v>4134</v>
      </c>
    </row>
    <row r="3323" spans="1:12" x14ac:dyDescent="0.2">
      <c r="A3323"/>
      <c r="B3323"/>
      <c r="C3323"/>
      <c r="D3323"/>
      <c r="E3323" s="2">
        <f>Comuni__2[[#This Row],[Popolazione2011]]/$D$7911</f>
        <v>4.4746925508418216E-5</v>
      </c>
      <c r="F3323">
        <f>SUMIFS($D$2:$D$7909, $B$2:$B$7909, "Lombardia")</f>
        <v>9704151</v>
      </c>
      <c r="G3323" s="1">
        <f>Comuni__2[[#This Row],[Popolazione2011]]/Comuni__2[[#This Row],[POPOLAZIONE TOTALE DI OGNI REGIONE (CON FILTRO)]]</f>
        <v>2.7400645352694943E-4</v>
      </c>
      <c r="H3323" t="str">
        <f>IF(Comuni__2[[#This Row],[Popolazione2011]]&gt;300000,"MAGGIORE","")</f>
        <v/>
      </c>
      <c r="J3323">
        <v>94</v>
      </c>
      <c r="K3323">
        <v>26849</v>
      </c>
      <c r="L3323">
        <v>4135</v>
      </c>
    </row>
    <row r="3324" spans="1:12" x14ac:dyDescent="0.2">
      <c r="A3324"/>
      <c r="B3324"/>
      <c r="C3324"/>
      <c r="D3324"/>
      <c r="E3324" s="2">
        <f>Comuni__2[[#This Row],[Popolazione2011]]/$D$7911</f>
        <v>4.4713268550532984E-5</v>
      </c>
      <c r="F3324">
        <f>SUMIFS($D$2:$D$7909, $B$2:$B$7909, "Lombardia")</f>
        <v>9704151</v>
      </c>
      <c r="G3324" s="1">
        <f>Comuni__2[[#This Row],[Popolazione2011]]/Comuni__2[[#This Row],[POPOLAZIONE TOTALE DI OGNI REGIONE (CON FILTRO)]]</f>
        <v>2.7380035615686522E-4</v>
      </c>
      <c r="H3324" t="str">
        <f>IF(Comuni__2[[#This Row],[Popolazione2011]]&gt;300000,"MAGGIORE","")</f>
        <v/>
      </c>
      <c r="J3324">
        <v>91</v>
      </c>
      <c r="K3324">
        <v>26871</v>
      </c>
      <c r="L3324">
        <v>4136</v>
      </c>
    </row>
    <row r="3325" spans="1:12" x14ac:dyDescent="0.2">
      <c r="A3325"/>
      <c r="B3325"/>
      <c r="C3325"/>
      <c r="D3325"/>
      <c r="E3325" s="2">
        <f>Comuni__2[[#This Row],[Popolazione2011]]/$D$7911</f>
        <v>4.4696440071590368E-5</v>
      </c>
      <c r="F3325">
        <f>SUMIFS($D$2:$D$7909, $B$2:$B$7909, "Lombardia")</f>
        <v>9704151</v>
      </c>
      <c r="G3325" s="1">
        <f>Comuni__2[[#This Row],[Popolazione2011]]/Comuni__2[[#This Row],[POPOLAZIONE TOTALE DI OGNI REGIONE (CON FILTRO)]]</f>
        <v>2.7369730747182311E-4</v>
      </c>
      <c r="H3325" t="str">
        <f>IF(Comuni__2[[#This Row],[Popolazione2011]]&gt;300000,"MAGGIORE","")</f>
        <v/>
      </c>
      <c r="J3325">
        <v>90</v>
      </c>
      <c r="K3325">
        <v>26904</v>
      </c>
      <c r="L3325">
        <v>4136</v>
      </c>
    </row>
    <row r="3326" spans="1:12" x14ac:dyDescent="0.2">
      <c r="A3326"/>
      <c r="B3326"/>
      <c r="C3326"/>
      <c r="D3326"/>
      <c r="E3326" s="2">
        <f>Comuni__2[[#This Row],[Popolazione2011]]/$D$7911</f>
        <v>4.4696440071590368E-5</v>
      </c>
      <c r="F3326">
        <f>SUMIFS($D$2:$D$7909, $B$2:$B$7909, "Lombardia")</f>
        <v>9704151</v>
      </c>
      <c r="G3326" s="1">
        <f>Comuni__2[[#This Row],[Popolazione2011]]/Comuni__2[[#This Row],[POPOLAZIONE TOTALE DI OGNI REGIONE (CON FILTRO)]]</f>
        <v>2.7369730747182311E-4</v>
      </c>
      <c r="H3326" t="str">
        <f>IF(Comuni__2[[#This Row],[Popolazione2011]]&gt;300000,"MAGGIORE","")</f>
        <v/>
      </c>
      <c r="J3326">
        <v>88</v>
      </c>
      <c r="K3326">
        <v>26910</v>
      </c>
      <c r="L3326">
        <v>4136</v>
      </c>
    </row>
    <row r="3327" spans="1:12" x14ac:dyDescent="0.2">
      <c r="A3327"/>
      <c r="B3327"/>
      <c r="C3327"/>
      <c r="D3327"/>
      <c r="E3327" s="2">
        <f>Comuni__2[[#This Row],[Popolazione2011]]/$D$7911</f>
        <v>4.464595463476252E-5</v>
      </c>
      <c r="F3327">
        <f>SUMIFS($D$2:$D$7909, $B$2:$B$7909, "Lombardia")</f>
        <v>9704151</v>
      </c>
      <c r="G3327" s="1">
        <f>Comuni__2[[#This Row],[Popolazione2011]]/Comuni__2[[#This Row],[POPOLAZIONE TOTALE DI OGNI REGIONE (CON FILTRO)]]</f>
        <v>2.7338816141669685E-4</v>
      </c>
      <c r="H3327" t="str">
        <f>IF(Comuni__2[[#This Row],[Popolazione2011]]&gt;300000,"MAGGIORE","")</f>
        <v/>
      </c>
      <c r="J3327">
        <v>90</v>
      </c>
      <c r="K3327">
        <v>26943</v>
      </c>
      <c r="L3327">
        <v>4136</v>
      </c>
    </row>
    <row r="3328" spans="1:12" x14ac:dyDescent="0.2">
      <c r="A3328"/>
      <c r="B3328"/>
      <c r="C3328"/>
      <c r="D3328"/>
      <c r="E3328" s="2">
        <f>Comuni__2[[#This Row],[Popolazione2011]]/$D$7911</f>
        <v>4.464595463476252E-5</v>
      </c>
      <c r="F3328">
        <f>SUMIFS($D$2:$D$7909, $B$2:$B$7909, "Lombardia")</f>
        <v>9704151</v>
      </c>
      <c r="G3328" s="1">
        <f>Comuni__2[[#This Row],[Popolazione2011]]/Comuni__2[[#This Row],[POPOLAZIONE TOTALE DI OGNI REGIONE (CON FILTRO)]]</f>
        <v>2.7338816141669685E-4</v>
      </c>
      <c r="H3328" t="str">
        <f>IF(Comuni__2[[#This Row],[Popolazione2011]]&gt;300000,"MAGGIORE","")</f>
        <v/>
      </c>
      <c r="J3328">
        <v>88</v>
      </c>
      <c r="K3328">
        <v>26956</v>
      </c>
      <c r="L3328">
        <v>4136</v>
      </c>
    </row>
    <row r="3329" spans="1:12" x14ac:dyDescent="0.2">
      <c r="A3329"/>
      <c r="B3329"/>
      <c r="C3329"/>
      <c r="D3329"/>
      <c r="E3329" s="2">
        <f>Comuni__2[[#This Row],[Popolazione2011]]/$D$7911</f>
        <v>4.4629126155819904E-5</v>
      </c>
      <c r="F3329">
        <f>SUMIFS($D$2:$D$7909, $B$2:$B$7909, "Lombardia")</f>
        <v>9704151</v>
      </c>
      <c r="G3329" s="1">
        <f>Comuni__2[[#This Row],[Popolazione2011]]/Comuni__2[[#This Row],[POPOLAZIONE TOTALE DI OGNI REGIONE (CON FILTRO)]]</f>
        <v>2.7328511273165475E-4</v>
      </c>
      <c r="H3329" t="str">
        <f>IF(Comuni__2[[#This Row],[Popolazione2011]]&gt;300000,"MAGGIORE","")</f>
        <v/>
      </c>
      <c r="J3329">
        <v>79</v>
      </c>
      <c r="K3329">
        <v>26963</v>
      </c>
      <c r="L3329">
        <v>4138</v>
      </c>
    </row>
    <row r="3330" spans="1:12" x14ac:dyDescent="0.2">
      <c r="A3330"/>
      <c r="B3330"/>
      <c r="C3330"/>
      <c r="D3330"/>
      <c r="E3330" s="2">
        <f>Comuni__2[[#This Row],[Popolazione2011]]/$D$7911</f>
        <v>4.4544983761106816E-5</v>
      </c>
      <c r="F3330">
        <f>SUMIFS($D$2:$D$7909, $B$2:$B$7909, "Lombardia")</f>
        <v>9704151</v>
      </c>
      <c r="G3330" s="1">
        <f>Comuni__2[[#This Row],[Popolazione2011]]/Comuni__2[[#This Row],[POPOLAZIONE TOTALE DI OGNI REGIONE (CON FILTRO)]]</f>
        <v>2.7276986930644423E-4</v>
      </c>
      <c r="H3330" t="str">
        <f>IF(Comuni__2[[#This Row],[Popolazione2011]]&gt;300000,"MAGGIORE","")</f>
        <v/>
      </c>
      <c r="J3330">
        <v>80</v>
      </c>
      <c r="K3330">
        <v>26979</v>
      </c>
      <c r="L3330">
        <v>4139</v>
      </c>
    </row>
    <row r="3331" spans="1:12" x14ac:dyDescent="0.2">
      <c r="A3331"/>
      <c r="B3331"/>
      <c r="C3331"/>
      <c r="D3331"/>
      <c r="E3331" s="2">
        <f>Comuni__2[[#This Row],[Popolazione2011]]/$D$7911</f>
        <v>4.4258899619082329E-5</v>
      </c>
      <c r="F3331">
        <f>SUMIFS($D$2:$D$7909, $B$2:$B$7909, "Lombardia")</f>
        <v>9704151</v>
      </c>
      <c r="G3331" s="1">
        <f>Comuni__2[[#This Row],[Popolazione2011]]/Comuni__2[[#This Row],[POPOLAZIONE TOTALE DI OGNI REGIONE (CON FILTRO)]]</f>
        <v>2.7101804166072851E-4</v>
      </c>
      <c r="H3331" t="str">
        <f>IF(Comuni__2[[#This Row],[Popolazione2011]]&gt;300000,"MAGGIORE","")</f>
        <v/>
      </c>
      <c r="J3331">
        <v>80</v>
      </c>
      <c r="K3331">
        <v>26984</v>
      </c>
      <c r="L3331">
        <v>4139</v>
      </c>
    </row>
    <row r="3332" spans="1:12" x14ac:dyDescent="0.2">
      <c r="A3332"/>
      <c r="B3332"/>
      <c r="C3332"/>
      <c r="D3332"/>
      <c r="E3332" s="2">
        <f>Comuni__2[[#This Row],[Popolazione2011]]/$D$7911</f>
        <v>4.4157928745426632E-5</v>
      </c>
      <c r="F3332">
        <f>SUMIFS($D$2:$D$7909, $B$2:$B$7909, "Lombardia")</f>
        <v>9704151</v>
      </c>
      <c r="G3332" s="1">
        <f>Comuni__2[[#This Row],[Popolazione2011]]/Comuni__2[[#This Row],[POPOLAZIONE TOTALE DI OGNI REGIONE (CON FILTRO)]]</f>
        <v>2.7039974955047588E-4</v>
      </c>
      <c r="H3332" t="str">
        <f>IF(Comuni__2[[#This Row],[Popolazione2011]]&gt;300000,"MAGGIORE","")</f>
        <v/>
      </c>
      <c r="J3332">
        <v>84</v>
      </c>
      <c r="K3332">
        <v>27025</v>
      </c>
      <c r="L3332">
        <v>4139</v>
      </c>
    </row>
    <row r="3333" spans="1:12" x14ac:dyDescent="0.2">
      <c r="A3333"/>
      <c r="B3333"/>
      <c r="C3333"/>
      <c r="D3333"/>
      <c r="E3333" s="2">
        <f>Comuni__2[[#This Row],[Popolazione2011]]/$D$7911</f>
        <v>4.4107443308598777E-5</v>
      </c>
      <c r="F3333">
        <f>SUMIFS($D$2:$D$7909, $B$2:$B$7909, "Lombardia")</f>
        <v>9704151</v>
      </c>
      <c r="G3333" s="1">
        <f>Comuni__2[[#This Row],[Popolazione2011]]/Comuni__2[[#This Row],[POPOLAZIONE TOTALE DI OGNI REGIONE (CON FILTRO)]]</f>
        <v>2.7009060349534957E-4</v>
      </c>
      <c r="H3333" t="str">
        <f>IF(Comuni__2[[#This Row],[Popolazione2011]]&gt;300000,"MAGGIORE","")</f>
        <v/>
      </c>
      <c r="J3333">
        <v>83</v>
      </c>
      <c r="K3333">
        <v>27080</v>
      </c>
      <c r="L3333">
        <v>4139</v>
      </c>
    </row>
    <row r="3334" spans="1:12" x14ac:dyDescent="0.2">
      <c r="A3334"/>
      <c r="B3334"/>
      <c r="C3334"/>
      <c r="D3334"/>
      <c r="E3334" s="2">
        <f>Comuni__2[[#This Row],[Popolazione2011]]/$D$7911</f>
        <v>4.4073786350713544E-5</v>
      </c>
      <c r="F3334">
        <f>SUMIFS($D$2:$D$7909, $B$2:$B$7909, "Lombardia")</f>
        <v>9704151</v>
      </c>
      <c r="G3334" s="1">
        <f>Comuni__2[[#This Row],[Popolazione2011]]/Comuni__2[[#This Row],[POPOLAZIONE TOTALE DI OGNI REGIONE (CON FILTRO)]]</f>
        <v>2.6988450612526536E-4</v>
      </c>
      <c r="H3334" t="str">
        <f>IF(Comuni__2[[#This Row],[Popolazione2011]]&gt;300000,"MAGGIORE","")</f>
        <v/>
      </c>
      <c r="J3334">
        <v>77</v>
      </c>
      <c r="K3334">
        <v>27086</v>
      </c>
      <c r="L3334">
        <v>4140</v>
      </c>
    </row>
    <row r="3335" spans="1:12" x14ac:dyDescent="0.2">
      <c r="A3335"/>
      <c r="B3335"/>
      <c r="C3335"/>
      <c r="D3335"/>
      <c r="E3335" s="2">
        <f>Comuni__2[[#This Row],[Popolazione2011]]/$D$7911</f>
        <v>4.4040129392828312E-5</v>
      </c>
      <c r="F3335">
        <f>SUMIFS($D$2:$D$7909, $B$2:$B$7909, "Lombardia")</f>
        <v>9704151</v>
      </c>
      <c r="G3335" s="1">
        <f>Comuni__2[[#This Row],[Popolazione2011]]/Comuni__2[[#This Row],[POPOLAZIONE TOTALE DI OGNI REGIONE (CON FILTRO)]]</f>
        <v>2.6967840875518115E-4</v>
      </c>
      <c r="H3335" t="str">
        <f>IF(Comuni__2[[#This Row],[Popolazione2011]]&gt;300000,"MAGGIORE","")</f>
        <v/>
      </c>
      <c r="J3335">
        <v>83</v>
      </c>
      <c r="K3335">
        <v>27089</v>
      </c>
      <c r="L3335">
        <v>4141</v>
      </c>
    </row>
    <row r="3336" spans="1:12" x14ac:dyDescent="0.2">
      <c r="A3336"/>
      <c r="B3336"/>
      <c r="C3336"/>
      <c r="D3336"/>
      <c r="E3336" s="2">
        <f>Comuni__2[[#This Row],[Popolazione2011]]/$D$7911</f>
        <v>4.4023300913885696E-5</v>
      </c>
      <c r="F3336">
        <f>SUMIFS($D$2:$D$7909, $B$2:$B$7909, "Lombardia")</f>
        <v>9704151</v>
      </c>
      <c r="G3336" s="1">
        <f>Comuni__2[[#This Row],[Popolazione2011]]/Comuni__2[[#This Row],[POPOLAZIONE TOTALE DI OGNI REGIONE (CON FILTRO)]]</f>
        <v>2.6957536007013905E-4</v>
      </c>
      <c r="H3336" t="str">
        <f>IF(Comuni__2[[#This Row],[Popolazione2011]]&gt;300000,"MAGGIORE","")</f>
        <v/>
      </c>
      <c r="J3336">
        <v>84</v>
      </c>
      <c r="K3336">
        <v>27096</v>
      </c>
      <c r="L3336">
        <v>4142</v>
      </c>
    </row>
    <row r="3337" spans="1:12" x14ac:dyDescent="0.2">
      <c r="A3337"/>
      <c r="B3337"/>
      <c r="C3337"/>
      <c r="D3337"/>
      <c r="E3337" s="2">
        <f>Comuni__2[[#This Row],[Popolazione2011]]/$D$7911</f>
        <v>4.3955986998115225E-5</v>
      </c>
      <c r="F3337">
        <f>SUMIFS($D$2:$D$7909, $B$2:$B$7909, "Lombardia")</f>
        <v>9704151</v>
      </c>
      <c r="G3337" s="1">
        <f>Comuni__2[[#This Row],[Popolazione2011]]/Comuni__2[[#This Row],[POPOLAZIONE TOTALE DI OGNI REGIONE (CON FILTRO)]]</f>
        <v>2.6916316532997063E-4</v>
      </c>
      <c r="H3337" t="str">
        <f>IF(Comuni__2[[#This Row],[Popolazione2011]]&gt;300000,"MAGGIORE","")</f>
        <v/>
      </c>
      <c r="J3337">
        <v>86</v>
      </c>
      <c r="K3337">
        <v>27102</v>
      </c>
      <c r="L3337">
        <v>4142</v>
      </c>
    </row>
    <row r="3338" spans="1:12" x14ac:dyDescent="0.2">
      <c r="A3338"/>
      <c r="B3338"/>
      <c r="C3338"/>
      <c r="D3338"/>
      <c r="E3338" s="2">
        <f>Comuni__2[[#This Row],[Popolazione2011]]/$D$7911</f>
        <v>4.388867308234476E-5</v>
      </c>
      <c r="F3338">
        <f>SUMIFS($D$2:$D$7909, $B$2:$B$7909, "Lombardia")</f>
        <v>9704151</v>
      </c>
      <c r="G3338" s="1">
        <f>Comuni__2[[#This Row],[Popolazione2011]]/Comuni__2[[#This Row],[POPOLAZIONE TOTALE DI OGNI REGIONE (CON FILTRO)]]</f>
        <v>2.6875097058980221E-4</v>
      </c>
      <c r="H3338" t="str">
        <f>IF(Comuni__2[[#This Row],[Popolazione2011]]&gt;300000,"MAGGIORE","")</f>
        <v/>
      </c>
      <c r="J3338">
        <v>89</v>
      </c>
      <c r="K3338">
        <v>27117</v>
      </c>
      <c r="L3338">
        <v>4142</v>
      </c>
    </row>
    <row r="3339" spans="1:12" x14ac:dyDescent="0.2">
      <c r="A3339"/>
      <c r="B3339"/>
      <c r="C3339"/>
      <c r="D3339"/>
      <c r="E3339" s="2">
        <f>Comuni__2[[#This Row],[Popolazione2011]]/$D$7911</f>
        <v>4.3855016124459528E-5</v>
      </c>
      <c r="F3339">
        <f>SUMIFS($D$2:$D$7909, $B$2:$B$7909, "Lombardia")</f>
        <v>9704151</v>
      </c>
      <c r="G3339" s="1">
        <f>Comuni__2[[#This Row],[Popolazione2011]]/Comuni__2[[#This Row],[POPOLAZIONE TOTALE DI OGNI REGIONE (CON FILTRO)]]</f>
        <v>2.6854487321971806E-4</v>
      </c>
      <c r="H3339" t="str">
        <f>IF(Comuni__2[[#This Row],[Popolazione2011]]&gt;300000,"MAGGIORE","")</f>
        <v/>
      </c>
      <c r="J3339">
        <v>84</v>
      </c>
      <c r="K3339">
        <v>27127</v>
      </c>
      <c r="L3339">
        <v>4143</v>
      </c>
    </row>
    <row r="3340" spans="1:12" x14ac:dyDescent="0.2">
      <c r="A3340"/>
      <c r="B3340"/>
      <c r="C3340"/>
      <c r="D3340"/>
      <c r="E3340" s="2">
        <f>Comuni__2[[#This Row],[Popolazione2011]]/$D$7911</f>
        <v>4.3821359166574296E-5</v>
      </c>
      <c r="F3340">
        <f>SUMIFS($D$2:$D$7909, $B$2:$B$7909, "Lombardia")</f>
        <v>9704151</v>
      </c>
      <c r="G3340" s="1">
        <f>Comuni__2[[#This Row],[Popolazione2011]]/Comuni__2[[#This Row],[POPOLAZIONE TOTALE DI OGNI REGIONE (CON FILTRO)]]</f>
        <v>2.6833877584963385E-4</v>
      </c>
      <c r="H3340" t="str">
        <f>IF(Comuni__2[[#This Row],[Popolazione2011]]&gt;300000,"MAGGIORE","")</f>
        <v/>
      </c>
      <c r="J3340">
        <v>83</v>
      </c>
      <c r="K3340">
        <v>27139</v>
      </c>
      <c r="L3340">
        <v>4143</v>
      </c>
    </row>
    <row r="3341" spans="1:12" x14ac:dyDescent="0.2">
      <c r="A3341"/>
      <c r="B3341"/>
      <c r="C3341"/>
      <c r="D3341"/>
      <c r="E3341" s="2">
        <f>Comuni__2[[#This Row],[Popolazione2011]]/$D$7911</f>
        <v>4.3804530687631673E-5</v>
      </c>
      <c r="F3341">
        <f>SUMIFS($D$2:$D$7909, $B$2:$B$7909, "Lombardia")</f>
        <v>9704151</v>
      </c>
      <c r="G3341" s="1">
        <f>Comuni__2[[#This Row],[Popolazione2011]]/Comuni__2[[#This Row],[POPOLAZIONE TOTALE DI OGNI REGIONE (CON FILTRO)]]</f>
        <v>2.6823572716459175E-4</v>
      </c>
      <c r="H3341" t="str">
        <f>IF(Comuni__2[[#This Row],[Popolazione2011]]&gt;300000,"MAGGIORE","")</f>
        <v/>
      </c>
      <c r="J3341">
        <v>88</v>
      </c>
      <c r="K3341">
        <v>27145</v>
      </c>
      <c r="L3341">
        <v>4143</v>
      </c>
    </row>
    <row r="3342" spans="1:12" x14ac:dyDescent="0.2">
      <c r="A3342"/>
      <c r="B3342"/>
      <c r="C3342"/>
      <c r="D3342"/>
      <c r="E3342" s="2">
        <f>Comuni__2[[#This Row],[Popolazione2011]]/$D$7911</f>
        <v>4.3787702208689057E-5</v>
      </c>
      <c r="F3342">
        <f>SUMIFS($D$2:$D$7909, $B$2:$B$7909, "Lombardia")</f>
        <v>9704151</v>
      </c>
      <c r="G3342" s="1">
        <f>Comuni__2[[#This Row],[Popolazione2011]]/Comuni__2[[#This Row],[POPOLAZIONE TOTALE DI OGNI REGIONE (CON FILTRO)]]</f>
        <v>2.6813267847954964E-4</v>
      </c>
      <c r="H3342" t="str">
        <f>IF(Comuni__2[[#This Row],[Popolazione2011]]&gt;300000,"MAGGIORE","")</f>
        <v/>
      </c>
      <c r="J3342">
        <v>85</v>
      </c>
      <c r="K3342">
        <v>27155</v>
      </c>
      <c r="L3342">
        <v>4143</v>
      </c>
    </row>
    <row r="3343" spans="1:12" x14ac:dyDescent="0.2">
      <c r="A3343"/>
      <c r="B3343"/>
      <c r="C3343"/>
      <c r="D3343"/>
      <c r="E3343" s="2">
        <f>Comuni__2[[#This Row],[Popolazione2011]]/$D$7911</f>
        <v>4.3602588940320273E-5</v>
      </c>
      <c r="F3343">
        <f>SUMIFS($D$2:$D$7909, $B$2:$B$7909, "Lombardia")</f>
        <v>9704151</v>
      </c>
      <c r="G3343" s="1">
        <f>Comuni__2[[#This Row],[Popolazione2011]]/Comuni__2[[#This Row],[POPOLAZIONE TOTALE DI OGNI REGIONE (CON FILTRO)]]</f>
        <v>2.669991429440865E-4</v>
      </c>
      <c r="H3343" t="str">
        <f>IF(Comuni__2[[#This Row],[Popolazione2011]]&gt;300000,"MAGGIORE","")</f>
        <v/>
      </c>
      <c r="J3343">
        <v>89</v>
      </c>
      <c r="K3343">
        <v>27163</v>
      </c>
      <c r="L3343">
        <v>4144</v>
      </c>
    </row>
    <row r="3344" spans="1:12" x14ac:dyDescent="0.2">
      <c r="A3344"/>
      <c r="B3344"/>
      <c r="C3344"/>
      <c r="D3344"/>
      <c r="E3344" s="2">
        <f>Comuni__2[[#This Row],[Popolazione2011]]/$D$7911</f>
        <v>4.3585760461377656E-5</v>
      </c>
      <c r="F3344">
        <f>SUMIFS($D$2:$D$7909, $B$2:$B$7909, "Lombardia")</f>
        <v>9704151</v>
      </c>
      <c r="G3344" s="1">
        <f>Comuni__2[[#This Row],[Popolazione2011]]/Comuni__2[[#This Row],[POPOLAZIONE TOTALE DI OGNI REGIONE (CON FILTRO)]]</f>
        <v>2.6689609425904439E-4</v>
      </c>
      <c r="H3344" t="str">
        <f>IF(Comuni__2[[#This Row],[Popolazione2011]]&gt;300000,"MAGGIORE","")</f>
        <v/>
      </c>
      <c r="J3344">
        <v>84</v>
      </c>
      <c r="K3344">
        <v>27178</v>
      </c>
      <c r="L3344">
        <v>4144</v>
      </c>
    </row>
    <row r="3345" spans="1:12" x14ac:dyDescent="0.2">
      <c r="A3345"/>
      <c r="B3345"/>
      <c r="C3345"/>
      <c r="D3345"/>
      <c r="E3345" s="2">
        <f>Comuni__2[[#This Row],[Popolazione2011]]/$D$7911</f>
        <v>4.356893198243504E-5</v>
      </c>
      <c r="F3345">
        <f>SUMIFS($D$2:$D$7909, $B$2:$B$7909, "Lombardia")</f>
        <v>9704151</v>
      </c>
      <c r="G3345" s="1">
        <f>Comuni__2[[#This Row],[Popolazione2011]]/Comuni__2[[#This Row],[POPOLAZIONE TOTALE DI OGNI REGIONE (CON FILTRO)]]</f>
        <v>2.6679304557400229E-4</v>
      </c>
      <c r="H3345" t="str">
        <f>IF(Comuni__2[[#This Row],[Popolazione2011]]&gt;300000,"MAGGIORE","")</f>
        <v/>
      </c>
      <c r="J3345">
        <v>88</v>
      </c>
      <c r="K3345">
        <v>27203</v>
      </c>
      <c r="L3345">
        <v>4145</v>
      </c>
    </row>
    <row r="3346" spans="1:12" x14ac:dyDescent="0.2">
      <c r="A3346"/>
      <c r="B3346"/>
      <c r="C3346"/>
      <c r="D3346"/>
      <c r="E3346" s="2">
        <f>Comuni__2[[#This Row],[Popolazione2011]]/$D$7911</f>
        <v>4.3451132629836721E-5</v>
      </c>
      <c r="F3346">
        <f>SUMIFS($D$2:$D$7909, $B$2:$B$7909, "Lombardia")</f>
        <v>9704151</v>
      </c>
      <c r="G3346" s="1">
        <f>Comuni__2[[#This Row],[Popolazione2011]]/Comuni__2[[#This Row],[POPOLAZIONE TOTALE DI OGNI REGIONE (CON FILTRO)]]</f>
        <v>2.6607170477870761E-4</v>
      </c>
      <c r="H3346" t="str">
        <f>IF(Comuni__2[[#This Row],[Popolazione2011]]&gt;300000,"MAGGIORE","")</f>
        <v/>
      </c>
      <c r="J3346">
        <v>86</v>
      </c>
      <c r="K3346">
        <v>27256</v>
      </c>
      <c r="L3346">
        <v>4145</v>
      </c>
    </row>
    <row r="3347" spans="1:12" x14ac:dyDescent="0.2">
      <c r="A3347"/>
      <c r="B3347"/>
      <c r="C3347"/>
      <c r="D3347"/>
      <c r="E3347" s="2">
        <f>Comuni__2[[#This Row],[Popolazione2011]]/$D$7911</f>
        <v>4.3434304150894104E-5</v>
      </c>
      <c r="F3347">
        <f>SUMIFS($D$2:$D$7909, $B$2:$B$7909, "Lombardia")</f>
        <v>9704151</v>
      </c>
      <c r="G3347" s="1">
        <f>Comuni__2[[#This Row],[Popolazione2011]]/Comuni__2[[#This Row],[POPOLAZIONE TOTALE DI OGNI REGIONE (CON FILTRO)]]</f>
        <v>2.6596865609366551E-4</v>
      </c>
      <c r="H3347" t="str">
        <f>IF(Comuni__2[[#This Row],[Popolazione2011]]&gt;300000,"MAGGIORE","")</f>
        <v/>
      </c>
      <c r="J3347">
        <v>90</v>
      </c>
      <c r="K3347">
        <v>27293</v>
      </c>
      <c r="L3347">
        <v>4146</v>
      </c>
    </row>
    <row r="3348" spans="1:12" x14ac:dyDescent="0.2">
      <c r="A3348"/>
      <c r="B3348"/>
      <c r="C3348"/>
      <c r="D3348"/>
      <c r="E3348" s="2">
        <f>Comuni__2[[#This Row],[Popolazione2011]]/$D$7911</f>
        <v>4.3417475671951488E-5</v>
      </c>
      <c r="F3348">
        <f>SUMIFS($D$2:$D$7909, $B$2:$B$7909, "Lombardia")</f>
        <v>9704151</v>
      </c>
      <c r="G3348" s="1">
        <f>Comuni__2[[#This Row],[Popolazione2011]]/Comuni__2[[#This Row],[POPOLAZIONE TOTALE DI OGNI REGIONE (CON FILTRO)]]</f>
        <v>2.658656074086234E-4</v>
      </c>
      <c r="H3348" t="str">
        <f>IF(Comuni__2[[#This Row],[Popolazione2011]]&gt;300000,"MAGGIORE","")</f>
        <v/>
      </c>
      <c r="J3348">
        <v>105</v>
      </c>
      <c r="K3348">
        <v>27303</v>
      </c>
      <c r="L3348">
        <v>4146</v>
      </c>
    </row>
    <row r="3349" spans="1:12" x14ac:dyDescent="0.2">
      <c r="A3349"/>
      <c r="B3349"/>
      <c r="C3349"/>
      <c r="D3349"/>
      <c r="E3349" s="2">
        <f>Comuni__2[[#This Row],[Popolazione2011]]/$D$7911</f>
        <v>4.336699023512364E-5</v>
      </c>
      <c r="F3349">
        <f>SUMIFS($D$2:$D$7909, $B$2:$B$7909, "Lombardia")</f>
        <v>9704151</v>
      </c>
      <c r="G3349" s="1">
        <f>Comuni__2[[#This Row],[Popolazione2011]]/Comuni__2[[#This Row],[POPOLAZIONE TOTALE DI OGNI REGIONE (CON FILTRO)]]</f>
        <v>2.6555646135349709E-4</v>
      </c>
      <c r="H3349" t="str">
        <f>IF(Comuni__2[[#This Row],[Popolazione2011]]&gt;300000,"MAGGIORE","")</f>
        <v/>
      </c>
      <c r="J3349">
        <v>99</v>
      </c>
      <c r="K3349">
        <v>27313</v>
      </c>
      <c r="L3349">
        <v>4146</v>
      </c>
    </row>
    <row r="3350" spans="1:12" x14ac:dyDescent="0.2">
      <c r="A3350"/>
      <c r="B3350"/>
      <c r="C3350"/>
      <c r="D3350"/>
      <c r="E3350" s="2">
        <f>Comuni__2[[#This Row],[Popolazione2011]]/$D$7911</f>
        <v>4.336699023512364E-5</v>
      </c>
      <c r="F3350">
        <f>SUMIFS($D$2:$D$7909, $B$2:$B$7909, "Lombardia")</f>
        <v>9704151</v>
      </c>
      <c r="G3350" s="1">
        <f>Comuni__2[[#This Row],[Popolazione2011]]/Comuni__2[[#This Row],[POPOLAZIONE TOTALE DI OGNI REGIONE (CON FILTRO)]]</f>
        <v>2.6555646135349709E-4</v>
      </c>
      <c r="H3350" t="str">
        <f>IF(Comuni__2[[#This Row],[Popolazione2011]]&gt;300000,"MAGGIORE","")</f>
        <v/>
      </c>
      <c r="J3350">
        <v>97</v>
      </c>
      <c r="K3350">
        <v>27321</v>
      </c>
      <c r="L3350">
        <v>4147</v>
      </c>
    </row>
    <row r="3351" spans="1:12" x14ac:dyDescent="0.2">
      <c r="A3351"/>
      <c r="B3351"/>
      <c r="C3351"/>
      <c r="D3351"/>
      <c r="E3351" s="2">
        <f>Comuni__2[[#This Row],[Popolazione2011]]/$D$7911</f>
        <v>4.3097734572041768E-5</v>
      </c>
      <c r="F3351">
        <f>SUMIFS($D$2:$D$7909, $B$2:$B$7909, "Lombardia")</f>
        <v>9704151</v>
      </c>
      <c r="G3351" s="1">
        <f>Comuni__2[[#This Row],[Popolazione2011]]/Comuni__2[[#This Row],[POPOLAZIONE TOTALE DI OGNI REGIONE (CON FILTRO)]]</f>
        <v>2.6390768239282342E-4</v>
      </c>
      <c r="H3351" t="str">
        <f>IF(Comuni__2[[#This Row],[Popolazione2011]]&gt;300000,"MAGGIORE","")</f>
        <v/>
      </c>
      <c r="J3351">
        <v>99</v>
      </c>
      <c r="K3351">
        <v>27330</v>
      </c>
      <c r="L3351">
        <v>4148</v>
      </c>
    </row>
    <row r="3352" spans="1:12" x14ac:dyDescent="0.2">
      <c r="A3352"/>
      <c r="B3352"/>
      <c r="C3352"/>
      <c r="D3352"/>
      <c r="E3352" s="2">
        <f>Comuni__2[[#This Row],[Popolazione2011]]/$D$7911</f>
        <v>4.2862135866845129E-5</v>
      </c>
      <c r="F3352">
        <f>SUMIFS($D$2:$D$7909, $B$2:$B$7909, "Lombardia")</f>
        <v>9704151</v>
      </c>
      <c r="G3352" s="1">
        <f>Comuni__2[[#This Row],[Popolazione2011]]/Comuni__2[[#This Row],[POPOLAZIONE TOTALE DI OGNI REGIONE (CON FILTRO)]]</f>
        <v>2.6246500080223401E-4</v>
      </c>
      <c r="H3352" t="str">
        <f>IF(Comuni__2[[#This Row],[Popolazione2011]]&gt;300000,"MAGGIORE","")</f>
        <v/>
      </c>
      <c r="J3352">
        <v>117</v>
      </c>
      <c r="K3352">
        <v>27349</v>
      </c>
      <c r="L3352">
        <v>4149</v>
      </c>
    </row>
    <row r="3353" spans="1:12" x14ac:dyDescent="0.2">
      <c r="A3353"/>
      <c r="B3353"/>
      <c r="C3353"/>
      <c r="D3353"/>
      <c r="E3353" s="2">
        <f>Comuni__2[[#This Row],[Popolazione2011]]/$D$7911</f>
        <v>4.2677022598476345E-5</v>
      </c>
      <c r="F3353">
        <f>SUMIFS($D$2:$D$7909, $B$2:$B$7909, "Lombardia")</f>
        <v>9704151</v>
      </c>
      <c r="G3353" s="1">
        <f>Comuni__2[[#This Row],[Popolazione2011]]/Comuni__2[[#This Row],[POPOLAZIONE TOTALE DI OGNI REGIONE (CON FILTRO)]]</f>
        <v>2.6133146526677087E-4</v>
      </c>
      <c r="H3353" t="str">
        <f>IF(Comuni__2[[#This Row],[Popolazione2011]]&gt;300000,"MAGGIORE","")</f>
        <v/>
      </c>
      <c r="J3353">
        <v>113</v>
      </c>
      <c r="K3353">
        <v>27365</v>
      </c>
      <c r="L3353">
        <v>4150</v>
      </c>
    </row>
    <row r="3354" spans="1:12" x14ac:dyDescent="0.2">
      <c r="A3354"/>
      <c r="B3354"/>
      <c r="C3354"/>
      <c r="D3354"/>
      <c r="E3354" s="2">
        <f>Comuni__2[[#This Row],[Popolazione2011]]/$D$7911</f>
        <v>4.2592880203763264E-5</v>
      </c>
      <c r="F3354">
        <f>SUMIFS($D$2:$D$7909, $B$2:$B$7909, "Lombardia")</f>
        <v>9704151</v>
      </c>
      <c r="G3354" s="1">
        <f>Comuni__2[[#This Row],[Popolazione2011]]/Comuni__2[[#This Row],[POPOLAZIONE TOTALE DI OGNI REGIONE (CON FILTRO)]]</f>
        <v>2.608162218415604E-4</v>
      </c>
      <c r="H3354" t="str">
        <f>IF(Comuni__2[[#This Row],[Popolazione2011]]&gt;300000,"MAGGIORE","")</f>
        <v/>
      </c>
      <c r="J3354">
        <v>119</v>
      </c>
      <c r="K3354">
        <v>27379</v>
      </c>
      <c r="L3354">
        <v>4150</v>
      </c>
    </row>
    <row r="3355" spans="1:12" x14ac:dyDescent="0.2">
      <c r="A3355"/>
      <c r="B3355"/>
      <c r="C3355"/>
      <c r="D3355"/>
      <c r="E3355" s="2">
        <f>Comuni__2[[#This Row],[Popolazione2011]]/$D$7911</f>
        <v>4.2475080851164945E-5</v>
      </c>
      <c r="F3355">
        <f>SUMIFS($D$2:$D$7909, $B$2:$B$7909, "Lombardia")</f>
        <v>9704151</v>
      </c>
      <c r="G3355" s="1">
        <f>Comuni__2[[#This Row],[Popolazione2011]]/Comuni__2[[#This Row],[POPOLAZIONE TOTALE DI OGNI REGIONE (CON FILTRO)]]</f>
        <v>2.6009488104626567E-4</v>
      </c>
      <c r="H3355" t="str">
        <f>IF(Comuni__2[[#This Row],[Popolazione2011]]&gt;300000,"MAGGIORE","")</f>
        <v/>
      </c>
      <c r="J3355">
        <v>113</v>
      </c>
      <c r="K3355">
        <v>27390</v>
      </c>
      <c r="L3355">
        <v>4151</v>
      </c>
    </row>
    <row r="3356" spans="1:12" x14ac:dyDescent="0.2">
      <c r="A3356"/>
      <c r="B3356"/>
      <c r="C3356"/>
      <c r="D3356"/>
      <c r="E3356" s="2">
        <f>Comuni__2[[#This Row],[Popolazione2011]]/$D$7911</f>
        <v>4.2340453019624009E-5</v>
      </c>
      <c r="F3356">
        <f>SUMIFS($D$2:$D$7909, $B$2:$B$7909, "Lombardia")</f>
        <v>9704151</v>
      </c>
      <c r="G3356" s="1">
        <f>Comuni__2[[#This Row],[Popolazione2011]]/Comuni__2[[#This Row],[POPOLAZIONE TOTALE DI OGNI REGIONE (CON FILTRO)]]</f>
        <v>2.5927049156592883E-4</v>
      </c>
      <c r="H3356" t="str">
        <f>IF(Comuni__2[[#This Row],[Popolazione2011]]&gt;300000,"MAGGIORE","")</f>
        <v/>
      </c>
      <c r="J3356">
        <v>113</v>
      </c>
      <c r="K3356">
        <v>27414</v>
      </c>
      <c r="L3356">
        <v>4152</v>
      </c>
    </row>
    <row r="3357" spans="1:12" x14ac:dyDescent="0.2">
      <c r="A3357"/>
      <c r="B3357"/>
      <c r="C3357"/>
      <c r="D3357"/>
      <c r="E3357" s="2">
        <f>Comuni__2[[#This Row],[Popolazione2011]]/$D$7911</f>
        <v>4.2222653667025689E-5</v>
      </c>
      <c r="F3357">
        <f>SUMIFS($D$2:$D$7909, $B$2:$B$7909, "Lombardia")</f>
        <v>9704151</v>
      </c>
      <c r="G3357" s="1">
        <f>Comuni__2[[#This Row],[Popolazione2011]]/Comuni__2[[#This Row],[POPOLAZIONE TOTALE DI OGNI REGIONE (CON FILTRO)]]</f>
        <v>2.5854915077063416E-4</v>
      </c>
      <c r="H3357" t="str">
        <f>IF(Comuni__2[[#This Row],[Popolazione2011]]&gt;300000,"MAGGIORE","")</f>
        <v/>
      </c>
      <c r="J3357">
        <v>109</v>
      </c>
      <c r="K3357">
        <v>27431</v>
      </c>
      <c r="L3357">
        <v>4152</v>
      </c>
    </row>
    <row r="3358" spans="1:12" x14ac:dyDescent="0.2">
      <c r="A3358"/>
      <c r="B3358"/>
      <c r="C3358"/>
      <c r="D3358"/>
      <c r="E3358" s="2">
        <f>Comuni__2[[#This Row],[Popolazione2011]]/$D$7911</f>
        <v>4.2205825188083073E-5</v>
      </c>
      <c r="F3358">
        <f>SUMIFS($D$2:$D$7909, $B$2:$B$7909, "Lombardia")</f>
        <v>9704151</v>
      </c>
      <c r="G3358" s="1">
        <f>Comuni__2[[#This Row],[Popolazione2011]]/Comuni__2[[#This Row],[POPOLAZIONE TOTALE DI OGNI REGIONE (CON FILTRO)]]</f>
        <v>2.5844610208559205E-4</v>
      </c>
      <c r="H3358" t="str">
        <f>IF(Comuni__2[[#This Row],[Popolazione2011]]&gt;300000,"MAGGIORE","")</f>
        <v/>
      </c>
      <c r="J3358">
        <v>119</v>
      </c>
      <c r="K3358">
        <v>27450</v>
      </c>
      <c r="L3358">
        <v>4153</v>
      </c>
    </row>
    <row r="3359" spans="1:12" x14ac:dyDescent="0.2">
      <c r="A3359"/>
      <c r="B3359"/>
      <c r="C3359"/>
      <c r="D3359"/>
      <c r="E3359" s="2">
        <f>Comuni__2[[#This Row],[Popolazione2011]]/$D$7911</f>
        <v>4.2188996709140457E-5</v>
      </c>
      <c r="F3359">
        <f>SUMIFS($D$2:$D$7909, $B$2:$B$7909, "Lombardia")</f>
        <v>9704151</v>
      </c>
      <c r="G3359" s="1">
        <f>Comuni__2[[#This Row],[Popolazione2011]]/Comuni__2[[#This Row],[POPOLAZIONE TOTALE DI OGNI REGIONE (CON FILTRO)]]</f>
        <v>2.5834305340054995E-4</v>
      </c>
      <c r="H3359" t="str">
        <f>IF(Comuni__2[[#This Row],[Popolazione2011]]&gt;300000,"MAGGIORE","")</f>
        <v/>
      </c>
      <c r="J3359">
        <v>111</v>
      </c>
      <c r="K3359">
        <v>27465</v>
      </c>
      <c r="L3359">
        <v>4153</v>
      </c>
    </row>
    <row r="3360" spans="1:12" x14ac:dyDescent="0.2">
      <c r="A3360"/>
      <c r="B3360"/>
      <c r="C3360"/>
      <c r="D3360"/>
      <c r="E3360" s="2">
        <f>Comuni__2[[#This Row],[Popolazione2011]]/$D$7911</f>
        <v>4.2155339751255225E-5</v>
      </c>
      <c r="F3360">
        <f>SUMIFS($D$2:$D$7909, $B$2:$B$7909, "Lombardia")</f>
        <v>9704151</v>
      </c>
      <c r="G3360" s="1">
        <f>Comuni__2[[#This Row],[Popolazione2011]]/Comuni__2[[#This Row],[POPOLAZIONE TOTALE DI OGNI REGIONE (CON FILTRO)]]</f>
        <v>2.5813695603046574E-4</v>
      </c>
      <c r="H3360" t="str">
        <f>IF(Comuni__2[[#This Row],[Popolazione2011]]&gt;300000,"MAGGIORE","")</f>
        <v/>
      </c>
      <c r="J3360">
        <v>113</v>
      </c>
      <c r="K3360">
        <v>27488</v>
      </c>
      <c r="L3360">
        <v>4153</v>
      </c>
    </row>
    <row r="3361" spans="1:12" x14ac:dyDescent="0.2">
      <c r="A3361"/>
      <c r="B3361"/>
      <c r="C3361"/>
      <c r="D3361"/>
      <c r="E3361" s="2">
        <f>Comuni__2[[#This Row],[Popolazione2011]]/$D$7911</f>
        <v>4.2121682793369992E-5</v>
      </c>
      <c r="F3361">
        <f>SUMIFS($D$2:$D$7909, $B$2:$B$7909, "Lombardia")</f>
        <v>9704151</v>
      </c>
      <c r="G3361" s="1">
        <f>Comuni__2[[#This Row],[Popolazione2011]]/Comuni__2[[#This Row],[POPOLAZIONE TOTALE DI OGNI REGIONE (CON FILTRO)]]</f>
        <v>2.5793085866038153E-4</v>
      </c>
      <c r="H3361" t="str">
        <f>IF(Comuni__2[[#This Row],[Popolazione2011]]&gt;300000,"MAGGIORE","")</f>
        <v/>
      </c>
      <c r="J3361">
        <v>108</v>
      </c>
      <c r="K3361">
        <v>27503</v>
      </c>
      <c r="L3361">
        <v>4153</v>
      </c>
    </row>
    <row r="3362" spans="1:12" x14ac:dyDescent="0.2">
      <c r="A3362"/>
      <c r="B3362"/>
      <c r="C3362"/>
      <c r="D3362"/>
      <c r="E3362" s="2">
        <f>Comuni__2[[#This Row],[Popolazione2011]]/$D$7911</f>
        <v>4.2071197356542137E-5</v>
      </c>
      <c r="F3362">
        <f>SUMIFS($D$2:$D$7909, $B$2:$B$7909, "Lombardia")</f>
        <v>9704151</v>
      </c>
      <c r="G3362" s="1">
        <f>Comuni__2[[#This Row],[Popolazione2011]]/Comuni__2[[#This Row],[POPOLAZIONE TOTALE DI OGNI REGIONE (CON FILTRO)]]</f>
        <v>2.5762171260525522E-4</v>
      </c>
      <c r="H3362" t="str">
        <f>IF(Comuni__2[[#This Row],[Popolazione2011]]&gt;300000,"MAGGIORE","")</f>
        <v/>
      </c>
      <c r="J3362">
        <v>123</v>
      </c>
      <c r="K3362">
        <v>27532</v>
      </c>
      <c r="L3362">
        <v>4153</v>
      </c>
    </row>
    <row r="3363" spans="1:12" x14ac:dyDescent="0.2">
      <c r="A3363"/>
      <c r="B3363"/>
      <c r="C3363"/>
      <c r="D3363"/>
      <c r="E3363" s="2">
        <f>Comuni__2[[#This Row],[Popolazione2011]]/$D$7911</f>
        <v>4.1902912567115969E-5</v>
      </c>
      <c r="F3363">
        <f>SUMIFS($D$2:$D$7909, $B$2:$B$7909, "Lombardia")</f>
        <v>9704151</v>
      </c>
      <c r="G3363" s="1">
        <f>Comuni__2[[#This Row],[Popolazione2011]]/Comuni__2[[#This Row],[POPOLAZIONE TOTALE DI OGNI REGIONE (CON FILTRO)]]</f>
        <v>2.5659122575483418E-4</v>
      </c>
      <c r="H3363" t="str">
        <f>IF(Comuni__2[[#This Row],[Popolazione2011]]&gt;300000,"MAGGIORE","")</f>
        <v/>
      </c>
      <c r="J3363">
        <v>120</v>
      </c>
      <c r="K3363">
        <v>27543</v>
      </c>
      <c r="L3363">
        <v>4153</v>
      </c>
    </row>
    <row r="3364" spans="1:12" x14ac:dyDescent="0.2">
      <c r="A3364"/>
      <c r="B3364"/>
      <c r="C3364"/>
      <c r="D3364"/>
      <c r="E3364" s="2">
        <f>Comuni__2[[#This Row],[Popolazione2011]]/$D$7911</f>
        <v>4.1818770172402889E-5</v>
      </c>
      <c r="F3364">
        <f>SUMIFS($D$2:$D$7909, $B$2:$B$7909, "Lombardia")</f>
        <v>9704151</v>
      </c>
      <c r="G3364" s="1">
        <f>Comuni__2[[#This Row],[Popolazione2011]]/Comuni__2[[#This Row],[POPOLAZIONE TOTALE DI OGNI REGIONE (CON FILTRO)]]</f>
        <v>2.5607598232962371E-4</v>
      </c>
      <c r="H3364" t="str">
        <f>IF(Comuni__2[[#This Row],[Popolazione2011]]&gt;300000,"MAGGIORE","")</f>
        <v/>
      </c>
      <c r="J3364">
        <v>129</v>
      </c>
      <c r="K3364">
        <v>27590</v>
      </c>
      <c r="L3364">
        <v>4153</v>
      </c>
    </row>
    <row r="3365" spans="1:12" x14ac:dyDescent="0.2">
      <c r="A3365"/>
      <c r="B3365"/>
      <c r="C3365"/>
      <c r="D3365"/>
      <c r="E3365" s="2">
        <f>Comuni__2[[#This Row],[Popolazione2011]]/$D$7911</f>
        <v>4.1734627777689801E-5</v>
      </c>
      <c r="F3365">
        <f>SUMIFS($D$2:$D$7909, $B$2:$B$7909, "Lombardia")</f>
        <v>9704151</v>
      </c>
      <c r="G3365" s="1">
        <f>Comuni__2[[#This Row],[Popolazione2011]]/Comuni__2[[#This Row],[POPOLAZIONE TOTALE DI OGNI REGIONE (CON FILTRO)]]</f>
        <v>2.5556073890441319E-4</v>
      </c>
      <c r="H3365" t="str">
        <f>IF(Comuni__2[[#This Row],[Popolazione2011]]&gt;300000,"MAGGIORE","")</f>
        <v/>
      </c>
      <c r="J3365">
        <v>142</v>
      </c>
      <c r="K3365">
        <v>27665</v>
      </c>
      <c r="L3365">
        <v>4153</v>
      </c>
    </row>
    <row r="3366" spans="1:12" x14ac:dyDescent="0.2">
      <c r="A3366"/>
      <c r="B3366"/>
      <c r="C3366"/>
      <c r="D3366"/>
      <c r="E3366" s="2">
        <f>Comuni__2[[#This Row],[Popolazione2011]]/$D$7911</f>
        <v>4.1667313861919337E-5</v>
      </c>
      <c r="F3366">
        <f>SUMIFS($D$2:$D$7909, $B$2:$B$7909, "Lombardia")</f>
        <v>9704151</v>
      </c>
      <c r="G3366" s="1">
        <f>Comuni__2[[#This Row],[Popolazione2011]]/Comuni__2[[#This Row],[POPOLAZIONE TOTALE DI OGNI REGIONE (CON FILTRO)]]</f>
        <v>2.5514854416424477E-4</v>
      </c>
      <c r="H3366" t="str">
        <f>IF(Comuni__2[[#This Row],[Popolazione2011]]&gt;300000,"MAGGIORE","")</f>
        <v/>
      </c>
      <c r="J3366">
        <v>146</v>
      </c>
      <c r="K3366">
        <v>27752</v>
      </c>
      <c r="L3366">
        <v>4153</v>
      </c>
    </row>
    <row r="3367" spans="1:12" x14ac:dyDescent="0.2">
      <c r="A3367"/>
      <c r="B3367"/>
      <c r="C3367"/>
      <c r="D3367"/>
      <c r="E3367" s="2">
        <f>Comuni__2[[#This Row],[Popolazione2011]]/$D$7911</f>
        <v>4.1650485382976721E-5</v>
      </c>
      <c r="F3367">
        <f>SUMIFS($D$2:$D$7909, $B$2:$B$7909, "Lombardia")</f>
        <v>9704151</v>
      </c>
      <c r="G3367" s="1">
        <f>Comuni__2[[#This Row],[Popolazione2011]]/Comuni__2[[#This Row],[POPOLAZIONE TOTALE DI OGNI REGIONE (CON FILTRO)]]</f>
        <v>2.5504549547920267E-4</v>
      </c>
      <c r="H3367" t="str">
        <f>IF(Comuni__2[[#This Row],[Popolazione2011]]&gt;300000,"MAGGIORE","")</f>
        <v/>
      </c>
      <c r="J3367">
        <v>146</v>
      </c>
      <c r="K3367">
        <v>27783</v>
      </c>
      <c r="L3367">
        <v>4154</v>
      </c>
    </row>
    <row r="3368" spans="1:12" x14ac:dyDescent="0.2">
      <c r="A3368"/>
      <c r="B3368"/>
      <c r="C3368"/>
      <c r="D3368"/>
      <c r="E3368" s="2">
        <f>Comuni__2[[#This Row],[Popolazione2011]]/$D$7911</f>
        <v>4.1633656904034104E-5</v>
      </c>
      <c r="F3368">
        <f>SUMIFS($D$2:$D$7909, $B$2:$B$7909, "Lombardia")</f>
        <v>9704151</v>
      </c>
      <c r="G3368" s="1">
        <f>Comuni__2[[#This Row],[Popolazione2011]]/Comuni__2[[#This Row],[POPOLAZIONE TOTALE DI OGNI REGIONE (CON FILTRO)]]</f>
        <v>2.5494244679416056E-4</v>
      </c>
      <c r="H3368" t="str">
        <f>IF(Comuni__2[[#This Row],[Popolazione2011]]&gt;300000,"MAGGIORE","")</f>
        <v/>
      </c>
      <c r="J3368">
        <v>149</v>
      </c>
      <c r="K3368">
        <v>27859</v>
      </c>
      <c r="L3368">
        <v>4154</v>
      </c>
    </row>
    <row r="3369" spans="1:12" x14ac:dyDescent="0.2">
      <c r="A3369"/>
      <c r="B3369"/>
      <c r="C3369"/>
      <c r="D3369"/>
      <c r="E3369" s="2">
        <f>Comuni__2[[#This Row],[Popolazione2011]]/$D$7911</f>
        <v>4.1549514509321017E-5</v>
      </c>
      <c r="F3369">
        <f>SUMIFS($D$2:$D$7909, $B$2:$B$7909, "Lombardia")</f>
        <v>9704151</v>
      </c>
      <c r="G3369" s="1">
        <f>Comuni__2[[#This Row],[Popolazione2011]]/Comuni__2[[#This Row],[POPOLAZIONE TOTALE DI OGNI REGIONE (CON FILTRO)]]</f>
        <v>2.5442720336895004E-4</v>
      </c>
      <c r="H3369" t="str">
        <f>IF(Comuni__2[[#This Row],[Popolazione2011]]&gt;300000,"MAGGIORE","")</f>
        <v/>
      </c>
      <c r="J3369">
        <v>150</v>
      </c>
      <c r="K3369">
        <v>27883</v>
      </c>
      <c r="L3369">
        <v>4155</v>
      </c>
    </row>
    <row r="3370" spans="1:12" x14ac:dyDescent="0.2">
      <c r="A3370"/>
      <c r="B3370"/>
      <c r="C3370"/>
      <c r="D3370"/>
      <c r="E3370" s="2">
        <f>Comuni__2[[#This Row],[Popolazione2011]]/$D$7911</f>
        <v>4.1549514509321017E-5</v>
      </c>
      <c r="F3370">
        <f>SUMIFS($D$2:$D$7909, $B$2:$B$7909, "Lombardia")</f>
        <v>9704151</v>
      </c>
      <c r="G3370" s="1">
        <f>Comuni__2[[#This Row],[Popolazione2011]]/Comuni__2[[#This Row],[POPOLAZIONE TOTALE DI OGNI REGIONE (CON FILTRO)]]</f>
        <v>2.5442720336895004E-4</v>
      </c>
      <c r="H3370" t="str">
        <f>IF(Comuni__2[[#This Row],[Popolazione2011]]&gt;300000,"MAGGIORE","")</f>
        <v/>
      </c>
      <c r="J3370">
        <v>171</v>
      </c>
      <c r="K3370">
        <v>27931</v>
      </c>
      <c r="L3370">
        <v>4156</v>
      </c>
    </row>
    <row r="3371" spans="1:12" x14ac:dyDescent="0.2">
      <c r="A3371"/>
      <c r="B3371"/>
      <c r="C3371"/>
      <c r="D3371"/>
      <c r="E3371" s="2">
        <f>Comuni__2[[#This Row],[Popolazione2011]]/$D$7911</f>
        <v>4.1532686030378401E-5</v>
      </c>
      <c r="F3371">
        <f>SUMIFS($D$2:$D$7909, $B$2:$B$7909, "Lombardia")</f>
        <v>9704151</v>
      </c>
      <c r="G3371" s="1">
        <f>Comuni__2[[#This Row],[Popolazione2011]]/Comuni__2[[#This Row],[POPOLAZIONE TOTALE DI OGNI REGIONE (CON FILTRO)]]</f>
        <v>2.5432415468390793E-4</v>
      </c>
      <c r="H3371" t="str">
        <f>IF(Comuni__2[[#This Row],[Popolazione2011]]&gt;300000,"MAGGIORE","")</f>
        <v/>
      </c>
      <c r="J3371">
        <v>171</v>
      </c>
      <c r="K3371">
        <v>28000</v>
      </c>
      <c r="L3371">
        <v>4157</v>
      </c>
    </row>
    <row r="3372" spans="1:12" x14ac:dyDescent="0.2">
      <c r="A3372"/>
      <c r="B3372"/>
      <c r="C3372"/>
      <c r="D3372"/>
      <c r="E3372" s="2">
        <f>Comuni__2[[#This Row],[Popolazione2011]]/$D$7911</f>
        <v>4.1330744283067001E-5</v>
      </c>
      <c r="F3372">
        <f>SUMIFS($D$2:$D$7909, $B$2:$B$7909, "Lombardia")</f>
        <v>9704151</v>
      </c>
      <c r="G3372" s="1">
        <f>Comuni__2[[#This Row],[Popolazione2011]]/Comuni__2[[#This Row],[POPOLAZIONE TOTALE DI OGNI REGIONE (CON FILTRO)]]</f>
        <v>2.5308757046340274E-4</v>
      </c>
      <c r="H3372" t="str">
        <f>IF(Comuni__2[[#This Row],[Popolazione2011]]&gt;300000,"MAGGIORE","")</f>
        <v/>
      </c>
      <c r="J3372">
        <v>174</v>
      </c>
      <c r="K3372">
        <v>28059</v>
      </c>
      <c r="L3372">
        <v>4158</v>
      </c>
    </row>
    <row r="3373" spans="1:12" x14ac:dyDescent="0.2">
      <c r="A3373"/>
      <c r="B3373"/>
      <c r="C3373"/>
      <c r="D3373"/>
      <c r="E3373" s="2">
        <f>Comuni__2[[#This Row],[Popolazione2011]]/$D$7911</f>
        <v>4.1330744283067001E-5</v>
      </c>
      <c r="F3373">
        <f>SUMIFS($D$2:$D$7909, $B$2:$B$7909, "Lombardia")</f>
        <v>9704151</v>
      </c>
      <c r="G3373" s="1">
        <f>Comuni__2[[#This Row],[Popolazione2011]]/Comuni__2[[#This Row],[POPOLAZIONE TOTALE DI OGNI REGIONE (CON FILTRO)]]</f>
        <v>2.5308757046340274E-4</v>
      </c>
      <c r="H3373" t="str">
        <f>IF(Comuni__2[[#This Row],[Popolazione2011]]&gt;300000,"MAGGIORE","")</f>
        <v/>
      </c>
      <c r="J3373">
        <v>172</v>
      </c>
      <c r="K3373">
        <v>28138</v>
      </c>
      <c r="L3373">
        <v>4159</v>
      </c>
    </row>
    <row r="3374" spans="1:12" x14ac:dyDescent="0.2">
      <c r="A3374"/>
      <c r="B3374"/>
      <c r="C3374"/>
      <c r="D3374"/>
      <c r="E3374" s="2">
        <f>Comuni__2[[#This Row],[Popolazione2011]]/$D$7911</f>
        <v>4.1263430367296529E-5</v>
      </c>
      <c r="F3374">
        <f>SUMIFS($D$2:$D$7909, $B$2:$B$7909, "Lombardia")</f>
        <v>9704151</v>
      </c>
      <c r="G3374" s="1">
        <f>Comuni__2[[#This Row],[Popolazione2011]]/Comuni__2[[#This Row],[POPOLAZIONE TOTALE DI OGNI REGIONE (CON FILTRO)]]</f>
        <v>2.5267537572323432E-4</v>
      </c>
      <c r="H3374" t="str">
        <f>IF(Comuni__2[[#This Row],[Popolazione2011]]&gt;300000,"MAGGIORE","")</f>
        <v/>
      </c>
      <c r="J3374">
        <v>174</v>
      </c>
      <c r="K3374">
        <v>28183</v>
      </c>
      <c r="L3374">
        <v>4160</v>
      </c>
    </row>
    <row r="3375" spans="1:12" x14ac:dyDescent="0.2">
      <c r="A3375"/>
      <c r="B3375"/>
      <c r="C3375"/>
      <c r="D3375"/>
      <c r="E3375" s="2">
        <f>Comuni__2[[#This Row],[Popolazione2011]]/$D$7911</f>
        <v>4.1246601888353913E-5</v>
      </c>
      <c r="F3375">
        <f>SUMIFS($D$2:$D$7909, $B$2:$B$7909, "Lombardia")</f>
        <v>9704151</v>
      </c>
      <c r="G3375" s="1">
        <f>Comuni__2[[#This Row],[Popolazione2011]]/Comuni__2[[#This Row],[POPOLAZIONE TOTALE DI OGNI REGIONE (CON FILTRO)]]</f>
        <v>2.5257232703819222E-4</v>
      </c>
      <c r="H3375" t="str">
        <f>IF(Comuni__2[[#This Row],[Popolazione2011]]&gt;300000,"MAGGIORE","")</f>
        <v/>
      </c>
      <c r="J3375">
        <v>176</v>
      </c>
      <c r="K3375">
        <v>28244</v>
      </c>
      <c r="L3375">
        <v>4161</v>
      </c>
    </row>
    <row r="3376" spans="1:12" x14ac:dyDescent="0.2">
      <c r="A3376"/>
      <c r="B3376"/>
      <c r="C3376"/>
      <c r="D3376"/>
      <c r="E3376" s="2">
        <f>Comuni__2[[#This Row],[Popolazione2011]]/$D$7911</f>
        <v>4.1128802535755594E-5</v>
      </c>
      <c r="F3376">
        <f>SUMIFS($D$2:$D$7909, $B$2:$B$7909, "Lombardia")</f>
        <v>9704151</v>
      </c>
      <c r="G3376" s="1">
        <f>Comuni__2[[#This Row],[Popolazione2011]]/Comuni__2[[#This Row],[POPOLAZIONE TOTALE DI OGNI REGIONE (CON FILTRO)]]</f>
        <v>2.5185098624289749E-4</v>
      </c>
      <c r="H3376" t="str">
        <f>IF(Comuni__2[[#This Row],[Popolazione2011]]&gt;300000,"MAGGIORE","")</f>
        <v/>
      </c>
      <c r="J3376">
        <v>192</v>
      </c>
      <c r="K3376">
        <v>28287</v>
      </c>
      <c r="L3376">
        <v>4161</v>
      </c>
    </row>
    <row r="3377" spans="1:12" x14ac:dyDescent="0.2">
      <c r="A3377"/>
      <c r="B3377"/>
      <c r="C3377"/>
      <c r="D3377"/>
      <c r="E3377" s="2">
        <f>Comuni__2[[#This Row],[Popolazione2011]]/$D$7911</f>
        <v>4.1095145577870361E-5</v>
      </c>
      <c r="F3377">
        <f>SUMIFS($D$2:$D$7909, $B$2:$B$7909, "Lombardia")</f>
        <v>9704151</v>
      </c>
      <c r="G3377" s="1">
        <f>Comuni__2[[#This Row],[Popolazione2011]]/Comuni__2[[#This Row],[POPOLAZIONE TOTALE DI OGNI REGIONE (CON FILTRO)]]</f>
        <v>2.5164488887281328E-4</v>
      </c>
      <c r="H3377" t="str">
        <f>IF(Comuni__2[[#This Row],[Popolazione2011]]&gt;300000,"MAGGIORE","")</f>
        <v/>
      </c>
      <c r="J3377">
        <v>205</v>
      </c>
      <c r="K3377">
        <v>28337</v>
      </c>
      <c r="L3377">
        <v>4163</v>
      </c>
    </row>
    <row r="3378" spans="1:12" x14ac:dyDescent="0.2">
      <c r="A3378"/>
      <c r="B3378"/>
      <c r="C3378"/>
      <c r="D3378"/>
      <c r="E3378" s="2">
        <f>Comuni__2[[#This Row],[Popolazione2011]]/$D$7911</f>
        <v>4.1061488619985129E-5</v>
      </c>
      <c r="F3378">
        <f>SUMIFS($D$2:$D$7909, $B$2:$B$7909, "Lombardia")</f>
        <v>9704151</v>
      </c>
      <c r="G3378" s="1">
        <f>Comuni__2[[#This Row],[Popolazione2011]]/Comuni__2[[#This Row],[POPOLAZIONE TOTALE DI OGNI REGIONE (CON FILTRO)]]</f>
        <v>2.5143879150272907E-4</v>
      </c>
      <c r="H3378" t="str">
        <f>IF(Comuni__2[[#This Row],[Popolazione2011]]&gt;300000,"MAGGIORE","")</f>
        <v/>
      </c>
      <c r="J3378">
        <v>208</v>
      </c>
      <c r="K3378">
        <v>28394</v>
      </c>
      <c r="L3378">
        <v>4164</v>
      </c>
    </row>
    <row r="3379" spans="1:12" x14ac:dyDescent="0.2">
      <c r="A3379"/>
      <c r="B3379"/>
      <c r="C3379"/>
      <c r="D3379"/>
      <c r="E3379" s="2">
        <f>Comuni__2[[#This Row],[Popolazione2011]]/$D$7911</f>
        <v>4.1027831662099897E-5</v>
      </c>
      <c r="F3379">
        <f>SUMIFS($D$2:$D$7909, $B$2:$B$7909, "Lombardia")</f>
        <v>9704151</v>
      </c>
      <c r="G3379" s="1">
        <f>Comuni__2[[#This Row],[Popolazione2011]]/Comuni__2[[#This Row],[POPOLAZIONE TOTALE DI OGNI REGIONE (CON FILTRO)]]</f>
        <v>2.5123269413264486E-4</v>
      </c>
      <c r="H3379" t="str">
        <f>IF(Comuni__2[[#This Row],[Popolazione2011]]&gt;300000,"MAGGIORE","")</f>
        <v/>
      </c>
      <c r="J3379">
        <v>215</v>
      </c>
      <c r="K3379">
        <v>28440</v>
      </c>
      <c r="L3379">
        <v>4165</v>
      </c>
    </row>
    <row r="3380" spans="1:12" x14ac:dyDescent="0.2">
      <c r="A3380"/>
      <c r="B3380"/>
      <c r="C3380"/>
      <c r="D3380"/>
      <c r="E3380" s="2">
        <f>Comuni__2[[#This Row],[Popolazione2011]]/$D$7911</f>
        <v>4.0994174704214658E-5</v>
      </c>
      <c r="F3380">
        <f>SUMIFS($D$2:$D$7909, $B$2:$B$7909, "Lombardia")</f>
        <v>9704151</v>
      </c>
      <c r="G3380" s="1">
        <f>Comuni__2[[#This Row],[Popolazione2011]]/Comuni__2[[#This Row],[POPOLAZIONE TOTALE DI OGNI REGIONE (CON FILTRO)]]</f>
        <v>2.510265967625607E-4</v>
      </c>
      <c r="H3380" t="str">
        <f>IF(Comuni__2[[#This Row],[Popolazione2011]]&gt;300000,"MAGGIORE","")</f>
        <v/>
      </c>
      <c r="J3380">
        <v>230</v>
      </c>
      <c r="K3380">
        <v>28505</v>
      </c>
      <c r="L3380">
        <v>4166</v>
      </c>
    </row>
    <row r="3381" spans="1:12" x14ac:dyDescent="0.2">
      <c r="A3381"/>
      <c r="B3381"/>
      <c r="C3381"/>
      <c r="D3381"/>
      <c r="E3381" s="2">
        <f>Comuni__2[[#This Row],[Popolazione2011]]/$D$7911</f>
        <v>4.0893203830558961E-5</v>
      </c>
      <c r="F3381">
        <f>SUMIFS($D$2:$D$7909, $B$2:$B$7909, "Lombardia")</f>
        <v>9704151</v>
      </c>
      <c r="G3381" s="1">
        <f>Comuni__2[[#This Row],[Popolazione2011]]/Comuni__2[[#This Row],[POPOLAZIONE TOTALE DI OGNI REGIONE (CON FILTRO)]]</f>
        <v>2.5040830465230808E-4</v>
      </c>
      <c r="H3381" t="str">
        <f>IF(Comuni__2[[#This Row],[Popolazione2011]]&gt;300000,"MAGGIORE","")</f>
        <v/>
      </c>
      <c r="J3381">
        <v>226</v>
      </c>
      <c r="K3381">
        <v>28567</v>
      </c>
      <c r="L3381">
        <v>4166</v>
      </c>
    </row>
    <row r="3382" spans="1:12" x14ac:dyDescent="0.2">
      <c r="A3382"/>
      <c r="B3382"/>
      <c r="C3382"/>
      <c r="D3382"/>
      <c r="E3382" s="2">
        <f>Comuni__2[[#This Row],[Popolazione2011]]/$D$7911</f>
        <v>4.0691262083247554E-5</v>
      </c>
      <c r="F3382">
        <f>SUMIFS($D$2:$D$7909, $B$2:$B$7909, "Lombardia")</f>
        <v>9704151</v>
      </c>
      <c r="G3382" s="1">
        <f>Comuni__2[[#This Row],[Popolazione2011]]/Comuni__2[[#This Row],[POPOLAZIONE TOTALE DI OGNI REGIONE (CON FILTRO)]]</f>
        <v>2.4917172043180283E-4</v>
      </c>
      <c r="H3382" t="str">
        <f>IF(Comuni__2[[#This Row],[Popolazione2011]]&gt;300000,"MAGGIORE","")</f>
        <v/>
      </c>
      <c r="J3382">
        <v>229</v>
      </c>
      <c r="K3382">
        <v>28646</v>
      </c>
      <c r="L3382">
        <v>4167</v>
      </c>
    </row>
    <row r="3383" spans="1:12" x14ac:dyDescent="0.2">
      <c r="A3383"/>
      <c r="B3383"/>
      <c r="C3383"/>
      <c r="D3383"/>
      <c r="E3383" s="2">
        <f>Comuni__2[[#This Row],[Popolazione2011]]/$D$7911</f>
        <v>4.0590291209591857E-5</v>
      </c>
      <c r="F3383">
        <f>SUMIFS($D$2:$D$7909, $B$2:$B$7909, "Lombardia")</f>
        <v>9704151</v>
      </c>
      <c r="G3383" s="1">
        <f>Comuni__2[[#This Row],[Popolazione2011]]/Comuni__2[[#This Row],[POPOLAZIONE TOTALE DI OGNI REGIONE (CON FILTRO)]]</f>
        <v>2.4855342832155026E-4</v>
      </c>
      <c r="H3383" t="str">
        <f>IF(Comuni__2[[#This Row],[Popolazione2011]]&gt;300000,"MAGGIORE","")</f>
        <v/>
      </c>
      <c r="J3383">
        <v>288</v>
      </c>
      <c r="K3383">
        <v>28721</v>
      </c>
      <c r="L3383">
        <v>4168</v>
      </c>
    </row>
    <row r="3384" spans="1:12" x14ac:dyDescent="0.2">
      <c r="A3384"/>
      <c r="B3384"/>
      <c r="C3384"/>
      <c r="D3384"/>
      <c r="E3384" s="2">
        <f>Comuni__2[[#This Row],[Popolazione2011]]/$D$7911</f>
        <v>4.0522977293821386E-5</v>
      </c>
      <c r="F3384">
        <f>SUMIFS($D$2:$D$7909, $B$2:$B$7909, "Lombardia")</f>
        <v>9704151</v>
      </c>
      <c r="G3384" s="1">
        <f>Comuni__2[[#This Row],[Popolazione2011]]/Comuni__2[[#This Row],[POPOLAZIONE TOTALE DI OGNI REGIONE (CON FILTRO)]]</f>
        <v>2.4814123358138184E-4</v>
      </c>
      <c r="H3384" t="str">
        <f>IF(Comuni__2[[#This Row],[Popolazione2011]]&gt;300000,"MAGGIORE","")</f>
        <v/>
      </c>
      <c r="J3384">
        <v>308</v>
      </c>
      <c r="K3384">
        <v>28819</v>
      </c>
      <c r="L3384">
        <v>4170</v>
      </c>
    </row>
    <row r="3385" spans="1:12" x14ac:dyDescent="0.2">
      <c r="A3385"/>
      <c r="B3385"/>
      <c r="C3385"/>
      <c r="D3385"/>
      <c r="E3385" s="2">
        <f>Comuni__2[[#This Row],[Popolazione2011]]/$D$7911</f>
        <v>4.030420706756737E-5</v>
      </c>
      <c r="F3385">
        <f>SUMIFS($D$2:$D$7909, $B$2:$B$7909, "Lombardia")</f>
        <v>9704151</v>
      </c>
      <c r="G3385" s="1">
        <f>Comuni__2[[#This Row],[Popolazione2011]]/Comuni__2[[#This Row],[POPOLAZIONE TOTALE DI OGNI REGIONE (CON FILTRO)]]</f>
        <v>2.4680160067583448E-4</v>
      </c>
      <c r="H3385" t="str">
        <f>IF(Comuni__2[[#This Row],[Popolazione2011]]&gt;300000,"MAGGIORE","")</f>
        <v/>
      </c>
      <c r="J3385">
        <v>312</v>
      </c>
      <c r="K3385">
        <v>28962</v>
      </c>
      <c r="L3385">
        <v>4172</v>
      </c>
    </row>
    <row r="3386" spans="1:12" x14ac:dyDescent="0.2">
      <c r="A3386"/>
      <c r="B3386"/>
      <c r="C3386"/>
      <c r="D3386"/>
      <c r="E3386" s="2">
        <f>Comuni__2[[#This Row],[Popolazione2011]]/$D$7911</f>
        <v>4.0253721630739521E-5</v>
      </c>
      <c r="F3386">
        <f>SUMIFS($D$2:$D$7909, $B$2:$B$7909, "Lombardia")</f>
        <v>9704151</v>
      </c>
      <c r="G3386" s="1">
        <f>Comuni__2[[#This Row],[Popolazione2011]]/Comuni__2[[#This Row],[POPOLAZIONE TOTALE DI OGNI REGIONE (CON FILTRO)]]</f>
        <v>2.4649245462070817E-4</v>
      </c>
      <c r="H3386" t="str">
        <f>IF(Comuni__2[[#This Row],[Popolazione2011]]&gt;300000,"MAGGIORE","")</f>
        <v/>
      </c>
      <c r="J3386">
        <v>327</v>
      </c>
      <c r="K3386">
        <v>29043</v>
      </c>
      <c r="L3386">
        <v>4172</v>
      </c>
    </row>
    <row r="3387" spans="1:12" x14ac:dyDescent="0.2">
      <c r="A3387"/>
      <c r="B3387"/>
      <c r="C3387"/>
      <c r="D3387"/>
      <c r="E3387" s="2">
        <f>Comuni__2[[#This Row],[Popolazione2011]]/$D$7911</f>
        <v>4.0236893151796905E-5</v>
      </c>
      <c r="F3387">
        <f>SUMIFS($D$2:$D$7909, $B$2:$B$7909, "Lombardia")</f>
        <v>9704151</v>
      </c>
      <c r="G3387" s="1">
        <f>Comuni__2[[#This Row],[Popolazione2011]]/Comuni__2[[#This Row],[POPOLAZIONE TOTALE DI OGNI REGIONE (CON FILTRO)]]</f>
        <v>2.4638940593566606E-4</v>
      </c>
      <c r="H3387" t="str">
        <f>IF(Comuni__2[[#This Row],[Popolazione2011]]&gt;300000,"MAGGIORE","")</f>
        <v/>
      </c>
      <c r="J3387">
        <v>367</v>
      </c>
      <c r="K3387">
        <v>29113</v>
      </c>
      <c r="L3387">
        <v>4172</v>
      </c>
    </row>
    <row r="3388" spans="1:12" x14ac:dyDescent="0.2">
      <c r="A3388"/>
      <c r="B3388"/>
      <c r="C3388"/>
      <c r="D3388"/>
      <c r="E3388" s="2">
        <f>Comuni__2[[#This Row],[Popolazione2011]]/$D$7911</f>
        <v>4.018640771496905E-5</v>
      </c>
      <c r="F3388">
        <f>SUMIFS($D$2:$D$7909, $B$2:$B$7909, "Lombardia")</f>
        <v>9704151</v>
      </c>
      <c r="G3388" s="1">
        <f>Comuni__2[[#This Row],[Popolazione2011]]/Comuni__2[[#This Row],[POPOLAZIONE TOTALE DI OGNI REGIONE (CON FILTRO)]]</f>
        <v>2.4608025988053981E-4</v>
      </c>
      <c r="H3388" t="str">
        <f>IF(Comuni__2[[#This Row],[Popolazione2011]]&gt;300000,"MAGGIORE","")</f>
        <v/>
      </c>
      <c r="J3388">
        <v>376</v>
      </c>
      <c r="K3388">
        <v>29179</v>
      </c>
      <c r="L3388">
        <v>4174</v>
      </c>
    </row>
    <row r="3389" spans="1:12" x14ac:dyDescent="0.2">
      <c r="A3389"/>
      <c r="B3389"/>
      <c r="C3389"/>
      <c r="D3389"/>
      <c r="E3389" s="2">
        <f>Comuni__2[[#This Row],[Popolazione2011]]/$D$7911</f>
        <v>3.9647896388805314E-5</v>
      </c>
      <c r="F3389">
        <f>SUMIFS($D$2:$D$7909, $B$2:$B$7909, "Lombardia")</f>
        <v>9704151</v>
      </c>
      <c r="G3389" s="1">
        <f>Comuni__2[[#This Row],[Popolazione2011]]/Comuni__2[[#This Row],[POPOLAZIONE TOTALE DI OGNI REGIONE (CON FILTRO)]]</f>
        <v>2.4278270195919252E-4</v>
      </c>
      <c r="H3389" t="str">
        <f>IF(Comuni__2[[#This Row],[Popolazione2011]]&gt;300000,"MAGGIORE","")</f>
        <v/>
      </c>
      <c r="J3389">
        <v>402</v>
      </c>
      <c r="K3389">
        <v>29270</v>
      </c>
      <c r="L3389">
        <v>4177</v>
      </c>
    </row>
    <row r="3390" spans="1:12" x14ac:dyDescent="0.2">
      <c r="A3390"/>
      <c r="B3390"/>
      <c r="C3390"/>
      <c r="D3390"/>
      <c r="E3390" s="2">
        <f>Comuni__2[[#This Row],[Popolazione2011]]/$D$7911</f>
        <v>3.9614239430920081E-5</v>
      </c>
      <c r="F3390">
        <f>SUMIFS($D$2:$D$7909, $B$2:$B$7909, "Lombardia")</f>
        <v>9704151</v>
      </c>
      <c r="G3390" s="1">
        <f>Comuni__2[[#This Row],[Popolazione2011]]/Comuni__2[[#This Row],[POPOLAZIONE TOTALE DI OGNI REGIONE (CON FILTRO)]]</f>
        <v>2.4257660458910831E-4</v>
      </c>
      <c r="H3390" t="str">
        <f>IF(Comuni__2[[#This Row],[Popolazione2011]]&gt;300000,"MAGGIORE","")</f>
        <v/>
      </c>
      <c r="J3390">
        <v>479</v>
      </c>
      <c r="K3390">
        <v>29314</v>
      </c>
      <c r="L3390">
        <v>4180</v>
      </c>
    </row>
    <row r="3391" spans="1:12" x14ac:dyDescent="0.2">
      <c r="A3391"/>
      <c r="B3391"/>
      <c r="C3391"/>
      <c r="D3391"/>
      <c r="E3391" s="2">
        <f>Comuni__2[[#This Row],[Popolazione2011]]/$D$7911</f>
        <v>3.9513268557264378E-5</v>
      </c>
      <c r="F3391">
        <f>SUMIFS($D$2:$D$7909, $B$2:$B$7909, "Lombardia")</f>
        <v>9704151</v>
      </c>
      <c r="G3391" s="1">
        <f>Comuni__2[[#This Row],[Popolazione2011]]/Comuni__2[[#This Row],[POPOLAZIONE TOTALE DI OGNI REGIONE (CON FILTRO)]]</f>
        <v>2.4195831247885569E-4</v>
      </c>
      <c r="H3391" t="str">
        <f>IF(Comuni__2[[#This Row],[Popolazione2011]]&gt;300000,"MAGGIORE","")</f>
        <v/>
      </c>
      <c r="J3391">
        <v>513</v>
      </c>
      <c r="K3391">
        <v>29394</v>
      </c>
      <c r="L3391">
        <v>4183</v>
      </c>
    </row>
    <row r="3392" spans="1:12" x14ac:dyDescent="0.2">
      <c r="A3392"/>
      <c r="B3392"/>
      <c r="C3392"/>
      <c r="D3392"/>
      <c r="E3392" s="2">
        <f>Comuni__2[[#This Row],[Popolazione2011]]/$D$7911</f>
        <v>3.9513268557264378E-5</v>
      </c>
      <c r="F3392">
        <f>SUMIFS($D$2:$D$7909, $B$2:$B$7909, "Lombardia")</f>
        <v>9704151</v>
      </c>
      <c r="G3392" s="1">
        <f>Comuni__2[[#This Row],[Popolazione2011]]/Comuni__2[[#This Row],[POPOLAZIONE TOTALE DI OGNI REGIONE (CON FILTRO)]]</f>
        <v>2.4195831247885569E-4</v>
      </c>
      <c r="H3392" t="str">
        <f>IF(Comuni__2[[#This Row],[Popolazione2011]]&gt;300000,"MAGGIORE","")</f>
        <v/>
      </c>
      <c r="J3392">
        <v>595</v>
      </c>
      <c r="K3392">
        <v>29467</v>
      </c>
      <c r="L3392">
        <v>4187</v>
      </c>
    </row>
    <row r="3393" spans="1:12" x14ac:dyDescent="0.2">
      <c r="A3393"/>
      <c r="B3393"/>
      <c r="C3393"/>
      <c r="D3393"/>
      <c r="E3393" s="2">
        <f>Comuni__2[[#This Row],[Popolazione2011]]/$D$7911</f>
        <v>3.9378640725723442E-5</v>
      </c>
      <c r="F3393">
        <f>SUMIFS($D$2:$D$7909, $B$2:$B$7909, "Lombardia")</f>
        <v>9704151</v>
      </c>
      <c r="G3393" s="1">
        <f>Comuni__2[[#This Row],[Popolazione2011]]/Comuni__2[[#This Row],[POPOLAZIONE TOTALE DI OGNI REGIONE (CON FILTRO)]]</f>
        <v>2.4113392299851888E-4</v>
      </c>
      <c r="H3393" t="str">
        <f>IF(Comuni__2[[#This Row],[Popolazione2011]]&gt;300000,"MAGGIORE","")</f>
        <v/>
      </c>
      <c r="J3393">
        <v>635</v>
      </c>
      <c r="K3393">
        <v>29576</v>
      </c>
      <c r="L3393">
        <v>4190</v>
      </c>
    </row>
    <row r="3394" spans="1:12" x14ac:dyDescent="0.2">
      <c r="A3394"/>
      <c r="B3394"/>
      <c r="C3394"/>
      <c r="D3394"/>
      <c r="E3394" s="2">
        <f>Comuni__2[[#This Row],[Popolazione2011]]/$D$7911</f>
        <v>3.8873786357444938E-5</v>
      </c>
      <c r="F3394">
        <f>SUMIFS($D$2:$D$7909, $B$2:$B$7909, "Lombardia")</f>
        <v>9704151</v>
      </c>
      <c r="G3394" s="1">
        <f>Comuni__2[[#This Row],[Popolazione2011]]/Comuni__2[[#This Row],[POPOLAZIONE TOTALE DI OGNI REGIONE (CON FILTRO)]]</f>
        <v>2.3804246244725583E-4</v>
      </c>
      <c r="H3394" t="str">
        <f>IF(Comuni__2[[#This Row],[Popolazione2011]]&gt;300000,"MAGGIORE","")</f>
        <v/>
      </c>
      <c r="J3394">
        <v>701</v>
      </c>
      <c r="K3394">
        <v>29643</v>
      </c>
      <c r="L3394">
        <v>4194</v>
      </c>
    </row>
    <row r="3395" spans="1:12" x14ac:dyDescent="0.2">
      <c r="A3395"/>
      <c r="B3395"/>
      <c r="C3395"/>
      <c r="D3395"/>
      <c r="E3395" s="2">
        <f>Comuni__2[[#This Row],[Popolazione2011]]/$D$7911</f>
        <v>3.8856957878502322E-5</v>
      </c>
      <c r="F3395">
        <f>SUMIFS($D$2:$D$7909, $B$2:$B$7909, "Lombardia")</f>
        <v>9704151</v>
      </c>
      <c r="G3395" s="1">
        <f>Comuni__2[[#This Row],[Popolazione2011]]/Comuni__2[[#This Row],[POPOLAZIONE TOTALE DI OGNI REGIONE (CON FILTRO)]]</f>
        <v>2.3793941376221373E-4</v>
      </c>
      <c r="H3395" t="str">
        <f>IF(Comuni__2[[#This Row],[Popolazione2011]]&gt;300000,"MAGGIORE","")</f>
        <v/>
      </c>
      <c r="J3395">
        <v>752</v>
      </c>
      <c r="K3395">
        <v>29791</v>
      </c>
      <c r="L3395">
        <v>4196</v>
      </c>
    </row>
    <row r="3396" spans="1:12" x14ac:dyDescent="0.2">
      <c r="A3396"/>
      <c r="B3396"/>
      <c r="C3396"/>
      <c r="D3396"/>
      <c r="E3396" s="2">
        <f>Comuni__2[[#This Row],[Popolazione2011]]/$D$7911</f>
        <v>3.8823300920617089E-5</v>
      </c>
      <c r="F3396">
        <f>SUMIFS($D$2:$D$7909, $B$2:$B$7909, "Lombardia")</f>
        <v>9704151</v>
      </c>
      <c r="G3396" s="1">
        <f>Comuni__2[[#This Row],[Popolazione2011]]/Comuni__2[[#This Row],[POPOLAZIONE TOTALE DI OGNI REGIONE (CON FILTRO)]]</f>
        <v>2.3773331639212952E-4</v>
      </c>
      <c r="H3396" t="str">
        <f>IF(Comuni__2[[#This Row],[Popolazione2011]]&gt;300000,"MAGGIORE","")</f>
        <v/>
      </c>
      <c r="J3396">
        <v>835</v>
      </c>
      <c r="K3396">
        <v>29959</v>
      </c>
      <c r="L3396">
        <v>4198</v>
      </c>
    </row>
    <row r="3397" spans="1:12" x14ac:dyDescent="0.2">
      <c r="A3397"/>
      <c r="B3397"/>
      <c r="C3397"/>
      <c r="D3397"/>
      <c r="E3397" s="2">
        <f>Comuni__2[[#This Row],[Popolazione2011]]/$D$7911</f>
        <v>3.8772815483789234E-5</v>
      </c>
      <c r="F3397">
        <f>SUMIFS($D$2:$D$7909, $B$2:$B$7909, "Lombardia")</f>
        <v>9704151</v>
      </c>
      <c r="G3397" s="1">
        <f>Comuni__2[[#This Row],[Popolazione2011]]/Comuni__2[[#This Row],[POPOLAZIONE TOTALE DI OGNI REGIONE (CON FILTRO)]]</f>
        <v>2.3742417033700321E-4</v>
      </c>
      <c r="H3397" t="str">
        <f>IF(Comuni__2[[#This Row],[Popolazione2011]]&gt;300000,"MAGGIORE","")</f>
        <v/>
      </c>
      <c r="J3397">
        <v>944</v>
      </c>
      <c r="K3397">
        <v>30113</v>
      </c>
      <c r="L3397">
        <v>4203</v>
      </c>
    </row>
    <row r="3398" spans="1:12" x14ac:dyDescent="0.2">
      <c r="A3398"/>
      <c r="B3398"/>
      <c r="C3398"/>
      <c r="D3398"/>
      <c r="E3398" s="2">
        <f>Comuni__2[[#This Row],[Popolazione2011]]/$D$7911</f>
        <v>3.8621359173305682E-5</v>
      </c>
      <c r="F3398">
        <f>SUMIFS($D$2:$D$7909, $B$2:$B$7909, "Lombardia")</f>
        <v>9704151</v>
      </c>
      <c r="G3398" s="1">
        <f>Comuni__2[[#This Row],[Popolazione2011]]/Comuni__2[[#This Row],[POPOLAZIONE TOTALE DI OGNI REGIONE (CON FILTRO)]]</f>
        <v>2.3649673217162429E-4</v>
      </c>
      <c r="H3398" t="str">
        <f>IF(Comuni__2[[#This Row],[Popolazione2011]]&gt;300000,"MAGGIORE","")</f>
        <v/>
      </c>
      <c r="J3398">
        <v>1099</v>
      </c>
      <c r="K3398">
        <v>30228</v>
      </c>
      <c r="L3398">
        <v>4209</v>
      </c>
    </row>
    <row r="3399" spans="1:12" x14ac:dyDescent="0.2">
      <c r="A3399"/>
      <c r="B3399"/>
      <c r="C3399"/>
      <c r="D3399"/>
      <c r="E3399" s="2">
        <f>Comuni__2[[#This Row],[Popolazione2011]]/$D$7911</f>
        <v>3.8570873736477834E-5</v>
      </c>
      <c r="F3399">
        <f>SUMIFS($D$2:$D$7909, $B$2:$B$7909, "Lombardia")</f>
        <v>9704151</v>
      </c>
      <c r="G3399" s="1">
        <f>Comuni__2[[#This Row],[Popolazione2011]]/Comuni__2[[#This Row],[POPOLAZIONE TOTALE DI OGNI REGIONE (CON FILTRO)]]</f>
        <v>2.3618758611649798E-4</v>
      </c>
      <c r="H3399" t="str">
        <f>IF(Comuni__2[[#This Row],[Popolazione2011]]&gt;300000,"MAGGIORE","")</f>
        <v/>
      </c>
      <c r="J3399">
        <v>1185</v>
      </c>
      <c r="K3399">
        <v>30467</v>
      </c>
      <c r="L3399">
        <v>4216</v>
      </c>
    </row>
    <row r="3400" spans="1:12" x14ac:dyDescent="0.2">
      <c r="A3400"/>
      <c r="B3400"/>
      <c r="C3400"/>
      <c r="D3400"/>
      <c r="E3400" s="2">
        <f>Comuni__2[[#This Row],[Popolazione2011]]/$D$7911</f>
        <v>3.8520388299649986E-5</v>
      </c>
      <c r="F3400">
        <f>SUMIFS($D$2:$D$7909, $B$2:$B$7909, "Lombardia")</f>
        <v>9704151</v>
      </c>
      <c r="G3400" s="1">
        <f>Comuni__2[[#This Row],[Popolazione2011]]/Comuni__2[[#This Row],[POPOLAZIONE TOTALE DI OGNI REGIONE (CON FILTRO)]]</f>
        <v>2.3587844006137167E-4</v>
      </c>
      <c r="H3400" t="str">
        <f>IF(Comuni__2[[#This Row],[Popolazione2011]]&gt;300000,"MAGGIORE","")</f>
        <v/>
      </c>
      <c r="J3400">
        <v>1305</v>
      </c>
      <c r="K3400">
        <v>30661</v>
      </c>
      <c r="L3400">
        <v>4227</v>
      </c>
    </row>
    <row r="3401" spans="1:12" x14ac:dyDescent="0.2">
      <c r="A3401"/>
      <c r="B3401"/>
      <c r="C3401"/>
      <c r="D3401"/>
      <c r="E3401" s="2">
        <f>Comuni__2[[#This Row],[Popolazione2011]]/$D$7911</f>
        <v>3.8503559820707363E-5</v>
      </c>
      <c r="F3401">
        <f>SUMIFS($D$2:$D$7909, $B$2:$B$7909, "Lombardia")</f>
        <v>9704151</v>
      </c>
      <c r="G3401" s="1">
        <f>Comuni__2[[#This Row],[Popolazione2011]]/Comuni__2[[#This Row],[POPOLAZIONE TOTALE DI OGNI REGIONE (CON FILTRO)]]</f>
        <v>2.3577539137632956E-4</v>
      </c>
      <c r="H3401" t="str">
        <f>IF(Comuni__2[[#This Row],[Popolazione2011]]&gt;300000,"MAGGIORE","")</f>
        <v/>
      </c>
      <c r="J3401">
        <v>1446</v>
      </c>
      <c r="K3401">
        <v>31002</v>
      </c>
      <c r="L3401">
        <v>4236</v>
      </c>
    </row>
    <row r="3402" spans="1:12" x14ac:dyDescent="0.2">
      <c r="A3402"/>
      <c r="B3402"/>
      <c r="C3402"/>
      <c r="D3402"/>
      <c r="E3402" s="2">
        <f>Comuni__2[[#This Row],[Popolazione2011]]/$D$7911</f>
        <v>3.8503559820707363E-5</v>
      </c>
      <c r="F3402">
        <f>SUMIFS($D$2:$D$7909, $B$2:$B$7909, "Lombardia")</f>
        <v>9704151</v>
      </c>
      <c r="G3402" s="1">
        <f>Comuni__2[[#This Row],[Popolazione2011]]/Comuni__2[[#This Row],[POPOLAZIONE TOTALE DI OGNI REGIONE (CON FILTRO)]]</f>
        <v>2.3577539137632956E-4</v>
      </c>
      <c r="H3402" t="str">
        <f>IF(Comuni__2[[#This Row],[Popolazione2011]]&gt;300000,"MAGGIORE","")</f>
        <v/>
      </c>
      <c r="J3402">
        <v>1571</v>
      </c>
      <c r="K3402">
        <v>31157</v>
      </c>
      <c r="L3402">
        <v>4248</v>
      </c>
    </row>
    <row r="3403" spans="1:12" x14ac:dyDescent="0.2">
      <c r="A3403"/>
      <c r="B3403"/>
      <c r="C3403"/>
      <c r="D3403"/>
      <c r="E3403" s="2">
        <f>Comuni__2[[#This Row],[Popolazione2011]]/$D$7911</f>
        <v>3.8234304157625498E-5</v>
      </c>
      <c r="F3403">
        <f>SUMIFS($D$2:$D$7909, $B$2:$B$7909, "Lombardia")</f>
        <v>9704151</v>
      </c>
      <c r="G3403" s="1">
        <f>Comuni__2[[#This Row],[Popolazione2011]]/Comuni__2[[#This Row],[POPOLAZIONE TOTALE DI OGNI REGIONE (CON FILTRO)]]</f>
        <v>2.3412661241565595E-4</v>
      </c>
      <c r="H3403" t="str">
        <f>IF(Comuni__2[[#This Row],[Popolazione2011]]&gt;300000,"MAGGIORE","")</f>
        <v/>
      </c>
      <c r="J3403">
        <v>1695</v>
      </c>
      <c r="K3403">
        <v>31399</v>
      </c>
      <c r="L3403">
        <v>4259</v>
      </c>
    </row>
    <row r="3404" spans="1:12" x14ac:dyDescent="0.2">
      <c r="A3404"/>
      <c r="B3404"/>
      <c r="C3404"/>
      <c r="D3404"/>
      <c r="E3404" s="2">
        <f>Comuni__2[[#This Row],[Popolazione2011]]/$D$7911</f>
        <v>3.8183818720797643E-5</v>
      </c>
      <c r="F3404">
        <f>SUMIFS($D$2:$D$7909, $B$2:$B$7909, "Lombardia")</f>
        <v>9704151</v>
      </c>
      <c r="G3404" s="1">
        <f>Comuni__2[[#This Row],[Popolazione2011]]/Comuni__2[[#This Row],[POPOLAZIONE TOTALE DI OGNI REGIONE (CON FILTRO)]]</f>
        <v>2.3381746636052964E-4</v>
      </c>
      <c r="H3404" t="str">
        <f>IF(Comuni__2[[#This Row],[Popolazione2011]]&gt;300000,"MAGGIORE","")</f>
        <v/>
      </c>
      <c r="J3404">
        <v>1951</v>
      </c>
      <c r="K3404">
        <v>31620</v>
      </c>
      <c r="L3404">
        <v>4273</v>
      </c>
    </row>
    <row r="3405" spans="1:12" x14ac:dyDescent="0.2">
      <c r="A3405"/>
      <c r="B3405"/>
      <c r="C3405"/>
      <c r="D3405"/>
      <c r="E3405" s="2">
        <f>Comuni__2[[#This Row],[Popolazione2011]]/$D$7911</f>
        <v>3.8015533931371475E-5</v>
      </c>
      <c r="F3405">
        <f>SUMIFS($D$2:$D$7909, $B$2:$B$7909, "Lombardia")</f>
        <v>9704151</v>
      </c>
      <c r="G3405" s="1">
        <f>Comuni__2[[#This Row],[Popolazione2011]]/Comuni__2[[#This Row],[POPOLAZIONE TOTALE DI OGNI REGIONE (CON FILTRO)]]</f>
        <v>2.3278697951010862E-4</v>
      </c>
      <c r="H3405" t="str">
        <f>IF(Comuni__2[[#This Row],[Popolazione2011]]&gt;300000,"MAGGIORE","")</f>
        <v/>
      </c>
      <c r="J3405">
        <v>2137</v>
      </c>
      <c r="K3405">
        <v>32092</v>
      </c>
      <c r="L3405">
        <v>4286</v>
      </c>
    </row>
    <row r="3406" spans="1:12" x14ac:dyDescent="0.2">
      <c r="A3406"/>
      <c r="B3406"/>
      <c r="C3406"/>
      <c r="D3406"/>
      <c r="E3406" s="2">
        <f>Comuni__2[[#This Row],[Popolazione2011]]/$D$7911</f>
        <v>3.7847249141945307E-5</v>
      </c>
      <c r="F3406">
        <f>SUMIFS($D$2:$D$7909, $B$2:$B$7909, "Lombardia")</f>
        <v>9704151</v>
      </c>
      <c r="G3406" s="1">
        <f>Comuni__2[[#This Row],[Popolazione2011]]/Comuni__2[[#This Row],[POPOLAZIONE TOTALE DI OGNI REGIONE (CON FILTRO)]]</f>
        <v>2.317564926596876E-4</v>
      </c>
      <c r="H3406" t="str">
        <f>IF(Comuni__2[[#This Row],[Popolazione2011]]&gt;300000,"MAGGIORE","")</f>
        <v/>
      </c>
      <c r="J3406">
        <v>2372</v>
      </c>
      <c r="K3406">
        <v>32353</v>
      </c>
      <c r="L3406">
        <v>4305</v>
      </c>
    </row>
    <row r="3407" spans="1:12" x14ac:dyDescent="0.2">
      <c r="A3407"/>
      <c r="B3407"/>
      <c r="C3407"/>
      <c r="D3407"/>
      <c r="E3407" s="2">
        <f>Comuni__2[[#This Row],[Popolazione2011]]/$D$7911</f>
        <v>3.7695792831461755E-5</v>
      </c>
      <c r="F3407">
        <f>SUMIFS($D$2:$D$7909, $B$2:$B$7909, "Lombardia")</f>
        <v>9704151</v>
      </c>
      <c r="G3407" s="1">
        <f>Comuni__2[[#This Row],[Popolazione2011]]/Comuni__2[[#This Row],[POPOLAZIONE TOTALE DI OGNI REGIONE (CON FILTRO)]]</f>
        <v>2.3082905449430866E-4</v>
      </c>
      <c r="H3407" t="str">
        <f>IF(Comuni__2[[#This Row],[Popolazione2011]]&gt;300000,"MAGGIORE","")</f>
        <v/>
      </c>
      <c r="J3407">
        <v>2527</v>
      </c>
      <c r="K3407">
        <v>32807</v>
      </c>
      <c r="L3407">
        <v>4332</v>
      </c>
    </row>
    <row r="3408" spans="1:12" x14ac:dyDescent="0.2">
      <c r="A3408"/>
      <c r="B3408"/>
      <c r="C3408"/>
      <c r="D3408"/>
      <c r="E3408" s="2">
        <f>Comuni__2[[#This Row],[Popolazione2011]]/$D$7911</f>
        <v>3.7695792831461755E-5</v>
      </c>
      <c r="F3408">
        <f>SUMIFS($D$2:$D$7909, $B$2:$B$7909, "Lombardia")</f>
        <v>9704151</v>
      </c>
      <c r="G3408" s="1">
        <f>Comuni__2[[#This Row],[Popolazione2011]]/Comuni__2[[#This Row],[POPOLAZIONE TOTALE DI OGNI REGIONE (CON FILTRO)]]</f>
        <v>2.3082905449430866E-4</v>
      </c>
      <c r="H3408" t="str">
        <f>IF(Comuni__2[[#This Row],[Popolazione2011]]&gt;300000,"MAGGIORE","")</f>
        <v/>
      </c>
      <c r="J3408">
        <v>2706</v>
      </c>
      <c r="K3408">
        <v>33006</v>
      </c>
      <c r="L3408">
        <v>4355</v>
      </c>
    </row>
    <row r="3409" spans="1:12" x14ac:dyDescent="0.2">
      <c r="A3409"/>
      <c r="B3409"/>
      <c r="C3409"/>
      <c r="D3409"/>
      <c r="E3409" s="2">
        <f>Comuni__2[[#This Row],[Popolazione2011]]/$D$7911</f>
        <v>3.7561164999920819E-5</v>
      </c>
      <c r="F3409">
        <f>SUMIFS($D$2:$D$7909, $B$2:$B$7909, "Lombardia")</f>
        <v>9704151</v>
      </c>
      <c r="G3409" s="1">
        <f>Comuni__2[[#This Row],[Popolazione2011]]/Comuni__2[[#This Row],[POPOLAZIONE TOTALE DI OGNI REGIONE (CON FILTRO)]]</f>
        <v>2.3000466501397186E-4</v>
      </c>
      <c r="H3409" t="str">
        <f>IF(Comuni__2[[#This Row],[Popolazione2011]]&gt;300000,"MAGGIORE","")</f>
        <v/>
      </c>
      <c r="J3409">
        <v>2857</v>
      </c>
      <c r="K3409">
        <v>33429</v>
      </c>
      <c r="L3409">
        <v>4383</v>
      </c>
    </row>
    <row r="3410" spans="1:12" x14ac:dyDescent="0.2">
      <c r="A3410"/>
      <c r="B3410"/>
      <c r="C3410"/>
      <c r="D3410"/>
      <c r="E3410" s="2">
        <f>Comuni__2[[#This Row],[Popolazione2011]]/$D$7911</f>
        <v>3.7544336520978203E-5</v>
      </c>
      <c r="F3410">
        <f>SUMIFS($D$2:$D$7909, $B$2:$B$7909, "Lombardia")</f>
        <v>9704151</v>
      </c>
      <c r="G3410" s="1">
        <f>Comuni__2[[#This Row],[Popolazione2011]]/Comuni__2[[#This Row],[POPOLAZIONE TOTALE DI OGNI REGIONE (CON FILTRO)]]</f>
        <v>2.2990161632892975E-4</v>
      </c>
      <c r="H3410" t="str">
        <f>IF(Comuni__2[[#This Row],[Popolazione2011]]&gt;300000,"MAGGIORE","")</f>
        <v/>
      </c>
      <c r="J3410">
        <v>3023</v>
      </c>
      <c r="K3410">
        <v>33852</v>
      </c>
      <c r="L3410">
        <v>4394</v>
      </c>
    </row>
    <row r="3411" spans="1:12" x14ac:dyDescent="0.2">
      <c r="A3411"/>
      <c r="B3411"/>
      <c r="C3411"/>
      <c r="D3411"/>
      <c r="E3411" s="2">
        <f>Comuni__2[[#This Row],[Popolazione2011]]/$D$7911</f>
        <v>3.7527508042035587E-5</v>
      </c>
      <c r="F3411">
        <f>SUMIFS($D$2:$D$7909, $B$2:$B$7909, "Lombardia")</f>
        <v>9704151</v>
      </c>
      <c r="G3411" s="1">
        <f>Comuni__2[[#This Row],[Popolazione2011]]/Comuni__2[[#This Row],[POPOLAZIONE TOTALE DI OGNI REGIONE (CON FILTRO)]]</f>
        <v>2.2979856764388765E-4</v>
      </c>
      <c r="H3411" t="str">
        <f>IF(Comuni__2[[#This Row],[Popolazione2011]]&gt;300000,"MAGGIORE","")</f>
        <v/>
      </c>
      <c r="J3411">
        <v>3304</v>
      </c>
      <c r="K3411">
        <v>34153</v>
      </c>
      <c r="L3411">
        <v>4415</v>
      </c>
    </row>
    <row r="3412" spans="1:12" x14ac:dyDescent="0.2">
      <c r="A3412"/>
      <c r="B3412"/>
      <c r="C3412"/>
      <c r="D3412"/>
      <c r="E3412" s="2">
        <f>Comuni__2[[#This Row],[Popolazione2011]]/$D$7911</f>
        <v>3.7477022605207738E-5</v>
      </c>
      <c r="F3412">
        <f>SUMIFS($D$2:$D$7909, $B$2:$B$7909, "Lombardia")</f>
        <v>9704151</v>
      </c>
      <c r="G3412" s="1">
        <f>Comuni__2[[#This Row],[Popolazione2011]]/Comuni__2[[#This Row],[POPOLAZIONE TOTALE DI OGNI REGIONE (CON FILTRO)]]</f>
        <v>2.2948942158876134E-4</v>
      </c>
      <c r="H3412" t="str">
        <f>IF(Comuni__2[[#This Row],[Popolazione2011]]&gt;300000,"MAGGIORE","")</f>
        <v/>
      </c>
      <c r="J3412">
        <v>3592</v>
      </c>
      <c r="K3412">
        <v>34675</v>
      </c>
      <c r="L3412">
        <v>4444</v>
      </c>
    </row>
    <row r="3413" spans="1:12" x14ac:dyDescent="0.2">
      <c r="A3413"/>
      <c r="B3413"/>
      <c r="C3413"/>
      <c r="D3413"/>
      <c r="E3413" s="2">
        <f>Comuni__2[[#This Row],[Popolazione2011]]/$D$7911</f>
        <v>3.7477022605207738E-5</v>
      </c>
      <c r="F3413">
        <f>SUMIFS($D$2:$D$7909, $B$2:$B$7909, "Lombardia")</f>
        <v>9704151</v>
      </c>
      <c r="G3413" s="1">
        <f>Comuni__2[[#This Row],[Popolazione2011]]/Comuni__2[[#This Row],[POPOLAZIONE TOTALE DI OGNI REGIONE (CON FILTRO)]]</f>
        <v>2.2948942158876134E-4</v>
      </c>
      <c r="H3413" t="str">
        <f>IF(Comuni__2[[#This Row],[Popolazione2011]]&gt;300000,"MAGGIORE","")</f>
        <v/>
      </c>
      <c r="J3413">
        <v>3758</v>
      </c>
      <c r="K3413">
        <v>35351</v>
      </c>
      <c r="L3413">
        <v>4481</v>
      </c>
    </row>
    <row r="3414" spans="1:12" x14ac:dyDescent="0.2">
      <c r="A3414"/>
      <c r="B3414"/>
      <c r="C3414"/>
      <c r="D3414"/>
      <c r="E3414" s="2">
        <f>Comuni__2[[#This Row],[Popolazione2011]]/$D$7911</f>
        <v>3.742653716837989E-5</v>
      </c>
      <c r="F3414">
        <f>SUMIFS($D$2:$D$7909, $B$2:$B$7909, "Lombardia")</f>
        <v>9704151</v>
      </c>
      <c r="G3414" s="1">
        <f>Comuni__2[[#This Row],[Popolazione2011]]/Comuni__2[[#This Row],[POPOLAZIONE TOTALE DI OGNI REGIONE (CON FILTRO)]]</f>
        <v>2.2918027553363505E-4</v>
      </c>
      <c r="H3414" t="str">
        <f>IF(Comuni__2[[#This Row],[Popolazione2011]]&gt;300000,"MAGGIORE","")</f>
        <v/>
      </c>
      <c r="J3414">
        <v>3947</v>
      </c>
      <c r="K3414">
        <v>36086</v>
      </c>
      <c r="L3414">
        <v>4520</v>
      </c>
    </row>
    <row r="3415" spans="1:12" x14ac:dyDescent="0.2">
      <c r="A3415"/>
      <c r="B3415"/>
      <c r="C3415"/>
      <c r="D3415"/>
      <c r="E3415" s="2">
        <f>Comuni__2[[#This Row],[Popolazione2011]]/$D$7911</f>
        <v>3.7275080857896338E-5</v>
      </c>
      <c r="F3415">
        <f>SUMIFS($D$2:$D$7909, $B$2:$B$7909, "Lombardia")</f>
        <v>9704151</v>
      </c>
      <c r="G3415" s="1">
        <f>Comuni__2[[#This Row],[Popolazione2011]]/Comuni__2[[#This Row],[POPOLAZIONE TOTALE DI OGNI REGIONE (CON FILTRO)]]</f>
        <v>2.2825283736825611E-4</v>
      </c>
      <c r="H3415" t="str">
        <f>IF(Comuni__2[[#This Row],[Popolazione2011]]&gt;300000,"MAGGIORE","")</f>
        <v/>
      </c>
      <c r="J3415">
        <v>4139</v>
      </c>
      <c r="K3415">
        <v>36993</v>
      </c>
      <c r="L3415">
        <v>4549</v>
      </c>
    </row>
    <row r="3416" spans="1:12" x14ac:dyDescent="0.2">
      <c r="A3416"/>
      <c r="B3416"/>
      <c r="C3416"/>
      <c r="D3416"/>
      <c r="E3416" s="2">
        <f>Comuni__2[[#This Row],[Popolazione2011]]/$D$7911</f>
        <v>3.7241423900011099E-5</v>
      </c>
      <c r="F3416">
        <f>SUMIFS($D$2:$D$7909, $B$2:$B$7909, "Lombardia")</f>
        <v>9704151</v>
      </c>
      <c r="G3416" s="1">
        <f>Comuni__2[[#This Row],[Popolazione2011]]/Comuni__2[[#This Row],[POPOLAZIONE TOTALE DI OGNI REGIONE (CON FILTRO)]]</f>
        <v>2.2804673999817193E-4</v>
      </c>
      <c r="H3416" t="str">
        <f>IF(Comuni__2[[#This Row],[Popolazione2011]]&gt;300000,"MAGGIORE","")</f>
        <v/>
      </c>
      <c r="J3416">
        <v>4406</v>
      </c>
      <c r="K3416">
        <v>37812</v>
      </c>
      <c r="L3416">
        <v>4594</v>
      </c>
    </row>
    <row r="3417" spans="1:12" x14ac:dyDescent="0.2">
      <c r="A3417"/>
      <c r="B3417"/>
      <c r="C3417"/>
      <c r="D3417"/>
      <c r="E3417" s="2">
        <f>Comuni__2[[#This Row],[Popolazione2011]]/$D$7911</f>
        <v>3.7140453026355402E-5</v>
      </c>
      <c r="F3417">
        <f>SUMIFS($D$2:$D$7909, $B$2:$B$7909, "Lombardia")</f>
        <v>9704151</v>
      </c>
      <c r="G3417" s="1">
        <f>Comuni__2[[#This Row],[Popolazione2011]]/Comuni__2[[#This Row],[POPOLAZIONE TOTALE DI OGNI REGIONE (CON FILTRO)]]</f>
        <v>2.274284478879193E-4</v>
      </c>
      <c r="H3417" t="str">
        <f>IF(Comuni__2[[#This Row],[Popolazione2011]]&gt;300000,"MAGGIORE","")</f>
        <v/>
      </c>
      <c r="J3417">
        <v>4671</v>
      </c>
      <c r="K3417">
        <v>38953</v>
      </c>
      <c r="L3417">
        <v>4629</v>
      </c>
    </row>
    <row r="3418" spans="1:12" x14ac:dyDescent="0.2">
      <c r="A3418"/>
      <c r="B3418"/>
      <c r="C3418"/>
      <c r="D3418"/>
      <c r="E3418" s="2">
        <f>Comuni__2[[#This Row],[Popolazione2011]]/$D$7911</f>
        <v>3.7140453026355402E-5</v>
      </c>
      <c r="F3418">
        <f>SUMIFS($D$2:$D$7909, $B$2:$B$7909, "Lombardia")</f>
        <v>9704151</v>
      </c>
      <c r="G3418" s="1">
        <f>Comuni__2[[#This Row],[Popolazione2011]]/Comuni__2[[#This Row],[POPOLAZIONE TOTALE DI OGNI REGIONE (CON FILTRO)]]</f>
        <v>2.274284478879193E-4</v>
      </c>
      <c r="H3418" t="str">
        <f>IF(Comuni__2[[#This Row],[Popolazione2011]]&gt;300000,"MAGGIORE","")</f>
        <v/>
      </c>
      <c r="J3418">
        <v>4852</v>
      </c>
      <c r="K3418">
        <v>39721</v>
      </c>
      <c r="L3418">
        <v>4678</v>
      </c>
    </row>
    <row r="3419" spans="1:12" x14ac:dyDescent="0.2">
      <c r="A3419"/>
      <c r="B3419"/>
      <c r="C3419"/>
      <c r="D3419"/>
      <c r="E3419" s="2">
        <f>Comuni__2[[#This Row],[Popolazione2011]]/$D$7911</f>
        <v>3.710679606847017E-5</v>
      </c>
      <c r="F3419">
        <f>SUMIFS($D$2:$D$7909, $B$2:$B$7909, "Lombardia")</f>
        <v>9704151</v>
      </c>
      <c r="G3419" s="1">
        <f>Comuni__2[[#This Row],[Popolazione2011]]/Comuni__2[[#This Row],[POPOLAZIONE TOTALE DI OGNI REGIONE (CON FILTRO)]]</f>
        <v>2.2722235051783509E-4</v>
      </c>
      <c r="H3419" t="str">
        <f>IF(Comuni__2[[#This Row],[Popolazione2011]]&gt;300000,"MAGGIORE","")</f>
        <v/>
      </c>
      <c r="J3419">
        <v>5040</v>
      </c>
      <c r="K3419">
        <v>40737</v>
      </c>
      <c r="L3419">
        <v>4742</v>
      </c>
    </row>
    <row r="3420" spans="1:12" x14ac:dyDescent="0.2">
      <c r="A3420"/>
      <c r="B3420"/>
      <c r="C3420"/>
      <c r="D3420"/>
      <c r="E3420" s="2">
        <f>Comuni__2[[#This Row],[Popolazione2011]]/$D$7911</f>
        <v>3.7089967589527547E-5</v>
      </c>
      <c r="F3420">
        <f>SUMIFS($D$2:$D$7909, $B$2:$B$7909, "Lombardia")</f>
        <v>9704151</v>
      </c>
      <c r="G3420" s="1">
        <f>Comuni__2[[#This Row],[Popolazione2011]]/Comuni__2[[#This Row],[POPOLAZIONE TOTALE DI OGNI REGIONE (CON FILTRO)]]</f>
        <v>2.2711930183279299E-4</v>
      </c>
      <c r="H3420" t="str">
        <f>IF(Comuni__2[[#This Row],[Popolazione2011]]&gt;300000,"MAGGIORE","")</f>
        <v/>
      </c>
      <c r="J3420">
        <v>5130</v>
      </c>
      <c r="K3420">
        <v>42087</v>
      </c>
      <c r="L3420">
        <v>4826</v>
      </c>
    </row>
    <row r="3421" spans="1:12" x14ac:dyDescent="0.2">
      <c r="A3421"/>
      <c r="B3421"/>
      <c r="C3421"/>
      <c r="D3421"/>
      <c r="E3421" s="2">
        <f>Comuni__2[[#This Row],[Popolazione2011]]/$D$7911</f>
        <v>3.6955339757986618E-5</v>
      </c>
      <c r="F3421">
        <f>SUMIFS($D$2:$D$7909, $B$2:$B$7909, "Lombardia")</f>
        <v>9704151</v>
      </c>
      <c r="G3421" s="1">
        <f>Comuni__2[[#This Row],[Popolazione2011]]/Comuni__2[[#This Row],[POPOLAZIONE TOTALE DI OGNI REGIONE (CON FILTRO)]]</f>
        <v>2.2629491235245618E-4</v>
      </c>
      <c r="H3421" t="str">
        <f>IF(Comuni__2[[#This Row],[Popolazione2011]]&gt;300000,"MAGGIORE","")</f>
        <v/>
      </c>
      <c r="J3421">
        <v>5181</v>
      </c>
      <c r="K3421">
        <v>43953</v>
      </c>
      <c r="L3421">
        <v>4903</v>
      </c>
    </row>
    <row r="3422" spans="1:12" x14ac:dyDescent="0.2">
      <c r="A3422"/>
      <c r="B3422"/>
      <c r="C3422"/>
      <c r="D3422"/>
      <c r="E3422" s="2">
        <f>Comuni__2[[#This Row],[Popolazione2011]]/$D$7911</f>
        <v>3.6820711926445682E-5</v>
      </c>
      <c r="F3422">
        <f>SUMIFS($D$2:$D$7909, $B$2:$B$7909, "Lombardia")</f>
        <v>9704151</v>
      </c>
      <c r="G3422" s="1">
        <f>Comuni__2[[#This Row],[Popolazione2011]]/Comuni__2[[#This Row],[POPOLAZIONE TOTALE DI OGNI REGIONE (CON FILTRO)]]</f>
        <v>2.2547052287211938E-4</v>
      </c>
      <c r="H3422" t="str">
        <f>IF(Comuni__2[[#This Row],[Popolazione2011]]&gt;300000,"MAGGIORE","")</f>
        <v/>
      </c>
      <c r="J3422">
        <v>5243</v>
      </c>
      <c r="K3422">
        <v>45694</v>
      </c>
      <c r="L3422">
        <v>4964</v>
      </c>
    </row>
    <row r="3423" spans="1:12" x14ac:dyDescent="0.2">
      <c r="A3423"/>
      <c r="B3423"/>
      <c r="C3423"/>
      <c r="D3423"/>
      <c r="E3423" s="2">
        <f>Comuni__2[[#This Row],[Popolazione2011]]/$D$7911</f>
        <v>3.6803883447503066E-5</v>
      </c>
      <c r="F3423">
        <f>SUMIFS($D$2:$D$7909, $B$2:$B$7909, "Lombardia")</f>
        <v>9704151</v>
      </c>
      <c r="G3423" s="1">
        <f>Comuni__2[[#This Row],[Popolazione2011]]/Comuni__2[[#This Row],[POPOLAZIONE TOTALE DI OGNI REGIONE (CON FILTRO)]]</f>
        <v>2.2536747418707727E-4</v>
      </c>
      <c r="H3423" t="str">
        <f>IF(Comuni__2[[#This Row],[Popolazione2011]]&gt;300000,"MAGGIORE","")</f>
        <v/>
      </c>
      <c r="J3423">
        <v>5262</v>
      </c>
      <c r="K3423">
        <v>47567</v>
      </c>
      <c r="L3423">
        <v>5001</v>
      </c>
    </row>
    <row r="3424" spans="1:12" x14ac:dyDescent="0.2">
      <c r="A3424"/>
      <c r="B3424"/>
      <c r="C3424"/>
      <c r="D3424"/>
      <c r="E3424" s="2">
        <f>Comuni__2[[#This Row],[Popolazione2011]]/$D$7911</f>
        <v>3.6736569531732595E-5</v>
      </c>
      <c r="F3424">
        <f>SUMIFS($D$2:$D$7909, $B$2:$B$7909, "Lombardia")</f>
        <v>9704151</v>
      </c>
      <c r="G3424" s="1">
        <f>Comuni__2[[#This Row],[Popolazione2011]]/Comuni__2[[#This Row],[POPOLAZIONE TOTALE DI OGNI REGIONE (CON FILTRO)]]</f>
        <v>2.2495527944690885E-4</v>
      </c>
      <c r="H3424" t="str">
        <f>IF(Comuni__2[[#This Row],[Popolazione2011]]&gt;300000,"MAGGIORE","")</f>
        <v/>
      </c>
      <c r="J3424">
        <v>5293</v>
      </c>
      <c r="K3424">
        <v>49190</v>
      </c>
      <c r="L3424">
        <v>5046</v>
      </c>
    </row>
    <row r="3425" spans="1:12" x14ac:dyDescent="0.2">
      <c r="A3425"/>
      <c r="B3425"/>
      <c r="C3425"/>
      <c r="D3425"/>
      <c r="E3425" s="2">
        <f>Comuni__2[[#This Row],[Popolazione2011]]/$D$7911</f>
        <v>3.6601941700191659E-5</v>
      </c>
      <c r="F3425">
        <f>SUMIFS($D$2:$D$7909, $B$2:$B$7909, "Lombardia")</f>
        <v>9704151</v>
      </c>
      <c r="G3425" s="1">
        <f>Comuni__2[[#This Row],[Popolazione2011]]/Comuni__2[[#This Row],[POPOLAZIONE TOTALE DI OGNI REGIONE (CON FILTRO)]]</f>
        <v>2.2413088996657205E-4</v>
      </c>
      <c r="H3425" t="str">
        <f>IF(Comuni__2[[#This Row],[Popolazione2011]]&gt;300000,"MAGGIORE","")</f>
        <v/>
      </c>
      <c r="J3425">
        <v>5452</v>
      </c>
      <c r="K3425">
        <v>50884</v>
      </c>
      <c r="L3425">
        <v>5117</v>
      </c>
    </row>
    <row r="3426" spans="1:12" x14ac:dyDescent="0.2">
      <c r="A3426"/>
      <c r="B3426"/>
      <c r="C3426"/>
      <c r="D3426"/>
      <c r="E3426" s="2">
        <f>Comuni__2[[#This Row],[Popolazione2011]]/$D$7911</f>
        <v>3.6433656910765491E-5</v>
      </c>
      <c r="F3426">
        <f>SUMIFS($D$2:$D$7909, $B$2:$B$7909, "Lombardia")</f>
        <v>9704151</v>
      </c>
      <c r="G3426" s="1">
        <f>Comuni__2[[#This Row],[Popolazione2011]]/Comuni__2[[#This Row],[POPOLAZIONE TOTALE DI OGNI REGIONE (CON FILTRO)]]</f>
        <v>2.23100403116151E-4</v>
      </c>
      <c r="H3426" t="str">
        <f>IF(Comuni__2[[#This Row],[Popolazione2011]]&gt;300000,"MAGGIORE","")</f>
        <v/>
      </c>
      <c r="J3426">
        <v>5534</v>
      </c>
      <c r="K3426">
        <v>52571</v>
      </c>
      <c r="L3426">
        <v>5190</v>
      </c>
    </row>
    <row r="3427" spans="1:12" x14ac:dyDescent="0.2">
      <c r="A3427"/>
      <c r="B3427"/>
      <c r="C3427"/>
      <c r="D3427"/>
      <c r="E3427" s="2">
        <f>Comuni__2[[#This Row],[Popolazione2011]]/$D$7911</f>
        <v>3.6366342994995027E-5</v>
      </c>
      <c r="F3427">
        <f>SUMIFS($D$2:$D$7909, $B$2:$B$7909, "Lombardia")</f>
        <v>9704151</v>
      </c>
      <c r="G3427" s="1">
        <f>Comuni__2[[#This Row],[Popolazione2011]]/Comuni__2[[#This Row],[POPOLAZIONE TOTALE DI OGNI REGIONE (CON FILTRO)]]</f>
        <v>2.2268820837598261E-4</v>
      </c>
      <c r="H3427" t="str">
        <f>IF(Comuni__2[[#This Row],[Popolazione2011]]&gt;300000,"MAGGIORE","")</f>
        <v/>
      </c>
      <c r="J3427">
        <v>5596</v>
      </c>
      <c r="K3427">
        <v>54511</v>
      </c>
      <c r="L3427">
        <v>5253</v>
      </c>
    </row>
    <row r="3428" spans="1:12" x14ac:dyDescent="0.2">
      <c r="A3428"/>
      <c r="B3428"/>
      <c r="C3428"/>
      <c r="D3428"/>
      <c r="E3428" s="2">
        <f>Comuni__2[[#This Row],[Popolazione2011]]/$D$7911</f>
        <v>3.6315857558167172E-5</v>
      </c>
      <c r="F3428">
        <f>SUMIFS($D$2:$D$7909, $B$2:$B$7909, "Lombardia")</f>
        <v>9704151</v>
      </c>
      <c r="G3428" s="1">
        <f>Comuni__2[[#This Row],[Popolazione2011]]/Comuni__2[[#This Row],[POPOLAZIONE TOTALE DI OGNI REGIONE (CON FILTRO)]]</f>
        <v>2.223790623208563E-4</v>
      </c>
      <c r="H3428" t="str">
        <f>IF(Comuni__2[[#This Row],[Popolazione2011]]&gt;300000,"MAGGIORE","")</f>
        <v/>
      </c>
      <c r="J3428">
        <v>5537</v>
      </c>
      <c r="K3428">
        <v>57609</v>
      </c>
      <c r="L3428">
        <v>5331</v>
      </c>
    </row>
    <row r="3429" spans="1:12" x14ac:dyDescent="0.2">
      <c r="A3429"/>
      <c r="B3429"/>
      <c r="C3429"/>
      <c r="D3429"/>
      <c r="E3429" s="2">
        <f>Comuni__2[[#This Row],[Popolazione2011]]/$D$7911</f>
        <v>3.6231715163454091E-5</v>
      </c>
      <c r="F3429">
        <f>SUMIFS($D$2:$D$7909, $B$2:$B$7909, "Lombardia")</f>
        <v>9704151</v>
      </c>
      <c r="G3429" s="1">
        <f>Comuni__2[[#This Row],[Popolazione2011]]/Comuni__2[[#This Row],[POPOLAZIONE TOTALE DI OGNI REGIONE (CON FILTRO)]]</f>
        <v>2.2186381889564578E-4</v>
      </c>
      <c r="H3429" t="str">
        <f>IF(Comuni__2[[#This Row],[Popolazione2011]]&gt;300000,"MAGGIORE","")</f>
        <v/>
      </c>
      <c r="J3429">
        <v>5618</v>
      </c>
      <c r="K3429">
        <v>62074</v>
      </c>
      <c r="L3429">
        <v>5419</v>
      </c>
    </row>
    <row r="3430" spans="1:12" x14ac:dyDescent="0.2">
      <c r="A3430"/>
      <c r="B3430"/>
      <c r="C3430"/>
      <c r="D3430"/>
      <c r="E3430" s="2">
        <f>Comuni__2[[#This Row],[Popolazione2011]]/$D$7911</f>
        <v>3.6012944937200075E-5</v>
      </c>
      <c r="F3430">
        <f>SUMIFS($D$2:$D$7909, $B$2:$B$7909, "Lombardia")</f>
        <v>9704151</v>
      </c>
      <c r="G3430" s="1">
        <f>Comuni__2[[#This Row],[Popolazione2011]]/Comuni__2[[#This Row],[POPOLAZIONE TOTALE DI OGNI REGIONE (CON FILTRO)]]</f>
        <v>2.2052418599009848E-4</v>
      </c>
      <c r="H3430" t="str">
        <f>IF(Comuni__2[[#This Row],[Popolazione2011]]&gt;300000,"MAGGIORE","")</f>
        <v/>
      </c>
      <c r="J3430">
        <v>5540</v>
      </c>
      <c r="K3430">
        <v>65346</v>
      </c>
      <c r="L3430">
        <v>5496</v>
      </c>
    </row>
    <row r="3431" spans="1:12" x14ac:dyDescent="0.2">
      <c r="A3431"/>
      <c r="B3431"/>
      <c r="C3431"/>
      <c r="D3431"/>
      <c r="E3431" s="2">
        <f>Comuni__2[[#This Row],[Popolazione2011]]/$D$7911</f>
        <v>3.5962459500372219E-5</v>
      </c>
      <c r="F3431">
        <f>SUMIFS($D$2:$D$7909, $B$2:$B$7909, "Lombardia")</f>
        <v>9704151</v>
      </c>
      <c r="G3431" s="1">
        <f>Comuni__2[[#This Row],[Popolazione2011]]/Comuni__2[[#This Row],[POPOLAZIONE TOTALE DI OGNI REGIONE (CON FILTRO)]]</f>
        <v>2.2021503993497216E-4</v>
      </c>
      <c r="H3431" t="str">
        <f>IF(Comuni__2[[#This Row],[Popolazione2011]]&gt;300000,"MAGGIORE","")</f>
        <v/>
      </c>
      <c r="J3431">
        <v>5530</v>
      </c>
      <c r="K3431">
        <v>66998</v>
      </c>
      <c r="L3431">
        <v>5565</v>
      </c>
    </row>
    <row r="3432" spans="1:12" x14ac:dyDescent="0.2">
      <c r="A3432"/>
      <c r="B3432"/>
      <c r="C3432"/>
      <c r="D3432"/>
      <c r="E3432" s="2">
        <f>Comuni__2[[#This Row],[Popolazione2011]]/$D$7911</f>
        <v>3.5760517753060819E-5</v>
      </c>
      <c r="F3432">
        <f>SUMIFS($D$2:$D$7909, $B$2:$B$7909, "Lombardia")</f>
        <v>9704151</v>
      </c>
      <c r="G3432" s="1">
        <f>Comuni__2[[#This Row],[Popolazione2011]]/Comuni__2[[#This Row],[POPOLAZIONE TOTALE DI OGNI REGIONE (CON FILTRO)]]</f>
        <v>2.1897845571446694E-4</v>
      </c>
      <c r="H3432" t="str">
        <f>IF(Comuni__2[[#This Row],[Popolazione2011]]&gt;300000,"MAGGIORE","")</f>
        <v/>
      </c>
      <c r="J3432">
        <v>5511</v>
      </c>
      <c r="K3432">
        <v>68736</v>
      </c>
      <c r="L3432">
        <v>5646</v>
      </c>
    </row>
    <row r="3433" spans="1:12" x14ac:dyDescent="0.2">
      <c r="A3433"/>
      <c r="B3433"/>
      <c r="C3433"/>
      <c r="D3433"/>
      <c r="E3433" s="2">
        <f>Comuni__2[[#This Row],[Popolazione2011]]/$D$7911</f>
        <v>3.5726860795175587E-5</v>
      </c>
      <c r="F3433">
        <f>SUMIFS($D$2:$D$7909, $B$2:$B$7909, "Lombardia")</f>
        <v>9704151</v>
      </c>
      <c r="G3433" s="1">
        <f>Comuni__2[[#This Row],[Popolazione2011]]/Comuni__2[[#This Row],[POPOLAZIONE TOTALE DI OGNI REGIONE (CON FILTRO)]]</f>
        <v>2.1877235834438273E-4</v>
      </c>
      <c r="H3433" t="str">
        <f>IF(Comuni__2[[#This Row],[Popolazione2011]]&gt;300000,"MAGGIORE","")</f>
        <v/>
      </c>
      <c r="J3433">
        <v>5520</v>
      </c>
      <c r="K3433">
        <v>70581</v>
      </c>
      <c r="L3433">
        <v>5719</v>
      </c>
    </row>
    <row r="3434" spans="1:12" x14ac:dyDescent="0.2">
      <c r="A3434"/>
      <c r="B3434"/>
      <c r="C3434"/>
      <c r="D3434"/>
      <c r="E3434" s="2">
        <f>Comuni__2[[#This Row],[Popolazione2011]]/$D$7911</f>
        <v>3.5659546879405116E-5</v>
      </c>
      <c r="F3434">
        <f>SUMIFS($D$2:$D$7909, $B$2:$B$7909, "Lombardia")</f>
        <v>9704151</v>
      </c>
      <c r="G3434" s="1">
        <f>Comuni__2[[#This Row],[Popolazione2011]]/Comuni__2[[#This Row],[POPOLAZIONE TOTALE DI OGNI REGIONE (CON FILTRO)]]</f>
        <v>2.1836016360421431E-4</v>
      </c>
      <c r="H3434" t="str">
        <f>IF(Comuni__2[[#This Row],[Popolazione2011]]&gt;300000,"MAGGIORE","")</f>
        <v/>
      </c>
      <c r="J3434">
        <v>5498</v>
      </c>
      <c r="K3434">
        <v>72529</v>
      </c>
      <c r="L3434">
        <v>5803</v>
      </c>
    </row>
    <row r="3435" spans="1:12" x14ac:dyDescent="0.2">
      <c r="A3435"/>
      <c r="B3435"/>
      <c r="C3435"/>
      <c r="D3435"/>
      <c r="E3435" s="2">
        <f>Comuni__2[[#This Row],[Popolazione2011]]/$D$7911</f>
        <v>3.5659546879405116E-5</v>
      </c>
      <c r="F3435">
        <f>SUMIFS($D$2:$D$7909, $B$2:$B$7909, "Lombardia")</f>
        <v>9704151</v>
      </c>
      <c r="G3435" s="1">
        <f>Comuni__2[[#This Row],[Popolazione2011]]/Comuni__2[[#This Row],[POPOLAZIONE TOTALE DI OGNI REGIONE (CON FILTRO)]]</f>
        <v>2.1836016360421431E-4</v>
      </c>
      <c r="H3435" t="str">
        <f>IF(Comuni__2[[#This Row],[Popolazione2011]]&gt;300000,"MAGGIORE","")</f>
        <v/>
      </c>
      <c r="J3435">
        <v>5395</v>
      </c>
      <c r="K3435">
        <v>74723</v>
      </c>
      <c r="L3435">
        <v>5875</v>
      </c>
    </row>
    <row r="3436" spans="1:12" x14ac:dyDescent="0.2">
      <c r="A3436"/>
      <c r="B3436"/>
      <c r="C3436"/>
      <c r="D3436"/>
      <c r="E3436" s="2">
        <f>Comuni__2[[#This Row],[Popolazione2011]]/$D$7911</f>
        <v>3.5491262089978948E-5</v>
      </c>
      <c r="F3436">
        <f>SUMIFS($D$2:$D$7909, $B$2:$B$7909, "Lombardia")</f>
        <v>9704151</v>
      </c>
      <c r="G3436" s="1">
        <f>Comuni__2[[#This Row],[Popolazione2011]]/Comuni__2[[#This Row],[POPOLAZIONE TOTALE DI OGNI REGIONE (CON FILTRO)]]</f>
        <v>2.173296767537933E-4</v>
      </c>
      <c r="H3436" t="str">
        <f>IF(Comuni__2[[#This Row],[Popolazione2011]]&gt;300000,"MAGGIORE","")</f>
        <v/>
      </c>
      <c r="J3436">
        <v>5317</v>
      </c>
      <c r="K3436">
        <v>78592</v>
      </c>
      <c r="L3436">
        <v>5972</v>
      </c>
    </row>
    <row r="3437" spans="1:12" x14ac:dyDescent="0.2">
      <c r="A3437"/>
      <c r="B3437"/>
      <c r="C3437"/>
      <c r="D3437"/>
      <c r="E3437" s="2">
        <f>Comuni__2[[#This Row],[Popolazione2011]]/$D$7911</f>
        <v>3.5474433611036331E-5</v>
      </c>
      <c r="F3437">
        <f>SUMIFS($D$2:$D$7909, $B$2:$B$7909, "Lombardia")</f>
        <v>9704151</v>
      </c>
      <c r="G3437" s="1">
        <f>Comuni__2[[#This Row],[Popolazione2011]]/Comuni__2[[#This Row],[POPOLAZIONE TOTALE DI OGNI REGIONE (CON FILTRO)]]</f>
        <v>2.1722662806875119E-4</v>
      </c>
      <c r="H3437" t="str">
        <f>IF(Comuni__2[[#This Row],[Popolazione2011]]&gt;300000,"MAGGIORE","")</f>
        <v/>
      </c>
      <c r="J3437">
        <v>5165</v>
      </c>
      <c r="K3437">
        <v>82163</v>
      </c>
      <c r="L3437">
        <v>6070</v>
      </c>
    </row>
    <row r="3438" spans="1:12" x14ac:dyDescent="0.2">
      <c r="A3438"/>
      <c r="B3438"/>
      <c r="C3438"/>
      <c r="D3438"/>
      <c r="E3438" s="2">
        <f>Comuni__2[[#This Row],[Popolazione2011]]/$D$7911</f>
        <v>3.5255663384782315E-5</v>
      </c>
      <c r="F3438">
        <f>SUMIFS($D$2:$D$7909, $B$2:$B$7909, "Lombardia")</f>
        <v>9704151</v>
      </c>
      <c r="G3438" s="1">
        <f>Comuni__2[[#This Row],[Popolazione2011]]/Comuni__2[[#This Row],[POPOLAZIONE TOTALE DI OGNI REGIONE (CON FILTRO)]]</f>
        <v>2.1588699516320386E-4</v>
      </c>
      <c r="H3438" t="str">
        <f>IF(Comuni__2[[#This Row],[Popolazione2011]]&gt;300000,"MAGGIORE","")</f>
        <v/>
      </c>
      <c r="J3438">
        <v>5119</v>
      </c>
      <c r="K3438">
        <v>83193</v>
      </c>
      <c r="L3438">
        <v>6154</v>
      </c>
    </row>
    <row r="3439" spans="1:12" x14ac:dyDescent="0.2">
      <c r="A3439"/>
      <c r="B3439"/>
      <c r="C3439"/>
      <c r="D3439"/>
      <c r="E3439" s="2">
        <f>Comuni__2[[#This Row],[Popolazione2011]]/$D$7911</f>
        <v>3.5188349469011844E-5</v>
      </c>
      <c r="F3439">
        <f>SUMIFS($D$2:$D$7909, $B$2:$B$7909, "Lombardia")</f>
        <v>9704151</v>
      </c>
      <c r="G3439" s="1">
        <f>Comuni__2[[#This Row],[Popolazione2011]]/Comuni__2[[#This Row],[POPOLAZIONE TOTALE DI OGNI REGIONE (CON FILTRO)]]</f>
        <v>2.1547480042303547E-4</v>
      </c>
      <c r="H3439" t="str">
        <f>IF(Comuni__2[[#This Row],[Popolazione2011]]&gt;300000,"MAGGIORE","")</f>
        <v/>
      </c>
      <c r="J3439">
        <v>5125</v>
      </c>
      <c r="K3439">
        <v>86334</v>
      </c>
      <c r="L3439">
        <v>6239</v>
      </c>
    </row>
    <row r="3440" spans="1:12" x14ac:dyDescent="0.2">
      <c r="A3440"/>
      <c r="B3440"/>
      <c r="C3440"/>
      <c r="D3440"/>
      <c r="E3440" s="2">
        <f>Comuni__2[[#This Row],[Popolazione2011]]/$D$7911</f>
        <v>3.5188349469011844E-5</v>
      </c>
      <c r="F3440">
        <f>SUMIFS($D$2:$D$7909, $B$2:$B$7909, "Lombardia")</f>
        <v>9704151</v>
      </c>
      <c r="G3440" s="1">
        <f>Comuni__2[[#This Row],[Popolazione2011]]/Comuni__2[[#This Row],[POPOLAZIONE TOTALE DI OGNI REGIONE (CON FILTRO)]]</f>
        <v>2.1547480042303547E-4</v>
      </c>
      <c r="H3440" t="str">
        <f>IF(Comuni__2[[#This Row],[Popolazione2011]]&gt;300000,"MAGGIORE","")</f>
        <v/>
      </c>
      <c r="J3440">
        <v>5029</v>
      </c>
      <c r="K3440">
        <v>90561</v>
      </c>
      <c r="L3440">
        <v>6303</v>
      </c>
    </row>
    <row r="3441" spans="1:12" x14ac:dyDescent="0.2">
      <c r="A3441"/>
      <c r="B3441"/>
      <c r="C3441"/>
      <c r="D3441"/>
      <c r="E3441" s="2">
        <f>Comuni__2[[#This Row],[Popolazione2011]]/$D$7911</f>
        <v>3.5104207074298763E-5</v>
      </c>
      <c r="F3441">
        <f>SUMIFS($D$2:$D$7909, $B$2:$B$7909, "Lombardia")</f>
        <v>9704151</v>
      </c>
      <c r="G3441" s="1">
        <f>Comuni__2[[#This Row],[Popolazione2011]]/Comuni__2[[#This Row],[POPOLAZIONE TOTALE DI OGNI REGIONE (CON FILTRO)]]</f>
        <v>2.1495955699782495E-4</v>
      </c>
      <c r="H3441" t="str">
        <f>IF(Comuni__2[[#This Row],[Popolazione2011]]&gt;300000,"MAGGIORE","")</f>
        <v/>
      </c>
      <c r="J3441">
        <v>4978</v>
      </c>
      <c r="K3441">
        <v>93454</v>
      </c>
      <c r="L3441">
        <v>6360</v>
      </c>
    </row>
    <row r="3442" spans="1:12" x14ac:dyDescent="0.2">
      <c r="A3442"/>
      <c r="B3442"/>
      <c r="C3442"/>
      <c r="D3442"/>
      <c r="E3442" s="2">
        <f>Comuni__2[[#This Row],[Popolazione2011]]/$D$7911</f>
        <v>3.5036893158528292E-5</v>
      </c>
      <c r="F3442">
        <f>SUMIFS($D$2:$D$7909, $B$2:$B$7909, "Lombardia")</f>
        <v>9704151</v>
      </c>
      <c r="G3442" s="1">
        <f>Comuni__2[[#This Row],[Popolazione2011]]/Comuni__2[[#This Row],[POPOLAZIONE TOTALE DI OGNI REGIONE (CON FILTRO)]]</f>
        <v>2.1454736225765653E-4</v>
      </c>
      <c r="H3442" t="str">
        <f>IF(Comuni__2[[#This Row],[Popolazione2011]]&gt;300000,"MAGGIORE","")</f>
        <v/>
      </c>
      <c r="J3442">
        <v>4825</v>
      </c>
      <c r="K3442">
        <v>96473</v>
      </c>
      <c r="L3442">
        <v>6452</v>
      </c>
    </row>
    <row r="3443" spans="1:12" x14ac:dyDescent="0.2">
      <c r="A3443"/>
      <c r="B3443"/>
      <c r="C3443"/>
      <c r="D3443"/>
      <c r="E3443" s="2">
        <f>Comuni__2[[#This Row],[Popolazione2011]]/$D$7911</f>
        <v>3.4986407721700443E-5</v>
      </c>
      <c r="F3443">
        <f>SUMIFS($D$2:$D$7909, $B$2:$B$7909, "Lombardia")</f>
        <v>9704151</v>
      </c>
      <c r="G3443" s="1">
        <f>Comuni__2[[#This Row],[Popolazione2011]]/Comuni__2[[#This Row],[POPOLAZIONE TOTALE DI OGNI REGIONE (CON FILTRO)]]</f>
        <v>2.1423821620253025E-4</v>
      </c>
      <c r="H3443" t="str">
        <f>IF(Comuni__2[[#This Row],[Popolazione2011]]&gt;300000,"MAGGIORE","")</f>
        <v/>
      </c>
      <c r="J3443">
        <v>4708</v>
      </c>
      <c r="K3443">
        <v>100081</v>
      </c>
      <c r="L3443">
        <v>6506</v>
      </c>
    </row>
    <row r="3444" spans="1:12" x14ac:dyDescent="0.2">
      <c r="A3444"/>
      <c r="B3444"/>
      <c r="C3444"/>
      <c r="D3444"/>
      <c r="E3444" s="2">
        <f>Comuni__2[[#This Row],[Popolazione2011]]/$D$7911</f>
        <v>3.4969579242757827E-5</v>
      </c>
      <c r="F3444">
        <f>SUMIFS($D$2:$D$7909, $B$2:$B$7909, "Lombardia")</f>
        <v>9704151</v>
      </c>
      <c r="G3444" s="1">
        <f>Comuni__2[[#This Row],[Popolazione2011]]/Comuni__2[[#This Row],[POPOLAZIONE TOTALE DI OGNI REGIONE (CON FILTRO)]]</f>
        <v>2.1413516751748814E-4</v>
      </c>
      <c r="H3444" t="str">
        <f>IF(Comuni__2[[#This Row],[Popolazione2011]]&gt;300000,"MAGGIORE","")</f>
        <v/>
      </c>
      <c r="J3444">
        <v>4642</v>
      </c>
      <c r="K3444">
        <v>103188</v>
      </c>
      <c r="L3444">
        <v>6568</v>
      </c>
    </row>
    <row r="3445" spans="1:12" x14ac:dyDescent="0.2">
      <c r="A3445"/>
      <c r="B3445"/>
      <c r="C3445"/>
      <c r="D3445"/>
      <c r="E3445" s="2">
        <f>Comuni__2[[#This Row],[Popolazione2011]]/$D$7911</f>
        <v>3.4952750763815211E-5</v>
      </c>
      <c r="F3445">
        <f>SUMIFS($D$2:$D$7909, $B$2:$B$7909, "Lombardia")</f>
        <v>9704151</v>
      </c>
      <c r="G3445" s="1">
        <f>Comuni__2[[#This Row],[Popolazione2011]]/Comuni__2[[#This Row],[POPOLAZIONE TOTALE DI OGNI REGIONE (CON FILTRO)]]</f>
        <v>2.1403211883244604E-4</v>
      </c>
      <c r="H3445" t="str">
        <f>IF(Comuni__2[[#This Row],[Popolazione2011]]&gt;300000,"MAGGIORE","")</f>
        <v/>
      </c>
      <c r="J3445">
        <v>4598</v>
      </c>
      <c r="K3445">
        <v>105127</v>
      </c>
      <c r="L3445">
        <v>6623</v>
      </c>
    </row>
    <row r="3446" spans="1:12" x14ac:dyDescent="0.2">
      <c r="A3446"/>
      <c r="B3446"/>
      <c r="C3446"/>
      <c r="D3446"/>
      <c r="E3446" s="2">
        <f>Comuni__2[[#This Row],[Popolazione2011]]/$D$7911</f>
        <v>3.4919093805929979E-5</v>
      </c>
      <c r="F3446">
        <f>SUMIFS($D$2:$D$7909, $B$2:$B$7909, "Lombardia")</f>
        <v>9704151</v>
      </c>
      <c r="G3446" s="1">
        <f>Comuni__2[[#This Row],[Popolazione2011]]/Comuni__2[[#This Row],[POPOLAZIONE TOTALE DI OGNI REGIONE (CON FILTRO)]]</f>
        <v>2.1382602146236183E-4</v>
      </c>
      <c r="H3446" t="str">
        <f>IF(Comuni__2[[#This Row],[Popolazione2011]]&gt;300000,"MAGGIORE","")</f>
        <v/>
      </c>
      <c r="J3446">
        <v>0</v>
      </c>
      <c r="K3446">
        <v>0</v>
      </c>
      <c r="L3446">
        <v>0</v>
      </c>
    </row>
    <row r="3447" spans="1:12" x14ac:dyDescent="0.2">
      <c r="A3447"/>
      <c r="B3447"/>
      <c r="C3447"/>
      <c r="D3447"/>
      <c r="E3447" s="2">
        <f>Comuni__2[[#This Row],[Popolazione2011]]/$D$7911</f>
        <v>3.4902265326987356E-5</v>
      </c>
      <c r="F3447">
        <f>SUMIFS($D$2:$D$7909, $B$2:$B$7909, "Lombardia")</f>
        <v>9704151</v>
      </c>
      <c r="G3447" s="1">
        <f>Comuni__2[[#This Row],[Popolazione2011]]/Comuni__2[[#This Row],[POPOLAZIONE TOTALE DI OGNI REGIONE (CON FILTRO)]]</f>
        <v>2.1372297277731973E-4</v>
      </c>
      <c r="H3447" t="str">
        <f>IF(Comuni__2[[#This Row],[Popolazione2011]]&gt;300000,"MAGGIORE","")</f>
        <v/>
      </c>
      <c r="J3447">
        <v>0</v>
      </c>
      <c r="K3447">
        <v>0</v>
      </c>
      <c r="L3447">
        <v>0</v>
      </c>
    </row>
    <row r="3448" spans="1:12" x14ac:dyDescent="0.2">
      <c r="A3448"/>
      <c r="B3448"/>
      <c r="C3448"/>
      <c r="D3448"/>
      <c r="E3448" s="2">
        <f>Comuni__2[[#This Row],[Popolazione2011]]/$D$7911</f>
        <v>3.4801294453331659E-5</v>
      </c>
      <c r="F3448">
        <f>SUMIFS($D$2:$D$7909, $B$2:$B$7909, "Lombardia")</f>
        <v>9704151</v>
      </c>
      <c r="G3448" s="1">
        <f>Comuni__2[[#This Row],[Popolazione2011]]/Comuni__2[[#This Row],[POPOLAZIONE TOTALE DI OGNI REGIONE (CON FILTRO)]]</f>
        <v>2.131046806670671E-4</v>
      </c>
      <c r="H3448" t="str">
        <f>IF(Comuni__2[[#This Row],[Popolazione2011]]&gt;300000,"MAGGIORE","")</f>
        <v/>
      </c>
      <c r="J3448">
        <v>0</v>
      </c>
      <c r="K3448">
        <v>0</v>
      </c>
      <c r="L3448">
        <v>0</v>
      </c>
    </row>
    <row r="3449" spans="1:12" x14ac:dyDescent="0.2">
      <c r="A3449"/>
      <c r="B3449"/>
      <c r="C3449"/>
      <c r="D3449"/>
      <c r="E3449" s="2">
        <f>Comuni__2[[#This Row],[Popolazione2011]]/$D$7911</f>
        <v>3.4784465974389043E-5</v>
      </c>
      <c r="F3449">
        <f>SUMIFS($D$2:$D$7909, $B$2:$B$7909, "Lombardia")</f>
        <v>9704151</v>
      </c>
      <c r="G3449" s="1">
        <f>Comuni__2[[#This Row],[Popolazione2011]]/Comuni__2[[#This Row],[POPOLAZIONE TOTALE DI OGNI REGIONE (CON FILTRO)]]</f>
        <v>2.1300163198202502E-4</v>
      </c>
      <c r="H3449" t="str">
        <f>IF(Comuni__2[[#This Row],[Popolazione2011]]&gt;300000,"MAGGIORE","")</f>
        <v/>
      </c>
      <c r="J3449">
        <v>1</v>
      </c>
      <c r="K3449">
        <v>0</v>
      </c>
      <c r="L3449">
        <v>0</v>
      </c>
    </row>
    <row r="3450" spans="1:12" x14ac:dyDescent="0.2">
      <c r="A3450"/>
      <c r="B3450"/>
      <c r="C3450"/>
      <c r="D3450"/>
      <c r="E3450" s="2">
        <f>Comuni__2[[#This Row],[Popolazione2011]]/$D$7911</f>
        <v>3.4532038790249788E-5</v>
      </c>
      <c r="F3450">
        <f>SUMIFS($D$2:$D$7909, $B$2:$B$7909, "Lombardia")</f>
        <v>9704151</v>
      </c>
      <c r="G3450" s="1">
        <f>Comuni__2[[#This Row],[Popolazione2011]]/Comuni__2[[#This Row],[POPOLAZIONE TOTALE DI OGNI REGIONE (CON FILTRO)]]</f>
        <v>2.1145590170639349E-4</v>
      </c>
      <c r="H3450" t="str">
        <f>IF(Comuni__2[[#This Row],[Popolazione2011]]&gt;300000,"MAGGIORE","")</f>
        <v/>
      </c>
      <c r="J3450">
        <v>1</v>
      </c>
      <c r="K3450">
        <v>0</v>
      </c>
      <c r="L3450">
        <v>0</v>
      </c>
    </row>
    <row r="3451" spans="1:12" x14ac:dyDescent="0.2">
      <c r="A3451"/>
      <c r="B3451"/>
      <c r="C3451"/>
      <c r="D3451"/>
      <c r="E3451" s="2">
        <f>Comuni__2[[#This Row],[Popolazione2011]]/$D$7911</f>
        <v>3.4262783127167916E-5</v>
      </c>
      <c r="F3451">
        <f>SUMIFS($D$2:$D$7909, $B$2:$B$7909, "Lombardia")</f>
        <v>9704151</v>
      </c>
      <c r="G3451" s="1">
        <f>Comuni__2[[#This Row],[Popolazione2011]]/Comuni__2[[#This Row],[POPOLAZIONE TOTALE DI OGNI REGIONE (CON FILTRO)]]</f>
        <v>2.0980712274571984E-4</v>
      </c>
      <c r="H3451" t="str">
        <f>IF(Comuni__2[[#This Row],[Popolazione2011]]&gt;300000,"MAGGIORE","")</f>
        <v/>
      </c>
      <c r="J3451">
        <v>1</v>
      </c>
      <c r="K3451">
        <v>0</v>
      </c>
      <c r="L3451">
        <v>0</v>
      </c>
    </row>
    <row r="3452" spans="1:12" x14ac:dyDescent="0.2">
      <c r="A3452"/>
      <c r="B3452"/>
      <c r="C3452"/>
      <c r="D3452"/>
      <c r="E3452" s="2">
        <f>Comuni__2[[#This Row],[Popolazione2011]]/$D$7911</f>
        <v>3.412815529562698E-5</v>
      </c>
      <c r="F3452">
        <f>SUMIFS($D$2:$D$7909, $B$2:$B$7909, "Lombardia")</f>
        <v>9704151</v>
      </c>
      <c r="G3452" s="1">
        <f>Comuni__2[[#This Row],[Popolazione2011]]/Comuni__2[[#This Row],[POPOLAZIONE TOTALE DI OGNI REGIONE (CON FILTRO)]]</f>
        <v>2.0898273326538304E-4</v>
      </c>
      <c r="H3452" t="str">
        <f>IF(Comuni__2[[#This Row],[Popolazione2011]]&gt;300000,"MAGGIORE","")</f>
        <v/>
      </c>
      <c r="J3452">
        <v>1</v>
      </c>
      <c r="K3452">
        <v>0</v>
      </c>
      <c r="L3452">
        <v>0</v>
      </c>
    </row>
    <row r="3453" spans="1:12" x14ac:dyDescent="0.2">
      <c r="A3453"/>
      <c r="B3453"/>
      <c r="C3453"/>
      <c r="D3453"/>
      <c r="E3453" s="2">
        <f>Comuni__2[[#This Row],[Popolazione2011]]/$D$7911</f>
        <v>3.40440129009139E-5</v>
      </c>
      <c r="F3453">
        <f>SUMIFS($D$2:$D$7909, $B$2:$B$7909, "Lombardia")</f>
        <v>9704151</v>
      </c>
      <c r="G3453" s="1">
        <f>Comuni__2[[#This Row],[Popolazione2011]]/Comuni__2[[#This Row],[POPOLAZIONE TOTALE DI OGNI REGIONE (CON FILTRO)]]</f>
        <v>2.0846748984017251E-4</v>
      </c>
      <c r="H3453" t="str">
        <f>IF(Comuni__2[[#This Row],[Popolazione2011]]&gt;300000,"MAGGIORE","")</f>
        <v/>
      </c>
      <c r="J3453">
        <v>2</v>
      </c>
      <c r="K3453">
        <v>0</v>
      </c>
      <c r="L3453">
        <v>0</v>
      </c>
    </row>
    <row r="3454" spans="1:12" x14ac:dyDescent="0.2">
      <c r="A3454"/>
      <c r="B3454"/>
      <c r="C3454"/>
      <c r="D3454"/>
      <c r="E3454" s="2">
        <f>Comuni__2[[#This Row],[Popolazione2011]]/$D$7911</f>
        <v>3.4027184421971284E-5</v>
      </c>
      <c r="F3454">
        <f>SUMIFS($D$2:$D$7909, $B$2:$B$7909, "Lombardia")</f>
        <v>9704151</v>
      </c>
      <c r="G3454" s="1">
        <f>Comuni__2[[#This Row],[Popolazione2011]]/Comuni__2[[#This Row],[POPOLAZIONE TOTALE DI OGNI REGIONE (CON FILTRO)]]</f>
        <v>2.0836444115513041E-4</v>
      </c>
      <c r="H3454" t="str">
        <f>IF(Comuni__2[[#This Row],[Popolazione2011]]&gt;300000,"MAGGIORE","")</f>
        <v/>
      </c>
      <c r="J3454">
        <v>2</v>
      </c>
      <c r="K3454">
        <v>0</v>
      </c>
      <c r="L3454">
        <v>0</v>
      </c>
    </row>
    <row r="3455" spans="1:12" x14ac:dyDescent="0.2">
      <c r="A3455"/>
      <c r="B3455"/>
      <c r="C3455"/>
      <c r="D3455"/>
      <c r="E3455" s="2">
        <f>Comuni__2[[#This Row],[Popolazione2011]]/$D$7911</f>
        <v>3.3909385069372964E-5</v>
      </c>
      <c r="F3455">
        <f>SUMIFS($D$2:$D$7909, $B$2:$B$7909, "Lombardia")</f>
        <v>9704151</v>
      </c>
      <c r="G3455" s="1">
        <f>Comuni__2[[#This Row],[Popolazione2011]]/Comuni__2[[#This Row],[POPOLAZIONE TOTALE DI OGNI REGIONE (CON FILTRO)]]</f>
        <v>2.0764310035983571E-4</v>
      </c>
      <c r="H3455" t="str">
        <f>IF(Comuni__2[[#This Row],[Popolazione2011]]&gt;300000,"MAGGIORE","")</f>
        <v/>
      </c>
      <c r="J3455">
        <v>4</v>
      </c>
      <c r="K3455">
        <v>1</v>
      </c>
      <c r="L3455">
        <v>1</v>
      </c>
    </row>
    <row r="3456" spans="1:12" x14ac:dyDescent="0.2">
      <c r="A3456"/>
      <c r="B3456"/>
      <c r="C3456"/>
      <c r="D3456"/>
      <c r="E3456" s="2">
        <f>Comuni__2[[#This Row],[Popolazione2011]]/$D$7911</f>
        <v>3.3909385069372964E-5</v>
      </c>
      <c r="F3456">
        <f>SUMIFS($D$2:$D$7909, $B$2:$B$7909, "Lombardia")</f>
        <v>9704151</v>
      </c>
      <c r="G3456" s="1">
        <f>Comuni__2[[#This Row],[Popolazione2011]]/Comuni__2[[#This Row],[POPOLAZIONE TOTALE DI OGNI REGIONE (CON FILTRO)]]</f>
        <v>2.0764310035983571E-4</v>
      </c>
      <c r="H3456" t="str">
        <f>IF(Comuni__2[[#This Row],[Popolazione2011]]&gt;300000,"MAGGIORE","")</f>
        <v/>
      </c>
      <c r="J3456">
        <v>6</v>
      </c>
      <c r="K3456">
        <v>1</v>
      </c>
      <c r="L3456">
        <v>1</v>
      </c>
    </row>
    <row r="3457" spans="1:12" x14ac:dyDescent="0.2">
      <c r="A3457"/>
      <c r="B3457"/>
      <c r="C3457"/>
      <c r="D3457"/>
      <c r="E3457" s="2">
        <f>Comuni__2[[#This Row],[Popolazione2011]]/$D$7911</f>
        <v>3.3858899632545116E-5</v>
      </c>
      <c r="F3457">
        <f>SUMIFS($D$2:$D$7909, $B$2:$B$7909, "Lombardia")</f>
        <v>9704151</v>
      </c>
      <c r="G3457" s="1">
        <f>Comuni__2[[#This Row],[Popolazione2011]]/Comuni__2[[#This Row],[POPOLAZIONE TOTALE DI OGNI REGIONE (CON FILTRO)]]</f>
        <v>2.0733395430470939E-4</v>
      </c>
      <c r="H3457" t="str">
        <f>IF(Comuni__2[[#This Row],[Popolazione2011]]&gt;300000,"MAGGIORE","")</f>
        <v/>
      </c>
      <c r="J3457">
        <v>6</v>
      </c>
      <c r="K3457">
        <v>1</v>
      </c>
      <c r="L3457">
        <v>1</v>
      </c>
    </row>
    <row r="3458" spans="1:12" x14ac:dyDescent="0.2">
      <c r="A3458"/>
      <c r="B3458"/>
      <c r="C3458"/>
      <c r="D3458"/>
      <c r="E3458" s="2">
        <f>Comuni__2[[#This Row],[Popolazione2011]]/$D$7911</f>
        <v>3.3842071153602499E-5</v>
      </c>
      <c r="F3458">
        <f>SUMIFS($D$2:$D$7909, $B$2:$B$7909, "Lombardia")</f>
        <v>9704151</v>
      </c>
      <c r="G3458" s="1">
        <f>Comuni__2[[#This Row],[Popolazione2011]]/Comuni__2[[#This Row],[POPOLAZIONE TOTALE DI OGNI REGIONE (CON FILTRO)]]</f>
        <v>2.0723090561966729E-4</v>
      </c>
      <c r="H3458" t="str">
        <f>IF(Comuni__2[[#This Row],[Popolazione2011]]&gt;300000,"MAGGIORE","")</f>
        <v/>
      </c>
      <c r="J3458">
        <v>11</v>
      </c>
      <c r="K3458">
        <v>1</v>
      </c>
      <c r="L3458">
        <v>2</v>
      </c>
    </row>
    <row r="3459" spans="1:12" x14ac:dyDescent="0.2">
      <c r="A3459"/>
      <c r="B3459"/>
      <c r="C3459"/>
      <c r="D3459"/>
      <c r="E3459" s="2">
        <f>Comuni__2[[#This Row],[Popolazione2011]]/$D$7911</f>
        <v>3.3774757237832028E-5</v>
      </c>
      <c r="F3459">
        <f>SUMIFS($D$2:$D$7909, $B$2:$B$7909, "Lombardia")</f>
        <v>9704151</v>
      </c>
      <c r="G3459" s="1">
        <f>Comuni__2[[#This Row],[Popolazione2011]]/Comuni__2[[#This Row],[POPOLAZIONE TOTALE DI OGNI REGIONE (CON FILTRO)]]</f>
        <v>2.068187108794989E-4</v>
      </c>
      <c r="H3459" t="str">
        <f>IF(Comuni__2[[#This Row],[Popolazione2011]]&gt;300000,"MAGGIORE","")</f>
        <v/>
      </c>
      <c r="J3459">
        <v>20</v>
      </c>
      <c r="K3459">
        <v>1</v>
      </c>
      <c r="L3459">
        <v>3</v>
      </c>
    </row>
    <row r="3460" spans="1:12" x14ac:dyDescent="0.2">
      <c r="A3460"/>
      <c r="B3460"/>
      <c r="C3460"/>
      <c r="D3460"/>
      <c r="E3460" s="2">
        <f>Comuni__2[[#This Row],[Popolazione2011]]/$D$7911</f>
        <v>3.3707443322061564E-5</v>
      </c>
      <c r="F3460">
        <f>SUMIFS($D$2:$D$7909, $B$2:$B$7909, "Lombardia")</f>
        <v>9704151</v>
      </c>
      <c r="G3460" s="1">
        <f>Comuni__2[[#This Row],[Popolazione2011]]/Comuni__2[[#This Row],[POPOLAZIONE TOTALE DI OGNI REGIONE (CON FILTRO)]]</f>
        <v>2.0640651613933048E-4</v>
      </c>
      <c r="H3460" t="str">
        <f>IF(Comuni__2[[#This Row],[Popolazione2011]]&gt;300000,"MAGGIORE","")</f>
        <v/>
      </c>
      <c r="J3460">
        <v>26</v>
      </c>
      <c r="K3460">
        <v>1</v>
      </c>
      <c r="L3460">
        <v>3</v>
      </c>
    </row>
    <row r="3461" spans="1:12" x14ac:dyDescent="0.2">
      <c r="A3461"/>
      <c r="B3461"/>
      <c r="C3461"/>
      <c r="D3461"/>
      <c r="E3461" s="2">
        <f>Comuni__2[[#This Row],[Popolazione2011]]/$D$7911</f>
        <v>3.3690614843118948E-5</v>
      </c>
      <c r="F3461">
        <f>SUMIFS($D$2:$D$7909, $B$2:$B$7909, "Lombardia")</f>
        <v>9704151</v>
      </c>
      <c r="G3461" s="1">
        <f>Comuni__2[[#This Row],[Popolazione2011]]/Comuni__2[[#This Row],[POPOLAZIONE TOTALE DI OGNI REGIONE (CON FILTRO)]]</f>
        <v>2.0630346745428838E-4</v>
      </c>
      <c r="H3461" t="str">
        <f>IF(Comuni__2[[#This Row],[Popolazione2011]]&gt;300000,"MAGGIORE","")</f>
        <v/>
      </c>
      <c r="J3461">
        <v>34</v>
      </c>
      <c r="K3461">
        <v>1</v>
      </c>
      <c r="L3461">
        <v>3</v>
      </c>
    </row>
    <row r="3462" spans="1:12" x14ac:dyDescent="0.2">
      <c r="A3462"/>
      <c r="B3462"/>
      <c r="C3462"/>
      <c r="D3462"/>
      <c r="E3462" s="2">
        <f>Comuni__2[[#This Row],[Popolazione2011]]/$D$7911</f>
        <v>3.3656957885233708E-5</v>
      </c>
      <c r="F3462">
        <f>SUMIFS($D$2:$D$7909, $B$2:$B$7909, "Lombardia")</f>
        <v>9704151</v>
      </c>
      <c r="G3462" s="1">
        <f>Comuni__2[[#This Row],[Popolazione2011]]/Comuni__2[[#This Row],[POPOLAZIONE TOTALE DI OGNI REGIONE (CON FILTRO)]]</f>
        <v>2.0609737008420417E-4</v>
      </c>
      <c r="H3462" t="str">
        <f>IF(Comuni__2[[#This Row],[Popolazione2011]]&gt;300000,"MAGGIORE","")</f>
        <v/>
      </c>
      <c r="J3462">
        <v>42</v>
      </c>
      <c r="K3462">
        <v>1</v>
      </c>
      <c r="L3462">
        <v>5</v>
      </c>
    </row>
    <row r="3463" spans="1:12" x14ac:dyDescent="0.2">
      <c r="A3463"/>
      <c r="B3463"/>
      <c r="C3463"/>
      <c r="D3463"/>
      <c r="E3463" s="2">
        <f>Comuni__2[[#This Row],[Popolazione2011]]/$D$7911</f>
        <v>3.360647244840586E-5</v>
      </c>
      <c r="F3463">
        <f>SUMIFS($D$2:$D$7909, $B$2:$B$7909, "Lombardia")</f>
        <v>9704151</v>
      </c>
      <c r="G3463" s="1">
        <f>Comuni__2[[#This Row],[Popolazione2011]]/Comuni__2[[#This Row],[POPOLAZIONE TOTALE DI OGNI REGIONE (CON FILTRO)]]</f>
        <v>2.0578822402907786E-4</v>
      </c>
      <c r="H3463" t="str">
        <f>IF(Comuni__2[[#This Row],[Popolazione2011]]&gt;300000,"MAGGIORE","")</f>
        <v/>
      </c>
      <c r="J3463">
        <v>60</v>
      </c>
      <c r="K3463">
        <v>1</v>
      </c>
      <c r="L3463">
        <v>5</v>
      </c>
    </row>
    <row r="3464" spans="1:12" x14ac:dyDescent="0.2">
      <c r="A3464"/>
      <c r="B3464"/>
      <c r="C3464"/>
      <c r="D3464"/>
      <c r="E3464" s="2">
        <f>Comuni__2[[#This Row],[Popolazione2011]]/$D$7911</f>
        <v>3.3505501574750157E-5</v>
      </c>
      <c r="F3464">
        <f>SUMIFS($D$2:$D$7909, $B$2:$B$7909, "Lombardia")</f>
        <v>9704151</v>
      </c>
      <c r="G3464" s="1">
        <f>Comuni__2[[#This Row],[Popolazione2011]]/Comuni__2[[#This Row],[POPOLAZIONE TOTALE DI OGNI REGIONE (CON FILTRO)]]</f>
        <v>2.0516993191882526E-4</v>
      </c>
      <c r="H3464" t="str">
        <f>IF(Comuni__2[[#This Row],[Popolazione2011]]&gt;300000,"MAGGIORE","")</f>
        <v/>
      </c>
      <c r="J3464">
        <v>79</v>
      </c>
      <c r="K3464">
        <v>3</v>
      </c>
      <c r="L3464">
        <v>5</v>
      </c>
    </row>
    <row r="3465" spans="1:12" x14ac:dyDescent="0.2">
      <c r="A3465"/>
      <c r="B3465"/>
      <c r="C3465"/>
      <c r="D3465"/>
      <c r="E3465" s="2">
        <f>Comuni__2[[#This Row],[Popolazione2011]]/$D$7911</f>
        <v>3.3438187658979692E-5</v>
      </c>
      <c r="F3465">
        <f>SUMIFS($D$2:$D$7909, $B$2:$B$7909, "Lombardia")</f>
        <v>9704151</v>
      </c>
      <c r="G3465" s="1">
        <f>Comuni__2[[#This Row],[Popolazione2011]]/Comuni__2[[#This Row],[POPOLAZIONE TOTALE DI OGNI REGIONE (CON FILTRO)]]</f>
        <v>2.0475773717865684E-4</v>
      </c>
      <c r="H3465" t="str">
        <f>IF(Comuni__2[[#This Row],[Popolazione2011]]&gt;300000,"MAGGIORE","")</f>
        <v/>
      </c>
      <c r="J3465">
        <v>97</v>
      </c>
      <c r="K3465">
        <v>2</v>
      </c>
      <c r="L3465">
        <v>8</v>
      </c>
    </row>
    <row r="3466" spans="1:12" x14ac:dyDescent="0.2">
      <c r="A3466"/>
      <c r="B3466"/>
      <c r="C3466"/>
      <c r="D3466"/>
      <c r="E3466" s="2">
        <f>Comuni__2[[#This Row],[Popolazione2011]]/$D$7911</f>
        <v>3.3387702222151844E-5</v>
      </c>
      <c r="F3466">
        <f>SUMIFS($D$2:$D$7909, $B$2:$B$7909, "Lombardia")</f>
        <v>9704151</v>
      </c>
      <c r="G3466" s="1">
        <f>Comuni__2[[#This Row],[Popolazione2011]]/Comuni__2[[#This Row],[POPOLAZIONE TOTALE DI OGNI REGIONE (CON FILTRO)]]</f>
        <v>2.0444859112353053E-4</v>
      </c>
      <c r="H3466" t="str">
        <f>IF(Comuni__2[[#This Row],[Popolazione2011]]&gt;300000,"MAGGIORE","")</f>
        <v/>
      </c>
      <c r="J3466">
        <v>122</v>
      </c>
      <c r="K3466">
        <v>2</v>
      </c>
      <c r="L3466">
        <v>16</v>
      </c>
    </row>
    <row r="3467" spans="1:12" x14ac:dyDescent="0.2">
      <c r="A3467"/>
      <c r="B3467"/>
      <c r="C3467"/>
      <c r="D3467"/>
      <c r="E3467" s="2">
        <f>Comuni__2[[#This Row],[Popolazione2011]]/$D$7911</f>
        <v>3.3168931995897821E-5</v>
      </c>
      <c r="F3467">
        <f>SUMIFS($D$2:$D$7909, $B$2:$B$7909, "Lombardia")</f>
        <v>9704151</v>
      </c>
      <c r="G3467" s="1">
        <f>Comuni__2[[#This Row],[Popolazione2011]]/Comuni__2[[#This Row],[POPOLAZIONE TOTALE DI OGNI REGIONE (CON FILTRO)]]</f>
        <v>2.031089582179832E-4</v>
      </c>
      <c r="H3467" t="str">
        <f>IF(Comuni__2[[#This Row],[Popolazione2011]]&gt;300000,"MAGGIORE","")</f>
        <v/>
      </c>
      <c r="J3467">
        <v>122</v>
      </c>
      <c r="K3467">
        <v>2</v>
      </c>
      <c r="L3467">
        <v>16</v>
      </c>
    </row>
    <row r="3468" spans="1:12" x14ac:dyDescent="0.2">
      <c r="A3468"/>
      <c r="B3468"/>
      <c r="C3468"/>
      <c r="D3468"/>
      <c r="E3468" s="2">
        <f>Comuni__2[[#This Row],[Popolazione2011]]/$D$7911</f>
        <v>3.3168931995897821E-5</v>
      </c>
      <c r="F3468">
        <f>SUMIFS($D$2:$D$7909, $B$2:$B$7909, "Lombardia")</f>
        <v>9704151</v>
      </c>
      <c r="G3468" s="1">
        <f>Comuni__2[[#This Row],[Popolazione2011]]/Comuni__2[[#This Row],[POPOLAZIONE TOTALE DI OGNI REGIONE (CON FILTRO)]]</f>
        <v>2.031089582179832E-4</v>
      </c>
      <c r="H3468" t="str">
        <f>IF(Comuni__2[[#This Row],[Popolazione2011]]&gt;300000,"MAGGIORE","")</f>
        <v/>
      </c>
      <c r="J3468">
        <v>169</v>
      </c>
      <c r="K3468">
        <v>2</v>
      </c>
      <c r="L3468">
        <v>18</v>
      </c>
    </row>
    <row r="3469" spans="1:12" x14ac:dyDescent="0.2">
      <c r="A3469"/>
      <c r="B3469"/>
      <c r="C3469"/>
      <c r="D3469"/>
      <c r="E3469" s="2">
        <f>Comuni__2[[#This Row],[Popolazione2011]]/$D$7911</f>
        <v>3.3000647206471652E-5</v>
      </c>
      <c r="F3469">
        <f>SUMIFS($D$2:$D$7909, $B$2:$B$7909, "Lombardia")</f>
        <v>9704151</v>
      </c>
      <c r="G3469" s="1">
        <f>Comuni__2[[#This Row],[Popolazione2011]]/Comuni__2[[#This Row],[POPOLAZIONE TOTALE DI OGNI REGIONE (CON FILTRO)]]</f>
        <v>2.0207847136756218E-4</v>
      </c>
      <c r="H3469" t="str">
        <f>IF(Comuni__2[[#This Row],[Popolazione2011]]&gt;300000,"MAGGIORE","")</f>
        <v/>
      </c>
      <c r="J3469">
        <v>186</v>
      </c>
      <c r="K3469">
        <v>2</v>
      </c>
      <c r="L3469">
        <v>19</v>
      </c>
    </row>
    <row r="3470" spans="1:12" x14ac:dyDescent="0.2">
      <c r="A3470"/>
      <c r="B3470"/>
      <c r="C3470"/>
      <c r="D3470"/>
      <c r="E3470" s="2">
        <f>Comuni__2[[#This Row],[Popolazione2011]]/$D$7911</f>
        <v>3.3000647206471652E-5</v>
      </c>
      <c r="F3470">
        <f>SUMIFS($D$2:$D$7909, $B$2:$B$7909, "Lombardia")</f>
        <v>9704151</v>
      </c>
      <c r="G3470" s="1">
        <f>Comuni__2[[#This Row],[Popolazione2011]]/Comuni__2[[#This Row],[POPOLAZIONE TOTALE DI OGNI REGIONE (CON FILTRO)]]</f>
        <v>2.0207847136756218E-4</v>
      </c>
      <c r="H3470" t="str">
        <f>IF(Comuni__2[[#This Row],[Popolazione2011]]&gt;300000,"MAGGIORE","")</f>
        <v/>
      </c>
      <c r="J3470">
        <v>204</v>
      </c>
      <c r="K3470">
        <v>4</v>
      </c>
      <c r="L3470">
        <v>25</v>
      </c>
    </row>
    <row r="3471" spans="1:12" x14ac:dyDescent="0.2">
      <c r="A3471"/>
      <c r="B3471"/>
      <c r="C3471"/>
      <c r="D3471"/>
      <c r="E3471" s="2">
        <f>Comuni__2[[#This Row],[Popolazione2011]]/$D$7911</f>
        <v>3.2849190895988101E-5</v>
      </c>
      <c r="F3471">
        <f>SUMIFS($D$2:$D$7909, $B$2:$B$7909, "Lombardia")</f>
        <v>9704151</v>
      </c>
      <c r="G3471" s="1">
        <f>Comuni__2[[#This Row],[Popolazione2011]]/Comuni__2[[#This Row],[POPOLAZIONE TOTALE DI OGNI REGIONE (CON FILTRO)]]</f>
        <v>2.0115103320218327E-4</v>
      </c>
      <c r="H3471" t="str">
        <f>IF(Comuni__2[[#This Row],[Popolazione2011]]&gt;300000,"MAGGIORE","")</f>
        <v/>
      </c>
      <c r="J3471">
        <v>222</v>
      </c>
      <c r="K3471">
        <v>4</v>
      </c>
      <c r="L3471">
        <v>26</v>
      </c>
    </row>
    <row r="3472" spans="1:12" x14ac:dyDescent="0.2">
      <c r="A3472"/>
      <c r="B3472"/>
      <c r="C3472"/>
      <c r="D3472"/>
      <c r="E3472" s="2">
        <f>Comuni__2[[#This Row],[Popolazione2011]]/$D$7911</f>
        <v>3.2815533938102868E-5</v>
      </c>
      <c r="F3472">
        <f>SUMIFS($D$2:$D$7909, $B$2:$B$7909, "Lombardia")</f>
        <v>9704151</v>
      </c>
      <c r="G3472" s="1">
        <f>Comuni__2[[#This Row],[Popolazione2011]]/Comuni__2[[#This Row],[POPOLAZIONE TOTALE DI OGNI REGIONE (CON FILTRO)]]</f>
        <v>2.0094493583209906E-4</v>
      </c>
      <c r="H3472" t="str">
        <f>IF(Comuni__2[[#This Row],[Popolazione2011]]&gt;300000,"MAGGIORE","")</f>
        <v/>
      </c>
      <c r="J3472">
        <v>242</v>
      </c>
      <c r="K3472">
        <v>4</v>
      </c>
      <c r="L3472">
        <v>29</v>
      </c>
    </row>
    <row r="3473" spans="1:12" x14ac:dyDescent="0.2">
      <c r="A3473"/>
      <c r="B3473"/>
      <c r="C3473"/>
      <c r="D3473"/>
      <c r="E3473" s="2">
        <f>Comuni__2[[#This Row],[Popolazione2011]]/$D$7911</f>
        <v>3.2815533938102868E-5</v>
      </c>
      <c r="F3473">
        <f>SUMIFS($D$2:$D$7909, $B$2:$B$7909, "Lombardia")</f>
        <v>9704151</v>
      </c>
      <c r="G3473" s="1">
        <f>Comuni__2[[#This Row],[Popolazione2011]]/Comuni__2[[#This Row],[POPOLAZIONE TOTALE DI OGNI REGIONE (CON FILTRO)]]</f>
        <v>2.0094493583209906E-4</v>
      </c>
      <c r="H3473" t="str">
        <f>IF(Comuni__2[[#This Row],[Popolazione2011]]&gt;300000,"MAGGIORE","")</f>
        <v/>
      </c>
      <c r="J3473">
        <v>289</v>
      </c>
      <c r="K3473">
        <v>7</v>
      </c>
      <c r="L3473">
        <v>31</v>
      </c>
    </row>
    <row r="3474" spans="1:12" x14ac:dyDescent="0.2">
      <c r="A3474"/>
      <c r="B3474"/>
      <c r="C3474"/>
      <c r="D3474"/>
      <c r="E3474" s="2">
        <f>Comuni__2[[#This Row],[Popolazione2011]]/$D$7911</f>
        <v>3.2815533938102868E-5</v>
      </c>
      <c r="F3474">
        <f>SUMIFS($D$2:$D$7909, $B$2:$B$7909, "Lombardia")</f>
        <v>9704151</v>
      </c>
      <c r="G3474" s="1">
        <f>Comuni__2[[#This Row],[Popolazione2011]]/Comuni__2[[#This Row],[POPOLAZIONE TOTALE DI OGNI REGIONE (CON FILTRO)]]</f>
        <v>2.0094493583209906E-4</v>
      </c>
      <c r="H3474" t="str">
        <f>IF(Comuni__2[[#This Row],[Popolazione2011]]&gt;300000,"MAGGIORE","")</f>
        <v/>
      </c>
      <c r="J3474">
        <v>330</v>
      </c>
      <c r="K3474">
        <v>7</v>
      </c>
      <c r="L3474">
        <v>37</v>
      </c>
    </row>
    <row r="3475" spans="1:12" x14ac:dyDescent="0.2">
      <c r="A3475"/>
      <c r="B3475"/>
      <c r="C3475"/>
      <c r="D3475"/>
      <c r="E3475" s="2">
        <f>Comuni__2[[#This Row],[Popolazione2011]]/$D$7911</f>
        <v>3.2714563064447165E-5</v>
      </c>
      <c r="F3475">
        <f>SUMIFS($D$2:$D$7909, $B$2:$B$7909, "Lombardia")</f>
        <v>9704151</v>
      </c>
      <c r="G3475" s="1">
        <f>Comuni__2[[#This Row],[Popolazione2011]]/Comuni__2[[#This Row],[POPOLAZIONE TOTALE DI OGNI REGIONE (CON FILTRO)]]</f>
        <v>2.0032664372184646E-4</v>
      </c>
      <c r="H3475" t="str">
        <f>IF(Comuni__2[[#This Row],[Popolazione2011]]&gt;300000,"MAGGIORE","")</f>
        <v/>
      </c>
      <c r="J3475">
        <v>374</v>
      </c>
      <c r="K3475">
        <v>21</v>
      </c>
      <c r="L3475">
        <v>44</v>
      </c>
    </row>
    <row r="3476" spans="1:12" x14ac:dyDescent="0.2">
      <c r="A3476"/>
      <c r="B3476"/>
      <c r="C3476"/>
      <c r="D3476"/>
      <c r="E3476" s="2">
        <f>Comuni__2[[#This Row],[Popolazione2011]]/$D$7911</f>
        <v>3.2680906106561933E-5</v>
      </c>
      <c r="F3476">
        <f>SUMIFS($D$2:$D$7909, $B$2:$B$7909, "Lombardia")</f>
        <v>9704151</v>
      </c>
      <c r="G3476" s="1">
        <f>Comuni__2[[#This Row],[Popolazione2011]]/Comuni__2[[#This Row],[POPOLAZIONE TOTALE DI OGNI REGIONE (CON FILTRO)]]</f>
        <v>2.0012054635176225E-4</v>
      </c>
      <c r="H3476" t="str">
        <f>IF(Comuni__2[[#This Row],[Popolazione2011]]&gt;300000,"MAGGIORE","")</f>
        <v/>
      </c>
      <c r="J3476">
        <v>413</v>
      </c>
      <c r="K3476">
        <v>22</v>
      </c>
      <c r="L3476">
        <v>48</v>
      </c>
    </row>
    <row r="3477" spans="1:12" x14ac:dyDescent="0.2">
      <c r="A3477"/>
      <c r="B3477"/>
      <c r="C3477"/>
      <c r="D3477"/>
      <c r="E3477" s="2">
        <f>Comuni__2[[#This Row],[Popolazione2011]]/$D$7911</f>
        <v>3.2680906106561933E-5</v>
      </c>
      <c r="F3477">
        <f>SUMIFS($D$2:$D$7909, $B$2:$B$7909, "Lombardia")</f>
        <v>9704151</v>
      </c>
      <c r="G3477" s="1">
        <f>Comuni__2[[#This Row],[Popolazione2011]]/Comuni__2[[#This Row],[POPOLAZIONE TOTALE DI OGNI REGIONE (CON FILTRO)]]</f>
        <v>2.0012054635176225E-4</v>
      </c>
      <c r="H3477" t="str">
        <f>IF(Comuni__2[[#This Row],[Popolazione2011]]&gt;300000,"MAGGIORE","")</f>
        <v/>
      </c>
      <c r="J3477">
        <v>556</v>
      </c>
      <c r="K3477">
        <v>22</v>
      </c>
      <c r="L3477">
        <v>65</v>
      </c>
    </row>
    <row r="3478" spans="1:12" x14ac:dyDescent="0.2">
      <c r="A3478"/>
      <c r="B3478"/>
      <c r="C3478"/>
      <c r="D3478"/>
      <c r="E3478" s="2">
        <f>Comuni__2[[#This Row],[Popolazione2011]]/$D$7911</f>
        <v>3.2529449796078381E-5</v>
      </c>
      <c r="F3478">
        <f>SUMIFS($D$2:$D$7909, $B$2:$B$7909, "Lombardia")</f>
        <v>9704151</v>
      </c>
      <c r="G3478" s="1">
        <f>Comuni__2[[#This Row],[Popolazione2011]]/Comuni__2[[#This Row],[POPOLAZIONE TOTALE DI OGNI REGIONE (CON FILTRO)]]</f>
        <v>1.9919310818638334E-4</v>
      </c>
      <c r="H3478" t="str">
        <f>IF(Comuni__2[[#This Row],[Popolazione2011]]&gt;300000,"MAGGIORE","")</f>
        <v/>
      </c>
      <c r="J3478">
        <v>612</v>
      </c>
      <c r="K3478">
        <v>29</v>
      </c>
      <c r="L3478">
        <v>69</v>
      </c>
    </row>
    <row r="3479" spans="1:12" x14ac:dyDescent="0.2">
      <c r="A3479"/>
      <c r="B3479"/>
      <c r="C3479"/>
      <c r="D3479"/>
      <c r="E3479" s="2">
        <f>Comuni__2[[#This Row],[Popolazione2011]]/$D$7911</f>
        <v>3.2192880217226045E-5</v>
      </c>
      <c r="F3479">
        <f>SUMIFS($D$2:$D$7909, $B$2:$B$7909, "Lombardia")</f>
        <v>9704151</v>
      </c>
      <c r="G3479" s="1">
        <f>Comuni__2[[#This Row],[Popolazione2011]]/Comuni__2[[#This Row],[POPOLAZIONE TOTALE DI OGNI REGIONE (CON FILTRO)]]</f>
        <v>1.9713213448554128E-4</v>
      </c>
      <c r="H3479" t="str">
        <f>IF(Comuni__2[[#This Row],[Popolazione2011]]&gt;300000,"MAGGIORE","")</f>
        <v/>
      </c>
      <c r="J3479">
        <v>661</v>
      </c>
      <c r="K3479">
        <v>29</v>
      </c>
      <c r="L3479">
        <v>71</v>
      </c>
    </row>
    <row r="3480" spans="1:12" x14ac:dyDescent="0.2">
      <c r="A3480"/>
      <c r="B3480"/>
      <c r="C3480"/>
      <c r="D3480"/>
      <c r="E3480" s="2">
        <f>Comuni__2[[#This Row],[Popolazione2011]]/$D$7911</f>
        <v>3.2024595427799877E-5</v>
      </c>
      <c r="F3480">
        <f>SUMIFS($D$2:$D$7909, $B$2:$B$7909, "Lombardia")</f>
        <v>9704151</v>
      </c>
      <c r="G3480" s="1">
        <f>Comuni__2[[#This Row],[Popolazione2011]]/Comuni__2[[#This Row],[POPOLAZIONE TOTALE DI OGNI REGIONE (CON FILTRO)]]</f>
        <v>1.9610164763512027E-4</v>
      </c>
      <c r="H3480" t="str">
        <f>IF(Comuni__2[[#This Row],[Popolazione2011]]&gt;300000,"MAGGIORE","")</f>
        <v/>
      </c>
      <c r="J3480">
        <v>658</v>
      </c>
      <c r="K3480">
        <v>31</v>
      </c>
      <c r="L3480">
        <v>86</v>
      </c>
    </row>
    <row r="3481" spans="1:12" x14ac:dyDescent="0.2">
      <c r="A3481"/>
      <c r="B3481"/>
      <c r="C3481"/>
      <c r="D3481"/>
      <c r="E3481" s="2">
        <f>Comuni__2[[#This Row],[Popolazione2011]]/$D$7911</f>
        <v>3.200776694885726E-5</v>
      </c>
      <c r="F3481">
        <f>SUMIFS($D$2:$D$7909, $B$2:$B$7909, "Lombardia")</f>
        <v>9704151</v>
      </c>
      <c r="G3481" s="1">
        <f>Comuni__2[[#This Row],[Popolazione2011]]/Comuni__2[[#This Row],[POPOLAZIONE TOTALE DI OGNI REGIONE (CON FILTRO)]]</f>
        <v>1.9599859895007816E-4</v>
      </c>
      <c r="H3481" t="str">
        <f>IF(Comuni__2[[#This Row],[Popolazione2011]]&gt;300000,"MAGGIORE","")</f>
        <v/>
      </c>
      <c r="J3481">
        <v>696</v>
      </c>
      <c r="K3481">
        <v>36</v>
      </c>
      <c r="L3481">
        <v>91</v>
      </c>
    </row>
    <row r="3482" spans="1:12" x14ac:dyDescent="0.2">
      <c r="A3482"/>
      <c r="B3482"/>
      <c r="C3482"/>
      <c r="D3482"/>
      <c r="E3482" s="2">
        <f>Comuni__2[[#This Row],[Popolazione2011]]/$D$7911</f>
        <v>3.1873139117316325E-5</v>
      </c>
      <c r="F3482">
        <f>SUMIFS($D$2:$D$7909, $B$2:$B$7909, "Lombardia")</f>
        <v>9704151</v>
      </c>
      <c r="G3482" s="1">
        <f>Comuni__2[[#This Row],[Popolazione2011]]/Comuni__2[[#This Row],[POPOLAZIONE TOTALE DI OGNI REGIONE (CON FILTRO)]]</f>
        <v>1.9517420946974136E-4</v>
      </c>
      <c r="H3482" t="str">
        <f>IF(Comuni__2[[#This Row],[Popolazione2011]]&gt;300000,"MAGGIORE","")</f>
        <v/>
      </c>
      <c r="J3482">
        <v>714</v>
      </c>
      <c r="K3482">
        <v>39</v>
      </c>
      <c r="L3482">
        <v>110</v>
      </c>
    </row>
    <row r="3483" spans="1:12" x14ac:dyDescent="0.2">
      <c r="A3483"/>
      <c r="B3483"/>
      <c r="C3483"/>
      <c r="D3483"/>
      <c r="E3483" s="2">
        <f>Comuni__2[[#This Row],[Popolazione2011]]/$D$7911</f>
        <v>3.1856310638373708E-5</v>
      </c>
      <c r="F3483">
        <f>SUMIFS($D$2:$D$7909, $B$2:$B$7909, "Lombardia")</f>
        <v>9704151</v>
      </c>
      <c r="G3483" s="1">
        <f>Comuni__2[[#This Row],[Popolazione2011]]/Comuni__2[[#This Row],[POPOLAZIONE TOTALE DI OGNI REGIONE (CON FILTRO)]]</f>
        <v>1.9507116078469925E-4</v>
      </c>
      <c r="H3483" t="str">
        <f>IF(Comuni__2[[#This Row],[Popolazione2011]]&gt;300000,"MAGGIORE","")</f>
        <v/>
      </c>
      <c r="J3483">
        <v>744</v>
      </c>
      <c r="K3483">
        <v>61</v>
      </c>
      <c r="L3483">
        <v>129</v>
      </c>
    </row>
    <row r="3484" spans="1:12" x14ac:dyDescent="0.2">
      <c r="A3484"/>
      <c r="B3484"/>
      <c r="C3484"/>
      <c r="D3484"/>
      <c r="E3484" s="2">
        <f>Comuni__2[[#This Row],[Popolazione2011]]/$D$7911</f>
        <v>3.1839482159431092E-5</v>
      </c>
      <c r="F3484">
        <f>SUMIFS($D$2:$D$7909, $B$2:$B$7909, "Lombardia")</f>
        <v>9704151</v>
      </c>
      <c r="G3484" s="1">
        <f>Comuni__2[[#This Row],[Popolazione2011]]/Comuni__2[[#This Row],[POPOLAZIONE TOTALE DI OGNI REGIONE (CON FILTRO)]]</f>
        <v>1.9496811209965715E-4</v>
      </c>
      <c r="H3484" t="str">
        <f>IF(Comuni__2[[#This Row],[Popolazione2011]]&gt;300000,"MAGGIORE","")</f>
        <v/>
      </c>
      <c r="J3484">
        <v>763</v>
      </c>
      <c r="K3484">
        <v>69</v>
      </c>
      <c r="L3484">
        <v>144</v>
      </c>
    </row>
    <row r="3485" spans="1:12" x14ac:dyDescent="0.2">
      <c r="A3485"/>
      <c r="B3485"/>
      <c r="C3485"/>
      <c r="D3485"/>
      <c r="E3485" s="2">
        <f>Comuni__2[[#This Row],[Popolazione2011]]/$D$7911</f>
        <v>3.1839482159431092E-5</v>
      </c>
      <c r="F3485">
        <f>SUMIFS($D$2:$D$7909, $B$2:$B$7909, "Lombardia")</f>
        <v>9704151</v>
      </c>
      <c r="G3485" s="1">
        <f>Comuni__2[[#This Row],[Popolazione2011]]/Comuni__2[[#This Row],[POPOLAZIONE TOTALE DI OGNI REGIONE (CON FILTRO)]]</f>
        <v>1.9496811209965715E-4</v>
      </c>
      <c r="H3485" t="str">
        <f>IF(Comuni__2[[#This Row],[Popolazione2011]]&gt;300000,"MAGGIORE","")</f>
        <v/>
      </c>
      <c r="J3485">
        <v>771</v>
      </c>
      <c r="K3485">
        <v>69</v>
      </c>
      <c r="L3485">
        <v>164</v>
      </c>
    </row>
    <row r="3486" spans="1:12" x14ac:dyDescent="0.2">
      <c r="A3486"/>
      <c r="B3486"/>
      <c r="C3486"/>
      <c r="D3486"/>
      <c r="E3486" s="2">
        <f>Comuni__2[[#This Row],[Popolazione2011]]/$D$7911</f>
        <v>3.1721682806832773E-5</v>
      </c>
      <c r="F3486">
        <f>SUMIFS($D$2:$D$7909, $B$2:$B$7909, "Lombardia")</f>
        <v>9704151</v>
      </c>
      <c r="G3486" s="1">
        <f>Comuni__2[[#This Row],[Popolazione2011]]/Comuni__2[[#This Row],[POPOLAZIONE TOTALE DI OGNI REGIONE (CON FILTRO)]]</f>
        <v>1.9424677130436244E-4</v>
      </c>
      <c r="H3486" t="str">
        <f>IF(Comuni__2[[#This Row],[Popolazione2011]]&gt;300000,"MAGGIORE","")</f>
        <v/>
      </c>
      <c r="J3486">
        <v>780</v>
      </c>
      <c r="K3486">
        <v>94</v>
      </c>
      <c r="L3486">
        <v>173</v>
      </c>
    </row>
    <row r="3487" spans="1:12" x14ac:dyDescent="0.2">
      <c r="A3487"/>
      <c r="B3487"/>
      <c r="C3487"/>
      <c r="D3487"/>
      <c r="E3487" s="2">
        <f>Comuni__2[[#This Row],[Popolazione2011]]/$D$7911</f>
        <v>3.1704854327890157E-5</v>
      </c>
      <c r="F3487">
        <f>SUMIFS($D$2:$D$7909, $B$2:$B$7909, "Lombardia")</f>
        <v>9704151</v>
      </c>
      <c r="G3487" s="1">
        <f>Comuni__2[[#This Row],[Popolazione2011]]/Comuni__2[[#This Row],[POPOLAZIONE TOTALE DI OGNI REGIONE (CON FILTRO)]]</f>
        <v>1.9414372261932034E-4</v>
      </c>
      <c r="H3487" t="str">
        <f>IF(Comuni__2[[#This Row],[Popolazione2011]]&gt;300000,"MAGGIORE","")</f>
        <v/>
      </c>
      <c r="J3487">
        <v>733</v>
      </c>
      <c r="K3487">
        <v>113</v>
      </c>
      <c r="L3487">
        <v>182</v>
      </c>
    </row>
    <row r="3488" spans="1:12" x14ac:dyDescent="0.2">
      <c r="A3488"/>
      <c r="B3488"/>
      <c r="C3488"/>
      <c r="D3488"/>
      <c r="E3488" s="2">
        <f>Comuni__2[[#This Row],[Popolazione2011]]/$D$7911</f>
        <v>3.1603883454234453E-5</v>
      </c>
      <c r="F3488">
        <f>SUMIFS($D$2:$D$7909, $B$2:$B$7909, "Lombardia")</f>
        <v>9704151</v>
      </c>
      <c r="G3488" s="1">
        <f>Comuni__2[[#This Row],[Popolazione2011]]/Comuni__2[[#This Row],[POPOLAZIONE TOTALE DI OGNI REGIONE (CON FILTRO)]]</f>
        <v>1.9352543050906771E-4</v>
      </c>
      <c r="H3488" t="str">
        <f>IF(Comuni__2[[#This Row],[Popolazione2011]]&gt;300000,"MAGGIORE","")</f>
        <v/>
      </c>
      <c r="J3488">
        <v>722</v>
      </c>
      <c r="K3488">
        <v>134</v>
      </c>
      <c r="L3488">
        <v>195</v>
      </c>
    </row>
    <row r="3489" spans="1:12" x14ac:dyDescent="0.2">
      <c r="A3489"/>
      <c r="B3489"/>
      <c r="C3489"/>
      <c r="D3489"/>
      <c r="E3489" s="2">
        <f>Comuni__2[[#This Row],[Popolazione2011]]/$D$7911</f>
        <v>3.1553398017406605E-5</v>
      </c>
      <c r="F3489">
        <f>SUMIFS($D$2:$D$7909, $B$2:$B$7909, "Lombardia")</f>
        <v>9704151</v>
      </c>
      <c r="G3489" s="1">
        <f>Comuni__2[[#This Row],[Popolazione2011]]/Comuni__2[[#This Row],[POPOLAZIONE TOTALE DI OGNI REGIONE (CON FILTRO)]]</f>
        <v>1.932162844539414E-4</v>
      </c>
      <c r="H3489" t="str">
        <f>IF(Comuni__2[[#This Row],[Popolazione2011]]&gt;300000,"MAGGIORE","")</f>
        <v/>
      </c>
      <c r="J3489">
        <v>708</v>
      </c>
      <c r="K3489">
        <v>168</v>
      </c>
      <c r="L3489">
        <v>209</v>
      </c>
    </row>
    <row r="3490" spans="1:12" x14ac:dyDescent="0.2">
      <c r="A3490"/>
      <c r="B3490"/>
      <c r="C3490"/>
      <c r="D3490"/>
      <c r="E3490" s="2">
        <f>Comuni__2[[#This Row],[Popolazione2011]]/$D$7911</f>
        <v>3.1519741059521372E-5</v>
      </c>
      <c r="F3490">
        <f>SUMIFS($D$2:$D$7909, $B$2:$B$7909, "Lombardia")</f>
        <v>9704151</v>
      </c>
      <c r="G3490" s="1">
        <f>Comuni__2[[#This Row],[Popolazione2011]]/Comuni__2[[#This Row],[POPOLAZIONE TOTALE DI OGNI REGIONE (CON FILTRO)]]</f>
        <v>1.9301018708385722E-4</v>
      </c>
      <c r="H3490" t="str">
        <f>IF(Comuni__2[[#This Row],[Popolazione2011]]&gt;300000,"MAGGIORE","")</f>
        <v/>
      </c>
      <c r="J3490">
        <v>729</v>
      </c>
      <c r="K3490">
        <v>177</v>
      </c>
      <c r="L3490">
        <v>219</v>
      </c>
    </row>
    <row r="3491" spans="1:12" x14ac:dyDescent="0.2">
      <c r="A3491"/>
      <c r="B3491"/>
      <c r="C3491"/>
      <c r="D3491"/>
      <c r="E3491" s="2">
        <f>Comuni__2[[#This Row],[Popolazione2011]]/$D$7911</f>
        <v>3.1418770185865669E-5</v>
      </c>
      <c r="F3491">
        <f>SUMIFS($D$2:$D$7909, $B$2:$B$7909, "Lombardia")</f>
        <v>9704151</v>
      </c>
      <c r="G3491" s="1">
        <f>Comuni__2[[#This Row],[Popolazione2011]]/Comuni__2[[#This Row],[POPOLAZIONE TOTALE DI OGNI REGIONE (CON FILTRO)]]</f>
        <v>1.9239189497360459E-4</v>
      </c>
      <c r="H3491" t="str">
        <f>IF(Comuni__2[[#This Row],[Popolazione2011]]&gt;300000,"MAGGIORE","")</f>
        <v/>
      </c>
      <c r="J3491">
        <v>716</v>
      </c>
      <c r="K3491">
        <v>190</v>
      </c>
      <c r="L3491">
        <v>225</v>
      </c>
    </row>
    <row r="3492" spans="1:12" x14ac:dyDescent="0.2">
      <c r="A3492"/>
      <c r="B3492"/>
      <c r="C3492"/>
      <c r="D3492"/>
      <c r="E3492" s="2">
        <f>Comuni__2[[#This Row],[Popolazione2011]]/$D$7911</f>
        <v>3.1385113227980437E-5</v>
      </c>
      <c r="F3492">
        <f>SUMIFS($D$2:$D$7909, $B$2:$B$7909, "Lombardia")</f>
        <v>9704151</v>
      </c>
      <c r="G3492" s="1">
        <f>Comuni__2[[#This Row],[Popolazione2011]]/Comuni__2[[#This Row],[POPOLAZIONE TOTALE DI OGNI REGIONE (CON FILTRO)]]</f>
        <v>1.9218579760352038E-4</v>
      </c>
      <c r="H3492" t="str">
        <f>IF(Comuni__2[[#This Row],[Popolazione2011]]&gt;300000,"MAGGIORE","")</f>
        <v/>
      </c>
      <c r="J3492">
        <v>711</v>
      </c>
      <c r="K3492">
        <v>235</v>
      </c>
      <c r="L3492">
        <v>238</v>
      </c>
    </row>
    <row r="3493" spans="1:12" x14ac:dyDescent="0.2">
      <c r="A3493"/>
      <c r="B3493"/>
      <c r="C3493"/>
      <c r="D3493"/>
      <c r="E3493" s="2">
        <f>Comuni__2[[#This Row],[Popolazione2011]]/$D$7911</f>
        <v>3.1368284749037821E-5</v>
      </c>
      <c r="F3493">
        <f>SUMIFS($D$2:$D$7909, $B$2:$B$7909, "Lombardia")</f>
        <v>9704151</v>
      </c>
      <c r="G3493" s="1">
        <f>Comuni__2[[#This Row],[Popolazione2011]]/Comuni__2[[#This Row],[POPOLAZIONE TOTALE DI OGNI REGIONE (CON FILTRO)]]</f>
        <v>1.9208274891847828E-4</v>
      </c>
      <c r="H3493" t="str">
        <f>IF(Comuni__2[[#This Row],[Popolazione2011]]&gt;300000,"MAGGIORE","")</f>
        <v/>
      </c>
      <c r="J3493">
        <v>700</v>
      </c>
      <c r="K3493">
        <v>249</v>
      </c>
      <c r="L3493">
        <v>253</v>
      </c>
    </row>
    <row r="3494" spans="1:12" x14ac:dyDescent="0.2">
      <c r="A3494"/>
      <c r="B3494"/>
      <c r="C3494"/>
      <c r="D3494"/>
      <c r="E3494" s="2">
        <f>Comuni__2[[#This Row],[Popolazione2011]]/$D$7911</f>
        <v>3.1368284749037821E-5</v>
      </c>
      <c r="F3494">
        <f>SUMIFS($D$2:$D$7909, $B$2:$B$7909, "Lombardia")</f>
        <v>9704151</v>
      </c>
      <c r="G3494" s="1">
        <f>Comuni__2[[#This Row],[Popolazione2011]]/Comuni__2[[#This Row],[POPOLAZIONE TOTALE DI OGNI REGIONE (CON FILTRO)]]</f>
        <v>1.9208274891847828E-4</v>
      </c>
      <c r="H3494" t="str">
        <f>IF(Comuni__2[[#This Row],[Popolazione2011]]&gt;300000,"MAGGIORE","")</f>
        <v/>
      </c>
      <c r="J3494">
        <v>680</v>
      </c>
      <c r="K3494">
        <v>277</v>
      </c>
      <c r="L3494">
        <v>260</v>
      </c>
    </row>
    <row r="3495" spans="1:12" x14ac:dyDescent="0.2">
      <c r="A3495"/>
      <c r="B3495"/>
      <c r="C3495"/>
      <c r="D3495"/>
      <c r="E3495" s="2">
        <f>Comuni__2[[#This Row],[Popolazione2011]]/$D$7911</f>
        <v>3.1284142354324733E-5</v>
      </c>
      <c r="F3495">
        <f>SUMIFS($D$2:$D$7909, $B$2:$B$7909, "Lombardia")</f>
        <v>9704151</v>
      </c>
      <c r="G3495" s="1">
        <f>Comuni__2[[#This Row],[Popolazione2011]]/Comuni__2[[#This Row],[POPOLAZIONE TOTALE DI OGNI REGIONE (CON FILTRO)]]</f>
        <v>1.9156750549326779E-4</v>
      </c>
      <c r="H3495" t="str">
        <f>IF(Comuni__2[[#This Row],[Popolazione2011]]&gt;300000,"MAGGIORE","")</f>
        <v/>
      </c>
      <c r="J3495">
        <v>671</v>
      </c>
      <c r="K3495">
        <v>286</v>
      </c>
      <c r="L3495">
        <v>267</v>
      </c>
    </row>
    <row r="3496" spans="1:12" x14ac:dyDescent="0.2">
      <c r="A3496"/>
      <c r="B3496"/>
      <c r="C3496"/>
      <c r="D3496"/>
      <c r="E3496" s="2">
        <f>Comuni__2[[#This Row],[Popolazione2011]]/$D$7911</f>
        <v>3.1183171480669036E-5</v>
      </c>
      <c r="F3496">
        <f>SUMIFS($D$2:$D$7909, $B$2:$B$7909, "Lombardia")</f>
        <v>9704151</v>
      </c>
      <c r="G3496" s="1">
        <f>Comuni__2[[#This Row],[Popolazione2011]]/Comuni__2[[#This Row],[POPOLAZIONE TOTALE DI OGNI REGIONE (CON FILTRO)]]</f>
        <v>1.9094921338301516E-4</v>
      </c>
      <c r="H3496" t="str">
        <f>IF(Comuni__2[[#This Row],[Popolazione2011]]&gt;300000,"MAGGIORE","")</f>
        <v/>
      </c>
      <c r="J3496">
        <v>673</v>
      </c>
      <c r="K3496">
        <v>288</v>
      </c>
      <c r="L3496">
        <v>278</v>
      </c>
    </row>
    <row r="3497" spans="1:12" x14ac:dyDescent="0.2">
      <c r="A3497"/>
      <c r="B3497"/>
      <c r="C3497"/>
      <c r="D3497"/>
      <c r="E3497" s="2">
        <f>Comuni__2[[#This Row],[Popolazione2011]]/$D$7911</f>
        <v>3.0846601901816694E-5</v>
      </c>
      <c r="F3497">
        <f>SUMIFS($D$2:$D$7909, $B$2:$B$7909, "Lombardia")</f>
        <v>9704151</v>
      </c>
      <c r="G3497" s="1">
        <f>Comuni__2[[#This Row],[Popolazione2011]]/Comuni__2[[#This Row],[POPOLAZIONE TOTALE DI OGNI REGIONE (CON FILTRO)]]</f>
        <v>1.8888823968217313E-4</v>
      </c>
      <c r="H3497" t="str">
        <f>IF(Comuni__2[[#This Row],[Popolazione2011]]&gt;300000,"MAGGIORE","")</f>
        <v/>
      </c>
      <c r="J3497">
        <v>665</v>
      </c>
      <c r="K3497">
        <v>323</v>
      </c>
      <c r="L3497">
        <v>288</v>
      </c>
    </row>
    <row r="3498" spans="1:12" x14ac:dyDescent="0.2">
      <c r="A3498"/>
      <c r="B3498"/>
      <c r="C3498"/>
      <c r="D3498"/>
      <c r="E3498" s="2">
        <f>Comuni__2[[#This Row],[Popolazione2011]]/$D$7911</f>
        <v>3.0745631028160997E-5</v>
      </c>
      <c r="F3498">
        <f>SUMIFS($D$2:$D$7909, $B$2:$B$7909, "Lombardia")</f>
        <v>9704151</v>
      </c>
      <c r="G3498" s="1">
        <f>Comuni__2[[#This Row],[Popolazione2011]]/Comuni__2[[#This Row],[POPOLAZIONE TOTALE DI OGNI REGIONE (CON FILTRO)]]</f>
        <v>1.882699475719205E-4</v>
      </c>
      <c r="H3498" t="str">
        <f>IF(Comuni__2[[#This Row],[Popolazione2011]]&gt;300000,"MAGGIORE","")</f>
        <v/>
      </c>
      <c r="J3498">
        <v>661</v>
      </c>
      <c r="K3498">
        <v>334</v>
      </c>
      <c r="L3498">
        <v>299</v>
      </c>
    </row>
    <row r="3499" spans="1:12" x14ac:dyDescent="0.2">
      <c r="A3499"/>
      <c r="B3499"/>
      <c r="C3499"/>
      <c r="D3499"/>
      <c r="E3499" s="2">
        <f>Comuni__2[[#This Row],[Popolazione2011]]/$D$7911</f>
        <v>3.0728802549218381E-5</v>
      </c>
      <c r="F3499">
        <f>SUMIFS($D$2:$D$7909, $B$2:$B$7909, "Lombardia")</f>
        <v>9704151</v>
      </c>
      <c r="G3499" s="1">
        <f>Comuni__2[[#This Row],[Popolazione2011]]/Comuni__2[[#This Row],[POPOLAZIONE TOTALE DI OGNI REGIONE (CON FILTRO)]]</f>
        <v>1.881668988868784E-4</v>
      </c>
      <c r="H3499" t="str">
        <f>IF(Comuni__2[[#This Row],[Popolazione2011]]&gt;300000,"MAGGIORE","")</f>
        <v/>
      </c>
      <c r="J3499">
        <v>652</v>
      </c>
      <c r="K3499">
        <v>364</v>
      </c>
      <c r="L3499">
        <v>307</v>
      </c>
    </row>
    <row r="3500" spans="1:12" x14ac:dyDescent="0.2">
      <c r="A3500"/>
      <c r="B3500"/>
      <c r="C3500"/>
      <c r="D3500"/>
      <c r="E3500" s="2">
        <f>Comuni__2[[#This Row],[Popolazione2011]]/$D$7911</f>
        <v>3.0526860801906974E-5</v>
      </c>
      <c r="F3500">
        <f>SUMIFS($D$2:$D$7909, $B$2:$B$7909, "Lombardia")</f>
        <v>9704151</v>
      </c>
      <c r="G3500" s="1">
        <f>Comuni__2[[#This Row],[Popolazione2011]]/Comuni__2[[#This Row],[POPOLAZIONE TOTALE DI OGNI REGIONE (CON FILTRO)]]</f>
        <v>1.8693031466637317E-4</v>
      </c>
      <c r="H3500" t="str">
        <f>IF(Comuni__2[[#This Row],[Popolazione2011]]&gt;300000,"MAGGIORE","")</f>
        <v/>
      </c>
      <c r="J3500">
        <v>654</v>
      </c>
      <c r="K3500">
        <v>401</v>
      </c>
      <c r="L3500">
        <v>314</v>
      </c>
    </row>
    <row r="3501" spans="1:12" x14ac:dyDescent="0.2">
      <c r="A3501"/>
      <c r="B3501"/>
      <c r="C3501"/>
      <c r="D3501"/>
      <c r="E3501" s="2">
        <f>Comuni__2[[#This Row],[Popolazione2011]]/$D$7911</f>
        <v>3.0476375365079125E-5</v>
      </c>
      <c r="F3501">
        <f>SUMIFS($D$2:$D$7909, $B$2:$B$7909, "Lombardia")</f>
        <v>9704151</v>
      </c>
      <c r="G3501" s="1">
        <f>Comuni__2[[#This Row],[Popolazione2011]]/Comuni__2[[#This Row],[POPOLAZIONE TOTALE DI OGNI REGIONE (CON FILTRO)]]</f>
        <v>1.8662116861124689E-4</v>
      </c>
      <c r="H3501" t="str">
        <f>IF(Comuni__2[[#This Row],[Popolazione2011]]&gt;300000,"MAGGIORE","")</f>
        <v/>
      </c>
      <c r="J3501">
        <v>650</v>
      </c>
      <c r="K3501">
        <v>427</v>
      </c>
      <c r="L3501">
        <v>316</v>
      </c>
    </row>
    <row r="3502" spans="1:12" x14ac:dyDescent="0.2">
      <c r="A3502"/>
      <c r="B3502"/>
      <c r="C3502"/>
      <c r="D3502"/>
      <c r="E3502" s="2">
        <f>Comuni__2[[#This Row],[Popolazione2011]]/$D$7911</f>
        <v>3.0358576012480809E-5</v>
      </c>
      <c r="F3502">
        <f>SUMIFS($D$2:$D$7909, $B$2:$B$7909, "Lombardia")</f>
        <v>9704151</v>
      </c>
      <c r="G3502" s="1">
        <f>Comuni__2[[#This Row],[Popolazione2011]]/Comuni__2[[#This Row],[POPOLAZIONE TOTALE DI OGNI REGIONE (CON FILTRO)]]</f>
        <v>1.8589982781595216E-4</v>
      </c>
      <c r="H3502" t="str">
        <f>IF(Comuni__2[[#This Row],[Popolazione2011]]&gt;300000,"MAGGIORE","")</f>
        <v/>
      </c>
      <c r="J3502">
        <v>650</v>
      </c>
      <c r="K3502">
        <v>431</v>
      </c>
      <c r="L3502">
        <v>326</v>
      </c>
    </row>
    <row r="3503" spans="1:12" x14ac:dyDescent="0.2">
      <c r="A3503"/>
      <c r="B3503"/>
      <c r="C3503"/>
      <c r="D3503"/>
      <c r="E3503" s="2">
        <f>Comuni__2[[#This Row],[Popolazione2011]]/$D$7911</f>
        <v>3.0358576012480809E-5</v>
      </c>
      <c r="F3503">
        <f>SUMIFS($D$2:$D$7909, $B$2:$B$7909, "Lombardia")</f>
        <v>9704151</v>
      </c>
      <c r="G3503" s="1">
        <f>Comuni__2[[#This Row],[Popolazione2011]]/Comuni__2[[#This Row],[POPOLAZIONE TOTALE DI OGNI REGIONE (CON FILTRO)]]</f>
        <v>1.8589982781595216E-4</v>
      </c>
      <c r="H3503" t="str">
        <f>IF(Comuni__2[[#This Row],[Popolazione2011]]&gt;300000,"MAGGIORE","")</f>
        <v/>
      </c>
      <c r="J3503">
        <v>634</v>
      </c>
      <c r="K3503">
        <v>459</v>
      </c>
      <c r="L3503">
        <v>351</v>
      </c>
    </row>
    <row r="3504" spans="1:12" x14ac:dyDescent="0.2">
      <c r="A3504"/>
      <c r="B3504"/>
      <c r="C3504"/>
      <c r="D3504"/>
      <c r="E3504" s="2">
        <f>Comuni__2[[#This Row],[Popolazione2011]]/$D$7911</f>
        <v>3.0274433617767725E-5</v>
      </c>
      <c r="F3504">
        <f>SUMIFS($D$2:$D$7909, $B$2:$B$7909, "Lombardia")</f>
        <v>9704151</v>
      </c>
      <c r="G3504" s="1">
        <f>Comuni__2[[#This Row],[Popolazione2011]]/Comuni__2[[#This Row],[POPOLAZIONE TOTALE DI OGNI REGIONE (CON FILTRO)]]</f>
        <v>1.8538458439074166E-4</v>
      </c>
      <c r="H3504" t="str">
        <f>IF(Comuni__2[[#This Row],[Popolazione2011]]&gt;300000,"MAGGIORE","")</f>
        <v/>
      </c>
      <c r="J3504">
        <v>624</v>
      </c>
      <c r="K3504">
        <v>494</v>
      </c>
      <c r="L3504">
        <v>362</v>
      </c>
    </row>
    <row r="3505" spans="1:12" x14ac:dyDescent="0.2">
      <c r="A3505"/>
      <c r="B3505"/>
      <c r="C3505"/>
      <c r="D3505"/>
      <c r="E3505" s="2">
        <f>Comuni__2[[#This Row],[Popolazione2011]]/$D$7911</f>
        <v>3.0257605138825105E-5</v>
      </c>
      <c r="F3505">
        <f>SUMIFS($D$2:$D$7909, $B$2:$B$7909, "Lombardia")</f>
        <v>9704151</v>
      </c>
      <c r="G3505" s="1">
        <f>Comuni__2[[#This Row],[Popolazione2011]]/Comuni__2[[#This Row],[POPOLAZIONE TOTALE DI OGNI REGIONE (CON FILTRO)]]</f>
        <v>1.8528153570569956E-4</v>
      </c>
      <c r="H3505" t="str">
        <f>IF(Comuni__2[[#This Row],[Popolazione2011]]&gt;300000,"MAGGIORE","")</f>
        <v/>
      </c>
      <c r="J3505">
        <v>591</v>
      </c>
      <c r="K3505">
        <v>531</v>
      </c>
      <c r="L3505">
        <v>372</v>
      </c>
    </row>
    <row r="3506" spans="1:12" x14ac:dyDescent="0.2">
      <c r="A3506"/>
      <c r="B3506"/>
      <c r="C3506"/>
      <c r="D3506"/>
      <c r="E3506" s="2">
        <f>Comuni__2[[#This Row],[Popolazione2011]]/$D$7911</f>
        <v>3.0190291223054641E-5</v>
      </c>
      <c r="F3506">
        <f>SUMIFS($D$2:$D$7909, $B$2:$B$7909, "Lombardia")</f>
        <v>9704151</v>
      </c>
      <c r="G3506" s="1">
        <f>Comuni__2[[#This Row],[Popolazione2011]]/Comuni__2[[#This Row],[POPOLAZIONE TOTALE DI OGNI REGIONE (CON FILTRO)]]</f>
        <v>1.8486934096553114E-4</v>
      </c>
      <c r="H3506" t="str">
        <f>IF(Comuni__2[[#This Row],[Popolazione2011]]&gt;300000,"MAGGIORE","")</f>
        <v/>
      </c>
      <c r="J3506">
        <v>547</v>
      </c>
      <c r="K3506">
        <v>565</v>
      </c>
      <c r="L3506">
        <v>383</v>
      </c>
    </row>
    <row r="3507" spans="1:12" x14ac:dyDescent="0.2">
      <c r="A3507"/>
      <c r="B3507"/>
      <c r="C3507"/>
      <c r="D3507"/>
      <c r="E3507" s="2">
        <f>Comuni__2[[#This Row],[Popolazione2011]]/$D$7911</f>
        <v>3.0122977307284173E-5</v>
      </c>
      <c r="F3507">
        <f>SUMIFS($D$2:$D$7909, $B$2:$B$7909, "Lombardia")</f>
        <v>9704151</v>
      </c>
      <c r="G3507" s="1">
        <f>Comuni__2[[#This Row],[Popolazione2011]]/Comuni__2[[#This Row],[POPOLAZIONE TOTALE DI OGNI REGIONE (CON FILTRO)]]</f>
        <v>1.8445714622536272E-4</v>
      </c>
      <c r="H3507" t="str">
        <f>IF(Comuni__2[[#This Row],[Popolazione2011]]&gt;300000,"MAGGIORE","")</f>
        <v/>
      </c>
      <c r="J3507">
        <v>517</v>
      </c>
      <c r="K3507">
        <v>602</v>
      </c>
      <c r="L3507">
        <v>391</v>
      </c>
    </row>
    <row r="3508" spans="1:12" x14ac:dyDescent="0.2">
      <c r="A3508"/>
      <c r="B3508"/>
      <c r="C3508"/>
      <c r="D3508"/>
      <c r="E3508" s="2">
        <f>Comuni__2[[#This Row],[Popolazione2011]]/$D$7911</f>
        <v>3.0038834912571089E-5</v>
      </c>
      <c r="F3508">
        <f>SUMIFS($D$2:$D$7909, $B$2:$B$7909, "Lombardia")</f>
        <v>9704151</v>
      </c>
      <c r="G3508" s="1">
        <f>Comuni__2[[#This Row],[Popolazione2011]]/Comuni__2[[#This Row],[POPOLAZIONE TOTALE DI OGNI REGIONE (CON FILTRO)]]</f>
        <v>1.8394190280015223E-4</v>
      </c>
      <c r="H3508" t="str">
        <f>IF(Comuni__2[[#This Row],[Popolazione2011]]&gt;300000,"MAGGIORE","")</f>
        <v/>
      </c>
      <c r="J3508">
        <v>512</v>
      </c>
      <c r="K3508">
        <v>612</v>
      </c>
      <c r="L3508">
        <v>399</v>
      </c>
    </row>
    <row r="3509" spans="1:12" x14ac:dyDescent="0.2">
      <c r="A3509"/>
      <c r="B3509"/>
      <c r="C3509"/>
      <c r="D3509"/>
      <c r="E3509" s="2">
        <f>Comuni__2[[#This Row],[Popolazione2011]]/$D$7911</f>
        <v>2.9954692517858002E-5</v>
      </c>
      <c r="F3509">
        <f>SUMIFS($D$2:$D$7909, $B$2:$B$7909, "Lombardia")</f>
        <v>9704151</v>
      </c>
      <c r="G3509" s="1">
        <f>Comuni__2[[#This Row],[Popolazione2011]]/Comuni__2[[#This Row],[POPOLAZIONE TOTALE DI OGNI REGIONE (CON FILTRO)]]</f>
        <v>1.8342665937494171E-4</v>
      </c>
      <c r="H3509" t="str">
        <f>IF(Comuni__2[[#This Row],[Popolazione2011]]&gt;300000,"MAGGIORE","")</f>
        <v/>
      </c>
      <c r="J3509">
        <v>500</v>
      </c>
      <c r="K3509">
        <v>641</v>
      </c>
      <c r="L3509">
        <v>405</v>
      </c>
    </row>
    <row r="3510" spans="1:12" x14ac:dyDescent="0.2">
      <c r="A3510"/>
      <c r="B3510"/>
      <c r="C3510"/>
      <c r="D3510"/>
      <c r="E3510" s="2">
        <f>Comuni__2[[#This Row],[Popolazione2011]]/$D$7911</f>
        <v>2.9937864038915385E-5</v>
      </c>
      <c r="F3510">
        <f>SUMIFS($D$2:$D$7909, $B$2:$B$7909, "Lombardia")</f>
        <v>9704151</v>
      </c>
      <c r="G3510" s="1">
        <f>Comuni__2[[#This Row],[Popolazione2011]]/Comuni__2[[#This Row],[POPOLAZIONE TOTALE DI OGNI REGIONE (CON FILTRO)]]</f>
        <v>1.833236106898996E-4</v>
      </c>
      <c r="H3510" t="str">
        <f>IF(Comuni__2[[#This Row],[Popolazione2011]]&gt;300000,"MAGGIORE","")</f>
        <v/>
      </c>
      <c r="J3510">
        <v>499</v>
      </c>
      <c r="K3510">
        <v>654</v>
      </c>
      <c r="L3510">
        <v>407</v>
      </c>
    </row>
    <row r="3511" spans="1:12" x14ac:dyDescent="0.2">
      <c r="A3511"/>
      <c r="B3511"/>
      <c r="C3511"/>
      <c r="D3511"/>
      <c r="E3511" s="2">
        <f>Comuni__2[[#This Row],[Popolazione2011]]/$D$7911</f>
        <v>2.9820064686317069E-5</v>
      </c>
      <c r="F3511">
        <f>SUMIFS($D$2:$D$7909, $B$2:$B$7909, "Lombardia")</f>
        <v>9704151</v>
      </c>
      <c r="G3511" s="1">
        <f>Comuni__2[[#This Row],[Popolazione2011]]/Comuni__2[[#This Row],[POPOLAZIONE TOTALE DI OGNI REGIONE (CON FILTRO)]]</f>
        <v>1.826022698946049E-4</v>
      </c>
      <c r="H3511" t="str">
        <f>IF(Comuni__2[[#This Row],[Popolazione2011]]&gt;300000,"MAGGIORE","")</f>
        <v/>
      </c>
      <c r="J3511">
        <v>496</v>
      </c>
      <c r="K3511">
        <v>692</v>
      </c>
      <c r="L3511">
        <v>410</v>
      </c>
    </row>
    <row r="3512" spans="1:12" x14ac:dyDescent="0.2">
      <c r="A3512"/>
      <c r="B3512"/>
      <c r="C3512"/>
      <c r="D3512"/>
      <c r="E3512" s="2">
        <f>Comuni__2[[#This Row],[Popolazione2011]]/$D$7911</f>
        <v>2.9786407728431834E-5</v>
      </c>
      <c r="F3512">
        <f>SUMIFS($D$2:$D$7909, $B$2:$B$7909, "Lombardia")</f>
        <v>9704151</v>
      </c>
      <c r="G3512" s="1">
        <f>Comuni__2[[#This Row],[Popolazione2011]]/Comuni__2[[#This Row],[POPOLAZIONE TOTALE DI OGNI REGIONE (CON FILTRO)]]</f>
        <v>1.8239617252452069E-4</v>
      </c>
      <c r="H3512" t="str">
        <f>IF(Comuni__2[[#This Row],[Popolazione2011]]&gt;300000,"MAGGIORE","")</f>
        <v/>
      </c>
      <c r="J3512">
        <v>481</v>
      </c>
      <c r="K3512">
        <v>708</v>
      </c>
      <c r="L3512">
        <v>415</v>
      </c>
    </row>
    <row r="3513" spans="1:12" x14ac:dyDescent="0.2">
      <c r="A3513"/>
      <c r="B3513"/>
      <c r="C3513"/>
      <c r="D3513"/>
      <c r="E3513" s="2">
        <f>Comuni__2[[#This Row],[Popolazione2011]]/$D$7911</f>
        <v>2.9752750770546601E-5</v>
      </c>
      <c r="F3513">
        <f>SUMIFS($D$2:$D$7909, $B$2:$B$7909, "Lombardia")</f>
        <v>9704151</v>
      </c>
      <c r="G3513" s="1">
        <f>Comuni__2[[#This Row],[Popolazione2011]]/Comuni__2[[#This Row],[POPOLAZIONE TOTALE DI OGNI REGIONE (CON FILTRO)]]</f>
        <v>1.8219007515443648E-4</v>
      </c>
      <c r="H3513" t="str">
        <f>IF(Comuni__2[[#This Row],[Popolazione2011]]&gt;300000,"MAGGIORE","")</f>
        <v/>
      </c>
      <c r="J3513">
        <v>467</v>
      </c>
      <c r="K3513">
        <v>731</v>
      </c>
      <c r="L3513">
        <v>421</v>
      </c>
    </row>
    <row r="3514" spans="1:12" x14ac:dyDescent="0.2">
      <c r="A3514"/>
      <c r="B3514"/>
      <c r="C3514"/>
      <c r="D3514"/>
      <c r="E3514" s="2">
        <f>Comuni__2[[#This Row],[Popolazione2011]]/$D$7911</f>
        <v>2.9719093812661366E-5</v>
      </c>
      <c r="F3514">
        <f>SUMIFS($D$2:$D$7909, $B$2:$B$7909, "Lombardia")</f>
        <v>9704151</v>
      </c>
      <c r="G3514" s="1">
        <f>Comuni__2[[#This Row],[Popolazione2011]]/Comuni__2[[#This Row],[POPOLAZIONE TOTALE DI OGNI REGIONE (CON FILTRO)]]</f>
        <v>1.8198397778435227E-4</v>
      </c>
      <c r="H3514" t="str">
        <f>IF(Comuni__2[[#This Row],[Popolazione2011]]&gt;300000,"MAGGIORE","")</f>
        <v/>
      </c>
      <c r="J3514">
        <v>455</v>
      </c>
      <c r="K3514">
        <v>757</v>
      </c>
      <c r="L3514">
        <v>422</v>
      </c>
    </row>
    <row r="3515" spans="1:12" x14ac:dyDescent="0.2">
      <c r="A3515"/>
      <c r="B3515"/>
      <c r="C3515"/>
      <c r="D3515"/>
      <c r="E3515" s="2">
        <f>Comuni__2[[#This Row],[Popolazione2011]]/$D$7911</f>
        <v>2.9668608375833517E-5</v>
      </c>
      <c r="F3515">
        <f>SUMIFS($D$2:$D$7909, $B$2:$B$7909, "Lombardia")</f>
        <v>9704151</v>
      </c>
      <c r="G3515" s="1">
        <f>Comuni__2[[#This Row],[Popolazione2011]]/Comuni__2[[#This Row],[POPOLAZIONE TOTALE DI OGNI REGIONE (CON FILTRO)]]</f>
        <v>1.8167483172922599E-4</v>
      </c>
      <c r="H3515" t="str">
        <f>IF(Comuni__2[[#This Row],[Popolazione2011]]&gt;300000,"MAGGIORE","")</f>
        <v/>
      </c>
      <c r="J3515">
        <v>450</v>
      </c>
      <c r="K3515">
        <v>765</v>
      </c>
      <c r="L3515">
        <v>424</v>
      </c>
    </row>
    <row r="3516" spans="1:12" x14ac:dyDescent="0.2">
      <c r="A3516"/>
      <c r="B3516"/>
      <c r="C3516"/>
      <c r="D3516"/>
      <c r="E3516" s="2">
        <f>Comuni__2[[#This Row],[Popolazione2011]]/$D$7911</f>
        <v>2.9651779896890901E-5</v>
      </c>
      <c r="F3516">
        <f>SUMIFS($D$2:$D$7909, $B$2:$B$7909, "Lombardia")</f>
        <v>9704151</v>
      </c>
      <c r="G3516" s="1">
        <f>Comuni__2[[#This Row],[Popolazione2011]]/Comuni__2[[#This Row],[POPOLAZIONE TOTALE DI OGNI REGIONE (CON FILTRO)]]</f>
        <v>1.8157178304418388E-4</v>
      </c>
      <c r="H3516" t="str">
        <f>IF(Comuni__2[[#This Row],[Popolazione2011]]&gt;300000,"MAGGIORE","")</f>
        <v/>
      </c>
      <c r="J3516">
        <v>436</v>
      </c>
      <c r="K3516">
        <v>779</v>
      </c>
      <c r="L3516">
        <v>429</v>
      </c>
    </row>
    <row r="3517" spans="1:12" x14ac:dyDescent="0.2">
      <c r="A3517"/>
      <c r="B3517"/>
      <c r="C3517"/>
      <c r="D3517"/>
      <c r="E3517" s="2">
        <f>Comuni__2[[#This Row],[Popolazione2011]]/$D$7911</f>
        <v>2.9634951417948282E-5</v>
      </c>
      <c r="F3517">
        <f>SUMIFS($D$2:$D$7909, $B$2:$B$7909, "Lombardia")</f>
        <v>9704151</v>
      </c>
      <c r="G3517" s="1">
        <f>Comuni__2[[#This Row],[Popolazione2011]]/Comuni__2[[#This Row],[POPOLAZIONE TOTALE DI OGNI REGIONE (CON FILTRO)]]</f>
        <v>1.8146873435914178E-4</v>
      </c>
      <c r="H3517" t="str">
        <f>IF(Comuni__2[[#This Row],[Popolazione2011]]&gt;300000,"MAGGIORE","")</f>
        <v/>
      </c>
      <c r="J3517">
        <v>423</v>
      </c>
      <c r="K3517">
        <v>798</v>
      </c>
      <c r="L3517">
        <v>433</v>
      </c>
    </row>
    <row r="3518" spans="1:12" x14ac:dyDescent="0.2">
      <c r="A3518"/>
      <c r="B3518"/>
      <c r="C3518"/>
      <c r="D3518"/>
      <c r="E3518" s="2">
        <f>Comuni__2[[#This Row],[Popolazione2011]]/$D$7911</f>
        <v>2.9618122939005665E-5</v>
      </c>
      <c r="F3518">
        <f>SUMIFS($D$2:$D$7909, $B$2:$B$7909, "Lombardia")</f>
        <v>9704151</v>
      </c>
      <c r="G3518" s="1">
        <f>Comuni__2[[#This Row],[Popolazione2011]]/Comuni__2[[#This Row],[POPOLAZIONE TOTALE DI OGNI REGIONE (CON FILTRO)]]</f>
        <v>1.8136568567409967E-4</v>
      </c>
      <c r="H3518" t="str">
        <f>IF(Comuni__2[[#This Row],[Popolazione2011]]&gt;300000,"MAGGIORE","")</f>
        <v/>
      </c>
      <c r="J3518">
        <v>401</v>
      </c>
      <c r="K3518">
        <v>855</v>
      </c>
      <c r="L3518">
        <v>438</v>
      </c>
    </row>
    <row r="3519" spans="1:12" x14ac:dyDescent="0.2">
      <c r="A3519"/>
      <c r="B3519"/>
      <c r="C3519"/>
      <c r="D3519"/>
      <c r="E3519" s="2">
        <f>Comuni__2[[#This Row],[Popolazione2011]]/$D$7911</f>
        <v>2.9618122939005665E-5</v>
      </c>
      <c r="F3519">
        <f>SUMIFS($D$2:$D$7909, $B$2:$B$7909, "Lombardia")</f>
        <v>9704151</v>
      </c>
      <c r="G3519" s="1">
        <f>Comuni__2[[#This Row],[Popolazione2011]]/Comuni__2[[#This Row],[POPOLAZIONE TOTALE DI OGNI REGIONE (CON FILTRO)]]</f>
        <v>1.8136568567409967E-4</v>
      </c>
      <c r="H3519" t="str">
        <f>IF(Comuni__2[[#This Row],[Popolazione2011]]&gt;300000,"MAGGIORE","")</f>
        <v/>
      </c>
      <c r="J3519">
        <v>390</v>
      </c>
      <c r="K3519">
        <v>1004</v>
      </c>
      <c r="L3519">
        <v>441</v>
      </c>
    </row>
    <row r="3520" spans="1:12" x14ac:dyDescent="0.2">
      <c r="A3520"/>
      <c r="B3520"/>
      <c r="C3520"/>
      <c r="D3520"/>
      <c r="E3520" s="2">
        <f>Comuni__2[[#This Row],[Popolazione2011]]/$D$7911</f>
        <v>2.9584465981120433E-5</v>
      </c>
      <c r="F3520">
        <f>SUMIFS($D$2:$D$7909, $B$2:$B$7909, "Lombardia")</f>
        <v>9704151</v>
      </c>
      <c r="G3520" s="1">
        <f>Comuni__2[[#This Row],[Popolazione2011]]/Comuni__2[[#This Row],[POPOLAZIONE TOTALE DI OGNI REGIONE (CON FILTRO)]]</f>
        <v>1.8115958830401547E-4</v>
      </c>
      <c r="H3520" t="str">
        <f>IF(Comuni__2[[#This Row],[Popolazione2011]]&gt;300000,"MAGGIORE","")</f>
        <v/>
      </c>
      <c r="J3520">
        <v>382</v>
      </c>
      <c r="K3520">
        <v>1080</v>
      </c>
      <c r="L3520">
        <v>443</v>
      </c>
    </row>
    <row r="3521" spans="1:12" x14ac:dyDescent="0.2">
      <c r="A3521"/>
      <c r="B3521"/>
      <c r="C3521"/>
      <c r="D3521"/>
      <c r="E3521" s="2">
        <f>Comuni__2[[#This Row],[Popolazione2011]]/$D$7911</f>
        <v>2.9567637502177817E-5</v>
      </c>
      <c r="F3521">
        <f>SUMIFS($D$2:$D$7909, $B$2:$B$7909, "Lombardia")</f>
        <v>9704151</v>
      </c>
      <c r="G3521" s="1">
        <f>Comuni__2[[#This Row],[Popolazione2011]]/Comuni__2[[#This Row],[POPOLAZIONE TOTALE DI OGNI REGIONE (CON FILTRO)]]</f>
        <v>1.8105653961897336E-4</v>
      </c>
      <c r="H3521" t="str">
        <f>IF(Comuni__2[[#This Row],[Popolazione2011]]&gt;300000,"MAGGIORE","")</f>
        <v/>
      </c>
      <c r="J3521">
        <v>377</v>
      </c>
      <c r="K3521">
        <v>1114</v>
      </c>
      <c r="L3521">
        <v>443</v>
      </c>
    </row>
    <row r="3522" spans="1:12" x14ac:dyDescent="0.2">
      <c r="A3522"/>
      <c r="B3522"/>
      <c r="C3522"/>
      <c r="D3522"/>
      <c r="E3522" s="2">
        <f>Comuni__2[[#This Row],[Popolazione2011]]/$D$7911</f>
        <v>2.9517152065349965E-5</v>
      </c>
      <c r="F3522">
        <f>SUMIFS($D$2:$D$7909, $B$2:$B$7909, "Lombardia")</f>
        <v>9704151</v>
      </c>
      <c r="G3522" s="1">
        <f>Comuni__2[[#This Row],[Popolazione2011]]/Comuni__2[[#This Row],[POPOLAZIONE TOTALE DI OGNI REGIONE (CON FILTRO)]]</f>
        <v>1.8074739356384705E-4</v>
      </c>
      <c r="H3522" t="str">
        <f>IF(Comuni__2[[#This Row],[Popolazione2011]]&gt;300000,"MAGGIORE","")</f>
        <v/>
      </c>
      <c r="J3522">
        <v>377</v>
      </c>
      <c r="K3522">
        <v>1196</v>
      </c>
      <c r="L3522">
        <v>448</v>
      </c>
    </row>
    <row r="3523" spans="1:12" x14ac:dyDescent="0.2">
      <c r="A3523"/>
      <c r="B3523"/>
      <c r="C3523"/>
      <c r="D3523"/>
      <c r="E3523" s="2">
        <f>Comuni__2[[#This Row],[Popolazione2011]]/$D$7911</f>
        <v>2.9517152065349965E-5</v>
      </c>
      <c r="F3523">
        <f>SUMIFS($D$2:$D$7909, $B$2:$B$7909, "Lombardia")</f>
        <v>9704151</v>
      </c>
      <c r="G3523" s="1">
        <f>Comuni__2[[#This Row],[Popolazione2011]]/Comuni__2[[#This Row],[POPOLAZIONE TOTALE DI OGNI REGIONE (CON FILTRO)]]</f>
        <v>1.8074739356384705E-4</v>
      </c>
      <c r="H3523" t="str">
        <f>IF(Comuni__2[[#This Row],[Popolazione2011]]&gt;300000,"MAGGIORE","")</f>
        <v/>
      </c>
      <c r="J3523">
        <v>372</v>
      </c>
      <c r="K3523">
        <v>1332</v>
      </c>
      <c r="L3523">
        <v>451</v>
      </c>
    </row>
    <row r="3524" spans="1:12" x14ac:dyDescent="0.2">
      <c r="A3524"/>
      <c r="B3524"/>
      <c r="C3524"/>
      <c r="D3524"/>
      <c r="E3524" s="2">
        <f>Comuni__2[[#This Row],[Popolazione2011]]/$D$7911</f>
        <v>2.9449838149579497E-5</v>
      </c>
      <c r="F3524">
        <f>SUMIFS($D$2:$D$7909, $B$2:$B$7909, "Lombardia")</f>
        <v>9704151</v>
      </c>
      <c r="G3524" s="1">
        <f>Comuni__2[[#This Row],[Popolazione2011]]/Comuni__2[[#This Row],[POPOLAZIONE TOTALE DI OGNI REGIONE (CON FILTRO)]]</f>
        <v>1.8033519882367866E-4</v>
      </c>
      <c r="H3524" t="str">
        <f>IF(Comuni__2[[#This Row],[Popolazione2011]]&gt;300000,"MAGGIORE","")</f>
        <v/>
      </c>
      <c r="J3524">
        <v>365</v>
      </c>
      <c r="K3524">
        <v>1460</v>
      </c>
      <c r="L3524">
        <v>456</v>
      </c>
    </row>
    <row r="3525" spans="1:12" x14ac:dyDescent="0.2">
      <c r="A3525"/>
      <c r="B3525"/>
      <c r="C3525"/>
      <c r="D3525"/>
      <c r="E3525" s="2">
        <f>Comuni__2[[#This Row],[Popolazione2011]]/$D$7911</f>
        <v>2.9399352712751646E-5</v>
      </c>
      <c r="F3525">
        <f>SUMIFS($D$2:$D$7909, $B$2:$B$7909, "Lombardia")</f>
        <v>9704151</v>
      </c>
      <c r="G3525" s="1">
        <f>Comuni__2[[#This Row],[Popolazione2011]]/Comuni__2[[#This Row],[POPOLAZIONE TOTALE DI OGNI REGIONE (CON FILTRO)]]</f>
        <v>1.8002605276855235E-4</v>
      </c>
      <c r="H3525" t="str">
        <f>IF(Comuni__2[[#This Row],[Popolazione2011]]&gt;300000,"MAGGIORE","")</f>
        <v/>
      </c>
      <c r="J3525">
        <v>337</v>
      </c>
      <c r="K3525">
        <v>1566</v>
      </c>
      <c r="L3525">
        <v>460</v>
      </c>
    </row>
    <row r="3526" spans="1:12" x14ac:dyDescent="0.2">
      <c r="A3526"/>
      <c r="B3526"/>
      <c r="C3526"/>
      <c r="D3526"/>
      <c r="E3526" s="2">
        <f>Comuni__2[[#This Row],[Popolazione2011]]/$D$7911</f>
        <v>2.9214239444382862E-5</v>
      </c>
      <c r="F3526">
        <f>SUMIFS($D$2:$D$7909, $B$2:$B$7909, "Lombardia")</f>
        <v>9704151</v>
      </c>
      <c r="G3526" s="1">
        <f>Comuni__2[[#This Row],[Popolazione2011]]/Comuni__2[[#This Row],[POPOLAZIONE TOTALE DI OGNI REGIONE (CON FILTRO)]]</f>
        <v>1.7889251723308923E-4</v>
      </c>
      <c r="H3526" t="str">
        <f>IF(Comuni__2[[#This Row],[Popolazione2011]]&gt;300000,"MAGGIORE","")</f>
        <v/>
      </c>
      <c r="J3526">
        <v>320</v>
      </c>
      <c r="K3526">
        <v>1643</v>
      </c>
      <c r="L3526">
        <v>461</v>
      </c>
    </row>
    <row r="3527" spans="1:12" x14ac:dyDescent="0.2">
      <c r="A3527"/>
      <c r="B3527"/>
      <c r="C3527"/>
      <c r="D3527"/>
      <c r="E3527" s="2">
        <f>Comuni__2[[#This Row],[Popolazione2011]]/$D$7911</f>
        <v>2.9197410965440245E-5</v>
      </c>
      <c r="F3527">
        <f>SUMIFS($D$2:$D$7909, $B$2:$B$7909, "Lombardia")</f>
        <v>9704151</v>
      </c>
      <c r="G3527" s="1">
        <f>Comuni__2[[#This Row],[Popolazione2011]]/Comuni__2[[#This Row],[POPOLAZIONE TOTALE DI OGNI REGIONE (CON FILTRO)]]</f>
        <v>1.7878946854804712E-4</v>
      </c>
      <c r="H3527" t="str">
        <f>IF(Comuni__2[[#This Row],[Popolazione2011]]&gt;300000,"MAGGIORE","")</f>
        <v/>
      </c>
      <c r="J3527">
        <v>308</v>
      </c>
      <c r="K3527">
        <v>1724</v>
      </c>
      <c r="L3527">
        <v>461</v>
      </c>
    </row>
    <row r="3528" spans="1:12" x14ac:dyDescent="0.2">
      <c r="A3528"/>
      <c r="B3528"/>
      <c r="C3528"/>
      <c r="D3528"/>
      <c r="E3528" s="2">
        <f>Comuni__2[[#This Row],[Popolazione2011]]/$D$7911</f>
        <v>2.916375400755501E-5</v>
      </c>
      <c r="F3528">
        <f>SUMIFS($D$2:$D$7909, $B$2:$B$7909, "Lombardia")</f>
        <v>9704151</v>
      </c>
      <c r="G3528" s="1">
        <f>Comuni__2[[#This Row],[Popolazione2011]]/Comuni__2[[#This Row],[POPOLAZIONE TOTALE DI OGNI REGIONE (CON FILTRO)]]</f>
        <v>1.7858337117796291E-4</v>
      </c>
      <c r="H3528" t="str">
        <f>IF(Comuni__2[[#This Row],[Popolazione2011]]&gt;300000,"MAGGIORE","")</f>
        <v/>
      </c>
      <c r="J3528">
        <v>294</v>
      </c>
      <c r="K3528">
        <v>1807</v>
      </c>
      <c r="L3528">
        <v>463</v>
      </c>
    </row>
    <row r="3529" spans="1:12" x14ac:dyDescent="0.2">
      <c r="A3529"/>
      <c r="B3529"/>
      <c r="C3529"/>
      <c r="D3529"/>
      <c r="E3529" s="2">
        <f>Comuni__2[[#This Row],[Popolazione2011]]/$D$7911</f>
        <v>2.9146925528612394E-5</v>
      </c>
      <c r="F3529">
        <f>SUMIFS($D$2:$D$7909, $B$2:$B$7909, "Lombardia")</f>
        <v>9704151</v>
      </c>
      <c r="G3529" s="1">
        <f>Comuni__2[[#This Row],[Popolazione2011]]/Comuni__2[[#This Row],[POPOLAZIONE TOTALE DI OGNI REGIONE (CON FILTRO)]]</f>
        <v>1.7848032249292081E-4</v>
      </c>
      <c r="H3529" t="str">
        <f>IF(Comuni__2[[#This Row],[Popolazione2011]]&gt;300000,"MAGGIORE","")</f>
        <v/>
      </c>
      <c r="J3529">
        <v>284</v>
      </c>
      <c r="K3529">
        <v>1892</v>
      </c>
      <c r="L3529">
        <v>470</v>
      </c>
    </row>
    <row r="3530" spans="1:12" x14ac:dyDescent="0.2">
      <c r="A3530"/>
      <c r="B3530"/>
      <c r="C3530"/>
      <c r="D3530"/>
      <c r="E3530" s="2">
        <f>Comuni__2[[#This Row],[Popolazione2011]]/$D$7911</f>
        <v>2.8978640739186226E-5</v>
      </c>
      <c r="F3530">
        <f>SUMIFS($D$2:$D$7909, $B$2:$B$7909, "Lombardia")</f>
        <v>9704151</v>
      </c>
      <c r="G3530" s="1">
        <f>Comuni__2[[#This Row],[Popolazione2011]]/Comuni__2[[#This Row],[POPOLAZIONE TOTALE DI OGNI REGIONE (CON FILTRO)]]</f>
        <v>1.7744983564249979E-4</v>
      </c>
      <c r="H3530" t="str">
        <f>IF(Comuni__2[[#This Row],[Popolazione2011]]&gt;300000,"MAGGIORE","")</f>
        <v/>
      </c>
      <c r="J3530">
        <v>276</v>
      </c>
      <c r="K3530">
        <v>1920</v>
      </c>
      <c r="L3530">
        <v>471</v>
      </c>
    </row>
    <row r="3531" spans="1:12" x14ac:dyDescent="0.2">
      <c r="A3531"/>
      <c r="B3531"/>
      <c r="C3531"/>
      <c r="D3531"/>
      <c r="E3531" s="2">
        <f>Comuni__2[[#This Row],[Popolazione2011]]/$D$7911</f>
        <v>2.8944983781300993E-5</v>
      </c>
      <c r="F3531">
        <f>SUMIFS($D$2:$D$7909, $B$2:$B$7909, "Lombardia")</f>
        <v>9704151</v>
      </c>
      <c r="G3531" s="1">
        <f>Comuni__2[[#This Row],[Popolazione2011]]/Comuni__2[[#This Row],[POPOLAZIONE TOTALE DI OGNI REGIONE (CON FILTRO)]]</f>
        <v>1.7724373827241558E-4</v>
      </c>
      <c r="H3531" t="str">
        <f>IF(Comuni__2[[#This Row],[Popolazione2011]]&gt;300000,"MAGGIORE","")</f>
        <v/>
      </c>
      <c r="J3531">
        <v>269</v>
      </c>
      <c r="K3531">
        <v>1982</v>
      </c>
      <c r="L3531">
        <v>473</v>
      </c>
    </row>
    <row r="3532" spans="1:12" x14ac:dyDescent="0.2">
      <c r="A3532"/>
      <c r="B3532"/>
      <c r="C3532"/>
      <c r="D3532"/>
      <c r="E3532" s="2">
        <f>Comuni__2[[#This Row],[Popolazione2011]]/$D$7911</f>
        <v>2.8860841386587906E-5</v>
      </c>
      <c r="F3532">
        <f>SUMIFS($D$2:$D$7909, $B$2:$B$7909, "Lombardia")</f>
        <v>9704151</v>
      </c>
      <c r="G3532" s="1">
        <f>Comuni__2[[#This Row],[Popolazione2011]]/Comuni__2[[#This Row],[POPOLAZIONE TOTALE DI OGNI REGIONE (CON FILTRO)]]</f>
        <v>1.7672849484720509E-4</v>
      </c>
      <c r="H3532" t="str">
        <f>IF(Comuni__2[[#This Row],[Popolazione2011]]&gt;300000,"MAGGIORE","")</f>
        <v/>
      </c>
      <c r="J3532">
        <v>263</v>
      </c>
      <c r="K3532">
        <v>2027</v>
      </c>
      <c r="L3532">
        <v>478</v>
      </c>
    </row>
    <row r="3533" spans="1:12" x14ac:dyDescent="0.2">
      <c r="A3533"/>
      <c r="B3533"/>
      <c r="C3533"/>
      <c r="D3533"/>
      <c r="E3533" s="2">
        <f>Comuni__2[[#This Row],[Popolazione2011]]/$D$7911</f>
        <v>2.8793527470817441E-5</v>
      </c>
      <c r="F3533">
        <f>SUMIFS($D$2:$D$7909, $B$2:$B$7909, "Lombardia")</f>
        <v>9704151</v>
      </c>
      <c r="G3533" s="1">
        <f>Comuni__2[[#This Row],[Popolazione2011]]/Comuni__2[[#This Row],[POPOLAZIONE TOTALE DI OGNI REGIONE (CON FILTRO)]]</f>
        <v>1.7631630010703667E-4</v>
      </c>
      <c r="H3533" t="str">
        <f>IF(Comuni__2[[#This Row],[Popolazione2011]]&gt;300000,"MAGGIORE","")</f>
        <v/>
      </c>
      <c r="J3533">
        <v>256</v>
      </c>
      <c r="K3533">
        <v>2096</v>
      </c>
      <c r="L3533">
        <v>478</v>
      </c>
    </row>
    <row r="3534" spans="1:12" x14ac:dyDescent="0.2">
      <c r="A3534"/>
      <c r="B3534"/>
      <c r="C3534"/>
      <c r="D3534"/>
      <c r="E3534" s="2">
        <f>Comuni__2[[#This Row],[Popolazione2011]]/$D$7911</f>
        <v>2.8776698991874822E-5</v>
      </c>
      <c r="F3534">
        <f>SUMIFS($D$2:$D$7909, $B$2:$B$7909, "Lombardia")</f>
        <v>9704151</v>
      </c>
      <c r="G3534" s="1">
        <f>Comuni__2[[#This Row],[Popolazione2011]]/Comuni__2[[#This Row],[POPOLAZIONE TOTALE DI OGNI REGIONE (CON FILTRO)]]</f>
        <v>1.7621325142199457E-4</v>
      </c>
      <c r="H3534" t="str">
        <f>IF(Comuni__2[[#This Row],[Popolazione2011]]&gt;300000,"MAGGIORE","")</f>
        <v/>
      </c>
      <c r="J3534">
        <v>250</v>
      </c>
      <c r="K3534">
        <v>2120</v>
      </c>
      <c r="L3534">
        <v>482</v>
      </c>
    </row>
    <row r="3535" spans="1:12" x14ac:dyDescent="0.2">
      <c r="A3535"/>
      <c r="B3535"/>
      <c r="C3535"/>
      <c r="D3535"/>
      <c r="E3535" s="2">
        <f>Comuni__2[[#This Row],[Popolazione2011]]/$D$7911</f>
        <v>2.8692556597161738E-5</v>
      </c>
      <c r="F3535">
        <f>SUMIFS($D$2:$D$7909, $B$2:$B$7909, "Lombardia")</f>
        <v>9704151</v>
      </c>
      <c r="G3535" s="1">
        <f>Comuni__2[[#This Row],[Popolazione2011]]/Comuni__2[[#This Row],[POPOLAZIONE TOTALE DI OGNI REGIONE (CON FILTRO)]]</f>
        <v>1.7569800799678405E-4</v>
      </c>
      <c r="H3535" t="str">
        <f>IF(Comuni__2[[#This Row],[Popolazione2011]]&gt;300000,"MAGGIORE","")</f>
        <v/>
      </c>
      <c r="J3535">
        <v>232</v>
      </c>
      <c r="K3535">
        <v>2157</v>
      </c>
      <c r="L3535">
        <v>486</v>
      </c>
    </row>
    <row r="3536" spans="1:12" x14ac:dyDescent="0.2">
      <c r="A3536"/>
      <c r="B3536"/>
      <c r="C3536"/>
      <c r="D3536"/>
      <c r="E3536" s="2">
        <f>Comuni__2[[#This Row],[Popolazione2011]]/$D$7911</f>
        <v>2.864207116033389E-5</v>
      </c>
      <c r="F3536">
        <f>SUMIFS($D$2:$D$7909, $B$2:$B$7909, "Lombardia")</f>
        <v>9704151</v>
      </c>
      <c r="G3536" s="1">
        <f>Comuni__2[[#This Row],[Popolazione2011]]/Comuni__2[[#This Row],[POPOLAZIONE TOTALE DI OGNI REGIONE (CON FILTRO)]]</f>
        <v>1.7538886194165776E-4</v>
      </c>
      <c r="H3536" t="str">
        <f>IF(Comuni__2[[#This Row],[Popolazione2011]]&gt;300000,"MAGGIORE","")</f>
        <v/>
      </c>
      <c r="J3536">
        <v>221</v>
      </c>
      <c r="K3536">
        <v>2178</v>
      </c>
      <c r="L3536">
        <v>487</v>
      </c>
    </row>
    <row r="3537" spans="1:12" x14ac:dyDescent="0.2">
      <c r="A3537"/>
      <c r="B3537"/>
      <c r="C3537"/>
      <c r="D3537"/>
      <c r="E3537" s="2">
        <f>Comuni__2[[#This Row],[Popolazione2011]]/$D$7911</f>
        <v>2.8608414202448654E-5</v>
      </c>
      <c r="F3537">
        <f>SUMIFS($D$2:$D$7909, $B$2:$B$7909, "Lombardia")</f>
        <v>9704151</v>
      </c>
      <c r="G3537" s="1">
        <f>Comuni__2[[#This Row],[Popolazione2011]]/Comuni__2[[#This Row],[POPOLAZIONE TOTALE DI OGNI REGIONE (CON FILTRO)]]</f>
        <v>1.7518276457157355E-4</v>
      </c>
      <c r="H3537" t="str">
        <f>IF(Comuni__2[[#This Row],[Popolazione2011]]&gt;300000,"MAGGIORE","")</f>
        <v/>
      </c>
      <c r="J3537">
        <v>205</v>
      </c>
      <c r="K3537">
        <v>2298</v>
      </c>
      <c r="L3537">
        <v>491</v>
      </c>
    </row>
    <row r="3538" spans="1:12" x14ac:dyDescent="0.2">
      <c r="A3538"/>
      <c r="B3538"/>
      <c r="C3538"/>
      <c r="D3538"/>
      <c r="E3538" s="2">
        <f>Comuni__2[[#This Row],[Popolazione2011]]/$D$7911</f>
        <v>2.8574757244563422E-5</v>
      </c>
      <c r="F3538">
        <f>SUMIFS($D$2:$D$7909, $B$2:$B$7909, "Lombardia")</f>
        <v>9704151</v>
      </c>
      <c r="G3538" s="1">
        <f>Comuni__2[[#This Row],[Popolazione2011]]/Comuni__2[[#This Row],[POPOLAZIONE TOTALE DI OGNI REGIONE (CON FILTRO)]]</f>
        <v>1.7497666720148934E-4</v>
      </c>
      <c r="H3538" t="str">
        <f>IF(Comuni__2[[#This Row],[Popolazione2011]]&gt;300000,"MAGGIORE","")</f>
        <v/>
      </c>
      <c r="J3538">
        <v>189</v>
      </c>
      <c r="K3538">
        <v>2436</v>
      </c>
      <c r="L3538">
        <v>494</v>
      </c>
    </row>
    <row r="3539" spans="1:12" x14ac:dyDescent="0.2">
      <c r="A3539"/>
      <c r="B3539"/>
      <c r="C3539"/>
      <c r="D3539"/>
      <c r="E3539" s="2">
        <f>Comuni__2[[#This Row],[Popolazione2011]]/$D$7911</f>
        <v>2.8541100286678186E-5</v>
      </c>
      <c r="F3539">
        <f>SUMIFS($D$2:$D$7909, $B$2:$B$7909, "Lombardia")</f>
        <v>9704151</v>
      </c>
      <c r="G3539" s="1">
        <f>Comuni__2[[#This Row],[Popolazione2011]]/Comuni__2[[#This Row],[POPOLAZIONE TOTALE DI OGNI REGIONE (CON FILTRO)]]</f>
        <v>1.7477056983140513E-4</v>
      </c>
      <c r="H3539" t="str">
        <f>IF(Comuni__2[[#This Row],[Popolazione2011]]&gt;300000,"MAGGIORE","")</f>
        <v/>
      </c>
      <c r="J3539">
        <v>187</v>
      </c>
      <c r="K3539">
        <v>2471</v>
      </c>
      <c r="L3539">
        <v>495</v>
      </c>
    </row>
    <row r="3540" spans="1:12" x14ac:dyDescent="0.2">
      <c r="A3540"/>
      <c r="B3540"/>
      <c r="C3540"/>
      <c r="D3540"/>
      <c r="E3540" s="2">
        <f>Comuni__2[[#This Row],[Popolazione2011]]/$D$7911</f>
        <v>2.852427180773557E-5</v>
      </c>
      <c r="F3540">
        <f>SUMIFS($D$2:$D$7909, $B$2:$B$7909, "Lombardia")</f>
        <v>9704151</v>
      </c>
      <c r="G3540" s="1">
        <f>Comuni__2[[#This Row],[Popolazione2011]]/Comuni__2[[#This Row],[POPOLAZIONE TOTALE DI OGNI REGIONE (CON FILTRO)]]</f>
        <v>1.7466752114636303E-4</v>
      </c>
      <c r="H3540" t="str">
        <f>IF(Comuni__2[[#This Row],[Popolazione2011]]&gt;300000,"MAGGIORE","")</f>
        <v/>
      </c>
      <c r="J3540">
        <v>180</v>
      </c>
      <c r="K3540">
        <v>2590</v>
      </c>
      <c r="L3540">
        <v>496</v>
      </c>
    </row>
    <row r="3541" spans="1:12" x14ac:dyDescent="0.2">
      <c r="A3541"/>
      <c r="B3541"/>
      <c r="C3541"/>
      <c r="D3541"/>
      <c r="E3541" s="2">
        <f>Comuni__2[[#This Row],[Popolazione2011]]/$D$7911</f>
        <v>2.8490614849850338E-5</v>
      </c>
      <c r="F3541">
        <f>SUMIFS($D$2:$D$7909, $B$2:$B$7909, "Lombardia")</f>
        <v>9704151</v>
      </c>
      <c r="G3541" s="1">
        <f>Comuni__2[[#This Row],[Popolazione2011]]/Comuni__2[[#This Row],[POPOLAZIONE TOTALE DI OGNI REGIONE (CON FILTRO)]]</f>
        <v>1.7446142377627882E-4</v>
      </c>
      <c r="H3541" t="str">
        <f>IF(Comuni__2[[#This Row],[Popolazione2011]]&gt;300000,"MAGGIORE","")</f>
        <v/>
      </c>
      <c r="J3541">
        <v>170</v>
      </c>
      <c r="K3541">
        <v>2699</v>
      </c>
      <c r="L3541">
        <v>500</v>
      </c>
    </row>
    <row r="3542" spans="1:12" x14ac:dyDescent="0.2">
      <c r="A3542"/>
      <c r="B3542"/>
      <c r="C3542"/>
      <c r="D3542"/>
      <c r="E3542" s="2">
        <f>Comuni__2[[#This Row],[Popolazione2011]]/$D$7911</f>
        <v>2.8473786370907722E-5</v>
      </c>
      <c r="F3542">
        <f>SUMIFS($D$2:$D$7909, $B$2:$B$7909, "Lombardia")</f>
        <v>9704151</v>
      </c>
      <c r="G3542" s="1">
        <f>Comuni__2[[#This Row],[Popolazione2011]]/Comuni__2[[#This Row],[POPOLAZIONE TOTALE DI OGNI REGIONE (CON FILTRO)]]</f>
        <v>1.7435837509123672E-4</v>
      </c>
      <c r="H3542" t="str">
        <f>IF(Comuni__2[[#This Row],[Popolazione2011]]&gt;300000,"MAGGIORE","")</f>
        <v/>
      </c>
      <c r="J3542">
        <v>162</v>
      </c>
      <c r="K3542">
        <v>2768</v>
      </c>
      <c r="L3542">
        <v>500</v>
      </c>
    </row>
    <row r="3543" spans="1:12" x14ac:dyDescent="0.2">
      <c r="A3543"/>
      <c r="B3543"/>
      <c r="C3543"/>
      <c r="D3543"/>
      <c r="E3543" s="2">
        <f>Comuni__2[[#This Row],[Popolazione2011]]/$D$7911</f>
        <v>2.8440129413022486E-5</v>
      </c>
      <c r="F3543">
        <f>SUMIFS($D$2:$D$7909, $B$2:$B$7909, "Lombardia")</f>
        <v>9704151</v>
      </c>
      <c r="G3543" s="1">
        <f>Comuni__2[[#This Row],[Popolazione2011]]/Comuni__2[[#This Row],[POPOLAZIONE TOTALE DI OGNI REGIONE (CON FILTRO)]]</f>
        <v>1.7415227772115253E-4</v>
      </c>
      <c r="H3543" t="str">
        <f>IF(Comuni__2[[#This Row],[Popolazione2011]]&gt;300000,"MAGGIORE","")</f>
        <v/>
      </c>
      <c r="J3543">
        <v>154</v>
      </c>
      <c r="K3543">
        <v>2813</v>
      </c>
      <c r="L3543">
        <v>504</v>
      </c>
    </row>
    <row r="3544" spans="1:12" x14ac:dyDescent="0.2">
      <c r="A3544"/>
      <c r="B3544"/>
      <c r="C3544"/>
      <c r="D3544"/>
      <c r="E3544" s="2">
        <f>Comuni__2[[#This Row],[Popolazione2011]]/$D$7911</f>
        <v>2.842330093407987E-5</v>
      </c>
      <c r="F3544">
        <f>SUMIFS($D$2:$D$7909, $B$2:$B$7909, "Lombardia")</f>
        <v>9704151</v>
      </c>
      <c r="G3544" s="1">
        <f>Comuni__2[[#This Row],[Popolazione2011]]/Comuni__2[[#This Row],[POPOLAZIONE TOTALE DI OGNI REGIONE (CON FILTRO)]]</f>
        <v>1.7404922903611043E-4</v>
      </c>
      <c r="H3544" t="str">
        <f>IF(Comuni__2[[#This Row],[Popolazione2011]]&gt;300000,"MAGGIORE","")</f>
        <v/>
      </c>
      <c r="J3544">
        <v>151</v>
      </c>
      <c r="K3544">
        <v>2837</v>
      </c>
      <c r="L3544">
        <v>506</v>
      </c>
    </row>
    <row r="3545" spans="1:12" x14ac:dyDescent="0.2">
      <c r="A3545"/>
      <c r="B3545"/>
      <c r="C3545"/>
      <c r="D3545"/>
      <c r="E3545" s="2">
        <f>Comuni__2[[#This Row],[Popolazione2011]]/$D$7911</f>
        <v>2.8372815497252018E-5</v>
      </c>
      <c r="F3545">
        <f>SUMIFS($D$2:$D$7909, $B$2:$B$7909, "Lombardia")</f>
        <v>9704151</v>
      </c>
      <c r="G3545" s="1">
        <f>Comuni__2[[#This Row],[Popolazione2011]]/Comuni__2[[#This Row],[POPOLAZIONE TOTALE DI OGNI REGIONE (CON FILTRO)]]</f>
        <v>1.7374008298098412E-4</v>
      </c>
      <c r="H3545" t="str">
        <f>IF(Comuni__2[[#This Row],[Popolazione2011]]&gt;300000,"MAGGIORE","")</f>
        <v/>
      </c>
      <c r="J3545">
        <v>145</v>
      </c>
      <c r="K3545">
        <v>2939</v>
      </c>
      <c r="L3545">
        <v>508</v>
      </c>
    </row>
    <row r="3546" spans="1:12" x14ac:dyDescent="0.2">
      <c r="A3546"/>
      <c r="B3546"/>
      <c r="C3546"/>
      <c r="D3546"/>
      <c r="E3546" s="2">
        <f>Comuni__2[[#This Row],[Popolazione2011]]/$D$7911</f>
        <v>2.8355987018309402E-5</v>
      </c>
      <c r="F3546">
        <f>SUMIFS($D$2:$D$7909, $B$2:$B$7909, "Lombardia")</f>
        <v>9704151</v>
      </c>
      <c r="G3546" s="1">
        <f>Comuni__2[[#This Row],[Popolazione2011]]/Comuni__2[[#This Row],[POPOLAZIONE TOTALE DI OGNI REGIONE (CON FILTRO)]]</f>
        <v>1.7363703429594201E-4</v>
      </c>
      <c r="H3546" t="str">
        <f>IF(Comuni__2[[#This Row],[Popolazione2011]]&gt;300000,"MAGGIORE","")</f>
        <v/>
      </c>
      <c r="J3546">
        <v>141</v>
      </c>
      <c r="K3546">
        <v>2952</v>
      </c>
      <c r="L3546">
        <v>511</v>
      </c>
    </row>
    <row r="3547" spans="1:12" x14ac:dyDescent="0.2">
      <c r="A3547"/>
      <c r="B3547"/>
      <c r="C3547"/>
      <c r="D3547"/>
      <c r="E3547" s="2">
        <f>Comuni__2[[#This Row],[Popolazione2011]]/$D$7911</f>
        <v>2.8271844623596318E-5</v>
      </c>
      <c r="F3547">
        <f>SUMIFS($D$2:$D$7909, $B$2:$B$7909, "Lombardia")</f>
        <v>9704151</v>
      </c>
      <c r="G3547" s="1">
        <f>Comuni__2[[#This Row],[Popolazione2011]]/Comuni__2[[#This Row],[POPOLAZIONE TOTALE DI OGNI REGIONE (CON FILTRO)]]</f>
        <v>1.7312179087073149E-4</v>
      </c>
      <c r="H3547" t="str">
        <f>IF(Comuni__2[[#This Row],[Popolazione2011]]&gt;300000,"MAGGIORE","")</f>
        <v/>
      </c>
      <c r="J3547">
        <v>140</v>
      </c>
      <c r="K3547">
        <v>3022</v>
      </c>
      <c r="L3547">
        <v>514</v>
      </c>
    </row>
    <row r="3548" spans="1:12" x14ac:dyDescent="0.2">
      <c r="A3548"/>
      <c r="B3548"/>
      <c r="C3548"/>
      <c r="D3548"/>
      <c r="E3548" s="2">
        <f>Comuni__2[[#This Row],[Popolazione2011]]/$D$7911</f>
        <v>2.8120388313112766E-5</v>
      </c>
      <c r="F3548">
        <f>SUMIFS($D$2:$D$7909, $B$2:$B$7909, "Lombardia")</f>
        <v>9704151</v>
      </c>
      <c r="G3548" s="1">
        <f>Comuni__2[[#This Row],[Popolazione2011]]/Comuni__2[[#This Row],[POPOLAZIONE TOTALE DI OGNI REGIONE (CON FILTRO)]]</f>
        <v>1.7219435270535258E-4</v>
      </c>
      <c r="H3548" t="str">
        <f>IF(Comuni__2[[#This Row],[Popolazione2011]]&gt;300000,"MAGGIORE","")</f>
        <v/>
      </c>
      <c r="J3548">
        <v>116</v>
      </c>
      <c r="K3548">
        <v>3140</v>
      </c>
      <c r="L3548">
        <v>521</v>
      </c>
    </row>
    <row r="3549" spans="1:12" x14ac:dyDescent="0.2">
      <c r="A3549"/>
      <c r="B3549"/>
      <c r="C3549"/>
      <c r="D3549"/>
      <c r="E3549" s="2">
        <f>Comuni__2[[#This Row],[Popolazione2011]]/$D$7911</f>
        <v>2.8086731355227534E-5</v>
      </c>
      <c r="F3549">
        <f>SUMIFS($D$2:$D$7909, $B$2:$B$7909, "Lombardia")</f>
        <v>9704151</v>
      </c>
      <c r="G3549" s="1">
        <f>Comuni__2[[#This Row],[Popolazione2011]]/Comuni__2[[#This Row],[POPOLAZIONE TOTALE DI OGNI REGIONE (CON FILTRO)]]</f>
        <v>1.7198825533526837E-4</v>
      </c>
      <c r="H3549" t="str">
        <f>IF(Comuni__2[[#This Row],[Popolazione2011]]&gt;300000,"MAGGIORE","")</f>
        <v/>
      </c>
      <c r="J3549">
        <v>113</v>
      </c>
      <c r="K3549">
        <v>3231</v>
      </c>
      <c r="L3549">
        <v>522</v>
      </c>
    </row>
    <row r="3550" spans="1:12" x14ac:dyDescent="0.2">
      <c r="A3550"/>
      <c r="B3550"/>
      <c r="C3550"/>
      <c r="D3550"/>
      <c r="E3550" s="2">
        <f>Comuni__2[[#This Row],[Popolazione2011]]/$D$7911</f>
        <v>2.8086731355227534E-5</v>
      </c>
      <c r="F3550">
        <f>SUMIFS($D$2:$D$7909, $B$2:$B$7909, "Lombardia")</f>
        <v>9704151</v>
      </c>
      <c r="G3550" s="1">
        <f>Comuni__2[[#This Row],[Popolazione2011]]/Comuni__2[[#This Row],[POPOLAZIONE TOTALE DI OGNI REGIONE (CON FILTRO)]]</f>
        <v>1.7198825533526837E-4</v>
      </c>
      <c r="H3550" t="str">
        <f>IF(Comuni__2[[#This Row],[Popolazione2011]]&gt;300000,"MAGGIORE","")</f>
        <v/>
      </c>
      <c r="J3550">
        <v>100</v>
      </c>
      <c r="K3550">
        <v>3253</v>
      </c>
      <c r="L3550">
        <v>525</v>
      </c>
    </row>
    <row r="3551" spans="1:12" x14ac:dyDescent="0.2">
      <c r="A3551"/>
      <c r="B3551"/>
      <c r="C3551"/>
      <c r="D3551"/>
      <c r="E3551" s="2">
        <f>Comuni__2[[#This Row],[Popolazione2011]]/$D$7911</f>
        <v>2.8002588960514446E-5</v>
      </c>
      <c r="F3551">
        <f>SUMIFS($D$2:$D$7909, $B$2:$B$7909, "Lombardia")</f>
        <v>9704151</v>
      </c>
      <c r="G3551" s="1">
        <f>Comuni__2[[#This Row],[Popolazione2011]]/Comuni__2[[#This Row],[POPOLAZIONE TOTALE DI OGNI REGIONE (CON FILTRO)]]</f>
        <v>1.7147301191005788E-4</v>
      </c>
      <c r="H3551" t="str">
        <f>IF(Comuni__2[[#This Row],[Popolazione2011]]&gt;300000,"MAGGIORE","")</f>
        <v/>
      </c>
      <c r="J3551">
        <v>98</v>
      </c>
      <c r="K3551">
        <v>3289</v>
      </c>
      <c r="L3551">
        <v>525</v>
      </c>
    </row>
    <row r="3552" spans="1:12" x14ac:dyDescent="0.2">
      <c r="A3552"/>
      <c r="B3552"/>
      <c r="C3552"/>
      <c r="D3552"/>
      <c r="E3552" s="2">
        <f>Comuni__2[[#This Row],[Popolazione2011]]/$D$7911</f>
        <v>2.7817475692145662E-5</v>
      </c>
      <c r="F3552">
        <f>SUMIFS($D$2:$D$7909, $B$2:$B$7909, "Lombardia")</f>
        <v>9704151</v>
      </c>
      <c r="G3552" s="1">
        <f>Comuni__2[[#This Row],[Popolazione2011]]/Comuni__2[[#This Row],[POPOLAZIONE TOTALE DI OGNI REGIONE (CON FILTRO)]]</f>
        <v>1.7033947637459476E-4</v>
      </c>
      <c r="H3552" t="str">
        <f>IF(Comuni__2[[#This Row],[Popolazione2011]]&gt;300000,"MAGGIORE","")</f>
        <v/>
      </c>
      <c r="J3552">
        <v>81</v>
      </c>
      <c r="K3552">
        <v>3373</v>
      </c>
      <c r="L3552">
        <v>526</v>
      </c>
    </row>
    <row r="3553" spans="1:12" x14ac:dyDescent="0.2">
      <c r="A3553"/>
      <c r="B3553"/>
      <c r="C3553"/>
      <c r="D3553"/>
      <c r="E3553" s="2">
        <f>Comuni__2[[#This Row],[Popolazione2011]]/$D$7911</f>
        <v>2.7800647213203046E-5</v>
      </c>
      <c r="F3553">
        <f>SUMIFS($D$2:$D$7909, $B$2:$B$7909, "Lombardia")</f>
        <v>9704151</v>
      </c>
      <c r="G3553" s="1">
        <f>Comuni__2[[#This Row],[Popolazione2011]]/Comuni__2[[#This Row],[POPOLAZIONE TOTALE DI OGNI REGIONE (CON FILTRO)]]</f>
        <v>1.7023642768955265E-4</v>
      </c>
      <c r="H3553" t="str">
        <f>IF(Comuni__2[[#This Row],[Popolazione2011]]&gt;300000,"MAGGIORE","")</f>
        <v/>
      </c>
      <c r="J3553">
        <v>75</v>
      </c>
      <c r="K3553">
        <v>3426</v>
      </c>
      <c r="L3553">
        <v>529</v>
      </c>
    </row>
    <row r="3554" spans="1:12" x14ac:dyDescent="0.2">
      <c r="A3554"/>
      <c r="B3554"/>
      <c r="C3554"/>
      <c r="D3554"/>
      <c r="E3554" s="2">
        <f>Comuni__2[[#This Row],[Popolazione2011]]/$D$7911</f>
        <v>2.7716504818489962E-5</v>
      </c>
      <c r="F3554">
        <f>SUMIFS($D$2:$D$7909, $B$2:$B$7909, "Lombardia")</f>
        <v>9704151</v>
      </c>
      <c r="G3554" s="1">
        <f>Comuni__2[[#This Row],[Popolazione2011]]/Comuni__2[[#This Row],[POPOLAZIONE TOTALE DI OGNI REGIONE (CON FILTRO)]]</f>
        <v>1.6972118426434213E-4</v>
      </c>
      <c r="H3554" t="str">
        <f>IF(Comuni__2[[#This Row],[Popolazione2011]]&gt;300000,"MAGGIORE","")</f>
        <v/>
      </c>
      <c r="J3554">
        <v>68</v>
      </c>
      <c r="K3554">
        <v>3516</v>
      </c>
      <c r="L3554">
        <v>530</v>
      </c>
    </row>
    <row r="3555" spans="1:12" x14ac:dyDescent="0.2">
      <c r="A3555"/>
      <c r="B3555"/>
      <c r="C3555"/>
      <c r="D3555"/>
      <c r="E3555" s="2">
        <f>Comuni__2[[#This Row],[Popolazione2011]]/$D$7911</f>
        <v>2.7699676339547346E-5</v>
      </c>
      <c r="F3555">
        <f>SUMIFS($D$2:$D$7909, $B$2:$B$7909, "Lombardia")</f>
        <v>9704151</v>
      </c>
      <c r="G3555" s="1">
        <f>Comuni__2[[#This Row],[Popolazione2011]]/Comuni__2[[#This Row],[POPOLAZIONE TOTALE DI OGNI REGIONE (CON FILTRO)]]</f>
        <v>1.6961813557930003E-4</v>
      </c>
      <c r="H3555" t="str">
        <f>IF(Comuni__2[[#This Row],[Popolazione2011]]&gt;300000,"MAGGIORE","")</f>
        <v/>
      </c>
      <c r="J3555">
        <v>63</v>
      </c>
      <c r="K3555">
        <v>3544</v>
      </c>
      <c r="L3555">
        <v>532</v>
      </c>
    </row>
    <row r="3556" spans="1:12" x14ac:dyDescent="0.2">
      <c r="A3556"/>
      <c r="B3556"/>
      <c r="C3556"/>
      <c r="D3556"/>
      <c r="E3556" s="2">
        <f>Comuni__2[[#This Row],[Popolazione2011]]/$D$7911</f>
        <v>2.7682847860604726E-5</v>
      </c>
      <c r="F3556">
        <f>SUMIFS($D$2:$D$7909, $B$2:$B$7909, "Lombardia")</f>
        <v>9704151</v>
      </c>
      <c r="G3556" s="1">
        <f>Comuni__2[[#This Row],[Popolazione2011]]/Comuni__2[[#This Row],[POPOLAZIONE TOTALE DI OGNI REGIONE (CON FILTRO)]]</f>
        <v>1.6951508689425792E-4</v>
      </c>
      <c r="H3556" t="str">
        <f>IF(Comuni__2[[#This Row],[Popolazione2011]]&gt;300000,"MAGGIORE","")</f>
        <v/>
      </c>
      <c r="J3556">
        <v>62</v>
      </c>
      <c r="K3556">
        <v>3561</v>
      </c>
      <c r="L3556">
        <v>532</v>
      </c>
    </row>
    <row r="3557" spans="1:12" x14ac:dyDescent="0.2">
      <c r="A3557"/>
      <c r="B3557"/>
      <c r="C3557"/>
      <c r="D3557"/>
      <c r="E3557" s="2">
        <f>Comuni__2[[#This Row],[Popolazione2011]]/$D$7911</f>
        <v>2.7598705465891642E-5</v>
      </c>
      <c r="F3557">
        <f>SUMIFS($D$2:$D$7909, $B$2:$B$7909, "Lombardia")</f>
        <v>9704151</v>
      </c>
      <c r="G3557" s="1">
        <f>Comuni__2[[#This Row],[Popolazione2011]]/Comuni__2[[#This Row],[POPOLAZIONE TOTALE DI OGNI REGIONE (CON FILTRO)]]</f>
        <v>1.6899984346904743E-4</v>
      </c>
      <c r="H3557" t="str">
        <f>IF(Comuni__2[[#This Row],[Popolazione2011]]&gt;300000,"MAGGIORE","")</f>
        <v/>
      </c>
      <c r="J3557">
        <v>59</v>
      </c>
      <c r="K3557">
        <v>3565</v>
      </c>
      <c r="L3557">
        <v>532</v>
      </c>
    </row>
    <row r="3558" spans="1:12" x14ac:dyDescent="0.2">
      <c r="A3558"/>
      <c r="B3558"/>
      <c r="C3558"/>
      <c r="D3558"/>
      <c r="E3558" s="2">
        <f>Comuni__2[[#This Row],[Popolazione2011]]/$D$7911</f>
        <v>2.7531391550121174E-5</v>
      </c>
      <c r="F3558">
        <f>SUMIFS($D$2:$D$7909, $B$2:$B$7909, "Lombardia")</f>
        <v>9704151</v>
      </c>
      <c r="G3558" s="1">
        <f>Comuni__2[[#This Row],[Popolazione2011]]/Comuni__2[[#This Row],[POPOLAZIONE TOTALE DI OGNI REGIONE (CON FILTRO)]]</f>
        <v>1.6858764872887901E-4</v>
      </c>
      <c r="H3558" t="str">
        <f>IF(Comuni__2[[#This Row],[Popolazione2011]]&gt;300000,"MAGGIORE","")</f>
        <v/>
      </c>
      <c r="J3558">
        <v>58</v>
      </c>
      <c r="K3558">
        <v>3572</v>
      </c>
      <c r="L3558">
        <v>534</v>
      </c>
    </row>
    <row r="3559" spans="1:12" x14ac:dyDescent="0.2">
      <c r="A3559"/>
      <c r="B3559"/>
      <c r="C3559"/>
      <c r="D3559"/>
      <c r="E3559" s="2">
        <f>Comuni__2[[#This Row],[Popolazione2011]]/$D$7911</f>
        <v>2.7531391550121174E-5</v>
      </c>
      <c r="F3559">
        <f>SUMIFS($D$2:$D$7909, $B$2:$B$7909, "Lombardia")</f>
        <v>9704151</v>
      </c>
      <c r="G3559" s="1">
        <f>Comuni__2[[#This Row],[Popolazione2011]]/Comuni__2[[#This Row],[POPOLAZIONE TOTALE DI OGNI REGIONE (CON FILTRO)]]</f>
        <v>1.6858764872887901E-4</v>
      </c>
      <c r="H3559" t="str">
        <f>IF(Comuni__2[[#This Row],[Popolazione2011]]&gt;300000,"MAGGIORE","")</f>
        <v/>
      </c>
      <c r="J3559">
        <v>50</v>
      </c>
      <c r="K3559">
        <v>3628</v>
      </c>
      <c r="L3559">
        <v>535</v>
      </c>
    </row>
    <row r="3560" spans="1:12" x14ac:dyDescent="0.2">
      <c r="A3560"/>
      <c r="B3560"/>
      <c r="C3560"/>
      <c r="D3560"/>
      <c r="E3560" s="2">
        <f>Comuni__2[[#This Row],[Popolazione2011]]/$D$7911</f>
        <v>2.734627828175239E-5</v>
      </c>
      <c r="F3560">
        <f>SUMIFS($D$2:$D$7909, $B$2:$B$7909, "Lombardia")</f>
        <v>9704151</v>
      </c>
      <c r="G3560" s="1">
        <f>Comuni__2[[#This Row],[Popolazione2011]]/Comuni__2[[#This Row],[POPOLAZIONE TOTALE DI OGNI REGIONE (CON FILTRO)]]</f>
        <v>1.6745411319341589E-4</v>
      </c>
      <c r="H3560" t="str">
        <f>IF(Comuni__2[[#This Row],[Popolazione2011]]&gt;300000,"MAGGIORE","")</f>
        <v/>
      </c>
      <c r="J3560">
        <v>48</v>
      </c>
      <c r="K3560">
        <v>3656</v>
      </c>
      <c r="L3560">
        <v>536</v>
      </c>
    </row>
    <row r="3561" spans="1:12" x14ac:dyDescent="0.2">
      <c r="A3561"/>
      <c r="B3561"/>
      <c r="C3561"/>
      <c r="D3561"/>
      <c r="E3561" s="2">
        <f>Comuni__2[[#This Row],[Popolazione2011]]/$D$7911</f>
        <v>2.7329449802809774E-5</v>
      </c>
      <c r="F3561">
        <f>SUMIFS($D$2:$D$7909, $B$2:$B$7909, "Lombardia")</f>
        <v>9704151</v>
      </c>
      <c r="G3561" s="1">
        <f>Comuni__2[[#This Row],[Popolazione2011]]/Comuni__2[[#This Row],[POPOLAZIONE TOTALE DI OGNI REGIONE (CON FILTRO)]]</f>
        <v>1.6735106450837379E-4</v>
      </c>
      <c r="H3561" t="str">
        <f>IF(Comuni__2[[#This Row],[Popolazione2011]]&gt;300000,"MAGGIORE","")</f>
        <v/>
      </c>
      <c r="J3561">
        <v>35</v>
      </c>
      <c r="K3561">
        <v>3675</v>
      </c>
      <c r="L3561">
        <v>538</v>
      </c>
    </row>
    <row r="3562" spans="1:12" x14ac:dyDescent="0.2">
      <c r="A3562"/>
      <c r="B3562"/>
      <c r="C3562"/>
      <c r="D3562"/>
      <c r="E3562" s="2">
        <f>Comuni__2[[#This Row],[Popolazione2011]]/$D$7911</f>
        <v>2.724530740809669E-5</v>
      </c>
      <c r="F3562">
        <f>SUMIFS($D$2:$D$7909, $B$2:$B$7909, "Lombardia")</f>
        <v>9704151</v>
      </c>
      <c r="G3562" s="1">
        <f>Comuni__2[[#This Row],[Popolazione2011]]/Comuni__2[[#This Row],[POPOLAZIONE TOTALE DI OGNI REGIONE (CON FILTRO)]]</f>
        <v>1.6683582108316329E-4</v>
      </c>
      <c r="H3562" t="str">
        <f>IF(Comuni__2[[#This Row],[Popolazione2011]]&gt;300000,"MAGGIORE","")</f>
        <v/>
      </c>
      <c r="J3562">
        <v>32</v>
      </c>
      <c r="K3562">
        <v>3727</v>
      </c>
      <c r="L3562">
        <v>538</v>
      </c>
    </row>
    <row r="3563" spans="1:12" x14ac:dyDescent="0.2">
      <c r="A3563"/>
      <c r="B3563"/>
      <c r="C3563"/>
      <c r="D3563"/>
      <c r="E3563" s="2">
        <f>Comuni__2[[#This Row],[Popolazione2011]]/$D$7911</f>
        <v>2.7177993492326222E-5</v>
      </c>
      <c r="F3563">
        <f>SUMIFS($D$2:$D$7909, $B$2:$B$7909, "Lombardia")</f>
        <v>9704151</v>
      </c>
      <c r="G3563" s="1">
        <f>Comuni__2[[#This Row],[Popolazione2011]]/Comuni__2[[#This Row],[POPOLAZIONE TOTALE DI OGNI REGIONE (CON FILTRO)]]</f>
        <v>1.6642362634299487E-4</v>
      </c>
      <c r="H3563" t="str">
        <f>IF(Comuni__2[[#This Row],[Popolazione2011]]&gt;300000,"MAGGIORE","")</f>
        <v/>
      </c>
      <c r="J3563">
        <v>33</v>
      </c>
      <c r="K3563">
        <v>3765</v>
      </c>
      <c r="L3563">
        <v>540</v>
      </c>
    </row>
    <row r="3564" spans="1:12" x14ac:dyDescent="0.2">
      <c r="A3564"/>
      <c r="B3564"/>
      <c r="C3564"/>
      <c r="D3564"/>
      <c r="E3564" s="2">
        <f>Comuni__2[[#This Row],[Popolazione2011]]/$D$7911</f>
        <v>2.7110679576555754E-5</v>
      </c>
      <c r="F3564">
        <f>SUMIFS($D$2:$D$7909, $B$2:$B$7909, "Lombardia")</f>
        <v>9704151</v>
      </c>
      <c r="G3564" s="1">
        <f>Comuni__2[[#This Row],[Popolazione2011]]/Comuni__2[[#This Row],[POPOLAZIONE TOTALE DI OGNI REGIONE (CON FILTRO)]]</f>
        <v>1.6601143160282646E-4</v>
      </c>
      <c r="H3564" t="str">
        <f>IF(Comuni__2[[#This Row],[Popolazione2011]]&gt;300000,"MAGGIORE","")</f>
        <v/>
      </c>
      <c r="J3564">
        <v>33</v>
      </c>
      <c r="K3564">
        <v>3765</v>
      </c>
      <c r="L3564">
        <v>540</v>
      </c>
    </row>
    <row r="3565" spans="1:12" x14ac:dyDescent="0.2">
      <c r="A3565"/>
      <c r="B3565"/>
      <c r="C3565"/>
      <c r="D3565"/>
      <c r="E3565" s="2">
        <f>Comuni__2[[#This Row],[Popolazione2011]]/$D$7911</f>
        <v>2.7060194139727903E-5</v>
      </c>
      <c r="F3565">
        <f>SUMIFS($D$2:$D$7909, $B$2:$B$7909, "Lombardia")</f>
        <v>9704151</v>
      </c>
      <c r="G3565" s="1">
        <f>Comuni__2[[#This Row],[Popolazione2011]]/Comuni__2[[#This Row],[POPOLAZIONE TOTALE DI OGNI REGIONE (CON FILTRO)]]</f>
        <v>1.6570228554770014E-4</v>
      </c>
      <c r="H3565" t="str">
        <f>IF(Comuni__2[[#This Row],[Popolazione2011]]&gt;300000,"MAGGIORE","")</f>
        <v/>
      </c>
      <c r="J3565">
        <v>33</v>
      </c>
      <c r="K3565">
        <v>3769</v>
      </c>
      <c r="L3565">
        <v>540</v>
      </c>
    </row>
    <row r="3566" spans="1:12" x14ac:dyDescent="0.2">
      <c r="A3566"/>
      <c r="B3566"/>
      <c r="C3566"/>
      <c r="D3566"/>
      <c r="E3566" s="2">
        <f>Comuni__2[[#This Row],[Popolazione2011]]/$D$7911</f>
        <v>2.6992880223957438E-5</v>
      </c>
      <c r="F3566">
        <f>SUMIFS($D$2:$D$7909, $B$2:$B$7909, "Lombardia")</f>
        <v>9704151</v>
      </c>
      <c r="G3566" s="1">
        <f>Comuni__2[[#This Row],[Popolazione2011]]/Comuni__2[[#This Row],[POPOLAZIONE TOTALE DI OGNI REGIONE (CON FILTRO)]]</f>
        <v>1.6529009080753175E-4</v>
      </c>
      <c r="H3566" t="str">
        <f>IF(Comuni__2[[#This Row],[Popolazione2011]]&gt;300000,"MAGGIORE","")</f>
        <v/>
      </c>
      <c r="J3566">
        <v>32</v>
      </c>
      <c r="K3566">
        <v>3797</v>
      </c>
      <c r="L3566">
        <v>542</v>
      </c>
    </row>
    <row r="3567" spans="1:12" x14ac:dyDescent="0.2">
      <c r="A3567"/>
      <c r="B3567"/>
      <c r="C3567"/>
      <c r="D3567"/>
      <c r="E3567" s="2">
        <f>Comuni__2[[#This Row],[Popolazione2011]]/$D$7911</f>
        <v>2.6824595434531267E-5</v>
      </c>
      <c r="F3567">
        <f>SUMIFS($D$2:$D$7909, $B$2:$B$7909, "Lombardia")</f>
        <v>9704151</v>
      </c>
      <c r="G3567" s="1">
        <f>Comuni__2[[#This Row],[Popolazione2011]]/Comuni__2[[#This Row],[POPOLAZIONE TOTALE DI OGNI REGIONE (CON FILTRO)]]</f>
        <v>1.6425960395711074E-4</v>
      </c>
      <c r="H3567" t="str">
        <f>IF(Comuni__2[[#This Row],[Popolazione2011]]&gt;300000,"MAGGIORE","")</f>
        <v/>
      </c>
      <c r="J3567">
        <v>29</v>
      </c>
      <c r="K3567">
        <v>3809</v>
      </c>
      <c r="L3567">
        <v>543</v>
      </c>
    </row>
    <row r="3568" spans="1:12" x14ac:dyDescent="0.2">
      <c r="A3568"/>
      <c r="B3568"/>
      <c r="C3568"/>
      <c r="D3568"/>
      <c r="E3568" s="2">
        <f>Comuni__2[[#This Row],[Popolazione2011]]/$D$7911</f>
        <v>2.6807766955588651E-5</v>
      </c>
      <c r="F3568">
        <f>SUMIFS($D$2:$D$7909, $B$2:$B$7909, "Lombardia")</f>
        <v>9704151</v>
      </c>
      <c r="G3568" s="1">
        <f>Comuni__2[[#This Row],[Popolazione2011]]/Comuni__2[[#This Row],[POPOLAZIONE TOTALE DI OGNI REGIONE (CON FILTRO)]]</f>
        <v>1.6415655527206863E-4</v>
      </c>
      <c r="H3568" t="str">
        <f>IF(Comuni__2[[#This Row],[Popolazione2011]]&gt;300000,"MAGGIORE","")</f>
        <v/>
      </c>
      <c r="J3568">
        <v>27</v>
      </c>
      <c r="K3568">
        <v>3814</v>
      </c>
      <c r="L3568">
        <v>543</v>
      </c>
    </row>
    <row r="3569" spans="1:12" x14ac:dyDescent="0.2">
      <c r="A3569"/>
      <c r="B3569"/>
      <c r="C3569"/>
      <c r="D3569"/>
      <c r="E3569" s="2">
        <f>Comuni__2[[#This Row],[Popolazione2011]]/$D$7911</f>
        <v>2.6723624560875566E-5</v>
      </c>
      <c r="F3569">
        <f>SUMIFS($D$2:$D$7909, $B$2:$B$7909, "Lombardia")</f>
        <v>9704151</v>
      </c>
      <c r="G3569" s="1">
        <f>Comuni__2[[#This Row],[Popolazione2011]]/Comuni__2[[#This Row],[POPOLAZIONE TOTALE DI OGNI REGIONE (CON FILTRO)]]</f>
        <v>1.6364131184685811E-4</v>
      </c>
      <c r="H3569" t="str">
        <f>IF(Comuni__2[[#This Row],[Popolazione2011]]&gt;300000,"MAGGIORE","")</f>
        <v/>
      </c>
      <c r="J3569">
        <v>27</v>
      </c>
      <c r="K3569">
        <v>3835</v>
      </c>
      <c r="L3569">
        <v>543</v>
      </c>
    </row>
    <row r="3570" spans="1:12" x14ac:dyDescent="0.2">
      <c r="A3570"/>
      <c r="B3570"/>
      <c r="C3570"/>
      <c r="D3570"/>
      <c r="E3570" s="2">
        <f>Comuni__2[[#This Row],[Popolazione2011]]/$D$7911</f>
        <v>2.6689967602990334E-5</v>
      </c>
      <c r="F3570">
        <f>SUMIFS($D$2:$D$7909, $B$2:$B$7909, "Lombardia")</f>
        <v>9704151</v>
      </c>
      <c r="G3570" s="1">
        <f>Comuni__2[[#This Row],[Popolazione2011]]/Comuni__2[[#This Row],[POPOLAZIONE TOTALE DI OGNI REGIONE (CON FILTRO)]]</f>
        <v>1.634352144767739E-4</v>
      </c>
      <c r="H3570" t="str">
        <f>IF(Comuni__2[[#This Row],[Popolazione2011]]&gt;300000,"MAGGIORE","")</f>
        <v/>
      </c>
      <c r="J3570">
        <v>27</v>
      </c>
      <c r="K3570">
        <v>3841</v>
      </c>
      <c r="L3570">
        <v>543</v>
      </c>
    </row>
    <row r="3571" spans="1:12" x14ac:dyDescent="0.2">
      <c r="A3571"/>
      <c r="B3571"/>
      <c r="C3571"/>
      <c r="D3571"/>
      <c r="E3571" s="2">
        <f>Comuni__2[[#This Row],[Popolazione2011]]/$D$7911</f>
        <v>2.6656310645105099E-5</v>
      </c>
      <c r="F3571">
        <f>SUMIFS($D$2:$D$7909, $B$2:$B$7909, "Lombardia")</f>
        <v>9704151</v>
      </c>
      <c r="G3571" s="1">
        <f>Comuni__2[[#This Row],[Popolazione2011]]/Comuni__2[[#This Row],[POPOLAZIONE TOTALE DI OGNI REGIONE (CON FILTRO)]]</f>
        <v>1.6322911710668969E-4</v>
      </c>
      <c r="H3571" t="str">
        <f>IF(Comuni__2[[#This Row],[Popolazione2011]]&gt;300000,"MAGGIORE","")</f>
        <v/>
      </c>
      <c r="J3571">
        <v>27</v>
      </c>
      <c r="K3571">
        <v>3842</v>
      </c>
      <c r="L3571">
        <v>543</v>
      </c>
    </row>
    <row r="3572" spans="1:12" x14ac:dyDescent="0.2">
      <c r="A3572"/>
      <c r="B3572"/>
      <c r="C3572"/>
      <c r="D3572"/>
      <c r="E3572" s="2">
        <f>Comuni__2[[#This Row],[Popolazione2011]]/$D$7911</f>
        <v>2.660582520827725E-5</v>
      </c>
      <c r="F3572">
        <f>SUMIFS($D$2:$D$7909, $B$2:$B$7909, "Lombardia")</f>
        <v>9704151</v>
      </c>
      <c r="G3572" s="1">
        <f>Comuni__2[[#This Row],[Popolazione2011]]/Comuni__2[[#This Row],[POPOLAZIONE TOTALE DI OGNI REGIONE (CON FILTRO)]]</f>
        <v>1.6291997105156341E-4</v>
      </c>
      <c r="H3572" t="str">
        <f>IF(Comuni__2[[#This Row],[Popolazione2011]]&gt;300000,"MAGGIORE","")</f>
        <v/>
      </c>
      <c r="J3572">
        <v>28</v>
      </c>
      <c r="K3572">
        <v>3843</v>
      </c>
      <c r="L3572">
        <v>543</v>
      </c>
    </row>
    <row r="3573" spans="1:12" x14ac:dyDescent="0.2">
      <c r="A3573"/>
      <c r="B3573"/>
      <c r="C3573"/>
      <c r="D3573"/>
      <c r="E3573" s="2">
        <f>Comuni__2[[#This Row],[Popolazione2011]]/$D$7911</f>
        <v>2.660582520827725E-5</v>
      </c>
      <c r="F3573">
        <f>SUMIFS($D$2:$D$7909, $B$2:$B$7909, "Lombardia")</f>
        <v>9704151</v>
      </c>
      <c r="G3573" s="1">
        <f>Comuni__2[[#This Row],[Popolazione2011]]/Comuni__2[[#This Row],[POPOLAZIONE TOTALE DI OGNI REGIONE (CON FILTRO)]]</f>
        <v>1.6291997105156341E-4</v>
      </c>
      <c r="H3573" t="str">
        <f>IF(Comuni__2[[#This Row],[Popolazione2011]]&gt;300000,"MAGGIORE","")</f>
        <v/>
      </c>
      <c r="J3573">
        <v>25</v>
      </c>
      <c r="K3573">
        <v>3857</v>
      </c>
      <c r="L3573">
        <v>545</v>
      </c>
    </row>
    <row r="3574" spans="1:12" x14ac:dyDescent="0.2">
      <c r="A3574"/>
      <c r="B3574"/>
      <c r="C3574"/>
      <c r="D3574"/>
      <c r="E3574" s="2">
        <f>Comuni__2[[#This Row],[Popolazione2011]]/$D$7911</f>
        <v>2.6588996729334631E-5</v>
      </c>
      <c r="F3574">
        <f>SUMIFS($D$2:$D$7909, $B$2:$B$7909, "Lombardia")</f>
        <v>9704151</v>
      </c>
      <c r="G3574" s="1">
        <f>Comuni__2[[#This Row],[Popolazione2011]]/Comuni__2[[#This Row],[POPOLAZIONE TOTALE DI OGNI REGIONE (CON FILTRO)]]</f>
        <v>1.628169223665213E-4</v>
      </c>
      <c r="H3574" t="str">
        <f>IF(Comuni__2[[#This Row],[Popolazione2011]]&gt;300000,"MAGGIORE","")</f>
        <v/>
      </c>
      <c r="J3574">
        <v>24</v>
      </c>
      <c r="K3574">
        <v>3873</v>
      </c>
      <c r="L3574">
        <v>545</v>
      </c>
    </row>
    <row r="3575" spans="1:12" x14ac:dyDescent="0.2">
      <c r="A3575"/>
      <c r="B3575"/>
      <c r="C3575"/>
      <c r="D3575"/>
      <c r="E3575" s="2">
        <f>Comuni__2[[#This Row],[Popolazione2011]]/$D$7911</f>
        <v>2.6572168250392015E-5</v>
      </c>
      <c r="F3575">
        <f>SUMIFS($D$2:$D$7909, $B$2:$B$7909, "Lombardia")</f>
        <v>9704151</v>
      </c>
      <c r="G3575" s="1">
        <f>Comuni__2[[#This Row],[Popolazione2011]]/Comuni__2[[#This Row],[POPOLAZIONE TOTALE DI OGNI REGIONE (CON FILTRO)]]</f>
        <v>1.627138736814792E-4</v>
      </c>
      <c r="H3575" t="str">
        <f>IF(Comuni__2[[#This Row],[Popolazione2011]]&gt;300000,"MAGGIORE","")</f>
        <v/>
      </c>
      <c r="J3575">
        <v>24</v>
      </c>
      <c r="K3575">
        <v>3876</v>
      </c>
      <c r="L3575">
        <v>545</v>
      </c>
    </row>
    <row r="3576" spans="1:12" x14ac:dyDescent="0.2">
      <c r="A3576"/>
      <c r="B3576"/>
      <c r="C3576"/>
      <c r="D3576"/>
      <c r="E3576" s="2">
        <f>Comuni__2[[#This Row],[Popolazione2011]]/$D$7911</f>
        <v>2.6538511292506782E-5</v>
      </c>
      <c r="F3576">
        <f>SUMIFS($D$2:$D$7909, $B$2:$B$7909, "Lombardia")</f>
        <v>9704151</v>
      </c>
      <c r="G3576" s="1">
        <f>Comuni__2[[#This Row],[Popolazione2011]]/Comuni__2[[#This Row],[POPOLAZIONE TOTALE DI OGNI REGIONE (CON FILTRO)]]</f>
        <v>1.6250777631139499E-4</v>
      </c>
      <c r="H3576" t="str">
        <f>IF(Comuni__2[[#This Row],[Popolazione2011]]&gt;300000,"MAGGIORE","")</f>
        <v/>
      </c>
      <c r="J3576">
        <v>21</v>
      </c>
      <c r="K3576">
        <v>3879</v>
      </c>
      <c r="L3576">
        <v>545</v>
      </c>
    </row>
    <row r="3577" spans="1:12" x14ac:dyDescent="0.2">
      <c r="A3577"/>
      <c r="B3577"/>
      <c r="C3577"/>
      <c r="D3577"/>
      <c r="E3577" s="2">
        <f>Comuni__2[[#This Row],[Popolazione2011]]/$D$7911</f>
        <v>2.6504854334621547E-5</v>
      </c>
      <c r="F3577">
        <f>SUMIFS($D$2:$D$7909, $B$2:$B$7909, "Lombardia")</f>
        <v>9704151</v>
      </c>
      <c r="G3577" s="1">
        <f>Comuni__2[[#This Row],[Popolazione2011]]/Comuni__2[[#This Row],[POPOLAZIONE TOTALE DI OGNI REGIONE (CON FILTRO)]]</f>
        <v>1.6230167894131078E-4</v>
      </c>
      <c r="H3577" t="str">
        <f>IF(Comuni__2[[#This Row],[Popolazione2011]]&gt;300000,"MAGGIORE","")</f>
        <v/>
      </c>
      <c r="J3577">
        <v>21</v>
      </c>
      <c r="K3577">
        <v>3880</v>
      </c>
      <c r="L3577">
        <v>545</v>
      </c>
    </row>
    <row r="3578" spans="1:12" x14ac:dyDescent="0.2">
      <c r="A3578"/>
      <c r="B3578"/>
      <c r="C3578"/>
      <c r="D3578"/>
      <c r="E3578" s="2">
        <f>Comuni__2[[#This Row],[Popolazione2011]]/$D$7911</f>
        <v>2.6420711939908463E-5</v>
      </c>
      <c r="F3578">
        <f>SUMIFS($D$2:$D$7909, $B$2:$B$7909, "Lombardia")</f>
        <v>9704151</v>
      </c>
      <c r="G3578" s="1">
        <f>Comuni__2[[#This Row],[Popolazione2011]]/Comuni__2[[#This Row],[POPOLAZIONE TOTALE DI OGNI REGIONE (CON FILTRO)]]</f>
        <v>1.6178643551610029E-4</v>
      </c>
      <c r="H3578" t="str">
        <f>IF(Comuni__2[[#This Row],[Popolazione2011]]&gt;300000,"MAGGIORE","")</f>
        <v/>
      </c>
      <c r="J3578">
        <v>20</v>
      </c>
      <c r="K3578">
        <v>3881</v>
      </c>
      <c r="L3578">
        <v>545</v>
      </c>
    </row>
    <row r="3579" spans="1:12" x14ac:dyDescent="0.2">
      <c r="A3579"/>
      <c r="B3579"/>
      <c r="C3579"/>
      <c r="D3579"/>
      <c r="E3579" s="2">
        <f>Comuni__2[[#This Row],[Popolazione2011]]/$D$7911</f>
        <v>2.638705498202323E-5</v>
      </c>
      <c r="F3579">
        <f>SUMIFS($D$2:$D$7909, $B$2:$B$7909, "Lombardia")</f>
        <v>9704151</v>
      </c>
      <c r="G3579" s="1">
        <f>Comuni__2[[#This Row],[Popolazione2011]]/Comuni__2[[#This Row],[POPOLAZIONE TOTALE DI OGNI REGIONE (CON FILTRO)]]</f>
        <v>1.6158033814601608E-4</v>
      </c>
      <c r="H3579" t="str">
        <f>IF(Comuni__2[[#This Row],[Popolazione2011]]&gt;300000,"MAGGIORE","")</f>
        <v/>
      </c>
      <c r="J3579">
        <v>18</v>
      </c>
      <c r="K3579">
        <v>3898</v>
      </c>
      <c r="L3579">
        <v>545</v>
      </c>
    </row>
    <row r="3580" spans="1:12" x14ac:dyDescent="0.2">
      <c r="A3580"/>
      <c r="B3580"/>
      <c r="C3580"/>
      <c r="D3580"/>
      <c r="E3580" s="2">
        <f>Comuni__2[[#This Row],[Popolazione2011]]/$D$7911</f>
        <v>2.628608410836753E-5</v>
      </c>
      <c r="F3580">
        <f>SUMIFS($D$2:$D$7909, $B$2:$B$7909, "Lombardia")</f>
        <v>9704151</v>
      </c>
      <c r="G3580" s="1">
        <f>Comuni__2[[#This Row],[Popolazione2011]]/Comuni__2[[#This Row],[POPOLAZIONE TOTALE DI OGNI REGIONE (CON FILTRO)]]</f>
        <v>1.6096204603576345E-4</v>
      </c>
      <c r="H3580" t="str">
        <f>IF(Comuni__2[[#This Row],[Popolazione2011]]&gt;300000,"MAGGIORE","")</f>
        <v/>
      </c>
      <c r="J3580">
        <v>12</v>
      </c>
      <c r="K3580">
        <v>3910</v>
      </c>
      <c r="L3580">
        <v>546</v>
      </c>
    </row>
    <row r="3581" spans="1:12" x14ac:dyDescent="0.2">
      <c r="A3581"/>
      <c r="B3581"/>
      <c r="C3581"/>
      <c r="D3581"/>
      <c r="E3581" s="2">
        <f>Comuni__2[[#This Row],[Popolazione2011]]/$D$7911</f>
        <v>2.6235598671539679E-5</v>
      </c>
      <c r="F3581">
        <f>SUMIFS($D$2:$D$7909, $B$2:$B$7909, "Lombardia")</f>
        <v>9704151</v>
      </c>
      <c r="G3581" s="1">
        <f>Comuni__2[[#This Row],[Popolazione2011]]/Comuni__2[[#This Row],[POPOLAZIONE TOTALE DI OGNI REGIONE (CON FILTRO)]]</f>
        <v>1.6065289998063714E-4</v>
      </c>
      <c r="H3581" t="str">
        <f>IF(Comuni__2[[#This Row],[Popolazione2011]]&gt;300000,"MAGGIORE","")</f>
        <v/>
      </c>
      <c r="J3581">
        <v>14</v>
      </c>
      <c r="K3581">
        <v>3912</v>
      </c>
      <c r="L3581">
        <v>546</v>
      </c>
    </row>
    <row r="3582" spans="1:12" x14ac:dyDescent="0.2">
      <c r="A3582"/>
      <c r="B3582"/>
      <c r="C3582"/>
      <c r="D3582"/>
      <c r="E3582" s="2">
        <f>Comuni__2[[#This Row],[Popolazione2011]]/$D$7911</f>
        <v>2.6100970839998743E-5</v>
      </c>
      <c r="F3582">
        <f>SUMIFS($D$2:$D$7909, $B$2:$B$7909, "Lombardia")</f>
        <v>9704151</v>
      </c>
      <c r="G3582" s="1">
        <f>Comuni__2[[#This Row],[Popolazione2011]]/Comuni__2[[#This Row],[POPOLAZIONE TOTALE DI OGNI REGIONE (CON FILTRO)]]</f>
        <v>1.5982851050030033E-4</v>
      </c>
      <c r="H3582" t="str">
        <f>IF(Comuni__2[[#This Row],[Popolazione2011]]&gt;300000,"MAGGIORE","")</f>
        <v/>
      </c>
      <c r="J3582">
        <v>14</v>
      </c>
      <c r="K3582">
        <v>3916</v>
      </c>
      <c r="L3582">
        <v>546</v>
      </c>
    </row>
    <row r="3583" spans="1:12" x14ac:dyDescent="0.2">
      <c r="A3583"/>
      <c r="B3583"/>
      <c r="C3583"/>
      <c r="D3583"/>
      <c r="E3583" s="2">
        <f>Comuni__2[[#This Row],[Popolazione2011]]/$D$7911</f>
        <v>2.6100970839998743E-5</v>
      </c>
      <c r="F3583">
        <f>SUMIFS($D$2:$D$7909, $B$2:$B$7909, "Lombardia")</f>
        <v>9704151</v>
      </c>
      <c r="G3583" s="1">
        <f>Comuni__2[[#This Row],[Popolazione2011]]/Comuni__2[[#This Row],[POPOLAZIONE TOTALE DI OGNI REGIONE (CON FILTRO)]]</f>
        <v>1.5982851050030033E-4</v>
      </c>
      <c r="H3583" t="str">
        <f>IF(Comuni__2[[#This Row],[Popolazione2011]]&gt;300000,"MAGGIORE","")</f>
        <v/>
      </c>
      <c r="J3583">
        <v>13</v>
      </c>
      <c r="K3583">
        <v>3922</v>
      </c>
      <c r="L3583">
        <v>546</v>
      </c>
    </row>
    <row r="3584" spans="1:12" x14ac:dyDescent="0.2">
      <c r="A3584"/>
      <c r="B3584"/>
      <c r="C3584"/>
      <c r="D3584"/>
      <c r="E3584" s="2">
        <f>Comuni__2[[#This Row],[Popolazione2011]]/$D$7911</f>
        <v>2.6084142361056127E-5</v>
      </c>
      <c r="F3584">
        <f>SUMIFS($D$2:$D$7909, $B$2:$B$7909, "Lombardia")</f>
        <v>9704151</v>
      </c>
      <c r="G3584" s="1">
        <f>Comuni__2[[#This Row],[Popolazione2011]]/Comuni__2[[#This Row],[POPOLAZIONE TOTALE DI OGNI REGIONE (CON FILTRO)]]</f>
        <v>1.5972546181525823E-4</v>
      </c>
      <c r="H3584" t="str">
        <f>IF(Comuni__2[[#This Row],[Popolazione2011]]&gt;300000,"MAGGIORE","")</f>
        <v/>
      </c>
      <c r="J3584">
        <v>12</v>
      </c>
      <c r="K3584">
        <v>3924</v>
      </c>
      <c r="L3584">
        <v>546</v>
      </c>
    </row>
    <row r="3585" spans="1:12" x14ac:dyDescent="0.2">
      <c r="A3585"/>
      <c r="B3585"/>
      <c r="C3585"/>
      <c r="D3585"/>
      <c r="E3585" s="2">
        <f>Comuni__2[[#This Row],[Popolazione2011]]/$D$7911</f>
        <v>2.6084142361056127E-5</v>
      </c>
      <c r="F3585">
        <f>SUMIFS($D$2:$D$7909, $B$2:$B$7909, "Lombardia")</f>
        <v>9704151</v>
      </c>
      <c r="G3585" s="1">
        <f>Comuni__2[[#This Row],[Popolazione2011]]/Comuni__2[[#This Row],[POPOLAZIONE TOTALE DI OGNI REGIONE (CON FILTRO)]]</f>
        <v>1.5972546181525823E-4</v>
      </c>
      <c r="H3585" t="str">
        <f>IF(Comuni__2[[#This Row],[Popolazione2011]]&gt;300000,"MAGGIORE","")</f>
        <v/>
      </c>
      <c r="J3585">
        <v>12</v>
      </c>
      <c r="K3585">
        <v>3924</v>
      </c>
      <c r="L3585">
        <v>546</v>
      </c>
    </row>
    <row r="3586" spans="1:12" x14ac:dyDescent="0.2">
      <c r="A3586"/>
      <c r="B3586"/>
      <c r="C3586"/>
      <c r="D3586"/>
      <c r="E3586" s="2">
        <f>Comuni__2[[#This Row],[Popolazione2011]]/$D$7911</f>
        <v>2.6016828445285659E-5</v>
      </c>
      <c r="F3586">
        <f>SUMIFS($D$2:$D$7909, $B$2:$B$7909, "Lombardia")</f>
        <v>9704151</v>
      </c>
      <c r="G3586" s="1">
        <f>Comuni__2[[#This Row],[Popolazione2011]]/Comuni__2[[#This Row],[POPOLAZIONE TOTALE DI OGNI REGIONE (CON FILTRO)]]</f>
        <v>1.5931326707508984E-4</v>
      </c>
      <c r="H3586" t="str">
        <f>IF(Comuni__2[[#This Row],[Popolazione2011]]&gt;300000,"MAGGIORE","")</f>
        <v/>
      </c>
      <c r="J3586">
        <v>10</v>
      </c>
      <c r="K3586">
        <v>3926</v>
      </c>
      <c r="L3586">
        <v>547</v>
      </c>
    </row>
    <row r="3587" spans="1:12" x14ac:dyDescent="0.2">
      <c r="A3587"/>
      <c r="B3587"/>
      <c r="C3587"/>
      <c r="D3587"/>
      <c r="E3587" s="2">
        <f>Comuni__2[[#This Row],[Popolazione2011]]/$D$7911</f>
        <v>2.5882200613744723E-5</v>
      </c>
      <c r="F3587">
        <f>SUMIFS($D$2:$D$7909, $B$2:$B$7909, "Lombardia")</f>
        <v>9704151</v>
      </c>
      <c r="G3587" s="1">
        <f>Comuni__2[[#This Row],[Popolazione2011]]/Comuni__2[[#This Row],[POPOLAZIONE TOTALE DI OGNI REGIONE (CON FILTRO)]]</f>
        <v>1.58488877594753E-4</v>
      </c>
      <c r="H3587" t="str">
        <f>IF(Comuni__2[[#This Row],[Popolazione2011]]&gt;300000,"MAGGIORE","")</f>
        <v/>
      </c>
      <c r="J3587">
        <v>10</v>
      </c>
      <c r="K3587">
        <v>3926</v>
      </c>
      <c r="L3587">
        <v>547</v>
      </c>
    </row>
    <row r="3588" spans="1:12" x14ac:dyDescent="0.2">
      <c r="A3588"/>
      <c r="B3588"/>
      <c r="C3588"/>
      <c r="D3588"/>
      <c r="E3588" s="2">
        <f>Comuni__2[[#This Row],[Popolazione2011]]/$D$7911</f>
        <v>2.5865372134802107E-5</v>
      </c>
      <c r="F3588">
        <f>SUMIFS($D$2:$D$7909, $B$2:$B$7909, "Lombardia")</f>
        <v>9704151</v>
      </c>
      <c r="G3588" s="1">
        <f>Comuni__2[[#This Row],[Popolazione2011]]/Comuni__2[[#This Row],[POPOLAZIONE TOTALE DI OGNI REGIONE (CON FILTRO)]]</f>
        <v>1.583858289097109E-4</v>
      </c>
      <c r="H3588" t="str">
        <f>IF(Comuni__2[[#This Row],[Popolazione2011]]&gt;300000,"MAGGIORE","")</f>
        <v/>
      </c>
      <c r="J3588">
        <v>10</v>
      </c>
      <c r="K3588">
        <v>3926</v>
      </c>
      <c r="L3588">
        <v>547</v>
      </c>
    </row>
    <row r="3589" spans="1:12" x14ac:dyDescent="0.2">
      <c r="A3589"/>
      <c r="B3589"/>
      <c r="C3589"/>
      <c r="D3589"/>
      <c r="E3589" s="2">
        <f>Comuni__2[[#This Row],[Popolazione2011]]/$D$7911</f>
        <v>2.5848543655859491E-5</v>
      </c>
      <c r="F3589">
        <f>SUMIFS($D$2:$D$7909, $B$2:$B$7909, "Lombardia")</f>
        <v>9704151</v>
      </c>
      <c r="G3589" s="1">
        <f>Comuni__2[[#This Row],[Popolazione2011]]/Comuni__2[[#This Row],[POPOLAZIONE TOTALE DI OGNI REGIONE (CON FILTRO)]]</f>
        <v>1.5828278022466879E-4</v>
      </c>
      <c r="H3589" t="str">
        <f>IF(Comuni__2[[#This Row],[Popolazione2011]]&gt;300000,"MAGGIORE","")</f>
        <v/>
      </c>
      <c r="J3589">
        <v>11</v>
      </c>
      <c r="K3589">
        <v>3926</v>
      </c>
      <c r="L3589">
        <v>548</v>
      </c>
    </row>
    <row r="3590" spans="1:12" x14ac:dyDescent="0.2">
      <c r="A3590"/>
      <c r="B3590"/>
      <c r="C3590"/>
      <c r="D3590"/>
      <c r="E3590" s="2">
        <f>Comuni__2[[#This Row],[Popolazione2011]]/$D$7911</f>
        <v>2.5663430387490707E-5</v>
      </c>
      <c r="F3590">
        <f>SUMIFS($D$2:$D$7909, $B$2:$B$7909, "Lombardia")</f>
        <v>9704151</v>
      </c>
      <c r="G3590" s="1">
        <f>Comuni__2[[#This Row],[Popolazione2011]]/Comuni__2[[#This Row],[POPOLAZIONE TOTALE DI OGNI REGIONE (CON FILTRO)]]</f>
        <v>1.5714924468920567E-4</v>
      </c>
      <c r="H3590" t="str">
        <f>IF(Comuni__2[[#This Row],[Popolazione2011]]&gt;300000,"MAGGIORE","")</f>
        <v/>
      </c>
      <c r="J3590">
        <v>12</v>
      </c>
      <c r="K3590">
        <v>3929</v>
      </c>
      <c r="L3590">
        <v>548</v>
      </c>
    </row>
    <row r="3591" spans="1:12" x14ac:dyDescent="0.2">
      <c r="A3591"/>
      <c r="B3591"/>
      <c r="C3591"/>
      <c r="D3591"/>
      <c r="E3591" s="2">
        <f>Comuni__2[[#This Row],[Popolazione2011]]/$D$7911</f>
        <v>2.5579287992777619E-5</v>
      </c>
      <c r="F3591">
        <f>SUMIFS($D$2:$D$7909, $B$2:$B$7909, "Lombardia")</f>
        <v>9704151</v>
      </c>
      <c r="G3591" s="1">
        <f>Comuni__2[[#This Row],[Popolazione2011]]/Comuni__2[[#This Row],[POPOLAZIONE TOTALE DI OGNI REGIONE (CON FILTRO)]]</f>
        <v>1.5663400126399518E-4</v>
      </c>
      <c r="H3591" t="str">
        <f>IF(Comuni__2[[#This Row],[Popolazione2011]]&gt;300000,"MAGGIORE","")</f>
        <v/>
      </c>
      <c r="J3591">
        <v>14</v>
      </c>
      <c r="K3591">
        <v>3930</v>
      </c>
      <c r="L3591">
        <v>548</v>
      </c>
    </row>
    <row r="3592" spans="1:12" x14ac:dyDescent="0.2">
      <c r="A3592"/>
      <c r="B3592"/>
      <c r="C3592"/>
      <c r="D3592"/>
      <c r="E3592" s="2">
        <f>Comuni__2[[#This Row],[Popolazione2011]]/$D$7911</f>
        <v>2.5528802555949771E-5</v>
      </c>
      <c r="F3592">
        <f>SUMIFS($D$2:$D$7909, $B$2:$B$7909, "Lombardia")</f>
        <v>9704151</v>
      </c>
      <c r="G3592" s="1">
        <f>Comuni__2[[#This Row],[Popolazione2011]]/Comuni__2[[#This Row],[POPOLAZIONE TOTALE DI OGNI REGIONE (CON FILTRO)]]</f>
        <v>1.5632485520886887E-4</v>
      </c>
      <c r="H3592" t="str">
        <f>IF(Comuni__2[[#This Row],[Popolazione2011]]&gt;300000,"MAGGIORE","")</f>
        <v/>
      </c>
      <c r="J3592">
        <v>14</v>
      </c>
      <c r="K3592">
        <v>3930</v>
      </c>
      <c r="L3592">
        <v>548</v>
      </c>
    </row>
    <row r="3593" spans="1:12" x14ac:dyDescent="0.2">
      <c r="A3593"/>
      <c r="B3593"/>
      <c r="C3593"/>
      <c r="D3593"/>
      <c r="E3593" s="2">
        <f>Comuni__2[[#This Row],[Popolazione2011]]/$D$7911</f>
        <v>2.5511974077007155E-5</v>
      </c>
      <c r="F3593">
        <f>SUMIFS($D$2:$D$7909, $B$2:$B$7909, "Lombardia")</f>
        <v>9704151</v>
      </c>
      <c r="G3593" s="1">
        <f>Comuni__2[[#This Row],[Popolazione2011]]/Comuni__2[[#This Row],[POPOLAZIONE TOTALE DI OGNI REGIONE (CON FILTRO)]]</f>
        <v>1.5622180652382676E-4</v>
      </c>
      <c r="H3593" t="str">
        <f>IF(Comuni__2[[#This Row],[Popolazione2011]]&gt;300000,"MAGGIORE","")</f>
        <v/>
      </c>
      <c r="J3593">
        <v>14</v>
      </c>
      <c r="K3593">
        <v>3930</v>
      </c>
      <c r="L3593">
        <v>548</v>
      </c>
    </row>
    <row r="3594" spans="1:12" x14ac:dyDescent="0.2">
      <c r="A3594"/>
      <c r="B3594"/>
      <c r="C3594"/>
      <c r="D3594"/>
      <c r="E3594" s="2">
        <f>Comuni__2[[#This Row],[Popolazione2011]]/$D$7911</f>
        <v>2.5444660161236687E-5</v>
      </c>
      <c r="F3594">
        <f>SUMIFS($D$2:$D$7909, $B$2:$B$7909, "Lombardia")</f>
        <v>9704151</v>
      </c>
      <c r="G3594" s="1">
        <f>Comuni__2[[#This Row],[Popolazione2011]]/Comuni__2[[#This Row],[POPOLAZIONE TOTALE DI OGNI REGIONE (CON FILTRO)]]</f>
        <v>1.5580961178365835E-4</v>
      </c>
      <c r="H3594" t="str">
        <f>IF(Comuni__2[[#This Row],[Popolazione2011]]&gt;300000,"MAGGIORE","")</f>
        <v/>
      </c>
      <c r="J3594">
        <v>11</v>
      </c>
      <c r="K3594">
        <v>3948</v>
      </c>
      <c r="L3594">
        <v>548</v>
      </c>
    </row>
    <row r="3595" spans="1:12" x14ac:dyDescent="0.2">
      <c r="A3595"/>
      <c r="B3595"/>
      <c r="C3595"/>
      <c r="D3595"/>
      <c r="E3595" s="2">
        <f>Comuni__2[[#This Row],[Popolazione2011]]/$D$7911</f>
        <v>2.5343689287580983E-5</v>
      </c>
      <c r="F3595">
        <f>SUMIFS($D$2:$D$7909, $B$2:$B$7909, "Lombardia")</f>
        <v>9704151</v>
      </c>
      <c r="G3595" s="1">
        <f>Comuni__2[[#This Row],[Popolazione2011]]/Comuni__2[[#This Row],[POPOLAZIONE TOTALE DI OGNI REGIONE (CON FILTRO)]]</f>
        <v>1.5519131967340575E-4</v>
      </c>
      <c r="H3595" t="str">
        <f>IF(Comuni__2[[#This Row],[Popolazione2011]]&gt;300000,"MAGGIORE","")</f>
        <v/>
      </c>
      <c r="J3595">
        <v>11</v>
      </c>
      <c r="K3595">
        <v>3952</v>
      </c>
      <c r="L3595">
        <v>548</v>
      </c>
    </row>
    <row r="3596" spans="1:12" x14ac:dyDescent="0.2">
      <c r="A3596"/>
      <c r="B3596"/>
      <c r="C3596"/>
      <c r="D3596"/>
      <c r="E3596" s="2">
        <f>Comuni__2[[#This Row],[Popolazione2011]]/$D$7911</f>
        <v>2.5343689287580983E-5</v>
      </c>
      <c r="F3596">
        <f>SUMIFS($D$2:$D$7909, $B$2:$B$7909, "Lombardia")</f>
        <v>9704151</v>
      </c>
      <c r="G3596" s="1">
        <f>Comuni__2[[#This Row],[Popolazione2011]]/Comuni__2[[#This Row],[POPOLAZIONE TOTALE DI OGNI REGIONE (CON FILTRO)]]</f>
        <v>1.5519131967340575E-4</v>
      </c>
      <c r="H3596" t="str">
        <f>IF(Comuni__2[[#This Row],[Popolazione2011]]&gt;300000,"MAGGIORE","")</f>
        <v/>
      </c>
      <c r="J3596">
        <v>11</v>
      </c>
      <c r="K3596">
        <v>3953</v>
      </c>
      <c r="L3596">
        <v>548</v>
      </c>
    </row>
    <row r="3597" spans="1:12" x14ac:dyDescent="0.2">
      <c r="A3597"/>
      <c r="B3597"/>
      <c r="C3597"/>
      <c r="D3597"/>
      <c r="E3597" s="2">
        <f>Comuni__2[[#This Row],[Popolazione2011]]/$D$7911</f>
        <v>2.5276375371810519E-5</v>
      </c>
      <c r="F3597">
        <f>SUMIFS($D$2:$D$7909, $B$2:$B$7909, "Lombardia")</f>
        <v>9704151</v>
      </c>
      <c r="G3597" s="1">
        <f>Comuni__2[[#This Row],[Popolazione2011]]/Comuni__2[[#This Row],[POPOLAZIONE TOTALE DI OGNI REGIONE (CON FILTRO)]]</f>
        <v>1.5477912493323733E-4</v>
      </c>
      <c r="H3597" t="str">
        <f>IF(Comuni__2[[#This Row],[Popolazione2011]]&gt;300000,"MAGGIORE","")</f>
        <v/>
      </c>
      <c r="J3597">
        <v>11</v>
      </c>
      <c r="K3597">
        <v>3962</v>
      </c>
      <c r="L3597">
        <v>549</v>
      </c>
    </row>
    <row r="3598" spans="1:12" x14ac:dyDescent="0.2">
      <c r="A3598"/>
      <c r="B3598"/>
      <c r="C3598"/>
      <c r="D3598"/>
      <c r="E3598" s="2">
        <f>Comuni__2[[#This Row],[Popolazione2011]]/$D$7911</f>
        <v>2.5259546892867899E-5</v>
      </c>
      <c r="F3598">
        <f>SUMIFS($D$2:$D$7909, $B$2:$B$7909, "Lombardia")</f>
        <v>9704151</v>
      </c>
      <c r="G3598" s="1">
        <f>Comuni__2[[#This Row],[Popolazione2011]]/Comuni__2[[#This Row],[POPOLAZIONE TOTALE DI OGNI REGIONE (CON FILTRO)]]</f>
        <v>1.5467607624819522E-4</v>
      </c>
      <c r="H3598" t="str">
        <f>IF(Comuni__2[[#This Row],[Popolazione2011]]&gt;300000,"MAGGIORE","")</f>
        <v/>
      </c>
      <c r="J3598">
        <v>16</v>
      </c>
      <c r="K3598">
        <v>3961</v>
      </c>
      <c r="L3598">
        <v>549</v>
      </c>
    </row>
    <row r="3599" spans="1:12" x14ac:dyDescent="0.2">
      <c r="A3599"/>
      <c r="B3599"/>
      <c r="C3599"/>
      <c r="D3599"/>
      <c r="E3599" s="2">
        <f>Comuni__2[[#This Row],[Popolazione2011]]/$D$7911</f>
        <v>2.5242718413925283E-5</v>
      </c>
      <c r="F3599">
        <f>SUMIFS($D$2:$D$7909, $B$2:$B$7909, "Lombardia")</f>
        <v>9704151</v>
      </c>
      <c r="G3599" s="1">
        <f>Comuni__2[[#This Row],[Popolazione2011]]/Comuni__2[[#This Row],[POPOLAZIONE TOTALE DI OGNI REGIONE (CON FILTRO)]]</f>
        <v>1.5457302756315312E-4</v>
      </c>
      <c r="H3599" t="str">
        <f>IF(Comuni__2[[#This Row],[Popolazione2011]]&gt;300000,"MAGGIORE","")</f>
        <v/>
      </c>
      <c r="J3599">
        <v>15</v>
      </c>
      <c r="K3599">
        <v>3961</v>
      </c>
      <c r="L3599">
        <v>550</v>
      </c>
    </row>
    <row r="3600" spans="1:12" x14ac:dyDescent="0.2">
      <c r="A3600"/>
      <c r="B3600"/>
      <c r="C3600"/>
      <c r="D3600"/>
      <c r="E3600" s="2">
        <f>Comuni__2[[#This Row],[Popolazione2011]]/$D$7911</f>
        <v>2.5175404498154815E-5</v>
      </c>
      <c r="F3600">
        <f>SUMIFS($D$2:$D$7909, $B$2:$B$7909, "Lombardia")</f>
        <v>9704151</v>
      </c>
      <c r="G3600" s="1">
        <f>Comuni__2[[#This Row],[Popolazione2011]]/Comuni__2[[#This Row],[POPOLAZIONE TOTALE DI OGNI REGIONE (CON FILTRO)]]</f>
        <v>1.5416083282298473E-4</v>
      </c>
      <c r="H3600" t="str">
        <f>IF(Comuni__2[[#This Row],[Popolazione2011]]&gt;300000,"MAGGIORE","")</f>
        <v/>
      </c>
      <c r="J3600">
        <v>15</v>
      </c>
      <c r="K3600">
        <v>3962</v>
      </c>
      <c r="L3600">
        <v>551</v>
      </c>
    </row>
    <row r="3601" spans="1:12" x14ac:dyDescent="0.2">
      <c r="A3601"/>
      <c r="B3601"/>
      <c r="C3601"/>
      <c r="D3601"/>
      <c r="E3601" s="2">
        <f>Comuni__2[[#This Row],[Popolazione2011]]/$D$7911</f>
        <v>2.5141747540269583E-5</v>
      </c>
      <c r="F3601">
        <f>SUMIFS($D$2:$D$7909, $B$2:$B$7909, "Lombardia")</f>
        <v>9704151</v>
      </c>
      <c r="G3601" s="1">
        <f>Comuni__2[[#This Row],[Popolazione2011]]/Comuni__2[[#This Row],[POPOLAZIONE TOTALE DI OGNI REGIONE (CON FILTRO)]]</f>
        <v>1.5395473545290052E-4</v>
      </c>
      <c r="H3601" t="str">
        <f>IF(Comuni__2[[#This Row],[Popolazione2011]]&gt;300000,"MAGGIORE","")</f>
        <v/>
      </c>
      <c r="J3601">
        <v>15</v>
      </c>
      <c r="K3601">
        <v>3963</v>
      </c>
      <c r="L3601">
        <v>551</v>
      </c>
    </row>
    <row r="3602" spans="1:12" x14ac:dyDescent="0.2">
      <c r="A3602"/>
      <c r="B3602"/>
      <c r="C3602"/>
      <c r="D3602"/>
      <c r="E3602" s="2">
        <f>Comuni__2[[#This Row],[Popolazione2011]]/$D$7911</f>
        <v>2.5091262103441731E-5</v>
      </c>
      <c r="F3602">
        <f>SUMIFS($D$2:$D$7909, $B$2:$B$7909, "Lombardia")</f>
        <v>9704151</v>
      </c>
      <c r="G3602" s="1">
        <f>Comuni__2[[#This Row],[Popolazione2011]]/Comuni__2[[#This Row],[POPOLAZIONE TOTALE DI OGNI REGIONE (CON FILTRO)]]</f>
        <v>1.5364558939777421E-4</v>
      </c>
      <c r="H3602" t="str">
        <f>IF(Comuni__2[[#This Row],[Popolazione2011]]&gt;300000,"MAGGIORE","")</f>
        <v/>
      </c>
      <c r="J3602">
        <v>17</v>
      </c>
      <c r="K3602">
        <v>3963</v>
      </c>
      <c r="L3602">
        <v>551</v>
      </c>
    </row>
    <row r="3603" spans="1:12" x14ac:dyDescent="0.2">
      <c r="A3603"/>
      <c r="B3603"/>
      <c r="C3603"/>
      <c r="D3603"/>
      <c r="E3603" s="2">
        <f>Comuni__2[[#This Row],[Popolazione2011]]/$D$7911</f>
        <v>2.5007119708728647E-5</v>
      </c>
      <c r="F3603">
        <f>SUMIFS($D$2:$D$7909, $B$2:$B$7909, "Lombardia")</f>
        <v>9704151</v>
      </c>
      <c r="G3603" s="1">
        <f>Comuni__2[[#This Row],[Popolazione2011]]/Comuni__2[[#This Row],[POPOLAZIONE TOTALE DI OGNI REGIONE (CON FILTRO)]]</f>
        <v>1.5313034597256369E-4</v>
      </c>
      <c r="H3603" t="str">
        <f>IF(Comuni__2[[#This Row],[Popolazione2011]]&gt;300000,"MAGGIORE","")</f>
        <v/>
      </c>
      <c r="J3603">
        <v>17</v>
      </c>
      <c r="K3603">
        <v>3964</v>
      </c>
      <c r="L3603">
        <v>551</v>
      </c>
    </row>
    <row r="3604" spans="1:12" x14ac:dyDescent="0.2">
      <c r="A3604"/>
      <c r="B3604"/>
      <c r="C3604"/>
      <c r="D3604"/>
      <c r="E3604" s="2">
        <f>Comuni__2[[#This Row],[Popolazione2011]]/$D$7911</f>
        <v>2.4990291229786031E-5</v>
      </c>
      <c r="F3604">
        <f>SUMIFS($D$2:$D$7909, $B$2:$B$7909, "Lombardia")</f>
        <v>9704151</v>
      </c>
      <c r="G3604" s="1">
        <f>Comuni__2[[#This Row],[Popolazione2011]]/Comuni__2[[#This Row],[POPOLAZIONE TOTALE DI OGNI REGIONE (CON FILTRO)]]</f>
        <v>1.5302729728752161E-4</v>
      </c>
      <c r="H3604" t="str">
        <f>IF(Comuni__2[[#This Row],[Popolazione2011]]&gt;300000,"MAGGIORE","")</f>
        <v/>
      </c>
      <c r="J3604">
        <v>18</v>
      </c>
      <c r="K3604">
        <v>3964</v>
      </c>
      <c r="L3604">
        <v>552</v>
      </c>
    </row>
    <row r="3605" spans="1:12" x14ac:dyDescent="0.2">
      <c r="A3605"/>
      <c r="B3605"/>
      <c r="C3605"/>
      <c r="D3605"/>
      <c r="E3605" s="2">
        <f>Comuni__2[[#This Row],[Popolazione2011]]/$D$7911</f>
        <v>2.4906148835072947E-5</v>
      </c>
      <c r="F3605">
        <f>SUMIFS($D$2:$D$7909, $B$2:$B$7909, "Lombardia")</f>
        <v>9704151</v>
      </c>
      <c r="G3605" s="1">
        <f>Comuni__2[[#This Row],[Popolazione2011]]/Comuni__2[[#This Row],[POPOLAZIONE TOTALE DI OGNI REGIONE (CON FILTRO)]]</f>
        <v>1.5251205386231109E-4</v>
      </c>
      <c r="H3605" t="str">
        <f>IF(Comuni__2[[#This Row],[Popolazione2011]]&gt;300000,"MAGGIORE","")</f>
        <v/>
      </c>
      <c r="J3605">
        <v>19</v>
      </c>
      <c r="K3605">
        <v>3967</v>
      </c>
      <c r="L3605">
        <v>552</v>
      </c>
    </row>
    <row r="3606" spans="1:12" x14ac:dyDescent="0.2">
      <c r="A3606"/>
      <c r="B3606"/>
      <c r="C3606"/>
      <c r="D3606"/>
      <c r="E3606" s="2">
        <f>Comuni__2[[#This Row],[Popolazione2011]]/$D$7911</f>
        <v>2.4838834919302479E-5</v>
      </c>
      <c r="F3606">
        <f>SUMIFS($D$2:$D$7909, $B$2:$B$7909, "Lombardia")</f>
        <v>9704151</v>
      </c>
      <c r="G3606" s="1">
        <f>Comuni__2[[#This Row],[Popolazione2011]]/Comuni__2[[#This Row],[POPOLAZIONE TOTALE DI OGNI REGIONE (CON FILTRO)]]</f>
        <v>1.5209985912214267E-4</v>
      </c>
      <c r="H3606" t="str">
        <f>IF(Comuni__2[[#This Row],[Popolazione2011]]&gt;300000,"MAGGIORE","")</f>
        <v/>
      </c>
      <c r="J3606">
        <v>20</v>
      </c>
      <c r="K3606">
        <v>3967</v>
      </c>
      <c r="L3606">
        <v>552</v>
      </c>
    </row>
    <row r="3607" spans="1:12" x14ac:dyDescent="0.2">
      <c r="A3607"/>
      <c r="B3607"/>
      <c r="C3607"/>
      <c r="D3607"/>
      <c r="E3607" s="2">
        <f>Comuni__2[[#This Row],[Popolazione2011]]/$D$7911</f>
        <v>2.4754692524589395E-5</v>
      </c>
      <c r="F3607">
        <f>SUMIFS($D$2:$D$7909, $B$2:$B$7909, "Lombardia")</f>
        <v>9704151</v>
      </c>
      <c r="G3607" s="1">
        <f>Comuni__2[[#This Row],[Popolazione2011]]/Comuni__2[[#This Row],[POPOLAZIONE TOTALE DI OGNI REGIONE (CON FILTRO)]]</f>
        <v>1.5158461569693218E-4</v>
      </c>
      <c r="H3607" t="str">
        <f>IF(Comuni__2[[#This Row],[Popolazione2011]]&gt;300000,"MAGGIORE","")</f>
        <v/>
      </c>
      <c r="J3607">
        <v>23</v>
      </c>
      <c r="K3607">
        <v>3970</v>
      </c>
      <c r="L3607">
        <v>553</v>
      </c>
    </row>
    <row r="3608" spans="1:12" x14ac:dyDescent="0.2">
      <c r="A3608"/>
      <c r="B3608"/>
      <c r="C3608"/>
      <c r="D3608"/>
      <c r="E3608" s="2">
        <f>Comuni__2[[#This Row],[Popolazione2011]]/$D$7911</f>
        <v>2.4754692524589395E-5</v>
      </c>
      <c r="F3608">
        <f>SUMIFS($D$2:$D$7909, $B$2:$B$7909, "Lombardia")</f>
        <v>9704151</v>
      </c>
      <c r="G3608" s="1">
        <f>Comuni__2[[#This Row],[Popolazione2011]]/Comuni__2[[#This Row],[POPOLAZIONE TOTALE DI OGNI REGIONE (CON FILTRO)]]</f>
        <v>1.5158461569693218E-4</v>
      </c>
      <c r="H3608" t="str">
        <f>IF(Comuni__2[[#This Row],[Popolazione2011]]&gt;300000,"MAGGIORE","")</f>
        <v/>
      </c>
      <c r="J3608">
        <v>22</v>
      </c>
      <c r="K3608">
        <v>3971</v>
      </c>
      <c r="L3608">
        <v>553</v>
      </c>
    </row>
    <row r="3609" spans="1:12" x14ac:dyDescent="0.2">
      <c r="A3609"/>
      <c r="B3609"/>
      <c r="C3609"/>
      <c r="D3609"/>
      <c r="E3609" s="2">
        <f>Comuni__2[[#This Row],[Popolazione2011]]/$D$7911</f>
        <v>2.4721035566704159E-5</v>
      </c>
      <c r="F3609">
        <f>SUMIFS($D$2:$D$7909, $B$2:$B$7909, "Lombardia")</f>
        <v>9704151</v>
      </c>
      <c r="G3609" s="1">
        <f>Comuni__2[[#This Row],[Popolazione2011]]/Comuni__2[[#This Row],[POPOLAZIONE TOTALE DI OGNI REGIONE (CON FILTRO)]]</f>
        <v>1.5137851832684797E-4</v>
      </c>
      <c r="H3609" t="str">
        <f>IF(Comuni__2[[#This Row],[Popolazione2011]]&gt;300000,"MAGGIORE","")</f>
        <v/>
      </c>
      <c r="J3609">
        <v>24</v>
      </c>
      <c r="K3609">
        <v>3973</v>
      </c>
      <c r="L3609">
        <v>553</v>
      </c>
    </row>
    <row r="3610" spans="1:12" x14ac:dyDescent="0.2">
      <c r="A3610"/>
      <c r="B3610"/>
      <c r="C3610"/>
      <c r="D3610"/>
      <c r="E3610" s="2">
        <f>Comuni__2[[#This Row],[Popolazione2011]]/$D$7911</f>
        <v>2.4687378608818927E-5</v>
      </c>
      <c r="F3610">
        <f>SUMIFS($D$2:$D$7909, $B$2:$B$7909, "Lombardia")</f>
        <v>9704151</v>
      </c>
      <c r="G3610" s="1">
        <f>Comuni__2[[#This Row],[Popolazione2011]]/Comuni__2[[#This Row],[POPOLAZIONE TOTALE DI OGNI REGIONE (CON FILTRO)]]</f>
        <v>1.5117242095676376E-4</v>
      </c>
      <c r="H3610" t="str">
        <f>IF(Comuni__2[[#This Row],[Popolazione2011]]&gt;300000,"MAGGIORE","")</f>
        <v/>
      </c>
      <c r="J3610">
        <v>24</v>
      </c>
      <c r="K3610">
        <v>3974</v>
      </c>
      <c r="L3610">
        <v>553</v>
      </c>
    </row>
    <row r="3611" spans="1:12" x14ac:dyDescent="0.2">
      <c r="A3611"/>
      <c r="B3611"/>
      <c r="C3611"/>
      <c r="D3611"/>
      <c r="E3611" s="2">
        <f>Comuni__2[[#This Row],[Popolazione2011]]/$D$7911</f>
        <v>2.4670550129876311E-5</v>
      </c>
      <c r="F3611">
        <f>SUMIFS($D$2:$D$7909, $B$2:$B$7909, "Lombardia")</f>
        <v>9704151</v>
      </c>
      <c r="G3611" s="1">
        <f>Comuni__2[[#This Row],[Popolazione2011]]/Comuni__2[[#This Row],[POPOLAZIONE TOTALE DI OGNI REGIONE (CON FILTRO)]]</f>
        <v>1.5106937227172165E-4</v>
      </c>
      <c r="H3611" t="str">
        <f>IF(Comuni__2[[#This Row],[Popolazione2011]]&gt;300000,"MAGGIORE","")</f>
        <v/>
      </c>
      <c r="J3611">
        <v>26</v>
      </c>
      <c r="K3611">
        <v>3973</v>
      </c>
      <c r="L3611">
        <v>553</v>
      </c>
    </row>
    <row r="3612" spans="1:12" x14ac:dyDescent="0.2">
      <c r="A3612"/>
      <c r="B3612"/>
      <c r="C3612"/>
      <c r="D3612"/>
      <c r="E3612" s="2">
        <f>Comuni__2[[#This Row],[Popolazione2011]]/$D$7911</f>
        <v>2.4569579256220611E-5</v>
      </c>
      <c r="F3612">
        <f>SUMIFS($D$2:$D$7909, $B$2:$B$7909, "Lombardia")</f>
        <v>9704151</v>
      </c>
      <c r="G3612" s="1">
        <f>Comuni__2[[#This Row],[Popolazione2011]]/Comuni__2[[#This Row],[POPOLAZIONE TOTALE DI OGNI REGIONE (CON FILTRO)]]</f>
        <v>1.5045108016146906E-4</v>
      </c>
      <c r="H3612" t="str">
        <f>IF(Comuni__2[[#This Row],[Popolazione2011]]&gt;300000,"MAGGIORE","")</f>
        <v/>
      </c>
      <c r="J3612">
        <v>27</v>
      </c>
      <c r="K3612">
        <v>3973</v>
      </c>
      <c r="L3612">
        <v>554</v>
      </c>
    </row>
    <row r="3613" spans="1:12" x14ac:dyDescent="0.2">
      <c r="A3613"/>
      <c r="B3613"/>
      <c r="C3613"/>
      <c r="D3613"/>
      <c r="E3613" s="2">
        <f>Comuni__2[[#This Row],[Popolazione2011]]/$D$7911</f>
        <v>2.4485436861507524E-5</v>
      </c>
      <c r="F3613">
        <f>SUMIFS($D$2:$D$7909, $B$2:$B$7909, "Lombardia")</f>
        <v>9704151</v>
      </c>
      <c r="G3613" s="1">
        <f>Comuni__2[[#This Row],[Popolazione2011]]/Comuni__2[[#This Row],[POPOLAZIONE TOTALE DI OGNI REGIONE (CON FILTRO)]]</f>
        <v>1.4993583673625853E-4</v>
      </c>
      <c r="H3613" t="str">
        <f>IF(Comuni__2[[#This Row],[Popolazione2011]]&gt;300000,"MAGGIORE","")</f>
        <v/>
      </c>
      <c r="J3613">
        <v>31</v>
      </c>
      <c r="K3613">
        <v>3973</v>
      </c>
      <c r="L3613">
        <v>554</v>
      </c>
    </row>
    <row r="3614" spans="1:12" x14ac:dyDescent="0.2">
      <c r="A3614"/>
      <c r="B3614"/>
      <c r="C3614"/>
      <c r="D3614"/>
      <c r="E3614" s="2">
        <f>Comuni__2[[#This Row],[Popolazione2011]]/$D$7911</f>
        <v>2.4266666635253507E-5</v>
      </c>
      <c r="F3614">
        <f>SUMIFS($D$2:$D$7909, $B$2:$B$7909, "Lombardia")</f>
        <v>9704151</v>
      </c>
      <c r="G3614" s="1">
        <f>Comuni__2[[#This Row],[Popolazione2011]]/Comuni__2[[#This Row],[POPOLAZIONE TOTALE DI OGNI REGIONE (CON FILTRO)]]</f>
        <v>1.4859620383071121E-4</v>
      </c>
      <c r="H3614" t="str">
        <f>IF(Comuni__2[[#This Row],[Popolazione2011]]&gt;300000,"MAGGIORE","")</f>
        <v/>
      </c>
      <c r="J3614">
        <v>37</v>
      </c>
      <c r="K3614">
        <v>3973</v>
      </c>
      <c r="L3614">
        <v>554</v>
      </c>
    </row>
    <row r="3615" spans="1:12" x14ac:dyDescent="0.2">
      <c r="A3615"/>
      <c r="B3615"/>
      <c r="C3615"/>
      <c r="D3615"/>
      <c r="E3615" s="2">
        <f>Comuni__2[[#This Row],[Popolazione2011]]/$D$7911</f>
        <v>2.4199352719483039E-5</v>
      </c>
      <c r="F3615">
        <f>SUMIFS($D$2:$D$7909, $B$2:$B$7909, "Lombardia")</f>
        <v>9704151</v>
      </c>
      <c r="G3615" s="1">
        <f>Comuni__2[[#This Row],[Popolazione2011]]/Comuni__2[[#This Row],[POPOLAZIONE TOTALE DI OGNI REGIONE (CON FILTRO)]]</f>
        <v>1.4818400909054279E-4</v>
      </c>
      <c r="H3615" t="str">
        <f>IF(Comuni__2[[#This Row],[Popolazione2011]]&gt;300000,"MAGGIORE","")</f>
        <v/>
      </c>
      <c r="J3615">
        <v>39</v>
      </c>
      <c r="K3615">
        <v>3977</v>
      </c>
      <c r="L3615">
        <v>554</v>
      </c>
    </row>
    <row r="3616" spans="1:12" x14ac:dyDescent="0.2">
      <c r="A3616"/>
      <c r="B3616"/>
      <c r="C3616"/>
      <c r="D3616"/>
      <c r="E3616" s="2">
        <f>Comuni__2[[#This Row],[Popolazione2011]]/$D$7911</f>
        <v>2.4115210324769955E-5</v>
      </c>
      <c r="F3616">
        <f>SUMIFS($D$2:$D$7909, $B$2:$B$7909, "Lombardia")</f>
        <v>9704151</v>
      </c>
      <c r="G3616" s="1">
        <f>Comuni__2[[#This Row],[Popolazione2011]]/Comuni__2[[#This Row],[POPOLAZIONE TOTALE DI OGNI REGIONE (CON FILTRO)]]</f>
        <v>1.4766876566533229E-4</v>
      </c>
      <c r="H3616" t="str">
        <f>IF(Comuni__2[[#This Row],[Popolazione2011]]&gt;300000,"MAGGIORE","")</f>
        <v/>
      </c>
      <c r="J3616">
        <v>45</v>
      </c>
      <c r="K3616">
        <v>3977</v>
      </c>
      <c r="L3616">
        <v>554</v>
      </c>
    </row>
    <row r="3617" spans="1:12" x14ac:dyDescent="0.2">
      <c r="A3617"/>
      <c r="B3617"/>
      <c r="C3617"/>
      <c r="D3617"/>
      <c r="E3617" s="2">
        <f>Comuni__2[[#This Row],[Popolazione2011]]/$D$7911</f>
        <v>2.4098381845827339E-5</v>
      </c>
      <c r="F3617">
        <f>SUMIFS($D$2:$D$7909, $B$2:$B$7909, "Lombardia")</f>
        <v>9704151</v>
      </c>
      <c r="G3617" s="1">
        <f>Comuni__2[[#This Row],[Popolazione2011]]/Comuni__2[[#This Row],[POPOLAZIONE TOTALE DI OGNI REGIONE (CON FILTRO)]]</f>
        <v>1.4756571698029019E-4</v>
      </c>
      <c r="H3617" t="str">
        <f>IF(Comuni__2[[#This Row],[Popolazione2011]]&gt;300000,"MAGGIORE","")</f>
        <v/>
      </c>
      <c r="J3617">
        <v>48</v>
      </c>
      <c r="K3617">
        <v>3979</v>
      </c>
      <c r="L3617">
        <v>554</v>
      </c>
    </row>
    <row r="3618" spans="1:12" x14ac:dyDescent="0.2">
      <c r="A3618"/>
      <c r="B3618"/>
      <c r="C3618"/>
      <c r="D3618"/>
      <c r="E3618" s="2">
        <f>Comuni__2[[#This Row],[Popolazione2011]]/$D$7911</f>
        <v>2.3946925535343787E-5</v>
      </c>
      <c r="F3618">
        <f>SUMIFS($D$2:$D$7909, $B$2:$B$7909, "Lombardia")</f>
        <v>9704151</v>
      </c>
      <c r="G3618" s="1">
        <f>Comuni__2[[#This Row],[Popolazione2011]]/Comuni__2[[#This Row],[POPOLAZIONE TOTALE DI OGNI REGIONE (CON FILTRO)]]</f>
        <v>1.4663827881491128E-4</v>
      </c>
      <c r="H3618" t="str">
        <f>IF(Comuni__2[[#This Row],[Popolazione2011]]&gt;300000,"MAGGIORE","")</f>
        <v/>
      </c>
      <c r="J3618">
        <v>46</v>
      </c>
      <c r="K3618">
        <v>3981</v>
      </c>
      <c r="L3618">
        <v>554</v>
      </c>
    </row>
    <row r="3619" spans="1:12" x14ac:dyDescent="0.2">
      <c r="A3619"/>
      <c r="B3619"/>
      <c r="C3619"/>
      <c r="D3619"/>
      <c r="E3619" s="2">
        <f>Comuni__2[[#This Row],[Popolazione2011]]/$D$7911</f>
        <v>2.3946925535343787E-5</v>
      </c>
      <c r="F3619">
        <f>SUMIFS($D$2:$D$7909, $B$2:$B$7909, "Lombardia")</f>
        <v>9704151</v>
      </c>
      <c r="G3619" s="1">
        <f>Comuni__2[[#This Row],[Popolazione2011]]/Comuni__2[[#This Row],[POPOLAZIONE TOTALE DI OGNI REGIONE (CON FILTRO)]]</f>
        <v>1.4663827881491128E-4</v>
      </c>
      <c r="H3619" t="str">
        <f>IF(Comuni__2[[#This Row],[Popolazione2011]]&gt;300000,"MAGGIORE","")</f>
        <v/>
      </c>
      <c r="J3619">
        <v>47</v>
      </c>
      <c r="K3619">
        <v>3981</v>
      </c>
      <c r="L3619">
        <v>554</v>
      </c>
    </row>
    <row r="3620" spans="1:12" x14ac:dyDescent="0.2">
      <c r="A3620"/>
      <c r="B3620"/>
      <c r="C3620"/>
      <c r="D3620"/>
      <c r="E3620" s="2">
        <f>Comuni__2[[#This Row],[Popolazione2011]]/$D$7911</f>
        <v>2.3879611619573319E-5</v>
      </c>
      <c r="F3620">
        <f>SUMIFS($D$2:$D$7909, $B$2:$B$7909, "Lombardia")</f>
        <v>9704151</v>
      </c>
      <c r="G3620" s="1">
        <f>Comuni__2[[#This Row],[Popolazione2011]]/Comuni__2[[#This Row],[POPOLAZIONE TOTALE DI OGNI REGIONE (CON FILTRO)]]</f>
        <v>1.4622608407474286E-4</v>
      </c>
      <c r="H3620" t="str">
        <f>IF(Comuni__2[[#This Row],[Popolazione2011]]&gt;300000,"MAGGIORE","")</f>
        <v/>
      </c>
      <c r="J3620">
        <v>48</v>
      </c>
      <c r="K3620">
        <v>3981</v>
      </c>
      <c r="L3620">
        <v>554</v>
      </c>
    </row>
    <row r="3621" spans="1:12" x14ac:dyDescent="0.2">
      <c r="A3621"/>
      <c r="B3621"/>
      <c r="C3621"/>
      <c r="D3621"/>
      <c r="E3621" s="2">
        <f>Comuni__2[[#This Row],[Popolazione2011]]/$D$7911</f>
        <v>2.3795469224860235E-5</v>
      </c>
      <c r="F3621">
        <f>SUMIFS($D$2:$D$7909, $B$2:$B$7909, "Lombardia")</f>
        <v>9704151</v>
      </c>
      <c r="G3621" s="1">
        <f>Comuni__2[[#This Row],[Popolazione2011]]/Comuni__2[[#This Row],[POPOLAZIONE TOTALE DI OGNI REGIONE (CON FILTRO)]]</f>
        <v>1.4571084064953234E-4</v>
      </c>
      <c r="H3621" t="str">
        <f>IF(Comuni__2[[#This Row],[Popolazione2011]]&gt;300000,"MAGGIORE","")</f>
        <v/>
      </c>
      <c r="J3621">
        <v>51</v>
      </c>
      <c r="K3621">
        <v>3982</v>
      </c>
      <c r="L3621">
        <v>555</v>
      </c>
    </row>
    <row r="3622" spans="1:12" x14ac:dyDescent="0.2">
      <c r="A3622"/>
      <c r="B3622"/>
      <c r="C3622"/>
      <c r="D3622"/>
      <c r="E3622" s="2">
        <f>Comuni__2[[#This Row],[Popolazione2011]]/$D$7911</f>
        <v>2.3761812266975E-5</v>
      </c>
      <c r="F3622">
        <f>SUMIFS($D$2:$D$7909, $B$2:$B$7909, "Lombardia")</f>
        <v>9704151</v>
      </c>
      <c r="G3622" s="1">
        <f>Comuni__2[[#This Row],[Popolazione2011]]/Comuni__2[[#This Row],[POPOLAZIONE TOTALE DI OGNI REGIONE (CON FILTRO)]]</f>
        <v>1.4550474327944816E-4</v>
      </c>
      <c r="H3622" t="str">
        <f>IF(Comuni__2[[#This Row],[Popolazione2011]]&gt;300000,"MAGGIORE","")</f>
        <v/>
      </c>
      <c r="J3622">
        <v>56</v>
      </c>
      <c r="K3622">
        <v>3987</v>
      </c>
      <c r="L3622">
        <v>555</v>
      </c>
    </row>
    <row r="3623" spans="1:12" x14ac:dyDescent="0.2">
      <c r="A3623"/>
      <c r="B3623"/>
      <c r="C3623"/>
      <c r="D3623"/>
      <c r="E3623" s="2">
        <f>Comuni__2[[#This Row],[Popolazione2011]]/$D$7911</f>
        <v>2.354304204072098E-5</v>
      </c>
      <c r="F3623">
        <f>SUMIFS($D$2:$D$7909, $B$2:$B$7909, "Lombardia")</f>
        <v>9704151</v>
      </c>
      <c r="G3623" s="1">
        <f>Comuni__2[[#This Row],[Popolazione2011]]/Comuni__2[[#This Row],[POPOLAZIONE TOTALE DI OGNI REGIONE (CON FILTRO)]]</f>
        <v>1.4416511037390083E-4</v>
      </c>
      <c r="H3623" t="str">
        <f>IF(Comuni__2[[#This Row],[Popolazione2011]]&gt;300000,"MAGGIORE","")</f>
        <v/>
      </c>
      <c r="J3623">
        <v>55</v>
      </c>
      <c r="K3623">
        <v>3990</v>
      </c>
      <c r="L3623">
        <v>555</v>
      </c>
    </row>
    <row r="3624" spans="1:12" x14ac:dyDescent="0.2">
      <c r="A3624"/>
      <c r="B3624"/>
      <c r="C3624"/>
      <c r="D3624"/>
      <c r="E3624" s="2">
        <f>Comuni__2[[#This Row],[Popolazione2011]]/$D$7911</f>
        <v>2.3509385082835748E-5</v>
      </c>
      <c r="F3624">
        <f>SUMIFS($D$2:$D$7909, $B$2:$B$7909, "Lombardia")</f>
        <v>9704151</v>
      </c>
      <c r="G3624" s="1">
        <f>Comuni__2[[#This Row],[Popolazione2011]]/Comuni__2[[#This Row],[POPOLAZIONE TOTALE DI OGNI REGIONE (CON FILTRO)]]</f>
        <v>1.4395901300381662E-4</v>
      </c>
      <c r="H3624" t="str">
        <f>IF(Comuni__2[[#This Row],[Popolazione2011]]&gt;300000,"MAGGIORE","")</f>
        <v/>
      </c>
      <c r="J3624">
        <v>61</v>
      </c>
      <c r="K3624">
        <v>3991</v>
      </c>
      <c r="L3624">
        <v>555</v>
      </c>
    </row>
    <row r="3625" spans="1:12" x14ac:dyDescent="0.2">
      <c r="A3625"/>
      <c r="B3625"/>
      <c r="C3625"/>
      <c r="D3625"/>
      <c r="E3625" s="2">
        <f>Comuni__2[[#This Row],[Popolazione2011]]/$D$7911</f>
        <v>2.3509385082835748E-5</v>
      </c>
      <c r="F3625">
        <f>SUMIFS($D$2:$D$7909, $B$2:$B$7909, "Lombardia")</f>
        <v>9704151</v>
      </c>
      <c r="G3625" s="1">
        <f>Comuni__2[[#This Row],[Popolazione2011]]/Comuni__2[[#This Row],[POPOLAZIONE TOTALE DI OGNI REGIONE (CON FILTRO)]]</f>
        <v>1.4395901300381662E-4</v>
      </c>
      <c r="H3625" t="str">
        <f>IF(Comuni__2[[#This Row],[Popolazione2011]]&gt;300000,"MAGGIORE","")</f>
        <v/>
      </c>
      <c r="J3625">
        <v>65</v>
      </c>
      <c r="K3625">
        <v>3996</v>
      </c>
      <c r="L3625">
        <v>555</v>
      </c>
    </row>
    <row r="3626" spans="1:12" x14ac:dyDescent="0.2">
      <c r="A3626"/>
      <c r="B3626"/>
      <c r="C3626"/>
      <c r="D3626"/>
      <c r="E3626" s="2">
        <f>Comuni__2[[#This Row],[Popolazione2011]]/$D$7911</f>
        <v>2.3391585730237428E-5</v>
      </c>
      <c r="F3626">
        <f>SUMIFS($D$2:$D$7909, $B$2:$B$7909, "Lombardia")</f>
        <v>9704151</v>
      </c>
      <c r="G3626" s="1">
        <f>Comuni__2[[#This Row],[Popolazione2011]]/Comuni__2[[#This Row],[POPOLAZIONE TOTALE DI OGNI REGIONE (CON FILTRO)]]</f>
        <v>1.4323767220852189E-4</v>
      </c>
      <c r="H3626" t="str">
        <f>IF(Comuni__2[[#This Row],[Popolazione2011]]&gt;300000,"MAGGIORE","")</f>
        <v/>
      </c>
      <c r="J3626">
        <v>66</v>
      </c>
      <c r="K3626">
        <v>4001</v>
      </c>
      <c r="L3626">
        <v>555</v>
      </c>
    </row>
    <row r="3627" spans="1:12" x14ac:dyDescent="0.2">
      <c r="A3627"/>
      <c r="B3627"/>
      <c r="C3627"/>
      <c r="D3627"/>
      <c r="E3627" s="2">
        <f>Comuni__2[[#This Row],[Popolazione2011]]/$D$7911</f>
        <v>2.3324271814466963E-5</v>
      </c>
      <c r="F3627">
        <f>SUMIFS($D$2:$D$7909, $B$2:$B$7909, "Lombardia")</f>
        <v>9704151</v>
      </c>
      <c r="G3627" s="1">
        <f>Comuni__2[[#This Row],[Popolazione2011]]/Comuni__2[[#This Row],[POPOLAZIONE TOTALE DI OGNI REGIONE (CON FILTRO)]]</f>
        <v>1.428254774683535E-4</v>
      </c>
      <c r="H3627" t="str">
        <f>IF(Comuni__2[[#This Row],[Popolazione2011]]&gt;300000,"MAGGIORE","")</f>
        <v/>
      </c>
      <c r="J3627">
        <v>72</v>
      </c>
      <c r="K3627">
        <v>4003</v>
      </c>
      <c r="L3627">
        <v>555</v>
      </c>
    </row>
    <row r="3628" spans="1:12" x14ac:dyDescent="0.2">
      <c r="A3628"/>
      <c r="B3628"/>
      <c r="C3628"/>
      <c r="D3628"/>
      <c r="E3628" s="2">
        <f>Comuni__2[[#This Row],[Popolazione2011]]/$D$7911</f>
        <v>2.3307443335524344E-5</v>
      </c>
      <c r="F3628">
        <f>SUMIFS($D$2:$D$7909, $B$2:$B$7909, "Lombardia")</f>
        <v>9704151</v>
      </c>
      <c r="G3628" s="1">
        <f>Comuni__2[[#This Row],[Popolazione2011]]/Comuni__2[[#This Row],[POPOLAZIONE TOTALE DI OGNI REGIONE (CON FILTRO)]]</f>
        <v>1.4272242878331139E-4</v>
      </c>
      <c r="H3628" t="str">
        <f>IF(Comuni__2[[#This Row],[Popolazione2011]]&gt;300000,"MAGGIORE","")</f>
        <v/>
      </c>
      <c r="J3628">
        <v>85</v>
      </c>
      <c r="K3628">
        <v>4010</v>
      </c>
      <c r="L3628">
        <v>555</v>
      </c>
    </row>
    <row r="3629" spans="1:12" x14ac:dyDescent="0.2">
      <c r="A3629"/>
      <c r="B3629"/>
      <c r="C3629"/>
      <c r="D3629"/>
      <c r="E3629" s="2">
        <f>Comuni__2[[#This Row],[Popolazione2011]]/$D$7911</f>
        <v>2.3273786377639112E-5</v>
      </c>
      <c r="F3629">
        <f>SUMIFS($D$2:$D$7909, $B$2:$B$7909, "Lombardia")</f>
        <v>9704151</v>
      </c>
      <c r="G3629" s="1">
        <f>Comuni__2[[#This Row],[Popolazione2011]]/Comuni__2[[#This Row],[POPOLAZIONE TOTALE DI OGNI REGIONE (CON FILTRO)]]</f>
        <v>1.4251633141322719E-4</v>
      </c>
      <c r="H3629" t="str">
        <f>IF(Comuni__2[[#This Row],[Popolazione2011]]&gt;300000,"MAGGIORE","")</f>
        <v/>
      </c>
      <c r="J3629">
        <v>92</v>
      </c>
      <c r="K3629">
        <v>4016</v>
      </c>
      <c r="L3629">
        <v>555</v>
      </c>
    </row>
    <row r="3630" spans="1:12" x14ac:dyDescent="0.2">
      <c r="A3630"/>
      <c r="B3630"/>
      <c r="C3630"/>
      <c r="D3630"/>
      <c r="E3630" s="2">
        <f>Comuni__2[[#This Row],[Popolazione2011]]/$D$7911</f>
        <v>2.3256957898696496E-5</v>
      </c>
      <c r="F3630">
        <f>SUMIFS($D$2:$D$7909, $B$2:$B$7909, "Lombardia")</f>
        <v>9704151</v>
      </c>
      <c r="G3630" s="1">
        <f>Comuni__2[[#This Row],[Popolazione2011]]/Comuni__2[[#This Row],[POPOLAZIONE TOTALE DI OGNI REGIONE (CON FILTRO)]]</f>
        <v>1.4241328272818508E-4</v>
      </c>
      <c r="H3630" t="str">
        <f>IF(Comuni__2[[#This Row],[Popolazione2011]]&gt;300000,"MAGGIORE","")</f>
        <v/>
      </c>
      <c r="J3630">
        <v>98</v>
      </c>
      <c r="K3630">
        <v>4018</v>
      </c>
      <c r="L3630">
        <v>555</v>
      </c>
    </row>
    <row r="3631" spans="1:12" x14ac:dyDescent="0.2">
      <c r="A3631"/>
      <c r="B3631"/>
      <c r="C3631"/>
      <c r="D3631"/>
      <c r="E3631" s="2">
        <f>Comuni__2[[#This Row],[Popolazione2011]]/$D$7911</f>
        <v>2.3088673109270327E-5</v>
      </c>
      <c r="F3631">
        <f>SUMIFS($D$2:$D$7909, $B$2:$B$7909, "Lombardia")</f>
        <v>9704151</v>
      </c>
      <c r="G3631" s="1">
        <f>Comuni__2[[#This Row],[Popolazione2011]]/Comuni__2[[#This Row],[POPOLAZIONE TOTALE DI OGNI REGIONE (CON FILTRO)]]</f>
        <v>1.4138279587776407E-4</v>
      </c>
      <c r="H3631" t="str">
        <f>IF(Comuni__2[[#This Row],[Popolazione2011]]&gt;300000,"MAGGIORE","")</f>
        <v/>
      </c>
      <c r="J3631">
        <v>100</v>
      </c>
      <c r="K3631">
        <v>4024</v>
      </c>
      <c r="L3631">
        <v>556</v>
      </c>
    </row>
    <row r="3632" spans="1:12" x14ac:dyDescent="0.2">
      <c r="A3632"/>
      <c r="B3632"/>
      <c r="C3632"/>
      <c r="D3632"/>
      <c r="E3632" s="2">
        <f>Comuni__2[[#This Row],[Popolazione2011]]/$D$7911</f>
        <v>2.3088673109270327E-5</v>
      </c>
      <c r="F3632">
        <f>SUMIFS($D$2:$D$7909, $B$2:$B$7909, "Lombardia")</f>
        <v>9704151</v>
      </c>
      <c r="G3632" s="1">
        <f>Comuni__2[[#This Row],[Popolazione2011]]/Comuni__2[[#This Row],[POPOLAZIONE TOTALE DI OGNI REGIONE (CON FILTRO)]]</f>
        <v>1.4138279587776407E-4</v>
      </c>
      <c r="H3632" t="str">
        <f>IF(Comuni__2[[#This Row],[Popolazione2011]]&gt;300000,"MAGGIORE","")</f>
        <v/>
      </c>
      <c r="J3632">
        <v>109</v>
      </c>
      <c r="K3632">
        <v>4028</v>
      </c>
      <c r="L3632">
        <v>556</v>
      </c>
    </row>
    <row r="3633" spans="1:12" x14ac:dyDescent="0.2">
      <c r="A3633"/>
      <c r="B3633"/>
      <c r="C3633"/>
      <c r="D3633"/>
      <c r="E3633" s="2">
        <f>Comuni__2[[#This Row],[Popolazione2011]]/$D$7911</f>
        <v>2.3071844630327708E-5</v>
      </c>
      <c r="F3633">
        <f>SUMIFS($D$2:$D$7909, $B$2:$B$7909, "Lombardia")</f>
        <v>9704151</v>
      </c>
      <c r="G3633" s="1">
        <f>Comuni__2[[#This Row],[Popolazione2011]]/Comuni__2[[#This Row],[POPOLAZIONE TOTALE DI OGNI REGIONE (CON FILTRO)]]</f>
        <v>1.4127974719272196E-4</v>
      </c>
      <c r="H3633" t="str">
        <f>IF(Comuni__2[[#This Row],[Popolazione2011]]&gt;300000,"MAGGIORE","")</f>
        <v/>
      </c>
      <c r="J3633">
        <v>117</v>
      </c>
      <c r="K3633">
        <v>4029</v>
      </c>
      <c r="L3633">
        <v>556</v>
      </c>
    </row>
    <row r="3634" spans="1:12" x14ac:dyDescent="0.2">
      <c r="A3634"/>
      <c r="B3634"/>
      <c r="C3634"/>
      <c r="D3634"/>
      <c r="E3634" s="2">
        <f>Comuni__2[[#This Row],[Popolazione2011]]/$D$7911</f>
        <v>2.2937216798786776E-5</v>
      </c>
      <c r="F3634">
        <f>SUMIFS($D$2:$D$7909, $B$2:$B$7909, "Lombardia")</f>
        <v>9704151</v>
      </c>
      <c r="G3634" s="1">
        <f>Comuni__2[[#This Row],[Popolazione2011]]/Comuni__2[[#This Row],[POPOLAZIONE TOTALE DI OGNI REGIONE (CON FILTRO)]]</f>
        <v>1.4045535771238515E-4</v>
      </c>
      <c r="H3634" t="str">
        <f>IF(Comuni__2[[#This Row],[Popolazione2011]]&gt;300000,"MAGGIORE","")</f>
        <v/>
      </c>
      <c r="J3634">
        <v>122</v>
      </c>
      <c r="K3634">
        <v>4029</v>
      </c>
      <c r="L3634">
        <v>556</v>
      </c>
    </row>
    <row r="3635" spans="1:12" x14ac:dyDescent="0.2">
      <c r="A3635"/>
      <c r="B3635"/>
      <c r="C3635"/>
      <c r="D3635"/>
      <c r="E3635" s="2">
        <f>Comuni__2[[#This Row],[Popolazione2011]]/$D$7911</f>
        <v>2.2869902883016308E-5</v>
      </c>
      <c r="F3635">
        <f>SUMIFS($D$2:$D$7909, $B$2:$B$7909, "Lombardia")</f>
        <v>9704151</v>
      </c>
      <c r="G3635" s="1">
        <f>Comuni__2[[#This Row],[Popolazione2011]]/Comuni__2[[#This Row],[POPOLAZIONE TOTALE DI OGNI REGIONE (CON FILTRO)]]</f>
        <v>1.4004316297221674E-4</v>
      </c>
      <c r="H3635" t="str">
        <f>IF(Comuni__2[[#This Row],[Popolazione2011]]&gt;300000,"MAGGIORE","")</f>
        <v/>
      </c>
      <c r="J3635">
        <v>123</v>
      </c>
      <c r="K3635">
        <v>4040</v>
      </c>
      <c r="L3635">
        <v>556</v>
      </c>
    </row>
    <row r="3636" spans="1:12" x14ac:dyDescent="0.2">
      <c r="A3636"/>
      <c r="B3636"/>
      <c r="C3636"/>
      <c r="D3636"/>
      <c r="E3636" s="2">
        <f>Comuni__2[[#This Row],[Popolazione2011]]/$D$7911</f>
        <v>2.2466019388393504E-5</v>
      </c>
      <c r="F3636">
        <f>SUMIFS($D$2:$D$7909, $B$2:$B$7909, "Lombardia")</f>
        <v>9704151</v>
      </c>
      <c r="G3636" s="1">
        <f>Comuni__2[[#This Row],[Popolazione2011]]/Comuni__2[[#This Row],[POPOLAZIONE TOTALE DI OGNI REGIONE (CON FILTRO)]]</f>
        <v>1.3756999453120629E-4</v>
      </c>
      <c r="H3636" t="str">
        <f>IF(Comuni__2[[#This Row],[Popolazione2011]]&gt;300000,"MAGGIORE","")</f>
        <v/>
      </c>
      <c r="J3636">
        <v>130</v>
      </c>
      <c r="K3636">
        <v>4062</v>
      </c>
      <c r="L3636">
        <v>557</v>
      </c>
    </row>
    <row r="3637" spans="1:12" x14ac:dyDescent="0.2">
      <c r="A3637"/>
      <c r="B3637"/>
      <c r="C3637"/>
      <c r="D3637"/>
      <c r="E3637" s="2">
        <f>Comuni__2[[#This Row],[Popolazione2011]]/$D$7911</f>
        <v>2.2331391556852568E-5</v>
      </c>
      <c r="F3637">
        <f>SUMIFS($D$2:$D$7909, $B$2:$B$7909, "Lombardia")</f>
        <v>9704151</v>
      </c>
      <c r="G3637" s="1">
        <f>Comuni__2[[#This Row],[Popolazione2011]]/Comuni__2[[#This Row],[POPOLAZIONE TOTALE DI OGNI REGIONE (CON FILTRO)]]</f>
        <v>1.3674560505086948E-4</v>
      </c>
      <c r="H3637" t="str">
        <f>IF(Comuni__2[[#This Row],[Popolazione2011]]&gt;300000,"MAGGIORE","")</f>
        <v/>
      </c>
      <c r="J3637">
        <v>146</v>
      </c>
      <c r="K3637">
        <v>4067</v>
      </c>
      <c r="L3637">
        <v>557</v>
      </c>
    </row>
    <row r="3638" spans="1:12" x14ac:dyDescent="0.2">
      <c r="A3638"/>
      <c r="B3638"/>
      <c r="C3638"/>
      <c r="D3638"/>
      <c r="E3638" s="2">
        <f>Comuni__2[[#This Row],[Popolazione2011]]/$D$7911</f>
        <v>2.2314563077909952E-5</v>
      </c>
      <c r="F3638">
        <f>SUMIFS($D$2:$D$7909, $B$2:$B$7909, "Lombardia")</f>
        <v>9704151</v>
      </c>
      <c r="G3638" s="1">
        <f>Comuni__2[[#This Row],[Popolazione2011]]/Comuni__2[[#This Row],[POPOLAZIONE TOTALE DI OGNI REGIONE (CON FILTRO)]]</f>
        <v>1.3664255636582738E-4</v>
      </c>
      <c r="H3638" t="str">
        <f>IF(Comuni__2[[#This Row],[Popolazione2011]]&gt;300000,"MAGGIORE","")</f>
        <v/>
      </c>
      <c r="J3638">
        <v>154</v>
      </c>
      <c r="K3638">
        <v>4078</v>
      </c>
      <c r="L3638">
        <v>560</v>
      </c>
    </row>
    <row r="3639" spans="1:12" x14ac:dyDescent="0.2">
      <c r="A3639"/>
      <c r="B3639"/>
      <c r="C3639"/>
      <c r="D3639"/>
      <c r="E3639" s="2">
        <f>Comuni__2[[#This Row],[Popolazione2011]]/$D$7911</f>
        <v>2.2230420683196868E-5</v>
      </c>
      <c r="F3639">
        <f>SUMIFS($D$2:$D$7909, $B$2:$B$7909, "Lombardia")</f>
        <v>9704151</v>
      </c>
      <c r="G3639" s="1">
        <f>Comuni__2[[#This Row],[Popolazione2011]]/Comuni__2[[#This Row],[POPOLAZIONE TOTALE DI OGNI REGIONE (CON FILTRO)]]</f>
        <v>1.3612731294061685E-4</v>
      </c>
      <c r="H3639" t="str">
        <f>IF(Comuni__2[[#This Row],[Popolazione2011]]&gt;300000,"MAGGIORE","")</f>
        <v/>
      </c>
      <c r="J3639">
        <v>157</v>
      </c>
      <c r="K3639">
        <v>4095</v>
      </c>
      <c r="L3639">
        <v>560</v>
      </c>
    </row>
    <row r="3640" spans="1:12" x14ac:dyDescent="0.2">
      <c r="A3640"/>
      <c r="B3640"/>
      <c r="C3640"/>
      <c r="D3640"/>
      <c r="E3640" s="2">
        <f>Comuni__2[[#This Row],[Popolazione2011]]/$D$7911</f>
        <v>2.2196763725311632E-5</v>
      </c>
      <c r="F3640">
        <f>SUMIFS($D$2:$D$7909, $B$2:$B$7909, "Lombardia")</f>
        <v>9704151</v>
      </c>
      <c r="G3640" s="1">
        <f>Comuni__2[[#This Row],[Popolazione2011]]/Comuni__2[[#This Row],[POPOLAZIONE TOTALE DI OGNI REGIONE (CON FILTRO)]]</f>
        <v>1.3592121557053264E-4</v>
      </c>
      <c r="H3640" t="str">
        <f>IF(Comuni__2[[#This Row],[Popolazione2011]]&gt;300000,"MAGGIORE","")</f>
        <v/>
      </c>
      <c r="J3640">
        <v>155</v>
      </c>
      <c r="K3640">
        <v>4112</v>
      </c>
      <c r="L3640">
        <v>562</v>
      </c>
    </row>
    <row r="3641" spans="1:12" x14ac:dyDescent="0.2">
      <c r="A3641"/>
      <c r="B3641"/>
      <c r="C3641"/>
      <c r="D3641"/>
      <c r="E3641" s="2">
        <f>Comuni__2[[#This Row],[Popolazione2011]]/$D$7911</f>
        <v>2.2095792851655932E-5</v>
      </c>
      <c r="F3641">
        <f>SUMIFS($D$2:$D$7909, $B$2:$B$7909, "Lombardia")</f>
        <v>9704151</v>
      </c>
      <c r="G3641" s="1">
        <f>Comuni__2[[#This Row],[Popolazione2011]]/Comuni__2[[#This Row],[POPOLAZIONE TOTALE DI OGNI REGIONE (CON FILTRO)]]</f>
        <v>1.3530292346028005E-4</v>
      </c>
      <c r="H3641" t="str">
        <f>IF(Comuni__2[[#This Row],[Popolazione2011]]&gt;300000,"MAGGIORE","")</f>
        <v/>
      </c>
      <c r="J3641">
        <v>162</v>
      </c>
      <c r="K3641">
        <v>4126</v>
      </c>
      <c r="L3641">
        <v>563</v>
      </c>
    </row>
    <row r="3642" spans="1:12" x14ac:dyDescent="0.2">
      <c r="A3642"/>
      <c r="B3642"/>
      <c r="C3642"/>
      <c r="D3642"/>
      <c r="E3642" s="2">
        <f>Comuni__2[[#This Row],[Popolazione2011]]/$D$7911</f>
        <v>2.2028478935885464E-5</v>
      </c>
      <c r="F3642">
        <f>SUMIFS($D$2:$D$7909, $B$2:$B$7909, "Lombardia")</f>
        <v>9704151</v>
      </c>
      <c r="G3642" s="1">
        <f>Comuni__2[[#This Row],[Popolazione2011]]/Comuni__2[[#This Row],[POPOLAZIONE TOTALE DI OGNI REGIONE (CON FILTRO)]]</f>
        <v>1.3489072872011163E-4</v>
      </c>
      <c r="H3642" t="str">
        <f>IF(Comuni__2[[#This Row],[Popolazione2011]]&gt;300000,"MAGGIORE","")</f>
        <v/>
      </c>
      <c r="J3642">
        <v>173</v>
      </c>
      <c r="K3642">
        <v>4137</v>
      </c>
      <c r="L3642">
        <v>565</v>
      </c>
    </row>
    <row r="3643" spans="1:12" x14ac:dyDescent="0.2">
      <c r="A3643"/>
      <c r="B3643"/>
      <c r="C3643"/>
      <c r="D3643"/>
      <c r="E3643" s="2">
        <f>Comuni__2[[#This Row],[Popolazione2011]]/$D$7911</f>
        <v>2.194433654117238E-5</v>
      </c>
      <c r="F3643">
        <f>SUMIFS($D$2:$D$7909, $B$2:$B$7909, "Lombardia")</f>
        <v>9704151</v>
      </c>
      <c r="G3643" s="1">
        <f>Comuni__2[[#This Row],[Popolazione2011]]/Comuni__2[[#This Row],[POPOLAZIONE TOTALE DI OGNI REGIONE (CON FILTRO)]]</f>
        <v>1.3437548529490111E-4</v>
      </c>
      <c r="H3643" t="str">
        <f>IF(Comuni__2[[#This Row],[Popolazione2011]]&gt;300000,"MAGGIORE","")</f>
        <v/>
      </c>
      <c r="J3643">
        <v>170</v>
      </c>
      <c r="K3643">
        <v>4154</v>
      </c>
      <c r="L3643">
        <v>567</v>
      </c>
    </row>
    <row r="3644" spans="1:12" x14ac:dyDescent="0.2">
      <c r="A3644"/>
      <c r="B3644"/>
      <c r="C3644"/>
      <c r="D3644"/>
      <c r="E3644" s="2">
        <f>Comuni__2[[#This Row],[Popolazione2011]]/$D$7911</f>
        <v>2.1927508062229764E-5</v>
      </c>
      <c r="F3644">
        <f>SUMIFS($D$2:$D$7909, $B$2:$B$7909, "Lombardia")</f>
        <v>9704151</v>
      </c>
      <c r="G3644" s="1">
        <f>Comuni__2[[#This Row],[Popolazione2011]]/Comuni__2[[#This Row],[POPOLAZIONE TOTALE DI OGNI REGIONE (CON FILTRO)]]</f>
        <v>1.3427243660985903E-4</v>
      </c>
      <c r="H3644" t="str">
        <f>IF(Comuni__2[[#This Row],[Popolazione2011]]&gt;300000,"MAGGIORE","")</f>
        <v/>
      </c>
      <c r="J3644">
        <v>178</v>
      </c>
      <c r="K3644">
        <v>4158</v>
      </c>
      <c r="L3644">
        <v>567</v>
      </c>
    </row>
    <row r="3645" spans="1:12" x14ac:dyDescent="0.2">
      <c r="A3645"/>
      <c r="B3645"/>
      <c r="C3645"/>
      <c r="D3645"/>
      <c r="E3645" s="2">
        <f>Comuni__2[[#This Row],[Popolazione2011]]/$D$7911</f>
        <v>2.1910679583287148E-5</v>
      </c>
      <c r="F3645">
        <f>SUMIFS($D$2:$D$7909, $B$2:$B$7909, "Lombardia")</f>
        <v>9704151</v>
      </c>
      <c r="G3645" s="1">
        <f>Comuni__2[[#This Row],[Popolazione2011]]/Comuni__2[[#This Row],[POPOLAZIONE TOTALE DI OGNI REGIONE (CON FILTRO)]]</f>
        <v>1.3416938792481693E-4</v>
      </c>
      <c r="H3645" t="str">
        <f>IF(Comuni__2[[#This Row],[Popolazione2011]]&gt;300000,"MAGGIORE","")</f>
        <v/>
      </c>
      <c r="J3645">
        <v>187</v>
      </c>
      <c r="K3645">
        <v>4169</v>
      </c>
      <c r="L3645">
        <v>570</v>
      </c>
    </row>
    <row r="3646" spans="1:12" x14ac:dyDescent="0.2">
      <c r="A3646"/>
      <c r="B3646"/>
      <c r="C3646"/>
      <c r="D3646"/>
      <c r="E3646" s="2">
        <f>Comuni__2[[#This Row],[Popolazione2011]]/$D$7911</f>
        <v>2.1893851104344528E-5</v>
      </c>
      <c r="F3646">
        <f>SUMIFS($D$2:$D$7909, $B$2:$B$7909, "Lombardia")</f>
        <v>9704151</v>
      </c>
      <c r="G3646" s="1">
        <f>Comuni__2[[#This Row],[Popolazione2011]]/Comuni__2[[#This Row],[POPOLAZIONE TOTALE DI OGNI REGIONE (CON FILTRO)]]</f>
        <v>1.3406633923977482E-4</v>
      </c>
      <c r="H3646" t="str">
        <f>IF(Comuni__2[[#This Row],[Popolazione2011]]&gt;300000,"MAGGIORE","")</f>
        <v/>
      </c>
      <c r="J3646">
        <v>196</v>
      </c>
      <c r="K3646">
        <v>4175</v>
      </c>
      <c r="L3646">
        <v>570</v>
      </c>
    </row>
    <row r="3647" spans="1:12" x14ac:dyDescent="0.2">
      <c r="A3647"/>
      <c r="B3647"/>
      <c r="C3647"/>
      <c r="D3647"/>
      <c r="E3647" s="2">
        <f>Comuni__2[[#This Row],[Popolazione2011]]/$D$7911</f>
        <v>2.184336566751668E-5</v>
      </c>
      <c r="F3647">
        <f>SUMIFS($D$2:$D$7909, $B$2:$B$7909, "Lombardia")</f>
        <v>9704151</v>
      </c>
      <c r="G3647" s="1">
        <f>Comuni__2[[#This Row],[Popolazione2011]]/Comuni__2[[#This Row],[POPOLAZIONE TOTALE DI OGNI REGIONE (CON FILTRO)]]</f>
        <v>1.3375719318464851E-4</v>
      </c>
      <c r="H3647" t="str">
        <f>IF(Comuni__2[[#This Row],[Popolazione2011]]&gt;300000,"MAGGIORE","")</f>
        <v/>
      </c>
      <c r="J3647">
        <v>197</v>
      </c>
      <c r="K3647">
        <v>4198</v>
      </c>
      <c r="L3647">
        <v>570</v>
      </c>
    </row>
    <row r="3648" spans="1:12" x14ac:dyDescent="0.2">
      <c r="A3648"/>
      <c r="B3648"/>
      <c r="C3648"/>
      <c r="D3648"/>
      <c r="E3648" s="2">
        <f>Comuni__2[[#This Row],[Popolazione2011]]/$D$7911</f>
        <v>2.184336566751668E-5</v>
      </c>
      <c r="F3648">
        <f>SUMIFS($D$2:$D$7909, $B$2:$B$7909, "Lombardia")</f>
        <v>9704151</v>
      </c>
      <c r="G3648" s="1">
        <f>Comuni__2[[#This Row],[Popolazione2011]]/Comuni__2[[#This Row],[POPOLAZIONE TOTALE DI OGNI REGIONE (CON FILTRO)]]</f>
        <v>1.3375719318464851E-4</v>
      </c>
      <c r="H3648" t="str">
        <f>IF(Comuni__2[[#This Row],[Popolazione2011]]&gt;300000,"MAGGIORE","")</f>
        <v/>
      </c>
      <c r="J3648">
        <v>204</v>
      </c>
      <c r="K3648">
        <v>4201</v>
      </c>
      <c r="L3648">
        <v>570</v>
      </c>
    </row>
    <row r="3649" spans="1:12" x14ac:dyDescent="0.2">
      <c r="A3649"/>
      <c r="B3649"/>
      <c r="C3649"/>
      <c r="D3649"/>
      <c r="E3649" s="2">
        <f>Comuni__2[[#This Row],[Popolazione2011]]/$D$7911</f>
        <v>2.184336566751668E-5</v>
      </c>
      <c r="F3649">
        <f>SUMIFS($D$2:$D$7909, $B$2:$B$7909, "Lombardia")</f>
        <v>9704151</v>
      </c>
      <c r="G3649" s="1">
        <f>Comuni__2[[#This Row],[Popolazione2011]]/Comuni__2[[#This Row],[POPOLAZIONE TOTALE DI OGNI REGIONE (CON FILTRO)]]</f>
        <v>1.3375719318464851E-4</v>
      </c>
      <c r="H3649" t="str">
        <f>IF(Comuni__2[[#This Row],[Popolazione2011]]&gt;300000,"MAGGIORE","")</f>
        <v/>
      </c>
      <c r="J3649">
        <v>214</v>
      </c>
      <c r="K3649">
        <v>4225</v>
      </c>
      <c r="L3649">
        <v>572</v>
      </c>
    </row>
    <row r="3650" spans="1:12" x14ac:dyDescent="0.2">
      <c r="A3650"/>
      <c r="B3650"/>
      <c r="C3650"/>
      <c r="D3650"/>
      <c r="E3650" s="2">
        <f>Comuni__2[[#This Row],[Popolazione2011]]/$D$7911</f>
        <v>2.184336566751668E-5</v>
      </c>
      <c r="F3650">
        <f>SUMIFS($D$2:$D$7909, $B$2:$B$7909, "Lombardia")</f>
        <v>9704151</v>
      </c>
      <c r="G3650" s="1">
        <f>Comuni__2[[#This Row],[Popolazione2011]]/Comuni__2[[#This Row],[POPOLAZIONE TOTALE DI OGNI REGIONE (CON FILTRO)]]</f>
        <v>1.3375719318464851E-4</v>
      </c>
      <c r="H3650" t="str">
        <f>IF(Comuni__2[[#This Row],[Popolazione2011]]&gt;300000,"MAGGIORE","")</f>
        <v/>
      </c>
      <c r="J3650">
        <v>217</v>
      </c>
      <c r="K3650">
        <v>4237</v>
      </c>
      <c r="L3650">
        <v>573</v>
      </c>
    </row>
    <row r="3651" spans="1:12" x14ac:dyDescent="0.2">
      <c r="A3651"/>
      <c r="B3651"/>
      <c r="C3651"/>
      <c r="D3651"/>
      <c r="E3651" s="2">
        <f>Comuni__2[[#This Row],[Popolazione2011]]/$D$7911</f>
        <v>2.182653718857406E-5</v>
      </c>
      <c r="F3651">
        <f>SUMIFS($D$2:$D$7909, $B$2:$B$7909, "Lombardia")</f>
        <v>9704151</v>
      </c>
      <c r="G3651" s="1">
        <f>Comuni__2[[#This Row],[Popolazione2011]]/Comuni__2[[#This Row],[POPOLAZIONE TOTALE DI OGNI REGIONE (CON FILTRO)]]</f>
        <v>1.336541444996064E-4</v>
      </c>
      <c r="H3651" t="str">
        <f>IF(Comuni__2[[#This Row],[Popolazione2011]]&gt;300000,"MAGGIORE","")</f>
        <v/>
      </c>
      <c r="J3651">
        <v>218</v>
      </c>
      <c r="K3651">
        <v>4252</v>
      </c>
      <c r="L3651">
        <v>574</v>
      </c>
    </row>
    <row r="3652" spans="1:12" x14ac:dyDescent="0.2">
      <c r="A3652"/>
      <c r="B3652"/>
      <c r="C3652"/>
      <c r="D3652"/>
      <c r="E3652" s="2">
        <f>Comuni__2[[#This Row],[Popolazione2011]]/$D$7911</f>
        <v>2.1792880230688828E-5</v>
      </c>
      <c r="F3652">
        <f>SUMIFS($D$2:$D$7909, $B$2:$B$7909, "Lombardia")</f>
        <v>9704151</v>
      </c>
      <c r="G3652" s="1">
        <f>Comuni__2[[#This Row],[Popolazione2011]]/Comuni__2[[#This Row],[POPOLAZIONE TOTALE DI OGNI REGIONE (CON FILTRO)]]</f>
        <v>1.334480471295222E-4</v>
      </c>
      <c r="H3652" t="str">
        <f>IF(Comuni__2[[#This Row],[Popolazione2011]]&gt;300000,"MAGGIORE","")</f>
        <v/>
      </c>
      <c r="J3652">
        <v>214</v>
      </c>
      <c r="K3652">
        <v>4262</v>
      </c>
      <c r="L3652">
        <v>575</v>
      </c>
    </row>
    <row r="3653" spans="1:12" x14ac:dyDescent="0.2">
      <c r="A3653"/>
      <c r="B3653"/>
      <c r="C3653"/>
      <c r="D3653"/>
      <c r="E3653" s="2">
        <f>Comuni__2[[#This Row],[Popolazione2011]]/$D$7911</f>
        <v>2.1641423920205276E-5</v>
      </c>
      <c r="F3653">
        <f>SUMIFS($D$2:$D$7909, $B$2:$B$7909, "Lombardia")</f>
        <v>9704151</v>
      </c>
      <c r="G3653" s="1">
        <f>Comuni__2[[#This Row],[Popolazione2011]]/Comuni__2[[#This Row],[POPOLAZIONE TOTALE DI OGNI REGIONE (CON FILTRO)]]</f>
        <v>1.3252060896414328E-4</v>
      </c>
      <c r="H3653" t="str">
        <f>IF(Comuni__2[[#This Row],[Popolazione2011]]&gt;300000,"MAGGIORE","")</f>
        <v/>
      </c>
      <c r="J3653">
        <v>212</v>
      </c>
      <c r="K3653">
        <v>4273</v>
      </c>
      <c r="L3653">
        <v>577</v>
      </c>
    </row>
    <row r="3654" spans="1:12" x14ac:dyDescent="0.2">
      <c r="A3654"/>
      <c r="B3654"/>
      <c r="C3654"/>
      <c r="D3654"/>
      <c r="E3654" s="2">
        <f>Comuni__2[[#This Row],[Popolazione2011]]/$D$7911</f>
        <v>2.1590938483377425E-5</v>
      </c>
      <c r="F3654">
        <f>SUMIFS($D$2:$D$7909, $B$2:$B$7909, "Lombardia")</f>
        <v>9704151</v>
      </c>
      <c r="G3654" s="1">
        <f>Comuni__2[[#This Row],[Popolazione2011]]/Comuni__2[[#This Row],[POPOLAZIONE TOTALE DI OGNI REGIONE (CON FILTRO)]]</f>
        <v>1.3221146290901697E-4</v>
      </c>
      <c r="H3654" t="str">
        <f>IF(Comuni__2[[#This Row],[Popolazione2011]]&gt;300000,"MAGGIORE","")</f>
        <v/>
      </c>
      <c r="J3654">
        <v>214</v>
      </c>
      <c r="K3654">
        <v>4278</v>
      </c>
      <c r="L3654">
        <v>578</v>
      </c>
    </row>
    <row r="3655" spans="1:12" x14ac:dyDescent="0.2">
      <c r="A3655"/>
      <c r="B3655"/>
      <c r="C3655"/>
      <c r="D3655"/>
      <c r="E3655" s="2">
        <f>Comuni__2[[#This Row],[Popolazione2011]]/$D$7911</f>
        <v>2.1557281525492192E-5</v>
      </c>
      <c r="F3655">
        <f>SUMIFS($D$2:$D$7909, $B$2:$B$7909, "Lombardia")</f>
        <v>9704151</v>
      </c>
      <c r="G3655" s="1">
        <f>Comuni__2[[#This Row],[Popolazione2011]]/Comuni__2[[#This Row],[POPOLAZIONE TOTALE DI OGNI REGIONE (CON FILTRO)]]</f>
        <v>1.3200536553893276E-4</v>
      </c>
      <c r="H3655" t="str">
        <f>IF(Comuni__2[[#This Row],[Popolazione2011]]&gt;300000,"MAGGIORE","")</f>
        <v/>
      </c>
      <c r="J3655">
        <v>210</v>
      </c>
      <c r="K3655">
        <v>4287</v>
      </c>
      <c r="L3655">
        <v>579</v>
      </c>
    </row>
    <row r="3656" spans="1:12" x14ac:dyDescent="0.2">
      <c r="A3656"/>
      <c r="B3656"/>
      <c r="C3656"/>
      <c r="D3656"/>
      <c r="E3656" s="2">
        <f>Comuni__2[[#This Row],[Popolazione2011]]/$D$7911</f>
        <v>2.1422653693951256E-5</v>
      </c>
      <c r="F3656">
        <f>SUMIFS($D$2:$D$7909, $B$2:$B$7909, "Lombardia")</f>
        <v>9704151</v>
      </c>
      <c r="G3656" s="1">
        <f>Comuni__2[[#This Row],[Popolazione2011]]/Comuni__2[[#This Row],[POPOLAZIONE TOTALE DI OGNI REGIONE (CON FILTRO)]]</f>
        <v>1.3118097605859595E-4</v>
      </c>
      <c r="H3656" t="str">
        <f>IF(Comuni__2[[#This Row],[Popolazione2011]]&gt;300000,"MAGGIORE","")</f>
        <v/>
      </c>
      <c r="J3656">
        <v>212</v>
      </c>
      <c r="K3656">
        <v>4306</v>
      </c>
      <c r="L3656">
        <v>580</v>
      </c>
    </row>
    <row r="3657" spans="1:12" x14ac:dyDescent="0.2">
      <c r="A3657"/>
      <c r="B3657"/>
      <c r="C3657"/>
      <c r="D3657"/>
      <c r="E3657" s="2">
        <f>Comuni__2[[#This Row],[Popolazione2011]]/$D$7911</f>
        <v>2.1388996736066024E-5</v>
      </c>
      <c r="F3657">
        <f>SUMIFS($D$2:$D$7909, $B$2:$B$7909, "Lombardia")</f>
        <v>9704151</v>
      </c>
      <c r="G3657" s="1">
        <f>Comuni__2[[#This Row],[Popolazione2011]]/Comuni__2[[#This Row],[POPOLAZIONE TOTALE DI OGNI REGIONE (CON FILTRO)]]</f>
        <v>1.3097487868851175E-4</v>
      </c>
      <c r="H3657" t="str">
        <f>IF(Comuni__2[[#This Row],[Popolazione2011]]&gt;300000,"MAGGIORE","")</f>
        <v/>
      </c>
      <c r="J3657">
        <v>214</v>
      </c>
      <c r="K3657">
        <v>4371</v>
      </c>
      <c r="L3657">
        <v>581</v>
      </c>
    </row>
    <row r="3658" spans="1:12" x14ac:dyDescent="0.2">
      <c r="A3658"/>
      <c r="B3658"/>
      <c r="C3658"/>
      <c r="D3658"/>
      <c r="E3658" s="2">
        <f>Comuni__2[[#This Row],[Popolazione2011]]/$D$7911</f>
        <v>2.1372168257123408E-5</v>
      </c>
      <c r="F3658">
        <f>SUMIFS($D$2:$D$7909, $B$2:$B$7909, "Lombardia")</f>
        <v>9704151</v>
      </c>
      <c r="G3658" s="1">
        <f>Comuni__2[[#This Row],[Popolazione2011]]/Comuni__2[[#This Row],[POPOLAZIONE TOTALE DI OGNI REGIONE (CON FILTRO)]]</f>
        <v>1.3087183000346964E-4</v>
      </c>
      <c r="H3658" t="str">
        <f>IF(Comuni__2[[#This Row],[Popolazione2011]]&gt;300000,"MAGGIORE","")</f>
        <v/>
      </c>
      <c r="J3658">
        <v>214</v>
      </c>
      <c r="K3658">
        <v>4426</v>
      </c>
      <c r="L3658">
        <v>583</v>
      </c>
    </row>
    <row r="3659" spans="1:12" x14ac:dyDescent="0.2">
      <c r="A3659"/>
      <c r="B3659"/>
      <c r="C3659"/>
      <c r="D3659"/>
      <c r="E3659" s="2">
        <f>Comuni__2[[#This Row],[Popolazione2011]]/$D$7911</f>
        <v>2.1338511299238172E-5</v>
      </c>
      <c r="F3659">
        <f>SUMIFS($D$2:$D$7909, $B$2:$B$7909, "Lombardia")</f>
        <v>9704151</v>
      </c>
      <c r="G3659" s="1">
        <f>Comuni__2[[#This Row],[Popolazione2011]]/Comuni__2[[#This Row],[POPOLAZIONE TOTALE DI OGNI REGIONE (CON FILTRO)]]</f>
        <v>1.3066573263338543E-4</v>
      </c>
      <c r="H3659" t="str">
        <f>IF(Comuni__2[[#This Row],[Popolazione2011]]&gt;300000,"MAGGIORE","")</f>
        <v/>
      </c>
      <c r="J3659">
        <v>217</v>
      </c>
      <c r="K3659">
        <v>4455</v>
      </c>
      <c r="L3659">
        <v>586</v>
      </c>
    </row>
    <row r="3660" spans="1:12" x14ac:dyDescent="0.2">
      <c r="A3660"/>
      <c r="B3660"/>
      <c r="C3660"/>
      <c r="D3660"/>
      <c r="E3660" s="2">
        <f>Comuni__2[[#This Row],[Popolazione2011]]/$D$7911</f>
        <v>2.1288025862410324E-5</v>
      </c>
      <c r="F3660">
        <f>SUMIFS($D$2:$D$7909, $B$2:$B$7909, "Lombardia")</f>
        <v>9704151</v>
      </c>
      <c r="G3660" s="1">
        <f>Comuni__2[[#This Row],[Popolazione2011]]/Comuni__2[[#This Row],[POPOLAZIONE TOTALE DI OGNI REGIONE (CON FILTRO)]]</f>
        <v>1.3035658657825915E-4</v>
      </c>
      <c r="H3660" t="str">
        <f>IF(Comuni__2[[#This Row],[Popolazione2011]]&gt;300000,"MAGGIORE","")</f>
        <v/>
      </c>
      <c r="J3660">
        <v>218</v>
      </c>
      <c r="K3660">
        <v>4498</v>
      </c>
      <c r="L3660">
        <v>587</v>
      </c>
    </row>
    <row r="3661" spans="1:12" x14ac:dyDescent="0.2">
      <c r="A3661"/>
      <c r="B3661"/>
      <c r="C3661"/>
      <c r="D3661"/>
      <c r="E3661" s="2">
        <f>Comuni__2[[#This Row],[Popolazione2011]]/$D$7911</f>
        <v>2.1220711946639856E-5</v>
      </c>
      <c r="F3661">
        <f>SUMIFS($D$2:$D$7909, $B$2:$B$7909, "Lombardia")</f>
        <v>9704151</v>
      </c>
      <c r="G3661" s="1">
        <f>Comuni__2[[#This Row],[Popolazione2011]]/Comuni__2[[#This Row],[POPOLAZIONE TOTALE DI OGNI REGIONE (CON FILTRO)]]</f>
        <v>1.2994439183809073E-4</v>
      </c>
      <c r="H3661" t="str">
        <f>IF(Comuni__2[[#This Row],[Popolazione2011]]&gt;300000,"MAGGIORE","")</f>
        <v/>
      </c>
      <c r="J3661">
        <v>214</v>
      </c>
      <c r="K3661">
        <v>4518</v>
      </c>
      <c r="L3661">
        <v>590</v>
      </c>
    </row>
    <row r="3662" spans="1:12" x14ac:dyDescent="0.2">
      <c r="A3662"/>
      <c r="B3662"/>
      <c r="C3662"/>
      <c r="D3662"/>
      <c r="E3662" s="2">
        <f>Comuni__2[[#This Row],[Popolazione2011]]/$D$7911</f>
        <v>2.1203883467697237E-5</v>
      </c>
      <c r="F3662">
        <f>SUMIFS($D$2:$D$7909, $B$2:$B$7909, "Lombardia")</f>
        <v>9704151</v>
      </c>
      <c r="G3662" s="1">
        <f>Comuni__2[[#This Row],[Popolazione2011]]/Comuni__2[[#This Row],[POPOLAZIONE TOTALE DI OGNI REGIONE (CON FILTRO)]]</f>
        <v>1.2984134315304863E-4</v>
      </c>
      <c r="H3662" t="str">
        <f>IF(Comuni__2[[#This Row],[Popolazione2011]]&gt;300000,"MAGGIORE","")</f>
        <v/>
      </c>
      <c r="J3662">
        <v>222</v>
      </c>
      <c r="K3662">
        <v>4527</v>
      </c>
      <c r="L3662">
        <v>590</v>
      </c>
    </row>
    <row r="3663" spans="1:12" x14ac:dyDescent="0.2">
      <c r="A3663"/>
      <c r="B3663"/>
      <c r="C3663"/>
      <c r="D3663"/>
      <c r="E3663" s="2">
        <f>Comuni__2[[#This Row],[Popolazione2011]]/$D$7911</f>
        <v>2.1069255636156304E-5</v>
      </c>
      <c r="F3663">
        <f>SUMIFS($D$2:$D$7909, $B$2:$B$7909, "Lombardia")</f>
        <v>9704151</v>
      </c>
      <c r="G3663" s="1">
        <f>Comuni__2[[#This Row],[Popolazione2011]]/Comuni__2[[#This Row],[POPOLAZIONE TOTALE DI OGNI REGIONE (CON FILTRO)]]</f>
        <v>1.2901695367271182E-4</v>
      </c>
      <c r="H3663" t="str">
        <f>IF(Comuni__2[[#This Row],[Popolazione2011]]&gt;300000,"MAGGIORE","")</f>
        <v/>
      </c>
      <c r="J3663">
        <v>229</v>
      </c>
      <c r="K3663">
        <v>4600</v>
      </c>
      <c r="L3663">
        <v>592</v>
      </c>
    </row>
    <row r="3664" spans="1:12" x14ac:dyDescent="0.2">
      <c r="A3664"/>
      <c r="B3664"/>
      <c r="C3664"/>
      <c r="D3664"/>
      <c r="E3664" s="2">
        <f>Comuni__2[[#This Row],[Popolazione2011]]/$D$7911</f>
        <v>2.1035598678271069E-5</v>
      </c>
      <c r="F3664">
        <f>SUMIFS($D$2:$D$7909, $B$2:$B$7909, "Lombardia")</f>
        <v>9704151</v>
      </c>
      <c r="G3664" s="1">
        <f>Comuni__2[[#This Row],[Popolazione2011]]/Comuni__2[[#This Row],[POPOLAZIONE TOTALE DI OGNI REGIONE (CON FILTRO)]]</f>
        <v>1.2881085630262761E-4</v>
      </c>
      <c r="H3664" t="str">
        <f>IF(Comuni__2[[#This Row],[Popolazione2011]]&gt;300000,"MAGGIORE","")</f>
        <v/>
      </c>
      <c r="J3664">
        <v>224</v>
      </c>
      <c r="K3664">
        <v>4662</v>
      </c>
      <c r="L3664">
        <v>592</v>
      </c>
    </row>
    <row r="3665" spans="1:12" x14ac:dyDescent="0.2">
      <c r="A3665"/>
      <c r="B3665"/>
      <c r="C3665"/>
      <c r="D3665"/>
      <c r="E3665" s="2">
        <f>Comuni__2[[#This Row],[Popolazione2011]]/$D$7911</f>
        <v>2.1035598678271069E-5</v>
      </c>
      <c r="F3665">
        <f>SUMIFS($D$2:$D$7909, $B$2:$B$7909, "Lombardia")</f>
        <v>9704151</v>
      </c>
      <c r="G3665" s="1">
        <f>Comuni__2[[#This Row],[Popolazione2011]]/Comuni__2[[#This Row],[POPOLAZIONE TOTALE DI OGNI REGIONE (CON FILTRO)]]</f>
        <v>1.2881085630262761E-4</v>
      </c>
      <c r="H3665" t="str">
        <f>IF(Comuni__2[[#This Row],[Popolazione2011]]&gt;300000,"MAGGIORE","")</f>
        <v/>
      </c>
      <c r="J3665">
        <v>229</v>
      </c>
      <c r="K3665">
        <v>4675</v>
      </c>
      <c r="L3665">
        <v>595</v>
      </c>
    </row>
    <row r="3666" spans="1:12" x14ac:dyDescent="0.2">
      <c r="A3666"/>
      <c r="B3666"/>
      <c r="C3666"/>
      <c r="D3666"/>
      <c r="E3666" s="2">
        <f>Comuni__2[[#This Row],[Popolazione2011]]/$D$7911</f>
        <v>2.0968284762500601E-5</v>
      </c>
      <c r="F3666">
        <f>SUMIFS($D$2:$D$7909, $B$2:$B$7909, "Lombardia")</f>
        <v>9704151</v>
      </c>
      <c r="G3666" s="1">
        <f>Comuni__2[[#This Row],[Popolazione2011]]/Comuni__2[[#This Row],[POPOLAZIONE TOTALE DI OGNI REGIONE (CON FILTRO)]]</f>
        <v>1.2839866156245919E-4</v>
      </c>
      <c r="H3666" t="str">
        <f>IF(Comuni__2[[#This Row],[Popolazione2011]]&gt;300000,"MAGGIORE","")</f>
        <v/>
      </c>
      <c r="J3666">
        <v>231</v>
      </c>
      <c r="K3666">
        <v>4697</v>
      </c>
      <c r="L3666">
        <v>596</v>
      </c>
    </row>
    <row r="3667" spans="1:12" x14ac:dyDescent="0.2">
      <c r="A3667"/>
      <c r="B3667"/>
      <c r="C3667"/>
      <c r="D3667"/>
      <c r="E3667" s="2">
        <f>Comuni__2[[#This Row],[Popolazione2011]]/$D$7911</f>
        <v>2.0900970846730136E-5</v>
      </c>
      <c r="F3667">
        <f>SUMIFS($D$2:$D$7909, $B$2:$B$7909, "Lombardia")</f>
        <v>9704151</v>
      </c>
      <c r="G3667" s="1">
        <f>Comuni__2[[#This Row],[Popolazione2011]]/Comuni__2[[#This Row],[POPOLAZIONE TOTALE DI OGNI REGIONE (CON FILTRO)]]</f>
        <v>1.279864668222908E-4</v>
      </c>
      <c r="H3667" t="str">
        <f>IF(Comuni__2[[#This Row],[Popolazione2011]]&gt;300000,"MAGGIORE","")</f>
        <v/>
      </c>
      <c r="J3667">
        <v>236</v>
      </c>
      <c r="K3667">
        <v>4712</v>
      </c>
      <c r="L3667">
        <v>597</v>
      </c>
    </row>
    <row r="3668" spans="1:12" x14ac:dyDescent="0.2">
      <c r="A3668"/>
      <c r="B3668"/>
      <c r="C3668"/>
      <c r="D3668"/>
      <c r="E3668" s="2">
        <f>Comuni__2[[#This Row],[Popolazione2011]]/$D$7911</f>
        <v>2.0884142367787517E-5</v>
      </c>
      <c r="F3668">
        <f>SUMIFS($D$2:$D$7909, $B$2:$B$7909, "Lombardia")</f>
        <v>9704151</v>
      </c>
      <c r="G3668" s="1">
        <f>Comuni__2[[#This Row],[Popolazione2011]]/Comuni__2[[#This Row],[POPOLAZIONE TOTALE DI OGNI REGIONE (CON FILTRO)]]</f>
        <v>1.278834181372487E-4</v>
      </c>
      <c r="H3668" t="str">
        <f>IF(Comuni__2[[#This Row],[Popolazione2011]]&gt;300000,"MAGGIORE","")</f>
        <v/>
      </c>
      <c r="J3668">
        <v>238</v>
      </c>
      <c r="K3668">
        <v>4724</v>
      </c>
      <c r="L3668">
        <v>598</v>
      </c>
    </row>
    <row r="3669" spans="1:12" x14ac:dyDescent="0.2">
      <c r="A3669"/>
      <c r="B3669"/>
      <c r="C3669"/>
      <c r="D3669"/>
      <c r="E3669" s="2">
        <f>Comuni__2[[#This Row],[Popolazione2011]]/$D$7911</f>
        <v>2.0867313888844901E-5</v>
      </c>
      <c r="F3669">
        <f>SUMIFS($D$2:$D$7909, $B$2:$B$7909, "Lombardia")</f>
        <v>9704151</v>
      </c>
      <c r="G3669" s="1">
        <f>Comuni__2[[#This Row],[Popolazione2011]]/Comuni__2[[#This Row],[POPOLAZIONE TOTALE DI OGNI REGIONE (CON FILTRO)]]</f>
        <v>1.2778036945220659E-4</v>
      </c>
      <c r="H3669" t="str">
        <f>IF(Comuni__2[[#This Row],[Popolazione2011]]&gt;300000,"MAGGIORE","")</f>
        <v/>
      </c>
      <c r="J3669">
        <v>244</v>
      </c>
      <c r="K3669">
        <v>4739</v>
      </c>
      <c r="L3669">
        <v>598</v>
      </c>
    </row>
    <row r="3670" spans="1:12" x14ac:dyDescent="0.2">
      <c r="A3670"/>
      <c r="B3670"/>
      <c r="C3670"/>
      <c r="D3670"/>
      <c r="E3670" s="2">
        <f>Comuni__2[[#This Row],[Popolazione2011]]/$D$7911</f>
        <v>2.0850485409902284E-5</v>
      </c>
      <c r="F3670">
        <f>SUMIFS($D$2:$D$7909, $B$2:$B$7909, "Lombardia")</f>
        <v>9704151</v>
      </c>
      <c r="G3670" s="1">
        <f>Comuni__2[[#This Row],[Popolazione2011]]/Comuni__2[[#This Row],[POPOLAZIONE TOTALE DI OGNI REGIONE (CON FILTRO)]]</f>
        <v>1.2767732076716449E-4</v>
      </c>
      <c r="H3670" t="str">
        <f>IF(Comuni__2[[#This Row],[Popolazione2011]]&gt;300000,"MAGGIORE","")</f>
        <v/>
      </c>
      <c r="J3670">
        <v>253</v>
      </c>
      <c r="K3670">
        <v>4762</v>
      </c>
      <c r="L3670">
        <v>599</v>
      </c>
    </row>
    <row r="3671" spans="1:12" x14ac:dyDescent="0.2">
      <c r="A3671"/>
      <c r="B3671"/>
      <c r="C3671"/>
      <c r="D3671"/>
      <c r="E3671" s="2">
        <f>Comuni__2[[#This Row],[Popolazione2011]]/$D$7911</f>
        <v>2.0816828452017052E-5</v>
      </c>
      <c r="F3671">
        <f>SUMIFS($D$2:$D$7909, $B$2:$B$7909, "Lombardia")</f>
        <v>9704151</v>
      </c>
      <c r="G3671" s="1">
        <f>Comuni__2[[#This Row],[Popolazione2011]]/Comuni__2[[#This Row],[POPOLAZIONE TOTALE DI OGNI REGIONE (CON FILTRO)]]</f>
        <v>1.2747122339708028E-4</v>
      </c>
      <c r="H3671" t="str">
        <f>IF(Comuni__2[[#This Row],[Popolazione2011]]&gt;300000,"MAGGIORE","")</f>
        <v/>
      </c>
      <c r="J3671">
        <v>265</v>
      </c>
      <c r="K3671">
        <v>4829</v>
      </c>
      <c r="L3671">
        <v>603</v>
      </c>
    </row>
    <row r="3672" spans="1:12" x14ac:dyDescent="0.2">
      <c r="A3672"/>
      <c r="B3672"/>
      <c r="C3672"/>
      <c r="D3672"/>
      <c r="E3672" s="2">
        <f>Comuni__2[[#This Row],[Popolazione2011]]/$D$7911</f>
        <v>2.0783171494131817E-5</v>
      </c>
      <c r="F3672">
        <f>SUMIFS($D$2:$D$7909, $B$2:$B$7909, "Lombardia")</f>
        <v>9704151</v>
      </c>
      <c r="G3672" s="1">
        <f>Comuni__2[[#This Row],[Popolazione2011]]/Comuni__2[[#This Row],[POPOLAZIONE TOTALE DI OGNI REGIONE (CON FILTRO)]]</f>
        <v>1.2726512602699607E-4</v>
      </c>
      <c r="H3672" t="str">
        <f>IF(Comuni__2[[#This Row],[Popolazione2011]]&gt;300000,"MAGGIORE","")</f>
        <v/>
      </c>
      <c r="J3672">
        <v>274</v>
      </c>
      <c r="K3672">
        <v>4883</v>
      </c>
      <c r="L3672">
        <v>603</v>
      </c>
    </row>
    <row r="3673" spans="1:12" x14ac:dyDescent="0.2">
      <c r="A3673"/>
      <c r="B3673"/>
      <c r="C3673"/>
      <c r="D3673"/>
      <c r="E3673" s="2">
        <f>Comuni__2[[#This Row],[Popolazione2011]]/$D$7911</f>
        <v>2.0783171494131817E-5</v>
      </c>
      <c r="F3673">
        <f>SUMIFS($D$2:$D$7909, $B$2:$B$7909, "Lombardia")</f>
        <v>9704151</v>
      </c>
      <c r="G3673" s="1">
        <f>Comuni__2[[#This Row],[Popolazione2011]]/Comuni__2[[#This Row],[POPOLAZIONE TOTALE DI OGNI REGIONE (CON FILTRO)]]</f>
        <v>1.2726512602699607E-4</v>
      </c>
      <c r="H3673" t="str">
        <f>IF(Comuni__2[[#This Row],[Popolazione2011]]&gt;300000,"MAGGIORE","")</f>
        <v/>
      </c>
      <c r="J3673">
        <v>301</v>
      </c>
      <c r="K3673">
        <v>4929</v>
      </c>
      <c r="L3673">
        <v>604</v>
      </c>
    </row>
    <row r="3674" spans="1:12" x14ac:dyDescent="0.2">
      <c r="A3674"/>
      <c r="B3674"/>
      <c r="C3674"/>
      <c r="D3674"/>
      <c r="E3674" s="2">
        <f>Comuni__2[[#This Row],[Popolazione2011]]/$D$7911</f>
        <v>2.07663430151892E-5</v>
      </c>
      <c r="F3674">
        <f>SUMIFS($D$2:$D$7909, $B$2:$B$7909, "Lombardia")</f>
        <v>9704151</v>
      </c>
      <c r="G3674" s="1">
        <f>Comuni__2[[#This Row],[Popolazione2011]]/Comuni__2[[#This Row],[POPOLAZIONE TOTALE DI OGNI REGIONE (CON FILTRO)]]</f>
        <v>1.2716207734195397E-4</v>
      </c>
      <c r="H3674" t="str">
        <f>IF(Comuni__2[[#This Row],[Popolazione2011]]&gt;300000,"MAGGIORE","")</f>
        <v/>
      </c>
      <c r="J3674">
        <v>323</v>
      </c>
      <c r="K3674">
        <v>4960</v>
      </c>
      <c r="L3674">
        <v>606</v>
      </c>
    </row>
    <row r="3675" spans="1:12" x14ac:dyDescent="0.2">
      <c r="A3675"/>
      <c r="B3675"/>
      <c r="C3675"/>
      <c r="D3675"/>
      <c r="E3675" s="2">
        <f>Comuni__2[[#This Row],[Popolazione2011]]/$D$7911</f>
        <v>2.0715857578361349E-5</v>
      </c>
      <c r="F3675">
        <f>SUMIFS($D$2:$D$7909, $B$2:$B$7909, "Lombardia")</f>
        <v>9704151</v>
      </c>
      <c r="G3675" s="1">
        <f>Comuni__2[[#This Row],[Popolazione2011]]/Comuni__2[[#This Row],[POPOLAZIONE TOTALE DI OGNI REGIONE (CON FILTRO)]]</f>
        <v>1.2685293128682765E-4</v>
      </c>
      <c r="H3675" t="str">
        <f>IF(Comuni__2[[#This Row],[Popolazione2011]]&gt;300000,"MAGGIORE","")</f>
        <v/>
      </c>
      <c r="J3675">
        <v>322</v>
      </c>
      <c r="K3675">
        <v>4982</v>
      </c>
      <c r="L3675">
        <v>607</v>
      </c>
    </row>
    <row r="3676" spans="1:12" x14ac:dyDescent="0.2">
      <c r="A3676"/>
      <c r="B3676"/>
      <c r="C3676"/>
      <c r="D3676"/>
      <c r="E3676" s="2">
        <f>Comuni__2[[#This Row],[Popolazione2011]]/$D$7911</f>
        <v>2.0598058225763032E-5</v>
      </c>
      <c r="F3676">
        <f>SUMIFS($D$2:$D$7909, $B$2:$B$7909, "Lombardia")</f>
        <v>9704151</v>
      </c>
      <c r="G3676" s="1">
        <f>Comuni__2[[#This Row],[Popolazione2011]]/Comuni__2[[#This Row],[POPOLAZIONE TOTALE DI OGNI REGIONE (CON FILTRO)]]</f>
        <v>1.2613159049153295E-4</v>
      </c>
      <c r="H3676" t="str">
        <f>IF(Comuni__2[[#This Row],[Popolazione2011]]&gt;300000,"MAGGIORE","")</f>
        <v/>
      </c>
      <c r="J3676">
        <v>322</v>
      </c>
      <c r="K3676">
        <v>5097</v>
      </c>
      <c r="L3676">
        <v>608</v>
      </c>
    </row>
    <row r="3677" spans="1:12" x14ac:dyDescent="0.2">
      <c r="A3677"/>
      <c r="B3677"/>
      <c r="C3677"/>
      <c r="D3677"/>
      <c r="E3677" s="2">
        <f>Comuni__2[[#This Row],[Popolazione2011]]/$D$7911</f>
        <v>2.0463430394222097E-5</v>
      </c>
      <c r="F3677">
        <f>SUMIFS($D$2:$D$7909, $B$2:$B$7909, "Lombardia")</f>
        <v>9704151</v>
      </c>
      <c r="G3677" s="1">
        <f>Comuni__2[[#This Row],[Popolazione2011]]/Comuni__2[[#This Row],[POPOLAZIONE TOTALE DI OGNI REGIONE (CON FILTRO)]]</f>
        <v>1.2530720101119614E-4</v>
      </c>
      <c r="H3677" t="str">
        <f>IF(Comuni__2[[#This Row],[Popolazione2011]]&gt;300000,"MAGGIORE","")</f>
        <v/>
      </c>
      <c r="J3677">
        <v>326</v>
      </c>
      <c r="K3677">
        <v>5142</v>
      </c>
      <c r="L3677">
        <v>614</v>
      </c>
    </row>
    <row r="3678" spans="1:12" x14ac:dyDescent="0.2">
      <c r="A3678"/>
      <c r="B3678"/>
      <c r="C3678"/>
      <c r="D3678"/>
      <c r="E3678" s="2">
        <f>Comuni__2[[#This Row],[Popolazione2011]]/$D$7911</f>
        <v>2.0429773436336864E-5</v>
      </c>
      <c r="F3678">
        <f>SUMIFS($D$2:$D$7909, $B$2:$B$7909, "Lombardia")</f>
        <v>9704151</v>
      </c>
      <c r="G3678" s="1">
        <f>Comuni__2[[#This Row],[Popolazione2011]]/Comuni__2[[#This Row],[POPOLAZIONE TOTALE DI OGNI REGIONE (CON FILTRO)]]</f>
        <v>1.2510110364111194E-4</v>
      </c>
      <c r="H3678" t="str">
        <f>IF(Comuni__2[[#This Row],[Popolazione2011]]&gt;300000,"MAGGIORE","")</f>
        <v/>
      </c>
      <c r="J3678">
        <v>333</v>
      </c>
      <c r="K3678">
        <v>5235</v>
      </c>
      <c r="L3678">
        <v>616</v>
      </c>
    </row>
    <row r="3679" spans="1:12" x14ac:dyDescent="0.2">
      <c r="A3679"/>
      <c r="B3679"/>
      <c r="C3679"/>
      <c r="D3679"/>
      <c r="E3679" s="2">
        <f>Comuni__2[[#This Row],[Popolazione2011]]/$D$7911</f>
        <v>2.0362459520566397E-5</v>
      </c>
      <c r="F3679">
        <f>SUMIFS($D$2:$D$7909, $B$2:$B$7909, "Lombardia")</f>
        <v>9704151</v>
      </c>
      <c r="G3679" s="1">
        <f>Comuni__2[[#This Row],[Popolazione2011]]/Comuni__2[[#This Row],[POPOLAZIONE TOTALE DI OGNI REGIONE (CON FILTRO)]]</f>
        <v>1.2468890890094352E-4</v>
      </c>
      <c r="H3679" t="str">
        <f>IF(Comuni__2[[#This Row],[Popolazione2011]]&gt;300000,"MAGGIORE","")</f>
        <v/>
      </c>
      <c r="J3679">
        <v>334</v>
      </c>
      <c r="K3679">
        <v>5317</v>
      </c>
      <c r="L3679">
        <v>618</v>
      </c>
    </row>
    <row r="3680" spans="1:12" x14ac:dyDescent="0.2">
      <c r="A3680"/>
      <c r="B3680"/>
      <c r="C3680"/>
      <c r="D3680"/>
      <c r="E3680" s="2">
        <f>Comuni__2[[#This Row],[Popolazione2011]]/$D$7911</f>
        <v>2.0328802562681161E-5</v>
      </c>
      <c r="F3680">
        <f>SUMIFS($D$2:$D$7909, $B$2:$B$7909, "Lombardia")</f>
        <v>9704151</v>
      </c>
      <c r="G3680" s="1">
        <f>Comuni__2[[#This Row],[Popolazione2011]]/Comuni__2[[#This Row],[POPOLAZIONE TOTALE DI OGNI REGIONE (CON FILTRO)]]</f>
        <v>1.2448281153085931E-4</v>
      </c>
      <c r="H3680" t="str">
        <f>IF(Comuni__2[[#This Row],[Popolazione2011]]&gt;300000,"MAGGIORE","")</f>
        <v/>
      </c>
      <c r="J3680">
        <v>345</v>
      </c>
      <c r="K3680">
        <v>5387</v>
      </c>
      <c r="L3680">
        <v>625</v>
      </c>
    </row>
    <row r="3681" spans="1:12" x14ac:dyDescent="0.2">
      <c r="A3681"/>
      <c r="B3681"/>
      <c r="C3681"/>
      <c r="D3681"/>
      <c r="E3681" s="2">
        <f>Comuni__2[[#This Row],[Popolazione2011]]/$D$7911</f>
        <v>2.0328802562681161E-5</v>
      </c>
      <c r="F3681">
        <f>SUMIFS($D$2:$D$7909, $B$2:$B$7909, "Lombardia")</f>
        <v>9704151</v>
      </c>
      <c r="G3681" s="1">
        <f>Comuni__2[[#This Row],[Popolazione2011]]/Comuni__2[[#This Row],[POPOLAZIONE TOTALE DI OGNI REGIONE (CON FILTRO)]]</f>
        <v>1.2448281153085931E-4</v>
      </c>
      <c r="H3681" t="str">
        <f>IF(Comuni__2[[#This Row],[Popolazione2011]]&gt;300000,"MAGGIORE","")</f>
        <v/>
      </c>
      <c r="J3681">
        <v>352</v>
      </c>
      <c r="K3681">
        <v>5431</v>
      </c>
      <c r="L3681">
        <v>630</v>
      </c>
    </row>
    <row r="3682" spans="1:12" x14ac:dyDescent="0.2">
      <c r="A3682"/>
      <c r="B3682"/>
      <c r="C3682"/>
      <c r="D3682"/>
      <c r="E3682" s="2">
        <f>Comuni__2[[#This Row],[Popolazione2011]]/$D$7911</f>
        <v>2.0244660167968077E-5</v>
      </c>
      <c r="F3682">
        <f>SUMIFS($D$2:$D$7909, $B$2:$B$7909, "Lombardia")</f>
        <v>9704151</v>
      </c>
      <c r="G3682" s="1">
        <f>Comuni__2[[#This Row],[Popolazione2011]]/Comuni__2[[#This Row],[POPOLAZIONE TOTALE DI OGNI REGIONE (CON FILTRO)]]</f>
        <v>1.2396756810564881E-4</v>
      </c>
      <c r="H3682" t="str">
        <f>IF(Comuni__2[[#This Row],[Popolazione2011]]&gt;300000,"MAGGIORE","")</f>
        <v/>
      </c>
      <c r="J3682">
        <v>401</v>
      </c>
      <c r="K3682">
        <v>5472</v>
      </c>
      <c r="L3682">
        <v>632</v>
      </c>
    </row>
    <row r="3683" spans="1:12" x14ac:dyDescent="0.2">
      <c r="A3683"/>
      <c r="B3683"/>
      <c r="C3683"/>
      <c r="D3683"/>
      <c r="E3683" s="2">
        <f>Comuni__2[[#This Row],[Popolazione2011]]/$D$7911</f>
        <v>2.0194174731140228E-5</v>
      </c>
      <c r="F3683">
        <f>SUMIFS($D$2:$D$7909, $B$2:$B$7909, "Lombardia")</f>
        <v>9704151</v>
      </c>
      <c r="G3683" s="1">
        <f>Comuni__2[[#This Row],[Popolazione2011]]/Comuni__2[[#This Row],[POPOLAZIONE TOTALE DI OGNI REGIONE (CON FILTRO)]]</f>
        <v>1.236584220505225E-4</v>
      </c>
      <c r="H3683" t="str">
        <f>IF(Comuni__2[[#This Row],[Popolazione2011]]&gt;300000,"MAGGIORE","")</f>
        <v/>
      </c>
      <c r="J3683">
        <v>413</v>
      </c>
      <c r="K3683">
        <v>5517</v>
      </c>
      <c r="L3683">
        <v>635</v>
      </c>
    </row>
    <row r="3684" spans="1:12" x14ac:dyDescent="0.2">
      <c r="A3684"/>
      <c r="B3684"/>
      <c r="C3684"/>
      <c r="D3684"/>
      <c r="E3684" s="2">
        <f>Comuni__2[[#This Row],[Popolazione2011]]/$D$7911</f>
        <v>2.0194174731140228E-5</v>
      </c>
      <c r="F3684">
        <f>SUMIFS($D$2:$D$7909, $B$2:$B$7909, "Lombardia")</f>
        <v>9704151</v>
      </c>
      <c r="G3684" s="1">
        <f>Comuni__2[[#This Row],[Popolazione2011]]/Comuni__2[[#This Row],[POPOLAZIONE TOTALE DI OGNI REGIONE (CON FILTRO)]]</f>
        <v>1.236584220505225E-4</v>
      </c>
      <c r="H3684" t="str">
        <f>IF(Comuni__2[[#This Row],[Popolazione2011]]&gt;300000,"MAGGIORE","")</f>
        <v/>
      </c>
      <c r="J3684">
        <v>435</v>
      </c>
      <c r="K3684">
        <v>5604</v>
      </c>
      <c r="L3684">
        <v>639</v>
      </c>
    </row>
    <row r="3685" spans="1:12" x14ac:dyDescent="0.2">
      <c r="A3685"/>
      <c r="B3685"/>
      <c r="C3685"/>
      <c r="D3685"/>
      <c r="E3685" s="2">
        <f>Comuni__2[[#This Row],[Popolazione2011]]/$D$7911</f>
        <v>2.0093203857484525E-5</v>
      </c>
      <c r="F3685">
        <f>SUMIFS($D$2:$D$7909, $B$2:$B$7909, "Lombardia")</f>
        <v>9704151</v>
      </c>
      <c r="G3685" s="1">
        <f>Comuni__2[[#This Row],[Popolazione2011]]/Comuni__2[[#This Row],[POPOLAZIONE TOTALE DI OGNI REGIONE (CON FILTRO)]]</f>
        <v>1.230401299402699E-4</v>
      </c>
      <c r="H3685" t="str">
        <f>IF(Comuni__2[[#This Row],[Popolazione2011]]&gt;300000,"MAGGIORE","")</f>
        <v/>
      </c>
      <c r="J3685">
        <v>471</v>
      </c>
      <c r="K3685">
        <v>5629</v>
      </c>
      <c r="L3685">
        <v>642</v>
      </c>
    </row>
    <row r="3686" spans="1:12" x14ac:dyDescent="0.2">
      <c r="A3686"/>
      <c r="B3686"/>
      <c r="C3686"/>
      <c r="D3686"/>
      <c r="E3686" s="2">
        <f>Comuni__2[[#This Row],[Popolazione2011]]/$D$7911</f>
        <v>2.0093203857484525E-5</v>
      </c>
      <c r="F3686">
        <f>SUMIFS($D$2:$D$7909, $B$2:$B$7909, "Lombardia")</f>
        <v>9704151</v>
      </c>
      <c r="G3686" s="1">
        <f>Comuni__2[[#This Row],[Popolazione2011]]/Comuni__2[[#This Row],[POPOLAZIONE TOTALE DI OGNI REGIONE (CON FILTRO)]]</f>
        <v>1.230401299402699E-4</v>
      </c>
      <c r="H3686" t="str">
        <f>IF(Comuni__2[[#This Row],[Popolazione2011]]&gt;300000,"MAGGIORE","")</f>
        <v/>
      </c>
      <c r="J3686">
        <v>480</v>
      </c>
      <c r="K3686">
        <v>5690</v>
      </c>
      <c r="L3686">
        <v>644</v>
      </c>
    </row>
    <row r="3687" spans="1:12" x14ac:dyDescent="0.2">
      <c r="A3687"/>
      <c r="B3687"/>
      <c r="C3687"/>
      <c r="D3687"/>
      <c r="E3687" s="2">
        <f>Comuni__2[[#This Row],[Popolazione2011]]/$D$7911</f>
        <v>2.0076375378541909E-5</v>
      </c>
      <c r="F3687">
        <f>SUMIFS($D$2:$D$7909, $B$2:$B$7909, "Lombardia")</f>
        <v>9704151</v>
      </c>
      <c r="G3687" s="1">
        <f>Comuni__2[[#This Row],[Popolazione2011]]/Comuni__2[[#This Row],[POPOLAZIONE TOTALE DI OGNI REGIONE (CON FILTRO)]]</f>
        <v>1.229370812552278E-4</v>
      </c>
      <c r="H3687" t="str">
        <f>IF(Comuni__2[[#This Row],[Popolazione2011]]&gt;300000,"MAGGIORE","")</f>
        <v/>
      </c>
      <c r="J3687">
        <v>498</v>
      </c>
      <c r="K3687">
        <v>5886</v>
      </c>
      <c r="L3687">
        <v>645</v>
      </c>
    </row>
    <row r="3688" spans="1:12" x14ac:dyDescent="0.2">
      <c r="A3688"/>
      <c r="B3688"/>
      <c r="C3688"/>
      <c r="D3688"/>
      <c r="E3688" s="2">
        <f>Comuni__2[[#This Row],[Popolazione2011]]/$D$7911</f>
        <v>2.0059546899599293E-5</v>
      </c>
      <c r="F3688">
        <f>SUMIFS($D$2:$D$7909, $B$2:$B$7909, "Lombardia")</f>
        <v>9704151</v>
      </c>
      <c r="G3688" s="1">
        <f>Comuni__2[[#This Row],[Popolazione2011]]/Comuni__2[[#This Row],[POPOLAZIONE TOTALE DI OGNI REGIONE (CON FILTRO)]]</f>
        <v>1.2283403257018569E-4</v>
      </c>
      <c r="H3688" t="str">
        <f>IF(Comuni__2[[#This Row],[Popolazione2011]]&gt;300000,"MAGGIORE","")</f>
        <v/>
      </c>
      <c r="J3688">
        <v>531</v>
      </c>
      <c r="K3688">
        <v>5926</v>
      </c>
      <c r="L3688">
        <v>646</v>
      </c>
    </row>
    <row r="3689" spans="1:12" x14ac:dyDescent="0.2">
      <c r="A3689"/>
      <c r="B3689"/>
      <c r="C3689"/>
      <c r="D3689"/>
      <c r="E3689" s="2">
        <f>Comuni__2[[#This Row],[Popolazione2011]]/$D$7911</f>
        <v>2.0025889941714057E-5</v>
      </c>
      <c r="F3689">
        <f>SUMIFS($D$2:$D$7909, $B$2:$B$7909, "Lombardia")</f>
        <v>9704151</v>
      </c>
      <c r="G3689" s="1">
        <f>Comuni__2[[#This Row],[Popolazione2011]]/Comuni__2[[#This Row],[POPOLAZIONE TOTALE DI OGNI REGIONE (CON FILTRO)]]</f>
        <v>1.2262793520010149E-4</v>
      </c>
      <c r="H3689" t="str">
        <f>IF(Comuni__2[[#This Row],[Popolazione2011]]&gt;300000,"MAGGIORE","")</f>
        <v/>
      </c>
      <c r="J3689">
        <v>575</v>
      </c>
      <c r="K3689">
        <v>5977</v>
      </c>
      <c r="L3689">
        <v>656</v>
      </c>
    </row>
    <row r="3690" spans="1:12" x14ac:dyDescent="0.2">
      <c r="A3690"/>
      <c r="B3690"/>
      <c r="C3690"/>
      <c r="D3690"/>
      <c r="E3690" s="2">
        <f>Comuni__2[[#This Row],[Popolazione2011]]/$D$7911</f>
        <v>1.9992232983828825E-5</v>
      </c>
      <c r="F3690">
        <f>SUMIFS($D$2:$D$7909, $B$2:$B$7909, "Lombardia")</f>
        <v>9704151</v>
      </c>
      <c r="G3690" s="1">
        <f>Comuni__2[[#This Row],[Popolazione2011]]/Comuni__2[[#This Row],[POPOLAZIONE TOTALE DI OGNI REGIONE (CON FILTRO)]]</f>
        <v>1.2242183783001728E-4</v>
      </c>
      <c r="H3690" t="str">
        <f>IF(Comuni__2[[#This Row],[Popolazione2011]]&gt;300000,"MAGGIORE","")</f>
        <v/>
      </c>
      <c r="J3690">
        <v>605</v>
      </c>
      <c r="K3690">
        <v>6011</v>
      </c>
      <c r="L3690">
        <v>663</v>
      </c>
    </row>
    <row r="3691" spans="1:12" x14ac:dyDescent="0.2">
      <c r="A3691"/>
      <c r="B3691"/>
      <c r="C3691"/>
      <c r="D3691"/>
      <c r="E3691" s="2">
        <f>Comuni__2[[#This Row],[Popolazione2011]]/$D$7911</f>
        <v>1.9941747547000973E-5</v>
      </c>
      <c r="F3691">
        <f>SUMIFS($D$2:$D$7909, $B$2:$B$7909, "Lombardia")</f>
        <v>9704151</v>
      </c>
      <c r="G3691" s="1">
        <f>Comuni__2[[#This Row],[Popolazione2011]]/Comuni__2[[#This Row],[POPOLAZIONE TOTALE DI OGNI REGIONE (CON FILTRO)]]</f>
        <v>1.2211269177489096E-4</v>
      </c>
      <c r="H3691" t="str">
        <f>IF(Comuni__2[[#This Row],[Popolazione2011]]&gt;300000,"MAGGIORE","")</f>
        <v/>
      </c>
      <c r="J3691">
        <v>648</v>
      </c>
      <c r="K3691">
        <v>6018</v>
      </c>
      <c r="L3691">
        <v>673</v>
      </c>
    </row>
    <row r="3692" spans="1:12" x14ac:dyDescent="0.2">
      <c r="A3692"/>
      <c r="B3692"/>
      <c r="C3692"/>
      <c r="D3692"/>
      <c r="E3692" s="2">
        <f>Comuni__2[[#This Row],[Popolazione2011]]/$D$7911</f>
        <v>1.9941747547000973E-5</v>
      </c>
      <c r="F3692">
        <f>SUMIFS($D$2:$D$7909, $B$2:$B$7909, "Lombardia")</f>
        <v>9704151</v>
      </c>
      <c r="G3692" s="1">
        <f>Comuni__2[[#This Row],[Popolazione2011]]/Comuni__2[[#This Row],[POPOLAZIONE TOTALE DI OGNI REGIONE (CON FILTRO)]]</f>
        <v>1.2211269177489096E-4</v>
      </c>
      <c r="H3692" t="str">
        <f>IF(Comuni__2[[#This Row],[Popolazione2011]]&gt;300000,"MAGGIORE","")</f>
        <v/>
      </c>
      <c r="J3692">
        <v>697</v>
      </c>
      <c r="K3692">
        <v>6187</v>
      </c>
      <c r="L3692">
        <v>686</v>
      </c>
    </row>
    <row r="3693" spans="1:12" x14ac:dyDescent="0.2">
      <c r="A3693"/>
      <c r="B3693"/>
      <c r="C3693"/>
      <c r="D3693"/>
      <c r="E3693" s="2">
        <f>Comuni__2[[#This Row],[Popolazione2011]]/$D$7911</f>
        <v>1.9908090589115741E-5</v>
      </c>
      <c r="F3693">
        <f>SUMIFS($D$2:$D$7909, $B$2:$B$7909, "Lombardia")</f>
        <v>9704151</v>
      </c>
      <c r="G3693" s="1">
        <f>Comuni__2[[#This Row],[Popolazione2011]]/Comuni__2[[#This Row],[POPOLAZIONE TOTALE DI OGNI REGIONE (CON FILTRO)]]</f>
        <v>1.2190659440480677E-4</v>
      </c>
      <c r="H3693" t="str">
        <f>IF(Comuni__2[[#This Row],[Popolazione2011]]&gt;300000,"MAGGIORE","")</f>
        <v/>
      </c>
      <c r="J3693">
        <v>760</v>
      </c>
      <c r="K3693">
        <v>6217</v>
      </c>
      <c r="L3693">
        <v>699</v>
      </c>
    </row>
    <row r="3694" spans="1:12" x14ac:dyDescent="0.2">
      <c r="A3694"/>
      <c r="B3694"/>
      <c r="C3694"/>
      <c r="D3694"/>
      <c r="E3694" s="2">
        <f>Comuni__2[[#This Row],[Popolazione2011]]/$D$7911</f>
        <v>1.9891262110173125E-5</v>
      </c>
      <c r="F3694">
        <f>SUMIFS($D$2:$D$7909, $B$2:$B$7909, "Lombardia")</f>
        <v>9704151</v>
      </c>
      <c r="G3694" s="1">
        <f>Comuni__2[[#This Row],[Popolazione2011]]/Comuni__2[[#This Row],[POPOLAZIONE TOTALE DI OGNI REGIONE (CON FILTRO)]]</f>
        <v>1.2180354571976466E-4</v>
      </c>
      <c r="H3694" t="str">
        <f>IF(Comuni__2[[#This Row],[Popolazione2011]]&gt;300000,"MAGGIORE","")</f>
        <v/>
      </c>
      <c r="J3694">
        <v>747</v>
      </c>
      <c r="K3694">
        <v>6361</v>
      </c>
      <c r="L3694">
        <v>706</v>
      </c>
    </row>
    <row r="3695" spans="1:12" x14ac:dyDescent="0.2">
      <c r="A3695"/>
      <c r="B3695"/>
      <c r="C3695"/>
      <c r="D3695"/>
      <c r="E3695" s="2">
        <f>Comuni__2[[#This Row],[Popolazione2011]]/$D$7911</f>
        <v>1.9874433631230505E-5</v>
      </c>
      <c r="F3695">
        <f>SUMIFS($D$2:$D$7909, $B$2:$B$7909, "Lombardia")</f>
        <v>9704151</v>
      </c>
      <c r="G3695" s="1">
        <f>Comuni__2[[#This Row],[Popolazione2011]]/Comuni__2[[#This Row],[POPOLAZIONE TOTALE DI OGNI REGIONE (CON FILTRO)]]</f>
        <v>1.2170049703472256E-4</v>
      </c>
      <c r="H3695" t="str">
        <f>IF(Comuni__2[[#This Row],[Popolazione2011]]&gt;300000,"MAGGIORE","")</f>
        <v/>
      </c>
      <c r="J3695">
        <v>718</v>
      </c>
      <c r="K3695">
        <v>6448</v>
      </c>
      <c r="L3695">
        <v>713</v>
      </c>
    </row>
    <row r="3696" spans="1:12" x14ac:dyDescent="0.2">
      <c r="A3696"/>
      <c r="B3696"/>
      <c r="C3696"/>
      <c r="D3696"/>
      <c r="E3696" s="2">
        <f>Comuni__2[[#This Row],[Popolazione2011]]/$D$7911</f>
        <v>1.9857605152287889E-5</v>
      </c>
      <c r="F3696">
        <f>SUMIFS($D$2:$D$7909, $B$2:$B$7909, "Lombardia")</f>
        <v>9704151</v>
      </c>
      <c r="G3696" s="1">
        <f>Comuni__2[[#This Row],[Popolazione2011]]/Comuni__2[[#This Row],[POPOLAZIONE TOTALE DI OGNI REGIONE (CON FILTRO)]]</f>
        <v>1.2159744834968046E-4</v>
      </c>
      <c r="H3696" t="str">
        <f>IF(Comuni__2[[#This Row],[Popolazione2011]]&gt;300000,"MAGGIORE","")</f>
        <v/>
      </c>
      <c r="J3696">
        <v>725</v>
      </c>
      <c r="K3696">
        <v>6506</v>
      </c>
      <c r="L3696">
        <v>723</v>
      </c>
    </row>
    <row r="3697" spans="1:12" x14ac:dyDescent="0.2">
      <c r="A3697"/>
      <c r="B3697"/>
      <c r="C3697"/>
      <c r="D3697"/>
      <c r="E3697" s="2">
        <f>Comuni__2[[#This Row],[Popolazione2011]]/$D$7911</f>
        <v>1.9823948194402657E-5</v>
      </c>
      <c r="F3697">
        <f>SUMIFS($D$2:$D$7909, $B$2:$B$7909, "Lombardia")</f>
        <v>9704151</v>
      </c>
      <c r="G3697" s="1">
        <f>Comuni__2[[#This Row],[Popolazione2011]]/Comuni__2[[#This Row],[POPOLAZIONE TOTALE DI OGNI REGIONE (CON FILTRO)]]</f>
        <v>1.2139135097959626E-4</v>
      </c>
      <c r="H3697" t="str">
        <f>IF(Comuni__2[[#This Row],[Popolazione2011]]&gt;300000,"MAGGIORE","")</f>
        <v/>
      </c>
      <c r="J3697">
        <v>764</v>
      </c>
      <c r="K3697">
        <v>6539</v>
      </c>
      <c r="L3697">
        <v>731</v>
      </c>
    </row>
    <row r="3698" spans="1:12" x14ac:dyDescent="0.2">
      <c r="A3698"/>
      <c r="B3698"/>
      <c r="C3698"/>
      <c r="D3698"/>
      <c r="E3698" s="2">
        <f>Comuni__2[[#This Row],[Popolazione2011]]/$D$7911</f>
        <v>1.9790291236517421E-5</v>
      </c>
      <c r="F3698">
        <f>SUMIFS($D$2:$D$7909, $B$2:$B$7909, "Lombardia")</f>
        <v>9704151</v>
      </c>
      <c r="G3698" s="1">
        <f>Comuni__2[[#This Row],[Popolazione2011]]/Comuni__2[[#This Row],[POPOLAZIONE TOTALE DI OGNI REGIONE (CON FILTRO)]]</f>
        <v>1.2118525360951205E-4</v>
      </c>
      <c r="H3698" t="str">
        <f>IF(Comuni__2[[#This Row],[Popolazione2011]]&gt;300000,"MAGGIORE","")</f>
        <v/>
      </c>
      <c r="J3698">
        <v>793</v>
      </c>
      <c r="K3698">
        <v>6619</v>
      </c>
      <c r="L3698">
        <v>740</v>
      </c>
    </row>
    <row r="3699" spans="1:12" x14ac:dyDescent="0.2">
      <c r="A3699"/>
      <c r="B3699"/>
      <c r="C3699"/>
      <c r="D3699"/>
      <c r="E3699" s="2">
        <f>Comuni__2[[#This Row],[Popolazione2011]]/$D$7911</f>
        <v>1.9706148841804337E-5</v>
      </c>
      <c r="F3699">
        <f>SUMIFS($D$2:$D$7909, $B$2:$B$7909, "Lombardia")</f>
        <v>9704151</v>
      </c>
      <c r="G3699" s="1">
        <f>Comuni__2[[#This Row],[Popolazione2011]]/Comuni__2[[#This Row],[POPOLAZIONE TOTALE DI OGNI REGIONE (CON FILTRO)]]</f>
        <v>1.2067001018430154E-4</v>
      </c>
      <c r="H3699" t="str">
        <f>IF(Comuni__2[[#This Row],[Popolazione2011]]&gt;300000,"MAGGIORE","")</f>
        <v/>
      </c>
      <c r="J3699">
        <v>844</v>
      </c>
      <c r="K3699">
        <v>6813</v>
      </c>
      <c r="L3699">
        <v>753</v>
      </c>
    </row>
    <row r="3700" spans="1:12" x14ac:dyDescent="0.2">
      <c r="A3700"/>
      <c r="B3700"/>
      <c r="C3700"/>
      <c r="D3700"/>
      <c r="E3700" s="2">
        <f>Comuni__2[[#This Row],[Popolazione2011]]/$D$7911</f>
        <v>1.9672491883919105E-5</v>
      </c>
      <c r="F3700">
        <f>SUMIFS($D$2:$D$7909, $B$2:$B$7909, "Lombardia")</f>
        <v>9704151</v>
      </c>
      <c r="G3700" s="1">
        <f>Comuni__2[[#This Row],[Popolazione2011]]/Comuni__2[[#This Row],[POPOLAZIONE TOTALE DI OGNI REGIONE (CON FILTRO)]]</f>
        <v>1.2046391281421734E-4</v>
      </c>
      <c r="H3700" t="str">
        <f>IF(Comuni__2[[#This Row],[Popolazione2011]]&gt;300000,"MAGGIORE","")</f>
        <v/>
      </c>
      <c r="J3700">
        <v>861</v>
      </c>
      <c r="K3700">
        <v>7089</v>
      </c>
      <c r="L3700">
        <v>763</v>
      </c>
    </row>
    <row r="3701" spans="1:12" x14ac:dyDescent="0.2">
      <c r="A3701"/>
      <c r="B3701"/>
      <c r="C3701"/>
      <c r="D3701"/>
      <c r="E3701" s="2">
        <f>Comuni__2[[#This Row],[Popolazione2011]]/$D$7911</f>
        <v>1.9672491883919105E-5</v>
      </c>
      <c r="F3701">
        <f>SUMIFS($D$2:$D$7909, $B$2:$B$7909, "Lombardia")</f>
        <v>9704151</v>
      </c>
      <c r="G3701" s="1">
        <f>Comuni__2[[#This Row],[Popolazione2011]]/Comuni__2[[#This Row],[POPOLAZIONE TOTALE DI OGNI REGIONE (CON FILTRO)]]</f>
        <v>1.2046391281421734E-4</v>
      </c>
      <c r="H3701" t="str">
        <f>IF(Comuni__2[[#This Row],[Popolazione2011]]&gt;300000,"MAGGIORE","")</f>
        <v/>
      </c>
      <c r="J3701">
        <v>867</v>
      </c>
      <c r="K3701">
        <v>7323</v>
      </c>
      <c r="L3701">
        <v>789</v>
      </c>
    </row>
    <row r="3702" spans="1:12" x14ac:dyDescent="0.2">
      <c r="A3702"/>
      <c r="B3702"/>
      <c r="C3702"/>
      <c r="D3702"/>
      <c r="E3702" s="2">
        <f>Comuni__2[[#This Row],[Popolazione2011]]/$D$7911</f>
        <v>1.9655663404976489E-5</v>
      </c>
      <c r="F3702">
        <f>SUMIFS($D$2:$D$7909, $B$2:$B$7909, "Lombardia")</f>
        <v>9704151</v>
      </c>
      <c r="G3702" s="1">
        <f>Comuni__2[[#This Row],[Popolazione2011]]/Comuni__2[[#This Row],[POPOLAZIONE TOTALE DI OGNI REGIONE (CON FILTRO)]]</f>
        <v>1.2036086412917523E-4</v>
      </c>
      <c r="H3702" t="str">
        <f>IF(Comuni__2[[#This Row],[Popolazione2011]]&gt;300000,"MAGGIORE","")</f>
        <v/>
      </c>
      <c r="J3702">
        <v>909</v>
      </c>
      <c r="K3702">
        <v>7450</v>
      </c>
      <c r="L3702">
        <v>802</v>
      </c>
    </row>
    <row r="3703" spans="1:12" x14ac:dyDescent="0.2">
      <c r="A3703"/>
      <c r="B3703"/>
      <c r="C3703"/>
      <c r="D3703"/>
      <c r="E3703" s="2">
        <f>Comuni__2[[#This Row],[Popolazione2011]]/$D$7911</f>
        <v>1.9453721657665085E-5</v>
      </c>
      <c r="F3703">
        <f>SUMIFS($D$2:$D$7909, $B$2:$B$7909, "Lombardia")</f>
        <v>9704151</v>
      </c>
      <c r="G3703" s="1">
        <f>Comuni__2[[#This Row],[Popolazione2011]]/Comuni__2[[#This Row],[POPOLAZIONE TOTALE DI OGNI REGIONE (CON FILTRO)]]</f>
        <v>1.1912427990867001E-4</v>
      </c>
      <c r="H3703" t="str">
        <f>IF(Comuni__2[[#This Row],[Popolazione2011]]&gt;300000,"MAGGIORE","")</f>
        <v/>
      </c>
      <c r="J3703">
        <v>1000</v>
      </c>
      <c r="K3703">
        <v>7546</v>
      </c>
      <c r="L3703">
        <v>816</v>
      </c>
    </row>
    <row r="3704" spans="1:12" x14ac:dyDescent="0.2">
      <c r="A3704"/>
      <c r="B3704"/>
      <c r="C3704"/>
      <c r="D3704"/>
      <c r="E3704" s="2">
        <f>Comuni__2[[#This Row],[Popolazione2011]]/$D$7911</f>
        <v>1.9436893178722469E-5</v>
      </c>
      <c r="F3704">
        <f>SUMIFS($D$2:$D$7909, $B$2:$B$7909, "Lombardia")</f>
        <v>9704151</v>
      </c>
      <c r="G3704" s="1">
        <f>Comuni__2[[#This Row],[Popolazione2011]]/Comuni__2[[#This Row],[POPOLAZIONE TOTALE DI OGNI REGIONE (CON FILTRO)]]</f>
        <v>1.1902123122362792E-4</v>
      </c>
      <c r="H3704" t="str">
        <f>IF(Comuni__2[[#This Row],[Popolazione2011]]&gt;300000,"MAGGIORE","")</f>
        <v/>
      </c>
      <c r="J3704">
        <v>1003</v>
      </c>
      <c r="K3704">
        <v>7677</v>
      </c>
      <c r="L3704">
        <v>837</v>
      </c>
    </row>
    <row r="3705" spans="1:12" x14ac:dyDescent="0.2">
      <c r="A3705"/>
      <c r="B3705"/>
      <c r="C3705"/>
      <c r="D3705"/>
      <c r="E3705" s="2">
        <f>Comuni__2[[#This Row],[Popolazione2011]]/$D$7911</f>
        <v>1.9386407741894617E-5</v>
      </c>
      <c r="F3705">
        <f>SUMIFS($D$2:$D$7909, $B$2:$B$7909, "Lombardia")</f>
        <v>9704151</v>
      </c>
      <c r="G3705" s="1">
        <f>Comuni__2[[#This Row],[Popolazione2011]]/Comuni__2[[#This Row],[POPOLAZIONE TOTALE DI OGNI REGIONE (CON FILTRO)]]</f>
        <v>1.187120851685016E-4</v>
      </c>
      <c r="H3705" t="str">
        <f>IF(Comuni__2[[#This Row],[Popolazione2011]]&gt;300000,"MAGGIORE","")</f>
        <v/>
      </c>
      <c r="J3705">
        <v>1087</v>
      </c>
      <c r="K3705">
        <v>7774</v>
      </c>
      <c r="L3705">
        <v>844</v>
      </c>
    </row>
    <row r="3706" spans="1:12" x14ac:dyDescent="0.2">
      <c r="A3706"/>
      <c r="B3706"/>
      <c r="C3706"/>
      <c r="D3706"/>
      <c r="E3706" s="2">
        <f>Comuni__2[[#This Row],[Popolazione2011]]/$D$7911</f>
        <v>1.9369579262952001E-5</v>
      </c>
      <c r="F3706">
        <f>SUMIFS($D$2:$D$7909, $B$2:$B$7909, "Lombardia")</f>
        <v>9704151</v>
      </c>
      <c r="G3706" s="1">
        <f>Comuni__2[[#This Row],[Popolazione2011]]/Comuni__2[[#This Row],[POPOLAZIONE TOTALE DI OGNI REGIONE (CON FILTRO)]]</f>
        <v>1.186090364834595E-4</v>
      </c>
      <c r="H3706" t="str">
        <f>IF(Comuni__2[[#This Row],[Popolazione2011]]&gt;300000,"MAGGIORE","")</f>
        <v/>
      </c>
      <c r="J3706">
        <v>1160</v>
      </c>
      <c r="K3706">
        <v>7921</v>
      </c>
      <c r="L3706">
        <v>869</v>
      </c>
    </row>
    <row r="3707" spans="1:12" x14ac:dyDescent="0.2">
      <c r="A3707"/>
      <c r="B3707"/>
      <c r="C3707"/>
      <c r="D3707"/>
      <c r="E3707" s="2">
        <f>Comuni__2[[#This Row],[Popolazione2011]]/$D$7911</f>
        <v>1.9285436868238917E-5</v>
      </c>
      <c r="F3707">
        <f>SUMIFS($D$2:$D$7909, $B$2:$B$7909, "Lombardia")</f>
        <v>9704151</v>
      </c>
      <c r="G3707" s="1">
        <f>Comuni__2[[#This Row],[Popolazione2011]]/Comuni__2[[#This Row],[POPOLAZIONE TOTALE DI OGNI REGIONE (CON FILTRO)]]</f>
        <v>1.1809379305824899E-4</v>
      </c>
      <c r="H3707" t="str">
        <f>IF(Comuni__2[[#This Row],[Popolazione2011]]&gt;300000,"MAGGIORE","")</f>
        <v/>
      </c>
      <c r="J3707">
        <v>1273</v>
      </c>
      <c r="K3707">
        <v>8013</v>
      </c>
      <c r="L3707">
        <v>896</v>
      </c>
    </row>
    <row r="3708" spans="1:12" x14ac:dyDescent="0.2">
      <c r="A3708"/>
      <c r="B3708"/>
      <c r="C3708"/>
      <c r="D3708"/>
      <c r="E3708" s="2">
        <f>Comuni__2[[#This Row],[Popolazione2011]]/$D$7911</f>
        <v>1.9133980557755365E-5</v>
      </c>
      <c r="F3708">
        <f>SUMIFS($D$2:$D$7909, $B$2:$B$7909, "Lombardia")</f>
        <v>9704151</v>
      </c>
      <c r="G3708" s="1">
        <f>Comuni__2[[#This Row],[Popolazione2011]]/Comuni__2[[#This Row],[POPOLAZIONE TOTALE DI OGNI REGIONE (CON FILTRO)]]</f>
        <v>1.1716635489287007E-4</v>
      </c>
      <c r="H3708" t="str">
        <f>IF(Comuni__2[[#This Row],[Popolazione2011]]&gt;300000,"MAGGIORE","")</f>
        <v/>
      </c>
      <c r="J3708">
        <v>1338</v>
      </c>
      <c r="K3708">
        <v>8252</v>
      </c>
      <c r="L3708">
        <v>935</v>
      </c>
    </row>
    <row r="3709" spans="1:12" x14ac:dyDescent="0.2">
      <c r="A3709"/>
      <c r="B3709"/>
      <c r="C3709"/>
      <c r="D3709"/>
      <c r="E3709" s="2">
        <f>Comuni__2[[#This Row],[Popolazione2011]]/$D$7911</f>
        <v>1.9033009684099665E-5</v>
      </c>
      <c r="F3709">
        <f>SUMIFS($D$2:$D$7909, $B$2:$B$7909, "Lombardia")</f>
        <v>9704151</v>
      </c>
      <c r="G3709" s="1">
        <f>Comuni__2[[#This Row],[Popolazione2011]]/Comuni__2[[#This Row],[POPOLAZIONE TOTALE DI OGNI REGIONE (CON FILTRO)]]</f>
        <v>1.1654806278261745E-4</v>
      </c>
      <c r="H3709" t="str">
        <f>IF(Comuni__2[[#This Row],[Popolazione2011]]&gt;300000,"MAGGIORE","")</f>
        <v/>
      </c>
      <c r="J3709">
        <v>1407</v>
      </c>
      <c r="K3709">
        <v>8324</v>
      </c>
      <c r="L3709">
        <v>957</v>
      </c>
    </row>
    <row r="3710" spans="1:12" x14ac:dyDescent="0.2">
      <c r="A3710"/>
      <c r="B3710"/>
      <c r="C3710"/>
      <c r="D3710"/>
      <c r="E3710" s="2">
        <f>Comuni__2[[#This Row],[Popolazione2011]]/$D$7911</f>
        <v>1.8898381852558729E-5</v>
      </c>
      <c r="F3710">
        <f>SUMIFS($D$2:$D$7909, $B$2:$B$7909, "Lombardia")</f>
        <v>9704151</v>
      </c>
      <c r="G3710" s="1">
        <f>Comuni__2[[#This Row],[Popolazione2011]]/Comuni__2[[#This Row],[POPOLAZIONE TOTALE DI OGNI REGIONE (CON FILTRO)]]</f>
        <v>1.1572367330228065E-4</v>
      </c>
      <c r="H3710" t="str">
        <f>IF(Comuni__2[[#This Row],[Popolazione2011]]&gt;300000,"MAGGIORE","")</f>
        <v/>
      </c>
      <c r="J3710">
        <v>1467</v>
      </c>
      <c r="K3710">
        <v>8560</v>
      </c>
      <c r="L3710">
        <v>973</v>
      </c>
    </row>
    <row r="3711" spans="1:12" x14ac:dyDescent="0.2">
      <c r="A3711"/>
      <c r="B3711"/>
      <c r="C3711"/>
      <c r="D3711"/>
      <c r="E3711" s="2">
        <f>Comuni__2[[#This Row],[Popolazione2011]]/$D$7911</f>
        <v>1.8864724894673497E-5</v>
      </c>
      <c r="F3711">
        <f>SUMIFS($D$2:$D$7909, $B$2:$B$7909, "Lombardia")</f>
        <v>9704151</v>
      </c>
      <c r="G3711" s="1">
        <f>Comuni__2[[#This Row],[Popolazione2011]]/Comuni__2[[#This Row],[POPOLAZIONE TOTALE DI OGNI REGIONE (CON FILTRO)]]</f>
        <v>1.1551757593219644E-4</v>
      </c>
      <c r="H3711" t="str">
        <f>IF(Comuni__2[[#This Row],[Popolazione2011]]&gt;300000,"MAGGIORE","")</f>
        <v/>
      </c>
      <c r="J3711">
        <v>1441</v>
      </c>
      <c r="K3711">
        <v>8751</v>
      </c>
      <c r="L3711">
        <v>985</v>
      </c>
    </row>
    <row r="3712" spans="1:12" x14ac:dyDescent="0.2">
      <c r="A3712"/>
      <c r="B3712"/>
      <c r="C3712"/>
      <c r="D3712"/>
      <c r="E3712" s="2">
        <f>Comuni__2[[#This Row],[Popolazione2011]]/$D$7911</f>
        <v>1.878058249996041E-5</v>
      </c>
      <c r="F3712">
        <f>SUMIFS($D$2:$D$7909, $B$2:$B$7909, "Lombardia")</f>
        <v>9704151</v>
      </c>
      <c r="G3712" s="1">
        <f>Comuni__2[[#This Row],[Popolazione2011]]/Comuni__2[[#This Row],[POPOLAZIONE TOTALE DI OGNI REGIONE (CON FILTRO)]]</f>
        <v>1.1500233250698593E-4</v>
      </c>
      <c r="H3712" t="str">
        <f>IF(Comuni__2[[#This Row],[Popolazione2011]]&gt;300000,"MAGGIORE","")</f>
        <v/>
      </c>
      <c r="J3712">
        <v>1477</v>
      </c>
      <c r="K3712">
        <v>8936</v>
      </c>
      <c r="L3712">
        <v>1021</v>
      </c>
    </row>
    <row r="3713" spans="1:12" x14ac:dyDescent="0.2">
      <c r="A3713"/>
      <c r="B3713"/>
      <c r="C3713"/>
      <c r="D3713"/>
      <c r="E3713" s="2">
        <f>Comuni__2[[#This Row],[Popolazione2011]]/$D$7911</f>
        <v>1.8746925542075177E-5</v>
      </c>
      <c r="F3713">
        <f>SUMIFS($D$2:$D$7909, $B$2:$B$7909, "Lombardia")</f>
        <v>9704151</v>
      </c>
      <c r="G3713" s="1">
        <f>Comuni__2[[#This Row],[Popolazione2011]]/Comuni__2[[#This Row],[POPOLAZIONE TOTALE DI OGNI REGIONE (CON FILTRO)]]</f>
        <v>1.1479623513690172E-4</v>
      </c>
      <c r="H3713" t="str">
        <f>IF(Comuni__2[[#This Row],[Popolazione2011]]&gt;300000,"MAGGIORE","")</f>
        <v/>
      </c>
      <c r="J3713">
        <v>1497</v>
      </c>
      <c r="K3713">
        <v>9052</v>
      </c>
      <c r="L3713">
        <v>1057</v>
      </c>
    </row>
    <row r="3714" spans="1:12" x14ac:dyDescent="0.2">
      <c r="A3714"/>
      <c r="B3714"/>
      <c r="C3714"/>
      <c r="D3714"/>
      <c r="E3714" s="2">
        <f>Comuni__2[[#This Row],[Popolazione2011]]/$D$7911</f>
        <v>1.8746925542075177E-5</v>
      </c>
      <c r="F3714">
        <f>SUMIFS($D$2:$D$7909, $B$2:$B$7909, "Lombardia")</f>
        <v>9704151</v>
      </c>
      <c r="G3714" s="1">
        <f>Comuni__2[[#This Row],[Popolazione2011]]/Comuni__2[[#This Row],[POPOLAZIONE TOTALE DI OGNI REGIONE (CON FILTRO)]]</f>
        <v>1.1479623513690172E-4</v>
      </c>
      <c r="H3714" t="str">
        <f>IF(Comuni__2[[#This Row],[Popolazione2011]]&gt;300000,"MAGGIORE","")</f>
        <v/>
      </c>
      <c r="J3714">
        <v>1518</v>
      </c>
      <c r="K3714">
        <v>9385</v>
      </c>
      <c r="L3714">
        <v>1085</v>
      </c>
    </row>
    <row r="3715" spans="1:12" x14ac:dyDescent="0.2">
      <c r="A3715"/>
      <c r="B3715"/>
      <c r="C3715"/>
      <c r="D3715"/>
      <c r="E3715" s="2">
        <f>Comuni__2[[#This Row],[Popolazione2011]]/$D$7911</f>
        <v>1.8662783147362093E-5</v>
      </c>
      <c r="F3715">
        <f>SUMIFS($D$2:$D$7909, $B$2:$B$7909, "Lombardia")</f>
        <v>9704151</v>
      </c>
      <c r="G3715" s="1">
        <f>Comuni__2[[#This Row],[Popolazione2011]]/Comuni__2[[#This Row],[POPOLAZIONE TOTALE DI OGNI REGIONE (CON FILTRO)]]</f>
        <v>1.1428099171169121E-4</v>
      </c>
      <c r="H3715" t="str">
        <f>IF(Comuni__2[[#This Row],[Popolazione2011]]&gt;300000,"MAGGIORE","")</f>
        <v/>
      </c>
      <c r="J3715">
        <v>1524</v>
      </c>
      <c r="K3715">
        <v>9734</v>
      </c>
      <c r="L3715">
        <v>1113</v>
      </c>
    </row>
    <row r="3716" spans="1:12" x14ac:dyDescent="0.2">
      <c r="A3716"/>
      <c r="B3716"/>
      <c r="C3716"/>
      <c r="D3716"/>
      <c r="E3716" s="2">
        <f>Comuni__2[[#This Row],[Popolazione2011]]/$D$7911</f>
        <v>1.8645954668419477E-5</v>
      </c>
      <c r="F3716">
        <f>SUMIFS($D$2:$D$7909, $B$2:$B$7909, "Lombardia")</f>
        <v>9704151</v>
      </c>
      <c r="G3716" s="1">
        <f>Comuni__2[[#This Row],[Popolazione2011]]/Comuni__2[[#This Row],[POPOLAZIONE TOTALE DI OGNI REGIONE (CON FILTRO)]]</f>
        <v>1.1417794302664911E-4</v>
      </c>
      <c r="H3716" t="str">
        <f>IF(Comuni__2[[#This Row],[Popolazione2011]]&gt;300000,"MAGGIORE","")</f>
        <v/>
      </c>
      <c r="J3716">
        <v>1610</v>
      </c>
      <c r="K3716">
        <v>10240</v>
      </c>
      <c r="L3716">
        <v>1129</v>
      </c>
    </row>
    <row r="3717" spans="1:12" x14ac:dyDescent="0.2">
      <c r="A3717"/>
      <c r="B3717"/>
      <c r="C3717"/>
      <c r="D3717"/>
      <c r="E3717" s="2">
        <f>Comuni__2[[#This Row],[Popolazione2011]]/$D$7911</f>
        <v>1.8393527484280222E-5</v>
      </c>
      <c r="F3717">
        <f>SUMIFS($D$2:$D$7909, $B$2:$B$7909, "Lombardia")</f>
        <v>9704151</v>
      </c>
      <c r="G3717" s="1">
        <f>Comuni__2[[#This Row],[Popolazione2011]]/Comuni__2[[#This Row],[POPOLAZIONE TOTALE DI OGNI REGIONE (CON FILTRO)]]</f>
        <v>1.1263221275101758E-4</v>
      </c>
      <c r="H3717" t="str">
        <f>IF(Comuni__2[[#This Row],[Popolazione2011]]&gt;300000,"MAGGIORE","")</f>
        <v/>
      </c>
      <c r="J3717">
        <v>1629</v>
      </c>
      <c r="K3717">
        <v>10612</v>
      </c>
      <c r="L3717">
        <v>1148</v>
      </c>
    </row>
    <row r="3718" spans="1:12" x14ac:dyDescent="0.2">
      <c r="A3718"/>
      <c r="B3718"/>
      <c r="C3718"/>
      <c r="D3718"/>
      <c r="E3718" s="2">
        <f>Comuni__2[[#This Row],[Popolazione2011]]/$D$7911</f>
        <v>1.8359870526394989E-5</v>
      </c>
      <c r="F3718">
        <f>SUMIFS($D$2:$D$7909, $B$2:$B$7909, "Lombardia")</f>
        <v>9704151</v>
      </c>
      <c r="G3718" s="1">
        <f>Comuni__2[[#This Row],[Popolazione2011]]/Comuni__2[[#This Row],[POPOLAZIONE TOTALE DI OGNI REGIONE (CON FILTRO)]]</f>
        <v>1.1242611538093337E-4</v>
      </c>
      <c r="H3718" t="str">
        <f>IF(Comuni__2[[#This Row],[Popolazione2011]]&gt;300000,"MAGGIORE","")</f>
        <v/>
      </c>
      <c r="J3718">
        <v>1637</v>
      </c>
      <c r="K3718">
        <v>10975</v>
      </c>
      <c r="L3718">
        <v>1180</v>
      </c>
    </row>
    <row r="3719" spans="1:12" x14ac:dyDescent="0.2">
      <c r="A3719"/>
      <c r="B3719"/>
      <c r="C3719"/>
      <c r="D3719"/>
      <c r="E3719" s="2">
        <f>Comuni__2[[#This Row],[Popolazione2011]]/$D$7911</f>
        <v>1.8359870526394989E-5</v>
      </c>
      <c r="F3719">
        <f>SUMIFS($D$2:$D$7909, $B$2:$B$7909, "Lombardia")</f>
        <v>9704151</v>
      </c>
      <c r="G3719" s="1">
        <f>Comuni__2[[#This Row],[Popolazione2011]]/Comuni__2[[#This Row],[POPOLAZIONE TOTALE DI OGNI REGIONE (CON FILTRO)]]</f>
        <v>1.1242611538093337E-4</v>
      </c>
      <c r="H3719" t="str">
        <f>IF(Comuni__2[[#This Row],[Popolazione2011]]&gt;300000,"MAGGIORE","")</f>
        <v/>
      </c>
      <c r="J3719">
        <v>1690</v>
      </c>
      <c r="K3719">
        <v>11288</v>
      </c>
      <c r="L3719">
        <v>1220</v>
      </c>
    </row>
    <row r="3720" spans="1:12" x14ac:dyDescent="0.2">
      <c r="A3720"/>
      <c r="B3720"/>
      <c r="C3720"/>
      <c r="D3720"/>
      <c r="E3720" s="2">
        <f>Comuni__2[[#This Row],[Popolazione2011]]/$D$7911</f>
        <v>1.8343042047452373E-5</v>
      </c>
      <c r="F3720">
        <f>SUMIFS($D$2:$D$7909, $B$2:$B$7909, "Lombardia")</f>
        <v>9704151</v>
      </c>
      <c r="G3720" s="1">
        <f>Comuni__2[[#This Row],[Popolazione2011]]/Comuni__2[[#This Row],[POPOLAZIONE TOTALE DI OGNI REGIONE (CON FILTRO)]]</f>
        <v>1.1232306669589127E-4</v>
      </c>
      <c r="H3720" t="str">
        <f>IF(Comuni__2[[#This Row],[Popolazione2011]]&gt;300000,"MAGGIORE","")</f>
        <v/>
      </c>
      <c r="J3720">
        <v>1690</v>
      </c>
      <c r="K3720">
        <v>11823</v>
      </c>
      <c r="L3720">
        <v>1272</v>
      </c>
    </row>
    <row r="3721" spans="1:12" x14ac:dyDescent="0.2">
      <c r="A3721"/>
      <c r="B3721"/>
      <c r="C3721"/>
      <c r="D3721"/>
      <c r="E3721" s="2">
        <f>Comuni__2[[#This Row],[Popolazione2011]]/$D$7911</f>
        <v>1.8258899652739289E-5</v>
      </c>
      <c r="F3721">
        <f>SUMIFS($D$2:$D$7909, $B$2:$B$7909, "Lombardia")</f>
        <v>9704151</v>
      </c>
      <c r="G3721" s="1">
        <f>Comuni__2[[#This Row],[Popolazione2011]]/Comuni__2[[#This Row],[POPOLAZIONE TOTALE DI OGNI REGIONE (CON FILTRO)]]</f>
        <v>1.1180782327068076E-4</v>
      </c>
      <c r="H3721" t="str">
        <f>IF(Comuni__2[[#This Row],[Popolazione2011]]&gt;300000,"MAGGIORE","")</f>
        <v/>
      </c>
      <c r="J3721">
        <v>1693</v>
      </c>
      <c r="K3721">
        <v>12192</v>
      </c>
      <c r="L3721">
        <v>1302</v>
      </c>
    </row>
    <row r="3722" spans="1:12" x14ac:dyDescent="0.2">
      <c r="A3722"/>
      <c r="B3722"/>
      <c r="C3722"/>
      <c r="D3722"/>
      <c r="E3722" s="2">
        <f>Comuni__2[[#This Row],[Popolazione2011]]/$D$7911</f>
        <v>1.8242071173796673E-5</v>
      </c>
      <c r="F3722">
        <f>SUMIFS($D$2:$D$7909, $B$2:$B$7909, "Lombardia")</f>
        <v>9704151</v>
      </c>
      <c r="G3722" s="1">
        <f>Comuni__2[[#This Row],[Popolazione2011]]/Comuni__2[[#This Row],[POPOLAZIONE TOTALE DI OGNI REGIONE (CON FILTRO)]]</f>
        <v>1.1170477458563866E-4</v>
      </c>
      <c r="H3722" t="str">
        <f>IF(Comuni__2[[#This Row],[Popolazione2011]]&gt;300000,"MAGGIORE","")</f>
        <v/>
      </c>
      <c r="J3722">
        <v>1788</v>
      </c>
      <c r="K3722">
        <v>12668</v>
      </c>
      <c r="L3722">
        <v>1354</v>
      </c>
    </row>
    <row r="3723" spans="1:12" x14ac:dyDescent="0.2">
      <c r="A3723"/>
      <c r="B3723"/>
      <c r="C3723"/>
      <c r="D3723"/>
      <c r="E3723" s="2">
        <f>Comuni__2[[#This Row],[Popolazione2011]]/$D$7911</f>
        <v>1.8225242694854054E-5</v>
      </c>
      <c r="F3723">
        <f>SUMIFS($D$2:$D$7909, $B$2:$B$7909, "Lombardia")</f>
        <v>9704151</v>
      </c>
      <c r="G3723" s="1">
        <f>Comuni__2[[#This Row],[Popolazione2011]]/Comuni__2[[#This Row],[POPOLAZIONE TOTALE DI OGNI REGIONE (CON FILTRO)]]</f>
        <v>1.1160172590059655E-4</v>
      </c>
      <c r="H3723" t="str">
        <f>IF(Comuni__2[[#This Row],[Popolazione2011]]&gt;300000,"MAGGIORE","")</f>
        <v/>
      </c>
      <c r="J3723">
        <v>1855</v>
      </c>
      <c r="K3723">
        <v>12919</v>
      </c>
      <c r="L3723">
        <v>1402</v>
      </c>
    </row>
    <row r="3724" spans="1:12" x14ac:dyDescent="0.2">
      <c r="A3724"/>
      <c r="B3724"/>
      <c r="C3724"/>
      <c r="D3724"/>
      <c r="E3724" s="2">
        <f>Comuni__2[[#This Row],[Popolazione2011]]/$D$7911</f>
        <v>1.8208414215911438E-5</v>
      </c>
      <c r="F3724">
        <f>SUMIFS($D$2:$D$7909, $B$2:$B$7909, "Lombardia")</f>
        <v>9704151</v>
      </c>
      <c r="G3724" s="1">
        <f>Comuni__2[[#This Row],[Popolazione2011]]/Comuni__2[[#This Row],[POPOLAZIONE TOTALE DI OGNI REGIONE (CON FILTRO)]]</f>
        <v>1.1149867721555446E-4</v>
      </c>
      <c r="H3724" t="str">
        <f>IF(Comuni__2[[#This Row],[Popolazione2011]]&gt;300000,"MAGGIORE","")</f>
        <v/>
      </c>
      <c r="J3724">
        <v>1875</v>
      </c>
      <c r="K3724">
        <v>13225</v>
      </c>
      <c r="L3724">
        <v>1432</v>
      </c>
    </row>
    <row r="3725" spans="1:12" x14ac:dyDescent="0.2">
      <c r="A3725"/>
      <c r="B3725"/>
      <c r="C3725"/>
      <c r="D3725"/>
      <c r="E3725" s="2">
        <f>Comuni__2[[#This Row],[Popolazione2011]]/$D$7911</f>
        <v>1.8056957905427886E-5</v>
      </c>
      <c r="F3725">
        <f>SUMIFS($D$2:$D$7909, $B$2:$B$7909, "Lombardia")</f>
        <v>9704151</v>
      </c>
      <c r="G3725" s="1">
        <f>Comuni__2[[#This Row],[Popolazione2011]]/Comuni__2[[#This Row],[POPOLAZIONE TOTALE DI OGNI REGIONE (CON FILTRO)]]</f>
        <v>1.1057123905017554E-4</v>
      </c>
      <c r="H3725" t="str">
        <f>IF(Comuni__2[[#This Row],[Popolazione2011]]&gt;300000,"MAGGIORE","")</f>
        <v/>
      </c>
      <c r="J3725">
        <v>1887</v>
      </c>
      <c r="K3725">
        <v>13521</v>
      </c>
      <c r="L3725">
        <v>1453</v>
      </c>
    </row>
    <row r="3726" spans="1:12" x14ac:dyDescent="0.2">
      <c r="A3726"/>
      <c r="B3726"/>
      <c r="C3726"/>
      <c r="D3726"/>
      <c r="E3726" s="2">
        <f>Comuni__2[[#This Row],[Popolazione2011]]/$D$7911</f>
        <v>1.7939158552829569E-5</v>
      </c>
      <c r="F3726">
        <f>SUMIFS($D$2:$D$7909, $B$2:$B$7909, "Lombardia")</f>
        <v>9704151</v>
      </c>
      <c r="G3726" s="1">
        <f>Comuni__2[[#This Row],[Popolazione2011]]/Comuni__2[[#This Row],[POPOLAZIONE TOTALE DI OGNI REGIONE (CON FILTRO)]]</f>
        <v>1.0984989825488082E-4</v>
      </c>
      <c r="H3726" t="str">
        <f>IF(Comuni__2[[#This Row],[Popolazione2011]]&gt;300000,"MAGGIORE","")</f>
        <v/>
      </c>
      <c r="J3726">
        <v>1901</v>
      </c>
      <c r="K3726">
        <v>14065</v>
      </c>
      <c r="L3726">
        <v>1483</v>
      </c>
    </row>
    <row r="3727" spans="1:12" x14ac:dyDescent="0.2">
      <c r="A3727"/>
      <c r="B3727"/>
      <c r="C3727"/>
      <c r="D3727"/>
      <c r="E3727" s="2">
        <f>Comuni__2[[#This Row],[Popolazione2011]]/$D$7911</f>
        <v>1.7804530721288634E-5</v>
      </c>
      <c r="F3727">
        <f>SUMIFS($D$2:$D$7909, $B$2:$B$7909, "Lombardia")</f>
        <v>9704151</v>
      </c>
      <c r="G3727" s="1">
        <f>Comuni__2[[#This Row],[Popolazione2011]]/Comuni__2[[#This Row],[POPOLAZIONE TOTALE DI OGNI REGIONE (CON FILTRO)]]</f>
        <v>1.0902550877454401E-4</v>
      </c>
      <c r="H3727" t="str">
        <f>IF(Comuni__2[[#This Row],[Popolazione2011]]&gt;300000,"MAGGIORE","")</f>
        <v/>
      </c>
      <c r="J3727">
        <v>1911</v>
      </c>
      <c r="K3727">
        <v>14696</v>
      </c>
      <c r="L3727">
        <v>1517</v>
      </c>
    </row>
    <row r="3728" spans="1:12" x14ac:dyDescent="0.2">
      <c r="A3728"/>
      <c r="B3728"/>
      <c r="C3728"/>
      <c r="D3728"/>
      <c r="E3728" s="2">
        <f>Comuni__2[[#This Row],[Popolazione2011]]/$D$7911</f>
        <v>1.7770873763403401E-5</v>
      </c>
      <c r="F3728">
        <f>SUMIFS($D$2:$D$7909, $B$2:$B$7909, "Lombardia")</f>
        <v>9704151</v>
      </c>
      <c r="G3728" s="1">
        <f>Comuni__2[[#This Row],[Popolazione2011]]/Comuni__2[[#This Row],[POPOLAZIONE TOTALE DI OGNI REGIONE (CON FILTRO)]]</f>
        <v>1.088194114044598E-4</v>
      </c>
      <c r="H3728" t="str">
        <f>IF(Comuni__2[[#This Row],[Popolazione2011]]&gt;300000,"MAGGIORE","")</f>
        <v/>
      </c>
      <c r="J3728">
        <v>1889</v>
      </c>
      <c r="K3728">
        <v>15341</v>
      </c>
      <c r="L3728">
        <v>1546</v>
      </c>
    </row>
    <row r="3729" spans="1:12" x14ac:dyDescent="0.2">
      <c r="A3729"/>
      <c r="B3729"/>
      <c r="C3729"/>
      <c r="D3729"/>
      <c r="E3729" s="2">
        <f>Comuni__2[[#This Row],[Popolazione2011]]/$D$7911</f>
        <v>1.7754045284460782E-5</v>
      </c>
      <c r="F3729">
        <f>SUMIFS($D$2:$D$7909, $B$2:$B$7909, "Lombardia")</f>
        <v>9704151</v>
      </c>
      <c r="G3729" s="1">
        <f>Comuni__2[[#This Row],[Popolazione2011]]/Comuni__2[[#This Row],[POPOLAZIONE TOTALE DI OGNI REGIONE (CON FILTRO)]]</f>
        <v>1.087163627194177E-4</v>
      </c>
      <c r="H3729" t="str">
        <f>IF(Comuni__2[[#This Row],[Popolazione2011]]&gt;300000,"MAGGIORE","")</f>
        <v/>
      </c>
      <c r="J3729">
        <v>1847</v>
      </c>
      <c r="K3729">
        <v>15912</v>
      </c>
      <c r="L3729">
        <v>1588</v>
      </c>
    </row>
    <row r="3730" spans="1:12" x14ac:dyDescent="0.2">
      <c r="A3730"/>
      <c r="B3730"/>
      <c r="C3730"/>
      <c r="D3730"/>
      <c r="E3730" s="2">
        <f>Comuni__2[[#This Row],[Popolazione2011]]/$D$7911</f>
        <v>1.760258897397723E-5</v>
      </c>
      <c r="F3730">
        <f>SUMIFS($D$2:$D$7909, $B$2:$B$7909, "Lombardia")</f>
        <v>9704151</v>
      </c>
      <c r="G3730" s="1">
        <f>Comuni__2[[#This Row],[Popolazione2011]]/Comuni__2[[#This Row],[POPOLAZIONE TOTALE DI OGNI REGIONE (CON FILTRO)]]</f>
        <v>1.0778892455403878E-4</v>
      </c>
      <c r="H3730" t="str">
        <f>IF(Comuni__2[[#This Row],[Popolazione2011]]&gt;300000,"MAGGIORE","")</f>
        <v/>
      </c>
      <c r="J3730">
        <v>1823</v>
      </c>
      <c r="K3730">
        <v>16464</v>
      </c>
      <c r="L3730">
        <v>1660</v>
      </c>
    </row>
    <row r="3731" spans="1:12" x14ac:dyDescent="0.2">
      <c r="A3731"/>
      <c r="B3731"/>
      <c r="C3731"/>
      <c r="D3731"/>
      <c r="E3731" s="2">
        <f>Comuni__2[[#This Row],[Popolazione2011]]/$D$7911</f>
        <v>1.7518446579264146E-5</v>
      </c>
      <c r="F3731">
        <f>SUMIFS($D$2:$D$7909, $B$2:$B$7909, "Lombardia")</f>
        <v>9704151</v>
      </c>
      <c r="G3731" s="1">
        <f>Comuni__2[[#This Row],[Popolazione2011]]/Comuni__2[[#This Row],[POPOLAZIONE TOTALE DI OGNI REGIONE (CON FILTRO)]]</f>
        <v>1.0727368112882827E-4</v>
      </c>
      <c r="H3731" t="str">
        <f>IF(Comuni__2[[#This Row],[Popolazione2011]]&gt;300000,"MAGGIORE","")</f>
        <v/>
      </c>
      <c r="J3731">
        <v>1796</v>
      </c>
      <c r="K3731">
        <v>16704</v>
      </c>
      <c r="L3731">
        <v>1688</v>
      </c>
    </row>
    <row r="3732" spans="1:12" x14ac:dyDescent="0.2">
      <c r="A3732"/>
      <c r="B3732"/>
      <c r="C3732"/>
      <c r="D3732"/>
      <c r="E3732" s="2">
        <f>Comuni__2[[#This Row],[Popolazione2011]]/$D$7911</f>
        <v>1.7518446579264146E-5</v>
      </c>
      <c r="F3732">
        <f>SUMIFS($D$2:$D$7909, $B$2:$B$7909, "Lombardia")</f>
        <v>9704151</v>
      </c>
      <c r="G3732" s="1">
        <f>Comuni__2[[#This Row],[Popolazione2011]]/Comuni__2[[#This Row],[POPOLAZIONE TOTALE DI OGNI REGIONE (CON FILTRO)]]</f>
        <v>1.0727368112882827E-4</v>
      </c>
      <c r="H3732" t="str">
        <f>IF(Comuni__2[[#This Row],[Popolazione2011]]&gt;300000,"MAGGIORE","")</f>
        <v/>
      </c>
      <c r="J3732">
        <v>1816</v>
      </c>
      <c r="K3732">
        <v>16795</v>
      </c>
      <c r="L3732">
        <v>1712</v>
      </c>
    </row>
    <row r="3733" spans="1:12" x14ac:dyDescent="0.2">
      <c r="A3733"/>
      <c r="B3733"/>
      <c r="C3733"/>
      <c r="D3733"/>
      <c r="E3733" s="2">
        <f>Comuni__2[[#This Row],[Popolazione2011]]/$D$7911</f>
        <v>1.7518446579264146E-5</v>
      </c>
      <c r="F3733">
        <f>SUMIFS($D$2:$D$7909, $B$2:$B$7909, "Lombardia")</f>
        <v>9704151</v>
      </c>
      <c r="G3733" s="1">
        <f>Comuni__2[[#This Row],[Popolazione2011]]/Comuni__2[[#This Row],[POPOLAZIONE TOTALE DI OGNI REGIONE (CON FILTRO)]]</f>
        <v>1.0727368112882827E-4</v>
      </c>
      <c r="H3733" t="str">
        <f>IF(Comuni__2[[#This Row],[Popolazione2011]]&gt;300000,"MAGGIORE","")</f>
        <v/>
      </c>
      <c r="J3733">
        <v>0</v>
      </c>
      <c r="K3733">
        <v>0</v>
      </c>
      <c r="L3733">
        <v>0</v>
      </c>
    </row>
    <row r="3734" spans="1:12" x14ac:dyDescent="0.2">
      <c r="A3734"/>
      <c r="B3734"/>
      <c r="C3734"/>
      <c r="D3734"/>
      <c r="E3734" s="2">
        <f>Comuni__2[[#This Row],[Popolazione2011]]/$D$7911</f>
        <v>1.7467961142436298E-5</v>
      </c>
      <c r="F3734">
        <f>SUMIFS($D$2:$D$7909, $B$2:$B$7909, "Lombardia")</f>
        <v>9704151</v>
      </c>
      <c r="G3734" s="1">
        <f>Comuni__2[[#This Row],[Popolazione2011]]/Comuni__2[[#This Row],[POPOLAZIONE TOTALE DI OGNI REGIONE (CON FILTRO)]]</f>
        <v>1.0696453507370197E-4</v>
      </c>
      <c r="H3734" t="str">
        <f>IF(Comuni__2[[#This Row],[Popolazione2011]]&gt;300000,"MAGGIORE","")</f>
        <v/>
      </c>
      <c r="J3734">
        <v>0</v>
      </c>
      <c r="K3734">
        <v>0</v>
      </c>
      <c r="L3734">
        <v>0</v>
      </c>
    </row>
    <row r="3735" spans="1:12" x14ac:dyDescent="0.2">
      <c r="A3735"/>
      <c r="B3735"/>
      <c r="C3735"/>
      <c r="D3735"/>
      <c r="E3735" s="2">
        <f>Comuni__2[[#This Row],[Popolazione2011]]/$D$7911</f>
        <v>1.7451132663493678E-5</v>
      </c>
      <c r="F3735">
        <f>SUMIFS($D$2:$D$7909, $B$2:$B$7909, "Lombardia")</f>
        <v>9704151</v>
      </c>
      <c r="G3735" s="1">
        <f>Comuni__2[[#This Row],[Popolazione2011]]/Comuni__2[[#This Row],[POPOLAZIONE TOTALE DI OGNI REGIONE (CON FILTRO)]]</f>
        <v>1.0686148638865986E-4</v>
      </c>
      <c r="H3735" t="str">
        <f>IF(Comuni__2[[#This Row],[Popolazione2011]]&gt;300000,"MAGGIORE","")</f>
        <v/>
      </c>
      <c r="J3735">
        <v>0</v>
      </c>
      <c r="K3735">
        <v>0</v>
      </c>
      <c r="L3735">
        <v>0</v>
      </c>
    </row>
    <row r="3736" spans="1:12" x14ac:dyDescent="0.2">
      <c r="A3736"/>
      <c r="B3736"/>
      <c r="C3736"/>
      <c r="D3736"/>
      <c r="E3736" s="2">
        <f>Comuni__2[[#This Row],[Popolazione2011]]/$D$7911</f>
        <v>1.7451132663493678E-5</v>
      </c>
      <c r="F3736">
        <f>SUMIFS($D$2:$D$7909, $B$2:$B$7909, "Lombardia")</f>
        <v>9704151</v>
      </c>
      <c r="G3736" s="1">
        <f>Comuni__2[[#This Row],[Popolazione2011]]/Comuni__2[[#This Row],[POPOLAZIONE TOTALE DI OGNI REGIONE (CON FILTRO)]]</f>
        <v>1.0686148638865986E-4</v>
      </c>
      <c r="H3736" t="str">
        <f>IF(Comuni__2[[#This Row],[Popolazione2011]]&gt;300000,"MAGGIORE","")</f>
        <v/>
      </c>
      <c r="J3736">
        <v>0</v>
      </c>
      <c r="K3736">
        <v>0</v>
      </c>
      <c r="L3736">
        <v>0</v>
      </c>
    </row>
    <row r="3737" spans="1:12" x14ac:dyDescent="0.2">
      <c r="A3737"/>
      <c r="B3737"/>
      <c r="C3737"/>
      <c r="D3737"/>
      <c r="E3737" s="2">
        <f>Comuni__2[[#This Row],[Popolazione2011]]/$D$7911</f>
        <v>1.7434304184551062E-5</v>
      </c>
      <c r="F3737">
        <f>SUMIFS($D$2:$D$7909, $B$2:$B$7909, "Lombardia")</f>
        <v>9704151</v>
      </c>
      <c r="G3737" s="1">
        <f>Comuni__2[[#This Row],[Popolazione2011]]/Comuni__2[[#This Row],[POPOLAZIONE TOTALE DI OGNI REGIONE (CON FILTRO)]]</f>
        <v>1.0675843770361776E-4</v>
      </c>
      <c r="H3737" t="str">
        <f>IF(Comuni__2[[#This Row],[Popolazione2011]]&gt;300000,"MAGGIORE","")</f>
        <v/>
      </c>
      <c r="J3737">
        <v>0</v>
      </c>
      <c r="K3737">
        <v>0</v>
      </c>
      <c r="L3737">
        <v>0</v>
      </c>
    </row>
    <row r="3738" spans="1:12" x14ac:dyDescent="0.2">
      <c r="A3738"/>
      <c r="B3738"/>
      <c r="C3738"/>
      <c r="D3738"/>
      <c r="E3738" s="2">
        <f>Comuni__2[[#This Row],[Popolazione2011]]/$D$7911</f>
        <v>1.7417475705608446E-5</v>
      </c>
      <c r="F3738">
        <f>SUMIFS($D$2:$D$7909, $B$2:$B$7909, "Lombardia")</f>
        <v>9704151</v>
      </c>
      <c r="G3738" s="1">
        <f>Comuni__2[[#This Row],[Popolazione2011]]/Comuni__2[[#This Row],[POPOLAZIONE TOTALE DI OGNI REGIONE (CON FILTRO)]]</f>
        <v>1.0665538901857565E-4</v>
      </c>
      <c r="H3738" t="str">
        <f>IF(Comuni__2[[#This Row],[Popolazione2011]]&gt;300000,"MAGGIORE","")</f>
        <v/>
      </c>
      <c r="J3738">
        <v>0</v>
      </c>
      <c r="K3738">
        <v>0</v>
      </c>
      <c r="L3738">
        <v>0</v>
      </c>
    </row>
    <row r="3739" spans="1:12" x14ac:dyDescent="0.2">
      <c r="A3739"/>
      <c r="B3739"/>
      <c r="C3739"/>
      <c r="D3739"/>
      <c r="E3739" s="2">
        <f>Comuni__2[[#This Row],[Popolazione2011]]/$D$7911</f>
        <v>1.7417475705608446E-5</v>
      </c>
      <c r="F3739">
        <f>SUMIFS($D$2:$D$7909, $B$2:$B$7909, "Lombardia")</f>
        <v>9704151</v>
      </c>
      <c r="G3739" s="1">
        <f>Comuni__2[[#This Row],[Popolazione2011]]/Comuni__2[[#This Row],[POPOLAZIONE TOTALE DI OGNI REGIONE (CON FILTRO)]]</f>
        <v>1.0665538901857565E-4</v>
      </c>
      <c r="H3739" t="str">
        <f>IF(Comuni__2[[#This Row],[Popolazione2011]]&gt;300000,"MAGGIORE","")</f>
        <v/>
      </c>
      <c r="J3739">
        <v>0</v>
      </c>
      <c r="K3739">
        <v>0</v>
      </c>
      <c r="L3739">
        <v>0</v>
      </c>
    </row>
    <row r="3740" spans="1:12" x14ac:dyDescent="0.2">
      <c r="A3740"/>
      <c r="B3740"/>
      <c r="C3740"/>
      <c r="D3740"/>
      <c r="E3740" s="2">
        <f>Comuni__2[[#This Row],[Popolazione2011]]/$D$7911</f>
        <v>1.740064722666583E-5</v>
      </c>
      <c r="F3740">
        <f>SUMIFS($D$2:$D$7909, $B$2:$B$7909, "Lombardia")</f>
        <v>9704151</v>
      </c>
      <c r="G3740" s="1">
        <f>Comuni__2[[#This Row],[Popolazione2011]]/Comuni__2[[#This Row],[POPOLAZIONE TOTALE DI OGNI REGIONE (CON FILTRO)]]</f>
        <v>1.0655234033353355E-4</v>
      </c>
      <c r="H3740" t="str">
        <f>IF(Comuni__2[[#This Row],[Popolazione2011]]&gt;300000,"MAGGIORE","")</f>
        <v/>
      </c>
      <c r="J3740">
        <v>0</v>
      </c>
      <c r="K3740">
        <v>0</v>
      </c>
      <c r="L3740">
        <v>0</v>
      </c>
    </row>
    <row r="3741" spans="1:12" x14ac:dyDescent="0.2">
      <c r="A3741"/>
      <c r="B3741"/>
      <c r="C3741"/>
      <c r="D3741"/>
      <c r="E3741" s="2">
        <f>Comuni__2[[#This Row],[Popolazione2011]]/$D$7911</f>
        <v>1.7366990268780594E-5</v>
      </c>
      <c r="F3741">
        <f>SUMIFS($D$2:$D$7909, $B$2:$B$7909, "Lombardia")</f>
        <v>9704151</v>
      </c>
      <c r="G3741" s="1">
        <f>Comuni__2[[#This Row],[Popolazione2011]]/Comuni__2[[#This Row],[POPOLAZIONE TOTALE DI OGNI REGIONE (CON FILTRO)]]</f>
        <v>1.0634624296344936E-4</v>
      </c>
      <c r="H3741" t="str">
        <f>IF(Comuni__2[[#This Row],[Popolazione2011]]&gt;300000,"MAGGIORE","")</f>
        <v/>
      </c>
      <c r="J3741">
        <v>1</v>
      </c>
      <c r="K3741">
        <v>0</v>
      </c>
      <c r="L3741">
        <v>0</v>
      </c>
    </row>
    <row r="3742" spans="1:12" x14ac:dyDescent="0.2">
      <c r="A3742"/>
      <c r="B3742"/>
      <c r="C3742"/>
      <c r="D3742"/>
      <c r="E3742" s="2">
        <f>Comuni__2[[#This Row],[Popolazione2011]]/$D$7911</f>
        <v>1.7333333310895362E-5</v>
      </c>
      <c r="F3742">
        <f>SUMIFS($D$2:$D$7909, $B$2:$B$7909, "Lombardia")</f>
        <v>9704151</v>
      </c>
      <c r="G3742" s="1">
        <f>Comuni__2[[#This Row],[Popolazione2011]]/Comuni__2[[#This Row],[POPOLAZIONE TOTALE DI OGNI REGIONE (CON FILTRO)]]</f>
        <v>1.0614014559336515E-4</v>
      </c>
      <c r="H3742" t="str">
        <f>IF(Comuni__2[[#This Row],[Popolazione2011]]&gt;300000,"MAGGIORE","")</f>
        <v/>
      </c>
      <c r="J3742">
        <v>1</v>
      </c>
      <c r="K3742">
        <v>0</v>
      </c>
      <c r="L3742">
        <v>0</v>
      </c>
    </row>
    <row r="3743" spans="1:12" x14ac:dyDescent="0.2">
      <c r="A3743"/>
      <c r="B3743"/>
      <c r="C3743"/>
      <c r="D3743"/>
      <c r="E3743" s="2">
        <f>Comuni__2[[#This Row],[Popolazione2011]]/$D$7911</f>
        <v>1.7333333310895362E-5</v>
      </c>
      <c r="F3743">
        <f>SUMIFS($D$2:$D$7909, $B$2:$B$7909, "Lombardia")</f>
        <v>9704151</v>
      </c>
      <c r="G3743" s="1">
        <f>Comuni__2[[#This Row],[Popolazione2011]]/Comuni__2[[#This Row],[POPOLAZIONE TOTALE DI OGNI REGIONE (CON FILTRO)]]</f>
        <v>1.0614014559336515E-4</v>
      </c>
      <c r="H3743" t="str">
        <f>IF(Comuni__2[[#This Row],[Popolazione2011]]&gt;300000,"MAGGIORE","")</f>
        <v/>
      </c>
      <c r="J3743">
        <v>2</v>
      </c>
      <c r="K3743">
        <v>0</v>
      </c>
      <c r="L3743">
        <v>0</v>
      </c>
    </row>
    <row r="3744" spans="1:12" x14ac:dyDescent="0.2">
      <c r="A3744"/>
      <c r="B3744"/>
      <c r="C3744"/>
      <c r="D3744"/>
      <c r="E3744" s="2">
        <f>Comuni__2[[#This Row],[Popolazione2011]]/$D$7911</f>
        <v>1.7249190916182278E-5</v>
      </c>
      <c r="F3744">
        <f>SUMIFS($D$2:$D$7909, $B$2:$B$7909, "Lombardia")</f>
        <v>9704151</v>
      </c>
      <c r="G3744" s="1">
        <f>Comuni__2[[#This Row],[Popolazione2011]]/Comuni__2[[#This Row],[POPOLAZIONE TOTALE DI OGNI REGIONE (CON FILTRO)]]</f>
        <v>1.0562490216815464E-4</v>
      </c>
      <c r="H3744" t="str">
        <f>IF(Comuni__2[[#This Row],[Popolazione2011]]&gt;300000,"MAGGIORE","")</f>
        <v/>
      </c>
      <c r="J3744">
        <v>2</v>
      </c>
      <c r="K3744">
        <v>0</v>
      </c>
      <c r="L3744">
        <v>0</v>
      </c>
    </row>
    <row r="3745" spans="1:12" x14ac:dyDescent="0.2">
      <c r="A3745"/>
      <c r="B3745"/>
      <c r="C3745"/>
      <c r="D3745"/>
      <c r="E3745" s="2">
        <f>Comuni__2[[#This Row],[Popolazione2011]]/$D$7911</f>
        <v>1.7215533958297042E-5</v>
      </c>
      <c r="F3745">
        <f>SUMIFS($D$2:$D$7909, $B$2:$B$7909, "Lombardia")</f>
        <v>9704151</v>
      </c>
      <c r="G3745" s="1">
        <f>Comuni__2[[#This Row],[Popolazione2011]]/Comuni__2[[#This Row],[POPOLAZIONE TOTALE DI OGNI REGIONE (CON FILTRO)]]</f>
        <v>1.0541880479807043E-4</v>
      </c>
      <c r="H3745" t="str">
        <f>IF(Comuni__2[[#This Row],[Popolazione2011]]&gt;300000,"MAGGIORE","")</f>
        <v/>
      </c>
      <c r="J3745">
        <v>2</v>
      </c>
      <c r="K3745">
        <v>0</v>
      </c>
      <c r="L3745">
        <v>0</v>
      </c>
    </row>
    <row r="3746" spans="1:12" x14ac:dyDescent="0.2">
      <c r="A3746"/>
      <c r="B3746"/>
      <c r="C3746"/>
      <c r="D3746"/>
      <c r="E3746" s="2">
        <f>Comuni__2[[#This Row],[Popolazione2011]]/$D$7911</f>
        <v>1.7148220042526578E-5</v>
      </c>
      <c r="F3746">
        <f>SUMIFS($D$2:$D$7909, $B$2:$B$7909, "Lombardia")</f>
        <v>9704151</v>
      </c>
      <c r="G3746" s="1">
        <f>Comuni__2[[#This Row],[Popolazione2011]]/Comuni__2[[#This Row],[POPOLAZIONE TOTALE DI OGNI REGIONE (CON FILTRO)]]</f>
        <v>1.0500661005790203E-4</v>
      </c>
      <c r="H3746" t="str">
        <f>IF(Comuni__2[[#This Row],[Popolazione2011]]&gt;300000,"MAGGIORE","")</f>
        <v/>
      </c>
      <c r="J3746">
        <v>5</v>
      </c>
      <c r="K3746">
        <v>0</v>
      </c>
      <c r="L3746">
        <v>0</v>
      </c>
    </row>
    <row r="3747" spans="1:12" x14ac:dyDescent="0.2">
      <c r="A3747"/>
      <c r="B3747"/>
      <c r="C3747"/>
      <c r="D3747"/>
      <c r="E3747" s="2">
        <f>Comuni__2[[#This Row],[Popolazione2011]]/$D$7911</f>
        <v>1.7097734605698726E-5</v>
      </c>
      <c r="F3747">
        <f>SUMIFS($D$2:$D$7909, $B$2:$B$7909, "Lombardia")</f>
        <v>9704151</v>
      </c>
      <c r="G3747" s="1">
        <f>Comuni__2[[#This Row],[Popolazione2011]]/Comuni__2[[#This Row],[POPOLAZIONE TOTALE DI OGNI REGIONE (CON FILTRO)]]</f>
        <v>1.0469746400277571E-4</v>
      </c>
      <c r="H3747" t="str">
        <f>IF(Comuni__2[[#This Row],[Popolazione2011]]&gt;300000,"MAGGIORE","")</f>
        <v/>
      </c>
      <c r="J3747">
        <v>8</v>
      </c>
      <c r="K3747">
        <v>0</v>
      </c>
      <c r="L3747">
        <v>0</v>
      </c>
    </row>
    <row r="3748" spans="1:12" x14ac:dyDescent="0.2">
      <c r="A3748"/>
      <c r="B3748"/>
      <c r="C3748"/>
      <c r="D3748"/>
      <c r="E3748" s="2">
        <f>Comuni__2[[#This Row],[Popolazione2011]]/$D$7911</f>
        <v>1.6946278295215174E-5</v>
      </c>
      <c r="F3748">
        <f>SUMIFS($D$2:$D$7909, $B$2:$B$7909, "Lombardia")</f>
        <v>9704151</v>
      </c>
      <c r="G3748" s="1">
        <f>Comuni__2[[#This Row],[Popolazione2011]]/Comuni__2[[#This Row],[POPOLAZIONE TOTALE DI OGNI REGIONE (CON FILTRO)]]</f>
        <v>1.037700258373968E-4</v>
      </c>
      <c r="H3748" t="str">
        <f>IF(Comuni__2[[#This Row],[Popolazione2011]]&gt;300000,"MAGGIORE","")</f>
        <v/>
      </c>
      <c r="J3748">
        <v>9</v>
      </c>
      <c r="K3748">
        <v>0</v>
      </c>
      <c r="L3748">
        <v>0</v>
      </c>
    </row>
    <row r="3749" spans="1:12" x14ac:dyDescent="0.2">
      <c r="A3749"/>
      <c r="B3749"/>
      <c r="C3749"/>
      <c r="D3749"/>
      <c r="E3749" s="2">
        <f>Comuni__2[[#This Row],[Popolazione2011]]/$D$7911</f>
        <v>1.686213590050209E-5</v>
      </c>
      <c r="F3749">
        <f>SUMIFS($D$2:$D$7909, $B$2:$B$7909, "Lombardia")</f>
        <v>9704151</v>
      </c>
      <c r="G3749" s="1">
        <f>Comuni__2[[#This Row],[Popolazione2011]]/Comuni__2[[#This Row],[POPOLAZIONE TOTALE DI OGNI REGIONE (CON FILTRO)]]</f>
        <v>1.0325478241218629E-4</v>
      </c>
      <c r="H3749" t="str">
        <f>IF(Comuni__2[[#This Row],[Popolazione2011]]&gt;300000,"MAGGIORE","")</f>
        <v/>
      </c>
      <c r="J3749">
        <v>10</v>
      </c>
      <c r="K3749">
        <v>0</v>
      </c>
      <c r="L3749">
        <v>0</v>
      </c>
    </row>
    <row r="3750" spans="1:12" x14ac:dyDescent="0.2">
      <c r="A3750"/>
      <c r="B3750"/>
      <c r="C3750"/>
      <c r="D3750"/>
      <c r="E3750" s="2">
        <f>Comuni__2[[#This Row],[Popolazione2011]]/$D$7911</f>
        <v>1.6845307421559474E-5</v>
      </c>
      <c r="F3750">
        <f>SUMIFS($D$2:$D$7909, $B$2:$B$7909, "Lombardia")</f>
        <v>9704151</v>
      </c>
      <c r="G3750" s="1">
        <f>Comuni__2[[#This Row],[Popolazione2011]]/Comuni__2[[#This Row],[POPOLAZIONE TOTALE DI OGNI REGIONE (CON FILTRO)]]</f>
        <v>1.0315173372714419E-4</v>
      </c>
      <c r="H3750" t="str">
        <f>IF(Comuni__2[[#This Row],[Popolazione2011]]&gt;300000,"MAGGIORE","")</f>
        <v/>
      </c>
      <c r="J3750">
        <v>12</v>
      </c>
      <c r="K3750">
        <v>0</v>
      </c>
      <c r="L3750">
        <v>0</v>
      </c>
    </row>
    <row r="3751" spans="1:12" x14ac:dyDescent="0.2">
      <c r="A3751"/>
      <c r="B3751"/>
      <c r="C3751"/>
      <c r="D3751"/>
      <c r="E3751" s="2">
        <f>Comuni__2[[#This Row],[Popolazione2011]]/$D$7911</f>
        <v>1.6828478942616854E-5</v>
      </c>
      <c r="F3751">
        <f>SUMIFS($D$2:$D$7909, $B$2:$B$7909, "Lombardia")</f>
        <v>9704151</v>
      </c>
      <c r="G3751" s="1">
        <f>Comuni__2[[#This Row],[Popolazione2011]]/Comuni__2[[#This Row],[POPOLAZIONE TOTALE DI OGNI REGIONE (CON FILTRO)]]</f>
        <v>1.0304868504210208E-4</v>
      </c>
      <c r="H3751" t="str">
        <f>IF(Comuni__2[[#This Row],[Popolazione2011]]&gt;300000,"MAGGIORE","")</f>
        <v/>
      </c>
      <c r="J3751">
        <v>12</v>
      </c>
      <c r="K3751">
        <v>0</v>
      </c>
      <c r="L3751">
        <v>0</v>
      </c>
    </row>
    <row r="3752" spans="1:12" x14ac:dyDescent="0.2">
      <c r="A3752"/>
      <c r="B3752"/>
      <c r="C3752"/>
      <c r="D3752"/>
      <c r="E3752" s="2">
        <f>Comuni__2[[#This Row],[Popolazione2011]]/$D$7911</f>
        <v>1.6693851111075922E-5</v>
      </c>
      <c r="F3752">
        <f>SUMIFS($D$2:$D$7909, $B$2:$B$7909, "Lombardia")</f>
        <v>9704151</v>
      </c>
      <c r="G3752" s="1">
        <f>Comuni__2[[#This Row],[Popolazione2011]]/Comuni__2[[#This Row],[POPOLAZIONE TOTALE DI OGNI REGIONE (CON FILTRO)]]</f>
        <v>1.0222429556176526E-4</v>
      </c>
      <c r="H3752" t="str">
        <f>IF(Comuni__2[[#This Row],[Popolazione2011]]&gt;300000,"MAGGIORE","")</f>
        <v/>
      </c>
      <c r="J3752">
        <v>14</v>
      </c>
      <c r="K3752">
        <v>0</v>
      </c>
      <c r="L3752">
        <v>0</v>
      </c>
    </row>
    <row r="3753" spans="1:12" x14ac:dyDescent="0.2">
      <c r="A3753"/>
      <c r="B3753"/>
      <c r="C3753"/>
      <c r="D3753"/>
      <c r="E3753" s="2">
        <f>Comuni__2[[#This Row],[Popolazione2011]]/$D$7911</f>
        <v>1.6660194153190686E-5</v>
      </c>
      <c r="F3753">
        <f>SUMIFS($D$2:$D$7909, $B$2:$B$7909, "Lombardia")</f>
        <v>9704151</v>
      </c>
      <c r="G3753" s="1">
        <f>Comuni__2[[#This Row],[Popolazione2011]]/Comuni__2[[#This Row],[POPOLAZIONE TOTALE DI OGNI REGIONE (CON FILTRO)]]</f>
        <v>1.0201819819168107E-4</v>
      </c>
      <c r="H3753" t="str">
        <f>IF(Comuni__2[[#This Row],[Popolazione2011]]&gt;300000,"MAGGIORE","")</f>
        <v/>
      </c>
      <c r="J3753">
        <v>16</v>
      </c>
      <c r="K3753">
        <v>0</v>
      </c>
      <c r="L3753">
        <v>2</v>
      </c>
    </row>
    <row r="3754" spans="1:12" x14ac:dyDescent="0.2">
      <c r="A3754"/>
      <c r="B3754"/>
      <c r="C3754"/>
      <c r="D3754"/>
      <c r="E3754" s="2">
        <f>Comuni__2[[#This Row],[Popolazione2011]]/$D$7911</f>
        <v>1.6525566321649754E-5</v>
      </c>
      <c r="F3754">
        <f>SUMIFS($D$2:$D$7909, $B$2:$B$7909, "Lombardia")</f>
        <v>9704151</v>
      </c>
      <c r="G3754" s="1">
        <f>Comuni__2[[#This Row],[Popolazione2011]]/Comuni__2[[#This Row],[POPOLAZIONE TOTALE DI OGNI REGIONE (CON FILTRO)]]</f>
        <v>1.0119380871134425E-4</v>
      </c>
      <c r="H3754" t="str">
        <f>IF(Comuni__2[[#This Row],[Popolazione2011]]&gt;300000,"MAGGIORE","")</f>
        <v/>
      </c>
      <c r="J3754">
        <v>39</v>
      </c>
      <c r="K3754">
        <v>0</v>
      </c>
      <c r="L3754">
        <v>2</v>
      </c>
    </row>
    <row r="3755" spans="1:12" x14ac:dyDescent="0.2">
      <c r="A3755"/>
      <c r="B3755"/>
      <c r="C3755"/>
      <c r="D3755"/>
      <c r="E3755" s="2">
        <f>Comuni__2[[#This Row],[Popolazione2011]]/$D$7911</f>
        <v>1.6491909363764518E-5</v>
      </c>
      <c r="F3755">
        <f>SUMIFS($D$2:$D$7909, $B$2:$B$7909, "Lombardia")</f>
        <v>9704151</v>
      </c>
      <c r="G3755" s="1">
        <f>Comuni__2[[#This Row],[Popolazione2011]]/Comuni__2[[#This Row],[POPOLAZIONE TOTALE DI OGNI REGIONE (CON FILTRO)]]</f>
        <v>1.0098771134126004E-4</v>
      </c>
      <c r="H3755" t="str">
        <f>IF(Comuni__2[[#This Row],[Popolazione2011]]&gt;300000,"MAGGIORE","")</f>
        <v/>
      </c>
      <c r="J3755">
        <v>40</v>
      </c>
      <c r="K3755">
        <v>0</v>
      </c>
      <c r="L3755">
        <v>2</v>
      </c>
    </row>
    <row r="3756" spans="1:12" x14ac:dyDescent="0.2">
      <c r="A3756"/>
      <c r="B3756"/>
      <c r="C3756"/>
      <c r="D3756"/>
      <c r="E3756" s="2">
        <f>Comuni__2[[#This Row],[Popolazione2011]]/$D$7911</f>
        <v>1.6441423926936666E-5</v>
      </c>
      <c r="F3756">
        <f>SUMIFS($D$2:$D$7909, $B$2:$B$7909, "Lombardia")</f>
        <v>9704151</v>
      </c>
      <c r="G3756" s="1">
        <f>Comuni__2[[#This Row],[Popolazione2011]]/Comuni__2[[#This Row],[POPOLAZIONE TOTALE DI OGNI REGIONE (CON FILTRO)]]</f>
        <v>1.0067856528613374E-4</v>
      </c>
      <c r="H3756" t="str">
        <f>IF(Comuni__2[[#This Row],[Popolazione2011]]&gt;300000,"MAGGIORE","")</f>
        <v/>
      </c>
      <c r="J3756">
        <v>49</v>
      </c>
      <c r="K3756">
        <v>0</v>
      </c>
      <c r="L3756">
        <v>2</v>
      </c>
    </row>
    <row r="3757" spans="1:12" x14ac:dyDescent="0.2">
      <c r="A3757"/>
      <c r="B3757"/>
      <c r="C3757"/>
      <c r="D3757"/>
      <c r="E3757" s="2">
        <f>Comuni__2[[#This Row],[Popolazione2011]]/$D$7911</f>
        <v>1.6374110011166202E-5</v>
      </c>
      <c r="F3757">
        <f>SUMIFS($D$2:$D$7909, $B$2:$B$7909, "Lombardia")</f>
        <v>9704151</v>
      </c>
      <c r="G3757" s="1">
        <f>Comuni__2[[#This Row],[Popolazione2011]]/Comuni__2[[#This Row],[POPOLAZIONE TOTALE DI OGNI REGIONE (CON FILTRO)]]</f>
        <v>1.0026637054596534E-4</v>
      </c>
      <c r="H3757" t="str">
        <f>IF(Comuni__2[[#This Row],[Popolazione2011]]&gt;300000,"MAGGIORE","")</f>
        <v/>
      </c>
      <c r="J3757">
        <v>52</v>
      </c>
      <c r="K3757">
        <v>0</v>
      </c>
      <c r="L3757">
        <v>2</v>
      </c>
    </row>
    <row r="3758" spans="1:12" x14ac:dyDescent="0.2">
      <c r="A3758"/>
      <c r="B3758"/>
      <c r="C3758"/>
      <c r="D3758"/>
      <c r="E3758" s="2">
        <f>Comuni__2[[#This Row],[Popolazione2011]]/$D$7911</f>
        <v>1.6306796095395734E-5</v>
      </c>
      <c r="F3758">
        <f>SUMIFS($D$2:$D$7909, $B$2:$B$7909, "Lombardia")</f>
        <v>9704151</v>
      </c>
      <c r="G3758" s="1">
        <f>Comuni__2[[#This Row],[Popolazione2011]]/Comuni__2[[#This Row],[POPOLAZIONE TOTALE DI OGNI REGIONE (CON FILTRO)]]</f>
        <v>9.9854175805796919E-5</v>
      </c>
      <c r="H3758" t="str">
        <f>IF(Comuni__2[[#This Row],[Popolazione2011]]&gt;300000,"MAGGIORE","")</f>
        <v/>
      </c>
      <c r="J3758">
        <v>71</v>
      </c>
      <c r="K3758">
        <v>3</v>
      </c>
      <c r="L3758">
        <v>2</v>
      </c>
    </row>
    <row r="3759" spans="1:12" x14ac:dyDescent="0.2">
      <c r="A3759"/>
      <c r="B3759"/>
      <c r="C3759"/>
      <c r="D3759"/>
      <c r="E3759" s="2">
        <f>Comuni__2[[#This Row],[Popolazione2011]]/$D$7911</f>
        <v>1.6273139137510498E-5</v>
      </c>
      <c r="F3759">
        <f>SUMIFS($D$2:$D$7909, $B$2:$B$7909, "Lombardia")</f>
        <v>9704151</v>
      </c>
      <c r="G3759" s="1">
        <f>Comuni__2[[#This Row],[Popolazione2011]]/Comuni__2[[#This Row],[POPOLAZIONE TOTALE DI OGNI REGIONE (CON FILTRO)]]</f>
        <v>9.9648078435712724E-5</v>
      </c>
      <c r="H3759" t="str">
        <f>IF(Comuni__2[[#This Row],[Popolazione2011]]&gt;300000,"MAGGIORE","")</f>
        <v/>
      </c>
      <c r="J3759">
        <v>81</v>
      </c>
      <c r="K3759">
        <v>5</v>
      </c>
      <c r="L3759">
        <v>4</v>
      </c>
    </row>
    <row r="3760" spans="1:12" x14ac:dyDescent="0.2">
      <c r="A3760"/>
      <c r="B3760"/>
      <c r="C3760"/>
      <c r="D3760"/>
      <c r="E3760" s="2">
        <f>Comuni__2[[#This Row],[Popolazione2011]]/$D$7911</f>
        <v>1.6273139137510498E-5</v>
      </c>
      <c r="F3760">
        <f>SUMIFS($D$2:$D$7909, $B$2:$B$7909, "Lombardia")</f>
        <v>9704151</v>
      </c>
      <c r="G3760" s="1">
        <f>Comuni__2[[#This Row],[Popolazione2011]]/Comuni__2[[#This Row],[POPOLAZIONE TOTALE DI OGNI REGIONE (CON FILTRO)]]</f>
        <v>9.9648078435712724E-5</v>
      </c>
      <c r="H3760" t="str">
        <f>IF(Comuni__2[[#This Row],[Popolazione2011]]&gt;300000,"MAGGIORE","")</f>
        <v/>
      </c>
      <c r="J3760">
        <v>83</v>
      </c>
      <c r="K3760">
        <v>5</v>
      </c>
      <c r="L3760">
        <v>7</v>
      </c>
    </row>
    <row r="3761" spans="1:12" x14ac:dyDescent="0.2">
      <c r="A3761"/>
      <c r="B3761"/>
      <c r="C3761"/>
      <c r="D3761"/>
      <c r="E3761" s="2">
        <f>Comuni__2[[#This Row],[Popolazione2011]]/$D$7911</f>
        <v>1.6256310658567882E-5</v>
      </c>
      <c r="F3761">
        <f>SUMIFS($D$2:$D$7909, $B$2:$B$7909, "Lombardia")</f>
        <v>9704151</v>
      </c>
      <c r="G3761" s="1">
        <f>Comuni__2[[#This Row],[Popolazione2011]]/Comuni__2[[#This Row],[POPOLAZIONE TOTALE DI OGNI REGIONE (CON FILTRO)]]</f>
        <v>9.9545029750670619E-5</v>
      </c>
      <c r="H3761" t="str">
        <f>IF(Comuni__2[[#This Row],[Popolazione2011]]&gt;300000,"MAGGIORE","")</f>
        <v/>
      </c>
      <c r="J3761">
        <v>94</v>
      </c>
      <c r="K3761">
        <v>5</v>
      </c>
      <c r="L3761">
        <v>11</v>
      </c>
    </row>
    <row r="3762" spans="1:12" x14ac:dyDescent="0.2">
      <c r="A3762"/>
      <c r="B3762"/>
      <c r="C3762"/>
      <c r="D3762"/>
      <c r="E3762" s="2">
        <f>Comuni__2[[#This Row],[Popolazione2011]]/$D$7911</f>
        <v>1.6188996742797414E-5</v>
      </c>
      <c r="F3762">
        <f>SUMIFS($D$2:$D$7909, $B$2:$B$7909, "Lombardia")</f>
        <v>9704151</v>
      </c>
      <c r="G3762" s="1">
        <f>Comuni__2[[#This Row],[Popolazione2011]]/Comuni__2[[#This Row],[POPOLAZIONE TOTALE DI OGNI REGIONE (CON FILTRO)]]</f>
        <v>9.9132835010502202E-5</v>
      </c>
      <c r="H3762" t="str">
        <f>IF(Comuni__2[[#This Row],[Popolazione2011]]&gt;300000,"MAGGIORE","")</f>
        <v/>
      </c>
      <c r="J3762">
        <v>99</v>
      </c>
      <c r="K3762">
        <v>11</v>
      </c>
      <c r="L3762">
        <v>15</v>
      </c>
    </row>
    <row r="3763" spans="1:12" x14ac:dyDescent="0.2">
      <c r="A3763"/>
      <c r="B3763"/>
      <c r="C3763"/>
      <c r="D3763"/>
      <c r="E3763" s="2">
        <f>Comuni__2[[#This Row],[Popolazione2011]]/$D$7911</f>
        <v>1.6071197390199098E-5</v>
      </c>
      <c r="F3763">
        <f>SUMIFS($D$2:$D$7909, $B$2:$B$7909, "Lombardia")</f>
        <v>9704151</v>
      </c>
      <c r="G3763" s="1">
        <f>Comuni__2[[#This Row],[Popolazione2011]]/Comuni__2[[#This Row],[POPOLAZIONE TOTALE DI OGNI REGIONE (CON FILTRO)]]</f>
        <v>9.8411494215207499E-5</v>
      </c>
      <c r="H3763" t="str">
        <f>IF(Comuni__2[[#This Row],[Popolazione2011]]&gt;300000,"MAGGIORE","")</f>
        <v/>
      </c>
      <c r="J3763">
        <v>101</v>
      </c>
      <c r="K3763">
        <v>12</v>
      </c>
      <c r="L3763">
        <v>18</v>
      </c>
    </row>
    <row r="3764" spans="1:12" x14ac:dyDescent="0.2">
      <c r="A3764"/>
      <c r="B3764"/>
      <c r="C3764"/>
      <c r="D3764"/>
      <c r="E3764" s="2">
        <f>Comuni__2[[#This Row],[Popolazione2011]]/$D$7911</f>
        <v>1.6037540432313862E-5</v>
      </c>
      <c r="F3764">
        <f>SUMIFS($D$2:$D$7909, $B$2:$B$7909, "Lombardia")</f>
        <v>9704151</v>
      </c>
      <c r="G3764" s="1">
        <f>Comuni__2[[#This Row],[Popolazione2011]]/Comuni__2[[#This Row],[POPOLAZIONE TOTALE DI OGNI REGIONE (CON FILTRO)]]</f>
        <v>9.820539684512329E-5</v>
      </c>
      <c r="H3764" t="str">
        <f>IF(Comuni__2[[#This Row],[Popolazione2011]]&gt;300000,"MAGGIORE","")</f>
        <v/>
      </c>
      <c r="J3764">
        <v>112</v>
      </c>
      <c r="K3764">
        <v>13</v>
      </c>
      <c r="L3764">
        <v>19</v>
      </c>
    </row>
    <row r="3765" spans="1:12" x14ac:dyDescent="0.2">
      <c r="A3765"/>
      <c r="B3765"/>
      <c r="C3765"/>
      <c r="D3765"/>
      <c r="E3765" s="2">
        <f>Comuni__2[[#This Row],[Popolazione2011]]/$D$7911</f>
        <v>1.5801941727117227E-5</v>
      </c>
      <c r="F3765">
        <f>SUMIFS($D$2:$D$7909, $B$2:$B$7909, "Lombardia")</f>
        <v>9704151</v>
      </c>
      <c r="G3765" s="1">
        <f>Comuni__2[[#This Row],[Popolazione2011]]/Comuni__2[[#This Row],[POPOLAZIONE TOTALE DI OGNI REGIONE (CON FILTRO)]]</f>
        <v>9.6762715254533857E-5</v>
      </c>
      <c r="H3765" t="str">
        <f>IF(Comuni__2[[#This Row],[Popolazione2011]]&gt;300000,"MAGGIORE","")</f>
        <v/>
      </c>
      <c r="J3765">
        <v>112</v>
      </c>
      <c r="K3765">
        <v>13</v>
      </c>
      <c r="L3765">
        <v>21</v>
      </c>
    </row>
    <row r="3766" spans="1:12" x14ac:dyDescent="0.2">
      <c r="A3766"/>
      <c r="B3766"/>
      <c r="C3766"/>
      <c r="D3766"/>
      <c r="E3766" s="2">
        <f>Comuni__2[[#This Row],[Popolazione2011]]/$D$7911</f>
        <v>1.5734627811346759E-5</v>
      </c>
      <c r="F3766">
        <f>SUMIFS($D$2:$D$7909, $B$2:$B$7909, "Lombardia")</f>
        <v>9704151</v>
      </c>
      <c r="G3766" s="1">
        <f>Comuni__2[[#This Row],[Popolazione2011]]/Comuni__2[[#This Row],[POPOLAZIONE TOTALE DI OGNI REGIONE (CON FILTRO)]]</f>
        <v>9.6350520514365453E-5</v>
      </c>
      <c r="H3766" t="str">
        <f>IF(Comuni__2[[#This Row],[Popolazione2011]]&gt;300000,"MAGGIORE","")</f>
        <v/>
      </c>
      <c r="J3766">
        <v>117</v>
      </c>
      <c r="K3766">
        <v>29</v>
      </c>
      <c r="L3766">
        <v>26</v>
      </c>
    </row>
    <row r="3767" spans="1:12" x14ac:dyDescent="0.2">
      <c r="A3767"/>
      <c r="B3767"/>
      <c r="C3767"/>
      <c r="D3767"/>
      <c r="E3767" s="2">
        <f>Comuni__2[[#This Row],[Popolazione2011]]/$D$7911</f>
        <v>1.5650485416633675E-5</v>
      </c>
      <c r="F3767">
        <f>SUMIFS($D$2:$D$7909, $B$2:$B$7909, "Lombardia")</f>
        <v>9704151</v>
      </c>
      <c r="G3767" s="1">
        <f>Comuni__2[[#This Row],[Popolazione2011]]/Comuni__2[[#This Row],[POPOLAZIONE TOTALE DI OGNI REGIONE (CON FILTRO)]]</f>
        <v>9.5835277089154945E-5</v>
      </c>
      <c r="H3767" t="str">
        <f>IF(Comuni__2[[#This Row],[Popolazione2011]]&gt;300000,"MAGGIORE","")</f>
        <v/>
      </c>
      <c r="J3767">
        <v>128</v>
      </c>
      <c r="K3767">
        <v>29</v>
      </c>
      <c r="L3767">
        <v>27</v>
      </c>
    </row>
    <row r="3768" spans="1:12" x14ac:dyDescent="0.2">
      <c r="A3768"/>
      <c r="B3768"/>
      <c r="C3768"/>
      <c r="D3768"/>
      <c r="E3768" s="2">
        <f>Comuni__2[[#This Row],[Popolazione2011]]/$D$7911</f>
        <v>1.5583171500863207E-5</v>
      </c>
      <c r="F3768">
        <f>SUMIFS($D$2:$D$7909, $B$2:$B$7909, "Lombardia")</f>
        <v>9704151</v>
      </c>
      <c r="G3768" s="1">
        <f>Comuni__2[[#This Row],[Popolazione2011]]/Comuni__2[[#This Row],[POPOLAZIONE TOTALE DI OGNI REGIONE (CON FILTRO)]]</f>
        <v>9.5423082348986528E-5</v>
      </c>
      <c r="H3768" t="str">
        <f>IF(Comuni__2[[#This Row],[Popolazione2011]]&gt;300000,"MAGGIORE","")</f>
        <v/>
      </c>
      <c r="J3768">
        <v>137</v>
      </c>
      <c r="K3768">
        <v>32</v>
      </c>
      <c r="L3768">
        <v>28</v>
      </c>
    </row>
    <row r="3769" spans="1:12" x14ac:dyDescent="0.2">
      <c r="A3769"/>
      <c r="B3769"/>
      <c r="C3769"/>
      <c r="D3769"/>
      <c r="E3769" s="2">
        <f>Comuni__2[[#This Row],[Popolazione2011]]/$D$7911</f>
        <v>1.5549514542977974E-5</v>
      </c>
      <c r="F3769">
        <f>SUMIFS($D$2:$D$7909, $B$2:$B$7909, "Lombardia")</f>
        <v>9704151</v>
      </c>
      <c r="G3769" s="1">
        <f>Comuni__2[[#This Row],[Popolazione2011]]/Comuni__2[[#This Row],[POPOLAZIONE TOTALE DI OGNI REGIONE (CON FILTRO)]]</f>
        <v>9.5216984978902333E-5</v>
      </c>
      <c r="H3769" t="str">
        <f>IF(Comuni__2[[#This Row],[Popolazione2011]]&gt;300000,"MAGGIORE","")</f>
        <v/>
      </c>
      <c r="J3769">
        <v>141</v>
      </c>
      <c r="K3769">
        <v>34</v>
      </c>
      <c r="L3769">
        <v>31</v>
      </c>
    </row>
    <row r="3770" spans="1:12" x14ac:dyDescent="0.2">
      <c r="A3770"/>
      <c r="B3770"/>
      <c r="C3770"/>
      <c r="D3770"/>
      <c r="E3770" s="2">
        <f>Comuni__2[[#This Row],[Popolazione2011]]/$D$7911</f>
        <v>1.5431715190379658E-5</v>
      </c>
      <c r="F3770">
        <f>SUMIFS($D$2:$D$7909, $B$2:$B$7909, "Lombardia")</f>
        <v>9704151</v>
      </c>
      <c r="G3770" s="1">
        <f>Comuni__2[[#This Row],[Popolazione2011]]/Comuni__2[[#This Row],[POPOLAZIONE TOTALE DI OGNI REGIONE (CON FILTRO)]]</f>
        <v>9.4495644183607616E-5</v>
      </c>
      <c r="H3770" t="str">
        <f>IF(Comuni__2[[#This Row],[Popolazione2011]]&gt;300000,"MAGGIORE","")</f>
        <v/>
      </c>
      <c r="J3770">
        <v>146</v>
      </c>
      <c r="K3770">
        <v>36</v>
      </c>
      <c r="L3770">
        <v>34</v>
      </c>
    </row>
    <row r="3771" spans="1:12" x14ac:dyDescent="0.2">
      <c r="A3771"/>
      <c r="B3771"/>
      <c r="C3771"/>
      <c r="D3771"/>
      <c r="E3771" s="2">
        <f>Comuni__2[[#This Row],[Popolazione2011]]/$D$7911</f>
        <v>1.5431715190379658E-5</v>
      </c>
      <c r="F3771">
        <f>SUMIFS($D$2:$D$7909, $B$2:$B$7909, "Lombardia")</f>
        <v>9704151</v>
      </c>
      <c r="G3771" s="1">
        <f>Comuni__2[[#This Row],[Popolazione2011]]/Comuni__2[[#This Row],[POPOLAZIONE TOTALE DI OGNI REGIONE (CON FILTRO)]]</f>
        <v>9.4495644183607616E-5</v>
      </c>
      <c r="H3771" t="str">
        <f>IF(Comuni__2[[#This Row],[Popolazione2011]]&gt;300000,"MAGGIORE","")</f>
        <v/>
      </c>
      <c r="J3771">
        <v>141</v>
      </c>
      <c r="K3771">
        <v>36</v>
      </c>
      <c r="L3771">
        <v>40</v>
      </c>
    </row>
    <row r="3772" spans="1:12" x14ac:dyDescent="0.2">
      <c r="A3772"/>
      <c r="B3772"/>
      <c r="C3772"/>
      <c r="D3772"/>
      <c r="E3772" s="2">
        <f>Comuni__2[[#This Row],[Popolazione2011]]/$D$7911</f>
        <v>1.5414886711437039E-5</v>
      </c>
      <c r="F3772">
        <f>SUMIFS($D$2:$D$7909, $B$2:$B$7909, "Lombardia")</f>
        <v>9704151</v>
      </c>
      <c r="G3772" s="1">
        <f>Comuni__2[[#This Row],[Popolazione2011]]/Comuni__2[[#This Row],[POPOLAZIONE TOTALE DI OGNI REGIONE (CON FILTRO)]]</f>
        <v>9.4392595498565512E-5</v>
      </c>
      <c r="H3772" t="str">
        <f>IF(Comuni__2[[#This Row],[Popolazione2011]]&gt;300000,"MAGGIORE","")</f>
        <v/>
      </c>
      <c r="J3772">
        <v>146</v>
      </c>
      <c r="K3772">
        <v>40</v>
      </c>
      <c r="L3772">
        <v>41</v>
      </c>
    </row>
    <row r="3773" spans="1:12" x14ac:dyDescent="0.2">
      <c r="A3773"/>
      <c r="B3773"/>
      <c r="C3773"/>
      <c r="D3773"/>
      <c r="E3773" s="2">
        <f>Comuni__2[[#This Row],[Popolazione2011]]/$D$7911</f>
        <v>1.5398058232494423E-5</v>
      </c>
      <c r="F3773">
        <f>SUMIFS($D$2:$D$7909, $B$2:$B$7909, "Lombardia")</f>
        <v>9704151</v>
      </c>
      <c r="G3773" s="1">
        <f>Comuni__2[[#This Row],[Popolazione2011]]/Comuni__2[[#This Row],[POPOLAZIONE TOTALE DI OGNI REGIONE (CON FILTRO)]]</f>
        <v>9.4289546813523407E-5</v>
      </c>
      <c r="H3773" t="str">
        <f>IF(Comuni__2[[#This Row],[Popolazione2011]]&gt;300000,"MAGGIORE","")</f>
        <v/>
      </c>
      <c r="J3773">
        <v>147</v>
      </c>
      <c r="K3773">
        <v>44</v>
      </c>
      <c r="L3773">
        <v>41</v>
      </c>
    </row>
    <row r="3774" spans="1:12" x14ac:dyDescent="0.2">
      <c r="A3774"/>
      <c r="B3774"/>
      <c r="C3774"/>
      <c r="D3774"/>
      <c r="E3774" s="2">
        <f>Comuni__2[[#This Row],[Popolazione2011]]/$D$7911</f>
        <v>1.536440127460919E-5</v>
      </c>
      <c r="F3774">
        <f>SUMIFS($D$2:$D$7909, $B$2:$B$7909, "Lombardia")</f>
        <v>9704151</v>
      </c>
      <c r="G3774" s="1">
        <f>Comuni__2[[#This Row],[Popolazione2011]]/Comuni__2[[#This Row],[POPOLAZIONE TOTALE DI OGNI REGIONE (CON FILTRO)]]</f>
        <v>9.4083449443439199E-5</v>
      </c>
      <c r="H3774" t="str">
        <f>IF(Comuni__2[[#This Row],[Popolazione2011]]&gt;300000,"MAGGIORE","")</f>
        <v/>
      </c>
      <c r="J3774">
        <v>151</v>
      </c>
      <c r="K3774">
        <v>49</v>
      </c>
      <c r="L3774">
        <v>43</v>
      </c>
    </row>
    <row r="3775" spans="1:12" x14ac:dyDescent="0.2">
      <c r="A3775"/>
      <c r="B3775"/>
      <c r="C3775"/>
      <c r="D3775"/>
      <c r="E3775" s="2">
        <f>Comuni__2[[#This Row],[Popolazione2011]]/$D$7911</f>
        <v>1.5313915837781339E-5</v>
      </c>
      <c r="F3775">
        <f>SUMIFS($D$2:$D$7909, $B$2:$B$7909, "Lombardia")</f>
        <v>9704151</v>
      </c>
      <c r="G3775" s="1">
        <f>Comuni__2[[#This Row],[Popolazione2011]]/Comuni__2[[#This Row],[POPOLAZIONE TOTALE DI OGNI REGIONE (CON FILTRO)]]</f>
        <v>9.3774303388312899E-5</v>
      </c>
      <c r="H3775" t="str">
        <f>IF(Comuni__2[[#This Row],[Popolazione2011]]&gt;300000,"MAGGIORE","")</f>
        <v/>
      </c>
      <c r="J3775">
        <v>149</v>
      </c>
      <c r="K3775">
        <v>56</v>
      </c>
      <c r="L3775">
        <v>47</v>
      </c>
    </row>
    <row r="3776" spans="1:12" x14ac:dyDescent="0.2">
      <c r="A3776"/>
      <c r="B3776"/>
      <c r="C3776"/>
      <c r="D3776"/>
      <c r="E3776" s="2">
        <f>Comuni__2[[#This Row],[Popolazione2011]]/$D$7911</f>
        <v>1.5246601922010871E-5</v>
      </c>
      <c r="F3776">
        <f>SUMIFS($D$2:$D$7909, $B$2:$B$7909, "Lombardia")</f>
        <v>9704151</v>
      </c>
      <c r="G3776" s="1">
        <f>Comuni__2[[#This Row],[Popolazione2011]]/Comuni__2[[#This Row],[POPOLAZIONE TOTALE DI OGNI REGIONE (CON FILTRO)]]</f>
        <v>9.3362108648144496E-5</v>
      </c>
      <c r="H3776" t="str">
        <f>IF(Comuni__2[[#This Row],[Popolazione2011]]&gt;300000,"MAGGIORE","")</f>
        <v/>
      </c>
      <c r="J3776">
        <v>148</v>
      </c>
      <c r="K3776">
        <v>62</v>
      </c>
      <c r="L3776">
        <v>52</v>
      </c>
    </row>
    <row r="3777" spans="1:12" x14ac:dyDescent="0.2">
      <c r="A3777"/>
      <c r="B3777"/>
      <c r="C3777"/>
      <c r="D3777"/>
      <c r="E3777" s="2">
        <f>Comuni__2[[#This Row],[Popolazione2011]]/$D$7911</f>
        <v>1.5128802569412553E-5</v>
      </c>
      <c r="F3777">
        <f>SUMIFS($D$2:$D$7909, $B$2:$B$7909, "Lombardia")</f>
        <v>9704151</v>
      </c>
      <c r="G3777" s="1">
        <f>Comuni__2[[#This Row],[Popolazione2011]]/Comuni__2[[#This Row],[POPOLAZIONE TOTALE DI OGNI REGIONE (CON FILTRO)]]</f>
        <v>9.2640767852849779E-5</v>
      </c>
      <c r="H3777" t="str">
        <f>IF(Comuni__2[[#This Row],[Popolazione2011]]&gt;300000,"MAGGIORE","")</f>
        <v/>
      </c>
      <c r="J3777">
        <v>143</v>
      </c>
      <c r="K3777">
        <v>76</v>
      </c>
      <c r="L3777">
        <v>59</v>
      </c>
    </row>
    <row r="3778" spans="1:12" x14ac:dyDescent="0.2">
      <c r="A3778"/>
      <c r="B3778"/>
      <c r="C3778"/>
      <c r="D3778"/>
      <c r="E3778" s="2">
        <f>Comuni__2[[#This Row],[Popolazione2011]]/$D$7911</f>
        <v>1.5061488653642086E-5</v>
      </c>
      <c r="F3778">
        <f>SUMIFS($D$2:$D$7909, $B$2:$B$7909, "Lombardia")</f>
        <v>9704151</v>
      </c>
      <c r="G3778" s="1">
        <f>Comuni__2[[#This Row],[Popolazione2011]]/Comuni__2[[#This Row],[POPOLAZIONE TOTALE DI OGNI REGIONE (CON FILTRO)]]</f>
        <v>9.2228573112681362E-5</v>
      </c>
      <c r="H3778" t="str">
        <f>IF(Comuni__2[[#This Row],[Popolazione2011]]&gt;300000,"MAGGIORE","")</f>
        <v/>
      </c>
      <c r="J3778">
        <v>131</v>
      </c>
      <c r="K3778">
        <v>86</v>
      </c>
      <c r="L3778">
        <v>64</v>
      </c>
    </row>
    <row r="3779" spans="1:12" x14ac:dyDescent="0.2">
      <c r="A3779"/>
      <c r="B3779"/>
      <c r="C3779"/>
      <c r="D3779"/>
      <c r="E3779" s="2">
        <f>Comuni__2[[#This Row],[Popolazione2011]]/$D$7911</f>
        <v>1.5061488653642086E-5</v>
      </c>
      <c r="F3779">
        <f>SUMIFS($D$2:$D$7909, $B$2:$B$7909, "Lombardia")</f>
        <v>9704151</v>
      </c>
      <c r="G3779" s="1">
        <f>Comuni__2[[#This Row],[Popolazione2011]]/Comuni__2[[#This Row],[POPOLAZIONE TOTALE DI OGNI REGIONE (CON FILTRO)]]</f>
        <v>9.2228573112681362E-5</v>
      </c>
      <c r="H3779" t="str">
        <f>IF(Comuni__2[[#This Row],[Popolazione2011]]&gt;300000,"MAGGIORE","")</f>
        <v/>
      </c>
      <c r="J3779">
        <v>133</v>
      </c>
      <c r="K3779">
        <v>118</v>
      </c>
      <c r="L3779">
        <v>69</v>
      </c>
    </row>
    <row r="3780" spans="1:12" x14ac:dyDescent="0.2">
      <c r="A3780"/>
      <c r="B3780"/>
      <c r="C3780"/>
      <c r="D3780"/>
      <c r="E3780" s="2">
        <f>Comuni__2[[#This Row],[Popolazione2011]]/$D$7911</f>
        <v>1.5011003216814235E-5</v>
      </c>
      <c r="F3780">
        <f>SUMIFS($D$2:$D$7909, $B$2:$B$7909, "Lombardia")</f>
        <v>9704151</v>
      </c>
      <c r="G3780" s="1">
        <f>Comuni__2[[#This Row],[Popolazione2011]]/Comuni__2[[#This Row],[POPOLAZIONE TOTALE DI OGNI REGIONE (CON FILTRO)]]</f>
        <v>9.1919427057555062E-5</v>
      </c>
      <c r="H3780" t="str">
        <f>IF(Comuni__2[[#This Row],[Popolazione2011]]&gt;300000,"MAGGIORE","")</f>
        <v/>
      </c>
      <c r="J3780">
        <v>137</v>
      </c>
      <c r="K3780">
        <v>130</v>
      </c>
      <c r="L3780">
        <v>73</v>
      </c>
    </row>
    <row r="3781" spans="1:12" x14ac:dyDescent="0.2">
      <c r="A3781"/>
      <c r="B3781"/>
      <c r="C3781"/>
      <c r="D3781"/>
      <c r="E3781" s="2">
        <f>Comuni__2[[#This Row],[Popolazione2011]]/$D$7911</f>
        <v>1.4994174737871619E-5</v>
      </c>
      <c r="F3781">
        <f>SUMIFS($D$2:$D$7909, $B$2:$B$7909, "Lombardia")</f>
        <v>9704151</v>
      </c>
      <c r="G3781" s="1">
        <f>Comuni__2[[#This Row],[Popolazione2011]]/Comuni__2[[#This Row],[POPOLAZIONE TOTALE DI OGNI REGIONE (CON FILTRO)]]</f>
        <v>9.1816378372512958E-5</v>
      </c>
      <c r="H3781" t="str">
        <f>IF(Comuni__2[[#This Row],[Popolazione2011]]&gt;300000,"MAGGIORE","")</f>
        <v/>
      </c>
      <c r="J3781">
        <v>135</v>
      </c>
      <c r="K3781">
        <v>137</v>
      </c>
      <c r="L3781">
        <v>73</v>
      </c>
    </row>
    <row r="3782" spans="1:12" x14ac:dyDescent="0.2">
      <c r="A3782"/>
      <c r="B3782"/>
      <c r="C3782"/>
      <c r="D3782"/>
      <c r="E3782" s="2">
        <f>Comuni__2[[#This Row],[Popolazione2011]]/$D$7911</f>
        <v>1.4977346258929001E-5</v>
      </c>
      <c r="F3782">
        <f>SUMIFS($D$2:$D$7909, $B$2:$B$7909, "Lombardia")</f>
        <v>9704151</v>
      </c>
      <c r="G3782" s="1">
        <f>Comuni__2[[#This Row],[Popolazione2011]]/Comuni__2[[#This Row],[POPOLAZIONE TOTALE DI OGNI REGIONE (CON FILTRO)]]</f>
        <v>9.1713329687470853E-5</v>
      </c>
      <c r="H3782" t="str">
        <f>IF(Comuni__2[[#This Row],[Popolazione2011]]&gt;300000,"MAGGIORE","")</f>
        <v/>
      </c>
      <c r="J3782">
        <v>134</v>
      </c>
      <c r="K3782">
        <v>139</v>
      </c>
      <c r="L3782">
        <v>75</v>
      </c>
    </row>
    <row r="3783" spans="1:12" x14ac:dyDescent="0.2">
      <c r="A3783"/>
      <c r="B3783"/>
      <c r="C3783"/>
      <c r="D3783"/>
      <c r="E3783" s="2">
        <f>Comuni__2[[#This Row],[Popolazione2011]]/$D$7911</f>
        <v>1.4960517779986385E-5</v>
      </c>
      <c r="F3783">
        <f>SUMIFS($D$2:$D$7909, $B$2:$B$7909, "Lombardia")</f>
        <v>9704151</v>
      </c>
      <c r="G3783" s="1">
        <f>Comuni__2[[#This Row],[Popolazione2011]]/Comuni__2[[#This Row],[POPOLAZIONE TOTALE DI OGNI REGIONE (CON FILTRO)]]</f>
        <v>9.1610281002428749E-5</v>
      </c>
      <c r="H3783" t="str">
        <f>IF(Comuni__2[[#This Row],[Popolazione2011]]&gt;300000,"MAGGIORE","")</f>
        <v/>
      </c>
      <c r="J3783">
        <v>131</v>
      </c>
      <c r="K3783">
        <v>158</v>
      </c>
      <c r="L3783">
        <v>80</v>
      </c>
    </row>
    <row r="3784" spans="1:12" x14ac:dyDescent="0.2">
      <c r="A3784"/>
      <c r="B3784"/>
      <c r="C3784"/>
      <c r="D3784"/>
      <c r="E3784" s="2">
        <f>Comuni__2[[#This Row],[Popolazione2011]]/$D$7911</f>
        <v>1.4842718427388067E-5</v>
      </c>
      <c r="F3784">
        <f>SUMIFS($D$2:$D$7909, $B$2:$B$7909, "Lombardia")</f>
        <v>9704151</v>
      </c>
      <c r="G3784" s="1">
        <f>Comuni__2[[#This Row],[Popolazione2011]]/Comuni__2[[#This Row],[POPOLAZIONE TOTALE DI OGNI REGIONE (CON FILTRO)]]</f>
        <v>9.0888940207134046E-5</v>
      </c>
      <c r="H3784" t="str">
        <f>IF(Comuni__2[[#This Row],[Popolazione2011]]&gt;300000,"MAGGIORE","")</f>
        <v/>
      </c>
      <c r="J3784">
        <v>133</v>
      </c>
      <c r="K3784">
        <v>208</v>
      </c>
      <c r="L3784">
        <v>83</v>
      </c>
    </row>
    <row r="3785" spans="1:12" x14ac:dyDescent="0.2">
      <c r="A3785"/>
      <c r="B3785"/>
      <c r="C3785"/>
      <c r="D3785"/>
      <c r="E3785" s="2">
        <f>Comuni__2[[#This Row],[Popolazione2011]]/$D$7911</f>
        <v>1.4708090595847133E-5</v>
      </c>
      <c r="F3785">
        <f>SUMIFS($D$2:$D$7909, $B$2:$B$7909, "Lombardia")</f>
        <v>9704151</v>
      </c>
      <c r="G3785" s="1">
        <f>Comuni__2[[#This Row],[Popolazione2011]]/Comuni__2[[#This Row],[POPOLAZIONE TOTALE DI OGNI REGIONE (CON FILTRO)]]</f>
        <v>9.0064550726797225E-5</v>
      </c>
      <c r="H3785" t="str">
        <f>IF(Comuni__2[[#This Row],[Popolazione2011]]&gt;300000,"MAGGIORE","")</f>
        <v/>
      </c>
      <c r="J3785">
        <v>133</v>
      </c>
      <c r="K3785">
        <v>214</v>
      </c>
      <c r="L3785">
        <v>85</v>
      </c>
    </row>
    <row r="3786" spans="1:12" x14ac:dyDescent="0.2">
      <c r="A3786"/>
      <c r="B3786"/>
      <c r="C3786"/>
      <c r="D3786"/>
      <c r="E3786" s="2">
        <f>Comuni__2[[#This Row],[Popolazione2011]]/$D$7911</f>
        <v>1.4691262116904515E-5</v>
      </c>
      <c r="F3786">
        <f>SUMIFS($D$2:$D$7909, $B$2:$B$7909, "Lombardia")</f>
        <v>9704151</v>
      </c>
      <c r="G3786" s="1">
        <f>Comuni__2[[#This Row],[Popolazione2011]]/Comuni__2[[#This Row],[POPOLAZIONE TOTALE DI OGNI REGIONE (CON FILTRO)]]</f>
        <v>8.9961502041755121E-5</v>
      </c>
      <c r="H3786" t="str">
        <f>IF(Comuni__2[[#This Row],[Popolazione2011]]&gt;300000,"MAGGIORE","")</f>
        <v/>
      </c>
      <c r="J3786">
        <v>136</v>
      </c>
      <c r="K3786">
        <v>220</v>
      </c>
      <c r="L3786">
        <v>86</v>
      </c>
    </row>
    <row r="3787" spans="1:12" x14ac:dyDescent="0.2">
      <c r="A3787"/>
      <c r="B3787"/>
      <c r="C3787"/>
      <c r="D3787"/>
      <c r="E3787" s="2">
        <f>Comuni__2[[#This Row],[Popolazione2011]]/$D$7911</f>
        <v>1.4657605159019281E-5</v>
      </c>
      <c r="F3787">
        <f>SUMIFS($D$2:$D$7909, $B$2:$B$7909, "Lombardia")</f>
        <v>9704151</v>
      </c>
      <c r="G3787" s="1">
        <f>Comuni__2[[#This Row],[Popolazione2011]]/Comuni__2[[#This Row],[POPOLAZIONE TOTALE DI OGNI REGIONE (CON FILTRO)]]</f>
        <v>8.9755404671670912E-5</v>
      </c>
      <c r="H3787" t="str">
        <f>IF(Comuni__2[[#This Row],[Popolazione2011]]&gt;300000,"MAGGIORE","")</f>
        <v/>
      </c>
      <c r="J3787">
        <v>135</v>
      </c>
      <c r="K3787">
        <v>231</v>
      </c>
      <c r="L3787">
        <v>86</v>
      </c>
    </row>
    <row r="3788" spans="1:12" x14ac:dyDescent="0.2">
      <c r="A3788"/>
      <c r="B3788"/>
      <c r="C3788"/>
      <c r="D3788"/>
      <c r="E3788" s="2">
        <f>Comuni__2[[#This Row],[Popolazione2011]]/$D$7911</f>
        <v>1.4539805806420963E-5</v>
      </c>
      <c r="F3788">
        <f>SUMIFS($D$2:$D$7909, $B$2:$B$7909, "Lombardia")</f>
        <v>9704151</v>
      </c>
      <c r="G3788" s="1">
        <f>Comuni__2[[#This Row],[Popolazione2011]]/Comuni__2[[#This Row],[POPOLAZIONE TOTALE DI OGNI REGIONE (CON FILTRO)]]</f>
        <v>8.9034063876376209E-5</v>
      </c>
      <c r="H3788" t="str">
        <f>IF(Comuni__2[[#This Row],[Popolazione2011]]&gt;300000,"MAGGIORE","")</f>
        <v/>
      </c>
      <c r="J3788">
        <v>139</v>
      </c>
      <c r="K3788">
        <v>265</v>
      </c>
      <c r="L3788">
        <v>86</v>
      </c>
    </row>
    <row r="3789" spans="1:12" x14ac:dyDescent="0.2">
      <c r="A3789"/>
      <c r="B3789"/>
      <c r="C3789"/>
      <c r="D3789"/>
      <c r="E3789" s="2">
        <f>Comuni__2[[#This Row],[Popolazione2011]]/$D$7911</f>
        <v>1.4506148848535729E-5</v>
      </c>
      <c r="F3789">
        <f>SUMIFS($D$2:$D$7909, $B$2:$B$7909, "Lombardia")</f>
        <v>9704151</v>
      </c>
      <c r="G3789" s="1">
        <f>Comuni__2[[#This Row],[Popolazione2011]]/Comuni__2[[#This Row],[POPOLAZIONE TOTALE DI OGNI REGIONE (CON FILTRO)]]</f>
        <v>8.8827966506292E-5</v>
      </c>
      <c r="H3789" t="str">
        <f>IF(Comuni__2[[#This Row],[Popolazione2011]]&gt;300000,"MAGGIORE","")</f>
        <v/>
      </c>
      <c r="J3789">
        <v>136</v>
      </c>
      <c r="K3789">
        <v>288</v>
      </c>
      <c r="L3789">
        <v>86</v>
      </c>
    </row>
    <row r="3790" spans="1:12" x14ac:dyDescent="0.2">
      <c r="A3790"/>
      <c r="B3790"/>
      <c r="C3790"/>
      <c r="D3790"/>
      <c r="E3790" s="2">
        <f>Comuni__2[[#This Row],[Popolazione2011]]/$D$7911</f>
        <v>1.4354692538052179E-5</v>
      </c>
      <c r="F3790">
        <f>SUMIFS($D$2:$D$7909, $B$2:$B$7909, "Lombardia")</f>
        <v>9704151</v>
      </c>
      <c r="G3790" s="1">
        <f>Comuni__2[[#This Row],[Popolazione2011]]/Comuni__2[[#This Row],[POPOLAZIONE TOTALE DI OGNI REGIONE (CON FILTRO)]]</f>
        <v>8.7900528340913075E-5</v>
      </c>
      <c r="H3790" t="str">
        <f>IF(Comuni__2[[#This Row],[Popolazione2011]]&gt;300000,"MAGGIORE","")</f>
        <v/>
      </c>
      <c r="J3790">
        <v>133</v>
      </c>
      <c r="K3790">
        <v>306</v>
      </c>
      <c r="L3790">
        <v>93</v>
      </c>
    </row>
    <row r="3791" spans="1:12" x14ac:dyDescent="0.2">
      <c r="A3791"/>
      <c r="B3791"/>
      <c r="C3791"/>
      <c r="D3791"/>
      <c r="E3791" s="2">
        <f>Comuni__2[[#This Row],[Popolazione2011]]/$D$7911</f>
        <v>1.4337864059109561E-5</v>
      </c>
      <c r="F3791">
        <f>SUMIFS($D$2:$D$7909, $B$2:$B$7909, "Lombardia")</f>
        <v>9704151</v>
      </c>
      <c r="G3791" s="1">
        <f>Comuni__2[[#This Row],[Popolazione2011]]/Comuni__2[[#This Row],[POPOLAZIONE TOTALE DI OGNI REGIONE (CON FILTRO)]]</f>
        <v>8.7797479655870971E-5</v>
      </c>
      <c r="H3791" t="str">
        <f>IF(Comuni__2[[#This Row],[Popolazione2011]]&gt;300000,"MAGGIORE","")</f>
        <v/>
      </c>
      <c r="J3791">
        <v>117</v>
      </c>
      <c r="K3791">
        <v>318</v>
      </c>
      <c r="L3791">
        <v>96</v>
      </c>
    </row>
    <row r="3792" spans="1:12" x14ac:dyDescent="0.2">
      <c r="A3792"/>
      <c r="B3792"/>
      <c r="C3792"/>
      <c r="D3792"/>
      <c r="E3792" s="2">
        <f>Comuni__2[[#This Row],[Popolazione2011]]/$D$7911</f>
        <v>1.4287378622281711E-5</v>
      </c>
      <c r="F3792">
        <f>SUMIFS($D$2:$D$7909, $B$2:$B$7909, "Lombardia")</f>
        <v>9704151</v>
      </c>
      <c r="G3792" s="1">
        <f>Comuni__2[[#This Row],[Popolazione2011]]/Comuni__2[[#This Row],[POPOLAZIONE TOTALE DI OGNI REGIONE (CON FILTRO)]]</f>
        <v>8.7488333600744671E-5</v>
      </c>
      <c r="H3792" t="str">
        <f>IF(Comuni__2[[#This Row],[Popolazione2011]]&gt;300000,"MAGGIORE","")</f>
        <v/>
      </c>
      <c r="J3792">
        <v>110</v>
      </c>
      <c r="K3792">
        <v>339</v>
      </c>
      <c r="L3792">
        <v>98</v>
      </c>
    </row>
    <row r="3793" spans="1:12" x14ac:dyDescent="0.2">
      <c r="A3793"/>
      <c r="B3793"/>
      <c r="C3793"/>
      <c r="D3793"/>
      <c r="E3793" s="2">
        <f>Comuni__2[[#This Row],[Popolazione2011]]/$D$7911</f>
        <v>1.4287378622281711E-5</v>
      </c>
      <c r="F3793">
        <f>SUMIFS($D$2:$D$7909, $B$2:$B$7909, "Lombardia")</f>
        <v>9704151</v>
      </c>
      <c r="G3793" s="1">
        <f>Comuni__2[[#This Row],[Popolazione2011]]/Comuni__2[[#This Row],[POPOLAZIONE TOTALE DI OGNI REGIONE (CON FILTRO)]]</f>
        <v>8.7488333600744671E-5</v>
      </c>
      <c r="H3793" t="str">
        <f>IF(Comuni__2[[#This Row],[Popolazione2011]]&gt;300000,"MAGGIORE","")</f>
        <v/>
      </c>
      <c r="J3793">
        <v>114</v>
      </c>
      <c r="K3793">
        <v>351</v>
      </c>
      <c r="L3793">
        <v>102</v>
      </c>
    </row>
    <row r="3794" spans="1:12" x14ac:dyDescent="0.2">
      <c r="A3794"/>
      <c r="B3794"/>
      <c r="C3794"/>
      <c r="D3794"/>
      <c r="E3794" s="2">
        <f>Comuni__2[[#This Row],[Popolazione2011]]/$D$7911</f>
        <v>1.4236893185453861E-5</v>
      </c>
      <c r="F3794">
        <f>SUMIFS($D$2:$D$7909, $B$2:$B$7909, "Lombardia")</f>
        <v>9704151</v>
      </c>
      <c r="G3794" s="1">
        <f>Comuni__2[[#This Row],[Popolazione2011]]/Comuni__2[[#This Row],[POPOLAZIONE TOTALE DI OGNI REGIONE (CON FILTRO)]]</f>
        <v>8.7179187545618358E-5</v>
      </c>
      <c r="H3794" t="str">
        <f>IF(Comuni__2[[#This Row],[Popolazione2011]]&gt;300000,"MAGGIORE","")</f>
        <v/>
      </c>
      <c r="J3794">
        <v>114</v>
      </c>
      <c r="K3794">
        <v>374</v>
      </c>
      <c r="L3794">
        <v>103</v>
      </c>
    </row>
    <row r="3795" spans="1:12" x14ac:dyDescent="0.2">
      <c r="A3795"/>
      <c r="B3795"/>
      <c r="C3795"/>
      <c r="D3795"/>
      <c r="E3795" s="2">
        <f>Comuni__2[[#This Row],[Popolazione2011]]/$D$7911</f>
        <v>1.4169579269683393E-5</v>
      </c>
      <c r="F3795">
        <f>SUMIFS($D$2:$D$7909, $B$2:$B$7909, "Lombardia")</f>
        <v>9704151</v>
      </c>
      <c r="G3795" s="1">
        <f>Comuni__2[[#This Row],[Popolazione2011]]/Comuni__2[[#This Row],[POPOLAZIONE TOTALE DI OGNI REGIONE (CON FILTRO)]]</f>
        <v>8.6766992805449954E-5</v>
      </c>
      <c r="H3795" t="str">
        <f>IF(Comuni__2[[#This Row],[Popolazione2011]]&gt;300000,"MAGGIORE","")</f>
        <v/>
      </c>
      <c r="J3795">
        <v>115</v>
      </c>
      <c r="K3795">
        <v>388</v>
      </c>
      <c r="L3795">
        <v>109</v>
      </c>
    </row>
    <row r="3796" spans="1:12" x14ac:dyDescent="0.2">
      <c r="A3796"/>
      <c r="B3796"/>
      <c r="C3796"/>
      <c r="D3796"/>
      <c r="E3796" s="2">
        <f>Comuni__2[[#This Row],[Popolazione2011]]/$D$7911</f>
        <v>1.4152750790740775E-5</v>
      </c>
      <c r="F3796">
        <f>SUMIFS($D$2:$D$7909, $B$2:$B$7909, "Lombardia")</f>
        <v>9704151</v>
      </c>
      <c r="G3796" s="1">
        <f>Comuni__2[[#This Row],[Popolazione2011]]/Comuni__2[[#This Row],[POPOLAZIONE TOTALE DI OGNI REGIONE (CON FILTRO)]]</f>
        <v>8.666394412040785E-5</v>
      </c>
      <c r="H3796" t="str">
        <f>IF(Comuni__2[[#This Row],[Popolazione2011]]&gt;300000,"MAGGIORE","")</f>
        <v/>
      </c>
      <c r="J3796">
        <v>116</v>
      </c>
      <c r="K3796">
        <v>398</v>
      </c>
      <c r="L3796">
        <v>109</v>
      </c>
    </row>
    <row r="3797" spans="1:12" x14ac:dyDescent="0.2">
      <c r="A3797"/>
      <c r="B3797"/>
      <c r="C3797"/>
      <c r="D3797"/>
      <c r="E3797" s="2">
        <f>Comuni__2[[#This Row],[Popolazione2011]]/$D$7911</f>
        <v>1.4135922311798159E-5</v>
      </c>
      <c r="F3797">
        <f>SUMIFS($D$2:$D$7909, $B$2:$B$7909, "Lombardia")</f>
        <v>9704151</v>
      </c>
      <c r="G3797" s="1">
        <f>Comuni__2[[#This Row],[Popolazione2011]]/Comuni__2[[#This Row],[POPOLAZIONE TOTALE DI OGNI REGIONE (CON FILTRO)]]</f>
        <v>8.6560895435365746E-5</v>
      </c>
      <c r="H3797" t="str">
        <f>IF(Comuni__2[[#This Row],[Popolazione2011]]&gt;300000,"MAGGIORE","")</f>
        <v/>
      </c>
      <c r="J3797">
        <v>114</v>
      </c>
      <c r="K3797">
        <v>404</v>
      </c>
      <c r="L3797">
        <v>109</v>
      </c>
    </row>
    <row r="3798" spans="1:12" x14ac:dyDescent="0.2">
      <c r="A3798"/>
      <c r="B3798"/>
      <c r="C3798"/>
      <c r="D3798"/>
      <c r="E3798" s="2">
        <f>Comuni__2[[#This Row],[Popolazione2011]]/$D$7911</f>
        <v>1.4135922311798159E-5</v>
      </c>
      <c r="F3798">
        <f>SUMIFS($D$2:$D$7909, $B$2:$B$7909, "Lombardia")</f>
        <v>9704151</v>
      </c>
      <c r="G3798" s="1">
        <f>Comuni__2[[#This Row],[Popolazione2011]]/Comuni__2[[#This Row],[POPOLAZIONE TOTALE DI OGNI REGIONE (CON FILTRO)]]</f>
        <v>8.6560895435365746E-5</v>
      </c>
      <c r="H3798" t="str">
        <f>IF(Comuni__2[[#This Row],[Popolazione2011]]&gt;300000,"MAGGIORE","")</f>
        <v/>
      </c>
      <c r="J3798">
        <v>104</v>
      </c>
      <c r="K3798">
        <v>413</v>
      </c>
      <c r="L3798">
        <v>116</v>
      </c>
    </row>
    <row r="3799" spans="1:12" x14ac:dyDescent="0.2">
      <c r="A3799"/>
      <c r="B3799"/>
      <c r="C3799"/>
      <c r="D3799"/>
      <c r="E3799" s="2">
        <f>Comuni__2[[#This Row],[Popolazione2011]]/$D$7911</f>
        <v>1.4119093832855543E-5</v>
      </c>
      <c r="F3799">
        <f>SUMIFS($D$2:$D$7909, $B$2:$B$7909, "Lombardia")</f>
        <v>9704151</v>
      </c>
      <c r="G3799" s="1">
        <f>Comuni__2[[#This Row],[Popolazione2011]]/Comuni__2[[#This Row],[POPOLAZIONE TOTALE DI OGNI REGIONE (CON FILTRO)]]</f>
        <v>8.6457846750323655E-5</v>
      </c>
      <c r="H3799" t="str">
        <f>IF(Comuni__2[[#This Row],[Popolazione2011]]&gt;300000,"MAGGIORE","")</f>
        <v/>
      </c>
      <c r="J3799">
        <v>103</v>
      </c>
      <c r="K3799">
        <v>435</v>
      </c>
      <c r="L3799">
        <v>116</v>
      </c>
    </row>
    <row r="3800" spans="1:12" x14ac:dyDescent="0.2">
      <c r="A3800"/>
      <c r="B3800"/>
      <c r="C3800"/>
      <c r="D3800"/>
      <c r="E3800" s="2">
        <f>Comuni__2[[#This Row],[Popolazione2011]]/$D$7911</f>
        <v>1.4085436874970309E-5</v>
      </c>
      <c r="F3800">
        <f>SUMIFS($D$2:$D$7909, $B$2:$B$7909, "Lombardia")</f>
        <v>9704151</v>
      </c>
      <c r="G3800" s="1">
        <f>Comuni__2[[#This Row],[Popolazione2011]]/Comuni__2[[#This Row],[POPOLAZIONE TOTALE DI OGNI REGIONE (CON FILTRO)]]</f>
        <v>8.6251749380239446E-5</v>
      </c>
      <c r="H3800" t="str">
        <f>IF(Comuni__2[[#This Row],[Popolazione2011]]&gt;300000,"MAGGIORE","")</f>
        <v/>
      </c>
      <c r="J3800">
        <v>96</v>
      </c>
      <c r="K3800">
        <v>452</v>
      </c>
      <c r="L3800">
        <v>117</v>
      </c>
    </row>
    <row r="3801" spans="1:12" x14ac:dyDescent="0.2">
      <c r="A3801"/>
      <c r="B3801"/>
      <c r="C3801"/>
      <c r="D3801"/>
      <c r="E3801" s="2">
        <f>Comuni__2[[#This Row],[Popolazione2011]]/$D$7911</f>
        <v>1.4068608396027691E-5</v>
      </c>
      <c r="F3801">
        <f>SUMIFS($D$2:$D$7909, $B$2:$B$7909, "Lombardia")</f>
        <v>9704151</v>
      </c>
      <c r="G3801" s="1">
        <f>Comuni__2[[#This Row],[Popolazione2011]]/Comuni__2[[#This Row],[POPOLAZIONE TOTALE DI OGNI REGIONE (CON FILTRO)]]</f>
        <v>8.6148700695197342E-5</v>
      </c>
      <c r="H3801" t="str">
        <f>IF(Comuni__2[[#This Row],[Popolazione2011]]&gt;300000,"MAGGIORE","")</f>
        <v/>
      </c>
      <c r="J3801">
        <v>99</v>
      </c>
      <c r="K3801">
        <v>466</v>
      </c>
      <c r="L3801">
        <v>119</v>
      </c>
    </row>
    <row r="3802" spans="1:12" x14ac:dyDescent="0.2">
      <c r="A3802"/>
      <c r="B3802"/>
      <c r="C3802"/>
      <c r="D3802"/>
      <c r="E3802" s="2">
        <f>Comuni__2[[#This Row],[Popolazione2011]]/$D$7911</f>
        <v>1.4051779917085075E-5</v>
      </c>
      <c r="F3802">
        <f>SUMIFS($D$2:$D$7909, $B$2:$B$7909, "Lombardia")</f>
        <v>9704151</v>
      </c>
      <c r="G3802" s="1">
        <f>Comuni__2[[#This Row],[Popolazione2011]]/Comuni__2[[#This Row],[POPOLAZIONE TOTALE DI OGNI REGIONE (CON FILTRO)]]</f>
        <v>8.6045652010155238E-5</v>
      </c>
      <c r="H3802" t="str">
        <f>IF(Comuni__2[[#This Row],[Popolazione2011]]&gt;300000,"MAGGIORE","")</f>
        <v/>
      </c>
      <c r="J3802">
        <v>102</v>
      </c>
      <c r="K3802">
        <v>511</v>
      </c>
      <c r="L3802">
        <v>119</v>
      </c>
    </row>
    <row r="3803" spans="1:12" x14ac:dyDescent="0.2">
      <c r="A3803"/>
      <c r="B3803"/>
      <c r="C3803"/>
      <c r="D3803"/>
      <c r="E3803" s="2">
        <f>Comuni__2[[#This Row],[Popolazione2011]]/$D$7911</f>
        <v>1.3933980564486757E-5</v>
      </c>
      <c r="F3803">
        <f>SUMIFS($D$2:$D$7909, $B$2:$B$7909, "Lombardia")</f>
        <v>9704151</v>
      </c>
      <c r="G3803" s="1">
        <f>Comuni__2[[#This Row],[Popolazione2011]]/Comuni__2[[#This Row],[POPOLAZIONE TOTALE DI OGNI REGIONE (CON FILTRO)]]</f>
        <v>8.5324311214860521E-5</v>
      </c>
      <c r="H3803" t="str">
        <f>IF(Comuni__2[[#This Row],[Popolazione2011]]&gt;300000,"MAGGIORE","")</f>
        <v/>
      </c>
      <c r="J3803">
        <v>100</v>
      </c>
      <c r="K3803">
        <v>545</v>
      </c>
      <c r="L3803">
        <v>119</v>
      </c>
    </row>
    <row r="3804" spans="1:12" x14ac:dyDescent="0.2">
      <c r="A3804"/>
      <c r="B3804"/>
      <c r="C3804"/>
      <c r="D3804"/>
      <c r="E3804" s="2">
        <f>Comuni__2[[#This Row],[Popolazione2011]]/$D$7911</f>
        <v>1.3866666648716289E-5</v>
      </c>
      <c r="F3804">
        <f>SUMIFS($D$2:$D$7909, $B$2:$B$7909, "Lombardia")</f>
        <v>9704151</v>
      </c>
      <c r="G3804" s="1">
        <f>Comuni__2[[#This Row],[Popolazione2011]]/Comuni__2[[#This Row],[POPOLAZIONE TOTALE DI OGNI REGIONE (CON FILTRO)]]</f>
        <v>8.4912116474692117E-5</v>
      </c>
      <c r="H3804" t="str">
        <f>IF(Comuni__2[[#This Row],[Popolazione2011]]&gt;300000,"MAGGIORE","")</f>
        <v/>
      </c>
      <c r="J3804">
        <v>103</v>
      </c>
      <c r="K3804">
        <v>557</v>
      </c>
      <c r="L3804">
        <v>119</v>
      </c>
    </row>
    <row r="3805" spans="1:12" x14ac:dyDescent="0.2">
      <c r="A3805"/>
      <c r="B3805"/>
      <c r="C3805"/>
      <c r="D3805"/>
      <c r="E3805" s="2">
        <f>Comuni__2[[#This Row],[Popolazione2011]]/$D$7911</f>
        <v>1.3833009690831055E-5</v>
      </c>
      <c r="F3805">
        <f>SUMIFS($D$2:$D$7909, $B$2:$B$7909, "Lombardia")</f>
        <v>9704151</v>
      </c>
      <c r="G3805" s="1">
        <f>Comuni__2[[#This Row],[Popolazione2011]]/Comuni__2[[#This Row],[POPOLAZIONE TOTALE DI OGNI REGIONE (CON FILTRO)]]</f>
        <v>8.4706019104607909E-5</v>
      </c>
      <c r="H3805" t="str">
        <f>IF(Comuni__2[[#This Row],[Popolazione2011]]&gt;300000,"MAGGIORE","")</f>
        <v/>
      </c>
      <c r="J3805">
        <v>102</v>
      </c>
      <c r="K3805">
        <v>577</v>
      </c>
      <c r="L3805">
        <v>119</v>
      </c>
    </row>
    <row r="3806" spans="1:12" x14ac:dyDescent="0.2">
      <c r="A3806"/>
      <c r="B3806"/>
      <c r="C3806"/>
      <c r="D3806"/>
      <c r="E3806" s="2">
        <f>Comuni__2[[#This Row],[Popolazione2011]]/$D$7911</f>
        <v>1.3782524254003205E-5</v>
      </c>
      <c r="F3806">
        <f>SUMIFS($D$2:$D$7909, $B$2:$B$7909, "Lombardia")</f>
        <v>9704151</v>
      </c>
      <c r="G3806" s="1">
        <f>Comuni__2[[#This Row],[Popolazione2011]]/Comuni__2[[#This Row],[POPOLAZIONE TOTALE DI OGNI REGIONE (CON FILTRO)]]</f>
        <v>8.4396873049481609E-5</v>
      </c>
      <c r="H3806" t="str">
        <f>IF(Comuni__2[[#This Row],[Popolazione2011]]&gt;300000,"MAGGIORE","")</f>
        <v/>
      </c>
      <c r="J3806">
        <v>99</v>
      </c>
      <c r="K3806">
        <v>622</v>
      </c>
      <c r="L3806">
        <v>119</v>
      </c>
    </row>
    <row r="3807" spans="1:12" x14ac:dyDescent="0.2">
      <c r="A3807"/>
      <c r="B3807"/>
      <c r="C3807"/>
      <c r="D3807"/>
      <c r="E3807" s="2">
        <f>Comuni__2[[#This Row],[Popolazione2011]]/$D$7911</f>
        <v>1.3647896422462269E-5</v>
      </c>
      <c r="F3807">
        <f>SUMIFS($D$2:$D$7909, $B$2:$B$7909, "Lombardia")</f>
        <v>9704151</v>
      </c>
      <c r="G3807" s="1">
        <f>Comuni__2[[#This Row],[Popolazione2011]]/Comuni__2[[#This Row],[POPOLAZIONE TOTALE DI OGNI REGIONE (CON FILTRO)]]</f>
        <v>8.3572483569144788E-5</v>
      </c>
      <c r="H3807" t="str">
        <f>IF(Comuni__2[[#This Row],[Popolazione2011]]&gt;300000,"MAGGIORE","")</f>
        <v/>
      </c>
      <c r="J3807">
        <v>100</v>
      </c>
      <c r="K3807">
        <v>658</v>
      </c>
      <c r="L3807">
        <v>119</v>
      </c>
    </row>
    <row r="3808" spans="1:12" x14ac:dyDescent="0.2">
      <c r="A3808"/>
      <c r="B3808"/>
      <c r="C3808"/>
      <c r="D3808"/>
      <c r="E3808" s="2">
        <f>Comuni__2[[#This Row],[Popolazione2011]]/$D$7911</f>
        <v>1.3496440111978719E-5</v>
      </c>
      <c r="F3808">
        <f>SUMIFS($D$2:$D$7909, $B$2:$B$7909, "Lombardia")</f>
        <v>9704151</v>
      </c>
      <c r="G3808" s="1">
        <f>Comuni__2[[#This Row],[Popolazione2011]]/Comuni__2[[#This Row],[POPOLAZIONE TOTALE DI OGNI REGIONE (CON FILTRO)]]</f>
        <v>8.2645045403765877E-5</v>
      </c>
      <c r="H3808" t="str">
        <f>IF(Comuni__2[[#This Row],[Popolazione2011]]&gt;300000,"MAGGIORE","")</f>
        <v/>
      </c>
      <c r="J3808">
        <v>98</v>
      </c>
      <c r="K3808">
        <v>665</v>
      </c>
      <c r="L3808">
        <v>119</v>
      </c>
    </row>
    <row r="3809" spans="1:12" x14ac:dyDescent="0.2">
      <c r="A3809"/>
      <c r="B3809"/>
      <c r="C3809"/>
      <c r="D3809"/>
      <c r="E3809" s="2">
        <f>Comuni__2[[#This Row],[Popolazione2011]]/$D$7911</f>
        <v>1.3429126196208251E-5</v>
      </c>
      <c r="F3809">
        <f>SUMIFS($D$2:$D$7909, $B$2:$B$7909, "Lombardia")</f>
        <v>9704151</v>
      </c>
      <c r="G3809" s="1">
        <f>Comuni__2[[#This Row],[Popolazione2011]]/Comuni__2[[#This Row],[POPOLAZIONE TOTALE DI OGNI REGIONE (CON FILTRO)]]</f>
        <v>8.2232850663597459E-5</v>
      </c>
      <c r="H3809" t="str">
        <f>IF(Comuni__2[[#This Row],[Popolazione2011]]&gt;300000,"MAGGIORE","")</f>
        <v/>
      </c>
      <c r="J3809">
        <v>93</v>
      </c>
      <c r="K3809">
        <v>705</v>
      </c>
      <c r="L3809">
        <v>120</v>
      </c>
    </row>
    <row r="3810" spans="1:12" x14ac:dyDescent="0.2">
      <c r="A3810"/>
      <c r="B3810"/>
      <c r="C3810"/>
      <c r="D3810"/>
      <c r="E3810" s="2">
        <f>Comuni__2[[#This Row],[Popolazione2011]]/$D$7911</f>
        <v>1.3294498364667315E-5</v>
      </c>
      <c r="F3810">
        <f>SUMIFS($D$2:$D$7909, $B$2:$B$7909, "Lombardia")</f>
        <v>9704151</v>
      </c>
      <c r="G3810" s="1">
        <f>Comuni__2[[#This Row],[Popolazione2011]]/Comuni__2[[#This Row],[POPOLAZIONE TOTALE DI OGNI REGIONE (CON FILTRO)]]</f>
        <v>8.1408461183260652E-5</v>
      </c>
      <c r="H3810" t="str">
        <f>IF(Comuni__2[[#This Row],[Popolazione2011]]&gt;300000,"MAGGIORE","")</f>
        <v/>
      </c>
      <c r="J3810">
        <v>94</v>
      </c>
      <c r="K3810">
        <v>712</v>
      </c>
      <c r="L3810">
        <v>120</v>
      </c>
    </row>
    <row r="3811" spans="1:12" x14ac:dyDescent="0.2">
      <c r="A3811"/>
      <c r="B3811"/>
      <c r="C3811"/>
      <c r="D3811"/>
      <c r="E3811" s="2">
        <f>Comuni__2[[#This Row],[Popolazione2011]]/$D$7911</f>
        <v>1.3176699012068997E-5</v>
      </c>
      <c r="F3811">
        <f>SUMIFS($D$2:$D$7909, $B$2:$B$7909, "Lombardia")</f>
        <v>9704151</v>
      </c>
      <c r="G3811" s="1">
        <f>Comuni__2[[#This Row],[Popolazione2011]]/Comuni__2[[#This Row],[POPOLAZIONE TOTALE DI OGNI REGIONE (CON FILTRO)]]</f>
        <v>8.0687120387965935E-5</v>
      </c>
      <c r="H3811" t="str">
        <f>IF(Comuni__2[[#This Row],[Popolazione2011]]&gt;300000,"MAGGIORE","")</f>
        <v/>
      </c>
      <c r="J3811">
        <v>88</v>
      </c>
      <c r="K3811">
        <v>718</v>
      </c>
      <c r="L3811">
        <v>120</v>
      </c>
    </row>
    <row r="3812" spans="1:12" x14ac:dyDescent="0.2">
      <c r="A3812"/>
      <c r="B3812"/>
      <c r="C3812"/>
      <c r="D3812"/>
      <c r="E3812" s="2">
        <f>Comuni__2[[#This Row],[Popolazione2011]]/$D$7911</f>
        <v>1.2957928785814979E-5</v>
      </c>
      <c r="F3812">
        <f>SUMIFS($D$2:$D$7909, $B$2:$B$7909, "Lombardia")</f>
        <v>9704151</v>
      </c>
      <c r="G3812" s="1">
        <f>Comuni__2[[#This Row],[Popolazione2011]]/Comuni__2[[#This Row],[POPOLAZIONE TOTALE DI OGNI REGIONE (CON FILTRO)]]</f>
        <v>7.9347487482418606E-5</v>
      </c>
      <c r="H3812" t="str">
        <f>IF(Comuni__2[[#This Row],[Popolazione2011]]&gt;300000,"MAGGIORE","")</f>
        <v/>
      </c>
      <c r="J3812">
        <v>88</v>
      </c>
      <c r="K3812">
        <v>734</v>
      </c>
      <c r="L3812">
        <v>120</v>
      </c>
    </row>
    <row r="3813" spans="1:12" x14ac:dyDescent="0.2">
      <c r="A3813"/>
      <c r="B3813"/>
      <c r="C3813"/>
      <c r="D3813"/>
      <c r="E3813" s="2">
        <f>Comuni__2[[#This Row],[Popolazione2011]]/$D$7911</f>
        <v>1.2924271827929745E-5</v>
      </c>
      <c r="F3813">
        <f>SUMIFS($D$2:$D$7909, $B$2:$B$7909, "Lombardia")</f>
        <v>9704151</v>
      </c>
      <c r="G3813" s="1">
        <f>Comuni__2[[#This Row],[Popolazione2011]]/Comuni__2[[#This Row],[POPOLAZIONE TOTALE DI OGNI REGIONE (CON FILTRO)]]</f>
        <v>7.9141390112334397E-5</v>
      </c>
      <c r="H3813" t="str">
        <f>IF(Comuni__2[[#This Row],[Popolazione2011]]&gt;300000,"MAGGIORE","")</f>
        <v/>
      </c>
      <c r="J3813">
        <v>86</v>
      </c>
      <c r="K3813">
        <v>755</v>
      </c>
      <c r="L3813">
        <v>125</v>
      </c>
    </row>
    <row r="3814" spans="1:12" x14ac:dyDescent="0.2">
      <c r="A3814"/>
      <c r="B3814"/>
      <c r="C3814"/>
      <c r="D3814"/>
      <c r="E3814" s="2">
        <f>Comuni__2[[#This Row],[Popolazione2011]]/$D$7911</f>
        <v>1.2873786391101895E-5</v>
      </c>
      <c r="F3814">
        <f>SUMIFS($D$2:$D$7909, $B$2:$B$7909, "Lombardia")</f>
        <v>9704151</v>
      </c>
      <c r="G3814" s="1">
        <f>Comuni__2[[#This Row],[Popolazione2011]]/Comuni__2[[#This Row],[POPOLAZIONE TOTALE DI OGNI REGIONE (CON FILTRO)]]</f>
        <v>7.8832244057208098E-5</v>
      </c>
      <c r="H3814" t="str">
        <f>IF(Comuni__2[[#This Row],[Popolazione2011]]&gt;300000,"MAGGIORE","")</f>
        <v/>
      </c>
      <c r="J3814">
        <v>85</v>
      </c>
      <c r="K3814">
        <v>762</v>
      </c>
      <c r="L3814">
        <v>125</v>
      </c>
    </row>
    <row r="3815" spans="1:12" x14ac:dyDescent="0.2">
      <c r="A3815"/>
      <c r="B3815"/>
      <c r="C3815"/>
      <c r="D3815"/>
      <c r="E3815" s="2">
        <f>Comuni__2[[#This Row],[Popolazione2011]]/$D$7911</f>
        <v>1.2856957912159277E-5</v>
      </c>
      <c r="F3815">
        <f>SUMIFS($D$2:$D$7909, $B$2:$B$7909, "Lombardia")</f>
        <v>9704151</v>
      </c>
      <c r="G3815" s="1">
        <f>Comuni__2[[#This Row],[Popolazione2011]]/Comuni__2[[#This Row],[POPOLAZIONE TOTALE DI OGNI REGIONE (CON FILTRO)]]</f>
        <v>7.8729195372165994E-5</v>
      </c>
      <c r="H3815" t="str">
        <f>IF(Comuni__2[[#This Row],[Popolazione2011]]&gt;300000,"MAGGIORE","")</f>
        <v/>
      </c>
      <c r="J3815">
        <v>85</v>
      </c>
      <c r="K3815">
        <v>812</v>
      </c>
      <c r="L3815">
        <v>125</v>
      </c>
    </row>
    <row r="3816" spans="1:12" x14ac:dyDescent="0.2">
      <c r="A3816"/>
      <c r="B3816"/>
      <c r="C3816"/>
      <c r="D3816"/>
      <c r="E3816" s="2">
        <f>Comuni__2[[#This Row],[Popolazione2011]]/$D$7911</f>
        <v>1.2856957912159277E-5</v>
      </c>
      <c r="F3816">
        <f>SUMIFS($D$2:$D$7909, $B$2:$B$7909, "Lombardia")</f>
        <v>9704151</v>
      </c>
      <c r="G3816" s="1">
        <f>Comuni__2[[#This Row],[Popolazione2011]]/Comuni__2[[#This Row],[POPOLAZIONE TOTALE DI OGNI REGIONE (CON FILTRO)]]</f>
        <v>7.8729195372165994E-5</v>
      </c>
      <c r="H3816" t="str">
        <f>IF(Comuni__2[[#This Row],[Popolazione2011]]&gt;300000,"MAGGIORE","")</f>
        <v/>
      </c>
      <c r="J3816">
        <v>86</v>
      </c>
      <c r="K3816">
        <v>823</v>
      </c>
      <c r="L3816">
        <v>125</v>
      </c>
    </row>
    <row r="3817" spans="1:12" x14ac:dyDescent="0.2">
      <c r="A3817"/>
      <c r="B3817"/>
      <c r="C3817"/>
      <c r="D3817"/>
      <c r="E3817" s="2">
        <f>Comuni__2[[#This Row],[Popolazione2011]]/$D$7911</f>
        <v>1.2688673122733109E-5</v>
      </c>
      <c r="F3817">
        <f>SUMIFS($D$2:$D$7909, $B$2:$B$7909, "Lombardia")</f>
        <v>9704151</v>
      </c>
      <c r="G3817" s="1">
        <f>Comuni__2[[#This Row],[Popolazione2011]]/Comuni__2[[#This Row],[POPOLAZIONE TOTALE DI OGNI REGIONE (CON FILTRO)]]</f>
        <v>7.7698708521744978E-5</v>
      </c>
      <c r="H3817" t="str">
        <f>IF(Comuni__2[[#This Row],[Popolazione2011]]&gt;300000,"MAGGIORE","")</f>
        <v/>
      </c>
      <c r="J3817">
        <v>82</v>
      </c>
      <c r="K3817">
        <v>847</v>
      </c>
      <c r="L3817">
        <v>126</v>
      </c>
    </row>
    <row r="3818" spans="1:12" x14ac:dyDescent="0.2">
      <c r="A3818"/>
      <c r="B3818"/>
      <c r="C3818"/>
      <c r="D3818"/>
      <c r="E3818" s="2">
        <f>Comuni__2[[#This Row],[Popolazione2011]]/$D$7911</f>
        <v>1.2688673122733109E-5</v>
      </c>
      <c r="F3818">
        <f>SUMIFS($D$2:$D$7909, $B$2:$B$7909, "Lombardia")</f>
        <v>9704151</v>
      </c>
      <c r="G3818" s="1">
        <f>Comuni__2[[#This Row],[Popolazione2011]]/Comuni__2[[#This Row],[POPOLAZIONE TOTALE DI OGNI REGIONE (CON FILTRO)]]</f>
        <v>7.7698708521744978E-5</v>
      </c>
      <c r="H3818" t="str">
        <f>IF(Comuni__2[[#This Row],[Popolazione2011]]&gt;300000,"MAGGIORE","")</f>
        <v/>
      </c>
      <c r="J3818">
        <v>80</v>
      </c>
      <c r="K3818">
        <v>887</v>
      </c>
      <c r="L3818">
        <v>126</v>
      </c>
    </row>
    <row r="3819" spans="1:12" x14ac:dyDescent="0.2">
      <c r="A3819"/>
      <c r="B3819"/>
      <c r="C3819"/>
      <c r="D3819"/>
      <c r="E3819" s="2">
        <f>Comuni__2[[#This Row],[Popolazione2011]]/$D$7911</f>
        <v>1.2638187685905259E-5</v>
      </c>
      <c r="F3819">
        <f>SUMIFS($D$2:$D$7909, $B$2:$B$7909, "Lombardia")</f>
        <v>9704151</v>
      </c>
      <c r="G3819" s="1">
        <f>Comuni__2[[#This Row],[Popolazione2011]]/Comuni__2[[#This Row],[POPOLAZIONE TOTALE DI OGNI REGIONE (CON FILTRO)]]</f>
        <v>7.7389562466618665E-5</v>
      </c>
      <c r="H3819" t="str">
        <f>IF(Comuni__2[[#This Row],[Popolazione2011]]&gt;300000,"MAGGIORE","")</f>
        <v/>
      </c>
      <c r="J3819">
        <v>78</v>
      </c>
      <c r="K3819">
        <v>898</v>
      </c>
      <c r="L3819">
        <v>126</v>
      </c>
    </row>
    <row r="3820" spans="1:12" x14ac:dyDescent="0.2">
      <c r="A3820"/>
      <c r="B3820"/>
      <c r="C3820"/>
      <c r="D3820"/>
      <c r="E3820" s="2">
        <f>Comuni__2[[#This Row],[Popolazione2011]]/$D$7911</f>
        <v>1.2621359206962642E-5</v>
      </c>
      <c r="F3820">
        <f>SUMIFS($D$2:$D$7909, $B$2:$B$7909, "Lombardia")</f>
        <v>9704151</v>
      </c>
      <c r="G3820" s="1">
        <f>Comuni__2[[#This Row],[Popolazione2011]]/Comuni__2[[#This Row],[POPOLAZIONE TOTALE DI OGNI REGIONE (CON FILTRO)]]</f>
        <v>7.728651378157656E-5</v>
      </c>
      <c r="H3820" t="str">
        <f>IF(Comuni__2[[#This Row],[Popolazione2011]]&gt;300000,"MAGGIORE","")</f>
        <v/>
      </c>
      <c r="J3820">
        <v>76</v>
      </c>
      <c r="K3820">
        <v>911</v>
      </c>
      <c r="L3820">
        <v>127</v>
      </c>
    </row>
    <row r="3821" spans="1:12" x14ac:dyDescent="0.2">
      <c r="A3821"/>
      <c r="B3821"/>
      <c r="C3821"/>
      <c r="D3821"/>
      <c r="E3821" s="2">
        <f>Comuni__2[[#This Row],[Popolazione2011]]/$D$7911</f>
        <v>1.2604530728020025E-5</v>
      </c>
      <c r="F3821">
        <f>SUMIFS($D$2:$D$7909, $B$2:$B$7909, "Lombardia")</f>
        <v>9704151</v>
      </c>
      <c r="G3821" s="1">
        <f>Comuni__2[[#This Row],[Popolazione2011]]/Comuni__2[[#This Row],[POPOLAZIONE TOTALE DI OGNI REGIONE (CON FILTRO)]]</f>
        <v>7.7183465096534456E-5</v>
      </c>
      <c r="H3821" t="str">
        <f>IF(Comuni__2[[#This Row],[Popolazione2011]]&gt;300000,"MAGGIORE","")</f>
        <v/>
      </c>
      <c r="J3821">
        <v>64</v>
      </c>
      <c r="K3821">
        <v>922</v>
      </c>
      <c r="L3821">
        <v>128</v>
      </c>
    </row>
    <row r="3822" spans="1:12" x14ac:dyDescent="0.2">
      <c r="A3822"/>
      <c r="B3822"/>
      <c r="C3822"/>
      <c r="D3822"/>
      <c r="E3822" s="2">
        <f>Comuni__2[[#This Row],[Popolazione2011]]/$D$7911</f>
        <v>1.2520388333306941E-5</v>
      </c>
      <c r="F3822">
        <f>SUMIFS($D$2:$D$7909, $B$2:$B$7909, "Lombardia")</f>
        <v>9704151</v>
      </c>
      <c r="G3822" s="1">
        <f>Comuni__2[[#This Row],[Popolazione2011]]/Comuni__2[[#This Row],[POPOLAZIONE TOTALE DI OGNI REGIONE (CON FILTRO)]]</f>
        <v>7.6668221671323948E-5</v>
      </c>
      <c r="H3822" t="str">
        <f>IF(Comuni__2[[#This Row],[Popolazione2011]]&gt;300000,"MAGGIORE","")</f>
        <v/>
      </c>
      <c r="J3822">
        <v>64</v>
      </c>
      <c r="K3822">
        <v>940</v>
      </c>
      <c r="L3822">
        <v>129</v>
      </c>
    </row>
    <row r="3823" spans="1:12" x14ac:dyDescent="0.2">
      <c r="A3823"/>
      <c r="B3823"/>
      <c r="C3823"/>
      <c r="D3823"/>
      <c r="E3823" s="2">
        <f>Comuni__2[[#This Row],[Popolazione2011]]/$D$7911</f>
        <v>1.2520388333306941E-5</v>
      </c>
      <c r="F3823">
        <f>SUMIFS($D$2:$D$7909, $B$2:$B$7909, "Lombardia")</f>
        <v>9704151</v>
      </c>
      <c r="G3823" s="1">
        <f>Comuni__2[[#This Row],[Popolazione2011]]/Comuni__2[[#This Row],[POPOLAZIONE TOTALE DI OGNI REGIONE (CON FILTRO)]]</f>
        <v>7.6668221671323948E-5</v>
      </c>
      <c r="H3823" t="str">
        <f>IF(Comuni__2[[#This Row],[Popolazione2011]]&gt;300000,"MAGGIORE","")</f>
        <v/>
      </c>
      <c r="J3823">
        <v>54</v>
      </c>
      <c r="K3823">
        <v>982</v>
      </c>
      <c r="L3823">
        <v>129</v>
      </c>
    </row>
    <row r="3824" spans="1:12" x14ac:dyDescent="0.2">
      <c r="A3824"/>
      <c r="B3824"/>
      <c r="C3824"/>
      <c r="D3824"/>
      <c r="E3824" s="2">
        <f>Comuni__2[[#This Row],[Popolazione2011]]/$D$7911</f>
        <v>1.2436245938593856E-5</v>
      </c>
      <c r="F3824">
        <f>SUMIFS($D$2:$D$7909, $B$2:$B$7909, "Lombardia")</f>
        <v>9704151</v>
      </c>
      <c r="G3824" s="1">
        <f>Comuni__2[[#This Row],[Popolazione2011]]/Comuni__2[[#This Row],[POPOLAZIONE TOTALE DI OGNI REGIONE (CON FILTRO)]]</f>
        <v>7.615297824611344E-5</v>
      </c>
      <c r="H3824" t="str">
        <f>IF(Comuni__2[[#This Row],[Popolazione2011]]&gt;300000,"MAGGIORE","")</f>
        <v/>
      </c>
      <c r="J3824">
        <v>52</v>
      </c>
      <c r="K3824">
        <v>994</v>
      </c>
      <c r="L3824">
        <v>129</v>
      </c>
    </row>
    <row r="3825" spans="1:12" x14ac:dyDescent="0.2">
      <c r="A3825"/>
      <c r="B3825"/>
      <c r="C3825"/>
      <c r="D3825"/>
      <c r="E3825" s="2">
        <f>Comuni__2[[#This Row],[Popolazione2011]]/$D$7911</f>
        <v>1.2318446585995538E-5</v>
      </c>
      <c r="F3825">
        <f>SUMIFS($D$2:$D$7909, $B$2:$B$7909, "Lombardia")</f>
        <v>9704151</v>
      </c>
      <c r="G3825" s="1">
        <f>Comuni__2[[#This Row],[Popolazione2011]]/Comuni__2[[#This Row],[POPOLAZIONE TOTALE DI OGNI REGIONE (CON FILTRO)]]</f>
        <v>7.5431637450818723E-5</v>
      </c>
      <c r="H3825" t="str">
        <f>IF(Comuni__2[[#This Row],[Popolazione2011]]&gt;300000,"MAGGIORE","")</f>
        <v/>
      </c>
      <c r="J3825">
        <v>43</v>
      </c>
      <c r="K3825">
        <v>1000</v>
      </c>
      <c r="L3825">
        <v>130</v>
      </c>
    </row>
    <row r="3826" spans="1:12" x14ac:dyDescent="0.2">
      <c r="A3826"/>
      <c r="B3826"/>
      <c r="C3826"/>
      <c r="D3826"/>
      <c r="E3826" s="2">
        <f>Comuni__2[[#This Row],[Popolazione2011]]/$D$7911</f>
        <v>1.2318446585995538E-5</v>
      </c>
      <c r="F3826">
        <f>SUMIFS($D$2:$D$7909, $B$2:$B$7909, "Lombardia")</f>
        <v>9704151</v>
      </c>
      <c r="G3826" s="1">
        <f>Comuni__2[[#This Row],[Popolazione2011]]/Comuni__2[[#This Row],[POPOLAZIONE TOTALE DI OGNI REGIONE (CON FILTRO)]]</f>
        <v>7.5431637450818723E-5</v>
      </c>
      <c r="H3826" t="str">
        <f>IF(Comuni__2[[#This Row],[Popolazione2011]]&gt;300000,"MAGGIORE","")</f>
        <v/>
      </c>
      <c r="J3826">
        <v>43</v>
      </c>
      <c r="K3826">
        <v>1010</v>
      </c>
      <c r="L3826">
        <v>130</v>
      </c>
    </row>
    <row r="3827" spans="1:12" x14ac:dyDescent="0.2">
      <c r="A3827"/>
      <c r="B3827"/>
      <c r="C3827"/>
      <c r="D3827"/>
      <c r="E3827" s="2">
        <f>Comuni__2[[#This Row],[Popolazione2011]]/$D$7911</f>
        <v>1.2267961149167688E-5</v>
      </c>
      <c r="F3827">
        <f>SUMIFS($D$2:$D$7909, $B$2:$B$7909, "Lombardia")</f>
        <v>9704151</v>
      </c>
      <c r="G3827" s="1">
        <f>Comuni__2[[#This Row],[Popolazione2011]]/Comuni__2[[#This Row],[POPOLAZIONE TOTALE DI OGNI REGIONE (CON FILTRO)]]</f>
        <v>7.5122491395692424E-5</v>
      </c>
      <c r="H3827" t="str">
        <f>IF(Comuni__2[[#This Row],[Popolazione2011]]&gt;300000,"MAGGIORE","")</f>
        <v/>
      </c>
      <c r="J3827">
        <v>40</v>
      </c>
      <c r="K3827">
        <v>1025</v>
      </c>
      <c r="L3827">
        <v>130</v>
      </c>
    </row>
    <row r="3828" spans="1:12" x14ac:dyDescent="0.2">
      <c r="A3828"/>
      <c r="B3828"/>
      <c r="C3828"/>
      <c r="D3828"/>
      <c r="E3828" s="2">
        <f>Comuni__2[[#This Row],[Popolazione2011]]/$D$7911</f>
        <v>1.2166990275511987E-5</v>
      </c>
      <c r="F3828">
        <f>SUMIFS($D$2:$D$7909, $B$2:$B$7909, "Lombardia")</f>
        <v>9704151</v>
      </c>
      <c r="G3828" s="1">
        <f>Comuni__2[[#This Row],[Popolazione2011]]/Comuni__2[[#This Row],[POPOLAZIONE TOTALE DI OGNI REGIONE (CON FILTRO)]]</f>
        <v>7.4504199285439811E-5</v>
      </c>
      <c r="H3828" t="str">
        <f>IF(Comuni__2[[#This Row],[Popolazione2011]]&gt;300000,"MAGGIORE","")</f>
        <v/>
      </c>
      <c r="J3828">
        <v>39</v>
      </c>
      <c r="K3828">
        <v>1036</v>
      </c>
      <c r="L3828">
        <v>130</v>
      </c>
    </row>
    <row r="3829" spans="1:12" x14ac:dyDescent="0.2">
      <c r="A3829"/>
      <c r="B3829"/>
      <c r="C3829"/>
      <c r="D3829"/>
      <c r="E3829" s="2">
        <f>Comuni__2[[#This Row],[Popolazione2011]]/$D$7911</f>
        <v>1.2166990275511987E-5</v>
      </c>
      <c r="F3829">
        <f>SUMIFS($D$2:$D$7909, $B$2:$B$7909, "Lombardia")</f>
        <v>9704151</v>
      </c>
      <c r="G3829" s="1">
        <f>Comuni__2[[#This Row],[Popolazione2011]]/Comuni__2[[#This Row],[POPOLAZIONE TOTALE DI OGNI REGIONE (CON FILTRO)]]</f>
        <v>7.4504199285439811E-5</v>
      </c>
      <c r="H3829" t="str">
        <f>IF(Comuni__2[[#This Row],[Popolazione2011]]&gt;300000,"MAGGIORE","")</f>
        <v/>
      </c>
      <c r="J3829">
        <v>36</v>
      </c>
      <c r="K3829">
        <v>1040</v>
      </c>
      <c r="L3829">
        <v>130</v>
      </c>
    </row>
    <row r="3830" spans="1:12" x14ac:dyDescent="0.2">
      <c r="A3830"/>
      <c r="B3830"/>
      <c r="C3830"/>
      <c r="D3830"/>
      <c r="E3830" s="2">
        <f>Comuni__2[[#This Row],[Popolazione2011]]/$D$7911</f>
        <v>1.215016179656937E-5</v>
      </c>
      <c r="F3830">
        <f>SUMIFS($D$2:$D$7909, $B$2:$B$7909, "Lombardia")</f>
        <v>9704151</v>
      </c>
      <c r="G3830" s="1">
        <f>Comuni__2[[#This Row],[Popolazione2011]]/Comuni__2[[#This Row],[POPOLAZIONE TOTALE DI OGNI REGIONE (CON FILTRO)]]</f>
        <v>7.4401150600397707E-5</v>
      </c>
      <c r="H3830" t="str">
        <f>IF(Comuni__2[[#This Row],[Popolazione2011]]&gt;300000,"MAGGIORE","")</f>
        <v/>
      </c>
      <c r="J3830">
        <v>35</v>
      </c>
      <c r="K3830">
        <v>1041</v>
      </c>
      <c r="L3830">
        <v>130</v>
      </c>
    </row>
    <row r="3831" spans="1:12" x14ac:dyDescent="0.2">
      <c r="A3831"/>
      <c r="B3831"/>
      <c r="C3831"/>
      <c r="D3831"/>
      <c r="E3831" s="2">
        <f>Comuni__2[[#This Row],[Popolazione2011]]/$D$7911</f>
        <v>1.2133333317626754E-5</v>
      </c>
      <c r="F3831">
        <f>SUMIFS($D$2:$D$7909, $B$2:$B$7909, "Lombardia")</f>
        <v>9704151</v>
      </c>
      <c r="G3831" s="1">
        <f>Comuni__2[[#This Row],[Popolazione2011]]/Comuni__2[[#This Row],[POPOLAZIONE TOTALE DI OGNI REGIONE (CON FILTRO)]]</f>
        <v>7.4298101915355603E-5</v>
      </c>
      <c r="H3831" t="str">
        <f>IF(Comuni__2[[#This Row],[Popolazione2011]]&gt;300000,"MAGGIORE","")</f>
        <v/>
      </c>
      <c r="J3831">
        <v>24</v>
      </c>
      <c r="K3831">
        <v>1065</v>
      </c>
      <c r="L3831">
        <v>131</v>
      </c>
    </row>
    <row r="3832" spans="1:12" x14ac:dyDescent="0.2">
      <c r="A3832"/>
      <c r="B3832"/>
      <c r="C3832"/>
      <c r="D3832"/>
      <c r="E3832" s="2">
        <f>Comuni__2[[#This Row],[Popolazione2011]]/$D$7911</f>
        <v>1.2133333317626754E-5</v>
      </c>
      <c r="F3832">
        <f>SUMIFS($D$2:$D$7909, $B$2:$B$7909, "Lombardia")</f>
        <v>9704151</v>
      </c>
      <c r="G3832" s="1">
        <f>Comuni__2[[#This Row],[Popolazione2011]]/Comuni__2[[#This Row],[POPOLAZIONE TOTALE DI OGNI REGIONE (CON FILTRO)]]</f>
        <v>7.4298101915355603E-5</v>
      </c>
      <c r="H3832" t="str">
        <f>IF(Comuni__2[[#This Row],[Popolazione2011]]&gt;300000,"MAGGIORE","")</f>
        <v/>
      </c>
      <c r="J3832">
        <v>22</v>
      </c>
      <c r="K3832">
        <v>1071</v>
      </c>
      <c r="L3832">
        <v>131</v>
      </c>
    </row>
    <row r="3833" spans="1:12" x14ac:dyDescent="0.2">
      <c r="A3833"/>
      <c r="B3833"/>
      <c r="C3833"/>
      <c r="D3833"/>
      <c r="E3833" s="2">
        <f>Comuni__2[[#This Row],[Popolazione2011]]/$D$7911</f>
        <v>1.209967635974152E-5</v>
      </c>
      <c r="F3833">
        <f>SUMIFS($D$2:$D$7909, $B$2:$B$7909, "Lombardia")</f>
        <v>9704151</v>
      </c>
      <c r="G3833" s="1">
        <f>Comuni__2[[#This Row],[Popolazione2011]]/Comuni__2[[#This Row],[POPOLAZIONE TOTALE DI OGNI REGIONE (CON FILTRO)]]</f>
        <v>7.4092004545271394E-5</v>
      </c>
      <c r="H3833" t="str">
        <f>IF(Comuni__2[[#This Row],[Popolazione2011]]&gt;300000,"MAGGIORE","")</f>
        <v/>
      </c>
      <c r="J3833">
        <v>13</v>
      </c>
      <c r="K3833">
        <v>1080</v>
      </c>
      <c r="L3833">
        <v>131</v>
      </c>
    </row>
    <row r="3834" spans="1:12" x14ac:dyDescent="0.2">
      <c r="A3834"/>
      <c r="B3834"/>
      <c r="C3834"/>
      <c r="D3834"/>
      <c r="E3834" s="2">
        <f>Comuni__2[[#This Row],[Popolazione2011]]/$D$7911</f>
        <v>1.2066019401856286E-5</v>
      </c>
      <c r="F3834">
        <f>SUMIFS($D$2:$D$7909, $B$2:$B$7909, "Lombardia")</f>
        <v>9704151</v>
      </c>
      <c r="G3834" s="1">
        <f>Comuni__2[[#This Row],[Popolazione2011]]/Comuni__2[[#This Row],[POPOLAZIONE TOTALE DI OGNI REGIONE (CON FILTRO)]]</f>
        <v>7.3885907175187199E-5</v>
      </c>
      <c r="H3834" t="str">
        <f>IF(Comuni__2[[#This Row],[Popolazione2011]]&gt;300000,"MAGGIORE","")</f>
        <v/>
      </c>
      <c r="J3834">
        <v>13</v>
      </c>
      <c r="K3834">
        <v>1118</v>
      </c>
      <c r="L3834">
        <v>131</v>
      </c>
    </row>
    <row r="3835" spans="1:12" x14ac:dyDescent="0.2">
      <c r="A3835"/>
      <c r="B3835"/>
      <c r="C3835"/>
      <c r="D3835"/>
      <c r="E3835" s="2">
        <f>Comuni__2[[#This Row],[Popolazione2011]]/$D$7911</f>
        <v>1.1965048528200584E-5</v>
      </c>
      <c r="F3835">
        <f>SUMIFS($D$2:$D$7909, $B$2:$B$7909, "Lombardia")</f>
        <v>9704151</v>
      </c>
      <c r="G3835" s="1">
        <f>Comuni__2[[#This Row],[Popolazione2011]]/Comuni__2[[#This Row],[POPOLAZIONE TOTALE DI OGNI REGIONE (CON FILTRO)]]</f>
        <v>7.3267615064934587E-5</v>
      </c>
      <c r="H3835" t="str">
        <f>IF(Comuni__2[[#This Row],[Popolazione2011]]&gt;300000,"MAGGIORE","")</f>
        <v/>
      </c>
      <c r="J3835">
        <v>11</v>
      </c>
      <c r="K3835">
        <v>1161</v>
      </c>
      <c r="L3835">
        <v>131</v>
      </c>
    </row>
    <row r="3836" spans="1:12" x14ac:dyDescent="0.2">
      <c r="A3836"/>
      <c r="B3836"/>
      <c r="C3836"/>
      <c r="D3836"/>
      <c r="E3836" s="2">
        <f>Comuni__2[[#This Row],[Popolazione2011]]/$D$7911</f>
        <v>1.193139157031535E-5</v>
      </c>
      <c r="F3836">
        <f>SUMIFS($D$2:$D$7909, $B$2:$B$7909, "Lombardia")</f>
        <v>9704151</v>
      </c>
      <c r="G3836" s="1">
        <f>Comuni__2[[#This Row],[Popolazione2011]]/Comuni__2[[#This Row],[POPOLAZIONE TOTALE DI OGNI REGIONE (CON FILTRO)]]</f>
        <v>7.3061517694850378E-5</v>
      </c>
      <c r="H3836" t="str">
        <f>IF(Comuni__2[[#This Row],[Popolazione2011]]&gt;300000,"MAGGIORE","")</f>
        <v/>
      </c>
      <c r="J3836">
        <v>11</v>
      </c>
      <c r="K3836">
        <v>1171</v>
      </c>
      <c r="L3836">
        <v>131</v>
      </c>
    </row>
    <row r="3837" spans="1:12" x14ac:dyDescent="0.2">
      <c r="A3837"/>
      <c r="B3837"/>
      <c r="C3837"/>
      <c r="D3837"/>
      <c r="E3837" s="2">
        <f>Comuni__2[[#This Row],[Popolazione2011]]/$D$7911</f>
        <v>1.1813592217717032E-5</v>
      </c>
      <c r="F3837">
        <f>SUMIFS($D$2:$D$7909, $B$2:$B$7909, "Lombardia")</f>
        <v>9704151</v>
      </c>
      <c r="G3837" s="1">
        <f>Comuni__2[[#This Row],[Popolazione2011]]/Comuni__2[[#This Row],[POPOLAZIONE TOTALE DI OGNI REGIONE (CON FILTRO)]]</f>
        <v>7.2340176899555661E-5</v>
      </c>
      <c r="H3837" t="str">
        <f>IF(Comuni__2[[#This Row],[Popolazione2011]]&gt;300000,"MAGGIORE","")</f>
        <v/>
      </c>
      <c r="J3837">
        <v>11</v>
      </c>
      <c r="K3837">
        <v>1172</v>
      </c>
      <c r="L3837">
        <v>131</v>
      </c>
    </row>
    <row r="3838" spans="1:12" x14ac:dyDescent="0.2">
      <c r="A3838"/>
      <c r="B3838"/>
      <c r="C3838"/>
      <c r="D3838"/>
      <c r="E3838" s="2">
        <f>Comuni__2[[#This Row],[Popolazione2011]]/$D$7911</f>
        <v>1.1746278301946566E-5</v>
      </c>
      <c r="F3838">
        <f>SUMIFS($D$2:$D$7909, $B$2:$B$7909, "Lombardia")</f>
        <v>9704151</v>
      </c>
      <c r="G3838" s="1">
        <f>Comuni__2[[#This Row],[Popolazione2011]]/Comuni__2[[#This Row],[POPOLAZIONE TOTALE DI OGNI REGIONE (CON FILTRO)]]</f>
        <v>7.1927982159387258E-5</v>
      </c>
      <c r="H3838" t="str">
        <f>IF(Comuni__2[[#This Row],[Popolazione2011]]&gt;300000,"MAGGIORE","")</f>
        <v/>
      </c>
      <c r="J3838">
        <v>10</v>
      </c>
      <c r="K3838">
        <v>1175</v>
      </c>
      <c r="L3838">
        <v>131</v>
      </c>
    </row>
    <row r="3839" spans="1:12" x14ac:dyDescent="0.2">
      <c r="A3839"/>
      <c r="B3839"/>
      <c r="C3839"/>
      <c r="D3839"/>
      <c r="E3839" s="2">
        <f>Comuni__2[[#This Row],[Popolazione2011]]/$D$7911</f>
        <v>1.1662135907233482E-5</v>
      </c>
      <c r="F3839">
        <f>SUMIFS($D$2:$D$7909, $B$2:$B$7909, "Lombardia")</f>
        <v>9704151</v>
      </c>
      <c r="G3839" s="1">
        <f>Comuni__2[[#This Row],[Popolazione2011]]/Comuni__2[[#This Row],[POPOLAZIONE TOTALE DI OGNI REGIONE (CON FILTRO)]]</f>
        <v>7.1412738734176749E-5</v>
      </c>
      <c r="H3839" t="str">
        <f>IF(Comuni__2[[#This Row],[Popolazione2011]]&gt;300000,"MAGGIORE","")</f>
        <v/>
      </c>
      <c r="J3839">
        <v>10</v>
      </c>
      <c r="K3839">
        <v>1176</v>
      </c>
      <c r="L3839">
        <v>131</v>
      </c>
    </row>
    <row r="3840" spans="1:12" x14ac:dyDescent="0.2">
      <c r="A3840"/>
      <c r="B3840"/>
      <c r="C3840"/>
      <c r="D3840"/>
      <c r="E3840" s="2">
        <f>Comuni__2[[#This Row],[Popolazione2011]]/$D$7911</f>
        <v>1.1594821991463014E-5</v>
      </c>
      <c r="F3840">
        <f>SUMIFS($D$2:$D$7909, $B$2:$B$7909, "Lombardia")</f>
        <v>9704151</v>
      </c>
      <c r="G3840" s="1">
        <f>Comuni__2[[#This Row],[Popolazione2011]]/Comuni__2[[#This Row],[POPOLAZIONE TOTALE DI OGNI REGIONE (CON FILTRO)]]</f>
        <v>7.1000543994008332E-5</v>
      </c>
      <c r="H3840" t="str">
        <f>IF(Comuni__2[[#This Row],[Popolazione2011]]&gt;300000,"MAGGIORE","")</f>
        <v/>
      </c>
      <c r="J3840">
        <v>10</v>
      </c>
      <c r="K3840">
        <v>1180</v>
      </c>
      <c r="L3840">
        <v>131</v>
      </c>
    </row>
    <row r="3841" spans="1:12" x14ac:dyDescent="0.2">
      <c r="A3841"/>
      <c r="B3841"/>
      <c r="C3841"/>
      <c r="D3841"/>
      <c r="E3841" s="2">
        <f>Comuni__2[[#This Row],[Popolazione2011]]/$D$7911</f>
        <v>1.1594821991463014E-5</v>
      </c>
      <c r="F3841">
        <f>SUMIFS($D$2:$D$7909, $B$2:$B$7909, "Lombardia")</f>
        <v>9704151</v>
      </c>
      <c r="G3841" s="1">
        <f>Comuni__2[[#This Row],[Popolazione2011]]/Comuni__2[[#This Row],[POPOLAZIONE TOTALE DI OGNI REGIONE (CON FILTRO)]]</f>
        <v>7.1000543994008332E-5</v>
      </c>
      <c r="H3841" t="str">
        <f>IF(Comuni__2[[#This Row],[Popolazione2011]]&gt;300000,"MAGGIORE","")</f>
        <v/>
      </c>
      <c r="J3841">
        <v>11</v>
      </c>
      <c r="K3841">
        <v>1188</v>
      </c>
      <c r="L3841">
        <v>131</v>
      </c>
    </row>
    <row r="3842" spans="1:12" x14ac:dyDescent="0.2">
      <c r="A3842"/>
      <c r="B3842"/>
      <c r="C3842"/>
      <c r="D3842"/>
      <c r="E3842" s="2">
        <f>Comuni__2[[#This Row],[Popolazione2011]]/$D$7911</f>
        <v>1.1544336554635164E-5</v>
      </c>
      <c r="F3842">
        <f>SUMIFS($D$2:$D$7909, $B$2:$B$7909, "Lombardia")</f>
        <v>9704151</v>
      </c>
      <c r="G3842" s="1">
        <f>Comuni__2[[#This Row],[Popolazione2011]]/Comuni__2[[#This Row],[POPOLAZIONE TOTALE DI OGNI REGIONE (CON FILTRO)]]</f>
        <v>7.0691397938882033E-5</v>
      </c>
      <c r="H3842" t="str">
        <f>IF(Comuni__2[[#This Row],[Popolazione2011]]&gt;300000,"MAGGIORE","")</f>
        <v/>
      </c>
      <c r="J3842">
        <v>11</v>
      </c>
      <c r="K3842">
        <v>1190</v>
      </c>
      <c r="L3842">
        <v>131</v>
      </c>
    </row>
    <row r="3843" spans="1:12" x14ac:dyDescent="0.2">
      <c r="A3843"/>
      <c r="B3843"/>
      <c r="C3843"/>
      <c r="D3843"/>
      <c r="E3843" s="2">
        <f>Comuni__2[[#This Row],[Popolazione2011]]/$D$7911</f>
        <v>1.1527508075692546E-5</v>
      </c>
      <c r="F3843">
        <f>SUMIFS($D$2:$D$7909, $B$2:$B$7909, "Lombardia")</f>
        <v>9704151</v>
      </c>
      <c r="G3843" s="1">
        <f>Comuni__2[[#This Row],[Popolazione2011]]/Comuni__2[[#This Row],[POPOLAZIONE TOTALE DI OGNI REGIONE (CON FILTRO)]]</f>
        <v>7.0588349253839928E-5</v>
      </c>
      <c r="H3843" t="str">
        <f>IF(Comuni__2[[#This Row],[Popolazione2011]]&gt;300000,"MAGGIORE","")</f>
        <v/>
      </c>
      <c r="J3843">
        <v>12</v>
      </c>
      <c r="K3843">
        <v>1197</v>
      </c>
      <c r="L3843">
        <v>132</v>
      </c>
    </row>
    <row r="3844" spans="1:12" x14ac:dyDescent="0.2">
      <c r="A3844"/>
      <c r="B3844"/>
      <c r="C3844"/>
      <c r="D3844"/>
      <c r="E3844" s="2">
        <f>Comuni__2[[#This Row],[Popolazione2011]]/$D$7911</f>
        <v>1.1527508075692546E-5</v>
      </c>
      <c r="F3844">
        <f>SUMIFS($D$2:$D$7909, $B$2:$B$7909, "Lombardia")</f>
        <v>9704151</v>
      </c>
      <c r="G3844" s="1">
        <f>Comuni__2[[#This Row],[Popolazione2011]]/Comuni__2[[#This Row],[POPOLAZIONE TOTALE DI OGNI REGIONE (CON FILTRO)]]</f>
        <v>7.0588349253839928E-5</v>
      </c>
      <c r="H3844" t="str">
        <f>IF(Comuni__2[[#This Row],[Popolazione2011]]&gt;300000,"MAGGIORE","")</f>
        <v/>
      </c>
      <c r="J3844">
        <v>12</v>
      </c>
      <c r="K3844">
        <v>1198</v>
      </c>
      <c r="L3844">
        <v>132</v>
      </c>
    </row>
    <row r="3845" spans="1:12" x14ac:dyDescent="0.2">
      <c r="A3845"/>
      <c r="B3845"/>
      <c r="C3845"/>
      <c r="D3845"/>
      <c r="E3845" s="2">
        <f>Comuni__2[[#This Row],[Popolazione2011]]/$D$7911</f>
        <v>1.1493851117807312E-5</v>
      </c>
      <c r="F3845">
        <f>SUMIFS($D$2:$D$7909, $B$2:$B$7909, "Lombardia")</f>
        <v>9704151</v>
      </c>
      <c r="G3845" s="1">
        <f>Comuni__2[[#This Row],[Popolazione2011]]/Comuni__2[[#This Row],[POPOLAZIONE TOTALE DI OGNI REGIONE (CON FILTRO)]]</f>
        <v>7.038225188375572E-5</v>
      </c>
      <c r="H3845" t="str">
        <f>IF(Comuni__2[[#This Row],[Popolazione2011]]&gt;300000,"MAGGIORE","")</f>
        <v/>
      </c>
      <c r="J3845">
        <v>12</v>
      </c>
      <c r="K3845">
        <v>1198</v>
      </c>
      <c r="L3845">
        <v>132</v>
      </c>
    </row>
    <row r="3846" spans="1:12" x14ac:dyDescent="0.2">
      <c r="A3846"/>
      <c r="B3846"/>
      <c r="C3846"/>
      <c r="D3846"/>
      <c r="E3846" s="2">
        <f>Comuni__2[[#This Row],[Popolazione2011]]/$D$7911</f>
        <v>1.1443365680979462E-5</v>
      </c>
      <c r="F3846">
        <f>SUMIFS($D$2:$D$7909, $B$2:$B$7909, "Lombardia")</f>
        <v>9704151</v>
      </c>
      <c r="G3846" s="1">
        <f>Comuni__2[[#This Row],[Popolazione2011]]/Comuni__2[[#This Row],[POPOLAZIONE TOTALE DI OGNI REGIONE (CON FILTRO)]]</f>
        <v>7.007310582862942E-5</v>
      </c>
      <c r="H3846" t="str">
        <f>IF(Comuni__2[[#This Row],[Popolazione2011]]&gt;300000,"MAGGIORE","")</f>
        <v/>
      </c>
      <c r="J3846">
        <v>13</v>
      </c>
      <c r="K3846">
        <v>1200</v>
      </c>
      <c r="L3846">
        <v>132</v>
      </c>
    </row>
    <row r="3847" spans="1:12" x14ac:dyDescent="0.2">
      <c r="A3847"/>
      <c r="B3847"/>
      <c r="C3847"/>
      <c r="D3847"/>
      <c r="E3847" s="2">
        <f>Comuni__2[[#This Row],[Popolazione2011]]/$D$7911</f>
        <v>1.1409708723094228E-5</v>
      </c>
      <c r="F3847">
        <f>SUMIFS($D$2:$D$7909, $B$2:$B$7909, "Lombardia")</f>
        <v>9704151</v>
      </c>
      <c r="G3847" s="1">
        <f>Comuni__2[[#This Row],[Popolazione2011]]/Comuni__2[[#This Row],[POPOLAZIONE TOTALE DI OGNI REGIONE (CON FILTRO)]]</f>
        <v>6.9867008458545212E-5</v>
      </c>
      <c r="H3847" t="str">
        <f>IF(Comuni__2[[#This Row],[Popolazione2011]]&gt;300000,"MAGGIORE","")</f>
        <v/>
      </c>
      <c r="J3847">
        <v>11</v>
      </c>
      <c r="K3847">
        <v>1203</v>
      </c>
      <c r="L3847">
        <v>132</v>
      </c>
    </row>
    <row r="3848" spans="1:12" x14ac:dyDescent="0.2">
      <c r="A3848"/>
      <c r="B3848"/>
      <c r="C3848"/>
      <c r="D3848"/>
      <c r="E3848" s="2">
        <f>Comuni__2[[#This Row],[Popolazione2011]]/$D$7911</f>
        <v>1.1376051765208994E-5</v>
      </c>
      <c r="F3848">
        <f>SUMIFS($D$2:$D$7909, $B$2:$B$7909, "Lombardia")</f>
        <v>9704151</v>
      </c>
      <c r="G3848" s="1">
        <f>Comuni__2[[#This Row],[Popolazione2011]]/Comuni__2[[#This Row],[POPOLAZIONE TOTALE DI OGNI REGIONE (CON FILTRO)]]</f>
        <v>6.9660911088461017E-5</v>
      </c>
      <c r="H3848" t="str">
        <f>IF(Comuni__2[[#This Row],[Popolazione2011]]&gt;300000,"MAGGIORE","")</f>
        <v/>
      </c>
      <c r="J3848">
        <v>10</v>
      </c>
      <c r="K3848">
        <v>1204</v>
      </c>
      <c r="L3848">
        <v>132</v>
      </c>
    </row>
    <row r="3849" spans="1:12" x14ac:dyDescent="0.2">
      <c r="A3849"/>
      <c r="B3849"/>
      <c r="C3849"/>
      <c r="D3849"/>
      <c r="E3849" s="2">
        <f>Comuni__2[[#This Row],[Popolazione2011]]/$D$7911</f>
        <v>1.1359223286266378E-5</v>
      </c>
      <c r="F3849">
        <f>SUMIFS($D$2:$D$7909, $B$2:$B$7909, "Lombardia")</f>
        <v>9704151</v>
      </c>
      <c r="G3849" s="1">
        <f>Comuni__2[[#This Row],[Popolazione2011]]/Comuni__2[[#This Row],[POPOLAZIONE TOTALE DI OGNI REGIONE (CON FILTRO)]]</f>
        <v>6.9557862403418912E-5</v>
      </c>
      <c r="H3849" t="str">
        <f>IF(Comuni__2[[#This Row],[Popolazione2011]]&gt;300000,"MAGGIORE","")</f>
        <v/>
      </c>
      <c r="J3849">
        <v>10</v>
      </c>
      <c r="K3849">
        <v>1206</v>
      </c>
      <c r="L3849">
        <v>132</v>
      </c>
    </row>
    <row r="3850" spans="1:12" x14ac:dyDescent="0.2">
      <c r="A3850"/>
      <c r="B3850"/>
      <c r="C3850"/>
      <c r="D3850"/>
      <c r="E3850" s="2">
        <f>Comuni__2[[#This Row],[Popolazione2011]]/$D$7911</f>
        <v>1.1325566328381144E-5</v>
      </c>
      <c r="F3850">
        <f>SUMIFS($D$2:$D$7909, $B$2:$B$7909, "Lombardia")</f>
        <v>9704151</v>
      </c>
      <c r="G3850" s="1">
        <f>Comuni__2[[#This Row],[Popolazione2011]]/Comuni__2[[#This Row],[POPOLAZIONE TOTALE DI OGNI REGIONE (CON FILTRO)]]</f>
        <v>6.9351765033334704E-5</v>
      </c>
      <c r="H3850" t="str">
        <f>IF(Comuni__2[[#This Row],[Popolazione2011]]&gt;300000,"MAGGIORE","")</f>
        <v/>
      </c>
      <c r="J3850">
        <v>9</v>
      </c>
      <c r="K3850">
        <v>1209</v>
      </c>
      <c r="L3850">
        <v>132</v>
      </c>
    </row>
    <row r="3851" spans="1:12" x14ac:dyDescent="0.2">
      <c r="A3851"/>
      <c r="B3851"/>
      <c r="C3851"/>
      <c r="D3851"/>
      <c r="E3851" s="2">
        <f>Comuni__2[[#This Row],[Popolazione2011]]/$D$7911</f>
        <v>1.1224595454725442E-5</v>
      </c>
      <c r="F3851">
        <f>SUMIFS($D$2:$D$7909, $B$2:$B$7909, "Lombardia")</f>
        <v>9704151</v>
      </c>
      <c r="G3851" s="1">
        <f>Comuni__2[[#This Row],[Popolazione2011]]/Comuni__2[[#This Row],[POPOLAZIONE TOTALE DI OGNI REGIONE (CON FILTRO)]]</f>
        <v>6.8733472923082091E-5</v>
      </c>
      <c r="H3851" t="str">
        <f>IF(Comuni__2[[#This Row],[Popolazione2011]]&gt;300000,"MAGGIORE","")</f>
        <v/>
      </c>
      <c r="J3851">
        <v>9</v>
      </c>
      <c r="K3851">
        <v>1209</v>
      </c>
      <c r="L3851">
        <v>132</v>
      </c>
    </row>
    <row r="3852" spans="1:12" x14ac:dyDescent="0.2">
      <c r="A3852"/>
      <c r="B3852"/>
      <c r="C3852"/>
      <c r="D3852"/>
      <c r="E3852" s="2">
        <f>Comuni__2[[#This Row],[Popolazione2011]]/$D$7911</f>
        <v>1.1224595454725442E-5</v>
      </c>
      <c r="F3852">
        <f>SUMIFS($D$2:$D$7909, $B$2:$B$7909, "Lombardia")</f>
        <v>9704151</v>
      </c>
      <c r="G3852" s="1">
        <f>Comuni__2[[#This Row],[Popolazione2011]]/Comuni__2[[#This Row],[POPOLAZIONE TOTALE DI OGNI REGIONE (CON FILTRO)]]</f>
        <v>6.8733472923082091E-5</v>
      </c>
      <c r="H3852" t="str">
        <f>IF(Comuni__2[[#This Row],[Popolazione2011]]&gt;300000,"MAGGIORE","")</f>
        <v/>
      </c>
      <c r="J3852">
        <v>9</v>
      </c>
      <c r="K3852">
        <v>1209</v>
      </c>
      <c r="L3852">
        <v>132</v>
      </c>
    </row>
    <row r="3853" spans="1:12" x14ac:dyDescent="0.2">
      <c r="A3853"/>
      <c r="B3853"/>
      <c r="C3853"/>
      <c r="D3853"/>
      <c r="E3853" s="2">
        <f>Comuni__2[[#This Row],[Popolazione2011]]/$D$7911</f>
        <v>1.1224595454725442E-5</v>
      </c>
      <c r="F3853">
        <f>SUMIFS($D$2:$D$7909, $B$2:$B$7909, "Lombardia")</f>
        <v>9704151</v>
      </c>
      <c r="G3853" s="1">
        <f>Comuni__2[[#This Row],[Popolazione2011]]/Comuni__2[[#This Row],[POPOLAZIONE TOTALE DI OGNI REGIONE (CON FILTRO)]]</f>
        <v>6.8733472923082091E-5</v>
      </c>
      <c r="H3853" t="str">
        <f>IF(Comuni__2[[#This Row],[Popolazione2011]]&gt;300000,"MAGGIORE","")</f>
        <v/>
      </c>
      <c r="J3853">
        <v>7</v>
      </c>
      <c r="K3853">
        <v>1213</v>
      </c>
      <c r="L3853">
        <v>132</v>
      </c>
    </row>
    <row r="3854" spans="1:12" x14ac:dyDescent="0.2">
      <c r="A3854"/>
      <c r="B3854"/>
      <c r="C3854"/>
      <c r="D3854"/>
      <c r="E3854" s="2">
        <f>Comuni__2[[#This Row],[Popolazione2011]]/$D$7911</f>
        <v>1.119093849684021E-5</v>
      </c>
      <c r="F3854">
        <f>SUMIFS($D$2:$D$7909, $B$2:$B$7909, "Lombardia")</f>
        <v>9704151</v>
      </c>
      <c r="G3854" s="1">
        <f>Comuni__2[[#This Row],[Popolazione2011]]/Comuni__2[[#This Row],[POPOLAZIONE TOTALE DI OGNI REGIONE (CON FILTRO)]]</f>
        <v>6.8527375552997883E-5</v>
      </c>
      <c r="H3854" t="str">
        <f>IF(Comuni__2[[#This Row],[Popolazione2011]]&gt;300000,"MAGGIORE","")</f>
        <v/>
      </c>
      <c r="J3854">
        <v>7</v>
      </c>
      <c r="K3854">
        <v>1214</v>
      </c>
      <c r="L3854">
        <v>132</v>
      </c>
    </row>
    <row r="3855" spans="1:12" x14ac:dyDescent="0.2">
      <c r="A3855"/>
      <c r="B3855"/>
      <c r="C3855"/>
      <c r="D3855"/>
      <c r="E3855" s="2">
        <f>Comuni__2[[#This Row],[Popolazione2011]]/$D$7911</f>
        <v>1.1157281538954976E-5</v>
      </c>
      <c r="F3855">
        <f>SUMIFS($D$2:$D$7909, $B$2:$B$7909, "Lombardia")</f>
        <v>9704151</v>
      </c>
      <c r="G3855" s="1">
        <f>Comuni__2[[#This Row],[Popolazione2011]]/Comuni__2[[#This Row],[POPOLAZIONE TOTALE DI OGNI REGIONE (CON FILTRO)]]</f>
        <v>6.8321278182913688E-5</v>
      </c>
      <c r="H3855" t="str">
        <f>IF(Comuni__2[[#This Row],[Popolazione2011]]&gt;300000,"MAGGIORE","")</f>
        <v/>
      </c>
      <c r="J3855">
        <v>6</v>
      </c>
      <c r="K3855">
        <v>1216</v>
      </c>
      <c r="L3855">
        <v>132</v>
      </c>
    </row>
    <row r="3856" spans="1:12" x14ac:dyDescent="0.2">
      <c r="A3856"/>
      <c r="B3856"/>
      <c r="C3856"/>
      <c r="D3856"/>
      <c r="E3856" s="2">
        <f>Comuni__2[[#This Row],[Popolazione2011]]/$D$7911</f>
        <v>1.1106796102127124E-5</v>
      </c>
      <c r="F3856">
        <f>SUMIFS($D$2:$D$7909, $B$2:$B$7909, "Lombardia")</f>
        <v>9704151</v>
      </c>
      <c r="G3856" s="1">
        <f>Comuni__2[[#This Row],[Popolazione2011]]/Comuni__2[[#This Row],[POPOLAZIONE TOTALE DI OGNI REGIONE (CON FILTRO)]]</f>
        <v>6.8012132127787375E-5</v>
      </c>
      <c r="H3856" t="str">
        <f>IF(Comuni__2[[#This Row],[Popolazione2011]]&gt;300000,"MAGGIORE","")</f>
        <v/>
      </c>
      <c r="J3856">
        <v>5</v>
      </c>
      <c r="K3856">
        <v>1218</v>
      </c>
      <c r="L3856">
        <v>132</v>
      </c>
    </row>
    <row r="3857" spans="1:12" x14ac:dyDescent="0.2">
      <c r="A3857"/>
      <c r="B3857"/>
      <c r="C3857"/>
      <c r="D3857"/>
      <c r="E3857" s="2">
        <f>Comuni__2[[#This Row],[Popolazione2011]]/$D$7911</f>
        <v>1.1089967623184508E-5</v>
      </c>
      <c r="F3857">
        <f>SUMIFS($D$2:$D$7909, $B$2:$B$7909, "Lombardia")</f>
        <v>9704151</v>
      </c>
      <c r="G3857" s="1">
        <f>Comuni__2[[#This Row],[Popolazione2011]]/Comuni__2[[#This Row],[POPOLAZIONE TOTALE DI OGNI REGIONE (CON FILTRO)]]</f>
        <v>6.790908344274527E-5</v>
      </c>
      <c r="H3857" t="str">
        <f>IF(Comuni__2[[#This Row],[Popolazione2011]]&gt;300000,"MAGGIORE","")</f>
        <v/>
      </c>
      <c r="J3857">
        <v>6</v>
      </c>
      <c r="K3857">
        <v>1218</v>
      </c>
      <c r="L3857">
        <v>132</v>
      </c>
    </row>
    <row r="3858" spans="1:12" x14ac:dyDescent="0.2">
      <c r="A3858"/>
      <c r="B3858"/>
      <c r="C3858"/>
      <c r="D3858"/>
      <c r="E3858" s="2">
        <f>Comuni__2[[#This Row],[Popolazione2011]]/$D$7911</f>
        <v>1.1056310665299274E-5</v>
      </c>
      <c r="F3858">
        <f>SUMIFS($D$2:$D$7909, $B$2:$B$7909, "Lombardia")</f>
        <v>9704151</v>
      </c>
      <c r="G3858" s="1">
        <f>Comuni__2[[#This Row],[Popolazione2011]]/Comuni__2[[#This Row],[POPOLAZIONE TOTALE DI OGNI REGIONE (CON FILTRO)]]</f>
        <v>6.7702986072661075E-5</v>
      </c>
      <c r="H3858" t="str">
        <f>IF(Comuni__2[[#This Row],[Popolazione2011]]&gt;300000,"MAGGIORE","")</f>
        <v/>
      </c>
      <c r="J3858">
        <v>6</v>
      </c>
      <c r="K3858">
        <v>1218</v>
      </c>
      <c r="L3858">
        <v>132</v>
      </c>
    </row>
    <row r="3859" spans="1:12" x14ac:dyDescent="0.2">
      <c r="A3859"/>
      <c r="B3859"/>
      <c r="C3859"/>
      <c r="D3859"/>
      <c r="E3859" s="2">
        <f>Comuni__2[[#This Row],[Popolazione2011]]/$D$7911</f>
        <v>1.102265370741404E-5</v>
      </c>
      <c r="F3859">
        <f>SUMIFS($D$2:$D$7909, $B$2:$B$7909, "Lombardia")</f>
        <v>9704151</v>
      </c>
      <c r="G3859" s="1">
        <f>Comuni__2[[#This Row],[Popolazione2011]]/Comuni__2[[#This Row],[POPOLAZIONE TOTALE DI OGNI REGIONE (CON FILTRO)]]</f>
        <v>6.7496888702576867E-5</v>
      </c>
      <c r="H3859" t="str">
        <f>IF(Comuni__2[[#This Row],[Popolazione2011]]&gt;300000,"MAGGIORE","")</f>
        <v/>
      </c>
      <c r="J3859">
        <v>6</v>
      </c>
      <c r="K3859">
        <v>1218</v>
      </c>
      <c r="L3859">
        <v>132</v>
      </c>
    </row>
    <row r="3860" spans="1:12" x14ac:dyDescent="0.2">
      <c r="A3860"/>
      <c r="B3860"/>
      <c r="C3860"/>
      <c r="D3860"/>
      <c r="E3860" s="2">
        <f>Comuni__2[[#This Row],[Popolazione2011]]/$D$7911</f>
        <v>1.1005825228471424E-5</v>
      </c>
      <c r="F3860">
        <f>SUMIFS($D$2:$D$7909, $B$2:$B$7909, "Lombardia")</f>
        <v>9704151</v>
      </c>
      <c r="G3860" s="1">
        <f>Comuni__2[[#This Row],[Popolazione2011]]/Comuni__2[[#This Row],[POPOLAZIONE TOTALE DI OGNI REGIONE (CON FILTRO)]]</f>
        <v>6.7393840017534762E-5</v>
      </c>
      <c r="H3860" t="str">
        <f>IF(Comuni__2[[#This Row],[Popolazione2011]]&gt;300000,"MAGGIORE","")</f>
        <v/>
      </c>
      <c r="J3860">
        <v>6</v>
      </c>
      <c r="K3860">
        <v>1219</v>
      </c>
      <c r="L3860">
        <v>133</v>
      </c>
    </row>
    <row r="3861" spans="1:12" x14ac:dyDescent="0.2">
      <c r="A3861"/>
      <c r="B3861"/>
      <c r="C3861"/>
      <c r="D3861"/>
      <c r="E3861" s="2">
        <f>Comuni__2[[#This Row],[Popolazione2011]]/$D$7911</f>
        <v>1.097216827058619E-5</v>
      </c>
      <c r="F3861">
        <f>SUMIFS($D$2:$D$7909, $B$2:$B$7909, "Lombardia")</f>
        <v>9704151</v>
      </c>
      <c r="G3861" s="1">
        <f>Comuni__2[[#This Row],[Popolazione2011]]/Comuni__2[[#This Row],[POPOLAZIONE TOTALE DI OGNI REGIONE (CON FILTRO)]]</f>
        <v>6.7187742647450554E-5</v>
      </c>
      <c r="H3861" t="str">
        <f>IF(Comuni__2[[#This Row],[Popolazione2011]]&gt;300000,"MAGGIORE","")</f>
        <v/>
      </c>
      <c r="J3861">
        <v>5</v>
      </c>
      <c r="K3861">
        <v>1222</v>
      </c>
      <c r="L3861">
        <v>133</v>
      </c>
    </row>
    <row r="3862" spans="1:12" x14ac:dyDescent="0.2">
      <c r="A3862"/>
      <c r="B3862"/>
      <c r="C3862"/>
      <c r="D3862"/>
      <c r="E3862" s="2">
        <f>Comuni__2[[#This Row],[Popolazione2011]]/$D$7911</f>
        <v>1.0955339791643574E-5</v>
      </c>
      <c r="F3862">
        <f>SUMIFS($D$2:$D$7909, $B$2:$B$7909, "Lombardia")</f>
        <v>9704151</v>
      </c>
      <c r="G3862" s="1">
        <f>Comuni__2[[#This Row],[Popolazione2011]]/Comuni__2[[#This Row],[POPOLAZIONE TOTALE DI OGNI REGIONE (CON FILTRO)]]</f>
        <v>6.7084693962408463E-5</v>
      </c>
      <c r="H3862" t="str">
        <f>IF(Comuni__2[[#This Row],[Popolazione2011]]&gt;300000,"MAGGIORE","")</f>
        <v/>
      </c>
      <c r="J3862">
        <v>7</v>
      </c>
      <c r="K3862">
        <v>1222</v>
      </c>
      <c r="L3862">
        <v>133</v>
      </c>
    </row>
    <row r="3863" spans="1:12" x14ac:dyDescent="0.2">
      <c r="A3863"/>
      <c r="B3863"/>
      <c r="C3863"/>
      <c r="D3863"/>
      <c r="E3863" s="2">
        <f>Comuni__2[[#This Row],[Popolazione2011]]/$D$7911</f>
        <v>1.0871197396930488E-5</v>
      </c>
      <c r="F3863">
        <f>SUMIFS($D$2:$D$7909, $B$2:$B$7909, "Lombardia")</f>
        <v>9704151</v>
      </c>
      <c r="G3863" s="1">
        <f>Comuni__2[[#This Row],[Popolazione2011]]/Comuni__2[[#This Row],[POPOLAZIONE TOTALE DI OGNI REGIONE (CON FILTRO)]]</f>
        <v>6.6569450537197941E-5</v>
      </c>
      <c r="H3863" t="str">
        <f>IF(Comuni__2[[#This Row],[Popolazione2011]]&gt;300000,"MAGGIORE","")</f>
        <v/>
      </c>
      <c r="J3863">
        <v>6</v>
      </c>
      <c r="K3863">
        <v>1222</v>
      </c>
      <c r="L3863">
        <v>133</v>
      </c>
    </row>
    <row r="3864" spans="1:12" x14ac:dyDescent="0.2">
      <c r="A3864"/>
      <c r="B3864"/>
      <c r="C3864"/>
      <c r="D3864"/>
      <c r="E3864" s="2">
        <f>Comuni__2[[#This Row],[Popolazione2011]]/$D$7911</f>
        <v>1.0854368917987872E-5</v>
      </c>
      <c r="F3864">
        <f>SUMIFS($D$2:$D$7909, $B$2:$B$7909, "Lombardia")</f>
        <v>9704151</v>
      </c>
      <c r="G3864" s="1">
        <f>Comuni__2[[#This Row],[Popolazione2011]]/Comuni__2[[#This Row],[POPOLAZIONE TOTALE DI OGNI REGIONE (CON FILTRO)]]</f>
        <v>6.646640185215585E-5</v>
      </c>
      <c r="H3864" t="str">
        <f>IF(Comuni__2[[#This Row],[Popolazione2011]]&gt;300000,"MAGGIORE","")</f>
        <v/>
      </c>
      <c r="J3864">
        <v>6</v>
      </c>
      <c r="K3864">
        <v>1223</v>
      </c>
      <c r="L3864">
        <v>133</v>
      </c>
    </row>
    <row r="3865" spans="1:12" x14ac:dyDescent="0.2">
      <c r="A3865"/>
      <c r="B3865"/>
      <c r="C3865"/>
      <c r="D3865"/>
      <c r="E3865" s="2">
        <f>Comuni__2[[#This Row],[Popolazione2011]]/$D$7911</f>
        <v>1.0820711960102638E-5</v>
      </c>
      <c r="F3865">
        <f>SUMIFS($D$2:$D$7909, $B$2:$B$7909, "Lombardia")</f>
        <v>9704151</v>
      </c>
      <c r="G3865" s="1">
        <f>Comuni__2[[#This Row],[Popolazione2011]]/Comuni__2[[#This Row],[POPOLAZIONE TOTALE DI OGNI REGIONE (CON FILTRO)]]</f>
        <v>6.6260304482071642E-5</v>
      </c>
      <c r="H3865" t="str">
        <f>IF(Comuni__2[[#This Row],[Popolazione2011]]&gt;300000,"MAGGIORE","")</f>
        <v/>
      </c>
      <c r="J3865">
        <v>4</v>
      </c>
      <c r="K3865">
        <v>1225</v>
      </c>
      <c r="L3865">
        <v>133</v>
      </c>
    </row>
    <row r="3866" spans="1:12" x14ac:dyDescent="0.2">
      <c r="A3866"/>
      <c r="B3866"/>
      <c r="C3866"/>
      <c r="D3866"/>
      <c r="E3866" s="2">
        <f>Comuni__2[[#This Row],[Popolazione2011]]/$D$7911</f>
        <v>1.0787055002217404E-5</v>
      </c>
      <c r="F3866">
        <f>SUMIFS($D$2:$D$7909, $B$2:$B$7909, "Lombardia")</f>
        <v>9704151</v>
      </c>
      <c r="G3866" s="1">
        <f>Comuni__2[[#This Row],[Popolazione2011]]/Comuni__2[[#This Row],[POPOLAZIONE TOTALE DI OGNI REGIONE (CON FILTRO)]]</f>
        <v>6.6054207111987433E-5</v>
      </c>
      <c r="H3866" t="str">
        <f>IF(Comuni__2[[#This Row],[Popolazione2011]]&gt;300000,"MAGGIORE","")</f>
        <v/>
      </c>
      <c r="J3866">
        <v>3</v>
      </c>
      <c r="K3866">
        <v>1227</v>
      </c>
      <c r="L3866">
        <v>134</v>
      </c>
    </row>
    <row r="3867" spans="1:12" x14ac:dyDescent="0.2">
      <c r="A3867"/>
      <c r="B3867"/>
      <c r="C3867"/>
      <c r="D3867"/>
      <c r="E3867" s="2">
        <f>Comuni__2[[#This Row],[Popolazione2011]]/$D$7911</f>
        <v>1.0736569565389554E-5</v>
      </c>
      <c r="F3867">
        <f>SUMIFS($D$2:$D$7909, $B$2:$B$7909, "Lombardia")</f>
        <v>9704151</v>
      </c>
      <c r="G3867" s="1">
        <f>Comuni__2[[#This Row],[Popolazione2011]]/Comuni__2[[#This Row],[POPOLAZIONE TOTALE DI OGNI REGIONE (CON FILTRO)]]</f>
        <v>6.5745061056861134E-5</v>
      </c>
      <c r="H3867" t="str">
        <f>IF(Comuni__2[[#This Row],[Popolazione2011]]&gt;300000,"MAGGIORE","")</f>
        <v/>
      </c>
      <c r="J3867">
        <v>5</v>
      </c>
      <c r="K3867">
        <v>1224</v>
      </c>
      <c r="L3867">
        <v>134</v>
      </c>
    </row>
    <row r="3868" spans="1:12" x14ac:dyDescent="0.2">
      <c r="A3868"/>
      <c r="B3868"/>
      <c r="C3868"/>
      <c r="D3868"/>
      <c r="E3868" s="2">
        <f>Comuni__2[[#This Row],[Popolazione2011]]/$D$7911</f>
        <v>1.070291260750432E-5</v>
      </c>
      <c r="F3868">
        <f>SUMIFS($D$2:$D$7909, $B$2:$B$7909, "Lombardia")</f>
        <v>9704151</v>
      </c>
      <c r="G3868" s="1">
        <f>Comuni__2[[#This Row],[Popolazione2011]]/Comuni__2[[#This Row],[POPOLAZIONE TOTALE DI OGNI REGIONE (CON FILTRO)]]</f>
        <v>6.5538963686776925E-5</v>
      </c>
      <c r="H3868" t="str">
        <f>IF(Comuni__2[[#This Row],[Popolazione2011]]&gt;300000,"MAGGIORE","")</f>
        <v/>
      </c>
      <c r="J3868">
        <v>3</v>
      </c>
      <c r="K3868">
        <v>1227</v>
      </c>
      <c r="L3868">
        <v>134</v>
      </c>
    </row>
    <row r="3869" spans="1:12" x14ac:dyDescent="0.2">
      <c r="A3869"/>
      <c r="B3869"/>
      <c r="C3869"/>
      <c r="D3869"/>
      <c r="E3869" s="2">
        <f>Comuni__2[[#This Row],[Popolazione2011]]/$D$7911</f>
        <v>1.0669255649619086E-5</v>
      </c>
      <c r="F3869">
        <f>SUMIFS($D$2:$D$7909, $B$2:$B$7909, "Lombardia")</f>
        <v>9704151</v>
      </c>
      <c r="G3869" s="1">
        <f>Comuni__2[[#This Row],[Popolazione2011]]/Comuni__2[[#This Row],[POPOLAZIONE TOTALE DI OGNI REGIONE (CON FILTRO)]]</f>
        <v>6.5332866316692717E-5</v>
      </c>
      <c r="H3869" t="str">
        <f>IF(Comuni__2[[#This Row],[Popolazione2011]]&gt;300000,"MAGGIORE","")</f>
        <v/>
      </c>
      <c r="J3869">
        <v>3</v>
      </c>
      <c r="K3869">
        <v>1227</v>
      </c>
      <c r="L3869">
        <v>134</v>
      </c>
    </row>
    <row r="3870" spans="1:12" x14ac:dyDescent="0.2">
      <c r="A3870"/>
      <c r="B3870"/>
      <c r="C3870"/>
      <c r="D3870"/>
      <c r="E3870" s="2">
        <f>Comuni__2[[#This Row],[Popolazione2011]]/$D$7911</f>
        <v>1.065242717067647E-5</v>
      </c>
      <c r="F3870">
        <f>SUMIFS($D$2:$D$7909, $B$2:$B$7909, "Lombardia")</f>
        <v>9704151</v>
      </c>
      <c r="G3870" s="1">
        <f>Comuni__2[[#This Row],[Popolazione2011]]/Comuni__2[[#This Row],[POPOLAZIONE TOTALE DI OGNI REGIONE (CON FILTRO)]]</f>
        <v>6.5229817631650626E-5</v>
      </c>
      <c r="H3870" t="str">
        <f>IF(Comuni__2[[#This Row],[Popolazione2011]]&gt;300000,"MAGGIORE","")</f>
        <v/>
      </c>
      <c r="J3870">
        <v>3</v>
      </c>
      <c r="K3870">
        <v>1228</v>
      </c>
      <c r="L3870">
        <v>134</v>
      </c>
    </row>
    <row r="3871" spans="1:12" x14ac:dyDescent="0.2">
      <c r="A3871"/>
      <c r="B3871"/>
      <c r="C3871"/>
      <c r="D3871"/>
      <c r="E3871" s="2">
        <f>Comuni__2[[#This Row],[Popolazione2011]]/$D$7911</f>
        <v>1.065242717067647E-5</v>
      </c>
      <c r="F3871">
        <f>SUMIFS($D$2:$D$7909, $B$2:$B$7909, "Lombardia")</f>
        <v>9704151</v>
      </c>
      <c r="G3871" s="1">
        <f>Comuni__2[[#This Row],[Popolazione2011]]/Comuni__2[[#This Row],[POPOLAZIONE TOTALE DI OGNI REGIONE (CON FILTRO)]]</f>
        <v>6.5229817631650626E-5</v>
      </c>
      <c r="H3871" t="str">
        <f>IF(Comuni__2[[#This Row],[Popolazione2011]]&gt;300000,"MAGGIORE","")</f>
        <v/>
      </c>
      <c r="J3871">
        <v>3</v>
      </c>
      <c r="K3871">
        <v>1229</v>
      </c>
      <c r="L3871">
        <v>134</v>
      </c>
    </row>
    <row r="3872" spans="1:12" x14ac:dyDescent="0.2">
      <c r="A3872"/>
      <c r="B3872"/>
      <c r="C3872"/>
      <c r="D3872"/>
      <c r="E3872" s="2">
        <f>Comuni__2[[#This Row],[Popolazione2011]]/$D$7911</f>
        <v>1.065242717067647E-5</v>
      </c>
      <c r="F3872">
        <f>SUMIFS($D$2:$D$7909, $B$2:$B$7909, "Lombardia")</f>
        <v>9704151</v>
      </c>
      <c r="G3872" s="1">
        <f>Comuni__2[[#This Row],[Popolazione2011]]/Comuni__2[[#This Row],[POPOLAZIONE TOTALE DI OGNI REGIONE (CON FILTRO)]]</f>
        <v>6.5229817631650626E-5</v>
      </c>
      <c r="H3872" t="str">
        <f>IF(Comuni__2[[#This Row],[Popolazione2011]]&gt;300000,"MAGGIORE","")</f>
        <v/>
      </c>
      <c r="J3872">
        <v>3</v>
      </c>
      <c r="K3872">
        <v>1229</v>
      </c>
      <c r="L3872">
        <v>134</v>
      </c>
    </row>
    <row r="3873" spans="1:12" x14ac:dyDescent="0.2">
      <c r="A3873"/>
      <c r="B3873"/>
      <c r="C3873"/>
      <c r="D3873"/>
      <c r="E3873" s="2">
        <f>Comuni__2[[#This Row],[Popolazione2011]]/$D$7911</f>
        <v>1.0551456297020768E-5</v>
      </c>
      <c r="F3873">
        <f>SUMIFS($D$2:$D$7909, $B$2:$B$7909, "Lombardia")</f>
        <v>9704151</v>
      </c>
      <c r="G3873" s="1">
        <f>Comuni__2[[#This Row],[Popolazione2011]]/Comuni__2[[#This Row],[POPOLAZIONE TOTALE DI OGNI REGIONE (CON FILTRO)]]</f>
        <v>6.4611525521398013E-5</v>
      </c>
      <c r="H3873" t="str">
        <f>IF(Comuni__2[[#This Row],[Popolazione2011]]&gt;300000,"MAGGIORE","")</f>
        <v/>
      </c>
      <c r="J3873">
        <v>3</v>
      </c>
      <c r="K3873">
        <v>1229</v>
      </c>
      <c r="L3873">
        <v>134</v>
      </c>
    </row>
    <row r="3874" spans="1:12" x14ac:dyDescent="0.2">
      <c r="A3874"/>
      <c r="B3874"/>
      <c r="C3874"/>
      <c r="D3874"/>
      <c r="E3874" s="2">
        <f>Comuni__2[[#This Row],[Popolazione2011]]/$D$7911</f>
        <v>1.0500970860192918E-5</v>
      </c>
      <c r="F3874">
        <f>SUMIFS($D$2:$D$7909, $B$2:$B$7909, "Lombardia")</f>
        <v>9704151</v>
      </c>
      <c r="G3874" s="1">
        <f>Comuni__2[[#This Row],[Popolazione2011]]/Comuni__2[[#This Row],[POPOLAZIONE TOTALE DI OGNI REGIONE (CON FILTRO)]]</f>
        <v>6.43023794662717E-5</v>
      </c>
      <c r="H3874" t="str">
        <f>IF(Comuni__2[[#This Row],[Popolazione2011]]&gt;300000,"MAGGIORE","")</f>
        <v/>
      </c>
      <c r="J3874">
        <v>4</v>
      </c>
      <c r="K3874">
        <v>1230</v>
      </c>
      <c r="L3874">
        <v>134</v>
      </c>
    </row>
    <row r="3875" spans="1:12" x14ac:dyDescent="0.2">
      <c r="A3875"/>
      <c r="B3875"/>
      <c r="C3875"/>
      <c r="D3875"/>
      <c r="E3875" s="2">
        <f>Comuni__2[[#This Row],[Popolazione2011]]/$D$7911</f>
        <v>1.0500970860192918E-5</v>
      </c>
      <c r="F3875">
        <f>SUMIFS($D$2:$D$7909, $B$2:$B$7909, "Lombardia")</f>
        <v>9704151</v>
      </c>
      <c r="G3875" s="1">
        <f>Comuni__2[[#This Row],[Popolazione2011]]/Comuni__2[[#This Row],[POPOLAZIONE TOTALE DI OGNI REGIONE (CON FILTRO)]]</f>
        <v>6.43023794662717E-5</v>
      </c>
      <c r="H3875" t="str">
        <f>IF(Comuni__2[[#This Row],[Popolazione2011]]&gt;300000,"MAGGIORE","")</f>
        <v/>
      </c>
      <c r="J3875">
        <v>4</v>
      </c>
      <c r="K3875">
        <v>1230</v>
      </c>
      <c r="L3875">
        <v>134</v>
      </c>
    </row>
    <row r="3876" spans="1:12" x14ac:dyDescent="0.2">
      <c r="A3876"/>
      <c r="B3876"/>
      <c r="C3876"/>
      <c r="D3876"/>
      <c r="E3876" s="2">
        <f>Comuni__2[[#This Row],[Popolazione2011]]/$D$7911</f>
        <v>1.04841423812503E-5</v>
      </c>
      <c r="F3876">
        <f>SUMIFS($D$2:$D$7909, $B$2:$B$7909, "Lombardia")</f>
        <v>9704151</v>
      </c>
      <c r="G3876" s="1">
        <f>Comuni__2[[#This Row],[Popolazione2011]]/Comuni__2[[#This Row],[POPOLAZIONE TOTALE DI OGNI REGIONE (CON FILTRO)]]</f>
        <v>6.4199330781229596E-5</v>
      </c>
      <c r="H3876" t="str">
        <f>IF(Comuni__2[[#This Row],[Popolazione2011]]&gt;300000,"MAGGIORE","")</f>
        <v/>
      </c>
      <c r="J3876">
        <v>4</v>
      </c>
      <c r="K3876">
        <v>1232</v>
      </c>
      <c r="L3876">
        <v>134</v>
      </c>
    </row>
    <row r="3877" spans="1:12" x14ac:dyDescent="0.2">
      <c r="A3877"/>
      <c r="B3877"/>
      <c r="C3877"/>
      <c r="D3877"/>
      <c r="E3877" s="2">
        <f>Comuni__2[[#This Row],[Popolazione2011]]/$D$7911</f>
        <v>1.04841423812503E-5</v>
      </c>
      <c r="F3877">
        <f>SUMIFS($D$2:$D$7909, $B$2:$B$7909, "Lombardia")</f>
        <v>9704151</v>
      </c>
      <c r="G3877" s="1">
        <f>Comuni__2[[#This Row],[Popolazione2011]]/Comuni__2[[#This Row],[POPOLAZIONE TOTALE DI OGNI REGIONE (CON FILTRO)]]</f>
        <v>6.4199330781229596E-5</v>
      </c>
      <c r="H3877" t="str">
        <f>IF(Comuni__2[[#This Row],[Popolazione2011]]&gt;300000,"MAGGIORE","")</f>
        <v/>
      </c>
      <c r="J3877">
        <v>5</v>
      </c>
      <c r="K3877">
        <v>1233</v>
      </c>
      <c r="L3877">
        <v>134</v>
      </c>
    </row>
    <row r="3878" spans="1:12" x14ac:dyDescent="0.2">
      <c r="A3878"/>
      <c r="B3878"/>
      <c r="C3878"/>
      <c r="D3878"/>
      <c r="E3878" s="2">
        <f>Comuni__2[[#This Row],[Popolazione2011]]/$D$7911</f>
        <v>1.0450485423365068E-5</v>
      </c>
      <c r="F3878">
        <f>SUMIFS($D$2:$D$7909, $B$2:$B$7909, "Lombardia")</f>
        <v>9704151</v>
      </c>
      <c r="G3878" s="1">
        <f>Comuni__2[[#This Row],[Popolazione2011]]/Comuni__2[[#This Row],[POPOLAZIONE TOTALE DI OGNI REGIONE (CON FILTRO)]]</f>
        <v>6.3993233411145401E-5</v>
      </c>
      <c r="H3878" t="str">
        <f>IF(Comuni__2[[#This Row],[Popolazione2011]]&gt;300000,"MAGGIORE","")</f>
        <v/>
      </c>
      <c r="J3878">
        <v>7</v>
      </c>
      <c r="K3878">
        <v>1233</v>
      </c>
      <c r="L3878">
        <v>134</v>
      </c>
    </row>
    <row r="3879" spans="1:12" x14ac:dyDescent="0.2">
      <c r="A3879"/>
      <c r="B3879"/>
      <c r="C3879"/>
      <c r="D3879"/>
      <c r="E3879" s="2">
        <f>Comuni__2[[#This Row],[Popolazione2011]]/$D$7911</f>
        <v>1.043365694442245E-5</v>
      </c>
      <c r="F3879">
        <f>SUMIFS($D$2:$D$7909, $B$2:$B$7909, "Lombardia")</f>
        <v>9704151</v>
      </c>
      <c r="G3879" s="1">
        <f>Comuni__2[[#This Row],[Popolazione2011]]/Comuni__2[[#This Row],[POPOLAZIONE TOTALE DI OGNI REGIONE (CON FILTRO)]]</f>
        <v>6.3890184726103297E-5</v>
      </c>
      <c r="H3879" t="str">
        <f>IF(Comuni__2[[#This Row],[Popolazione2011]]&gt;300000,"MAGGIORE","")</f>
        <v/>
      </c>
      <c r="J3879">
        <v>7</v>
      </c>
      <c r="K3879">
        <v>1233</v>
      </c>
      <c r="L3879">
        <v>134</v>
      </c>
    </row>
    <row r="3880" spans="1:12" x14ac:dyDescent="0.2">
      <c r="A3880"/>
      <c r="B3880"/>
      <c r="C3880"/>
      <c r="D3880"/>
      <c r="E3880" s="2">
        <f>Comuni__2[[#This Row],[Popolazione2011]]/$D$7911</f>
        <v>1.0416828465479834E-5</v>
      </c>
      <c r="F3880">
        <f>SUMIFS($D$2:$D$7909, $B$2:$B$7909, "Lombardia")</f>
        <v>9704151</v>
      </c>
      <c r="G3880" s="1">
        <f>Comuni__2[[#This Row],[Popolazione2011]]/Comuni__2[[#This Row],[POPOLAZIONE TOTALE DI OGNI REGIONE (CON FILTRO)]]</f>
        <v>6.3787136041061192E-5</v>
      </c>
      <c r="H3880" t="str">
        <f>IF(Comuni__2[[#This Row],[Popolazione2011]]&gt;300000,"MAGGIORE","")</f>
        <v/>
      </c>
      <c r="J3880">
        <v>7</v>
      </c>
      <c r="K3880">
        <v>1233</v>
      </c>
      <c r="L3880">
        <v>134</v>
      </c>
    </row>
    <row r="3881" spans="1:12" x14ac:dyDescent="0.2">
      <c r="A3881"/>
      <c r="B3881"/>
      <c r="C3881"/>
      <c r="D3881"/>
      <c r="E3881" s="2">
        <f>Comuni__2[[#This Row],[Popolazione2011]]/$D$7911</f>
        <v>1.0349514549709366E-5</v>
      </c>
      <c r="F3881">
        <f>SUMIFS($D$2:$D$7909, $B$2:$B$7909, "Lombardia")</f>
        <v>9704151</v>
      </c>
      <c r="G3881" s="1">
        <f>Comuni__2[[#This Row],[Popolazione2011]]/Comuni__2[[#This Row],[POPOLAZIONE TOTALE DI OGNI REGIONE (CON FILTRO)]]</f>
        <v>6.3374941300892789E-5</v>
      </c>
      <c r="H3881" t="str">
        <f>IF(Comuni__2[[#This Row],[Popolazione2011]]&gt;300000,"MAGGIORE","")</f>
        <v/>
      </c>
      <c r="J3881">
        <v>7</v>
      </c>
      <c r="K3881">
        <v>1233</v>
      </c>
      <c r="L3881">
        <v>134</v>
      </c>
    </row>
    <row r="3882" spans="1:12" x14ac:dyDescent="0.2">
      <c r="A3882"/>
      <c r="B3882"/>
      <c r="C3882"/>
      <c r="D3882"/>
      <c r="E3882" s="2">
        <f>Comuni__2[[#This Row],[Popolazione2011]]/$D$7911</f>
        <v>1.033268607076675E-5</v>
      </c>
      <c r="F3882">
        <f>SUMIFS($D$2:$D$7909, $B$2:$B$7909, "Lombardia")</f>
        <v>9704151</v>
      </c>
      <c r="G3882" s="1">
        <f>Comuni__2[[#This Row],[Popolazione2011]]/Comuni__2[[#This Row],[POPOLAZIONE TOTALE DI OGNI REGIONE (CON FILTRO)]]</f>
        <v>6.3271892615850684E-5</v>
      </c>
      <c r="H3882" t="str">
        <f>IF(Comuni__2[[#This Row],[Popolazione2011]]&gt;300000,"MAGGIORE","")</f>
        <v/>
      </c>
      <c r="J3882">
        <v>7</v>
      </c>
      <c r="K3882">
        <v>1234</v>
      </c>
      <c r="L3882">
        <v>134</v>
      </c>
    </row>
    <row r="3883" spans="1:12" x14ac:dyDescent="0.2">
      <c r="A3883"/>
      <c r="B3883"/>
      <c r="C3883"/>
      <c r="D3883"/>
      <c r="E3883" s="2">
        <f>Comuni__2[[#This Row],[Popolazione2011]]/$D$7911</f>
        <v>1.0282200633938898E-5</v>
      </c>
      <c r="F3883">
        <f>SUMIFS($D$2:$D$7909, $B$2:$B$7909, "Lombardia")</f>
        <v>9704151</v>
      </c>
      <c r="G3883" s="1">
        <f>Comuni__2[[#This Row],[Popolazione2011]]/Comuni__2[[#This Row],[POPOLAZIONE TOTALE DI OGNI REGIONE (CON FILTRO)]]</f>
        <v>6.2962746560724371E-5</v>
      </c>
      <c r="H3883" t="str">
        <f>IF(Comuni__2[[#This Row],[Popolazione2011]]&gt;300000,"MAGGIORE","")</f>
        <v/>
      </c>
      <c r="J3883">
        <v>7</v>
      </c>
      <c r="K3883">
        <v>1234</v>
      </c>
      <c r="L3883">
        <v>134</v>
      </c>
    </row>
    <row r="3884" spans="1:12" x14ac:dyDescent="0.2">
      <c r="A3884"/>
      <c r="B3884"/>
      <c r="C3884"/>
      <c r="D3884"/>
      <c r="E3884" s="2">
        <f>Comuni__2[[#This Row],[Popolazione2011]]/$D$7911</f>
        <v>1.0282200633938898E-5</v>
      </c>
      <c r="F3884">
        <f>SUMIFS($D$2:$D$7909, $B$2:$B$7909, "Lombardia")</f>
        <v>9704151</v>
      </c>
      <c r="G3884" s="1">
        <f>Comuni__2[[#This Row],[Popolazione2011]]/Comuni__2[[#This Row],[POPOLAZIONE TOTALE DI OGNI REGIONE (CON FILTRO)]]</f>
        <v>6.2962746560724371E-5</v>
      </c>
      <c r="H3884" t="str">
        <f>IF(Comuni__2[[#This Row],[Popolazione2011]]&gt;300000,"MAGGIORE","")</f>
        <v/>
      </c>
      <c r="J3884">
        <v>7</v>
      </c>
      <c r="K3884">
        <v>1235</v>
      </c>
      <c r="L3884">
        <v>134</v>
      </c>
    </row>
    <row r="3885" spans="1:12" x14ac:dyDescent="0.2">
      <c r="A3885"/>
      <c r="B3885"/>
      <c r="C3885"/>
      <c r="D3885"/>
      <c r="E3885" s="2">
        <f>Comuni__2[[#This Row],[Popolazione2011]]/$D$7911</f>
        <v>1.0214886718168432E-5</v>
      </c>
      <c r="F3885">
        <f>SUMIFS($D$2:$D$7909, $B$2:$B$7909, "Lombardia")</f>
        <v>9704151</v>
      </c>
      <c r="G3885" s="1">
        <f>Comuni__2[[#This Row],[Popolazione2011]]/Comuni__2[[#This Row],[POPOLAZIONE TOTALE DI OGNI REGIONE (CON FILTRO)]]</f>
        <v>6.2550551820555968E-5</v>
      </c>
      <c r="H3885" t="str">
        <f>IF(Comuni__2[[#This Row],[Popolazione2011]]&gt;300000,"MAGGIORE","")</f>
        <v/>
      </c>
      <c r="J3885">
        <v>6</v>
      </c>
      <c r="K3885">
        <v>1235</v>
      </c>
      <c r="L3885">
        <v>134</v>
      </c>
    </row>
    <row r="3886" spans="1:12" x14ac:dyDescent="0.2">
      <c r="A3886"/>
      <c r="B3886"/>
      <c r="C3886"/>
      <c r="D3886"/>
      <c r="E3886" s="2">
        <f>Comuni__2[[#This Row],[Popolazione2011]]/$D$7911</f>
        <v>1.0214886718168432E-5</v>
      </c>
      <c r="F3886">
        <f>SUMIFS($D$2:$D$7909, $B$2:$B$7909, "Lombardia")</f>
        <v>9704151</v>
      </c>
      <c r="G3886" s="1">
        <f>Comuni__2[[#This Row],[Popolazione2011]]/Comuni__2[[#This Row],[POPOLAZIONE TOTALE DI OGNI REGIONE (CON FILTRO)]]</f>
        <v>6.2550551820555968E-5</v>
      </c>
      <c r="H3886" t="str">
        <f>IF(Comuni__2[[#This Row],[Popolazione2011]]&gt;300000,"MAGGIORE","")</f>
        <v/>
      </c>
      <c r="J3886">
        <v>6</v>
      </c>
      <c r="K3886">
        <v>1235</v>
      </c>
      <c r="L3886">
        <v>134</v>
      </c>
    </row>
    <row r="3887" spans="1:12" x14ac:dyDescent="0.2">
      <c r="A3887"/>
      <c r="B3887"/>
      <c r="C3887"/>
      <c r="D3887"/>
      <c r="E3887" s="2">
        <f>Comuni__2[[#This Row],[Popolazione2011]]/$D$7911</f>
        <v>1.0214886718168432E-5</v>
      </c>
      <c r="F3887">
        <f>SUMIFS($D$2:$D$7909, $B$2:$B$7909, "Lombardia")</f>
        <v>9704151</v>
      </c>
      <c r="G3887" s="1">
        <f>Comuni__2[[#This Row],[Popolazione2011]]/Comuni__2[[#This Row],[POPOLAZIONE TOTALE DI OGNI REGIONE (CON FILTRO)]]</f>
        <v>6.2550551820555968E-5</v>
      </c>
      <c r="H3887" t="str">
        <f>IF(Comuni__2[[#This Row],[Popolazione2011]]&gt;300000,"MAGGIORE","")</f>
        <v/>
      </c>
      <c r="J3887">
        <v>5</v>
      </c>
      <c r="K3887">
        <v>1236</v>
      </c>
      <c r="L3887">
        <v>135</v>
      </c>
    </row>
    <row r="3888" spans="1:12" x14ac:dyDescent="0.2">
      <c r="A3888"/>
      <c r="B3888"/>
      <c r="C3888"/>
      <c r="D3888"/>
      <c r="E3888" s="2">
        <f>Comuni__2[[#This Row],[Popolazione2011]]/$D$7911</f>
        <v>1.0214886718168432E-5</v>
      </c>
      <c r="F3888">
        <f>SUMIFS($D$2:$D$7909, $B$2:$B$7909, "Lombardia")</f>
        <v>9704151</v>
      </c>
      <c r="G3888" s="1">
        <f>Comuni__2[[#This Row],[Popolazione2011]]/Comuni__2[[#This Row],[POPOLAZIONE TOTALE DI OGNI REGIONE (CON FILTRO)]]</f>
        <v>6.2550551820555968E-5</v>
      </c>
      <c r="H3888" t="str">
        <f>IF(Comuni__2[[#This Row],[Popolazione2011]]&gt;300000,"MAGGIORE","")</f>
        <v/>
      </c>
      <c r="J3888">
        <v>5</v>
      </c>
      <c r="K3888">
        <v>1237</v>
      </c>
      <c r="L3888">
        <v>134</v>
      </c>
    </row>
    <row r="3889" spans="1:12" x14ac:dyDescent="0.2">
      <c r="A3889"/>
      <c r="B3889"/>
      <c r="C3889"/>
      <c r="D3889"/>
      <c r="E3889" s="2">
        <f>Comuni__2[[#This Row],[Popolazione2011]]/$D$7911</f>
        <v>1.0181229760283198E-5</v>
      </c>
      <c r="F3889">
        <f>SUMIFS($D$2:$D$7909, $B$2:$B$7909, "Lombardia")</f>
        <v>9704151</v>
      </c>
      <c r="G3889" s="1">
        <f>Comuni__2[[#This Row],[Popolazione2011]]/Comuni__2[[#This Row],[POPOLAZIONE TOTALE DI OGNI REGIONE (CON FILTRO)]]</f>
        <v>6.2344454450471759E-5</v>
      </c>
      <c r="H3889" t="str">
        <f>IF(Comuni__2[[#This Row],[Popolazione2011]]&gt;300000,"MAGGIORE","")</f>
        <v/>
      </c>
      <c r="J3889">
        <v>3</v>
      </c>
      <c r="K3889">
        <v>1237</v>
      </c>
      <c r="L3889">
        <v>134</v>
      </c>
    </row>
    <row r="3890" spans="1:12" x14ac:dyDescent="0.2">
      <c r="A3890"/>
      <c r="B3890"/>
      <c r="C3890"/>
      <c r="D3890"/>
      <c r="E3890" s="2">
        <f>Comuni__2[[#This Row],[Popolazione2011]]/$D$7911</f>
        <v>1.0147572802397964E-5</v>
      </c>
      <c r="F3890">
        <f>SUMIFS($D$2:$D$7909, $B$2:$B$7909, "Lombardia")</f>
        <v>9704151</v>
      </c>
      <c r="G3890" s="1">
        <f>Comuni__2[[#This Row],[Popolazione2011]]/Comuni__2[[#This Row],[POPOLAZIONE TOTALE DI OGNI REGIONE (CON FILTRO)]]</f>
        <v>6.2138357080387564E-5</v>
      </c>
      <c r="H3890" t="str">
        <f>IF(Comuni__2[[#This Row],[Popolazione2011]]&gt;300000,"MAGGIORE","")</f>
        <v/>
      </c>
      <c r="J3890">
        <v>3</v>
      </c>
      <c r="K3890">
        <v>1237</v>
      </c>
      <c r="L3890">
        <v>134</v>
      </c>
    </row>
    <row r="3891" spans="1:12" x14ac:dyDescent="0.2">
      <c r="A3891"/>
      <c r="B3891"/>
      <c r="C3891"/>
      <c r="D3891"/>
      <c r="E3891" s="2">
        <f>Comuni__2[[#This Row],[Popolazione2011]]/$D$7911</f>
        <v>1.0130744323455346E-5</v>
      </c>
      <c r="F3891">
        <f>SUMIFS($D$2:$D$7909, $B$2:$B$7909, "Lombardia")</f>
        <v>9704151</v>
      </c>
      <c r="G3891" s="1">
        <f>Comuni__2[[#This Row],[Popolazione2011]]/Comuni__2[[#This Row],[POPOLAZIONE TOTALE DI OGNI REGIONE (CON FILTRO)]]</f>
        <v>6.203530839534546E-5</v>
      </c>
      <c r="H3891" t="str">
        <f>IF(Comuni__2[[#This Row],[Popolazione2011]]&gt;300000,"MAGGIORE","")</f>
        <v/>
      </c>
      <c r="J3891">
        <v>3</v>
      </c>
      <c r="K3891">
        <v>1237</v>
      </c>
      <c r="L3891">
        <v>134</v>
      </c>
    </row>
    <row r="3892" spans="1:12" x14ac:dyDescent="0.2">
      <c r="A3892"/>
      <c r="B3892"/>
      <c r="C3892"/>
      <c r="D3892"/>
      <c r="E3892" s="2">
        <f>Comuni__2[[#This Row],[Popolazione2011]]/$D$7911</f>
        <v>1.0080258886627496E-5</v>
      </c>
      <c r="F3892">
        <f>SUMIFS($D$2:$D$7909, $B$2:$B$7909, "Lombardia")</f>
        <v>9704151</v>
      </c>
      <c r="G3892" s="1">
        <f>Comuni__2[[#This Row],[Popolazione2011]]/Comuni__2[[#This Row],[POPOLAZIONE TOTALE DI OGNI REGIONE (CON FILTRO)]]</f>
        <v>6.1726162340219147E-5</v>
      </c>
      <c r="H3892" t="str">
        <f>IF(Comuni__2[[#This Row],[Popolazione2011]]&gt;300000,"MAGGIORE","")</f>
        <v/>
      </c>
      <c r="J3892">
        <v>4</v>
      </c>
      <c r="K3892">
        <v>1237</v>
      </c>
      <c r="L3892">
        <v>134</v>
      </c>
    </row>
    <row r="3893" spans="1:12" x14ac:dyDescent="0.2">
      <c r="A3893"/>
      <c r="B3893"/>
      <c r="C3893"/>
      <c r="D3893"/>
      <c r="E3893" s="2">
        <f>Comuni__2[[#This Row],[Popolazione2011]]/$D$7911</f>
        <v>1.006343040768488E-5</v>
      </c>
      <c r="F3893">
        <f>SUMIFS($D$2:$D$7909, $B$2:$B$7909, "Lombardia")</f>
        <v>9704151</v>
      </c>
      <c r="G3893" s="1">
        <f>Comuni__2[[#This Row],[Popolazione2011]]/Comuni__2[[#This Row],[POPOLAZIONE TOTALE DI OGNI REGIONE (CON FILTRO)]]</f>
        <v>6.1623113655177042E-5</v>
      </c>
      <c r="H3893" t="str">
        <f>IF(Comuni__2[[#This Row],[Popolazione2011]]&gt;300000,"MAGGIORE","")</f>
        <v/>
      </c>
      <c r="J3893">
        <v>3</v>
      </c>
      <c r="K3893">
        <v>1237</v>
      </c>
      <c r="L3893">
        <v>134</v>
      </c>
    </row>
    <row r="3894" spans="1:12" x14ac:dyDescent="0.2">
      <c r="A3894"/>
      <c r="B3894"/>
      <c r="C3894"/>
      <c r="D3894"/>
      <c r="E3894" s="2">
        <f>Comuni__2[[#This Row],[Popolazione2011]]/$D$7911</f>
        <v>1.0046601928742262E-5</v>
      </c>
      <c r="F3894">
        <f>SUMIFS($D$2:$D$7909, $B$2:$B$7909, "Lombardia")</f>
        <v>9704151</v>
      </c>
      <c r="G3894" s="1">
        <f>Comuni__2[[#This Row],[Popolazione2011]]/Comuni__2[[#This Row],[POPOLAZIONE TOTALE DI OGNI REGIONE (CON FILTRO)]]</f>
        <v>6.1520064970134951E-5</v>
      </c>
      <c r="H3894" t="str">
        <f>IF(Comuni__2[[#This Row],[Popolazione2011]]&gt;300000,"MAGGIORE","")</f>
        <v/>
      </c>
      <c r="J3894">
        <v>3</v>
      </c>
      <c r="K3894">
        <v>1238</v>
      </c>
      <c r="L3894">
        <v>134</v>
      </c>
    </row>
    <row r="3895" spans="1:12" x14ac:dyDescent="0.2">
      <c r="A3895"/>
      <c r="B3895"/>
      <c r="C3895"/>
      <c r="D3895"/>
      <c r="E3895" s="2">
        <f>Comuni__2[[#This Row],[Popolazione2011]]/$D$7911</f>
        <v>1.0046601928742262E-5</v>
      </c>
      <c r="F3895">
        <f>SUMIFS($D$2:$D$7909, $B$2:$B$7909, "Lombardia")</f>
        <v>9704151</v>
      </c>
      <c r="G3895" s="1">
        <f>Comuni__2[[#This Row],[Popolazione2011]]/Comuni__2[[#This Row],[POPOLAZIONE TOTALE DI OGNI REGIONE (CON FILTRO)]]</f>
        <v>6.1520064970134951E-5</v>
      </c>
      <c r="H3895" t="str">
        <f>IF(Comuni__2[[#This Row],[Popolazione2011]]&gt;300000,"MAGGIORE","")</f>
        <v/>
      </c>
      <c r="J3895">
        <v>3</v>
      </c>
      <c r="K3895">
        <v>1239</v>
      </c>
      <c r="L3895">
        <v>134</v>
      </c>
    </row>
    <row r="3896" spans="1:12" x14ac:dyDescent="0.2">
      <c r="A3896"/>
      <c r="B3896"/>
      <c r="C3896"/>
      <c r="D3896"/>
      <c r="E3896" s="2">
        <f>Comuni__2[[#This Row],[Popolazione2011]]/$D$7911</f>
        <v>9.9456310550865623E-6</v>
      </c>
      <c r="F3896">
        <f>SUMIFS($D$2:$D$7909, $B$2:$B$7909, "Lombardia")</f>
        <v>9704151</v>
      </c>
      <c r="G3896" s="1">
        <f>Comuni__2[[#This Row],[Popolazione2011]]/Comuni__2[[#This Row],[POPOLAZIONE TOTALE DI OGNI REGIONE (CON FILTRO)]]</f>
        <v>6.0901772859882332E-5</v>
      </c>
      <c r="H3896" t="str">
        <f>IF(Comuni__2[[#This Row],[Popolazione2011]]&gt;300000,"MAGGIORE","")</f>
        <v/>
      </c>
      <c r="J3896">
        <v>5</v>
      </c>
      <c r="K3896">
        <v>1240</v>
      </c>
      <c r="L3896">
        <v>134</v>
      </c>
    </row>
    <row r="3897" spans="1:12" x14ac:dyDescent="0.2">
      <c r="A3897"/>
      <c r="B3897"/>
      <c r="C3897"/>
      <c r="D3897"/>
      <c r="E3897" s="2">
        <f>Comuni__2[[#This Row],[Popolazione2011]]/$D$7911</f>
        <v>9.8951456182587106E-6</v>
      </c>
      <c r="F3897">
        <f>SUMIFS($D$2:$D$7909, $B$2:$B$7909, "Lombardia")</f>
        <v>9704151</v>
      </c>
      <c r="G3897" s="1">
        <f>Comuni__2[[#This Row],[Popolazione2011]]/Comuni__2[[#This Row],[POPOLAZIONE TOTALE DI OGNI REGIONE (CON FILTRO)]]</f>
        <v>6.0592626804756026E-5</v>
      </c>
      <c r="H3897" t="str">
        <f>IF(Comuni__2[[#This Row],[Popolazione2011]]&gt;300000,"MAGGIORE","")</f>
        <v/>
      </c>
      <c r="J3897">
        <v>7</v>
      </c>
      <c r="K3897">
        <v>1241</v>
      </c>
      <c r="L3897">
        <v>134</v>
      </c>
    </row>
    <row r="3898" spans="1:12" x14ac:dyDescent="0.2">
      <c r="A3898"/>
      <c r="B3898"/>
      <c r="C3898"/>
      <c r="D3898"/>
      <c r="E3898" s="2">
        <f>Comuni__2[[#This Row],[Popolazione2011]]/$D$7911</f>
        <v>9.7941747446030104E-6</v>
      </c>
      <c r="F3898">
        <f>SUMIFS($D$2:$D$7909, $B$2:$B$7909, "Lombardia")</f>
        <v>9704151</v>
      </c>
      <c r="G3898" s="1">
        <f>Comuni__2[[#This Row],[Popolazione2011]]/Comuni__2[[#This Row],[POPOLAZIONE TOTALE DI OGNI REGIONE (CON FILTRO)]]</f>
        <v>5.9974334694503414E-5</v>
      </c>
      <c r="H3898" t="str">
        <f>IF(Comuni__2[[#This Row],[Popolazione2011]]&gt;300000,"MAGGIORE","")</f>
        <v/>
      </c>
      <c r="J3898">
        <v>8</v>
      </c>
      <c r="K3898">
        <v>1241</v>
      </c>
      <c r="L3898">
        <v>134</v>
      </c>
    </row>
    <row r="3899" spans="1:12" x14ac:dyDescent="0.2">
      <c r="A3899"/>
      <c r="B3899"/>
      <c r="C3899"/>
      <c r="D3899"/>
      <c r="E3899" s="2">
        <f>Comuni__2[[#This Row],[Popolazione2011]]/$D$7911</f>
        <v>9.7268608288325425E-6</v>
      </c>
      <c r="F3899">
        <f>SUMIFS($D$2:$D$7909, $B$2:$B$7909, "Lombardia")</f>
        <v>9704151</v>
      </c>
      <c r="G3899" s="1">
        <f>Comuni__2[[#This Row],[Popolazione2011]]/Comuni__2[[#This Row],[POPOLAZIONE TOTALE DI OGNI REGIONE (CON FILTRO)]]</f>
        <v>5.9562139954335003E-5</v>
      </c>
      <c r="H3899" t="str">
        <f>IF(Comuni__2[[#This Row],[Popolazione2011]]&gt;300000,"MAGGIORE","")</f>
        <v/>
      </c>
      <c r="J3899">
        <v>6</v>
      </c>
      <c r="K3899">
        <v>1245</v>
      </c>
      <c r="L3899">
        <v>134</v>
      </c>
    </row>
    <row r="3900" spans="1:12" x14ac:dyDescent="0.2">
      <c r="A3900"/>
      <c r="B3900"/>
      <c r="C3900"/>
      <c r="D3900"/>
      <c r="E3900" s="2">
        <f>Comuni__2[[#This Row],[Popolazione2011]]/$D$7911</f>
        <v>9.7100323498899264E-6</v>
      </c>
      <c r="F3900">
        <f>SUMIFS($D$2:$D$7909, $B$2:$B$7909, "Lombardia")</f>
        <v>9704151</v>
      </c>
      <c r="G3900" s="1">
        <f>Comuni__2[[#This Row],[Popolazione2011]]/Comuni__2[[#This Row],[POPOLAZIONE TOTALE DI OGNI REGIONE (CON FILTRO)]]</f>
        <v>5.9459091269292906E-5</v>
      </c>
      <c r="H3900" t="str">
        <f>IF(Comuni__2[[#This Row],[Popolazione2011]]&gt;300000,"MAGGIORE","")</f>
        <v/>
      </c>
      <c r="J3900">
        <v>6</v>
      </c>
      <c r="K3900">
        <v>1245</v>
      </c>
      <c r="L3900">
        <v>134</v>
      </c>
    </row>
    <row r="3901" spans="1:12" x14ac:dyDescent="0.2">
      <c r="A3901"/>
      <c r="B3901"/>
      <c r="C3901"/>
      <c r="D3901"/>
      <c r="E3901" s="2">
        <f>Comuni__2[[#This Row],[Popolazione2011]]/$D$7911</f>
        <v>9.6932038709473086E-6</v>
      </c>
      <c r="F3901">
        <f>SUMIFS($D$2:$D$7909, $B$2:$B$7909, "Lombardia")</f>
        <v>9704151</v>
      </c>
      <c r="G3901" s="1">
        <f>Comuni__2[[#This Row],[Popolazione2011]]/Comuni__2[[#This Row],[POPOLAZIONE TOTALE DI OGNI REGIONE (CON FILTRO)]]</f>
        <v>5.9356042584250801E-5</v>
      </c>
      <c r="H3901" t="str">
        <f>IF(Comuni__2[[#This Row],[Popolazione2011]]&gt;300000,"MAGGIORE","")</f>
        <v/>
      </c>
      <c r="J3901">
        <v>6</v>
      </c>
      <c r="K3901">
        <v>1245</v>
      </c>
      <c r="L3901">
        <v>134</v>
      </c>
    </row>
    <row r="3902" spans="1:12" x14ac:dyDescent="0.2">
      <c r="A3902"/>
      <c r="B3902"/>
      <c r="C3902"/>
      <c r="D3902"/>
      <c r="E3902" s="2">
        <f>Comuni__2[[#This Row],[Popolazione2011]]/$D$7911</f>
        <v>9.6932038709473086E-6</v>
      </c>
      <c r="F3902">
        <f>SUMIFS($D$2:$D$7909, $B$2:$B$7909, "Lombardia")</f>
        <v>9704151</v>
      </c>
      <c r="G3902" s="1">
        <f>Comuni__2[[#This Row],[Popolazione2011]]/Comuni__2[[#This Row],[POPOLAZIONE TOTALE DI OGNI REGIONE (CON FILTRO)]]</f>
        <v>5.9356042584250801E-5</v>
      </c>
      <c r="H3902" t="str">
        <f>IF(Comuni__2[[#This Row],[Popolazione2011]]&gt;300000,"MAGGIORE","")</f>
        <v/>
      </c>
      <c r="J3902">
        <v>6</v>
      </c>
      <c r="K3902">
        <v>1245</v>
      </c>
      <c r="L3902">
        <v>134</v>
      </c>
    </row>
    <row r="3903" spans="1:12" x14ac:dyDescent="0.2">
      <c r="A3903"/>
      <c r="B3903"/>
      <c r="C3903"/>
      <c r="D3903"/>
      <c r="E3903" s="2">
        <f>Comuni__2[[#This Row],[Popolazione2011]]/$D$7911</f>
        <v>9.5754045183489906E-6</v>
      </c>
      <c r="F3903">
        <f>SUMIFS($D$2:$D$7909, $B$2:$B$7909, "Lombardia")</f>
        <v>9704151</v>
      </c>
      <c r="G3903" s="1">
        <f>Comuni__2[[#This Row],[Popolazione2011]]/Comuni__2[[#This Row],[POPOLAZIONE TOTALE DI OGNI REGIONE (CON FILTRO)]]</f>
        <v>5.8634701788956085E-5</v>
      </c>
      <c r="H3903" t="str">
        <f>IF(Comuni__2[[#This Row],[Popolazione2011]]&gt;300000,"MAGGIORE","")</f>
        <v/>
      </c>
      <c r="J3903">
        <v>6</v>
      </c>
      <c r="K3903">
        <v>1245</v>
      </c>
      <c r="L3903">
        <v>134</v>
      </c>
    </row>
    <row r="3904" spans="1:12" x14ac:dyDescent="0.2">
      <c r="A3904"/>
      <c r="B3904"/>
      <c r="C3904"/>
      <c r="D3904"/>
      <c r="E3904" s="2">
        <f>Comuni__2[[#This Row],[Popolazione2011]]/$D$7911</f>
        <v>9.5249190815211406E-6</v>
      </c>
      <c r="F3904">
        <f>SUMIFS($D$2:$D$7909, $B$2:$B$7909, "Lombardia")</f>
        <v>9704151</v>
      </c>
      <c r="G3904" s="1">
        <f>Comuni__2[[#This Row],[Popolazione2011]]/Comuni__2[[#This Row],[POPOLAZIONE TOTALE DI OGNI REGIONE (CON FILTRO)]]</f>
        <v>5.8325555733829779E-5</v>
      </c>
      <c r="H3904" t="str">
        <f>IF(Comuni__2[[#This Row],[Popolazione2011]]&gt;300000,"MAGGIORE","")</f>
        <v/>
      </c>
      <c r="J3904">
        <v>8</v>
      </c>
      <c r="K3904">
        <v>1247</v>
      </c>
      <c r="L3904">
        <v>134</v>
      </c>
    </row>
    <row r="3905" spans="1:12" x14ac:dyDescent="0.2">
      <c r="A3905"/>
      <c r="B3905"/>
      <c r="C3905"/>
      <c r="D3905"/>
      <c r="E3905" s="2">
        <f>Comuni__2[[#This Row],[Popolazione2011]]/$D$7911</f>
        <v>9.5080906025785227E-6</v>
      </c>
      <c r="F3905">
        <f>SUMIFS($D$2:$D$7909, $B$2:$B$7909, "Lombardia")</f>
        <v>9704151</v>
      </c>
      <c r="G3905" s="1">
        <f>Comuni__2[[#This Row],[Popolazione2011]]/Comuni__2[[#This Row],[POPOLAZIONE TOTALE DI OGNI REGIONE (CON FILTRO)]]</f>
        <v>5.8222507048787681E-5</v>
      </c>
      <c r="H3905" t="str">
        <f>IF(Comuni__2[[#This Row],[Popolazione2011]]&gt;300000,"MAGGIORE","")</f>
        <v/>
      </c>
      <c r="J3905">
        <v>8</v>
      </c>
      <c r="K3905">
        <v>1247</v>
      </c>
      <c r="L3905">
        <v>134</v>
      </c>
    </row>
    <row r="3906" spans="1:12" x14ac:dyDescent="0.2">
      <c r="A3906"/>
      <c r="B3906"/>
      <c r="C3906"/>
      <c r="D3906"/>
      <c r="E3906" s="2">
        <f>Comuni__2[[#This Row],[Popolazione2011]]/$D$7911</f>
        <v>9.5080906025785227E-6</v>
      </c>
      <c r="F3906">
        <f>SUMIFS($D$2:$D$7909, $B$2:$B$7909, "Lombardia")</f>
        <v>9704151</v>
      </c>
      <c r="G3906" s="1">
        <f>Comuni__2[[#This Row],[Popolazione2011]]/Comuni__2[[#This Row],[POPOLAZIONE TOTALE DI OGNI REGIONE (CON FILTRO)]]</f>
        <v>5.8222507048787681E-5</v>
      </c>
      <c r="H3906" t="str">
        <f>IF(Comuni__2[[#This Row],[Popolazione2011]]&gt;300000,"MAGGIORE","")</f>
        <v/>
      </c>
      <c r="J3906">
        <v>8</v>
      </c>
      <c r="K3906">
        <v>1254</v>
      </c>
      <c r="L3906">
        <v>134</v>
      </c>
    </row>
    <row r="3907" spans="1:12" x14ac:dyDescent="0.2">
      <c r="A3907"/>
      <c r="B3907"/>
      <c r="C3907"/>
      <c r="D3907"/>
      <c r="E3907" s="2">
        <f>Comuni__2[[#This Row],[Popolazione2011]]/$D$7911</f>
        <v>9.4912621236359066E-6</v>
      </c>
      <c r="F3907">
        <f>SUMIFS($D$2:$D$7909, $B$2:$B$7909, "Lombardia")</f>
        <v>9704151</v>
      </c>
      <c r="G3907" s="1">
        <f>Comuni__2[[#This Row],[Popolazione2011]]/Comuni__2[[#This Row],[POPOLAZIONE TOTALE DI OGNI REGIONE (CON FILTRO)]]</f>
        <v>5.8119458363745577E-5</v>
      </c>
      <c r="H3907" t="str">
        <f>IF(Comuni__2[[#This Row],[Popolazione2011]]&gt;300000,"MAGGIORE","")</f>
        <v/>
      </c>
      <c r="J3907">
        <v>8</v>
      </c>
      <c r="K3907">
        <v>1254</v>
      </c>
      <c r="L3907">
        <v>134</v>
      </c>
    </row>
    <row r="3908" spans="1:12" x14ac:dyDescent="0.2">
      <c r="A3908"/>
      <c r="B3908"/>
      <c r="C3908"/>
      <c r="D3908"/>
      <c r="E3908" s="2">
        <f>Comuni__2[[#This Row],[Popolazione2011]]/$D$7911</f>
        <v>9.4912621236359066E-6</v>
      </c>
      <c r="F3908">
        <f>SUMIFS($D$2:$D$7909, $B$2:$B$7909, "Lombardia")</f>
        <v>9704151</v>
      </c>
      <c r="G3908" s="1">
        <f>Comuni__2[[#This Row],[Popolazione2011]]/Comuni__2[[#This Row],[POPOLAZIONE TOTALE DI OGNI REGIONE (CON FILTRO)]]</f>
        <v>5.8119458363745577E-5</v>
      </c>
      <c r="H3908" t="str">
        <f>IF(Comuni__2[[#This Row],[Popolazione2011]]&gt;300000,"MAGGIORE","")</f>
        <v/>
      </c>
      <c r="J3908">
        <v>9</v>
      </c>
      <c r="K3908">
        <v>1256</v>
      </c>
      <c r="L3908">
        <v>134</v>
      </c>
    </row>
    <row r="3909" spans="1:12" x14ac:dyDescent="0.2">
      <c r="A3909"/>
      <c r="B3909"/>
      <c r="C3909"/>
      <c r="D3909"/>
      <c r="E3909" s="2">
        <f>Comuni__2[[#This Row],[Popolazione2011]]/$D$7911</f>
        <v>9.4576051657506727E-6</v>
      </c>
      <c r="F3909">
        <f>SUMIFS($D$2:$D$7909, $B$2:$B$7909, "Lombardia")</f>
        <v>9704151</v>
      </c>
      <c r="G3909" s="1">
        <f>Comuni__2[[#This Row],[Popolazione2011]]/Comuni__2[[#This Row],[POPOLAZIONE TOTALE DI OGNI REGIONE (CON FILTRO)]]</f>
        <v>5.7913360993661375E-5</v>
      </c>
      <c r="H3909" t="str">
        <f>IF(Comuni__2[[#This Row],[Popolazione2011]]&gt;300000,"MAGGIORE","")</f>
        <v/>
      </c>
      <c r="J3909">
        <v>9</v>
      </c>
      <c r="K3909">
        <v>1256</v>
      </c>
      <c r="L3909">
        <v>134</v>
      </c>
    </row>
    <row r="3910" spans="1:12" x14ac:dyDescent="0.2">
      <c r="A3910"/>
      <c r="B3910"/>
      <c r="C3910"/>
      <c r="D3910"/>
      <c r="E3910" s="2">
        <f>Comuni__2[[#This Row],[Popolazione2011]]/$D$7911</f>
        <v>9.4407766868080565E-6</v>
      </c>
      <c r="F3910">
        <f>SUMIFS($D$2:$D$7909, $B$2:$B$7909, "Lombardia")</f>
        <v>9704151</v>
      </c>
      <c r="G3910" s="1">
        <f>Comuni__2[[#This Row],[Popolazione2011]]/Comuni__2[[#This Row],[POPOLAZIONE TOTALE DI OGNI REGIONE (CON FILTRO)]]</f>
        <v>5.781031230861927E-5</v>
      </c>
      <c r="H3910" t="str">
        <f>IF(Comuni__2[[#This Row],[Popolazione2011]]&gt;300000,"MAGGIORE","")</f>
        <v/>
      </c>
      <c r="J3910">
        <v>11</v>
      </c>
      <c r="K3910">
        <v>1261</v>
      </c>
      <c r="L3910">
        <v>134</v>
      </c>
    </row>
    <row r="3911" spans="1:12" x14ac:dyDescent="0.2">
      <c r="A3911"/>
      <c r="B3911"/>
      <c r="C3911"/>
      <c r="D3911"/>
      <c r="E3911" s="2">
        <f>Comuni__2[[#This Row],[Popolazione2011]]/$D$7911</f>
        <v>9.3061488552671208E-6</v>
      </c>
      <c r="F3911">
        <f>SUMIFS($D$2:$D$7909, $B$2:$B$7909, "Lombardia")</f>
        <v>9704151</v>
      </c>
      <c r="G3911" s="1">
        <f>Comuni__2[[#This Row],[Popolazione2011]]/Comuni__2[[#This Row],[POPOLAZIONE TOTALE DI OGNI REGIONE (CON FILTRO)]]</f>
        <v>5.6985922828282456E-5</v>
      </c>
      <c r="H3911" t="str">
        <f>IF(Comuni__2[[#This Row],[Popolazione2011]]&gt;300000,"MAGGIORE","")</f>
        <v/>
      </c>
      <c r="J3911">
        <v>12</v>
      </c>
      <c r="K3911">
        <v>1262</v>
      </c>
      <c r="L3911">
        <v>134</v>
      </c>
    </row>
    <row r="3912" spans="1:12" x14ac:dyDescent="0.2">
      <c r="A3912"/>
      <c r="B3912"/>
      <c r="C3912"/>
      <c r="D3912"/>
      <c r="E3912" s="2">
        <f>Comuni__2[[#This Row],[Popolazione2011]]/$D$7911</f>
        <v>9.2893203763245046E-6</v>
      </c>
      <c r="F3912">
        <f>SUMIFS($D$2:$D$7909, $B$2:$B$7909, "Lombardia")</f>
        <v>9704151</v>
      </c>
      <c r="G3912" s="1">
        <f>Comuni__2[[#This Row],[Popolazione2011]]/Comuni__2[[#This Row],[POPOLAZIONE TOTALE DI OGNI REGIONE (CON FILTRO)]]</f>
        <v>5.6882874143240352E-5</v>
      </c>
      <c r="H3912" t="str">
        <f>IF(Comuni__2[[#This Row],[Popolazione2011]]&gt;300000,"MAGGIORE","")</f>
        <v/>
      </c>
      <c r="J3912">
        <v>13</v>
      </c>
      <c r="K3912">
        <v>1262</v>
      </c>
      <c r="L3912">
        <v>134</v>
      </c>
    </row>
    <row r="3913" spans="1:12" x14ac:dyDescent="0.2">
      <c r="A3913"/>
      <c r="B3913"/>
      <c r="C3913"/>
      <c r="D3913"/>
      <c r="E3913" s="2">
        <f>Comuni__2[[#This Row],[Popolazione2011]]/$D$7911</f>
        <v>9.2220064605540367E-6</v>
      </c>
      <c r="F3913">
        <f>SUMIFS($D$2:$D$7909, $B$2:$B$7909, "Lombardia")</f>
        <v>9704151</v>
      </c>
      <c r="G3913" s="1">
        <f>Comuni__2[[#This Row],[Popolazione2011]]/Comuni__2[[#This Row],[POPOLAZIONE TOTALE DI OGNI REGIONE (CON FILTRO)]]</f>
        <v>5.6470679403071941E-5</v>
      </c>
      <c r="H3913" t="str">
        <f>IF(Comuni__2[[#This Row],[Popolazione2011]]&gt;300000,"MAGGIORE","")</f>
        <v/>
      </c>
      <c r="J3913">
        <v>14</v>
      </c>
      <c r="K3913">
        <v>1262</v>
      </c>
      <c r="L3913">
        <v>134</v>
      </c>
    </row>
    <row r="3914" spans="1:12" x14ac:dyDescent="0.2">
      <c r="A3914"/>
      <c r="B3914"/>
      <c r="C3914"/>
      <c r="D3914"/>
      <c r="E3914" s="2">
        <f>Comuni__2[[#This Row],[Popolazione2011]]/$D$7911</f>
        <v>9.1715210237261867E-6</v>
      </c>
      <c r="F3914">
        <f>SUMIFS($D$2:$D$7909, $B$2:$B$7909, "Lombardia")</f>
        <v>9704151</v>
      </c>
      <c r="G3914" s="1">
        <f>Comuni__2[[#This Row],[Popolazione2011]]/Comuni__2[[#This Row],[POPOLAZIONE TOTALE DI OGNI REGIONE (CON FILTRO)]]</f>
        <v>5.6161533347945635E-5</v>
      </c>
      <c r="H3914" t="str">
        <f>IF(Comuni__2[[#This Row],[Popolazione2011]]&gt;300000,"MAGGIORE","")</f>
        <v/>
      </c>
      <c r="J3914">
        <v>18</v>
      </c>
      <c r="K3914">
        <v>1262</v>
      </c>
      <c r="L3914">
        <v>134</v>
      </c>
    </row>
    <row r="3915" spans="1:12" x14ac:dyDescent="0.2">
      <c r="A3915"/>
      <c r="B3915"/>
      <c r="C3915"/>
      <c r="D3915"/>
      <c r="E3915" s="2">
        <f>Comuni__2[[#This Row],[Popolazione2011]]/$D$7911</f>
        <v>9.1378640658409527E-6</v>
      </c>
      <c r="F3915">
        <f>SUMIFS($D$2:$D$7909, $B$2:$B$7909, "Lombardia")</f>
        <v>9704151</v>
      </c>
      <c r="G3915" s="1">
        <f>Comuni__2[[#This Row],[Popolazione2011]]/Comuni__2[[#This Row],[POPOLAZIONE TOTALE DI OGNI REGIONE (CON FILTRO)]]</f>
        <v>5.5955435977861433E-5</v>
      </c>
      <c r="H3915" t="str">
        <f>IF(Comuni__2[[#This Row],[Popolazione2011]]&gt;300000,"MAGGIORE","")</f>
        <v/>
      </c>
      <c r="J3915">
        <v>18</v>
      </c>
      <c r="K3915">
        <v>1262</v>
      </c>
      <c r="L3915">
        <v>134</v>
      </c>
    </row>
    <row r="3916" spans="1:12" x14ac:dyDescent="0.2">
      <c r="A3916"/>
      <c r="B3916"/>
      <c r="C3916"/>
      <c r="D3916"/>
      <c r="E3916" s="2">
        <f>Comuni__2[[#This Row],[Popolazione2011]]/$D$7911</f>
        <v>9.1042071079557188E-6</v>
      </c>
      <c r="F3916">
        <f>SUMIFS($D$2:$D$7909, $B$2:$B$7909, "Lombardia")</f>
        <v>9704151</v>
      </c>
      <c r="G3916" s="1">
        <f>Comuni__2[[#This Row],[Popolazione2011]]/Comuni__2[[#This Row],[POPOLAZIONE TOTALE DI OGNI REGIONE (CON FILTRO)]]</f>
        <v>5.5749338607777231E-5</v>
      </c>
      <c r="H3916" t="str">
        <f>IF(Comuni__2[[#This Row],[Popolazione2011]]&gt;300000,"MAGGIORE","")</f>
        <v/>
      </c>
      <c r="J3916">
        <v>19</v>
      </c>
      <c r="K3916">
        <v>1262</v>
      </c>
      <c r="L3916">
        <v>134</v>
      </c>
    </row>
    <row r="3917" spans="1:12" x14ac:dyDescent="0.2">
      <c r="A3917"/>
      <c r="B3917"/>
      <c r="C3917"/>
      <c r="D3917"/>
      <c r="E3917" s="2">
        <f>Comuni__2[[#This Row],[Popolazione2011]]/$D$7911</f>
        <v>9.0873786290131026E-6</v>
      </c>
      <c r="F3917">
        <f>SUMIFS($D$2:$D$7909, $B$2:$B$7909, "Lombardia")</f>
        <v>9704151</v>
      </c>
      <c r="G3917" s="1">
        <f>Comuni__2[[#This Row],[Popolazione2011]]/Comuni__2[[#This Row],[POPOLAZIONE TOTALE DI OGNI REGIONE (CON FILTRO)]]</f>
        <v>5.5646289922735127E-5</v>
      </c>
      <c r="H3917" t="str">
        <f>IF(Comuni__2[[#This Row],[Popolazione2011]]&gt;300000,"MAGGIORE","")</f>
        <v/>
      </c>
      <c r="J3917">
        <v>21</v>
      </c>
      <c r="K3917">
        <v>1265</v>
      </c>
      <c r="L3917">
        <v>134</v>
      </c>
    </row>
    <row r="3918" spans="1:12" x14ac:dyDescent="0.2">
      <c r="A3918"/>
      <c r="B3918"/>
      <c r="C3918"/>
      <c r="D3918"/>
      <c r="E3918" s="2">
        <f>Comuni__2[[#This Row],[Popolazione2011]]/$D$7911</f>
        <v>9.0200647132426348E-6</v>
      </c>
      <c r="F3918">
        <f>SUMIFS($D$2:$D$7909, $B$2:$B$7909, "Lombardia")</f>
        <v>9704151</v>
      </c>
      <c r="G3918" s="1">
        <f>Comuni__2[[#This Row],[Popolazione2011]]/Comuni__2[[#This Row],[POPOLAZIONE TOTALE DI OGNI REGIONE (CON FILTRO)]]</f>
        <v>5.5234095182566717E-5</v>
      </c>
      <c r="H3918" t="str">
        <f>IF(Comuni__2[[#This Row],[Popolazione2011]]&gt;300000,"MAGGIORE","")</f>
        <v/>
      </c>
      <c r="J3918">
        <v>26</v>
      </c>
      <c r="K3918">
        <v>1265</v>
      </c>
      <c r="L3918">
        <v>134</v>
      </c>
    </row>
    <row r="3919" spans="1:12" x14ac:dyDescent="0.2">
      <c r="A3919"/>
      <c r="B3919"/>
      <c r="C3919"/>
      <c r="D3919"/>
      <c r="E3919" s="2">
        <f>Comuni__2[[#This Row],[Popolazione2011]]/$D$7911</f>
        <v>9.0032362343000186E-6</v>
      </c>
      <c r="F3919">
        <f>SUMIFS($D$2:$D$7909, $B$2:$B$7909, "Lombardia")</f>
        <v>9704151</v>
      </c>
      <c r="G3919" s="1">
        <f>Comuni__2[[#This Row],[Popolazione2011]]/Comuni__2[[#This Row],[POPOLAZIONE TOTALE DI OGNI REGIONE (CON FILTRO)]]</f>
        <v>5.5131046497524619E-5</v>
      </c>
      <c r="H3919" t="str">
        <f>IF(Comuni__2[[#This Row],[Popolazione2011]]&gt;300000,"MAGGIORE","")</f>
        <v/>
      </c>
      <c r="J3919">
        <v>25</v>
      </c>
      <c r="K3919">
        <v>1266</v>
      </c>
      <c r="L3919">
        <v>134</v>
      </c>
    </row>
    <row r="3920" spans="1:12" x14ac:dyDescent="0.2">
      <c r="A3920"/>
      <c r="B3920"/>
      <c r="C3920"/>
      <c r="D3920"/>
      <c r="E3920" s="2">
        <f>Comuni__2[[#This Row],[Popolazione2011]]/$D$7911</f>
        <v>8.9190938395869329E-6</v>
      </c>
      <c r="F3920">
        <f>SUMIFS($D$2:$D$7909, $B$2:$B$7909, "Lombardia")</f>
        <v>9704151</v>
      </c>
      <c r="G3920" s="1">
        <f>Comuni__2[[#This Row],[Popolazione2011]]/Comuni__2[[#This Row],[POPOLAZIONE TOTALE DI OGNI REGIONE (CON FILTRO)]]</f>
        <v>5.4615803072314104E-5</v>
      </c>
      <c r="H3920" t="str">
        <f>IF(Comuni__2[[#This Row],[Popolazione2011]]&gt;300000,"MAGGIORE","")</f>
        <v/>
      </c>
      <c r="J3920">
        <v>26</v>
      </c>
      <c r="K3920">
        <v>1267</v>
      </c>
      <c r="L3920">
        <v>134</v>
      </c>
    </row>
    <row r="3921" spans="1:12" x14ac:dyDescent="0.2">
      <c r="A3921"/>
      <c r="B3921"/>
      <c r="C3921"/>
      <c r="D3921"/>
      <c r="E3921" s="2">
        <f>Comuni__2[[#This Row],[Popolazione2011]]/$D$7911</f>
        <v>8.9022653606443168E-6</v>
      </c>
      <c r="F3921">
        <f>SUMIFS($D$2:$D$7909, $B$2:$B$7909, "Lombardia")</f>
        <v>9704151</v>
      </c>
      <c r="G3921" s="1">
        <f>Comuni__2[[#This Row],[Popolazione2011]]/Comuni__2[[#This Row],[POPOLAZIONE TOTALE DI OGNI REGIONE (CON FILTRO)]]</f>
        <v>5.4512754387272007E-5</v>
      </c>
      <c r="H3921" t="str">
        <f>IF(Comuni__2[[#This Row],[Popolazione2011]]&gt;300000,"MAGGIORE","")</f>
        <v/>
      </c>
      <c r="J3921">
        <v>31</v>
      </c>
      <c r="K3921">
        <v>1268</v>
      </c>
      <c r="L3921">
        <v>134</v>
      </c>
    </row>
    <row r="3922" spans="1:12" x14ac:dyDescent="0.2">
      <c r="A3922"/>
      <c r="B3922"/>
      <c r="C3922"/>
      <c r="D3922"/>
      <c r="E3922" s="2">
        <f>Comuni__2[[#This Row],[Popolazione2011]]/$D$7911</f>
        <v>8.7171520922755309E-6</v>
      </c>
      <c r="F3922">
        <f>SUMIFS($D$2:$D$7909, $B$2:$B$7909, "Lombardia")</f>
        <v>9704151</v>
      </c>
      <c r="G3922" s="1">
        <f>Comuni__2[[#This Row],[Popolazione2011]]/Comuni__2[[#This Row],[POPOLAZIONE TOTALE DI OGNI REGIONE (CON FILTRO)]]</f>
        <v>5.337921885180888E-5</v>
      </c>
      <c r="H3922" t="str">
        <f>IF(Comuni__2[[#This Row],[Popolazione2011]]&gt;300000,"MAGGIORE","")</f>
        <v/>
      </c>
      <c r="J3922">
        <v>32</v>
      </c>
      <c r="K3922">
        <v>1270</v>
      </c>
      <c r="L3922">
        <v>134</v>
      </c>
    </row>
    <row r="3923" spans="1:12" x14ac:dyDescent="0.2">
      <c r="A3923"/>
      <c r="B3923"/>
      <c r="C3923"/>
      <c r="D3923"/>
      <c r="E3923" s="2">
        <f>Comuni__2[[#This Row],[Popolazione2011]]/$D$7911</f>
        <v>8.7003236133329148E-6</v>
      </c>
      <c r="F3923">
        <f>SUMIFS($D$2:$D$7909, $B$2:$B$7909, "Lombardia")</f>
        <v>9704151</v>
      </c>
      <c r="G3923" s="1">
        <f>Comuni__2[[#This Row],[Popolazione2011]]/Comuni__2[[#This Row],[POPOLAZIONE TOTALE DI OGNI REGIONE (CON FILTRO)]]</f>
        <v>5.3276170166766775E-5</v>
      </c>
      <c r="H3923" t="str">
        <f>IF(Comuni__2[[#This Row],[Popolazione2011]]&gt;300000,"MAGGIORE","")</f>
        <v/>
      </c>
      <c r="J3923">
        <v>37</v>
      </c>
      <c r="K3923">
        <v>1272</v>
      </c>
      <c r="L3923">
        <v>134</v>
      </c>
    </row>
    <row r="3924" spans="1:12" x14ac:dyDescent="0.2">
      <c r="A3924"/>
      <c r="B3924"/>
      <c r="C3924"/>
      <c r="D3924"/>
      <c r="E3924" s="2">
        <f>Comuni__2[[#This Row],[Popolazione2011]]/$D$7911</f>
        <v>8.7003236133329148E-6</v>
      </c>
      <c r="F3924">
        <f>SUMIFS($D$2:$D$7909, $B$2:$B$7909, "Lombardia")</f>
        <v>9704151</v>
      </c>
      <c r="G3924" s="1">
        <f>Comuni__2[[#This Row],[Popolazione2011]]/Comuni__2[[#This Row],[POPOLAZIONE TOTALE DI OGNI REGIONE (CON FILTRO)]]</f>
        <v>5.3276170166766775E-5</v>
      </c>
      <c r="H3924" t="str">
        <f>IF(Comuni__2[[#This Row],[Popolazione2011]]&gt;300000,"MAGGIORE","")</f>
        <v/>
      </c>
      <c r="J3924">
        <v>37</v>
      </c>
      <c r="K3924">
        <v>1272</v>
      </c>
      <c r="L3924">
        <v>135</v>
      </c>
    </row>
    <row r="3925" spans="1:12" x14ac:dyDescent="0.2">
      <c r="A3925"/>
      <c r="B3925"/>
      <c r="C3925"/>
      <c r="D3925"/>
      <c r="E3925" s="2">
        <f>Comuni__2[[#This Row],[Popolazione2011]]/$D$7911</f>
        <v>8.683495134390297E-6</v>
      </c>
      <c r="F3925">
        <f>SUMIFS($D$2:$D$7909, $B$2:$B$7909, "Lombardia")</f>
        <v>9704151</v>
      </c>
      <c r="G3925" s="1">
        <f>Comuni__2[[#This Row],[Popolazione2011]]/Comuni__2[[#This Row],[POPOLAZIONE TOTALE DI OGNI REGIONE (CON FILTRO)]]</f>
        <v>5.3173121481724678E-5</v>
      </c>
      <c r="H3925" t="str">
        <f>IF(Comuni__2[[#This Row],[Popolazione2011]]&gt;300000,"MAGGIORE","")</f>
        <v/>
      </c>
      <c r="J3925">
        <v>41</v>
      </c>
      <c r="K3925">
        <v>1274</v>
      </c>
      <c r="L3925">
        <v>135</v>
      </c>
    </row>
    <row r="3926" spans="1:12" x14ac:dyDescent="0.2">
      <c r="A3926"/>
      <c r="B3926"/>
      <c r="C3926"/>
      <c r="D3926"/>
      <c r="E3926" s="2">
        <f>Comuni__2[[#This Row],[Popolazione2011]]/$D$7911</f>
        <v>8.6330096975624469E-6</v>
      </c>
      <c r="F3926">
        <f>SUMIFS($D$2:$D$7909, $B$2:$B$7909, "Lombardia")</f>
        <v>9704151</v>
      </c>
      <c r="G3926" s="1">
        <f>Comuni__2[[#This Row],[Popolazione2011]]/Comuni__2[[#This Row],[POPOLAZIONE TOTALE DI OGNI REGIONE (CON FILTRO)]]</f>
        <v>5.2863975426598371E-5</v>
      </c>
      <c r="H3926" t="str">
        <f>IF(Comuni__2[[#This Row],[Popolazione2011]]&gt;300000,"MAGGIORE","")</f>
        <v/>
      </c>
      <c r="J3926">
        <v>47</v>
      </c>
      <c r="K3926">
        <v>1276</v>
      </c>
      <c r="L3926">
        <v>135</v>
      </c>
    </row>
    <row r="3927" spans="1:12" x14ac:dyDescent="0.2">
      <c r="A3927"/>
      <c r="B3927"/>
      <c r="C3927"/>
      <c r="D3927"/>
      <c r="E3927" s="2">
        <f>Comuni__2[[#This Row],[Popolazione2011]]/$D$7911</f>
        <v>8.4647249081362789E-6</v>
      </c>
      <c r="F3927">
        <f>SUMIFS($D$2:$D$7909, $B$2:$B$7909, "Lombardia")</f>
        <v>9704151</v>
      </c>
      <c r="G3927" s="1">
        <f>Comuni__2[[#This Row],[Popolazione2011]]/Comuni__2[[#This Row],[POPOLAZIONE TOTALE DI OGNI REGIONE (CON FILTRO)]]</f>
        <v>5.1833488576177349E-5</v>
      </c>
      <c r="H3927" t="str">
        <f>IF(Comuni__2[[#This Row],[Popolazione2011]]&gt;300000,"MAGGIORE","")</f>
        <v/>
      </c>
      <c r="J3927">
        <v>52</v>
      </c>
      <c r="K3927">
        <v>1280</v>
      </c>
      <c r="L3927">
        <v>136</v>
      </c>
    </row>
    <row r="3928" spans="1:12" x14ac:dyDescent="0.2">
      <c r="A3928"/>
      <c r="B3928"/>
      <c r="C3928"/>
      <c r="D3928"/>
      <c r="E3928" s="2">
        <f>Comuni__2[[#This Row],[Popolazione2011]]/$D$7911</f>
        <v>8.4478964291936611E-6</v>
      </c>
      <c r="F3928">
        <f>SUMIFS($D$2:$D$7909, $B$2:$B$7909, "Lombardia")</f>
        <v>9704151</v>
      </c>
      <c r="G3928" s="1">
        <f>Comuni__2[[#This Row],[Popolazione2011]]/Comuni__2[[#This Row],[POPOLAZIONE TOTALE DI OGNI REGIONE (CON FILTRO)]]</f>
        <v>5.1730439891135244E-5</v>
      </c>
      <c r="H3928" t="str">
        <f>IF(Comuni__2[[#This Row],[Popolazione2011]]&gt;300000,"MAGGIORE","")</f>
        <v/>
      </c>
      <c r="J3928">
        <v>53</v>
      </c>
      <c r="K3928">
        <v>1284</v>
      </c>
      <c r="L3928">
        <v>136</v>
      </c>
    </row>
    <row r="3929" spans="1:12" x14ac:dyDescent="0.2">
      <c r="A3929"/>
      <c r="B3929"/>
      <c r="C3929"/>
      <c r="D3929"/>
      <c r="E3929" s="2">
        <f>Comuni__2[[#This Row],[Popolazione2011]]/$D$7911</f>
        <v>8.4142394713084271E-6</v>
      </c>
      <c r="F3929">
        <f>SUMIFS($D$2:$D$7909, $B$2:$B$7909, "Lombardia")</f>
        <v>9704151</v>
      </c>
      <c r="G3929" s="1">
        <f>Comuni__2[[#This Row],[Popolazione2011]]/Comuni__2[[#This Row],[POPOLAZIONE TOTALE DI OGNI REGIONE (CON FILTRO)]]</f>
        <v>5.1524342521051042E-5</v>
      </c>
      <c r="H3929" t="str">
        <f>IF(Comuni__2[[#This Row],[Popolazione2011]]&gt;300000,"MAGGIORE","")</f>
        <v/>
      </c>
      <c r="J3929">
        <v>56</v>
      </c>
      <c r="K3929">
        <v>1286</v>
      </c>
      <c r="L3929">
        <v>136</v>
      </c>
    </row>
    <row r="3930" spans="1:12" x14ac:dyDescent="0.2">
      <c r="A3930"/>
      <c r="B3930"/>
      <c r="C3930"/>
      <c r="D3930"/>
      <c r="E3930" s="2">
        <f>Comuni__2[[#This Row],[Popolazione2011]]/$D$7911</f>
        <v>8.2627831608248769E-6</v>
      </c>
      <c r="F3930">
        <f>SUMIFS($D$2:$D$7909, $B$2:$B$7909, "Lombardia")</f>
        <v>9704151</v>
      </c>
      <c r="G3930" s="1">
        <f>Comuni__2[[#This Row],[Popolazione2011]]/Comuni__2[[#This Row],[POPOLAZIONE TOTALE DI OGNI REGIONE (CON FILTRO)]]</f>
        <v>5.0596904355672124E-5</v>
      </c>
      <c r="H3930" t="str">
        <f>IF(Comuni__2[[#This Row],[Popolazione2011]]&gt;300000,"MAGGIORE","")</f>
        <v/>
      </c>
      <c r="J3930">
        <v>58</v>
      </c>
      <c r="K3930">
        <v>1286</v>
      </c>
      <c r="L3930">
        <v>136</v>
      </c>
    </row>
    <row r="3931" spans="1:12" x14ac:dyDescent="0.2">
      <c r="A3931"/>
      <c r="B3931"/>
      <c r="C3931"/>
      <c r="D3931"/>
      <c r="E3931" s="2">
        <f>Comuni__2[[#This Row],[Popolazione2011]]/$D$7911</f>
        <v>8.1281553292839411E-6</v>
      </c>
      <c r="F3931">
        <f>SUMIFS($D$2:$D$7909, $B$2:$B$7909, "Lombardia")</f>
        <v>9704151</v>
      </c>
      <c r="G3931" s="1">
        <f>Comuni__2[[#This Row],[Popolazione2011]]/Comuni__2[[#This Row],[POPOLAZIONE TOTALE DI OGNI REGIONE (CON FILTRO)]]</f>
        <v>4.977251487533531E-5</v>
      </c>
      <c r="H3931" t="str">
        <f>IF(Comuni__2[[#This Row],[Popolazione2011]]&gt;300000,"MAGGIORE","")</f>
        <v/>
      </c>
      <c r="J3931">
        <v>63</v>
      </c>
      <c r="K3931">
        <v>1291</v>
      </c>
      <c r="L3931">
        <v>138</v>
      </c>
    </row>
    <row r="3932" spans="1:12" x14ac:dyDescent="0.2">
      <c r="A3932"/>
      <c r="B3932"/>
      <c r="C3932"/>
      <c r="D3932"/>
      <c r="E3932" s="2">
        <f>Comuni__2[[#This Row],[Popolazione2011]]/$D$7911</f>
        <v>8.0440129345708571E-6</v>
      </c>
      <c r="F3932">
        <f>SUMIFS($D$2:$D$7909, $B$2:$B$7909, "Lombardia")</f>
        <v>9704151</v>
      </c>
      <c r="G3932" s="1">
        <f>Comuni__2[[#This Row],[Popolazione2011]]/Comuni__2[[#This Row],[POPOLAZIONE TOTALE DI OGNI REGIONE (CON FILTRO)]]</f>
        <v>4.9257271450124795E-5</v>
      </c>
      <c r="H3932" t="str">
        <f>IF(Comuni__2[[#This Row],[Popolazione2011]]&gt;300000,"MAGGIORE","")</f>
        <v/>
      </c>
      <c r="J3932">
        <v>69</v>
      </c>
      <c r="K3932">
        <v>1300</v>
      </c>
      <c r="L3932">
        <v>139</v>
      </c>
    </row>
    <row r="3933" spans="1:12" x14ac:dyDescent="0.2">
      <c r="A3933"/>
      <c r="B3933"/>
      <c r="C3933"/>
      <c r="D3933"/>
      <c r="E3933" s="2">
        <f>Comuni__2[[#This Row],[Popolazione2011]]/$D$7911</f>
        <v>7.9598705398577731E-6</v>
      </c>
      <c r="F3933">
        <f>SUMIFS($D$2:$D$7909, $B$2:$B$7909, "Lombardia")</f>
        <v>9704151</v>
      </c>
      <c r="G3933" s="1">
        <f>Comuni__2[[#This Row],[Popolazione2011]]/Comuni__2[[#This Row],[POPOLAZIONE TOTALE DI OGNI REGIONE (CON FILTRO)]]</f>
        <v>4.8742028024914287E-5</v>
      </c>
      <c r="H3933" t="str">
        <f>IF(Comuni__2[[#This Row],[Popolazione2011]]&gt;300000,"MAGGIORE","")</f>
        <v/>
      </c>
      <c r="J3933">
        <v>73</v>
      </c>
      <c r="K3933">
        <v>1314</v>
      </c>
      <c r="L3933">
        <v>139</v>
      </c>
    </row>
    <row r="3934" spans="1:12" x14ac:dyDescent="0.2">
      <c r="A3934"/>
      <c r="B3934"/>
      <c r="C3934"/>
      <c r="D3934"/>
      <c r="E3934" s="2">
        <f>Comuni__2[[#This Row],[Popolazione2011]]/$D$7911</f>
        <v>7.9430420609151553E-6</v>
      </c>
      <c r="F3934">
        <f>SUMIFS($D$2:$D$7909, $B$2:$B$7909, "Lombardia")</f>
        <v>9704151</v>
      </c>
      <c r="G3934" s="1">
        <f>Comuni__2[[#This Row],[Popolazione2011]]/Comuni__2[[#This Row],[POPOLAZIONE TOTALE DI OGNI REGIONE (CON FILTRO)]]</f>
        <v>4.8638979339872182E-5</v>
      </c>
      <c r="H3934" t="str">
        <f>IF(Comuni__2[[#This Row],[Popolazione2011]]&gt;300000,"MAGGIORE","")</f>
        <v/>
      </c>
      <c r="J3934">
        <v>76</v>
      </c>
      <c r="K3934">
        <v>1322</v>
      </c>
      <c r="L3934">
        <v>140</v>
      </c>
    </row>
    <row r="3935" spans="1:12" x14ac:dyDescent="0.2">
      <c r="A3935"/>
      <c r="B3935"/>
      <c r="C3935"/>
      <c r="D3935"/>
      <c r="E3935" s="2">
        <f>Comuni__2[[#This Row],[Popolazione2011]]/$D$7911</f>
        <v>7.909385103029923E-6</v>
      </c>
      <c r="F3935">
        <f>SUMIFS($D$2:$D$7909, $B$2:$B$7909, "Lombardia")</f>
        <v>9704151</v>
      </c>
      <c r="G3935" s="1">
        <f>Comuni__2[[#This Row],[Popolazione2011]]/Comuni__2[[#This Row],[POPOLAZIONE TOTALE DI OGNI REGIONE (CON FILTRO)]]</f>
        <v>4.8432881969787981E-5</v>
      </c>
      <c r="H3935" t="str">
        <f>IF(Comuni__2[[#This Row],[Popolazione2011]]&gt;300000,"MAGGIORE","")</f>
        <v/>
      </c>
      <c r="J3935">
        <v>94</v>
      </c>
      <c r="K3935">
        <v>1330</v>
      </c>
      <c r="L3935">
        <v>140</v>
      </c>
    </row>
    <row r="3936" spans="1:12" x14ac:dyDescent="0.2">
      <c r="A3936"/>
      <c r="B3936"/>
      <c r="C3936"/>
      <c r="D3936"/>
      <c r="E3936" s="2">
        <f>Comuni__2[[#This Row],[Popolazione2011]]/$D$7911</f>
        <v>7.8420711872594551E-6</v>
      </c>
      <c r="F3936">
        <f>SUMIFS($D$2:$D$7909, $B$2:$B$7909, "Lombardia")</f>
        <v>9704151</v>
      </c>
      <c r="G3936" s="1">
        <f>Comuni__2[[#This Row],[Popolazione2011]]/Comuni__2[[#This Row],[POPOLAZIONE TOTALE DI OGNI REGIONE (CON FILTRO)]]</f>
        <v>4.802068722961957E-5</v>
      </c>
      <c r="H3936" t="str">
        <f>IF(Comuni__2[[#This Row],[Popolazione2011]]&gt;300000,"MAGGIORE","")</f>
        <v/>
      </c>
      <c r="J3936">
        <v>101</v>
      </c>
      <c r="K3936">
        <v>1348</v>
      </c>
      <c r="L3936">
        <v>140</v>
      </c>
    </row>
    <row r="3937" spans="1:12" x14ac:dyDescent="0.2">
      <c r="A3937"/>
      <c r="B3937"/>
      <c r="C3937"/>
      <c r="D3937"/>
      <c r="E3937" s="2">
        <f>Comuni__2[[#This Row],[Popolazione2011]]/$D$7911</f>
        <v>7.7747572714889872E-6</v>
      </c>
      <c r="F3937">
        <f>SUMIFS($D$2:$D$7909, $B$2:$B$7909, "Lombardia")</f>
        <v>9704151</v>
      </c>
      <c r="G3937" s="1">
        <f>Comuni__2[[#This Row],[Popolazione2011]]/Comuni__2[[#This Row],[POPOLAZIONE TOTALE DI OGNI REGIONE (CON FILTRO)]]</f>
        <v>4.7608492489451166E-5</v>
      </c>
      <c r="H3937" t="str">
        <f>IF(Comuni__2[[#This Row],[Popolazione2011]]&gt;300000,"MAGGIORE","")</f>
        <v/>
      </c>
      <c r="J3937">
        <v>104</v>
      </c>
      <c r="K3937">
        <v>1367</v>
      </c>
      <c r="L3937">
        <v>140</v>
      </c>
    </row>
    <row r="3938" spans="1:12" x14ac:dyDescent="0.2">
      <c r="A3938"/>
      <c r="B3938"/>
      <c r="C3938"/>
      <c r="D3938"/>
      <c r="E3938" s="2">
        <f>Comuni__2[[#This Row],[Popolazione2011]]/$D$7911</f>
        <v>7.6569579188906693E-6</v>
      </c>
      <c r="F3938">
        <f>SUMIFS($D$2:$D$7909, $B$2:$B$7909, "Lombardia")</f>
        <v>9704151</v>
      </c>
      <c r="G3938" s="1">
        <f>Comuni__2[[#This Row],[Popolazione2011]]/Comuni__2[[#This Row],[POPOLAZIONE TOTALE DI OGNI REGIONE (CON FILTRO)]]</f>
        <v>4.688715169415645E-5</v>
      </c>
      <c r="H3938" t="str">
        <f>IF(Comuni__2[[#This Row],[Popolazione2011]]&gt;300000,"MAGGIORE","")</f>
        <v/>
      </c>
      <c r="J3938">
        <v>105</v>
      </c>
      <c r="K3938">
        <v>1371</v>
      </c>
      <c r="L3938">
        <v>140</v>
      </c>
    </row>
    <row r="3939" spans="1:12" x14ac:dyDescent="0.2">
      <c r="A3939"/>
      <c r="B3939"/>
      <c r="C3939"/>
      <c r="D3939"/>
      <c r="E3939" s="2">
        <f>Comuni__2[[#This Row],[Popolazione2011]]/$D$7911</f>
        <v>7.6569579188906693E-6</v>
      </c>
      <c r="F3939">
        <f>SUMIFS($D$2:$D$7909, $B$2:$B$7909, "Lombardia")</f>
        <v>9704151</v>
      </c>
      <c r="G3939" s="1">
        <f>Comuni__2[[#This Row],[Popolazione2011]]/Comuni__2[[#This Row],[POPOLAZIONE TOTALE DI OGNI REGIONE (CON FILTRO)]]</f>
        <v>4.688715169415645E-5</v>
      </c>
      <c r="H3939" t="str">
        <f>IF(Comuni__2[[#This Row],[Popolazione2011]]&gt;300000,"MAGGIORE","")</f>
        <v/>
      </c>
      <c r="J3939">
        <v>101</v>
      </c>
      <c r="K3939">
        <v>1388</v>
      </c>
      <c r="L3939">
        <v>140</v>
      </c>
    </row>
    <row r="3940" spans="1:12" x14ac:dyDescent="0.2">
      <c r="A3940"/>
      <c r="B3940"/>
      <c r="C3940"/>
      <c r="D3940"/>
      <c r="E3940" s="2">
        <f>Comuni__2[[#This Row],[Popolazione2011]]/$D$7911</f>
        <v>7.5559870452349683E-6</v>
      </c>
      <c r="F3940">
        <f>SUMIFS($D$2:$D$7909, $B$2:$B$7909, "Lombardia")</f>
        <v>9704151</v>
      </c>
      <c r="G3940" s="1">
        <f>Comuni__2[[#This Row],[Popolazione2011]]/Comuni__2[[#This Row],[POPOLAZIONE TOTALE DI OGNI REGIONE (CON FILTRO)]]</f>
        <v>4.6268859583903837E-5</v>
      </c>
      <c r="H3940" t="str">
        <f>IF(Comuni__2[[#This Row],[Popolazione2011]]&gt;300000,"MAGGIORE","")</f>
        <v/>
      </c>
      <c r="J3940">
        <v>106</v>
      </c>
      <c r="K3940">
        <v>1400</v>
      </c>
      <c r="L3940">
        <v>141</v>
      </c>
    </row>
    <row r="3941" spans="1:12" x14ac:dyDescent="0.2">
      <c r="A3941"/>
      <c r="B3941"/>
      <c r="C3941"/>
      <c r="D3941"/>
      <c r="E3941" s="2">
        <f>Comuni__2[[#This Row],[Popolazione2011]]/$D$7911</f>
        <v>7.5391585662923513E-6</v>
      </c>
      <c r="F3941">
        <f>SUMIFS($D$2:$D$7909, $B$2:$B$7909, "Lombardia")</f>
        <v>9704151</v>
      </c>
      <c r="G3941" s="1">
        <f>Comuni__2[[#This Row],[Popolazione2011]]/Comuni__2[[#This Row],[POPOLAZIONE TOTALE DI OGNI REGIONE (CON FILTRO)]]</f>
        <v>4.6165810898861733E-5</v>
      </c>
      <c r="H3941" t="str">
        <f>IF(Comuni__2[[#This Row],[Popolazione2011]]&gt;300000,"MAGGIORE","")</f>
        <v/>
      </c>
      <c r="J3941">
        <v>109</v>
      </c>
      <c r="K3941">
        <v>1431</v>
      </c>
      <c r="L3941">
        <v>141</v>
      </c>
    </row>
    <row r="3942" spans="1:12" x14ac:dyDescent="0.2">
      <c r="A3942"/>
      <c r="B3942"/>
      <c r="C3942"/>
      <c r="D3942"/>
      <c r="E3942" s="2">
        <f>Comuni__2[[#This Row],[Popolazione2011]]/$D$7911</f>
        <v>7.5223300873497343E-6</v>
      </c>
      <c r="F3942">
        <f>SUMIFS($D$2:$D$7909, $B$2:$B$7909, "Lombardia")</f>
        <v>9704151</v>
      </c>
      <c r="G3942" s="1">
        <f>Comuni__2[[#This Row],[Popolazione2011]]/Comuni__2[[#This Row],[POPOLAZIONE TOTALE DI OGNI REGIONE (CON FILTRO)]]</f>
        <v>4.6062762213819635E-5</v>
      </c>
      <c r="H3942" t="str">
        <f>IF(Comuni__2[[#This Row],[Popolazione2011]]&gt;300000,"MAGGIORE","")</f>
        <v/>
      </c>
      <c r="J3942">
        <v>114</v>
      </c>
      <c r="K3942">
        <v>1433</v>
      </c>
      <c r="L3942">
        <v>141</v>
      </c>
    </row>
    <row r="3943" spans="1:12" x14ac:dyDescent="0.2">
      <c r="A3943"/>
      <c r="B3943"/>
      <c r="C3943"/>
      <c r="D3943"/>
      <c r="E3943" s="2">
        <f>Comuni__2[[#This Row],[Popolazione2011]]/$D$7911</f>
        <v>7.4886731294645004E-6</v>
      </c>
      <c r="F3943">
        <f>SUMIFS($D$2:$D$7909, $B$2:$B$7909, "Lombardia")</f>
        <v>9704151</v>
      </c>
      <c r="G3943" s="1">
        <f>Comuni__2[[#This Row],[Popolazione2011]]/Comuni__2[[#This Row],[POPOLAZIONE TOTALE DI OGNI REGIONE (CON FILTRO)]]</f>
        <v>4.5856664843735427E-5</v>
      </c>
      <c r="H3943" t="str">
        <f>IF(Comuni__2[[#This Row],[Popolazione2011]]&gt;300000,"MAGGIORE","")</f>
        <v/>
      </c>
      <c r="J3943">
        <v>118</v>
      </c>
      <c r="K3943">
        <v>1446</v>
      </c>
      <c r="L3943">
        <v>143</v>
      </c>
    </row>
    <row r="3944" spans="1:12" x14ac:dyDescent="0.2">
      <c r="A3944"/>
      <c r="B3944"/>
      <c r="C3944"/>
      <c r="D3944"/>
      <c r="E3944" s="2">
        <f>Comuni__2[[#This Row],[Popolazione2011]]/$D$7911</f>
        <v>7.3877022558087994E-6</v>
      </c>
      <c r="F3944">
        <f>SUMIFS($D$2:$D$7909, $B$2:$B$7909, "Lombardia")</f>
        <v>9704151</v>
      </c>
      <c r="G3944" s="1">
        <f>Comuni__2[[#This Row],[Popolazione2011]]/Comuni__2[[#This Row],[POPOLAZIONE TOTALE DI OGNI REGIONE (CON FILTRO)]]</f>
        <v>4.5238372733482814E-5</v>
      </c>
      <c r="H3944" t="str">
        <f>IF(Comuni__2[[#This Row],[Popolazione2011]]&gt;300000,"MAGGIORE","")</f>
        <v/>
      </c>
      <c r="J3944">
        <v>117</v>
      </c>
      <c r="K3944">
        <v>1490</v>
      </c>
      <c r="L3944">
        <v>143</v>
      </c>
    </row>
    <row r="3945" spans="1:12" x14ac:dyDescent="0.2">
      <c r="A3945"/>
      <c r="B3945"/>
      <c r="C3945"/>
      <c r="D3945"/>
      <c r="E3945" s="2">
        <f>Comuni__2[[#This Row],[Popolazione2011]]/$D$7911</f>
        <v>7.3540452979235663E-6</v>
      </c>
      <c r="F3945">
        <f>SUMIFS($D$2:$D$7909, $B$2:$B$7909, "Lombardia")</f>
        <v>9704151</v>
      </c>
      <c r="G3945" s="1">
        <f>Comuni__2[[#This Row],[Popolazione2011]]/Comuni__2[[#This Row],[POPOLAZIONE TOTALE DI OGNI REGIONE (CON FILTRO)]]</f>
        <v>4.5032275363398612E-5</v>
      </c>
      <c r="H3945" t="str">
        <f>IF(Comuni__2[[#This Row],[Popolazione2011]]&gt;300000,"MAGGIORE","")</f>
        <v/>
      </c>
      <c r="J3945">
        <v>121</v>
      </c>
      <c r="K3945">
        <v>1515</v>
      </c>
      <c r="L3945">
        <v>145</v>
      </c>
    </row>
    <row r="3946" spans="1:12" x14ac:dyDescent="0.2">
      <c r="A3946"/>
      <c r="B3946"/>
      <c r="C3946"/>
      <c r="D3946"/>
      <c r="E3946" s="2">
        <f>Comuni__2[[#This Row],[Popolazione2011]]/$D$7911</f>
        <v>7.3372168189809493E-6</v>
      </c>
      <c r="F3946">
        <f>SUMIFS($D$2:$D$7909, $B$2:$B$7909, "Lombardia")</f>
        <v>9704151</v>
      </c>
      <c r="G3946" s="1">
        <f>Comuni__2[[#This Row],[Popolazione2011]]/Comuni__2[[#This Row],[POPOLAZIONE TOTALE DI OGNI REGIONE (CON FILTRO)]]</f>
        <v>4.4929226678356508E-5</v>
      </c>
      <c r="H3946" t="str">
        <f>IF(Comuni__2[[#This Row],[Popolazione2011]]&gt;300000,"MAGGIORE","")</f>
        <v/>
      </c>
      <c r="J3946">
        <v>130</v>
      </c>
      <c r="K3946">
        <v>1561</v>
      </c>
      <c r="L3946">
        <v>148</v>
      </c>
    </row>
    <row r="3947" spans="1:12" x14ac:dyDescent="0.2">
      <c r="A3947"/>
      <c r="B3947"/>
      <c r="C3947"/>
      <c r="D3947"/>
      <c r="E3947" s="2">
        <f>Comuni__2[[#This Row],[Popolazione2011]]/$D$7911</f>
        <v>7.2867313821530984E-6</v>
      </c>
      <c r="F3947">
        <f>SUMIFS($D$2:$D$7909, $B$2:$B$7909, "Lombardia")</f>
        <v>9704151</v>
      </c>
      <c r="G3947" s="1">
        <f>Comuni__2[[#This Row],[Popolazione2011]]/Comuni__2[[#This Row],[POPOLAZIONE TOTALE DI OGNI REGIONE (CON FILTRO)]]</f>
        <v>4.4620080623230202E-5</v>
      </c>
      <c r="H3947" t="str">
        <f>IF(Comuni__2[[#This Row],[Popolazione2011]]&gt;300000,"MAGGIORE","")</f>
        <v/>
      </c>
      <c r="J3947">
        <v>131</v>
      </c>
      <c r="K3947">
        <v>1596</v>
      </c>
      <c r="L3947">
        <v>148</v>
      </c>
    </row>
    <row r="3948" spans="1:12" x14ac:dyDescent="0.2">
      <c r="A3948"/>
      <c r="B3948"/>
      <c r="C3948"/>
      <c r="D3948"/>
      <c r="E3948" s="2">
        <f>Comuni__2[[#This Row],[Popolazione2011]]/$D$7911</f>
        <v>7.2699029032104814E-6</v>
      </c>
      <c r="F3948">
        <f>SUMIFS($D$2:$D$7909, $B$2:$B$7909, "Lombardia")</f>
        <v>9704151</v>
      </c>
      <c r="G3948" s="1">
        <f>Comuni__2[[#This Row],[Popolazione2011]]/Comuni__2[[#This Row],[POPOLAZIONE TOTALE DI OGNI REGIONE (CON FILTRO)]]</f>
        <v>4.4517031938188104E-5</v>
      </c>
      <c r="H3948" t="str">
        <f>IF(Comuni__2[[#This Row],[Popolazione2011]]&gt;300000,"MAGGIORE","")</f>
        <v/>
      </c>
      <c r="J3948">
        <v>127</v>
      </c>
      <c r="K3948">
        <v>1607</v>
      </c>
      <c r="L3948">
        <v>148</v>
      </c>
    </row>
    <row r="3949" spans="1:12" x14ac:dyDescent="0.2">
      <c r="A3949"/>
      <c r="B3949"/>
      <c r="C3949"/>
      <c r="D3949"/>
      <c r="E3949" s="2">
        <f>Comuni__2[[#This Row],[Popolazione2011]]/$D$7911</f>
        <v>7.2362459453252483E-6</v>
      </c>
      <c r="F3949">
        <f>SUMIFS($D$2:$D$7909, $B$2:$B$7909, "Lombardia")</f>
        <v>9704151</v>
      </c>
      <c r="G3949" s="1">
        <f>Comuni__2[[#This Row],[Popolazione2011]]/Comuni__2[[#This Row],[POPOLAZIONE TOTALE DI OGNI REGIONE (CON FILTRO)]]</f>
        <v>4.4310934568103896E-5</v>
      </c>
      <c r="H3949" t="str">
        <f>IF(Comuni__2[[#This Row],[Popolazione2011]]&gt;300000,"MAGGIORE","")</f>
        <v/>
      </c>
      <c r="J3949">
        <v>128</v>
      </c>
      <c r="K3949">
        <v>1617</v>
      </c>
      <c r="L3949">
        <v>149</v>
      </c>
    </row>
    <row r="3950" spans="1:12" x14ac:dyDescent="0.2">
      <c r="A3950"/>
      <c r="B3950"/>
      <c r="C3950"/>
      <c r="D3950"/>
      <c r="E3950" s="2">
        <f>Comuni__2[[#This Row],[Popolazione2011]]/$D$7911</f>
        <v>7.2194174663826314E-6</v>
      </c>
      <c r="F3950">
        <f>SUMIFS($D$2:$D$7909, $B$2:$B$7909, "Lombardia")</f>
        <v>9704151</v>
      </c>
      <c r="G3950" s="1">
        <f>Comuni__2[[#This Row],[Popolazione2011]]/Comuni__2[[#This Row],[POPOLAZIONE TOTALE DI OGNI REGIONE (CON FILTRO)]]</f>
        <v>4.4207885883061798E-5</v>
      </c>
      <c r="H3950" t="str">
        <f>IF(Comuni__2[[#This Row],[Popolazione2011]]&gt;300000,"MAGGIORE","")</f>
        <v/>
      </c>
      <c r="J3950">
        <v>126</v>
      </c>
      <c r="K3950">
        <v>1648</v>
      </c>
      <c r="L3950">
        <v>150</v>
      </c>
    </row>
    <row r="3951" spans="1:12" x14ac:dyDescent="0.2">
      <c r="A3951"/>
      <c r="B3951"/>
      <c r="C3951"/>
      <c r="D3951"/>
      <c r="E3951" s="2">
        <f>Comuni__2[[#This Row],[Popolazione2011]]/$D$7911</f>
        <v>7.1352750716695465E-6</v>
      </c>
      <c r="F3951">
        <f>SUMIFS($D$2:$D$7909, $B$2:$B$7909, "Lombardia")</f>
        <v>9704151</v>
      </c>
      <c r="G3951" s="1">
        <f>Comuni__2[[#This Row],[Popolazione2011]]/Comuni__2[[#This Row],[POPOLAZIONE TOTALE DI OGNI REGIONE (CON FILTRO)]]</f>
        <v>4.3692642457851283E-5</v>
      </c>
      <c r="H3951" t="str">
        <f>IF(Comuni__2[[#This Row],[Popolazione2011]]&gt;300000,"MAGGIORE","")</f>
        <v/>
      </c>
      <c r="J3951">
        <v>121</v>
      </c>
      <c r="K3951">
        <v>1667</v>
      </c>
      <c r="L3951">
        <v>151</v>
      </c>
    </row>
    <row r="3952" spans="1:12" x14ac:dyDescent="0.2">
      <c r="A3952"/>
      <c r="B3952"/>
      <c r="C3952"/>
      <c r="D3952"/>
      <c r="E3952" s="2">
        <f>Comuni__2[[#This Row],[Popolazione2011]]/$D$7911</f>
        <v>7.1184465927269304E-6</v>
      </c>
      <c r="F3952">
        <f>SUMIFS($D$2:$D$7909, $B$2:$B$7909, "Lombardia")</f>
        <v>9704151</v>
      </c>
      <c r="G3952" s="1">
        <f>Comuni__2[[#This Row],[Popolazione2011]]/Comuni__2[[#This Row],[POPOLAZIONE TOTALE DI OGNI REGIONE (CON FILTRO)]]</f>
        <v>4.3589593772809179E-5</v>
      </c>
      <c r="H3952" t="str">
        <f>IF(Comuni__2[[#This Row],[Popolazione2011]]&gt;300000,"MAGGIORE","")</f>
        <v/>
      </c>
      <c r="J3952">
        <v>120</v>
      </c>
      <c r="K3952">
        <v>1685</v>
      </c>
      <c r="L3952">
        <v>154</v>
      </c>
    </row>
    <row r="3953" spans="1:12" x14ac:dyDescent="0.2">
      <c r="A3953"/>
      <c r="B3953"/>
      <c r="C3953"/>
      <c r="D3953"/>
      <c r="E3953" s="2">
        <f>Comuni__2[[#This Row],[Popolazione2011]]/$D$7911</f>
        <v>7.0343041980138455E-6</v>
      </c>
      <c r="F3953">
        <f>SUMIFS($D$2:$D$7909, $B$2:$B$7909, "Lombardia")</f>
        <v>9704151</v>
      </c>
      <c r="G3953" s="1">
        <f>Comuni__2[[#This Row],[Popolazione2011]]/Comuni__2[[#This Row],[POPOLAZIONE TOTALE DI OGNI REGIONE (CON FILTRO)]]</f>
        <v>4.3074350347598671E-5</v>
      </c>
      <c r="H3953" t="str">
        <f>IF(Comuni__2[[#This Row],[Popolazione2011]]&gt;300000,"MAGGIORE","")</f>
        <v/>
      </c>
      <c r="J3953">
        <v>130</v>
      </c>
      <c r="K3953">
        <v>1705</v>
      </c>
      <c r="L3953">
        <v>155</v>
      </c>
    </row>
    <row r="3954" spans="1:12" x14ac:dyDescent="0.2">
      <c r="A3954"/>
      <c r="B3954"/>
      <c r="C3954"/>
      <c r="D3954"/>
      <c r="E3954" s="2">
        <f>Comuni__2[[#This Row],[Popolazione2011]]/$D$7911</f>
        <v>6.8155339717598266E-6</v>
      </c>
      <c r="F3954">
        <f>SUMIFS($D$2:$D$7909, $B$2:$B$7909, "Lombardia")</f>
        <v>9704151</v>
      </c>
      <c r="G3954" s="1">
        <f>Comuni__2[[#This Row],[Popolazione2011]]/Comuni__2[[#This Row],[POPOLAZIONE TOTALE DI OGNI REGIONE (CON FILTRO)]]</f>
        <v>4.1734717442051342E-5</v>
      </c>
      <c r="H3954" t="str">
        <f>IF(Comuni__2[[#This Row],[Popolazione2011]]&gt;300000,"MAGGIORE","")</f>
        <v/>
      </c>
      <c r="J3954">
        <v>127</v>
      </c>
      <c r="K3954">
        <v>1747</v>
      </c>
      <c r="L3954">
        <v>155</v>
      </c>
    </row>
    <row r="3955" spans="1:12" x14ac:dyDescent="0.2">
      <c r="A3955"/>
      <c r="B3955"/>
      <c r="C3955"/>
      <c r="D3955"/>
      <c r="E3955" s="2">
        <f>Comuni__2[[#This Row],[Popolazione2011]]/$D$7911</f>
        <v>6.7818770138745926E-6</v>
      </c>
      <c r="F3955">
        <f>SUMIFS($D$2:$D$7909, $B$2:$B$7909, "Lombardia")</f>
        <v>9704151</v>
      </c>
      <c r="G3955" s="1">
        <f>Comuni__2[[#This Row],[Popolazione2011]]/Comuni__2[[#This Row],[POPOLAZIONE TOTALE DI OGNI REGIONE (CON FILTRO)]]</f>
        <v>4.152862007196714E-5</v>
      </c>
      <c r="H3955" t="str">
        <f>IF(Comuni__2[[#This Row],[Popolazione2011]]&gt;300000,"MAGGIORE","")</f>
        <v/>
      </c>
      <c r="J3955">
        <v>134</v>
      </c>
      <c r="K3955">
        <v>1777</v>
      </c>
      <c r="L3955">
        <v>155</v>
      </c>
    </row>
    <row r="3956" spans="1:12" x14ac:dyDescent="0.2">
      <c r="A3956"/>
      <c r="B3956"/>
      <c r="C3956"/>
      <c r="D3956"/>
      <c r="E3956" s="2">
        <f>Comuni__2[[#This Row],[Popolazione2011]]/$D$7911</f>
        <v>6.7650485349319756E-6</v>
      </c>
      <c r="F3956">
        <f>SUMIFS($D$2:$D$7909, $B$2:$B$7909, "Lombardia")</f>
        <v>9704151</v>
      </c>
      <c r="G3956" s="1">
        <f>Comuni__2[[#This Row],[Popolazione2011]]/Comuni__2[[#This Row],[POPOLAZIONE TOTALE DI OGNI REGIONE (CON FILTRO)]]</f>
        <v>4.1425571386925036E-5</v>
      </c>
      <c r="H3956" t="str">
        <f>IF(Comuni__2[[#This Row],[Popolazione2011]]&gt;300000,"MAGGIORE","")</f>
        <v/>
      </c>
      <c r="J3956">
        <v>134</v>
      </c>
      <c r="K3956">
        <v>1794</v>
      </c>
      <c r="L3956">
        <v>156</v>
      </c>
    </row>
    <row r="3957" spans="1:12" x14ac:dyDescent="0.2">
      <c r="A3957"/>
      <c r="B3957"/>
      <c r="C3957"/>
      <c r="D3957"/>
      <c r="E3957" s="2">
        <f>Comuni__2[[#This Row],[Popolazione2011]]/$D$7911</f>
        <v>6.7650485349319756E-6</v>
      </c>
      <c r="F3957">
        <f>SUMIFS($D$2:$D$7909, $B$2:$B$7909, "Lombardia")</f>
        <v>9704151</v>
      </c>
      <c r="G3957" s="1">
        <f>Comuni__2[[#This Row],[Popolazione2011]]/Comuni__2[[#This Row],[POPOLAZIONE TOTALE DI OGNI REGIONE (CON FILTRO)]]</f>
        <v>4.1425571386925036E-5</v>
      </c>
      <c r="H3957" t="str">
        <f>IF(Comuni__2[[#This Row],[Popolazione2011]]&gt;300000,"MAGGIORE","")</f>
        <v/>
      </c>
      <c r="J3957">
        <v>135</v>
      </c>
      <c r="K3957">
        <v>1835</v>
      </c>
      <c r="L3957">
        <v>156</v>
      </c>
    </row>
    <row r="3958" spans="1:12" x14ac:dyDescent="0.2">
      <c r="A3958"/>
      <c r="B3958"/>
      <c r="C3958"/>
      <c r="D3958"/>
      <c r="E3958" s="2">
        <f>Comuni__2[[#This Row],[Popolazione2011]]/$D$7911</f>
        <v>6.7650485349319756E-6</v>
      </c>
      <c r="F3958">
        <f>SUMIFS($D$2:$D$7909, $B$2:$B$7909, "Lombardia")</f>
        <v>9704151</v>
      </c>
      <c r="G3958" s="1">
        <f>Comuni__2[[#This Row],[Popolazione2011]]/Comuni__2[[#This Row],[POPOLAZIONE TOTALE DI OGNI REGIONE (CON FILTRO)]]</f>
        <v>4.1425571386925036E-5</v>
      </c>
      <c r="H3958" t="str">
        <f>IF(Comuni__2[[#This Row],[Popolazione2011]]&gt;300000,"MAGGIORE","")</f>
        <v/>
      </c>
      <c r="J3958">
        <v>144</v>
      </c>
      <c r="K3958">
        <v>1898</v>
      </c>
      <c r="L3958">
        <v>157</v>
      </c>
    </row>
    <row r="3959" spans="1:12" x14ac:dyDescent="0.2">
      <c r="A3959"/>
      <c r="B3959"/>
      <c r="C3959"/>
      <c r="D3959"/>
      <c r="E3959" s="2">
        <f>Comuni__2[[#This Row],[Popolazione2011]]/$D$7911</f>
        <v>6.6472491823336577E-6</v>
      </c>
      <c r="F3959">
        <f>SUMIFS($D$2:$D$7909, $B$2:$B$7909, "Lombardia")</f>
        <v>9704151</v>
      </c>
      <c r="G3959" s="1">
        <f>Comuni__2[[#This Row],[Popolazione2011]]/Comuni__2[[#This Row],[POPOLAZIONE TOTALE DI OGNI REGIONE (CON FILTRO)]]</f>
        <v>4.0704230591630326E-5</v>
      </c>
      <c r="H3959" t="str">
        <f>IF(Comuni__2[[#This Row],[Popolazione2011]]&gt;300000,"MAGGIORE","")</f>
        <v/>
      </c>
      <c r="J3959">
        <v>147</v>
      </c>
      <c r="K3959">
        <v>1931</v>
      </c>
      <c r="L3959">
        <v>160</v>
      </c>
    </row>
    <row r="3960" spans="1:12" x14ac:dyDescent="0.2">
      <c r="A3960"/>
      <c r="B3960"/>
      <c r="C3960"/>
      <c r="D3960"/>
      <c r="E3960" s="2">
        <f>Comuni__2[[#This Row],[Popolazione2011]]/$D$7911</f>
        <v>6.5294498297353397E-6</v>
      </c>
      <c r="F3960">
        <f>SUMIFS($D$2:$D$7909, $B$2:$B$7909, "Lombardia")</f>
        <v>9704151</v>
      </c>
      <c r="G3960" s="1">
        <f>Comuni__2[[#This Row],[Popolazione2011]]/Comuni__2[[#This Row],[POPOLAZIONE TOTALE DI OGNI REGIONE (CON FILTRO)]]</f>
        <v>3.9982889796335609E-5</v>
      </c>
      <c r="H3960" t="str">
        <f>IF(Comuni__2[[#This Row],[Popolazione2011]]&gt;300000,"MAGGIORE","")</f>
        <v/>
      </c>
      <c r="J3960">
        <v>148</v>
      </c>
      <c r="K3960">
        <v>1977</v>
      </c>
      <c r="L3960">
        <v>161</v>
      </c>
    </row>
    <row r="3961" spans="1:12" x14ac:dyDescent="0.2">
      <c r="A3961"/>
      <c r="B3961"/>
      <c r="C3961"/>
      <c r="D3961"/>
      <c r="E3961" s="2">
        <f>Comuni__2[[#This Row],[Popolazione2011]]/$D$7911</f>
        <v>6.4957928718501066E-6</v>
      </c>
      <c r="F3961">
        <f>SUMIFS($D$2:$D$7909, $B$2:$B$7909, "Lombardia")</f>
        <v>9704151</v>
      </c>
      <c r="G3961" s="1">
        <f>Comuni__2[[#This Row],[Popolazione2011]]/Comuni__2[[#This Row],[POPOLAZIONE TOTALE DI OGNI REGIONE (CON FILTRO)]]</f>
        <v>3.9776792426251407E-5</v>
      </c>
      <c r="H3961" t="str">
        <f>IF(Comuni__2[[#This Row],[Popolazione2011]]&gt;300000,"MAGGIORE","")</f>
        <v/>
      </c>
      <c r="J3961">
        <v>156</v>
      </c>
      <c r="K3961">
        <v>2012</v>
      </c>
      <c r="L3961">
        <v>161</v>
      </c>
    </row>
    <row r="3962" spans="1:12" x14ac:dyDescent="0.2">
      <c r="A3962"/>
      <c r="B3962"/>
      <c r="C3962"/>
      <c r="D3962"/>
      <c r="E3962" s="2">
        <f>Comuni__2[[#This Row],[Popolazione2011]]/$D$7911</f>
        <v>6.4453074350222557E-6</v>
      </c>
      <c r="F3962">
        <f>SUMIFS($D$2:$D$7909, $B$2:$B$7909, "Lombardia")</f>
        <v>9704151</v>
      </c>
      <c r="G3962" s="1">
        <f>Comuni__2[[#This Row],[Popolazione2011]]/Comuni__2[[#This Row],[POPOLAZIONE TOTALE DI OGNI REGIONE (CON FILTRO)]]</f>
        <v>3.9467646371125101E-5</v>
      </c>
      <c r="H3962" t="str">
        <f>IF(Comuni__2[[#This Row],[Popolazione2011]]&gt;300000,"MAGGIORE","")</f>
        <v/>
      </c>
      <c r="J3962">
        <v>165</v>
      </c>
      <c r="K3962">
        <v>2034</v>
      </c>
      <c r="L3962">
        <v>161</v>
      </c>
    </row>
    <row r="3963" spans="1:12" x14ac:dyDescent="0.2">
      <c r="A3963"/>
      <c r="B3963"/>
      <c r="C3963"/>
      <c r="D3963"/>
      <c r="E3963" s="2">
        <f>Comuni__2[[#This Row],[Popolazione2011]]/$D$7911</f>
        <v>6.4453074350222557E-6</v>
      </c>
      <c r="F3963">
        <f>SUMIFS($D$2:$D$7909, $B$2:$B$7909, "Lombardia")</f>
        <v>9704151</v>
      </c>
      <c r="G3963" s="1">
        <f>Comuni__2[[#This Row],[Popolazione2011]]/Comuni__2[[#This Row],[POPOLAZIONE TOTALE DI OGNI REGIONE (CON FILTRO)]]</f>
        <v>3.9467646371125101E-5</v>
      </c>
      <c r="H3963" t="str">
        <f>IF(Comuni__2[[#This Row],[Popolazione2011]]&gt;300000,"MAGGIORE","")</f>
        <v/>
      </c>
      <c r="J3963">
        <v>162</v>
      </c>
      <c r="K3963">
        <v>2072</v>
      </c>
      <c r="L3963">
        <v>165</v>
      </c>
    </row>
    <row r="3964" spans="1:12" x14ac:dyDescent="0.2">
      <c r="A3964"/>
      <c r="B3964"/>
      <c r="C3964"/>
      <c r="D3964"/>
      <c r="E3964" s="2">
        <f>Comuni__2[[#This Row],[Popolazione2011]]/$D$7911</f>
        <v>6.3779935192517887E-6</v>
      </c>
      <c r="F3964">
        <f>SUMIFS($D$2:$D$7909, $B$2:$B$7909, "Lombardia")</f>
        <v>9704151</v>
      </c>
      <c r="G3964" s="1">
        <f>Comuni__2[[#This Row],[Popolazione2011]]/Comuni__2[[#This Row],[POPOLAZIONE TOTALE DI OGNI REGIONE (CON FILTRO)]]</f>
        <v>3.9055451630956691E-5</v>
      </c>
      <c r="H3964" t="str">
        <f>IF(Comuni__2[[#This Row],[Popolazione2011]]&gt;300000,"MAGGIORE","")</f>
        <v/>
      </c>
      <c r="J3964">
        <v>180</v>
      </c>
      <c r="K3964">
        <v>2113</v>
      </c>
      <c r="L3964">
        <v>166</v>
      </c>
    </row>
    <row r="3965" spans="1:12" x14ac:dyDescent="0.2">
      <c r="A3965"/>
      <c r="B3965"/>
      <c r="C3965"/>
      <c r="D3965"/>
      <c r="E3965" s="2">
        <f>Comuni__2[[#This Row],[Popolazione2011]]/$D$7911</f>
        <v>6.3611650403091717E-6</v>
      </c>
      <c r="F3965">
        <f>SUMIFS($D$2:$D$7909, $B$2:$B$7909, "Lombardia")</f>
        <v>9704151</v>
      </c>
      <c r="G3965" s="1">
        <f>Comuni__2[[#This Row],[Popolazione2011]]/Comuni__2[[#This Row],[POPOLAZIONE TOTALE DI OGNI REGIONE (CON FILTRO)]]</f>
        <v>3.8952402945914586E-5</v>
      </c>
      <c r="H3965" t="str">
        <f>IF(Comuni__2[[#This Row],[Popolazione2011]]&gt;300000,"MAGGIORE","")</f>
        <v/>
      </c>
      <c r="J3965">
        <v>190</v>
      </c>
      <c r="K3965">
        <v>2227</v>
      </c>
      <c r="L3965">
        <v>168</v>
      </c>
    </row>
    <row r="3966" spans="1:12" x14ac:dyDescent="0.2">
      <c r="A3966"/>
      <c r="B3966"/>
      <c r="C3966"/>
      <c r="D3966"/>
      <c r="E3966" s="2">
        <f>Comuni__2[[#This Row],[Popolazione2011]]/$D$7911</f>
        <v>6.3106796034813208E-6</v>
      </c>
      <c r="F3966">
        <f>SUMIFS($D$2:$D$7909, $B$2:$B$7909, "Lombardia")</f>
        <v>9704151</v>
      </c>
      <c r="G3966" s="1">
        <f>Comuni__2[[#This Row],[Popolazione2011]]/Comuni__2[[#This Row],[POPOLAZIONE TOTALE DI OGNI REGIONE (CON FILTRO)]]</f>
        <v>3.864325689078828E-5</v>
      </c>
      <c r="H3966" t="str">
        <f>IF(Comuni__2[[#This Row],[Popolazione2011]]&gt;300000,"MAGGIORE","")</f>
        <v/>
      </c>
      <c r="J3966">
        <v>198</v>
      </c>
      <c r="K3966">
        <v>2323</v>
      </c>
      <c r="L3966">
        <v>168</v>
      </c>
    </row>
    <row r="3967" spans="1:12" x14ac:dyDescent="0.2">
      <c r="A3967"/>
      <c r="B3967"/>
      <c r="C3967"/>
      <c r="D3967"/>
      <c r="E3967" s="2">
        <f>Comuni__2[[#This Row],[Popolazione2011]]/$D$7911</f>
        <v>6.2770226455960868E-6</v>
      </c>
      <c r="F3967">
        <f>SUMIFS($D$2:$D$7909, $B$2:$B$7909, "Lombardia")</f>
        <v>9704151</v>
      </c>
      <c r="G3967" s="1">
        <f>Comuni__2[[#This Row],[Popolazione2011]]/Comuni__2[[#This Row],[POPOLAZIONE TOTALE DI OGNI REGIONE (CON FILTRO)]]</f>
        <v>3.8437159520704078E-5</v>
      </c>
      <c r="H3967" t="str">
        <f>IF(Comuni__2[[#This Row],[Popolazione2011]]&gt;300000,"MAGGIORE","")</f>
        <v/>
      </c>
      <c r="J3967">
        <v>208</v>
      </c>
      <c r="K3967">
        <v>2410</v>
      </c>
      <c r="L3967">
        <v>169</v>
      </c>
    </row>
    <row r="3968" spans="1:12" x14ac:dyDescent="0.2">
      <c r="A3968"/>
      <c r="B3968"/>
      <c r="C3968"/>
      <c r="D3968"/>
      <c r="E3968" s="2">
        <f>Comuni__2[[#This Row],[Popolazione2011]]/$D$7911</f>
        <v>6.2770226455960868E-6</v>
      </c>
      <c r="F3968">
        <f>SUMIFS($D$2:$D$7909, $B$2:$B$7909, "Lombardia")</f>
        <v>9704151</v>
      </c>
      <c r="G3968" s="1">
        <f>Comuni__2[[#This Row],[Popolazione2011]]/Comuni__2[[#This Row],[POPOLAZIONE TOTALE DI OGNI REGIONE (CON FILTRO)]]</f>
        <v>3.8437159520704078E-5</v>
      </c>
      <c r="H3968" t="str">
        <f>IF(Comuni__2[[#This Row],[Popolazione2011]]&gt;300000,"MAGGIORE","")</f>
        <v/>
      </c>
      <c r="J3968">
        <v>216</v>
      </c>
      <c r="K3968">
        <v>2470</v>
      </c>
      <c r="L3968">
        <v>171</v>
      </c>
    </row>
    <row r="3969" spans="1:12" x14ac:dyDescent="0.2">
      <c r="A3969"/>
      <c r="B3969"/>
      <c r="C3969"/>
      <c r="D3969"/>
      <c r="E3969" s="2">
        <f>Comuni__2[[#This Row],[Popolazione2011]]/$D$7911</f>
        <v>6.2433656877108537E-6</v>
      </c>
      <c r="F3969">
        <f>SUMIFS($D$2:$D$7909, $B$2:$B$7909, "Lombardia")</f>
        <v>9704151</v>
      </c>
      <c r="G3969" s="1">
        <f>Comuni__2[[#This Row],[Popolazione2011]]/Comuni__2[[#This Row],[POPOLAZIONE TOTALE DI OGNI REGIONE (CON FILTRO)]]</f>
        <v>3.8231062150619876E-5</v>
      </c>
      <c r="H3969" t="str">
        <f>IF(Comuni__2[[#This Row],[Popolazione2011]]&gt;300000,"MAGGIORE","")</f>
        <v/>
      </c>
      <c r="J3969">
        <v>222</v>
      </c>
      <c r="K3969">
        <v>2506</v>
      </c>
      <c r="L3969">
        <v>172</v>
      </c>
    </row>
    <row r="3970" spans="1:12" x14ac:dyDescent="0.2">
      <c r="A3970"/>
      <c r="B3970"/>
      <c r="C3970"/>
      <c r="D3970"/>
      <c r="E3970" s="2">
        <f>Comuni__2[[#This Row],[Popolazione2011]]/$D$7911</f>
        <v>6.1255663351125358E-6</v>
      </c>
      <c r="F3970">
        <f>SUMIFS($D$2:$D$7909, $B$2:$B$7909, "Lombardia")</f>
        <v>9704151</v>
      </c>
      <c r="G3970" s="1">
        <f>Comuni__2[[#This Row],[Popolazione2011]]/Comuni__2[[#This Row],[POPOLAZIONE TOTALE DI OGNI REGIONE (CON FILTRO)]]</f>
        <v>3.750972135532516E-5</v>
      </c>
      <c r="H3970" t="str">
        <f>IF(Comuni__2[[#This Row],[Popolazione2011]]&gt;300000,"MAGGIORE","")</f>
        <v/>
      </c>
      <c r="J3970">
        <v>237</v>
      </c>
      <c r="K3970">
        <v>2526</v>
      </c>
      <c r="L3970">
        <v>174</v>
      </c>
    </row>
    <row r="3971" spans="1:12" x14ac:dyDescent="0.2">
      <c r="A3971"/>
      <c r="B3971"/>
      <c r="C3971"/>
      <c r="D3971"/>
      <c r="E3971" s="2">
        <f>Comuni__2[[#This Row],[Popolazione2011]]/$D$7911</f>
        <v>6.0414239403994509E-6</v>
      </c>
      <c r="F3971">
        <f>SUMIFS($D$2:$D$7909, $B$2:$B$7909, "Lombardia")</f>
        <v>9704151</v>
      </c>
      <c r="G3971" s="1">
        <f>Comuni__2[[#This Row],[Popolazione2011]]/Comuni__2[[#This Row],[POPOLAZIONE TOTALE DI OGNI REGIONE (CON FILTRO)]]</f>
        <v>3.6994477930114652E-5</v>
      </c>
      <c r="H3971" t="str">
        <f>IF(Comuni__2[[#This Row],[Popolazione2011]]&gt;300000,"MAGGIORE","")</f>
        <v/>
      </c>
      <c r="J3971">
        <v>243</v>
      </c>
      <c r="K3971">
        <v>2579</v>
      </c>
      <c r="L3971">
        <v>174</v>
      </c>
    </row>
    <row r="3972" spans="1:12" x14ac:dyDescent="0.2">
      <c r="A3972"/>
      <c r="B3972"/>
      <c r="C3972"/>
      <c r="D3972"/>
      <c r="E3972" s="2">
        <f>Comuni__2[[#This Row],[Popolazione2011]]/$D$7911</f>
        <v>5.906796108858516E-6</v>
      </c>
      <c r="F3972">
        <f>SUMIFS($D$2:$D$7909, $B$2:$B$7909, "Lombardia")</f>
        <v>9704151</v>
      </c>
      <c r="G3972" s="1">
        <f>Comuni__2[[#This Row],[Popolazione2011]]/Comuni__2[[#This Row],[POPOLAZIONE TOTALE DI OGNI REGIONE (CON FILTRO)]]</f>
        <v>3.6170088449777831E-5</v>
      </c>
      <c r="H3972" t="str">
        <f>IF(Comuni__2[[#This Row],[Popolazione2011]]&gt;300000,"MAGGIORE","")</f>
        <v/>
      </c>
      <c r="J3972">
        <v>260</v>
      </c>
      <c r="K3972">
        <v>2613</v>
      </c>
      <c r="L3972">
        <v>177</v>
      </c>
    </row>
    <row r="3973" spans="1:12" x14ac:dyDescent="0.2">
      <c r="A3973"/>
      <c r="B3973"/>
      <c r="C3973"/>
      <c r="D3973"/>
      <c r="E3973" s="2">
        <f>Comuni__2[[#This Row],[Popolazione2011]]/$D$7911</f>
        <v>5.8731391509732829E-6</v>
      </c>
      <c r="F3973">
        <f>SUMIFS($D$2:$D$7909, $B$2:$B$7909, "Lombardia")</f>
        <v>9704151</v>
      </c>
      <c r="G3973" s="1">
        <f>Comuni__2[[#This Row],[Popolazione2011]]/Comuni__2[[#This Row],[POPOLAZIONE TOTALE DI OGNI REGIONE (CON FILTRO)]]</f>
        <v>3.5963991079693629E-5</v>
      </c>
      <c r="H3973" t="str">
        <f>IF(Comuni__2[[#This Row],[Popolazione2011]]&gt;300000,"MAGGIORE","")</f>
        <v/>
      </c>
      <c r="J3973">
        <v>272</v>
      </c>
      <c r="K3973">
        <v>2652</v>
      </c>
      <c r="L3973">
        <v>180</v>
      </c>
    </row>
    <row r="3974" spans="1:12" x14ac:dyDescent="0.2">
      <c r="A3974"/>
      <c r="B3974"/>
      <c r="C3974"/>
      <c r="D3974"/>
      <c r="E3974" s="2">
        <f>Comuni__2[[#This Row],[Popolazione2011]]/$D$7911</f>
        <v>5.8394821930880489E-6</v>
      </c>
      <c r="F3974">
        <f>SUMIFS($D$2:$D$7909, $B$2:$B$7909, "Lombardia")</f>
        <v>9704151</v>
      </c>
      <c r="G3974" s="1">
        <f>Comuni__2[[#This Row],[Popolazione2011]]/Comuni__2[[#This Row],[POPOLAZIONE TOTALE DI OGNI REGIONE (CON FILTRO)]]</f>
        <v>3.5757893709609427E-5</v>
      </c>
      <c r="H3974" t="str">
        <f>IF(Comuni__2[[#This Row],[Popolazione2011]]&gt;300000,"MAGGIORE","")</f>
        <v/>
      </c>
      <c r="J3974">
        <v>300</v>
      </c>
      <c r="K3974">
        <v>2712</v>
      </c>
      <c r="L3974">
        <v>181</v>
      </c>
    </row>
    <row r="3975" spans="1:12" x14ac:dyDescent="0.2">
      <c r="A3975"/>
      <c r="B3975"/>
      <c r="C3975"/>
      <c r="D3975"/>
      <c r="E3975" s="2">
        <f>Comuni__2[[#This Row],[Popolazione2011]]/$D$7911</f>
        <v>5.7553397983749649E-6</v>
      </c>
      <c r="F3975">
        <f>SUMIFS($D$2:$D$7909, $B$2:$B$7909, "Lombardia")</f>
        <v>9704151</v>
      </c>
      <c r="G3975" s="1">
        <f>Comuni__2[[#This Row],[Popolazione2011]]/Comuni__2[[#This Row],[POPOLAZIONE TOTALE DI OGNI REGIONE (CON FILTRO)]]</f>
        <v>3.5242650284398912E-5</v>
      </c>
      <c r="H3975" t="str">
        <f>IF(Comuni__2[[#This Row],[Popolazione2011]]&gt;300000,"MAGGIORE","")</f>
        <v/>
      </c>
      <c r="J3975">
        <v>311</v>
      </c>
      <c r="K3975">
        <v>2768</v>
      </c>
      <c r="L3975">
        <v>181</v>
      </c>
    </row>
    <row r="3976" spans="1:12" x14ac:dyDescent="0.2">
      <c r="A3976"/>
      <c r="B3976"/>
      <c r="C3976"/>
      <c r="D3976"/>
      <c r="E3976" s="2">
        <f>Comuni__2[[#This Row],[Popolazione2011]]/$D$7911</f>
        <v>5.688025882604497E-6</v>
      </c>
      <c r="F3976">
        <f>SUMIFS($D$2:$D$7909, $B$2:$B$7909, "Lombardia")</f>
        <v>9704151</v>
      </c>
      <c r="G3976" s="1">
        <f>Comuni__2[[#This Row],[Popolazione2011]]/Comuni__2[[#This Row],[POPOLAZIONE TOTALE DI OGNI REGIONE (CON FILTRO)]]</f>
        <v>3.4830455544230508E-5</v>
      </c>
      <c r="H3976" t="str">
        <f>IF(Comuni__2[[#This Row],[Popolazione2011]]&gt;300000,"MAGGIORE","")</f>
        <v/>
      </c>
      <c r="J3976">
        <v>323</v>
      </c>
      <c r="K3976">
        <v>2794</v>
      </c>
      <c r="L3976">
        <v>184</v>
      </c>
    </row>
    <row r="3977" spans="1:12" x14ac:dyDescent="0.2">
      <c r="A3977"/>
      <c r="B3977"/>
      <c r="C3977"/>
      <c r="D3977"/>
      <c r="E3977" s="2">
        <f>Comuni__2[[#This Row],[Popolazione2011]]/$D$7911</f>
        <v>5.67119740366188E-6</v>
      </c>
      <c r="F3977">
        <f>SUMIFS($D$2:$D$7909, $B$2:$B$7909, "Lombardia")</f>
        <v>9704151</v>
      </c>
      <c r="G3977" s="1">
        <f>Comuni__2[[#This Row],[Popolazione2011]]/Comuni__2[[#This Row],[POPOLAZIONE TOTALE DI OGNI REGIONE (CON FILTRO)]]</f>
        <v>3.4727406859188404E-5</v>
      </c>
      <c r="H3977" t="str">
        <f>IF(Comuni__2[[#This Row],[Popolazione2011]]&gt;300000,"MAGGIORE","")</f>
        <v/>
      </c>
      <c r="J3977">
        <v>333</v>
      </c>
      <c r="K3977">
        <v>2814</v>
      </c>
      <c r="L3977">
        <v>191</v>
      </c>
    </row>
    <row r="3978" spans="1:12" x14ac:dyDescent="0.2">
      <c r="A3978"/>
      <c r="B3978"/>
      <c r="C3978"/>
      <c r="D3978"/>
      <c r="E3978" s="2">
        <f>Comuni__2[[#This Row],[Popolazione2011]]/$D$7911</f>
        <v>5.5533980510635621E-6</v>
      </c>
      <c r="F3978">
        <f>SUMIFS($D$2:$D$7909, $B$2:$B$7909, "Lombardia")</f>
        <v>9704151</v>
      </c>
      <c r="G3978" s="1">
        <f>Comuni__2[[#This Row],[Popolazione2011]]/Comuni__2[[#This Row],[POPOLAZIONE TOTALE DI OGNI REGIONE (CON FILTRO)]]</f>
        <v>3.4006066063893687E-5</v>
      </c>
      <c r="H3978" t="str">
        <f>IF(Comuni__2[[#This Row],[Popolazione2011]]&gt;300000,"MAGGIORE","")</f>
        <v/>
      </c>
      <c r="J3978">
        <v>338</v>
      </c>
      <c r="K3978">
        <v>2878</v>
      </c>
      <c r="L3978">
        <v>192</v>
      </c>
    </row>
    <row r="3979" spans="1:12" x14ac:dyDescent="0.2">
      <c r="A3979"/>
      <c r="B3979"/>
      <c r="C3979"/>
      <c r="D3979"/>
      <c r="E3979" s="2">
        <f>Comuni__2[[#This Row],[Popolazione2011]]/$D$7911</f>
        <v>5.3682847826947771E-6</v>
      </c>
      <c r="F3979">
        <f>SUMIFS($D$2:$D$7909, $B$2:$B$7909, "Lombardia")</f>
        <v>9704151</v>
      </c>
      <c r="G3979" s="1">
        <f>Comuni__2[[#This Row],[Popolazione2011]]/Comuni__2[[#This Row],[POPOLAZIONE TOTALE DI OGNI REGIONE (CON FILTRO)]]</f>
        <v>3.2872530528430567E-5</v>
      </c>
      <c r="H3979" t="str">
        <f>IF(Comuni__2[[#This Row],[Popolazione2011]]&gt;300000,"MAGGIORE","")</f>
        <v/>
      </c>
      <c r="J3979">
        <v>342</v>
      </c>
      <c r="K3979">
        <v>2904</v>
      </c>
      <c r="L3979">
        <v>199</v>
      </c>
    </row>
    <row r="3980" spans="1:12" x14ac:dyDescent="0.2">
      <c r="A3980"/>
      <c r="B3980"/>
      <c r="C3980"/>
      <c r="D3980"/>
      <c r="E3980" s="2">
        <f>Comuni__2[[#This Row],[Popolazione2011]]/$D$7911</f>
        <v>5.3346278248095431E-6</v>
      </c>
      <c r="F3980">
        <f>SUMIFS($D$2:$D$7909, $B$2:$B$7909, "Lombardia")</f>
        <v>9704151</v>
      </c>
      <c r="G3980" s="1">
        <f>Comuni__2[[#This Row],[Popolazione2011]]/Comuni__2[[#This Row],[POPOLAZIONE TOTALE DI OGNI REGIONE (CON FILTRO)]]</f>
        <v>3.2666433158346358E-5</v>
      </c>
      <c r="H3980" t="str">
        <f>IF(Comuni__2[[#This Row],[Popolazione2011]]&gt;300000,"MAGGIORE","")</f>
        <v/>
      </c>
      <c r="J3980">
        <v>335</v>
      </c>
      <c r="K3980">
        <v>2973</v>
      </c>
      <c r="L3980">
        <v>205</v>
      </c>
    </row>
    <row r="3981" spans="1:12" x14ac:dyDescent="0.2">
      <c r="A3981"/>
      <c r="B3981"/>
      <c r="C3981"/>
      <c r="D3981"/>
      <c r="E3981" s="2">
        <f>Comuni__2[[#This Row],[Popolazione2011]]/$D$7911</f>
        <v>5.3177993458669261E-6</v>
      </c>
      <c r="F3981">
        <f>SUMIFS($D$2:$D$7909, $B$2:$B$7909, "Lombardia")</f>
        <v>9704151</v>
      </c>
      <c r="G3981" s="1">
        <f>Comuni__2[[#This Row],[Popolazione2011]]/Comuni__2[[#This Row],[POPOLAZIONE TOTALE DI OGNI REGIONE (CON FILTRO)]]</f>
        <v>3.2563384473304261E-5</v>
      </c>
      <c r="H3981" t="str">
        <f>IF(Comuni__2[[#This Row],[Popolazione2011]]&gt;300000,"MAGGIORE","")</f>
        <v/>
      </c>
      <c r="J3981">
        <v>361</v>
      </c>
      <c r="K3981">
        <v>3035</v>
      </c>
      <c r="L3981">
        <v>207</v>
      </c>
    </row>
    <row r="3982" spans="1:12" x14ac:dyDescent="0.2">
      <c r="A3982"/>
      <c r="B3982"/>
      <c r="C3982"/>
      <c r="D3982"/>
      <c r="E3982" s="2">
        <f>Comuni__2[[#This Row],[Popolazione2011]]/$D$7911</f>
        <v>5.2168284722112252E-6</v>
      </c>
      <c r="F3982">
        <f>SUMIFS($D$2:$D$7909, $B$2:$B$7909, "Lombardia")</f>
        <v>9704151</v>
      </c>
      <c r="G3982" s="1">
        <f>Comuni__2[[#This Row],[Popolazione2011]]/Comuni__2[[#This Row],[POPOLAZIONE TOTALE DI OGNI REGIONE (CON FILTRO)]]</f>
        <v>3.1945092363051648E-5</v>
      </c>
      <c r="H3982" t="str">
        <f>IF(Comuni__2[[#This Row],[Popolazione2011]]&gt;300000,"MAGGIORE","")</f>
        <v/>
      </c>
      <c r="J3982">
        <v>363</v>
      </c>
      <c r="K3982">
        <v>3071</v>
      </c>
      <c r="L3982">
        <v>214</v>
      </c>
    </row>
    <row r="3983" spans="1:12" x14ac:dyDescent="0.2">
      <c r="A3983"/>
      <c r="B3983"/>
      <c r="C3983"/>
      <c r="D3983"/>
      <c r="E3983" s="2">
        <f>Comuni__2[[#This Row],[Popolazione2011]]/$D$7911</f>
        <v>5.1663430353833751E-6</v>
      </c>
      <c r="F3983">
        <f>SUMIFS($D$2:$D$7909, $B$2:$B$7909, "Lombardia")</f>
        <v>9704151</v>
      </c>
      <c r="G3983" s="1">
        <f>Comuni__2[[#This Row],[Popolazione2011]]/Comuni__2[[#This Row],[POPOLAZIONE TOTALE DI OGNI REGIONE (CON FILTRO)]]</f>
        <v>3.1635946307925342E-5</v>
      </c>
      <c r="H3983" t="str">
        <f>IF(Comuni__2[[#This Row],[Popolazione2011]]&gt;300000,"MAGGIORE","")</f>
        <v/>
      </c>
      <c r="J3983">
        <v>388</v>
      </c>
      <c r="K3983">
        <v>3149</v>
      </c>
      <c r="L3983">
        <v>227</v>
      </c>
    </row>
    <row r="3984" spans="1:12" x14ac:dyDescent="0.2">
      <c r="A3984"/>
      <c r="B3984"/>
      <c r="C3984"/>
      <c r="D3984"/>
      <c r="E3984" s="2">
        <f>Comuni__2[[#This Row],[Popolazione2011]]/$D$7911</f>
        <v>5.0990291196129072E-6</v>
      </c>
      <c r="F3984">
        <f>SUMIFS($D$2:$D$7909, $B$2:$B$7909, "Lombardia")</f>
        <v>9704151</v>
      </c>
      <c r="G3984" s="1">
        <f>Comuni__2[[#This Row],[Popolazione2011]]/Comuni__2[[#This Row],[POPOLAZIONE TOTALE DI OGNI REGIONE (CON FILTRO)]]</f>
        <v>3.1223751567756932E-5</v>
      </c>
      <c r="H3984" t="str">
        <f>IF(Comuni__2[[#This Row],[Popolazione2011]]&gt;300000,"MAGGIORE","")</f>
        <v/>
      </c>
      <c r="J3984">
        <v>379</v>
      </c>
      <c r="K3984">
        <v>3218</v>
      </c>
      <c r="L3984">
        <v>234</v>
      </c>
    </row>
    <row r="3985" spans="1:12" x14ac:dyDescent="0.2">
      <c r="A3985"/>
      <c r="B3985"/>
      <c r="C3985"/>
      <c r="D3985"/>
      <c r="E3985" s="2">
        <f>Comuni__2[[#This Row],[Popolazione2011]]/$D$7911</f>
        <v>5.0653721617276732E-6</v>
      </c>
      <c r="F3985">
        <f>SUMIFS($D$2:$D$7909, $B$2:$B$7909, "Lombardia")</f>
        <v>9704151</v>
      </c>
      <c r="G3985" s="1">
        <f>Comuni__2[[#This Row],[Popolazione2011]]/Comuni__2[[#This Row],[POPOLAZIONE TOTALE DI OGNI REGIONE (CON FILTRO)]]</f>
        <v>3.101765419767273E-5</v>
      </c>
      <c r="H3985" t="str">
        <f>IF(Comuni__2[[#This Row],[Popolazione2011]]&gt;300000,"MAGGIORE","")</f>
        <v/>
      </c>
      <c r="J3985">
        <v>382</v>
      </c>
      <c r="K3985">
        <v>3266</v>
      </c>
      <c r="L3985">
        <v>235</v>
      </c>
    </row>
    <row r="3986" spans="1:12" x14ac:dyDescent="0.2">
      <c r="A3986"/>
      <c r="B3986"/>
      <c r="C3986"/>
      <c r="D3986"/>
      <c r="E3986" s="2">
        <f>Comuni__2[[#This Row],[Popolazione2011]]/$D$7911</f>
        <v>4.9980582459572062E-6</v>
      </c>
      <c r="F3986">
        <f>SUMIFS($D$2:$D$7909, $B$2:$B$7909, "Lombardia")</f>
        <v>9704151</v>
      </c>
      <c r="G3986" s="1">
        <f>Comuni__2[[#This Row],[Popolazione2011]]/Comuni__2[[#This Row],[POPOLAZIONE TOTALE DI OGNI REGIONE (CON FILTRO)]]</f>
        <v>3.0605459457504319E-5</v>
      </c>
      <c r="H3986" t="str">
        <f>IF(Comuni__2[[#This Row],[Popolazione2011]]&gt;300000,"MAGGIORE","")</f>
        <v/>
      </c>
      <c r="J3986">
        <v>382</v>
      </c>
      <c r="K3986">
        <v>3309</v>
      </c>
      <c r="L3986">
        <v>239</v>
      </c>
    </row>
    <row r="3987" spans="1:12" x14ac:dyDescent="0.2">
      <c r="A3987"/>
      <c r="B3987"/>
      <c r="C3987"/>
      <c r="D3987"/>
      <c r="E3987" s="2">
        <f>Comuni__2[[#This Row],[Popolazione2011]]/$D$7911</f>
        <v>4.9139158512441222E-6</v>
      </c>
      <c r="F3987">
        <f>SUMIFS($D$2:$D$7909, $B$2:$B$7909, "Lombardia")</f>
        <v>9704151</v>
      </c>
      <c r="G3987" s="1">
        <f>Comuni__2[[#This Row],[Popolazione2011]]/Comuni__2[[#This Row],[POPOLAZIONE TOTALE DI OGNI REGIONE (CON FILTRO)]]</f>
        <v>3.0090216032293808E-5</v>
      </c>
      <c r="H3987" t="str">
        <f>IF(Comuni__2[[#This Row],[Popolazione2011]]&gt;300000,"MAGGIORE","")</f>
        <v/>
      </c>
      <c r="J3987">
        <v>389</v>
      </c>
      <c r="K3987">
        <v>3351</v>
      </c>
      <c r="L3987">
        <v>241</v>
      </c>
    </row>
    <row r="3988" spans="1:12" x14ac:dyDescent="0.2">
      <c r="A3988"/>
      <c r="B3988"/>
      <c r="C3988"/>
      <c r="D3988"/>
      <c r="E3988" s="2">
        <f>Comuni__2[[#This Row],[Popolazione2011]]/$D$7911</f>
        <v>4.9139158512441222E-6</v>
      </c>
      <c r="F3988">
        <f>SUMIFS($D$2:$D$7909, $B$2:$B$7909, "Lombardia")</f>
        <v>9704151</v>
      </c>
      <c r="G3988" s="1">
        <f>Comuni__2[[#This Row],[Popolazione2011]]/Comuni__2[[#This Row],[POPOLAZIONE TOTALE DI OGNI REGIONE (CON FILTRO)]]</f>
        <v>3.0090216032293808E-5</v>
      </c>
      <c r="H3988" t="str">
        <f>IF(Comuni__2[[#This Row],[Popolazione2011]]&gt;300000,"MAGGIORE","")</f>
        <v/>
      </c>
      <c r="J3988">
        <v>386</v>
      </c>
      <c r="K3988">
        <v>3438</v>
      </c>
      <c r="L3988">
        <v>247</v>
      </c>
    </row>
    <row r="3989" spans="1:12" x14ac:dyDescent="0.2">
      <c r="A3989"/>
      <c r="B3989"/>
      <c r="C3989"/>
      <c r="D3989"/>
      <c r="E3989" s="2">
        <f>Comuni__2[[#This Row],[Popolazione2011]]/$D$7911</f>
        <v>4.8802588933588882E-6</v>
      </c>
      <c r="F3989">
        <f>SUMIFS($D$2:$D$7909, $B$2:$B$7909, "Lombardia")</f>
        <v>9704151</v>
      </c>
      <c r="G3989" s="1">
        <f>Comuni__2[[#This Row],[Popolazione2011]]/Comuni__2[[#This Row],[POPOLAZIONE TOTALE DI OGNI REGIONE (CON FILTRO)]]</f>
        <v>2.9884118662209606E-5</v>
      </c>
      <c r="H3989" t="str">
        <f>IF(Comuni__2[[#This Row],[Popolazione2011]]&gt;300000,"MAGGIORE","")</f>
        <v/>
      </c>
      <c r="J3989">
        <v>438</v>
      </c>
      <c r="K3989">
        <v>3477</v>
      </c>
      <c r="L3989">
        <v>249</v>
      </c>
    </row>
    <row r="3990" spans="1:12" x14ac:dyDescent="0.2">
      <c r="A3990"/>
      <c r="B3990"/>
      <c r="C3990"/>
      <c r="D3990"/>
      <c r="E3990" s="2">
        <f>Comuni__2[[#This Row],[Popolazione2011]]/$D$7911</f>
        <v>4.7792880197031872E-6</v>
      </c>
      <c r="F3990">
        <f>SUMIFS($D$2:$D$7909, $B$2:$B$7909, "Lombardia")</f>
        <v>9704151</v>
      </c>
      <c r="G3990" s="1">
        <f>Comuni__2[[#This Row],[Popolazione2011]]/Comuni__2[[#This Row],[POPOLAZIONE TOTALE DI OGNI REGIONE (CON FILTRO)]]</f>
        <v>2.9265826551956994E-5</v>
      </c>
      <c r="H3990" t="str">
        <f>IF(Comuni__2[[#This Row],[Popolazione2011]]&gt;300000,"MAGGIORE","")</f>
        <v/>
      </c>
      <c r="J3990">
        <v>446</v>
      </c>
      <c r="K3990">
        <v>3513</v>
      </c>
      <c r="L3990">
        <v>253</v>
      </c>
    </row>
    <row r="3991" spans="1:12" x14ac:dyDescent="0.2">
      <c r="A3991"/>
      <c r="B3991"/>
      <c r="C3991"/>
      <c r="D3991"/>
      <c r="E3991" s="2">
        <f>Comuni__2[[#This Row],[Popolazione2011]]/$D$7911</f>
        <v>4.6278317092196353E-6</v>
      </c>
      <c r="F3991">
        <f>SUMIFS($D$2:$D$7909, $B$2:$B$7909, "Lombardia")</f>
        <v>9704151</v>
      </c>
      <c r="G3991" s="1">
        <f>Comuni__2[[#This Row],[Popolazione2011]]/Comuni__2[[#This Row],[POPOLAZIONE TOTALE DI OGNI REGIONE (CON FILTRO)]]</f>
        <v>2.8338388386578075E-5</v>
      </c>
      <c r="H3991" t="str">
        <f>IF(Comuni__2[[#This Row],[Popolazione2011]]&gt;300000,"MAGGIORE","")</f>
        <v/>
      </c>
      <c r="J3991">
        <v>455</v>
      </c>
      <c r="K3991">
        <v>3579</v>
      </c>
      <c r="L3991">
        <v>255</v>
      </c>
    </row>
    <row r="3992" spans="1:12" x14ac:dyDescent="0.2">
      <c r="A3992"/>
      <c r="B3992"/>
      <c r="C3992"/>
      <c r="D3992"/>
      <c r="E3992" s="2">
        <f>Comuni__2[[#This Row],[Popolazione2011]]/$D$7911</f>
        <v>4.6110032302770184E-6</v>
      </c>
      <c r="F3992">
        <f>SUMIFS($D$2:$D$7909, $B$2:$B$7909, "Lombardia")</f>
        <v>9704151</v>
      </c>
      <c r="G3992" s="1">
        <f>Comuni__2[[#This Row],[Popolazione2011]]/Comuni__2[[#This Row],[POPOLAZIONE TOTALE DI OGNI REGIONE (CON FILTRO)]]</f>
        <v>2.8235339701535971E-5</v>
      </c>
      <c r="H3992" t="str">
        <f>IF(Comuni__2[[#This Row],[Popolazione2011]]&gt;300000,"MAGGIORE","")</f>
        <v/>
      </c>
      <c r="J3992">
        <v>466</v>
      </c>
      <c r="K3992">
        <v>3727</v>
      </c>
      <c r="L3992">
        <v>268</v>
      </c>
    </row>
    <row r="3993" spans="1:12" x14ac:dyDescent="0.2">
      <c r="A3993"/>
      <c r="B3993"/>
      <c r="C3993"/>
      <c r="D3993"/>
      <c r="E3993" s="2">
        <f>Comuni__2[[#This Row],[Popolazione2011]]/$D$7911</f>
        <v>4.5941747513344014E-6</v>
      </c>
      <c r="F3993">
        <f>SUMIFS($D$2:$D$7909, $B$2:$B$7909, "Lombardia")</f>
        <v>9704151</v>
      </c>
      <c r="G3993" s="1">
        <f>Comuni__2[[#This Row],[Popolazione2011]]/Comuni__2[[#This Row],[POPOLAZIONE TOTALE DI OGNI REGIONE (CON FILTRO)]]</f>
        <v>2.813229101649387E-5</v>
      </c>
      <c r="H3993" t="str">
        <f>IF(Comuni__2[[#This Row],[Popolazione2011]]&gt;300000,"MAGGIORE","")</f>
        <v/>
      </c>
      <c r="J3993">
        <v>454</v>
      </c>
      <c r="K3993">
        <v>3838</v>
      </c>
      <c r="L3993">
        <v>279</v>
      </c>
    </row>
    <row r="3994" spans="1:12" x14ac:dyDescent="0.2">
      <c r="A3994"/>
      <c r="B3994"/>
      <c r="C3994"/>
      <c r="D3994"/>
      <c r="E3994" s="2">
        <f>Comuni__2[[#This Row],[Popolazione2011]]/$D$7911</f>
        <v>4.4932038776787004E-6</v>
      </c>
      <c r="F3994">
        <f>SUMIFS($D$2:$D$7909, $B$2:$B$7909, "Lombardia")</f>
        <v>9704151</v>
      </c>
      <c r="G3994" s="1">
        <f>Comuni__2[[#This Row],[Popolazione2011]]/Comuni__2[[#This Row],[POPOLAZIONE TOTALE DI OGNI REGIONE (CON FILTRO)]]</f>
        <v>2.7513998906241257E-5</v>
      </c>
      <c r="H3994" t="str">
        <f>IF(Comuni__2[[#This Row],[Popolazione2011]]&gt;300000,"MAGGIORE","")</f>
        <v/>
      </c>
      <c r="J3994">
        <v>472</v>
      </c>
      <c r="K3994">
        <v>4019</v>
      </c>
      <c r="L3994">
        <v>293</v>
      </c>
    </row>
    <row r="3995" spans="1:12" x14ac:dyDescent="0.2">
      <c r="A3995"/>
      <c r="B3995"/>
      <c r="C3995"/>
      <c r="D3995"/>
      <c r="E3995" s="2">
        <f>Comuni__2[[#This Row],[Popolazione2011]]/$D$7911</f>
        <v>4.4763753987360834E-6</v>
      </c>
      <c r="F3995">
        <f>SUMIFS($D$2:$D$7909, $B$2:$B$7909, "Lombardia")</f>
        <v>9704151</v>
      </c>
      <c r="G3995" s="1">
        <f>Comuni__2[[#This Row],[Popolazione2011]]/Comuni__2[[#This Row],[POPOLAZIONE TOTALE DI OGNI REGIONE (CON FILTRO)]]</f>
        <v>2.7410950221199156E-5</v>
      </c>
      <c r="H3995" t="str">
        <f>IF(Comuni__2[[#This Row],[Popolazione2011]]&gt;300000,"MAGGIORE","")</f>
        <v/>
      </c>
      <c r="J3995">
        <v>480</v>
      </c>
      <c r="K3995">
        <v>4125</v>
      </c>
      <c r="L3995">
        <v>298</v>
      </c>
    </row>
    <row r="3996" spans="1:12" x14ac:dyDescent="0.2">
      <c r="A3996"/>
      <c r="B3996"/>
      <c r="C3996"/>
      <c r="D3996"/>
      <c r="E3996" s="2">
        <f>Comuni__2[[#This Row],[Popolazione2011]]/$D$7911</f>
        <v>4.3922330040229994E-6</v>
      </c>
      <c r="F3996">
        <f>SUMIFS($D$2:$D$7909, $B$2:$B$7909, "Lombardia")</f>
        <v>9704151</v>
      </c>
      <c r="G3996" s="1">
        <f>Comuni__2[[#This Row],[Popolazione2011]]/Comuni__2[[#This Row],[POPOLAZIONE TOTALE DI OGNI REGIONE (CON FILTRO)]]</f>
        <v>2.6895706795988645E-5</v>
      </c>
      <c r="H3996" t="str">
        <f>IF(Comuni__2[[#This Row],[Popolazione2011]]&gt;300000,"MAGGIORE","")</f>
        <v/>
      </c>
      <c r="J3996">
        <v>529</v>
      </c>
      <c r="K3996">
        <v>4411</v>
      </c>
      <c r="L3996">
        <v>313</v>
      </c>
    </row>
    <row r="3997" spans="1:12" x14ac:dyDescent="0.2">
      <c r="A3997"/>
      <c r="B3997"/>
      <c r="C3997"/>
      <c r="D3997"/>
      <c r="E3997" s="2">
        <f>Comuni__2[[#This Row],[Popolazione2011]]/$D$7911</f>
        <v>4.3249190882525315E-6</v>
      </c>
      <c r="F3997">
        <f>SUMIFS($D$2:$D$7909, $B$2:$B$7909, "Lombardia")</f>
        <v>9704151</v>
      </c>
      <c r="G3997" s="1">
        <f>Comuni__2[[#This Row],[Popolazione2011]]/Comuni__2[[#This Row],[POPOLAZIONE TOTALE DI OGNI REGIONE (CON FILTRO)]]</f>
        <v>2.6483512055820235E-5</v>
      </c>
      <c r="H3997" t="str">
        <f>IF(Comuni__2[[#This Row],[Popolazione2011]]&gt;300000,"MAGGIORE","")</f>
        <v/>
      </c>
      <c r="J3997">
        <v>565</v>
      </c>
      <c r="K3997">
        <v>4513</v>
      </c>
      <c r="L3997">
        <v>318</v>
      </c>
    </row>
    <row r="3998" spans="1:12" x14ac:dyDescent="0.2">
      <c r="A3998"/>
      <c r="B3998"/>
      <c r="C3998"/>
      <c r="D3998"/>
      <c r="E3998" s="2">
        <f>Comuni__2[[#This Row],[Popolazione2011]]/$D$7911</f>
        <v>4.2744336514246815E-6</v>
      </c>
      <c r="F3998">
        <f>SUMIFS($D$2:$D$7909, $B$2:$B$7909, "Lombardia")</f>
        <v>9704151</v>
      </c>
      <c r="G3998" s="1">
        <f>Comuni__2[[#This Row],[Popolazione2011]]/Comuni__2[[#This Row],[POPOLAZIONE TOTALE DI OGNI REGIONE (CON FILTRO)]]</f>
        <v>2.6174366000693928E-5</v>
      </c>
      <c r="H3998" t="str">
        <f>IF(Comuni__2[[#This Row],[Popolazione2011]]&gt;300000,"MAGGIORE","")</f>
        <v/>
      </c>
      <c r="J3998">
        <v>570</v>
      </c>
      <c r="K3998">
        <v>4641</v>
      </c>
      <c r="L3998">
        <v>322</v>
      </c>
    </row>
    <row r="3999" spans="1:12" x14ac:dyDescent="0.2">
      <c r="A3999"/>
      <c r="B3999"/>
      <c r="C3999"/>
      <c r="D3999"/>
      <c r="E3999" s="2">
        <f>Comuni__2[[#This Row],[Popolazione2011]]/$D$7911</f>
        <v>4.2407766935394475E-6</v>
      </c>
      <c r="F3999">
        <f>SUMIFS($D$2:$D$7909, $B$2:$B$7909, "Lombardia")</f>
        <v>9704151</v>
      </c>
      <c r="G3999" s="1">
        <f>Comuni__2[[#This Row],[Popolazione2011]]/Comuni__2[[#This Row],[POPOLAZIONE TOTALE DI OGNI REGIONE (CON FILTRO)]]</f>
        <v>2.5968268630609726E-5</v>
      </c>
      <c r="H3999" t="str">
        <f>IF(Comuni__2[[#This Row],[Popolazione2011]]&gt;300000,"MAGGIORE","")</f>
        <v/>
      </c>
      <c r="J3999">
        <v>573</v>
      </c>
      <c r="K3999">
        <v>4812</v>
      </c>
      <c r="L3999">
        <v>328</v>
      </c>
    </row>
    <row r="4000" spans="1:12" x14ac:dyDescent="0.2">
      <c r="A4000"/>
      <c r="B4000"/>
      <c r="C4000"/>
      <c r="D4000"/>
      <c r="E4000" s="2">
        <f>Comuni__2[[#This Row],[Popolazione2011]]/$D$7911</f>
        <v>4.0724919041132795E-6</v>
      </c>
      <c r="F4000">
        <f>SUMIFS($D$2:$D$7909, $B$2:$B$7909, "Lombardia")</f>
        <v>9704151</v>
      </c>
      <c r="G4000" s="1">
        <f>Comuni__2[[#This Row],[Popolazione2011]]/Comuni__2[[#This Row],[POPOLAZIONE TOTALE DI OGNI REGIONE (CON FILTRO)]]</f>
        <v>2.4937781780188704E-5</v>
      </c>
      <c r="H4000" t="str">
        <f>IF(Comuni__2[[#This Row],[Popolazione2011]]&gt;300000,"MAGGIORE","")</f>
        <v/>
      </c>
      <c r="J4000">
        <v>576</v>
      </c>
      <c r="K4000">
        <v>4972</v>
      </c>
      <c r="L4000">
        <v>340</v>
      </c>
    </row>
    <row r="4001" spans="1:12" x14ac:dyDescent="0.2">
      <c r="A4001"/>
      <c r="B4001"/>
      <c r="C4001"/>
      <c r="D4001"/>
      <c r="E4001" s="2">
        <f>Comuni__2[[#This Row],[Popolazione2011]]/$D$7911</f>
        <v>4.0724919041132795E-6</v>
      </c>
      <c r="F4001">
        <f>SUMIFS($D$2:$D$7909, $B$2:$B$7909, "Lombardia")</f>
        <v>9704151</v>
      </c>
      <c r="G4001" s="1">
        <f>Comuni__2[[#This Row],[Popolazione2011]]/Comuni__2[[#This Row],[POPOLAZIONE TOTALE DI OGNI REGIONE (CON FILTRO)]]</f>
        <v>2.4937781780188704E-5</v>
      </c>
      <c r="H4001" t="str">
        <f>IF(Comuni__2[[#This Row],[Popolazione2011]]&gt;300000,"MAGGIORE","")</f>
        <v/>
      </c>
      <c r="J4001">
        <v>568</v>
      </c>
      <c r="K4001">
        <v>5123</v>
      </c>
      <c r="L4001">
        <v>350</v>
      </c>
    </row>
    <row r="4002" spans="1:12" x14ac:dyDescent="0.2">
      <c r="A4002"/>
      <c r="B4002"/>
      <c r="C4002"/>
      <c r="D4002"/>
      <c r="E4002" s="2">
        <f>Comuni__2[[#This Row],[Popolazione2011]]/$D$7911</f>
        <v>4.0051779883428116E-6</v>
      </c>
      <c r="F4002">
        <f>SUMIFS($D$2:$D$7909, $B$2:$B$7909, "Lombardia")</f>
        <v>9704151</v>
      </c>
      <c r="G4002" s="1">
        <f>Comuni__2[[#This Row],[Popolazione2011]]/Comuni__2[[#This Row],[POPOLAZIONE TOTALE DI OGNI REGIONE (CON FILTRO)]]</f>
        <v>2.4525587040020296E-5</v>
      </c>
      <c r="H4002" t="str">
        <f>IF(Comuni__2[[#This Row],[Popolazione2011]]&gt;300000,"MAGGIORE","")</f>
        <v/>
      </c>
      <c r="J4002">
        <v>584</v>
      </c>
      <c r="K4002">
        <v>5243</v>
      </c>
      <c r="L4002">
        <v>362</v>
      </c>
    </row>
    <row r="4003" spans="1:12" x14ac:dyDescent="0.2">
      <c r="A4003"/>
      <c r="B4003"/>
      <c r="C4003"/>
      <c r="D4003"/>
      <c r="E4003" s="2">
        <f>Comuni__2[[#This Row],[Popolazione2011]]/$D$7911</f>
        <v>3.9883495094001946E-6</v>
      </c>
      <c r="F4003">
        <f>SUMIFS($D$2:$D$7909, $B$2:$B$7909, "Lombardia")</f>
        <v>9704151</v>
      </c>
      <c r="G4003" s="1">
        <f>Comuni__2[[#This Row],[Popolazione2011]]/Comuni__2[[#This Row],[POPOLAZIONE TOTALE DI OGNI REGIONE (CON FILTRO)]]</f>
        <v>2.4422538354978196E-5</v>
      </c>
      <c r="H4003" t="str">
        <f>IF(Comuni__2[[#This Row],[Popolazione2011]]&gt;300000,"MAGGIORE","")</f>
        <v/>
      </c>
      <c r="J4003">
        <v>595</v>
      </c>
      <c r="K4003">
        <v>5567</v>
      </c>
      <c r="L4003">
        <v>367</v>
      </c>
    </row>
    <row r="4004" spans="1:12" x14ac:dyDescent="0.2">
      <c r="A4004"/>
      <c r="B4004"/>
      <c r="C4004"/>
      <c r="D4004"/>
      <c r="E4004" s="2">
        <f>Comuni__2[[#This Row],[Popolazione2011]]/$D$7911</f>
        <v>3.9715210304575776E-6</v>
      </c>
      <c r="F4004">
        <f>SUMIFS($D$2:$D$7909, $B$2:$B$7909, "Lombardia")</f>
        <v>9704151</v>
      </c>
      <c r="G4004" s="1">
        <f>Comuni__2[[#This Row],[Popolazione2011]]/Comuni__2[[#This Row],[POPOLAZIONE TOTALE DI OGNI REGIONE (CON FILTRO)]]</f>
        <v>2.4319489669936091E-5</v>
      </c>
      <c r="H4004" t="str">
        <f>IF(Comuni__2[[#This Row],[Popolazione2011]]&gt;300000,"MAGGIORE","")</f>
        <v/>
      </c>
      <c r="J4004">
        <v>574</v>
      </c>
      <c r="K4004">
        <v>5796</v>
      </c>
      <c r="L4004">
        <v>379</v>
      </c>
    </row>
    <row r="4005" spans="1:12" x14ac:dyDescent="0.2">
      <c r="A4005"/>
      <c r="B4005"/>
      <c r="C4005"/>
      <c r="D4005"/>
      <c r="E4005" s="2">
        <f>Comuni__2[[#This Row],[Popolazione2011]]/$D$7911</f>
        <v>3.9378640725723445E-6</v>
      </c>
      <c r="F4005">
        <f>SUMIFS($D$2:$D$7909, $B$2:$B$7909, "Lombardia")</f>
        <v>9704151</v>
      </c>
      <c r="G4005" s="1">
        <f>Comuni__2[[#This Row],[Popolazione2011]]/Comuni__2[[#This Row],[POPOLAZIONE TOTALE DI OGNI REGIONE (CON FILTRO)]]</f>
        <v>2.4113392299851889E-5</v>
      </c>
      <c r="H4005" t="str">
        <f>IF(Comuni__2[[#This Row],[Popolazione2011]]&gt;300000,"MAGGIORE","")</f>
        <v/>
      </c>
      <c r="J4005">
        <v>573</v>
      </c>
      <c r="K4005">
        <v>5921</v>
      </c>
      <c r="L4005">
        <v>389</v>
      </c>
    </row>
    <row r="4006" spans="1:12" x14ac:dyDescent="0.2">
      <c r="A4006"/>
      <c r="B4006"/>
      <c r="C4006"/>
      <c r="D4006"/>
      <c r="E4006" s="2">
        <f>Comuni__2[[#This Row],[Popolazione2011]]/$D$7911</f>
        <v>3.9210355936297276E-6</v>
      </c>
      <c r="F4006">
        <f>SUMIFS($D$2:$D$7909, $B$2:$B$7909, "Lombardia")</f>
        <v>9704151</v>
      </c>
      <c r="G4006" s="1">
        <f>Comuni__2[[#This Row],[Popolazione2011]]/Comuni__2[[#This Row],[POPOLAZIONE TOTALE DI OGNI REGIONE (CON FILTRO)]]</f>
        <v>2.4010343614809785E-5</v>
      </c>
      <c r="H4006" t="str">
        <f>IF(Comuni__2[[#This Row],[Popolazione2011]]&gt;300000,"MAGGIORE","")</f>
        <v/>
      </c>
      <c r="J4006">
        <v>584</v>
      </c>
      <c r="K4006">
        <v>6139</v>
      </c>
      <c r="L4006">
        <v>395</v>
      </c>
    </row>
    <row r="4007" spans="1:12" x14ac:dyDescent="0.2">
      <c r="A4007"/>
      <c r="B4007"/>
      <c r="C4007"/>
      <c r="D4007"/>
      <c r="E4007" s="2">
        <f>Comuni__2[[#This Row],[Popolazione2011]]/$D$7911</f>
        <v>3.8032362410314096E-6</v>
      </c>
      <c r="F4007">
        <f>SUMIFS($D$2:$D$7909, $B$2:$B$7909, "Lombardia")</f>
        <v>9704151</v>
      </c>
      <c r="G4007" s="1">
        <f>Comuni__2[[#This Row],[Popolazione2011]]/Comuni__2[[#This Row],[POPOLAZIONE TOTALE DI OGNI REGIONE (CON FILTRO)]]</f>
        <v>2.3289002819515072E-5</v>
      </c>
      <c r="H4007" t="str">
        <f>IF(Comuni__2[[#This Row],[Popolazione2011]]&gt;300000,"MAGGIORE","")</f>
        <v/>
      </c>
      <c r="J4007">
        <v>600</v>
      </c>
      <c r="K4007">
        <v>6319</v>
      </c>
      <c r="L4007">
        <v>407</v>
      </c>
    </row>
    <row r="4008" spans="1:12" x14ac:dyDescent="0.2">
      <c r="A4008"/>
      <c r="B4008"/>
      <c r="C4008"/>
      <c r="D4008"/>
      <c r="E4008" s="2">
        <f>Comuni__2[[#This Row],[Popolazione2011]]/$D$7911</f>
        <v>3.7864077620887926E-6</v>
      </c>
      <c r="F4008">
        <f>SUMIFS($D$2:$D$7909, $B$2:$B$7909, "Lombardia")</f>
        <v>9704151</v>
      </c>
      <c r="G4008" s="1">
        <f>Comuni__2[[#This Row],[Popolazione2011]]/Comuni__2[[#This Row],[POPOLAZIONE TOTALE DI OGNI REGIONE (CON FILTRO)]]</f>
        <v>2.3185954134472971E-5</v>
      </c>
      <c r="H4008" t="str">
        <f>IF(Comuni__2[[#This Row],[Popolazione2011]]&gt;300000,"MAGGIORE","")</f>
        <v/>
      </c>
      <c r="J4008">
        <v>591</v>
      </c>
      <c r="K4008">
        <v>6529</v>
      </c>
      <c r="L4008">
        <v>413</v>
      </c>
    </row>
    <row r="4009" spans="1:12" x14ac:dyDescent="0.2">
      <c r="A4009"/>
      <c r="B4009"/>
      <c r="C4009"/>
      <c r="D4009"/>
      <c r="E4009" s="2">
        <f>Comuni__2[[#This Row],[Popolazione2011]]/$D$7911</f>
        <v>3.7190938463183252E-6</v>
      </c>
      <c r="F4009">
        <f>SUMIFS($D$2:$D$7909, $B$2:$B$7909, "Lombardia")</f>
        <v>9704151</v>
      </c>
      <c r="G4009" s="1">
        <f>Comuni__2[[#This Row],[Popolazione2011]]/Comuni__2[[#This Row],[POPOLAZIONE TOTALE DI OGNI REGIONE (CON FILTRO)]]</f>
        <v>2.277375939430456E-5</v>
      </c>
      <c r="H4009" t="str">
        <f>IF(Comuni__2[[#This Row],[Popolazione2011]]&gt;300000,"MAGGIORE","")</f>
        <v/>
      </c>
      <c r="J4009">
        <v>608</v>
      </c>
      <c r="K4009">
        <v>6655</v>
      </c>
      <c r="L4009">
        <v>418</v>
      </c>
    </row>
    <row r="4010" spans="1:12" x14ac:dyDescent="0.2">
      <c r="A4010"/>
      <c r="B4010"/>
      <c r="C4010"/>
      <c r="D4010"/>
      <c r="E4010" s="2">
        <f>Comuni__2[[#This Row],[Popolazione2011]]/$D$7911</f>
        <v>3.7022653673757082E-6</v>
      </c>
      <c r="F4010">
        <f>SUMIFS($D$2:$D$7909, $B$2:$B$7909, "Lombardia")</f>
        <v>9704151</v>
      </c>
      <c r="G4010" s="1">
        <f>Comuni__2[[#This Row],[Popolazione2011]]/Comuni__2[[#This Row],[POPOLAZIONE TOTALE DI OGNI REGIONE (CON FILTRO)]]</f>
        <v>2.2670710709262459E-5</v>
      </c>
      <c r="H4010" t="str">
        <f>IF(Comuni__2[[#This Row],[Popolazione2011]]&gt;300000,"MAGGIORE","")</f>
        <v/>
      </c>
      <c r="J4010">
        <v>599</v>
      </c>
      <c r="K4010">
        <v>6837</v>
      </c>
      <c r="L4010">
        <v>427</v>
      </c>
    </row>
    <row r="4011" spans="1:12" x14ac:dyDescent="0.2">
      <c r="A4011"/>
      <c r="B4011"/>
      <c r="C4011"/>
      <c r="D4011"/>
      <c r="E4011" s="2">
        <f>Comuni__2[[#This Row],[Popolazione2011]]/$D$7911</f>
        <v>3.5844660147773902E-6</v>
      </c>
      <c r="F4011">
        <f>SUMIFS($D$2:$D$7909, $B$2:$B$7909, "Lombardia")</f>
        <v>9704151</v>
      </c>
      <c r="G4011" s="1">
        <f>Comuni__2[[#This Row],[Popolazione2011]]/Comuni__2[[#This Row],[POPOLAZIONE TOTALE DI OGNI REGIONE (CON FILTRO)]]</f>
        <v>2.1949369913967743E-5</v>
      </c>
      <c r="H4011" t="str">
        <f>IF(Comuni__2[[#This Row],[Popolazione2011]]&gt;300000,"MAGGIORE","")</f>
        <v/>
      </c>
      <c r="J4011">
        <v>617</v>
      </c>
      <c r="K4011">
        <v>7179</v>
      </c>
      <c r="L4011">
        <v>432</v>
      </c>
    </row>
    <row r="4012" spans="1:12" x14ac:dyDescent="0.2">
      <c r="A4012"/>
      <c r="B4012"/>
      <c r="C4012"/>
      <c r="D4012"/>
      <c r="E4012" s="2">
        <f>Comuni__2[[#This Row],[Popolazione2011]]/$D$7911</f>
        <v>3.5844660147773902E-6</v>
      </c>
      <c r="F4012">
        <f>SUMIFS($D$2:$D$7909, $B$2:$B$7909, "Lombardia")</f>
        <v>9704151</v>
      </c>
      <c r="G4012" s="1">
        <f>Comuni__2[[#This Row],[Popolazione2011]]/Comuni__2[[#This Row],[POPOLAZIONE TOTALE DI OGNI REGIONE (CON FILTRO)]]</f>
        <v>2.1949369913967743E-5</v>
      </c>
      <c r="H4012" t="str">
        <f>IF(Comuni__2[[#This Row],[Popolazione2011]]&gt;300000,"MAGGIORE","")</f>
        <v/>
      </c>
      <c r="J4012">
        <v>623</v>
      </c>
      <c r="K4012">
        <v>7311</v>
      </c>
      <c r="L4012">
        <v>436</v>
      </c>
    </row>
    <row r="4013" spans="1:12" x14ac:dyDescent="0.2">
      <c r="A4013"/>
      <c r="B4013"/>
      <c r="C4013"/>
      <c r="D4013"/>
      <c r="E4013" s="2">
        <f>Comuni__2[[#This Row],[Popolazione2011]]/$D$7911</f>
        <v>3.5676375358347733E-6</v>
      </c>
      <c r="F4013">
        <f>SUMIFS($D$2:$D$7909, $B$2:$B$7909, "Lombardia")</f>
        <v>9704151</v>
      </c>
      <c r="G4013" s="1">
        <f>Comuni__2[[#This Row],[Popolazione2011]]/Comuni__2[[#This Row],[POPOLAZIONE TOTALE DI OGNI REGIONE (CON FILTRO)]]</f>
        <v>2.1846321228925642E-5</v>
      </c>
      <c r="H4013" t="str">
        <f>IF(Comuni__2[[#This Row],[Popolazione2011]]&gt;300000,"MAGGIORE","")</f>
        <v/>
      </c>
      <c r="J4013">
        <v>650</v>
      </c>
      <c r="K4013">
        <v>7503</v>
      </c>
      <c r="L4013">
        <v>444</v>
      </c>
    </row>
    <row r="4014" spans="1:12" x14ac:dyDescent="0.2">
      <c r="A4014"/>
      <c r="B4014"/>
      <c r="C4014"/>
      <c r="D4014"/>
      <c r="E4014" s="2">
        <f>Comuni__2[[#This Row],[Popolazione2011]]/$D$7911</f>
        <v>3.5339805779495397E-6</v>
      </c>
      <c r="F4014">
        <f>SUMIFS($D$2:$D$7909, $B$2:$B$7909, "Lombardia")</f>
        <v>9704151</v>
      </c>
      <c r="G4014" s="1">
        <f>Comuni__2[[#This Row],[Popolazione2011]]/Comuni__2[[#This Row],[POPOLAZIONE TOTALE DI OGNI REGIONE (CON FILTRO)]]</f>
        <v>2.1640223858841436E-5</v>
      </c>
      <c r="H4014" t="str">
        <f>IF(Comuni__2[[#This Row],[Popolazione2011]]&gt;300000,"MAGGIORE","")</f>
        <v/>
      </c>
      <c r="J4014">
        <v>651</v>
      </c>
      <c r="K4014">
        <v>7820</v>
      </c>
      <c r="L4014">
        <v>449</v>
      </c>
    </row>
    <row r="4015" spans="1:12" x14ac:dyDescent="0.2">
      <c r="A4015"/>
      <c r="B4015"/>
      <c r="C4015"/>
      <c r="D4015"/>
      <c r="E4015" s="2">
        <f>Comuni__2[[#This Row],[Popolazione2011]]/$D$7911</f>
        <v>3.5171520990069228E-6</v>
      </c>
      <c r="F4015">
        <f>SUMIFS($D$2:$D$7909, $B$2:$B$7909, "Lombardia")</f>
        <v>9704151</v>
      </c>
      <c r="G4015" s="1">
        <f>Comuni__2[[#This Row],[Popolazione2011]]/Comuni__2[[#This Row],[POPOLAZIONE TOTALE DI OGNI REGIONE (CON FILTRO)]]</f>
        <v>2.1537175173799336E-5</v>
      </c>
      <c r="H4015" t="str">
        <f>IF(Comuni__2[[#This Row],[Popolazione2011]]&gt;300000,"MAGGIORE","")</f>
        <v/>
      </c>
      <c r="J4015">
        <v>643</v>
      </c>
      <c r="K4015">
        <v>8004</v>
      </c>
      <c r="L4015">
        <v>453</v>
      </c>
    </row>
    <row r="4016" spans="1:12" x14ac:dyDescent="0.2">
      <c r="A4016"/>
      <c r="B4016"/>
      <c r="C4016"/>
      <c r="D4016"/>
      <c r="E4016" s="2">
        <f>Comuni__2[[#This Row],[Popolazione2011]]/$D$7911</f>
        <v>3.4834951411216892E-6</v>
      </c>
      <c r="F4016">
        <f>SUMIFS($D$2:$D$7909, $B$2:$B$7909, "Lombardia")</f>
        <v>9704151</v>
      </c>
      <c r="G4016" s="1">
        <f>Comuni__2[[#This Row],[Popolazione2011]]/Comuni__2[[#This Row],[POPOLAZIONE TOTALE DI OGNI REGIONE (CON FILTRO)]]</f>
        <v>2.133107780371513E-5</v>
      </c>
      <c r="H4016" t="str">
        <f>IF(Comuni__2[[#This Row],[Popolazione2011]]&gt;300000,"MAGGIORE","")</f>
        <v/>
      </c>
      <c r="J4016">
        <v>659</v>
      </c>
      <c r="K4016">
        <v>8196</v>
      </c>
      <c r="L4016">
        <v>462</v>
      </c>
    </row>
    <row r="4017" spans="1:12" x14ac:dyDescent="0.2">
      <c r="A4017"/>
      <c r="B4017"/>
      <c r="C4017"/>
      <c r="D4017"/>
      <c r="E4017" s="2">
        <f>Comuni__2[[#This Row],[Popolazione2011]]/$D$7911</f>
        <v>3.4666666621790723E-6</v>
      </c>
      <c r="F4017">
        <f>SUMIFS($D$2:$D$7909, $B$2:$B$7909, "Lombardia")</f>
        <v>9704151</v>
      </c>
      <c r="G4017" s="1">
        <f>Comuni__2[[#This Row],[Popolazione2011]]/Comuni__2[[#This Row],[POPOLAZIONE TOTALE DI OGNI REGIONE (CON FILTRO)]]</f>
        <v>2.1228029118673029E-5</v>
      </c>
      <c r="H4017" t="str">
        <f>IF(Comuni__2[[#This Row],[Popolazione2011]]&gt;300000,"MAGGIORE","")</f>
        <v/>
      </c>
      <c r="J4017">
        <v>661</v>
      </c>
      <c r="K4017">
        <v>8417</v>
      </c>
      <c r="L4017">
        <v>511</v>
      </c>
    </row>
    <row r="4018" spans="1:12" x14ac:dyDescent="0.2">
      <c r="A4018"/>
      <c r="B4018"/>
      <c r="C4018"/>
      <c r="D4018"/>
      <c r="E4018" s="2">
        <f>Comuni__2[[#This Row],[Popolazione2011]]/$D$7911</f>
        <v>3.4498381832364553E-6</v>
      </c>
      <c r="F4018">
        <f>SUMIFS($D$2:$D$7909, $B$2:$B$7909, "Lombardia")</f>
        <v>9704151</v>
      </c>
      <c r="G4018" s="1">
        <f>Comuni__2[[#This Row],[Popolazione2011]]/Comuni__2[[#This Row],[POPOLAZIONE TOTALE DI OGNI REGIONE (CON FILTRO)]]</f>
        <v>2.1124980433630928E-5</v>
      </c>
      <c r="H4018" t="str">
        <f>IF(Comuni__2[[#This Row],[Popolazione2011]]&gt;300000,"MAGGIORE","")</f>
        <v/>
      </c>
      <c r="J4018">
        <v>674</v>
      </c>
      <c r="K4018">
        <v>8512</v>
      </c>
      <c r="L4018">
        <v>524</v>
      </c>
    </row>
    <row r="4019" spans="1:12" x14ac:dyDescent="0.2">
      <c r="A4019"/>
      <c r="B4019"/>
      <c r="C4019"/>
      <c r="D4019"/>
      <c r="E4019" s="2">
        <f>Comuni__2[[#This Row],[Popolazione2011]]/$D$7911</f>
        <v>3.3993527464086048E-6</v>
      </c>
      <c r="F4019">
        <f>SUMIFS($D$2:$D$7909, $B$2:$B$7909, "Lombardia")</f>
        <v>9704151</v>
      </c>
      <c r="G4019" s="1">
        <f>Comuni__2[[#This Row],[Popolazione2011]]/Comuni__2[[#This Row],[POPOLAZIONE TOTALE DI OGNI REGIONE (CON FILTRO)]]</f>
        <v>2.0815834378504622E-5</v>
      </c>
      <c r="H4019" t="str">
        <f>IF(Comuni__2[[#This Row],[Popolazione2011]]&gt;300000,"MAGGIORE","")</f>
        <v/>
      </c>
      <c r="J4019">
        <v>680</v>
      </c>
      <c r="K4019">
        <v>8695</v>
      </c>
      <c r="L4019">
        <v>531</v>
      </c>
    </row>
    <row r="4020" spans="1:12" x14ac:dyDescent="0.2">
      <c r="A4020"/>
      <c r="B4020"/>
      <c r="C4020"/>
      <c r="D4020"/>
      <c r="E4020" s="2">
        <f>Comuni__2[[#This Row],[Popolazione2011]]/$D$7911</f>
        <v>3.3320388306381373E-6</v>
      </c>
      <c r="F4020">
        <f>SUMIFS($D$2:$D$7909, $B$2:$B$7909, "Lombardia")</f>
        <v>9704151</v>
      </c>
      <c r="G4020" s="1">
        <f>Comuni__2[[#This Row],[Popolazione2011]]/Comuni__2[[#This Row],[POPOLAZIONE TOTALE DI OGNI REGIONE (CON FILTRO)]]</f>
        <v>2.0403639638336212E-5</v>
      </c>
      <c r="H4020" t="str">
        <f>IF(Comuni__2[[#This Row],[Popolazione2011]]&gt;300000,"MAGGIORE","")</f>
        <v/>
      </c>
      <c r="J4020">
        <v>0</v>
      </c>
      <c r="K4020">
        <v>0</v>
      </c>
      <c r="L4020">
        <v>0</v>
      </c>
    </row>
    <row r="4021" spans="1:12" x14ac:dyDescent="0.2">
      <c r="A4021"/>
      <c r="B4021"/>
      <c r="C4021"/>
      <c r="D4021"/>
      <c r="E4021" s="2">
        <f>Comuni__2[[#This Row],[Popolazione2011]]/$D$7911</f>
        <v>3.2478964359250533E-6</v>
      </c>
      <c r="F4021">
        <f>SUMIFS($D$2:$D$7909, $B$2:$B$7909, "Lombardia")</f>
        <v>9704151</v>
      </c>
      <c r="G4021" s="1">
        <f>Comuni__2[[#This Row],[Popolazione2011]]/Comuni__2[[#This Row],[POPOLAZIONE TOTALE DI OGNI REGIONE (CON FILTRO)]]</f>
        <v>1.9888396213125704E-5</v>
      </c>
      <c r="H4021" t="str">
        <f>IF(Comuni__2[[#This Row],[Popolazione2011]]&gt;300000,"MAGGIORE","")</f>
        <v/>
      </c>
      <c r="J4021">
        <v>1</v>
      </c>
      <c r="K4021">
        <v>0</v>
      </c>
      <c r="L4021">
        <v>0</v>
      </c>
    </row>
    <row r="4022" spans="1:12" x14ac:dyDescent="0.2">
      <c r="A4022"/>
      <c r="B4022"/>
      <c r="C4022"/>
      <c r="D4022"/>
      <c r="E4022" s="2">
        <f>Comuni__2[[#This Row],[Popolazione2011]]/$D$7911</f>
        <v>3.2310679569824363E-6</v>
      </c>
      <c r="F4022">
        <f>SUMIFS($D$2:$D$7909, $B$2:$B$7909, "Lombardia")</f>
        <v>9704151</v>
      </c>
      <c r="G4022" s="1">
        <f>Comuni__2[[#This Row],[Popolazione2011]]/Comuni__2[[#This Row],[POPOLAZIONE TOTALE DI OGNI REGIONE (CON FILTRO)]]</f>
        <v>1.9785347528083599E-5</v>
      </c>
      <c r="H4022" t="str">
        <f>IF(Comuni__2[[#This Row],[Popolazione2011]]&gt;300000,"MAGGIORE","")</f>
        <v/>
      </c>
      <c r="J4022">
        <v>1</v>
      </c>
      <c r="K4022">
        <v>0</v>
      </c>
      <c r="L4022">
        <v>0</v>
      </c>
    </row>
    <row r="4023" spans="1:12" x14ac:dyDescent="0.2">
      <c r="A4023"/>
      <c r="B4023"/>
      <c r="C4023"/>
      <c r="D4023"/>
      <c r="E4023" s="2">
        <f>Comuni__2[[#This Row],[Popolazione2011]]/$D$7911</f>
        <v>3.1974109990972024E-6</v>
      </c>
      <c r="F4023">
        <f>SUMIFS($D$2:$D$7909, $B$2:$B$7909, "Lombardia")</f>
        <v>9704151</v>
      </c>
      <c r="G4023" s="1">
        <f>Comuni__2[[#This Row],[Popolazione2011]]/Comuni__2[[#This Row],[POPOLAZIONE TOTALE DI OGNI REGIONE (CON FILTRO)]]</f>
        <v>1.9579250157999397E-5</v>
      </c>
      <c r="H4023" t="str">
        <f>IF(Comuni__2[[#This Row],[Popolazione2011]]&gt;300000,"MAGGIORE","")</f>
        <v/>
      </c>
      <c r="J4023">
        <v>1</v>
      </c>
      <c r="K4023">
        <v>2</v>
      </c>
      <c r="L4023">
        <v>0</v>
      </c>
    </row>
    <row r="4024" spans="1:12" x14ac:dyDescent="0.2">
      <c r="A4024"/>
      <c r="B4024"/>
      <c r="C4024"/>
      <c r="D4024"/>
      <c r="E4024" s="2">
        <f>Comuni__2[[#This Row],[Popolazione2011]]/$D$7911</f>
        <v>3.1974109990972024E-6</v>
      </c>
      <c r="F4024">
        <f>SUMIFS($D$2:$D$7909, $B$2:$B$7909, "Lombardia")</f>
        <v>9704151</v>
      </c>
      <c r="G4024" s="1">
        <f>Comuni__2[[#This Row],[Popolazione2011]]/Comuni__2[[#This Row],[POPOLAZIONE TOTALE DI OGNI REGIONE (CON FILTRO)]]</f>
        <v>1.9579250157999397E-5</v>
      </c>
      <c r="H4024" t="str">
        <f>IF(Comuni__2[[#This Row],[Popolazione2011]]&gt;300000,"MAGGIORE","")</f>
        <v/>
      </c>
      <c r="J4024">
        <v>1</v>
      </c>
      <c r="K4024">
        <v>2</v>
      </c>
      <c r="L4024">
        <v>0</v>
      </c>
    </row>
    <row r="4025" spans="1:12" x14ac:dyDescent="0.2">
      <c r="A4025"/>
      <c r="B4025"/>
      <c r="C4025"/>
      <c r="D4025"/>
      <c r="E4025" s="2">
        <f>Comuni__2[[#This Row],[Popolazione2011]]/$D$7911</f>
        <v>3.1974109990972024E-6</v>
      </c>
      <c r="F4025">
        <f>SUMIFS($D$2:$D$7909, $B$2:$B$7909, "Lombardia")</f>
        <v>9704151</v>
      </c>
      <c r="G4025" s="1">
        <f>Comuni__2[[#This Row],[Popolazione2011]]/Comuni__2[[#This Row],[POPOLAZIONE TOTALE DI OGNI REGIONE (CON FILTRO)]]</f>
        <v>1.9579250157999397E-5</v>
      </c>
      <c r="H4025" t="str">
        <f>IF(Comuni__2[[#This Row],[Popolazione2011]]&gt;300000,"MAGGIORE","")</f>
        <v/>
      </c>
      <c r="J4025">
        <v>1</v>
      </c>
      <c r="K4025">
        <v>2</v>
      </c>
      <c r="L4025">
        <v>0</v>
      </c>
    </row>
    <row r="4026" spans="1:12" x14ac:dyDescent="0.2">
      <c r="A4026"/>
      <c r="B4026"/>
      <c r="C4026"/>
      <c r="D4026"/>
      <c r="E4026" s="2">
        <f>Comuni__2[[#This Row],[Popolazione2011]]/$D$7911</f>
        <v>3.1805825201545858E-6</v>
      </c>
      <c r="F4026">
        <f>SUMIFS($D$2:$D$7909, $B$2:$B$7909, "Lombardia")</f>
        <v>9704151</v>
      </c>
      <c r="G4026" s="1">
        <f>Comuni__2[[#This Row],[Popolazione2011]]/Comuni__2[[#This Row],[POPOLAZIONE TOTALE DI OGNI REGIONE (CON FILTRO)]]</f>
        <v>1.9476201472957293E-5</v>
      </c>
      <c r="H4026" t="str">
        <f>IF(Comuni__2[[#This Row],[Popolazione2011]]&gt;300000,"MAGGIORE","")</f>
        <v/>
      </c>
      <c r="J4026">
        <v>1</v>
      </c>
      <c r="K4026">
        <v>2</v>
      </c>
      <c r="L4026">
        <v>0</v>
      </c>
    </row>
    <row r="4027" spans="1:12" x14ac:dyDescent="0.2">
      <c r="A4027"/>
      <c r="B4027"/>
      <c r="C4027"/>
      <c r="D4027"/>
      <c r="E4027" s="2">
        <f>Comuni__2[[#This Row],[Popolazione2011]]/$D$7911</f>
        <v>3.1132686043841184E-6</v>
      </c>
      <c r="F4027">
        <f>SUMIFS($D$2:$D$7909, $B$2:$B$7909, "Lombardia")</f>
        <v>9704151</v>
      </c>
      <c r="G4027" s="1">
        <f>Comuni__2[[#This Row],[Popolazione2011]]/Comuni__2[[#This Row],[POPOLAZIONE TOTALE DI OGNI REGIONE (CON FILTRO)]]</f>
        <v>1.9064006732788886E-5</v>
      </c>
      <c r="H4027" t="str">
        <f>IF(Comuni__2[[#This Row],[Popolazione2011]]&gt;300000,"MAGGIORE","")</f>
        <v/>
      </c>
      <c r="J4027">
        <v>2</v>
      </c>
      <c r="K4027">
        <v>2</v>
      </c>
      <c r="L4027">
        <v>0</v>
      </c>
    </row>
    <row r="4028" spans="1:12" x14ac:dyDescent="0.2">
      <c r="A4028"/>
      <c r="B4028"/>
      <c r="C4028"/>
      <c r="D4028"/>
      <c r="E4028" s="2">
        <f>Comuni__2[[#This Row],[Popolazione2011]]/$D$7911</f>
        <v>3.0627831675562679E-6</v>
      </c>
      <c r="F4028">
        <f>SUMIFS($D$2:$D$7909, $B$2:$B$7909, "Lombardia")</f>
        <v>9704151</v>
      </c>
      <c r="G4028" s="1">
        <f>Comuni__2[[#This Row],[Popolazione2011]]/Comuni__2[[#This Row],[POPOLAZIONE TOTALE DI OGNI REGIONE (CON FILTRO)]]</f>
        <v>1.875486067766258E-5</v>
      </c>
      <c r="H4028" t="str">
        <f>IF(Comuni__2[[#This Row],[Popolazione2011]]&gt;300000,"MAGGIORE","")</f>
        <v/>
      </c>
      <c r="J4028">
        <v>2</v>
      </c>
      <c r="K4028">
        <v>2</v>
      </c>
      <c r="L4028">
        <v>0</v>
      </c>
    </row>
    <row r="4029" spans="1:12" x14ac:dyDescent="0.2">
      <c r="A4029"/>
      <c r="B4029"/>
      <c r="C4029"/>
      <c r="D4029"/>
      <c r="E4029" s="2">
        <f>Comuni__2[[#This Row],[Popolazione2011]]/$D$7911</f>
        <v>3.0122977307284174E-6</v>
      </c>
      <c r="F4029">
        <f>SUMIFS($D$2:$D$7909, $B$2:$B$7909, "Lombardia")</f>
        <v>9704151</v>
      </c>
      <c r="G4029" s="1">
        <f>Comuni__2[[#This Row],[Popolazione2011]]/Comuni__2[[#This Row],[POPOLAZIONE TOTALE DI OGNI REGIONE (CON FILTRO)]]</f>
        <v>1.8445714622536274E-5</v>
      </c>
      <c r="H4029" t="str">
        <f>IF(Comuni__2[[#This Row],[Popolazione2011]]&gt;300000,"MAGGIORE","")</f>
        <v/>
      </c>
      <c r="J4029">
        <v>5</v>
      </c>
      <c r="K4029">
        <v>2</v>
      </c>
      <c r="L4029">
        <v>0</v>
      </c>
    </row>
    <row r="4030" spans="1:12" x14ac:dyDescent="0.2">
      <c r="A4030"/>
      <c r="B4030"/>
      <c r="C4030"/>
      <c r="D4030"/>
      <c r="E4030" s="2">
        <f>Comuni__2[[#This Row],[Popolazione2011]]/$D$7911</f>
        <v>2.9281553360153329E-6</v>
      </c>
      <c r="F4030">
        <f>SUMIFS($D$2:$D$7909, $B$2:$B$7909, "Lombardia")</f>
        <v>9704151</v>
      </c>
      <c r="G4030" s="1">
        <f>Comuni__2[[#This Row],[Popolazione2011]]/Comuni__2[[#This Row],[POPOLAZIONE TOTALE DI OGNI REGIONE (CON FILTRO)]]</f>
        <v>1.7930471197325762E-5</v>
      </c>
      <c r="H4030" t="str">
        <f>IF(Comuni__2[[#This Row],[Popolazione2011]]&gt;300000,"MAGGIORE","")</f>
        <v/>
      </c>
      <c r="J4030">
        <v>5</v>
      </c>
      <c r="K4030">
        <v>2</v>
      </c>
      <c r="L4030">
        <v>0</v>
      </c>
    </row>
    <row r="4031" spans="1:12" x14ac:dyDescent="0.2">
      <c r="A4031"/>
      <c r="B4031"/>
      <c r="C4031"/>
      <c r="D4031"/>
      <c r="E4031" s="2">
        <f>Comuni__2[[#This Row],[Popolazione2011]]/$D$7911</f>
        <v>2.911326857072716E-6</v>
      </c>
      <c r="F4031">
        <f>SUMIFS($D$2:$D$7909, $B$2:$B$7909, "Lombardia")</f>
        <v>9704151</v>
      </c>
      <c r="G4031" s="1">
        <f>Comuni__2[[#This Row],[Popolazione2011]]/Comuni__2[[#This Row],[POPOLAZIONE TOTALE DI OGNI REGIONE (CON FILTRO)]]</f>
        <v>1.7827422512283661E-5</v>
      </c>
      <c r="H4031" t="str">
        <f>IF(Comuni__2[[#This Row],[Popolazione2011]]&gt;300000,"MAGGIORE","")</f>
        <v/>
      </c>
      <c r="J4031">
        <v>7</v>
      </c>
      <c r="K4031">
        <v>2</v>
      </c>
      <c r="L4031">
        <v>0</v>
      </c>
    </row>
    <row r="4032" spans="1:12" x14ac:dyDescent="0.2">
      <c r="A4032"/>
      <c r="B4032"/>
      <c r="C4032"/>
      <c r="D4032"/>
      <c r="E4032" s="2">
        <f>Comuni__2[[#This Row],[Popolazione2011]]/$D$7911</f>
        <v>2.894498378130099E-6</v>
      </c>
      <c r="F4032">
        <f>SUMIFS($D$2:$D$7909, $B$2:$B$7909, "Lombardia")</f>
        <v>9704151</v>
      </c>
      <c r="G4032" s="1">
        <f>Comuni__2[[#This Row],[Popolazione2011]]/Comuni__2[[#This Row],[POPOLAZIONE TOTALE DI OGNI REGIONE (CON FILTRO)]]</f>
        <v>1.772437382724156E-5</v>
      </c>
      <c r="H4032" t="str">
        <f>IF(Comuni__2[[#This Row],[Popolazione2011]]&gt;300000,"MAGGIORE","")</f>
        <v/>
      </c>
      <c r="J4032">
        <v>8</v>
      </c>
      <c r="K4032">
        <v>2</v>
      </c>
      <c r="L4032">
        <v>0</v>
      </c>
    </row>
    <row r="4033" spans="1:12" x14ac:dyDescent="0.2">
      <c r="A4033"/>
      <c r="B4033"/>
      <c r="C4033"/>
      <c r="D4033"/>
      <c r="E4033" s="2">
        <f>Comuni__2[[#This Row],[Popolazione2011]]/$D$7911</f>
        <v>2.67572815187608E-6</v>
      </c>
      <c r="F4033">
        <f>SUMIFS($D$2:$D$7909, $B$2:$B$7909, "Lombardia")</f>
        <v>9704151</v>
      </c>
      <c r="G4033" s="1">
        <f>Comuni__2[[#This Row],[Popolazione2011]]/Comuni__2[[#This Row],[POPOLAZIONE TOTALE DI OGNI REGIONE (CON FILTRO)]]</f>
        <v>1.6384740921694231E-5</v>
      </c>
      <c r="H4033" t="str">
        <f>IF(Comuni__2[[#This Row],[Popolazione2011]]&gt;300000,"MAGGIORE","")</f>
        <v/>
      </c>
      <c r="J4033">
        <v>18</v>
      </c>
      <c r="K4033">
        <v>2</v>
      </c>
      <c r="L4033">
        <v>0</v>
      </c>
    </row>
    <row r="4034" spans="1:12" x14ac:dyDescent="0.2">
      <c r="A4034"/>
      <c r="B4034"/>
      <c r="C4034"/>
      <c r="D4034"/>
      <c r="E4034" s="2">
        <f>Comuni__2[[#This Row],[Popolazione2011]]/$D$7911</f>
        <v>2.4737864045646776E-6</v>
      </c>
      <c r="F4034">
        <f>SUMIFS($D$2:$D$7909, $B$2:$B$7909, "Lombardia")</f>
        <v>9704151</v>
      </c>
      <c r="G4034" s="1">
        <f>Comuni__2[[#This Row],[Popolazione2011]]/Comuni__2[[#This Row],[POPOLAZIONE TOTALE DI OGNI REGIONE (CON FILTRO)]]</f>
        <v>1.5148156701189007E-5</v>
      </c>
      <c r="H4034" t="str">
        <f>IF(Comuni__2[[#This Row],[Popolazione2011]]&gt;300000,"MAGGIORE","")</f>
        <v/>
      </c>
      <c r="J4034">
        <v>19</v>
      </c>
      <c r="K4034">
        <v>2</v>
      </c>
      <c r="L4034">
        <v>0</v>
      </c>
    </row>
    <row r="4035" spans="1:12" x14ac:dyDescent="0.2">
      <c r="A4035"/>
      <c r="B4035"/>
      <c r="C4035"/>
      <c r="D4035"/>
      <c r="E4035" s="2">
        <f>Comuni__2[[#This Row],[Popolazione2011]]/$D$7911</f>
        <v>2.4737864045646776E-6</v>
      </c>
      <c r="F4035">
        <f>SUMIFS($D$2:$D$7909, $B$2:$B$7909, "Lombardia")</f>
        <v>9704151</v>
      </c>
      <c r="G4035" s="1">
        <f>Comuni__2[[#This Row],[Popolazione2011]]/Comuni__2[[#This Row],[POPOLAZIONE TOTALE DI OGNI REGIONE (CON FILTRO)]]</f>
        <v>1.5148156701189007E-5</v>
      </c>
      <c r="H4035" t="str">
        <f>IF(Comuni__2[[#This Row],[Popolazione2011]]&gt;300000,"MAGGIORE","")</f>
        <v/>
      </c>
      <c r="J4035">
        <v>19</v>
      </c>
      <c r="K4035">
        <v>2</v>
      </c>
      <c r="L4035">
        <v>0</v>
      </c>
    </row>
    <row r="4036" spans="1:12" x14ac:dyDescent="0.2">
      <c r="A4036"/>
      <c r="B4036"/>
      <c r="C4036"/>
      <c r="D4036"/>
      <c r="E4036" s="2">
        <f>Comuni__2[[#This Row],[Popolazione2011]]/$D$7911</f>
        <v>2.4401294466794441E-6</v>
      </c>
      <c r="F4036">
        <f>SUMIFS($D$2:$D$7909, $B$2:$B$7909, "Lombardia")</f>
        <v>9704151</v>
      </c>
      <c r="G4036" s="1">
        <f>Comuni__2[[#This Row],[Popolazione2011]]/Comuni__2[[#This Row],[POPOLAZIONE TOTALE DI OGNI REGIONE (CON FILTRO)]]</f>
        <v>1.4942059331104803E-5</v>
      </c>
      <c r="H4036" t="str">
        <f>IF(Comuni__2[[#This Row],[Popolazione2011]]&gt;300000,"MAGGIORE","")</f>
        <v/>
      </c>
      <c r="J4036">
        <v>24</v>
      </c>
      <c r="K4036">
        <v>2</v>
      </c>
      <c r="L4036">
        <v>0</v>
      </c>
    </row>
    <row r="4037" spans="1:12" x14ac:dyDescent="0.2">
      <c r="A4037"/>
      <c r="B4037"/>
      <c r="C4037"/>
      <c r="D4037"/>
      <c r="E4037" s="2">
        <f>Comuni__2[[#This Row],[Popolazione2011]]/$D$7911</f>
        <v>2.3728155309089767E-6</v>
      </c>
      <c r="F4037">
        <f>SUMIFS($D$2:$D$7909, $B$2:$B$7909, "Lombardia")</f>
        <v>9704151</v>
      </c>
      <c r="G4037" s="1">
        <f>Comuni__2[[#This Row],[Popolazione2011]]/Comuni__2[[#This Row],[POPOLAZIONE TOTALE DI OGNI REGIONE (CON FILTRO)]]</f>
        <v>1.4529864590936394E-5</v>
      </c>
      <c r="H4037" t="str">
        <f>IF(Comuni__2[[#This Row],[Popolazione2011]]&gt;300000,"MAGGIORE","")</f>
        <v/>
      </c>
      <c r="J4037">
        <v>33</v>
      </c>
      <c r="K4037">
        <v>2</v>
      </c>
      <c r="L4037">
        <v>2</v>
      </c>
    </row>
    <row r="4038" spans="1:12" x14ac:dyDescent="0.2">
      <c r="A4038"/>
      <c r="B4038"/>
      <c r="C4038"/>
      <c r="D4038"/>
      <c r="E4038" s="2">
        <f>Comuni__2[[#This Row],[Popolazione2011]]/$D$7911</f>
        <v>2.2886731361958922E-6</v>
      </c>
      <c r="F4038">
        <f>SUMIFS($D$2:$D$7909, $B$2:$B$7909, "Lombardia")</f>
        <v>9704151</v>
      </c>
      <c r="G4038" s="1">
        <f>Comuni__2[[#This Row],[Popolazione2011]]/Comuni__2[[#This Row],[POPOLAZIONE TOTALE DI OGNI REGIONE (CON FILTRO)]]</f>
        <v>1.4014621165725884E-5</v>
      </c>
      <c r="H4038" t="str">
        <f>IF(Comuni__2[[#This Row],[Popolazione2011]]&gt;300000,"MAGGIORE","")</f>
        <v/>
      </c>
      <c r="J4038">
        <v>44</v>
      </c>
      <c r="K4038">
        <v>2</v>
      </c>
      <c r="L4038">
        <v>2</v>
      </c>
    </row>
    <row r="4039" spans="1:12" x14ac:dyDescent="0.2">
      <c r="A4039"/>
      <c r="B4039"/>
      <c r="C4039"/>
      <c r="D4039"/>
      <c r="E4039" s="2">
        <f>Comuni__2[[#This Row],[Popolazione2011]]/$D$7911</f>
        <v>2.2886731361958922E-6</v>
      </c>
      <c r="F4039">
        <f>SUMIFS($D$2:$D$7909, $B$2:$B$7909, "Lombardia")</f>
        <v>9704151</v>
      </c>
      <c r="G4039" s="1">
        <f>Comuni__2[[#This Row],[Popolazione2011]]/Comuni__2[[#This Row],[POPOLAZIONE TOTALE DI OGNI REGIONE (CON FILTRO)]]</f>
        <v>1.4014621165725884E-5</v>
      </c>
      <c r="H4039" t="str">
        <f>IF(Comuni__2[[#This Row],[Popolazione2011]]&gt;300000,"MAGGIORE","")</f>
        <v/>
      </c>
      <c r="J4039">
        <v>53</v>
      </c>
      <c r="K4039">
        <v>4</v>
      </c>
      <c r="L4039">
        <v>2</v>
      </c>
    </row>
    <row r="4040" spans="1:12" x14ac:dyDescent="0.2">
      <c r="A4040"/>
      <c r="B4040"/>
      <c r="C4040"/>
      <c r="D4040"/>
      <c r="E4040" s="2">
        <f>Comuni__2[[#This Row],[Popolazione2011]]/$D$7911</f>
        <v>2.2381876993680417E-6</v>
      </c>
      <c r="F4040">
        <f>SUMIFS($D$2:$D$7909, $B$2:$B$7909, "Lombardia")</f>
        <v>9704151</v>
      </c>
      <c r="G4040" s="1">
        <f>Comuni__2[[#This Row],[Popolazione2011]]/Comuni__2[[#This Row],[POPOLAZIONE TOTALE DI OGNI REGIONE (CON FILTRO)]]</f>
        <v>1.3705475110599578E-5</v>
      </c>
      <c r="H4040" t="str">
        <f>IF(Comuni__2[[#This Row],[Popolazione2011]]&gt;300000,"MAGGIORE","")</f>
        <v/>
      </c>
      <c r="J4040">
        <v>71</v>
      </c>
      <c r="K4040">
        <v>7</v>
      </c>
      <c r="L4040">
        <v>2</v>
      </c>
    </row>
    <row r="4041" spans="1:12" x14ac:dyDescent="0.2">
      <c r="A4041"/>
      <c r="B4041"/>
      <c r="C4041"/>
      <c r="D4041"/>
      <c r="E4041" s="2">
        <f>Comuni__2[[#This Row],[Popolazione2011]]/$D$7911</f>
        <v>2.1877022625401912E-6</v>
      </c>
      <c r="F4041">
        <f>SUMIFS($D$2:$D$7909, $B$2:$B$7909, "Lombardia")</f>
        <v>9704151</v>
      </c>
      <c r="G4041" s="1">
        <f>Comuni__2[[#This Row],[Popolazione2011]]/Comuni__2[[#This Row],[POPOLAZIONE TOTALE DI OGNI REGIONE (CON FILTRO)]]</f>
        <v>1.339632905547327E-5</v>
      </c>
      <c r="H4041" t="str">
        <f>IF(Comuni__2[[#This Row],[Popolazione2011]]&gt;300000,"MAGGIORE","")</f>
        <v/>
      </c>
      <c r="J4041">
        <v>95</v>
      </c>
      <c r="K4041">
        <v>8</v>
      </c>
      <c r="L4041">
        <v>2</v>
      </c>
    </row>
    <row r="4042" spans="1:12" x14ac:dyDescent="0.2">
      <c r="A4042"/>
      <c r="B4042"/>
      <c r="C4042"/>
      <c r="D4042"/>
      <c r="E4042" s="2">
        <f>Comuni__2[[#This Row],[Popolazione2011]]/$D$7911</f>
        <v>2.1540453046549577E-6</v>
      </c>
      <c r="F4042">
        <f>SUMIFS($D$2:$D$7909, $B$2:$B$7909, "Lombardia")</f>
        <v>9704151</v>
      </c>
      <c r="G4042" s="1">
        <f>Comuni__2[[#This Row],[Popolazione2011]]/Comuni__2[[#This Row],[POPOLAZIONE TOTALE DI OGNI REGIONE (CON FILTRO)]]</f>
        <v>1.3190231685389067E-5</v>
      </c>
      <c r="H4042" t="str">
        <f>IF(Comuni__2[[#This Row],[Popolazione2011]]&gt;300000,"MAGGIORE","")</f>
        <v/>
      </c>
      <c r="J4042">
        <v>114</v>
      </c>
      <c r="K4042">
        <v>8</v>
      </c>
      <c r="L4042">
        <v>3</v>
      </c>
    </row>
    <row r="4043" spans="1:12" x14ac:dyDescent="0.2">
      <c r="A4043"/>
      <c r="B4043"/>
      <c r="C4043"/>
      <c r="D4043"/>
      <c r="E4043" s="2">
        <f>Comuni__2[[#This Row],[Popolazione2011]]/$D$7911</f>
        <v>2.0530744309992563E-6</v>
      </c>
      <c r="F4043">
        <f>SUMIFS($D$2:$D$7909, $B$2:$B$7909, "Lombardia")</f>
        <v>9704151</v>
      </c>
      <c r="G4043" s="1">
        <f>Comuni__2[[#This Row],[Popolazione2011]]/Comuni__2[[#This Row],[POPOLAZIONE TOTALE DI OGNI REGIONE (CON FILTRO)]]</f>
        <v>1.2571939575136454E-5</v>
      </c>
      <c r="H4043" t="str">
        <f>IF(Comuni__2[[#This Row],[Popolazione2011]]&gt;300000,"MAGGIORE","")</f>
        <v/>
      </c>
      <c r="J4043">
        <v>129</v>
      </c>
      <c r="K4043">
        <v>12</v>
      </c>
      <c r="L4043">
        <v>3</v>
      </c>
    </row>
    <row r="4044" spans="1:12" x14ac:dyDescent="0.2">
      <c r="A4044"/>
      <c r="B4044"/>
      <c r="C4044"/>
      <c r="D4044"/>
      <c r="E4044" s="2">
        <f>Comuni__2[[#This Row],[Popolazione2011]]/$D$7911</f>
        <v>1.6996763732043024E-6</v>
      </c>
      <c r="F4044">
        <f>SUMIFS($D$2:$D$7909, $B$2:$B$7909, "Lombardia")</f>
        <v>9704151</v>
      </c>
      <c r="G4044" s="1">
        <f>Comuni__2[[#This Row],[Popolazione2011]]/Comuni__2[[#This Row],[POPOLAZIONE TOTALE DI OGNI REGIONE (CON FILTRO)]]</f>
        <v>1.0407917189252311E-5</v>
      </c>
      <c r="H4044" t="str">
        <f>IF(Comuni__2[[#This Row],[Popolazione2011]]&gt;300000,"MAGGIORE","")</f>
        <v/>
      </c>
      <c r="J4044">
        <v>179</v>
      </c>
      <c r="K4044">
        <v>15</v>
      </c>
      <c r="L4044">
        <v>4</v>
      </c>
    </row>
    <row r="4045" spans="1:12" x14ac:dyDescent="0.2">
      <c r="A4045"/>
      <c r="B4045"/>
      <c r="C4045"/>
      <c r="D4045"/>
      <c r="E4045" s="2">
        <f>Comuni__2[[#This Row],[Popolazione2011]]/$D$7911</f>
        <v>1.6996763732043024E-6</v>
      </c>
      <c r="F4045">
        <f>SUMIFS($D$2:$D$7909, $B$2:$B$7909, "Lombardia")</f>
        <v>9704151</v>
      </c>
      <c r="G4045" s="1">
        <f>Comuni__2[[#This Row],[Popolazione2011]]/Comuni__2[[#This Row],[POPOLAZIONE TOTALE DI OGNI REGIONE (CON FILTRO)]]</f>
        <v>1.0407917189252311E-5</v>
      </c>
      <c r="H4045" t="str">
        <f>IF(Comuni__2[[#This Row],[Popolazione2011]]&gt;300000,"MAGGIORE","")</f>
        <v/>
      </c>
      <c r="J4045">
        <v>210</v>
      </c>
      <c r="K4045">
        <v>25</v>
      </c>
      <c r="L4045">
        <v>4</v>
      </c>
    </row>
    <row r="4046" spans="1:12" x14ac:dyDescent="0.2">
      <c r="A4046"/>
      <c r="B4046"/>
      <c r="C4046"/>
      <c r="D4046"/>
      <c r="E4046" s="2">
        <f>Comuni__2[[#This Row],[Popolazione2011]]/$D$7911</f>
        <v>1.5987054995486012E-6</v>
      </c>
      <c r="F4046">
        <f>SUMIFS($D$2:$D$7909, $B$2:$B$7909, "Lombardia")</f>
        <v>9704151</v>
      </c>
      <c r="G4046" s="1">
        <f>Comuni__2[[#This Row],[Popolazione2011]]/Comuni__2[[#This Row],[POPOLAZIONE TOTALE DI OGNI REGIONE (CON FILTRO)]]</f>
        <v>9.7896250789996987E-6</v>
      </c>
      <c r="H4046" t="str">
        <f>IF(Comuni__2[[#This Row],[Popolazione2011]]&gt;300000,"MAGGIORE","")</f>
        <v/>
      </c>
      <c r="J4046">
        <v>254</v>
      </c>
      <c r="K4046">
        <v>26</v>
      </c>
      <c r="L4046">
        <v>6</v>
      </c>
    </row>
    <row r="4047" spans="1:12" x14ac:dyDescent="0.2">
      <c r="A4047"/>
      <c r="B4047"/>
      <c r="C4047"/>
      <c r="D4047"/>
      <c r="E4047" s="2">
        <f>Comuni__2[[#This Row],[Popolazione2011]]/$D$7911</f>
        <v>1.413592231179816E-6</v>
      </c>
      <c r="F4047">
        <f>SUMIFS($D$2:$D$7909, $B$2:$B$7909, "Lombardia")</f>
        <v>9704151</v>
      </c>
      <c r="G4047" s="1">
        <f>Comuni__2[[#This Row],[Popolazione2011]]/Comuni__2[[#This Row],[POPOLAZIONE TOTALE DI OGNI REGIONE (CON FILTRO)]]</f>
        <v>8.6560895435365749E-6</v>
      </c>
      <c r="H4047" t="str">
        <f>IF(Comuni__2[[#This Row],[Popolazione2011]]&gt;300000,"MAGGIORE","")</f>
        <v/>
      </c>
      <c r="J4047">
        <v>275</v>
      </c>
      <c r="K4047">
        <v>26</v>
      </c>
      <c r="L4047">
        <v>8</v>
      </c>
    </row>
    <row r="4048" spans="1:12" x14ac:dyDescent="0.2">
      <c r="A4048"/>
      <c r="B4048"/>
      <c r="C4048"/>
      <c r="D4048"/>
      <c r="E4048" s="2">
        <f>Comuni__2[[#This Row],[Popolazione2011]]/$D$7911</f>
        <v>1.3294498364667315E-6</v>
      </c>
      <c r="F4048">
        <f>SUMIFS($D$2:$D$7909, $B$2:$B$7909, "Lombardia")</f>
        <v>9704151</v>
      </c>
      <c r="G4048" s="1">
        <f>Comuni__2[[#This Row],[Popolazione2011]]/Comuni__2[[#This Row],[POPOLAZIONE TOTALE DI OGNI REGIONE (CON FILTRO)]]</f>
        <v>8.1408461183260652E-6</v>
      </c>
      <c r="H4048" t="str">
        <f>IF(Comuni__2[[#This Row],[Popolazione2011]]&gt;300000,"MAGGIORE","")</f>
        <v/>
      </c>
      <c r="J4048">
        <v>310</v>
      </c>
      <c r="K4048">
        <v>27</v>
      </c>
      <c r="L4048">
        <v>13</v>
      </c>
    </row>
    <row r="4049" spans="1:12" x14ac:dyDescent="0.2">
      <c r="A4049"/>
      <c r="B4049"/>
      <c r="C4049"/>
      <c r="D4049"/>
      <c r="E4049" s="2">
        <f>Comuni__2[[#This Row],[Popolazione2011]]/$D$7911</f>
        <v>1.278964399638881E-6</v>
      </c>
      <c r="F4049">
        <f>SUMIFS($D$2:$D$7909, $B$2:$B$7909, "Lombardia")</f>
        <v>9704151</v>
      </c>
      <c r="G4049" s="1">
        <f>Comuni__2[[#This Row],[Popolazione2011]]/Comuni__2[[#This Row],[POPOLAZIONE TOTALE DI OGNI REGIONE (CON FILTRO)]]</f>
        <v>7.831700063199759E-6</v>
      </c>
      <c r="H4049" t="str">
        <f>IF(Comuni__2[[#This Row],[Popolazione2011]]&gt;300000,"MAGGIORE","")</f>
        <v/>
      </c>
      <c r="J4049">
        <v>310</v>
      </c>
      <c r="K4049">
        <v>27</v>
      </c>
      <c r="L4049">
        <v>20</v>
      </c>
    </row>
    <row r="4050" spans="1:12" x14ac:dyDescent="0.2">
      <c r="A4050"/>
      <c r="B4050"/>
      <c r="C4050"/>
      <c r="D4050"/>
      <c r="E4050" s="2">
        <f>Comuni__2[[#This Row],[Popolazione2011]]/$D$7911</f>
        <v>1.2621359206962643E-6</v>
      </c>
      <c r="F4050">
        <f>SUMIFS($D$2:$D$7909, $B$2:$B$7909, "Lombardia")</f>
        <v>9704151</v>
      </c>
      <c r="G4050" s="1">
        <f>Comuni__2[[#This Row],[Popolazione2011]]/Comuni__2[[#This Row],[POPOLAZIONE TOTALE DI OGNI REGIONE (CON FILTRO)]]</f>
        <v>7.7286513781576564E-6</v>
      </c>
      <c r="H4050" t="str">
        <f>IF(Comuni__2[[#This Row],[Popolazione2011]]&gt;300000,"MAGGIORE","")</f>
        <v/>
      </c>
      <c r="J4050">
        <v>339</v>
      </c>
      <c r="K4050">
        <v>33</v>
      </c>
      <c r="L4050">
        <v>25</v>
      </c>
    </row>
    <row r="4051" spans="1:12" x14ac:dyDescent="0.2">
      <c r="A4051"/>
      <c r="B4051"/>
      <c r="C4051"/>
      <c r="D4051"/>
      <c r="E4051" s="2">
        <f>Comuni__2[[#This Row],[Popolazione2011]]/$D$7911</f>
        <v>1.0097087365570114E-6</v>
      </c>
      <c r="F4051">
        <f>SUMIFS($D$2:$D$7909, $B$2:$B$7909, "Lombardia")</f>
        <v>9704151</v>
      </c>
      <c r="G4051" s="1">
        <f>Comuni__2[[#This Row],[Popolazione2011]]/Comuni__2[[#This Row],[POPOLAZIONE TOTALE DI OGNI REGIONE (CON FILTRO)]]</f>
        <v>6.1829211025261254E-6</v>
      </c>
      <c r="H4051" t="str">
        <f>IF(Comuni__2[[#This Row],[Popolazione2011]]&gt;300000,"MAGGIORE","")</f>
        <v/>
      </c>
      <c r="J4051">
        <v>414</v>
      </c>
      <c r="K4051">
        <v>36</v>
      </c>
      <c r="L4051">
        <v>33</v>
      </c>
    </row>
    <row r="4052" spans="1:12" x14ac:dyDescent="0.2">
      <c r="A4052"/>
      <c r="B4052"/>
      <c r="C4052"/>
      <c r="D4052"/>
      <c r="E4052" s="2">
        <f>Comuni__2[[#This Row],[Popolazione2011]]/$D$7911</f>
        <v>5.7216828404897305E-7</v>
      </c>
      <c r="F4052">
        <f>SUMIFS($D$2:$D$7909, $B$2:$B$7909, "Lombardia")</f>
        <v>9704151</v>
      </c>
      <c r="G4052" s="1">
        <f>Comuni__2[[#This Row],[Popolazione2011]]/Comuni__2[[#This Row],[POPOLAZIONE TOTALE DI OGNI REGIONE (CON FILTRO)]]</f>
        <v>3.5036552914314711E-6</v>
      </c>
      <c r="H4052" t="str">
        <f>IF(Comuni__2[[#This Row],[Popolazione2011]]&gt;300000,"MAGGIORE","")</f>
        <v/>
      </c>
      <c r="J4052">
        <v>500</v>
      </c>
      <c r="K4052">
        <v>53</v>
      </c>
      <c r="L4052">
        <v>39</v>
      </c>
    </row>
    <row r="4053" spans="1:12" x14ac:dyDescent="0.2">
      <c r="A4053"/>
      <c r="B4053"/>
      <c r="C4053"/>
      <c r="D4053"/>
      <c r="E4053" s="2">
        <f>Comuni__2[[#This Row],[Popolazione2011]]/$D$7911</f>
        <v>5.0485436827850569E-7</v>
      </c>
      <c r="F4053">
        <f>SUMIFS($D$2:$D$7909, $B$2:$B$7909, "Lombardia")</f>
        <v>9704151</v>
      </c>
      <c r="G4053" s="1">
        <f>Comuni__2[[#This Row],[Popolazione2011]]/Comuni__2[[#This Row],[POPOLAZIONE TOTALE DI OGNI REGIONE (CON FILTRO)]]</f>
        <v>3.0914605512630627E-6</v>
      </c>
      <c r="H4053" t="str">
        <f>IF(Comuni__2[[#This Row],[Popolazione2011]]&gt;300000,"MAGGIORE","")</f>
        <v/>
      </c>
      <c r="J4053">
        <v>512</v>
      </c>
      <c r="K4053">
        <v>60</v>
      </c>
      <c r="L4053">
        <v>57</v>
      </c>
    </row>
    <row r="4054" spans="1:12" x14ac:dyDescent="0.2">
      <c r="A4054"/>
      <c r="B4054"/>
      <c r="C4054"/>
      <c r="D4054"/>
      <c r="E4054" s="2">
        <f>Comuni__2[[#This Row],[Popolazione2011]]/$D$7911</f>
        <v>1.6912116482961661E-3</v>
      </c>
      <c r="F4054">
        <f>SUMIFS($D$2:$D$7909, $B$2:$B$7909, "Marche")</f>
        <v>1540584</v>
      </c>
      <c r="G4054" s="1">
        <f>Comuni__2[[#This Row],[Popolazione2011]]/Comuni__2[[#This Row],[POPOLAZIONE TOTALE DI OGNI REGIONE (CON FILTRO)]]</f>
        <v>6.5233054478042091E-2</v>
      </c>
      <c r="H4054" t="str">
        <f>IF(Comuni__2[[#This Row],[Popolazione2011]]&gt;300000,"MAGGIORE","")</f>
        <v/>
      </c>
      <c r="J4054">
        <v>522</v>
      </c>
      <c r="K4054">
        <v>65</v>
      </c>
      <c r="L4054">
        <v>65</v>
      </c>
    </row>
    <row r="4055" spans="1:12" x14ac:dyDescent="0.2">
      <c r="A4055"/>
      <c r="B4055"/>
      <c r="C4055"/>
      <c r="D4055"/>
      <c r="E4055" s="2">
        <f>Comuni__2[[#This Row],[Popolazione2011]]/$D$7911</f>
        <v>1.5858653701153846E-3</v>
      </c>
      <c r="F4055">
        <f>SUMIFS($D$2:$D$7909, $B$2:$B$7909, "Marche")</f>
        <v>1540584</v>
      </c>
      <c r="G4055" s="1">
        <f>Comuni__2[[#This Row],[Popolazione2011]]/Comuni__2[[#This Row],[POPOLAZIONE TOTALE DI OGNI REGIONE (CON FILTRO)]]</f>
        <v>6.1169660336599624E-2</v>
      </c>
      <c r="H4055" t="str">
        <f>IF(Comuni__2[[#This Row],[Popolazione2011]]&gt;300000,"MAGGIORE","")</f>
        <v/>
      </c>
      <c r="J4055">
        <v>559</v>
      </c>
      <c r="K4055">
        <v>71</v>
      </c>
      <c r="L4055">
        <v>76</v>
      </c>
    </row>
    <row r="4056" spans="1:12" x14ac:dyDescent="0.2">
      <c r="A4056"/>
      <c r="B4056"/>
      <c r="C4056"/>
      <c r="D4056"/>
      <c r="E4056" s="2">
        <f>Comuni__2[[#This Row],[Popolazione2011]]/$D$7911</f>
        <v>1.0585281539695428E-3</v>
      </c>
      <c r="F4056">
        <f>SUMIFS($D$2:$D$7909, $B$2:$B$7909, "Marche")</f>
        <v>1540584</v>
      </c>
      <c r="G4056" s="1">
        <f>Comuni__2[[#This Row],[Popolazione2011]]/Comuni__2[[#This Row],[POPOLAZIONE TOTALE DI OGNI REGIONE (CON FILTRO)]]</f>
        <v>4.0829321867551525E-2</v>
      </c>
      <c r="H4056" t="str">
        <f>IF(Comuni__2[[#This Row],[Popolazione2011]]&gt;300000,"MAGGIORE","")</f>
        <v/>
      </c>
      <c r="J4056">
        <v>575</v>
      </c>
      <c r="K4056">
        <v>74</v>
      </c>
      <c r="L4056">
        <v>81</v>
      </c>
    </row>
    <row r="4057" spans="1:12" x14ac:dyDescent="0.2">
      <c r="A4057"/>
      <c r="B4057"/>
      <c r="C4057"/>
      <c r="D4057"/>
      <c r="E4057" s="2">
        <f>Comuni__2[[#This Row],[Popolazione2011]]/$D$7911</f>
        <v>8.4071715101525287E-4</v>
      </c>
      <c r="F4057">
        <f>SUMIFS($D$2:$D$7909, $B$2:$B$7909, "Marche")</f>
        <v>1540584</v>
      </c>
      <c r="G4057" s="1">
        <f>Comuni__2[[#This Row],[Popolazione2011]]/Comuni__2[[#This Row],[POPOLAZIONE TOTALE DI OGNI REGIONE (CON FILTRO)]]</f>
        <v>3.2427962383096282E-2</v>
      </c>
      <c r="H4057" t="str">
        <f>IF(Comuni__2[[#This Row],[Popolazione2011]]&gt;300000,"MAGGIORE","")</f>
        <v/>
      </c>
      <c r="J4057">
        <v>568</v>
      </c>
      <c r="K4057">
        <v>86</v>
      </c>
      <c r="L4057">
        <v>88</v>
      </c>
    </row>
    <row r="4058" spans="1:12" x14ac:dyDescent="0.2">
      <c r="A4058"/>
      <c r="B4058"/>
      <c r="C4058"/>
      <c r="D4058"/>
      <c r="E4058" s="2">
        <f>Comuni__2[[#This Row],[Popolazione2011]]/$D$7911</f>
        <v>7.9031585658211544E-4</v>
      </c>
      <c r="F4058">
        <f>SUMIFS($D$2:$D$7909, $B$2:$B$7909, "Marche")</f>
        <v>1540584</v>
      </c>
      <c r="G4058" s="1">
        <f>Comuni__2[[#This Row],[Popolazione2011]]/Comuni__2[[#This Row],[POPOLAZIONE TOTALE DI OGNI REGIONE (CON FILTRO)]]</f>
        <v>3.0483894419259191E-2</v>
      </c>
      <c r="H4058" t="str">
        <f>IF(Comuni__2[[#This Row],[Popolazione2011]]&gt;300000,"MAGGIORE","")</f>
        <v/>
      </c>
      <c r="J4058">
        <v>576</v>
      </c>
      <c r="K4058">
        <v>92</v>
      </c>
      <c r="L4058">
        <v>93</v>
      </c>
    </row>
    <row r="4059" spans="1:12" x14ac:dyDescent="0.2">
      <c r="A4059"/>
      <c r="B4059"/>
      <c r="C4059"/>
      <c r="D4059"/>
      <c r="E4059" s="2">
        <f>Comuni__2[[#This Row],[Popolazione2011]]/$D$7911</f>
        <v>7.4652815437342636E-4</v>
      </c>
      <c r="F4059">
        <f>SUMIFS($D$2:$D$7909, $B$2:$B$7909, "Marche")</f>
        <v>1540584</v>
      </c>
      <c r="G4059" s="1">
        <f>Comuni__2[[#This Row],[Popolazione2011]]/Comuni__2[[#This Row],[POPOLAZIONE TOTALE DI OGNI REGIONE (CON FILTRO)]]</f>
        <v>2.879492452212927E-2</v>
      </c>
      <c r="H4059" t="str">
        <f>IF(Comuni__2[[#This Row],[Popolazione2011]]&gt;300000,"MAGGIORE","")</f>
        <v/>
      </c>
      <c r="J4059">
        <v>608</v>
      </c>
      <c r="K4059">
        <v>94</v>
      </c>
      <c r="L4059">
        <v>101</v>
      </c>
    </row>
    <row r="4060" spans="1:12" x14ac:dyDescent="0.2">
      <c r="A4060"/>
      <c r="B4060"/>
      <c r="C4060"/>
      <c r="D4060"/>
      <c r="E4060" s="2">
        <f>Comuni__2[[#This Row],[Popolazione2011]]/$D$7911</f>
        <v>7.0711585668981763E-4</v>
      </c>
      <c r="F4060">
        <f>SUMIFS($D$2:$D$7909, $B$2:$B$7909, "Marche")</f>
        <v>1540584</v>
      </c>
      <c r="G4060" s="1">
        <f>Comuni__2[[#This Row],[Popolazione2011]]/Comuni__2[[#This Row],[POPOLAZIONE TOTALE DI OGNI REGIONE (CON FILTRO)]]</f>
        <v>2.7274721793813256E-2</v>
      </c>
      <c r="H4060" t="str">
        <f>IF(Comuni__2[[#This Row],[Popolazione2011]]&gt;300000,"MAGGIORE","")</f>
        <v/>
      </c>
      <c r="J4060">
        <v>627</v>
      </c>
      <c r="K4060">
        <v>95</v>
      </c>
      <c r="L4060">
        <v>111</v>
      </c>
    </row>
    <row r="4061" spans="1:12" x14ac:dyDescent="0.2">
      <c r="A4061"/>
      <c r="B4061"/>
      <c r="C4061"/>
      <c r="D4061"/>
      <c r="E4061" s="2">
        <f>Comuni__2[[#This Row],[Popolazione2011]]/$D$7911</f>
        <v>6.7823818682428711E-4</v>
      </c>
      <c r="F4061">
        <f>SUMIFS($D$2:$D$7909, $B$2:$B$7909, "Marche")</f>
        <v>1540584</v>
      </c>
      <c r="G4061" s="1">
        <f>Comuni__2[[#This Row],[Popolazione2011]]/Comuni__2[[#This Row],[POPOLAZIONE TOTALE DI OGNI REGIONE (CON FILTRO)]]</f>
        <v>2.6160858479641485E-2</v>
      </c>
      <c r="H4061" t="str">
        <f>IF(Comuni__2[[#This Row],[Popolazione2011]]&gt;300000,"MAGGIORE","")</f>
        <v/>
      </c>
      <c r="J4061">
        <v>632</v>
      </c>
      <c r="K4061">
        <v>104</v>
      </c>
      <c r="L4061">
        <v>116</v>
      </c>
    </row>
    <row r="4062" spans="1:12" x14ac:dyDescent="0.2">
      <c r="A4062"/>
      <c r="B4062"/>
      <c r="C4062"/>
      <c r="D4062"/>
      <c r="E4062" s="2">
        <f>Comuni__2[[#This Row],[Popolazione2011]]/$D$7911</f>
        <v>6.767909376352221E-4</v>
      </c>
      <c r="F4062">
        <f>SUMIFS($D$2:$D$7909, $B$2:$B$7909, "Marche")</f>
        <v>1540584</v>
      </c>
      <c r="G4062" s="1">
        <f>Comuni__2[[#This Row],[Popolazione2011]]/Comuni__2[[#This Row],[POPOLAZIONE TOTALE DI OGNI REGIONE (CON FILTRO)]]</f>
        <v>2.610503549303381E-2</v>
      </c>
      <c r="H4062" t="str">
        <f>IF(Comuni__2[[#This Row],[Popolazione2011]]&gt;300000,"MAGGIORE","")</f>
        <v/>
      </c>
      <c r="J4062">
        <v>637</v>
      </c>
      <c r="K4062">
        <v>108</v>
      </c>
      <c r="L4062">
        <v>123</v>
      </c>
    </row>
    <row r="4063" spans="1:12" x14ac:dyDescent="0.2">
      <c r="A4063"/>
      <c r="B4063"/>
      <c r="C4063"/>
      <c r="D4063"/>
      <c r="E4063" s="2">
        <f>Comuni__2[[#This Row],[Popolazione2011]]/$D$7911</f>
        <v>6.2292297653990551E-4</v>
      </c>
      <c r="F4063">
        <f>SUMIFS($D$2:$D$7909, $B$2:$B$7909, "Marche")</f>
        <v>1540584</v>
      </c>
      <c r="G4063" s="1">
        <f>Comuni__2[[#This Row],[Popolazione2011]]/Comuni__2[[#This Row],[POPOLAZIONE TOTALE DI OGNI REGIONE (CON FILTRO)]]</f>
        <v>2.4027252003136473E-2</v>
      </c>
      <c r="H4063" t="str">
        <f>IF(Comuni__2[[#This Row],[Popolazione2011]]&gt;300000,"MAGGIORE","")</f>
        <v/>
      </c>
      <c r="J4063">
        <v>635</v>
      </c>
      <c r="K4063">
        <v>113</v>
      </c>
      <c r="L4063">
        <v>125</v>
      </c>
    </row>
    <row r="4064" spans="1:12" x14ac:dyDescent="0.2">
      <c r="A4064"/>
      <c r="B4064"/>
      <c r="C4064"/>
      <c r="D4064"/>
      <c r="E4064" s="2">
        <f>Comuni__2[[#This Row],[Popolazione2011]]/$D$7911</f>
        <v>5.7201682773848957E-4</v>
      </c>
      <c r="F4064">
        <f>SUMIFS($D$2:$D$7909, $B$2:$B$7909, "Marche")</f>
        <v>1540584</v>
      </c>
      <c r="G4064" s="1">
        <f>Comuni__2[[#This Row],[Popolazione2011]]/Comuni__2[[#This Row],[POPOLAZIONE TOTALE DI OGNI REGIONE (CON FILTRO)]]</f>
        <v>2.2063710904436241E-2</v>
      </c>
      <c r="H4064" t="str">
        <f>IF(Comuni__2[[#This Row],[Popolazione2011]]&gt;300000,"MAGGIORE","")</f>
        <v/>
      </c>
      <c r="J4064">
        <v>628</v>
      </c>
      <c r="K4064">
        <v>133</v>
      </c>
      <c r="L4064">
        <v>133</v>
      </c>
    </row>
    <row r="4065" spans="1:12" x14ac:dyDescent="0.2">
      <c r="A4065"/>
      <c r="B4065"/>
      <c r="C4065"/>
      <c r="D4065"/>
      <c r="E4065" s="2">
        <f>Comuni__2[[#This Row],[Popolazione2011]]/$D$7911</f>
        <v>5.2201941679997483E-4</v>
      </c>
      <c r="F4065">
        <f>SUMIFS($D$2:$D$7909, $B$2:$B$7909, "Marche")</f>
        <v>1540584</v>
      </c>
      <c r="G4065" s="1">
        <f>Comuni__2[[#This Row],[Popolazione2011]]/Comuni__2[[#This Row],[POPOLAZIONE TOTALE DI OGNI REGIONE (CON FILTRO)]]</f>
        <v>2.0135221448489664E-2</v>
      </c>
      <c r="H4065" t="str">
        <f>IF(Comuni__2[[#This Row],[Popolazione2011]]&gt;300000,"MAGGIORE","")</f>
        <v/>
      </c>
      <c r="J4065">
        <v>629</v>
      </c>
      <c r="K4065">
        <v>152</v>
      </c>
      <c r="L4065">
        <v>138</v>
      </c>
    </row>
    <row r="4066" spans="1:12" x14ac:dyDescent="0.2">
      <c r="A4066"/>
      <c r="B4066"/>
      <c r="C4066"/>
      <c r="D4066"/>
      <c r="E4066" s="2">
        <f>Comuni__2[[#This Row],[Popolazione2011]]/$D$7911</f>
        <v>4.4948867255729621E-4</v>
      </c>
      <c r="F4066">
        <f>SUMIFS($D$2:$D$7909, $B$2:$B$7909, "Marche")</f>
        <v>1540584</v>
      </c>
      <c r="G4066" s="1">
        <f>Comuni__2[[#This Row],[Popolazione2011]]/Comuni__2[[#This Row],[POPOLAZIONE TOTALE DI OGNI REGIONE (CON FILTRO)]]</f>
        <v>1.7337581073151479E-2</v>
      </c>
      <c r="H4066" t="str">
        <f>IF(Comuni__2[[#This Row],[Popolazione2011]]&gt;300000,"MAGGIORE","")</f>
        <v/>
      </c>
      <c r="J4066">
        <v>630</v>
      </c>
      <c r="K4066">
        <v>187</v>
      </c>
      <c r="L4066">
        <v>148</v>
      </c>
    </row>
    <row r="4067" spans="1:12" x14ac:dyDescent="0.2">
      <c r="A4067"/>
      <c r="B4067"/>
      <c r="C4067"/>
      <c r="D4067"/>
      <c r="E4067" s="2">
        <f>Comuni__2[[#This Row],[Popolazione2011]]/$D$7911</f>
        <v>4.2616440074282926E-4</v>
      </c>
      <c r="F4067">
        <f>SUMIFS($D$2:$D$7909, $B$2:$B$7909, "Marche")</f>
        <v>1540584</v>
      </c>
      <c r="G4067" s="1">
        <f>Comuni__2[[#This Row],[Popolazione2011]]/Comuni__2[[#This Row],[POPOLAZIONE TOTALE DI OGNI REGIONE (CON FILTRO)]]</f>
        <v>1.6437922242474281E-2</v>
      </c>
      <c r="H4067" t="str">
        <f>IF(Comuni__2[[#This Row],[Popolazione2011]]&gt;300000,"MAGGIORE","")</f>
        <v/>
      </c>
      <c r="J4067">
        <v>620</v>
      </c>
      <c r="K4067">
        <v>209</v>
      </c>
      <c r="L4067">
        <v>154</v>
      </c>
    </row>
    <row r="4068" spans="1:12" x14ac:dyDescent="0.2">
      <c r="A4068"/>
      <c r="B4068"/>
      <c r="C4068"/>
      <c r="D4068"/>
      <c r="E4068" s="2">
        <f>Comuni__2[[#This Row],[Popolazione2011]]/$D$7911</f>
        <v>3.6039870503508256E-4</v>
      </c>
      <c r="F4068">
        <f>SUMIFS($D$2:$D$7909, $B$2:$B$7909, "Marche")</f>
        <v>1540584</v>
      </c>
      <c r="G4068" s="1">
        <f>Comuni__2[[#This Row],[Popolazione2011]]/Comuni__2[[#This Row],[POPOLAZIONE TOTALE DI OGNI REGIONE (CON FILTRO)]]</f>
        <v>1.3901221874302212E-2</v>
      </c>
      <c r="H4068" t="str">
        <f>IF(Comuni__2[[#This Row],[Popolazione2011]]&gt;300000,"MAGGIORE","")</f>
        <v/>
      </c>
      <c r="J4068">
        <v>605</v>
      </c>
      <c r="K4068">
        <v>223</v>
      </c>
      <c r="L4068">
        <v>163</v>
      </c>
    </row>
    <row r="4069" spans="1:12" x14ac:dyDescent="0.2">
      <c r="A4069"/>
      <c r="B4069"/>
      <c r="C4069"/>
      <c r="D4069"/>
      <c r="E4069" s="2">
        <f>Comuni__2[[#This Row],[Popolazione2011]]/$D$7911</f>
        <v>3.4222394777705639E-4</v>
      </c>
      <c r="F4069">
        <f>SUMIFS($D$2:$D$7909, $B$2:$B$7909, "Marche")</f>
        <v>1540584</v>
      </c>
      <c r="G4069" s="1">
        <f>Comuni__2[[#This Row],[Popolazione2011]]/Comuni__2[[#This Row],[POPOLAZIONE TOTALE DI OGNI REGIONE (CON FILTRO)]]</f>
        <v>1.3200189019229071E-2</v>
      </c>
      <c r="H4069" t="str">
        <f>IF(Comuni__2[[#This Row],[Popolazione2011]]&gt;300000,"MAGGIORE","")</f>
        <v/>
      </c>
      <c r="J4069">
        <v>605</v>
      </c>
      <c r="K4069">
        <v>237</v>
      </c>
      <c r="L4069">
        <v>171</v>
      </c>
    </row>
    <row r="4070" spans="1:12" x14ac:dyDescent="0.2">
      <c r="A4070"/>
      <c r="B4070"/>
      <c r="C4070"/>
      <c r="D4070"/>
      <c r="E4070" s="2">
        <f>Comuni__2[[#This Row],[Popolazione2011]]/$D$7911</f>
        <v>3.1376698988509126E-4</v>
      </c>
      <c r="F4070">
        <f>SUMIFS($D$2:$D$7909, $B$2:$B$7909, "Marche")</f>
        <v>1540584</v>
      </c>
      <c r="G4070" s="1">
        <f>Comuni__2[[#This Row],[Popolazione2011]]/Comuni__2[[#This Row],[POPOLAZIONE TOTALE DI OGNI REGIONE (CON FILTRO)]]</f>
        <v>1.2102553317443256E-2</v>
      </c>
      <c r="H4070" t="str">
        <f>IF(Comuni__2[[#This Row],[Popolazione2011]]&gt;300000,"MAGGIORE","")</f>
        <v/>
      </c>
      <c r="J4070">
        <v>605</v>
      </c>
      <c r="K4070">
        <v>255</v>
      </c>
      <c r="L4070">
        <v>175</v>
      </c>
    </row>
    <row r="4071" spans="1:12" x14ac:dyDescent="0.2">
      <c r="A4071"/>
      <c r="B4071"/>
      <c r="C4071"/>
      <c r="D4071"/>
      <c r="E4071" s="2">
        <f>Comuni__2[[#This Row],[Popolazione2011]]/$D$7911</f>
        <v>2.8554563069832278E-4</v>
      </c>
      <c r="F4071">
        <f>SUMIFS($D$2:$D$7909, $B$2:$B$7909, "Marche")</f>
        <v>1540584</v>
      </c>
      <c r="G4071" s="1">
        <f>Comuni__2[[#This Row],[Popolazione2011]]/Comuni__2[[#This Row],[POPOLAZIONE TOTALE DI OGNI REGIONE (CON FILTRO)]]</f>
        <v>1.1014005078593573E-2</v>
      </c>
      <c r="H4071" t="str">
        <f>IF(Comuni__2[[#This Row],[Popolazione2011]]&gt;300000,"MAGGIORE","")</f>
        <v/>
      </c>
      <c r="J4071">
        <v>590</v>
      </c>
      <c r="K4071">
        <v>273</v>
      </c>
      <c r="L4071">
        <v>181</v>
      </c>
    </row>
    <row r="4072" spans="1:12" x14ac:dyDescent="0.2">
      <c r="A4072"/>
      <c r="B4072"/>
      <c r="C4072"/>
      <c r="D4072"/>
      <c r="E4072" s="2">
        <f>Comuni__2[[#This Row],[Popolazione2011]]/$D$7911</f>
        <v>2.6853203848733716E-4</v>
      </c>
      <c r="F4072">
        <f>SUMIFS($D$2:$D$7909, $B$2:$B$7909, "Marche")</f>
        <v>1540584</v>
      </c>
      <c r="G4072" s="1">
        <f>Comuni__2[[#This Row],[Popolazione2011]]/Comuni__2[[#This Row],[POPOLAZIONE TOTALE DI OGNI REGIONE (CON FILTRO)]]</f>
        <v>1.0357760433705661E-2</v>
      </c>
      <c r="H4072" t="str">
        <f>IF(Comuni__2[[#This Row],[Popolazione2011]]&gt;300000,"MAGGIORE","")</f>
        <v/>
      </c>
      <c r="J4072">
        <v>573</v>
      </c>
      <c r="K4072">
        <v>284</v>
      </c>
      <c r="L4072">
        <v>187</v>
      </c>
    </row>
    <row r="4073" spans="1:12" x14ac:dyDescent="0.2">
      <c r="A4073"/>
      <c r="B4073"/>
      <c r="C4073"/>
      <c r="D4073"/>
      <c r="E4073" s="2">
        <f>Comuni__2[[#This Row],[Popolazione2011]]/$D$7911</f>
        <v>2.6661359188787884E-4</v>
      </c>
      <c r="F4073">
        <f>SUMIFS($D$2:$D$7909, $B$2:$B$7909, "Marche")</f>
        <v>1540584</v>
      </c>
      <c r="G4073" s="1">
        <f>Comuni__2[[#This Row],[Popolazione2011]]/Comuni__2[[#This Row],[POPOLAZIONE TOTALE DI OGNI REGIONE (CON FILTRO)]]</f>
        <v>1.0283762521225717E-2</v>
      </c>
      <c r="H4073" t="str">
        <f>IF(Comuni__2[[#This Row],[Popolazione2011]]&gt;300000,"MAGGIORE","")</f>
        <v/>
      </c>
      <c r="J4073">
        <v>567</v>
      </c>
      <c r="K4073">
        <v>296</v>
      </c>
      <c r="L4073">
        <v>190</v>
      </c>
    </row>
    <row r="4074" spans="1:12" x14ac:dyDescent="0.2">
      <c r="A4074"/>
      <c r="B4074"/>
      <c r="C4074"/>
      <c r="D4074"/>
      <c r="E4074" s="2">
        <f>Comuni__2[[#This Row],[Popolazione2011]]/$D$7911</f>
        <v>2.627766986889622E-4</v>
      </c>
      <c r="F4074">
        <f>SUMIFS($D$2:$D$7909, $B$2:$B$7909, "Marche")</f>
        <v>1540584</v>
      </c>
      <c r="G4074" s="1">
        <f>Comuni__2[[#This Row],[Popolazione2011]]/Comuni__2[[#This Row],[POPOLAZIONE TOTALE DI OGNI REGIONE (CON FILTRO)]]</f>
        <v>1.0135766696265832E-2</v>
      </c>
      <c r="H4074" t="str">
        <f>IF(Comuni__2[[#This Row],[Popolazione2011]]&gt;300000,"MAGGIORE","")</f>
        <v/>
      </c>
      <c r="J4074">
        <v>568</v>
      </c>
      <c r="K4074">
        <v>305</v>
      </c>
      <c r="L4074">
        <v>196</v>
      </c>
    </row>
    <row r="4075" spans="1:12" x14ac:dyDescent="0.2">
      <c r="A4075"/>
      <c r="B4075"/>
      <c r="C4075"/>
      <c r="D4075"/>
      <c r="E4075" s="2">
        <f>Comuni__2[[#This Row],[Popolazione2011]]/$D$7911</f>
        <v>2.6085825208950388E-4</v>
      </c>
      <c r="F4075">
        <f>SUMIFS($D$2:$D$7909, $B$2:$B$7909, "Marche")</f>
        <v>1540584</v>
      </c>
      <c r="G4075" s="1">
        <f>Comuni__2[[#This Row],[Popolazione2011]]/Comuni__2[[#This Row],[POPOLAZIONE TOTALE DI OGNI REGIONE (CON FILTRO)]]</f>
        <v>1.0061768783785889E-2</v>
      </c>
      <c r="H4075" t="str">
        <f>IF(Comuni__2[[#This Row],[Popolazione2011]]&gt;300000,"MAGGIORE","")</f>
        <v/>
      </c>
      <c r="J4075">
        <v>563</v>
      </c>
      <c r="K4075">
        <v>315</v>
      </c>
      <c r="L4075">
        <v>200</v>
      </c>
    </row>
    <row r="4076" spans="1:12" x14ac:dyDescent="0.2">
      <c r="A4076"/>
      <c r="B4076"/>
      <c r="C4076"/>
      <c r="D4076"/>
      <c r="E4076" s="2">
        <f>Comuni__2[[#This Row],[Popolazione2011]]/$D$7911</f>
        <v>2.5784595435877547E-4</v>
      </c>
      <c r="F4076">
        <f>SUMIFS($D$2:$D$7909, $B$2:$B$7909, "Marche")</f>
        <v>1540584</v>
      </c>
      <c r="G4076" s="1">
        <f>Comuni__2[[#This Row],[Popolazione2011]]/Comuni__2[[#This Row],[POPOLAZIONE TOTALE DI OGNI REGIONE (CON FILTRO)]]</f>
        <v>9.9455790791024706E-3</v>
      </c>
      <c r="H4076" t="str">
        <f>IF(Comuni__2[[#This Row],[Popolazione2011]]&gt;300000,"MAGGIORE","")</f>
        <v/>
      </c>
      <c r="J4076">
        <v>565</v>
      </c>
      <c r="K4076">
        <v>346</v>
      </c>
      <c r="L4076">
        <v>203</v>
      </c>
    </row>
    <row r="4077" spans="1:12" x14ac:dyDescent="0.2">
      <c r="A4077"/>
      <c r="B4077"/>
      <c r="C4077"/>
      <c r="D4077"/>
      <c r="E4077" s="2">
        <f>Comuni__2[[#This Row],[Popolazione2011]]/$D$7911</f>
        <v>2.5003754012940127E-4</v>
      </c>
      <c r="F4077">
        <f>SUMIFS($D$2:$D$7909, $B$2:$B$7909, "Marche")</f>
        <v>1540584</v>
      </c>
      <c r="G4077" s="1">
        <f>Comuni__2[[#This Row],[Popolazione2011]]/Comuni__2[[#This Row],[POPOLAZIONE TOTALE DI OGNI REGIONE (CON FILTRO)]]</f>
        <v>9.6443945932191948E-3</v>
      </c>
      <c r="H4077" t="str">
        <f>IF(Comuni__2[[#This Row],[Popolazione2011]]&gt;300000,"MAGGIORE","")</f>
        <v/>
      </c>
      <c r="J4077">
        <v>551</v>
      </c>
      <c r="K4077">
        <v>370</v>
      </c>
      <c r="L4077">
        <v>206</v>
      </c>
    </row>
    <row r="4078" spans="1:12" x14ac:dyDescent="0.2">
      <c r="A4078"/>
      <c r="B4078"/>
      <c r="C4078"/>
      <c r="D4078"/>
      <c r="E4078" s="2">
        <f>Comuni__2[[#This Row],[Popolazione2011]]/$D$7911</f>
        <v>2.492970870559261E-4</v>
      </c>
      <c r="F4078">
        <f>SUMIFS($D$2:$D$7909, $B$2:$B$7909, "Marche")</f>
        <v>1540584</v>
      </c>
      <c r="G4078" s="1">
        <f>Comuni__2[[#This Row],[Popolazione2011]]/Comuni__2[[#This Row],[POPOLAZIONE TOTALE DI OGNI REGIONE (CON FILTRO)]]</f>
        <v>9.6158339954199191E-3</v>
      </c>
      <c r="H4078" t="str">
        <f>IF(Comuni__2[[#This Row],[Popolazione2011]]&gt;300000,"MAGGIORE","")</f>
        <v/>
      </c>
      <c r="J4078">
        <v>535</v>
      </c>
      <c r="K4078">
        <v>388</v>
      </c>
      <c r="L4078">
        <v>208</v>
      </c>
    </row>
    <row r="4079" spans="1:12" x14ac:dyDescent="0.2">
      <c r="A4079"/>
      <c r="B4079"/>
      <c r="C4079"/>
      <c r="D4079"/>
      <c r="E4079" s="2">
        <f>Comuni__2[[#This Row],[Popolazione2011]]/$D$7911</f>
        <v>2.2134498353223951E-4</v>
      </c>
      <c r="F4079">
        <f>SUMIFS($D$2:$D$7909, $B$2:$B$7909, "Marche")</f>
        <v>1540584</v>
      </c>
      <c r="G4079" s="1">
        <f>Comuni__2[[#This Row],[Popolazione2011]]/Comuni__2[[#This Row],[POPOLAZIONE TOTALE DI OGNI REGIONE (CON FILTRO)]]</f>
        <v>8.5376714284972448E-3</v>
      </c>
      <c r="H4079" t="str">
        <f>IF(Comuni__2[[#This Row],[Popolazione2011]]&gt;300000,"MAGGIORE","")</f>
        <v/>
      </c>
      <c r="J4079">
        <v>510</v>
      </c>
      <c r="K4079">
        <v>412</v>
      </c>
      <c r="L4079">
        <v>213</v>
      </c>
    </row>
    <row r="4080" spans="1:12" x14ac:dyDescent="0.2">
      <c r="A4080"/>
      <c r="B4080"/>
      <c r="C4080"/>
      <c r="D4080"/>
      <c r="E4080" s="2">
        <f>Comuni__2[[#This Row],[Popolazione2011]]/$D$7911</f>
        <v>2.1907313887498624E-4</v>
      </c>
      <c r="F4080">
        <f>SUMIFS($D$2:$D$7909, $B$2:$B$7909, "Marche")</f>
        <v>1540584</v>
      </c>
      <c r="G4080" s="1">
        <f>Comuni__2[[#This Row],[Popolazione2011]]/Comuni__2[[#This Row],[POPOLAZIONE TOTALE DI OGNI REGIONE (CON FILTRO)]]</f>
        <v>8.4500423216131021E-3</v>
      </c>
      <c r="H4080" t="str">
        <f>IF(Comuni__2[[#This Row],[Popolazione2011]]&gt;300000,"MAGGIORE","")</f>
        <v/>
      </c>
      <c r="J4080">
        <v>493</v>
      </c>
      <c r="K4080">
        <v>443</v>
      </c>
      <c r="L4080">
        <v>218</v>
      </c>
    </row>
    <row r="4081" spans="1:12" x14ac:dyDescent="0.2">
      <c r="A4081"/>
      <c r="B4081"/>
      <c r="C4081"/>
      <c r="D4081"/>
      <c r="E4081" s="2">
        <f>Comuni__2[[#This Row],[Popolazione2011]]/$D$7911</f>
        <v>2.1091132658781705E-4</v>
      </c>
      <c r="F4081">
        <f>SUMIFS($D$2:$D$7909, $B$2:$B$7909, "Marche")</f>
        <v>1540584</v>
      </c>
      <c r="G4081" s="1">
        <f>Comuni__2[[#This Row],[Popolazione2011]]/Comuni__2[[#This Row],[POPOLAZIONE TOTALE DI OGNI REGIONE (CON FILTRO)]]</f>
        <v>8.1352266413256269E-3</v>
      </c>
      <c r="H4081" t="str">
        <f>IF(Comuni__2[[#This Row],[Popolazione2011]]&gt;300000,"MAGGIORE","")</f>
        <v/>
      </c>
      <c r="J4081">
        <v>485</v>
      </c>
      <c r="K4081">
        <v>524</v>
      </c>
      <c r="L4081">
        <v>224</v>
      </c>
    </row>
    <row r="4082" spans="1:12" x14ac:dyDescent="0.2">
      <c r="A4082"/>
      <c r="B4082"/>
      <c r="C4082"/>
      <c r="D4082"/>
      <c r="E4082" s="2">
        <f>Comuni__2[[#This Row],[Popolazione2011]]/$D$7911</f>
        <v>2.0549255636829442E-4</v>
      </c>
      <c r="F4082">
        <f>SUMIFS($D$2:$D$7909, $B$2:$B$7909, "Marche")</f>
        <v>1540584</v>
      </c>
      <c r="G4082" s="1">
        <f>Comuni__2[[#This Row],[Popolazione2011]]/Comuni__2[[#This Row],[POPOLAZIONE TOTALE DI OGNI REGIONE (CON FILTRO)]]</f>
        <v>7.9262149937945614E-3</v>
      </c>
      <c r="H4082" t="str">
        <f>IF(Comuni__2[[#This Row],[Popolazione2011]]&gt;300000,"MAGGIORE","")</f>
        <v/>
      </c>
      <c r="J4082">
        <v>478</v>
      </c>
      <c r="K4082">
        <v>720</v>
      </c>
      <c r="L4082">
        <v>228</v>
      </c>
    </row>
    <row r="4083" spans="1:12" x14ac:dyDescent="0.2">
      <c r="A4083"/>
      <c r="B4083"/>
      <c r="C4083"/>
      <c r="D4083"/>
      <c r="E4083" s="2">
        <f>Comuni__2[[#This Row],[Popolazione2011]]/$D$7911</f>
        <v>2.0473527481587668E-4</v>
      </c>
      <c r="F4083">
        <f>SUMIFS($D$2:$D$7909, $B$2:$B$7909, "Marche")</f>
        <v>1540584</v>
      </c>
      <c r="G4083" s="1">
        <f>Comuni__2[[#This Row],[Popolazione2011]]/Comuni__2[[#This Row],[POPOLAZIONE TOTALE DI OGNI REGIONE (CON FILTRO)]]</f>
        <v>7.8970052914998472E-3</v>
      </c>
      <c r="H4083" t="str">
        <f>IF(Comuni__2[[#This Row],[Popolazione2011]]&gt;300000,"MAGGIORE","")</f>
        <v/>
      </c>
      <c r="J4083">
        <v>475</v>
      </c>
      <c r="K4083">
        <v>731</v>
      </c>
      <c r="L4083">
        <v>231</v>
      </c>
    </row>
    <row r="4084" spans="1:12" x14ac:dyDescent="0.2">
      <c r="A4084"/>
      <c r="B4084"/>
      <c r="C4084"/>
      <c r="D4084"/>
      <c r="E4084" s="2">
        <f>Comuni__2[[#This Row],[Popolazione2011]]/$D$7911</f>
        <v>1.9748220039160881E-4</v>
      </c>
      <c r="F4084">
        <f>SUMIFS($D$2:$D$7909, $B$2:$B$7909, "Marche")</f>
        <v>1540584</v>
      </c>
      <c r="G4084" s="1">
        <f>Comuni__2[[#This Row],[Popolazione2011]]/Comuni__2[[#This Row],[POPOLAZIONE TOTALE DI OGNI REGIONE (CON FILTRO)]]</f>
        <v>7.6172412539660282E-3</v>
      </c>
      <c r="H4084" t="str">
        <f>IF(Comuni__2[[#This Row],[Popolazione2011]]&gt;300000,"MAGGIORE","")</f>
        <v/>
      </c>
      <c r="J4084">
        <v>462</v>
      </c>
      <c r="K4084">
        <v>745</v>
      </c>
      <c r="L4084">
        <v>232</v>
      </c>
    </row>
    <row r="4085" spans="1:12" x14ac:dyDescent="0.2">
      <c r="A4085"/>
      <c r="B4085"/>
      <c r="C4085"/>
      <c r="D4085"/>
      <c r="E4085" s="2">
        <f>Comuni__2[[#This Row],[Popolazione2011]]/$D$7911</f>
        <v>1.9344336544538075E-4</v>
      </c>
      <c r="F4085">
        <f>SUMIFS($D$2:$D$7909, $B$2:$B$7909, "Marche")</f>
        <v>1540584</v>
      </c>
      <c r="G4085" s="1">
        <f>Comuni__2[[#This Row],[Popolazione2011]]/Comuni__2[[#This Row],[POPOLAZIONE TOTALE DI OGNI REGIONE (CON FILTRO)]]</f>
        <v>7.4614561750608859E-3</v>
      </c>
      <c r="H4085" t="str">
        <f>IF(Comuni__2[[#This Row],[Popolazione2011]]&gt;300000,"MAGGIORE","")</f>
        <v/>
      </c>
      <c r="J4085">
        <v>449</v>
      </c>
      <c r="K4085">
        <v>763</v>
      </c>
      <c r="L4085">
        <v>232</v>
      </c>
    </row>
    <row r="4086" spans="1:12" x14ac:dyDescent="0.2">
      <c r="A4086"/>
      <c r="B4086"/>
      <c r="C4086"/>
      <c r="D4086"/>
      <c r="E4086" s="2">
        <f>Comuni__2[[#This Row],[Popolazione2011]]/$D$7911</f>
        <v>1.7685048520796055E-4</v>
      </c>
      <c r="F4086">
        <f>SUMIFS($D$2:$D$7909, $B$2:$B$7909, "Marche")</f>
        <v>1540584</v>
      </c>
      <c r="G4086" s="1">
        <f>Comuni__2[[#This Row],[Popolazione2011]]/Comuni__2[[#This Row],[POPOLAZIONE TOTALE DI OGNI REGIONE (CON FILTRO)]]</f>
        <v>6.8214391425589259E-3</v>
      </c>
      <c r="H4086" t="str">
        <f>IF(Comuni__2[[#This Row],[Popolazione2011]]&gt;300000,"MAGGIORE","")</f>
        <v/>
      </c>
      <c r="J4086">
        <v>441</v>
      </c>
      <c r="K4086">
        <v>774</v>
      </c>
      <c r="L4086">
        <v>235</v>
      </c>
    </row>
    <row r="4087" spans="1:12" x14ac:dyDescent="0.2">
      <c r="A4087"/>
      <c r="B4087"/>
      <c r="C4087"/>
      <c r="D4087"/>
      <c r="E4087" s="2">
        <f>Comuni__2[[#This Row],[Popolazione2011]]/$D$7911</f>
        <v>1.7311456288269961E-4</v>
      </c>
      <c r="F4087">
        <f>SUMIFS($D$2:$D$7909, $B$2:$B$7909, "Marche")</f>
        <v>1540584</v>
      </c>
      <c r="G4087" s="1">
        <f>Comuni__2[[#This Row],[Popolazione2011]]/Comuni__2[[#This Row],[POPOLAZIONE TOTALE DI OGNI REGIONE (CON FILTRO)]]</f>
        <v>6.6773379445716693E-3</v>
      </c>
      <c r="H4087" t="str">
        <f>IF(Comuni__2[[#This Row],[Popolazione2011]]&gt;300000,"MAGGIORE","")</f>
        <v/>
      </c>
      <c r="J4087">
        <v>429</v>
      </c>
      <c r="K4087">
        <v>786</v>
      </c>
      <c r="L4087">
        <v>237</v>
      </c>
    </row>
    <row r="4088" spans="1:12" x14ac:dyDescent="0.2">
      <c r="A4088"/>
      <c r="B4088"/>
      <c r="C4088"/>
      <c r="D4088"/>
      <c r="E4088" s="2">
        <f>Comuni__2[[#This Row],[Popolazione2011]]/$D$7911</f>
        <v>1.7128025867795436E-4</v>
      </c>
      <c r="F4088">
        <f>SUMIFS($D$2:$D$7909, $B$2:$B$7909, "Marche")</f>
        <v>1540584</v>
      </c>
      <c r="G4088" s="1">
        <f>Comuni__2[[#This Row],[Popolazione2011]]/Comuni__2[[#This Row],[POPOLAZIONE TOTALE DI OGNI REGIONE (CON FILTRO)]]</f>
        <v>6.6065855545689167E-3</v>
      </c>
      <c r="H4088" t="str">
        <f>IF(Comuni__2[[#This Row],[Popolazione2011]]&gt;300000,"MAGGIORE","")</f>
        <v/>
      </c>
      <c r="J4088">
        <v>426</v>
      </c>
      <c r="K4088">
        <v>787</v>
      </c>
      <c r="L4088">
        <v>240</v>
      </c>
    </row>
    <row r="4089" spans="1:12" x14ac:dyDescent="0.2">
      <c r="A4089"/>
      <c r="B4089"/>
      <c r="C4089"/>
      <c r="D4089"/>
      <c r="E4089" s="2">
        <f>Comuni__2[[#This Row],[Popolazione2011]]/$D$7911</f>
        <v>1.701359221098564E-4</v>
      </c>
      <c r="F4089">
        <f>SUMIFS($D$2:$D$7909, $B$2:$B$7909, "Marche")</f>
        <v>1540584</v>
      </c>
      <c r="G4089" s="1">
        <f>Comuni__2[[#This Row],[Popolazione2011]]/Comuni__2[[#This Row],[POPOLAZIONE TOTALE DI OGNI REGIONE (CON FILTRO)]]</f>
        <v>6.5624464488791261E-3</v>
      </c>
      <c r="H4089" t="str">
        <f>IF(Comuni__2[[#This Row],[Popolazione2011]]&gt;300000,"MAGGIORE","")</f>
        <v/>
      </c>
      <c r="J4089">
        <v>412</v>
      </c>
      <c r="K4089">
        <v>795</v>
      </c>
      <c r="L4089">
        <v>242</v>
      </c>
    </row>
    <row r="4090" spans="1:12" x14ac:dyDescent="0.2">
      <c r="A4090"/>
      <c r="B4090"/>
      <c r="C4090"/>
      <c r="D4090"/>
      <c r="E4090" s="2">
        <f>Comuni__2[[#This Row],[Popolazione2011]]/$D$7911</f>
        <v>1.6589514541631695E-4</v>
      </c>
      <c r="F4090">
        <f>SUMIFS($D$2:$D$7909, $B$2:$B$7909, "Marche")</f>
        <v>1540584</v>
      </c>
      <c r="G4090" s="1">
        <f>Comuni__2[[#This Row],[Popolazione2011]]/Comuni__2[[#This Row],[POPOLAZIONE TOTALE DI OGNI REGIONE (CON FILTRO)]]</f>
        <v>6.3988721160287265E-3</v>
      </c>
      <c r="H4090" t="str">
        <f>IF(Comuni__2[[#This Row],[Popolazione2011]]&gt;300000,"MAGGIORE","")</f>
        <v/>
      </c>
      <c r="J4090">
        <v>403</v>
      </c>
      <c r="K4090">
        <v>809</v>
      </c>
      <c r="L4090">
        <v>244</v>
      </c>
    </row>
    <row r="4091" spans="1:12" x14ac:dyDescent="0.2">
      <c r="A4091"/>
      <c r="B4091"/>
      <c r="C4091"/>
      <c r="D4091"/>
      <c r="E4091" s="2">
        <f>Comuni__2[[#This Row],[Popolazione2011]]/$D$7911</f>
        <v>1.6399352729580126E-4</v>
      </c>
      <c r="F4091">
        <f>SUMIFS($D$2:$D$7909, $B$2:$B$7909, "Marche")</f>
        <v>1540584</v>
      </c>
      <c r="G4091" s="1">
        <f>Comuni__2[[#This Row],[Popolazione2011]]/Comuni__2[[#This Row],[POPOLAZIONE TOTALE DI OGNI REGIONE (CON FILTRO)]]</f>
        <v>6.3255233080442225E-3</v>
      </c>
      <c r="H4091" t="str">
        <f>IF(Comuni__2[[#This Row],[Popolazione2011]]&gt;300000,"MAGGIORE","")</f>
        <v/>
      </c>
      <c r="J4091">
        <v>393</v>
      </c>
      <c r="K4091">
        <v>818</v>
      </c>
      <c r="L4091">
        <v>247</v>
      </c>
    </row>
    <row r="4092" spans="1:12" x14ac:dyDescent="0.2">
      <c r="A4092"/>
      <c r="B4092"/>
      <c r="C4092"/>
      <c r="D4092"/>
      <c r="E4092" s="2">
        <f>Comuni__2[[#This Row],[Popolazione2011]]/$D$7911</f>
        <v>1.6192362438585938E-4</v>
      </c>
      <c r="F4092">
        <f>SUMIFS($D$2:$D$7909, $B$2:$B$7909, "Marche")</f>
        <v>1540584</v>
      </c>
      <c r="G4092" s="1">
        <f>Comuni__2[[#This Row],[Popolazione2011]]/Comuni__2[[#This Row],[POPOLAZIONE TOTALE DI OGNI REGIONE (CON FILTRO)]]</f>
        <v>6.2456834551053364E-3</v>
      </c>
      <c r="H4092" t="str">
        <f>IF(Comuni__2[[#This Row],[Popolazione2011]]&gt;300000,"MAGGIORE","")</f>
        <v/>
      </c>
      <c r="J4092">
        <v>384</v>
      </c>
      <c r="K4092">
        <v>830</v>
      </c>
      <c r="L4092">
        <v>250</v>
      </c>
    </row>
    <row r="4093" spans="1:12" x14ac:dyDescent="0.2">
      <c r="A4093"/>
      <c r="B4093"/>
      <c r="C4093"/>
      <c r="D4093"/>
      <c r="E4093" s="2">
        <f>Comuni__2[[#This Row],[Popolazione2011]]/$D$7911</f>
        <v>1.5653851112422201E-4</v>
      </c>
      <c r="F4093">
        <f>SUMIFS($D$2:$D$7909, $B$2:$B$7909, "Marche")</f>
        <v>1540584</v>
      </c>
      <c r="G4093" s="1">
        <f>Comuni__2[[#This Row],[Popolazione2011]]/Comuni__2[[#This Row],[POPOLAZIONE TOTALE DI OGNI REGIONE (CON FILTRO)]]</f>
        <v>6.037970016565147E-3</v>
      </c>
      <c r="H4093" t="str">
        <f>IF(Comuni__2[[#This Row],[Popolazione2011]]&gt;300000,"MAGGIORE","")</f>
        <v/>
      </c>
      <c r="J4093">
        <v>370</v>
      </c>
      <c r="K4093">
        <v>910</v>
      </c>
      <c r="L4093">
        <v>251</v>
      </c>
    </row>
    <row r="4094" spans="1:12" x14ac:dyDescent="0.2">
      <c r="A4094"/>
      <c r="B4094"/>
      <c r="C4094"/>
      <c r="D4094"/>
      <c r="E4094" s="2">
        <f>Comuni__2[[#This Row],[Popolazione2011]]/$D$7911</f>
        <v>1.5167508070980571E-4</v>
      </c>
      <c r="F4094">
        <f>SUMIFS($D$2:$D$7909, $B$2:$B$7909, "Marche")</f>
        <v>1540584</v>
      </c>
      <c r="G4094" s="1">
        <f>Comuni__2[[#This Row],[Popolazione2011]]/Comuni__2[[#This Row],[POPOLAZIONE TOTALE DI OGNI REGIONE (CON FILTRO)]]</f>
        <v>5.8503788173835374E-3</v>
      </c>
      <c r="H4094" t="str">
        <f>IF(Comuni__2[[#This Row],[Popolazione2011]]&gt;300000,"MAGGIORE","")</f>
        <v/>
      </c>
      <c r="J4094">
        <v>329</v>
      </c>
      <c r="K4094">
        <v>921</v>
      </c>
      <c r="L4094">
        <v>253</v>
      </c>
    </row>
    <row r="4095" spans="1:12" x14ac:dyDescent="0.2">
      <c r="A4095"/>
      <c r="B4095"/>
      <c r="C4095"/>
      <c r="D4095"/>
      <c r="E4095" s="2">
        <f>Comuni__2[[#This Row],[Popolazione2011]]/$D$7911</f>
        <v>1.4497734609064423E-4</v>
      </c>
      <c r="F4095">
        <f>SUMIFS($D$2:$D$7909, $B$2:$B$7909, "Marche")</f>
        <v>1540584</v>
      </c>
      <c r="G4095" s="1">
        <f>Comuni__2[[#This Row],[Popolazione2011]]/Comuni__2[[#This Row],[POPOLAZIONE TOTALE DI OGNI REGIONE (CON FILTRO)]]</f>
        <v>5.5920352281991761E-3</v>
      </c>
      <c r="H4095" t="str">
        <f>IF(Comuni__2[[#This Row],[Popolazione2011]]&gt;300000,"MAGGIORE","")</f>
        <v/>
      </c>
      <c r="J4095">
        <v>294</v>
      </c>
      <c r="K4095">
        <v>977</v>
      </c>
      <c r="L4095">
        <v>256</v>
      </c>
    </row>
    <row r="4096" spans="1:12" x14ac:dyDescent="0.2">
      <c r="A4096"/>
      <c r="B4096"/>
      <c r="C4096"/>
      <c r="D4096"/>
      <c r="E4096" s="2">
        <f>Comuni__2[[#This Row],[Popolazione2011]]/$D$7911</f>
        <v>1.4253721664396477E-4</v>
      </c>
      <c r="F4096">
        <f>SUMIFS($D$2:$D$7909, $B$2:$B$7909, "Marche")</f>
        <v>1540584</v>
      </c>
      <c r="G4096" s="1">
        <f>Comuni__2[[#This Row],[Popolazione2011]]/Comuni__2[[#This Row],[POPOLAZIONE TOTALE DI OGNI REGIONE (CON FILTRO)]]</f>
        <v>5.497915076360653E-3</v>
      </c>
      <c r="H4096" t="str">
        <f>IF(Comuni__2[[#This Row],[Popolazione2011]]&gt;300000,"MAGGIORE","")</f>
        <v/>
      </c>
      <c r="J4096">
        <v>289</v>
      </c>
      <c r="K4096">
        <v>1002</v>
      </c>
      <c r="L4096">
        <v>256</v>
      </c>
    </row>
    <row r="4097" spans="1:12" x14ac:dyDescent="0.2">
      <c r="A4097"/>
      <c r="B4097"/>
      <c r="C4097"/>
      <c r="D4097"/>
      <c r="E4097" s="2">
        <f>Comuni__2[[#This Row],[Popolazione2011]]/$D$7911</f>
        <v>1.3939029108169543E-4</v>
      </c>
      <c r="F4097">
        <f>SUMIFS($D$2:$D$7909, $B$2:$B$7909, "Marche")</f>
        <v>1540584</v>
      </c>
      <c r="G4097" s="1">
        <f>Comuni__2[[#This Row],[Popolazione2011]]/Comuni__2[[#This Row],[POPOLAZIONE TOTALE DI OGNI REGIONE (CON FILTRO)]]</f>
        <v>5.3765325357137293E-3</v>
      </c>
      <c r="H4097" t="str">
        <f>IF(Comuni__2[[#This Row],[Popolazione2011]]&gt;300000,"MAGGIORE","")</f>
        <v/>
      </c>
      <c r="J4097">
        <v>287</v>
      </c>
      <c r="K4097">
        <v>1020</v>
      </c>
      <c r="L4097">
        <v>257</v>
      </c>
    </row>
    <row r="4098" spans="1:12" x14ac:dyDescent="0.2">
      <c r="A4098"/>
      <c r="B4098"/>
      <c r="C4098"/>
      <c r="D4098"/>
      <c r="E4098" s="2">
        <f>Comuni__2[[#This Row],[Popolazione2011]]/$D$7911</f>
        <v>1.3582265354586065E-4</v>
      </c>
      <c r="F4098">
        <f>SUMIFS($D$2:$D$7909, $B$2:$B$7909, "Marche")</f>
        <v>1540584</v>
      </c>
      <c r="G4098" s="1">
        <f>Comuni__2[[#This Row],[Popolazione2011]]/Comuni__2[[#This Row],[POPOLAZIONE TOTALE DI OGNI REGIONE (CON FILTRO)]]</f>
        <v>5.2389223826808532E-3</v>
      </c>
      <c r="H4098" t="str">
        <f>IF(Comuni__2[[#This Row],[Popolazione2011]]&gt;300000,"MAGGIORE","")</f>
        <v/>
      </c>
      <c r="J4098">
        <v>249</v>
      </c>
      <c r="K4098">
        <v>1171</v>
      </c>
      <c r="L4098">
        <v>261</v>
      </c>
    </row>
    <row r="4099" spans="1:12" x14ac:dyDescent="0.2">
      <c r="A4099"/>
      <c r="B4099"/>
      <c r="C4099"/>
      <c r="D4099"/>
      <c r="E4099" s="2">
        <f>Comuni__2[[#This Row],[Popolazione2011]]/$D$7911</f>
        <v>1.3237281536262419E-4</v>
      </c>
      <c r="F4099">
        <f>SUMIFS($D$2:$D$7909, $B$2:$B$7909, "Marche")</f>
        <v>1540584</v>
      </c>
      <c r="G4099" s="1">
        <f>Comuni__2[[#This Row],[Popolazione2011]]/Comuni__2[[#This Row],[POPOLAZIONE TOTALE DI OGNI REGIONE (CON FILTRO)]]</f>
        <v>5.1058559611160447E-3</v>
      </c>
      <c r="H4099" t="str">
        <f>IF(Comuni__2[[#This Row],[Popolazione2011]]&gt;300000,"MAGGIORE","")</f>
        <v/>
      </c>
      <c r="J4099">
        <v>225</v>
      </c>
      <c r="K4099">
        <v>1203</v>
      </c>
      <c r="L4099">
        <v>262</v>
      </c>
    </row>
    <row r="4100" spans="1:12" x14ac:dyDescent="0.2">
      <c r="A4100"/>
      <c r="B4100"/>
      <c r="C4100"/>
      <c r="D4100"/>
      <c r="E4100" s="2">
        <f>Comuni__2[[#This Row],[Popolazione2011]]/$D$7911</f>
        <v>1.3210355969954231E-4</v>
      </c>
      <c r="F4100">
        <f>SUMIFS($D$2:$D$7909, $B$2:$B$7909, "Marche")</f>
        <v>1540584</v>
      </c>
      <c r="G4100" s="1">
        <f>Comuni__2[[#This Row],[Popolazione2011]]/Comuni__2[[#This Row],[POPOLAZIONE TOTALE DI OGNI REGIONE (CON FILTRO)]]</f>
        <v>5.0954702891890351E-3</v>
      </c>
      <c r="H4100" t="str">
        <f>IF(Comuni__2[[#This Row],[Popolazione2011]]&gt;300000,"MAGGIORE","")</f>
        <v/>
      </c>
      <c r="J4100">
        <v>215</v>
      </c>
      <c r="K4100">
        <v>1249</v>
      </c>
      <c r="L4100">
        <v>263</v>
      </c>
    </row>
    <row r="4101" spans="1:12" x14ac:dyDescent="0.2">
      <c r="A4101"/>
      <c r="B4101"/>
      <c r="C4101"/>
      <c r="D4101"/>
      <c r="E4101" s="2">
        <f>Comuni__2[[#This Row],[Popolazione2011]]/$D$7911</f>
        <v>1.2750938494820793E-4</v>
      </c>
      <c r="F4101">
        <f>SUMIFS($D$2:$D$7909, $B$2:$B$7909, "Marche")</f>
        <v>1540584</v>
      </c>
      <c r="G4101" s="1">
        <f>Comuni__2[[#This Row],[Popolazione2011]]/Comuni__2[[#This Row],[POPOLAZIONE TOTALE DI OGNI REGIONE (CON FILTRO)]]</f>
        <v>4.9182647619344351E-3</v>
      </c>
      <c r="H4101" t="str">
        <f>IF(Comuni__2[[#This Row],[Popolazione2011]]&gt;300000,"MAGGIORE","")</f>
        <v/>
      </c>
      <c r="J4101">
        <v>209</v>
      </c>
      <c r="K4101">
        <v>1351</v>
      </c>
      <c r="L4101">
        <v>263</v>
      </c>
    </row>
    <row r="4102" spans="1:12" x14ac:dyDescent="0.2">
      <c r="A4102"/>
      <c r="B4102"/>
      <c r="C4102"/>
      <c r="D4102"/>
      <c r="E4102" s="2">
        <f>Comuni__2[[#This Row],[Popolazione2011]]/$D$7911</f>
        <v>1.2675210339579016E-4</v>
      </c>
      <c r="F4102">
        <f>SUMIFS($D$2:$D$7909, $B$2:$B$7909, "Marche")</f>
        <v>1540584</v>
      </c>
      <c r="G4102" s="1">
        <f>Comuni__2[[#This Row],[Popolazione2011]]/Comuni__2[[#This Row],[POPOLAZIONE TOTALE DI OGNI REGIONE (CON FILTRO)]]</f>
        <v>4.8890550596397209E-3</v>
      </c>
      <c r="H4102" t="str">
        <f>IF(Comuni__2[[#This Row],[Popolazione2011]]&gt;300000,"MAGGIORE","")</f>
        <v/>
      </c>
      <c r="J4102">
        <v>171</v>
      </c>
      <c r="K4102">
        <v>1458</v>
      </c>
      <c r="L4102">
        <v>265</v>
      </c>
    </row>
    <row r="4103" spans="1:12" x14ac:dyDescent="0.2">
      <c r="A4103"/>
      <c r="B4103"/>
      <c r="C4103"/>
      <c r="D4103"/>
      <c r="E4103" s="2">
        <f>Comuni__2[[#This Row],[Popolazione2011]]/$D$7911</f>
        <v>1.2138381861309537E-4</v>
      </c>
      <c r="F4103">
        <f>SUMIFS($D$2:$D$7909, $B$2:$B$7909, "Marche")</f>
        <v>1540584</v>
      </c>
      <c r="G4103" s="1">
        <f>Comuni__2[[#This Row],[Popolazione2011]]/Comuni__2[[#This Row],[POPOLAZIONE TOTALE DI OGNI REGIONE (CON FILTRO)]]</f>
        <v>4.6819907255949691E-3</v>
      </c>
      <c r="H4103" t="str">
        <f>IF(Comuni__2[[#This Row],[Popolazione2011]]&gt;300000,"MAGGIORE","")</f>
        <v/>
      </c>
      <c r="J4103">
        <v>158</v>
      </c>
      <c r="K4103">
        <v>1566</v>
      </c>
      <c r="L4103">
        <v>267</v>
      </c>
    </row>
    <row r="4104" spans="1:12" x14ac:dyDescent="0.2">
      <c r="A4104"/>
      <c r="B4104"/>
      <c r="C4104"/>
      <c r="D4104"/>
      <c r="E4104" s="2">
        <f>Comuni__2[[#This Row],[Popolazione2011]]/$D$7911</f>
        <v>1.2091262120270211E-4</v>
      </c>
      <c r="F4104">
        <f>SUMIFS($D$2:$D$7909, $B$2:$B$7909, "Marche")</f>
        <v>1540584</v>
      </c>
      <c r="G4104" s="1">
        <f>Comuni__2[[#This Row],[Popolazione2011]]/Comuni__2[[#This Row],[POPOLAZIONE TOTALE DI OGNI REGIONE (CON FILTRO)]]</f>
        <v>4.663815799722703E-3</v>
      </c>
      <c r="H4104" t="str">
        <f>IF(Comuni__2[[#This Row],[Popolazione2011]]&gt;300000,"MAGGIORE","")</f>
        <v/>
      </c>
      <c r="J4104">
        <v>150</v>
      </c>
      <c r="K4104">
        <v>1589</v>
      </c>
      <c r="L4104">
        <v>267</v>
      </c>
    </row>
    <row r="4105" spans="1:12" x14ac:dyDescent="0.2">
      <c r="A4105"/>
      <c r="B4105"/>
      <c r="C4105"/>
      <c r="D4105"/>
      <c r="E4105" s="2">
        <f>Comuni__2[[#This Row],[Popolazione2011]]/$D$7911</f>
        <v>1.1961682832412061E-4</v>
      </c>
      <c r="F4105">
        <f>SUMIFS($D$2:$D$7909, $B$2:$B$7909, "Marche")</f>
        <v>1540584</v>
      </c>
      <c r="G4105" s="1">
        <f>Comuni__2[[#This Row],[Popolazione2011]]/Comuni__2[[#This Row],[POPOLAZIONE TOTALE DI OGNI REGIONE (CON FILTRO)]]</f>
        <v>4.6138347535739695E-3</v>
      </c>
      <c r="H4105" t="str">
        <f>IF(Comuni__2[[#This Row],[Popolazione2011]]&gt;300000,"MAGGIORE","")</f>
        <v/>
      </c>
      <c r="J4105">
        <v>137</v>
      </c>
      <c r="K4105">
        <v>1611</v>
      </c>
      <c r="L4105">
        <v>268</v>
      </c>
    </row>
    <row r="4106" spans="1:12" x14ac:dyDescent="0.2">
      <c r="A4106"/>
      <c r="B4106"/>
      <c r="C4106"/>
      <c r="D4106"/>
      <c r="E4106" s="2">
        <f>Comuni__2[[#This Row],[Popolazione2011]]/$D$7911</f>
        <v>1.1909514547689949E-4</v>
      </c>
      <c r="F4106">
        <f>SUMIFS($D$2:$D$7909, $B$2:$B$7909, "Marche")</f>
        <v>1540584</v>
      </c>
      <c r="G4106" s="1">
        <f>Comuni__2[[#This Row],[Popolazione2011]]/Comuni__2[[#This Row],[POPOLAZIONE TOTALE DI OGNI REGIONE (CON FILTRO)]]</f>
        <v>4.5937125142153888E-3</v>
      </c>
      <c r="H4106" t="str">
        <f>IF(Comuni__2[[#This Row],[Popolazione2011]]&gt;300000,"MAGGIORE","")</f>
        <v/>
      </c>
      <c r="J4106">
        <v>129</v>
      </c>
      <c r="K4106">
        <v>1620</v>
      </c>
      <c r="L4106">
        <v>268</v>
      </c>
    </row>
    <row r="4107" spans="1:12" x14ac:dyDescent="0.2">
      <c r="A4107"/>
      <c r="B4107"/>
      <c r="C4107"/>
      <c r="D4107"/>
      <c r="E4107" s="2">
        <f>Comuni__2[[#This Row],[Popolazione2011]]/$D$7911</f>
        <v>1.172103558353264E-4</v>
      </c>
      <c r="F4107">
        <f>SUMIFS($D$2:$D$7909, $B$2:$B$7909, "Marche")</f>
        <v>1540584</v>
      </c>
      <c r="G4107" s="1">
        <f>Comuni__2[[#This Row],[Popolazione2011]]/Comuni__2[[#This Row],[POPOLAZIONE TOTALE DI OGNI REGIONE (CON FILTRO)]]</f>
        <v>4.5210128107263216E-3</v>
      </c>
      <c r="H4107" t="str">
        <f>IF(Comuni__2[[#This Row],[Popolazione2011]]&gt;300000,"MAGGIORE","")</f>
        <v/>
      </c>
      <c r="J4107">
        <v>118</v>
      </c>
      <c r="K4107">
        <v>1627</v>
      </c>
      <c r="L4107">
        <v>268</v>
      </c>
    </row>
    <row r="4108" spans="1:12" x14ac:dyDescent="0.2">
      <c r="A4108"/>
      <c r="B4108"/>
      <c r="C4108"/>
      <c r="D4108"/>
      <c r="E4108" s="2">
        <f>Comuni__2[[#This Row],[Popolazione2011]]/$D$7911</f>
        <v>1.1641941732502341E-4</v>
      </c>
      <c r="F4108">
        <f>SUMIFS($D$2:$D$7909, $B$2:$B$7909, "Marche")</f>
        <v>1540584</v>
      </c>
      <c r="G4108" s="1">
        <f>Comuni__2[[#This Row],[Popolazione2011]]/Comuni__2[[#This Row],[POPOLAZIONE TOTALE DI OGNI REGIONE (CON FILTRO)]]</f>
        <v>4.4905048994407313E-3</v>
      </c>
      <c r="H4108" t="str">
        <f>IF(Comuni__2[[#This Row],[Popolazione2011]]&gt;300000,"MAGGIORE","")</f>
        <v/>
      </c>
      <c r="J4108">
        <v>113</v>
      </c>
      <c r="K4108">
        <v>1634</v>
      </c>
      <c r="L4108">
        <v>268</v>
      </c>
    </row>
    <row r="4109" spans="1:12" x14ac:dyDescent="0.2">
      <c r="A4109"/>
      <c r="B4109"/>
      <c r="C4109"/>
      <c r="D4109"/>
      <c r="E4109" s="2">
        <f>Comuni__2[[#This Row],[Popolazione2011]]/$D$7911</f>
        <v>1.1615016166194154E-4</v>
      </c>
      <c r="F4109">
        <f>SUMIFS($D$2:$D$7909, $B$2:$B$7909, "Marche")</f>
        <v>1540584</v>
      </c>
      <c r="G4109" s="1">
        <f>Comuni__2[[#This Row],[Popolazione2011]]/Comuni__2[[#This Row],[POPOLAZIONE TOTALE DI OGNI REGIONE (CON FILTRO)]]</f>
        <v>4.4801192275137217E-3</v>
      </c>
      <c r="H4109" t="str">
        <f>IF(Comuni__2[[#This Row],[Popolazione2011]]&gt;300000,"MAGGIORE","")</f>
        <v/>
      </c>
      <c r="J4109">
        <v>104</v>
      </c>
      <c r="K4109">
        <v>1640</v>
      </c>
      <c r="L4109">
        <v>269</v>
      </c>
    </row>
    <row r="4110" spans="1:12" x14ac:dyDescent="0.2">
      <c r="A4110"/>
      <c r="B4110"/>
      <c r="C4110"/>
      <c r="D4110"/>
      <c r="E4110" s="2">
        <f>Comuni__2[[#This Row],[Popolazione2011]]/$D$7911</f>
        <v>1.1347443351006546E-4</v>
      </c>
      <c r="F4110">
        <f>SUMIFS($D$2:$D$7909, $B$2:$B$7909, "Marche")</f>
        <v>1540584</v>
      </c>
      <c r="G4110" s="1">
        <f>Comuni__2[[#This Row],[Popolazione2011]]/Comuni__2[[#This Row],[POPOLAZIONE TOTALE DI OGNI REGIONE (CON FILTRO)]]</f>
        <v>4.376911612739065E-3</v>
      </c>
      <c r="H4110" t="str">
        <f>IF(Comuni__2[[#This Row],[Popolazione2011]]&gt;300000,"MAGGIORE","")</f>
        <v/>
      </c>
      <c r="J4110">
        <v>100</v>
      </c>
      <c r="K4110">
        <v>1701</v>
      </c>
      <c r="L4110">
        <v>269</v>
      </c>
    </row>
    <row r="4111" spans="1:12" x14ac:dyDescent="0.2">
      <c r="A4111"/>
      <c r="B4111"/>
      <c r="C4111"/>
      <c r="D4111"/>
      <c r="E4111" s="2">
        <f>Comuni__2[[#This Row],[Popolazione2011]]/$D$7911</f>
        <v>1.1307055001544266E-4</v>
      </c>
      <c r="F4111">
        <f>SUMIFS($D$2:$D$7909, $B$2:$B$7909, "Marche")</f>
        <v>1540584</v>
      </c>
      <c r="G4111" s="1">
        <f>Comuni__2[[#This Row],[Popolazione2011]]/Comuni__2[[#This Row],[POPOLAZIONE TOTALE DI OGNI REGIONE (CON FILTRO)]]</f>
        <v>4.3613331048485511E-3</v>
      </c>
      <c r="H4111" t="str">
        <f>IF(Comuni__2[[#This Row],[Popolazione2011]]&gt;300000,"MAGGIORE","")</f>
        <v/>
      </c>
      <c r="J4111">
        <v>98</v>
      </c>
      <c r="K4111">
        <v>1724</v>
      </c>
      <c r="L4111">
        <v>270</v>
      </c>
    </row>
    <row r="4112" spans="1:12" x14ac:dyDescent="0.2">
      <c r="A4112"/>
      <c r="B4112"/>
      <c r="C4112"/>
      <c r="D4112"/>
      <c r="E4112" s="2">
        <f>Comuni__2[[#This Row],[Popolazione2011]]/$D$7911</f>
        <v>1.1285177978918863E-4</v>
      </c>
      <c r="F4112">
        <f>SUMIFS($D$2:$D$7909, $B$2:$B$7909, "Marche")</f>
        <v>1540584</v>
      </c>
      <c r="G4112" s="1">
        <f>Comuni__2[[#This Row],[Popolazione2011]]/Comuni__2[[#This Row],[POPOLAZIONE TOTALE DI OGNI REGIONE (CON FILTRO)]]</f>
        <v>4.352894746407856E-3</v>
      </c>
      <c r="H4112" t="str">
        <f>IF(Comuni__2[[#This Row],[Popolazione2011]]&gt;300000,"MAGGIORE","")</f>
        <v/>
      </c>
      <c r="J4112">
        <v>93</v>
      </c>
      <c r="K4112">
        <v>1729</v>
      </c>
      <c r="L4112">
        <v>271</v>
      </c>
    </row>
    <row r="4113" spans="1:12" x14ac:dyDescent="0.2">
      <c r="A4113"/>
      <c r="B4113"/>
      <c r="C4113"/>
      <c r="D4113"/>
      <c r="E4113" s="2">
        <f>Comuni__2[[#This Row],[Popolazione2011]]/$D$7911</f>
        <v>1.1078187687924677E-4</v>
      </c>
      <c r="F4113">
        <f>SUMIFS($D$2:$D$7909, $B$2:$B$7909, "Marche")</f>
        <v>1540584</v>
      </c>
      <c r="G4113" s="1">
        <f>Comuni__2[[#This Row],[Popolazione2011]]/Comuni__2[[#This Row],[POPOLAZIONE TOTALE DI OGNI REGIONE (CON FILTRO)]]</f>
        <v>4.2730548934689699E-3</v>
      </c>
      <c r="H4113" t="str">
        <f>IF(Comuni__2[[#This Row],[Popolazione2011]]&gt;300000,"MAGGIORE","")</f>
        <v/>
      </c>
      <c r="J4113">
        <v>83</v>
      </c>
      <c r="K4113">
        <v>1845</v>
      </c>
      <c r="L4113">
        <v>272</v>
      </c>
    </row>
    <row r="4114" spans="1:12" x14ac:dyDescent="0.2">
      <c r="A4114"/>
      <c r="B4114"/>
      <c r="C4114"/>
      <c r="D4114"/>
      <c r="E4114" s="2">
        <f>Comuni__2[[#This Row],[Popolazione2011]]/$D$7911</f>
        <v>1.1031067946885349E-4</v>
      </c>
      <c r="F4114">
        <f>SUMIFS($D$2:$D$7909, $B$2:$B$7909, "Marche")</f>
        <v>1540584</v>
      </c>
      <c r="G4114" s="1">
        <f>Comuni__2[[#This Row],[Popolazione2011]]/Comuni__2[[#This Row],[POPOLAZIONE TOTALE DI OGNI REGIONE (CON FILTRO)]]</f>
        <v>4.2548799675967038E-3</v>
      </c>
      <c r="H4114" t="str">
        <f>IF(Comuni__2[[#This Row],[Popolazione2011]]&gt;300000,"MAGGIORE","")</f>
        <v/>
      </c>
      <c r="J4114">
        <v>80</v>
      </c>
      <c r="K4114">
        <v>2021</v>
      </c>
      <c r="L4114">
        <v>272</v>
      </c>
    </row>
    <row r="4115" spans="1:12" x14ac:dyDescent="0.2">
      <c r="A4115"/>
      <c r="B4115"/>
      <c r="C4115"/>
      <c r="D4115"/>
      <c r="E4115" s="2">
        <f>Comuni__2[[#This Row],[Popolazione2011]]/$D$7911</f>
        <v>1.0391585747065909E-4</v>
      </c>
      <c r="F4115">
        <f>SUMIFS($D$2:$D$7909, $B$2:$B$7909, "Marche")</f>
        <v>1540584</v>
      </c>
      <c r="G4115" s="1">
        <f>Comuni__2[[#This Row],[Popolazione2011]]/Comuni__2[[#This Row],[POPOLAZIONE TOTALE DI OGNI REGIONE (CON FILTRO)]]</f>
        <v>4.0082202593302281E-3</v>
      </c>
      <c r="H4115" t="str">
        <f>IF(Comuni__2[[#This Row],[Popolazione2011]]&gt;300000,"MAGGIORE","")</f>
        <v/>
      </c>
      <c r="J4115">
        <v>74</v>
      </c>
      <c r="K4115">
        <v>2031</v>
      </c>
      <c r="L4115">
        <v>272</v>
      </c>
    </row>
    <row r="4116" spans="1:12" x14ac:dyDescent="0.2">
      <c r="A4116"/>
      <c r="B4116"/>
      <c r="C4116"/>
      <c r="D4116"/>
      <c r="E4116" s="2">
        <f>Comuni__2[[#This Row],[Popolazione2011]]/$D$7911</f>
        <v>9.8362459419595524E-5</v>
      </c>
      <c r="F4116">
        <f>SUMIFS($D$2:$D$7909, $B$2:$B$7909, "Marche")</f>
        <v>1540584</v>
      </c>
      <c r="G4116" s="1">
        <f>Comuni__2[[#This Row],[Popolazione2011]]/Comuni__2[[#This Row],[POPOLAZIONE TOTALE DI OGNI REGIONE (CON FILTRO)]]</f>
        <v>3.794015775835657E-3</v>
      </c>
      <c r="H4116" t="str">
        <f>IF(Comuni__2[[#This Row],[Popolazione2011]]&gt;300000,"MAGGIORE","")</f>
        <v/>
      </c>
      <c r="J4116">
        <v>74</v>
      </c>
      <c r="K4116">
        <v>2170</v>
      </c>
      <c r="L4116">
        <v>273</v>
      </c>
    </row>
    <row r="4117" spans="1:12" x14ac:dyDescent="0.2">
      <c r="A4117"/>
      <c r="B4117"/>
      <c r="C4117"/>
      <c r="D4117"/>
      <c r="E4117" s="2">
        <f>Comuni__2[[#This Row],[Popolazione2011]]/$D$7911</f>
        <v>9.4643365573277198E-5</v>
      </c>
      <c r="F4117">
        <f>SUMIFS($D$2:$D$7909, $B$2:$B$7909, "Marche")</f>
        <v>1540584</v>
      </c>
      <c r="G4117" s="1">
        <f>Comuni__2[[#This Row],[Popolazione2011]]/Comuni__2[[#This Row],[POPOLAZIONE TOTALE DI OGNI REGIONE (CON FILTRO)]]</f>
        <v>3.6505636823438384E-3</v>
      </c>
      <c r="H4117" t="str">
        <f>IF(Comuni__2[[#This Row],[Popolazione2011]]&gt;300000,"MAGGIORE","")</f>
        <v/>
      </c>
      <c r="J4117">
        <v>72</v>
      </c>
      <c r="K4117">
        <v>2183</v>
      </c>
      <c r="L4117">
        <v>274</v>
      </c>
    </row>
    <row r="4118" spans="1:12" x14ac:dyDescent="0.2">
      <c r="A4118"/>
      <c r="B4118"/>
      <c r="C4118"/>
      <c r="D4118"/>
      <c r="E4118" s="2">
        <f>Comuni__2[[#This Row],[Popolazione2011]]/$D$7911</f>
        <v>9.0503559753393455E-5</v>
      </c>
      <c r="F4118">
        <f>SUMIFS($D$2:$D$7909, $B$2:$B$7909, "Marche")</f>
        <v>1540584</v>
      </c>
      <c r="G4118" s="1">
        <f>Comuni__2[[#This Row],[Popolazione2011]]/Comuni__2[[#This Row],[POPOLAZIONE TOTALE DI OGNI REGIONE (CON FILTRO)]]</f>
        <v>3.4908839764660675E-3</v>
      </c>
      <c r="H4118" t="str">
        <f>IF(Comuni__2[[#This Row],[Popolazione2011]]&gt;300000,"MAGGIORE","")</f>
        <v/>
      </c>
      <c r="J4118">
        <v>73</v>
      </c>
      <c r="K4118">
        <v>2202</v>
      </c>
      <c r="L4118">
        <v>274</v>
      </c>
    </row>
    <row r="4119" spans="1:12" x14ac:dyDescent="0.2">
      <c r="A4119"/>
      <c r="B4119"/>
      <c r="C4119"/>
      <c r="D4119"/>
      <c r="E4119" s="2">
        <f>Comuni__2[[#This Row],[Popolazione2011]]/$D$7911</f>
        <v>8.7760517685746904E-5</v>
      </c>
      <c r="F4119">
        <f>SUMIFS($D$2:$D$7909, $B$2:$B$7909, "Marche")</f>
        <v>1540584</v>
      </c>
      <c r="G4119" s="1">
        <f>Comuni__2[[#This Row],[Popolazione2011]]/Comuni__2[[#This Row],[POPOLAZIONE TOTALE DI OGNI REGIONE (CON FILTRO)]]</f>
        <v>3.3850799437096582E-3</v>
      </c>
      <c r="H4119" t="str">
        <f>IF(Comuni__2[[#This Row],[Popolazione2011]]&gt;300000,"MAGGIORE","")</f>
        <v/>
      </c>
      <c r="J4119">
        <v>69</v>
      </c>
      <c r="K4119">
        <v>2206</v>
      </c>
      <c r="L4119">
        <v>275</v>
      </c>
    </row>
    <row r="4120" spans="1:12" x14ac:dyDescent="0.2">
      <c r="A4120"/>
      <c r="B4120"/>
      <c r="C4120"/>
      <c r="D4120"/>
      <c r="E4120" s="2">
        <f>Comuni__2[[#This Row],[Popolazione2011]]/$D$7911</f>
        <v>8.5926213481001665E-5</v>
      </c>
      <c r="F4120">
        <f>SUMIFS($D$2:$D$7909, $B$2:$B$7909, "Marche")</f>
        <v>1540584</v>
      </c>
      <c r="G4120" s="1">
        <f>Comuni__2[[#This Row],[Popolazione2011]]/Comuni__2[[#This Row],[POPOLAZIONE TOTALE DI OGNI REGIONE (CON FILTRO)]]</f>
        <v>3.314327553706906E-3</v>
      </c>
      <c r="H4120" t="str">
        <f>IF(Comuni__2[[#This Row],[Popolazione2011]]&gt;300000,"MAGGIORE","")</f>
        <v/>
      </c>
      <c r="J4120">
        <v>67</v>
      </c>
      <c r="K4120">
        <v>2292</v>
      </c>
      <c r="L4120">
        <v>275</v>
      </c>
    </row>
    <row r="4121" spans="1:12" x14ac:dyDescent="0.2">
      <c r="A4121"/>
      <c r="B4121"/>
      <c r="C4121"/>
      <c r="D4121"/>
      <c r="E4121" s="2">
        <f>Comuni__2[[#This Row],[Popolazione2011]]/$D$7911</f>
        <v>8.5488673028493632E-5</v>
      </c>
      <c r="F4121">
        <f>SUMIFS($D$2:$D$7909, $B$2:$B$7909, "Marche")</f>
        <v>1540584</v>
      </c>
      <c r="G4121" s="1">
        <f>Comuni__2[[#This Row],[Popolazione2011]]/Comuni__2[[#This Row],[POPOLAZIONE TOTALE DI OGNI REGIONE (CON FILTRO)]]</f>
        <v>3.2974508368255155E-3</v>
      </c>
      <c r="H4121" t="str">
        <f>IF(Comuni__2[[#This Row],[Popolazione2011]]&gt;300000,"MAGGIORE","")</f>
        <v/>
      </c>
      <c r="J4121">
        <v>63</v>
      </c>
      <c r="K4121">
        <v>2292</v>
      </c>
      <c r="L4121">
        <v>276</v>
      </c>
    </row>
    <row r="4122" spans="1:12" x14ac:dyDescent="0.2">
      <c r="A4122"/>
      <c r="B4122"/>
      <c r="C4122"/>
      <c r="D4122"/>
      <c r="E4122" s="2">
        <f>Comuni__2[[#This Row],[Popolazione2011]]/$D$7911</f>
        <v>8.2695145524019234E-5</v>
      </c>
      <c r="F4122">
        <f>SUMIFS($D$2:$D$7909, $B$2:$B$7909, "Marche")</f>
        <v>1540584</v>
      </c>
      <c r="G4122" s="1">
        <f>Comuni__2[[#This Row],[Popolazione2011]]/Comuni__2[[#This Row],[POPOLAZIONE TOTALE DI OGNI REGIONE (CON FILTRO)]]</f>
        <v>3.1896994905827921E-3</v>
      </c>
      <c r="H4122" t="str">
        <f>IF(Comuni__2[[#This Row],[Popolazione2011]]&gt;300000,"MAGGIORE","")</f>
        <v/>
      </c>
      <c r="J4122">
        <v>60</v>
      </c>
      <c r="K4122">
        <v>2300</v>
      </c>
      <c r="L4122">
        <v>276</v>
      </c>
    </row>
    <row r="4123" spans="1:12" x14ac:dyDescent="0.2">
      <c r="A4123"/>
      <c r="B4123"/>
      <c r="C4123"/>
      <c r="D4123"/>
      <c r="E4123" s="2">
        <f>Comuni__2[[#This Row],[Popolazione2011]]/$D$7911</f>
        <v>8.1954692450544083E-5</v>
      </c>
      <c r="F4123">
        <f>SUMIFS($D$2:$D$7909, $B$2:$B$7909, "Marche")</f>
        <v>1540584</v>
      </c>
      <c r="G4123" s="1">
        <f>Comuni__2[[#This Row],[Popolazione2011]]/Comuni__2[[#This Row],[POPOLAZIONE TOTALE DI OGNI REGIONE (CON FILTRO)]]</f>
        <v>3.1611388927835159E-3</v>
      </c>
      <c r="H4123" t="str">
        <f>IF(Comuni__2[[#This Row],[Popolazione2011]]&gt;300000,"MAGGIORE","")</f>
        <v/>
      </c>
      <c r="J4123">
        <v>54</v>
      </c>
      <c r="K4123">
        <v>2308</v>
      </c>
      <c r="L4123">
        <v>276</v>
      </c>
    </row>
    <row r="4124" spans="1:12" x14ac:dyDescent="0.2">
      <c r="A4124"/>
      <c r="B4124"/>
      <c r="C4124"/>
      <c r="D4124"/>
      <c r="E4124" s="2">
        <f>Comuni__2[[#This Row],[Popolazione2011]]/$D$7911</f>
        <v>8.1466666561208202E-5</v>
      </c>
      <c r="F4124">
        <f>SUMIFS($D$2:$D$7909, $B$2:$B$7909, "Marche")</f>
        <v>1540584</v>
      </c>
      <c r="G4124" s="1">
        <f>Comuni__2[[#This Row],[Popolazione2011]]/Comuni__2[[#This Row],[POPOLAZIONE TOTALE DI OGNI REGIONE (CON FILTRO)]]</f>
        <v>3.1423148624158113E-3</v>
      </c>
      <c r="H4124" t="str">
        <f>IF(Comuni__2[[#This Row],[Popolazione2011]]&gt;300000,"MAGGIORE","")</f>
        <v/>
      </c>
      <c r="J4124">
        <v>49</v>
      </c>
      <c r="K4124">
        <v>2312</v>
      </c>
      <c r="L4124">
        <v>277</v>
      </c>
    </row>
    <row r="4125" spans="1:12" x14ac:dyDescent="0.2">
      <c r="A4125"/>
      <c r="B4125"/>
      <c r="C4125"/>
      <c r="D4125"/>
      <c r="E4125" s="2">
        <f>Comuni__2[[#This Row],[Popolazione2011]]/$D$7911</f>
        <v>8.1416181124380354E-5</v>
      </c>
      <c r="F4125">
        <f>SUMIFS($D$2:$D$7909, $B$2:$B$7909, "Marche")</f>
        <v>1540584</v>
      </c>
      <c r="G4125" s="1">
        <f>Comuni__2[[#This Row],[Popolazione2011]]/Comuni__2[[#This Row],[POPOLAZIONE TOTALE DI OGNI REGIONE (CON FILTRO)]]</f>
        <v>3.1403675489294967E-3</v>
      </c>
      <c r="H4125" t="str">
        <f>IF(Comuni__2[[#This Row],[Popolazione2011]]&gt;300000,"MAGGIORE","")</f>
        <v/>
      </c>
      <c r="J4125">
        <v>47</v>
      </c>
      <c r="K4125">
        <v>2321</v>
      </c>
      <c r="L4125">
        <v>278</v>
      </c>
    </row>
    <row r="4126" spans="1:12" x14ac:dyDescent="0.2">
      <c r="A4126"/>
      <c r="B4126"/>
      <c r="C4126"/>
      <c r="D4126"/>
      <c r="E4126" s="2">
        <f>Comuni__2[[#This Row],[Popolazione2011]]/$D$7911</f>
        <v>8.0322329993110251E-5</v>
      </c>
      <c r="F4126">
        <f>SUMIFS($D$2:$D$7909, $B$2:$B$7909, "Marche")</f>
        <v>1540584</v>
      </c>
      <c r="G4126" s="1">
        <f>Comuni__2[[#This Row],[Popolazione2011]]/Comuni__2[[#This Row],[POPOLAZIONE TOTALE DI OGNI REGIONE (CON FILTRO)]]</f>
        <v>3.0981757567260207E-3</v>
      </c>
      <c r="H4126" t="str">
        <f>IF(Comuni__2[[#This Row],[Popolazione2011]]&gt;300000,"MAGGIORE","")</f>
        <v/>
      </c>
      <c r="J4126">
        <v>45</v>
      </c>
      <c r="K4126">
        <v>2323</v>
      </c>
      <c r="L4126">
        <v>278</v>
      </c>
    </row>
    <row r="4127" spans="1:12" x14ac:dyDescent="0.2">
      <c r="A4127"/>
      <c r="B4127"/>
      <c r="C4127"/>
      <c r="D4127"/>
      <c r="E4127" s="2">
        <f>Comuni__2[[#This Row],[Popolazione2011]]/$D$7911</f>
        <v>8.015404520368409E-5</v>
      </c>
      <c r="F4127">
        <f>SUMIFS($D$2:$D$7909, $B$2:$B$7909, "Marche")</f>
        <v>1540584</v>
      </c>
      <c r="G4127" s="1">
        <f>Comuni__2[[#This Row],[Popolazione2011]]/Comuni__2[[#This Row],[POPOLAZIONE TOTALE DI OGNI REGIONE (CON FILTRO)]]</f>
        <v>3.0916847117716398E-3</v>
      </c>
      <c r="H4127" t="str">
        <f>IF(Comuni__2[[#This Row],[Popolazione2011]]&gt;300000,"MAGGIORE","")</f>
        <v/>
      </c>
      <c r="J4127">
        <v>46</v>
      </c>
      <c r="K4127">
        <v>2324</v>
      </c>
      <c r="L4127">
        <v>278</v>
      </c>
    </row>
    <row r="4128" spans="1:12" x14ac:dyDescent="0.2">
      <c r="A4128"/>
      <c r="B4128"/>
      <c r="C4128"/>
      <c r="D4128"/>
      <c r="E4128" s="2">
        <f>Comuni__2[[#This Row],[Popolazione2011]]/$D$7911</f>
        <v>8.0069902808970996E-5</v>
      </c>
      <c r="F4128">
        <f>SUMIFS($D$2:$D$7909, $B$2:$B$7909, "Marche")</f>
        <v>1540584</v>
      </c>
      <c r="G4128" s="1">
        <f>Comuni__2[[#This Row],[Popolazione2011]]/Comuni__2[[#This Row],[POPOLAZIONE TOTALE DI OGNI REGIONE (CON FILTRO)]]</f>
        <v>3.0884391892944496E-3</v>
      </c>
      <c r="H4128" t="str">
        <f>IF(Comuni__2[[#This Row],[Popolazione2011]]&gt;300000,"MAGGIORE","")</f>
        <v/>
      </c>
      <c r="J4128">
        <v>42</v>
      </c>
      <c r="K4128">
        <v>2327</v>
      </c>
      <c r="L4128">
        <v>279</v>
      </c>
    </row>
    <row r="4129" spans="1:12" x14ac:dyDescent="0.2">
      <c r="A4129"/>
      <c r="B4129"/>
      <c r="C4129"/>
      <c r="D4129"/>
      <c r="E4129" s="2">
        <f>Comuni__2[[#This Row],[Popolazione2011]]/$D$7911</f>
        <v>7.9783818666946508E-5</v>
      </c>
      <c r="F4129">
        <f>SUMIFS($D$2:$D$7909, $B$2:$B$7909, "Marche")</f>
        <v>1540584</v>
      </c>
      <c r="G4129" s="1">
        <f>Comuni__2[[#This Row],[Popolazione2011]]/Comuni__2[[#This Row],[POPOLAZIONE TOTALE DI OGNI REGIONE (CON FILTRO)]]</f>
        <v>3.0774044128720019E-3</v>
      </c>
      <c r="H4129" t="str">
        <f>IF(Comuni__2[[#This Row],[Popolazione2011]]&gt;300000,"MAGGIORE","")</f>
        <v/>
      </c>
      <c r="J4129">
        <v>37</v>
      </c>
      <c r="K4129">
        <v>2335</v>
      </c>
      <c r="L4129">
        <v>279</v>
      </c>
    </row>
    <row r="4130" spans="1:12" x14ac:dyDescent="0.2">
      <c r="A4130"/>
      <c r="B4130"/>
      <c r="C4130"/>
      <c r="D4130"/>
      <c r="E4130" s="2">
        <f>Comuni__2[[#This Row],[Popolazione2011]]/$D$7911</f>
        <v>7.6788349415160716E-5</v>
      </c>
      <c r="F4130">
        <f>SUMIFS($D$2:$D$7909, $B$2:$B$7909, "Marche")</f>
        <v>1540584</v>
      </c>
      <c r="G4130" s="1">
        <f>Comuni__2[[#This Row],[Popolazione2011]]/Comuni__2[[#This Row],[POPOLAZIONE TOTALE DI OGNI REGIONE (CON FILTRO)]]</f>
        <v>2.9618638126840211E-3</v>
      </c>
      <c r="H4130" t="str">
        <f>IF(Comuni__2[[#This Row],[Popolazione2011]]&gt;300000,"MAGGIORE","")</f>
        <v/>
      </c>
      <c r="J4130">
        <v>36</v>
      </c>
      <c r="K4130">
        <v>2335</v>
      </c>
      <c r="L4130">
        <v>279</v>
      </c>
    </row>
    <row r="4131" spans="1:12" x14ac:dyDescent="0.2">
      <c r="A4131"/>
      <c r="B4131"/>
      <c r="C4131"/>
      <c r="D4131"/>
      <c r="E4131" s="2">
        <f>Comuni__2[[#This Row],[Popolazione2011]]/$D$7911</f>
        <v>7.5660841326005381E-5</v>
      </c>
      <c r="F4131">
        <f>SUMIFS($D$2:$D$7909, $B$2:$B$7909, "Marche")</f>
        <v>1540584</v>
      </c>
      <c r="G4131" s="1">
        <f>Comuni__2[[#This Row],[Popolazione2011]]/Comuni__2[[#This Row],[POPOLAZIONE TOTALE DI OGNI REGIONE (CON FILTRO)]]</f>
        <v>2.918373811489669E-3</v>
      </c>
      <c r="H4131" t="str">
        <f>IF(Comuni__2[[#This Row],[Popolazione2011]]&gt;300000,"MAGGIORE","")</f>
        <v/>
      </c>
      <c r="J4131">
        <v>35</v>
      </c>
      <c r="K4131">
        <v>2341</v>
      </c>
      <c r="L4131">
        <v>279</v>
      </c>
    </row>
    <row r="4132" spans="1:12" x14ac:dyDescent="0.2">
      <c r="A4132"/>
      <c r="B4132"/>
      <c r="C4132"/>
      <c r="D4132"/>
      <c r="E4132" s="2">
        <f>Comuni__2[[#This Row],[Popolazione2011]]/$D$7911</f>
        <v>7.3052427089899773E-5</v>
      </c>
      <c r="F4132">
        <f>SUMIFS($D$2:$D$7909, $B$2:$B$7909, "Marche")</f>
        <v>1540584</v>
      </c>
      <c r="G4132" s="1">
        <f>Comuni__2[[#This Row],[Popolazione2011]]/Comuni__2[[#This Row],[POPOLAZIONE TOTALE DI OGNI REGIONE (CON FILTRO)]]</f>
        <v>2.8177626146967645E-3</v>
      </c>
      <c r="H4132" t="str">
        <f>IF(Comuni__2[[#This Row],[Popolazione2011]]&gt;300000,"MAGGIORE","")</f>
        <v/>
      </c>
      <c r="J4132">
        <v>34</v>
      </c>
      <c r="K4132">
        <v>2373</v>
      </c>
      <c r="L4132">
        <v>280</v>
      </c>
    </row>
    <row r="4133" spans="1:12" x14ac:dyDescent="0.2">
      <c r="A4133"/>
      <c r="B4133"/>
      <c r="C4133"/>
      <c r="D4133"/>
      <c r="E4133" s="2">
        <f>Comuni__2[[#This Row],[Popolazione2011]]/$D$7911</f>
        <v>7.2816828384703134E-5</v>
      </c>
      <c r="F4133">
        <f>SUMIFS($D$2:$D$7909, $B$2:$B$7909, "Marche")</f>
        <v>1540584</v>
      </c>
      <c r="G4133" s="1">
        <f>Comuni__2[[#This Row],[Popolazione2011]]/Comuni__2[[#This Row],[POPOLAZIONE TOTALE DI OGNI REGIONE (CON FILTRO)]]</f>
        <v>2.808675151760631E-3</v>
      </c>
      <c r="H4133" t="str">
        <f>IF(Comuni__2[[#This Row],[Popolazione2011]]&gt;300000,"MAGGIORE","")</f>
        <v/>
      </c>
      <c r="J4133">
        <v>36</v>
      </c>
      <c r="K4133">
        <v>2374</v>
      </c>
      <c r="L4133">
        <v>280</v>
      </c>
    </row>
    <row r="4134" spans="1:12" x14ac:dyDescent="0.2">
      <c r="A4134"/>
      <c r="B4134"/>
      <c r="C4134"/>
      <c r="D4134"/>
      <c r="E4134" s="2">
        <f>Comuni__2[[#This Row],[Popolazione2011]]/$D$7911</f>
        <v>7.0881553306302198E-5</v>
      </c>
      <c r="F4134">
        <f>SUMIFS($D$2:$D$7909, $B$2:$B$7909, "Marche")</f>
        <v>1540584</v>
      </c>
      <c r="G4134" s="1">
        <f>Comuni__2[[#This Row],[Popolazione2011]]/Comuni__2[[#This Row],[POPOLAZIONE TOTALE DI OGNI REGIONE (CON FILTRO)]]</f>
        <v>2.7340281347852501E-3</v>
      </c>
      <c r="H4134" t="str">
        <f>IF(Comuni__2[[#This Row],[Popolazione2011]]&gt;300000,"MAGGIORE","")</f>
        <v/>
      </c>
      <c r="J4134">
        <v>28</v>
      </c>
      <c r="K4134">
        <v>2377</v>
      </c>
      <c r="L4134">
        <v>280</v>
      </c>
    </row>
    <row r="4135" spans="1:12" x14ac:dyDescent="0.2">
      <c r="A4135"/>
      <c r="B4135"/>
      <c r="C4135"/>
      <c r="D4135"/>
      <c r="E4135" s="2">
        <f>Comuni__2[[#This Row],[Popolazione2011]]/$D$7911</f>
        <v>7.0662783080048175E-5</v>
      </c>
      <c r="F4135">
        <f>SUMIFS($D$2:$D$7909, $B$2:$B$7909, "Marche")</f>
        <v>1540584</v>
      </c>
      <c r="G4135" s="1">
        <f>Comuni__2[[#This Row],[Popolazione2011]]/Comuni__2[[#This Row],[POPOLAZIONE TOTALE DI OGNI REGIONE (CON FILTRO)]]</f>
        <v>2.7255897763445551E-3</v>
      </c>
      <c r="H4135" t="str">
        <f>IF(Comuni__2[[#This Row],[Popolazione2011]]&gt;300000,"MAGGIORE","")</f>
        <v/>
      </c>
      <c r="J4135">
        <v>27</v>
      </c>
      <c r="K4135">
        <v>2547</v>
      </c>
      <c r="L4135">
        <v>280</v>
      </c>
    </row>
    <row r="4136" spans="1:12" x14ac:dyDescent="0.2">
      <c r="A4136"/>
      <c r="B4136"/>
      <c r="C4136"/>
      <c r="D4136"/>
      <c r="E4136" s="2">
        <f>Comuni__2[[#This Row],[Popolazione2011]]/$D$7911</f>
        <v>6.9114563017327424E-5</v>
      </c>
      <c r="F4136">
        <f>SUMIFS($D$2:$D$7909, $B$2:$B$7909, "Marche")</f>
        <v>1540584</v>
      </c>
      <c r="G4136" s="1">
        <f>Comuni__2[[#This Row],[Popolazione2011]]/Comuni__2[[#This Row],[POPOLAZIONE TOTALE DI OGNI REGIONE (CON FILTRO)]]</f>
        <v>2.6658721627642505E-3</v>
      </c>
      <c r="H4136" t="str">
        <f>IF(Comuni__2[[#This Row],[Popolazione2011]]&gt;300000,"MAGGIORE","")</f>
        <v/>
      </c>
      <c r="J4136">
        <v>26</v>
      </c>
      <c r="K4136">
        <v>2640</v>
      </c>
      <c r="L4136">
        <v>280</v>
      </c>
    </row>
    <row r="4137" spans="1:12" x14ac:dyDescent="0.2">
      <c r="A4137"/>
      <c r="B4137"/>
      <c r="C4137"/>
      <c r="D4137"/>
      <c r="E4137" s="2">
        <f>Comuni__2[[#This Row],[Popolazione2011]]/$D$7911</f>
        <v>6.6758575965361071E-5</v>
      </c>
      <c r="F4137">
        <f>SUMIFS($D$2:$D$7909, $B$2:$B$7909, "Marche")</f>
        <v>1540584</v>
      </c>
      <c r="G4137" s="1">
        <f>Comuni__2[[#This Row],[Popolazione2011]]/Comuni__2[[#This Row],[POPOLAZIONE TOTALE DI OGNI REGIONE (CON FILTRO)]]</f>
        <v>2.5749975334029172E-3</v>
      </c>
      <c r="H4137" t="str">
        <f>IF(Comuni__2[[#This Row],[Popolazione2011]]&gt;300000,"MAGGIORE","")</f>
        <v/>
      </c>
      <c r="J4137">
        <v>26</v>
      </c>
      <c r="K4137">
        <v>2650</v>
      </c>
      <c r="L4137">
        <v>280</v>
      </c>
    </row>
    <row r="4138" spans="1:12" x14ac:dyDescent="0.2">
      <c r="A4138"/>
      <c r="B4138"/>
      <c r="C4138"/>
      <c r="D4138"/>
      <c r="E4138" s="2">
        <f>Comuni__2[[#This Row],[Popolazione2011]]/$D$7911</f>
        <v>6.6119093765541631E-5</v>
      </c>
      <c r="F4138">
        <f>SUMIFS($D$2:$D$7909, $B$2:$B$7909, "Marche")</f>
        <v>1540584</v>
      </c>
      <c r="G4138" s="1">
        <f>Comuni__2[[#This Row],[Popolazione2011]]/Comuni__2[[#This Row],[POPOLAZIONE TOTALE DI OGNI REGIONE (CON FILTRO)]]</f>
        <v>2.5503315625762697E-3</v>
      </c>
      <c r="H4138" t="str">
        <f>IF(Comuni__2[[#This Row],[Popolazione2011]]&gt;300000,"MAGGIORE","")</f>
        <v/>
      </c>
      <c r="J4138">
        <v>26</v>
      </c>
      <c r="K4138">
        <v>2651</v>
      </c>
      <c r="L4138">
        <v>280</v>
      </c>
    </row>
    <row r="4139" spans="1:12" x14ac:dyDescent="0.2">
      <c r="A4139"/>
      <c r="B4139"/>
      <c r="C4139"/>
      <c r="D4139"/>
      <c r="E4139" s="2">
        <f>Comuni__2[[#This Row],[Popolazione2011]]/$D$7911</f>
        <v>6.48906148027306E-5</v>
      </c>
      <c r="F4139">
        <f>SUMIFS($D$2:$D$7909, $B$2:$B$7909, "Marche")</f>
        <v>1540584</v>
      </c>
      <c r="G4139" s="1">
        <f>Comuni__2[[#This Row],[Popolazione2011]]/Comuni__2[[#This Row],[POPOLAZIONE TOTALE DI OGNI REGIONE (CON FILTRO)]]</f>
        <v>2.5029469344092889E-3</v>
      </c>
      <c r="H4139" t="str">
        <f>IF(Comuni__2[[#This Row],[Popolazione2011]]&gt;300000,"MAGGIORE","")</f>
        <v/>
      </c>
      <c r="J4139">
        <v>26</v>
      </c>
      <c r="K4139">
        <v>2651</v>
      </c>
      <c r="L4139">
        <v>280</v>
      </c>
    </row>
    <row r="4140" spans="1:12" x14ac:dyDescent="0.2">
      <c r="A4140"/>
      <c r="B4140"/>
      <c r="C4140"/>
      <c r="D4140"/>
      <c r="E4140" s="2">
        <f>Comuni__2[[#This Row],[Popolazione2011]]/$D$7911</f>
        <v>6.4755986971189657E-5</v>
      </c>
      <c r="F4140">
        <f>SUMIFS($D$2:$D$7909, $B$2:$B$7909, "Marche")</f>
        <v>1540584</v>
      </c>
      <c r="G4140" s="1">
        <f>Comuni__2[[#This Row],[Popolazione2011]]/Comuni__2[[#This Row],[POPOLAZIONE TOTALE DI OGNI REGIONE (CON FILTRO)]]</f>
        <v>2.4977540984457841E-3</v>
      </c>
      <c r="H4140" t="str">
        <f>IF(Comuni__2[[#This Row],[Popolazione2011]]&gt;300000,"MAGGIORE","")</f>
        <v/>
      </c>
      <c r="J4140">
        <v>22</v>
      </c>
      <c r="K4140">
        <v>2661</v>
      </c>
      <c r="L4140">
        <v>280</v>
      </c>
    </row>
    <row r="4141" spans="1:12" x14ac:dyDescent="0.2">
      <c r="A4141"/>
      <c r="B4141"/>
      <c r="C4141"/>
      <c r="D4141"/>
      <c r="E4141" s="2">
        <f>Comuni__2[[#This Row],[Popolazione2011]]/$D$7911</f>
        <v>6.2635598624419931E-5</v>
      </c>
      <c r="F4141">
        <f>SUMIFS($D$2:$D$7909, $B$2:$B$7909, "Marche")</f>
        <v>1540584</v>
      </c>
      <c r="G4141" s="1">
        <f>Comuni__2[[#This Row],[Popolazione2011]]/Comuni__2[[#This Row],[POPOLAZIONE TOTALE DI OGNI REGIONE (CON FILTRO)]]</f>
        <v>2.4159669320205843E-3</v>
      </c>
      <c r="H4141" t="str">
        <f>IF(Comuni__2[[#This Row],[Popolazione2011]]&gt;300000,"MAGGIORE","")</f>
        <v/>
      </c>
      <c r="J4141">
        <v>22</v>
      </c>
      <c r="K4141">
        <v>2662</v>
      </c>
      <c r="L4141">
        <v>280</v>
      </c>
    </row>
    <row r="4142" spans="1:12" x14ac:dyDescent="0.2">
      <c r="A4142"/>
      <c r="B4142"/>
      <c r="C4142"/>
      <c r="D4142"/>
      <c r="E4142" s="2">
        <f>Comuni__2[[#This Row],[Popolazione2011]]/$D$7911</f>
        <v>6.2534627750764234E-5</v>
      </c>
      <c r="F4142">
        <f>SUMIFS($D$2:$D$7909, $B$2:$B$7909, "Marche")</f>
        <v>1540584</v>
      </c>
      <c r="G4142" s="1">
        <f>Comuni__2[[#This Row],[Popolazione2011]]/Comuni__2[[#This Row],[POPOLAZIONE TOTALE DI OGNI REGIONE (CON FILTRO)]]</f>
        <v>2.412072305047956E-3</v>
      </c>
      <c r="H4142" t="str">
        <f>IF(Comuni__2[[#This Row],[Popolazione2011]]&gt;300000,"MAGGIORE","")</f>
        <v/>
      </c>
      <c r="J4142">
        <v>22</v>
      </c>
      <c r="K4142">
        <v>2666</v>
      </c>
      <c r="L4142">
        <v>280</v>
      </c>
    </row>
    <row r="4143" spans="1:12" x14ac:dyDescent="0.2">
      <c r="A4143"/>
      <c r="B4143"/>
      <c r="C4143"/>
      <c r="D4143"/>
      <c r="E4143" s="2">
        <f>Comuni__2[[#This Row],[Popolazione2011]]/$D$7911</f>
        <v>6.2416828398165921E-5</v>
      </c>
      <c r="F4143">
        <f>SUMIFS($D$2:$D$7909, $B$2:$B$7909, "Marche")</f>
        <v>1540584</v>
      </c>
      <c r="G4143" s="1">
        <f>Comuni__2[[#This Row],[Popolazione2011]]/Comuni__2[[#This Row],[POPOLAZIONE TOTALE DI OGNI REGIONE (CON FILTRO)]]</f>
        <v>2.4075285735798892E-3</v>
      </c>
      <c r="H4143" t="str">
        <f>IF(Comuni__2[[#This Row],[Popolazione2011]]&gt;300000,"MAGGIORE","")</f>
        <v/>
      </c>
      <c r="J4143">
        <v>22</v>
      </c>
      <c r="K4143">
        <v>2666</v>
      </c>
      <c r="L4143">
        <v>281</v>
      </c>
    </row>
    <row r="4144" spans="1:12" x14ac:dyDescent="0.2">
      <c r="A4144"/>
      <c r="B4144"/>
      <c r="C4144"/>
      <c r="D4144"/>
      <c r="E4144" s="2">
        <f>Comuni__2[[#This Row],[Popolazione2011]]/$D$7911</f>
        <v>6.1558575972092458E-5</v>
      </c>
      <c r="F4144">
        <f>SUMIFS($D$2:$D$7909, $B$2:$B$7909, "Marche")</f>
        <v>1540584</v>
      </c>
      <c r="G4144" s="1">
        <f>Comuni__2[[#This Row],[Popolazione2011]]/Comuni__2[[#This Row],[POPOLAZIONE TOTALE DI OGNI REGIONE (CON FILTRO)]]</f>
        <v>2.3744242443125463E-3</v>
      </c>
      <c r="H4144" t="str">
        <f>IF(Comuni__2[[#This Row],[Popolazione2011]]&gt;300000,"MAGGIORE","")</f>
        <v/>
      </c>
      <c r="J4144">
        <v>24</v>
      </c>
      <c r="K4144">
        <v>2666</v>
      </c>
      <c r="L4144">
        <v>281</v>
      </c>
    </row>
    <row r="4145" spans="1:12" x14ac:dyDescent="0.2">
      <c r="A4145"/>
      <c r="B4145"/>
      <c r="C4145"/>
      <c r="D4145"/>
      <c r="E4145" s="2">
        <f>Comuni__2[[#This Row],[Popolazione2011]]/$D$7911</f>
        <v>6.1322977266895819E-5</v>
      </c>
      <c r="F4145">
        <f>SUMIFS($D$2:$D$7909, $B$2:$B$7909, "Marche")</f>
        <v>1540584</v>
      </c>
      <c r="G4145" s="1">
        <f>Comuni__2[[#This Row],[Popolazione2011]]/Comuni__2[[#This Row],[POPOLAZIONE TOTALE DI OGNI REGIONE (CON FILTRO)]]</f>
        <v>2.3653367813764132E-3</v>
      </c>
      <c r="H4145" t="str">
        <f>IF(Comuni__2[[#This Row],[Popolazione2011]]&gt;300000,"MAGGIORE","")</f>
        <v/>
      </c>
      <c r="J4145">
        <v>25</v>
      </c>
      <c r="K4145">
        <v>2666</v>
      </c>
      <c r="L4145">
        <v>281</v>
      </c>
    </row>
    <row r="4146" spans="1:12" x14ac:dyDescent="0.2">
      <c r="A4146"/>
      <c r="B4146"/>
      <c r="C4146"/>
      <c r="D4146"/>
      <c r="E4146" s="2">
        <f>Comuni__2[[#This Row],[Popolazione2011]]/$D$7911</f>
        <v>6.0010355909371707E-5</v>
      </c>
      <c r="F4146">
        <f>SUMIFS($D$2:$D$7909, $B$2:$B$7909, "Marche")</f>
        <v>1540584</v>
      </c>
      <c r="G4146" s="1">
        <f>Comuni__2[[#This Row],[Popolazione2011]]/Comuni__2[[#This Row],[POPOLAZIONE TOTALE DI OGNI REGIONE (CON FILTRO)]]</f>
        <v>2.3147066307322418E-3</v>
      </c>
      <c r="H4146" t="str">
        <f>IF(Comuni__2[[#This Row],[Popolazione2011]]&gt;300000,"MAGGIORE","")</f>
        <v/>
      </c>
      <c r="J4146">
        <v>24</v>
      </c>
      <c r="K4146">
        <v>2670</v>
      </c>
      <c r="L4146">
        <v>281</v>
      </c>
    </row>
    <row r="4147" spans="1:12" x14ac:dyDescent="0.2">
      <c r="A4147"/>
      <c r="B4147"/>
      <c r="C4147"/>
      <c r="D4147"/>
      <c r="E4147" s="2">
        <f>Comuni__2[[#This Row],[Popolazione2011]]/$D$7911</f>
        <v>5.9825242641002923E-5</v>
      </c>
      <c r="F4147">
        <f>SUMIFS($D$2:$D$7909, $B$2:$B$7909, "Marche")</f>
        <v>1540584</v>
      </c>
      <c r="G4147" s="1">
        <f>Comuni__2[[#This Row],[Popolazione2011]]/Comuni__2[[#This Row],[POPOLAZIONE TOTALE DI OGNI REGIONE (CON FILTRO)]]</f>
        <v>2.3075664812824228E-3</v>
      </c>
      <c r="H4147" t="str">
        <f>IF(Comuni__2[[#This Row],[Popolazione2011]]&gt;300000,"MAGGIORE","")</f>
        <v/>
      </c>
      <c r="J4147">
        <v>22</v>
      </c>
      <c r="K4147">
        <v>2670</v>
      </c>
      <c r="L4147">
        <v>282</v>
      </c>
    </row>
    <row r="4148" spans="1:12" x14ac:dyDescent="0.2">
      <c r="A4148"/>
      <c r="B4148"/>
      <c r="C4148"/>
      <c r="D4148"/>
      <c r="E4148" s="2">
        <f>Comuni__2[[#This Row],[Popolazione2011]]/$D$7911</f>
        <v>5.883236238338853E-5</v>
      </c>
      <c r="F4148">
        <f>SUMIFS($D$2:$D$7909, $B$2:$B$7909, "Marche")</f>
        <v>1540584</v>
      </c>
      <c r="G4148" s="1">
        <f>Comuni__2[[#This Row],[Popolazione2011]]/Comuni__2[[#This Row],[POPOLAZIONE TOTALE DI OGNI REGIONE (CON FILTRO)]]</f>
        <v>2.2692693160515751E-3</v>
      </c>
      <c r="H4148" t="str">
        <f>IF(Comuni__2[[#This Row],[Popolazione2011]]&gt;300000,"MAGGIORE","")</f>
        <v/>
      </c>
      <c r="J4148">
        <v>21</v>
      </c>
      <c r="K4148">
        <v>2673</v>
      </c>
      <c r="L4148">
        <v>282</v>
      </c>
    </row>
    <row r="4149" spans="1:12" x14ac:dyDescent="0.2">
      <c r="A4149"/>
      <c r="B4149"/>
      <c r="C4149"/>
      <c r="D4149"/>
      <c r="E4149" s="2">
        <f>Comuni__2[[#This Row],[Popolazione2011]]/$D$7911</f>
        <v>5.8596763678191891E-5</v>
      </c>
      <c r="F4149">
        <f>SUMIFS($D$2:$D$7909, $B$2:$B$7909, "Marche")</f>
        <v>1540584</v>
      </c>
      <c r="G4149" s="1">
        <f>Comuni__2[[#This Row],[Popolazione2011]]/Comuni__2[[#This Row],[POPOLAZIONE TOTALE DI OGNI REGIONE (CON FILTRO)]]</f>
        <v>2.260181853115442E-3</v>
      </c>
      <c r="H4149" t="str">
        <f>IF(Comuni__2[[#This Row],[Popolazione2011]]&gt;300000,"MAGGIORE","")</f>
        <v/>
      </c>
      <c r="J4149">
        <v>20</v>
      </c>
      <c r="K4149">
        <v>2674</v>
      </c>
      <c r="L4149">
        <v>282</v>
      </c>
    </row>
    <row r="4150" spans="1:12" x14ac:dyDescent="0.2">
      <c r="A4150"/>
      <c r="B4150"/>
      <c r="C4150"/>
      <c r="D4150"/>
      <c r="E4150" s="2">
        <f>Comuni__2[[#This Row],[Popolazione2011]]/$D$7911</f>
        <v>5.8411650409823107E-5</v>
      </c>
      <c r="F4150">
        <f>SUMIFS($D$2:$D$7909, $B$2:$B$7909, "Marche")</f>
        <v>1540584</v>
      </c>
      <c r="G4150" s="1">
        <f>Comuni__2[[#This Row],[Popolazione2011]]/Comuni__2[[#This Row],[POPOLAZIONE TOTALE DI OGNI REGIONE (CON FILTRO)]]</f>
        <v>2.2530417036656231E-3</v>
      </c>
      <c r="H4150" t="str">
        <f>IF(Comuni__2[[#This Row],[Popolazione2011]]&gt;300000,"MAGGIORE","")</f>
        <v/>
      </c>
      <c r="J4150">
        <v>18</v>
      </c>
      <c r="K4150">
        <v>2674</v>
      </c>
      <c r="L4150">
        <v>282</v>
      </c>
    </row>
    <row r="4151" spans="1:12" x14ac:dyDescent="0.2">
      <c r="A4151"/>
      <c r="B4151"/>
      <c r="C4151"/>
      <c r="D4151"/>
      <c r="E4151" s="2">
        <f>Comuni__2[[#This Row],[Popolazione2011]]/$D$7911</f>
        <v>5.7132686010184227E-5</v>
      </c>
      <c r="F4151">
        <f>SUMIFS($D$2:$D$7909, $B$2:$B$7909, "Marche")</f>
        <v>1540584</v>
      </c>
      <c r="G4151" s="1">
        <f>Comuni__2[[#This Row],[Popolazione2011]]/Comuni__2[[#This Row],[POPOLAZIONE TOTALE DI OGNI REGIONE (CON FILTRO)]]</f>
        <v>2.2037097620123277E-3</v>
      </c>
      <c r="H4151" t="str">
        <f>IF(Comuni__2[[#This Row],[Popolazione2011]]&gt;300000,"MAGGIORE","")</f>
        <v/>
      </c>
      <c r="J4151">
        <v>17</v>
      </c>
      <c r="K4151">
        <v>2674</v>
      </c>
      <c r="L4151">
        <v>282</v>
      </c>
    </row>
    <row r="4152" spans="1:12" x14ac:dyDescent="0.2">
      <c r="A4152"/>
      <c r="B4152"/>
      <c r="C4152"/>
      <c r="D4152"/>
      <c r="E4152" s="2">
        <f>Comuni__2[[#This Row],[Popolazione2011]]/$D$7911</f>
        <v>5.6661488599790955E-5</v>
      </c>
      <c r="F4152">
        <f>SUMIFS($D$2:$D$7909, $B$2:$B$7909, "Marche")</f>
        <v>1540584</v>
      </c>
      <c r="G4152" s="1">
        <f>Comuni__2[[#This Row],[Popolazione2011]]/Comuni__2[[#This Row],[POPOLAZIONE TOTALE DI OGNI REGIONE (CON FILTRO)]]</f>
        <v>2.1855348361400611E-3</v>
      </c>
      <c r="H4152" t="str">
        <f>IF(Comuni__2[[#This Row],[Popolazione2011]]&gt;300000,"MAGGIORE","")</f>
        <v/>
      </c>
      <c r="J4152">
        <v>15</v>
      </c>
      <c r="K4152">
        <v>2674</v>
      </c>
      <c r="L4152">
        <v>282</v>
      </c>
    </row>
    <row r="4153" spans="1:12" x14ac:dyDescent="0.2">
      <c r="A4153"/>
      <c r="B4153"/>
      <c r="C4153"/>
      <c r="D4153"/>
      <c r="E4153" s="2">
        <f>Comuni__2[[#This Row],[Popolazione2011]]/$D$7911</f>
        <v>5.6425889894594316E-5</v>
      </c>
      <c r="F4153">
        <f>SUMIFS($D$2:$D$7909, $B$2:$B$7909, "Marche")</f>
        <v>1540584</v>
      </c>
      <c r="G4153" s="1">
        <f>Comuni__2[[#This Row],[Popolazione2011]]/Comuni__2[[#This Row],[POPOLAZIONE TOTALE DI OGNI REGIONE (CON FILTRO)]]</f>
        <v>2.176447373203928E-3</v>
      </c>
      <c r="H4153" t="str">
        <f>IF(Comuni__2[[#This Row],[Popolazione2011]]&gt;300000,"MAGGIORE","")</f>
        <v/>
      </c>
      <c r="J4153">
        <v>16</v>
      </c>
      <c r="K4153">
        <v>2674</v>
      </c>
      <c r="L4153">
        <v>282</v>
      </c>
    </row>
    <row r="4154" spans="1:12" x14ac:dyDescent="0.2">
      <c r="A4154"/>
      <c r="B4154"/>
      <c r="C4154"/>
      <c r="D4154"/>
      <c r="E4154" s="2">
        <f>Comuni__2[[#This Row],[Popolazione2011]]/$D$7911</f>
        <v>5.5315210284381604E-5</v>
      </c>
      <c r="F4154">
        <f>SUMIFS($D$2:$D$7909, $B$2:$B$7909, "Marche")</f>
        <v>1540584</v>
      </c>
      <c r="G4154" s="1">
        <f>Comuni__2[[#This Row],[Popolazione2011]]/Comuni__2[[#This Row],[POPOLAZIONE TOTALE DI OGNI REGIONE (CON FILTRO)]]</f>
        <v>2.1336064765050135E-3</v>
      </c>
      <c r="H4154" t="str">
        <f>IF(Comuni__2[[#This Row],[Popolazione2011]]&gt;300000,"MAGGIORE","")</f>
        <v/>
      </c>
      <c r="J4154">
        <v>12</v>
      </c>
      <c r="K4154">
        <v>2674</v>
      </c>
      <c r="L4154">
        <v>282</v>
      </c>
    </row>
    <row r="4155" spans="1:12" x14ac:dyDescent="0.2">
      <c r="A4155"/>
      <c r="B4155"/>
      <c r="C4155"/>
      <c r="D4155"/>
      <c r="E4155" s="2">
        <f>Comuni__2[[#This Row],[Popolazione2011]]/$D$7911</f>
        <v>5.4423300900422909E-5</v>
      </c>
      <c r="F4155">
        <f>SUMIFS($D$2:$D$7909, $B$2:$B$7909, "Marche")</f>
        <v>1540584</v>
      </c>
      <c r="G4155" s="1">
        <f>Comuni__2[[#This Row],[Popolazione2011]]/Comuni__2[[#This Row],[POPOLAZIONE TOTALE DI OGNI REGIONE (CON FILTRO)]]</f>
        <v>2.0992039382467949E-3</v>
      </c>
      <c r="H4155" t="str">
        <f>IF(Comuni__2[[#This Row],[Popolazione2011]]&gt;300000,"MAGGIORE","")</f>
        <v/>
      </c>
      <c r="J4155">
        <v>7</v>
      </c>
      <c r="K4155">
        <v>2687</v>
      </c>
      <c r="L4155">
        <v>283</v>
      </c>
    </row>
    <row r="4156" spans="1:12" x14ac:dyDescent="0.2">
      <c r="A4156"/>
      <c r="B4156"/>
      <c r="C4156"/>
      <c r="D4156"/>
      <c r="E4156" s="2">
        <f>Comuni__2[[#This Row],[Popolazione2011]]/$D$7911</f>
        <v>5.3918446532144405E-5</v>
      </c>
      <c r="F4156">
        <f>SUMIFS($D$2:$D$7909, $B$2:$B$7909, "Marche")</f>
        <v>1540584</v>
      </c>
      <c r="G4156" s="1">
        <f>Comuni__2[[#This Row],[Popolazione2011]]/Comuni__2[[#This Row],[POPOLAZIONE TOTALE DI OGNI REGIONE (CON FILTRO)]]</f>
        <v>2.0797308033836518E-3</v>
      </c>
      <c r="H4156" t="str">
        <f>IF(Comuni__2[[#This Row],[Popolazione2011]]&gt;300000,"MAGGIORE","")</f>
        <v/>
      </c>
      <c r="J4156">
        <v>6</v>
      </c>
      <c r="K4156">
        <v>2687</v>
      </c>
      <c r="L4156">
        <v>283</v>
      </c>
    </row>
    <row r="4157" spans="1:12" x14ac:dyDescent="0.2">
      <c r="A4157"/>
      <c r="B4157"/>
      <c r="C4157"/>
      <c r="D4157"/>
      <c r="E4157" s="2">
        <f>Comuni__2[[#This Row],[Popolazione2011]]/$D$7911</f>
        <v>5.1326860774981413E-5</v>
      </c>
      <c r="F4157">
        <f>SUMIFS($D$2:$D$7909, $B$2:$B$7909, "Marche")</f>
        <v>1540584</v>
      </c>
      <c r="G4157" s="1">
        <f>Comuni__2[[#This Row],[Popolazione2011]]/Comuni__2[[#This Row],[POPOLAZIONE TOTALE DI OGNI REGIONE (CON FILTRO)]]</f>
        <v>1.9797687110861854E-3</v>
      </c>
      <c r="H4157" t="str">
        <f>IF(Comuni__2[[#This Row],[Popolazione2011]]&gt;300000,"MAGGIORE","")</f>
        <v/>
      </c>
      <c r="J4157">
        <v>6</v>
      </c>
      <c r="K4157">
        <v>2691</v>
      </c>
      <c r="L4157">
        <v>283</v>
      </c>
    </row>
    <row r="4158" spans="1:12" x14ac:dyDescent="0.2">
      <c r="A4158"/>
      <c r="B4158"/>
      <c r="C4158"/>
      <c r="D4158"/>
      <c r="E4158" s="2">
        <f>Comuni__2[[#This Row],[Popolazione2011]]/$D$7911</f>
        <v>5.0922977280358606E-5</v>
      </c>
      <c r="F4158">
        <f>SUMIFS($D$2:$D$7909, $B$2:$B$7909, "Marche")</f>
        <v>1540584</v>
      </c>
      <c r="G4158" s="1">
        <f>Comuni__2[[#This Row],[Popolazione2011]]/Comuni__2[[#This Row],[POPOLAZIONE TOTALE DI OGNI REGIONE (CON FILTRO)]]</f>
        <v>1.9641902031956714E-3</v>
      </c>
      <c r="H4158" t="str">
        <f>IF(Comuni__2[[#This Row],[Popolazione2011]]&gt;300000,"MAGGIORE","")</f>
        <v/>
      </c>
      <c r="J4158">
        <v>6</v>
      </c>
      <c r="K4158">
        <v>2693</v>
      </c>
      <c r="L4158">
        <v>283</v>
      </c>
    </row>
    <row r="4159" spans="1:12" x14ac:dyDescent="0.2">
      <c r="A4159"/>
      <c r="B4159"/>
      <c r="C4159"/>
      <c r="D4159"/>
      <c r="E4159" s="2">
        <f>Comuni__2[[#This Row],[Popolazione2011]]/$D$7911</f>
        <v>4.9930097022744214E-5</v>
      </c>
      <c r="F4159">
        <f>SUMIFS($D$2:$D$7909, $B$2:$B$7909, "Marche")</f>
        <v>1540584</v>
      </c>
      <c r="G4159" s="1">
        <f>Comuni__2[[#This Row],[Popolazione2011]]/Comuni__2[[#This Row],[POPOLAZIONE TOTALE DI OGNI REGIONE (CON FILTRO)]]</f>
        <v>1.9258930379648237E-3</v>
      </c>
      <c r="H4159" t="str">
        <f>IF(Comuni__2[[#This Row],[Popolazione2011]]&gt;300000,"MAGGIORE","")</f>
        <v/>
      </c>
      <c r="J4159">
        <v>5</v>
      </c>
      <c r="K4159">
        <v>2693</v>
      </c>
      <c r="L4159">
        <v>283</v>
      </c>
    </row>
    <row r="4160" spans="1:12" x14ac:dyDescent="0.2">
      <c r="A4160"/>
      <c r="B4160"/>
      <c r="C4160"/>
      <c r="D4160"/>
      <c r="E4160" s="2">
        <f>Comuni__2[[#This Row],[Popolazione2011]]/$D$7911</f>
        <v>4.9593527443891871E-5</v>
      </c>
      <c r="F4160">
        <f>SUMIFS($D$2:$D$7909, $B$2:$B$7909, "Marche")</f>
        <v>1540584</v>
      </c>
      <c r="G4160" s="1">
        <f>Comuni__2[[#This Row],[Popolazione2011]]/Comuni__2[[#This Row],[POPOLAZIONE TOTALE DI OGNI REGIONE (CON FILTRO)]]</f>
        <v>1.9129109480560619E-3</v>
      </c>
      <c r="H4160" t="str">
        <f>IF(Comuni__2[[#This Row],[Popolazione2011]]&gt;300000,"MAGGIORE","")</f>
        <v/>
      </c>
      <c r="J4160">
        <v>6</v>
      </c>
      <c r="K4160">
        <v>2694</v>
      </c>
      <c r="L4160">
        <v>283</v>
      </c>
    </row>
    <row r="4161" spans="1:12" x14ac:dyDescent="0.2">
      <c r="A4161"/>
      <c r="B4161"/>
      <c r="C4161"/>
      <c r="D4161"/>
      <c r="E4161" s="2">
        <f>Comuni__2[[#This Row],[Popolazione2011]]/$D$7911</f>
        <v>4.7355339744523831E-5</v>
      </c>
      <c r="F4161">
        <f>SUMIFS($D$2:$D$7909, $B$2:$B$7909, "Marche")</f>
        <v>1540584</v>
      </c>
      <c r="G4161" s="1">
        <f>Comuni__2[[#This Row],[Popolazione2011]]/Comuni__2[[#This Row],[POPOLAZIONE TOTALE DI OGNI REGIONE (CON FILTRO)]]</f>
        <v>1.8265800501627953E-3</v>
      </c>
      <c r="H4161" t="str">
        <f>IF(Comuni__2[[#This Row],[Popolazione2011]]&gt;300000,"MAGGIORE","")</f>
        <v/>
      </c>
      <c r="J4161">
        <v>4</v>
      </c>
      <c r="K4161">
        <v>2695</v>
      </c>
      <c r="L4161">
        <v>283</v>
      </c>
    </row>
    <row r="4162" spans="1:12" x14ac:dyDescent="0.2">
      <c r="A4162"/>
      <c r="B4162"/>
      <c r="C4162"/>
      <c r="D4162"/>
      <c r="E4162" s="2">
        <f>Comuni__2[[#This Row],[Popolazione2011]]/$D$7911</f>
        <v>4.7153397997212431E-5</v>
      </c>
      <c r="F4162">
        <f>SUMIFS($D$2:$D$7909, $B$2:$B$7909, "Marche")</f>
        <v>1540584</v>
      </c>
      <c r="G4162" s="1">
        <f>Comuni__2[[#This Row],[Popolazione2011]]/Comuni__2[[#This Row],[POPOLAZIONE TOTALE DI OGNI REGIONE (CON FILTRO)]]</f>
        <v>1.8187907962175383E-3</v>
      </c>
      <c r="H4162" t="str">
        <f>IF(Comuni__2[[#This Row],[Popolazione2011]]&gt;300000,"MAGGIORE","")</f>
        <v/>
      </c>
      <c r="J4162">
        <v>4</v>
      </c>
      <c r="K4162">
        <v>2695</v>
      </c>
      <c r="L4162">
        <v>283</v>
      </c>
    </row>
    <row r="4163" spans="1:12" x14ac:dyDescent="0.2">
      <c r="A4163"/>
      <c r="B4163"/>
      <c r="C4163"/>
      <c r="D4163"/>
      <c r="E4163" s="2">
        <f>Comuni__2[[#This Row],[Popolazione2011]]/$D$7911</f>
        <v>4.6631715149991304E-5</v>
      </c>
      <c r="F4163">
        <f>SUMIFS($D$2:$D$7909, $B$2:$B$7909, "Marche")</f>
        <v>1540584</v>
      </c>
      <c r="G4163" s="1">
        <f>Comuni__2[[#This Row],[Popolazione2011]]/Comuni__2[[#This Row],[POPOLAZIONE TOTALE DI OGNI REGIONE (CON FILTRO)]]</f>
        <v>1.7986685568589574E-3</v>
      </c>
      <c r="H4163" t="str">
        <f>IF(Comuni__2[[#This Row],[Popolazione2011]]&gt;300000,"MAGGIORE","")</f>
        <v/>
      </c>
      <c r="J4163">
        <v>6</v>
      </c>
      <c r="K4163">
        <v>2695</v>
      </c>
      <c r="L4163">
        <v>283</v>
      </c>
    </row>
    <row r="4164" spans="1:12" x14ac:dyDescent="0.2">
      <c r="A4164"/>
      <c r="B4164"/>
      <c r="C4164"/>
      <c r="D4164"/>
      <c r="E4164" s="2">
        <f>Comuni__2[[#This Row],[Popolazione2011]]/$D$7911</f>
        <v>4.5874433597573551E-5</v>
      </c>
      <c r="F4164">
        <f>SUMIFS($D$2:$D$7909, $B$2:$B$7909, "Marche")</f>
        <v>1540584</v>
      </c>
      <c r="G4164" s="1">
        <f>Comuni__2[[#This Row],[Popolazione2011]]/Comuni__2[[#This Row],[POPOLAZIONE TOTALE DI OGNI REGIONE (CON FILTRO)]]</f>
        <v>1.7694588545642432E-3</v>
      </c>
      <c r="H4164" t="str">
        <f>IF(Comuni__2[[#This Row],[Popolazione2011]]&gt;300000,"MAGGIORE","")</f>
        <v/>
      </c>
      <c r="J4164">
        <v>9</v>
      </c>
      <c r="K4164">
        <v>2695</v>
      </c>
      <c r="L4164">
        <v>283</v>
      </c>
    </row>
    <row r="4165" spans="1:12" x14ac:dyDescent="0.2">
      <c r="A4165"/>
      <c r="B4165"/>
      <c r="C4165"/>
      <c r="D4165"/>
      <c r="E4165" s="2">
        <f>Comuni__2[[#This Row],[Popolazione2011]]/$D$7911</f>
        <v>4.5638834892376912E-5</v>
      </c>
      <c r="F4165">
        <f>SUMIFS($D$2:$D$7909, $B$2:$B$7909, "Marche")</f>
        <v>1540584</v>
      </c>
      <c r="G4165" s="1">
        <f>Comuni__2[[#This Row],[Popolazione2011]]/Comuni__2[[#This Row],[POPOLAZIONE TOTALE DI OGNI REGIONE (CON FILTRO)]]</f>
        <v>1.7603713916281099E-3</v>
      </c>
      <c r="H4165" t="str">
        <f>IF(Comuni__2[[#This Row],[Popolazione2011]]&gt;300000,"MAGGIORE","")</f>
        <v/>
      </c>
      <c r="J4165">
        <v>14</v>
      </c>
      <c r="K4165">
        <v>2695</v>
      </c>
      <c r="L4165">
        <v>283</v>
      </c>
    </row>
    <row r="4166" spans="1:12" x14ac:dyDescent="0.2">
      <c r="A4166"/>
      <c r="B4166"/>
      <c r="C4166"/>
      <c r="D4166"/>
      <c r="E4166" s="2">
        <f>Comuni__2[[#This Row],[Popolazione2011]]/$D$7911</f>
        <v>4.5436893145065512E-5</v>
      </c>
      <c r="F4166">
        <f>SUMIFS($D$2:$D$7909, $B$2:$B$7909, "Marche")</f>
        <v>1540584</v>
      </c>
      <c r="G4166" s="1">
        <f>Comuni__2[[#This Row],[Popolazione2011]]/Comuni__2[[#This Row],[POPOLAZIONE TOTALE DI OGNI REGIONE (CON FILTRO)]]</f>
        <v>1.7525821376828527E-3</v>
      </c>
      <c r="H4166" t="str">
        <f>IF(Comuni__2[[#This Row],[Popolazione2011]]&gt;300000,"MAGGIORE","")</f>
        <v/>
      </c>
      <c r="J4166">
        <v>12</v>
      </c>
      <c r="K4166">
        <v>2697</v>
      </c>
      <c r="L4166">
        <v>283</v>
      </c>
    </row>
    <row r="4167" spans="1:12" x14ac:dyDescent="0.2">
      <c r="A4167"/>
      <c r="B4167"/>
      <c r="C4167"/>
      <c r="D4167"/>
      <c r="E4167" s="2">
        <f>Comuni__2[[#This Row],[Popolazione2011]]/$D$7911</f>
        <v>4.2862135866845129E-5</v>
      </c>
      <c r="F4167">
        <f>SUMIFS($D$2:$D$7909, $B$2:$B$7909, "Marche")</f>
        <v>1540584</v>
      </c>
      <c r="G4167" s="1">
        <f>Comuni__2[[#This Row],[Popolazione2011]]/Comuni__2[[#This Row],[POPOLAZIONE TOTALE DI OGNI REGIONE (CON FILTRO)]]</f>
        <v>1.6532691498808245E-3</v>
      </c>
      <c r="H4167" t="str">
        <f>IF(Comuni__2[[#This Row],[Popolazione2011]]&gt;300000,"MAGGIORE","")</f>
        <v/>
      </c>
      <c r="J4167">
        <v>12</v>
      </c>
      <c r="K4167">
        <v>2704</v>
      </c>
      <c r="L4167">
        <v>283</v>
      </c>
    </row>
    <row r="4168" spans="1:12" x14ac:dyDescent="0.2">
      <c r="A4168"/>
      <c r="B4168"/>
      <c r="C4168"/>
      <c r="D4168"/>
      <c r="E4168" s="2">
        <f>Comuni__2[[#This Row],[Popolazione2011]]/$D$7911</f>
        <v>4.178511321451765E-5</v>
      </c>
      <c r="F4168">
        <f>SUMIFS($D$2:$D$7909, $B$2:$B$7909, "Marche")</f>
        <v>1540584</v>
      </c>
      <c r="G4168" s="1">
        <f>Comuni__2[[#This Row],[Popolazione2011]]/Comuni__2[[#This Row],[POPOLAZIONE TOTALE DI OGNI REGIONE (CON FILTRO)]]</f>
        <v>1.6117264621727863E-3</v>
      </c>
      <c r="H4168" t="str">
        <f>IF(Comuni__2[[#This Row],[Popolazione2011]]&gt;300000,"MAGGIORE","")</f>
        <v/>
      </c>
      <c r="J4168">
        <v>12</v>
      </c>
      <c r="K4168">
        <v>2706</v>
      </c>
      <c r="L4168">
        <v>283</v>
      </c>
    </row>
    <row r="4169" spans="1:12" x14ac:dyDescent="0.2">
      <c r="A4169"/>
      <c r="B4169"/>
      <c r="C4169"/>
      <c r="D4169"/>
      <c r="E4169" s="2">
        <f>Comuni__2[[#This Row],[Popolazione2011]]/$D$7911</f>
        <v>4.1751456256632417E-5</v>
      </c>
      <c r="F4169">
        <f>SUMIFS($D$2:$D$7909, $B$2:$B$7909, "Marche")</f>
        <v>1540584</v>
      </c>
      <c r="G4169" s="1">
        <f>Comuni__2[[#This Row],[Popolazione2011]]/Comuni__2[[#This Row],[POPOLAZIONE TOTALE DI OGNI REGIONE (CON FILTRO)]]</f>
        <v>1.6104282531819102E-3</v>
      </c>
      <c r="H4169" t="str">
        <f>IF(Comuni__2[[#This Row],[Popolazione2011]]&gt;300000,"MAGGIORE","")</f>
        <v/>
      </c>
      <c r="J4169">
        <v>13</v>
      </c>
      <c r="K4169">
        <v>2709</v>
      </c>
      <c r="L4169">
        <v>283</v>
      </c>
    </row>
    <row r="4170" spans="1:12" x14ac:dyDescent="0.2">
      <c r="A4170"/>
      <c r="B4170"/>
      <c r="C4170"/>
      <c r="D4170"/>
      <c r="E4170" s="2">
        <f>Comuni__2[[#This Row],[Popolazione2011]]/$D$7911</f>
        <v>4.1061488619985129E-5</v>
      </c>
      <c r="F4170">
        <f>SUMIFS($D$2:$D$7909, $B$2:$B$7909, "Marche")</f>
        <v>1540584</v>
      </c>
      <c r="G4170" s="1">
        <f>Comuni__2[[#This Row],[Popolazione2011]]/Comuni__2[[#This Row],[POPOLAZIONE TOTALE DI OGNI REGIONE (CON FILTRO)]]</f>
        <v>1.5838149688689484E-3</v>
      </c>
      <c r="H4170" t="str">
        <f>IF(Comuni__2[[#This Row],[Popolazione2011]]&gt;300000,"MAGGIORE","")</f>
        <v/>
      </c>
      <c r="J4170">
        <v>13</v>
      </c>
      <c r="K4170">
        <v>2712</v>
      </c>
      <c r="L4170">
        <v>283</v>
      </c>
    </row>
    <row r="4171" spans="1:12" x14ac:dyDescent="0.2">
      <c r="A4171"/>
      <c r="B4171"/>
      <c r="C4171"/>
      <c r="D4171"/>
      <c r="E4171" s="2">
        <f>Comuni__2[[#This Row],[Popolazione2011]]/$D$7911</f>
        <v>4.0741747520075409E-5</v>
      </c>
      <c r="F4171">
        <f>SUMIFS($D$2:$D$7909, $B$2:$B$7909, "Marche")</f>
        <v>1540584</v>
      </c>
      <c r="G4171" s="1">
        <f>Comuni__2[[#This Row],[Popolazione2011]]/Comuni__2[[#This Row],[POPOLAZIONE TOTALE DI OGNI REGIONE (CON FILTRO)]]</f>
        <v>1.5714819834556247E-3</v>
      </c>
      <c r="H4171" t="str">
        <f>IF(Comuni__2[[#This Row],[Popolazione2011]]&gt;300000,"MAGGIORE","")</f>
        <v/>
      </c>
      <c r="J4171">
        <v>13</v>
      </c>
      <c r="K4171">
        <v>2713</v>
      </c>
      <c r="L4171">
        <v>283</v>
      </c>
    </row>
    <row r="4172" spans="1:12" x14ac:dyDescent="0.2">
      <c r="A4172"/>
      <c r="B4172"/>
      <c r="C4172"/>
      <c r="D4172"/>
      <c r="E4172" s="2">
        <f>Comuni__2[[#This Row],[Popolazione2011]]/$D$7911</f>
        <v>4.0708090562190177E-5</v>
      </c>
      <c r="F4172">
        <f>SUMIFS($D$2:$D$7909, $B$2:$B$7909, "Marche")</f>
        <v>1540584</v>
      </c>
      <c r="G4172" s="1">
        <f>Comuni__2[[#This Row],[Popolazione2011]]/Comuni__2[[#This Row],[POPOLAZIONE TOTALE DI OGNI REGIONE (CON FILTRO)]]</f>
        <v>1.5701837744647484E-3</v>
      </c>
      <c r="H4172" t="str">
        <f>IF(Comuni__2[[#This Row],[Popolazione2011]]&gt;300000,"MAGGIORE","")</f>
        <v/>
      </c>
      <c r="J4172">
        <v>17</v>
      </c>
      <c r="K4172">
        <v>2715</v>
      </c>
      <c r="L4172">
        <v>283</v>
      </c>
    </row>
    <row r="4173" spans="1:12" x14ac:dyDescent="0.2">
      <c r="A4173"/>
      <c r="B4173"/>
      <c r="C4173"/>
      <c r="D4173"/>
      <c r="E4173" s="2">
        <f>Comuni__2[[#This Row],[Popolazione2011]]/$D$7911</f>
        <v>3.9647896388805314E-5</v>
      </c>
      <c r="F4173">
        <f>SUMIFS($D$2:$D$7909, $B$2:$B$7909, "Marche")</f>
        <v>1540584</v>
      </c>
      <c r="G4173" s="1">
        <f>Comuni__2[[#This Row],[Popolazione2011]]/Comuni__2[[#This Row],[POPOLAZIONE TOTALE DI OGNI REGIONE (CON FILTRO)]]</f>
        <v>1.5292901912521484E-3</v>
      </c>
      <c r="H4173" t="str">
        <f>IF(Comuni__2[[#This Row],[Popolazione2011]]&gt;300000,"MAGGIORE","")</f>
        <v/>
      </c>
      <c r="J4173">
        <v>22</v>
      </c>
      <c r="K4173">
        <v>2715</v>
      </c>
      <c r="L4173">
        <v>283</v>
      </c>
    </row>
    <row r="4174" spans="1:12" x14ac:dyDescent="0.2">
      <c r="A4174"/>
      <c r="B4174"/>
      <c r="C4174"/>
      <c r="D4174"/>
      <c r="E4174" s="2">
        <f>Comuni__2[[#This Row],[Popolazione2011]]/$D$7911</f>
        <v>3.9563753994092226E-5</v>
      </c>
      <c r="F4174">
        <f>SUMIFS($D$2:$D$7909, $B$2:$B$7909, "Marche")</f>
        <v>1540584</v>
      </c>
      <c r="G4174" s="1">
        <f>Comuni__2[[#This Row],[Popolazione2011]]/Comuni__2[[#This Row],[POPOLAZIONE TOTALE DI OGNI REGIONE (CON FILTRO)]]</f>
        <v>1.526044668774958E-3</v>
      </c>
      <c r="H4174" t="str">
        <f>IF(Comuni__2[[#This Row],[Popolazione2011]]&gt;300000,"MAGGIORE","")</f>
        <v/>
      </c>
      <c r="J4174">
        <v>26</v>
      </c>
      <c r="K4174">
        <v>2719</v>
      </c>
      <c r="L4174">
        <v>283</v>
      </c>
    </row>
    <row r="4175" spans="1:12" x14ac:dyDescent="0.2">
      <c r="A4175"/>
      <c r="B4175"/>
      <c r="C4175"/>
      <c r="D4175"/>
      <c r="E4175" s="2">
        <f>Comuni__2[[#This Row],[Popolazione2011]]/$D$7911</f>
        <v>3.9496440078321762E-5</v>
      </c>
      <c r="F4175">
        <f>SUMIFS($D$2:$D$7909, $B$2:$B$7909, "Marche")</f>
        <v>1540584</v>
      </c>
      <c r="G4175" s="1">
        <f>Comuni__2[[#This Row],[Popolazione2011]]/Comuni__2[[#This Row],[POPOLAZIONE TOTALE DI OGNI REGIONE (CON FILTRO)]]</f>
        <v>1.5234482507932056E-3</v>
      </c>
      <c r="H4175" t="str">
        <f>IF(Comuni__2[[#This Row],[Popolazione2011]]&gt;300000,"MAGGIORE","")</f>
        <v/>
      </c>
      <c r="J4175">
        <v>31</v>
      </c>
      <c r="K4175">
        <v>2726</v>
      </c>
      <c r="L4175">
        <v>283</v>
      </c>
    </row>
    <row r="4176" spans="1:12" x14ac:dyDescent="0.2">
      <c r="A4176"/>
      <c r="B4176"/>
      <c r="C4176"/>
      <c r="D4176"/>
      <c r="E4176" s="2">
        <f>Comuni__2[[#This Row],[Popolazione2011]]/$D$7911</f>
        <v>3.9075728104756338E-5</v>
      </c>
      <c r="F4176">
        <f>SUMIFS($D$2:$D$7909, $B$2:$B$7909, "Marche")</f>
        <v>1540584</v>
      </c>
      <c r="G4176" s="1">
        <f>Comuni__2[[#This Row],[Popolazione2011]]/Comuni__2[[#This Row],[POPOLAZIONE TOTALE DI OGNI REGIONE (CON FILTRO)]]</f>
        <v>1.5072206384072534E-3</v>
      </c>
      <c r="H4176" t="str">
        <f>IF(Comuni__2[[#This Row],[Popolazione2011]]&gt;300000,"MAGGIORE","")</f>
        <v/>
      </c>
      <c r="J4176">
        <v>31</v>
      </c>
      <c r="K4176">
        <v>2726</v>
      </c>
      <c r="L4176">
        <v>283</v>
      </c>
    </row>
    <row r="4177" spans="1:12" x14ac:dyDescent="0.2">
      <c r="A4177"/>
      <c r="B4177"/>
      <c r="C4177"/>
      <c r="D4177"/>
      <c r="E4177" s="2">
        <f>Comuni__2[[#This Row],[Popolazione2011]]/$D$7911</f>
        <v>3.8537216778592602E-5</v>
      </c>
      <c r="F4177">
        <f>SUMIFS($D$2:$D$7909, $B$2:$B$7909, "Marche")</f>
        <v>1540584</v>
      </c>
      <c r="G4177" s="1">
        <f>Comuni__2[[#This Row],[Popolazione2011]]/Comuni__2[[#This Row],[POPOLAZIONE TOTALE DI OGNI REGIONE (CON FILTRO)]]</f>
        <v>1.4864492945532344E-3</v>
      </c>
      <c r="H4177" t="str">
        <f>IF(Comuni__2[[#This Row],[Popolazione2011]]&gt;300000,"MAGGIORE","")</f>
        <v/>
      </c>
      <c r="J4177">
        <v>35</v>
      </c>
      <c r="K4177">
        <v>2730</v>
      </c>
      <c r="L4177">
        <v>283</v>
      </c>
    </row>
    <row r="4178" spans="1:12" x14ac:dyDescent="0.2">
      <c r="A4178"/>
      <c r="B4178"/>
      <c r="C4178"/>
      <c r="D4178"/>
      <c r="E4178" s="2">
        <f>Comuni__2[[#This Row],[Popolazione2011]]/$D$7911</f>
        <v>3.8503559820707363E-5</v>
      </c>
      <c r="F4178">
        <f>SUMIFS($D$2:$D$7909, $B$2:$B$7909, "Marche")</f>
        <v>1540584</v>
      </c>
      <c r="G4178" s="1">
        <f>Comuni__2[[#This Row],[Popolazione2011]]/Comuni__2[[#This Row],[POPOLAZIONE TOTALE DI OGNI REGIONE (CON FILTRO)]]</f>
        <v>1.4851510855623581E-3</v>
      </c>
      <c r="H4178" t="str">
        <f>IF(Comuni__2[[#This Row],[Popolazione2011]]&gt;300000,"MAGGIORE","")</f>
        <v/>
      </c>
      <c r="J4178">
        <v>40</v>
      </c>
      <c r="K4178">
        <v>2730</v>
      </c>
      <c r="L4178">
        <v>283</v>
      </c>
    </row>
    <row r="4179" spans="1:12" x14ac:dyDescent="0.2">
      <c r="A4179"/>
      <c r="B4179"/>
      <c r="C4179"/>
      <c r="D4179"/>
      <c r="E4179" s="2">
        <f>Comuni__2[[#This Row],[Popolazione2011]]/$D$7911</f>
        <v>3.8032362410314091E-5</v>
      </c>
      <c r="F4179">
        <f>SUMIFS($D$2:$D$7909, $B$2:$B$7909, "Marche")</f>
        <v>1540584</v>
      </c>
      <c r="G4179" s="1">
        <f>Comuni__2[[#This Row],[Popolazione2011]]/Comuni__2[[#This Row],[POPOLAZIONE TOTALE DI OGNI REGIONE (CON FILTRO)]]</f>
        <v>1.4669761596900915E-3</v>
      </c>
      <c r="H4179" t="str">
        <f>IF(Comuni__2[[#This Row],[Popolazione2011]]&gt;300000,"MAGGIORE","")</f>
        <v/>
      </c>
      <c r="J4179">
        <v>39</v>
      </c>
      <c r="K4179">
        <v>2734</v>
      </c>
      <c r="L4179">
        <v>283</v>
      </c>
    </row>
    <row r="4180" spans="1:12" x14ac:dyDescent="0.2">
      <c r="A4180"/>
      <c r="B4180"/>
      <c r="C4180"/>
      <c r="D4180"/>
      <c r="E4180" s="2">
        <f>Comuni__2[[#This Row],[Popolazione2011]]/$D$7911</f>
        <v>3.6686084094904747E-5</v>
      </c>
      <c r="F4180">
        <f>SUMIFS($D$2:$D$7909, $B$2:$B$7909, "Marche")</f>
        <v>1540584</v>
      </c>
      <c r="G4180" s="1">
        <f>Comuni__2[[#This Row],[Popolazione2011]]/Comuni__2[[#This Row],[POPOLAZIONE TOTALE DI OGNI REGIONE (CON FILTRO)]]</f>
        <v>1.4150478000550441E-3</v>
      </c>
      <c r="H4180" t="str">
        <f>IF(Comuni__2[[#This Row],[Popolazione2011]]&gt;300000,"MAGGIORE","")</f>
        <v/>
      </c>
      <c r="J4180">
        <v>39</v>
      </c>
      <c r="K4180">
        <v>2737</v>
      </c>
      <c r="L4180">
        <v>283</v>
      </c>
    </row>
    <row r="4181" spans="1:12" x14ac:dyDescent="0.2">
      <c r="A4181"/>
      <c r="B4181"/>
      <c r="C4181"/>
      <c r="D4181"/>
      <c r="E4181" s="2">
        <f>Comuni__2[[#This Row],[Popolazione2011]]/$D$7911</f>
        <v>3.6130744289798387E-5</v>
      </c>
      <c r="F4181">
        <f>SUMIFS($D$2:$D$7909, $B$2:$B$7909, "Marche")</f>
        <v>1540584</v>
      </c>
      <c r="G4181" s="1">
        <f>Comuni__2[[#This Row],[Popolazione2011]]/Comuni__2[[#This Row],[POPOLAZIONE TOTALE DI OGNI REGIONE (CON FILTRO)]]</f>
        <v>1.3936273517055869E-3</v>
      </c>
      <c r="H4181" t="str">
        <f>IF(Comuni__2[[#This Row],[Popolazione2011]]&gt;300000,"MAGGIORE","")</f>
        <v/>
      </c>
      <c r="J4181">
        <v>39</v>
      </c>
      <c r="K4181">
        <v>2737</v>
      </c>
      <c r="L4181">
        <v>283</v>
      </c>
    </row>
    <row r="4182" spans="1:12" x14ac:dyDescent="0.2">
      <c r="A4182"/>
      <c r="B4182"/>
      <c r="C4182"/>
      <c r="D4182"/>
      <c r="E4182" s="2">
        <f>Comuni__2[[#This Row],[Popolazione2011]]/$D$7911</f>
        <v>3.6113915810855771E-5</v>
      </c>
      <c r="F4182">
        <f>SUMIFS($D$2:$D$7909, $B$2:$B$7909, "Marche")</f>
        <v>1540584</v>
      </c>
      <c r="G4182" s="1">
        <f>Comuni__2[[#This Row],[Popolazione2011]]/Comuni__2[[#This Row],[POPOLAZIONE TOTALE DI OGNI REGIONE (CON FILTRO)]]</f>
        <v>1.3929782472101488E-3</v>
      </c>
      <c r="H4182" t="str">
        <f>IF(Comuni__2[[#This Row],[Popolazione2011]]&gt;300000,"MAGGIORE","")</f>
        <v/>
      </c>
      <c r="J4182">
        <v>37</v>
      </c>
      <c r="K4182">
        <v>2741</v>
      </c>
      <c r="L4182">
        <v>284</v>
      </c>
    </row>
    <row r="4183" spans="1:12" x14ac:dyDescent="0.2">
      <c r="A4183"/>
      <c r="B4183"/>
      <c r="C4183"/>
      <c r="D4183"/>
      <c r="E4183" s="2">
        <f>Comuni__2[[#This Row],[Popolazione2011]]/$D$7911</f>
        <v>3.6113915810855771E-5</v>
      </c>
      <c r="F4183">
        <f>SUMIFS($D$2:$D$7909, $B$2:$B$7909, "Marche")</f>
        <v>1540584</v>
      </c>
      <c r="G4183" s="1">
        <f>Comuni__2[[#This Row],[Popolazione2011]]/Comuni__2[[#This Row],[POPOLAZIONE TOTALE DI OGNI REGIONE (CON FILTRO)]]</f>
        <v>1.3929782472101488E-3</v>
      </c>
      <c r="H4183" t="str">
        <f>IF(Comuni__2[[#This Row],[Popolazione2011]]&gt;300000,"MAGGIORE","")</f>
        <v/>
      </c>
      <c r="J4183">
        <v>38</v>
      </c>
      <c r="K4183">
        <v>2741</v>
      </c>
      <c r="L4183">
        <v>284</v>
      </c>
    </row>
    <row r="4184" spans="1:12" x14ac:dyDescent="0.2">
      <c r="A4184"/>
      <c r="B4184"/>
      <c r="C4184"/>
      <c r="D4184"/>
      <c r="E4184" s="2">
        <f>Comuni__2[[#This Row],[Popolazione2011]]/$D$7911</f>
        <v>3.5911974063544371E-5</v>
      </c>
      <c r="F4184">
        <f>SUMIFS($D$2:$D$7909, $B$2:$B$7909, "Marche")</f>
        <v>1540584</v>
      </c>
      <c r="G4184" s="1">
        <f>Comuni__2[[#This Row],[Popolazione2011]]/Comuni__2[[#This Row],[POPOLAZIONE TOTALE DI OGNI REGIONE (CON FILTRO)]]</f>
        <v>1.3851889932648916E-3</v>
      </c>
      <c r="H4184" t="str">
        <f>IF(Comuni__2[[#This Row],[Popolazione2011]]&gt;300000,"MAGGIORE","")</f>
        <v/>
      </c>
      <c r="J4184">
        <v>41</v>
      </c>
      <c r="K4184">
        <v>2743</v>
      </c>
      <c r="L4184">
        <v>284</v>
      </c>
    </row>
    <row r="4185" spans="1:12" x14ac:dyDescent="0.2">
      <c r="A4185"/>
      <c r="B4185"/>
      <c r="C4185"/>
      <c r="D4185"/>
      <c r="E4185" s="2">
        <f>Comuni__2[[#This Row],[Popolazione2011]]/$D$7911</f>
        <v>3.5491262089978948E-5</v>
      </c>
      <c r="F4185">
        <f>SUMIFS($D$2:$D$7909, $B$2:$B$7909, "Marche")</f>
        <v>1540584</v>
      </c>
      <c r="G4185" s="1">
        <f>Comuni__2[[#This Row],[Popolazione2011]]/Comuni__2[[#This Row],[POPOLAZIONE TOTALE DI OGNI REGIONE (CON FILTRO)]]</f>
        <v>1.3689613808789394E-3</v>
      </c>
      <c r="H4185" t="str">
        <f>IF(Comuni__2[[#This Row],[Popolazione2011]]&gt;300000,"MAGGIORE","")</f>
        <v/>
      </c>
      <c r="J4185">
        <v>41</v>
      </c>
      <c r="K4185">
        <v>2743</v>
      </c>
      <c r="L4185">
        <v>284</v>
      </c>
    </row>
    <row r="4186" spans="1:12" x14ac:dyDescent="0.2">
      <c r="A4186"/>
      <c r="B4186"/>
      <c r="C4186"/>
      <c r="D4186"/>
      <c r="E4186" s="2">
        <f>Comuni__2[[#This Row],[Popolazione2011]]/$D$7911</f>
        <v>3.500323620064306E-5</v>
      </c>
      <c r="F4186">
        <f>SUMIFS($D$2:$D$7909, $B$2:$B$7909, "Marche")</f>
        <v>1540584</v>
      </c>
      <c r="G4186" s="1">
        <f>Comuni__2[[#This Row],[Popolazione2011]]/Comuni__2[[#This Row],[POPOLAZIONE TOTALE DI OGNI REGIONE (CON FILTRO)]]</f>
        <v>1.3501373505112348E-3</v>
      </c>
      <c r="H4186" t="str">
        <f>IF(Comuni__2[[#This Row],[Popolazione2011]]&gt;300000,"MAGGIORE","")</f>
        <v/>
      </c>
      <c r="J4186">
        <v>41</v>
      </c>
      <c r="K4186">
        <v>2743</v>
      </c>
      <c r="L4186">
        <v>284</v>
      </c>
    </row>
    <row r="4187" spans="1:12" x14ac:dyDescent="0.2">
      <c r="A4187"/>
      <c r="B4187"/>
      <c r="C4187"/>
      <c r="D4187"/>
      <c r="E4187" s="2">
        <f>Comuni__2[[#This Row],[Popolazione2011]]/$D$7911</f>
        <v>3.4969579242757827E-5</v>
      </c>
      <c r="F4187">
        <f>SUMIFS($D$2:$D$7909, $B$2:$B$7909, "Marche")</f>
        <v>1540584</v>
      </c>
      <c r="G4187" s="1">
        <f>Comuni__2[[#This Row],[Popolazione2011]]/Comuni__2[[#This Row],[POPOLAZIONE TOTALE DI OGNI REGIONE (CON FILTRO)]]</f>
        <v>1.3488391415203585E-3</v>
      </c>
      <c r="H4187" t="str">
        <f>IF(Comuni__2[[#This Row],[Popolazione2011]]&gt;300000,"MAGGIORE","")</f>
        <v/>
      </c>
      <c r="J4187">
        <v>44</v>
      </c>
      <c r="K4187">
        <v>2749</v>
      </c>
      <c r="L4187">
        <v>284</v>
      </c>
    </row>
    <row r="4188" spans="1:12" x14ac:dyDescent="0.2">
      <c r="A4188"/>
      <c r="B4188"/>
      <c r="C4188"/>
      <c r="D4188"/>
      <c r="E4188" s="2">
        <f>Comuni__2[[#This Row],[Popolazione2011]]/$D$7911</f>
        <v>3.4868608369102124E-5</v>
      </c>
      <c r="F4188">
        <f>SUMIFS($D$2:$D$7909, $B$2:$B$7909, "Marche")</f>
        <v>1540584</v>
      </c>
      <c r="G4188" s="1">
        <f>Comuni__2[[#This Row],[Popolazione2011]]/Comuni__2[[#This Row],[POPOLAZIONE TOTALE DI OGNI REGIONE (CON FILTRO)]]</f>
        <v>1.34494451454773E-3</v>
      </c>
      <c r="H4188" t="str">
        <f>IF(Comuni__2[[#This Row],[Popolazione2011]]&gt;300000,"MAGGIORE","")</f>
        <v/>
      </c>
      <c r="J4188">
        <v>51</v>
      </c>
      <c r="K4188">
        <v>2751</v>
      </c>
      <c r="L4188">
        <v>284</v>
      </c>
    </row>
    <row r="4189" spans="1:12" x14ac:dyDescent="0.2">
      <c r="A4189"/>
      <c r="B4189"/>
      <c r="C4189"/>
      <c r="D4189"/>
      <c r="E4189" s="2">
        <f>Comuni__2[[#This Row],[Popolazione2011]]/$D$7911</f>
        <v>3.4818122932274275E-5</v>
      </c>
      <c r="F4189">
        <f>SUMIFS($D$2:$D$7909, $B$2:$B$7909, "Marche")</f>
        <v>1540584</v>
      </c>
      <c r="G4189" s="1">
        <f>Comuni__2[[#This Row],[Popolazione2011]]/Comuni__2[[#This Row],[POPOLAZIONE TOTALE DI OGNI REGIONE (CON FILTRO)]]</f>
        <v>1.3429972010614156E-3</v>
      </c>
      <c r="H4189" t="str">
        <f>IF(Comuni__2[[#This Row],[Popolazione2011]]&gt;300000,"MAGGIORE","")</f>
        <v/>
      </c>
      <c r="J4189">
        <v>50</v>
      </c>
      <c r="K4189">
        <v>2752</v>
      </c>
      <c r="L4189">
        <v>284</v>
      </c>
    </row>
    <row r="4190" spans="1:12" x14ac:dyDescent="0.2">
      <c r="A4190"/>
      <c r="B4190"/>
      <c r="C4190"/>
      <c r="D4190"/>
      <c r="E4190" s="2">
        <f>Comuni__2[[#This Row],[Popolazione2011]]/$D$7911</f>
        <v>3.468349510073334E-5</v>
      </c>
      <c r="F4190">
        <f>SUMIFS($D$2:$D$7909, $B$2:$B$7909, "Marche")</f>
        <v>1540584</v>
      </c>
      <c r="G4190" s="1">
        <f>Comuni__2[[#This Row],[Popolazione2011]]/Comuni__2[[#This Row],[POPOLAZIONE TOTALE DI OGNI REGIONE (CON FILTRO)]]</f>
        <v>1.3378043650979108E-3</v>
      </c>
      <c r="H4190" t="str">
        <f>IF(Comuni__2[[#This Row],[Popolazione2011]]&gt;300000,"MAGGIORE","")</f>
        <v/>
      </c>
      <c r="J4190">
        <v>49</v>
      </c>
      <c r="K4190">
        <v>2757</v>
      </c>
      <c r="L4190">
        <v>284</v>
      </c>
    </row>
    <row r="4191" spans="1:12" x14ac:dyDescent="0.2">
      <c r="A4191"/>
      <c r="B4191"/>
      <c r="C4191"/>
      <c r="D4191"/>
      <c r="E4191" s="2">
        <f>Comuni__2[[#This Row],[Popolazione2011]]/$D$7911</f>
        <v>3.4397410958708852E-5</v>
      </c>
      <c r="F4191">
        <f>SUMIFS($D$2:$D$7909, $B$2:$B$7909, "Marche")</f>
        <v>1540584</v>
      </c>
      <c r="G4191" s="1">
        <f>Comuni__2[[#This Row],[Popolazione2011]]/Comuni__2[[#This Row],[POPOLAZIONE TOTALE DI OGNI REGIONE (CON FILTRO)]]</f>
        <v>1.3267695886754634E-3</v>
      </c>
      <c r="H4191" t="str">
        <f>IF(Comuni__2[[#This Row],[Popolazione2011]]&gt;300000,"MAGGIORE","")</f>
        <v/>
      </c>
      <c r="J4191">
        <v>48</v>
      </c>
      <c r="K4191">
        <v>2757</v>
      </c>
      <c r="L4191">
        <v>284</v>
      </c>
    </row>
    <row r="4192" spans="1:12" x14ac:dyDescent="0.2">
      <c r="A4192"/>
      <c r="B4192"/>
      <c r="C4192"/>
      <c r="D4192"/>
      <c r="E4192" s="2">
        <f>Comuni__2[[#This Row],[Popolazione2011]]/$D$7911</f>
        <v>3.3875728111487732E-5</v>
      </c>
      <c r="F4192">
        <f>SUMIFS($D$2:$D$7909, $B$2:$B$7909, "Marche")</f>
        <v>1540584</v>
      </c>
      <c r="G4192" s="1">
        <f>Comuni__2[[#This Row],[Popolazione2011]]/Comuni__2[[#This Row],[POPOLAZIONE TOTALE DI OGNI REGIONE (CON FILTRO)]]</f>
        <v>1.3066473493168825E-3</v>
      </c>
      <c r="H4192" t="str">
        <f>IF(Comuni__2[[#This Row],[Popolazione2011]]&gt;300000,"MAGGIORE","")</f>
        <v/>
      </c>
      <c r="J4192">
        <v>52</v>
      </c>
      <c r="K4192">
        <v>2766</v>
      </c>
      <c r="L4192">
        <v>284</v>
      </c>
    </row>
    <row r="4193" spans="1:12" x14ac:dyDescent="0.2">
      <c r="A4193"/>
      <c r="B4193"/>
      <c r="C4193"/>
      <c r="D4193"/>
      <c r="E4193" s="2">
        <f>Comuni__2[[#This Row],[Popolazione2011]]/$D$7911</f>
        <v>3.3455016137922308E-5</v>
      </c>
      <c r="F4193">
        <f>SUMIFS($D$2:$D$7909, $B$2:$B$7909, "Marche")</f>
        <v>1540584</v>
      </c>
      <c r="G4193" s="1">
        <f>Comuni__2[[#This Row],[Popolazione2011]]/Comuni__2[[#This Row],[POPOLAZIONE TOTALE DI OGNI REGIONE (CON FILTRO)]]</f>
        <v>1.29041973693093E-3</v>
      </c>
      <c r="H4193" t="str">
        <f>IF(Comuni__2[[#This Row],[Popolazione2011]]&gt;300000,"MAGGIORE","")</f>
        <v/>
      </c>
      <c r="J4193">
        <v>52</v>
      </c>
      <c r="K4193">
        <v>2766</v>
      </c>
      <c r="L4193">
        <v>284</v>
      </c>
    </row>
    <row r="4194" spans="1:12" x14ac:dyDescent="0.2">
      <c r="A4194"/>
      <c r="B4194"/>
      <c r="C4194"/>
      <c r="D4194"/>
      <c r="E4194" s="2">
        <f>Comuni__2[[#This Row],[Popolazione2011]]/$D$7911</f>
        <v>3.3269902869553524E-5</v>
      </c>
      <c r="F4194">
        <f>SUMIFS($D$2:$D$7909, $B$2:$B$7909, "Marche")</f>
        <v>1540584</v>
      </c>
      <c r="G4194" s="1">
        <f>Comuni__2[[#This Row],[Popolazione2011]]/Comuni__2[[#This Row],[POPOLAZIONE TOTALE DI OGNI REGIONE (CON FILTRO)]]</f>
        <v>1.2832795874811111E-3</v>
      </c>
      <c r="H4194" t="str">
        <f>IF(Comuni__2[[#This Row],[Popolazione2011]]&gt;300000,"MAGGIORE","")</f>
        <v/>
      </c>
      <c r="J4194">
        <v>56</v>
      </c>
      <c r="K4194">
        <v>2769</v>
      </c>
      <c r="L4194">
        <v>285</v>
      </c>
    </row>
    <row r="4195" spans="1:12" x14ac:dyDescent="0.2">
      <c r="A4195"/>
      <c r="B4195"/>
      <c r="C4195"/>
      <c r="D4195"/>
      <c r="E4195" s="2">
        <f>Comuni__2[[#This Row],[Popolazione2011]]/$D$7911</f>
        <v>3.3269902869553524E-5</v>
      </c>
      <c r="F4195">
        <f>SUMIFS($D$2:$D$7909, $B$2:$B$7909, "Marche")</f>
        <v>1540584</v>
      </c>
      <c r="G4195" s="1">
        <f>Comuni__2[[#This Row],[Popolazione2011]]/Comuni__2[[#This Row],[POPOLAZIONE TOTALE DI OGNI REGIONE (CON FILTRO)]]</f>
        <v>1.2832795874811111E-3</v>
      </c>
      <c r="H4195" t="str">
        <f>IF(Comuni__2[[#This Row],[Popolazione2011]]&gt;300000,"MAGGIORE","")</f>
        <v/>
      </c>
      <c r="J4195">
        <v>60</v>
      </c>
      <c r="K4195">
        <v>2776</v>
      </c>
      <c r="L4195">
        <v>286</v>
      </c>
    </row>
    <row r="4196" spans="1:12" x14ac:dyDescent="0.2">
      <c r="A4196"/>
      <c r="B4196"/>
      <c r="C4196"/>
      <c r="D4196"/>
      <c r="E4196" s="2">
        <f>Comuni__2[[#This Row],[Popolazione2011]]/$D$7911</f>
        <v>3.2832362417045484E-5</v>
      </c>
      <c r="F4196">
        <f>SUMIFS($D$2:$D$7909, $B$2:$B$7909, "Marche")</f>
        <v>1540584</v>
      </c>
      <c r="G4196" s="1">
        <f>Comuni__2[[#This Row],[Popolazione2011]]/Comuni__2[[#This Row],[POPOLAZIONE TOTALE DI OGNI REGIONE (CON FILTRO)]]</f>
        <v>1.2664028705997206E-3</v>
      </c>
      <c r="H4196" t="str">
        <f>IF(Comuni__2[[#This Row],[Popolazione2011]]&gt;300000,"MAGGIORE","")</f>
        <v/>
      </c>
      <c r="J4196">
        <v>60</v>
      </c>
      <c r="K4196">
        <v>2785</v>
      </c>
      <c r="L4196">
        <v>286</v>
      </c>
    </row>
    <row r="4197" spans="1:12" x14ac:dyDescent="0.2">
      <c r="A4197"/>
      <c r="B4197"/>
      <c r="C4197"/>
      <c r="D4197"/>
      <c r="E4197" s="2">
        <f>Comuni__2[[#This Row],[Popolazione2011]]/$D$7911</f>
        <v>3.1637540412119692E-5</v>
      </c>
      <c r="F4197">
        <f>SUMIFS($D$2:$D$7909, $B$2:$B$7909, "Marche")</f>
        <v>1540584</v>
      </c>
      <c r="G4197" s="1">
        <f>Comuni__2[[#This Row],[Popolazione2011]]/Comuni__2[[#This Row],[POPOLAZIONE TOTALE DI OGNI REGIONE (CON FILTRO)]]</f>
        <v>1.2203164514236159E-3</v>
      </c>
      <c r="H4197" t="str">
        <f>IF(Comuni__2[[#This Row],[Popolazione2011]]&gt;300000,"MAGGIORE","")</f>
        <v/>
      </c>
      <c r="J4197">
        <v>61</v>
      </c>
      <c r="K4197">
        <v>2786</v>
      </c>
      <c r="L4197">
        <v>286</v>
      </c>
    </row>
    <row r="4198" spans="1:12" x14ac:dyDescent="0.2">
      <c r="A4198"/>
      <c r="B4198"/>
      <c r="C4198"/>
      <c r="D4198"/>
      <c r="E4198" s="2">
        <f>Comuni__2[[#This Row],[Popolazione2011]]/$D$7911</f>
        <v>3.1553398017406605E-5</v>
      </c>
      <c r="F4198">
        <f>SUMIFS($D$2:$D$7909, $B$2:$B$7909, "Marche")</f>
        <v>1540584</v>
      </c>
      <c r="G4198" s="1">
        <f>Comuni__2[[#This Row],[Popolazione2011]]/Comuni__2[[#This Row],[POPOLAZIONE TOTALE DI OGNI REGIONE (CON FILTRO)]]</f>
        <v>1.2170709289464254E-3</v>
      </c>
      <c r="H4198" t="str">
        <f>IF(Comuni__2[[#This Row],[Popolazione2011]]&gt;300000,"MAGGIORE","")</f>
        <v/>
      </c>
      <c r="J4198">
        <v>49</v>
      </c>
      <c r="K4198">
        <v>2799</v>
      </c>
      <c r="L4198">
        <v>286</v>
      </c>
    </row>
    <row r="4199" spans="1:12" x14ac:dyDescent="0.2">
      <c r="A4199"/>
      <c r="B4199"/>
      <c r="C4199"/>
      <c r="D4199"/>
      <c r="E4199" s="2">
        <f>Comuni__2[[#This Row],[Popolazione2011]]/$D$7911</f>
        <v>3.1300970833267349E-5</v>
      </c>
      <c r="F4199">
        <f>SUMIFS($D$2:$D$7909, $B$2:$B$7909, "Marche")</f>
        <v>1540584</v>
      </c>
      <c r="G4199" s="1">
        <f>Comuni__2[[#This Row],[Popolazione2011]]/Comuni__2[[#This Row],[POPOLAZIONE TOTALE DI OGNI REGIONE (CON FILTRO)]]</f>
        <v>1.2073343615148541E-3</v>
      </c>
      <c r="H4199" t="str">
        <f>IF(Comuni__2[[#This Row],[Popolazione2011]]&gt;300000,"MAGGIORE","")</f>
        <v/>
      </c>
      <c r="J4199">
        <v>53</v>
      </c>
      <c r="K4199">
        <v>2805</v>
      </c>
      <c r="L4199">
        <v>286</v>
      </c>
    </row>
    <row r="4200" spans="1:12" x14ac:dyDescent="0.2">
      <c r="A4200"/>
      <c r="B4200"/>
      <c r="C4200"/>
      <c r="D4200"/>
      <c r="E4200" s="2">
        <f>Comuni__2[[#This Row],[Popolazione2011]]/$D$7911</f>
        <v>3.1166343001726413E-5</v>
      </c>
      <c r="F4200">
        <f>SUMIFS($D$2:$D$7909, $B$2:$B$7909, "Marche")</f>
        <v>1540584</v>
      </c>
      <c r="G4200" s="1">
        <f>Comuni__2[[#This Row],[Popolazione2011]]/Comuni__2[[#This Row],[POPOLAZIONE TOTALE DI OGNI REGIONE (CON FILTRO)]]</f>
        <v>1.2021415255513493E-3</v>
      </c>
      <c r="H4200" t="str">
        <f>IF(Comuni__2[[#This Row],[Popolazione2011]]&gt;300000,"MAGGIORE","")</f>
        <v/>
      </c>
      <c r="J4200">
        <v>53</v>
      </c>
      <c r="K4200">
        <v>2807</v>
      </c>
      <c r="L4200">
        <v>286</v>
      </c>
    </row>
    <row r="4201" spans="1:12" x14ac:dyDescent="0.2">
      <c r="A4201"/>
      <c r="B4201"/>
      <c r="C4201"/>
      <c r="D4201"/>
      <c r="E4201" s="2">
        <f>Comuni__2[[#This Row],[Popolazione2011]]/$D$7911</f>
        <v>3.0947572775472397E-5</v>
      </c>
      <c r="F4201">
        <f>SUMIFS($D$2:$D$7909, $B$2:$B$7909, "Marche")</f>
        <v>1540584</v>
      </c>
      <c r="G4201" s="1">
        <f>Comuni__2[[#This Row],[Popolazione2011]]/Comuni__2[[#This Row],[POPOLAZIONE TOTALE DI OGNI REGIONE (CON FILTRO)]]</f>
        <v>1.193703167110654E-3</v>
      </c>
      <c r="H4201" t="str">
        <f>IF(Comuni__2[[#This Row],[Popolazione2011]]&gt;300000,"MAGGIORE","")</f>
        <v/>
      </c>
      <c r="J4201">
        <v>60</v>
      </c>
      <c r="K4201">
        <v>2813</v>
      </c>
      <c r="L4201">
        <v>286</v>
      </c>
    </row>
    <row r="4202" spans="1:12" x14ac:dyDescent="0.2">
      <c r="A4202"/>
      <c r="B4202"/>
      <c r="C4202"/>
      <c r="D4202"/>
      <c r="E4202" s="2">
        <f>Comuni__2[[#This Row],[Popolazione2011]]/$D$7911</f>
        <v>2.9433009670636881E-5</v>
      </c>
      <c r="F4202">
        <f>SUMIFS($D$2:$D$7909, $B$2:$B$7909, "Marche")</f>
        <v>1540584</v>
      </c>
      <c r="G4202" s="1">
        <f>Comuni__2[[#This Row],[Popolazione2011]]/Comuni__2[[#This Row],[POPOLAZIONE TOTALE DI OGNI REGIONE (CON FILTRO)]]</f>
        <v>1.1352837625212258E-3</v>
      </c>
      <c r="H4202" t="str">
        <f>IF(Comuni__2[[#This Row],[Popolazione2011]]&gt;300000,"MAGGIORE","")</f>
        <v/>
      </c>
      <c r="J4202">
        <v>63</v>
      </c>
      <c r="K4202">
        <v>2834</v>
      </c>
      <c r="L4202">
        <v>286</v>
      </c>
    </row>
    <row r="4203" spans="1:12" x14ac:dyDescent="0.2">
      <c r="A4203"/>
      <c r="B4203"/>
      <c r="C4203"/>
      <c r="D4203"/>
      <c r="E4203" s="2">
        <f>Comuni__2[[#This Row],[Popolazione2011]]/$D$7911</f>
        <v>2.874304203398959E-5</v>
      </c>
      <c r="F4203">
        <f>SUMIFS($D$2:$D$7909, $B$2:$B$7909, "Marche")</f>
        <v>1540584</v>
      </c>
      <c r="G4203" s="1">
        <f>Comuni__2[[#This Row],[Popolazione2011]]/Comuni__2[[#This Row],[POPOLAZIONE TOTALE DI OGNI REGIONE (CON FILTRO)]]</f>
        <v>1.108670478208264E-3</v>
      </c>
      <c r="H4203" t="str">
        <f>IF(Comuni__2[[#This Row],[Popolazione2011]]&gt;300000,"MAGGIORE","")</f>
        <v/>
      </c>
      <c r="J4203">
        <v>63</v>
      </c>
      <c r="K4203">
        <v>2858</v>
      </c>
      <c r="L4203">
        <v>286</v>
      </c>
    </row>
    <row r="4204" spans="1:12" x14ac:dyDescent="0.2">
      <c r="A4204"/>
      <c r="B4204"/>
      <c r="C4204"/>
      <c r="D4204"/>
      <c r="E4204" s="2">
        <f>Comuni__2[[#This Row],[Popolazione2011]]/$D$7911</f>
        <v>2.864207116033389E-5</v>
      </c>
      <c r="F4204">
        <f>SUMIFS($D$2:$D$7909, $B$2:$B$7909, "Marche")</f>
        <v>1540584</v>
      </c>
      <c r="G4204" s="1">
        <f>Comuni__2[[#This Row],[Popolazione2011]]/Comuni__2[[#This Row],[POPOLAZIONE TOTALE DI OGNI REGIONE (CON FILTRO)]]</f>
        <v>1.1047758512356353E-3</v>
      </c>
      <c r="H4204" t="str">
        <f>IF(Comuni__2[[#This Row],[Popolazione2011]]&gt;300000,"MAGGIORE","")</f>
        <v/>
      </c>
      <c r="J4204">
        <v>69</v>
      </c>
      <c r="K4204">
        <v>2858</v>
      </c>
      <c r="L4204">
        <v>286</v>
      </c>
    </row>
    <row r="4205" spans="1:12" x14ac:dyDescent="0.2">
      <c r="A4205"/>
      <c r="B4205"/>
      <c r="C4205"/>
      <c r="D4205"/>
      <c r="E4205" s="2">
        <f>Comuni__2[[#This Row],[Popolazione2011]]/$D$7911</f>
        <v>2.8372815497252018E-5</v>
      </c>
      <c r="F4205">
        <f>SUMIFS($D$2:$D$7909, $B$2:$B$7909, "Marche")</f>
        <v>1540584</v>
      </c>
      <c r="G4205" s="1">
        <f>Comuni__2[[#This Row],[Popolazione2011]]/Comuni__2[[#This Row],[POPOLAZIONE TOTALE DI OGNI REGIONE (CON FILTRO)]]</f>
        <v>1.0943901793086259E-3</v>
      </c>
      <c r="H4205" t="str">
        <f>IF(Comuni__2[[#This Row],[Popolazione2011]]&gt;300000,"MAGGIORE","")</f>
        <v/>
      </c>
      <c r="J4205">
        <v>72</v>
      </c>
      <c r="K4205">
        <v>2869</v>
      </c>
      <c r="L4205">
        <v>286</v>
      </c>
    </row>
    <row r="4206" spans="1:12" x14ac:dyDescent="0.2">
      <c r="A4206"/>
      <c r="B4206"/>
      <c r="C4206"/>
      <c r="D4206"/>
      <c r="E4206" s="2">
        <f>Comuni__2[[#This Row],[Popolazione2011]]/$D$7911</f>
        <v>2.810355983417015E-5</v>
      </c>
      <c r="F4206">
        <f>SUMIFS($D$2:$D$7909, $B$2:$B$7909, "Marche")</f>
        <v>1540584</v>
      </c>
      <c r="G4206" s="1">
        <f>Comuni__2[[#This Row],[Popolazione2011]]/Comuni__2[[#This Row],[POPOLAZIONE TOTALE DI OGNI REGIONE (CON FILTRO)]]</f>
        <v>1.0840045073816163E-3</v>
      </c>
      <c r="H4206" t="str">
        <f>IF(Comuni__2[[#This Row],[Popolazione2011]]&gt;300000,"MAGGIORE","")</f>
        <v/>
      </c>
      <c r="J4206">
        <v>78</v>
      </c>
      <c r="K4206">
        <v>2884</v>
      </c>
      <c r="L4206">
        <v>286</v>
      </c>
    </row>
    <row r="4207" spans="1:12" x14ac:dyDescent="0.2">
      <c r="A4207"/>
      <c r="B4207"/>
      <c r="C4207"/>
      <c r="D4207"/>
      <c r="E4207" s="2">
        <f>Comuni__2[[#This Row],[Popolazione2011]]/$D$7911</f>
        <v>2.7851132650030898E-5</v>
      </c>
      <c r="F4207">
        <f>SUMIFS($D$2:$D$7909, $B$2:$B$7909, "Marche")</f>
        <v>1540584</v>
      </c>
      <c r="G4207" s="1">
        <f>Comuni__2[[#This Row],[Popolazione2011]]/Comuni__2[[#This Row],[POPOLAZIONE TOTALE DI OGNI REGIONE (CON FILTRO)]]</f>
        <v>1.0742679399500449E-3</v>
      </c>
      <c r="H4207" t="str">
        <f>IF(Comuni__2[[#This Row],[Popolazione2011]]&gt;300000,"MAGGIORE","")</f>
        <v/>
      </c>
      <c r="J4207">
        <v>80</v>
      </c>
      <c r="K4207">
        <v>2887</v>
      </c>
      <c r="L4207">
        <v>286</v>
      </c>
    </row>
    <row r="4208" spans="1:12" x14ac:dyDescent="0.2">
      <c r="A4208"/>
      <c r="B4208"/>
      <c r="C4208"/>
      <c r="D4208"/>
      <c r="E4208" s="2">
        <f>Comuni__2[[#This Row],[Popolazione2011]]/$D$7911</f>
        <v>2.6488025855678931E-5</v>
      </c>
      <c r="F4208">
        <f>SUMIFS($D$2:$D$7909, $B$2:$B$7909, "Marche")</f>
        <v>1540584</v>
      </c>
      <c r="G4208" s="1">
        <f>Comuni__2[[#This Row],[Popolazione2011]]/Comuni__2[[#This Row],[POPOLAZIONE TOTALE DI OGNI REGIONE (CON FILTRO)]]</f>
        <v>1.0216904758195593E-3</v>
      </c>
      <c r="H4208" t="str">
        <f>IF(Comuni__2[[#This Row],[Popolazione2011]]&gt;300000,"MAGGIORE","")</f>
        <v/>
      </c>
      <c r="J4208">
        <v>78</v>
      </c>
      <c r="K4208">
        <v>2891</v>
      </c>
      <c r="L4208">
        <v>286</v>
      </c>
    </row>
    <row r="4209" spans="1:12" x14ac:dyDescent="0.2">
      <c r="A4209"/>
      <c r="B4209"/>
      <c r="C4209"/>
      <c r="D4209"/>
      <c r="E4209" s="2">
        <f>Comuni__2[[#This Row],[Popolazione2011]]/$D$7911</f>
        <v>2.5713915824318555E-5</v>
      </c>
      <c r="F4209">
        <f>SUMIFS($D$2:$D$7909, $B$2:$B$7909, "Marche")</f>
        <v>1540584</v>
      </c>
      <c r="G4209" s="1">
        <f>Comuni__2[[#This Row],[Popolazione2011]]/Comuni__2[[#This Row],[POPOLAZIONE TOTALE DI OGNI REGIONE (CON FILTRO)]]</f>
        <v>9.9183166902940705E-4</v>
      </c>
      <c r="H4209" t="str">
        <f>IF(Comuni__2[[#This Row],[Popolazione2011]]&gt;300000,"MAGGIORE","")</f>
        <v/>
      </c>
      <c r="J4209">
        <v>80</v>
      </c>
      <c r="K4209">
        <v>2906</v>
      </c>
      <c r="L4209">
        <v>286</v>
      </c>
    </row>
    <row r="4210" spans="1:12" x14ac:dyDescent="0.2">
      <c r="A4210"/>
      <c r="B4210"/>
      <c r="C4210"/>
      <c r="D4210"/>
      <c r="E4210" s="2">
        <f>Comuni__2[[#This Row],[Popolazione2011]]/$D$7911</f>
        <v>2.5192232977097435E-5</v>
      </c>
      <c r="F4210">
        <f>SUMIFS($D$2:$D$7909, $B$2:$B$7909, "Marche")</f>
        <v>1540584</v>
      </c>
      <c r="G4210" s="1">
        <f>Comuni__2[[#This Row],[Popolazione2011]]/Comuni__2[[#This Row],[POPOLAZIONE TOTALE DI OGNI REGIONE (CON FILTRO)]]</f>
        <v>9.7170942967082612E-4</v>
      </c>
      <c r="H4210" t="str">
        <f>IF(Comuni__2[[#This Row],[Popolazione2011]]&gt;300000,"MAGGIORE","")</f>
        <v/>
      </c>
      <c r="J4210">
        <v>81</v>
      </c>
      <c r="K4210">
        <v>2911</v>
      </c>
      <c r="L4210">
        <v>287</v>
      </c>
    </row>
    <row r="4211" spans="1:12" x14ac:dyDescent="0.2">
      <c r="A4211"/>
      <c r="B4211"/>
      <c r="C4211"/>
      <c r="D4211"/>
      <c r="E4211" s="2">
        <f>Comuni__2[[#This Row],[Popolazione2011]]/$D$7911</f>
        <v>2.4956634271900799E-5</v>
      </c>
      <c r="F4211">
        <f>SUMIFS($D$2:$D$7909, $B$2:$B$7909, "Marche")</f>
        <v>1540584</v>
      </c>
      <c r="G4211" s="1">
        <f>Comuni__2[[#This Row],[Popolazione2011]]/Comuni__2[[#This Row],[POPOLAZIONE TOTALE DI OGNI REGIONE (CON FILTRO)]]</f>
        <v>9.6262196673469282E-4</v>
      </c>
      <c r="H4211" t="str">
        <f>IF(Comuni__2[[#This Row],[Popolazione2011]]&gt;300000,"MAGGIORE","")</f>
        <v/>
      </c>
      <c r="J4211">
        <v>88</v>
      </c>
      <c r="K4211">
        <v>2919</v>
      </c>
      <c r="L4211">
        <v>287</v>
      </c>
    </row>
    <row r="4212" spans="1:12" x14ac:dyDescent="0.2">
      <c r="A4212"/>
      <c r="B4212"/>
      <c r="C4212"/>
      <c r="D4212"/>
      <c r="E4212" s="2">
        <f>Comuni__2[[#This Row],[Popolazione2011]]/$D$7911</f>
        <v>2.4956634271900799E-5</v>
      </c>
      <c r="F4212">
        <f>SUMIFS($D$2:$D$7909, $B$2:$B$7909, "Marche")</f>
        <v>1540584</v>
      </c>
      <c r="G4212" s="1">
        <f>Comuni__2[[#This Row],[Popolazione2011]]/Comuni__2[[#This Row],[POPOLAZIONE TOTALE DI OGNI REGIONE (CON FILTRO)]]</f>
        <v>9.6262196673469282E-4</v>
      </c>
      <c r="H4212" t="str">
        <f>IF(Comuni__2[[#This Row],[Popolazione2011]]&gt;300000,"MAGGIORE","")</f>
        <v/>
      </c>
      <c r="J4212">
        <v>93</v>
      </c>
      <c r="K4212">
        <v>2947</v>
      </c>
      <c r="L4212">
        <v>288</v>
      </c>
    </row>
    <row r="4213" spans="1:12" x14ac:dyDescent="0.2">
      <c r="A4213"/>
      <c r="B4213"/>
      <c r="C4213"/>
      <c r="D4213"/>
      <c r="E4213" s="2">
        <f>Comuni__2[[#This Row],[Popolazione2011]]/$D$7911</f>
        <v>2.4317152072081355E-5</v>
      </c>
      <c r="F4213">
        <f>SUMIFS($D$2:$D$7909, $B$2:$B$7909, "Marche")</f>
        <v>1540584</v>
      </c>
      <c r="G4213" s="1">
        <f>Comuni__2[[#This Row],[Popolazione2011]]/Comuni__2[[#This Row],[POPOLAZIONE TOTALE DI OGNI REGIONE (CON FILTRO)]]</f>
        <v>9.3795599590804524E-4</v>
      </c>
      <c r="H4213" t="str">
        <f>IF(Comuni__2[[#This Row],[Popolazione2011]]&gt;300000,"MAGGIORE","")</f>
        <v/>
      </c>
      <c r="J4213">
        <v>98</v>
      </c>
      <c r="K4213">
        <v>2993</v>
      </c>
      <c r="L4213">
        <v>288</v>
      </c>
    </row>
    <row r="4214" spans="1:12" x14ac:dyDescent="0.2">
      <c r="A4214"/>
      <c r="B4214"/>
      <c r="C4214"/>
      <c r="D4214"/>
      <c r="E4214" s="2">
        <f>Comuni__2[[#This Row],[Popolazione2011]]/$D$7911</f>
        <v>2.4182524240540423E-5</v>
      </c>
      <c r="F4214">
        <f>SUMIFS($D$2:$D$7909, $B$2:$B$7909, "Marche")</f>
        <v>1540584</v>
      </c>
      <c r="G4214" s="1">
        <f>Comuni__2[[#This Row],[Popolazione2011]]/Comuni__2[[#This Row],[POPOLAZIONE TOTALE DI OGNI REGIONE (CON FILTRO)]]</f>
        <v>9.3276315994454055E-4</v>
      </c>
      <c r="H4214" t="str">
        <f>IF(Comuni__2[[#This Row],[Popolazione2011]]&gt;300000,"MAGGIORE","")</f>
        <v/>
      </c>
      <c r="J4214">
        <v>100</v>
      </c>
      <c r="K4214">
        <v>3047</v>
      </c>
      <c r="L4214">
        <v>289</v>
      </c>
    </row>
    <row r="4215" spans="1:12" x14ac:dyDescent="0.2">
      <c r="A4215"/>
      <c r="B4215"/>
      <c r="C4215"/>
      <c r="D4215"/>
      <c r="E4215" s="2">
        <f>Comuni__2[[#This Row],[Popolazione2011]]/$D$7911</f>
        <v>2.4031067930056871E-5</v>
      </c>
      <c r="F4215">
        <f>SUMIFS($D$2:$D$7909, $B$2:$B$7909, "Marche")</f>
        <v>1540584</v>
      </c>
      <c r="G4215" s="1">
        <f>Comuni__2[[#This Row],[Popolazione2011]]/Comuni__2[[#This Row],[POPOLAZIONE TOTALE DI OGNI REGIONE (CON FILTRO)]]</f>
        <v>9.269212194855977E-4</v>
      </c>
      <c r="H4215" t="str">
        <f>IF(Comuni__2[[#This Row],[Popolazione2011]]&gt;300000,"MAGGIORE","")</f>
        <v/>
      </c>
      <c r="J4215">
        <v>99</v>
      </c>
      <c r="K4215">
        <v>3093</v>
      </c>
      <c r="L4215">
        <v>289</v>
      </c>
    </row>
    <row r="4216" spans="1:12" x14ac:dyDescent="0.2">
      <c r="A4216"/>
      <c r="B4216"/>
      <c r="C4216"/>
      <c r="D4216"/>
      <c r="E4216" s="2">
        <f>Comuni__2[[#This Row],[Popolazione2011]]/$D$7911</f>
        <v>2.3997410972171636E-5</v>
      </c>
      <c r="F4216">
        <f>SUMIFS($D$2:$D$7909, $B$2:$B$7909, "Marche")</f>
        <v>1540584</v>
      </c>
      <c r="G4216" s="1">
        <f>Comuni__2[[#This Row],[Popolazione2011]]/Comuni__2[[#This Row],[POPOLAZIONE TOTALE DI OGNI REGIONE (CON FILTRO)]]</f>
        <v>9.256230104947215E-4</v>
      </c>
      <c r="H4216" t="str">
        <f>IF(Comuni__2[[#This Row],[Popolazione2011]]&gt;300000,"MAGGIORE","")</f>
        <v/>
      </c>
      <c r="J4216">
        <v>114</v>
      </c>
      <c r="K4216">
        <v>3097</v>
      </c>
      <c r="L4216">
        <v>289</v>
      </c>
    </row>
    <row r="4217" spans="1:12" x14ac:dyDescent="0.2">
      <c r="A4217"/>
      <c r="B4217"/>
      <c r="C4217"/>
      <c r="D4217"/>
      <c r="E4217" s="2">
        <f>Comuni__2[[#This Row],[Popolazione2011]]/$D$7911</f>
        <v>2.3930097056401168E-5</v>
      </c>
      <c r="F4217">
        <f>SUMIFS($D$2:$D$7909, $B$2:$B$7909, "Marche")</f>
        <v>1540584</v>
      </c>
      <c r="G4217" s="1">
        <f>Comuni__2[[#This Row],[Popolazione2011]]/Comuni__2[[#This Row],[POPOLAZIONE TOTALE DI OGNI REGIONE (CON FILTRO)]]</f>
        <v>9.230265925129691E-4</v>
      </c>
      <c r="H4217" t="str">
        <f>IF(Comuni__2[[#This Row],[Popolazione2011]]&gt;300000,"MAGGIORE","")</f>
        <v/>
      </c>
      <c r="J4217">
        <v>117</v>
      </c>
      <c r="K4217">
        <v>3106</v>
      </c>
      <c r="L4217">
        <v>289</v>
      </c>
    </row>
    <row r="4218" spans="1:12" x14ac:dyDescent="0.2">
      <c r="A4218"/>
      <c r="B4218"/>
      <c r="C4218"/>
      <c r="D4218"/>
      <c r="E4218" s="2">
        <f>Comuni__2[[#This Row],[Popolazione2011]]/$D$7911</f>
        <v>2.3694498351204532E-5</v>
      </c>
      <c r="F4218">
        <f>SUMIFS($D$2:$D$7909, $B$2:$B$7909, "Marche")</f>
        <v>1540584</v>
      </c>
      <c r="G4218" s="1">
        <f>Comuni__2[[#This Row],[Popolazione2011]]/Comuni__2[[#This Row],[POPOLAZIONE TOTALE DI OGNI REGIONE (CON FILTRO)]]</f>
        <v>9.1393912957683581E-4</v>
      </c>
      <c r="H4218" t="str">
        <f>IF(Comuni__2[[#This Row],[Popolazione2011]]&gt;300000,"MAGGIORE","")</f>
        <v/>
      </c>
      <c r="J4218">
        <v>120</v>
      </c>
      <c r="K4218">
        <v>3110</v>
      </c>
      <c r="L4218">
        <v>289</v>
      </c>
    </row>
    <row r="4219" spans="1:12" x14ac:dyDescent="0.2">
      <c r="A4219"/>
      <c r="B4219"/>
      <c r="C4219"/>
      <c r="D4219"/>
      <c r="E4219" s="2">
        <f>Comuni__2[[#This Row],[Popolazione2011]]/$D$7911</f>
        <v>2.268478961464752E-5</v>
      </c>
      <c r="F4219">
        <f>SUMIFS($D$2:$D$7909, $B$2:$B$7909, "Marche")</f>
        <v>1540584</v>
      </c>
      <c r="G4219" s="1">
        <f>Comuni__2[[#This Row],[Popolazione2011]]/Comuni__2[[#This Row],[POPOLAZIONE TOTALE DI OGNI REGIONE (CON FILTRO)]]</f>
        <v>8.7499285985055014E-4</v>
      </c>
      <c r="H4219" t="str">
        <f>IF(Comuni__2[[#This Row],[Popolazione2011]]&gt;300000,"MAGGIORE","")</f>
        <v/>
      </c>
      <c r="J4219">
        <v>126</v>
      </c>
      <c r="K4219">
        <v>3140</v>
      </c>
      <c r="L4219">
        <v>289</v>
      </c>
    </row>
    <row r="4220" spans="1:12" x14ac:dyDescent="0.2">
      <c r="A4220"/>
      <c r="B4220"/>
      <c r="C4220"/>
      <c r="D4220"/>
      <c r="E4220" s="2">
        <f>Comuni__2[[#This Row],[Popolazione2011]]/$D$7911</f>
        <v>2.1658252399147892E-5</v>
      </c>
      <c r="F4220">
        <f>SUMIFS($D$2:$D$7909, $B$2:$B$7909, "Marche")</f>
        <v>1540584</v>
      </c>
      <c r="G4220" s="1">
        <f>Comuni__2[[#This Row],[Popolazione2011]]/Comuni__2[[#This Row],[POPOLAZIONE TOTALE DI OGNI REGIONE (CON FILTRO)]]</f>
        <v>8.3539748562882652E-4</v>
      </c>
      <c r="H4220" t="str">
        <f>IF(Comuni__2[[#This Row],[Popolazione2011]]&gt;300000,"MAGGIORE","")</f>
        <v/>
      </c>
      <c r="J4220">
        <v>129</v>
      </c>
      <c r="K4220">
        <v>3141</v>
      </c>
      <c r="L4220">
        <v>289</v>
      </c>
    </row>
    <row r="4221" spans="1:12" x14ac:dyDescent="0.2">
      <c r="A4221"/>
      <c r="B4221"/>
      <c r="C4221"/>
      <c r="D4221"/>
      <c r="E4221" s="2">
        <f>Comuni__2[[#This Row],[Popolazione2011]]/$D$7911</f>
        <v>2.150679608866434E-5</v>
      </c>
      <c r="F4221">
        <f>SUMIFS($D$2:$D$7909, $B$2:$B$7909, "Marche")</f>
        <v>1540584</v>
      </c>
      <c r="G4221" s="1">
        <f>Comuni__2[[#This Row],[Popolazione2011]]/Comuni__2[[#This Row],[POPOLAZIONE TOTALE DI OGNI REGIONE (CON FILTRO)]]</f>
        <v>8.2955554516988368E-4</v>
      </c>
      <c r="H4221" t="str">
        <f>IF(Comuni__2[[#This Row],[Popolazione2011]]&gt;300000,"MAGGIORE","")</f>
        <v/>
      </c>
      <c r="J4221">
        <v>134</v>
      </c>
      <c r="K4221">
        <v>3144</v>
      </c>
      <c r="L4221">
        <v>289</v>
      </c>
    </row>
    <row r="4222" spans="1:12" x14ac:dyDescent="0.2">
      <c r="A4222"/>
      <c r="B4222"/>
      <c r="C4222"/>
      <c r="D4222"/>
      <c r="E4222" s="2">
        <f>Comuni__2[[#This Row],[Popolazione2011]]/$D$7911</f>
        <v>2.1035598678271069E-5</v>
      </c>
      <c r="F4222">
        <f>SUMIFS($D$2:$D$7909, $B$2:$B$7909, "Marche")</f>
        <v>1540584</v>
      </c>
      <c r="G4222" s="1">
        <f>Comuni__2[[#This Row],[Popolazione2011]]/Comuni__2[[#This Row],[POPOLAZIONE TOTALE DI OGNI REGIONE (CON FILTRO)]]</f>
        <v>8.1138061929761699E-4</v>
      </c>
      <c r="H4222" t="str">
        <f>IF(Comuni__2[[#This Row],[Popolazione2011]]&gt;300000,"MAGGIORE","")</f>
        <v/>
      </c>
      <c r="J4222">
        <v>137</v>
      </c>
      <c r="K4222">
        <v>3158</v>
      </c>
      <c r="L4222">
        <v>290</v>
      </c>
    </row>
    <row r="4223" spans="1:12" x14ac:dyDescent="0.2">
      <c r="A4223"/>
      <c r="B4223"/>
      <c r="C4223"/>
      <c r="D4223"/>
      <c r="E4223" s="2">
        <f>Comuni__2[[#This Row],[Popolazione2011]]/$D$7911</f>
        <v>2.0429773436336864E-5</v>
      </c>
      <c r="F4223">
        <f>SUMIFS($D$2:$D$7909, $B$2:$B$7909, "Marche")</f>
        <v>1540584</v>
      </c>
      <c r="G4223" s="1">
        <f>Comuni__2[[#This Row],[Popolazione2011]]/Comuni__2[[#This Row],[POPOLAZIONE TOTALE DI OGNI REGIONE (CON FILTRO)]]</f>
        <v>7.880128574618456E-4</v>
      </c>
      <c r="H4223" t="str">
        <f>IF(Comuni__2[[#This Row],[Popolazione2011]]&gt;300000,"MAGGIORE","")</f>
        <v/>
      </c>
      <c r="J4223">
        <v>152</v>
      </c>
      <c r="K4223">
        <v>3172</v>
      </c>
      <c r="L4223">
        <v>292</v>
      </c>
    </row>
    <row r="4224" spans="1:12" x14ac:dyDescent="0.2">
      <c r="A4224"/>
      <c r="B4224"/>
      <c r="C4224"/>
      <c r="D4224"/>
      <c r="E4224" s="2">
        <f>Comuni__2[[#This Row],[Popolazione2011]]/$D$7911</f>
        <v>1.9857605152287889E-5</v>
      </c>
      <c r="F4224">
        <f>SUMIFS($D$2:$D$7909, $B$2:$B$7909, "Marche")</f>
        <v>1540584</v>
      </c>
      <c r="G4224" s="1">
        <f>Comuni__2[[#This Row],[Popolazione2011]]/Comuni__2[[#This Row],[POPOLAZIONE TOTALE DI OGNI REGIONE (CON FILTRO)]]</f>
        <v>7.6594330461695042E-4</v>
      </c>
      <c r="H4224" t="str">
        <f>IF(Comuni__2[[#This Row],[Popolazione2011]]&gt;300000,"MAGGIORE","")</f>
        <v/>
      </c>
      <c r="J4224">
        <v>158</v>
      </c>
      <c r="K4224">
        <v>3172</v>
      </c>
      <c r="L4224">
        <v>292</v>
      </c>
    </row>
    <row r="4225" spans="1:12" x14ac:dyDescent="0.2">
      <c r="A4225"/>
      <c r="B4225"/>
      <c r="C4225"/>
      <c r="D4225"/>
      <c r="E4225" s="2">
        <f>Comuni__2[[#This Row],[Popolazione2011]]/$D$7911</f>
        <v>1.9773462757574805E-5</v>
      </c>
      <c r="F4225">
        <f>SUMIFS($D$2:$D$7909, $B$2:$B$7909, "Marche")</f>
        <v>1540584</v>
      </c>
      <c r="G4225" s="1">
        <f>Comuni__2[[#This Row],[Popolazione2011]]/Comuni__2[[#This Row],[POPOLAZIONE TOTALE DI OGNI REGIONE (CON FILTRO)]]</f>
        <v>7.6269778213975997E-4</v>
      </c>
      <c r="H4225" t="str">
        <f>IF(Comuni__2[[#This Row],[Popolazione2011]]&gt;300000,"MAGGIORE","")</f>
        <v/>
      </c>
      <c r="J4225">
        <v>171</v>
      </c>
      <c r="K4225">
        <v>3190</v>
      </c>
      <c r="L4225">
        <v>295</v>
      </c>
    </row>
    <row r="4226" spans="1:12" x14ac:dyDescent="0.2">
      <c r="A4226"/>
      <c r="B4226"/>
      <c r="C4226"/>
      <c r="D4226"/>
      <c r="E4226" s="2">
        <f>Comuni__2[[#This Row],[Popolazione2011]]/$D$7911</f>
        <v>1.9773462757574805E-5</v>
      </c>
      <c r="F4226">
        <f>SUMIFS($D$2:$D$7909, $B$2:$B$7909, "Marche")</f>
        <v>1540584</v>
      </c>
      <c r="G4226" s="1">
        <f>Comuni__2[[#This Row],[Popolazione2011]]/Comuni__2[[#This Row],[POPOLAZIONE TOTALE DI OGNI REGIONE (CON FILTRO)]]</f>
        <v>7.6269778213975997E-4</v>
      </c>
      <c r="H4226" t="str">
        <f>IF(Comuni__2[[#This Row],[Popolazione2011]]&gt;300000,"MAGGIORE","")</f>
        <v/>
      </c>
      <c r="J4226">
        <v>187</v>
      </c>
      <c r="K4226">
        <v>3231</v>
      </c>
      <c r="L4226">
        <v>295</v>
      </c>
    </row>
    <row r="4227" spans="1:12" x14ac:dyDescent="0.2">
      <c r="A4227"/>
      <c r="B4227"/>
      <c r="C4227"/>
      <c r="D4227"/>
      <c r="E4227" s="2">
        <f>Comuni__2[[#This Row],[Popolazione2011]]/$D$7911</f>
        <v>1.9622006447091253E-5</v>
      </c>
      <c r="F4227">
        <f>SUMIFS($D$2:$D$7909, $B$2:$B$7909, "Marche")</f>
        <v>1540584</v>
      </c>
      <c r="G4227" s="1">
        <f>Comuni__2[[#This Row],[Popolazione2011]]/Comuni__2[[#This Row],[POPOLAZIONE TOTALE DI OGNI REGIONE (CON FILTRO)]]</f>
        <v>7.5685584168081713E-4</v>
      </c>
      <c r="H4227" t="str">
        <f>IF(Comuni__2[[#This Row],[Popolazione2011]]&gt;300000,"MAGGIORE","")</f>
        <v/>
      </c>
      <c r="J4227">
        <v>194</v>
      </c>
      <c r="K4227">
        <v>3295</v>
      </c>
      <c r="L4227">
        <v>296</v>
      </c>
    </row>
    <row r="4228" spans="1:12" x14ac:dyDescent="0.2">
      <c r="A4228"/>
      <c r="B4228"/>
      <c r="C4228"/>
      <c r="D4228"/>
      <c r="E4228" s="2">
        <f>Comuni__2[[#This Row],[Popolazione2011]]/$D$7911</f>
        <v>1.9420064699779853E-5</v>
      </c>
      <c r="F4228">
        <f>SUMIFS($D$2:$D$7909, $B$2:$B$7909, "Marche")</f>
        <v>1540584</v>
      </c>
      <c r="G4228" s="1">
        <f>Comuni__2[[#This Row],[Popolazione2011]]/Comuni__2[[#This Row],[POPOLAZIONE TOTALE DI OGNI REGIONE (CON FILTRO)]]</f>
        <v>7.4906658773556004E-4</v>
      </c>
      <c r="H4228" t="str">
        <f>IF(Comuni__2[[#This Row],[Popolazione2011]]&gt;300000,"MAGGIORE","")</f>
        <v/>
      </c>
      <c r="J4228">
        <v>204</v>
      </c>
      <c r="K4228">
        <v>3318</v>
      </c>
      <c r="L4228">
        <v>296</v>
      </c>
    </row>
    <row r="4229" spans="1:12" x14ac:dyDescent="0.2">
      <c r="A4229"/>
      <c r="B4229"/>
      <c r="C4229"/>
      <c r="D4229"/>
      <c r="E4229" s="2">
        <f>Comuni__2[[#This Row],[Popolazione2011]]/$D$7911</f>
        <v>1.878058249996041E-5</v>
      </c>
      <c r="F4229">
        <f>SUMIFS($D$2:$D$7909, $B$2:$B$7909, "Marche")</f>
        <v>1540584</v>
      </c>
      <c r="G4229" s="1">
        <f>Comuni__2[[#This Row],[Popolazione2011]]/Comuni__2[[#This Row],[POPOLAZIONE TOTALE DI OGNI REGIONE (CON FILTRO)]]</f>
        <v>7.2440061690891245E-4</v>
      </c>
      <c r="H4229" t="str">
        <f>IF(Comuni__2[[#This Row],[Popolazione2011]]&gt;300000,"MAGGIORE","")</f>
        <v/>
      </c>
      <c r="J4229">
        <v>207</v>
      </c>
      <c r="K4229">
        <v>3350</v>
      </c>
      <c r="L4229">
        <v>296</v>
      </c>
    </row>
    <row r="4230" spans="1:12" x14ac:dyDescent="0.2">
      <c r="A4230"/>
      <c r="B4230"/>
      <c r="C4230"/>
      <c r="D4230"/>
      <c r="E4230" s="2">
        <f>Comuni__2[[#This Row],[Popolazione2011]]/$D$7911</f>
        <v>1.8645954668419477E-5</v>
      </c>
      <c r="F4230">
        <f>SUMIFS($D$2:$D$7909, $B$2:$B$7909, "Marche")</f>
        <v>1540584</v>
      </c>
      <c r="G4230" s="1">
        <f>Comuni__2[[#This Row],[Popolazione2011]]/Comuni__2[[#This Row],[POPOLAZIONE TOTALE DI OGNI REGIONE (CON FILTRO)]]</f>
        <v>7.1920778094540776E-4</v>
      </c>
      <c r="H4230" t="str">
        <f>IF(Comuni__2[[#This Row],[Popolazione2011]]&gt;300000,"MAGGIORE","")</f>
        <v/>
      </c>
      <c r="J4230">
        <v>217</v>
      </c>
      <c r="K4230">
        <v>3390</v>
      </c>
      <c r="L4230">
        <v>299</v>
      </c>
    </row>
    <row r="4231" spans="1:12" x14ac:dyDescent="0.2">
      <c r="A4231"/>
      <c r="B4231"/>
      <c r="C4231"/>
      <c r="D4231"/>
      <c r="E4231" s="2">
        <f>Comuni__2[[#This Row],[Popolazione2011]]/$D$7911</f>
        <v>1.8494498357935925E-5</v>
      </c>
      <c r="F4231">
        <f>SUMIFS($D$2:$D$7909, $B$2:$B$7909, "Marche")</f>
        <v>1540584</v>
      </c>
      <c r="G4231" s="1">
        <f>Comuni__2[[#This Row],[Popolazione2011]]/Comuni__2[[#This Row],[POPOLAZIONE TOTALE DI OGNI REGIONE (CON FILTRO)]]</f>
        <v>7.1336584048646492E-4</v>
      </c>
      <c r="H4231" t="str">
        <f>IF(Comuni__2[[#This Row],[Popolazione2011]]&gt;300000,"MAGGIORE","")</f>
        <v/>
      </c>
      <c r="J4231">
        <v>239</v>
      </c>
      <c r="K4231">
        <v>3455</v>
      </c>
      <c r="L4231">
        <v>300</v>
      </c>
    </row>
    <row r="4232" spans="1:12" x14ac:dyDescent="0.2">
      <c r="A4232"/>
      <c r="B4232"/>
      <c r="C4232"/>
      <c r="D4232"/>
      <c r="E4232" s="2">
        <f>Comuni__2[[#This Row],[Popolazione2011]]/$D$7911</f>
        <v>1.8258899652739289E-5</v>
      </c>
      <c r="F4232">
        <f>SUMIFS($D$2:$D$7909, $B$2:$B$7909, "Marche")</f>
        <v>1540584</v>
      </c>
      <c r="G4232" s="1">
        <f>Comuni__2[[#This Row],[Popolazione2011]]/Comuni__2[[#This Row],[POPOLAZIONE TOTALE DI OGNI REGIONE (CON FILTRO)]]</f>
        <v>7.0427837755033152E-4</v>
      </c>
      <c r="H4232" t="str">
        <f>IF(Comuni__2[[#This Row],[Popolazione2011]]&gt;300000,"MAGGIORE","")</f>
        <v/>
      </c>
      <c r="J4232">
        <v>246</v>
      </c>
      <c r="K4232">
        <v>3519</v>
      </c>
      <c r="L4232">
        <v>303</v>
      </c>
    </row>
    <row r="4233" spans="1:12" x14ac:dyDescent="0.2">
      <c r="A4233"/>
      <c r="B4233"/>
      <c r="C4233"/>
      <c r="D4233"/>
      <c r="E4233" s="2">
        <f>Comuni__2[[#This Row],[Popolazione2011]]/$D$7911</f>
        <v>1.8225242694854054E-5</v>
      </c>
      <c r="F4233">
        <f>SUMIFS($D$2:$D$7909, $B$2:$B$7909, "Marche")</f>
        <v>1540584</v>
      </c>
      <c r="G4233" s="1">
        <f>Comuni__2[[#This Row],[Popolazione2011]]/Comuni__2[[#This Row],[POPOLAZIONE TOTALE DI OGNI REGIONE (CON FILTRO)]]</f>
        <v>7.0298016855945542E-4</v>
      </c>
      <c r="H4233" t="str">
        <f>IF(Comuni__2[[#This Row],[Popolazione2011]]&gt;300000,"MAGGIORE","")</f>
        <v/>
      </c>
      <c r="J4233">
        <v>253</v>
      </c>
      <c r="K4233">
        <v>3594</v>
      </c>
      <c r="L4233">
        <v>304</v>
      </c>
    </row>
    <row r="4234" spans="1:12" x14ac:dyDescent="0.2">
      <c r="A4234"/>
      <c r="B4234"/>
      <c r="C4234"/>
      <c r="D4234"/>
      <c r="E4234" s="2">
        <f>Comuni__2[[#This Row],[Popolazione2011]]/$D$7911</f>
        <v>1.7686731368690314E-5</v>
      </c>
      <c r="F4234">
        <f>SUMIFS($D$2:$D$7909, $B$2:$B$7909, "Marche")</f>
        <v>1540584</v>
      </c>
      <c r="G4234" s="1">
        <f>Comuni__2[[#This Row],[Popolazione2011]]/Comuni__2[[#This Row],[POPOLAZIONE TOTALE DI OGNI REGIONE (CON FILTRO)]]</f>
        <v>6.8220882470543633E-4</v>
      </c>
      <c r="H4234" t="str">
        <f>IF(Comuni__2[[#This Row],[Popolazione2011]]&gt;300000,"MAGGIORE","")</f>
        <v/>
      </c>
      <c r="J4234">
        <v>248</v>
      </c>
      <c r="K4234">
        <v>3630</v>
      </c>
      <c r="L4234">
        <v>306</v>
      </c>
    </row>
    <row r="4235" spans="1:12" x14ac:dyDescent="0.2">
      <c r="A4235"/>
      <c r="B4235"/>
      <c r="C4235"/>
      <c r="D4235"/>
      <c r="E4235" s="2">
        <f>Comuni__2[[#This Row],[Popolazione2011]]/$D$7911</f>
        <v>1.7114563084641342E-5</v>
      </c>
      <c r="F4235">
        <f>SUMIFS($D$2:$D$7909, $B$2:$B$7909, "Marche")</f>
        <v>1540584</v>
      </c>
      <c r="G4235" s="1">
        <f>Comuni__2[[#This Row],[Popolazione2011]]/Comuni__2[[#This Row],[POPOLAZIONE TOTALE DI OGNI REGIONE (CON FILTRO)]]</f>
        <v>6.6013927186054115E-4</v>
      </c>
      <c r="H4235" t="str">
        <f>IF(Comuni__2[[#This Row],[Popolazione2011]]&gt;300000,"MAGGIORE","")</f>
        <v/>
      </c>
      <c r="J4235">
        <v>268</v>
      </c>
      <c r="K4235">
        <v>3687</v>
      </c>
      <c r="L4235">
        <v>306</v>
      </c>
    </row>
    <row r="4236" spans="1:12" x14ac:dyDescent="0.2">
      <c r="A4236"/>
      <c r="B4236"/>
      <c r="C4236"/>
      <c r="D4236"/>
      <c r="E4236" s="2">
        <f>Comuni__2[[#This Row],[Popolazione2011]]/$D$7911</f>
        <v>1.708090612675611E-5</v>
      </c>
      <c r="F4236">
        <f>SUMIFS($D$2:$D$7909, $B$2:$B$7909, "Marche")</f>
        <v>1540584</v>
      </c>
      <c r="G4236" s="1">
        <f>Comuni__2[[#This Row],[Popolazione2011]]/Comuni__2[[#This Row],[POPOLAZIONE TOTALE DI OGNI REGIONE (CON FILTRO)]]</f>
        <v>6.5884106286966506E-4</v>
      </c>
      <c r="H4236" t="str">
        <f>IF(Comuni__2[[#This Row],[Popolazione2011]]&gt;300000,"MAGGIORE","")</f>
        <v/>
      </c>
      <c r="J4236">
        <v>282</v>
      </c>
      <c r="K4236">
        <v>3716</v>
      </c>
      <c r="L4236">
        <v>308</v>
      </c>
    </row>
    <row r="4237" spans="1:12" x14ac:dyDescent="0.2">
      <c r="A4237"/>
      <c r="B4237"/>
      <c r="C4237"/>
      <c r="D4237"/>
      <c r="E4237" s="2">
        <f>Comuni__2[[#This Row],[Popolazione2011]]/$D$7911</f>
        <v>1.7013592210985642E-5</v>
      </c>
      <c r="F4237">
        <f>SUMIFS($D$2:$D$7909, $B$2:$B$7909, "Marche")</f>
        <v>1540584</v>
      </c>
      <c r="G4237" s="1">
        <f>Comuni__2[[#This Row],[Popolazione2011]]/Comuni__2[[#This Row],[POPOLAZIONE TOTALE DI OGNI REGIONE (CON FILTRO)]]</f>
        <v>6.5624464488791266E-4</v>
      </c>
      <c r="H4237" t="str">
        <f>IF(Comuni__2[[#This Row],[Popolazione2011]]&gt;300000,"MAGGIORE","")</f>
        <v/>
      </c>
      <c r="J4237">
        <v>309</v>
      </c>
      <c r="K4237">
        <v>3733</v>
      </c>
      <c r="L4237">
        <v>309</v>
      </c>
    </row>
    <row r="4238" spans="1:12" x14ac:dyDescent="0.2">
      <c r="A4238"/>
      <c r="B4238"/>
      <c r="C4238"/>
      <c r="D4238"/>
      <c r="E4238" s="2">
        <f>Comuni__2[[#This Row],[Popolazione2011]]/$D$7911</f>
        <v>1.6979935253100406E-5</v>
      </c>
      <c r="F4238">
        <f>SUMIFS($D$2:$D$7909, $B$2:$B$7909, "Marche")</f>
        <v>1540584</v>
      </c>
      <c r="G4238" s="1">
        <f>Comuni__2[[#This Row],[Popolazione2011]]/Comuni__2[[#This Row],[POPOLAZIONE TOTALE DI OGNI REGIONE (CON FILTRO)]]</f>
        <v>6.5494643589703646E-4</v>
      </c>
      <c r="H4238" t="str">
        <f>IF(Comuni__2[[#This Row],[Popolazione2011]]&gt;300000,"MAGGIORE","")</f>
        <v/>
      </c>
      <c r="J4238">
        <v>309</v>
      </c>
      <c r="K4238">
        <v>3851</v>
      </c>
      <c r="L4238">
        <v>310</v>
      </c>
    </row>
    <row r="4239" spans="1:12" x14ac:dyDescent="0.2">
      <c r="A4239"/>
      <c r="B4239"/>
      <c r="C4239"/>
      <c r="D4239"/>
      <c r="E4239" s="2">
        <f>Comuni__2[[#This Row],[Popolazione2011]]/$D$7911</f>
        <v>1.696310677415779E-5</v>
      </c>
      <c r="F4239">
        <f>SUMIFS($D$2:$D$7909, $B$2:$B$7909, "Marche")</f>
        <v>1540584</v>
      </c>
      <c r="G4239" s="1">
        <f>Comuni__2[[#This Row],[Popolazione2011]]/Comuni__2[[#This Row],[POPOLAZIONE TOTALE DI OGNI REGIONE (CON FILTRO)]]</f>
        <v>6.542973314015983E-4</v>
      </c>
      <c r="H4239" t="str">
        <f>IF(Comuni__2[[#This Row],[Popolazione2011]]&gt;300000,"MAGGIORE","")</f>
        <v/>
      </c>
      <c r="J4239">
        <v>320</v>
      </c>
      <c r="K4239">
        <v>3941</v>
      </c>
      <c r="L4239">
        <v>311</v>
      </c>
    </row>
    <row r="4240" spans="1:12" x14ac:dyDescent="0.2">
      <c r="A4240"/>
      <c r="B4240"/>
      <c r="C4240"/>
      <c r="D4240"/>
      <c r="E4240" s="2">
        <f>Comuni__2[[#This Row],[Popolazione2011]]/$D$7911</f>
        <v>1.686213590050209E-5</v>
      </c>
      <c r="F4240">
        <f>SUMIFS($D$2:$D$7909, $B$2:$B$7909, "Marche")</f>
        <v>1540584</v>
      </c>
      <c r="G4240" s="1">
        <f>Comuni__2[[#This Row],[Popolazione2011]]/Comuni__2[[#This Row],[POPOLAZIONE TOTALE DI OGNI REGIONE (CON FILTRO)]]</f>
        <v>6.5040270442896981E-4</v>
      </c>
      <c r="H4240" t="str">
        <f>IF(Comuni__2[[#This Row],[Popolazione2011]]&gt;300000,"MAGGIORE","")</f>
        <v/>
      </c>
      <c r="J4240">
        <v>327</v>
      </c>
      <c r="K4240">
        <v>4026</v>
      </c>
      <c r="L4240">
        <v>312</v>
      </c>
    </row>
    <row r="4241" spans="1:12" x14ac:dyDescent="0.2">
      <c r="A4241"/>
      <c r="B4241"/>
      <c r="C4241"/>
      <c r="D4241"/>
      <c r="E4241" s="2">
        <f>Comuni__2[[#This Row],[Popolazione2011]]/$D$7911</f>
        <v>1.5751456290289378E-5</v>
      </c>
      <c r="F4241">
        <f>SUMIFS($D$2:$D$7909, $B$2:$B$7909, "Marche")</f>
        <v>1540584</v>
      </c>
      <c r="G4241" s="1">
        <f>Comuni__2[[#This Row],[Popolazione2011]]/Comuni__2[[#This Row],[POPOLAZIONE TOTALE DI OGNI REGIONE (CON FILTRO)]]</f>
        <v>6.0756180773005564E-4</v>
      </c>
      <c r="H4241" t="str">
        <f>IF(Comuni__2[[#This Row],[Popolazione2011]]&gt;300000,"MAGGIORE","")</f>
        <v/>
      </c>
      <c r="J4241">
        <v>324</v>
      </c>
      <c r="K4241">
        <v>4052</v>
      </c>
      <c r="L4241">
        <v>314</v>
      </c>
    </row>
    <row r="4242" spans="1:12" x14ac:dyDescent="0.2">
      <c r="A4242"/>
      <c r="B4242"/>
      <c r="C4242"/>
      <c r="D4242"/>
      <c r="E4242" s="2">
        <f>Comuni__2[[#This Row],[Popolazione2011]]/$D$7911</f>
        <v>1.5633656937691058E-5</v>
      </c>
      <c r="F4242">
        <f>SUMIFS($D$2:$D$7909, $B$2:$B$7909, "Marche")</f>
        <v>1540584</v>
      </c>
      <c r="G4242" s="1">
        <f>Comuni__2[[#This Row],[Popolazione2011]]/Comuni__2[[#This Row],[POPOLAZIONE TOTALE DI OGNI REGIONE (CON FILTRO)]]</f>
        <v>6.03018076261989E-4</v>
      </c>
      <c r="H4242" t="str">
        <f>IF(Comuni__2[[#This Row],[Popolazione2011]]&gt;300000,"MAGGIORE","")</f>
        <v/>
      </c>
      <c r="J4242">
        <v>342</v>
      </c>
      <c r="K4242">
        <v>4108</v>
      </c>
      <c r="L4242">
        <v>317</v>
      </c>
    </row>
    <row r="4243" spans="1:12" x14ac:dyDescent="0.2">
      <c r="A4243"/>
      <c r="B4243"/>
      <c r="C4243"/>
      <c r="D4243"/>
      <c r="E4243" s="2">
        <f>Comuni__2[[#This Row],[Popolazione2011]]/$D$7911</f>
        <v>1.5179288006240404E-5</v>
      </c>
      <c r="F4243">
        <f>SUMIFS($D$2:$D$7909, $B$2:$B$7909, "Marche")</f>
        <v>1540584</v>
      </c>
      <c r="G4243" s="1">
        <f>Comuni__2[[#This Row],[Popolazione2011]]/Comuni__2[[#This Row],[POPOLAZIONE TOTALE DI OGNI REGIONE (CON FILTRO)]]</f>
        <v>5.8549225488516046E-4</v>
      </c>
      <c r="H4243" t="str">
        <f>IF(Comuni__2[[#This Row],[Popolazione2011]]&gt;300000,"MAGGIORE","")</f>
        <v/>
      </c>
      <c r="J4243">
        <v>353</v>
      </c>
      <c r="K4243">
        <v>4115</v>
      </c>
      <c r="L4243">
        <v>319</v>
      </c>
    </row>
    <row r="4244" spans="1:12" x14ac:dyDescent="0.2">
      <c r="A4244"/>
      <c r="B4244"/>
      <c r="C4244"/>
      <c r="D4244"/>
      <c r="E4244" s="2">
        <f>Comuni__2[[#This Row],[Popolazione2011]]/$D$7911</f>
        <v>1.5044660174699469E-5</v>
      </c>
      <c r="F4244">
        <f>SUMIFS($D$2:$D$7909, $B$2:$B$7909, "Marche")</f>
        <v>1540584</v>
      </c>
      <c r="G4244" s="1">
        <f>Comuni__2[[#This Row],[Popolazione2011]]/Comuni__2[[#This Row],[POPOLAZIONE TOTALE DI OGNI REGIONE (CON FILTRO)]]</f>
        <v>5.8029941892165566E-4</v>
      </c>
      <c r="H4244" t="str">
        <f>IF(Comuni__2[[#This Row],[Popolazione2011]]&gt;300000,"MAGGIORE","")</f>
        <v/>
      </c>
      <c r="J4244">
        <v>389</v>
      </c>
      <c r="K4244">
        <v>4130</v>
      </c>
      <c r="L4244">
        <v>321</v>
      </c>
    </row>
    <row r="4245" spans="1:12" x14ac:dyDescent="0.2">
      <c r="A4245"/>
      <c r="B4245"/>
      <c r="C4245"/>
      <c r="D4245"/>
      <c r="E4245" s="2">
        <f>Comuni__2[[#This Row],[Popolazione2011]]/$D$7911</f>
        <v>1.4607119722191431E-5</v>
      </c>
      <c r="F4245">
        <f>SUMIFS($D$2:$D$7909, $B$2:$B$7909, "Marche")</f>
        <v>1540584</v>
      </c>
      <c r="G4245" s="1">
        <f>Comuni__2[[#This Row],[Popolazione2011]]/Comuni__2[[#This Row],[POPOLAZIONE TOTALE DI OGNI REGIONE (CON FILTRO)]]</f>
        <v>5.6342270204026528E-4</v>
      </c>
      <c r="H4245" t="str">
        <f>IF(Comuni__2[[#This Row],[Popolazione2011]]&gt;300000,"MAGGIORE","")</f>
        <v/>
      </c>
      <c r="J4245">
        <v>396</v>
      </c>
      <c r="K4245">
        <v>4237</v>
      </c>
      <c r="L4245">
        <v>322</v>
      </c>
    </row>
    <row r="4246" spans="1:12" x14ac:dyDescent="0.2">
      <c r="A4246"/>
      <c r="B4246"/>
      <c r="C4246"/>
      <c r="D4246"/>
      <c r="E4246" s="2">
        <f>Comuni__2[[#This Row],[Popolazione2011]]/$D$7911</f>
        <v>1.4489320369593113E-5</v>
      </c>
      <c r="F4246">
        <f>SUMIFS($D$2:$D$7909, $B$2:$B$7909, "Marche")</f>
        <v>1540584</v>
      </c>
      <c r="G4246" s="1">
        <f>Comuni__2[[#This Row],[Popolazione2011]]/Comuni__2[[#This Row],[POPOLAZIONE TOTALE DI OGNI REGIONE (CON FILTRO)]]</f>
        <v>5.5887897057219863E-4</v>
      </c>
      <c r="H4246" t="str">
        <f>IF(Comuni__2[[#This Row],[Popolazione2011]]&gt;300000,"MAGGIORE","")</f>
        <v/>
      </c>
      <c r="J4246">
        <v>405</v>
      </c>
      <c r="K4246">
        <v>4345</v>
      </c>
      <c r="L4246">
        <v>326</v>
      </c>
    </row>
    <row r="4247" spans="1:12" x14ac:dyDescent="0.2">
      <c r="A4247"/>
      <c r="B4247"/>
      <c r="C4247"/>
      <c r="D4247"/>
      <c r="E4247" s="2">
        <f>Comuni__2[[#This Row],[Popolazione2011]]/$D$7911</f>
        <v>1.4472491890650497E-5</v>
      </c>
      <c r="F4247">
        <f>SUMIFS($D$2:$D$7909, $B$2:$B$7909, "Marche")</f>
        <v>1540584</v>
      </c>
      <c r="G4247" s="1">
        <f>Comuni__2[[#This Row],[Popolazione2011]]/Comuni__2[[#This Row],[POPOLAZIONE TOTALE DI OGNI REGIONE (CON FILTRO)]]</f>
        <v>5.5822986607676048E-4</v>
      </c>
      <c r="H4247" t="str">
        <f>IF(Comuni__2[[#This Row],[Popolazione2011]]&gt;300000,"MAGGIORE","")</f>
        <v/>
      </c>
      <c r="J4247">
        <v>409</v>
      </c>
      <c r="K4247">
        <v>4454</v>
      </c>
      <c r="L4247">
        <v>329</v>
      </c>
    </row>
    <row r="4248" spans="1:12" x14ac:dyDescent="0.2">
      <c r="A4248"/>
      <c r="B4248"/>
      <c r="C4248"/>
      <c r="D4248"/>
      <c r="E4248" s="2">
        <f>Comuni__2[[#This Row],[Popolazione2011]]/$D$7911</f>
        <v>1.3715210338232737E-5</v>
      </c>
      <c r="F4248">
        <f>SUMIFS($D$2:$D$7909, $B$2:$B$7909, "Marche")</f>
        <v>1540584</v>
      </c>
      <c r="G4248" s="1">
        <f>Comuni__2[[#This Row],[Popolazione2011]]/Comuni__2[[#This Row],[POPOLAZIONE TOTALE DI OGNI REGIONE (CON FILTRO)]]</f>
        <v>5.2902016378204625E-4</v>
      </c>
      <c r="H4248" t="str">
        <f>IF(Comuni__2[[#This Row],[Popolazione2011]]&gt;300000,"MAGGIORE","")</f>
        <v/>
      </c>
      <c r="J4248">
        <v>411</v>
      </c>
      <c r="K4248">
        <v>4478</v>
      </c>
      <c r="L4248">
        <v>333</v>
      </c>
    </row>
    <row r="4249" spans="1:12" x14ac:dyDescent="0.2">
      <c r="A4249"/>
      <c r="B4249"/>
      <c r="C4249"/>
      <c r="D4249"/>
      <c r="E4249" s="2">
        <f>Comuni__2[[#This Row],[Popolazione2011]]/$D$7911</f>
        <v>1.3328155322552549E-5</v>
      </c>
      <c r="F4249">
        <f>SUMIFS($D$2:$D$7909, $B$2:$B$7909, "Marche")</f>
        <v>1540584</v>
      </c>
      <c r="G4249" s="1">
        <f>Comuni__2[[#This Row],[Popolazione2011]]/Comuni__2[[#This Row],[POPOLAZIONE TOTALE DI OGNI REGIONE (CON FILTRO)]]</f>
        <v>5.1409076038697011E-4</v>
      </c>
      <c r="H4249" t="str">
        <f>IF(Comuni__2[[#This Row],[Popolazione2011]]&gt;300000,"MAGGIORE","")</f>
        <v/>
      </c>
      <c r="J4249">
        <v>422</v>
      </c>
      <c r="K4249">
        <v>4519</v>
      </c>
      <c r="L4249">
        <v>335</v>
      </c>
    </row>
    <row r="4250" spans="1:12" x14ac:dyDescent="0.2">
      <c r="A4250"/>
      <c r="B4250"/>
      <c r="C4250"/>
      <c r="D4250"/>
      <c r="E4250" s="2">
        <f>Comuni__2[[#This Row],[Popolazione2011]]/$D$7911</f>
        <v>1.3311326843609933E-5</v>
      </c>
      <c r="F4250">
        <f>SUMIFS($D$2:$D$7909, $B$2:$B$7909, "Marche")</f>
        <v>1540584</v>
      </c>
      <c r="G4250" s="1">
        <f>Comuni__2[[#This Row],[Popolazione2011]]/Comuni__2[[#This Row],[POPOLAZIONE TOTALE DI OGNI REGIONE (CON FILTRO)]]</f>
        <v>5.1344165589153206E-4</v>
      </c>
      <c r="H4250" t="str">
        <f>IF(Comuni__2[[#This Row],[Popolazione2011]]&gt;300000,"MAGGIORE","")</f>
        <v/>
      </c>
      <c r="J4250">
        <v>426</v>
      </c>
      <c r="K4250">
        <v>4557</v>
      </c>
      <c r="L4250">
        <v>336</v>
      </c>
    </row>
    <row r="4251" spans="1:12" x14ac:dyDescent="0.2">
      <c r="A4251"/>
      <c r="B4251"/>
      <c r="C4251"/>
      <c r="D4251"/>
      <c r="E4251" s="2">
        <f>Comuni__2[[#This Row],[Popolazione2011]]/$D$7911</f>
        <v>1.3260841406782083E-5</v>
      </c>
      <c r="F4251">
        <f>SUMIFS($D$2:$D$7909, $B$2:$B$7909, "Marche")</f>
        <v>1540584</v>
      </c>
      <c r="G4251" s="1">
        <f>Comuni__2[[#This Row],[Popolazione2011]]/Comuni__2[[#This Row],[POPOLAZIONE TOTALE DI OGNI REGIONE (CON FILTRO)]]</f>
        <v>5.1149434240521771E-4</v>
      </c>
      <c r="H4251" t="str">
        <f>IF(Comuni__2[[#This Row],[Popolazione2011]]&gt;300000,"MAGGIORE","")</f>
        <v/>
      </c>
      <c r="J4251">
        <v>446</v>
      </c>
      <c r="K4251">
        <v>4571</v>
      </c>
      <c r="L4251">
        <v>339</v>
      </c>
    </row>
    <row r="4252" spans="1:12" x14ac:dyDescent="0.2">
      <c r="A4252"/>
      <c r="B4252"/>
      <c r="C4252"/>
      <c r="D4252"/>
      <c r="E4252" s="2">
        <f>Comuni__2[[#This Row],[Popolazione2011]]/$D$7911</f>
        <v>1.3075728138413297E-5</v>
      </c>
      <c r="F4252">
        <f>SUMIFS($D$2:$D$7909, $B$2:$B$7909, "Marche")</f>
        <v>1540584</v>
      </c>
      <c r="G4252" s="1">
        <f>Comuni__2[[#This Row],[Popolazione2011]]/Comuni__2[[#This Row],[POPOLAZIONE TOTALE DI OGNI REGIONE (CON FILTRO)]]</f>
        <v>5.0435419295539877E-4</v>
      </c>
      <c r="H4252" t="str">
        <f>IF(Comuni__2[[#This Row],[Popolazione2011]]&gt;300000,"MAGGIORE","")</f>
        <v/>
      </c>
      <c r="J4252">
        <v>470</v>
      </c>
      <c r="K4252">
        <v>4708</v>
      </c>
      <c r="L4252">
        <v>341</v>
      </c>
    </row>
    <row r="4253" spans="1:12" x14ac:dyDescent="0.2">
      <c r="A4253"/>
      <c r="B4253"/>
      <c r="C4253"/>
      <c r="D4253"/>
      <c r="E4253" s="2">
        <f>Comuni__2[[#This Row],[Popolazione2011]]/$D$7911</f>
        <v>1.2301618107052922E-5</v>
      </c>
      <c r="F4253">
        <f>SUMIFS($D$2:$D$7909, $B$2:$B$7909, "Marche")</f>
        <v>1540584</v>
      </c>
      <c r="G4253" s="1">
        <f>Comuni__2[[#This Row],[Popolazione2011]]/Comuni__2[[#This Row],[POPOLAZIONE TOTALE DI OGNI REGIONE (CON FILTRO)]]</f>
        <v>4.7449538616524644E-4</v>
      </c>
      <c r="H4253" t="str">
        <f>IF(Comuni__2[[#This Row],[Popolazione2011]]&gt;300000,"MAGGIORE","")</f>
        <v/>
      </c>
      <c r="J4253">
        <v>496</v>
      </c>
      <c r="K4253">
        <v>4762</v>
      </c>
      <c r="L4253">
        <v>343</v>
      </c>
    </row>
    <row r="4254" spans="1:12" x14ac:dyDescent="0.2">
      <c r="A4254"/>
      <c r="B4254"/>
      <c r="C4254"/>
      <c r="D4254"/>
      <c r="E4254" s="2">
        <f>Comuni__2[[#This Row],[Popolazione2011]]/$D$7911</f>
        <v>1.17799352598318E-5</v>
      </c>
      <c r="F4254">
        <f>SUMIFS($D$2:$D$7909, $B$2:$B$7909, "Marche")</f>
        <v>1540584</v>
      </c>
      <c r="G4254" s="1">
        <f>Comuni__2[[#This Row],[Popolazione2011]]/Comuni__2[[#This Row],[POPOLAZIONE TOTALE DI OGNI REGIONE (CON FILTRO)]]</f>
        <v>4.5437314680666551E-4</v>
      </c>
      <c r="H4254" t="str">
        <f>IF(Comuni__2[[#This Row],[Popolazione2011]]&gt;300000,"MAGGIORE","")</f>
        <v/>
      </c>
      <c r="J4254">
        <v>520</v>
      </c>
      <c r="K4254">
        <v>4854</v>
      </c>
      <c r="L4254">
        <v>350</v>
      </c>
    </row>
    <row r="4255" spans="1:12" x14ac:dyDescent="0.2">
      <c r="A4255"/>
      <c r="B4255"/>
      <c r="C4255"/>
      <c r="D4255"/>
      <c r="E4255" s="2">
        <f>Comuni__2[[#This Row],[Popolazione2011]]/$D$7911</f>
        <v>1.1594821991463014E-5</v>
      </c>
      <c r="F4255">
        <f>SUMIFS($D$2:$D$7909, $B$2:$B$7909, "Marche")</f>
        <v>1540584</v>
      </c>
      <c r="G4255" s="1">
        <f>Comuni__2[[#This Row],[Popolazione2011]]/Comuni__2[[#This Row],[POPOLAZIONE TOTALE DI OGNI REGIONE (CON FILTRO)]]</f>
        <v>4.4723299735684651E-4</v>
      </c>
      <c r="H4255" t="str">
        <f>IF(Comuni__2[[#This Row],[Popolazione2011]]&gt;300000,"MAGGIORE","")</f>
        <v/>
      </c>
      <c r="J4255">
        <v>529</v>
      </c>
      <c r="K4255">
        <v>4975</v>
      </c>
      <c r="L4255">
        <v>360</v>
      </c>
    </row>
    <row r="4256" spans="1:12" x14ac:dyDescent="0.2">
      <c r="A4256"/>
      <c r="B4256"/>
      <c r="C4256"/>
      <c r="D4256"/>
      <c r="E4256" s="2">
        <f>Comuni__2[[#This Row],[Popolazione2011]]/$D$7911</f>
        <v>1.1477022638864696E-5</v>
      </c>
      <c r="F4256">
        <f>SUMIFS($D$2:$D$7909, $B$2:$B$7909, "Marche")</f>
        <v>1540584</v>
      </c>
      <c r="G4256" s="1">
        <f>Comuni__2[[#This Row],[Popolazione2011]]/Comuni__2[[#This Row],[POPOLAZIONE TOTALE DI OGNI REGIONE (CON FILTRO)]]</f>
        <v>4.4268926588877981E-4</v>
      </c>
      <c r="H4256" t="str">
        <f>IF(Comuni__2[[#This Row],[Popolazione2011]]&gt;300000,"MAGGIORE","")</f>
        <v/>
      </c>
      <c r="J4256">
        <v>540</v>
      </c>
      <c r="K4256">
        <v>5101</v>
      </c>
      <c r="L4256">
        <v>362</v>
      </c>
    </row>
    <row r="4257" spans="1:12" x14ac:dyDescent="0.2">
      <c r="A4257"/>
      <c r="B4257"/>
      <c r="C4257"/>
      <c r="D4257"/>
      <c r="E4257" s="2">
        <f>Comuni__2[[#This Row],[Popolazione2011]]/$D$7911</f>
        <v>1.1409708723094228E-5</v>
      </c>
      <c r="F4257">
        <f>SUMIFS($D$2:$D$7909, $B$2:$B$7909, "Marche")</f>
        <v>1540584</v>
      </c>
      <c r="G4257" s="1">
        <f>Comuni__2[[#This Row],[Popolazione2011]]/Comuni__2[[#This Row],[POPOLAZIONE TOTALE DI OGNI REGIONE (CON FILTRO)]]</f>
        <v>4.4009284790702747E-4</v>
      </c>
      <c r="H4257" t="str">
        <f>IF(Comuni__2[[#This Row],[Popolazione2011]]&gt;300000,"MAGGIORE","")</f>
        <v/>
      </c>
      <c r="J4257">
        <v>563</v>
      </c>
      <c r="K4257">
        <v>5137</v>
      </c>
      <c r="L4257">
        <v>365</v>
      </c>
    </row>
    <row r="4258" spans="1:12" x14ac:dyDescent="0.2">
      <c r="A4258"/>
      <c r="B4258"/>
      <c r="C4258"/>
      <c r="D4258"/>
      <c r="E4258" s="2">
        <f>Comuni__2[[#This Row],[Popolazione2011]]/$D$7911</f>
        <v>1.1174110017897592E-5</v>
      </c>
      <c r="F4258">
        <f>SUMIFS($D$2:$D$7909, $B$2:$B$7909, "Marche")</f>
        <v>1540584</v>
      </c>
      <c r="G4258" s="1">
        <f>Comuni__2[[#This Row],[Popolazione2011]]/Comuni__2[[#This Row],[POPOLAZIONE TOTALE DI OGNI REGIONE (CON FILTRO)]]</f>
        <v>4.3100538497089418E-4</v>
      </c>
      <c r="H4258" t="str">
        <f>IF(Comuni__2[[#This Row],[Popolazione2011]]&gt;300000,"MAGGIORE","")</f>
        <v/>
      </c>
      <c r="J4258">
        <v>593</v>
      </c>
      <c r="K4258">
        <v>5267</v>
      </c>
      <c r="L4258">
        <v>368</v>
      </c>
    </row>
    <row r="4259" spans="1:12" x14ac:dyDescent="0.2">
      <c r="A4259"/>
      <c r="B4259"/>
      <c r="C4259"/>
      <c r="D4259"/>
      <c r="E4259" s="2">
        <f>Comuni__2[[#This Row],[Popolazione2011]]/$D$7911</f>
        <v>1.102265370741404E-5</v>
      </c>
      <c r="F4259">
        <f>SUMIFS($D$2:$D$7909, $B$2:$B$7909, "Marche")</f>
        <v>1540584</v>
      </c>
      <c r="G4259" s="1">
        <f>Comuni__2[[#This Row],[Popolazione2011]]/Comuni__2[[#This Row],[POPOLAZIONE TOTALE DI OGNI REGIONE (CON FILTRO)]]</f>
        <v>4.2516344451195133E-4</v>
      </c>
      <c r="H4259" t="str">
        <f>IF(Comuni__2[[#This Row],[Popolazione2011]]&gt;300000,"MAGGIORE","")</f>
        <v/>
      </c>
      <c r="J4259">
        <v>619</v>
      </c>
      <c r="K4259">
        <v>5353</v>
      </c>
      <c r="L4259">
        <v>378</v>
      </c>
    </row>
    <row r="4260" spans="1:12" x14ac:dyDescent="0.2">
      <c r="A4260"/>
      <c r="B4260"/>
      <c r="C4260"/>
      <c r="D4260"/>
      <c r="E4260" s="2">
        <f>Comuni__2[[#This Row],[Popolazione2011]]/$D$7911</f>
        <v>1.0820711960102638E-5</v>
      </c>
      <c r="F4260">
        <f>SUMIFS($D$2:$D$7909, $B$2:$B$7909, "Marche")</f>
        <v>1540584</v>
      </c>
      <c r="G4260" s="1">
        <f>Comuni__2[[#This Row],[Popolazione2011]]/Comuni__2[[#This Row],[POPOLAZIONE TOTALE DI OGNI REGIONE (CON FILTRO)]]</f>
        <v>4.1737419056669419E-4</v>
      </c>
      <c r="H4260" t="str">
        <f>IF(Comuni__2[[#This Row],[Popolazione2011]]&gt;300000,"MAGGIORE","")</f>
        <v/>
      </c>
      <c r="J4260">
        <v>648</v>
      </c>
      <c r="K4260">
        <v>5551</v>
      </c>
      <c r="L4260">
        <v>389</v>
      </c>
    </row>
    <row r="4261" spans="1:12" x14ac:dyDescent="0.2">
      <c r="A4261"/>
      <c r="B4261"/>
      <c r="C4261"/>
      <c r="D4261"/>
      <c r="E4261" s="2">
        <f>Comuni__2[[#This Row],[Popolazione2011]]/$D$7911</f>
        <v>1.0686084128561704E-5</v>
      </c>
      <c r="F4261">
        <f>SUMIFS($D$2:$D$7909, $B$2:$B$7909, "Marche")</f>
        <v>1540584</v>
      </c>
      <c r="G4261" s="1">
        <f>Comuni__2[[#This Row],[Popolazione2011]]/Comuni__2[[#This Row],[POPOLAZIONE TOTALE DI OGNI REGIONE (CON FILTRO)]]</f>
        <v>4.1218135460318944E-4</v>
      </c>
      <c r="H4261" t="str">
        <f>IF(Comuni__2[[#This Row],[Popolazione2011]]&gt;300000,"MAGGIORE","")</f>
        <v/>
      </c>
      <c r="J4261">
        <v>677</v>
      </c>
      <c r="K4261">
        <v>5649</v>
      </c>
      <c r="L4261">
        <v>397</v>
      </c>
    </row>
    <row r="4262" spans="1:12" x14ac:dyDescent="0.2">
      <c r="A4262"/>
      <c r="B4262"/>
      <c r="C4262"/>
      <c r="D4262"/>
      <c r="E4262" s="2">
        <f>Comuni__2[[#This Row],[Popolazione2011]]/$D$7911</f>
        <v>1.0686084128561704E-5</v>
      </c>
      <c r="F4262">
        <f>SUMIFS($D$2:$D$7909, $B$2:$B$7909, "Marche")</f>
        <v>1540584</v>
      </c>
      <c r="G4262" s="1">
        <f>Comuni__2[[#This Row],[Popolazione2011]]/Comuni__2[[#This Row],[POPOLAZIONE TOTALE DI OGNI REGIONE (CON FILTRO)]]</f>
        <v>4.1218135460318944E-4</v>
      </c>
      <c r="H4262" t="str">
        <f>IF(Comuni__2[[#This Row],[Popolazione2011]]&gt;300000,"MAGGIORE","")</f>
        <v/>
      </c>
      <c r="J4262">
        <v>682</v>
      </c>
      <c r="K4262">
        <v>5772</v>
      </c>
      <c r="L4262">
        <v>408</v>
      </c>
    </row>
    <row r="4263" spans="1:12" x14ac:dyDescent="0.2">
      <c r="A4263"/>
      <c r="B4263"/>
      <c r="C4263"/>
      <c r="D4263"/>
      <c r="E4263" s="2">
        <f>Comuni__2[[#This Row],[Popolazione2011]]/$D$7911</f>
        <v>1.0181229760283198E-5</v>
      </c>
      <c r="F4263">
        <f>SUMIFS($D$2:$D$7909, $B$2:$B$7909, "Marche")</f>
        <v>1540584</v>
      </c>
      <c r="G4263" s="1">
        <f>Comuni__2[[#This Row],[Popolazione2011]]/Comuni__2[[#This Row],[POPOLAZIONE TOTALE DI OGNI REGIONE (CON FILTRO)]]</f>
        <v>3.9270821974004666E-4</v>
      </c>
      <c r="H4263" t="str">
        <f>IF(Comuni__2[[#This Row],[Popolazione2011]]&gt;300000,"MAGGIORE","")</f>
        <v/>
      </c>
      <c r="J4263">
        <v>696</v>
      </c>
      <c r="K4263">
        <v>5896</v>
      </c>
      <c r="L4263">
        <v>417</v>
      </c>
    </row>
    <row r="4264" spans="1:12" x14ac:dyDescent="0.2">
      <c r="A4264"/>
      <c r="B4264"/>
      <c r="C4264"/>
      <c r="D4264"/>
      <c r="E4264" s="2">
        <f>Comuni__2[[#This Row],[Popolazione2011]]/$D$7911</f>
        <v>9.9119740972013284E-6</v>
      </c>
      <c r="F4264">
        <f>SUMIFS($D$2:$D$7909, $B$2:$B$7909, "Marche")</f>
        <v>1540584</v>
      </c>
      <c r="G4264" s="1">
        <f>Comuni__2[[#This Row],[Popolazione2011]]/Comuni__2[[#This Row],[POPOLAZIONE TOTALE DI OGNI REGIONE (CON FILTRO)]]</f>
        <v>3.8232254781303711E-4</v>
      </c>
      <c r="H4264" t="str">
        <f>IF(Comuni__2[[#This Row],[Popolazione2011]]&gt;300000,"MAGGIORE","")</f>
        <v/>
      </c>
      <c r="J4264">
        <v>737</v>
      </c>
      <c r="K4264">
        <v>5914</v>
      </c>
      <c r="L4264">
        <v>428</v>
      </c>
    </row>
    <row r="4265" spans="1:12" x14ac:dyDescent="0.2">
      <c r="A4265"/>
      <c r="B4265"/>
      <c r="C4265"/>
      <c r="D4265"/>
      <c r="E4265" s="2">
        <f>Comuni__2[[#This Row],[Popolazione2011]]/$D$7911</f>
        <v>9.6427184341194585E-6</v>
      </c>
      <c r="F4265">
        <f>SUMIFS($D$2:$D$7909, $B$2:$B$7909, "Marche")</f>
        <v>1540584</v>
      </c>
      <c r="G4265" s="1">
        <f>Comuni__2[[#This Row],[Popolazione2011]]/Comuni__2[[#This Row],[POPOLAZIONE TOTALE DI OGNI REGIONE (CON FILTRO)]]</f>
        <v>3.7193687588602762E-4</v>
      </c>
      <c r="H4265" t="str">
        <f>IF(Comuni__2[[#This Row],[Popolazione2011]]&gt;300000,"MAGGIORE","")</f>
        <v/>
      </c>
      <c r="J4265">
        <v>775</v>
      </c>
      <c r="K4265">
        <v>6081</v>
      </c>
      <c r="L4265">
        <v>439</v>
      </c>
    </row>
    <row r="4266" spans="1:12" x14ac:dyDescent="0.2">
      <c r="A4266"/>
      <c r="B4266"/>
      <c r="C4266"/>
      <c r="D4266"/>
      <c r="E4266" s="2">
        <f>Comuni__2[[#This Row],[Popolazione2011]]/$D$7911</f>
        <v>9.1883495026688028E-6</v>
      </c>
      <c r="F4266">
        <f>SUMIFS($D$2:$D$7909, $B$2:$B$7909, "Marche")</f>
        <v>1540584</v>
      </c>
      <c r="G4266" s="1">
        <f>Comuni__2[[#This Row],[Popolazione2011]]/Comuni__2[[#This Row],[POPOLAZIONE TOTALE DI OGNI REGIONE (CON FILTRO)]]</f>
        <v>3.5441105450919913E-4</v>
      </c>
      <c r="H4266" t="str">
        <f>IF(Comuni__2[[#This Row],[Popolazione2011]]&gt;300000,"MAGGIORE","")</f>
        <v/>
      </c>
      <c r="J4266">
        <v>830</v>
      </c>
      <c r="K4266">
        <v>6142</v>
      </c>
      <c r="L4266">
        <v>449</v>
      </c>
    </row>
    <row r="4267" spans="1:12" x14ac:dyDescent="0.2">
      <c r="A4267"/>
      <c r="B4267"/>
      <c r="C4267"/>
      <c r="D4267"/>
      <c r="E4267" s="2">
        <f>Comuni__2[[#This Row],[Popolazione2011]]/$D$7911</f>
        <v>8.4983818660215128E-6</v>
      </c>
      <c r="F4267">
        <f>SUMIFS($D$2:$D$7909, $B$2:$B$7909, "Marche")</f>
        <v>1540584</v>
      </c>
      <c r="G4267" s="1">
        <f>Comuni__2[[#This Row],[Popolazione2011]]/Comuni__2[[#This Row],[POPOLAZIONE TOTALE DI OGNI REGIONE (CON FILTRO)]]</f>
        <v>3.2779777019623725E-4</v>
      </c>
      <c r="H4267" t="str">
        <f>IF(Comuni__2[[#This Row],[Popolazione2011]]&gt;300000,"MAGGIORE","")</f>
        <v/>
      </c>
      <c r="J4267">
        <v>898</v>
      </c>
      <c r="K4267">
        <v>6386</v>
      </c>
      <c r="L4267">
        <v>459</v>
      </c>
    </row>
    <row r="4268" spans="1:12" x14ac:dyDescent="0.2">
      <c r="A4268"/>
      <c r="B4268"/>
      <c r="C4268"/>
      <c r="D4268"/>
      <c r="E4268" s="2">
        <f>Comuni__2[[#This Row],[Popolazione2011]]/$D$7911</f>
        <v>7.7242718346611372E-6</v>
      </c>
      <c r="F4268">
        <f>SUMIFS($D$2:$D$7909, $B$2:$B$7909, "Marche")</f>
        <v>1540584</v>
      </c>
      <c r="G4268" s="1">
        <f>Comuni__2[[#This Row],[Popolazione2011]]/Comuni__2[[#This Row],[POPOLAZIONE TOTALE DI OGNI REGIONE (CON FILTRO)]]</f>
        <v>2.9793896340608498E-4</v>
      </c>
      <c r="H4268" t="str">
        <f>IF(Comuni__2[[#This Row],[Popolazione2011]]&gt;300000,"MAGGIORE","")</f>
        <v/>
      </c>
      <c r="J4268">
        <v>954</v>
      </c>
      <c r="K4268">
        <v>6605</v>
      </c>
      <c r="L4268">
        <v>472</v>
      </c>
    </row>
    <row r="4269" spans="1:12" x14ac:dyDescent="0.2">
      <c r="A4269"/>
      <c r="B4269"/>
      <c r="C4269"/>
      <c r="D4269"/>
      <c r="E4269" s="2">
        <f>Comuni__2[[#This Row],[Popolazione2011]]/$D$7911</f>
        <v>7.4886731294645004E-6</v>
      </c>
      <c r="F4269">
        <f>SUMIFS($D$2:$D$7909, $B$2:$B$7909, "Marche")</f>
        <v>1540584</v>
      </c>
      <c r="G4269" s="1">
        <f>Comuni__2[[#This Row],[Popolazione2011]]/Comuni__2[[#This Row],[POPOLAZIONE TOTALE DI OGNI REGIONE (CON FILTRO)]]</f>
        <v>2.8885150046995163E-4</v>
      </c>
      <c r="H4269" t="str">
        <f>IF(Comuni__2[[#This Row],[Popolazione2011]]&gt;300000,"MAGGIORE","")</f>
        <v/>
      </c>
      <c r="J4269">
        <v>1012</v>
      </c>
      <c r="K4269">
        <v>6758</v>
      </c>
      <c r="L4269">
        <v>484</v>
      </c>
    </row>
    <row r="4270" spans="1:12" x14ac:dyDescent="0.2">
      <c r="A4270"/>
      <c r="B4270"/>
      <c r="C4270"/>
      <c r="D4270"/>
      <c r="E4270" s="2">
        <f>Comuni__2[[#This Row],[Popolazione2011]]/$D$7911</f>
        <v>7.3372168189809493E-6</v>
      </c>
      <c r="F4270">
        <f>SUMIFS($D$2:$D$7909, $B$2:$B$7909, "Marche")</f>
        <v>1540584</v>
      </c>
      <c r="G4270" s="1">
        <f>Comuni__2[[#This Row],[Popolazione2011]]/Comuni__2[[#This Row],[POPOLAZIONE TOTALE DI OGNI REGIONE (CON FILTRO)]]</f>
        <v>2.8300956001100884E-4</v>
      </c>
      <c r="H4270" t="str">
        <f>IF(Comuni__2[[#This Row],[Popolazione2011]]&gt;300000,"MAGGIORE","")</f>
        <v/>
      </c>
      <c r="J4270">
        <v>1084</v>
      </c>
      <c r="K4270">
        <v>6814</v>
      </c>
      <c r="L4270">
        <v>502</v>
      </c>
    </row>
    <row r="4271" spans="1:12" x14ac:dyDescent="0.2">
      <c r="A4271"/>
      <c r="B4271"/>
      <c r="C4271"/>
      <c r="D4271"/>
      <c r="E4271" s="2">
        <f>Comuni__2[[#This Row],[Popolazione2011]]/$D$7911</f>
        <v>7.2530744242678645E-6</v>
      </c>
      <c r="F4271">
        <f>SUMIFS($D$2:$D$7909, $B$2:$B$7909, "Marche")</f>
        <v>1540584</v>
      </c>
      <c r="G4271" s="1">
        <f>Comuni__2[[#This Row],[Popolazione2011]]/Comuni__2[[#This Row],[POPOLAZIONE TOTALE DI OGNI REGIONE (CON FILTRO)]]</f>
        <v>2.7976403753381834E-4</v>
      </c>
      <c r="H4271" t="str">
        <f>IF(Comuni__2[[#This Row],[Popolazione2011]]&gt;300000,"MAGGIORE","")</f>
        <v/>
      </c>
      <c r="J4271">
        <v>1131</v>
      </c>
      <c r="K4271">
        <v>7011</v>
      </c>
      <c r="L4271">
        <v>518</v>
      </c>
    </row>
    <row r="4272" spans="1:12" x14ac:dyDescent="0.2">
      <c r="A4272"/>
      <c r="B4272"/>
      <c r="C4272"/>
      <c r="D4272"/>
      <c r="E4272" s="2">
        <f>Comuni__2[[#This Row],[Popolazione2011]]/$D$7911</f>
        <v>7.0679611558990795E-6</v>
      </c>
      <c r="F4272">
        <f>SUMIFS($D$2:$D$7909, $B$2:$B$7909, "Marche")</f>
        <v>1540584</v>
      </c>
      <c r="G4272" s="1">
        <f>Comuni__2[[#This Row],[Popolazione2011]]/Comuni__2[[#This Row],[POPOLAZIONE TOTALE DI OGNI REGIONE (CON FILTRO)]]</f>
        <v>2.7262388808399929E-4</v>
      </c>
      <c r="H4272" t="str">
        <f>IF(Comuni__2[[#This Row],[Popolazione2011]]&gt;300000,"MAGGIORE","")</f>
        <v/>
      </c>
      <c r="J4272">
        <v>1167</v>
      </c>
      <c r="K4272">
        <v>7277</v>
      </c>
      <c r="L4272">
        <v>536</v>
      </c>
    </row>
    <row r="4273" spans="1:12" x14ac:dyDescent="0.2">
      <c r="A4273"/>
      <c r="B4273"/>
      <c r="C4273"/>
      <c r="D4273"/>
      <c r="E4273" s="2">
        <f>Comuni__2[[#This Row],[Popolazione2011]]/$D$7911</f>
        <v>6.6809061402188916E-6</v>
      </c>
      <c r="F4273">
        <f>SUMIFS($D$2:$D$7909, $B$2:$B$7909, "Marche")</f>
        <v>1540584</v>
      </c>
      <c r="G4273" s="1">
        <f>Comuni__2[[#This Row],[Popolazione2011]]/Comuni__2[[#This Row],[POPOLAZIONE TOTALE DI OGNI REGIONE (CON FILTRO)]]</f>
        <v>2.5769448468892316E-4</v>
      </c>
      <c r="H4273" t="str">
        <f>IF(Comuni__2[[#This Row],[Popolazione2011]]&gt;300000,"MAGGIORE","")</f>
        <v/>
      </c>
      <c r="J4273">
        <v>1222</v>
      </c>
      <c r="K4273">
        <v>7569</v>
      </c>
      <c r="L4273">
        <v>550</v>
      </c>
    </row>
    <row r="4274" spans="1:12" x14ac:dyDescent="0.2">
      <c r="A4274"/>
      <c r="B4274"/>
      <c r="C4274"/>
      <c r="D4274"/>
      <c r="E4274" s="2">
        <f>Comuni__2[[#This Row],[Popolazione2011]]/$D$7911</f>
        <v>6.5462783086779567E-6</v>
      </c>
      <c r="F4274">
        <f>SUMIFS($D$2:$D$7909, $B$2:$B$7909, "Marche")</f>
        <v>1540584</v>
      </c>
      <c r="G4274" s="1">
        <f>Comuni__2[[#This Row],[Popolazione2011]]/Comuni__2[[#This Row],[POPOLAZIONE TOTALE DI OGNI REGIONE (CON FILTRO)]]</f>
        <v>2.5250164872541841E-4</v>
      </c>
      <c r="H4274" t="str">
        <f>IF(Comuni__2[[#This Row],[Popolazione2011]]&gt;300000,"MAGGIORE","")</f>
        <v/>
      </c>
      <c r="J4274">
        <v>1253</v>
      </c>
      <c r="K4274">
        <v>7893</v>
      </c>
      <c r="L4274">
        <v>569</v>
      </c>
    </row>
    <row r="4275" spans="1:12" x14ac:dyDescent="0.2">
      <c r="A4275"/>
      <c r="B4275"/>
      <c r="C4275"/>
      <c r="D4275"/>
      <c r="E4275" s="2">
        <f>Comuni__2[[#This Row],[Popolazione2011]]/$D$7911</f>
        <v>5.2673139090390761E-6</v>
      </c>
      <c r="F4275">
        <f>SUMIFS($D$2:$D$7909, $B$2:$B$7909, "Marche")</f>
        <v>1540584</v>
      </c>
      <c r="G4275" s="1">
        <f>Comuni__2[[#This Row],[Popolazione2011]]/Comuni__2[[#This Row],[POPOLAZIONE TOTALE DI OGNI REGIONE (CON FILTRO)]]</f>
        <v>2.031697070721233E-4</v>
      </c>
      <c r="H4275" t="str">
        <f>IF(Comuni__2[[#This Row],[Popolazione2011]]&gt;300000,"MAGGIORE","")</f>
        <v/>
      </c>
      <c r="J4275">
        <v>1304</v>
      </c>
      <c r="K4275">
        <v>8282</v>
      </c>
      <c r="L4275">
        <v>594</v>
      </c>
    </row>
    <row r="4276" spans="1:12" x14ac:dyDescent="0.2">
      <c r="A4276"/>
      <c r="B4276"/>
      <c r="C4276"/>
      <c r="D4276"/>
      <c r="E4276" s="2">
        <f>Comuni__2[[#This Row],[Popolazione2011]]/$D$7911</f>
        <v>5.2168284722112252E-6</v>
      </c>
      <c r="F4276">
        <f>SUMIFS($D$2:$D$7909, $B$2:$B$7909, "Marche")</f>
        <v>1540584</v>
      </c>
      <c r="G4276" s="1">
        <f>Comuni__2[[#This Row],[Popolazione2011]]/Comuni__2[[#This Row],[POPOLAZIONE TOTALE DI OGNI REGIONE (CON FILTRO)]]</f>
        <v>2.0122239358580902E-4</v>
      </c>
      <c r="H4276" t="str">
        <f>IF(Comuni__2[[#This Row],[Popolazione2011]]&gt;300000,"MAGGIORE","")</f>
        <v/>
      </c>
      <c r="J4276">
        <v>1316</v>
      </c>
      <c r="K4276">
        <v>8684</v>
      </c>
      <c r="L4276">
        <v>628</v>
      </c>
    </row>
    <row r="4277" spans="1:12" x14ac:dyDescent="0.2">
      <c r="A4277"/>
      <c r="B4277"/>
      <c r="C4277"/>
      <c r="D4277"/>
      <c r="E4277" s="2">
        <f>Comuni__2[[#This Row],[Popolazione2011]]/$D$7911</f>
        <v>4.9980582459572062E-6</v>
      </c>
      <c r="F4277">
        <f>SUMIFS($D$2:$D$7909, $B$2:$B$7909, "Marche")</f>
        <v>1540584</v>
      </c>
      <c r="G4277" s="1">
        <f>Comuni__2[[#This Row],[Popolazione2011]]/Comuni__2[[#This Row],[POPOLAZIONE TOTALE DI OGNI REGIONE (CON FILTRO)]]</f>
        <v>1.927840351451138E-4</v>
      </c>
      <c r="H4277" t="str">
        <f>IF(Comuni__2[[#This Row],[Popolazione2011]]&gt;300000,"MAGGIORE","")</f>
        <v/>
      </c>
      <c r="J4277">
        <v>1330</v>
      </c>
      <c r="K4277">
        <v>8788</v>
      </c>
      <c r="L4277">
        <v>663</v>
      </c>
    </row>
    <row r="4278" spans="1:12" x14ac:dyDescent="0.2">
      <c r="A4278"/>
      <c r="B4278"/>
      <c r="C4278"/>
      <c r="D4278"/>
      <c r="E4278" s="2">
        <f>Comuni__2[[#This Row],[Popolazione2011]]/$D$7911</f>
        <v>3.6012944937200072E-6</v>
      </c>
      <c r="F4278">
        <f>SUMIFS($D$2:$D$7909, $B$2:$B$7909, "Marche")</f>
        <v>1540584</v>
      </c>
      <c r="G4278" s="1">
        <f>Comuni__2[[#This Row],[Popolazione2011]]/Comuni__2[[#This Row],[POPOLAZIONE TOTALE DI OGNI REGIONE (CON FILTRO)]]</f>
        <v>1.3890836202375202E-4</v>
      </c>
      <c r="H4278" t="str">
        <f>IF(Comuni__2[[#This Row],[Popolazione2011]]&gt;300000,"MAGGIORE","")</f>
        <v/>
      </c>
      <c r="J4278">
        <v>1427</v>
      </c>
      <c r="K4278">
        <v>9128</v>
      </c>
      <c r="L4278">
        <v>676</v>
      </c>
    </row>
    <row r="4279" spans="1:12" x14ac:dyDescent="0.2">
      <c r="A4279"/>
      <c r="B4279"/>
      <c r="C4279"/>
      <c r="D4279"/>
      <c r="E4279" s="2">
        <f>Comuni__2[[#This Row],[Popolazione2011]]/$D$7911</f>
        <v>2.7093851097613136E-6</v>
      </c>
      <c r="F4279">
        <f>SUMIFS($D$2:$D$7909, $B$2:$B$7909, "Marche")</f>
        <v>1540584</v>
      </c>
      <c r="G4279" s="1">
        <f>Comuni__2[[#This Row],[Popolazione2011]]/Comuni__2[[#This Row],[POPOLAZIONE TOTALE DI OGNI REGIONE (CON FILTRO)]]</f>
        <v>1.0450582376553307E-4</v>
      </c>
      <c r="H4279" t="str">
        <f>IF(Comuni__2[[#This Row],[Popolazione2011]]&gt;300000,"MAGGIORE","")</f>
        <v/>
      </c>
      <c r="J4279">
        <v>1490</v>
      </c>
      <c r="K4279">
        <v>9652</v>
      </c>
      <c r="L4279">
        <v>703</v>
      </c>
    </row>
    <row r="4280" spans="1:12" x14ac:dyDescent="0.2">
      <c r="A4280"/>
      <c r="B4280"/>
      <c r="C4280"/>
      <c r="D4280"/>
      <c r="E4280" s="2">
        <f>Comuni__2[[#This Row],[Popolazione2011]]/$D$7911</f>
        <v>2.5074433624499116E-6</v>
      </c>
      <c r="F4280">
        <f>SUMIFS($D$2:$D$7909, $B$2:$B$7909, "Marche")</f>
        <v>1540584</v>
      </c>
      <c r="G4280" s="1">
        <f>Comuni__2[[#This Row],[Popolazione2011]]/Comuni__2[[#This Row],[POPOLAZIONE TOTALE DI OGNI REGIONE (CON FILTRO)]]</f>
        <v>9.6716569820275952E-5</v>
      </c>
      <c r="H4280" t="str">
        <f>IF(Comuni__2[[#This Row],[Popolazione2011]]&gt;300000,"MAGGIORE","")</f>
        <v/>
      </c>
      <c r="J4280">
        <v>1543</v>
      </c>
      <c r="K4280">
        <v>9928</v>
      </c>
      <c r="L4280">
        <v>735</v>
      </c>
    </row>
    <row r="4281" spans="1:12" x14ac:dyDescent="0.2">
      <c r="A4281"/>
      <c r="B4281"/>
      <c r="C4281"/>
      <c r="D4281"/>
      <c r="E4281" s="2">
        <f>Comuni__2[[#This Row],[Popolazione2011]]/$D$7911</f>
        <v>8.2033786301574391E-4</v>
      </c>
      <c r="F4281">
        <f>SUMIFS($D$2:$D$7909, $B$2:$B$7909, "Molise")</f>
        <v>313660</v>
      </c>
      <c r="G4281" s="1">
        <f>Comuni__2[[#This Row],[Popolazione2011]]/Comuni__2[[#This Row],[POPOLAZIONE TOTALE DI OGNI REGIONE (CON FILTRO)]]</f>
        <v>0.15541350506918319</v>
      </c>
      <c r="H4281" t="str">
        <f>IF(Comuni__2[[#This Row],[Popolazione2011]]&gt;300000,"MAGGIORE","")</f>
        <v/>
      </c>
      <c r="J4281">
        <v>1578</v>
      </c>
      <c r="K4281">
        <v>10656</v>
      </c>
      <c r="L4281">
        <v>762</v>
      </c>
    </row>
    <row r="4282" spans="1:12" x14ac:dyDescent="0.2">
      <c r="A4282"/>
      <c r="B4282"/>
      <c r="C4282"/>
      <c r="D4282"/>
      <c r="E4282" s="2">
        <f>Comuni__2[[#This Row],[Popolazione2011]]/$D$7911</f>
        <v>5.5185630996523456E-4</v>
      </c>
      <c r="F4282">
        <f>SUMIFS($D$2:$D$7909, $B$2:$B$7909, "Molise")</f>
        <v>313660</v>
      </c>
      <c r="G4282" s="1">
        <f>Comuni__2[[#This Row],[Popolazione2011]]/Comuni__2[[#This Row],[POPOLAZIONE TOTALE DI OGNI REGIONE (CON FILTRO)]]</f>
        <v>0.10454951221067398</v>
      </c>
      <c r="H4282" t="str">
        <f>IF(Comuni__2[[#This Row],[Popolazione2011]]&gt;300000,"MAGGIORE","")</f>
        <v/>
      </c>
      <c r="J4282">
        <v>1596</v>
      </c>
      <c r="K4282">
        <v>10958</v>
      </c>
      <c r="L4282">
        <v>802</v>
      </c>
    </row>
    <row r="4283" spans="1:12" x14ac:dyDescent="0.2">
      <c r="A4283"/>
      <c r="B4283"/>
      <c r="C4283"/>
      <c r="D4283"/>
      <c r="E4283" s="2">
        <f>Comuni__2[[#This Row],[Popolazione2011]]/$D$7911</f>
        <v>3.7064724871113626E-4</v>
      </c>
      <c r="F4283">
        <f>SUMIFS($D$2:$D$7909, $B$2:$B$7909, "Molise")</f>
        <v>313660</v>
      </c>
      <c r="G4283" s="1">
        <f>Comuni__2[[#This Row],[Popolazione2011]]/Comuni__2[[#This Row],[POPOLAZIONE TOTALE DI OGNI REGIONE (CON FILTRO)]]</f>
        <v>7.0219345788433335E-2</v>
      </c>
      <c r="H4283" t="str">
        <f>IF(Comuni__2[[#This Row],[Popolazione2011]]&gt;300000,"MAGGIORE","")</f>
        <v/>
      </c>
      <c r="J4283">
        <v>1660</v>
      </c>
      <c r="K4283">
        <v>11258</v>
      </c>
      <c r="L4283">
        <v>837</v>
      </c>
    </row>
    <row r="4284" spans="1:12" x14ac:dyDescent="0.2">
      <c r="A4284"/>
      <c r="B4284"/>
      <c r="C4284"/>
      <c r="D4284"/>
      <c r="E4284" s="2">
        <f>Comuni__2[[#This Row],[Popolazione2011]]/$D$7911</f>
        <v>1.89084789399243E-4</v>
      </c>
      <c r="F4284">
        <f>SUMIFS($D$2:$D$7909, $B$2:$B$7909, "Molise")</f>
        <v>313660</v>
      </c>
      <c r="G4284" s="1">
        <f>Comuni__2[[#This Row],[Popolazione2011]]/Comuni__2[[#This Row],[POPOLAZIONE TOTALE DI OGNI REGIONE (CON FILTRO)]]</f>
        <v>3.5822227890072056E-2</v>
      </c>
      <c r="H4284" t="str">
        <f>IF(Comuni__2[[#This Row],[Popolazione2011]]&gt;300000,"MAGGIORE","")</f>
        <v/>
      </c>
      <c r="J4284">
        <v>1677</v>
      </c>
      <c r="K4284">
        <v>11444</v>
      </c>
      <c r="L4284">
        <v>860</v>
      </c>
    </row>
    <row r="4285" spans="1:12" x14ac:dyDescent="0.2">
      <c r="A4285"/>
      <c r="B4285"/>
      <c r="C4285"/>
      <c r="D4285"/>
      <c r="E4285" s="2">
        <f>Comuni__2[[#This Row],[Popolazione2011]]/$D$7911</f>
        <v>1.3371909367803354E-4</v>
      </c>
      <c r="F4285">
        <f>SUMIFS($D$2:$D$7909, $B$2:$B$7909, "Molise")</f>
        <v>313660</v>
      </c>
      <c r="G4285" s="1">
        <f>Comuni__2[[#This Row],[Popolazione2011]]/Comuni__2[[#This Row],[POPOLAZIONE TOTALE DI OGNI REGIONE (CON FILTRO)]]</f>
        <v>2.5333163297838423E-2</v>
      </c>
      <c r="H4285" t="str">
        <f>IF(Comuni__2[[#This Row],[Popolazione2011]]&gt;300000,"MAGGIORE","")</f>
        <v/>
      </c>
      <c r="J4285">
        <v>1693</v>
      </c>
      <c r="K4285">
        <v>11829</v>
      </c>
      <c r="L4285">
        <v>896</v>
      </c>
    </row>
    <row r="4286" spans="1:12" x14ac:dyDescent="0.2">
      <c r="A4286"/>
      <c r="B4286"/>
      <c r="C4286"/>
      <c r="D4286"/>
      <c r="E4286" s="2">
        <f>Comuni__2[[#This Row],[Popolazione2011]]/$D$7911</f>
        <v>1.2018899660816959E-4</v>
      </c>
      <c r="F4286">
        <f>SUMIFS($D$2:$D$7909, $B$2:$B$7909, "Molise")</f>
        <v>313660</v>
      </c>
      <c r="G4286" s="1">
        <f>Comuni__2[[#This Row],[Popolazione2011]]/Comuni__2[[#This Row],[POPOLAZIONE TOTALE DI OGNI REGIONE (CON FILTRO)]]</f>
        <v>2.276987821207677E-2</v>
      </c>
      <c r="H4286" t="str">
        <f>IF(Comuni__2[[#This Row],[Popolazione2011]]&gt;300000,"MAGGIORE","")</f>
        <v/>
      </c>
      <c r="J4286">
        <v>1725</v>
      </c>
      <c r="K4286">
        <v>12296</v>
      </c>
      <c r="L4286">
        <v>932</v>
      </c>
    </row>
    <row r="4287" spans="1:12" x14ac:dyDescent="0.2">
      <c r="A4287"/>
      <c r="B4287"/>
      <c r="C4287"/>
      <c r="D4287"/>
      <c r="E4287" s="2">
        <f>Comuni__2[[#This Row],[Popolazione2011]]/$D$7911</f>
        <v>1.1894368916641594E-4</v>
      </c>
      <c r="F4287">
        <f>SUMIFS($D$2:$D$7909, $B$2:$B$7909, "Molise")</f>
        <v>313660</v>
      </c>
      <c r="G4287" s="1">
        <f>Comuni__2[[#This Row],[Popolazione2011]]/Comuni__2[[#This Row],[POPOLAZIONE TOTALE DI OGNI REGIONE (CON FILTRO)]]</f>
        <v>2.2533953962889753E-2</v>
      </c>
      <c r="H4287" t="str">
        <f>IF(Comuni__2[[#This Row],[Popolazione2011]]&gt;300000,"MAGGIORE","")</f>
        <v/>
      </c>
      <c r="J4287">
        <v>1732</v>
      </c>
      <c r="K4287">
        <v>12964</v>
      </c>
      <c r="L4287">
        <v>971</v>
      </c>
    </row>
    <row r="4288" spans="1:12" x14ac:dyDescent="0.2">
      <c r="A4288"/>
      <c r="B4288"/>
      <c r="C4288"/>
      <c r="D4288"/>
      <c r="E4288" s="2">
        <f>Comuni__2[[#This Row],[Popolazione2011]]/$D$7911</f>
        <v>1.1189255648945947E-4</v>
      </c>
      <c r="F4288">
        <f>SUMIFS($D$2:$D$7909, $B$2:$B$7909, "Molise")</f>
        <v>313660</v>
      </c>
      <c r="G4288" s="1">
        <f>Comuni__2[[#This Row],[Popolazione2011]]/Comuni__2[[#This Row],[POPOLAZIONE TOTALE DI OGNI REGIONE (CON FILTRO)]]</f>
        <v>2.1198112606006504E-2</v>
      </c>
      <c r="H4288" t="str">
        <f>IF(Comuni__2[[#This Row],[Popolazione2011]]&gt;300000,"MAGGIORE","")</f>
        <v/>
      </c>
      <c r="J4288">
        <v>1768</v>
      </c>
      <c r="K4288">
        <v>13411</v>
      </c>
      <c r="L4288">
        <v>1015</v>
      </c>
    </row>
    <row r="4289" spans="1:12" x14ac:dyDescent="0.2">
      <c r="A4289"/>
      <c r="B4289"/>
      <c r="C4289"/>
      <c r="D4289"/>
      <c r="E4289" s="2">
        <f>Comuni__2[[#This Row],[Popolazione2011]]/$D$7911</f>
        <v>9.169838175831924E-5</v>
      </c>
      <c r="F4289">
        <f>SUMIFS($D$2:$D$7909, $B$2:$B$7909, "Molise")</f>
        <v>313660</v>
      </c>
      <c r="G4289" s="1">
        <f>Comuni__2[[#This Row],[Popolazione2011]]/Comuni__2[[#This Row],[POPOLAZIONE TOTALE DI OGNI REGIONE (CON FILTRO)]]</f>
        <v>1.7372313970541349E-2</v>
      </c>
      <c r="H4289" t="str">
        <f>IF(Comuni__2[[#This Row],[Popolazione2011]]&gt;300000,"MAGGIORE","")</f>
        <v/>
      </c>
      <c r="J4289">
        <v>1772</v>
      </c>
      <c r="K4289">
        <v>13763</v>
      </c>
      <c r="L4289">
        <v>1055</v>
      </c>
    </row>
    <row r="4290" spans="1:12" x14ac:dyDescent="0.2">
      <c r="A4290"/>
      <c r="B4290"/>
      <c r="C4290"/>
      <c r="D4290"/>
      <c r="E4290" s="2">
        <f>Comuni__2[[#This Row],[Popolazione2011]]/$D$7911</f>
        <v>9.0924271726958871E-5</v>
      </c>
      <c r="F4290">
        <f>SUMIFS($D$2:$D$7909, $B$2:$B$7909, "Molise")</f>
        <v>313660</v>
      </c>
      <c r="G4290" s="1">
        <f>Comuni__2[[#This Row],[Popolazione2011]]/Comuni__2[[#This Row],[POPOLAZIONE TOTALE DI OGNI REGIONE (CON FILTRO)]]</f>
        <v>1.7225658356181853E-2</v>
      </c>
      <c r="H4290" t="str">
        <f>IF(Comuni__2[[#This Row],[Popolazione2011]]&gt;300000,"MAGGIORE","")</f>
        <v/>
      </c>
      <c r="J4290">
        <v>1779</v>
      </c>
      <c r="K4290">
        <v>14179</v>
      </c>
      <c r="L4290">
        <v>1098</v>
      </c>
    </row>
    <row r="4291" spans="1:12" x14ac:dyDescent="0.2">
      <c r="A4291"/>
      <c r="B4291"/>
      <c r="C4291"/>
      <c r="D4291"/>
      <c r="E4291" s="2">
        <f>Comuni__2[[#This Row],[Popolazione2011]]/$D$7911</f>
        <v>8.8181229659312321E-5</v>
      </c>
      <c r="F4291">
        <f>SUMIFS($D$2:$D$7909, $B$2:$B$7909, "Molise")</f>
        <v>313660</v>
      </c>
      <c r="G4291" s="1">
        <f>Comuni__2[[#This Row],[Popolazione2011]]/Comuni__2[[#This Row],[POPOLAZIONE TOTALE DI OGNI REGIONE (CON FILTRO)]]</f>
        <v>1.6705987374864503E-2</v>
      </c>
      <c r="H4291" t="str">
        <f>IF(Comuni__2[[#This Row],[Popolazione2011]]&gt;300000,"MAGGIORE","")</f>
        <v/>
      </c>
      <c r="J4291">
        <v>1810</v>
      </c>
      <c r="K4291">
        <v>14489</v>
      </c>
      <c r="L4291">
        <v>1141</v>
      </c>
    </row>
    <row r="4292" spans="1:12" x14ac:dyDescent="0.2">
      <c r="A4292"/>
      <c r="B4292"/>
      <c r="C4292"/>
      <c r="D4292"/>
      <c r="E4292" s="2">
        <f>Comuni__2[[#This Row],[Popolazione2011]]/$D$7911</f>
        <v>8.0978640671872307E-5</v>
      </c>
      <c r="F4292">
        <f>SUMIFS($D$2:$D$7909, $B$2:$B$7909, "Molise")</f>
        <v>313660</v>
      </c>
      <c r="G4292" s="1">
        <f>Comuni__2[[#This Row],[Popolazione2011]]/Comuni__2[[#This Row],[POPOLAZIONE TOTALE DI OGNI REGIONE (CON FILTRO)]]</f>
        <v>1.5341452528215265E-2</v>
      </c>
      <c r="H4292" t="str">
        <f>IF(Comuni__2[[#This Row],[Popolazione2011]]&gt;300000,"MAGGIORE","")</f>
        <v/>
      </c>
      <c r="J4292">
        <v>1838</v>
      </c>
      <c r="K4292">
        <v>14781</v>
      </c>
      <c r="L4292">
        <v>1186</v>
      </c>
    </row>
    <row r="4293" spans="1:12" x14ac:dyDescent="0.2">
      <c r="A4293"/>
      <c r="B4293"/>
      <c r="C4293"/>
      <c r="D4293"/>
      <c r="E4293" s="2">
        <f>Comuni__2[[#This Row],[Popolazione2011]]/$D$7911</f>
        <v>8.0726213487733052E-5</v>
      </c>
      <c r="F4293">
        <f>SUMIFS($D$2:$D$7909, $B$2:$B$7909, "Molise")</f>
        <v>313660</v>
      </c>
      <c r="G4293" s="1">
        <f>Comuni__2[[#This Row],[Popolazione2011]]/Comuni__2[[#This Row],[POPOLAZIONE TOTALE DI OGNI REGIONE (CON FILTRO)]]</f>
        <v>1.529363004527195E-2</v>
      </c>
      <c r="H4293" t="str">
        <f>IF(Comuni__2[[#This Row],[Popolazione2011]]&gt;300000,"MAGGIORE","")</f>
        <v/>
      </c>
      <c r="J4293">
        <v>1847</v>
      </c>
      <c r="K4293">
        <v>15238</v>
      </c>
      <c r="L4293">
        <v>1227</v>
      </c>
    </row>
    <row r="4294" spans="1:12" x14ac:dyDescent="0.2">
      <c r="A4294"/>
      <c r="B4294"/>
      <c r="C4294"/>
      <c r="D4294"/>
      <c r="E4294" s="2">
        <f>Comuni__2[[#This Row],[Popolazione2011]]/$D$7911</f>
        <v>7.8959223198758291E-5</v>
      </c>
      <c r="F4294">
        <f>SUMIFS($D$2:$D$7909, $B$2:$B$7909, "Molise")</f>
        <v>313660</v>
      </c>
      <c r="G4294" s="1">
        <f>Comuni__2[[#This Row],[Popolazione2011]]/Comuni__2[[#This Row],[POPOLAZIONE TOTALE DI OGNI REGIONE (CON FILTRO)]]</f>
        <v>1.495887266466875E-2</v>
      </c>
      <c r="H4294" t="str">
        <f>IF(Comuni__2[[#This Row],[Popolazione2011]]&gt;300000,"MAGGIORE","")</f>
        <v/>
      </c>
      <c r="J4294">
        <v>1844</v>
      </c>
      <c r="K4294">
        <v>16210</v>
      </c>
      <c r="L4294">
        <v>1275</v>
      </c>
    </row>
    <row r="4295" spans="1:12" x14ac:dyDescent="0.2">
      <c r="A4295"/>
      <c r="B4295"/>
      <c r="C4295"/>
      <c r="D4295"/>
      <c r="E4295" s="2">
        <f>Comuni__2[[#This Row],[Popolazione2011]]/$D$7911</f>
        <v>6.6085436807656399E-5</v>
      </c>
      <c r="F4295">
        <f>SUMIFS($D$2:$D$7909, $B$2:$B$7909, "Molise")</f>
        <v>313660</v>
      </c>
      <c r="G4295" s="1">
        <f>Comuni__2[[#This Row],[Popolazione2011]]/Comuni__2[[#This Row],[POPOLAZIONE TOTALE DI OGNI REGIONE (CON FILTRO)]]</f>
        <v>1.2519926034559715E-2</v>
      </c>
      <c r="H4295" t="str">
        <f>IF(Comuni__2[[#This Row],[Popolazione2011]]&gt;300000,"MAGGIORE","")</f>
        <v/>
      </c>
      <c r="J4295">
        <v>1824</v>
      </c>
      <c r="K4295">
        <v>17359</v>
      </c>
      <c r="L4295">
        <v>1322</v>
      </c>
    </row>
    <row r="4296" spans="1:12" x14ac:dyDescent="0.2">
      <c r="A4296"/>
      <c r="B4296"/>
      <c r="C4296"/>
      <c r="D4296"/>
      <c r="E4296" s="2">
        <f>Comuni__2[[#This Row],[Popolazione2011]]/$D$7911</f>
        <v>6.1222006393240122E-5</v>
      </c>
      <c r="F4296">
        <f>SUMIFS($D$2:$D$7909, $B$2:$B$7909, "Molise")</f>
        <v>313660</v>
      </c>
      <c r="G4296" s="1">
        <f>Comuni__2[[#This Row],[Popolazione2011]]/Comuni__2[[#This Row],[POPOLAZIONE TOTALE DI OGNI REGIONE (CON FILTRO)]]</f>
        <v>1.1598546196518523E-2</v>
      </c>
      <c r="H4296" t="str">
        <f>IF(Comuni__2[[#This Row],[Popolazione2011]]&gt;300000,"MAGGIORE","")</f>
        <v/>
      </c>
      <c r="J4296">
        <v>1798</v>
      </c>
      <c r="K4296">
        <v>18890</v>
      </c>
      <c r="L4296">
        <v>1371</v>
      </c>
    </row>
    <row r="4297" spans="1:12" x14ac:dyDescent="0.2">
      <c r="A4297"/>
      <c r="B4297"/>
      <c r="C4297"/>
      <c r="D4297"/>
      <c r="E4297" s="2">
        <f>Comuni__2[[#This Row],[Popolazione2011]]/$D$7911</f>
        <v>5.5315210284381604E-5</v>
      </c>
      <c r="F4297">
        <f>SUMIFS($D$2:$D$7909, $B$2:$B$7909, "Molise")</f>
        <v>313660</v>
      </c>
      <c r="G4297" s="1">
        <f>Comuni__2[[#This Row],[Popolazione2011]]/Comuni__2[[#This Row],[POPOLAZIONE TOTALE DI OGNI REGIONE (CON FILTRO)]]</f>
        <v>1.0479500095644965E-2</v>
      </c>
      <c r="H4297" t="str">
        <f>IF(Comuni__2[[#This Row],[Popolazione2011]]&gt;300000,"MAGGIORE","")</f>
        <v/>
      </c>
      <c r="J4297">
        <v>1789</v>
      </c>
      <c r="K4297">
        <v>19834</v>
      </c>
      <c r="L4297">
        <v>1418</v>
      </c>
    </row>
    <row r="4298" spans="1:12" x14ac:dyDescent="0.2">
      <c r="A4298"/>
      <c r="B4298"/>
      <c r="C4298"/>
      <c r="D4298"/>
      <c r="E4298" s="2">
        <f>Comuni__2[[#This Row],[Popolazione2011]]/$D$7911</f>
        <v>5.4776698958217868E-5</v>
      </c>
      <c r="F4298">
        <f>SUMIFS($D$2:$D$7909, $B$2:$B$7909, "Molise")</f>
        <v>313660</v>
      </c>
      <c r="G4298" s="1">
        <f>Comuni__2[[#This Row],[Popolazione2011]]/Comuni__2[[#This Row],[POPOLAZIONE TOTALE DI OGNI REGIONE (CON FILTRO)]]</f>
        <v>1.0377478798699229E-2</v>
      </c>
      <c r="H4298" t="str">
        <f>IF(Comuni__2[[#This Row],[Popolazione2011]]&gt;300000,"MAGGIORE","")</f>
        <v/>
      </c>
      <c r="J4298">
        <v>1766</v>
      </c>
      <c r="K4298">
        <v>20181</v>
      </c>
      <c r="L4298">
        <v>1461</v>
      </c>
    </row>
    <row r="4299" spans="1:12" x14ac:dyDescent="0.2">
      <c r="A4299"/>
      <c r="B4299"/>
      <c r="C4299"/>
      <c r="D4299"/>
      <c r="E4299" s="2">
        <f>Comuni__2[[#This Row],[Popolazione2011]]/$D$7911</f>
        <v>5.449061481619338E-5</v>
      </c>
      <c r="F4299">
        <f>SUMIFS($D$2:$D$7909, $B$2:$B$7909, "Molise")</f>
        <v>313660</v>
      </c>
      <c r="G4299" s="1">
        <f>Comuni__2[[#This Row],[Popolazione2011]]/Comuni__2[[#This Row],[POPOLAZIONE TOTALE DI OGNI REGIONE (CON FILTRO)]]</f>
        <v>1.0323279984696806E-2</v>
      </c>
      <c r="H4299" t="str">
        <f>IF(Comuni__2[[#This Row],[Popolazione2011]]&gt;300000,"MAGGIORE","")</f>
        <v/>
      </c>
      <c r="J4299">
        <v>1763</v>
      </c>
      <c r="K4299">
        <v>20558</v>
      </c>
      <c r="L4299">
        <v>1506</v>
      </c>
    </row>
    <row r="4300" spans="1:12" x14ac:dyDescent="0.2">
      <c r="A4300"/>
      <c r="B4300"/>
      <c r="C4300"/>
      <c r="D4300"/>
      <c r="E4300" s="2">
        <f>Comuni__2[[#This Row],[Popolazione2011]]/$D$7911</f>
        <v>5.0014239417457294E-5</v>
      </c>
      <c r="F4300">
        <f>SUMIFS($D$2:$D$7909, $B$2:$B$7909, "Molise")</f>
        <v>313660</v>
      </c>
      <c r="G4300" s="1">
        <f>Comuni__2[[#This Row],[Popolazione2011]]/Comuni__2[[#This Row],[POPOLAZIONE TOTALE DI OGNI REGIONE (CON FILTRO)]]</f>
        <v>9.4752279538353624E-3</v>
      </c>
      <c r="H4300" t="str">
        <f>IF(Comuni__2[[#This Row],[Popolazione2011]]&gt;300000,"MAGGIORE","")</f>
        <v/>
      </c>
      <c r="J4300">
        <v>1773</v>
      </c>
      <c r="K4300">
        <v>21507</v>
      </c>
      <c r="L4300">
        <v>1555</v>
      </c>
    </row>
    <row r="4301" spans="1:12" x14ac:dyDescent="0.2">
      <c r="A4301"/>
      <c r="B4301"/>
      <c r="C4301"/>
      <c r="D4301"/>
      <c r="E4301" s="2">
        <f>Comuni__2[[#This Row],[Popolazione2011]]/$D$7911</f>
        <v>4.7001941686728879E-5</v>
      </c>
      <c r="F4301">
        <f>SUMIFS($D$2:$D$7909, $B$2:$B$7909, "Molise")</f>
        <v>313660</v>
      </c>
      <c r="G4301" s="1">
        <f>Comuni__2[[#This Row],[Popolazione2011]]/Comuni__2[[#This Row],[POPOLAZIONE TOTALE DI OGNI REGIONE (CON FILTRO)]]</f>
        <v>8.9045463240451442E-3</v>
      </c>
      <c r="H4301" t="str">
        <f>IF(Comuni__2[[#This Row],[Popolazione2011]]&gt;300000,"MAGGIORE","")</f>
        <v/>
      </c>
      <c r="J4301">
        <v>1737</v>
      </c>
      <c r="K4301">
        <v>22766</v>
      </c>
      <c r="L4301">
        <v>1589</v>
      </c>
    </row>
    <row r="4302" spans="1:12" x14ac:dyDescent="0.2">
      <c r="A4302"/>
      <c r="B4302"/>
      <c r="C4302"/>
      <c r="D4302"/>
      <c r="E4302" s="2">
        <f>Comuni__2[[#This Row],[Popolazione2011]]/$D$7911</f>
        <v>4.5975404471229248E-5</v>
      </c>
      <c r="F4302">
        <f>SUMIFS($D$2:$D$7909, $B$2:$B$7909, "Molise")</f>
        <v>313660</v>
      </c>
      <c r="G4302" s="1">
        <f>Comuni__2[[#This Row],[Popolazione2011]]/Comuni__2[[#This Row],[POPOLAZIONE TOTALE DI OGNI REGIONE (CON FILTRO)]]</f>
        <v>8.7100682267423329E-3</v>
      </c>
      <c r="H4302" t="str">
        <f>IF(Comuni__2[[#This Row],[Popolazione2011]]&gt;300000,"MAGGIORE","")</f>
        <v/>
      </c>
      <c r="J4302">
        <v>1714</v>
      </c>
      <c r="K4302">
        <v>25221</v>
      </c>
      <c r="L4302">
        <v>1616</v>
      </c>
    </row>
    <row r="4303" spans="1:12" x14ac:dyDescent="0.2">
      <c r="A4303"/>
      <c r="B4303"/>
      <c r="C4303"/>
      <c r="D4303"/>
      <c r="E4303" s="2">
        <f>Comuni__2[[#This Row],[Popolazione2011]]/$D$7911</f>
        <v>4.3198705445697472E-5</v>
      </c>
      <c r="F4303">
        <f>SUMIFS($D$2:$D$7909, $B$2:$B$7909, "Molise")</f>
        <v>313660</v>
      </c>
      <c r="G4303" s="1">
        <f>Comuni__2[[#This Row],[Popolazione2011]]/Comuni__2[[#This Row],[POPOLAZIONE TOTALE DI OGNI REGIONE (CON FILTRO)]]</f>
        <v>8.1840209143658731E-3</v>
      </c>
      <c r="H4303" t="str">
        <f>IF(Comuni__2[[#This Row],[Popolazione2011]]&gt;300000,"MAGGIORE","")</f>
        <v/>
      </c>
      <c r="J4303">
        <v>1686</v>
      </c>
      <c r="K4303">
        <v>26432</v>
      </c>
      <c r="L4303">
        <v>1650</v>
      </c>
    </row>
    <row r="4304" spans="1:12" x14ac:dyDescent="0.2">
      <c r="A4304"/>
      <c r="B4304"/>
      <c r="C4304"/>
      <c r="D4304"/>
      <c r="E4304" s="2">
        <f>Comuni__2[[#This Row],[Popolazione2011]]/$D$7911</f>
        <v>4.2895792824730368E-5</v>
      </c>
      <c r="F4304">
        <f>SUMIFS($D$2:$D$7909, $B$2:$B$7909, "Molise")</f>
        <v>313660</v>
      </c>
      <c r="G4304" s="1">
        <f>Comuni__2[[#This Row],[Popolazione2011]]/Comuni__2[[#This Row],[POPOLAZIONE TOTALE DI OGNI REGIONE (CON FILTRO)]]</f>
        <v>8.1266339348338972E-3</v>
      </c>
      <c r="H4304" t="str">
        <f>IF(Comuni__2[[#This Row],[Popolazione2011]]&gt;300000,"MAGGIORE","")</f>
        <v/>
      </c>
      <c r="J4304">
        <v>1647</v>
      </c>
      <c r="K4304">
        <v>28188</v>
      </c>
      <c r="L4304">
        <v>1689</v>
      </c>
    </row>
    <row r="4305" spans="1:12" x14ac:dyDescent="0.2">
      <c r="A4305"/>
      <c r="B4305"/>
      <c r="C4305"/>
      <c r="D4305"/>
      <c r="E4305" s="2">
        <f>Comuni__2[[#This Row],[Popolazione2011]]/$D$7911</f>
        <v>4.1246601888353913E-5</v>
      </c>
      <c r="F4305">
        <f>SUMIFS($D$2:$D$7909, $B$2:$B$7909, "Molise")</f>
        <v>313660</v>
      </c>
      <c r="G4305" s="1">
        <f>Comuni__2[[#This Row],[Popolazione2011]]/Comuni__2[[#This Row],[POPOLAZIONE TOTALE DI OGNI REGIONE (CON FILTRO)]]</f>
        <v>7.8141937129375758E-3</v>
      </c>
      <c r="H4305" t="str">
        <f>IF(Comuni__2[[#This Row],[Popolazione2011]]&gt;300000,"MAGGIORE","")</f>
        <v/>
      </c>
      <c r="J4305">
        <v>1615</v>
      </c>
      <c r="K4305">
        <v>29204</v>
      </c>
      <c r="L4305">
        <v>1723</v>
      </c>
    </row>
    <row r="4306" spans="1:12" x14ac:dyDescent="0.2">
      <c r="A4306"/>
      <c r="B4306"/>
      <c r="C4306"/>
      <c r="D4306"/>
      <c r="E4306" s="2">
        <f>Comuni__2[[#This Row],[Popolazione2011]]/$D$7911</f>
        <v>3.922718441523989E-5</v>
      </c>
      <c r="F4306">
        <f>SUMIFS($D$2:$D$7909, $B$2:$B$7909, "Molise")</f>
        <v>313660</v>
      </c>
      <c r="G4306" s="1">
        <f>Comuni__2[[#This Row],[Popolazione2011]]/Comuni__2[[#This Row],[POPOLAZIONE TOTALE DI OGNI REGIONE (CON FILTRO)]]</f>
        <v>7.4316138493910602E-3</v>
      </c>
      <c r="H4306" t="str">
        <f>IF(Comuni__2[[#This Row],[Popolazione2011]]&gt;300000,"MAGGIORE","")</f>
        <v/>
      </c>
      <c r="J4306">
        <v>1580</v>
      </c>
      <c r="K4306">
        <v>29984</v>
      </c>
      <c r="L4306">
        <v>1759</v>
      </c>
    </row>
    <row r="4307" spans="1:12" x14ac:dyDescent="0.2">
      <c r="A4307"/>
      <c r="B4307"/>
      <c r="C4307"/>
      <c r="D4307"/>
      <c r="E4307" s="2">
        <f>Comuni__2[[#This Row],[Popolazione2011]]/$D$7911</f>
        <v>3.8284789594453346E-5</v>
      </c>
      <c r="F4307">
        <f>SUMIFS($D$2:$D$7909, $B$2:$B$7909, "Molise")</f>
        <v>313660</v>
      </c>
      <c r="G4307" s="1">
        <f>Comuni__2[[#This Row],[Popolazione2011]]/Comuni__2[[#This Row],[POPOLAZIONE TOTALE DI OGNI REGIONE (CON FILTRO)]]</f>
        <v>7.2530765797360203E-3</v>
      </c>
      <c r="H4307" t="str">
        <f>IF(Comuni__2[[#This Row],[Popolazione2011]]&gt;300000,"MAGGIORE","")</f>
        <v/>
      </c>
      <c r="J4307">
        <v>0</v>
      </c>
      <c r="K4307">
        <v>0</v>
      </c>
      <c r="L4307">
        <v>0</v>
      </c>
    </row>
    <row r="4308" spans="1:12" x14ac:dyDescent="0.2">
      <c r="A4308"/>
      <c r="B4308"/>
      <c r="C4308"/>
      <c r="D4308"/>
      <c r="E4308" s="2">
        <f>Comuni__2[[#This Row],[Popolazione2011]]/$D$7911</f>
        <v>3.8150161762912411E-5</v>
      </c>
      <c r="F4308">
        <f>SUMIFS($D$2:$D$7909, $B$2:$B$7909, "Molise")</f>
        <v>313660</v>
      </c>
      <c r="G4308" s="1">
        <f>Comuni__2[[#This Row],[Popolazione2011]]/Comuni__2[[#This Row],[POPOLAZIONE TOTALE DI OGNI REGIONE (CON FILTRO)]]</f>
        <v>7.2275712554995854E-3</v>
      </c>
      <c r="H4308" t="str">
        <f>IF(Comuni__2[[#This Row],[Popolazione2011]]&gt;300000,"MAGGIORE","")</f>
        <v/>
      </c>
      <c r="J4308">
        <v>2</v>
      </c>
      <c r="K4308">
        <v>0</v>
      </c>
      <c r="L4308">
        <v>0</v>
      </c>
    </row>
    <row r="4309" spans="1:12" x14ac:dyDescent="0.2">
      <c r="A4309"/>
      <c r="B4309"/>
      <c r="C4309"/>
      <c r="D4309"/>
      <c r="E4309" s="2">
        <f>Comuni__2[[#This Row],[Popolazione2011]]/$D$7911</f>
        <v>3.7140453026355402E-5</v>
      </c>
      <c r="F4309">
        <f>SUMIFS($D$2:$D$7909, $B$2:$B$7909, "Molise")</f>
        <v>313660</v>
      </c>
      <c r="G4309" s="1">
        <f>Comuni__2[[#This Row],[Popolazione2011]]/Comuni__2[[#This Row],[POPOLAZIONE TOTALE DI OGNI REGIONE (CON FILTRO)]]</f>
        <v>7.036281323726328E-3</v>
      </c>
      <c r="H4309" t="str">
        <f>IF(Comuni__2[[#This Row],[Popolazione2011]]&gt;300000,"MAGGIORE","")</f>
        <v/>
      </c>
      <c r="J4309">
        <v>2</v>
      </c>
      <c r="K4309">
        <v>0</v>
      </c>
      <c r="L4309">
        <v>0</v>
      </c>
    </row>
    <row r="4310" spans="1:12" x14ac:dyDescent="0.2">
      <c r="A4310"/>
      <c r="B4310"/>
      <c r="C4310"/>
      <c r="D4310"/>
      <c r="E4310" s="2">
        <f>Comuni__2[[#This Row],[Popolazione2011]]/$D$7911</f>
        <v>3.6299029079224555E-5</v>
      </c>
      <c r="F4310">
        <f>SUMIFS($D$2:$D$7909, $B$2:$B$7909, "Molise")</f>
        <v>313660</v>
      </c>
      <c r="G4310" s="1">
        <f>Comuni__2[[#This Row],[Popolazione2011]]/Comuni__2[[#This Row],[POPOLAZIONE TOTALE DI OGNI REGIONE (CON FILTRO)]]</f>
        <v>6.8768730472486134E-3</v>
      </c>
      <c r="H4310" t="str">
        <f>IF(Comuni__2[[#This Row],[Popolazione2011]]&gt;300000,"MAGGIORE","")</f>
        <v/>
      </c>
      <c r="J4310">
        <v>2</v>
      </c>
      <c r="K4310">
        <v>0</v>
      </c>
      <c r="L4310">
        <v>0</v>
      </c>
    </row>
    <row r="4311" spans="1:12" x14ac:dyDescent="0.2">
      <c r="A4311"/>
      <c r="B4311"/>
      <c r="C4311"/>
      <c r="D4311"/>
      <c r="E4311" s="2">
        <f>Comuni__2[[#This Row],[Popolazione2011]]/$D$7911</f>
        <v>3.5121035553241379E-5</v>
      </c>
      <c r="F4311">
        <f>SUMIFS($D$2:$D$7909, $B$2:$B$7909, "Molise")</f>
        <v>313660</v>
      </c>
      <c r="G4311" s="1">
        <f>Comuni__2[[#This Row],[Popolazione2011]]/Comuni__2[[#This Row],[POPOLAZIONE TOTALE DI OGNI REGIONE (CON FILTRO)]]</f>
        <v>6.6537014601798124E-3</v>
      </c>
      <c r="H4311" t="str">
        <f>IF(Comuni__2[[#This Row],[Popolazione2011]]&gt;300000,"MAGGIORE","")</f>
        <v/>
      </c>
      <c r="J4311">
        <v>5</v>
      </c>
      <c r="K4311">
        <v>1</v>
      </c>
      <c r="L4311">
        <v>0</v>
      </c>
    </row>
    <row r="4312" spans="1:12" x14ac:dyDescent="0.2">
      <c r="A4312"/>
      <c r="B4312"/>
      <c r="C4312"/>
      <c r="D4312"/>
      <c r="E4312" s="2">
        <f>Comuni__2[[#This Row],[Popolazione2011]]/$D$7911</f>
        <v>3.340453070109446E-5</v>
      </c>
      <c r="F4312">
        <f>SUMIFS($D$2:$D$7909, $B$2:$B$7909, "Molise")</f>
        <v>313660</v>
      </c>
      <c r="G4312" s="1">
        <f>Comuni__2[[#This Row],[Popolazione2011]]/Comuni__2[[#This Row],[POPOLAZIONE TOTALE DI OGNI REGIONE (CON FILTRO)]]</f>
        <v>6.3285085761652744E-3</v>
      </c>
      <c r="H4312" t="str">
        <f>IF(Comuni__2[[#This Row],[Popolazione2011]]&gt;300000,"MAGGIORE","")</f>
        <v/>
      </c>
      <c r="J4312">
        <v>7</v>
      </c>
      <c r="K4312">
        <v>1</v>
      </c>
      <c r="L4312">
        <v>0</v>
      </c>
    </row>
    <row r="4313" spans="1:12" x14ac:dyDescent="0.2">
      <c r="A4313"/>
      <c r="B4313"/>
      <c r="C4313"/>
      <c r="D4313"/>
      <c r="E4313" s="2">
        <f>Comuni__2[[#This Row],[Popolazione2011]]/$D$7911</f>
        <v>3.2394821964537445E-5</v>
      </c>
      <c r="F4313">
        <f>SUMIFS($D$2:$D$7909, $B$2:$B$7909, "Molise")</f>
        <v>313660</v>
      </c>
      <c r="G4313" s="1">
        <f>Comuni__2[[#This Row],[Popolazione2011]]/Comuni__2[[#This Row],[POPOLAZIONE TOTALE DI OGNI REGIONE (CON FILTRO)]]</f>
        <v>6.137218644392017E-3</v>
      </c>
      <c r="H4313" t="str">
        <f>IF(Comuni__2[[#This Row],[Popolazione2011]]&gt;300000,"MAGGIORE","")</f>
        <v/>
      </c>
      <c r="J4313">
        <v>7</v>
      </c>
      <c r="K4313">
        <v>1</v>
      </c>
      <c r="L4313">
        <v>0</v>
      </c>
    </row>
    <row r="4314" spans="1:12" x14ac:dyDescent="0.2">
      <c r="A4314"/>
      <c r="B4314"/>
      <c r="C4314"/>
      <c r="D4314"/>
      <c r="E4314" s="2">
        <f>Comuni__2[[#This Row],[Popolazione2011]]/$D$7911</f>
        <v>3.2142394780398196E-5</v>
      </c>
      <c r="F4314">
        <f>SUMIFS($D$2:$D$7909, $B$2:$B$7909, "Molise")</f>
        <v>313660</v>
      </c>
      <c r="G4314" s="1">
        <f>Comuni__2[[#This Row],[Popolazione2011]]/Comuni__2[[#This Row],[POPOLAZIONE TOTALE DI OGNI REGIONE (CON FILTRO)]]</f>
        <v>6.089396161448702E-3</v>
      </c>
      <c r="H4314" t="str">
        <f>IF(Comuni__2[[#This Row],[Popolazione2011]]&gt;300000,"MAGGIORE","")</f>
        <v/>
      </c>
      <c r="J4314">
        <v>7</v>
      </c>
      <c r="K4314">
        <v>1</v>
      </c>
      <c r="L4314">
        <v>0</v>
      </c>
    </row>
    <row r="4315" spans="1:12" x14ac:dyDescent="0.2">
      <c r="A4315"/>
      <c r="B4315"/>
      <c r="C4315"/>
      <c r="D4315"/>
      <c r="E4315" s="2">
        <f>Comuni__2[[#This Row],[Popolazione2011]]/$D$7911</f>
        <v>3.1031715170185484E-5</v>
      </c>
      <c r="F4315">
        <f>SUMIFS($D$2:$D$7909, $B$2:$B$7909, "Molise")</f>
        <v>313660</v>
      </c>
      <c r="G4315" s="1">
        <f>Comuni__2[[#This Row],[Popolazione2011]]/Comuni__2[[#This Row],[POPOLAZIONE TOTALE DI OGNI REGIONE (CON FILTRO)]]</f>
        <v>5.8789772364981193E-3</v>
      </c>
      <c r="H4315" t="str">
        <f>IF(Comuni__2[[#This Row],[Popolazione2011]]&gt;300000,"MAGGIORE","")</f>
        <v/>
      </c>
      <c r="J4315">
        <v>10</v>
      </c>
      <c r="K4315">
        <v>1</v>
      </c>
      <c r="L4315">
        <v>0</v>
      </c>
    </row>
    <row r="4316" spans="1:12" x14ac:dyDescent="0.2">
      <c r="A4316"/>
      <c r="B4316"/>
      <c r="C4316"/>
      <c r="D4316"/>
      <c r="E4316" s="2">
        <f>Comuni__2[[#This Row],[Popolazione2011]]/$D$7911</f>
        <v>3.0240776659882489E-5</v>
      </c>
      <c r="F4316">
        <f>SUMIFS($D$2:$D$7909, $B$2:$B$7909, "Molise")</f>
        <v>313660</v>
      </c>
      <c r="G4316" s="1">
        <f>Comuni__2[[#This Row],[Popolazione2011]]/Comuni__2[[#This Row],[POPOLAZIONE TOTALE DI OGNI REGIONE (CON FILTRO)]]</f>
        <v>5.7291334566090674E-3</v>
      </c>
      <c r="H4316" t="str">
        <f>IF(Comuni__2[[#This Row],[Popolazione2011]]&gt;300000,"MAGGIORE","")</f>
        <v/>
      </c>
      <c r="J4316">
        <v>17</v>
      </c>
      <c r="K4316">
        <v>1</v>
      </c>
      <c r="L4316">
        <v>0</v>
      </c>
    </row>
    <row r="4317" spans="1:12" x14ac:dyDescent="0.2">
      <c r="A4317"/>
      <c r="B4317"/>
      <c r="C4317"/>
      <c r="D4317"/>
      <c r="E4317" s="2">
        <f>Comuni__2[[#This Row],[Popolazione2011]]/$D$7911</f>
        <v>2.9769579249489217E-5</v>
      </c>
      <c r="F4317">
        <f>SUMIFS($D$2:$D$7909, $B$2:$B$7909, "Molise")</f>
        <v>313660</v>
      </c>
      <c r="G4317" s="1">
        <f>Comuni__2[[#This Row],[Popolazione2011]]/Comuni__2[[#This Row],[POPOLAZIONE TOTALE DI OGNI REGIONE (CON FILTRO)]]</f>
        <v>5.639864821781547E-3</v>
      </c>
      <c r="H4317" t="str">
        <f>IF(Comuni__2[[#This Row],[Popolazione2011]]&gt;300000,"MAGGIORE","")</f>
        <v/>
      </c>
      <c r="J4317">
        <v>29</v>
      </c>
      <c r="K4317">
        <v>1</v>
      </c>
      <c r="L4317">
        <v>0</v>
      </c>
    </row>
    <row r="4318" spans="1:12" x14ac:dyDescent="0.2">
      <c r="A4318"/>
      <c r="B4318"/>
      <c r="C4318"/>
      <c r="D4318"/>
      <c r="E4318" s="2">
        <f>Comuni__2[[#This Row],[Popolazione2011]]/$D$7911</f>
        <v>2.7968932002629214E-5</v>
      </c>
      <c r="F4318">
        <f>SUMIFS($D$2:$D$7909, $B$2:$B$7909, "Molise")</f>
        <v>313660</v>
      </c>
      <c r="G4318" s="1">
        <f>Comuni__2[[#This Row],[Popolazione2011]]/Comuni__2[[#This Row],[POPOLAZIONE TOTALE DI OGNI REGIONE (CON FILTRO)]]</f>
        <v>5.2987311101192376E-3</v>
      </c>
      <c r="H4318" t="str">
        <f>IF(Comuni__2[[#This Row],[Popolazione2011]]&gt;300000,"MAGGIORE","")</f>
        <v/>
      </c>
      <c r="J4318">
        <v>40</v>
      </c>
      <c r="K4318">
        <v>1</v>
      </c>
      <c r="L4318">
        <v>0</v>
      </c>
    </row>
    <row r="4319" spans="1:12" x14ac:dyDescent="0.2">
      <c r="A4319"/>
      <c r="B4319"/>
      <c r="C4319"/>
      <c r="D4319"/>
      <c r="E4319" s="2">
        <f>Comuni__2[[#This Row],[Popolazione2011]]/$D$7911</f>
        <v>2.776699025531781E-5</v>
      </c>
      <c r="F4319">
        <f>SUMIFS($D$2:$D$7909, $B$2:$B$7909, "Molise")</f>
        <v>313660</v>
      </c>
      <c r="G4319" s="1">
        <f>Comuni__2[[#This Row],[Popolazione2011]]/Comuni__2[[#This Row],[POPOLAZIONE TOTALE DI OGNI REGIONE (CON FILTRO)]]</f>
        <v>5.2604731237645861E-3</v>
      </c>
      <c r="H4319" t="str">
        <f>IF(Comuni__2[[#This Row],[Popolazione2011]]&gt;300000,"MAGGIORE","")</f>
        <v/>
      </c>
      <c r="J4319">
        <v>61</v>
      </c>
      <c r="K4319">
        <v>1</v>
      </c>
      <c r="L4319">
        <v>0</v>
      </c>
    </row>
    <row r="4320" spans="1:12" x14ac:dyDescent="0.2">
      <c r="A4320"/>
      <c r="B4320"/>
      <c r="C4320"/>
      <c r="D4320"/>
      <c r="E4320" s="2">
        <f>Comuni__2[[#This Row],[Popolazione2011]]/$D$7911</f>
        <v>2.756504850800641E-5</v>
      </c>
      <c r="F4320">
        <f>SUMIFS($D$2:$D$7909, $B$2:$B$7909, "Molise")</f>
        <v>313660</v>
      </c>
      <c r="G4320" s="1">
        <f>Comuni__2[[#This Row],[Popolazione2011]]/Comuni__2[[#This Row],[POPOLAZIONE TOTALE DI OGNI REGIONE (CON FILTRO)]]</f>
        <v>5.2222151374099347E-3</v>
      </c>
      <c r="H4320" t="str">
        <f>IF(Comuni__2[[#This Row],[Popolazione2011]]&gt;300000,"MAGGIORE","")</f>
        <v/>
      </c>
      <c r="J4320">
        <v>98</v>
      </c>
      <c r="K4320">
        <v>1</v>
      </c>
      <c r="L4320">
        <v>0</v>
      </c>
    </row>
    <row r="4321" spans="1:12" x14ac:dyDescent="0.2">
      <c r="A4321"/>
      <c r="B4321"/>
      <c r="C4321"/>
      <c r="D4321"/>
      <c r="E4321" s="2">
        <f>Comuni__2[[#This Row],[Popolazione2011]]/$D$7911</f>
        <v>2.6538511292506782E-5</v>
      </c>
      <c r="F4321">
        <f>SUMIFS($D$2:$D$7909, $B$2:$B$7909, "Molise")</f>
        <v>313660</v>
      </c>
      <c r="G4321" s="1">
        <f>Comuni__2[[#This Row],[Popolazione2011]]/Comuni__2[[#This Row],[POPOLAZIONE TOTALE DI OGNI REGIONE (CON FILTRO)]]</f>
        <v>5.0277370401071225E-3</v>
      </c>
      <c r="H4321" t="str">
        <f>IF(Comuni__2[[#This Row],[Popolazione2011]]&gt;300000,"MAGGIORE","")</f>
        <v/>
      </c>
      <c r="J4321">
        <v>116</v>
      </c>
      <c r="K4321">
        <v>1</v>
      </c>
      <c r="L4321">
        <v>1</v>
      </c>
    </row>
    <row r="4322" spans="1:12" x14ac:dyDescent="0.2">
      <c r="A4322"/>
      <c r="B4322"/>
      <c r="C4322"/>
      <c r="D4322"/>
      <c r="E4322" s="2">
        <f>Comuni__2[[#This Row],[Popolazione2011]]/$D$7911</f>
        <v>2.6252427150482295E-5</v>
      </c>
      <c r="F4322">
        <f>SUMIFS($D$2:$D$7909, $B$2:$B$7909, "Molise")</f>
        <v>313660</v>
      </c>
      <c r="G4322" s="1">
        <f>Comuni__2[[#This Row],[Popolazione2011]]/Comuni__2[[#This Row],[POPOLAZIONE TOTALE DI OGNI REGIONE (CON FILTRO)]]</f>
        <v>4.9735382261046996E-3</v>
      </c>
      <c r="H4322" t="str">
        <f>IF(Comuni__2[[#This Row],[Popolazione2011]]&gt;300000,"MAGGIORE","")</f>
        <v/>
      </c>
      <c r="J4322">
        <v>131</v>
      </c>
      <c r="K4322">
        <v>3</v>
      </c>
      <c r="L4322">
        <v>1</v>
      </c>
    </row>
    <row r="4323" spans="1:12" x14ac:dyDescent="0.2">
      <c r="A4323"/>
      <c r="B4323"/>
      <c r="C4323"/>
      <c r="D4323"/>
      <c r="E4323" s="2">
        <f>Comuni__2[[#This Row],[Popolazione2011]]/$D$7911</f>
        <v>2.5713915824318555E-5</v>
      </c>
      <c r="F4323">
        <f>SUMIFS($D$2:$D$7909, $B$2:$B$7909, "Molise")</f>
        <v>313660</v>
      </c>
      <c r="G4323" s="1">
        <f>Comuni__2[[#This Row],[Popolazione2011]]/Comuni__2[[#This Row],[POPOLAZIONE TOTALE DI OGNI REGIONE (CON FILTRO)]]</f>
        <v>4.8715169291589618E-3</v>
      </c>
      <c r="H4323" t="str">
        <f>IF(Comuni__2[[#This Row],[Popolazione2011]]&gt;300000,"MAGGIORE","")</f>
        <v/>
      </c>
      <c r="J4323">
        <v>141</v>
      </c>
      <c r="K4323">
        <v>5</v>
      </c>
      <c r="L4323">
        <v>1</v>
      </c>
    </row>
    <row r="4324" spans="1:12" x14ac:dyDescent="0.2">
      <c r="A4324"/>
      <c r="B4324"/>
      <c r="C4324"/>
      <c r="D4324"/>
      <c r="E4324" s="2">
        <f>Comuni__2[[#This Row],[Popolazione2011]]/$D$7911</f>
        <v>2.5023948187671263E-5</v>
      </c>
      <c r="F4324">
        <f>SUMIFS($D$2:$D$7909, $B$2:$B$7909, "Molise")</f>
        <v>313660</v>
      </c>
      <c r="G4324" s="1">
        <f>Comuni__2[[#This Row],[Popolazione2011]]/Comuni__2[[#This Row],[POPOLAZIONE TOTALE DI OGNI REGIONE (CON FILTRO)]]</f>
        <v>4.740802142447236E-3</v>
      </c>
      <c r="H4324" t="str">
        <f>IF(Comuni__2[[#This Row],[Popolazione2011]]&gt;300000,"MAGGIORE","")</f>
        <v/>
      </c>
      <c r="J4324">
        <v>159</v>
      </c>
      <c r="K4324">
        <v>7</v>
      </c>
      <c r="L4324">
        <v>5</v>
      </c>
    </row>
    <row r="4325" spans="1:12" x14ac:dyDescent="0.2">
      <c r="A4325"/>
      <c r="B4325"/>
      <c r="C4325"/>
      <c r="D4325"/>
      <c r="E4325" s="2">
        <f>Comuni__2[[#This Row],[Popolazione2011]]/$D$7911</f>
        <v>2.4906148835072947E-5</v>
      </c>
      <c r="F4325">
        <f>SUMIFS($D$2:$D$7909, $B$2:$B$7909, "Molise")</f>
        <v>313660</v>
      </c>
      <c r="G4325" s="1">
        <f>Comuni__2[[#This Row],[Popolazione2011]]/Comuni__2[[#This Row],[POPOLAZIONE TOTALE DI OGNI REGIONE (CON FILTRO)]]</f>
        <v>4.7184849837403559E-3</v>
      </c>
      <c r="H4325" t="str">
        <f>IF(Comuni__2[[#This Row],[Popolazione2011]]&gt;300000,"MAGGIORE","")</f>
        <v/>
      </c>
      <c r="J4325">
        <v>211</v>
      </c>
      <c r="K4325">
        <v>10</v>
      </c>
      <c r="L4325">
        <v>5</v>
      </c>
    </row>
    <row r="4326" spans="1:12" x14ac:dyDescent="0.2">
      <c r="A4326"/>
      <c r="B4326"/>
      <c r="C4326"/>
      <c r="D4326"/>
      <c r="E4326" s="2">
        <f>Comuni__2[[#This Row],[Popolazione2011]]/$D$7911</f>
        <v>2.4401294466794439E-5</v>
      </c>
      <c r="F4326">
        <f>SUMIFS($D$2:$D$7909, $B$2:$B$7909, "Molise")</f>
        <v>313660</v>
      </c>
      <c r="G4326" s="1">
        <f>Comuni__2[[#This Row],[Popolazione2011]]/Comuni__2[[#This Row],[POPOLAZIONE TOTALE DI OGNI REGIONE (CON FILTRO)]]</f>
        <v>4.6228400178537268E-3</v>
      </c>
      <c r="H4326" t="str">
        <f>IF(Comuni__2[[#This Row],[Popolazione2011]]&gt;300000,"MAGGIORE","")</f>
        <v/>
      </c>
      <c r="J4326">
        <v>247</v>
      </c>
      <c r="K4326">
        <v>10</v>
      </c>
      <c r="L4326">
        <v>6</v>
      </c>
    </row>
    <row r="4327" spans="1:12" x14ac:dyDescent="0.2">
      <c r="A4327"/>
      <c r="B4327"/>
      <c r="C4327"/>
      <c r="D4327"/>
      <c r="E4327" s="2">
        <f>Comuni__2[[#This Row],[Popolazione2011]]/$D$7911</f>
        <v>2.4115210324769955E-5</v>
      </c>
      <c r="F4327">
        <f>SUMIFS($D$2:$D$7909, $B$2:$B$7909, "Molise")</f>
        <v>313660</v>
      </c>
      <c r="G4327" s="1">
        <f>Comuni__2[[#This Row],[Popolazione2011]]/Comuni__2[[#This Row],[POPOLAZIONE TOTALE DI OGNI REGIONE (CON FILTRO)]]</f>
        <v>4.5686412038513039E-3</v>
      </c>
      <c r="H4327" t="str">
        <f>IF(Comuni__2[[#This Row],[Popolazione2011]]&gt;300000,"MAGGIORE","")</f>
        <v/>
      </c>
      <c r="J4327">
        <v>282</v>
      </c>
      <c r="K4327">
        <v>10</v>
      </c>
      <c r="L4327">
        <v>8</v>
      </c>
    </row>
    <row r="4328" spans="1:12" x14ac:dyDescent="0.2">
      <c r="A4328"/>
      <c r="B4328"/>
      <c r="C4328"/>
      <c r="D4328"/>
      <c r="E4328" s="2">
        <f>Comuni__2[[#This Row],[Popolazione2011]]/$D$7911</f>
        <v>2.4031067930056871E-5</v>
      </c>
      <c r="F4328">
        <f>SUMIFS($D$2:$D$7909, $B$2:$B$7909, "Molise")</f>
        <v>313660</v>
      </c>
      <c r="G4328" s="1">
        <f>Comuni__2[[#This Row],[Popolazione2011]]/Comuni__2[[#This Row],[POPOLAZIONE TOTALE DI OGNI REGIONE (CON FILTRO)]]</f>
        <v>4.5527003762035325E-3</v>
      </c>
      <c r="H4328" t="str">
        <f>IF(Comuni__2[[#This Row],[Popolazione2011]]&gt;300000,"MAGGIORE","")</f>
        <v/>
      </c>
      <c r="J4328">
        <v>282</v>
      </c>
      <c r="K4328">
        <v>11</v>
      </c>
      <c r="L4328">
        <v>14</v>
      </c>
    </row>
    <row r="4329" spans="1:12" x14ac:dyDescent="0.2">
      <c r="A4329"/>
      <c r="B4329"/>
      <c r="C4329"/>
      <c r="D4329"/>
      <c r="E4329" s="2">
        <f>Comuni__2[[#This Row],[Popolazione2011]]/$D$7911</f>
        <v>2.3946925535343787E-5</v>
      </c>
      <c r="F4329">
        <f>SUMIFS($D$2:$D$7909, $B$2:$B$7909, "Molise")</f>
        <v>313660</v>
      </c>
      <c r="G4329" s="1">
        <f>Comuni__2[[#This Row],[Popolazione2011]]/Comuni__2[[#This Row],[POPOLAZIONE TOTALE DI OGNI REGIONE (CON FILTRO)]]</f>
        <v>4.5367595485557612E-3</v>
      </c>
      <c r="H4329" t="str">
        <f>IF(Comuni__2[[#This Row],[Popolazione2011]]&gt;300000,"MAGGIORE","")</f>
        <v/>
      </c>
      <c r="J4329">
        <v>472</v>
      </c>
      <c r="K4329">
        <v>12</v>
      </c>
      <c r="L4329">
        <v>17</v>
      </c>
    </row>
    <row r="4330" spans="1:12" x14ac:dyDescent="0.2">
      <c r="A4330"/>
      <c r="B4330"/>
      <c r="C4330"/>
      <c r="D4330"/>
      <c r="E4330" s="2">
        <f>Comuni__2[[#This Row],[Popolazione2011]]/$D$7911</f>
        <v>2.3728155309089767E-5</v>
      </c>
      <c r="F4330">
        <f>SUMIFS($D$2:$D$7909, $B$2:$B$7909, "Molise")</f>
        <v>313660</v>
      </c>
      <c r="G4330" s="1">
        <f>Comuni__2[[#This Row],[Popolazione2011]]/Comuni__2[[#This Row],[POPOLAZIONE TOTALE DI OGNI REGIONE (CON FILTRO)]]</f>
        <v>4.4953133966715549E-3</v>
      </c>
      <c r="H4330" t="str">
        <f>IF(Comuni__2[[#This Row],[Popolazione2011]]&gt;300000,"MAGGIORE","")</f>
        <v/>
      </c>
      <c r="J4330">
        <v>587</v>
      </c>
      <c r="K4330">
        <v>17</v>
      </c>
      <c r="L4330">
        <v>22</v>
      </c>
    </row>
    <row r="4331" spans="1:12" x14ac:dyDescent="0.2">
      <c r="A4331"/>
      <c r="B4331"/>
      <c r="C4331"/>
      <c r="D4331"/>
      <c r="E4331" s="2">
        <f>Comuni__2[[#This Row],[Popolazione2011]]/$D$7911</f>
        <v>2.334110029340958E-5</v>
      </c>
      <c r="F4331">
        <f>SUMIFS($D$2:$D$7909, $B$2:$B$7909, "Molise")</f>
        <v>313660</v>
      </c>
      <c r="G4331" s="1">
        <f>Comuni__2[[#This Row],[Popolazione2011]]/Comuni__2[[#This Row],[POPOLAZIONE TOTALE DI OGNI REGIONE (CON FILTRO)]]</f>
        <v>4.4219855894918067E-3</v>
      </c>
      <c r="H4331" t="str">
        <f>IF(Comuni__2[[#This Row],[Popolazione2011]]&gt;300000,"MAGGIORE","")</f>
        <v/>
      </c>
      <c r="J4331">
        <v>679</v>
      </c>
      <c r="K4331">
        <v>22</v>
      </c>
      <c r="L4331">
        <v>38</v>
      </c>
    </row>
    <row r="4332" spans="1:12" x14ac:dyDescent="0.2">
      <c r="A4332"/>
      <c r="B4332"/>
      <c r="C4332"/>
      <c r="D4332"/>
      <c r="E4332" s="2">
        <f>Comuni__2[[#This Row],[Popolazione2011]]/$D$7911</f>
        <v>2.3256957898696496E-5</v>
      </c>
      <c r="F4332">
        <f>SUMIFS($D$2:$D$7909, $B$2:$B$7909, "Molise")</f>
        <v>313660</v>
      </c>
      <c r="G4332" s="1">
        <f>Comuni__2[[#This Row],[Popolazione2011]]/Comuni__2[[#This Row],[POPOLAZIONE TOTALE DI OGNI REGIONE (CON FILTRO)]]</f>
        <v>4.4060447618440354E-3</v>
      </c>
      <c r="H4332" t="str">
        <f>IF(Comuni__2[[#This Row],[Popolazione2011]]&gt;300000,"MAGGIORE","")</f>
        <v/>
      </c>
      <c r="J4332">
        <v>790</v>
      </c>
      <c r="K4332">
        <v>33</v>
      </c>
      <c r="L4332">
        <v>47</v>
      </c>
    </row>
    <row r="4333" spans="1:12" x14ac:dyDescent="0.2">
      <c r="A4333"/>
      <c r="B4333"/>
      <c r="C4333"/>
      <c r="D4333"/>
      <c r="E4333" s="2">
        <f>Comuni__2[[#This Row],[Popolazione2011]]/$D$7911</f>
        <v>2.3105501588212944E-5</v>
      </c>
      <c r="F4333">
        <f>SUMIFS($D$2:$D$7909, $B$2:$B$7909, "Molise")</f>
        <v>313660</v>
      </c>
      <c r="G4333" s="1">
        <f>Comuni__2[[#This Row],[Popolazione2011]]/Comuni__2[[#This Row],[POPOLAZIONE TOTALE DI OGNI REGIONE (CON FILTRO)]]</f>
        <v>4.3773512720780465E-3</v>
      </c>
      <c r="H4333" t="str">
        <f>IF(Comuni__2[[#This Row],[Popolazione2011]]&gt;300000,"MAGGIORE","")</f>
        <v/>
      </c>
      <c r="J4333">
        <v>866</v>
      </c>
      <c r="K4333">
        <v>35</v>
      </c>
      <c r="L4333">
        <v>72</v>
      </c>
    </row>
    <row r="4334" spans="1:12" x14ac:dyDescent="0.2">
      <c r="A4334"/>
      <c r="B4334"/>
      <c r="C4334"/>
      <c r="D4334"/>
      <c r="E4334" s="2">
        <f>Comuni__2[[#This Row],[Popolazione2011]]/$D$7911</f>
        <v>2.3004530714557243E-5</v>
      </c>
      <c r="F4334">
        <f>SUMIFS($D$2:$D$7909, $B$2:$B$7909, "Molise")</f>
        <v>313660</v>
      </c>
      <c r="G4334" s="1">
        <f>Comuni__2[[#This Row],[Popolazione2011]]/Comuni__2[[#This Row],[POPOLAZIONE TOTALE DI OGNI REGIONE (CON FILTRO)]]</f>
        <v>4.3582222789007204E-3</v>
      </c>
      <c r="H4334" t="str">
        <f>IF(Comuni__2[[#This Row],[Popolazione2011]]&gt;300000,"MAGGIORE","")</f>
        <v/>
      </c>
      <c r="J4334">
        <v>921</v>
      </c>
      <c r="K4334">
        <v>42</v>
      </c>
      <c r="L4334">
        <v>91</v>
      </c>
    </row>
    <row r="4335" spans="1:12" x14ac:dyDescent="0.2">
      <c r="A4335"/>
      <c r="B4335"/>
      <c r="C4335"/>
      <c r="D4335"/>
      <c r="E4335" s="2">
        <f>Comuni__2[[#This Row],[Popolazione2011]]/$D$7911</f>
        <v>2.2566990262049204E-5</v>
      </c>
      <c r="F4335">
        <f>SUMIFS($D$2:$D$7909, $B$2:$B$7909, "Molise")</f>
        <v>313660</v>
      </c>
      <c r="G4335" s="1">
        <f>Comuni__2[[#This Row],[Popolazione2011]]/Comuni__2[[#This Row],[POPOLAZIONE TOTALE DI OGNI REGIONE (CON FILTRO)]]</f>
        <v>4.2753299751323087E-3</v>
      </c>
      <c r="H4335" t="str">
        <f>IF(Comuni__2[[#This Row],[Popolazione2011]]&gt;300000,"MAGGIORE","")</f>
        <v/>
      </c>
      <c r="J4335">
        <v>1076</v>
      </c>
      <c r="K4335">
        <v>51</v>
      </c>
      <c r="L4335">
        <v>109</v>
      </c>
    </row>
    <row r="4336" spans="1:12" x14ac:dyDescent="0.2">
      <c r="A4336"/>
      <c r="B4336"/>
      <c r="C4336"/>
      <c r="D4336"/>
      <c r="E4336" s="2">
        <f>Comuni__2[[#This Row],[Popolazione2011]]/$D$7911</f>
        <v>2.0715857578361349E-5</v>
      </c>
      <c r="F4336">
        <f>SUMIFS($D$2:$D$7909, $B$2:$B$7909, "Molise")</f>
        <v>313660</v>
      </c>
      <c r="G4336" s="1">
        <f>Comuni__2[[#This Row],[Popolazione2011]]/Comuni__2[[#This Row],[POPOLAZIONE TOTALE DI OGNI REGIONE (CON FILTRO)]]</f>
        <v>3.9246317668813367E-3</v>
      </c>
      <c r="H4336" t="str">
        <f>IF(Comuni__2[[#This Row],[Popolazione2011]]&gt;300000,"MAGGIORE","")</f>
        <v/>
      </c>
      <c r="J4336">
        <v>1162</v>
      </c>
      <c r="K4336">
        <v>51</v>
      </c>
      <c r="L4336">
        <v>129</v>
      </c>
    </row>
    <row r="4337" spans="1:12" x14ac:dyDescent="0.2">
      <c r="A4337"/>
      <c r="B4337"/>
      <c r="C4337"/>
      <c r="D4337"/>
      <c r="E4337" s="2">
        <f>Comuni__2[[#This Row],[Popolazione2011]]/$D$7911</f>
        <v>2.0631715183648265E-5</v>
      </c>
      <c r="F4337">
        <f>SUMIFS($D$2:$D$7909, $B$2:$B$7909, "Molise")</f>
        <v>313660</v>
      </c>
      <c r="G4337" s="1">
        <f>Comuni__2[[#This Row],[Popolazione2011]]/Comuni__2[[#This Row],[POPOLAZIONE TOTALE DI OGNI REGIONE (CON FILTRO)]]</f>
        <v>3.9086909392335653E-3</v>
      </c>
      <c r="H4337" t="str">
        <f>IF(Comuni__2[[#This Row],[Popolazione2011]]&gt;300000,"MAGGIORE","")</f>
        <v/>
      </c>
      <c r="J4337">
        <v>1250</v>
      </c>
      <c r="K4337">
        <v>54</v>
      </c>
      <c r="L4337">
        <v>142</v>
      </c>
    </row>
    <row r="4338" spans="1:12" x14ac:dyDescent="0.2">
      <c r="A4338"/>
      <c r="B4338"/>
      <c r="C4338"/>
      <c r="D4338"/>
      <c r="E4338" s="2">
        <f>Comuni__2[[#This Row],[Popolazione2011]]/$D$7911</f>
        <v>2.0513915831049948E-5</v>
      </c>
      <c r="F4338">
        <f>SUMIFS($D$2:$D$7909, $B$2:$B$7909, "Molise")</f>
        <v>313660</v>
      </c>
      <c r="G4338" s="1">
        <f>Comuni__2[[#This Row],[Popolazione2011]]/Comuni__2[[#This Row],[POPOLAZIONE TOTALE DI OGNI REGIONE (CON FILTRO)]]</f>
        <v>3.8863737805266848E-3</v>
      </c>
      <c r="H4338" t="str">
        <f>IF(Comuni__2[[#This Row],[Popolazione2011]]&gt;300000,"MAGGIORE","")</f>
        <v/>
      </c>
      <c r="J4338">
        <v>1296</v>
      </c>
      <c r="K4338">
        <v>95</v>
      </c>
      <c r="L4338">
        <v>158</v>
      </c>
    </row>
    <row r="4339" spans="1:12" x14ac:dyDescent="0.2">
      <c r="A4339"/>
      <c r="B4339"/>
      <c r="C4339"/>
      <c r="D4339"/>
      <c r="E4339" s="2">
        <f>Comuni__2[[#This Row],[Popolazione2011]]/$D$7911</f>
        <v>2.0295145604795929E-5</v>
      </c>
      <c r="F4339">
        <f>SUMIFS($D$2:$D$7909, $B$2:$B$7909, "Molise")</f>
        <v>313660</v>
      </c>
      <c r="G4339" s="1">
        <f>Comuni__2[[#This Row],[Popolazione2011]]/Comuni__2[[#This Row],[POPOLAZIONE TOTALE DI OGNI REGIONE (CON FILTRO)]]</f>
        <v>3.8449276286424789E-3</v>
      </c>
      <c r="H4339" t="str">
        <f>IF(Comuni__2[[#This Row],[Popolazione2011]]&gt;300000,"MAGGIORE","")</f>
        <v/>
      </c>
      <c r="J4339">
        <v>1327</v>
      </c>
      <c r="K4339">
        <v>103</v>
      </c>
      <c r="L4339">
        <v>177</v>
      </c>
    </row>
    <row r="4340" spans="1:12" x14ac:dyDescent="0.2">
      <c r="A4340"/>
      <c r="B4340"/>
      <c r="C4340"/>
      <c r="D4340"/>
      <c r="E4340" s="2">
        <f>Comuni__2[[#This Row],[Popolazione2011]]/$D$7911</f>
        <v>1.9352750784009385E-5</v>
      </c>
      <c r="F4340">
        <f>SUMIFS($D$2:$D$7909, $B$2:$B$7909, "Molise")</f>
        <v>313660</v>
      </c>
      <c r="G4340" s="1">
        <f>Comuni__2[[#This Row],[Popolazione2011]]/Comuni__2[[#This Row],[POPOLAZIONE TOTALE DI OGNI REGIONE (CON FILTRO)]]</f>
        <v>3.6663903589874386E-3</v>
      </c>
      <c r="H4340" t="str">
        <f>IF(Comuni__2[[#This Row],[Popolazione2011]]&gt;300000,"MAGGIORE","")</f>
        <v/>
      </c>
      <c r="J4340">
        <v>1370</v>
      </c>
      <c r="K4340">
        <v>108</v>
      </c>
      <c r="L4340">
        <v>198</v>
      </c>
    </row>
    <row r="4341" spans="1:12" x14ac:dyDescent="0.2">
      <c r="A4341"/>
      <c r="B4341"/>
      <c r="C4341"/>
      <c r="D4341"/>
      <c r="E4341" s="2">
        <f>Comuni__2[[#This Row],[Popolazione2011]]/$D$7911</f>
        <v>1.8999352726214429E-5</v>
      </c>
      <c r="F4341">
        <f>SUMIFS($D$2:$D$7909, $B$2:$B$7909, "Molise")</f>
        <v>313660</v>
      </c>
      <c r="G4341" s="1">
        <f>Comuni__2[[#This Row],[Popolazione2011]]/Comuni__2[[#This Row],[POPOLAZIONE TOTALE DI OGNI REGIONE (CON FILTRO)]]</f>
        <v>3.5994388828667983E-3</v>
      </c>
      <c r="H4341" t="str">
        <f>IF(Comuni__2[[#This Row],[Popolazione2011]]&gt;300000,"MAGGIORE","")</f>
        <v/>
      </c>
      <c r="J4341">
        <v>1386</v>
      </c>
      <c r="K4341">
        <v>121</v>
      </c>
      <c r="L4341">
        <v>215</v>
      </c>
    </row>
    <row r="4342" spans="1:12" x14ac:dyDescent="0.2">
      <c r="A4342"/>
      <c r="B4342"/>
      <c r="C4342"/>
      <c r="D4342"/>
      <c r="E4342" s="2">
        <f>Comuni__2[[#This Row],[Popolazione2011]]/$D$7911</f>
        <v>1.8847896415730877E-5</v>
      </c>
      <c r="F4342">
        <f>SUMIFS($D$2:$D$7909, $B$2:$B$7909, "Molise")</f>
        <v>313660</v>
      </c>
      <c r="G4342" s="1">
        <f>Comuni__2[[#This Row],[Popolazione2011]]/Comuni__2[[#This Row],[POPOLAZIONE TOTALE DI OGNI REGIONE (CON FILTRO)]]</f>
        <v>3.5707453931008099E-3</v>
      </c>
      <c r="H4342" t="str">
        <f>IF(Comuni__2[[#This Row],[Popolazione2011]]&gt;300000,"MAGGIORE","")</f>
        <v/>
      </c>
      <c r="J4342">
        <v>1395</v>
      </c>
      <c r="K4342">
        <v>131</v>
      </c>
      <c r="L4342">
        <v>231</v>
      </c>
    </row>
    <row r="4343" spans="1:12" x14ac:dyDescent="0.2">
      <c r="A4343"/>
      <c r="B4343"/>
      <c r="C4343"/>
      <c r="D4343"/>
      <c r="E4343" s="2">
        <f>Comuni__2[[#This Row],[Popolazione2011]]/$D$7911</f>
        <v>1.8679611626304709E-5</v>
      </c>
      <c r="F4343">
        <f>SUMIFS($D$2:$D$7909, $B$2:$B$7909, "Molise")</f>
        <v>313660</v>
      </c>
      <c r="G4343" s="1">
        <f>Comuni__2[[#This Row],[Popolazione2011]]/Comuni__2[[#This Row],[POPOLAZIONE TOTALE DI OGNI REGIONE (CON FILTRO)]]</f>
        <v>3.5388637378052667E-3</v>
      </c>
      <c r="H4343" t="str">
        <f>IF(Comuni__2[[#This Row],[Popolazione2011]]&gt;300000,"MAGGIORE","")</f>
        <v/>
      </c>
      <c r="J4343">
        <v>1413</v>
      </c>
      <c r="K4343">
        <v>138</v>
      </c>
      <c r="L4343">
        <v>244</v>
      </c>
    </row>
    <row r="4344" spans="1:12" x14ac:dyDescent="0.2">
      <c r="A4344"/>
      <c r="B4344"/>
      <c r="C4344"/>
      <c r="D4344"/>
      <c r="E4344" s="2">
        <f>Comuni__2[[#This Row],[Popolazione2011]]/$D$7911</f>
        <v>1.7905501594944334E-5</v>
      </c>
      <c r="F4344">
        <f>SUMIFS($D$2:$D$7909, $B$2:$B$7909, "Molise")</f>
        <v>313660</v>
      </c>
      <c r="G4344" s="1">
        <f>Comuni__2[[#This Row],[Popolazione2011]]/Comuni__2[[#This Row],[POPOLAZIONE TOTALE DI OGNI REGIONE (CON FILTRO)]]</f>
        <v>3.3922081234457695E-3</v>
      </c>
      <c r="H4344" t="str">
        <f>IF(Comuni__2[[#This Row],[Popolazione2011]]&gt;300000,"MAGGIORE","")</f>
        <v/>
      </c>
      <c r="J4344">
        <v>1417</v>
      </c>
      <c r="K4344">
        <v>182</v>
      </c>
      <c r="L4344">
        <v>253</v>
      </c>
    </row>
    <row r="4345" spans="1:12" x14ac:dyDescent="0.2">
      <c r="A4345"/>
      <c r="B4345"/>
      <c r="C4345"/>
      <c r="D4345"/>
      <c r="E4345" s="2">
        <f>Comuni__2[[#This Row],[Popolazione2011]]/$D$7911</f>
        <v>1.7905501594944334E-5</v>
      </c>
      <c r="F4345">
        <f>SUMIFS($D$2:$D$7909, $B$2:$B$7909, "Molise")</f>
        <v>313660</v>
      </c>
      <c r="G4345" s="1">
        <f>Comuni__2[[#This Row],[Popolazione2011]]/Comuni__2[[#This Row],[POPOLAZIONE TOTALE DI OGNI REGIONE (CON FILTRO)]]</f>
        <v>3.3922081234457695E-3</v>
      </c>
      <c r="H4345" t="str">
        <f>IF(Comuni__2[[#This Row],[Popolazione2011]]&gt;300000,"MAGGIORE","")</f>
        <v/>
      </c>
      <c r="J4345">
        <v>1430</v>
      </c>
      <c r="K4345">
        <v>216</v>
      </c>
      <c r="L4345">
        <v>268</v>
      </c>
    </row>
    <row r="4346" spans="1:12" x14ac:dyDescent="0.2">
      <c r="A4346"/>
      <c r="B4346"/>
      <c r="C4346"/>
      <c r="D4346"/>
      <c r="E4346" s="2">
        <f>Comuni__2[[#This Row],[Popolazione2011]]/$D$7911</f>
        <v>1.7787702242346017E-5</v>
      </c>
      <c r="F4346">
        <f>SUMIFS($D$2:$D$7909, $B$2:$B$7909, "Molise")</f>
        <v>313660</v>
      </c>
      <c r="G4346" s="1">
        <f>Comuni__2[[#This Row],[Popolazione2011]]/Comuni__2[[#This Row],[POPOLAZIONE TOTALE DI OGNI REGIONE (CON FILTRO)]]</f>
        <v>3.3698909647388894E-3</v>
      </c>
      <c r="H4346" t="str">
        <f>IF(Comuni__2[[#This Row],[Popolazione2011]]&gt;300000,"MAGGIORE","")</f>
        <v/>
      </c>
      <c r="J4346">
        <v>1437</v>
      </c>
      <c r="K4346">
        <v>300</v>
      </c>
      <c r="L4346">
        <v>290</v>
      </c>
    </row>
    <row r="4347" spans="1:12" x14ac:dyDescent="0.2">
      <c r="A4347"/>
      <c r="B4347"/>
      <c r="C4347"/>
      <c r="D4347"/>
      <c r="E4347" s="2">
        <f>Comuni__2[[#This Row],[Popolazione2011]]/$D$7911</f>
        <v>1.7669902889747698E-5</v>
      </c>
      <c r="F4347">
        <f>SUMIFS($D$2:$D$7909, $B$2:$B$7909, "Molise")</f>
        <v>313660</v>
      </c>
      <c r="G4347" s="1">
        <f>Comuni__2[[#This Row],[Popolazione2011]]/Comuni__2[[#This Row],[POPOLAZIONE TOTALE DI OGNI REGIONE (CON FILTRO)]]</f>
        <v>3.3475738060320093E-3</v>
      </c>
      <c r="H4347" t="str">
        <f>IF(Comuni__2[[#This Row],[Popolazione2011]]&gt;300000,"MAGGIORE","")</f>
        <v/>
      </c>
      <c r="J4347">
        <v>1415</v>
      </c>
      <c r="K4347">
        <v>310</v>
      </c>
      <c r="L4347">
        <v>307</v>
      </c>
    </row>
    <row r="4348" spans="1:12" x14ac:dyDescent="0.2">
      <c r="A4348"/>
      <c r="B4348"/>
      <c r="C4348"/>
      <c r="D4348"/>
      <c r="E4348" s="2">
        <f>Comuni__2[[#This Row],[Popolazione2011]]/$D$7911</f>
        <v>1.7316504831952746E-5</v>
      </c>
      <c r="F4348">
        <f>SUMIFS($D$2:$D$7909, $B$2:$B$7909, "Molise")</f>
        <v>313660</v>
      </c>
      <c r="G4348" s="1">
        <f>Comuni__2[[#This Row],[Popolazione2011]]/Comuni__2[[#This Row],[POPOLAZIONE TOTALE DI OGNI REGIONE (CON FILTRO)]]</f>
        <v>3.280622329911369E-3</v>
      </c>
      <c r="H4348" t="str">
        <f>IF(Comuni__2[[#This Row],[Popolazione2011]]&gt;300000,"MAGGIORE","")</f>
        <v/>
      </c>
      <c r="J4348">
        <v>1387</v>
      </c>
      <c r="K4348">
        <v>337</v>
      </c>
      <c r="L4348">
        <v>325</v>
      </c>
    </row>
    <row r="4349" spans="1:12" x14ac:dyDescent="0.2">
      <c r="A4349"/>
      <c r="B4349"/>
      <c r="C4349"/>
      <c r="D4349"/>
      <c r="E4349" s="2">
        <f>Comuni__2[[#This Row],[Popolazione2011]]/$D$7911</f>
        <v>1.6609708716362838E-5</v>
      </c>
      <c r="F4349">
        <f>SUMIFS($D$2:$D$7909, $B$2:$B$7909, "Molise")</f>
        <v>313660</v>
      </c>
      <c r="G4349" s="1">
        <f>Comuni__2[[#This Row],[Popolazione2011]]/Comuni__2[[#This Row],[POPOLAZIONE TOTALE DI OGNI REGIONE (CON FILTRO)]]</f>
        <v>3.1467193776700884E-3</v>
      </c>
      <c r="H4349" t="str">
        <f>IF(Comuni__2[[#This Row],[Popolazione2011]]&gt;300000,"MAGGIORE","")</f>
        <v/>
      </c>
      <c r="J4349">
        <v>1395</v>
      </c>
      <c r="K4349">
        <v>350</v>
      </c>
      <c r="L4349">
        <v>350</v>
      </c>
    </row>
    <row r="4350" spans="1:12" x14ac:dyDescent="0.2">
      <c r="A4350"/>
      <c r="B4350"/>
      <c r="C4350"/>
      <c r="D4350"/>
      <c r="E4350" s="2">
        <f>Comuni__2[[#This Row],[Popolazione2011]]/$D$7911</f>
        <v>1.6475080884821902E-5</v>
      </c>
      <c r="F4350">
        <f>SUMIFS($D$2:$D$7909, $B$2:$B$7909, "Molise")</f>
        <v>313660</v>
      </c>
      <c r="G4350" s="1">
        <f>Comuni__2[[#This Row],[Popolazione2011]]/Comuni__2[[#This Row],[POPOLAZIONE TOTALE DI OGNI REGIONE (CON FILTRO)]]</f>
        <v>3.1212140534336544E-3</v>
      </c>
      <c r="H4350" t="str">
        <f>IF(Comuni__2[[#This Row],[Popolazione2011]]&gt;300000,"MAGGIORE","")</f>
        <v/>
      </c>
      <c r="J4350">
        <v>1350</v>
      </c>
      <c r="K4350">
        <v>377</v>
      </c>
      <c r="L4350">
        <v>369</v>
      </c>
    </row>
    <row r="4351" spans="1:12" x14ac:dyDescent="0.2">
      <c r="A4351"/>
      <c r="B4351"/>
      <c r="C4351"/>
      <c r="D4351"/>
      <c r="E4351" s="2">
        <f>Comuni__2[[#This Row],[Popolazione2011]]/$D$7911</f>
        <v>1.6458252405879286E-5</v>
      </c>
      <c r="F4351">
        <f>SUMIFS($D$2:$D$7909, $B$2:$B$7909, "Molise")</f>
        <v>313660</v>
      </c>
      <c r="G4351" s="1">
        <f>Comuni__2[[#This Row],[Popolazione2011]]/Comuni__2[[#This Row],[POPOLAZIONE TOTALE DI OGNI REGIONE (CON FILTRO)]]</f>
        <v>3.1180258879041E-3</v>
      </c>
      <c r="H4351" t="str">
        <f>IF(Comuni__2[[#This Row],[Popolazione2011]]&gt;300000,"MAGGIORE","")</f>
        <v/>
      </c>
      <c r="J4351">
        <v>1326</v>
      </c>
      <c r="K4351">
        <v>430</v>
      </c>
      <c r="L4351">
        <v>392</v>
      </c>
    </row>
    <row r="4352" spans="1:12" x14ac:dyDescent="0.2">
      <c r="A4352"/>
      <c r="B4352"/>
      <c r="C4352"/>
      <c r="D4352"/>
      <c r="E4352" s="2">
        <f>Comuni__2[[#This Row],[Popolazione2011]]/$D$7911</f>
        <v>1.6071197390199098E-5</v>
      </c>
      <c r="F4352">
        <f>SUMIFS($D$2:$D$7909, $B$2:$B$7909, "Molise")</f>
        <v>313660</v>
      </c>
      <c r="G4352" s="1">
        <f>Comuni__2[[#This Row],[Popolazione2011]]/Comuni__2[[#This Row],[POPOLAZIONE TOTALE DI OGNI REGIONE (CON FILTRO)]]</f>
        <v>3.044698080724351E-3</v>
      </c>
      <c r="H4352" t="str">
        <f>IF(Comuni__2[[#This Row],[Popolazione2011]]&gt;300000,"MAGGIORE","")</f>
        <v/>
      </c>
      <c r="J4352">
        <v>1294</v>
      </c>
      <c r="K4352">
        <v>441</v>
      </c>
      <c r="L4352">
        <v>408</v>
      </c>
    </row>
    <row r="4353" spans="1:12" x14ac:dyDescent="0.2">
      <c r="A4353"/>
      <c r="B4353"/>
      <c r="C4353"/>
      <c r="D4353"/>
      <c r="E4353" s="2">
        <f>Comuni__2[[#This Row],[Popolazione2011]]/$D$7911</f>
        <v>1.5987054995486014E-5</v>
      </c>
      <c r="F4353">
        <f>SUMIFS($D$2:$D$7909, $B$2:$B$7909, "Molise")</f>
        <v>313660</v>
      </c>
      <c r="G4353" s="1">
        <f>Comuni__2[[#This Row],[Popolazione2011]]/Comuni__2[[#This Row],[POPOLAZIONE TOTALE DI OGNI REGIONE (CON FILTRO)]]</f>
        <v>3.0287572530765796E-3</v>
      </c>
      <c r="H4353" t="str">
        <f>IF(Comuni__2[[#This Row],[Popolazione2011]]&gt;300000,"MAGGIORE","")</f>
        <v/>
      </c>
      <c r="J4353">
        <v>1267</v>
      </c>
      <c r="K4353">
        <v>451</v>
      </c>
      <c r="L4353">
        <v>454</v>
      </c>
    </row>
    <row r="4354" spans="1:12" x14ac:dyDescent="0.2">
      <c r="A4354"/>
      <c r="B4354"/>
      <c r="C4354"/>
      <c r="D4354"/>
      <c r="E4354" s="2">
        <f>Comuni__2[[#This Row],[Popolazione2011]]/$D$7911</f>
        <v>1.578511324817461E-5</v>
      </c>
      <c r="F4354">
        <f>SUMIFS($D$2:$D$7909, $B$2:$B$7909, "Molise")</f>
        <v>313660</v>
      </c>
      <c r="G4354" s="1">
        <f>Comuni__2[[#This Row],[Popolazione2011]]/Comuni__2[[#This Row],[POPOLAZIONE TOTALE DI OGNI REGIONE (CON FILTRO)]]</f>
        <v>2.9904992667219282E-3</v>
      </c>
      <c r="H4354" t="str">
        <f>IF(Comuni__2[[#This Row],[Popolazione2011]]&gt;300000,"MAGGIORE","")</f>
        <v/>
      </c>
      <c r="J4354">
        <v>1234</v>
      </c>
      <c r="K4354">
        <v>499</v>
      </c>
      <c r="L4354">
        <v>467</v>
      </c>
    </row>
    <row r="4355" spans="1:12" x14ac:dyDescent="0.2">
      <c r="A4355"/>
      <c r="B4355"/>
      <c r="C4355"/>
      <c r="D4355"/>
      <c r="E4355" s="2">
        <f>Comuni__2[[#This Row],[Popolazione2011]]/$D$7911</f>
        <v>1.4775404511617599E-5</v>
      </c>
      <c r="F4355">
        <f>SUMIFS($D$2:$D$7909, $B$2:$B$7909, "Molise")</f>
        <v>313660</v>
      </c>
      <c r="G4355" s="1">
        <f>Comuni__2[[#This Row],[Popolazione2011]]/Comuni__2[[#This Row],[POPOLAZIONE TOTALE DI OGNI REGIONE (CON FILTRO)]]</f>
        <v>2.7992093349486703E-3</v>
      </c>
      <c r="H4355" t="str">
        <f>IF(Comuni__2[[#This Row],[Popolazione2011]]&gt;300000,"MAGGIORE","")</f>
        <v/>
      </c>
      <c r="J4355">
        <v>1221</v>
      </c>
      <c r="K4355">
        <v>578</v>
      </c>
      <c r="L4355">
        <v>495</v>
      </c>
    </row>
    <row r="4356" spans="1:12" x14ac:dyDescent="0.2">
      <c r="A4356"/>
      <c r="B4356"/>
      <c r="C4356"/>
      <c r="D4356"/>
      <c r="E4356" s="2">
        <f>Comuni__2[[#This Row],[Popolazione2011]]/$D$7911</f>
        <v>1.4304207101224327E-5</v>
      </c>
      <c r="F4356">
        <f>SUMIFS($D$2:$D$7909, $B$2:$B$7909, "Molise")</f>
        <v>313660</v>
      </c>
      <c r="G4356" s="1">
        <f>Comuni__2[[#This Row],[Popolazione2011]]/Comuni__2[[#This Row],[POPOLAZIONE TOTALE DI OGNI REGIONE (CON FILTRO)]]</f>
        <v>2.7099407001211504E-3</v>
      </c>
      <c r="H4356" t="str">
        <f>IF(Comuni__2[[#This Row],[Popolazione2011]]&gt;300000,"MAGGIORE","")</f>
        <v/>
      </c>
      <c r="J4356">
        <v>1217</v>
      </c>
      <c r="K4356">
        <v>615</v>
      </c>
      <c r="L4356">
        <v>518</v>
      </c>
    </row>
    <row r="4357" spans="1:12" x14ac:dyDescent="0.2">
      <c r="A4357"/>
      <c r="B4357"/>
      <c r="C4357"/>
      <c r="D4357"/>
      <c r="E4357" s="2">
        <f>Comuni__2[[#This Row],[Popolazione2011]]/$D$7911</f>
        <v>1.4135922311798159E-5</v>
      </c>
      <c r="F4357">
        <f>SUMIFS($D$2:$D$7909, $B$2:$B$7909, "Molise")</f>
        <v>313660</v>
      </c>
      <c r="G4357" s="1">
        <f>Comuni__2[[#This Row],[Popolazione2011]]/Comuni__2[[#This Row],[POPOLAZIONE TOTALE DI OGNI REGIONE (CON FILTRO)]]</f>
        <v>2.6780590448256072E-3</v>
      </c>
      <c r="H4357" t="str">
        <f>IF(Comuni__2[[#This Row],[Popolazione2011]]&gt;300000,"MAGGIORE","")</f>
        <v/>
      </c>
      <c r="J4357">
        <v>1227</v>
      </c>
      <c r="K4357">
        <v>637</v>
      </c>
      <c r="L4357">
        <v>538</v>
      </c>
    </row>
    <row r="4358" spans="1:12" x14ac:dyDescent="0.2">
      <c r="A4358"/>
      <c r="B4358"/>
      <c r="C4358"/>
      <c r="D4358"/>
      <c r="E4358" s="2">
        <f>Comuni__2[[#This Row],[Popolazione2011]]/$D$7911</f>
        <v>1.4068608396027691E-5</v>
      </c>
      <c r="F4358">
        <f>SUMIFS($D$2:$D$7909, $B$2:$B$7909, "Molise")</f>
        <v>313660</v>
      </c>
      <c r="G4358" s="1">
        <f>Comuni__2[[#This Row],[Popolazione2011]]/Comuni__2[[#This Row],[POPOLAZIONE TOTALE DI OGNI REGIONE (CON FILTRO)]]</f>
        <v>2.6653063827073902E-3</v>
      </c>
      <c r="H4358" t="str">
        <f>IF(Comuni__2[[#This Row],[Popolazione2011]]&gt;300000,"MAGGIORE","")</f>
        <v/>
      </c>
      <c r="J4358">
        <v>1193</v>
      </c>
      <c r="K4358">
        <v>693</v>
      </c>
      <c r="L4358">
        <v>556</v>
      </c>
    </row>
    <row r="4359" spans="1:12" x14ac:dyDescent="0.2">
      <c r="A4359"/>
      <c r="B4359"/>
      <c r="C4359"/>
      <c r="D4359"/>
      <c r="E4359" s="2">
        <f>Comuni__2[[#This Row],[Popolazione2011]]/$D$7911</f>
        <v>1.3900323606601523E-5</v>
      </c>
      <c r="F4359">
        <f>SUMIFS($D$2:$D$7909, $B$2:$B$7909, "Molise")</f>
        <v>313660</v>
      </c>
      <c r="G4359" s="1">
        <f>Comuni__2[[#This Row],[Popolazione2011]]/Comuni__2[[#This Row],[POPOLAZIONE TOTALE DI OGNI REGIONE (CON FILTRO)]]</f>
        <v>2.6334247274118474E-3</v>
      </c>
      <c r="H4359" t="str">
        <f>IF(Comuni__2[[#This Row],[Popolazione2011]]&gt;300000,"MAGGIORE","")</f>
        <v/>
      </c>
      <c r="J4359">
        <v>1153</v>
      </c>
      <c r="K4359">
        <v>745</v>
      </c>
      <c r="L4359">
        <v>585</v>
      </c>
    </row>
    <row r="4360" spans="1:12" x14ac:dyDescent="0.2">
      <c r="A4360"/>
      <c r="B4360"/>
      <c r="C4360"/>
      <c r="D4360"/>
      <c r="E4360" s="2">
        <f>Comuni__2[[#This Row],[Popolazione2011]]/$D$7911</f>
        <v>1.3900323606601523E-5</v>
      </c>
      <c r="F4360">
        <f>SUMIFS($D$2:$D$7909, $B$2:$B$7909, "Molise")</f>
        <v>313660</v>
      </c>
      <c r="G4360" s="1">
        <f>Comuni__2[[#This Row],[Popolazione2011]]/Comuni__2[[#This Row],[POPOLAZIONE TOTALE DI OGNI REGIONE (CON FILTRO)]]</f>
        <v>2.6334247274118474E-3</v>
      </c>
      <c r="H4360" t="str">
        <f>IF(Comuni__2[[#This Row],[Popolazione2011]]&gt;300000,"MAGGIORE","")</f>
        <v/>
      </c>
      <c r="J4360">
        <v>1105</v>
      </c>
      <c r="K4360">
        <v>925</v>
      </c>
      <c r="L4360">
        <v>602</v>
      </c>
    </row>
    <row r="4361" spans="1:12" x14ac:dyDescent="0.2">
      <c r="A4361"/>
      <c r="B4361"/>
      <c r="C4361"/>
      <c r="D4361"/>
      <c r="E4361" s="2">
        <f>Comuni__2[[#This Row],[Popolazione2011]]/$D$7911</f>
        <v>1.3715210338232737E-5</v>
      </c>
      <c r="F4361">
        <f>SUMIFS($D$2:$D$7909, $B$2:$B$7909, "Molise")</f>
        <v>313660</v>
      </c>
      <c r="G4361" s="1">
        <f>Comuni__2[[#This Row],[Popolazione2011]]/Comuni__2[[#This Row],[POPOLAZIONE TOTALE DI OGNI REGIONE (CON FILTRO)]]</f>
        <v>2.5983549065867499E-3</v>
      </c>
      <c r="H4361" t="str">
        <f>IF(Comuni__2[[#This Row],[Popolazione2011]]&gt;300000,"MAGGIORE","")</f>
        <v/>
      </c>
      <c r="J4361">
        <v>1081</v>
      </c>
      <c r="K4361">
        <v>1149</v>
      </c>
      <c r="L4361">
        <v>618</v>
      </c>
    </row>
    <row r="4362" spans="1:12" x14ac:dyDescent="0.2">
      <c r="A4362"/>
      <c r="B4362"/>
      <c r="C4362"/>
      <c r="D4362"/>
      <c r="E4362" s="2">
        <f>Comuni__2[[#This Row],[Popolazione2011]]/$D$7911</f>
        <v>1.3631067943519653E-5</v>
      </c>
      <c r="F4362">
        <f>SUMIFS($D$2:$D$7909, $B$2:$B$7909, "Molise")</f>
        <v>313660</v>
      </c>
      <c r="G4362" s="1">
        <f>Comuni__2[[#This Row],[Popolazione2011]]/Comuni__2[[#This Row],[POPOLAZIONE TOTALE DI OGNI REGIONE (CON FILTRO)]]</f>
        <v>2.5824140789389785E-3</v>
      </c>
      <c r="H4362" t="str">
        <f>IF(Comuni__2[[#This Row],[Popolazione2011]]&gt;300000,"MAGGIORE","")</f>
        <v/>
      </c>
      <c r="J4362">
        <v>1044</v>
      </c>
      <c r="K4362">
        <v>1239</v>
      </c>
      <c r="L4362">
        <v>637</v>
      </c>
    </row>
    <row r="4363" spans="1:12" x14ac:dyDescent="0.2">
      <c r="A4363"/>
      <c r="B4363"/>
      <c r="C4363"/>
      <c r="D4363"/>
      <c r="E4363" s="2">
        <f>Comuni__2[[#This Row],[Popolazione2011]]/$D$7911</f>
        <v>1.3496440111978719E-5</v>
      </c>
      <c r="F4363">
        <f>SUMIFS($D$2:$D$7909, $B$2:$B$7909, "Molise")</f>
        <v>313660</v>
      </c>
      <c r="G4363" s="1">
        <f>Comuni__2[[#This Row],[Popolazione2011]]/Comuni__2[[#This Row],[POPOLAZIONE TOTALE DI OGNI REGIONE (CON FILTRO)]]</f>
        <v>2.556908754702544E-3</v>
      </c>
      <c r="H4363" t="str">
        <f>IF(Comuni__2[[#This Row],[Popolazione2011]]&gt;300000,"MAGGIORE","")</f>
        <v/>
      </c>
      <c r="J4363">
        <v>1032</v>
      </c>
      <c r="K4363">
        <v>1272</v>
      </c>
      <c r="L4363">
        <v>667</v>
      </c>
    </row>
    <row r="4364" spans="1:12" x14ac:dyDescent="0.2">
      <c r="A4364"/>
      <c r="B4364"/>
      <c r="C4364"/>
      <c r="D4364"/>
      <c r="E4364" s="2">
        <f>Comuni__2[[#This Row],[Popolazione2011]]/$D$7911</f>
        <v>1.3361812280437783E-5</v>
      </c>
      <c r="F4364">
        <f>SUMIFS($D$2:$D$7909, $B$2:$B$7909, "Molise")</f>
        <v>313660</v>
      </c>
      <c r="G4364" s="1">
        <f>Comuni__2[[#This Row],[Popolazione2011]]/Comuni__2[[#This Row],[POPOLAZIONE TOTALE DI OGNI REGIONE (CON FILTRO)]]</f>
        <v>2.5314034304661096E-3</v>
      </c>
      <c r="H4364" t="str">
        <f>IF(Comuni__2[[#This Row],[Popolazione2011]]&gt;300000,"MAGGIORE","")</f>
        <v/>
      </c>
      <c r="J4364">
        <v>1004</v>
      </c>
      <c r="K4364">
        <v>1295</v>
      </c>
      <c r="L4364">
        <v>686</v>
      </c>
    </row>
    <row r="4365" spans="1:12" x14ac:dyDescent="0.2">
      <c r="A4365"/>
      <c r="B4365"/>
      <c r="C4365"/>
      <c r="D4365"/>
      <c r="E4365" s="2">
        <f>Comuni__2[[#This Row],[Popolazione2011]]/$D$7911</f>
        <v>1.3244012927839465E-5</v>
      </c>
      <c r="F4365">
        <f>SUMIFS($D$2:$D$7909, $B$2:$B$7909, "Molise")</f>
        <v>313660</v>
      </c>
      <c r="G4365" s="1">
        <f>Comuni__2[[#This Row],[Popolazione2011]]/Comuni__2[[#This Row],[POPOLAZIONE TOTALE DI OGNI REGIONE (CON FILTRO)]]</f>
        <v>2.5090862717592299E-3</v>
      </c>
      <c r="H4365" t="str">
        <f>IF(Comuni__2[[#This Row],[Popolazione2011]]&gt;300000,"MAGGIORE","")</f>
        <v/>
      </c>
      <c r="J4365">
        <v>994</v>
      </c>
      <c r="K4365">
        <v>1828</v>
      </c>
      <c r="L4365">
        <v>705</v>
      </c>
    </row>
    <row r="4366" spans="1:12" x14ac:dyDescent="0.2">
      <c r="A4366"/>
      <c r="B4366"/>
      <c r="C4366"/>
      <c r="D4366"/>
      <c r="E4366" s="2">
        <f>Comuni__2[[#This Row],[Popolazione2011]]/$D$7911</f>
        <v>1.2991585743700213E-5</v>
      </c>
      <c r="F4366">
        <f>SUMIFS($D$2:$D$7909, $B$2:$B$7909, "Molise")</f>
        <v>313660</v>
      </c>
      <c r="G4366" s="1">
        <f>Comuni__2[[#This Row],[Popolazione2011]]/Comuni__2[[#This Row],[POPOLAZIONE TOTALE DI OGNI REGIONE (CON FILTRO)]]</f>
        <v>2.4612637888159154E-3</v>
      </c>
      <c r="H4366" t="str">
        <f>IF(Comuni__2[[#This Row],[Popolazione2011]]&gt;300000,"MAGGIORE","")</f>
        <v/>
      </c>
      <c r="J4366">
        <v>959</v>
      </c>
      <c r="K4366">
        <v>1886</v>
      </c>
      <c r="L4366">
        <v>723</v>
      </c>
    </row>
    <row r="4367" spans="1:12" x14ac:dyDescent="0.2">
      <c r="A4367"/>
      <c r="B4367"/>
      <c r="C4367"/>
      <c r="D4367"/>
      <c r="E4367" s="2">
        <f>Comuni__2[[#This Row],[Popolazione2011]]/$D$7911</f>
        <v>1.2856957912159277E-5</v>
      </c>
      <c r="F4367">
        <f>SUMIFS($D$2:$D$7909, $B$2:$B$7909, "Molise")</f>
        <v>313660</v>
      </c>
      <c r="G4367" s="1">
        <f>Comuni__2[[#This Row],[Popolazione2011]]/Comuni__2[[#This Row],[POPOLAZIONE TOTALE DI OGNI REGIONE (CON FILTRO)]]</f>
        <v>2.4357584645794809E-3</v>
      </c>
      <c r="H4367" t="str">
        <f>IF(Comuni__2[[#This Row],[Popolazione2011]]&gt;300000,"MAGGIORE","")</f>
        <v/>
      </c>
      <c r="J4367">
        <v>897</v>
      </c>
      <c r="K4367">
        <v>2002</v>
      </c>
      <c r="L4367">
        <v>742</v>
      </c>
    </row>
    <row r="4368" spans="1:12" x14ac:dyDescent="0.2">
      <c r="A4368"/>
      <c r="B4368"/>
      <c r="C4368"/>
      <c r="D4368"/>
      <c r="E4368" s="2">
        <f>Comuni__2[[#This Row],[Popolazione2011]]/$D$7911</f>
        <v>1.2755987038503577E-5</v>
      </c>
      <c r="F4368">
        <f>SUMIFS($D$2:$D$7909, $B$2:$B$7909, "Molise")</f>
        <v>313660</v>
      </c>
      <c r="G4368" s="1">
        <f>Comuni__2[[#This Row],[Popolazione2011]]/Comuni__2[[#This Row],[POPOLAZIONE TOTALE DI OGNI REGIONE (CON FILTRO)]]</f>
        <v>2.4166294714021552E-3</v>
      </c>
      <c r="H4368" t="str">
        <f>IF(Comuni__2[[#This Row],[Popolazione2011]]&gt;300000,"MAGGIORE","")</f>
        <v/>
      </c>
      <c r="J4368">
        <v>853</v>
      </c>
      <c r="K4368">
        <v>2109</v>
      </c>
      <c r="L4368">
        <v>760</v>
      </c>
    </row>
    <row r="4369" spans="1:12" x14ac:dyDescent="0.2">
      <c r="A4369"/>
      <c r="B4369"/>
      <c r="C4369"/>
      <c r="D4369"/>
      <c r="E4369" s="2">
        <f>Comuni__2[[#This Row],[Popolazione2011]]/$D$7911</f>
        <v>1.2520388333306941E-5</v>
      </c>
      <c r="F4369">
        <f>SUMIFS($D$2:$D$7909, $B$2:$B$7909, "Molise")</f>
        <v>313660</v>
      </c>
      <c r="G4369" s="1">
        <f>Comuni__2[[#This Row],[Popolazione2011]]/Comuni__2[[#This Row],[POPOLAZIONE TOTALE DI OGNI REGIONE (CON FILTRO)]]</f>
        <v>2.371995153988395E-3</v>
      </c>
      <c r="H4369" t="str">
        <f>IF(Comuni__2[[#This Row],[Popolazione2011]]&gt;300000,"MAGGIORE","")</f>
        <v/>
      </c>
      <c r="J4369">
        <v>835</v>
      </c>
      <c r="K4369">
        <v>2300</v>
      </c>
      <c r="L4369">
        <v>778</v>
      </c>
    </row>
    <row r="4370" spans="1:12" x14ac:dyDescent="0.2">
      <c r="A4370"/>
      <c r="B4370"/>
      <c r="C4370"/>
      <c r="D4370"/>
      <c r="E4370" s="2">
        <f>Comuni__2[[#This Row],[Popolazione2011]]/$D$7911</f>
        <v>1.2368932022823389E-5</v>
      </c>
      <c r="F4370">
        <f>SUMIFS($D$2:$D$7909, $B$2:$B$7909, "Molise")</f>
        <v>313660</v>
      </c>
      <c r="G4370" s="1">
        <f>Comuni__2[[#This Row],[Popolazione2011]]/Comuni__2[[#This Row],[POPOLAZIONE TOTALE DI OGNI REGIONE (CON FILTRO)]]</f>
        <v>2.3433016642224066E-3</v>
      </c>
      <c r="H4370" t="str">
        <f>IF(Comuni__2[[#This Row],[Popolazione2011]]&gt;300000,"MAGGIORE","")</f>
        <v/>
      </c>
      <c r="J4370">
        <v>825</v>
      </c>
      <c r="K4370">
        <v>2401</v>
      </c>
      <c r="L4370">
        <v>795</v>
      </c>
    </row>
    <row r="4371" spans="1:12" x14ac:dyDescent="0.2">
      <c r="A4371"/>
      <c r="B4371"/>
      <c r="C4371"/>
      <c r="D4371"/>
      <c r="E4371" s="2">
        <f>Comuni__2[[#This Row],[Popolazione2011]]/$D$7911</f>
        <v>1.2352103543880772E-5</v>
      </c>
      <c r="F4371">
        <f>SUMIFS($D$2:$D$7909, $B$2:$B$7909, "Molise")</f>
        <v>313660</v>
      </c>
      <c r="G4371" s="1">
        <f>Comuni__2[[#This Row],[Popolazione2011]]/Comuni__2[[#This Row],[POPOLAZIONE TOTALE DI OGNI REGIONE (CON FILTRO)]]</f>
        <v>2.3401134986928522E-3</v>
      </c>
      <c r="H4371" t="str">
        <f>IF(Comuni__2[[#This Row],[Popolazione2011]]&gt;300000,"MAGGIORE","")</f>
        <v/>
      </c>
      <c r="J4371">
        <v>763</v>
      </c>
      <c r="K4371">
        <v>2524</v>
      </c>
      <c r="L4371">
        <v>811</v>
      </c>
    </row>
    <row r="4372" spans="1:12" x14ac:dyDescent="0.2">
      <c r="A4372"/>
      <c r="B4372"/>
      <c r="C4372"/>
      <c r="D4372"/>
      <c r="E4372" s="2">
        <f>Comuni__2[[#This Row],[Popolazione2011]]/$D$7911</f>
        <v>1.2267961149167688E-5</v>
      </c>
      <c r="F4372">
        <f>SUMIFS($D$2:$D$7909, $B$2:$B$7909, "Molise")</f>
        <v>313660</v>
      </c>
      <c r="G4372" s="1">
        <f>Comuni__2[[#This Row],[Popolazione2011]]/Comuni__2[[#This Row],[POPOLAZIONE TOTALE DI OGNI REGIONE (CON FILTRO)]]</f>
        <v>2.3241726710450808E-3</v>
      </c>
      <c r="H4372" t="str">
        <f>IF(Comuni__2[[#This Row],[Popolazione2011]]&gt;300000,"MAGGIORE","")</f>
        <v/>
      </c>
      <c r="J4372">
        <v>715</v>
      </c>
      <c r="K4372">
        <v>2802</v>
      </c>
      <c r="L4372">
        <v>827</v>
      </c>
    </row>
    <row r="4373" spans="1:12" x14ac:dyDescent="0.2">
      <c r="A4373"/>
      <c r="B4373"/>
      <c r="C4373"/>
      <c r="D4373"/>
      <c r="E4373" s="2">
        <f>Comuni__2[[#This Row],[Popolazione2011]]/$D$7911</f>
        <v>1.2251132670225072E-5</v>
      </c>
      <c r="F4373">
        <f>SUMIFS($D$2:$D$7909, $B$2:$B$7909, "Molise")</f>
        <v>313660</v>
      </c>
      <c r="G4373" s="1">
        <f>Comuni__2[[#This Row],[Popolazione2011]]/Comuni__2[[#This Row],[POPOLAZIONE TOTALE DI OGNI REGIONE (CON FILTRO)]]</f>
        <v>2.3209845055155265E-3</v>
      </c>
      <c r="H4373" t="str">
        <f>IF(Comuni__2[[#This Row],[Popolazione2011]]&gt;300000,"MAGGIORE","")</f>
        <v/>
      </c>
      <c r="J4373">
        <v>672</v>
      </c>
      <c r="K4373">
        <v>2926</v>
      </c>
      <c r="L4373">
        <v>842</v>
      </c>
    </row>
    <row r="4374" spans="1:12" x14ac:dyDescent="0.2">
      <c r="A4374"/>
      <c r="B4374"/>
      <c r="C4374"/>
      <c r="D4374"/>
      <c r="E4374" s="2">
        <f>Comuni__2[[#This Row],[Popolazione2011]]/$D$7911</f>
        <v>1.1729449823003948E-5</v>
      </c>
      <c r="F4374">
        <f>SUMIFS($D$2:$D$7909, $B$2:$B$7909, "Molise")</f>
        <v>313660</v>
      </c>
      <c r="G4374" s="1">
        <f>Comuni__2[[#This Row],[Popolazione2011]]/Comuni__2[[#This Row],[POPOLAZIONE TOTALE DI OGNI REGIONE (CON FILTRO)]]</f>
        <v>2.2221513740993434E-3</v>
      </c>
      <c r="H4374" t="str">
        <f>IF(Comuni__2[[#This Row],[Popolazione2011]]&gt;300000,"MAGGIORE","")</f>
        <v/>
      </c>
      <c r="J4374">
        <v>644</v>
      </c>
      <c r="K4374">
        <v>3218</v>
      </c>
      <c r="L4374">
        <v>854</v>
      </c>
    </row>
    <row r="4375" spans="1:12" x14ac:dyDescent="0.2">
      <c r="A4375"/>
      <c r="B4375"/>
      <c r="C4375"/>
      <c r="D4375"/>
      <c r="E4375" s="2">
        <f>Comuni__2[[#This Row],[Popolazione2011]]/$D$7911</f>
        <v>1.1695792865118714E-5</v>
      </c>
      <c r="F4375">
        <f>SUMIFS($D$2:$D$7909, $B$2:$B$7909, "Molise")</f>
        <v>313660</v>
      </c>
      <c r="G4375" s="1">
        <f>Comuni__2[[#This Row],[Popolazione2011]]/Comuni__2[[#This Row],[POPOLAZIONE TOTALE DI OGNI REGIONE (CON FILTRO)]]</f>
        <v>2.2157750430402347E-3</v>
      </c>
      <c r="H4375" t="str">
        <f>IF(Comuni__2[[#This Row],[Popolazione2011]]&gt;300000,"MAGGIORE","")</f>
        <v/>
      </c>
      <c r="J4375">
        <v>637</v>
      </c>
      <c r="K4375">
        <v>3297</v>
      </c>
      <c r="L4375">
        <v>863</v>
      </c>
    </row>
    <row r="4376" spans="1:12" x14ac:dyDescent="0.2">
      <c r="A4376"/>
      <c r="B4376"/>
      <c r="C4376"/>
      <c r="D4376"/>
      <c r="E4376" s="2">
        <f>Comuni__2[[#This Row],[Popolazione2011]]/$D$7911</f>
        <v>1.1678964386176098E-5</v>
      </c>
      <c r="F4376">
        <f>SUMIFS($D$2:$D$7909, $B$2:$B$7909, "Molise")</f>
        <v>313660</v>
      </c>
      <c r="G4376" s="1">
        <f>Comuni__2[[#This Row],[Popolazione2011]]/Comuni__2[[#This Row],[POPOLAZIONE TOTALE DI OGNI REGIONE (CON FILTRO)]]</f>
        <v>2.2125868775106803E-3</v>
      </c>
      <c r="H4376" t="str">
        <f>IF(Comuni__2[[#This Row],[Popolazione2011]]&gt;300000,"MAGGIORE","")</f>
        <v/>
      </c>
      <c r="J4376">
        <v>625</v>
      </c>
      <c r="K4376">
        <v>3363</v>
      </c>
      <c r="L4376">
        <v>872</v>
      </c>
    </row>
    <row r="4377" spans="1:12" x14ac:dyDescent="0.2">
      <c r="A4377"/>
      <c r="B4377"/>
      <c r="C4377"/>
      <c r="D4377"/>
      <c r="E4377" s="2">
        <f>Comuni__2[[#This Row],[Popolazione2011]]/$D$7911</f>
        <v>1.1594821991463014E-5</v>
      </c>
      <c r="F4377">
        <f>SUMIFS($D$2:$D$7909, $B$2:$B$7909, "Molise")</f>
        <v>313660</v>
      </c>
      <c r="G4377" s="1">
        <f>Comuni__2[[#This Row],[Popolazione2011]]/Comuni__2[[#This Row],[POPOLAZIONE TOTALE DI OGNI REGIONE (CON FILTRO)]]</f>
        <v>2.196646049862909E-3</v>
      </c>
      <c r="H4377" t="str">
        <f>IF(Comuni__2[[#This Row],[Popolazione2011]]&gt;300000,"MAGGIORE","")</f>
        <v/>
      </c>
      <c r="J4377">
        <v>619</v>
      </c>
      <c r="K4377">
        <v>3441</v>
      </c>
      <c r="L4377">
        <v>881</v>
      </c>
    </row>
    <row r="4378" spans="1:12" x14ac:dyDescent="0.2">
      <c r="A4378"/>
      <c r="B4378"/>
      <c r="C4378"/>
      <c r="D4378"/>
      <c r="E4378" s="2">
        <f>Comuni__2[[#This Row],[Popolazione2011]]/$D$7911</f>
        <v>1.1527508075692546E-5</v>
      </c>
      <c r="F4378">
        <f>SUMIFS($D$2:$D$7909, $B$2:$B$7909, "Molise")</f>
        <v>313660</v>
      </c>
      <c r="G4378" s="1">
        <f>Comuni__2[[#This Row],[Popolazione2011]]/Comuni__2[[#This Row],[POPOLAZIONE TOTALE DI OGNI REGIONE (CON FILTRO)]]</f>
        <v>2.1838933877446915E-3</v>
      </c>
      <c r="H4378" t="str">
        <f>IF(Comuni__2[[#This Row],[Popolazione2011]]&gt;300000,"MAGGIORE","")</f>
        <v/>
      </c>
      <c r="J4378">
        <v>595</v>
      </c>
      <c r="K4378">
        <v>3552</v>
      </c>
      <c r="L4378">
        <v>889</v>
      </c>
    </row>
    <row r="4379" spans="1:12" x14ac:dyDescent="0.2">
      <c r="A4379"/>
      <c r="B4379"/>
      <c r="C4379"/>
      <c r="D4379"/>
      <c r="E4379" s="2">
        <f>Comuni__2[[#This Row],[Popolazione2011]]/$D$7911</f>
        <v>1.134239480732376E-5</v>
      </c>
      <c r="F4379">
        <f>SUMIFS($D$2:$D$7909, $B$2:$B$7909, "Molise")</f>
        <v>313660</v>
      </c>
      <c r="G4379" s="1">
        <f>Comuni__2[[#This Row],[Popolazione2011]]/Comuni__2[[#This Row],[POPOLAZIONE TOTALE DI OGNI REGIONE (CON FILTRO)]]</f>
        <v>2.1488235669195944E-3</v>
      </c>
      <c r="H4379" t="str">
        <f>IF(Comuni__2[[#This Row],[Popolazione2011]]&gt;300000,"MAGGIORE","")</f>
        <v/>
      </c>
      <c r="J4379">
        <v>554</v>
      </c>
      <c r="K4379">
        <v>3670</v>
      </c>
      <c r="L4379">
        <v>899</v>
      </c>
    </row>
    <row r="4380" spans="1:12" x14ac:dyDescent="0.2">
      <c r="A4380"/>
      <c r="B4380"/>
      <c r="C4380"/>
      <c r="D4380"/>
      <c r="E4380" s="2">
        <f>Comuni__2[[#This Row],[Popolazione2011]]/$D$7911</f>
        <v>1.0904854354815722E-5</v>
      </c>
      <c r="F4380">
        <f>SUMIFS($D$2:$D$7909, $B$2:$B$7909, "Molise")</f>
        <v>313660</v>
      </c>
      <c r="G4380" s="1">
        <f>Comuni__2[[#This Row],[Popolazione2011]]/Comuni__2[[#This Row],[POPOLAZIONE TOTALE DI OGNI REGIONE (CON FILTRO)]]</f>
        <v>2.0659312631511827E-3</v>
      </c>
      <c r="H4380" t="str">
        <f>IF(Comuni__2[[#This Row],[Popolazione2011]]&gt;300000,"MAGGIORE","")</f>
        <v/>
      </c>
      <c r="J4380">
        <v>528</v>
      </c>
      <c r="K4380">
        <v>4052</v>
      </c>
      <c r="L4380">
        <v>915</v>
      </c>
    </row>
    <row r="4381" spans="1:12" x14ac:dyDescent="0.2">
      <c r="A4381"/>
      <c r="B4381"/>
      <c r="C4381"/>
      <c r="D4381"/>
      <c r="E4381" s="2">
        <f>Comuni__2[[#This Row],[Popolazione2011]]/$D$7911</f>
        <v>1.0719741086446936E-5</v>
      </c>
      <c r="F4381">
        <f>SUMIFS($D$2:$D$7909, $B$2:$B$7909, "Molise")</f>
        <v>313660</v>
      </c>
      <c r="G4381" s="1">
        <f>Comuni__2[[#This Row],[Popolazione2011]]/Comuni__2[[#This Row],[POPOLAZIONE TOTALE DI OGNI REGIONE (CON FILTRO)]]</f>
        <v>2.0308614423260856E-3</v>
      </c>
      <c r="H4381" t="str">
        <f>IF(Comuni__2[[#This Row],[Popolazione2011]]&gt;300000,"MAGGIORE","")</f>
        <v/>
      </c>
      <c r="J4381">
        <v>483</v>
      </c>
      <c r="K4381">
        <v>4199</v>
      </c>
      <c r="L4381">
        <v>930</v>
      </c>
    </row>
    <row r="4382" spans="1:12" x14ac:dyDescent="0.2">
      <c r="A4382"/>
      <c r="B4382"/>
      <c r="C4382"/>
      <c r="D4382"/>
      <c r="E4382" s="2">
        <f>Comuni__2[[#This Row],[Popolazione2011]]/$D$7911</f>
        <v>1.0686084128561704E-5</v>
      </c>
      <c r="F4382">
        <f>SUMIFS($D$2:$D$7909, $B$2:$B$7909, "Molise")</f>
        <v>313660</v>
      </c>
      <c r="G4382" s="1">
        <f>Comuni__2[[#This Row],[Popolazione2011]]/Comuni__2[[#This Row],[POPOLAZIONE TOTALE DI OGNI REGIONE (CON FILTRO)]]</f>
        <v>2.0244851112669769E-3</v>
      </c>
      <c r="H4382" t="str">
        <f>IF(Comuni__2[[#This Row],[Popolazione2011]]&gt;300000,"MAGGIORE","")</f>
        <v/>
      </c>
      <c r="J4382">
        <v>443</v>
      </c>
      <c r="K4382">
        <v>4360</v>
      </c>
      <c r="L4382">
        <v>937</v>
      </c>
    </row>
    <row r="4383" spans="1:12" x14ac:dyDescent="0.2">
      <c r="A4383"/>
      <c r="B4383"/>
      <c r="C4383"/>
      <c r="D4383"/>
      <c r="E4383" s="2">
        <f>Comuni__2[[#This Row],[Popolazione2011]]/$D$7911</f>
        <v>1.0500970860192918E-5</v>
      </c>
      <c r="F4383">
        <f>SUMIFS($D$2:$D$7909, $B$2:$B$7909, "Molise")</f>
        <v>313660</v>
      </c>
      <c r="G4383" s="1">
        <f>Comuni__2[[#This Row],[Popolazione2011]]/Comuni__2[[#This Row],[POPOLAZIONE TOTALE DI OGNI REGIONE (CON FILTRO)]]</f>
        <v>1.9894152904418798E-3</v>
      </c>
      <c r="H4383" t="str">
        <f>IF(Comuni__2[[#This Row],[Popolazione2011]]&gt;300000,"MAGGIORE","")</f>
        <v/>
      </c>
      <c r="J4383">
        <v>428</v>
      </c>
      <c r="K4383">
        <v>4685</v>
      </c>
      <c r="L4383">
        <v>942</v>
      </c>
    </row>
    <row r="4384" spans="1:12" x14ac:dyDescent="0.2">
      <c r="A4384"/>
      <c r="B4384"/>
      <c r="C4384"/>
      <c r="D4384"/>
      <c r="E4384" s="2">
        <f>Comuni__2[[#This Row],[Popolazione2011]]/$D$7911</f>
        <v>1.0450485423365068E-5</v>
      </c>
      <c r="F4384">
        <f>SUMIFS($D$2:$D$7909, $B$2:$B$7909, "Molise")</f>
        <v>313660</v>
      </c>
      <c r="G4384" s="1">
        <f>Comuni__2[[#This Row],[Popolazione2011]]/Comuni__2[[#This Row],[POPOLAZIONE TOTALE DI OGNI REGIONE (CON FILTRO)]]</f>
        <v>1.9798507938532167E-3</v>
      </c>
      <c r="H4384" t="str">
        <f>IF(Comuni__2[[#This Row],[Popolazione2011]]&gt;300000,"MAGGIORE","")</f>
        <v/>
      </c>
      <c r="J4384">
        <v>424</v>
      </c>
      <c r="K4384">
        <v>4764</v>
      </c>
      <c r="L4384">
        <v>950</v>
      </c>
    </row>
    <row r="4385" spans="1:12" x14ac:dyDescent="0.2">
      <c r="A4385"/>
      <c r="B4385"/>
      <c r="C4385"/>
      <c r="D4385"/>
      <c r="E4385" s="2">
        <f>Comuni__2[[#This Row],[Popolazione2011]]/$D$7911</f>
        <v>9.9119740972013284E-6</v>
      </c>
      <c r="F4385">
        <f>SUMIFS($D$2:$D$7909, $B$2:$B$7909, "Molise")</f>
        <v>313660</v>
      </c>
      <c r="G4385" s="1">
        <f>Comuni__2[[#This Row],[Popolazione2011]]/Comuni__2[[#This Row],[POPOLAZIONE TOTALE DI OGNI REGIONE (CON FILTRO)]]</f>
        <v>1.8778294969074795E-3</v>
      </c>
      <c r="H4385" t="str">
        <f>IF(Comuni__2[[#This Row],[Popolazione2011]]&gt;300000,"MAGGIORE","")</f>
        <v/>
      </c>
      <c r="J4385">
        <v>379</v>
      </c>
      <c r="K4385">
        <v>5002</v>
      </c>
      <c r="L4385">
        <v>959</v>
      </c>
    </row>
    <row r="4386" spans="1:12" x14ac:dyDescent="0.2">
      <c r="A4386"/>
      <c r="B4386"/>
      <c r="C4386"/>
      <c r="D4386"/>
      <c r="E4386" s="2">
        <f>Comuni__2[[#This Row],[Popolazione2011]]/$D$7911</f>
        <v>9.6090614762342246E-6</v>
      </c>
      <c r="F4386">
        <f>SUMIFS($D$2:$D$7909, $B$2:$B$7909, "Molise")</f>
        <v>313660</v>
      </c>
      <c r="G4386" s="1">
        <f>Comuni__2[[#This Row],[Popolazione2011]]/Comuni__2[[#This Row],[POPOLAZIONE TOTALE DI OGNI REGIONE (CON FILTRO)]]</f>
        <v>1.8204425173755021E-3</v>
      </c>
      <c r="H4386" t="str">
        <f>IF(Comuni__2[[#This Row],[Popolazione2011]]&gt;300000,"MAGGIORE","")</f>
        <v/>
      </c>
      <c r="J4386">
        <v>356</v>
      </c>
      <c r="K4386">
        <v>5302</v>
      </c>
      <c r="L4386">
        <v>964</v>
      </c>
    </row>
    <row r="4387" spans="1:12" x14ac:dyDescent="0.2">
      <c r="A4387"/>
      <c r="B4387"/>
      <c r="C4387"/>
      <c r="D4387"/>
      <c r="E4387" s="2">
        <f>Comuni__2[[#This Row],[Popolazione2011]]/$D$7911</f>
        <v>9.4071197289228226E-6</v>
      </c>
      <c r="F4387">
        <f>SUMIFS($D$2:$D$7909, $B$2:$B$7909, "Molise")</f>
        <v>313660</v>
      </c>
      <c r="G4387" s="1">
        <f>Comuni__2[[#This Row],[Popolazione2011]]/Comuni__2[[#This Row],[POPOLAZIONE TOTALE DI OGNI REGIONE (CON FILTRO)]]</f>
        <v>1.7821845310208506E-3</v>
      </c>
      <c r="H4387" t="str">
        <f>IF(Comuni__2[[#This Row],[Popolazione2011]]&gt;300000,"MAGGIORE","")</f>
        <v/>
      </c>
      <c r="J4387">
        <v>337</v>
      </c>
      <c r="K4387">
        <v>5498</v>
      </c>
      <c r="L4387">
        <v>973</v>
      </c>
    </row>
    <row r="4388" spans="1:12" x14ac:dyDescent="0.2">
      <c r="A4388"/>
      <c r="B4388"/>
      <c r="C4388"/>
      <c r="D4388"/>
      <c r="E4388" s="2">
        <f>Comuni__2[[#This Row],[Popolazione2011]]/$D$7911</f>
        <v>9.3902912499802048E-6</v>
      </c>
      <c r="F4388">
        <f>SUMIFS($D$2:$D$7909, $B$2:$B$7909, "Molise")</f>
        <v>313660</v>
      </c>
      <c r="G4388" s="1">
        <f>Comuni__2[[#This Row],[Popolazione2011]]/Comuni__2[[#This Row],[POPOLAZIONE TOTALE DI OGNI REGIONE (CON FILTRO)]]</f>
        <v>1.7789963654912962E-3</v>
      </c>
      <c r="H4388" t="str">
        <f>IF(Comuni__2[[#This Row],[Popolazione2011]]&gt;300000,"MAGGIORE","")</f>
        <v/>
      </c>
      <c r="J4388">
        <v>305</v>
      </c>
      <c r="K4388">
        <v>5739</v>
      </c>
      <c r="L4388">
        <v>976</v>
      </c>
    </row>
    <row r="4389" spans="1:12" x14ac:dyDescent="0.2">
      <c r="A4389"/>
      <c r="B4389"/>
      <c r="C4389"/>
      <c r="D4389"/>
      <c r="E4389" s="2">
        <f>Comuni__2[[#This Row],[Popolazione2011]]/$D$7911</f>
        <v>9.3061488552671208E-6</v>
      </c>
      <c r="F4389">
        <f>SUMIFS($D$2:$D$7909, $B$2:$B$7909, "Molise")</f>
        <v>313660</v>
      </c>
      <c r="G4389" s="1">
        <f>Comuni__2[[#This Row],[Popolazione2011]]/Comuni__2[[#This Row],[POPOLAZIONE TOTALE DI OGNI REGIONE (CON FILTRO)]]</f>
        <v>1.7630555378435248E-3</v>
      </c>
      <c r="H4389" t="str">
        <f>IF(Comuni__2[[#This Row],[Popolazione2011]]&gt;300000,"MAGGIORE","")</f>
        <v/>
      </c>
      <c r="J4389">
        <v>300</v>
      </c>
      <c r="K4389">
        <v>5991</v>
      </c>
      <c r="L4389">
        <v>979</v>
      </c>
    </row>
    <row r="4390" spans="1:12" x14ac:dyDescent="0.2">
      <c r="A4390"/>
      <c r="B4390"/>
      <c r="C4390"/>
      <c r="D4390"/>
      <c r="E4390" s="2">
        <f>Comuni__2[[#This Row],[Popolazione2011]]/$D$7911</f>
        <v>9.1715210237261867E-6</v>
      </c>
      <c r="F4390">
        <f>SUMIFS($D$2:$D$7909, $B$2:$B$7909, "Molise")</f>
        <v>313660</v>
      </c>
      <c r="G4390" s="1">
        <f>Comuni__2[[#This Row],[Popolazione2011]]/Comuni__2[[#This Row],[POPOLAZIONE TOTALE DI OGNI REGIONE (CON FILTRO)]]</f>
        <v>1.7375502136070904E-3</v>
      </c>
      <c r="H4390" t="str">
        <f>IF(Comuni__2[[#This Row],[Popolazione2011]]&gt;300000,"MAGGIORE","")</f>
        <v/>
      </c>
      <c r="J4390">
        <v>281</v>
      </c>
      <c r="K4390">
        <v>6162</v>
      </c>
      <c r="L4390">
        <v>984</v>
      </c>
    </row>
    <row r="4391" spans="1:12" x14ac:dyDescent="0.2">
      <c r="A4391"/>
      <c r="B4391"/>
      <c r="C4391"/>
      <c r="D4391"/>
      <c r="E4391" s="2">
        <f>Comuni__2[[#This Row],[Popolazione2011]]/$D$7911</f>
        <v>9.1546925447835688E-6</v>
      </c>
      <c r="F4391">
        <f>SUMIFS($D$2:$D$7909, $B$2:$B$7909, "Molise")</f>
        <v>313660</v>
      </c>
      <c r="G4391" s="1">
        <f>Comuni__2[[#This Row],[Popolazione2011]]/Comuni__2[[#This Row],[POPOLAZIONE TOTALE DI OGNI REGIONE (CON FILTRO)]]</f>
        <v>1.7343620480775362E-3</v>
      </c>
      <c r="H4391" t="str">
        <f>IF(Comuni__2[[#This Row],[Popolazione2011]]&gt;300000,"MAGGIORE","")</f>
        <v/>
      </c>
      <c r="J4391">
        <v>263</v>
      </c>
      <c r="K4391">
        <v>6399</v>
      </c>
      <c r="L4391">
        <v>989</v>
      </c>
    </row>
    <row r="4392" spans="1:12" x14ac:dyDescent="0.2">
      <c r="A4392"/>
      <c r="B4392"/>
      <c r="C4392"/>
      <c r="D4392"/>
      <c r="E4392" s="2">
        <f>Comuni__2[[#This Row],[Popolazione2011]]/$D$7911</f>
        <v>9.0537216711278687E-6</v>
      </c>
      <c r="F4392">
        <f>SUMIFS($D$2:$D$7909, $B$2:$B$7909, "Molise")</f>
        <v>313660</v>
      </c>
      <c r="G4392" s="1">
        <f>Comuni__2[[#This Row],[Popolazione2011]]/Comuni__2[[#This Row],[POPOLAZIONE TOTALE DI OGNI REGIONE (CON FILTRO)]]</f>
        <v>1.7152330549002105E-3</v>
      </c>
      <c r="H4392" t="str">
        <f>IF(Comuni__2[[#This Row],[Popolazione2011]]&gt;300000,"MAGGIORE","")</f>
        <v/>
      </c>
      <c r="J4392">
        <v>246</v>
      </c>
      <c r="K4392">
        <v>6653</v>
      </c>
      <c r="L4392">
        <v>992</v>
      </c>
    </row>
    <row r="4393" spans="1:12" x14ac:dyDescent="0.2">
      <c r="A4393"/>
      <c r="B4393"/>
      <c r="C4393"/>
      <c r="D4393"/>
      <c r="E4393" s="2">
        <f>Comuni__2[[#This Row],[Popolazione2011]]/$D$7911</f>
        <v>9.0368931921852509E-6</v>
      </c>
      <c r="F4393">
        <f>SUMIFS($D$2:$D$7909, $B$2:$B$7909, "Molise")</f>
        <v>313660</v>
      </c>
      <c r="G4393" s="1">
        <f>Comuni__2[[#This Row],[Popolazione2011]]/Comuni__2[[#This Row],[POPOLAZIONE TOTALE DI OGNI REGIONE (CON FILTRO)]]</f>
        <v>1.7120448893706561E-3</v>
      </c>
      <c r="H4393" t="str">
        <f>IF(Comuni__2[[#This Row],[Popolazione2011]]&gt;300000,"MAGGIORE","")</f>
        <v/>
      </c>
      <c r="J4393">
        <v>223</v>
      </c>
      <c r="K4393">
        <v>6867</v>
      </c>
      <c r="L4393">
        <v>998</v>
      </c>
    </row>
    <row r="4394" spans="1:12" x14ac:dyDescent="0.2">
      <c r="A4394"/>
      <c r="B4394"/>
      <c r="C4394"/>
      <c r="D4394"/>
      <c r="E4394" s="2">
        <f>Comuni__2[[#This Row],[Popolazione2011]]/$D$7911</f>
        <v>7.8420711872594551E-6</v>
      </c>
      <c r="F4394">
        <f>SUMIFS($D$2:$D$7909, $B$2:$B$7909, "Molise")</f>
        <v>313660</v>
      </c>
      <c r="G4394" s="1">
        <f>Comuni__2[[#This Row],[Popolazione2011]]/Comuni__2[[#This Row],[POPOLAZIONE TOTALE DI OGNI REGIONE (CON FILTRO)]]</f>
        <v>1.4856851367723012E-3</v>
      </c>
      <c r="H4394" t="str">
        <f>IF(Comuni__2[[#This Row],[Popolazione2011]]&gt;300000,"MAGGIORE","")</f>
        <v/>
      </c>
      <c r="J4394">
        <v>210</v>
      </c>
      <c r="K4394">
        <v>7119</v>
      </c>
      <c r="L4394">
        <v>1004</v>
      </c>
    </row>
    <row r="4395" spans="1:12" x14ac:dyDescent="0.2">
      <c r="A4395"/>
      <c r="B4395"/>
      <c r="C4395"/>
      <c r="D4395"/>
      <c r="E4395" s="2">
        <f>Comuni__2[[#This Row],[Popolazione2011]]/$D$7911</f>
        <v>7.7242718346611372E-6</v>
      </c>
      <c r="F4395">
        <f>SUMIFS($D$2:$D$7909, $B$2:$B$7909, "Molise")</f>
        <v>313660</v>
      </c>
      <c r="G4395" s="1">
        <f>Comuni__2[[#This Row],[Popolazione2011]]/Comuni__2[[#This Row],[POPOLAZIONE TOTALE DI OGNI REGIONE (CON FILTRO)]]</f>
        <v>1.4633679780654211E-3</v>
      </c>
      <c r="H4395" t="str">
        <f>IF(Comuni__2[[#This Row],[Popolazione2011]]&gt;300000,"MAGGIORE","")</f>
        <v/>
      </c>
      <c r="J4395">
        <v>204</v>
      </c>
      <c r="K4395">
        <v>7240</v>
      </c>
      <c r="L4395">
        <v>1009</v>
      </c>
    </row>
    <row r="4396" spans="1:12" x14ac:dyDescent="0.2">
      <c r="A4396"/>
      <c r="B4396"/>
      <c r="C4396"/>
      <c r="D4396"/>
      <c r="E4396" s="2">
        <f>Comuni__2[[#This Row],[Popolazione2011]]/$D$7911</f>
        <v>7.7074433557185193E-6</v>
      </c>
      <c r="F4396">
        <f>SUMIFS($D$2:$D$7909, $B$2:$B$7909, "Molise")</f>
        <v>313660</v>
      </c>
      <c r="G4396" s="1">
        <f>Comuni__2[[#This Row],[Popolazione2011]]/Comuni__2[[#This Row],[POPOLAZIONE TOTALE DI OGNI REGIONE (CON FILTRO)]]</f>
        <v>1.460179812535867E-3</v>
      </c>
      <c r="H4396" t="str">
        <f>IF(Comuni__2[[#This Row],[Popolazione2011]]&gt;300000,"MAGGIORE","")</f>
        <v/>
      </c>
      <c r="J4396">
        <v>197</v>
      </c>
      <c r="K4396">
        <v>7270</v>
      </c>
      <c r="L4396">
        <v>1011</v>
      </c>
    </row>
    <row r="4397" spans="1:12" x14ac:dyDescent="0.2">
      <c r="A4397"/>
      <c r="B4397"/>
      <c r="C4397"/>
      <c r="D4397"/>
      <c r="E4397" s="2">
        <f>Comuni__2[[#This Row],[Popolazione2011]]/$D$7911</f>
        <v>7.6569579188906693E-6</v>
      </c>
      <c r="F4397">
        <f>SUMIFS($D$2:$D$7909, $B$2:$B$7909, "Molise")</f>
        <v>313660</v>
      </c>
      <c r="G4397" s="1">
        <f>Comuni__2[[#This Row],[Popolazione2011]]/Comuni__2[[#This Row],[POPOLAZIONE TOTALE DI OGNI REGIONE (CON FILTRO)]]</f>
        <v>1.4506153159472039E-3</v>
      </c>
      <c r="H4397" t="str">
        <f>IF(Comuni__2[[#This Row],[Popolazione2011]]&gt;300000,"MAGGIORE","")</f>
        <v/>
      </c>
      <c r="J4397">
        <v>186</v>
      </c>
      <c r="K4397">
        <v>7349</v>
      </c>
      <c r="L4397">
        <v>1013</v>
      </c>
    </row>
    <row r="4398" spans="1:12" x14ac:dyDescent="0.2">
      <c r="A4398"/>
      <c r="B4398"/>
      <c r="C4398"/>
      <c r="D4398"/>
      <c r="E4398" s="2">
        <f>Comuni__2[[#This Row],[Popolazione2011]]/$D$7911</f>
        <v>7.6401294399480531E-6</v>
      </c>
      <c r="F4398">
        <f>SUMIFS($D$2:$D$7909, $B$2:$B$7909, "Molise")</f>
        <v>313660</v>
      </c>
      <c r="G4398" s="1">
        <f>Comuni__2[[#This Row],[Popolazione2011]]/Comuni__2[[#This Row],[POPOLAZIONE TOTALE DI OGNI REGIONE (CON FILTRO)]]</f>
        <v>1.4474271504176497E-3</v>
      </c>
      <c r="H4398" t="str">
        <f>IF(Comuni__2[[#This Row],[Popolazione2011]]&gt;300000,"MAGGIORE","")</f>
        <v/>
      </c>
      <c r="J4398">
        <v>189</v>
      </c>
      <c r="K4398">
        <v>7416</v>
      </c>
      <c r="L4398">
        <v>1015</v>
      </c>
    </row>
    <row r="4399" spans="1:12" x14ac:dyDescent="0.2">
      <c r="A4399"/>
      <c r="B4399"/>
      <c r="C4399"/>
      <c r="D4399"/>
      <c r="E4399" s="2">
        <f>Comuni__2[[#This Row],[Popolazione2011]]/$D$7911</f>
        <v>7.5896440031202022E-6</v>
      </c>
      <c r="F4399">
        <f>SUMIFS($D$2:$D$7909, $B$2:$B$7909, "Molise")</f>
        <v>313660</v>
      </c>
      <c r="G4399" s="1">
        <f>Comuni__2[[#This Row],[Popolazione2011]]/Comuni__2[[#This Row],[POPOLAZIONE TOTALE DI OGNI REGIONE (CON FILTRO)]]</f>
        <v>1.4378626538289869E-3</v>
      </c>
      <c r="H4399" t="str">
        <f>IF(Comuni__2[[#This Row],[Popolazione2011]]&gt;300000,"MAGGIORE","")</f>
        <v/>
      </c>
      <c r="J4399">
        <v>179</v>
      </c>
      <c r="K4399">
        <v>7527</v>
      </c>
      <c r="L4399">
        <v>1021</v>
      </c>
    </row>
    <row r="4400" spans="1:12" x14ac:dyDescent="0.2">
      <c r="A4400"/>
      <c r="B4400"/>
      <c r="C4400"/>
      <c r="D4400"/>
      <c r="E4400" s="2">
        <f>Comuni__2[[#This Row],[Popolazione2011]]/$D$7911</f>
        <v>7.2530744242678645E-6</v>
      </c>
      <c r="F4400">
        <f>SUMIFS($D$2:$D$7909, $B$2:$B$7909, "Molise")</f>
        <v>313660</v>
      </c>
      <c r="G4400" s="1">
        <f>Comuni__2[[#This Row],[Popolazione2011]]/Comuni__2[[#This Row],[POPOLAZIONE TOTALE DI OGNI REGIONE (CON FILTRO)]]</f>
        <v>1.3740993432379009E-3</v>
      </c>
      <c r="H4400" t="str">
        <f>IF(Comuni__2[[#This Row],[Popolazione2011]]&gt;300000,"MAGGIORE","")</f>
        <v/>
      </c>
      <c r="J4400">
        <v>163</v>
      </c>
      <c r="K4400">
        <v>7595</v>
      </c>
      <c r="L4400">
        <v>1027</v>
      </c>
    </row>
    <row r="4401" spans="1:12" x14ac:dyDescent="0.2">
      <c r="A4401"/>
      <c r="B4401"/>
      <c r="C4401"/>
      <c r="D4401"/>
      <c r="E4401" s="2">
        <f>Comuni__2[[#This Row],[Popolazione2011]]/$D$7911</f>
        <v>6.4621359139648727E-6</v>
      </c>
      <c r="F4401">
        <f>SUMIFS($D$2:$D$7909, $B$2:$B$7909, "Molise")</f>
        <v>313660</v>
      </c>
      <c r="G4401" s="1">
        <f>Comuni__2[[#This Row],[Popolazione2011]]/Comuni__2[[#This Row],[POPOLAZIONE TOTALE DI OGNI REGIONE (CON FILTRO)]]</f>
        <v>1.2242555633488492E-3</v>
      </c>
      <c r="H4401" t="str">
        <f>IF(Comuni__2[[#This Row],[Popolazione2011]]&gt;300000,"MAGGIORE","")</f>
        <v/>
      </c>
      <c r="J4401">
        <v>153</v>
      </c>
      <c r="K4401">
        <v>7677</v>
      </c>
      <c r="L4401">
        <v>1029</v>
      </c>
    </row>
    <row r="4402" spans="1:12" x14ac:dyDescent="0.2">
      <c r="A4402"/>
      <c r="B4402"/>
      <c r="C4402"/>
      <c r="D4402"/>
      <c r="E4402" s="2">
        <f>Comuni__2[[#This Row],[Popolazione2011]]/$D$7911</f>
        <v>6.1928802508830028E-6</v>
      </c>
      <c r="F4402">
        <f>SUMIFS($D$2:$D$7909, $B$2:$B$7909, "Molise")</f>
        <v>313660</v>
      </c>
      <c r="G4402" s="1">
        <f>Comuni__2[[#This Row],[Popolazione2011]]/Comuni__2[[#This Row],[POPOLAZIONE TOTALE DI OGNI REGIONE (CON FILTRO)]]</f>
        <v>1.1732449148759805E-3</v>
      </c>
      <c r="H4402" t="str">
        <f>IF(Comuni__2[[#This Row],[Popolazione2011]]&gt;300000,"MAGGIORE","")</f>
        <v/>
      </c>
      <c r="J4402">
        <v>142</v>
      </c>
      <c r="K4402">
        <v>7802</v>
      </c>
      <c r="L4402">
        <v>1031</v>
      </c>
    </row>
    <row r="4403" spans="1:12" x14ac:dyDescent="0.2">
      <c r="A4403"/>
      <c r="B4403"/>
      <c r="C4403"/>
      <c r="D4403"/>
      <c r="E4403" s="2">
        <f>Comuni__2[[#This Row],[Popolazione2011]]/$D$7911</f>
        <v>5.9741100246289838E-6</v>
      </c>
      <c r="F4403">
        <f>SUMIFS($D$2:$D$7909, $B$2:$B$7909, "Molise")</f>
        <v>313660</v>
      </c>
      <c r="G4403" s="1">
        <f>Comuni__2[[#This Row],[Popolazione2011]]/Comuni__2[[#This Row],[POPOLAZIONE TOTALE DI OGNI REGIONE (CON FILTRO)]]</f>
        <v>1.1317987629917746E-3</v>
      </c>
      <c r="H4403" t="str">
        <f>IF(Comuni__2[[#This Row],[Popolazione2011]]&gt;300000,"MAGGIORE","")</f>
        <v/>
      </c>
      <c r="J4403">
        <v>133</v>
      </c>
      <c r="K4403">
        <v>7897</v>
      </c>
      <c r="L4403">
        <v>1037</v>
      </c>
    </row>
    <row r="4404" spans="1:12" x14ac:dyDescent="0.2">
      <c r="A4404"/>
      <c r="B4404"/>
      <c r="C4404"/>
      <c r="D4404"/>
      <c r="E4404" s="2">
        <f>Comuni__2[[#This Row],[Popolazione2011]]/$D$7911</f>
        <v>5.8731391509732829E-6</v>
      </c>
      <c r="F4404">
        <f>SUMIFS($D$2:$D$7909, $B$2:$B$7909, "Molise")</f>
        <v>313660</v>
      </c>
      <c r="G4404" s="1">
        <f>Comuni__2[[#This Row],[Popolazione2011]]/Comuni__2[[#This Row],[POPOLAZIONE TOTALE DI OGNI REGIONE (CON FILTRO)]]</f>
        <v>1.1126697698144487E-3</v>
      </c>
      <c r="H4404" t="str">
        <f>IF(Comuni__2[[#This Row],[Popolazione2011]]&gt;300000,"MAGGIORE","")</f>
        <v/>
      </c>
      <c r="J4404">
        <v>125</v>
      </c>
      <c r="K4404">
        <v>7952</v>
      </c>
      <c r="L4404">
        <v>1041</v>
      </c>
    </row>
    <row r="4405" spans="1:12" x14ac:dyDescent="0.2">
      <c r="A4405"/>
      <c r="B4405"/>
      <c r="C4405"/>
      <c r="D4405"/>
      <c r="E4405" s="2">
        <f>Comuni__2[[#This Row],[Popolazione2011]]/$D$7911</f>
        <v>5.8563106720306659E-6</v>
      </c>
      <c r="F4405">
        <f>SUMIFS($D$2:$D$7909, $B$2:$B$7909, "Molise")</f>
        <v>313660</v>
      </c>
      <c r="G4405" s="1">
        <f>Comuni__2[[#This Row],[Popolazione2011]]/Comuni__2[[#This Row],[POPOLAZIONE TOTALE DI OGNI REGIONE (CON FILTRO)]]</f>
        <v>1.1094816042848945E-3</v>
      </c>
      <c r="H4405" t="str">
        <f>IF(Comuni__2[[#This Row],[Popolazione2011]]&gt;300000,"MAGGIORE","")</f>
        <v/>
      </c>
      <c r="J4405">
        <v>110</v>
      </c>
      <c r="K4405">
        <v>7977</v>
      </c>
      <c r="L4405">
        <v>1048</v>
      </c>
    </row>
    <row r="4406" spans="1:12" x14ac:dyDescent="0.2">
      <c r="A4406"/>
      <c r="B4406"/>
      <c r="C4406"/>
      <c r="D4406"/>
      <c r="E4406" s="2">
        <f>Comuni__2[[#This Row],[Popolazione2011]]/$D$7911</f>
        <v>5.6375404457766469E-6</v>
      </c>
      <c r="F4406">
        <f>SUMIFS($D$2:$D$7909, $B$2:$B$7909, "Molise")</f>
        <v>313660</v>
      </c>
      <c r="G4406" s="1">
        <f>Comuni__2[[#This Row],[Popolazione2011]]/Comuni__2[[#This Row],[POPOLAZIONE TOTALE DI OGNI REGIONE (CON FILTRO)]]</f>
        <v>1.0680354524006887E-3</v>
      </c>
      <c r="H4406" t="str">
        <f>IF(Comuni__2[[#This Row],[Popolazione2011]]&gt;300000,"MAGGIORE","")</f>
        <v/>
      </c>
      <c r="J4406">
        <v>110</v>
      </c>
      <c r="K4406">
        <v>8053</v>
      </c>
      <c r="L4406">
        <v>1053</v>
      </c>
    </row>
    <row r="4407" spans="1:12" x14ac:dyDescent="0.2">
      <c r="A4407"/>
      <c r="B4407"/>
      <c r="C4407"/>
      <c r="D4407"/>
      <c r="E4407" s="2">
        <f>Comuni__2[[#This Row],[Popolazione2011]]/$D$7911</f>
        <v>5.0485436827850571E-6</v>
      </c>
      <c r="F4407">
        <f>SUMIFS($D$2:$D$7909, $B$2:$B$7909, "Molise")</f>
        <v>313660</v>
      </c>
      <c r="G4407" s="1">
        <f>Comuni__2[[#This Row],[Popolazione2011]]/Comuni__2[[#This Row],[POPOLAZIONE TOTALE DI OGNI REGIONE (CON FILTRO)]]</f>
        <v>9.564496588662883E-4</v>
      </c>
      <c r="H4407" t="str">
        <f>IF(Comuni__2[[#This Row],[Popolazione2011]]&gt;300000,"MAGGIORE","")</f>
        <v/>
      </c>
      <c r="J4407">
        <v>101</v>
      </c>
      <c r="K4407">
        <v>8093</v>
      </c>
      <c r="L4407">
        <v>1055</v>
      </c>
    </row>
    <row r="4408" spans="1:12" x14ac:dyDescent="0.2">
      <c r="A4408"/>
      <c r="B4408"/>
      <c r="C4408"/>
      <c r="D4408"/>
      <c r="E4408" s="2">
        <f>Comuni__2[[#This Row],[Popolazione2011]]/$D$7911</f>
        <v>4.5100323566213174E-6</v>
      </c>
      <c r="F4408">
        <f>SUMIFS($D$2:$D$7909, $B$2:$B$7909, "Molise")</f>
        <v>313660</v>
      </c>
      <c r="G4408" s="1">
        <f>Comuni__2[[#This Row],[Popolazione2011]]/Comuni__2[[#This Row],[POPOLAZIONE TOTALE DI OGNI REGIONE (CON FILTRO)]]</f>
        <v>8.5442836192055089E-4</v>
      </c>
      <c r="H4408" t="str">
        <f>IF(Comuni__2[[#This Row],[Popolazione2011]]&gt;300000,"MAGGIORE","")</f>
        <v/>
      </c>
      <c r="J4408">
        <v>89</v>
      </c>
      <c r="K4408">
        <v>8180</v>
      </c>
      <c r="L4408">
        <v>1059</v>
      </c>
    </row>
    <row r="4409" spans="1:12" x14ac:dyDescent="0.2">
      <c r="A4409"/>
      <c r="B4409"/>
      <c r="C4409"/>
      <c r="D4409"/>
      <c r="E4409" s="2">
        <f>Comuni__2[[#This Row],[Popolazione2011]]/$D$7911</f>
        <v>4.3754045250803824E-6</v>
      </c>
      <c r="F4409">
        <f>SUMIFS($D$2:$D$7909, $B$2:$B$7909, "Molise")</f>
        <v>313660</v>
      </c>
      <c r="G4409" s="1">
        <f>Comuni__2[[#This Row],[Popolazione2011]]/Comuni__2[[#This Row],[POPOLAZIONE TOTALE DI OGNI REGIONE (CON FILTRO)]]</f>
        <v>8.2892303768411653E-4</v>
      </c>
      <c r="H4409" t="str">
        <f>IF(Comuni__2[[#This Row],[Popolazione2011]]&gt;300000,"MAGGIORE","")</f>
        <v/>
      </c>
      <c r="J4409">
        <v>78</v>
      </c>
      <c r="K4409">
        <v>8209</v>
      </c>
      <c r="L4409">
        <v>1063</v>
      </c>
    </row>
    <row r="4410" spans="1:12" x14ac:dyDescent="0.2">
      <c r="A4410"/>
      <c r="B4410"/>
      <c r="C4410"/>
      <c r="D4410"/>
      <c r="E4410" s="2">
        <f>Comuni__2[[#This Row],[Popolazione2011]]/$D$7911</f>
        <v>3.8368931989166427E-6</v>
      </c>
      <c r="F4410">
        <f>SUMIFS($D$2:$D$7909, $B$2:$B$7909, "Molise")</f>
        <v>313660</v>
      </c>
      <c r="G4410" s="1">
        <f>Comuni__2[[#This Row],[Popolazione2011]]/Comuni__2[[#This Row],[POPOLAZIONE TOTALE DI OGNI REGIONE (CON FILTRO)]]</f>
        <v>7.2690174073837912E-4</v>
      </c>
      <c r="H4410" t="str">
        <f>IF(Comuni__2[[#This Row],[Popolazione2011]]&gt;300000,"MAGGIORE","")</f>
        <v/>
      </c>
      <c r="J4410">
        <v>71</v>
      </c>
      <c r="K4410">
        <v>8281</v>
      </c>
      <c r="L4410">
        <v>1068</v>
      </c>
    </row>
    <row r="4411" spans="1:12" x14ac:dyDescent="0.2">
      <c r="A4411"/>
      <c r="B4411"/>
      <c r="C4411"/>
      <c r="D4411"/>
      <c r="E4411" s="2">
        <f>Comuni__2[[#This Row],[Popolazione2011]]/$D$7911</f>
        <v>3.6012944937200072E-6</v>
      </c>
      <c r="F4411">
        <f>SUMIFS($D$2:$D$7909, $B$2:$B$7909, "Molise")</f>
        <v>313660</v>
      </c>
      <c r="G4411" s="1">
        <f>Comuni__2[[#This Row],[Popolazione2011]]/Comuni__2[[#This Row],[POPOLAZIONE TOTALE DI OGNI REGIONE (CON FILTRO)]]</f>
        <v>6.8226742332461903E-4</v>
      </c>
      <c r="H4411" t="str">
        <f>IF(Comuni__2[[#This Row],[Popolazione2011]]&gt;300000,"MAGGIORE","")</f>
        <v/>
      </c>
      <c r="J4411">
        <v>72</v>
      </c>
      <c r="K4411">
        <v>8315</v>
      </c>
      <c r="L4411">
        <v>1070</v>
      </c>
    </row>
    <row r="4412" spans="1:12" x14ac:dyDescent="0.2">
      <c r="A4412"/>
      <c r="B4412"/>
      <c r="C4412"/>
      <c r="D4412"/>
      <c r="E4412" s="2">
        <f>Comuni__2[[#This Row],[Popolazione2011]]/$D$7911</f>
        <v>3.5171520990069228E-6</v>
      </c>
      <c r="F4412">
        <f>SUMIFS($D$2:$D$7909, $B$2:$B$7909, "Molise")</f>
        <v>313660</v>
      </c>
      <c r="G4412" s="1">
        <f>Comuni__2[[#This Row],[Popolazione2011]]/Comuni__2[[#This Row],[POPOLAZIONE TOTALE DI OGNI REGIONE (CON FILTRO)]]</f>
        <v>6.6632659567684755E-4</v>
      </c>
      <c r="H4412" t="str">
        <f>IF(Comuni__2[[#This Row],[Popolazione2011]]&gt;300000,"MAGGIORE","")</f>
        <v/>
      </c>
      <c r="J4412">
        <v>70</v>
      </c>
      <c r="K4412">
        <v>8349</v>
      </c>
      <c r="L4412">
        <v>1074</v>
      </c>
    </row>
    <row r="4413" spans="1:12" x14ac:dyDescent="0.2">
      <c r="A4413"/>
      <c r="B4413"/>
      <c r="C4413"/>
      <c r="D4413"/>
      <c r="E4413" s="2">
        <f>Comuni__2[[#This Row],[Popolazione2011]]/$D$7911</f>
        <v>2.7262135887039305E-6</v>
      </c>
      <c r="F4413">
        <f>SUMIFS($D$2:$D$7909, $B$2:$B$7909, "Molise")</f>
        <v>313660</v>
      </c>
      <c r="G4413" s="1">
        <f>Comuni__2[[#This Row],[Popolazione2011]]/Comuni__2[[#This Row],[POPOLAZIONE TOTALE DI OGNI REGIONE (CON FILTRO)]]</f>
        <v>5.1648281578779568E-4</v>
      </c>
      <c r="H4413" t="str">
        <f>IF(Comuni__2[[#This Row],[Popolazione2011]]&gt;300000,"MAGGIORE","")</f>
        <v/>
      </c>
      <c r="J4413">
        <v>63</v>
      </c>
      <c r="K4413">
        <v>8440</v>
      </c>
      <c r="L4413">
        <v>1077</v>
      </c>
    </row>
    <row r="4414" spans="1:12" x14ac:dyDescent="0.2">
      <c r="A4414"/>
      <c r="B4414"/>
      <c r="C4414"/>
      <c r="D4414"/>
      <c r="E4414" s="2">
        <f>Comuni__2[[#This Row],[Popolazione2011]]/$D$7911</f>
        <v>2.67572815187608E-6</v>
      </c>
      <c r="F4414">
        <f>SUMIFS($D$2:$D$7909, $B$2:$B$7909, "Molise")</f>
        <v>313660</v>
      </c>
      <c r="G4414" s="1">
        <f>Comuni__2[[#This Row],[Popolazione2011]]/Comuni__2[[#This Row],[POPOLAZIONE TOTALE DI OGNI REGIONE (CON FILTRO)]]</f>
        <v>5.0691831919913281E-4</v>
      </c>
      <c r="H4414" t="str">
        <f>IF(Comuni__2[[#This Row],[Popolazione2011]]&gt;300000,"MAGGIORE","")</f>
        <v/>
      </c>
      <c r="J4414">
        <v>55</v>
      </c>
      <c r="K4414">
        <v>8531</v>
      </c>
      <c r="L4414">
        <v>1078</v>
      </c>
    </row>
    <row r="4415" spans="1:12" x14ac:dyDescent="0.2">
      <c r="A4415"/>
      <c r="B4415"/>
      <c r="C4415"/>
      <c r="D4415"/>
      <c r="E4415" s="2">
        <f>Comuni__2[[#This Row],[Popolazione2011]]/$D$7911</f>
        <v>2.0867313888844902E-6</v>
      </c>
      <c r="F4415">
        <f>SUMIFS($D$2:$D$7909, $B$2:$B$7909, "Molise")</f>
        <v>313660</v>
      </c>
      <c r="G4415" s="1">
        <f>Comuni__2[[#This Row],[Popolazione2011]]/Comuni__2[[#This Row],[POPOLAZIONE TOTALE DI OGNI REGIONE (CON FILTRO)]]</f>
        <v>3.9533252566473253E-4</v>
      </c>
      <c r="H4415" t="str">
        <f>IF(Comuni__2[[#This Row],[Popolazione2011]]&gt;300000,"MAGGIORE","")</f>
        <v/>
      </c>
      <c r="J4415">
        <v>57</v>
      </c>
      <c r="K4415">
        <v>8558</v>
      </c>
      <c r="L4415">
        <v>1079</v>
      </c>
    </row>
    <row r="4416" spans="1:12" x14ac:dyDescent="0.2">
      <c r="A4416"/>
      <c r="B4416"/>
      <c r="C4416"/>
      <c r="D4416"/>
      <c r="E4416" s="2">
        <f>Comuni__2[[#This Row],[Popolazione2011]]/$D$7911</f>
        <v>2.0530744309992563E-6</v>
      </c>
      <c r="F4416">
        <f>SUMIFS($D$2:$D$7909, $B$2:$B$7909, "Molise")</f>
        <v>313660</v>
      </c>
      <c r="G4416" s="1">
        <f>Comuni__2[[#This Row],[Popolazione2011]]/Comuni__2[[#This Row],[POPOLAZIONE TOTALE DI OGNI REGIONE (CON FILTRO)]]</f>
        <v>3.8895619460562391E-4</v>
      </c>
      <c r="H4416" t="str">
        <f>IF(Comuni__2[[#This Row],[Popolazione2011]]&gt;300000,"MAGGIORE","")</f>
        <v/>
      </c>
      <c r="J4416">
        <v>50</v>
      </c>
      <c r="K4416">
        <v>8575</v>
      </c>
      <c r="L4416">
        <v>1080</v>
      </c>
    </row>
    <row r="4417" spans="1:12" x14ac:dyDescent="0.2">
      <c r="A4417"/>
      <c r="B4417"/>
      <c r="C4417"/>
      <c r="D4417"/>
      <c r="E4417" s="2">
        <f>Comuni__2[[#This Row],[Popolazione2011]]/$D$7911</f>
        <v>1.4680609689733838E-2</v>
      </c>
      <c r="F4417">
        <f>SUMIFS($D$2:$D$7909, $B$2:$B$7909, "Piemonte")</f>
        <v>4363916</v>
      </c>
      <c r="G4417" s="1">
        <f>Comuni__2[[#This Row],[Popolazione2011]]/Comuni__2[[#This Row],[POPOLAZIONE TOTALE DI OGNI REGIONE (CON FILTRO)]]</f>
        <v>0.19990462694515659</v>
      </c>
      <c r="H4417" t="str">
        <f>IF(Comuni__2[[#This Row],[Popolazione2011]]&gt;300000,"MAGGIORE","")</f>
        <v>MAGGIORE</v>
      </c>
      <c r="J4417">
        <v>49</v>
      </c>
      <c r="K4417">
        <v>8588</v>
      </c>
      <c r="L4417">
        <v>1082</v>
      </c>
    </row>
    <row r="4418" spans="1:12" x14ac:dyDescent="0.2">
      <c r="A4418"/>
      <c r="B4418"/>
      <c r="C4418"/>
      <c r="D4418"/>
      <c r="E4418" s="2">
        <f>Comuni__2[[#This Row],[Popolazione2011]]/$D$7911</f>
        <v>1.7156970851576736E-3</v>
      </c>
      <c r="F4418">
        <f>SUMIFS($D$2:$D$7909, $B$2:$B$7909, "Piemonte")</f>
        <v>4363916</v>
      </c>
      <c r="G4418" s="1">
        <f>Comuni__2[[#This Row],[Popolazione2011]]/Comuni__2[[#This Row],[POPOLAZIONE TOTALE DI OGNI REGIONE (CON FILTRO)]]</f>
        <v>2.3362502852942175E-2</v>
      </c>
      <c r="H4418" t="str">
        <f>IF(Comuni__2[[#This Row],[Popolazione2011]]&gt;300000,"MAGGIORE","")</f>
        <v/>
      </c>
      <c r="J4418">
        <v>50</v>
      </c>
      <c r="K4418">
        <v>8596</v>
      </c>
      <c r="L4418">
        <v>1085</v>
      </c>
    </row>
    <row r="4419" spans="1:12" x14ac:dyDescent="0.2">
      <c r="A4419"/>
      <c r="B4419"/>
      <c r="C4419"/>
      <c r="D4419"/>
      <c r="E4419" s="2">
        <f>Comuni__2[[#This Row],[Popolazione2011]]/$D$7911</f>
        <v>1.5046511307383157E-3</v>
      </c>
      <c r="F4419">
        <f>SUMIFS($D$2:$D$7909, $B$2:$B$7909, "Piemonte")</f>
        <v>4363916</v>
      </c>
      <c r="G4419" s="1">
        <f>Comuni__2[[#This Row],[Popolazione2011]]/Comuni__2[[#This Row],[POPOLAZIONE TOTALE DI OGNI REGIONE (CON FILTRO)]]</f>
        <v>2.0488707848638699E-2</v>
      </c>
      <c r="H4419" t="str">
        <f>IF(Comuni__2[[#This Row],[Popolazione2011]]&gt;300000,"MAGGIORE","")</f>
        <v/>
      </c>
      <c r="J4419">
        <v>47</v>
      </c>
      <c r="K4419">
        <v>8611</v>
      </c>
      <c r="L4419">
        <v>1088</v>
      </c>
    </row>
    <row r="4420" spans="1:12" x14ac:dyDescent="0.2">
      <c r="A4420"/>
      <c r="B4420"/>
      <c r="C4420"/>
      <c r="D4420"/>
      <c r="E4420" s="2">
        <f>Comuni__2[[#This Row],[Popolazione2011]]/$D$7911</f>
        <v>1.2436077653804429E-3</v>
      </c>
      <c r="F4420">
        <f>SUMIFS($D$2:$D$7909, $B$2:$B$7909, "Piemonte")</f>
        <v>4363916</v>
      </c>
      <c r="G4420" s="1">
        <f>Comuni__2[[#This Row],[Popolazione2011]]/Comuni__2[[#This Row],[POPOLAZIONE TOTALE DI OGNI REGIONE (CON FILTRO)]]</f>
        <v>1.6934102306277204E-2</v>
      </c>
      <c r="H4420" t="str">
        <f>IF(Comuni__2[[#This Row],[Popolazione2011]]&gt;300000,"MAGGIORE","")</f>
        <v/>
      </c>
      <c r="J4420">
        <v>48</v>
      </c>
      <c r="K4420">
        <v>8637</v>
      </c>
      <c r="L4420">
        <v>1091</v>
      </c>
    </row>
    <row r="4421" spans="1:12" x14ac:dyDescent="0.2">
      <c r="A4421"/>
      <c r="B4421"/>
      <c r="C4421"/>
      <c r="D4421"/>
      <c r="E4421" s="2">
        <f>Comuni__2[[#This Row],[Popolazione2011]]/$D$7911</f>
        <v>9.4029126091871686E-4</v>
      </c>
      <c r="F4421">
        <f>SUMIFS($D$2:$D$7909, $B$2:$B$7909, "Piemonte")</f>
        <v>4363916</v>
      </c>
      <c r="G4421" s="1">
        <f>Comuni__2[[#This Row],[Popolazione2011]]/Comuni__2[[#This Row],[POPOLAZIONE TOTALE DI OGNI REGIONE (CON FILTRO)]]</f>
        <v>1.280386698552401E-2</v>
      </c>
      <c r="H4421" t="str">
        <f>IF(Comuni__2[[#This Row],[Popolazione2011]]&gt;300000,"MAGGIORE","")</f>
        <v/>
      </c>
      <c r="J4421">
        <v>47</v>
      </c>
      <c r="K4421">
        <v>8657</v>
      </c>
      <c r="L4421">
        <v>1092</v>
      </c>
    </row>
    <row r="4422" spans="1:12" x14ac:dyDescent="0.2">
      <c r="A4422"/>
      <c r="B4422"/>
      <c r="C4422"/>
      <c r="D4422"/>
      <c r="E4422" s="2">
        <f>Comuni__2[[#This Row],[Popolazione2011]]/$D$7911</f>
        <v>9.2578511207018108E-4</v>
      </c>
      <c r="F4422">
        <f>SUMIFS($D$2:$D$7909, $B$2:$B$7909, "Piemonte")</f>
        <v>4363916</v>
      </c>
      <c r="G4422" s="1">
        <f>Comuni__2[[#This Row],[Popolazione2011]]/Comuni__2[[#This Row],[POPOLAZIONE TOTALE DI OGNI REGIONE (CON FILTRO)]]</f>
        <v>1.260633797717463E-2</v>
      </c>
      <c r="H4422" t="str">
        <f>IF(Comuni__2[[#This Row],[Popolazione2011]]&gt;300000,"MAGGIORE","")</f>
        <v/>
      </c>
      <c r="J4422">
        <v>36</v>
      </c>
      <c r="K4422">
        <v>8664</v>
      </c>
      <c r="L4422">
        <v>1093</v>
      </c>
    </row>
    <row r="4423" spans="1:12" x14ac:dyDescent="0.2">
      <c r="A4423"/>
      <c r="B4423"/>
      <c r="C4423"/>
      <c r="D4423"/>
      <c r="E4423" s="2">
        <f>Comuni__2[[#This Row],[Popolazione2011]]/$D$7911</f>
        <v>8.2599223194046315E-4</v>
      </c>
      <c r="F4423">
        <f>SUMIFS($D$2:$D$7909, $B$2:$B$7909, "Piemonte")</f>
        <v>4363916</v>
      </c>
      <c r="G4423" s="1">
        <f>Comuni__2[[#This Row],[Popolazione2011]]/Comuni__2[[#This Row],[POPOLAZIONE TOTALE DI OGNI REGIONE (CON FILTRO)]]</f>
        <v>1.1247466724840716E-2</v>
      </c>
      <c r="H4423" t="str">
        <f>IF(Comuni__2[[#This Row],[Popolazione2011]]&gt;300000,"MAGGIORE","")</f>
        <v/>
      </c>
      <c r="J4423">
        <v>30</v>
      </c>
      <c r="K4423">
        <v>8687</v>
      </c>
      <c r="L4423">
        <v>1095</v>
      </c>
    </row>
    <row r="4424" spans="1:12" x14ac:dyDescent="0.2">
      <c r="A4424"/>
      <c r="B4424"/>
      <c r="C4424"/>
      <c r="D4424"/>
      <c r="E4424" s="2">
        <f>Comuni__2[[#This Row],[Popolazione2011]]/$D$7911</f>
        <v>8.1840258793734288E-4</v>
      </c>
      <c r="F4424">
        <f>SUMIFS($D$2:$D$7909, $B$2:$B$7909, "Piemonte")</f>
        <v>4363916</v>
      </c>
      <c r="G4424" s="1">
        <f>Comuni__2[[#This Row],[Popolazione2011]]/Comuni__2[[#This Row],[POPOLAZIONE TOTALE DI OGNI REGIONE (CON FILTRO)]]</f>
        <v>1.1144119181029149E-2</v>
      </c>
      <c r="H4424" t="str">
        <f>IF(Comuni__2[[#This Row],[Popolazione2011]]&gt;300000,"MAGGIORE","")</f>
        <v/>
      </c>
      <c r="J4424">
        <v>31</v>
      </c>
      <c r="K4424">
        <v>8698</v>
      </c>
      <c r="L4424">
        <v>1095</v>
      </c>
    </row>
    <row r="4425" spans="1:12" x14ac:dyDescent="0.2">
      <c r="A4425"/>
      <c r="B4425"/>
      <c r="C4425"/>
      <c r="D4425"/>
      <c r="E4425" s="2">
        <f>Comuni__2[[#This Row],[Popolazione2011]]/$D$7911</f>
        <v>8.0525954588315921E-4</v>
      </c>
      <c r="F4425">
        <f>SUMIFS($D$2:$D$7909, $B$2:$B$7909, "Piemonte")</f>
        <v>4363916</v>
      </c>
      <c r="G4425" s="1">
        <f>Comuni__2[[#This Row],[Popolazione2011]]/Comuni__2[[#This Row],[POPOLAZIONE TOTALE DI OGNI REGIONE (CON FILTRO)]]</f>
        <v>1.0965151483209118E-2</v>
      </c>
      <c r="H4425" t="str">
        <f>IF(Comuni__2[[#This Row],[Popolazione2011]]&gt;300000,"MAGGIORE","")</f>
        <v/>
      </c>
      <c r="J4425">
        <v>28</v>
      </c>
      <c r="K4425">
        <v>8750</v>
      </c>
      <c r="L4425">
        <v>1095</v>
      </c>
    </row>
    <row r="4426" spans="1:12" x14ac:dyDescent="0.2">
      <c r="A4426"/>
      <c r="B4426"/>
      <c r="C4426"/>
      <c r="D4426"/>
      <c r="E4426" s="2">
        <f>Comuni__2[[#This Row],[Popolazione2011]]/$D$7911</f>
        <v>7.8880129347727991E-4</v>
      </c>
      <c r="F4426">
        <f>SUMIFS($D$2:$D$7909, $B$2:$B$7909, "Piemonte")</f>
        <v>4363916</v>
      </c>
      <c r="G4426" s="1">
        <f>Comuni__2[[#This Row],[Popolazione2011]]/Comuni__2[[#This Row],[POPOLAZIONE TOTALE DI OGNI REGIONE (CON FILTRO)]]</f>
        <v>1.0741040844965851E-2</v>
      </c>
      <c r="H4426" t="str">
        <f>IF(Comuni__2[[#This Row],[Popolazione2011]]&gt;300000,"MAGGIORE","")</f>
        <v/>
      </c>
      <c r="J4426">
        <v>27</v>
      </c>
      <c r="K4426">
        <v>8752</v>
      </c>
      <c r="L4426">
        <v>1099</v>
      </c>
    </row>
    <row r="4427" spans="1:12" x14ac:dyDescent="0.2">
      <c r="A4427"/>
      <c r="B4427"/>
      <c r="C4427"/>
      <c r="D4427"/>
      <c r="E4427" s="2">
        <f>Comuni__2[[#This Row],[Popolazione2011]]/$D$7911</f>
        <v>7.7929320287470133E-4</v>
      </c>
      <c r="F4427">
        <f>SUMIFS($D$2:$D$7909, $B$2:$B$7909, "Piemonte")</f>
        <v>4363916</v>
      </c>
      <c r="G4427" s="1">
        <f>Comuni__2[[#This Row],[Popolazione2011]]/Comuni__2[[#This Row],[POPOLAZIONE TOTALE DI OGNI REGIONE (CON FILTRO)]]</f>
        <v>1.0611569975224088E-2</v>
      </c>
      <c r="H4427" t="str">
        <f>IF(Comuni__2[[#This Row],[Popolazione2011]]&gt;300000,"MAGGIORE","")</f>
        <v/>
      </c>
      <c r="J4427">
        <v>26</v>
      </c>
      <c r="K4427">
        <v>8780</v>
      </c>
      <c r="L4427">
        <v>1100</v>
      </c>
    </row>
    <row r="4428" spans="1:12" x14ac:dyDescent="0.2">
      <c r="A4428"/>
      <c r="B4428"/>
      <c r="C4428"/>
      <c r="D4428"/>
      <c r="E4428" s="2">
        <f>Comuni__2[[#This Row],[Popolazione2011]]/$D$7911</f>
        <v>7.3739029030758536E-4</v>
      </c>
      <c r="F4428">
        <f>SUMIFS($D$2:$D$7909, $B$2:$B$7909, "Piemonte")</f>
        <v>4363916</v>
      </c>
      <c r="G4428" s="1">
        <f>Comuni__2[[#This Row],[Popolazione2011]]/Comuni__2[[#This Row],[POPOLAZIONE TOTALE DI OGNI REGIONE (CON FILTRO)]]</f>
        <v>1.0040981540432951E-2</v>
      </c>
      <c r="H4428" t="str">
        <f>IF(Comuni__2[[#This Row],[Popolazione2011]]&gt;300000,"MAGGIORE","")</f>
        <v/>
      </c>
      <c r="J4428">
        <v>31</v>
      </c>
      <c r="K4428">
        <v>8791</v>
      </c>
      <c r="L4428">
        <v>1101</v>
      </c>
    </row>
    <row r="4429" spans="1:12" x14ac:dyDescent="0.2">
      <c r="A4429"/>
      <c r="B4429"/>
      <c r="C4429"/>
      <c r="D4429"/>
      <c r="E4429" s="2">
        <f>Comuni__2[[#This Row],[Popolazione2011]]/$D$7911</f>
        <v>6.2591844579169137E-4</v>
      </c>
      <c r="F4429">
        <f>SUMIFS($D$2:$D$7909, $B$2:$B$7909, "Piemonte")</f>
        <v>4363916</v>
      </c>
      <c r="G4429" s="1">
        <f>Comuni__2[[#This Row],[Popolazione2011]]/Comuni__2[[#This Row],[POPOLAZIONE TOTALE DI OGNI REGIONE (CON FILTRO)]]</f>
        <v>8.5230788126994198E-3</v>
      </c>
      <c r="H4429" t="str">
        <f>IF(Comuni__2[[#This Row],[Popolazione2011]]&gt;300000,"MAGGIORE","")</f>
        <v/>
      </c>
      <c r="J4429">
        <v>30</v>
      </c>
      <c r="K4429">
        <v>8799</v>
      </c>
      <c r="L4429">
        <v>1101</v>
      </c>
    </row>
    <row r="4430" spans="1:12" x14ac:dyDescent="0.2">
      <c r="A4430"/>
      <c r="B4430"/>
      <c r="C4430"/>
      <c r="D4430"/>
      <c r="E4430" s="2">
        <f>Comuni__2[[#This Row],[Popolazione2011]]/$D$7911</f>
        <v>6.0518575973438733E-4</v>
      </c>
      <c r="F4430">
        <f>SUMIFS($D$2:$D$7909, $B$2:$B$7909, "Piemonte")</f>
        <v>4363916</v>
      </c>
      <c r="G4430" s="1">
        <f>Comuni__2[[#This Row],[Popolazione2011]]/Comuni__2[[#This Row],[POPOLAZIONE TOTALE DI OGNI REGIONE (CON FILTRO)]]</f>
        <v>8.2407635710678214E-3</v>
      </c>
      <c r="H4430" t="str">
        <f>IF(Comuni__2[[#This Row],[Popolazione2011]]&gt;300000,"MAGGIORE","")</f>
        <v/>
      </c>
      <c r="J4430">
        <v>27</v>
      </c>
      <c r="K4430">
        <v>8809</v>
      </c>
      <c r="L4430">
        <v>1103</v>
      </c>
    </row>
    <row r="4431" spans="1:12" x14ac:dyDescent="0.2">
      <c r="A4431"/>
      <c r="B4431"/>
      <c r="C4431"/>
      <c r="D4431"/>
      <c r="E4431" s="2">
        <f>Comuni__2[[#This Row],[Popolazione2011]]/$D$7911</f>
        <v>5.8653980506596785E-4</v>
      </c>
      <c r="F4431">
        <f>SUMIFS($D$2:$D$7909, $B$2:$B$7909, "Piemonte")</f>
        <v>4363916</v>
      </c>
      <c r="G4431" s="1">
        <f>Comuni__2[[#This Row],[Popolazione2011]]/Comuni__2[[#This Row],[POPOLAZIONE TOTALE DI OGNI REGIONE (CON FILTRO)]]</f>
        <v>7.9868631751848565E-3</v>
      </c>
      <c r="H4431" t="str">
        <f>IF(Comuni__2[[#This Row],[Popolazione2011]]&gt;300000,"MAGGIORE","")</f>
        <v/>
      </c>
      <c r="J4431">
        <v>20</v>
      </c>
      <c r="K4431">
        <v>8817</v>
      </c>
      <c r="L4431">
        <v>1103</v>
      </c>
    </row>
    <row r="4432" spans="1:12" x14ac:dyDescent="0.2">
      <c r="A4432"/>
      <c r="B4432"/>
      <c r="C4432"/>
      <c r="D4432"/>
      <c r="E4432" s="2">
        <f>Comuni__2[[#This Row],[Popolazione2011]]/$D$7911</f>
        <v>5.85833008950378E-4</v>
      </c>
      <c r="F4432">
        <f>SUMIFS($D$2:$D$7909, $B$2:$B$7909, "Piemonte")</f>
        <v>4363916</v>
      </c>
      <c r="G4432" s="1">
        <f>Comuni__2[[#This Row],[Popolazione2011]]/Comuni__2[[#This Row],[POPOLAZIONE TOTALE DI OGNI REGIONE (CON FILTRO)]]</f>
        <v>7.9772387919474167E-3</v>
      </c>
      <c r="H4432" t="str">
        <f>IF(Comuni__2[[#This Row],[Popolazione2011]]&gt;300000,"MAGGIORE","")</f>
        <v/>
      </c>
      <c r="J4432">
        <v>22</v>
      </c>
      <c r="K4432">
        <v>8817</v>
      </c>
      <c r="L4432">
        <v>1103</v>
      </c>
    </row>
    <row r="4433" spans="1:12" x14ac:dyDescent="0.2">
      <c r="A4433"/>
      <c r="B4433"/>
      <c r="C4433"/>
      <c r="D4433"/>
      <c r="E4433" s="2">
        <f>Comuni__2[[#This Row],[Popolazione2011]]/$D$7911</f>
        <v>5.6780970800283535E-4</v>
      </c>
      <c r="F4433">
        <f>SUMIFS($D$2:$D$7909, $B$2:$B$7909, "Piemonte")</f>
        <v>4363916</v>
      </c>
      <c r="G4433" s="1">
        <f>Comuni__2[[#This Row],[Popolazione2011]]/Comuni__2[[#This Row],[POPOLAZIONE TOTALE DI OGNI REGIONE (CON FILTRO)]]</f>
        <v>7.7318170193926743E-3</v>
      </c>
      <c r="H4433" t="str">
        <f>IF(Comuni__2[[#This Row],[Popolazione2011]]&gt;300000,"MAGGIORE","")</f>
        <v/>
      </c>
      <c r="J4433">
        <v>20</v>
      </c>
      <c r="K4433">
        <v>8817</v>
      </c>
      <c r="L4433">
        <v>1104</v>
      </c>
    </row>
    <row r="4434" spans="1:12" x14ac:dyDescent="0.2">
      <c r="A4434"/>
      <c r="B4434"/>
      <c r="C4434"/>
      <c r="D4434"/>
      <c r="E4434" s="2">
        <f>Comuni__2[[#This Row],[Popolazione2011]]/$D$7911</f>
        <v>5.1838446534836964E-4</v>
      </c>
      <c r="F4434">
        <f>SUMIFS($D$2:$D$7909, $B$2:$B$7909, "Piemonte")</f>
        <v>4363916</v>
      </c>
      <c r="G4434" s="1">
        <f>Comuni__2[[#This Row],[Popolazione2011]]/Comuni__2[[#This Row],[POPOLAZIONE TOTALE DI OGNI REGIONE (CON FILTRO)]]</f>
        <v>7.0587976487173449E-3</v>
      </c>
      <c r="H4434" t="str">
        <f>IF(Comuni__2[[#This Row],[Popolazione2011]]&gt;300000,"MAGGIORE","")</f>
        <v/>
      </c>
      <c r="J4434">
        <v>23</v>
      </c>
      <c r="K4434">
        <v>8817</v>
      </c>
      <c r="L4434">
        <v>1104</v>
      </c>
    </row>
    <row r="4435" spans="1:12" x14ac:dyDescent="0.2">
      <c r="A4435"/>
      <c r="B4435"/>
      <c r="C4435"/>
      <c r="D4435"/>
      <c r="E4435" s="2">
        <f>Comuni__2[[#This Row],[Popolazione2011]]/$D$7911</f>
        <v>5.104414232874545E-4</v>
      </c>
      <c r="F4435">
        <f>SUMIFS($D$2:$D$7909, $B$2:$B$7909, "Piemonte")</f>
        <v>4363916</v>
      </c>
      <c r="G4435" s="1">
        <f>Comuni__2[[#This Row],[Popolazione2011]]/Comuni__2[[#This Row],[POPOLAZIONE TOTALE DI OGNI REGIONE (CON FILTRO)]]</f>
        <v>6.9506379132870571E-3</v>
      </c>
      <c r="H4435" t="str">
        <f>IF(Comuni__2[[#This Row],[Popolazione2011]]&gt;300000,"MAGGIORE","")</f>
        <v/>
      </c>
      <c r="J4435">
        <v>18</v>
      </c>
      <c r="K4435">
        <v>8825</v>
      </c>
      <c r="L4435">
        <v>1106</v>
      </c>
    </row>
    <row r="4436" spans="1:12" x14ac:dyDescent="0.2">
      <c r="A4436"/>
      <c r="B4436"/>
      <c r="C4436"/>
      <c r="D4436"/>
      <c r="E4436" s="2">
        <f>Comuni__2[[#This Row],[Popolazione2011]]/$D$7911</f>
        <v>4.869320382046187E-4</v>
      </c>
      <c r="F4436">
        <f>SUMIFS($D$2:$D$7909, $B$2:$B$7909, "Piemonte")</f>
        <v>4363916</v>
      </c>
      <c r="G4436" s="1">
        <f>Comuni__2[[#This Row],[Popolazione2011]]/Comuni__2[[#This Row],[POPOLAZIONE TOTALE DI OGNI REGIONE (CON FILTRO)]]</f>
        <v>6.6305125946512257E-3</v>
      </c>
      <c r="H4436" t="str">
        <f>IF(Comuni__2[[#This Row],[Popolazione2011]]&gt;300000,"MAGGIORE","")</f>
        <v/>
      </c>
      <c r="J4436">
        <v>14</v>
      </c>
      <c r="K4436">
        <v>8825</v>
      </c>
      <c r="L4436">
        <v>1109</v>
      </c>
    </row>
    <row r="4437" spans="1:12" x14ac:dyDescent="0.2">
      <c r="A4437"/>
      <c r="B4437"/>
      <c r="C4437"/>
      <c r="D4437"/>
      <c r="E4437" s="2">
        <f>Comuni__2[[#This Row],[Popolazione2011]]/$D$7911</f>
        <v>4.8067184403796523E-4</v>
      </c>
      <c r="F4437">
        <f>SUMIFS($D$2:$D$7909, $B$2:$B$7909, "Piemonte")</f>
        <v>4363916</v>
      </c>
      <c r="G4437" s="1">
        <f>Comuni__2[[#This Row],[Popolazione2011]]/Comuni__2[[#This Row],[POPOLAZIONE TOTALE DI OGNI REGIONE (CON FILTRO)]]</f>
        <v>6.5452680574053209E-3</v>
      </c>
      <c r="H4437" t="str">
        <f>IF(Comuni__2[[#This Row],[Popolazione2011]]&gt;300000,"MAGGIORE","")</f>
        <v/>
      </c>
      <c r="J4437">
        <v>16</v>
      </c>
      <c r="K4437">
        <v>8832</v>
      </c>
      <c r="L4437">
        <v>1112</v>
      </c>
    </row>
    <row r="4438" spans="1:12" x14ac:dyDescent="0.2">
      <c r="A4438"/>
      <c r="B4438"/>
      <c r="C4438"/>
      <c r="D4438"/>
      <c r="E4438" s="2">
        <f>Comuni__2[[#This Row],[Popolazione2011]]/$D$7911</f>
        <v>4.6584595408951979E-4</v>
      </c>
      <c r="F4438">
        <f>SUMIFS($D$2:$D$7909, $B$2:$B$7909, "Piemonte")</f>
        <v>4363916</v>
      </c>
      <c r="G4438" s="1">
        <f>Comuni__2[[#This Row],[Popolazione2011]]/Comuni__2[[#This Row],[POPOLAZIONE TOTALE DI OGNI REGIONE (CON FILTRO)]]</f>
        <v>6.3433851614009065E-3</v>
      </c>
      <c r="H4438" t="str">
        <f>IF(Comuni__2[[#This Row],[Popolazione2011]]&gt;300000,"MAGGIORE","")</f>
        <v/>
      </c>
      <c r="J4438">
        <v>13</v>
      </c>
      <c r="K4438">
        <v>8838</v>
      </c>
      <c r="L4438">
        <v>1114</v>
      </c>
    </row>
    <row r="4439" spans="1:12" x14ac:dyDescent="0.2">
      <c r="A4439"/>
      <c r="B4439"/>
      <c r="C4439"/>
      <c r="D4439"/>
      <c r="E4439" s="2">
        <f>Comuni__2[[#This Row],[Popolazione2011]]/$D$7911</f>
        <v>4.3730485380284159E-4</v>
      </c>
      <c r="F4439">
        <f>SUMIFS($D$2:$D$7909, $B$2:$B$7909, "Piemonte")</f>
        <v>4363916</v>
      </c>
      <c r="G4439" s="1">
        <f>Comuni__2[[#This Row],[Popolazione2011]]/Comuni__2[[#This Row],[POPOLAZIONE TOTALE DI OGNI REGIONE (CON FILTRO)]]</f>
        <v>5.9547434001937707E-3</v>
      </c>
      <c r="H4439" t="str">
        <f>IF(Comuni__2[[#This Row],[Popolazione2011]]&gt;300000,"MAGGIORE","")</f>
        <v/>
      </c>
      <c r="J4439">
        <v>14</v>
      </c>
      <c r="K4439">
        <v>8841</v>
      </c>
      <c r="L4439">
        <v>1114</v>
      </c>
    </row>
    <row r="4440" spans="1:12" x14ac:dyDescent="0.2">
      <c r="A4440"/>
      <c r="B4440"/>
      <c r="C4440"/>
      <c r="D4440"/>
      <c r="E4440" s="2">
        <f>Comuni__2[[#This Row],[Popolazione2011]]/$D$7911</f>
        <v>4.3609320331897318E-4</v>
      </c>
      <c r="F4440">
        <f>SUMIFS($D$2:$D$7909, $B$2:$B$7909, "Piemonte")</f>
        <v>4363916</v>
      </c>
      <c r="G4440" s="1">
        <f>Comuni__2[[#This Row],[Popolazione2011]]/Comuni__2[[#This Row],[POPOLAZIONE TOTALE DI OGNI REGIONE (CON FILTRO)]]</f>
        <v>5.938244457501015E-3</v>
      </c>
      <c r="H4440" t="str">
        <f>IF(Comuni__2[[#This Row],[Popolazione2011]]&gt;300000,"MAGGIORE","")</f>
        <v/>
      </c>
      <c r="J4440">
        <v>14</v>
      </c>
      <c r="K4440">
        <v>8841</v>
      </c>
      <c r="L4440">
        <v>1114</v>
      </c>
    </row>
    <row r="4441" spans="1:12" x14ac:dyDescent="0.2">
      <c r="A4441"/>
      <c r="B4441"/>
      <c r="C4441"/>
      <c r="D4441"/>
      <c r="E4441" s="2">
        <f>Comuni__2[[#This Row],[Popolazione2011]]/$D$7911</f>
        <v>4.1583171467206249E-4</v>
      </c>
      <c r="F4441">
        <f>SUMIFS($D$2:$D$7909, $B$2:$B$7909, "Piemonte")</f>
        <v>4363916</v>
      </c>
      <c r="G4441" s="1">
        <f>Comuni__2[[#This Row],[Popolazione2011]]/Comuni__2[[#This Row],[POPOLAZIONE TOTALE DI OGNI REGIONE (CON FILTRO)]]</f>
        <v>5.662345471361044E-3</v>
      </c>
      <c r="H4441" t="str">
        <f>IF(Comuni__2[[#This Row],[Popolazione2011]]&gt;300000,"MAGGIORE","")</f>
        <v/>
      </c>
      <c r="J4441">
        <v>13</v>
      </c>
      <c r="K4441">
        <v>8851</v>
      </c>
      <c r="L4441">
        <v>1116</v>
      </c>
    </row>
    <row r="4442" spans="1:12" x14ac:dyDescent="0.2">
      <c r="A4442"/>
      <c r="B4442"/>
      <c r="C4442"/>
      <c r="D4442"/>
      <c r="E4442" s="2">
        <f>Comuni__2[[#This Row],[Popolazione2011]]/$D$7911</f>
        <v>3.9701747521421688E-4</v>
      </c>
      <c r="F4442">
        <f>SUMIFS($D$2:$D$7909, $B$2:$B$7909, "Piemonte")</f>
        <v>4363916</v>
      </c>
      <c r="G4442" s="1">
        <f>Comuni__2[[#This Row],[Popolazione2011]]/Comuni__2[[#This Row],[POPOLAZIONE TOTALE DI OGNI REGIONE (CON FILTRO)]]</f>
        <v>5.4061535556596419E-3</v>
      </c>
      <c r="H4442" t="str">
        <f>IF(Comuni__2[[#This Row],[Popolazione2011]]&gt;300000,"MAGGIORE","")</f>
        <v/>
      </c>
      <c r="J4442">
        <v>14</v>
      </c>
      <c r="K4442">
        <v>8854</v>
      </c>
      <c r="L4442">
        <v>1118</v>
      </c>
    </row>
    <row r="4443" spans="1:12" x14ac:dyDescent="0.2">
      <c r="A4443"/>
      <c r="B4443"/>
      <c r="C4443"/>
      <c r="D4443"/>
      <c r="E4443" s="2">
        <f>Comuni__2[[#This Row],[Popolazione2011]]/$D$7911</f>
        <v>3.7926342992975609E-4</v>
      </c>
      <c r="F4443">
        <f>SUMIFS($D$2:$D$7909, $B$2:$B$7909, "Piemonte")</f>
        <v>4363916</v>
      </c>
      <c r="G4443" s="1">
        <f>Comuni__2[[#This Row],[Popolazione2011]]/Comuni__2[[#This Row],[POPOLAZIONE TOTALE DI OGNI REGIONE (CON FILTRO)]]</f>
        <v>5.1643982148144004E-3</v>
      </c>
      <c r="H4443" t="str">
        <f>IF(Comuni__2[[#This Row],[Popolazione2011]]&gt;300000,"MAGGIORE","")</f>
        <v/>
      </c>
      <c r="J4443">
        <v>13</v>
      </c>
      <c r="K4443">
        <v>8857</v>
      </c>
      <c r="L4443">
        <v>1120</v>
      </c>
    </row>
    <row r="4444" spans="1:12" x14ac:dyDescent="0.2">
      <c r="A4444"/>
      <c r="B4444"/>
      <c r="C4444"/>
      <c r="D4444"/>
      <c r="E4444" s="2">
        <f>Comuni__2[[#This Row],[Popolazione2011]]/$D$7911</f>
        <v>3.744841419100529E-4</v>
      </c>
      <c r="F4444">
        <f>SUMIFS($D$2:$D$7909, $B$2:$B$7909, "Piemonte")</f>
        <v>4363916</v>
      </c>
      <c r="G4444" s="1">
        <f>Comuni__2[[#This Row],[Popolazione2011]]/Comuni__2[[#This Row],[POPOLAZIONE TOTALE DI OGNI REGIONE (CON FILTRO)]]</f>
        <v>5.0993190519707529E-3</v>
      </c>
      <c r="H4444" t="str">
        <f>IF(Comuni__2[[#This Row],[Popolazione2011]]&gt;300000,"MAGGIORE","")</f>
        <v/>
      </c>
      <c r="J4444">
        <v>11</v>
      </c>
      <c r="K4444">
        <v>8865</v>
      </c>
      <c r="L4444">
        <v>1121</v>
      </c>
    </row>
    <row r="4445" spans="1:12" x14ac:dyDescent="0.2">
      <c r="A4445"/>
      <c r="B4445"/>
      <c r="C4445"/>
      <c r="D4445"/>
      <c r="E4445" s="2">
        <f>Comuni__2[[#This Row],[Popolazione2011]]/$D$7911</f>
        <v>3.561915852994284E-4</v>
      </c>
      <c r="F4445">
        <f>SUMIFS($D$2:$D$7909, $B$2:$B$7909, "Piemonte")</f>
        <v>4363916</v>
      </c>
      <c r="G4445" s="1">
        <f>Comuni__2[[#This Row],[Popolazione2011]]/Comuni__2[[#This Row],[POPOLAZIONE TOTALE DI OGNI REGIONE (CON FILTRO)]]</f>
        <v>4.8502308477065097E-3</v>
      </c>
      <c r="H4445" t="str">
        <f>IF(Comuni__2[[#This Row],[Popolazione2011]]&gt;300000,"MAGGIORE","")</f>
        <v/>
      </c>
      <c r="J4445">
        <v>10</v>
      </c>
      <c r="K4445">
        <v>8869</v>
      </c>
      <c r="L4445">
        <v>1122</v>
      </c>
    </row>
    <row r="4446" spans="1:12" x14ac:dyDescent="0.2">
      <c r="A4446"/>
      <c r="B4446"/>
      <c r="C4446"/>
      <c r="D4446"/>
      <c r="E4446" s="2">
        <f>Comuni__2[[#This Row],[Popolazione2011]]/$D$7911</f>
        <v>3.5230420666368389E-4</v>
      </c>
      <c r="F4446">
        <f>SUMIFS($D$2:$D$7909, $B$2:$B$7909, "Piemonte")</f>
        <v>4363916</v>
      </c>
      <c r="G4446" s="1">
        <f>Comuni__2[[#This Row],[Popolazione2011]]/Comuni__2[[#This Row],[POPOLAZIONE TOTALE DI OGNI REGIONE (CON FILTRO)]]</f>
        <v>4.7972967399005847E-3</v>
      </c>
      <c r="H4446" t="str">
        <f>IF(Comuni__2[[#This Row],[Popolazione2011]]&gt;300000,"MAGGIORE","")</f>
        <v/>
      </c>
      <c r="J4446">
        <v>11</v>
      </c>
      <c r="K4446">
        <v>8869</v>
      </c>
      <c r="L4446">
        <v>1122</v>
      </c>
    </row>
    <row r="4447" spans="1:12" x14ac:dyDescent="0.2">
      <c r="A4447"/>
      <c r="B4447"/>
      <c r="C4447"/>
      <c r="D4447"/>
      <c r="E4447" s="2">
        <f>Comuni__2[[#This Row],[Popolazione2011]]/$D$7911</f>
        <v>3.3747831671523845E-4</v>
      </c>
      <c r="F4447">
        <f>SUMIFS($D$2:$D$7909, $B$2:$B$7909, "Piemonte")</f>
        <v>4363916</v>
      </c>
      <c r="G4447" s="1">
        <f>Comuni__2[[#This Row],[Popolazione2011]]/Comuni__2[[#This Row],[POPOLAZIONE TOTALE DI OGNI REGIONE (CON FILTRO)]]</f>
        <v>4.5954138438961704E-3</v>
      </c>
      <c r="H4447" t="str">
        <f>IF(Comuni__2[[#This Row],[Popolazione2011]]&gt;300000,"MAGGIORE","")</f>
        <v/>
      </c>
      <c r="J4447">
        <v>10</v>
      </c>
      <c r="K4447">
        <v>8869</v>
      </c>
      <c r="L4447">
        <v>1122</v>
      </c>
    </row>
    <row r="4448" spans="1:12" x14ac:dyDescent="0.2">
      <c r="A4448"/>
      <c r="B4448"/>
      <c r="C4448"/>
      <c r="D4448"/>
      <c r="E4448" s="2">
        <f>Comuni__2[[#This Row],[Popolazione2011]]/$D$7911</f>
        <v>3.3414627788460027E-4</v>
      </c>
      <c r="F4448">
        <f>SUMIFS($D$2:$D$7909, $B$2:$B$7909, "Piemonte")</f>
        <v>4363916</v>
      </c>
      <c r="G4448" s="1">
        <f>Comuni__2[[#This Row],[Popolazione2011]]/Comuni__2[[#This Row],[POPOLAZIONE TOTALE DI OGNI REGIONE (CON FILTRO)]]</f>
        <v>4.5500417514910919E-3</v>
      </c>
      <c r="H4448" t="str">
        <f>IF(Comuni__2[[#This Row],[Popolazione2011]]&gt;300000,"MAGGIORE","")</f>
        <v/>
      </c>
      <c r="J4448">
        <v>10</v>
      </c>
      <c r="K4448">
        <v>8894</v>
      </c>
      <c r="L4448">
        <v>1125</v>
      </c>
    </row>
    <row r="4449" spans="1:12" x14ac:dyDescent="0.2">
      <c r="A4449"/>
      <c r="B4449"/>
      <c r="C4449"/>
      <c r="D4449"/>
      <c r="E4449" s="2">
        <f>Comuni__2[[#This Row],[Popolazione2011]]/$D$7911</f>
        <v>3.3103300928021619E-4</v>
      </c>
      <c r="F4449">
        <f>SUMIFS($D$2:$D$7909, $B$2:$B$7909, "Piemonte")</f>
        <v>4363916</v>
      </c>
      <c r="G4449" s="1">
        <f>Comuni__2[[#This Row],[Popolazione2011]]/Comuni__2[[#This Row],[POPOLAZIONE TOTALE DI OGNI REGIONE (CON FILTRO)]]</f>
        <v>4.5076486348499837E-3</v>
      </c>
      <c r="H4449" t="str">
        <f>IF(Comuni__2[[#This Row],[Popolazione2011]]&gt;300000,"MAGGIORE","")</f>
        <v/>
      </c>
      <c r="J4449">
        <v>12</v>
      </c>
      <c r="K4449">
        <v>8898</v>
      </c>
      <c r="L4449">
        <v>1127</v>
      </c>
    </row>
    <row r="4450" spans="1:12" x14ac:dyDescent="0.2">
      <c r="A4450"/>
      <c r="B4450"/>
      <c r="C4450"/>
      <c r="D4450"/>
      <c r="E4450" s="2">
        <f>Comuni__2[[#This Row],[Popolazione2011]]/$D$7911</f>
        <v>3.2386407725066137E-4</v>
      </c>
      <c r="F4450">
        <f>SUMIFS($D$2:$D$7909, $B$2:$B$7909, "Piemonte")</f>
        <v>4363916</v>
      </c>
      <c r="G4450" s="1">
        <f>Comuni__2[[#This Row],[Popolazione2011]]/Comuni__2[[#This Row],[POPOLAZIONE TOTALE DI OGNI REGIONE (CON FILTRO)]]</f>
        <v>4.4100298905845117E-3</v>
      </c>
      <c r="H4450" t="str">
        <f>IF(Comuni__2[[#This Row],[Popolazione2011]]&gt;300000,"MAGGIORE","")</f>
        <v/>
      </c>
      <c r="J4450">
        <v>14</v>
      </c>
      <c r="K4450">
        <v>8908</v>
      </c>
      <c r="L4450">
        <v>1127</v>
      </c>
    </row>
    <row r="4451" spans="1:12" x14ac:dyDescent="0.2">
      <c r="A4451"/>
      <c r="B4451"/>
      <c r="C4451"/>
      <c r="D4451"/>
      <c r="E4451" s="2">
        <f>Comuni__2[[#This Row],[Popolazione2011]]/$D$7911</f>
        <v>3.1847896398902399E-4</v>
      </c>
      <c r="F4451">
        <f>SUMIFS($D$2:$D$7909, $B$2:$B$7909, "Piemonte")</f>
        <v>4363916</v>
      </c>
      <c r="G4451" s="1">
        <f>Comuni__2[[#This Row],[Popolazione2011]]/Comuni__2[[#This Row],[POPOLAZIONE TOTALE DI OGNI REGIONE (CON FILTRO)]]</f>
        <v>4.3367012563944865E-3</v>
      </c>
      <c r="H4451" t="str">
        <f>IF(Comuni__2[[#This Row],[Popolazione2011]]&gt;300000,"MAGGIORE","")</f>
        <v/>
      </c>
      <c r="J4451">
        <v>13</v>
      </c>
      <c r="K4451">
        <v>8909</v>
      </c>
      <c r="L4451">
        <v>1129</v>
      </c>
    </row>
    <row r="4452" spans="1:12" x14ac:dyDescent="0.2">
      <c r="A4452"/>
      <c r="B4452"/>
      <c r="C4452"/>
      <c r="D4452"/>
      <c r="E4452" s="2">
        <f>Comuni__2[[#This Row],[Popolazione2011]]/$D$7911</f>
        <v>3.0989643972828941E-4</v>
      </c>
      <c r="F4452">
        <f>SUMIFS($D$2:$D$7909, $B$2:$B$7909, "Piemonte")</f>
        <v>4363916</v>
      </c>
      <c r="G4452" s="1">
        <f>Comuni__2[[#This Row],[Popolazione2011]]/Comuni__2[[#This Row],[POPOLAZIONE TOTALE DI OGNI REGIONE (CON FILTRO)]]</f>
        <v>4.2198337456541323E-3</v>
      </c>
      <c r="H4452" t="str">
        <f>IF(Comuni__2[[#This Row],[Popolazione2011]]&gt;300000,"MAGGIORE","")</f>
        <v/>
      </c>
      <c r="J4452">
        <v>13</v>
      </c>
      <c r="K4452">
        <v>8915</v>
      </c>
      <c r="L4452">
        <v>1129</v>
      </c>
    </row>
    <row r="4453" spans="1:12" x14ac:dyDescent="0.2">
      <c r="A4453"/>
      <c r="B4453"/>
      <c r="C4453"/>
      <c r="D4453"/>
      <c r="E4453" s="2">
        <f>Comuni__2[[#This Row],[Popolazione2011]]/$D$7911</f>
        <v>3.0604271805043012E-4</v>
      </c>
      <c r="F4453">
        <f>SUMIFS($D$2:$D$7909, $B$2:$B$7909, "Piemonte")</f>
        <v>4363916</v>
      </c>
      <c r="G4453" s="1">
        <f>Comuni__2[[#This Row],[Popolazione2011]]/Comuni__2[[#This Row],[POPOLAZIONE TOTALE DI OGNI REGIONE (CON FILTRO)]]</f>
        <v>4.1673579418118958E-3</v>
      </c>
      <c r="H4453" t="str">
        <f>IF(Comuni__2[[#This Row],[Popolazione2011]]&gt;300000,"MAGGIORE","")</f>
        <v/>
      </c>
      <c r="J4453">
        <v>12</v>
      </c>
      <c r="K4453">
        <v>8920</v>
      </c>
      <c r="L4453">
        <v>1129</v>
      </c>
    </row>
    <row r="4454" spans="1:12" x14ac:dyDescent="0.2">
      <c r="A4454"/>
      <c r="B4454"/>
      <c r="C4454"/>
      <c r="D4454"/>
      <c r="E4454" s="2">
        <f>Comuni__2[[#This Row],[Popolazione2011]]/$D$7911</f>
        <v>3.0585760478206133E-4</v>
      </c>
      <c r="F4454">
        <f>SUMIFS($D$2:$D$7909, $B$2:$B$7909, "Piemonte")</f>
        <v>4363916</v>
      </c>
      <c r="G4454" s="1">
        <f>Comuni__2[[#This Row],[Popolazione2011]]/Comuni__2[[#This Row],[POPOLAZIONE TOTALE DI OGNI REGIONE (CON FILTRO)]]</f>
        <v>4.1648372700116131E-3</v>
      </c>
      <c r="H4454" t="str">
        <f>IF(Comuni__2[[#This Row],[Popolazione2011]]&gt;300000,"MAGGIORE","")</f>
        <v/>
      </c>
      <c r="J4454">
        <v>10</v>
      </c>
      <c r="K4454">
        <v>8921</v>
      </c>
      <c r="L4454">
        <v>1130</v>
      </c>
    </row>
    <row r="4455" spans="1:12" x14ac:dyDescent="0.2">
      <c r="A4455"/>
      <c r="B4455"/>
      <c r="C4455"/>
      <c r="D4455"/>
      <c r="E4455" s="2">
        <f>Comuni__2[[#This Row],[Popolazione2011]]/$D$7911</f>
        <v>3.0466278277713557E-4</v>
      </c>
      <c r="F4455">
        <f>SUMIFS($D$2:$D$7909, $B$2:$B$7909, "Piemonte")</f>
        <v>4363916</v>
      </c>
      <c r="G4455" s="1">
        <f>Comuni__2[[#This Row],[Popolazione2011]]/Comuni__2[[#This Row],[POPOLAZIONE TOTALE DI OGNI REGIONE (CON FILTRO)]]</f>
        <v>4.1485674793007013E-3</v>
      </c>
      <c r="H4455" t="str">
        <f>IF(Comuni__2[[#This Row],[Popolazione2011]]&gt;300000,"MAGGIORE","")</f>
        <v/>
      </c>
      <c r="J4455">
        <v>12</v>
      </c>
      <c r="K4455">
        <v>8927</v>
      </c>
      <c r="L4455">
        <v>1131</v>
      </c>
    </row>
    <row r="4456" spans="1:12" x14ac:dyDescent="0.2">
      <c r="A4456"/>
      <c r="B4456"/>
      <c r="C4456"/>
      <c r="D4456"/>
      <c r="E4456" s="2">
        <f>Comuni__2[[#This Row],[Popolazione2011]]/$D$7911</f>
        <v>2.8985372130763273E-4</v>
      </c>
      <c r="F4456">
        <f>SUMIFS($D$2:$D$7909, $B$2:$B$7909, "Piemonte")</f>
        <v>4363916</v>
      </c>
      <c r="G4456" s="1">
        <f>Comuni__2[[#This Row],[Popolazione2011]]/Comuni__2[[#This Row],[POPOLAZIONE TOTALE DI OGNI REGIONE (CON FILTRO)]]</f>
        <v>3.9469137352781307E-3</v>
      </c>
      <c r="H4456" t="str">
        <f>IF(Comuni__2[[#This Row],[Popolazione2011]]&gt;300000,"MAGGIORE","")</f>
        <v/>
      </c>
      <c r="J4456">
        <v>13</v>
      </c>
      <c r="K4456">
        <v>8927</v>
      </c>
      <c r="L4456">
        <v>1131</v>
      </c>
    </row>
    <row r="4457" spans="1:12" x14ac:dyDescent="0.2">
      <c r="A4457"/>
      <c r="B4457"/>
      <c r="C4457"/>
      <c r="D4457"/>
      <c r="E4457" s="2">
        <f>Comuni__2[[#This Row],[Popolazione2011]]/$D$7911</f>
        <v>2.8428349477762656E-4</v>
      </c>
      <c r="F4457">
        <f>SUMIFS($D$2:$D$7909, $B$2:$B$7909, "Piemonte")</f>
        <v>4363916</v>
      </c>
      <c r="G4457" s="1">
        <f>Comuni__2[[#This Row],[Popolazione2011]]/Comuni__2[[#This Row],[POPOLAZIONE TOTALE DI OGNI REGIONE (CON FILTRO)]]</f>
        <v>3.8710644292878232E-3</v>
      </c>
      <c r="H4457" t="str">
        <f>IF(Comuni__2[[#This Row],[Popolazione2011]]&gt;300000,"MAGGIORE","")</f>
        <v/>
      </c>
      <c r="J4457">
        <v>15</v>
      </c>
      <c r="K4457">
        <v>8935</v>
      </c>
      <c r="L4457">
        <v>1131</v>
      </c>
    </row>
    <row r="4458" spans="1:12" x14ac:dyDescent="0.2">
      <c r="A4458"/>
      <c r="B4458"/>
      <c r="C4458"/>
      <c r="D4458"/>
      <c r="E4458" s="2">
        <f>Comuni__2[[#This Row],[Popolazione2011]]/$D$7911</f>
        <v>2.73984465664745E-4</v>
      </c>
      <c r="F4458">
        <f>SUMIFS($D$2:$D$7909, $B$2:$B$7909, "Piemonte")</f>
        <v>4363916</v>
      </c>
      <c r="G4458" s="1">
        <f>Comuni__2[[#This Row],[Popolazione2011]]/Comuni__2[[#This Row],[POPOLAZIONE TOTALE DI OGNI REGIONE (CON FILTRO)]]</f>
        <v>3.7308234163993992E-3</v>
      </c>
      <c r="H4458" t="str">
        <f>IF(Comuni__2[[#This Row],[Popolazione2011]]&gt;300000,"MAGGIORE","")</f>
        <v/>
      </c>
      <c r="J4458">
        <v>14</v>
      </c>
      <c r="K4458">
        <v>8939</v>
      </c>
      <c r="L4458">
        <v>1131</v>
      </c>
    </row>
    <row r="4459" spans="1:12" x14ac:dyDescent="0.2">
      <c r="A4459"/>
      <c r="B4459"/>
      <c r="C4459"/>
      <c r="D4459"/>
      <c r="E4459" s="2">
        <f>Comuni__2[[#This Row],[Popolazione2011]]/$D$7911</f>
        <v>2.6494757247255978E-4</v>
      </c>
      <c r="F4459">
        <f>SUMIFS($D$2:$D$7909, $B$2:$B$7909, "Piemonte")</f>
        <v>4363916</v>
      </c>
      <c r="G4459" s="1">
        <f>Comuni__2[[#This Row],[Popolazione2011]]/Comuni__2[[#This Row],[POPOLAZIONE TOTALE DI OGNI REGIONE (CON FILTRO)]]</f>
        <v>3.6077688021492623E-3</v>
      </c>
      <c r="H4459" t="str">
        <f>IF(Comuni__2[[#This Row],[Popolazione2011]]&gt;300000,"MAGGIORE","")</f>
        <v/>
      </c>
      <c r="J4459">
        <v>13</v>
      </c>
      <c r="K4459">
        <v>8941</v>
      </c>
      <c r="L4459">
        <v>1131</v>
      </c>
    </row>
    <row r="4460" spans="1:12" x14ac:dyDescent="0.2">
      <c r="A4460"/>
      <c r="B4460"/>
      <c r="C4460"/>
      <c r="D4460"/>
      <c r="E4460" s="2">
        <f>Comuni__2[[#This Row],[Popolazione2011]]/$D$7911</f>
        <v>2.5781229740089021E-4</v>
      </c>
      <c r="F4460">
        <f>SUMIFS($D$2:$D$7909, $B$2:$B$7909, "Piemonte")</f>
        <v>4363916</v>
      </c>
      <c r="G4460" s="1">
        <f>Comuni__2[[#This Row],[Popolazione2011]]/Comuni__2[[#This Row],[POPOLAZIONE TOTALE DI OGNI REGIONE (CON FILTRO)]]</f>
        <v>3.5106083618474783E-3</v>
      </c>
      <c r="H4460" t="str">
        <f>IF(Comuni__2[[#This Row],[Popolazione2011]]&gt;300000,"MAGGIORE","")</f>
        <v/>
      </c>
      <c r="J4460">
        <v>13</v>
      </c>
      <c r="K4460">
        <v>8944</v>
      </c>
      <c r="L4460">
        <v>1131</v>
      </c>
    </row>
    <row r="4461" spans="1:12" x14ac:dyDescent="0.2">
      <c r="A4461"/>
      <c r="B4461"/>
      <c r="C4461"/>
      <c r="D4461"/>
      <c r="E4461" s="2">
        <f>Comuni__2[[#This Row],[Popolazione2011]]/$D$7911</f>
        <v>2.5256181197079377E-4</v>
      </c>
      <c r="F4461">
        <f>SUMIFS($D$2:$D$7909, $B$2:$B$7909, "Piemonte")</f>
        <v>4363916</v>
      </c>
      <c r="G4461" s="1">
        <f>Comuni__2[[#This Row],[Popolazione2011]]/Comuni__2[[#This Row],[POPOLAZIONE TOTALE DI OGNI REGIONE (CON FILTRO)]]</f>
        <v>3.4391129435122031E-3</v>
      </c>
      <c r="H4461" t="str">
        <f>IF(Comuni__2[[#This Row],[Popolazione2011]]&gt;300000,"MAGGIORE","")</f>
        <v/>
      </c>
      <c r="J4461">
        <v>13</v>
      </c>
      <c r="K4461">
        <v>8944</v>
      </c>
      <c r="L4461">
        <v>1131</v>
      </c>
    </row>
    <row r="4462" spans="1:12" x14ac:dyDescent="0.2">
      <c r="A4462"/>
      <c r="B4462"/>
      <c r="C4462"/>
      <c r="D4462"/>
      <c r="E4462" s="2">
        <f>Comuni__2[[#This Row],[Popolazione2011]]/$D$7911</f>
        <v>2.5239352718136758E-4</v>
      </c>
      <c r="F4462">
        <f>SUMIFS($D$2:$D$7909, $B$2:$B$7909, "Piemonte")</f>
        <v>4363916</v>
      </c>
      <c r="G4462" s="1">
        <f>Comuni__2[[#This Row],[Popolazione2011]]/Comuni__2[[#This Row],[POPOLAZIONE TOTALE DI OGNI REGIONE (CON FILTRO)]]</f>
        <v>3.436821423693765E-3</v>
      </c>
      <c r="H4462" t="str">
        <f>IF(Comuni__2[[#This Row],[Popolazione2011]]&gt;300000,"MAGGIORE","")</f>
        <v/>
      </c>
      <c r="J4462">
        <v>13</v>
      </c>
      <c r="K4462">
        <v>8944</v>
      </c>
      <c r="L4462">
        <v>1134</v>
      </c>
    </row>
    <row r="4463" spans="1:12" x14ac:dyDescent="0.2">
      <c r="A4463"/>
      <c r="B4463"/>
      <c r="C4463"/>
      <c r="D4463"/>
      <c r="E4463" s="2">
        <f>Comuni__2[[#This Row],[Popolazione2011]]/$D$7911</f>
        <v>2.4922977314015564E-4</v>
      </c>
      <c r="F4463">
        <f>SUMIFS($D$2:$D$7909, $B$2:$B$7909, "Piemonte")</f>
        <v>4363916</v>
      </c>
      <c r="G4463" s="1">
        <f>Comuni__2[[#This Row],[Popolazione2011]]/Comuni__2[[#This Row],[POPOLAZIONE TOTALE DI OGNI REGIONE (CON FILTRO)]]</f>
        <v>3.393740851107125E-3</v>
      </c>
      <c r="H4463" t="str">
        <f>IF(Comuni__2[[#This Row],[Popolazione2011]]&gt;300000,"MAGGIORE","")</f>
        <v/>
      </c>
      <c r="J4463">
        <v>15</v>
      </c>
      <c r="K4463">
        <v>8944</v>
      </c>
      <c r="L4463">
        <v>1134</v>
      </c>
    </row>
    <row r="4464" spans="1:12" x14ac:dyDescent="0.2">
      <c r="A4464"/>
      <c r="B4464"/>
      <c r="C4464"/>
      <c r="D4464"/>
      <c r="E4464" s="2">
        <f>Comuni__2[[#This Row],[Popolazione2011]]/$D$7911</f>
        <v>2.3888025859044627E-4</v>
      </c>
      <c r="F4464">
        <f>SUMIFS($D$2:$D$7909, $B$2:$B$7909, "Piemonte")</f>
        <v>4363916</v>
      </c>
      <c r="G4464" s="1">
        <f>Comuni__2[[#This Row],[Popolazione2011]]/Comuni__2[[#This Row],[POPOLAZIONE TOTALE DI OGNI REGIONE (CON FILTRO)]]</f>
        <v>3.2528123822731692E-3</v>
      </c>
      <c r="H4464" t="str">
        <f>IF(Comuni__2[[#This Row],[Popolazione2011]]&gt;300000,"MAGGIORE","")</f>
        <v/>
      </c>
      <c r="J4464">
        <v>17</v>
      </c>
      <c r="K4464">
        <v>8946</v>
      </c>
      <c r="L4464">
        <v>1134</v>
      </c>
    </row>
    <row r="4465" spans="1:12" x14ac:dyDescent="0.2">
      <c r="A4465"/>
      <c r="B4465"/>
      <c r="C4465"/>
      <c r="D4465"/>
      <c r="E4465" s="2">
        <f>Comuni__2[[#This Row],[Popolazione2011]]/$D$7911</f>
        <v>2.3844271813793823E-4</v>
      </c>
      <c r="F4465">
        <f>SUMIFS($D$2:$D$7909, $B$2:$B$7909, "Piemonte")</f>
        <v>4363916</v>
      </c>
      <c r="G4465" s="1">
        <f>Comuni__2[[#This Row],[Popolazione2011]]/Comuni__2[[#This Row],[POPOLAZIONE TOTALE DI OGNI REGIONE (CON FILTRO)]]</f>
        <v>3.2468544307452298E-3</v>
      </c>
      <c r="H4465" t="str">
        <f>IF(Comuni__2[[#This Row],[Popolazione2011]]&gt;300000,"MAGGIORE","")</f>
        <v/>
      </c>
      <c r="J4465">
        <v>17</v>
      </c>
      <c r="K4465">
        <v>8962</v>
      </c>
      <c r="L4465">
        <v>1134</v>
      </c>
    </row>
    <row r="4466" spans="1:12" x14ac:dyDescent="0.2">
      <c r="A4466"/>
      <c r="B4466"/>
      <c r="C4466"/>
      <c r="D4466"/>
      <c r="E4466" s="2">
        <f>Comuni__2[[#This Row],[Popolazione2011]]/$D$7911</f>
        <v>2.374161809224386E-4</v>
      </c>
      <c r="F4466">
        <f>SUMIFS($D$2:$D$7909, $B$2:$B$7909, "Piemonte")</f>
        <v>4363916</v>
      </c>
      <c r="G4466" s="1">
        <f>Comuni__2[[#This Row],[Popolazione2011]]/Comuni__2[[#This Row],[POPOLAZIONE TOTALE DI OGNI REGIONE (CON FILTRO)]]</f>
        <v>3.232876159852756E-3</v>
      </c>
      <c r="H4466" t="str">
        <f>IF(Comuni__2[[#This Row],[Popolazione2011]]&gt;300000,"MAGGIORE","")</f>
        <v/>
      </c>
      <c r="J4466">
        <v>16</v>
      </c>
      <c r="K4466">
        <v>8962</v>
      </c>
      <c r="L4466">
        <v>1135</v>
      </c>
    </row>
    <row r="4467" spans="1:12" x14ac:dyDescent="0.2">
      <c r="A4467"/>
      <c r="B4467"/>
      <c r="C4467"/>
      <c r="D4467"/>
      <c r="E4467" s="2">
        <f>Comuni__2[[#This Row],[Popolazione2011]]/$D$7911</f>
        <v>2.2970873756672009E-4</v>
      </c>
      <c r="F4467">
        <f>SUMIFS($D$2:$D$7909, $B$2:$B$7909, "Piemonte")</f>
        <v>4363916</v>
      </c>
      <c r="G4467" s="1">
        <f>Comuni__2[[#This Row],[Popolazione2011]]/Comuni__2[[#This Row],[POPOLAZIONE TOTALE DI OGNI REGIONE (CON FILTRO)]]</f>
        <v>3.1279245521682818E-3</v>
      </c>
      <c r="H4467" t="str">
        <f>IF(Comuni__2[[#This Row],[Popolazione2011]]&gt;300000,"MAGGIORE","")</f>
        <v/>
      </c>
      <c r="J4467">
        <v>15</v>
      </c>
      <c r="K4467">
        <v>8966</v>
      </c>
      <c r="L4467">
        <v>1135</v>
      </c>
    </row>
    <row r="4468" spans="1:12" x14ac:dyDescent="0.2">
      <c r="A4468"/>
      <c r="B4468"/>
      <c r="C4468"/>
      <c r="D4468"/>
      <c r="E4468" s="2">
        <f>Comuni__2[[#This Row],[Popolazione2011]]/$D$7911</f>
        <v>2.2531650456269708E-4</v>
      </c>
      <c r="F4468">
        <f>SUMIFS($D$2:$D$7909, $B$2:$B$7909, "Piemonte")</f>
        <v>4363916</v>
      </c>
      <c r="G4468" s="1">
        <f>Comuni__2[[#This Row],[Popolazione2011]]/Comuni__2[[#This Row],[POPOLAZIONE TOTALE DI OGNI REGIONE (CON FILTRO)]]</f>
        <v>3.0681158849070423E-3</v>
      </c>
      <c r="H4468" t="str">
        <f>IF(Comuni__2[[#This Row],[Popolazione2011]]&gt;300000,"MAGGIORE","")</f>
        <v/>
      </c>
      <c r="J4468">
        <v>17</v>
      </c>
      <c r="K4468">
        <v>8974</v>
      </c>
      <c r="L4468">
        <v>1136</v>
      </c>
    </row>
    <row r="4469" spans="1:12" x14ac:dyDescent="0.2">
      <c r="A4469"/>
      <c r="B4469"/>
      <c r="C4469"/>
      <c r="D4469"/>
      <c r="E4469" s="2">
        <f>Comuni__2[[#This Row],[Popolazione2011]]/$D$7911</f>
        <v>2.1929190910124024E-4</v>
      </c>
      <c r="F4469">
        <f>SUMIFS($D$2:$D$7909, $B$2:$B$7909, "Piemonte")</f>
        <v>4363916</v>
      </c>
      <c r="G4469" s="1">
        <f>Comuni__2[[#This Row],[Popolazione2011]]/Comuni__2[[#This Row],[POPOLAZIONE TOTALE DI OGNI REGIONE (CON FILTRO)]]</f>
        <v>2.9860794754069512E-3</v>
      </c>
      <c r="H4469" t="str">
        <f>IF(Comuni__2[[#This Row],[Popolazione2011]]&gt;300000,"MAGGIORE","")</f>
        <v/>
      </c>
      <c r="J4469">
        <v>18</v>
      </c>
      <c r="K4469">
        <v>8977</v>
      </c>
      <c r="L4469">
        <v>1137</v>
      </c>
    </row>
    <row r="4470" spans="1:12" x14ac:dyDescent="0.2">
      <c r="A4470"/>
      <c r="B4470"/>
      <c r="C4470"/>
      <c r="D4470"/>
      <c r="E4470" s="2">
        <f>Comuni__2[[#This Row],[Popolazione2011]]/$D$7911</f>
        <v>2.0820194147805573E-4</v>
      </c>
      <c r="F4470">
        <f>SUMIFS($D$2:$D$7909, $B$2:$B$7909, "Piemonte")</f>
        <v>4363916</v>
      </c>
      <c r="G4470" s="1">
        <f>Comuni__2[[#This Row],[Popolazione2011]]/Comuni__2[[#This Row],[POPOLAZIONE TOTALE DI OGNI REGIONE (CON FILTRO)]]</f>
        <v>2.8350683193718671E-3</v>
      </c>
      <c r="H4470" t="str">
        <f>IF(Comuni__2[[#This Row],[Popolazione2011]]&gt;300000,"MAGGIORE","")</f>
        <v/>
      </c>
      <c r="J4470">
        <v>18</v>
      </c>
      <c r="K4470">
        <v>8978</v>
      </c>
      <c r="L4470">
        <v>1137</v>
      </c>
    </row>
    <row r="4471" spans="1:12" x14ac:dyDescent="0.2">
      <c r="A4471"/>
      <c r="B4471"/>
      <c r="C4471"/>
      <c r="D4471"/>
      <c r="E4471" s="2">
        <f>Comuni__2[[#This Row],[Popolazione2011]]/$D$7911</f>
        <v>2.0793268581497388E-4</v>
      </c>
      <c r="F4471">
        <f>SUMIFS($D$2:$D$7909, $B$2:$B$7909, "Piemonte")</f>
        <v>4363916</v>
      </c>
      <c r="G4471" s="1">
        <f>Comuni__2[[#This Row],[Popolazione2011]]/Comuni__2[[#This Row],[POPOLAZIONE TOTALE DI OGNI REGIONE (CON FILTRO)]]</f>
        <v>2.8314018876623658E-3</v>
      </c>
      <c r="H4471" t="str">
        <f>IF(Comuni__2[[#This Row],[Popolazione2011]]&gt;300000,"MAGGIORE","")</f>
        <v/>
      </c>
      <c r="J4471">
        <v>20</v>
      </c>
      <c r="K4471">
        <v>8985</v>
      </c>
      <c r="L4471">
        <v>1137</v>
      </c>
    </row>
    <row r="4472" spans="1:12" x14ac:dyDescent="0.2">
      <c r="A4472"/>
      <c r="B4472"/>
      <c r="C4472"/>
      <c r="D4472"/>
      <c r="E4472" s="2">
        <f>Comuni__2[[#This Row],[Popolazione2011]]/$D$7911</f>
        <v>2.0411262109499984E-4</v>
      </c>
      <c r="F4472">
        <f>SUMIFS($D$2:$D$7909, $B$2:$B$7909, "Piemonte")</f>
        <v>4363916</v>
      </c>
      <c r="G4472" s="1">
        <f>Comuni__2[[#This Row],[Popolazione2011]]/Comuni__2[[#This Row],[POPOLAZIONE TOTALE DI OGNI REGIONE (CON FILTRO)]]</f>
        <v>2.7793843877838161E-3</v>
      </c>
      <c r="H4472" t="str">
        <f>IF(Comuni__2[[#This Row],[Popolazione2011]]&gt;300000,"MAGGIORE","")</f>
        <v/>
      </c>
      <c r="J4472">
        <v>18</v>
      </c>
      <c r="K4472">
        <v>8988</v>
      </c>
      <c r="L4472">
        <v>1137</v>
      </c>
    </row>
    <row r="4473" spans="1:12" x14ac:dyDescent="0.2">
      <c r="A4473"/>
      <c r="B4473"/>
      <c r="C4473"/>
      <c r="D4473"/>
      <c r="E4473" s="2">
        <f>Comuni__2[[#This Row],[Popolazione2011]]/$D$7911</f>
        <v>2.0306925540055759E-4</v>
      </c>
      <c r="F4473">
        <f>SUMIFS($D$2:$D$7909, $B$2:$B$7909, "Piemonte")</f>
        <v>4363916</v>
      </c>
      <c r="G4473" s="1">
        <f>Comuni__2[[#This Row],[Popolazione2011]]/Comuni__2[[#This Row],[POPOLAZIONE TOTALE DI OGNI REGIONE (CON FILTRO)]]</f>
        <v>2.7651769649094989E-3</v>
      </c>
      <c r="H4473" t="str">
        <f>IF(Comuni__2[[#This Row],[Popolazione2011]]&gt;300000,"MAGGIORE","")</f>
        <v/>
      </c>
      <c r="J4473">
        <v>15</v>
      </c>
      <c r="K4473">
        <v>8989</v>
      </c>
      <c r="L4473">
        <v>1137</v>
      </c>
    </row>
    <row r="4474" spans="1:12" x14ac:dyDescent="0.2">
      <c r="A4474"/>
      <c r="B4474"/>
      <c r="C4474"/>
      <c r="D4474"/>
      <c r="E4474" s="2">
        <f>Comuni__2[[#This Row],[Popolazione2011]]/$D$7911</f>
        <v>1.9728025864429739E-4</v>
      </c>
      <c r="F4474">
        <f>SUMIFS($D$2:$D$7909, $B$2:$B$7909, "Piemonte")</f>
        <v>4363916</v>
      </c>
      <c r="G4474" s="1">
        <f>Comuni__2[[#This Row],[Popolazione2011]]/Comuni__2[[#This Row],[POPOLAZIONE TOTALE DI OGNI REGIONE (CON FILTRO)]]</f>
        <v>2.6863486831552211E-3</v>
      </c>
      <c r="H4474" t="str">
        <f>IF(Comuni__2[[#This Row],[Popolazione2011]]&gt;300000,"MAGGIORE","")</f>
        <v/>
      </c>
      <c r="J4474">
        <v>15</v>
      </c>
      <c r="K4474">
        <v>8997</v>
      </c>
      <c r="L4474">
        <v>1137</v>
      </c>
    </row>
    <row r="4475" spans="1:12" x14ac:dyDescent="0.2">
      <c r="A4475"/>
      <c r="B4475"/>
      <c r="C4475"/>
      <c r="D4475"/>
      <c r="E4475" s="2">
        <f>Comuni__2[[#This Row],[Popolazione2011]]/$D$7911</f>
        <v>1.9664077644447795E-4</v>
      </c>
      <c r="F4475">
        <f>SUMIFS($D$2:$D$7909, $B$2:$B$7909, "Piemonte")</f>
        <v>4363916</v>
      </c>
      <c r="G4475" s="1">
        <f>Comuni__2[[#This Row],[Popolazione2011]]/Comuni__2[[#This Row],[POPOLAZIONE TOTALE DI OGNI REGIONE (CON FILTRO)]]</f>
        <v>2.6776409078451556E-3</v>
      </c>
      <c r="H4475" t="str">
        <f>IF(Comuni__2[[#This Row],[Popolazione2011]]&gt;300000,"MAGGIORE","")</f>
        <v/>
      </c>
      <c r="J4475">
        <v>17</v>
      </c>
      <c r="K4475">
        <v>8997</v>
      </c>
      <c r="L4475">
        <v>1137</v>
      </c>
    </row>
    <row r="4476" spans="1:12" x14ac:dyDescent="0.2">
      <c r="A4476"/>
      <c r="B4476"/>
      <c r="C4476"/>
      <c r="D4476"/>
      <c r="E4476" s="2">
        <f>Comuni__2[[#This Row],[Popolazione2011]]/$D$7911</f>
        <v>1.836155337428925E-4</v>
      </c>
      <c r="F4476">
        <f>SUMIFS($D$2:$D$7909, $B$2:$B$7909, "Piemonte")</f>
        <v>4363916</v>
      </c>
      <c r="G4476" s="1">
        <f>Comuni__2[[#This Row],[Popolazione2011]]/Comuni__2[[#This Row],[POPOLAZIONE TOTALE DI OGNI REGIONE (CON FILTRO)]]</f>
        <v>2.500277273898031E-3</v>
      </c>
      <c r="H4476" t="str">
        <f>IF(Comuni__2[[#This Row],[Popolazione2011]]&gt;300000,"MAGGIORE","")</f>
        <v/>
      </c>
      <c r="J4476">
        <v>19</v>
      </c>
      <c r="K4476">
        <v>9002</v>
      </c>
      <c r="L4476">
        <v>1137</v>
      </c>
    </row>
    <row r="4477" spans="1:12" x14ac:dyDescent="0.2">
      <c r="A4477"/>
      <c r="B4477"/>
      <c r="C4477"/>
      <c r="D4477"/>
      <c r="E4477" s="2">
        <f>Comuni__2[[#This Row],[Popolazione2011]]/$D$7911</f>
        <v>1.8124271821198354E-4</v>
      </c>
      <c r="F4477">
        <f>SUMIFS($D$2:$D$7909, $B$2:$B$7909, "Piemonte")</f>
        <v>4363916</v>
      </c>
      <c r="G4477" s="1">
        <f>Comuni__2[[#This Row],[Popolazione2011]]/Comuni__2[[#This Row],[POPOLAZIONE TOTALE DI OGNI REGIONE (CON FILTRO)]]</f>
        <v>2.4679668444580511E-3</v>
      </c>
      <c r="H4477" t="str">
        <f>IF(Comuni__2[[#This Row],[Popolazione2011]]&gt;300000,"MAGGIORE","")</f>
        <v/>
      </c>
      <c r="J4477">
        <v>18</v>
      </c>
      <c r="K4477">
        <v>9007</v>
      </c>
      <c r="L4477">
        <v>1137</v>
      </c>
    </row>
    <row r="4478" spans="1:12" x14ac:dyDescent="0.2">
      <c r="A4478"/>
      <c r="B4478"/>
      <c r="C4478"/>
      <c r="D4478"/>
      <c r="E4478" s="2">
        <f>Comuni__2[[#This Row],[Popolazione2011]]/$D$7911</f>
        <v>1.8070420688581979E-4</v>
      </c>
      <c r="F4478">
        <f>SUMIFS($D$2:$D$7909, $B$2:$B$7909, "Piemonte")</f>
        <v>4363916</v>
      </c>
      <c r="G4478" s="1">
        <f>Comuni__2[[#This Row],[Popolazione2011]]/Comuni__2[[#This Row],[POPOLAZIONE TOTALE DI OGNI REGIONE (CON FILTRO)]]</f>
        <v>2.4606339810390484E-3</v>
      </c>
      <c r="H4478" t="str">
        <f>IF(Comuni__2[[#This Row],[Popolazione2011]]&gt;300000,"MAGGIORE","")</f>
        <v/>
      </c>
      <c r="J4478">
        <v>16</v>
      </c>
      <c r="K4478">
        <v>9008</v>
      </c>
      <c r="L4478">
        <v>1137</v>
      </c>
    </row>
    <row r="4479" spans="1:12" x14ac:dyDescent="0.2">
      <c r="A4479"/>
      <c r="B4479"/>
      <c r="C4479"/>
      <c r="D4479"/>
      <c r="E4479" s="2">
        <f>Comuni__2[[#This Row],[Popolazione2011]]/$D$7911</f>
        <v>1.7786019394451754E-4</v>
      </c>
      <c r="F4479">
        <f>SUMIFS($D$2:$D$7909, $B$2:$B$7909, "Piemonte")</f>
        <v>4363916</v>
      </c>
      <c r="G4479" s="1">
        <f>Comuni__2[[#This Row],[Popolazione2011]]/Comuni__2[[#This Row],[POPOLAZIONE TOTALE DI OGNI REGIONE (CON FILTRO)]]</f>
        <v>2.4219072961074411E-3</v>
      </c>
      <c r="H4479" t="str">
        <f>IF(Comuni__2[[#This Row],[Popolazione2011]]&gt;300000,"MAGGIORE","")</f>
        <v/>
      </c>
      <c r="J4479">
        <v>15</v>
      </c>
      <c r="K4479">
        <v>9020</v>
      </c>
      <c r="L4479">
        <v>1137</v>
      </c>
    </row>
    <row r="4480" spans="1:12" x14ac:dyDescent="0.2">
      <c r="A4480"/>
      <c r="B4480"/>
      <c r="C4480"/>
      <c r="D4480"/>
      <c r="E4480" s="2">
        <f>Comuni__2[[#This Row],[Popolazione2011]]/$D$7911</f>
        <v>1.7454498359282202E-4</v>
      </c>
      <c r="F4480">
        <f>SUMIFS($D$2:$D$7909, $B$2:$B$7909, "Piemonte")</f>
        <v>4363916</v>
      </c>
      <c r="G4480" s="1">
        <f>Comuni__2[[#This Row],[Popolazione2011]]/Comuni__2[[#This Row],[POPOLAZIONE TOTALE DI OGNI REGIONE (CON FILTRO)]]</f>
        <v>2.3767643556842064E-3</v>
      </c>
      <c r="H4480" t="str">
        <f>IF(Comuni__2[[#This Row],[Popolazione2011]]&gt;300000,"MAGGIORE","")</f>
        <v/>
      </c>
      <c r="J4480">
        <v>13</v>
      </c>
      <c r="K4480">
        <v>9028</v>
      </c>
      <c r="L4480">
        <v>1138</v>
      </c>
    </row>
    <row r="4481" spans="1:12" x14ac:dyDescent="0.2">
      <c r="A4481"/>
      <c r="B4481"/>
      <c r="C4481"/>
      <c r="D4481"/>
      <c r="E4481" s="2">
        <f>Comuni__2[[#This Row],[Popolazione2011]]/$D$7911</f>
        <v>1.7198705479354426E-4</v>
      </c>
      <c r="F4481">
        <f>SUMIFS($D$2:$D$7909, $B$2:$B$7909, "Piemonte")</f>
        <v>4363916</v>
      </c>
      <c r="G4481" s="1">
        <f>Comuni__2[[#This Row],[Popolazione2011]]/Comuni__2[[#This Row],[POPOLAZIONE TOTALE DI OGNI REGIONE (CON FILTRO)]]</f>
        <v>2.3419332544439442E-3</v>
      </c>
      <c r="H4481" t="str">
        <f>IF(Comuni__2[[#This Row],[Popolazione2011]]&gt;300000,"MAGGIORE","")</f>
        <v/>
      </c>
      <c r="J4481">
        <v>14</v>
      </c>
      <c r="K4481">
        <v>9028</v>
      </c>
      <c r="L4481">
        <v>1138</v>
      </c>
    </row>
    <row r="4482" spans="1:12" x14ac:dyDescent="0.2">
      <c r="A4482"/>
      <c r="B4482"/>
      <c r="C4482"/>
      <c r="D4482"/>
      <c r="E4482" s="2">
        <f>Comuni__2[[#This Row],[Popolazione2011]]/$D$7911</f>
        <v>1.7018640754668427E-4</v>
      </c>
      <c r="F4482">
        <f>SUMIFS($D$2:$D$7909, $B$2:$B$7909, "Piemonte")</f>
        <v>4363916</v>
      </c>
      <c r="G4482" s="1">
        <f>Comuni__2[[#This Row],[Popolazione2011]]/Comuni__2[[#This Row],[POPOLAZIONE TOTALE DI OGNI REGIONE (CON FILTRO)]]</f>
        <v>2.3174139923866546E-3</v>
      </c>
      <c r="H4482" t="str">
        <f>IF(Comuni__2[[#This Row],[Popolazione2011]]&gt;300000,"MAGGIORE","")</f>
        <v/>
      </c>
      <c r="J4482">
        <v>15</v>
      </c>
      <c r="K4482">
        <v>9028</v>
      </c>
      <c r="L4482">
        <v>1139</v>
      </c>
    </row>
    <row r="4483" spans="1:12" x14ac:dyDescent="0.2">
      <c r="A4483"/>
      <c r="B4483"/>
      <c r="C4483"/>
      <c r="D4483"/>
      <c r="E4483" s="2">
        <f>Comuni__2[[#This Row],[Popolazione2011]]/$D$7911</f>
        <v>1.6969838165734839E-4</v>
      </c>
      <c r="F4483">
        <f>SUMIFS($D$2:$D$7909, $B$2:$B$7909, "Piemonte")</f>
        <v>4363916</v>
      </c>
      <c r="G4483" s="1">
        <f>Comuni__2[[#This Row],[Popolazione2011]]/Comuni__2[[#This Row],[POPOLAZIONE TOTALE DI OGNI REGIONE (CON FILTRO)]]</f>
        <v>2.3107685849131834E-3</v>
      </c>
      <c r="H4483" t="str">
        <f>IF(Comuni__2[[#This Row],[Popolazione2011]]&gt;300000,"MAGGIORE","")</f>
        <v/>
      </c>
      <c r="J4483">
        <v>20</v>
      </c>
      <c r="K4483">
        <v>9028</v>
      </c>
      <c r="L4483">
        <v>1139</v>
      </c>
    </row>
    <row r="4484" spans="1:12" x14ac:dyDescent="0.2">
      <c r="A4484"/>
      <c r="B4484"/>
      <c r="C4484"/>
      <c r="D4484"/>
      <c r="E4484" s="2">
        <f>Comuni__2[[#This Row],[Popolazione2011]]/$D$7911</f>
        <v>1.6875598683656183E-4</v>
      </c>
      <c r="F4484">
        <f>SUMIFS($D$2:$D$7909, $B$2:$B$7909, "Piemonte")</f>
        <v>4363916</v>
      </c>
      <c r="G4484" s="1">
        <f>Comuni__2[[#This Row],[Popolazione2011]]/Comuni__2[[#This Row],[POPOLAZIONE TOTALE DI OGNI REGIONE (CON FILTRO)]]</f>
        <v>2.297936073929929E-3</v>
      </c>
      <c r="H4484" t="str">
        <f>IF(Comuni__2[[#This Row],[Popolazione2011]]&gt;300000,"MAGGIORE","")</f>
        <v/>
      </c>
      <c r="J4484">
        <v>25</v>
      </c>
      <c r="K4484">
        <v>9040</v>
      </c>
      <c r="L4484">
        <v>1139</v>
      </c>
    </row>
    <row r="4485" spans="1:12" x14ac:dyDescent="0.2">
      <c r="A4485"/>
      <c r="B4485"/>
      <c r="C4485"/>
      <c r="D4485"/>
      <c r="E4485" s="2">
        <f>Comuni__2[[#This Row],[Popolazione2011]]/$D$7911</f>
        <v>1.6836893182088164E-4</v>
      </c>
      <c r="F4485">
        <f>SUMIFS($D$2:$D$7909, $B$2:$B$7909, "Piemonte")</f>
        <v>4363916</v>
      </c>
      <c r="G4485" s="1">
        <f>Comuni__2[[#This Row],[Popolazione2011]]/Comuni__2[[#This Row],[POPOLAZIONE TOTALE DI OGNI REGIONE (CON FILTRO)]]</f>
        <v>2.2926655783475211E-3</v>
      </c>
      <c r="H4485" t="str">
        <f>IF(Comuni__2[[#This Row],[Popolazione2011]]&gt;300000,"MAGGIORE","")</f>
        <v/>
      </c>
      <c r="J4485">
        <v>29</v>
      </c>
      <c r="K4485">
        <v>9044</v>
      </c>
      <c r="L4485">
        <v>1139</v>
      </c>
    </row>
    <row r="4486" spans="1:12" x14ac:dyDescent="0.2">
      <c r="A4486"/>
      <c r="B4486"/>
      <c r="C4486"/>
      <c r="D4486"/>
      <c r="E4486" s="2">
        <f>Comuni__2[[#This Row],[Popolazione2011]]/$D$7911</f>
        <v>1.6688802567393137E-4</v>
      </c>
      <c r="F4486">
        <f>SUMIFS($D$2:$D$7909, $B$2:$B$7909, "Piemonte")</f>
        <v>4363916</v>
      </c>
      <c r="G4486" s="1">
        <f>Comuni__2[[#This Row],[Popolazione2011]]/Comuni__2[[#This Row],[POPOLAZIONE TOTALE DI OGNI REGIONE (CON FILTRO)]]</f>
        <v>2.2725002039452637E-3</v>
      </c>
      <c r="H4486" t="str">
        <f>IF(Comuni__2[[#This Row],[Popolazione2011]]&gt;300000,"MAGGIORE","")</f>
        <v/>
      </c>
      <c r="J4486">
        <v>33</v>
      </c>
      <c r="K4486">
        <v>9046</v>
      </c>
      <c r="L4486">
        <v>1139</v>
      </c>
    </row>
    <row r="4487" spans="1:12" x14ac:dyDescent="0.2">
      <c r="A4487"/>
      <c r="B4487"/>
      <c r="C4487"/>
      <c r="D4487"/>
      <c r="E4487" s="2">
        <f>Comuni__2[[#This Row],[Popolazione2011]]/$D$7911</f>
        <v>1.6365695771694891E-4</v>
      </c>
      <c r="F4487">
        <f>SUMIFS($D$2:$D$7909, $B$2:$B$7909, "Piemonte")</f>
        <v>4363916</v>
      </c>
      <c r="G4487" s="1">
        <f>Comuni__2[[#This Row],[Popolazione2011]]/Comuni__2[[#This Row],[POPOLAZIONE TOTALE DI OGNI REGIONE (CON FILTRO)]]</f>
        <v>2.2285030234312484E-3</v>
      </c>
      <c r="H4487" t="str">
        <f>IF(Comuni__2[[#This Row],[Popolazione2011]]&gt;300000,"MAGGIORE","")</f>
        <v/>
      </c>
      <c r="J4487">
        <v>36</v>
      </c>
      <c r="K4487">
        <v>9049</v>
      </c>
      <c r="L4487">
        <v>1139</v>
      </c>
    </row>
    <row r="4488" spans="1:12" x14ac:dyDescent="0.2">
      <c r="A4488"/>
      <c r="B4488"/>
      <c r="C4488"/>
      <c r="D4488"/>
      <c r="E4488" s="2">
        <f>Comuni__2[[#This Row],[Popolazione2011]]/$D$7911</f>
        <v>1.623275078804822E-4</v>
      </c>
      <c r="F4488">
        <f>SUMIFS($D$2:$D$7909, $B$2:$B$7909, "Piemonte")</f>
        <v>4363916</v>
      </c>
      <c r="G4488" s="1">
        <f>Comuni__2[[#This Row],[Popolazione2011]]/Comuni__2[[#This Row],[POPOLAZIONE TOTALE DI OGNI REGIONE (CON FILTRO)]]</f>
        <v>2.2104000168655857E-3</v>
      </c>
      <c r="H4488" t="str">
        <f>IF(Comuni__2[[#This Row],[Popolazione2011]]&gt;300000,"MAGGIORE","")</f>
        <v/>
      </c>
      <c r="J4488">
        <v>42</v>
      </c>
      <c r="K4488">
        <v>9056</v>
      </c>
      <c r="L4488">
        <v>1139</v>
      </c>
    </row>
    <row r="4489" spans="1:12" x14ac:dyDescent="0.2">
      <c r="A4489"/>
      <c r="B4489"/>
      <c r="C4489"/>
      <c r="D4489"/>
      <c r="E4489" s="2">
        <f>Comuni__2[[#This Row],[Popolazione2011]]/$D$7911</f>
        <v>1.6047637519679434E-4</v>
      </c>
      <c r="F4489">
        <f>SUMIFS($D$2:$D$7909, $B$2:$B$7909, "Piemonte")</f>
        <v>4363916</v>
      </c>
      <c r="G4489" s="1">
        <f>Comuni__2[[#This Row],[Popolazione2011]]/Comuni__2[[#This Row],[POPOLAZIONE TOTALE DI OGNI REGIONE (CON FILTRO)]]</f>
        <v>2.1851932988627646E-3</v>
      </c>
      <c r="H4489" t="str">
        <f>IF(Comuni__2[[#This Row],[Popolazione2011]]&gt;300000,"MAGGIORE","")</f>
        <v/>
      </c>
      <c r="J4489">
        <v>44</v>
      </c>
      <c r="K4489">
        <v>9065</v>
      </c>
      <c r="L4489">
        <v>1139</v>
      </c>
    </row>
    <row r="4490" spans="1:12" x14ac:dyDescent="0.2">
      <c r="A4490"/>
      <c r="B4490"/>
      <c r="C4490"/>
      <c r="D4490"/>
      <c r="E4490" s="2">
        <f>Comuni__2[[#This Row],[Popolazione2011]]/$D$7911</f>
        <v>1.5776699008703302E-4</v>
      </c>
      <c r="F4490">
        <f>SUMIFS($D$2:$D$7909, $B$2:$B$7909, "Piemonte")</f>
        <v>4363916</v>
      </c>
      <c r="G4490" s="1">
        <f>Comuni__2[[#This Row],[Popolazione2011]]/Comuni__2[[#This Row],[POPOLAZIONE TOTALE DI OGNI REGIONE (CON FILTRO)]]</f>
        <v>2.1482998297859077E-3</v>
      </c>
      <c r="H4490" t="str">
        <f>IF(Comuni__2[[#This Row],[Popolazione2011]]&gt;300000,"MAGGIORE","")</f>
        <v/>
      </c>
      <c r="J4490">
        <v>46</v>
      </c>
      <c r="K4490">
        <v>9075</v>
      </c>
      <c r="L4490">
        <v>1139</v>
      </c>
    </row>
    <row r="4491" spans="1:12" x14ac:dyDescent="0.2">
      <c r="A4491"/>
      <c r="B4491"/>
      <c r="C4491"/>
      <c r="D4491"/>
      <c r="E4491" s="2">
        <f>Comuni__2[[#This Row],[Popolazione2011]]/$D$7911</f>
        <v>1.5408155319859994E-4</v>
      </c>
      <c r="F4491">
        <f>SUMIFS($D$2:$D$7909, $B$2:$B$7909, "Piemonte")</f>
        <v>4363916</v>
      </c>
      <c r="G4491" s="1">
        <f>Comuni__2[[#This Row],[Popolazione2011]]/Comuni__2[[#This Row],[POPOLAZIONE TOTALE DI OGNI REGIONE (CON FILTRO)]]</f>
        <v>2.0981155457621089E-3</v>
      </c>
      <c r="H4491" t="str">
        <f>IF(Comuni__2[[#This Row],[Popolazione2011]]&gt;300000,"MAGGIORE","")</f>
        <v/>
      </c>
      <c r="J4491">
        <v>49</v>
      </c>
      <c r="K4491">
        <v>9083</v>
      </c>
      <c r="L4491">
        <v>1140</v>
      </c>
    </row>
    <row r="4492" spans="1:12" x14ac:dyDescent="0.2">
      <c r="A4492"/>
      <c r="B4492"/>
      <c r="C4492"/>
      <c r="D4492"/>
      <c r="E4492" s="2">
        <f>Comuni__2[[#This Row],[Popolazione2011]]/$D$7911</f>
        <v>1.4851132666859375E-4</v>
      </c>
      <c r="F4492">
        <f>SUMIFS($D$2:$D$7909, $B$2:$B$7909, "Piemonte")</f>
        <v>4363916</v>
      </c>
      <c r="G4492" s="1">
        <f>Comuni__2[[#This Row],[Popolazione2011]]/Comuni__2[[#This Row],[POPOLAZIONE TOTALE DI OGNI REGIONE (CON FILTRO)]]</f>
        <v>2.0222662397718014E-3</v>
      </c>
      <c r="H4492" t="str">
        <f>IF(Comuni__2[[#This Row],[Popolazione2011]]&gt;300000,"MAGGIORE","")</f>
        <v/>
      </c>
      <c r="J4492">
        <v>48</v>
      </c>
      <c r="K4492">
        <v>9100</v>
      </c>
      <c r="L4492">
        <v>1140</v>
      </c>
    </row>
    <row r="4493" spans="1:12" x14ac:dyDescent="0.2">
      <c r="A4493"/>
      <c r="B4493"/>
      <c r="C4493"/>
      <c r="D4493"/>
      <c r="E4493" s="2">
        <f>Comuni__2[[#This Row],[Popolazione2011]]/$D$7911</f>
        <v>1.4623948201134048E-4</v>
      </c>
      <c r="F4493">
        <f>SUMIFS($D$2:$D$7909, $B$2:$B$7909, "Piemonte")</f>
        <v>4363916</v>
      </c>
      <c r="G4493" s="1">
        <f>Comuni__2[[#This Row],[Popolazione2011]]/Comuni__2[[#This Row],[POPOLAZIONE TOTALE DI OGNI REGIONE (CON FILTRO)]]</f>
        <v>1.9913307222228843E-3</v>
      </c>
      <c r="H4493" t="str">
        <f>IF(Comuni__2[[#This Row],[Popolazione2011]]&gt;300000,"MAGGIORE","")</f>
        <v/>
      </c>
      <c r="J4493">
        <v>51</v>
      </c>
      <c r="K4493">
        <v>9105</v>
      </c>
      <c r="L4493">
        <v>1141</v>
      </c>
    </row>
    <row r="4494" spans="1:12" x14ac:dyDescent="0.2">
      <c r="A4494"/>
      <c r="B4494"/>
      <c r="C4494"/>
      <c r="D4494"/>
      <c r="E4494" s="2">
        <f>Comuni__2[[#This Row],[Popolazione2011]]/$D$7911</f>
        <v>1.4559999981152104E-4</v>
      </c>
      <c r="F4494">
        <f>SUMIFS($D$2:$D$7909, $B$2:$B$7909, "Piemonte")</f>
        <v>4363916</v>
      </c>
      <c r="G4494" s="1">
        <f>Comuni__2[[#This Row],[Popolazione2011]]/Comuni__2[[#This Row],[POPOLAZIONE TOTALE DI OGNI REGIONE (CON FILTRO)]]</f>
        <v>1.9826229469128188E-3</v>
      </c>
      <c r="H4494" t="str">
        <f>IF(Comuni__2[[#This Row],[Popolazione2011]]&gt;300000,"MAGGIORE","")</f>
        <v/>
      </c>
      <c r="J4494">
        <v>49</v>
      </c>
      <c r="K4494">
        <v>9125</v>
      </c>
      <c r="L4494">
        <v>1141</v>
      </c>
    </row>
    <row r="4495" spans="1:12" x14ac:dyDescent="0.2">
      <c r="A4495"/>
      <c r="B4495"/>
      <c r="C4495"/>
      <c r="D4495"/>
      <c r="E4495" s="2">
        <f>Comuni__2[[#This Row],[Popolazione2011]]/$D$7911</f>
        <v>1.4524660175372608E-4</v>
      </c>
      <c r="F4495">
        <f>SUMIFS($D$2:$D$7909, $B$2:$B$7909, "Piemonte")</f>
        <v>4363916</v>
      </c>
      <c r="G4495" s="1">
        <f>Comuni__2[[#This Row],[Popolazione2011]]/Comuni__2[[#This Row],[POPOLAZIONE TOTALE DI OGNI REGIONE (CON FILTRO)]]</f>
        <v>1.9778107552940981E-3</v>
      </c>
      <c r="H4495" t="str">
        <f>IF(Comuni__2[[#This Row],[Popolazione2011]]&gt;300000,"MAGGIORE","")</f>
        <v/>
      </c>
      <c r="J4495">
        <v>53</v>
      </c>
      <c r="K4495">
        <v>9141</v>
      </c>
      <c r="L4495">
        <v>1141</v>
      </c>
    </row>
    <row r="4496" spans="1:12" x14ac:dyDescent="0.2">
      <c r="A4496"/>
      <c r="B4496"/>
      <c r="C4496"/>
      <c r="D4496"/>
      <c r="E4496" s="2">
        <f>Comuni__2[[#This Row],[Popolazione2011]]/$D$7911</f>
        <v>1.4272232991233356E-4</v>
      </c>
      <c r="F4496">
        <f>SUMIFS($D$2:$D$7909, $B$2:$B$7909, "Piemonte")</f>
        <v>4363916</v>
      </c>
      <c r="G4496" s="1">
        <f>Comuni__2[[#This Row],[Popolazione2011]]/Comuni__2[[#This Row],[POPOLAZIONE TOTALE DI OGNI REGIONE (CON FILTRO)]]</f>
        <v>1.9434379580175237E-3</v>
      </c>
      <c r="H4496" t="str">
        <f>IF(Comuni__2[[#This Row],[Popolazione2011]]&gt;300000,"MAGGIORE","")</f>
        <v/>
      </c>
      <c r="J4496">
        <v>60</v>
      </c>
      <c r="K4496">
        <v>9143</v>
      </c>
      <c r="L4496">
        <v>1141</v>
      </c>
    </row>
    <row r="4497" spans="1:12" x14ac:dyDescent="0.2">
      <c r="A4497"/>
      <c r="B4497"/>
      <c r="C4497"/>
      <c r="D4497"/>
      <c r="E4497" s="2">
        <f>Comuni__2[[#This Row],[Popolazione2011]]/$D$7911</f>
        <v>1.4268867295444832E-4</v>
      </c>
      <c r="F4497">
        <f>SUMIFS($D$2:$D$7909, $B$2:$B$7909, "Piemonte")</f>
        <v>4363916</v>
      </c>
      <c r="G4497" s="1">
        <f>Comuni__2[[#This Row],[Popolazione2011]]/Comuni__2[[#This Row],[POPOLAZIONE TOTALE DI OGNI REGIONE (CON FILTRO)]]</f>
        <v>1.9429796540538361E-3</v>
      </c>
      <c r="H4497" t="str">
        <f>IF(Comuni__2[[#This Row],[Popolazione2011]]&gt;300000,"MAGGIORE","")</f>
        <v/>
      </c>
      <c r="J4497">
        <v>62</v>
      </c>
      <c r="K4497">
        <v>9175</v>
      </c>
      <c r="L4497">
        <v>1142</v>
      </c>
    </row>
    <row r="4498" spans="1:12" x14ac:dyDescent="0.2">
      <c r="A4498"/>
      <c r="B4498"/>
      <c r="C4498"/>
      <c r="D4498"/>
      <c r="E4498" s="2">
        <f>Comuni__2[[#This Row],[Popolazione2011]]/$D$7911</f>
        <v>1.4196504835991579E-4</v>
      </c>
      <c r="F4498">
        <f>SUMIFS($D$2:$D$7909, $B$2:$B$7909, "Piemonte")</f>
        <v>4363916</v>
      </c>
      <c r="G4498" s="1">
        <f>Comuni__2[[#This Row],[Popolazione2011]]/Comuni__2[[#This Row],[POPOLAZIONE TOTALE DI OGNI REGIONE (CON FILTRO)]]</f>
        <v>1.9331261188345514E-3</v>
      </c>
      <c r="H4498" t="str">
        <f>IF(Comuni__2[[#This Row],[Popolazione2011]]&gt;300000,"MAGGIORE","")</f>
        <v/>
      </c>
      <c r="J4498">
        <v>66</v>
      </c>
      <c r="K4498">
        <v>9189</v>
      </c>
      <c r="L4498">
        <v>1142</v>
      </c>
    </row>
    <row r="4499" spans="1:12" x14ac:dyDescent="0.2">
      <c r="A4499"/>
      <c r="B4499"/>
      <c r="C4499"/>
      <c r="D4499"/>
      <c r="E4499" s="2">
        <f>Comuni__2[[#This Row],[Popolazione2011]]/$D$7911</f>
        <v>1.4139288007586681E-4</v>
      </c>
      <c r="F4499">
        <f>SUMIFS($D$2:$D$7909, $B$2:$B$7909, "Piemonte")</f>
        <v>4363916</v>
      </c>
      <c r="G4499" s="1">
        <f>Comuni__2[[#This Row],[Popolazione2011]]/Comuni__2[[#This Row],[POPOLAZIONE TOTALE DI OGNI REGIONE (CON FILTRO)]]</f>
        <v>1.9253349514518612E-3</v>
      </c>
      <c r="H4499" t="str">
        <f>IF(Comuni__2[[#This Row],[Popolazione2011]]&gt;300000,"MAGGIORE","")</f>
        <v/>
      </c>
      <c r="J4499">
        <v>70</v>
      </c>
      <c r="K4499">
        <v>9206</v>
      </c>
      <c r="L4499">
        <v>1143</v>
      </c>
    </row>
    <row r="4500" spans="1:12" x14ac:dyDescent="0.2">
      <c r="A4500"/>
      <c r="B4500"/>
      <c r="C4500"/>
      <c r="D4500"/>
      <c r="E4500" s="2">
        <f>Comuni__2[[#This Row],[Popolazione2011]]/$D$7911</f>
        <v>1.4090485418653093E-4</v>
      </c>
      <c r="F4500">
        <f>SUMIFS($D$2:$D$7909, $B$2:$B$7909, "Piemonte")</f>
        <v>4363916</v>
      </c>
      <c r="G4500" s="1">
        <f>Comuni__2[[#This Row],[Popolazione2011]]/Comuni__2[[#This Row],[POPOLAZIONE TOTALE DI OGNI REGIONE (CON FILTRO)]]</f>
        <v>1.91868954397839E-3</v>
      </c>
      <c r="H4500" t="str">
        <f>IF(Comuni__2[[#This Row],[Popolazione2011]]&gt;300000,"MAGGIORE","")</f>
        <v/>
      </c>
      <c r="J4500">
        <v>75</v>
      </c>
      <c r="K4500">
        <v>9219</v>
      </c>
      <c r="L4500">
        <v>1143</v>
      </c>
    </row>
    <row r="4501" spans="1:12" x14ac:dyDescent="0.2">
      <c r="A4501"/>
      <c r="B4501"/>
      <c r="C4501"/>
      <c r="D4501"/>
      <c r="E4501" s="2">
        <f>Comuni__2[[#This Row],[Popolazione2011]]/$D$7911</f>
        <v>1.3920517781332664E-4</v>
      </c>
      <c r="F4501">
        <f>SUMIFS($D$2:$D$7909, $B$2:$B$7909, "Piemonte")</f>
        <v>4363916</v>
      </c>
      <c r="G4501" s="1">
        <f>Comuni__2[[#This Row],[Popolazione2011]]/Comuni__2[[#This Row],[POPOLAZIONE TOTALE DI OGNI REGIONE (CON FILTRO)]]</f>
        <v>1.8955451938121631E-3</v>
      </c>
      <c r="H4501" t="str">
        <f>IF(Comuni__2[[#This Row],[Popolazione2011]]&gt;300000,"MAGGIORE","")</f>
        <v/>
      </c>
      <c r="J4501">
        <v>77</v>
      </c>
      <c r="K4501">
        <v>9260</v>
      </c>
      <c r="L4501">
        <v>1143</v>
      </c>
    </row>
    <row r="4502" spans="1:12" x14ac:dyDescent="0.2">
      <c r="A4502"/>
      <c r="B4502"/>
      <c r="C4502"/>
      <c r="D4502"/>
      <c r="E4502" s="2">
        <f>Comuni__2[[#This Row],[Popolazione2011]]/$D$7911</f>
        <v>1.3765695775060587E-4</v>
      </c>
      <c r="F4502">
        <f>SUMIFS($D$2:$D$7909, $B$2:$B$7909, "Piemonte")</f>
        <v>4363916</v>
      </c>
      <c r="G4502" s="1">
        <f>Comuni__2[[#This Row],[Popolazione2011]]/Comuni__2[[#This Row],[POPOLAZIONE TOTALE DI OGNI REGIONE (CON FILTRO)]]</f>
        <v>1.8744632114825307E-3</v>
      </c>
      <c r="H4502" t="str">
        <f>IF(Comuni__2[[#This Row],[Popolazione2011]]&gt;300000,"MAGGIORE","")</f>
        <v/>
      </c>
      <c r="J4502">
        <v>85</v>
      </c>
      <c r="K4502">
        <v>9277</v>
      </c>
      <c r="L4502">
        <v>1143</v>
      </c>
    </row>
    <row r="4503" spans="1:12" x14ac:dyDescent="0.2">
      <c r="A4503"/>
      <c r="B4503"/>
      <c r="C4503"/>
      <c r="D4503"/>
      <c r="E4503" s="2">
        <f>Comuni__2[[#This Row],[Popolazione2011]]/$D$7911</f>
        <v>1.345941745830496E-4</v>
      </c>
      <c r="F4503">
        <f>SUMIFS($D$2:$D$7909, $B$2:$B$7909, "Piemonte")</f>
        <v>4363916</v>
      </c>
      <c r="G4503" s="1">
        <f>Comuni__2[[#This Row],[Popolazione2011]]/Comuni__2[[#This Row],[POPOLAZIONE TOTALE DI OGNI REGIONE (CON FILTRO)]]</f>
        <v>1.8327575507869538E-3</v>
      </c>
      <c r="H4503" t="str">
        <f>IF(Comuni__2[[#This Row],[Popolazione2011]]&gt;300000,"MAGGIORE","")</f>
        <v/>
      </c>
      <c r="J4503">
        <v>86</v>
      </c>
      <c r="K4503">
        <v>9285</v>
      </c>
      <c r="L4503">
        <v>1144</v>
      </c>
    </row>
    <row r="4504" spans="1:12" x14ac:dyDescent="0.2">
      <c r="A4504"/>
      <c r="B4504"/>
      <c r="C4504"/>
      <c r="D4504"/>
      <c r="E4504" s="2">
        <f>Comuni__2[[#This Row],[Popolazione2011]]/$D$7911</f>
        <v>1.3435857587785298E-4</v>
      </c>
      <c r="F4504">
        <f>SUMIFS($D$2:$D$7909, $B$2:$B$7909, "Piemonte")</f>
        <v>4363916</v>
      </c>
      <c r="G4504" s="1">
        <f>Comuni__2[[#This Row],[Popolazione2011]]/Comuni__2[[#This Row],[POPOLAZIONE TOTALE DI OGNI REGIONE (CON FILTRO)]]</f>
        <v>1.8295494230411401E-3</v>
      </c>
      <c r="H4504" t="str">
        <f>IF(Comuni__2[[#This Row],[Popolazione2011]]&gt;300000,"MAGGIORE","")</f>
        <v/>
      </c>
      <c r="J4504">
        <v>83</v>
      </c>
      <c r="K4504">
        <v>9334</v>
      </c>
      <c r="L4504">
        <v>1145</v>
      </c>
    </row>
    <row r="4505" spans="1:12" x14ac:dyDescent="0.2">
      <c r="A4505"/>
      <c r="B4505"/>
      <c r="C4505"/>
      <c r="D4505"/>
      <c r="E4505" s="2">
        <f>Comuni__2[[#This Row],[Popolazione2011]]/$D$7911</f>
        <v>1.3382006455168923E-4</v>
      </c>
      <c r="F4505">
        <f>SUMIFS($D$2:$D$7909, $B$2:$B$7909, "Piemonte")</f>
        <v>4363916</v>
      </c>
      <c r="G4505" s="1">
        <f>Comuni__2[[#This Row],[Popolazione2011]]/Comuni__2[[#This Row],[POPOLAZIONE TOTALE DI OGNI REGIONE (CON FILTRO)]]</f>
        <v>1.8222165596221375E-3</v>
      </c>
      <c r="H4505" t="str">
        <f>IF(Comuni__2[[#This Row],[Popolazione2011]]&gt;300000,"MAGGIORE","")</f>
        <v/>
      </c>
      <c r="J4505">
        <v>80</v>
      </c>
      <c r="K4505">
        <v>9358</v>
      </c>
      <c r="L4505">
        <v>1147</v>
      </c>
    </row>
    <row r="4506" spans="1:12" x14ac:dyDescent="0.2">
      <c r="A4506"/>
      <c r="B4506"/>
      <c r="C4506"/>
      <c r="D4506"/>
      <c r="E4506" s="2">
        <f>Comuni__2[[#This Row],[Popolazione2011]]/$D$7911</f>
        <v>1.322886729679111E-4</v>
      </c>
      <c r="F4506">
        <f>SUMIFS($D$2:$D$7909, $B$2:$B$7909, "Piemonte")</f>
        <v>4363916</v>
      </c>
      <c r="G4506" s="1">
        <f>Comuni__2[[#This Row],[Popolazione2011]]/Comuni__2[[#This Row],[POPOLAZIONE TOTALE DI OGNI REGIONE (CON FILTRO)]]</f>
        <v>1.8013637292743491E-3</v>
      </c>
      <c r="H4506" t="str">
        <f>IF(Comuni__2[[#This Row],[Popolazione2011]]&gt;300000,"MAGGIORE","")</f>
        <v/>
      </c>
      <c r="J4506">
        <v>87</v>
      </c>
      <c r="K4506">
        <v>9377</v>
      </c>
      <c r="L4506">
        <v>1147</v>
      </c>
    </row>
    <row r="4507" spans="1:12" x14ac:dyDescent="0.2">
      <c r="A4507"/>
      <c r="B4507"/>
      <c r="C4507"/>
      <c r="D4507"/>
      <c r="E4507" s="2">
        <f>Comuni__2[[#This Row],[Popolazione2011]]/$D$7911</f>
        <v>1.3168284772597689E-4</v>
      </c>
      <c r="F4507">
        <f>SUMIFS($D$2:$D$7909, $B$2:$B$7909, "Piemonte")</f>
        <v>4363916</v>
      </c>
      <c r="G4507" s="1">
        <f>Comuni__2[[#This Row],[Popolazione2011]]/Comuni__2[[#This Row],[POPOLAZIONE TOTALE DI OGNI REGIONE (CON FILTRO)]]</f>
        <v>1.793114257927971E-3</v>
      </c>
      <c r="H4507" t="str">
        <f>IF(Comuni__2[[#This Row],[Popolazione2011]]&gt;300000,"MAGGIORE","")</f>
        <v/>
      </c>
      <c r="J4507">
        <v>89</v>
      </c>
      <c r="K4507">
        <v>9425</v>
      </c>
      <c r="L4507">
        <v>1148</v>
      </c>
    </row>
    <row r="4508" spans="1:12" x14ac:dyDescent="0.2">
      <c r="A4508"/>
      <c r="B4508"/>
      <c r="C4508"/>
      <c r="D4508"/>
      <c r="E4508" s="2">
        <f>Comuni__2[[#This Row],[Popolazione2011]]/$D$7911</f>
        <v>1.3043754028422324E-4</v>
      </c>
      <c r="F4508">
        <f>SUMIFS($D$2:$D$7909, $B$2:$B$7909, "Piemonte")</f>
        <v>4363916</v>
      </c>
      <c r="G4508" s="1">
        <f>Comuni__2[[#This Row],[Popolazione2011]]/Comuni__2[[#This Row],[POPOLAZIONE TOTALE DI OGNI REGIONE (CON FILTRO)]]</f>
        <v>1.7761570112715278E-3</v>
      </c>
      <c r="H4508" t="str">
        <f>IF(Comuni__2[[#This Row],[Popolazione2011]]&gt;300000,"MAGGIORE","")</f>
        <v/>
      </c>
      <c r="J4508">
        <v>92</v>
      </c>
      <c r="K4508">
        <v>9473</v>
      </c>
      <c r="L4508">
        <v>1148</v>
      </c>
    </row>
    <row r="4509" spans="1:12" x14ac:dyDescent="0.2">
      <c r="A4509"/>
      <c r="B4509"/>
      <c r="C4509"/>
      <c r="D4509"/>
      <c r="E4509" s="2">
        <f>Comuni__2[[#This Row],[Popolazione2011]]/$D$7911</f>
        <v>1.2692038818521632E-4</v>
      </c>
      <c r="F4509">
        <f>SUMIFS($D$2:$D$7909, $B$2:$B$7909, "Piemonte")</f>
        <v>4363916</v>
      </c>
      <c r="G4509" s="1">
        <f>Comuni__2[[#This Row],[Popolazione2011]]/Comuni__2[[#This Row],[POPOLAZIONE TOTALE DI OGNI REGIONE (CON FILTRO)]]</f>
        <v>1.7282642470661672E-3</v>
      </c>
      <c r="H4509" t="str">
        <f>IF(Comuni__2[[#This Row],[Popolazione2011]]&gt;300000,"MAGGIORE","")</f>
        <v/>
      </c>
      <c r="J4509">
        <v>97</v>
      </c>
      <c r="K4509">
        <v>9506</v>
      </c>
      <c r="L4509">
        <v>1149</v>
      </c>
    </row>
    <row r="4510" spans="1:12" x14ac:dyDescent="0.2">
      <c r="A4510"/>
      <c r="B4510"/>
      <c r="C4510"/>
      <c r="D4510"/>
      <c r="E4510" s="2">
        <f>Comuni__2[[#This Row],[Popolazione2011]]/$D$7911</f>
        <v>1.2673527491684753E-4</v>
      </c>
      <c r="F4510">
        <f>SUMIFS($D$2:$D$7909, $B$2:$B$7909, "Piemonte")</f>
        <v>4363916</v>
      </c>
      <c r="G4510" s="1">
        <f>Comuni__2[[#This Row],[Popolazione2011]]/Comuni__2[[#This Row],[POPOLAZIONE TOTALE DI OGNI REGIONE (CON FILTRO)]]</f>
        <v>1.7257435752658851E-3</v>
      </c>
      <c r="H4510" t="str">
        <f>IF(Comuni__2[[#This Row],[Popolazione2011]]&gt;300000,"MAGGIORE","")</f>
        <v/>
      </c>
      <c r="J4510">
        <v>100</v>
      </c>
      <c r="K4510">
        <v>9523</v>
      </c>
      <c r="L4510">
        <v>1150</v>
      </c>
    </row>
    <row r="4511" spans="1:12" x14ac:dyDescent="0.2">
      <c r="A4511"/>
      <c r="B4511"/>
      <c r="C4511"/>
      <c r="D4511"/>
      <c r="E4511" s="2">
        <f>Comuni__2[[#This Row],[Popolazione2011]]/$D$7911</f>
        <v>1.2592750792760193E-4</v>
      </c>
      <c r="F4511">
        <f>SUMIFS($D$2:$D$7909, $B$2:$B$7909, "Piemonte")</f>
        <v>4363916</v>
      </c>
      <c r="G4511" s="1">
        <f>Comuni__2[[#This Row],[Popolazione2011]]/Comuni__2[[#This Row],[POPOLAZIONE TOTALE DI OGNI REGIONE (CON FILTRO)]]</f>
        <v>1.7147442801373812E-3</v>
      </c>
      <c r="H4511" t="str">
        <f>IF(Comuni__2[[#This Row],[Popolazione2011]]&gt;300000,"MAGGIORE","")</f>
        <v/>
      </c>
      <c r="J4511">
        <v>110</v>
      </c>
      <c r="K4511">
        <v>9536</v>
      </c>
      <c r="L4511">
        <v>1151</v>
      </c>
    </row>
    <row r="4512" spans="1:12" x14ac:dyDescent="0.2">
      <c r="A4512"/>
      <c r="B4512"/>
      <c r="C4512"/>
      <c r="D4512"/>
      <c r="E4512" s="2">
        <f>Comuni__2[[#This Row],[Popolazione2011]]/$D$7911</f>
        <v>1.2515339789624156E-4</v>
      </c>
      <c r="F4512">
        <f>SUMIFS($D$2:$D$7909, $B$2:$B$7909, "Piemonte")</f>
        <v>4363916</v>
      </c>
      <c r="G4512" s="1">
        <f>Comuni__2[[#This Row],[Popolazione2011]]/Comuni__2[[#This Row],[POPOLAZIONE TOTALE DI OGNI REGIONE (CON FILTRO)]]</f>
        <v>1.7042032889725651E-3</v>
      </c>
      <c r="H4512" t="str">
        <f>IF(Comuni__2[[#This Row],[Popolazione2011]]&gt;300000,"MAGGIORE","")</f>
        <v/>
      </c>
      <c r="J4512">
        <v>108</v>
      </c>
      <c r="K4512">
        <v>9565</v>
      </c>
      <c r="L4512">
        <v>1151</v>
      </c>
    </row>
    <row r="4513" spans="1:12" x14ac:dyDescent="0.2">
      <c r="A4513"/>
      <c r="B4513"/>
      <c r="C4513"/>
      <c r="D4513"/>
      <c r="E4513" s="2">
        <f>Comuni__2[[#This Row],[Popolazione2011]]/$D$7911</f>
        <v>1.2124919078155444E-4</v>
      </c>
      <c r="F4513">
        <f>SUMIFS($D$2:$D$7909, $B$2:$B$7909, "Piemonte")</f>
        <v>4363916</v>
      </c>
      <c r="G4513" s="1">
        <f>Comuni__2[[#This Row],[Popolazione2011]]/Comuni__2[[#This Row],[POPOLAZIONE TOTALE DI OGNI REGIONE (CON FILTRO)]]</f>
        <v>1.6510400291847964E-3</v>
      </c>
      <c r="H4513" t="str">
        <f>IF(Comuni__2[[#This Row],[Popolazione2011]]&gt;300000,"MAGGIORE","")</f>
        <v/>
      </c>
      <c r="J4513">
        <v>109</v>
      </c>
      <c r="K4513">
        <v>9621</v>
      </c>
      <c r="L4513">
        <v>1152</v>
      </c>
    </row>
    <row r="4514" spans="1:12" x14ac:dyDescent="0.2">
      <c r="A4514"/>
      <c r="B4514"/>
      <c r="C4514"/>
      <c r="D4514"/>
      <c r="E4514" s="2">
        <f>Comuni__2[[#This Row],[Popolazione2011]]/$D$7911</f>
        <v>1.180012943456294E-4</v>
      </c>
      <c r="F4514">
        <f>SUMIFS($D$2:$D$7909, $B$2:$B$7909, "Piemonte")</f>
        <v>4363916</v>
      </c>
      <c r="G4514" s="1">
        <f>Comuni__2[[#This Row],[Popolazione2011]]/Comuni__2[[#This Row],[POPOLAZIONE TOTALE DI OGNI REGIONE (CON FILTRO)]]</f>
        <v>1.6068136966889371E-3</v>
      </c>
      <c r="H4514" t="str">
        <f>IF(Comuni__2[[#This Row],[Popolazione2011]]&gt;300000,"MAGGIORE","")</f>
        <v/>
      </c>
      <c r="J4514">
        <v>116</v>
      </c>
      <c r="K4514">
        <v>9670</v>
      </c>
      <c r="L4514">
        <v>1152</v>
      </c>
    </row>
    <row r="4515" spans="1:12" x14ac:dyDescent="0.2">
      <c r="A4515"/>
      <c r="B4515"/>
      <c r="C4515"/>
      <c r="D4515"/>
      <c r="E4515" s="2">
        <f>Comuni__2[[#This Row],[Popolazione2011]]/$D$7911</f>
        <v>1.1628478949348247E-4</v>
      </c>
      <c r="F4515">
        <f>SUMIFS($D$2:$D$7909, $B$2:$B$7909, "Piemonte")</f>
        <v>4363916</v>
      </c>
      <c r="G4515" s="1">
        <f>Comuni__2[[#This Row],[Popolazione2011]]/Comuni__2[[#This Row],[POPOLAZIONE TOTALE DI OGNI REGIONE (CON FILTRO)]]</f>
        <v>1.5834401945408665E-3</v>
      </c>
      <c r="H4515" t="str">
        <f>IF(Comuni__2[[#This Row],[Popolazione2011]]&gt;300000,"MAGGIORE","")</f>
        <v/>
      </c>
      <c r="J4515">
        <v>109</v>
      </c>
      <c r="K4515">
        <v>9686</v>
      </c>
      <c r="L4515">
        <v>1152</v>
      </c>
    </row>
    <row r="4516" spans="1:12" x14ac:dyDescent="0.2">
      <c r="A4516"/>
      <c r="B4516"/>
      <c r="C4516"/>
      <c r="D4516"/>
      <c r="E4516" s="2">
        <f>Comuni__2[[#This Row],[Popolazione2011]]/$D$7911</f>
        <v>1.147197409518191E-4</v>
      </c>
      <c r="F4516">
        <f>SUMIFS($D$2:$D$7909, $B$2:$B$7909, "Piemonte")</f>
        <v>4363916</v>
      </c>
      <c r="G4516" s="1">
        <f>Comuni__2[[#This Row],[Popolazione2011]]/Comuni__2[[#This Row],[POPOLAZIONE TOTALE DI OGNI REGIONE (CON FILTRO)]]</f>
        <v>1.5621290602293903E-3</v>
      </c>
      <c r="H4516" t="str">
        <f>IF(Comuni__2[[#This Row],[Popolazione2011]]&gt;300000,"MAGGIORE","")</f>
        <v/>
      </c>
      <c r="J4516">
        <v>109</v>
      </c>
      <c r="K4516">
        <v>9704</v>
      </c>
      <c r="L4516">
        <v>1152</v>
      </c>
    </row>
    <row r="4517" spans="1:12" x14ac:dyDescent="0.2">
      <c r="A4517"/>
      <c r="B4517"/>
      <c r="C4517"/>
      <c r="D4517"/>
      <c r="E4517" s="2">
        <f>Comuni__2[[#This Row],[Popolazione2011]]/$D$7911</f>
        <v>1.1404660179411443E-4</v>
      </c>
      <c r="F4517">
        <f>SUMIFS($D$2:$D$7909, $B$2:$B$7909, "Piemonte")</f>
        <v>4363916</v>
      </c>
      <c r="G4517" s="1">
        <f>Comuni__2[[#This Row],[Popolazione2011]]/Comuni__2[[#This Row],[POPOLAZIONE TOTALE DI OGNI REGIONE (CON FILTRO)]]</f>
        <v>1.552962980955637E-3</v>
      </c>
      <c r="H4517" t="str">
        <f>IF(Comuni__2[[#This Row],[Popolazione2011]]&gt;300000,"MAGGIORE","")</f>
        <v/>
      </c>
      <c r="J4517">
        <v>117</v>
      </c>
      <c r="K4517">
        <v>9726</v>
      </c>
      <c r="L4517">
        <v>1152</v>
      </c>
    </row>
    <row r="4518" spans="1:12" x14ac:dyDescent="0.2">
      <c r="A4518"/>
      <c r="B4518"/>
      <c r="C4518"/>
      <c r="D4518"/>
      <c r="E4518" s="2">
        <f>Comuni__2[[#This Row],[Popolazione2011]]/$D$7911</f>
        <v>1.1367637525737686E-4</v>
      </c>
      <c r="F4518">
        <f>SUMIFS($D$2:$D$7909, $B$2:$B$7909, "Piemonte")</f>
        <v>4363916</v>
      </c>
      <c r="G4518" s="1">
        <f>Comuni__2[[#This Row],[Popolazione2011]]/Comuni__2[[#This Row],[POPOLAZIONE TOTALE DI OGNI REGIONE (CON FILTRO)]]</f>
        <v>1.5479216373550729E-3</v>
      </c>
      <c r="H4518" t="str">
        <f>IF(Comuni__2[[#This Row],[Popolazione2011]]&gt;300000,"MAGGIORE","")</f>
        <v/>
      </c>
      <c r="J4518">
        <v>119</v>
      </c>
      <c r="K4518">
        <v>9760</v>
      </c>
      <c r="L4518">
        <v>1152</v>
      </c>
    </row>
    <row r="4519" spans="1:12" x14ac:dyDescent="0.2">
      <c r="A4519"/>
      <c r="B4519"/>
      <c r="C4519"/>
      <c r="D4519"/>
      <c r="E4519" s="2">
        <f>Comuni__2[[#This Row],[Popolazione2011]]/$D$7911</f>
        <v>1.132220063259262E-4</v>
      </c>
      <c r="F4519">
        <f>SUMIFS($D$2:$D$7909, $B$2:$B$7909, "Piemonte")</f>
        <v>4363916</v>
      </c>
      <c r="G4519" s="1">
        <f>Comuni__2[[#This Row],[Popolazione2011]]/Comuni__2[[#This Row],[POPOLAZIONE TOTALE DI OGNI REGIONE (CON FILTRO)]]</f>
        <v>1.5417345338452895E-3</v>
      </c>
      <c r="H4519" t="str">
        <f>IF(Comuni__2[[#This Row],[Popolazione2011]]&gt;300000,"MAGGIORE","")</f>
        <v/>
      </c>
      <c r="J4519">
        <v>121</v>
      </c>
      <c r="K4519">
        <v>9853</v>
      </c>
      <c r="L4519">
        <v>1153</v>
      </c>
    </row>
    <row r="4520" spans="1:12" x14ac:dyDescent="0.2">
      <c r="A4520"/>
      <c r="B4520"/>
      <c r="C4520"/>
      <c r="D4520"/>
      <c r="E4520" s="2">
        <f>Comuni__2[[#This Row],[Popolazione2011]]/$D$7911</f>
        <v>1.1155598691060714E-4</v>
      </c>
      <c r="F4520">
        <f>SUMIFS($D$2:$D$7909, $B$2:$B$7909, "Piemonte")</f>
        <v>4363916</v>
      </c>
      <c r="G4520" s="1">
        <f>Comuni__2[[#This Row],[Popolazione2011]]/Comuni__2[[#This Row],[POPOLAZIONE TOTALE DI OGNI REGIONE (CON FILTRO)]]</f>
        <v>1.5190484876427502E-3</v>
      </c>
      <c r="H4520" t="str">
        <f>IF(Comuni__2[[#This Row],[Popolazione2011]]&gt;300000,"MAGGIORE","")</f>
        <v/>
      </c>
      <c r="J4520">
        <v>119</v>
      </c>
      <c r="K4520">
        <v>9907</v>
      </c>
      <c r="L4520">
        <v>1153</v>
      </c>
    </row>
    <row r="4521" spans="1:12" x14ac:dyDescent="0.2">
      <c r="A4521"/>
      <c r="B4521"/>
      <c r="C4521"/>
      <c r="D4521"/>
      <c r="E4521" s="2">
        <f>Comuni__2[[#This Row],[Popolazione2011]]/$D$7911</f>
        <v>1.0785372154323143E-4</v>
      </c>
      <c r="F4521">
        <f>SUMIFS($D$2:$D$7909, $B$2:$B$7909, "Piemonte")</f>
        <v>4363916</v>
      </c>
      <c r="G4521" s="1">
        <f>Comuni__2[[#This Row],[Popolazione2011]]/Comuni__2[[#This Row],[POPOLAZIONE TOTALE DI OGNI REGIONE (CON FILTRO)]]</f>
        <v>1.4686350516371076E-3</v>
      </c>
      <c r="H4521" t="str">
        <f>IF(Comuni__2[[#This Row],[Popolazione2011]]&gt;300000,"MAGGIORE","")</f>
        <v/>
      </c>
      <c r="J4521">
        <v>111</v>
      </c>
      <c r="K4521">
        <v>9938</v>
      </c>
      <c r="L4521">
        <v>1156</v>
      </c>
    </row>
    <row r="4522" spans="1:12" x14ac:dyDescent="0.2">
      <c r="A4522"/>
      <c r="B4522"/>
      <c r="C4522"/>
      <c r="D4522"/>
      <c r="E4522" s="2">
        <f>Comuni__2[[#This Row],[Popolazione2011]]/$D$7911</f>
        <v>1.0760129435909217E-4</v>
      </c>
      <c r="F4522">
        <f>SUMIFS($D$2:$D$7909, $B$2:$B$7909, "Piemonte")</f>
        <v>4363916</v>
      </c>
      <c r="G4522" s="1">
        <f>Comuni__2[[#This Row],[Popolazione2011]]/Comuni__2[[#This Row],[POPOLAZIONE TOTALE DI OGNI REGIONE (CON FILTRO)]]</f>
        <v>1.4651977719094501E-3</v>
      </c>
      <c r="H4522" t="str">
        <f>IF(Comuni__2[[#This Row],[Popolazione2011]]&gt;300000,"MAGGIORE","")</f>
        <v/>
      </c>
      <c r="J4522">
        <v>108</v>
      </c>
      <c r="K4522">
        <v>9981</v>
      </c>
      <c r="L4522">
        <v>1157</v>
      </c>
    </row>
    <row r="4523" spans="1:12" x14ac:dyDescent="0.2">
      <c r="A4523"/>
      <c r="B4523"/>
      <c r="C4523"/>
      <c r="D4523"/>
      <c r="E4523" s="2">
        <f>Comuni__2[[#This Row],[Popolazione2011]]/$D$7911</f>
        <v>1.0746666652755124E-4</v>
      </c>
      <c r="F4523">
        <f>SUMIFS($D$2:$D$7909, $B$2:$B$7909, "Piemonte")</f>
        <v>4363916</v>
      </c>
      <c r="G4523" s="1">
        <f>Comuni__2[[#This Row],[Popolazione2011]]/Comuni__2[[#This Row],[POPOLAZIONE TOTALE DI OGNI REGIONE (CON FILTRO)]]</f>
        <v>1.4633645560546994E-3</v>
      </c>
      <c r="H4523" t="str">
        <f>IF(Comuni__2[[#This Row],[Popolazione2011]]&gt;300000,"MAGGIORE","")</f>
        <v/>
      </c>
      <c r="J4523">
        <v>105</v>
      </c>
      <c r="K4523">
        <v>10002</v>
      </c>
      <c r="L4523">
        <v>1157</v>
      </c>
    </row>
    <row r="4524" spans="1:12" x14ac:dyDescent="0.2">
      <c r="A4524"/>
      <c r="B4524"/>
      <c r="C4524"/>
      <c r="D4524"/>
      <c r="E4524" s="2">
        <f>Comuni__2[[#This Row],[Popolazione2011]]/$D$7911</f>
        <v>1.0707961151187106E-4</v>
      </c>
      <c r="F4524">
        <f>SUMIFS($D$2:$D$7909, $B$2:$B$7909, "Piemonte")</f>
        <v>4363916</v>
      </c>
      <c r="G4524" s="1">
        <f>Comuni__2[[#This Row],[Popolazione2011]]/Comuni__2[[#This Row],[POPOLAZIONE TOTALE DI OGNI REGIONE (CON FILTRO)]]</f>
        <v>1.4580940604722913E-3</v>
      </c>
      <c r="H4524" t="str">
        <f>IF(Comuni__2[[#This Row],[Popolazione2011]]&gt;300000,"MAGGIORE","")</f>
        <v/>
      </c>
      <c r="J4524">
        <v>115</v>
      </c>
      <c r="K4524">
        <v>10098</v>
      </c>
      <c r="L4524">
        <v>1160</v>
      </c>
    </row>
    <row r="4525" spans="1:12" x14ac:dyDescent="0.2">
      <c r="A4525"/>
      <c r="B4525"/>
      <c r="C4525"/>
      <c r="D4525"/>
      <c r="E4525" s="2">
        <f>Comuni__2[[#This Row],[Popolazione2011]]/$D$7911</f>
        <v>1.0707961151187106E-4</v>
      </c>
      <c r="F4525">
        <f>SUMIFS($D$2:$D$7909, $B$2:$B$7909, "Piemonte")</f>
        <v>4363916</v>
      </c>
      <c r="G4525" s="1">
        <f>Comuni__2[[#This Row],[Popolazione2011]]/Comuni__2[[#This Row],[POPOLAZIONE TOTALE DI OGNI REGIONE (CON FILTRO)]]</f>
        <v>1.4580940604722913E-3</v>
      </c>
      <c r="H4525" t="str">
        <f>IF(Comuni__2[[#This Row],[Popolazione2011]]&gt;300000,"MAGGIORE","")</f>
        <v/>
      </c>
      <c r="J4525">
        <v>117</v>
      </c>
      <c r="K4525">
        <v>10175</v>
      </c>
      <c r="L4525">
        <v>1164</v>
      </c>
    </row>
    <row r="4526" spans="1:12" x14ac:dyDescent="0.2">
      <c r="A4526"/>
      <c r="B4526"/>
      <c r="C4526"/>
      <c r="D4526"/>
      <c r="E4526" s="2">
        <f>Comuni__2[[#This Row],[Popolazione2011]]/$D$7911</f>
        <v>1.0662524258042039E-4</v>
      </c>
      <c r="F4526">
        <f>SUMIFS($D$2:$D$7909, $B$2:$B$7909, "Piemonte")</f>
        <v>4363916</v>
      </c>
      <c r="G4526" s="1">
        <f>Comuni__2[[#This Row],[Popolazione2011]]/Comuni__2[[#This Row],[POPOLAZIONE TOTALE DI OGNI REGIONE (CON FILTRO)]]</f>
        <v>1.4519069569625079E-3</v>
      </c>
      <c r="H4526" t="str">
        <f>IF(Comuni__2[[#This Row],[Popolazione2011]]&gt;300000,"MAGGIORE","")</f>
        <v/>
      </c>
      <c r="J4526">
        <v>119</v>
      </c>
      <c r="K4526">
        <v>10261</v>
      </c>
      <c r="L4526">
        <v>1164</v>
      </c>
    </row>
    <row r="4527" spans="1:12" x14ac:dyDescent="0.2">
      <c r="A4527"/>
      <c r="B4527"/>
      <c r="C4527"/>
      <c r="D4527"/>
      <c r="E4527" s="2">
        <f>Comuni__2[[#This Row],[Popolazione2011]]/$D$7911</f>
        <v>1.0638964387522377E-4</v>
      </c>
      <c r="F4527">
        <f>SUMIFS($D$2:$D$7909, $B$2:$B$7909, "Piemonte")</f>
        <v>4363916</v>
      </c>
      <c r="G4527" s="1">
        <f>Comuni__2[[#This Row],[Popolazione2011]]/Comuni__2[[#This Row],[POPOLAZIONE TOTALE DI OGNI REGIONE (CON FILTRO)]]</f>
        <v>1.4486988292166944E-3</v>
      </c>
      <c r="H4527" t="str">
        <f>IF(Comuni__2[[#This Row],[Popolazione2011]]&gt;300000,"MAGGIORE","")</f>
        <v/>
      </c>
      <c r="J4527">
        <v>128</v>
      </c>
      <c r="K4527">
        <v>10338</v>
      </c>
      <c r="L4527">
        <v>1165</v>
      </c>
    </row>
    <row r="4528" spans="1:12" x14ac:dyDescent="0.2">
      <c r="A4528"/>
      <c r="B4528"/>
      <c r="C4528"/>
      <c r="D4528"/>
      <c r="E4528" s="2">
        <f>Comuni__2[[#This Row],[Popolazione2011]]/$D$7911</f>
        <v>1.0606990277531404E-4</v>
      </c>
      <c r="F4528">
        <f>SUMIFS($D$2:$D$7909, $B$2:$B$7909, "Piemonte")</f>
        <v>4363916</v>
      </c>
      <c r="G4528" s="1">
        <f>Comuni__2[[#This Row],[Popolazione2011]]/Comuni__2[[#This Row],[POPOLAZIONE TOTALE DI OGNI REGIONE (CON FILTRO)]]</f>
        <v>1.4443449415616615E-3</v>
      </c>
      <c r="H4528" t="str">
        <f>IF(Comuni__2[[#This Row],[Popolazione2011]]&gt;300000,"MAGGIORE","")</f>
        <v/>
      </c>
      <c r="J4528">
        <v>127</v>
      </c>
      <c r="K4528">
        <v>10398</v>
      </c>
      <c r="L4528">
        <v>1165</v>
      </c>
    </row>
    <row r="4529" spans="1:12" x14ac:dyDescent="0.2">
      <c r="A4529"/>
      <c r="B4529"/>
      <c r="C4529"/>
      <c r="D4529"/>
      <c r="E4529" s="2">
        <f>Comuni__2[[#This Row],[Popolazione2011]]/$D$7911</f>
        <v>1.0458899662836376E-4</v>
      </c>
      <c r="F4529">
        <f>SUMIFS($D$2:$D$7909, $B$2:$B$7909, "Piemonte")</f>
        <v>4363916</v>
      </c>
      <c r="G4529" s="1">
        <f>Comuni__2[[#This Row],[Popolazione2011]]/Comuni__2[[#This Row],[POPOLAZIONE TOTALE DI OGNI REGIONE (CON FILTRO)]]</f>
        <v>1.4241795671594045E-3</v>
      </c>
      <c r="H4529" t="str">
        <f>IF(Comuni__2[[#This Row],[Popolazione2011]]&gt;300000,"MAGGIORE","")</f>
        <v/>
      </c>
      <c r="J4529">
        <v>123</v>
      </c>
      <c r="K4529">
        <v>10435</v>
      </c>
      <c r="L4529">
        <v>1166</v>
      </c>
    </row>
    <row r="4530" spans="1:12" x14ac:dyDescent="0.2">
      <c r="A4530"/>
      <c r="B4530"/>
      <c r="C4530"/>
      <c r="D4530"/>
      <c r="E4530" s="2">
        <f>Comuni__2[[#This Row],[Popolazione2011]]/$D$7911</f>
        <v>1.0211521022379908E-4</v>
      </c>
      <c r="F4530">
        <f>SUMIFS($D$2:$D$7909, $B$2:$B$7909, "Piemonte")</f>
        <v>4363916</v>
      </c>
      <c r="G4530" s="1">
        <f>Comuni__2[[#This Row],[Popolazione2011]]/Comuni__2[[#This Row],[POPOLAZIONE TOTALE DI OGNI REGIONE (CON FILTRO)]]</f>
        <v>1.3904942258283616E-3</v>
      </c>
      <c r="H4530" t="str">
        <f>IF(Comuni__2[[#This Row],[Popolazione2011]]&gt;300000,"MAGGIORE","")</f>
        <v/>
      </c>
      <c r="J4530">
        <v>125</v>
      </c>
      <c r="K4530">
        <v>10451</v>
      </c>
      <c r="L4530">
        <v>1166</v>
      </c>
    </row>
    <row r="4531" spans="1:12" x14ac:dyDescent="0.2">
      <c r="A4531"/>
      <c r="B4531"/>
      <c r="C4531"/>
      <c r="D4531"/>
      <c r="E4531" s="2">
        <f>Comuni__2[[#This Row],[Popolazione2011]]/$D$7911</f>
        <v>1.016440128134058E-4</v>
      </c>
      <c r="F4531">
        <f>SUMIFS($D$2:$D$7909, $B$2:$B$7909, "Piemonte")</f>
        <v>4363916</v>
      </c>
      <c r="G4531" s="1">
        <f>Comuni__2[[#This Row],[Popolazione2011]]/Comuni__2[[#This Row],[POPOLAZIONE TOTALE DI OGNI REGIONE (CON FILTRO)]]</f>
        <v>1.3840779703367342E-3</v>
      </c>
      <c r="H4531" t="str">
        <f>IF(Comuni__2[[#This Row],[Popolazione2011]]&gt;300000,"MAGGIORE","")</f>
        <v/>
      </c>
      <c r="J4531">
        <v>144</v>
      </c>
      <c r="K4531">
        <v>10531</v>
      </c>
      <c r="L4531">
        <v>1168</v>
      </c>
    </row>
    <row r="4532" spans="1:12" x14ac:dyDescent="0.2">
      <c r="A4532"/>
      <c r="B4532"/>
      <c r="C4532"/>
      <c r="D4532"/>
      <c r="E4532" s="2">
        <f>Comuni__2[[#This Row],[Popolazione2011]]/$D$7911</f>
        <v>1.0044919080848001E-4</v>
      </c>
      <c r="F4532">
        <f>SUMIFS($D$2:$D$7909, $B$2:$B$7909, "Piemonte")</f>
        <v>4363916</v>
      </c>
      <c r="G4532" s="1">
        <f>Comuni__2[[#This Row],[Popolazione2011]]/Comuni__2[[#This Row],[POPOLAZIONE TOTALE DI OGNI REGIONE (CON FILTRO)]]</f>
        <v>1.3678081796258223E-3</v>
      </c>
      <c r="H4532" t="str">
        <f>IF(Comuni__2[[#This Row],[Popolazione2011]]&gt;300000,"MAGGIORE","")</f>
        <v/>
      </c>
      <c r="J4532">
        <v>145</v>
      </c>
      <c r="K4532">
        <v>10606</v>
      </c>
      <c r="L4532">
        <v>1168</v>
      </c>
    </row>
    <row r="4533" spans="1:12" x14ac:dyDescent="0.2">
      <c r="A4533"/>
      <c r="B4533"/>
      <c r="C4533"/>
      <c r="D4533"/>
      <c r="E4533" s="2">
        <f>Comuni__2[[#This Row],[Popolazione2011]]/$D$7911</f>
        <v>9.7167637414669725E-5</v>
      </c>
      <c r="F4533">
        <f>SUMIFS($D$2:$D$7909, $B$2:$B$7909, "Piemonte")</f>
        <v>4363916</v>
      </c>
      <c r="G4533" s="1">
        <f>Comuni__2[[#This Row],[Popolazione2011]]/Comuni__2[[#This Row],[POPOLAZIONE TOTALE DI OGNI REGIONE (CON FILTRO)]]</f>
        <v>1.3231235431662755E-3</v>
      </c>
      <c r="H4533" t="str">
        <f>IF(Comuni__2[[#This Row],[Popolazione2011]]&gt;300000,"MAGGIORE","")</f>
        <v/>
      </c>
      <c r="J4533">
        <v>151</v>
      </c>
      <c r="K4533">
        <v>10673</v>
      </c>
      <c r="L4533">
        <v>1170</v>
      </c>
    </row>
    <row r="4534" spans="1:12" x14ac:dyDescent="0.2">
      <c r="A4534"/>
      <c r="B4534"/>
      <c r="C4534"/>
      <c r="D4534"/>
      <c r="E4534" s="2">
        <f>Comuni__2[[#This Row],[Popolazione2011]]/$D$7911</f>
        <v>9.7083495019956645E-5</v>
      </c>
      <c r="F4534">
        <f>SUMIFS($D$2:$D$7909, $B$2:$B$7909, "Piemonte")</f>
        <v>4363916</v>
      </c>
      <c r="G4534" s="1">
        <f>Comuni__2[[#This Row],[Popolazione2011]]/Comuni__2[[#This Row],[POPOLAZIONE TOTALE DI OGNI REGIONE (CON FILTRO)]]</f>
        <v>1.3219777832570562E-3</v>
      </c>
      <c r="H4534" t="str">
        <f>IF(Comuni__2[[#This Row],[Popolazione2011]]&gt;300000,"MAGGIORE","")</f>
        <v/>
      </c>
      <c r="J4534">
        <v>159</v>
      </c>
      <c r="K4534">
        <v>10693</v>
      </c>
      <c r="L4534">
        <v>1170</v>
      </c>
    </row>
    <row r="4535" spans="1:12" x14ac:dyDescent="0.2">
      <c r="A4535"/>
      <c r="B4535"/>
      <c r="C4535"/>
      <c r="D4535"/>
      <c r="E4535" s="2">
        <f>Comuni__2[[#This Row],[Popolazione2011]]/$D$7911</f>
        <v>9.6881553272645237E-5</v>
      </c>
      <c r="F4535">
        <f>SUMIFS($D$2:$D$7909, $B$2:$B$7909, "Piemonte")</f>
        <v>4363916</v>
      </c>
      <c r="G4535" s="1">
        <f>Comuni__2[[#This Row],[Popolazione2011]]/Comuni__2[[#This Row],[POPOLAZIONE TOTALE DI OGNI REGIONE (CON FILTRO)]]</f>
        <v>1.3192279594749304E-3</v>
      </c>
      <c r="H4535" t="str">
        <f>IF(Comuni__2[[#This Row],[Popolazione2011]]&gt;300000,"MAGGIORE","")</f>
        <v/>
      </c>
      <c r="J4535">
        <v>170</v>
      </c>
      <c r="K4535">
        <v>10801</v>
      </c>
      <c r="L4535">
        <v>1173</v>
      </c>
    </row>
    <row r="4536" spans="1:12" x14ac:dyDescent="0.2">
      <c r="A4536"/>
      <c r="B4536"/>
      <c r="C4536"/>
      <c r="D4536"/>
      <c r="E4536" s="2">
        <f>Comuni__2[[#This Row],[Popolazione2011]]/$D$7911</f>
        <v>9.4845307320588605E-5</v>
      </c>
      <c r="F4536">
        <f>SUMIFS($D$2:$D$7909, $B$2:$B$7909, "Piemonte")</f>
        <v>4363916</v>
      </c>
      <c r="G4536" s="1">
        <f>Comuni__2[[#This Row],[Popolazione2011]]/Comuni__2[[#This Row],[POPOLAZIONE TOTALE DI OGNI REGIONE (CON FILTRO)]]</f>
        <v>1.291500569671827E-3</v>
      </c>
      <c r="H4536" t="str">
        <f>IF(Comuni__2[[#This Row],[Popolazione2011]]&gt;300000,"MAGGIORE","")</f>
        <v/>
      </c>
      <c r="J4536">
        <v>190</v>
      </c>
      <c r="K4536">
        <v>10830</v>
      </c>
      <c r="L4536">
        <v>1173</v>
      </c>
    </row>
    <row r="4537" spans="1:12" x14ac:dyDescent="0.2">
      <c r="A4537"/>
      <c r="B4537"/>
      <c r="C4537"/>
      <c r="D4537"/>
      <c r="E4537" s="2">
        <f>Comuni__2[[#This Row],[Popolazione2011]]/$D$7911</f>
        <v>9.4491909262793639E-5</v>
      </c>
      <c r="F4537">
        <f>SUMIFS($D$2:$D$7909, $B$2:$B$7909, "Piemonte")</f>
        <v>4363916</v>
      </c>
      <c r="G4537" s="1">
        <f>Comuni__2[[#This Row],[Popolazione2011]]/Comuni__2[[#This Row],[POPOLAZIONE TOTALE DI OGNI REGIONE (CON FILTRO)]]</f>
        <v>1.2866883780531064E-3</v>
      </c>
      <c r="H4537" t="str">
        <f>IF(Comuni__2[[#This Row],[Popolazione2011]]&gt;300000,"MAGGIORE","")</f>
        <v/>
      </c>
      <c r="J4537">
        <v>217</v>
      </c>
      <c r="K4537">
        <v>10844</v>
      </c>
      <c r="L4537">
        <v>1174</v>
      </c>
    </row>
    <row r="4538" spans="1:12" x14ac:dyDescent="0.2">
      <c r="A4538"/>
      <c r="B4538"/>
      <c r="C4538"/>
      <c r="D4538"/>
      <c r="E4538" s="2">
        <f>Comuni__2[[#This Row],[Popolazione2011]]/$D$7911</f>
        <v>9.4256310557597013E-5</v>
      </c>
      <c r="F4538">
        <f>SUMIFS($D$2:$D$7909, $B$2:$B$7909, "Piemonte")</f>
        <v>4363916</v>
      </c>
      <c r="G4538" s="1">
        <f>Comuni__2[[#This Row],[Popolazione2011]]/Comuni__2[[#This Row],[POPOLAZIONE TOTALE DI OGNI REGIONE (CON FILTRO)]]</f>
        <v>1.2834802503072927E-3</v>
      </c>
      <c r="H4538" t="str">
        <f>IF(Comuni__2[[#This Row],[Popolazione2011]]&gt;300000,"MAGGIORE","")</f>
        <v/>
      </c>
      <c r="J4538">
        <v>245</v>
      </c>
      <c r="K4538">
        <v>10942</v>
      </c>
      <c r="L4538">
        <v>1180</v>
      </c>
    </row>
    <row r="4539" spans="1:12" x14ac:dyDescent="0.2">
      <c r="A4539"/>
      <c r="B4539"/>
      <c r="C4539"/>
      <c r="D4539"/>
      <c r="E4539" s="2">
        <f>Comuni__2[[#This Row],[Popolazione2011]]/$D$7911</f>
        <v>9.3700970752490654E-5</v>
      </c>
      <c r="F4539">
        <f>SUMIFS($D$2:$D$7909, $B$2:$B$7909, "Piemonte")</f>
        <v>4363916</v>
      </c>
      <c r="G4539" s="1">
        <f>Comuni__2[[#This Row],[Popolazione2011]]/Comuni__2[[#This Row],[POPOLAZIONE TOTALE DI OGNI REGIONE (CON FILTRO)]]</f>
        <v>1.2759182349064463E-3</v>
      </c>
      <c r="H4539" t="str">
        <f>IF(Comuni__2[[#This Row],[Popolazione2011]]&gt;300000,"MAGGIORE","")</f>
        <v/>
      </c>
      <c r="J4539">
        <v>262</v>
      </c>
      <c r="K4539">
        <v>11008</v>
      </c>
      <c r="L4539">
        <v>1181</v>
      </c>
    </row>
    <row r="4540" spans="1:12" x14ac:dyDescent="0.2">
      <c r="A4540"/>
      <c r="B4540"/>
      <c r="C4540"/>
      <c r="D4540"/>
      <c r="E4540" s="2">
        <f>Comuni__2[[#This Row],[Popolazione2011]]/$D$7911</f>
        <v>9.3667313794605422E-5</v>
      </c>
      <c r="F4540">
        <f>SUMIFS($D$2:$D$7909, $B$2:$B$7909, "Piemonte")</f>
        <v>4363916</v>
      </c>
      <c r="G4540" s="1">
        <f>Comuni__2[[#This Row],[Popolazione2011]]/Comuni__2[[#This Row],[POPOLAZIONE TOTALE DI OGNI REGIONE (CON FILTRO)]]</f>
        <v>1.2754599309427587E-3</v>
      </c>
      <c r="H4540" t="str">
        <f>IF(Comuni__2[[#This Row],[Popolazione2011]]&gt;300000,"MAGGIORE","")</f>
        <v/>
      </c>
      <c r="J4540">
        <v>275</v>
      </c>
      <c r="K4540">
        <v>11071</v>
      </c>
      <c r="L4540">
        <v>1183</v>
      </c>
    </row>
    <row r="4541" spans="1:12" x14ac:dyDescent="0.2">
      <c r="A4541"/>
      <c r="B4541"/>
      <c r="C4541"/>
      <c r="D4541"/>
      <c r="E4541" s="2">
        <f>Comuni__2[[#This Row],[Popolazione2011]]/$D$7911</f>
        <v>9.2236893084482983E-5</v>
      </c>
      <c r="F4541">
        <f>SUMIFS($D$2:$D$7909, $B$2:$B$7909, "Piemonte")</f>
        <v>4363916</v>
      </c>
      <c r="G4541" s="1">
        <f>Comuni__2[[#This Row],[Popolazione2011]]/Comuni__2[[#This Row],[POPOLAZIONE TOTALE DI OGNI REGIONE (CON FILTRO)]]</f>
        <v>1.2559820124860331E-3</v>
      </c>
      <c r="H4541" t="str">
        <f>IF(Comuni__2[[#This Row],[Popolazione2011]]&gt;300000,"MAGGIORE","")</f>
        <v/>
      </c>
      <c r="J4541">
        <v>322</v>
      </c>
      <c r="K4541">
        <v>11171</v>
      </c>
      <c r="L4541">
        <v>1185</v>
      </c>
    </row>
    <row r="4542" spans="1:12" x14ac:dyDescent="0.2">
      <c r="A4542"/>
      <c r="B4542"/>
      <c r="C4542"/>
      <c r="D4542"/>
      <c r="E4542" s="2">
        <f>Comuni__2[[#This Row],[Popolazione2011]]/$D$7911</f>
        <v>9.2085436773999438E-5</v>
      </c>
      <c r="F4542">
        <f>SUMIFS($D$2:$D$7909, $B$2:$B$7909, "Piemonte")</f>
        <v>4363916</v>
      </c>
      <c r="G4542" s="1">
        <f>Comuni__2[[#This Row],[Popolazione2011]]/Comuni__2[[#This Row],[POPOLAZIONE TOTALE DI OGNI REGIONE (CON FILTRO)]]</f>
        <v>1.2539196446494387E-3</v>
      </c>
      <c r="H4542" t="str">
        <f>IF(Comuni__2[[#This Row],[Popolazione2011]]&gt;300000,"MAGGIORE","")</f>
        <v/>
      </c>
      <c r="J4542">
        <v>359</v>
      </c>
      <c r="K4542">
        <v>11315</v>
      </c>
      <c r="L4542">
        <v>1187</v>
      </c>
    </row>
    <row r="4543" spans="1:12" x14ac:dyDescent="0.2">
      <c r="A4543"/>
      <c r="B4543"/>
      <c r="C4543"/>
      <c r="D4543"/>
      <c r="E4543" s="2">
        <f>Comuni__2[[#This Row],[Popolazione2011]]/$D$7911</f>
        <v>9.1109384995327662E-5</v>
      </c>
      <c r="F4543">
        <f>SUMIFS($D$2:$D$7909, $B$2:$B$7909, "Piemonte")</f>
        <v>4363916</v>
      </c>
      <c r="G4543" s="1">
        <f>Comuni__2[[#This Row],[Popolazione2011]]/Comuni__2[[#This Row],[POPOLAZIONE TOTALE DI OGNI REGIONE (CON FILTRO)]]</f>
        <v>1.2406288297024965E-3</v>
      </c>
      <c r="H4543" t="str">
        <f>IF(Comuni__2[[#This Row],[Popolazione2011]]&gt;300000,"MAGGIORE","")</f>
        <v/>
      </c>
      <c r="J4543">
        <v>394</v>
      </c>
      <c r="K4543">
        <v>11460</v>
      </c>
      <c r="L4543">
        <v>1189</v>
      </c>
    </row>
    <row r="4544" spans="1:12" x14ac:dyDescent="0.2">
      <c r="A4544"/>
      <c r="B4544"/>
      <c r="C4544"/>
      <c r="D4544"/>
      <c r="E4544" s="2">
        <f>Comuni__2[[#This Row],[Popolazione2011]]/$D$7911</f>
        <v>9.0520388232336071E-5</v>
      </c>
      <c r="F4544">
        <f>SUMIFS($D$2:$D$7909, $B$2:$B$7909, "Piemonte")</f>
        <v>4363916</v>
      </c>
      <c r="G4544" s="1">
        <f>Comuni__2[[#This Row],[Popolazione2011]]/Comuni__2[[#This Row],[POPOLAZIONE TOTALE DI OGNI REGIONE (CON FILTRO)]]</f>
        <v>1.2326085103379625E-3</v>
      </c>
      <c r="H4544" t="str">
        <f>IF(Comuni__2[[#This Row],[Popolazione2011]]&gt;300000,"MAGGIORE","")</f>
        <v/>
      </c>
      <c r="J4544">
        <v>440</v>
      </c>
      <c r="K4544">
        <v>11622</v>
      </c>
      <c r="L4544">
        <v>1194</v>
      </c>
    </row>
    <row r="4545" spans="1:12" x14ac:dyDescent="0.2">
      <c r="A4545"/>
      <c r="B4545"/>
      <c r="C4545"/>
      <c r="D4545"/>
      <c r="E4545" s="2">
        <f>Comuni__2[[#This Row],[Popolazione2011]]/$D$7911</f>
        <v>9.0453074316565606E-5</v>
      </c>
      <c r="F4545">
        <f>SUMIFS($D$2:$D$7909, $B$2:$B$7909, "Piemonte")</f>
        <v>4363916</v>
      </c>
      <c r="G4545" s="1">
        <f>Comuni__2[[#This Row],[Popolazione2011]]/Comuni__2[[#This Row],[POPOLAZIONE TOTALE DI OGNI REGIONE (CON FILTRO)]]</f>
        <v>1.2316919024105873E-3</v>
      </c>
      <c r="H4545" t="str">
        <f>IF(Comuni__2[[#This Row],[Popolazione2011]]&gt;300000,"MAGGIORE","")</f>
        <v/>
      </c>
      <c r="J4545">
        <v>511</v>
      </c>
      <c r="K4545">
        <v>11731</v>
      </c>
      <c r="L4545">
        <v>1206</v>
      </c>
    </row>
    <row r="4546" spans="1:12" x14ac:dyDescent="0.2">
      <c r="A4546"/>
      <c r="B4546"/>
      <c r="C4546"/>
      <c r="D4546"/>
      <c r="E4546" s="2">
        <f>Comuni__2[[#This Row],[Popolazione2011]]/$D$7911</f>
        <v>8.801294486988616E-5</v>
      </c>
      <c r="F4546">
        <f>SUMIFS($D$2:$D$7909, $B$2:$B$7909, "Piemonte")</f>
        <v>4363916</v>
      </c>
      <c r="G4546" s="1">
        <f>Comuni__2[[#This Row],[Popolazione2011]]/Comuni__2[[#This Row],[POPOLAZIONE TOTALE DI OGNI REGIONE (CON FILTRO)]]</f>
        <v>1.1984648650432319E-3</v>
      </c>
      <c r="H4546" t="str">
        <f>IF(Comuni__2[[#This Row],[Popolazione2011]]&gt;300000,"MAGGIORE","")</f>
        <v/>
      </c>
      <c r="J4546">
        <v>547</v>
      </c>
      <c r="K4546">
        <v>11846</v>
      </c>
      <c r="L4546">
        <v>1208</v>
      </c>
    </row>
    <row r="4547" spans="1:12" x14ac:dyDescent="0.2">
      <c r="A4547"/>
      <c r="B4547"/>
      <c r="C4547"/>
      <c r="D4547"/>
      <c r="E4547" s="2">
        <f>Comuni__2[[#This Row],[Popolazione2011]]/$D$7911</f>
        <v>8.7794174643632137E-5</v>
      </c>
      <c r="F4547">
        <f>SUMIFS($D$2:$D$7909, $B$2:$B$7909, "Piemonte")</f>
        <v>4363916</v>
      </c>
      <c r="G4547" s="1">
        <f>Comuni__2[[#This Row],[Popolazione2011]]/Comuni__2[[#This Row],[POPOLAZIONE TOTALE DI OGNI REGIONE (CON FILTRO)]]</f>
        <v>1.195485889279262E-3</v>
      </c>
      <c r="H4547" t="str">
        <f>IF(Comuni__2[[#This Row],[Popolazione2011]]&gt;300000,"MAGGIORE","")</f>
        <v/>
      </c>
      <c r="J4547">
        <v>579</v>
      </c>
      <c r="K4547">
        <v>12006</v>
      </c>
      <c r="L4547">
        <v>1221</v>
      </c>
    </row>
    <row r="4548" spans="1:12" x14ac:dyDescent="0.2">
      <c r="A4548"/>
      <c r="B4548"/>
      <c r="C4548"/>
      <c r="D4548"/>
      <c r="E4548" s="2">
        <f>Comuni__2[[#This Row],[Popolazione2011]]/$D$7911</f>
        <v>8.7592232896320729E-5</v>
      </c>
      <c r="F4548">
        <f>SUMIFS($D$2:$D$7909, $B$2:$B$7909, "Piemonte")</f>
        <v>4363916</v>
      </c>
      <c r="G4548" s="1">
        <f>Comuni__2[[#This Row],[Popolazione2011]]/Comuni__2[[#This Row],[POPOLAZIONE TOTALE DI OGNI REGIONE (CON FILTRO)]]</f>
        <v>1.1927360654971362E-3</v>
      </c>
      <c r="H4548" t="str">
        <f>IF(Comuni__2[[#This Row],[Popolazione2011]]&gt;300000,"MAGGIORE","")</f>
        <v/>
      </c>
      <c r="J4548">
        <v>606</v>
      </c>
      <c r="K4548">
        <v>12121</v>
      </c>
      <c r="L4548">
        <v>1229</v>
      </c>
    </row>
    <row r="4549" spans="1:12" x14ac:dyDescent="0.2">
      <c r="A4549"/>
      <c r="B4549"/>
      <c r="C4549"/>
      <c r="D4549"/>
      <c r="E4549" s="2">
        <f>Comuni__2[[#This Row],[Popolazione2011]]/$D$7911</f>
        <v>8.6666666554476802E-5</v>
      </c>
      <c r="F4549">
        <f>SUMIFS($D$2:$D$7909, $B$2:$B$7909, "Piemonte")</f>
        <v>4363916</v>
      </c>
      <c r="G4549" s="1">
        <f>Comuni__2[[#This Row],[Popolazione2011]]/Comuni__2[[#This Row],[POPOLAZIONE TOTALE DI OGNI REGIONE (CON FILTRO)]]</f>
        <v>1.1801327064957254E-3</v>
      </c>
      <c r="H4549" t="str">
        <f>IF(Comuni__2[[#This Row],[Popolazione2011]]&gt;300000,"MAGGIORE","")</f>
        <v/>
      </c>
      <c r="J4549">
        <v>656</v>
      </c>
      <c r="K4549">
        <v>12290</v>
      </c>
      <c r="L4549">
        <v>1237</v>
      </c>
    </row>
    <row r="4550" spans="1:12" x14ac:dyDescent="0.2">
      <c r="A4550"/>
      <c r="B4550"/>
      <c r="C4550"/>
      <c r="D4550"/>
      <c r="E4550" s="2">
        <f>Comuni__2[[#This Row],[Popolazione2011]]/$D$7911</f>
        <v>8.6515210243993257E-5</v>
      </c>
      <c r="F4550">
        <f>SUMIFS($D$2:$D$7909, $B$2:$B$7909, "Piemonte")</f>
        <v>4363916</v>
      </c>
      <c r="G4550" s="1">
        <f>Comuni__2[[#This Row],[Popolazione2011]]/Comuni__2[[#This Row],[POPOLAZIONE TOTALE DI OGNI REGIONE (CON FILTRO)]]</f>
        <v>1.1780703386591309E-3</v>
      </c>
      <c r="H4550" t="str">
        <f>IF(Comuni__2[[#This Row],[Popolazione2011]]&gt;300000,"MAGGIORE","")</f>
        <v/>
      </c>
      <c r="J4550">
        <v>727</v>
      </c>
      <c r="K4550">
        <v>12491</v>
      </c>
      <c r="L4550">
        <v>1248</v>
      </c>
    </row>
    <row r="4551" spans="1:12" x14ac:dyDescent="0.2">
      <c r="A4551"/>
      <c r="B4551"/>
      <c r="C4551"/>
      <c r="D4551"/>
      <c r="E4551" s="2">
        <f>Comuni__2[[#This Row],[Popolazione2011]]/$D$7911</f>
        <v>8.4209708628854753E-5</v>
      </c>
      <c r="F4551">
        <f>SUMIFS($D$2:$D$7909, $B$2:$B$7909, "Piemonte")</f>
        <v>4363916</v>
      </c>
      <c r="G4551" s="1">
        <f>Comuni__2[[#This Row],[Popolazione2011]]/Comuni__2[[#This Row],[POPOLAZIONE TOTALE DI OGNI REGIONE (CON FILTRO)]]</f>
        <v>1.1466765171465262E-3</v>
      </c>
      <c r="H4551" t="str">
        <f>IF(Comuni__2[[#This Row],[Popolazione2011]]&gt;300000,"MAGGIORE","")</f>
        <v/>
      </c>
      <c r="J4551">
        <v>825</v>
      </c>
      <c r="K4551">
        <v>12708</v>
      </c>
      <c r="L4551">
        <v>1262</v>
      </c>
    </row>
    <row r="4552" spans="1:12" x14ac:dyDescent="0.2">
      <c r="A4552"/>
      <c r="B4552"/>
      <c r="C4552"/>
      <c r="D4552"/>
      <c r="E4552" s="2">
        <f>Comuni__2[[#This Row],[Popolazione2011]]/$D$7911</f>
        <v>8.4007766881543346E-5</v>
      </c>
      <c r="F4552">
        <f>SUMIFS($D$2:$D$7909, $B$2:$B$7909, "Piemonte")</f>
        <v>4363916</v>
      </c>
      <c r="G4552" s="1">
        <f>Comuni__2[[#This Row],[Popolazione2011]]/Comuni__2[[#This Row],[POPOLAZIONE TOTALE DI OGNI REGIONE (CON FILTRO)]]</f>
        <v>1.1439266933644002E-3</v>
      </c>
      <c r="H4552" t="str">
        <f>IF(Comuni__2[[#This Row],[Popolazione2011]]&gt;300000,"MAGGIORE","")</f>
        <v/>
      </c>
      <c r="J4552">
        <v>889</v>
      </c>
      <c r="K4552">
        <v>12810</v>
      </c>
      <c r="L4552">
        <v>1275</v>
      </c>
    </row>
    <row r="4553" spans="1:12" x14ac:dyDescent="0.2">
      <c r="A4553"/>
      <c r="B4553"/>
      <c r="C4553"/>
      <c r="D4553"/>
      <c r="E4553" s="2">
        <f>Comuni__2[[#This Row],[Popolazione2011]]/$D$7911</f>
        <v>8.3502912513264835E-5</v>
      </c>
      <c r="F4553">
        <f>SUMIFS($D$2:$D$7909, $B$2:$B$7909, "Piemonte")</f>
        <v>4363916</v>
      </c>
      <c r="G4553" s="1">
        <f>Comuni__2[[#This Row],[Popolazione2011]]/Comuni__2[[#This Row],[POPOLAZIONE TOTALE DI OGNI REGIONE (CON FILTRO)]]</f>
        <v>1.1370521339090854E-3</v>
      </c>
      <c r="H4553" t="str">
        <f>IF(Comuni__2[[#This Row],[Popolazione2011]]&gt;300000,"MAGGIORE","")</f>
        <v/>
      </c>
      <c r="J4553">
        <v>923</v>
      </c>
      <c r="K4553">
        <v>12954</v>
      </c>
      <c r="L4553">
        <v>1290</v>
      </c>
    </row>
    <row r="4554" spans="1:12" x14ac:dyDescent="0.2">
      <c r="A4554"/>
      <c r="B4554"/>
      <c r="C4554"/>
      <c r="D4554"/>
      <c r="E4554" s="2">
        <f>Comuni__2[[#This Row],[Popolazione2011]]/$D$7911</f>
        <v>8.2947572708158475E-5</v>
      </c>
      <c r="F4554">
        <f>SUMIFS($D$2:$D$7909, $B$2:$B$7909, "Piemonte")</f>
        <v>4363916</v>
      </c>
      <c r="G4554" s="1">
        <f>Comuni__2[[#This Row],[Popolazione2011]]/Comuni__2[[#This Row],[POPOLAZIONE TOTALE DI OGNI REGIONE (CON FILTRO)]]</f>
        <v>1.129490118508239E-3</v>
      </c>
      <c r="H4554" t="str">
        <f>IF(Comuni__2[[#This Row],[Popolazione2011]]&gt;300000,"MAGGIORE","")</f>
        <v/>
      </c>
      <c r="J4554">
        <v>987</v>
      </c>
      <c r="K4554">
        <v>13335</v>
      </c>
      <c r="L4554">
        <v>1297</v>
      </c>
    </row>
    <row r="4555" spans="1:12" x14ac:dyDescent="0.2">
      <c r="A4555"/>
      <c r="B4555"/>
      <c r="C4555"/>
      <c r="D4555"/>
      <c r="E4555" s="2">
        <f>Comuni__2[[#This Row],[Popolazione2011]]/$D$7911</f>
        <v>8.2745630960847082E-5</v>
      </c>
      <c r="F4555">
        <f>SUMIFS($D$2:$D$7909, $B$2:$B$7909, "Piemonte")</f>
        <v>4363916</v>
      </c>
      <c r="G4555" s="1">
        <f>Comuni__2[[#This Row],[Popolazione2011]]/Comuni__2[[#This Row],[POPOLAZIONE TOTALE DI OGNI REGIONE (CON FILTRO)]]</f>
        <v>1.1267402947261129E-3</v>
      </c>
      <c r="H4555" t="str">
        <f>IF(Comuni__2[[#This Row],[Popolazione2011]]&gt;300000,"MAGGIORE","")</f>
        <v/>
      </c>
      <c r="J4555">
        <v>1093</v>
      </c>
      <c r="K4555">
        <v>13678</v>
      </c>
      <c r="L4555">
        <v>1310</v>
      </c>
    </row>
    <row r="4556" spans="1:12" x14ac:dyDescent="0.2">
      <c r="A4556"/>
      <c r="B4556"/>
      <c r="C4556"/>
      <c r="D4556"/>
      <c r="E4556" s="2">
        <f>Comuni__2[[#This Row],[Popolazione2011]]/$D$7911</f>
        <v>8.2627831608248756E-5</v>
      </c>
      <c r="F4556">
        <f>SUMIFS($D$2:$D$7909, $B$2:$B$7909, "Piemonte")</f>
        <v>4363916</v>
      </c>
      <c r="G4556" s="1">
        <f>Comuni__2[[#This Row],[Popolazione2011]]/Comuni__2[[#This Row],[POPOLAZIONE TOTALE DI OGNI REGIONE (CON FILTRO)]]</f>
        <v>1.1251362308532062E-3</v>
      </c>
      <c r="H4556" t="str">
        <f>IF(Comuni__2[[#This Row],[Popolazione2011]]&gt;300000,"MAGGIORE","")</f>
        <v/>
      </c>
      <c r="J4556">
        <v>1160</v>
      </c>
      <c r="K4556">
        <v>13983</v>
      </c>
      <c r="L4556">
        <v>1320</v>
      </c>
    </row>
    <row r="4557" spans="1:12" x14ac:dyDescent="0.2">
      <c r="A4557"/>
      <c r="B4557"/>
      <c r="C4557"/>
      <c r="D4557"/>
      <c r="E4557" s="2">
        <f>Comuni__2[[#This Row],[Popolazione2011]]/$D$7911</f>
        <v>8.1853721576888387E-5</v>
      </c>
      <c r="F4557">
        <f>SUMIFS($D$2:$D$7909, $B$2:$B$7909, "Piemonte")</f>
        <v>4363916</v>
      </c>
      <c r="G4557" s="1">
        <f>Comuni__2[[#This Row],[Popolazione2011]]/Comuni__2[[#This Row],[POPOLAZIONE TOTALE DI OGNI REGIONE (CON FILTRO)]]</f>
        <v>1.1145952396883899E-3</v>
      </c>
      <c r="H4557" t="str">
        <f>IF(Comuni__2[[#This Row],[Popolazione2011]]&gt;300000,"MAGGIORE","")</f>
        <v/>
      </c>
      <c r="J4557">
        <v>1209</v>
      </c>
      <c r="K4557">
        <v>15074</v>
      </c>
      <c r="L4557">
        <v>1345</v>
      </c>
    </row>
    <row r="4558" spans="1:12" x14ac:dyDescent="0.2">
      <c r="A4558"/>
      <c r="B4558"/>
      <c r="C4558"/>
      <c r="D4558"/>
      <c r="E4558" s="2">
        <f>Comuni__2[[#This Row],[Popolazione2011]]/$D$7911</f>
        <v>8.1197410898126331E-5</v>
      </c>
      <c r="F4558">
        <f>SUMIFS($D$2:$D$7909, $B$2:$B$7909, "Piemonte")</f>
        <v>4363916</v>
      </c>
      <c r="G4558" s="1">
        <f>Comuni__2[[#This Row],[Popolazione2011]]/Comuni__2[[#This Row],[POPOLAZIONE TOTALE DI OGNI REGIONE (CON FILTRO)]]</f>
        <v>1.1056583123964807E-3</v>
      </c>
      <c r="H4558" t="str">
        <f>IF(Comuni__2[[#This Row],[Popolazione2011]]&gt;300000,"MAGGIORE","")</f>
        <v/>
      </c>
      <c r="J4558">
        <v>1279</v>
      </c>
      <c r="K4558">
        <v>15305</v>
      </c>
      <c r="L4558">
        <v>1363</v>
      </c>
    </row>
    <row r="4559" spans="1:12" x14ac:dyDescent="0.2">
      <c r="A4559"/>
      <c r="B4559"/>
      <c r="C4559"/>
      <c r="D4559"/>
      <c r="E4559" s="2">
        <f>Comuni__2[[#This Row],[Popolazione2011]]/$D$7911</f>
        <v>8.1197410898126331E-5</v>
      </c>
      <c r="F4559">
        <f>SUMIFS($D$2:$D$7909, $B$2:$B$7909, "Piemonte")</f>
        <v>4363916</v>
      </c>
      <c r="G4559" s="1">
        <f>Comuni__2[[#This Row],[Popolazione2011]]/Comuni__2[[#This Row],[POPOLAZIONE TOTALE DI OGNI REGIONE (CON FILTRO)]]</f>
        <v>1.1056583123964807E-3</v>
      </c>
      <c r="H4559" t="str">
        <f>IF(Comuni__2[[#This Row],[Popolazione2011]]&gt;300000,"MAGGIORE","")</f>
        <v/>
      </c>
      <c r="J4559">
        <v>1399</v>
      </c>
      <c r="K4559">
        <v>15529</v>
      </c>
      <c r="L4559">
        <v>1387</v>
      </c>
    </row>
    <row r="4560" spans="1:12" x14ac:dyDescent="0.2">
      <c r="A4560"/>
      <c r="B4560"/>
      <c r="C4560"/>
      <c r="D4560"/>
      <c r="E4560" s="2">
        <f>Comuni__2[[#This Row],[Popolazione2011]]/$D$7911</f>
        <v>8.1045954587642772E-5</v>
      </c>
      <c r="F4560">
        <f>SUMIFS($D$2:$D$7909, $B$2:$B$7909, "Piemonte")</f>
        <v>4363916</v>
      </c>
      <c r="G4560" s="1">
        <f>Comuni__2[[#This Row],[Popolazione2011]]/Comuni__2[[#This Row],[POPOLAZIONE TOTALE DI OGNI REGIONE (CON FILTRO)]]</f>
        <v>1.1035959445598862E-3</v>
      </c>
      <c r="H4560" t="str">
        <f>IF(Comuni__2[[#This Row],[Popolazione2011]]&gt;300000,"MAGGIORE","")</f>
        <v/>
      </c>
      <c r="J4560">
        <v>1451</v>
      </c>
      <c r="K4560">
        <v>15667</v>
      </c>
      <c r="L4560">
        <v>1403</v>
      </c>
    </row>
    <row r="4561" spans="1:12" x14ac:dyDescent="0.2">
      <c r="A4561"/>
      <c r="B4561"/>
      <c r="C4561"/>
      <c r="D4561"/>
      <c r="E4561" s="2">
        <f>Comuni__2[[#This Row],[Popolazione2011]]/$D$7911</f>
        <v>8.0860841319273995E-5</v>
      </c>
      <c r="F4561">
        <f>SUMIFS($D$2:$D$7909, $B$2:$B$7909, "Piemonte")</f>
        <v>4363916</v>
      </c>
      <c r="G4561" s="1">
        <f>Comuni__2[[#This Row],[Popolazione2011]]/Comuni__2[[#This Row],[POPOLAZIONE TOTALE DI OGNI REGIONE (CON FILTRO)]]</f>
        <v>1.1010752727596039E-3</v>
      </c>
      <c r="H4561" t="str">
        <f>IF(Comuni__2[[#This Row],[Popolazione2011]]&gt;300000,"MAGGIORE","")</f>
        <v/>
      </c>
      <c r="J4561">
        <v>1516</v>
      </c>
      <c r="K4561">
        <v>15890</v>
      </c>
      <c r="L4561">
        <v>1445</v>
      </c>
    </row>
    <row r="4562" spans="1:12" x14ac:dyDescent="0.2">
      <c r="A4562"/>
      <c r="B4562"/>
      <c r="C4562"/>
      <c r="D4562"/>
      <c r="E4562" s="2">
        <f>Comuni__2[[#This Row],[Popolazione2011]]/$D$7911</f>
        <v>8.0844012840331378E-5</v>
      </c>
      <c r="F4562">
        <f>SUMIFS($D$2:$D$7909, $B$2:$B$7909, "Piemonte")</f>
        <v>4363916</v>
      </c>
      <c r="G4562" s="1">
        <f>Comuni__2[[#This Row],[Popolazione2011]]/Comuni__2[[#This Row],[POPOLAZIONE TOTALE DI OGNI REGIONE (CON FILTRO)]]</f>
        <v>1.1008461207777601E-3</v>
      </c>
      <c r="H4562" t="str">
        <f>IF(Comuni__2[[#This Row],[Popolazione2011]]&gt;300000,"MAGGIORE","")</f>
        <v/>
      </c>
      <c r="J4562">
        <v>1589</v>
      </c>
      <c r="K4562">
        <v>16136</v>
      </c>
      <c r="L4562">
        <v>1470</v>
      </c>
    </row>
    <row r="4563" spans="1:12" x14ac:dyDescent="0.2">
      <c r="A4563"/>
      <c r="B4563"/>
      <c r="C4563"/>
      <c r="D4563"/>
      <c r="E4563" s="2">
        <f>Comuni__2[[#This Row],[Popolazione2011]]/$D$7911</f>
        <v>7.9985760414257915E-5</v>
      </c>
      <c r="F4563">
        <f>SUMIFS($D$2:$D$7909, $B$2:$B$7909, "Piemonte")</f>
        <v>4363916</v>
      </c>
      <c r="G4563" s="1">
        <f>Comuni__2[[#This Row],[Popolazione2011]]/Comuni__2[[#This Row],[POPOLAZIONE TOTALE DI OGNI REGIONE (CON FILTRO)]]</f>
        <v>1.0891593697037248E-3</v>
      </c>
      <c r="H4563" t="str">
        <f>IF(Comuni__2[[#This Row],[Popolazione2011]]&gt;300000,"MAGGIORE","")</f>
        <v/>
      </c>
      <c r="J4563">
        <v>1512</v>
      </c>
      <c r="K4563">
        <v>16738</v>
      </c>
      <c r="L4563">
        <v>1502</v>
      </c>
    </row>
    <row r="4564" spans="1:12" x14ac:dyDescent="0.2">
      <c r="A4564"/>
      <c r="B4564"/>
      <c r="C4564"/>
      <c r="D4564"/>
      <c r="E4564" s="2">
        <f>Comuni__2[[#This Row],[Popolazione2011]]/$D$7911</f>
        <v>7.9531391482807266E-5</v>
      </c>
      <c r="F4564">
        <f>SUMIFS($D$2:$D$7909, $B$2:$B$7909, "Piemonte")</f>
        <v>4363916</v>
      </c>
      <c r="G4564" s="1">
        <f>Comuni__2[[#This Row],[Popolazione2011]]/Comuni__2[[#This Row],[POPOLAZIONE TOTALE DI OGNI REGIONE (CON FILTRO)]]</f>
        <v>1.0829722661939414E-3</v>
      </c>
      <c r="H4564" t="str">
        <f>IF(Comuni__2[[#This Row],[Popolazione2011]]&gt;300000,"MAGGIORE","")</f>
        <v/>
      </c>
      <c r="J4564">
        <v>1582</v>
      </c>
      <c r="K4564">
        <v>17352</v>
      </c>
      <c r="L4564">
        <v>1532</v>
      </c>
    </row>
    <row r="4565" spans="1:12" x14ac:dyDescent="0.2">
      <c r="A4565"/>
      <c r="B4565"/>
      <c r="C4565"/>
      <c r="D4565"/>
      <c r="E4565" s="2">
        <f>Comuni__2[[#This Row],[Popolazione2011]]/$D$7911</f>
        <v>7.9346278214438475E-5</v>
      </c>
      <c r="F4565">
        <f>SUMIFS($D$2:$D$7909, $B$2:$B$7909, "Piemonte")</f>
        <v>4363916</v>
      </c>
      <c r="G4565" s="1">
        <f>Comuni__2[[#This Row],[Popolazione2011]]/Comuni__2[[#This Row],[POPOLAZIONE TOTALE DI OGNI REGIONE (CON FILTRO)]]</f>
        <v>1.0804515943936594E-3</v>
      </c>
      <c r="H4565" t="str">
        <f>IF(Comuni__2[[#This Row],[Popolazione2011]]&gt;300000,"MAGGIORE","")</f>
        <v/>
      </c>
      <c r="J4565">
        <v>1700</v>
      </c>
      <c r="K4565">
        <v>17938</v>
      </c>
      <c r="L4565">
        <v>1561</v>
      </c>
    </row>
    <row r="4566" spans="1:12" x14ac:dyDescent="0.2">
      <c r="A4566"/>
      <c r="B4566"/>
      <c r="C4566"/>
      <c r="D4566"/>
      <c r="E4566" s="2">
        <f>Comuni__2[[#This Row],[Popolazione2011]]/$D$7911</f>
        <v>7.9211650382897546E-5</v>
      </c>
      <c r="F4566">
        <f>SUMIFS($D$2:$D$7909, $B$2:$B$7909, "Piemonte")</f>
        <v>4363916</v>
      </c>
      <c r="G4566" s="1">
        <f>Comuni__2[[#This Row],[Popolazione2011]]/Comuni__2[[#This Row],[POPOLAZIONE TOTALE DI OGNI REGIONE (CON FILTRO)]]</f>
        <v>1.0786183785389087E-3</v>
      </c>
      <c r="H4566" t="str">
        <f>IF(Comuni__2[[#This Row],[Popolazione2011]]&gt;300000,"MAGGIORE","")</f>
        <v/>
      </c>
      <c r="J4566">
        <v>1776</v>
      </c>
      <c r="K4566">
        <v>19116</v>
      </c>
      <c r="L4566">
        <v>1594</v>
      </c>
    </row>
    <row r="4567" spans="1:12" x14ac:dyDescent="0.2">
      <c r="A4567"/>
      <c r="B4567"/>
      <c r="C4567"/>
      <c r="D4567"/>
      <c r="E4567" s="2">
        <f>Comuni__2[[#This Row],[Popolazione2011]]/$D$7911</f>
        <v>7.8942394719815675E-5</v>
      </c>
      <c r="F4567">
        <f>SUMIFS($D$2:$D$7909, $B$2:$B$7909, "Piemonte")</f>
        <v>4363916</v>
      </c>
      <c r="G4567" s="1">
        <f>Comuni__2[[#This Row],[Popolazione2011]]/Comuni__2[[#This Row],[POPOLAZIONE TOTALE DI OGNI REGIONE (CON FILTRO)]]</f>
        <v>1.0749519468294074E-3</v>
      </c>
      <c r="H4567" t="str">
        <f>IF(Comuni__2[[#This Row],[Popolazione2011]]&gt;300000,"MAGGIORE","")</f>
        <v/>
      </c>
      <c r="J4567">
        <v>1824</v>
      </c>
      <c r="K4567">
        <v>19451</v>
      </c>
      <c r="L4567">
        <v>1648</v>
      </c>
    </row>
    <row r="4568" spans="1:12" x14ac:dyDescent="0.2">
      <c r="A4568"/>
      <c r="B4568"/>
      <c r="C4568"/>
      <c r="D4568"/>
      <c r="E4568" s="2">
        <f>Comuni__2[[#This Row],[Popolazione2011]]/$D$7911</f>
        <v>7.8588996662020723E-5</v>
      </c>
      <c r="F4568">
        <f>SUMIFS($D$2:$D$7909, $B$2:$B$7909, "Piemonte")</f>
        <v>4363916</v>
      </c>
      <c r="G4568" s="1">
        <f>Comuni__2[[#This Row],[Popolazione2011]]/Comuni__2[[#This Row],[POPOLAZIONE TOTALE DI OGNI REGIONE (CON FILTRO)]]</f>
        <v>1.0701397552106869E-3</v>
      </c>
      <c r="H4568" t="str">
        <f>IF(Comuni__2[[#This Row],[Popolazione2011]]&gt;300000,"MAGGIORE","")</f>
        <v/>
      </c>
      <c r="J4568">
        <v>1874</v>
      </c>
      <c r="K4568">
        <v>20319</v>
      </c>
      <c r="L4568">
        <v>1701</v>
      </c>
    </row>
    <row r="4569" spans="1:12" x14ac:dyDescent="0.2">
      <c r="A4569"/>
      <c r="B4569"/>
      <c r="C4569"/>
      <c r="D4569"/>
      <c r="E4569" s="2">
        <f>Comuni__2[[#This Row],[Popolazione2011]]/$D$7911</f>
        <v>7.7764401193832492E-5</v>
      </c>
      <c r="F4569">
        <f>SUMIFS($D$2:$D$7909, $B$2:$B$7909, "Piemonte")</f>
        <v>4363916</v>
      </c>
      <c r="G4569" s="1">
        <f>Comuni__2[[#This Row],[Popolazione2011]]/Comuni__2[[#This Row],[POPOLAZIONE TOTALE DI OGNI REGIONE (CON FILTRO)]]</f>
        <v>1.0589113081003391E-3</v>
      </c>
      <c r="H4569" t="str">
        <f>IF(Comuni__2[[#This Row],[Popolazione2011]]&gt;300000,"MAGGIORE","")</f>
        <v/>
      </c>
      <c r="J4569">
        <v>1909</v>
      </c>
      <c r="K4569">
        <v>21198</v>
      </c>
      <c r="L4569">
        <v>1738</v>
      </c>
    </row>
    <row r="4570" spans="1:12" x14ac:dyDescent="0.2">
      <c r="A4570"/>
      <c r="B4570"/>
      <c r="C4570"/>
      <c r="D4570"/>
      <c r="E4570" s="2">
        <f>Comuni__2[[#This Row],[Popolazione2011]]/$D$7911</f>
        <v>7.6956634204586877E-5</v>
      </c>
      <c r="F4570">
        <f>SUMIFS($D$2:$D$7909, $B$2:$B$7909, "Piemonte")</f>
        <v>4363916</v>
      </c>
      <c r="G4570" s="1">
        <f>Comuni__2[[#This Row],[Popolazione2011]]/Comuni__2[[#This Row],[POPOLAZIONE TOTALE DI OGNI REGIONE (CON FILTRO)]]</f>
        <v>1.0479120129718354E-3</v>
      </c>
      <c r="H4570" t="str">
        <f>IF(Comuni__2[[#This Row],[Popolazione2011]]&gt;300000,"MAGGIORE","")</f>
        <v/>
      </c>
      <c r="J4570">
        <v>1921</v>
      </c>
      <c r="K4570">
        <v>22408</v>
      </c>
      <c r="L4570">
        <v>1793</v>
      </c>
    </row>
    <row r="4571" spans="1:12" x14ac:dyDescent="0.2">
      <c r="A4571"/>
      <c r="B4571"/>
      <c r="C4571"/>
      <c r="D4571"/>
      <c r="E4571" s="2">
        <f>Comuni__2[[#This Row],[Popolazione2011]]/$D$7911</f>
        <v>7.6838834851988564E-5</v>
      </c>
      <c r="F4571">
        <f>SUMIFS($D$2:$D$7909, $B$2:$B$7909, "Piemonte")</f>
        <v>4363916</v>
      </c>
      <c r="G4571" s="1">
        <f>Comuni__2[[#This Row],[Popolazione2011]]/Comuni__2[[#This Row],[POPOLAZIONE TOTALE DI OGNI REGIONE (CON FILTRO)]]</f>
        <v>1.0463079490989286E-3</v>
      </c>
      <c r="H4571" t="str">
        <f>IF(Comuni__2[[#This Row],[Popolazione2011]]&gt;300000,"MAGGIORE","")</f>
        <v/>
      </c>
      <c r="J4571">
        <v>1945</v>
      </c>
      <c r="K4571">
        <v>23854</v>
      </c>
      <c r="L4571">
        <v>1835</v>
      </c>
    </row>
    <row r="4572" spans="1:12" x14ac:dyDescent="0.2">
      <c r="A4572"/>
      <c r="B4572"/>
      <c r="C4572"/>
      <c r="D4572"/>
      <c r="E4572" s="2">
        <f>Comuni__2[[#This Row],[Popolazione2011]]/$D$7911</f>
        <v>7.6519093752078844E-5</v>
      </c>
      <c r="F4572">
        <f>SUMIFS($D$2:$D$7909, $B$2:$B$7909, "Piemonte")</f>
        <v>4363916</v>
      </c>
      <c r="G4572" s="1">
        <f>Comuni__2[[#This Row],[Popolazione2011]]/Comuni__2[[#This Row],[POPOLAZIONE TOTALE DI OGNI REGIONE (CON FILTRO)]]</f>
        <v>1.0419540614438959E-3</v>
      </c>
      <c r="H4572" t="str">
        <f>IF(Comuni__2[[#This Row],[Popolazione2011]]&gt;300000,"MAGGIORE","")</f>
        <v/>
      </c>
      <c r="J4572">
        <v>2008</v>
      </c>
      <c r="K4572">
        <v>25216</v>
      </c>
      <c r="L4572">
        <v>1879</v>
      </c>
    </row>
    <row r="4573" spans="1:12" x14ac:dyDescent="0.2">
      <c r="A4573"/>
      <c r="B4573"/>
      <c r="C4573"/>
      <c r="D4573"/>
      <c r="E4573" s="2">
        <f>Comuni__2[[#This Row],[Popolazione2011]]/$D$7911</f>
        <v>7.6014239383800333E-5</v>
      </c>
      <c r="F4573">
        <f>SUMIFS($D$2:$D$7909, $B$2:$B$7909, "Piemonte")</f>
        <v>4363916</v>
      </c>
      <c r="G4573" s="1">
        <f>Comuni__2[[#This Row],[Popolazione2011]]/Comuni__2[[#This Row],[POPOLAZIONE TOTALE DI OGNI REGIONE (CON FILTRO)]]</f>
        <v>1.0350795019885809E-3</v>
      </c>
      <c r="H4573" t="str">
        <f>IF(Comuni__2[[#This Row],[Popolazione2011]]&gt;300000,"MAGGIORE","")</f>
        <v/>
      </c>
      <c r="J4573">
        <v>2061</v>
      </c>
      <c r="K4573">
        <v>26070</v>
      </c>
      <c r="L4573">
        <v>1915</v>
      </c>
    </row>
    <row r="4574" spans="1:12" x14ac:dyDescent="0.2">
      <c r="A4574"/>
      <c r="B4574"/>
      <c r="C4574"/>
      <c r="D4574"/>
      <c r="E4574" s="2">
        <f>Comuni__2[[#This Row],[Popolazione2011]]/$D$7911</f>
        <v>7.5122329999841638E-5</v>
      </c>
      <c r="F4574">
        <f>SUMIFS($D$2:$D$7909, $B$2:$B$7909, "Piemonte")</f>
        <v>4363916</v>
      </c>
      <c r="G4574" s="1">
        <f>Comuni__2[[#This Row],[Popolazione2011]]/Comuni__2[[#This Row],[POPOLAZIONE TOTALE DI OGNI REGIONE (CON FILTRO)]]</f>
        <v>1.0229344469508579E-3</v>
      </c>
      <c r="H4574" t="str">
        <f>IF(Comuni__2[[#This Row],[Popolazione2011]]&gt;300000,"MAGGIORE","")</f>
        <v/>
      </c>
      <c r="J4574">
        <v>2069</v>
      </c>
      <c r="K4574">
        <v>28078</v>
      </c>
      <c r="L4574">
        <v>1967</v>
      </c>
    </row>
    <row r="4575" spans="1:12" x14ac:dyDescent="0.2">
      <c r="A4575"/>
      <c r="B4575"/>
      <c r="C4575"/>
      <c r="D4575"/>
      <c r="E4575" s="2">
        <f>Comuni__2[[#This Row],[Popolazione2011]]/$D$7911</f>
        <v>7.4886731294645012E-5</v>
      </c>
      <c r="F4575">
        <f>SUMIFS($D$2:$D$7909, $B$2:$B$7909, "Piemonte")</f>
        <v>4363916</v>
      </c>
      <c r="G4575" s="1">
        <f>Comuni__2[[#This Row],[Popolazione2011]]/Comuni__2[[#This Row],[POPOLAZIONE TOTALE DI OGNI REGIONE (CON FILTRO)]]</f>
        <v>1.0197263192050442E-3</v>
      </c>
      <c r="H4575" t="str">
        <f>IF(Comuni__2[[#This Row],[Popolazione2011]]&gt;300000,"MAGGIORE","")</f>
        <v/>
      </c>
      <c r="J4575">
        <v>2087</v>
      </c>
      <c r="K4575">
        <v>30573</v>
      </c>
      <c r="L4575">
        <v>2022</v>
      </c>
    </row>
    <row r="4576" spans="1:12" x14ac:dyDescent="0.2">
      <c r="A4576"/>
      <c r="B4576"/>
      <c r="C4576"/>
      <c r="D4576"/>
      <c r="E4576" s="2">
        <f>Comuni__2[[#This Row],[Popolazione2011]]/$D$7911</f>
        <v>7.4869902815702396E-5</v>
      </c>
      <c r="F4576">
        <f>SUMIFS($D$2:$D$7909, $B$2:$B$7909, "Piemonte")</f>
        <v>4363916</v>
      </c>
      <c r="G4576" s="1">
        <f>Comuni__2[[#This Row],[Popolazione2011]]/Comuni__2[[#This Row],[POPOLAZIONE TOTALE DI OGNI REGIONE (CON FILTRO)]]</f>
        <v>1.0194971672232004E-3</v>
      </c>
      <c r="H4576" t="str">
        <f>IF(Comuni__2[[#This Row],[Popolazione2011]]&gt;300000,"MAGGIORE","")</f>
        <v/>
      </c>
      <c r="J4576">
        <v>2101</v>
      </c>
      <c r="K4576">
        <v>32480</v>
      </c>
      <c r="L4576">
        <v>2073</v>
      </c>
    </row>
    <row r="4577" spans="1:12" x14ac:dyDescent="0.2">
      <c r="A4577"/>
      <c r="B4577"/>
      <c r="C4577"/>
      <c r="D4577"/>
      <c r="E4577" s="2">
        <f>Comuni__2[[#This Row],[Popolazione2011]]/$D$7911</f>
        <v>7.4516504757907431E-5</v>
      </c>
      <c r="F4577">
        <f>SUMIFS($D$2:$D$7909, $B$2:$B$7909, "Piemonte")</f>
        <v>4363916</v>
      </c>
      <c r="G4577" s="1">
        <f>Comuni__2[[#This Row],[Popolazione2011]]/Comuni__2[[#This Row],[POPOLAZIONE TOTALE DI OGNI REGIONE (CON FILTRO)]]</f>
        <v>1.0146849756044801E-3</v>
      </c>
      <c r="H4577" t="str">
        <f>IF(Comuni__2[[#This Row],[Popolazione2011]]&gt;300000,"MAGGIORE","")</f>
        <v/>
      </c>
      <c r="J4577">
        <v>2087</v>
      </c>
      <c r="K4577">
        <v>34894</v>
      </c>
      <c r="L4577">
        <v>2121</v>
      </c>
    </row>
    <row r="4578" spans="1:12" x14ac:dyDescent="0.2">
      <c r="A4578"/>
      <c r="B4578"/>
      <c r="C4578"/>
      <c r="D4578"/>
      <c r="E4578" s="2">
        <f>Comuni__2[[#This Row],[Popolazione2011]]/$D$7911</f>
        <v>7.2917799258358831E-5</v>
      </c>
      <c r="F4578">
        <f>SUMIFS($D$2:$D$7909, $B$2:$B$7909, "Piemonte")</f>
        <v>4363916</v>
      </c>
      <c r="G4578" s="1">
        <f>Comuni__2[[#This Row],[Popolazione2011]]/Comuni__2[[#This Row],[POPOLAZIONE TOTALE DI OGNI REGIONE (CON FILTRO)]]</f>
        <v>9.9291553732931605E-4</v>
      </c>
      <c r="H4578" t="str">
        <f>IF(Comuni__2[[#This Row],[Popolazione2011]]&gt;300000,"MAGGIORE","")</f>
        <v/>
      </c>
      <c r="J4578">
        <v>2094</v>
      </c>
      <c r="K4578">
        <v>37471</v>
      </c>
      <c r="L4578">
        <v>2165</v>
      </c>
    </row>
    <row r="4579" spans="1:12" x14ac:dyDescent="0.2">
      <c r="A4579"/>
      <c r="B4579"/>
      <c r="C4579"/>
      <c r="D4579"/>
      <c r="E4579" s="2">
        <f>Comuni__2[[#This Row],[Popolazione2011]]/$D$7911</f>
        <v>7.1605177900834719E-5</v>
      </c>
      <c r="F4579">
        <f>SUMIFS($D$2:$D$7909, $B$2:$B$7909, "Piemonte")</f>
        <v>4363916</v>
      </c>
      <c r="G4579" s="1">
        <f>Comuni__2[[#This Row],[Popolazione2011]]/Comuni__2[[#This Row],[POPOLAZIONE TOTALE DI OGNI REGIONE (CON FILTRO)]]</f>
        <v>9.7504168274549735E-4</v>
      </c>
      <c r="H4579" t="str">
        <f>IF(Comuni__2[[#This Row],[Popolazione2011]]&gt;300000,"MAGGIORE","")</f>
        <v/>
      </c>
      <c r="J4579">
        <v>2083</v>
      </c>
      <c r="K4579">
        <v>39765</v>
      </c>
      <c r="L4579">
        <v>2216</v>
      </c>
    </row>
    <row r="4580" spans="1:12" x14ac:dyDescent="0.2">
      <c r="A4580"/>
      <c r="B4580"/>
      <c r="C4580"/>
      <c r="D4580"/>
      <c r="E4580" s="2">
        <f>Comuni__2[[#This Row],[Popolazione2011]]/$D$7911</f>
        <v>7.1453721590351174E-5</v>
      </c>
      <c r="F4580">
        <f>SUMIFS($D$2:$D$7909, $B$2:$B$7909, "Piemonte")</f>
        <v>4363916</v>
      </c>
      <c r="G4580" s="1">
        <f>Comuni__2[[#This Row],[Popolazione2011]]/Comuni__2[[#This Row],[POPOLAZIONE TOTALE DI OGNI REGIONE (CON FILTRO)]]</f>
        <v>9.7297931490890289E-4</v>
      </c>
      <c r="H4580" t="str">
        <f>IF(Comuni__2[[#This Row],[Popolazione2011]]&gt;300000,"MAGGIORE","")</f>
        <v/>
      </c>
      <c r="J4580">
        <v>2128</v>
      </c>
      <c r="K4580">
        <v>41345</v>
      </c>
      <c r="L4580">
        <v>2264</v>
      </c>
    </row>
    <row r="4581" spans="1:12" x14ac:dyDescent="0.2">
      <c r="A4581"/>
      <c r="B4581"/>
      <c r="C4581"/>
      <c r="D4581"/>
      <c r="E4581" s="2">
        <f>Comuni__2[[#This Row],[Popolazione2011]]/$D$7911</f>
        <v>7.1302265279867615E-5</v>
      </c>
      <c r="F4581">
        <f>SUMIFS($D$2:$D$7909, $B$2:$B$7909, "Piemonte")</f>
        <v>4363916</v>
      </c>
      <c r="G4581" s="1">
        <f>Comuni__2[[#This Row],[Popolazione2011]]/Comuni__2[[#This Row],[POPOLAZIONE TOTALE DI OGNI REGIONE (CON FILTRO)]]</f>
        <v>9.7091694707230843E-4</v>
      </c>
      <c r="H4581" t="str">
        <f>IF(Comuni__2[[#This Row],[Popolazione2011]]&gt;300000,"MAGGIORE","")</f>
        <v/>
      </c>
      <c r="J4581">
        <v>2067</v>
      </c>
      <c r="K4581">
        <v>43973</v>
      </c>
      <c r="L4581">
        <v>2311</v>
      </c>
    </row>
    <row r="4582" spans="1:12" x14ac:dyDescent="0.2">
      <c r="A4582"/>
      <c r="B4582"/>
      <c r="C4582"/>
      <c r="D4582"/>
      <c r="E4582" s="2">
        <f>Comuni__2[[#This Row],[Popolazione2011]]/$D$7911</f>
        <v>7.0982524179957895E-5</v>
      </c>
      <c r="F4582">
        <f>SUMIFS($D$2:$D$7909, $B$2:$B$7909, "Piemonte")</f>
        <v>4363916</v>
      </c>
      <c r="G4582" s="1">
        <f>Comuni__2[[#This Row],[Popolazione2011]]/Comuni__2[[#This Row],[POPOLAZIONE TOTALE DI OGNI REGIONE (CON FILTRO)]]</f>
        <v>9.6656305941727571E-4</v>
      </c>
      <c r="H4582" t="str">
        <f>IF(Comuni__2[[#This Row],[Popolazione2011]]&gt;300000,"MAGGIORE","")</f>
        <v/>
      </c>
      <c r="J4582">
        <v>2040</v>
      </c>
      <c r="K4582">
        <v>46318</v>
      </c>
      <c r="L4582">
        <v>2378</v>
      </c>
    </row>
    <row r="4583" spans="1:12" x14ac:dyDescent="0.2">
      <c r="A4583"/>
      <c r="B4583"/>
      <c r="C4583"/>
      <c r="D4583"/>
      <c r="E4583" s="2">
        <f>Comuni__2[[#This Row],[Popolazione2011]]/$D$7911</f>
        <v>7.0797410911589118E-5</v>
      </c>
      <c r="F4583">
        <f>SUMIFS($D$2:$D$7909, $B$2:$B$7909, "Piemonte")</f>
        <v>4363916</v>
      </c>
      <c r="G4583" s="1">
        <f>Comuni__2[[#This Row],[Popolazione2011]]/Comuni__2[[#This Row],[POPOLAZIONE TOTALE DI OGNI REGIONE (CON FILTRO)]]</f>
        <v>9.6404238761699354E-4</v>
      </c>
      <c r="H4583" t="str">
        <f>IF(Comuni__2[[#This Row],[Popolazione2011]]&gt;300000,"MAGGIORE","")</f>
        <v/>
      </c>
      <c r="J4583">
        <v>1993</v>
      </c>
      <c r="K4583">
        <v>48742</v>
      </c>
      <c r="L4583">
        <v>2450</v>
      </c>
    </row>
    <row r="4584" spans="1:12" x14ac:dyDescent="0.2">
      <c r="A4584"/>
      <c r="B4584"/>
      <c r="C4584"/>
      <c r="D4584"/>
      <c r="E4584" s="2">
        <f>Comuni__2[[#This Row],[Popolazione2011]]/$D$7911</f>
        <v>7.073009699581864E-5</v>
      </c>
      <c r="F4584">
        <f>SUMIFS($D$2:$D$7909, $B$2:$B$7909, "Piemonte")</f>
        <v>4363916</v>
      </c>
      <c r="G4584" s="1">
        <f>Comuni__2[[#This Row],[Popolazione2011]]/Comuni__2[[#This Row],[POPOLAZIONE TOTALE DI OGNI REGIONE (CON FILTRO)]]</f>
        <v>9.6312577968961821E-4</v>
      </c>
      <c r="H4584" t="str">
        <f>IF(Comuni__2[[#This Row],[Popolazione2011]]&gt;300000,"MAGGIORE","")</f>
        <v/>
      </c>
      <c r="J4584">
        <v>1925</v>
      </c>
      <c r="K4584">
        <v>51397</v>
      </c>
      <c r="L4584">
        <v>2516</v>
      </c>
    </row>
    <row r="4585" spans="1:12" x14ac:dyDescent="0.2">
      <c r="A4585"/>
      <c r="B4585"/>
      <c r="C4585"/>
      <c r="D4585"/>
      <c r="E4585" s="2">
        <f>Comuni__2[[#This Row],[Popolazione2011]]/$D$7911</f>
        <v>7.0174757190712294E-5</v>
      </c>
      <c r="F4585">
        <f>SUMIFS($D$2:$D$7909, $B$2:$B$7909, "Piemonte")</f>
        <v>4363916</v>
      </c>
      <c r="G4585" s="1">
        <f>Comuni__2[[#This Row],[Popolazione2011]]/Comuni__2[[#This Row],[POPOLAZIONE TOTALE DI OGNI REGIONE (CON FILTRO)]]</f>
        <v>9.555637642887718E-4</v>
      </c>
      <c r="H4585" t="str">
        <f>IF(Comuni__2[[#This Row],[Popolazione2011]]&gt;300000,"MAGGIORE","")</f>
        <v/>
      </c>
      <c r="J4585">
        <v>1872</v>
      </c>
      <c r="K4585">
        <v>54005</v>
      </c>
      <c r="L4585">
        <v>2563</v>
      </c>
    </row>
    <row r="4586" spans="1:12" x14ac:dyDescent="0.2">
      <c r="A4586"/>
      <c r="B4586"/>
      <c r="C4586"/>
      <c r="D4586"/>
      <c r="E4586" s="2">
        <f>Comuni__2[[#This Row],[Popolazione2011]]/$D$7911</f>
        <v>6.987184456974519E-5</v>
      </c>
      <c r="F4586">
        <f>SUMIFS($D$2:$D$7909, $B$2:$B$7909, "Piemonte")</f>
        <v>4363916</v>
      </c>
      <c r="G4586" s="1">
        <f>Comuni__2[[#This Row],[Popolazione2011]]/Comuni__2[[#This Row],[POPOLAZIONE TOTALE DI OGNI REGIONE (CON FILTRO)]]</f>
        <v>9.5143902861558288E-4</v>
      </c>
      <c r="H4586" t="str">
        <f>IF(Comuni__2[[#This Row],[Popolazione2011]]&gt;300000,"MAGGIORE","")</f>
        <v/>
      </c>
      <c r="J4586">
        <v>1868</v>
      </c>
      <c r="K4586">
        <v>56403</v>
      </c>
      <c r="L4586">
        <v>2601</v>
      </c>
    </row>
    <row r="4587" spans="1:12" x14ac:dyDescent="0.2">
      <c r="A4587"/>
      <c r="B4587"/>
      <c r="C4587"/>
      <c r="D4587"/>
      <c r="E4587" s="2">
        <f>Comuni__2[[#This Row],[Popolazione2011]]/$D$7911</f>
        <v>6.9821359132917328E-5</v>
      </c>
      <c r="F4587">
        <f>SUMIFS($D$2:$D$7909, $B$2:$B$7909, "Piemonte")</f>
        <v>4363916</v>
      </c>
      <c r="G4587" s="1">
        <f>Comuni__2[[#This Row],[Popolazione2011]]/Comuni__2[[#This Row],[POPOLAZIONE TOTALE DI OGNI REGIONE (CON FILTRO)]]</f>
        <v>9.5075157267005136E-4</v>
      </c>
      <c r="H4587" t="str">
        <f>IF(Comuni__2[[#This Row],[Popolazione2011]]&gt;300000,"MAGGIORE","")</f>
        <v/>
      </c>
      <c r="J4587">
        <v>1862</v>
      </c>
      <c r="K4587">
        <v>58774</v>
      </c>
      <c r="L4587">
        <v>2641</v>
      </c>
    </row>
    <row r="4588" spans="1:12" x14ac:dyDescent="0.2">
      <c r="A4588"/>
      <c r="B4588"/>
      <c r="C4588"/>
      <c r="D4588"/>
      <c r="E4588" s="2">
        <f>Comuni__2[[#This Row],[Popolazione2011]]/$D$7911</f>
        <v>6.8138511238655648E-5</v>
      </c>
      <c r="F4588">
        <f>SUMIFS($D$2:$D$7909, $B$2:$B$7909, "Piemonte")</f>
        <v>4363916</v>
      </c>
      <c r="G4588" s="1">
        <f>Comuni__2[[#This Row],[Popolazione2011]]/Comuni__2[[#This Row],[POPOLAZIONE TOTALE DI OGNI REGIONE (CON FILTRO)]]</f>
        <v>9.2783637448566841E-4</v>
      </c>
      <c r="H4588" t="str">
        <f>IF(Comuni__2[[#This Row],[Popolazione2011]]&gt;300000,"MAGGIORE","")</f>
        <v/>
      </c>
      <c r="J4588">
        <v>1830</v>
      </c>
      <c r="K4588">
        <v>61225</v>
      </c>
      <c r="L4588">
        <v>2673</v>
      </c>
    </row>
    <row r="4589" spans="1:12" x14ac:dyDescent="0.2">
      <c r="A4589"/>
      <c r="B4589"/>
      <c r="C4589"/>
      <c r="D4589"/>
      <c r="E4589" s="2">
        <f>Comuni__2[[#This Row],[Popolazione2011]]/$D$7911</f>
        <v>6.7061488586328175E-5</v>
      </c>
      <c r="F4589">
        <f>SUMIFS($D$2:$D$7909, $B$2:$B$7909, "Piemonte")</f>
        <v>4363916</v>
      </c>
      <c r="G4589" s="1">
        <f>Comuni__2[[#This Row],[Popolazione2011]]/Comuni__2[[#This Row],[POPOLAZIONE TOTALE DI OGNI REGIONE (CON FILTRO)]]</f>
        <v>9.131706476476633E-4</v>
      </c>
      <c r="H4589" t="str">
        <f>IF(Comuni__2[[#This Row],[Popolazione2011]]&gt;300000,"MAGGIORE","")</f>
        <v/>
      </c>
      <c r="J4589">
        <v>1785</v>
      </c>
      <c r="K4589">
        <v>64632</v>
      </c>
      <c r="L4589">
        <v>2718</v>
      </c>
    </row>
    <row r="4590" spans="1:12" x14ac:dyDescent="0.2">
      <c r="A4590"/>
      <c r="B4590"/>
      <c r="C4590"/>
      <c r="D4590"/>
      <c r="E4590" s="2">
        <f>Comuni__2[[#This Row],[Popolazione2011]]/$D$7911</f>
        <v>6.6977346191615081E-5</v>
      </c>
      <c r="F4590">
        <f>SUMIFS($D$2:$D$7909, $B$2:$B$7909, "Piemonte")</f>
        <v>4363916</v>
      </c>
      <c r="G4590" s="1">
        <f>Comuni__2[[#This Row],[Popolazione2011]]/Comuni__2[[#This Row],[POPOLAZIONE TOTALE DI OGNI REGIONE (CON FILTRO)]]</f>
        <v>9.1202488773844406E-4</v>
      </c>
      <c r="H4590" t="str">
        <f>IF(Comuni__2[[#This Row],[Popolazione2011]]&gt;300000,"MAGGIORE","")</f>
        <v/>
      </c>
      <c r="J4590">
        <v>1739</v>
      </c>
      <c r="K4590">
        <v>67618</v>
      </c>
      <c r="L4590">
        <v>2756</v>
      </c>
    </row>
    <row r="4591" spans="1:12" x14ac:dyDescent="0.2">
      <c r="A4591"/>
      <c r="B4591"/>
      <c r="C4591"/>
      <c r="D4591"/>
      <c r="E4591" s="2">
        <f>Comuni__2[[#This Row],[Popolazione2011]]/$D$7911</f>
        <v>6.6926860754787233E-5</v>
      </c>
      <c r="F4591">
        <f>SUMIFS($D$2:$D$7909, $B$2:$B$7909, "Piemonte")</f>
        <v>4363916</v>
      </c>
      <c r="G4591" s="1">
        <f>Comuni__2[[#This Row],[Popolazione2011]]/Comuni__2[[#This Row],[POPOLAZIONE TOTALE DI OGNI REGIONE (CON FILTRO)]]</f>
        <v>9.1133743179291264E-4</v>
      </c>
      <c r="H4591" t="str">
        <f>IF(Comuni__2[[#This Row],[Popolazione2011]]&gt;300000,"MAGGIORE","")</f>
        <v/>
      </c>
      <c r="J4591">
        <v>1681</v>
      </c>
      <c r="K4591">
        <v>70798</v>
      </c>
      <c r="L4591">
        <v>2798</v>
      </c>
    </row>
    <row r="4592" spans="1:12" x14ac:dyDescent="0.2">
      <c r="A4592"/>
      <c r="B4592"/>
      <c r="C4592"/>
      <c r="D4592"/>
      <c r="E4592" s="2">
        <f>Comuni__2[[#This Row],[Popolazione2011]]/$D$7911</f>
        <v>6.6085436807656399E-5</v>
      </c>
      <c r="F4592">
        <f>SUMIFS($D$2:$D$7909, $B$2:$B$7909, "Piemonte")</f>
        <v>4363916</v>
      </c>
      <c r="G4592" s="1">
        <f>Comuni__2[[#This Row],[Popolazione2011]]/Comuni__2[[#This Row],[POPOLAZIONE TOTALE DI OGNI REGIONE (CON FILTRO)]]</f>
        <v>8.9987983270072111E-4</v>
      </c>
      <c r="H4592" t="str">
        <f>IF(Comuni__2[[#This Row],[Popolazione2011]]&gt;300000,"MAGGIORE","")</f>
        <v/>
      </c>
      <c r="J4592">
        <v>1634</v>
      </c>
      <c r="K4592">
        <v>74261</v>
      </c>
      <c r="L4592">
        <v>2839</v>
      </c>
    </row>
    <row r="4593" spans="1:12" x14ac:dyDescent="0.2">
      <c r="A4593"/>
      <c r="B4593"/>
      <c r="C4593"/>
      <c r="D4593"/>
      <c r="E4593" s="2">
        <f>Comuni__2[[#This Row],[Popolazione2011]]/$D$7911</f>
        <v>6.561423939726312E-5</v>
      </c>
      <c r="F4593">
        <f>SUMIFS($D$2:$D$7909, $B$2:$B$7909, "Piemonte")</f>
        <v>4363916</v>
      </c>
      <c r="G4593" s="1">
        <f>Comuni__2[[#This Row],[Popolazione2011]]/Comuni__2[[#This Row],[POPOLAZIONE TOTALE DI OGNI REGIONE (CON FILTRO)]]</f>
        <v>8.9346357720909383E-4</v>
      </c>
      <c r="H4593" t="str">
        <f>IF(Comuni__2[[#This Row],[Popolazione2011]]&gt;300000,"MAGGIORE","")</f>
        <v/>
      </c>
      <c r="J4593">
        <v>1612</v>
      </c>
      <c r="K4593">
        <v>76331</v>
      </c>
      <c r="L4593">
        <v>2867</v>
      </c>
    </row>
    <row r="4594" spans="1:12" x14ac:dyDescent="0.2">
      <c r="A4594"/>
      <c r="B4594"/>
      <c r="C4594"/>
      <c r="D4594"/>
      <c r="E4594" s="2">
        <f>Comuni__2[[#This Row],[Popolazione2011]]/$D$7911</f>
        <v>6.5462783086779575E-5</v>
      </c>
      <c r="F4594">
        <f>SUMIFS($D$2:$D$7909, $B$2:$B$7909, "Piemonte")</f>
        <v>4363916</v>
      </c>
      <c r="G4594" s="1">
        <f>Comuni__2[[#This Row],[Popolazione2011]]/Comuni__2[[#This Row],[POPOLAZIONE TOTALE DI OGNI REGIONE (CON FILTRO)]]</f>
        <v>8.9140120937249937E-4</v>
      </c>
      <c r="H4594" t="str">
        <f>IF(Comuni__2[[#This Row],[Popolazione2011]]&gt;300000,"MAGGIORE","")</f>
        <v/>
      </c>
      <c r="J4594">
        <v>0</v>
      </c>
      <c r="K4594">
        <v>0</v>
      </c>
      <c r="L4594">
        <v>0</v>
      </c>
    </row>
    <row r="4595" spans="1:12" x14ac:dyDescent="0.2">
      <c r="A4595"/>
      <c r="B4595"/>
      <c r="C4595"/>
      <c r="D4595"/>
      <c r="E4595" s="2">
        <f>Comuni__2[[#This Row],[Popolazione2011]]/$D$7911</f>
        <v>6.5311326776296017E-5</v>
      </c>
      <c r="F4595">
        <f>SUMIFS($D$2:$D$7909, $B$2:$B$7909, "Piemonte")</f>
        <v>4363916</v>
      </c>
      <c r="G4595" s="1">
        <f>Comuni__2[[#This Row],[Popolazione2011]]/Comuni__2[[#This Row],[POPOLAZIONE TOTALE DI OGNI REGIONE (CON FILTRO)]]</f>
        <v>8.8933884153590491E-4</v>
      </c>
      <c r="H4595" t="str">
        <f>IF(Comuni__2[[#This Row],[Popolazione2011]]&gt;300000,"MAGGIORE","")</f>
        <v/>
      </c>
      <c r="J4595">
        <v>0</v>
      </c>
      <c r="K4595">
        <v>0</v>
      </c>
      <c r="L4595">
        <v>0</v>
      </c>
    </row>
    <row r="4596" spans="1:12" x14ac:dyDescent="0.2">
      <c r="A4596"/>
      <c r="B4596"/>
      <c r="C4596"/>
      <c r="D4596"/>
      <c r="E4596" s="2">
        <f>Comuni__2[[#This Row],[Popolazione2011]]/$D$7911</f>
        <v>6.5244012860525552E-5</v>
      </c>
      <c r="F4596">
        <f>SUMIFS($D$2:$D$7909, $B$2:$B$7909, "Piemonte")</f>
        <v>4363916</v>
      </c>
      <c r="G4596" s="1">
        <f>Comuni__2[[#This Row],[Popolazione2011]]/Comuni__2[[#This Row],[POPOLAZIONE TOTALE DI OGNI REGIONE (CON FILTRO)]]</f>
        <v>8.8842223360852959E-4</v>
      </c>
      <c r="H4596" t="str">
        <f>IF(Comuni__2[[#This Row],[Popolazione2011]]&gt;300000,"MAGGIORE","")</f>
        <v/>
      </c>
      <c r="J4596">
        <v>1</v>
      </c>
      <c r="K4596">
        <v>0</v>
      </c>
      <c r="L4596">
        <v>0</v>
      </c>
    </row>
    <row r="4597" spans="1:12" x14ac:dyDescent="0.2">
      <c r="A4597"/>
      <c r="B4597"/>
      <c r="C4597"/>
      <c r="D4597"/>
      <c r="E4597" s="2">
        <f>Comuni__2[[#This Row],[Popolazione2011]]/$D$7911</f>
        <v>6.5193527423697704E-5</v>
      </c>
      <c r="F4597">
        <f>SUMIFS($D$2:$D$7909, $B$2:$B$7909, "Piemonte")</f>
        <v>4363916</v>
      </c>
      <c r="G4597" s="1">
        <f>Comuni__2[[#This Row],[Popolazione2011]]/Comuni__2[[#This Row],[POPOLAZIONE TOTALE DI OGNI REGIONE (CON FILTRO)]]</f>
        <v>8.8773477766299807E-4</v>
      </c>
      <c r="H4597" t="str">
        <f>IF(Comuni__2[[#This Row],[Popolazione2011]]&gt;300000,"MAGGIORE","")</f>
        <v/>
      </c>
      <c r="J4597">
        <v>0</v>
      </c>
      <c r="K4597">
        <v>0</v>
      </c>
      <c r="L4597">
        <v>0</v>
      </c>
    </row>
    <row r="4598" spans="1:12" x14ac:dyDescent="0.2">
      <c r="A4598"/>
      <c r="B4598"/>
      <c r="C4598"/>
      <c r="D4598"/>
      <c r="E4598" s="2">
        <f>Comuni__2[[#This Row],[Popolazione2011]]/$D$7911</f>
        <v>6.478964392907489E-5</v>
      </c>
      <c r="F4598">
        <f>SUMIFS($D$2:$D$7909, $B$2:$B$7909, "Piemonte")</f>
        <v>4363916</v>
      </c>
      <c r="G4598" s="1">
        <f>Comuni__2[[#This Row],[Popolazione2011]]/Comuni__2[[#This Row],[POPOLAZIONE TOTALE DI OGNI REGIONE (CON FILTRO)]]</f>
        <v>8.8223513009874621E-4</v>
      </c>
      <c r="H4598" t="str">
        <f>IF(Comuni__2[[#This Row],[Popolazione2011]]&gt;300000,"MAGGIORE","")</f>
        <v/>
      </c>
      <c r="J4598">
        <v>1</v>
      </c>
      <c r="K4598">
        <v>0</v>
      </c>
      <c r="L4598">
        <v>0</v>
      </c>
    </row>
    <row r="4599" spans="1:12" x14ac:dyDescent="0.2">
      <c r="A4599"/>
      <c r="B4599"/>
      <c r="C4599"/>
      <c r="D4599"/>
      <c r="E4599" s="2">
        <f>Comuni__2[[#This Row],[Popolazione2011]]/$D$7911</f>
        <v>6.4267961081853776E-5</v>
      </c>
      <c r="F4599">
        <f>SUMIFS($D$2:$D$7909, $B$2:$B$7909, "Piemonte")</f>
        <v>4363916</v>
      </c>
      <c r="G4599" s="1">
        <f>Comuni__2[[#This Row],[Popolazione2011]]/Comuni__2[[#This Row],[POPOLAZIONE TOTALE DI OGNI REGIONE (CON FILTRO)]]</f>
        <v>8.7513141866158741E-4</v>
      </c>
      <c r="H4599" t="str">
        <f>IF(Comuni__2[[#This Row],[Popolazione2011]]&gt;300000,"MAGGIORE","")</f>
        <v/>
      </c>
      <c r="J4599">
        <v>0</v>
      </c>
      <c r="K4599">
        <v>0</v>
      </c>
      <c r="L4599">
        <v>0</v>
      </c>
    </row>
    <row r="4600" spans="1:12" x14ac:dyDescent="0.2">
      <c r="A4600"/>
      <c r="B4600"/>
      <c r="C4600"/>
      <c r="D4600"/>
      <c r="E4600" s="2">
        <f>Comuni__2[[#This Row],[Popolazione2011]]/$D$7911</f>
        <v>6.415016172925545E-5</v>
      </c>
      <c r="F4600">
        <f>SUMIFS($D$2:$D$7909, $B$2:$B$7909, "Piemonte")</f>
        <v>4363916</v>
      </c>
      <c r="G4600" s="1">
        <f>Comuni__2[[#This Row],[Popolazione2011]]/Comuni__2[[#This Row],[POPOLAZIONE TOTALE DI OGNI REGIONE (CON FILTRO)]]</f>
        <v>8.7352735478868067E-4</v>
      </c>
      <c r="H4600" t="str">
        <f>IF(Comuni__2[[#This Row],[Popolazione2011]]&gt;300000,"MAGGIORE","")</f>
        <v/>
      </c>
      <c r="J4600">
        <v>1</v>
      </c>
      <c r="K4600">
        <v>0</v>
      </c>
      <c r="L4600">
        <v>0</v>
      </c>
    </row>
    <row r="4601" spans="1:12" x14ac:dyDescent="0.2">
      <c r="A4601"/>
      <c r="B4601"/>
      <c r="C4601"/>
      <c r="D4601"/>
      <c r="E4601" s="2">
        <f>Comuni__2[[#This Row],[Popolazione2011]]/$D$7911</f>
        <v>6.4066019334542369E-5</v>
      </c>
      <c r="F4601">
        <f>SUMIFS($D$2:$D$7909, $B$2:$B$7909, "Piemonte")</f>
        <v>4363916</v>
      </c>
      <c r="G4601" s="1">
        <f>Comuni__2[[#This Row],[Popolazione2011]]/Comuni__2[[#This Row],[POPOLAZIONE TOTALE DI OGNI REGIONE (CON FILTRO)]]</f>
        <v>8.7238159487946143E-4</v>
      </c>
      <c r="H4601" t="str">
        <f>IF(Comuni__2[[#This Row],[Popolazione2011]]&gt;300000,"MAGGIORE","")</f>
        <v/>
      </c>
      <c r="J4601">
        <v>0</v>
      </c>
      <c r="K4601">
        <v>0</v>
      </c>
      <c r="L4601">
        <v>0</v>
      </c>
    </row>
    <row r="4602" spans="1:12" x14ac:dyDescent="0.2">
      <c r="A4602"/>
      <c r="B4602"/>
      <c r="C4602"/>
      <c r="D4602"/>
      <c r="E4602" s="2">
        <f>Comuni__2[[#This Row],[Popolazione2011]]/$D$7911</f>
        <v>6.3695792797804801E-5</v>
      </c>
      <c r="F4602">
        <f>SUMIFS($D$2:$D$7909, $B$2:$B$7909, "Piemonte")</f>
        <v>4363916</v>
      </c>
      <c r="G4602" s="1">
        <f>Comuni__2[[#This Row],[Popolazione2011]]/Comuni__2[[#This Row],[POPOLAZIONE TOTALE DI OGNI REGIONE (CON FILTRO)]]</f>
        <v>8.6734025127889719E-4</v>
      </c>
      <c r="H4602" t="str">
        <f>IF(Comuni__2[[#This Row],[Popolazione2011]]&gt;300000,"MAGGIORE","")</f>
        <v/>
      </c>
      <c r="J4602">
        <v>1</v>
      </c>
      <c r="K4602">
        <v>0</v>
      </c>
      <c r="L4602">
        <v>0</v>
      </c>
    </row>
    <row r="4603" spans="1:12" x14ac:dyDescent="0.2">
      <c r="A4603"/>
      <c r="B4603"/>
      <c r="C4603"/>
      <c r="D4603"/>
      <c r="E4603" s="2">
        <f>Comuni__2[[#This Row],[Popolazione2011]]/$D$7911</f>
        <v>6.3678964318862185E-5</v>
      </c>
      <c r="F4603">
        <f>SUMIFS($D$2:$D$7909, $B$2:$B$7909, "Piemonte")</f>
        <v>4363916</v>
      </c>
      <c r="G4603" s="1">
        <f>Comuni__2[[#This Row],[Popolazione2011]]/Comuni__2[[#This Row],[POPOLAZIONE TOTALE DI OGNI REGIONE (CON FILTRO)]]</f>
        <v>8.6711109929705338E-4</v>
      </c>
      <c r="H4603" t="str">
        <f>IF(Comuni__2[[#This Row],[Popolazione2011]]&gt;300000,"MAGGIORE","")</f>
        <v/>
      </c>
      <c r="J4603">
        <v>0</v>
      </c>
      <c r="K4603">
        <v>0</v>
      </c>
      <c r="L4603">
        <v>0</v>
      </c>
    </row>
    <row r="4604" spans="1:12" x14ac:dyDescent="0.2">
      <c r="A4604"/>
      <c r="B4604"/>
      <c r="C4604"/>
      <c r="D4604"/>
      <c r="E4604" s="2">
        <f>Comuni__2[[#This Row],[Popolazione2011]]/$D$7911</f>
        <v>6.3662135839919569E-5</v>
      </c>
      <c r="F4604">
        <f>SUMIFS($D$2:$D$7909, $B$2:$B$7909, "Piemonte")</f>
        <v>4363916</v>
      </c>
      <c r="G4604" s="1">
        <f>Comuni__2[[#This Row],[Popolazione2011]]/Comuni__2[[#This Row],[POPOLAZIONE TOTALE DI OGNI REGIONE (CON FILTRO)]]</f>
        <v>8.6688194731520958E-4</v>
      </c>
      <c r="H4604" t="str">
        <f>IF(Comuni__2[[#This Row],[Popolazione2011]]&gt;300000,"MAGGIORE","")</f>
        <v/>
      </c>
      <c r="J4604">
        <v>1</v>
      </c>
      <c r="K4604">
        <v>0</v>
      </c>
      <c r="L4604">
        <v>0</v>
      </c>
    </row>
    <row r="4605" spans="1:12" x14ac:dyDescent="0.2">
      <c r="A4605"/>
      <c r="B4605"/>
      <c r="C4605"/>
      <c r="D4605"/>
      <c r="E4605" s="2">
        <f>Comuni__2[[#This Row],[Popolazione2011]]/$D$7911</f>
        <v>6.2854368850673954E-5</v>
      </c>
      <c r="F4605">
        <f>SUMIFS($D$2:$D$7909, $B$2:$B$7909, "Piemonte")</f>
        <v>4363916</v>
      </c>
      <c r="G4605" s="1">
        <f>Comuni__2[[#This Row],[Popolazione2011]]/Comuni__2[[#This Row],[POPOLAZIONE TOTALE DI OGNI REGIONE (CON FILTRO)]]</f>
        <v>8.5588265218670566E-4</v>
      </c>
      <c r="H4605" t="str">
        <f>IF(Comuni__2[[#This Row],[Popolazione2011]]&gt;300000,"MAGGIORE","")</f>
        <v/>
      </c>
      <c r="J4605">
        <v>0</v>
      </c>
      <c r="K4605">
        <v>0</v>
      </c>
      <c r="L4605">
        <v>0</v>
      </c>
    </row>
    <row r="4606" spans="1:12" x14ac:dyDescent="0.2">
      <c r="A4606"/>
      <c r="B4606"/>
      <c r="C4606"/>
      <c r="D4606"/>
      <c r="E4606" s="2">
        <f>Comuni__2[[#This Row],[Popolazione2011]]/$D$7911</f>
        <v>6.2770226455960873E-5</v>
      </c>
      <c r="F4606">
        <f>SUMIFS($D$2:$D$7909, $B$2:$B$7909, "Piemonte")</f>
        <v>4363916</v>
      </c>
      <c r="G4606" s="1">
        <f>Comuni__2[[#This Row],[Popolazione2011]]/Comuni__2[[#This Row],[POPOLAZIONE TOTALE DI OGNI REGIONE (CON FILTRO)]]</f>
        <v>8.5473689227748653E-4</v>
      </c>
      <c r="H4606" t="str">
        <f>IF(Comuni__2[[#This Row],[Popolazione2011]]&gt;300000,"MAGGIORE","")</f>
        <v/>
      </c>
      <c r="J4606">
        <v>1</v>
      </c>
      <c r="K4606">
        <v>0</v>
      </c>
      <c r="L4606">
        <v>0</v>
      </c>
    </row>
    <row r="4607" spans="1:12" x14ac:dyDescent="0.2">
      <c r="A4607"/>
      <c r="B4607"/>
      <c r="C4607"/>
      <c r="D4607"/>
      <c r="E4607" s="2">
        <f>Comuni__2[[#This Row],[Popolazione2011]]/$D$7911</f>
        <v>6.2484142313936386E-5</v>
      </c>
      <c r="F4607">
        <f>SUMIFS($D$2:$D$7909, $B$2:$B$7909, "Piemonte")</f>
        <v>4363916</v>
      </c>
      <c r="G4607" s="1">
        <f>Comuni__2[[#This Row],[Popolazione2011]]/Comuni__2[[#This Row],[POPOLAZIONE TOTALE DI OGNI REGIONE (CON FILTRO)]]</f>
        <v>8.5084130858614142E-4</v>
      </c>
      <c r="H4607" t="str">
        <f>IF(Comuni__2[[#This Row],[Popolazione2011]]&gt;300000,"MAGGIORE","")</f>
        <v/>
      </c>
      <c r="J4607">
        <v>0</v>
      </c>
      <c r="K4607">
        <v>0</v>
      </c>
      <c r="L4607">
        <v>0</v>
      </c>
    </row>
    <row r="4608" spans="1:12" x14ac:dyDescent="0.2">
      <c r="A4608"/>
      <c r="B4608"/>
      <c r="C4608"/>
      <c r="D4608"/>
      <c r="E4608" s="2">
        <f>Comuni__2[[#This Row],[Popolazione2011]]/$D$7911</f>
        <v>6.1861488593059562E-5</v>
      </c>
      <c r="F4608">
        <f>SUMIFS($D$2:$D$7909, $B$2:$B$7909, "Piemonte")</f>
        <v>4363916</v>
      </c>
      <c r="G4608" s="1">
        <f>Comuni__2[[#This Row],[Popolazione2011]]/Comuni__2[[#This Row],[POPOLAZIONE TOTALE DI OGNI REGIONE (CON FILTRO)]]</f>
        <v>8.4236268525791967E-4</v>
      </c>
      <c r="H4608" t="str">
        <f>IF(Comuni__2[[#This Row],[Popolazione2011]]&gt;300000,"MAGGIORE","")</f>
        <v/>
      </c>
      <c r="J4608">
        <v>1</v>
      </c>
      <c r="K4608">
        <v>0</v>
      </c>
      <c r="L4608">
        <v>0</v>
      </c>
    </row>
    <row r="4609" spans="1:12" x14ac:dyDescent="0.2">
      <c r="A4609"/>
      <c r="B4609"/>
      <c r="C4609"/>
      <c r="D4609"/>
      <c r="E4609" s="2">
        <f>Comuni__2[[#This Row],[Popolazione2011]]/$D$7911</f>
        <v>6.1777346198346481E-5</v>
      </c>
      <c r="F4609">
        <f>SUMIFS($D$2:$D$7909, $B$2:$B$7909, "Piemonte")</f>
        <v>4363916</v>
      </c>
      <c r="G4609" s="1">
        <f>Comuni__2[[#This Row],[Popolazione2011]]/Comuni__2[[#This Row],[POPOLAZIONE TOTALE DI OGNI REGIONE (CON FILTRO)]]</f>
        <v>8.4121692534870054E-4</v>
      </c>
      <c r="H4609" t="str">
        <f>IF(Comuni__2[[#This Row],[Popolazione2011]]&gt;300000,"MAGGIORE","")</f>
        <v/>
      </c>
      <c r="J4609">
        <v>0</v>
      </c>
      <c r="K4609">
        <v>0</v>
      </c>
      <c r="L4609">
        <v>0</v>
      </c>
    </row>
    <row r="4610" spans="1:12" x14ac:dyDescent="0.2">
      <c r="A4610"/>
      <c r="B4610"/>
      <c r="C4610"/>
      <c r="D4610"/>
      <c r="E4610" s="2">
        <f>Comuni__2[[#This Row],[Popolazione2011]]/$D$7911</f>
        <v>6.1306148787953203E-5</v>
      </c>
      <c r="F4610">
        <f>SUMIFS($D$2:$D$7909, $B$2:$B$7909, "Piemonte")</f>
        <v>4363916</v>
      </c>
      <c r="G4610" s="1">
        <f>Comuni__2[[#This Row],[Popolazione2011]]/Comuni__2[[#This Row],[POPOLAZIONE TOTALE DI OGNI REGIONE (CON FILTRO)]]</f>
        <v>8.3480066985707336E-4</v>
      </c>
      <c r="H4610" t="str">
        <f>IF(Comuni__2[[#This Row],[Popolazione2011]]&gt;300000,"MAGGIORE","")</f>
        <v/>
      </c>
      <c r="J4610">
        <v>1</v>
      </c>
      <c r="K4610">
        <v>0</v>
      </c>
      <c r="L4610">
        <v>0</v>
      </c>
    </row>
    <row r="4611" spans="1:12" x14ac:dyDescent="0.2">
      <c r="A4611"/>
      <c r="B4611"/>
      <c r="C4611"/>
      <c r="D4611"/>
      <c r="E4611" s="2">
        <f>Comuni__2[[#This Row],[Popolazione2011]]/$D$7911</f>
        <v>6.1255663351125354E-5</v>
      </c>
      <c r="F4611">
        <f>SUMIFS($D$2:$D$7909, $B$2:$B$7909, "Piemonte")</f>
        <v>4363916</v>
      </c>
      <c r="G4611" s="1">
        <f>Comuni__2[[#This Row],[Popolazione2011]]/Comuni__2[[#This Row],[POPOLAZIONE TOTALE DI OGNI REGIONE (CON FILTRO)]]</f>
        <v>8.3411321391154184E-4</v>
      </c>
      <c r="H4611" t="str">
        <f>IF(Comuni__2[[#This Row],[Popolazione2011]]&gt;300000,"MAGGIORE","")</f>
        <v/>
      </c>
      <c r="J4611">
        <v>1</v>
      </c>
      <c r="K4611">
        <v>0</v>
      </c>
      <c r="L4611">
        <v>0</v>
      </c>
    </row>
    <row r="4612" spans="1:12" x14ac:dyDescent="0.2">
      <c r="A4612"/>
      <c r="B4612"/>
      <c r="C4612"/>
      <c r="D4612"/>
      <c r="E4612" s="2">
        <f>Comuni__2[[#This Row],[Popolazione2011]]/$D$7911</f>
        <v>6.1003236166986099E-5</v>
      </c>
      <c r="F4612">
        <f>SUMIFS($D$2:$D$7909, $B$2:$B$7909, "Piemonte")</f>
        <v>4363916</v>
      </c>
      <c r="G4612" s="1">
        <f>Comuni__2[[#This Row],[Popolazione2011]]/Comuni__2[[#This Row],[POPOLAZIONE TOTALE DI OGNI REGIONE (CON FILTRO)]]</f>
        <v>8.3067593418388434E-4</v>
      </c>
      <c r="H4612" t="str">
        <f>IF(Comuni__2[[#This Row],[Popolazione2011]]&gt;300000,"MAGGIORE","")</f>
        <v/>
      </c>
      <c r="J4612">
        <v>1</v>
      </c>
      <c r="K4612">
        <v>0</v>
      </c>
      <c r="L4612">
        <v>0</v>
      </c>
    </row>
    <row r="4613" spans="1:12" x14ac:dyDescent="0.2">
      <c r="A4613"/>
      <c r="B4613"/>
      <c r="C4613"/>
      <c r="D4613"/>
      <c r="E4613" s="2">
        <f>Comuni__2[[#This Row],[Popolazione2011]]/$D$7911</f>
        <v>6.086860833544517E-5</v>
      </c>
      <c r="F4613">
        <f>SUMIFS($D$2:$D$7909, $B$2:$B$7909, "Piemonte")</f>
        <v>4363916</v>
      </c>
      <c r="G4613" s="1">
        <f>Comuni__2[[#This Row],[Popolazione2011]]/Comuni__2[[#This Row],[POPOLAZIONE TOTALE DI OGNI REGIONE (CON FILTRO)]]</f>
        <v>8.2884271832913369E-4</v>
      </c>
      <c r="H4613" t="str">
        <f>IF(Comuni__2[[#This Row],[Popolazione2011]]&gt;300000,"MAGGIORE","")</f>
        <v/>
      </c>
      <c r="J4613">
        <v>1</v>
      </c>
      <c r="K4613">
        <v>0</v>
      </c>
      <c r="L4613">
        <v>0</v>
      </c>
    </row>
    <row r="4614" spans="1:12" x14ac:dyDescent="0.2">
      <c r="A4614"/>
      <c r="B4614"/>
      <c r="C4614"/>
      <c r="D4614"/>
      <c r="E4614" s="2">
        <f>Comuni__2[[#This Row],[Popolazione2011]]/$D$7911</f>
        <v>6.0784465940732082E-5</v>
      </c>
      <c r="F4614">
        <f>SUMIFS($D$2:$D$7909, $B$2:$B$7909, "Piemonte")</f>
        <v>4363916</v>
      </c>
      <c r="G4614" s="1">
        <f>Comuni__2[[#This Row],[Popolazione2011]]/Comuni__2[[#This Row],[POPOLAZIONE TOTALE DI OGNI REGIONE (CON FILTRO)]]</f>
        <v>8.2769695841991456E-4</v>
      </c>
      <c r="H4614" t="str">
        <f>IF(Comuni__2[[#This Row],[Popolazione2011]]&gt;300000,"MAGGIORE","")</f>
        <v/>
      </c>
      <c r="J4614">
        <v>1</v>
      </c>
      <c r="K4614">
        <v>0</v>
      </c>
      <c r="L4614">
        <v>0</v>
      </c>
    </row>
    <row r="4615" spans="1:12" x14ac:dyDescent="0.2">
      <c r="A4615"/>
      <c r="B4615"/>
      <c r="C4615"/>
      <c r="D4615"/>
      <c r="E4615" s="2">
        <f>Comuni__2[[#This Row],[Popolazione2011]]/$D$7911</f>
        <v>6.0717152024961618E-5</v>
      </c>
      <c r="F4615">
        <f>SUMIFS($D$2:$D$7909, $B$2:$B$7909, "Piemonte")</f>
        <v>4363916</v>
      </c>
      <c r="G4615" s="1">
        <f>Comuni__2[[#This Row],[Popolazione2011]]/Comuni__2[[#This Row],[POPOLAZIONE TOTALE DI OGNI REGIONE (CON FILTRO)]]</f>
        <v>8.2678035049253923E-4</v>
      </c>
      <c r="H4615" t="str">
        <f>IF(Comuni__2[[#This Row],[Popolazione2011]]&gt;300000,"MAGGIORE","")</f>
        <v/>
      </c>
      <c r="J4615">
        <v>2</v>
      </c>
      <c r="K4615">
        <v>0</v>
      </c>
      <c r="L4615">
        <v>0</v>
      </c>
    </row>
    <row r="4616" spans="1:12" x14ac:dyDescent="0.2">
      <c r="A4616"/>
      <c r="B4616"/>
      <c r="C4616"/>
      <c r="D4616"/>
      <c r="E4616" s="2">
        <f>Comuni__2[[#This Row],[Popolazione2011]]/$D$7911</f>
        <v>5.9875728077830771E-5</v>
      </c>
      <c r="F4616">
        <f>SUMIFS($D$2:$D$7909, $B$2:$B$7909, "Piemonte")</f>
        <v>4363916</v>
      </c>
      <c r="G4616" s="1">
        <f>Comuni__2[[#This Row],[Popolazione2011]]/Comuni__2[[#This Row],[POPOLAZIONE TOTALE DI OGNI REGIONE (CON FILTRO)]]</f>
        <v>8.1532275140034781E-4</v>
      </c>
      <c r="H4616" t="str">
        <f>IF(Comuni__2[[#This Row],[Popolazione2011]]&gt;300000,"MAGGIORE","")</f>
        <v/>
      </c>
      <c r="J4616">
        <v>4</v>
      </c>
      <c r="K4616">
        <v>0</v>
      </c>
      <c r="L4616">
        <v>0</v>
      </c>
    </row>
    <row r="4617" spans="1:12" x14ac:dyDescent="0.2">
      <c r="A4617"/>
      <c r="B4617"/>
      <c r="C4617"/>
      <c r="D4617"/>
      <c r="E4617" s="2">
        <f>Comuni__2[[#This Row],[Popolazione2011]]/$D$7911</f>
        <v>5.9438187625322731E-5</v>
      </c>
      <c r="F4617">
        <f>SUMIFS($D$2:$D$7909, $B$2:$B$7909, "Piemonte")</f>
        <v>4363916</v>
      </c>
      <c r="G4617" s="1">
        <f>Comuni__2[[#This Row],[Popolazione2011]]/Comuni__2[[#This Row],[POPOLAZIONE TOTALE DI OGNI REGIONE (CON FILTRO)]]</f>
        <v>8.0936479987240813E-4</v>
      </c>
      <c r="H4617" t="str">
        <f>IF(Comuni__2[[#This Row],[Popolazione2011]]&gt;300000,"MAGGIORE","")</f>
        <v/>
      </c>
      <c r="J4617">
        <v>4</v>
      </c>
      <c r="K4617">
        <v>0</v>
      </c>
      <c r="L4617">
        <v>0</v>
      </c>
    </row>
    <row r="4618" spans="1:12" x14ac:dyDescent="0.2">
      <c r="A4618"/>
      <c r="B4618"/>
      <c r="C4618"/>
      <c r="D4618"/>
      <c r="E4618" s="2">
        <f>Comuni__2[[#This Row],[Popolazione2011]]/$D$7911</f>
        <v>5.9084789567527779E-5</v>
      </c>
      <c r="F4618">
        <f>SUMIFS($D$2:$D$7909, $B$2:$B$7909, "Piemonte")</f>
        <v>4363916</v>
      </c>
      <c r="G4618" s="1">
        <f>Comuni__2[[#This Row],[Popolazione2011]]/Comuni__2[[#This Row],[POPOLAZIONE TOTALE DI OGNI REGIONE (CON FILTRO)]]</f>
        <v>8.045526082536877E-4</v>
      </c>
      <c r="H4618" t="str">
        <f>IF(Comuni__2[[#This Row],[Popolazione2011]]&gt;300000,"MAGGIORE","")</f>
        <v/>
      </c>
      <c r="J4618">
        <v>8</v>
      </c>
      <c r="K4618">
        <v>0</v>
      </c>
      <c r="L4618">
        <v>0</v>
      </c>
    </row>
    <row r="4619" spans="1:12" x14ac:dyDescent="0.2">
      <c r="A4619"/>
      <c r="B4619"/>
      <c r="C4619"/>
      <c r="D4619"/>
      <c r="E4619" s="2">
        <f>Comuni__2[[#This Row],[Popolazione2011]]/$D$7911</f>
        <v>5.8495792804536188E-5</v>
      </c>
      <c r="F4619">
        <f>SUMIFS($D$2:$D$7909, $B$2:$B$7909, "Piemonte")</f>
        <v>4363916</v>
      </c>
      <c r="G4619" s="1">
        <f>Comuni__2[[#This Row],[Popolazione2011]]/Comuni__2[[#This Row],[POPOLAZIONE TOTALE DI OGNI REGIONE (CON FILTRO)]]</f>
        <v>7.9653228888915367E-4</v>
      </c>
      <c r="H4619" t="str">
        <f>IF(Comuni__2[[#This Row],[Popolazione2011]]&gt;300000,"MAGGIORE","")</f>
        <v/>
      </c>
      <c r="J4619">
        <v>7</v>
      </c>
      <c r="K4619">
        <v>0</v>
      </c>
      <c r="L4619">
        <v>0</v>
      </c>
    </row>
    <row r="4620" spans="1:12" x14ac:dyDescent="0.2">
      <c r="A4620"/>
      <c r="B4620"/>
      <c r="C4620"/>
      <c r="D4620"/>
      <c r="E4620" s="2">
        <f>Comuni__2[[#This Row],[Popolazione2011]]/$D$7911</f>
        <v>5.8075080830970771E-5</v>
      </c>
      <c r="F4620">
        <f>SUMIFS($D$2:$D$7909, $B$2:$B$7909, "Piemonte")</f>
        <v>4363916</v>
      </c>
      <c r="G4620" s="1">
        <f>Comuni__2[[#This Row],[Popolazione2011]]/Comuni__2[[#This Row],[POPOLAZIONE TOTALE DI OGNI REGIONE (CON FILTRO)]]</f>
        <v>7.9080348934305791E-4</v>
      </c>
      <c r="H4620" t="str">
        <f>IF(Comuni__2[[#This Row],[Popolazione2011]]&gt;300000,"MAGGIORE","")</f>
        <v/>
      </c>
      <c r="J4620">
        <v>8</v>
      </c>
      <c r="K4620">
        <v>0</v>
      </c>
      <c r="L4620">
        <v>0</v>
      </c>
    </row>
    <row r="4621" spans="1:12" x14ac:dyDescent="0.2">
      <c r="A4621"/>
      <c r="B4621"/>
      <c r="C4621"/>
      <c r="D4621"/>
      <c r="E4621" s="2">
        <f>Comuni__2[[#This Row],[Popolazione2011]]/$D$7911</f>
        <v>5.8058252352028155E-5</v>
      </c>
      <c r="F4621">
        <f>SUMIFS($D$2:$D$7909, $B$2:$B$7909, "Piemonte")</f>
        <v>4363916</v>
      </c>
      <c r="G4621" s="1">
        <f>Comuni__2[[#This Row],[Popolazione2011]]/Comuni__2[[#This Row],[POPOLAZIONE TOTALE DI OGNI REGIONE (CON FILTRO)]]</f>
        <v>7.905743373612141E-4</v>
      </c>
      <c r="H4621" t="str">
        <f>IF(Comuni__2[[#This Row],[Popolazione2011]]&gt;300000,"MAGGIORE","")</f>
        <v/>
      </c>
      <c r="J4621">
        <v>9</v>
      </c>
      <c r="K4621">
        <v>0</v>
      </c>
      <c r="L4621">
        <v>0</v>
      </c>
    </row>
    <row r="4622" spans="1:12" x14ac:dyDescent="0.2">
      <c r="A4622"/>
      <c r="B4622"/>
      <c r="C4622"/>
      <c r="D4622"/>
      <c r="E4622" s="2">
        <f>Comuni__2[[#This Row],[Popolazione2011]]/$D$7911</f>
        <v>5.8058252352028155E-5</v>
      </c>
      <c r="F4622">
        <f>SUMIFS($D$2:$D$7909, $B$2:$B$7909, "Piemonte")</f>
        <v>4363916</v>
      </c>
      <c r="G4622" s="1">
        <f>Comuni__2[[#This Row],[Popolazione2011]]/Comuni__2[[#This Row],[POPOLAZIONE TOTALE DI OGNI REGIONE (CON FILTRO)]]</f>
        <v>7.905743373612141E-4</v>
      </c>
      <c r="H4622" t="str">
        <f>IF(Comuni__2[[#This Row],[Popolazione2011]]&gt;300000,"MAGGIORE","")</f>
        <v/>
      </c>
      <c r="J4622">
        <v>8</v>
      </c>
      <c r="K4622">
        <v>0</v>
      </c>
      <c r="L4622">
        <v>0</v>
      </c>
    </row>
    <row r="4623" spans="1:12" x14ac:dyDescent="0.2">
      <c r="A4623"/>
      <c r="B4623"/>
      <c r="C4623"/>
      <c r="D4623"/>
      <c r="E4623" s="2">
        <f>Comuni__2[[#This Row],[Popolazione2011]]/$D$7911</f>
        <v>5.7805825167888899E-5</v>
      </c>
      <c r="F4623">
        <f>SUMIFS($D$2:$D$7909, $B$2:$B$7909, "Piemonte")</f>
        <v>4363916</v>
      </c>
      <c r="G4623" s="1">
        <f>Comuni__2[[#This Row],[Popolazione2011]]/Comuni__2[[#This Row],[POPOLAZIONE TOTALE DI OGNI REGIONE (CON FILTRO)]]</f>
        <v>7.871370576335566E-4</v>
      </c>
      <c r="H4623" t="str">
        <f>IF(Comuni__2[[#This Row],[Popolazione2011]]&gt;300000,"MAGGIORE","")</f>
        <v/>
      </c>
      <c r="J4623">
        <v>12</v>
      </c>
      <c r="K4623">
        <v>0</v>
      </c>
      <c r="L4623">
        <v>0</v>
      </c>
    </row>
    <row r="4624" spans="1:12" x14ac:dyDescent="0.2">
      <c r="A4624"/>
      <c r="B4624"/>
      <c r="C4624"/>
      <c r="D4624"/>
      <c r="E4624" s="2">
        <f>Comuni__2[[#This Row],[Popolazione2011]]/$D$7911</f>
        <v>5.7334627757495627E-5</v>
      </c>
      <c r="F4624">
        <f>SUMIFS($D$2:$D$7909, $B$2:$B$7909, "Piemonte")</f>
        <v>4363916</v>
      </c>
      <c r="G4624" s="1">
        <f>Comuni__2[[#This Row],[Popolazione2011]]/Comuni__2[[#This Row],[POPOLAZIONE TOTALE DI OGNI REGIONE (CON FILTRO)]]</f>
        <v>7.8072080214192942E-4</v>
      </c>
      <c r="H4624" t="str">
        <f>IF(Comuni__2[[#This Row],[Popolazione2011]]&gt;300000,"MAGGIORE","")</f>
        <v/>
      </c>
      <c r="J4624">
        <v>18</v>
      </c>
      <c r="K4624">
        <v>0</v>
      </c>
      <c r="L4624">
        <v>0</v>
      </c>
    </row>
    <row r="4625" spans="1:12" x14ac:dyDescent="0.2">
      <c r="A4625"/>
      <c r="B4625"/>
      <c r="C4625"/>
      <c r="D4625"/>
      <c r="E4625" s="2">
        <f>Comuni__2[[#This Row],[Popolazione2011]]/$D$7911</f>
        <v>5.7334627757495627E-5</v>
      </c>
      <c r="F4625">
        <f>SUMIFS($D$2:$D$7909, $B$2:$B$7909, "Piemonte")</f>
        <v>4363916</v>
      </c>
      <c r="G4625" s="1">
        <f>Comuni__2[[#This Row],[Popolazione2011]]/Comuni__2[[#This Row],[POPOLAZIONE TOTALE DI OGNI REGIONE (CON FILTRO)]]</f>
        <v>7.8072080214192942E-4</v>
      </c>
      <c r="H4625" t="str">
        <f>IF(Comuni__2[[#This Row],[Popolazione2011]]&gt;300000,"MAGGIORE","")</f>
        <v/>
      </c>
      <c r="J4625">
        <v>22</v>
      </c>
      <c r="K4625">
        <v>2</v>
      </c>
      <c r="L4625">
        <v>0</v>
      </c>
    </row>
    <row r="4626" spans="1:12" x14ac:dyDescent="0.2">
      <c r="A4626"/>
      <c r="B4626"/>
      <c r="C4626"/>
      <c r="D4626"/>
      <c r="E4626" s="2">
        <f>Comuni__2[[#This Row],[Popolazione2011]]/$D$7911</f>
        <v>5.7300970799610395E-5</v>
      </c>
      <c r="F4626">
        <f>SUMIFS($D$2:$D$7909, $B$2:$B$7909, "Piemonte")</f>
        <v>4363916</v>
      </c>
      <c r="G4626" s="1">
        <f>Comuni__2[[#This Row],[Popolazione2011]]/Comuni__2[[#This Row],[POPOLAZIONE TOTALE DI OGNI REGIONE (CON FILTRO)]]</f>
        <v>7.8026249817824171E-4</v>
      </c>
      <c r="H4626" t="str">
        <f>IF(Comuni__2[[#This Row],[Popolazione2011]]&gt;300000,"MAGGIORE","")</f>
        <v/>
      </c>
      <c r="J4626">
        <v>12</v>
      </c>
      <c r="K4626">
        <v>0</v>
      </c>
      <c r="L4626">
        <v>0</v>
      </c>
    </row>
    <row r="4627" spans="1:12" x14ac:dyDescent="0.2">
      <c r="A4627"/>
      <c r="B4627"/>
      <c r="C4627"/>
      <c r="D4627"/>
      <c r="E4627" s="2">
        <f>Comuni__2[[#This Row],[Popolazione2011]]/$D$7911</f>
        <v>5.7166342968069459E-5</v>
      </c>
      <c r="F4627">
        <f>SUMIFS($D$2:$D$7909, $B$2:$B$7909, "Piemonte")</f>
        <v>4363916</v>
      </c>
      <c r="G4627" s="1">
        <f>Comuni__2[[#This Row],[Popolazione2011]]/Comuni__2[[#This Row],[POPOLAZIONE TOTALE DI OGNI REGIONE (CON FILTRO)]]</f>
        <v>7.7842928232349105E-4</v>
      </c>
      <c r="H4627" t="str">
        <f>IF(Comuni__2[[#This Row],[Popolazione2011]]&gt;300000,"MAGGIORE","")</f>
        <v/>
      </c>
      <c r="J4627">
        <v>32</v>
      </c>
      <c r="K4627">
        <v>3</v>
      </c>
      <c r="L4627">
        <v>0</v>
      </c>
    </row>
    <row r="4628" spans="1:12" x14ac:dyDescent="0.2">
      <c r="A4628"/>
      <c r="B4628"/>
      <c r="C4628"/>
      <c r="D4628"/>
      <c r="E4628" s="2">
        <f>Comuni__2[[#This Row],[Popolazione2011]]/$D$7911</f>
        <v>5.6812944910274507E-5</v>
      </c>
      <c r="F4628">
        <f>SUMIFS($D$2:$D$7909, $B$2:$B$7909, "Piemonte")</f>
        <v>4363916</v>
      </c>
      <c r="G4628" s="1">
        <f>Comuni__2[[#This Row],[Popolazione2011]]/Comuni__2[[#This Row],[POPOLAZIONE TOTALE DI OGNI REGIONE (CON FILTRO)]]</f>
        <v>7.7361709070477062E-4</v>
      </c>
      <c r="H4628" t="str">
        <f>IF(Comuni__2[[#This Row],[Popolazione2011]]&gt;300000,"MAGGIORE","")</f>
        <v/>
      </c>
      <c r="J4628">
        <v>25</v>
      </c>
      <c r="K4628">
        <v>0</v>
      </c>
      <c r="L4628">
        <v>1</v>
      </c>
    </row>
    <row r="4629" spans="1:12" x14ac:dyDescent="0.2">
      <c r="A4629"/>
      <c r="B4629"/>
      <c r="C4629"/>
      <c r="D4629"/>
      <c r="E4629" s="2">
        <f>Comuni__2[[#This Row],[Popolazione2011]]/$D$7911</f>
        <v>5.6577346205077868E-5</v>
      </c>
      <c r="F4629">
        <f>SUMIFS($D$2:$D$7909, $B$2:$B$7909, "Piemonte")</f>
        <v>4363916</v>
      </c>
      <c r="G4629" s="1">
        <f>Comuni__2[[#This Row],[Popolazione2011]]/Comuni__2[[#This Row],[POPOLAZIONE TOTALE DI OGNI REGIONE (CON FILTRO)]]</f>
        <v>7.7040896295895703E-4</v>
      </c>
      <c r="H4629" t="str">
        <f>IF(Comuni__2[[#This Row],[Popolazione2011]]&gt;300000,"MAGGIORE","")</f>
        <v/>
      </c>
      <c r="J4629">
        <v>48</v>
      </c>
      <c r="K4629">
        <v>4</v>
      </c>
      <c r="L4629">
        <v>1</v>
      </c>
    </row>
    <row r="4630" spans="1:12" x14ac:dyDescent="0.2">
      <c r="A4630"/>
      <c r="B4630"/>
      <c r="C4630"/>
      <c r="D4630"/>
      <c r="E4630" s="2">
        <f>Comuni__2[[#This Row],[Popolazione2011]]/$D$7911</f>
        <v>5.6274433584110764E-5</v>
      </c>
      <c r="F4630">
        <f>SUMIFS($D$2:$D$7909, $B$2:$B$7909, "Piemonte")</f>
        <v>4363916</v>
      </c>
      <c r="G4630" s="1">
        <f>Comuni__2[[#This Row],[Popolazione2011]]/Comuni__2[[#This Row],[POPOLAZIONE TOTALE DI OGNI REGIONE (CON FILTRO)]]</f>
        <v>7.6628422728576811E-4</v>
      </c>
      <c r="H4630" t="str">
        <f>IF(Comuni__2[[#This Row],[Popolazione2011]]&gt;300000,"MAGGIORE","")</f>
        <v/>
      </c>
      <c r="J4630">
        <v>25</v>
      </c>
      <c r="K4630">
        <v>0</v>
      </c>
      <c r="L4630">
        <v>2</v>
      </c>
    </row>
    <row r="4631" spans="1:12" x14ac:dyDescent="0.2">
      <c r="A4631"/>
      <c r="B4631"/>
      <c r="C4631"/>
      <c r="D4631"/>
      <c r="E4631" s="2">
        <f>Comuni__2[[#This Row],[Popolazione2011]]/$D$7911</f>
        <v>5.6223948147282916E-5</v>
      </c>
      <c r="F4631">
        <f>SUMIFS($D$2:$D$7909, $B$2:$B$7909, "Piemonte")</f>
        <v>4363916</v>
      </c>
      <c r="G4631" s="1">
        <f>Comuni__2[[#This Row],[Popolazione2011]]/Comuni__2[[#This Row],[POPOLAZIONE TOTALE DI OGNI REGIONE (CON FILTRO)]]</f>
        <v>7.6559677134023659E-4</v>
      </c>
      <c r="H4631" t="str">
        <f>IF(Comuni__2[[#This Row],[Popolazione2011]]&gt;300000,"MAGGIORE","")</f>
        <v/>
      </c>
      <c r="J4631">
        <v>64</v>
      </c>
      <c r="K4631">
        <v>4</v>
      </c>
      <c r="L4631">
        <v>2</v>
      </c>
    </row>
    <row r="4632" spans="1:12" x14ac:dyDescent="0.2">
      <c r="A4632"/>
      <c r="B4632"/>
      <c r="C4632"/>
      <c r="D4632"/>
      <c r="E4632" s="2">
        <f>Comuni__2[[#This Row],[Popolazione2011]]/$D$7911</f>
        <v>5.6038834878914132E-5</v>
      </c>
      <c r="F4632">
        <f>SUMIFS($D$2:$D$7909, $B$2:$B$7909, "Piemonte")</f>
        <v>4363916</v>
      </c>
      <c r="G4632" s="1">
        <f>Comuni__2[[#This Row],[Popolazione2011]]/Comuni__2[[#This Row],[POPOLAZIONE TOTALE DI OGNI REGIONE (CON FILTRO)]]</f>
        <v>7.6307609953995452E-4</v>
      </c>
      <c r="H4632" t="str">
        <f>IF(Comuni__2[[#This Row],[Popolazione2011]]&gt;300000,"MAGGIORE","")</f>
        <v/>
      </c>
      <c r="J4632">
        <v>33</v>
      </c>
      <c r="K4632">
        <v>0</v>
      </c>
      <c r="L4632">
        <v>3</v>
      </c>
    </row>
    <row r="4633" spans="1:12" x14ac:dyDescent="0.2">
      <c r="A4633"/>
      <c r="B4633"/>
      <c r="C4633"/>
      <c r="D4633"/>
      <c r="E4633" s="2">
        <f>Comuni__2[[#This Row],[Popolazione2011]]/$D$7911</f>
        <v>5.6038834878914132E-5</v>
      </c>
      <c r="F4633">
        <f>SUMIFS($D$2:$D$7909, $B$2:$B$7909, "Piemonte")</f>
        <v>4363916</v>
      </c>
      <c r="G4633" s="1">
        <f>Comuni__2[[#This Row],[Popolazione2011]]/Comuni__2[[#This Row],[POPOLAZIONE TOTALE DI OGNI REGIONE (CON FILTRO)]]</f>
        <v>7.6307609953995452E-4</v>
      </c>
      <c r="H4633" t="str">
        <f>IF(Comuni__2[[#This Row],[Popolazione2011]]&gt;300000,"MAGGIORE","")</f>
        <v/>
      </c>
      <c r="J4633">
        <v>80</v>
      </c>
      <c r="K4633">
        <v>5</v>
      </c>
      <c r="L4633">
        <v>2</v>
      </c>
    </row>
    <row r="4634" spans="1:12" x14ac:dyDescent="0.2">
      <c r="A4634"/>
      <c r="B4634"/>
      <c r="C4634"/>
      <c r="D4634"/>
      <c r="E4634" s="2">
        <f>Comuni__2[[#This Row],[Popolazione2011]]/$D$7911</f>
        <v>5.5921035526315812E-5</v>
      </c>
      <c r="F4634">
        <f>SUMIFS($D$2:$D$7909, $B$2:$B$7909, "Piemonte")</f>
        <v>4363916</v>
      </c>
      <c r="G4634" s="1">
        <f>Comuni__2[[#This Row],[Popolazione2011]]/Comuni__2[[#This Row],[POPOLAZIONE TOTALE DI OGNI REGIONE (CON FILTRO)]]</f>
        <v>7.6147203566704767E-4</v>
      </c>
      <c r="H4634" t="str">
        <f>IF(Comuni__2[[#This Row],[Popolazione2011]]&gt;300000,"MAGGIORE","")</f>
        <v/>
      </c>
      <c r="J4634">
        <v>54</v>
      </c>
      <c r="K4634">
        <v>0</v>
      </c>
      <c r="L4634">
        <v>5</v>
      </c>
    </row>
    <row r="4635" spans="1:12" x14ac:dyDescent="0.2">
      <c r="A4635"/>
      <c r="B4635"/>
      <c r="C4635"/>
      <c r="D4635"/>
      <c r="E4635" s="2">
        <f>Comuni__2[[#This Row],[Popolazione2011]]/$D$7911</f>
        <v>5.5584465947463476E-5</v>
      </c>
      <c r="F4635">
        <f>SUMIFS($D$2:$D$7909, $B$2:$B$7909, "Piemonte")</f>
        <v>4363916</v>
      </c>
      <c r="G4635" s="1">
        <f>Comuni__2[[#This Row],[Popolazione2011]]/Comuni__2[[#This Row],[POPOLAZIONE TOTALE DI OGNI REGIONE (CON FILTRO)]]</f>
        <v>7.5688899603017104E-4</v>
      </c>
      <c r="H4635" t="str">
        <f>IF(Comuni__2[[#This Row],[Popolazione2011]]&gt;300000,"MAGGIORE","")</f>
        <v/>
      </c>
      <c r="J4635">
        <v>92</v>
      </c>
      <c r="K4635">
        <v>5</v>
      </c>
      <c r="L4635">
        <v>6</v>
      </c>
    </row>
    <row r="4636" spans="1:12" x14ac:dyDescent="0.2">
      <c r="A4636"/>
      <c r="B4636"/>
      <c r="C4636"/>
      <c r="D4636"/>
      <c r="E4636" s="2">
        <f>Comuni__2[[#This Row],[Popolazione2011]]/$D$7911</f>
        <v>5.5197410931783285E-5</v>
      </c>
      <c r="F4636">
        <f>SUMIFS($D$2:$D$7909, $B$2:$B$7909, "Piemonte")</f>
        <v>4363916</v>
      </c>
      <c r="G4636" s="1">
        <f>Comuni__2[[#This Row],[Popolazione2011]]/Comuni__2[[#This Row],[POPOLAZIONE TOTALE DI OGNI REGIONE (CON FILTRO)]]</f>
        <v>7.51618500447763E-4</v>
      </c>
      <c r="H4636" t="str">
        <f>IF(Comuni__2[[#This Row],[Popolazione2011]]&gt;300000,"MAGGIORE","")</f>
        <v/>
      </c>
      <c r="J4636">
        <v>64</v>
      </c>
      <c r="K4636">
        <v>0</v>
      </c>
      <c r="L4636">
        <v>6</v>
      </c>
    </row>
    <row r="4637" spans="1:12" x14ac:dyDescent="0.2">
      <c r="A4637"/>
      <c r="B4637"/>
      <c r="C4637"/>
      <c r="D4637"/>
      <c r="E4637" s="2">
        <f>Comuni__2[[#This Row],[Popolazione2011]]/$D$7911</f>
        <v>5.4860841352930949E-5</v>
      </c>
      <c r="F4637">
        <f>SUMIFS($D$2:$D$7909, $B$2:$B$7909, "Piemonte")</f>
        <v>4363916</v>
      </c>
      <c r="G4637" s="1">
        <f>Comuni__2[[#This Row],[Popolazione2011]]/Comuni__2[[#This Row],[POPOLAZIONE TOTALE DI OGNI REGIONE (CON FILTRO)]]</f>
        <v>7.4703546081088636E-4</v>
      </c>
      <c r="H4637" t="str">
        <f>IF(Comuni__2[[#This Row],[Popolazione2011]]&gt;300000,"MAGGIORE","")</f>
        <v/>
      </c>
      <c r="J4637">
        <v>92</v>
      </c>
      <c r="K4637">
        <v>5</v>
      </c>
      <c r="L4637">
        <v>6</v>
      </c>
    </row>
    <row r="4638" spans="1:12" x14ac:dyDescent="0.2">
      <c r="A4638"/>
      <c r="B4638"/>
      <c r="C4638"/>
      <c r="D4638"/>
      <c r="E4638" s="2">
        <f>Comuni__2[[#This Row],[Popolazione2011]]/$D$7911</f>
        <v>5.4692556563504781E-5</v>
      </c>
      <c r="F4638">
        <f>SUMIFS($D$2:$D$7909, $B$2:$B$7909, "Piemonte")</f>
        <v>4363916</v>
      </c>
      <c r="G4638" s="1">
        <f>Comuni__2[[#This Row],[Popolazione2011]]/Comuni__2[[#This Row],[POPOLAZIONE TOTALE DI OGNI REGIONE (CON FILTRO)]]</f>
        <v>7.447439409924481E-4</v>
      </c>
      <c r="H4638" t="str">
        <f>IF(Comuni__2[[#This Row],[Popolazione2011]]&gt;300000,"MAGGIORE","")</f>
        <v/>
      </c>
      <c r="J4638">
        <v>82</v>
      </c>
      <c r="K4638">
        <v>1</v>
      </c>
      <c r="L4638">
        <v>8</v>
      </c>
    </row>
    <row r="4639" spans="1:12" x14ac:dyDescent="0.2">
      <c r="A4639"/>
      <c r="B4639"/>
      <c r="C4639"/>
      <c r="D4639"/>
      <c r="E4639" s="2">
        <f>Comuni__2[[#This Row],[Popolazione2011]]/$D$7911</f>
        <v>5.4053074363685341E-5</v>
      </c>
      <c r="F4639">
        <f>SUMIFS($D$2:$D$7909, $B$2:$B$7909, "Piemonte")</f>
        <v>4363916</v>
      </c>
      <c r="G4639" s="1">
        <f>Comuni__2[[#This Row],[Popolazione2011]]/Comuni__2[[#This Row],[POPOLAZIONE TOTALE DI OGNI REGIONE (CON FILTRO)]]</f>
        <v>7.3603616568238255E-4</v>
      </c>
      <c r="H4639" t="str">
        <f>IF(Comuni__2[[#This Row],[Popolazione2011]]&gt;300000,"MAGGIORE","")</f>
        <v/>
      </c>
      <c r="J4639">
        <v>129</v>
      </c>
      <c r="K4639">
        <v>10</v>
      </c>
      <c r="L4639">
        <v>7</v>
      </c>
    </row>
    <row r="4640" spans="1:12" x14ac:dyDescent="0.2">
      <c r="A4640"/>
      <c r="B4640"/>
      <c r="C4640"/>
      <c r="D4640"/>
      <c r="E4640" s="2">
        <f>Comuni__2[[#This Row],[Popolazione2011]]/$D$7911</f>
        <v>5.4002588926857492E-5</v>
      </c>
      <c r="F4640">
        <f>SUMIFS($D$2:$D$7909, $B$2:$B$7909, "Piemonte")</f>
        <v>4363916</v>
      </c>
      <c r="G4640" s="1">
        <f>Comuni__2[[#This Row],[Popolazione2011]]/Comuni__2[[#This Row],[POPOLAZIONE TOTALE DI OGNI REGIONE (CON FILTRO)]]</f>
        <v>7.3534870973685103E-4</v>
      </c>
      <c r="H4640" t="str">
        <f>IF(Comuni__2[[#This Row],[Popolazione2011]]&gt;300000,"MAGGIORE","")</f>
        <v/>
      </c>
      <c r="J4640">
        <v>97</v>
      </c>
      <c r="K4640">
        <v>1</v>
      </c>
      <c r="L4640">
        <v>9</v>
      </c>
    </row>
    <row r="4641" spans="1:12" x14ac:dyDescent="0.2">
      <c r="A4641"/>
      <c r="B4641"/>
      <c r="C4641"/>
      <c r="D4641"/>
      <c r="E4641" s="2">
        <f>Comuni__2[[#This Row],[Popolazione2011]]/$D$7911</f>
        <v>5.385113261637394E-5</v>
      </c>
      <c r="F4641">
        <f>SUMIFS($D$2:$D$7909, $B$2:$B$7909, "Piemonte")</f>
        <v>4363916</v>
      </c>
      <c r="G4641" s="1">
        <f>Comuni__2[[#This Row],[Popolazione2011]]/Comuni__2[[#This Row],[POPOLAZIONE TOTALE DI OGNI REGIONE (CON FILTRO)]]</f>
        <v>7.3328634190025657E-4</v>
      </c>
      <c r="H4641" t="str">
        <f>IF(Comuni__2[[#This Row],[Popolazione2011]]&gt;300000,"MAGGIORE","")</f>
        <v/>
      </c>
      <c r="J4641">
        <v>163</v>
      </c>
      <c r="K4641">
        <v>12</v>
      </c>
      <c r="L4641">
        <v>7</v>
      </c>
    </row>
    <row r="4642" spans="1:12" x14ac:dyDescent="0.2">
      <c r="A4642"/>
      <c r="B4642"/>
      <c r="C4642"/>
      <c r="D4642"/>
      <c r="E4642" s="2">
        <f>Comuni__2[[#This Row],[Popolazione2011]]/$D$7911</f>
        <v>5.3581876953292069E-5</v>
      </c>
      <c r="F4642">
        <f>SUMIFS($D$2:$D$7909, $B$2:$B$7909, "Piemonte")</f>
        <v>4363916</v>
      </c>
      <c r="G4642" s="1">
        <f>Comuni__2[[#This Row],[Popolazione2011]]/Comuni__2[[#This Row],[POPOLAZIONE TOTALE DI OGNI REGIONE (CON FILTRO)]]</f>
        <v>7.2961991019075527E-4</v>
      </c>
      <c r="H4642" t="str">
        <f>IF(Comuni__2[[#This Row],[Popolazione2011]]&gt;300000,"MAGGIORE","")</f>
        <v/>
      </c>
      <c r="J4642">
        <v>105</v>
      </c>
      <c r="K4642">
        <v>1</v>
      </c>
      <c r="L4642">
        <v>14</v>
      </c>
    </row>
    <row r="4643" spans="1:12" x14ac:dyDescent="0.2">
      <c r="A4643"/>
      <c r="B4643"/>
      <c r="C4643"/>
      <c r="D4643"/>
      <c r="E4643" s="2">
        <f>Comuni__2[[#This Row],[Popolazione2011]]/$D$7911</f>
        <v>5.3295792811267581E-5</v>
      </c>
      <c r="F4643">
        <f>SUMIFS($D$2:$D$7909, $B$2:$B$7909, "Piemonte")</f>
        <v>4363916</v>
      </c>
      <c r="G4643" s="1">
        <f>Comuni__2[[#This Row],[Popolazione2011]]/Comuni__2[[#This Row],[POPOLAZIONE TOTALE DI OGNI REGIONE (CON FILTRO)]]</f>
        <v>7.2572432649941016E-4</v>
      </c>
      <c r="H4643" t="str">
        <f>IF(Comuni__2[[#This Row],[Popolazione2011]]&gt;300000,"MAGGIORE","")</f>
        <v/>
      </c>
      <c r="J4643">
        <v>199</v>
      </c>
      <c r="K4643">
        <v>20</v>
      </c>
      <c r="L4643">
        <v>12</v>
      </c>
    </row>
    <row r="4644" spans="1:12" x14ac:dyDescent="0.2">
      <c r="A4644"/>
      <c r="B4644"/>
      <c r="C4644"/>
      <c r="D4644"/>
      <c r="E4644" s="2">
        <f>Comuni__2[[#This Row],[Popolazione2011]]/$D$7911</f>
        <v>5.3228478895497117E-5</v>
      </c>
      <c r="F4644">
        <f>SUMIFS($D$2:$D$7909, $B$2:$B$7909, "Piemonte")</f>
        <v>4363916</v>
      </c>
      <c r="G4644" s="1">
        <f>Comuni__2[[#This Row],[Popolazione2011]]/Comuni__2[[#This Row],[POPOLAZIONE TOTALE DI OGNI REGIONE (CON FILTRO)]]</f>
        <v>7.2480771857203483E-4</v>
      </c>
      <c r="H4644" t="str">
        <f>IF(Comuni__2[[#This Row],[Popolazione2011]]&gt;300000,"MAGGIORE","")</f>
        <v/>
      </c>
      <c r="J4644">
        <v>123</v>
      </c>
      <c r="K4644">
        <v>1</v>
      </c>
      <c r="L4644">
        <v>17</v>
      </c>
    </row>
    <row r="4645" spans="1:12" x14ac:dyDescent="0.2">
      <c r="A4645"/>
      <c r="B4645"/>
      <c r="C4645"/>
      <c r="D4645"/>
      <c r="E4645" s="2">
        <f>Comuni__2[[#This Row],[Popolazione2011]]/$D$7911</f>
        <v>5.3194821937611884E-5</v>
      </c>
      <c r="F4645">
        <f>SUMIFS($D$2:$D$7909, $B$2:$B$7909, "Piemonte")</f>
        <v>4363916</v>
      </c>
      <c r="G4645" s="1">
        <f>Comuni__2[[#This Row],[Popolazione2011]]/Comuni__2[[#This Row],[POPOLAZIONE TOTALE DI OGNI REGIONE (CON FILTRO)]]</f>
        <v>7.2434941460834722E-4</v>
      </c>
      <c r="H4645" t="str">
        <f>IF(Comuni__2[[#This Row],[Popolazione2011]]&gt;300000,"MAGGIORE","")</f>
        <v/>
      </c>
      <c r="J4645">
        <v>232</v>
      </c>
      <c r="K4645">
        <v>29</v>
      </c>
      <c r="L4645">
        <v>13</v>
      </c>
    </row>
    <row r="4646" spans="1:12" x14ac:dyDescent="0.2">
      <c r="A4646"/>
      <c r="B4646"/>
      <c r="C4646"/>
      <c r="D4646"/>
      <c r="E4646" s="2">
        <f>Comuni__2[[#This Row],[Popolazione2011]]/$D$7911</f>
        <v>5.3177993458669261E-5</v>
      </c>
      <c r="F4646">
        <f>SUMIFS($D$2:$D$7909, $B$2:$B$7909, "Piemonte")</f>
        <v>4363916</v>
      </c>
      <c r="G4646" s="1">
        <f>Comuni__2[[#This Row],[Popolazione2011]]/Comuni__2[[#This Row],[POPOLAZIONE TOTALE DI OGNI REGIONE (CON FILTRO)]]</f>
        <v>7.2412026262650331E-4</v>
      </c>
      <c r="H4646" t="str">
        <f>IF(Comuni__2[[#This Row],[Popolazione2011]]&gt;300000,"MAGGIORE","")</f>
        <v/>
      </c>
      <c r="J4646">
        <v>157</v>
      </c>
      <c r="K4646">
        <v>1</v>
      </c>
      <c r="L4646">
        <v>20</v>
      </c>
    </row>
    <row r="4647" spans="1:12" x14ac:dyDescent="0.2">
      <c r="A4647"/>
      <c r="B4647"/>
      <c r="C4647"/>
      <c r="D4647"/>
      <c r="E4647" s="2">
        <f>Comuni__2[[#This Row],[Popolazione2011]]/$D$7911</f>
        <v>5.2286084074710573E-5</v>
      </c>
      <c r="F4647">
        <f>SUMIFS($D$2:$D$7909, $B$2:$B$7909, "Piemonte")</f>
        <v>4363916</v>
      </c>
      <c r="G4647" s="1">
        <f>Comuni__2[[#This Row],[Popolazione2011]]/Comuni__2[[#This Row],[POPOLAZIONE TOTALE DI OGNI REGIONE (CON FILTRO)]]</f>
        <v>7.1197520758878037E-4</v>
      </c>
      <c r="H4647" t="str">
        <f>IF(Comuni__2[[#This Row],[Popolazione2011]]&gt;300000,"MAGGIORE","")</f>
        <v/>
      </c>
      <c r="J4647">
        <v>272</v>
      </c>
      <c r="K4647">
        <v>34</v>
      </c>
      <c r="L4647">
        <v>28</v>
      </c>
    </row>
    <row r="4648" spans="1:12" x14ac:dyDescent="0.2">
      <c r="A4648"/>
      <c r="B4648"/>
      <c r="C4648"/>
      <c r="D4648"/>
      <c r="E4648" s="2">
        <f>Comuni__2[[#This Row],[Popolazione2011]]/$D$7911</f>
        <v>5.2235598637882718E-5</v>
      </c>
      <c r="F4648">
        <f>SUMIFS($D$2:$D$7909, $B$2:$B$7909, "Piemonte")</f>
        <v>4363916</v>
      </c>
      <c r="G4648" s="1">
        <f>Comuni__2[[#This Row],[Popolazione2011]]/Comuni__2[[#This Row],[POPOLAZIONE TOTALE DI OGNI REGIONE (CON FILTRO)]]</f>
        <v>7.1128775164324884E-4</v>
      </c>
      <c r="H4648" t="str">
        <f>IF(Comuni__2[[#This Row],[Popolazione2011]]&gt;300000,"MAGGIORE","")</f>
        <v/>
      </c>
      <c r="J4648">
        <v>178</v>
      </c>
      <c r="K4648">
        <v>7</v>
      </c>
      <c r="L4648">
        <v>23</v>
      </c>
    </row>
    <row r="4649" spans="1:12" x14ac:dyDescent="0.2">
      <c r="A4649"/>
      <c r="B4649"/>
      <c r="C4649"/>
      <c r="D4649"/>
      <c r="E4649" s="2">
        <f>Comuni__2[[#This Row],[Popolazione2011]]/$D$7911</f>
        <v>5.1899029059030382E-5</v>
      </c>
      <c r="F4649">
        <f>SUMIFS($D$2:$D$7909, $B$2:$B$7909, "Piemonte")</f>
        <v>4363916</v>
      </c>
      <c r="G4649" s="1">
        <f>Comuni__2[[#This Row],[Popolazione2011]]/Comuni__2[[#This Row],[POPOLAZIONE TOTALE DI OGNI REGIONE (CON FILTRO)]]</f>
        <v>7.0670471200637221E-4</v>
      </c>
      <c r="H4649" t="str">
        <f>IF(Comuni__2[[#This Row],[Popolazione2011]]&gt;300000,"MAGGIORE","")</f>
        <v/>
      </c>
      <c r="J4649">
        <v>281</v>
      </c>
      <c r="K4649">
        <v>34</v>
      </c>
      <c r="L4649">
        <v>35</v>
      </c>
    </row>
    <row r="4650" spans="1:12" x14ac:dyDescent="0.2">
      <c r="A4650"/>
      <c r="B4650"/>
      <c r="C4650"/>
      <c r="D4650"/>
      <c r="E4650" s="2">
        <f>Comuni__2[[#This Row],[Popolazione2011]]/$D$7911</f>
        <v>5.142783164863711E-5</v>
      </c>
      <c r="F4650">
        <f>SUMIFS($D$2:$D$7909, $B$2:$B$7909, "Piemonte")</f>
        <v>4363916</v>
      </c>
      <c r="G4650" s="1">
        <f>Comuni__2[[#This Row],[Popolazione2011]]/Comuni__2[[#This Row],[POPOLAZIONE TOTALE DI OGNI REGIONE (CON FILTRO)]]</f>
        <v>7.0028845651474503E-4</v>
      </c>
      <c r="H4650" t="str">
        <f>IF(Comuni__2[[#This Row],[Popolazione2011]]&gt;300000,"MAGGIORE","")</f>
        <v/>
      </c>
      <c r="J4650">
        <v>178</v>
      </c>
      <c r="K4650">
        <v>7</v>
      </c>
      <c r="L4650">
        <v>29</v>
      </c>
    </row>
    <row r="4651" spans="1:12" x14ac:dyDescent="0.2">
      <c r="A4651"/>
      <c r="B4651"/>
      <c r="C4651"/>
      <c r="D4651"/>
      <c r="E4651" s="2">
        <f>Comuni__2[[#This Row],[Popolazione2011]]/$D$7911</f>
        <v>5.1411003169694494E-5</v>
      </c>
      <c r="F4651">
        <f>SUMIFS($D$2:$D$7909, $B$2:$B$7909, "Piemonte")</f>
        <v>4363916</v>
      </c>
      <c r="G4651" s="1">
        <f>Comuni__2[[#This Row],[Popolazione2011]]/Comuni__2[[#This Row],[POPOLAZIONE TOTALE DI OGNI REGIONE (CON FILTRO)]]</f>
        <v>7.0005930453290123E-4</v>
      </c>
      <c r="H4651" t="str">
        <f>IF(Comuni__2[[#This Row],[Popolazione2011]]&gt;300000,"MAGGIORE","")</f>
        <v/>
      </c>
      <c r="J4651">
        <v>295</v>
      </c>
      <c r="K4651">
        <v>68</v>
      </c>
      <c r="L4651">
        <v>41</v>
      </c>
    </row>
    <row r="4652" spans="1:12" x14ac:dyDescent="0.2">
      <c r="A4652"/>
      <c r="B4652"/>
      <c r="C4652"/>
      <c r="D4652"/>
      <c r="E4652" s="2">
        <f>Comuni__2[[#This Row],[Popolazione2011]]/$D$7911</f>
        <v>5.1326860774981413E-5</v>
      </c>
      <c r="F4652">
        <f>SUMIFS($D$2:$D$7909, $B$2:$B$7909, "Piemonte")</f>
        <v>4363916</v>
      </c>
      <c r="G4652" s="1">
        <f>Comuni__2[[#This Row],[Popolazione2011]]/Comuni__2[[#This Row],[POPOLAZIONE TOTALE DI OGNI REGIONE (CON FILTRO)]]</f>
        <v>6.9891354462368199E-4</v>
      </c>
      <c r="H4652" t="str">
        <f>IF(Comuni__2[[#This Row],[Popolazione2011]]&gt;300000,"MAGGIORE","")</f>
        <v/>
      </c>
      <c r="J4652">
        <v>204</v>
      </c>
      <c r="K4652">
        <v>44</v>
      </c>
      <c r="L4652">
        <v>38</v>
      </c>
    </row>
    <row r="4653" spans="1:12" x14ac:dyDescent="0.2">
      <c r="A4653"/>
      <c r="B4653"/>
      <c r="C4653"/>
      <c r="D4653"/>
      <c r="E4653" s="2">
        <f>Comuni__2[[#This Row],[Popolazione2011]]/$D$7911</f>
        <v>5.131003229603879E-5</v>
      </c>
      <c r="F4653">
        <f>SUMIFS($D$2:$D$7909, $B$2:$B$7909, "Piemonte")</f>
        <v>4363916</v>
      </c>
      <c r="G4653" s="1">
        <f>Comuni__2[[#This Row],[Popolazione2011]]/Comuni__2[[#This Row],[POPOLAZIONE TOTALE DI OGNI REGIONE (CON FILTRO)]]</f>
        <v>6.9868439264183819E-4</v>
      </c>
      <c r="H4653" t="str">
        <f>IF(Comuni__2[[#This Row],[Popolazione2011]]&gt;300000,"MAGGIORE","")</f>
        <v/>
      </c>
      <c r="J4653">
        <v>357</v>
      </c>
      <c r="K4653">
        <v>79</v>
      </c>
      <c r="L4653">
        <v>56</v>
      </c>
    </row>
    <row r="4654" spans="1:12" x14ac:dyDescent="0.2">
      <c r="A4654"/>
      <c r="B4654"/>
      <c r="C4654"/>
      <c r="D4654"/>
      <c r="E4654" s="2">
        <f>Comuni__2[[#This Row],[Popolazione2011]]/$D$7911</f>
        <v>5.1293203817096174E-5</v>
      </c>
      <c r="F4654">
        <f>SUMIFS($D$2:$D$7909, $B$2:$B$7909, "Piemonte")</f>
        <v>4363916</v>
      </c>
      <c r="G4654" s="1">
        <f>Comuni__2[[#This Row],[Popolazione2011]]/Comuni__2[[#This Row],[POPOLAZIONE TOTALE DI OGNI REGIONE (CON FILTRO)]]</f>
        <v>6.9845524065999438E-4</v>
      </c>
      <c r="H4654" t="str">
        <f>IF(Comuni__2[[#This Row],[Popolazione2011]]&gt;300000,"MAGGIORE","")</f>
        <v/>
      </c>
      <c r="J4654">
        <v>230</v>
      </c>
      <c r="K4654">
        <v>67</v>
      </c>
      <c r="L4654">
        <v>43</v>
      </c>
    </row>
    <row r="4655" spans="1:12" x14ac:dyDescent="0.2">
      <c r="A4655"/>
      <c r="B4655"/>
      <c r="C4655"/>
      <c r="D4655"/>
      <c r="E4655" s="2">
        <f>Comuni__2[[#This Row],[Popolazione2011]]/$D$7911</f>
        <v>5.1023948154014309E-5</v>
      </c>
      <c r="F4655">
        <f>SUMIFS($D$2:$D$7909, $B$2:$B$7909, "Piemonte")</f>
        <v>4363916</v>
      </c>
      <c r="G4655" s="1">
        <f>Comuni__2[[#This Row],[Popolazione2011]]/Comuni__2[[#This Row],[POPOLAZIONE TOTALE DI OGNI REGIONE (CON FILTRO)]]</f>
        <v>6.9478880895049307E-4</v>
      </c>
      <c r="H4655" t="str">
        <f>IF(Comuni__2[[#This Row],[Popolazione2011]]&gt;300000,"MAGGIORE","")</f>
        <v/>
      </c>
      <c r="J4655">
        <v>373</v>
      </c>
      <c r="K4655">
        <v>90</v>
      </c>
      <c r="L4655">
        <v>74</v>
      </c>
    </row>
    <row r="4656" spans="1:12" x14ac:dyDescent="0.2">
      <c r="A4656"/>
      <c r="B4656"/>
      <c r="C4656"/>
      <c r="D4656"/>
      <c r="E4656" s="2">
        <f>Comuni__2[[#This Row],[Popolazione2011]]/$D$7911</f>
        <v>5.0872491843530757E-5</v>
      </c>
      <c r="F4656">
        <f>SUMIFS($D$2:$D$7909, $B$2:$B$7909, "Piemonte")</f>
        <v>4363916</v>
      </c>
      <c r="G4656" s="1">
        <f>Comuni__2[[#This Row],[Popolazione2011]]/Comuni__2[[#This Row],[POPOLAZIONE TOTALE DI OGNI REGIONE (CON FILTRO)]]</f>
        <v>6.9272644111389862E-4</v>
      </c>
      <c r="H4656" t="str">
        <f>IF(Comuni__2[[#This Row],[Popolazione2011]]&gt;300000,"MAGGIORE","")</f>
        <v/>
      </c>
      <c r="J4656">
        <v>266</v>
      </c>
      <c r="K4656">
        <v>67</v>
      </c>
      <c r="L4656">
        <v>48</v>
      </c>
    </row>
    <row r="4657" spans="1:12" x14ac:dyDescent="0.2">
      <c r="A4657"/>
      <c r="B4657"/>
      <c r="C4657"/>
      <c r="D4657"/>
      <c r="E4657" s="2">
        <f>Comuni__2[[#This Row],[Popolazione2011]]/$D$7911</f>
        <v>5.0081553333227766E-5</v>
      </c>
      <c r="F4657">
        <f>SUMIFS($D$2:$D$7909, $B$2:$B$7909, "Piemonte")</f>
        <v>4363916</v>
      </c>
      <c r="G4657" s="1">
        <f>Comuni__2[[#This Row],[Popolazione2011]]/Comuni__2[[#This Row],[POPOLAZIONE TOTALE DI OGNI REGIONE (CON FILTRO)]]</f>
        <v>6.8195629796723861E-4</v>
      </c>
      <c r="H4657" t="str">
        <f>IF(Comuni__2[[#This Row],[Popolazione2011]]&gt;300000,"MAGGIORE","")</f>
        <v/>
      </c>
      <c r="J4657">
        <v>366</v>
      </c>
      <c r="K4657">
        <v>117</v>
      </c>
      <c r="L4657">
        <v>86</v>
      </c>
    </row>
    <row r="4658" spans="1:12" x14ac:dyDescent="0.2">
      <c r="A4658"/>
      <c r="B4658"/>
      <c r="C4658"/>
      <c r="D4658"/>
      <c r="E4658" s="2">
        <f>Comuni__2[[#This Row],[Popolazione2011]]/$D$7911</f>
        <v>4.9660841359662342E-5</v>
      </c>
      <c r="F4658">
        <f>SUMIFS($D$2:$D$7909, $B$2:$B$7909, "Piemonte")</f>
        <v>4363916</v>
      </c>
      <c r="G4658" s="1">
        <f>Comuni__2[[#This Row],[Popolazione2011]]/Comuni__2[[#This Row],[POPOLAZIONE TOTALE DI OGNI REGIONE (CON FILTRO)]]</f>
        <v>6.7622749842114285E-4</v>
      </c>
      <c r="H4658" t="str">
        <f>IF(Comuni__2[[#This Row],[Popolazione2011]]&gt;300000,"MAGGIORE","")</f>
        <v/>
      </c>
      <c r="J4658">
        <v>294</v>
      </c>
      <c r="K4658">
        <v>110</v>
      </c>
      <c r="L4658">
        <v>60</v>
      </c>
    </row>
    <row r="4659" spans="1:12" x14ac:dyDescent="0.2">
      <c r="A4659"/>
      <c r="B4659"/>
      <c r="C4659"/>
      <c r="D4659"/>
      <c r="E4659" s="2">
        <f>Comuni__2[[#This Row],[Popolazione2011]]/$D$7911</f>
        <v>4.9425242654465703E-5</v>
      </c>
      <c r="F4659">
        <f>SUMIFS($D$2:$D$7909, $B$2:$B$7909, "Piemonte")</f>
        <v>4363916</v>
      </c>
      <c r="G4659" s="1">
        <f>Comuni__2[[#This Row],[Popolazione2011]]/Comuni__2[[#This Row],[POPOLAZIONE TOTALE DI OGNI REGIONE (CON FILTRO)]]</f>
        <v>6.7301937067532926E-4</v>
      </c>
      <c r="H4659" t="str">
        <f>IF(Comuni__2[[#This Row],[Popolazione2011]]&gt;300000,"MAGGIORE","")</f>
        <v/>
      </c>
      <c r="J4659">
        <v>407</v>
      </c>
      <c r="K4659">
        <v>125</v>
      </c>
      <c r="L4659">
        <v>102</v>
      </c>
    </row>
    <row r="4660" spans="1:12" x14ac:dyDescent="0.2">
      <c r="A4660"/>
      <c r="B4660"/>
      <c r="C4660"/>
      <c r="D4660"/>
      <c r="E4660" s="2">
        <f>Comuni__2[[#This Row],[Popolazione2011]]/$D$7911</f>
        <v>4.9324271780810006E-5</v>
      </c>
      <c r="F4660">
        <f>SUMIFS($D$2:$D$7909, $B$2:$B$7909, "Piemonte")</f>
        <v>4363916</v>
      </c>
      <c r="G4660" s="1">
        <f>Comuni__2[[#This Row],[Popolazione2011]]/Comuni__2[[#This Row],[POPOLAZIONE TOTALE DI OGNI REGIONE (CON FILTRO)]]</f>
        <v>6.7164445878426622E-4</v>
      </c>
      <c r="H4660" t="str">
        <f>IF(Comuni__2[[#This Row],[Popolazione2011]]&gt;300000,"MAGGIORE","")</f>
        <v/>
      </c>
      <c r="J4660">
        <v>276</v>
      </c>
      <c r="K4660">
        <v>116</v>
      </c>
      <c r="L4660">
        <v>64</v>
      </c>
    </row>
    <row r="4661" spans="1:12" x14ac:dyDescent="0.2">
      <c r="A4661"/>
      <c r="B4661"/>
      <c r="C4661"/>
      <c r="D4661"/>
      <c r="E4661" s="2">
        <f>Comuni__2[[#This Row],[Popolazione2011]]/$D$7911</f>
        <v>4.8819417412531495E-5</v>
      </c>
      <c r="F4661">
        <f>SUMIFS($D$2:$D$7909, $B$2:$B$7909, "Piemonte")</f>
        <v>4363916</v>
      </c>
      <c r="G4661" s="1">
        <f>Comuni__2[[#This Row],[Popolazione2011]]/Comuni__2[[#This Row],[POPOLAZIONE TOTALE DI OGNI REGIONE (CON FILTRO)]]</f>
        <v>6.6476989932895132E-4</v>
      </c>
      <c r="H4661" t="str">
        <f>IF(Comuni__2[[#This Row],[Popolazione2011]]&gt;300000,"MAGGIORE","")</f>
        <v/>
      </c>
      <c r="J4661">
        <v>423</v>
      </c>
      <c r="K4661">
        <v>151</v>
      </c>
      <c r="L4661">
        <v>120</v>
      </c>
    </row>
    <row r="4662" spans="1:12" x14ac:dyDescent="0.2">
      <c r="A4662"/>
      <c r="B4662"/>
      <c r="C4662"/>
      <c r="D4662"/>
      <c r="E4662" s="2">
        <f>Comuni__2[[#This Row],[Popolazione2011]]/$D$7911</f>
        <v>4.8785760454646263E-5</v>
      </c>
      <c r="F4662">
        <f>SUMIFS($D$2:$D$7909, $B$2:$B$7909, "Piemonte")</f>
        <v>4363916</v>
      </c>
      <c r="G4662" s="1">
        <f>Comuni__2[[#This Row],[Popolazione2011]]/Comuni__2[[#This Row],[POPOLAZIONE TOTALE DI OGNI REGIONE (CON FILTRO)]]</f>
        <v>6.6431159536526371E-4</v>
      </c>
      <c r="H4662" t="str">
        <f>IF(Comuni__2[[#This Row],[Popolazione2011]]&gt;300000,"MAGGIORE","")</f>
        <v/>
      </c>
      <c r="J4662">
        <v>290</v>
      </c>
      <c r="K4662">
        <v>116</v>
      </c>
      <c r="L4662">
        <v>64</v>
      </c>
    </row>
    <row r="4663" spans="1:12" x14ac:dyDescent="0.2">
      <c r="A4663"/>
      <c r="B4663"/>
      <c r="C4663"/>
      <c r="D4663"/>
      <c r="E4663" s="2">
        <f>Comuni__2[[#This Row],[Popolazione2011]]/$D$7911</f>
        <v>4.8701618059933182E-5</v>
      </c>
      <c r="F4663">
        <f>SUMIFS($D$2:$D$7909, $B$2:$B$7909, "Piemonte")</f>
        <v>4363916</v>
      </c>
      <c r="G4663" s="1">
        <f>Comuni__2[[#This Row],[Popolazione2011]]/Comuni__2[[#This Row],[POPOLAZIONE TOTALE DI OGNI REGIONE (CON FILTRO)]]</f>
        <v>6.6316583545604447E-4</v>
      </c>
      <c r="H4663" t="str">
        <f>IF(Comuni__2[[#This Row],[Popolazione2011]]&gt;300000,"MAGGIORE","")</f>
        <v/>
      </c>
      <c r="J4663">
        <v>431</v>
      </c>
      <c r="K4663">
        <v>172</v>
      </c>
      <c r="L4663">
        <v>129</v>
      </c>
    </row>
    <row r="4664" spans="1:12" x14ac:dyDescent="0.2">
      <c r="A4664"/>
      <c r="B4664"/>
      <c r="C4664"/>
      <c r="D4664"/>
      <c r="E4664" s="2">
        <f>Comuni__2[[#This Row],[Popolazione2011]]/$D$7911</f>
        <v>4.8398705438966078E-5</v>
      </c>
      <c r="F4664">
        <f>SUMIFS($D$2:$D$7909, $B$2:$B$7909, "Piemonte")</f>
        <v>4363916</v>
      </c>
      <c r="G4664" s="1">
        <f>Comuni__2[[#This Row],[Popolazione2011]]/Comuni__2[[#This Row],[POPOLAZIONE TOTALE DI OGNI REGIONE (CON FILTRO)]]</f>
        <v>6.5904109978285556E-4</v>
      </c>
      <c r="H4664" t="str">
        <f>IF(Comuni__2[[#This Row],[Popolazione2011]]&gt;300000,"MAGGIORE","")</f>
        <v/>
      </c>
      <c r="J4664">
        <v>293</v>
      </c>
      <c r="K4664">
        <v>153</v>
      </c>
      <c r="L4664">
        <v>74</v>
      </c>
    </row>
    <row r="4665" spans="1:12" x14ac:dyDescent="0.2">
      <c r="A4665"/>
      <c r="B4665"/>
      <c r="C4665"/>
      <c r="D4665"/>
      <c r="E4665" s="2">
        <f>Comuni__2[[#This Row],[Popolazione2011]]/$D$7911</f>
        <v>4.8264077607425143E-5</v>
      </c>
      <c r="F4665">
        <f>SUMIFS($D$2:$D$7909, $B$2:$B$7909, "Piemonte")</f>
        <v>4363916</v>
      </c>
      <c r="G4665" s="1">
        <f>Comuni__2[[#This Row],[Popolazione2011]]/Comuni__2[[#This Row],[POPOLAZIONE TOTALE DI OGNI REGIONE (CON FILTRO)]]</f>
        <v>6.572078839281049E-4</v>
      </c>
      <c r="H4665" t="str">
        <f>IF(Comuni__2[[#This Row],[Popolazione2011]]&gt;300000,"MAGGIORE","")</f>
        <v/>
      </c>
      <c r="J4665">
        <v>431</v>
      </c>
      <c r="K4665">
        <v>178</v>
      </c>
      <c r="L4665">
        <v>147</v>
      </c>
    </row>
    <row r="4666" spans="1:12" x14ac:dyDescent="0.2">
      <c r="A4666"/>
      <c r="B4666"/>
      <c r="C4666"/>
      <c r="D4666"/>
      <c r="E4666" s="2">
        <f>Comuni__2[[#This Row],[Popolazione2011]]/$D$7911</f>
        <v>4.7792880197031871E-5</v>
      </c>
      <c r="F4666">
        <f>SUMIFS($D$2:$D$7909, $B$2:$B$7909, "Piemonte")</f>
        <v>4363916</v>
      </c>
      <c r="G4666" s="1">
        <f>Comuni__2[[#This Row],[Popolazione2011]]/Comuni__2[[#This Row],[POPOLAZIONE TOTALE DI OGNI REGIONE (CON FILTRO)]]</f>
        <v>6.5079162843647773E-4</v>
      </c>
      <c r="H4666" t="str">
        <f>IF(Comuni__2[[#This Row],[Popolazione2011]]&gt;300000,"MAGGIORE","")</f>
        <v/>
      </c>
      <c r="J4666">
        <v>311</v>
      </c>
      <c r="K4666">
        <v>153</v>
      </c>
      <c r="L4666">
        <v>76</v>
      </c>
    </row>
    <row r="4667" spans="1:12" x14ac:dyDescent="0.2">
      <c r="A4667"/>
      <c r="B4667"/>
      <c r="C4667"/>
      <c r="D4667"/>
      <c r="E4667" s="2">
        <f>Comuni__2[[#This Row],[Popolazione2011]]/$D$7911</f>
        <v>4.7708737802318783E-5</v>
      </c>
      <c r="F4667">
        <f>SUMIFS($D$2:$D$7909, $B$2:$B$7909, "Piemonte")</f>
        <v>4363916</v>
      </c>
      <c r="G4667" s="1">
        <f>Comuni__2[[#This Row],[Popolazione2011]]/Comuni__2[[#This Row],[POPOLAZIONE TOTALE DI OGNI REGIONE (CON FILTRO)]]</f>
        <v>6.4964586852725859E-4</v>
      </c>
      <c r="H4667" t="str">
        <f>IF(Comuni__2[[#This Row],[Popolazione2011]]&gt;300000,"MAGGIORE","")</f>
        <v/>
      </c>
      <c r="J4667">
        <v>434</v>
      </c>
      <c r="K4667">
        <v>193</v>
      </c>
      <c r="L4667">
        <v>164</v>
      </c>
    </row>
    <row r="4668" spans="1:12" x14ac:dyDescent="0.2">
      <c r="A4668"/>
      <c r="B4668"/>
      <c r="C4668"/>
      <c r="D4668"/>
      <c r="E4668" s="2">
        <f>Comuni__2[[#This Row],[Popolazione2011]]/$D$7911</f>
        <v>4.7590938449720471E-5</v>
      </c>
      <c r="F4668">
        <f>SUMIFS($D$2:$D$7909, $B$2:$B$7909, "Piemonte")</f>
        <v>4363916</v>
      </c>
      <c r="G4668" s="1">
        <f>Comuni__2[[#This Row],[Popolazione2011]]/Comuni__2[[#This Row],[POPOLAZIONE TOTALE DI OGNI REGIONE (CON FILTRO)]]</f>
        <v>6.4804180465435175E-4</v>
      </c>
      <c r="H4668" t="str">
        <f>IF(Comuni__2[[#This Row],[Popolazione2011]]&gt;300000,"MAGGIORE","")</f>
        <v/>
      </c>
      <c r="J4668">
        <v>326</v>
      </c>
      <c r="K4668">
        <v>190</v>
      </c>
      <c r="L4668">
        <v>116</v>
      </c>
    </row>
    <row r="4669" spans="1:12" x14ac:dyDescent="0.2">
      <c r="A4669"/>
      <c r="B4669"/>
      <c r="C4669"/>
      <c r="D4669"/>
      <c r="E4669" s="2">
        <f>Comuni__2[[#This Row],[Popolazione2011]]/$D$7911</f>
        <v>4.7473139097122151E-5</v>
      </c>
      <c r="F4669">
        <f>SUMIFS($D$2:$D$7909, $B$2:$B$7909, "Piemonte")</f>
        <v>4363916</v>
      </c>
      <c r="G4669" s="1">
        <f>Comuni__2[[#This Row],[Popolazione2011]]/Comuni__2[[#This Row],[POPOLAZIONE TOTALE DI OGNI REGIONE (CON FILTRO)]]</f>
        <v>6.464377407814449E-4</v>
      </c>
      <c r="H4669" t="str">
        <f>IF(Comuni__2[[#This Row],[Popolazione2011]]&gt;300000,"MAGGIORE","")</f>
        <v/>
      </c>
      <c r="J4669">
        <v>421</v>
      </c>
      <c r="K4669">
        <v>214</v>
      </c>
      <c r="L4669">
        <v>173</v>
      </c>
    </row>
    <row r="4670" spans="1:12" x14ac:dyDescent="0.2">
      <c r="A4670"/>
      <c r="B4670"/>
      <c r="C4670"/>
      <c r="D4670"/>
      <c r="E4670" s="2">
        <f>Comuni__2[[#This Row],[Popolazione2011]]/$D$7911</f>
        <v>4.7473139097122151E-5</v>
      </c>
      <c r="F4670">
        <f>SUMIFS($D$2:$D$7909, $B$2:$B$7909, "Piemonte")</f>
        <v>4363916</v>
      </c>
      <c r="G4670" s="1">
        <f>Comuni__2[[#This Row],[Popolazione2011]]/Comuni__2[[#This Row],[POPOLAZIONE TOTALE DI OGNI REGIONE (CON FILTRO)]]</f>
        <v>6.464377407814449E-4</v>
      </c>
      <c r="H4670" t="str">
        <f>IF(Comuni__2[[#This Row],[Popolazione2011]]&gt;300000,"MAGGIORE","")</f>
        <v/>
      </c>
      <c r="J4670">
        <v>339</v>
      </c>
      <c r="K4670">
        <v>190</v>
      </c>
      <c r="L4670">
        <v>129</v>
      </c>
    </row>
    <row r="4671" spans="1:12" x14ac:dyDescent="0.2">
      <c r="A4671"/>
      <c r="B4671"/>
      <c r="C4671"/>
      <c r="D4671"/>
      <c r="E4671" s="2">
        <f>Comuni__2[[#This Row],[Popolazione2011]]/$D$7911</f>
        <v>4.7388996702409063E-5</v>
      </c>
      <c r="F4671">
        <f>SUMIFS($D$2:$D$7909, $B$2:$B$7909, "Piemonte")</f>
        <v>4363916</v>
      </c>
      <c r="G4671" s="1">
        <f>Comuni__2[[#This Row],[Popolazione2011]]/Comuni__2[[#This Row],[POPOLAZIONE TOTALE DI OGNI REGIONE (CON FILTRO)]]</f>
        <v>6.4529198087222577E-4</v>
      </c>
      <c r="H4671" t="str">
        <f>IF(Comuni__2[[#This Row],[Popolazione2011]]&gt;300000,"MAGGIORE","")</f>
        <v/>
      </c>
      <c r="J4671">
        <v>417</v>
      </c>
      <c r="K4671">
        <v>229</v>
      </c>
      <c r="L4671">
        <v>187</v>
      </c>
    </row>
    <row r="4672" spans="1:12" x14ac:dyDescent="0.2">
      <c r="A4672"/>
      <c r="B4672"/>
      <c r="C4672"/>
      <c r="D4672"/>
      <c r="E4672" s="2">
        <f>Comuni__2[[#This Row],[Popolazione2011]]/$D$7911</f>
        <v>4.7254368870868128E-5</v>
      </c>
      <c r="F4672">
        <f>SUMIFS($D$2:$D$7909, $B$2:$B$7909, "Piemonte")</f>
        <v>4363916</v>
      </c>
      <c r="G4672" s="1">
        <f>Comuni__2[[#This Row],[Popolazione2011]]/Comuni__2[[#This Row],[POPOLAZIONE TOTALE DI OGNI REGIONE (CON FILTRO)]]</f>
        <v>6.4345876501747511E-4</v>
      </c>
      <c r="H4672" t="str">
        <f>IF(Comuni__2[[#This Row],[Popolazione2011]]&gt;300000,"MAGGIORE","")</f>
        <v/>
      </c>
      <c r="J4672">
        <v>351</v>
      </c>
      <c r="K4672">
        <v>211</v>
      </c>
      <c r="L4672">
        <v>139</v>
      </c>
    </row>
    <row r="4673" spans="1:12" x14ac:dyDescent="0.2">
      <c r="A4673"/>
      <c r="B4673"/>
      <c r="C4673"/>
      <c r="D4673"/>
      <c r="E4673" s="2">
        <f>Comuni__2[[#This Row],[Popolazione2011]]/$D$7911</f>
        <v>4.6480258839507759E-5</v>
      </c>
      <c r="F4673">
        <f>SUMIFS($D$2:$D$7909, $B$2:$B$7909, "Piemonte")</f>
        <v>4363916</v>
      </c>
      <c r="G4673" s="1">
        <f>Comuni__2[[#This Row],[Popolazione2011]]/Comuni__2[[#This Row],[POPOLAZIONE TOTALE DI OGNI REGIONE (CON FILTRO)]]</f>
        <v>6.3291777385265891E-4</v>
      </c>
      <c r="H4673" t="str">
        <f>IF(Comuni__2[[#This Row],[Popolazione2011]]&gt;300000,"MAGGIORE","")</f>
        <v/>
      </c>
      <c r="J4673">
        <v>423</v>
      </c>
      <c r="K4673">
        <v>246</v>
      </c>
      <c r="L4673">
        <v>204</v>
      </c>
    </row>
    <row r="4674" spans="1:12" x14ac:dyDescent="0.2">
      <c r="A4674"/>
      <c r="B4674"/>
      <c r="C4674"/>
      <c r="D4674"/>
      <c r="E4674" s="2">
        <f>Comuni__2[[#This Row],[Popolazione2011]]/$D$7911</f>
        <v>4.6278317092196352E-5</v>
      </c>
      <c r="F4674">
        <f>SUMIFS($D$2:$D$7909, $B$2:$B$7909, "Piemonte")</f>
        <v>4363916</v>
      </c>
      <c r="G4674" s="1">
        <f>Comuni__2[[#This Row],[Popolazione2011]]/Comuni__2[[#This Row],[POPOLAZIONE TOTALE DI OGNI REGIONE (CON FILTRO)]]</f>
        <v>6.3016795007053293E-4</v>
      </c>
      <c r="H4674" t="str">
        <f>IF(Comuni__2[[#This Row],[Popolazione2011]]&gt;300000,"MAGGIORE","")</f>
        <v/>
      </c>
      <c r="J4674">
        <v>352</v>
      </c>
      <c r="K4674">
        <v>245</v>
      </c>
      <c r="L4674">
        <v>146</v>
      </c>
    </row>
    <row r="4675" spans="1:12" x14ac:dyDescent="0.2">
      <c r="A4675"/>
      <c r="B4675"/>
      <c r="C4675"/>
      <c r="D4675"/>
      <c r="E4675" s="2">
        <f>Comuni__2[[#This Row],[Popolazione2011]]/$D$7911</f>
        <v>4.6244660134311119E-5</v>
      </c>
      <c r="F4675">
        <f>SUMIFS($D$2:$D$7909, $B$2:$B$7909, "Piemonte")</f>
        <v>4363916</v>
      </c>
      <c r="G4675" s="1">
        <f>Comuni__2[[#This Row],[Popolazione2011]]/Comuni__2[[#This Row],[POPOLAZIONE TOTALE DI OGNI REGIONE (CON FILTRO)]]</f>
        <v>6.2970964610684532E-4</v>
      </c>
      <c r="H4675" t="str">
        <f>IF(Comuni__2[[#This Row],[Popolazione2011]]&gt;300000,"MAGGIORE","")</f>
        <v/>
      </c>
      <c r="J4675">
        <v>434</v>
      </c>
      <c r="K4675">
        <v>257</v>
      </c>
      <c r="L4675">
        <v>210</v>
      </c>
    </row>
    <row r="4676" spans="1:12" x14ac:dyDescent="0.2">
      <c r="A4676"/>
      <c r="B4676"/>
      <c r="C4676"/>
      <c r="D4676"/>
      <c r="E4676" s="2">
        <f>Comuni__2[[#This Row],[Popolazione2011]]/$D$7911</f>
        <v>4.5958575992286632E-5</v>
      </c>
      <c r="F4676">
        <f>SUMIFS($D$2:$D$7909, $B$2:$B$7909, "Piemonte")</f>
        <v>4363916</v>
      </c>
      <c r="G4676" s="1">
        <f>Comuni__2[[#This Row],[Popolazione2011]]/Comuni__2[[#This Row],[POPOLAZIONE TOTALE DI OGNI REGIONE (CON FILTRO)]]</f>
        <v>6.2581406241550021E-4</v>
      </c>
      <c r="H4676" t="str">
        <f>IF(Comuni__2[[#This Row],[Popolazione2011]]&gt;300000,"MAGGIORE","")</f>
        <v/>
      </c>
      <c r="J4676">
        <v>292</v>
      </c>
      <c r="K4676">
        <v>260</v>
      </c>
      <c r="L4676">
        <v>158</v>
      </c>
    </row>
    <row r="4677" spans="1:12" x14ac:dyDescent="0.2">
      <c r="A4677"/>
      <c r="B4677"/>
      <c r="C4677"/>
      <c r="D4677"/>
      <c r="E4677" s="2">
        <f>Comuni__2[[#This Row],[Popolazione2011]]/$D$7911</f>
        <v>4.5790291202860464E-5</v>
      </c>
      <c r="F4677">
        <f>SUMIFS($D$2:$D$7909, $B$2:$B$7909, "Piemonte")</f>
        <v>4363916</v>
      </c>
      <c r="G4677" s="1">
        <f>Comuni__2[[#This Row],[Popolazione2011]]/Comuni__2[[#This Row],[POPOLAZIONE TOTALE DI OGNI REGIONE (CON FILTRO)]]</f>
        <v>6.2352254259706195E-4</v>
      </c>
      <c r="H4677" t="str">
        <f>IF(Comuni__2[[#This Row],[Popolazione2011]]&gt;300000,"MAGGIORE","")</f>
        <v/>
      </c>
      <c r="J4677">
        <v>432</v>
      </c>
      <c r="K4677">
        <v>273</v>
      </c>
      <c r="L4677">
        <v>217</v>
      </c>
    </row>
    <row r="4678" spans="1:12" x14ac:dyDescent="0.2">
      <c r="A4678"/>
      <c r="B4678"/>
      <c r="C4678"/>
      <c r="D4678"/>
      <c r="E4678" s="2">
        <f>Comuni__2[[#This Row],[Popolazione2011]]/$D$7911</f>
        <v>4.5739805766032615E-5</v>
      </c>
      <c r="F4678">
        <f>SUMIFS($D$2:$D$7909, $B$2:$B$7909, "Piemonte")</f>
        <v>4363916</v>
      </c>
      <c r="G4678" s="1">
        <f>Comuni__2[[#This Row],[Popolazione2011]]/Comuni__2[[#This Row],[POPOLAZIONE TOTALE DI OGNI REGIONE (CON FILTRO)]]</f>
        <v>6.2283508665153043E-4</v>
      </c>
      <c r="H4678" t="str">
        <f>IF(Comuni__2[[#This Row],[Popolazione2011]]&gt;300000,"MAGGIORE","")</f>
        <v/>
      </c>
      <c r="J4678">
        <v>297</v>
      </c>
      <c r="K4678">
        <v>298</v>
      </c>
      <c r="L4678">
        <v>164</v>
      </c>
    </row>
    <row r="4679" spans="1:12" x14ac:dyDescent="0.2">
      <c r="A4679"/>
      <c r="B4679"/>
      <c r="C4679"/>
      <c r="D4679"/>
      <c r="E4679" s="2">
        <f>Comuni__2[[#This Row],[Popolazione2011]]/$D$7911</f>
        <v>4.5655663371319528E-5</v>
      </c>
      <c r="F4679">
        <f>SUMIFS($D$2:$D$7909, $B$2:$B$7909, "Piemonte")</f>
        <v>4363916</v>
      </c>
      <c r="G4679" s="1">
        <f>Comuni__2[[#This Row],[Popolazione2011]]/Comuni__2[[#This Row],[POPOLAZIONE TOTALE DI OGNI REGIONE (CON FILTRO)]]</f>
        <v>6.216893267423113E-4</v>
      </c>
      <c r="H4679" t="str">
        <f>IF(Comuni__2[[#This Row],[Popolazione2011]]&gt;300000,"MAGGIORE","")</f>
        <v/>
      </c>
      <c r="J4679">
        <v>433</v>
      </c>
      <c r="K4679">
        <v>280</v>
      </c>
      <c r="L4679">
        <v>230</v>
      </c>
    </row>
    <row r="4680" spans="1:12" x14ac:dyDescent="0.2">
      <c r="A4680"/>
      <c r="B4680"/>
      <c r="C4680"/>
      <c r="D4680"/>
      <c r="E4680" s="2">
        <f>Comuni__2[[#This Row],[Popolazione2011]]/$D$7911</f>
        <v>4.5521035539778592E-5</v>
      </c>
      <c r="F4680">
        <f>SUMIFS($D$2:$D$7909, $B$2:$B$7909, "Piemonte")</f>
        <v>4363916</v>
      </c>
      <c r="G4680" s="1">
        <f>Comuni__2[[#This Row],[Popolazione2011]]/Comuni__2[[#This Row],[POPOLAZIONE TOTALE DI OGNI REGIONE (CON FILTRO)]]</f>
        <v>6.1985611088756064E-4</v>
      </c>
      <c r="H4680" t="str">
        <f>IF(Comuni__2[[#This Row],[Popolazione2011]]&gt;300000,"MAGGIORE","")</f>
        <v/>
      </c>
      <c r="J4680">
        <v>389</v>
      </c>
      <c r="K4680">
        <v>336</v>
      </c>
      <c r="L4680">
        <v>174</v>
      </c>
    </row>
    <row r="4681" spans="1:12" x14ac:dyDescent="0.2">
      <c r="A4681"/>
      <c r="B4681"/>
      <c r="C4681"/>
      <c r="D4681"/>
      <c r="E4681" s="2">
        <f>Comuni__2[[#This Row],[Popolazione2011]]/$D$7911</f>
        <v>4.4982524213614856E-5</v>
      </c>
      <c r="F4681">
        <f>SUMIFS($D$2:$D$7909, $B$2:$B$7909, "Piemonte")</f>
        <v>4363916</v>
      </c>
      <c r="G4681" s="1">
        <f>Comuni__2[[#This Row],[Popolazione2011]]/Comuni__2[[#This Row],[POPOLAZIONE TOTALE DI OGNI REGIONE (CON FILTRO)]]</f>
        <v>6.1252324746855803E-4</v>
      </c>
      <c r="H4681" t="str">
        <f>IF(Comuni__2[[#This Row],[Popolazione2011]]&gt;300000,"MAGGIORE","")</f>
        <v/>
      </c>
      <c r="J4681">
        <v>438</v>
      </c>
      <c r="K4681">
        <v>342</v>
      </c>
      <c r="L4681">
        <v>244</v>
      </c>
    </row>
    <row r="4682" spans="1:12" x14ac:dyDescent="0.2">
      <c r="A4682"/>
      <c r="B4682"/>
      <c r="C4682"/>
      <c r="D4682"/>
      <c r="E4682" s="2">
        <f>Comuni__2[[#This Row],[Popolazione2011]]/$D$7911</f>
        <v>4.4864724861016536E-5</v>
      </c>
      <c r="F4682">
        <f>SUMIFS($D$2:$D$7909, $B$2:$B$7909, "Piemonte")</f>
        <v>4363916</v>
      </c>
      <c r="G4682" s="1">
        <f>Comuni__2[[#This Row],[Popolazione2011]]/Comuni__2[[#This Row],[POPOLAZIONE TOTALE DI OGNI REGIONE (CON FILTRO)]]</f>
        <v>6.1091918359565129E-4</v>
      </c>
      <c r="H4682" t="str">
        <f>IF(Comuni__2[[#This Row],[Popolazione2011]]&gt;300000,"MAGGIORE","")</f>
        <v/>
      </c>
      <c r="J4682">
        <v>333</v>
      </c>
      <c r="K4682">
        <v>371</v>
      </c>
      <c r="L4682">
        <v>183</v>
      </c>
    </row>
    <row r="4683" spans="1:12" x14ac:dyDescent="0.2">
      <c r="A4683"/>
      <c r="B4683"/>
      <c r="C4683"/>
      <c r="D4683"/>
      <c r="E4683" s="2">
        <f>Comuni__2[[#This Row],[Popolazione2011]]/$D$7911</f>
        <v>4.4511326803221584E-5</v>
      </c>
      <c r="F4683">
        <f>SUMIFS($D$2:$D$7909, $B$2:$B$7909, "Piemonte")</f>
        <v>4363916</v>
      </c>
      <c r="G4683" s="1">
        <f>Comuni__2[[#This Row],[Popolazione2011]]/Comuni__2[[#This Row],[POPOLAZIONE TOTALE DI OGNI REGIONE (CON FILTRO)]]</f>
        <v>6.0610699197693086E-4</v>
      </c>
      <c r="H4683" t="str">
        <f>IF(Comuni__2[[#This Row],[Popolazione2011]]&gt;300000,"MAGGIORE","")</f>
        <v/>
      </c>
      <c r="J4683">
        <v>431</v>
      </c>
      <c r="K4683">
        <v>407</v>
      </c>
      <c r="L4683">
        <v>255</v>
      </c>
    </row>
    <row r="4684" spans="1:12" x14ac:dyDescent="0.2">
      <c r="A4684"/>
      <c r="B4684"/>
      <c r="C4684"/>
      <c r="D4684"/>
      <c r="E4684" s="2">
        <f>Comuni__2[[#This Row],[Popolazione2011]]/$D$7911</f>
        <v>4.4494498324278968E-5</v>
      </c>
      <c r="F4684">
        <f>SUMIFS($D$2:$D$7909, $B$2:$B$7909, "Piemonte")</f>
        <v>4363916</v>
      </c>
      <c r="G4684" s="1">
        <f>Comuni__2[[#This Row],[Popolazione2011]]/Comuni__2[[#This Row],[POPOLAZIONE TOTALE DI OGNI REGIONE (CON FILTRO)]]</f>
        <v>6.0587783999508694E-4</v>
      </c>
      <c r="H4684" t="str">
        <f>IF(Comuni__2[[#This Row],[Popolazione2011]]&gt;300000,"MAGGIORE","")</f>
        <v/>
      </c>
      <c r="J4684">
        <v>327</v>
      </c>
      <c r="K4684">
        <v>401</v>
      </c>
      <c r="L4684">
        <v>187</v>
      </c>
    </row>
    <row r="4685" spans="1:12" x14ac:dyDescent="0.2">
      <c r="A4685"/>
      <c r="B4685"/>
      <c r="C4685"/>
      <c r="D4685"/>
      <c r="E4685" s="2">
        <f>Comuni__2[[#This Row],[Popolazione2011]]/$D$7911</f>
        <v>4.4494498324278968E-5</v>
      </c>
      <c r="F4685">
        <f>SUMIFS($D$2:$D$7909, $B$2:$B$7909, "Piemonte")</f>
        <v>4363916</v>
      </c>
      <c r="G4685" s="1">
        <f>Comuni__2[[#This Row],[Popolazione2011]]/Comuni__2[[#This Row],[POPOLAZIONE TOTALE DI OGNI REGIONE (CON FILTRO)]]</f>
        <v>6.0587783999508694E-4</v>
      </c>
      <c r="H4685" t="str">
        <f>IF(Comuni__2[[#This Row],[Popolazione2011]]&gt;300000,"MAGGIORE","")</f>
        <v/>
      </c>
      <c r="J4685">
        <v>414</v>
      </c>
      <c r="K4685">
        <v>462</v>
      </c>
      <c r="L4685">
        <v>268</v>
      </c>
    </row>
    <row r="4686" spans="1:12" x14ac:dyDescent="0.2">
      <c r="A4686"/>
      <c r="B4686"/>
      <c r="C4686"/>
      <c r="D4686"/>
      <c r="E4686" s="2">
        <f>Comuni__2[[#This Row],[Popolazione2011]]/$D$7911</f>
        <v>4.4477669845336352E-5</v>
      </c>
      <c r="F4686">
        <f>SUMIFS($D$2:$D$7909, $B$2:$B$7909, "Piemonte")</f>
        <v>4363916</v>
      </c>
      <c r="G4686" s="1">
        <f>Comuni__2[[#This Row],[Popolazione2011]]/Comuni__2[[#This Row],[POPOLAZIONE TOTALE DI OGNI REGIONE (CON FILTRO)]]</f>
        <v>6.0564868801324314E-4</v>
      </c>
      <c r="H4686" t="str">
        <f>IF(Comuni__2[[#This Row],[Popolazione2011]]&gt;300000,"MAGGIORE","")</f>
        <v/>
      </c>
      <c r="J4686">
        <v>316</v>
      </c>
      <c r="K4686">
        <v>447</v>
      </c>
      <c r="L4686">
        <v>191</v>
      </c>
    </row>
    <row r="4687" spans="1:12" x14ac:dyDescent="0.2">
      <c r="A4687"/>
      <c r="B4687"/>
      <c r="C4687"/>
      <c r="D4687"/>
      <c r="E4687" s="2">
        <f>Comuni__2[[#This Row],[Popolazione2011]]/$D$7911</f>
        <v>4.441035592956588E-5</v>
      </c>
      <c r="F4687">
        <f>SUMIFS($D$2:$D$7909, $B$2:$B$7909, "Piemonte")</f>
        <v>4363916</v>
      </c>
      <c r="G4687" s="1">
        <f>Comuni__2[[#This Row],[Popolazione2011]]/Comuni__2[[#This Row],[POPOLAZIONE TOTALE DI OGNI REGIONE (CON FILTRO)]]</f>
        <v>6.0473208008586781E-4</v>
      </c>
      <c r="H4687" t="str">
        <f>IF(Comuni__2[[#This Row],[Popolazione2011]]&gt;300000,"MAGGIORE","")</f>
        <v/>
      </c>
      <c r="J4687">
        <v>405</v>
      </c>
      <c r="K4687">
        <v>547</v>
      </c>
      <c r="L4687">
        <v>275</v>
      </c>
    </row>
    <row r="4688" spans="1:12" x14ac:dyDescent="0.2">
      <c r="A4688"/>
      <c r="B4688"/>
      <c r="C4688"/>
      <c r="D4688"/>
      <c r="E4688" s="2">
        <f>Comuni__2[[#This Row],[Popolazione2011]]/$D$7911</f>
        <v>4.3821359166574296E-5</v>
      </c>
      <c r="F4688">
        <f>SUMIFS($D$2:$D$7909, $B$2:$B$7909, "Piemonte")</f>
        <v>4363916</v>
      </c>
      <c r="G4688" s="1">
        <f>Comuni__2[[#This Row],[Popolazione2011]]/Comuni__2[[#This Row],[POPOLAZIONE TOTALE DI OGNI REGIONE (CON FILTRO)]]</f>
        <v>5.9671176072133379E-4</v>
      </c>
      <c r="H4688" t="str">
        <f>IF(Comuni__2[[#This Row],[Popolazione2011]]&gt;300000,"MAGGIORE","")</f>
        <v/>
      </c>
      <c r="J4688">
        <v>302</v>
      </c>
      <c r="K4688">
        <v>488</v>
      </c>
      <c r="L4688">
        <v>200</v>
      </c>
    </row>
    <row r="4689" spans="1:12" x14ac:dyDescent="0.2">
      <c r="A4689"/>
      <c r="B4689"/>
      <c r="C4689"/>
      <c r="D4689"/>
      <c r="E4689" s="2">
        <f>Comuni__2[[#This Row],[Popolazione2011]]/$D$7911</f>
        <v>4.368673133503336E-5</v>
      </c>
      <c r="F4689">
        <f>SUMIFS($D$2:$D$7909, $B$2:$B$7909, "Piemonte")</f>
        <v>4363916</v>
      </c>
      <c r="G4689" s="1">
        <f>Comuni__2[[#This Row],[Popolazione2011]]/Comuni__2[[#This Row],[POPOLAZIONE TOTALE DI OGNI REGIONE (CON FILTRO)]]</f>
        <v>5.9487854486658313E-4</v>
      </c>
      <c r="H4689" t="str">
        <f>IF(Comuni__2[[#This Row],[Popolazione2011]]&gt;300000,"MAGGIORE","")</f>
        <v/>
      </c>
      <c r="J4689">
        <v>397</v>
      </c>
      <c r="K4689">
        <v>622</v>
      </c>
      <c r="L4689">
        <v>284</v>
      </c>
    </row>
    <row r="4690" spans="1:12" x14ac:dyDescent="0.2">
      <c r="A4690"/>
      <c r="B4690"/>
      <c r="C4690"/>
      <c r="D4690"/>
      <c r="E4690" s="2">
        <f>Comuni__2[[#This Row],[Popolazione2011]]/$D$7911</f>
        <v>4.3552103503492424E-5</v>
      </c>
      <c r="F4690">
        <f>SUMIFS($D$2:$D$7909, $B$2:$B$7909, "Piemonte")</f>
        <v>4363916</v>
      </c>
      <c r="G4690" s="1">
        <f>Comuni__2[[#This Row],[Popolazione2011]]/Comuni__2[[#This Row],[POPOLAZIONE TOTALE DI OGNI REGIONE (CON FILTRO)]]</f>
        <v>5.9304532901183248E-4</v>
      </c>
      <c r="H4690" t="str">
        <f>IF(Comuni__2[[#This Row],[Popolazione2011]]&gt;300000,"MAGGIORE","")</f>
        <v/>
      </c>
      <c r="J4690">
        <v>228</v>
      </c>
      <c r="K4690">
        <v>378</v>
      </c>
      <c r="L4690">
        <v>205</v>
      </c>
    </row>
    <row r="4691" spans="1:12" x14ac:dyDescent="0.2">
      <c r="A4691"/>
      <c r="B4691"/>
      <c r="C4691"/>
      <c r="D4691"/>
      <c r="E4691" s="2">
        <f>Comuni__2[[#This Row],[Popolazione2011]]/$D$7911</f>
        <v>4.3501618066664569E-5</v>
      </c>
      <c r="F4691">
        <f>SUMIFS($D$2:$D$7909, $B$2:$B$7909, "Piemonte")</f>
        <v>4363916</v>
      </c>
      <c r="G4691" s="1">
        <f>Comuni__2[[#This Row],[Popolazione2011]]/Comuni__2[[#This Row],[POPOLAZIONE TOTALE DI OGNI REGIONE (CON FILTRO)]]</f>
        <v>5.9235787306630096E-4</v>
      </c>
      <c r="H4691" t="str">
        <f>IF(Comuni__2[[#This Row],[Popolazione2011]]&gt;300000,"MAGGIORE","")</f>
        <v/>
      </c>
      <c r="J4691">
        <v>383</v>
      </c>
      <c r="K4691">
        <v>678</v>
      </c>
      <c r="L4691">
        <v>293</v>
      </c>
    </row>
    <row r="4692" spans="1:12" x14ac:dyDescent="0.2">
      <c r="A4692"/>
      <c r="B4692"/>
      <c r="C4692"/>
      <c r="D4692"/>
      <c r="E4692" s="2">
        <f>Comuni__2[[#This Row],[Popolazione2011]]/$D$7911</f>
        <v>4.3383818714066256E-5</v>
      </c>
      <c r="F4692">
        <f>SUMIFS($D$2:$D$7909, $B$2:$B$7909, "Piemonte")</f>
        <v>4363916</v>
      </c>
      <c r="G4692" s="1">
        <f>Comuni__2[[#This Row],[Popolazione2011]]/Comuni__2[[#This Row],[POPOLAZIONE TOTALE DI OGNI REGIONE (CON FILTRO)]]</f>
        <v>5.9075380919339422E-4</v>
      </c>
      <c r="H4692" t="str">
        <f>IF(Comuni__2[[#This Row],[Popolazione2011]]&gt;300000,"MAGGIORE","")</f>
        <v/>
      </c>
      <c r="J4692">
        <v>231</v>
      </c>
      <c r="K4692">
        <v>400</v>
      </c>
      <c r="L4692">
        <v>212</v>
      </c>
    </row>
    <row r="4693" spans="1:12" x14ac:dyDescent="0.2">
      <c r="A4693"/>
      <c r="B4693"/>
      <c r="C4693"/>
      <c r="D4693"/>
      <c r="E4693" s="2">
        <f>Comuni__2[[#This Row],[Popolazione2011]]/$D$7911</f>
        <v>4.3013592177328681E-5</v>
      </c>
      <c r="F4693">
        <f>SUMIFS($D$2:$D$7909, $B$2:$B$7909, "Piemonte")</f>
        <v>4363916</v>
      </c>
      <c r="G4693" s="1">
        <f>Comuni__2[[#This Row],[Popolazione2011]]/Comuni__2[[#This Row],[POPOLAZIONE TOTALE DI OGNI REGIONE (CON FILTRO)]]</f>
        <v>5.8571246559282998E-4</v>
      </c>
      <c r="H4693" t="str">
        <f>IF(Comuni__2[[#This Row],[Popolazione2011]]&gt;300000,"MAGGIORE","")</f>
        <v/>
      </c>
      <c r="J4693">
        <v>382</v>
      </c>
      <c r="K4693">
        <v>746</v>
      </c>
      <c r="L4693">
        <v>300</v>
      </c>
    </row>
    <row r="4694" spans="1:12" x14ac:dyDescent="0.2">
      <c r="A4694"/>
      <c r="B4694"/>
      <c r="C4694"/>
      <c r="D4694"/>
      <c r="E4694" s="2">
        <f>Comuni__2[[#This Row],[Popolazione2011]]/$D$7911</f>
        <v>4.2946278261558216E-5</v>
      </c>
      <c r="F4694">
        <f>SUMIFS($D$2:$D$7909, $B$2:$B$7909, "Piemonte")</f>
        <v>4363916</v>
      </c>
      <c r="G4694" s="1">
        <f>Comuni__2[[#This Row],[Popolazione2011]]/Comuni__2[[#This Row],[POPOLAZIONE TOTALE DI OGNI REGIONE (CON FILTRO)]]</f>
        <v>5.8479585766545465E-4</v>
      </c>
      <c r="H4694" t="str">
        <f>IF(Comuni__2[[#This Row],[Popolazione2011]]&gt;300000,"MAGGIORE","")</f>
        <v/>
      </c>
      <c r="J4694">
        <v>216</v>
      </c>
      <c r="K4694">
        <v>406</v>
      </c>
      <c r="L4694">
        <v>214</v>
      </c>
    </row>
    <row r="4695" spans="1:12" x14ac:dyDescent="0.2">
      <c r="A4695"/>
      <c r="B4695"/>
      <c r="C4695"/>
      <c r="D4695"/>
      <c r="E4695" s="2">
        <f>Comuni__2[[#This Row],[Popolazione2011]]/$D$7911</f>
        <v>4.260970868270588E-5</v>
      </c>
      <c r="F4695">
        <f>SUMIFS($D$2:$D$7909, $B$2:$B$7909, "Piemonte")</f>
        <v>4363916</v>
      </c>
      <c r="G4695" s="1">
        <f>Comuni__2[[#This Row],[Popolazione2011]]/Comuni__2[[#This Row],[POPOLAZIONE TOTALE DI OGNI REGIONE (CON FILTRO)]]</f>
        <v>5.8021281802857802E-4</v>
      </c>
      <c r="H4695" t="str">
        <f>IF(Comuni__2[[#This Row],[Popolazione2011]]&gt;300000,"MAGGIORE","")</f>
        <v/>
      </c>
      <c r="J4695">
        <v>379</v>
      </c>
      <c r="K4695">
        <v>749</v>
      </c>
      <c r="L4695">
        <v>310</v>
      </c>
    </row>
    <row r="4696" spans="1:12" x14ac:dyDescent="0.2">
      <c r="A4696"/>
      <c r="B4696"/>
      <c r="C4696"/>
      <c r="D4696"/>
      <c r="E4696" s="2">
        <f>Comuni__2[[#This Row],[Popolazione2011]]/$D$7911</f>
        <v>4.2592880203763264E-5</v>
      </c>
      <c r="F4696">
        <f>SUMIFS($D$2:$D$7909, $B$2:$B$7909, "Piemonte")</f>
        <v>4363916</v>
      </c>
      <c r="G4696" s="1">
        <f>Comuni__2[[#This Row],[Popolazione2011]]/Comuni__2[[#This Row],[POPOLAZIONE TOTALE DI OGNI REGIONE (CON FILTRO)]]</f>
        <v>5.7998366604673421E-4</v>
      </c>
      <c r="H4696" t="str">
        <f>IF(Comuni__2[[#This Row],[Popolazione2011]]&gt;300000,"MAGGIORE","")</f>
        <v/>
      </c>
      <c r="J4696">
        <v>198</v>
      </c>
      <c r="K4696">
        <v>425</v>
      </c>
      <c r="L4696">
        <v>223</v>
      </c>
    </row>
    <row r="4697" spans="1:12" x14ac:dyDescent="0.2">
      <c r="A4697"/>
      <c r="B4697"/>
      <c r="C4697"/>
      <c r="D4697"/>
      <c r="E4697" s="2">
        <f>Comuni__2[[#This Row],[Popolazione2011]]/$D$7911</f>
        <v>4.2576051724820648E-5</v>
      </c>
      <c r="F4697">
        <f>SUMIFS($D$2:$D$7909, $B$2:$B$7909, "Piemonte")</f>
        <v>4363916</v>
      </c>
      <c r="G4697" s="1">
        <f>Comuni__2[[#This Row],[Popolazione2011]]/Comuni__2[[#This Row],[POPOLAZIONE TOTALE DI OGNI REGIONE (CON FILTRO)]]</f>
        <v>5.797545140648903E-4</v>
      </c>
      <c r="H4697" t="str">
        <f>IF(Comuni__2[[#This Row],[Popolazione2011]]&gt;300000,"MAGGIORE","")</f>
        <v/>
      </c>
      <c r="J4697">
        <v>360</v>
      </c>
      <c r="K4697">
        <v>798</v>
      </c>
      <c r="L4697">
        <v>318</v>
      </c>
    </row>
    <row r="4698" spans="1:12" x14ac:dyDescent="0.2">
      <c r="A4698"/>
      <c r="B4698"/>
      <c r="C4698"/>
      <c r="D4698"/>
      <c r="E4698" s="2">
        <f>Comuni__2[[#This Row],[Popolazione2011]]/$D$7911</f>
        <v>4.2525566287992793E-5</v>
      </c>
      <c r="F4698">
        <f>SUMIFS($D$2:$D$7909, $B$2:$B$7909, "Piemonte")</f>
        <v>4363916</v>
      </c>
      <c r="G4698" s="1">
        <f>Comuni__2[[#This Row],[Popolazione2011]]/Comuni__2[[#This Row],[POPOLAZIONE TOTALE DI OGNI REGIONE (CON FILTRO)]]</f>
        <v>5.7906705811935888E-4</v>
      </c>
      <c r="H4698" t="str">
        <f>IF(Comuni__2[[#This Row],[Popolazione2011]]&gt;300000,"MAGGIORE","")</f>
        <v/>
      </c>
      <c r="J4698">
        <v>214</v>
      </c>
      <c r="K4698">
        <v>449</v>
      </c>
      <c r="L4698">
        <v>225</v>
      </c>
    </row>
    <row r="4699" spans="1:12" x14ac:dyDescent="0.2">
      <c r="A4699"/>
      <c r="B4699"/>
      <c r="C4699"/>
      <c r="D4699"/>
      <c r="E4699" s="2">
        <f>Comuni__2[[#This Row],[Popolazione2011]]/$D$7911</f>
        <v>4.2390938456451857E-5</v>
      </c>
      <c r="F4699">
        <f>SUMIFS($D$2:$D$7909, $B$2:$B$7909, "Piemonte")</f>
        <v>4363916</v>
      </c>
      <c r="G4699" s="1">
        <f>Comuni__2[[#This Row],[Popolazione2011]]/Comuni__2[[#This Row],[POPOLAZIONE TOTALE DI OGNI REGIONE (CON FILTRO)]]</f>
        <v>5.7723384226460823E-4</v>
      </c>
      <c r="H4699" t="str">
        <f>IF(Comuni__2[[#This Row],[Popolazione2011]]&gt;300000,"MAGGIORE","")</f>
        <v/>
      </c>
      <c r="J4699">
        <v>339</v>
      </c>
      <c r="K4699">
        <v>885</v>
      </c>
      <c r="L4699">
        <v>322</v>
      </c>
    </row>
    <row r="4700" spans="1:12" x14ac:dyDescent="0.2">
      <c r="A4700"/>
      <c r="B4700"/>
      <c r="C4700"/>
      <c r="D4700"/>
      <c r="E4700" s="2">
        <f>Comuni__2[[#This Row],[Popolazione2011]]/$D$7911</f>
        <v>4.1852427130288121E-5</v>
      </c>
      <c r="F4700">
        <f>SUMIFS($D$2:$D$7909, $B$2:$B$7909, "Piemonte")</f>
        <v>4363916</v>
      </c>
      <c r="G4700" s="1">
        <f>Comuni__2[[#This Row],[Popolazione2011]]/Comuni__2[[#This Row],[POPOLAZIONE TOTALE DI OGNI REGIONE (CON FILTRO)]]</f>
        <v>5.6990097884560562E-4</v>
      </c>
      <c r="H4700" t="str">
        <f>IF(Comuni__2[[#This Row],[Popolazione2011]]&gt;300000,"MAGGIORE","")</f>
        <v/>
      </c>
      <c r="J4700">
        <v>213</v>
      </c>
      <c r="K4700">
        <v>480</v>
      </c>
      <c r="L4700">
        <v>234</v>
      </c>
    </row>
    <row r="4701" spans="1:12" x14ac:dyDescent="0.2">
      <c r="A4701"/>
      <c r="B4701"/>
      <c r="C4701"/>
      <c r="D4701"/>
      <c r="E4701" s="2">
        <f>Comuni__2[[#This Row],[Popolazione2011]]/$D$7911</f>
        <v>4.1482200593550553E-5</v>
      </c>
      <c r="F4701">
        <f>SUMIFS($D$2:$D$7909, $B$2:$B$7909, "Piemonte")</f>
        <v>4363916</v>
      </c>
      <c r="G4701" s="1">
        <f>Comuni__2[[#This Row],[Popolazione2011]]/Comuni__2[[#This Row],[POPOLAZIONE TOTALE DI OGNI REGIONE (CON FILTRO)]]</f>
        <v>5.6485963524504138E-4</v>
      </c>
      <c r="H4701" t="str">
        <f>IF(Comuni__2[[#This Row],[Popolazione2011]]&gt;300000,"MAGGIORE","")</f>
        <v/>
      </c>
      <c r="J4701">
        <v>330</v>
      </c>
      <c r="K4701">
        <v>1044</v>
      </c>
      <c r="L4701">
        <v>342</v>
      </c>
    </row>
    <row r="4702" spans="1:12" x14ac:dyDescent="0.2">
      <c r="A4702"/>
      <c r="B4702"/>
      <c r="C4702"/>
      <c r="D4702"/>
      <c r="E4702" s="2">
        <f>Comuni__2[[#This Row],[Popolazione2011]]/$D$7911</f>
        <v>4.0809061435845874E-5</v>
      </c>
      <c r="F4702">
        <f>SUMIFS($D$2:$D$7909, $B$2:$B$7909, "Piemonte")</f>
        <v>4363916</v>
      </c>
      <c r="G4702" s="1">
        <f>Comuni__2[[#This Row],[Popolazione2011]]/Comuni__2[[#This Row],[POPOLAZIONE TOTALE DI OGNI REGIONE (CON FILTRO)]]</f>
        <v>5.5569355597128822E-4</v>
      </c>
      <c r="H4702" t="str">
        <f>IF(Comuni__2[[#This Row],[Popolazione2011]]&gt;300000,"MAGGIORE","")</f>
        <v/>
      </c>
      <c r="J4702">
        <v>207</v>
      </c>
      <c r="K4702">
        <v>530</v>
      </c>
      <c r="L4702">
        <v>239</v>
      </c>
    </row>
    <row r="4703" spans="1:12" x14ac:dyDescent="0.2">
      <c r="A4703"/>
      <c r="B4703"/>
      <c r="C4703"/>
      <c r="D4703"/>
      <c r="E4703" s="2">
        <f>Comuni__2[[#This Row],[Popolazione2011]]/$D$7911</f>
        <v>4.0792232956903258E-5</v>
      </c>
      <c r="F4703">
        <f>SUMIFS($D$2:$D$7909, $B$2:$B$7909, "Piemonte")</f>
        <v>4363916</v>
      </c>
      <c r="G4703" s="1">
        <f>Comuni__2[[#This Row],[Popolazione2011]]/Comuni__2[[#This Row],[POPOLAZIONE TOTALE DI OGNI REGIONE (CON FILTRO)]]</f>
        <v>5.5546440398944431E-4</v>
      </c>
      <c r="H4703" t="str">
        <f>IF(Comuni__2[[#This Row],[Popolazione2011]]&gt;300000,"MAGGIORE","")</f>
        <v/>
      </c>
      <c r="J4703">
        <v>318</v>
      </c>
      <c r="K4703">
        <v>1098</v>
      </c>
      <c r="L4703">
        <v>348</v>
      </c>
    </row>
    <row r="4704" spans="1:12" x14ac:dyDescent="0.2">
      <c r="A4704"/>
      <c r="B4704"/>
      <c r="C4704"/>
      <c r="D4704"/>
      <c r="E4704" s="2">
        <f>Comuni__2[[#This Row],[Popolazione2011]]/$D$7911</f>
        <v>4.0741747520075409E-5</v>
      </c>
      <c r="F4704">
        <f>SUMIFS($D$2:$D$7909, $B$2:$B$7909, "Piemonte")</f>
        <v>4363916</v>
      </c>
      <c r="G4704" s="1">
        <f>Comuni__2[[#This Row],[Popolazione2011]]/Comuni__2[[#This Row],[POPOLAZIONE TOTALE DI OGNI REGIONE (CON FILTRO)]]</f>
        <v>5.5477694804391289E-4</v>
      </c>
      <c r="H4704" t="str">
        <f>IF(Comuni__2[[#This Row],[Popolazione2011]]&gt;300000,"MAGGIORE","")</f>
        <v/>
      </c>
      <c r="J4704">
        <v>185</v>
      </c>
      <c r="K4704">
        <v>569</v>
      </c>
      <c r="L4704">
        <v>245</v>
      </c>
    </row>
    <row r="4705" spans="1:12" x14ac:dyDescent="0.2">
      <c r="A4705"/>
      <c r="B4705"/>
      <c r="C4705"/>
      <c r="D4705"/>
      <c r="E4705" s="2">
        <f>Comuni__2[[#This Row],[Popolazione2011]]/$D$7911</f>
        <v>4.0674433604304938E-5</v>
      </c>
      <c r="F4705">
        <f>SUMIFS($D$2:$D$7909, $B$2:$B$7909, "Piemonte")</f>
        <v>4363916</v>
      </c>
      <c r="G4705" s="1">
        <f>Comuni__2[[#This Row],[Popolazione2011]]/Comuni__2[[#This Row],[POPOLAZIONE TOTALE DI OGNI REGIONE (CON FILTRO)]]</f>
        <v>5.5386034011653757E-4</v>
      </c>
      <c r="H4705" t="str">
        <f>IF(Comuni__2[[#This Row],[Popolazione2011]]&gt;300000,"MAGGIORE","")</f>
        <v/>
      </c>
      <c r="J4705">
        <v>319</v>
      </c>
      <c r="K4705">
        <v>1201</v>
      </c>
      <c r="L4705">
        <v>360</v>
      </c>
    </row>
    <row r="4706" spans="1:12" x14ac:dyDescent="0.2">
      <c r="A4706"/>
      <c r="B4706"/>
      <c r="C4706"/>
      <c r="D4706"/>
      <c r="E4706" s="2">
        <f>Comuni__2[[#This Row],[Popolazione2011]]/$D$7911</f>
        <v>4.0287378588624753E-5</v>
      </c>
      <c r="F4706">
        <f>SUMIFS($D$2:$D$7909, $B$2:$B$7909, "Piemonte")</f>
        <v>4363916</v>
      </c>
      <c r="G4706" s="1">
        <f>Comuni__2[[#This Row],[Popolazione2011]]/Comuni__2[[#This Row],[POPOLAZIONE TOTALE DI OGNI REGIONE (CON FILTRO)]]</f>
        <v>5.4858984453412941E-4</v>
      </c>
      <c r="H4706" t="str">
        <f>IF(Comuni__2[[#This Row],[Popolazione2011]]&gt;300000,"MAGGIORE","")</f>
        <v/>
      </c>
      <c r="J4706">
        <v>179</v>
      </c>
      <c r="K4706">
        <v>605</v>
      </c>
      <c r="L4706">
        <v>249</v>
      </c>
    </row>
    <row r="4707" spans="1:12" x14ac:dyDescent="0.2">
      <c r="A4707"/>
      <c r="B4707"/>
      <c r="C4707"/>
      <c r="D4707"/>
      <c r="E4707" s="2">
        <f>Comuni__2[[#This Row],[Popolazione2011]]/$D$7911</f>
        <v>4.018640771496905E-5</v>
      </c>
      <c r="F4707">
        <f>SUMIFS($D$2:$D$7909, $B$2:$B$7909, "Piemonte")</f>
        <v>4363916</v>
      </c>
      <c r="G4707" s="1">
        <f>Comuni__2[[#This Row],[Popolazione2011]]/Comuni__2[[#This Row],[POPOLAZIONE TOTALE DI OGNI REGIONE (CON FILTRO)]]</f>
        <v>5.4721493264306648E-4</v>
      </c>
      <c r="H4707" t="str">
        <f>IF(Comuni__2[[#This Row],[Popolazione2011]]&gt;300000,"MAGGIORE","")</f>
        <v/>
      </c>
      <c r="J4707">
        <v>312</v>
      </c>
      <c r="K4707">
        <v>1295</v>
      </c>
      <c r="L4707">
        <v>366</v>
      </c>
    </row>
    <row r="4708" spans="1:12" x14ac:dyDescent="0.2">
      <c r="A4708"/>
      <c r="B4708"/>
      <c r="C4708"/>
      <c r="D4708"/>
      <c r="E4708" s="2">
        <f>Comuni__2[[#This Row],[Popolazione2011]]/$D$7911</f>
        <v>4.0051779883428114E-5</v>
      </c>
      <c r="F4708">
        <f>SUMIFS($D$2:$D$7909, $B$2:$B$7909, "Piemonte")</f>
        <v>4363916</v>
      </c>
      <c r="G4708" s="1">
        <f>Comuni__2[[#This Row],[Popolazione2011]]/Comuni__2[[#This Row],[POPOLAZIONE TOTALE DI OGNI REGIONE (CON FILTRO)]]</f>
        <v>5.4538171678831582E-4</v>
      </c>
      <c r="H4708" t="str">
        <f>IF(Comuni__2[[#This Row],[Popolazione2011]]&gt;300000,"MAGGIORE","")</f>
        <v/>
      </c>
      <c r="J4708">
        <v>179</v>
      </c>
      <c r="K4708">
        <v>623</v>
      </c>
      <c r="L4708">
        <v>251</v>
      </c>
    </row>
    <row r="4709" spans="1:12" x14ac:dyDescent="0.2">
      <c r="A4709"/>
      <c r="B4709"/>
      <c r="C4709"/>
      <c r="D4709"/>
      <c r="E4709" s="2">
        <f>Comuni__2[[#This Row],[Popolazione2011]]/$D$7911</f>
        <v>3.942912616255129E-5</v>
      </c>
      <c r="F4709">
        <f>SUMIFS($D$2:$D$7909, $B$2:$B$7909, "Piemonte")</f>
        <v>4363916</v>
      </c>
      <c r="G4709" s="1">
        <f>Comuni__2[[#This Row],[Popolazione2011]]/Comuni__2[[#This Row],[POPOLAZIONE TOTALE DI OGNI REGIONE (CON FILTRO)]]</f>
        <v>5.3690309346009408E-4</v>
      </c>
      <c r="H4709" t="str">
        <f>IF(Comuni__2[[#This Row],[Popolazione2011]]&gt;300000,"MAGGIORE","")</f>
        <v/>
      </c>
      <c r="J4709">
        <v>292</v>
      </c>
      <c r="K4709">
        <v>1329</v>
      </c>
      <c r="L4709">
        <v>376</v>
      </c>
    </row>
    <row r="4710" spans="1:12" x14ac:dyDescent="0.2">
      <c r="A4710"/>
      <c r="B4710"/>
      <c r="C4710"/>
      <c r="D4710"/>
      <c r="E4710" s="2">
        <f>Comuni__2[[#This Row],[Popolazione2011]]/$D$7911</f>
        <v>3.922718441523989E-5</v>
      </c>
      <c r="F4710">
        <f>SUMIFS($D$2:$D$7909, $B$2:$B$7909, "Piemonte")</f>
        <v>4363916</v>
      </c>
      <c r="G4710" s="1">
        <f>Comuni__2[[#This Row],[Popolazione2011]]/Comuni__2[[#This Row],[POPOLAZIONE TOTALE DI OGNI REGIONE (CON FILTRO)]]</f>
        <v>5.341532696779681E-4</v>
      </c>
      <c r="H4710" t="str">
        <f>IF(Comuni__2[[#This Row],[Popolazione2011]]&gt;300000,"MAGGIORE","")</f>
        <v/>
      </c>
      <c r="J4710">
        <v>176</v>
      </c>
      <c r="K4710">
        <v>648</v>
      </c>
      <c r="L4710">
        <v>256</v>
      </c>
    </row>
    <row r="4711" spans="1:12" x14ac:dyDescent="0.2">
      <c r="A4711"/>
      <c r="B4711"/>
      <c r="C4711"/>
      <c r="D4711"/>
      <c r="E4711" s="2">
        <f>Comuni__2[[#This Row],[Popolazione2011]]/$D$7911</f>
        <v>3.9042071146871106E-5</v>
      </c>
      <c r="F4711">
        <f>SUMIFS($D$2:$D$7909, $B$2:$B$7909, "Piemonte")</f>
        <v>4363916</v>
      </c>
      <c r="G4711" s="1">
        <f>Comuni__2[[#This Row],[Popolazione2011]]/Comuni__2[[#This Row],[POPOLAZIONE TOTALE DI OGNI REGIONE (CON FILTRO)]]</f>
        <v>5.3163259787768603E-4</v>
      </c>
      <c r="H4711" t="str">
        <f>IF(Comuni__2[[#This Row],[Popolazione2011]]&gt;300000,"MAGGIORE","")</f>
        <v/>
      </c>
      <c r="J4711">
        <v>279</v>
      </c>
      <c r="K4711">
        <v>1391</v>
      </c>
      <c r="L4711">
        <v>381</v>
      </c>
    </row>
    <row r="4712" spans="1:12" x14ac:dyDescent="0.2">
      <c r="A4712"/>
      <c r="B4712"/>
      <c r="C4712"/>
      <c r="D4712"/>
      <c r="E4712" s="2">
        <f>Comuni__2[[#This Row],[Popolazione2011]]/$D$7911</f>
        <v>3.8856957878502322E-5</v>
      </c>
      <c r="F4712">
        <f>SUMIFS($D$2:$D$7909, $B$2:$B$7909, "Piemonte")</f>
        <v>4363916</v>
      </c>
      <c r="G4712" s="1">
        <f>Comuni__2[[#This Row],[Popolazione2011]]/Comuni__2[[#This Row],[POPOLAZIONE TOTALE DI OGNI REGIONE (CON FILTRO)]]</f>
        <v>5.2911192607740386E-4</v>
      </c>
      <c r="H4712" t="str">
        <f>IF(Comuni__2[[#This Row],[Popolazione2011]]&gt;300000,"MAGGIORE","")</f>
        <v/>
      </c>
      <c r="J4712">
        <v>158</v>
      </c>
      <c r="K4712">
        <v>680</v>
      </c>
      <c r="L4712">
        <v>261</v>
      </c>
    </row>
    <row r="4713" spans="1:12" x14ac:dyDescent="0.2">
      <c r="A4713"/>
      <c r="B4713"/>
      <c r="C4713"/>
      <c r="D4713"/>
      <c r="E4713" s="2">
        <f>Comuni__2[[#This Row],[Popolazione2011]]/$D$7911</f>
        <v>3.8823300920617089E-5</v>
      </c>
      <c r="F4713">
        <f>SUMIFS($D$2:$D$7909, $B$2:$B$7909, "Piemonte")</f>
        <v>4363916</v>
      </c>
      <c r="G4713" s="1">
        <f>Comuni__2[[#This Row],[Popolazione2011]]/Comuni__2[[#This Row],[POPOLAZIONE TOTALE DI OGNI REGIONE (CON FILTRO)]]</f>
        <v>5.2865362211371625E-4</v>
      </c>
      <c r="H4713" t="str">
        <f>IF(Comuni__2[[#This Row],[Popolazione2011]]&gt;300000,"MAGGIORE","")</f>
        <v/>
      </c>
      <c r="J4713">
        <v>263</v>
      </c>
      <c r="K4713">
        <v>1474</v>
      </c>
      <c r="L4713">
        <v>382</v>
      </c>
    </row>
    <row r="4714" spans="1:12" x14ac:dyDescent="0.2">
      <c r="A4714"/>
      <c r="B4714"/>
      <c r="C4714"/>
      <c r="D4714"/>
      <c r="E4714" s="2">
        <f>Comuni__2[[#This Row],[Popolazione2011]]/$D$7911</f>
        <v>3.8621359173305682E-5</v>
      </c>
      <c r="F4714">
        <f>SUMIFS($D$2:$D$7909, $B$2:$B$7909, "Piemonte")</f>
        <v>4363916</v>
      </c>
      <c r="G4714" s="1">
        <f>Comuni__2[[#This Row],[Popolazione2011]]/Comuni__2[[#This Row],[POPOLAZIONE TOTALE DI OGNI REGIONE (CON FILTRO)]]</f>
        <v>5.2590379833159027E-4</v>
      </c>
      <c r="H4714" t="str">
        <f>IF(Comuni__2[[#This Row],[Popolazione2011]]&gt;300000,"MAGGIORE","")</f>
        <v/>
      </c>
      <c r="J4714">
        <v>164</v>
      </c>
      <c r="K4714">
        <v>1100</v>
      </c>
      <c r="L4714">
        <v>263</v>
      </c>
    </row>
    <row r="4715" spans="1:12" x14ac:dyDescent="0.2">
      <c r="A4715"/>
      <c r="B4715"/>
      <c r="C4715"/>
      <c r="D4715"/>
      <c r="E4715" s="2">
        <f>Comuni__2[[#This Row],[Popolazione2011]]/$D$7911</f>
        <v>3.8301618073395962E-5</v>
      </c>
      <c r="F4715">
        <f>SUMIFS($D$2:$D$7909, $B$2:$B$7909, "Piemonte")</f>
        <v>4363916</v>
      </c>
      <c r="G4715" s="1">
        <f>Comuni__2[[#This Row],[Popolazione2011]]/Comuni__2[[#This Row],[POPOLAZIONE TOTALE DI OGNI REGIONE (CON FILTRO)]]</f>
        <v>5.2154991067655744E-4</v>
      </c>
      <c r="H4715" t="str">
        <f>IF(Comuni__2[[#This Row],[Popolazione2011]]&gt;300000,"MAGGIORE","")</f>
        <v/>
      </c>
      <c r="J4715">
        <v>252</v>
      </c>
      <c r="K4715">
        <v>1560</v>
      </c>
      <c r="L4715">
        <v>389</v>
      </c>
    </row>
    <row r="4716" spans="1:12" x14ac:dyDescent="0.2">
      <c r="A4716"/>
      <c r="B4716"/>
      <c r="C4716"/>
      <c r="D4716"/>
      <c r="E4716" s="2">
        <f>Comuni__2[[#This Row],[Popolazione2011]]/$D$7911</f>
        <v>3.8183818720797643E-5</v>
      </c>
      <c r="F4716">
        <f>SUMIFS($D$2:$D$7909, $B$2:$B$7909, "Piemonte")</f>
        <v>4363916</v>
      </c>
      <c r="G4716" s="1">
        <f>Comuni__2[[#This Row],[Popolazione2011]]/Comuni__2[[#This Row],[POPOLAZIONE TOTALE DI OGNI REGIONE (CON FILTRO)]]</f>
        <v>5.199458468036507E-4</v>
      </c>
      <c r="H4716" t="str">
        <f>IF(Comuni__2[[#This Row],[Popolazione2011]]&gt;300000,"MAGGIORE","")</f>
        <v/>
      </c>
      <c r="J4716">
        <v>155</v>
      </c>
      <c r="K4716">
        <v>1176</v>
      </c>
      <c r="L4716">
        <v>265</v>
      </c>
    </row>
    <row r="4717" spans="1:12" x14ac:dyDescent="0.2">
      <c r="A4717"/>
      <c r="B4717"/>
      <c r="C4717"/>
      <c r="D4717"/>
      <c r="E4717" s="2">
        <f>Comuni__2[[#This Row],[Popolazione2011]]/$D$7911</f>
        <v>3.8183818720797643E-5</v>
      </c>
      <c r="F4717">
        <f>SUMIFS($D$2:$D$7909, $B$2:$B$7909, "Piemonte")</f>
        <v>4363916</v>
      </c>
      <c r="G4717" s="1">
        <f>Comuni__2[[#This Row],[Popolazione2011]]/Comuni__2[[#This Row],[POPOLAZIONE TOTALE DI OGNI REGIONE (CON FILTRO)]]</f>
        <v>5.199458468036507E-4</v>
      </c>
      <c r="H4717" t="str">
        <f>IF(Comuni__2[[#This Row],[Popolazione2011]]&gt;300000,"MAGGIORE","")</f>
        <v/>
      </c>
      <c r="J4717">
        <v>229</v>
      </c>
      <c r="K4717">
        <v>1694</v>
      </c>
      <c r="L4717">
        <v>400</v>
      </c>
    </row>
    <row r="4718" spans="1:12" x14ac:dyDescent="0.2">
      <c r="A4718"/>
      <c r="B4718"/>
      <c r="C4718"/>
      <c r="D4718"/>
      <c r="E4718" s="2">
        <f>Comuni__2[[#This Row],[Popolazione2011]]/$D$7911</f>
        <v>3.8099676326084562E-5</v>
      </c>
      <c r="F4718">
        <f>SUMIFS($D$2:$D$7909, $B$2:$B$7909, "Piemonte")</f>
        <v>4363916</v>
      </c>
      <c r="G4718" s="1">
        <f>Comuni__2[[#This Row],[Popolazione2011]]/Comuni__2[[#This Row],[POPOLAZIONE TOTALE DI OGNI REGIONE (CON FILTRO)]]</f>
        <v>5.1880008689443146E-4</v>
      </c>
      <c r="H4718" t="str">
        <f>IF(Comuni__2[[#This Row],[Popolazione2011]]&gt;300000,"MAGGIORE","")</f>
        <v/>
      </c>
      <c r="J4718">
        <v>152</v>
      </c>
      <c r="K4718">
        <v>1218</v>
      </c>
      <c r="L4718">
        <v>269</v>
      </c>
    </row>
    <row r="4719" spans="1:12" x14ac:dyDescent="0.2">
      <c r="A4719"/>
      <c r="B4719"/>
      <c r="C4719"/>
      <c r="D4719"/>
      <c r="E4719" s="2">
        <f>Comuni__2[[#This Row],[Popolazione2011]]/$D$7911</f>
        <v>3.7779935226174842E-5</v>
      </c>
      <c r="F4719">
        <f>SUMIFS($D$2:$D$7909, $B$2:$B$7909, "Piemonte")</f>
        <v>4363916</v>
      </c>
      <c r="G4719" s="1">
        <f>Comuni__2[[#This Row],[Popolazione2011]]/Comuni__2[[#This Row],[POPOLAZIONE TOTALE DI OGNI REGIONE (CON FILTRO)]]</f>
        <v>5.1444619923939874E-4</v>
      </c>
      <c r="H4719" t="str">
        <f>IF(Comuni__2[[#This Row],[Popolazione2011]]&gt;300000,"MAGGIORE","")</f>
        <v/>
      </c>
      <c r="J4719">
        <v>223</v>
      </c>
      <c r="K4719">
        <v>1807</v>
      </c>
      <c r="L4719">
        <v>405</v>
      </c>
    </row>
    <row r="4720" spans="1:12" x14ac:dyDescent="0.2">
      <c r="A4720"/>
      <c r="B4720"/>
      <c r="C4720"/>
      <c r="D4720"/>
      <c r="E4720" s="2">
        <f>Comuni__2[[#This Row],[Popolazione2011]]/$D$7911</f>
        <v>3.762847891569129E-5</v>
      </c>
      <c r="F4720">
        <f>SUMIFS($D$2:$D$7909, $B$2:$B$7909, "Piemonte")</f>
        <v>4363916</v>
      </c>
      <c r="G4720" s="1">
        <f>Comuni__2[[#This Row],[Popolazione2011]]/Comuni__2[[#This Row],[POPOLAZIONE TOTALE DI OGNI REGIONE (CON FILTRO)]]</f>
        <v>5.1238383140280429E-4</v>
      </c>
      <c r="H4720" t="str">
        <f>IF(Comuni__2[[#This Row],[Popolazione2011]]&gt;300000,"MAGGIORE","")</f>
        <v/>
      </c>
      <c r="J4720">
        <v>166</v>
      </c>
      <c r="K4720">
        <v>1286</v>
      </c>
      <c r="L4720">
        <v>270</v>
      </c>
    </row>
    <row r="4721" spans="1:12" x14ac:dyDescent="0.2">
      <c r="A4721"/>
      <c r="B4721"/>
      <c r="C4721"/>
      <c r="D4721"/>
      <c r="E4721" s="2">
        <f>Comuni__2[[#This Row],[Popolazione2011]]/$D$7911</f>
        <v>3.7544336520978203E-5</v>
      </c>
      <c r="F4721">
        <f>SUMIFS($D$2:$D$7909, $B$2:$B$7909, "Piemonte")</f>
        <v>4363916</v>
      </c>
      <c r="G4721" s="1">
        <f>Comuni__2[[#This Row],[Popolazione2011]]/Comuni__2[[#This Row],[POPOLAZIONE TOTALE DI OGNI REGIONE (CON FILTRO)]]</f>
        <v>5.1123807149358515E-4</v>
      </c>
      <c r="H4721" t="str">
        <f>IF(Comuni__2[[#This Row],[Popolazione2011]]&gt;300000,"MAGGIORE","")</f>
        <v/>
      </c>
      <c r="J4721">
        <v>224</v>
      </c>
      <c r="K4721">
        <v>1881</v>
      </c>
      <c r="L4721">
        <v>407</v>
      </c>
    </row>
    <row r="4722" spans="1:12" x14ac:dyDescent="0.2">
      <c r="A4722"/>
      <c r="B4722"/>
      <c r="C4722"/>
      <c r="D4722"/>
      <c r="E4722" s="2">
        <f>Comuni__2[[#This Row],[Popolazione2011]]/$D$7911</f>
        <v>3.7392880210494651E-5</v>
      </c>
      <c r="F4722">
        <f>SUMIFS($D$2:$D$7909, $B$2:$B$7909, "Piemonte")</f>
        <v>4363916</v>
      </c>
      <c r="G4722" s="1">
        <f>Comuni__2[[#This Row],[Popolazione2011]]/Comuni__2[[#This Row],[POPOLAZIONE TOTALE DI OGNI REGIONE (CON FILTRO)]]</f>
        <v>5.091757036569907E-4</v>
      </c>
      <c r="H4722" t="str">
        <f>IF(Comuni__2[[#This Row],[Popolazione2011]]&gt;300000,"MAGGIORE","")</f>
        <v/>
      </c>
      <c r="J4722">
        <v>151</v>
      </c>
      <c r="K4722">
        <v>1316</v>
      </c>
      <c r="L4722">
        <v>272</v>
      </c>
    </row>
    <row r="4723" spans="1:12" x14ac:dyDescent="0.2">
      <c r="A4723"/>
      <c r="B4723"/>
      <c r="C4723"/>
      <c r="D4723"/>
      <c r="E4723" s="2">
        <f>Comuni__2[[#This Row],[Popolazione2011]]/$D$7911</f>
        <v>3.7291909336838954E-5</v>
      </c>
      <c r="F4723">
        <f>SUMIFS($D$2:$D$7909, $B$2:$B$7909, "Piemonte")</f>
        <v>4363916</v>
      </c>
      <c r="G4723" s="1">
        <f>Comuni__2[[#This Row],[Popolazione2011]]/Comuni__2[[#This Row],[POPOLAZIONE TOTALE DI OGNI REGIONE (CON FILTRO)]]</f>
        <v>5.0780079176592765E-4</v>
      </c>
      <c r="H4723" t="str">
        <f>IF(Comuni__2[[#This Row],[Popolazione2011]]&gt;300000,"MAGGIORE","")</f>
        <v/>
      </c>
      <c r="J4723">
        <v>204</v>
      </c>
      <c r="K4723">
        <v>2048</v>
      </c>
      <c r="L4723">
        <v>412</v>
      </c>
    </row>
    <row r="4724" spans="1:12" x14ac:dyDescent="0.2">
      <c r="A4724"/>
      <c r="B4724"/>
      <c r="C4724"/>
      <c r="D4724"/>
      <c r="E4724" s="2">
        <f>Comuni__2[[#This Row],[Popolazione2011]]/$D$7911</f>
        <v>3.7123624547412786E-5</v>
      </c>
      <c r="F4724">
        <f>SUMIFS($D$2:$D$7909, $B$2:$B$7909, "Piemonte")</f>
        <v>4363916</v>
      </c>
      <c r="G4724" s="1">
        <f>Comuni__2[[#This Row],[Popolazione2011]]/Comuni__2[[#This Row],[POPOLAZIONE TOTALE DI OGNI REGIONE (CON FILTRO)]]</f>
        <v>5.0550927194748939E-4</v>
      </c>
      <c r="H4724" t="str">
        <f>IF(Comuni__2[[#This Row],[Popolazione2011]]&gt;300000,"MAGGIORE","")</f>
        <v/>
      </c>
      <c r="J4724">
        <v>133</v>
      </c>
      <c r="K4724">
        <v>1388</v>
      </c>
      <c r="L4724">
        <v>274</v>
      </c>
    </row>
    <row r="4725" spans="1:12" x14ac:dyDescent="0.2">
      <c r="A4725"/>
      <c r="B4725"/>
      <c r="C4725"/>
      <c r="D4725"/>
      <c r="E4725" s="2">
        <f>Comuni__2[[#This Row],[Popolazione2011]]/$D$7911</f>
        <v>3.7056310631642315E-5</v>
      </c>
      <c r="F4725">
        <f>SUMIFS($D$2:$D$7909, $B$2:$B$7909, "Piemonte")</f>
        <v>4363916</v>
      </c>
      <c r="G4725" s="1">
        <f>Comuni__2[[#This Row],[Popolazione2011]]/Comuni__2[[#This Row],[POPOLAZIONE TOTALE DI OGNI REGIONE (CON FILTRO)]]</f>
        <v>5.0459266402011406E-4</v>
      </c>
      <c r="H4725" t="str">
        <f>IF(Comuni__2[[#This Row],[Popolazione2011]]&gt;300000,"MAGGIORE","")</f>
        <v/>
      </c>
      <c r="J4725">
        <v>187</v>
      </c>
      <c r="K4725">
        <v>2190</v>
      </c>
      <c r="L4725">
        <v>416</v>
      </c>
    </row>
    <row r="4726" spans="1:12" x14ac:dyDescent="0.2">
      <c r="A4726"/>
      <c r="B4726"/>
      <c r="C4726"/>
      <c r="D4726"/>
      <c r="E4726" s="2">
        <f>Comuni__2[[#This Row],[Popolazione2011]]/$D$7911</f>
        <v>3.7039482152699699E-5</v>
      </c>
      <c r="F4726">
        <f>SUMIFS($D$2:$D$7909, $B$2:$B$7909, "Piemonte")</f>
        <v>4363916</v>
      </c>
      <c r="G4726" s="1">
        <f>Comuni__2[[#This Row],[Popolazione2011]]/Comuni__2[[#This Row],[POPOLAZIONE TOTALE DI OGNI REGIONE (CON FILTRO)]]</f>
        <v>5.0436351203827026E-4</v>
      </c>
      <c r="H4726" t="str">
        <f>IF(Comuni__2[[#This Row],[Popolazione2011]]&gt;300000,"MAGGIORE","")</f>
        <v/>
      </c>
      <c r="J4726">
        <v>139</v>
      </c>
      <c r="K4726">
        <v>1441</v>
      </c>
      <c r="L4726">
        <v>275</v>
      </c>
    </row>
    <row r="4727" spans="1:12" x14ac:dyDescent="0.2">
      <c r="A4727"/>
      <c r="B4727"/>
      <c r="C4727"/>
      <c r="D4727"/>
      <c r="E4727" s="2">
        <f>Comuni__2[[#This Row],[Popolazione2011]]/$D$7911</f>
        <v>3.6955339757986618E-5</v>
      </c>
      <c r="F4727">
        <f>SUMIFS($D$2:$D$7909, $B$2:$B$7909, "Piemonte")</f>
        <v>4363916</v>
      </c>
      <c r="G4727" s="1">
        <f>Comuni__2[[#This Row],[Popolazione2011]]/Comuni__2[[#This Row],[POPOLAZIONE TOTALE DI OGNI REGIONE (CON FILTRO)]]</f>
        <v>5.0321775212905102E-4</v>
      </c>
      <c r="H4727" t="str">
        <f>IF(Comuni__2[[#This Row],[Popolazione2011]]&gt;300000,"MAGGIORE","")</f>
        <v/>
      </c>
      <c r="J4727">
        <v>179</v>
      </c>
      <c r="K4727">
        <v>2328</v>
      </c>
      <c r="L4727">
        <v>418</v>
      </c>
    </row>
    <row r="4728" spans="1:12" x14ac:dyDescent="0.2">
      <c r="A4728"/>
      <c r="B4728"/>
      <c r="C4728"/>
      <c r="D4728"/>
      <c r="E4728" s="2">
        <f>Comuni__2[[#This Row],[Popolazione2011]]/$D$7911</f>
        <v>3.6904854321158763E-5</v>
      </c>
      <c r="F4728">
        <f>SUMIFS($D$2:$D$7909, $B$2:$B$7909, "Piemonte")</f>
        <v>4363916</v>
      </c>
      <c r="G4728" s="1">
        <f>Comuni__2[[#This Row],[Popolazione2011]]/Comuni__2[[#This Row],[POPOLAZIONE TOTALE DI OGNI REGIONE (CON FILTRO)]]</f>
        <v>5.0253029618351961E-4</v>
      </c>
      <c r="H4728" t="str">
        <f>IF(Comuni__2[[#This Row],[Popolazione2011]]&gt;300000,"MAGGIORE","")</f>
        <v/>
      </c>
      <c r="J4728">
        <v>123</v>
      </c>
      <c r="K4728">
        <v>1493</v>
      </c>
      <c r="L4728">
        <v>278</v>
      </c>
    </row>
    <row r="4729" spans="1:12" x14ac:dyDescent="0.2">
      <c r="A4729"/>
      <c r="B4729"/>
      <c r="C4729"/>
      <c r="D4729"/>
      <c r="E4729" s="2">
        <f>Comuni__2[[#This Row],[Popolazione2011]]/$D$7911</f>
        <v>3.6820711926445682E-5</v>
      </c>
      <c r="F4729">
        <f>SUMIFS($D$2:$D$7909, $B$2:$B$7909, "Piemonte")</f>
        <v>4363916</v>
      </c>
      <c r="G4729" s="1">
        <f>Comuni__2[[#This Row],[Popolazione2011]]/Comuni__2[[#This Row],[POPOLAZIONE TOTALE DI OGNI REGIONE (CON FILTRO)]]</f>
        <v>5.0138453627430048E-4</v>
      </c>
      <c r="H4729" t="str">
        <f>IF(Comuni__2[[#This Row],[Popolazione2011]]&gt;300000,"MAGGIORE","")</f>
        <v/>
      </c>
      <c r="J4729">
        <v>165</v>
      </c>
      <c r="K4729">
        <v>2416</v>
      </c>
      <c r="L4729">
        <v>423</v>
      </c>
    </row>
    <row r="4730" spans="1:12" x14ac:dyDescent="0.2">
      <c r="A4730"/>
      <c r="B4730"/>
      <c r="C4730"/>
      <c r="D4730"/>
      <c r="E4730" s="2">
        <f>Comuni__2[[#This Row],[Popolazione2011]]/$D$7911</f>
        <v>3.6719741052789979E-5</v>
      </c>
      <c r="F4730">
        <f>SUMIFS($D$2:$D$7909, $B$2:$B$7909, "Piemonte")</f>
        <v>4363916</v>
      </c>
      <c r="G4730" s="1">
        <f>Comuni__2[[#This Row],[Popolazione2011]]/Comuni__2[[#This Row],[POPOLAZIONE TOTALE DI OGNI REGIONE (CON FILTRO)]]</f>
        <v>5.0000962438323743E-4</v>
      </c>
      <c r="H4730" t="str">
        <f>IF(Comuni__2[[#This Row],[Popolazione2011]]&gt;300000,"MAGGIORE","")</f>
        <v/>
      </c>
      <c r="J4730">
        <v>123</v>
      </c>
      <c r="K4730">
        <v>1553</v>
      </c>
      <c r="L4730">
        <v>279</v>
      </c>
    </row>
    <row r="4731" spans="1:12" x14ac:dyDescent="0.2">
      <c r="A4731"/>
      <c r="B4731"/>
      <c r="C4731"/>
      <c r="D4731"/>
      <c r="E4731" s="2">
        <f>Comuni__2[[#This Row],[Popolazione2011]]/$D$7911</f>
        <v>3.6484142347593346E-5</v>
      </c>
      <c r="F4731">
        <f>SUMIFS($D$2:$D$7909, $B$2:$B$7909, "Piemonte")</f>
        <v>4363916</v>
      </c>
      <c r="G4731" s="1">
        <f>Comuni__2[[#This Row],[Popolazione2011]]/Comuni__2[[#This Row],[POPOLAZIONE TOTALE DI OGNI REGIONE (CON FILTRO)]]</f>
        <v>4.9680149663742384E-4</v>
      </c>
      <c r="H4731" t="str">
        <f>IF(Comuni__2[[#This Row],[Popolazione2011]]&gt;300000,"MAGGIORE","")</f>
        <v/>
      </c>
      <c r="J4731">
        <v>157</v>
      </c>
      <c r="K4731">
        <v>2474</v>
      </c>
      <c r="L4731">
        <v>425</v>
      </c>
    </row>
    <row r="4732" spans="1:12" x14ac:dyDescent="0.2">
      <c r="A4732"/>
      <c r="B4732"/>
      <c r="C4732"/>
      <c r="D4732"/>
      <c r="E4732" s="2">
        <f>Comuni__2[[#This Row],[Popolazione2011]]/$D$7911</f>
        <v>3.6383171473937643E-5</v>
      </c>
      <c r="F4732">
        <f>SUMIFS($D$2:$D$7909, $B$2:$B$7909, "Piemonte")</f>
        <v>4363916</v>
      </c>
      <c r="G4732" s="1">
        <f>Comuni__2[[#This Row],[Popolazione2011]]/Comuni__2[[#This Row],[POPOLAZIONE TOTALE DI OGNI REGIONE (CON FILTRO)]]</f>
        <v>4.954265847463608E-4</v>
      </c>
      <c r="H4732" t="str">
        <f>IF(Comuni__2[[#This Row],[Popolazione2011]]&gt;300000,"MAGGIORE","")</f>
        <v/>
      </c>
      <c r="J4732">
        <v>120</v>
      </c>
      <c r="K4732">
        <v>1590</v>
      </c>
      <c r="L4732">
        <v>281</v>
      </c>
    </row>
    <row r="4733" spans="1:12" x14ac:dyDescent="0.2">
      <c r="A4733"/>
      <c r="B4733"/>
      <c r="C4733"/>
      <c r="D4733"/>
      <c r="E4733" s="2">
        <f>Comuni__2[[#This Row],[Popolazione2011]]/$D$7911</f>
        <v>3.6299029079224555E-5</v>
      </c>
      <c r="F4733">
        <f>SUMIFS($D$2:$D$7909, $B$2:$B$7909, "Piemonte")</f>
        <v>4363916</v>
      </c>
      <c r="G4733" s="1">
        <f>Comuni__2[[#This Row],[Popolazione2011]]/Comuni__2[[#This Row],[POPOLAZIONE TOTALE DI OGNI REGIONE (CON FILTRO)]]</f>
        <v>4.9428082483714167E-4</v>
      </c>
      <c r="H4733" t="str">
        <f>IF(Comuni__2[[#This Row],[Popolazione2011]]&gt;300000,"MAGGIORE","")</f>
        <v/>
      </c>
      <c r="J4733">
        <v>153</v>
      </c>
      <c r="K4733">
        <v>2571</v>
      </c>
      <c r="L4733">
        <v>429</v>
      </c>
    </row>
    <row r="4734" spans="1:12" x14ac:dyDescent="0.2">
      <c r="A4734"/>
      <c r="B4734"/>
      <c r="C4734"/>
      <c r="D4734"/>
      <c r="E4734" s="2">
        <f>Comuni__2[[#This Row],[Popolazione2011]]/$D$7911</f>
        <v>3.6231715163454091E-5</v>
      </c>
      <c r="F4734">
        <f>SUMIFS($D$2:$D$7909, $B$2:$B$7909, "Piemonte")</f>
        <v>4363916</v>
      </c>
      <c r="G4734" s="1">
        <f>Comuni__2[[#This Row],[Popolazione2011]]/Comuni__2[[#This Row],[POPOLAZIONE TOTALE DI OGNI REGIONE (CON FILTRO)]]</f>
        <v>4.9336421690976634E-4</v>
      </c>
      <c r="H4734" t="str">
        <f>IF(Comuni__2[[#This Row],[Popolazione2011]]&gt;300000,"MAGGIORE","")</f>
        <v/>
      </c>
      <c r="J4734">
        <v>113</v>
      </c>
      <c r="K4734">
        <v>1621</v>
      </c>
      <c r="L4734">
        <v>284</v>
      </c>
    </row>
    <row r="4735" spans="1:12" x14ac:dyDescent="0.2">
      <c r="A4735"/>
      <c r="B4735"/>
      <c r="C4735"/>
      <c r="D4735"/>
      <c r="E4735" s="2">
        <f>Comuni__2[[#This Row],[Popolazione2011]]/$D$7911</f>
        <v>3.6147572768741004E-5</v>
      </c>
      <c r="F4735">
        <f>SUMIFS($D$2:$D$7909, $B$2:$B$7909, "Piemonte")</f>
        <v>4363916</v>
      </c>
      <c r="G4735" s="1">
        <f>Comuni__2[[#This Row],[Popolazione2011]]/Comuni__2[[#This Row],[POPOLAZIONE TOTALE DI OGNI REGIONE (CON FILTRO)]]</f>
        <v>4.9221845700054721E-4</v>
      </c>
      <c r="H4735" t="str">
        <f>IF(Comuni__2[[#This Row],[Popolazione2011]]&gt;300000,"MAGGIORE","")</f>
        <v/>
      </c>
      <c r="J4735">
        <v>152</v>
      </c>
      <c r="K4735">
        <v>2663</v>
      </c>
      <c r="L4735">
        <v>430</v>
      </c>
    </row>
    <row r="4736" spans="1:12" x14ac:dyDescent="0.2">
      <c r="A4736"/>
      <c r="B4736"/>
      <c r="C4736"/>
      <c r="D4736"/>
      <c r="E4736" s="2">
        <f>Comuni__2[[#This Row],[Popolazione2011]]/$D$7911</f>
        <v>3.5693203837290348E-5</v>
      </c>
      <c r="F4736">
        <f>SUMIFS($D$2:$D$7909, $B$2:$B$7909, "Piemonte")</f>
        <v>4363916</v>
      </c>
      <c r="G4736" s="1">
        <f>Comuni__2[[#This Row],[Popolazione2011]]/Comuni__2[[#This Row],[POPOLAZIONE TOTALE DI OGNI REGIONE (CON FILTRO)]]</f>
        <v>4.8603135349076378E-4</v>
      </c>
      <c r="H4736" t="str">
        <f>IF(Comuni__2[[#This Row],[Popolazione2011]]&gt;300000,"MAGGIORE","")</f>
        <v/>
      </c>
      <c r="J4736">
        <v>110</v>
      </c>
      <c r="K4736">
        <v>1644</v>
      </c>
      <c r="L4736">
        <v>286</v>
      </c>
    </row>
    <row r="4737" spans="1:12" x14ac:dyDescent="0.2">
      <c r="A4737"/>
      <c r="B4737"/>
      <c r="C4737"/>
      <c r="D4737"/>
      <c r="E4737" s="2">
        <f>Comuni__2[[#This Row],[Popolazione2011]]/$D$7911</f>
        <v>3.5625889921519883E-5</v>
      </c>
      <c r="F4737">
        <f>SUMIFS($D$2:$D$7909, $B$2:$B$7909, "Piemonte")</f>
        <v>4363916</v>
      </c>
      <c r="G4737" s="1">
        <f>Comuni__2[[#This Row],[Popolazione2011]]/Comuni__2[[#This Row],[POPOLAZIONE TOTALE DI OGNI REGIONE (CON FILTRO)]]</f>
        <v>4.8511474556338846E-4</v>
      </c>
      <c r="H4737" t="str">
        <f>IF(Comuni__2[[#This Row],[Popolazione2011]]&gt;300000,"MAGGIORE","")</f>
        <v/>
      </c>
      <c r="J4737">
        <v>141</v>
      </c>
      <c r="K4737">
        <v>2787</v>
      </c>
      <c r="L4737">
        <v>433</v>
      </c>
    </row>
    <row r="4738" spans="1:12" x14ac:dyDescent="0.2">
      <c r="A4738"/>
      <c r="B4738"/>
      <c r="C4738"/>
      <c r="D4738"/>
      <c r="E4738" s="2">
        <f>Comuni__2[[#This Row],[Popolazione2011]]/$D$7911</f>
        <v>3.5609061442577267E-5</v>
      </c>
      <c r="F4738">
        <f>SUMIFS($D$2:$D$7909, $B$2:$B$7909, "Piemonte")</f>
        <v>4363916</v>
      </c>
      <c r="G4738" s="1">
        <f>Comuni__2[[#This Row],[Popolazione2011]]/Comuni__2[[#This Row],[POPOLAZIONE TOTALE DI OGNI REGIONE (CON FILTRO)]]</f>
        <v>4.8488559358154465E-4</v>
      </c>
      <c r="H4738" t="str">
        <f>IF(Comuni__2[[#This Row],[Popolazione2011]]&gt;300000,"MAGGIORE","")</f>
        <v/>
      </c>
      <c r="J4738">
        <v>110</v>
      </c>
      <c r="K4738">
        <v>1678</v>
      </c>
      <c r="L4738">
        <v>286</v>
      </c>
    </row>
    <row r="4739" spans="1:12" x14ac:dyDescent="0.2">
      <c r="A4739"/>
      <c r="B4739"/>
      <c r="C4739"/>
      <c r="D4739"/>
      <c r="E4739" s="2">
        <f>Comuni__2[[#This Row],[Popolazione2011]]/$D$7911</f>
        <v>3.5592232963634651E-5</v>
      </c>
      <c r="F4739">
        <f>SUMIFS($D$2:$D$7909, $B$2:$B$7909, "Piemonte")</f>
        <v>4363916</v>
      </c>
      <c r="G4739" s="1">
        <f>Comuni__2[[#This Row],[Popolazione2011]]/Comuni__2[[#This Row],[POPOLAZIONE TOTALE DI OGNI REGIONE (CON FILTRO)]]</f>
        <v>4.8465644159970079E-4</v>
      </c>
      <c r="H4739" t="str">
        <f>IF(Comuni__2[[#This Row],[Popolazione2011]]&gt;300000,"MAGGIORE","")</f>
        <v/>
      </c>
      <c r="J4739">
        <v>129</v>
      </c>
      <c r="K4739">
        <v>2861</v>
      </c>
      <c r="L4739">
        <v>437</v>
      </c>
    </row>
    <row r="4740" spans="1:12" x14ac:dyDescent="0.2">
      <c r="A4740"/>
      <c r="B4740"/>
      <c r="C4740"/>
      <c r="D4740"/>
      <c r="E4740" s="2">
        <f>Comuni__2[[#This Row],[Popolazione2011]]/$D$7911</f>
        <v>3.5592232963634651E-5</v>
      </c>
      <c r="F4740">
        <f>SUMIFS($D$2:$D$7909, $B$2:$B$7909, "Piemonte")</f>
        <v>4363916</v>
      </c>
      <c r="G4740" s="1">
        <f>Comuni__2[[#This Row],[Popolazione2011]]/Comuni__2[[#This Row],[POPOLAZIONE TOTALE DI OGNI REGIONE (CON FILTRO)]]</f>
        <v>4.8465644159970079E-4</v>
      </c>
      <c r="H4740" t="str">
        <f>IF(Comuni__2[[#This Row],[Popolazione2011]]&gt;300000,"MAGGIORE","")</f>
        <v/>
      </c>
      <c r="J4740">
        <v>98</v>
      </c>
      <c r="K4740">
        <v>1715</v>
      </c>
      <c r="L4740">
        <v>286</v>
      </c>
    </row>
    <row r="4741" spans="1:12" x14ac:dyDescent="0.2">
      <c r="A4741"/>
      <c r="B4741"/>
      <c r="C4741"/>
      <c r="D4741"/>
      <c r="E4741" s="2">
        <f>Comuni__2[[#This Row],[Popolazione2011]]/$D$7911</f>
        <v>3.5558576005749419E-5</v>
      </c>
      <c r="F4741">
        <f>SUMIFS($D$2:$D$7909, $B$2:$B$7909, "Piemonte")</f>
        <v>4363916</v>
      </c>
      <c r="G4741" s="1">
        <f>Comuni__2[[#This Row],[Popolazione2011]]/Comuni__2[[#This Row],[POPOLAZIONE TOTALE DI OGNI REGIONE (CON FILTRO)]]</f>
        <v>4.8419813763601318E-4</v>
      </c>
      <c r="H4741" t="str">
        <f>IF(Comuni__2[[#This Row],[Popolazione2011]]&gt;300000,"MAGGIORE","")</f>
        <v/>
      </c>
      <c r="J4741">
        <v>110</v>
      </c>
      <c r="K4741">
        <v>2935</v>
      </c>
      <c r="L4741">
        <v>438</v>
      </c>
    </row>
    <row r="4742" spans="1:12" x14ac:dyDescent="0.2">
      <c r="A4742"/>
      <c r="B4742"/>
      <c r="C4742"/>
      <c r="D4742"/>
      <c r="E4742" s="2">
        <f>Comuni__2[[#This Row],[Popolazione2011]]/$D$7911</f>
        <v>3.5558576005749419E-5</v>
      </c>
      <c r="F4742">
        <f>SUMIFS($D$2:$D$7909, $B$2:$B$7909, "Piemonte")</f>
        <v>4363916</v>
      </c>
      <c r="G4742" s="1">
        <f>Comuni__2[[#This Row],[Popolazione2011]]/Comuni__2[[#This Row],[POPOLAZIONE TOTALE DI OGNI REGIONE (CON FILTRO)]]</f>
        <v>4.8419813763601318E-4</v>
      </c>
      <c r="H4742" t="str">
        <f>IF(Comuni__2[[#This Row],[Popolazione2011]]&gt;300000,"MAGGIORE","")</f>
        <v/>
      </c>
      <c r="J4742">
        <v>87</v>
      </c>
      <c r="K4742">
        <v>1767</v>
      </c>
      <c r="L4742">
        <v>289</v>
      </c>
    </row>
    <row r="4743" spans="1:12" x14ac:dyDescent="0.2">
      <c r="A4743"/>
      <c r="B4743"/>
      <c r="C4743"/>
      <c r="D4743"/>
      <c r="E4743" s="2">
        <f>Comuni__2[[#This Row],[Popolazione2011]]/$D$7911</f>
        <v>3.5541747526806803E-5</v>
      </c>
      <c r="F4743">
        <f>SUMIFS($D$2:$D$7909, $B$2:$B$7909, "Piemonte")</f>
        <v>4363916</v>
      </c>
      <c r="G4743" s="1">
        <f>Comuni__2[[#This Row],[Popolazione2011]]/Comuni__2[[#This Row],[POPOLAZIONE TOTALE DI OGNI REGIONE (CON FILTRO)]]</f>
        <v>4.8396898565416933E-4</v>
      </c>
      <c r="H4743" t="str">
        <f>IF(Comuni__2[[#This Row],[Popolazione2011]]&gt;300000,"MAGGIORE","")</f>
        <v/>
      </c>
      <c r="J4743">
        <v>105</v>
      </c>
      <c r="K4743">
        <v>2975</v>
      </c>
      <c r="L4743">
        <v>438</v>
      </c>
    </row>
    <row r="4744" spans="1:12" x14ac:dyDescent="0.2">
      <c r="A4744"/>
      <c r="B4744"/>
      <c r="C4744"/>
      <c r="D4744"/>
      <c r="E4744" s="2">
        <f>Comuni__2[[#This Row],[Popolazione2011]]/$D$7911</f>
        <v>3.5440776653151099E-5</v>
      </c>
      <c r="F4744">
        <f>SUMIFS($D$2:$D$7909, $B$2:$B$7909, "Piemonte")</f>
        <v>4363916</v>
      </c>
      <c r="G4744" s="1">
        <f>Comuni__2[[#This Row],[Popolazione2011]]/Comuni__2[[#This Row],[POPOLAZIONE TOTALE DI OGNI REGIONE (CON FILTRO)]]</f>
        <v>4.8259407376310634E-4</v>
      </c>
      <c r="H4744" t="str">
        <f>IF(Comuni__2[[#This Row],[Popolazione2011]]&gt;300000,"MAGGIORE","")</f>
        <v/>
      </c>
      <c r="J4744">
        <v>64</v>
      </c>
      <c r="K4744">
        <v>1804</v>
      </c>
      <c r="L4744">
        <v>290</v>
      </c>
    </row>
    <row r="4745" spans="1:12" x14ac:dyDescent="0.2">
      <c r="A4745"/>
      <c r="B4745"/>
      <c r="C4745"/>
      <c r="D4745"/>
      <c r="E4745" s="2">
        <f>Comuni__2[[#This Row],[Popolazione2011]]/$D$7911</f>
        <v>3.5440776653151099E-5</v>
      </c>
      <c r="F4745">
        <f>SUMIFS($D$2:$D$7909, $B$2:$B$7909, "Piemonte")</f>
        <v>4363916</v>
      </c>
      <c r="G4745" s="1">
        <f>Comuni__2[[#This Row],[Popolazione2011]]/Comuni__2[[#This Row],[POPOLAZIONE TOTALE DI OGNI REGIONE (CON FILTRO)]]</f>
        <v>4.8259407376310634E-4</v>
      </c>
      <c r="H4745" t="str">
        <f>IF(Comuni__2[[#This Row],[Popolazione2011]]&gt;300000,"MAGGIORE","")</f>
        <v/>
      </c>
      <c r="J4745">
        <v>97</v>
      </c>
      <c r="K4745">
        <v>3024</v>
      </c>
      <c r="L4745">
        <v>438</v>
      </c>
    </row>
    <row r="4746" spans="1:12" x14ac:dyDescent="0.2">
      <c r="A4746"/>
      <c r="B4746"/>
      <c r="C4746"/>
      <c r="D4746"/>
      <c r="E4746" s="2">
        <f>Comuni__2[[#This Row],[Popolazione2011]]/$D$7911</f>
        <v>3.5272491863724931E-5</v>
      </c>
      <c r="F4746">
        <f>SUMIFS($D$2:$D$7909, $B$2:$B$7909, "Piemonte")</f>
        <v>4363916</v>
      </c>
      <c r="G4746" s="1">
        <f>Comuni__2[[#This Row],[Popolazione2011]]/Comuni__2[[#This Row],[POPOLAZIONE TOTALE DI OGNI REGIONE (CON FILTRO)]]</f>
        <v>4.8030255394466802E-4</v>
      </c>
      <c r="H4746" t="str">
        <f>IF(Comuni__2[[#This Row],[Popolazione2011]]&gt;300000,"MAGGIORE","")</f>
        <v/>
      </c>
      <c r="J4746">
        <v>69</v>
      </c>
      <c r="K4746">
        <v>1820</v>
      </c>
      <c r="L4746">
        <v>290</v>
      </c>
    </row>
    <row r="4747" spans="1:12" x14ac:dyDescent="0.2">
      <c r="A4747"/>
      <c r="B4747"/>
      <c r="C4747"/>
      <c r="D4747"/>
      <c r="E4747" s="2">
        <f>Comuni__2[[#This Row],[Popolazione2011]]/$D$7911</f>
        <v>3.5238834905839699E-5</v>
      </c>
      <c r="F4747">
        <f>SUMIFS($D$2:$D$7909, $B$2:$B$7909, "Piemonte")</f>
        <v>4363916</v>
      </c>
      <c r="G4747" s="1">
        <f>Comuni__2[[#This Row],[Popolazione2011]]/Comuni__2[[#This Row],[POPOLAZIONE TOTALE DI OGNI REGIONE (CON FILTRO)]]</f>
        <v>4.7984424998098041E-4</v>
      </c>
      <c r="H4747" t="str">
        <f>IF(Comuni__2[[#This Row],[Popolazione2011]]&gt;300000,"MAGGIORE","")</f>
        <v/>
      </c>
      <c r="J4747">
        <v>92</v>
      </c>
      <c r="K4747">
        <v>3068</v>
      </c>
      <c r="L4747">
        <v>441</v>
      </c>
    </row>
    <row r="4748" spans="1:12" x14ac:dyDescent="0.2">
      <c r="A4748"/>
      <c r="B4748"/>
      <c r="C4748"/>
      <c r="D4748"/>
      <c r="E4748" s="2">
        <f>Comuni__2[[#This Row],[Popolazione2011]]/$D$7911</f>
        <v>3.520517794795446E-5</v>
      </c>
      <c r="F4748">
        <f>SUMIFS($D$2:$D$7909, $B$2:$B$7909, "Piemonte")</f>
        <v>4363916</v>
      </c>
      <c r="G4748" s="1">
        <f>Comuni__2[[#This Row],[Popolazione2011]]/Comuni__2[[#This Row],[POPOLAZIONE TOTALE DI OGNI REGIONE (CON FILTRO)]]</f>
        <v>4.7938594601729275E-4</v>
      </c>
      <c r="H4748" t="str">
        <f>IF(Comuni__2[[#This Row],[Popolazione2011]]&gt;300000,"MAGGIORE","")</f>
        <v/>
      </c>
      <c r="J4748">
        <v>70</v>
      </c>
      <c r="K4748">
        <v>1835</v>
      </c>
      <c r="L4748">
        <v>290</v>
      </c>
    </row>
    <row r="4749" spans="1:12" x14ac:dyDescent="0.2">
      <c r="A4749"/>
      <c r="B4749"/>
      <c r="C4749"/>
      <c r="D4749"/>
      <c r="E4749" s="2">
        <f>Comuni__2[[#This Row],[Popolazione2011]]/$D$7911</f>
        <v>3.5137864032183995E-5</v>
      </c>
      <c r="F4749">
        <f>SUMIFS($D$2:$D$7909, $B$2:$B$7909, "Piemonte")</f>
        <v>4363916</v>
      </c>
      <c r="G4749" s="1">
        <f>Comuni__2[[#This Row],[Popolazione2011]]/Comuni__2[[#This Row],[POPOLAZIONE TOTALE DI OGNI REGIONE (CON FILTRO)]]</f>
        <v>4.7846933808991742E-4</v>
      </c>
      <c r="H4749" t="str">
        <f>IF(Comuni__2[[#This Row],[Popolazione2011]]&gt;300000,"MAGGIORE","")</f>
        <v/>
      </c>
      <c r="J4749">
        <v>95</v>
      </c>
      <c r="K4749">
        <v>3119</v>
      </c>
      <c r="L4749">
        <v>443</v>
      </c>
    </row>
    <row r="4750" spans="1:12" x14ac:dyDescent="0.2">
      <c r="A4750"/>
      <c r="B4750"/>
      <c r="C4750"/>
      <c r="D4750"/>
      <c r="E4750" s="2">
        <f>Comuni__2[[#This Row],[Popolazione2011]]/$D$7911</f>
        <v>3.5053721637470908E-5</v>
      </c>
      <c r="F4750">
        <f>SUMIFS($D$2:$D$7909, $B$2:$B$7909, "Piemonte")</f>
        <v>4363916</v>
      </c>
      <c r="G4750" s="1">
        <f>Comuni__2[[#This Row],[Popolazione2011]]/Comuni__2[[#This Row],[POPOLAZIONE TOTALE DI OGNI REGIONE (CON FILTRO)]]</f>
        <v>4.7732357818069823E-4</v>
      </c>
      <c r="H4750" t="str">
        <f>IF(Comuni__2[[#This Row],[Popolazione2011]]&gt;300000,"MAGGIORE","")</f>
        <v/>
      </c>
      <c r="J4750">
        <v>63</v>
      </c>
      <c r="K4750">
        <v>1845</v>
      </c>
      <c r="L4750">
        <v>290</v>
      </c>
    </row>
    <row r="4751" spans="1:12" x14ac:dyDescent="0.2">
      <c r="A4751"/>
      <c r="B4751"/>
      <c r="C4751"/>
      <c r="D4751"/>
      <c r="E4751" s="2">
        <f>Comuni__2[[#This Row],[Popolazione2011]]/$D$7911</f>
        <v>3.4851779890159508E-5</v>
      </c>
      <c r="F4751">
        <f>SUMIFS($D$2:$D$7909, $B$2:$B$7909, "Piemonte")</f>
        <v>4363916</v>
      </c>
      <c r="G4751" s="1">
        <f>Comuni__2[[#This Row],[Popolazione2011]]/Comuni__2[[#This Row],[POPOLAZIONE TOTALE DI OGNI REGIONE (CON FILTRO)]]</f>
        <v>4.7457375439857231E-4</v>
      </c>
      <c r="H4751" t="str">
        <f>IF(Comuni__2[[#This Row],[Popolazione2011]]&gt;300000,"MAGGIORE","")</f>
        <v/>
      </c>
      <c r="J4751">
        <v>89</v>
      </c>
      <c r="K4751">
        <v>3191</v>
      </c>
      <c r="L4751">
        <v>445</v>
      </c>
    </row>
    <row r="4752" spans="1:12" x14ac:dyDescent="0.2">
      <c r="A4752"/>
      <c r="B4752"/>
      <c r="C4752"/>
      <c r="D4752"/>
      <c r="E4752" s="2">
        <f>Comuni__2[[#This Row],[Popolazione2011]]/$D$7911</f>
        <v>3.4801294453331659E-5</v>
      </c>
      <c r="F4752">
        <f>SUMIFS($D$2:$D$7909, $B$2:$B$7909, "Piemonte")</f>
        <v>4363916</v>
      </c>
      <c r="G4752" s="1">
        <f>Comuni__2[[#This Row],[Popolazione2011]]/Comuni__2[[#This Row],[POPOLAZIONE TOTALE DI OGNI REGIONE (CON FILTRO)]]</f>
        <v>4.7388629845304079E-4</v>
      </c>
      <c r="H4752" t="str">
        <f>IF(Comuni__2[[#This Row],[Popolazione2011]]&gt;300000,"MAGGIORE","")</f>
        <v/>
      </c>
      <c r="J4752">
        <v>63</v>
      </c>
      <c r="K4752">
        <v>1872</v>
      </c>
      <c r="L4752">
        <v>290</v>
      </c>
    </row>
    <row r="4753" spans="1:12" x14ac:dyDescent="0.2">
      <c r="A4753"/>
      <c r="B4753"/>
      <c r="C4753"/>
      <c r="D4753"/>
      <c r="E4753" s="2">
        <f>Comuni__2[[#This Row],[Popolazione2011]]/$D$7911</f>
        <v>3.4784465974389043E-5</v>
      </c>
      <c r="F4753">
        <f>SUMIFS($D$2:$D$7909, $B$2:$B$7909, "Piemonte")</f>
        <v>4363916</v>
      </c>
      <c r="G4753" s="1">
        <f>Comuni__2[[#This Row],[Popolazione2011]]/Comuni__2[[#This Row],[POPOLAZIONE TOTALE DI OGNI REGIONE (CON FILTRO)]]</f>
        <v>4.7365714647119698E-4</v>
      </c>
      <c r="H4753" t="str">
        <f>IF(Comuni__2[[#This Row],[Popolazione2011]]&gt;300000,"MAGGIORE","")</f>
        <v/>
      </c>
      <c r="J4753">
        <v>85</v>
      </c>
      <c r="K4753">
        <v>3293</v>
      </c>
      <c r="L4753">
        <v>446</v>
      </c>
    </row>
    <row r="4754" spans="1:12" x14ac:dyDescent="0.2">
      <c r="A4754"/>
      <c r="B4754"/>
      <c r="C4754"/>
      <c r="D4754"/>
      <c r="E4754" s="2">
        <f>Comuni__2[[#This Row],[Popolazione2011]]/$D$7911</f>
        <v>3.4649838142848107E-5</v>
      </c>
      <c r="F4754">
        <f>SUMIFS($D$2:$D$7909, $B$2:$B$7909, "Piemonte")</f>
        <v>4363916</v>
      </c>
      <c r="G4754" s="1">
        <f>Comuni__2[[#This Row],[Popolazione2011]]/Comuni__2[[#This Row],[POPOLAZIONE TOTALE DI OGNI REGIONE (CON FILTRO)]]</f>
        <v>4.7182393061644633E-4</v>
      </c>
      <c r="H4754" t="str">
        <f>IF(Comuni__2[[#This Row],[Popolazione2011]]&gt;300000,"MAGGIORE","")</f>
        <v/>
      </c>
      <c r="J4754">
        <v>61</v>
      </c>
      <c r="K4754">
        <v>1908</v>
      </c>
      <c r="L4754">
        <v>290</v>
      </c>
    </row>
    <row r="4755" spans="1:12" x14ac:dyDescent="0.2">
      <c r="A4755"/>
      <c r="B4755"/>
      <c r="C4755"/>
      <c r="D4755"/>
      <c r="E4755" s="2">
        <f>Comuni__2[[#This Row],[Popolazione2011]]/$D$7911</f>
        <v>3.4616181184962875E-5</v>
      </c>
      <c r="F4755">
        <f>SUMIFS($D$2:$D$7909, $B$2:$B$7909, "Piemonte")</f>
        <v>4363916</v>
      </c>
      <c r="G4755" s="1">
        <f>Comuni__2[[#This Row],[Popolazione2011]]/Comuni__2[[#This Row],[POPOLAZIONE TOTALE DI OGNI REGIONE (CON FILTRO)]]</f>
        <v>4.7136562665275867E-4</v>
      </c>
      <c r="H4755" t="str">
        <f>IF(Comuni__2[[#This Row],[Popolazione2011]]&gt;300000,"MAGGIORE","")</f>
        <v/>
      </c>
      <c r="J4755">
        <v>75</v>
      </c>
      <c r="K4755">
        <v>3362</v>
      </c>
      <c r="L4755">
        <v>448</v>
      </c>
    </row>
    <row r="4756" spans="1:12" x14ac:dyDescent="0.2">
      <c r="A4756"/>
      <c r="B4756"/>
      <c r="C4756"/>
      <c r="D4756"/>
      <c r="E4756" s="2">
        <f>Comuni__2[[#This Row],[Popolazione2011]]/$D$7911</f>
        <v>3.4599352706020252E-5</v>
      </c>
      <c r="F4756">
        <f>SUMIFS($D$2:$D$7909, $B$2:$B$7909, "Piemonte")</f>
        <v>4363916</v>
      </c>
      <c r="G4756" s="1">
        <f>Comuni__2[[#This Row],[Popolazione2011]]/Comuni__2[[#This Row],[POPOLAZIONE TOTALE DI OGNI REGIONE (CON FILTRO)]]</f>
        <v>4.7113647467091486E-4</v>
      </c>
      <c r="H4756" t="str">
        <f>IF(Comuni__2[[#This Row],[Popolazione2011]]&gt;300000,"MAGGIORE","")</f>
        <v/>
      </c>
      <c r="J4756">
        <v>55</v>
      </c>
      <c r="K4756">
        <v>1929</v>
      </c>
      <c r="L4756">
        <v>290</v>
      </c>
    </row>
    <row r="4757" spans="1:12" x14ac:dyDescent="0.2">
      <c r="A4757"/>
      <c r="B4757"/>
      <c r="C4757"/>
      <c r="D4757"/>
      <c r="E4757" s="2">
        <f>Comuni__2[[#This Row],[Popolazione2011]]/$D$7911</f>
        <v>3.436375400082362E-5</v>
      </c>
      <c r="F4757">
        <f>SUMIFS($D$2:$D$7909, $B$2:$B$7909, "Piemonte")</f>
        <v>4363916</v>
      </c>
      <c r="G4757" s="1">
        <f>Comuni__2[[#This Row],[Popolazione2011]]/Comuni__2[[#This Row],[POPOLAZIONE TOTALE DI OGNI REGIONE (CON FILTRO)]]</f>
        <v>4.6792834692510122E-4</v>
      </c>
      <c r="H4757" t="str">
        <f>IF(Comuni__2[[#This Row],[Popolazione2011]]&gt;300000,"MAGGIORE","")</f>
        <v/>
      </c>
      <c r="J4757">
        <v>62</v>
      </c>
      <c r="K4757">
        <v>3461</v>
      </c>
      <c r="L4757">
        <v>451</v>
      </c>
    </row>
    <row r="4758" spans="1:12" x14ac:dyDescent="0.2">
      <c r="A4758"/>
      <c r="B4758"/>
      <c r="C4758"/>
      <c r="D4758"/>
      <c r="E4758" s="2">
        <f>Comuni__2[[#This Row],[Popolazione2011]]/$D$7911</f>
        <v>3.4330097042938387E-5</v>
      </c>
      <c r="F4758">
        <f>SUMIFS($D$2:$D$7909, $B$2:$B$7909, "Piemonte")</f>
        <v>4363916</v>
      </c>
      <c r="G4758" s="1">
        <f>Comuni__2[[#This Row],[Popolazione2011]]/Comuni__2[[#This Row],[POPOLAZIONE TOTALE DI OGNI REGIONE (CON FILTRO)]]</f>
        <v>4.6747004296141356E-4</v>
      </c>
      <c r="H4758" t="str">
        <f>IF(Comuni__2[[#This Row],[Popolazione2011]]&gt;300000,"MAGGIORE","")</f>
        <v/>
      </c>
      <c r="J4758">
        <v>53</v>
      </c>
      <c r="K4758">
        <v>1945</v>
      </c>
      <c r="L4758">
        <v>290</v>
      </c>
    </row>
    <row r="4759" spans="1:12" x14ac:dyDescent="0.2">
      <c r="A4759"/>
      <c r="B4759"/>
      <c r="C4759"/>
      <c r="D4759"/>
      <c r="E4759" s="2">
        <f>Comuni__2[[#This Row],[Popolazione2011]]/$D$7911</f>
        <v>3.4313268563995771E-5</v>
      </c>
      <c r="F4759">
        <f>SUMIFS($D$2:$D$7909, $B$2:$B$7909, "Piemonte")</f>
        <v>4363916</v>
      </c>
      <c r="G4759" s="1">
        <f>Comuni__2[[#This Row],[Popolazione2011]]/Comuni__2[[#This Row],[POPOLAZIONE TOTALE DI OGNI REGIONE (CON FILTRO)]]</f>
        <v>4.6724089097956975E-4</v>
      </c>
      <c r="H4759" t="str">
        <f>IF(Comuni__2[[#This Row],[Popolazione2011]]&gt;300000,"MAGGIORE","")</f>
        <v/>
      </c>
      <c r="J4759">
        <v>52</v>
      </c>
      <c r="K4759">
        <v>3528</v>
      </c>
      <c r="L4759">
        <v>453</v>
      </c>
    </row>
    <row r="4760" spans="1:12" x14ac:dyDescent="0.2">
      <c r="A4760"/>
      <c r="B4760"/>
      <c r="C4760"/>
      <c r="D4760"/>
      <c r="E4760" s="2">
        <f>Comuni__2[[#This Row],[Popolazione2011]]/$D$7911</f>
        <v>3.4279611606110532E-5</v>
      </c>
      <c r="F4760">
        <f>SUMIFS($D$2:$D$7909, $B$2:$B$7909, "Piemonte")</f>
        <v>4363916</v>
      </c>
      <c r="G4760" s="1">
        <f>Comuni__2[[#This Row],[Popolazione2011]]/Comuni__2[[#This Row],[POPOLAZIONE TOTALE DI OGNI REGIONE (CON FILTRO)]]</f>
        <v>4.6678258701588209E-4</v>
      </c>
      <c r="H4760" t="str">
        <f>IF(Comuni__2[[#This Row],[Popolazione2011]]&gt;300000,"MAGGIORE","")</f>
        <v/>
      </c>
      <c r="J4760">
        <v>55</v>
      </c>
      <c r="K4760">
        <v>1977</v>
      </c>
      <c r="L4760">
        <v>290</v>
      </c>
    </row>
    <row r="4761" spans="1:12" x14ac:dyDescent="0.2">
      <c r="A4761"/>
      <c r="B4761"/>
      <c r="C4761"/>
      <c r="D4761"/>
      <c r="E4761" s="2">
        <f>Comuni__2[[#This Row],[Popolazione2011]]/$D$7911</f>
        <v>3.4229126169282684E-5</v>
      </c>
      <c r="F4761">
        <f>SUMIFS($D$2:$D$7909, $B$2:$B$7909, "Piemonte")</f>
        <v>4363916</v>
      </c>
      <c r="G4761" s="1">
        <f>Comuni__2[[#This Row],[Popolazione2011]]/Comuni__2[[#This Row],[POPOLAZIONE TOTALE DI OGNI REGIONE (CON FILTRO)]]</f>
        <v>4.6609513107035057E-4</v>
      </c>
      <c r="H4761" t="str">
        <f>IF(Comuni__2[[#This Row],[Popolazione2011]]&gt;300000,"MAGGIORE","")</f>
        <v/>
      </c>
      <c r="J4761">
        <v>49</v>
      </c>
      <c r="K4761">
        <v>3584</v>
      </c>
      <c r="L4761">
        <v>453</v>
      </c>
    </row>
    <row r="4762" spans="1:12" x14ac:dyDescent="0.2">
      <c r="A4762"/>
      <c r="B4762"/>
      <c r="C4762"/>
      <c r="D4762"/>
      <c r="E4762" s="2">
        <f>Comuni__2[[#This Row],[Popolazione2011]]/$D$7911</f>
        <v>3.4229126169282684E-5</v>
      </c>
      <c r="F4762">
        <f>SUMIFS($D$2:$D$7909, $B$2:$B$7909, "Piemonte")</f>
        <v>4363916</v>
      </c>
      <c r="G4762" s="1">
        <f>Comuni__2[[#This Row],[Popolazione2011]]/Comuni__2[[#This Row],[POPOLAZIONE TOTALE DI OGNI REGIONE (CON FILTRO)]]</f>
        <v>4.6609513107035057E-4</v>
      </c>
      <c r="H4762" t="str">
        <f>IF(Comuni__2[[#This Row],[Popolazione2011]]&gt;300000,"MAGGIORE","")</f>
        <v/>
      </c>
      <c r="J4762">
        <v>58</v>
      </c>
      <c r="K4762">
        <v>1984</v>
      </c>
      <c r="L4762">
        <v>291</v>
      </c>
    </row>
    <row r="4763" spans="1:12" x14ac:dyDescent="0.2">
      <c r="A4763"/>
      <c r="B4763"/>
      <c r="C4763"/>
      <c r="D4763"/>
      <c r="E4763" s="2">
        <f>Comuni__2[[#This Row],[Popolazione2011]]/$D$7911</f>
        <v>3.412815529562698E-5</v>
      </c>
      <c r="F4763">
        <f>SUMIFS($D$2:$D$7909, $B$2:$B$7909, "Piemonte")</f>
        <v>4363916</v>
      </c>
      <c r="G4763" s="1">
        <f>Comuni__2[[#This Row],[Popolazione2011]]/Comuni__2[[#This Row],[POPOLAZIONE TOTALE DI OGNI REGIONE (CON FILTRO)]]</f>
        <v>4.6472021917928758E-4</v>
      </c>
      <c r="H4763" t="str">
        <f>IF(Comuni__2[[#This Row],[Popolazione2011]]&gt;300000,"MAGGIORE","")</f>
        <v/>
      </c>
      <c r="J4763">
        <v>49</v>
      </c>
      <c r="K4763">
        <v>3650</v>
      </c>
      <c r="L4763">
        <v>453</v>
      </c>
    </row>
    <row r="4764" spans="1:12" x14ac:dyDescent="0.2">
      <c r="A4764"/>
      <c r="B4764"/>
      <c r="C4764"/>
      <c r="D4764"/>
      <c r="E4764" s="2">
        <f>Comuni__2[[#This Row],[Popolazione2011]]/$D$7911</f>
        <v>3.4094498337741748E-5</v>
      </c>
      <c r="F4764">
        <f>SUMIFS($D$2:$D$7909, $B$2:$B$7909, "Piemonte")</f>
        <v>4363916</v>
      </c>
      <c r="G4764" s="1">
        <f>Comuni__2[[#This Row],[Popolazione2011]]/Comuni__2[[#This Row],[POPOLAZIONE TOTALE DI OGNI REGIONE (CON FILTRO)]]</f>
        <v>4.6426191521559991E-4</v>
      </c>
      <c r="H4764" t="str">
        <f>IF(Comuni__2[[#This Row],[Popolazione2011]]&gt;300000,"MAGGIORE","")</f>
        <v/>
      </c>
      <c r="J4764">
        <v>52</v>
      </c>
      <c r="K4764">
        <v>1988</v>
      </c>
      <c r="L4764">
        <v>291</v>
      </c>
    </row>
    <row r="4765" spans="1:12" x14ac:dyDescent="0.2">
      <c r="A4765"/>
      <c r="B4765"/>
      <c r="C4765"/>
      <c r="D4765"/>
      <c r="E4765" s="2">
        <f>Comuni__2[[#This Row],[Popolazione2011]]/$D$7911</f>
        <v>3.3959870506200812E-5</v>
      </c>
      <c r="F4765">
        <f>SUMIFS($D$2:$D$7909, $B$2:$B$7909, "Piemonte")</f>
        <v>4363916</v>
      </c>
      <c r="G4765" s="1">
        <f>Comuni__2[[#This Row],[Popolazione2011]]/Comuni__2[[#This Row],[POPOLAZIONE TOTALE DI OGNI REGIONE (CON FILTRO)]]</f>
        <v>4.6242869936084931E-4</v>
      </c>
      <c r="H4765" t="str">
        <f>IF(Comuni__2[[#This Row],[Popolazione2011]]&gt;300000,"MAGGIORE","")</f>
        <v/>
      </c>
      <c r="J4765">
        <v>50</v>
      </c>
      <c r="K4765">
        <v>3699</v>
      </c>
      <c r="L4765">
        <v>455</v>
      </c>
    </row>
    <row r="4766" spans="1:12" x14ac:dyDescent="0.2">
      <c r="A4766"/>
      <c r="B4766"/>
      <c r="C4766"/>
      <c r="D4766"/>
      <c r="E4766" s="2">
        <f>Comuni__2[[#This Row],[Popolazione2011]]/$D$7911</f>
        <v>3.3909385069372964E-5</v>
      </c>
      <c r="F4766">
        <f>SUMIFS($D$2:$D$7909, $B$2:$B$7909, "Piemonte")</f>
        <v>4363916</v>
      </c>
      <c r="G4766" s="1">
        <f>Comuni__2[[#This Row],[Popolazione2011]]/Comuni__2[[#This Row],[POPOLAZIONE TOTALE DI OGNI REGIONE (CON FILTRO)]]</f>
        <v>4.6174124341531779E-4</v>
      </c>
      <c r="H4766" t="str">
        <f>IF(Comuni__2[[#This Row],[Popolazione2011]]&gt;300000,"MAGGIORE","")</f>
        <v/>
      </c>
      <c r="J4766">
        <v>48</v>
      </c>
      <c r="K4766">
        <v>2024</v>
      </c>
      <c r="L4766">
        <v>291</v>
      </c>
    </row>
    <row r="4767" spans="1:12" x14ac:dyDescent="0.2">
      <c r="A4767"/>
      <c r="B4767"/>
      <c r="C4767"/>
      <c r="D4767"/>
      <c r="E4767" s="2">
        <f>Comuni__2[[#This Row],[Popolazione2011]]/$D$7911</f>
        <v>3.3858899632545116E-5</v>
      </c>
      <c r="F4767">
        <f>SUMIFS($D$2:$D$7909, $B$2:$B$7909, "Piemonte")</f>
        <v>4363916</v>
      </c>
      <c r="G4767" s="1">
        <f>Comuni__2[[#This Row],[Popolazione2011]]/Comuni__2[[#This Row],[POPOLAZIONE TOTALE DI OGNI REGIONE (CON FILTRO)]]</f>
        <v>4.6105378746978632E-4</v>
      </c>
      <c r="H4767" t="str">
        <f>IF(Comuni__2[[#This Row],[Popolazione2011]]&gt;300000,"MAGGIORE","")</f>
        <v/>
      </c>
      <c r="J4767">
        <v>45</v>
      </c>
      <c r="K4767">
        <v>3787</v>
      </c>
      <c r="L4767">
        <v>455</v>
      </c>
    </row>
    <row r="4768" spans="1:12" x14ac:dyDescent="0.2">
      <c r="A4768"/>
      <c r="B4768"/>
      <c r="C4768"/>
      <c r="D4768"/>
      <c r="E4768" s="2">
        <f>Comuni__2[[#This Row],[Popolazione2011]]/$D$7911</f>
        <v>3.380841419571726E-5</v>
      </c>
      <c r="F4768">
        <f>SUMIFS($D$2:$D$7909, $B$2:$B$7909, "Piemonte")</f>
        <v>4363916</v>
      </c>
      <c r="G4768" s="1">
        <f>Comuni__2[[#This Row],[Popolazione2011]]/Comuni__2[[#This Row],[POPOLAZIONE TOTALE DI OGNI REGIONE (CON FILTRO)]]</f>
        <v>4.603663315242548E-4</v>
      </c>
      <c r="H4768" t="str">
        <f>IF(Comuni__2[[#This Row],[Popolazione2011]]&gt;300000,"MAGGIORE","")</f>
        <v/>
      </c>
      <c r="J4768">
        <v>55</v>
      </c>
      <c r="K4768">
        <v>2046</v>
      </c>
      <c r="L4768">
        <v>291</v>
      </c>
    </row>
    <row r="4769" spans="1:12" x14ac:dyDescent="0.2">
      <c r="A4769"/>
      <c r="B4769"/>
      <c r="C4769"/>
      <c r="D4769"/>
      <c r="E4769" s="2">
        <f>Comuni__2[[#This Row],[Popolazione2011]]/$D$7911</f>
        <v>3.3673786364176331E-5</v>
      </c>
      <c r="F4769">
        <f>SUMIFS($D$2:$D$7909, $B$2:$B$7909, "Piemonte")</f>
        <v>4363916</v>
      </c>
      <c r="G4769" s="1">
        <f>Comuni__2[[#This Row],[Popolazione2011]]/Comuni__2[[#This Row],[POPOLAZIONE TOTALE DI OGNI REGIONE (CON FILTRO)]]</f>
        <v>4.585331156695042E-4</v>
      </c>
      <c r="H4769" t="str">
        <f>IF(Comuni__2[[#This Row],[Popolazione2011]]&gt;300000,"MAGGIORE","")</f>
        <v/>
      </c>
      <c r="J4769">
        <v>46</v>
      </c>
      <c r="K4769">
        <v>3857</v>
      </c>
      <c r="L4769">
        <v>455</v>
      </c>
    </row>
    <row r="4770" spans="1:12" x14ac:dyDescent="0.2">
      <c r="A4770"/>
      <c r="B4770"/>
      <c r="C4770"/>
      <c r="D4770"/>
      <c r="E4770" s="2">
        <f>Comuni__2[[#This Row],[Popolazione2011]]/$D$7911</f>
        <v>3.3589643969463244E-5</v>
      </c>
      <c r="F4770">
        <f>SUMIFS($D$2:$D$7909, $B$2:$B$7909, "Piemonte")</f>
        <v>4363916</v>
      </c>
      <c r="G4770" s="1">
        <f>Comuni__2[[#This Row],[Popolazione2011]]/Comuni__2[[#This Row],[POPOLAZIONE TOTALE DI OGNI REGIONE (CON FILTRO)]]</f>
        <v>4.5738735576028502E-4</v>
      </c>
      <c r="H4770" t="str">
        <f>IF(Comuni__2[[#This Row],[Popolazione2011]]&gt;300000,"MAGGIORE","")</f>
        <v/>
      </c>
      <c r="J4770">
        <v>39</v>
      </c>
      <c r="K4770">
        <v>2075</v>
      </c>
      <c r="L4770">
        <v>291</v>
      </c>
    </row>
    <row r="4771" spans="1:12" x14ac:dyDescent="0.2">
      <c r="A4771"/>
      <c r="B4771"/>
      <c r="C4771"/>
      <c r="D4771"/>
      <c r="E4771" s="2">
        <f>Comuni__2[[#This Row],[Popolazione2011]]/$D$7911</f>
        <v>3.3589643969463244E-5</v>
      </c>
      <c r="F4771">
        <f>SUMIFS($D$2:$D$7909, $B$2:$B$7909, "Piemonte")</f>
        <v>4363916</v>
      </c>
      <c r="G4771" s="1">
        <f>Comuni__2[[#This Row],[Popolazione2011]]/Comuni__2[[#This Row],[POPOLAZIONE TOTALE DI OGNI REGIONE (CON FILTRO)]]</f>
        <v>4.5738735576028502E-4</v>
      </c>
      <c r="H4771" t="str">
        <f>IF(Comuni__2[[#This Row],[Popolazione2011]]&gt;300000,"MAGGIORE","")</f>
        <v/>
      </c>
      <c r="J4771">
        <v>36</v>
      </c>
      <c r="K4771">
        <v>3326</v>
      </c>
      <c r="L4771">
        <v>455</v>
      </c>
    </row>
    <row r="4772" spans="1:12" x14ac:dyDescent="0.2">
      <c r="A4772"/>
      <c r="B4772"/>
      <c r="C4772"/>
      <c r="D4772"/>
      <c r="E4772" s="2">
        <f>Comuni__2[[#This Row],[Popolazione2011]]/$D$7911</f>
        <v>3.3539158532635396E-5</v>
      </c>
      <c r="F4772">
        <f>SUMIFS($D$2:$D$7909, $B$2:$B$7909, "Piemonte")</f>
        <v>4363916</v>
      </c>
      <c r="G4772" s="1">
        <f>Comuni__2[[#This Row],[Popolazione2011]]/Comuni__2[[#This Row],[POPOLAZIONE TOTALE DI OGNI REGIONE (CON FILTRO)]]</f>
        <v>4.5669989981475355E-4</v>
      </c>
      <c r="H4772" t="str">
        <f>IF(Comuni__2[[#This Row],[Popolazione2011]]&gt;300000,"MAGGIORE","")</f>
        <v/>
      </c>
      <c r="J4772">
        <v>40</v>
      </c>
      <c r="K4772">
        <v>2085</v>
      </c>
      <c r="L4772">
        <v>291</v>
      </c>
    </row>
    <row r="4773" spans="1:12" x14ac:dyDescent="0.2">
      <c r="A4773"/>
      <c r="B4773"/>
      <c r="C4773"/>
      <c r="D4773"/>
      <c r="E4773" s="2">
        <f>Comuni__2[[#This Row],[Popolazione2011]]/$D$7911</f>
        <v>3.3505501574750157E-5</v>
      </c>
      <c r="F4773">
        <f>SUMIFS($D$2:$D$7909, $B$2:$B$7909, "Piemonte")</f>
        <v>4363916</v>
      </c>
      <c r="G4773" s="1">
        <f>Comuni__2[[#This Row],[Popolazione2011]]/Comuni__2[[#This Row],[POPOLAZIONE TOTALE DI OGNI REGIONE (CON FILTRO)]]</f>
        <v>4.5624159585106589E-4</v>
      </c>
      <c r="H4773" t="str">
        <f>IF(Comuni__2[[#This Row],[Popolazione2011]]&gt;300000,"MAGGIORE","")</f>
        <v/>
      </c>
      <c r="J4773">
        <v>32</v>
      </c>
      <c r="K4773">
        <v>3374</v>
      </c>
      <c r="L4773">
        <v>456</v>
      </c>
    </row>
    <row r="4774" spans="1:12" x14ac:dyDescent="0.2">
      <c r="A4774"/>
      <c r="B4774"/>
      <c r="C4774"/>
      <c r="D4774"/>
      <c r="E4774" s="2">
        <f>Comuni__2[[#This Row],[Popolazione2011]]/$D$7911</f>
        <v>3.3471844616864924E-5</v>
      </c>
      <c r="F4774">
        <f>SUMIFS($D$2:$D$7909, $B$2:$B$7909, "Piemonte")</f>
        <v>4363916</v>
      </c>
      <c r="G4774" s="1">
        <f>Comuni__2[[#This Row],[Popolazione2011]]/Comuni__2[[#This Row],[POPOLAZIONE TOTALE DI OGNI REGIONE (CON FILTRO)]]</f>
        <v>4.5578329188737822E-4</v>
      </c>
      <c r="H4774" t="str">
        <f>IF(Comuni__2[[#This Row],[Popolazione2011]]&gt;300000,"MAGGIORE","")</f>
        <v/>
      </c>
      <c r="J4774">
        <v>35</v>
      </c>
      <c r="K4774">
        <v>2107</v>
      </c>
      <c r="L4774">
        <v>291</v>
      </c>
    </row>
    <row r="4775" spans="1:12" x14ac:dyDescent="0.2">
      <c r="A4775"/>
      <c r="B4775"/>
      <c r="C4775"/>
      <c r="D4775"/>
      <c r="E4775" s="2">
        <f>Comuni__2[[#This Row],[Popolazione2011]]/$D$7911</f>
        <v>3.340453070109446E-5</v>
      </c>
      <c r="F4775">
        <f>SUMIFS($D$2:$D$7909, $B$2:$B$7909, "Piemonte")</f>
        <v>4363916</v>
      </c>
      <c r="G4775" s="1">
        <f>Comuni__2[[#This Row],[Popolazione2011]]/Comuni__2[[#This Row],[POPOLAZIONE TOTALE DI OGNI REGIONE (CON FILTRO)]]</f>
        <v>4.548666839600029E-4</v>
      </c>
      <c r="H4775" t="str">
        <f>IF(Comuni__2[[#This Row],[Popolazione2011]]&gt;300000,"MAGGIORE","")</f>
        <v/>
      </c>
      <c r="J4775">
        <v>31</v>
      </c>
      <c r="K4775">
        <v>3412</v>
      </c>
      <c r="L4775">
        <v>457</v>
      </c>
    </row>
    <row r="4776" spans="1:12" x14ac:dyDescent="0.2">
      <c r="A4776"/>
      <c r="B4776"/>
      <c r="C4776"/>
      <c r="D4776"/>
      <c r="E4776" s="2">
        <f>Comuni__2[[#This Row],[Popolazione2011]]/$D$7911</f>
        <v>3.3354045264266611E-5</v>
      </c>
      <c r="F4776">
        <f>SUMIFS($D$2:$D$7909, $B$2:$B$7909, "Piemonte")</f>
        <v>4363916</v>
      </c>
      <c r="G4776" s="1">
        <f>Comuni__2[[#This Row],[Popolazione2011]]/Comuni__2[[#This Row],[POPOLAZIONE TOTALE DI OGNI REGIONE (CON FILTRO)]]</f>
        <v>4.5417922801447143E-4</v>
      </c>
      <c r="H4776" t="str">
        <f>IF(Comuni__2[[#This Row],[Popolazione2011]]&gt;300000,"MAGGIORE","")</f>
        <v/>
      </c>
      <c r="J4776">
        <v>34</v>
      </c>
      <c r="K4776">
        <v>2118</v>
      </c>
      <c r="L4776">
        <v>291</v>
      </c>
    </row>
    <row r="4777" spans="1:12" x14ac:dyDescent="0.2">
      <c r="A4777"/>
      <c r="B4777"/>
      <c r="C4777"/>
      <c r="D4777"/>
      <c r="E4777" s="2">
        <f>Comuni__2[[#This Row],[Popolazione2011]]/$D$7911</f>
        <v>3.3253074390610908E-5</v>
      </c>
      <c r="F4777">
        <f>SUMIFS($D$2:$D$7909, $B$2:$B$7909, "Piemonte")</f>
        <v>4363916</v>
      </c>
      <c r="G4777" s="1">
        <f>Comuni__2[[#This Row],[Popolazione2011]]/Comuni__2[[#This Row],[POPOLAZIONE TOTALE DI OGNI REGIONE (CON FILTRO)]]</f>
        <v>4.5280431612340844E-4</v>
      </c>
      <c r="H4777" t="str">
        <f>IF(Comuni__2[[#This Row],[Popolazione2011]]&gt;300000,"MAGGIORE","")</f>
        <v/>
      </c>
      <c r="J4777">
        <v>31</v>
      </c>
      <c r="K4777">
        <v>3430</v>
      </c>
      <c r="L4777">
        <v>458</v>
      </c>
    </row>
    <row r="4778" spans="1:12" x14ac:dyDescent="0.2">
      <c r="A4778"/>
      <c r="B4778"/>
      <c r="C4778"/>
      <c r="D4778"/>
      <c r="E4778" s="2">
        <f>Comuni__2[[#This Row],[Popolazione2011]]/$D$7911</f>
        <v>3.3118446559069972E-5</v>
      </c>
      <c r="F4778">
        <f>SUMIFS($D$2:$D$7909, $B$2:$B$7909, "Piemonte")</f>
        <v>4363916</v>
      </c>
      <c r="G4778" s="1">
        <f>Comuni__2[[#This Row],[Popolazione2011]]/Comuni__2[[#This Row],[POPOLAZIONE TOTALE DI OGNI REGIONE (CON FILTRO)]]</f>
        <v>4.5097110026865779E-4</v>
      </c>
      <c r="H4778" t="str">
        <f>IF(Comuni__2[[#This Row],[Popolazione2011]]&gt;300000,"MAGGIORE","")</f>
        <v/>
      </c>
      <c r="J4778">
        <v>33</v>
      </c>
      <c r="K4778">
        <v>2123</v>
      </c>
      <c r="L4778">
        <v>291</v>
      </c>
    </row>
    <row r="4779" spans="1:12" x14ac:dyDescent="0.2">
      <c r="A4779"/>
      <c r="B4779"/>
      <c r="C4779"/>
      <c r="D4779"/>
      <c r="E4779" s="2">
        <f>Comuni__2[[#This Row],[Popolazione2011]]/$D$7911</f>
        <v>3.308478960118474E-5</v>
      </c>
      <c r="F4779">
        <f>SUMIFS($D$2:$D$7909, $B$2:$B$7909, "Piemonte")</f>
        <v>4363916</v>
      </c>
      <c r="G4779" s="1">
        <f>Comuni__2[[#This Row],[Popolazione2011]]/Comuni__2[[#This Row],[POPOLAZIONE TOTALE DI OGNI REGIONE (CON FILTRO)]]</f>
        <v>4.5051279630497012E-4</v>
      </c>
      <c r="H4779" t="str">
        <f>IF(Comuni__2[[#This Row],[Popolazione2011]]&gt;300000,"MAGGIORE","")</f>
        <v/>
      </c>
      <c r="J4779">
        <v>27</v>
      </c>
      <c r="K4779">
        <v>3441</v>
      </c>
      <c r="L4779">
        <v>461</v>
      </c>
    </row>
    <row r="4780" spans="1:12" x14ac:dyDescent="0.2">
      <c r="A4780"/>
      <c r="B4780"/>
      <c r="C4780"/>
      <c r="D4780"/>
      <c r="E4780" s="2">
        <f>Comuni__2[[#This Row],[Popolazione2011]]/$D$7911</f>
        <v>3.3067961122242124E-5</v>
      </c>
      <c r="F4780">
        <f>SUMIFS($D$2:$D$7909, $B$2:$B$7909, "Piemonte")</f>
        <v>4363916</v>
      </c>
      <c r="G4780" s="1">
        <f>Comuni__2[[#This Row],[Popolazione2011]]/Comuni__2[[#This Row],[POPOLAZIONE TOTALE DI OGNI REGIONE (CON FILTRO)]]</f>
        <v>4.5028364432312632E-4</v>
      </c>
      <c r="H4780" t="str">
        <f>IF(Comuni__2[[#This Row],[Popolazione2011]]&gt;300000,"MAGGIORE","")</f>
        <v/>
      </c>
      <c r="J4780">
        <v>32</v>
      </c>
      <c r="K4780">
        <v>2131</v>
      </c>
      <c r="L4780">
        <v>291</v>
      </c>
    </row>
    <row r="4781" spans="1:12" x14ac:dyDescent="0.2">
      <c r="A4781"/>
      <c r="B4781"/>
      <c r="C4781"/>
      <c r="D4781"/>
      <c r="E4781" s="2">
        <f>Comuni__2[[#This Row],[Popolazione2011]]/$D$7911</f>
        <v>3.2731391543389788E-5</v>
      </c>
      <c r="F4781">
        <f>SUMIFS($D$2:$D$7909, $B$2:$B$7909, "Piemonte")</f>
        <v>4363916</v>
      </c>
      <c r="G4781" s="1">
        <f>Comuni__2[[#This Row],[Popolazione2011]]/Comuni__2[[#This Row],[POPOLAZIONE TOTALE DI OGNI REGIONE (CON FILTRO)]]</f>
        <v>4.4570060468624969E-4</v>
      </c>
      <c r="H4781" t="str">
        <f>IF(Comuni__2[[#This Row],[Popolazione2011]]&gt;300000,"MAGGIORE","")</f>
        <v/>
      </c>
      <c r="J4781">
        <v>21</v>
      </c>
      <c r="K4781">
        <v>3483</v>
      </c>
      <c r="L4781">
        <v>462</v>
      </c>
    </row>
    <row r="4782" spans="1:12" x14ac:dyDescent="0.2">
      <c r="A4782"/>
      <c r="B4782"/>
      <c r="C4782"/>
      <c r="D4782"/>
      <c r="E4782" s="2">
        <f>Comuni__2[[#This Row],[Popolazione2011]]/$D$7911</f>
        <v>3.2613592190791468E-5</v>
      </c>
      <c r="F4782">
        <f>SUMIFS($D$2:$D$7909, $B$2:$B$7909, "Piemonte")</f>
        <v>4363916</v>
      </c>
      <c r="G4782" s="1">
        <f>Comuni__2[[#This Row],[Popolazione2011]]/Comuni__2[[#This Row],[POPOLAZIONE TOTALE DI OGNI REGIONE (CON FILTRO)]]</f>
        <v>4.4409654081334289E-4</v>
      </c>
      <c r="H4782" t="str">
        <f>IF(Comuni__2[[#This Row],[Popolazione2011]]&gt;300000,"MAGGIORE","")</f>
        <v/>
      </c>
      <c r="J4782">
        <v>21</v>
      </c>
      <c r="K4782">
        <v>2147</v>
      </c>
      <c r="L4782">
        <v>291</v>
      </c>
    </row>
    <row r="4783" spans="1:12" x14ac:dyDescent="0.2">
      <c r="A4783"/>
      <c r="B4783"/>
      <c r="C4783"/>
      <c r="D4783"/>
      <c r="E4783" s="2">
        <f>Comuni__2[[#This Row],[Popolazione2011]]/$D$7911</f>
        <v>3.2478964359250532E-5</v>
      </c>
      <c r="F4783">
        <f>SUMIFS($D$2:$D$7909, $B$2:$B$7909, "Piemonte")</f>
        <v>4363916</v>
      </c>
      <c r="G4783" s="1">
        <f>Comuni__2[[#This Row],[Popolazione2011]]/Comuni__2[[#This Row],[POPOLAZIONE TOTALE DI OGNI REGIONE (CON FILTRO)]]</f>
        <v>4.4226332495859224E-4</v>
      </c>
      <c r="H4783" t="str">
        <f>IF(Comuni__2[[#This Row],[Popolazione2011]]&gt;300000,"MAGGIORE","")</f>
        <v/>
      </c>
      <c r="J4783">
        <v>20</v>
      </c>
      <c r="K4783">
        <v>3505</v>
      </c>
      <c r="L4783">
        <v>462</v>
      </c>
    </row>
    <row r="4784" spans="1:12" x14ac:dyDescent="0.2">
      <c r="A4784"/>
      <c r="B4784"/>
      <c r="C4784"/>
      <c r="D4784"/>
      <c r="E4784" s="2">
        <f>Comuni__2[[#This Row],[Popolazione2011]]/$D$7911</f>
        <v>3.24453074013653E-5</v>
      </c>
      <c r="F4784">
        <f>SUMIFS($D$2:$D$7909, $B$2:$B$7909, "Piemonte")</f>
        <v>4363916</v>
      </c>
      <c r="G4784" s="1">
        <f>Comuni__2[[#This Row],[Popolazione2011]]/Comuni__2[[#This Row],[POPOLAZIONE TOTALE DI OGNI REGIONE (CON FILTRO)]]</f>
        <v>4.4180502099490458E-4</v>
      </c>
      <c r="H4784" t="str">
        <f>IF(Comuni__2[[#This Row],[Popolazione2011]]&gt;300000,"MAGGIORE","")</f>
        <v/>
      </c>
      <c r="J4784">
        <v>22</v>
      </c>
      <c r="K4784">
        <v>2150</v>
      </c>
      <c r="L4784">
        <v>291</v>
      </c>
    </row>
    <row r="4785" spans="1:12" x14ac:dyDescent="0.2">
      <c r="A4785"/>
      <c r="B4785"/>
      <c r="C4785"/>
      <c r="D4785"/>
      <c r="E4785" s="2">
        <f>Comuni__2[[#This Row],[Popolazione2011]]/$D$7911</f>
        <v>3.2411650443480061E-5</v>
      </c>
      <c r="F4785">
        <f>SUMIFS($D$2:$D$7909, $B$2:$B$7909, "Piemonte")</f>
        <v>4363916</v>
      </c>
      <c r="G4785" s="1">
        <f>Comuni__2[[#This Row],[Popolazione2011]]/Comuni__2[[#This Row],[POPOLAZIONE TOTALE DI OGNI REGIONE (CON FILTRO)]]</f>
        <v>4.4134671703121691E-4</v>
      </c>
      <c r="H4785" t="str">
        <f>IF(Comuni__2[[#This Row],[Popolazione2011]]&gt;300000,"MAGGIORE","")</f>
        <v/>
      </c>
      <c r="J4785">
        <v>19</v>
      </c>
      <c r="K4785">
        <v>3556</v>
      </c>
      <c r="L4785">
        <v>462</v>
      </c>
    </row>
    <row r="4786" spans="1:12" x14ac:dyDescent="0.2">
      <c r="A4786"/>
      <c r="B4786"/>
      <c r="C4786"/>
      <c r="D4786"/>
      <c r="E4786" s="2">
        <f>Comuni__2[[#This Row],[Popolazione2011]]/$D$7911</f>
        <v>3.212556630145558E-5</v>
      </c>
      <c r="F4786">
        <f>SUMIFS($D$2:$D$7909, $B$2:$B$7909, "Piemonte")</f>
        <v>4363916</v>
      </c>
      <c r="G4786" s="1">
        <f>Comuni__2[[#This Row],[Popolazione2011]]/Comuni__2[[#This Row],[POPOLAZIONE TOTALE DI OGNI REGIONE (CON FILTRO)]]</f>
        <v>4.374511333398718E-4</v>
      </c>
      <c r="H4786" t="str">
        <f>IF(Comuni__2[[#This Row],[Popolazione2011]]&gt;300000,"MAGGIORE","")</f>
        <v/>
      </c>
      <c r="J4786">
        <v>17</v>
      </c>
      <c r="K4786">
        <v>2168</v>
      </c>
      <c r="L4786">
        <v>291</v>
      </c>
    </row>
    <row r="4787" spans="1:12" x14ac:dyDescent="0.2">
      <c r="A4787"/>
      <c r="B4787"/>
      <c r="C4787"/>
      <c r="D4787"/>
      <c r="E4787" s="2">
        <f>Comuni__2[[#This Row],[Popolazione2011]]/$D$7911</f>
        <v>3.1536569538463989E-5</v>
      </c>
      <c r="F4787">
        <f>SUMIFS($D$2:$D$7909, $B$2:$B$7909, "Piemonte")</f>
        <v>4363916</v>
      </c>
      <c r="G4787" s="1">
        <f>Comuni__2[[#This Row],[Popolazione2011]]/Comuni__2[[#This Row],[POPOLAZIONE TOTALE DI OGNI REGIONE (CON FILTRO)]]</f>
        <v>4.2943081397533772E-4</v>
      </c>
      <c r="H4787" t="str">
        <f>IF(Comuni__2[[#This Row],[Popolazione2011]]&gt;300000,"MAGGIORE","")</f>
        <v/>
      </c>
      <c r="J4787">
        <v>16</v>
      </c>
      <c r="K4787">
        <v>3601</v>
      </c>
      <c r="L4787">
        <v>462</v>
      </c>
    </row>
    <row r="4788" spans="1:12" x14ac:dyDescent="0.2">
      <c r="A4788"/>
      <c r="B4788"/>
      <c r="C4788"/>
      <c r="D4788"/>
      <c r="E4788" s="2">
        <f>Comuni__2[[#This Row],[Popolazione2011]]/$D$7911</f>
        <v>3.1452427143750901E-5</v>
      </c>
      <c r="F4788">
        <f>SUMIFS($D$2:$D$7909, $B$2:$B$7909, "Piemonte")</f>
        <v>4363916</v>
      </c>
      <c r="G4788" s="1">
        <f>Comuni__2[[#This Row],[Popolazione2011]]/Comuni__2[[#This Row],[POPOLAZIONE TOTALE DI OGNI REGIONE (CON FILTRO)]]</f>
        <v>4.2828505406611859E-4</v>
      </c>
      <c r="H4788" t="str">
        <f>IF(Comuni__2[[#This Row],[Popolazione2011]]&gt;300000,"MAGGIORE","")</f>
        <v/>
      </c>
      <c r="J4788">
        <v>17</v>
      </c>
      <c r="K4788">
        <v>2179</v>
      </c>
      <c r="L4788">
        <v>291</v>
      </c>
    </row>
    <row r="4789" spans="1:12" x14ac:dyDescent="0.2">
      <c r="A4789"/>
      <c r="B4789"/>
      <c r="C4789"/>
      <c r="D4789"/>
      <c r="E4789" s="2">
        <f>Comuni__2[[#This Row],[Popolazione2011]]/$D$7911</f>
        <v>3.1250485396439501E-5</v>
      </c>
      <c r="F4789">
        <f>SUMIFS($D$2:$D$7909, $B$2:$B$7909, "Piemonte")</f>
        <v>4363916</v>
      </c>
      <c r="G4789" s="1">
        <f>Comuni__2[[#This Row],[Popolazione2011]]/Comuni__2[[#This Row],[POPOLAZIONE TOTALE DI OGNI REGIONE (CON FILTRO)]]</f>
        <v>4.2553523028399261E-4</v>
      </c>
      <c r="H4789" t="str">
        <f>IF(Comuni__2[[#This Row],[Popolazione2011]]&gt;300000,"MAGGIORE","")</f>
        <v/>
      </c>
      <c r="J4789">
        <v>16</v>
      </c>
      <c r="K4789">
        <v>3664</v>
      </c>
      <c r="L4789">
        <v>462</v>
      </c>
    </row>
    <row r="4790" spans="1:12" x14ac:dyDescent="0.2">
      <c r="A4790"/>
      <c r="B4790"/>
      <c r="C4790"/>
      <c r="D4790"/>
      <c r="E4790" s="2">
        <f>Comuni__2[[#This Row],[Popolazione2011]]/$D$7911</f>
        <v>3.1233656917496885E-5</v>
      </c>
      <c r="F4790">
        <f>SUMIFS($D$2:$D$7909, $B$2:$B$7909, "Piemonte")</f>
        <v>4363916</v>
      </c>
      <c r="G4790" s="1">
        <f>Comuni__2[[#This Row],[Popolazione2011]]/Comuni__2[[#This Row],[POPOLAZIONE TOTALE DI OGNI REGIONE (CON FILTRO)]]</f>
        <v>4.2530607830214881E-4</v>
      </c>
      <c r="H4790" t="str">
        <f>IF(Comuni__2[[#This Row],[Popolazione2011]]&gt;300000,"MAGGIORE","")</f>
        <v/>
      </c>
      <c r="J4790">
        <v>17</v>
      </c>
      <c r="K4790">
        <v>2184</v>
      </c>
      <c r="L4790">
        <v>291</v>
      </c>
    </row>
    <row r="4791" spans="1:12" x14ac:dyDescent="0.2">
      <c r="A4791"/>
      <c r="B4791"/>
      <c r="C4791"/>
      <c r="D4791"/>
      <c r="E4791" s="2">
        <f>Comuni__2[[#This Row],[Popolazione2011]]/$D$7911</f>
        <v>3.1115857564898565E-5</v>
      </c>
      <c r="F4791">
        <f>SUMIFS($D$2:$D$7909, $B$2:$B$7909, "Piemonte")</f>
        <v>4363916</v>
      </c>
      <c r="G4791" s="1">
        <f>Comuni__2[[#This Row],[Popolazione2011]]/Comuni__2[[#This Row],[POPOLAZIONE TOTALE DI OGNI REGIONE (CON FILTRO)]]</f>
        <v>4.2370201442924201E-4</v>
      </c>
      <c r="H4791" t="str">
        <f>IF(Comuni__2[[#This Row],[Popolazione2011]]&gt;300000,"MAGGIORE","")</f>
        <v/>
      </c>
      <c r="J4791">
        <v>17</v>
      </c>
      <c r="K4791">
        <v>3677</v>
      </c>
      <c r="L4791">
        <v>462</v>
      </c>
    </row>
    <row r="4792" spans="1:12" x14ac:dyDescent="0.2">
      <c r="A4792"/>
      <c r="B4792"/>
      <c r="C4792"/>
      <c r="D4792"/>
      <c r="E4792" s="2">
        <f>Comuni__2[[#This Row],[Popolazione2011]]/$D$7911</f>
        <v>3.0863430380759316E-5</v>
      </c>
      <c r="F4792">
        <f>SUMIFS($D$2:$D$7909, $B$2:$B$7909, "Piemonte")</f>
        <v>4363916</v>
      </c>
      <c r="G4792" s="1">
        <f>Comuni__2[[#This Row],[Popolazione2011]]/Comuni__2[[#This Row],[POPOLAZIONE TOTALE DI OGNI REGIONE (CON FILTRO)]]</f>
        <v>4.2026473470158456E-4</v>
      </c>
      <c r="H4792" t="str">
        <f>IF(Comuni__2[[#This Row],[Popolazione2011]]&gt;300000,"MAGGIORE","")</f>
        <v/>
      </c>
      <c r="J4792">
        <v>16</v>
      </c>
      <c r="K4792">
        <v>2187</v>
      </c>
      <c r="L4792">
        <v>291</v>
      </c>
    </row>
    <row r="4793" spans="1:12" x14ac:dyDescent="0.2">
      <c r="A4793"/>
      <c r="B4793"/>
      <c r="C4793"/>
      <c r="D4793"/>
      <c r="E4793" s="2">
        <f>Comuni__2[[#This Row],[Popolazione2011]]/$D$7911</f>
        <v>3.0627831675562677E-5</v>
      </c>
      <c r="F4793">
        <f>SUMIFS($D$2:$D$7909, $B$2:$B$7909, "Piemonte")</f>
        <v>4363916</v>
      </c>
      <c r="G4793" s="1">
        <f>Comuni__2[[#This Row],[Popolazione2011]]/Comuni__2[[#This Row],[POPOLAZIONE TOTALE DI OGNI REGIONE (CON FILTRO)]]</f>
        <v>4.1705660695577092E-4</v>
      </c>
      <c r="H4793" t="str">
        <f>IF(Comuni__2[[#This Row],[Popolazione2011]]&gt;300000,"MAGGIORE","")</f>
        <v/>
      </c>
      <c r="J4793">
        <v>16</v>
      </c>
      <c r="K4793">
        <v>3686</v>
      </c>
      <c r="L4793">
        <v>463</v>
      </c>
    </row>
    <row r="4794" spans="1:12" x14ac:dyDescent="0.2">
      <c r="A4794"/>
      <c r="B4794"/>
      <c r="C4794"/>
      <c r="D4794"/>
      <c r="E4794" s="2">
        <f>Comuni__2[[#This Row],[Popolazione2011]]/$D$7911</f>
        <v>3.0207119701997257E-5</v>
      </c>
      <c r="F4794">
        <f>SUMIFS($D$2:$D$7909, $B$2:$B$7909, "Piemonte")</f>
        <v>4363916</v>
      </c>
      <c r="G4794" s="1">
        <f>Comuni__2[[#This Row],[Popolazione2011]]/Comuni__2[[#This Row],[POPOLAZIONE TOTALE DI OGNI REGIONE (CON FILTRO)]]</f>
        <v>4.1132780740967516E-4</v>
      </c>
      <c r="H4794" t="str">
        <f>IF(Comuni__2[[#This Row],[Popolazione2011]]&gt;300000,"MAGGIORE","")</f>
        <v/>
      </c>
      <c r="J4794">
        <v>16</v>
      </c>
      <c r="K4794">
        <v>2187</v>
      </c>
      <c r="L4794">
        <v>291</v>
      </c>
    </row>
    <row r="4795" spans="1:12" x14ac:dyDescent="0.2">
      <c r="A4795"/>
      <c r="B4795"/>
      <c r="C4795"/>
      <c r="D4795"/>
      <c r="E4795" s="2">
        <f>Comuni__2[[#This Row],[Popolazione2011]]/$D$7911</f>
        <v>3.0139805786226789E-5</v>
      </c>
      <c r="F4795">
        <f>SUMIFS($D$2:$D$7909, $B$2:$B$7909, "Piemonte")</f>
        <v>4363916</v>
      </c>
      <c r="G4795" s="1">
        <f>Comuni__2[[#This Row],[Popolazione2011]]/Comuni__2[[#This Row],[POPOLAZIONE TOTALE DI OGNI REGIONE (CON FILTRO)]]</f>
        <v>4.1041119948229983E-4</v>
      </c>
      <c r="H4795" t="str">
        <f>IF(Comuni__2[[#This Row],[Popolazione2011]]&gt;300000,"MAGGIORE","")</f>
        <v/>
      </c>
      <c r="J4795">
        <v>17</v>
      </c>
      <c r="K4795">
        <v>3748</v>
      </c>
      <c r="L4795">
        <v>463</v>
      </c>
    </row>
    <row r="4796" spans="1:12" x14ac:dyDescent="0.2">
      <c r="A4796"/>
      <c r="B4796"/>
      <c r="C4796"/>
      <c r="D4796"/>
      <c r="E4796" s="2">
        <f>Comuni__2[[#This Row],[Popolazione2011]]/$D$7911</f>
        <v>3.0139805786226789E-5</v>
      </c>
      <c r="F4796">
        <f>SUMIFS($D$2:$D$7909, $B$2:$B$7909, "Piemonte")</f>
        <v>4363916</v>
      </c>
      <c r="G4796" s="1">
        <f>Comuni__2[[#This Row],[Popolazione2011]]/Comuni__2[[#This Row],[POPOLAZIONE TOTALE DI OGNI REGIONE (CON FILTRO)]]</f>
        <v>4.1041119948229983E-4</v>
      </c>
      <c r="H4796" t="str">
        <f>IF(Comuni__2[[#This Row],[Popolazione2011]]&gt;300000,"MAGGIORE","")</f>
        <v/>
      </c>
      <c r="J4796">
        <v>9</v>
      </c>
      <c r="K4796">
        <v>2194</v>
      </c>
      <c r="L4796">
        <v>292</v>
      </c>
    </row>
    <row r="4797" spans="1:12" x14ac:dyDescent="0.2">
      <c r="A4797"/>
      <c r="B4797"/>
      <c r="C4797"/>
      <c r="D4797"/>
      <c r="E4797" s="2">
        <f>Comuni__2[[#This Row],[Popolazione2011]]/$D$7911</f>
        <v>3.0139805786226789E-5</v>
      </c>
      <c r="F4797">
        <f>SUMIFS($D$2:$D$7909, $B$2:$B$7909, "Piemonte")</f>
        <v>4363916</v>
      </c>
      <c r="G4797" s="1">
        <f>Comuni__2[[#This Row],[Popolazione2011]]/Comuni__2[[#This Row],[POPOLAZIONE TOTALE DI OGNI REGIONE (CON FILTRO)]]</f>
        <v>4.1041119948229983E-4</v>
      </c>
      <c r="H4797" t="str">
        <f>IF(Comuni__2[[#This Row],[Popolazione2011]]&gt;300000,"MAGGIORE","")</f>
        <v/>
      </c>
      <c r="J4797">
        <v>15</v>
      </c>
      <c r="K4797">
        <v>3762</v>
      </c>
      <c r="L4797">
        <v>464</v>
      </c>
    </row>
    <row r="4798" spans="1:12" x14ac:dyDescent="0.2">
      <c r="A4798"/>
      <c r="B4798"/>
      <c r="C4798"/>
      <c r="D4798"/>
      <c r="E4798" s="2">
        <f>Comuni__2[[#This Row],[Popolazione2011]]/$D$7911</f>
        <v>3.0022006433628469E-5</v>
      </c>
      <c r="F4798">
        <f>SUMIFS($D$2:$D$7909, $B$2:$B$7909, "Piemonte")</f>
        <v>4363916</v>
      </c>
      <c r="G4798" s="1">
        <f>Comuni__2[[#This Row],[Popolazione2011]]/Comuni__2[[#This Row],[POPOLAZIONE TOTALE DI OGNI REGIONE (CON FILTRO)]]</f>
        <v>4.0880713560939304E-4</v>
      </c>
      <c r="H4798" t="str">
        <f>IF(Comuni__2[[#This Row],[Popolazione2011]]&gt;300000,"MAGGIORE","")</f>
        <v/>
      </c>
      <c r="J4798">
        <v>12</v>
      </c>
      <c r="K4798">
        <v>2206</v>
      </c>
      <c r="L4798">
        <v>292</v>
      </c>
    </row>
    <row r="4799" spans="1:12" x14ac:dyDescent="0.2">
      <c r="A4799"/>
      <c r="B4799"/>
      <c r="C4799"/>
      <c r="D4799"/>
      <c r="E4799" s="2">
        <f>Comuni__2[[#This Row],[Popolazione2011]]/$D$7911</f>
        <v>2.9971520996800621E-5</v>
      </c>
      <c r="F4799">
        <f>SUMIFS($D$2:$D$7909, $B$2:$B$7909, "Piemonte")</f>
        <v>4363916</v>
      </c>
      <c r="G4799" s="1">
        <f>Comuni__2[[#This Row],[Popolazione2011]]/Comuni__2[[#This Row],[POPOLAZIONE TOTALE DI OGNI REGIONE (CON FILTRO)]]</f>
        <v>4.0811967966386151E-4</v>
      </c>
      <c r="H4799" t="str">
        <f>IF(Comuni__2[[#This Row],[Popolazione2011]]&gt;300000,"MAGGIORE","")</f>
        <v/>
      </c>
      <c r="J4799">
        <v>9</v>
      </c>
      <c r="K4799">
        <v>3846</v>
      </c>
      <c r="L4799">
        <v>464</v>
      </c>
    </row>
    <row r="4800" spans="1:12" x14ac:dyDescent="0.2">
      <c r="A4800"/>
      <c r="B4800"/>
      <c r="C4800"/>
      <c r="D4800"/>
      <c r="E4800" s="2">
        <f>Comuni__2[[#This Row],[Popolazione2011]]/$D$7911</f>
        <v>2.9752750770546601E-5</v>
      </c>
      <c r="F4800">
        <f>SUMIFS($D$2:$D$7909, $B$2:$B$7909, "Piemonte")</f>
        <v>4363916</v>
      </c>
      <c r="G4800" s="1">
        <f>Comuni__2[[#This Row],[Popolazione2011]]/Comuni__2[[#This Row],[POPOLAZIONE TOTALE DI OGNI REGIONE (CON FILTRO)]]</f>
        <v>4.0514070389989173E-4</v>
      </c>
      <c r="H4800" t="str">
        <f>IF(Comuni__2[[#This Row],[Popolazione2011]]&gt;300000,"MAGGIORE","")</f>
        <v/>
      </c>
      <c r="J4800">
        <v>9</v>
      </c>
      <c r="K4800">
        <v>2208</v>
      </c>
      <c r="L4800">
        <v>292</v>
      </c>
    </row>
    <row r="4801" spans="1:12" x14ac:dyDescent="0.2">
      <c r="A4801"/>
      <c r="B4801"/>
      <c r="C4801"/>
      <c r="D4801"/>
      <c r="E4801" s="2">
        <f>Comuni__2[[#This Row],[Popolazione2011]]/$D$7911</f>
        <v>2.9517152065349965E-5</v>
      </c>
      <c r="F4801">
        <f>SUMIFS($D$2:$D$7909, $B$2:$B$7909, "Piemonte")</f>
        <v>4363916</v>
      </c>
      <c r="G4801" s="1">
        <f>Comuni__2[[#This Row],[Popolazione2011]]/Comuni__2[[#This Row],[POPOLAZIONE TOTALE DI OGNI REGIONE (CON FILTRO)]]</f>
        <v>4.0193257615407814E-4</v>
      </c>
      <c r="H4801" t="str">
        <f>IF(Comuni__2[[#This Row],[Popolazione2011]]&gt;300000,"MAGGIORE","")</f>
        <v/>
      </c>
      <c r="J4801">
        <v>7</v>
      </c>
      <c r="K4801">
        <v>3866</v>
      </c>
      <c r="L4801">
        <v>464</v>
      </c>
    </row>
    <row r="4802" spans="1:12" x14ac:dyDescent="0.2">
      <c r="A4802"/>
      <c r="B4802"/>
      <c r="C4802"/>
      <c r="D4802"/>
      <c r="E4802" s="2">
        <f>Comuni__2[[#This Row],[Popolazione2011]]/$D$7911</f>
        <v>2.9466666628522114E-5</v>
      </c>
      <c r="F4802">
        <f>SUMIFS($D$2:$D$7909, $B$2:$B$7909, "Piemonte")</f>
        <v>4363916</v>
      </c>
      <c r="G4802" s="1">
        <f>Comuni__2[[#This Row],[Popolazione2011]]/Comuni__2[[#This Row],[POPOLAZIONE TOTALE DI OGNI REGIONE (CON FILTRO)]]</f>
        <v>4.0124512020854662E-4</v>
      </c>
      <c r="H4802" t="str">
        <f>IF(Comuni__2[[#This Row],[Popolazione2011]]&gt;300000,"MAGGIORE","")</f>
        <v/>
      </c>
      <c r="J4802">
        <v>9</v>
      </c>
      <c r="K4802">
        <v>2214</v>
      </c>
      <c r="L4802">
        <v>292</v>
      </c>
    </row>
    <row r="4803" spans="1:12" x14ac:dyDescent="0.2">
      <c r="A4803"/>
      <c r="B4803"/>
      <c r="C4803"/>
      <c r="D4803"/>
      <c r="E4803" s="2">
        <f>Comuni__2[[#This Row],[Popolazione2011]]/$D$7911</f>
        <v>2.9399352712751646E-5</v>
      </c>
      <c r="F4803">
        <f>SUMIFS($D$2:$D$7909, $B$2:$B$7909, "Piemonte")</f>
        <v>4363916</v>
      </c>
      <c r="G4803" s="1">
        <f>Comuni__2[[#This Row],[Popolazione2011]]/Comuni__2[[#This Row],[POPOLAZIONE TOTALE DI OGNI REGIONE (CON FILTRO)]]</f>
        <v>4.0032851228117129E-4</v>
      </c>
      <c r="H4803" t="str">
        <f>IF(Comuni__2[[#This Row],[Popolazione2011]]&gt;300000,"MAGGIORE","")</f>
        <v/>
      </c>
      <c r="J4803">
        <v>7</v>
      </c>
      <c r="K4803">
        <v>3889</v>
      </c>
      <c r="L4803">
        <v>464</v>
      </c>
    </row>
    <row r="4804" spans="1:12" x14ac:dyDescent="0.2">
      <c r="A4804"/>
      <c r="B4804"/>
      <c r="C4804"/>
      <c r="D4804"/>
      <c r="E4804" s="2">
        <f>Comuni__2[[#This Row],[Popolazione2011]]/$D$7911</f>
        <v>2.9315210318038562E-5</v>
      </c>
      <c r="F4804">
        <f>SUMIFS($D$2:$D$7909, $B$2:$B$7909, "Piemonte")</f>
        <v>4363916</v>
      </c>
      <c r="G4804" s="1">
        <f>Comuni__2[[#This Row],[Popolazione2011]]/Comuni__2[[#This Row],[POPOLAZIONE TOTALE DI OGNI REGIONE (CON FILTRO)]]</f>
        <v>3.9918275237195216E-4</v>
      </c>
      <c r="H4804" t="str">
        <f>IF(Comuni__2[[#This Row],[Popolazione2011]]&gt;300000,"MAGGIORE","")</f>
        <v/>
      </c>
      <c r="J4804">
        <v>9</v>
      </c>
      <c r="K4804">
        <v>2215</v>
      </c>
      <c r="L4804">
        <v>292</v>
      </c>
    </row>
    <row r="4805" spans="1:12" x14ac:dyDescent="0.2">
      <c r="A4805"/>
      <c r="B4805"/>
      <c r="C4805"/>
      <c r="D4805"/>
      <c r="E4805" s="2">
        <f>Comuni__2[[#This Row],[Popolazione2011]]/$D$7911</f>
        <v>2.9315210318038562E-5</v>
      </c>
      <c r="F4805">
        <f>SUMIFS($D$2:$D$7909, $B$2:$B$7909, "Piemonte")</f>
        <v>4363916</v>
      </c>
      <c r="G4805" s="1">
        <f>Comuni__2[[#This Row],[Popolazione2011]]/Comuni__2[[#This Row],[POPOLAZIONE TOTALE DI OGNI REGIONE (CON FILTRO)]]</f>
        <v>3.9918275237195216E-4</v>
      </c>
      <c r="H4805" t="str">
        <f>IF(Comuni__2[[#This Row],[Popolazione2011]]&gt;300000,"MAGGIORE","")</f>
        <v/>
      </c>
      <c r="J4805">
        <v>8</v>
      </c>
      <c r="K4805">
        <v>3891</v>
      </c>
      <c r="L4805">
        <v>464</v>
      </c>
    </row>
    <row r="4806" spans="1:12" x14ac:dyDescent="0.2">
      <c r="A4806"/>
      <c r="B4806"/>
      <c r="C4806"/>
      <c r="D4806"/>
      <c r="E4806" s="2">
        <f>Comuni__2[[#This Row],[Popolazione2011]]/$D$7911</f>
        <v>2.9180582486497629E-5</v>
      </c>
      <c r="F4806">
        <f>SUMIFS($D$2:$D$7909, $B$2:$B$7909, "Piemonte")</f>
        <v>4363916</v>
      </c>
      <c r="G4806" s="1">
        <f>Comuni__2[[#This Row],[Popolazione2011]]/Comuni__2[[#This Row],[POPOLAZIONE TOTALE DI OGNI REGIONE (CON FILTRO)]]</f>
        <v>3.9734953651720151E-4</v>
      </c>
      <c r="H4806" t="str">
        <f>IF(Comuni__2[[#This Row],[Popolazione2011]]&gt;300000,"MAGGIORE","")</f>
        <v/>
      </c>
      <c r="J4806">
        <v>9</v>
      </c>
      <c r="K4806">
        <v>2217</v>
      </c>
      <c r="L4806">
        <v>292</v>
      </c>
    </row>
    <row r="4807" spans="1:12" x14ac:dyDescent="0.2">
      <c r="A4807"/>
      <c r="B4807"/>
      <c r="C4807"/>
      <c r="D4807"/>
      <c r="E4807" s="2">
        <f>Comuni__2[[#This Row],[Popolazione2011]]/$D$7911</f>
        <v>2.9045954654956694E-5</v>
      </c>
      <c r="F4807">
        <f>SUMIFS($D$2:$D$7909, $B$2:$B$7909, "Piemonte")</f>
        <v>4363916</v>
      </c>
      <c r="G4807" s="1">
        <f>Comuni__2[[#This Row],[Popolazione2011]]/Comuni__2[[#This Row],[POPOLAZIONE TOTALE DI OGNI REGIONE (CON FILTRO)]]</f>
        <v>3.9551632066245086E-4</v>
      </c>
      <c r="H4807" t="str">
        <f>IF(Comuni__2[[#This Row],[Popolazione2011]]&gt;300000,"MAGGIORE","")</f>
        <v/>
      </c>
      <c r="J4807">
        <v>7</v>
      </c>
      <c r="K4807">
        <v>3894</v>
      </c>
      <c r="L4807">
        <v>464</v>
      </c>
    </row>
    <row r="4808" spans="1:12" x14ac:dyDescent="0.2">
      <c r="A4808"/>
      <c r="B4808"/>
      <c r="C4808"/>
      <c r="D4808"/>
      <c r="E4808" s="2">
        <f>Comuni__2[[#This Row],[Popolazione2011]]/$D$7911</f>
        <v>2.9045954654956694E-5</v>
      </c>
      <c r="F4808">
        <f>SUMIFS($D$2:$D$7909, $B$2:$B$7909, "Piemonte")</f>
        <v>4363916</v>
      </c>
      <c r="G4808" s="1">
        <f>Comuni__2[[#This Row],[Popolazione2011]]/Comuni__2[[#This Row],[POPOLAZIONE TOTALE DI OGNI REGIONE (CON FILTRO)]]</f>
        <v>3.9551632066245086E-4</v>
      </c>
      <c r="H4808" t="str">
        <f>IF(Comuni__2[[#This Row],[Popolazione2011]]&gt;300000,"MAGGIORE","")</f>
        <v/>
      </c>
      <c r="J4808">
        <v>9</v>
      </c>
      <c r="K4808">
        <v>2218</v>
      </c>
      <c r="L4808">
        <v>292</v>
      </c>
    </row>
    <row r="4809" spans="1:12" x14ac:dyDescent="0.2">
      <c r="A4809"/>
      <c r="B4809"/>
      <c r="C4809"/>
      <c r="D4809"/>
      <c r="E4809" s="2">
        <f>Comuni__2[[#This Row],[Popolazione2011]]/$D$7911</f>
        <v>2.8995469218128842E-5</v>
      </c>
      <c r="F4809">
        <f>SUMIFS($D$2:$D$7909, $B$2:$B$7909, "Piemonte")</f>
        <v>4363916</v>
      </c>
      <c r="G4809" s="1">
        <f>Comuni__2[[#This Row],[Popolazione2011]]/Comuni__2[[#This Row],[POPOLAZIONE TOTALE DI OGNI REGIONE (CON FILTRO)]]</f>
        <v>3.9482886471691939E-4</v>
      </c>
      <c r="H4809" t="str">
        <f>IF(Comuni__2[[#This Row],[Popolazione2011]]&gt;300000,"MAGGIORE","")</f>
        <v/>
      </c>
      <c r="J4809">
        <v>7</v>
      </c>
      <c r="K4809">
        <v>3895</v>
      </c>
      <c r="L4809">
        <v>464</v>
      </c>
    </row>
    <row r="4810" spans="1:12" x14ac:dyDescent="0.2">
      <c r="A4810"/>
      <c r="B4810"/>
      <c r="C4810"/>
      <c r="D4810"/>
      <c r="E4810" s="2">
        <f>Comuni__2[[#This Row],[Popolazione2011]]/$D$7911</f>
        <v>2.8709385076104357E-5</v>
      </c>
      <c r="F4810">
        <f>SUMIFS($D$2:$D$7909, $B$2:$B$7909, "Piemonte")</f>
        <v>4363916</v>
      </c>
      <c r="G4810" s="1">
        <f>Comuni__2[[#This Row],[Popolazione2011]]/Comuni__2[[#This Row],[POPOLAZIONE TOTALE DI OGNI REGIONE (CON FILTRO)]]</f>
        <v>3.9093328102557428E-4</v>
      </c>
      <c r="H4810" t="str">
        <f>IF(Comuni__2[[#This Row],[Popolazione2011]]&gt;300000,"MAGGIORE","")</f>
        <v/>
      </c>
      <c r="J4810">
        <v>10</v>
      </c>
      <c r="K4810">
        <v>2215</v>
      </c>
      <c r="L4810">
        <v>292</v>
      </c>
    </row>
    <row r="4811" spans="1:12" x14ac:dyDescent="0.2">
      <c r="A4811"/>
      <c r="B4811"/>
      <c r="C4811"/>
      <c r="D4811"/>
      <c r="E4811" s="2">
        <f>Comuni__2[[#This Row],[Popolazione2011]]/$D$7911</f>
        <v>2.864207116033389E-5</v>
      </c>
      <c r="F4811">
        <f>SUMIFS($D$2:$D$7909, $B$2:$B$7909, "Piemonte")</f>
        <v>4363916</v>
      </c>
      <c r="G4811" s="1">
        <f>Comuni__2[[#This Row],[Popolazione2011]]/Comuni__2[[#This Row],[POPOLAZIONE TOTALE DI OGNI REGIONE (CON FILTRO)]]</f>
        <v>3.9001667309819895E-4</v>
      </c>
      <c r="H4811" t="str">
        <f>IF(Comuni__2[[#This Row],[Popolazione2011]]&gt;300000,"MAGGIORE","")</f>
        <v/>
      </c>
      <c r="J4811">
        <v>6</v>
      </c>
      <c r="K4811">
        <v>3906</v>
      </c>
      <c r="L4811">
        <v>464</v>
      </c>
    </row>
    <row r="4812" spans="1:12" x14ac:dyDescent="0.2">
      <c r="A4812"/>
      <c r="B4812"/>
      <c r="C4812"/>
      <c r="D4812"/>
      <c r="E4812" s="2">
        <f>Comuni__2[[#This Row],[Popolazione2011]]/$D$7911</f>
        <v>2.8608414202448654E-5</v>
      </c>
      <c r="F4812">
        <f>SUMIFS($D$2:$D$7909, $B$2:$B$7909, "Piemonte")</f>
        <v>4363916</v>
      </c>
      <c r="G4812" s="1">
        <f>Comuni__2[[#This Row],[Popolazione2011]]/Comuni__2[[#This Row],[POPOLAZIONE TOTALE DI OGNI REGIONE (CON FILTRO)]]</f>
        <v>3.8955836913451129E-4</v>
      </c>
      <c r="H4812" t="str">
        <f>IF(Comuni__2[[#This Row],[Popolazione2011]]&gt;300000,"MAGGIORE","")</f>
        <v/>
      </c>
      <c r="J4812">
        <v>10</v>
      </c>
      <c r="K4812">
        <v>2216</v>
      </c>
      <c r="L4812">
        <v>291</v>
      </c>
    </row>
    <row r="4813" spans="1:12" x14ac:dyDescent="0.2">
      <c r="A4813"/>
      <c r="B4813"/>
      <c r="C4813"/>
      <c r="D4813"/>
      <c r="E4813" s="2">
        <f>Comuni__2[[#This Row],[Popolazione2011]]/$D$7911</f>
        <v>2.8574757244563422E-5</v>
      </c>
      <c r="F4813">
        <f>SUMIFS($D$2:$D$7909, $B$2:$B$7909, "Piemonte")</f>
        <v>4363916</v>
      </c>
      <c r="G4813" s="1">
        <f>Comuni__2[[#This Row],[Popolazione2011]]/Comuni__2[[#This Row],[POPOLAZIONE TOTALE DI OGNI REGIONE (CON FILTRO)]]</f>
        <v>3.8910006517082362E-4</v>
      </c>
      <c r="H4813" t="str">
        <f>IF(Comuni__2[[#This Row],[Popolazione2011]]&gt;300000,"MAGGIORE","")</f>
        <v/>
      </c>
      <c r="J4813">
        <v>6</v>
      </c>
      <c r="K4813">
        <v>3911</v>
      </c>
      <c r="L4813">
        <v>464</v>
      </c>
    </row>
    <row r="4814" spans="1:12" x14ac:dyDescent="0.2">
      <c r="A4814"/>
      <c r="B4814"/>
      <c r="C4814"/>
      <c r="D4814"/>
      <c r="E4814" s="2">
        <f>Comuni__2[[#This Row],[Popolazione2011]]/$D$7911</f>
        <v>2.8456957891965102E-5</v>
      </c>
      <c r="F4814">
        <f>SUMIFS($D$2:$D$7909, $B$2:$B$7909, "Piemonte")</f>
        <v>4363916</v>
      </c>
      <c r="G4814" s="1">
        <f>Comuni__2[[#This Row],[Popolazione2011]]/Comuni__2[[#This Row],[POPOLAZIONE TOTALE DI OGNI REGIONE (CON FILTRO)]]</f>
        <v>3.8749600129791683E-4</v>
      </c>
      <c r="H4814" t="str">
        <f>IF(Comuni__2[[#This Row],[Popolazione2011]]&gt;300000,"MAGGIORE","")</f>
        <v/>
      </c>
      <c r="J4814">
        <v>9</v>
      </c>
      <c r="K4814">
        <v>2224</v>
      </c>
      <c r="L4814">
        <v>291</v>
      </c>
    </row>
    <row r="4815" spans="1:12" x14ac:dyDescent="0.2">
      <c r="A4815"/>
      <c r="B4815"/>
      <c r="C4815"/>
      <c r="D4815"/>
      <c r="E4815" s="2">
        <f>Comuni__2[[#This Row],[Popolazione2011]]/$D$7911</f>
        <v>2.842330093407987E-5</v>
      </c>
      <c r="F4815">
        <f>SUMIFS($D$2:$D$7909, $B$2:$B$7909, "Piemonte")</f>
        <v>4363916</v>
      </c>
      <c r="G4815" s="1">
        <f>Comuni__2[[#This Row],[Popolazione2011]]/Comuni__2[[#This Row],[POPOLAZIONE TOTALE DI OGNI REGIONE (CON FILTRO)]]</f>
        <v>3.8703769733422917E-4</v>
      </c>
      <c r="H4815" t="str">
        <f>IF(Comuni__2[[#This Row],[Popolazione2011]]&gt;300000,"MAGGIORE","")</f>
        <v/>
      </c>
      <c r="J4815">
        <v>6</v>
      </c>
      <c r="K4815">
        <v>3912</v>
      </c>
      <c r="L4815">
        <v>464</v>
      </c>
    </row>
    <row r="4816" spans="1:12" x14ac:dyDescent="0.2">
      <c r="A4816"/>
      <c r="B4816"/>
      <c r="C4816"/>
      <c r="D4816"/>
      <c r="E4816" s="2">
        <f>Comuni__2[[#This Row],[Popolazione2011]]/$D$7911</f>
        <v>2.8389643976194634E-5</v>
      </c>
      <c r="F4816">
        <f>SUMIFS($D$2:$D$7909, $B$2:$B$7909, "Piemonte")</f>
        <v>4363916</v>
      </c>
      <c r="G4816" s="1">
        <f>Comuni__2[[#This Row],[Popolazione2011]]/Comuni__2[[#This Row],[POPOLAZIONE TOTALE DI OGNI REGIONE (CON FILTRO)]]</f>
        <v>3.865793933705415E-4</v>
      </c>
      <c r="H4816" t="str">
        <f>IF(Comuni__2[[#This Row],[Popolazione2011]]&gt;300000,"MAGGIORE","")</f>
        <v/>
      </c>
      <c r="J4816">
        <v>10</v>
      </c>
      <c r="K4816">
        <v>2227</v>
      </c>
      <c r="L4816">
        <v>291</v>
      </c>
    </row>
    <row r="4817" spans="1:12" x14ac:dyDescent="0.2">
      <c r="A4817"/>
      <c r="B4817"/>
      <c r="C4817"/>
      <c r="D4817"/>
      <c r="E4817" s="2">
        <f>Comuni__2[[#This Row],[Popolazione2011]]/$D$7911</f>
        <v>2.8154045270997998E-5</v>
      </c>
      <c r="F4817">
        <f>SUMIFS($D$2:$D$7909, $B$2:$B$7909, "Piemonte")</f>
        <v>4363916</v>
      </c>
      <c r="G4817" s="1">
        <f>Comuni__2[[#This Row],[Popolazione2011]]/Comuni__2[[#This Row],[POPOLAZIONE TOTALE DI OGNI REGIONE (CON FILTRO)]]</f>
        <v>3.8337126562472786E-4</v>
      </c>
      <c r="H4817" t="str">
        <f>IF(Comuni__2[[#This Row],[Popolazione2011]]&gt;300000,"MAGGIORE","")</f>
        <v/>
      </c>
      <c r="J4817">
        <v>6</v>
      </c>
      <c r="K4817">
        <v>3917</v>
      </c>
      <c r="L4817">
        <v>464</v>
      </c>
    </row>
    <row r="4818" spans="1:12" x14ac:dyDescent="0.2">
      <c r="A4818"/>
      <c r="B4818"/>
      <c r="C4818"/>
      <c r="D4818"/>
      <c r="E4818" s="2">
        <f>Comuni__2[[#This Row],[Popolazione2011]]/$D$7911</f>
        <v>2.8086731355227534E-5</v>
      </c>
      <c r="F4818">
        <f>SUMIFS($D$2:$D$7909, $B$2:$B$7909, "Piemonte")</f>
        <v>4363916</v>
      </c>
      <c r="G4818" s="1">
        <f>Comuni__2[[#This Row],[Popolazione2011]]/Comuni__2[[#This Row],[POPOLAZIONE TOTALE DI OGNI REGIONE (CON FILTRO)]]</f>
        <v>3.8245465769735259E-4</v>
      </c>
      <c r="H4818" t="str">
        <f>IF(Comuni__2[[#This Row],[Popolazione2011]]&gt;300000,"MAGGIORE","")</f>
        <v/>
      </c>
      <c r="J4818">
        <v>9</v>
      </c>
      <c r="K4818">
        <v>2225</v>
      </c>
      <c r="L4818">
        <v>292</v>
      </c>
    </row>
    <row r="4819" spans="1:12" x14ac:dyDescent="0.2">
      <c r="A4819"/>
      <c r="B4819"/>
      <c r="C4819"/>
      <c r="D4819"/>
      <c r="E4819" s="2">
        <f>Comuni__2[[#This Row],[Popolazione2011]]/$D$7911</f>
        <v>2.8069902876284914E-5</v>
      </c>
      <c r="F4819">
        <f>SUMIFS($D$2:$D$7909, $B$2:$B$7909, "Piemonte")</f>
        <v>4363916</v>
      </c>
      <c r="G4819" s="1">
        <f>Comuni__2[[#This Row],[Popolazione2011]]/Comuni__2[[#This Row],[POPOLAZIONE TOTALE DI OGNI REGIONE (CON FILTRO)]]</f>
        <v>3.8222550571550873E-4</v>
      </c>
      <c r="H4819" t="str">
        <f>IF(Comuni__2[[#This Row],[Popolazione2011]]&gt;300000,"MAGGIORE","")</f>
        <v/>
      </c>
      <c r="J4819">
        <v>5</v>
      </c>
      <c r="K4819">
        <v>3917</v>
      </c>
      <c r="L4819">
        <v>465</v>
      </c>
    </row>
    <row r="4820" spans="1:12" x14ac:dyDescent="0.2">
      <c r="A4820"/>
      <c r="B4820"/>
      <c r="C4820"/>
      <c r="D4820"/>
      <c r="E4820" s="2">
        <f>Comuni__2[[#This Row],[Popolazione2011]]/$D$7911</f>
        <v>2.8053074397342298E-5</v>
      </c>
      <c r="F4820">
        <f>SUMIFS($D$2:$D$7909, $B$2:$B$7909, "Piemonte")</f>
        <v>4363916</v>
      </c>
      <c r="G4820" s="1">
        <f>Comuni__2[[#This Row],[Popolazione2011]]/Comuni__2[[#This Row],[POPOLAZIONE TOTALE DI OGNI REGIONE (CON FILTRO)]]</f>
        <v>3.8199635373366492E-4</v>
      </c>
      <c r="H4820" t="str">
        <f>IF(Comuni__2[[#This Row],[Popolazione2011]]&gt;300000,"MAGGIORE","")</f>
        <v/>
      </c>
      <c r="J4820">
        <v>9</v>
      </c>
      <c r="K4820">
        <v>2226</v>
      </c>
      <c r="L4820">
        <v>292</v>
      </c>
    </row>
    <row r="4821" spans="1:12" x14ac:dyDescent="0.2">
      <c r="A4821"/>
      <c r="B4821"/>
      <c r="C4821"/>
      <c r="D4821"/>
      <c r="E4821" s="2">
        <f>Comuni__2[[#This Row],[Popolazione2011]]/$D$7911</f>
        <v>2.7935275044743982E-5</v>
      </c>
      <c r="F4821">
        <f>SUMIFS($D$2:$D$7909, $B$2:$B$7909, "Piemonte")</f>
        <v>4363916</v>
      </c>
      <c r="G4821" s="1">
        <f>Comuni__2[[#This Row],[Popolazione2011]]/Comuni__2[[#This Row],[POPOLAZIONE TOTALE DI OGNI REGIONE (CON FILTRO)]]</f>
        <v>3.8039228986075808E-4</v>
      </c>
      <c r="H4821" t="str">
        <f>IF(Comuni__2[[#This Row],[Popolazione2011]]&gt;300000,"MAGGIORE","")</f>
        <v/>
      </c>
      <c r="J4821">
        <v>2</v>
      </c>
      <c r="K4821">
        <v>3919</v>
      </c>
      <c r="L4821">
        <v>465</v>
      </c>
    </row>
    <row r="4822" spans="1:12" x14ac:dyDescent="0.2">
      <c r="A4822"/>
      <c r="B4822"/>
      <c r="C4822"/>
      <c r="D4822"/>
      <c r="E4822" s="2">
        <f>Comuni__2[[#This Row],[Popolazione2011]]/$D$7911</f>
        <v>2.788478960791613E-5</v>
      </c>
      <c r="F4822">
        <f>SUMIFS($D$2:$D$7909, $B$2:$B$7909, "Piemonte")</f>
        <v>4363916</v>
      </c>
      <c r="G4822" s="1">
        <f>Comuni__2[[#This Row],[Popolazione2011]]/Comuni__2[[#This Row],[POPOLAZIONE TOTALE DI OGNI REGIONE (CON FILTRO)]]</f>
        <v>3.7970483391522661E-4</v>
      </c>
      <c r="H4822" t="str">
        <f>IF(Comuni__2[[#This Row],[Popolazione2011]]&gt;300000,"MAGGIORE","")</f>
        <v/>
      </c>
      <c r="J4822">
        <v>9</v>
      </c>
      <c r="K4822">
        <v>2232</v>
      </c>
      <c r="L4822">
        <v>292</v>
      </c>
    </row>
    <row r="4823" spans="1:12" x14ac:dyDescent="0.2">
      <c r="A4823"/>
      <c r="B4823"/>
      <c r="C4823"/>
      <c r="D4823"/>
      <c r="E4823" s="2">
        <f>Comuni__2[[#This Row],[Popolazione2011]]/$D$7911</f>
        <v>2.7834304171088278E-5</v>
      </c>
      <c r="F4823">
        <f>SUMIFS($D$2:$D$7909, $B$2:$B$7909, "Piemonte")</f>
        <v>4363916</v>
      </c>
      <c r="G4823" s="1">
        <f>Comuni__2[[#This Row],[Popolazione2011]]/Comuni__2[[#This Row],[POPOLAZIONE TOTALE DI OGNI REGIONE (CON FILTRO)]]</f>
        <v>3.7901737796969509E-4</v>
      </c>
      <c r="H4823" t="str">
        <f>IF(Comuni__2[[#This Row],[Popolazione2011]]&gt;300000,"MAGGIORE","")</f>
        <v/>
      </c>
      <c r="J4823">
        <v>2</v>
      </c>
      <c r="K4823">
        <v>3926</v>
      </c>
      <c r="L4823">
        <v>465</v>
      </c>
    </row>
    <row r="4824" spans="1:12" x14ac:dyDescent="0.2">
      <c r="A4824"/>
      <c r="B4824"/>
      <c r="C4824"/>
      <c r="D4824"/>
      <c r="E4824" s="2">
        <f>Comuni__2[[#This Row],[Popolazione2011]]/$D$7911</f>
        <v>2.7699676339547346E-5</v>
      </c>
      <c r="F4824">
        <f>SUMIFS($D$2:$D$7909, $B$2:$B$7909, "Piemonte")</f>
        <v>4363916</v>
      </c>
      <c r="G4824" s="1">
        <f>Comuni__2[[#This Row],[Popolazione2011]]/Comuni__2[[#This Row],[POPOLAZIONE TOTALE DI OGNI REGIONE (CON FILTRO)]]</f>
        <v>3.7718416211494449E-4</v>
      </c>
      <c r="H4824" t="str">
        <f>IF(Comuni__2[[#This Row],[Popolazione2011]]&gt;300000,"MAGGIORE","")</f>
        <v/>
      </c>
      <c r="J4824">
        <v>10</v>
      </c>
      <c r="K4824">
        <v>2236</v>
      </c>
      <c r="L4824">
        <v>292</v>
      </c>
    </row>
    <row r="4825" spans="1:12" x14ac:dyDescent="0.2">
      <c r="A4825"/>
      <c r="B4825"/>
      <c r="C4825"/>
      <c r="D4825"/>
      <c r="E4825" s="2">
        <f>Comuni__2[[#This Row],[Popolazione2011]]/$D$7911</f>
        <v>2.7615533944834262E-5</v>
      </c>
      <c r="F4825">
        <f>SUMIFS($D$2:$D$7909, $B$2:$B$7909, "Piemonte")</f>
        <v>4363916</v>
      </c>
      <c r="G4825" s="1">
        <f>Comuni__2[[#This Row],[Popolazione2011]]/Comuni__2[[#This Row],[POPOLAZIONE TOTALE DI OGNI REGIONE (CON FILTRO)]]</f>
        <v>3.760384022057253E-4</v>
      </c>
      <c r="H4825" t="str">
        <f>IF(Comuni__2[[#This Row],[Popolazione2011]]&gt;300000,"MAGGIORE","")</f>
        <v/>
      </c>
      <c r="J4825">
        <v>2</v>
      </c>
      <c r="K4825">
        <v>3933</v>
      </c>
      <c r="L4825">
        <v>465</v>
      </c>
    </row>
    <row r="4826" spans="1:12" x14ac:dyDescent="0.2">
      <c r="A4826"/>
      <c r="B4826"/>
      <c r="C4826"/>
      <c r="D4826"/>
      <c r="E4826" s="2">
        <f>Comuni__2[[#This Row],[Popolazione2011]]/$D$7911</f>
        <v>2.7363106760695006E-5</v>
      </c>
      <c r="F4826">
        <f>SUMIFS($D$2:$D$7909, $B$2:$B$7909, "Piemonte")</f>
        <v>4363916</v>
      </c>
      <c r="G4826" s="1">
        <f>Comuni__2[[#This Row],[Popolazione2011]]/Comuni__2[[#This Row],[POPOLAZIONE TOTALE DI OGNI REGIONE (CON FILTRO)]]</f>
        <v>3.7260112247806785E-4</v>
      </c>
      <c r="H4826" t="str">
        <f>IF(Comuni__2[[#This Row],[Popolazione2011]]&gt;300000,"MAGGIORE","")</f>
        <v/>
      </c>
      <c r="J4826">
        <v>4</v>
      </c>
      <c r="K4826">
        <v>2248</v>
      </c>
      <c r="L4826">
        <v>292</v>
      </c>
    </row>
    <row r="4827" spans="1:12" x14ac:dyDescent="0.2">
      <c r="A4827"/>
      <c r="B4827"/>
      <c r="C4827"/>
      <c r="D4827"/>
      <c r="E4827" s="2">
        <f>Comuni__2[[#This Row],[Popolazione2011]]/$D$7911</f>
        <v>2.7329449802809774E-5</v>
      </c>
      <c r="F4827">
        <f>SUMIFS($D$2:$D$7909, $B$2:$B$7909, "Piemonte")</f>
        <v>4363916</v>
      </c>
      <c r="G4827" s="1">
        <f>Comuni__2[[#This Row],[Popolazione2011]]/Comuni__2[[#This Row],[POPOLAZIONE TOTALE DI OGNI REGIONE (CON FILTRO)]]</f>
        <v>3.7214281851438019E-4</v>
      </c>
      <c r="H4827" t="str">
        <f>IF(Comuni__2[[#This Row],[Popolazione2011]]&gt;300000,"MAGGIORE","")</f>
        <v/>
      </c>
      <c r="J4827">
        <v>2</v>
      </c>
      <c r="K4827">
        <v>3936</v>
      </c>
      <c r="L4827">
        <v>466</v>
      </c>
    </row>
    <row r="4828" spans="1:12" x14ac:dyDescent="0.2">
      <c r="A4828"/>
      <c r="B4828"/>
      <c r="C4828"/>
      <c r="D4828"/>
      <c r="E4828" s="2">
        <f>Comuni__2[[#This Row],[Popolazione2011]]/$D$7911</f>
        <v>2.7312621323867158E-5</v>
      </c>
      <c r="F4828">
        <f>SUMIFS($D$2:$D$7909, $B$2:$B$7909, "Piemonte")</f>
        <v>4363916</v>
      </c>
      <c r="G4828" s="1">
        <f>Comuni__2[[#This Row],[Popolazione2011]]/Comuni__2[[#This Row],[POPOLAZIONE TOTALE DI OGNI REGIONE (CON FILTRO)]]</f>
        <v>3.7191366653253639E-4</v>
      </c>
      <c r="H4828" t="str">
        <f>IF(Comuni__2[[#This Row],[Popolazione2011]]&gt;300000,"MAGGIORE","")</f>
        <v/>
      </c>
      <c r="J4828">
        <v>4</v>
      </c>
      <c r="K4828">
        <v>2250</v>
      </c>
      <c r="L4828">
        <v>292</v>
      </c>
    </row>
    <row r="4829" spans="1:12" x14ac:dyDescent="0.2">
      <c r="A4829"/>
      <c r="B4829"/>
      <c r="C4829"/>
      <c r="D4829"/>
      <c r="E4829" s="2">
        <f>Comuni__2[[#This Row],[Popolazione2011]]/$D$7911</f>
        <v>2.7228478929154074E-5</v>
      </c>
      <c r="F4829">
        <f>SUMIFS($D$2:$D$7909, $B$2:$B$7909, "Piemonte")</f>
        <v>4363916</v>
      </c>
      <c r="G4829" s="1">
        <f>Comuni__2[[#This Row],[Popolazione2011]]/Comuni__2[[#This Row],[POPOLAZIONE TOTALE DI OGNI REGIONE (CON FILTRO)]]</f>
        <v>3.707679066233172E-4</v>
      </c>
      <c r="H4829" t="str">
        <f>IF(Comuni__2[[#This Row],[Popolazione2011]]&gt;300000,"MAGGIORE","")</f>
        <v/>
      </c>
      <c r="J4829">
        <v>1</v>
      </c>
      <c r="K4829">
        <v>3941</v>
      </c>
      <c r="L4829">
        <v>466</v>
      </c>
    </row>
    <row r="4830" spans="1:12" x14ac:dyDescent="0.2">
      <c r="A4830"/>
      <c r="B4830"/>
      <c r="C4830"/>
      <c r="D4830"/>
      <c r="E4830" s="2">
        <f>Comuni__2[[#This Row],[Popolazione2011]]/$D$7911</f>
        <v>2.7161165013383606E-5</v>
      </c>
      <c r="F4830">
        <f>SUMIFS($D$2:$D$7909, $B$2:$B$7909, "Piemonte")</f>
        <v>4363916</v>
      </c>
      <c r="G4830" s="1">
        <f>Comuni__2[[#This Row],[Popolazione2011]]/Comuni__2[[#This Row],[POPOLAZIONE TOTALE DI OGNI REGIONE (CON FILTRO)]]</f>
        <v>3.6985129869594188E-4</v>
      </c>
      <c r="H4830" t="str">
        <f>IF(Comuni__2[[#This Row],[Popolazione2011]]&gt;300000,"MAGGIORE","")</f>
        <v/>
      </c>
      <c r="J4830">
        <v>5</v>
      </c>
      <c r="K4830">
        <v>2255</v>
      </c>
      <c r="L4830">
        <v>292</v>
      </c>
    </row>
    <row r="4831" spans="1:12" x14ac:dyDescent="0.2">
      <c r="A4831"/>
      <c r="B4831"/>
      <c r="C4831"/>
      <c r="D4831"/>
      <c r="E4831" s="2">
        <f>Comuni__2[[#This Row],[Popolazione2011]]/$D$7911</f>
        <v>2.7093851097613138E-5</v>
      </c>
      <c r="F4831">
        <f>SUMIFS($D$2:$D$7909, $B$2:$B$7909, "Piemonte")</f>
        <v>4363916</v>
      </c>
      <c r="G4831" s="1">
        <f>Comuni__2[[#This Row],[Popolazione2011]]/Comuni__2[[#This Row],[POPOLAZIONE TOTALE DI OGNI REGIONE (CON FILTRO)]]</f>
        <v>3.689346907685666E-4</v>
      </c>
      <c r="H4831" t="str">
        <f>IF(Comuni__2[[#This Row],[Popolazione2011]]&gt;300000,"MAGGIORE","")</f>
        <v/>
      </c>
      <c r="J4831">
        <v>0</v>
      </c>
      <c r="K4831">
        <v>3944</v>
      </c>
      <c r="L4831">
        <v>466</v>
      </c>
    </row>
    <row r="4832" spans="1:12" x14ac:dyDescent="0.2">
      <c r="A4832"/>
      <c r="B4832"/>
      <c r="C4832"/>
      <c r="D4832"/>
      <c r="E4832" s="2">
        <f>Comuni__2[[#This Row],[Popolazione2011]]/$D$7911</f>
        <v>2.702653718184267E-5</v>
      </c>
      <c r="F4832">
        <f>SUMIFS($D$2:$D$7909, $B$2:$B$7909, "Piemonte")</f>
        <v>4363916</v>
      </c>
      <c r="G4832" s="1">
        <f>Comuni__2[[#This Row],[Popolazione2011]]/Comuni__2[[#This Row],[POPOLAZIONE TOTALE DI OGNI REGIONE (CON FILTRO)]]</f>
        <v>3.6801808284119128E-4</v>
      </c>
      <c r="H4832" t="str">
        <f>IF(Comuni__2[[#This Row],[Popolazione2011]]&gt;300000,"MAGGIORE","")</f>
        <v/>
      </c>
      <c r="J4832">
        <v>5</v>
      </c>
      <c r="K4832">
        <v>2252</v>
      </c>
      <c r="L4832">
        <v>292</v>
      </c>
    </row>
    <row r="4833" spans="1:12" x14ac:dyDescent="0.2">
      <c r="A4833"/>
      <c r="B4833"/>
      <c r="C4833"/>
      <c r="D4833"/>
      <c r="E4833" s="2">
        <f>Comuni__2[[#This Row],[Popolazione2011]]/$D$7911</f>
        <v>2.6959223266072202E-5</v>
      </c>
      <c r="F4833">
        <f>SUMIFS($D$2:$D$7909, $B$2:$B$7909, "Piemonte")</f>
        <v>4363916</v>
      </c>
      <c r="G4833" s="1">
        <f>Comuni__2[[#This Row],[Popolazione2011]]/Comuni__2[[#This Row],[POPOLAZIONE TOTALE DI OGNI REGIONE (CON FILTRO)]]</f>
        <v>3.6710147491381595E-4</v>
      </c>
      <c r="H4833" t="str">
        <f>IF(Comuni__2[[#This Row],[Popolazione2011]]&gt;300000,"MAGGIORE","")</f>
        <v/>
      </c>
      <c r="J4833">
        <v>0</v>
      </c>
      <c r="K4833">
        <v>3945</v>
      </c>
      <c r="L4833">
        <v>466</v>
      </c>
    </row>
    <row r="4834" spans="1:12" x14ac:dyDescent="0.2">
      <c r="A4834"/>
      <c r="B4834"/>
      <c r="C4834"/>
      <c r="D4834"/>
      <c r="E4834" s="2">
        <f>Comuni__2[[#This Row],[Popolazione2011]]/$D$7911</f>
        <v>2.6942394787129586E-5</v>
      </c>
      <c r="F4834">
        <f>SUMIFS($D$2:$D$7909, $B$2:$B$7909, "Piemonte")</f>
        <v>4363916</v>
      </c>
      <c r="G4834" s="1">
        <f>Comuni__2[[#This Row],[Popolazione2011]]/Comuni__2[[#This Row],[POPOLAZIONE TOTALE DI OGNI REGIONE (CON FILTRO)]]</f>
        <v>3.6687232293197209E-4</v>
      </c>
      <c r="H4834" t="str">
        <f>IF(Comuni__2[[#This Row],[Popolazione2011]]&gt;300000,"MAGGIORE","")</f>
        <v/>
      </c>
      <c r="J4834">
        <v>4</v>
      </c>
      <c r="K4834">
        <v>2252</v>
      </c>
      <c r="L4834">
        <v>292</v>
      </c>
    </row>
    <row r="4835" spans="1:12" x14ac:dyDescent="0.2">
      <c r="A4835"/>
      <c r="B4835"/>
      <c r="C4835"/>
      <c r="D4835"/>
      <c r="E4835" s="2">
        <f>Comuni__2[[#This Row],[Popolazione2011]]/$D$7911</f>
        <v>2.6740453039818183E-5</v>
      </c>
      <c r="F4835">
        <f>SUMIFS($D$2:$D$7909, $B$2:$B$7909, "Piemonte")</f>
        <v>4363916</v>
      </c>
      <c r="G4835" s="1">
        <f>Comuni__2[[#This Row],[Popolazione2011]]/Comuni__2[[#This Row],[POPOLAZIONE TOTALE DI OGNI REGIONE (CON FILTRO)]]</f>
        <v>3.6412249914984617E-4</v>
      </c>
      <c r="H4835" t="str">
        <f>IF(Comuni__2[[#This Row],[Popolazione2011]]&gt;300000,"MAGGIORE","")</f>
        <v/>
      </c>
      <c r="J4835">
        <v>0</v>
      </c>
      <c r="K4835">
        <v>3948</v>
      </c>
      <c r="L4835">
        <v>466</v>
      </c>
    </row>
    <row r="4836" spans="1:12" x14ac:dyDescent="0.2">
      <c r="A4836"/>
      <c r="B4836"/>
      <c r="C4836"/>
      <c r="D4836"/>
      <c r="E4836" s="2">
        <f>Comuni__2[[#This Row],[Popolazione2011]]/$D$7911</f>
        <v>2.6723624560875566E-5</v>
      </c>
      <c r="F4836">
        <f>SUMIFS($D$2:$D$7909, $B$2:$B$7909, "Piemonte")</f>
        <v>4363916</v>
      </c>
      <c r="G4836" s="1">
        <f>Comuni__2[[#This Row],[Popolazione2011]]/Comuni__2[[#This Row],[POPOLAZIONE TOTALE DI OGNI REGIONE (CON FILTRO)]]</f>
        <v>3.6389334716800231E-4</v>
      </c>
      <c r="H4836" t="str">
        <f>IF(Comuni__2[[#This Row],[Popolazione2011]]&gt;300000,"MAGGIORE","")</f>
        <v/>
      </c>
      <c r="J4836">
        <v>4</v>
      </c>
      <c r="K4836">
        <v>2252</v>
      </c>
      <c r="L4836">
        <v>292</v>
      </c>
    </row>
    <row r="4837" spans="1:12" x14ac:dyDescent="0.2">
      <c r="A4837"/>
      <c r="B4837"/>
      <c r="C4837"/>
      <c r="D4837"/>
      <c r="E4837" s="2">
        <f>Comuni__2[[#This Row],[Popolazione2011]]/$D$7911</f>
        <v>2.6723624560875566E-5</v>
      </c>
      <c r="F4837">
        <f>SUMIFS($D$2:$D$7909, $B$2:$B$7909, "Piemonte")</f>
        <v>4363916</v>
      </c>
      <c r="G4837" s="1">
        <f>Comuni__2[[#This Row],[Popolazione2011]]/Comuni__2[[#This Row],[POPOLAZIONE TOTALE DI OGNI REGIONE (CON FILTRO)]]</f>
        <v>3.6389334716800231E-4</v>
      </c>
      <c r="H4837" t="str">
        <f>IF(Comuni__2[[#This Row],[Popolazione2011]]&gt;300000,"MAGGIORE","")</f>
        <v/>
      </c>
      <c r="J4837">
        <v>0</v>
      </c>
      <c r="K4837">
        <v>4395</v>
      </c>
      <c r="L4837">
        <v>405</v>
      </c>
    </row>
    <row r="4838" spans="1:12" x14ac:dyDescent="0.2">
      <c r="A4838"/>
      <c r="B4838"/>
      <c r="C4838"/>
      <c r="D4838"/>
      <c r="E4838" s="2">
        <f>Comuni__2[[#This Row],[Popolazione2011]]/$D$7911</f>
        <v>2.6437540418851079E-5</v>
      </c>
      <c r="F4838">
        <f>SUMIFS($D$2:$D$7909, $B$2:$B$7909, "Piemonte")</f>
        <v>4363916</v>
      </c>
      <c r="G4838" s="1">
        <f>Comuni__2[[#This Row],[Popolazione2011]]/Comuni__2[[#This Row],[POPOLAZIONE TOTALE DI OGNI REGIONE (CON FILTRO)]]</f>
        <v>3.599977634766572E-4</v>
      </c>
      <c r="H4838" t="str">
        <f>IF(Comuni__2[[#This Row],[Popolazione2011]]&gt;300000,"MAGGIORE","")</f>
        <v/>
      </c>
      <c r="J4838">
        <v>4</v>
      </c>
      <c r="K4838">
        <v>2255</v>
      </c>
      <c r="L4838">
        <v>292</v>
      </c>
    </row>
    <row r="4839" spans="1:12" x14ac:dyDescent="0.2">
      <c r="A4839"/>
      <c r="B4839"/>
      <c r="C4839"/>
      <c r="D4839"/>
      <c r="E4839" s="2">
        <f>Comuni__2[[#This Row],[Popolazione2011]]/$D$7911</f>
        <v>2.6319741066252763E-5</v>
      </c>
      <c r="F4839">
        <f>SUMIFS($D$2:$D$7909, $B$2:$B$7909, "Piemonte")</f>
        <v>4363916</v>
      </c>
      <c r="G4839" s="1">
        <f>Comuni__2[[#This Row],[Popolazione2011]]/Comuni__2[[#This Row],[POPOLAZIONE TOTALE DI OGNI REGIONE (CON FILTRO)]]</f>
        <v>3.583936996037504E-4</v>
      </c>
      <c r="H4839" t="str">
        <f>IF(Comuni__2[[#This Row],[Popolazione2011]]&gt;300000,"MAGGIORE","")</f>
        <v/>
      </c>
      <c r="J4839">
        <v>1</v>
      </c>
      <c r="K4839">
        <v>4398</v>
      </c>
      <c r="L4839">
        <v>405</v>
      </c>
    </row>
    <row r="4840" spans="1:12" x14ac:dyDescent="0.2">
      <c r="A4840"/>
      <c r="B4840"/>
      <c r="C4840"/>
      <c r="D4840"/>
      <c r="E4840" s="2">
        <f>Comuni__2[[#This Row],[Popolazione2011]]/$D$7911</f>
        <v>2.6235598671539679E-5</v>
      </c>
      <c r="F4840">
        <f>SUMIFS($D$2:$D$7909, $B$2:$B$7909, "Piemonte")</f>
        <v>4363916</v>
      </c>
      <c r="G4840" s="1">
        <f>Comuni__2[[#This Row],[Popolazione2011]]/Comuni__2[[#This Row],[POPOLAZIONE TOTALE DI OGNI REGIONE (CON FILTRO)]]</f>
        <v>3.5724793969453122E-4</v>
      </c>
      <c r="H4840" t="str">
        <f>IF(Comuni__2[[#This Row],[Popolazione2011]]&gt;300000,"MAGGIORE","")</f>
        <v/>
      </c>
      <c r="J4840">
        <v>4</v>
      </c>
      <c r="K4840">
        <v>2257</v>
      </c>
      <c r="L4840">
        <v>292</v>
      </c>
    </row>
    <row r="4841" spans="1:12" x14ac:dyDescent="0.2">
      <c r="A4841"/>
      <c r="B4841"/>
      <c r="C4841"/>
      <c r="D4841"/>
      <c r="E4841" s="2">
        <f>Comuni__2[[#This Row],[Popolazione2011]]/$D$7911</f>
        <v>2.6218770192597062E-5</v>
      </c>
      <c r="F4841">
        <f>SUMIFS($D$2:$D$7909, $B$2:$B$7909, "Piemonte")</f>
        <v>4363916</v>
      </c>
      <c r="G4841" s="1">
        <f>Comuni__2[[#This Row],[Popolazione2011]]/Comuni__2[[#This Row],[POPOLAZIONE TOTALE DI OGNI REGIONE (CON FILTRO)]]</f>
        <v>3.5701878771268741E-4</v>
      </c>
      <c r="H4841" t="str">
        <f>IF(Comuni__2[[#This Row],[Popolazione2011]]&gt;300000,"MAGGIORE","")</f>
        <v/>
      </c>
      <c r="J4841">
        <v>1</v>
      </c>
      <c r="K4841">
        <v>4402</v>
      </c>
      <c r="L4841">
        <v>405</v>
      </c>
    </row>
    <row r="4842" spans="1:12" x14ac:dyDescent="0.2">
      <c r="A4842"/>
      <c r="B4842"/>
      <c r="C4842"/>
      <c r="D4842"/>
      <c r="E4842" s="2">
        <f>Comuni__2[[#This Row],[Popolazione2011]]/$D$7911</f>
        <v>2.6168284755769211E-5</v>
      </c>
      <c r="F4842">
        <f>SUMIFS($D$2:$D$7909, $B$2:$B$7909, "Piemonte")</f>
        <v>4363916</v>
      </c>
      <c r="G4842" s="1">
        <f>Comuni__2[[#This Row],[Popolazione2011]]/Comuni__2[[#This Row],[POPOLAZIONE TOTALE DI OGNI REGIONE (CON FILTRO)]]</f>
        <v>3.5633133176715594E-4</v>
      </c>
      <c r="H4842" t="str">
        <f>IF(Comuni__2[[#This Row],[Popolazione2011]]&gt;300000,"MAGGIORE","")</f>
        <v/>
      </c>
      <c r="J4842">
        <v>5</v>
      </c>
      <c r="K4842">
        <v>2257</v>
      </c>
      <c r="L4842">
        <v>292</v>
      </c>
    </row>
    <row r="4843" spans="1:12" x14ac:dyDescent="0.2">
      <c r="A4843"/>
      <c r="B4843"/>
      <c r="C4843"/>
      <c r="D4843"/>
      <c r="E4843" s="2">
        <f>Comuni__2[[#This Row],[Popolazione2011]]/$D$7911</f>
        <v>2.6151456276826595E-5</v>
      </c>
      <c r="F4843">
        <f>SUMIFS($D$2:$D$7909, $B$2:$B$7909, "Piemonte")</f>
        <v>4363916</v>
      </c>
      <c r="G4843" s="1">
        <f>Comuni__2[[#This Row],[Popolazione2011]]/Comuni__2[[#This Row],[POPOLAZIONE TOTALE DI OGNI REGIONE (CON FILTRO)]]</f>
        <v>3.5610217978531209E-4</v>
      </c>
      <c r="H4843" t="str">
        <f>IF(Comuni__2[[#This Row],[Popolazione2011]]&gt;300000,"MAGGIORE","")</f>
        <v/>
      </c>
      <c r="J4843">
        <v>2</v>
      </c>
      <c r="K4843">
        <v>4404</v>
      </c>
      <c r="L4843">
        <v>405</v>
      </c>
    </row>
    <row r="4844" spans="1:12" x14ac:dyDescent="0.2">
      <c r="A4844"/>
      <c r="B4844"/>
      <c r="C4844"/>
      <c r="D4844"/>
      <c r="E4844" s="2">
        <f>Comuni__2[[#This Row],[Popolazione2011]]/$D$7911</f>
        <v>2.6151456276826595E-5</v>
      </c>
      <c r="F4844">
        <f>SUMIFS($D$2:$D$7909, $B$2:$B$7909, "Piemonte")</f>
        <v>4363916</v>
      </c>
      <c r="G4844" s="1">
        <f>Comuni__2[[#This Row],[Popolazione2011]]/Comuni__2[[#This Row],[POPOLAZIONE TOTALE DI OGNI REGIONE (CON FILTRO)]]</f>
        <v>3.5610217978531209E-4</v>
      </c>
      <c r="H4844" t="str">
        <f>IF(Comuni__2[[#This Row],[Popolazione2011]]&gt;300000,"MAGGIORE","")</f>
        <v/>
      </c>
      <c r="J4844">
        <v>4</v>
      </c>
      <c r="K4844">
        <v>2260</v>
      </c>
      <c r="L4844">
        <v>292</v>
      </c>
    </row>
    <row r="4845" spans="1:12" x14ac:dyDescent="0.2">
      <c r="A4845"/>
      <c r="B4845"/>
      <c r="C4845"/>
      <c r="D4845"/>
      <c r="E4845" s="2">
        <f>Comuni__2[[#This Row],[Popolazione2011]]/$D$7911</f>
        <v>2.6084142361056127E-5</v>
      </c>
      <c r="F4845">
        <f>SUMIFS($D$2:$D$7909, $B$2:$B$7909, "Piemonte")</f>
        <v>4363916</v>
      </c>
      <c r="G4845" s="1">
        <f>Comuni__2[[#This Row],[Popolazione2011]]/Comuni__2[[#This Row],[POPOLAZIONE TOTALE DI OGNI REGIONE (CON FILTRO)]]</f>
        <v>3.5518557185793676E-4</v>
      </c>
      <c r="H4845" t="str">
        <f>IF(Comuni__2[[#This Row],[Popolazione2011]]&gt;300000,"MAGGIORE","")</f>
        <v/>
      </c>
      <c r="J4845">
        <v>2</v>
      </c>
      <c r="K4845">
        <v>4404</v>
      </c>
      <c r="L4845">
        <v>405</v>
      </c>
    </row>
    <row r="4846" spans="1:12" x14ac:dyDescent="0.2">
      <c r="A4846"/>
      <c r="B4846"/>
      <c r="C4846"/>
      <c r="D4846"/>
      <c r="E4846" s="2">
        <f>Comuni__2[[#This Row],[Popolazione2011]]/$D$7911</f>
        <v>2.6016828445285659E-5</v>
      </c>
      <c r="F4846">
        <f>SUMIFS($D$2:$D$7909, $B$2:$B$7909, "Piemonte")</f>
        <v>4363916</v>
      </c>
      <c r="G4846" s="1">
        <f>Comuni__2[[#This Row],[Popolazione2011]]/Comuni__2[[#This Row],[POPOLAZIONE TOTALE DI OGNI REGIONE (CON FILTRO)]]</f>
        <v>3.5426896393056143E-4</v>
      </c>
      <c r="H4846" t="str">
        <f>IF(Comuni__2[[#This Row],[Popolazione2011]]&gt;300000,"MAGGIORE","")</f>
        <v/>
      </c>
      <c r="J4846">
        <v>3</v>
      </c>
      <c r="K4846">
        <v>2262</v>
      </c>
      <c r="L4846">
        <v>292</v>
      </c>
    </row>
    <row r="4847" spans="1:12" x14ac:dyDescent="0.2">
      <c r="A4847"/>
      <c r="B4847"/>
      <c r="C4847"/>
      <c r="D4847"/>
      <c r="E4847" s="2">
        <f>Comuni__2[[#This Row],[Popolazione2011]]/$D$7911</f>
        <v>2.5999999966343043E-5</v>
      </c>
      <c r="F4847">
        <f>SUMIFS($D$2:$D$7909, $B$2:$B$7909, "Piemonte")</f>
        <v>4363916</v>
      </c>
      <c r="G4847" s="1">
        <f>Comuni__2[[#This Row],[Popolazione2011]]/Comuni__2[[#This Row],[POPOLAZIONE TOTALE DI OGNI REGIONE (CON FILTRO)]]</f>
        <v>3.5403981194871763E-4</v>
      </c>
      <c r="H4847" t="str">
        <f>IF(Comuni__2[[#This Row],[Popolazione2011]]&gt;300000,"MAGGIORE","")</f>
        <v/>
      </c>
      <c r="J4847">
        <v>1</v>
      </c>
      <c r="K4847">
        <v>4405</v>
      </c>
      <c r="L4847">
        <v>405</v>
      </c>
    </row>
    <row r="4848" spans="1:12" x14ac:dyDescent="0.2">
      <c r="A4848"/>
      <c r="B4848"/>
      <c r="C4848"/>
      <c r="D4848"/>
      <c r="E4848" s="2">
        <f>Comuni__2[[#This Row],[Popolazione2011]]/$D$7911</f>
        <v>2.5966343008457807E-5</v>
      </c>
      <c r="F4848">
        <f>SUMIFS($D$2:$D$7909, $B$2:$B$7909, "Piemonte")</f>
        <v>4363916</v>
      </c>
      <c r="G4848" s="1">
        <f>Comuni__2[[#This Row],[Popolazione2011]]/Comuni__2[[#This Row],[POPOLAZIONE TOTALE DI OGNI REGIONE (CON FILTRO)]]</f>
        <v>3.5358150798502996E-4</v>
      </c>
      <c r="H4848" t="str">
        <f>IF(Comuni__2[[#This Row],[Popolazione2011]]&gt;300000,"MAGGIORE","")</f>
        <v/>
      </c>
      <c r="J4848">
        <v>4</v>
      </c>
      <c r="K4848">
        <v>2263</v>
      </c>
      <c r="L4848">
        <v>292</v>
      </c>
    </row>
    <row r="4849" spans="1:12" x14ac:dyDescent="0.2">
      <c r="A4849"/>
      <c r="B4849"/>
      <c r="C4849"/>
      <c r="D4849"/>
      <c r="E4849" s="2">
        <f>Comuni__2[[#This Row],[Popolazione2011]]/$D$7911</f>
        <v>2.5882200613744723E-5</v>
      </c>
      <c r="F4849">
        <f>SUMIFS($D$2:$D$7909, $B$2:$B$7909, "Piemonte")</f>
        <v>4363916</v>
      </c>
      <c r="G4849" s="1">
        <f>Comuni__2[[#This Row],[Popolazione2011]]/Comuni__2[[#This Row],[POPOLAZIONE TOTALE DI OGNI REGIONE (CON FILTRO)]]</f>
        <v>3.5243574807581083E-4</v>
      </c>
      <c r="H4849" t="str">
        <f>IF(Comuni__2[[#This Row],[Popolazione2011]]&gt;300000,"MAGGIORE","")</f>
        <v/>
      </c>
      <c r="J4849">
        <v>1</v>
      </c>
      <c r="K4849">
        <v>4408</v>
      </c>
      <c r="L4849">
        <v>405</v>
      </c>
    </row>
    <row r="4850" spans="1:12" x14ac:dyDescent="0.2">
      <c r="A4850"/>
      <c r="B4850"/>
      <c r="C4850"/>
      <c r="D4850"/>
      <c r="E4850" s="2">
        <f>Comuni__2[[#This Row],[Popolazione2011]]/$D$7911</f>
        <v>2.5697087345375939E-5</v>
      </c>
      <c r="F4850">
        <f>SUMIFS($D$2:$D$7909, $B$2:$B$7909, "Piemonte")</f>
        <v>4363916</v>
      </c>
      <c r="G4850" s="1">
        <f>Comuni__2[[#This Row],[Popolazione2011]]/Comuni__2[[#This Row],[POPOLAZIONE TOTALE DI OGNI REGIONE (CON FILTRO)]]</f>
        <v>3.4991507627552866E-4</v>
      </c>
      <c r="H4850" t="str">
        <f>IF(Comuni__2[[#This Row],[Popolazione2011]]&gt;300000,"MAGGIORE","")</f>
        <v/>
      </c>
      <c r="J4850">
        <v>4</v>
      </c>
      <c r="K4850">
        <v>2266</v>
      </c>
      <c r="L4850">
        <v>292</v>
      </c>
    </row>
    <row r="4851" spans="1:12" x14ac:dyDescent="0.2">
      <c r="A4851"/>
      <c r="B4851"/>
      <c r="C4851"/>
      <c r="D4851"/>
      <c r="E4851" s="2">
        <f>Comuni__2[[#This Row],[Popolazione2011]]/$D$7911</f>
        <v>2.5579287992777619E-5</v>
      </c>
      <c r="F4851">
        <f>SUMIFS($D$2:$D$7909, $B$2:$B$7909, "Piemonte")</f>
        <v>4363916</v>
      </c>
      <c r="G4851" s="1">
        <f>Comuni__2[[#This Row],[Popolazione2011]]/Comuni__2[[#This Row],[POPOLAZIONE TOTALE DI OGNI REGIONE (CON FILTRO)]]</f>
        <v>3.4831101240262186E-4</v>
      </c>
      <c r="H4851" t="str">
        <f>IF(Comuni__2[[#This Row],[Popolazione2011]]&gt;300000,"MAGGIORE","")</f>
        <v/>
      </c>
      <c r="J4851">
        <v>1</v>
      </c>
      <c r="K4851">
        <v>4412</v>
      </c>
      <c r="L4851">
        <v>405</v>
      </c>
    </row>
    <row r="4852" spans="1:12" x14ac:dyDescent="0.2">
      <c r="A4852"/>
      <c r="B4852"/>
      <c r="C4852"/>
      <c r="D4852"/>
      <c r="E4852" s="2">
        <f>Comuni__2[[#This Row],[Popolazione2011]]/$D$7911</f>
        <v>2.5478317119121919E-5</v>
      </c>
      <c r="F4852">
        <f>SUMIFS($D$2:$D$7909, $B$2:$B$7909, "Piemonte")</f>
        <v>4363916</v>
      </c>
      <c r="G4852" s="1">
        <f>Comuni__2[[#This Row],[Popolazione2011]]/Comuni__2[[#This Row],[POPOLAZIONE TOTALE DI OGNI REGIONE (CON FILTRO)]]</f>
        <v>3.4693610051155887E-4</v>
      </c>
      <c r="H4852" t="str">
        <f>IF(Comuni__2[[#This Row],[Popolazione2011]]&gt;300000,"MAGGIORE","")</f>
        <v/>
      </c>
      <c r="J4852">
        <v>3</v>
      </c>
      <c r="K4852">
        <v>2266</v>
      </c>
      <c r="L4852">
        <v>292</v>
      </c>
    </row>
    <row r="4853" spans="1:12" x14ac:dyDescent="0.2">
      <c r="A4853"/>
      <c r="B4853"/>
      <c r="C4853"/>
      <c r="D4853"/>
      <c r="E4853" s="2">
        <f>Comuni__2[[#This Row],[Popolazione2011]]/$D$7911</f>
        <v>2.5461488640179303E-5</v>
      </c>
      <c r="F4853">
        <f>SUMIFS($D$2:$D$7909, $B$2:$B$7909, "Piemonte")</f>
        <v>4363916</v>
      </c>
      <c r="G4853" s="1">
        <f>Comuni__2[[#This Row],[Popolazione2011]]/Comuni__2[[#This Row],[POPOLAZIONE TOTALE DI OGNI REGIONE (CON FILTRO)]]</f>
        <v>3.4670694852971507E-4</v>
      </c>
      <c r="H4853" t="str">
        <f>IF(Comuni__2[[#This Row],[Popolazione2011]]&gt;300000,"MAGGIORE","")</f>
        <v/>
      </c>
      <c r="J4853">
        <v>1</v>
      </c>
      <c r="K4853">
        <v>4414</v>
      </c>
      <c r="L4853">
        <v>405</v>
      </c>
    </row>
    <row r="4854" spans="1:12" x14ac:dyDescent="0.2">
      <c r="A4854"/>
      <c r="B4854"/>
      <c r="C4854"/>
      <c r="D4854"/>
      <c r="E4854" s="2">
        <f>Comuni__2[[#This Row],[Popolazione2011]]/$D$7911</f>
        <v>2.5427831682294071E-5</v>
      </c>
      <c r="F4854">
        <f>SUMIFS($D$2:$D$7909, $B$2:$B$7909, "Piemonte")</f>
        <v>4363916</v>
      </c>
      <c r="G4854" s="1">
        <f>Comuni__2[[#This Row],[Popolazione2011]]/Comuni__2[[#This Row],[POPOLAZIONE TOTALE DI OGNI REGIONE (CON FILTRO)]]</f>
        <v>3.4624864456602741E-4</v>
      </c>
      <c r="H4854" t="str">
        <f>IF(Comuni__2[[#This Row],[Popolazione2011]]&gt;300000,"MAGGIORE","")</f>
        <v/>
      </c>
      <c r="J4854">
        <v>3</v>
      </c>
      <c r="K4854">
        <v>2267</v>
      </c>
      <c r="L4854">
        <v>292</v>
      </c>
    </row>
    <row r="4855" spans="1:12" x14ac:dyDescent="0.2">
      <c r="A4855"/>
      <c r="B4855"/>
      <c r="C4855"/>
      <c r="D4855"/>
      <c r="E4855" s="2">
        <f>Comuni__2[[#This Row],[Popolazione2011]]/$D$7911</f>
        <v>2.5377346245466219E-5</v>
      </c>
      <c r="F4855">
        <f>SUMIFS($D$2:$D$7909, $B$2:$B$7909, "Piemonte")</f>
        <v>4363916</v>
      </c>
      <c r="G4855" s="1">
        <f>Comuni__2[[#This Row],[Popolazione2011]]/Comuni__2[[#This Row],[POPOLAZIONE TOTALE DI OGNI REGIONE (CON FILTRO)]]</f>
        <v>3.4556118862049588E-4</v>
      </c>
      <c r="H4855" t="str">
        <f>IF(Comuni__2[[#This Row],[Popolazione2011]]&gt;300000,"MAGGIORE","")</f>
        <v/>
      </c>
      <c r="J4855">
        <v>2</v>
      </c>
      <c r="K4855">
        <v>4420</v>
      </c>
      <c r="L4855">
        <v>405</v>
      </c>
    </row>
    <row r="4856" spans="1:12" x14ac:dyDescent="0.2">
      <c r="A4856"/>
      <c r="B4856"/>
      <c r="C4856"/>
      <c r="D4856"/>
      <c r="E4856" s="2">
        <f>Comuni__2[[#This Row],[Popolazione2011]]/$D$7911</f>
        <v>2.5343689287580983E-5</v>
      </c>
      <c r="F4856">
        <f>SUMIFS($D$2:$D$7909, $B$2:$B$7909, "Piemonte")</f>
        <v>4363916</v>
      </c>
      <c r="G4856" s="1">
        <f>Comuni__2[[#This Row],[Popolazione2011]]/Comuni__2[[#This Row],[POPOLAZIONE TOTALE DI OGNI REGIONE (CON FILTRO)]]</f>
        <v>3.4510288465680822E-4</v>
      </c>
      <c r="H4856" t="str">
        <f>IF(Comuni__2[[#This Row],[Popolazione2011]]&gt;300000,"MAGGIORE","")</f>
        <v/>
      </c>
      <c r="J4856">
        <v>3</v>
      </c>
      <c r="K4856">
        <v>2268</v>
      </c>
      <c r="L4856">
        <v>292</v>
      </c>
    </row>
    <row r="4857" spans="1:12" x14ac:dyDescent="0.2">
      <c r="A4857"/>
      <c r="B4857"/>
      <c r="C4857"/>
      <c r="D4857"/>
      <c r="E4857" s="2">
        <f>Comuni__2[[#This Row],[Popolazione2011]]/$D$7911</f>
        <v>2.5276375371810519E-5</v>
      </c>
      <c r="F4857">
        <f>SUMIFS($D$2:$D$7909, $B$2:$B$7909, "Piemonte")</f>
        <v>4363916</v>
      </c>
      <c r="G4857" s="1">
        <f>Comuni__2[[#This Row],[Popolazione2011]]/Comuni__2[[#This Row],[POPOLAZIONE TOTALE DI OGNI REGIONE (CON FILTRO)]]</f>
        <v>3.4418627672943295E-4</v>
      </c>
      <c r="H4857" t="str">
        <f>IF(Comuni__2[[#This Row],[Popolazione2011]]&gt;300000,"MAGGIORE","")</f>
        <v/>
      </c>
      <c r="J4857">
        <v>2</v>
      </c>
      <c r="K4857">
        <v>4420</v>
      </c>
      <c r="L4857">
        <v>405</v>
      </c>
    </row>
    <row r="4858" spans="1:12" x14ac:dyDescent="0.2">
      <c r="A4858"/>
      <c r="B4858"/>
      <c r="C4858"/>
      <c r="D4858"/>
      <c r="E4858" s="2">
        <f>Comuni__2[[#This Row],[Popolazione2011]]/$D$7911</f>
        <v>2.5158576019212199E-5</v>
      </c>
      <c r="F4858">
        <f>SUMIFS($D$2:$D$7909, $B$2:$B$7909, "Piemonte")</f>
        <v>4363916</v>
      </c>
      <c r="G4858" s="1">
        <f>Comuni__2[[#This Row],[Popolazione2011]]/Comuni__2[[#This Row],[POPOLAZIONE TOTALE DI OGNI REGIONE (CON FILTRO)]]</f>
        <v>3.425822128565261E-4</v>
      </c>
      <c r="H4858" t="str">
        <f>IF(Comuni__2[[#This Row],[Popolazione2011]]&gt;300000,"MAGGIORE","")</f>
        <v/>
      </c>
      <c r="J4858">
        <v>3</v>
      </c>
      <c r="K4858">
        <v>2270</v>
      </c>
      <c r="L4858">
        <v>292</v>
      </c>
    </row>
    <row r="4859" spans="1:12" x14ac:dyDescent="0.2">
      <c r="A4859"/>
      <c r="B4859"/>
      <c r="C4859"/>
      <c r="D4859"/>
      <c r="E4859" s="2">
        <f>Comuni__2[[#This Row],[Popolazione2011]]/$D$7911</f>
        <v>2.5158576019212199E-5</v>
      </c>
      <c r="F4859">
        <f>SUMIFS($D$2:$D$7909, $B$2:$B$7909, "Piemonte")</f>
        <v>4363916</v>
      </c>
      <c r="G4859" s="1">
        <f>Comuni__2[[#This Row],[Popolazione2011]]/Comuni__2[[#This Row],[POPOLAZIONE TOTALE DI OGNI REGIONE (CON FILTRO)]]</f>
        <v>3.425822128565261E-4</v>
      </c>
      <c r="H4859" t="str">
        <f>IF(Comuni__2[[#This Row],[Popolazione2011]]&gt;300000,"MAGGIORE","")</f>
        <v/>
      </c>
      <c r="J4859">
        <v>2</v>
      </c>
      <c r="K4859">
        <v>4426</v>
      </c>
      <c r="L4859">
        <v>405</v>
      </c>
    </row>
    <row r="4860" spans="1:12" x14ac:dyDescent="0.2">
      <c r="A4860"/>
      <c r="B4860"/>
      <c r="C4860"/>
      <c r="D4860"/>
      <c r="E4860" s="2">
        <f>Comuni__2[[#This Row],[Popolazione2011]]/$D$7911</f>
        <v>2.5141747540269583E-5</v>
      </c>
      <c r="F4860">
        <f>SUMIFS($D$2:$D$7909, $B$2:$B$7909, "Piemonte")</f>
        <v>4363916</v>
      </c>
      <c r="G4860" s="1">
        <f>Comuni__2[[#This Row],[Popolazione2011]]/Comuni__2[[#This Row],[POPOLAZIONE TOTALE DI OGNI REGIONE (CON FILTRO)]]</f>
        <v>3.423530608746823E-4</v>
      </c>
      <c r="H4860" t="str">
        <f>IF(Comuni__2[[#This Row],[Popolazione2011]]&gt;300000,"MAGGIORE","")</f>
        <v/>
      </c>
      <c r="J4860">
        <v>3</v>
      </c>
      <c r="K4860">
        <v>2272</v>
      </c>
      <c r="L4860">
        <v>292</v>
      </c>
    </row>
    <row r="4861" spans="1:12" x14ac:dyDescent="0.2">
      <c r="A4861"/>
      <c r="B4861"/>
      <c r="C4861"/>
      <c r="D4861"/>
      <c r="E4861" s="2">
        <f>Comuni__2[[#This Row],[Popolazione2011]]/$D$7911</f>
        <v>2.5124919061326967E-5</v>
      </c>
      <c r="F4861">
        <f>SUMIFS($D$2:$D$7909, $B$2:$B$7909, "Piemonte")</f>
        <v>4363916</v>
      </c>
      <c r="G4861" s="1">
        <f>Comuni__2[[#This Row],[Popolazione2011]]/Comuni__2[[#This Row],[POPOLAZIONE TOTALE DI OGNI REGIONE (CON FILTRO)]]</f>
        <v>3.4212390889283844E-4</v>
      </c>
      <c r="H4861" t="str">
        <f>IF(Comuni__2[[#This Row],[Popolazione2011]]&gt;300000,"MAGGIORE","")</f>
        <v/>
      </c>
      <c r="J4861">
        <v>3</v>
      </c>
      <c r="K4861">
        <v>4431</v>
      </c>
      <c r="L4861">
        <v>405</v>
      </c>
    </row>
    <row r="4862" spans="1:12" x14ac:dyDescent="0.2">
      <c r="A4862"/>
      <c r="B4862"/>
      <c r="C4862"/>
      <c r="D4862"/>
      <c r="E4862" s="2">
        <f>Comuni__2[[#This Row],[Popolazione2011]]/$D$7911</f>
        <v>2.5091262103441731E-5</v>
      </c>
      <c r="F4862">
        <f>SUMIFS($D$2:$D$7909, $B$2:$B$7909, "Piemonte")</f>
        <v>4363916</v>
      </c>
      <c r="G4862" s="1">
        <f>Comuni__2[[#This Row],[Popolazione2011]]/Comuni__2[[#This Row],[POPOLAZIONE TOTALE DI OGNI REGIONE (CON FILTRO)]]</f>
        <v>3.4166560492915077E-4</v>
      </c>
      <c r="H4862" t="str">
        <f>IF(Comuni__2[[#This Row],[Popolazione2011]]&gt;300000,"MAGGIORE","")</f>
        <v/>
      </c>
      <c r="J4862">
        <v>3</v>
      </c>
      <c r="K4862">
        <v>2273</v>
      </c>
      <c r="L4862">
        <v>292</v>
      </c>
    </row>
    <row r="4863" spans="1:12" x14ac:dyDescent="0.2">
      <c r="A4863"/>
      <c r="B4863"/>
      <c r="C4863"/>
      <c r="D4863"/>
      <c r="E4863" s="2">
        <f>Comuni__2[[#This Row],[Popolazione2011]]/$D$7911</f>
        <v>2.5074433624499115E-5</v>
      </c>
      <c r="F4863">
        <f>SUMIFS($D$2:$D$7909, $B$2:$B$7909, "Piemonte")</f>
        <v>4363916</v>
      </c>
      <c r="G4863" s="1">
        <f>Comuni__2[[#This Row],[Popolazione2011]]/Comuni__2[[#This Row],[POPOLAZIONE TOTALE DI OGNI REGIONE (CON FILTRO)]]</f>
        <v>3.4143645294730697E-4</v>
      </c>
      <c r="H4863" t="str">
        <f>IF(Comuni__2[[#This Row],[Popolazione2011]]&gt;300000,"MAGGIORE","")</f>
        <v/>
      </c>
      <c r="J4863">
        <v>3</v>
      </c>
      <c r="K4863">
        <v>4431</v>
      </c>
      <c r="L4863">
        <v>405</v>
      </c>
    </row>
    <row r="4864" spans="1:12" x14ac:dyDescent="0.2">
      <c r="A4864"/>
      <c r="B4864"/>
      <c r="C4864"/>
      <c r="D4864"/>
      <c r="E4864" s="2">
        <f>Comuni__2[[#This Row],[Popolazione2011]]/$D$7911</f>
        <v>2.4771521003532011E-5</v>
      </c>
      <c r="F4864">
        <f>SUMIFS($D$2:$D$7909, $B$2:$B$7909, "Piemonte")</f>
        <v>4363916</v>
      </c>
      <c r="G4864" s="1">
        <f>Comuni__2[[#This Row],[Popolazione2011]]/Comuni__2[[#This Row],[POPOLAZIONE TOTALE DI OGNI REGIONE (CON FILTRO)]]</f>
        <v>3.37311717274118E-4</v>
      </c>
      <c r="H4864" t="str">
        <f>IF(Comuni__2[[#This Row],[Popolazione2011]]&gt;300000,"MAGGIORE","")</f>
        <v/>
      </c>
      <c r="J4864">
        <v>6</v>
      </c>
      <c r="K4864">
        <v>2275</v>
      </c>
      <c r="L4864">
        <v>292</v>
      </c>
    </row>
    <row r="4865" spans="1:12" x14ac:dyDescent="0.2">
      <c r="A4865"/>
      <c r="B4865"/>
      <c r="C4865"/>
      <c r="D4865"/>
      <c r="E4865" s="2">
        <f>Comuni__2[[#This Row],[Popolazione2011]]/$D$7911</f>
        <v>2.4771521003532011E-5</v>
      </c>
      <c r="F4865">
        <f>SUMIFS($D$2:$D$7909, $B$2:$B$7909, "Piemonte")</f>
        <v>4363916</v>
      </c>
      <c r="G4865" s="1">
        <f>Comuni__2[[#This Row],[Popolazione2011]]/Comuni__2[[#This Row],[POPOLAZIONE TOTALE DI OGNI REGIONE (CON FILTRO)]]</f>
        <v>3.37311717274118E-4</v>
      </c>
      <c r="H4865" t="str">
        <f>IF(Comuni__2[[#This Row],[Popolazione2011]]&gt;300000,"MAGGIORE","")</f>
        <v/>
      </c>
      <c r="J4865">
        <v>3</v>
      </c>
      <c r="K4865">
        <v>4434</v>
      </c>
      <c r="L4865">
        <v>405</v>
      </c>
    </row>
    <row r="4866" spans="1:12" x14ac:dyDescent="0.2">
      <c r="A4866"/>
      <c r="B4866"/>
      <c r="C4866"/>
      <c r="D4866"/>
      <c r="E4866" s="2">
        <f>Comuni__2[[#This Row],[Popolazione2011]]/$D$7911</f>
        <v>2.4754692524589395E-5</v>
      </c>
      <c r="F4866">
        <f>SUMIFS($D$2:$D$7909, $B$2:$B$7909, "Piemonte")</f>
        <v>4363916</v>
      </c>
      <c r="G4866" s="1">
        <f>Comuni__2[[#This Row],[Popolazione2011]]/Comuni__2[[#This Row],[POPOLAZIONE TOTALE DI OGNI REGIONE (CON FILTRO)]]</f>
        <v>3.370825652922742E-4</v>
      </c>
      <c r="H4866" t="str">
        <f>IF(Comuni__2[[#This Row],[Popolazione2011]]&gt;300000,"MAGGIORE","")</f>
        <v/>
      </c>
      <c r="J4866">
        <v>6</v>
      </c>
      <c r="K4866">
        <v>2277</v>
      </c>
      <c r="L4866">
        <v>292</v>
      </c>
    </row>
    <row r="4867" spans="1:12" x14ac:dyDescent="0.2">
      <c r="A4867"/>
      <c r="B4867"/>
      <c r="C4867"/>
      <c r="D4867"/>
      <c r="E4867" s="2">
        <f>Comuni__2[[#This Row],[Popolazione2011]]/$D$7911</f>
        <v>2.4737864045646779E-5</v>
      </c>
      <c r="F4867">
        <f>SUMIFS($D$2:$D$7909, $B$2:$B$7909, "Piemonte")</f>
        <v>4363916</v>
      </c>
      <c r="G4867" s="1">
        <f>Comuni__2[[#This Row],[Popolazione2011]]/Comuni__2[[#This Row],[POPOLAZIONE TOTALE DI OGNI REGIONE (CON FILTRO)]]</f>
        <v>3.3685341331043034E-4</v>
      </c>
      <c r="H4867" t="str">
        <f>IF(Comuni__2[[#This Row],[Popolazione2011]]&gt;300000,"MAGGIORE","")</f>
        <v/>
      </c>
      <c r="J4867">
        <v>1</v>
      </c>
      <c r="K4867">
        <v>4438</v>
      </c>
      <c r="L4867">
        <v>405</v>
      </c>
    </row>
    <row r="4868" spans="1:12" x14ac:dyDescent="0.2">
      <c r="A4868"/>
      <c r="B4868"/>
      <c r="C4868"/>
      <c r="D4868"/>
      <c r="E4868" s="2">
        <f>Comuni__2[[#This Row],[Popolazione2011]]/$D$7911</f>
        <v>2.4653721650933695E-5</v>
      </c>
      <c r="F4868">
        <f>SUMIFS($D$2:$D$7909, $B$2:$B$7909, "Piemonte")</f>
        <v>4363916</v>
      </c>
      <c r="G4868" s="1">
        <f>Comuni__2[[#This Row],[Popolazione2011]]/Comuni__2[[#This Row],[POPOLAZIONE TOTALE DI OGNI REGIONE (CON FILTRO)]]</f>
        <v>3.3570765340121121E-4</v>
      </c>
      <c r="H4868" t="str">
        <f>IF(Comuni__2[[#This Row],[Popolazione2011]]&gt;300000,"MAGGIORE","")</f>
        <v/>
      </c>
      <c r="J4868">
        <v>6</v>
      </c>
      <c r="K4868">
        <v>2280</v>
      </c>
      <c r="L4868">
        <v>292</v>
      </c>
    </row>
    <row r="4869" spans="1:12" x14ac:dyDescent="0.2">
      <c r="A4869"/>
      <c r="B4869"/>
      <c r="C4869"/>
      <c r="D4869"/>
      <c r="E4869" s="2">
        <f>Comuni__2[[#This Row],[Popolazione2011]]/$D$7911</f>
        <v>2.4653721650933695E-5</v>
      </c>
      <c r="F4869">
        <f>SUMIFS($D$2:$D$7909, $B$2:$B$7909, "Piemonte")</f>
        <v>4363916</v>
      </c>
      <c r="G4869" s="1">
        <f>Comuni__2[[#This Row],[Popolazione2011]]/Comuni__2[[#This Row],[POPOLAZIONE TOTALE DI OGNI REGIONE (CON FILTRO)]]</f>
        <v>3.3570765340121121E-4</v>
      </c>
      <c r="H4869" t="str">
        <f>IF(Comuni__2[[#This Row],[Popolazione2011]]&gt;300000,"MAGGIORE","")</f>
        <v/>
      </c>
      <c r="J4869">
        <v>1</v>
      </c>
      <c r="K4869">
        <v>4447</v>
      </c>
      <c r="L4869">
        <v>405</v>
      </c>
    </row>
    <row r="4870" spans="1:12" x14ac:dyDescent="0.2">
      <c r="A4870"/>
      <c r="B4870"/>
      <c r="C4870"/>
      <c r="D4870"/>
      <c r="E4870" s="2">
        <f>Comuni__2[[#This Row],[Popolazione2011]]/$D$7911</f>
        <v>2.4653721650933695E-5</v>
      </c>
      <c r="F4870">
        <f>SUMIFS($D$2:$D$7909, $B$2:$B$7909, "Piemonte")</f>
        <v>4363916</v>
      </c>
      <c r="G4870" s="1">
        <f>Comuni__2[[#This Row],[Popolazione2011]]/Comuni__2[[#This Row],[POPOLAZIONE TOTALE DI OGNI REGIONE (CON FILTRO)]]</f>
        <v>3.3570765340121121E-4</v>
      </c>
      <c r="H4870" t="str">
        <f>IF(Comuni__2[[#This Row],[Popolazione2011]]&gt;300000,"MAGGIORE","")</f>
        <v/>
      </c>
      <c r="J4870">
        <v>6</v>
      </c>
      <c r="K4870">
        <v>2287</v>
      </c>
      <c r="L4870">
        <v>292</v>
      </c>
    </row>
    <row r="4871" spans="1:12" x14ac:dyDescent="0.2">
      <c r="A4871"/>
      <c r="B4871"/>
      <c r="C4871"/>
      <c r="D4871"/>
      <c r="E4871" s="2">
        <f>Comuni__2[[#This Row],[Popolazione2011]]/$D$7911</f>
        <v>2.4653721650933695E-5</v>
      </c>
      <c r="F4871">
        <f>SUMIFS($D$2:$D$7909, $B$2:$B$7909, "Piemonte")</f>
        <v>4363916</v>
      </c>
      <c r="G4871" s="1">
        <f>Comuni__2[[#This Row],[Popolazione2011]]/Comuni__2[[#This Row],[POPOLAZIONE TOTALE DI OGNI REGIONE (CON FILTRO)]]</f>
        <v>3.3570765340121121E-4</v>
      </c>
      <c r="H4871" t="str">
        <f>IF(Comuni__2[[#This Row],[Popolazione2011]]&gt;300000,"MAGGIORE","")</f>
        <v/>
      </c>
      <c r="J4871">
        <v>2</v>
      </c>
      <c r="K4871">
        <v>4448</v>
      </c>
      <c r="L4871">
        <v>405</v>
      </c>
    </row>
    <row r="4872" spans="1:12" x14ac:dyDescent="0.2">
      <c r="A4872"/>
      <c r="B4872"/>
      <c r="C4872"/>
      <c r="D4872"/>
      <c r="E4872" s="2">
        <f>Comuni__2[[#This Row],[Popolazione2011]]/$D$7911</f>
        <v>2.4552750777277991E-5</v>
      </c>
      <c r="F4872">
        <f>SUMIFS($D$2:$D$7909, $B$2:$B$7909, "Piemonte")</f>
        <v>4363916</v>
      </c>
      <c r="G4872" s="1">
        <f>Comuni__2[[#This Row],[Popolazione2011]]/Comuni__2[[#This Row],[POPOLAZIONE TOTALE DI OGNI REGIONE (CON FILTRO)]]</f>
        <v>3.3433274151014822E-4</v>
      </c>
      <c r="H4872" t="str">
        <f>IF(Comuni__2[[#This Row],[Popolazione2011]]&gt;300000,"MAGGIORE","")</f>
        <v/>
      </c>
      <c r="J4872">
        <v>6</v>
      </c>
      <c r="K4872">
        <v>2286</v>
      </c>
      <c r="L4872">
        <v>292</v>
      </c>
    </row>
    <row r="4873" spans="1:12" x14ac:dyDescent="0.2">
      <c r="A4873"/>
      <c r="B4873"/>
      <c r="C4873"/>
      <c r="D4873"/>
      <c r="E4873" s="2">
        <f>Comuni__2[[#This Row],[Popolazione2011]]/$D$7911</f>
        <v>2.4485436861507524E-5</v>
      </c>
      <c r="F4873">
        <f>SUMIFS($D$2:$D$7909, $B$2:$B$7909, "Piemonte")</f>
        <v>4363916</v>
      </c>
      <c r="G4873" s="1">
        <f>Comuni__2[[#This Row],[Popolazione2011]]/Comuni__2[[#This Row],[POPOLAZIONE TOTALE DI OGNI REGIONE (CON FILTRO)]]</f>
        <v>3.3341613358277289E-4</v>
      </c>
      <c r="H4873" t="str">
        <f>IF(Comuni__2[[#This Row],[Popolazione2011]]&gt;300000,"MAGGIORE","")</f>
        <v/>
      </c>
      <c r="J4873">
        <v>2</v>
      </c>
      <c r="K4873">
        <v>4450</v>
      </c>
      <c r="L4873">
        <v>405</v>
      </c>
    </row>
    <row r="4874" spans="1:12" x14ac:dyDescent="0.2">
      <c r="A4874"/>
      <c r="B4874"/>
      <c r="C4874"/>
      <c r="D4874"/>
      <c r="E4874" s="2">
        <f>Comuni__2[[#This Row],[Popolazione2011]]/$D$7911</f>
        <v>2.4401294466794439E-5</v>
      </c>
      <c r="F4874">
        <f>SUMIFS($D$2:$D$7909, $B$2:$B$7909, "Piemonte")</f>
        <v>4363916</v>
      </c>
      <c r="G4874" s="1">
        <f>Comuni__2[[#This Row],[Popolazione2011]]/Comuni__2[[#This Row],[POPOLAZIONE TOTALE DI OGNI REGIONE (CON FILTRO)]]</f>
        <v>3.3227037367355376E-4</v>
      </c>
      <c r="H4874" t="str">
        <f>IF(Comuni__2[[#This Row],[Popolazione2011]]&gt;300000,"MAGGIORE","")</f>
        <v/>
      </c>
      <c r="J4874">
        <v>6</v>
      </c>
      <c r="K4874">
        <v>2286</v>
      </c>
      <c r="L4874">
        <v>292</v>
      </c>
    </row>
    <row r="4875" spans="1:12" x14ac:dyDescent="0.2">
      <c r="A4875"/>
      <c r="B4875"/>
      <c r="C4875"/>
      <c r="D4875"/>
      <c r="E4875" s="2">
        <f>Comuni__2[[#This Row],[Popolazione2011]]/$D$7911</f>
        <v>2.4367637508909207E-5</v>
      </c>
      <c r="F4875">
        <f>SUMIFS($D$2:$D$7909, $B$2:$B$7909, "Piemonte")</f>
        <v>4363916</v>
      </c>
      <c r="G4875" s="1">
        <f>Comuni__2[[#This Row],[Popolazione2011]]/Comuni__2[[#This Row],[POPOLAZIONE TOTALE DI OGNI REGIONE (CON FILTRO)]]</f>
        <v>3.3181206970986609E-4</v>
      </c>
      <c r="H4875" t="str">
        <f>IF(Comuni__2[[#This Row],[Popolazione2011]]&gt;300000,"MAGGIORE","")</f>
        <v/>
      </c>
      <c r="J4875">
        <v>2</v>
      </c>
      <c r="K4875">
        <v>4450</v>
      </c>
      <c r="L4875">
        <v>405</v>
      </c>
    </row>
    <row r="4876" spans="1:12" x14ac:dyDescent="0.2">
      <c r="A4876"/>
      <c r="B4876"/>
      <c r="C4876"/>
      <c r="D4876"/>
      <c r="E4876" s="2">
        <f>Comuni__2[[#This Row],[Popolazione2011]]/$D$7911</f>
        <v>2.4333980551023975E-5</v>
      </c>
      <c r="F4876">
        <f>SUMIFS($D$2:$D$7909, $B$2:$B$7909, "Piemonte")</f>
        <v>4363916</v>
      </c>
      <c r="G4876" s="1">
        <f>Comuni__2[[#This Row],[Popolazione2011]]/Comuni__2[[#This Row],[POPOLAZIONE TOTALE DI OGNI REGIONE (CON FILTRO)]]</f>
        <v>3.3135376574617843E-4</v>
      </c>
      <c r="H4876" t="str">
        <f>IF(Comuni__2[[#This Row],[Popolazione2011]]&gt;300000,"MAGGIORE","")</f>
        <v/>
      </c>
      <c r="J4876">
        <v>6</v>
      </c>
      <c r="K4876">
        <v>2287</v>
      </c>
      <c r="L4876">
        <v>292</v>
      </c>
    </row>
    <row r="4877" spans="1:12" x14ac:dyDescent="0.2">
      <c r="A4877"/>
      <c r="B4877"/>
      <c r="C4877"/>
      <c r="D4877"/>
      <c r="E4877" s="2">
        <f>Comuni__2[[#This Row],[Popolazione2011]]/$D$7911</f>
        <v>2.4317152072081355E-5</v>
      </c>
      <c r="F4877">
        <f>SUMIFS($D$2:$D$7909, $B$2:$B$7909, "Piemonte")</f>
        <v>4363916</v>
      </c>
      <c r="G4877" s="1">
        <f>Comuni__2[[#This Row],[Popolazione2011]]/Comuni__2[[#This Row],[POPOLAZIONE TOTALE DI OGNI REGIONE (CON FILTRO)]]</f>
        <v>3.3112461376433463E-4</v>
      </c>
      <c r="H4877" t="str">
        <f>IF(Comuni__2[[#This Row],[Popolazione2011]]&gt;300000,"MAGGIORE","")</f>
        <v/>
      </c>
      <c r="J4877">
        <v>2</v>
      </c>
      <c r="K4877">
        <v>4450</v>
      </c>
      <c r="L4877">
        <v>405</v>
      </c>
    </row>
    <row r="4878" spans="1:12" x14ac:dyDescent="0.2">
      <c r="A4878"/>
      <c r="B4878"/>
      <c r="C4878"/>
      <c r="D4878"/>
      <c r="E4878" s="2">
        <f>Comuni__2[[#This Row],[Popolazione2011]]/$D$7911</f>
        <v>2.4182524240540423E-5</v>
      </c>
      <c r="F4878">
        <f>SUMIFS($D$2:$D$7909, $B$2:$B$7909, "Piemonte")</f>
        <v>4363916</v>
      </c>
      <c r="G4878" s="1">
        <f>Comuni__2[[#This Row],[Popolazione2011]]/Comuni__2[[#This Row],[POPOLAZIONE TOTALE DI OGNI REGIONE (CON FILTRO)]]</f>
        <v>3.2929139790958397E-4</v>
      </c>
      <c r="H4878" t="str">
        <f>IF(Comuni__2[[#This Row],[Popolazione2011]]&gt;300000,"MAGGIORE","")</f>
        <v/>
      </c>
      <c r="J4878">
        <v>6</v>
      </c>
      <c r="K4878">
        <v>2288</v>
      </c>
      <c r="L4878">
        <v>292</v>
      </c>
    </row>
    <row r="4879" spans="1:12" x14ac:dyDescent="0.2">
      <c r="A4879"/>
      <c r="B4879"/>
      <c r="C4879"/>
      <c r="D4879"/>
      <c r="E4879" s="2">
        <f>Comuni__2[[#This Row],[Popolazione2011]]/$D$7911</f>
        <v>2.4182524240540423E-5</v>
      </c>
      <c r="F4879">
        <f>SUMIFS($D$2:$D$7909, $B$2:$B$7909, "Piemonte")</f>
        <v>4363916</v>
      </c>
      <c r="G4879" s="1">
        <f>Comuni__2[[#This Row],[Popolazione2011]]/Comuni__2[[#This Row],[POPOLAZIONE TOTALE DI OGNI REGIONE (CON FILTRO)]]</f>
        <v>3.2929139790958397E-4</v>
      </c>
      <c r="H4879" t="str">
        <f>IF(Comuni__2[[#This Row],[Popolazione2011]]&gt;300000,"MAGGIORE","")</f>
        <v/>
      </c>
      <c r="J4879">
        <v>1</v>
      </c>
      <c r="K4879">
        <v>4452</v>
      </c>
      <c r="L4879">
        <v>405</v>
      </c>
    </row>
    <row r="4880" spans="1:12" x14ac:dyDescent="0.2">
      <c r="A4880"/>
      <c r="B4880"/>
      <c r="C4880"/>
      <c r="D4880"/>
      <c r="E4880" s="2">
        <f>Comuni__2[[#This Row],[Popolazione2011]]/$D$7911</f>
        <v>2.4098381845827339E-5</v>
      </c>
      <c r="F4880">
        <f>SUMIFS($D$2:$D$7909, $B$2:$B$7909, "Piemonte")</f>
        <v>4363916</v>
      </c>
      <c r="G4880" s="1">
        <f>Comuni__2[[#This Row],[Popolazione2011]]/Comuni__2[[#This Row],[POPOLAZIONE TOTALE DI OGNI REGIONE (CON FILTRO)]]</f>
        <v>3.2814563800036479E-4</v>
      </c>
      <c r="H4880" t="str">
        <f>IF(Comuni__2[[#This Row],[Popolazione2011]]&gt;300000,"MAGGIORE","")</f>
        <v/>
      </c>
      <c r="J4880">
        <v>6</v>
      </c>
      <c r="K4880">
        <v>2286</v>
      </c>
      <c r="L4880">
        <v>292</v>
      </c>
    </row>
    <row r="4881" spans="1:12" x14ac:dyDescent="0.2">
      <c r="A4881"/>
      <c r="B4881"/>
      <c r="C4881"/>
      <c r="D4881"/>
      <c r="E4881" s="2">
        <f>Comuni__2[[#This Row],[Popolazione2011]]/$D$7911</f>
        <v>2.4098381845827339E-5</v>
      </c>
      <c r="F4881">
        <f>SUMIFS($D$2:$D$7909, $B$2:$B$7909, "Piemonte")</f>
        <v>4363916</v>
      </c>
      <c r="G4881" s="1">
        <f>Comuni__2[[#This Row],[Popolazione2011]]/Comuni__2[[#This Row],[POPOLAZIONE TOTALE DI OGNI REGIONE (CON FILTRO)]]</f>
        <v>3.2814563800036479E-4</v>
      </c>
      <c r="H4881" t="str">
        <f>IF(Comuni__2[[#This Row],[Popolazione2011]]&gt;300000,"MAGGIORE","")</f>
        <v/>
      </c>
      <c r="J4881">
        <v>1</v>
      </c>
      <c r="K4881">
        <v>4458</v>
      </c>
      <c r="L4881">
        <v>405</v>
      </c>
    </row>
    <row r="4882" spans="1:12" x14ac:dyDescent="0.2">
      <c r="A4882"/>
      <c r="B4882"/>
      <c r="C4882"/>
      <c r="D4882"/>
      <c r="E4882" s="2">
        <f>Comuni__2[[#This Row],[Popolazione2011]]/$D$7911</f>
        <v>2.408155336688472E-5</v>
      </c>
      <c r="F4882">
        <f>SUMIFS($D$2:$D$7909, $B$2:$B$7909, "Piemonte")</f>
        <v>4363916</v>
      </c>
      <c r="G4882" s="1">
        <f>Comuni__2[[#This Row],[Popolazione2011]]/Comuni__2[[#This Row],[POPOLAZIONE TOTALE DI OGNI REGIONE (CON FILTRO)]]</f>
        <v>3.2791648601852098E-4</v>
      </c>
      <c r="H4882" t="str">
        <f>IF(Comuni__2[[#This Row],[Popolazione2011]]&gt;300000,"MAGGIORE","")</f>
        <v/>
      </c>
      <c r="J4882">
        <v>6</v>
      </c>
      <c r="K4882">
        <v>2289</v>
      </c>
      <c r="L4882">
        <v>292</v>
      </c>
    </row>
    <row r="4883" spans="1:12" x14ac:dyDescent="0.2">
      <c r="A4883"/>
      <c r="B4883"/>
      <c r="C4883"/>
      <c r="D4883"/>
      <c r="E4883" s="2">
        <f>Comuni__2[[#This Row],[Popolazione2011]]/$D$7911</f>
        <v>2.4064724887942103E-5</v>
      </c>
      <c r="F4883">
        <f>SUMIFS($D$2:$D$7909, $B$2:$B$7909, "Piemonte")</f>
        <v>4363916</v>
      </c>
      <c r="G4883" s="1">
        <f>Comuni__2[[#This Row],[Popolazione2011]]/Comuni__2[[#This Row],[POPOLAZIONE TOTALE DI OGNI REGIONE (CON FILTRO)]]</f>
        <v>3.2768733403667713E-4</v>
      </c>
      <c r="H4883" t="str">
        <f>IF(Comuni__2[[#This Row],[Popolazione2011]]&gt;300000,"MAGGIORE","")</f>
        <v/>
      </c>
      <c r="J4883">
        <v>0</v>
      </c>
      <c r="K4883">
        <v>4460</v>
      </c>
      <c r="L4883">
        <v>405</v>
      </c>
    </row>
    <row r="4884" spans="1:12" x14ac:dyDescent="0.2">
      <c r="A4884"/>
      <c r="B4884"/>
      <c r="C4884"/>
      <c r="D4884"/>
      <c r="E4884" s="2">
        <f>Comuni__2[[#This Row],[Popolazione2011]]/$D$7911</f>
        <v>2.3997410972171636E-5</v>
      </c>
      <c r="F4884">
        <f>SUMIFS($D$2:$D$7909, $B$2:$B$7909, "Piemonte")</f>
        <v>4363916</v>
      </c>
      <c r="G4884" s="1">
        <f>Comuni__2[[#This Row],[Popolazione2011]]/Comuni__2[[#This Row],[POPOLAZIONE TOTALE DI OGNI REGIONE (CON FILTRO)]]</f>
        <v>3.2677072610930185E-4</v>
      </c>
      <c r="H4884" t="str">
        <f>IF(Comuni__2[[#This Row],[Popolazione2011]]&gt;300000,"MAGGIORE","")</f>
        <v/>
      </c>
      <c r="J4884">
        <v>6</v>
      </c>
      <c r="K4884">
        <v>2290</v>
      </c>
      <c r="L4884">
        <v>292</v>
      </c>
    </row>
    <row r="4885" spans="1:12" x14ac:dyDescent="0.2">
      <c r="A4885"/>
      <c r="B4885"/>
      <c r="C4885"/>
      <c r="D4885"/>
      <c r="E4885" s="2">
        <f>Comuni__2[[#This Row],[Popolazione2011]]/$D$7911</f>
        <v>2.3963754014286403E-5</v>
      </c>
      <c r="F4885">
        <f>SUMIFS($D$2:$D$7909, $B$2:$B$7909, "Piemonte")</f>
        <v>4363916</v>
      </c>
      <c r="G4885" s="1">
        <f>Comuni__2[[#This Row],[Popolazione2011]]/Comuni__2[[#This Row],[POPOLAZIONE TOTALE DI OGNI REGIONE (CON FILTRO)]]</f>
        <v>3.2631242214561419E-4</v>
      </c>
      <c r="H4885" t="str">
        <f>IF(Comuni__2[[#This Row],[Popolazione2011]]&gt;300000,"MAGGIORE","")</f>
        <v/>
      </c>
      <c r="J4885">
        <v>0</v>
      </c>
      <c r="K4885">
        <v>4460</v>
      </c>
      <c r="L4885">
        <v>405</v>
      </c>
    </row>
    <row r="4886" spans="1:12" x14ac:dyDescent="0.2">
      <c r="A4886"/>
      <c r="B4886"/>
      <c r="C4886"/>
      <c r="D4886"/>
      <c r="E4886" s="2">
        <f>Comuni__2[[#This Row],[Popolazione2011]]/$D$7911</f>
        <v>2.3946925535343787E-5</v>
      </c>
      <c r="F4886">
        <f>SUMIFS($D$2:$D$7909, $B$2:$B$7909, "Piemonte")</f>
        <v>4363916</v>
      </c>
      <c r="G4886" s="1">
        <f>Comuni__2[[#This Row],[Popolazione2011]]/Comuni__2[[#This Row],[POPOLAZIONE TOTALE DI OGNI REGIONE (CON FILTRO)]]</f>
        <v>3.2608327016377033E-4</v>
      </c>
      <c r="H4886" t="str">
        <f>IF(Comuni__2[[#This Row],[Popolazione2011]]&gt;300000,"MAGGIORE","")</f>
        <v/>
      </c>
      <c r="J4886">
        <v>6</v>
      </c>
      <c r="K4886">
        <v>2291</v>
      </c>
      <c r="L4886">
        <v>292</v>
      </c>
    </row>
    <row r="4887" spans="1:12" x14ac:dyDescent="0.2">
      <c r="A4887"/>
      <c r="B4887"/>
      <c r="C4887"/>
      <c r="D4887"/>
      <c r="E4887" s="2">
        <f>Comuni__2[[#This Row],[Popolazione2011]]/$D$7911</f>
        <v>2.3896440098515935E-5</v>
      </c>
      <c r="F4887">
        <f>SUMIFS($D$2:$D$7909, $B$2:$B$7909, "Piemonte")</f>
        <v>4363916</v>
      </c>
      <c r="G4887" s="1">
        <f>Comuni__2[[#This Row],[Popolazione2011]]/Comuni__2[[#This Row],[POPOLAZIONE TOTALE DI OGNI REGIONE (CON FILTRO)]]</f>
        <v>3.2539581421823886E-4</v>
      </c>
      <c r="H4887" t="str">
        <f>IF(Comuni__2[[#This Row],[Popolazione2011]]&gt;300000,"MAGGIORE","")</f>
        <v/>
      </c>
      <c r="J4887">
        <v>0</v>
      </c>
      <c r="K4887">
        <v>4464</v>
      </c>
      <c r="L4887">
        <v>405</v>
      </c>
    </row>
    <row r="4888" spans="1:12" x14ac:dyDescent="0.2">
      <c r="A4888"/>
      <c r="B4888"/>
      <c r="C4888"/>
      <c r="D4888"/>
      <c r="E4888" s="2">
        <f>Comuni__2[[#This Row],[Popolazione2011]]/$D$7911</f>
        <v>2.3845954661688084E-5</v>
      </c>
      <c r="F4888">
        <f>SUMIFS($D$2:$D$7909, $B$2:$B$7909, "Piemonte")</f>
        <v>4363916</v>
      </c>
      <c r="G4888" s="1">
        <f>Comuni__2[[#This Row],[Popolazione2011]]/Comuni__2[[#This Row],[POPOLAZIONE TOTALE DI OGNI REGIONE (CON FILTRO)]]</f>
        <v>3.2470835827270734E-4</v>
      </c>
      <c r="H4888" t="str">
        <f>IF(Comuni__2[[#This Row],[Popolazione2011]]&gt;300000,"MAGGIORE","")</f>
        <v/>
      </c>
      <c r="J4888">
        <v>6</v>
      </c>
      <c r="K4888">
        <v>2292</v>
      </c>
      <c r="L4888">
        <v>292</v>
      </c>
    </row>
    <row r="4889" spans="1:12" x14ac:dyDescent="0.2">
      <c r="A4889"/>
      <c r="B4889"/>
      <c r="C4889"/>
      <c r="D4889"/>
      <c r="E4889" s="2">
        <f>Comuni__2[[#This Row],[Popolazione2011]]/$D$7911</f>
        <v>2.3677669872261916E-5</v>
      </c>
      <c r="F4889">
        <f>SUMIFS($D$2:$D$7909, $B$2:$B$7909, "Piemonte")</f>
        <v>4363916</v>
      </c>
      <c r="G4889" s="1">
        <f>Comuni__2[[#This Row],[Popolazione2011]]/Comuni__2[[#This Row],[POPOLAZIONE TOTALE DI OGNI REGIONE (CON FILTRO)]]</f>
        <v>3.2241683845426908E-4</v>
      </c>
      <c r="H4889" t="str">
        <f>IF(Comuni__2[[#This Row],[Popolazione2011]]&gt;300000,"MAGGIORE","")</f>
        <v/>
      </c>
      <c r="J4889">
        <v>1</v>
      </c>
      <c r="K4889">
        <v>4464</v>
      </c>
      <c r="L4889">
        <v>405</v>
      </c>
    </row>
    <row r="4890" spans="1:12" x14ac:dyDescent="0.2">
      <c r="A4890"/>
      <c r="B4890"/>
      <c r="C4890"/>
      <c r="D4890"/>
      <c r="E4890" s="2">
        <f>Comuni__2[[#This Row],[Popolazione2011]]/$D$7911</f>
        <v>2.3644012914376683E-5</v>
      </c>
      <c r="F4890">
        <f>SUMIFS($D$2:$D$7909, $B$2:$B$7909, "Piemonte")</f>
        <v>4363916</v>
      </c>
      <c r="G4890" s="1">
        <f>Comuni__2[[#This Row],[Popolazione2011]]/Comuni__2[[#This Row],[POPOLAZIONE TOTALE DI OGNI REGIONE (CON FILTRO)]]</f>
        <v>3.2195853449058142E-4</v>
      </c>
      <c r="H4890" t="str">
        <f>IF(Comuni__2[[#This Row],[Popolazione2011]]&gt;300000,"MAGGIORE","")</f>
        <v/>
      </c>
      <c r="J4890">
        <v>6</v>
      </c>
      <c r="K4890">
        <v>2294</v>
      </c>
      <c r="L4890">
        <v>292</v>
      </c>
    </row>
    <row r="4891" spans="1:12" x14ac:dyDescent="0.2">
      <c r="A4891"/>
      <c r="B4891"/>
      <c r="C4891"/>
      <c r="D4891"/>
      <c r="E4891" s="2">
        <f>Comuni__2[[#This Row],[Popolazione2011]]/$D$7911</f>
        <v>2.3644012914376683E-5</v>
      </c>
      <c r="F4891">
        <f>SUMIFS($D$2:$D$7909, $B$2:$B$7909, "Piemonte")</f>
        <v>4363916</v>
      </c>
      <c r="G4891" s="1">
        <f>Comuni__2[[#This Row],[Popolazione2011]]/Comuni__2[[#This Row],[POPOLAZIONE TOTALE DI OGNI REGIONE (CON FILTRO)]]</f>
        <v>3.2195853449058142E-4</v>
      </c>
      <c r="H4891" t="str">
        <f>IF(Comuni__2[[#This Row],[Popolazione2011]]&gt;300000,"MAGGIORE","")</f>
        <v/>
      </c>
      <c r="J4891">
        <v>1</v>
      </c>
      <c r="K4891">
        <v>4464</v>
      </c>
      <c r="L4891">
        <v>405</v>
      </c>
    </row>
    <row r="4892" spans="1:12" x14ac:dyDescent="0.2">
      <c r="A4892"/>
      <c r="B4892"/>
      <c r="C4892"/>
      <c r="D4892"/>
      <c r="E4892" s="2">
        <f>Comuni__2[[#This Row],[Popolazione2011]]/$D$7911</f>
        <v>2.3576698998606215E-5</v>
      </c>
      <c r="F4892">
        <f>SUMIFS($D$2:$D$7909, $B$2:$B$7909, "Piemonte")</f>
        <v>4363916</v>
      </c>
      <c r="G4892" s="1">
        <f>Comuni__2[[#This Row],[Popolazione2011]]/Comuni__2[[#This Row],[POPOLAZIONE TOTALE DI OGNI REGIONE (CON FILTRO)]]</f>
        <v>3.2104192656320609E-4</v>
      </c>
      <c r="H4892" t="str">
        <f>IF(Comuni__2[[#This Row],[Popolazione2011]]&gt;300000,"MAGGIORE","")</f>
        <v/>
      </c>
      <c r="J4892">
        <v>6</v>
      </c>
      <c r="K4892">
        <v>2297</v>
      </c>
      <c r="L4892">
        <v>292</v>
      </c>
    </row>
    <row r="4893" spans="1:12" x14ac:dyDescent="0.2">
      <c r="A4893"/>
      <c r="B4893"/>
      <c r="C4893"/>
      <c r="D4893"/>
      <c r="E4893" s="2">
        <f>Comuni__2[[#This Row],[Popolazione2011]]/$D$7911</f>
        <v>2.3576698998606215E-5</v>
      </c>
      <c r="F4893">
        <f>SUMIFS($D$2:$D$7909, $B$2:$B$7909, "Piemonte")</f>
        <v>4363916</v>
      </c>
      <c r="G4893" s="1">
        <f>Comuni__2[[#This Row],[Popolazione2011]]/Comuni__2[[#This Row],[POPOLAZIONE TOTALE DI OGNI REGIONE (CON FILTRO)]]</f>
        <v>3.2104192656320609E-4</v>
      </c>
      <c r="H4893" t="str">
        <f>IF(Comuni__2[[#This Row],[Popolazione2011]]&gt;300000,"MAGGIORE","")</f>
        <v/>
      </c>
      <c r="J4893">
        <v>2</v>
      </c>
      <c r="K4893">
        <v>4465</v>
      </c>
      <c r="L4893">
        <v>405</v>
      </c>
    </row>
    <row r="4894" spans="1:12" x14ac:dyDescent="0.2">
      <c r="A4894"/>
      <c r="B4894"/>
      <c r="C4894"/>
      <c r="D4894"/>
      <c r="E4894" s="2">
        <f>Comuni__2[[#This Row],[Popolazione2011]]/$D$7911</f>
        <v>2.3509385082835748E-5</v>
      </c>
      <c r="F4894">
        <f>SUMIFS($D$2:$D$7909, $B$2:$B$7909, "Piemonte")</f>
        <v>4363916</v>
      </c>
      <c r="G4894" s="1">
        <f>Comuni__2[[#This Row],[Popolazione2011]]/Comuni__2[[#This Row],[POPOLAZIONE TOTALE DI OGNI REGIONE (CON FILTRO)]]</f>
        <v>3.2012531863583076E-4</v>
      </c>
      <c r="H4894" t="str">
        <f>IF(Comuni__2[[#This Row],[Popolazione2011]]&gt;300000,"MAGGIORE","")</f>
        <v/>
      </c>
      <c r="J4894">
        <v>6</v>
      </c>
      <c r="K4894">
        <v>2305</v>
      </c>
      <c r="L4894">
        <v>292</v>
      </c>
    </row>
    <row r="4895" spans="1:12" x14ac:dyDescent="0.2">
      <c r="A4895"/>
      <c r="B4895"/>
      <c r="C4895"/>
      <c r="D4895"/>
      <c r="E4895" s="2">
        <f>Comuni__2[[#This Row],[Popolazione2011]]/$D$7911</f>
        <v>2.3425242688122664E-5</v>
      </c>
      <c r="F4895">
        <f>SUMIFS($D$2:$D$7909, $B$2:$B$7909, "Piemonte")</f>
        <v>4363916</v>
      </c>
      <c r="G4895" s="1">
        <f>Comuni__2[[#This Row],[Popolazione2011]]/Comuni__2[[#This Row],[POPOLAZIONE TOTALE DI OGNI REGIONE (CON FILTRO)]]</f>
        <v>3.1897955872661158E-4</v>
      </c>
      <c r="H4895" t="str">
        <f>IF(Comuni__2[[#This Row],[Popolazione2011]]&gt;300000,"MAGGIORE","")</f>
        <v/>
      </c>
      <c r="J4895">
        <v>2</v>
      </c>
      <c r="K4895">
        <v>4465</v>
      </c>
      <c r="L4895">
        <v>405</v>
      </c>
    </row>
    <row r="4896" spans="1:12" x14ac:dyDescent="0.2">
      <c r="A4896"/>
      <c r="B4896"/>
      <c r="C4896"/>
      <c r="D4896"/>
      <c r="E4896" s="2">
        <f>Comuni__2[[#This Row],[Popolazione2011]]/$D$7911</f>
        <v>2.3290614856581728E-5</v>
      </c>
      <c r="F4896">
        <f>SUMIFS($D$2:$D$7909, $B$2:$B$7909, "Piemonte")</f>
        <v>4363916</v>
      </c>
      <c r="G4896" s="1">
        <f>Comuni__2[[#This Row],[Popolazione2011]]/Comuni__2[[#This Row],[POPOLAZIONE TOTALE DI OGNI REGIONE (CON FILTRO)]]</f>
        <v>3.1714634287186098E-4</v>
      </c>
      <c r="H4896" t="str">
        <f>IF(Comuni__2[[#This Row],[Popolazione2011]]&gt;300000,"MAGGIORE","")</f>
        <v/>
      </c>
      <c r="J4896">
        <v>6</v>
      </c>
      <c r="K4896">
        <v>2312</v>
      </c>
      <c r="L4896">
        <v>292</v>
      </c>
    </row>
    <row r="4897" spans="1:12" x14ac:dyDescent="0.2">
      <c r="A4897"/>
      <c r="B4897"/>
      <c r="C4897"/>
      <c r="D4897"/>
      <c r="E4897" s="2">
        <f>Comuni__2[[#This Row],[Popolazione2011]]/$D$7911</f>
        <v>2.3273786377639112E-5</v>
      </c>
      <c r="F4897">
        <f>SUMIFS($D$2:$D$7909, $B$2:$B$7909, "Piemonte")</f>
        <v>4363916</v>
      </c>
      <c r="G4897" s="1">
        <f>Comuni__2[[#This Row],[Popolazione2011]]/Comuni__2[[#This Row],[POPOLAZIONE TOTALE DI OGNI REGIONE (CON FILTRO)]]</f>
        <v>3.1691719089001712E-4</v>
      </c>
      <c r="H4897" t="str">
        <f>IF(Comuni__2[[#This Row],[Popolazione2011]]&gt;300000,"MAGGIORE","")</f>
        <v/>
      </c>
      <c r="J4897">
        <v>2</v>
      </c>
      <c r="K4897">
        <v>4465</v>
      </c>
      <c r="L4897">
        <v>405</v>
      </c>
    </row>
    <row r="4898" spans="1:12" x14ac:dyDescent="0.2">
      <c r="A4898"/>
      <c r="B4898"/>
      <c r="C4898"/>
      <c r="D4898"/>
      <c r="E4898" s="2">
        <f>Comuni__2[[#This Row],[Popolazione2011]]/$D$7911</f>
        <v>2.3256957898696496E-5</v>
      </c>
      <c r="F4898">
        <f>SUMIFS($D$2:$D$7909, $B$2:$B$7909, "Piemonte")</f>
        <v>4363916</v>
      </c>
      <c r="G4898" s="1">
        <f>Comuni__2[[#This Row],[Popolazione2011]]/Comuni__2[[#This Row],[POPOLAZIONE TOTALE DI OGNI REGIONE (CON FILTRO)]]</f>
        <v>3.1668803890817332E-4</v>
      </c>
      <c r="H4898" t="str">
        <f>IF(Comuni__2[[#This Row],[Popolazione2011]]&gt;300000,"MAGGIORE","")</f>
        <v/>
      </c>
      <c r="J4898">
        <v>6</v>
      </c>
      <c r="K4898">
        <v>2314</v>
      </c>
      <c r="L4898">
        <v>292</v>
      </c>
    </row>
    <row r="4899" spans="1:12" x14ac:dyDescent="0.2">
      <c r="A4899"/>
      <c r="B4899"/>
      <c r="C4899"/>
      <c r="D4899"/>
      <c r="E4899" s="2">
        <f>Comuni__2[[#This Row],[Popolazione2011]]/$D$7911</f>
        <v>2.3256957898696496E-5</v>
      </c>
      <c r="F4899">
        <f>SUMIFS($D$2:$D$7909, $B$2:$B$7909, "Piemonte")</f>
        <v>4363916</v>
      </c>
      <c r="G4899" s="1">
        <f>Comuni__2[[#This Row],[Popolazione2011]]/Comuni__2[[#This Row],[POPOLAZIONE TOTALE DI OGNI REGIONE (CON FILTRO)]]</f>
        <v>3.1668803890817332E-4</v>
      </c>
      <c r="H4899" t="str">
        <f>IF(Comuni__2[[#This Row],[Popolazione2011]]&gt;300000,"MAGGIORE","")</f>
        <v/>
      </c>
      <c r="J4899">
        <v>2</v>
      </c>
      <c r="K4899">
        <v>4466</v>
      </c>
      <c r="L4899">
        <v>405</v>
      </c>
    </row>
    <row r="4900" spans="1:12" x14ac:dyDescent="0.2">
      <c r="A4900"/>
      <c r="B4900"/>
      <c r="C4900"/>
      <c r="D4900"/>
      <c r="E4900" s="2">
        <f>Comuni__2[[#This Row],[Popolazione2011]]/$D$7911</f>
        <v>2.322330094081126E-5</v>
      </c>
      <c r="F4900">
        <f>SUMIFS($D$2:$D$7909, $B$2:$B$7909, "Piemonte")</f>
        <v>4363916</v>
      </c>
      <c r="G4900" s="1">
        <f>Comuni__2[[#This Row],[Popolazione2011]]/Comuni__2[[#This Row],[POPOLAZIONE TOTALE DI OGNI REGIONE (CON FILTRO)]]</f>
        <v>3.1622973494448565E-4</v>
      </c>
      <c r="H4900" t="str">
        <f>IF(Comuni__2[[#This Row],[Popolazione2011]]&gt;300000,"MAGGIORE","")</f>
        <v/>
      </c>
      <c r="J4900">
        <v>7</v>
      </c>
      <c r="K4900">
        <v>2314</v>
      </c>
      <c r="L4900">
        <v>292</v>
      </c>
    </row>
    <row r="4901" spans="1:12" x14ac:dyDescent="0.2">
      <c r="A4901"/>
      <c r="B4901"/>
      <c r="C4901"/>
      <c r="D4901"/>
      <c r="E4901" s="2">
        <f>Comuni__2[[#This Row],[Popolazione2011]]/$D$7911</f>
        <v>2.3189643982926028E-5</v>
      </c>
      <c r="F4901">
        <f>SUMIFS($D$2:$D$7909, $B$2:$B$7909, "Piemonte")</f>
        <v>4363916</v>
      </c>
      <c r="G4901" s="1">
        <f>Comuni__2[[#This Row],[Popolazione2011]]/Comuni__2[[#This Row],[POPOLAZIONE TOTALE DI OGNI REGIONE (CON FILTRO)]]</f>
        <v>3.1577143098079799E-4</v>
      </c>
      <c r="H4901" t="str">
        <f>IF(Comuni__2[[#This Row],[Popolazione2011]]&gt;300000,"MAGGIORE","")</f>
        <v/>
      </c>
      <c r="J4901">
        <v>1</v>
      </c>
      <c r="K4901">
        <v>4467</v>
      </c>
      <c r="L4901">
        <v>405</v>
      </c>
    </row>
    <row r="4902" spans="1:12" x14ac:dyDescent="0.2">
      <c r="A4902"/>
      <c r="B4902"/>
      <c r="C4902"/>
      <c r="D4902"/>
      <c r="E4902" s="2">
        <f>Comuni__2[[#This Row],[Popolazione2011]]/$D$7911</f>
        <v>2.302135919349986E-5</v>
      </c>
      <c r="F4902">
        <f>SUMIFS($D$2:$D$7909, $B$2:$B$7909, "Piemonte")</f>
        <v>4363916</v>
      </c>
      <c r="G4902" s="1">
        <f>Comuni__2[[#This Row],[Popolazione2011]]/Comuni__2[[#This Row],[POPOLAZIONE TOTALE DI OGNI REGIONE (CON FILTRO)]]</f>
        <v>3.1347991116235967E-4</v>
      </c>
      <c r="H4902" t="str">
        <f>IF(Comuni__2[[#This Row],[Popolazione2011]]&gt;300000,"MAGGIORE","")</f>
        <v/>
      </c>
      <c r="J4902">
        <v>7</v>
      </c>
      <c r="K4902">
        <v>2314</v>
      </c>
      <c r="L4902">
        <v>292</v>
      </c>
    </row>
    <row r="4903" spans="1:12" x14ac:dyDescent="0.2">
      <c r="A4903"/>
      <c r="B4903"/>
      <c r="C4903"/>
      <c r="D4903"/>
      <c r="E4903" s="2">
        <f>Comuni__2[[#This Row],[Popolazione2011]]/$D$7911</f>
        <v>2.3004530714557243E-5</v>
      </c>
      <c r="F4903">
        <f>SUMIFS($D$2:$D$7909, $B$2:$B$7909, "Piemonte")</f>
        <v>4363916</v>
      </c>
      <c r="G4903" s="1">
        <f>Comuni__2[[#This Row],[Popolazione2011]]/Comuni__2[[#This Row],[POPOLAZIONE TOTALE DI OGNI REGIONE (CON FILTRO)]]</f>
        <v>3.1325075918051587E-4</v>
      </c>
      <c r="H4903" t="str">
        <f>IF(Comuni__2[[#This Row],[Popolazione2011]]&gt;300000,"MAGGIORE","")</f>
        <v/>
      </c>
      <c r="J4903">
        <v>1</v>
      </c>
      <c r="K4903">
        <v>4467</v>
      </c>
      <c r="L4903">
        <v>405</v>
      </c>
    </row>
    <row r="4904" spans="1:12" x14ac:dyDescent="0.2">
      <c r="A4904"/>
      <c r="B4904"/>
      <c r="C4904"/>
      <c r="D4904"/>
      <c r="E4904" s="2">
        <f>Comuni__2[[#This Row],[Popolazione2011]]/$D$7911</f>
        <v>2.2970873756672008E-5</v>
      </c>
      <c r="F4904">
        <f>SUMIFS($D$2:$D$7909, $B$2:$B$7909, "Piemonte")</f>
        <v>4363916</v>
      </c>
      <c r="G4904" s="1">
        <f>Comuni__2[[#This Row],[Popolazione2011]]/Comuni__2[[#This Row],[POPOLAZIONE TOTALE DI OGNI REGIONE (CON FILTRO)]]</f>
        <v>3.127924552168282E-4</v>
      </c>
      <c r="H4904" t="str">
        <f>IF(Comuni__2[[#This Row],[Popolazione2011]]&gt;300000,"MAGGIORE","")</f>
        <v/>
      </c>
      <c r="J4904">
        <v>7</v>
      </c>
      <c r="K4904">
        <v>2315</v>
      </c>
      <c r="L4904">
        <v>292</v>
      </c>
    </row>
    <row r="4905" spans="1:12" x14ac:dyDescent="0.2">
      <c r="A4905"/>
      <c r="B4905"/>
      <c r="C4905"/>
      <c r="D4905"/>
      <c r="E4905" s="2">
        <f>Comuni__2[[#This Row],[Popolazione2011]]/$D$7911</f>
        <v>2.2836245925131072E-5</v>
      </c>
      <c r="F4905">
        <f>SUMIFS($D$2:$D$7909, $B$2:$B$7909, "Piemonte")</f>
        <v>4363916</v>
      </c>
      <c r="G4905" s="1">
        <f>Comuni__2[[#This Row],[Popolazione2011]]/Comuni__2[[#This Row],[POPOLAZIONE TOTALE DI OGNI REGIONE (CON FILTRO)]]</f>
        <v>3.1095923936207755E-4</v>
      </c>
      <c r="H4905" t="str">
        <f>IF(Comuni__2[[#This Row],[Popolazione2011]]&gt;300000,"MAGGIORE","")</f>
        <v/>
      </c>
      <c r="J4905">
        <v>1</v>
      </c>
      <c r="K4905">
        <v>4467</v>
      </c>
      <c r="L4905">
        <v>405</v>
      </c>
    </row>
    <row r="4906" spans="1:12" x14ac:dyDescent="0.2">
      <c r="A4906"/>
      <c r="B4906"/>
      <c r="C4906"/>
      <c r="D4906"/>
      <c r="E4906" s="2">
        <f>Comuni__2[[#This Row],[Popolazione2011]]/$D$7911</f>
        <v>2.2735275051475372E-5</v>
      </c>
      <c r="F4906">
        <f>SUMIFS($D$2:$D$7909, $B$2:$B$7909, "Piemonte")</f>
        <v>4363916</v>
      </c>
      <c r="G4906" s="1">
        <f>Comuni__2[[#This Row],[Popolazione2011]]/Comuni__2[[#This Row],[POPOLAZIONE TOTALE DI OGNI REGIONE (CON FILTRO)]]</f>
        <v>3.0958432747101456E-4</v>
      </c>
      <c r="H4906" t="str">
        <f>IF(Comuni__2[[#This Row],[Popolazione2011]]&gt;300000,"MAGGIORE","")</f>
        <v/>
      </c>
      <c r="J4906">
        <v>7</v>
      </c>
      <c r="K4906">
        <v>2318</v>
      </c>
      <c r="L4906">
        <v>292</v>
      </c>
    </row>
    <row r="4907" spans="1:12" x14ac:dyDescent="0.2">
      <c r="A4907"/>
      <c r="B4907"/>
      <c r="C4907"/>
      <c r="D4907"/>
      <c r="E4907" s="2">
        <f>Comuni__2[[#This Row],[Popolazione2011]]/$D$7911</f>
        <v>2.2718446572532756E-5</v>
      </c>
      <c r="F4907">
        <f>SUMIFS($D$2:$D$7909, $B$2:$B$7909, "Piemonte")</f>
        <v>4363916</v>
      </c>
      <c r="G4907" s="1">
        <f>Comuni__2[[#This Row],[Popolazione2011]]/Comuni__2[[#This Row],[POPOLAZIONE TOTALE DI OGNI REGIONE (CON FILTRO)]]</f>
        <v>3.0935517548917076E-4</v>
      </c>
      <c r="H4907" t="str">
        <f>IF(Comuni__2[[#This Row],[Popolazione2011]]&gt;300000,"MAGGIORE","")</f>
        <v/>
      </c>
      <c r="J4907">
        <v>0</v>
      </c>
      <c r="K4907">
        <v>4467</v>
      </c>
      <c r="L4907">
        <v>405</v>
      </c>
    </row>
    <row r="4908" spans="1:12" x14ac:dyDescent="0.2">
      <c r="A4908"/>
      <c r="B4908"/>
      <c r="C4908"/>
      <c r="D4908"/>
      <c r="E4908" s="2">
        <f>Comuni__2[[#This Row],[Popolazione2011]]/$D$7911</f>
        <v>2.2667961135704904E-5</v>
      </c>
      <c r="F4908">
        <f>SUMIFS($D$2:$D$7909, $B$2:$B$7909, "Piemonte")</f>
        <v>4363916</v>
      </c>
      <c r="G4908" s="1">
        <f>Comuni__2[[#This Row],[Popolazione2011]]/Comuni__2[[#This Row],[POPOLAZIONE TOTALE DI OGNI REGIONE (CON FILTRO)]]</f>
        <v>3.0866771954363923E-4</v>
      </c>
      <c r="H4908" t="str">
        <f>IF(Comuni__2[[#This Row],[Popolazione2011]]&gt;300000,"MAGGIORE","")</f>
        <v/>
      </c>
      <c r="J4908">
        <v>7</v>
      </c>
      <c r="K4908">
        <v>2318</v>
      </c>
      <c r="L4908">
        <v>292</v>
      </c>
    </row>
    <row r="4909" spans="1:12" x14ac:dyDescent="0.2">
      <c r="A4909"/>
      <c r="B4909"/>
      <c r="C4909"/>
      <c r="D4909"/>
      <c r="E4909" s="2">
        <f>Comuni__2[[#This Row],[Popolazione2011]]/$D$7911</f>
        <v>2.2651132656762288E-5</v>
      </c>
      <c r="F4909">
        <f>SUMIFS($D$2:$D$7909, $B$2:$B$7909, "Piemonte")</f>
        <v>4363916</v>
      </c>
      <c r="G4909" s="1">
        <f>Comuni__2[[#This Row],[Popolazione2011]]/Comuni__2[[#This Row],[POPOLAZIONE TOTALE DI OGNI REGIONE (CON FILTRO)]]</f>
        <v>3.0843856756179543E-4</v>
      </c>
      <c r="H4909" t="str">
        <f>IF(Comuni__2[[#This Row],[Popolazione2011]]&gt;300000,"MAGGIORE","")</f>
        <v/>
      </c>
      <c r="J4909">
        <v>0</v>
      </c>
      <c r="K4909">
        <v>4467</v>
      </c>
      <c r="L4909">
        <v>405</v>
      </c>
    </row>
    <row r="4910" spans="1:12" x14ac:dyDescent="0.2">
      <c r="A4910"/>
      <c r="B4910"/>
      <c r="C4910"/>
      <c r="D4910"/>
      <c r="E4910" s="2">
        <f>Comuni__2[[#This Row],[Popolazione2011]]/$D$7911</f>
        <v>2.2449190909450884E-5</v>
      </c>
      <c r="F4910">
        <f>SUMIFS($D$2:$D$7909, $B$2:$B$7909, "Piemonte")</f>
        <v>4363916</v>
      </c>
      <c r="G4910" s="1">
        <f>Comuni__2[[#This Row],[Popolazione2011]]/Comuni__2[[#This Row],[POPOLAZIONE TOTALE DI OGNI REGIONE (CON FILTRO)]]</f>
        <v>3.0568874377966945E-4</v>
      </c>
      <c r="H4910" t="str">
        <f>IF(Comuni__2[[#This Row],[Popolazione2011]]&gt;300000,"MAGGIORE","")</f>
        <v/>
      </c>
      <c r="J4910">
        <v>7</v>
      </c>
      <c r="K4910">
        <v>2323</v>
      </c>
      <c r="L4910">
        <v>292</v>
      </c>
    </row>
    <row r="4911" spans="1:12" x14ac:dyDescent="0.2">
      <c r="A4911"/>
      <c r="B4911"/>
      <c r="C4911"/>
      <c r="D4911"/>
      <c r="E4911" s="2">
        <f>Comuni__2[[#This Row],[Popolazione2011]]/$D$7911</f>
        <v>2.2398705472623036E-5</v>
      </c>
      <c r="F4911">
        <f>SUMIFS($D$2:$D$7909, $B$2:$B$7909, "Piemonte")</f>
        <v>4363916</v>
      </c>
      <c r="G4911" s="1">
        <f>Comuni__2[[#This Row],[Popolazione2011]]/Comuni__2[[#This Row],[POPOLAZIONE TOTALE DI OGNI REGIONE (CON FILTRO)]]</f>
        <v>3.0500128783413798E-4</v>
      </c>
      <c r="H4911" t="str">
        <f>IF(Comuni__2[[#This Row],[Popolazione2011]]&gt;300000,"MAGGIORE","")</f>
        <v/>
      </c>
      <c r="J4911">
        <v>0</v>
      </c>
      <c r="K4911">
        <v>4470</v>
      </c>
      <c r="L4911">
        <v>405</v>
      </c>
    </row>
    <row r="4912" spans="1:12" x14ac:dyDescent="0.2">
      <c r="A4912"/>
      <c r="B4912"/>
      <c r="C4912"/>
      <c r="D4912"/>
      <c r="E4912" s="2">
        <f>Comuni__2[[#This Row],[Popolazione2011]]/$D$7911</f>
        <v>2.238187699368042E-5</v>
      </c>
      <c r="F4912">
        <f>SUMIFS($D$2:$D$7909, $B$2:$B$7909, "Piemonte")</f>
        <v>4363916</v>
      </c>
      <c r="G4912" s="1">
        <f>Comuni__2[[#This Row],[Popolazione2011]]/Comuni__2[[#This Row],[POPOLAZIONE TOTALE DI OGNI REGIONE (CON FILTRO)]]</f>
        <v>3.0477213585229412E-4</v>
      </c>
      <c r="H4912" t="str">
        <f>IF(Comuni__2[[#This Row],[Popolazione2011]]&gt;300000,"MAGGIORE","")</f>
        <v/>
      </c>
      <c r="J4912">
        <v>7</v>
      </c>
      <c r="K4912">
        <v>2326</v>
      </c>
      <c r="L4912">
        <v>292</v>
      </c>
    </row>
    <row r="4913" spans="1:12" x14ac:dyDescent="0.2">
      <c r="A4913"/>
      <c r="B4913"/>
      <c r="C4913"/>
      <c r="D4913"/>
      <c r="E4913" s="2">
        <f>Comuni__2[[#This Row],[Popolazione2011]]/$D$7911</f>
        <v>2.2297734598967332E-5</v>
      </c>
      <c r="F4913">
        <f>SUMIFS($D$2:$D$7909, $B$2:$B$7909, "Piemonte")</f>
        <v>4363916</v>
      </c>
      <c r="G4913" s="1">
        <f>Comuni__2[[#This Row],[Popolazione2011]]/Comuni__2[[#This Row],[POPOLAZIONE TOTALE DI OGNI REGIONE (CON FILTRO)]]</f>
        <v>3.0362637594307499E-4</v>
      </c>
      <c r="H4913" t="str">
        <f>IF(Comuni__2[[#This Row],[Popolazione2011]]&gt;300000,"MAGGIORE","")</f>
        <v/>
      </c>
      <c r="J4913">
        <v>1</v>
      </c>
      <c r="K4913">
        <v>4471</v>
      </c>
      <c r="L4913">
        <v>405</v>
      </c>
    </row>
    <row r="4914" spans="1:12" x14ac:dyDescent="0.2">
      <c r="A4914"/>
      <c r="B4914"/>
      <c r="C4914"/>
      <c r="D4914"/>
      <c r="E4914" s="2">
        <f>Comuni__2[[#This Row],[Popolazione2011]]/$D$7911</f>
        <v>2.2196763725311632E-5</v>
      </c>
      <c r="F4914">
        <f>SUMIFS($D$2:$D$7909, $B$2:$B$7909, "Piemonte")</f>
        <v>4363916</v>
      </c>
      <c r="G4914" s="1">
        <f>Comuni__2[[#This Row],[Popolazione2011]]/Comuni__2[[#This Row],[POPOLAZIONE TOTALE DI OGNI REGIONE (CON FILTRO)]]</f>
        <v>3.02251464052012E-4</v>
      </c>
      <c r="H4914" t="str">
        <f>IF(Comuni__2[[#This Row],[Popolazione2011]]&gt;300000,"MAGGIORE","")</f>
        <v/>
      </c>
      <c r="J4914">
        <v>7</v>
      </c>
      <c r="K4914">
        <v>2329</v>
      </c>
      <c r="L4914">
        <v>292</v>
      </c>
    </row>
    <row r="4915" spans="1:12" x14ac:dyDescent="0.2">
      <c r="A4915"/>
      <c r="B4915"/>
      <c r="C4915"/>
      <c r="D4915"/>
      <c r="E4915" s="2">
        <f>Comuni__2[[#This Row],[Popolazione2011]]/$D$7911</f>
        <v>2.2196763725311632E-5</v>
      </c>
      <c r="F4915">
        <f>SUMIFS($D$2:$D$7909, $B$2:$B$7909, "Piemonte")</f>
        <v>4363916</v>
      </c>
      <c r="G4915" s="1">
        <f>Comuni__2[[#This Row],[Popolazione2011]]/Comuni__2[[#This Row],[POPOLAZIONE TOTALE DI OGNI REGIONE (CON FILTRO)]]</f>
        <v>3.02251464052012E-4</v>
      </c>
      <c r="H4915" t="str">
        <f>IF(Comuni__2[[#This Row],[Popolazione2011]]&gt;300000,"MAGGIORE","")</f>
        <v/>
      </c>
      <c r="J4915">
        <v>1</v>
      </c>
      <c r="K4915">
        <v>4475</v>
      </c>
      <c r="L4915">
        <v>405</v>
      </c>
    </row>
    <row r="4916" spans="1:12" x14ac:dyDescent="0.2">
      <c r="A4916"/>
      <c r="B4916"/>
      <c r="C4916"/>
      <c r="D4916"/>
      <c r="E4916" s="2">
        <f>Comuni__2[[#This Row],[Popolazione2011]]/$D$7911</f>
        <v>2.2129449809541164E-5</v>
      </c>
      <c r="F4916">
        <f>SUMIFS($D$2:$D$7909, $B$2:$B$7909, "Piemonte")</f>
        <v>4363916</v>
      </c>
      <c r="G4916" s="1">
        <f>Comuni__2[[#This Row],[Popolazione2011]]/Comuni__2[[#This Row],[POPOLAZIONE TOTALE DI OGNI REGIONE (CON FILTRO)]]</f>
        <v>3.0133485612463668E-4</v>
      </c>
      <c r="H4916" t="str">
        <f>IF(Comuni__2[[#This Row],[Popolazione2011]]&gt;300000,"MAGGIORE","")</f>
        <v/>
      </c>
      <c r="J4916">
        <v>7</v>
      </c>
      <c r="K4916">
        <v>2330</v>
      </c>
      <c r="L4916">
        <v>292</v>
      </c>
    </row>
    <row r="4917" spans="1:12" x14ac:dyDescent="0.2">
      <c r="A4917"/>
      <c r="B4917"/>
      <c r="C4917"/>
      <c r="D4917"/>
      <c r="E4917" s="2">
        <f>Comuni__2[[#This Row],[Popolazione2011]]/$D$7911</f>
        <v>2.2112621330598548E-5</v>
      </c>
      <c r="F4917">
        <f>SUMIFS($D$2:$D$7909, $B$2:$B$7909, "Piemonte")</f>
        <v>4363916</v>
      </c>
      <c r="G4917" s="1">
        <f>Comuni__2[[#This Row],[Popolazione2011]]/Comuni__2[[#This Row],[POPOLAZIONE TOTALE DI OGNI REGIONE (CON FILTRO)]]</f>
        <v>3.0110570414279287E-4</v>
      </c>
      <c r="H4917" t="str">
        <f>IF(Comuni__2[[#This Row],[Popolazione2011]]&gt;300000,"MAGGIORE","")</f>
        <v/>
      </c>
      <c r="J4917">
        <v>3</v>
      </c>
      <c r="K4917">
        <v>4476</v>
      </c>
      <c r="L4917">
        <v>405</v>
      </c>
    </row>
    <row r="4918" spans="1:12" x14ac:dyDescent="0.2">
      <c r="A4918"/>
      <c r="B4918"/>
      <c r="C4918"/>
      <c r="D4918"/>
      <c r="E4918" s="2">
        <f>Comuni__2[[#This Row],[Popolazione2011]]/$D$7911</f>
        <v>2.1776051751746212E-5</v>
      </c>
      <c r="F4918">
        <f>SUMIFS($D$2:$D$7909, $B$2:$B$7909, "Piemonte")</f>
        <v>4363916</v>
      </c>
      <c r="G4918" s="1">
        <f>Comuni__2[[#This Row],[Popolazione2011]]/Comuni__2[[#This Row],[POPOLAZIONE TOTALE DI OGNI REGIONE (CON FILTRO)]]</f>
        <v>2.9652266450591624E-4</v>
      </c>
      <c r="H4918" t="str">
        <f>IF(Comuni__2[[#This Row],[Popolazione2011]]&gt;300000,"MAGGIORE","")</f>
        <v/>
      </c>
      <c r="J4918">
        <v>7</v>
      </c>
      <c r="K4918">
        <v>2330</v>
      </c>
      <c r="L4918">
        <v>292</v>
      </c>
    </row>
    <row r="4919" spans="1:12" x14ac:dyDescent="0.2">
      <c r="A4919"/>
      <c r="B4919"/>
      <c r="C4919"/>
      <c r="D4919"/>
      <c r="E4919" s="2">
        <f>Comuni__2[[#This Row],[Popolazione2011]]/$D$7911</f>
        <v>2.1742394793860976E-5</v>
      </c>
      <c r="F4919">
        <f>SUMIFS($D$2:$D$7909, $B$2:$B$7909, "Piemonte")</f>
        <v>4363916</v>
      </c>
      <c r="G4919" s="1">
        <f>Comuni__2[[#This Row],[Popolazione2011]]/Comuni__2[[#This Row],[POPOLAZIONE TOTALE DI OGNI REGIONE (CON FILTRO)]]</f>
        <v>2.9606436054222858E-4</v>
      </c>
      <c r="H4919" t="str">
        <f>IF(Comuni__2[[#This Row],[Popolazione2011]]&gt;300000,"MAGGIORE","")</f>
        <v/>
      </c>
      <c r="J4919">
        <v>3</v>
      </c>
      <c r="K4919">
        <v>4490</v>
      </c>
      <c r="L4919">
        <v>405</v>
      </c>
    </row>
    <row r="4920" spans="1:12" x14ac:dyDescent="0.2">
      <c r="A4920"/>
      <c r="B4920"/>
      <c r="C4920"/>
      <c r="D4920"/>
      <c r="E4920" s="2">
        <f>Comuni__2[[#This Row],[Popolazione2011]]/$D$7911</f>
        <v>2.1691909357033128E-5</v>
      </c>
      <c r="F4920">
        <f>SUMIFS($D$2:$D$7909, $B$2:$B$7909, "Piemonte")</f>
        <v>4363916</v>
      </c>
      <c r="G4920" s="1">
        <f>Comuni__2[[#This Row],[Popolazione2011]]/Comuni__2[[#This Row],[POPOLAZIONE TOTALE DI OGNI REGIONE (CON FILTRO)]]</f>
        <v>2.9537690459669711E-4</v>
      </c>
      <c r="H4920" t="str">
        <f>IF(Comuni__2[[#This Row],[Popolazione2011]]&gt;300000,"MAGGIORE","")</f>
        <v/>
      </c>
      <c r="J4920">
        <v>8</v>
      </c>
      <c r="K4920">
        <v>2337</v>
      </c>
      <c r="L4920">
        <v>292</v>
      </c>
    </row>
    <row r="4921" spans="1:12" x14ac:dyDescent="0.2">
      <c r="A4921"/>
      <c r="B4921"/>
      <c r="C4921"/>
      <c r="D4921"/>
      <c r="E4921" s="2">
        <f>Comuni__2[[#This Row],[Popolazione2011]]/$D$7911</f>
        <v>2.1691909357033128E-5</v>
      </c>
      <c r="F4921">
        <f>SUMIFS($D$2:$D$7909, $B$2:$B$7909, "Piemonte")</f>
        <v>4363916</v>
      </c>
      <c r="G4921" s="1">
        <f>Comuni__2[[#This Row],[Popolazione2011]]/Comuni__2[[#This Row],[POPOLAZIONE TOTALE DI OGNI REGIONE (CON FILTRO)]]</f>
        <v>2.9537690459669711E-4</v>
      </c>
      <c r="H4921" t="str">
        <f>IF(Comuni__2[[#This Row],[Popolazione2011]]&gt;300000,"MAGGIORE","")</f>
        <v/>
      </c>
      <c r="J4921">
        <v>3</v>
      </c>
      <c r="K4921">
        <v>4500</v>
      </c>
      <c r="L4921">
        <v>405</v>
      </c>
    </row>
    <row r="4922" spans="1:12" x14ac:dyDescent="0.2">
      <c r="A4922"/>
      <c r="B4922"/>
      <c r="C4922"/>
      <c r="D4922"/>
      <c r="E4922" s="2">
        <f>Comuni__2[[#This Row],[Popolazione2011]]/$D$7911</f>
        <v>2.1641423920205276E-5</v>
      </c>
      <c r="F4922">
        <f>SUMIFS($D$2:$D$7909, $B$2:$B$7909, "Piemonte")</f>
        <v>4363916</v>
      </c>
      <c r="G4922" s="1">
        <f>Comuni__2[[#This Row],[Popolazione2011]]/Comuni__2[[#This Row],[POPOLAZIONE TOTALE DI OGNI REGIONE (CON FILTRO)]]</f>
        <v>2.9468944865116559E-4</v>
      </c>
      <c r="H4922" t="str">
        <f>IF(Comuni__2[[#This Row],[Popolazione2011]]&gt;300000,"MAGGIORE","")</f>
        <v/>
      </c>
      <c r="J4922">
        <v>8</v>
      </c>
      <c r="K4922">
        <v>2341</v>
      </c>
      <c r="L4922">
        <v>292</v>
      </c>
    </row>
    <row r="4923" spans="1:12" x14ac:dyDescent="0.2">
      <c r="A4923"/>
      <c r="B4923"/>
      <c r="C4923"/>
      <c r="D4923"/>
      <c r="E4923" s="2">
        <f>Comuni__2[[#This Row],[Popolazione2011]]/$D$7911</f>
        <v>2.1641423920205276E-5</v>
      </c>
      <c r="F4923">
        <f>SUMIFS($D$2:$D$7909, $B$2:$B$7909, "Piemonte")</f>
        <v>4363916</v>
      </c>
      <c r="G4923" s="1">
        <f>Comuni__2[[#This Row],[Popolazione2011]]/Comuni__2[[#This Row],[POPOLAZIONE TOTALE DI OGNI REGIONE (CON FILTRO)]]</f>
        <v>2.9468944865116559E-4</v>
      </c>
      <c r="H4923" t="str">
        <f>IF(Comuni__2[[#This Row],[Popolazione2011]]&gt;300000,"MAGGIORE","")</f>
        <v/>
      </c>
      <c r="J4923">
        <v>3</v>
      </c>
      <c r="K4923">
        <v>4503</v>
      </c>
      <c r="L4923">
        <v>405</v>
      </c>
    </row>
    <row r="4924" spans="1:12" x14ac:dyDescent="0.2">
      <c r="A4924"/>
      <c r="B4924"/>
      <c r="C4924"/>
      <c r="D4924"/>
      <c r="E4924" s="2">
        <f>Comuni__2[[#This Row],[Popolazione2011]]/$D$7911</f>
        <v>2.1540453046549576E-5</v>
      </c>
      <c r="F4924">
        <f>SUMIFS($D$2:$D$7909, $B$2:$B$7909, "Piemonte")</f>
        <v>4363916</v>
      </c>
      <c r="G4924" s="1">
        <f>Comuni__2[[#This Row],[Popolazione2011]]/Comuni__2[[#This Row],[POPOLAZIONE TOTALE DI OGNI REGIONE (CON FILTRO)]]</f>
        <v>2.933145367601026E-4</v>
      </c>
      <c r="H4924" t="str">
        <f>IF(Comuni__2[[#This Row],[Popolazione2011]]&gt;300000,"MAGGIORE","")</f>
        <v/>
      </c>
      <c r="J4924">
        <v>8</v>
      </c>
      <c r="K4924">
        <v>2341</v>
      </c>
      <c r="L4924">
        <v>292</v>
      </c>
    </row>
    <row r="4925" spans="1:12" x14ac:dyDescent="0.2">
      <c r="A4925"/>
      <c r="B4925"/>
      <c r="C4925"/>
      <c r="D4925"/>
      <c r="E4925" s="2">
        <f>Comuni__2[[#This Row],[Popolazione2011]]/$D$7911</f>
        <v>2.152362456760696E-5</v>
      </c>
      <c r="F4925">
        <f>SUMIFS($D$2:$D$7909, $B$2:$B$7909, "Piemonte")</f>
        <v>4363916</v>
      </c>
      <c r="G4925" s="1">
        <f>Comuni__2[[#This Row],[Popolazione2011]]/Comuni__2[[#This Row],[POPOLAZIONE TOTALE DI OGNI REGIONE (CON FILTRO)]]</f>
        <v>2.9308538477825879E-4</v>
      </c>
      <c r="H4925" t="str">
        <f>IF(Comuni__2[[#This Row],[Popolazione2011]]&gt;300000,"MAGGIORE","")</f>
        <v/>
      </c>
      <c r="J4925">
        <v>5</v>
      </c>
      <c r="K4925">
        <v>4505</v>
      </c>
      <c r="L4925">
        <v>405</v>
      </c>
    </row>
    <row r="4926" spans="1:12" x14ac:dyDescent="0.2">
      <c r="A4926"/>
      <c r="B4926"/>
      <c r="C4926"/>
      <c r="D4926"/>
      <c r="E4926" s="2">
        <f>Comuni__2[[#This Row],[Popolazione2011]]/$D$7911</f>
        <v>2.1388996736066024E-5</v>
      </c>
      <c r="F4926">
        <f>SUMIFS($D$2:$D$7909, $B$2:$B$7909, "Piemonte")</f>
        <v>4363916</v>
      </c>
      <c r="G4926" s="1">
        <f>Comuni__2[[#This Row],[Popolazione2011]]/Comuni__2[[#This Row],[POPOLAZIONE TOTALE DI OGNI REGIONE (CON FILTRO)]]</f>
        <v>2.9125216892350814E-4</v>
      </c>
      <c r="H4926" t="str">
        <f>IF(Comuni__2[[#This Row],[Popolazione2011]]&gt;300000,"MAGGIORE","")</f>
        <v/>
      </c>
      <c r="J4926">
        <v>8</v>
      </c>
      <c r="K4926">
        <v>2351</v>
      </c>
      <c r="L4926">
        <v>292</v>
      </c>
    </row>
    <row r="4927" spans="1:12" x14ac:dyDescent="0.2">
      <c r="A4927"/>
      <c r="B4927"/>
      <c r="C4927"/>
      <c r="D4927"/>
      <c r="E4927" s="2">
        <f>Comuni__2[[#This Row],[Popolazione2011]]/$D$7911</f>
        <v>2.1338511299238172E-5</v>
      </c>
      <c r="F4927">
        <f>SUMIFS($D$2:$D$7909, $B$2:$B$7909, "Piemonte")</f>
        <v>4363916</v>
      </c>
      <c r="G4927" s="1">
        <f>Comuni__2[[#This Row],[Popolazione2011]]/Comuni__2[[#This Row],[POPOLAZIONE TOTALE DI OGNI REGIONE (CON FILTRO)]]</f>
        <v>2.9056471297797667E-4</v>
      </c>
      <c r="H4927" t="str">
        <f>IF(Comuni__2[[#This Row],[Popolazione2011]]&gt;300000,"MAGGIORE","")</f>
        <v/>
      </c>
      <c r="J4927">
        <v>5</v>
      </c>
      <c r="K4927">
        <v>4509</v>
      </c>
      <c r="L4927">
        <v>405</v>
      </c>
    </row>
    <row r="4928" spans="1:12" x14ac:dyDescent="0.2">
      <c r="A4928"/>
      <c r="B4928"/>
      <c r="C4928"/>
      <c r="D4928"/>
      <c r="E4928" s="2">
        <f>Comuni__2[[#This Row],[Popolazione2011]]/$D$7911</f>
        <v>2.1321682820295556E-5</v>
      </c>
      <c r="F4928">
        <f>SUMIFS($D$2:$D$7909, $B$2:$B$7909, "Piemonte")</f>
        <v>4363916</v>
      </c>
      <c r="G4928" s="1">
        <f>Comuni__2[[#This Row],[Popolazione2011]]/Comuni__2[[#This Row],[POPOLAZIONE TOTALE DI OGNI REGIONE (CON FILTRO)]]</f>
        <v>2.9033556099613281E-4</v>
      </c>
      <c r="H4928" t="str">
        <f>IF(Comuni__2[[#This Row],[Popolazione2011]]&gt;300000,"MAGGIORE","")</f>
        <v/>
      </c>
      <c r="J4928">
        <v>8</v>
      </c>
      <c r="K4928">
        <v>2353</v>
      </c>
      <c r="L4928">
        <v>292</v>
      </c>
    </row>
    <row r="4929" spans="1:12" x14ac:dyDescent="0.2">
      <c r="A4929"/>
      <c r="B4929"/>
      <c r="C4929"/>
      <c r="D4929"/>
      <c r="E4929" s="2">
        <f>Comuni__2[[#This Row],[Popolazione2011]]/$D$7911</f>
        <v>2.1271197383467705E-5</v>
      </c>
      <c r="F4929">
        <f>SUMIFS($D$2:$D$7909, $B$2:$B$7909, "Piemonte")</f>
        <v>4363916</v>
      </c>
      <c r="G4929" s="1">
        <f>Comuni__2[[#This Row],[Popolazione2011]]/Comuni__2[[#This Row],[POPOLAZIONE TOTALE DI OGNI REGIONE (CON FILTRO)]]</f>
        <v>2.8964810505060134E-4</v>
      </c>
      <c r="H4929" t="str">
        <f>IF(Comuni__2[[#This Row],[Popolazione2011]]&gt;300000,"MAGGIORE","")</f>
        <v/>
      </c>
      <c r="J4929">
        <v>6</v>
      </c>
      <c r="K4929">
        <v>4512</v>
      </c>
      <c r="L4929">
        <v>405</v>
      </c>
    </row>
    <row r="4930" spans="1:12" x14ac:dyDescent="0.2">
      <c r="A4930"/>
      <c r="B4930"/>
      <c r="C4930"/>
      <c r="D4930"/>
      <c r="E4930" s="2">
        <f>Comuni__2[[#This Row],[Popolazione2011]]/$D$7911</f>
        <v>2.1170226509812004E-5</v>
      </c>
      <c r="F4930">
        <f>SUMIFS($D$2:$D$7909, $B$2:$B$7909, "Piemonte")</f>
        <v>4363916</v>
      </c>
      <c r="G4930" s="1">
        <f>Comuni__2[[#This Row],[Popolazione2011]]/Comuni__2[[#This Row],[POPOLAZIONE TOTALE DI OGNI REGIONE (CON FILTRO)]]</f>
        <v>2.8827319315953835E-4</v>
      </c>
      <c r="H4930" t="str">
        <f>IF(Comuni__2[[#This Row],[Popolazione2011]]&gt;300000,"MAGGIORE","")</f>
        <v/>
      </c>
      <c r="J4930">
        <v>8</v>
      </c>
      <c r="K4930">
        <v>2354</v>
      </c>
      <c r="L4930">
        <v>292</v>
      </c>
    </row>
    <row r="4931" spans="1:12" x14ac:dyDescent="0.2">
      <c r="A4931"/>
      <c r="B4931"/>
      <c r="C4931"/>
      <c r="D4931"/>
      <c r="E4931" s="2">
        <f>Comuni__2[[#This Row],[Popolazione2011]]/$D$7911</f>
        <v>2.1153398030869388E-5</v>
      </c>
      <c r="F4931">
        <f>SUMIFS($D$2:$D$7909, $B$2:$B$7909, "Piemonte")</f>
        <v>4363916</v>
      </c>
      <c r="G4931" s="1">
        <f>Comuni__2[[#This Row],[Popolazione2011]]/Comuni__2[[#This Row],[POPOLAZIONE TOTALE DI OGNI REGIONE (CON FILTRO)]]</f>
        <v>2.8804404117769455E-4</v>
      </c>
      <c r="H4931" t="str">
        <f>IF(Comuni__2[[#This Row],[Popolazione2011]]&gt;300000,"MAGGIORE","")</f>
        <v/>
      </c>
      <c r="J4931">
        <v>7</v>
      </c>
      <c r="K4931">
        <v>4512</v>
      </c>
      <c r="L4931">
        <v>405</v>
      </c>
    </row>
    <row r="4932" spans="1:12" x14ac:dyDescent="0.2">
      <c r="A4932"/>
      <c r="B4932"/>
      <c r="C4932"/>
      <c r="D4932"/>
      <c r="E4932" s="2">
        <f>Comuni__2[[#This Row],[Popolazione2011]]/$D$7911</f>
        <v>2.1136569551926772E-5</v>
      </c>
      <c r="F4932">
        <f>SUMIFS($D$2:$D$7909, $B$2:$B$7909, "Piemonte")</f>
        <v>4363916</v>
      </c>
      <c r="G4932" s="1">
        <f>Comuni__2[[#This Row],[Popolazione2011]]/Comuni__2[[#This Row],[POPOLAZIONE TOTALE DI OGNI REGIONE (CON FILTRO)]]</f>
        <v>2.8781488919585069E-4</v>
      </c>
      <c r="H4932" t="str">
        <f>IF(Comuni__2[[#This Row],[Popolazione2011]]&gt;300000,"MAGGIORE","")</f>
        <v/>
      </c>
      <c r="J4932">
        <v>6</v>
      </c>
      <c r="K4932">
        <v>2355</v>
      </c>
      <c r="L4932">
        <v>292</v>
      </c>
    </row>
    <row r="4933" spans="1:12" x14ac:dyDescent="0.2">
      <c r="A4933"/>
      <c r="B4933"/>
      <c r="C4933"/>
      <c r="D4933"/>
      <c r="E4933" s="2">
        <f>Comuni__2[[#This Row],[Popolazione2011]]/$D$7911</f>
        <v>2.1136569551926772E-5</v>
      </c>
      <c r="F4933">
        <f>SUMIFS($D$2:$D$7909, $B$2:$B$7909, "Piemonte")</f>
        <v>4363916</v>
      </c>
      <c r="G4933" s="1">
        <f>Comuni__2[[#This Row],[Popolazione2011]]/Comuni__2[[#This Row],[POPOLAZIONE TOTALE DI OGNI REGIONE (CON FILTRO)]]</f>
        <v>2.8781488919585069E-4</v>
      </c>
      <c r="H4933" t="str">
        <f>IF(Comuni__2[[#This Row],[Popolazione2011]]&gt;300000,"MAGGIORE","")</f>
        <v/>
      </c>
      <c r="J4933">
        <v>5</v>
      </c>
      <c r="K4933">
        <v>4518</v>
      </c>
      <c r="L4933">
        <v>405</v>
      </c>
    </row>
    <row r="4934" spans="1:12" x14ac:dyDescent="0.2">
      <c r="A4934"/>
      <c r="B4934"/>
      <c r="C4934"/>
      <c r="D4934"/>
      <c r="E4934" s="2">
        <f>Comuni__2[[#This Row],[Popolazione2011]]/$D$7911</f>
        <v>2.1119741072984153E-5</v>
      </c>
      <c r="F4934">
        <f>SUMIFS($D$2:$D$7909, $B$2:$B$7909, "Piemonte")</f>
        <v>4363916</v>
      </c>
      <c r="G4934" s="1">
        <f>Comuni__2[[#This Row],[Popolazione2011]]/Comuni__2[[#This Row],[POPOLAZIONE TOTALE DI OGNI REGIONE (CON FILTRO)]]</f>
        <v>2.8758573721400689E-4</v>
      </c>
      <c r="H4934" t="str">
        <f>IF(Comuni__2[[#This Row],[Popolazione2011]]&gt;300000,"MAGGIORE","")</f>
        <v/>
      </c>
      <c r="J4934">
        <v>6</v>
      </c>
      <c r="K4934">
        <v>2357</v>
      </c>
      <c r="L4934">
        <v>292</v>
      </c>
    </row>
    <row r="4935" spans="1:12" x14ac:dyDescent="0.2">
      <c r="A4935"/>
      <c r="B4935"/>
      <c r="C4935"/>
      <c r="D4935"/>
      <c r="E4935" s="2">
        <f>Comuni__2[[#This Row],[Popolazione2011]]/$D$7911</f>
        <v>2.108608411509892E-5</v>
      </c>
      <c r="F4935">
        <f>SUMIFS($D$2:$D$7909, $B$2:$B$7909, "Piemonte")</f>
        <v>4363916</v>
      </c>
      <c r="G4935" s="1">
        <f>Comuni__2[[#This Row],[Popolazione2011]]/Comuni__2[[#This Row],[POPOLAZIONE TOTALE DI OGNI REGIONE (CON FILTRO)]]</f>
        <v>2.8712743325031922E-4</v>
      </c>
      <c r="H4935" t="str">
        <f>IF(Comuni__2[[#This Row],[Popolazione2011]]&gt;300000,"MAGGIORE","")</f>
        <v/>
      </c>
      <c r="J4935">
        <v>3</v>
      </c>
      <c r="K4935">
        <v>4525</v>
      </c>
      <c r="L4935">
        <v>405</v>
      </c>
    </row>
    <row r="4936" spans="1:12" x14ac:dyDescent="0.2">
      <c r="A4936"/>
      <c r="B4936"/>
      <c r="C4936"/>
      <c r="D4936"/>
      <c r="E4936" s="2">
        <f>Comuni__2[[#This Row],[Popolazione2011]]/$D$7911</f>
        <v>2.1052427157213688E-5</v>
      </c>
      <c r="F4936">
        <f>SUMIFS($D$2:$D$7909, $B$2:$B$7909, "Piemonte")</f>
        <v>4363916</v>
      </c>
      <c r="G4936" s="1">
        <f>Comuni__2[[#This Row],[Popolazione2011]]/Comuni__2[[#This Row],[POPOLAZIONE TOTALE DI OGNI REGIONE (CON FILTRO)]]</f>
        <v>2.8666912928663156E-4</v>
      </c>
      <c r="H4936" t="str">
        <f>IF(Comuni__2[[#This Row],[Popolazione2011]]&gt;300000,"MAGGIORE","")</f>
        <v/>
      </c>
      <c r="J4936">
        <v>8</v>
      </c>
      <c r="K4936">
        <v>2367</v>
      </c>
      <c r="L4936">
        <v>292</v>
      </c>
    </row>
    <row r="4937" spans="1:12" x14ac:dyDescent="0.2">
      <c r="A4937"/>
      <c r="B4937"/>
      <c r="C4937"/>
      <c r="D4937"/>
      <c r="E4937" s="2">
        <f>Comuni__2[[#This Row],[Popolazione2011]]/$D$7911</f>
        <v>2.1018770199328453E-5</v>
      </c>
      <c r="F4937">
        <f>SUMIFS($D$2:$D$7909, $B$2:$B$7909, "Piemonte")</f>
        <v>4363916</v>
      </c>
      <c r="G4937" s="1">
        <f>Comuni__2[[#This Row],[Popolazione2011]]/Comuni__2[[#This Row],[POPOLAZIONE TOTALE DI OGNI REGIONE (CON FILTRO)]]</f>
        <v>2.862108253229439E-4</v>
      </c>
      <c r="H4937" t="str">
        <f>IF(Comuni__2[[#This Row],[Popolazione2011]]&gt;300000,"MAGGIORE","")</f>
        <v/>
      </c>
      <c r="J4937">
        <v>2</v>
      </c>
      <c r="K4937">
        <v>4532</v>
      </c>
      <c r="L4937">
        <v>405</v>
      </c>
    </row>
    <row r="4938" spans="1:12" x14ac:dyDescent="0.2">
      <c r="A4938"/>
      <c r="B4938"/>
      <c r="C4938"/>
      <c r="D4938"/>
      <c r="E4938" s="2">
        <f>Comuni__2[[#This Row],[Popolazione2011]]/$D$7911</f>
        <v>2.1001941720385836E-5</v>
      </c>
      <c r="F4938">
        <f>SUMIFS($D$2:$D$7909, $B$2:$B$7909, "Piemonte")</f>
        <v>4363916</v>
      </c>
      <c r="G4938" s="1">
        <f>Comuni__2[[#This Row],[Popolazione2011]]/Comuni__2[[#This Row],[POPOLAZIONE TOTALE DI OGNI REGIONE (CON FILTRO)]]</f>
        <v>2.8598167334110004E-4</v>
      </c>
      <c r="H4938" t="str">
        <f>IF(Comuni__2[[#This Row],[Popolazione2011]]&gt;300000,"MAGGIORE","")</f>
        <v/>
      </c>
      <c r="J4938">
        <v>8</v>
      </c>
      <c r="K4938">
        <v>2369</v>
      </c>
      <c r="L4938">
        <v>292</v>
      </c>
    </row>
    <row r="4939" spans="1:12" x14ac:dyDescent="0.2">
      <c r="A4939"/>
      <c r="B4939"/>
      <c r="C4939"/>
      <c r="D4939"/>
      <c r="E4939" s="2">
        <f>Comuni__2[[#This Row],[Popolazione2011]]/$D$7911</f>
        <v>2.0867313888844901E-5</v>
      </c>
      <c r="F4939">
        <f>SUMIFS($D$2:$D$7909, $B$2:$B$7909, "Piemonte")</f>
        <v>4363916</v>
      </c>
      <c r="G4939" s="1">
        <f>Comuni__2[[#This Row],[Popolazione2011]]/Comuni__2[[#This Row],[POPOLAZIONE TOTALE DI OGNI REGIONE (CON FILTRO)]]</f>
        <v>2.8414845748634944E-4</v>
      </c>
      <c r="H4939" t="str">
        <f>IF(Comuni__2[[#This Row],[Popolazione2011]]&gt;300000,"MAGGIORE","")</f>
        <v/>
      </c>
      <c r="J4939">
        <v>3</v>
      </c>
      <c r="K4939">
        <v>4535</v>
      </c>
      <c r="L4939">
        <v>405</v>
      </c>
    </row>
    <row r="4940" spans="1:12" x14ac:dyDescent="0.2">
      <c r="A4940"/>
      <c r="B4940"/>
      <c r="C4940"/>
      <c r="D4940"/>
      <c r="E4940" s="2">
        <f>Comuni__2[[#This Row],[Popolazione2011]]/$D$7911</f>
        <v>2.0833656930959668E-5</v>
      </c>
      <c r="F4940">
        <f>SUMIFS($D$2:$D$7909, $B$2:$B$7909, "Piemonte")</f>
        <v>4363916</v>
      </c>
      <c r="G4940" s="1">
        <f>Comuni__2[[#This Row],[Popolazione2011]]/Comuni__2[[#This Row],[POPOLAZIONE TOTALE DI OGNI REGIONE (CON FILTRO)]]</f>
        <v>2.8369015352266178E-4</v>
      </c>
      <c r="H4940" t="str">
        <f>IF(Comuni__2[[#This Row],[Popolazione2011]]&gt;300000,"MAGGIORE","")</f>
        <v/>
      </c>
      <c r="J4940">
        <v>8</v>
      </c>
      <c r="K4940">
        <v>2375</v>
      </c>
      <c r="L4940">
        <v>292</v>
      </c>
    </row>
    <row r="4941" spans="1:12" x14ac:dyDescent="0.2">
      <c r="A4941"/>
      <c r="B4941"/>
      <c r="C4941"/>
      <c r="D4941"/>
      <c r="E4941" s="2">
        <f>Comuni__2[[#This Row],[Popolazione2011]]/$D$7911</f>
        <v>2.0783171494131817E-5</v>
      </c>
      <c r="F4941">
        <f>SUMIFS($D$2:$D$7909, $B$2:$B$7909, "Piemonte")</f>
        <v>4363916</v>
      </c>
      <c r="G4941" s="1">
        <f>Comuni__2[[#This Row],[Popolazione2011]]/Comuni__2[[#This Row],[POPOLAZIONE TOTALE DI OGNI REGIONE (CON FILTRO)]]</f>
        <v>2.8300269757713025E-4</v>
      </c>
      <c r="H4941" t="str">
        <f>IF(Comuni__2[[#This Row],[Popolazione2011]]&gt;300000,"MAGGIORE","")</f>
        <v/>
      </c>
      <c r="J4941">
        <v>2</v>
      </c>
      <c r="K4941">
        <v>4538</v>
      </c>
      <c r="L4941">
        <v>405</v>
      </c>
    </row>
    <row r="4942" spans="1:12" x14ac:dyDescent="0.2">
      <c r="A4942"/>
      <c r="B4942"/>
      <c r="C4942"/>
      <c r="D4942"/>
      <c r="E4942" s="2">
        <f>Comuni__2[[#This Row],[Popolazione2011]]/$D$7911</f>
        <v>2.0783171494131817E-5</v>
      </c>
      <c r="F4942">
        <f>SUMIFS($D$2:$D$7909, $B$2:$B$7909, "Piemonte")</f>
        <v>4363916</v>
      </c>
      <c r="G4942" s="1">
        <f>Comuni__2[[#This Row],[Popolazione2011]]/Comuni__2[[#This Row],[POPOLAZIONE TOTALE DI OGNI REGIONE (CON FILTRO)]]</f>
        <v>2.8300269757713025E-4</v>
      </c>
      <c r="H4942" t="str">
        <f>IF(Comuni__2[[#This Row],[Popolazione2011]]&gt;300000,"MAGGIORE","")</f>
        <v/>
      </c>
      <c r="J4942">
        <v>8</v>
      </c>
      <c r="K4942">
        <v>2381</v>
      </c>
      <c r="L4942">
        <v>292</v>
      </c>
    </row>
    <row r="4943" spans="1:12" x14ac:dyDescent="0.2">
      <c r="A4943"/>
      <c r="B4943"/>
      <c r="C4943"/>
      <c r="D4943"/>
      <c r="E4943" s="2">
        <f>Comuni__2[[#This Row],[Popolazione2011]]/$D$7911</f>
        <v>2.07663430151892E-5</v>
      </c>
      <c r="F4943">
        <f>SUMIFS($D$2:$D$7909, $B$2:$B$7909, "Piemonte")</f>
        <v>4363916</v>
      </c>
      <c r="G4943" s="1">
        <f>Comuni__2[[#This Row],[Popolazione2011]]/Comuni__2[[#This Row],[POPOLAZIONE TOTALE DI OGNI REGIONE (CON FILTRO)]]</f>
        <v>2.8277354559528645E-4</v>
      </c>
      <c r="H4943" t="str">
        <f>IF(Comuni__2[[#This Row],[Popolazione2011]]&gt;300000,"MAGGIORE","")</f>
        <v/>
      </c>
      <c r="J4943">
        <v>2</v>
      </c>
      <c r="K4943">
        <v>4539</v>
      </c>
      <c r="L4943">
        <v>405</v>
      </c>
    </row>
    <row r="4944" spans="1:12" x14ac:dyDescent="0.2">
      <c r="A4944"/>
      <c r="B4944"/>
      <c r="C4944"/>
      <c r="D4944"/>
      <c r="E4944" s="2">
        <f>Comuni__2[[#This Row],[Popolazione2011]]/$D$7911</f>
        <v>2.0749514536246584E-5</v>
      </c>
      <c r="F4944">
        <f>SUMIFS($D$2:$D$7909, $B$2:$B$7909, "Piemonte")</f>
        <v>4363916</v>
      </c>
      <c r="G4944" s="1">
        <f>Comuni__2[[#This Row],[Popolazione2011]]/Comuni__2[[#This Row],[POPOLAZIONE TOTALE DI OGNI REGIONE (CON FILTRO)]]</f>
        <v>2.8254439361344259E-4</v>
      </c>
      <c r="H4944" t="str">
        <f>IF(Comuni__2[[#This Row],[Popolazione2011]]&gt;300000,"MAGGIORE","")</f>
        <v/>
      </c>
      <c r="J4944">
        <v>9</v>
      </c>
      <c r="K4944">
        <v>2385</v>
      </c>
      <c r="L4944">
        <v>292</v>
      </c>
    </row>
    <row r="4945" spans="1:12" x14ac:dyDescent="0.2">
      <c r="A4945"/>
      <c r="B4945"/>
      <c r="C4945"/>
      <c r="D4945"/>
      <c r="E4945" s="2">
        <f>Comuni__2[[#This Row],[Popolazione2011]]/$D$7911</f>
        <v>2.06653721415335E-5</v>
      </c>
      <c r="F4945">
        <f>SUMIFS($D$2:$D$7909, $B$2:$B$7909, "Piemonte")</f>
        <v>4363916</v>
      </c>
      <c r="G4945" s="1">
        <f>Comuni__2[[#This Row],[Popolazione2011]]/Comuni__2[[#This Row],[POPOLAZIONE TOTALE DI OGNI REGIONE (CON FILTRO)]]</f>
        <v>2.8139863370422346E-4</v>
      </c>
      <c r="H4945" t="str">
        <f>IF(Comuni__2[[#This Row],[Popolazione2011]]&gt;300000,"MAGGIORE","")</f>
        <v/>
      </c>
      <c r="J4945">
        <v>2</v>
      </c>
      <c r="K4945">
        <v>4540</v>
      </c>
      <c r="L4945">
        <v>405</v>
      </c>
    </row>
    <row r="4946" spans="1:12" x14ac:dyDescent="0.2">
      <c r="A4946"/>
      <c r="B4946"/>
      <c r="C4946"/>
      <c r="D4946"/>
      <c r="E4946" s="2">
        <f>Comuni__2[[#This Row],[Popolazione2011]]/$D$7911</f>
        <v>2.0648543662590881E-5</v>
      </c>
      <c r="F4946">
        <f>SUMIFS($D$2:$D$7909, $B$2:$B$7909, "Piemonte")</f>
        <v>4363916</v>
      </c>
      <c r="G4946" s="1">
        <f>Comuni__2[[#This Row],[Popolazione2011]]/Comuni__2[[#This Row],[POPOLAZIONE TOTALE DI OGNI REGIONE (CON FILTRO)]]</f>
        <v>2.811694817223796E-4</v>
      </c>
      <c r="H4946" t="str">
        <f>IF(Comuni__2[[#This Row],[Popolazione2011]]&gt;300000,"MAGGIORE","")</f>
        <v/>
      </c>
      <c r="J4946">
        <v>9</v>
      </c>
      <c r="K4946">
        <v>2385</v>
      </c>
      <c r="L4946">
        <v>292</v>
      </c>
    </row>
    <row r="4947" spans="1:12" x14ac:dyDescent="0.2">
      <c r="A4947"/>
      <c r="B4947"/>
      <c r="C4947"/>
      <c r="D4947"/>
      <c r="E4947" s="2">
        <f>Comuni__2[[#This Row],[Popolazione2011]]/$D$7911</f>
        <v>2.0648543662590881E-5</v>
      </c>
      <c r="F4947">
        <f>SUMIFS($D$2:$D$7909, $B$2:$B$7909, "Piemonte")</f>
        <v>4363916</v>
      </c>
      <c r="G4947" s="1">
        <f>Comuni__2[[#This Row],[Popolazione2011]]/Comuni__2[[#This Row],[POPOLAZIONE TOTALE DI OGNI REGIONE (CON FILTRO)]]</f>
        <v>2.811694817223796E-4</v>
      </c>
      <c r="H4947" t="str">
        <f>IF(Comuni__2[[#This Row],[Popolazione2011]]&gt;300000,"MAGGIORE","")</f>
        <v/>
      </c>
      <c r="J4947">
        <v>3</v>
      </c>
      <c r="K4947">
        <v>4542</v>
      </c>
      <c r="L4947">
        <v>405</v>
      </c>
    </row>
    <row r="4948" spans="1:12" x14ac:dyDescent="0.2">
      <c r="A4948"/>
      <c r="B4948"/>
      <c r="C4948"/>
      <c r="D4948"/>
      <c r="E4948" s="2">
        <f>Comuni__2[[#This Row],[Popolazione2011]]/$D$7911</f>
        <v>2.0581229746820413E-5</v>
      </c>
      <c r="F4948">
        <f>SUMIFS($D$2:$D$7909, $B$2:$B$7909, "Piemonte")</f>
        <v>4363916</v>
      </c>
      <c r="G4948" s="1">
        <f>Comuni__2[[#This Row],[Popolazione2011]]/Comuni__2[[#This Row],[POPOLAZIONE TOTALE DI OGNI REGIONE (CON FILTRO)]]</f>
        <v>2.8025287379500433E-4</v>
      </c>
      <c r="H4948" t="str">
        <f>IF(Comuni__2[[#This Row],[Popolazione2011]]&gt;300000,"MAGGIORE","")</f>
        <v/>
      </c>
      <c r="J4948">
        <v>9</v>
      </c>
      <c r="K4948">
        <v>2397</v>
      </c>
      <c r="L4948">
        <v>292</v>
      </c>
    </row>
    <row r="4949" spans="1:12" x14ac:dyDescent="0.2">
      <c r="A4949"/>
      <c r="B4949"/>
      <c r="C4949"/>
      <c r="D4949"/>
      <c r="E4949" s="2">
        <f>Comuni__2[[#This Row],[Popolazione2011]]/$D$7911</f>
        <v>2.0530744309992565E-5</v>
      </c>
      <c r="F4949">
        <f>SUMIFS($D$2:$D$7909, $B$2:$B$7909, "Piemonte")</f>
        <v>4363916</v>
      </c>
      <c r="G4949" s="1">
        <f>Comuni__2[[#This Row],[Popolazione2011]]/Comuni__2[[#This Row],[POPOLAZIONE TOTALE DI OGNI REGIONE (CON FILTRO)]]</f>
        <v>2.7956541784947281E-4</v>
      </c>
      <c r="H4949" t="str">
        <f>IF(Comuni__2[[#This Row],[Popolazione2011]]&gt;300000,"MAGGIORE","")</f>
        <v/>
      </c>
      <c r="J4949">
        <v>3</v>
      </c>
      <c r="K4949">
        <v>4559</v>
      </c>
      <c r="L4949">
        <v>405</v>
      </c>
    </row>
    <row r="4950" spans="1:12" x14ac:dyDescent="0.2">
      <c r="A4950"/>
      <c r="B4950"/>
      <c r="C4950"/>
      <c r="D4950"/>
      <c r="E4950" s="2">
        <f>Comuni__2[[#This Row],[Popolazione2011]]/$D$7911</f>
        <v>2.0480258873164713E-5</v>
      </c>
      <c r="F4950">
        <f>SUMIFS($D$2:$D$7909, $B$2:$B$7909, "Piemonte")</f>
        <v>4363916</v>
      </c>
      <c r="G4950" s="1">
        <f>Comuni__2[[#This Row],[Popolazione2011]]/Comuni__2[[#This Row],[POPOLAZIONE TOTALE DI OGNI REGIONE (CON FILTRO)]]</f>
        <v>2.7887796190394134E-4</v>
      </c>
      <c r="H4950" t="str">
        <f>IF(Comuni__2[[#This Row],[Popolazione2011]]&gt;300000,"MAGGIORE","")</f>
        <v/>
      </c>
      <c r="J4950">
        <v>9</v>
      </c>
      <c r="K4950">
        <v>2401</v>
      </c>
      <c r="L4950">
        <v>292</v>
      </c>
    </row>
    <row r="4951" spans="1:12" x14ac:dyDescent="0.2">
      <c r="A4951"/>
      <c r="B4951"/>
      <c r="C4951"/>
      <c r="D4951"/>
      <c r="E4951" s="2">
        <f>Comuni__2[[#This Row],[Popolazione2011]]/$D$7911</f>
        <v>2.0396116478451629E-5</v>
      </c>
      <c r="F4951">
        <f>SUMIFS($D$2:$D$7909, $B$2:$B$7909, "Piemonte")</f>
        <v>4363916</v>
      </c>
      <c r="G4951" s="1">
        <f>Comuni__2[[#This Row],[Popolazione2011]]/Comuni__2[[#This Row],[POPOLAZIONE TOTALE DI OGNI REGIONE (CON FILTRO)]]</f>
        <v>2.7773220199472215E-4</v>
      </c>
      <c r="H4951" t="str">
        <f>IF(Comuni__2[[#This Row],[Popolazione2011]]&gt;300000,"MAGGIORE","")</f>
        <v/>
      </c>
      <c r="J4951">
        <v>3</v>
      </c>
      <c r="K4951">
        <v>4563</v>
      </c>
      <c r="L4951">
        <v>405</v>
      </c>
    </row>
    <row r="4952" spans="1:12" x14ac:dyDescent="0.2">
      <c r="A4952"/>
      <c r="B4952"/>
      <c r="C4952"/>
      <c r="D4952"/>
      <c r="E4952" s="2">
        <f>Comuni__2[[#This Row],[Popolazione2011]]/$D$7911</f>
        <v>2.0396116478451629E-5</v>
      </c>
      <c r="F4952">
        <f>SUMIFS($D$2:$D$7909, $B$2:$B$7909, "Piemonte")</f>
        <v>4363916</v>
      </c>
      <c r="G4952" s="1">
        <f>Comuni__2[[#This Row],[Popolazione2011]]/Comuni__2[[#This Row],[POPOLAZIONE TOTALE DI OGNI REGIONE (CON FILTRO)]]</f>
        <v>2.7773220199472215E-4</v>
      </c>
      <c r="H4952" t="str">
        <f>IF(Comuni__2[[#This Row],[Popolazione2011]]&gt;300000,"MAGGIORE","")</f>
        <v/>
      </c>
      <c r="J4952">
        <v>9</v>
      </c>
      <c r="K4952">
        <v>2404</v>
      </c>
      <c r="L4952">
        <v>292</v>
      </c>
    </row>
    <row r="4953" spans="1:12" x14ac:dyDescent="0.2">
      <c r="A4953"/>
      <c r="B4953"/>
      <c r="C4953"/>
      <c r="D4953"/>
      <c r="E4953" s="2">
        <f>Comuni__2[[#This Row],[Popolazione2011]]/$D$7911</f>
        <v>2.0244660167968077E-5</v>
      </c>
      <c r="F4953">
        <f>SUMIFS($D$2:$D$7909, $B$2:$B$7909, "Piemonte")</f>
        <v>4363916</v>
      </c>
      <c r="G4953" s="1">
        <f>Comuni__2[[#This Row],[Popolazione2011]]/Comuni__2[[#This Row],[POPOLAZIONE TOTALE DI OGNI REGIONE (CON FILTRO)]]</f>
        <v>2.756698341581277E-4</v>
      </c>
      <c r="H4953" t="str">
        <f>IF(Comuni__2[[#This Row],[Popolazione2011]]&gt;300000,"MAGGIORE","")</f>
        <v/>
      </c>
      <c r="J4953">
        <v>4</v>
      </c>
      <c r="K4953">
        <v>4570</v>
      </c>
      <c r="L4953">
        <v>405</v>
      </c>
    </row>
    <row r="4954" spans="1:12" x14ac:dyDescent="0.2">
      <c r="A4954"/>
      <c r="B4954"/>
      <c r="C4954"/>
      <c r="D4954"/>
      <c r="E4954" s="2">
        <f>Comuni__2[[#This Row],[Popolazione2011]]/$D$7911</f>
        <v>2.0194174731140228E-5</v>
      </c>
      <c r="F4954">
        <f>SUMIFS($D$2:$D$7909, $B$2:$B$7909, "Piemonte")</f>
        <v>4363916</v>
      </c>
      <c r="G4954" s="1">
        <f>Comuni__2[[#This Row],[Popolazione2011]]/Comuni__2[[#This Row],[POPOLAZIONE TOTALE DI OGNI REGIONE (CON FILTRO)]]</f>
        <v>2.7498237821259623E-4</v>
      </c>
      <c r="H4954" t="str">
        <f>IF(Comuni__2[[#This Row],[Popolazione2011]]&gt;300000,"MAGGIORE","")</f>
        <v/>
      </c>
      <c r="J4954">
        <v>9</v>
      </c>
      <c r="K4954">
        <v>2418</v>
      </c>
      <c r="L4954">
        <v>292</v>
      </c>
    </row>
    <row r="4955" spans="1:12" x14ac:dyDescent="0.2">
      <c r="A4955"/>
      <c r="B4955"/>
      <c r="C4955"/>
      <c r="D4955"/>
      <c r="E4955" s="2">
        <f>Comuni__2[[#This Row],[Popolazione2011]]/$D$7911</f>
        <v>2.0143689294312377E-5</v>
      </c>
      <c r="F4955">
        <f>SUMIFS($D$2:$D$7909, $B$2:$B$7909, "Piemonte")</f>
        <v>4363916</v>
      </c>
      <c r="G4955" s="1">
        <f>Comuni__2[[#This Row],[Popolazione2011]]/Comuni__2[[#This Row],[POPOLAZIONE TOTALE DI OGNI REGIONE (CON FILTRO)]]</f>
        <v>2.7429492226706471E-4</v>
      </c>
      <c r="H4955" t="str">
        <f>IF(Comuni__2[[#This Row],[Popolazione2011]]&gt;300000,"MAGGIORE","")</f>
        <v/>
      </c>
      <c r="J4955">
        <v>4</v>
      </c>
      <c r="K4955">
        <v>4580</v>
      </c>
      <c r="L4955">
        <v>405</v>
      </c>
    </row>
    <row r="4956" spans="1:12" x14ac:dyDescent="0.2">
      <c r="A4956"/>
      <c r="B4956"/>
      <c r="C4956"/>
      <c r="D4956"/>
      <c r="E4956" s="2">
        <f>Comuni__2[[#This Row],[Popolazione2011]]/$D$7911</f>
        <v>2.0076375378541909E-5</v>
      </c>
      <c r="F4956">
        <f>SUMIFS($D$2:$D$7909, $B$2:$B$7909, "Piemonte")</f>
        <v>4363916</v>
      </c>
      <c r="G4956" s="1">
        <f>Comuni__2[[#This Row],[Popolazione2011]]/Comuni__2[[#This Row],[POPOLAZIONE TOTALE DI OGNI REGIONE (CON FILTRO)]]</f>
        <v>2.7337831433968938E-4</v>
      </c>
      <c r="H4956" t="str">
        <f>IF(Comuni__2[[#This Row],[Popolazione2011]]&gt;300000,"MAGGIORE","")</f>
        <v/>
      </c>
      <c r="J4956">
        <v>9</v>
      </c>
      <c r="K4956">
        <v>2420</v>
      </c>
      <c r="L4956">
        <v>292</v>
      </c>
    </row>
    <row r="4957" spans="1:12" x14ac:dyDescent="0.2">
      <c r="A4957"/>
      <c r="B4957"/>
      <c r="C4957"/>
      <c r="D4957"/>
      <c r="E4957" s="2">
        <f>Comuni__2[[#This Row],[Popolazione2011]]/$D$7911</f>
        <v>2.0076375378541909E-5</v>
      </c>
      <c r="F4957">
        <f>SUMIFS($D$2:$D$7909, $B$2:$B$7909, "Piemonte")</f>
        <v>4363916</v>
      </c>
      <c r="G4957" s="1">
        <f>Comuni__2[[#This Row],[Popolazione2011]]/Comuni__2[[#This Row],[POPOLAZIONE TOTALE DI OGNI REGIONE (CON FILTRO)]]</f>
        <v>2.7337831433968938E-4</v>
      </c>
      <c r="H4957" t="str">
        <f>IF(Comuni__2[[#This Row],[Popolazione2011]]&gt;300000,"MAGGIORE","")</f>
        <v/>
      </c>
      <c r="J4957">
        <v>4</v>
      </c>
      <c r="K4957">
        <v>4580</v>
      </c>
      <c r="L4957">
        <v>405</v>
      </c>
    </row>
    <row r="4958" spans="1:12" x14ac:dyDescent="0.2">
      <c r="A4958"/>
      <c r="B4958"/>
      <c r="C4958"/>
      <c r="D4958"/>
      <c r="E4958" s="2">
        <f>Comuni__2[[#This Row],[Popolazione2011]]/$D$7911</f>
        <v>2.0042718420656677E-5</v>
      </c>
      <c r="F4958">
        <f>SUMIFS($D$2:$D$7909, $B$2:$B$7909, "Piemonte")</f>
        <v>4363916</v>
      </c>
      <c r="G4958" s="1">
        <f>Comuni__2[[#This Row],[Popolazione2011]]/Comuni__2[[#This Row],[POPOLAZIONE TOTALE DI OGNI REGIONE (CON FILTRO)]]</f>
        <v>2.7292001037600172E-4</v>
      </c>
      <c r="H4958" t="str">
        <f>IF(Comuni__2[[#This Row],[Popolazione2011]]&gt;300000,"MAGGIORE","")</f>
        <v/>
      </c>
      <c r="J4958">
        <v>9</v>
      </c>
      <c r="K4958">
        <v>2420</v>
      </c>
      <c r="L4958">
        <v>292</v>
      </c>
    </row>
    <row r="4959" spans="1:12" x14ac:dyDescent="0.2">
      <c r="A4959"/>
      <c r="B4959"/>
      <c r="C4959"/>
      <c r="D4959"/>
      <c r="E4959" s="2">
        <f>Comuni__2[[#This Row],[Popolazione2011]]/$D$7911</f>
        <v>2.0025889941714057E-5</v>
      </c>
      <c r="F4959">
        <f>SUMIFS($D$2:$D$7909, $B$2:$B$7909, "Piemonte")</f>
        <v>4363916</v>
      </c>
      <c r="G4959" s="1">
        <f>Comuni__2[[#This Row],[Popolazione2011]]/Comuni__2[[#This Row],[POPOLAZIONE TOTALE DI OGNI REGIONE (CON FILTRO)]]</f>
        <v>2.7269085839415791E-4</v>
      </c>
      <c r="H4959" t="str">
        <f>IF(Comuni__2[[#This Row],[Popolazione2011]]&gt;300000,"MAGGIORE","")</f>
        <v/>
      </c>
      <c r="J4959">
        <v>4</v>
      </c>
      <c r="K4959">
        <v>4580</v>
      </c>
      <c r="L4959">
        <v>405</v>
      </c>
    </row>
    <row r="4960" spans="1:12" x14ac:dyDescent="0.2">
      <c r="A4960"/>
      <c r="B4960"/>
      <c r="C4960"/>
      <c r="D4960"/>
      <c r="E4960" s="2">
        <f>Comuni__2[[#This Row],[Popolazione2011]]/$D$7911</f>
        <v>1.9790291236517421E-5</v>
      </c>
      <c r="F4960">
        <f>SUMIFS($D$2:$D$7909, $B$2:$B$7909, "Piemonte")</f>
        <v>4363916</v>
      </c>
      <c r="G4960" s="1">
        <f>Comuni__2[[#This Row],[Popolazione2011]]/Comuni__2[[#This Row],[POPOLAZIONE TOTALE DI OGNI REGIONE (CON FILTRO)]]</f>
        <v>2.6948273064834427E-4</v>
      </c>
      <c r="H4960" t="str">
        <f>IF(Comuni__2[[#This Row],[Popolazione2011]]&gt;300000,"MAGGIORE","")</f>
        <v/>
      </c>
      <c r="J4960">
        <v>9</v>
      </c>
      <c r="K4960">
        <v>2424</v>
      </c>
      <c r="L4960">
        <v>292</v>
      </c>
    </row>
    <row r="4961" spans="1:12" x14ac:dyDescent="0.2">
      <c r="A4961"/>
      <c r="B4961"/>
      <c r="C4961"/>
      <c r="D4961"/>
      <c r="E4961" s="2">
        <f>Comuni__2[[#This Row],[Popolazione2011]]/$D$7911</f>
        <v>1.9790291236517421E-5</v>
      </c>
      <c r="F4961">
        <f>SUMIFS($D$2:$D$7909, $B$2:$B$7909, "Piemonte")</f>
        <v>4363916</v>
      </c>
      <c r="G4961" s="1">
        <f>Comuni__2[[#This Row],[Popolazione2011]]/Comuni__2[[#This Row],[POPOLAZIONE TOTALE DI OGNI REGIONE (CON FILTRO)]]</f>
        <v>2.6948273064834427E-4</v>
      </c>
      <c r="H4961" t="str">
        <f>IF(Comuni__2[[#This Row],[Popolazione2011]]&gt;300000,"MAGGIORE","")</f>
        <v/>
      </c>
      <c r="J4961">
        <v>5</v>
      </c>
      <c r="K4961">
        <v>4580</v>
      </c>
      <c r="L4961">
        <v>405</v>
      </c>
    </row>
    <row r="4962" spans="1:12" x14ac:dyDescent="0.2">
      <c r="A4962"/>
      <c r="B4962"/>
      <c r="C4962"/>
      <c r="D4962"/>
      <c r="E4962" s="2">
        <f>Comuni__2[[#This Row],[Popolazione2011]]/$D$7911</f>
        <v>1.9790291236517421E-5</v>
      </c>
      <c r="F4962">
        <f>SUMIFS($D$2:$D$7909, $B$2:$B$7909, "Piemonte")</f>
        <v>4363916</v>
      </c>
      <c r="G4962" s="1">
        <f>Comuni__2[[#This Row],[Popolazione2011]]/Comuni__2[[#This Row],[POPOLAZIONE TOTALE DI OGNI REGIONE (CON FILTRO)]]</f>
        <v>2.6948273064834427E-4</v>
      </c>
      <c r="H4962" t="str">
        <f>IF(Comuni__2[[#This Row],[Popolazione2011]]&gt;300000,"MAGGIORE","")</f>
        <v/>
      </c>
      <c r="J4962">
        <v>9</v>
      </c>
      <c r="K4962">
        <v>2428</v>
      </c>
      <c r="L4962">
        <v>292</v>
      </c>
    </row>
    <row r="4963" spans="1:12" x14ac:dyDescent="0.2">
      <c r="A4963"/>
      <c r="B4963"/>
      <c r="C4963"/>
      <c r="D4963"/>
      <c r="E4963" s="2">
        <f>Comuni__2[[#This Row],[Popolazione2011]]/$D$7911</f>
        <v>1.9571521010263405E-5</v>
      </c>
      <c r="F4963">
        <f>SUMIFS($D$2:$D$7909, $B$2:$B$7909, "Piemonte")</f>
        <v>4363916</v>
      </c>
      <c r="G4963" s="1">
        <f>Comuni__2[[#This Row],[Popolazione2011]]/Comuni__2[[#This Row],[POPOLAZIONE TOTALE DI OGNI REGIONE (CON FILTRO)]]</f>
        <v>2.6650375488437448E-4</v>
      </c>
      <c r="H4963" t="str">
        <f>IF(Comuni__2[[#This Row],[Popolazione2011]]&gt;300000,"MAGGIORE","")</f>
        <v/>
      </c>
      <c r="J4963">
        <v>5</v>
      </c>
      <c r="K4963">
        <v>4587</v>
      </c>
      <c r="L4963">
        <v>405</v>
      </c>
    </row>
    <row r="4964" spans="1:12" x14ac:dyDescent="0.2">
      <c r="A4964"/>
      <c r="B4964"/>
      <c r="C4964"/>
      <c r="D4964"/>
      <c r="E4964" s="2">
        <f>Comuni__2[[#This Row],[Popolazione2011]]/$D$7911</f>
        <v>1.9554692531320785E-5</v>
      </c>
      <c r="F4964">
        <f>SUMIFS($D$2:$D$7909, $B$2:$B$7909, "Piemonte")</f>
        <v>4363916</v>
      </c>
      <c r="G4964" s="1">
        <f>Comuni__2[[#This Row],[Popolazione2011]]/Comuni__2[[#This Row],[POPOLAZIONE TOTALE DI OGNI REGIONE (CON FILTRO)]]</f>
        <v>2.6627460290253068E-4</v>
      </c>
      <c r="H4964" t="str">
        <f>IF(Comuni__2[[#This Row],[Popolazione2011]]&gt;300000,"MAGGIORE","")</f>
        <v/>
      </c>
      <c r="J4964">
        <v>9</v>
      </c>
      <c r="K4964">
        <v>2430</v>
      </c>
      <c r="L4964">
        <v>292</v>
      </c>
    </row>
    <row r="4965" spans="1:12" x14ac:dyDescent="0.2">
      <c r="A4965"/>
      <c r="B4965"/>
      <c r="C4965"/>
      <c r="D4965"/>
      <c r="E4965" s="2">
        <f>Comuni__2[[#This Row],[Popolazione2011]]/$D$7911</f>
        <v>1.9504207094492937E-5</v>
      </c>
      <c r="F4965">
        <f>SUMIFS($D$2:$D$7909, $B$2:$B$7909, "Piemonte")</f>
        <v>4363916</v>
      </c>
      <c r="G4965" s="1">
        <f>Comuni__2[[#This Row],[Popolazione2011]]/Comuni__2[[#This Row],[POPOLAZIONE TOTALE DI OGNI REGIONE (CON FILTRO)]]</f>
        <v>2.6558714695699916E-4</v>
      </c>
      <c r="H4965" t="str">
        <f>IF(Comuni__2[[#This Row],[Popolazione2011]]&gt;300000,"MAGGIORE","")</f>
        <v/>
      </c>
      <c r="J4965">
        <v>5</v>
      </c>
      <c r="K4965">
        <v>4588</v>
      </c>
      <c r="L4965">
        <v>405</v>
      </c>
    </row>
    <row r="4966" spans="1:12" x14ac:dyDescent="0.2">
      <c r="A4966"/>
      <c r="B4966"/>
      <c r="C4966"/>
      <c r="D4966"/>
      <c r="E4966" s="2">
        <f>Comuni__2[[#This Row],[Popolazione2011]]/$D$7911</f>
        <v>1.9470550136607701E-5</v>
      </c>
      <c r="F4966">
        <f>SUMIFS($D$2:$D$7909, $B$2:$B$7909, "Piemonte")</f>
        <v>4363916</v>
      </c>
      <c r="G4966" s="1">
        <f>Comuni__2[[#This Row],[Popolazione2011]]/Comuni__2[[#This Row],[POPOLAZIONE TOTALE DI OGNI REGIONE (CON FILTRO)]]</f>
        <v>2.651288429933115E-4</v>
      </c>
      <c r="H4966" t="str">
        <f>IF(Comuni__2[[#This Row],[Popolazione2011]]&gt;300000,"MAGGIORE","")</f>
        <v/>
      </c>
      <c r="J4966">
        <v>9</v>
      </c>
      <c r="K4966">
        <v>2434</v>
      </c>
      <c r="L4966">
        <v>292</v>
      </c>
    </row>
    <row r="4967" spans="1:12" x14ac:dyDescent="0.2">
      <c r="A4967"/>
      <c r="B4967"/>
      <c r="C4967"/>
      <c r="D4967"/>
      <c r="E4967" s="2">
        <f>Comuni__2[[#This Row],[Popolazione2011]]/$D$7911</f>
        <v>1.9403236220837233E-5</v>
      </c>
      <c r="F4967">
        <f>SUMIFS($D$2:$D$7909, $B$2:$B$7909, "Piemonte")</f>
        <v>4363916</v>
      </c>
      <c r="G4967" s="1">
        <f>Comuni__2[[#This Row],[Popolazione2011]]/Comuni__2[[#This Row],[POPOLAZIONE TOTALE DI OGNI REGIONE (CON FILTRO)]]</f>
        <v>2.6421223506593617E-4</v>
      </c>
      <c r="H4967" t="str">
        <f>IF(Comuni__2[[#This Row],[Popolazione2011]]&gt;300000,"MAGGIORE","")</f>
        <v/>
      </c>
      <c r="J4967">
        <v>7</v>
      </c>
      <c r="K4967">
        <v>4591</v>
      </c>
      <c r="L4967">
        <v>405</v>
      </c>
    </row>
    <row r="4968" spans="1:12" x14ac:dyDescent="0.2">
      <c r="A4968"/>
      <c r="B4968"/>
      <c r="C4968"/>
      <c r="D4968"/>
      <c r="E4968" s="2">
        <f>Comuni__2[[#This Row],[Popolazione2011]]/$D$7911</f>
        <v>1.9133980557755365E-5</v>
      </c>
      <c r="F4968">
        <f>SUMIFS($D$2:$D$7909, $B$2:$B$7909, "Piemonte")</f>
        <v>4363916</v>
      </c>
      <c r="G4968" s="1">
        <f>Comuni__2[[#This Row],[Popolazione2011]]/Comuni__2[[#This Row],[POPOLAZIONE TOTALE DI OGNI REGIONE (CON FILTRO)]]</f>
        <v>2.6054580335643492E-4</v>
      </c>
      <c r="H4968" t="str">
        <f>IF(Comuni__2[[#This Row],[Popolazione2011]]&gt;300000,"MAGGIORE","")</f>
        <v/>
      </c>
      <c r="J4968">
        <v>10</v>
      </c>
      <c r="K4968">
        <v>2442</v>
      </c>
      <c r="L4968">
        <v>292</v>
      </c>
    </row>
    <row r="4969" spans="1:12" x14ac:dyDescent="0.2">
      <c r="A4969"/>
      <c r="B4969"/>
      <c r="C4969"/>
      <c r="D4969"/>
      <c r="E4969" s="2">
        <f>Comuni__2[[#This Row],[Popolazione2011]]/$D$7911</f>
        <v>1.9100323599870133E-5</v>
      </c>
      <c r="F4969">
        <f>SUMIFS($D$2:$D$7909, $B$2:$B$7909, "Piemonte")</f>
        <v>4363916</v>
      </c>
      <c r="G4969" s="1">
        <f>Comuni__2[[#This Row],[Popolazione2011]]/Comuni__2[[#This Row],[POPOLAZIONE TOTALE DI OGNI REGIONE (CON FILTRO)]]</f>
        <v>2.6008749939274725E-4</v>
      </c>
      <c r="H4969" t="str">
        <f>IF(Comuni__2[[#This Row],[Popolazione2011]]&gt;300000,"MAGGIORE","")</f>
        <v/>
      </c>
      <c r="J4969">
        <v>4</v>
      </c>
      <c r="K4969">
        <v>4595</v>
      </c>
      <c r="L4969">
        <v>405</v>
      </c>
    </row>
    <row r="4970" spans="1:12" x14ac:dyDescent="0.2">
      <c r="A4970"/>
      <c r="B4970"/>
      <c r="C4970"/>
      <c r="D4970"/>
      <c r="E4970" s="2">
        <f>Comuni__2[[#This Row],[Popolazione2011]]/$D$7911</f>
        <v>1.9083495120927513E-5</v>
      </c>
      <c r="F4970">
        <f>SUMIFS($D$2:$D$7909, $B$2:$B$7909, "Piemonte")</f>
        <v>4363916</v>
      </c>
      <c r="G4970" s="1">
        <f>Comuni__2[[#This Row],[Popolazione2011]]/Comuni__2[[#This Row],[POPOLAZIONE TOTALE DI OGNI REGIONE (CON FILTRO)]]</f>
        <v>2.5985834741090339E-4</v>
      </c>
      <c r="H4970" t="str">
        <f>IF(Comuni__2[[#This Row],[Popolazione2011]]&gt;300000,"MAGGIORE","")</f>
        <v/>
      </c>
      <c r="J4970">
        <v>10</v>
      </c>
      <c r="K4970">
        <v>2450</v>
      </c>
      <c r="L4970">
        <v>292</v>
      </c>
    </row>
    <row r="4971" spans="1:12" x14ac:dyDescent="0.2">
      <c r="A4971"/>
      <c r="B4971"/>
      <c r="C4971"/>
      <c r="D4971"/>
      <c r="E4971" s="2">
        <f>Comuni__2[[#This Row],[Popolazione2011]]/$D$7911</f>
        <v>1.8999352726214429E-5</v>
      </c>
      <c r="F4971">
        <f>SUMIFS($D$2:$D$7909, $B$2:$B$7909, "Piemonte")</f>
        <v>4363916</v>
      </c>
      <c r="G4971" s="1">
        <f>Comuni__2[[#This Row],[Popolazione2011]]/Comuni__2[[#This Row],[POPOLAZIONE TOTALE DI OGNI REGIONE (CON FILTRO)]]</f>
        <v>2.5871258750168426E-4</v>
      </c>
      <c r="H4971" t="str">
        <f>IF(Comuni__2[[#This Row],[Popolazione2011]]&gt;300000,"MAGGIORE","")</f>
        <v/>
      </c>
      <c r="J4971">
        <v>4</v>
      </c>
      <c r="K4971">
        <v>4600</v>
      </c>
      <c r="L4971">
        <v>405</v>
      </c>
    </row>
    <row r="4972" spans="1:12" x14ac:dyDescent="0.2">
      <c r="A4972"/>
      <c r="B4972"/>
      <c r="C4972"/>
      <c r="D4972"/>
      <c r="E4972" s="2">
        <f>Comuni__2[[#This Row],[Popolazione2011]]/$D$7911</f>
        <v>1.8948867289386581E-5</v>
      </c>
      <c r="F4972">
        <f>SUMIFS($D$2:$D$7909, $B$2:$B$7909, "Piemonte")</f>
        <v>4363916</v>
      </c>
      <c r="G4972" s="1">
        <f>Comuni__2[[#This Row],[Popolazione2011]]/Comuni__2[[#This Row],[POPOLAZIONE TOTALE DI OGNI REGIONE (CON FILTRO)]]</f>
        <v>2.580251315561528E-4</v>
      </c>
      <c r="H4972" t="str">
        <f>IF(Comuni__2[[#This Row],[Popolazione2011]]&gt;300000,"MAGGIORE","")</f>
        <v/>
      </c>
      <c r="J4972">
        <v>10</v>
      </c>
      <c r="K4972">
        <v>2453</v>
      </c>
      <c r="L4972">
        <v>292</v>
      </c>
    </row>
    <row r="4973" spans="1:12" x14ac:dyDescent="0.2">
      <c r="A4973"/>
      <c r="B4973"/>
      <c r="C4973"/>
      <c r="D4973"/>
      <c r="E4973" s="2">
        <f>Comuni__2[[#This Row],[Popolazione2011]]/$D$7911</f>
        <v>1.8948867289386581E-5</v>
      </c>
      <c r="F4973">
        <f>SUMIFS($D$2:$D$7909, $B$2:$B$7909, "Piemonte")</f>
        <v>4363916</v>
      </c>
      <c r="G4973" s="1">
        <f>Comuni__2[[#This Row],[Popolazione2011]]/Comuni__2[[#This Row],[POPOLAZIONE TOTALE DI OGNI REGIONE (CON FILTRO)]]</f>
        <v>2.580251315561528E-4</v>
      </c>
      <c r="H4973" t="str">
        <f>IF(Comuni__2[[#This Row],[Popolazione2011]]&gt;300000,"MAGGIORE","")</f>
        <v/>
      </c>
      <c r="J4973">
        <v>6</v>
      </c>
      <c r="K4973">
        <v>4600</v>
      </c>
      <c r="L4973">
        <v>405</v>
      </c>
    </row>
    <row r="4974" spans="1:12" x14ac:dyDescent="0.2">
      <c r="A4974"/>
      <c r="B4974"/>
      <c r="C4974"/>
      <c r="D4974"/>
      <c r="E4974" s="2">
        <f>Comuni__2[[#This Row],[Popolazione2011]]/$D$7911</f>
        <v>1.8915210331501345E-5</v>
      </c>
      <c r="F4974">
        <f>SUMIFS($D$2:$D$7909, $B$2:$B$7909, "Piemonte")</f>
        <v>4363916</v>
      </c>
      <c r="G4974" s="1">
        <f>Comuni__2[[#This Row],[Popolazione2011]]/Comuni__2[[#This Row],[POPOLAZIONE TOTALE DI OGNI REGIONE (CON FILTRO)]]</f>
        <v>2.5756682759246513E-4</v>
      </c>
      <c r="H4974" t="str">
        <f>IF(Comuni__2[[#This Row],[Popolazione2011]]&gt;300000,"MAGGIORE","")</f>
        <v/>
      </c>
      <c r="J4974">
        <v>10</v>
      </c>
      <c r="K4974">
        <v>2455</v>
      </c>
      <c r="L4974">
        <v>292</v>
      </c>
    </row>
    <row r="4975" spans="1:12" x14ac:dyDescent="0.2">
      <c r="A4975"/>
      <c r="B4975"/>
      <c r="C4975"/>
      <c r="D4975"/>
      <c r="E4975" s="2">
        <f>Comuni__2[[#This Row],[Popolazione2011]]/$D$7911</f>
        <v>1.8847896415730877E-5</v>
      </c>
      <c r="F4975">
        <f>SUMIFS($D$2:$D$7909, $B$2:$B$7909, "Piemonte")</f>
        <v>4363916</v>
      </c>
      <c r="G4975" s="1">
        <f>Comuni__2[[#This Row],[Popolazione2011]]/Comuni__2[[#This Row],[POPOLAZIONE TOTALE DI OGNI REGIONE (CON FILTRO)]]</f>
        <v>2.5665021966508981E-4</v>
      </c>
      <c r="H4975" t="str">
        <f>IF(Comuni__2[[#This Row],[Popolazione2011]]&gt;300000,"MAGGIORE","")</f>
        <v/>
      </c>
      <c r="J4975">
        <v>5</v>
      </c>
      <c r="K4975">
        <v>4602</v>
      </c>
      <c r="L4975">
        <v>405</v>
      </c>
    </row>
    <row r="4976" spans="1:12" x14ac:dyDescent="0.2">
      <c r="A4976"/>
      <c r="B4976"/>
      <c r="C4976"/>
      <c r="D4976"/>
      <c r="E4976" s="2">
        <f>Comuni__2[[#This Row],[Popolazione2011]]/$D$7911</f>
        <v>1.8831067936788261E-5</v>
      </c>
      <c r="F4976">
        <f>SUMIFS($D$2:$D$7909, $B$2:$B$7909, "Piemonte")</f>
        <v>4363916</v>
      </c>
      <c r="G4976" s="1">
        <f>Comuni__2[[#This Row],[Popolazione2011]]/Comuni__2[[#This Row],[POPOLAZIONE TOTALE DI OGNI REGIONE (CON FILTRO)]]</f>
        <v>2.5642106768324595E-4</v>
      </c>
      <c r="H4976" t="str">
        <f>IF(Comuni__2[[#This Row],[Popolazione2011]]&gt;300000,"MAGGIORE","")</f>
        <v/>
      </c>
      <c r="J4976">
        <v>10</v>
      </c>
      <c r="K4976">
        <v>2460</v>
      </c>
      <c r="L4976">
        <v>292</v>
      </c>
    </row>
    <row r="4977" spans="1:12" x14ac:dyDescent="0.2">
      <c r="A4977"/>
      <c r="B4977"/>
      <c r="C4977"/>
      <c r="D4977"/>
      <c r="E4977" s="2">
        <f>Comuni__2[[#This Row],[Popolazione2011]]/$D$7911</f>
        <v>1.8814239457845645E-5</v>
      </c>
      <c r="F4977">
        <f>SUMIFS($D$2:$D$7909, $B$2:$B$7909, "Piemonte")</f>
        <v>4363916</v>
      </c>
      <c r="G4977" s="1">
        <f>Comuni__2[[#This Row],[Popolazione2011]]/Comuni__2[[#This Row],[POPOLAZIONE TOTALE DI OGNI REGIONE (CON FILTRO)]]</f>
        <v>2.5619191570140214E-4</v>
      </c>
      <c r="H4977" t="str">
        <f>IF(Comuni__2[[#This Row],[Popolazione2011]]&gt;300000,"MAGGIORE","")</f>
        <v/>
      </c>
      <c r="J4977">
        <v>5</v>
      </c>
      <c r="K4977">
        <v>4604</v>
      </c>
      <c r="L4977">
        <v>405</v>
      </c>
    </row>
    <row r="4978" spans="1:12" x14ac:dyDescent="0.2">
      <c r="A4978"/>
      <c r="B4978"/>
      <c r="C4978"/>
      <c r="D4978"/>
      <c r="E4978" s="2">
        <f>Comuni__2[[#This Row],[Popolazione2011]]/$D$7911</f>
        <v>1.8746925542075177E-5</v>
      </c>
      <c r="F4978">
        <f>SUMIFS($D$2:$D$7909, $B$2:$B$7909, "Piemonte")</f>
        <v>4363916</v>
      </c>
      <c r="G4978" s="1">
        <f>Comuni__2[[#This Row],[Popolazione2011]]/Comuni__2[[#This Row],[POPOLAZIONE TOTALE DI OGNI REGIONE (CON FILTRO)]]</f>
        <v>2.5527530777402682E-4</v>
      </c>
      <c r="H4978" t="str">
        <f>IF(Comuni__2[[#This Row],[Popolazione2011]]&gt;300000,"MAGGIORE","")</f>
        <v/>
      </c>
      <c r="J4978">
        <v>10</v>
      </c>
      <c r="K4978">
        <v>2464</v>
      </c>
      <c r="L4978">
        <v>292</v>
      </c>
    </row>
    <row r="4979" spans="1:12" x14ac:dyDescent="0.2">
      <c r="A4979"/>
      <c r="B4979"/>
      <c r="C4979"/>
      <c r="D4979"/>
      <c r="E4979" s="2">
        <f>Comuni__2[[#This Row],[Popolazione2011]]/$D$7911</f>
        <v>1.8730097063132561E-5</v>
      </c>
      <c r="F4979">
        <f>SUMIFS($D$2:$D$7909, $B$2:$B$7909, "Piemonte")</f>
        <v>4363916</v>
      </c>
      <c r="G4979" s="1">
        <f>Comuni__2[[#This Row],[Popolazione2011]]/Comuni__2[[#This Row],[POPOLAZIONE TOTALE DI OGNI REGIONE (CON FILTRO)]]</f>
        <v>2.5504615579218296E-4</v>
      </c>
      <c r="H4979" t="str">
        <f>IF(Comuni__2[[#This Row],[Popolazione2011]]&gt;300000,"MAGGIORE","")</f>
        <v/>
      </c>
      <c r="J4979">
        <v>4</v>
      </c>
      <c r="K4979">
        <v>4608</v>
      </c>
      <c r="L4979">
        <v>405</v>
      </c>
    </row>
    <row r="4980" spans="1:12" x14ac:dyDescent="0.2">
      <c r="A4980"/>
      <c r="B4980"/>
      <c r="C4980"/>
      <c r="D4980"/>
      <c r="E4980" s="2">
        <f>Comuni__2[[#This Row],[Popolazione2011]]/$D$7911</f>
        <v>1.8696440105247326E-5</v>
      </c>
      <c r="F4980">
        <f>SUMIFS($D$2:$D$7909, $B$2:$B$7909, "Piemonte")</f>
        <v>4363916</v>
      </c>
      <c r="G4980" s="1">
        <f>Comuni__2[[#This Row],[Popolazione2011]]/Comuni__2[[#This Row],[POPOLAZIONE TOTALE DI OGNI REGIONE (CON FILTRO)]]</f>
        <v>2.5458785182849535E-4</v>
      </c>
      <c r="H4980" t="str">
        <f>IF(Comuni__2[[#This Row],[Popolazione2011]]&gt;300000,"MAGGIORE","")</f>
        <v/>
      </c>
      <c r="J4980">
        <v>10</v>
      </c>
      <c r="K4980">
        <v>2472</v>
      </c>
      <c r="L4980">
        <v>292</v>
      </c>
    </row>
    <row r="4981" spans="1:12" x14ac:dyDescent="0.2">
      <c r="A4981"/>
      <c r="B4981"/>
      <c r="C4981"/>
      <c r="D4981"/>
      <c r="E4981" s="2">
        <f>Comuni__2[[#This Row],[Popolazione2011]]/$D$7911</f>
        <v>1.8696440105247326E-5</v>
      </c>
      <c r="F4981">
        <f>SUMIFS($D$2:$D$7909, $B$2:$B$7909, "Piemonte")</f>
        <v>4363916</v>
      </c>
      <c r="G4981" s="1">
        <f>Comuni__2[[#This Row],[Popolazione2011]]/Comuni__2[[#This Row],[POPOLAZIONE TOTALE DI OGNI REGIONE (CON FILTRO)]]</f>
        <v>2.5458785182849535E-4</v>
      </c>
      <c r="H4981" t="str">
        <f>IF(Comuni__2[[#This Row],[Popolazione2011]]&gt;300000,"MAGGIORE","")</f>
        <v/>
      </c>
      <c r="J4981">
        <v>7</v>
      </c>
      <c r="K4981">
        <v>4611</v>
      </c>
      <c r="L4981">
        <v>405</v>
      </c>
    </row>
    <row r="4982" spans="1:12" x14ac:dyDescent="0.2">
      <c r="A4982"/>
      <c r="B4982"/>
      <c r="C4982"/>
      <c r="D4982"/>
      <c r="E4982" s="2">
        <f>Comuni__2[[#This Row],[Popolazione2011]]/$D$7911</f>
        <v>1.8662783147362093E-5</v>
      </c>
      <c r="F4982">
        <f>SUMIFS($D$2:$D$7909, $B$2:$B$7909, "Piemonte")</f>
        <v>4363916</v>
      </c>
      <c r="G4982" s="1">
        <f>Comuni__2[[#This Row],[Popolazione2011]]/Comuni__2[[#This Row],[POPOLAZIONE TOTALE DI OGNI REGIONE (CON FILTRO)]]</f>
        <v>2.5412954786480769E-4</v>
      </c>
      <c r="H4982" t="str">
        <f>IF(Comuni__2[[#This Row],[Popolazione2011]]&gt;300000,"MAGGIORE","")</f>
        <v/>
      </c>
      <c r="J4982">
        <v>10</v>
      </c>
      <c r="K4982">
        <v>2486</v>
      </c>
      <c r="L4982">
        <v>292</v>
      </c>
    </row>
    <row r="4983" spans="1:12" x14ac:dyDescent="0.2">
      <c r="A4983"/>
      <c r="B4983"/>
      <c r="C4983"/>
      <c r="D4983"/>
      <c r="E4983" s="2">
        <f>Comuni__2[[#This Row],[Popolazione2011]]/$D$7911</f>
        <v>1.8612297710534242E-5</v>
      </c>
      <c r="F4983">
        <f>SUMIFS($D$2:$D$7909, $B$2:$B$7909, "Piemonte")</f>
        <v>4363916</v>
      </c>
      <c r="G4983" s="1">
        <f>Comuni__2[[#This Row],[Popolazione2011]]/Comuni__2[[#This Row],[POPOLAZIONE TOTALE DI OGNI REGIONE (CON FILTRO)]]</f>
        <v>2.5344209191927616E-4</v>
      </c>
      <c r="H4983" t="str">
        <f>IF(Comuni__2[[#This Row],[Popolazione2011]]&gt;300000,"MAGGIORE","")</f>
        <v/>
      </c>
      <c r="J4983">
        <v>6</v>
      </c>
      <c r="K4983">
        <v>4618</v>
      </c>
      <c r="L4983">
        <v>405</v>
      </c>
    </row>
    <row r="4984" spans="1:12" x14ac:dyDescent="0.2">
      <c r="A4984"/>
      <c r="B4984"/>
      <c r="C4984"/>
      <c r="D4984"/>
      <c r="E4984" s="2">
        <f>Comuni__2[[#This Row],[Popolazione2011]]/$D$7911</f>
        <v>1.8292556610624522E-5</v>
      </c>
      <c r="F4984">
        <f>SUMIFS($D$2:$D$7909, $B$2:$B$7909, "Piemonte")</f>
        <v>4363916</v>
      </c>
      <c r="G4984" s="1">
        <f>Comuni__2[[#This Row],[Popolazione2011]]/Comuni__2[[#This Row],[POPOLAZIONE TOTALE DI OGNI REGIONE (CON FILTRO)]]</f>
        <v>2.4908820426424339E-4</v>
      </c>
      <c r="H4984" t="str">
        <f>IF(Comuni__2[[#This Row],[Popolazione2011]]&gt;300000,"MAGGIORE","")</f>
        <v/>
      </c>
      <c r="J4984">
        <v>10</v>
      </c>
      <c r="K4984">
        <v>2493</v>
      </c>
      <c r="L4984">
        <v>292</v>
      </c>
    </row>
    <row r="4985" spans="1:12" x14ac:dyDescent="0.2">
      <c r="A4985"/>
      <c r="B4985"/>
      <c r="C4985"/>
      <c r="D4985"/>
      <c r="E4985" s="2">
        <f>Comuni__2[[#This Row],[Popolazione2011]]/$D$7911</f>
        <v>1.8275728131681905E-5</v>
      </c>
      <c r="F4985">
        <f>SUMIFS($D$2:$D$7909, $B$2:$B$7909, "Piemonte")</f>
        <v>4363916</v>
      </c>
      <c r="G4985" s="1">
        <f>Comuni__2[[#This Row],[Popolazione2011]]/Comuni__2[[#This Row],[POPOLAZIONE TOTALE DI OGNI REGIONE (CON FILTRO)]]</f>
        <v>2.4885905228239958E-4</v>
      </c>
      <c r="H4985" t="str">
        <f>IF(Comuni__2[[#This Row],[Popolazione2011]]&gt;300000,"MAGGIORE","")</f>
        <v/>
      </c>
      <c r="J4985">
        <v>5</v>
      </c>
      <c r="K4985">
        <v>4629</v>
      </c>
      <c r="L4985">
        <v>405</v>
      </c>
    </row>
    <row r="4986" spans="1:12" x14ac:dyDescent="0.2">
      <c r="A4986"/>
      <c r="B4986"/>
      <c r="C4986"/>
      <c r="D4986"/>
      <c r="E4986" s="2">
        <f>Comuni__2[[#This Row],[Popolazione2011]]/$D$7911</f>
        <v>1.8275728131681905E-5</v>
      </c>
      <c r="F4986">
        <f>SUMIFS($D$2:$D$7909, $B$2:$B$7909, "Piemonte")</f>
        <v>4363916</v>
      </c>
      <c r="G4986" s="1">
        <f>Comuni__2[[#This Row],[Popolazione2011]]/Comuni__2[[#This Row],[POPOLAZIONE TOTALE DI OGNI REGIONE (CON FILTRO)]]</f>
        <v>2.4885905228239958E-4</v>
      </c>
      <c r="H4986" t="str">
        <f>IF(Comuni__2[[#This Row],[Popolazione2011]]&gt;300000,"MAGGIORE","")</f>
        <v/>
      </c>
      <c r="J4986">
        <v>10</v>
      </c>
      <c r="K4986">
        <v>2496</v>
      </c>
      <c r="L4986">
        <v>292</v>
      </c>
    </row>
    <row r="4987" spans="1:12" x14ac:dyDescent="0.2">
      <c r="A4987"/>
      <c r="B4987"/>
      <c r="C4987"/>
      <c r="D4987"/>
      <c r="E4987" s="2">
        <f>Comuni__2[[#This Row],[Popolazione2011]]/$D$7911</f>
        <v>1.8258899652739289E-5</v>
      </c>
      <c r="F4987">
        <f>SUMIFS($D$2:$D$7909, $B$2:$B$7909, "Piemonte")</f>
        <v>4363916</v>
      </c>
      <c r="G4987" s="1">
        <f>Comuni__2[[#This Row],[Popolazione2011]]/Comuni__2[[#This Row],[POPOLAZIONE TOTALE DI OGNI REGIONE (CON FILTRO)]]</f>
        <v>2.4862990030055573E-4</v>
      </c>
      <c r="H4987" t="str">
        <f>IF(Comuni__2[[#This Row],[Popolazione2011]]&gt;300000,"MAGGIORE","")</f>
        <v/>
      </c>
      <c r="J4987">
        <v>5</v>
      </c>
      <c r="K4987">
        <v>4629</v>
      </c>
      <c r="L4987">
        <v>405</v>
      </c>
    </row>
    <row r="4988" spans="1:12" x14ac:dyDescent="0.2">
      <c r="A4988"/>
      <c r="B4988"/>
      <c r="C4988"/>
      <c r="D4988"/>
      <c r="E4988" s="2">
        <f>Comuni__2[[#This Row],[Popolazione2011]]/$D$7911</f>
        <v>1.8107443342255737E-5</v>
      </c>
      <c r="F4988">
        <f>SUMIFS($D$2:$D$7909, $B$2:$B$7909, "Piemonte")</f>
        <v>4363916</v>
      </c>
      <c r="G4988" s="1">
        <f>Comuni__2[[#This Row],[Popolazione2011]]/Comuni__2[[#This Row],[POPOLAZIONE TOTALE DI OGNI REGIONE (CON FILTRO)]]</f>
        <v>2.4656753246396127E-4</v>
      </c>
      <c r="H4988" t="str">
        <f>IF(Comuni__2[[#This Row],[Popolazione2011]]&gt;300000,"MAGGIORE","")</f>
        <v/>
      </c>
      <c r="J4988">
        <v>8</v>
      </c>
      <c r="K4988">
        <v>2497</v>
      </c>
      <c r="L4988">
        <v>292</v>
      </c>
    </row>
    <row r="4989" spans="1:12" x14ac:dyDescent="0.2">
      <c r="A4989"/>
      <c r="B4989"/>
      <c r="C4989"/>
      <c r="D4989"/>
      <c r="E4989" s="2">
        <f>Comuni__2[[#This Row],[Popolazione2011]]/$D$7911</f>
        <v>1.804012942648527E-5</v>
      </c>
      <c r="F4989">
        <f>SUMIFS($D$2:$D$7909, $B$2:$B$7909, "Piemonte")</f>
        <v>4363916</v>
      </c>
      <c r="G4989" s="1">
        <f>Comuni__2[[#This Row],[Popolazione2011]]/Comuni__2[[#This Row],[POPOLAZIONE TOTALE DI OGNI REGIONE (CON FILTRO)]]</f>
        <v>2.4565092453658594E-4</v>
      </c>
      <c r="H4989" t="str">
        <f>IF(Comuni__2[[#This Row],[Popolazione2011]]&gt;300000,"MAGGIORE","")</f>
        <v/>
      </c>
      <c r="J4989">
        <v>6</v>
      </c>
      <c r="K4989">
        <v>4630</v>
      </c>
      <c r="L4989">
        <v>405</v>
      </c>
    </row>
    <row r="4990" spans="1:12" x14ac:dyDescent="0.2">
      <c r="A4990"/>
      <c r="B4990"/>
      <c r="C4990"/>
      <c r="D4990"/>
      <c r="E4990" s="2">
        <f>Comuni__2[[#This Row],[Popolazione2011]]/$D$7911</f>
        <v>1.8023300947542653E-5</v>
      </c>
      <c r="F4990">
        <f>SUMIFS($D$2:$D$7909, $B$2:$B$7909, "Piemonte")</f>
        <v>4363916</v>
      </c>
      <c r="G4990" s="1">
        <f>Comuni__2[[#This Row],[Popolazione2011]]/Comuni__2[[#This Row],[POPOLAZIONE TOTALE DI OGNI REGIONE (CON FILTRO)]]</f>
        <v>2.4542177255474214E-4</v>
      </c>
      <c r="H4990" t="str">
        <f>IF(Comuni__2[[#This Row],[Popolazione2011]]&gt;300000,"MAGGIORE","")</f>
        <v/>
      </c>
      <c r="J4990">
        <v>8</v>
      </c>
      <c r="K4990">
        <v>2502</v>
      </c>
      <c r="L4990">
        <v>292</v>
      </c>
    </row>
    <row r="4991" spans="1:12" x14ac:dyDescent="0.2">
      <c r="A4991"/>
      <c r="B4991"/>
      <c r="C4991"/>
      <c r="D4991"/>
      <c r="E4991" s="2">
        <f>Comuni__2[[#This Row],[Popolazione2011]]/$D$7911</f>
        <v>1.7989643989657418E-5</v>
      </c>
      <c r="F4991">
        <f>SUMIFS($D$2:$D$7909, $B$2:$B$7909, "Piemonte")</f>
        <v>4363916</v>
      </c>
      <c r="G4991" s="1">
        <f>Comuni__2[[#This Row],[Popolazione2011]]/Comuni__2[[#This Row],[POPOLAZIONE TOTALE DI OGNI REGIONE (CON FILTRO)]]</f>
        <v>2.4496346859105447E-4</v>
      </c>
      <c r="H4991" t="str">
        <f>IF(Comuni__2[[#This Row],[Popolazione2011]]&gt;300000,"MAGGIORE","")</f>
        <v/>
      </c>
      <c r="J4991">
        <v>7</v>
      </c>
      <c r="K4991">
        <v>4634</v>
      </c>
      <c r="L4991">
        <v>405</v>
      </c>
    </row>
    <row r="4992" spans="1:12" x14ac:dyDescent="0.2">
      <c r="A4992"/>
      <c r="B4992"/>
      <c r="C4992"/>
      <c r="D4992"/>
      <c r="E4992" s="2">
        <f>Comuni__2[[#This Row],[Popolazione2011]]/$D$7911</f>
        <v>1.7972815510714802E-5</v>
      </c>
      <c r="F4992">
        <f>SUMIFS($D$2:$D$7909, $B$2:$B$7909, "Piemonte")</f>
        <v>4363916</v>
      </c>
      <c r="G4992" s="1">
        <f>Comuni__2[[#This Row],[Popolazione2011]]/Comuni__2[[#This Row],[POPOLAZIONE TOTALE DI OGNI REGIONE (CON FILTRO)]]</f>
        <v>2.4473431660921062E-4</v>
      </c>
      <c r="H4992" t="str">
        <f>IF(Comuni__2[[#This Row],[Popolazione2011]]&gt;300000,"MAGGIORE","")</f>
        <v/>
      </c>
      <c r="J4992">
        <v>8</v>
      </c>
      <c r="K4992">
        <v>2506</v>
      </c>
      <c r="L4992">
        <v>292</v>
      </c>
    </row>
    <row r="4993" spans="1:12" x14ac:dyDescent="0.2">
      <c r="A4993"/>
      <c r="B4993"/>
      <c r="C4993"/>
      <c r="D4993"/>
      <c r="E4993" s="2">
        <f>Comuni__2[[#This Row],[Popolazione2011]]/$D$7911</f>
        <v>1.7972815510714802E-5</v>
      </c>
      <c r="F4993">
        <f>SUMIFS($D$2:$D$7909, $B$2:$B$7909, "Piemonte")</f>
        <v>4363916</v>
      </c>
      <c r="G4993" s="1">
        <f>Comuni__2[[#This Row],[Popolazione2011]]/Comuni__2[[#This Row],[POPOLAZIONE TOTALE DI OGNI REGIONE (CON FILTRO)]]</f>
        <v>2.4473431660921062E-4</v>
      </c>
      <c r="H4993" t="str">
        <f>IF(Comuni__2[[#This Row],[Popolazione2011]]&gt;300000,"MAGGIORE","")</f>
        <v/>
      </c>
      <c r="J4993">
        <v>6</v>
      </c>
      <c r="K4993">
        <v>4638</v>
      </c>
      <c r="L4993">
        <v>405</v>
      </c>
    </row>
    <row r="4994" spans="1:12" x14ac:dyDescent="0.2">
      <c r="A4994"/>
      <c r="B4994"/>
      <c r="C4994"/>
      <c r="D4994"/>
      <c r="E4994" s="2">
        <f>Comuni__2[[#This Row],[Popolazione2011]]/$D$7911</f>
        <v>1.7955987031772185E-5</v>
      </c>
      <c r="F4994">
        <f>SUMIFS($D$2:$D$7909, $B$2:$B$7909, "Piemonte")</f>
        <v>4363916</v>
      </c>
      <c r="G4994" s="1">
        <f>Comuni__2[[#This Row],[Popolazione2011]]/Comuni__2[[#This Row],[POPOLAZIONE TOTALE DI OGNI REGIONE (CON FILTRO)]]</f>
        <v>2.4450516462736681E-4</v>
      </c>
      <c r="H4994" t="str">
        <f>IF(Comuni__2[[#This Row],[Popolazione2011]]&gt;300000,"MAGGIORE","")</f>
        <v/>
      </c>
      <c r="J4994">
        <v>8</v>
      </c>
      <c r="K4994">
        <v>2516</v>
      </c>
      <c r="L4994">
        <v>292</v>
      </c>
    </row>
    <row r="4995" spans="1:12" x14ac:dyDescent="0.2">
      <c r="A4995"/>
      <c r="B4995"/>
      <c r="C4995"/>
      <c r="D4995"/>
      <c r="E4995" s="2">
        <f>Comuni__2[[#This Row],[Popolazione2011]]/$D$7911</f>
        <v>1.7871844637059101E-5</v>
      </c>
      <c r="F4995">
        <f>SUMIFS($D$2:$D$7909, $B$2:$B$7909, "Piemonte")</f>
        <v>4363916</v>
      </c>
      <c r="G4995" s="1">
        <f>Comuni__2[[#This Row],[Popolazione2011]]/Comuni__2[[#This Row],[POPOLAZIONE TOTALE DI OGNI REGIONE (CON FILTRO)]]</f>
        <v>2.4335940471814765E-4</v>
      </c>
      <c r="H4995" t="str">
        <f>IF(Comuni__2[[#This Row],[Popolazione2011]]&gt;300000,"MAGGIORE","")</f>
        <v/>
      </c>
      <c r="J4995">
        <v>6</v>
      </c>
      <c r="K4995">
        <v>4643</v>
      </c>
      <c r="L4995">
        <v>405</v>
      </c>
    </row>
    <row r="4996" spans="1:12" x14ac:dyDescent="0.2">
      <c r="A4996"/>
      <c r="B4996"/>
      <c r="C4996"/>
      <c r="D4996"/>
      <c r="E4996" s="2">
        <f>Comuni__2[[#This Row],[Popolazione2011]]/$D$7911</f>
        <v>1.7770873763403401E-5</v>
      </c>
      <c r="F4996">
        <f>SUMIFS($D$2:$D$7909, $B$2:$B$7909, "Piemonte")</f>
        <v>4363916</v>
      </c>
      <c r="G4996" s="1">
        <f>Comuni__2[[#This Row],[Popolazione2011]]/Comuni__2[[#This Row],[POPOLAZIONE TOTALE DI OGNI REGIONE (CON FILTRO)]]</f>
        <v>2.4198449282708466E-4</v>
      </c>
      <c r="H4996" t="str">
        <f>IF(Comuni__2[[#This Row],[Popolazione2011]]&gt;300000,"MAGGIORE","")</f>
        <v/>
      </c>
      <c r="J4996">
        <v>8</v>
      </c>
      <c r="K4996">
        <v>2530</v>
      </c>
      <c r="L4996">
        <v>292</v>
      </c>
    </row>
    <row r="4997" spans="1:12" x14ac:dyDescent="0.2">
      <c r="A4997"/>
      <c r="B4997"/>
      <c r="C4997"/>
      <c r="D4997"/>
      <c r="E4997" s="2">
        <f>Comuni__2[[#This Row],[Popolazione2011]]/$D$7911</f>
        <v>1.7770873763403401E-5</v>
      </c>
      <c r="F4997">
        <f>SUMIFS($D$2:$D$7909, $B$2:$B$7909, "Piemonte")</f>
        <v>4363916</v>
      </c>
      <c r="G4997" s="1">
        <f>Comuni__2[[#This Row],[Popolazione2011]]/Comuni__2[[#This Row],[POPOLAZIONE TOTALE DI OGNI REGIONE (CON FILTRO)]]</f>
        <v>2.4198449282708466E-4</v>
      </c>
      <c r="H4997" t="str">
        <f>IF(Comuni__2[[#This Row],[Popolazione2011]]&gt;300000,"MAGGIORE","")</f>
        <v/>
      </c>
      <c r="J4997">
        <v>8</v>
      </c>
      <c r="K4997">
        <v>4650</v>
      </c>
      <c r="L4997">
        <v>405</v>
      </c>
    </row>
    <row r="4998" spans="1:12" x14ac:dyDescent="0.2">
      <c r="A4998"/>
      <c r="B4998"/>
      <c r="C4998"/>
      <c r="D4998"/>
      <c r="E4998" s="2">
        <f>Comuni__2[[#This Row],[Popolazione2011]]/$D$7911</f>
        <v>1.7754045284460782E-5</v>
      </c>
      <c r="F4998">
        <f>SUMIFS($D$2:$D$7909, $B$2:$B$7909, "Piemonte")</f>
        <v>4363916</v>
      </c>
      <c r="G4998" s="1">
        <f>Comuni__2[[#This Row],[Popolazione2011]]/Comuni__2[[#This Row],[POPOLAZIONE TOTALE DI OGNI REGIONE (CON FILTRO)]]</f>
        <v>2.4175534084524083E-4</v>
      </c>
      <c r="H4998" t="str">
        <f>IF(Comuni__2[[#This Row],[Popolazione2011]]&gt;300000,"MAGGIORE","")</f>
        <v/>
      </c>
      <c r="J4998">
        <v>8</v>
      </c>
      <c r="K4998">
        <v>2540</v>
      </c>
      <c r="L4998">
        <v>292</v>
      </c>
    </row>
    <row r="4999" spans="1:12" x14ac:dyDescent="0.2">
      <c r="A4999"/>
      <c r="B4999"/>
      <c r="C4999"/>
      <c r="D4999"/>
      <c r="E4999" s="2">
        <f>Comuni__2[[#This Row],[Popolazione2011]]/$D$7911</f>
        <v>1.7754045284460782E-5</v>
      </c>
      <c r="F4999">
        <f>SUMIFS($D$2:$D$7909, $B$2:$B$7909, "Piemonte")</f>
        <v>4363916</v>
      </c>
      <c r="G4999" s="1">
        <f>Comuni__2[[#This Row],[Popolazione2011]]/Comuni__2[[#This Row],[POPOLAZIONE TOTALE DI OGNI REGIONE (CON FILTRO)]]</f>
        <v>2.4175534084524083E-4</v>
      </c>
      <c r="H4999" t="str">
        <f>IF(Comuni__2[[#This Row],[Popolazione2011]]&gt;300000,"MAGGIORE","")</f>
        <v/>
      </c>
      <c r="J4999">
        <v>9</v>
      </c>
      <c r="K4999">
        <v>4654</v>
      </c>
      <c r="L4999">
        <v>405</v>
      </c>
    </row>
    <row r="5000" spans="1:12" x14ac:dyDescent="0.2">
      <c r="A5000"/>
      <c r="B5000"/>
      <c r="C5000"/>
      <c r="D5000"/>
      <c r="E5000" s="2">
        <f>Comuni__2[[#This Row],[Popolazione2011]]/$D$7911</f>
        <v>1.7754045284460782E-5</v>
      </c>
      <c r="F5000">
        <f>SUMIFS($D$2:$D$7909, $B$2:$B$7909, "Piemonte")</f>
        <v>4363916</v>
      </c>
      <c r="G5000" s="1">
        <f>Comuni__2[[#This Row],[Popolazione2011]]/Comuni__2[[#This Row],[POPOLAZIONE TOTALE DI OGNI REGIONE (CON FILTRO)]]</f>
        <v>2.4175534084524083E-4</v>
      </c>
      <c r="H5000" t="str">
        <f>IF(Comuni__2[[#This Row],[Popolazione2011]]&gt;300000,"MAGGIORE","")</f>
        <v/>
      </c>
      <c r="J5000">
        <v>8</v>
      </c>
      <c r="K5000">
        <v>2540</v>
      </c>
      <c r="L5000">
        <v>292</v>
      </c>
    </row>
    <row r="5001" spans="1:12" x14ac:dyDescent="0.2">
      <c r="A5001"/>
      <c r="B5001"/>
      <c r="C5001"/>
      <c r="D5001"/>
      <c r="E5001" s="2">
        <f>Comuni__2[[#This Row],[Popolazione2011]]/$D$7911</f>
        <v>1.7754045284460782E-5</v>
      </c>
      <c r="F5001">
        <f>SUMIFS($D$2:$D$7909, $B$2:$B$7909, "Piemonte")</f>
        <v>4363916</v>
      </c>
      <c r="G5001" s="1">
        <f>Comuni__2[[#This Row],[Popolazione2011]]/Comuni__2[[#This Row],[POPOLAZIONE TOTALE DI OGNI REGIONE (CON FILTRO)]]</f>
        <v>2.4175534084524083E-4</v>
      </c>
      <c r="H5001" t="str">
        <f>IF(Comuni__2[[#This Row],[Popolazione2011]]&gt;300000,"MAGGIORE","")</f>
        <v/>
      </c>
      <c r="J5001">
        <v>11</v>
      </c>
      <c r="K5001">
        <v>4657</v>
      </c>
      <c r="L5001">
        <v>405</v>
      </c>
    </row>
    <row r="5002" spans="1:12" x14ac:dyDescent="0.2">
      <c r="A5002"/>
      <c r="B5002"/>
      <c r="C5002"/>
      <c r="D5002"/>
      <c r="E5002" s="2">
        <f>Comuni__2[[#This Row],[Popolazione2011]]/$D$7911</f>
        <v>1.7636245931862466E-5</v>
      </c>
      <c r="F5002">
        <f>SUMIFS($D$2:$D$7909, $B$2:$B$7909, "Piemonte")</f>
        <v>4363916</v>
      </c>
      <c r="G5002" s="1">
        <f>Comuni__2[[#This Row],[Popolazione2011]]/Comuni__2[[#This Row],[POPOLAZIONE TOTALE DI OGNI REGIONE (CON FILTRO)]]</f>
        <v>2.4015127697233401E-4</v>
      </c>
      <c r="H5002" t="str">
        <f>IF(Comuni__2[[#This Row],[Popolazione2011]]&gt;300000,"MAGGIORE","")</f>
        <v/>
      </c>
      <c r="J5002">
        <v>16</v>
      </c>
      <c r="K5002">
        <v>2544</v>
      </c>
      <c r="L5002">
        <v>292</v>
      </c>
    </row>
    <row r="5003" spans="1:12" x14ac:dyDescent="0.2">
      <c r="A5003"/>
      <c r="B5003"/>
      <c r="C5003"/>
      <c r="D5003"/>
      <c r="E5003" s="2">
        <f>Comuni__2[[#This Row],[Popolazione2011]]/$D$7911</f>
        <v>1.7568932016091998E-5</v>
      </c>
      <c r="F5003">
        <f>SUMIFS($D$2:$D$7909, $B$2:$B$7909, "Piemonte")</f>
        <v>4363916</v>
      </c>
      <c r="G5003" s="1">
        <f>Comuni__2[[#This Row],[Popolazione2011]]/Comuni__2[[#This Row],[POPOLAZIONE TOTALE DI OGNI REGIONE (CON FILTRO)]]</f>
        <v>2.3923466904495871E-4</v>
      </c>
      <c r="H5003" t="str">
        <f>IF(Comuni__2[[#This Row],[Popolazione2011]]&gt;300000,"MAGGIORE","")</f>
        <v/>
      </c>
      <c r="J5003">
        <v>9</v>
      </c>
      <c r="K5003">
        <v>4662</v>
      </c>
      <c r="L5003">
        <v>405</v>
      </c>
    </row>
    <row r="5004" spans="1:12" x14ac:dyDescent="0.2">
      <c r="A5004"/>
      <c r="B5004"/>
      <c r="C5004"/>
      <c r="D5004"/>
      <c r="E5004" s="2">
        <f>Comuni__2[[#This Row],[Popolazione2011]]/$D$7911</f>
        <v>1.750161810032153E-5</v>
      </c>
      <c r="F5004">
        <f>SUMIFS($D$2:$D$7909, $B$2:$B$7909, "Piemonte")</f>
        <v>4363916</v>
      </c>
      <c r="G5004" s="1">
        <f>Comuni__2[[#This Row],[Popolazione2011]]/Comuni__2[[#This Row],[POPOLAZIONE TOTALE DI OGNI REGIONE (CON FILTRO)]]</f>
        <v>2.3831806111758338E-4</v>
      </c>
      <c r="H5004" t="str">
        <f>IF(Comuni__2[[#This Row],[Popolazione2011]]&gt;300000,"MAGGIORE","")</f>
        <v/>
      </c>
      <c r="J5004">
        <v>19</v>
      </c>
      <c r="K5004">
        <v>2553</v>
      </c>
      <c r="L5004">
        <v>292</v>
      </c>
    </row>
    <row r="5005" spans="1:12" x14ac:dyDescent="0.2">
      <c r="A5005"/>
      <c r="B5005"/>
      <c r="C5005"/>
      <c r="D5005"/>
      <c r="E5005" s="2">
        <f>Comuni__2[[#This Row],[Popolazione2011]]/$D$7911</f>
        <v>1.750161810032153E-5</v>
      </c>
      <c r="F5005">
        <f>SUMIFS($D$2:$D$7909, $B$2:$B$7909, "Piemonte")</f>
        <v>4363916</v>
      </c>
      <c r="G5005" s="1">
        <f>Comuni__2[[#This Row],[Popolazione2011]]/Comuni__2[[#This Row],[POPOLAZIONE TOTALE DI OGNI REGIONE (CON FILTRO)]]</f>
        <v>2.3831806111758338E-4</v>
      </c>
      <c r="H5005" t="str">
        <f>IF(Comuni__2[[#This Row],[Popolazione2011]]&gt;300000,"MAGGIORE","")</f>
        <v/>
      </c>
      <c r="J5005">
        <v>13</v>
      </c>
      <c r="K5005">
        <v>4667</v>
      </c>
      <c r="L5005">
        <v>405</v>
      </c>
    </row>
    <row r="5006" spans="1:12" x14ac:dyDescent="0.2">
      <c r="A5006"/>
      <c r="B5006"/>
      <c r="C5006"/>
      <c r="D5006"/>
      <c r="E5006" s="2">
        <f>Comuni__2[[#This Row],[Popolazione2011]]/$D$7911</f>
        <v>1.7484789621378914E-5</v>
      </c>
      <c r="F5006">
        <f>SUMIFS($D$2:$D$7909, $B$2:$B$7909, "Piemonte")</f>
        <v>4363916</v>
      </c>
      <c r="G5006" s="1">
        <f>Comuni__2[[#This Row],[Popolazione2011]]/Comuni__2[[#This Row],[POPOLAZIONE TOTALE DI OGNI REGIONE (CON FILTRO)]]</f>
        <v>2.3808890913573955E-4</v>
      </c>
      <c r="H5006" t="str">
        <f>IF(Comuni__2[[#This Row],[Popolazione2011]]&gt;300000,"MAGGIORE","")</f>
        <v/>
      </c>
      <c r="J5006">
        <v>17</v>
      </c>
      <c r="K5006">
        <v>2565</v>
      </c>
      <c r="L5006">
        <v>292</v>
      </c>
    </row>
    <row r="5007" spans="1:12" x14ac:dyDescent="0.2">
      <c r="A5007"/>
      <c r="B5007"/>
      <c r="C5007"/>
      <c r="D5007"/>
      <c r="E5007" s="2">
        <f>Comuni__2[[#This Row],[Popolazione2011]]/$D$7911</f>
        <v>1.7467961142436298E-5</v>
      </c>
      <c r="F5007">
        <f>SUMIFS($D$2:$D$7909, $B$2:$B$7909, "Piemonte")</f>
        <v>4363916</v>
      </c>
      <c r="G5007" s="1">
        <f>Comuni__2[[#This Row],[Popolazione2011]]/Comuni__2[[#This Row],[POPOLAZIONE TOTALE DI OGNI REGIONE (CON FILTRO)]]</f>
        <v>2.3785975715389572E-4</v>
      </c>
      <c r="H5007" t="str">
        <f>IF(Comuni__2[[#This Row],[Popolazione2011]]&gt;300000,"MAGGIORE","")</f>
        <v/>
      </c>
      <c r="J5007">
        <v>11</v>
      </c>
      <c r="K5007">
        <v>4673</v>
      </c>
      <c r="L5007">
        <v>405</v>
      </c>
    </row>
    <row r="5008" spans="1:12" x14ac:dyDescent="0.2">
      <c r="A5008"/>
      <c r="B5008"/>
      <c r="C5008"/>
      <c r="D5008"/>
      <c r="E5008" s="2">
        <f>Comuni__2[[#This Row],[Popolazione2011]]/$D$7911</f>
        <v>1.7467961142436298E-5</v>
      </c>
      <c r="F5008">
        <f>SUMIFS($D$2:$D$7909, $B$2:$B$7909, "Piemonte")</f>
        <v>4363916</v>
      </c>
      <c r="G5008" s="1">
        <f>Comuni__2[[#This Row],[Popolazione2011]]/Comuni__2[[#This Row],[POPOLAZIONE TOTALE DI OGNI REGIONE (CON FILTRO)]]</f>
        <v>2.3785975715389572E-4</v>
      </c>
      <c r="H5008" t="str">
        <f>IF(Comuni__2[[#This Row],[Popolazione2011]]&gt;300000,"MAGGIORE","")</f>
        <v/>
      </c>
      <c r="J5008">
        <v>17</v>
      </c>
      <c r="K5008">
        <v>2578</v>
      </c>
      <c r="L5008">
        <v>292</v>
      </c>
    </row>
    <row r="5009" spans="1:12" x14ac:dyDescent="0.2">
      <c r="A5009"/>
      <c r="B5009"/>
      <c r="C5009"/>
      <c r="D5009"/>
      <c r="E5009" s="2">
        <f>Comuni__2[[#This Row],[Popolazione2011]]/$D$7911</f>
        <v>1.7417475705608446E-5</v>
      </c>
      <c r="F5009">
        <f>SUMIFS($D$2:$D$7909, $B$2:$B$7909, "Piemonte")</f>
        <v>4363916</v>
      </c>
      <c r="G5009" s="1">
        <f>Comuni__2[[#This Row],[Popolazione2011]]/Comuni__2[[#This Row],[POPOLAZIONE TOTALE DI OGNI REGIONE (CON FILTRO)]]</f>
        <v>2.3717230120836423E-4</v>
      </c>
      <c r="H5009" t="str">
        <f>IF(Comuni__2[[#This Row],[Popolazione2011]]&gt;300000,"MAGGIORE","")</f>
        <v/>
      </c>
      <c r="J5009">
        <v>12</v>
      </c>
      <c r="K5009">
        <v>4704</v>
      </c>
      <c r="L5009">
        <v>405</v>
      </c>
    </row>
    <row r="5010" spans="1:12" x14ac:dyDescent="0.2">
      <c r="A5010"/>
      <c r="B5010"/>
      <c r="C5010"/>
      <c r="D5010"/>
      <c r="E5010" s="2">
        <f>Comuni__2[[#This Row],[Popolazione2011]]/$D$7911</f>
        <v>1.7333333310895362E-5</v>
      </c>
      <c r="F5010">
        <f>SUMIFS($D$2:$D$7909, $B$2:$B$7909, "Piemonte")</f>
        <v>4363916</v>
      </c>
      <c r="G5010" s="1">
        <f>Comuni__2[[#This Row],[Popolazione2011]]/Comuni__2[[#This Row],[POPOLAZIONE TOTALE DI OGNI REGIONE (CON FILTRO)]]</f>
        <v>2.3602654129914507E-4</v>
      </c>
      <c r="H5010" t="str">
        <f>IF(Comuni__2[[#This Row],[Popolazione2011]]&gt;300000,"MAGGIORE","")</f>
        <v/>
      </c>
      <c r="J5010">
        <v>17</v>
      </c>
      <c r="K5010">
        <v>2584</v>
      </c>
      <c r="L5010">
        <v>292</v>
      </c>
    </row>
    <row r="5011" spans="1:12" x14ac:dyDescent="0.2">
      <c r="A5011"/>
      <c r="B5011"/>
      <c r="C5011"/>
      <c r="D5011"/>
      <c r="E5011" s="2">
        <f>Comuni__2[[#This Row],[Popolazione2011]]/$D$7911</f>
        <v>1.7333333310895362E-5</v>
      </c>
      <c r="F5011">
        <f>SUMIFS($D$2:$D$7909, $B$2:$B$7909, "Piemonte")</f>
        <v>4363916</v>
      </c>
      <c r="G5011" s="1">
        <f>Comuni__2[[#This Row],[Popolazione2011]]/Comuni__2[[#This Row],[POPOLAZIONE TOTALE DI OGNI REGIONE (CON FILTRO)]]</f>
        <v>2.3602654129914507E-4</v>
      </c>
      <c r="H5011" t="str">
        <f>IF(Comuni__2[[#This Row],[Popolazione2011]]&gt;300000,"MAGGIORE","")</f>
        <v/>
      </c>
      <c r="J5011">
        <v>10</v>
      </c>
      <c r="K5011">
        <v>4750</v>
      </c>
      <c r="L5011">
        <v>405</v>
      </c>
    </row>
    <row r="5012" spans="1:12" x14ac:dyDescent="0.2">
      <c r="A5012"/>
      <c r="B5012"/>
      <c r="C5012"/>
      <c r="D5012"/>
      <c r="E5012" s="2">
        <f>Comuni__2[[#This Row],[Popolazione2011]]/$D$7911</f>
        <v>1.7299676353010126E-5</v>
      </c>
      <c r="F5012">
        <f>SUMIFS($D$2:$D$7909, $B$2:$B$7909, "Piemonte")</f>
        <v>4363916</v>
      </c>
      <c r="G5012" s="1">
        <f>Comuni__2[[#This Row],[Popolazione2011]]/Comuni__2[[#This Row],[POPOLAZIONE TOTALE DI OGNI REGIONE (CON FILTRO)]]</f>
        <v>2.3556823733545743E-4</v>
      </c>
      <c r="H5012" t="str">
        <f>IF(Comuni__2[[#This Row],[Popolazione2011]]&gt;300000,"MAGGIORE","")</f>
        <v/>
      </c>
      <c r="J5012">
        <v>17</v>
      </c>
      <c r="K5012">
        <v>2587</v>
      </c>
      <c r="L5012">
        <v>292</v>
      </c>
    </row>
    <row r="5013" spans="1:12" x14ac:dyDescent="0.2">
      <c r="A5013"/>
      <c r="B5013"/>
      <c r="C5013"/>
      <c r="D5013"/>
      <c r="E5013" s="2">
        <f>Comuni__2[[#This Row],[Popolazione2011]]/$D$7911</f>
        <v>1.728284787406751E-5</v>
      </c>
      <c r="F5013">
        <f>SUMIFS($D$2:$D$7909, $B$2:$B$7909, "Piemonte")</f>
        <v>4363916</v>
      </c>
      <c r="G5013" s="1">
        <f>Comuni__2[[#This Row],[Popolazione2011]]/Comuni__2[[#This Row],[POPOLAZIONE TOTALE DI OGNI REGIONE (CON FILTRO)]]</f>
        <v>2.353390853536136E-4</v>
      </c>
      <c r="H5013" t="str">
        <f>IF(Comuni__2[[#This Row],[Popolazione2011]]&gt;300000,"MAGGIORE","")</f>
        <v/>
      </c>
      <c r="J5013">
        <v>13</v>
      </c>
      <c r="K5013">
        <v>4772</v>
      </c>
      <c r="L5013">
        <v>405</v>
      </c>
    </row>
    <row r="5014" spans="1:12" x14ac:dyDescent="0.2">
      <c r="A5014"/>
      <c r="B5014"/>
      <c r="C5014"/>
      <c r="D5014"/>
      <c r="E5014" s="2">
        <f>Comuni__2[[#This Row],[Popolazione2011]]/$D$7911</f>
        <v>1.7266019395124894E-5</v>
      </c>
      <c r="F5014">
        <f>SUMIFS($D$2:$D$7909, $B$2:$B$7909, "Piemonte")</f>
        <v>4363916</v>
      </c>
      <c r="G5014" s="1">
        <f>Comuni__2[[#This Row],[Popolazione2011]]/Comuni__2[[#This Row],[POPOLAZIONE TOTALE DI OGNI REGIONE (CON FILTRO)]]</f>
        <v>2.3510993337176977E-4</v>
      </c>
      <c r="H5014" t="str">
        <f>IF(Comuni__2[[#This Row],[Popolazione2011]]&gt;300000,"MAGGIORE","")</f>
        <v/>
      </c>
      <c r="J5014">
        <v>17</v>
      </c>
      <c r="K5014">
        <v>2589</v>
      </c>
      <c r="L5014">
        <v>292</v>
      </c>
    </row>
    <row r="5015" spans="1:12" x14ac:dyDescent="0.2">
      <c r="A5015"/>
      <c r="B5015"/>
      <c r="C5015"/>
      <c r="D5015"/>
      <c r="E5015" s="2">
        <f>Comuni__2[[#This Row],[Popolazione2011]]/$D$7911</f>
        <v>1.7249190916182278E-5</v>
      </c>
      <c r="F5015">
        <f>SUMIFS($D$2:$D$7909, $B$2:$B$7909, "Piemonte")</f>
        <v>4363916</v>
      </c>
      <c r="G5015" s="1">
        <f>Comuni__2[[#This Row],[Popolazione2011]]/Comuni__2[[#This Row],[POPOLAZIONE TOTALE DI OGNI REGIONE (CON FILTRO)]]</f>
        <v>2.3488078138992594E-4</v>
      </c>
      <c r="H5015" t="str">
        <f>IF(Comuni__2[[#This Row],[Popolazione2011]]&gt;300000,"MAGGIORE","")</f>
        <v/>
      </c>
      <c r="J5015">
        <v>13</v>
      </c>
      <c r="K5015">
        <v>4773</v>
      </c>
      <c r="L5015">
        <v>405</v>
      </c>
    </row>
    <row r="5016" spans="1:12" x14ac:dyDescent="0.2">
      <c r="A5016"/>
      <c r="B5016"/>
      <c r="C5016"/>
      <c r="D5016"/>
      <c r="E5016" s="2">
        <f>Comuni__2[[#This Row],[Popolazione2011]]/$D$7911</f>
        <v>1.7215533958297042E-5</v>
      </c>
      <c r="F5016">
        <f>SUMIFS($D$2:$D$7909, $B$2:$B$7909, "Piemonte")</f>
        <v>4363916</v>
      </c>
      <c r="G5016" s="1">
        <f>Comuni__2[[#This Row],[Popolazione2011]]/Comuni__2[[#This Row],[POPOLAZIONE TOTALE DI OGNI REGIONE (CON FILTRO)]]</f>
        <v>2.3442247742623827E-4</v>
      </c>
      <c r="H5016" t="str">
        <f>IF(Comuni__2[[#This Row],[Popolazione2011]]&gt;300000,"MAGGIORE","")</f>
        <v/>
      </c>
      <c r="J5016">
        <v>21</v>
      </c>
      <c r="K5016">
        <v>2589</v>
      </c>
      <c r="L5016">
        <v>292</v>
      </c>
    </row>
    <row r="5017" spans="1:12" x14ac:dyDescent="0.2">
      <c r="A5017"/>
      <c r="B5017"/>
      <c r="C5017"/>
      <c r="D5017"/>
      <c r="E5017" s="2">
        <f>Comuni__2[[#This Row],[Popolazione2011]]/$D$7911</f>
        <v>1.7215533958297042E-5</v>
      </c>
      <c r="F5017">
        <f>SUMIFS($D$2:$D$7909, $B$2:$B$7909, "Piemonte")</f>
        <v>4363916</v>
      </c>
      <c r="G5017" s="1">
        <f>Comuni__2[[#This Row],[Popolazione2011]]/Comuni__2[[#This Row],[POPOLAZIONE TOTALE DI OGNI REGIONE (CON FILTRO)]]</f>
        <v>2.3442247742623827E-4</v>
      </c>
      <c r="H5017" t="str">
        <f>IF(Comuni__2[[#This Row],[Popolazione2011]]&gt;300000,"MAGGIORE","")</f>
        <v/>
      </c>
      <c r="J5017">
        <v>13</v>
      </c>
      <c r="K5017">
        <v>4808</v>
      </c>
      <c r="L5017">
        <v>405</v>
      </c>
    </row>
    <row r="5018" spans="1:12" x14ac:dyDescent="0.2">
      <c r="A5018"/>
      <c r="B5018"/>
      <c r="C5018"/>
      <c r="D5018"/>
      <c r="E5018" s="2">
        <f>Comuni__2[[#This Row],[Popolazione2011]]/$D$7911</f>
        <v>1.708090612675611E-5</v>
      </c>
      <c r="F5018">
        <f>SUMIFS($D$2:$D$7909, $B$2:$B$7909, "Piemonte")</f>
        <v>4363916</v>
      </c>
      <c r="G5018" s="1">
        <f>Comuni__2[[#This Row],[Popolazione2011]]/Comuni__2[[#This Row],[POPOLAZIONE TOTALE DI OGNI REGIONE (CON FILTRO)]]</f>
        <v>2.3258926157148762E-4</v>
      </c>
      <c r="H5018" t="str">
        <f>IF(Comuni__2[[#This Row],[Popolazione2011]]&gt;300000,"MAGGIORE","")</f>
        <v/>
      </c>
      <c r="J5018">
        <v>21</v>
      </c>
      <c r="K5018">
        <v>2598</v>
      </c>
      <c r="L5018">
        <v>292</v>
      </c>
    </row>
    <row r="5019" spans="1:12" x14ac:dyDescent="0.2">
      <c r="A5019"/>
      <c r="B5019"/>
      <c r="C5019"/>
      <c r="D5019"/>
      <c r="E5019" s="2">
        <f>Comuni__2[[#This Row],[Popolazione2011]]/$D$7911</f>
        <v>1.708090612675611E-5</v>
      </c>
      <c r="F5019">
        <f>SUMIFS($D$2:$D$7909, $B$2:$B$7909, "Piemonte")</f>
        <v>4363916</v>
      </c>
      <c r="G5019" s="1">
        <f>Comuni__2[[#This Row],[Popolazione2011]]/Comuni__2[[#This Row],[POPOLAZIONE TOTALE DI OGNI REGIONE (CON FILTRO)]]</f>
        <v>2.3258926157148762E-4</v>
      </c>
      <c r="H5019" t="str">
        <f>IF(Comuni__2[[#This Row],[Popolazione2011]]&gt;300000,"MAGGIORE","")</f>
        <v/>
      </c>
      <c r="J5019">
        <v>13</v>
      </c>
      <c r="K5019">
        <v>4818</v>
      </c>
      <c r="L5019">
        <v>405</v>
      </c>
    </row>
    <row r="5020" spans="1:12" x14ac:dyDescent="0.2">
      <c r="A5020"/>
      <c r="B5020"/>
      <c r="C5020"/>
      <c r="D5020"/>
      <c r="E5020" s="2">
        <f>Comuni__2[[#This Row],[Popolazione2011]]/$D$7911</f>
        <v>1.708090612675611E-5</v>
      </c>
      <c r="F5020">
        <f>SUMIFS($D$2:$D$7909, $B$2:$B$7909, "Piemonte")</f>
        <v>4363916</v>
      </c>
      <c r="G5020" s="1">
        <f>Comuni__2[[#This Row],[Popolazione2011]]/Comuni__2[[#This Row],[POPOLAZIONE TOTALE DI OGNI REGIONE (CON FILTRO)]]</f>
        <v>2.3258926157148762E-4</v>
      </c>
      <c r="H5020" t="str">
        <f>IF(Comuni__2[[#This Row],[Popolazione2011]]&gt;300000,"MAGGIORE","")</f>
        <v/>
      </c>
      <c r="J5020">
        <v>21</v>
      </c>
      <c r="K5020">
        <v>2609</v>
      </c>
      <c r="L5020">
        <v>292</v>
      </c>
    </row>
    <row r="5021" spans="1:12" x14ac:dyDescent="0.2">
      <c r="A5021"/>
      <c r="B5021"/>
      <c r="C5021"/>
      <c r="D5021"/>
      <c r="E5021" s="2">
        <f>Comuni__2[[#This Row],[Popolazione2011]]/$D$7911</f>
        <v>1.708090612675611E-5</v>
      </c>
      <c r="F5021">
        <f>SUMIFS($D$2:$D$7909, $B$2:$B$7909, "Piemonte")</f>
        <v>4363916</v>
      </c>
      <c r="G5021" s="1">
        <f>Comuni__2[[#This Row],[Popolazione2011]]/Comuni__2[[#This Row],[POPOLAZIONE TOTALE DI OGNI REGIONE (CON FILTRO)]]</f>
        <v>2.3258926157148762E-4</v>
      </c>
      <c r="H5021" t="str">
        <f>IF(Comuni__2[[#This Row],[Popolazione2011]]&gt;300000,"MAGGIORE","")</f>
        <v/>
      </c>
      <c r="J5021">
        <v>14</v>
      </c>
      <c r="K5021">
        <v>4852</v>
      </c>
      <c r="L5021">
        <v>405</v>
      </c>
    </row>
    <row r="5022" spans="1:12" x14ac:dyDescent="0.2">
      <c r="A5022"/>
      <c r="B5022"/>
      <c r="C5022"/>
      <c r="D5022"/>
      <c r="E5022" s="2">
        <f>Comuni__2[[#This Row],[Popolazione2011]]/$D$7911</f>
        <v>1.7030420689928258E-5</v>
      </c>
      <c r="F5022">
        <f>SUMIFS($D$2:$D$7909, $B$2:$B$7909, "Piemonte")</f>
        <v>4363916</v>
      </c>
      <c r="G5022" s="1">
        <f>Comuni__2[[#This Row],[Popolazione2011]]/Comuni__2[[#This Row],[POPOLAZIONE TOTALE DI OGNI REGIONE (CON FILTRO)]]</f>
        <v>2.3190180562595612E-4</v>
      </c>
      <c r="H5022" t="str">
        <f>IF(Comuni__2[[#This Row],[Popolazione2011]]&gt;300000,"MAGGIORE","")</f>
        <v/>
      </c>
      <c r="J5022">
        <v>21</v>
      </c>
      <c r="K5022">
        <v>2632</v>
      </c>
      <c r="L5022">
        <v>292</v>
      </c>
    </row>
    <row r="5023" spans="1:12" x14ac:dyDescent="0.2">
      <c r="A5023"/>
      <c r="B5023"/>
      <c r="C5023"/>
      <c r="D5023"/>
      <c r="E5023" s="2">
        <f>Comuni__2[[#This Row],[Popolazione2011]]/$D$7911</f>
        <v>1.6946278295215174E-5</v>
      </c>
      <c r="F5023">
        <f>SUMIFS($D$2:$D$7909, $B$2:$B$7909, "Piemonte")</f>
        <v>4363916</v>
      </c>
      <c r="G5023" s="1">
        <f>Comuni__2[[#This Row],[Popolazione2011]]/Comuni__2[[#This Row],[POPOLAZIONE TOTALE DI OGNI REGIONE (CON FILTRO)]]</f>
        <v>2.3075604571673699E-4</v>
      </c>
      <c r="H5023" t="str">
        <f>IF(Comuni__2[[#This Row],[Popolazione2011]]&gt;300000,"MAGGIORE","")</f>
        <v/>
      </c>
      <c r="J5023">
        <v>13</v>
      </c>
      <c r="K5023">
        <v>4876</v>
      </c>
      <c r="L5023">
        <v>405</v>
      </c>
    </row>
    <row r="5024" spans="1:12" x14ac:dyDescent="0.2">
      <c r="A5024"/>
      <c r="B5024"/>
      <c r="C5024"/>
      <c r="D5024"/>
      <c r="E5024" s="2">
        <f>Comuni__2[[#This Row],[Popolazione2011]]/$D$7911</f>
        <v>1.6946278295215174E-5</v>
      </c>
      <c r="F5024">
        <f>SUMIFS($D$2:$D$7909, $B$2:$B$7909, "Piemonte")</f>
        <v>4363916</v>
      </c>
      <c r="G5024" s="1">
        <f>Comuni__2[[#This Row],[Popolazione2011]]/Comuni__2[[#This Row],[POPOLAZIONE TOTALE DI OGNI REGIONE (CON FILTRO)]]</f>
        <v>2.3075604571673699E-4</v>
      </c>
      <c r="H5024" t="str">
        <f>IF(Comuni__2[[#This Row],[Popolazione2011]]&gt;300000,"MAGGIORE","")</f>
        <v/>
      </c>
      <c r="J5024">
        <v>26</v>
      </c>
      <c r="K5024">
        <v>2635</v>
      </c>
      <c r="L5024">
        <v>292</v>
      </c>
    </row>
    <row r="5025" spans="1:12" x14ac:dyDescent="0.2">
      <c r="A5025"/>
      <c r="B5025"/>
      <c r="C5025"/>
      <c r="D5025"/>
      <c r="E5025" s="2">
        <f>Comuni__2[[#This Row],[Popolazione2011]]/$D$7911</f>
        <v>1.6929449816272558E-5</v>
      </c>
      <c r="F5025">
        <f>SUMIFS($D$2:$D$7909, $B$2:$B$7909, "Piemonte")</f>
        <v>4363916</v>
      </c>
      <c r="G5025" s="1">
        <f>Comuni__2[[#This Row],[Popolazione2011]]/Comuni__2[[#This Row],[POPOLAZIONE TOTALE DI OGNI REGIONE (CON FILTRO)]]</f>
        <v>2.3052689373489316E-4</v>
      </c>
      <c r="H5025" t="str">
        <f>IF(Comuni__2[[#This Row],[Popolazione2011]]&gt;300000,"MAGGIORE","")</f>
        <v/>
      </c>
      <c r="J5025">
        <v>14</v>
      </c>
      <c r="K5025">
        <v>4912</v>
      </c>
      <c r="L5025">
        <v>405</v>
      </c>
    </row>
    <row r="5026" spans="1:12" x14ac:dyDescent="0.2">
      <c r="A5026"/>
      <c r="B5026"/>
      <c r="C5026"/>
      <c r="D5026"/>
      <c r="E5026" s="2">
        <f>Comuni__2[[#This Row],[Popolazione2011]]/$D$7911</f>
        <v>1.6895792858387322E-5</v>
      </c>
      <c r="F5026">
        <f>SUMIFS($D$2:$D$7909, $B$2:$B$7909, "Piemonte")</f>
        <v>4363916</v>
      </c>
      <c r="G5026" s="1">
        <f>Comuni__2[[#This Row],[Popolazione2011]]/Comuni__2[[#This Row],[POPOLAZIONE TOTALE DI OGNI REGIONE (CON FILTRO)]]</f>
        <v>2.300685897712055E-4</v>
      </c>
      <c r="H5026" t="str">
        <f>IF(Comuni__2[[#This Row],[Popolazione2011]]&gt;300000,"MAGGIORE","")</f>
        <v/>
      </c>
      <c r="J5026">
        <v>26</v>
      </c>
      <c r="K5026">
        <v>2650</v>
      </c>
      <c r="L5026">
        <v>292</v>
      </c>
    </row>
    <row r="5027" spans="1:12" x14ac:dyDescent="0.2">
      <c r="A5027"/>
      <c r="B5027"/>
      <c r="C5027"/>
      <c r="D5027"/>
      <c r="E5027" s="2">
        <f>Comuni__2[[#This Row],[Popolazione2011]]/$D$7911</f>
        <v>1.6777993505789006E-5</v>
      </c>
      <c r="F5027">
        <f>SUMIFS($D$2:$D$7909, $B$2:$B$7909, "Piemonte")</f>
        <v>4363916</v>
      </c>
      <c r="G5027" s="1">
        <f>Comuni__2[[#This Row],[Popolazione2011]]/Comuni__2[[#This Row],[POPOLAZIONE TOTALE DI OGNI REGIONE (CON FILTRO)]]</f>
        <v>2.2846452589829868E-4</v>
      </c>
      <c r="H5027" t="str">
        <f>IF(Comuni__2[[#This Row],[Popolazione2011]]&gt;300000,"MAGGIORE","")</f>
        <v/>
      </c>
      <c r="J5027">
        <v>12</v>
      </c>
      <c r="K5027">
        <v>4919</v>
      </c>
      <c r="L5027">
        <v>405</v>
      </c>
    </row>
    <row r="5028" spans="1:12" x14ac:dyDescent="0.2">
      <c r="A5028"/>
      <c r="B5028"/>
      <c r="C5028"/>
      <c r="D5028"/>
      <c r="E5028" s="2">
        <f>Comuni__2[[#This Row],[Popolazione2011]]/$D$7911</f>
        <v>1.674433654790377E-5</v>
      </c>
      <c r="F5028">
        <f>SUMIFS($D$2:$D$7909, $B$2:$B$7909, "Piemonte")</f>
        <v>4363916</v>
      </c>
      <c r="G5028" s="1">
        <f>Comuni__2[[#This Row],[Popolazione2011]]/Comuni__2[[#This Row],[POPOLAZIONE TOTALE DI OGNI REGIONE (CON FILTRO)]]</f>
        <v>2.2800622193461101E-4</v>
      </c>
      <c r="H5028" t="str">
        <f>IF(Comuni__2[[#This Row],[Popolazione2011]]&gt;300000,"MAGGIORE","")</f>
        <v/>
      </c>
      <c r="J5028">
        <v>26</v>
      </c>
      <c r="K5028">
        <v>2662</v>
      </c>
      <c r="L5028">
        <v>292</v>
      </c>
    </row>
    <row r="5029" spans="1:12" x14ac:dyDescent="0.2">
      <c r="A5029"/>
      <c r="B5029"/>
      <c r="C5029"/>
      <c r="D5029"/>
      <c r="E5029" s="2">
        <f>Comuni__2[[#This Row],[Popolazione2011]]/$D$7911</f>
        <v>1.6677022632133306E-5</v>
      </c>
      <c r="F5029">
        <f>SUMIFS($D$2:$D$7909, $B$2:$B$7909, "Piemonte")</f>
        <v>4363916</v>
      </c>
      <c r="G5029" s="1">
        <f>Comuni__2[[#This Row],[Popolazione2011]]/Comuni__2[[#This Row],[POPOLAZIONE TOTALE DI OGNI REGIONE (CON FILTRO)]]</f>
        <v>2.2708961400723571E-4</v>
      </c>
      <c r="H5029" t="str">
        <f>IF(Comuni__2[[#This Row],[Popolazione2011]]&gt;300000,"MAGGIORE","")</f>
        <v/>
      </c>
      <c r="J5029">
        <v>11</v>
      </c>
      <c r="K5029">
        <v>4921</v>
      </c>
      <c r="L5029">
        <v>406</v>
      </c>
    </row>
    <row r="5030" spans="1:12" x14ac:dyDescent="0.2">
      <c r="A5030"/>
      <c r="B5030"/>
      <c r="C5030"/>
      <c r="D5030"/>
      <c r="E5030" s="2">
        <f>Comuni__2[[#This Row],[Popolazione2011]]/$D$7911</f>
        <v>1.6592880237420218E-5</v>
      </c>
      <c r="F5030">
        <f>SUMIFS($D$2:$D$7909, $B$2:$B$7909, "Piemonte")</f>
        <v>4363916</v>
      </c>
      <c r="G5030" s="1">
        <f>Comuni__2[[#This Row],[Popolazione2011]]/Comuni__2[[#This Row],[POPOLAZIONE TOTALE DI OGNI REGIONE (CON FILTRO)]]</f>
        <v>2.2594385409801656E-4</v>
      </c>
      <c r="H5030" t="str">
        <f>IF(Comuni__2[[#This Row],[Popolazione2011]]&gt;300000,"MAGGIORE","")</f>
        <v/>
      </c>
      <c r="J5030">
        <v>28</v>
      </c>
      <c r="K5030">
        <v>2664</v>
      </c>
      <c r="L5030">
        <v>292</v>
      </c>
    </row>
    <row r="5031" spans="1:12" x14ac:dyDescent="0.2">
      <c r="A5031"/>
      <c r="B5031"/>
      <c r="C5031"/>
      <c r="D5031"/>
      <c r="E5031" s="2">
        <f>Comuni__2[[#This Row],[Popolazione2011]]/$D$7911</f>
        <v>1.6475080884821902E-5</v>
      </c>
      <c r="F5031">
        <f>SUMIFS($D$2:$D$7909, $B$2:$B$7909, "Piemonte")</f>
        <v>4363916</v>
      </c>
      <c r="G5031" s="1">
        <f>Comuni__2[[#This Row],[Popolazione2011]]/Comuni__2[[#This Row],[POPOLAZIONE TOTALE DI OGNI REGIONE (CON FILTRO)]]</f>
        <v>2.2433979022510973E-4</v>
      </c>
      <c r="H5031" t="str">
        <f>IF(Comuni__2[[#This Row],[Popolazione2011]]&gt;300000,"MAGGIORE","")</f>
        <v/>
      </c>
      <c r="J5031">
        <v>11</v>
      </c>
      <c r="K5031">
        <v>4962</v>
      </c>
      <c r="L5031">
        <v>406</v>
      </c>
    </row>
    <row r="5032" spans="1:12" x14ac:dyDescent="0.2">
      <c r="A5032"/>
      <c r="B5032"/>
      <c r="C5032"/>
      <c r="D5032"/>
      <c r="E5032" s="2">
        <f>Comuni__2[[#This Row],[Popolazione2011]]/$D$7911</f>
        <v>1.6441423926936666E-5</v>
      </c>
      <c r="F5032">
        <f>SUMIFS($D$2:$D$7909, $B$2:$B$7909, "Piemonte")</f>
        <v>4363916</v>
      </c>
      <c r="G5032" s="1">
        <f>Comuni__2[[#This Row],[Popolazione2011]]/Comuni__2[[#This Row],[POPOLAZIONE TOTALE DI OGNI REGIONE (CON FILTRO)]]</f>
        <v>2.2388148626142207E-4</v>
      </c>
      <c r="H5032" t="str">
        <f>IF(Comuni__2[[#This Row],[Popolazione2011]]&gt;300000,"MAGGIORE","")</f>
        <v/>
      </c>
      <c r="J5032">
        <v>28</v>
      </c>
      <c r="K5032">
        <v>2686</v>
      </c>
      <c r="L5032">
        <v>292</v>
      </c>
    </row>
    <row r="5033" spans="1:12" x14ac:dyDescent="0.2">
      <c r="A5033"/>
      <c r="B5033"/>
      <c r="C5033"/>
      <c r="D5033"/>
      <c r="E5033" s="2">
        <f>Comuni__2[[#This Row],[Popolazione2011]]/$D$7911</f>
        <v>1.6374110011166202E-5</v>
      </c>
      <c r="F5033">
        <f>SUMIFS($D$2:$D$7909, $B$2:$B$7909, "Piemonte")</f>
        <v>4363916</v>
      </c>
      <c r="G5033" s="1">
        <f>Comuni__2[[#This Row],[Popolazione2011]]/Comuni__2[[#This Row],[POPOLAZIONE TOTALE DI OGNI REGIONE (CON FILTRO)]]</f>
        <v>2.2296487833404677E-4</v>
      </c>
      <c r="H5033" t="str">
        <f>IF(Comuni__2[[#This Row],[Popolazione2011]]&gt;300000,"MAGGIORE","")</f>
        <v/>
      </c>
      <c r="J5033">
        <v>14</v>
      </c>
      <c r="K5033">
        <v>5019</v>
      </c>
      <c r="L5033">
        <v>406</v>
      </c>
    </row>
    <row r="5034" spans="1:12" x14ac:dyDescent="0.2">
      <c r="A5034"/>
      <c r="B5034"/>
      <c r="C5034"/>
      <c r="D5034"/>
      <c r="E5034" s="2">
        <f>Comuni__2[[#This Row],[Popolazione2011]]/$D$7911</f>
        <v>1.6256310658567882E-5</v>
      </c>
      <c r="F5034">
        <f>SUMIFS($D$2:$D$7909, $B$2:$B$7909, "Piemonte")</f>
        <v>4363916</v>
      </c>
      <c r="G5034" s="1">
        <f>Comuni__2[[#This Row],[Popolazione2011]]/Comuni__2[[#This Row],[POPOLAZIONE TOTALE DI OGNI REGIONE (CON FILTRO)]]</f>
        <v>2.2136081446113995E-4</v>
      </c>
      <c r="H5034" t="str">
        <f>IF(Comuni__2[[#This Row],[Popolazione2011]]&gt;300000,"MAGGIORE","")</f>
        <v/>
      </c>
      <c r="J5034">
        <v>28</v>
      </c>
      <c r="K5034">
        <v>2694</v>
      </c>
      <c r="L5034">
        <v>292</v>
      </c>
    </row>
    <row r="5035" spans="1:12" x14ac:dyDescent="0.2">
      <c r="A5035"/>
      <c r="B5035"/>
      <c r="C5035"/>
      <c r="D5035"/>
      <c r="E5035" s="2">
        <f>Comuni__2[[#This Row],[Popolazione2011]]/$D$7911</f>
        <v>1.6188996742797414E-5</v>
      </c>
      <c r="F5035">
        <f>SUMIFS($D$2:$D$7909, $B$2:$B$7909, "Piemonte")</f>
        <v>4363916</v>
      </c>
      <c r="G5035" s="1">
        <f>Comuni__2[[#This Row],[Popolazione2011]]/Comuni__2[[#This Row],[POPOLAZIONE TOTALE DI OGNI REGIONE (CON FILTRO)]]</f>
        <v>2.2044420653376462E-4</v>
      </c>
      <c r="H5035" t="str">
        <f>IF(Comuni__2[[#This Row],[Popolazione2011]]&gt;300000,"MAGGIORE","")</f>
        <v/>
      </c>
      <c r="J5035">
        <v>15</v>
      </c>
      <c r="K5035">
        <v>5040</v>
      </c>
      <c r="L5035">
        <v>406</v>
      </c>
    </row>
    <row r="5036" spans="1:12" x14ac:dyDescent="0.2">
      <c r="A5036"/>
      <c r="B5036"/>
      <c r="C5036"/>
      <c r="D5036"/>
      <c r="E5036" s="2">
        <f>Comuni__2[[#This Row],[Popolazione2011]]/$D$7911</f>
        <v>1.6155339784912182E-5</v>
      </c>
      <c r="F5036">
        <f>SUMIFS($D$2:$D$7909, $B$2:$B$7909, "Piemonte")</f>
        <v>4363916</v>
      </c>
      <c r="G5036" s="1">
        <f>Comuni__2[[#This Row],[Popolazione2011]]/Comuni__2[[#This Row],[POPOLAZIONE TOTALE DI OGNI REGIONE (CON FILTRO)]]</f>
        <v>2.1998590257007696E-4</v>
      </c>
      <c r="H5036" t="str">
        <f>IF(Comuni__2[[#This Row],[Popolazione2011]]&gt;300000,"MAGGIORE","")</f>
        <v/>
      </c>
      <c r="J5036">
        <v>28</v>
      </c>
      <c r="K5036">
        <v>2710</v>
      </c>
      <c r="L5036">
        <v>292</v>
      </c>
    </row>
    <row r="5037" spans="1:12" x14ac:dyDescent="0.2">
      <c r="A5037"/>
      <c r="B5037"/>
      <c r="C5037"/>
      <c r="D5037"/>
      <c r="E5037" s="2">
        <f>Comuni__2[[#This Row],[Popolazione2011]]/$D$7911</f>
        <v>1.6138511305969566E-5</v>
      </c>
      <c r="F5037">
        <f>SUMIFS($D$2:$D$7909, $B$2:$B$7909, "Piemonte")</f>
        <v>4363916</v>
      </c>
      <c r="G5037" s="1">
        <f>Comuni__2[[#This Row],[Popolazione2011]]/Comuni__2[[#This Row],[POPOLAZIONE TOTALE DI OGNI REGIONE (CON FILTRO)]]</f>
        <v>2.1975675058823313E-4</v>
      </c>
      <c r="H5037" t="str">
        <f>IF(Comuni__2[[#This Row],[Popolazione2011]]&gt;300000,"MAGGIORE","")</f>
        <v/>
      </c>
      <c r="J5037">
        <v>16</v>
      </c>
      <c r="K5037">
        <v>5086</v>
      </c>
      <c r="L5037">
        <v>406</v>
      </c>
    </row>
    <row r="5038" spans="1:12" x14ac:dyDescent="0.2">
      <c r="A5038"/>
      <c r="B5038"/>
      <c r="C5038"/>
      <c r="D5038"/>
      <c r="E5038" s="2">
        <f>Comuni__2[[#This Row],[Popolazione2011]]/$D$7911</f>
        <v>1.6071197390199098E-5</v>
      </c>
      <c r="F5038">
        <f>SUMIFS($D$2:$D$7909, $B$2:$B$7909, "Piemonte")</f>
        <v>4363916</v>
      </c>
      <c r="G5038" s="1">
        <f>Comuni__2[[#This Row],[Popolazione2011]]/Comuni__2[[#This Row],[POPOLAZIONE TOTALE DI OGNI REGIONE (CON FILTRO)]]</f>
        <v>2.1884014266085783E-4</v>
      </c>
      <c r="H5038" t="str">
        <f>IF(Comuni__2[[#This Row],[Popolazione2011]]&gt;300000,"MAGGIORE","")</f>
        <v/>
      </c>
      <c r="J5038">
        <v>28</v>
      </c>
      <c r="K5038">
        <v>2717</v>
      </c>
      <c r="L5038">
        <v>292</v>
      </c>
    </row>
    <row r="5039" spans="1:12" x14ac:dyDescent="0.2">
      <c r="A5039"/>
      <c r="B5039"/>
      <c r="C5039"/>
      <c r="D5039"/>
      <c r="E5039" s="2">
        <f>Comuni__2[[#This Row],[Popolazione2011]]/$D$7911</f>
        <v>1.600388347442863E-5</v>
      </c>
      <c r="F5039">
        <f>SUMIFS($D$2:$D$7909, $B$2:$B$7909, "Piemonte")</f>
        <v>4363916</v>
      </c>
      <c r="G5039" s="1">
        <f>Comuni__2[[#This Row],[Popolazione2011]]/Comuni__2[[#This Row],[POPOLAZIONE TOTALE DI OGNI REGIONE (CON FILTRO)]]</f>
        <v>2.179235347334825E-4</v>
      </c>
      <c r="H5039" t="str">
        <f>IF(Comuni__2[[#This Row],[Popolazione2011]]&gt;300000,"MAGGIORE","")</f>
        <v/>
      </c>
      <c r="J5039">
        <v>16</v>
      </c>
      <c r="K5039">
        <v>5117</v>
      </c>
      <c r="L5039">
        <v>406</v>
      </c>
    </row>
    <row r="5040" spans="1:12" x14ac:dyDescent="0.2">
      <c r="A5040"/>
      <c r="B5040"/>
      <c r="C5040"/>
      <c r="D5040"/>
      <c r="E5040" s="2">
        <f>Comuni__2[[#This Row],[Popolazione2011]]/$D$7911</f>
        <v>1.5953398037600778E-5</v>
      </c>
      <c r="F5040">
        <f>SUMIFS($D$2:$D$7909, $B$2:$B$7909, "Piemonte")</f>
        <v>4363916</v>
      </c>
      <c r="G5040" s="1">
        <f>Comuni__2[[#This Row],[Popolazione2011]]/Comuni__2[[#This Row],[POPOLAZIONE TOTALE DI OGNI REGIONE (CON FILTRO)]]</f>
        <v>2.1723607878795101E-4</v>
      </c>
      <c r="H5040" t="str">
        <f>IF(Comuni__2[[#This Row],[Popolazione2011]]&gt;300000,"MAGGIORE","")</f>
        <v/>
      </c>
      <c r="J5040">
        <v>28</v>
      </c>
      <c r="K5040">
        <v>2737</v>
      </c>
      <c r="L5040">
        <v>292</v>
      </c>
    </row>
    <row r="5041" spans="1:12" x14ac:dyDescent="0.2">
      <c r="A5041"/>
      <c r="B5041"/>
      <c r="C5041"/>
      <c r="D5041"/>
      <c r="E5041" s="2">
        <f>Comuni__2[[#This Row],[Popolazione2011]]/$D$7911</f>
        <v>1.5886084121830311E-5</v>
      </c>
      <c r="F5041">
        <f>SUMIFS($D$2:$D$7909, $B$2:$B$7909, "Piemonte")</f>
        <v>4363916</v>
      </c>
      <c r="G5041" s="1">
        <f>Comuni__2[[#This Row],[Popolazione2011]]/Comuni__2[[#This Row],[POPOLAZIONE TOTALE DI OGNI REGIONE (CON FILTRO)]]</f>
        <v>2.1631947086057568E-4</v>
      </c>
      <c r="H5041" t="str">
        <f>IF(Comuni__2[[#This Row],[Popolazione2011]]&gt;300000,"MAGGIORE","")</f>
        <v/>
      </c>
      <c r="J5041">
        <v>17</v>
      </c>
      <c r="K5041">
        <v>5140</v>
      </c>
      <c r="L5041">
        <v>406</v>
      </c>
    </row>
    <row r="5042" spans="1:12" x14ac:dyDescent="0.2">
      <c r="A5042"/>
      <c r="B5042"/>
      <c r="C5042"/>
      <c r="D5042"/>
      <c r="E5042" s="2">
        <f>Comuni__2[[#This Row],[Popolazione2011]]/$D$7911</f>
        <v>1.5869255642887694E-5</v>
      </c>
      <c r="F5042">
        <f>SUMIFS($D$2:$D$7909, $B$2:$B$7909, "Piemonte")</f>
        <v>4363916</v>
      </c>
      <c r="G5042" s="1">
        <f>Comuni__2[[#This Row],[Popolazione2011]]/Comuni__2[[#This Row],[POPOLAZIONE TOTALE DI OGNI REGIONE (CON FILTRO)]]</f>
        <v>2.1609031887873185E-4</v>
      </c>
      <c r="H5042" t="str">
        <f>IF(Comuni__2[[#This Row],[Popolazione2011]]&gt;300000,"MAGGIORE","")</f>
        <v/>
      </c>
      <c r="J5042">
        <v>21</v>
      </c>
      <c r="K5042">
        <v>2743</v>
      </c>
      <c r="L5042">
        <v>292</v>
      </c>
    </row>
    <row r="5043" spans="1:12" x14ac:dyDescent="0.2">
      <c r="A5043"/>
      <c r="B5043"/>
      <c r="C5043"/>
      <c r="D5043"/>
      <c r="E5043" s="2">
        <f>Comuni__2[[#This Row],[Popolazione2011]]/$D$7911</f>
        <v>1.5768284769231994E-5</v>
      </c>
      <c r="F5043">
        <f>SUMIFS($D$2:$D$7909, $B$2:$B$7909, "Piemonte")</f>
        <v>4363916</v>
      </c>
      <c r="G5043" s="1">
        <f>Comuni__2[[#This Row],[Popolazione2011]]/Comuni__2[[#This Row],[POPOLAZIONE TOTALE DI OGNI REGIONE (CON FILTRO)]]</f>
        <v>2.1471540698766886E-4</v>
      </c>
      <c r="H5043" t="str">
        <f>IF(Comuni__2[[#This Row],[Popolazione2011]]&gt;300000,"MAGGIORE","")</f>
        <v/>
      </c>
      <c r="J5043">
        <v>17</v>
      </c>
      <c r="K5043">
        <v>5168</v>
      </c>
      <c r="L5043">
        <v>406</v>
      </c>
    </row>
    <row r="5044" spans="1:12" x14ac:dyDescent="0.2">
      <c r="A5044"/>
      <c r="B5044"/>
      <c r="C5044"/>
      <c r="D5044"/>
      <c r="E5044" s="2">
        <f>Comuni__2[[#This Row],[Popolazione2011]]/$D$7911</f>
        <v>1.568414237451891E-5</v>
      </c>
      <c r="F5044">
        <f>SUMIFS($D$2:$D$7909, $B$2:$B$7909, "Piemonte")</f>
        <v>4363916</v>
      </c>
      <c r="G5044" s="1">
        <f>Comuni__2[[#This Row],[Popolazione2011]]/Comuni__2[[#This Row],[POPOLAZIONE TOTALE DI OGNI REGIONE (CON FILTRO)]]</f>
        <v>2.1356964707844973E-4</v>
      </c>
      <c r="H5044" t="str">
        <f>IF(Comuni__2[[#This Row],[Popolazione2011]]&gt;300000,"MAGGIORE","")</f>
        <v/>
      </c>
      <c r="J5044">
        <v>21</v>
      </c>
      <c r="K5044">
        <v>2757</v>
      </c>
      <c r="L5044">
        <v>292</v>
      </c>
    </row>
    <row r="5045" spans="1:12" x14ac:dyDescent="0.2">
      <c r="A5045"/>
      <c r="B5045"/>
      <c r="C5045"/>
      <c r="D5045"/>
      <c r="E5045" s="2">
        <f>Comuni__2[[#This Row],[Popolazione2011]]/$D$7911</f>
        <v>1.5650485416633675E-5</v>
      </c>
      <c r="F5045">
        <f>SUMIFS($D$2:$D$7909, $B$2:$B$7909, "Piemonte")</f>
        <v>4363916</v>
      </c>
      <c r="G5045" s="1">
        <f>Comuni__2[[#This Row],[Popolazione2011]]/Comuni__2[[#This Row],[POPOLAZIONE TOTALE DI OGNI REGIONE (CON FILTRO)]]</f>
        <v>2.1311134311476207E-4</v>
      </c>
      <c r="H5045" t="str">
        <f>IF(Comuni__2[[#This Row],[Popolazione2011]]&gt;300000,"MAGGIORE","")</f>
        <v/>
      </c>
      <c r="J5045">
        <v>22</v>
      </c>
      <c r="K5045">
        <v>5195</v>
      </c>
      <c r="L5045">
        <v>406</v>
      </c>
    </row>
    <row r="5046" spans="1:12" x14ac:dyDescent="0.2">
      <c r="A5046"/>
      <c r="B5046"/>
      <c r="C5046"/>
      <c r="D5046"/>
      <c r="E5046" s="2">
        <f>Comuni__2[[#This Row],[Popolazione2011]]/$D$7911</f>
        <v>1.5549514542977974E-5</v>
      </c>
      <c r="F5046">
        <f>SUMIFS($D$2:$D$7909, $B$2:$B$7909, "Piemonte")</f>
        <v>4363916</v>
      </c>
      <c r="G5046" s="1">
        <f>Comuni__2[[#This Row],[Popolazione2011]]/Comuni__2[[#This Row],[POPOLAZIONE TOTALE DI OGNI REGIONE (CON FILTRO)]]</f>
        <v>2.1173643122369908E-4</v>
      </c>
      <c r="H5046" t="str">
        <f>IF(Comuni__2[[#This Row],[Popolazione2011]]&gt;300000,"MAGGIORE","")</f>
        <v/>
      </c>
      <c r="J5046">
        <v>22</v>
      </c>
      <c r="K5046">
        <v>2775</v>
      </c>
      <c r="L5046">
        <v>292</v>
      </c>
    </row>
    <row r="5047" spans="1:12" x14ac:dyDescent="0.2">
      <c r="A5047"/>
      <c r="B5047"/>
      <c r="C5047"/>
      <c r="D5047"/>
      <c r="E5047" s="2">
        <f>Comuni__2[[#This Row],[Popolazione2011]]/$D$7911</f>
        <v>1.5515857585092742E-5</v>
      </c>
      <c r="F5047">
        <f>SUMIFS($D$2:$D$7909, $B$2:$B$7909, "Piemonte")</f>
        <v>4363916</v>
      </c>
      <c r="G5047" s="1">
        <f>Comuni__2[[#This Row],[Popolazione2011]]/Comuni__2[[#This Row],[POPOLAZIONE TOTALE DI OGNI REGIONE (CON FILTRO)]]</f>
        <v>2.1127812726001141E-4</v>
      </c>
      <c r="H5047" t="str">
        <f>IF(Comuni__2[[#This Row],[Popolazione2011]]&gt;300000,"MAGGIORE","")</f>
        <v/>
      </c>
      <c r="J5047">
        <v>18</v>
      </c>
      <c r="K5047">
        <v>5241</v>
      </c>
      <c r="L5047">
        <v>406</v>
      </c>
    </row>
    <row r="5048" spans="1:12" x14ac:dyDescent="0.2">
      <c r="A5048"/>
      <c r="B5048"/>
      <c r="C5048"/>
      <c r="D5048"/>
      <c r="E5048" s="2">
        <f>Comuni__2[[#This Row],[Popolazione2011]]/$D$7911</f>
        <v>1.5499029106150123E-5</v>
      </c>
      <c r="F5048">
        <f>SUMIFS($D$2:$D$7909, $B$2:$B$7909, "Piemonte")</f>
        <v>4363916</v>
      </c>
      <c r="G5048" s="1">
        <f>Comuni__2[[#This Row],[Popolazione2011]]/Comuni__2[[#This Row],[POPOLAZIONE TOTALE DI OGNI REGIONE (CON FILTRO)]]</f>
        <v>2.1104897527816758E-4</v>
      </c>
      <c r="H5048" t="str">
        <f>IF(Comuni__2[[#This Row],[Popolazione2011]]&gt;300000,"MAGGIORE","")</f>
        <v/>
      </c>
      <c r="J5048">
        <v>31</v>
      </c>
      <c r="K5048">
        <v>2785</v>
      </c>
      <c r="L5048">
        <v>292</v>
      </c>
    </row>
    <row r="5049" spans="1:12" x14ac:dyDescent="0.2">
      <c r="A5049"/>
      <c r="B5049"/>
      <c r="C5049"/>
      <c r="D5049"/>
      <c r="E5049" s="2">
        <f>Comuni__2[[#This Row],[Popolazione2011]]/$D$7911</f>
        <v>1.5414886711437039E-5</v>
      </c>
      <c r="F5049">
        <f>SUMIFS($D$2:$D$7909, $B$2:$B$7909, "Piemonte")</f>
        <v>4363916</v>
      </c>
      <c r="G5049" s="1">
        <f>Comuni__2[[#This Row],[Popolazione2011]]/Comuni__2[[#This Row],[POPOLAZIONE TOTALE DI OGNI REGIONE (CON FILTRO)]]</f>
        <v>2.0990321536894845E-4</v>
      </c>
      <c r="H5049" t="str">
        <f>IF(Comuni__2[[#This Row],[Popolazione2011]]&gt;300000,"MAGGIORE","")</f>
        <v/>
      </c>
      <c r="J5049">
        <v>18</v>
      </c>
      <c r="K5049">
        <v>5259</v>
      </c>
      <c r="L5049">
        <v>406</v>
      </c>
    </row>
    <row r="5050" spans="1:12" x14ac:dyDescent="0.2">
      <c r="A5050"/>
      <c r="B5050"/>
      <c r="C5050"/>
      <c r="D5050"/>
      <c r="E5050" s="2">
        <f>Comuni__2[[#This Row],[Popolazione2011]]/$D$7911</f>
        <v>1.5414886711437039E-5</v>
      </c>
      <c r="F5050">
        <f>SUMIFS($D$2:$D$7909, $B$2:$B$7909, "Piemonte")</f>
        <v>4363916</v>
      </c>
      <c r="G5050" s="1">
        <f>Comuni__2[[#This Row],[Popolazione2011]]/Comuni__2[[#This Row],[POPOLAZIONE TOTALE DI OGNI REGIONE (CON FILTRO)]]</f>
        <v>2.0990321536894845E-4</v>
      </c>
      <c r="H5050" t="str">
        <f>IF(Comuni__2[[#This Row],[Popolazione2011]]&gt;300000,"MAGGIORE","")</f>
        <v/>
      </c>
      <c r="J5050">
        <v>37</v>
      </c>
      <c r="K5050">
        <v>2799</v>
      </c>
      <c r="L5050">
        <v>292</v>
      </c>
    </row>
    <row r="5051" spans="1:12" x14ac:dyDescent="0.2">
      <c r="A5051"/>
      <c r="B5051"/>
      <c r="C5051"/>
      <c r="D5051"/>
      <c r="E5051" s="2">
        <f>Comuni__2[[#This Row],[Popolazione2011]]/$D$7911</f>
        <v>1.536440127460919E-5</v>
      </c>
      <c r="F5051">
        <f>SUMIFS($D$2:$D$7909, $B$2:$B$7909, "Piemonte")</f>
        <v>4363916</v>
      </c>
      <c r="G5051" s="1">
        <f>Comuni__2[[#This Row],[Popolazione2011]]/Comuni__2[[#This Row],[POPOLAZIONE TOTALE DI OGNI REGIONE (CON FILTRO)]]</f>
        <v>2.0921575942341696E-4</v>
      </c>
      <c r="H5051" t="str">
        <f>IF(Comuni__2[[#This Row],[Popolazione2011]]&gt;300000,"MAGGIORE","")</f>
        <v/>
      </c>
      <c r="J5051">
        <v>20</v>
      </c>
      <c r="K5051">
        <v>5307</v>
      </c>
      <c r="L5051">
        <v>406</v>
      </c>
    </row>
    <row r="5052" spans="1:12" x14ac:dyDescent="0.2">
      <c r="A5052"/>
      <c r="B5052"/>
      <c r="C5052"/>
      <c r="D5052"/>
      <c r="E5052" s="2">
        <f>Comuni__2[[#This Row],[Popolazione2011]]/$D$7911</f>
        <v>1.5347572795666571E-5</v>
      </c>
      <c r="F5052">
        <f>SUMIFS($D$2:$D$7909, $B$2:$B$7909, "Piemonte")</f>
        <v>4363916</v>
      </c>
      <c r="G5052" s="1">
        <f>Comuni__2[[#This Row],[Popolazione2011]]/Comuni__2[[#This Row],[POPOLAZIONE TOTALE DI OGNI REGIONE (CON FILTRO)]]</f>
        <v>2.0898660744157312E-4</v>
      </c>
      <c r="H5052" t="str">
        <f>IF(Comuni__2[[#This Row],[Popolazione2011]]&gt;300000,"MAGGIORE","")</f>
        <v/>
      </c>
      <c r="J5052">
        <v>37</v>
      </c>
      <c r="K5052">
        <v>2815</v>
      </c>
      <c r="L5052">
        <v>292</v>
      </c>
    </row>
    <row r="5053" spans="1:12" x14ac:dyDescent="0.2">
      <c r="A5053"/>
      <c r="B5053"/>
      <c r="C5053"/>
      <c r="D5053"/>
      <c r="E5053" s="2">
        <f>Comuni__2[[#This Row],[Popolazione2011]]/$D$7911</f>
        <v>1.5297087358838722E-5</v>
      </c>
      <c r="F5053">
        <f>SUMIFS($D$2:$D$7909, $B$2:$B$7909, "Piemonte")</f>
        <v>4363916</v>
      </c>
      <c r="G5053" s="1">
        <f>Comuni__2[[#This Row],[Popolazione2011]]/Comuni__2[[#This Row],[POPOLAZIONE TOTALE DI OGNI REGIONE (CON FILTRO)]]</f>
        <v>2.0829915149604163E-4</v>
      </c>
      <c r="H5053" t="str">
        <f>IF(Comuni__2[[#This Row],[Popolazione2011]]&gt;300000,"MAGGIORE","")</f>
        <v/>
      </c>
      <c r="J5053">
        <v>19</v>
      </c>
      <c r="K5053">
        <v>5349</v>
      </c>
      <c r="L5053">
        <v>408</v>
      </c>
    </row>
    <row r="5054" spans="1:12" x14ac:dyDescent="0.2">
      <c r="A5054"/>
      <c r="B5054"/>
      <c r="C5054"/>
      <c r="D5054"/>
      <c r="E5054" s="2">
        <f>Comuni__2[[#This Row],[Popolazione2011]]/$D$7911</f>
        <v>1.5297087358838722E-5</v>
      </c>
      <c r="F5054">
        <f>SUMIFS($D$2:$D$7909, $B$2:$B$7909, "Piemonte")</f>
        <v>4363916</v>
      </c>
      <c r="G5054" s="1">
        <f>Comuni__2[[#This Row],[Popolazione2011]]/Comuni__2[[#This Row],[POPOLAZIONE TOTALE DI OGNI REGIONE (CON FILTRO)]]</f>
        <v>2.0829915149604163E-4</v>
      </c>
      <c r="H5054" t="str">
        <f>IF(Comuni__2[[#This Row],[Popolazione2011]]&gt;300000,"MAGGIORE","")</f>
        <v/>
      </c>
      <c r="J5054">
        <v>36</v>
      </c>
      <c r="K5054">
        <v>2831</v>
      </c>
      <c r="L5054">
        <v>293</v>
      </c>
    </row>
    <row r="5055" spans="1:12" x14ac:dyDescent="0.2">
      <c r="A5055"/>
      <c r="B5055"/>
      <c r="C5055"/>
      <c r="D5055"/>
      <c r="E5055" s="2">
        <f>Comuni__2[[#This Row],[Popolazione2011]]/$D$7911</f>
        <v>1.5263430400953487E-5</v>
      </c>
      <c r="F5055">
        <f>SUMIFS($D$2:$D$7909, $B$2:$B$7909, "Piemonte")</f>
        <v>4363916</v>
      </c>
      <c r="G5055" s="1">
        <f>Comuni__2[[#This Row],[Popolazione2011]]/Comuni__2[[#This Row],[POPOLAZIONE TOTALE DI OGNI REGIONE (CON FILTRO)]]</f>
        <v>2.0784084753235397E-4</v>
      </c>
      <c r="H5055" t="str">
        <f>IF(Comuni__2[[#This Row],[Popolazione2011]]&gt;300000,"MAGGIORE","")</f>
        <v/>
      </c>
      <c r="J5055">
        <v>19</v>
      </c>
      <c r="K5055">
        <v>5394</v>
      </c>
      <c r="L5055">
        <v>408</v>
      </c>
    </row>
    <row r="5056" spans="1:12" x14ac:dyDescent="0.2">
      <c r="A5056"/>
      <c r="B5056"/>
      <c r="C5056"/>
      <c r="D5056"/>
      <c r="E5056" s="2">
        <f>Comuni__2[[#This Row],[Popolazione2011]]/$D$7911</f>
        <v>1.5212944964125638E-5</v>
      </c>
      <c r="F5056">
        <f>SUMIFS($D$2:$D$7909, $B$2:$B$7909, "Piemonte")</f>
        <v>4363916</v>
      </c>
      <c r="G5056" s="1">
        <f>Comuni__2[[#This Row],[Popolazione2011]]/Comuni__2[[#This Row],[POPOLAZIONE TOTALE DI OGNI REGIONE (CON FILTRO)]]</f>
        <v>2.0715339158682247E-4</v>
      </c>
      <c r="H5056" t="str">
        <f>IF(Comuni__2[[#This Row],[Popolazione2011]]&gt;300000,"MAGGIORE","")</f>
        <v/>
      </c>
      <c r="J5056">
        <v>44</v>
      </c>
      <c r="K5056">
        <v>2843</v>
      </c>
      <c r="L5056">
        <v>293</v>
      </c>
    </row>
    <row r="5057" spans="1:12" x14ac:dyDescent="0.2">
      <c r="A5057"/>
      <c r="B5057"/>
      <c r="C5057"/>
      <c r="D5057"/>
      <c r="E5057" s="2">
        <f>Comuni__2[[#This Row],[Popolazione2011]]/$D$7911</f>
        <v>1.5162459527297787E-5</v>
      </c>
      <c r="F5057">
        <f>SUMIFS($D$2:$D$7909, $B$2:$B$7909, "Piemonte")</f>
        <v>4363916</v>
      </c>
      <c r="G5057" s="1">
        <f>Comuni__2[[#This Row],[Popolazione2011]]/Comuni__2[[#This Row],[POPOLAZIONE TOTALE DI OGNI REGIONE (CON FILTRO)]]</f>
        <v>2.0646593564129098E-4</v>
      </c>
      <c r="H5057" t="str">
        <f>IF(Comuni__2[[#This Row],[Popolazione2011]]&gt;300000,"MAGGIORE","")</f>
        <v/>
      </c>
      <c r="J5057">
        <v>19</v>
      </c>
      <c r="K5057">
        <v>5396</v>
      </c>
      <c r="L5057">
        <v>409</v>
      </c>
    </row>
    <row r="5058" spans="1:12" x14ac:dyDescent="0.2">
      <c r="A5058"/>
      <c r="B5058"/>
      <c r="C5058"/>
      <c r="D5058"/>
      <c r="E5058" s="2">
        <f>Comuni__2[[#This Row],[Popolazione2011]]/$D$7911</f>
        <v>1.5162459527297787E-5</v>
      </c>
      <c r="F5058">
        <f>SUMIFS($D$2:$D$7909, $B$2:$B$7909, "Piemonte")</f>
        <v>4363916</v>
      </c>
      <c r="G5058" s="1">
        <f>Comuni__2[[#This Row],[Popolazione2011]]/Comuni__2[[#This Row],[POPOLAZIONE TOTALE DI OGNI REGIONE (CON FILTRO)]]</f>
        <v>2.0646593564129098E-4</v>
      </c>
      <c r="H5058" t="str">
        <f>IF(Comuni__2[[#This Row],[Popolazione2011]]&gt;300000,"MAGGIORE","")</f>
        <v/>
      </c>
      <c r="J5058">
        <v>57</v>
      </c>
      <c r="K5058">
        <v>2856</v>
      </c>
      <c r="L5058">
        <v>293</v>
      </c>
    </row>
    <row r="5059" spans="1:12" x14ac:dyDescent="0.2">
      <c r="A5059"/>
      <c r="B5059"/>
      <c r="C5059"/>
      <c r="D5059"/>
      <c r="E5059" s="2">
        <f>Comuni__2[[#This Row],[Popolazione2011]]/$D$7911</f>
        <v>1.5145631048355171E-5</v>
      </c>
      <c r="F5059">
        <f>SUMIFS($D$2:$D$7909, $B$2:$B$7909, "Piemonte")</f>
        <v>4363916</v>
      </c>
      <c r="G5059" s="1">
        <f>Comuni__2[[#This Row],[Popolazione2011]]/Comuni__2[[#This Row],[POPOLAZIONE TOTALE DI OGNI REGIONE (CON FILTRO)]]</f>
        <v>2.0623678365944714E-4</v>
      </c>
      <c r="H5059" t="str">
        <f>IF(Comuni__2[[#This Row],[Popolazione2011]]&gt;300000,"MAGGIORE","")</f>
        <v/>
      </c>
      <c r="J5059">
        <v>20</v>
      </c>
      <c r="K5059">
        <v>5417</v>
      </c>
      <c r="L5059">
        <v>411</v>
      </c>
    </row>
    <row r="5060" spans="1:12" x14ac:dyDescent="0.2">
      <c r="A5060"/>
      <c r="B5060"/>
      <c r="C5060"/>
      <c r="D5060"/>
      <c r="E5060" s="2">
        <f>Comuni__2[[#This Row],[Popolazione2011]]/$D$7911</f>
        <v>1.5145631048355171E-5</v>
      </c>
      <c r="F5060">
        <f>SUMIFS($D$2:$D$7909, $B$2:$B$7909, "Piemonte")</f>
        <v>4363916</v>
      </c>
      <c r="G5060" s="1">
        <f>Comuni__2[[#This Row],[Popolazione2011]]/Comuni__2[[#This Row],[POPOLAZIONE TOTALE DI OGNI REGIONE (CON FILTRO)]]</f>
        <v>2.0623678365944714E-4</v>
      </c>
      <c r="H5060" t="str">
        <f>IF(Comuni__2[[#This Row],[Popolazione2011]]&gt;300000,"MAGGIORE","")</f>
        <v/>
      </c>
      <c r="J5060">
        <v>57</v>
      </c>
      <c r="K5060">
        <v>2856</v>
      </c>
      <c r="L5060">
        <v>293</v>
      </c>
    </row>
    <row r="5061" spans="1:12" x14ac:dyDescent="0.2">
      <c r="A5061"/>
      <c r="B5061"/>
      <c r="C5061"/>
      <c r="D5061"/>
      <c r="E5061" s="2">
        <f>Comuni__2[[#This Row],[Popolazione2011]]/$D$7911</f>
        <v>1.5128802569412553E-5</v>
      </c>
      <c r="F5061">
        <f>SUMIFS($D$2:$D$7909, $B$2:$B$7909, "Piemonte")</f>
        <v>4363916</v>
      </c>
      <c r="G5061" s="1">
        <f>Comuni__2[[#This Row],[Popolazione2011]]/Comuni__2[[#This Row],[POPOLAZIONE TOTALE DI OGNI REGIONE (CON FILTRO)]]</f>
        <v>2.0600763167760334E-4</v>
      </c>
      <c r="H5061" t="str">
        <f>IF(Comuni__2[[#This Row],[Popolazione2011]]&gt;300000,"MAGGIORE","")</f>
        <v/>
      </c>
      <c r="J5061">
        <v>20</v>
      </c>
      <c r="K5061">
        <v>5471</v>
      </c>
      <c r="L5061">
        <v>413</v>
      </c>
    </row>
    <row r="5062" spans="1:12" x14ac:dyDescent="0.2">
      <c r="A5062"/>
      <c r="B5062"/>
      <c r="C5062"/>
      <c r="D5062"/>
      <c r="E5062" s="2">
        <f>Comuni__2[[#This Row],[Popolazione2011]]/$D$7911</f>
        <v>1.5128802569412553E-5</v>
      </c>
      <c r="F5062">
        <f>SUMIFS($D$2:$D$7909, $B$2:$B$7909, "Piemonte")</f>
        <v>4363916</v>
      </c>
      <c r="G5062" s="1">
        <f>Comuni__2[[#This Row],[Popolazione2011]]/Comuni__2[[#This Row],[POPOLAZIONE TOTALE DI OGNI REGIONE (CON FILTRO)]]</f>
        <v>2.0600763167760334E-4</v>
      </c>
      <c r="H5062" t="str">
        <f>IF(Comuni__2[[#This Row],[Popolazione2011]]&gt;300000,"MAGGIORE","")</f>
        <v/>
      </c>
      <c r="J5062">
        <v>63</v>
      </c>
      <c r="K5062">
        <v>2879</v>
      </c>
      <c r="L5062">
        <v>293</v>
      </c>
    </row>
    <row r="5063" spans="1:12" x14ac:dyDescent="0.2">
      <c r="A5063"/>
      <c r="B5063"/>
      <c r="C5063"/>
      <c r="D5063"/>
      <c r="E5063" s="2">
        <f>Comuni__2[[#This Row],[Popolazione2011]]/$D$7911</f>
        <v>1.509514561152732E-5</v>
      </c>
      <c r="F5063">
        <f>SUMIFS($D$2:$D$7909, $B$2:$B$7909, "Piemonte")</f>
        <v>4363916</v>
      </c>
      <c r="G5063" s="1">
        <f>Comuni__2[[#This Row],[Popolazione2011]]/Comuni__2[[#This Row],[POPOLAZIONE TOTALE DI OGNI REGIONE (CON FILTRO)]]</f>
        <v>2.0554932771391568E-4</v>
      </c>
      <c r="H5063" t="str">
        <f>IF(Comuni__2[[#This Row],[Popolazione2011]]&gt;300000,"MAGGIORE","")</f>
        <v/>
      </c>
      <c r="J5063">
        <v>20</v>
      </c>
      <c r="K5063">
        <v>5521</v>
      </c>
      <c r="L5063">
        <v>415</v>
      </c>
    </row>
    <row r="5064" spans="1:12" x14ac:dyDescent="0.2">
      <c r="A5064"/>
      <c r="B5064"/>
      <c r="C5064"/>
      <c r="D5064"/>
      <c r="E5064" s="2">
        <f>Comuni__2[[#This Row],[Popolazione2011]]/$D$7911</f>
        <v>1.5061488653642086E-5</v>
      </c>
      <c r="F5064">
        <f>SUMIFS($D$2:$D$7909, $B$2:$B$7909, "Piemonte")</f>
        <v>4363916</v>
      </c>
      <c r="G5064" s="1">
        <f>Comuni__2[[#This Row],[Popolazione2011]]/Comuni__2[[#This Row],[POPOLAZIONE TOTALE DI OGNI REGIONE (CON FILTRO)]]</f>
        <v>2.0509102375022801E-4</v>
      </c>
      <c r="H5064" t="str">
        <f>IF(Comuni__2[[#This Row],[Popolazione2011]]&gt;300000,"MAGGIORE","")</f>
        <v/>
      </c>
      <c r="J5064">
        <v>72</v>
      </c>
      <c r="K5064">
        <v>2897</v>
      </c>
      <c r="L5064">
        <v>293</v>
      </c>
    </row>
    <row r="5065" spans="1:12" x14ac:dyDescent="0.2">
      <c r="A5065"/>
      <c r="B5065"/>
      <c r="C5065"/>
      <c r="D5065"/>
      <c r="E5065" s="2">
        <f>Comuni__2[[#This Row],[Popolazione2011]]/$D$7911</f>
        <v>1.4943689301043769E-5</v>
      </c>
      <c r="F5065">
        <f>SUMIFS($D$2:$D$7909, $B$2:$B$7909, "Piemonte")</f>
        <v>4363916</v>
      </c>
      <c r="G5065" s="1">
        <f>Comuni__2[[#This Row],[Popolazione2011]]/Comuni__2[[#This Row],[POPOLAZIONE TOTALE DI OGNI REGIONE (CON FILTRO)]]</f>
        <v>2.0348695987732119E-4</v>
      </c>
      <c r="H5065" t="str">
        <f>IF(Comuni__2[[#This Row],[Popolazione2011]]&gt;300000,"MAGGIORE","")</f>
        <v/>
      </c>
      <c r="J5065">
        <v>20</v>
      </c>
      <c r="K5065">
        <v>5574</v>
      </c>
      <c r="L5065">
        <v>416</v>
      </c>
    </row>
    <row r="5066" spans="1:12" x14ac:dyDescent="0.2">
      <c r="A5066"/>
      <c r="B5066"/>
      <c r="C5066"/>
      <c r="D5066"/>
      <c r="E5066" s="2">
        <f>Comuni__2[[#This Row],[Popolazione2011]]/$D$7911</f>
        <v>1.4926860822101151E-5</v>
      </c>
      <c r="F5066">
        <f>SUMIFS($D$2:$D$7909, $B$2:$B$7909, "Piemonte")</f>
        <v>4363916</v>
      </c>
      <c r="G5066" s="1">
        <f>Comuni__2[[#This Row],[Popolazione2011]]/Comuni__2[[#This Row],[POPOLAZIONE TOTALE DI OGNI REGIONE (CON FILTRO)]]</f>
        <v>2.0325780789547736E-4</v>
      </c>
      <c r="H5066" t="str">
        <f>IF(Comuni__2[[#This Row],[Popolazione2011]]&gt;300000,"MAGGIORE","")</f>
        <v/>
      </c>
      <c r="J5066">
        <v>72</v>
      </c>
      <c r="K5066">
        <v>2911</v>
      </c>
      <c r="L5066">
        <v>293</v>
      </c>
    </row>
    <row r="5067" spans="1:12" x14ac:dyDescent="0.2">
      <c r="A5067"/>
      <c r="B5067"/>
      <c r="C5067"/>
      <c r="D5067"/>
      <c r="E5067" s="2">
        <f>Comuni__2[[#This Row],[Popolazione2011]]/$D$7911</f>
        <v>1.4926860822101151E-5</v>
      </c>
      <c r="F5067">
        <f>SUMIFS($D$2:$D$7909, $B$2:$B$7909, "Piemonte")</f>
        <v>4363916</v>
      </c>
      <c r="G5067" s="1">
        <f>Comuni__2[[#This Row],[Popolazione2011]]/Comuni__2[[#This Row],[POPOLAZIONE TOTALE DI OGNI REGIONE (CON FILTRO)]]</f>
        <v>2.0325780789547736E-4</v>
      </c>
      <c r="H5067" t="str">
        <f>IF(Comuni__2[[#This Row],[Popolazione2011]]&gt;300000,"MAGGIORE","")</f>
        <v/>
      </c>
      <c r="J5067">
        <v>27</v>
      </c>
      <c r="K5067">
        <v>5609</v>
      </c>
      <c r="L5067">
        <v>417</v>
      </c>
    </row>
    <row r="5068" spans="1:12" x14ac:dyDescent="0.2">
      <c r="A5068"/>
      <c r="B5068"/>
      <c r="C5068"/>
      <c r="D5068"/>
      <c r="E5068" s="2">
        <f>Comuni__2[[#This Row],[Popolazione2011]]/$D$7911</f>
        <v>1.4859546906330683E-5</v>
      </c>
      <c r="F5068">
        <f>SUMIFS($D$2:$D$7909, $B$2:$B$7909, "Piemonte")</f>
        <v>4363916</v>
      </c>
      <c r="G5068" s="1">
        <f>Comuni__2[[#This Row],[Popolazione2011]]/Comuni__2[[#This Row],[POPOLAZIONE TOTALE DI OGNI REGIONE (CON FILTRO)]]</f>
        <v>2.0234119996810203E-4</v>
      </c>
      <c r="H5068" t="str">
        <f>IF(Comuni__2[[#This Row],[Popolazione2011]]&gt;300000,"MAGGIORE","")</f>
        <v/>
      </c>
      <c r="J5068">
        <v>74</v>
      </c>
      <c r="K5068">
        <v>2919</v>
      </c>
      <c r="L5068">
        <v>293</v>
      </c>
    </row>
    <row r="5069" spans="1:12" x14ac:dyDescent="0.2">
      <c r="A5069"/>
      <c r="B5069"/>
      <c r="C5069"/>
      <c r="D5069"/>
      <c r="E5069" s="2">
        <f>Comuni__2[[#This Row],[Popolazione2011]]/$D$7911</f>
        <v>1.4825889948445451E-5</v>
      </c>
      <c r="F5069">
        <f>SUMIFS($D$2:$D$7909, $B$2:$B$7909, "Piemonte")</f>
        <v>4363916</v>
      </c>
      <c r="G5069" s="1">
        <f>Comuni__2[[#This Row],[Popolazione2011]]/Comuni__2[[#This Row],[POPOLAZIONE TOTALE DI OGNI REGIONE (CON FILTRO)]]</f>
        <v>2.018828960044144E-4</v>
      </c>
      <c r="H5069" t="str">
        <f>IF(Comuni__2[[#This Row],[Popolazione2011]]&gt;300000,"MAGGIORE","")</f>
        <v/>
      </c>
      <c r="J5069">
        <v>38</v>
      </c>
      <c r="K5069">
        <v>5627</v>
      </c>
      <c r="L5069">
        <v>417</v>
      </c>
    </row>
    <row r="5070" spans="1:12" x14ac:dyDescent="0.2">
      <c r="A5070"/>
      <c r="B5070"/>
      <c r="C5070"/>
      <c r="D5070"/>
      <c r="E5070" s="2">
        <f>Comuni__2[[#This Row],[Popolazione2011]]/$D$7911</f>
        <v>1.4809061469502833E-5</v>
      </c>
      <c r="F5070">
        <f>SUMIFS($D$2:$D$7909, $B$2:$B$7909, "Piemonte")</f>
        <v>4363916</v>
      </c>
      <c r="G5070" s="1">
        <f>Comuni__2[[#This Row],[Popolazione2011]]/Comuni__2[[#This Row],[POPOLAZIONE TOTALE DI OGNI REGIONE (CON FILTRO)]]</f>
        <v>2.0165374402257057E-4</v>
      </c>
      <c r="H5070" t="str">
        <f>IF(Comuni__2[[#This Row],[Popolazione2011]]&gt;300000,"MAGGIORE","")</f>
        <v/>
      </c>
      <c r="J5070">
        <v>74</v>
      </c>
      <c r="K5070">
        <v>2920</v>
      </c>
      <c r="L5070">
        <v>294</v>
      </c>
    </row>
    <row r="5071" spans="1:12" x14ac:dyDescent="0.2">
      <c r="A5071"/>
      <c r="B5071"/>
      <c r="C5071"/>
      <c r="D5071"/>
      <c r="E5071" s="2">
        <f>Comuni__2[[#This Row],[Popolazione2011]]/$D$7911</f>
        <v>1.4809061469502833E-5</v>
      </c>
      <c r="F5071">
        <f>SUMIFS($D$2:$D$7909, $B$2:$B$7909, "Piemonte")</f>
        <v>4363916</v>
      </c>
      <c r="G5071" s="1">
        <f>Comuni__2[[#This Row],[Popolazione2011]]/Comuni__2[[#This Row],[POPOLAZIONE TOTALE DI OGNI REGIONE (CON FILTRO)]]</f>
        <v>2.0165374402257057E-4</v>
      </c>
      <c r="H5071" t="str">
        <f>IF(Comuni__2[[#This Row],[Popolazione2011]]&gt;300000,"MAGGIORE","")</f>
        <v/>
      </c>
      <c r="J5071">
        <v>44</v>
      </c>
      <c r="K5071">
        <v>5643</v>
      </c>
      <c r="L5071">
        <v>418</v>
      </c>
    </row>
    <row r="5072" spans="1:12" x14ac:dyDescent="0.2">
      <c r="A5072"/>
      <c r="B5072"/>
      <c r="C5072"/>
      <c r="D5072"/>
      <c r="E5072" s="2">
        <f>Comuni__2[[#This Row],[Popolazione2011]]/$D$7911</f>
        <v>1.4809061469502833E-5</v>
      </c>
      <c r="F5072">
        <f>SUMIFS($D$2:$D$7909, $B$2:$B$7909, "Piemonte")</f>
        <v>4363916</v>
      </c>
      <c r="G5072" s="1">
        <f>Comuni__2[[#This Row],[Popolazione2011]]/Comuni__2[[#This Row],[POPOLAZIONE TOTALE DI OGNI REGIONE (CON FILTRO)]]</f>
        <v>2.0165374402257057E-4</v>
      </c>
      <c r="H5072" t="str">
        <f>IF(Comuni__2[[#This Row],[Popolazione2011]]&gt;300000,"MAGGIORE","")</f>
        <v/>
      </c>
      <c r="J5072">
        <v>103</v>
      </c>
      <c r="K5072">
        <v>2924</v>
      </c>
      <c r="L5072">
        <v>295</v>
      </c>
    </row>
    <row r="5073" spans="1:12" x14ac:dyDescent="0.2">
      <c r="A5073"/>
      <c r="B5073"/>
      <c r="C5073"/>
      <c r="D5073"/>
      <c r="E5073" s="2">
        <f>Comuni__2[[#This Row],[Popolazione2011]]/$D$7911</f>
        <v>1.4775404511617599E-5</v>
      </c>
      <c r="F5073">
        <f>SUMIFS($D$2:$D$7909, $B$2:$B$7909, "Piemonte")</f>
        <v>4363916</v>
      </c>
      <c r="G5073" s="1">
        <f>Comuni__2[[#This Row],[Popolazione2011]]/Comuni__2[[#This Row],[POPOLAZIONE TOTALE DI OGNI REGIONE (CON FILTRO)]]</f>
        <v>2.011954400588829E-4</v>
      </c>
      <c r="H5073" t="str">
        <f>IF(Comuni__2[[#This Row],[Popolazione2011]]&gt;300000,"MAGGIORE","")</f>
        <v/>
      </c>
      <c r="J5073">
        <v>46</v>
      </c>
      <c r="K5073">
        <v>5836</v>
      </c>
      <c r="L5073">
        <v>418</v>
      </c>
    </row>
    <row r="5074" spans="1:12" x14ac:dyDescent="0.2">
      <c r="A5074"/>
      <c r="B5074"/>
      <c r="C5074"/>
      <c r="D5074"/>
      <c r="E5074" s="2">
        <f>Comuni__2[[#This Row],[Popolazione2011]]/$D$7911</f>
        <v>1.4775404511617599E-5</v>
      </c>
      <c r="F5074">
        <f>SUMIFS($D$2:$D$7909, $B$2:$B$7909, "Piemonte")</f>
        <v>4363916</v>
      </c>
      <c r="G5074" s="1">
        <f>Comuni__2[[#This Row],[Popolazione2011]]/Comuni__2[[#This Row],[POPOLAZIONE TOTALE DI OGNI REGIONE (CON FILTRO)]]</f>
        <v>2.011954400588829E-4</v>
      </c>
      <c r="H5074" t="str">
        <f>IF(Comuni__2[[#This Row],[Popolazione2011]]&gt;300000,"MAGGIORE","")</f>
        <v/>
      </c>
      <c r="J5074">
        <v>103</v>
      </c>
      <c r="K5074">
        <v>2926</v>
      </c>
      <c r="L5074">
        <v>296</v>
      </c>
    </row>
    <row r="5075" spans="1:12" x14ac:dyDescent="0.2">
      <c r="A5075"/>
      <c r="B5075"/>
      <c r="C5075"/>
      <c r="D5075"/>
      <c r="E5075" s="2">
        <f>Comuni__2[[#This Row],[Popolazione2011]]/$D$7911</f>
        <v>1.4775404511617599E-5</v>
      </c>
      <c r="F5075">
        <f>SUMIFS($D$2:$D$7909, $B$2:$B$7909, "Piemonte")</f>
        <v>4363916</v>
      </c>
      <c r="G5075" s="1">
        <f>Comuni__2[[#This Row],[Popolazione2011]]/Comuni__2[[#This Row],[POPOLAZIONE TOTALE DI OGNI REGIONE (CON FILTRO)]]</f>
        <v>2.011954400588829E-4</v>
      </c>
      <c r="H5075" t="str">
        <f>IF(Comuni__2[[#This Row],[Popolazione2011]]&gt;300000,"MAGGIORE","")</f>
        <v/>
      </c>
      <c r="J5075">
        <v>50</v>
      </c>
      <c r="K5075">
        <v>5898</v>
      </c>
      <c r="L5075">
        <v>420</v>
      </c>
    </row>
    <row r="5076" spans="1:12" x14ac:dyDescent="0.2">
      <c r="A5076"/>
      <c r="B5076"/>
      <c r="C5076"/>
      <c r="D5076"/>
      <c r="E5076" s="2">
        <f>Comuni__2[[#This Row],[Popolazione2011]]/$D$7911</f>
        <v>1.4741747553732365E-5</v>
      </c>
      <c r="F5076">
        <f>SUMIFS($D$2:$D$7909, $B$2:$B$7909, "Piemonte")</f>
        <v>4363916</v>
      </c>
      <c r="G5076" s="1">
        <f>Comuni__2[[#This Row],[Popolazione2011]]/Comuni__2[[#This Row],[POPOLAZIONE TOTALE DI OGNI REGIONE (CON FILTRO)]]</f>
        <v>2.0073713609519524E-4</v>
      </c>
      <c r="H5076" t="str">
        <f>IF(Comuni__2[[#This Row],[Popolazione2011]]&gt;300000,"MAGGIORE","")</f>
        <v/>
      </c>
      <c r="J5076">
        <v>114</v>
      </c>
      <c r="K5076">
        <v>2935</v>
      </c>
      <c r="L5076">
        <v>296</v>
      </c>
    </row>
    <row r="5077" spans="1:12" x14ac:dyDescent="0.2">
      <c r="A5077"/>
      <c r="B5077"/>
      <c r="C5077"/>
      <c r="D5077"/>
      <c r="E5077" s="2">
        <f>Comuni__2[[#This Row],[Popolazione2011]]/$D$7911</f>
        <v>1.4708090595847133E-5</v>
      </c>
      <c r="F5077">
        <f>SUMIFS($D$2:$D$7909, $B$2:$B$7909, "Piemonte")</f>
        <v>4363916</v>
      </c>
      <c r="G5077" s="1">
        <f>Comuni__2[[#This Row],[Popolazione2011]]/Comuni__2[[#This Row],[POPOLAZIONE TOTALE DI OGNI REGIONE (CON FILTRO)]]</f>
        <v>2.0027883213150758E-4</v>
      </c>
      <c r="H5077" t="str">
        <f>IF(Comuni__2[[#This Row],[Popolazione2011]]&gt;300000,"MAGGIORE","")</f>
        <v/>
      </c>
      <c r="J5077">
        <v>58</v>
      </c>
      <c r="K5077">
        <v>5927</v>
      </c>
      <c r="L5077">
        <v>423</v>
      </c>
    </row>
    <row r="5078" spans="1:12" x14ac:dyDescent="0.2">
      <c r="A5078"/>
      <c r="B5078"/>
      <c r="C5078"/>
      <c r="D5078"/>
      <c r="E5078" s="2">
        <f>Comuni__2[[#This Row],[Popolazione2011]]/$D$7911</f>
        <v>1.4691262116904515E-5</v>
      </c>
      <c r="F5078">
        <f>SUMIFS($D$2:$D$7909, $B$2:$B$7909, "Piemonte")</f>
        <v>4363916</v>
      </c>
      <c r="G5078" s="1">
        <f>Comuni__2[[#This Row],[Popolazione2011]]/Comuni__2[[#This Row],[POPOLAZIONE TOTALE DI OGNI REGIONE (CON FILTRO)]]</f>
        <v>2.0004968014966374E-4</v>
      </c>
      <c r="H5078" t="str">
        <f>IF(Comuni__2[[#This Row],[Popolazione2011]]&gt;300000,"MAGGIORE","")</f>
        <v/>
      </c>
      <c r="J5078">
        <v>114</v>
      </c>
      <c r="K5078">
        <v>2940</v>
      </c>
      <c r="L5078">
        <v>296</v>
      </c>
    </row>
    <row r="5079" spans="1:12" x14ac:dyDescent="0.2">
      <c r="A5079"/>
      <c r="B5079"/>
      <c r="C5079"/>
      <c r="D5079"/>
      <c r="E5079" s="2">
        <f>Comuni__2[[#This Row],[Popolazione2011]]/$D$7911</f>
        <v>1.4674433637961899E-5</v>
      </c>
      <c r="F5079">
        <f>SUMIFS($D$2:$D$7909, $B$2:$B$7909, "Piemonte")</f>
        <v>4363916</v>
      </c>
      <c r="G5079" s="1">
        <f>Comuni__2[[#This Row],[Popolazione2011]]/Comuni__2[[#This Row],[POPOLAZIONE TOTALE DI OGNI REGIONE (CON FILTRO)]]</f>
        <v>1.9982052816781991E-4</v>
      </c>
      <c r="H5079" t="str">
        <f>IF(Comuni__2[[#This Row],[Popolazione2011]]&gt;300000,"MAGGIORE","")</f>
        <v/>
      </c>
      <c r="J5079">
        <v>68</v>
      </c>
      <c r="K5079">
        <v>5974</v>
      </c>
      <c r="L5079">
        <v>423</v>
      </c>
    </row>
    <row r="5080" spans="1:12" x14ac:dyDescent="0.2">
      <c r="A5080"/>
      <c r="B5080"/>
      <c r="C5080"/>
      <c r="D5080"/>
      <c r="E5080" s="2">
        <f>Comuni__2[[#This Row],[Popolazione2011]]/$D$7911</f>
        <v>1.4657605159019281E-5</v>
      </c>
      <c r="F5080">
        <f>SUMIFS($D$2:$D$7909, $B$2:$B$7909, "Piemonte")</f>
        <v>4363916</v>
      </c>
      <c r="G5080" s="1">
        <f>Comuni__2[[#This Row],[Popolazione2011]]/Comuni__2[[#This Row],[POPOLAZIONE TOTALE DI OGNI REGIONE (CON FILTRO)]]</f>
        <v>1.9959137618597608E-4</v>
      </c>
      <c r="H5080" t="str">
        <f>IF(Comuni__2[[#This Row],[Popolazione2011]]&gt;300000,"MAGGIORE","")</f>
        <v/>
      </c>
      <c r="J5080">
        <v>145</v>
      </c>
      <c r="K5080">
        <v>2943</v>
      </c>
      <c r="L5080">
        <v>296</v>
      </c>
    </row>
    <row r="5081" spans="1:12" x14ac:dyDescent="0.2">
      <c r="A5081"/>
      <c r="B5081"/>
      <c r="C5081"/>
      <c r="D5081"/>
      <c r="E5081" s="2">
        <f>Comuni__2[[#This Row],[Popolazione2011]]/$D$7911</f>
        <v>1.4640776680076665E-5</v>
      </c>
      <c r="F5081">
        <f>SUMIFS($D$2:$D$7909, $B$2:$B$7909, "Piemonte")</f>
        <v>4363916</v>
      </c>
      <c r="G5081" s="1">
        <f>Comuni__2[[#This Row],[Popolazione2011]]/Comuni__2[[#This Row],[POPOLAZIONE TOTALE DI OGNI REGIONE (CON FILTRO)]]</f>
        <v>1.9936222420413225E-4</v>
      </c>
      <c r="H5081" t="str">
        <f>IF(Comuni__2[[#This Row],[Popolazione2011]]&gt;300000,"MAGGIORE","")</f>
        <v/>
      </c>
      <c r="J5081">
        <v>63</v>
      </c>
      <c r="K5081">
        <v>6008</v>
      </c>
      <c r="L5081">
        <v>424</v>
      </c>
    </row>
    <row r="5082" spans="1:12" x14ac:dyDescent="0.2">
      <c r="A5082"/>
      <c r="B5082"/>
      <c r="C5082"/>
      <c r="D5082"/>
      <c r="E5082" s="2">
        <f>Comuni__2[[#This Row],[Popolazione2011]]/$D$7911</f>
        <v>1.4590291243248815E-5</v>
      </c>
      <c r="F5082">
        <f>SUMIFS($D$2:$D$7909, $B$2:$B$7909, "Piemonte")</f>
        <v>4363916</v>
      </c>
      <c r="G5082" s="1">
        <f>Comuni__2[[#This Row],[Popolazione2011]]/Comuni__2[[#This Row],[POPOLAZIONE TOTALE DI OGNI REGIONE (CON FILTRO)]]</f>
        <v>1.9867476825860075E-4</v>
      </c>
      <c r="H5082" t="str">
        <f>IF(Comuni__2[[#This Row],[Popolazione2011]]&gt;300000,"MAGGIORE","")</f>
        <v/>
      </c>
      <c r="J5082">
        <v>158</v>
      </c>
      <c r="K5082">
        <v>2951</v>
      </c>
      <c r="L5082">
        <v>296</v>
      </c>
    </row>
    <row r="5083" spans="1:12" x14ac:dyDescent="0.2">
      <c r="A5083"/>
      <c r="B5083"/>
      <c r="C5083"/>
      <c r="D5083"/>
      <c r="E5083" s="2">
        <f>Comuni__2[[#This Row],[Popolazione2011]]/$D$7911</f>
        <v>1.4539805806420963E-5</v>
      </c>
      <c r="F5083">
        <f>SUMIFS($D$2:$D$7909, $B$2:$B$7909, "Piemonte")</f>
        <v>4363916</v>
      </c>
      <c r="G5083" s="1">
        <f>Comuni__2[[#This Row],[Popolazione2011]]/Comuni__2[[#This Row],[POPOLAZIONE TOTALE DI OGNI REGIONE (CON FILTRO)]]</f>
        <v>1.9798731231306926E-4</v>
      </c>
      <c r="H5083" t="str">
        <f>IF(Comuni__2[[#This Row],[Popolazione2011]]&gt;300000,"MAGGIORE","")</f>
        <v/>
      </c>
      <c r="J5083">
        <v>76</v>
      </c>
      <c r="K5083">
        <v>6035</v>
      </c>
      <c r="L5083">
        <v>425</v>
      </c>
    </row>
    <row r="5084" spans="1:12" x14ac:dyDescent="0.2">
      <c r="A5084"/>
      <c r="B5084"/>
      <c r="C5084"/>
      <c r="D5084"/>
      <c r="E5084" s="2">
        <f>Comuni__2[[#This Row],[Popolazione2011]]/$D$7911</f>
        <v>1.4371521016994795E-5</v>
      </c>
      <c r="F5084">
        <f>SUMIFS($D$2:$D$7909, $B$2:$B$7909, "Piemonte")</f>
        <v>4363916</v>
      </c>
      <c r="G5084" s="1">
        <f>Comuni__2[[#This Row],[Popolazione2011]]/Comuni__2[[#This Row],[POPOLAZIONE TOTALE DI OGNI REGIONE (CON FILTRO)]]</f>
        <v>1.9569579249463097E-4</v>
      </c>
      <c r="H5084" t="str">
        <f>IF(Comuni__2[[#This Row],[Popolazione2011]]&gt;300000,"MAGGIORE","")</f>
        <v/>
      </c>
      <c r="J5084">
        <v>164</v>
      </c>
      <c r="K5084">
        <v>2955</v>
      </c>
      <c r="L5084">
        <v>299</v>
      </c>
    </row>
    <row r="5085" spans="1:12" x14ac:dyDescent="0.2">
      <c r="A5085"/>
      <c r="B5085"/>
      <c r="C5085"/>
      <c r="D5085"/>
      <c r="E5085" s="2">
        <f>Comuni__2[[#This Row],[Popolazione2011]]/$D$7911</f>
        <v>1.4337864059109561E-5</v>
      </c>
      <c r="F5085">
        <f>SUMIFS($D$2:$D$7909, $B$2:$B$7909, "Piemonte")</f>
        <v>4363916</v>
      </c>
      <c r="G5085" s="1">
        <f>Comuni__2[[#This Row],[Popolazione2011]]/Comuni__2[[#This Row],[POPOLAZIONE TOTALE DI OGNI REGIONE (CON FILTRO)]]</f>
        <v>1.9523748853094331E-4</v>
      </c>
      <c r="H5085" t="str">
        <f>IF(Comuni__2[[#This Row],[Popolazione2011]]&gt;300000,"MAGGIORE","")</f>
        <v/>
      </c>
      <c r="J5085">
        <v>86</v>
      </c>
      <c r="K5085">
        <v>6039</v>
      </c>
      <c r="L5085">
        <v>426</v>
      </c>
    </row>
    <row r="5086" spans="1:12" x14ac:dyDescent="0.2">
      <c r="A5086"/>
      <c r="B5086"/>
      <c r="C5086"/>
      <c r="D5086"/>
      <c r="E5086" s="2">
        <f>Comuni__2[[#This Row],[Popolazione2011]]/$D$7911</f>
        <v>1.4321035580166945E-5</v>
      </c>
      <c r="F5086">
        <f>SUMIFS($D$2:$D$7909, $B$2:$B$7909, "Piemonte")</f>
        <v>4363916</v>
      </c>
      <c r="G5086" s="1">
        <f>Comuni__2[[#This Row],[Popolazione2011]]/Comuni__2[[#This Row],[POPOLAZIONE TOTALE DI OGNI REGIONE (CON FILTRO)]]</f>
        <v>1.9500833654909948E-4</v>
      </c>
      <c r="H5086" t="str">
        <f>IF(Comuni__2[[#This Row],[Popolazione2011]]&gt;300000,"MAGGIORE","")</f>
        <v/>
      </c>
      <c r="J5086">
        <v>181</v>
      </c>
      <c r="K5086">
        <v>2959</v>
      </c>
      <c r="L5086">
        <v>300</v>
      </c>
    </row>
    <row r="5087" spans="1:12" x14ac:dyDescent="0.2">
      <c r="A5087"/>
      <c r="B5087"/>
      <c r="C5087"/>
      <c r="D5087"/>
      <c r="E5087" s="2">
        <f>Comuni__2[[#This Row],[Popolazione2011]]/$D$7911</f>
        <v>1.4253721664396477E-5</v>
      </c>
      <c r="F5087">
        <f>SUMIFS($D$2:$D$7909, $B$2:$B$7909, "Piemonte")</f>
        <v>4363916</v>
      </c>
      <c r="G5087" s="1">
        <f>Comuni__2[[#This Row],[Popolazione2011]]/Comuni__2[[#This Row],[POPOLAZIONE TOTALE DI OGNI REGIONE (CON FILTRO)]]</f>
        <v>1.9409172862172415E-4</v>
      </c>
      <c r="H5087" t="str">
        <f>IF(Comuni__2[[#This Row],[Popolazione2011]]&gt;300000,"MAGGIORE","")</f>
        <v/>
      </c>
      <c r="J5087">
        <v>89</v>
      </c>
      <c r="K5087">
        <v>6087</v>
      </c>
      <c r="L5087">
        <v>427</v>
      </c>
    </row>
    <row r="5088" spans="1:12" x14ac:dyDescent="0.2">
      <c r="A5088"/>
      <c r="B5088"/>
      <c r="C5088"/>
      <c r="D5088"/>
      <c r="E5088" s="2">
        <f>Comuni__2[[#This Row],[Popolazione2011]]/$D$7911</f>
        <v>1.4186407748626009E-5</v>
      </c>
      <c r="F5088">
        <f>SUMIFS($D$2:$D$7909, $B$2:$B$7909, "Piemonte")</f>
        <v>4363916</v>
      </c>
      <c r="G5088" s="1">
        <f>Comuni__2[[#This Row],[Popolazione2011]]/Comuni__2[[#This Row],[POPOLAZIONE TOTALE DI OGNI REGIONE (CON FILTRO)]]</f>
        <v>1.9317512069434885E-4</v>
      </c>
      <c r="H5088" t="str">
        <f>IF(Comuni__2[[#This Row],[Popolazione2011]]&gt;300000,"MAGGIORE","")</f>
        <v/>
      </c>
      <c r="J5088">
        <v>196</v>
      </c>
      <c r="K5088">
        <v>2962</v>
      </c>
      <c r="L5088">
        <v>304</v>
      </c>
    </row>
    <row r="5089" spans="1:12" x14ac:dyDescent="0.2">
      <c r="A5089"/>
      <c r="B5089"/>
      <c r="C5089"/>
      <c r="D5089"/>
      <c r="E5089" s="2">
        <f>Comuni__2[[#This Row],[Popolazione2011]]/$D$7911</f>
        <v>1.4135922311798159E-5</v>
      </c>
      <c r="F5089">
        <f>SUMIFS($D$2:$D$7909, $B$2:$B$7909, "Piemonte")</f>
        <v>4363916</v>
      </c>
      <c r="G5089" s="1">
        <f>Comuni__2[[#This Row],[Popolazione2011]]/Comuni__2[[#This Row],[POPOLAZIONE TOTALE DI OGNI REGIONE (CON FILTRO)]]</f>
        <v>1.9248766474881735E-4</v>
      </c>
      <c r="H5089" t="str">
        <f>IF(Comuni__2[[#This Row],[Popolazione2011]]&gt;300000,"MAGGIORE","")</f>
        <v/>
      </c>
      <c r="J5089">
        <v>100</v>
      </c>
      <c r="K5089">
        <v>6154</v>
      </c>
      <c r="L5089">
        <v>432</v>
      </c>
    </row>
    <row r="5090" spans="1:12" x14ac:dyDescent="0.2">
      <c r="A5090"/>
      <c r="B5090"/>
      <c r="C5090"/>
      <c r="D5090"/>
      <c r="E5090" s="2">
        <f>Comuni__2[[#This Row],[Popolazione2011]]/$D$7911</f>
        <v>1.4102265353912925E-5</v>
      </c>
      <c r="F5090">
        <f>SUMIFS($D$2:$D$7909, $B$2:$B$7909, "Piemonte")</f>
        <v>4363916</v>
      </c>
      <c r="G5090" s="1">
        <f>Comuni__2[[#This Row],[Popolazione2011]]/Comuni__2[[#This Row],[POPOLAZIONE TOTALE DI OGNI REGIONE (CON FILTRO)]]</f>
        <v>1.9202936078512969E-4</v>
      </c>
      <c r="H5090" t="str">
        <f>IF(Comuni__2[[#This Row],[Popolazione2011]]&gt;300000,"MAGGIORE","")</f>
        <v/>
      </c>
      <c r="J5090">
        <v>208</v>
      </c>
      <c r="K5090">
        <v>2962</v>
      </c>
      <c r="L5090">
        <v>306</v>
      </c>
    </row>
    <row r="5091" spans="1:12" x14ac:dyDescent="0.2">
      <c r="A5091"/>
      <c r="B5091"/>
      <c r="C5091"/>
      <c r="D5091"/>
      <c r="E5091" s="2">
        <f>Comuni__2[[#This Row],[Popolazione2011]]/$D$7911</f>
        <v>1.4085436874970309E-5</v>
      </c>
      <c r="F5091">
        <f>SUMIFS($D$2:$D$7909, $B$2:$B$7909, "Piemonte")</f>
        <v>4363916</v>
      </c>
      <c r="G5091" s="1">
        <f>Comuni__2[[#This Row],[Popolazione2011]]/Comuni__2[[#This Row],[POPOLAZIONE TOTALE DI OGNI REGIONE (CON FILTRO)]]</f>
        <v>1.9180020880328586E-4</v>
      </c>
      <c r="H5091" t="str">
        <f>IF(Comuni__2[[#This Row],[Popolazione2011]]&gt;300000,"MAGGIORE","")</f>
        <v/>
      </c>
      <c r="J5091">
        <v>118</v>
      </c>
      <c r="K5091">
        <v>6470</v>
      </c>
      <c r="L5091">
        <v>435</v>
      </c>
    </row>
    <row r="5092" spans="1:12" x14ac:dyDescent="0.2">
      <c r="A5092"/>
      <c r="B5092"/>
      <c r="C5092"/>
      <c r="D5092"/>
      <c r="E5092" s="2">
        <f>Comuni__2[[#This Row],[Popolazione2011]]/$D$7911</f>
        <v>1.4051779917085075E-5</v>
      </c>
      <c r="F5092">
        <f>SUMIFS($D$2:$D$7909, $B$2:$B$7909, "Piemonte")</f>
        <v>4363916</v>
      </c>
      <c r="G5092" s="1">
        <f>Comuni__2[[#This Row],[Popolazione2011]]/Comuni__2[[#This Row],[POPOLAZIONE TOTALE DI OGNI REGIONE (CON FILTRO)]]</f>
        <v>1.913419048395982E-4</v>
      </c>
      <c r="H5092" t="str">
        <f>IF(Comuni__2[[#This Row],[Popolazione2011]]&gt;300000,"MAGGIORE","")</f>
        <v/>
      </c>
      <c r="J5092">
        <v>251</v>
      </c>
      <c r="K5092">
        <v>2966</v>
      </c>
      <c r="L5092">
        <v>308</v>
      </c>
    </row>
    <row r="5093" spans="1:12" x14ac:dyDescent="0.2">
      <c r="A5093"/>
      <c r="B5093"/>
      <c r="C5093"/>
      <c r="D5093"/>
      <c r="E5093" s="2">
        <f>Comuni__2[[#This Row],[Popolazione2011]]/$D$7911</f>
        <v>1.4034951438142457E-5</v>
      </c>
      <c r="F5093">
        <f>SUMIFS($D$2:$D$7909, $B$2:$B$7909, "Piemonte")</f>
        <v>4363916</v>
      </c>
      <c r="G5093" s="1">
        <f>Comuni__2[[#This Row],[Popolazione2011]]/Comuni__2[[#This Row],[POPOLAZIONE TOTALE DI OGNI REGIONE (CON FILTRO)]]</f>
        <v>1.9111275285775436E-4</v>
      </c>
      <c r="H5093" t="str">
        <f>IF(Comuni__2[[#This Row],[Popolazione2011]]&gt;300000,"MAGGIORE","")</f>
        <v/>
      </c>
      <c r="J5093">
        <v>127</v>
      </c>
      <c r="K5093">
        <v>6622</v>
      </c>
      <c r="L5093">
        <v>437</v>
      </c>
    </row>
    <row r="5094" spans="1:12" x14ac:dyDescent="0.2">
      <c r="A5094"/>
      <c r="B5094"/>
      <c r="C5094"/>
      <c r="D5094"/>
      <c r="E5094" s="2">
        <f>Comuni__2[[#This Row],[Popolazione2011]]/$D$7911</f>
        <v>1.4018122959199841E-5</v>
      </c>
      <c r="F5094">
        <f>SUMIFS($D$2:$D$7909, $B$2:$B$7909, "Piemonte")</f>
        <v>4363916</v>
      </c>
      <c r="G5094" s="1">
        <f>Comuni__2[[#This Row],[Popolazione2011]]/Comuni__2[[#This Row],[POPOLAZIONE TOTALE DI OGNI REGIONE (CON FILTRO)]]</f>
        <v>1.9088360087591053E-4</v>
      </c>
      <c r="H5094" t="str">
        <f>IF(Comuni__2[[#This Row],[Popolazione2011]]&gt;300000,"MAGGIORE","")</f>
        <v/>
      </c>
      <c r="J5094">
        <v>255</v>
      </c>
      <c r="K5094">
        <v>2970</v>
      </c>
      <c r="L5094">
        <v>312</v>
      </c>
    </row>
    <row r="5095" spans="1:12" x14ac:dyDescent="0.2">
      <c r="A5095"/>
      <c r="B5095"/>
      <c r="C5095"/>
      <c r="D5095"/>
      <c r="E5095" s="2">
        <f>Comuni__2[[#This Row],[Popolazione2011]]/$D$7911</f>
        <v>1.3967637522371991E-5</v>
      </c>
      <c r="F5095">
        <f>SUMIFS($D$2:$D$7909, $B$2:$B$7909, "Piemonte")</f>
        <v>4363916</v>
      </c>
      <c r="G5095" s="1">
        <f>Comuni__2[[#This Row],[Popolazione2011]]/Comuni__2[[#This Row],[POPOLAZIONE TOTALE DI OGNI REGIONE (CON FILTRO)]]</f>
        <v>1.9019614493037904E-4</v>
      </c>
      <c r="H5095" t="str">
        <f>IF(Comuni__2[[#This Row],[Popolazione2011]]&gt;300000,"MAGGIORE","")</f>
        <v/>
      </c>
      <c r="J5095">
        <v>130</v>
      </c>
      <c r="K5095">
        <v>6775</v>
      </c>
      <c r="L5095">
        <v>438</v>
      </c>
    </row>
    <row r="5096" spans="1:12" x14ac:dyDescent="0.2">
      <c r="A5096"/>
      <c r="B5096"/>
      <c r="C5096"/>
      <c r="D5096"/>
      <c r="E5096" s="2">
        <f>Comuni__2[[#This Row],[Popolazione2011]]/$D$7911</f>
        <v>1.3967637522371991E-5</v>
      </c>
      <c r="F5096">
        <f>SUMIFS($D$2:$D$7909, $B$2:$B$7909, "Piemonte")</f>
        <v>4363916</v>
      </c>
      <c r="G5096" s="1">
        <f>Comuni__2[[#This Row],[Popolazione2011]]/Comuni__2[[#This Row],[POPOLAZIONE TOTALE DI OGNI REGIONE (CON FILTRO)]]</f>
        <v>1.9019614493037904E-4</v>
      </c>
      <c r="H5096" t="str">
        <f>IF(Comuni__2[[#This Row],[Popolazione2011]]&gt;300000,"MAGGIORE","")</f>
        <v/>
      </c>
      <c r="J5096">
        <v>290</v>
      </c>
      <c r="K5096">
        <v>2970</v>
      </c>
      <c r="L5096">
        <v>315</v>
      </c>
    </row>
    <row r="5097" spans="1:12" x14ac:dyDescent="0.2">
      <c r="A5097"/>
      <c r="B5097"/>
      <c r="C5097"/>
      <c r="D5097"/>
      <c r="E5097" s="2">
        <f>Comuni__2[[#This Row],[Popolazione2011]]/$D$7911</f>
        <v>1.3950809043429373E-5</v>
      </c>
      <c r="F5097">
        <f>SUMIFS($D$2:$D$7909, $B$2:$B$7909, "Piemonte")</f>
        <v>4363916</v>
      </c>
      <c r="G5097" s="1">
        <f>Comuni__2[[#This Row],[Popolazione2011]]/Comuni__2[[#This Row],[POPOLAZIONE TOTALE DI OGNI REGIONE (CON FILTRO)]]</f>
        <v>1.8996699294853521E-4</v>
      </c>
      <c r="H5097" t="str">
        <f>IF(Comuni__2[[#This Row],[Popolazione2011]]&gt;300000,"MAGGIORE","")</f>
        <v/>
      </c>
      <c r="J5097">
        <v>161</v>
      </c>
      <c r="K5097">
        <v>6807</v>
      </c>
      <c r="L5097">
        <v>441</v>
      </c>
    </row>
    <row r="5098" spans="1:12" x14ac:dyDescent="0.2">
      <c r="A5098"/>
      <c r="B5098"/>
      <c r="C5098"/>
      <c r="D5098"/>
      <c r="E5098" s="2">
        <f>Comuni__2[[#This Row],[Popolazione2011]]/$D$7911</f>
        <v>1.3799352732945821E-5</v>
      </c>
      <c r="F5098">
        <f>SUMIFS($D$2:$D$7909, $B$2:$B$7909, "Piemonte")</f>
        <v>4363916</v>
      </c>
      <c r="G5098" s="1">
        <f>Comuni__2[[#This Row],[Popolazione2011]]/Comuni__2[[#This Row],[POPOLAZIONE TOTALE DI OGNI REGIONE (CON FILTRO)]]</f>
        <v>1.8790462511194075E-4</v>
      </c>
      <c r="H5098" t="str">
        <f>IF(Comuni__2[[#This Row],[Popolazione2011]]&gt;300000,"MAGGIORE","")</f>
        <v/>
      </c>
      <c r="J5098">
        <v>316</v>
      </c>
      <c r="K5098">
        <v>2974</v>
      </c>
      <c r="L5098">
        <v>319</v>
      </c>
    </row>
    <row r="5099" spans="1:12" x14ac:dyDescent="0.2">
      <c r="A5099"/>
      <c r="B5099"/>
      <c r="C5099"/>
      <c r="D5099"/>
      <c r="E5099" s="2">
        <f>Comuni__2[[#This Row],[Popolazione2011]]/$D$7911</f>
        <v>1.3799352732945821E-5</v>
      </c>
      <c r="F5099">
        <f>SUMIFS($D$2:$D$7909, $B$2:$B$7909, "Piemonte")</f>
        <v>4363916</v>
      </c>
      <c r="G5099" s="1">
        <f>Comuni__2[[#This Row],[Popolazione2011]]/Comuni__2[[#This Row],[POPOLAZIONE TOTALE DI OGNI REGIONE (CON FILTRO)]]</f>
        <v>1.8790462511194075E-4</v>
      </c>
      <c r="H5099" t="str">
        <f>IF(Comuni__2[[#This Row],[Popolazione2011]]&gt;300000,"MAGGIORE","")</f>
        <v/>
      </c>
      <c r="J5099">
        <v>189</v>
      </c>
      <c r="K5099">
        <v>6922</v>
      </c>
      <c r="L5099">
        <v>444</v>
      </c>
    </row>
    <row r="5100" spans="1:12" x14ac:dyDescent="0.2">
      <c r="A5100"/>
      <c r="B5100"/>
      <c r="C5100"/>
      <c r="D5100"/>
      <c r="E5100" s="2">
        <f>Comuni__2[[#This Row],[Popolazione2011]]/$D$7911</f>
        <v>1.3782524254003205E-5</v>
      </c>
      <c r="F5100">
        <f>SUMIFS($D$2:$D$7909, $B$2:$B$7909, "Piemonte")</f>
        <v>4363916</v>
      </c>
      <c r="G5100" s="1">
        <f>Comuni__2[[#This Row],[Popolazione2011]]/Comuni__2[[#This Row],[POPOLAZIONE TOTALE DI OGNI REGIONE (CON FILTRO)]]</f>
        <v>1.8767547313009692E-4</v>
      </c>
      <c r="H5100" t="str">
        <f>IF(Comuni__2[[#This Row],[Popolazione2011]]&gt;300000,"MAGGIORE","")</f>
        <v/>
      </c>
      <c r="J5100">
        <v>315</v>
      </c>
      <c r="K5100">
        <v>2976</v>
      </c>
      <c r="L5100">
        <v>320</v>
      </c>
    </row>
    <row r="5101" spans="1:12" x14ac:dyDescent="0.2">
      <c r="A5101"/>
      <c r="B5101"/>
      <c r="C5101"/>
      <c r="D5101"/>
      <c r="E5101" s="2">
        <f>Comuni__2[[#This Row],[Popolazione2011]]/$D$7911</f>
        <v>1.3782524254003205E-5</v>
      </c>
      <c r="F5101">
        <f>SUMIFS($D$2:$D$7909, $B$2:$B$7909, "Piemonte")</f>
        <v>4363916</v>
      </c>
      <c r="G5101" s="1">
        <f>Comuni__2[[#This Row],[Popolazione2011]]/Comuni__2[[#This Row],[POPOLAZIONE TOTALE DI OGNI REGIONE (CON FILTRO)]]</f>
        <v>1.8767547313009692E-4</v>
      </c>
      <c r="H5101" t="str">
        <f>IF(Comuni__2[[#This Row],[Popolazione2011]]&gt;300000,"MAGGIORE","")</f>
        <v/>
      </c>
      <c r="J5101">
        <v>212</v>
      </c>
      <c r="K5101">
        <v>6938</v>
      </c>
      <c r="L5101">
        <v>447</v>
      </c>
    </row>
    <row r="5102" spans="1:12" x14ac:dyDescent="0.2">
      <c r="A5102"/>
      <c r="B5102"/>
      <c r="C5102"/>
      <c r="D5102"/>
      <c r="E5102" s="2">
        <f>Comuni__2[[#This Row],[Popolazione2011]]/$D$7911</f>
        <v>1.3748867296117971E-5</v>
      </c>
      <c r="F5102">
        <f>SUMIFS($D$2:$D$7909, $B$2:$B$7909, "Piemonte")</f>
        <v>4363916</v>
      </c>
      <c r="G5102" s="1">
        <f>Comuni__2[[#This Row],[Popolazione2011]]/Comuni__2[[#This Row],[POPOLAZIONE TOTALE DI OGNI REGIONE (CON FILTRO)]]</f>
        <v>1.8721716916640925E-4</v>
      </c>
      <c r="H5102" t="str">
        <f>IF(Comuni__2[[#This Row],[Popolazione2011]]&gt;300000,"MAGGIORE","")</f>
        <v/>
      </c>
      <c r="J5102">
        <v>342</v>
      </c>
      <c r="K5102">
        <v>2979</v>
      </c>
      <c r="L5102">
        <v>322</v>
      </c>
    </row>
    <row r="5103" spans="1:12" x14ac:dyDescent="0.2">
      <c r="A5103"/>
      <c r="B5103"/>
      <c r="C5103"/>
      <c r="D5103"/>
      <c r="E5103" s="2">
        <f>Comuni__2[[#This Row],[Popolazione2011]]/$D$7911</f>
        <v>1.3732038817175355E-5</v>
      </c>
      <c r="F5103">
        <f>SUMIFS($D$2:$D$7909, $B$2:$B$7909, "Piemonte")</f>
        <v>4363916</v>
      </c>
      <c r="G5103" s="1">
        <f>Comuni__2[[#This Row],[Popolazione2011]]/Comuni__2[[#This Row],[POPOLAZIONE TOTALE DI OGNI REGIONE (CON FILTRO)]]</f>
        <v>1.8698801718456542E-4</v>
      </c>
      <c r="H5103" t="str">
        <f>IF(Comuni__2[[#This Row],[Popolazione2011]]&gt;300000,"MAGGIORE","")</f>
        <v/>
      </c>
      <c r="J5103">
        <v>222</v>
      </c>
      <c r="K5103">
        <v>7103</v>
      </c>
      <c r="L5103">
        <v>451</v>
      </c>
    </row>
    <row r="5104" spans="1:12" x14ac:dyDescent="0.2">
      <c r="A5104"/>
      <c r="B5104"/>
      <c r="C5104"/>
      <c r="D5104"/>
      <c r="E5104" s="2">
        <f>Comuni__2[[#This Row],[Popolazione2011]]/$D$7911</f>
        <v>1.3732038817175355E-5</v>
      </c>
      <c r="F5104">
        <f>SUMIFS($D$2:$D$7909, $B$2:$B$7909, "Piemonte")</f>
        <v>4363916</v>
      </c>
      <c r="G5104" s="1">
        <f>Comuni__2[[#This Row],[Popolazione2011]]/Comuni__2[[#This Row],[POPOLAZIONE TOTALE DI OGNI REGIONE (CON FILTRO)]]</f>
        <v>1.8698801718456542E-4</v>
      </c>
      <c r="H5104" t="str">
        <f>IF(Comuni__2[[#This Row],[Popolazione2011]]&gt;300000,"MAGGIORE","")</f>
        <v/>
      </c>
      <c r="J5104">
        <v>368</v>
      </c>
      <c r="K5104">
        <v>2985</v>
      </c>
      <c r="L5104">
        <v>326</v>
      </c>
    </row>
    <row r="5105" spans="1:12" x14ac:dyDescent="0.2">
      <c r="A5105"/>
      <c r="B5105"/>
      <c r="C5105"/>
      <c r="D5105"/>
      <c r="E5105" s="2">
        <f>Comuni__2[[#This Row],[Popolazione2011]]/$D$7911</f>
        <v>1.3715210338232737E-5</v>
      </c>
      <c r="F5105">
        <f>SUMIFS($D$2:$D$7909, $B$2:$B$7909, "Piemonte")</f>
        <v>4363916</v>
      </c>
      <c r="G5105" s="1">
        <f>Comuni__2[[#This Row],[Popolazione2011]]/Comuni__2[[#This Row],[POPOLAZIONE TOTALE DI OGNI REGIONE (CON FILTRO)]]</f>
        <v>1.8675886520272159E-4</v>
      </c>
      <c r="H5105" t="str">
        <f>IF(Comuni__2[[#This Row],[Popolazione2011]]&gt;300000,"MAGGIORE","")</f>
        <v/>
      </c>
      <c r="J5105">
        <v>239</v>
      </c>
      <c r="K5105">
        <v>7402</v>
      </c>
      <c r="L5105">
        <v>454</v>
      </c>
    </row>
    <row r="5106" spans="1:12" x14ac:dyDescent="0.2">
      <c r="A5106"/>
      <c r="B5106"/>
      <c r="C5106"/>
      <c r="D5106"/>
      <c r="E5106" s="2">
        <f>Comuni__2[[#This Row],[Popolazione2011]]/$D$7911</f>
        <v>1.3681553380347503E-5</v>
      </c>
      <c r="F5106">
        <f>SUMIFS($D$2:$D$7909, $B$2:$B$7909, "Piemonte")</f>
        <v>4363916</v>
      </c>
      <c r="G5106" s="1">
        <f>Comuni__2[[#This Row],[Popolazione2011]]/Comuni__2[[#This Row],[POPOLAZIONE TOTALE DI OGNI REGIONE (CON FILTRO)]]</f>
        <v>1.8630056123903393E-4</v>
      </c>
      <c r="H5106" t="str">
        <f>IF(Comuni__2[[#This Row],[Popolazione2011]]&gt;300000,"MAGGIORE","")</f>
        <v/>
      </c>
      <c r="J5106">
        <v>391</v>
      </c>
      <c r="K5106">
        <v>4196</v>
      </c>
      <c r="L5106">
        <v>330</v>
      </c>
    </row>
    <row r="5107" spans="1:12" x14ac:dyDescent="0.2">
      <c r="A5107"/>
      <c r="B5107"/>
      <c r="C5107"/>
      <c r="D5107"/>
      <c r="E5107" s="2">
        <f>Comuni__2[[#This Row],[Popolazione2011]]/$D$7911</f>
        <v>1.3664724901404887E-5</v>
      </c>
      <c r="F5107">
        <f>SUMIFS($D$2:$D$7909, $B$2:$B$7909, "Piemonte")</f>
        <v>4363916</v>
      </c>
      <c r="G5107" s="1">
        <f>Comuni__2[[#This Row],[Popolazione2011]]/Comuni__2[[#This Row],[POPOLAZIONE TOTALE DI OGNI REGIONE (CON FILTRO)]]</f>
        <v>1.860714092571901E-4</v>
      </c>
      <c r="H5107" t="str">
        <f>IF(Comuni__2[[#This Row],[Popolazione2011]]&gt;300000,"MAGGIORE","")</f>
        <v/>
      </c>
      <c r="J5107">
        <v>243</v>
      </c>
      <c r="K5107">
        <v>7561</v>
      </c>
      <c r="L5107">
        <v>459</v>
      </c>
    </row>
    <row r="5108" spans="1:12" x14ac:dyDescent="0.2">
      <c r="A5108"/>
      <c r="B5108"/>
      <c r="C5108"/>
      <c r="D5108"/>
      <c r="E5108" s="2">
        <f>Comuni__2[[#This Row],[Popolazione2011]]/$D$7911</f>
        <v>1.3647896422462269E-5</v>
      </c>
      <c r="F5108">
        <f>SUMIFS($D$2:$D$7909, $B$2:$B$7909, "Piemonte")</f>
        <v>4363916</v>
      </c>
      <c r="G5108" s="1">
        <f>Comuni__2[[#This Row],[Popolazione2011]]/Comuni__2[[#This Row],[POPOLAZIONE TOTALE DI OGNI REGIONE (CON FILTRO)]]</f>
        <v>1.8584225727534626E-4</v>
      </c>
      <c r="H5108" t="str">
        <f>IF(Comuni__2[[#This Row],[Popolazione2011]]&gt;300000,"MAGGIORE","")</f>
        <v/>
      </c>
      <c r="J5108">
        <v>397</v>
      </c>
      <c r="K5108">
        <v>4528</v>
      </c>
      <c r="L5108">
        <v>337</v>
      </c>
    </row>
    <row r="5109" spans="1:12" x14ac:dyDescent="0.2">
      <c r="A5109"/>
      <c r="B5109"/>
      <c r="C5109"/>
      <c r="D5109"/>
      <c r="E5109" s="2">
        <f>Comuni__2[[#This Row],[Popolazione2011]]/$D$7911</f>
        <v>1.3580582506691803E-5</v>
      </c>
      <c r="F5109">
        <f>SUMIFS($D$2:$D$7909, $B$2:$B$7909, "Piemonte")</f>
        <v>4363916</v>
      </c>
      <c r="G5109" s="1">
        <f>Comuni__2[[#This Row],[Popolazione2011]]/Comuni__2[[#This Row],[POPOLAZIONE TOTALE DI OGNI REGIONE (CON FILTRO)]]</f>
        <v>1.8492564934797094E-4</v>
      </c>
      <c r="H5109" t="str">
        <f>IF(Comuni__2[[#This Row],[Popolazione2011]]&gt;300000,"MAGGIORE","")</f>
        <v/>
      </c>
      <c r="J5109">
        <v>261</v>
      </c>
      <c r="K5109">
        <v>7622</v>
      </c>
      <c r="L5109">
        <v>464</v>
      </c>
    </row>
    <row r="5110" spans="1:12" x14ac:dyDescent="0.2">
      <c r="A5110"/>
      <c r="B5110"/>
      <c r="C5110"/>
      <c r="D5110"/>
      <c r="E5110" s="2">
        <f>Comuni__2[[#This Row],[Popolazione2011]]/$D$7911</f>
        <v>1.3530097069863951E-5</v>
      </c>
      <c r="F5110">
        <f>SUMIFS($D$2:$D$7909, $B$2:$B$7909, "Piemonte")</f>
        <v>4363916</v>
      </c>
      <c r="G5110" s="1">
        <f>Comuni__2[[#This Row],[Popolazione2011]]/Comuni__2[[#This Row],[POPOLAZIONE TOTALE DI OGNI REGIONE (CON FILTRO)]]</f>
        <v>1.8423819340243947E-4</v>
      </c>
      <c r="H5110" t="str">
        <f>IF(Comuni__2[[#This Row],[Popolazione2011]]&gt;300000,"MAGGIORE","")</f>
        <v/>
      </c>
      <c r="J5110">
        <v>437</v>
      </c>
      <c r="K5110">
        <v>4798</v>
      </c>
      <c r="L5110">
        <v>341</v>
      </c>
    </row>
    <row r="5111" spans="1:12" x14ac:dyDescent="0.2">
      <c r="A5111"/>
      <c r="B5111"/>
      <c r="C5111"/>
      <c r="D5111"/>
      <c r="E5111" s="2">
        <f>Comuni__2[[#This Row],[Popolazione2011]]/$D$7911</f>
        <v>1.3496440111978719E-5</v>
      </c>
      <c r="F5111">
        <f>SUMIFS($D$2:$D$7909, $B$2:$B$7909, "Piemonte")</f>
        <v>4363916</v>
      </c>
      <c r="G5111" s="1">
        <f>Comuni__2[[#This Row],[Popolazione2011]]/Comuni__2[[#This Row],[POPOLAZIONE TOTALE DI OGNI REGIONE (CON FILTRO)]]</f>
        <v>1.8377988943875181E-4</v>
      </c>
      <c r="H5111" t="str">
        <f>IF(Comuni__2[[#This Row],[Popolazione2011]]&gt;300000,"MAGGIORE","")</f>
        <v/>
      </c>
      <c r="J5111">
        <v>275</v>
      </c>
      <c r="K5111">
        <v>7668</v>
      </c>
      <c r="L5111">
        <v>465</v>
      </c>
    </row>
    <row r="5112" spans="1:12" x14ac:dyDescent="0.2">
      <c r="A5112"/>
      <c r="B5112"/>
      <c r="C5112"/>
      <c r="D5112"/>
      <c r="E5112" s="2">
        <f>Comuni__2[[#This Row],[Popolazione2011]]/$D$7911</f>
        <v>1.3328155322552549E-5</v>
      </c>
      <c r="F5112">
        <f>SUMIFS($D$2:$D$7909, $B$2:$B$7909, "Piemonte")</f>
        <v>4363916</v>
      </c>
      <c r="G5112" s="1">
        <f>Comuni__2[[#This Row],[Popolazione2011]]/Comuni__2[[#This Row],[POPOLAZIONE TOTALE DI OGNI REGIONE (CON FILTRO)]]</f>
        <v>1.8148836962031349E-4</v>
      </c>
      <c r="H5112" t="str">
        <f>IF(Comuni__2[[#This Row],[Popolazione2011]]&gt;300000,"MAGGIORE","")</f>
        <v/>
      </c>
      <c r="J5112">
        <v>452</v>
      </c>
      <c r="K5112">
        <v>4950</v>
      </c>
      <c r="L5112">
        <v>345</v>
      </c>
    </row>
    <row r="5113" spans="1:12" x14ac:dyDescent="0.2">
      <c r="A5113"/>
      <c r="B5113"/>
      <c r="C5113"/>
      <c r="D5113"/>
      <c r="E5113" s="2">
        <f>Comuni__2[[#This Row],[Popolazione2011]]/$D$7911</f>
        <v>1.3260841406782083E-5</v>
      </c>
      <c r="F5113">
        <f>SUMIFS($D$2:$D$7909, $B$2:$B$7909, "Piemonte")</f>
        <v>4363916</v>
      </c>
      <c r="G5113" s="1">
        <f>Comuni__2[[#This Row],[Popolazione2011]]/Comuni__2[[#This Row],[POPOLAZIONE TOTALE DI OGNI REGIONE (CON FILTRO)]]</f>
        <v>1.8057176169293819E-4</v>
      </c>
      <c r="H5113" t="str">
        <f>IF(Comuni__2[[#This Row],[Popolazione2011]]&gt;300000,"MAGGIORE","")</f>
        <v/>
      </c>
      <c r="J5113">
        <v>299</v>
      </c>
      <c r="K5113">
        <v>7698</v>
      </c>
      <c r="L5113">
        <v>471</v>
      </c>
    </row>
    <row r="5114" spans="1:12" x14ac:dyDescent="0.2">
      <c r="A5114"/>
      <c r="B5114"/>
      <c r="C5114"/>
      <c r="D5114"/>
      <c r="E5114" s="2">
        <f>Comuni__2[[#This Row],[Popolazione2011]]/$D$7911</f>
        <v>1.3210355969954231E-5</v>
      </c>
      <c r="F5114">
        <f>SUMIFS($D$2:$D$7909, $B$2:$B$7909, "Piemonte")</f>
        <v>4363916</v>
      </c>
      <c r="G5114" s="1">
        <f>Comuni__2[[#This Row],[Popolazione2011]]/Comuni__2[[#This Row],[POPOLAZIONE TOTALE DI OGNI REGIONE (CON FILTRO)]]</f>
        <v>1.798843057474067E-4</v>
      </c>
      <c r="H5114" t="str">
        <f>IF(Comuni__2[[#This Row],[Popolazione2011]]&gt;300000,"MAGGIORE","")</f>
        <v/>
      </c>
      <c r="J5114">
        <v>464</v>
      </c>
      <c r="K5114">
        <v>5071</v>
      </c>
      <c r="L5114">
        <v>350</v>
      </c>
    </row>
    <row r="5115" spans="1:12" x14ac:dyDescent="0.2">
      <c r="A5115"/>
      <c r="B5115"/>
      <c r="C5115"/>
      <c r="D5115"/>
      <c r="E5115" s="2">
        <f>Comuni__2[[#This Row],[Popolazione2011]]/$D$7911</f>
        <v>1.3143042054183765E-5</v>
      </c>
      <c r="F5115">
        <f>SUMIFS($D$2:$D$7909, $B$2:$B$7909, "Piemonte")</f>
        <v>4363916</v>
      </c>
      <c r="G5115" s="1">
        <f>Comuni__2[[#This Row],[Popolazione2011]]/Comuni__2[[#This Row],[POPOLAZIONE TOTALE DI OGNI REGIONE (CON FILTRO)]]</f>
        <v>1.7896769782003137E-4</v>
      </c>
      <c r="H5115" t="str">
        <f>IF(Comuni__2[[#This Row],[Popolazione2011]]&gt;300000,"MAGGIORE","")</f>
        <v/>
      </c>
      <c r="J5115">
        <v>318</v>
      </c>
      <c r="K5115">
        <v>8100</v>
      </c>
      <c r="L5115">
        <v>477</v>
      </c>
    </row>
    <row r="5116" spans="1:12" x14ac:dyDescent="0.2">
      <c r="A5116"/>
      <c r="B5116"/>
      <c r="C5116"/>
      <c r="D5116"/>
      <c r="E5116" s="2">
        <f>Comuni__2[[#This Row],[Popolazione2011]]/$D$7911</f>
        <v>1.3143042054183765E-5</v>
      </c>
      <c r="F5116">
        <f>SUMIFS($D$2:$D$7909, $B$2:$B$7909, "Piemonte")</f>
        <v>4363916</v>
      </c>
      <c r="G5116" s="1">
        <f>Comuni__2[[#This Row],[Popolazione2011]]/Comuni__2[[#This Row],[POPOLAZIONE TOTALE DI OGNI REGIONE (CON FILTRO)]]</f>
        <v>1.7896769782003137E-4</v>
      </c>
      <c r="H5116" t="str">
        <f>IF(Comuni__2[[#This Row],[Popolazione2011]]&gt;300000,"MAGGIORE","")</f>
        <v/>
      </c>
      <c r="J5116">
        <v>464</v>
      </c>
      <c r="K5116">
        <v>5226</v>
      </c>
      <c r="L5116">
        <v>359</v>
      </c>
    </row>
    <row r="5117" spans="1:12" x14ac:dyDescent="0.2">
      <c r="A5117"/>
      <c r="B5117"/>
      <c r="C5117"/>
      <c r="D5117"/>
      <c r="E5117" s="2">
        <f>Comuni__2[[#This Row],[Popolazione2011]]/$D$7911</f>
        <v>1.3143042054183765E-5</v>
      </c>
      <c r="F5117">
        <f>SUMIFS($D$2:$D$7909, $B$2:$B$7909, "Piemonte")</f>
        <v>4363916</v>
      </c>
      <c r="G5117" s="1">
        <f>Comuni__2[[#This Row],[Popolazione2011]]/Comuni__2[[#This Row],[POPOLAZIONE TOTALE DI OGNI REGIONE (CON FILTRO)]]</f>
        <v>1.7896769782003137E-4</v>
      </c>
      <c r="H5117" t="str">
        <f>IF(Comuni__2[[#This Row],[Popolazione2011]]&gt;300000,"MAGGIORE","")</f>
        <v/>
      </c>
      <c r="J5117">
        <v>338</v>
      </c>
      <c r="K5117">
        <v>8367</v>
      </c>
      <c r="L5117">
        <v>485</v>
      </c>
    </row>
    <row r="5118" spans="1:12" x14ac:dyDescent="0.2">
      <c r="A5118"/>
      <c r="B5118"/>
      <c r="C5118"/>
      <c r="D5118"/>
      <c r="E5118" s="2">
        <f>Comuni__2[[#This Row],[Popolazione2011]]/$D$7911</f>
        <v>1.3075728138413297E-5</v>
      </c>
      <c r="F5118">
        <f>SUMIFS($D$2:$D$7909, $B$2:$B$7909, "Piemonte")</f>
        <v>4363916</v>
      </c>
      <c r="G5118" s="1">
        <f>Comuni__2[[#This Row],[Popolazione2011]]/Comuni__2[[#This Row],[POPOLAZIONE TOTALE DI OGNI REGIONE (CON FILTRO)]]</f>
        <v>1.7805108989265604E-4</v>
      </c>
      <c r="H5118" t="str">
        <f>IF(Comuni__2[[#This Row],[Popolazione2011]]&gt;300000,"MAGGIORE","")</f>
        <v/>
      </c>
      <c r="J5118">
        <v>490</v>
      </c>
      <c r="K5118">
        <v>5564</v>
      </c>
      <c r="L5118">
        <v>365</v>
      </c>
    </row>
    <row r="5119" spans="1:12" x14ac:dyDescent="0.2">
      <c r="A5119"/>
      <c r="B5119"/>
      <c r="C5119"/>
      <c r="D5119"/>
      <c r="E5119" s="2">
        <f>Comuni__2[[#This Row],[Popolazione2011]]/$D$7911</f>
        <v>1.3025242701585447E-5</v>
      </c>
      <c r="F5119">
        <f>SUMIFS($D$2:$D$7909, $B$2:$B$7909, "Piemonte")</f>
        <v>4363916</v>
      </c>
      <c r="G5119" s="1">
        <f>Comuni__2[[#This Row],[Popolazione2011]]/Comuni__2[[#This Row],[POPOLAZIONE TOTALE DI OGNI REGIONE (CON FILTRO)]]</f>
        <v>1.7736363394712455E-4</v>
      </c>
      <c r="H5119" t="str">
        <f>IF(Comuni__2[[#This Row],[Popolazione2011]]&gt;300000,"MAGGIORE","")</f>
        <v/>
      </c>
      <c r="J5119">
        <v>368</v>
      </c>
      <c r="K5119">
        <v>8566</v>
      </c>
      <c r="L5119">
        <v>493</v>
      </c>
    </row>
    <row r="5120" spans="1:12" x14ac:dyDescent="0.2">
      <c r="A5120"/>
      <c r="B5120"/>
      <c r="C5120"/>
      <c r="D5120"/>
      <c r="E5120" s="2">
        <f>Comuni__2[[#This Row],[Popolazione2011]]/$D$7911</f>
        <v>1.3008414222642829E-5</v>
      </c>
      <c r="F5120">
        <f>SUMIFS($D$2:$D$7909, $B$2:$B$7909, "Piemonte")</f>
        <v>4363916</v>
      </c>
      <c r="G5120" s="1">
        <f>Comuni__2[[#This Row],[Popolazione2011]]/Comuni__2[[#This Row],[POPOLAZIONE TOTALE DI OGNI REGIONE (CON FILTRO)]]</f>
        <v>1.7713448196528072E-4</v>
      </c>
      <c r="H5120" t="str">
        <f>IF(Comuni__2[[#This Row],[Popolazione2011]]&gt;300000,"MAGGIORE","")</f>
        <v/>
      </c>
      <c r="J5120">
        <v>494</v>
      </c>
      <c r="K5120">
        <v>5896</v>
      </c>
      <c r="L5120">
        <v>374</v>
      </c>
    </row>
    <row r="5121" spans="1:12" x14ac:dyDescent="0.2">
      <c r="A5121"/>
      <c r="B5121"/>
      <c r="C5121"/>
      <c r="D5121"/>
      <c r="E5121" s="2">
        <f>Comuni__2[[#This Row],[Popolazione2011]]/$D$7911</f>
        <v>1.3008414222642829E-5</v>
      </c>
      <c r="F5121">
        <f>SUMIFS($D$2:$D$7909, $B$2:$B$7909, "Piemonte")</f>
        <v>4363916</v>
      </c>
      <c r="G5121" s="1">
        <f>Comuni__2[[#This Row],[Popolazione2011]]/Comuni__2[[#This Row],[POPOLAZIONE TOTALE DI OGNI REGIONE (CON FILTRO)]]</f>
        <v>1.7713448196528072E-4</v>
      </c>
      <c r="H5121" t="str">
        <f>IF(Comuni__2[[#This Row],[Popolazione2011]]&gt;300000,"MAGGIORE","")</f>
        <v/>
      </c>
      <c r="J5121">
        <v>383</v>
      </c>
      <c r="K5121">
        <v>8669</v>
      </c>
      <c r="L5121">
        <v>505</v>
      </c>
    </row>
    <row r="5122" spans="1:12" x14ac:dyDescent="0.2">
      <c r="A5122"/>
      <c r="B5122"/>
      <c r="C5122"/>
      <c r="D5122"/>
      <c r="E5122" s="2">
        <f>Comuni__2[[#This Row],[Popolazione2011]]/$D$7911</f>
        <v>1.2991585743700213E-5</v>
      </c>
      <c r="F5122">
        <f>SUMIFS($D$2:$D$7909, $B$2:$B$7909, "Piemonte")</f>
        <v>4363916</v>
      </c>
      <c r="G5122" s="1">
        <f>Comuni__2[[#This Row],[Popolazione2011]]/Comuni__2[[#This Row],[POPOLAZIONE TOTALE DI OGNI REGIONE (CON FILTRO)]]</f>
        <v>1.7690532998343688E-4</v>
      </c>
      <c r="H5122" t="str">
        <f>IF(Comuni__2[[#This Row],[Popolazione2011]]&gt;300000,"MAGGIORE","")</f>
        <v/>
      </c>
      <c r="J5122">
        <v>500</v>
      </c>
      <c r="K5122">
        <v>6236</v>
      </c>
      <c r="L5122">
        <v>379</v>
      </c>
    </row>
    <row r="5123" spans="1:12" x14ac:dyDescent="0.2">
      <c r="A5123"/>
      <c r="B5123"/>
      <c r="C5123"/>
      <c r="D5123"/>
      <c r="E5123" s="2">
        <f>Comuni__2[[#This Row],[Popolazione2011]]/$D$7911</f>
        <v>1.2974757264757595E-5</v>
      </c>
      <c r="F5123">
        <f>SUMIFS($D$2:$D$7909, $B$2:$B$7909, "Piemonte")</f>
        <v>4363916</v>
      </c>
      <c r="G5123" s="1">
        <f>Comuni__2[[#This Row],[Popolazione2011]]/Comuni__2[[#This Row],[POPOLAZIONE TOTALE DI OGNI REGIONE (CON FILTRO)]]</f>
        <v>1.7667617800159305E-4</v>
      </c>
      <c r="H5123" t="str">
        <f>IF(Comuni__2[[#This Row],[Popolazione2011]]&gt;300000,"MAGGIORE","")</f>
        <v/>
      </c>
      <c r="J5123">
        <v>386</v>
      </c>
      <c r="K5123">
        <v>8950</v>
      </c>
      <c r="L5123">
        <v>516</v>
      </c>
    </row>
    <row r="5124" spans="1:12" x14ac:dyDescent="0.2">
      <c r="A5124"/>
      <c r="B5124"/>
      <c r="C5124"/>
      <c r="D5124"/>
      <c r="E5124" s="2">
        <f>Comuni__2[[#This Row],[Popolazione2011]]/$D$7911</f>
        <v>1.2957928785814979E-5</v>
      </c>
      <c r="F5124">
        <f>SUMIFS($D$2:$D$7909, $B$2:$B$7909, "Piemonte")</f>
        <v>4363916</v>
      </c>
      <c r="G5124" s="1">
        <f>Comuni__2[[#This Row],[Popolazione2011]]/Comuni__2[[#This Row],[POPOLAZIONE TOTALE DI OGNI REGIONE (CON FILTRO)]]</f>
        <v>1.7644702601974922E-4</v>
      </c>
      <c r="H5124" t="str">
        <f>IF(Comuni__2[[#This Row],[Popolazione2011]]&gt;300000,"MAGGIORE","")</f>
        <v/>
      </c>
      <c r="J5124">
        <v>522</v>
      </c>
      <c r="K5124">
        <v>6614</v>
      </c>
      <c r="L5124">
        <v>398</v>
      </c>
    </row>
    <row r="5125" spans="1:12" x14ac:dyDescent="0.2">
      <c r="A5125"/>
      <c r="B5125"/>
      <c r="C5125"/>
      <c r="D5125"/>
      <c r="E5125" s="2">
        <f>Comuni__2[[#This Row],[Popolazione2011]]/$D$7911</f>
        <v>1.2873786391101895E-5</v>
      </c>
      <c r="F5125">
        <f>SUMIFS($D$2:$D$7909, $B$2:$B$7909, "Piemonte")</f>
        <v>4363916</v>
      </c>
      <c r="G5125" s="1">
        <f>Comuni__2[[#This Row],[Popolazione2011]]/Comuni__2[[#This Row],[POPOLAZIONE TOTALE DI OGNI REGIONE (CON FILTRO)]]</f>
        <v>1.7530126611053009E-4</v>
      </c>
      <c r="H5125" t="str">
        <f>IF(Comuni__2[[#This Row],[Popolazione2011]]&gt;300000,"MAGGIORE","")</f>
        <v/>
      </c>
      <c r="J5125">
        <v>403</v>
      </c>
      <c r="K5125">
        <v>9082</v>
      </c>
      <c r="L5125">
        <v>524</v>
      </c>
    </row>
    <row r="5126" spans="1:12" x14ac:dyDescent="0.2">
      <c r="A5126"/>
      <c r="B5126"/>
      <c r="C5126"/>
      <c r="D5126"/>
      <c r="E5126" s="2">
        <f>Comuni__2[[#This Row],[Popolazione2011]]/$D$7911</f>
        <v>1.2873786391101895E-5</v>
      </c>
      <c r="F5126">
        <f>SUMIFS($D$2:$D$7909, $B$2:$B$7909, "Piemonte")</f>
        <v>4363916</v>
      </c>
      <c r="G5126" s="1">
        <f>Comuni__2[[#This Row],[Popolazione2011]]/Comuni__2[[#This Row],[POPOLAZIONE TOTALE DI OGNI REGIONE (CON FILTRO)]]</f>
        <v>1.7530126611053009E-4</v>
      </c>
      <c r="H5126" t="str">
        <f>IF(Comuni__2[[#This Row],[Popolazione2011]]&gt;300000,"MAGGIORE","")</f>
        <v/>
      </c>
      <c r="J5126">
        <v>530</v>
      </c>
      <c r="K5126">
        <v>6873</v>
      </c>
      <c r="L5126">
        <v>405</v>
      </c>
    </row>
    <row r="5127" spans="1:12" x14ac:dyDescent="0.2">
      <c r="A5127"/>
      <c r="B5127"/>
      <c r="C5127"/>
      <c r="D5127"/>
      <c r="E5127" s="2">
        <f>Comuni__2[[#This Row],[Popolazione2011]]/$D$7911</f>
        <v>1.2772815517446193E-5</v>
      </c>
      <c r="F5127">
        <f>SUMIFS($D$2:$D$7909, $B$2:$B$7909, "Piemonte")</f>
        <v>4363916</v>
      </c>
      <c r="G5127" s="1">
        <f>Comuni__2[[#This Row],[Popolazione2011]]/Comuni__2[[#This Row],[POPOLAZIONE TOTALE DI OGNI REGIONE (CON FILTRO)]]</f>
        <v>1.739263542194671E-4</v>
      </c>
      <c r="H5127" t="str">
        <f>IF(Comuni__2[[#This Row],[Popolazione2011]]&gt;300000,"MAGGIORE","")</f>
        <v/>
      </c>
      <c r="J5127">
        <v>418</v>
      </c>
      <c r="K5127">
        <v>9372</v>
      </c>
      <c r="L5127">
        <v>539</v>
      </c>
    </row>
    <row r="5128" spans="1:12" x14ac:dyDescent="0.2">
      <c r="A5128"/>
      <c r="B5128"/>
      <c r="C5128"/>
      <c r="D5128"/>
      <c r="E5128" s="2">
        <f>Comuni__2[[#This Row],[Popolazione2011]]/$D$7911</f>
        <v>1.2739158559560959E-5</v>
      </c>
      <c r="F5128">
        <f>SUMIFS($D$2:$D$7909, $B$2:$B$7909, "Piemonte")</f>
        <v>4363916</v>
      </c>
      <c r="G5128" s="1">
        <f>Comuni__2[[#This Row],[Popolazione2011]]/Comuni__2[[#This Row],[POPOLAZIONE TOTALE DI OGNI REGIONE (CON FILTRO)]]</f>
        <v>1.7346805025577944E-4</v>
      </c>
      <c r="H5128" t="str">
        <f>IF(Comuni__2[[#This Row],[Popolazione2011]]&gt;300000,"MAGGIORE","")</f>
        <v/>
      </c>
      <c r="J5128">
        <v>526</v>
      </c>
      <c r="K5128">
        <v>6989</v>
      </c>
      <c r="L5128">
        <v>414</v>
      </c>
    </row>
    <row r="5129" spans="1:12" x14ac:dyDescent="0.2">
      <c r="A5129"/>
      <c r="B5129"/>
      <c r="C5129"/>
      <c r="D5129"/>
      <c r="E5129" s="2">
        <f>Comuni__2[[#This Row],[Popolazione2011]]/$D$7911</f>
        <v>1.2688673122733109E-5</v>
      </c>
      <c r="F5129">
        <f>SUMIFS($D$2:$D$7909, $B$2:$B$7909, "Piemonte")</f>
        <v>4363916</v>
      </c>
      <c r="G5129" s="1">
        <f>Comuni__2[[#This Row],[Popolazione2011]]/Comuni__2[[#This Row],[POPOLAZIONE TOTALE DI OGNI REGIONE (CON FILTRO)]]</f>
        <v>1.7278059431024794E-4</v>
      </c>
      <c r="H5129" t="str">
        <f>IF(Comuni__2[[#This Row],[Popolazione2011]]&gt;300000,"MAGGIORE","")</f>
        <v/>
      </c>
      <c r="J5129">
        <v>423</v>
      </c>
      <c r="K5129">
        <v>9489</v>
      </c>
      <c r="L5129">
        <v>542</v>
      </c>
    </row>
    <row r="5130" spans="1:12" x14ac:dyDescent="0.2">
      <c r="A5130"/>
      <c r="B5130"/>
      <c r="C5130"/>
      <c r="D5130"/>
      <c r="E5130" s="2">
        <f>Comuni__2[[#This Row],[Popolazione2011]]/$D$7911</f>
        <v>1.2688673122733109E-5</v>
      </c>
      <c r="F5130">
        <f>SUMIFS($D$2:$D$7909, $B$2:$B$7909, "Piemonte")</f>
        <v>4363916</v>
      </c>
      <c r="G5130" s="1">
        <f>Comuni__2[[#This Row],[Popolazione2011]]/Comuni__2[[#This Row],[POPOLAZIONE TOTALE DI OGNI REGIONE (CON FILTRO)]]</f>
        <v>1.7278059431024794E-4</v>
      </c>
      <c r="H5130" t="str">
        <f>IF(Comuni__2[[#This Row],[Popolazione2011]]&gt;300000,"MAGGIORE","")</f>
        <v/>
      </c>
      <c r="J5130">
        <v>520</v>
      </c>
      <c r="K5130">
        <v>7359</v>
      </c>
      <c r="L5130">
        <v>425</v>
      </c>
    </row>
    <row r="5131" spans="1:12" x14ac:dyDescent="0.2">
      <c r="A5131"/>
      <c r="B5131"/>
      <c r="C5131"/>
      <c r="D5131"/>
      <c r="E5131" s="2">
        <f>Comuni__2[[#This Row],[Popolazione2011]]/$D$7911</f>
        <v>1.2638187685905259E-5</v>
      </c>
      <c r="F5131">
        <f>SUMIFS($D$2:$D$7909, $B$2:$B$7909, "Piemonte")</f>
        <v>4363916</v>
      </c>
      <c r="G5131" s="1">
        <f>Comuni__2[[#This Row],[Popolazione2011]]/Comuni__2[[#This Row],[POPOLAZIONE TOTALE DI OGNI REGIONE (CON FILTRO)]]</f>
        <v>1.7209313836471647E-4</v>
      </c>
      <c r="H5131" t="str">
        <f>IF(Comuni__2[[#This Row],[Popolazione2011]]&gt;300000,"MAGGIORE","")</f>
        <v/>
      </c>
      <c r="J5131">
        <v>436</v>
      </c>
      <c r="K5131">
        <v>9852</v>
      </c>
      <c r="L5131">
        <v>549</v>
      </c>
    </row>
    <row r="5132" spans="1:12" x14ac:dyDescent="0.2">
      <c r="A5132"/>
      <c r="B5132"/>
      <c r="C5132"/>
      <c r="D5132"/>
      <c r="E5132" s="2">
        <f>Comuni__2[[#This Row],[Popolazione2011]]/$D$7911</f>
        <v>1.2604530728020025E-5</v>
      </c>
      <c r="F5132">
        <f>SUMIFS($D$2:$D$7909, $B$2:$B$7909, "Piemonte")</f>
        <v>4363916</v>
      </c>
      <c r="G5132" s="1">
        <f>Comuni__2[[#This Row],[Popolazione2011]]/Comuni__2[[#This Row],[POPOLAZIONE TOTALE DI OGNI REGIONE (CON FILTRO)]]</f>
        <v>1.7163483440102881E-4</v>
      </c>
      <c r="H5132" t="str">
        <f>IF(Comuni__2[[#This Row],[Popolazione2011]]&gt;300000,"MAGGIORE","")</f>
        <v/>
      </c>
      <c r="J5132">
        <v>508</v>
      </c>
      <c r="K5132">
        <v>7739</v>
      </c>
      <c r="L5132">
        <v>438</v>
      </c>
    </row>
    <row r="5133" spans="1:12" x14ac:dyDescent="0.2">
      <c r="A5133"/>
      <c r="B5133"/>
      <c r="C5133"/>
      <c r="D5133"/>
      <c r="E5133" s="2">
        <f>Comuni__2[[#This Row],[Popolazione2011]]/$D$7911</f>
        <v>1.2554045291192174E-5</v>
      </c>
      <c r="F5133">
        <f>SUMIFS($D$2:$D$7909, $B$2:$B$7909, "Piemonte")</f>
        <v>4363916</v>
      </c>
      <c r="G5133" s="1">
        <f>Comuni__2[[#This Row],[Popolazione2011]]/Comuni__2[[#This Row],[POPOLAZIONE TOTALE DI OGNI REGIONE (CON FILTRO)]]</f>
        <v>1.7094737845549732E-4</v>
      </c>
      <c r="H5133" t="str">
        <f>IF(Comuni__2[[#This Row],[Popolazione2011]]&gt;300000,"MAGGIORE","")</f>
        <v/>
      </c>
      <c r="J5133">
        <v>446</v>
      </c>
      <c r="K5133">
        <v>9985</v>
      </c>
      <c r="L5133">
        <v>556</v>
      </c>
    </row>
    <row r="5134" spans="1:12" x14ac:dyDescent="0.2">
      <c r="A5134"/>
      <c r="B5134"/>
      <c r="C5134"/>
      <c r="D5134"/>
      <c r="E5134" s="2">
        <f>Comuni__2[[#This Row],[Popolazione2011]]/$D$7911</f>
        <v>1.246990289647909E-5</v>
      </c>
      <c r="F5134">
        <f>SUMIFS($D$2:$D$7909, $B$2:$B$7909, "Piemonte")</f>
        <v>4363916</v>
      </c>
      <c r="G5134" s="1">
        <f>Comuni__2[[#This Row],[Popolazione2011]]/Comuni__2[[#This Row],[POPOLAZIONE TOTALE DI OGNI REGIONE (CON FILTRO)]]</f>
        <v>1.6980161854627816E-4</v>
      </c>
      <c r="H5134" t="str">
        <f>IF(Comuni__2[[#This Row],[Popolazione2011]]&gt;300000,"MAGGIORE","")</f>
        <v/>
      </c>
      <c r="J5134">
        <v>506</v>
      </c>
      <c r="K5134">
        <v>8160</v>
      </c>
      <c r="L5134">
        <v>446</v>
      </c>
    </row>
    <row r="5135" spans="1:12" x14ac:dyDescent="0.2">
      <c r="A5135"/>
      <c r="B5135"/>
      <c r="C5135"/>
      <c r="D5135"/>
      <c r="E5135" s="2">
        <f>Comuni__2[[#This Row],[Popolazione2011]]/$D$7911</f>
        <v>1.2436245938593856E-5</v>
      </c>
      <c r="F5135">
        <f>SUMIFS($D$2:$D$7909, $B$2:$B$7909, "Piemonte")</f>
        <v>4363916</v>
      </c>
      <c r="G5135" s="1">
        <f>Comuni__2[[#This Row],[Popolazione2011]]/Comuni__2[[#This Row],[POPOLAZIONE TOTALE DI OGNI REGIONE (CON FILTRO)]]</f>
        <v>1.6934331458259049E-4</v>
      </c>
      <c r="H5135" t="str">
        <f>IF(Comuni__2[[#This Row],[Popolazione2011]]&gt;300000,"MAGGIORE","")</f>
        <v/>
      </c>
      <c r="J5135">
        <v>455</v>
      </c>
      <c r="K5135">
        <v>10194</v>
      </c>
      <c r="L5135">
        <v>563</v>
      </c>
    </row>
    <row r="5136" spans="1:12" x14ac:dyDescent="0.2">
      <c r="A5136"/>
      <c r="B5136"/>
      <c r="C5136"/>
      <c r="D5136"/>
      <c r="E5136" s="2">
        <f>Comuni__2[[#This Row],[Popolazione2011]]/$D$7911</f>
        <v>1.2402588980708623E-5</v>
      </c>
      <c r="F5136">
        <f>SUMIFS($D$2:$D$7909, $B$2:$B$7909, "Piemonte")</f>
        <v>4363916</v>
      </c>
      <c r="G5136" s="1">
        <f>Comuni__2[[#This Row],[Popolazione2011]]/Comuni__2[[#This Row],[POPOLAZIONE TOTALE DI OGNI REGIONE (CON FILTRO)]]</f>
        <v>1.6888501061890283E-4</v>
      </c>
      <c r="H5136" t="str">
        <f>IF(Comuni__2[[#This Row],[Popolazione2011]]&gt;300000,"MAGGIORE","")</f>
        <v/>
      </c>
      <c r="J5136">
        <v>489</v>
      </c>
      <c r="K5136">
        <v>8528</v>
      </c>
      <c r="L5136">
        <v>462</v>
      </c>
    </row>
    <row r="5137" spans="1:12" x14ac:dyDescent="0.2">
      <c r="A5137"/>
      <c r="B5137"/>
      <c r="C5137"/>
      <c r="D5137"/>
      <c r="E5137" s="2">
        <f>Comuni__2[[#This Row],[Popolazione2011]]/$D$7911</f>
        <v>1.2352103543880772E-5</v>
      </c>
      <c r="F5137">
        <f>SUMIFS($D$2:$D$7909, $B$2:$B$7909, "Piemonte")</f>
        <v>4363916</v>
      </c>
      <c r="G5137" s="1">
        <f>Comuni__2[[#This Row],[Popolazione2011]]/Comuni__2[[#This Row],[POPOLAZIONE TOTALE DI OGNI REGIONE (CON FILTRO)]]</f>
        <v>1.6819755467337134E-4</v>
      </c>
      <c r="H5137" t="str">
        <f>IF(Comuni__2[[#This Row],[Popolazione2011]]&gt;300000,"MAGGIORE","")</f>
        <v/>
      </c>
      <c r="J5137">
        <v>453</v>
      </c>
      <c r="K5137">
        <v>10694</v>
      </c>
      <c r="L5137">
        <v>577</v>
      </c>
    </row>
    <row r="5138" spans="1:12" x14ac:dyDescent="0.2">
      <c r="A5138"/>
      <c r="B5138"/>
      <c r="C5138"/>
      <c r="D5138"/>
      <c r="E5138" s="2">
        <f>Comuni__2[[#This Row],[Popolazione2011]]/$D$7911</f>
        <v>1.2335275064938156E-5</v>
      </c>
      <c r="F5138">
        <f>SUMIFS($D$2:$D$7909, $B$2:$B$7909, "Piemonte")</f>
        <v>4363916</v>
      </c>
      <c r="G5138" s="1">
        <f>Comuni__2[[#This Row],[Popolazione2011]]/Comuni__2[[#This Row],[POPOLAZIONE TOTALE DI OGNI REGIONE (CON FILTRO)]]</f>
        <v>1.679684026915275E-4</v>
      </c>
      <c r="H5138" t="str">
        <f>IF(Comuni__2[[#This Row],[Popolazione2011]]&gt;300000,"MAGGIORE","")</f>
        <v/>
      </c>
      <c r="J5138">
        <v>491</v>
      </c>
      <c r="K5138">
        <v>9107</v>
      </c>
      <c r="L5138">
        <v>469</v>
      </c>
    </row>
    <row r="5139" spans="1:12" x14ac:dyDescent="0.2">
      <c r="A5139"/>
      <c r="B5139"/>
      <c r="C5139"/>
      <c r="D5139"/>
      <c r="E5139" s="2">
        <f>Comuni__2[[#This Row],[Popolazione2011]]/$D$7911</f>
        <v>1.2301618107052922E-5</v>
      </c>
      <c r="F5139">
        <f>SUMIFS($D$2:$D$7909, $B$2:$B$7909, "Piemonte")</f>
        <v>4363916</v>
      </c>
      <c r="G5139" s="1">
        <f>Comuni__2[[#This Row],[Popolazione2011]]/Comuni__2[[#This Row],[POPOLAZIONE TOTALE DI OGNI REGIONE (CON FILTRO)]]</f>
        <v>1.6751009872783987E-4</v>
      </c>
      <c r="H5139" t="str">
        <f>IF(Comuni__2[[#This Row],[Popolazione2011]]&gt;300000,"MAGGIORE","")</f>
        <v/>
      </c>
      <c r="J5139">
        <v>461</v>
      </c>
      <c r="K5139">
        <v>11012</v>
      </c>
      <c r="L5139">
        <v>578</v>
      </c>
    </row>
    <row r="5140" spans="1:12" x14ac:dyDescent="0.2">
      <c r="A5140"/>
      <c r="B5140"/>
      <c r="C5140"/>
      <c r="D5140"/>
      <c r="E5140" s="2">
        <f>Comuni__2[[#This Row],[Popolazione2011]]/$D$7911</f>
        <v>1.2267961149167688E-5</v>
      </c>
      <c r="F5140">
        <f>SUMIFS($D$2:$D$7909, $B$2:$B$7909, "Piemonte")</f>
        <v>4363916</v>
      </c>
      <c r="G5140" s="1">
        <f>Comuni__2[[#This Row],[Popolazione2011]]/Comuni__2[[#This Row],[POPOLAZIONE TOTALE DI OGNI REGIONE (CON FILTRO)]]</f>
        <v>1.6705179476415221E-4</v>
      </c>
      <c r="H5140" t="str">
        <f>IF(Comuni__2[[#This Row],[Popolazione2011]]&gt;300000,"MAGGIORE","")</f>
        <v/>
      </c>
      <c r="J5140">
        <v>511</v>
      </c>
      <c r="K5140">
        <v>9371</v>
      </c>
      <c r="L5140">
        <v>474</v>
      </c>
    </row>
    <row r="5141" spans="1:12" x14ac:dyDescent="0.2">
      <c r="A5141"/>
      <c r="B5141"/>
      <c r="C5141"/>
      <c r="D5141"/>
      <c r="E5141" s="2">
        <f>Comuni__2[[#This Row],[Popolazione2011]]/$D$7911</f>
        <v>1.2251132670225072E-5</v>
      </c>
      <c r="F5141">
        <f>SUMIFS($D$2:$D$7909, $B$2:$B$7909, "Piemonte")</f>
        <v>4363916</v>
      </c>
      <c r="G5141" s="1">
        <f>Comuni__2[[#This Row],[Popolazione2011]]/Comuni__2[[#This Row],[POPOLAZIONE TOTALE DI OGNI REGIONE (CON FILTRO)]]</f>
        <v>1.6682264278230837E-4</v>
      </c>
      <c r="H5141" t="str">
        <f>IF(Comuni__2[[#This Row],[Popolazione2011]]&gt;300000,"MAGGIORE","")</f>
        <v/>
      </c>
      <c r="J5141">
        <v>476</v>
      </c>
      <c r="K5141">
        <v>11122</v>
      </c>
      <c r="L5141">
        <v>585</v>
      </c>
    </row>
    <row r="5142" spans="1:12" x14ac:dyDescent="0.2">
      <c r="A5142"/>
      <c r="B5142"/>
      <c r="C5142"/>
      <c r="D5142"/>
      <c r="E5142" s="2">
        <f>Comuni__2[[#This Row],[Popolazione2011]]/$D$7911</f>
        <v>1.2217475712339838E-5</v>
      </c>
      <c r="F5142">
        <f>SUMIFS($D$2:$D$7909, $B$2:$B$7909, "Piemonte")</f>
        <v>4363916</v>
      </c>
      <c r="G5142" s="1">
        <f>Comuni__2[[#This Row],[Popolazione2011]]/Comuni__2[[#This Row],[POPOLAZIONE TOTALE DI OGNI REGIONE (CON FILTRO)]]</f>
        <v>1.6636433881862071E-4</v>
      </c>
      <c r="H5142" t="str">
        <f>IF(Comuni__2[[#This Row],[Popolazione2011]]&gt;300000,"MAGGIORE","")</f>
        <v/>
      </c>
      <c r="J5142">
        <v>499</v>
      </c>
      <c r="K5142">
        <v>9474</v>
      </c>
      <c r="L5142">
        <v>490</v>
      </c>
    </row>
    <row r="5143" spans="1:12" x14ac:dyDescent="0.2">
      <c r="A5143"/>
      <c r="B5143"/>
      <c r="C5143"/>
      <c r="D5143"/>
      <c r="E5143" s="2">
        <f>Comuni__2[[#This Row],[Popolazione2011]]/$D$7911</f>
        <v>1.2183818754454604E-5</v>
      </c>
      <c r="F5143">
        <f>SUMIFS($D$2:$D$7909, $B$2:$B$7909, "Piemonte")</f>
        <v>4363916</v>
      </c>
      <c r="G5143" s="1">
        <f>Comuni__2[[#This Row],[Popolazione2011]]/Comuni__2[[#This Row],[POPOLAZIONE TOTALE DI OGNI REGIONE (CON FILTRO)]]</f>
        <v>1.6590603485493305E-4</v>
      </c>
      <c r="H5143" t="str">
        <f>IF(Comuni__2[[#This Row],[Popolazione2011]]&gt;300000,"MAGGIORE","")</f>
        <v/>
      </c>
      <c r="J5143">
        <v>478</v>
      </c>
      <c r="K5143">
        <v>11297</v>
      </c>
      <c r="L5143">
        <v>599</v>
      </c>
    </row>
    <row r="5144" spans="1:12" x14ac:dyDescent="0.2">
      <c r="A5144"/>
      <c r="B5144"/>
      <c r="C5144"/>
      <c r="D5144"/>
      <c r="E5144" s="2">
        <f>Comuni__2[[#This Row],[Popolazione2011]]/$D$7911</f>
        <v>1.2166990275511987E-5</v>
      </c>
      <c r="F5144">
        <f>SUMIFS($D$2:$D$7909, $B$2:$B$7909, "Piemonte")</f>
        <v>4363916</v>
      </c>
      <c r="G5144" s="1">
        <f>Comuni__2[[#This Row],[Popolazione2011]]/Comuni__2[[#This Row],[POPOLAZIONE TOTALE DI OGNI REGIONE (CON FILTRO)]]</f>
        <v>1.6567688287308922E-4</v>
      </c>
      <c r="H5144" t="str">
        <f>IF(Comuni__2[[#This Row],[Popolazione2011]]&gt;300000,"MAGGIORE","")</f>
        <v/>
      </c>
      <c r="J5144">
        <v>483</v>
      </c>
      <c r="K5144">
        <v>9863</v>
      </c>
      <c r="L5144">
        <v>498</v>
      </c>
    </row>
    <row r="5145" spans="1:12" x14ac:dyDescent="0.2">
      <c r="A5145"/>
      <c r="B5145"/>
      <c r="C5145"/>
      <c r="D5145"/>
      <c r="E5145" s="2">
        <f>Comuni__2[[#This Row],[Popolazione2011]]/$D$7911</f>
        <v>1.2133333317626754E-5</v>
      </c>
      <c r="F5145">
        <f>SUMIFS($D$2:$D$7909, $B$2:$B$7909, "Piemonte")</f>
        <v>4363916</v>
      </c>
      <c r="G5145" s="1">
        <f>Comuni__2[[#This Row],[Popolazione2011]]/Comuni__2[[#This Row],[POPOLAZIONE TOTALE DI OGNI REGIONE (CON FILTRO)]]</f>
        <v>1.6521857890940155E-4</v>
      </c>
      <c r="H5145" t="str">
        <f>IF(Comuni__2[[#This Row],[Popolazione2011]]&gt;300000,"MAGGIORE","")</f>
        <v/>
      </c>
      <c r="J5145">
        <v>462</v>
      </c>
      <c r="K5145">
        <v>11494</v>
      </c>
      <c r="L5145">
        <v>606</v>
      </c>
    </row>
    <row r="5146" spans="1:12" x14ac:dyDescent="0.2">
      <c r="A5146"/>
      <c r="B5146"/>
      <c r="C5146"/>
      <c r="D5146"/>
      <c r="E5146" s="2">
        <f>Comuni__2[[#This Row],[Popolazione2011]]/$D$7911</f>
        <v>1.2116504838684136E-5</v>
      </c>
      <c r="F5146">
        <f>SUMIFS($D$2:$D$7909, $B$2:$B$7909, "Piemonte")</f>
        <v>4363916</v>
      </c>
      <c r="G5146" s="1">
        <f>Comuni__2[[#This Row],[Popolazione2011]]/Comuni__2[[#This Row],[POPOLAZIONE TOTALE DI OGNI REGIONE (CON FILTRO)]]</f>
        <v>1.6498942692755772E-4</v>
      </c>
      <c r="H5146" t="str">
        <f>IF(Comuni__2[[#This Row],[Popolazione2011]]&gt;300000,"MAGGIORE","")</f>
        <v/>
      </c>
      <c r="J5146">
        <v>474</v>
      </c>
      <c r="K5146">
        <v>10294</v>
      </c>
      <c r="L5146">
        <v>509</v>
      </c>
    </row>
    <row r="5147" spans="1:12" x14ac:dyDescent="0.2">
      <c r="A5147"/>
      <c r="B5147"/>
      <c r="C5147"/>
      <c r="D5147"/>
      <c r="E5147" s="2">
        <f>Comuni__2[[#This Row],[Popolazione2011]]/$D$7911</f>
        <v>1.209967635974152E-5</v>
      </c>
      <c r="F5147">
        <f>SUMIFS($D$2:$D$7909, $B$2:$B$7909, "Piemonte")</f>
        <v>4363916</v>
      </c>
      <c r="G5147" s="1">
        <f>Comuni__2[[#This Row],[Popolazione2011]]/Comuni__2[[#This Row],[POPOLAZIONE TOTALE DI OGNI REGIONE (CON FILTRO)]]</f>
        <v>1.6476027494571389E-4</v>
      </c>
      <c r="H5147" t="str">
        <f>IF(Comuni__2[[#This Row],[Popolazione2011]]&gt;300000,"MAGGIORE","")</f>
        <v/>
      </c>
      <c r="J5147">
        <v>460</v>
      </c>
      <c r="K5147">
        <v>11867</v>
      </c>
      <c r="L5147">
        <v>615</v>
      </c>
    </row>
    <row r="5148" spans="1:12" x14ac:dyDescent="0.2">
      <c r="A5148"/>
      <c r="B5148"/>
      <c r="C5148"/>
      <c r="D5148"/>
      <c r="E5148" s="2">
        <f>Comuni__2[[#This Row],[Popolazione2011]]/$D$7911</f>
        <v>1.209967635974152E-5</v>
      </c>
      <c r="F5148">
        <f>SUMIFS($D$2:$D$7909, $B$2:$B$7909, "Piemonte")</f>
        <v>4363916</v>
      </c>
      <c r="G5148" s="1">
        <f>Comuni__2[[#This Row],[Popolazione2011]]/Comuni__2[[#This Row],[POPOLAZIONE TOTALE DI OGNI REGIONE (CON FILTRO)]]</f>
        <v>1.6476027494571389E-4</v>
      </c>
      <c r="H5148" t="str">
        <f>IF(Comuni__2[[#This Row],[Popolazione2011]]&gt;300000,"MAGGIORE","")</f>
        <v/>
      </c>
      <c r="J5148">
        <v>456</v>
      </c>
      <c r="K5148">
        <v>10660</v>
      </c>
      <c r="L5148">
        <v>520</v>
      </c>
    </row>
    <row r="5149" spans="1:12" x14ac:dyDescent="0.2">
      <c r="A5149"/>
      <c r="B5149"/>
      <c r="C5149"/>
      <c r="D5149"/>
      <c r="E5149" s="2">
        <f>Comuni__2[[#This Row],[Popolazione2011]]/$D$7911</f>
        <v>1.2032362443971052E-5</v>
      </c>
      <c r="F5149">
        <f>SUMIFS($D$2:$D$7909, $B$2:$B$7909, "Piemonte")</f>
        <v>4363916</v>
      </c>
      <c r="G5149" s="1">
        <f>Comuni__2[[#This Row],[Popolazione2011]]/Comuni__2[[#This Row],[POPOLAZIONE TOTALE DI OGNI REGIONE (CON FILTRO)]]</f>
        <v>1.6384366701833856E-4</v>
      </c>
      <c r="H5149" t="str">
        <f>IF(Comuni__2[[#This Row],[Popolazione2011]]&gt;300000,"MAGGIORE","")</f>
        <v/>
      </c>
      <c r="J5149">
        <v>452</v>
      </c>
      <c r="K5149">
        <v>12141</v>
      </c>
      <c r="L5149">
        <v>623</v>
      </c>
    </row>
    <row r="5150" spans="1:12" x14ac:dyDescent="0.2">
      <c r="A5150"/>
      <c r="B5150"/>
      <c r="C5150"/>
      <c r="D5150"/>
      <c r="E5150" s="2">
        <f>Comuni__2[[#This Row],[Popolazione2011]]/$D$7911</f>
        <v>1.2015533965028436E-5</v>
      </c>
      <c r="F5150">
        <f>SUMIFS($D$2:$D$7909, $B$2:$B$7909, "Piemonte")</f>
        <v>4363916</v>
      </c>
      <c r="G5150" s="1">
        <f>Comuni__2[[#This Row],[Popolazione2011]]/Comuni__2[[#This Row],[POPOLAZIONE TOTALE DI OGNI REGIONE (CON FILTRO)]]</f>
        <v>1.6361451503649476E-4</v>
      </c>
      <c r="H5150" t="str">
        <f>IF(Comuni__2[[#This Row],[Popolazione2011]]&gt;300000,"MAGGIORE","")</f>
        <v/>
      </c>
      <c r="J5150">
        <v>445</v>
      </c>
      <c r="K5150">
        <v>11076</v>
      </c>
      <c r="L5150">
        <v>523</v>
      </c>
    </row>
    <row r="5151" spans="1:12" x14ac:dyDescent="0.2">
      <c r="A5151"/>
      <c r="B5151"/>
      <c r="C5151"/>
      <c r="D5151"/>
      <c r="E5151" s="2">
        <f>Comuni__2[[#This Row],[Popolazione2011]]/$D$7911</f>
        <v>1.1981877007143202E-5</v>
      </c>
      <c r="F5151">
        <f>SUMIFS($D$2:$D$7909, $B$2:$B$7909, "Piemonte")</f>
        <v>4363916</v>
      </c>
      <c r="G5151" s="1">
        <f>Comuni__2[[#This Row],[Popolazione2011]]/Comuni__2[[#This Row],[POPOLAZIONE TOTALE DI OGNI REGIONE (CON FILTRO)]]</f>
        <v>1.6315621107280709E-4</v>
      </c>
      <c r="H5151" t="str">
        <f>IF(Comuni__2[[#This Row],[Popolazione2011]]&gt;300000,"MAGGIORE","")</f>
        <v/>
      </c>
      <c r="J5151">
        <v>446</v>
      </c>
      <c r="K5151">
        <v>12530</v>
      </c>
      <c r="L5151">
        <v>629</v>
      </c>
    </row>
    <row r="5152" spans="1:12" x14ac:dyDescent="0.2">
      <c r="A5152"/>
      <c r="B5152"/>
      <c r="C5152"/>
      <c r="D5152"/>
      <c r="E5152" s="2">
        <f>Comuni__2[[#This Row],[Popolazione2011]]/$D$7911</f>
        <v>1.1981877007143202E-5</v>
      </c>
      <c r="F5152">
        <f>SUMIFS($D$2:$D$7909, $B$2:$B$7909, "Piemonte")</f>
        <v>4363916</v>
      </c>
      <c r="G5152" s="1">
        <f>Comuni__2[[#This Row],[Popolazione2011]]/Comuni__2[[#This Row],[POPOLAZIONE TOTALE DI OGNI REGIONE (CON FILTRO)]]</f>
        <v>1.6315621107280709E-4</v>
      </c>
      <c r="H5152" t="str">
        <f>IF(Comuni__2[[#This Row],[Popolazione2011]]&gt;300000,"MAGGIORE","")</f>
        <v/>
      </c>
      <c r="J5152">
        <v>456</v>
      </c>
      <c r="K5152">
        <v>11727</v>
      </c>
      <c r="L5152">
        <v>530</v>
      </c>
    </row>
    <row r="5153" spans="1:12" x14ac:dyDescent="0.2">
      <c r="A5153"/>
      <c r="B5153"/>
      <c r="C5153"/>
      <c r="D5153"/>
      <c r="E5153" s="2">
        <f>Comuni__2[[#This Row],[Popolazione2011]]/$D$7911</f>
        <v>1.1981877007143202E-5</v>
      </c>
      <c r="F5153">
        <f>SUMIFS($D$2:$D$7909, $B$2:$B$7909, "Piemonte")</f>
        <v>4363916</v>
      </c>
      <c r="G5153" s="1">
        <f>Comuni__2[[#This Row],[Popolazione2011]]/Comuni__2[[#This Row],[POPOLAZIONE TOTALE DI OGNI REGIONE (CON FILTRO)]]</f>
        <v>1.6315621107280709E-4</v>
      </c>
      <c r="H5153" t="str">
        <f>IF(Comuni__2[[#This Row],[Popolazione2011]]&gt;300000,"MAGGIORE","")</f>
        <v/>
      </c>
      <c r="J5153">
        <v>448</v>
      </c>
      <c r="K5153">
        <v>12597</v>
      </c>
      <c r="L5153">
        <v>641</v>
      </c>
    </row>
    <row r="5154" spans="1:12" x14ac:dyDescent="0.2">
      <c r="A5154"/>
      <c r="B5154"/>
      <c r="C5154"/>
      <c r="D5154"/>
      <c r="E5154" s="2">
        <f>Comuni__2[[#This Row],[Popolazione2011]]/$D$7911</f>
        <v>1.1948220049257968E-5</v>
      </c>
      <c r="F5154">
        <f>SUMIFS($D$2:$D$7909, $B$2:$B$7909, "Piemonte")</f>
        <v>4363916</v>
      </c>
      <c r="G5154" s="1">
        <f>Comuni__2[[#This Row],[Popolazione2011]]/Comuni__2[[#This Row],[POPOLAZIONE TOTALE DI OGNI REGIONE (CON FILTRO)]]</f>
        <v>1.6269790710911943E-4</v>
      </c>
      <c r="H5154" t="str">
        <f>IF(Comuni__2[[#This Row],[Popolazione2011]]&gt;300000,"MAGGIORE","")</f>
        <v/>
      </c>
      <c r="J5154">
        <v>465</v>
      </c>
      <c r="K5154">
        <v>11924</v>
      </c>
      <c r="L5154">
        <v>531</v>
      </c>
    </row>
    <row r="5155" spans="1:12" x14ac:dyDescent="0.2">
      <c r="A5155"/>
      <c r="B5155"/>
      <c r="C5155"/>
      <c r="D5155"/>
      <c r="E5155" s="2">
        <f>Comuni__2[[#This Row],[Popolazione2011]]/$D$7911</f>
        <v>1.193139157031535E-5</v>
      </c>
      <c r="F5155">
        <f>SUMIFS($D$2:$D$7909, $B$2:$B$7909, "Piemonte")</f>
        <v>4363916</v>
      </c>
      <c r="G5155" s="1">
        <f>Comuni__2[[#This Row],[Popolazione2011]]/Comuni__2[[#This Row],[POPOLAZIONE TOTALE DI OGNI REGIONE (CON FILTRO)]]</f>
        <v>1.624687551272756E-4</v>
      </c>
      <c r="H5155" t="str">
        <f>IF(Comuni__2[[#This Row],[Popolazione2011]]&gt;300000,"MAGGIORE","")</f>
        <v/>
      </c>
      <c r="J5155">
        <v>459</v>
      </c>
      <c r="K5155">
        <v>12631</v>
      </c>
      <c r="L5155">
        <v>654</v>
      </c>
    </row>
    <row r="5156" spans="1:12" x14ac:dyDescent="0.2">
      <c r="A5156"/>
      <c r="B5156"/>
      <c r="C5156"/>
      <c r="D5156"/>
      <c r="E5156" s="2">
        <f>Comuni__2[[#This Row],[Popolazione2011]]/$D$7911</f>
        <v>1.193139157031535E-5</v>
      </c>
      <c r="F5156">
        <f>SUMIFS($D$2:$D$7909, $B$2:$B$7909, "Piemonte")</f>
        <v>4363916</v>
      </c>
      <c r="G5156" s="1">
        <f>Comuni__2[[#This Row],[Popolazione2011]]/Comuni__2[[#This Row],[POPOLAZIONE TOTALE DI OGNI REGIONE (CON FILTRO)]]</f>
        <v>1.624687551272756E-4</v>
      </c>
      <c r="H5156" t="str">
        <f>IF(Comuni__2[[#This Row],[Popolazione2011]]&gt;300000,"MAGGIORE","")</f>
        <v/>
      </c>
      <c r="J5156">
        <v>448</v>
      </c>
      <c r="K5156">
        <v>12038</v>
      </c>
      <c r="L5156">
        <v>534</v>
      </c>
    </row>
    <row r="5157" spans="1:12" x14ac:dyDescent="0.2">
      <c r="A5157"/>
      <c r="B5157"/>
      <c r="C5157"/>
      <c r="D5157"/>
      <c r="E5157" s="2">
        <f>Comuni__2[[#This Row],[Popolazione2011]]/$D$7911</f>
        <v>1.1914563091372734E-5</v>
      </c>
      <c r="F5157">
        <f>SUMIFS($D$2:$D$7909, $B$2:$B$7909, "Piemonte")</f>
        <v>4363916</v>
      </c>
      <c r="G5157" s="1">
        <f>Comuni__2[[#This Row],[Popolazione2011]]/Comuni__2[[#This Row],[POPOLAZIONE TOTALE DI OGNI REGIONE (CON FILTRO)]]</f>
        <v>1.6223960314543177E-4</v>
      </c>
      <c r="H5157" t="str">
        <f>IF(Comuni__2[[#This Row],[Popolazione2011]]&gt;300000,"MAGGIORE","")</f>
        <v/>
      </c>
      <c r="J5157">
        <v>450</v>
      </c>
      <c r="K5157">
        <v>12777</v>
      </c>
      <c r="L5157">
        <v>662</v>
      </c>
    </row>
    <row r="5158" spans="1:12" x14ac:dyDescent="0.2">
      <c r="A5158"/>
      <c r="B5158"/>
      <c r="C5158"/>
      <c r="D5158"/>
      <c r="E5158" s="2">
        <f>Comuni__2[[#This Row],[Popolazione2011]]/$D$7911</f>
        <v>1.1914563091372734E-5</v>
      </c>
      <c r="F5158">
        <f>SUMIFS($D$2:$D$7909, $B$2:$B$7909, "Piemonte")</f>
        <v>4363916</v>
      </c>
      <c r="G5158" s="1">
        <f>Comuni__2[[#This Row],[Popolazione2011]]/Comuni__2[[#This Row],[POPOLAZIONE TOTALE DI OGNI REGIONE (CON FILTRO)]]</f>
        <v>1.6223960314543177E-4</v>
      </c>
      <c r="H5158" t="str">
        <f>IF(Comuni__2[[#This Row],[Popolazione2011]]&gt;300000,"MAGGIORE","")</f>
        <v/>
      </c>
      <c r="J5158">
        <v>449</v>
      </c>
      <c r="K5158">
        <v>12317</v>
      </c>
      <c r="L5158">
        <v>542</v>
      </c>
    </row>
    <row r="5159" spans="1:12" x14ac:dyDescent="0.2">
      <c r="A5159"/>
      <c r="B5159"/>
      <c r="C5159"/>
      <c r="D5159"/>
      <c r="E5159" s="2">
        <f>Comuni__2[[#This Row],[Popolazione2011]]/$D$7911</f>
        <v>1.1897734612430118E-5</v>
      </c>
      <c r="F5159">
        <f>SUMIFS($D$2:$D$7909, $B$2:$B$7909, "Piemonte")</f>
        <v>4363916</v>
      </c>
      <c r="G5159" s="1">
        <f>Comuni__2[[#This Row],[Popolazione2011]]/Comuni__2[[#This Row],[POPOLAZIONE TOTALE DI OGNI REGIONE (CON FILTRO)]]</f>
        <v>1.6201045116358794E-4</v>
      </c>
      <c r="H5159" t="str">
        <f>IF(Comuni__2[[#This Row],[Popolazione2011]]&gt;300000,"MAGGIORE","")</f>
        <v/>
      </c>
      <c r="J5159">
        <v>459</v>
      </c>
      <c r="K5159">
        <v>13043</v>
      </c>
      <c r="L5159">
        <v>665</v>
      </c>
    </row>
    <row r="5160" spans="1:12" x14ac:dyDescent="0.2">
      <c r="A5160"/>
      <c r="B5160"/>
      <c r="C5160"/>
      <c r="D5160"/>
      <c r="E5160" s="2">
        <f>Comuni__2[[#This Row],[Popolazione2011]]/$D$7911</f>
        <v>1.1897734612430118E-5</v>
      </c>
      <c r="F5160">
        <f>SUMIFS($D$2:$D$7909, $B$2:$B$7909, "Piemonte")</f>
        <v>4363916</v>
      </c>
      <c r="G5160" s="1">
        <f>Comuni__2[[#This Row],[Popolazione2011]]/Comuni__2[[#This Row],[POPOLAZIONE TOTALE DI OGNI REGIONE (CON FILTRO)]]</f>
        <v>1.6201045116358794E-4</v>
      </c>
      <c r="H5160" t="str">
        <f>IF(Comuni__2[[#This Row],[Popolazione2011]]&gt;300000,"MAGGIORE","")</f>
        <v/>
      </c>
      <c r="J5160">
        <v>463</v>
      </c>
      <c r="K5160">
        <v>12789</v>
      </c>
      <c r="L5160">
        <v>558</v>
      </c>
    </row>
    <row r="5161" spans="1:12" x14ac:dyDescent="0.2">
      <c r="A5161"/>
      <c r="B5161"/>
      <c r="C5161"/>
      <c r="D5161"/>
      <c r="E5161" s="2">
        <f>Comuni__2[[#This Row],[Popolazione2011]]/$D$7911</f>
        <v>1.18809061334875E-5</v>
      </c>
      <c r="F5161">
        <f>SUMIFS($D$2:$D$7909, $B$2:$B$7909, "Piemonte")</f>
        <v>4363916</v>
      </c>
      <c r="G5161" s="1">
        <f>Comuni__2[[#This Row],[Popolazione2011]]/Comuni__2[[#This Row],[POPOLAZIONE TOTALE DI OGNI REGIONE (CON FILTRO)]]</f>
        <v>1.617812991817441E-4</v>
      </c>
      <c r="H5161" t="str">
        <f>IF(Comuni__2[[#This Row],[Popolazione2011]]&gt;300000,"MAGGIORE","")</f>
        <v/>
      </c>
      <c r="J5161">
        <v>449</v>
      </c>
      <c r="K5161">
        <v>13200</v>
      </c>
      <c r="L5161">
        <v>674</v>
      </c>
    </row>
    <row r="5162" spans="1:12" x14ac:dyDescent="0.2">
      <c r="A5162"/>
      <c r="B5162"/>
      <c r="C5162"/>
      <c r="D5162"/>
      <c r="E5162" s="2">
        <f>Comuni__2[[#This Row],[Popolazione2011]]/$D$7911</f>
        <v>1.1864077654544884E-5</v>
      </c>
      <c r="F5162">
        <f>SUMIFS($D$2:$D$7909, $B$2:$B$7909, "Piemonte")</f>
        <v>4363916</v>
      </c>
      <c r="G5162" s="1">
        <f>Comuni__2[[#This Row],[Popolazione2011]]/Comuni__2[[#This Row],[POPOLAZIONE TOTALE DI OGNI REGIONE (CON FILTRO)]]</f>
        <v>1.6155214719990027E-4</v>
      </c>
      <c r="H5162" t="str">
        <f>IF(Comuni__2[[#This Row],[Popolazione2011]]&gt;300000,"MAGGIORE","")</f>
        <v/>
      </c>
      <c r="J5162">
        <v>450</v>
      </c>
      <c r="K5162">
        <v>13092</v>
      </c>
      <c r="L5162">
        <v>569</v>
      </c>
    </row>
    <row r="5163" spans="1:12" x14ac:dyDescent="0.2">
      <c r="A5163"/>
      <c r="B5163"/>
      <c r="C5163"/>
      <c r="D5163"/>
      <c r="E5163" s="2">
        <f>Comuni__2[[#This Row],[Popolazione2011]]/$D$7911</f>
        <v>1.17799352598318E-5</v>
      </c>
      <c r="F5163">
        <f>SUMIFS($D$2:$D$7909, $B$2:$B$7909, "Piemonte")</f>
        <v>4363916</v>
      </c>
      <c r="G5163" s="1">
        <f>Comuni__2[[#This Row],[Popolazione2011]]/Comuni__2[[#This Row],[POPOLAZIONE TOTALE DI OGNI REGIONE (CON FILTRO)]]</f>
        <v>1.6040638729068112E-4</v>
      </c>
      <c r="H5163" t="str">
        <f>IF(Comuni__2[[#This Row],[Popolazione2011]]&gt;300000,"MAGGIORE","")</f>
        <v/>
      </c>
      <c r="J5163">
        <v>462</v>
      </c>
      <c r="K5163">
        <v>13475</v>
      </c>
      <c r="L5163">
        <v>680</v>
      </c>
    </row>
    <row r="5164" spans="1:12" x14ac:dyDescent="0.2">
      <c r="A5164"/>
      <c r="B5164"/>
      <c r="C5164"/>
      <c r="D5164"/>
      <c r="E5164" s="2">
        <f>Comuni__2[[#This Row],[Popolazione2011]]/$D$7911</f>
        <v>1.1695792865118714E-5</v>
      </c>
      <c r="F5164">
        <f>SUMIFS($D$2:$D$7909, $B$2:$B$7909, "Piemonte")</f>
        <v>4363916</v>
      </c>
      <c r="G5164" s="1">
        <f>Comuni__2[[#This Row],[Popolazione2011]]/Comuni__2[[#This Row],[POPOLAZIONE TOTALE DI OGNI REGIONE (CON FILTRO)]]</f>
        <v>1.5926062738146198E-4</v>
      </c>
      <c r="H5164" t="str">
        <f>IF(Comuni__2[[#This Row],[Popolazione2011]]&gt;300000,"MAGGIORE","")</f>
        <v/>
      </c>
      <c r="J5164">
        <v>441</v>
      </c>
      <c r="K5164">
        <v>13429</v>
      </c>
      <c r="L5164">
        <v>572</v>
      </c>
    </row>
    <row r="5165" spans="1:12" x14ac:dyDescent="0.2">
      <c r="A5165"/>
      <c r="B5165"/>
      <c r="C5165"/>
      <c r="D5165"/>
      <c r="E5165" s="2">
        <f>Comuni__2[[#This Row],[Popolazione2011]]/$D$7911</f>
        <v>1.161165047040563E-5</v>
      </c>
      <c r="F5165">
        <f>SUMIFS($D$2:$D$7909, $B$2:$B$7909, "Piemonte")</f>
        <v>4363916</v>
      </c>
      <c r="G5165" s="1">
        <f>Comuni__2[[#This Row],[Popolazione2011]]/Comuni__2[[#This Row],[POPOLAZIONE TOTALE DI OGNI REGIONE (CON FILTRO)]]</f>
        <v>1.5811486747224283E-4</v>
      </c>
      <c r="H5165" t="str">
        <f>IF(Comuni__2[[#This Row],[Popolazione2011]]&gt;300000,"MAGGIORE","")</f>
        <v/>
      </c>
      <c r="J5165">
        <v>452</v>
      </c>
      <c r="K5165">
        <v>13679</v>
      </c>
      <c r="L5165">
        <v>689</v>
      </c>
    </row>
    <row r="5166" spans="1:12" x14ac:dyDescent="0.2">
      <c r="A5166"/>
      <c r="B5166"/>
      <c r="C5166"/>
      <c r="D5166"/>
      <c r="E5166" s="2">
        <f>Comuni__2[[#This Row],[Popolazione2011]]/$D$7911</f>
        <v>1.151067959674993E-5</v>
      </c>
      <c r="F5166">
        <f>SUMIFS($D$2:$D$7909, $B$2:$B$7909, "Piemonte")</f>
        <v>4363916</v>
      </c>
      <c r="G5166" s="1">
        <f>Comuni__2[[#This Row],[Popolazione2011]]/Comuni__2[[#This Row],[POPOLAZIONE TOTALE DI OGNI REGIONE (CON FILTRO)]]</f>
        <v>1.5673995558117984E-4</v>
      </c>
      <c r="H5166" t="str">
        <f>IF(Comuni__2[[#This Row],[Popolazione2011]]&gt;300000,"MAGGIORE","")</f>
        <v/>
      </c>
      <c r="J5166">
        <v>442</v>
      </c>
      <c r="K5166">
        <v>13862</v>
      </c>
      <c r="L5166">
        <v>578</v>
      </c>
    </row>
    <row r="5167" spans="1:12" x14ac:dyDescent="0.2">
      <c r="A5167"/>
      <c r="B5167"/>
      <c r="C5167"/>
      <c r="D5167"/>
      <c r="E5167" s="2">
        <f>Comuni__2[[#This Row],[Popolazione2011]]/$D$7911</f>
        <v>1.1460194159922078E-5</v>
      </c>
      <c r="F5167">
        <f>SUMIFS($D$2:$D$7909, $B$2:$B$7909, "Piemonte")</f>
        <v>4363916</v>
      </c>
      <c r="G5167" s="1">
        <f>Comuni__2[[#This Row],[Popolazione2011]]/Comuni__2[[#This Row],[POPOLAZIONE TOTALE DI OGNI REGIONE (CON FILTRO)]]</f>
        <v>1.5605249963564834E-4</v>
      </c>
      <c r="H5167" t="str">
        <f>IF(Comuni__2[[#This Row],[Popolazione2011]]&gt;300000,"MAGGIORE","")</f>
        <v/>
      </c>
      <c r="J5167">
        <v>462</v>
      </c>
      <c r="K5167">
        <v>13995</v>
      </c>
      <c r="L5167">
        <v>691</v>
      </c>
    </row>
    <row r="5168" spans="1:12" x14ac:dyDescent="0.2">
      <c r="A5168"/>
      <c r="B5168"/>
      <c r="C5168"/>
      <c r="D5168"/>
      <c r="E5168" s="2">
        <f>Comuni__2[[#This Row],[Popolazione2011]]/$D$7911</f>
        <v>1.1443365680979462E-5</v>
      </c>
      <c r="F5168">
        <f>SUMIFS($D$2:$D$7909, $B$2:$B$7909, "Piemonte")</f>
        <v>4363916</v>
      </c>
      <c r="G5168" s="1">
        <f>Comuni__2[[#This Row],[Popolazione2011]]/Comuni__2[[#This Row],[POPOLAZIONE TOTALE DI OGNI REGIONE (CON FILTRO)]]</f>
        <v>1.5582334765380451E-4</v>
      </c>
      <c r="H5168" t="str">
        <f>IF(Comuni__2[[#This Row],[Popolazione2011]]&gt;300000,"MAGGIORE","")</f>
        <v/>
      </c>
      <c r="J5168">
        <v>0</v>
      </c>
      <c r="K5168">
        <v>0</v>
      </c>
      <c r="L5168">
        <v>0</v>
      </c>
    </row>
    <row r="5169" spans="1:12" x14ac:dyDescent="0.2">
      <c r="A5169"/>
      <c r="B5169"/>
      <c r="C5169"/>
      <c r="D5169"/>
      <c r="E5169" s="2">
        <f>Comuni__2[[#This Row],[Popolazione2011]]/$D$7911</f>
        <v>1.1443365680979462E-5</v>
      </c>
      <c r="F5169">
        <f>SUMIFS($D$2:$D$7909, $B$2:$B$7909, "Piemonte")</f>
        <v>4363916</v>
      </c>
      <c r="G5169" s="1">
        <f>Comuni__2[[#This Row],[Popolazione2011]]/Comuni__2[[#This Row],[POPOLAZIONE TOTALE DI OGNI REGIONE (CON FILTRO)]]</f>
        <v>1.5582334765380451E-4</v>
      </c>
      <c r="H5169" t="str">
        <f>IF(Comuni__2[[#This Row],[Popolazione2011]]&gt;300000,"MAGGIORE","")</f>
        <v/>
      </c>
      <c r="J5169">
        <v>0</v>
      </c>
      <c r="K5169">
        <v>0</v>
      </c>
      <c r="L5169">
        <v>0</v>
      </c>
    </row>
    <row r="5170" spans="1:12" x14ac:dyDescent="0.2">
      <c r="A5170"/>
      <c r="B5170"/>
      <c r="C5170"/>
      <c r="D5170"/>
      <c r="E5170" s="2">
        <f>Comuni__2[[#This Row],[Popolazione2011]]/$D$7911</f>
        <v>1.1392880244151612E-5</v>
      </c>
      <c r="F5170">
        <f>SUMIFS($D$2:$D$7909, $B$2:$B$7909, "Piemonte")</f>
        <v>4363916</v>
      </c>
      <c r="G5170" s="1">
        <f>Comuni__2[[#This Row],[Popolazione2011]]/Comuni__2[[#This Row],[POPOLAZIONE TOTALE DI OGNI REGIONE (CON FILTRO)]]</f>
        <v>1.5513589170827304E-4</v>
      </c>
      <c r="H5170" t="str">
        <f>IF(Comuni__2[[#This Row],[Popolazione2011]]&gt;300000,"MAGGIORE","")</f>
        <v/>
      </c>
      <c r="J5170">
        <v>0</v>
      </c>
      <c r="K5170">
        <v>0</v>
      </c>
      <c r="L5170">
        <v>0</v>
      </c>
    </row>
    <row r="5171" spans="1:12" x14ac:dyDescent="0.2">
      <c r="A5171"/>
      <c r="B5171"/>
      <c r="C5171"/>
      <c r="D5171"/>
      <c r="E5171" s="2">
        <f>Comuni__2[[#This Row],[Popolazione2011]]/$D$7911</f>
        <v>1.1376051765208994E-5</v>
      </c>
      <c r="F5171">
        <f>SUMIFS($D$2:$D$7909, $B$2:$B$7909, "Piemonte")</f>
        <v>4363916</v>
      </c>
      <c r="G5171" s="1">
        <f>Comuni__2[[#This Row],[Popolazione2011]]/Comuni__2[[#This Row],[POPOLAZIONE TOTALE DI OGNI REGIONE (CON FILTRO)]]</f>
        <v>1.5490673972642921E-4</v>
      </c>
      <c r="H5171" t="str">
        <f>IF(Comuni__2[[#This Row],[Popolazione2011]]&gt;300000,"MAGGIORE","")</f>
        <v/>
      </c>
      <c r="J5171">
        <v>0</v>
      </c>
      <c r="K5171">
        <v>0</v>
      </c>
      <c r="L5171">
        <v>0</v>
      </c>
    </row>
    <row r="5172" spans="1:12" x14ac:dyDescent="0.2">
      <c r="A5172"/>
      <c r="B5172"/>
      <c r="C5172"/>
      <c r="D5172"/>
      <c r="E5172" s="2">
        <f>Comuni__2[[#This Row],[Popolazione2011]]/$D$7911</f>
        <v>1.1359223286266378E-5</v>
      </c>
      <c r="F5172">
        <f>SUMIFS($D$2:$D$7909, $B$2:$B$7909, "Piemonte")</f>
        <v>4363916</v>
      </c>
      <c r="G5172" s="1">
        <f>Comuni__2[[#This Row],[Popolazione2011]]/Comuni__2[[#This Row],[POPOLAZIONE TOTALE DI OGNI REGIONE (CON FILTRO)]]</f>
        <v>1.5467758774458538E-4</v>
      </c>
      <c r="H5172" t="str">
        <f>IF(Comuni__2[[#This Row],[Popolazione2011]]&gt;300000,"MAGGIORE","")</f>
        <v/>
      </c>
      <c r="J5172">
        <v>0</v>
      </c>
      <c r="K5172">
        <v>0</v>
      </c>
      <c r="L5172">
        <v>0</v>
      </c>
    </row>
    <row r="5173" spans="1:12" x14ac:dyDescent="0.2">
      <c r="A5173"/>
      <c r="B5173"/>
      <c r="C5173"/>
      <c r="D5173"/>
      <c r="E5173" s="2">
        <f>Comuni__2[[#This Row],[Popolazione2011]]/$D$7911</f>
        <v>1.1308737849438528E-5</v>
      </c>
      <c r="F5173">
        <f>SUMIFS($D$2:$D$7909, $B$2:$B$7909, "Piemonte")</f>
        <v>4363916</v>
      </c>
      <c r="G5173" s="1">
        <f>Comuni__2[[#This Row],[Popolazione2011]]/Comuni__2[[#This Row],[POPOLAZIONE TOTALE DI OGNI REGIONE (CON FILTRO)]]</f>
        <v>1.5399013179905388E-4</v>
      </c>
      <c r="H5173" t="str">
        <f>IF(Comuni__2[[#This Row],[Popolazione2011]]&gt;300000,"MAGGIORE","")</f>
        <v/>
      </c>
      <c r="J5173">
        <v>0</v>
      </c>
      <c r="K5173">
        <v>0</v>
      </c>
      <c r="L5173">
        <v>0</v>
      </c>
    </row>
    <row r="5174" spans="1:12" x14ac:dyDescent="0.2">
      <c r="A5174"/>
      <c r="B5174"/>
      <c r="C5174"/>
      <c r="D5174"/>
      <c r="E5174" s="2">
        <f>Comuni__2[[#This Row],[Popolazione2011]]/$D$7911</f>
        <v>1.1308737849438528E-5</v>
      </c>
      <c r="F5174">
        <f>SUMIFS($D$2:$D$7909, $B$2:$B$7909, "Piemonte")</f>
        <v>4363916</v>
      </c>
      <c r="G5174" s="1">
        <f>Comuni__2[[#This Row],[Popolazione2011]]/Comuni__2[[#This Row],[POPOLAZIONE TOTALE DI OGNI REGIONE (CON FILTRO)]]</f>
        <v>1.5399013179905388E-4</v>
      </c>
      <c r="H5174" t="str">
        <f>IF(Comuni__2[[#This Row],[Popolazione2011]]&gt;300000,"MAGGIORE","")</f>
        <v/>
      </c>
      <c r="J5174">
        <v>0</v>
      </c>
      <c r="K5174">
        <v>0</v>
      </c>
      <c r="L5174">
        <v>0</v>
      </c>
    </row>
    <row r="5175" spans="1:12" x14ac:dyDescent="0.2">
      <c r="A5175"/>
      <c r="B5175"/>
      <c r="C5175"/>
      <c r="D5175"/>
      <c r="E5175" s="2">
        <f>Comuni__2[[#This Row],[Popolazione2011]]/$D$7911</f>
        <v>1.129190937049591E-5</v>
      </c>
      <c r="F5175">
        <f>SUMIFS($D$2:$D$7909, $B$2:$B$7909, "Piemonte")</f>
        <v>4363916</v>
      </c>
      <c r="G5175" s="1">
        <f>Comuni__2[[#This Row],[Popolazione2011]]/Comuni__2[[#This Row],[POPOLAZIONE TOTALE DI OGNI REGIONE (CON FILTRO)]]</f>
        <v>1.5376097981721005E-4</v>
      </c>
      <c r="H5175" t="str">
        <f>IF(Comuni__2[[#This Row],[Popolazione2011]]&gt;300000,"MAGGIORE","")</f>
        <v/>
      </c>
      <c r="J5175">
        <v>0</v>
      </c>
      <c r="K5175">
        <v>0</v>
      </c>
      <c r="L5175">
        <v>0</v>
      </c>
    </row>
    <row r="5176" spans="1:12" x14ac:dyDescent="0.2">
      <c r="A5176"/>
      <c r="B5176"/>
      <c r="C5176"/>
      <c r="D5176"/>
      <c r="E5176" s="2">
        <f>Comuni__2[[#This Row],[Popolazione2011]]/$D$7911</f>
        <v>1.129190937049591E-5</v>
      </c>
      <c r="F5176">
        <f>SUMIFS($D$2:$D$7909, $B$2:$B$7909, "Piemonte")</f>
        <v>4363916</v>
      </c>
      <c r="G5176" s="1">
        <f>Comuni__2[[#This Row],[Popolazione2011]]/Comuni__2[[#This Row],[POPOLAZIONE TOTALE DI OGNI REGIONE (CON FILTRO)]]</f>
        <v>1.5376097981721005E-4</v>
      </c>
      <c r="H5176" t="str">
        <f>IF(Comuni__2[[#This Row],[Popolazione2011]]&gt;300000,"MAGGIORE","")</f>
        <v/>
      </c>
      <c r="J5176">
        <v>2</v>
      </c>
      <c r="K5176">
        <v>0</v>
      </c>
      <c r="L5176">
        <v>0</v>
      </c>
    </row>
    <row r="5177" spans="1:12" x14ac:dyDescent="0.2">
      <c r="A5177"/>
      <c r="B5177"/>
      <c r="C5177"/>
      <c r="D5177"/>
      <c r="E5177" s="2">
        <f>Comuni__2[[#This Row],[Popolazione2011]]/$D$7911</f>
        <v>1.1275080891553294E-5</v>
      </c>
      <c r="F5177">
        <f>SUMIFS($D$2:$D$7909, $B$2:$B$7909, "Piemonte")</f>
        <v>4363916</v>
      </c>
      <c r="G5177" s="1">
        <f>Comuni__2[[#This Row],[Popolazione2011]]/Comuni__2[[#This Row],[POPOLAZIONE TOTALE DI OGNI REGIONE (CON FILTRO)]]</f>
        <v>1.5353182783536622E-4</v>
      </c>
      <c r="H5177" t="str">
        <f>IF(Comuni__2[[#This Row],[Popolazione2011]]&gt;300000,"MAGGIORE","")</f>
        <v/>
      </c>
      <c r="J5177">
        <v>2</v>
      </c>
      <c r="K5177">
        <v>0</v>
      </c>
      <c r="L5177">
        <v>0</v>
      </c>
    </row>
    <row r="5178" spans="1:12" x14ac:dyDescent="0.2">
      <c r="A5178"/>
      <c r="B5178"/>
      <c r="C5178"/>
      <c r="D5178"/>
      <c r="E5178" s="2">
        <f>Comuni__2[[#This Row],[Popolazione2011]]/$D$7911</f>
        <v>1.1123624581069742E-5</v>
      </c>
      <c r="F5178">
        <f>SUMIFS($D$2:$D$7909, $B$2:$B$7909, "Piemonte")</f>
        <v>4363916</v>
      </c>
      <c r="G5178" s="1">
        <f>Comuni__2[[#This Row],[Popolazione2011]]/Comuni__2[[#This Row],[POPOLAZIONE TOTALE DI OGNI REGIONE (CON FILTRO)]]</f>
        <v>1.5146945999877174E-4</v>
      </c>
      <c r="H5178" t="str">
        <f>IF(Comuni__2[[#This Row],[Popolazione2011]]&gt;300000,"MAGGIORE","")</f>
        <v/>
      </c>
      <c r="J5178">
        <v>2</v>
      </c>
      <c r="K5178">
        <v>0</v>
      </c>
      <c r="L5178">
        <v>0</v>
      </c>
    </row>
    <row r="5179" spans="1:12" x14ac:dyDescent="0.2">
      <c r="A5179"/>
      <c r="B5179"/>
      <c r="C5179"/>
      <c r="D5179"/>
      <c r="E5179" s="2">
        <f>Comuni__2[[#This Row],[Popolazione2011]]/$D$7911</f>
        <v>1.1056310665299274E-5</v>
      </c>
      <c r="F5179">
        <f>SUMIFS($D$2:$D$7909, $B$2:$B$7909, "Piemonte")</f>
        <v>4363916</v>
      </c>
      <c r="G5179" s="1">
        <f>Comuni__2[[#This Row],[Popolazione2011]]/Comuni__2[[#This Row],[POPOLAZIONE TOTALE DI OGNI REGIONE (CON FILTRO)]]</f>
        <v>1.5055285207139644E-4</v>
      </c>
      <c r="H5179" t="str">
        <f>IF(Comuni__2[[#This Row],[Popolazione2011]]&gt;300000,"MAGGIORE","")</f>
        <v/>
      </c>
      <c r="J5179">
        <v>4</v>
      </c>
      <c r="K5179">
        <v>0</v>
      </c>
      <c r="L5179">
        <v>0</v>
      </c>
    </row>
    <row r="5180" spans="1:12" x14ac:dyDescent="0.2">
      <c r="A5180"/>
      <c r="B5180"/>
      <c r="C5180"/>
      <c r="D5180"/>
      <c r="E5180" s="2">
        <f>Comuni__2[[#This Row],[Popolazione2011]]/$D$7911</f>
        <v>1.1056310665299274E-5</v>
      </c>
      <c r="F5180">
        <f>SUMIFS($D$2:$D$7909, $B$2:$B$7909, "Piemonte")</f>
        <v>4363916</v>
      </c>
      <c r="G5180" s="1">
        <f>Comuni__2[[#This Row],[Popolazione2011]]/Comuni__2[[#This Row],[POPOLAZIONE TOTALE DI OGNI REGIONE (CON FILTRO)]]</f>
        <v>1.5055285207139644E-4</v>
      </c>
      <c r="H5180" t="str">
        <f>IF(Comuni__2[[#This Row],[Popolazione2011]]&gt;300000,"MAGGIORE","")</f>
        <v/>
      </c>
      <c r="J5180">
        <v>4</v>
      </c>
      <c r="K5180">
        <v>0</v>
      </c>
      <c r="L5180">
        <v>0</v>
      </c>
    </row>
    <row r="5181" spans="1:12" x14ac:dyDescent="0.2">
      <c r="A5181"/>
      <c r="B5181"/>
      <c r="C5181"/>
      <c r="D5181"/>
      <c r="E5181" s="2">
        <f>Comuni__2[[#This Row],[Popolazione2011]]/$D$7911</f>
        <v>1.1056310665299274E-5</v>
      </c>
      <c r="F5181">
        <f>SUMIFS($D$2:$D$7909, $B$2:$B$7909, "Piemonte")</f>
        <v>4363916</v>
      </c>
      <c r="G5181" s="1">
        <f>Comuni__2[[#This Row],[Popolazione2011]]/Comuni__2[[#This Row],[POPOLAZIONE TOTALE DI OGNI REGIONE (CON FILTRO)]]</f>
        <v>1.5055285207139644E-4</v>
      </c>
      <c r="H5181" t="str">
        <f>IF(Comuni__2[[#This Row],[Popolazione2011]]&gt;300000,"MAGGIORE","")</f>
        <v/>
      </c>
      <c r="J5181">
        <v>4</v>
      </c>
      <c r="K5181">
        <v>0</v>
      </c>
      <c r="L5181">
        <v>0</v>
      </c>
    </row>
    <row r="5182" spans="1:12" x14ac:dyDescent="0.2">
      <c r="A5182"/>
      <c r="B5182"/>
      <c r="C5182"/>
      <c r="D5182"/>
      <c r="E5182" s="2">
        <f>Comuni__2[[#This Row],[Popolazione2011]]/$D$7911</f>
        <v>1.102265370741404E-5</v>
      </c>
      <c r="F5182">
        <f>SUMIFS($D$2:$D$7909, $B$2:$B$7909, "Piemonte")</f>
        <v>4363916</v>
      </c>
      <c r="G5182" s="1">
        <f>Comuni__2[[#This Row],[Popolazione2011]]/Comuni__2[[#This Row],[POPOLAZIONE TOTALE DI OGNI REGIONE (CON FILTRO)]]</f>
        <v>1.5009454810770877E-4</v>
      </c>
      <c r="H5182" t="str">
        <f>IF(Comuni__2[[#This Row],[Popolazione2011]]&gt;300000,"MAGGIORE","")</f>
        <v/>
      </c>
      <c r="J5182">
        <v>6</v>
      </c>
      <c r="K5182">
        <v>0</v>
      </c>
      <c r="L5182">
        <v>0</v>
      </c>
    </row>
    <row r="5183" spans="1:12" x14ac:dyDescent="0.2">
      <c r="A5183"/>
      <c r="B5183"/>
      <c r="C5183"/>
      <c r="D5183"/>
      <c r="E5183" s="2">
        <f>Comuni__2[[#This Row],[Popolazione2011]]/$D$7911</f>
        <v>1.0988996749528806E-5</v>
      </c>
      <c r="F5183">
        <f>SUMIFS($D$2:$D$7909, $B$2:$B$7909, "Piemonte")</f>
        <v>4363916</v>
      </c>
      <c r="G5183" s="1">
        <f>Comuni__2[[#This Row],[Popolazione2011]]/Comuni__2[[#This Row],[POPOLAZIONE TOTALE DI OGNI REGIONE (CON FILTRO)]]</f>
        <v>1.4963624414402111E-4</v>
      </c>
      <c r="H5183" t="str">
        <f>IF(Comuni__2[[#This Row],[Popolazione2011]]&gt;300000,"MAGGIORE","")</f>
        <v/>
      </c>
      <c r="J5183">
        <v>10</v>
      </c>
      <c r="K5183">
        <v>0</v>
      </c>
      <c r="L5183">
        <v>0</v>
      </c>
    </row>
    <row r="5184" spans="1:12" x14ac:dyDescent="0.2">
      <c r="A5184"/>
      <c r="B5184"/>
      <c r="C5184"/>
      <c r="D5184"/>
      <c r="E5184" s="2">
        <f>Comuni__2[[#This Row],[Popolazione2011]]/$D$7911</f>
        <v>1.0988996749528806E-5</v>
      </c>
      <c r="F5184">
        <f>SUMIFS($D$2:$D$7909, $B$2:$B$7909, "Piemonte")</f>
        <v>4363916</v>
      </c>
      <c r="G5184" s="1">
        <f>Comuni__2[[#This Row],[Popolazione2011]]/Comuni__2[[#This Row],[POPOLAZIONE TOTALE DI OGNI REGIONE (CON FILTRO)]]</f>
        <v>1.4963624414402111E-4</v>
      </c>
      <c r="H5184" t="str">
        <f>IF(Comuni__2[[#This Row],[Popolazione2011]]&gt;300000,"MAGGIORE","")</f>
        <v/>
      </c>
      <c r="J5184">
        <v>12</v>
      </c>
      <c r="K5184">
        <v>2</v>
      </c>
      <c r="L5184">
        <v>0</v>
      </c>
    </row>
    <row r="5185" spans="1:12" x14ac:dyDescent="0.2">
      <c r="A5185"/>
      <c r="B5185"/>
      <c r="C5185"/>
      <c r="D5185"/>
      <c r="E5185" s="2">
        <f>Comuni__2[[#This Row],[Popolazione2011]]/$D$7911</f>
        <v>1.097216827058619E-5</v>
      </c>
      <c r="F5185">
        <f>SUMIFS($D$2:$D$7909, $B$2:$B$7909, "Piemonte")</f>
        <v>4363916</v>
      </c>
      <c r="G5185" s="1">
        <f>Comuni__2[[#This Row],[Popolazione2011]]/Comuni__2[[#This Row],[POPOLAZIONE TOTALE DI OGNI REGIONE (CON FILTRO)]]</f>
        <v>1.4940709216217728E-4</v>
      </c>
      <c r="H5185" t="str">
        <f>IF(Comuni__2[[#This Row],[Popolazione2011]]&gt;300000,"MAGGIORE","")</f>
        <v/>
      </c>
      <c r="J5185">
        <v>16</v>
      </c>
      <c r="K5185">
        <v>2</v>
      </c>
      <c r="L5185">
        <v>0</v>
      </c>
    </row>
    <row r="5186" spans="1:12" x14ac:dyDescent="0.2">
      <c r="A5186"/>
      <c r="B5186"/>
      <c r="C5186"/>
      <c r="D5186"/>
      <c r="E5186" s="2">
        <f>Comuni__2[[#This Row],[Popolazione2011]]/$D$7911</f>
        <v>1.0955339791643574E-5</v>
      </c>
      <c r="F5186">
        <f>SUMIFS($D$2:$D$7909, $B$2:$B$7909, "Piemonte")</f>
        <v>4363916</v>
      </c>
      <c r="G5186" s="1">
        <f>Comuni__2[[#This Row],[Popolazione2011]]/Comuni__2[[#This Row],[POPOLAZIONE TOTALE DI OGNI REGIONE (CON FILTRO)]]</f>
        <v>1.4917794018033345E-4</v>
      </c>
      <c r="H5186" t="str">
        <f>IF(Comuni__2[[#This Row],[Popolazione2011]]&gt;300000,"MAGGIORE","")</f>
        <v/>
      </c>
      <c r="J5186">
        <v>21</v>
      </c>
      <c r="K5186">
        <v>2</v>
      </c>
      <c r="L5186">
        <v>1</v>
      </c>
    </row>
    <row r="5187" spans="1:12" x14ac:dyDescent="0.2">
      <c r="A5187"/>
      <c r="B5187"/>
      <c r="C5187"/>
      <c r="D5187"/>
      <c r="E5187" s="2">
        <f>Comuni__2[[#This Row],[Popolazione2011]]/$D$7911</f>
        <v>1.0871197396930488E-5</v>
      </c>
      <c r="F5187">
        <f>SUMIFS($D$2:$D$7909, $B$2:$B$7909, "Piemonte")</f>
        <v>4363916</v>
      </c>
      <c r="G5187" s="1">
        <f>Comuni__2[[#This Row],[Popolazione2011]]/Comuni__2[[#This Row],[POPOLAZIONE TOTALE DI OGNI REGIONE (CON FILTRO)]]</f>
        <v>1.4803218027111429E-4</v>
      </c>
      <c r="H5187" t="str">
        <f>IF(Comuni__2[[#This Row],[Popolazione2011]]&gt;300000,"MAGGIORE","")</f>
        <v/>
      </c>
      <c r="J5187">
        <v>32</v>
      </c>
      <c r="K5187">
        <v>3</v>
      </c>
      <c r="L5187">
        <v>1</v>
      </c>
    </row>
    <row r="5188" spans="1:12" x14ac:dyDescent="0.2">
      <c r="A5188"/>
      <c r="B5188"/>
      <c r="C5188"/>
      <c r="D5188"/>
      <c r="E5188" s="2">
        <f>Comuni__2[[#This Row],[Popolazione2011]]/$D$7911</f>
        <v>1.0736569565389554E-5</v>
      </c>
      <c r="F5188">
        <f>SUMIFS($D$2:$D$7909, $B$2:$B$7909, "Piemonte")</f>
        <v>4363916</v>
      </c>
      <c r="G5188" s="1">
        <f>Comuni__2[[#This Row],[Popolazione2011]]/Comuni__2[[#This Row],[POPOLAZIONE TOTALE DI OGNI REGIONE (CON FILTRO)]]</f>
        <v>1.4619896441636366E-4</v>
      </c>
      <c r="H5188" t="str">
        <f>IF(Comuni__2[[#This Row],[Popolazione2011]]&gt;300000,"MAGGIORE","")</f>
        <v/>
      </c>
      <c r="J5188">
        <v>38</v>
      </c>
      <c r="K5188">
        <v>3</v>
      </c>
      <c r="L5188">
        <v>1</v>
      </c>
    </row>
    <row r="5189" spans="1:12" x14ac:dyDescent="0.2">
      <c r="A5189"/>
      <c r="B5189"/>
      <c r="C5189"/>
      <c r="D5189"/>
      <c r="E5189" s="2">
        <f>Comuni__2[[#This Row],[Popolazione2011]]/$D$7911</f>
        <v>1.070291260750432E-5</v>
      </c>
      <c r="F5189">
        <f>SUMIFS($D$2:$D$7909, $B$2:$B$7909, "Piemonte")</f>
        <v>4363916</v>
      </c>
      <c r="G5189" s="1">
        <f>Comuni__2[[#This Row],[Popolazione2011]]/Comuni__2[[#This Row],[POPOLAZIONE TOTALE DI OGNI REGIONE (CON FILTRO)]]</f>
        <v>1.45740660452676E-4</v>
      </c>
      <c r="H5189" t="str">
        <f>IF(Comuni__2[[#This Row],[Popolazione2011]]&gt;300000,"MAGGIORE","")</f>
        <v/>
      </c>
      <c r="J5189">
        <v>45</v>
      </c>
      <c r="K5189">
        <v>4</v>
      </c>
      <c r="L5189">
        <v>1</v>
      </c>
    </row>
    <row r="5190" spans="1:12" x14ac:dyDescent="0.2">
      <c r="A5190"/>
      <c r="B5190"/>
      <c r="C5190"/>
      <c r="D5190"/>
      <c r="E5190" s="2">
        <f>Comuni__2[[#This Row],[Popolazione2011]]/$D$7911</f>
        <v>1.0635598691733852E-5</v>
      </c>
      <c r="F5190">
        <f>SUMIFS($D$2:$D$7909, $B$2:$B$7909, "Piemonte")</f>
        <v>4363916</v>
      </c>
      <c r="G5190" s="1">
        <f>Comuni__2[[#This Row],[Popolazione2011]]/Comuni__2[[#This Row],[POPOLAZIONE TOTALE DI OGNI REGIONE (CON FILTRO)]]</f>
        <v>1.4482405252530067E-4</v>
      </c>
      <c r="H5190" t="str">
        <f>IF(Comuni__2[[#This Row],[Popolazione2011]]&gt;300000,"MAGGIORE","")</f>
        <v/>
      </c>
      <c r="J5190">
        <v>57</v>
      </c>
      <c r="K5190">
        <v>4</v>
      </c>
      <c r="L5190">
        <v>1</v>
      </c>
    </row>
    <row r="5191" spans="1:12" x14ac:dyDescent="0.2">
      <c r="A5191"/>
      <c r="B5191"/>
      <c r="C5191"/>
      <c r="D5191"/>
      <c r="E5191" s="2">
        <f>Comuni__2[[#This Row],[Popolazione2011]]/$D$7911</f>
        <v>1.0551456297020768E-5</v>
      </c>
      <c r="F5191">
        <f>SUMIFS($D$2:$D$7909, $B$2:$B$7909, "Piemonte")</f>
        <v>4363916</v>
      </c>
      <c r="G5191" s="1">
        <f>Comuni__2[[#This Row],[Popolazione2011]]/Comuni__2[[#This Row],[POPOLAZIONE TOTALE DI OGNI REGIONE (CON FILTRO)]]</f>
        <v>1.4367829261608151E-4</v>
      </c>
      <c r="H5191" t="str">
        <f>IF(Comuni__2[[#This Row],[Popolazione2011]]&gt;300000,"MAGGIORE","")</f>
        <v/>
      </c>
      <c r="J5191">
        <v>75</v>
      </c>
      <c r="K5191">
        <v>4</v>
      </c>
      <c r="L5191">
        <v>2</v>
      </c>
    </row>
    <row r="5192" spans="1:12" x14ac:dyDescent="0.2">
      <c r="A5192"/>
      <c r="B5192"/>
      <c r="C5192"/>
      <c r="D5192"/>
      <c r="E5192" s="2">
        <f>Comuni__2[[#This Row],[Popolazione2011]]/$D$7911</f>
        <v>1.0467313902307684E-5</v>
      </c>
      <c r="F5192">
        <f>SUMIFS($D$2:$D$7909, $B$2:$B$7909, "Piemonte")</f>
        <v>4363916</v>
      </c>
      <c r="G5192" s="1">
        <f>Comuni__2[[#This Row],[Popolazione2011]]/Comuni__2[[#This Row],[POPOLAZIONE TOTALE DI OGNI REGIONE (CON FILTRO)]]</f>
        <v>1.4253253270686236E-4</v>
      </c>
      <c r="H5192" t="str">
        <f>IF(Comuni__2[[#This Row],[Popolazione2011]]&gt;300000,"MAGGIORE","")</f>
        <v/>
      </c>
      <c r="J5192">
        <v>90</v>
      </c>
      <c r="K5192">
        <v>4</v>
      </c>
      <c r="L5192">
        <v>2</v>
      </c>
    </row>
    <row r="5193" spans="1:12" x14ac:dyDescent="0.2">
      <c r="A5193"/>
      <c r="B5193"/>
      <c r="C5193"/>
      <c r="D5193"/>
      <c r="E5193" s="2">
        <f>Comuni__2[[#This Row],[Popolazione2011]]/$D$7911</f>
        <v>1.0399999986537216E-5</v>
      </c>
      <c r="F5193">
        <f>SUMIFS($D$2:$D$7909, $B$2:$B$7909, "Piemonte")</f>
        <v>4363916</v>
      </c>
      <c r="G5193" s="1">
        <f>Comuni__2[[#This Row],[Popolazione2011]]/Comuni__2[[#This Row],[POPOLAZIONE TOTALE DI OGNI REGIONE (CON FILTRO)]]</f>
        <v>1.4161592477948706E-4</v>
      </c>
      <c r="H5193" t="str">
        <f>IF(Comuni__2[[#This Row],[Popolazione2011]]&gt;300000,"MAGGIORE","")</f>
        <v/>
      </c>
      <c r="J5193">
        <v>99</v>
      </c>
      <c r="K5193">
        <v>4</v>
      </c>
      <c r="L5193">
        <v>7</v>
      </c>
    </row>
    <row r="5194" spans="1:12" x14ac:dyDescent="0.2">
      <c r="A5194"/>
      <c r="B5194"/>
      <c r="C5194"/>
      <c r="D5194"/>
      <c r="E5194" s="2">
        <f>Comuni__2[[#This Row],[Popolazione2011]]/$D$7911</f>
        <v>1.0399999986537216E-5</v>
      </c>
      <c r="F5194">
        <f>SUMIFS($D$2:$D$7909, $B$2:$B$7909, "Piemonte")</f>
        <v>4363916</v>
      </c>
      <c r="G5194" s="1">
        <f>Comuni__2[[#This Row],[Popolazione2011]]/Comuni__2[[#This Row],[POPOLAZIONE TOTALE DI OGNI REGIONE (CON FILTRO)]]</f>
        <v>1.4161592477948706E-4</v>
      </c>
      <c r="H5194" t="str">
        <f>IF(Comuni__2[[#This Row],[Popolazione2011]]&gt;300000,"MAGGIORE","")</f>
        <v/>
      </c>
      <c r="J5194">
        <v>121</v>
      </c>
      <c r="K5194">
        <v>5</v>
      </c>
      <c r="L5194">
        <v>10</v>
      </c>
    </row>
    <row r="5195" spans="1:12" x14ac:dyDescent="0.2">
      <c r="A5195"/>
      <c r="B5195"/>
      <c r="C5195"/>
      <c r="D5195"/>
      <c r="E5195" s="2">
        <f>Comuni__2[[#This Row],[Popolazione2011]]/$D$7911</f>
        <v>1.03831715075946E-5</v>
      </c>
      <c r="F5195">
        <f>SUMIFS($D$2:$D$7909, $B$2:$B$7909, "Piemonte")</f>
        <v>4363916</v>
      </c>
      <c r="G5195" s="1">
        <f>Comuni__2[[#This Row],[Popolazione2011]]/Comuni__2[[#This Row],[POPOLAZIONE TOTALE DI OGNI REGIONE (CON FILTRO)]]</f>
        <v>1.4138677279764322E-4</v>
      </c>
      <c r="H5195" t="str">
        <f>IF(Comuni__2[[#This Row],[Popolazione2011]]&gt;300000,"MAGGIORE","")</f>
        <v/>
      </c>
      <c r="J5195">
        <v>132</v>
      </c>
      <c r="K5195">
        <v>5</v>
      </c>
      <c r="L5195">
        <v>16</v>
      </c>
    </row>
    <row r="5196" spans="1:12" x14ac:dyDescent="0.2">
      <c r="A5196"/>
      <c r="B5196"/>
      <c r="C5196"/>
      <c r="D5196"/>
      <c r="E5196" s="2">
        <f>Comuni__2[[#This Row],[Popolazione2011]]/$D$7911</f>
        <v>1.0366343028651982E-5</v>
      </c>
      <c r="F5196">
        <f>SUMIFS($D$2:$D$7909, $B$2:$B$7909, "Piemonte")</f>
        <v>4363916</v>
      </c>
      <c r="G5196" s="1">
        <f>Comuni__2[[#This Row],[Popolazione2011]]/Comuni__2[[#This Row],[POPOLAZIONE TOTALE DI OGNI REGIONE (CON FILTRO)]]</f>
        <v>1.4115762081579939E-4</v>
      </c>
      <c r="H5196" t="str">
        <f>IF(Comuni__2[[#This Row],[Popolazione2011]]&gt;300000,"MAGGIORE","")</f>
        <v/>
      </c>
      <c r="J5196">
        <v>148</v>
      </c>
      <c r="K5196">
        <v>5</v>
      </c>
      <c r="L5196">
        <v>16</v>
      </c>
    </row>
    <row r="5197" spans="1:12" x14ac:dyDescent="0.2">
      <c r="A5197"/>
      <c r="B5197"/>
      <c r="C5197"/>
      <c r="D5197"/>
      <c r="E5197" s="2">
        <f>Comuni__2[[#This Row],[Popolazione2011]]/$D$7911</f>
        <v>1.033268607076675E-5</v>
      </c>
      <c r="F5197">
        <f>SUMIFS($D$2:$D$7909, $B$2:$B$7909, "Piemonte")</f>
        <v>4363916</v>
      </c>
      <c r="G5197" s="1">
        <f>Comuni__2[[#This Row],[Popolazione2011]]/Comuni__2[[#This Row],[POPOLAZIONE TOTALE DI OGNI REGIONE (CON FILTRO)]]</f>
        <v>1.4069931685211173E-4</v>
      </c>
      <c r="H5197" t="str">
        <f>IF(Comuni__2[[#This Row],[Popolazione2011]]&gt;300000,"MAGGIORE","")</f>
        <v/>
      </c>
      <c r="J5197">
        <v>148</v>
      </c>
      <c r="K5197">
        <v>5</v>
      </c>
      <c r="L5197">
        <v>19</v>
      </c>
    </row>
    <row r="5198" spans="1:12" x14ac:dyDescent="0.2">
      <c r="A5198"/>
      <c r="B5198"/>
      <c r="C5198"/>
      <c r="D5198"/>
      <c r="E5198" s="2">
        <f>Comuni__2[[#This Row],[Popolazione2011]]/$D$7911</f>
        <v>1.033268607076675E-5</v>
      </c>
      <c r="F5198">
        <f>SUMIFS($D$2:$D$7909, $B$2:$B$7909, "Piemonte")</f>
        <v>4363916</v>
      </c>
      <c r="G5198" s="1">
        <f>Comuni__2[[#This Row],[Popolazione2011]]/Comuni__2[[#This Row],[POPOLAZIONE TOTALE DI OGNI REGIONE (CON FILTRO)]]</f>
        <v>1.4069931685211173E-4</v>
      </c>
      <c r="H5198" t="str">
        <f>IF(Comuni__2[[#This Row],[Popolazione2011]]&gt;300000,"MAGGIORE","")</f>
        <v/>
      </c>
      <c r="J5198">
        <v>167</v>
      </c>
      <c r="K5198">
        <v>5</v>
      </c>
      <c r="L5198">
        <v>19</v>
      </c>
    </row>
    <row r="5199" spans="1:12" x14ac:dyDescent="0.2">
      <c r="A5199"/>
      <c r="B5199"/>
      <c r="C5199"/>
      <c r="D5199"/>
      <c r="E5199" s="2">
        <f>Comuni__2[[#This Row],[Popolazione2011]]/$D$7911</f>
        <v>1.0299029112881516E-5</v>
      </c>
      <c r="F5199">
        <f>SUMIFS($D$2:$D$7909, $B$2:$B$7909, "Piemonte")</f>
        <v>4363916</v>
      </c>
      <c r="G5199" s="1">
        <f>Comuni__2[[#This Row],[Popolazione2011]]/Comuni__2[[#This Row],[POPOLAZIONE TOTALE DI OGNI REGIONE (CON FILTRO)]]</f>
        <v>1.4024101288842407E-4</v>
      </c>
      <c r="H5199" t="str">
        <f>IF(Comuni__2[[#This Row],[Popolazione2011]]&gt;300000,"MAGGIORE","")</f>
        <v/>
      </c>
      <c r="J5199">
        <v>190</v>
      </c>
      <c r="K5199">
        <v>12</v>
      </c>
      <c r="L5199">
        <v>20</v>
      </c>
    </row>
    <row r="5200" spans="1:12" x14ac:dyDescent="0.2">
      <c r="A5200"/>
      <c r="B5200"/>
      <c r="C5200"/>
      <c r="D5200"/>
      <c r="E5200" s="2">
        <f>Comuni__2[[#This Row],[Popolazione2011]]/$D$7911</f>
        <v>1.0214886718168432E-5</v>
      </c>
      <c r="F5200">
        <f>SUMIFS($D$2:$D$7909, $B$2:$B$7909, "Piemonte")</f>
        <v>4363916</v>
      </c>
      <c r="G5200" s="1">
        <f>Comuni__2[[#This Row],[Popolazione2011]]/Comuni__2[[#This Row],[POPOLAZIONE TOTALE DI OGNI REGIONE (CON FILTRO)]]</f>
        <v>1.3909525297920491E-4</v>
      </c>
      <c r="H5200" t="str">
        <f>IF(Comuni__2[[#This Row],[Popolazione2011]]&gt;300000,"MAGGIORE","")</f>
        <v/>
      </c>
      <c r="J5200">
        <v>195</v>
      </c>
      <c r="K5200">
        <v>39</v>
      </c>
      <c r="L5200">
        <v>21</v>
      </c>
    </row>
    <row r="5201" spans="1:12" x14ac:dyDescent="0.2">
      <c r="A5201"/>
      <c r="B5201"/>
      <c r="C5201"/>
      <c r="D5201"/>
      <c r="E5201" s="2">
        <f>Comuni__2[[#This Row],[Popolazione2011]]/$D$7911</f>
        <v>1.0214886718168432E-5</v>
      </c>
      <c r="F5201">
        <f>SUMIFS($D$2:$D$7909, $B$2:$B$7909, "Piemonte")</f>
        <v>4363916</v>
      </c>
      <c r="G5201" s="1">
        <f>Comuni__2[[#This Row],[Popolazione2011]]/Comuni__2[[#This Row],[POPOLAZIONE TOTALE DI OGNI REGIONE (CON FILTRO)]]</f>
        <v>1.3909525297920491E-4</v>
      </c>
      <c r="H5201" t="str">
        <f>IF(Comuni__2[[#This Row],[Popolazione2011]]&gt;300000,"MAGGIORE","")</f>
        <v/>
      </c>
      <c r="J5201">
        <v>203</v>
      </c>
      <c r="K5201">
        <v>43</v>
      </c>
      <c r="L5201">
        <v>28</v>
      </c>
    </row>
    <row r="5202" spans="1:12" x14ac:dyDescent="0.2">
      <c r="A5202"/>
      <c r="B5202"/>
      <c r="C5202"/>
      <c r="D5202"/>
      <c r="E5202" s="2">
        <f>Comuni__2[[#This Row],[Popolazione2011]]/$D$7911</f>
        <v>1.0147572802397964E-5</v>
      </c>
      <c r="F5202">
        <f>SUMIFS($D$2:$D$7909, $B$2:$B$7909, "Piemonte")</f>
        <v>4363916</v>
      </c>
      <c r="G5202" s="1">
        <f>Comuni__2[[#This Row],[Popolazione2011]]/Comuni__2[[#This Row],[POPOLAZIONE TOTALE DI OGNI REGIONE (CON FILTRO)]]</f>
        <v>1.3817864505182958E-4</v>
      </c>
      <c r="H5202" t="str">
        <f>IF(Comuni__2[[#This Row],[Popolazione2011]]&gt;300000,"MAGGIORE","")</f>
        <v/>
      </c>
      <c r="J5202">
        <v>212</v>
      </c>
      <c r="K5202">
        <v>95</v>
      </c>
      <c r="L5202">
        <v>31</v>
      </c>
    </row>
    <row r="5203" spans="1:12" x14ac:dyDescent="0.2">
      <c r="A5203"/>
      <c r="B5203"/>
      <c r="C5203"/>
      <c r="D5203"/>
      <c r="E5203" s="2">
        <f>Comuni__2[[#This Row],[Popolazione2011]]/$D$7911</f>
        <v>1.0130744323455346E-5</v>
      </c>
      <c r="F5203">
        <f>SUMIFS($D$2:$D$7909, $B$2:$B$7909, "Piemonte")</f>
        <v>4363916</v>
      </c>
      <c r="G5203" s="1">
        <f>Comuni__2[[#This Row],[Popolazione2011]]/Comuni__2[[#This Row],[POPOLAZIONE TOTALE DI OGNI REGIONE (CON FILTRO)]]</f>
        <v>1.3794949306998578E-4</v>
      </c>
      <c r="H5203" t="str">
        <f>IF(Comuni__2[[#This Row],[Popolazione2011]]&gt;300000,"MAGGIORE","")</f>
        <v/>
      </c>
      <c r="J5203">
        <v>220</v>
      </c>
      <c r="K5203">
        <v>184</v>
      </c>
      <c r="L5203">
        <v>33</v>
      </c>
    </row>
    <row r="5204" spans="1:12" x14ac:dyDescent="0.2">
      <c r="A5204"/>
      <c r="B5204"/>
      <c r="C5204"/>
      <c r="D5204"/>
      <c r="E5204" s="2">
        <f>Comuni__2[[#This Row],[Popolazione2011]]/$D$7911</f>
        <v>1.011391584451273E-5</v>
      </c>
      <c r="F5204">
        <f>SUMIFS($D$2:$D$7909, $B$2:$B$7909, "Piemonte")</f>
        <v>4363916</v>
      </c>
      <c r="G5204" s="1">
        <f>Comuni__2[[#This Row],[Popolazione2011]]/Comuni__2[[#This Row],[POPOLAZIONE TOTALE DI OGNI REGIONE (CON FILTRO)]]</f>
        <v>1.3772034108814195E-4</v>
      </c>
      <c r="H5204" t="str">
        <f>IF(Comuni__2[[#This Row],[Popolazione2011]]&gt;300000,"MAGGIORE","")</f>
        <v/>
      </c>
      <c r="J5204">
        <v>219</v>
      </c>
      <c r="K5204">
        <v>190</v>
      </c>
      <c r="L5204">
        <v>37</v>
      </c>
    </row>
    <row r="5205" spans="1:12" x14ac:dyDescent="0.2">
      <c r="A5205"/>
      <c r="B5205"/>
      <c r="C5205"/>
      <c r="D5205"/>
      <c r="E5205" s="2">
        <f>Comuni__2[[#This Row],[Popolazione2011]]/$D$7911</f>
        <v>1.0097087365570114E-5</v>
      </c>
      <c r="F5205">
        <f>SUMIFS($D$2:$D$7909, $B$2:$B$7909, "Piemonte")</f>
        <v>4363916</v>
      </c>
      <c r="G5205" s="1">
        <f>Comuni__2[[#This Row],[Popolazione2011]]/Comuni__2[[#This Row],[POPOLAZIONE TOTALE DI OGNI REGIONE (CON FILTRO)]]</f>
        <v>1.3749118910629811E-4</v>
      </c>
      <c r="H5205" t="str">
        <f>IF(Comuni__2[[#This Row],[Popolazione2011]]&gt;300000,"MAGGIORE","")</f>
        <v/>
      </c>
      <c r="J5205">
        <v>218</v>
      </c>
      <c r="K5205">
        <v>194</v>
      </c>
      <c r="L5205">
        <v>37</v>
      </c>
    </row>
    <row r="5206" spans="1:12" x14ac:dyDescent="0.2">
      <c r="A5206"/>
      <c r="B5206"/>
      <c r="C5206"/>
      <c r="D5206"/>
      <c r="E5206" s="2">
        <f>Comuni__2[[#This Row],[Popolazione2011]]/$D$7911</f>
        <v>1.0080258886627496E-5</v>
      </c>
      <c r="F5206">
        <f>SUMIFS($D$2:$D$7909, $B$2:$B$7909, "Piemonte")</f>
        <v>4363916</v>
      </c>
      <c r="G5206" s="1">
        <f>Comuni__2[[#This Row],[Popolazione2011]]/Comuni__2[[#This Row],[POPOLAZIONE TOTALE DI OGNI REGIONE (CON FILTRO)]]</f>
        <v>1.3726203712445428E-4</v>
      </c>
      <c r="H5206" t="str">
        <f>IF(Comuni__2[[#This Row],[Popolazione2011]]&gt;300000,"MAGGIORE","")</f>
        <v/>
      </c>
      <c r="J5206">
        <v>218</v>
      </c>
      <c r="K5206">
        <v>205</v>
      </c>
      <c r="L5206">
        <v>38</v>
      </c>
    </row>
    <row r="5207" spans="1:12" x14ac:dyDescent="0.2">
      <c r="A5207"/>
      <c r="B5207"/>
      <c r="C5207"/>
      <c r="D5207"/>
      <c r="E5207" s="2">
        <f>Comuni__2[[#This Row],[Popolazione2011]]/$D$7911</f>
        <v>1.006343040768488E-5</v>
      </c>
      <c r="F5207">
        <f>SUMIFS($D$2:$D$7909, $B$2:$B$7909, "Piemonte")</f>
        <v>4363916</v>
      </c>
      <c r="G5207" s="1">
        <f>Comuni__2[[#This Row],[Popolazione2011]]/Comuni__2[[#This Row],[POPOLAZIONE TOTALE DI OGNI REGIONE (CON FILTRO)]]</f>
        <v>1.3703288514261045E-4</v>
      </c>
      <c r="H5207" t="str">
        <f>IF(Comuni__2[[#This Row],[Popolazione2011]]&gt;300000,"MAGGIORE","")</f>
        <v/>
      </c>
      <c r="J5207">
        <v>213</v>
      </c>
      <c r="K5207">
        <v>220</v>
      </c>
      <c r="L5207">
        <v>39</v>
      </c>
    </row>
    <row r="5208" spans="1:12" x14ac:dyDescent="0.2">
      <c r="A5208"/>
      <c r="B5208"/>
      <c r="C5208"/>
      <c r="D5208"/>
      <c r="E5208" s="2">
        <f>Comuni__2[[#This Row],[Popolazione2011]]/$D$7911</f>
        <v>1.0029773449799646E-5</v>
      </c>
      <c r="F5208">
        <f>SUMIFS($D$2:$D$7909, $B$2:$B$7909, "Piemonte")</f>
        <v>4363916</v>
      </c>
      <c r="G5208" s="1">
        <f>Comuni__2[[#This Row],[Popolazione2011]]/Comuni__2[[#This Row],[POPOLAZIONE TOTALE DI OGNI REGIONE (CON FILTRO)]]</f>
        <v>1.3657458117892279E-4</v>
      </c>
      <c r="H5208" t="str">
        <f>IF(Comuni__2[[#This Row],[Popolazione2011]]&gt;300000,"MAGGIORE","")</f>
        <v/>
      </c>
      <c r="J5208">
        <v>211</v>
      </c>
      <c r="K5208">
        <v>242</v>
      </c>
      <c r="L5208">
        <v>41</v>
      </c>
    </row>
    <row r="5209" spans="1:12" x14ac:dyDescent="0.2">
      <c r="A5209"/>
      <c r="B5209"/>
      <c r="C5209"/>
      <c r="D5209"/>
      <c r="E5209" s="2">
        <f>Comuni__2[[#This Row],[Popolazione2011]]/$D$7911</f>
        <v>1.0012944970857029E-5</v>
      </c>
      <c r="F5209">
        <f>SUMIFS($D$2:$D$7909, $B$2:$B$7909, "Piemonte")</f>
        <v>4363916</v>
      </c>
      <c r="G5209" s="1">
        <f>Comuni__2[[#This Row],[Popolazione2011]]/Comuni__2[[#This Row],[POPOLAZIONE TOTALE DI OGNI REGIONE (CON FILTRO)]]</f>
        <v>1.3634542919707896E-4</v>
      </c>
      <c r="H5209" t="str">
        <f>IF(Comuni__2[[#This Row],[Popolazione2011]]&gt;300000,"MAGGIORE","")</f>
        <v/>
      </c>
      <c r="J5209">
        <v>204</v>
      </c>
      <c r="K5209">
        <v>298</v>
      </c>
      <c r="L5209">
        <v>43</v>
      </c>
    </row>
    <row r="5210" spans="1:12" x14ac:dyDescent="0.2">
      <c r="A5210"/>
      <c r="B5210"/>
      <c r="C5210"/>
      <c r="D5210"/>
      <c r="E5210" s="2">
        <f>Comuni__2[[#This Row],[Popolazione2011]]/$D$7911</f>
        <v>9.9961164919144124E-6</v>
      </c>
      <c r="F5210">
        <f>SUMIFS($D$2:$D$7909, $B$2:$B$7909, "Piemonte")</f>
        <v>4363916</v>
      </c>
      <c r="G5210" s="1">
        <f>Comuni__2[[#This Row],[Popolazione2011]]/Comuni__2[[#This Row],[POPOLAZIONE TOTALE DI OGNI REGIONE (CON FILTRO)]]</f>
        <v>1.3611627721523512E-4</v>
      </c>
      <c r="H5210" t="str">
        <f>IF(Comuni__2[[#This Row],[Popolazione2011]]&gt;300000,"MAGGIORE","")</f>
        <v/>
      </c>
      <c r="J5210">
        <v>205</v>
      </c>
      <c r="K5210">
        <v>337</v>
      </c>
      <c r="L5210">
        <v>44</v>
      </c>
    </row>
    <row r="5211" spans="1:12" x14ac:dyDescent="0.2">
      <c r="A5211"/>
      <c r="B5211"/>
      <c r="C5211"/>
      <c r="D5211"/>
      <c r="E5211" s="2">
        <f>Comuni__2[[#This Row],[Popolazione2011]]/$D$7911</f>
        <v>9.9792880129717963E-6</v>
      </c>
      <c r="F5211">
        <f>SUMIFS($D$2:$D$7909, $B$2:$B$7909, "Piemonte")</f>
        <v>4363916</v>
      </c>
      <c r="G5211" s="1">
        <f>Comuni__2[[#This Row],[Popolazione2011]]/Comuni__2[[#This Row],[POPOLAZIONE TOTALE DI OGNI REGIONE (CON FILTRO)]]</f>
        <v>1.3588712523339129E-4</v>
      </c>
      <c r="H5211" t="str">
        <f>IF(Comuni__2[[#This Row],[Popolazione2011]]&gt;300000,"MAGGIORE","")</f>
        <v/>
      </c>
      <c r="J5211">
        <v>198</v>
      </c>
      <c r="K5211">
        <v>368</v>
      </c>
      <c r="L5211">
        <v>49</v>
      </c>
    </row>
    <row r="5212" spans="1:12" x14ac:dyDescent="0.2">
      <c r="A5212"/>
      <c r="B5212"/>
      <c r="C5212"/>
      <c r="D5212"/>
      <c r="E5212" s="2">
        <f>Comuni__2[[#This Row],[Popolazione2011]]/$D$7911</f>
        <v>9.9456310550865623E-6</v>
      </c>
      <c r="F5212">
        <f>SUMIFS($D$2:$D$7909, $B$2:$B$7909, "Piemonte")</f>
        <v>4363916</v>
      </c>
      <c r="G5212" s="1">
        <f>Comuni__2[[#This Row],[Popolazione2011]]/Comuni__2[[#This Row],[POPOLAZIONE TOTALE DI OGNI REGIONE (CON FILTRO)]]</f>
        <v>1.3542882126970363E-4</v>
      </c>
      <c r="H5212" t="str">
        <f>IF(Comuni__2[[#This Row],[Popolazione2011]]&gt;300000,"MAGGIORE","")</f>
        <v/>
      </c>
      <c r="J5212">
        <v>196</v>
      </c>
      <c r="K5212">
        <v>416</v>
      </c>
      <c r="L5212">
        <v>50</v>
      </c>
    </row>
    <row r="5213" spans="1:12" x14ac:dyDescent="0.2">
      <c r="A5213"/>
      <c r="B5213"/>
      <c r="C5213"/>
      <c r="D5213"/>
      <c r="E5213" s="2">
        <f>Comuni__2[[#This Row],[Popolazione2011]]/$D$7911</f>
        <v>9.9288025761439445E-6</v>
      </c>
      <c r="F5213">
        <f>SUMIFS($D$2:$D$7909, $B$2:$B$7909, "Piemonte")</f>
        <v>4363916</v>
      </c>
      <c r="G5213" s="1">
        <f>Comuni__2[[#This Row],[Popolazione2011]]/Comuni__2[[#This Row],[POPOLAZIONE TOTALE DI OGNI REGIONE (CON FILTRO)]]</f>
        <v>1.351996692878598E-4</v>
      </c>
      <c r="H5213" t="str">
        <f>IF(Comuni__2[[#This Row],[Popolazione2011]]&gt;300000,"MAGGIORE","")</f>
        <v/>
      </c>
      <c r="J5213">
        <v>192</v>
      </c>
      <c r="K5213">
        <v>455</v>
      </c>
      <c r="L5213">
        <v>51</v>
      </c>
    </row>
    <row r="5214" spans="1:12" x14ac:dyDescent="0.2">
      <c r="A5214"/>
      <c r="B5214"/>
      <c r="C5214"/>
      <c r="D5214"/>
      <c r="E5214" s="2">
        <f>Comuni__2[[#This Row],[Popolazione2011]]/$D$7911</f>
        <v>9.9288025761439445E-6</v>
      </c>
      <c r="F5214">
        <f>SUMIFS($D$2:$D$7909, $B$2:$B$7909, "Piemonte")</f>
        <v>4363916</v>
      </c>
      <c r="G5214" s="1">
        <f>Comuni__2[[#This Row],[Popolazione2011]]/Comuni__2[[#This Row],[POPOLAZIONE TOTALE DI OGNI REGIONE (CON FILTRO)]]</f>
        <v>1.351996692878598E-4</v>
      </c>
      <c r="H5214" t="str">
        <f>IF(Comuni__2[[#This Row],[Popolazione2011]]&gt;300000,"MAGGIORE","")</f>
        <v/>
      </c>
      <c r="J5214">
        <v>185</v>
      </c>
      <c r="K5214">
        <v>498</v>
      </c>
      <c r="L5214">
        <v>52</v>
      </c>
    </row>
    <row r="5215" spans="1:12" x14ac:dyDescent="0.2">
      <c r="A5215"/>
      <c r="B5215"/>
      <c r="C5215"/>
      <c r="D5215"/>
      <c r="E5215" s="2">
        <f>Comuni__2[[#This Row],[Popolazione2011]]/$D$7911</f>
        <v>9.9119740972013284E-6</v>
      </c>
      <c r="F5215">
        <f>SUMIFS($D$2:$D$7909, $B$2:$B$7909, "Piemonte")</f>
        <v>4363916</v>
      </c>
      <c r="G5215" s="1">
        <f>Comuni__2[[#This Row],[Popolazione2011]]/Comuni__2[[#This Row],[POPOLAZIONE TOTALE DI OGNI REGIONE (CON FILTRO)]]</f>
        <v>1.3497051730601597E-4</v>
      </c>
      <c r="H5215" t="str">
        <f>IF(Comuni__2[[#This Row],[Popolazione2011]]&gt;300000,"MAGGIORE","")</f>
        <v/>
      </c>
      <c r="J5215">
        <v>176</v>
      </c>
      <c r="K5215">
        <v>534</v>
      </c>
      <c r="L5215">
        <v>52</v>
      </c>
    </row>
    <row r="5216" spans="1:12" x14ac:dyDescent="0.2">
      <c r="A5216"/>
      <c r="B5216"/>
      <c r="C5216"/>
      <c r="D5216"/>
      <c r="E5216" s="2">
        <f>Comuni__2[[#This Row],[Popolazione2011]]/$D$7911</f>
        <v>9.8951456182587106E-6</v>
      </c>
      <c r="F5216">
        <f>SUMIFS($D$2:$D$7909, $B$2:$B$7909, "Piemonte")</f>
        <v>4363916</v>
      </c>
      <c r="G5216" s="1">
        <f>Comuni__2[[#This Row],[Popolazione2011]]/Comuni__2[[#This Row],[POPOLAZIONE TOTALE DI OGNI REGIONE (CON FILTRO)]]</f>
        <v>1.3474136532417213E-4</v>
      </c>
      <c r="H5216" t="str">
        <f>IF(Comuni__2[[#This Row],[Popolazione2011]]&gt;300000,"MAGGIORE","")</f>
        <v/>
      </c>
      <c r="J5216">
        <v>168</v>
      </c>
      <c r="K5216">
        <v>580</v>
      </c>
      <c r="L5216">
        <v>52</v>
      </c>
    </row>
    <row r="5217" spans="1:12" x14ac:dyDescent="0.2">
      <c r="A5217"/>
      <c r="B5217"/>
      <c r="C5217"/>
      <c r="D5217"/>
      <c r="E5217" s="2">
        <f>Comuni__2[[#This Row],[Popolazione2011]]/$D$7911</f>
        <v>9.8951456182587106E-6</v>
      </c>
      <c r="F5217">
        <f>SUMIFS($D$2:$D$7909, $B$2:$B$7909, "Piemonte")</f>
        <v>4363916</v>
      </c>
      <c r="G5217" s="1">
        <f>Comuni__2[[#This Row],[Popolazione2011]]/Comuni__2[[#This Row],[POPOLAZIONE TOTALE DI OGNI REGIONE (CON FILTRO)]]</f>
        <v>1.3474136532417213E-4</v>
      </c>
      <c r="H5217" t="str">
        <f>IF(Comuni__2[[#This Row],[Popolazione2011]]&gt;300000,"MAGGIORE","")</f>
        <v/>
      </c>
      <c r="J5217">
        <v>165</v>
      </c>
      <c r="K5217">
        <v>643</v>
      </c>
      <c r="L5217">
        <v>52</v>
      </c>
    </row>
    <row r="5218" spans="1:12" x14ac:dyDescent="0.2">
      <c r="A5218"/>
      <c r="B5218"/>
      <c r="C5218"/>
      <c r="D5218"/>
      <c r="E5218" s="2">
        <f>Comuni__2[[#This Row],[Popolazione2011]]/$D$7911</f>
        <v>9.7773462656603926E-6</v>
      </c>
      <c r="F5218">
        <f>SUMIFS($D$2:$D$7909, $B$2:$B$7909, "Piemonte")</f>
        <v>4363916</v>
      </c>
      <c r="G5218" s="1">
        <f>Comuni__2[[#This Row],[Popolazione2011]]/Comuni__2[[#This Row],[POPOLAZIONE TOTALE DI OGNI REGIONE (CON FILTRO)]]</f>
        <v>1.3313730145126534E-4</v>
      </c>
      <c r="H5218" t="str">
        <f>IF(Comuni__2[[#This Row],[Popolazione2011]]&gt;300000,"MAGGIORE","")</f>
        <v/>
      </c>
      <c r="J5218">
        <v>164</v>
      </c>
      <c r="K5218">
        <v>646</v>
      </c>
      <c r="L5218">
        <v>53</v>
      </c>
    </row>
    <row r="5219" spans="1:12" x14ac:dyDescent="0.2">
      <c r="A5219"/>
      <c r="B5219"/>
      <c r="C5219"/>
      <c r="D5219"/>
      <c r="E5219" s="2">
        <f>Comuni__2[[#This Row],[Popolazione2011]]/$D$7911</f>
        <v>9.7605177867177765E-6</v>
      </c>
      <c r="F5219">
        <f>SUMIFS($D$2:$D$7909, $B$2:$B$7909, "Piemonte")</f>
        <v>4363916</v>
      </c>
      <c r="G5219" s="1">
        <f>Comuni__2[[#This Row],[Popolazione2011]]/Comuni__2[[#This Row],[POPOLAZIONE TOTALE DI OGNI REGIONE (CON FILTRO)]]</f>
        <v>1.3290814946942151E-4</v>
      </c>
      <c r="H5219" t="str">
        <f>IF(Comuni__2[[#This Row],[Popolazione2011]]&gt;300000,"MAGGIORE","")</f>
        <v/>
      </c>
      <c r="J5219">
        <v>159</v>
      </c>
      <c r="K5219">
        <v>686</v>
      </c>
      <c r="L5219">
        <v>54</v>
      </c>
    </row>
    <row r="5220" spans="1:12" x14ac:dyDescent="0.2">
      <c r="A5220"/>
      <c r="B5220"/>
      <c r="C5220"/>
      <c r="D5220"/>
      <c r="E5220" s="2">
        <f>Comuni__2[[#This Row],[Popolazione2011]]/$D$7911</f>
        <v>9.7436893077751587E-6</v>
      </c>
      <c r="F5220">
        <f>SUMIFS($D$2:$D$7909, $B$2:$B$7909, "Piemonte")</f>
        <v>4363916</v>
      </c>
      <c r="G5220" s="1">
        <f>Comuni__2[[#This Row],[Popolazione2011]]/Comuni__2[[#This Row],[POPOLAZIONE TOTALE DI OGNI REGIONE (CON FILTRO)]]</f>
        <v>1.3267899748757768E-4</v>
      </c>
      <c r="H5220" t="str">
        <f>IF(Comuni__2[[#This Row],[Popolazione2011]]&gt;300000,"MAGGIORE","")</f>
        <v/>
      </c>
      <c r="J5220">
        <v>149</v>
      </c>
      <c r="K5220">
        <v>738</v>
      </c>
      <c r="L5220">
        <v>55</v>
      </c>
    </row>
    <row r="5221" spans="1:12" x14ac:dyDescent="0.2">
      <c r="A5221"/>
      <c r="B5221"/>
      <c r="C5221"/>
      <c r="D5221"/>
      <c r="E5221" s="2">
        <f>Comuni__2[[#This Row],[Popolazione2011]]/$D$7911</f>
        <v>9.7436893077751587E-6</v>
      </c>
      <c r="F5221">
        <f>SUMIFS($D$2:$D$7909, $B$2:$B$7909, "Piemonte")</f>
        <v>4363916</v>
      </c>
      <c r="G5221" s="1">
        <f>Comuni__2[[#This Row],[Popolazione2011]]/Comuni__2[[#This Row],[POPOLAZIONE TOTALE DI OGNI REGIONE (CON FILTRO)]]</f>
        <v>1.3267899748757768E-4</v>
      </c>
      <c r="H5221" t="str">
        <f>IF(Comuni__2[[#This Row],[Popolazione2011]]&gt;300000,"MAGGIORE","")</f>
        <v/>
      </c>
      <c r="J5221">
        <v>142</v>
      </c>
      <c r="K5221">
        <v>786</v>
      </c>
      <c r="L5221">
        <v>57</v>
      </c>
    </row>
    <row r="5222" spans="1:12" x14ac:dyDescent="0.2">
      <c r="A5222"/>
      <c r="B5222"/>
      <c r="C5222"/>
      <c r="D5222"/>
      <c r="E5222" s="2">
        <f>Comuni__2[[#This Row],[Popolazione2011]]/$D$7911</f>
        <v>9.7436893077751587E-6</v>
      </c>
      <c r="F5222">
        <f>SUMIFS($D$2:$D$7909, $B$2:$B$7909, "Piemonte")</f>
        <v>4363916</v>
      </c>
      <c r="G5222" s="1">
        <f>Comuni__2[[#This Row],[Popolazione2011]]/Comuni__2[[#This Row],[POPOLAZIONE TOTALE DI OGNI REGIONE (CON FILTRO)]]</f>
        <v>1.3267899748757768E-4</v>
      </c>
      <c r="H5222" t="str">
        <f>IF(Comuni__2[[#This Row],[Popolazione2011]]&gt;300000,"MAGGIORE","")</f>
        <v/>
      </c>
      <c r="J5222">
        <v>141</v>
      </c>
      <c r="K5222">
        <v>856</v>
      </c>
      <c r="L5222">
        <v>57</v>
      </c>
    </row>
    <row r="5223" spans="1:12" x14ac:dyDescent="0.2">
      <c r="A5223"/>
      <c r="B5223"/>
      <c r="C5223"/>
      <c r="D5223"/>
      <c r="E5223" s="2">
        <f>Comuni__2[[#This Row],[Popolazione2011]]/$D$7911</f>
        <v>9.7100323498899264E-6</v>
      </c>
      <c r="F5223">
        <f>SUMIFS($D$2:$D$7909, $B$2:$B$7909, "Piemonte")</f>
        <v>4363916</v>
      </c>
      <c r="G5223" s="1">
        <f>Comuni__2[[#This Row],[Popolazione2011]]/Comuni__2[[#This Row],[POPOLAZIONE TOTALE DI OGNI REGIONE (CON FILTRO)]]</f>
        <v>1.3222069352389001E-4</v>
      </c>
      <c r="H5223" t="str">
        <f>IF(Comuni__2[[#This Row],[Popolazione2011]]&gt;300000,"MAGGIORE","")</f>
        <v/>
      </c>
      <c r="J5223">
        <v>138</v>
      </c>
      <c r="K5223">
        <v>854</v>
      </c>
      <c r="L5223">
        <v>58</v>
      </c>
    </row>
    <row r="5224" spans="1:12" x14ac:dyDescent="0.2">
      <c r="A5224"/>
      <c r="B5224"/>
      <c r="C5224"/>
      <c r="D5224"/>
      <c r="E5224" s="2">
        <f>Comuni__2[[#This Row],[Popolazione2011]]/$D$7911</f>
        <v>9.7100323498899264E-6</v>
      </c>
      <c r="F5224">
        <f>SUMIFS($D$2:$D$7909, $B$2:$B$7909, "Piemonte")</f>
        <v>4363916</v>
      </c>
      <c r="G5224" s="1">
        <f>Comuni__2[[#This Row],[Popolazione2011]]/Comuni__2[[#This Row],[POPOLAZIONE TOTALE DI OGNI REGIONE (CON FILTRO)]]</f>
        <v>1.3222069352389001E-4</v>
      </c>
      <c r="H5224" t="str">
        <f>IF(Comuni__2[[#This Row],[Popolazione2011]]&gt;300000,"MAGGIORE","")</f>
        <v/>
      </c>
      <c r="J5224">
        <v>142</v>
      </c>
      <c r="K5224">
        <v>867</v>
      </c>
      <c r="L5224">
        <v>58</v>
      </c>
    </row>
    <row r="5225" spans="1:12" x14ac:dyDescent="0.2">
      <c r="A5225"/>
      <c r="B5225"/>
      <c r="C5225"/>
      <c r="D5225"/>
      <c r="E5225" s="2">
        <f>Comuni__2[[#This Row],[Popolazione2011]]/$D$7911</f>
        <v>9.6932038709473086E-6</v>
      </c>
      <c r="F5225">
        <f>SUMIFS($D$2:$D$7909, $B$2:$B$7909, "Piemonte")</f>
        <v>4363916</v>
      </c>
      <c r="G5225" s="1">
        <f>Comuni__2[[#This Row],[Popolazione2011]]/Comuni__2[[#This Row],[POPOLAZIONE TOTALE DI OGNI REGIONE (CON FILTRO)]]</f>
        <v>1.3199154154204618E-4</v>
      </c>
      <c r="H5225" t="str">
        <f>IF(Comuni__2[[#This Row],[Popolazione2011]]&gt;300000,"MAGGIORE","")</f>
        <v/>
      </c>
      <c r="J5225">
        <v>129</v>
      </c>
      <c r="K5225">
        <v>886</v>
      </c>
      <c r="L5225">
        <v>60</v>
      </c>
    </row>
    <row r="5226" spans="1:12" x14ac:dyDescent="0.2">
      <c r="A5226"/>
      <c r="B5226"/>
      <c r="C5226"/>
      <c r="D5226"/>
      <c r="E5226" s="2">
        <f>Comuni__2[[#This Row],[Popolazione2011]]/$D$7911</f>
        <v>9.6258899551768407E-6</v>
      </c>
      <c r="F5226">
        <f>SUMIFS($D$2:$D$7909, $B$2:$B$7909, "Piemonte")</f>
        <v>4363916</v>
      </c>
      <c r="G5226" s="1">
        <f>Comuni__2[[#This Row],[Popolazione2011]]/Comuni__2[[#This Row],[POPOLAZIONE TOTALE DI OGNI REGIONE (CON FILTRO)]]</f>
        <v>1.3107493361467086E-4</v>
      </c>
      <c r="H5226" t="str">
        <f>IF(Comuni__2[[#This Row],[Popolazione2011]]&gt;300000,"MAGGIORE","")</f>
        <v/>
      </c>
      <c r="J5226">
        <v>117</v>
      </c>
      <c r="K5226">
        <v>925</v>
      </c>
      <c r="L5226">
        <v>61</v>
      </c>
    </row>
    <row r="5227" spans="1:12" x14ac:dyDescent="0.2">
      <c r="A5227"/>
      <c r="B5227"/>
      <c r="C5227"/>
      <c r="D5227"/>
      <c r="E5227" s="2">
        <f>Comuni__2[[#This Row],[Popolazione2011]]/$D$7911</f>
        <v>9.6090614762342246E-6</v>
      </c>
      <c r="F5227">
        <f>SUMIFS($D$2:$D$7909, $B$2:$B$7909, "Piemonte")</f>
        <v>4363916</v>
      </c>
      <c r="G5227" s="1">
        <f>Comuni__2[[#This Row],[Popolazione2011]]/Comuni__2[[#This Row],[POPOLAZIONE TOTALE DI OGNI REGIONE (CON FILTRO)]]</f>
        <v>1.3084578163282702E-4</v>
      </c>
      <c r="H5227" t="str">
        <f>IF(Comuni__2[[#This Row],[Popolazione2011]]&gt;300000,"MAGGIORE","")</f>
        <v/>
      </c>
      <c r="J5227">
        <v>119</v>
      </c>
      <c r="K5227">
        <v>946</v>
      </c>
      <c r="L5227">
        <v>61</v>
      </c>
    </row>
    <row r="5228" spans="1:12" x14ac:dyDescent="0.2">
      <c r="A5228"/>
      <c r="B5228"/>
      <c r="C5228"/>
      <c r="D5228"/>
      <c r="E5228" s="2">
        <f>Comuni__2[[#This Row],[Popolazione2011]]/$D$7911</f>
        <v>9.5585760394063745E-6</v>
      </c>
      <c r="F5228">
        <f>SUMIFS($D$2:$D$7909, $B$2:$B$7909, "Piemonte")</f>
        <v>4363916</v>
      </c>
      <c r="G5228" s="1">
        <f>Comuni__2[[#This Row],[Popolazione2011]]/Comuni__2[[#This Row],[POPOLAZIONE TOTALE DI OGNI REGIONE (CON FILTRO)]]</f>
        <v>1.3015832568729553E-4</v>
      </c>
      <c r="H5228" t="str">
        <f>IF(Comuni__2[[#This Row],[Popolazione2011]]&gt;300000,"MAGGIORE","")</f>
        <v/>
      </c>
      <c r="J5228">
        <v>113</v>
      </c>
      <c r="K5228">
        <v>979</v>
      </c>
      <c r="L5228">
        <v>62</v>
      </c>
    </row>
    <row r="5229" spans="1:12" x14ac:dyDescent="0.2">
      <c r="A5229"/>
      <c r="B5229"/>
      <c r="C5229"/>
      <c r="D5229"/>
      <c r="E5229" s="2">
        <f>Comuni__2[[#This Row],[Popolazione2011]]/$D$7911</f>
        <v>9.5249190815211406E-6</v>
      </c>
      <c r="F5229">
        <f>SUMIFS($D$2:$D$7909, $B$2:$B$7909, "Piemonte")</f>
        <v>4363916</v>
      </c>
      <c r="G5229" s="1">
        <f>Comuni__2[[#This Row],[Popolazione2011]]/Comuni__2[[#This Row],[POPOLAZIONE TOTALE DI OGNI REGIONE (CON FILTRO)]]</f>
        <v>1.2970002172360787E-4</v>
      </c>
      <c r="H5229" t="str">
        <f>IF(Comuni__2[[#This Row],[Popolazione2011]]&gt;300000,"MAGGIORE","")</f>
        <v/>
      </c>
      <c r="J5229">
        <v>113</v>
      </c>
      <c r="K5229">
        <v>1006</v>
      </c>
      <c r="L5229">
        <v>63</v>
      </c>
    </row>
    <row r="5230" spans="1:12" x14ac:dyDescent="0.2">
      <c r="A5230"/>
      <c r="B5230"/>
      <c r="C5230"/>
      <c r="D5230"/>
      <c r="E5230" s="2">
        <f>Comuni__2[[#This Row],[Popolazione2011]]/$D$7911</f>
        <v>9.5249190815211406E-6</v>
      </c>
      <c r="F5230">
        <f>SUMIFS($D$2:$D$7909, $B$2:$B$7909, "Piemonte")</f>
        <v>4363916</v>
      </c>
      <c r="G5230" s="1">
        <f>Comuni__2[[#This Row],[Popolazione2011]]/Comuni__2[[#This Row],[POPOLAZIONE TOTALE DI OGNI REGIONE (CON FILTRO)]]</f>
        <v>1.2970002172360787E-4</v>
      </c>
      <c r="H5230" t="str">
        <f>IF(Comuni__2[[#This Row],[Popolazione2011]]&gt;300000,"MAGGIORE","")</f>
        <v/>
      </c>
      <c r="J5230">
        <v>108</v>
      </c>
      <c r="K5230">
        <v>1008</v>
      </c>
      <c r="L5230">
        <v>64</v>
      </c>
    </row>
    <row r="5231" spans="1:12" x14ac:dyDescent="0.2">
      <c r="A5231"/>
      <c r="B5231"/>
      <c r="C5231"/>
      <c r="D5231"/>
      <c r="E5231" s="2">
        <f>Comuni__2[[#This Row],[Popolazione2011]]/$D$7911</f>
        <v>9.5249190815211406E-6</v>
      </c>
      <c r="F5231">
        <f>SUMIFS($D$2:$D$7909, $B$2:$B$7909, "Piemonte")</f>
        <v>4363916</v>
      </c>
      <c r="G5231" s="1">
        <f>Comuni__2[[#This Row],[Popolazione2011]]/Comuni__2[[#This Row],[POPOLAZIONE TOTALE DI OGNI REGIONE (CON FILTRO)]]</f>
        <v>1.2970002172360787E-4</v>
      </c>
      <c r="H5231" t="str">
        <f>IF(Comuni__2[[#This Row],[Popolazione2011]]&gt;300000,"MAGGIORE","")</f>
        <v/>
      </c>
      <c r="J5231">
        <v>106</v>
      </c>
      <c r="K5231">
        <v>1018</v>
      </c>
      <c r="L5231">
        <v>65</v>
      </c>
    </row>
    <row r="5232" spans="1:12" x14ac:dyDescent="0.2">
      <c r="A5232"/>
      <c r="B5232"/>
      <c r="C5232"/>
      <c r="D5232"/>
      <c r="E5232" s="2">
        <f>Comuni__2[[#This Row],[Popolazione2011]]/$D$7911</f>
        <v>9.5249190815211406E-6</v>
      </c>
      <c r="F5232">
        <f>SUMIFS($D$2:$D$7909, $B$2:$B$7909, "Piemonte")</f>
        <v>4363916</v>
      </c>
      <c r="G5232" s="1">
        <f>Comuni__2[[#This Row],[Popolazione2011]]/Comuni__2[[#This Row],[POPOLAZIONE TOTALE DI OGNI REGIONE (CON FILTRO)]]</f>
        <v>1.2970002172360787E-4</v>
      </c>
      <c r="H5232" t="str">
        <f>IF(Comuni__2[[#This Row],[Popolazione2011]]&gt;300000,"MAGGIORE","")</f>
        <v/>
      </c>
      <c r="J5232">
        <v>97</v>
      </c>
      <c r="K5232">
        <v>1039</v>
      </c>
      <c r="L5232">
        <v>65</v>
      </c>
    </row>
    <row r="5233" spans="1:12" x14ac:dyDescent="0.2">
      <c r="A5233"/>
      <c r="B5233"/>
      <c r="C5233"/>
      <c r="D5233"/>
      <c r="E5233" s="2">
        <f>Comuni__2[[#This Row],[Popolazione2011]]/$D$7911</f>
        <v>9.4407766868080565E-6</v>
      </c>
      <c r="F5233">
        <f>SUMIFS($D$2:$D$7909, $B$2:$B$7909, "Piemonte")</f>
        <v>4363916</v>
      </c>
      <c r="G5233" s="1">
        <f>Comuni__2[[#This Row],[Popolazione2011]]/Comuni__2[[#This Row],[POPOLAZIONE TOTALE DI OGNI REGIONE (CON FILTRO)]]</f>
        <v>1.2855426181438873E-4</v>
      </c>
      <c r="H5233" t="str">
        <f>IF(Comuni__2[[#This Row],[Popolazione2011]]&gt;300000,"MAGGIORE","")</f>
        <v/>
      </c>
      <c r="J5233">
        <v>93</v>
      </c>
      <c r="K5233">
        <v>1064</v>
      </c>
      <c r="L5233">
        <v>66</v>
      </c>
    </row>
    <row r="5234" spans="1:12" x14ac:dyDescent="0.2">
      <c r="A5234"/>
      <c r="B5234"/>
      <c r="C5234"/>
      <c r="D5234"/>
      <c r="E5234" s="2">
        <f>Comuni__2[[#This Row],[Popolazione2011]]/$D$7911</f>
        <v>9.4239482078654387E-6</v>
      </c>
      <c r="F5234">
        <f>SUMIFS($D$2:$D$7909, $B$2:$B$7909, "Piemonte")</f>
        <v>4363916</v>
      </c>
      <c r="G5234" s="1">
        <f>Comuni__2[[#This Row],[Popolazione2011]]/Comuni__2[[#This Row],[POPOLAZIONE TOTALE DI OGNI REGIONE (CON FILTRO)]]</f>
        <v>1.283251098325449E-4</v>
      </c>
      <c r="H5234" t="str">
        <f>IF(Comuni__2[[#This Row],[Popolazione2011]]&gt;300000,"MAGGIORE","")</f>
        <v/>
      </c>
      <c r="J5234">
        <v>84</v>
      </c>
      <c r="K5234">
        <v>1092</v>
      </c>
      <c r="L5234">
        <v>67</v>
      </c>
    </row>
    <row r="5235" spans="1:12" x14ac:dyDescent="0.2">
      <c r="A5235"/>
      <c r="B5235"/>
      <c r="C5235"/>
      <c r="D5235"/>
      <c r="E5235" s="2">
        <f>Comuni__2[[#This Row],[Popolazione2011]]/$D$7911</f>
        <v>9.3902912499802048E-6</v>
      </c>
      <c r="F5235">
        <f>SUMIFS($D$2:$D$7909, $B$2:$B$7909, "Piemonte")</f>
        <v>4363916</v>
      </c>
      <c r="G5235" s="1">
        <f>Comuni__2[[#This Row],[Popolazione2011]]/Comuni__2[[#This Row],[POPOLAZIONE TOTALE DI OGNI REGIONE (CON FILTRO)]]</f>
        <v>1.2786680586885724E-4</v>
      </c>
      <c r="H5235" t="str">
        <f>IF(Comuni__2[[#This Row],[Popolazione2011]]&gt;300000,"MAGGIORE","")</f>
        <v/>
      </c>
      <c r="J5235">
        <v>73</v>
      </c>
      <c r="K5235">
        <v>1121</v>
      </c>
      <c r="L5235">
        <v>68</v>
      </c>
    </row>
    <row r="5236" spans="1:12" x14ac:dyDescent="0.2">
      <c r="A5236"/>
      <c r="B5236"/>
      <c r="C5236"/>
      <c r="D5236"/>
      <c r="E5236" s="2">
        <f>Comuni__2[[#This Row],[Popolazione2011]]/$D$7911</f>
        <v>9.3734627710375886E-6</v>
      </c>
      <c r="F5236">
        <f>SUMIFS($D$2:$D$7909, $B$2:$B$7909, "Piemonte")</f>
        <v>4363916</v>
      </c>
      <c r="G5236" s="1">
        <f>Comuni__2[[#This Row],[Popolazione2011]]/Comuni__2[[#This Row],[POPOLAZIONE TOTALE DI OGNI REGIONE (CON FILTRO)]]</f>
        <v>1.2763765388701341E-4</v>
      </c>
      <c r="H5236" t="str">
        <f>IF(Comuni__2[[#This Row],[Popolazione2011]]&gt;300000,"MAGGIORE","")</f>
        <v/>
      </c>
      <c r="J5236">
        <v>73</v>
      </c>
      <c r="K5236">
        <v>1130</v>
      </c>
      <c r="L5236">
        <v>68</v>
      </c>
    </row>
    <row r="5237" spans="1:12" x14ac:dyDescent="0.2">
      <c r="A5237"/>
      <c r="B5237"/>
      <c r="C5237"/>
      <c r="D5237"/>
      <c r="E5237" s="2">
        <f>Comuni__2[[#This Row],[Popolazione2011]]/$D$7911</f>
        <v>9.3566342920949725E-6</v>
      </c>
      <c r="F5237">
        <f>SUMIFS($D$2:$D$7909, $B$2:$B$7909, "Piemonte")</f>
        <v>4363916</v>
      </c>
      <c r="G5237" s="1">
        <f>Comuni__2[[#This Row],[Popolazione2011]]/Comuni__2[[#This Row],[POPOLAZIONE TOTALE DI OGNI REGIONE (CON FILTRO)]]</f>
        <v>1.2740850190516958E-4</v>
      </c>
      <c r="H5237" t="str">
        <f>IF(Comuni__2[[#This Row],[Popolazione2011]]&gt;300000,"MAGGIORE","")</f>
        <v/>
      </c>
      <c r="J5237">
        <v>71</v>
      </c>
      <c r="K5237">
        <v>1143</v>
      </c>
      <c r="L5237">
        <v>68</v>
      </c>
    </row>
    <row r="5238" spans="1:12" x14ac:dyDescent="0.2">
      <c r="A5238"/>
      <c r="B5238"/>
      <c r="C5238"/>
      <c r="D5238"/>
      <c r="E5238" s="2">
        <f>Comuni__2[[#This Row],[Popolazione2011]]/$D$7911</f>
        <v>9.3566342920949725E-6</v>
      </c>
      <c r="F5238">
        <f>SUMIFS($D$2:$D$7909, $B$2:$B$7909, "Piemonte")</f>
        <v>4363916</v>
      </c>
      <c r="G5238" s="1">
        <f>Comuni__2[[#This Row],[Popolazione2011]]/Comuni__2[[#This Row],[POPOLAZIONE TOTALE DI OGNI REGIONE (CON FILTRO)]]</f>
        <v>1.2740850190516958E-4</v>
      </c>
      <c r="H5238" t="str">
        <f>IF(Comuni__2[[#This Row],[Popolazione2011]]&gt;300000,"MAGGIORE","")</f>
        <v/>
      </c>
      <c r="J5238">
        <v>69</v>
      </c>
      <c r="K5238">
        <v>1143</v>
      </c>
      <c r="L5238">
        <v>70</v>
      </c>
    </row>
    <row r="5239" spans="1:12" x14ac:dyDescent="0.2">
      <c r="A5239"/>
      <c r="B5239"/>
      <c r="C5239"/>
      <c r="D5239"/>
      <c r="E5239" s="2">
        <f>Comuni__2[[#This Row],[Popolazione2011]]/$D$7911</f>
        <v>9.3229773342097386E-6</v>
      </c>
      <c r="F5239">
        <f>SUMIFS($D$2:$D$7909, $B$2:$B$7909, "Piemonte")</f>
        <v>4363916</v>
      </c>
      <c r="G5239" s="1">
        <f>Comuni__2[[#This Row],[Popolazione2011]]/Comuni__2[[#This Row],[POPOLAZIONE TOTALE DI OGNI REGIONE (CON FILTRO)]]</f>
        <v>1.2695019794148191E-4</v>
      </c>
      <c r="H5239" t="str">
        <f>IF(Comuni__2[[#This Row],[Popolazione2011]]&gt;300000,"MAGGIORE","")</f>
        <v/>
      </c>
      <c r="J5239">
        <v>67</v>
      </c>
      <c r="K5239">
        <v>1154</v>
      </c>
      <c r="L5239">
        <v>70</v>
      </c>
    </row>
    <row r="5240" spans="1:12" x14ac:dyDescent="0.2">
      <c r="A5240"/>
      <c r="B5240"/>
      <c r="C5240"/>
      <c r="D5240"/>
      <c r="E5240" s="2">
        <f>Comuni__2[[#This Row],[Popolazione2011]]/$D$7911</f>
        <v>9.3229773342097386E-6</v>
      </c>
      <c r="F5240">
        <f>SUMIFS($D$2:$D$7909, $B$2:$B$7909, "Piemonte")</f>
        <v>4363916</v>
      </c>
      <c r="G5240" s="1">
        <f>Comuni__2[[#This Row],[Popolazione2011]]/Comuni__2[[#This Row],[POPOLAZIONE TOTALE DI OGNI REGIONE (CON FILTRO)]]</f>
        <v>1.2695019794148191E-4</v>
      </c>
      <c r="H5240" t="str">
        <f>IF(Comuni__2[[#This Row],[Popolazione2011]]&gt;300000,"MAGGIORE","")</f>
        <v/>
      </c>
      <c r="J5240">
        <v>64</v>
      </c>
      <c r="K5240">
        <v>1163</v>
      </c>
      <c r="L5240">
        <v>70</v>
      </c>
    </row>
    <row r="5241" spans="1:12" x14ac:dyDescent="0.2">
      <c r="A5241"/>
      <c r="B5241"/>
      <c r="C5241"/>
      <c r="D5241"/>
      <c r="E5241" s="2">
        <f>Comuni__2[[#This Row],[Popolazione2011]]/$D$7911</f>
        <v>9.3061488552671208E-6</v>
      </c>
      <c r="F5241">
        <f>SUMIFS($D$2:$D$7909, $B$2:$B$7909, "Piemonte")</f>
        <v>4363916</v>
      </c>
      <c r="G5241" s="1">
        <f>Comuni__2[[#This Row],[Popolazione2011]]/Comuni__2[[#This Row],[POPOLAZIONE TOTALE DI OGNI REGIONE (CON FILTRO)]]</f>
        <v>1.2672104595963808E-4</v>
      </c>
      <c r="H5241" t="str">
        <f>IF(Comuni__2[[#This Row],[Popolazione2011]]&gt;300000,"MAGGIORE","")</f>
        <v/>
      </c>
      <c r="J5241">
        <v>56</v>
      </c>
      <c r="K5241">
        <v>1194</v>
      </c>
      <c r="L5241">
        <v>70</v>
      </c>
    </row>
    <row r="5242" spans="1:12" x14ac:dyDescent="0.2">
      <c r="A5242"/>
      <c r="B5242"/>
      <c r="C5242"/>
      <c r="D5242"/>
      <c r="E5242" s="2">
        <f>Comuni__2[[#This Row],[Popolazione2011]]/$D$7911</f>
        <v>9.3061488552671208E-6</v>
      </c>
      <c r="F5242">
        <f>SUMIFS($D$2:$D$7909, $B$2:$B$7909, "Piemonte")</f>
        <v>4363916</v>
      </c>
      <c r="G5242" s="1">
        <f>Comuni__2[[#This Row],[Popolazione2011]]/Comuni__2[[#This Row],[POPOLAZIONE TOTALE DI OGNI REGIONE (CON FILTRO)]]</f>
        <v>1.2672104595963808E-4</v>
      </c>
      <c r="H5242" t="str">
        <f>IF(Comuni__2[[#This Row],[Popolazione2011]]&gt;300000,"MAGGIORE","")</f>
        <v/>
      </c>
      <c r="J5242">
        <v>53</v>
      </c>
      <c r="K5242">
        <v>1216</v>
      </c>
      <c r="L5242">
        <v>71</v>
      </c>
    </row>
    <row r="5243" spans="1:12" x14ac:dyDescent="0.2">
      <c r="A5243"/>
      <c r="B5243"/>
      <c r="C5243"/>
      <c r="D5243"/>
      <c r="E5243" s="2">
        <f>Comuni__2[[#This Row],[Popolazione2011]]/$D$7911</f>
        <v>9.2893203763245046E-6</v>
      </c>
      <c r="F5243">
        <f>SUMIFS($D$2:$D$7909, $B$2:$B$7909, "Piemonte")</f>
        <v>4363916</v>
      </c>
      <c r="G5243" s="1">
        <f>Comuni__2[[#This Row],[Popolazione2011]]/Comuni__2[[#This Row],[POPOLAZIONE TOTALE DI OGNI REGIONE (CON FILTRO)]]</f>
        <v>1.2649189397779425E-4</v>
      </c>
      <c r="H5243" t="str">
        <f>IF(Comuni__2[[#This Row],[Popolazione2011]]&gt;300000,"MAGGIORE","")</f>
        <v/>
      </c>
      <c r="J5243">
        <v>51</v>
      </c>
      <c r="K5243">
        <v>1225</v>
      </c>
      <c r="L5243">
        <v>71</v>
      </c>
    </row>
    <row r="5244" spans="1:12" x14ac:dyDescent="0.2">
      <c r="A5244"/>
      <c r="B5244"/>
      <c r="C5244"/>
      <c r="D5244"/>
      <c r="E5244" s="2">
        <f>Comuni__2[[#This Row],[Popolazione2011]]/$D$7911</f>
        <v>9.2556634184392707E-6</v>
      </c>
      <c r="F5244">
        <f>SUMIFS($D$2:$D$7909, $B$2:$B$7909, "Piemonte")</f>
        <v>4363916</v>
      </c>
      <c r="G5244" s="1">
        <f>Comuni__2[[#This Row],[Popolazione2011]]/Comuni__2[[#This Row],[POPOLAZIONE TOTALE DI OGNI REGIONE (CON FILTRO)]]</f>
        <v>1.2603359001410659E-4</v>
      </c>
      <c r="H5244" t="str">
        <f>IF(Comuni__2[[#This Row],[Popolazione2011]]&gt;300000,"MAGGIORE","")</f>
        <v/>
      </c>
      <c r="J5244">
        <v>48</v>
      </c>
      <c r="K5244">
        <v>1227</v>
      </c>
      <c r="L5244">
        <v>71</v>
      </c>
    </row>
    <row r="5245" spans="1:12" x14ac:dyDescent="0.2">
      <c r="A5245"/>
      <c r="B5245"/>
      <c r="C5245"/>
      <c r="D5245"/>
      <c r="E5245" s="2">
        <f>Comuni__2[[#This Row],[Popolazione2011]]/$D$7911</f>
        <v>9.2556634184392707E-6</v>
      </c>
      <c r="F5245">
        <f>SUMIFS($D$2:$D$7909, $B$2:$B$7909, "Piemonte")</f>
        <v>4363916</v>
      </c>
      <c r="G5245" s="1">
        <f>Comuni__2[[#This Row],[Popolazione2011]]/Comuni__2[[#This Row],[POPOLAZIONE TOTALE DI OGNI REGIONE (CON FILTRO)]]</f>
        <v>1.2603359001410659E-4</v>
      </c>
      <c r="H5245" t="str">
        <f>IF(Comuni__2[[#This Row],[Popolazione2011]]&gt;300000,"MAGGIORE","")</f>
        <v/>
      </c>
      <c r="J5245">
        <v>44</v>
      </c>
      <c r="K5245">
        <v>1233</v>
      </c>
      <c r="L5245">
        <v>71</v>
      </c>
    </row>
    <row r="5246" spans="1:12" x14ac:dyDescent="0.2">
      <c r="A5246"/>
      <c r="B5246"/>
      <c r="C5246"/>
      <c r="D5246"/>
      <c r="E5246" s="2">
        <f>Comuni__2[[#This Row],[Popolazione2011]]/$D$7911</f>
        <v>9.2388349394966546E-6</v>
      </c>
      <c r="F5246">
        <f>SUMIFS($D$2:$D$7909, $B$2:$B$7909, "Piemonte")</f>
        <v>4363916</v>
      </c>
      <c r="G5246" s="1">
        <f>Comuni__2[[#This Row],[Popolazione2011]]/Comuni__2[[#This Row],[POPOLAZIONE TOTALE DI OGNI REGIONE (CON FILTRO)]]</f>
        <v>1.2580443803226275E-4</v>
      </c>
      <c r="H5246" t="str">
        <f>IF(Comuni__2[[#This Row],[Popolazione2011]]&gt;300000,"MAGGIORE","")</f>
        <v/>
      </c>
      <c r="J5246">
        <v>45</v>
      </c>
      <c r="K5246">
        <v>1239</v>
      </c>
      <c r="L5246">
        <v>71</v>
      </c>
    </row>
    <row r="5247" spans="1:12" x14ac:dyDescent="0.2">
      <c r="A5247"/>
      <c r="B5247"/>
      <c r="C5247"/>
      <c r="D5247"/>
      <c r="E5247" s="2">
        <f>Comuni__2[[#This Row],[Popolazione2011]]/$D$7911</f>
        <v>9.2220064605540367E-6</v>
      </c>
      <c r="F5247">
        <f>SUMIFS($D$2:$D$7909, $B$2:$B$7909, "Piemonte")</f>
        <v>4363916</v>
      </c>
      <c r="G5247" s="1">
        <f>Comuni__2[[#This Row],[Popolazione2011]]/Comuni__2[[#This Row],[POPOLAZIONE TOTALE DI OGNI REGIONE (CON FILTRO)]]</f>
        <v>1.2557528605041892E-4</v>
      </c>
      <c r="H5247" t="str">
        <f>IF(Comuni__2[[#This Row],[Popolazione2011]]&gt;300000,"MAGGIORE","")</f>
        <v/>
      </c>
      <c r="J5247">
        <v>40</v>
      </c>
      <c r="K5247">
        <v>1241</v>
      </c>
      <c r="L5247">
        <v>72</v>
      </c>
    </row>
    <row r="5248" spans="1:12" x14ac:dyDescent="0.2">
      <c r="A5248"/>
      <c r="B5248"/>
      <c r="C5248"/>
      <c r="D5248"/>
      <c r="E5248" s="2">
        <f>Comuni__2[[#This Row],[Popolazione2011]]/$D$7911</f>
        <v>9.2051779816114206E-6</v>
      </c>
      <c r="F5248">
        <f>SUMIFS($D$2:$D$7909, $B$2:$B$7909, "Piemonte")</f>
        <v>4363916</v>
      </c>
      <c r="G5248" s="1">
        <f>Comuni__2[[#This Row],[Popolazione2011]]/Comuni__2[[#This Row],[POPOLAZIONE TOTALE DI OGNI REGIONE (CON FILTRO)]]</f>
        <v>1.2534613406857512E-4</v>
      </c>
      <c r="H5248" t="str">
        <f>IF(Comuni__2[[#This Row],[Popolazione2011]]&gt;300000,"MAGGIORE","")</f>
        <v/>
      </c>
      <c r="J5248">
        <v>27</v>
      </c>
      <c r="K5248">
        <v>1255</v>
      </c>
      <c r="L5248">
        <v>73</v>
      </c>
    </row>
    <row r="5249" spans="1:12" x14ac:dyDescent="0.2">
      <c r="A5249"/>
      <c r="B5249"/>
      <c r="C5249"/>
      <c r="D5249"/>
      <c r="E5249" s="2">
        <f>Comuni__2[[#This Row],[Popolazione2011]]/$D$7911</f>
        <v>9.2051779816114206E-6</v>
      </c>
      <c r="F5249">
        <f>SUMIFS($D$2:$D$7909, $B$2:$B$7909, "Piemonte")</f>
        <v>4363916</v>
      </c>
      <c r="G5249" s="1">
        <f>Comuni__2[[#This Row],[Popolazione2011]]/Comuni__2[[#This Row],[POPOLAZIONE TOTALE DI OGNI REGIONE (CON FILTRO)]]</f>
        <v>1.2534613406857512E-4</v>
      </c>
      <c r="H5249" t="str">
        <f>IF(Comuni__2[[#This Row],[Popolazione2011]]&gt;300000,"MAGGIORE","")</f>
        <v/>
      </c>
      <c r="J5249">
        <v>27</v>
      </c>
      <c r="K5249">
        <v>1259</v>
      </c>
      <c r="L5249">
        <v>73</v>
      </c>
    </row>
    <row r="5250" spans="1:12" x14ac:dyDescent="0.2">
      <c r="A5250"/>
      <c r="B5250"/>
      <c r="C5250"/>
      <c r="D5250"/>
      <c r="E5250" s="2">
        <f>Comuni__2[[#This Row],[Popolazione2011]]/$D$7911</f>
        <v>9.1883495026688028E-6</v>
      </c>
      <c r="F5250">
        <f>SUMIFS($D$2:$D$7909, $B$2:$B$7909, "Piemonte")</f>
        <v>4363916</v>
      </c>
      <c r="G5250" s="1">
        <f>Comuni__2[[#This Row],[Popolazione2011]]/Comuni__2[[#This Row],[POPOLAZIONE TOTALE DI OGNI REGIONE (CON FILTRO)]]</f>
        <v>1.2511698208673129E-4</v>
      </c>
      <c r="H5250" t="str">
        <f>IF(Comuni__2[[#This Row],[Popolazione2011]]&gt;300000,"MAGGIORE","")</f>
        <v/>
      </c>
      <c r="J5250">
        <v>27</v>
      </c>
      <c r="K5250">
        <v>1268</v>
      </c>
      <c r="L5250">
        <v>73</v>
      </c>
    </row>
    <row r="5251" spans="1:12" x14ac:dyDescent="0.2">
      <c r="A5251"/>
      <c r="B5251"/>
      <c r="C5251"/>
      <c r="D5251"/>
      <c r="E5251" s="2">
        <f>Comuni__2[[#This Row],[Popolazione2011]]/$D$7911</f>
        <v>9.1883495026688028E-6</v>
      </c>
      <c r="F5251">
        <f>SUMIFS($D$2:$D$7909, $B$2:$B$7909, "Piemonte")</f>
        <v>4363916</v>
      </c>
      <c r="G5251" s="1">
        <f>Comuni__2[[#This Row],[Popolazione2011]]/Comuni__2[[#This Row],[POPOLAZIONE TOTALE DI OGNI REGIONE (CON FILTRO)]]</f>
        <v>1.2511698208673129E-4</v>
      </c>
      <c r="H5251" t="str">
        <f>IF(Comuni__2[[#This Row],[Popolazione2011]]&gt;300000,"MAGGIORE","")</f>
        <v/>
      </c>
      <c r="J5251">
        <v>27</v>
      </c>
      <c r="K5251">
        <v>1273</v>
      </c>
      <c r="L5251">
        <v>73</v>
      </c>
    </row>
    <row r="5252" spans="1:12" x14ac:dyDescent="0.2">
      <c r="A5252"/>
      <c r="B5252"/>
      <c r="C5252"/>
      <c r="D5252"/>
      <c r="E5252" s="2">
        <f>Comuni__2[[#This Row],[Popolazione2011]]/$D$7911</f>
        <v>9.1715210237261867E-6</v>
      </c>
      <c r="F5252">
        <f>SUMIFS($D$2:$D$7909, $B$2:$B$7909, "Piemonte")</f>
        <v>4363916</v>
      </c>
      <c r="G5252" s="1">
        <f>Comuni__2[[#This Row],[Popolazione2011]]/Comuni__2[[#This Row],[POPOLAZIONE TOTALE DI OGNI REGIONE (CON FILTRO)]]</f>
        <v>1.2488783010488746E-4</v>
      </c>
      <c r="H5252" t="str">
        <f>IF(Comuni__2[[#This Row],[Popolazione2011]]&gt;300000,"MAGGIORE","")</f>
        <v/>
      </c>
      <c r="J5252">
        <v>26</v>
      </c>
      <c r="K5252">
        <v>1274</v>
      </c>
      <c r="L5252">
        <v>73</v>
      </c>
    </row>
    <row r="5253" spans="1:12" x14ac:dyDescent="0.2">
      <c r="A5253"/>
      <c r="B5253"/>
      <c r="C5253"/>
      <c r="D5253"/>
      <c r="E5253" s="2">
        <f>Comuni__2[[#This Row],[Popolazione2011]]/$D$7911</f>
        <v>9.1210355868983366E-6</v>
      </c>
      <c r="F5253">
        <f>SUMIFS($D$2:$D$7909, $B$2:$B$7909, "Piemonte")</f>
        <v>4363916</v>
      </c>
      <c r="G5253" s="1">
        <f>Comuni__2[[#This Row],[Popolazione2011]]/Comuni__2[[#This Row],[POPOLAZIONE TOTALE DI OGNI REGIONE (CON FILTRO)]]</f>
        <v>1.2420037415935596E-4</v>
      </c>
      <c r="H5253" t="str">
        <f>IF(Comuni__2[[#This Row],[Popolazione2011]]&gt;300000,"MAGGIORE","")</f>
        <v/>
      </c>
      <c r="J5253">
        <v>27</v>
      </c>
      <c r="K5253">
        <v>1287</v>
      </c>
      <c r="L5253">
        <v>74</v>
      </c>
    </row>
    <row r="5254" spans="1:12" x14ac:dyDescent="0.2">
      <c r="A5254"/>
      <c r="B5254"/>
      <c r="C5254"/>
      <c r="D5254"/>
      <c r="E5254" s="2">
        <f>Comuni__2[[#This Row],[Popolazione2011]]/$D$7911</f>
        <v>9.1042071079557188E-6</v>
      </c>
      <c r="F5254">
        <f>SUMIFS($D$2:$D$7909, $B$2:$B$7909, "Piemonte")</f>
        <v>4363916</v>
      </c>
      <c r="G5254" s="1">
        <f>Comuni__2[[#This Row],[Popolazione2011]]/Comuni__2[[#This Row],[POPOLAZIONE TOTALE DI OGNI REGIONE (CON FILTRO)]]</f>
        <v>1.2397122217751213E-4</v>
      </c>
      <c r="H5254" t="str">
        <f>IF(Comuni__2[[#This Row],[Popolazione2011]]&gt;300000,"MAGGIORE","")</f>
        <v/>
      </c>
      <c r="J5254">
        <v>27</v>
      </c>
      <c r="K5254">
        <v>1287</v>
      </c>
      <c r="L5254">
        <v>74</v>
      </c>
    </row>
    <row r="5255" spans="1:12" x14ac:dyDescent="0.2">
      <c r="A5255"/>
      <c r="B5255"/>
      <c r="C5255"/>
      <c r="D5255"/>
      <c r="E5255" s="2">
        <f>Comuni__2[[#This Row],[Popolazione2011]]/$D$7911</f>
        <v>9.1042071079557188E-6</v>
      </c>
      <c r="F5255">
        <f>SUMIFS($D$2:$D$7909, $B$2:$B$7909, "Piemonte")</f>
        <v>4363916</v>
      </c>
      <c r="G5255" s="1">
        <f>Comuni__2[[#This Row],[Popolazione2011]]/Comuni__2[[#This Row],[POPOLAZIONE TOTALE DI OGNI REGIONE (CON FILTRO)]]</f>
        <v>1.2397122217751213E-4</v>
      </c>
      <c r="H5255" t="str">
        <f>IF(Comuni__2[[#This Row],[Popolazione2011]]&gt;300000,"MAGGIORE","")</f>
        <v/>
      </c>
      <c r="J5255">
        <v>19</v>
      </c>
      <c r="K5255">
        <v>1294</v>
      </c>
      <c r="L5255">
        <v>74</v>
      </c>
    </row>
    <row r="5256" spans="1:12" x14ac:dyDescent="0.2">
      <c r="A5256"/>
      <c r="B5256"/>
      <c r="C5256"/>
      <c r="D5256"/>
      <c r="E5256" s="2">
        <f>Comuni__2[[#This Row],[Popolazione2011]]/$D$7911</f>
        <v>9.0200647132426348E-6</v>
      </c>
      <c r="F5256">
        <f>SUMIFS($D$2:$D$7909, $B$2:$B$7909, "Piemonte")</f>
        <v>4363916</v>
      </c>
      <c r="G5256" s="1">
        <f>Comuni__2[[#This Row],[Popolazione2011]]/Comuni__2[[#This Row],[POPOLAZIONE TOTALE DI OGNI REGIONE (CON FILTRO)]]</f>
        <v>1.2282546226829297E-4</v>
      </c>
      <c r="H5256" t="str">
        <f>IF(Comuni__2[[#This Row],[Popolazione2011]]&gt;300000,"MAGGIORE","")</f>
        <v/>
      </c>
      <c r="J5256">
        <v>18</v>
      </c>
      <c r="K5256">
        <v>1296</v>
      </c>
      <c r="L5256">
        <v>74</v>
      </c>
    </row>
    <row r="5257" spans="1:12" x14ac:dyDescent="0.2">
      <c r="A5257"/>
      <c r="B5257"/>
      <c r="C5257"/>
      <c r="D5257"/>
      <c r="E5257" s="2">
        <f>Comuni__2[[#This Row],[Popolazione2011]]/$D$7911</f>
        <v>8.9864077553574008E-6</v>
      </c>
      <c r="F5257">
        <f>SUMIFS($D$2:$D$7909, $B$2:$B$7909, "Piemonte")</f>
        <v>4363916</v>
      </c>
      <c r="G5257" s="1">
        <f>Comuni__2[[#This Row],[Popolazione2011]]/Comuni__2[[#This Row],[POPOLAZIONE TOTALE DI OGNI REGIONE (CON FILTRO)]]</f>
        <v>1.2236715830460531E-4</v>
      </c>
      <c r="H5257" t="str">
        <f>IF(Comuni__2[[#This Row],[Popolazione2011]]&gt;300000,"MAGGIORE","")</f>
        <v/>
      </c>
      <c r="J5257">
        <v>17</v>
      </c>
      <c r="K5257">
        <v>1300</v>
      </c>
      <c r="L5257">
        <v>74</v>
      </c>
    </row>
    <row r="5258" spans="1:12" x14ac:dyDescent="0.2">
      <c r="A5258"/>
      <c r="B5258"/>
      <c r="C5258"/>
      <c r="D5258"/>
      <c r="E5258" s="2">
        <f>Comuni__2[[#This Row],[Popolazione2011]]/$D$7911</f>
        <v>8.9695792764147847E-6</v>
      </c>
      <c r="F5258">
        <f>SUMIFS($D$2:$D$7909, $B$2:$B$7909, "Piemonte")</f>
        <v>4363916</v>
      </c>
      <c r="G5258" s="1">
        <f>Comuni__2[[#This Row],[Popolazione2011]]/Comuni__2[[#This Row],[POPOLAZIONE TOTALE DI OGNI REGIONE (CON FILTRO)]]</f>
        <v>1.2213800632276148E-4</v>
      </c>
      <c r="H5258" t="str">
        <f>IF(Comuni__2[[#This Row],[Popolazione2011]]&gt;300000,"MAGGIORE","")</f>
        <v/>
      </c>
      <c r="J5258">
        <v>17</v>
      </c>
      <c r="K5258">
        <v>1302</v>
      </c>
      <c r="L5258">
        <v>75</v>
      </c>
    </row>
    <row r="5259" spans="1:12" x14ac:dyDescent="0.2">
      <c r="A5259"/>
      <c r="B5259"/>
      <c r="C5259"/>
      <c r="D5259"/>
      <c r="E5259" s="2">
        <f>Comuni__2[[#This Row],[Popolazione2011]]/$D$7911</f>
        <v>8.9359223185295507E-6</v>
      </c>
      <c r="F5259">
        <f>SUMIFS($D$2:$D$7909, $B$2:$B$7909, "Piemonte")</f>
        <v>4363916</v>
      </c>
      <c r="G5259" s="1">
        <f>Comuni__2[[#This Row],[Popolazione2011]]/Comuni__2[[#This Row],[POPOLAZIONE TOTALE DI OGNI REGIONE (CON FILTRO)]]</f>
        <v>1.2167970235907383E-4</v>
      </c>
      <c r="H5259" t="str">
        <f>IF(Comuni__2[[#This Row],[Popolazione2011]]&gt;300000,"MAGGIORE","")</f>
        <v/>
      </c>
      <c r="J5259">
        <v>17</v>
      </c>
      <c r="K5259">
        <v>1309</v>
      </c>
      <c r="L5259">
        <v>75</v>
      </c>
    </row>
    <row r="5260" spans="1:12" x14ac:dyDescent="0.2">
      <c r="A5260"/>
      <c r="B5260"/>
      <c r="C5260"/>
      <c r="D5260"/>
      <c r="E5260" s="2">
        <f>Comuni__2[[#This Row],[Popolazione2011]]/$D$7911</f>
        <v>8.8854368817017007E-6</v>
      </c>
      <c r="F5260">
        <f>SUMIFS($D$2:$D$7909, $B$2:$B$7909, "Piemonte")</f>
        <v>4363916</v>
      </c>
      <c r="G5260" s="1">
        <f>Comuni__2[[#This Row],[Popolazione2011]]/Comuni__2[[#This Row],[POPOLAZIONE TOTALE DI OGNI REGIONE (CON FILTRO)]]</f>
        <v>1.2099224641354233E-4</v>
      </c>
      <c r="H5260" t="str">
        <f>IF(Comuni__2[[#This Row],[Popolazione2011]]&gt;300000,"MAGGIORE","")</f>
        <v/>
      </c>
      <c r="J5260">
        <v>14</v>
      </c>
      <c r="K5260">
        <v>1314</v>
      </c>
      <c r="L5260">
        <v>75</v>
      </c>
    </row>
    <row r="5261" spans="1:12" x14ac:dyDescent="0.2">
      <c r="A5261"/>
      <c r="B5261"/>
      <c r="C5261"/>
      <c r="D5261"/>
      <c r="E5261" s="2">
        <f>Comuni__2[[#This Row],[Popolazione2011]]/$D$7911</f>
        <v>8.8854368817017007E-6</v>
      </c>
      <c r="F5261">
        <f>SUMIFS($D$2:$D$7909, $B$2:$B$7909, "Piemonte")</f>
        <v>4363916</v>
      </c>
      <c r="G5261" s="1">
        <f>Comuni__2[[#This Row],[Popolazione2011]]/Comuni__2[[#This Row],[POPOLAZIONE TOTALE DI OGNI REGIONE (CON FILTRO)]]</f>
        <v>1.2099224641354233E-4</v>
      </c>
      <c r="H5261" t="str">
        <f>IF(Comuni__2[[#This Row],[Popolazione2011]]&gt;300000,"MAGGIORE","")</f>
        <v/>
      </c>
      <c r="J5261">
        <v>15</v>
      </c>
      <c r="K5261">
        <v>1324</v>
      </c>
      <c r="L5261">
        <v>75</v>
      </c>
    </row>
    <row r="5262" spans="1:12" x14ac:dyDescent="0.2">
      <c r="A5262"/>
      <c r="B5262"/>
      <c r="C5262"/>
      <c r="D5262"/>
      <c r="E5262" s="2">
        <f>Comuni__2[[#This Row],[Popolazione2011]]/$D$7911</f>
        <v>8.8854368817017007E-6</v>
      </c>
      <c r="F5262">
        <f>SUMIFS($D$2:$D$7909, $B$2:$B$7909, "Piemonte")</f>
        <v>4363916</v>
      </c>
      <c r="G5262" s="1">
        <f>Comuni__2[[#This Row],[Popolazione2011]]/Comuni__2[[#This Row],[POPOLAZIONE TOTALE DI OGNI REGIONE (CON FILTRO)]]</f>
        <v>1.2099224641354233E-4</v>
      </c>
      <c r="H5262" t="str">
        <f>IF(Comuni__2[[#This Row],[Popolazione2011]]&gt;300000,"MAGGIORE","")</f>
        <v/>
      </c>
      <c r="J5262">
        <v>16</v>
      </c>
      <c r="K5262">
        <v>1323</v>
      </c>
      <c r="L5262">
        <v>75</v>
      </c>
    </row>
    <row r="5263" spans="1:12" x14ac:dyDescent="0.2">
      <c r="A5263"/>
      <c r="B5263"/>
      <c r="C5263"/>
      <c r="D5263"/>
      <c r="E5263" s="2">
        <f>Comuni__2[[#This Row],[Popolazione2011]]/$D$7911</f>
        <v>8.8349514448738489E-6</v>
      </c>
      <c r="F5263">
        <f>SUMIFS($D$2:$D$7909, $B$2:$B$7909, "Piemonte")</f>
        <v>4363916</v>
      </c>
      <c r="G5263" s="1">
        <f>Comuni__2[[#This Row],[Popolazione2011]]/Comuni__2[[#This Row],[POPOLAZIONE TOTALE DI OGNI REGIONE (CON FILTRO)]]</f>
        <v>1.2030479046801084E-4</v>
      </c>
      <c r="H5263" t="str">
        <f>IF(Comuni__2[[#This Row],[Popolazione2011]]&gt;300000,"MAGGIORE","")</f>
        <v/>
      </c>
      <c r="J5263">
        <v>17</v>
      </c>
      <c r="K5263">
        <v>1324</v>
      </c>
      <c r="L5263">
        <v>76</v>
      </c>
    </row>
    <row r="5264" spans="1:12" x14ac:dyDescent="0.2">
      <c r="A5264"/>
      <c r="B5264"/>
      <c r="C5264"/>
      <c r="D5264"/>
      <c r="E5264" s="2">
        <f>Comuni__2[[#This Row],[Popolazione2011]]/$D$7911</f>
        <v>8.8181229659312328E-6</v>
      </c>
      <c r="F5264">
        <f>SUMIFS($D$2:$D$7909, $B$2:$B$7909, "Piemonte")</f>
        <v>4363916</v>
      </c>
      <c r="G5264" s="1">
        <f>Comuni__2[[#This Row],[Popolazione2011]]/Comuni__2[[#This Row],[POPOLAZIONE TOTALE DI OGNI REGIONE (CON FILTRO)]]</f>
        <v>1.20075638486167E-4</v>
      </c>
      <c r="H5264" t="str">
        <f>IF(Comuni__2[[#This Row],[Popolazione2011]]&gt;300000,"MAGGIORE","")</f>
        <v/>
      </c>
      <c r="J5264">
        <v>17</v>
      </c>
      <c r="K5264">
        <v>1324</v>
      </c>
      <c r="L5264">
        <v>76</v>
      </c>
    </row>
    <row r="5265" spans="1:12" x14ac:dyDescent="0.2">
      <c r="A5265"/>
      <c r="B5265"/>
      <c r="C5265"/>
      <c r="D5265"/>
      <c r="E5265" s="2">
        <f>Comuni__2[[#This Row],[Popolazione2011]]/$D$7911</f>
        <v>8.8181229659312328E-6</v>
      </c>
      <c r="F5265">
        <f>SUMIFS($D$2:$D$7909, $B$2:$B$7909, "Piemonte")</f>
        <v>4363916</v>
      </c>
      <c r="G5265" s="1">
        <f>Comuni__2[[#This Row],[Popolazione2011]]/Comuni__2[[#This Row],[POPOLAZIONE TOTALE DI OGNI REGIONE (CON FILTRO)]]</f>
        <v>1.20075638486167E-4</v>
      </c>
      <c r="H5265" t="str">
        <f>IF(Comuni__2[[#This Row],[Popolazione2011]]&gt;300000,"MAGGIORE","")</f>
        <v/>
      </c>
      <c r="J5265">
        <v>17</v>
      </c>
      <c r="K5265">
        <v>1324</v>
      </c>
      <c r="L5265">
        <v>76</v>
      </c>
    </row>
    <row r="5266" spans="1:12" x14ac:dyDescent="0.2">
      <c r="A5266"/>
      <c r="B5266"/>
      <c r="C5266"/>
      <c r="D5266"/>
      <c r="E5266" s="2">
        <f>Comuni__2[[#This Row],[Popolazione2011]]/$D$7911</f>
        <v>8.801294486988615E-6</v>
      </c>
      <c r="F5266">
        <f>SUMIFS($D$2:$D$7909, $B$2:$B$7909, "Piemonte")</f>
        <v>4363916</v>
      </c>
      <c r="G5266" s="1">
        <f>Comuni__2[[#This Row],[Popolazione2011]]/Comuni__2[[#This Row],[POPOLAZIONE TOTALE DI OGNI REGIONE (CON FILTRO)]]</f>
        <v>1.1984648650432319E-4</v>
      </c>
      <c r="H5266" t="str">
        <f>IF(Comuni__2[[#This Row],[Popolazione2011]]&gt;300000,"MAGGIORE","")</f>
        <v/>
      </c>
      <c r="J5266">
        <v>17</v>
      </c>
      <c r="K5266">
        <v>1324</v>
      </c>
      <c r="L5266">
        <v>76</v>
      </c>
    </row>
    <row r="5267" spans="1:12" x14ac:dyDescent="0.2">
      <c r="A5267"/>
      <c r="B5267"/>
      <c r="C5267"/>
      <c r="D5267"/>
      <c r="E5267" s="2">
        <f>Comuni__2[[#This Row],[Popolazione2011]]/$D$7911</f>
        <v>8.7844660080459988E-6</v>
      </c>
      <c r="F5267">
        <f>SUMIFS($D$2:$D$7909, $B$2:$B$7909, "Piemonte")</f>
        <v>4363916</v>
      </c>
      <c r="G5267" s="1">
        <f>Comuni__2[[#This Row],[Popolazione2011]]/Comuni__2[[#This Row],[POPOLAZIONE TOTALE DI OGNI REGIONE (CON FILTRO)]]</f>
        <v>1.1961733452247935E-4</v>
      </c>
      <c r="H5267" t="str">
        <f>IF(Comuni__2[[#This Row],[Popolazione2011]]&gt;300000,"MAGGIORE","")</f>
        <v/>
      </c>
      <c r="J5267">
        <v>17</v>
      </c>
      <c r="K5267">
        <v>1324</v>
      </c>
      <c r="L5267">
        <v>76</v>
      </c>
    </row>
    <row r="5268" spans="1:12" x14ac:dyDescent="0.2">
      <c r="A5268"/>
      <c r="B5268"/>
      <c r="C5268"/>
      <c r="D5268"/>
      <c r="E5268" s="2">
        <f>Comuni__2[[#This Row],[Popolazione2011]]/$D$7911</f>
        <v>8.7844660080459988E-6</v>
      </c>
      <c r="F5268">
        <f>SUMIFS($D$2:$D$7909, $B$2:$B$7909, "Piemonte")</f>
        <v>4363916</v>
      </c>
      <c r="G5268" s="1">
        <f>Comuni__2[[#This Row],[Popolazione2011]]/Comuni__2[[#This Row],[POPOLAZIONE TOTALE DI OGNI REGIONE (CON FILTRO)]]</f>
        <v>1.1961733452247935E-4</v>
      </c>
      <c r="H5268" t="str">
        <f>IF(Comuni__2[[#This Row],[Popolazione2011]]&gt;300000,"MAGGIORE","")</f>
        <v/>
      </c>
      <c r="J5268">
        <v>17</v>
      </c>
      <c r="K5268">
        <v>1324</v>
      </c>
      <c r="L5268">
        <v>76</v>
      </c>
    </row>
    <row r="5269" spans="1:12" x14ac:dyDescent="0.2">
      <c r="A5269"/>
      <c r="B5269"/>
      <c r="C5269"/>
      <c r="D5269"/>
      <c r="E5269" s="2">
        <f>Comuni__2[[#This Row],[Popolazione2011]]/$D$7911</f>
        <v>8.767637529103381E-6</v>
      </c>
      <c r="F5269">
        <f>SUMIFS($D$2:$D$7909, $B$2:$B$7909, "Piemonte")</f>
        <v>4363916</v>
      </c>
      <c r="G5269" s="1">
        <f>Comuni__2[[#This Row],[Popolazione2011]]/Comuni__2[[#This Row],[POPOLAZIONE TOTALE DI OGNI REGIONE (CON FILTRO)]]</f>
        <v>1.1938818254063552E-4</v>
      </c>
      <c r="H5269" t="str">
        <f>IF(Comuni__2[[#This Row],[Popolazione2011]]&gt;300000,"MAGGIORE","")</f>
        <v/>
      </c>
      <c r="J5269">
        <v>17</v>
      </c>
      <c r="K5269">
        <v>1324</v>
      </c>
      <c r="L5269">
        <v>76</v>
      </c>
    </row>
    <row r="5270" spans="1:12" x14ac:dyDescent="0.2">
      <c r="A5270"/>
      <c r="B5270"/>
      <c r="C5270"/>
      <c r="D5270"/>
      <c r="E5270" s="2">
        <f>Comuni__2[[#This Row],[Popolazione2011]]/$D$7911</f>
        <v>8.7171520922755309E-6</v>
      </c>
      <c r="F5270">
        <f>SUMIFS($D$2:$D$7909, $B$2:$B$7909, "Piemonte")</f>
        <v>4363916</v>
      </c>
      <c r="G5270" s="1">
        <f>Comuni__2[[#This Row],[Popolazione2011]]/Comuni__2[[#This Row],[POPOLAZIONE TOTALE DI OGNI REGIONE (CON FILTRO)]]</f>
        <v>1.1870072659510403E-4</v>
      </c>
      <c r="H5270" t="str">
        <f>IF(Comuni__2[[#This Row],[Popolazione2011]]&gt;300000,"MAGGIORE","")</f>
        <v/>
      </c>
      <c r="J5270">
        <v>14</v>
      </c>
      <c r="K5270">
        <v>1326</v>
      </c>
      <c r="L5270">
        <v>76</v>
      </c>
    </row>
    <row r="5271" spans="1:12" x14ac:dyDescent="0.2">
      <c r="A5271"/>
      <c r="B5271"/>
      <c r="C5271"/>
      <c r="D5271"/>
      <c r="E5271" s="2">
        <f>Comuni__2[[#This Row],[Popolazione2011]]/$D$7911</f>
        <v>8.7171520922755309E-6</v>
      </c>
      <c r="F5271">
        <f>SUMIFS($D$2:$D$7909, $B$2:$B$7909, "Piemonte")</f>
        <v>4363916</v>
      </c>
      <c r="G5271" s="1">
        <f>Comuni__2[[#This Row],[Popolazione2011]]/Comuni__2[[#This Row],[POPOLAZIONE TOTALE DI OGNI REGIONE (CON FILTRO)]]</f>
        <v>1.1870072659510403E-4</v>
      </c>
      <c r="H5271" t="str">
        <f>IF(Comuni__2[[#This Row],[Popolazione2011]]&gt;300000,"MAGGIORE","")</f>
        <v/>
      </c>
      <c r="J5271">
        <v>13</v>
      </c>
      <c r="K5271">
        <v>1327</v>
      </c>
      <c r="L5271">
        <v>76</v>
      </c>
    </row>
    <row r="5272" spans="1:12" x14ac:dyDescent="0.2">
      <c r="A5272"/>
      <c r="B5272"/>
      <c r="C5272"/>
      <c r="D5272"/>
      <c r="E5272" s="2">
        <f>Comuni__2[[#This Row],[Popolazione2011]]/$D$7911</f>
        <v>8.7171520922755309E-6</v>
      </c>
      <c r="F5272">
        <f>SUMIFS($D$2:$D$7909, $B$2:$B$7909, "Piemonte")</f>
        <v>4363916</v>
      </c>
      <c r="G5272" s="1">
        <f>Comuni__2[[#This Row],[Popolazione2011]]/Comuni__2[[#This Row],[POPOLAZIONE TOTALE DI OGNI REGIONE (CON FILTRO)]]</f>
        <v>1.1870072659510403E-4</v>
      </c>
      <c r="H5272" t="str">
        <f>IF(Comuni__2[[#This Row],[Popolazione2011]]&gt;300000,"MAGGIORE","")</f>
        <v/>
      </c>
      <c r="J5272">
        <v>12</v>
      </c>
      <c r="K5272">
        <v>1327</v>
      </c>
      <c r="L5272">
        <v>76</v>
      </c>
    </row>
    <row r="5273" spans="1:12" x14ac:dyDescent="0.2">
      <c r="A5273"/>
      <c r="B5273"/>
      <c r="C5273"/>
      <c r="D5273"/>
      <c r="E5273" s="2">
        <f>Comuni__2[[#This Row],[Popolazione2011]]/$D$7911</f>
        <v>8.683495134390297E-6</v>
      </c>
      <c r="F5273">
        <f>SUMIFS($D$2:$D$7909, $B$2:$B$7909, "Piemonte")</f>
        <v>4363916</v>
      </c>
      <c r="G5273" s="1">
        <f>Comuni__2[[#This Row],[Popolazione2011]]/Comuni__2[[#This Row],[POPOLAZIONE TOTALE DI OGNI REGIONE (CON FILTRO)]]</f>
        <v>1.1824242263141637E-4</v>
      </c>
      <c r="H5273" t="str">
        <f>IF(Comuni__2[[#This Row],[Popolazione2011]]&gt;300000,"MAGGIORE","")</f>
        <v/>
      </c>
      <c r="J5273">
        <v>12</v>
      </c>
      <c r="K5273">
        <v>1327</v>
      </c>
      <c r="L5273">
        <v>76</v>
      </c>
    </row>
    <row r="5274" spans="1:12" x14ac:dyDescent="0.2">
      <c r="A5274"/>
      <c r="B5274"/>
      <c r="C5274"/>
      <c r="D5274"/>
      <c r="E5274" s="2">
        <f>Comuni__2[[#This Row],[Popolazione2011]]/$D$7911</f>
        <v>8.683495134390297E-6</v>
      </c>
      <c r="F5274">
        <f>SUMIFS($D$2:$D$7909, $B$2:$B$7909, "Piemonte")</f>
        <v>4363916</v>
      </c>
      <c r="G5274" s="1">
        <f>Comuni__2[[#This Row],[Popolazione2011]]/Comuni__2[[#This Row],[POPOLAZIONE TOTALE DI OGNI REGIONE (CON FILTRO)]]</f>
        <v>1.1824242263141637E-4</v>
      </c>
      <c r="H5274" t="str">
        <f>IF(Comuni__2[[#This Row],[Popolazione2011]]&gt;300000,"MAGGIORE","")</f>
        <v/>
      </c>
      <c r="J5274">
        <v>14</v>
      </c>
      <c r="K5274">
        <v>1330</v>
      </c>
      <c r="L5274">
        <v>76</v>
      </c>
    </row>
    <row r="5275" spans="1:12" x14ac:dyDescent="0.2">
      <c r="A5275"/>
      <c r="B5275"/>
      <c r="C5275"/>
      <c r="D5275"/>
      <c r="E5275" s="2">
        <f>Comuni__2[[#This Row],[Popolazione2011]]/$D$7911</f>
        <v>8.6330096975624469E-6</v>
      </c>
      <c r="F5275">
        <f>SUMIFS($D$2:$D$7909, $B$2:$B$7909, "Piemonte")</f>
        <v>4363916</v>
      </c>
      <c r="G5275" s="1">
        <f>Comuni__2[[#This Row],[Popolazione2011]]/Comuni__2[[#This Row],[POPOLAZIONE TOTALE DI OGNI REGIONE (CON FILTRO)]]</f>
        <v>1.1755496668588488E-4</v>
      </c>
      <c r="H5275" t="str">
        <f>IF(Comuni__2[[#This Row],[Popolazione2011]]&gt;300000,"MAGGIORE","")</f>
        <v/>
      </c>
      <c r="J5275">
        <v>15</v>
      </c>
      <c r="K5275">
        <v>1332</v>
      </c>
      <c r="L5275">
        <v>76</v>
      </c>
    </row>
    <row r="5276" spans="1:12" x14ac:dyDescent="0.2">
      <c r="A5276"/>
      <c r="B5276"/>
      <c r="C5276"/>
      <c r="D5276"/>
      <c r="E5276" s="2">
        <f>Comuni__2[[#This Row],[Popolazione2011]]/$D$7911</f>
        <v>8.6161812186198308E-6</v>
      </c>
      <c r="F5276">
        <f>SUMIFS($D$2:$D$7909, $B$2:$B$7909, "Piemonte")</f>
        <v>4363916</v>
      </c>
      <c r="G5276" s="1">
        <f>Comuni__2[[#This Row],[Popolazione2011]]/Comuni__2[[#This Row],[POPOLAZIONE TOTALE DI OGNI REGIONE (CON FILTRO)]]</f>
        <v>1.1732581470404105E-4</v>
      </c>
      <c r="H5276" t="str">
        <f>IF(Comuni__2[[#This Row],[Popolazione2011]]&gt;300000,"MAGGIORE","")</f>
        <v/>
      </c>
      <c r="J5276">
        <v>13</v>
      </c>
      <c r="K5276">
        <v>1334</v>
      </c>
      <c r="L5276">
        <v>76</v>
      </c>
    </row>
    <row r="5277" spans="1:12" x14ac:dyDescent="0.2">
      <c r="A5277"/>
      <c r="B5277"/>
      <c r="C5277"/>
      <c r="D5277"/>
      <c r="E5277" s="2">
        <f>Comuni__2[[#This Row],[Popolazione2011]]/$D$7911</f>
        <v>8.5825242607345968E-6</v>
      </c>
      <c r="F5277">
        <f>SUMIFS($D$2:$D$7909, $B$2:$B$7909, "Piemonte")</f>
        <v>4363916</v>
      </c>
      <c r="G5277" s="1">
        <f>Comuni__2[[#This Row],[Popolazione2011]]/Comuni__2[[#This Row],[POPOLAZIONE TOTALE DI OGNI REGIONE (CON FILTRO)]]</f>
        <v>1.1686751074035339E-4</v>
      </c>
      <c r="H5277" t="str">
        <f>IF(Comuni__2[[#This Row],[Popolazione2011]]&gt;300000,"MAGGIORE","")</f>
        <v/>
      </c>
      <c r="J5277">
        <v>11</v>
      </c>
      <c r="K5277">
        <v>1336</v>
      </c>
      <c r="L5277">
        <v>76</v>
      </c>
    </row>
    <row r="5278" spans="1:12" x14ac:dyDescent="0.2">
      <c r="A5278"/>
      <c r="B5278"/>
      <c r="C5278"/>
      <c r="D5278"/>
      <c r="E5278" s="2">
        <f>Comuni__2[[#This Row],[Popolazione2011]]/$D$7911</f>
        <v>8.5488673028493629E-6</v>
      </c>
      <c r="F5278">
        <f>SUMIFS($D$2:$D$7909, $B$2:$B$7909, "Piemonte")</f>
        <v>4363916</v>
      </c>
      <c r="G5278" s="1">
        <f>Comuni__2[[#This Row],[Popolazione2011]]/Comuni__2[[#This Row],[POPOLAZIONE TOTALE DI OGNI REGIONE (CON FILTRO)]]</f>
        <v>1.1640920677666573E-4</v>
      </c>
      <c r="H5278" t="str">
        <f>IF(Comuni__2[[#This Row],[Popolazione2011]]&gt;300000,"MAGGIORE","")</f>
        <v/>
      </c>
      <c r="J5278">
        <v>11</v>
      </c>
      <c r="K5278">
        <v>1339</v>
      </c>
      <c r="L5278">
        <v>76</v>
      </c>
    </row>
    <row r="5279" spans="1:12" x14ac:dyDescent="0.2">
      <c r="A5279"/>
      <c r="B5279"/>
      <c r="C5279"/>
      <c r="D5279"/>
      <c r="E5279" s="2">
        <f>Comuni__2[[#This Row],[Popolazione2011]]/$D$7911</f>
        <v>8.4983818660215128E-6</v>
      </c>
      <c r="F5279">
        <f>SUMIFS($D$2:$D$7909, $B$2:$B$7909, "Piemonte")</f>
        <v>4363916</v>
      </c>
      <c r="G5279" s="1">
        <f>Comuni__2[[#This Row],[Popolazione2011]]/Comuni__2[[#This Row],[POPOLAZIONE TOTALE DI OGNI REGIONE (CON FILTRO)]]</f>
        <v>1.1572175083113424E-4</v>
      </c>
      <c r="H5279" t="str">
        <f>IF(Comuni__2[[#This Row],[Popolazione2011]]&gt;300000,"MAGGIORE","")</f>
        <v/>
      </c>
      <c r="J5279">
        <v>10</v>
      </c>
      <c r="K5279">
        <v>1339</v>
      </c>
      <c r="L5279">
        <v>77</v>
      </c>
    </row>
    <row r="5280" spans="1:12" x14ac:dyDescent="0.2">
      <c r="A5280"/>
      <c r="B5280"/>
      <c r="C5280"/>
      <c r="D5280"/>
      <c r="E5280" s="2">
        <f>Comuni__2[[#This Row],[Popolazione2011]]/$D$7911</f>
        <v>8.481553387078895E-6</v>
      </c>
      <c r="F5280">
        <f>SUMIFS($D$2:$D$7909, $B$2:$B$7909, "Piemonte")</f>
        <v>4363916</v>
      </c>
      <c r="G5280" s="1">
        <f>Comuni__2[[#This Row],[Popolazione2011]]/Comuni__2[[#This Row],[POPOLAZIONE TOTALE DI OGNI REGIONE (CON FILTRO)]]</f>
        <v>1.1549259884929041E-4</v>
      </c>
      <c r="H5280" t="str">
        <f>IF(Comuni__2[[#This Row],[Popolazione2011]]&gt;300000,"MAGGIORE","")</f>
        <v/>
      </c>
      <c r="J5280">
        <v>10</v>
      </c>
      <c r="K5280">
        <v>1341</v>
      </c>
      <c r="L5280">
        <v>77</v>
      </c>
    </row>
    <row r="5281" spans="1:12" x14ac:dyDescent="0.2">
      <c r="A5281"/>
      <c r="B5281"/>
      <c r="C5281"/>
      <c r="D5281"/>
      <c r="E5281" s="2">
        <f>Comuni__2[[#This Row],[Popolazione2011]]/$D$7911</f>
        <v>8.4647249081362789E-6</v>
      </c>
      <c r="F5281">
        <f>SUMIFS($D$2:$D$7909, $B$2:$B$7909, "Piemonte")</f>
        <v>4363916</v>
      </c>
      <c r="G5281" s="1">
        <f>Comuni__2[[#This Row],[Popolazione2011]]/Comuni__2[[#This Row],[POPOLAZIONE TOTALE DI OGNI REGIONE (CON FILTRO)]]</f>
        <v>1.1526344686744658E-4</v>
      </c>
      <c r="H5281" t="str">
        <f>IF(Comuni__2[[#This Row],[Popolazione2011]]&gt;300000,"MAGGIORE","")</f>
        <v/>
      </c>
      <c r="J5281">
        <v>9</v>
      </c>
      <c r="K5281">
        <v>1342</v>
      </c>
      <c r="L5281">
        <v>77</v>
      </c>
    </row>
    <row r="5282" spans="1:12" x14ac:dyDescent="0.2">
      <c r="A5282"/>
      <c r="B5282"/>
      <c r="C5282"/>
      <c r="D5282"/>
      <c r="E5282" s="2">
        <f>Comuni__2[[#This Row],[Popolazione2011]]/$D$7911</f>
        <v>8.4142394713084271E-6</v>
      </c>
      <c r="F5282">
        <f>SUMIFS($D$2:$D$7909, $B$2:$B$7909, "Piemonte")</f>
        <v>4363916</v>
      </c>
      <c r="G5282" s="1">
        <f>Comuni__2[[#This Row],[Popolazione2011]]/Comuni__2[[#This Row],[POPOLAZIONE TOTALE DI OGNI REGIONE (CON FILTRO)]]</f>
        <v>1.1457599092191509E-4</v>
      </c>
      <c r="H5282" t="str">
        <f>IF(Comuni__2[[#This Row],[Popolazione2011]]&gt;300000,"MAGGIORE","")</f>
        <v/>
      </c>
      <c r="J5282">
        <v>9</v>
      </c>
      <c r="K5282">
        <v>1342</v>
      </c>
      <c r="L5282">
        <v>77</v>
      </c>
    </row>
    <row r="5283" spans="1:12" x14ac:dyDescent="0.2">
      <c r="A5283"/>
      <c r="B5283"/>
      <c r="C5283"/>
      <c r="D5283"/>
      <c r="E5283" s="2">
        <f>Comuni__2[[#This Row],[Popolazione2011]]/$D$7911</f>
        <v>8.4142394713084271E-6</v>
      </c>
      <c r="F5283">
        <f>SUMIFS($D$2:$D$7909, $B$2:$B$7909, "Piemonte")</f>
        <v>4363916</v>
      </c>
      <c r="G5283" s="1">
        <f>Comuni__2[[#This Row],[Popolazione2011]]/Comuni__2[[#This Row],[POPOLAZIONE TOTALE DI OGNI REGIONE (CON FILTRO)]]</f>
        <v>1.1457599092191509E-4</v>
      </c>
      <c r="H5283" t="str">
        <f>IF(Comuni__2[[#This Row],[Popolazione2011]]&gt;300000,"MAGGIORE","")</f>
        <v/>
      </c>
      <c r="J5283">
        <v>7</v>
      </c>
      <c r="K5283">
        <v>1344</v>
      </c>
      <c r="L5283">
        <v>77</v>
      </c>
    </row>
    <row r="5284" spans="1:12" x14ac:dyDescent="0.2">
      <c r="A5284"/>
      <c r="B5284"/>
      <c r="C5284"/>
      <c r="D5284"/>
      <c r="E5284" s="2">
        <f>Comuni__2[[#This Row],[Popolazione2011]]/$D$7911</f>
        <v>8.4142394713084271E-6</v>
      </c>
      <c r="F5284">
        <f>SUMIFS($D$2:$D$7909, $B$2:$B$7909, "Piemonte")</f>
        <v>4363916</v>
      </c>
      <c r="G5284" s="1">
        <f>Comuni__2[[#This Row],[Popolazione2011]]/Comuni__2[[#This Row],[POPOLAZIONE TOTALE DI OGNI REGIONE (CON FILTRO)]]</f>
        <v>1.1457599092191509E-4</v>
      </c>
      <c r="H5284" t="str">
        <f>IF(Comuni__2[[#This Row],[Popolazione2011]]&gt;300000,"MAGGIORE","")</f>
        <v/>
      </c>
      <c r="J5284">
        <v>7</v>
      </c>
      <c r="K5284">
        <v>1344</v>
      </c>
      <c r="L5284">
        <v>77</v>
      </c>
    </row>
    <row r="5285" spans="1:12" x14ac:dyDescent="0.2">
      <c r="A5285"/>
      <c r="B5285"/>
      <c r="C5285"/>
      <c r="D5285"/>
      <c r="E5285" s="2">
        <f>Comuni__2[[#This Row],[Popolazione2011]]/$D$7911</f>
        <v>8.363754034480577E-6</v>
      </c>
      <c r="F5285">
        <f>SUMIFS($D$2:$D$7909, $B$2:$B$7909, "Piemonte")</f>
        <v>4363916</v>
      </c>
      <c r="G5285" s="1">
        <f>Comuni__2[[#This Row],[Popolazione2011]]/Comuni__2[[#This Row],[POPOLAZIONE TOTALE DI OGNI REGIONE (CON FILTRO)]]</f>
        <v>1.1388853497638359E-4</v>
      </c>
      <c r="H5285" t="str">
        <f>IF(Comuni__2[[#This Row],[Popolazione2011]]&gt;300000,"MAGGIORE","")</f>
        <v/>
      </c>
      <c r="J5285">
        <v>7</v>
      </c>
      <c r="K5285">
        <v>1343</v>
      </c>
      <c r="L5285">
        <v>78</v>
      </c>
    </row>
    <row r="5286" spans="1:12" x14ac:dyDescent="0.2">
      <c r="A5286"/>
      <c r="B5286"/>
      <c r="C5286"/>
      <c r="D5286"/>
      <c r="E5286" s="2">
        <f>Comuni__2[[#This Row],[Popolazione2011]]/$D$7911</f>
        <v>8.3469255555379609E-6</v>
      </c>
      <c r="F5286">
        <f>SUMIFS($D$2:$D$7909, $B$2:$B$7909, "Piemonte")</f>
        <v>4363916</v>
      </c>
      <c r="G5286" s="1">
        <f>Comuni__2[[#This Row],[Popolazione2011]]/Comuni__2[[#This Row],[POPOLAZIONE TOTALE DI OGNI REGIONE (CON FILTRO)]]</f>
        <v>1.1365938299453977E-4</v>
      </c>
      <c r="H5286" t="str">
        <f>IF(Comuni__2[[#This Row],[Popolazione2011]]&gt;300000,"MAGGIORE","")</f>
        <v/>
      </c>
      <c r="J5286">
        <v>5</v>
      </c>
      <c r="K5286">
        <v>1345</v>
      </c>
      <c r="L5286">
        <v>78</v>
      </c>
    </row>
    <row r="5287" spans="1:12" x14ac:dyDescent="0.2">
      <c r="A5287"/>
      <c r="B5287"/>
      <c r="C5287"/>
      <c r="D5287"/>
      <c r="E5287" s="2">
        <f>Comuni__2[[#This Row],[Popolazione2011]]/$D$7911</f>
        <v>8.313268597652727E-6</v>
      </c>
      <c r="F5287">
        <f>SUMIFS($D$2:$D$7909, $B$2:$B$7909, "Piemonte")</f>
        <v>4363916</v>
      </c>
      <c r="G5287" s="1">
        <f>Comuni__2[[#This Row],[Popolazione2011]]/Comuni__2[[#This Row],[POPOLAZIONE TOTALE DI OGNI REGIONE (CON FILTRO)]]</f>
        <v>1.1320107903085211E-4</v>
      </c>
      <c r="H5287" t="str">
        <f>IF(Comuni__2[[#This Row],[Popolazione2011]]&gt;300000,"MAGGIORE","")</f>
        <v/>
      </c>
      <c r="J5287">
        <v>5</v>
      </c>
      <c r="K5287">
        <v>1347</v>
      </c>
      <c r="L5287">
        <v>78</v>
      </c>
    </row>
    <row r="5288" spans="1:12" x14ac:dyDescent="0.2">
      <c r="A5288"/>
      <c r="B5288"/>
      <c r="C5288"/>
      <c r="D5288"/>
      <c r="E5288" s="2">
        <f>Comuni__2[[#This Row],[Popolazione2011]]/$D$7911</f>
        <v>8.313268597652727E-6</v>
      </c>
      <c r="F5288">
        <f>SUMIFS($D$2:$D$7909, $B$2:$B$7909, "Piemonte")</f>
        <v>4363916</v>
      </c>
      <c r="G5288" s="1">
        <f>Comuni__2[[#This Row],[Popolazione2011]]/Comuni__2[[#This Row],[POPOLAZIONE TOTALE DI OGNI REGIONE (CON FILTRO)]]</f>
        <v>1.1320107903085211E-4</v>
      </c>
      <c r="H5288" t="str">
        <f>IF(Comuni__2[[#This Row],[Popolazione2011]]&gt;300000,"MAGGIORE","")</f>
        <v/>
      </c>
      <c r="J5288">
        <v>5</v>
      </c>
      <c r="K5288">
        <v>1348</v>
      </c>
      <c r="L5288">
        <v>78</v>
      </c>
    </row>
    <row r="5289" spans="1:12" x14ac:dyDescent="0.2">
      <c r="A5289"/>
      <c r="B5289"/>
      <c r="C5289"/>
      <c r="D5289"/>
      <c r="E5289" s="2">
        <f>Comuni__2[[#This Row],[Popolazione2011]]/$D$7911</f>
        <v>8.195469245054409E-6</v>
      </c>
      <c r="F5289">
        <f>SUMIFS($D$2:$D$7909, $B$2:$B$7909, "Piemonte")</f>
        <v>4363916</v>
      </c>
      <c r="G5289" s="1">
        <f>Comuni__2[[#This Row],[Popolazione2011]]/Comuni__2[[#This Row],[POPOLAZIONE TOTALE DI OGNI REGIONE (CON FILTRO)]]</f>
        <v>1.1159701515794529E-4</v>
      </c>
      <c r="H5289" t="str">
        <f>IF(Comuni__2[[#This Row],[Popolazione2011]]&gt;300000,"MAGGIORE","")</f>
        <v/>
      </c>
      <c r="J5289">
        <v>4</v>
      </c>
      <c r="K5289">
        <v>1349</v>
      </c>
      <c r="L5289">
        <v>79</v>
      </c>
    </row>
    <row r="5290" spans="1:12" x14ac:dyDescent="0.2">
      <c r="A5290"/>
      <c r="B5290"/>
      <c r="C5290"/>
      <c r="D5290"/>
      <c r="E5290" s="2">
        <f>Comuni__2[[#This Row],[Popolazione2011]]/$D$7911</f>
        <v>8.195469245054409E-6</v>
      </c>
      <c r="F5290">
        <f>SUMIFS($D$2:$D$7909, $B$2:$B$7909, "Piemonte")</f>
        <v>4363916</v>
      </c>
      <c r="G5290" s="1">
        <f>Comuni__2[[#This Row],[Popolazione2011]]/Comuni__2[[#This Row],[POPOLAZIONE TOTALE DI OGNI REGIONE (CON FILTRO)]]</f>
        <v>1.1159701515794529E-4</v>
      </c>
      <c r="H5290" t="str">
        <f>IF(Comuni__2[[#This Row],[Popolazione2011]]&gt;300000,"MAGGIORE","")</f>
        <v/>
      </c>
      <c r="J5290">
        <v>4</v>
      </c>
      <c r="K5290">
        <v>1350</v>
      </c>
      <c r="L5290">
        <v>79</v>
      </c>
    </row>
    <row r="5291" spans="1:12" x14ac:dyDescent="0.2">
      <c r="A5291"/>
      <c r="B5291"/>
      <c r="C5291"/>
      <c r="D5291"/>
      <c r="E5291" s="2">
        <f>Comuni__2[[#This Row],[Popolazione2011]]/$D$7911</f>
        <v>8.1449838082265589E-6</v>
      </c>
      <c r="F5291">
        <f>SUMIFS($D$2:$D$7909, $B$2:$B$7909, "Piemonte")</f>
        <v>4363916</v>
      </c>
      <c r="G5291" s="1">
        <f>Comuni__2[[#This Row],[Popolazione2011]]/Comuni__2[[#This Row],[POPOLAZIONE TOTALE DI OGNI REGIONE (CON FILTRO)]]</f>
        <v>1.1090955921241381E-4</v>
      </c>
      <c r="H5291" t="str">
        <f>IF(Comuni__2[[#This Row],[Popolazione2011]]&gt;300000,"MAGGIORE","")</f>
        <v/>
      </c>
      <c r="J5291">
        <v>3</v>
      </c>
      <c r="K5291">
        <v>1351</v>
      </c>
      <c r="L5291">
        <v>79</v>
      </c>
    </row>
    <row r="5292" spans="1:12" x14ac:dyDescent="0.2">
      <c r="A5292"/>
      <c r="B5292"/>
      <c r="C5292"/>
      <c r="D5292"/>
      <c r="E5292" s="2">
        <f>Comuni__2[[#This Row],[Popolazione2011]]/$D$7911</f>
        <v>8.0944983713987072E-6</v>
      </c>
      <c r="F5292">
        <f>SUMIFS($D$2:$D$7909, $B$2:$B$7909, "Piemonte")</f>
        <v>4363916</v>
      </c>
      <c r="G5292" s="1">
        <f>Comuni__2[[#This Row],[Popolazione2011]]/Comuni__2[[#This Row],[POPOLAZIONE TOTALE DI OGNI REGIONE (CON FILTRO)]]</f>
        <v>1.1022210326688231E-4</v>
      </c>
      <c r="H5292" t="str">
        <f>IF(Comuni__2[[#This Row],[Popolazione2011]]&gt;300000,"MAGGIORE","")</f>
        <v/>
      </c>
      <c r="J5292">
        <v>3</v>
      </c>
      <c r="K5292">
        <v>1350</v>
      </c>
      <c r="L5292">
        <v>80</v>
      </c>
    </row>
    <row r="5293" spans="1:12" x14ac:dyDescent="0.2">
      <c r="A5293"/>
      <c r="B5293"/>
      <c r="C5293"/>
      <c r="D5293"/>
      <c r="E5293" s="2">
        <f>Comuni__2[[#This Row],[Popolazione2011]]/$D$7911</f>
        <v>8.0776698924560911E-6</v>
      </c>
      <c r="F5293">
        <f>SUMIFS($D$2:$D$7909, $B$2:$B$7909, "Piemonte")</f>
        <v>4363916</v>
      </c>
      <c r="G5293" s="1">
        <f>Comuni__2[[#This Row],[Popolazione2011]]/Comuni__2[[#This Row],[POPOLAZIONE TOTALE DI OGNI REGIONE (CON FILTRO)]]</f>
        <v>1.0999295128503848E-4</v>
      </c>
      <c r="H5293" t="str">
        <f>IF(Comuni__2[[#This Row],[Popolazione2011]]&gt;300000,"MAGGIORE","")</f>
        <v/>
      </c>
      <c r="J5293">
        <v>3</v>
      </c>
      <c r="K5293">
        <v>1351</v>
      </c>
      <c r="L5293">
        <v>80</v>
      </c>
    </row>
    <row r="5294" spans="1:12" x14ac:dyDescent="0.2">
      <c r="A5294"/>
      <c r="B5294"/>
      <c r="C5294"/>
      <c r="D5294"/>
      <c r="E5294" s="2">
        <f>Comuni__2[[#This Row],[Popolazione2011]]/$D$7911</f>
        <v>8.0776698924560911E-6</v>
      </c>
      <c r="F5294">
        <f>SUMIFS($D$2:$D$7909, $B$2:$B$7909, "Piemonte")</f>
        <v>4363916</v>
      </c>
      <c r="G5294" s="1">
        <f>Comuni__2[[#This Row],[Popolazione2011]]/Comuni__2[[#This Row],[POPOLAZIONE TOTALE DI OGNI REGIONE (CON FILTRO)]]</f>
        <v>1.0999295128503848E-4</v>
      </c>
      <c r="H5294" t="str">
        <f>IF(Comuni__2[[#This Row],[Popolazione2011]]&gt;300000,"MAGGIORE","")</f>
        <v/>
      </c>
      <c r="J5294">
        <v>3</v>
      </c>
      <c r="K5294">
        <v>1351</v>
      </c>
      <c r="L5294">
        <v>80</v>
      </c>
    </row>
    <row r="5295" spans="1:12" x14ac:dyDescent="0.2">
      <c r="A5295"/>
      <c r="B5295"/>
      <c r="C5295"/>
      <c r="D5295"/>
      <c r="E5295" s="2">
        <f>Comuni__2[[#This Row],[Popolazione2011]]/$D$7911</f>
        <v>7.9262135819725391E-6</v>
      </c>
      <c r="F5295">
        <f>SUMIFS($D$2:$D$7909, $B$2:$B$7909, "Piemonte")</f>
        <v>4363916</v>
      </c>
      <c r="G5295" s="1">
        <f>Comuni__2[[#This Row],[Popolazione2011]]/Comuni__2[[#This Row],[POPOLAZIONE TOTALE DI OGNI REGIONE (CON FILTRO)]]</f>
        <v>1.0793058344844401E-4</v>
      </c>
      <c r="H5295" t="str">
        <f>IF(Comuni__2[[#This Row],[Popolazione2011]]&gt;300000,"MAGGIORE","")</f>
        <v/>
      </c>
      <c r="J5295">
        <v>4</v>
      </c>
      <c r="K5295">
        <v>1351</v>
      </c>
      <c r="L5295">
        <v>80</v>
      </c>
    </row>
    <row r="5296" spans="1:12" x14ac:dyDescent="0.2">
      <c r="A5296"/>
      <c r="B5296"/>
      <c r="C5296"/>
      <c r="D5296"/>
      <c r="E5296" s="2">
        <f>Comuni__2[[#This Row],[Popolazione2011]]/$D$7911</f>
        <v>7.9262135819725391E-6</v>
      </c>
      <c r="F5296">
        <f>SUMIFS($D$2:$D$7909, $B$2:$B$7909, "Piemonte")</f>
        <v>4363916</v>
      </c>
      <c r="G5296" s="1">
        <f>Comuni__2[[#This Row],[Popolazione2011]]/Comuni__2[[#This Row],[POPOLAZIONE TOTALE DI OGNI REGIONE (CON FILTRO)]]</f>
        <v>1.0793058344844401E-4</v>
      </c>
      <c r="H5296" t="str">
        <f>IF(Comuni__2[[#This Row],[Popolazione2011]]&gt;300000,"MAGGIORE","")</f>
        <v/>
      </c>
      <c r="J5296">
        <v>4</v>
      </c>
      <c r="K5296">
        <v>1351</v>
      </c>
      <c r="L5296">
        <v>80</v>
      </c>
    </row>
    <row r="5297" spans="1:12" x14ac:dyDescent="0.2">
      <c r="A5297"/>
      <c r="B5297"/>
      <c r="C5297"/>
      <c r="D5297"/>
      <c r="E5297" s="2">
        <f>Comuni__2[[#This Row],[Popolazione2011]]/$D$7911</f>
        <v>7.909385103029923E-6</v>
      </c>
      <c r="F5297">
        <f>SUMIFS($D$2:$D$7909, $B$2:$B$7909, "Piemonte")</f>
        <v>4363916</v>
      </c>
      <c r="G5297" s="1">
        <f>Comuni__2[[#This Row],[Popolazione2011]]/Comuni__2[[#This Row],[POPOLAZIONE TOTALE DI OGNI REGIONE (CON FILTRO)]]</f>
        <v>1.0770143146660018E-4</v>
      </c>
      <c r="H5297" t="str">
        <f>IF(Comuni__2[[#This Row],[Popolazione2011]]&gt;300000,"MAGGIORE","")</f>
        <v/>
      </c>
      <c r="J5297">
        <v>4</v>
      </c>
      <c r="K5297">
        <v>1353</v>
      </c>
      <c r="L5297">
        <v>80</v>
      </c>
    </row>
    <row r="5298" spans="1:12" x14ac:dyDescent="0.2">
      <c r="A5298"/>
      <c r="B5298"/>
      <c r="C5298"/>
      <c r="D5298"/>
      <c r="E5298" s="2">
        <f>Comuni__2[[#This Row],[Popolazione2011]]/$D$7911</f>
        <v>7.8925566240873052E-6</v>
      </c>
      <c r="F5298">
        <f>SUMIFS($D$2:$D$7909, $B$2:$B$7909, "Piemonte")</f>
        <v>4363916</v>
      </c>
      <c r="G5298" s="1">
        <f>Comuni__2[[#This Row],[Popolazione2011]]/Comuni__2[[#This Row],[POPOLAZIONE TOTALE DI OGNI REGIONE (CON FILTRO)]]</f>
        <v>1.0747227948475635E-4</v>
      </c>
      <c r="H5298" t="str">
        <f>IF(Comuni__2[[#This Row],[Popolazione2011]]&gt;300000,"MAGGIORE","")</f>
        <v/>
      </c>
      <c r="J5298">
        <v>4</v>
      </c>
      <c r="K5298">
        <v>1356</v>
      </c>
      <c r="L5298">
        <v>80</v>
      </c>
    </row>
    <row r="5299" spans="1:12" x14ac:dyDescent="0.2">
      <c r="A5299"/>
      <c r="B5299"/>
      <c r="C5299"/>
      <c r="D5299"/>
      <c r="E5299" s="2">
        <f>Comuni__2[[#This Row],[Popolazione2011]]/$D$7911</f>
        <v>7.8757281451446891E-6</v>
      </c>
      <c r="F5299">
        <f>SUMIFS($D$2:$D$7909, $B$2:$B$7909, "Piemonte")</f>
        <v>4363916</v>
      </c>
      <c r="G5299" s="1">
        <f>Comuni__2[[#This Row],[Popolazione2011]]/Comuni__2[[#This Row],[POPOLAZIONE TOTALE DI OGNI REGIONE (CON FILTRO)]]</f>
        <v>1.0724312750291253E-4</v>
      </c>
      <c r="H5299" t="str">
        <f>IF(Comuni__2[[#This Row],[Popolazione2011]]&gt;300000,"MAGGIORE","")</f>
        <v/>
      </c>
      <c r="J5299">
        <v>4</v>
      </c>
      <c r="K5299">
        <v>1358</v>
      </c>
      <c r="L5299">
        <v>80</v>
      </c>
    </row>
    <row r="5300" spans="1:12" x14ac:dyDescent="0.2">
      <c r="A5300"/>
      <c r="B5300"/>
      <c r="C5300"/>
      <c r="D5300"/>
      <c r="E5300" s="2">
        <f>Comuni__2[[#This Row],[Popolazione2011]]/$D$7911</f>
        <v>7.8757281451446891E-6</v>
      </c>
      <c r="F5300">
        <f>SUMIFS($D$2:$D$7909, $B$2:$B$7909, "Piemonte")</f>
        <v>4363916</v>
      </c>
      <c r="G5300" s="1">
        <f>Comuni__2[[#This Row],[Popolazione2011]]/Comuni__2[[#This Row],[POPOLAZIONE TOTALE DI OGNI REGIONE (CON FILTRO)]]</f>
        <v>1.0724312750291253E-4</v>
      </c>
      <c r="H5300" t="str">
        <f>IF(Comuni__2[[#This Row],[Popolazione2011]]&gt;300000,"MAGGIORE","")</f>
        <v/>
      </c>
      <c r="J5300">
        <v>4</v>
      </c>
      <c r="K5300">
        <v>1358</v>
      </c>
      <c r="L5300">
        <v>80</v>
      </c>
    </row>
    <row r="5301" spans="1:12" x14ac:dyDescent="0.2">
      <c r="A5301"/>
      <c r="B5301"/>
      <c r="C5301"/>
      <c r="D5301"/>
      <c r="E5301" s="2">
        <f>Comuni__2[[#This Row],[Popolazione2011]]/$D$7911</f>
        <v>7.8588996662020713E-6</v>
      </c>
      <c r="F5301">
        <f>SUMIFS($D$2:$D$7909, $B$2:$B$7909, "Piemonte")</f>
        <v>4363916</v>
      </c>
      <c r="G5301" s="1">
        <f>Comuni__2[[#This Row],[Popolazione2011]]/Comuni__2[[#This Row],[POPOLAZIONE TOTALE DI OGNI REGIONE (CON FILTRO)]]</f>
        <v>1.070139755210687E-4</v>
      </c>
      <c r="H5301" t="str">
        <f>IF(Comuni__2[[#This Row],[Popolazione2011]]&gt;300000,"MAGGIORE","")</f>
        <v/>
      </c>
      <c r="J5301">
        <v>4</v>
      </c>
      <c r="K5301">
        <v>1358</v>
      </c>
      <c r="L5301">
        <v>80</v>
      </c>
    </row>
    <row r="5302" spans="1:12" x14ac:dyDescent="0.2">
      <c r="A5302"/>
      <c r="B5302"/>
      <c r="C5302"/>
      <c r="D5302"/>
      <c r="E5302" s="2">
        <f>Comuni__2[[#This Row],[Popolazione2011]]/$D$7911</f>
        <v>7.8252427083168373E-6</v>
      </c>
      <c r="F5302">
        <f>SUMIFS($D$2:$D$7909, $B$2:$B$7909, "Piemonte")</f>
        <v>4363916</v>
      </c>
      <c r="G5302" s="1">
        <f>Comuni__2[[#This Row],[Popolazione2011]]/Comuni__2[[#This Row],[POPOLAZIONE TOTALE DI OGNI REGIONE (CON FILTRO)]]</f>
        <v>1.0655567155738103E-4</v>
      </c>
      <c r="H5302" t="str">
        <f>IF(Comuni__2[[#This Row],[Popolazione2011]]&gt;300000,"MAGGIORE","")</f>
        <v/>
      </c>
      <c r="J5302">
        <v>3</v>
      </c>
      <c r="K5302">
        <v>1359</v>
      </c>
      <c r="L5302">
        <v>80</v>
      </c>
    </row>
    <row r="5303" spans="1:12" x14ac:dyDescent="0.2">
      <c r="A5303"/>
      <c r="B5303"/>
      <c r="C5303"/>
      <c r="D5303"/>
      <c r="E5303" s="2">
        <f>Comuni__2[[#This Row],[Popolazione2011]]/$D$7911</f>
        <v>7.7915857504316034E-6</v>
      </c>
      <c r="F5303">
        <f>SUMIFS($D$2:$D$7909, $B$2:$B$7909, "Piemonte")</f>
        <v>4363916</v>
      </c>
      <c r="G5303" s="1">
        <f>Comuni__2[[#This Row],[Popolazione2011]]/Comuni__2[[#This Row],[POPOLAZIONE TOTALE DI OGNI REGIONE (CON FILTRO)]]</f>
        <v>1.0609736759369337E-4</v>
      </c>
      <c r="H5303" t="str">
        <f>IF(Comuni__2[[#This Row],[Popolazione2011]]&gt;300000,"MAGGIORE","")</f>
        <v/>
      </c>
      <c r="J5303">
        <v>3</v>
      </c>
      <c r="K5303">
        <v>1360</v>
      </c>
      <c r="L5303">
        <v>80</v>
      </c>
    </row>
    <row r="5304" spans="1:12" x14ac:dyDescent="0.2">
      <c r="A5304"/>
      <c r="B5304"/>
      <c r="C5304"/>
      <c r="D5304"/>
      <c r="E5304" s="2">
        <f>Comuni__2[[#This Row],[Popolazione2011]]/$D$7911</f>
        <v>7.7747572714889872E-6</v>
      </c>
      <c r="F5304">
        <f>SUMIFS($D$2:$D$7909, $B$2:$B$7909, "Piemonte")</f>
        <v>4363916</v>
      </c>
      <c r="G5304" s="1">
        <f>Comuni__2[[#This Row],[Popolazione2011]]/Comuni__2[[#This Row],[POPOLAZIONE TOTALE DI OGNI REGIONE (CON FILTRO)]]</f>
        <v>1.0586821561184954E-4</v>
      </c>
      <c r="H5304" t="str">
        <f>IF(Comuni__2[[#This Row],[Popolazione2011]]&gt;300000,"MAGGIORE","")</f>
        <v/>
      </c>
      <c r="J5304">
        <v>3</v>
      </c>
      <c r="K5304">
        <v>1360</v>
      </c>
      <c r="L5304">
        <v>80</v>
      </c>
    </row>
    <row r="5305" spans="1:12" x14ac:dyDescent="0.2">
      <c r="A5305"/>
      <c r="B5305"/>
      <c r="C5305"/>
      <c r="D5305"/>
      <c r="E5305" s="2">
        <f>Comuni__2[[#This Row],[Popolazione2011]]/$D$7911</f>
        <v>7.7411003136037533E-6</v>
      </c>
      <c r="F5305">
        <f>SUMIFS($D$2:$D$7909, $B$2:$B$7909, "Piemonte")</f>
        <v>4363916</v>
      </c>
      <c r="G5305" s="1">
        <f>Comuni__2[[#This Row],[Popolazione2011]]/Comuni__2[[#This Row],[POPOLAZIONE TOTALE DI OGNI REGIONE (CON FILTRO)]]</f>
        <v>1.0540991164816187E-4</v>
      </c>
      <c r="H5305" t="str">
        <f>IF(Comuni__2[[#This Row],[Popolazione2011]]&gt;300000,"MAGGIORE","")</f>
        <v/>
      </c>
      <c r="J5305">
        <v>4</v>
      </c>
      <c r="K5305">
        <v>1360</v>
      </c>
      <c r="L5305">
        <v>80</v>
      </c>
    </row>
    <row r="5306" spans="1:12" x14ac:dyDescent="0.2">
      <c r="A5306"/>
      <c r="B5306"/>
      <c r="C5306"/>
      <c r="D5306"/>
      <c r="E5306" s="2">
        <f>Comuni__2[[#This Row],[Popolazione2011]]/$D$7911</f>
        <v>7.6906148767759032E-6</v>
      </c>
      <c r="F5306">
        <f>SUMIFS($D$2:$D$7909, $B$2:$B$7909, "Piemonte")</f>
        <v>4363916</v>
      </c>
      <c r="G5306" s="1">
        <f>Comuni__2[[#This Row],[Popolazione2011]]/Comuni__2[[#This Row],[POPOLAZIONE TOTALE DI OGNI REGIONE (CON FILTRO)]]</f>
        <v>1.0472245570263039E-4</v>
      </c>
      <c r="H5306" t="str">
        <f>IF(Comuni__2[[#This Row],[Popolazione2011]]&gt;300000,"MAGGIORE","")</f>
        <v/>
      </c>
      <c r="J5306">
        <v>4</v>
      </c>
      <c r="K5306">
        <v>1360</v>
      </c>
      <c r="L5306">
        <v>80</v>
      </c>
    </row>
    <row r="5307" spans="1:12" x14ac:dyDescent="0.2">
      <c r="A5307"/>
      <c r="B5307"/>
      <c r="C5307"/>
      <c r="D5307"/>
      <c r="E5307" s="2">
        <f>Comuni__2[[#This Row],[Popolazione2011]]/$D$7911</f>
        <v>7.6906148767759032E-6</v>
      </c>
      <c r="F5307">
        <f>SUMIFS($D$2:$D$7909, $B$2:$B$7909, "Piemonte")</f>
        <v>4363916</v>
      </c>
      <c r="G5307" s="1">
        <f>Comuni__2[[#This Row],[Popolazione2011]]/Comuni__2[[#This Row],[POPOLAZIONE TOTALE DI OGNI REGIONE (CON FILTRO)]]</f>
        <v>1.0472245570263039E-4</v>
      </c>
      <c r="H5307" t="str">
        <f>IF(Comuni__2[[#This Row],[Popolazione2011]]&gt;300000,"MAGGIORE","")</f>
        <v/>
      </c>
      <c r="J5307">
        <v>4</v>
      </c>
      <c r="K5307">
        <v>1361</v>
      </c>
      <c r="L5307">
        <v>80</v>
      </c>
    </row>
    <row r="5308" spans="1:12" x14ac:dyDescent="0.2">
      <c r="A5308"/>
      <c r="B5308"/>
      <c r="C5308"/>
      <c r="D5308"/>
      <c r="E5308" s="2">
        <f>Comuni__2[[#This Row],[Popolazione2011]]/$D$7911</f>
        <v>7.6569579188906693E-6</v>
      </c>
      <c r="F5308">
        <f>SUMIFS($D$2:$D$7909, $B$2:$B$7909, "Piemonte")</f>
        <v>4363916</v>
      </c>
      <c r="G5308" s="1">
        <f>Comuni__2[[#This Row],[Popolazione2011]]/Comuni__2[[#This Row],[POPOLAZIONE TOTALE DI OGNI REGIONE (CON FILTRO)]]</f>
        <v>1.0426415173894273E-4</v>
      </c>
      <c r="H5308" t="str">
        <f>IF(Comuni__2[[#This Row],[Popolazione2011]]&gt;300000,"MAGGIORE","")</f>
        <v/>
      </c>
      <c r="J5308">
        <v>4</v>
      </c>
      <c r="K5308">
        <v>1362</v>
      </c>
      <c r="L5308">
        <v>80</v>
      </c>
    </row>
    <row r="5309" spans="1:12" x14ac:dyDescent="0.2">
      <c r="A5309"/>
      <c r="B5309"/>
      <c r="C5309"/>
      <c r="D5309"/>
      <c r="E5309" s="2">
        <f>Comuni__2[[#This Row],[Popolazione2011]]/$D$7911</f>
        <v>7.6569579188906693E-6</v>
      </c>
      <c r="F5309">
        <f>SUMIFS($D$2:$D$7909, $B$2:$B$7909, "Piemonte")</f>
        <v>4363916</v>
      </c>
      <c r="G5309" s="1">
        <f>Comuni__2[[#This Row],[Popolazione2011]]/Comuni__2[[#This Row],[POPOLAZIONE TOTALE DI OGNI REGIONE (CON FILTRO)]]</f>
        <v>1.0426415173894273E-4</v>
      </c>
      <c r="H5309" t="str">
        <f>IF(Comuni__2[[#This Row],[Popolazione2011]]&gt;300000,"MAGGIORE","")</f>
        <v/>
      </c>
      <c r="J5309">
        <v>4</v>
      </c>
      <c r="K5309">
        <v>1362</v>
      </c>
      <c r="L5309">
        <v>80</v>
      </c>
    </row>
    <row r="5310" spans="1:12" x14ac:dyDescent="0.2">
      <c r="A5310"/>
      <c r="B5310"/>
      <c r="C5310"/>
      <c r="D5310"/>
      <c r="E5310" s="2">
        <f>Comuni__2[[#This Row],[Popolazione2011]]/$D$7911</f>
        <v>7.6401294399480531E-6</v>
      </c>
      <c r="F5310">
        <f>SUMIFS($D$2:$D$7909, $B$2:$B$7909, "Piemonte")</f>
        <v>4363916</v>
      </c>
      <c r="G5310" s="1">
        <f>Comuni__2[[#This Row],[Popolazione2011]]/Comuni__2[[#This Row],[POPOLAZIONE TOTALE DI OGNI REGIONE (CON FILTRO)]]</f>
        <v>1.040349997570989E-4</v>
      </c>
      <c r="H5310" t="str">
        <f>IF(Comuni__2[[#This Row],[Popolazione2011]]&gt;300000,"MAGGIORE","")</f>
        <v/>
      </c>
      <c r="J5310">
        <v>5</v>
      </c>
      <c r="K5310">
        <v>1362</v>
      </c>
      <c r="L5310">
        <v>80</v>
      </c>
    </row>
    <row r="5311" spans="1:12" x14ac:dyDescent="0.2">
      <c r="A5311"/>
      <c r="B5311"/>
      <c r="C5311"/>
      <c r="D5311"/>
      <c r="E5311" s="2">
        <f>Comuni__2[[#This Row],[Popolazione2011]]/$D$7911</f>
        <v>7.6233009610054353E-6</v>
      </c>
      <c r="F5311">
        <f>SUMIFS($D$2:$D$7909, $B$2:$B$7909, "Piemonte")</f>
        <v>4363916</v>
      </c>
      <c r="G5311" s="1">
        <f>Comuni__2[[#This Row],[Popolazione2011]]/Comuni__2[[#This Row],[POPOLAZIONE TOTALE DI OGNI REGIONE (CON FILTRO)]]</f>
        <v>1.0380584777525507E-4</v>
      </c>
      <c r="H5311" t="str">
        <f>IF(Comuni__2[[#This Row],[Popolazione2011]]&gt;300000,"MAGGIORE","")</f>
        <v/>
      </c>
      <c r="J5311">
        <v>5</v>
      </c>
      <c r="K5311">
        <v>1362</v>
      </c>
      <c r="L5311">
        <v>80</v>
      </c>
    </row>
    <row r="5312" spans="1:12" x14ac:dyDescent="0.2">
      <c r="A5312"/>
      <c r="B5312"/>
      <c r="C5312"/>
      <c r="D5312"/>
      <c r="E5312" s="2">
        <f>Comuni__2[[#This Row],[Popolazione2011]]/$D$7911</f>
        <v>7.6064724820628192E-6</v>
      </c>
      <c r="F5312">
        <f>SUMIFS($D$2:$D$7909, $B$2:$B$7909, "Piemonte")</f>
        <v>4363916</v>
      </c>
      <c r="G5312" s="1">
        <f>Comuni__2[[#This Row],[Popolazione2011]]/Comuni__2[[#This Row],[POPOLAZIONE TOTALE DI OGNI REGIONE (CON FILTRO)]]</f>
        <v>1.0357669579341124E-4</v>
      </c>
      <c r="H5312" t="str">
        <f>IF(Comuni__2[[#This Row],[Popolazione2011]]&gt;300000,"MAGGIORE","")</f>
        <v/>
      </c>
      <c r="J5312">
        <v>6</v>
      </c>
      <c r="K5312">
        <v>1362</v>
      </c>
      <c r="L5312">
        <v>80</v>
      </c>
    </row>
    <row r="5313" spans="1:12" x14ac:dyDescent="0.2">
      <c r="A5313"/>
      <c r="B5313"/>
      <c r="C5313"/>
      <c r="D5313"/>
      <c r="E5313" s="2">
        <f>Comuni__2[[#This Row],[Popolazione2011]]/$D$7911</f>
        <v>7.5896440031202022E-6</v>
      </c>
      <c r="F5313">
        <f>SUMIFS($D$2:$D$7909, $B$2:$B$7909, "Piemonte")</f>
        <v>4363916</v>
      </c>
      <c r="G5313" s="1">
        <f>Comuni__2[[#This Row],[Popolazione2011]]/Comuni__2[[#This Row],[POPOLAZIONE TOTALE DI OGNI REGIONE (CON FILTRO)]]</f>
        <v>1.033475438115674E-4</v>
      </c>
      <c r="H5313" t="str">
        <f>IF(Comuni__2[[#This Row],[Popolazione2011]]&gt;300000,"MAGGIORE","")</f>
        <v/>
      </c>
      <c r="J5313">
        <v>6</v>
      </c>
      <c r="K5313">
        <v>1362</v>
      </c>
      <c r="L5313">
        <v>80</v>
      </c>
    </row>
    <row r="5314" spans="1:12" x14ac:dyDescent="0.2">
      <c r="A5314"/>
      <c r="B5314"/>
      <c r="C5314"/>
      <c r="D5314"/>
      <c r="E5314" s="2">
        <f>Comuni__2[[#This Row],[Popolazione2011]]/$D$7911</f>
        <v>7.5896440031202022E-6</v>
      </c>
      <c r="F5314">
        <f>SUMIFS($D$2:$D$7909, $B$2:$B$7909, "Piemonte")</f>
        <v>4363916</v>
      </c>
      <c r="G5314" s="1">
        <f>Comuni__2[[#This Row],[Popolazione2011]]/Comuni__2[[#This Row],[POPOLAZIONE TOTALE DI OGNI REGIONE (CON FILTRO)]]</f>
        <v>1.033475438115674E-4</v>
      </c>
      <c r="H5314" t="str">
        <f>IF(Comuni__2[[#This Row],[Popolazione2011]]&gt;300000,"MAGGIORE","")</f>
        <v/>
      </c>
      <c r="J5314">
        <v>6</v>
      </c>
      <c r="K5314">
        <v>1364</v>
      </c>
      <c r="L5314">
        <v>80</v>
      </c>
    </row>
    <row r="5315" spans="1:12" x14ac:dyDescent="0.2">
      <c r="A5315"/>
      <c r="B5315"/>
      <c r="C5315"/>
      <c r="D5315"/>
      <c r="E5315" s="2">
        <f>Comuni__2[[#This Row],[Popolazione2011]]/$D$7911</f>
        <v>7.5391585662923513E-6</v>
      </c>
      <c r="F5315">
        <f>SUMIFS($D$2:$D$7909, $B$2:$B$7909, "Piemonte")</f>
        <v>4363916</v>
      </c>
      <c r="G5315" s="1">
        <f>Comuni__2[[#This Row],[Popolazione2011]]/Comuni__2[[#This Row],[POPOLAZIONE TOTALE DI OGNI REGIONE (CON FILTRO)]]</f>
        <v>1.0266008786603592E-4</v>
      </c>
      <c r="H5315" t="str">
        <f>IF(Comuni__2[[#This Row],[Popolazione2011]]&gt;300000,"MAGGIORE","")</f>
        <v/>
      </c>
      <c r="J5315">
        <v>6</v>
      </c>
      <c r="K5315">
        <v>1364</v>
      </c>
      <c r="L5315">
        <v>80</v>
      </c>
    </row>
    <row r="5316" spans="1:12" x14ac:dyDescent="0.2">
      <c r="A5316"/>
      <c r="B5316"/>
      <c r="C5316"/>
      <c r="D5316"/>
      <c r="E5316" s="2">
        <f>Comuni__2[[#This Row],[Popolazione2011]]/$D$7911</f>
        <v>7.5223300873497343E-6</v>
      </c>
      <c r="F5316">
        <f>SUMIFS($D$2:$D$7909, $B$2:$B$7909, "Piemonte")</f>
        <v>4363916</v>
      </c>
      <c r="G5316" s="1">
        <f>Comuni__2[[#This Row],[Popolazione2011]]/Comuni__2[[#This Row],[POPOLAZIONE TOTALE DI OGNI REGIONE (CON FILTRO)]]</f>
        <v>1.0243093588419209E-4</v>
      </c>
      <c r="H5316" t="str">
        <f>IF(Comuni__2[[#This Row],[Popolazione2011]]&gt;300000,"MAGGIORE","")</f>
        <v/>
      </c>
      <c r="J5316">
        <v>6</v>
      </c>
      <c r="K5316">
        <v>1365</v>
      </c>
      <c r="L5316">
        <v>80</v>
      </c>
    </row>
    <row r="5317" spans="1:12" x14ac:dyDescent="0.2">
      <c r="A5317"/>
      <c r="B5317"/>
      <c r="C5317"/>
      <c r="D5317"/>
      <c r="E5317" s="2">
        <f>Comuni__2[[#This Row],[Popolazione2011]]/$D$7911</f>
        <v>7.5055016084071174E-6</v>
      </c>
      <c r="F5317">
        <f>SUMIFS($D$2:$D$7909, $B$2:$B$7909, "Piemonte")</f>
        <v>4363916</v>
      </c>
      <c r="G5317" s="1">
        <f>Comuni__2[[#This Row],[Popolazione2011]]/Comuni__2[[#This Row],[POPOLAZIONE TOTALE DI OGNI REGIONE (CON FILTRO)]]</f>
        <v>1.0220178390234826E-4</v>
      </c>
      <c r="H5317" t="str">
        <f>IF(Comuni__2[[#This Row],[Popolazione2011]]&gt;300000,"MAGGIORE","")</f>
        <v/>
      </c>
      <c r="J5317">
        <v>6</v>
      </c>
      <c r="K5317">
        <v>1365</v>
      </c>
      <c r="L5317">
        <v>80</v>
      </c>
    </row>
    <row r="5318" spans="1:12" x14ac:dyDescent="0.2">
      <c r="A5318"/>
      <c r="B5318"/>
      <c r="C5318"/>
      <c r="D5318"/>
      <c r="E5318" s="2">
        <f>Comuni__2[[#This Row],[Popolazione2011]]/$D$7911</f>
        <v>7.4718446505218843E-6</v>
      </c>
      <c r="F5318">
        <f>SUMIFS($D$2:$D$7909, $B$2:$B$7909, "Piemonte")</f>
        <v>4363916</v>
      </c>
      <c r="G5318" s="1">
        <f>Comuni__2[[#This Row],[Popolazione2011]]/Comuni__2[[#This Row],[POPOLAZIONE TOTALE DI OGNI REGIONE (CON FILTRO)]]</f>
        <v>1.017434799386606E-4</v>
      </c>
      <c r="H5318" t="str">
        <f>IF(Comuni__2[[#This Row],[Popolazione2011]]&gt;300000,"MAGGIORE","")</f>
        <v/>
      </c>
      <c r="J5318">
        <v>6</v>
      </c>
      <c r="K5318">
        <v>1366</v>
      </c>
      <c r="L5318">
        <v>80</v>
      </c>
    </row>
    <row r="5319" spans="1:12" x14ac:dyDescent="0.2">
      <c r="A5319"/>
      <c r="B5319"/>
      <c r="C5319"/>
      <c r="D5319"/>
      <c r="E5319" s="2">
        <f>Comuni__2[[#This Row],[Popolazione2011]]/$D$7911</f>
        <v>7.4550161715792673E-6</v>
      </c>
      <c r="F5319">
        <f>SUMIFS($D$2:$D$7909, $B$2:$B$7909, "Piemonte")</f>
        <v>4363916</v>
      </c>
      <c r="G5319" s="1">
        <f>Comuni__2[[#This Row],[Popolazione2011]]/Comuni__2[[#This Row],[POPOLAZIONE TOTALE DI OGNI REGIONE (CON FILTRO)]]</f>
        <v>1.0151432795681676E-4</v>
      </c>
      <c r="H5319" t="str">
        <f>IF(Comuni__2[[#This Row],[Popolazione2011]]&gt;300000,"MAGGIORE","")</f>
        <v/>
      </c>
      <c r="J5319">
        <v>7</v>
      </c>
      <c r="K5319">
        <v>1366</v>
      </c>
      <c r="L5319">
        <v>80</v>
      </c>
    </row>
    <row r="5320" spans="1:12" x14ac:dyDescent="0.2">
      <c r="A5320"/>
      <c r="B5320"/>
      <c r="C5320"/>
      <c r="D5320"/>
      <c r="E5320" s="2">
        <f>Comuni__2[[#This Row],[Popolazione2011]]/$D$7911</f>
        <v>7.4381876926366503E-6</v>
      </c>
      <c r="F5320">
        <f>SUMIFS($D$2:$D$7909, $B$2:$B$7909, "Piemonte")</f>
        <v>4363916</v>
      </c>
      <c r="G5320" s="1">
        <f>Comuni__2[[#This Row],[Popolazione2011]]/Comuni__2[[#This Row],[POPOLAZIONE TOTALE DI OGNI REGIONE (CON FILTRO)]]</f>
        <v>1.0128517597497293E-4</v>
      </c>
      <c r="H5320" t="str">
        <f>IF(Comuni__2[[#This Row],[Popolazione2011]]&gt;300000,"MAGGIORE","")</f>
        <v/>
      </c>
      <c r="J5320">
        <v>7</v>
      </c>
      <c r="K5320">
        <v>1368</v>
      </c>
      <c r="L5320">
        <v>80</v>
      </c>
    </row>
    <row r="5321" spans="1:12" x14ac:dyDescent="0.2">
      <c r="A5321"/>
      <c r="B5321"/>
      <c r="C5321"/>
      <c r="D5321"/>
      <c r="E5321" s="2">
        <f>Comuni__2[[#This Row],[Popolazione2011]]/$D$7911</f>
        <v>7.4213592136940333E-6</v>
      </c>
      <c r="F5321">
        <f>SUMIFS($D$2:$D$7909, $B$2:$B$7909, "Piemonte")</f>
        <v>4363916</v>
      </c>
      <c r="G5321" s="1">
        <f>Comuni__2[[#This Row],[Popolazione2011]]/Comuni__2[[#This Row],[POPOLAZIONE TOTALE DI OGNI REGIONE (CON FILTRO)]]</f>
        <v>1.010560239931291E-4</v>
      </c>
      <c r="H5321" t="str">
        <f>IF(Comuni__2[[#This Row],[Popolazione2011]]&gt;300000,"MAGGIORE","")</f>
        <v/>
      </c>
      <c r="J5321">
        <v>7</v>
      </c>
      <c r="K5321">
        <v>1368</v>
      </c>
      <c r="L5321">
        <v>80</v>
      </c>
    </row>
    <row r="5322" spans="1:12" x14ac:dyDescent="0.2">
      <c r="A5322"/>
      <c r="B5322"/>
      <c r="C5322"/>
      <c r="D5322"/>
      <c r="E5322" s="2">
        <f>Comuni__2[[#This Row],[Popolazione2011]]/$D$7911</f>
        <v>7.3877022558087994E-6</v>
      </c>
      <c r="F5322">
        <f>SUMIFS($D$2:$D$7909, $B$2:$B$7909, "Piemonte")</f>
        <v>4363916</v>
      </c>
      <c r="G5322" s="1">
        <f>Comuni__2[[#This Row],[Popolazione2011]]/Comuni__2[[#This Row],[POPOLAZIONE TOTALE DI OGNI REGIONE (CON FILTRO)]]</f>
        <v>1.0059772002944145E-4</v>
      </c>
      <c r="H5322" t="str">
        <f>IF(Comuni__2[[#This Row],[Popolazione2011]]&gt;300000,"MAGGIORE","")</f>
        <v/>
      </c>
      <c r="J5322">
        <v>8</v>
      </c>
      <c r="K5322">
        <v>1368</v>
      </c>
      <c r="L5322">
        <v>80</v>
      </c>
    </row>
    <row r="5323" spans="1:12" x14ac:dyDescent="0.2">
      <c r="A5323"/>
      <c r="B5323"/>
      <c r="C5323"/>
      <c r="D5323"/>
      <c r="E5323" s="2">
        <f>Comuni__2[[#This Row],[Popolazione2011]]/$D$7911</f>
        <v>7.3877022558087994E-6</v>
      </c>
      <c r="F5323">
        <f>SUMIFS($D$2:$D$7909, $B$2:$B$7909, "Piemonte")</f>
        <v>4363916</v>
      </c>
      <c r="G5323" s="1">
        <f>Comuni__2[[#This Row],[Popolazione2011]]/Comuni__2[[#This Row],[POPOLAZIONE TOTALE DI OGNI REGIONE (CON FILTRO)]]</f>
        <v>1.0059772002944145E-4</v>
      </c>
      <c r="H5323" t="str">
        <f>IF(Comuni__2[[#This Row],[Popolazione2011]]&gt;300000,"MAGGIORE","")</f>
        <v/>
      </c>
      <c r="J5323">
        <v>8</v>
      </c>
      <c r="K5323">
        <v>1368</v>
      </c>
      <c r="L5323">
        <v>80</v>
      </c>
    </row>
    <row r="5324" spans="1:12" x14ac:dyDescent="0.2">
      <c r="A5324"/>
      <c r="B5324"/>
      <c r="C5324"/>
      <c r="D5324"/>
      <c r="E5324" s="2">
        <f>Comuni__2[[#This Row],[Popolazione2011]]/$D$7911</f>
        <v>7.3203883400383324E-6</v>
      </c>
      <c r="F5324">
        <f>SUMIFS($D$2:$D$7909, $B$2:$B$7909, "Piemonte")</f>
        <v>4363916</v>
      </c>
      <c r="G5324" s="1">
        <f>Comuni__2[[#This Row],[Popolazione2011]]/Comuni__2[[#This Row],[POPOLAZIONE TOTALE DI OGNI REGIONE (CON FILTRO)]]</f>
        <v>9.9681112102066125E-5</v>
      </c>
      <c r="H5324" t="str">
        <f>IF(Comuni__2[[#This Row],[Popolazione2011]]&gt;300000,"MAGGIORE","")</f>
        <v/>
      </c>
      <c r="J5324">
        <v>8</v>
      </c>
      <c r="K5324">
        <v>1368</v>
      </c>
      <c r="L5324">
        <v>80</v>
      </c>
    </row>
    <row r="5325" spans="1:12" x14ac:dyDescent="0.2">
      <c r="A5325"/>
      <c r="B5325"/>
      <c r="C5325"/>
      <c r="D5325"/>
      <c r="E5325" s="2">
        <f>Comuni__2[[#This Row],[Popolazione2011]]/$D$7911</f>
        <v>7.2699029032104814E-6</v>
      </c>
      <c r="F5325">
        <f>SUMIFS($D$2:$D$7909, $B$2:$B$7909, "Piemonte")</f>
        <v>4363916</v>
      </c>
      <c r="G5325" s="1">
        <f>Comuni__2[[#This Row],[Popolazione2011]]/Comuni__2[[#This Row],[POPOLAZIONE TOTALE DI OGNI REGIONE (CON FILTRO)]]</f>
        <v>9.899365615653463E-5</v>
      </c>
      <c r="H5325" t="str">
        <f>IF(Comuni__2[[#This Row],[Popolazione2011]]&gt;300000,"MAGGIORE","")</f>
        <v/>
      </c>
      <c r="J5325">
        <v>7</v>
      </c>
      <c r="K5325">
        <v>1368</v>
      </c>
      <c r="L5325">
        <v>80</v>
      </c>
    </row>
    <row r="5326" spans="1:12" x14ac:dyDescent="0.2">
      <c r="A5326"/>
      <c r="B5326"/>
      <c r="C5326"/>
      <c r="D5326"/>
      <c r="E5326" s="2">
        <f>Comuni__2[[#This Row],[Popolazione2011]]/$D$7911</f>
        <v>7.2530744242678645E-6</v>
      </c>
      <c r="F5326">
        <f>SUMIFS($D$2:$D$7909, $B$2:$B$7909, "Piemonte")</f>
        <v>4363916</v>
      </c>
      <c r="G5326" s="1">
        <f>Comuni__2[[#This Row],[Popolazione2011]]/Comuni__2[[#This Row],[POPOLAZIONE TOTALE DI OGNI REGIONE (CON FILTRO)]]</f>
        <v>9.8764504174690812E-5</v>
      </c>
      <c r="H5326" t="str">
        <f>IF(Comuni__2[[#This Row],[Popolazione2011]]&gt;300000,"MAGGIORE","")</f>
        <v/>
      </c>
      <c r="J5326">
        <v>6</v>
      </c>
      <c r="K5326">
        <v>1368</v>
      </c>
      <c r="L5326">
        <v>80</v>
      </c>
    </row>
    <row r="5327" spans="1:12" x14ac:dyDescent="0.2">
      <c r="A5327"/>
      <c r="B5327"/>
      <c r="C5327"/>
      <c r="D5327"/>
      <c r="E5327" s="2">
        <f>Comuni__2[[#This Row],[Popolazione2011]]/$D$7911</f>
        <v>7.1857605084973974E-6</v>
      </c>
      <c r="F5327">
        <f>SUMIFS($D$2:$D$7909, $B$2:$B$7909, "Piemonte")</f>
        <v>4363916</v>
      </c>
      <c r="G5327" s="1">
        <f>Comuni__2[[#This Row],[Popolazione2011]]/Comuni__2[[#This Row],[POPOLAZIONE TOTALE DI OGNI REGIONE (CON FILTRO)]]</f>
        <v>9.7847896247315485E-5</v>
      </c>
      <c r="H5327" t="str">
        <f>IF(Comuni__2[[#This Row],[Popolazione2011]]&gt;300000,"MAGGIORE","")</f>
        <v/>
      </c>
      <c r="J5327">
        <v>7</v>
      </c>
      <c r="K5327">
        <v>1368</v>
      </c>
      <c r="L5327">
        <v>80</v>
      </c>
    </row>
    <row r="5328" spans="1:12" x14ac:dyDescent="0.2">
      <c r="A5328"/>
      <c r="B5328"/>
      <c r="C5328"/>
      <c r="D5328"/>
      <c r="E5328" s="2">
        <f>Comuni__2[[#This Row],[Popolazione2011]]/$D$7911</f>
        <v>7.1521035506121635E-6</v>
      </c>
      <c r="F5328">
        <f>SUMIFS($D$2:$D$7909, $B$2:$B$7909, "Piemonte")</f>
        <v>4363916</v>
      </c>
      <c r="G5328" s="1">
        <f>Comuni__2[[#This Row],[Popolazione2011]]/Comuni__2[[#This Row],[POPOLAZIONE TOTALE DI OGNI REGIONE (CON FILTRO)]]</f>
        <v>9.7389592283627822E-5</v>
      </c>
      <c r="H5328" t="str">
        <f>IF(Comuni__2[[#This Row],[Popolazione2011]]&gt;300000,"MAGGIORE","")</f>
        <v/>
      </c>
      <c r="J5328">
        <v>7</v>
      </c>
      <c r="K5328">
        <v>1368</v>
      </c>
      <c r="L5328">
        <v>80</v>
      </c>
    </row>
    <row r="5329" spans="1:12" x14ac:dyDescent="0.2">
      <c r="A5329"/>
      <c r="B5329"/>
      <c r="C5329"/>
      <c r="D5329"/>
      <c r="E5329" s="2">
        <f>Comuni__2[[#This Row],[Popolazione2011]]/$D$7911</f>
        <v>7.1521035506121635E-6</v>
      </c>
      <c r="F5329">
        <f>SUMIFS($D$2:$D$7909, $B$2:$B$7909, "Piemonte")</f>
        <v>4363916</v>
      </c>
      <c r="G5329" s="1">
        <f>Comuni__2[[#This Row],[Popolazione2011]]/Comuni__2[[#This Row],[POPOLAZIONE TOTALE DI OGNI REGIONE (CON FILTRO)]]</f>
        <v>9.7389592283627822E-5</v>
      </c>
      <c r="H5329" t="str">
        <f>IF(Comuni__2[[#This Row],[Popolazione2011]]&gt;300000,"MAGGIORE","")</f>
        <v/>
      </c>
      <c r="J5329">
        <v>7</v>
      </c>
      <c r="K5329">
        <v>1368</v>
      </c>
      <c r="L5329">
        <v>80</v>
      </c>
    </row>
    <row r="5330" spans="1:12" x14ac:dyDescent="0.2">
      <c r="A5330"/>
      <c r="B5330"/>
      <c r="C5330"/>
      <c r="D5330"/>
      <c r="E5330" s="2">
        <f>Comuni__2[[#This Row],[Popolazione2011]]/$D$7911</f>
        <v>7.1521035506121635E-6</v>
      </c>
      <c r="F5330">
        <f>SUMIFS($D$2:$D$7909, $B$2:$B$7909, "Piemonte")</f>
        <v>4363916</v>
      </c>
      <c r="G5330" s="1">
        <f>Comuni__2[[#This Row],[Popolazione2011]]/Comuni__2[[#This Row],[POPOLAZIONE TOTALE DI OGNI REGIONE (CON FILTRO)]]</f>
        <v>9.7389592283627822E-5</v>
      </c>
      <c r="H5330" t="str">
        <f>IF(Comuni__2[[#This Row],[Popolazione2011]]&gt;300000,"MAGGIORE","")</f>
        <v/>
      </c>
      <c r="J5330">
        <v>7</v>
      </c>
      <c r="K5330">
        <v>1368</v>
      </c>
      <c r="L5330">
        <v>80</v>
      </c>
    </row>
    <row r="5331" spans="1:12" x14ac:dyDescent="0.2">
      <c r="A5331"/>
      <c r="B5331"/>
      <c r="C5331"/>
      <c r="D5331"/>
      <c r="E5331" s="2">
        <f>Comuni__2[[#This Row],[Popolazione2011]]/$D$7911</f>
        <v>7.1521035506121635E-6</v>
      </c>
      <c r="F5331">
        <f>SUMIFS($D$2:$D$7909, $B$2:$B$7909, "Piemonte")</f>
        <v>4363916</v>
      </c>
      <c r="G5331" s="1">
        <f>Comuni__2[[#This Row],[Popolazione2011]]/Comuni__2[[#This Row],[POPOLAZIONE TOTALE DI OGNI REGIONE (CON FILTRO)]]</f>
        <v>9.7389592283627822E-5</v>
      </c>
      <c r="H5331" t="str">
        <f>IF(Comuni__2[[#This Row],[Popolazione2011]]&gt;300000,"MAGGIORE","")</f>
        <v/>
      </c>
      <c r="J5331">
        <v>6</v>
      </c>
      <c r="K5331">
        <v>1369</v>
      </c>
      <c r="L5331">
        <v>80</v>
      </c>
    </row>
    <row r="5332" spans="1:12" x14ac:dyDescent="0.2">
      <c r="A5332"/>
      <c r="B5332"/>
      <c r="C5332"/>
      <c r="D5332"/>
      <c r="E5332" s="2">
        <f>Comuni__2[[#This Row],[Popolazione2011]]/$D$7911</f>
        <v>7.1016181137843134E-6</v>
      </c>
      <c r="F5332">
        <f>SUMIFS($D$2:$D$7909, $B$2:$B$7909, "Piemonte")</f>
        <v>4363916</v>
      </c>
      <c r="G5332" s="1">
        <f>Comuni__2[[#This Row],[Popolazione2011]]/Comuni__2[[#This Row],[POPOLAZIONE TOTALE DI OGNI REGIONE (CON FILTRO)]]</f>
        <v>9.6702136338096327E-5</v>
      </c>
      <c r="H5332" t="str">
        <f>IF(Comuni__2[[#This Row],[Popolazione2011]]&gt;300000,"MAGGIORE","")</f>
        <v/>
      </c>
      <c r="J5332">
        <v>8</v>
      </c>
      <c r="K5332">
        <v>1373</v>
      </c>
      <c r="L5332">
        <v>80</v>
      </c>
    </row>
    <row r="5333" spans="1:12" x14ac:dyDescent="0.2">
      <c r="A5333"/>
      <c r="B5333"/>
      <c r="C5333"/>
      <c r="D5333"/>
      <c r="E5333" s="2">
        <f>Comuni__2[[#This Row],[Popolazione2011]]/$D$7911</f>
        <v>7.0679611558990795E-6</v>
      </c>
      <c r="F5333">
        <f>SUMIFS($D$2:$D$7909, $B$2:$B$7909, "Piemonte")</f>
        <v>4363916</v>
      </c>
      <c r="G5333" s="1">
        <f>Comuni__2[[#This Row],[Popolazione2011]]/Comuni__2[[#This Row],[POPOLAZIONE TOTALE DI OGNI REGIONE (CON FILTRO)]]</f>
        <v>9.6243832374408677E-5</v>
      </c>
      <c r="H5333" t="str">
        <f>IF(Comuni__2[[#This Row],[Popolazione2011]]&gt;300000,"MAGGIORE","")</f>
        <v/>
      </c>
      <c r="J5333">
        <v>8</v>
      </c>
      <c r="K5333">
        <v>1375</v>
      </c>
      <c r="L5333">
        <v>80</v>
      </c>
    </row>
    <row r="5334" spans="1:12" x14ac:dyDescent="0.2">
      <c r="A5334"/>
      <c r="B5334"/>
      <c r="C5334"/>
      <c r="D5334"/>
      <c r="E5334" s="2">
        <f>Comuni__2[[#This Row],[Popolazione2011]]/$D$7911</f>
        <v>7.0679611558990795E-6</v>
      </c>
      <c r="F5334">
        <f>SUMIFS($D$2:$D$7909, $B$2:$B$7909, "Piemonte")</f>
        <v>4363916</v>
      </c>
      <c r="G5334" s="1">
        <f>Comuni__2[[#This Row],[Popolazione2011]]/Comuni__2[[#This Row],[POPOLAZIONE TOTALE DI OGNI REGIONE (CON FILTRO)]]</f>
        <v>9.6243832374408677E-5</v>
      </c>
      <c r="H5334" t="str">
        <f>IF(Comuni__2[[#This Row],[Popolazione2011]]&gt;300000,"MAGGIORE","")</f>
        <v/>
      </c>
      <c r="J5334">
        <v>8</v>
      </c>
      <c r="K5334">
        <v>1376</v>
      </c>
      <c r="L5334">
        <v>80</v>
      </c>
    </row>
    <row r="5335" spans="1:12" x14ac:dyDescent="0.2">
      <c r="A5335"/>
      <c r="B5335"/>
      <c r="C5335"/>
      <c r="D5335"/>
      <c r="E5335" s="2">
        <f>Comuni__2[[#This Row],[Popolazione2011]]/$D$7911</f>
        <v>7.0511326769564625E-6</v>
      </c>
      <c r="F5335">
        <f>SUMIFS($D$2:$D$7909, $B$2:$B$7909, "Piemonte")</f>
        <v>4363916</v>
      </c>
      <c r="G5335" s="1">
        <f>Comuni__2[[#This Row],[Popolazione2011]]/Comuni__2[[#This Row],[POPOLAZIONE TOTALE DI OGNI REGIONE (CON FILTRO)]]</f>
        <v>9.6014680392564846E-5</v>
      </c>
      <c r="H5335" t="str">
        <f>IF(Comuni__2[[#This Row],[Popolazione2011]]&gt;300000,"MAGGIORE","")</f>
        <v/>
      </c>
      <c r="J5335">
        <v>8</v>
      </c>
      <c r="K5335">
        <v>1376</v>
      </c>
      <c r="L5335">
        <v>80</v>
      </c>
    </row>
    <row r="5336" spans="1:12" x14ac:dyDescent="0.2">
      <c r="A5336"/>
      <c r="B5336"/>
      <c r="C5336"/>
      <c r="D5336"/>
      <c r="E5336" s="2">
        <f>Comuni__2[[#This Row],[Popolazione2011]]/$D$7911</f>
        <v>7.0174757190712285E-6</v>
      </c>
      <c r="F5336">
        <f>SUMIFS($D$2:$D$7909, $B$2:$B$7909, "Piemonte")</f>
        <v>4363916</v>
      </c>
      <c r="G5336" s="1">
        <f>Comuni__2[[#This Row],[Popolazione2011]]/Comuni__2[[#This Row],[POPOLAZIONE TOTALE DI OGNI REGIONE (CON FILTRO)]]</f>
        <v>9.5556376428877182E-5</v>
      </c>
      <c r="H5336" t="str">
        <f>IF(Comuni__2[[#This Row],[Popolazione2011]]&gt;300000,"MAGGIORE","")</f>
        <v/>
      </c>
      <c r="J5336">
        <v>8</v>
      </c>
      <c r="K5336">
        <v>1376</v>
      </c>
      <c r="L5336">
        <v>80</v>
      </c>
    </row>
    <row r="5337" spans="1:12" x14ac:dyDescent="0.2">
      <c r="A5337"/>
      <c r="B5337"/>
      <c r="C5337"/>
      <c r="D5337"/>
      <c r="E5337" s="2">
        <f>Comuni__2[[#This Row],[Popolazione2011]]/$D$7911</f>
        <v>6.9669902822433785E-6</v>
      </c>
      <c r="F5337">
        <f>SUMIFS($D$2:$D$7909, $B$2:$B$7909, "Piemonte")</f>
        <v>4363916</v>
      </c>
      <c r="G5337" s="1">
        <f>Comuni__2[[#This Row],[Popolazione2011]]/Comuni__2[[#This Row],[POPOLAZIONE TOTALE DI OGNI REGIONE (CON FILTRO)]]</f>
        <v>9.4868920483345687E-5</v>
      </c>
      <c r="H5337" t="str">
        <f>IF(Comuni__2[[#This Row],[Popolazione2011]]&gt;300000,"MAGGIORE","")</f>
        <v/>
      </c>
      <c r="J5337">
        <v>9</v>
      </c>
      <c r="K5337">
        <v>1379</v>
      </c>
      <c r="L5337">
        <v>80</v>
      </c>
    </row>
    <row r="5338" spans="1:12" x14ac:dyDescent="0.2">
      <c r="A5338"/>
      <c r="B5338"/>
      <c r="C5338"/>
      <c r="D5338"/>
      <c r="E5338" s="2">
        <f>Comuni__2[[#This Row],[Popolazione2011]]/$D$7911</f>
        <v>6.9669902822433785E-6</v>
      </c>
      <c r="F5338">
        <f>SUMIFS($D$2:$D$7909, $B$2:$B$7909, "Piemonte")</f>
        <v>4363916</v>
      </c>
      <c r="G5338" s="1">
        <f>Comuni__2[[#This Row],[Popolazione2011]]/Comuni__2[[#This Row],[POPOLAZIONE TOTALE DI OGNI REGIONE (CON FILTRO)]]</f>
        <v>9.4868920483345687E-5</v>
      </c>
      <c r="H5338" t="str">
        <f>IF(Comuni__2[[#This Row],[Popolazione2011]]&gt;300000,"MAGGIORE","")</f>
        <v/>
      </c>
      <c r="J5338">
        <v>9</v>
      </c>
      <c r="K5338">
        <v>1380</v>
      </c>
      <c r="L5338">
        <v>80</v>
      </c>
    </row>
    <row r="5339" spans="1:12" x14ac:dyDescent="0.2">
      <c r="A5339"/>
      <c r="B5339"/>
      <c r="C5339"/>
      <c r="D5339"/>
      <c r="E5339" s="2">
        <f>Comuni__2[[#This Row],[Popolazione2011]]/$D$7911</f>
        <v>6.9165048454155276E-6</v>
      </c>
      <c r="F5339">
        <f>SUMIFS($D$2:$D$7909, $B$2:$B$7909, "Piemonte")</f>
        <v>4363916</v>
      </c>
      <c r="G5339" s="1">
        <f>Comuni__2[[#This Row],[Popolazione2011]]/Comuni__2[[#This Row],[POPOLAZIONE TOTALE DI OGNI REGIONE (CON FILTRO)]]</f>
        <v>9.4181464537814206E-5</v>
      </c>
      <c r="H5339" t="str">
        <f>IF(Comuni__2[[#This Row],[Popolazione2011]]&gt;300000,"MAGGIORE","")</f>
        <v/>
      </c>
      <c r="J5339">
        <v>10</v>
      </c>
      <c r="K5339">
        <v>1382</v>
      </c>
      <c r="L5339">
        <v>80</v>
      </c>
    </row>
    <row r="5340" spans="1:12" x14ac:dyDescent="0.2">
      <c r="A5340"/>
      <c r="B5340"/>
      <c r="C5340"/>
      <c r="D5340"/>
      <c r="E5340" s="2">
        <f>Comuni__2[[#This Row],[Popolazione2011]]/$D$7911</f>
        <v>6.8996763664729106E-6</v>
      </c>
      <c r="F5340">
        <f>SUMIFS($D$2:$D$7909, $B$2:$B$7909, "Piemonte")</f>
        <v>4363916</v>
      </c>
      <c r="G5340" s="1">
        <f>Comuni__2[[#This Row],[Popolazione2011]]/Comuni__2[[#This Row],[POPOLAZIONE TOTALE DI OGNI REGIONE (CON FILTRO)]]</f>
        <v>9.3952312555970374E-5</v>
      </c>
      <c r="H5340" t="str">
        <f>IF(Comuni__2[[#This Row],[Popolazione2011]]&gt;300000,"MAGGIORE","")</f>
        <v/>
      </c>
      <c r="J5340">
        <v>10</v>
      </c>
      <c r="K5340">
        <v>1384</v>
      </c>
      <c r="L5340">
        <v>80</v>
      </c>
    </row>
    <row r="5341" spans="1:12" x14ac:dyDescent="0.2">
      <c r="A5341"/>
      <c r="B5341"/>
      <c r="C5341"/>
      <c r="D5341"/>
      <c r="E5341" s="2">
        <f>Comuni__2[[#This Row],[Popolazione2011]]/$D$7911</f>
        <v>6.8996763664729106E-6</v>
      </c>
      <c r="F5341">
        <f>SUMIFS($D$2:$D$7909, $B$2:$B$7909, "Piemonte")</f>
        <v>4363916</v>
      </c>
      <c r="G5341" s="1">
        <f>Comuni__2[[#This Row],[Popolazione2011]]/Comuni__2[[#This Row],[POPOLAZIONE TOTALE DI OGNI REGIONE (CON FILTRO)]]</f>
        <v>9.3952312555970374E-5</v>
      </c>
      <c r="H5341" t="str">
        <f>IF(Comuni__2[[#This Row],[Popolazione2011]]&gt;300000,"MAGGIORE","")</f>
        <v/>
      </c>
      <c r="J5341">
        <v>10</v>
      </c>
      <c r="K5341">
        <v>1385</v>
      </c>
      <c r="L5341">
        <v>80</v>
      </c>
    </row>
    <row r="5342" spans="1:12" x14ac:dyDescent="0.2">
      <c r="A5342"/>
      <c r="B5342"/>
      <c r="C5342"/>
      <c r="D5342"/>
      <c r="E5342" s="2">
        <f>Comuni__2[[#This Row],[Popolazione2011]]/$D$7911</f>
        <v>6.8660194085876775E-6</v>
      </c>
      <c r="F5342">
        <f>SUMIFS($D$2:$D$7909, $B$2:$B$7909, "Piemonte")</f>
        <v>4363916</v>
      </c>
      <c r="G5342" s="1">
        <f>Comuni__2[[#This Row],[Popolazione2011]]/Comuni__2[[#This Row],[POPOLAZIONE TOTALE DI OGNI REGIONE (CON FILTRO)]]</f>
        <v>9.3494008592282711E-5</v>
      </c>
      <c r="H5342" t="str">
        <f>IF(Comuni__2[[#This Row],[Popolazione2011]]&gt;300000,"MAGGIORE","")</f>
        <v/>
      </c>
      <c r="J5342">
        <v>11</v>
      </c>
      <c r="K5342">
        <v>1385</v>
      </c>
      <c r="L5342">
        <v>80</v>
      </c>
    </row>
    <row r="5343" spans="1:12" x14ac:dyDescent="0.2">
      <c r="A5343"/>
      <c r="B5343"/>
      <c r="C5343"/>
      <c r="D5343"/>
      <c r="E5343" s="2">
        <f>Comuni__2[[#This Row],[Popolazione2011]]/$D$7911</f>
        <v>6.8660194085876775E-6</v>
      </c>
      <c r="F5343">
        <f>SUMIFS($D$2:$D$7909, $B$2:$B$7909, "Piemonte")</f>
        <v>4363916</v>
      </c>
      <c r="G5343" s="1">
        <f>Comuni__2[[#This Row],[Popolazione2011]]/Comuni__2[[#This Row],[POPOLAZIONE TOTALE DI OGNI REGIONE (CON FILTRO)]]</f>
        <v>9.3494008592282711E-5</v>
      </c>
      <c r="H5343" t="str">
        <f>IF(Comuni__2[[#This Row],[Popolazione2011]]&gt;300000,"MAGGIORE","")</f>
        <v/>
      </c>
      <c r="J5343">
        <v>11</v>
      </c>
      <c r="K5343">
        <v>1384</v>
      </c>
      <c r="L5343">
        <v>80</v>
      </c>
    </row>
    <row r="5344" spans="1:12" x14ac:dyDescent="0.2">
      <c r="A5344"/>
      <c r="B5344"/>
      <c r="C5344"/>
      <c r="D5344"/>
      <c r="E5344" s="2">
        <f>Comuni__2[[#This Row],[Popolazione2011]]/$D$7911</f>
        <v>6.8660194085876775E-6</v>
      </c>
      <c r="F5344">
        <f>SUMIFS($D$2:$D$7909, $B$2:$B$7909, "Piemonte")</f>
        <v>4363916</v>
      </c>
      <c r="G5344" s="1">
        <f>Comuni__2[[#This Row],[Popolazione2011]]/Comuni__2[[#This Row],[POPOLAZIONE TOTALE DI OGNI REGIONE (CON FILTRO)]]</f>
        <v>9.3494008592282711E-5</v>
      </c>
      <c r="H5344" t="str">
        <f>IF(Comuni__2[[#This Row],[Popolazione2011]]&gt;300000,"MAGGIORE","")</f>
        <v/>
      </c>
      <c r="J5344">
        <v>10</v>
      </c>
      <c r="K5344">
        <v>1386</v>
      </c>
      <c r="L5344">
        <v>80</v>
      </c>
    </row>
    <row r="5345" spans="1:12" x14ac:dyDescent="0.2">
      <c r="A5345"/>
      <c r="B5345"/>
      <c r="C5345"/>
      <c r="D5345"/>
      <c r="E5345" s="2">
        <f>Comuni__2[[#This Row],[Popolazione2011]]/$D$7911</f>
        <v>6.8491909296450605E-6</v>
      </c>
      <c r="F5345">
        <f>SUMIFS($D$2:$D$7909, $B$2:$B$7909, "Piemonte")</f>
        <v>4363916</v>
      </c>
      <c r="G5345" s="1">
        <f>Comuni__2[[#This Row],[Popolazione2011]]/Comuni__2[[#This Row],[POPOLAZIONE TOTALE DI OGNI REGIONE (CON FILTRO)]]</f>
        <v>9.3264856610438879E-5</v>
      </c>
      <c r="H5345" t="str">
        <f>IF(Comuni__2[[#This Row],[Popolazione2011]]&gt;300000,"MAGGIORE","")</f>
        <v/>
      </c>
      <c r="J5345">
        <v>11</v>
      </c>
      <c r="K5345">
        <v>1388</v>
      </c>
      <c r="L5345">
        <v>80</v>
      </c>
    </row>
    <row r="5346" spans="1:12" x14ac:dyDescent="0.2">
      <c r="A5346"/>
      <c r="B5346"/>
      <c r="C5346"/>
      <c r="D5346"/>
      <c r="E5346" s="2">
        <f>Comuni__2[[#This Row],[Popolazione2011]]/$D$7911</f>
        <v>6.8323624507024435E-6</v>
      </c>
      <c r="F5346">
        <f>SUMIFS($D$2:$D$7909, $B$2:$B$7909, "Piemonte")</f>
        <v>4363916</v>
      </c>
      <c r="G5346" s="1">
        <f>Comuni__2[[#This Row],[Popolazione2011]]/Comuni__2[[#This Row],[POPOLAZIONE TOTALE DI OGNI REGIONE (CON FILTRO)]]</f>
        <v>9.3035704628595048E-5</v>
      </c>
      <c r="H5346" t="str">
        <f>IF(Comuni__2[[#This Row],[Popolazione2011]]&gt;300000,"MAGGIORE","")</f>
        <v/>
      </c>
      <c r="J5346">
        <v>11</v>
      </c>
      <c r="K5346">
        <v>1388</v>
      </c>
      <c r="L5346">
        <v>80</v>
      </c>
    </row>
    <row r="5347" spans="1:12" x14ac:dyDescent="0.2">
      <c r="A5347"/>
      <c r="B5347"/>
      <c r="C5347"/>
      <c r="D5347"/>
      <c r="E5347" s="2">
        <f>Comuni__2[[#This Row],[Popolazione2011]]/$D$7911</f>
        <v>6.8155339717598266E-6</v>
      </c>
      <c r="F5347">
        <f>SUMIFS($D$2:$D$7909, $B$2:$B$7909, "Piemonte")</f>
        <v>4363916</v>
      </c>
      <c r="G5347" s="1">
        <f>Comuni__2[[#This Row],[Popolazione2011]]/Comuni__2[[#This Row],[POPOLAZIONE TOTALE DI OGNI REGIONE (CON FILTRO)]]</f>
        <v>9.2806552646751216E-5</v>
      </c>
      <c r="H5347" t="str">
        <f>IF(Comuni__2[[#This Row],[Popolazione2011]]&gt;300000,"MAGGIORE","")</f>
        <v/>
      </c>
      <c r="J5347">
        <v>11</v>
      </c>
      <c r="K5347">
        <v>1398</v>
      </c>
      <c r="L5347">
        <v>80</v>
      </c>
    </row>
    <row r="5348" spans="1:12" x14ac:dyDescent="0.2">
      <c r="A5348"/>
      <c r="B5348"/>
      <c r="C5348"/>
      <c r="D5348"/>
      <c r="E5348" s="2">
        <f>Comuni__2[[#This Row],[Popolazione2011]]/$D$7911</f>
        <v>6.7650485349319756E-6</v>
      </c>
      <c r="F5348">
        <f>SUMIFS($D$2:$D$7909, $B$2:$B$7909, "Piemonte")</f>
        <v>4363916</v>
      </c>
      <c r="G5348" s="1">
        <f>Comuni__2[[#This Row],[Popolazione2011]]/Comuni__2[[#This Row],[POPOLAZIONE TOTALE DI OGNI REGIONE (CON FILTRO)]]</f>
        <v>9.2119096701219735E-5</v>
      </c>
      <c r="H5348" t="str">
        <f>IF(Comuni__2[[#This Row],[Popolazione2011]]&gt;300000,"MAGGIORE","")</f>
        <v/>
      </c>
      <c r="J5348">
        <v>13</v>
      </c>
      <c r="K5348">
        <v>1398</v>
      </c>
      <c r="L5348">
        <v>80</v>
      </c>
    </row>
    <row r="5349" spans="1:12" x14ac:dyDescent="0.2">
      <c r="A5349"/>
      <c r="B5349"/>
      <c r="C5349"/>
      <c r="D5349"/>
      <c r="E5349" s="2">
        <f>Comuni__2[[#This Row],[Popolazione2011]]/$D$7911</f>
        <v>6.7482200559893595E-6</v>
      </c>
      <c r="F5349">
        <f>SUMIFS($D$2:$D$7909, $B$2:$B$7909, "Piemonte")</f>
        <v>4363916</v>
      </c>
      <c r="G5349" s="1">
        <f>Comuni__2[[#This Row],[Popolazione2011]]/Comuni__2[[#This Row],[POPOLAZIONE TOTALE DI OGNI REGIONE (CON FILTRO)]]</f>
        <v>9.1889944719375903E-5</v>
      </c>
      <c r="H5349" t="str">
        <f>IF(Comuni__2[[#This Row],[Popolazione2011]]&gt;300000,"MAGGIORE","")</f>
        <v/>
      </c>
      <c r="J5349">
        <v>12</v>
      </c>
      <c r="K5349">
        <v>1399</v>
      </c>
      <c r="L5349">
        <v>80</v>
      </c>
    </row>
    <row r="5350" spans="1:12" x14ac:dyDescent="0.2">
      <c r="A5350"/>
      <c r="B5350"/>
      <c r="C5350"/>
      <c r="D5350"/>
      <c r="E5350" s="2">
        <f>Comuni__2[[#This Row],[Popolazione2011]]/$D$7911</f>
        <v>6.7482200559893595E-6</v>
      </c>
      <c r="F5350">
        <f>SUMIFS($D$2:$D$7909, $B$2:$B$7909, "Piemonte")</f>
        <v>4363916</v>
      </c>
      <c r="G5350" s="1">
        <f>Comuni__2[[#This Row],[Popolazione2011]]/Comuni__2[[#This Row],[POPOLAZIONE TOTALE DI OGNI REGIONE (CON FILTRO)]]</f>
        <v>9.1889944719375903E-5</v>
      </c>
      <c r="H5350" t="str">
        <f>IF(Comuni__2[[#This Row],[Popolazione2011]]&gt;300000,"MAGGIORE","")</f>
        <v/>
      </c>
      <c r="J5350">
        <v>13</v>
      </c>
      <c r="K5350">
        <v>1400</v>
      </c>
      <c r="L5350">
        <v>80</v>
      </c>
    </row>
    <row r="5351" spans="1:12" x14ac:dyDescent="0.2">
      <c r="A5351"/>
      <c r="B5351"/>
      <c r="C5351"/>
      <c r="D5351"/>
      <c r="E5351" s="2">
        <f>Comuni__2[[#This Row],[Popolazione2011]]/$D$7911</f>
        <v>6.7313915770467425E-6</v>
      </c>
      <c r="F5351">
        <f>SUMIFS($D$2:$D$7909, $B$2:$B$7909, "Piemonte")</f>
        <v>4363916</v>
      </c>
      <c r="G5351" s="1">
        <f>Comuni__2[[#This Row],[Popolazione2011]]/Comuni__2[[#This Row],[POPOLAZIONE TOTALE DI OGNI REGIONE (CON FILTRO)]]</f>
        <v>9.1660792737532072E-5</v>
      </c>
      <c r="H5351" t="str">
        <f>IF(Comuni__2[[#This Row],[Popolazione2011]]&gt;300000,"MAGGIORE","")</f>
        <v/>
      </c>
      <c r="J5351">
        <v>13</v>
      </c>
      <c r="K5351">
        <v>1404</v>
      </c>
      <c r="L5351">
        <v>80</v>
      </c>
    </row>
    <row r="5352" spans="1:12" x14ac:dyDescent="0.2">
      <c r="A5352"/>
      <c r="B5352"/>
      <c r="C5352"/>
      <c r="D5352"/>
      <c r="E5352" s="2">
        <f>Comuni__2[[#This Row],[Popolazione2011]]/$D$7911</f>
        <v>6.6640776612762747E-6</v>
      </c>
      <c r="F5352">
        <f>SUMIFS($D$2:$D$7909, $B$2:$B$7909, "Piemonte")</f>
        <v>4363916</v>
      </c>
      <c r="G5352" s="1">
        <f>Comuni__2[[#This Row],[Popolazione2011]]/Comuni__2[[#This Row],[POPOLAZIONE TOTALE DI OGNI REGIONE (CON FILTRO)]]</f>
        <v>9.0744184810156745E-5</v>
      </c>
      <c r="H5352" t="str">
        <f>IF(Comuni__2[[#This Row],[Popolazione2011]]&gt;300000,"MAGGIORE","")</f>
        <v/>
      </c>
      <c r="J5352">
        <v>12</v>
      </c>
      <c r="K5352">
        <v>1407</v>
      </c>
      <c r="L5352">
        <v>80</v>
      </c>
    </row>
    <row r="5353" spans="1:12" x14ac:dyDescent="0.2">
      <c r="A5353"/>
      <c r="B5353"/>
      <c r="C5353"/>
      <c r="D5353"/>
      <c r="E5353" s="2">
        <f>Comuni__2[[#This Row],[Popolazione2011]]/$D$7911</f>
        <v>6.6640776612762747E-6</v>
      </c>
      <c r="F5353">
        <f>SUMIFS($D$2:$D$7909, $B$2:$B$7909, "Piemonte")</f>
        <v>4363916</v>
      </c>
      <c r="G5353" s="1">
        <f>Comuni__2[[#This Row],[Popolazione2011]]/Comuni__2[[#This Row],[POPOLAZIONE TOTALE DI OGNI REGIONE (CON FILTRO)]]</f>
        <v>9.0744184810156745E-5</v>
      </c>
      <c r="H5353" t="str">
        <f>IF(Comuni__2[[#This Row],[Popolazione2011]]&gt;300000,"MAGGIORE","")</f>
        <v/>
      </c>
      <c r="J5353">
        <v>13</v>
      </c>
      <c r="K5353">
        <v>1417</v>
      </c>
      <c r="L5353">
        <v>80</v>
      </c>
    </row>
    <row r="5354" spans="1:12" x14ac:dyDescent="0.2">
      <c r="A5354"/>
      <c r="B5354"/>
      <c r="C5354"/>
      <c r="D5354"/>
      <c r="E5354" s="2">
        <f>Comuni__2[[#This Row],[Popolazione2011]]/$D$7911</f>
        <v>6.6135922244484246E-6</v>
      </c>
      <c r="F5354">
        <f>SUMIFS($D$2:$D$7909, $B$2:$B$7909, "Piemonte")</f>
        <v>4363916</v>
      </c>
      <c r="G5354" s="1">
        <f>Comuni__2[[#This Row],[Popolazione2011]]/Comuni__2[[#This Row],[POPOLAZIONE TOTALE DI OGNI REGIONE (CON FILTRO)]]</f>
        <v>9.0056728864625264E-5</v>
      </c>
      <c r="H5354" t="str">
        <f>IF(Comuni__2[[#This Row],[Popolazione2011]]&gt;300000,"MAGGIORE","")</f>
        <v/>
      </c>
      <c r="J5354">
        <v>12</v>
      </c>
      <c r="K5354">
        <v>1432</v>
      </c>
      <c r="L5354">
        <v>80</v>
      </c>
    </row>
    <row r="5355" spans="1:12" x14ac:dyDescent="0.2">
      <c r="A5355"/>
      <c r="B5355"/>
      <c r="C5355"/>
      <c r="D5355"/>
      <c r="E5355" s="2">
        <f>Comuni__2[[#This Row],[Popolazione2011]]/$D$7911</f>
        <v>6.5967637455058076E-6</v>
      </c>
      <c r="F5355">
        <f>SUMIFS($D$2:$D$7909, $B$2:$B$7909, "Piemonte")</f>
        <v>4363916</v>
      </c>
      <c r="G5355" s="1">
        <f>Comuni__2[[#This Row],[Popolazione2011]]/Comuni__2[[#This Row],[POPOLAZIONE TOTALE DI OGNI REGIONE (CON FILTRO)]]</f>
        <v>8.9827576882781432E-5</v>
      </c>
      <c r="H5355" t="str">
        <f>IF(Comuni__2[[#This Row],[Popolazione2011]]&gt;300000,"MAGGIORE","")</f>
        <v/>
      </c>
      <c r="J5355">
        <v>12</v>
      </c>
      <c r="K5355">
        <v>1435</v>
      </c>
      <c r="L5355">
        <v>80</v>
      </c>
    </row>
    <row r="5356" spans="1:12" x14ac:dyDescent="0.2">
      <c r="A5356"/>
      <c r="B5356"/>
      <c r="C5356"/>
      <c r="D5356"/>
      <c r="E5356" s="2">
        <f>Comuni__2[[#This Row],[Popolazione2011]]/$D$7911</f>
        <v>6.5799352665631906E-6</v>
      </c>
      <c r="F5356">
        <f>SUMIFS($D$2:$D$7909, $B$2:$B$7909, "Piemonte")</f>
        <v>4363916</v>
      </c>
      <c r="G5356" s="1">
        <f>Comuni__2[[#This Row],[Popolazione2011]]/Comuni__2[[#This Row],[POPOLAZIONE TOTALE DI OGNI REGIONE (CON FILTRO)]]</f>
        <v>8.95984249009376E-5</v>
      </c>
      <c r="H5356" t="str">
        <f>IF(Comuni__2[[#This Row],[Popolazione2011]]&gt;300000,"MAGGIORE","")</f>
        <v/>
      </c>
      <c r="J5356">
        <v>11</v>
      </c>
      <c r="K5356">
        <v>1442</v>
      </c>
      <c r="L5356">
        <v>80</v>
      </c>
    </row>
    <row r="5357" spans="1:12" x14ac:dyDescent="0.2">
      <c r="A5357"/>
      <c r="B5357"/>
      <c r="C5357"/>
      <c r="D5357"/>
      <c r="E5357" s="2">
        <f>Comuni__2[[#This Row],[Popolazione2011]]/$D$7911</f>
        <v>6.5631067876205737E-6</v>
      </c>
      <c r="F5357">
        <f>SUMIFS($D$2:$D$7909, $B$2:$B$7909, "Piemonte")</f>
        <v>4363916</v>
      </c>
      <c r="G5357" s="1">
        <f>Comuni__2[[#This Row],[Popolazione2011]]/Comuni__2[[#This Row],[POPOLAZIONE TOTALE DI OGNI REGIONE (CON FILTRO)]]</f>
        <v>8.9369272919093769E-5</v>
      </c>
      <c r="H5357" t="str">
        <f>IF(Comuni__2[[#This Row],[Popolazione2011]]&gt;300000,"MAGGIORE","")</f>
        <v/>
      </c>
      <c r="J5357">
        <v>12</v>
      </c>
      <c r="K5357">
        <v>1445</v>
      </c>
      <c r="L5357">
        <v>80</v>
      </c>
    </row>
    <row r="5358" spans="1:12" x14ac:dyDescent="0.2">
      <c r="A5358"/>
      <c r="B5358"/>
      <c r="C5358"/>
      <c r="D5358"/>
      <c r="E5358" s="2">
        <f>Comuni__2[[#This Row],[Popolazione2011]]/$D$7911</f>
        <v>6.5462783086779567E-6</v>
      </c>
      <c r="F5358">
        <f>SUMIFS($D$2:$D$7909, $B$2:$B$7909, "Piemonte")</f>
        <v>4363916</v>
      </c>
      <c r="G5358" s="1">
        <f>Comuni__2[[#This Row],[Popolazione2011]]/Comuni__2[[#This Row],[POPOLAZIONE TOTALE DI OGNI REGIONE (CON FILTRO)]]</f>
        <v>8.9140120937249937E-5</v>
      </c>
      <c r="H5358" t="str">
        <f>IF(Comuni__2[[#This Row],[Popolazione2011]]&gt;300000,"MAGGIORE","")</f>
        <v/>
      </c>
      <c r="J5358">
        <v>11</v>
      </c>
      <c r="K5358">
        <v>1445</v>
      </c>
      <c r="L5358">
        <v>80</v>
      </c>
    </row>
    <row r="5359" spans="1:12" x14ac:dyDescent="0.2">
      <c r="A5359"/>
      <c r="B5359"/>
      <c r="C5359"/>
      <c r="D5359"/>
      <c r="E5359" s="2">
        <f>Comuni__2[[#This Row],[Popolazione2011]]/$D$7911</f>
        <v>6.4284789560796387E-6</v>
      </c>
      <c r="F5359">
        <f>SUMIFS($D$2:$D$7909, $B$2:$B$7909, "Piemonte")</f>
        <v>4363916</v>
      </c>
      <c r="G5359" s="1">
        <f>Comuni__2[[#This Row],[Popolazione2011]]/Comuni__2[[#This Row],[POPOLAZIONE TOTALE DI OGNI REGIONE (CON FILTRO)]]</f>
        <v>8.7536057064343129E-5</v>
      </c>
      <c r="H5359" t="str">
        <f>IF(Comuni__2[[#This Row],[Popolazione2011]]&gt;300000,"MAGGIORE","")</f>
        <v/>
      </c>
      <c r="J5359">
        <v>10</v>
      </c>
      <c r="K5359">
        <v>1452</v>
      </c>
      <c r="L5359">
        <v>80</v>
      </c>
    </row>
    <row r="5360" spans="1:12" x14ac:dyDescent="0.2">
      <c r="A5360"/>
      <c r="B5360"/>
      <c r="C5360"/>
      <c r="D5360"/>
      <c r="E5360" s="2">
        <f>Comuni__2[[#This Row],[Popolazione2011]]/$D$7911</f>
        <v>6.4116504771370218E-6</v>
      </c>
      <c r="F5360">
        <f>SUMIFS($D$2:$D$7909, $B$2:$B$7909, "Piemonte")</f>
        <v>4363916</v>
      </c>
      <c r="G5360" s="1">
        <f>Comuni__2[[#This Row],[Popolazione2011]]/Comuni__2[[#This Row],[POPOLAZIONE TOTALE DI OGNI REGIONE (CON FILTRO)]]</f>
        <v>8.7306905082499298E-5</v>
      </c>
      <c r="H5360" t="str">
        <f>IF(Comuni__2[[#This Row],[Popolazione2011]]&gt;300000,"MAGGIORE","")</f>
        <v/>
      </c>
      <c r="J5360">
        <v>12</v>
      </c>
      <c r="K5360">
        <v>1457</v>
      </c>
      <c r="L5360">
        <v>80</v>
      </c>
    </row>
    <row r="5361" spans="1:12" x14ac:dyDescent="0.2">
      <c r="A5361"/>
      <c r="B5361"/>
      <c r="C5361"/>
      <c r="D5361"/>
      <c r="E5361" s="2">
        <f>Comuni__2[[#This Row],[Popolazione2011]]/$D$7911</f>
        <v>6.3948219981944048E-6</v>
      </c>
      <c r="F5361">
        <f>SUMIFS($D$2:$D$7909, $B$2:$B$7909, "Piemonte")</f>
        <v>4363916</v>
      </c>
      <c r="G5361" s="1">
        <f>Comuni__2[[#This Row],[Popolazione2011]]/Comuni__2[[#This Row],[POPOLAZIONE TOTALE DI OGNI REGIONE (CON FILTRO)]]</f>
        <v>8.7077753100655466E-5</v>
      </c>
      <c r="H5361" t="str">
        <f>IF(Comuni__2[[#This Row],[Popolazione2011]]&gt;300000,"MAGGIORE","")</f>
        <v/>
      </c>
      <c r="J5361">
        <v>14</v>
      </c>
      <c r="K5361">
        <v>1467</v>
      </c>
      <c r="L5361">
        <v>80</v>
      </c>
    </row>
    <row r="5362" spans="1:12" x14ac:dyDescent="0.2">
      <c r="A5362"/>
      <c r="B5362"/>
      <c r="C5362"/>
      <c r="D5362"/>
      <c r="E5362" s="2">
        <f>Comuni__2[[#This Row],[Popolazione2011]]/$D$7911</f>
        <v>6.3948219981944048E-6</v>
      </c>
      <c r="F5362">
        <f>SUMIFS($D$2:$D$7909, $B$2:$B$7909, "Piemonte")</f>
        <v>4363916</v>
      </c>
      <c r="G5362" s="1">
        <f>Comuni__2[[#This Row],[Popolazione2011]]/Comuni__2[[#This Row],[POPOLAZIONE TOTALE DI OGNI REGIONE (CON FILTRO)]]</f>
        <v>8.7077753100655466E-5</v>
      </c>
      <c r="H5362" t="str">
        <f>IF(Comuni__2[[#This Row],[Popolazione2011]]&gt;300000,"MAGGIORE","")</f>
        <v/>
      </c>
      <c r="J5362">
        <v>15</v>
      </c>
      <c r="K5362">
        <v>1472</v>
      </c>
      <c r="L5362">
        <v>81</v>
      </c>
    </row>
    <row r="5363" spans="1:12" x14ac:dyDescent="0.2">
      <c r="A5363"/>
      <c r="B5363"/>
      <c r="C5363"/>
      <c r="D5363"/>
      <c r="E5363" s="2">
        <f>Comuni__2[[#This Row],[Popolazione2011]]/$D$7911</f>
        <v>6.3611650403091717E-6</v>
      </c>
      <c r="F5363">
        <f>SUMIFS($D$2:$D$7909, $B$2:$B$7909, "Piemonte")</f>
        <v>4363916</v>
      </c>
      <c r="G5363" s="1">
        <f>Comuni__2[[#This Row],[Popolazione2011]]/Comuni__2[[#This Row],[POPOLAZIONE TOTALE DI OGNI REGIONE (CON FILTRO)]]</f>
        <v>8.6619449136967803E-5</v>
      </c>
      <c r="H5363" t="str">
        <f>IF(Comuni__2[[#This Row],[Popolazione2011]]&gt;300000,"MAGGIORE","")</f>
        <v/>
      </c>
      <c r="J5363">
        <v>15</v>
      </c>
      <c r="K5363">
        <v>1478</v>
      </c>
      <c r="L5363">
        <v>81</v>
      </c>
    </row>
    <row r="5364" spans="1:12" x14ac:dyDescent="0.2">
      <c r="A5364"/>
      <c r="B5364"/>
      <c r="C5364"/>
      <c r="D5364"/>
      <c r="E5364" s="2">
        <f>Comuni__2[[#This Row],[Popolazione2011]]/$D$7911</f>
        <v>6.3443365613665547E-6</v>
      </c>
      <c r="F5364">
        <f>SUMIFS($D$2:$D$7909, $B$2:$B$7909, "Piemonte")</f>
        <v>4363916</v>
      </c>
      <c r="G5364" s="1">
        <f>Comuni__2[[#This Row],[Popolazione2011]]/Comuni__2[[#This Row],[POPOLAZIONE TOTALE DI OGNI REGIONE (CON FILTRO)]]</f>
        <v>8.6390297155123971E-5</v>
      </c>
      <c r="H5364" t="str">
        <f>IF(Comuni__2[[#This Row],[Popolazione2011]]&gt;300000,"MAGGIORE","")</f>
        <v/>
      </c>
      <c r="J5364">
        <v>17</v>
      </c>
      <c r="K5364">
        <v>1481</v>
      </c>
      <c r="L5364">
        <v>81</v>
      </c>
    </row>
    <row r="5365" spans="1:12" x14ac:dyDescent="0.2">
      <c r="A5365"/>
      <c r="B5365"/>
      <c r="C5365"/>
      <c r="D5365"/>
      <c r="E5365" s="2">
        <f>Comuni__2[[#This Row],[Popolazione2011]]/$D$7911</f>
        <v>6.3443365613665547E-6</v>
      </c>
      <c r="F5365">
        <f>SUMIFS($D$2:$D$7909, $B$2:$B$7909, "Piemonte")</f>
        <v>4363916</v>
      </c>
      <c r="G5365" s="1">
        <f>Comuni__2[[#This Row],[Popolazione2011]]/Comuni__2[[#This Row],[POPOLAZIONE TOTALE DI OGNI REGIONE (CON FILTRO)]]</f>
        <v>8.6390297155123971E-5</v>
      </c>
      <c r="H5365" t="str">
        <f>IF(Comuni__2[[#This Row],[Popolazione2011]]&gt;300000,"MAGGIORE","")</f>
        <v/>
      </c>
      <c r="J5365">
        <v>17</v>
      </c>
      <c r="K5365">
        <v>1483</v>
      </c>
      <c r="L5365">
        <v>81</v>
      </c>
    </row>
    <row r="5366" spans="1:12" x14ac:dyDescent="0.2">
      <c r="A5366"/>
      <c r="B5366"/>
      <c r="C5366"/>
      <c r="D5366"/>
      <c r="E5366" s="2">
        <f>Comuni__2[[#This Row],[Popolazione2011]]/$D$7911</f>
        <v>6.3275080824239377E-6</v>
      </c>
      <c r="F5366">
        <f>SUMIFS($D$2:$D$7909, $B$2:$B$7909, "Piemonte")</f>
        <v>4363916</v>
      </c>
      <c r="G5366" s="1">
        <f>Comuni__2[[#This Row],[Popolazione2011]]/Comuni__2[[#This Row],[POPOLAZIONE TOTALE DI OGNI REGIONE (CON FILTRO)]]</f>
        <v>8.6161145173280139E-5</v>
      </c>
      <c r="H5366" t="str">
        <f>IF(Comuni__2[[#This Row],[Popolazione2011]]&gt;300000,"MAGGIORE","")</f>
        <v/>
      </c>
      <c r="J5366">
        <v>19</v>
      </c>
      <c r="K5366">
        <v>1514</v>
      </c>
      <c r="L5366">
        <v>81</v>
      </c>
    </row>
    <row r="5367" spans="1:12" x14ac:dyDescent="0.2">
      <c r="A5367"/>
      <c r="B5367"/>
      <c r="C5367"/>
      <c r="D5367"/>
      <c r="E5367" s="2">
        <f>Comuni__2[[#This Row],[Popolazione2011]]/$D$7911</f>
        <v>6.3106796034813208E-6</v>
      </c>
      <c r="F5367">
        <f>SUMIFS($D$2:$D$7909, $B$2:$B$7909, "Piemonte")</f>
        <v>4363916</v>
      </c>
      <c r="G5367" s="1">
        <f>Comuni__2[[#This Row],[Popolazione2011]]/Comuni__2[[#This Row],[POPOLAZIONE TOTALE DI OGNI REGIONE (CON FILTRO)]]</f>
        <v>8.5931993191436321E-5</v>
      </c>
      <c r="H5367" t="str">
        <f>IF(Comuni__2[[#This Row],[Popolazione2011]]&gt;300000,"MAGGIORE","")</f>
        <v/>
      </c>
      <c r="J5367">
        <v>19</v>
      </c>
      <c r="K5367">
        <v>1521</v>
      </c>
      <c r="L5367">
        <v>81</v>
      </c>
    </row>
    <row r="5368" spans="1:12" x14ac:dyDescent="0.2">
      <c r="A5368"/>
      <c r="B5368"/>
      <c r="C5368"/>
      <c r="D5368"/>
      <c r="E5368" s="2">
        <f>Comuni__2[[#This Row],[Popolazione2011]]/$D$7911</f>
        <v>6.2938511245387038E-6</v>
      </c>
      <c r="F5368">
        <f>SUMIFS($D$2:$D$7909, $B$2:$B$7909, "Piemonte")</f>
        <v>4363916</v>
      </c>
      <c r="G5368" s="1">
        <f>Comuni__2[[#This Row],[Popolazione2011]]/Comuni__2[[#This Row],[POPOLAZIONE TOTALE DI OGNI REGIONE (CON FILTRO)]]</f>
        <v>8.570284120959249E-5</v>
      </c>
      <c r="H5368" t="str">
        <f>IF(Comuni__2[[#This Row],[Popolazione2011]]&gt;300000,"MAGGIORE","")</f>
        <v/>
      </c>
      <c r="J5368">
        <v>23</v>
      </c>
      <c r="K5368">
        <v>1533</v>
      </c>
      <c r="L5368">
        <v>81</v>
      </c>
    </row>
    <row r="5369" spans="1:12" x14ac:dyDescent="0.2">
      <c r="A5369"/>
      <c r="B5369"/>
      <c r="C5369"/>
      <c r="D5369"/>
      <c r="E5369" s="2">
        <f>Comuni__2[[#This Row],[Popolazione2011]]/$D$7911</f>
        <v>6.2433656877108537E-6</v>
      </c>
      <c r="F5369">
        <f>SUMIFS($D$2:$D$7909, $B$2:$B$7909, "Piemonte")</f>
        <v>4363916</v>
      </c>
      <c r="G5369" s="1">
        <f>Comuni__2[[#This Row],[Popolazione2011]]/Comuni__2[[#This Row],[POPOLAZIONE TOTALE DI OGNI REGIONE (CON FILTRO)]]</f>
        <v>8.5015385264060995E-5</v>
      </c>
      <c r="H5369" t="str">
        <f>IF(Comuni__2[[#This Row],[Popolazione2011]]&gt;300000,"MAGGIORE","")</f>
        <v/>
      </c>
      <c r="J5369">
        <v>22</v>
      </c>
      <c r="K5369">
        <v>1542</v>
      </c>
      <c r="L5369">
        <v>81</v>
      </c>
    </row>
    <row r="5370" spans="1:12" x14ac:dyDescent="0.2">
      <c r="A5370"/>
      <c r="B5370"/>
      <c r="C5370"/>
      <c r="D5370"/>
      <c r="E5370" s="2">
        <f>Comuni__2[[#This Row],[Popolazione2011]]/$D$7911</f>
        <v>6.2265372087682367E-6</v>
      </c>
      <c r="F5370">
        <f>SUMIFS($D$2:$D$7909, $B$2:$B$7909, "Piemonte")</f>
        <v>4363916</v>
      </c>
      <c r="G5370" s="1">
        <f>Comuni__2[[#This Row],[Popolazione2011]]/Comuni__2[[#This Row],[POPOLAZIONE TOTALE DI OGNI REGIONE (CON FILTRO)]]</f>
        <v>8.4786233282217163E-5</v>
      </c>
      <c r="H5370" t="str">
        <f>IF(Comuni__2[[#This Row],[Popolazione2011]]&gt;300000,"MAGGIORE","")</f>
        <v/>
      </c>
      <c r="J5370">
        <v>23</v>
      </c>
      <c r="K5370">
        <v>1547</v>
      </c>
      <c r="L5370">
        <v>81</v>
      </c>
    </row>
    <row r="5371" spans="1:12" x14ac:dyDescent="0.2">
      <c r="A5371"/>
      <c r="B5371"/>
      <c r="C5371"/>
      <c r="D5371"/>
      <c r="E5371" s="2">
        <f>Comuni__2[[#This Row],[Popolazione2011]]/$D$7911</f>
        <v>6.1423948140551527E-6</v>
      </c>
      <c r="F5371">
        <f>SUMIFS($D$2:$D$7909, $B$2:$B$7909, "Piemonte")</f>
        <v>4363916</v>
      </c>
      <c r="G5371" s="1">
        <f>Comuni__2[[#This Row],[Popolazione2011]]/Comuni__2[[#This Row],[POPOLAZIONE TOTALE DI OGNI REGIONE (CON FILTRO)]]</f>
        <v>8.3640473372998019E-5</v>
      </c>
      <c r="H5371" t="str">
        <f>IF(Comuni__2[[#This Row],[Popolazione2011]]&gt;300000,"MAGGIORE","")</f>
        <v/>
      </c>
      <c r="J5371">
        <v>24</v>
      </c>
      <c r="K5371">
        <v>1554</v>
      </c>
      <c r="L5371">
        <v>81</v>
      </c>
    </row>
    <row r="5372" spans="1:12" x14ac:dyDescent="0.2">
      <c r="A5372"/>
      <c r="B5372"/>
      <c r="C5372"/>
      <c r="D5372"/>
      <c r="E5372" s="2">
        <f>Comuni__2[[#This Row],[Popolazione2011]]/$D$7911</f>
        <v>6.1423948140551527E-6</v>
      </c>
      <c r="F5372">
        <f>SUMIFS($D$2:$D$7909, $B$2:$B$7909, "Piemonte")</f>
        <v>4363916</v>
      </c>
      <c r="G5372" s="1">
        <f>Comuni__2[[#This Row],[Popolazione2011]]/Comuni__2[[#This Row],[POPOLAZIONE TOTALE DI OGNI REGIONE (CON FILTRO)]]</f>
        <v>8.3640473372998019E-5</v>
      </c>
      <c r="H5372" t="str">
        <f>IF(Comuni__2[[#This Row],[Popolazione2011]]&gt;300000,"MAGGIORE","")</f>
        <v/>
      </c>
      <c r="J5372">
        <v>29</v>
      </c>
      <c r="K5372">
        <v>1560</v>
      </c>
      <c r="L5372">
        <v>81</v>
      </c>
    </row>
    <row r="5373" spans="1:12" x14ac:dyDescent="0.2">
      <c r="A5373"/>
      <c r="B5373"/>
      <c r="C5373"/>
      <c r="D5373"/>
      <c r="E5373" s="2">
        <f>Comuni__2[[#This Row],[Popolazione2011]]/$D$7911</f>
        <v>6.1255663351125358E-6</v>
      </c>
      <c r="F5373">
        <f>SUMIFS($D$2:$D$7909, $B$2:$B$7909, "Piemonte")</f>
        <v>4363916</v>
      </c>
      <c r="G5373" s="1">
        <f>Comuni__2[[#This Row],[Popolazione2011]]/Comuni__2[[#This Row],[POPOLAZIONE TOTALE DI OGNI REGIONE (CON FILTRO)]]</f>
        <v>8.3411321391154187E-5</v>
      </c>
      <c r="H5373" t="str">
        <f>IF(Comuni__2[[#This Row],[Popolazione2011]]&gt;300000,"MAGGIORE","")</f>
        <v/>
      </c>
      <c r="J5373">
        <v>32</v>
      </c>
      <c r="K5373">
        <v>1568</v>
      </c>
      <c r="L5373">
        <v>81</v>
      </c>
    </row>
    <row r="5374" spans="1:12" x14ac:dyDescent="0.2">
      <c r="A5374"/>
      <c r="B5374"/>
      <c r="C5374"/>
      <c r="D5374"/>
      <c r="E5374" s="2">
        <f>Comuni__2[[#This Row],[Popolazione2011]]/$D$7911</f>
        <v>6.1087378561699188E-6</v>
      </c>
      <c r="F5374">
        <f>SUMIFS($D$2:$D$7909, $B$2:$B$7909, "Piemonte")</f>
        <v>4363916</v>
      </c>
      <c r="G5374" s="1">
        <f>Comuni__2[[#This Row],[Popolazione2011]]/Comuni__2[[#This Row],[POPOLAZIONE TOTALE DI OGNI REGIONE (CON FILTRO)]]</f>
        <v>8.3182169409310355E-5</v>
      </c>
      <c r="H5374" t="str">
        <f>IF(Comuni__2[[#This Row],[Popolazione2011]]&gt;300000,"MAGGIORE","")</f>
        <v/>
      </c>
      <c r="J5374">
        <v>30</v>
      </c>
      <c r="K5374">
        <v>1590</v>
      </c>
      <c r="L5374">
        <v>82</v>
      </c>
    </row>
    <row r="5375" spans="1:12" x14ac:dyDescent="0.2">
      <c r="A5375"/>
      <c r="B5375"/>
      <c r="C5375"/>
      <c r="D5375"/>
      <c r="E5375" s="2">
        <f>Comuni__2[[#This Row],[Popolazione2011]]/$D$7911</f>
        <v>6.1087378561699188E-6</v>
      </c>
      <c r="F5375">
        <f>SUMIFS($D$2:$D$7909, $B$2:$B$7909, "Piemonte")</f>
        <v>4363916</v>
      </c>
      <c r="G5375" s="1">
        <f>Comuni__2[[#This Row],[Popolazione2011]]/Comuni__2[[#This Row],[POPOLAZIONE TOTALE DI OGNI REGIONE (CON FILTRO)]]</f>
        <v>8.3182169409310355E-5</v>
      </c>
      <c r="H5375" t="str">
        <f>IF(Comuni__2[[#This Row],[Popolazione2011]]&gt;300000,"MAGGIORE","")</f>
        <v/>
      </c>
      <c r="J5375">
        <v>32</v>
      </c>
      <c r="K5375">
        <v>1623</v>
      </c>
      <c r="L5375">
        <v>82</v>
      </c>
    </row>
    <row r="5376" spans="1:12" x14ac:dyDescent="0.2">
      <c r="A5376"/>
      <c r="B5376"/>
      <c r="C5376"/>
      <c r="D5376"/>
      <c r="E5376" s="2">
        <f>Comuni__2[[#This Row],[Popolazione2011]]/$D$7911</f>
        <v>6.0750808982846848E-6</v>
      </c>
      <c r="F5376">
        <f>SUMIFS($D$2:$D$7909, $B$2:$B$7909, "Piemonte")</f>
        <v>4363916</v>
      </c>
      <c r="G5376" s="1">
        <f>Comuni__2[[#This Row],[Popolazione2011]]/Comuni__2[[#This Row],[POPOLAZIONE TOTALE DI OGNI REGIONE (CON FILTRO)]]</f>
        <v>8.2723865445622692E-5</v>
      </c>
      <c r="H5376" t="str">
        <f>IF(Comuni__2[[#This Row],[Popolazione2011]]&gt;300000,"MAGGIORE","")</f>
        <v/>
      </c>
      <c r="J5376">
        <v>31</v>
      </c>
      <c r="K5376">
        <v>1638</v>
      </c>
      <c r="L5376">
        <v>83</v>
      </c>
    </row>
    <row r="5377" spans="1:12" x14ac:dyDescent="0.2">
      <c r="A5377"/>
      <c r="B5377"/>
      <c r="C5377"/>
      <c r="D5377"/>
      <c r="E5377" s="2">
        <f>Comuni__2[[#This Row],[Popolazione2011]]/$D$7911</f>
        <v>6.0414239403994509E-6</v>
      </c>
      <c r="F5377">
        <f>SUMIFS($D$2:$D$7909, $B$2:$B$7909, "Piemonte")</f>
        <v>4363916</v>
      </c>
      <c r="G5377" s="1">
        <f>Comuni__2[[#This Row],[Popolazione2011]]/Comuni__2[[#This Row],[POPOLAZIONE TOTALE DI OGNI REGIONE (CON FILTRO)]]</f>
        <v>8.2265561481935029E-5</v>
      </c>
      <c r="H5377" t="str">
        <f>IF(Comuni__2[[#This Row],[Popolazione2011]]&gt;300000,"MAGGIORE","")</f>
        <v/>
      </c>
      <c r="J5377">
        <v>33</v>
      </c>
      <c r="K5377">
        <v>1648</v>
      </c>
      <c r="L5377">
        <v>83</v>
      </c>
    </row>
    <row r="5378" spans="1:12" x14ac:dyDescent="0.2">
      <c r="A5378"/>
      <c r="B5378"/>
      <c r="C5378"/>
      <c r="D5378"/>
      <c r="E5378" s="2">
        <f>Comuni__2[[#This Row],[Popolazione2011]]/$D$7911</f>
        <v>6.0414239403994509E-6</v>
      </c>
      <c r="F5378">
        <f>SUMIFS($D$2:$D$7909, $B$2:$B$7909, "Piemonte")</f>
        <v>4363916</v>
      </c>
      <c r="G5378" s="1">
        <f>Comuni__2[[#This Row],[Popolazione2011]]/Comuni__2[[#This Row],[POPOLAZIONE TOTALE DI OGNI REGIONE (CON FILTRO)]]</f>
        <v>8.2265561481935029E-5</v>
      </c>
      <c r="H5378" t="str">
        <f>IF(Comuni__2[[#This Row],[Popolazione2011]]&gt;300000,"MAGGIORE","")</f>
        <v/>
      </c>
      <c r="J5378">
        <v>29</v>
      </c>
      <c r="K5378">
        <v>1669</v>
      </c>
      <c r="L5378">
        <v>84</v>
      </c>
    </row>
    <row r="5379" spans="1:12" x14ac:dyDescent="0.2">
      <c r="A5379"/>
      <c r="B5379"/>
      <c r="C5379"/>
      <c r="D5379"/>
      <c r="E5379" s="2">
        <f>Comuni__2[[#This Row],[Popolazione2011]]/$D$7911</f>
        <v>6.0077669825142178E-6</v>
      </c>
      <c r="F5379">
        <f>SUMIFS($D$2:$D$7909, $B$2:$B$7909, "Piemonte")</f>
        <v>4363916</v>
      </c>
      <c r="G5379" s="1">
        <f>Comuni__2[[#This Row],[Popolazione2011]]/Comuni__2[[#This Row],[POPOLAZIONE TOTALE DI OGNI REGIONE (CON FILTRO)]]</f>
        <v>8.1807257518247379E-5</v>
      </c>
      <c r="H5379" t="str">
        <f>IF(Comuni__2[[#This Row],[Popolazione2011]]&gt;300000,"MAGGIORE","")</f>
        <v/>
      </c>
      <c r="J5379">
        <v>32</v>
      </c>
      <c r="K5379">
        <v>1694</v>
      </c>
      <c r="L5379">
        <v>84</v>
      </c>
    </row>
    <row r="5380" spans="1:12" x14ac:dyDescent="0.2">
      <c r="A5380"/>
      <c r="B5380"/>
      <c r="C5380"/>
      <c r="D5380"/>
      <c r="E5380" s="2">
        <f>Comuni__2[[#This Row],[Popolazione2011]]/$D$7911</f>
        <v>5.9572815456863669E-6</v>
      </c>
      <c r="F5380">
        <f>SUMIFS($D$2:$D$7909, $B$2:$B$7909, "Piemonte")</f>
        <v>4363916</v>
      </c>
      <c r="G5380" s="1">
        <f>Comuni__2[[#This Row],[Popolazione2011]]/Comuni__2[[#This Row],[POPOLAZIONE TOTALE DI OGNI REGIONE (CON FILTRO)]]</f>
        <v>8.1119801572715884E-5</v>
      </c>
      <c r="H5380" t="str">
        <f>IF(Comuni__2[[#This Row],[Popolazione2011]]&gt;300000,"MAGGIORE","")</f>
        <v/>
      </c>
      <c r="J5380">
        <v>33</v>
      </c>
      <c r="K5380">
        <v>1713</v>
      </c>
      <c r="L5380">
        <v>85</v>
      </c>
    </row>
    <row r="5381" spans="1:12" x14ac:dyDescent="0.2">
      <c r="A5381"/>
      <c r="B5381"/>
      <c r="C5381"/>
      <c r="D5381"/>
      <c r="E5381" s="2">
        <f>Comuni__2[[#This Row],[Popolazione2011]]/$D$7911</f>
        <v>5.9236245878011329E-6</v>
      </c>
      <c r="F5381">
        <f>SUMIFS($D$2:$D$7909, $B$2:$B$7909, "Piemonte")</f>
        <v>4363916</v>
      </c>
      <c r="G5381" s="1">
        <f>Comuni__2[[#This Row],[Popolazione2011]]/Comuni__2[[#This Row],[POPOLAZIONE TOTALE DI OGNI REGIONE (CON FILTRO)]]</f>
        <v>8.0661497609028221E-5</v>
      </c>
      <c r="H5381" t="str">
        <f>IF(Comuni__2[[#This Row],[Popolazione2011]]&gt;300000,"MAGGIORE","")</f>
        <v/>
      </c>
      <c r="J5381">
        <v>33</v>
      </c>
      <c r="K5381">
        <v>1735</v>
      </c>
      <c r="L5381">
        <v>85</v>
      </c>
    </row>
    <row r="5382" spans="1:12" x14ac:dyDescent="0.2">
      <c r="A5382"/>
      <c r="B5382"/>
      <c r="C5382"/>
      <c r="D5382"/>
      <c r="E5382" s="2">
        <f>Comuni__2[[#This Row],[Popolazione2011]]/$D$7911</f>
        <v>5.906796108858516E-6</v>
      </c>
      <c r="F5382">
        <f>SUMIFS($D$2:$D$7909, $B$2:$B$7909, "Piemonte")</f>
        <v>4363916</v>
      </c>
      <c r="G5382" s="1">
        <f>Comuni__2[[#This Row],[Popolazione2011]]/Comuni__2[[#This Row],[POPOLAZIONE TOTALE DI OGNI REGIONE (CON FILTRO)]]</f>
        <v>8.0432345627184389E-5</v>
      </c>
      <c r="H5382" t="str">
        <f>IF(Comuni__2[[#This Row],[Popolazione2011]]&gt;300000,"MAGGIORE","")</f>
        <v/>
      </c>
      <c r="J5382">
        <v>35</v>
      </c>
      <c r="K5382">
        <v>1748</v>
      </c>
      <c r="L5382">
        <v>85</v>
      </c>
    </row>
    <row r="5383" spans="1:12" x14ac:dyDescent="0.2">
      <c r="A5383"/>
      <c r="B5383"/>
      <c r="C5383"/>
      <c r="D5383"/>
      <c r="E5383" s="2">
        <f>Comuni__2[[#This Row],[Popolazione2011]]/$D$7911</f>
        <v>5.8899676299158998E-6</v>
      </c>
      <c r="F5383">
        <f>SUMIFS($D$2:$D$7909, $B$2:$B$7909, "Piemonte")</f>
        <v>4363916</v>
      </c>
      <c r="G5383" s="1">
        <f>Comuni__2[[#This Row],[Popolazione2011]]/Comuni__2[[#This Row],[POPOLAZIONE TOTALE DI OGNI REGIONE (CON FILTRO)]]</f>
        <v>8.0203193645340558E-5</v>
      </c>
      <c r="H5383" t="str">
        <f>IF(Comuni__2[[#This Row],[Popolazione2011]]&gt;300000,"MAGGIORE","")</f>
        <v/>
      </c>
      <c r="J5383">
        <v>37</v>
      </c>
      <c r="K5383">
        <v>1768</v>
      </c>
      <c r="L5383">
        <v>85</v>
      </c>
    </row>
    <row r="5384" spans="1:12" x14ac:dyDescent="0.2">
      <c r="A5384"/>
      <c r="B5384"/>
      <c r="C5384"/>
      <c r="D5384"/>
      <c r="E5384" s="2">
        <f>Comuni__2[[#This Row],[Popolazione2011]]/$D$7911</f>
        <v>5.8899676299158998E-6</v>
      </c>
      <c r="F5384">
        <f>SUMIFS($D$2:$D$7909, $B$2:$B$7909, "Piemonte")</f>
        <v>4363916</v>
      </c>
      <c r="G5384" s="1">
        <f>Comuni__2[[#This Row],[Popolazione2011]]/Comuni__2[[#This Row],[POPOLAZIONE TOTALE DI OGNI REGIONE (CON FILTRO)]]</f>
        <v>8.0203193645340558E-5</v>
      </c>
      <c r="H5384" t="str">
        <f>IF(Comuni__2[[#This Row],[Popolazione2011]]&gt;300000,"MAGGIORE","")</f>
        <v/>
      </c>
      <c r="J5384">
        <v>36</v>
      </c>
      <c r="K5384">
        <v>1788</v>
      </c>
      <c r="L5384">
        <v>85</v>
      </c>
    </row>
    <row r="5385" spans="1:12" x14ac:dyDescent="0.2">
      <c r="A5385"/>
      <c r="B5385"/>
      <c r="C5385"/>
      <c r="D5385"/>
      <c r="E5385" s="2">
        <f>Comuni__2[[#This Row],[Popolazione2011]]/$D$7911</f>
        <v>5.8394821930880489E-6</v>
      </c>
      <c r="F5385">
        <f>SUMIFS($D$2:$D$7909, $B$2:$B$7909, "Piemonte")</f>
        <v>4363916</v>
      </c>
      <c r="G5385" s="1">
        <f>Comuni__2[[#This Row],[Popolazione2011]]/Comuni__2[[#This Row],[POPOLAZIONE TOTALE DI OGNI REGIONE (CON FILTRO)]]</f>
        <v>7.9515737699809076E-5</v>
      </c>
      <c r="H5385" t="str">
        <f>IF(Comuni__2[[#This Row],[Popolazione2011]]&gt;300000,"MAGGIORE","")</f>
        <v/>
      </c>
      <c r="J5385">
        <v>41</v>
      </c>
      <c r="K5385">
        <v>1792</v>
      </c>
      <c r="L5385">
        <v>85</v>
      </c>
    </row>
    <row r="5386" spans="1:12" x14ac:dyDescent="0.2">
      <c r="A5386"/>
      <c r="B5386"/>
      <c r="C5386"/>
      <c r="D5386"/>
      <c r="E5386" s="2">
        <f>Comuni__2[[#This Row],[Popolazione2011]]/$D$7911</f>
        <v>5.8394821930880489E-6</v>
      </c>
      <c r="F5386">
        <f>SUMIFS($D$2:$D$7909, $B$2:$B$7909, "Piemonte")</f>
        <v>4363916</v>
      </c>
      <c r="G5386" s="1">
        <f>Comuni__2[[#This Row],[Popolazione2011]]/Comuni__2[[#This Row],[POPOLAZIONE TOTALE DI OGNI REGIONE (CON FILTRO)]]</f>
        <v>7.9515737699809076E-5</v>
      </c>
      <c r="H5386" t="str">
        <f>IF(Comuni__2[[#This Row],[Popolazione2011]]&gt;300000,"MAGGIORE","")</f>
        <v/>
      </c>
      <c r="J5386">
        <v>42</v>
      </c>
      <c r="K5386">
        <v>1803</v>
      </c>
      <c r="L5386">
        <v>85</v>
      </c>
    </row>
    <row r="5387" spans="1:12" x14ac:dyDescent="0.2">
      <c r="A5387"/>
      <c r="B5387"/>
      <c r="C5387"/>
      <c r="D5387"/>
      <c r="E5387" s="2">
        <f>Comuni__2[[#This Row],[Popolazione2011]]/$D$7911</f>
        <v>5.8394821930880489E-6</v>
      </c>
      <c r="F5387">
        <f>SUMIFS($D$2:$D$7909, $B$2:$B$7909, "Piemonte")</f>
        <v>4363916</v>
      </c>
      <c r="G5387" s="1">
        <f>Comuni__2[[#This Row],[Popolazione2011]]/Comuni__2[[#This Row],[POPOLAZIONE TOTALE DI OGNI REGIONE (CON FILTRO)]]</f>
        <v>7.9515737699809076E-5</v>
      </c>
      <c r="H5387" t="str">
        <f>IF(Comuni__2[[#This Row],[Popolazione2011]]&gt;300000,"MAGGIORE","")</f>
        <v/>
      </c>
      <c r="J5387">
        <v>42</v>
      </c>
      <c r="K5387">
        <v>1832</v>
      </c>
      <c r="L5387">
        <v>85</v>
      </c>
    </row>
    <row r="5388" spans="1:12" x14ac:dyDescent="0.2">
      <c r="A5388"/>
      <c r="B5388"/>
      <c r="C5388"/>
      <c r="D5388"/>
      <c r="E5388" s="2">
        <f>Comuni__2[[#This Row],[Popolazione2011]]/$D$7911</f>
        <v>5.788996756260198E-6</v>
      </c>
      <c r="F5388">
        <f>SUMIFS($D$2:$D$7909, $B$2:$B$7909, "Piemonte")</f>
        <v>4363916</v>
      </c>
      <c r="G5388" s="1">
        <f>Comuni__2[[#This Row],[Popolazione2011]]/Comuni__2[[#This Row],[POPOLAZIONE TOTALE DI OGNI REGIONE (CON FILTRO)]]</f>
        <v>7.8828281754277581E-5</v>
      </c>
      <c r="H5388" t="str">
        <f>IF(Comuni__2[[#This Row],[Popolazione2011]]&gt;300000,"MAGGIORE","")</f>
        <v/>
      </c>
      <c r="J5388">
        <v>41</v>
      </c>
      <c r="K5388">
        <v>1853</v>
      </c>
      <c r="L5388">
        <v>85</v>
      </c>
    </row>
    <row r="5389" spans="1:12" x14ac:dyDescent="0.2">
      <c r="A5389"/>
      <c r="B5389"/>
      <c r="C5389"/>
      <c r="D5389"/>
      <c r="E5389" s="2">
        <f>Comuni__2[[#This Row],[Popolazione2011]]/$D$7911</f>
        <v>5.788996756260198E-6</v>
      </c>
      <c r="F5389">
        <f>SUMIFS($D$2:$D$7909, $B$2:$B$7909, "Piemonte")</f>
        <v>4363916</v>
      </c>
      <c r="G5389" s="1">
        <f>Comuni__2[[#This Row],[Popolazione2011]]/Comuni__2[[#This Row],[POPOLAZIONE TOTALE DI OGNI REGIONE (CON FILTRO)]]</f>
        <v>7.8828281754277581E-5</v>
      </c>
      <c r="H5389" t="str">
        <f>IF(Comuni__2[[#This Row],[Popolazione2011]]&gt;300000,"MAGGIORE","")</f>
        <v/>
      </c>
      <c r="J5389">
        <v>43</v>
      </c>
      <c r="K5389">
        <v>1867</v>
      </c>
      <c r="L5389">
        <v>85</v>
      </c>
    </row>
    <row r="5390" spans="1:12" x14ac:dyDescent="0.2">
      <c r="A5390"/>
      <c r="B5390"/>
      <c r="C5390"/>
      <c r="D5390"/>
      <c r="E5390" s="2">
        <f>Comuni__2[[#This Row],[Popolazione2011]]/$D$7911</f>
        <v>5.7385113194323479E-6</v>
      </c>
      <c r="F5390">
        <f>SUMIFS($D$2:$D$7909, $B$2:$B$7909, "Piemonte")</f>
        <v>4363916</v>
      </c>
      <c r="G5390" s="1">
        <f>Comuni__2[[#This Row],[Popolazione2011]]/Comuni__2[[#This Row],[POPOLAZIONE TOTALE DI OGNI REGIONE (CON FILTRO)]]</f>
        <v>7.8140825808746086E-5</v>
      </c>
      <c r="H5390" t="str">
        <f>IF(Comuni__2[[#This Row],[Popolazione2011]]&gt;300000,"MAGGIORE","")</f>
        <v/>
      </c>
      <c r="J5390">
        <v>46</v>
      </c>
      <c r="K5390">
        <v>1885</v>
      </c>
      <c r="L5390">
        <v>85</v>
      </c>
    </row>
    <row r="5391" spans="1:12" x14ac:dyDescent="0.2">
      <c r="A5391"/>
      <c r="B5391"/>
      <c r="C5391"/>
      <c r="D5391"/>
      <c r="E5391" s="2">
        <f>Comuni__2[[#This Row],[Popolazione2011]]/$D$7911</f>
        <v>5.7385113194323479E-6</v>
      </c>
      <c r="F5391">
        <f>SUMIFS($D$2:$D$7909, $B$2:$B$7909, "Piemonte")</f>
        <v>4363916</v>
      </c>
      <c r="G5391" s="1">
        <f>Comuni__2[[#This Row],[Popolazione2011]]/Comuni__2[[#This Row],[POPOLAZIONE TOTALE DI OGNI REGIONE (CON FILTRO)]]</f>
        <v>7.8140825808746086E-5</v>
      </c>
      <c r="H5391" t="str">
        <f>IF(Comuni__2[[#This Row],[Popolazione2011]]&gt;300000,"MAGGIORE","")</f>
        <v/>
      </c>
      <c r="J5391">
        <v>46</v>
      </c>
      <c r="K5391">
        <v>1895</v>
      </c>
      <c r="L5391">
        <v>86</v>
      </c>
    </row>
    <row r="5392" spans="1:12" x14ac:dyDescent="0.2">
      <c r="A5392"/>
      <c r="B5392"/>
      <c r="C5392"/>
      <c r="D5392"/>
      <c r="E5392" s="2">
        <f>Comuni__2[[#This Row],[Popolazione2011]]/$D$7911</f>
        <v>5.7385113194323479E-6</v>
      </c>
      <c r="F5392">
        <f>SUMIFS($D$2:$D$7909, $B$2:$B$7909, "Piemonte")</f>
        <v>4363916</v>
      </c>
      <c r="G5392" s="1">
        <f>Comuni__2[[#This Row],[Popolazione2011]]/Comuni__2[[#This Row],[POPOLAZIONE TOTALE DI OGNI REGIONE (CON FILTRO)]]</f>
        <v>7.8140825808746086E-5</v>
      </c>
      <c r="H5392" t="str">
        <f>IF(Comuni__2[[#This Row],[Popolazione2011]]&gt;300000,"MAGGIORE","")</f>
        <v/>
      </c>
      <c r="J5392">
        <v>47</v>
      </c>
      <c r="K5392">
        <v>1903</v>
      </c>
      <c r="L5392">
        <v>86</v>
      </c>
    </row>
    <row r="5393" spans="1:12" x14ac:dyDescent="0.2">
      <c r="A5393"/>
      <c r="B5393"/>
      <c r="C5393"/>
      <c r="D5393"/>
      <c r="E5393" s="2">
        <f>Comuni__2[[#This Row],[Popolazione2011]]/$D$7911</f>
        <v>5.721682840489731E-6</v>
      </c>
      <c r="F5393">
        <f>SUMIFS($D$2:$D$7909, $B$2:$B$7909, "Piemonte")</f>
        <v>4363916</v>
      </c>
      <c r="G5393" s="1">
        <f>Comuni__2[[#This Row],[Popolazione2011]]/Comuni__2[[#This Row],[POPOLAZIONE TOTALE DI OGNI REGIONE (CON FILTRO)]]</f>
        <v>7.7911673826902255E-5</v>
      </c>
      <c r="H5393" t="str">
        <f>IF(Comuni__2[[#This Row],[Popolazione2011]]&gt;300000,"MAGGIORE","")</f>
        <v/>
      </c>
      <c r="J5393">
        <v>50</v>
      </c>
      <c r="K5393">
        <v>1923</v>
      </c>
      <c r="L5393">
        <v>86</v>
      </c>
    </row>
    <row r="5394" spans="1:12" x14ac:dyDescent="0.2">
      <c r="A5394"/>
      <c r="B5394"/>
      <c r="C5394"/>
      <c r="D5394"/>
      <c r="E5394" s="2">
        <f>Comuni__2[[#This Row],[Popolazione2011]]/$D$7911</f>
        <v>5.67119740366188E-6</v>
      </c>
      <c r="F5394">
        <f>SUMIFS($D$2:$D$7909, $B$2:$B$7909, "Piemonte")</f>
        <v>4363916</v>
      </c>
      <c r="G5394" s="1">
        <f>Comuni__2[[#This Row],[Popolazione2011]]/Comuni__2[[#This Row],[POPOLAZIONE TOTALE DI OGNI REGIONE (CON FILTRO)]]</f>
        <v>7.7224217881370773E-5</v>
      </c>
      <c r="H5394" t="str">
        <f>IF(Comuni__2[[#This Row],[Popolazione2011]]&gt;300000,"MAGGIORE","")</f>
        <v/>
      </c>
      <c r="J5394">
        <v>52</v>
      </c>
      <c r="K5394">
        <v>1928</v>
      </c>
      <c r="L5394">
        <v>86</v>
      </c>
    </row>
    <row r="5395" spans="1:12" x14ac:dyDescent="0.2">
      <c r="A5395"/>
      <c r="B5395"/>
      <c r="C5395"/>
      <c r="D5395"/>
      <c r="E5395" s="2">
        <f>Comuni__2[[#This Row],[Popolazione2011]]/$D$7911</f>
        <v>5.67119740366188E-6</v>
      </c>
      <c r="F5395">
        <f>SUMIFS($D$2:$D$7909, $B$2:$B$7909, "Piemonte")</f>
        <v>4363916</v>
      </c>
      <c r="G5395" s="1">
        <f>Comuni__2[[#This Row],[Popolazione2011]]/Comuni__2[[#This Row],[POPOLAZIONE TOTALE DI OGNI REGIONE (CON FILTRO)]]</f>
        <v>7.7224217881370773E-5</v>
      </c>
      <c r="H5395" t="str">
        <f>IF(Comuni__2[[#This Row],[Popolazione2011]]&gt;300000,"MAGGIORE","")</f>
        <v/>
      </c>
      <c r="J5395">
        <v>58</v>
      </c>
      <c r="K5395">
        <v>1956</v>
      </c>
      <c r="L5395">
        <v>87</v>
      </c>
    </row>
    <row r="5396" spans="1:12" x14ac:dyDescent="0.2">
      <c r="A5396"/>
      <c r="B5396"/>
      <c r="C5396"/>
      <c r="D5396"/>
      <c r="E5396" s="2">
        <f>Comuni__2[[#This Row],[Popolazione2011]]/$D$7911</f>
        <v>5.6375404457766469E-6</v>
      </c>
      <c r="F5396">
        <f>SUMIFS($D$2:$D$7909, $B$2:$B$7909, "Piemonte")</f>
        <v>4363916</v>
      </c>
      <c r="G5396" s="1">
        <f>Comuni__2[[#This Row],[Popolazione2011]]/Comuni__2[[#This Row],[POPOLAZIONE TOTALE DI OGNI REGIONE (CON FILTRO)]]</f>
        <v>7.676591391768311E-5</v>
      </c>
      <c r="H5396" t="str">
        <f>IF(Comuni__2[[#This Row],[Popolazione2011]]&gt;300000,"MAGGIORE","")</f>
        <v/>
      </c>
      <c r="J5396">
        <v>63</v>
      </c>
      <c r="K5396">
        <v>1970</v>
      </c>
      <c r="L5396">
        <v>87</v>
      </c>
    </row>
    <row r="5397" spans="1:12" x14ac:dyDescent="0.2">
      <c r="A5397"/>
      <c r="B5397"/>
      <c r="C5397"/>
      <c r="D5397"/>
      <c r="E5397" s="2">
        <f>Comuni__2[[#This Row],[Popolazione2011]]/$D$7911</f>
        <v>5.62071196683403E-6</v>
      </c>
      <c r="F5397">
        <f>SUMIFS($D$2:$D$7909, $B$2:$B$7909, "Piemonte")</f>
        <v>4363916</v>
      </c>
      <c r="G5397" s="1">
        <f>Comuni__2[[#This Row],[Popolazione2011]]/Comuni__2[[#This Row],[POPOLAZIONE TOTALE DI OGNI REGIONE (CON FILTRO)]]</f>
        <v>7.6536761935839278E-5</v>
      </c>
      <c r="H5397" t="str">
        <f>IF(Comuni__2[[#This Row],[Popolazione2011]]&gt;300000,"MAGGIORE","")</f>
        <v/>
      </c>
      <c r="J5397">
        <v>64</v>
      </c>
      <c r="K5397">
        <v>1991</v>
      </c>
      <c r="L5397">
        <v>88</v>
      </c>
    </row>
    <row r="5398" spans="1:12" x14ac:dyDescent="0.2">
      <c r="A5398"/>
      <c r="B5398"/>
      <c r="C5398"/>
      <c r="D5398"/>
      <c r="E5398" s="2">
        <f>Comuni__2[[#This Row],[Popolazione2011]]/$D$7911</f>
        <v>5.587055008948796E-6</v>
      </c>
      <c r="F5398">
        <f>SUMIFS($D$2:$D$7909, $B$2:$B$7909, "Piemonte")</f>
        <v>4363916</v>
      </c>
      <c r="G5398" s="1">
        <f>Comuni__2[[#This Row],[Popolazione2011]]/Comuni__2[[#This Row],[POPOLAZIONE TOTALE DI OGNI REGIONE (CON FILTRO)]]</f>
        <v>7.6078457972151615E-5</v>
      </c>
      <c r="H5398" t="str">
        <f>IF(Comuni__2[[#This Row],[Popolazione2011]]&gt;300000,"MAGGIORE","")</f>
        <v/>
      </c>
      <c r="J5398">
        <v>67</v>
      </c>
      <c r="K5398">
        <v>2000</v>
      </c>
      <c r="L5398">
        <v>88</v>
      </c>
    </row>
    <row r="5399" spans="1:12" x14ac:dyDescent="0.2">
      <c r="A5399"/>
      <c r="B5399"/>
      <c r="C5399"/>
      <c r="D5399"/>
      <c r="E5399" s="2">
        <f>Comuni__2[[#This Row],[Popolazione2011]]/$D$7911</f>
        <v>5.587055008948796E-6</v>
      </c>
      <c r="F5399">
        <f>SUMIFS($D$2:$D$7909, $B$2:$B$7909, "Piemonte")</f>
        <v>4363916</v>
      </c>
      <c r="G5399" s="1">
        <f>Comuni__2[[#This Row],[Popolazione2011]]/Comuni__2[[#This Row],[POPOLAZIONE TOTALE DI OGNI REGIONE (CON FILTRO)]]</f>
        <v>7.6078457972151615E-5</v>
      </c>
      <c r="H5399" t="str">
        <f>IF(Comuni__2[[#This Row],[Popolazione2011]]&gt;300000,"MAGGIORE","")</f>
        <v/>
      </c>
      <c r="J5399">
        <v>70</v>
      </c>
      <c r="K5399">
        <v>2012</v>
      </c>
      <c r="L5399">
        <v>90</v>
      </c>
    </row>
    <row r="5400" spans="1:12" x14ac:dyDescent="0.2">
      <c r="A5400"/>
      <c r="B5400"/>
      <c r="C5400"/>
      <c r="D5400"/>
      <c r="E5400" s="2">
        <f>Comuni__2[[#This Row],[Popolazione2011]]/$D$7911</f>
        <v>5.570226530006179E-6</v>
      </c>
      <c r="F5400">
        <f>SUMIFS($D$2:$D$7909, $B$2:$B$7909, "Piemonte")</f>
        <v>4363916</v>
      </c>
      <c r="G5400" s="1">
        <f>Comuni__2[[#This Row],[Popolazione2011]]/Comuni__2[[#This Row],[POPOLAZIONE TOTALE DI OGNI REGIONE (CON FILTRO)]]</f>
        <v>7.5849305990307784E-5</v>
      </c>
      <c r="H5400" t="str">
        <f>IF(Comuni__2[[#This Row],[Popolazione2011]]&gt;300000,"MAGGIORE","")</f>
        <v/>
      </c>
      <c r="J5400">
        <v>79</v>
      </c>
      <c r="K5400">
        <v>2027</v>
      </c>
      <c r="L5400">
        <v>90</v>
      </c>
    </row>
    <row r="5401" spans="1:12" x14ac:dyDescent="0.2">
      <c r="A5401"/>
      <c r="B5401"/>
      <c r="C5401"/>
      <c r="D5401"/>
      <c r="E5401" s="2">
        <f>Comuni__2[[#This Row],[Popolazione2011]]/$D$7911</f>
        <v>5.570226530006179E-6</v>
      </c>
      <c r="F5401">
        <f>SUMIFS($D$2:$D$7909, $B$2:$B$7909, "Piemonte")</f>
        <v>4363916</v>
      </c>
      <c r="G5401" s="1">
        <f>Comuni__2[[#This Row],[Popolazione2011]]/Comuni__2[[#This Row],[POPOLAZIONE TOTALE DI OGNI REGIONE (CON FILTRO)]]</f>
        <v>7.5849305990307784E-5</v>
      </c>
      <c r="H5401" t="str">
        <f>IF(Comuni__2[[#This Row],[Popolazione2011]]&gt;300000,"MAGGIORE","")</f>
        <v/>
      </c>
      <c r="J5401">
        <v>83</v>
      </c>
      <c r="K5401">
        <v>2035</v>
      </c>
      <c r="L5401">
        <v>91</v>
      </c>
    </row>
    <row r="5402" spans="1:12" x14ac:dyDescent="0.2">
      <c r="A5402"/>
      <c r="B5402"/>
      <c r="C5402"/>
      <c r="D5402"/>
      <c r="E5402" s="2">
        <f>Comuni__2[[#This Row],[Popolazione2011]]/$D$7911</f>
        <v>5.5533980510635621E-6</v>
      </c>
      <c r="F5402">
        <f>SUMIFS($D$2:$D$7909, $B$2:$B$7909, "Piemonte")</f>
        <v>4363916</v>
      </c>
      <c r="G5402" s="1">
        <f>Comuni__2[[#This Row],[Popolazione2011]]/Comuni__2[[#This Row],[POPOLAZIONE TOTALE DI OGNI REGIONE (CON FILTRO)]]</f>
        <v>7.5620154008463952E-5</v>
      </c>
      <c r="H5402" t="str">
        <f>IF(Comuni__2[[#This Row],[Popolazione2011]]&gt;300000,"MAGGIORE","")</f>
        <v/>
      </c>
      <c r="J5402">
        <v>86</v>
      </c>
      <c r="K5402">
        <v>2104</v>
      </c>
      <c r="L5402">
        <v>91</v>
      </c>
    </row>
    <row r="5403" spans="1:12" x14ac:dyDescent="0.2">
      <c r="A5403"/>
      <c r="B5403"/>
      <c r="C5403"/>
      <c r="D5403"/>
      <c r="E5403" s="2">
        <f>Comuni__2[[#This Row],[Popolazione2011]]/$D$7911</f>
        <v>5.5365695721209459E-6</v>
      </c>
      <c r="F5403">
        <f>SUMIFS($D$2:$D$7909, $B$2:$B$7909, "Piemonte")</f>
        <v>4363916</v>
      </c>
      <c r="G5403" s="1">
        <f>Comuni__2[[#This Row],[Popolazione2011]]/Comuni__2[[#This Row],[POPOLAZIONE TOTALE DI OGNI REGIONE (CON FILTRO)]]</f>
        <v>7.5391002026620134E-5</v>
      </c>
      <c r="H5403" t="str">
        <f>IF(Comuni__2[[#This Row],[Popolazione2011]]&gt;300000,"MAGGIORE","")</f>
        <v/>
      </c>
      <c r="J5403">
        <v>90</v>
      </c>
      <c r="K5403">
        <v>2158</v>
      </c>
      <c r="L5403">
        <v>91</v>
      </c>
    </row>
    <row r="5404" spans="1:12" x14ac:dyDescent="0.2">
      <c r="A5404"/>
      <c r="B5404"/>
      <c r="C5404"/>
      <c r="D5404"/>
      <c r="E5404" s="2">
        <f>Comuni__2[[#This Row],[Popolazione2011]]/$D$7911</f>
        <v>5.5365695721209459E-6</v>
      </c>
      <c r="F5404">
        <f>SUMIFS($D$2:$D$7909, $B$2:$B$7909, "Piemonte")</f>
        <v>4363916</v>
      </c>
      <c r="G5404" s="1">
        <f>Comuni__2[[#This Row],[Popolazione2011]]/Comuni__2[[#This Row],[POPOLAZIONE TOTALE DI OGNI REGIONE (CON FILTRO)]]</f>
        <v>7.5391002026620134E-5</v>
      </c>
      <c r="H5404" t="str">
        <f>IF(Comuni__2[[#This Row],[Popolazione2011]]&gt;300000,"MAGGIORE","")</f>
        <v/>
      </c>
      <c r="J5404">
        <v>115</v>
      </c>
      <c r="K5404">
        <v>2193</v>
      </c>
      <c r="L5404">
        <v>92</v>
      </c>
    </row>
    <row r="5405" spans="1:12" x14ac:dyDescent="0.2">
      <c r="A5405"/>
      <c r="B5405"/>
      <c r="C5405"/>
      <c r="D5405"/>
      <c r="E5405" s="2">
        <f>Comuni__2[[#This Row],[Popolazione2011]]/$D$7911</f>
        <v>5.5365695721209459E-6</v>
      </c>
      <c r="F5405">
        <f>SUMIFS($D$2:$D$7909, $B$2:$B$7909, "Piemonte")</f>
        <v>4363916</v>
      </c>
      <c r="G5405" s="1">
        <f>Comuni__2[[#This Row],[Popolazione2011]]/Comuni__2[[#This Row],[POPOLAZIONE TOTALE DI OGNI REGIONE (CON FILTRO)]]</f>
        <v>7.5391002026620134E-5</v>
      </c>
      <c r="H5405" t="str">
        <f>IF(Comuni__2[[#This Row],[Popolazione2011]]&gt;300000,"MAGGIORE","")</f>
        <v/>
      </c>
      <c r="J5405">
        <v>129</v>
      </c>
      <c r="K5405">
        <v>2219</v>
      </c>
      <c r="L5405">
        <v>92</v>
      </c>
    </row>
    <row r="5406" spans="1:12" x14ac:dyDescent="0.2">
      <c r="A5406"/>
      <c r="B5406"/>
      <c r="C5406"/>
      <c r="D5406"/>
      <c r="E5406" s="2">
        <f>Comuni__2[[#This Row],[Popolazione2011]]/$D$7911</f>
        <v>5.486084135293095E-6</v>
      </c>
      <c r="F5406">
        <f>SUMIFS($D$2:$D$7909, $B$2:$B$7909, "Piemonte")</f>
        <v>4363916</v>
      </c>
      <c r="G5406" s="1">
        <f>Comuni__2[[#This Row],[Popolazione2011]]/Comuni__2[[#This Row],[POPOLAZIONE TOTALE DI OGNI REGIONE (CON FILTRO)]]</f>
        <v>7.4703546081088639E-5</v>
      </c>
      <c r="H5406" t="str">
        <f>IF(Comuni__2[[#This Row],[Popolazione2011]]&gt;300000,"MAGGIORE","")</f>
        <v/>
      </c>
      <c r="J5406">
        <v>146</v>
      </c>
      <c r="K5406">
        <v>2247</v>
      </c>
      <c r="L5406">
        <v>93</v>
      </c>
    </row>
    <row r="5407" spans="1:12" x14ac:dyDescent="0.2">
      <c r="A5407"/>
      <c r="B5407"/>
      <c r="C5407"/>
      <c r="D5407"/>
      <c r="E5407" s="2">
        <f>Comuni__2[[#This Row],[Popolazione2011]]/$D$7911</f>
        <v>5.486084135293095E-6</v>
      </c>
      <c r="F5407">
        <f>SUMIFS($D$2:$D$7909, $B$2:$B$7909, "Piemonte")</f>
        <v>4363916</v>
      </c>
      <c r="G5407" s="1">
        <f>Comuni__2[[#This Row],[Popolazione2011]]/Comuni__2[[#This Row],[POPOLAZIONE TOTALE DI OGNI REGIONE (CON FILTRO)]]</f>
        <v>7.4703546081088639E-5</v>
      </c>
      <c r="H5407" t="str">
        <f>IF(Comuni__2[[#This Row],[Popolazione2011]]&gt;300000,"MAGGIORE","")</f>
        <v/>
      </c>
      <c r="J5407">
        <v>170</v>
      </c>
      <c r="K5407">
        <v>2335</v>
      </c>
      <c r="L5407">
        <v>93</v>
      </c>
    </row>
    <row r="5408" spans="1:12" x14ac:dyDescent="0.2">
      <c r="A5408"/>
      <c r="B5408"/>
      <c r="C5408"/>
      <c r="D5408"/>
      <c r="E5408" s="2">
        <f>Comuni__2[[#This Row],[Popolazione2011]]/$D$7911</f>
        <v>5.486084135293095E-6</v>
      </c>
      <c r="F5408">
        <f>SUMIFS($D$2:$D$7909, $B$2:$B$7909, "Piemonte")</f>
        <v>4363916</v>
      </c>
      <c r="G5408" s="1">
        <f>Comuni__2[[#This Row],[Popolazione2011]]/Comuni__2[[#This Row],[POPOLAZIONE TOTALE DI OGNI REGIONE (CON FILTRO)]]</f>
        <v>7.4703546081088639E-5</v>
      </c>
      <c r="H5408" t="str">
        <f>IF(Comuni__2[[#This Row],[Popolazione2011]]&gt;300000,"MAGGIORE","")</f>
        <v/>
      </c>
      <c r="J5408">
        <v>172</v>
      </c>
      <c r="K5408">
        <v>2403</v>
      </c>
      <c r="L5408">
        <v>95</v>
      </c>
    </row>
    <row r="5409" spans="1:12" x14ac:dyDescent="0.2">
      <c r="A5409"/>
      <c r="B5409"/>
      <c r="C5409"/>
      <c r="D5409"/>
      <c r="E5409" s="2">
        <f>Comuni__2[[#This Row],[Popolazione2011]]/$D$7911</f>
        <v>5.4692556563504781E-6</v>
      </c>
      <c r="F5409">
        <f>SUMIFS($D$2:$D$7909, $B$2:$B$7909, "Piemonte")</f>
        <v>4363916</v>
      </c>
      <c r="G5409" s="1">
        <f>Comuni__2[[#This Row],[Popolazione2011]]/Comuni__2[[#This Row],[POPOLAZIONE TOTALE DI OGNI REGIONE (CON FILTRO)]]</f>
        <v>7.4474394099244807E-5</v>
      </c>
      <c r="H5409" t="str">
        <f>IF(Comuni__2[[#This Row],[Popolazione2011]]&gt;300000,"MAGGIORE","")</f>
        <v/>
      </c>
      <c r="J5409">
        <v>193</v>
      </c>
      <c r="K5409">
        <v>2493</v>
      </c>
      <c r="L5409">
        <v>97</v>
      </c>
    </row>
    <row r="5410" spans="1:12" x14ac:dyDescent="0.2">
      <c r="A5410"/>
      <c r="B5410"/>
      <c r="C5410"/>
      <c r="D5410"/>
      <c r="E5410" s="2">
        <f>Comuni__2[[#This Row],[Popolazione2011]]/$D$7911</f>
        <v>5.4692556563504781E-6</v>
      </c>
      <c r="F5410">
        <f>SUMIFS($D$2:$D$7909, $B$2:$B$7909, "Piemonte")</f>
        <v>4363916</v>
      </c>
      <c r="G5410" s="1">
        <f>Comuni__2[[#This Row],[Popolazione2011]]/Comuni__2[[#This Row],[POPOLAZIONE TOTALE DI OGNI REGIONE (CON FILTRO)]]</f>
        <v>7.4474394099244807E-5</v>
      </c>
      <c r="H5410" t="str">
        <f>IF(Comuni__2[[#This Row],[Popolazione2011]]&gt;300000,"MAGGIORE","")</f>
        <v/>
      </c>
      <c r="J5410">
        <v>204</v>
      </c>
      <c r="K5410">
        <v>2577</v>
      </c>
      <c r="L5410">
        <v>100</v>
      </c>
    </row>
    <row r="5411" spans="1:12" x14ac:dyDescent="0.2">
      <c r="A5411"/>
      <c r="B5411"/>
      <c r="C5411"/>
      <c r="D5411"/>
      <c r="E5411" s="2">
        <f>Comuni__2[[#This Row],[Popolazione2011]]/$D$7911</f>
        <v>5.4524271774078611E-6</v>
      </c>
      <c r="F5411">
        <f>SUMIFS($D$2:$D$7909, $B$2:$B$7909, "Piemonte")</f>
        <v>4363916</v>
      </c>
      <c r="G5411" s="1">
        <f>Comuni__2[[#This Row],[Popolazione2011]]/Comuni__2[[#This Row],[POPOLAZIONE TOTALE DI OGNI REGIONE (CON FILTRO)]]</f>
        <v>7.4245242117400976E-5</v>
      </c>
      <c r="H5411" t="str">
        <f>IF(Comuni__2[[#This Row],[Popolazione2011]]&gt;300000,"MAGGIORE","")</f>
        <v/>
      </c>
      <c r="J5411">
        <v>228</v>
      </c>
      <c r="K5411">
        <v>2709</v>
      </c>
      <c r="L5411">
        <v>102</v>
      </c>
    </row>
    <row r="5412" spans="1:12" x14ac:dyDescent="0.2">
      <c r="A5412"/>
      <c r="B5412"/>
      <c r="C5412"/>
      <c r="D5412"/>
      <c r="E5412" s="2">
        <f>Comuni__2[[#This Row],[Popolazione2011]]/$D$7911</f>
        <v>5.4524271774078611E-6</v>
      </c>
      <c r="F5412">
        <f>SUMIFS($D$2:$D$7909, $B$2:$B$7909, "Piemonte")</f>
        <v>4363916</v>
      </c>
      <c r="G5412" s="1">
        <f>Comuni__2[[#This Row],[Popolazione2011]]/Comuni__2[[#This Row],[POPOLAZIONE TOTALE DI OGNI REGIONE (CON FILTRO)]]</f>
        <v>7.4245242117400976E-5</v>
      </c>
      <c r="H5412" t="str">
        <f>IF(Comuni__2[[#This Row],[Popolazione2011]]&gt;300000,"MAGGIORE","")</f>
        <v/>
      </c>
      <c r="J5412">
        <v>244</v>
      </c>
      <c r="K5412">
        <v>2795</v>
      </c>
      <c r="L5412">
        <v>105</v>
      </c>
    </row>
    <row r="5413" spans="1:12" x14ac:dyDescent="0.2">
      <c r="A5413"/>
      <c r="B5413"/>
      <c r="C5413"/>
      <c r="D5413"/>
      <c r="E5413" s="2">
        <f>Comuni__2[[#This Row],[Popolazione2011]]/$D$7911</f>
        <v>5.4355986984652441E-6</v>
      </c>
      <c r="F5413">
        <f>SUMIFS($D$2:$D$7909, $B$2:$B$7909, "Piemonte")</f>
        <v>4363916</v>
      </c>
      <c r="G5413" s="1">
        <f>Comuni__2[[#This Row],[Popolazione2011]]/Comuni__2[[#This Row],[POPOLAZIONE TOTALE DI OGNI REGIONE (CON FILTRO)]]</f>
        <v>7.4016090135557144E-5</v>
      </c>
      <c r="H5413" t="str">
        <f>IF(Comuni__2[[#This Row],[Popolazione2011]]&gt;300000,"MAGGIORE","")</f>
        <v/>
      </c>
      <c r="J5413">
        <v>270</v>
      </c>
      <c r="K5413">
        <v>2867</v>
      </c>
      <c r="L5413">
        <v>108</v>
      </c>
    </row>
    <row r="5414" spans="1:12" x14ac:dyDescent="0.2">
      <c r="A5414"/>
      <c r="B5414"/>
      <c r="C5414"/>
      <c r="D5414"/>
      <c r="E5414" s="2">
        <f>Comuni__2[[#This Row],[Popolazione2011]]/$D$7911</f>
        <v>5.4355986984652441E-6</v>
      </c>
      <c r="F5414">
        <f>SUMIFS($D$2:$D$7909, $B$2:$B$7909, "Piemonte")</f>
        <v>4363916</v>
      </c>
      <c r="G5414" s="1">
        <f>Comuni__2[[#This Row],[Popolazione2011]]/Comuni__2[[#This Row],[POPOLAZIONE TOTALE DI OGNI REGIONE (CON FILTRO)]]</f>
        <v>7.4016090135557144E-5</v>
      </c>
      <c r="H5414" t="str">
        <f>IF(Comuni__2[[#This Row],[Popolazione2011]]&gt;300000,"MAGGIORE","")</f>
        <v/>
      </c>
      <c r="J5414">
        <v>285</v>
      </c>
      <c r="K5414">
        <v>3001</v>
      </c>
      <c r="L5414">
        <v>110</v>
      </c>
    </row>
    <row r="5415" spans="1:12" x14ac:dyDescent="0.2">
      <c r="A5415"/>
      <c r="B5415"/>
      <c r="C5415"/>
      <c r="D5415"/>
      <c r="E5415" s="2">
        <f>Comuni__2[[#This Row],[Popolazione2011]]/$D$7911</f>
        <v>5.4355986984652441E-6</v>
      </c>
      <c r="F5415">
        <f>SUMIFS($D$2:$D$7909, $B$2:$B$7909, "Piemonte")</f>
        <v>4363916</v>
      </c>
      <c r="G5415" s="1">
        <f>Comuni__2[[#This Row],[Popolazione2011]]/Comuni__2[[#This Row],[POPOLAZIONE TOTALE DI OGNI REGIONE (CON FILTRO)]]</f>
        <v>7.4016090135557144E-5</v>
      </c>
      <c r="H5415" t="str">
        <f>IF(Comuni__2[[#This Row],[Popolazione2011]]&gt;300000,"MAGGIORE","")</f>
        <v/>
      </c>
      <c r="J5415">
        <v>292</v>
      </c>
      <c r="K5415">
        <v>3160</v>
      </c>
      <c r="L5415">
        <v>114</v>
      </c>
    </row>
    <row r="5416" spans="1:12" x14ac:dyDescent="0.2">
      <c r="A5416"/>
      <c r="B5416"/>
      <c r="C5416"/>
      <c r="D5416"/>
      <c r="E5416" s="2">
        <f>Comuni__2[[#This Row],[Popolazione2011]]/$D$7911</f>
        <v>5.4187702195226271E-6</v>
      </c>
      <c r="F5416">
        <f>SUMIFS($D$2:$D$7909, $B$2:$B$7909, "Piemonte")</f>
        <v>4363916</v>
      </c>
      <c r="G5416" s="1">
        <f>Comuni__2[[#This Row],[Popolazione2011]]/Comuni__2[[#This Row],[POPOLAZIONE TOTALE DI OGNI REGIONE (CON FILTRO)]]</f>
        <v>7.3786938153713312E-5</v>
      </c>
      <c r="H5416" t="str">
        <f>IF(Comuni__2[[#This Row],[Popolazione2011]]&gt;300000,"MAGGIORE","")</f>
        <v/>
      </c>
      <c r="J5416">
        <v>301</v>
      </c>
      <c r="K5416">
        <v>3277</v>
      </c>
      <c r="L5416">
        <v>119</v>
      </c>
    </row>
    <row r="5417" spans="1:12" x14ac:dyDescent="0.2">
      <c r="A5417"/>
      <c r="B5417"/>
      <c r="C5417"/>
      <c r="D5417"/>
      <c r="E5417" s="2">
        <f>Comuni__2[[#This Row],[Popolazione2011]]/$D$7911</f>
        <v>5.401941740580011E-6</v>
      </c>
      <c r="F5417">
        <f>SUMIFS($D$2:$D$7909, $B$2:$B$7909, "Piemonte")</f>
        <v>4363916</v>
      </c>
      <c r="G5417" s="1">
        <f>Comuni__2[[#This Row],[Popolazione2011]]/Comuni__2[[#This Row],[POPOLAZIONE TOTALE DI OGNI REGIONE (CON FILTRO)]]</f>
        <v>7.3557786171869481E-5</v>
      </c>
      <c r="H5417" t="str">
        <f>IF(Comuni__2[[#This Row],[Popolazione2011]]&gt;300000,"MAGGIORE","")</f>
        <v/>
      </c>
      <c r="J5417">
        <v>302</v>
      </c>
      <c r="K5417">
        <v>3409</v>
      </c>
      <c r="L5417">
        <v>121</v>
      </c>
    </row>
    <row r="5418" spans="1:12" x14ac:dyDescent="0.2">
      <c r="A5418"/>
      <c r="B5418"/>
      <c r="C5418"/>
      <c r="D5418"/>
      <c r="E5418" s="2">
        <f>Comuni__2[[#This Row],[Popolazione2011]]/$D$7911</f>
        <v>5.3177993458669261E-6</v>
      </c>
      <c r="F5418">
        <f>SUMIFS($D$2:$D$7909, $B$2:$B$7909, "Piemonte")</f>
        <v>4363916</v>
      </c>
      <c r="G5418" s="1">
        <f>Comuni__2[[#This Row],[Popolazione2011]]/Comuni__2[[#This Row],[POPOLAZIONE TOTALE DI OGNI REGIONE (CON FILTRO)]]</f>
        <v>7.2412026262650336E-5</v>
      </c>
      <c r="H5418" t="str">
        <f>IF(Comuni__2[[#This Row],[Popolazione2011]]&gt;300000,"MAGGIORE","")</f>
        <v/>
      </c>
      <c r="J5418">
        <v>320</v>
      </c>
      <c r="K5418">
        <v>3499</v>
      </c>
      <c r="L5418">
        <v>126</v>
      </c>
    </row>
    <row r="5419" spans="1:12" x14ac:dyDescent="0.2">
      <c r="A5419"/>
      <c r="B5419"/>
      <c r="C5419"/>
      <c r="D5419"/>
      <c r="E5419" s="2">
        <f>Comuni__2[[#This Row],[Popolazione2011]]/$D$7911</f>
        <v>5.2673139090390761E-6</v>
      </c>
      <c r="F5419">
        <f>SUMIFS($D$2:$D$7909, $B$2:$B$7909, "Piemonte")</f>
        <v>4363916</v>
      </c>
      <c r="G5419" s="1">
        <f>Comuni__2[[#This Row],[Popolazione2011]]/Comuni__2[[#This Row],[POPOLAZIONE TOTALE DI OGNI REGIONE (CON FILTRO)]]</f>
        <v>7.1724570317118841E-5</v>
      </c>
      <c r="H5419" t="str">
        <f>IF(Comuni__2[[#This Row],[Popolazione2011]]&gt;300000,"MAGGIORE","")</f>
        <v/>
      </c>
      <c r="J5419">
        <v>341</v>
      </c>
      <c r="K5419">
        <v>3602</v>
      </c>
      <c r="L5419">
        <v>135</v>
      </c>
    </row>
    <row r="5420" spans="1:12" x14ac:dyDescent="0.2">
      <c r="A5420"/>
      <c r="B5420"/>
      <c r="C5420"/>
      <c r="D5420"/>
      <c r="E5420" s="2">
        <f>Comuni__2[[#This Row],[Popolazione2011]]/$D$7911</f>
        <v>5.2673139090390761E-6</v>
      </c>
      <c r="F5420">
        <f>SUMIFS($D$2:$D$7909, $B$2:$B$7909, "Piemonte")</f>
        <v>4363916</v>
      </c>
      <c r="G5420" s="1">
        <f>Comuni__2[[#This Row],[Popolazione2011]]/Comuni__2[[#This Row],[POPOLAZIONE TOTALE DI OGNI REGIONE (CON FILTRO)]]</f>
        <v>7.1724570317118841E-5</v>
      </c>
      <c r="H5420" t="str">
        <f>IF(Comuni__2[[#This Row],[Popolazione2011]]&gt;300000,"MAGGIORE","")</f>
        <v/>
      </c>
      <c r="J5420">
        <v>354</v>
      </c>
      <c r="K5420">
        <v>3674</v>
      </c>
      <c r="L5420">
        <v>140</v>
      </c>
    </row>
    <row r="5421" spans="1:12" x14ac:dyDescent="0.2">
      <c r="A5421"/>
      <c r="B5421"/>
      <c r="C5421"/>
      <c r="D5421"/>
      <c r="E5421" s="2">
        <f>Comuni__2[[#This Row],[Popolazione2011]]/$D$7911</f>
        <v>5.2504854300964591E-6</v>
      </c>
      <c r="F5421">
        <f>SUMIFS($D$2:$D$7909, $B$2:$B$7909, "Piemonte")</f>
        <v>4363916</v>
      </c>
      <c r="G5421" s="1">
        <f>Comuni__2[[#This Row],[Popolazione2011]]/Comuni__2[[#This Row],[POPOLAZIONE TOTALE DI OGNI REGIONE (CON FILTRO)]]</f>
        <v>7.149541833527501E-5</v>
      </c>
      <c r="H5421" t="str">
        <f>IF(Comuni__2[[#This Row],[Popolazione2011]]&gt;300000,"MAGGIORE","")</f>
        <v/>
      </c>
      <c r="J5421">
        <v>353</v>
      </c>
      <c r="K5421">
        <v>3845</v>
      </c>
      <c r="L5421">
        <v>148</v>
      </c>
    </row>
    <row r="5422" spans="1:12" x14ac:dyDescent="0.2">
      <c r="A5422"/>
      <c r="B5422"/>
      <c r="C5422"/>
      <c r="D5422"/>
      <c r="E5422" s="2">
        <f>Comuni__2[[#This Row],[Popolazione2011]]/$D$7911</f>
        <v>5.1663430353833751E-6</v>
      </c>
      <c r="F5422">
        <f>SUMIFS($D$2:$D$7909, $B$2:$B$7909, "Piemonte")</f>
        <v>4363916</v>
      </c>
      <c r="G5422" s="1">
        <f>Comuni__2[[#This Row],[Popolazione2011]]/Comuni__2[[#This Row],[POPOLAZIONE TOTALE DI OGNI REGIONE (CON FILTRO)]]</f>
        <v>7.0349658426055865E-5</v>
      </c>
      <c r="H5422" t="str">
        <f>IF(Comuni__2[[#This Row],[Popolazione2011]]&gt;300000,"MAGGIORE","")</f>
        <v/>
      </c>
      <c r="J5422">
        <v>356</v>
      </c>
      <c r="K5422">
        <v>4066</v>
      </c>
      <c r="L5422">
        <v>154</v>
      </c>
    </row>
    <row r="5423" spans="1:12" x14ac:dyDescent="0.2">
      <c r="A5423"/>
      <c r="B5423"/>
      <c r="C5423"/>
      <c r="D5423"/>
      <c r="E5423" s="2">
        <f>Comuni__2[[#This Row],[Popolazione2011]]/$D$7911</f>
        <v>5.1495145564407581E-6</v>
      </c>
      <c r="F5423">
        <f>SUMIFS($D$2:$D$7909, $B$2:$B$7909, "Piemonte")</f>
        <v>4363916</v>
      </c>
      <c r="G5423" s="1">
        <f>Comuni__2[[#This Row],[Popolazione2011]]/Comuni__2[[#This Row],[POPOLAZIONE TOTALE DI OGNI REGIONE (CON FILTRO)]]</f>
        <v>7.0120506444212033E-5</v>
      </c>
      <c r="H5423" t="str">
        <f>IF(Comuni__2[[#This Row],[Popolazione2011]]&gt;300000,"MAGGIORE","")</f>
        <v/>
      </c>
      <c r="J5423">
        <v>369</v>
      </c>
      <c r="K5423">
        <v>4270</v>
      </c>
      <c r="L5423">
        <v>165</v>
      </c>
    </row>
    <row r="5424" spans="1:12" x14ac:dyDescent="0.2">
      <c r="A5424"/>
      <c r="B5424"/>
      <c r="C5424"/>
      <c r="D5424"/>
      <c r="E5424" s="2">
        <f>Comuni__2[[#This Row],[Popolazione2011]]/$D$7911</f>
        <v>5.1495145564407581E-6</v>
      </c>
      <c r="F5424">
        <f>SUMIFS($D$2:$D$7909, $B$2:$B$7909, "Piemonte")</f>
        <v>4363916</v>
      </c>
      <c r="G5424" s="1">
        <f>Comuni__2[[#This Row],[Popolazione2011]]/Comuni__2[[#This Row],[POPOLAZIONE TOTALE DI OGNI REGIONE (CON FILTRO)]]</f>
        <v>7.0120506444212033E-5</v>
      </c>
      <c r="H5424" t="str">
        <f>IF(Comuni__2[[#This Row],[Popolazione2011]]&gt;300000,"MAGGIORE","")</f>
        <v/>
      </c>
      <c r="J5424">
        <v>379</v>
      </c>
      <c r="K5424">
        <v>4532</v>
      </c>
      <c r="L5424">
        <v>174</v>
      </c>
    </row>
    <row r="5425" spans="1:12" x14ac:dyDescent="0.2">
      <c r="A5425"/>
      <c r="B5425"/>
      <c r="C5425"/>
      <c r="D5425"/>
      <c r="E5425" s="2">
        <f>Comuni__2[[#This Row],[Popolazione2011]]/$D$7911</f>
        <v>5.1326860774981411E-6</v>
      </c>
      <c r="F5425">
        <f>SUMIFS($D$2:$D$7909, $B$2:$B$7909, "Piemonte")</f>
        <v>4363916</v>
      </c>
      <c r="G5425" s="1">
        <f>Comuni__2[[#This Row],[Popolazione2011]]/Comuni__2[[#This Row],[POPOLAZIONE TOTALE DI OGNI REGIONE (CON FILTRO)]]</f>
        <v>6.9891354462368202E-5</v>
      </c>
      <c r="H5425" t="str">
        <f>IF(Comuni__2[[#This Row],[Popolazione2011]]&gt;300000,"MAGGIORE","")</f>
        <v/>
      </c>
      <c r="J5425">
        <v>403</v>
      </c>
      <c r="K5425">
        <v>4731</v>
      </c>
      <c r="L5425">
        <v>178</v>
      </c>
    </row>
    <row r="5426" spans="1:12" x14ac:dyDescent="0.2">
      <c r="A5426"/>
      <c r="B5426"/>
      <c r="C5426"/>
      <c r="D5426"/>
      <c r="E5426" s="2">
        <f>Comuni__2[[#This Row],[Popolazione2011]]/$D$7911</f>
        <v>5.0822006406702902E-6</v>
      </c>
      <c r="F5426">
        <f>SUMIFS($D$2:$D$7909, $B$2:$B$7909, "Piemonte")</f>
        <v>4363916</v>
      </c>
      <c r="G5426" s="1">
        <f>Comuni__2[[#This Row],[Popolazione2011]]/Comuni__2[[#This Row],[POPOLAZIONE TOTALE DI OGNI REGIONE (CON FILTRO)]]</f>
        <v>6.9203898516836707E-5</v>
      </c>
      <c r="H5426" t="str">
        <f>IF(Comuni__2[[#This Row],[Popolazione2011]]&gt;300000,"MAGGIORE","")</f>
        <v/>
      </c>
      <c r="J5426">
        <v>415</v>
      </c>
      <c r="K5426">
        <v>4951</v>
      </c>
      <c r="L5426">
        <v>188</v>
      </c>
    </row>
    <row r="5427" spans="1:12" x14ac:dyDescent="0.2">
      <c r="A5427"/>
      <c r="B5427"/>
      <c r="C5427"/>
      <c r="D5427"/>
      <c r="E5427" s="2">
        <f>Comuni__2[[#This Row],[Popolazione2011]]/$D$7911</f>
        <v>5.0653721617276732E-6</v>
      </c>
      <c r="F5427">
        <f>SUMIFS($D$2:$D$7909, $B$2:$B$7909, "Piemonte")</f>
        <v>4363916</v>
      </c>
      <c r="G5427" s="1">
        <f>Comuni__2[[#This Row],[Popolazione2011]]/Comuni__2[[#This Row],[POPOLAZIONE TOTALE DI OGNI REGIONE (CON FILTRO)]]</f>
        <v>6.8974746534992889E-5</v>
      </c>
      <c r="H5427" t="str">
        <f>IF(Comuni__2[[#This Row],[Popolazione2011]]&gt;300000,"MAGGIORE","")</f>
        <v/>
      </c>
      <c r="J5427">
        <v>424</v>
      </c>
      <c r="K5427">
        <v>5060</v>
      </c>
      <c r="L5427">
        <v>197</v>
      </c>
    </row>
    <row r="5428" spans="1:12" x14ac:dyDescent="0.2">
      <c r="A5428"/>
      <c r="B5428"/>
      <c r="C5428"/>
      <c r="D5428"/>
      <c r="E5428" s="2">
        <f>Comuni__2[[#This Row],[Popolazione2011]]/$D$7911</f>
        <v>5.0485436827850571E-6</v>
      </c>
      <c r="F5428">
        <f>SUMIFS($D$2:$D$7909, $B$2:$B$7909, "Piemonte")</f>
        <v>4363916</v>
      </c>
      <c r="G5428" s="1">
        <f>Comuni__2[[#This Row],[Popolazione2011]]/Comuni__2[[#This Row],[POPOLAZIONE TOTALE DI OGNI REGIONE (CON FILTRO)]]</f>
        <v>6.8745594553149057E-5</v>
      </c>
      <c r="H5428" t="str">
        <f>IF(Comuni__2[[#This Row],[Popolazione2011]]&gt;300000,"MAGGIORE","")</f>
        <v/>
      </c>
      <c r="J5428">
        <v>429</v>
      </c>
      <c r="K5428">
        <v>5392</v>
      </c>
      <c r="L5428">
        <v>206</v>
      </c>
    </row>
    <row r="5429" spans="1:12" x14ac:dyDescent="0.2">
      <c r="A5429"/>
      <c r="B5429"/>
      <c r="C5429"/>
      <c r="D5429"/>
      <c r="E5429" s="2">
        <f>Comuni__2[[#This Row],[Popolazione2011]]/$D$7911</f>
        <v>5.0148867248998232E-6</v>
      </c>
      <c r="F5429">
        <f>SUMIFS($D$2:$D$7909, $B$2:$B$7909, "Piemonte")</f>
        <v>4363916</v>
      </c>
      <c r="G5429" s="1">
        <f>Comuni__2[[#This Row],[Popolazione2011]]/Comuni__2[[#This Row],[POPOLAZIONE TOTALE DI OGNI REGIONE (CON FILTRO)]]</f>
        <v>6.8287290589461394E-5</v>
      </c>
      <c r="H5429" t="str">
        <f>IF(Comuni__2[[#This Row],[Popolazione2011]]&gt;300000,"MAGGIORE","")</f>
        <v/>
      </c>
      <c r="J5429">
        <v>427</v>
      </c>
      <c r="K5429">
        <v>5701</v>
      </c>
      <c r="L5429">
        <v>218</v>
      </c>
    </row>
    <row r="5430" spans="1:12" x14ac:dyDescent="0.2">
      <c r="A5430"/>
      <c r="B5430"/>
      <c r="C5430"/>
      <c r="D5430"/>
      <c r="E5430" s="2">
        <f>Comuni__2[[#This Row],[Popolazione2011]]/$D$7911</f>
        <v>4.9812297670145892E-6</v>
      </c>
      <c r="F5430">
        <f>SUMIFS($D$2:$D$7909, $B$2:$B$7909, "Piemonte")</f>
        <v>4363916</v>
      </c>
      <c r="G5430" s="1">
        <f>Comuni__2[[#This Row],[Popolazione2011]]/Comuni__2[[#This Row],[POPOLAZIONE TOTALE DI OGNI REGIONE (CON FILTRO)]]</f>
        <v>6.7828986625773731E-5</v>
      </c>
      <c r="H5430" t="str">
        <f>IF(Comuni__2[[#This Row],[Popolazione2011]]&gt;300000,"MAGGIORE","")</f>
        <v/>
      </c>
      <c r="J5430">
        <v>423</v>
      </c>
      <c r="K5430">
        <v>6026</v>
      </c>
      <c r="L5430">
        <v>226</v>
      </c>
    </row>
    <row r="5431" spans="1:12" x14ac:dyDescent="0.2">
      <c r="A5431"/>
      <c r="B5431"/>
      <c r="C5431"/>
      <c r="D5431"/>
      <c r="E5431" s="2">
        <f>Comuni__2[[#This Row],[Popolazione2011]]/$D$7911</f>
        <v>4.9475728091293553E-6</v>
      </c>
      <c r="F5431">
        <f>SUMIFS($D$2:$D$7909, $B$2:$B$7909, "Piemonte")</f>
        <v>4363916</v>
      </c>
      <c r="G5431" s="1">
        <f>Comuni__2[[#This Row],[Popolazione2011]]/Comuni__2[[#This Row],[POPOLAZIONE TOTALE DI OGNI REGIONE (CON FILTRO)]]</f>
        <v>6.7370682662086067E-5</v>
      </c>
      <c r="H5431" t="str">
        <f>IF(Comuni__2[[#This Row],[Popolazione2011]]&gt;300000,"MAGGIORE","")</f>
        <v/>
      </c>
      <c r="J5431">
        <v>427</v>
      </c>
      <c r="K5431">
        <v>7016</v>
      </c>
      <c r="L5431">
        <v>234</v>
      </c>
    </row>
    <row r="5432" spans="1:12" x14ac:dyDescent="0.2">
      <c r="A5432"/>
      <c r="B5432"/>
      <c r="C5432"/>
      <c r="D5432"/>
      <c r="E5432" s="2">
        <f>Comuni__2[[#This Row],[Popolazione2011]]/$D$7911</f>
        <v>4.8970873723015052E-6</v>
      </c>
      <c r="F5432">
        <f>SUMIFS($D$2:$D$7909, $B$2:$B$7909, "Piemonte")</f>
        <v>4363916</v>
      </c>
      <c r="G5432" s="1">
        <f>Comuni__2[[#This Row],[Popolazione2011]]/Comuni__2[[#This Row],[POPOLAZIONE TOTALE DI OGNI REGIONE (CON FILTRO)]]</f>
        <v>6.6683226716554586E-5</v>
      </c>
      <c r="H5432" t="str">
        <f>IF(Comuni__2[[#This Row],[Popolazione2011]]&gt;300000,"MAGGIORE","")</f>
        <v/>
      </c>
      <c r="J5432">
        <v>429</v>
      </c>
      <c r="K5432">
        <v>7201</v>
      </c>
      <c r="L5432">
        <v>242</v>
      </c>
    </row>
    <row r="5433" spans="1:12" x14ac:dyDescent="0.2">
      <c r="A5433"/>
      <c r="B5433"/>
      <c r="C5433"/>
      <c r="D5433"/>
      <c r="E5433" s="2">
        <f>Comuni__2[[#This Row],[Popolazione2011]]/$D$7911</f>
        <v>4.8802588933588882E-6</v>
      </c>
      <c r="F5433">
        <f>SUMIFS($D$2:$D$7909, $B$2:$B$7909, "Piemonte")</f>
        <v>4363916</v>
      </c>
      <c r="G5433" s="1">
        <f>Comuni__2[[#This Row],[Popolazione2011]]/Comuni__2[[#This Row],[POPOLAZIONE TOTALE DI OGNI REGIONE (CON FILTRO)]]</f>
        <v>6.6454074734710754E-5</v>
      </c>
      <c r="H5433" t="str">
        <f>IF(Comuni__2[[#This Row],[Popolazione2011]]&gt;300000,"MAGGIORE","")</f>
        <v/>
      </c>
      <c r="J5433">
        <v>437</v>
      </c>
      <c r="K5433">
        <v>7528</v>
      </c>
      <c r="L5433">
        <v>253</v>
      </c>
    </row>
    <row r="5434" spans="1:12" x14ac:dyDescent="0.2">
      <c r="A5434"/>
      <c r="B5434"/>
      <c r="C5434"/>
      <c r="D5434"/>
      <c r="E5434" s="2">
        <f>Comuni__2[[#This Row],[Popolazione2011]]/$D$7911</f>
        <v>4.8634304144162713E-6</v>
      </c>
      <c r="F5434">
        <f>SUMIFS($D$2:$D$7909, $B$2:$B$7909, "Piemonte")</f>
        <v>4363916</v>
      </c>
      <c r="G5434" s="1">
        <f>Comuni__2[[#This Row],[Popolazione2011]]/Comuni__2[[#This Row],[POPOLAZIONE TOTALE DI OGNI REGIONE (CON FILTRO)]]</f>
        <v>6.6224922752866923E-5</v>
      </c>
      <c r="H5434" t="str">
        <f>IF(Comuni__2[[#This Row],[Popolazione2011]]&gt;300000,"MAGGIORE","")</f>
        <v/>
      </c>
      <c r="J5434">
        <v>447</v>
      </c>
      <c r="K5434">
        <v>7658</v>
      </c>
      <c r="L5434">
        <v>262</v>
      </c>
    </row>
    <row r="5435" spans="1:12" x14ac:dyDescent="0.2">
      <c r="A5435"/>
      <c r="B5435"/>
      <c r="C5435"/>
      <c r="D5435"/>
      <c r="E5435" s="2">
        <f>Comuni__2[[#This Row],[Popolazione2011]]/$D$7911</f>
        <v>4.8466019354736543E-6</v>
      </c>
      <c r="F5435">
        <f>SUMIFS($D$2:$D$7909, $B$2:$B$7909, "Piemonte")</f>
        <v>4363916</v>
      </c>
      <c r="G5435" s="1">
        <f>Comuni__2[[#This Row],[Popolazione2011]]/Comuni__2[[#This Row],[POPOLAZIONE TOTALE DI OGNI REGIONE (CON FILTRO)]]</f>
        <v>6.5995770771023091E-5</v>
      </c>
      <c r="H5435" t="str">
        <f>IF(Comuni__2[[#This Row],[Popolazione2011]]&gt;300000,"MAGGIORE","")</f>
        <v/>
      </c>
      <c r="J5435">
        <v>438</v>
      </c>
      <c r="K5435">
        <v>7991</v>
      </c>
      <c r="L5435">
        <v>275</v>
      </c>
    </row>
    <row r="5436" spans="1:12" x14ac:dyDescent="0.2">
      <c r="A5436"/>
      <c r="B5436"/>
      <c r="C5436"/>
      <c r="D5436"/>
      <c r="E5436" s="2">
        <f>Comuni__2[[#This Row],[Popolazione2011]]/$D$7911</f>
        <v>4.8297734565310373E-6</v>
      </c>
      <c r="F5436">
        <f>SUMIFS($D$2:$D$7909, $B$2:$B$7909, "Piemonte")</f>
        <v>4363916</v>
      </c>
      <c r="G5436" s="1">
        <f>Comuni__2[[#This Row],[Popolazione2011]]/Comuni__2[[#This Row],[POPOLAZIONE TOTALE DI OGNI REGIONE (CON FILTRO)]]</f>
        <v>6.5766618789179259E-5</v>
      </c>
      <c r="H5436" t="str">
        <f>IF(Comuni__2[[#This Row],[Popolazione2011]]&gt;300000,"MAGGIORE","")</f>
        <v/>
      </c>
      <c r="J5436">
        <v>442</v>
      </c>
      <c r="K5436">
        <v>8451</v>
      </c>
      <c r="L5436">
        <v>286</v>
      </c>
    </row>
    <row r="5437" spans="1:12" x14ac:dyDescent="0.2">
      <c r="A5437"/>
      <c r="B5437"/>
      <c r="C5437"/>
      <c r="D5437"/>
      <c r="E5437" s="2">
        <f>Comuni__2[[#This Row],[Popolazione2011]]/$D$7911</f>
        <v>4.7792880197031872E-6</v>
      </c>
      <c r="F5437">
        <f>SUMIFS($D$2:$D$7909, $B$2:$B$7909, "Piemonte")</f>
        <v>4363916</v>
      </c>
      <c r="G5437" s="1">
        <f>Comuni__2[[#This Row],[Popolazione2011]]/Comuni__2[[#This Row],[POPOLAZIONE TOTALE DI OGNI REGIONE (CON FILTRO)]]</f>
        <v>6.5079162843647764E-5</v>
      </c>
      <c r="H5437" t="str">
        <f>IF(Comuni__2[[#This Row],[Popolazione2011]]&gt;300000,"MAGGIORE","")</f>
        <v/>
      </c>
      <c r="J5437">
        <v>444</v>
      </c>
      <c r="K5437">
        <v>8889</v>
      </c>
      <c r="L5437">
        <v>293</v>
      </c>
    </row>
    <row r="5438" spans="1:12" x14ac:dyDescent="0.2">
      <c r="A5438"/>
      <c r="B5438"/>
      <c r="C5438"/>
      <c r="D5438"/>
      <c r="E5438" s="2">
        <f>Comuni__2[[#This Row],[Popolazione2011]]/$D$7911</f>
        <v>4.7792880197031872E-6</v>
      </c>
      <c r="F5438">
        <f>SUMIFS($D$2:$D$7909, $B$2:$B$7909, "Piemonte")</f>
        <v>4363916</v>
      </c>
      <c r="G5438" s="1">
        <f>Comuni__2[[#This Row],[Popolazione2011]]/Comuni__2[[#This Row],[POPOLAZIONE TOTALE DI OGNI REGIONE (CON FILTRO)]]</f>
        <v>6.5079162843647764E-5</v>
      </c>
      <c r="H5438" t="str">
        <f>IF(Comuni__2[[#This Row],[Popolazione2011]]&gt;300000,"MAGGIORE","")</f>
        <v/>
      </c>
      <c r="J5438">
        <v>434</v>
      </c>
      <c r="K5438">
        <v>9279</v>
      </c>
      <c r="L5438">
        <v>314</v>
      </c>
    </row>
    <row r="5439" spans="1:12" x14ac:dyDescent="0.2">
      <c r="A5439"/>
      <c r="B5439"/>
      <c r="C5439"/>
      <c r="D5439"/>
      <c r="E5439" s="2">
        <f>Comuni__2[[#This Row],[Popolazione2011]]/$D$7911</f>
        <v>4.6951456249901024E-6</v>
      </c>
      <c r="F5439">
        <f>SUMIFS($D$2:$D$7909, $B$2:$B$7909, "Piemonte")</f>
        <v>4363916</v>
      </c>
      <c r="G5439" s="1">
        <f>Comuni__2[[#This Row],[Popolazione2011]]/Comuni__2[[#This Row],[POPOLAZIONE TOTALE DI OGNI REGIONE (CON FILTRO)]]</f>
        <v>6.393340293442862E-5</v>
      </c>
      <c r="H5439" t="str">
        <f>IF(Comuni__2[[#This Row],[Popolazione2011]]&gt;300000,"MAGGIORE","")</f>
        <v/>
      </c>
      <c r="J5439">
        <v>445</v>
      </c>
      <c r="K5439">
        <v>9623</v>
      </c>
      <c r="L5439">
        <v>323</v>
      </c>
    </row>
    <row r="5440" spans="1:12" x14ac:dyDescent="0.2">
      <c r="A5440"/>
      <c r="B5440"/>
      <c r="C5440"/>
      <c r="D5440"/>
      <c r="E5440" s="2">
        <f>Comuni__2[[#This Row],[Popolazione2011]]/$D$7911</f>
        <v>4.6783171460474863E-6</v>
      </c>
      <c r="F5440">
        <f>SUMIFS($D$2:$D$7909, $B$2:$B$7909, "Piemonte")</f>
        <v>4363916</v>
      </c>
      <c r="G5440" s="1">
        <f>Comuni__2[[#This Row],[Popolazione2011]]/Comuni__2[[#This Row],[POPOLAZIONE TOTALE DI OGNI REGIONE (CON FILTRO)]]</f>
        <v>6.3704250952584788E-5</v>
      </c>
      <c r="H5440" t="str">
        <f>IF(Comuni__2[[#This Row],[Popolazione2011]]&gt;300000,"MAGGIORE","")</f>
        <v/>
      </c>
      <c r="J5440">
        <v>443</v>
      </c>
      <c r="K5440">
        <v>9864</v>
      </c>
      <c r="L5440">
        <v>333</v>
      </c>
    </row>
    <row r="5441" spans="1:12" x14ac:dyDescent="0.2">
      <c r="A5441"/>
      <c r="B5441"/>
      <c r="C5441"/>
      <c r="D5441"/>
      <c r="E5441" s="2">
        <f>Comuni__2[[#This Row],[Popolazione2011]]/$D$7911</f>
        <v>4.6614886671048693E-6</v>
      </c>
      <c r="F5441">
        <f>SUMIFS($D$2:$D$7909, $B$2:$B$7909, "Piemonte")</f>
        <v>4363916</v>
      </c>
      <c r="G5441" s="1">
        <f>Comuni__2[[#This Row],[Popolazione2011]]/Comuni__2[[#This Row],[POPOLAZIONE TOTALE DI OGNI REGIONE (CON FILTRO)]]</f>
        <v>6.3475098970740957E-5</v>
      </c>
      <c r="H5441" t="str">
        <f>IF(Comuni__2[[#This Row],[Popolazione2011]]&gt;300000,"MAGGIORE","")</f>
        <v/>
      </c>
      <c r="J5441">
        <v>449</v>
      </c>
      <c r="K5441">
        <v>11054</v>
      </c>
      <c r="L5441">
        <v>337</v>
      </c>
    </row>
    <row r="5442" spans="1:12" x14ac:dyDescent="0.2">
      <c r="A5442"/>
      <c r="B5442"/>
      <c r="C5442"/>
      <c r="D5442"/>
      <c r="E5442" s="2">
        <f>Comuni__2[[#This Row],[Popolazione2011]]/$D$7911</f>
        <v>4.6110032302770184E-6</v>
      </c>
      <c r="F5442">
        <f>SUMIFS($D$2:$D$7909, $B$2:$B$7909, "Piemonte")</f>
        <v>4363916</v>
      </c>
      <c r="G5442" s="1">
        <f>Comuni__2[[#This Row],[Popolazione2011]]/Comuni__2[[#This Row],[POPOLAZIONE TOTALE DI OGNI REGIONE (CON FILTRO)]]</f>
        <v>6.2787643025209462E-5</v>
      </c>
      <c r="H5442" t="str">
        <f>IF(Comuni__2[[#This Row],[Popolazione2011]]&gt;300000,"MAGGIORE","")</f>
        <v/>
      </c>
      <c r="J5442">
        <v>440</v>
      </c>
      <c r="K5442">
        <v>11548</v>
      </c>
      <c r="L5442">
        <v>347</v>
      </c>
    </row>
    <row r="5443" spans="1:12" x14ac:dyDescent="0.2">
      <c r="A5443"/>
      <c r="B5443"/>
      <c r="C5443"/>
      <c r="D5443"/>
      <c r="E5443" s="2">
        <f>Comuni__2[[#This Row],[Popolazione2011]]/$D$7911</f>
        <v>4.5773462723917844E-6</v>
      </c>
      <c r="F5443">
        <f>SUMIFS($D$2:$D$7909, $B$2:$B$7909, "Piemonte")</f>
        <v>4363916</v>
      </c>
      <c r="G5443" s="1">
        <f>Comuni__2[[#This Row],[Popolazione2011]]/Comuni__2[[#This Row],[POPOLAZIONE TOTALE DI OGNI REGIONE (CON FILTRO)]]</f>
        <v>6.2329339061521812E-5</v>
      </c>
      <c r="H5443" t="str">
        <f>IF(Comuni__2[[#This Row],[Popolazione2011]]&gt;300000,"MAGGIORE","")</f>
        <v/>
      </c>
      <c r="J5443">
        <v>431</v>
      </c>
      <c r="K5443">
        <v>12186</v>
      </c>
      <c r="L5443">
        <v>355</v>
      </c>
    </row>
    <row r="5444" spans="1:12" x14ac:dyDescent="0.2">
      <c r="A5444"/>
      <c r="B5444"/>
      <c r="C5444"/>
      <c r="D5444"/>
      <c r="E5444" s="2">
        <f>Comuni__2[[#This Row],[Popolazione2011]]/$D$7911</f>
        <v>4.5773462723917844E-6</v>
      </c>
      <c r="F5444">
        <f>SUMIFS($D$2:$D$7909, $B$2:$B$7909, "Piemonte")</f>
        <v>4363916</v>
      </c>
      <c r="G5444" s="1">
        <f>Comuni__2[[#This Row],[Popolazione2011]]/Comuni__2[[#This Row],[POPOLAZIONE TOTALE DI OGNI REGIONE (CON FILTRO)]]</f>
        <v>6.2329339061521812E-5</v>
      </c>
      <c r="H5444" t="str">
        <f>IF(Comuni__2[[#This Row],[Popolazione2011]]&gt;300000,"MAGGIORE","")</f>
        <v/>
      </c>
      <c r="J5444">
        <v>417</v>
      </c>
      <c r="K5444">
        <v>13018</v>
      </c>
      <c r="L5444">
        <v>369</v>
      </c>
    </row>
    <row r="5445" spans="1:12" x14ac:dyDescent="0.2">
      <c r="A5445"/>
      <c r="B5445"/>
      <c r="C5445"/>
      <c r="D5445"/>
      <c r="E5445" s="2">
        <f>Comuni__2[[#This Row],[Popolazione2011]]/$D$7911</f>
        <v>4.5773462723917844E-6</v>
      </c>
      <c r="F5445">
        <f>SUMIFS($D$2:$D$7909, $B$2:$B$7909, "Piemonte")</f>
        <v>4363916</v>
      </c>
      <c r="G5445" s="1">
        <f>Comuni__2[[#This Row],[Popolazione2011]]/Comuni__2[[#This Row],[POPOLAZIONE TOTALE DI OGNI REGIONE (CON FILTRO)]]</f>
        <v>6.2329339061521812E-5</v>
      </c>
      <c r="H5445" t="str">
        <f>IF(Comuni__2[[#This Row],[Popolazione2011]]&gt;300000,"MAGGIORE","")</f>
        <v/>
      </c>
      <c r="J5445">
        <v>415</v>
      </c>
      <c r="K5445">
        <v>13649</v>
      </c>
      <c r="L5445">
        <v>383</v>
      </c>
    </row>
    <row r="5446" spans="1:12" x14ac:dyDescent="0.2">
      <c r="A5446"/>
      <c r="B5446"/>
      <c r="C5446"/>
      <c r="D5446"/>
      <c r="E5446" s="2">
        <f>Comuni__2[[#This Row],[Popolazione2011]]/$D$7911</f>
        <v>4.5605177934491683E-6</v>
      </c>
      <c r="F5446">
        <f>SUMIFS($D$2:$D$7909, $B$2:$B$7909, "Piemonte")</f>
        <v>4363916</v>
      </c>
      <c r="G5446" s="1">
        <f>Comuni__2[[#This Row],[Popolazione2011]]/Comuni__2[[#This Row],[POPOLAZIONE TOTALE DI OGNI REGIONE (CON FILTRO)]]</f>
        <v>6.210018707967798E-5</v>
      </c>
      <c r="H5446" t="str">
        <f>IF(Comuni__2[[#This Row],[Popolazione2011]]&gt;300000,"MAGGIORE","")</f>
        <v/>
      </c>
      <c r="J5446">
        <v>415</v>
      </c>
      <c r="K5446">
        <v>14388</v>
      </c>
      <c r="L5446">
        <v>389</v>
      </c>
    </row>
    <row r="5447" spans="1:12" x14ac:dyDescent="0.2">
      <c r="A5447"/>
      <c r="B5447"/>
      <c r="C5447"/>
      <c r="D5447"/>
      <c r="E5447" s="2">
        <f>Comuni__2[[#This Row],[Popolazione2011]]/$D$7911</f>
        <v>4.5436893145065513E-6</v>
      </c>
      <c r="F5447">
        <f>SUMIFS($D$2:$D$7909, $B$2:$B$7909, "Piemonte")</f>
        <v>4363916</v>
      </c>
      <c r="G5447" s="1">
        <f>Comuni__2[[#This Row],[Popolazione2011]]/Comuni__2[[#This Row],[POPOLAZIONE TOTALE DI OGNI REGIONE (CON FILTRO)]]</f>
        <v>6.1871035097834149E-5</v>
      </c>
      <c r="H5447" t="str">
        <f>IF(Comuni__2[[#This Row],[Popolazione2011]]&gt;300000,"MAGGIORE","")</f>
        <v/>
      </c>
      <c r="J5447">
        <v>420</v>
      </c>
      <c r="K5447">
        <v>14903</v>
      </c>
      <c r="L5447">
        <v>394</v>
      </c>
    </row>
    <row r="5448" spans="1:12" x14ac:dyDescent="0.2">
      <c r="A5448"/>
      <c r="B5448"/>
      <c r="C5448"/>
      <c r="D5448"/>
      <c r="E5448" s="2">
        <f>Comuni__2[[#This Row],[Popolazione2011]]/$D$7911</f>
        <v>4.5436893145065513E-6</v>
      </c>
      <c r="F5448">
        <f>SUMIFS($D$2:$D$7909, $B$2:$B$7909, "Piemonte")</f>
        <v>4363916</v>
      </c>
      <c r="G5448" s="1">
        <f>Comuni__2[[#This Row],[Popolazione2011]]/Comuni__2[[#This Row],[POPOLAZIONE TOTALE DI OGNI REGIONE (CON FILTRO)]]</f>
        <v>6.1871035097834149E-5</v>
      </c>
      <c r="H5448" t="str">
        <f>IF(Comuni__2[[#This Row],[Popolazione2011]]&gt;300000,"MAGGIORE","")</f>
        <v/>
      </c>
      <c r="J5448">
        <v>431</v>
      </c>
      <c r="K5448">
        <v>15166</v>
      </c>
      <c r="L5448">
        <v>407</v>
      </c>
    </row>
    <row r="5449" spans="1:12" x14ac:dyDescent="0.2">
      <c r="A5449"/>
      <c r="B5449"/>
      <c r="C5449"/>
      <c r="D5449"/>
      <c r="E5449" s="2">
        <f>Comuni__2[[#This Row],[Popolazione2011]]/$D$7911</f>
        <v>4.4763753987360834E-6</v>
      </c>
      <c r="F5449">
        <f>SUMIFS($D$2:$D$7909, $B$2:$B$7909, "Piemonte")</f>
        <v>4363916</v>
      </c>
      <c r="G5449" s="1">
        <f>Comuni__2[[#This Row],[Popolazione2011]]/Comuni__2[[#This Row],[POPOLAZIONE TOTALE DI OGNI REGIONE (CON FILTRO)]]</f>
        <v>6.0954427170458829E-5</v>
      </c>
      <c r="H5449" t="str">
        <f>IF(Comuni__2[[#This Row],[Popolazione2011]]&gt;300000,"MAGGIORE","")</f>
        <v/>
      </c>
      <c r="J5449">
        <v>425</v>
      </c>
      <c r="K5449">
        <v>15857</v>
      </c>
      <c r="L5449">
        <v>415</v>
      </c>
    </row>
    <row r="5450" spans="1:12" x14ac:dyDescent="0.2">
      <c r="A5450"/>
      <c r="B5450"/>
      <c r="C5450"/>
      <c r="D5450"/>
      <c r="E5450" s="2">
        <f>Comuni__2[[#This Row],[Popolazione2011]]/$D$7911</f>
        <v>4.4595469197934665E-6</v>
      </c>
      <c r="F5450">
        <f>SUMIFS($D$2:$D$7909, $B$2:$B$7909, "Piemonte")</f>
        <v>4363916</v>
      </c>
      <c r="G5450" s="1">
        <f>Comuni__2[[#This Row],[Popolazione2011]]/Comuni__2[[#This Row],[POPOLAZIONE TOTALE DI OGNI REGIONE (CON FILTRO)]]</f>
        <v>6.0725275188614997E-5</v>
      </c>
      <c r="H5450" t="str">
        <f>IF(Comuni__2[[#This Row],[Popolazione2011]]&gt;300000,"MAGGIORE","")</f>
        <v/>
      </c>
      <c r="J5450">
        <v>404</v>
      </c>
      <c r="K5450">
        <v>16722</v>
      </c>
      <c r="L5450">
        <v>425</v>
      </c>
    </row>
    <row r="5451" spans="1:12" x14ac:dyDescent="0.2">
      <c r="A5451"/>
      <c r="B5451"/>
      <c r="C5451"/>
      <c r="D5451"/>
      <c r="E5451" s="2">
        <f>Comuni__2[[#This Row],[Popolazione2011]]/$D$7911</f>
        <v>4.4595469197934665E-6</v>
      </c>
      <c r="F5451">
        <f>SUMIFS($D$2:$D$7909, $B$2:$B$7909, "Piemonte")</f>
        <v>4363916</v>
      </c>
      <c r="G5451" s="1">
        <f>Comuni__2[[#This Row],[Popolazione2011]]/Comuni__2[[#This Row],[POPOLAZIONE TOTALE DI OGNI REGIONE (CON FILTRO)]]</f>
        <v>6.0725275188614997E-5</v>
      </c>
      <c r="H5451" t="str">
        <f>IF(Comuni__2[[#This Row],[Popolazione2011]]&gt;300000,"MAGGIORE","")</f>
        <v/>
      </c>
      <c r="J5451">
        <v>398</v>
      </c>
      <c r="K5451">
        <v>17314</v>
      </c>
      <c r="L5451">
        <v>440</v>
      </c>
    </row>
    <row r="5452" spans="1:12" x14ac:dyDescent="0.2">
      <c r="A5452"/>
      <c r="B5452"/>
      <c r="C5452"/>
      <c r="D5452"/>
      <c r="E5452" s="2">
        <f>Comuni__2[[#This Row],[Popolazione2011]]/$D$7911</f>
        <v>4.4427184408508503E-6</v>
      </c>
      <c r="F5452">
        <f>SUMIFS($D$2:$D$7909, $B$2:$B$7909, "Piemonte")</f>
        <v>4363916</v>
      </c>
      <c r="G5452" s="1">
        <f>Comuni__2[[#This Row],[Popolazione2011]]/Comuni__2[[#This Row],[POPOLAZIONE TOTALE DI OGNI REGIONE (CON FILTRO)]]</f>
        <v>6.0496123206771166E-5</v>
      </c>
      <c r="H5452" t="str">
        <f>IF(Comuni__2[[#This Row],[Popolazione2011]]&gt;300000,"MAGGIORE","")</f>
        <v/>
      </c>
      <c r="J5452">
        <v>384</v>
      </c>
      <c r="K5452">
        <v>17817</v>
      </c>
      <c r="L5452">
        <v>444</v>
      </c>
    </row>
    <row r="5453" spans="1:12" x14ac:dyDescent="0.2">
      <c r="A5453"/>
      <c r="B5453"/>
      <c r="C5453"/>
      <c r="D5453"/>
      <c r="E5453" s="2">
        <f>Comuni__2[[#This Row],[Popolazione2011]]/$D$7911</f>
        <v>4.4427184408508503E-6</v>
      </c>
      <c r="F5453">
        <f>SUMIFS($D$2:$D$7909, $B$2:$B$7909, "Piemonte")</f>
        <v>4363916</v>
      </c>
      <c r="G5453" s="1">
        <f>Comuni__2[[#This Row],[Popolazione2011]]/Comuni__2[[#This Row],[POPOLAZIONE TOTALE DI OGNI REGIONE (CON FILTRO)]]</f>
        <v>6.0496123206771166E-5</v>
      </c>
      <c r="H5453" t="str">
        <f>IF(Comuni__2[[#This Row],[Popolazione2011]]&gt;300000,"MAGGIORE","")</f>
        <v/>
      </c>
      <c r="J5453">
        <v>391</v>
      </c>
      <c r="K5453">
        <v>18310</v>
      </c>
      <c r="L5453">
        <v>451</v>
      </c>
    </row>
    <row r="5454" spans="1:12" x14ac:dyDescent="0.2">
      <c r="A5454"/>
      <c r="B5454"/>
      <c r="C5454"/>
      <c r="D5454"/>
      <c r="E5454" s="2">
        <f>Comuni__2[[#This Row],[Popolazione2011]]/$D$7911</f>
        <v>4.4090614829656164E-6</v>
      </c>
      <c r="F5454">
        <f>SUMIFS($D$2:$D$7909, $B$2:$B$7909, "Piemonte")</f>
        <v>4363916</v>
      </c>
      <c r="G5454" s="1">
        <f>Comuni__2[[#This Row],[Popolazione2011]]/Comuni__2[[#This Row],[POPOLAZIONE TOTALE DI OGNI REGIONE (CON FILTRO)]]</f>
        <v>6.0037819243083502E-5</v>
      </c>
      <c r="H5454" t="str">
        <f>IF(Comuni__2[[#This Row],[Popolazione2011]]&gt;300000,"MAGGIORE","")</f>
        <v/>
      </c>
      <c r="J5454">
        <v>392</v>
      </c>
      <c r="K5454">
        <v>18619</v>
      </c>
      <c r="L5454">
        <v>460</v>
      </c>
    </row>
    <row r="5455" spans="1:12" x14ac:dyDescent="0.2">
      <c r="A5455"/>
      <c r="B5455"/>
      <c r="C5455"/>
      <c r="D5455"/>
      <c r="E5455" s="2">
        <f>Comuni__2[[#This Row],[Popolazione2011]]/$D$7911</f>
        <v>4.3922330040229994E-6</v>
      </c>
      <c r="F5455">
        <f>SUMIFS($D$2:$D$7909, $B$2:$B$7909, "Piemonte")</f>
        <v>4363916</v>
      </c>
      <c r="G5455" s="1">
        <f>Comuni__2[[#This Row],[Popolazione2011]]/Comuni__2[[#This Row],[POPOLAZIONE TOTALE DI OGNI REGIONE (CON FILTRO)]]</f>
        <v>5.9808667261239677E-5</v>
      </c>
      <c r="H5455" t="str">
        <f>IF(Comuni__2[[#This Row],[Popolazione2011]]&gt;300000,"MAGGIORE","")</f>
        <v/>
      </c>
      <c r="J5455">
        <v>0</v>
      </c>
      <c r="K5455">
        <v>0</v>
      </c>
      <c r="L5455">
        <v>0</v>
      </c>
    </row>
    <row r="5456" spans="1:12" x14ac:dyDescent="0.2">
      <c r="A5456"/>
      <c r="B5456"/>
      <c r="C5456"/>
      <c r="D5456"/>
      <c r="E5456" s="2">
        <f>Comuni__2[[#This Row],[Popolazione2011]]/$D$7911</f>
        <v>4.3922330040229994E-6</v>
      </c>
      <c r="F5456">
        <f>SUMIFS($D$2:$D$7909, $B$2:$B$7909, "Piemonte")</f>
        <v>4363916</v>
      </c>
      <c r="G5456" s="1">
        <f>Comuni__2[[#This Row],[Popolazione2011]]/Comuni__2[[#This Row],[POPOLAZIONE TOTALE DI OGNI REGIONE (CON FILTRO)]]</f>
        <v>5.9808667261239677E-5</v>
      </c>
      <c r="H5456" t="str">
        <f>IF(Comuni__2[[#This Row],[Popolazione2011]]&gt;300000,"MAGGIORE","")</f>
        <v/>
      </c>
      <c r="J5456">
        <v>0</v>
      </c>
      <c r="K5456">
        <v>0</v>
      </c>
      <c r="L5456">
        <v>0</v>
      </c>
    </row>
    <row r="5457" spans="1:12" x14ac:dyDescent="0.2">
      <c r="A5457"/>
      <c r="B5457"/>
      <c r="C5457"/>
      <c r="D5457"/>
      <c r="E5457" s="2">
        <f>Comuni__2[[#This Row],[Popolazione2011]]/$D$7911</f>
        <v>4.3922330040229994E-6</v>
      </c>
      <c r="F5457">
        <f>SUMIFS($D$2:$D$7909, $B$2:$B$7909, "Piemonte")</f>
        <v>4363916</v>
      </c>
      <c r="G5457" s="1">
        <f>Comuni__2[[#This Row],[Popolazione2011]]/Comuni__2[[#This Row],[POPOLAZIONE TOTALE DI OGNI REGIONE (CON FILTRO)]]</f>
        <v>5.9808667261239677E-5</v>
      </c>
      <c r="H5457" t="str">
        <f>IF(Comuni__2[[#This Row],[Popolazione2011]]&gt;300000,"MAGGIORE","")</f>
        <v/>
      </c>
      <c r="J5457">
        <v>0</v>
      </c>
      <c r="K5457">
        <v>0</v>
      </c>
      <c r="L5457">
        <v>0</v>
      </c>
    </row>
    <row r="5458" spans="1:12" x14ac:dyDescent="0.2">
      <c r="A5458"/>
      <c r="B5458"/>
      <c r="C5458"/>
      <c r="D5458"/>
      <c r="E5458" s="2">
        <f>Comuni__2[[#This Row],[Popolazione2011]]/$D$7911</f>
        <v>4.3585760461377655E-6</v>
      </c>
      <c r="F5458">
        <f>SUMIFS($D$2:$D$7909, $B$2:$B$7909, "Piemonte")</f>
        <v>4363916</v>
      </c>
      <c r="G5458" s="1">
        <f>Comuni__2[[#This Row],[Popolazione2011]]/Comuni__2[[#This Row],[POPOLAZIONE TOTALE DI OGNI REGIONE (CON FILTRO)]]</f>
        <v>5.9350363297552014E-5</v>
      </c>
      <c r="H5458" t="str">
        <f>IF(Comuni__2[[#This Row],[Popolazione2011]]&gt;300000,"MAGGIORE","")</f>
        <v/>
      </c>
      <c r="J5458">
        <v>0</v>
      </c>
      <c r="K5458">
        <v>0</v>
      </c>
      <c r="L5458">
        <v>0</v>
      </c>
    </row>
    <row r="5459" spans="1:12" x14ac:dyDescent="0.2">
      <c r="A5459"/>
      <c r="B5459"/>
      <c r="C5459"/>
      <c r="D5459"/>
      <c r="E5459" s="2">
        <f>Comuni__2[[#This Row],[Popolazione2011]]/$D$7911</f>
        <v>4.2912621303672984E-6</v>
      </c>
      <c r="F5459">
        <f>SUMIFS($D$2:$D$7909, $B$2:$B$7909, "Piemonte")</f>
        <v>4363916</v>
      </c>
      <c r="G5459" s="1">
        <f>Comuni__2[[#This Row],[Popolazione2011]]/Comuni__2[[#This Row],[POPOLAZIONE TOTALE DI OGNI REGIONE (CON FILTRO)]]</f>
        <v>5.8433755370176694E-5</v>
      </c>
      <c r="H5459" t="str">
        <f>IF(Comuni__2[[#This Row],[Popolazione2011]]&gt;300000,"MAGGIORE","")</f>
        <v/>
      </c>
      <c r="J5459">
        <v>0</v>
      </c>
      <c r="K5459">
        <v>0</v>
      </c>
      <c r="L5459">
        <v>0</v>
      </c>
    </row>
    <row r="5460" spans="1:12" x14ac:dyDescent="0.2">
      <c r="A5460"/>
      <c r="B5460"/>
      <c r="C5460"/>
      <c r="D5460"/>
      <c r="E5460" s="2">
        <f>Comuni__2[[#This Row],[Popolazione2011]]/$D$7911</f>
        <v>4.2744336514246815E-6</v>
      </c>
      <c r="F5460">
        <f>SUMIFS($D$2:$D$7909, $B$2:$B$7909, "Piemonte")</f>
        <v>4363916</v>
      </c>
      <c r="G5460" s="1">
        <f>Comuni__2[[#This Row],[Popolazione2011]]/Comuni__2[[#This Row],[POPOLAZIONE TOTALE DI OGNI REGIONE (CON FILTRO)]]</f>
        <v>5.8204603388332863E-5</v>
      </c>
      <c r="H5460" t="str">
        <f>IF(Comuni__2[[#This Row],[Popolazione2011]]&gt;300000,"MAGGIORE","")</f>
        <v/>
      </c>
      <c r="J5460">
        <v>0</v>
      </c>
      <c r="K5460">
        <v>0</v>
      </c>
      <c r="L5460">
        <v>0</v>
      </c>
    </row>
    <row r="5461" spans="1:12" x14ac:dyDescent="0.2">
      <c r="A5461"/>
      <c r="B5461"/>
      <c r="C5461"/>
      <c r="D5461"/>
      <c r="E5461" s="2">
        <f>Comuni__2[[#This Row],[Popolazione2011]]/$D$7911</f>
        <v>4.2744336514246815E-6</v>
      </c>
      <c r="F5461">
        <f>SUMIFS($D$2:$D$7909, $B$2:$B$7909, "Piemonte")</f>
        <v>4363916</v>
      </c>
      <c r="G5461" s="1">
        <f>Comuni__2[[#This Row],[Popolazione2011]]/Comuni__2[[#This Row],[POPOLAZIONE TOTALE DI OGNI REGIONE (CON FILTRO)]]</f>
        <v>5.8204603388332863E-5</v>
      </c>
      <c r="H5461" t="str">
        <f>IF(Comuni__2[[#This Row],[Popolazione2011]]&gt;300000,"MAGGIORE","")</f>
        <v/>
      </c>
      <c r="J5461">
        <v>0</v>
      </c>
      <c r="K5461">
        <v>0</v>
      </c>
      <c r="L5461">
        <v>0</v>
      </c>
    </row>
    <row r="5462" spans="1:12" x14ac:dyDescent="0.2">
      <c r="A5462"/>
      <c r="B5462"/>
      <c r="C5462"/>
      <c r="D5462"/>
      <c r="E5462" s="2">
        <f>Comuni__2[[#This Row],[Popolazione2011]]/$D$7911</f>
        <v>4.2407766935394475E-6</v>
      </c>
      <c r="F5462">
        <f>SUMIFS($D$2:$D$7909, $B$2:$B$7909, "Piemonte")</f>
        <v>4363916</v>
      </c>
      <c r="G5462" s="1">
        <f>Comuni__2[[#This Row],[Popolazione2011]]/Comuni__2[[#This Row],[POPOLAZIONE TOTALE DI OGNI REGIONE (CON FILTRO)]]</f>
        <v>5.7746299424645206E-5</v>
      </c>
      <c r="H5462" t="str">
        <f>IF(Comuni__2[[#This Row],[Popolazione2011]]&gt;300000,"MAGGIORE","")</f>
        <v/>
      </c>
      <c r="J5462">
        <v>0</v>
      </c>
      <c r="K5462">
        <v>0</v>
      </c>
      <c r="L5462">
        <v>0</v>
      </c>
    </row>
    <row r="5463" spans="1:12" x14ac:dyDescent="0.2">
      <c r="A5463"/>
      <c r="B5463"/>
      <c r="C5463"/>
      <c r="D5463"/>
      <c r="E5463" s="2">
        <f>Comuni__2[[#This Row],[Popolazione2011]]/$D$7911</f>
        <v>4.2407766935394475E-6</v>
      </c>
      <c r="F5463">
        <f>SUMIFS($D$2:$D$7909, $B$2:$B$7909, "Piemonte")</f>
        <v>4363916</v>
      </c>
      <c r="G5463" s="1">
        <f>Comuni__2[[#This Row],[Popolazione2011]]/Comuni__2[[#This Row],[POPOLAZIONE TOTALE DI OGNI REGIONE (CON FILTRO)]]</f>
        <v>5.7746299424645206E-5</v>
      </c>
      <c r="H5463" t="str">
        <f>IF(Comuni__2[[#This Row],[Popolazione2011]]&gt;300000,"MAGGIORE","")</f>
        <v/>
      </c>
      <c r="J5463">
        <v>0</v>
      </c>
      <c r="K5463">
        <v>0</v>
      </c>
      <c r="L5463">
        <v>0</v>
      </c>
    </row>
    <row r="5464" spans="1:12" x14ac:dyDescent="0.2">
      <c r="A5464"/>
      <c r="B5464"/>
      <c r="C5464"/>
      <c r="D5464"/>
      <c r="E5464" s="2">
        <f>Comuni__2[[#This Row],[Popolazione2011]]/$D$7911</f>
        <v>4.2071197356542136E-6</v>
      </c>
      <c r="F5464">
        <f>SUMIFS($D$2:$D$7909, $B$2:$B$7909, "Piemonte")</f>
        <v>4363916</v>
      </c>
      <c r="G5464" s="1">
        <f>Comuni__2[[#This Row],[Popolazione2011]]/Comuni__2[[#This Row],[POPOLAZIONE TOTALE DI OGNI REGIONE (CON FILTRO)]]</f>
        <v>5.7287995460957543E-5</v>
      </c>
      <c r="H5464" t="str">
        <f>IF(Comuni__2[[#This Row],[Popolazione2011]]&gt;300000,"MAGGIORE","")</f>
        <v/>
      </c>
      <c r="J5464">
        <v>0</v>
      </c>
      <c r="K5464">
        <v>0</v>
      </c>
      <c r="L5464">
        <v>0</v>
      </c>
    </row>
    <row r="5465" spans="1:12" x14ac:dyDescent="0.2">
      <c r="A5465"/>
      <c r="B5465"/>
      <c r="C5465"/>
      <c r="D5465"/>
      <c r="E5465" s="2">
        <f>Comuni__2[[#This Row],[Popolazione2011]]/$D$7911</f>
        <v>4.1566342988263635E-6</v>
      </c>
      <c r="F5465">
        <f>SUMIFS($D$2:$D$7909, $B$2:$B$7909, "Piemonte")</f>
        <v>4363916</v>
      </c>
      <c r="G5465" s="1">
        <f>Comuni__2[[#This Row],[Popolazione2011]]/Comuni__2[[#This Row],[POPOLAZIONE TOTALE DI OGNI REGIONE (CON FILTRO)]]</f>
        <v>5.6600539515426055E-5</v>
      </c>
      <c r="H5465" t="str">
        <f>IF(Comuni__2[[#This Row],[Popolazione2011]]&gt;300000,"MAGGIORE","")</f>
        <v/>
      </c>
      <c r="J5465">
        <v>0</v>
      </c>
      <c r="K5465">
        <v>0</v>
      </c>
      <c r="L5465">
        <v>0</v>
      </c>
    </row>
    <row r="5466" spans="1:12" x14ac:dyDescent="0.2">
      <c r="A5466"/>
      <c r="B5466"/>
      <c r="C5466"/>
      <c r="D5466"/>
      <c r="E5466" s="2">
        <f>Comuni__2[[#This Row],[Popolazione2011]]/$D$7911</f>
        <v>4.1398058198837465E-6</v>
      </c>
      <c r="F5466">
        <f>SUMIFS($D$2:$D$7909, $B$2:$B$7909, "Piemonte")</f>
        <v>4363916</v>
      </c>
      <c r="G5466" s="1">
        <f>Comuni__2[[#This Row],[Popolazione2011]]/Comuni__2[[#This Row],[POPOLAZIONE TOTALE DI OGNI REGIONE (CON FILTRO)]]</f>
        <v>5.6371387533582223E-5</v>
      </c>
      <c r="H5466" t="str">
        <f>IF(Comuni__2[[#This Row],[Popolazione2011]]&gt;300000,"MAGGIORE","")</f>
        <v/>
      </c>
      <c r="J5466">
        <v>0</v>
      </c>
      <c r="K5466">
        <v>0</v>
      </c>
      <c r="L5466">
        <v>0</v>
      </c>
    </row>
    <row r="5467" spans="1:12" x14ac:dyDescent="0.2">
      <c r="A5467"/>
      <c r="B5467"/>
      <c r="C5467"/>
      <c r="D5467"/>
      <c r="E5467" s="2">
        <f>Comuni__2[[#This Row],[Popolazione2011]]/$D$7911</f>
        <v>4.1061488619985126E-6</v>
      </c>
      <c r="F5467">
        <f>SUMIFS($D$2:$D$7909, $B$2:$B$7909, "Piemonte")</f>
        <v>4363916</v>
      </c>
      <c r="G5467" s="1">
        <f>Comuni__2[[#This Row],[Popolazione2011]]/Comuni__2[[#This Row],[POPOLAZIONE TOTALE DI OGNI REGIONE (CON FILTRO)]]</f>
        <v>5.591308356989456E-5</v>
      </c>
      <c r="H5467" t="str">
        <f>IF(Comuni__2[[#This Row],[Popolazione2011]]&gt;300000,"MAGGIORE","")</f>
        <v/>
      </c>
      <c r="J5467">
        <v>1</v>
      </c>
      <c r="K5467">
        <v>0</v>
      </c>
      <c r="L5467">
        <v>0</v>
      </c>
    </row>
    <row r="5468" spans="1:12" x14ac:dyDescent="0.2">
      <c r="A5468"/>
      <c r="B5468"/>
      <c r="C5468"/>
      <c r="D5468"/>
      <c r="E5468" s="2">
        <f>Comuni__2[[#This Row],[Popolazione2011]]/$D$7911</f>
        <v>4.0893203830558956E-6</v>
      </c>
      <c r="F5468">
        <f>SUMIFS($D$2:$D$7909, $B$2:$B$7909, "Piemonte")</f>
        <v>4363916</v>
      </c>
      <c r="G5468" s="1">
        <f>Comuni__2[[#This Row],[Popolazione2011]]/Comuni__2[[#This Row],[POPOLAZIONE TOTALE DI OGNI REGIONE (CON FILTRO)]]</f>
        <v>5.5683931588050735E-5</v>
      </c>
      <c r="H5468" t="str">
        <f>IF(Comuni__2[[#This Row],[Popolazione2011]]&gt;300000,"MAGGIORE","")</f>
        <v/>
      </c>
      <c r="J5468">
        <v>1</v>
      </c>
      <c r="K5468">
        <v>0</v>
      </c>
      <c r="L5468">
        <v>0</v>
      </c>
    </row>
    <row r="5469" spans="1:12" x14ac:dyDescent="0.2">
      <c r="A5469"/>
      <c r="B5469"/>
      <c r="C5469"/>
      <c r="D5469"/>
      <c r="E5469" s="2">
        <f>Comuni__2[[#This Row],[Popolazione2011]]/$D$7911</f>
        <v>4.0724919041132795E-6</v>
      </c>
      <c r="F5469">
        <f>SUMIFS($D$2:$D$7909, $B$2:$B$7909, "Piemonte")</f>
        <v>4363916</v>
      </c>
      <c r="G5469" s="1">
        <f>Comuni__2[[#This Row],[Popolazione2011]]/Comuni__2[[#This Row],[POPOLAZIONE TOTALE DI OGNI REGIONE (CON FILTRO)]]</f>
        <v>5.5454779606206904E-5</v>
      </c>
      <c r="H5469" t="str">
        <f>IF(Comuni__2[[#This Row],[Popolazione2011]]&gt;300000,"MAGGIORE","")</f>
        <v/>
      </c>
      <c r="J5469">
        <v>4</v>
      </c>
      <c r="K5469">
        <v>0</v>
      </c>
      <c r="L5469">
        <v>0</v>
      </c>
    </row>
    <row r="5470" spans="1:12" x14ac:dyDescent="0.2">
      <c r="A5470"/>
      <c r="B5470"/>
      <c r="C5470"/>
      <c r="D5470"/>
      <c r="E5470" s="2">
        <f>Comuni__2[[#This Row],[Popolazione2011]]/$D$7911</f>
        <v>4.0220064672854286E-6</v>
      </c>
      <c r="F5470">
        <f>SUMIFS($D$2:$D$7909, $B$2:$B$7909, "Piemonte")</f>
        <v>4363916</v>
      </c>
      <c r="G5470" s="1">
        <f>Comuni__2[[#This Row],[Popolazione2011]]/Comuni__2[[#This Row],[POPOLAZIONE TOTALE DI OGNI REGIONE (CON FILTRO)]]</f>
        <v>5.4767323660675409E-5</v>
      </c>
      <c r="H5470" t="str">
        <f>IF(Comuni__2[[#This Row],[Popolazione2011]]&gt;300000,"MAGGIORE","")</f>
        <v/>
      </c>
      <c r="J5470">
        <v>2</v>
      </c>
      <c r="K5470">
        <v>0</v>
      </c>
      <c r="L5470">
        <v>0</v>
      </c>
    </row>
    <row r="5471" spans="1:12" x14ac:dyDescent="0.2">
      <c r="A5471"/>
      <c r="B5471"/>
      <c r="C5471"/>
      <c r="D5471"/>
      <c r="E5471" s="2">
        <f>Comuni__2[[#This Row],[Popolazione2011]]/$D$7911</f>
        <v>4.0220064672854286E-6</v>
      </c>
      <c r="F5471">
        <f>SUMIFS($D$2:$D$7909, $B$2:$B$7909, "Piemonte")</f>
        <v>4363916</v>
      </c>
      <c r="G5471" s="1">
        <f>Comuni__2[[#This Row],[Popolazione2011]]/Comuni__2[[#This Row],[POPOLAZIONE TOTALE DI OGNI REGIONE (CON FILTRO)]]</f>
        <v>5.4767323660675409E-5</v>
      </c>
      <c r="H5471" t="str">
        <f>IF(Comuni__2[[#This Row],[Popolazione2011]]&gt;300000,"MAGGIORE","")</f>
        <v/>
      </c>
      <c r="J5471">
        <v>2</v>
      </c>
      <c r="K5471">
        <v>0</v>
      </c>
      <c r="L5471">
        <v>1</v>
      </c>
    </row>
    <row r="5472" spans="1:12" x14ac:dyDescent="0.2">
      <c r="A5472"/>
      <c r="B5472"/>
      <c r="C5472"/>
      <c r="D5472"/>
      <c r="E5472" s="2">
        <f>Comuni__2[[#This Row],[Popolazione2011]]/$D$7911</f>
        <v>3.9883495094001946E-6</v>
      </c>
      <c r="F5472">
        <f>SUMIFS($D$2:$D$7909, $B$2:$B$7909, "Piemonte")</f>
        <v>4363916</v>
      </c>
      <c r="G5472" s="1">
        <f>Comuni__2[[#This Row],[Popolazione2011]]/Comuni__2[[#This Row],[POPOLAZIONE TOTALE DI OGNI REGIONE (CON FILTRO)]]</f>
        <v>5.4309019696987752E-5</v>
      </c>
      <c r="H5472" t="str">
        <f>IF(Comuni__2[[#This Row],[Popolazione2011]]&gt;300000,"MAGGIORE","")</f>
        <v/>
      </c>
      <c r="J5472">
        <v>7</v>
      </c>
      <c r="K5472">
        <v>0</v>
      </c>
      <c r="L5472">
        <v>1</v>
      </c>
    </row>
    <row r="5473" spans="1:12" x14ac:dyDescent="0.2">
      <c r="A5473"/>
      <c r="B5473"/>
      <c r="C5473"/>
      <c r="D5473"/>
      <c r="E5473" s="2">
        <f>Comuni__2[[#This Row],[Popolazione2011]]/$D$7911</f>
        <v>3.9378640725723445E-6</v>
      </c>
      <c r="F5473">
        <f>SUMIFS($D$2:$D$7909, $B$2:$B$7909, "Piemonte")</f>
        <v>4363916</v>
      </c>
      <c r="G5473" s="1">
        <f>Comuni__2[[#This Row],[Popolazione2011]]/Comuni__2[[#This Row],[POPOLAZIONE TOTALE DI OGNI REGIONE (CON FILTRO)]]</f>
        <v>5.3621563751456264E-5</v>
      </c>
      <c r="H5473" t="str">
        <f>IF(Comuni__2[[#This Row],[Popolazione2011]]&gt;300000,"MAGGIORE","")</f>
        <v/>
      </c>
      <c r="J5473">
        <v>6</v>
      </c>
      <c r="K5473">
        <v>0</v>
      </c>
      <c r="L5473">
        <v>1</v>
      </c>
    </row>
    <row r="5474" spans="1:12" x14ac:dyDescent="0.2">
      <c r="A5474"/>
      <c r="B5474"/>
      <c r="C5474"/>
      <c r="D5474"/>
      <c r="E5474" s="2">
        <f>Comuni__2[[#This Row],[Popolazione2011]]/$D$7911</f>
        <v>3.8873786357444936E-6</v>
      </c>
      <c r="F5474">
        <f>SUMIFS($D$2:$D$7909, $B$2:$B$7909, "Piemonte")</f>
        <v>4363916</v>
      </c>
      <c r="G5474" s="1">
        <f>Comuni__2[[#This Row],[Popolazione2011]]/Comuni__2[[#This Row],[POPOLAZIONE TOTALE DI OGNI REGIONE (CON FILTRO)]]</f>
        <v>5.2934107805924769E-5</v>
      </c>
      <c r="H5474" t="str">
        <f>IF(Comuni__2[[#This Row],[Popolazione2011]]&gt;300000,"MAGGIORE","")</f>
        <v/>
      </c>
      <c r="J5474">
        <v>12</v>
      </c>
      <c r="K5474">
        <v>0</v>
      </c>
      <c r="L5474">
        <v>1</v>
      </c>
    </row>
    <row r="5475" spans="1:12" x14ac:dyDescent="0.2">
      <c r="A5475"/>
      <c r="B5475"/>
      <c r="C5475"/>
      <c r="D5475"/>
      <c r="E5475" s="2">
        <f>Comuni__2[[#This Row],[Popolazione2011]]/$D$7911</f>
        <v>3.8705501568018766E-6</v>
      </c>
      <c r="F5475">
        <f>SUMIFS($D$2:$D$7909, $B$2:$B$7909, "Piemonte")</f>
        <v>4363916</v>
      </c>
      <c r="G5475" s="1">
        <f>Comuni__2[[#This Row],[Popolazione2011]]/Comuni__2[[#This Row],[POPOLAZIONE TOTALE DI OGNI REGIONE (CON FILTRO)]]</f>
        <v>5.2704955824080937E-5</v>
      </c>
      <c r="H5475" t="str">
        <f>IF(Comuni__2[[#This Row],[Popolazione2011]]&gt;300000,"MAGGIORE","")</f>
        <v/>
      </c>
      <c r="J5475">
        <v>13</v>
      </c>
      <c r="K5475">
        <v>0</v>
      </c>
      <c r="L5475">
        <v>1</v>
      </c>
    </row>
    <row r="5476" spans="1:12" x14ac:dyDescent="0.2">
      <c r="A5476"/>
      <c r="B5476"/>
      <c r="C5476"/>
      <c r="D5476"/>
      <c r="E5476" s="2">
        <f>Comuni__2[[#This Row],[Popolazione2011]]/$D$7911</f>
        <v>3.8368931989166427E-6</v>
      </c>
      <c r="F5476">
        <f>SUMIFS($D$2:$D$7909, $B$2:$B$7909, "Piemonte")</f>
        <v>4363916</v>
      </c>
      <c r="G5476" s="1">
        <f>Comuni__2[[#This Row],[Popolazione2011]]/Comuni__2[[#This Row],[POPOLAZIONE TOTALE DI OGNI REGIONE (CON FILTRO)]]</f>
        <v>5.2246651860393281E-5</v>
      </c>
      <c r="H5476" t="str">
        <f>IF(Comuni__2[[#This Row],[Popolazione2011]]&gt;300000,"MAGGIORE","")</f>
        <v/>
      </c>
      <c r="J5476">
        <v>33</v>
      </c>
      <c r="K5476">
        <v>0</v>
      </c>
      <c r="L5476">
        <v>2</v>
      </c>
    </row>
    <row r="5477" spans="1:12" x14ac:dyDescent="0.2">
      <c r="A5477"/>
      <c r="B5477"/>
      <c r="C5477"/>
      <c r="D5477"/>
      <c r="E5477" s="2">
        <f>Comuni__2[[#This Row],[Popolazione2011]]/$D$7911</f>
        <v>3.8368931989166427E-6</v>
      </c>
      <c r="F5477">
        <f>SUMIFS($D$2:$D$7909, $B$2:$B$7909, "Piemonte")</f>
        <v>4363916</v>
      </c>
      <c r="G5477" s="1">
        <f>Comuni__2[[#This Row],[Popolazione2011]]/Comuni__2[[#This Row],[POPOLAZIONE TOTALE DI OGNI REGIONE (CON FILTRO)]]</f>
        <v>5.2246651860393281E-5</v>
      </c>
      <c r="H5477" t="str">
        <f>IF(Comuni__2[[#This Row],[Popolazione2011]]&gt;300000,"MAGGIORE","")</f>
        <v/>
      </c>
      <c r="J5477">
        <v>41</v>
      </c>
      <c r="K5477">
        <v>0</v>
      </c>
      <c r="L5477">
        <v>2</v>
      </c>
    </row>
    <row r="5478" spans="1:12" x14ac:dyDescent="0.2">
      <c r="A5478"/>
      <c r="B5478"/>
      <c r="C5478"/>
      <c r="D5478"/>
      <c r="E5478" s="2">
        <f>Comuni__2[[#This Row],[Popolazione2011]]/$D$7911</f>
        <v>3.8032362410314096E-6</v>
      </c>
      <c r="F5478">
        <f>SUMIFS($D$2:$D$7909, $B$2:$B$7909, "Piemonte")</f>
        <v>4363916</v>
      </c>
      <c r="G5478" s="1">
        <f>Comuni__2[[#This Row],[Popolazione2011]]/Comuni__2[[#This Row],[POPOLAZIONE TOTALE DI OGNI REGIONE (CON FILTRO)]]</f>
        <v>5.1788347896705618E-5</v>
      </c>
      <c r="H5478" t="str">
        <f>IF(Comuni__2[[#This Row],[Popolazione2011]]&gt;300000,"MAGGIORE","")</f>
        <v/>
      </c>
      <c r="J5478">
        <v>44</v>
      </c>
      <c r="K5478">
        <v>0</v>
      </c>
      <c r="L5478">
        <v>3</v>
      </c>
    </row>
    <row r="5479" spans="1:12" x14ac:dyDescent="0.2">
      <c r="A5479"/>
      <c r="B5479"/>
      <c r="C5479"/>
      <c r="D5479"/>
      <c r="E5479" s="2">
        <f>Comuni__2[[#This Row],[Popolazione2011]]/$D$7911</f>
        <v>3.7695792831461757E-6</v>
      </c>
      <c r="F5479">
        <f>SUMIFS($D$2:$D$7909, $B$2:$B$7909, "Piemonte")</f>
        <v>4363916</v>
      </c>
      <c r="G5479" s="1">
        <f>Comuni__2[[#This Row],[Popolazione2011]]/Comuni__2[[#This Row],[POPOLAZIONE TOTALE DI OGNI REGIONE (CON FILTRO)]]</f>
        <v>5.1330043933017961E-5</v>
      </c>
      <c r="H5479" t="str">
        <f>IF(Comuni__2[[#This Row],[Popolazione2011]]&gt;300000,"MAGGIORE","")</f>
        <v/>
      </c>
      <c r="J5479">
        <v>56</v>
      </c>
      <c r="K5479">
        <v>0</v>
      </c>
      <c r="L5479">
        <v>6</v>
      </c>
    </row>
    <row r="5480" spans="1:12" x14ac:dyDescent="0.2">
      <c r="A5480"/>
      <c r="B5480"/>
      <c r="C5480"/>
      <c r="D5480"/>
      <c r="E5480" s="2">
        <f>Comuni__2[[#This Row],[Popolazione2011]]/$D$7911</f>
        <v>3.7190938463183252E-6</v>
      </c>
      <c r="F5480">
        <f>SUMIFS($D$2:$D$7909, $B$2:$B$7909, "Piemonte")</f>
        <v>4363916</v>
      </c>
      <c r="G5480" s="1">
        <f>Comuni__2[[#This Row],[Popolazione2011]]/Comuni__2[[#This Row],[POPOLAZIONE TOTALE DI OGNI REGIONE (CON FILTRO)]]</f>
        <v>5.0642587987486466E-5</v>
      </c>
      <c r="H5480" t="str">
        <f>IF(Comuni__2[[#This Row],[Popolazione2011]]&gt;300000,"MAGGIORE","")</f>
        <v/>
      </c>
      <c r="J5480">
        <v>63</v>
      </c>
      <c r="K5480">
        <v>0</v>
      </c>
      <c r="L5480">
        <v>7</v>
      </c>
    </row>
    <row r="5481" spans="1:12" x14ac:dyDescent="0.2">
      <c r="A5481"/>
      <c r="B5481"/>
      <c r="C5481"/>
      <c r="D5481"/>
      <c r="E5481" s="2">
        <f>Comuni__2[[#This Row],[Popolazione2011]]/$D$7911</f>
        <v>3.7190938463183252E-6</v>
      </c>
      <c r="F5481">
        <f>SUMIFS($D$2:$D$7909, $B$2:$B$7909, "Piemonte")</f>
        <v>4363916</v>
      </c>
      <c r="G5481" s="1">
        <f>Comuni__2[[#This Row],[Popolazione2011]]/Comuni__2[[#This Row],[POPOLAZIONE TOTALE DI OGNI REGIONE (CON FILTRO)]]</f>
        <v>5.0642587987486466E-5</v>
      </c>
      <c r="H5481" t="str">
        <f>IF(Comuni__2[[#This Row],[Popolazione2011]]&gt;300000,"MAGGIORE","")</f>
        <v/>
      </c>
      <c r="J5481">
        <v>77</v>
      </c>
      <c r="K5481">
        <v>1</v>
      </c>
      <c r="L5481">
        <v>8</v>
      </c>
    </row>
    <row r="5482" spans="1:12" x14ac:dyDescent="0.2">
      <c r="A5482"/>
      <c r="B5482"/>
      <c r="C5482"/>
      <c r="D5482"/>
      <c r="E5482" s="2">
        <f>Comuni__2[[#This Row],[Popolazione2011]]/$D$7911</f>
        <v>3.7190938463183252E-6</v>
      </c>
      <c r="F5482">
        <f>SUMIFS($D$2:$D$7909, $B$2:$B$7909, "Piemonte")</f>
        <v>4363916</v>
      </c>
      <c r="G5482" s="1">
        <f>Comuni__2[[#This Row],[Popolazione2011]]/Comuni__2[[#This Row],[POPOLAZIONE TOTALE DI OGNI REGIONE (CON FILTRO)]]</f>
        <v>5.0642587987486466E-5</v>
      </c>
      <c r="H5482" t="str">
        <f>IF(Comuni__2[[#This Row],[Popolazione2011]]&gt;300000,"MAGGIORE","")</f>
        <v/>
      </c>
      <c r="J5482">
        <v>84</v>
      </c>
      <c r="K5482">
        <v>1</v>
      </c>
      <c r="L5482">
        <v>9</v>
      </c>
    </row>
    <row r="5483" spans="1:12" x14ac:dyDescent="0.2">
      <c r="A5483"/>
      <c r="B5483"/>
      <c r="C5483"/>
      <c r="D5483"/>
      <c r="E5483" s="2">
        <f>Comuni__2[[#This Row],[Popolazione2011]]/$D$7911</f>
        <v>3.7022653673757082E-6</v>
      </c>
      <c r="F5483">
        <f>SUMIFS($D$2:$D$7909, $B$2:$B$7909, "Piemonte")</f>
        <v>4363916</v>
      </c>
      <c r="G5483" s="1">
        <f>Comuni__2[[#This Row],[Popolazione2011]]/Comuni__2[[#This Row],[POPOLAZIONE TOTALE DI OGNI REGIONE (CON FILTRO)]]</f>
        <v>5.0413436005642641E-5</v>
      </c>
      <c r="H5483" t="str">
        <f>IF(Comuni__2[[#This Row],[Popolazione2011]]&gt;300000,"MAGGIORE","")</f>
        <v/>
      </c>
      <c r="J5483">
        <v>89</v>
      </c>
      <c r="K5483">
        <v>2</v>
      </c>
      <c r="L5483">
        <v>12</v>
      </c>
    </row>
    <row r="5484" spans="1:12" x14ac:dyDescent="0.2">
      <c r="A5484"/>
      <c r="B5484"/>
      <c r="C5484"/>
      <c r="D5484"/>
      <c r="E5484" s="2">
        <f>Comuni__2[[#This Row],[Popolazione2011]]/$D$7911</f>
        <v>3.6854368884330912E-6</v>
      </c>
      <c r="F5484">
        <f>SUMIFS($D$2:$D$7909, $B$2:$B$7909, "Piemonte")</f>
        <v>4363916</v>
      </c>
      <c r="G5484" s="1">
        <f>Comuni__2[[#This Row],[Popolazione2011]]/Comuni__2[[#This Row],[POPOLAZIONE TOTALE DI OGNI REGIONE (CON FILTRO)]]</f>
        <v>5.018428402379881E-5</v>
      </c>
      <c r="H5484" t="str">
        <f>IF(Comuni__2[[#This Row],[Popolazione2011]]&gt;300000,"MAGGIORE","")</f>
        <v/>
      </c>
      <c r="J5484">
        <v>91</v>
      </c>
      <c r="K5484">
        <v>2</v>
      </c>
      <c r="L5484">
        <v>19</v>
      </c>
    </row>
    <row r="5485" spans="1:12" x14ac:dyDescent="0.2">
      <c r="A5485"/>
      <c r="B5485"/>
      <c r="C5485"/>
      <c r="D5485"/>
      <c r="E5485" s="2">
        <f>Comuni__2[[#This Row],[Popolazione2011]]/$D$7911</f>
        <v>3.6854368884330912E-6</v>
      </c>
      <c r="F5485">
        <f>SUMIFS($D$2:$D$7909, $B$2:$B$7909, "Piemonte")</f>
        <v>4363916</v>
      </c>
      <c r="G5485" s="1">
        <f>Comuni__2[[#This Row],[Popolazione2011]]/Comuni__2[[#This Row],[POPOLAZIONE TOTALE DI OGNI REGIONE (CON FILTRO)]]</f>
        <v>5.018428402379881E-5</v>
      </c>
      <c r="H5485" t="str">
        <f>IF(Comuni__2[[#This Row],[Popolazione2011]]&gt;300000,"MAGGIORE","")</f>
        <v/>
      </c>
      <c r="J5485">
        <v>95</v>
      </c>
      <c r="K5485">
        <v>2</v>
      </c>
      <c r="L5485">
        <v>24</v>
      </c>
    </row>
    <row r="5486" spans="1:12" x14ac:dyDescent="0.2">
      <c r="A5486"/>
      <c r="B5486"/>
      <c r="C5486"/>
      <c r="D5486"/>
      <c r="E5486" s="2">
        <f>Comuni__2[[#This Row],[Popolazione2011]]/$D$7911</f>
        <v>3.6854368884330912E-6</v>
      </c>
      <c r="F5486">
        <f>SUMIFS($D$2:$D$7909, $B$2:$B$7909, "Piemonte")</f>
        <v>4363916</v>
      </c>
      <c r="G5486" s="1">
        <f>Comuni__2[[#This Row],[Popolazione2011]]/Comuni__2[[#This Row],[POPOLAZIONE TOTALE DI OGNI REGIONE (CON FILTRO)]]</f>
        <v>5.018428402379881E-5</v>
      </c>
      <c r="H5486" t="str">
        <f>IF(Comuni__2[[#This Row],[Popolazione2011]]&gt;300000,"MAGGIORE","")</f>
        <v/>
      </c>
      <c r="J5486">
        <v>97</v>
      </c>
      <c r="K5486">
        <v>2</v>
      </c>
      <c r="L5486">
        <v>28</v>
      </c>
    </row>
    <row r="5487" spans="1:12" x14ac:dyDescent="0.2">
      <c r="A5487"/>
      <c r="B5487"/>
      <c r="C5487"/>
      <c r="D5487"/>
      <c r="E5487" s="2">
        <f>Comuni__2[[#This Row],[Popolazione2011]]/$D$7911</f>
        <v>3.6854368884330912E-6</v>
      </c>
      <c r="F5487">
        <f>SUMIFS($D$2:$D$7909, $B$2:$B$7909, "Piemonte")</f>
        <v>4363916</v>
      </c>
      <c r="G5487" s="1">
        <f>Comuni__2[[#This Row],[Popolazione2011]]/Comuni__2[[#This Row],[POPOLAZIONE TOTALE DI OGNI REGIONE (CON FILTRO)]]</f>
        <v>5.018428402379881E-5</v>
      </c>
      <c r="H5487" t="str">
        <f>IF(Comuni__2[[#This Row],[Popolazione2011]]&gt;300000,"MAGGIORE","")</f>
        <v/>
      </c>
      <c r="J5487">
        <v>115</v>
      </c>
      <c r="K5487">
        <v>2</v>
      </c>
      <c r="L5487">
        <v>37</v>
      </c>
    </row>
    <row r="5488" spans="1:12" x14ac:dyDescent="0.2">
      <c r="A5488"/>
      <c r="B5488"/>
      <c r="C5488"/>
      <c r="D5488"/>
      <c r="E5488" s="2">
        <f>Comuni__2[[#This Row],[Popolazione2011]]/$D$7911</f>
        <v>3.6854368884330912E-6</v>
      </c>
      <c r="F5488">
        <f>SUMIFS($D$2:$D$7909, $B$2:$B$7909, "Piemonte")</f>
        <v>4363916</v>
      </c>
      <c r="G5488" s="1">
        <f>Comuni__2[[#This Row],[Popolazione2011]]/Comuni__2[[#This Row],[POPOLAZIONE TOTALE DI OGNI REGIONE (CON FILTRO)]]</f>
        <v>5.018428402379881E-5</v>
      </c>
      <c r="H5488" t="str">
        <f>IF(Comuni__2[[#This Row],[Popolazione2011]]&gt;300000,"MAGGIORE","")</f>
        <v/>
      </c>
      <c r="J5488">
        <v>116</v>
      </c>
      <c r="K5488">
        <v>2</v>
      </c>
      <c r="L5488">
        <v>41</v>
      </c>
    </row>
    <row r="5489" spans="1:12" x14ac:dyDescent="0.2">
      <c r="A5489"/>
      <c r="B5489"/>
      <c r="C5489"/>
      <c r="D5489"/>
      <c r="E5489" s="2">
        <f>Comuni__2[[#This Row],[Popolazione2011]]/$D$7911</f>
        <v>3.6686084094904747E-6</v>
      </c>
      <c r="F5489">
        <f>SUMIFS($D$2:$D$7909, $B$2:$B$7909, "Piemonte")</f>
        <v>4363916</v>
      </c>
      <c r="G5489" s="1">
        <f>Comuni__2[[#This Row],[Popolazione2011]]/Comuni__2[[#This Row],[POPOLAZIONE TOTALE DI OGNI REGIONE (CON FILTRO)]]</f>
        <v>4.9955132041954978E-5</v>
      </c>
      <c r="H5489" t="str">
        <f>IF(Comuni__2[[#This Row],[Popolazione2011]]&gt;300000,"MAGGIORE","")</f>
        <v/>
      </c>
      <c r="J5489">
        <v>116</v>
      </c>
      <c r="K5489">
        <v>2</v>
      </c>
      <c r="L5489">
        <v>43</v>
      </c>
    </row>
    <row r="5490" spans="1:12" x14ac:dyDescent="0.2">
      <c r="A5490"/>
      <c r="B5490"/>
      <c r="C5490"/>
      <c r="D5490"/>
      <c r="E5490" s="2">
        <f>Comuni__2[[#This Row],[Popolazione2011]]/$D$7911</f>
        <v>3.6012944937200072E-6</v>
      </c>
      <c r="F5490">
        <f>SUMIFS($D$2:$D$7909, $B$2:$B$7909, "Piemonte")</f>
        <v>4363916</v>
      </c>
      <c r="G5490" s="1">
        <f>Comuni__2[[#This Row],[Popolazione2011]]/Comuni__2[[#This Row],[POPOLAZIONE TOTALE DI OGNI REGIONE (CON FILTRO)]]</f>
        <v>4.9038524114579658E-5</v>
      </c>
      <c r="H5490" t="str">
        <f>IF(Comuni__2[[#This Row],[Popolazione2011]]&gt;300000,"MAGGIORE","")</f>
        <v/>
      </c>
      <c r="J5490">
        <v>118</v>
      </c>
      <c r="K5490">
        <v>16</v>
      </c>
      <c r="L5490">
        <v>50</v>
      </c>
    </row>
    <row r="5491" spans="1:12" x14ac:dyDescent="0.2">
      <c r="A5491"/>
      <c r="B5491"/>
      <c r="C5491"/>
      <c r="D5491"/>
      <c r="E5491" s="2">
        <f>Comuni__2[[#This Row],[Popolazione2011]]/$D$7911</f>
        <v>3.5676375358347733E-6</v>
      </c>
      <c r="F5491">
        <f>SUMIFS($D$2:$D$7909, $B$2:$B$7909, "Piemonte")</f>
        <v>4363916</v>
      </c>
      <c r="G5491" s="1">
        <f>Comuni__2[[#This Row],[Popolazione2011]]/Comuni__2[[#This Row],[POPOLAZIONE TOTALE DI OGNI REGIONE (CON FILTRO)]]</f>
        <v>4.8580220150891995E-5</v>
      </c>
      <c r="H5491" t="str">
        <f>IF(Comuni__2[[#This Row],[Popolazione2011]]&gt;300000,"MAGGIORE","")</f>
        <v/>
      </c>
      <c r="J5491">
        <v>117</v>
      </c>
      <c r="K5491">
        <v>20</v>
      </c>
      <c r="L5491">
        <v>56</v>
      </c>
    </row>
    <row r="5492" spans="1:12" x14ac:dyDescent="0.2">
      <c r="A5492"/>
      <c r="B5492"/>
      <c r="C5492"/>
      <c r="D5492"/>
      <c r="E5492" s="2">
        <f>Comuni__2[[#This Row],[Popolazione2011]]/$D$7911</f>
        <v>3.5508090568921567E-6</v>
      </c>
      <c r="F5492">
        <f>SUMIFS($D$2:$D$7909, $B$2:$B$7909, "Piemonte")</f>
        <v>4363916</v>
      </c>
      <c r="G5492" s="1">
        <f>Comuni__2[[#This Row],[Popolazione2011]]/Comuni__2[[#This Row],[POPOLAZIONE TOTALE DI OGNI REGIONE (CON FILTRO)]]</f>
        <v>4.8351068169048163E-5</v>
      </c>
      <c r="H5492" t="str">
        <f>IF(Comuni__2[[#This Row],[Popolazione2011]]&gt;300000,"MAGGIORE","")</f>
        <v/>
      </c>
      <c r="J5492">
        <v>112</v>
      </c>
      <c r="K5492">
        <v>32</v>
      </c>
      <c r="L5492">
        <v>59</v>
      </c>
    </row>
    <row r="5493" spans="1:12" x14ac:dyDescent="0.2">
      <c r="A5493"/>
      <c r="B5493"/>
      <c r="C5493"/>
      <c r="D5493"/>
      <c r="E5493" s="2">
        <f>Comuni__2[[#This Row],[Popolazione2011]]/$D$7911</f>
        <v>3.5508090568921567E-6</v>
      </c>
      <c r="F5493">
        <f>SUMIFS($D$2:$D$7909, $B$2:$B$7909, "Piemonte")</f>
        <v>4363916</v>
      </c>
      <c r="G5493" s="1">
        <f>Comuni__2[[#This Row],[Popolazione2011]]/Comuni__2[[#This Row],[POPOLAZIONE TOTALE DI OGNI REGIONE (CON FILTRO)]]</f>
        <v>4.8351068169048163E-5</v>
      </c>
      <c r="H5493" t="str">
        <f>IF(Comuni__2[[#This Row],[Popolazione2011]]&gt;300000,"MAGGIORE","")</f>
        <v/>
      </c>
      <c r="J5493">
        <v>110</v>
      </c>
      <c r="K5493">
        <v>49</v>
      </c>
      <c r="L5493">
        <v>63</v>
      </c>
    </row>
    <row r="5494" spans="1:12" x14ac:dyDescent="0.2">
      <c r="A5494"/>
      <c r="B5494"/>
      <c r="C5494"/>
      <c r="D5494"/>
      <c r="E5494" s="2">
        <f>Comuni__2[[#This Row],[Popolazione2011]]/$D$7911</f>
        <v>3.5339805779495397E-6</v>
      </c>
      <c r="F5494">
        <f>SUMIFS($D$2:$D$7909, $B$2:$B$7909, "Piemonte")</f>
        <v>4363916</v>
      </c>
      <c r="G5494" s="1">
        <f>Comuni__2[[#This Row],[Popolazione2011]]/Comuni__2[[#This Row],[POPOLAZIONE TOTALE DI OGNI REGIONE (CON FILTRO)]]</f>
        <v>4.8121916187204339E-5</v>
      </c>
      <c r="H5494" t="str">
        <f>IF(Comuni__2[[#This Row],[Popolazione2011]]&gt;300000,"MAGGIORE","")</f>
        <v/>
      </c>
      <c r="J5494">
        <v>110</v>
      </c>
      <c r="K5494">
        <v>89</v>
      </c>
      <c r="L5494">
        <v>70</v>
      </c>
    </row>
    <row r="5495" spans="1:12" x14ac:dyDescent="0.2">
      <c r="A5495"/>
      <c r="B5495"/>
      <c r="C5495"/>
      <c r="D5495"/>
      <c r="E5495" s="2">
        <f>Comuni__2[[#This Row],[Popolazione2011]]/$D$7911</f>
        <v>3.5339805779495397E-6</v>
      </c>
      <c r="F5495">
        <f>SUMIFS($D$2:$D$7909, $B$2:$B$7909, "Piemonte")</f>
        <v>4363916</v>
      </c>
      <c r="G5495" s="1">
        <f>Comuni__2[[#This Row],[Popolazione2011]]/Comuni__2[[#This Row],[POPOLAZIONE TOTALE DI OGNI REGIONE (CON FILTRO)]]</f>
        <v>4.8121916187204339E-5</v>
      </c>
      <c r="H5495" t="str">
        <f>IF(Comuni__2[[#This Row],[Popolazione2011]]&gt;300000,"MAGGIORE","")</f>
        <v/>
      </c>
      <c r="J5495">
        <v>86</v>
      </c>
      <c r="K5495">
        <v>106</v>
      </c>
      <c r="L5495">
        <v>82</v>
      </c>
    </row>
    <row r="5496" spans="1:12" x14ac:dyDescent="0.2">
      <c r="A5496"/>
      <c r="B5496"/>
      <c r="C5496"/>
      <c r="D5496"/>
      <c r="E5496" s="2">
        <f>Comuni__2[[#This Row],[Popolazione2011]]/$D$7911</f>
        <v>3.4834951411216892E-6</v>
      </c>
      <c r="F5496">
        <f>SUMIFS($D$2:$D$7909, $B$2:$B$7909, "Piemonte")</f>
        <v>4363916</v>
      </c>
      <c r="G5496" s="1">
        <f>Comuni__2[[#This Row],[Popolazione2011]]/Comuni__2[[#This Row],[POPOLAZIONE TOTALE DI OGNI REGIONE (CON FILTRO)]]</f>
        <v>4.7434460241672844E-5</v>
      </c>
      <c r="H5496" t="str">
        <f>IF(Comuni__2[[#This Row],[Popolazione2011]]&gt;300000,"MAGGIORE","")</f>
        <v/>
      </c>
      <c r="J5496">
        <v>119</v>
      </c>
      <c r="K5496">
        <v>115</v>
      </c>
      <c r="L5496">
        <v>91</v>
      </c>
    </row>
    <row r="5497" spans="1:12" x14ac:dyDescent="0.2">
      <c r="A5497"/>
      <c r="B5497"/>
      <c r="C5497"/>
      <c r="D5497"/>
      <c r="E5497" s="2">
        <f>Comuni__2[[#This Row],[Popolazione2011]]/$D$7911</f>
        <v>3.4666666621790723E-6</v>
      </c>
      <c r="F5497">
        <f>SUMIFS($D$2:$D$7909, $B$2:$B$7909, "Piemonte")</f>
        <v>4363916</v>
      </c>
      <c r="G5497" s="1">
        <f>Comuni__2[[#This Row],[Popolazione2011]]/Comuni__2[[#This Row],[POPOLAZIONE TOTALE DI OGNI REGIONE (CON FILTRO)]]</f>
        <v>4.7205308259829019E-5</v>
      </c>
      <c r="H5497" t="str">
        <f>IF(Comuni__2[[#This Row],[Popolazione2011]]&gt;300000,"MAGGIORE","")</f>
        <v/>
      </c>
      <c r="J5497">
        <v>130</v>
      </c>
      <c r="K5497">
        <v>142</v>
      </c>
      <c r="L5497">
        <v>96</v>
      </c>
    </row>
    <row r="5498" spans="1:12" x14ac:dyDescent="0.2">
      <c r="A5498"/>
      <c r="B5498"/>
      <c r="C5498"/>
      <c r="D5498"/>
      <c r="E5498" s="2">
        <f>Comuni__2[[#This Row],[Popolazione2011]]/$D$7911</f>
        <v>3.4498381832364553E-6</v>
      </c>
      <c r="F5498">
        <f>SUMIFS($D$2:$D$7909, $B$2:$B$7909, "Piemonte")</f>
        <v>4363916</v>
      </c>
      <c r="G5498" s="1">
        <f>Comuni__2[[#This Row],[Popolazione2011]]/Comuni__2[[#This Row],[POPOLAZIONE TOTALE DI OGNI REGIONE (CON FILTRO)]]</f>
        <v>4.6976156277985187E-5</v>
      </c>
      <c r="H5498" t="str">
        <f>IF(Comuni__2[[#This Row],[Popolazione2011]]&gt;300000,"MAGGIORE","")</f>
        <v/>
      </c>
      <c r="J5498">
        <v>135</v>
      </c>
      <c r="K5498">
        <v>142</v>
      </c>
      <c r="L5498">
        <v>100</v>
      </c>
    </row>
    <row r="5499" spans="1:12" x14ac:dyDescent="0.2">
      <c r="A5499"/>
      <c r="B5499"/>
      <c r="C5499"/>
      <c r="D5499"/>
      <c r="E5499" s="2">
        <f>Comuni__2[[#This Row],[Popolazione2011]]/$D$7911</f>
        <v>3.4161812253512218E-6</v>
      </c>
      <c r="F5499">
        <f>SUMIFS($D$2:$D$7909, $B$2:$B$7909, "Piemonte")</f>
        <v>4363916</v>
      </c>
      <c r="G5499" s="1">
        <f>Comuni__2[[#This Row],[Popolazione2011]]/Comuni__2[[#This Row],[POPOLAZIONE TOTALE DI OGNI REGIONE (CON FILTRO)]]</f>
        <v>4.6517852314297524E-5</v>
      </c>
      <c r="H5499" t="str">
        <f>IF(Comuni__2[[#This Row],[Popolazione2011]]&gt;300000,"MAGGIORE","")</f>
        <v/>
      </c>
      <c r="J5499">
        <v>140</v>
      </c>
      <c r="K5499">
        <v>142</v>
      </c>
      <c r="L5499">
        <v>102</v>
      </c>
    </row>
    <row r="5500" spans="1:12" x14ac:dyDescent="0.2">
      <c r="A5500"/>
      <c r="B5500"/>
      <c r="C5500"/>
      <c r="D5500"/>
      <c r="E5500" s="2">
        <f>Comuni__2[[#This Row],[Popolazione2011]]/$D$7911</f>
        <v>3.4161812253512218E-6</v>
      </c>
      <c r="F5500">
        <f>SUMIFS($D$2:$D$7909, $B$2:$B$7909, "Piemonte")</f>
        <v>4363916</v>
      </c>
      <c r="G5500" s="1">
        <f>Comuni__2[[#This Row],[Popolazione2011]]/Comuni__2[[#This Row],[POPOLAZIONE TOTALE DI OGNI REGIONE (CON FILTRO)]]</f>
        <v>4.6517852314297524E-5</v>
      </c>
      <c r="H5500" t="str">
        <f>IF(Comuni__2[[#This Row],[Popolazione2011]]&gt;300000,"MAGGIORE","")</f>
        <v/>
      </c>
      <c r="J5500">
        <v>136</v>
      </c>
      <c r="K5500">
        <v>154</v>
      </c>
      <c r="L5500">
        <v>105</v>
      </c>
    </row>
    <row r="5501" spans="1:12" x14ac:dyDescent="0.2">
      <c r="A5501"/>
      <c r="B5501"/>
      <c r="C5501"/>
      <c r="D5501"/>
      <c r="E5501" s="2">
        <f>Comuni__2[[#This Row],[Popolazione2011]]/$D$7911</f>
        <v>3.3825242674659878E-6</v>
      </c>
      <c r="F5501">
        <f>SUMIFS($D$2:$D$7909, $B$2:$B$7909, "Piemonte")</f>
        <v>4363916</v>
      </c>
      <c r="G5501" s="1">
        <f>Comuni__2[[#This Row],[Popolazione2011]]/Comuni__2[[#This Row],[POPOLAZIONE TOTALE DI OGNI REGIONE (CON FILTRO)]]</f>
        <v>4.6059548350609867E-5</v>
      </c>
      <c r="H5501" t="str">
        <f>IF(Comuni__2[[#This Row],[Popolazione2011]]&gt;300000,"MAGGIORE","")</f>
        <v/>
      </c>
      <c r="J5501">
        <v>147</v>
      </c>
      <c r="K5501">
        <v>170</v>
      </c>
      <c r="L5501">
        <v>107</v>
      </c>
    </row>
    <row r="5502" spans="1:12" x14ac:dyDescent="0.2">
      <c r="A5502"/>
      <c r="B5502"/>
      <c r="C5502"/>
      <c r="D5502"/>
      <c r="E5502" s="2">
        <f>Comuni__2[[#This Row],[Popolazione2011]]/$D$7911</f>
        <v>3.3152103516955208E-6</v>
      </c>
      <c r="F5502">
        <f>SUMIFS($D$2:$D$7909, $B$2:$B$7909, "Piemonte")</f>
        <v>4363916</v>
      </c>
      <c r="G5502" s="1">
        <f>Comuni__2[[#This Row],[Popolazione2011]]/Comuni__2[[#This Row],[POPOLAZIONE TOTALE DI OGNI REGIONE (CON FILTRO)]]</f>
        <v>4.5142940423234548E-5</v>
      </c>
      <c r="H5502" t="str">
        <f>IF(Comuni__2[[#This Row],[Popolazione2011]]&gt;300000,"MAGGIORE","")</f>
        <v/>
      </c>
      <c r="J5502">
        <v>135</v>
      </c>
      <c r="K5502">
        <v>205</v>
      </c>
      <c r="L5502">
        <v>107</v>
      </c>
    </row>
    <row r="5503" spans="1:12" x14ac:dyDescent="0.2">
      <c r="A5503"/>
      <c r="B5503"/>
      <c r="C5503"/>
      <c r="D5503"/>
      <c r="E5503" s="2">
        <f>Comuni__2[[#This Row],[Popolazione2011]]/$D$7911</f>
        <v>3.2983818727529038E-6</v>
      </c>
      <c r="F5503">
        <f>SUMIFS($D$2:$D$7909, $B$2:$B$7909, "Piemonte")</f>
        <v>4363916</v>
      </c>
      <c r="G5503" s="1">
        <f>Comuni__2[[#This Row],[Popolazione2011]]/Comuni__2[[#This Row],[POPOLAZIONE TOTALE DI OGNI REGIONE (CON FILTRO)]]</f>
        <v>4.4913788441390716E-5</v>
      </c>
      <c r="H5503" t="str">
        <f>IF(Comuni__2[[#This Row],[Popolazione2011]]&gt;300000,"MAGGIORE","")</f>
        <v/>
      </c>
      <c r="J5503">
        <v>125</v>
      </c>
      <c r="K5503">
        <v>221</v>
      </c>
      <c r="L5503">
        <v>112</v>
      </c>
    </row>
    <row r="5504" spans="1:12" x14ac:dyDescent="0.2">
      <c r="A5504"/>
      <c r="B5504"/>
      <c r="C5504"/>
      <c r="D5504"/>
      <c r="E5504" s="2">
        <f>Comuni__2[[#This Row],[Popolazione2011]]/$D$7911</f>
        <v>3.2647249148676699E-6</v>
      </c>
      <c r="F5504">
        <f>SUMIFS($D$2:$D$7909, $B$2:$B$7909, "Piemonte")</f>
        <v>4363916</v>
      </c>
      <c r="G5504" s="1">
        <f>Comuni__2[[#This Row],[Popolazione2011]]/Comuni__2[[#This Row],[POPOLAZIONE TOTALE DI OGNI REGIONE (CON FILTRO)]]</f>
        <v>4.4455484477703053E-5</v>
      </c>
      <c r="H5504" t="str">
        <f>IF(Comuni__2[[#This Row],[Popolazione2011]]&gt;300000,"MAGGIORE","")</f>
        <v/>
      </c>
      <c r="J5504">
        <v>124</v>
      </c>
      <c r="K5504">
        <v>230</v>
      </c>
      <c r="L5504">
        <v>115</v>
      </c>
    </row>
    <row r="5505" spans="1:12" x14ac:dyDescent="0.2">
      <c r="A5505"/>
      <c r="B5505"/>
      <c r="C5505"/>
      <c r="D5505"/>
      <c r="E5505" s="2">
        <f>Comuni__2[[#This Row],[Popolazione2011]]/$D$7911</f>
        <v>3.2478964359250533E-6</v>
      </c>
      <c r="F5505">
        <f>SUMIFS($D$2:$D$7909, $B$2:$B$7909, "Piemonte")</f>
        <v>4363916</v>
      </c>
      <c r="G5505" s="1">
        <f>Comuni__2[[#This Row],[Popolazione2011]]/Comuni__2[[#This Row],[POPOLAZIONE TOTALE DI OGNI REGIONE (CON FILTRO)]]</f>
        <v>4.4226332495859221E-5</v>
      </c>
      <c r="H5505" t="str">
        <f>IF(Comuni__2[[#This Row],[Popolazione2011]]&gt;300000,"MAGGIORE","")</f>
        <v/>
      </c>
      <c r="J5505">
        <v>126</v>
      </c>
      <c r="K5505">
        <v>270</v>
      </c>
      <c r="L5505">
        <v>118</v>
      </c>
    </row>
    <row r="5506" spans="1:12" x14ac:dyDescent="0.2">
      <c r="A5506"/>
      <c r="B5506"/>
      <c r="C5506"/>
      <c r="D5506"/>
      <c r="E5506" s="2">
        <f>Comuni__2[[#This Row],[Popolazione2011]]/$D$7911</f>
        <v>3.2310679569824363E-6</v>
      </c>
      <c r="F5506">
        <f>SUMIFS($D$2:$D$7909, $B$2:$B$7909, "Piemonte")</f>
        <v>4363916</v>
      </c>
      <c r="G5506" s="1">
        <f>Comuni__2[[#This Row],[Popolazione2011]]/Comuni__2[[#This Row],[POPOLAZIONE TOTALE DI OGNI REGIONE (CON FILTRO)]]</f>
        <v>4.3997180514015396E-5</v>
      </c>
      <c r="H5506" t="str">
        <f>IF(Comuni__2[[#This Row],[Popolazione2011]]&gt;300000,"MAGGIORE","")</f>
        <v/>
      </c>
      <c r="J5506">
        <v>123</v>
      </c>
      <c r="K5506">
        <v>289</v>
      </c>
      <c r="L5506">
        <v>121</v>
      </c>
    </row>
    <row r="5507" spans="1:12" x14ac:dyDescent="0.2">
      <c r="A5507"/>
      <c r="B5507"/>
      <c r="C5507"/>
      <c r="D5507"/>
      <c r="E5507" s="2">
        <f>Comuni__2[[#This Row],[Popolazione2011]]/$D$7911</f>
        <v>3.2142394780398194E-6</v>
      </c>
      <c r="F5507">
        <f>SUMIFS($D$2:$D$7909, $B$2:$B$7909, "Piemonte")</f>
        <v>4363916</v>
      </c>
      <c r="G5507" s="1">
        <f>Comuni__2[[#This Row],[Popolazione2011]]/Comuni__2[[#This Row],[POPOLAZIONE TOTALE DI OGNI REGIONE (CON FILTRO)]]</f>
        <v>4.3768028532171565E-5</v>
      </c>
      <c r="H5507" t="str">
        <f>IF(Comuni__2[[#This Row],[Popolazione2011]]&gt;300000,"MAGGIORE","")</f>
        <v/>
      </c>
      <c r="J5507">
        <v>117</v>
      </c>
      <c r="K5507">
        <v>331</v>
      </c>
      <c r="L5507">
        <v>122</v>
      </c>
    </row>
    <row r="5508" spans="1:12" x14ac:dyDescent="0.2">
      <c r="A5508"/>
      <c r="B5508"/>
      <c r="C5508"/>
      <c r="D5508"/>
      <c r="E5508" s="2">
        <f>Comuni__2[[#This Row],[Popolazione2011]]/$D$7911</f>
        <v>3.2142394780398194E-6</v>
      </c>
      <c r="F5508">
        <f>SUMIFS($D$2:$D$7909, $B$2:$B$7909, "Piemonte")</f>
        <v>4363916</v>
      </c>
      <c r="G5508" s="1">
        <f>Comuni__2[[#This Row],[Popolazione2011]]/Comuni__2[[#This Row],[POPOLAZIONE TOTALE DI OGNI REGIONE (CON FILTRO)]]</f>
        <v>4.3768028532171565E-5</v>
      </c>
      <c r="H5508" t="str">
        <f>IF(Comuni__2[[#This Row],[Popolazione2011]]&gt;300000,"MAGGIORE","")</f>
        <v/>
      </c>
      <c r="J5508">
        <v>117</v>
      </c>
      <c r="K5508">
        <v>379</v>
      </c>
      <c r="L5508">
        <v>123</v>
      </c>
    </row>
    <row r="5509" spans="1:12" x14ac:dyDescent="0.2">
      <c r="A5509"/>
      <c r="B5509"/>
      <c r="C5509"/>
      <c r="D5509"/>
      <c r="E5509" s="2">
        <f>Comuni__2[[#This Row],[Popolazione2011]]/$D$7911</f>
        <v>3.1974109990972024E-6</v>
      </c>
      <c r="F5509">
        <f>SUMIFS($D$2:$D$7909, $B$2:$B$7909, "Piemonte")</f>
        <v>4363916</v>
      </c>
      <c r="G5509" s="1">
        <f>Comuni__2[[#This Row],[Popolazione2011]]/Comuni__2[[#This Row],[POPOLAZIONE TOTALE DI OGNI REGIONE (CON FILTRO)]]</f>
        <v>4.3538876550327733E-5</v>
      </c>
      <c r="H5509" t="str">
        <f>IF(Comuni__2[[#This Row],[Popolazione2011]]&gt;300000,"MAGGIORE","")</f>
        <v/>
      </c>
      <c r="J5509">
        <v>117</v>
      </c>
      <c r="K5509">
        <v>400</v>
      </c>
      <c r="L5509">
        <v>124</v>
      </c>
    </row>
    <row r="5510" spans="1:12" x14ac:dyDescent="0.2">
      <c r="A5510"/>
      <c r="B5510"/>
      <c r="C5510"/>
      <c r="D5510"/>
      <c r="E5510" s="2">
        <f>Comuni__2[[#This Row],[Popolazione2011]]/$D$7911</f>
        <v>3.1974109990972024E-6</v>
      </c>
      <c r="F5510">
        <f>SUMIFS($D$2:$D$7909, $B$2:$B$7909, "Piemonte")</f>
        <v>4363916</v>
      </c>
      <c r="G5510" s="1">
        <f>Comuni__2[[#This Row],[Popolazione2011]]/Comuni__2[[#This Row],[POPOLAZIONE TOTALE DI OGNI REGIONE (CON FILTRO)]]</f>
        <v>4.3538876550327733E-5</v>
      </c>
      <c r="H5510" t="str">
        <f>IF(Comuni__2[[#This Row],[Popolazione2011]]&gt;300000,"MAGGIORE","")</f>
        <v/>
      </c>
      <c r="J5510">
        <v>112</v>
      </c>
      <c r="K5510">
        <v>401</v>
      </c>
      <c r="L5510">
        <v>125</v>
      </c>
    </row>
    <row r="5511" spans="1:12" x14ac:dyDescent="0.2">
      <c r="A5511"/>
      <c r="B5511"/>
      <c r="C5511"/>
      <c r="D5511"/>
      <c r="E5511" s="2">
        <f>Comuni__2[[#This Row],[Popolazione2011]]/$D$7911</f>
        <v>3.1974109990972024E-6</v>
      </c>
      <c r="F5511">
        <f>SUMIFS($D$2:$D$7909, $B$2:$B$7909, "Piemonte")</f>
        <v>4363916</v>
      </c>
      <c r="G5511" s="1">
        <f>Comuni__2[[#This Row],[Popolazione2011]]/Comuni__2[[#This Row],[POPOLAZIONE TOTALE DI OGNI REGIONE (CON FILTRO)]]</f>
        <v>4.3538876550327733E-5</v>
      </c>
      <c r="H5511" t="str">
        <f>IF(Comuni__2[[#This Row],[Popolazione2011]]&gt;300000,"MAGGIORE","")</f>
        <v/>
      </c>
      <c r="J5511">
        <v>110</v>
      </c>
      <c r="K5511">
        <v>413</v>
      </c>
      <c r="L5511">
        <v>127</v>
      </c>
    </row>
    <row r="5512" spans="1:12" x14ac:dyDescent="0.2">
      <c r="A5512"/>
      <c r="B5512"/>
      <c r="C5512"/>
      <c r="D5512"/>
      <c r="E5512" s="2">
        <f>Comuni__2[[#This Row],[Popolazione2011]]/$D$7911</f>
        <v>3.1805825201545858E-6</v>
      </c>
      <c r="F5512">
        <f>SUMIFS($D$2:$D$7909, $B$2:$B$7909, "Piemonte")</f>
        <v>4363916</v>
      </c>
      <c r="G5512" s="1">
        <f>Comuni__2[[#This Row],[Popolazione2011]]/Comuni__2[[#This Row],[POPOLAZIONE TOTALE DI OGNI REGIONE (CON FILTRO)]]</f>
        <v>4.3309724568483901E-5</v>
      </c>
      <c r="H5512" t="str">
        <f>IF(Comuni__2[[#This Row],[Popolazione2011]]&gt;300000,"MAGGIORE","")</f>
        <v/>
      </c>
      <c r="J5512">
        <v>107</v>
      </c>
      <c r="K5512">
        <v>445</v>
      </c>
      <c r="L5512">
        <v>126</v>
      </c>
    </row>
    <row r="5513" spans="1:12" x14ac:dyDescent="0.2">
      <c r="A5513"/>
      <c r="B5513"/>
      <c r="C5513"/>
      <c r="D5513"/>
      <c r="E5513" s="2">
        <f>Comuni__2[[#This Row],[Popolazione2011]]/$D$7911</f>
        <v>3.1300970833267353E-6</v>
      </c>
      <c r="F5513">
        <f>SUMIFS($D$2:$D$7909, $B$2:$B$7909, "Piemonte")</f>
        <v>4363916</v>
      </c>
      <c r="G5513" s="1">
        <f>Comuni__2[[#This Row],[Popolazione2011]]/Comuni__2[[#This Row],[POPOLAZIONE TOTALE DI OGNI REGIONE (CON FILTRO)]]</f>
        <v>4.2622268622952413E-5</v>
      </c>
      <c r="H5513" t="str">
        <f>IF(Comuni__2[[#This Row],[Popolazione2011]]&gt;300000,"MAGGIORE","")</f>
        <v/>
      </c>
      <c r="J5513">
        <v>100</v>
      </c>
      <c r="K5513">
        <v>467</v>
      </c>
      <c r="L5513">
        <v>127</v>
      </c>
    </row>
    <row r="5514" spans="1:12" x14ac:dyDescent="0.2">
      <c r="A5514"/>
      <c r="B5514"/>
      <c r="C5514"/>
      <c r="D5514"/>
      <c r="E5514" s="2">
        <f>Comuni__2[[#This Row],[Popolazione2011]]/$D$7911</f>
        <v>3.1132686043841184E-6</v>
      </c>
      <c r="F5514">
        <f>SUMIFS($D$2:$D$7909, $B$2:$B$7909, "Piemonte")</f>
        <v>4363916</v>
      </c>
      <c r="G5514" s="1">
        <f>Comuni__2[[#This Row],[Popolazione2011]]/Comuni__2[[#This Row],[POPOLAZIONE TOTALE DI OGNI REGIONE (CON FILTRO)]]</f>
        <v>4.2393116641108582E-5</v>
      </c>
      <c r="H5514" t="str">
        <f>IF(Comuni__2[[#This Row],[Popolazione2011]]&gt;300000,"MAGGIORE","")</f>
        <v/>
      </c>
      <c r="J5514">
        <v>100</v>
      </c>
      <c r="K5514">
        <v>506</v>
      </c>
      <c r="L5514">
        <v>127</v>
      </c>
    </row>
    <row r="5515" spans="1:12" x14ac:dyDescent="0.2">
      <c r="A5515"/>
      <c r="B5515"/>
      <c r="C5515"/>
      <c r="D5515"/>
      <c r="E5515" s="2">
        <f>Comuni__2[[#This Row],[Popolazione2011]]/$D$7911</f>
        <v>3.1132686043841184E-6</v>
      </c>
      <c r="F5515">
        <f>SUMIFS($D$2:$D$7909, $B$2:$B$7909, "Piemonte")</f>
        <v>4363916</v>
      </c>
      <c r="G5515" s="1">
        <f>Comuni__2[[#This Row],[Popolazione2011]]/Comuni__2[[#This Row],[POPOLAZIONE TOTALE DI OGNI REGIONE (CON FILTRO)]]</f>
        <v>4.2393116641108582E-5</v>
      </c>
      <c r="H5515" t="str">
        <f>IF(Comuni__2[[#This Row],[Popolazione2011]]&gt;300000,"MAGGIORE","")</f>
        <v/>
      </c>
      <c r="J5515">
        <v>95</v>
      </c>
      <c r="K5515">
        <v>617</v>
      </c>
      <c r="L5515">
        <v>129</v>
      </c>
    </row>
    <row r="5516" spans="1:12" x14ac:dyDescent="0.2">
      <c r="A5516"/>
      <c r="B5516"/>
      <c r="C5516"/>
      <c r="D5516"/>
      <c r="E5516" s="2">
        <f>Comuni__2[[#This Row],[Popolazione2011]]/$D$7911</f>
        <v>3.0964401254415014E-6</v>
      </c>
      <c r="F5516">
        <f>SUMIFS($D$2:$D$7909, $B$2:$B$7909, "Piemonte")</f>
        <v>4363916</v>
      </c>
      <c r="G5516" s="1">
        <f>Comuni__2[[#This Row],[Popolazione2011]]/Comuni__2[[#This Row],[POPOLAZIONE TOTALE DI OGNI REGIONE (CON FILTRO)]]</f>
        <v>4.216396465926475E-5</v>
      </c>
      <c r="H5516" t="str">
        <f>IF(Comuni__2[[#This Row],[Popolazione2011]]&gt;300000,"MAGGIORE","")</f>
        <v/>
      </c>
      <c r="J5516">
        <v>89</v>
      </c>
      <c r="K5516">
        <v>657</v>
      </c>
      <c r="L5516">
        <v>130</v>
      </c>
    </row>
    <row r="5517" spans="1:12" x14ac:dyDescent="0.2">
      <c r="A5517"/>
      <c r="B5517"/>
      <c r="C5517"/>
      <c r="D5517"/>
      <c r="E5517" s="2">
        <f>Comuni__2[[#This Row],[Popolazione2011]]/$D$7911</f>
        <v>3.0964401254415014E-6</v>
      </c>
      <c r="F5517">
        <f>SUMIFS($D$2:$D$7909, $B$2:$B$7909, "Piemonte")</f>
        <v>4363916</v>
      </c>
      <c r="G5517" s="1">
        <f>Comuni__2[[#This Row],[Popolazione2011]]/Comuni__2[[#This Row],[POPOLAZIONE TOTALE DI OGNI REGIONE (CON FILTRO)]]</f>
        <v>4.216396465926475E-5</v>
      </c>
      <c r="H5517" t="str">
        <f>IF(Comuni__2[[#This Row],[Popolazione2011]]&gt;300000,"MAGGIORE","")</f>
        <v/>
      </c>
      <c r="J5517">
        <v>89</v>
      </c>
      <c r="K5517">
        <v>721</v>
      </c>
      <c r="L5517">
        <v>131</v>
      </c>
    </row>
    <row r="5518" spans="1:12" x14ac:dyDescent="0.2">
      <c r="A5518"/>
      <c r="B5518"/>
      <c r="C5518"/>
      <c r="D5518"/>
      <c r="E5518" s="2">
        <f>Comuni__2[[#This Row],[Popolazione2011]]/$D$7911</f>
        <v>3.0627831675562679E-6</v>
      </c>
      <c r="F5518">
        <f>SUMIFS($D$2:$D$7909, $B$2:$B$7909, "Piemonte")</f>
        <v>4363916</v>
      </c>
      <c r="G5518" s="1">
        <f>Comuni__2[[#This Row],[Popolazione2011]]/Comuni__2[[#This Row],[POPOLAZIONE TOTALE DI OGNI REGIONE (CON FILTRO)]]</f>
        <v>4.1705660695577093E-5</v>
      </c>
      <c r="H5518" t="str">
        <f>IF(Comuni__2[[#This Row],[Popolazione2011]]&gt;300000,"MAGGIORE","")</f>
        <v/>
      </c>
      <c r="J5518">
        <v>93</v>
      </c>
      <c r="K5518">
        <v>743</v>
      </c>
      <c r="L5518">
        <v>133</v>
      </c>
    </row>
    <row r="5519" spans="1:12" x14ac:dyDescent="0.2">
      <c r="A5519"/>
      <c r="B5519"/>
      <c r="C5519"/>
      <c r="D5519"/>
      <c r="E5519" s="2">
        <f>Comuni__2[[#This Row],[Popolazione2011]]/$D$7911</f>
        <v>3.0459546886136509E-6</v>
      </c>
      <c r="F5519">
        <f>SUMIFS($D$2:$D$7909, $B$2:$B$7909, "Piemonte")</f>
        <v>4363916</v>
      </c>
      <c r="G5519" s="1">
        <f>Comuni__2[[#This Row],[Popolazione2011]]/Comuni__2[[#This Row],[POPOLAZIONE TOTALE DI OGNI REGIONE (CON FILTRO)]]</f>
        <v>4.1476508713733262E-5</v>
      </c>
      <c r="H5519" t="str">
        <f>IF(Comuni__2[[#This Row],[Popolazione2011]]&gt;300000,"MAGGIORE","")</f>
        <v/>
      </c>
      <c r="J5519">
        <v>86</v>
      </c>
      <c r="K5519">
        <v>775</v>
      </c>
      <c r="L5519">
        <v>135</v>
      </c>
    </row>
    <row r="5520" spans="1:12" x14ac:dyDescent="0.2">
      <c r="A5520"/>
      <c r="B5520"/>
      <c r="C5520"/>
      <c r="D5520"/>
      <c r="E5520" s="2">
        <f>Comuni__2[[#This Row],[Popolazione2011]]/$D$7911</f>
        <v>3.0459546886136509E-6</v>
      </c>
      <c r="F5520">
        <f>SUMIFS($D$2:$D$7909, $B$2:$B$7909, "Piemonte")</f>
        <v>4363916</v>
      </c>
      <c r="G5520" s="1">
        <f>Comuni__2[[#This Row],[Popolazione2011]]/Comuni__2[[#This Row],[POPOLAZIONE TOTALE DI OGNI REGIONE (CON FILTRO)]]</f>
        <v>4.1476508713733262E-5</v>
      </c>
      <c r="H5520" t="str">
        <f>IF(Comuni__2[[#This Row],[Popolazione2011]]&gt;300000,"MAGGIORE","")</f>
        <v/>
      </c>
      <c r="J5520">
        <v>83</v>
      </c>
      <c r="K5520">
        <v>852</v>
      </c>
      <c r="L5520">
        <v>137</v>
      </c>
    </row>
    <row r="5521" spans="1:12" x14ac:dyDescent="0.2">
      <c r="A5521"/>
      <c r="B5521"/>
      <c r="C5521"/>
      <c r="D5521"/>
      <c r="E5521" s="2">
        <f>Comuni__2[[#This Row],[Popolazione2011]]/$D$7911</f>
        <v>3.0122977307284174E-6</v>
      </c>
      <c r="F5521">
        <f>SUMIFS($D$2:$D$7909, $B$2:$B$7909, "Piemonte")</f>
        <v>4363916</v>
      </c>
      <c r="G5521" s="1">
        <f>Comuni__2[[#This Row],[Popolazione2011]]/Comuni__2[[#This Row],[POPOLAZIONE TOTALE DI OGNI REGIONE (CON FILTRO)]]</f>
        <v>4.1018204750045599E-5</v>
      </c>
      <c r="H5521" t="str">
        <f>IF(Comuni__2[[#This Row],[Popolazione2011]]&gt;300000,"MAGGIORE","")</f>
        <v/>
      </c>
      <c r="J5521">
        <v>80</v>
      </c>
      <c r="K5521">
        <v>902</v>
      </c>
      <c r="L5521">
        <v>137</v>
      </c>
    </row>
    <row r="5522" spans="1:12" x14ac:dyDescent="0.2">
      <c r="A5522"/>
      <c r="B5522"/>
      <c r="C5522"/>
      <c r="D5522"/>
      <c r="E5522" s="2">
        <f>Comuni__2[[#This Row],[Popolazione2011]]/$D$7911</f>
        <v>2.9954692517858004E-6</v>
      </c>
      <c r="F5522">
        <f>SUMIFS($D$2:$D$7909, $B$2:$B$7909, "Piemonte")</f>
        <v>4363916</v>
      </c>
      <c r="G5522" s="1">
        <f>Comuni__2[[#This Row],[Popolazione2011]]/Comuni__2[[#This Row],[POPOLAZIONE TOTALE DI OGNI REGIONE (CON FILTRO)]]</f>
        <v>4.0789052768201774E-5</v>
      </c>
      <c r="H5522" t="str">
        <f>IF(Comuni__2[[#This Row],[Popolazione2011]]&gt;300000,"MAGGIORE","")</f>
        <v/>
      </c>
      <c r="J5522">
        <v>75</v>
      </c>
      <c r="K5522">
        <v>904</v>
      </c>
      <c r="L5522">
        <v>137</v>
      </c>
    </row>
    <row r="5523" spans="1:12" x14ac:dyDescent="0.2">
      <c r="A5523"/>
      <c r="B5523"/>
      <c r="C5523"/>
      <c r="D5523"/>
      <c r="E5523" s="2">
        <f>Comuni__2[[#This Row],[Popolazione2011]]/$D$7911</f>
        <v>2.9954692517858004E-6</v>
      </c>
      <c r="F5523">
        <f>SUMIFS($D$2:$D$7909, $B$2:$B$7909, "Piemonte")</f>
        <v>4363916</v>
      </c>
      <c r="G5523" s="1">
        <f>Comuni__2[[#This Row],[Popolazione2011]]/Comuni__2[[#This Row],[POPOLAZIONE TOTALE DI OGNI REGIONE (CON FILTRO)]]</f>
        <v>4.0789052768201774E-5</v>
      </c>
      <c r="H5523" t="str">
        <f>IF(Comuni__2[[#This Row],[Popolazione2011]]&gt;300000,"MAGGIORE","")</f>
        <v/>
      </c>
      <c r="J5523">
        <v>73</v>
      </c>
      <c r="K5523">
        <v>901</v>
      </c>
      <c r="L5523">
        <v>137</v>
      </c>
    </row>
    <row r="5524" spans="1:12" x14ac:dyDescent="0.2">
      <c r="A5524"/>
      <c r="B5524"/>
      <c r="C5524"/>
      <c r="D5524"/>
      <c r="E5524" s="2">
        <f>Comuni__2[[#This Row],[Popolazione2011]]/$D$7911</f>
        <v>2.9786407728431834E-6</v>
      </c>
      <c r="F5524">
        <f>SUMIFS($D$2:$D$7909, $B$2:$B$7909, "Piemonte")</f>
        <v>4363916</v>
      </c>
      <c r="G5524" s="1">
        <f>Comuni__2[[#This Row],[Popolazione2011]]/Comuni__2[[#This Row],[POPOLAZIONE TOTALE DI OGNI REGIONE (CON FILTRO)]]</f>
        <v>4.0559900786357942E-5</v>
      </c>
      <c r="H5524" t="str">
        <f>IF(Comuni__2[[#This Row],[Popolazione2011]]&gt;300000,"MAGGIORE","")</f>
        <v/>
      </c>
      <c r="J5524">
        <v>76</v>
      </c>
      <c r="K5524">
        <v>895</v>
      </c>
      <c r="L5524">
        <v>138</v>
      </c>
    </row>
    <row r="5525" spans="1:12" x14ac:dyDescent="0.2">
      <c r="A5525"/>
      <c r="B5525"/>
      <c r="C5525"/>
      <c r="D5525"/>
      <c r="E5525" s="2">
        <f>Comuni__2[[#This Row],[Popolazione2011]]/$D$7911</f>
        <v>2.9449838149579499E-6</v>
      </c>
      <c r="F5525">
        <f>SUMIFS($D$2:$D$7909, $B$2:$B$7909, "Piemonte")</f>
        <v>4363916</v>
      </c>
      <c r="G5525" s="1">
        <f>Comuni__2[[#This Row],[Popolazione2011]]/Comuni__2[[#This Row],[POPOLAZIONE TOTALE DI OGNI REGIONE (CON FILTRO)]]</f>
        <v>4.0101596822670279E-5</v>
      </c>
      <c r="H5525" t="str">
        <f>IF(Comuni__2[[#This Row],[Popolazione2011]]&gt;300000,"MAGGIORE","")</f>
        <v/>
      </c>
      <c r="J5525">
        <v>76</v>
      </c>
      <c r="K5525">
        <v>894</v>
      </c>
      <c r="L5525">
        <v>139</v>
      </c>
    </row>
    <row r="5526" spans="1:12" x14ac:dyDescent="0.2">
      <c r="A5526"/>
      <c r="B5526"/>
      <c r="C5526"/>
      <c r="D5526"/>
      <c r="E5526" s="2">
        <f>Comuni__2[[#This Row],[Popolazione2011]]/$D$7911</f>
        <v>2.9281553360153329E-6</v>
      </c>
      <c r="F5526">
        <f>SUMIFS($D$2:$D$7909, $B$2:$B$7909, "Piemonte")</f>
        <v>4363916</v>
      </c>
      <c r="G5526" s="1">
        <f>Comuni__2[[#This Row],[Popolazione2011]]/Comuni__2[[#This Row],[POPOLAZIONE TOTALE DI OGNI REGIONE (CON FILTRO)]]</f>
        <v>3.9872444840826447E-5</v>
      </c>
      <c r="H5526" t="str">
        <f>IF(Comuni__2[[#This Row],[Popolazione2011]]&gt;300000,"MAGGIORE","")</f>
        <v/>
      </c>
      <c r="J5526">
        <v>59</v>
      </c>
      <c r="K5526">
        <v>894</v>
      </c>
      <c r="L5526">
        <v>139</v>
      </c>
    </row>
    <row r="5527" spans="1:12" x14ac:dyDescent="0.2">
      <c r="A5527"/>
      <c r="B5527"/>
      <c r="C5527"/>
      <c r="D5527"/>
      <c r="E5527" s="2">
        <f>Comuni__2[[#This Row],[Popolazione2011]]/$D$7911</f>
        <v>2.9281553360153329E-6</v>
      </c>
      <c r="F5527">
        <f>SUMIFS($D$2:$D$7909, $B$2:$B$7909, "Piemonte")</f>
        <v>4363916</v>
      </c>
      <c r="G5527" s="1">
        <f>Comuni__2[[#This Row],[Popolazione2011]]/Comuni__2[[#This Row],[POPOLAZIONE TOTALE DI OGNI REGIONE (CON FILTRO)]]</f>
        <v>3.9872444840826447E-5</v>
      </c>
      <c r="H5527" t="str">
        <f>IF(Comuni__2[[#This Row],[Popolazione2011]]&gt;300000,"MAGGIORE","")</f>
        <v/>
      </c>
      <c r="J5527">
        <v>53</v>
      </c>
      <c r="K5527">
        <v>880</v>
      </c>
      <c r="L5527">
        <v>139</v>
      </c>
    </row>
    <row r="5528" spans="1:12" x14ac:dyDescent="0.2">
      <c r="A5528"/>
      <c r="B5528"/>
      <c r="C5528"/>
      <c r="D5528"/>
      <c r="E5528" s="2">
        <f>Comuni__2[[#This Row],[Popolazione2011]]/$D$7911</f>
        <v>2.894498378130099E-6</v>
      </c>
      <c r="F5528">
        <f>SUMIFS($D$2:$D$7909, $B$2:$B$7909, "Piemonte")</f>
        <v>4363916</v>
      </c>
      <c r="G5528" s="1">
        <f>Comuni__2[[#This Row],[Popolazione2011]]/Comuni__2[[#This Row],[POPOLAZIONE TOTALE DI OGNI REGIONE (CON FILTRO)]]</f>
        <v>3.9414140877138791E-5</v>
      </c>
      <c r="H5528" t="str">
        <f>IF(Comuni__2[[#This Row],[Popolazione2011]]&gt;300000,"MAGGIORE","")</f>
        <v/>
      </c>
      <c r="J5528">
        <v>51</v>
      </c>
      <c r="K5528">
        <v>881</v>
      </c>
      <c r="L5528">
        <v>139</v>
      </c>
    </row>
    <row r="5529" spans="1:12" x14ac:dyDescent="0.2">
      <c r="A5529"/>
      <c r="B5529"/>
      <c r="C5529"/>
      <c r="D5529"/>
      <c r="E5529" s="2">
        <f>Comuni__2[[#This Row],[Popolazione2011]]/$D$7911</f>
        <v>2.8776698991874824E-6</v>
      </c>
      <c r="F5529">
        <f>SUMIFS($D$2:$D$7909, $B$2:$B$7909, "Piemonte")</f>
        <v>4363916</v>
      </c>
      <c r="G5529" s="1">
        <f>Comuni__2[[#This Row],[Popolazione2011]]/Comuni__2[[#This Row],[POPOLAZIONE TOTALE DI OGNI REGIONE (CON FILTRO)]]</f>
        <v>3.9184988895294959E-5</v>
      </c>
      <c r="H5529" t="str">
        <f>IF(Comuni__2[[#This Row],[Popolazione2011]]&gt;300000,"MAGGIORE","")</f>
        <v/>
      </c>
      <c r="J5529">
        <v>47</v>
      </c>
      <c r="K5529">
        <v>889</v>
      </c>
      <c r="L5529">
        <v>139</v>
      </c>
    </row>
    <row r="5530" spans="1:12" x14ac:dyDescent="0.2">
      <c r="A5530"/>
      <c r="B5530"/>
      <c r="C5530"/>
      <c r="D5530"/>
      <c r="E5530" s="2">
        <f>Comuni__2[[#This Row],[Popolazione2011]]/$D$7911</f>
        <v>2.8440129413022485E-6</v>
      </c>
      <c r="F5530">
        <f>SUMIFS($D$2:$D$7909, $B$2:$B$7909, "Piemonte")</f>
        <v>4363916</v>
      </c>
      <c r="G5530" s="1">
        <f>Comuni__2[[#This Row],[Popolazione2011]]/Comuni__2[[#This Row],[POPOLAZIONE TOTALE DI OGNI REGIONE (CON FILTRO)]]</f>
        <v>3.8726684931607303E-5</v>
      </c>
      <c r="H5530" t="str">
        <f>IF(Comuni__2[[#This Row],[Popolazione2011]]&gt;300000,"MAGGIORE","")</f>
        <v/>
      </c>
      <c r="J5530">
        <v>48</v>
      </c>
      <c r="K5530">
        <v>895</v>
      </c>
      <c r="L5530">
        <v>139</v>
      </c>
    </row>
    <row r="5531" spans="1:12" x14ac:dyDescent="0.2">
      <c r="A5531"/>
      <c r="B5531"/>
      <c r="C5531"/>
      <c r="D5531"/>
      <c r="E5531" s="2">
        <f>Comuni__2[[#This Row],[Popolazione2011]]/$D$7911</f>
        <v>2.827184462359632E-6</v>
      </c>
      <c r="F5531">
        <f>SUMIFS($D$2:$D$7909, $B$2:$B$7909, "Piemonte")</f>
        <v>4363916</v>
      </c>
      <c r="G5531" s="1">
        <f>Comuni__2[[#This Row],[Popolazione2011]]/Comuni__2[[#This Row],[POPOLAZIONE TOTALE DI OGNI REGIONE (CON FILTRO)]]</f>
        <v>3.8497532949763471E-5</v>
      </c>
      <c r="H5531" t="str">
        <f>IF(Comuni__2[[#This Row],[Popolazione2011]]&gt;300000,"MAGGIORE","")</f>
        <v/>
      </c>
      <c r="J5531">
        <v>48</v>
      </c>
      <c r="K5531">
        <v>905</v>
      </c>
      <c r="L5531">
        <v>139</v>
      </c>
    </row>
    <row r="5532" spans="1:12" x14ac:dyDescent="0.2">
      <c r="A5532"/>
      <c r="B5532"/>
      <c r="C5532"/>
      <c r="D5532"/>
      <c r="E5532" s="2">
        <f>Comuni__2[[#This Row],[Popolazione2011]]/$D$7911</f>
        <v>2.7262135887039305E-6</v>
      </c>
      <c r="F5532">
        <f>SUMIFS($D$2:$D$7909, $B$2:$B$7909, "Piemonte")</f>
        <v>4363916</v>
      </c>
      <c r="G5532" s="1">
        <f>Comuni__2[[#This Row],[Popolazione2011]]/Comuni__2[[#This Row],[POPOLAZIONE TOTALE DI OGNI REGIONE (CON FILTRO)]]</f>
        <v>3.7122621058700488E-5</v>
      </c>
      <c r="H5532" t="str">
        <f>IF(Comuni__2[[#This Row],[Popolazione2011]]&gt;300000,"MAGGIORE","")</f>
        <v/>
      </c>
      <c r="J5532">
        <v>45</v>
      </c>
      <c r="K5532">
        <v>912</v>
      </c>
      <c r="L5532">
        <v>139</v>
      </c>
    </row>
    <row r="5533" spans="1:12" x14ac:dyDescent="0.2">
      <c r="A5533"/>
      <c r="B5533"/>
      <c r="C5533"/>
      <c r="D5533"/>
      <c r="E5533" s="2">
        <f>Comuni__2[[#This Row],[Popolazione2011]]/$D$7911</f>
        <v>2.692556630818697E-6</v>
      </c>
      <c r="F5533">
        <f>SUMIFS($D$2:$D$7909, $B$2:$B$7909, "Piemonte")</f>
        <v>4363916</v>
      </c>
      <c r="G5533" s="1">
        <f>Comuni__2[[#This Row],[Popolazione2011]]/Comuni__2[[#This Row],[POPOLAZIONE TOTALE DI OGNI REGIONE (CON FILTRO)]]</f>
        <v>3.6664317095012825E-5</v>
      </c>
      <c r="H5533" t="str">
        <f>IF(Comuni__2[[#This Row],[Popolazione2011]]&gt;300000,"MAGGIORE","")</f>
        <v/>
      </c>
      <c r="J5533">
        <v>45</v>
      </c>
      <c r="K5533">
        <v>916</v>
      </c>
      <c r="L5533">
        <v>140</v>
      </c>
    </row>
    <row r="5534" spans="1:12" x14ac:dyDescent="0.2">
      <c r="A5534"/>
      <c r="B5534"/>
      <c r="C5534"/>
      <c r="D5534"/>
      <c r="E5534" s="2">
        <f>Comuni__2[[#This Row],[Popolazione2011]]/$D$7911</f>
        <v>2.692556630818697E-6</v>
      </c>
      <c r="F5534">
        <f>SUMIFS($D$2:$D$7909, $B$2:$B$7909, "Piemonte")</f>
        <v>4363916</v>
      </c>
      <c r="G5534" s="1">
        <f>Comuni__2[[#This Row],[Popolazione2011]]/Comuni__2[[#This Row],[POPOLAZIONE TOTALE DI OGNI REGIONE (CON FILTRO)]]</f>
        <v>3.6664317095012825E-5</v>
      </c>
      <c r="H5534" t="str">
        <f>IF(Comuni__2[[#This Row],[Popolazione2011]]&gt;300000,"MAGGIORE","")</f>
        <v/>
      </c>
      <c r="J5534">
        <v>38</v>
      </c>
      <c r="K5534">
        <v>929</v>
      </c>
      <c r="L5534">
        <v>141</v>
      </c>
    </row>
    <row r="5535" spans="1:12" x14ac:dyDescent="0.2">
      <c r="A5535"/>
      <c r="B5535"/>
      <c r="C5535"/>
      <c r="D5535"/>
      <c r="E5535" s="2">
        <f>Comuni__2[[#This Row],[Popolazione2011]]/$D$7911</f>
        <v>2.67572815187608E-6</v>
      </c>
      <c r="F5535">
        <f>SUMIFS($D$2:$D$7909, $B$2:$B$7909, "Piemonte")</f>
        <v>4363916</v>
      </c>
      <c r="G5535" s="1">
        <f>Comuni__2[[#This Row],[Popolazione2011]]/Comuni__2[[#This Row],[POPOLAZIONE TOTALE DI OGNI REGIONE (CON FILTRO)]]</f>
        <v>3.6435165113169E-5</v>
      </c>
      <c r="H5535" t="str">
        <f>IF(Comuni__2[[#This Row],[Popolazione2011]]&gt;300000,"MAGGIORE","")</f>
        <v/>
      </c>
      <c r="J5535">
        <v>38</v>
      </c>
      <c r="K5535">
        <v>945</v>
      </c>
      <c r="L5535">
        <v>141</v>
      </c>
    </row>
    <row r="5536" spans="1:12" x14ac:dyDescent="0.2">
      <c r="A5536"/>
      <c r="B5536"/>
      <c r="C5536"/>
      <c r="D5536"/>
      <c r="E5536" s="2">
        <f>Comuni__2[[#This Row],[Popolazione2011]]/$D$7911</f>
        <v>2.5915857571629956E-6</v>
      </c>
      <c r="F5536">
        <f>SUMIFS($D$2:$D$7909, $B$2:$B$7909, "Piemonte")</f>
        <v>4363916</v>
      </c>
      <c r="G5536" s="1">
        <f>Comuni__2[[#This Row],[Popolazione2011]]/Comuni__2[[#This Row],[POPOLAZIONE TOTALE DI OGNI REGIONE (CON FILTRO)]]</f>
        <v>3.5289405203949848E-5</v>
      </c>
      <c r="H5536" t="str">
        <f>IF(Comuni__2[[#This Row],[Popolazione2011]]&gt;300000,"MAGGIORE","")</f>
        <v/>
      </c>
      <c r="J5536">
        <v>37</v>
      </c>
      <c r="K5536">
        <v>953</v>
      </c>
      <c r="L5536">
        <v>142</v>
      </c>
    </row>
    <row r="5537" spans="1:12" x14ac:dyDescent="0.2">
      <c r="A5537"/>
      <c r="B5537"/>
      <c r="C5537"/>
      <c r="D5537"/>
      <c r="E5537" s="2">
        <f>Comuni__2[[#This Row],[Popolazione2011]]/$D$7911</f>
        <v>2.5915857571629956E-6</v>
      </c>
      <c r="F5537">
        <f>SUMIFS($D$2:$D$7909, $B$2:$B$7909, "Piemonte")</f>
        <v>4363916</v>
      </c>
      <c r="G5537" s="1">
        <f>Comuni__2[[#This Row],[Popolazione2011]]/Comuni__2[[#This Row],[POPOLAZIONE TOTALE DI OGNI REGIONE (CON FILTRO)]]</f>
        <v>3.5289405203949848E-5</v>
      </c>
      <c r="H5537" t="str">
        <f>IF(Comuni__2[[#This Row],[Popolazione2011]]&gt;300000,"MAGGIORE","")</f>
        <v/>
      </c>
      <c r="J5537">
        <v>33</v>
      </c>
      <c r="K5537">
        <v>956</v>
      </c>
      <c r="L5537">
        <v>142</v>
      </c>
    </row>
    <row r="5538" spans="1:12" x14ac:dyDescent="0.2">
      <c r="A5538"/>
      <c r="B5538"/>
      <c r="C5538"/>
      <c r="D5538"/>
      <c r="E5538" s="2">
        <f>Comuni__2[[#This Row],[Popolazione2011]]/$D$7911</f>
        <v>2.5242718413925286E-6</v>
      </c>
      <c r="F5538">
        <f>SUMIFS($D$2:$D$7909, $B$2:$B$7909, "Piemonte")</f>
        <v>4363916</v>
      </c>
      <c r="G5538" s="1">
        <f>Comuni__2[[#This Row],[Popolazione2011]]/Comuni__2[[#This Row],[POPOLAZIONE TOTALE DI OGNI REGIONE (CON FILTRO)]]</f>
        <v>3.4372797276574529E-5</v>
      </c>
      <c r="H5538" t="str">
        <f>IF(Comuni__2[[#This Row],[Popolazione2011]]&gt;300000,"MAGGIORE","")</f>
        <v/>
      </c>
      <c r="J5538">
        <v>31</v>
      </c>
      <c r="K5538">
        <v>962</v>
      </c>
      <c r="L5538">
        <v>143</v>
      </c>
    </row>
    <row r="5539" spans="1:12" x14ac:dyDescent="0.2">
      <c r="A5539"/>
      <c r="B5539"/>
      <c r="C5539"/>
      <c r="D5539"/>
      <c r="E5539" s="2">
        <f>Comuni__2[[#This Row],[Popolazione2011]]/$D$7911</f>
        <v>2.5074433624499116E-6</v>
      </c>
      <c r="F5539">
        <f>SUMIFS($D$2:$D$7909, $B$2:$B$7909, "Piemonte")</f>
        <v>4363916</v>
      </c>
      <c r="G5539" s="1">
        <f>Comuni__2[[#This Row],[Popolazione2011]]/Comuni__2[[#This Row],[POPOLAZIONE TOTALE DI OGNI REGIONE (CON FILTRO)]]</f>
        <v>3.4143645294730697E-5</v>
      </c>
      <c r="H5539" t="str">
        <f>IF(Comuni__2[[#This Row],[Popolazione2011]]&gt;300000,"MAGGIORE","")</f>
        <v/>
      </c>
      <c r="J5539">
        <v>30</v>
      </c>
      <c r="K5539">
        <v>971</v>
      </c>
      <c r="L5539">
        <v>143</v>
      </c>
    </row>
    <row r="5540" spans="1:12" x14ac:dyDescent="0.2">
      <c r="A5540"/>
      <c r="B5540"/>
      <c r="C5540"/>
      <c r="D5540"/>
      <c r="E5540" s="2">
        <f>Comuni__2[[#This Row],[Popolazione2011]]/$D$7911</f>
        <v>2.3896440098515936E-6</v>
      </c>
      <c r="F5540">
        <f>SUMIFS($D$2:$D$7909, $B$2:$B$7909, "Piemonte")</f>
        <v>4363916</v>
      </c>
      <c r="G5540" s="1">
        <f>Comuni__2[[#This Row],[Popolazione2011]]/Comuni__2[[#This Row],[POPOLAZIONE TOTALE DI OGNI REGIONE (CON FILTRO)]]</f>
        <v>3.2539581421823882E-5</v>
      </c>
      <c r="H5540" t="str">
        <f>IF(Comuni__2[[#This Row],[Popolazione2011]]&gt;300000,"MAGGIORE","")</f>
        <v/>
      </c>
      <c r="J5540">
        <v>27</v>
      </c>
      <c r="K5540">
        <v>983</v>
      </c>
      <c r="L5540">
        <v>143</v>
      </c>
    </row>
    <row r="5541" spans="1:12" x14ac:dyDescent="0.2">
      <c r="A5541"/>
      <c r="B5541"/>
      <c r="C5541"/>
      <c r="D5541"/>
      <c r="E5541" s="2">
        <f>Comuni__2[[#This Row],[Popolazione2011]]/$D$7911</f>
        <v>2.3391585730237431E-6</v>
      </c>
      <c r="F5541">
        <f>SUMIFS($D$2:$D$7909, $B$2:$B$7909, "Piemonte")</f>
        <v>4363916</v>
      </c>
      <c r="G5541" s="1">
        <f>Comuni__2[[#This Row],[Popolazione2011]]/Comuni__2[[#This Row],[POPOLAZIONE TOTALE DI OGNI REGIONE (CON FILTRO)]]</f>
        <v>3.1852125476292394E-5</v>
      </c>
      <c r="H5541" t="str">
        <f>IF(Comuni__2[[#This Row],[Popolazione2011]]&gt;300000,"MAGGIORE","")</f>
        <v/>
      </c>
      <c r="J5541">
        <v>26</v>
      </c>
      <c r="K5541">
        <v>986</v>
      </c>
      <c r="L5541">
        <v>143</v>
      </c>
    </row>
    <row r="5542" spans="1:12" x14ac:dyDescent="0.2">
      <c r="A5542"/>
      <c r="B5542"/>
      <c r="C5542"/>
      <c r="D5542"/>
      <c r="E5542" s="2">
        <f>Comuni__2[[#This Row],[Popolazione2011]]/$D$7911</f>
        <v>2.3223300940811262E-6</v>
      </c>
      <c r="F5542">
        <f>SUMIFS($D$2:$D$7909, $B$2:$B$7909, "Piemonte")</f>
        <v>4363916</v>
      </c>
      <c r="G5542" s="1">
        <f>Comuni__2[[#This Row],[Popolazione2011]]/Comuni__2[[#This Row],[POPOLAZIONE TOTALE DI OGNI REGIONE (CON FILTRO)]]</f>
        <v>3.1622973494448562E-5</v>
      </c>
      <c r="H5542" t="str">
        <f>IF(Comuni__2[[#This Row],[Popolazione2011]]&gt;300000,"MAGGIORE","")</f>
        <v/>
      </c>
      <c r="J5542">
        <v>27</v>
      </c>
      <c r="K5542">
        <v>990</v>
      </c>
      <c r="L5542">
        <v>143</v>
      </c>
    </row>
    <row r="5543" spans="1:12" x14ac:dyDescent="0.2">
      <c r="A5543"/>
      <c r="B5543"/>
      <c r="C5543"/>
      <c r="D5543"/>
      <c r="E5543" s="2">
        <f>Comuni__2[[#This Row],[Popolazione2011]]/$D$7911</f>
        <v>2.3055016151385092E-6</v>
      </c>
      <c r="F5543">
        <f>SUMIFS($D$2:$D$7909, $B$2:$B$7909, "Piemonte")</f>
        <v>4363916</v>
      </c>
      <c r="G5543" s="1">
        <f>Comuni__2[[#This Row],[Popolazione2011]]/Comuni__2[[#This Row],[POPOLAZIONE TOTALE DI OGNI REGIONE (CON FILTRO)]]</f>
        <v>3.1393821512604731E-5</v>
      </c>
      <c r="H5543" t="str">
        <f>IF(Comuni__2[[#This Row],[Popolazione2011]]&gt;300000,"MAGGIORE","")</f>
        <v/>
      </c>
      <c r="J5543">
        <v>24</v>
      </c>
      <c r="K5543">
        <v>991</v>
      </c>
      <c r="L5543">
        <v>143</v>
      </c>
    </row>
    <row r="5544" spans="1:12" x14ac:dyDescent="0.2">
      <c r="A5544"/>
      <c r="B5544"/>
      <c r="C5544"/>
      <c r="D5544"/>
      <c r="E5544" s="2">
        <f>Comuni__2[[#This Row],[Popolazione2011]]/$D$7911</f>
        <v>2.3055016151385092E-6</v>
      </c>
      <c r="F5544">
        <f>SUMIFS($D$2:$D$7909, $B$2:$B$7909, "Piemonte")</f>
        <v>4363916</v>
      </c>
      <c r="G5544" s="1">
        <f>Comuni__2[[#This Row],[Popolazione2011]]/Comuni__2[[#This Row],[POPOLAZIONE TOTALE DI OGNI REGIONE (CON FILTRO)]]</f>
        <v>3.1393821512604731E-5</v>
      </c>
      <c r="H5544" t="str">
        <f>IF(Comuni__2[[#This Row],[Popolazione2011]]&gt;300000,"MAGGIORE","")</f>
        <v/>
      </c>
      <c r="J5544">
        <v>25</v>
      </c>
      <c r="K5544">
        <v>999</v>
      </c>
      <c r="L5544">
        <v>143</v>
      </c>
    </row>
    <row r="5545" spans="1:12" x14ac:dyDescent="0.2">
      <c r="A5545"/>
      <c r="B5545"/>
      <c r="C5545"/>
      <c r="D5545"/>
      <c r="E5545" s="2">
        <f>Comuni__2[[#This Row],[Popolazione2011]]/$D$7911</f>
        <v>2.3055016151385092E-6</v>
      </c>
      <c r="F5545">
        <f>SUMIFS($D$2:$D$7909, $B$2:$B$7909, "Piemonte")</f>
        <v>4363916</v>
      </c>
      <c r="G5545" s="1">
        <f>Comuni__2[[#This Row],[Popolazione2011]]/Comuni__2[[#This Row],[POPOLAZIONE TOTALE DI OGNI REGIONE (CON FILTRO)]]</f>
        <v>3.1393821512604731E-5</v>
      </c>
      <c r="H5545" t="str">
        <f>IF(Comuni__2[[#This Row],[Popolazione2011]]&gt;300000,"MAGGIORE","")</f>
        <v/>
      </c>
      <c r="J5545">
        <v>24</v>
      </c>
      <c r="K5545">
        <v>1003</v>
      </c>
      <c r="L5545">
        <v>143</v>
      </c>
    </row>
    <row r="5546" spans="1:12" x14ac:dyDescent="0.2">
      <c r="A5546"/>
      <c r="B5546"/>
      <c r="C5546"/>
      <c r="D5546"/>
      <c r="E5546" s="2">
        <f>Comuni__2[[#This Row],[Popolazione2011]]/$D$7911</f>
        <v>2.2718446572532757E-6</v>
      </c>
      <c r="F5546">
        <f>SUMIFS($D$2:$D$7909, $B$2:$B$7909, "Piemonte")</f>
        <v>4363916</v>
      </c>
      <c r="G5546" s="1">
        <f>Comuni__2[[#This Row],[Popolazione2011]]/Comuni__2[[#This Row],[POPOLAZIONE TOTALE DI OGNI REGIONE (CON FILTRO)]]</f>
        <v>3.0935517548917074E-5</v>
      </c>
      <c r="H5546" t="str">
        <f>IF(Comuni__2[[#This Row],[Popolazione2011]]&gt;300000,"MAGGIORE","")</f>
        <v/>
      </c>
      <c r="J5546">
        <v>20</v>
      </c>
      <c r="K5546">
        <v>1003</v>
      </c>
      <c r="L5546">
        <v>143</v>
      </c>
    </row>
    <row r="5547" spans="1:12" x14ac:dyDescent="0.2">
      <c r="A5547"/>
      <c r="B5547"/>
      <c r="C5547"/>
      <c r="D5547"/>
      <c r="E5547" s="2">
        <f>Comuni__2[[#This Row],[Popolazione2011]]/$D$7911</f>
        <v>2.2718446572532757E-6</v>
      </c>
      <c r="F5547">
        <f>SUMIFS($D$2:$D$7909, $B$2:$B$7909, "Piemonte")</f>
        <v>4363916</v>
      </c>
      <c r="G5547" s="1">
        <f>Comuni__2[[#This Row],[Popolazione2011]]/Comuni__2[[#This Row],[POPOLAZIONE TOTALE DI OGNI REGIONE (CON FILTRO)]]</f>
        <v>3.0935517548917074E-5</v>
      </c>
      <c r="H5547" t="str">
        <f>IF(Comuni__2[[#This Row],[Popolazione2011]]&gt;300000,"MAGGIORE","")</f>
        <v/>
      </c>
      <c r="J5547">
        <v>18</v>
      </c>
      <c r="K5547">
        <v>1007</v>
      </c>
      <c r="L5547">
        <v>143</v>
      </c>
    </row>
    <row r="5548" spans="1:12" x14ac:dyDescent="0.2">
      <c r="A5548"/>
      <c r="B5548"/>
      <c r="C5548"/>
      <c r="D5548"/>
      <c r="E5548" s="2">
        <f>Comuni__2[[#This Row],[Popolazione2011]]/$D$7911</f>
        <v>2.2045307414828082E-6</v>
      </c>
      <c r="F5548">
        <f>SUMIFS($D$2:$D$7909, $B$2:$B$7909, "Piemonte")</f>
        <v>4363916</v>
      </c>
      <c r="G5548" s="1">
        <f>Comuni__2[[#This Row],[Popolazione2011]]/Comuni__2[[#This Row],[POPOLAZIONE TOTALE DI OGNI REGIONE (CON FILTRO)]]</f>
        <v>3.0018909621541751E-5</v>
      </c>
      <c r="H5548" t="str">
        <f>IF(Comuni__2[[#This Row],[Popolazione2011]]&gt;300000,"MAGGIORE","")</f>
        <v/>
      </c>
      <c r="J5548">
        <v>18</v>
      </c>
      <c r="K5548">
        <v>1011</v>
      </c>
      <c r="L5548">
        <v>143</v>
      </c>
    </row>
    <row r="5549" spans="1:12" x14ac:dyDescent="0.2">
      <c r="A5549"/>
      <c r="B5549"/>
      <c r="C5549"/>
      <c r="D5549"/>
      <c r="E5549" s="2">
        <f>Comuni__2[[#This Row],[Popolazione2011]]/$D$7911</f>
        <v>2.1877022625401912E-6</v>
      </c>
      <c r="F5549">
        <f>SUMIFS($D$2:$D$7909, $B$2:$B$7909, "Piemonte")</f>
        <v>4363916</v>
      </c>
      <c r="G5549" s="1">
        <f>Comuni__2[[#This Row],[Popolazione2011]]/Comuni__2[[#This Row],[POPOLAZIONE TOTALE DI OGNI REGIONE (CON FILTRO)]]</f>
        <v>2.9789757639697923E-5</v>
      </c>
      <c r="H5549" t="str">
        <f>IF(Comuni__2[[#This Row],[Popolazione2011]]&gt;300000,"MAGGIORE","")</f>
        <v/>
      </c>
      <c r="J5549">
        <v>16</v>
      </c>
      <c r="K5549">
        <v>1016</v>
      </c>
      <c r="L5549">
        <v>143</v>
      </c>
    </row>
    <row r="5550" spans="1:12" x14ac:dyDescent="0.2">
      <c r="A5550"/>
      <c r="B5550"/>
      <c r="C5550"/>
      <c r="D5550"/>
      <c r="E5550" s="2">
        <f>Comuni__2[[#This Row],[Popolazione2011]]/$D$7911</f>
        <v>2.1203883467697238E-6</v>
      </c>
      <c r="F5550">
        <f>SUMIFS($D$2:$D$7909, $B$2:$B$7909, "Piemonte")</f>
        <v>4363916</v>
      </c>
      <c r="G5550" s="1">
        <f>Comuni__2[[#This Row],[Popolazione2011]]/Comuni__2[[#This Row],[POPOLAZIONE TOTALE DI OGNI REGIONE (CON FILTRO)]]</f>
        <v>2.8873149712322603E-5</v>
      </c>
      <c r="H5550" t="str">
        <f>IF(Comuni__2[[#This Row],[Popolazione2011]]&gt;300000,"MAGGIORE","")</f>
        <v/>
      </c>
      <c r="J5550">
        <v>12</v>
      </c>
      <c r="K5550">
        <v>1020</v>
      </c>
      <c r="L5550">
        <v>143</v>
      </c>
    </row>
    <row r="5551" spans="1:12" x14ac:dyDescent="0.2">
      <c r="A5551"/>
      <c r="B5551"/>
      <c r="C5551"/>
      <c r="D5551"/>
      <c r="E5551" s="2">
        <f>Comuni__2[[#This Row],[Popolazione2011]]/$D$7911</f>
        <v>2.0867313888844902E-6</v>
      </c>
      <c r="F5551">
        <f>SUMIFS($D$2:$D$7909, $B$2:$B$7909, "Piemonte")</f>
        <v>4363916</v>
      </c>
      <c r="G5551" s="1">
        <f>Comuni__2[[#This Row],[Popolazione2011]]/Comuni__2[[#This Row],[POPOLAZIONE TOTALE DI OGNI REGIONE (CON FILTRO)]]</f>
        <v>2.8414845748634943E-5</v>
      </c>
      <c r="H5551" t="str">
        <f>IF(Comuni__2[[#This Row],[Popolazione2011]]&gt;300000,"MAGGIORE","")</f>
        <v/>
      </c>
      <c r="J5551">
        <v>13</v>
      </c>
      <c r="K5551">
        <v>1023</v>
      </c>
      <c r="L5551">
        <v>143</v>
      </c>
    </row>
    <row r="5552" spans="1:12" x14ac:dyDescent="0.2">
      <c r="A5552"/>
      <c r="B5552"/>
      <c r="C5552"/>
      <c r="D5552"/>
      <c r="E5552" s="2">
        <f>Comuni__2[[#This Row],[Popolazione2011]]/$D$7911</f>
        <v>2.0699029099418733E-6</v>
      </c>
      <c r="F5552">
        <f>SUMIFS($D$2:$D$7909, $B$2:$B$7909, "Piemonte")</f>
        <v>4363916</v>
      </c>
      <c r="G5552" s="1">
        <f>Comuni__2[[#This Row],[Popolazione2011]]/Comuni__2[[#This Row],[POPOLAZIONE TOTALE DI OGNI REGIONE (CON FILTRO)]]</f>
        <v>2.8185693766791112E-5</v>
      </c>
      <c r="H5552" t="str">
        <f>IF(Comuni__2[[#This Row],[Popolazione2011]]&gt;300000,"MAGGIORE","")</f>
        <v/>
      </c>
      <c r="J5552">
        <v>12</v>
      </c>
      <c r="K5552">
        <v>1026</v>
      </c>
      <c r="L5552">
        <v>143</v>
      </c>
    </row>
    <row r="5553" spans="1:12" x14ac:dyDescent="0.2">
      <c r="A5553"/>
      <c r="B5553"/>
      <c r="C5553"/>
      <c r="D5553"/>
      <c r="E5553" s="2">
        <f>Comuni__2[[#This Row],[Popolazione2011]]/$D$7911</f>
        <v>2.0362459520566397E-6</v>
      </c>
      <c r="F5553">
        <f>SUMIFS($D$2:$D$7909, $B$2:$B$7909, "Piemonte")</f>
        <v>4363916</v>
      </c>
      <c r="G5553" s="1">
        <f>Comuni__2[[#This Row],[Popolazione2011]]/Comuni__2[[#This Row],[POPOLAZIONE TOTALE DI OGNI REGIONE (CON FILTRO)]]</f>
        <v>2.7727389803103452E-5</v>
      </c>
      <c r="H5553" t="str">
        <f>IF(Comuni__2[[#This Row],[Popolazione2011]]&gt;300000,"MAGGIORE","")</f>
        <v/>
      </c>
      <c r="J5553">
        <v>11</v>
      </c>
      <c r="K5553">
        <v>1027</v>
      </c>
      <c r="L5553">
        <v>143</v>
      </c>
    </row>
    <row r="5554" spans="1:12" x14ac:dyDescent="0.2">
      <c r="A5554"/>
      <c r="B5554"/>
      <c r="C5554"/>
      <c r="D5554"/>
      <c r="E5554" s="2">
        <f>Comuni__2[[#This Row],[Popolazione2011]]/$D$7911</f>
        <v>2.0362459520566397E-6</v>
      </c>
      <c r="F5554">
        <f>SUMIFS($D$2:$D$7909, $B$2:$B$7909, "Piemonte")</f>
        <v>4363916</v>
      </c>
      <c r="G5554" s="1">
        <f>Comuni__2[[#This Row],[Popolazione2011]]/Comuni__2[[#This Row],[POPOLAZIONE TOTALE DI OGNI REGIONE (CON FILTRO)]]</f>
        <v>2.7727389803103452E-5</v>
      </c>
      <c r="H5554" t="str">
        <f>IF(Comuni__2[[#This Row],[Popolazione2011]]&gt;300000,"MAGGIORE","")</f>
        <v/>
      </c>
      <c r="J5554">
        <v>10</v>
      </c>
      <c r="K5554">
        <v>1031</v>
      </c>
      <c r="L5554">
        <v>143</v>
      </c>
    </row>
    <row r="5555" spans="1:12" x14ac:dyDescent="0.2">
      <c r="A5555"/>
      <c r="B5555"/>
      <c r="C5555"/>
      <c r="D5555"/>
      <c r="E5555" s="2">
        <f>Comuni__2[[#This Row],[Popolazione2011]]/$D$7911</f>
        <v>2.0194174731140228E-6</v>
      </c>
      <c r="F5555">
        <f>SUMIFS($D$2:$D$7909, $B$2:$B$7909, "Piemonte")</f>
        <v>4363916</v>
      </c>
      <c r="G5555" s="1">
        <f>Comuni__2[[#This Row],[Popolazione2011]]/Comuni__2[[#This Row],[POPOLAZIONE TOTALE DI OGNI REGIONE (CON FILTRO)]]</f>
        <v>2.749823782125962E-5</v>
      </c>
      <c r="H5555" t="str">
        <f>IF(Comuni__2[[#This Row],[Popolazione2011]]&gt;300000,"MAGGIORE","")</f>
        <v/>
      </c>
      <c r="J5555">
        <v>9</v>
      </c>
      <c r="K5555">
        <v>1031</v>
      </c>
      <c r="L5555">
        <v>143</v>
      </c>
    </row>
    <row r="5556" spans="1:12" x14ac:dyDescent="0.2">
      <c r="A5556"/>
      <c r="B5556"/>
      <c r="C5556"/>
      <c r="D5556"/>
      <c r="E5556" s="2">
        <f>Comuni__2[[#This Row],[Popolazione2011]]/$D$7911</f>
        <v>1.9184465994583213E-6</v>
      </c>
      <c r="F5556">
        <f>SUMIFS($D$2:$D$7909, $B$2:$B$7909, "Piemonte")</f>
        <v>4363916</v>
      </c>
      <c r="G5556" s="1">
        <f>Comuni__2[[#This Row],[Popolazione2011]]/Comuni__2[[#This Row],[POPOLAZIONE TOTALE DI OGNI REGIONE (CON FILTRO)]]</f>
        <v>2.612332593019664E-5</v>
      </c>
      <c r="H5556" t="str">
        <f>IF(Comuni__2[[#This Row],[Popolazione2011]]&gt;300000,"MAGGIORE","")</f>
        <v/>
      </c>
      <c r="J5556">
        <v>9</v>
      </c>
      <c r="K5556">
        <v>1034</v>
      </c>
      <c r="L5556">
        <v>143</v>
      </c>
    </row>
    <row r="5557" spans="1:12" x14ac:dyDescent="0.2">
      <c r="A5557"/>
      <c r="B5557"/>
      <c r="C5557"/>
      <c r="D5557"/>
      <c r="E5557" s="2">
        <f>Comuni__2[[#This Row],[Popolazione2011]]/$D$7911</f>
        <v>1.8847896415730878E-6</v>
      </c>
      <c r="F5557">
        <f>SUMIFS($D$2:$D$7909, $B$2:$B$7909, "Piemonte")</f>
        <v>4363916</v>
      </c>
      <c r="G5557" s="1">
        <f>Comuni__2[[#This Row],[Popolazione2011]]/Comuni__2[[#This Row],[POPOLAZIONE TOTALE DI OGNI REGIONE (CON FILTRO)]]</f>
        <v>2.5665021966508981E-5</v>
      </c>
      <c r="H5557" t="str">
        <f>IF(Comuni__2[[#This Row],[Popolazione2011]]&gt;300000,"MAGGIORE","")</f>
        <v/>
      </c>
      <c r="J5557">
        <v>9</v>
      </c>
      <c r="K5557">
        <v>1034</v>
      </c>
      <c r="L5557">
        <v>143</v>
      </c>
    </row>
    <row r="5558" spans="1:12" x14ac:dyDescent="0.2">
      <c r="A5558"/>
      <c r="B5558"/>
      <c r="C5558"/>
      <c r="D5558"/>
      <c r="E5558" s="2">
        <f>Comuni__2[[#This Row],[Popolazione2011]]/$D$7911</f>
        <v>1.8006472468600036E-6</v>
      </c>
      <c r="F5558">
        <f>SUMIFS($D$2:$D$7909, $B$2:$B$7909, "Piemonte")</f>
        <v>4363916</v>
      </c>
      <c r="G5558" s="1">
        <f>Comuni__2[[#This Row],[Popolazione2011]]/Comuni__2[[#This Row],[POPOLAZIONE TOTALE DI OGNI REGIONE (CON FILTRO)]]</f>
        <v>2.4519262057289829E-5</v>
      </c>
      <c r="H5558" t="str">
        <f>IF(Comuni__2[[#This Row],[Popolazione2011]]&gt;300000,"MAGGIORE","")</f>
        <v/>
      </c>
      <c r="J5558">
        <v>7</v>
      </c>
      <c r="K5558">
        <v>1033</v>
      </c>
      <c r="L5558">
        <v>144</v>
      </c>
    </row>
    <row r="5559" spans="1:12" x14ac:dyDescent="0.2">
      <c r="A5559"/>
      <c r="B5559"/>
      <c r="C5559"/>
      <c r="D5559"/>
      <c r="E5559" s="2">
        <f>Comuni__2[[#This Row],[Popolazione2011]]/$D$7911</f>
        <v>1.8006472468600036E-6</v>
      </c>
      <c r="F5559">
        <f>SUMIFS($D$2:$D$7909, $B$2:$B$7909, "Piemonte")</f>
        <v>4363916</v>
      </c>
      <c r="G5559" s="1">
        <f>Comuni__2[[#This Row],[Popolazione2011]]/Comuni__2[[#This Row],[POPOLAZIONE TOTALE DI OGNI REGIONE (CON FILTRO)]]</f>
        <v>2.4519262057289829E-5</v>
      </c>
      <c r="H5559" t="str">
        <f>IF(Comuni__2[[#This Row],[Popolazione2011]]&gt;300000,"MAGGIORE","")</f>
        <v/>
      </c>
      <c r="J5559">
        <v>6</v>
      </c>
      <c r="K5559">
        <v>1038</v>
      </c>
      <c r="L5559">
        <v>144</v>
      </c>
    </row>
    <row r="5560" spans="1:12" x14ac:dyDescent="0.2">
      <c r="A5560"/>
      <c r="B5560"/>
      <c r="C5560"/>
      <c r="D5560"/>
      <c r="E5560" s="2">
        <f>Comuni__2[[#This Row],[Popolazione2011]]/$D$7911</f>
        <v>1.8006472468600036E-6</v>
      </c>
      <c r="F5560">
        <f>SUMIFS($D$2:$D$7909, $B$2:$B$7909, "Piemonte")</f>
        <v>4363916</v>
      </c>
      <c r="G5560" s="1">
        <f>Comuni__2[[#This Row],[Popolazione2011]]/Comuni__2[[#This Row],[POPOLAZIONE TOTALE DI OGNI REGIONE (CON FILTRO)]]</f>
        <v>2.4519262057289829E-5</v>
      </c>
      <c r="H5560" t="str">
        <f>IF(Comuni__2[[#This Row],[Popolazione2011]]&gt;300000,"MAGGIORE","")</f>
        <v/>
      </c>
      <c r="J5560">
        <v>7</v>
      </c>
      <c r="K5560">
        <v>1039</v>
      </c>
      <c r="L5560">
        <v>144</v>
      </c>
    </row>
    <row r="5561" spans="1:12" x14ac:dyDescent="0.2">
      <c r="A5561"/>
      <c r="B5561"/>
      <c r="C5561"/>
      <c r="D5561"/>
      <c r="E5561" s="2">
        <f>Comuni__2[[#This Row],[Popolazione2011]]/$D$7911</f>
        <v>1.7669902889747699E-6</v>
      </c>
      <c r="F5561">
        <f>SUMIFS($D$2:$D$7909, $B$2:$B$7909, "Piemonte")</f>
        <v>4363916</v>
      </c>
      <c r="G5561" s="1">
        <f>Comuni__2[[#This Row],[Popolazione2011]]/Comuni__2[[#This Row],[POPOLAZIONE TOTALE DI OGNI REGIONE (CON FILTRO)]]</f>
        <v>2.4060958093602169E-5</v>
      </c>
      <c r="H5561" t="str">
        <f>IF(Comuni__2[[#This Row],[Popolazione2011]]&gt;300000,"MAGGIORE","")</f>
        <v/>
      </c>
      <c r="J5561">
        <v>7</v>
      </c>
      <c r="K5561">
        <v>1039</v>
      </c>
      <c r="L5561">
        <v>144</v>
      </c>
    </row>
    <row r="5562" spans="1:12" x14ac:dyDescent="0.2">
      <c r="A5562"/>
      <c r="B5562"/>
      <c r="C5562"/>
      <c r="D5562"/>
      <c r="E5562" s="2">
        <f>Comuni__2[[#This Row],[Popolazione2011]]/$D$7911</f>
        <v>1.7501618100321529E-6</v>
      </c>
      <c r="F5562">
        <f>SUMIFS($D$2:$D$7909, $B$2:$B$7909, "Piemonte")</f>
        <v>4363916</v>
      </c>
      <c r="G5562" s="1">
        <f>Comuni__2[[#This Row],[Popolazione2011]]/Comuni__2[[#This Row],[POPOLAZIONE TOTALE DI OGNI REGIONE (CON FILTRO)]]</f>
        <v>2.3831806111758338E-5</v>
      </c>
      <c r="H5562" t="str">
        <f>IF(Comuni__2[[#This Row],[Popolazione2011]]&gt;300000,"MAGGIORE","")</f>
        <v/>
      </c>
      <c r="J5562">
        <v>3</v>
      </c>
      <c r="K5562">
        <v>1041</v>
      </c>
      <c r="L5562">
        <v>144</v>
      </c>
    </row>
    <row r="5563" spans="1:12" x14ac:dyDescent="0.2">
      <c r="A5563"/>
      <c r="B5563"/>
      <c r="C5563"/>
      <c r="D5563"/>
      <c r="E5563" s="2">
        <f>Comuni__2[[#This Row],[Popolazione2011]]/$D$7911</f>
        <v>1.7333333310895361E-6</v>
      </c>
      <c r="F5563">
        <f>SUMIFS($D$2:$D$7909, $B$2:$B$7909, "Piemonte")</f>
        <v>4363916</v>
      </c>
      <c r="G5563" s="1">
        <f>Comuni__2[[#This Row],[Popolazione2011]]/Comuni__2[[#This Row],[POPOLAZIONE TOTALE DI OGNI REGIONE (CON FILTRO)]]</f>
        <v>2.3602654129914509E-5</v>
      </c>
      <c r="H5563" t="str">
        <f>IF(Comuni__2[[#This Row],[Popolazione2011]]&gt;300000,"MAGGIORE","")</f>
        <v/>
      </c>
      <c r="J5563">
        <v>6</v>
      </c>
      <c r="K5563">
        <v>1041</v>
      </c>
      <c r="L5563">
        <v>144</v>
      </c>
    </row>
    <row r="5564" spans="1:12" x14ac:dyDescent="0.2">
      <c r="A5564"/>
      <c r="B5564"/>
      <c r="C5564"/>
      <c r="D5564"/>
      <c r="E5564" s="2">
        <f>Comuni__2[[#This Row],[Popolazione2011]]/$D$7911</f>
        <v>1.6996763732043024E-6</v>
      </c>
      <c r="F5564">
        <f>SUMIFS($D$2:$D$7909, $B$2:$B$7909, "Piemonte")</f>
        <v>4363916</v>
      </c>
      <c r="G5564" s="1">
        <f>Comuni__2[[#This Row],[Popolazione2011]]/Comuni__2[[#This Row],[POPOLAZIONE TOTALE DI OGNI REGIONE (CON FILTRO)]]</f>
        <v>2.3144350166226846E-5</v>
      </c>
      <c r="H5564" t="str">
        <f>IF(Comuni__2[[#This Row],[Popolazione2011]]&gt;300000,"MAGGIORE","")</f>
        <v/>
      </c>
      <c r="J5564">
        <v>6</v>
      </c>
      <c r="K5564">
        <v>1038</v>
      </c>
      <c r="L5564">
        <v>144</v>
      </c>
    </row>
    <row r="5565" spans="1:12" x14ac:dyDescent="0.2">
      <c r="A5565"/>
      <c r="B5565"/>
      <c r="C5565"/>
      <c r="D5565"/>
      <c r="E5565" s="2">
        <f>Comuni__2[[#This Row],[Popolazione2011]]/$D$7911</f>
        <v>1.6828478942616856E-6</v>
      </c>
      <c r="F5565">
        <f>SUMIFS($D$2:$D$7909, $B$2:$B$7909, "Piemonte")</f>
        <v>4363916</v>
      </c>
      <c r="G5565" s="1">
        <f>Comuni__2[[#This Row],[Popolazione2011]]/Comuni__2[[#This Row],[POPOLAZIONE TOTALE DI OGNI REGIONE (CON FILTRO)]]</f>
        <v>2.2915198184383018E-5</v>
      </c>
      <c r="H5565" t="str">
        <f>IF(Comuni__2[[#This Row],[Popolazione2011]]&gt;300000,"MAGGIORE","")</f>
        <v/>
      </c>
      <c r="J5565">
        <v>7</v>
      </c>
      <c r="K5565">
        <v>1040</v>
      </c>
      <c r="L5565">
        <v>144</v>
      </c>
    </row>
    <row r="5566" spans="1:12" x14ac:dyDescent="0.2">
      <c r="A5566"/>
      <c r="B5566"/>
      <c r="C5566"/>
      <c r="D5566"/>
      <c r="E5566" s="2">
        <f>Comuni__2[[#This Row],[Popolazione2011]]/$D$7911</f>
        <v>1.5987054995486012E-6</v>
      </c>
      <c r="F5566">
        <f>SUMIFS($D$2:$D$7909, $B$2:$B$7909, "Piemonte")</f>
        <v>4363916</v>
      </c>
      <c r="G5566" s="1">
        <f>Comuni__2[[#This Row],[Popolazione2011]]/Comuni__2[[#This Row],[POPOLAZIONE TOTALE DI OGNI REGIONE (CON FILTRO)]]</f>
        <v>2.1769438275163866E-5</v>
      </c>
      <c r="H5566" t="str">
        <f>IF(Comuni__2[[#This Row],[Popolazione2011]]&gt;300000,"MAGGIORE","")</f>
        <v/>
      </c>
      <c r="J5566">
        <v>7</v>
      </c>
      <c r="K5566">
        <v>1040</v>
      </c>
      <c r="L5566">
        <v>144</v>
      </c>
    </row>
    <row r="5567" spans="1:12" x14ac:dyDescent="0.2">
      <c r="A5567"/>
      <c r="B5567"/>
      <c r="C5567"/>
      <c r="D5567"/>
      <c r="E5567" s="2">
        <f>Comuni__2[[#This Row],[Popolazione2011]]/$D$7911</f>
        <v>1.5818770206059844E-6</v>
      </c>
      <c r="F5567">
        <f>SUMIFS($D$2:$D$7909, $B$2:$B$7909, "Piemonte")</f>
        <v>4363916</v>
      </c>
      <c r="G5567" s="1">
        <f>Comuni__2[[#This Row],[Popolazione2011]]/Comuni__2[[#This Row],[POPOLAZIONE TOTALE DI OGNI REGIONE (CON FILTRO)]]</f>
        <v>2.1540286293320035E-5</v>
      </c>
      <c r="H5567" t="str">
        <f>IF(Comuni__2[[#This Row],[Popolazione2011]]&gt;300000,"MAGGIORE","")</f>
        <v/>
      </c>
      <c r="J5567">
        <v>7</v>
      </c>
      <c r="K5567">
        <v>1035</v>
      </c>
      <c r="L5567">
        <v>144</v>
      </c>
    </row>
    <row r="5568" spans="1:12" x14ac:dyDescent="0.2">
      <c r="A5568"/>
      <c r="B5568"/>
      <c r="C5568"/>
      <c r="D5568"/>
      <c r="E5568" s="2">
        <f>Comuni__2[[#This Row],[Popolazione2011]]/$D$7911</f>
        <v>1.5818770206059844E-6</v>
      </c>
      <c r="F5568">
        <f>SUMIFS($D$2:$D$7909, $B$2:$B$7909, "Piemonte")</f>
        <v>4363916</v>
      </c>
      <c r="G5568" s="1">
        <f>Comuni__2[[#This Row],[Popolazione2011]]/Comuni__2[[#This Row],[POPOLAZIONE TOTALE DI OGNI REGIONE (CON FILTRO)]]</f>
        <v>2.1540286293320035E-5</v>
      </c>
      <c r="H5568" t="str">
        <f>IF(Comuni__2[[#This Row],[Popolazione2011]]&gt;300000,"MAGGIORE","")</f>
        <v/>
      </c>
      <c r="J5568">
        <v>6</v>
      </c>
      <c r="K5568">
        <v>1037</v>
      </c>
      <c r="L5568">
        <v>144</v>
      </c>
    </row>
    <row r="5569" spans="1:12" x14ac:dyDescent="0.2">
      <c r="A5569"/>
      <c r="B5569"/>
      <c r="C5569"/>
      <c r="D5569"/>
      <c r="E5569" s="2">
        <f>Comuni__2[[#This Row],[Popolazione2011]]/$D$7911</f>
        <v>1.5650485416633677E-6</v>
      </c>
      <c r="F5569">
        <f>SUMIFS($D$2:$D$7909, $B$2:$B$7909, "Piemonte")</f>
        <v>4363916</v>
      </c>
      <c r="G5569" s="1">
        <f>Comuni__2[[#This Row],[Popolazione2011]]/Comuni__2[[#This Row],[POPOLAZIONE TOTALE DI OGNI REGIONE (CON FILTRO)]]</f>
        <v>2.1311134311476207E-5</v>
      </c>
      <c r="H5569" t="str">
        <f>IF(Comuni__2[[#This Row],[Popolazione2011]]&gt;300000,"MAGGIORE","")</f>
        <v/>
      </c>
      <c r="J5569">
        <v>5</v>
      </c>
      <c r="K5569">
        <v>1039</v>
      </c>
      <c r="L5569">
        <v>144</v>
      </c>
    </row>
    <row r="5570" spans="1:12" x14ac:dyDescent="0.2">
      <c r="A5570"/>
      <c r="B5570"/>
      <c r="C5570"/>
      <c r="D5570"/>
      <c r="E5570" s="2">
        <f>Comuni__2[[#This Row],[Popolazione2011]]/$D$7911</f>
        <v>1.5313915837781339E-6</v>
      </c>
      <c r="F5570">
        <f>SUMIFS($D$2:$D$7909, $B$2:$B$7909, "Piemonte")</f>
        <v>4363916</v>
      </c>
      <c r="G5570" s="1">
        <f>Comuni__2[[#This Row],[Popolazione2011]]/Comuni__2[[#This Row],[POPOLAZIONE TOTALE DI OGNI REGIONE (CON FILTRO)]]</f>
        <v>2.0852830347788547E-5</v>
      </c>
      <c r="H5570" t="str">
        <f>IF(Comuni__2[[#This Row],[Popolazione2011]]&gt;300000,"MAGGIORE","")</f>
        <v/>
      </c>
      <c r="J5570">
        <v>5</v>
      </c>
      <c r="K5570">
        <v>1040</v>
      </c>
      <c r="L5570">
        <v>145</v>
      </c>
    </row>
    <row r="5571" spans="1:12" x14ac:dyDescent="0.2">
      <c r="A5571"/>
      <c r="B5571"/>
      <c r="C5571"/>
      <c r="D5571"/>
      <c r="E5571" s="2">
        <f>Comuni__2[[#This Row],[Popolazione2011]]/$D$7911</f>
        <v>1.5313915837781339E-6</v>
      </c>
      <c r="F5571">
        <f>SUMIFS($D$2:$D$7909, $B$2:$B$7909, "Piemonte")</f>
        <v>4363916</v>
      </c>
      <c r="G5571" s="1">
        <f>Comuni__2[[#This Row],[Popolazione2011]]/Comuni__2[[#This Row],[POPOLAZIONE TOTALE DI OGNI REGIONE (CON FILTRO)]]</f>
        <v>2.0852830347788547E-5</v>
      </c>
      <c r="H5571" t="str">
        <f>IF(Comuni__2[[#This Row],[Popolazione2011]]&gt;300000,"MAGGIORE","")</f>
        <v/>
      </c>
      <c r="J5571">
        <v>4</v>
      </c>
      <c r="K5571">
        <v>1041</v>
      </c>
      <c r="L5571">
        <v>146</v>
      </c>
    </row>
    <row r="5572" spans="1:12" x14ac:dyDescent="0.2">
      <c r="A5572"/>
      <c r="B5572"/>
      <c r="C5572"/>
      <c r="D5572"/>
      <c r="E5572" s="2">
        <f>Comuni__2[[#This Row],[Popolazione2011]]/$D$7911</f>
        <v>1.514563104835517E-6</v>
      </c>
      <c r="F5572">
        <f>SUMIFS($D$2:$D$7909, $B$2:$B$7909, "Piemonte")</f>
        <v>4363916</v>
      </c>
      <c r="G5572" s="1">
        <f>Comuni__2[[#This Row],[Popolazione2011]]/Comuni__2[[#This Row],[POPOLAZIONE TOTALE DI OGNI REGIONE (CON FILTRO)]]</f>
        <v>2.0623678365944715E-5</v>
      </c>
      <c r="H5572" t="str">
        <f>IF(Comuni__2[[#This Row],[Popolazione2011]]&gt;300000,"MAGGIORE","")</f>
        <v/>
      </c>
      <c r="J5572">
        <v>4</v>
      </c>
      <c r="K5572">
        <v>1041</v>
      </c>
      <c r="L5572">
        <v>146</v>
      </c>
    </row>
    <row r="5573" spans="1:12" x14ac:dyDescent="0.2">
      <c r="A5573"/>
      <c r="B5573"/>
      <c r="C5573"/>
      <c r="D5573"/>
      <c r="E5573" s="2">
        <f>Comuni__2[[#This Row],[Popolazione2011]]/$D$7911</f>
        <v>1.4640776680076665E-6</v>
      </c>
      <c r="F5573">
        <f>SUMIFS($D$2:$D$7909, $B$2:$B$7909, "Piemonte")</f>
        <v>4363916</v>
      </c>
      <c r="G5573" s="1">
        <f>Comuni__2[[#This Row],[Popolazione2011]]/Comuni__2[[#This Row],[POPOLAZIONE TOTALE DI OGNI REGIONE (CON FILTRO)]]</f>
        <v>1.9936222420413224E-5</v>
      </c>
      <c r="H5573" t="str">
        <f>IF(Comuni__2[[#This Row],[Popolazione2011]]&gt;300000,"MAGGIORE","")</f>
        <v/>
      </c>
      <c r="J5573">
        <v>4</v>
      </c>
      <c r="K5573">
        <v>1042</v>
      </c>
      <c r="L5573">
        <v>146</v>
      </c>
    </row>
    <row r="5574" spans="1:12" x14ac:dyDescent="0.2">
      <c r="A5574"/>
      <c r="B5574"/>
      <c r="C5574"/>
      <c r="D5574"/>
      <c r="E5574" s="2">
        <f>Comuni__2[[#This Row],[Popolazione2011]]/$D$7911</f>
        <v>1.413592231179816E-6</v>
      </c>
      <c r="F5574">
        <f>SUMIFS($D$2:$D$7909, $B$2:$B$7909, "Piemonte")</f>
        <v>4363916</v>
      </c>
      <c r="G5574" s="1">
        <f>Comuni__2[[#This Row],[Popolazione2011]]/Comuni__2[[#This Row],[POPOLAZIONE TOTALE DI OGNI REGIONE (CON FILTRO)]]</f>
        <v>1.9248766474881735E-5</v>
      </c>
      <c r="H5574" t="str">
        <f>IF(Comuni__2[[#This Row],[Popolazione2011]]&gt;300000,"MAGGIORE","")</f>
        <v/>
      </c>
      <c r="J5574">
        <v>4</v>
      </c>
      <c r="K5574">
        <v>1042</v>
      </c>
      <c r="L5574">
        <v>146</v>
      </c>
    </row>
    <row r="5575" spans="1:12" x14ac:dyDescent="0.2">
      <c r="A5575"/>
      <c r="B5575"/>
      <c r="C5575"/>
      <c r="D5575"/>
      <c r="E5575" s="2">
        <f>Comuni__2[[#This Row],[Popolazione2011]]/$D$7911</f>
        <v>1.413592231179816E-6</v>
      </c>
      <c r="F5575">
        <f>SUMIFS($D$2:$D$7909, $B$2:$B$7909, "Piemonte")</f>
        <v>4363916</v>
      </c>
      <c r="G5575" s="1">
        <f>Comuni__2[[#This Row],[Popolazione2011]]/Comuni__2[[#This Row],[POPOLAZIONE TOTALE DI OGNI REGIONE (CON FILTRO)]]</f>
        <v>1.9248766474881735E-5</v>
      </c>
      <c r="H5575" t="str">
        <f>IF(Comuni__2[[#This Row],[Popolazione2011]]&gt;300000,"MAGGIORE","")</f>
        <v/>
      </c>
      <c r="J5575">
        <v>3</v>
      </c>
      <c r="K5575">
        <v>1042</v>
      </c>
      <c r="L5575">
        <v>146</v>
      </c>
    </row>
    <row r="5576" spans="1:12" x14ac:dyDescent="0.2">
      <c r="A5576"/>
      <c r="B5576"/>
      <c r="C5576"/>
      <c r="D5576"/>
      <c r="E5576" s="2">
        <f>Comuni__2[[#This Row],[Popolazione2011]]/$D$7911</f>
        <v>1.396763752237199E-6</v>
      </c>
      <c r="F5576">
        <f>SUMIFS($D$2:$D$7909, $B$2:$B$7909, "Piemonte")</f>
        <v>4363916</v>
      </c>
      <c r="G5576" s="1">
        <f>Comuni__2[[#This Row],[Popolazione2011]]/Comuni__2[[#This Row],[POPOLAZIONE TOTALE DI OGNI REGIONE (CON FILTRO)]]</f>
        <v>1.9019614493037904E-5</v>
      </c>
      <c r="H5576" t="str">
        <f>IF(Comuni__2[[#This Row],[Popolazione2011]]&gt;300000,"MAGGIORE","")</f>
        <v/>
      </c>
      <c r="J5576">
        <v>3</v>
      </c>
      <c r="K5576">
        <v>1042</v>
      </c>
      <c r="L5576">
        <v>146</v>
      </c>
    </row>
    <row r="5577" spans="1:12" x14ac:dyDescent="0.2">
      <c r="A5577"/>
      <c r="B5577"/>
      <c r="C5577"/>
      <c r="D5577"/>
      <c r="E5577" s="2">
        <f>Comuni__2[[#This Row],[Popolazione2011]]/$D$7911</f>
        <v>1.396763752237199E-6</v>
      </c>
      <c r="F5577">
        <f>SUMIFS($D$2:$D$7909, $B$2:$B$7909, "Piemonte")</f>
        <v>4363916</v>
      </c>
      <c r="G5577" s="1">
        <f>Comuni__2[[#This Row],[Popolazione2011]]/Comuni__2[[#This Row],[POPOLAZIONE TOTALE DI OGNI REGIONE (CON FILTRO)]]</f>
        <v>1.9019614493037904E-5</v>
      </c>
      <c r="H5577" t="str">
        <f>IF(Comuni__2[[#This Row],[Popolazione2011]]&gt;300000,"MAGGIORE","")</f>
        <v/>
      </c>
      <c r="J5577">
        <v>2</v>
      </c>
      <c r="K5577">
        <v>1043</v>
      </c>
      <c r="L5577">
        <v>146</v>
      </c>
    </row>
    <row r="5578" spans="1:12" x14ac:dyDescent="0.2">
      <c r="A5578"/>
      <c r="B5578"/>
      <c r="C5578"/>
      <c r="D5578"/>
      <c r="E5578" s="2">
        <f>Comuni__2[[#This Row],[Popolazione2011]]/$D$7911</f>
        <v>1.3799352732945822E-6</v>
      </c>
      <c r="F5578">
        <f>SUMIFS($D$2:$D$7909, $B$2:$B$7909, "Piemonte")</f>
        <v>4363916</v>
      </c>
      <c r="G5578" s="1">
        <f>Comuni__2[[#This Row],[Popolazione2011]]/Comuni__2[[#This Row],[POPOLAZIONE TOTALE DI OGNI REGIONE (CON FILTRO)]]</f>
        <v>1.8790462511194076E-5</v>
      </c>
      <c r="H5578" t="str">
        <f>IF(Comuni__2[[#This Row],[Popolazione2011]]&gt;300000,"MAGGIORE","")</f>
        <v/>
      </c>
      <c r="J5578">
        <v>2</v>
      </c>
      <c r="K5578">
        <v>1044</v>
      </c>
      <c r="L5578">
        <v>146</v>
      </c>
    </row>
    <row r="5579" spans="1:12" x14ac:dyDescent="0.2">
      <c r="A5579"/>
      <c r="B5579"/>
      <c r="C5579"/>
      <c r="D5579"/>
      <c r="E5579" s="2">
        <f>Comuni__2[[#This Row],[Popolazione2011]]/$D$7911</f>
        <v>1.3799352732945822E-6</v>
      </c>
      <c r="F5579">
        <f>SUMIFS($D$2:$D$7909, $B$2:$B$7909, "Piemonte")</f>
        <v>4363916</v>
      </c>
      <c r="G5579" s="1">
        <f>Comuni__2[[#This Row],[Popolazione2011]]/Comuni__2[[#This Row],[POPOLAZIONE TOTALE DI OGNI REGIONE (CON FILTRO)]]</f>
        <v>1.8790462511194076E-5</v>
      </c>
      <c r="H5579" t="str">
        <f>IF(Comuni__2[[#This Row],[Popolazione2011]]&gt;300000,"MAGGIORE","")</f>
        <v/>
      </c>
      <c r="J5579">
        <v>2</v>
      </c>
      <c r="K5579">
        <v>1044</v>
      </c>
      <c r="L5579">
        <v>146</v>
      </c>
    </row>
    <row r="5580" spans="1:12" x14ac:dyDescent="0.2">
      <c r="A5580"/>
      <c r="B5580"/>
      <c r="C5580"/>
      <c r="D5580"/>
      <c r="E5580" s="2">
        <f>Comuni__2[[#This Row],[Popolazione2011]]/$D$7911</f>
        <v>1.3799352732945822E-6</v>
      </c>
      <c r="F5580">
        <f>SUMIFS($D$2:$D$7909, $B$2:$B$7909, "Piemonte")</f>
        <v>4363916</v>
      </c>
      <c r="G5580" s="1">
        <f>Comuni__2[[#This Row],[Popolazione2011]]/Comuni__2[[#This Row],[POPOLAZIONE TOTALE DI OGNI REGIONE (CON FILTRO)]]</f>
        <v>1.8790462511194076E-5</v>
      </c>
      <c r="H5580" t="str">
        <f>IF(Comuni__2[[#This Row],[Popolazione2011]]&gt;300000,"MAGGIORE","")</f>
        <v/>
      </c>
      <c r="J5580">
        <v>3</v>
      </c>
      <c r="K5580">
        <v>1044</v>
      </c>
      <c r="L5580">
        <v>146</v>
      </c>
    </row>
    <row r="5581" spans="1:12" x14ac:dyDescent="0.2">
      <c r="A5581"/>
      <c r="B5581"/>
      <c r="C5581"/>
      <c r="D5581"/>
      <c r="E5581" s="2">
        <f>Comuni__2[[#This Row],[Popolazione2011]]/$D$7911</f>
        <v>1.3799352732945822E-6</v>
      </c>
      <c r="F5581">
        <f>SUMIFS($D$2:$D$7909, $B$2:$B$7909, "Piemonte")</f>
        <v>4363916</v>
      </c>
      <c r="G5581" s="1">
        <f>Comuni__2[[#This Row],[Popolazione2011]]/Comuni__2[[#This Row],[POPOLAZIONE TOTALE DI OGNI REGIONE (CON FILTRO)]]</f>
        <v>1.8790462511194076E-5</v>
      </c>
      <c r="H5581" t="str">
        <f>IF(Comuni__2[[#This Row],[Popolazione2011]]&gt;300000,"MAGGIORE","")</f>
        <v/>
      </c>
      <c r="J5581">
        <v>3</v>
      </c>
      <c r="K5581">
        <v>1045</v>
      </c>
      <c r="L5581">
        <v>146</v>
      </c>
    </row>
    <row r="5582" spans="1:12" x14ac:dyDescent="0.2">
      <c r="A5582"/>
      <c r="B5582"/>
      <c r="C5582"/>
      <c r="D5582"/>
      <c r="E5582" s="2">
        <f>Comuni__2[[#This Row],[Popolazione2011]]/$D$7911</f>
        <v>1.3631067943519653E-6</v>
      </c>
      <c r="F5582">
        <f>SUMIFS($D$2:$D$7909, $B$2:$B$7909, "Piemonte")</f>
        <v>4363916</v>
      </c>
      <c r="G5582" s="1">
        <f>Comuni__2[[#This Row],[Popolazione2011]]/Comuni__2[[#This Row],[POPOLAZIONE TOTALE DI OGNI REGIONE (CON FILTRO)]]</f>
        <v>1.8561310529350244E-5</v>
      </c>
      <c r="H5582" t="str">
        <f>IF(Comuni__2[[#This Row],[Popolazione2011]]&gt;300000,"MAGGIORE","")</f>
        <v/>
      </c>
      <c r="J5582">
        <v>4</v>
      </c>
      <c r="K5582">
        <v>1045</v>
      </c>
      <c r="L5582">
        <v>146</v>
      </c>
    </row>
    <row r="5583" spans="1:12" x14ac:dyDescent="0.2">
      <c r="A5583"/>
      <c r="B5583"/>
      <c r="C5583"/>
      <c r="D5583"/>
      <c r="E5583" s="2">
        <f>Comuni__2[[#This Row],[Popolazione2011]]/$D$7911</f>
        <v>1.3294498364667315E-6</v>
      </c>
      <c r="F5583">
        <f>SUMIFS($D$2:$D$7909, $B$2:$B$7909, "Piemonte")</f>
        <v>4363916</v>
      </c>
      <c r="G5583" s="1">
        <f>Comuni__2[[#This Row],[Popolazione2011]]/Comuni__2[[#This Row],[POPOLAZIONE TOTALE DI OGNI REGIONE (CON FILTRO)]]</f>
        <v>1.8103006565662584E-5</v>
      </c>
      <c r="H5583" t="str">
        <f>IF(Comuni__2[[#This Row],[Popolazione2011]]&gt;300000,"MAGGIORE","")</f>
        <v/>
      </c>
      <c r="J5583">
        <v>2</v>
      </c>
      <c r="K5583">
        <v>1046</v>
      </c>
      <c r="L5583">
        <v>146</v>
      </c>
    </row>
    <row r="5584" spans="1:12" x14ac:dyDescent="0.2">
      <c r="A5584"/>
      <c r="B5584"/>
      <c r="C5584"/>
      <c r="D5584"/>
      <c r="E5584" s="2">
        <f>Comuni__2[[#This Row],[Popolazione2011]]/$D$7911</f>
        <v>1.3126213575241148E-6</v>
      </c>
      <c r="F5584">
        <f>SUMIFS($D$2:$D$7909, $B$2:$B$7909, "Piemonte")</f>
        <v>4363916</v>
      </c>
      <c r="G5584" s="1">
        <f>Comuni__2[[#This Row],[Popolazione2011]]/Comuni__2[[#This Row],[POPOLAZIONE TOTALE DI OGNI REGIONE (CON FILTRO)]]</f>
        <v>1.7873854583818752E-5</v>
      </c>
      <c r="H5584" t="str">
        <f>IF(Comuni__2[[#This Row],[Popolazione2011]]&gt;300000,"MAGGIORE","")</f>
        <v/>
      </c>
      <c r="J5584">
        <v>2</v>
      </c>
      <c r="K5584">
        <v>1046</v>
      </c>
      <c r="L5584">
        <v>146</v>
      </c>
    </row>
    <row r="5585" spans="1:12" x14ac:dyDescent="0.2">
      <c r="A5585"/>
      <c r="B5585"/>
      <c r="C5585"/>
      <c r="D5585"/>
      <c r="E5585" s="2">
        <f>Comuni__2[[#This Row],[Popolazione2011]]/$D$7911</f>
        <v>1.3126213575241148E-6</v>
      </c>
      <c r="F5585">
        <f>SUMIFS($D$2:$D$7909, $B$2:$B$7909, "Piemonte")</f>
        <v>4363916</v>
      </c>
      <c r="G5585" s="1">
        <f>Comuni__2[[#This Row],[Popolazione2011]]/Comuni__2[[#This Row],[POPOLAZIONE TOTALE DI OGNI REGIONE (CON FILTRO)]]</f>
        <v>1.7873854583818752E-5</v>
      </c>
      <c r="H5585" t="str">
        <f>IF(Comuni__2[[#This Row],[Popolazione2011]]&gt;300000,"MAGGIORE","")</f>
        <v/>
      </c>
      <c r="J5585">
        <v>3</v>
      </c>
      <c r="K5585">
        <v>1046</v>
      </c>
      <c r="L5585">
        <v>146</v>
      </c>
    </row>
    <row r="5586" spans="1:12" x14ac:dyDescent="0.2">
      <c r="A5586"/>
      <c r="B5586"/>
      <c r="C5586"/>
      <c r="D5586"/>
      <c r="E5586" s="2">
        <f>Comuni__2[[#This Row],[Popolazione2011]]/$D$7911</f>
        <v>1.2621359206962643E-6</v>
      </c>
      <c r="F5586">
        <f>SUMIFS($D$2:$D$7909, $B$2:$B$7909, "Piemonte")</f>
        <v>4363916</v>
      </c>
      <c r="G5586" s="1">
        <f>Comuni__2[[#This Row],[Popolazione2011]]/Comuni__2[[#This Row],[POPOLAZIONE TOTALE DI OGNI REGIONE (CON FILTRO)]]</f>
        <v>1.7186398638287264E-5</v>
      </c>
      <c r="H5586" t="str">
        <f>IF(Comuni__2[[#This Row],[Popolazione2011]]&gt;300000,"MAGGIORE","")</f>
        <v/>
      </c>
      <c r="J5586">
        <v>3</v>
      </c>
      <c r="K5586">
        <v>1046</v>
      </c>
      <c r="L5586">
        <v>146</v>
      </c>
    </row>
    <row r="5587" spans="1:12" x14ac:dyDescent="0.2">
      <c r="A5587"/>
      <c r="B5587"/>
      <c r="C5587"/>
      <c r="D5587"/>
      <c r="E5587" s="2">
        <f>Comuni__2[[#This Row],[Popolazione2011]]/$D$7911</f>
        <v>1.2453074417536473E-6</v>
      </c>
      <c r="F5587">
        <f>SUMIFS($D$2:$D$7909, $B$2:$B$7909, "Piemonte")</f>
        <v>4363916</v>
      </c>
      <c r="G5587" s="1">
        <f>Comuni__2[[#This Row],[Popolazione2011]]/Comuni__2[[#This Row],[POPOLAZIONE TOTALE DI OGNI REGIONE (CON FILTRO)]]</f>
        <v>1.6957246656443433E-5</v>
      </c>
      <c r="H5587" t="str">
        <f>IF(Comuni__2[[#This Row],[Popolazione2011]]&gt;300000,"MAGGIORE","")</f>
        <v/>
      </c>
      <c r="J5587">
        <v>4</v>
      </c>
      <c r="K5587">
        <v>1045</v>
      </c>
      <c r="L5587">
        <v>146</v>
      </c>
    </row>
    <row r="5588" spans="1:12" x14ac:dyDescent="0.2">
      <c r="A5588"/>
      <c r="B5588"/>
      <c r="C5588"/>
      <c r="D5588"/>
      <c r="E5588" s="2">
        <f>Comuni__2[[#This Row],[Popolazione2011]]/$D$7911</f>
        <v>1.1275080891553293E-6</v>
      </c>
      <c r="F5588">
        <f>SUMIFS($D$2:$D$7909, $B$2:$B$7909, "Piemonte")</f>
        <v>4363916</v>
      </c>
      <c r="G5588" s="1">
        <f>Comuni__2[[#This Row],[Popolazione2011]]/Comuni__2[[#This Row],[POPOLAZIONE TOTALE DI OGNI REGIONE (CON FILTRO)]]</f>
        <v>1.5353182783536621E-5</v>
      </c>
      <c r="H5588" t="str">
        <f>IF(Comuni__2[[#This Row],[Popolazione2011]]&gt;300000,"MAGGIORE","")</f>
        <v/>
      </c>
      <c r="J5588">
        <v>4</v>
      </c>
      <c r="K5588">
        <v>1045</v>
      </c>
      <c r="L5588">
        <v>146</v>
      </c>
    </row>
    <row r="5589" spans="1:12" x14ac:dyDescent="0.2">
      <c r="A5589"/>
      <c r="B5589"/>
      <c r="C5589"/>
      <c r="D5589"/>
      <c r="E5589" s="2">
        <f>Comuni__2[[#This Row],[Popolazione2011]]/$D$7911</f>
        <v>1.1275080891553293E-6</v>
      </c>
      <c r="F5589">
        <f>SUMIFS($D$2:$D$7909, $B$2:$B$7909, "Piemonte")</f>
        <v>4363916</v>
      </c>
      <c r="G5589" s="1">
        <f>Comuni__2[[#This Row],[Popolazione2011]]/Comuni__2[[#This Row],[POPOLAZIONE TOTALE DI OGNI REGIONE (CON FILTRO)]]</f>
        <v>1.5353182783536621E-5</v>
      </c>
      <c r="H5589" t="str">
        <f>IF(Comuni__2[[#This Row],[Popolazione2011]]&gt;300000,"MAGGIORE","")</f>
        <v/>
      </c>
      <c r="J5589">
        <v>4</v>
      </c>
      <c r="K5589">
        <v>1045</v>
      </c>
      <c r="L5589">
        <v>146</v>
      </c>
    </row>
    <row r="5590" spans="1:12" x14ac:dyDescent="0.2">
      <c r="A5590"/>
      <c r="B5590"/>
      <c r="C5590"/>
      <c r="D5590"/>
      <c r="E5590" s="2">
        <f>Comuni__2[[#This Row],[Popolazione2011]]/$D$7911</f>
        <v>1.1106796102127126E-6</v>
      </c>
      <c r="F5590">
        <f>SUMIFS($D$2:$D$7909, $B$2:$B$7909, "Piemonte")</f>
        <v>4363916</v>
      </c>
      <c r="G5590" s="1">
        <f>Comuni__2[[#This Row],[Popolazione2011]]/Comuni__2[[#This Row],[POPOLAZIONE TOTALE DI OGNI REGIONE (CON FILTRO)]]</f>
        <v>1.5124030801692791E-5</v>
      </c>
      <c r="H5590" t="str">
        <f>IF(Comuni__2[[#This Row],[Popolazione2011]]&gt;300000,"MAGGIORE","")</f>
        <v/>
      </c>
      <c r="J5590">
        <v>4</v>
      </c>
      <c r="K5590">
        <v>1045</v>
      </c>
      <c r="L5590">
        <v>146</v>
      </c>
    </row>
    <row r="5591" spans="1:12" x14ac:dyDescent="0.2">
      <c r="A5591"/>
      <c r="B5591"/>
      <c r="C5591"/>
      <c r="D5591"/>
      <c r="E5591" s="2">
        <f>Comuni__2[[#This Row],[Popolazione2011]]/$D$7911</f>
        <v>1.0938511312700956E-6</v>
      </c>
      <c r="F5591">
        <f>SUMIFS($D$2:$D$7909, $B$2:$B$7909, "Piemonte")</f>
        <v>4363916</v>
      </c>
      <c r="G5591" s="1">
        <f>Comuni__2[[#This Row],[Popolazione2011]]/Comuni__2[[#This Row],[POPOLAZIONE TOTALE DI OGNI REGIONE (CON FILTRO)]]</f>
        <v>1.4894878819848961E-5</v>
      </c>
      <c r="H5591" t="str">
        <f>IF(Comuni__2[[#This Row],[Popolazione2011]]&gt;300000,"MAGGIORE","")</f>
        <v/>
      </c>
      <c r="J5591">
        <v>4</v>
      </c>
      <c r="K5591">
        <v>1045</v>
      </c>
      <c r="L5591">
        <v>146</v>
      </c>
    </row>
    <row r="5592" spans="1:12" x14ac:dyDescent="0.2">
      <c r="A5592"/>
      <c r="B5592"/>
      <c r="C5592"/>
      <c r="D5592"/>
      <c r="E5592" s="2">
        <f>Comuni__2[[#This Row],[Popolazione2011]]/$D$7911</f>
        <v>9.7605177867177765E-7</v>
      </c>
      <c r="F5592">
        <f>SUMIFS($D$2:$D$7909, $B$2:$B$7909, "Piemonte")</f>
        <v>4363916</v>
      </c>
      <c r="G5592" s="1">
        <f>Comuni__2[[#This Row],[Popolazione2011]]/Comuni__2[[#This Row],[POPOLAZIONE TOTALE DI OGNI REGIONE (CON FILTRO)]]</f>
        <v>1.329081494694215E-5</v>
      </c>
      <c r="H5592" t="str">
        <f>IF(Comuni__2[[#This Row],[Popolazione2011]]&gt;300000,"MAGGIORE","")</f>
        <v/>
      </c>
      <c r="J5592">
        <v>4</v>
      </c>
      <c r="K5592">
        <v>1045</v>
      </c>
      <c r="L5592">
        <v>146</v>
      </c>
    </row>
    <row r="5593" spans="1:12" x14ac:dyDescent="0.2">
      <c r="A5593"/>
      <c r="B5593"/>
      <c r="C5593"/>
      <c r="D5593"/>
      <c r="E5593" s="2">
        <f>Comuni__2[[#This Row],[Popolazione2011]]/$D$7911</f>
        <v>8.7508090501607645E-7</v>
      </c>
      <c r="F5593">
        <f>SUMIFS($D$2:$D$7909, $B$2:$B$7909, "Piemonte")</f>
        <v>4363916</v>
      </c>
      <c r="G5593" s="1">
        <f>Comuni__2[[#This Row],[Popolazione2011]]/Comuni__2[[#This Row],[POPOLAZIONE TOTALE DI OGNI REGIONE (CON FILTRO)]]</f>
        <v>1.1915903055879169E-5</v>
      </c>
      <c r="H5593" t="str">
        <f>IF(Comuni__2[[#This Row],[Popolazione2011]]&gt;300000,"MAGGIORE","")</f>
        <v/>
      </c>
      <c r="J5593">
        <v>2</v>
      </c>
      <c r="K5593">
        <v>1047</v>
      </c>
      <c r="L5593">
        <v>146</v>
      </c>
    </row>
    <row r="5594" spans="1:12" x14ac:dyDescent="0.2">
      <c r="A5594"/>
      <c r="B5594"/>
      <c r="C5594"/>
      <c r="D5594"/>
      <c r="E5594" s="2">
        <f>Comuni__2[[#This Row],[Popolazione2011]]/$D$7911</f>
        <v>8.2459546818822595E-7</v>
      </c>
      <c r="F5594">
        <f>SUMIFS($D$2:$D$7909, $B$2:$B$7909, "Piemonte")</f>
        <v>4363916</v>
      </c>
      <c r="G5594" s="1">
        <f>Comuni__2[[#This Row],[Popolazione2011]]/Comuni__2[[#This Row],[POPOLAZIONE TOTALE DI OGNI REGIONE (CON FILTRO)]]</f>
        <v>1.1228447110347679E-5</v>
      </c>
      <c r="H5594" t="str">
        <f>IF(Comuni__2[[#This Row],[Popolazione2011]]&gt;300000,"MAGGIORE","")</f>
        <v/>
      </c>
      <c r="J5594">
        <v>2</v>
      </c>
      <c r="K5594">
        <v>1047</v>
      </c>
      <c r="L5594">
        <v>146</v>
      </c>
    </row>
    <row r="5595" spans="1:12" x14ac:dyDescent="0.2">
      <c r="A5595"/>
      <c r="B5595"/>
      <c r="C5595"/>
      <c r="D5595"/>
      <c r="E5595" s="2">
        <f>Comuni__2[[#This Row],[Popolazione2011]]/$D$7911</f>
        <v>8.0776698924560908E-7</v>
      </c>
      <c r="F5595">
        <f>SUMIFS($D$2:$D$7909, $B$2:$B$7909, "Piemonte")</f>
        <v>4363916</v>
      </c>
      <c r="G5595" s="1">
        <f>Comuni__2[[#This Row],[Popolazione2011]]/Comuni__2[[#This Row],[POPOLAZIONE TOTALE DI OGNI REGIONE (CON FILTRO)]]</f>
        <v>1.0999295128503849E-5</v>
      </c>
      <c r="H5595" t="str">
        <f>IF(Comuni__2[[#This Row],[Popolazione2011]]&gt;300000,"MAGGIORE","")</f>
        <v/>
      </c>
      <c r="J5595">
        <v>2</v>
      </c>
      <c r="K5595">
        <v>1047</v>
      </c>
      <c r="L5595">
        <v>146</v>
      </c>
    </row>
    <row r="5596" spans="1:12" x14ac:dyDescent="0.2">
      <c r="A5596"/>
      <c r="B5596"/>
      <c r="C5596"/>
      <c r="D5596"/>
      <c r="E5596" s="2">
        <f>Comuni__2[[#This Row],[Popolazione2011]]/$D$7911</f>
        <v>8.0776698924560908E-7</v>
      </c>
      <c r="F5596">
        <f>SUMIFS($D$2:$D$7909, $B$2:$B$7909, "Piemonte")</f>
        <v>4363916</v>
      </c>
      <c r="G5596" s="1">
        <f>Comuni__2[[#This Row],[Popolazione2011]]/Comuni__2[[#This Row],[POPOLAZIONE TOTALE DI OGNI REGIONE (CON FILTRO)]]</f>
        <v>1.0999295128503849E-5</v>
      </c>
      <c r="H5596" t="str">
        <f>IF(Comuni__2[[#This Row],[Popolazione2011]]&gt;300000,"MAGGIORE","")</f>
        <v/>
      </c>
      <c r="J5596">
        <v>3</v>
      </c>
      <c r="K5596">
        <v>1046</v>
      </c>
      <c r="L5596">
        <v>146</v>
      </c>
    </row>
    <row r="5597" spans="1:12" x14ac:dyDescent="0.2">
      <c r="A5597"/>
      <c r="B5597"/>
      <c r="C5597"/>
      <c r="D5597"/>
      <c r="E5597" s="2">
        <f>Comuni__2[[#This Row],[Popolazione2011]]/$D$7911</f>
        <v>7.0679611558990799E-7</v>
      </c>
      <c r="F5597">
        <f>SUMIFS($D$2:$D$7909, $B$2:$B$7909, "Piemonte")</f>
        <v>4363916</v>
      </c>
      <c r="G5597" s="1">
        <f>Comuni__2[[#This Row],[Popolazione2011]]/Comuni__2[[#This Row],[POPOLAZIONE TOTALE DI OGNI REGIONE (CON FILTRO)]]</f>
        <v>9.6243832374408677E-6</v>
      </c>
      <c r="H5597" t="str">
        <f>IF(Comuni__2[[#This Row],[Popolazione2011]]&gt;300000,"MAGGIORE","")</f>
        <v/>
      </c>
      <c r="J5597">
        <v>1</v>
      </c>
      <c r="K5597">
        <v>1048</v>
      </c>
      <c r="L5597">
        <v>146</v>
      </c>
    </row>
    <row r="5598" spans="1:12" x14ac:dyDescent="0.2">
      <c r="A5598"/>
      <c r="B5598"/>
      <c r="C5598"/>
      <c r="D5598"/>
      <c r="E5598" s="2">
        <f>Comuni__2[[#This Row],[Popolazione2011]]/$D$7911</f>
        <v>5.316671837777771E-3</v>
      </c>
      <c r="F5598">
        <f>SUMIFS($D$2:$D$7909, $B$2:$B$7909, "Puglia")</f>
        <v>4050093</v>
      </c>
      <c r="G5598" s="1">
        <f>Comuni__2[[#This Row],[Popolazione2011]]/Comuni__2[[#This Row],[POPOLAZIONE TOTALE DI OGNI REGIONE (CON FILTRO)]]</f>
        <v>7.8006356891063985E-2</v>
      </c>
      <c r="H5598" t="str">
        <f>IF(Comuni__2[[#This Row],[Popolazione2011]]&gt;300000,"MAGGIORE","")</f>
        <v>MAGGIORE</v>
      </c>
      <c r="J5598">
        <v>1</v>
      </c>
      <c r="K5598">
        <v>1048</v>
      </c>
      <c r="L5598">
        <v>146</v>
      </c>
    </row>
    <row r="5599" spans="1:12" x14ac:dyDescent="0.2">
      <c r="A5599"/>
      <c r="B5599"/>
      <c r="C5599"/>
      <c r="D5599"/>
      <c r="E5599" s="2">
        <f>Comuni__2[[#This Row],[Popolazione2011]]/$D$7911</f>
        <v>3.3682873742805343E-3</v>
      </c>
      <c r="F5599">
        <f>SUMIFS($D$2:$D$7909, $B$2:$B$7909, "Puglia")</f>
        <v>4050093</v>
      </c>
      <c r="G5599" s="1">
        <f>Comuni__2[[#This Row],[Popolazione2011]]/Comuni__2[[#This Row],[POPOLAZIONE TOTALE DI OGNI REGIONE (CON FILTRO)]]</f>
        <v>4.9419605920160349E-2</v>
      </c>
      <c r="H5599" t="str">
        <f>IF(Comuni__2[[#This Row],[Popolazione2011]]&gt;300000,"MAGGIORE","")</f>
        <v/>
      </c>
      <c r="J5599">
        <v>2</v>
      </c>
      <c r="K5599">
        <v>1048</v>
      </c>
      <c r="L5599">
        <v>146</v>
      </c>
    </row>
    <row r="5600" spans="1:12" x14ac:dyDescent="0.2">
      <c r="A5600"/>
      <c r="B5600"/>
      <c r="C5600"/>
      <c r="D5600"/>
      <c r="E5600" s="2">
        <f>Comuni__2[[#This Row],[Popolazione2011]]/$D$7911</f>
        <v>2.4743922298066118E-3</v>
      </c>
      <c r="F5600">
        <f>SUMIFS($D$2:$D$7909, $B$2:$B$7909, "Puglia")</f>
        <v>4050093</v>
      </c>
      <c r="G5600" s="1">
        <f>Comuni__2[[#This Row],[Popolazione2011]]/Comuni__2[[#This Row],[POPOLAZIONE TOTALE DI OGNI REGIONE (CON FILTRO)]]</f>
        <v>3.6304351529705611E-2</v>
      </c>
      <c r="H5600" t="str">
        <f>IF(Comuni__2[[#This Row],[Popolazione2011]]&gt;300000,"MAGGIORE","")</f>
        <v/>
      </c>
      <c r="J5600">
        <v>2</v>
      </c>
      <c r="K5600">
        <v>1048</v>
      </c>
      <c r="L5600">
        <v>146</v>
      </c>
    </row>
    <row r="5601" spans="1:12" x14ac:dyDescent="0.2">
      <c r="A5601"/>
      <c r="B5601"/>
      <c r="C5601"/>
      <c r="D5601"/>
      <c r="E5601" s="2">
        <f>Comuni__2[[#This Row],[Popolazione2011]]/$D$7911</f>
        <v>1.6837229751667016E-3</v>
      </c>
      <c r="F5601">
        <f>SUMIFS($D$2:$D$7909, $B$2:$B$7909, "Puglia")</f>
        <v>4050093</v>
      </c>
      <c r="G5601" s="1">
        <f>Comuni__2[[#This Row],[Popolazione2011]]/Comuni__2[[#This Row],[POPOLAZIONE TOTALE DI OGNI REGIONE (CON FILTRO)]]</f>
        <v>2.4703630262317432E-2</v>
      </c>
      <c r="H5601" t="str">
        <f>IF(Comuni__2[[#This Row],[Popolazione2011]]&gt;300000,"MAGGIORE","")</f>
        <v/>
      </c>
      <c r="J5601">
        <v>2</v>
      </c>
      <c r="K5601">
        <v>1047</v>
      </c>
      <c r="L5601">
        <v>146</v>
      </c>
    </row>
    <row r="5602" spans="1:12" x14ac:dyDescent="0.2">
      <c r="A5602"/>
      <c r="B5602"/>
      <c r="C5602"/>
      <c r="D5602"/>
      <c r="E5602" s="2">
        <f>Comuni__2[[#This Row],[Popolazione2011]]/$D$7911</f>
        <v>1.5858990270732698E-3</v>
      </c>
      <c r="F5602">
        <f>SUMIFS($D$2:$D$7909, $B$2:$B$7909, "Puglia")</f>
        <v>4050093</v>
      </c>
      <c r="G5602" s="1">
        <f>Comuni__2[[#This Row],[Popolazione2011]]/Comuni__2[[#This Row],[POPOLAZIONE TOTALE DI OGNI REGIONE (CON FILTRO)]]</f>
        <v>2.3268354578524494E-2</v>
      </c>
      <c r="H5602" t="str">
        <f>IF(Comuni__2[[#This Row],[Popolazione2011]]&gt;300000,"MAGGIORE","")</f>
        <v/>
      </c>
      <c r="J5602">
        <v>1</v>
      </c>
      <c r="K5602">
        <v>1049</v>
      </c>
      <c r="L5602">
        <v>146</v>
      </c>
    </row>
    <row r="5603" spans="1:12" x14ac:dyDescent="0.2">
      <c r="A5603"/>
      <c r="B5603"/>
      <c r="C5603"/>
      <c r="D5603"/>
      <c r="E5603" s="2">
        <f>Comuni__2[[#This Row],[Popolazione2011]]/$D$7911</f>
        <v>1.5131495126043371E-3</v>
      </c>
      <c r="F5603">
        <f>SUMIFS($D$2:$D$7909, $B$2:$B$7909, "Puglia")</f>
        <v>4050093</v>
      </c>
      <c r="G5603" s="1">
        <f>Comuni__2[[#This Row],[Popolazione2011]]/Comuni__2[[#This Row],[POPOLAZIONE TOTALE DI OGNI REGIONE (CON FILTRO)]]</f>
        <v>2.220097168139102E-2</v>
      </c>
      <c r="H5603" t="str">
        <f>IF(Comuni__2[[#This Row],[Popolazione2011]]&gt;300000,"MAGGIORE","")</f>
        <v/>
      </c>
      <c r="J5603">
        <v>1</v>
      </c>
      <c r="K5603">
        <v>1049</v>
      </c>
      <c r="L5603">
        <v>146</v>
      </c>
    </row>
    <row r="5604" spans="1:12" x14ac:dyDescent="0.2">
      <c r="A5604"/>
      <c r="B5604"/>
      <c r="C5604"/>
      <c r="D5604"/>
      <c r="E5604" s="2">
        <f>Comuni__2[[#This Row],[Popolazione2011]]/$D$7911</f>
        <v>1.4945708718516883E-3</v>
      </c>
      <c r="F5604">
        <f>SUMIFS($D$2:$D$7909, $B$2:$B$7909, "Puglia")</f>
        <v>4050093</v>
      </c>
      <c r="G5604" s="1">
        <f>Comuni__2[[#This Row],[Popolazione2011]]/Comuni__2[[#This Row],[POPOLAZIONE TOTALE DI OGNI REGIONE (CON FILTRO)]]</f>
        <v>2.1928385348188299E-2</v>
      </c>
      <c r="H5604" t="str">
        <f>IF(Comuni__2[[#This Row],[Popolazione2011]]&gt;300000,"MAGGIORE","")</f>
        <v/>
      </c>
      <c r="J5604">
        <v>1</v>
      </c>
      <c r="K5604">
        <v>1049</v>
      </c>
      <c r="L5604">
        <v>146</v>
      </c>
    </row>
    <row r="5605" spans="1:12" x14ac:dyDescent="0.2">
      <c r="A5605"/>
      <c r="B5605"/>
      <c r="C5605"/>
      <c r="D5605"/>
      <c r="E5605" s="2">
        <f>Comuni__2[[#This Row],[Popolazione2011]]/$D$7911</f>
        <v>1.1700673124012074E-3</v>
      </c>
      <c r="F5605">
        <f>SUMIFS($D$2:$D$7909, $B$2:$B$7909, "Puglia")</f>
        <v>4050093</v>
      </c>
      <c r="G5605" s="1">
        <f>Comuni__2[[#This Row],[Popolazione2011]]/Comuni__2[[#This Row],[POPOLAZIONE TOTALE DI OGNI REGIONE (CON FILTRO)]]</f>
        <v>1.7167260109829576E-2</v>
      </c>
      <c r="H5605" t="str">
        <f>IF(Comuni__2[[#This Row],[Popolazione2011]]&gt;300000,"MAGGIORE","")</f>
        <v/>
      </c>
      <c r="J5605">
        <v>1</v>
      </c>
      <c r="K5605">
        <v>1049</v>
      </c>
      <c r="L5605">
        <v>146</v>
      </c>
    </row>
    <row r="5606" spans="1:12" x14ac:dyDescent="0.2">
      <c r="A5606"/>
      <c r="B5606"/>
      <c r="C5606"/>
      <c r="D5606"/>
      <c r="E5606" s="2">
        <f>Comuni__2[[#This Row],[Popolazione2011]]/$D$7911</f>
        <v>1.0169954679391643E-3</v>
      </c>
      <c r="F5606">
        <f>SUMIFS($D$2:$D$7909, $B$2:$B$7909, "Puglia")</f>
        <v>4050093</v>
      </c>
      <c r="G5606" s="1">
        <f>Comuni__2[[#This Row],[Popolazione2011]]/Comuni__2[[#This Row],[POPOLAZIONE TOTALE DI OGNI REGIONE (CON FILTRO)]]</f>
        <v>1.4921385755833261E-2</v>
      </c>
      <c r="H5606" t="str">
        <f>IF(Comuni__2[[#This Row],[Popolazione2011]]&gt;300000,"MAGGIORE","")</f>
        <v/>
      </c>
      <c r="J5606">
        <v>1</v>
      </c>
      <c r="K5606">
        <v>1049</v>
      </c>
      <c r="L5606">
        <v>146</v>
      </c>
    </row>
    <row r="5607" spans="1:12" x14ac:dyDescent="0.2">
      <c r="A5607"/>
      <c r="B5607"/>
      <c r="C5607"/>
      <c r="D5607"/>
      <c r="E5607" s="2">
        <f>Comuni__2[[#This Row],[Popolazione2011]]/$D$7911</f>
        <v>9.5338381753607272E-4</v>
      </c>
      <c r="F5607">
        <f>SUMIFS($D$2:$D$7909, $B$2:$B$7909, "Puglia")</f>
        <v>4050093</v>
      </c>
      <c r="G5607" s="1">
        <f>Comuni__2[[#This Row],[Popolazione2011]]/Comuni__2[[#This Row],[POPOLAZIONE TOTALE DI OGNI REGIONE (CON FILTRO)]]</f>
        <v>1.398807385410656E-2</v>
      </c>
      <c r="H5607" t="str">
        <f>IF(Comuni__2[[#This Row],[Popolazione2011]]&gt;300000,"MAGGIORE","")</f>
        <v/>
      </c>
      <c r="J5607">
        <v>1</v>
      </c>
      <c r="K5607">
        <v>1049</v>
      </c>
      <c r="L5607">
        <v>146</v>
      </c>
    </row>
    <row r="5608" spans="1:12" x14ac:dyDescent="0.2">
      <c r="A5608"/>
      <c r="B5608"/>
      <c r="C5608"/>
      <c r="D5608"/>
      <c r="E5608" s="2">
        <f>Comuni__2[[#This Row],[Popolazione2011]]/$D$7911</f>
        <v>9.4673656835373907E-4</v>
      </c>
      <c r="F5608">
        <f>SUMIFS($D$2:$D$7909, $B$2:$B$7909, "Puglia")</f>
        <v>4050093</v>
      </c>
      <c r="G5608" s="1">
        <f>Comuni__2[[#This Row],[Popolazione2011]]/Comuni__2[[#This Row],[POPOLAZIONE TOTALE DI OGNI REGIONE (CON FILTRO)]]</f>
        <v>1.3890545229455225E-2</v>
      </c>
      <c r="H5608" t="str">
        <f>IF(Comuni__2[[#This Row],[Popolazione2011]]&gt;300000,"MAGGIORE","")</f>
        <v/>
      </c>
      <c r="J5608">
        <v>1</v>
      </c>
      <c r="K5608">
        <v>1049</v>
      </c>
      <c r="L5608">
        <v>146</v>
      </c>
    </row>
    <row r="5609" spans="1:12" x14ac:dyDescent="0.2">
      <c r="A5609"/>
      <c r="B5609"/>
      <c r="C5609"/>
      <c r="D5609"/>
      <c r="E5609" s="2">
        <f>Comuni__2[[#This Row],[Popolazione2011]]/$D$7911</f>
        <v>9.4671973987479647E-4</v>
      </c>
      <c r="F5609">
        <f>SUMIFS($D$2:$D$7909, $B$2:$B$7909, "Puglia")</f>
        <v>4050093</v>
      </c>
      <c r="G5609" s="1">
        <f>Comuni__2[[#This Row],[Popolazione2011]]/Comuni__2[[#This Row],[POPOLAZIONE TOTALE DI OGNI REGIONE (CON FILTRO)]]</f>
        <v>1.3890298321544715E-2</v>
      </c>
      <c r="H5609" t="str">
        <f>IF(Comuni__2[[#This Row],[Popolazione2011]]&gt;300000,"MAGGIORE","")</f>
        <v/>
      </c>
      <c r="J5609">
        <v>1</v>
      </c>
      <c r="K5609">
        <v>1049</v>
      </c>
      <c r="L5609">
        <v>146</v>
      </c>
    </row>
    <row r="5610" spans="1:12" x14ac:dyDescent="0.2">
      <c r="A5610"/>
      <c r="B5610"/>
      <c r="C5610"/>
      <c r="D5610"/>
      <c r="E5610" s="2">
        <f>Comuni__2[[#This Row],[Popolazione2011]]/$D$7911</f>
        <v>9.3973592111361044E-4</v>
      </c>
      <c r="F5610">
        <f>SUMIFS($D$2:$D$7909, $B$2:$B$7909, "Puglia")</f>
        <v>4050093</v>
      </c>
      <c r="G5610" s="1">
        <f>Comuni__2[[#This Row],[Popolazione2011]]/Comuni__2[[#This Row],[POPOLAZIONE TOTALE DI OGNI REGIONE (CON FILTRO)]]</f>
        <v>1.3787831538683185E-2</v>
      </c>
      <c r="H5610" t="str">
        <f>IF(Comuni__2[[#This Row],[Popolazione2011]]&gt;300000,"MAGGIORE","")</f>
        <v/>
      </c>
      <c r="J5610">
        <v>1</v>
      </c>
      <c r="K5610">
        <v>1049</v>
      </c>
      <c r="L5610">
        <v>146</v>
      </c>
    </row>
    <row r="5611" spans="1:12" x14ac:dyDescent="0.2">
      <c r="A5611"/>
      <c r="B5611"/>
      <c r="C5611"/>
      <c r="D5611"/>
      <c r="E5611" s="2">
        <f>Comuni__2[[#This Row],[Popolazione2011]]/$D$7911</f>
        <v>9.2398446482332109E-4</v>
      </c>
      <c r="F5611">
        <f>SUMIFS($D$2:$D$7909, $B$2:$B$7909, "Puglia")</f>
        <v>4050093</v>
      </c>
      <c r="G5611" s="1">
        <f>Comuni__2[[#This Row],[Popolazione2011]]/Comuni__2[[#This Row],[POPOLAZIONE TOTALE DI OGNI REGIONE (CON FILTRO)]]</f>
        <v>1.3556725734446098E-2</v>
      </c>
      <c r="H5611" t="str">
        <f>IF(Comuni__2[[#This Row],[Popolazione2011]]&gt;300000,"MAGGIORE","")</f>
        <v/>
      </c>
      <c r="J5611">
        <v>1</v>
      </c>
      <c r="K5611">
        <v>1049</v>
      </c>
      <c r="L5611">
        <v>146</v>
      </c>
    </row>
    <row r="5612" spans="1:12" x14ac:dyDescent="0.2">
      <c r="A5612"/>
      <c r="B5612"/>
      <c r="C5612"/>
      <c r="D5612"/>
      <c r="E5612" s="2">
        <f>Comuni__2[[#This Row],[Popolazione2011]]/$D$7911</f>
        <v>9.2014757162440445E-4</v>
      </c>
      <c r="F5612">
        <f>SUMIFS($D$2:$D$7909, $B$2:$B$7909, "Puglia")</f>
        <v>4050093</v>
      </c>
      <c r="G5612" s="1">
        <f>Comuni__2[[#This Row],[Popolazione2011]]/Comuni__2[[#This Row],[POPOLAZIONE TOTALE DI OGNI REGIONE (CON FILTRO)]]</f>
        <v>1.3500430730849885E-2</v>
      </c>
      <c r="H5612" t="str">
        <f>IF(Comuni__2[[#This Row],[Popolazione2011]]&gt;300000,"MAGGIORE","")</f>
        <v/>
      </c>
      <c r="J5612">
        <v>1</v>
      </c>
      <c r="K5612">
        <v>1050</v>
      </c>
      <c r="L5612">
        <v>146</v>
      </c>
    </row>
    <row r="5613" spans="1:12" x14ac:dyDescent="0.2">
      <c r="A5613"/>
      <c r="B5613"/>
      <c r="C5613"/>
      <c r="D5613"/>
      <c r="E5613" s="2">
        <f>Comuni__2[[#This Row],[Popolazione2011]]/$D$7911</f>
        <v>8.2474692449870947E-4</v>
      </c>
      <c r="F5613">
        <f>SUMIFS($D$2:$D$7909, $B$2:$B$7909, "Puglia")</f>
        <v>4050093</v>
      </c>
      <c r="G5613" s="1">
        <f>Comuni__2[[#This Row],[Popolazione2011]]/Comuni__2[[#This Row],[POPOLAZIONE TOTALE DI OGNI REGIONE (CON FILTRO)]]</f>
        <v>1.2100709786170342E-2</v>
      </c>
      <c r="H5613" t="str">
        <f>IF(Comuni__2[[#This Row],[Popolazione2011]]&gt;300000,"MAGGIORE","")</f>
        <v/>
      </c>
      <c r="J5613">
        <v>1</v>
      </c>
      <c r="K5613">
        <v>1050</v>
      </c>
      <c r="L5613">
        <v>146</v>
      </c>
    </row>
    <row r="5614" spans="1:12" x14ac:dyDescent="0.2">
      <c r="A5614"/>
      <c r="B5614"/>
      <c r="C5614"/>
      <c r="D5614"/>
      <c r="E5614" s="2">
        <f>Comuni__2[[#This Row],[Popolazione2011]]/$D$7911</f>
        <v>8.1666925460625341E-4</v>
      </c>
      <c r="F5614">
        <f>SUMIFS($D$2:$D$7909, $B$2:$B$7909, "Puglia")</f>
        <v>4050093</v>
      </c>
      <c r="G5614" s="1">
        <f>Comuni__2[[#This Row],[Popolazione2011]]/Comuni__2[[#This Row],[POPOLAZIONE TOTALE DI OGNI REGIONE (CON FILTRO)]]</f>
        <v>1.1982193989125681E-2</v>
      </c>
      <c r="H5614" t="str">
        <f>IF(Comuni__2[[#This Row],[Popolazione2011]]&gt;300000,"MAGGIORE","")</f>
        <v/>
      </c>
      <c r="J5614">
        <v>1</v>
      </c>
      <c r="K5614">
        <v>1050</v>
      </c>
      <c r="L5614">
        <v>146</v>
      </c>
    </row>
    <row r="5615" spans="1:12" x14ac:dyDescent="0.2">
      <c r="A5615"/>
      <c r="B5615"/>
      <c r="C5615"/>
      <c r="D5615"/>
      <c r="E5615" s="2">
        <f>Comuni__2[[#This Row],[Popolazione2011]]/$D$7911</f>
        <v>8.0897863972947753E-4</v>
      </c>
      <c r="F5615">
        <f>SUMIFS($D$2:$D$7909, $B$2:$B$7909, "Puglia")</f>
        <v>4050093</v>
      </c>
      <c r="G5615" s="1">
        <f>Comuni__2[[#This Row],[Popolazione2011]]/Comuni__2[[#This Row],[POPOLAZIONE TOTALE DI OGNI REGIONE (CON FILTRO)]]</f>
        <v>1.1869357074022745E-2</v>
      </c>
      <c r="H5615" t="str">
        <f>IF(Comuni__2[[#This Row],[Popolazione2011]]&gt;300000,"MAGGIORE","")</f>
        <v/>
      </c>
      <c r="J5615">
        <v>1</v>
      </c>
      <c r="K5615">
        <v>1050</v>
      </c>
      <c r="L5615">
        <v>146</v>
      </c>
    </row>
    <row r="5616" spans="1:12" x14ac:dyDescent="0.2">
      <c r="A5616"/>
      <c r="B5616"/>
      <c r="C5616"/>
      <c r="D5616"/>
      <c r="E5616" s="2">
        <f>Comuni__2[[#This Row],[Popolazione2011]]/$D$7911</f>
        <v>7.339572806032915E-4</v>
      </c>
      <c r="F5616">
        <f>SUMIFS($D$2:$D$7909, $B$2:$B$7909, "Puglia")</f>
        <v>4050093</v>
      </c>
      <c r="G5616" s="1">
        <f>Comuni__2[[#This Row],[Popolazione2011]]/Comuni__2[[#This Row],[POPOLAZIONE TOTALE DI OGNI REGIONE (CON FILTRO)]]</f>
        <v>1.0768641608970462E-2</v>
      </c>
      <c r="H5616" t="str">
        <f>IF(Comuni__2[[#This Row],[Popolazione2011]]&gt;300000,"MAGGIORE","")</f>
        <v/>
      </c>
      <c r="J5616">
        <v>1</v>
      </c>
      <c r="K5616">
        <v>1050</v>
      </c>
      <c r="L5616">
        <v>146</v>
      </c>
    </row>
    <row r="5617" spans="1:12" x14ac:dyDescent="0.2">
      <c r="A5617"/>
      <c r="B5617"/>
      <c r="C5617"/>
      <c r="D5617"/>
      <c r="E5617" s="2">
        <f>Comuni__2[[#This Row],[Popolazione2011]]/$D$7911</f>
        <v>6.6442200561239869E-4</v>
      </c>
      <c r="F5617">
        <f>SUMIFS($D$2:$D$7909, $B$2:$B$7909, "Puglia")</f>
        <v>4050093</v>
      </c>
      <c r="G5617" s="1">
        <f>Comuni__2[[#This Row],[Popolazione2011]]/Comuni__2[[#This Row],[POPOLAZIONE TOTALE DI OGNI REGIONE (CON FILTRO)]]</f>
        <v>9.7484181227443425E-3</v>
      </c>
      <c r="H5617" t="str">
        <f>IF(Comuni__2[[#This Row],[Popolazione2011]]&gt;300000,"MAGGIORE","")</f>
        <v/>
      </c>
      <c r="J5617">
        <v>1</v>
      </c>
      <c r="K5617">
        <v>1050</v>
      </c>
      <c r="L5617">
        <v>146</v>
      </c>
    </row>
    <row r="5618" spans="1:12" x14ac:dyDescent="0.2">
      <c r="A5618"/>
      <c r="B5618"/>
      <c r="C5618"/>
      <c r="D5618"/>
      <c r="E5618" s="2">
        <f>Comuni__2[[#This Row],[Popolazione2011]]/$D$7911</f>
        <v>6.3160647167429581E-4</v>
      </c>
      <c r="F5618">
        <f>SUMIFS($D$2:$D$7909, $B$2:$B$7909, "Puglia")</f>
        <v>4050093</v>
      </c>
      <c r="G5618" s="1">
        <f>Comuni__2[[#This Row],[Popolazione2011]]/Comuni__2[[#This Row],[POPOLAZIONE TOTALE DI OGNI REGIONE (CON FILTRO)]]</f>
        <v>9.2669476972504095E-3</v>
      </c>
      <c r="H5618" t="str">
        <f>IF(Comuni__2[[#This Row],[Popolazione2011]]&gt;300000,"MAGGIORE","")</f>
        <v/>
      </c>
      <c r="J5618">
        <v>1</v>
      </c>
      <c r="K5618">
        <v>1051</v>
      </c>
      <c r="L5618">
        <v>146</v>
      </c>
    </row>
    <row r="5619" spans="1:12" x14ac:dyDescent="0.2">
      <c r="A5619"/>
      <c r="B5619"/>
      <c r="C5619"/>
      <c r="D5619"/>
      <c r="E5619" s="2">
        <f>Comuni__2[[#This Row],[Popolazione2011]]/$D$7911</f>
        <v>6.2189643932440588E-4</v>
      </c>
      <c r="F5619">
        <f>SUMIFS($D$2:$D$7909, $B$2:$B$7909, "Puglia")</f>
        <v>4050093</v>
      </c>
      <c r="G5619" s="1">
        <f>Comuni__2[[#This Row],[Popolazione2011]]/Comuni__2[[#This Row],[POPOLAZIONE TOTALE DI OGNI REGIONE (CON FILTRO)]]</f>
        <v>9.1244818328863071E-3</v>
      </c>
      <c r="H5619" t="str">
        <f>IF(Comuni__2[[#This Row],[Popolazione2011]]&gt;300000,"MAGGIORE","")</f>
        <v/>
      </c>
      <c r="J5619">
        <v>1</v>
      </c>
      <c r="K5619">
        <v>1051</v>
      </c>
      <c r="L5619">
        <v>146</v>
      </c>
    </row>
    <row r="5620" spans="1:12" x14ac:dyDescent="0.2">
      <c r="A5620"/>
      <c r="B5620"/>
      <c r="C5620"/>
      <c r="D5620"/>
      <c r="E5620" s="2">
        <f>Comuni__2[[#This Row],[Popolazione2011]]/$D$7911</f>
        <v>5.7777216753686453E-4</v>
      </c>
      <c r="F5620">
        <f>SUMIFS($D$2:$D$7909, $B$2:$B$7909, "Puglia")</f>
        <v>4050093</v>
      </c>
      <c r="G5620" s="1">
        <f>Comuni__2[[#This Row],[Popolazione2011]]/Comuni__2[[#This Row],[POPOLAZIONE TOTALE DI OGNI REGIONE (CON FILTRO)]]</f>
        <v>8.477089291529849E-3</v>
      </c>
      <c r="H5620" t="str">
        <f>IF(Comuni__2[[#This Row],[Popolazione2011]]&gt;300000,"MAGGIORE","")</f>
        <v/>
      </c>
      <c r="J5620">
        <v>5</v>
      </c>
      <c r="K5620">
        <v>1051</v>
      </c>
      <c r="L5620">
        <v>146</v>
      </c>
    </row>
    <row r="5621" spans="1:12" x14ac:dyDescent="0.2">
      <c r="A5621"/>
      <c r="B5621"/>
      <c r="C5621"/>
      <c r="D5621"/>
      <c r="E5621" s="2">
        <f>Comuni__2[[#This Row],[Popolazione2011]]/$D$7911</f>
        <v>5.4697605107187569E-4</v>
      </c>
      <c r="F5621">
        <f>SUMIFS($D$2:$D$7909, $B$2:$B$7909, "Puglia")</f>
        <v>4050093</v>
      </c>
      <c r="G5621" s="1">
        <f>Comuni__2[[#This Row],[Popolazione2011]]/Comuni__2[[#This Row],[POPOLAZIONE TOTALE DI OGNI REGIONE (CON FILTRO)]]</f>
        <v>8.0252478152970808E-3</v>
      </c>
      <c r="H5621" t="str">
        <f>IF(Comuni__2[[#This Row],[Popolazione2011]]&gt;300000,"MAGGIORE","")</f>
        <v/>
      </c>
      <c r="J5621">
        <v>5</v>
      </c>
      <c r="K5621">
        <v>1051</v>
      </c>
      <c r="L5621">
        <v>146</v>
      </c>
    </row>
    <row r="5622" spans="1:12" x14ac:dyDescent="0.2">
      <c r="A5622"/>
      <c r="B5622"/>
      <c r="C5622"/>
      <c r="D5622"/>
      <c r="E5622" s="2">
        <f>Comuni__2[[#This Row],[Popolazione2011]]/$D$7911</f>
        <v>5.4492297664087645E-4</v>
      </c>
      <c r="F5622">
        <f>SUMIFS($D$2:$D$7909, $B$2:$B$7909, "Puglia")</f>
        <v>4050093</v>
      </c>
      <c r="G5622" s="1">
        <f>Comuni__2[[#This Row],[Popolazione2011]]/Comuni__2[[#This Row],[POPOLAZIONE TOTALE DI OGNI REGIONE (CON FILTRO)]]</f>
        <v>7.995125050214897E-3</v>
      </c>
      <c r="H5622" t="str">
        <f>IF(Comuni__2[[#This Row],[Popolazione2011]]&gt;300000,"MAGGIORE","")</f>
        <v/>
      </c>
      <c r="J5622">
        <v>5</v>
      </c>
      <c r="K5622">
        <v>1056</v>
      </c>
      <c r="L5622">
        <v>146</v>
      </c>
    </row>
    <row r="5623" spans="1:12" x14ac:dyDescent="0.2">
      <c r="A5623"/>
      <c r="B5623"/>
      <c r="C5623"/>
      <c r="D5623"/>
      <c r="E5623" s="2">
        <f>Comuni__2[[#This Row],[Popolazione2011]]/$D$7911</f>
        <v>5.3615533911177302E-4</v>
      </c>
      <c r="F5623">
        <f>SUMIFS($D$2:$D$7909, $B$2:$B$7909, "Puglia")</f>
        <v>4050093</v>
      </c>
      <c r="G5623" s="1">
        <f>Comuni__2[[#This Row],[Popolazione2011]]/Comuni__2[[#This Row],[POPOLAZIONE TOTALE DI OGNI REGIONE (CON FILTRO)]]</f>
        <v>7.8664860288393378E-3</v>
      </c>
      <c r="H5623" t="str">
        <f>IF(Comuni__2[[#This Row],[Popolazione2011]]&gt;300000,"MAGGIORE","")</f>
        <v/>
      </c>
      <c r="J5623">
        <v>5</v>
      </c>
      <c r="K5623">
        <v>1056</v>
      </c>
      <c r="L5623">
        <v>146</v>
      </c>
    </row>
    <row r="5624" spans="1:12" x14ac:dyDescent="0.2">
      <c r="A5624"/>
      <c r="B5624"/>
      <c r="C5624"/>
      <c r="D5624"/>
      <c r="E5624" s="2">
        <f>Comuni__2[[#This Row],[Popolazione2011]]/$D$7911</f>
        <v>5.3326084073364289E-4</v>
      </c>
      <c r="F5624">
        <f>SUMIFS($D$2:$D$7909, $B$2:$B$7909, "Puglia")</f>
        <v>4050093</v>
      </c>
      <c r="G5624" s="1">
        <f>Comuni__2[[#This Row],[Popolazione2011]]/Comuni__2[[#This Row],[POPOLAZIONE TOTALE DI OGNI REGIONE (CON FILTRO)]]</f>
        <v>7.8240178682316679E-3</v>
      </c>
      <c r="H5624" t="str">
        <f>IF(Comuni__2[[#This Row],[Popolazione2011]]&gt;300000,"MAGGIORE","")</f>
        <v/>
      </c>
      <c r="J5624">
        <v>5</v>
      </c>
      <c r="K5624">
        <v>1056</v>
      </c>
      <c r="L5624">
        <v>146</v>
      </c>
    </row>
    <row r="5625" spans="1:12" x14ac:dyDescent="0.2">
      <c r="A5625"/>
      <c r="B5625"/>
      <c r="C5625"/>
      <c r="D5625"/>
      <c r="E5625" s="2">
        <f>Comuni__2[[#This Row],[Popolazione2011]]/$D$7911</f>
        <v>5.2035339738465576E-4</v>
      </c>
      <c r="F5625">
        <f>SUMIFS($D$2:$D$7909, $B$2:$B$7909, "Puglia")</f>
        <v>4050093</v>
      </c>
      <c r="G5625" s="1">
        <f>Comuni__2[[#This Row],[Popolazione2011]]/Comuni__2[[#This Row],[POPOLAZIONE TOTALE DI OGNI REGIONE (CON FILTRO)]]</f>
        <v>7.6346395008707211E-3</v>
      </c>
      <c r="H5625" t="str">
        <f>IF(Comuni__2[[#This Row],[Popolazione2011]]&gt;300000,"MAGGIORE","")</f>
        <v/>
      </c>
      <c r="J5625">
        <v>5</v>
      </c>
      <c r="K5625">
        <v>1056</v>
      </c>
      <c r="L5625">
        <v>146</v>
      </c>
    </row>
    <row r="5626" spans="1:12" x14ac:dyDescent="0.2">
      <c r="A5626"/>
      <c r="B5626"/>
      <c r="C5626"/>
      <c r="D5626"/>
      <c r="E5626" s="2">
        <f>Comuni__2[[#This Row],[Popolazione2011]]/$D$7911</f>
        <v>5.1195598639229003E-4</v>
      </c>
      <c r="F5626">
        <f>SUMIFS($D$2:$D$7909, $B$2:$B$7909, "Puglia")</f>
        <v>4050093</v>
      </c>
      <c r="G5626" s="1">
        <f>Comuni__2[[#This Row],[Popolazione2011]]/Comuni__2[[#This Row],[POPOLAZIONE TOTALE DI OGNI REGIONE (CON FILTRO)]]</f>
        <v>7.5114324535263755E-3</v>
      </c>
      <c r="H5626" t="str">
        <f>IF(Comuni__2[[#This Row],[Popolazione2011]]&gt;300000,"MAGGIORE","")</f>
        <v/>
      </c>
      <c r="J5626">
        <v>3</v>
      </c>
      <c r="K5626">
        <v>1057</v>
      </c>
      <c r="L5626">
        <v>146</v>
      </c>
    </row>
    <row r="5627" spans="1:12" x14ac:dyDescent="0.2">
      <c r="A5627"/>
      <c r="B5627"/>
      <c r="C5627"/>
      <c r="D5627"/>
      <c r="E5627" s="2">
        <f>Comuni__2[[#This Row],[Popolazione2011]]/$D$7911</f>
        <v>4.693294492306415E-4</v>
      </c>
      <c r="F5627">
        <f>SUMIFS($D$2:$D$7909, $B$2:$B$7909, "Puglia")</f>
        <v>4050093</v>
      </c>
      <c r="G5627" s="1">
        <f>Comuni__2[[#This Row],[Popolazione2011]]/Comuni__2[[#This Row],[POPOLAZIONE TOTALE DI OGNI REGIONE (CON FILTRO)]]</f>
        <v>6.8860147162052819E-3</v>
      </c>
      <c r="H5627" t="str">
        <f>IF(Comuni__2[[#This Row],[Popolazione2011]]&gt;300000,"MAGGIORE","")</f>
        <v/>
      </c>
      <c r="J5627">
        <v>3</v>
      </c>
      <c r="K5627">
        <v>1058</v>
      </c>
      <c r="L5627">
        <v>146</v>
      </c>
    </row>
    <row r="5628" spans="1:12" x14ac:dyDescent="0.2">
      <c r="A5628"/>
      <c r="B5628"/>
      <c r="C5628"/>
      <c r="D5628"/>
      <c r="E5628" s="2">
        <f>Comuni__2[[#This Row],[Popolazione2011]]/$D$7911</f>
        <v>4.670407760944456E-4</v>
      </c>
      <c r="F5628">
        <f>SUMIFS($D$2:$D$7909, $B$2:$B$7909, "Puglia")</f>
        <v>4050093</v>
      </c>
      <c r="G5628" s="1">
        <f>Comuni__2[[#This Row],[Popolazione2011]]/Comuni__2[[#This Row],[POPOLAZIONE TOTALE DI OGNI REGIONE (CON FILTRO)]]</f>
        <v>6.8524352403759618E-3</v>
      </c>
      <c r="H5628" t="str">
        <f>IF(Comuni__2[[#This Row],[Popolazione2011]]&gt;300000,"MAGGIORE","")</f>
        <v/>
      </c>
      <c r="J5628">
        <v>2</v>
      </c>
      <c r="K5628">
        <v>1060</v>
      </c>
      <c r="L5628">
        <v>146</v>
      </c>
    </row>
    <row r="5629" spans="1:12" x14ac:dyDescent="0.2">
      <c r="A5629"/>
      <c r="B5629"/>
      <c r="C5629"/>
      <c r="D5629"/>
      <c r="E5629" s="2">
        <f>Comuni__2[[#This Row],[Popolazione2011]]/$D$7911</f>
        <v>4.5990550102277604E-4</v>
      </c>
      <c r="F5629">
        <f>SUMIFS($D$2:$D$7909, $B$2:$B$7909, "Puglia")</f>
        <v>4050093</v>
      </c>
      <c r="G5629" s="1">
        <f>Comuni__2[[#This Row],[Popolazione2011]]/Comuni__2[[#This Row],[POPOLAZIONE TOTALE DI OGNI REGIONE (CON FILTRO)]]</f>
        <v>6.7477462863198452E-3</v>
      </c>
      <c r="H5629" t="str">
        <f>IF(Comuni__2[[#This Row],[Popolazione2011]]&gt;300000,"MAGGIORE","")</f>
        <v/>
      </c>
      <c r="J5629">
        <v>2</v>
      </c>
      <c r="K5629">
        <v>1062</v>
      </c>
      <c r="L5629">
        <v>146</v>
      </c>
    </row>
    <row r="5630" spans="1:12" x14ac:dyDescent="0.2">
      <c r="A5630"/>
      <c r="B5630"/>
      <c r="C5630"/>
      <c r="D5630"/>
      <c r="E5630" s="2">
        <f>Comuni__2[[#This Row],[Popolazione2011]]/$D$7911</f>
        <v>4.5797022594437512E-4</v>
      </c>
      <c r="F5630">
        <f>SUMIFS($D$2:$D$7909, $B$2:$B$7909, "Puglia")</f>
        <v>4050093</v>
      </c>
      <c r="G5630" s="1">
        <f>Comuni__2[[#This Row],[Popolazione2011]]/Comuni__2[[#This Row],[POPOLAZIONE TOTALE DI OGNI REGIONE (CON FILTRO)]]</f>
        <v>6.7193518766112282E-3</v>
      </c>
      <c r="H5630" t="str">
        <f>IF(Comuni__2[[#This Row],[Popolazione2011]]&gt;300000,"MAGGIORE","")</f>
        <v/>
      </c>
      <c r="J5630">
        <v>1</v>
      </c>
      <c r="K5630">
        <v>1064</v>
      </c>
      <c r="L5630">
        <v>146</v>
      </c>
    </row>
    <row r="5631" spans="1:12" x14ac:dyDescent="0.2">
      <c r="A5631"/>
      <c r="B5631"/>
      <c r="C5631"/>
      <c r="D5631"/>
      <c r="E5631" s="2">
        <f>Comuni__2[[#This Row],[Popolazione2011]]/$D$7911</f>
        <v>4.5576569520289228E-4</v>
      </c>
      <c r="F5631">
        <f>SUMIFS($D$2:$D$7909, $B$2:$B$7909, "Puglia")</f>
        <v>4050093</v>
      </c>
      <c r="G5631" s="1">
        <f>Comuni__2[[#This Row],[Popolazione2011]]/Comuni__2[[#This Row],[POPOLAZIONE TOTALE DI OGNI REGIONE (CON FILTRO)]]</f>
        <v>6.6870069403344567E-3</v>
      </c>
      <c r="H5631" t="str">
        <f>IF(Comuni__2[[#This Row],[Popolazione2011]]&gt;300000,"MAGGIORE","")</f>
        <v/>
      </c>
      <c r="J5631">
        <v>1</v>
      </c>
      <c r="K5631">
        <v>1064</v>
      </c>
      <c r="L5631">
        <v>146</v>
      </c>
    </row>
    <row r="5632" spans="1:12" x14ac:dyDescent="0.2">
      <c r="A5632"/>
      <c r="B5632"/>
      <c r="C5632"/>
      <c r="D5632"/>
      <c r="E5632" s="2">
        <f>Comuni__2[[#This Row],[Popolazione2011]]/$D$7911</f>
        <v>4.544867308032534E-4</v>
      </c>
      <c r="F5632">
        <f>SUMIFS($D$2:$D$7909, $B$2:$B$7909, "Puglia")</f>
        <v>4050093</v>
      </c>
      <c r="G5632" s="1">
        <f>Comuni__2[[#This Row],[Popolazione2011]]/Comuni__2[[#This Row],[POPOLAZIONE TOTALE DI OGNI REGIONE (CON FILTRO)]]</f>
        <v>6.6682419391357189E-3</v>
      </c>
      <c r="H5632" t="str">
        <f>IF(Comuni__2[[#This Row],[Popolazione2011]]&gt;300000,"MAGGIORE","")</f>
        <v/>
      </c>
      <c r="J5632">
        <v>1</v>
      </c>
      <c r="K5632">
        <v>1064</v>
      </c>
      <c r="L5632">
        <v>146</v>
      </c>
    </row>
    <row r="5633" spans="1:12" x14ac:dyDescent="0.2">
      <c r="A5633"/>
      <c r="B5633"/>
      <c r="C5633"/>
      <c r="D5633"/>
      <c r="E5633" s="2">
        <f>Comuni__2[[#This Row],[Popolazione2011]]/$D$7911</f>
        <v>4.5413333274545848E-4</v>
      </c>
      <c r="F5633">
        <f>SUMIFS($D$2:$D$7909, $B$2:$B$7909, "Puglia")</f>
        <v>4050093</v>
      </c>
      <c r="G5633" s="1">
        <f>Comuni__2[[#This Row],[Popolazione2011]]/Comuni__2[[#This Row],[POPOLAZIONE TOTALE DI OGNI REGIONE (CON FILTRO)]]</f>
        <v>6.663056873015015E-3</v>
      </c>
      <c r="H5633" t="str">
        <f>IF(Comuni__2[[#This Row],[Popolazione2011]]&gt;300000,"MAGGIORE","")</f>
        <v/>
      </c>
      <c r="J5633">
        <v>1</v>
      </c>
      <c r="K5633">
        <v>1064</v>
      </c>
      <c r="L5633">
        <v>146</v>
      </c>
    </row>
    <row r="5634" spans="1:12" x14ac:dyDescent="0.2">
      <c r="A5634"/>
      <c r="B5634"/>
      <c r="C5634"/>
      <c r="D5634"/>
      <c r="E5634" s="2">
        <f>Comuni__2[[#This Row],[Popolazione2011]]/$D$7911</f>
        <v>4.5049838129385323E-4</v>
      </c>
      <c r="F5634">
        <f>SUMIFS($D$2:$D$7909, $B$2:$B$7909, "Puglia")</f>
        <v>4050093</v>
      </c>
      <c r="G5634" s="1">
        <f>Comuni__2[[#This Row],[Popolazione2011]]/Comuni__2[[#This Row],[POPOLAZIONE TOTALE DI OGNI REGIONE (CON FILTRO)]]</f>
        <v>6.6097247643449172E-3</v>
      </c>
      <c r="H5634" t="str">
        <f>IF(Comuni__2[[#This Row],[Popolazione2011]]&gt;300000,"MAGGIORE","")</f>
        <v/>
      </c>
      <c r="J5634">
        <v>1</v>
      </c>
      <c r="K5634">
        <v>1064</v>
      </c>
      <c r="L5634">
        <v>146</v>
      </c>
    </row>
    <row r="5635" spans="1:12" x14ac:dyDescent="0.2">
      <c r="A5635"/>
      <c r="B5635"/>
      <c r="C5635"/>
      <c r="D5635"/>
      <c r="E5635" s="2">
        <f>Comuni__2[[#This Row],[Popolazione2011]]/$D$7911</f>
        <v>4.3266019361467938E-4</v>
      </c>
      <c r="F5635">
        <f>SUMIFS($D$2:$D$7909, $B$2:$B$7909, "Puglia")</f>
        <v>4050093</v>
      </c>
      <c r="G5635" s="1">
        <f>Comuni__2[[#This Row],[Popolazione2011]]/Comuni__2[[#This Row],[POPOLAZIONE TOTALE DI OGNI REGIONE (CON FILTRO)]]</f>
        <v>6.3480023792046253E-3</v>
      </c>
      <c r="H5635" t="str">
        <f>IF(Comuni__2[[#This Row],[Popolazione2011]]&gt;300000,"MAGGIORE","")</f>
        <v/>
      </c>
      <c r="J5635">
        <v>1</v>
      </c>
      <c r="K5635">
        <v>1064</v>
      </c>
      <c r="L5635">
        <v>146</v>
      </c>
    </row>
    <row r="5636" spans="1:12" x14ac:dyDescent="0.2">
      <c r="A5636"/>
      <c r="B5636"/>
      <c r="C5636"/>
      <c r="D5636"/>
      <c r="E5636" s="2">
        <f>Comuni__2[[#This Row],[Popolazione2011]]/$D$7911</f>
        <v>4.3220582468322873E-4</v>
      </c>
      <c r="F5636">
        <f>SUMIFS($D$2:$D$7909, $B$2:$B$7909, "Puglia")</f>
        <v>4050093</v>
      </c>
      <c r="G5636" s="1">
        <f>Comuni__2[[#This Row],[Popolazione2011]]/Comuni__2[[#This Row],[POPOLAZIONE TOTALE DI OGNI REGIONE (CON FILTRO)]]</f>
        <v>6.3413358656208632E-3</v>
      </c>
      <c r="H5636" t="str">
        <f>IF(Comuni__2[[#This Row],[Popolazione2011]]&gt;300000,"MAGGIORE","")</f>
        <v/>
      </c>
      <c r="J5636">
        <v>1</v>
      </c>
      <c r="K5636">
        <v>1064</v>
      </c>
      <c r="L5636">
        <v>146</v>
      </c>
    </row>
    <row r="5637" spans="1:12" x14ac:dyDescent="0.2">
      <c r="A5637"/>
      <c r="B5637"/>
      <c r="C5637"/>
      <c r="D5637"/>
      <c r="E5637" s="2">
        <f>Comuni__2[[#This Row],[Popolazione2011]]/$D$7911</f>
        <v>4.3185242662543375E-4</v>
      </c>
      <c r="F5637">
        <f>SUMIFS($D$2:$D$7909, $B$2:$B$7909, "Puglia")</f>
        <v>4050093</v>
      </c>
      <c r="G5637" s="1">
        <f>Comuni__2[[#This Row],[Popolazione2011]]/Comuni__2[[#This Row],[POPOLAZIONE TOTALE DI OGNI REGIONE (CON FILTRO)]]</f>
        <v>6.3361507995001592E-3</v>
      </c>
      <c r="H5637" t="str">
        <f>IF(Comuni__2[[#This Row],[Popolazione2011]]&gt;300000,"MAGGIORE","")</f>
        <v/>
      </c>
      <c r="J5637">
        <v>1</v>
      </c>
      <c r="K5637">
        <v>1064</v>
      </c>
      <c r="L5637">
        <v>146</v>
      </c>
    </row>
    <row r="5638" spans="1:12" x14ac:dyDescent="0.2">
      <c r="A5638"/>
      <c r="B5638"/>
      <c r="C5638"/>
      <c r="D5638"/>
      <c r="E5638" s="2">
        <f>Comuni__2[[#This Row],[Popolazione2011]]/$D$7911</f>
        <v>4.3025372112588515E-4</v>
      </c>
      <c r="F5638">
        <f>SUMIFS($D$2:$D$7909, $B$2:$B$7909, "Puglia")</f>
        <v>4050093</v>
      </c>
      <c r="G5638" s="1">
        <f>Comuni__2[[#This Row],[Popolazione2011]]/Comuni__2[[#This Row],[POPOLAZIONE TOTALE DI OGNI REGIONE (CON FILTRO)]]</f>
        <v>6.3126945480017375E-3</v>
      </c>
      <c r="H5638" t="str">
        <f>IF(Comuni__2[[#This Row],[Popolazione2011]]&gt;300000,"MAGGIORE","")</f>
        <v/>
      </c>
      <c r="J5638">
        <v>1</v>
      </c>
      <c r="K5638">
        <v>1064</v>
      </c>
      <c r="L5638">
        <v>146</v>
      </c>
    </row>
    <row r="5639" spans="1:12" x14ac:dyDescent="0.2">
      <c r="A5639"/>
      <c r="B5639"/>
      <c r="C5639"/>
      <c r="D5639"/>
      <c r="E5639" s="2">
        <f>Comuni__2[[#This Row],[Popolazione2011]]/$D$7911</f>
        <v>4.0169579236026435E-4</v>
      </c>
      <c r="F5639">
        <f>SUMIFS($D$2:$D$7909, $B$2:$B$7909, "Puglia")</f>
        <v>4050093</v>
      </c>
      <c r="G5639" s="1">
        <f>Comuni__2[[#This Row],[Popolazione2011]]/Comuni__2[[#This Row],[POPOLAZIONE TOTALE DI OGNI REGIONE (CON FILTRO)]]</f>
        <v>5.8936918238667608E-3</v>
      </c>
      <c r="H5639" t="str">
        <f>IF(Comuni__2[[#This Row],[Popolazione2011]]&gt;300000,"MAGGIORE","")</f>
        <v/>
      </c>
      <c r="J5639">
        <v>0</v>
      </c>
      <c r="K5639">
        <v>1065</v>
      </c>
      <c r="L5639">
        <v>146</v>
      </c>
    </row>
    <row r="5640" spans="1:12" x14ac:dyDescent="0.2">
      <c r="A5640"/>
      <c r="B5640"/>
      <c r="C5640"/>
      <c r="D5640"/>
      <c r="E5640" s="2">
        <f>Comuni__2[[#This Row],[Popolazione2011]]/$D$7911</f>
        <v>3.8002071148217386E-4</v>
      </c>
      <c r="F5640">
        <f>SUMIFS($D$2:$D$7909, $B$2:$B$7909, "Puglia")</f>
        <v>4050093</v>
      </c>
      <c r="G5640" s="1">
        <f>Comuni__2[[#This Row],[Popolazione2011]]/Comuni__2[[#This Row],[POPOLAZIONE TOTALE DI OGNI REGIONE (CON FILTRO)]]</f>
        <v>5.5756744351302548E-3</v>
      </c>
      <c r="H5640" t="str">
        <f>IF(Comuni__2[[#This Row],[Popolazione2011]]&gt;300000,"MAGGIORE","")</f>
        <v/>
      </c>
      <c r="J5640">
        <v>0</v>
      </c>
      <c r="K5640">
        <v>1065</v>
      </c>
      <c r="L5640">
        <v>146</v>
      </c>
    </row>
    <row r="5641" spans="1:12" x14ac:dyDescent="0.2">
      <c r="A5641"/>
      <c r="B5641"/>
      <c r="C5641"/>
      <c r="D5641"/>
      <c r="E5641" s="2">
        <f>Comuni__2[[#This Row],[Popolazione2011]]/$D$7911</f>
        <v>3.6273786360810633E-4</v>
      </c>
      <c r="F5641">
        <f>SUMIFS($D$2:$D$7909, $B$2:$B$7909, "Puglia")</f>
        <v>4050093</v>
      </c>
      <c r="G5641" s="1">
        <f>Comuni__2[[#This Row],[Popolazione2011]]/Comuni__2[[#This Row],[POPOLAZIONE TOTALE DI OGNI REGIONE (CON FILTRO)]]</f>
        <v>5.3221000110367832E-3</v>
      </c>
      <c r="H5641" t="str">
        <f>IF(Comuni__2[[#This Row],[Popolazione2011]]&gt;300000,"MAGGIORE","")</f>
        <v/>
      </c>
      <c r="J5641">
        <v>1</v>
      </c>
      <c r="K5641">
        <v>1065</v>
      </c>
      <c r="L5641">
        <v>146</v>
      </c>
    </row>
    <row r="5642" spans="1:12" x14ac:dyDescent="0.2">
      <c r="A5642"/>
      <c r="B5642"/>
      <c r="C5642"/>
      <c r="D5642"/>
      <c r="E5642" s="2">
        <f>Comuni__2[[#This Row],[Popolazione2011]]/$D$7911</f>
        <v>3.5403753999477342E-4</v>
      </c>
      <c r="F5642">
        <f>SUMIFS($D$2:$D$7909, $B$2:$B$7909, "Puglia")</f>
        <v>4050093</v>
      </c>
      <c r="G5642" s="1">
        <f>Comuni__2[[#This Row],[Popolazione2011]]/Comuni__2[[#This Row],[POPOLAZIONE TOTALE DI OGNI REGIONE (CON FILTRO)]]</f>
        <v>5.194448621303264E-3</v>
      </c>
      <c r="H5642" t="str">
        <f>IF(Comuni__2[[#This Row],[Popolazione2011]]&gt;300000,"MAGGIORE","")</f>
        <v/>
      </c>
      <c r="J5642">
        <v>1</v>
      </c>
      <c r="K5642">
        <v>1065</v>
      </c>
      <c r="L5642">
        <v>146</v>
      </c>
    </row>
    <row r="5643" spans="1:12" x14ac:dyDescent="0.2">
      <c r="A5643"/>
      <c r="B5643"/>
      <c r="C5643"/>
      <c r="D5643"/>
      <c r="E5643" s="2">
        <f>Comuni__2[[#This Row],[Popolazione2011]]/$D$7911</f>
        <v>3.4479870505527675E-4</v>
      </c>
      <c r="F5643">
        <f>SUMIFS($D$2:$D$7909, $B$2:$B$7909, "Puglia")</f>
        <v>4050093</v>
      </c>
      <c r="G5643" s="1">
        <f>Comuni__2[[#This Row],[Popolazione2011]]/Comuni__2[[#This Row],[POPOLAZIONE TOTALE DI OGNI REGIONE (CON FILTRO)]]</f>
        <v>5.0588961784334332E-3</v>
      </c>
      <c r="H5643" t="str">
        <f>IF(Comuni__2[[#This Row],[Popolazione2011]]&gt;300000,"MAGGIORE","")</f>
        <v/>
      </c>
      <c r="J5643">
        <v>2</v>
      </c>
      <c r="K5643">
        <v>1063</v>
      </c>
      <c r="L5643">
        <v>146</v>
      </c>
    </row>
    <row r="5644" spans="1:12" x14ac:dyDescent="0.2">
      <c r="A5644"/>
      <c r="B5644"/>
      <c r="C5644"/>
      <c r="D5644"/>
      <c r="E5644" s="2">
        <f>Comuni__2[[#This Row],[Popolazione2011]]/$D$7911</f>
        <v>3.4385631023449019E-4</v>
      </c>
      <c r="F5644">
        <f>SUMIFS($D$2:$D$7909, $B$2:$B$7909, "Puglia")</f>
        <v>4050093</v>
      </c>
      <c r="G5644" s="1">
        <f>Comuni__2[[#This Row],[Popolazione2011]]/Comuni__2[[#This Row],[POPOLAZIONE TOTALE DI OGNI REGIONE (CON FILTRO)]]</f>
        <v>5.0450693354448899E-3</v>
      </c>
      <c r="H5644" t="str">
        <f>IF(Comuni__2[[#This Row],[Popolazione2011]]&gt;300000,"MAGGIORE","")</f>
        <v/>
      </c>
      <c r="J5644">
        <v>2</v>
      </c>
      <c r="K5644">
        <v>1064</v>
      </c>
      <c r="L5644">
        <v>146</v>
      </c>
    </row>
    <row r="5645" spans="1:12" x14ac:dyDescent="0.2">
      <c r="A5645"/>
      <c r="B5645"/>
      <c r="C5645"/>
      <c r="D5645"/>
      <c r="E5645" s="2">
        <f>Comuni__2[[#This Row],[Popolazione2011]]/$D$7911</f>
        <v>3.4326731347149861E-4</v>
      </c>
      <c r="F5645">
        <f>SUMIFS($D$2:$D$7909, $B$2:$B$7909, "Puglia")</f>
        <v>4050093</v>
      </c>
      <c r="G5645" s="1">
        <f>Comuni__2[[#This Row],[Popolazione2011]]/Comuni__2[[#This Row],[POPOLAZIONE TOTALE DI OGNI REGIONE (CON FILTRO)]]</f>
        <v>5.0364275585770496E-3</v>
      </c>
      <c r="H5645" t="str">
        <f>IF(Comuni__2[[#This Row],[Popolazione2011]]&gt;300000,"MAGGIORE","")</f>
        <v/>
      </c>
      <c r="J5645">
        <v>3</v>
      </c>
      <c r="K5645">
        <v>1065</v>
      </c>
      <c r="L5645">
        <v>146</v>
      </c>
    </row>
    <row r="5646" spans="1:12" x14ac:dyDescent="0.2">
      <c r="A5646"/>
      <c r="B5646"/>
      <c r="C5646"/>
      <c r="D5646"/>
      <c r="E5646" s="2">
        <f>Comuni__2[[#This Row],[Popolazione2011]]/$D$7911</f>
        <v>3.4008673095134402E-4</v>
      </c>
      <c r="F5646">
        <f>SUMIFS($D$2:$D$7909, $B$2:$B$7909, "Puglia")</f>
        <v>4050093</v>
      </c>
      <c r="G5646" s="1">
        <f>Comuni__2[[#This Row],[Popolazione2011]]/Comuni__2[[#This Row],[POPOLAZIONE TOTALE DI OGNI REGIONE (CON FILTRO)]]</f>
        <v>4.9897619634907148E-3</v>
      </c>
      <c r="H5646" t="str">
        <f>IF(Comuni__2[[#This Row],[Popolazione2011]]&gt;300000,"MAGGIORE","")</f>
        <v/>
      </c>
      <c r="J5646">
        <v>3</v>
      </c>
      <c r="K5646">
        <v>1065</v>
      </c>
      <c r="L5646">
        <v>146</v>
      </c>
    </row>
    <row r="5647" spans="1:12" x14ac:dyDescent="0.2">
      <c r="A5647"/>
      <c r="B5647"/>
      <c r="C5647"/>
      <c r="D5647"/>
      <c r="E5647" s="2">
        <f>Comuni__2[[#This Row],[Popolazione2011]]/$D$7911</f>
        <v>3.301747568541427E-4</v>
      </c>
      <c r="F5647">
        <f>SUMIFS($D$2:$D$7909, $B$2:$B$7909, "Puglia")</f>
        <v>4050093</v>
      </c>
      <c r="G5647" s="1">
        <f>Comuni__2[[#This Row],[Popolazione2011]]/Comuni__2[[#This Row],[POPOLAZIONE TOTALE DI OGNI REGIONE (CON FILTRO)]]</f>
        <v>4.8443332042004961E-3</v>
      </c>
      <c r="H5647" t="str">
        <f>IF(Comuni__2[[#This Row],[Popolazione2011]]&gt;300000,"MAGGIORE","")</f>
        <v/>
      </c>
      <c r="J5647">
        <v>3</v>
      </c>
      <c r="K5647">
        <v>1065</v>
      </c>
      <c r="L5647">
        <v>146</v>
      </c>
    </row>
    <row r="5648" spans="1:12" x14ac:dyDescent="0.2">
      <c r="A5648"/>
      <c r="B5648"/>
      <c r="C5648"/>
      <c r="D5648"/>
      <c r="E5648" s="2">
        <f>Comuni__2[[#This Row],[Popolazione2011]]/$D$7911</f>
        <v>3.2546278275020997E-4</v>
      </c>
      <c r="F5648">
        <f>SUMIFS($D$2:$D$7909, $B$2:$B$7909, "Puglia")</f>
        <v>4050093</v>
      </c>
      <c r="G5648" s="1">
        <f>Comuni__2[[#This Row],[Popolazione2011]]/Comuni__2[[#This Row],[POPOLAZIONE TOTALE DI OGNI REGIONE (CON FILTRO)]]</f>
        <v>4.7751989892577777E-3</v>
      </c>
      <c r="H5648" t="str">
        <f>IF(Comuni__2[[#This Row],[Popolazione2011]]&gt;300000,"MAGGIORE","")</f>
        <v/>
      </c>
      <c r="J5648">
        <v>2</v>
      </c>
      <c r="K5648">
        <v>1068</v>
      </c>
      <c r="L5648">
        <v>146</v>
      </c>
    </row>
    <row r="5649" spans="1:12" x14ac:dyDescent="0.2">
      <c r="A5649"/>
      <c r="B5649"/>
      <c r="C5649"/>
      <c r="D5649"/>
      <c r="E5649" s="2">
        <f>Comuni__2[[#This Row],[Popolazione2011]]/$D$7911</f>
        <v>3.2453721640836607E-4</v>
      </c>
      <c r="F5649">
        <f>SUMIFS($D$2:$D$7909, $B$2:$B$7909, "Puglia")</f>
        <v>4050093</v>
      </c>
      <c r="G5649" s="1">
        <f>Comuni__2[[#This Row],[Popolazione2011]]/Comuni__2[[#This Row],[POPOLAZIONE TOTALE DI OGNI REGIONE (CON FILTRO)]]</f>
        <v>4.7616190541797439E-3</v>
      </c>
      <c r="H5649" t="str">
        <f>IF(Comuni__2[[#This Row],[Popolazione2011]]&gt;300000,"MAGGIORE","")</f>
        <v/>
      </c>
      <c r="J5649">
        <v>1</v>
      </c>
      <c r="K5649">
        <v>1069</v>
      </c>
      <c r="L5649">
        <v>146</v>
      </c>
    </row>
    <row r="5650" spans="1:12" x14ac:dyDescent="0.2">
      <c r="A5650"/>
      <c r="B5650"/>
      <c r="C5650"/>
      <c r="D5650"/>
      <c r="E5650" s="2">
        <f>Comuni__2[[#This Row],[Popolazione2011]]/$D$7911</f>
        <v>3.2388090572960402E-4</v>
      </c>
      <c r="F5650">
        <f>SUMIFS($D$2:$D$7909, $B$2:$B$7909, "Puglia")</f>
        <v>4050093</v>
      </c>
      <c r="G5650" s="1">
        <f>Comuni__2[[#This Row],[Popolazione2011]]/Comuni__2[[#This Row],[POPOLAZIONE TOTALE DI OGNI REGIONE (CON FILTRO)]]</f>
        <v>4.7519896456698647E-3</v>
      </c>
      <c r="H5650" t="str">
        <f>IF(Comuni__2[[#This Row],[Popolazione2011]]&gt;300000,"MAGGIORE","")</f>
        <v/>
      </c>
      <c r="J5650">
        <v>1</v>
      </c>
      <c r="K5650">
        <v>1069</v>
      </c>
      <c r="L5650">
        <v>146</v>
      </c>
    </row>
    <row r="5651" spans="1:12" x14ac:dyDescent="0.2">
      <c r="A5651"/>
      <c r="B5651"/>
      <c r="C5651"/>
      <c r="D5651"/>
      <c r="E5651" s="2">
        <f>Comuni__2[[#This Row],[Popolazione2011]]/$D$7911</f>
        <v>3.0994692516511728E-4</v>
      </c>
      <c r="F5651">
        <f>SUMIFS($D$2:$D$7909, $B$2:$B$7909, "Puglia")</f>
        <v>4050093</v>
      </c>
      <c r="G5651" s="1">
        <f>Comuni__2[[#This Row],[Popolazione2011]]/Comuni__2[[#This Row],[POPOLAZIONE TOTALE DI OGNI REGIONE (CON FILTRO)]]</f>
        <v>4.5475498957678259E-3</v>
      </c>
      <c r="H5651" t="str">
        <f>IF(Comuni__2[[#This Row],[Popolazione2011]]&gt;300000,"MAGGIORE","")</f>
        <v/>
      </c>
      <c r="J5651">
        <v>1</v>
      </c>
      <c r="K5651">
        <v>1069</v>
      </c>
      <c r="L5651">
        <v>146</v>
      </c>
    </row>
    <row r="5652" spans="1:12" x14ac:dyDescent="0.2">
      <c r="A5652"/>
      <c r="B5652"/>
      <c r="C5652"/>
      <c r="D5652"/>
      <c r="E5652" s="2">
        <f>Comuni__2[[#This Row],[Popolazione2011]]/$D$7911</f>
        <v>3.0117928763601385E-4</v>
      </c>
      <c r="F5652">
        <f>SUMIFS($D$2:$D$7909, $B$2:$B$7909, "Puglia")</f>
        <v>4050093</v>
      </c>
      <c r="G5652" s="1">
        <f>Comuni__2[[#This Row],[Popolazione2011]]/Comuni__2[[#This Row],[POPOLAZIONE TOTALE DI OGNI REGIONE (CON FILTRO)]]</f>
        <v>4.4189108743922668E-3</v>
      </c>
      <c r="H5652" t="str">
        <f>IF(Comuni__2[[#This Row],[Popolazione2011]]&gt;300000,"MAGGIORE","")</f>
        <v/>
      </c>
      <c r="J5652">
        <v>2</v>
      </c>
      <c r="K5652">
        <v>1069</v>
      </c>
      <c r="L5652">
        <v>146</v>
      </c>
    </row>
    <row r="5653" spans="1:12" x14ac:dyDescent="0.2">
      <c r="A5653"/>
      <c r="B5653"/>
      <c r="C5653"/>
      <c r="D5653"/>
      <c r="E5653" s="2">
        <f>Comuni__2[[#This Row],[Popolazione2011]]/$D$7911</f>
        <v>2.9727508052132675E-4</v>
      </c>
      <c r="F5653">
        <f>SUMIFS($D$2:$D$7909, $B$2:$B$7909, "Puglia")</f>
        <v>4050093</v>
      </c>
      <c r="G5653" s="1">
        <f>Comuni__2[[#This Row],[Popolazione2011]]/Comuni__2[[#This Row],[POPOLAZIONE TOTALE DI OGNI REGIONE (CON FILTRO)]]</f>
        <v>4.3616282391540145E-3</v>
      </c>
      <c r="H5653" t="str">
        <f>IF(Comuni__2[[#This Row],[Popolazione2011]]&gt;300000,"MAGGIORE","")</f>
        <v/>
      </c>
      <c r="J5653">
        <v>2</v>
      </c>
      <c r="K5653">
        <v>1074</v>
      </c>
      <c r="L5653">
        <v>146</v>
      </c>
    </row>
    <row r="5654" spans="1:12" x14ac:dyDescent="0.2">
      <c r="A5654"/>
      <c r="B5654"/>
      <c r="C5654"/>
      <c r="D5654"/>
      <c r="E5654" s="2">
        <f>Comuni__2[[#This Row],[Popolazione2011]]/$D$7911</f>
        <v>2.9562588958495029E-4</v>
      </c>
      <c r="F5654">
        <f>SUMIFS($D$2:$D$7909, $B$2:$B$7909, "Puglia")</f>
        <v>4050093</v>
      </c>
      <c r="G5654" s="1">
        <f>Comuni__2[[#This Row],[Popolazione2011]]/Comuni__2[[#This Row],[POPOLAZIONE TOTALE DI OGNI REGIONE (CON FILTRO)]]</f>
        <v>4.3374312639240633E-3</v>
      </c>
      <c r="H5654" t="str">
        <f>IF(Comuni__2[[#This Row],[Popolazione2011]]&gt;300000,"MAGGIORE","")</f>
        <v/>
      </c>
      <c r="J5654">
        <v>2</v>
      </c>
      <c r="K5654">
        <v>1077</v>
      </c>
      <c r="L5654">
        <v>146</v>
      </c>
    </row>
    <row r="5655" spans="1:12" x14ac:dyDescent="0.2">
      <c r="A5655"/>
      <c r="B5655"/>
      <c r="C5655"/>
      <c r="D5655"/>
      <c r="E5655" s="2">
        <f>Comuni__2[[#This Row],[Popolazione2011]]/$D$7911</f>
        <v>2.922265368385417E-4</v>
      </c>
      <c r="F5655">
        <f>SUMIFS($D$2:$D$7909, $B$2:$B$7909, "Puglia")</f>
        <v>4050093</v>
      </c>
      <c r="G5655" s="1">
        <f>Comuni__2[[#This Row],[Popolazione2011]]/Comuni__2[[#This Row],[POPOLAZIONE TOTALE DI OGNI REGIONE (CON FILTRO)]]</f>
        <v>4.2875558660011017E-3</v>
      </c>
      <c r="H5655" t="str">
        <f>IF(Comuni__2[[#This Row],[Popolazione2011]]&gt;300000,"MAGGIORE","")</f>
        <v/>
      </c>
      <c r="J5655">
        <v>2</v>
      </c>
      <c r="K5655">
        <v>1078</v>
      </c>
      <c r="L5655">
        <v>146</v>
      </c>
    </row>
    <row r="5656" spans="1:12" x14ac:dyDescent="0.2">
      <c r="A5656"/>
      <c r="B5656"/>
      <c r="C5656"/>
      <c r="D5656"/>
      <c r="E5656" s="2">
        <f>Comuni__2[[#This Row],[Popolazione2011]]/$D$7911</f>
        <v>2.8818770189231366E-4</v>
      </c>
      <c r="F5656">
        <f>SUMIFS($D$2:$D$7909, $B$2:$B$7909, "Puglia")</f>
        <v>4050093</v>
      </c>
      <c r="G5656" s="1">
        <f>Comuni__2[[#This Row],[Popolazione2011]]/Comuni__2[[#This Row],[POPOLAZIONE TOTALE DI OGNI REGIONE (CON FILTRO)]]</f>
        <v>4.2282979674787714E-3</v>
      </c>
      <c r="H5656" t="str">
        <f>IF(Comuni__2[[#This Row],[Popolazione2011]]&gt;300000,"MAGGIORE","")</f>
        <v/>
      </c>
      <c r="J5656">
        <v>3</v>
      </c>
      <c r="K5656">
        <v>1078</v>
      </c>
      <c r="L5656">
        <v>146</v>
      </c>
    </row>
    <row r="5657" spans="1:12" x14ac:dyDescent="0.2">
      <c r="A5657"/>
      <c r="B5657"/>
      <c r="C5657"/>
      <c r="D5657"/>
      <c r="E5657" s="2">
        <f>Comuni__2[[#This Row],[Popolazione2011]]/$D$7911</f>
        <v>2.8778381839769088E-4</v>
      </c>
      <c r="F5657">
        <f>SUMIFS($D$2:$D$7909, $B$2:$B$7909, "Puglia")</f>
        <v>4050093</v>
      </c>
      <c r="G5657" s="1">
        <f>Comuni__2[[#This Row],[Popolazione2011]]/Comuni__2[[#This Row],[POPOLAZIONE TOTALE DI OGNI REGIONE (CON FILTRO)]]</f>
        <v>4.2223721776265388E-3</v>
      </c>
      <c r="H5657" t="str">
        <f>IF(Comuni__2[[#This Row],[Popolazione2011]]&gt;300000,"MAGGIORE","")</f>
        <v/>
      </c>
      <c r="J5657">
        <v>3</v>
      </c>
      <c r="K5657">
        <v>1078</v>
      </c>
      <c r="L5657">
        <v>146</v>
      </c>
    </row>
    <row r="5658" spans="1:12" x14ac:dyDescent="0.2">
      <c r="A5658"/>
      <c r="B5658"/>
      <c r="C5658"/>
      <c r="D5658"/>
      <c r="E5658" s="2">
        <f>Comuni__2[[#This Row],[Popolazione2011]]/$D$7911</f>
        <v>2.8606731354554395E-4</v>
      </c>
      <c r="F5658">
        <f>SUMIFS($D$2:$D$7909, $B$2:$B$7909, "Puglia")</f>
        <v>4050093</v>
      </c>
      <c r="G5658" s="1">
        <f>Comuni__2[[#This Row],[Popolazione2011]]/Comuni__2[[#This Row],[POPOLAZIONE TOTALE DI OGNI REGIONE (CON FILTRO)]]</f>
        <v>4.1971875707545485E-3</v>
      </c>
      <c r="H5658" t="str">
        <f>IF(Comuni__2[[#This Row],[Popolazione2011]]&gt;300000,"MAGGIORE","")</f>
        <v/>
      </c>
      <c r="J5658">
        <v>4</v>
      </c>
      <c r="K5658">
        <v>1078</v>
      </c>
      <c r="L5658">
        <v>146</v>
      </c>
    </row>
    <row r="5659" spans="1:12" x14ac:dyDescent="0.2">
      <c r="A5659"/>
      <c r="B5659"/>
      <c r="C5659"/>
      <c r="D5659"/>
      <c r="E5659" s="2">
        <f>Comuni__2[[#This Row],[Popolazione2011]]/$D$7911</f>
        <v>2.7768673103212071E-4</v>
      </c>
      <c r="F5659">
        <f>SUMIFS($D$2:$D$7909, $B$2:$B$7909, "Puglia")</f>
        <v>4050093</v>
      </c>
      <c r="G5659" s="1">
        <f>Comuni__2[[#This Row],[Popolazione2011]]/Comuni__2[[#This Row],[POPOLAZIONE TOTALE DI OGNI REGIONE (CON FILTRO)]]</f>
        <v>4.0742274313207132E-3</v>
      </c>
      <c r="H5659" t="str">
        <f>IF(Comuni__2[[#This Row],[Popolazione2011]]&gt;300000,"MAGGIORE","")</f>
        <v/>
      </c>
      <c r="J5659">
        <v>5</v>
      </c>
      <c r="K5659">
        <v>1078</v>
      </c>
      <c r="L5659">
        <v>146</v>
      </c>
    </row>
    <row r="5660" spans="1:12" x14ac:dyDescent="0.2">
      <c r="A5660"/>
      <c r="B5660"/>
      <c r="C5660"/>
      <c r="D5660"/>
      <c r="E5660" s="2">
        <f>Comuni__2[[#This Row],[Popolazione2011]]/$D$7911</f>
        <v>2.7331132650704036E-4</v>
      </c>
      <c r="F5660">
        <f>SUMIFS($D$2:$D$7909, $B$2:$B$7909, "Puglia")</f>
        <v>4050093</v>
      </c>
      <c r="G5660" s="1">
        <f>Comuni__2[[#This Row],[Popolazione2011]]/Comuni__2[[#This Row],[POPOLAZIONE TOTALE DI OGNI REGIONE (CON FILTRO)]]</f>
        <v>4.0100313745881884E-3</v>
      </c>
      <c r="H5660" t="str">
        <f>IF(Comuni__2[[#This Row],[Popolazione2011]]&gt;300000,"MAGGIORE","")</f>
        <v/>
      </c>
      <c r="J5660">
        <v>5</v>
      </c>
      <c r="K5660">
        <v>1079</v>
      </c>
      <c r="L5660">
        <v>146</v>
      </c>
    </row>
    <row r="5661" spans="1:12" x14ac:dyDescent="0.2">
      <c r="A5661"/>
      <c r="B5661"/>
      <c r="C5661"/>
      <c r="D5661"/>
      <c r="E5661" s="2">
        <f>Comuni__2[[#This Row],[Popolazione2011]]/$D$7911</f>
        <v>2.7013074398688576E-4</v>
      </c>
      <c r="F5661">
        <f>SUMIFS($D$2:$D$7909, $B$2:$B$7909, "Puglia")</f>
        <v>4050093</v>
      </c>
      <c r="G5661" s="1">
        <f>Comuni__2[[#This Row],[Popolazione2011]]/Comuni__2[[#This Row],[POPOLAZIONE TOTALE DI OGNI REGIONE (CON FILTRO)]]</f>
        <v>3.9633657795018536E-3</v>
      </c>
      <c r="H5661" t="str">
        <f>IF(Comuni__2[[#This Row],[Popolazione2011]]&gt;300000,"MAGGIORE","")</f>
        <v/>
      </c>
      <c r="J5661">
        <v>5</v>
      </c>
      <c r="K5661">
        <v>1081</v>
      </c>
      <c r="L5661">
        <v>146</v>
      </c>
    </row>
    <row r="5662" spans="1:12" x14ac:dyDescent="0.2">
      <c r="A5662"/>
      <c r="B5662"/>
      <c r="C5662"/>
      <c r="D5662"/>
      <c r="E5662" s="2">
        <f>Comuni__2[[#This Row],[Popolazione2011]]/$D$7911</f>
        <v>2.6802718411905865E-4</v>
      </c>
      <c r="F5662">
        <f>SUMIFS($D$2:$D$7909, $B$2:$B$7909, "Puglia")</f>
        <v>4050093</v>
      </c>
      <c r="G5662" s="1">
        <f>Comuni__2[[#This Row],[Popolazione2011]]/Comuni__2[[#This Row],[POPOLAZIONE TOTALE DI OGNI REGIONE (CON FILTRO)]]</f>
        <v>3.9325022906881394E-3</v>
      </c>
      <c r="H5662" t="str">
        <f>IF(Comuni__2[[#This Row],[Popolazione2011]]&gt;300000,"MAGGIORE","")</f>
        <v/>
      </c>
      <c r="J5662">
        <v>6</v>
      </c>
      <c r="K5662">
        <v>1081</v>
      </c>
      <c r="L5662">
        <v>146</v>
      </c>
    </row>
    <row r="5663" spans="1:12" x14ac:dyDescent="0.2">
      <c r="A5663"/>
      <c r="B5663"/>
      <c r="C5663"/>
      <c r="D5663"/>
      <c r="E5663" s="2">
        <f>Comuni__2[[#This Row],[Popolazione2011]]/$D$7911</f>
        <v>2.6750550127183754E-4</v>
      </c>
      <c r="F5663">
        <f>SUMIFS($D$2:$D$7909, $B$2:$B$7909, "Puglia")</f>
        <v>4050093</v>
      </c>
      <c r="G5663" s="1">
        <f>Comuni__2[[#This Row],[Popolazione2011]]/Comuni__2[[#This Row],[POPOLAZIONE TOTALE DI OGNI REGIONE (CON FILTRO)]]</f>
        <v>3.9248481454623391E-3</v>
      </c>
      <c r="H5663" t="str">
        <f>IF(Comuni__2[[#This Row],[Popolazione2011]]&gt;300000,"MAGGIORE","")</f>
        <v/>
      </c>
      <c r="J5663">
        <v>6</v>
      </c>
      <c r="K5663">
        <v>1082</v>
      </c>
      <c r="L5663">
        <v>146</v>
      </c>
    </row>
    <row r="5664" spans="1:12" x14ac:dyDescent="0.2">
      <c r="A5664"/>
      <c r="B5664"/>
      <c r="C5664"/>
      <c r="D5664"/>
      <c r="E5664" s="2">
        <f>Comuni__2[[#This Row],[Popolazione2011]]/$D$7911</f>
        <v>2.6511585726198597E-4</v>
      </c>
      <c r="F5664">
        <f>SUMIFS($D$2:$D$7909, $B$2:$B$7909, "Puglia")</f>
        <v>4050093</v>
      </c>
      <c r="G5664" s="1">
        <f>Comuni__2[[#This Row],[Popolazione2011]]/Comuni__2[[#This Row],[POPOLAZIONE TOTALE DI OGNI REGIONE (CON FILTRO)]]</f>
        <v>3.88978722216996E-3</v>
      </c>
      <c r="H5664" t="str">
        <f>IF(Comuni__2[[#This Row],[Popolazione2011]]&gt;300000,"MAGGIORE","")</f>
        <v/>
      </c>
      <c r="J5664">
        <v>4</v>
      </c>
      <c r="K5664">
        <v>1082</v>
      </c>
      <c r="L5664">
        <v>146</v>
      </c>
    </row>
    <row r="5665" spans="1:12" x14ac:dyDescent="0.2">
      <c r="A5665"/>
      <c r="B5665"/>
      <c r="C5665"/>
      <c r="D5665"/>
      <c r="E5665" s="2">
        <f>Comuni__2[[#This Row],[Popolazione2011]]/$D$7911</f>
        <v>2.6380323590446183E-4</v>
      </c>
      <c r="F5665">
        <f>SUMIFS($D$2:$D$7909, $B$2:$B$7909, "Puglia")</f>
        <v>4050093</v>
      </c>
      <c r="G5665" s="1">
        <f>Comuni__2[[#This Row],[Popolazione2011]]/Comuni__2[[#This Row],[POPOLAZIONE TOTALE DI OGNI REGIONE (CON FILTRO)]]</f>
        <v>3.8705284051502027E-3</v>
      </c>
      <c r="H5665" t="str">
        <f>IF(Comuni__2[[#This Row],[Popolazione2011]]&gt;300000,"MAGGIORE","")</f>
        <v/>
      </c>
      <c r="J5665">
        <v>3</v>
      </c>
      <c r="K5665">
        <v>1087</v>
      </c>
      <c r="L5665">
        <v>146</v>
      </c>
    </row>
    <row r="5666" spans="1:12" x14ac:dyDescent="0.2">
      <c r="A5666"/>
      <c r="B5666"/>
      <c r="C5666"/>
      <c r="D5666"/>
      <c r="E5666" s="2">
        <f>Comuni__2[[#This Row],[Popolazione2011]]/$D$7911</f>
        <v>2.5909126180052909E-4</v>
      </c>
      <c r="F5666">
        <f>SUMIFS($D$2:$D$7909, $B$2:$B$7909, "Puglia")</f>
        <v>4050093</v>
      </c>
      <c r="G5666" s="1">
        <f>Comuni__2[[#This Row],[Popolazione2011]]/Comuni__2[[#This Row],[POPOLAZIONE TOTALE DI OGNI REGIONE (CON FILTRO)]]</f>
        <v>3.8013941902074839E-3</v>
      </c>
      <c r="H5666" t="str">
        <f>IF(Comuni__2[[#This Row],[Popolazione2011]]&gt;300000,"MAGGIORE","")</f>
        <v/>
      </c>
      <c r="J5666">
        <v>4</v>
      </c>
      <c r="K5666">
        <v>1087</v>
      </c>
      <c r="L5666">
        <v>146</v>
      </c>
    </row>
    <row r="5667" spans="1:12" x14ac:dyDescent="0.2">
      <c r="A5667"/>
      <c r="B5667"/>
      <c r="C5667"/>
      <c r="D5667"/>
      <c r="E5667" s="2">
        <f>Comuni__2[[#This Row],[Popolazione2011]]/$D$7911</f>
        <v>2.5740841390626743E-4</v>
      </c>
      <c r="F5667">
        <f>SUMIFS($D$2:$D$7909, $B$2:$B$7909, "Puglia")</f>
        <v>4050093</v>
      </c>
      <c r="G5667" s="1">
        <f>Comuni__2[[#This Row],[Popolazione2011]]/Comuni__2[[#This Row],[POPOLAZIONE TOTALE DI OGNI REGIONE (CON FILTRO)]]</f>
        <v>3.7767033991565131E-3</v>
      </c>
      <c r="H5667" t="str">
        <f>IF(Comuni__2[[#This Row],[Popolazione2011]]&gt;300000,"MAGGIORE","")</f>
        <v/>
      </c>
      <c r="J5667">
        <v>4</v>
      </c>
      <c r="K5667">
        <v>1080</v>
      </c>
      <c r="L5667">
        <v>146</v>
      </c>
    </row>
    <row r="5668" spans="1:12" x14ac:dyDescent="0.2">
      <c r="A5668"/>
      <c r="B5668"/>
      <c r="C5668"/>
      <c r="D5668"/>
      <c r="E5668" s="2">
        <f>Comuni__2[[#This Row],[Popolazione2011]]/$D$7911</f>
        <v>2.5626407733816948E-4</v>
      </c>
      <c r="F5668">
        <f>SUMIFS($D$2:$D$7909, $B$2:$B$7909, "Puglia")</f>
        <v>4050093</v>
      </c>
      <c r="G5668" s="1">
        <f>Comuni__2[[#This Row],[Popolazione2011]]/Comuni__2[[#This Row],[POPOLAZIONE TOTALE DI OGNI REGIONE (CON FILTRO)]]</f>
        <v>3.7599136612418531E-3</v>
      </c>
      <c r="H5668" t="str">
        <f>IF(Comuni__2[[#This Row],[Popolazione2011]]&gt;300000,"MAGGIORE","")</f>
        <v/>
      </c>
      <c r="J5668">
        <v>3</v>
      </c>
      <c r="K5668">
        <v>1085</v>
      </c>
      <c r="L5668">
        <v>146</v>
      </c>
    </row>
    <row r="5669" spans="1:12" x14ac:dyDescent="0.2">
      <c r="A5669"/>
      <c r="B5669"/>
      <c r="C5669"/>
      <c r="D5669"/>
      <c r="E5669" s="2">
        <f>Comuni__2[[#This Row],[Popolazione2011]]/$D$7911</f>
        <v>2.531844656916706E-4</v>
      </c>
      <c r="F5669">
        <f>SUMIFS($D$2:$D$7909, $B$2:$B$7909, "Puglia")</f>
        <v>4050093</v>
      </c>
      <c r="G5669" s="1">
        <f>Comuni__2[[#This Row],[Popolazione2011]]/Comuni__2[[#This Row],[POPOLAZIONE TOTALE DI OGNI REGIONE (CON FILTRO)]]</f>
        <v>3.714729513618576E-3</v>
      </c>
      <c r="H5669" t="str">
        <f>IF(Comuni__2[[#This Row],[Popolazione2011]]&gt;300000,"MAGGIORE","")</f>
        <v/>
      </c>
      <c r="J5669">
        <v>3</v>
      </c>
      <c r="K5669">
        <v>1087</v>
      </c>
      <c r="L5669">
        <v>146</v>
      </c>
    </row>
    <row r="5670" spans="1:12" x14ac:dyDescent="0.2">
      <c r="A5670"/>
      <c r="B5670"/>
      <c r="C5670"/>
      <c r="D5670"/>
      <c r="E5670" s="2">
        <f>Comuni__2[[#This Row],[Popolazione2011]]/$D$7911</f>
        <v>2.4988608381891768E-4</v>
      </c>
      <c r="F5670">
        <f>SUMIFS($D$2:$D$7909, $B$2:$B$7909, "Puglia")</f>
        <v>4050093</v>
      </c>
      <c r="G5670" s="1">
        <f>Comuni__2[[#This Row],[Popolazione2011]]/Comuni__2[[#This Row],[POPOLAZIONE TOTALE DI OGNI REGIONE (CON FILTRO)]]</f>
        <v>3.6663355631586731E-3</v>
      </c>
      <c r="H5670" t="str">
        <f>IF(Comuni__2[[#This Row],[Popolazione2011]]&gt;300000,"MAGGIORE","")</f>
        <v/>
      </c>
      <c r="J5670">
        <v>3</v>
      </c>
      <c r="K5670">
        <v>1087</v>
      </c>
      <c r="L5670">
        <v>146</v>
      </c>
    </row>
    <row r="5671" spans="1:12" x14ac:dyDescent="0.2">
      <c r="A5671"/>
      <c r="B5671"/>
      <c r="C5671"/>
      <c r="D5671"/>
      <c r="E5671" s="2">
        <f>Comuni__2[[#This Row],[Popolazione2011]]/$D$7911</f>
        <v>2.4938122945063917E-4</v>
      </c>
      <c r="F5671">
        <f>SUMIFS($D$2:$D$7909, $B$2:$B$7909, "Puglia")</f>
        <v>4050093</v>
      </c>
      <c r="G5671" s="1">
        <f>Comuni__2[[#This Row],[Popolazione2011]]/Comuni__2[[#This Row],[POPOLAZIONE TOTALE DI OGNI REGIONE (CON FILTRO)]]</f>
        <v>3.6589283258433819E-3</v>
      </c>
      <c r="H5671" t="str">
        <f>IF(Comuni__2[[#This Row],[Popolazione2011]]&gt;300000,"MAGGIORE","")</f>
        <v/>
      </c>
      <c r="J5671">
        <v>3</v>
      </c>
      <c r="K5671">
        <v>1087</v>
      </c>
      <c r="L5671">
        <v>146</v>
      </c>
    </row>
    <row r="5672" spans="1:12" x14ac:dyDescent="0.2">
      <c r="A5672"/>
      <c r="B5672"/>
      <c r="C5672"/>
      <c r="D5672"/>
      <c r="E5672" s="2">
        <f>Comuni__2[[#This Row],[Popolazione2011]]/$D$7911</f>
        <v>2.437100320469773E-4</v>
      </c>
      <c r="F5672">
        <f>SUMIFS($D$2:$D$7909, $B$2:$B$7909, "Puglia")</f>
        <v>4050093</v>
      </c>
      <c r="G5672" s="1">
        <f>Comuni__2[[#This Row],[Popolazione2011]]/Comuni__2[[#This Row],[POPOLAZIONE TOTALE DI OGNI REGIONE (CON FILTRO)]]</f>
        <v>3.5757203600016098E-3</v>
      </c>
      <c r="H5672" t="str">
        <f>IF(Comuni__2[[#This Row],[Popolazione2011]]&gt;300000,"MAGGIORE","")</f>
        <v/>
      </c>
      <c r="J5672">
        <v>3</v>
      </c>
      <c r="K5672">
        <v>1089</v>
      </c>
      <c r="L5672">
        <v>146</v>
      </c>
    </row>
    <row r="5673" spans="1:12" x14ac:dyDescent="0.2">
      <c r="A5673"/>
      <c r="B5673"/>
      <c r="C5673"/>
      <c r="D5673"/>
      <c r="E5673" s="2">
        <f>Comuni__2[[#This Row],[Popolazione2011]]/$D$7911</f>
        <v>2.407145627951915E-4</v>
      </c>
      <c r="F5673">
        <f>SUMIFS($D$2:$D$7909, $B$2:$B$7909, "Puglia")</f>
        <v>4050093</v>
      </c>
      <c r="G5673" s="1">
        <f>Comuni__2[[#This Row],[Popolazione2011]]/Comuni__2[[#This Row],[POPOLAZIONE TOTALE DI OGNI REGIONE (CON FILTRO)]]</f>
        <v>3.5317707519308818E-3</v>
      </c>
      <c r="H5673" t="str">
        <f>IF(Comuni__2[[#This Row],[Popolazione2011]]&gt;300000,"MAGGIORE","")</f>
        <v/>
      </c>
      <c r="J5673">
        <v>4</v>
      </c>
      <c r="K5673">
        <v>1093</v>
      </c>
      <c r="L5673">
        <v>146</v>
      </c>
    </row>
    <row r="5674" spans="1:12" x14ac:dyDescent="0.2">
      <c r="A5674"/>
      <c r="B5674"/>
      <c r="C5674"/>
      <c r="D5674"/>
      <c r="E5674" s="2">
        <f>Comuni__2[[#This Row],[Popolazione2011]]/$D$7911</f>
        <v>2.4052944952682271E-4</v>
      </c>
      <c r="F5674">
        <f>SUMIFS($D$2:$D$7909, $B$2:$B$7909, "Puglia")</f>
        <v>4050093</v>
      </c>
      <c r="G5674" s="1">
        <f>Comuni__2[[#This Row],[Popolazione2011]]/Comuni__2[[#This Row],[POPOLAZIONE TOTALE DI OGNI REGIONE (CON FILTRO)]]</f>
        <v>3.5290547649152746E-3</v>
      </c>
      <c r="H5674" t="str">
        <f>IF(Comuni__2[[#This Row],[Popolazione2011]]&gt;300000,"MAGGIORE","")</f>
        <v/>
      </c>
      <c r="J5674">
        <v>6</v>
      </c>
      <c r="K5674">
        <v>1093</v>
      </c>
      <c r="L5674">
        <v>146</v>
      </c>
    </row>
    <row r="5675" spans="1:12" x14ac:dyDescent="0.2">
      <c r="A5675"/>
      <c r="B5675"/>
      <c r="C5675"/>
      <c r="D5675"/>
      <c r="E5675" s="2">
        <f>Comuni__2[[#This Row],[Popolazione2011]]/$D$7911</f>
        <v>2.4026019386374085E-4</v>
      </c>
      <c r="F5675">
        <f>SUMIFS($D$2:$D$7909, $B$2:$B$7909, "Puglia")</f>
        <v>4050093</v>
      </c>
      <c r="G5675" s="1">
        <f>Comuni__2[[#This Row],[Popolazione2011]]/Comuni__2[[#This Row],[POPOLAZIONE TOTALE DI OGNI REGIONE (CON FILTRO)]]</f>
        <v>3.5251042383471196E-3</v>
      </c>
      <c r="H5675" t="str">
        <f>IF(Comuni__2[[#This Row],[Popolazione2011]]&gt;300000,"MAGGIORE","")</f>
        <v/>
      </c>
      <c r="J5675">
        <v>7</v>
      </c>
      <c r="K5675">
        <v>1100</v>
      </c>
      <c r="L5675">
        <v>146</v>
      </c>
    </row>
    <row r="5676" spans="1:12" x14ac:dyDescent="0.2">
      <c r="A5676"/>
      <c r="B5676"/>
      <c r="C5676"/>
      <c r="D5676"/>
      <c r="E5676" s="2">
        <f>Comuni__2[[#This Row],[Popolazione2011]]/$D$7911</f>
        <v>2.4014239451114252E-4</v>
      </c>
      <c r="F5676">
        <f>SUMIFS($D$2:$D$7909, $B$2:$B$7909, "Puglia")</f>
        <v>4050093</v>
      </c>
      <c r="G5676" s="1">
        <f>Comuni__2[[#This Row],[Popolazione2011]]/Comuni__2[[#This Row],[POPOLAZIONE TOTALE DI OGNI REGIONE (CON FILTRO)]]</f>
        <v>3.5233758829735515E-3</v>
      </c>
      <c r="H5676" t="str">
        <f>IF(Comuni__2[[#This Row],[Popolazione2011]]&gt;300000,"MAGGIORE","")</f>
        <v/>
      </c>
      <c r="J5676">
        <v>8</v>
      </c>
      <c r="K5676">
        <v>1103</v>
      </c>
      <c r="L5676">
        <v>146</v>
      </c>
    </row>
    <row r="5677" spans="1:12" x14ac:dyDescent="0.2">
      <c r="A5677"/>
      <c r="B5677"/>
      <c r="C5677"/>
      <c r="D5677"/>
      <c r="E5677" s="2">
        <f>Comuni__2[[#This Row],[Popolazione2011]]/$D$7911</f>
        <v>2.3926731360612646E-4</v>
      </c>
      <c r="F5677">
        <f>SUMIFS($D$2:$D$7909, $B$2:$B$7909, "Puglia")</f>
        <v>4050093</v>
      </c>
      <c r="G5677" s="1">
        <f>Comuni__2[[#This Row],[Popolazione2011]]/Comuni__2[[#This Row],[POPOLAZIONE TOTALE DI OGNI REGIONE (CON FILTRO)]]</f>
        <v>3.5105366716270464E-3</v>
      </c>
      <c r="H5677" t="str">
        <f>IF(Comuni__2[[#This Row],[Popolazione2011]]&gt;300000,"MAGGIORE","")</f>
        <v/>
      </c>
      <c r="J5677">
        <v>7</v>
      </c>
      <c r="K5677">
        <v>1105</v>
      </c>
      <c r="L5677">
        <v>146</v>
      </c>
    </row>
    <row r="5678" spans="1:12" x14ac:dyDescent="0.2">
      <c r="A5678"/>
      <c r="B5678"/>
      <c r="C5678"/>
      <c r="D5678"/>
      <c r="E5678" s="2">
        <f>Comuni__2[[#This Row],[Popolazione2011]]/$D$7911</f>
        <v>2.3886343011150364E-4</v>
      </c>
      <c r="F5678">
        <f>SUMIFS($D$2:$D$7909, $B$2:$B$7909, "Puglia")</f>
        <v>4050093</v>
      </c>
      <c r="G5678" s="1">
        <f>Comuni__2[[#This Row],[Popolazione2011]]/Comuni__2[[#This Row],[POPOLAZIONE TOTALE DI OGNI REGIONE (CON FILTRO)]]</f>
        <v>3.5046108817748138E-3</v>
      </c>
      <c r="H5678" t="str">
        <f>IF(Comuni__2[[#This Row],[Popolazione2011]]&gt;300000,"MAGGIORE","")</f>
        <v/>
      </c>
      <c r="J5678">
        <v>6</v>
      </c>
      <c r="K5678">
        <v>1106</v>
      </c>
      <c r="L5678">
        <v>146</v>
      </c>
    </row>
    <row r="5679" spans="1:12" x14ac:dyDescent="0.2">
      <c r="A5679"/>
      <c r="B5679"/>
      <c r="C5679"/>
      <c r="D5679"/>
      <c r="E5679" s="2">
        <f>Comuni__2[[#This Row],[Popolazione2011]]/$D$7911</f>
        <v>2.383080903063973E-4</v>
      </c>
      <c r="F5679">
        <f>SUMIFS($D$2:$D$7909, $B$2:$B$7909, "Puglia")</f>
        <v>4050093</v>
      </c>
      <c r="G5679" s="1">
        <f>Comuni__2[[#This Row],[Popolazione2011]]/Comuni__2[[#This Row],[POPOLAZIONE TOTALE DI OGNI REGIONE (CON FILTRO)]]</f>
        <v>3.4964629207279931E-3</v>
      </c>
      <c r="H5679" t="str">
        <f>IF(Comuni__2[[#This Row],[Popolazione2011]]&gt;300000,"MAGGIORE","")</f>
        <v/>
      </c>
      <c r="J5679">
        <v>7</v>
      </c>
      <c r="K5679">
        <v>1107</v>
      </c>
      <c r="L5679">
        <v>146</v>
      </c>
    </row>
    <row r="5680" spans="1:12" x14ac:dyDescent="0.2">
      <c r="A5680"/>
      <c r="B5680"/>
      <c r="C5680"/>
      <c r="D5680"/>
      <c r="E5680" s="2">
        <f>Comuni__2[[#This Row],[Popolazione2011]]/$D$7911</f>
        <v>2.3675987024367653E-4</v>
      </c>
      <c r="F5680">
        <f>SUMIFS($D$2:$D$7909, $B$2:$B$7909, "Puglia")</f>
        <v>4050093</v>
      </c>
      <c r="G5680" s="1">
        <f>Comuni__2[[#This Row],[Popolazione2011]]/Comuni__2[[#This Row],[POPOLAZIONE TOTALE DI OGNI REGIONE (CON FILTRO)]]</f>
        <v>3.4737473929611E-3</v>
      </c>
      <c r="H5680" t="str">
        <f>IF(Comuni__2[[#This Row],[Popolazione2011]]&gt;300000,"MAGGIORE","")</f>
        <v/>
      </c>
      <c r="J5680">
        <v>6</v>
      </c>
      <c r="K5680">
        <v>1112</v>
      </c>
      <c r="L5680">
        <v>146</v>
      </c>
    </row>
    <row r="5681" spans="1:12" x14ac:dyDescent="0.2">
      <c r="A5681"/>
      <c r="B5681"/>
      <c r="C5681"/>
      <c r="D5681"/>
      <c r="E5681" s="2">
        <f>Comuni__2[[#This Row],[Popolazione2011]]/$D$7911</f>
        <v>2.3516116474412793E-4</v>
      </c>
      <c r="F5681">
        <f>SUMIFS($D$2:$D$7909, $B$2:$B$7909, "Puglia")</f>
        <v>4050093</v>
      </c>
      <c r="G5681" s="1">
        <f>Comuni__2[[#This Row],[Popolazione2011]]/Comuni__2[[#This Row],[POPOLAZIONE TOTALE DI OGNI REGIONE (CON FILTRO)]]</f>
        <v>3.4502911414626774E-3</v>
      </c>
      <c r="H5681" t="str">
        <f>IF(Comuni__2[[#This Row],[Popolazione2011]]&gt;300000,"MAGGIORE","")</f>
        <v/>
      </c>
      <c r="J5681">
        <v>5</v>
      </c>
      <c r="K5681">
        <v>1113</v>
      </c>
      <c r="L5681">
        <v>146</v>
      </c>
    </row>
    <row r="5682" spans="1:12" x14ac:dyDescent="0.2">
      <c r="A5682"/>
      <c r="B5682"/>
      <c r="C5682"/>
      <c r="D5682"/>
      <c r="E5682" s="2">
        <f>Comuni__2[[#This Row],[Popolazione2011]]/$D$7911</f>
        <v>2.3418511296545617E-4</v>
      </c>
      <c r="F5682">
        <f>SUMIFS($D$2:$D$7909, $B$2:$B$7909, "Puglia")</f>
        <v>4050093</v>
      </c>
      <c r="G5682" s="1">
        <f>Comuni__2[[#This Row],[Popolazione2011]]/Comuni__2[[#This Row],[POPOLAZIONE TOTALE DI OGNI REGIONE (CON FILTRO)]]</f>
        <v>3.4359704826531145E-3</v>
      </c>
      <c r="H5682" t="str">
        <f>IF(Comuni__2[[#This Row],[Popolazione2011]]&gt;300000,"MAGGIORE","")</f>
        <v/>
      </c>
      <c r="J5682">
        <v>5</v>
      </c>
      <c r="K5682">
        <v>1116</v>
      </c>
      <c r="L5682">
        <v>146</v>
      </c>
    </row>
    <row r="5683" spans="1:12" x14ac:dyDescent="0.2">
      <c r="A5683"/>
      <c r="B5683"/>
      <c r="C5683"/>
      <c r="D5683"/>
      <c r="E5683" s="2">
        <f>Comuni__2[[#This Row],[Popolazione2011]]/$D$7911</f>
        <v>2.3359611620246457E-4</v>
      </c>
      <c r="F5683">
        <f>SUMIFS($D$2:$D$7909, $B$2:$B$7909, "Puglia")</f>
        <v>4050093</v>
      </c>
      <c r="G5683" s="1">
        <f>Comuni__2[[#This Row],[Popolazione2011]]/Comuni__2[[#This Row],[POPOLAZIONE TOTALE DI OGNI REGIONE (CON FILTRO)]]</f>
        <v>3.4273287057852747E-3</v>
      </c>
      <c r="H5683" t="str">
        <f>IF(Comuni__2[[#This Row],[Popolazione2011]]&gt;300000,"MAGGIORE","")</f>
        <v/>
      </c>
      <c r="J5683">
        <v>6</v>
      </c>
      <c r="K5683">
        <v>1117</v>
      </c>
      <c r="L5683">
        <v>146</v>
      </c>
    </row>
    <row r="5684" spans="1:12" x14ac:dyDescent="0.2">
      <c r="A5684"/>
      <c r="B5684"/>
      <c r="C5684"/>
      <c r="D5684"/>
      <c r="E5684" s="2">
        <f>Comuni__2[[#This Row],[Popolazione2011]]/$D$7911</f>
        <v>2.2832880229342549E-4</v>
      </c>
      <c r="F5684">
        <f>SUMIFS($D$2:$D$7909, $B$2:$B$7909, "Puglia")</f>
        <v>4050093</v>
      </c>
      <c r="G5684" s="1">
        <f>Comuni__2[[#This Row],[Popolazione2011]]/Comuni__2[[#This Row],[POPOLAZIONE TOTALE DI OGNI REGIONE (CON FILTRO)]]</f>
        <v>3.3500465297957357E-3</v>
      </c>
      <c r="H5684" t="str">
        <f>IF(Comuni__2[[#This Row],[Popolazione2011]]&gt;300000,"MAGGIORE","")</f>
        <v/>
      </c>
      <c r="J5684">
        <v>9</v>
      </c>
      <c r="K5684">
        <v>1120</v>
      </c>
      <c r="L5684">
        <v>146</v>
      </c>
    </row>
    <row r="5685" spans="1:12" x14ac:dyDescent="0.2">
      <c r="A5685"/>
      <c r="B5685"/>
      <c r="C5685"/>
      <c r="D5685"/>
      <c r="E5685" s="2">
        <f>Comuni__2[[#This Row],[Popolazione2011]]/$D$7911</f>
        <v>2.2609061459405745E-4</v>
      </c>
      <c r="F5685">
        <f>SUMIFS($D$2:$D$7909, $B$2:$B$7909, "Puglia")</f>
        <v>4050093</v>
      </c>
      <c r="G5685" s="1">
        <f>Comuni__2[[#This Row],[Popolazione2011]]/Comuni__2[[#This Row],[POPOLAZIONE TOTALE DI OGNI REGIONE (CON FILTRO)]]</f>
        <v>3.3172077776979442E-3</v>
      </c>
      <c r="H5685" t="str">
        <f>IF(Comuni__2[[#This Row],[Popolazione2011]]&gt;300000,"MAGGIORE","")</f>
        <v/>
      </c>
      <c r="J5685">
        <v>11</v>
      </c>
      <c r="K5685">
        <v>1121</v>
      </c>
      <c r="L5685">
        <v>146</v>
      </c>
    </row>
    <row r="5686" spans="1:12" x14ac:dyDescent="0.2">
      <c r="A5686"/>
      <c r="B5686"/>
      <c r="C5686"/>
      <c r="D5686"/>
      <c r="E5686" s="2">
        <f>Comuni__2[[#This Row],[Popolazione2011]]/$D$7911</f>
        <v>2.233307440474683E-4</v>
      </c>
      <c r="F5686">
        <f>SUMIFS($D$2:$D$7909, $B$2:$B$7909, "Puglia")</f>
        <v>4050093</v>
      </c>
      <c r="G5686" s="1">
        <f>Comuni__2[[#This Row],[Popolazione2011]]/Comuni__2[[#This Row],[POPOLAZIONE TOTALE DI OGNI REGIONE (CON FILTRO)]]</f>
        <v>3.276714880374352E-3</v>
      </c>
      <c r="H5686" t="str">
        <f>IF(Comuni__2[[#This Row],[Popolazione2011]]&gt;300000,"MAGGIORE","")</f>
        <v/>
      </c>
      <c r="J5686">
        <v>12</v>
      </c>
      <c r="K5686">
        <v>1125</v>
      </c>
      <c r="L5686">
        <v>146</v>
      </c>
    </row>
    <row r="5687" spans="1:12" x14ac:dyDescent="0.2">
      <c r="A5687"/>
      <c r="B5687"/>
      <c r="C5687"/>
      <c r="D5687"/>
      <c r="E5687" s="2">
        <f>Comuni__2[[#This Row],[Popolazione2011]]/$D$7911</f>
        <v>2.2041941719039558E-4</v>
      </c>
      <c r="F5687">
        <f>SUMIFS($D$2:$D$7909, $B$2:$B$7909, "Puglia")</f>
        <v>4050093</v>
      </c>
      <c r="G5687" s="1">
        <f>Comuni__2[[#This Row],[Popolazione2011]]/Comuni__2[[#This Row],[POPOLAZIONE TOTALE DI OGNI REGIONE (CON FILTRO)]]</f>
        <v>3.2339998118561721E-3</v>
      </c>
      <c r="H5687" t="str">
        <f>IF(Comuni__2[[#This Row],[Popolazione2011]]&gt;300000,"MAGGIORE","")</f>
        <v/>
      </c>
      <c r="J5687">
        <v>14</v>
      </c>
      <c r="K5687">
        <v>1125</v>
      </c>
      <c r="L5687">
        <v>146</v>
      </c>
    </row>
    <row r="5688" spans="1:12" x14ac:dyDescent="0.2">
      <c r="A5688"/>
      <c r="B5688"/>
      <c r="C5688"/>
      <c r="D5688"/>
      <c r="E5688" s="2">
        <f>Comuni__2[[#This Row],[Popolazione2011]]/$D$7911</f>
        <v>2.177605175174621E-4</v>
      </c>
      <c r="F5688">
        <f>SUMIFS($D$2:$D$7909, $B$2:$B$7909, "Puglia")</f>
        <v>4050093</v>
      </c>
      <c r="G5688" s="1">
        <f>Comuni__2[[#This Row],[Popolazione2011]]/Comuni__2[[#This Row],[POPOLAZIONE TOTALE DI OGNI REGIONE (CON FILTRO)]]</f>
        <v>3.1949883619956381E-3</v>
      </c>
      <c r="H5688" t="str">
        <f>IF(Comuni__2[[#This Row],[Popolazione2011]]&gt;300000,"MAGGIORE","")</f>
        <v/>
      </c>
      <c r="J5688">
        <v>16</v>
      </c>
      <c r="K5688">
        <v>1125</v>
      </c>
      <c r="L5688">
        <v>146</v>
      </c>
    </row>
    <row r="5689" spans="1:12" x14ac:dyDescent="0.2">
      <c r="A5689"/>
      <c r="B5689"/>
      <c r="C5689"/>
      <c r="D5689"/>
      <c r="E5689" s="2">
        <f>Comuni__2[[#This Row],[Popolazione2011]]/$D$7911</f>
        <v>2.1452944956047967E-4</v>
      </c>
      <c r="F5689">
        <f>SUMIFS($D$2:$D$7909, $B$2:$B$7909, "Puglia")</f>
        <v>4050093</v>
      </c>
      <c r="G5689" s="1">
        <f>Comuni__2[[#This Row],[Popolazione2011]]/Comuni__2[[#This Row],[POPOLAZIONE TOTALE DI OGNI REGIONE (CON FILTRO)]]</f>
        <v>3.1475820431777738E-3</v>
      </c>
      <c r="H5689" t="str">
        <f>IF(Comuni__2[[#This Row],[Popolazione2011]]&gt;300000,"MAGGIORE","")</f>
        <v/>
      </c>
      <c r="J5689">
        <v>17</v>
      </c>
      <c r="K5689">
        <v>1127</v>
      </c>
      <c r="L5689">
        <v>146</v>
      </c>
    </row>
    <row r="5690" spans="1:12" x14ac:dyDescent="0.2">
      <c r="A5690"/>
      <c r="B5690"/>
      <c r="C5690"/>
      <c r="D5690"/>
      <c r="E5690" s="2">
        <f>Comuni__2[[#This Row],[Popolazione2011]]/$D$7911</f>
        <v>2.1276245927150491E-4</v>
      </c>
      <c r="F5690">
        <f>SUMIFS($D$2:$D$7909, $B$2:$B$7909, "Puglia")</f>
        <v>4050093</v>
      </c>
      <c r="G5690" s="1">
        <f>Comuni__2[[#This Row],[Popolazione2011]]/Comuni__2[[#This Row],[POPOLAZIONE TOTALE DI OGNI REGIONE (CON FILTRO)]]</f>
        <v>3.1216567125742544E-3</v>
      </c>
      <c r="H5690" t="str">
        <f>IF(Comuni__2[[#This Row],[Popolazione2011]]&gt;300000,"MAGGIORE","")</f>
        <v/>
      </c>
      <c r="J5690">
        <v>17</v>
      </c>
      <c r="K5690">
        <v>1132</v>
      </c>
      <c r="L5690">
        <v>146</v>
      </c>
    </row>
    <row r="5691" spans="1:12" x14ac:dyDescent="0.2">
      <c r="A5691"/>
      <c r="B5691"/>
      <c r="C5691"/>
      <c r="D5691"/>
      <c r="E5691" s="2">
        <f>Comuni__2[[#This Row],[Popolazione2011]]/$D$7911</f>
        <v>2.1022135895116975E-4</v>
      </c>
      <c r="F5691">
        <f>SUMIFS($D$2:$D$7909, $B$2:$B$7909, "Puglia")</f>
        <v>4050093</v>
      </c>
      <c r="G5691" s="1">
        <f>Comuni__2[[#This Row],[Popolazione2011]]/Comuni__2[[#This Row],[POPOLAZIONE TOTALE DI OGNI REGIONE (CON FILTRO)]]</f>
        <v>3.0843736180872884E-3</v>
      </c>
      <c r="H5691" t="str">
        <f>IF(Comuni__2[[#This Row],[Popolazione2011]]&gt;300000,"MAGGIORE","")</f>
        <v/>
      </c>
      <c r="J5691">
        <v>19</v>
      </c>
      <c r="K5691">
        <v>1134</v>
      </c>
      <c r="L5691">
        <v>146</v>
      </c>
    </row>
    <row r="5692" spans="1:12" x14ac:dyDescent="0.2">
      <c r="A5692"/>
      <c r="B5692"/>
      <c r="C5692"/>
      <c r="D5692"/>
      <c r="E5692" s="2">
        <f>Comuni__2[[#This Row],[Popolazione2011]]/$D$7911</f>
        <v>2.0518964374732733E-4</v>
      </c>
      <c r="F5692">
        <f>SUMIFS($D$2:$D$7909, $B$2:$B$7909, "Puglia")</f>
        <v>4050093</v>
      </c>
      <c r="G5692" s="1">
        <f>Comuni__2[[#This Row],[Popolazione2011]]/Comuni__2[[#This Row],[POPOLAZIONE TOTALE DI OGNI REGIONE (CON FILTRO)]]</f>
        <v>3.0105481528448852E-3</v>
      </c>
      <c r="H5692" t="str">
        <f>IF(Comuni__2[[#This Row],[Popolazione2011]]&gt;300000,"MAGGIORE","")</f>
        <v/>
      </c>
      <c r="J5692">
        <v>22</v>
      </c>
      <c r="K5692">
        <v>1137</v>
      </c>
      <c r="L5692">
        <v>146</v>
      </c>
    </row>
    <row r="5693" spans="1:12" x14ac:dyDescent="0.2">
      <c r="A5693"/>
      <c r="B5693"/>
      <c r="C5693"/>
      <c r="D5693"/>
      <c r="E5693" s="2">
        <f>Comuni__2[[#This Row],[Popolazione2011]]/$D$7911</f>
        <v>2.0355728128989349E-4</v>
      </c>
      <c r="F5693">
        <f>SUMIFS($D$2:$D$7909, $B$2:$B$7909, "Puglia")</f>
        <v>4050093</v>
      </c>
      <c r="G5693" s="1">
        <f>Comuni__2[[#This Row],[Popolazione2011]]/Comuni__2[[#This Row],[POPOLAZIONE TOTALE DI OGNI REGIONE (CON FILTRO)]]</f>
        <v>2.9865980855254435E-3</v>
      </c>
      <c r="H5693" t="str">
        <f>IF(Comuni__2[[#This Row],[Popolazione2011]]&gt;300000,"MAGGIORE","")</f>
        <v/>
      </c>
      <c r="J5693">
        <v>30</v>
      </c>
      <c r="K5693">
        <v>1142</v>
      </c>
      <c r="L5693">
        <v>146</v>
      </c>
    </row>
    <row r="5694" spans="1:12" x14ac:dyDescent="0.2">
      <c r="A5694"/>
      <c r="B5694"/>
      <c r="C5694"/>
      <c r="D5694"/>
      <c r="E5694" s="2">
        <f>Comuni__2[[#This Row],[Popolazione2011]]/$D$7911</f>
        <v>2.0195857579034489E-4</v>
      </c>
      <c r="F5694">
        <f>SUMIFS($D$2:$D$7909, $B$2:$B$7909, "Puglia")</f>
        <v>4050093</v>
      </c>
      <c r="G5694" s="1">
        <f>Comuni__2[[#This Row],[Popolazione2011]]/Comuni__2[[#This Row],[POPOLAZIONE TOTALE DI OGNI REGIONE (CON FILTRO)]]</f>
        <v>2.9631418340270209E-3</v>
      </c>
      <c r="H5694" t="str">
        <f>IF(Comuni__2[[#This Row],[Popolazione2011]]&gt;300000,"MAGGIORE","")</f>
        <v/>
      </c>
      <c r="J5694">
        <v>41</v>
      </c>
      <c r="K5694">
        <v>1150</v>
      </c>
      <c r="L5694">
        <v>146</v>
      </c>
    </row>
    <row r="5695" spans="1:12" x14ac:dyDescent="0.2">
      <c r="A5695"/>
      <c r="B5695"/>
      <c r="C5695"/>
      <c r="D5695"/>
      <c r="E5695" s="2">
        <f>Comuni__2[[#This Row],[Popolazione2011]]/$D$7911</f>
        <v>2.0047766964339459E-4</v>
      </c>
      <c r="F5695">
        <f>SUMIFS($D$2:$D$7909, $B$2:$B$7909, "Puglia")</f>
        <v>4050093</v>
      </c>
      <c r="G5695" s="1">
        <f>Comuni__2[[#This Row],[Popolazione2011]]/Comuni__2[[#This Row],[POPOLAZIONE TOTALE DI OGNI REGIONE (CON FILTRO)]]</f>
        <v>2.9414139379021669E-3</v>
      </c>
      <c r="H5695" t="str">
        <f>IF(Comuni__2[[#This Row],[Popolazione2011]]&gt;300000,"MAGGIORE","")</f>
        <v/>
      </c>
      <c r="J5695">
        <v>47</v>
      </c>
      <c r="K5695">
        <v>1155</v>
      </c>
      <c r="L5695">
        <v>146</v>
      </c>
    </row>
    <row r="5696" spans="1:12" x14ac:dyDescent="0.2">
      <c r="A5696"/>
      <c r="B5696"/>
      <c r="C5696"/>
      <c r="D5696"/>
      <c r="E5696" s="2">
        <f>Comuni__2[[#This Row],[Popolazione2011]]/$D$7911</f>
        <v>1.9855922304393627E-4</v>
      </c>
      <c r="F5696">
        <f>SUMIFS($D$2:$D$7909, $B$2:$B$7909, "Puglia")</f>
        <v>4050093</v>
      </c>
      <c r="G5696" s="1">
        <f>Comuni__2[[#This Row],[Popolazione2011]]/Comuni__2[[#This Row],[POPOLAZIONE TOTALE DI OGNI REGIONE (CON FILTRO)]]</f>
        <v>2.9132664361040598E-3</v>
      </c>
      <c r="H5696" t="str">
        <f>IF(Comuni__2[[#This Row],[Popolazione2011]]&gt;300000,"MAGGIORE","")</f>
        <v/>
      </c>
      <c r="J5696">
        <v>51</v>
      </c>
      <c r="K5696">
        <v>1165</v>
      </c>
      <c r="L5696">
        <v>149</v>
      </c>
    </row>
    <row r="5697" spans="1:12" x14ac:dyDescent="0.2">
      <c r="A5697"/>
      <c r="B5697"/>
      <c r="C5697"/>
      <c r="D5697"/>
      <c r="E5697" s="2">
        <f>Comuni__2[[#This Row],[Popolazione2011]]/$D$7911</f>
        <v>1.9765048518103498E-4</v>
      </c>
      <c r="F5697">
        <f>SUMIFS($D$2:$D$7909, $B$2:$B$7909, "Puglia")</f>
        <v>4050093</v>
      </c>
      <c r="G5697" s="1">
        <f>Comuni__2[[#This Row],[Popolazione2011]]/Comuni__2[[#This Row],[POPOLAZIONE TOTALE DI OGNI REGIONE (CON FILTRO)]]</f>
        <v>2.8999334089365356E-3</v>
      </c>
      <c r="H5697" t="str">
        <f>IF(Comuni__2[[#This Row],[Popolazione2011]]&gt;300000,"MAGGIORE","")</f>
        <v/>
      </c>
      <c r="J5697">
        <v>53</v>
      </c>
      <c r="K5697">
        <v>1166</v>
      </c>
      <c r="L5697">
        <v>149</v>
      </c>
    </row>
    <row r="5698" spans="1:12" x14ac:dyDescent="0.2">
      <c r="A5698"/>
      <c r="B5698"/>
      <c r="C5698"/>
      <c r="D5698"/>
      <c r="E5698" s="2">
        <f>Comuni__2[[#This Row],[Popolazione2011]]/$D$7911</f>
        <v>1.9696051754438767E-4</v>
      </c>
      <c r="F5698">
        <f>SUMIFS($D$2:$D$7909, $B$2:$B$7909, "Puglia")</f>
        <v>4050093</v>
      </c>
      <c r="G5698" s="1">
        <f>Comuni__2[[#This Row],[Popolazione2011]]/Comuni__2[[#This Row],[POPOLAZIONE TOTALE DI OGNI REGIONE (CON FILTRO)]]</f>
        <v>2.8898101846056372E-3</v>
      </c>
      <c r="H5698" t="str">
        <f>IF(Comuni__2[[#This Row],[Popolazione2011]]&gt;300000,"MAGGIORE","")</f>
        <v/>
      </c>
      <c r="J5698">
        <v>60</v>
      </c>
      <c r="K5698">
        <v>1183</v>
      </c>
      <c r="L5698">
        <v>152</v>
      </c>
    </row>
    <row r="5699" spans="1:12" x14ac:dyDescent="0.2">
      <c r="A5699"/>
      <c r="B5699"/>
      <c r="C5699"/>
      <c r="D5699"/>
      <c r="E5699" s="2">
        <f>Comuni__2[[#This Row],[Popolazione2011]]/$D$7911</f>
        <v>1.9435210330828208E-4</v>
      </c>
      <c r="F5699">
        <f>SUMIFS($D$2:$D$7909, $B$2:$B$7909, "Puglia")</f>
        <v>4050093</v>
      </c>
      <c r="G5699" s="1">
        <f>Comuni__2[[#This Row],[Popolazione2011]]/Comuni__2[[#This Row],[POPOLAZIONE TOTALE DI OGNI REGIONE (CON FILTRO)]]</f>
        <v>2.8515394584766327E-3</v>
      </c>
      <c r="H5699" t="str">
        <f>IF(Comuni__2[[#This Row],[Popolazione2011]]&gt;300000,"MAGGIORE","")</f>
        <v/>
      </c>
      <c r="J5699">
        <v>65</v>
      </c>
      <c r="K5699">
        <v>1191</v>
      </c>
      <c r="L5699">
        <v>153</v>
      </c>
    </row>
    <row r="5700" spans="1:12" x14ac:dyDescent="0.2">
      <c r="A5700"/>
      <c r="B5700"/>
      <c r="C5700"/>
      <c r="D5700"/>
      <c r="E5700" s="2">
        <f>Comuni__2[[#This Row],[Popolazione2011]]/$D$7911</f>
        <v>1.8615663406322766E-4</v>
      </c>
      <c r="F5700">
        <f>SUMIFS($D$2:$D$7909, $B$2:$B$7909, "Puglia")</f>
        <v>4050093</v>
      </c>
      <c r="G5700" s="1">
        <f>Comuni__2[[#This Row],[Popolazione2011]]/Comuni__2[[#This Row],[POPOLAZIONE TOTALE DI OGNI REGIONE (CON FILTRO)]]</f>
        <v>2.7312953060584042E-3</v>
      </c>
      <c r="H5700" t="str">
        <f>IF(Comuni__2[[#This Row],[Popolazione2011]]&gt;300000,"MAGGIORE","")</f>
        <v/>
      </c>
      <c r="J5700">
        <v>77</v>
      </c>
      <c r="K5700">
        <v>1199</v>
      </c>
      <c r="L5700">
        <v>154</v>
      </c>
    </row>
    <row r="5701" spans="1:12" x14ac:dyDescent="0.2">
      <c r="A5701"/>
      <c r="B5701"/>
      <c r="C5701"/>
      <c r="D5701"/>
      <c r="E5701" s="2">
        <f>Comuni__2[[#This Row],[Popolazione2011]]/$D$7911</f>
        <v>1.8383430396914653E-4</v>
      </c>
      <c r="F5701">
        <f>SUMIFS($D$2:$D$7909, $B$2:$B$7909, "Puglia")</f>
        <v>4050093</v>
      </c>
      <c r="G5701" s="1">
        <f>Comuni__2[[#This Row],[Popolazione2011]]/Comuni__2[[#This Row],[POPOLAZIONE TOTALE DI OGNI REGIONE (CON FILTRO)]]</f>
        <v>2.6972220144080641E-3</v>
      </c>
      <c r="H5701" t="str">
        <f>IF(Comuni__2[[#This Row],[Popolazione2011]]&gt;300000,"MAGGIORE","")</f>
        <v/>
      </c>
      <c r="J5701">
        <v>106</v>
      </c>
      <c r="K5701">
        <v>1203</v>
      </c>
      <c r="L5701">
        <v>156</v>
      </c>
    </row>
    <row r="5702" spans="1:12" x14ac:dyDescent="0.2">
      <c r="A5702"/>
      <c r="B5702"/>
      <c r="C5702"/>
      <c r="D5702"/>
      <c r="E5702" s="2">
        <f>Comuni__2[[#This Row],[Popolazione2011]]/$D$7911</f>
        <v>1.8306019393778616E-4</v>
      </c>
      <c r="F5702">
        <f>SUMIFS($D$2:$D$7909, $B$2:$B$7909, "Puglia")</f>
        <v>4050093</v>
      </c>
      <c r="G5702" s="1">
        <f>Comuni__2[[#This Row],[Popolazione2011]]/Comuni__2[[#This Row],[POPOLAZIONE TOTALE DI OGNI REGIONE (CON FILTRO)]]</f>
        <v>2.6858642505246176E-3</v>
      </c>
      <c r="H5702" t="str">
        <f>IF(Comuni__2[[#This Row],[Popolazione2011]]&gt;300000,"MAGGIORE","")</f>
        <v/>
      </c>
      <c r="J5702">
        <v>114</v>
      </c>
      <c r="K5702">
        <v>1216</v>
      </c>
      <c r="L5702">
        <v>157</v>
      </c>
    </row>
    <row r="5703" spans="1:12" x14ac:dyDescent="0.2">
      <c r="A5703"/>
      <c r="B5703"/>
      <c r="C5703"/>
      <c r="D5703"/>
      <c r="E5703" s="2">
        <f>Comuni__2[[#This Row],[Popolazione2011]]/$D$7911</f>
        <v>1.8107443342255737E-4</v>
      </c>
      <c r="F5703">
        <f>SUMIFS($D$2:$D$7909, $B$2:$B$7909, "Puglia")</f>
        <v>4050093</v>
      </c>
      <c r="G5703" s="1">
        <f>Comuni__2[[#This Row],[Popolazione2011]]/Comuni__2[[#This Row],[POPOLAZIONE TOTALE DI OGNI REGIONE (CON FILTRO)]]</f>
        <v>2.6567291170844719E-3</v>
      </c>
      <c r="H5703" t="str">
        <f>IF(Comuni__2[[#This Row],[Popolazione2011]]&gt;300000,"MAGGIORE","")</f>
        <v/>
      </c>
      <c r="J5703">
        <v>127</v>
      </c>
      <c r="K5703">
        <v>1235</v>
      </c>
      <c r="L5703">
        <v>162</v>
      </c>
    </row>
    <row r="5704" spans="1:12" x14ac:dyDescent="0.2">
      <c r="A5704"/>
      <c r="B5704"/>
      <c r="C5704"/>
      <c r="D5704"/>
      <c r="E5704" s="2">
        <f>Comuni__2[[#This Row],[Popolazione2011]]/$D$7911</f>
        <v>1.8063689297004933E-4</v>
      </c>
      <c r="F5704">
        <f>SUMIFS($D$2:$D$7909, $B$2:$B$7909, "Puglia")</f>
        <v>4050093</v>
      </c>
      <c r="G5704" s="1">
        <f>Comuni__2[[#This Row],[Popolazione2011]]/Comuni__2[[#This Row],[POPOLAZIONE TOTALE DI OGNI REGIONE (CON FILTRO)]]</f>
        <v>2.6503095114112194E-3</v>
      </c>
      <c r="H5704" t="str">
        <f>IF(Comuni__2[[#This Row],[Popolazione2011]]&gt;300000,"MAGGIORE","")</f>
        <v/>
      </c>
      <c r="J5704">
        <v>134</v>
      </c>
      <c r="K5704">
        <v>1253</v>
      </c>
      <c r="L5704">
        <v>166</v>
      </c>
    </row>
    <row r="5705" spans="1:12" x14ac:dyDescent="0.2">
      <c r="A5705"/>
      <c r="B5705"/>
      <c r="C5705"/>
      <c r="D5705"/>
      <c r="E5705" s="2">
        <f>Comuni__2[[#This Row],[Popolazione2011]]/$D$7911</f>
        <v>1.8011521012282821E-4</v>
      </c>
      <c r="F5705">
        <f>SUMIFS($D$2:$D$7909, $B$2:$B$7909, "Puglia")</f>
        <v>4050093</v>
      </c>
      <c r="G5705" s="1">
        <f>Comuni__2[[#This Row],[Popolazione2011]]/Comuni__2[[#This Row],[POPOLAZIONE TOTALE DI OGNI REGIONE (CON FILTRO)]]</f>
        <v>2.6426553661854186E-3</v>
      </c>
      <c r="H5705" t="str">
        <f>IF(Comuni__2[[#This Row],[Popolazione2011]]&gt;300000,"MAGGIORE","")</f>
        <v/>
      </c>
      <c r="J5705">
        <v>153</v>
      </c>
      <c r="K5705">
        <v>1259</v>
      </c>
      <c r="L5705">
        <v>168</v>
      </c>
    </row>
    <row r="5706" spans="1:12" x14ac:dyDescent="0.2">
      <c r="A5706"/>
      <c r="B5706"/>
      <c r="C5706"/>
      <c r="D5706"/>
      <c r="E5706" s="2">
        <f>Comuni__2[[#This Row],[Popolazione2011]]/$D$7911</f>
        <v>1.7648025867122297E-4</v>
      </c>
      <c r="F5706">
        <f>SUMIFS($D$2:$D$7909, $B$2:$B$7909, "Puglia")</f>
        <v>4050093</v>
      </c>
      <c r="G5706" s="1">
        <f>Comuni__2[[#This Row],[Popolazione2011]]/Comuni__2[[#This Row],[POPOLAZIONE TOTALE DI OGNI REGIONE (CON FILTRO)]]</f>
        <v>2.5893232575153213E-3</v>
      </c>
      <c r="H5706" t="str">
        <f>IF(Comuni__2[[#This Row],[Popolazione2011]]&gt;300000,"MAGGIORE","")</f>
        <v/>
      </c>
      <c r="J5706">
        <v>173</v>
      </c>
      <c r="K5706">
        <v>1281</v>
      </c>
      <c r="L5706">
        <v>174</v>
      </c>
    </row>
    <row r="5707" spans="1:12" x14ac:dyDescent="0.2">
      <c r="A5707"/>
      <c r="B5707"/>
      <c r="C5707"/>
      <c r="D5707"/>
      <c r="E5707" s="2">
        <f>Comuni__2[[#This Row],[Popolazione2011]]/$D$7911</f>
        <v>1.7314821984058484E-4</v>
      </c>
      <c r="F5707">
        <f>SUMIFS($D$2:$D$7909, $B$2:$B$7909, "Puglia")</f>
        <v>4050093</v>
      </c>
      <c r="G5707" s="1">
        <f>Comuni__2[[#This Row],[Popolazione2011]]/Comuni__2[[#This Row],[POPOLAZIONE TOTALE DI OGNI REGIONE (CON FILTRO)]]</f>
        <v>2.5404354912343988E-3</v>
      </c>
      <c r="H5707" t="str">
        <f>IF(Comuni__2[[#This Row],[Popolazione2011]]&gt;300000,"MAGGIORE","")</f>
        <v/>
      </c>
      <c r="J5707">
        <v>179</v>
      </c>
      <c r="K5707">
        <v>1306</v>
      </c>
      <c r="L5707">
        <v>179</v>
      </c>
    </row>
    <row r="5708" spans="1:12" x14ac:dyDescent="0.2">
      <c r="A5708"/>
      <c r="B5708"/>
      <c r="C5708"/>
      <c r="D5708"/>
      <c r="E5708" s="2">
        <f>Comuni__2[[#This Row],[Popolazione2011]]/$D$7911</f>
        <v>1.7228996741451138E-4</v>
      </c>
      <c r="F5708">
        <f>SUMIFS($D$2:$D$7909, $B$2:$B$7909, "Puglia")</f>
        <v>4050093</v>
      </c>
      <c r="G5708" s="1">
        <f>Comuni__2[[#This Row],[Popolazione2011]]/Comuni__2[[#This Row],[POPOLAZIONE TOTALE DI OGNI REGIONE (CON FILTRO)]]</f>
        <v>2.5278431877984037E-3</v>
      </c>
      <c r="H5708" t="str">
        <f>IF(Comuni__2[[#This Row],[Popolazione2011]]&gt;300000,"MAGGIORE","")</f>
        <v/>
      </c>
      <c r="J5708">
        <v>183</v>
      </c>
      <c r="K5708">
        <v>1361</v>
      </c>
      <c r="L5708">
        <v>180</v>
      </c>
    </row>
    <row r="5709" spans="1:12" x14ac:dyDescent="0.2">
      <c r="A5709"/>
      <c r="B5709"/>
      <c r="C5709"/>
      <c r="D5709"/>
      <c r="E5709" s="2">
        <f>Comuni__2[[#This Row],[Popolazione2011]]/$D$7911</f>
        <v>1.6582783150054649E-4</v>
      </c>
      <c r="F5709">
        <f>SUMIFS($D$2:$D$7909, $B$2:$B$7909, "Puglia")</f>
        <v>4050093</v>
      </c>
      <c r="G5709" s="1">
        <f>Comuni__2[[#This Row],[Popolazione2011]]/Comuni__2[[#This Row],[POPOLAZIONE TOTALE DI OGNI REGIONE (CON FILTRO)]]</f>
        <v>2.4330305501626755E-3</v>
      </c>
      <c r="H5709" t="str">
        <f>IF(Comuni__2[[#This Row],[Popolazione2011]]&gt;300000,"MAGGIORE","")</f>
        <v/>
      </c>
      <c r="J5709">
        <v>163</v>
      </c>
      <c r="K5709">
        <v>1415</v>
      </c>
      <c r="L5709">
        <v>181</v>
      </c>
    </row>
    <row r="5710" spans="1:12" x14ac:dyDescent="0.2">
      <c r="A5710"/>
      <c r="B5710"/>
      <c r="C5710"/>
      <c r="D5710"/>
      <c r="E5710" s="2">
        <f>Comuni__2[[#This Row],[Popolazione2011]]/$D$7911</f>
        <v>1.6416181208522742E-4</v>
      </c>
      <c r="F5710">
        <f>SUMIFS($D$2:$D$7909, $B$2:$B$7909, "Puglia")</f>
        <v>4050093</v>
      </c>
      <c r="G5710" s="1">
        <f>Comuni__2[[#This Row],[Popolazione2011]]/Comuni__2[[#This Row],[POPOLAZIONE TOTALE DI OGNI REGIONE (CON FILTRO)]]</f>
        <v>2.4085866670222143E-3</v>
      </c>
      <c r="H5710" t="str">
        <f>IF(Comuni__2[[#This Row],[Popolazione2011]]&gt;300000,"MAGGIORE","")</f>
        <v/>
      </c>
      <c r="J5710">
        <v>172</v>
      </c>
      <c r="K5710">
        <v>1493</v>
      </c>
      <c r="L5710">
        <v>189</v>
      </c>
    </row>
    <row r="5711" spans="1:12" x14ac:dyDescent="0.2">
      <c r="A5711"/>
      <c r="B5711"/>
      <c r="C5711"/>
      <c r="D5711"/>
      <c r="E5711" s="2">
        <f>Comuni__2[[#This Row],[Popolazione2011]]/$D$7911</f>
        <v>1.6345501596963752E-4</v>
      </c>
      <c r="F5711">
        <f>SUMIFS($D$2:$D$7909, $B$2:$B$7909, "Puglia")</f>
        <v>4050093</v>
      </c>
      <c r="G5711" s="1">
        <f>Comuni__2[[#This Row],[Popolazione2011]]/Comuni__2[[#This Row],[POPOLAZIONE TOTALE DI OGNI REGIONE (CON FILTRO)]]</f>
        <v>2.3982165347808063E-3</v>
      </c>
      <c r="H5711" t="str">
        <f>IF(Comuni__2[[#This Row],[Popolazione2011]]&gt;300000,"MAGGIORE","")</f>
        <v/>
      </c>
      <c r="J5711">
        <v>167</v>
      </c>
      <c r="K5711">
        <v>1600</v>
      </c>
      <c r="L5711">
        <v>195</v>
      </c>
    </row>
    <row r="5712" spans="1:12" x14ac:dyDescent="0.2">
      <c r="A5712"/>
      <c r="B5712"/>
      <c r="C5712"/>
      <c r="D5712"/>
      <c r="E5712" s="2">
        <f>Comuni__2[[#This Row],[Popolazione2011]]/$D$7911</f>
        <v>1.623275078804822E-4</v>
      </c>
      <c r="F5712">
        <f>SUMIFS($D$2:$D$7909, $B$2:$B$7909, "Puglia")</f>
        <v>4050093</v>
      </c>
      <c r="G5712" s="1">
        <f>Comuni__2[[#This Row],[Popolazione2011]]/Comuni__2[[#This Row],[POPOLAZIONE TOTALE DI OGNI REGIONE (CON FILTRO)]]</f>
        <v>2.3816737047766558E-3</v>
      </c>
      <c r="H5712" t="str">
        <f>IF(Comuni__2[[#This Row],[Popolazione2011]]&gt;300000,"MAGGIORE","")</f>
        <v/>
      </c>
      <c r="J5712">
        <v>168</v>
      </c>
      <c r="K5712">
        <v>1697</v>
      </c>
      <c r="L5712">
        <v>202</v>
      </c>
    </row>
    <row r="5713" spans="1:12" x14ac:dyDescent="0.2">
      <c r="A5713"/>
      <c r="B5713"/>
      <c r="C5713"/>
      <c r="D5713"/>
      <c r="E5713" s="2">
        <f>Comuni__2[[#This Row],[Popolazione2011]]/$D$7911</f>
        <v>1.5706019397144312E-4</v>
      </c>
      <c r="F5713">
        <f>SUMIFS($D$2:$D$7909, $B$2:$B$7909, "Puglia")</f>
        <v>4050093</v>
      </c>
      <c r="G5713" s="1">
        <f>Comuni__2[[#This Row],[Popolazione2011]]/Comuni__2[[#This Row],[POPOLAZIONE TOTALE DI OGNI REGIONE (CON FILTRO)]]</f>
        <v>2.3043915287871168E-3</v>
      </c>
      <c r="H5713" t="str">
        <f>IF(Comuni__2[[#This Row],[Popolazione2011]]&gt;300000,"MAGGIORE","")</f>
        <v/>
      </c>
      <c r="J5713">
        <v>172</v>
      </c>
      <c r="K5713">
        <v>1758</v>
      </c>
      <c r="L5713">
        <v>205</v>
      </c>
    </row>
    <row r="5714" spans="1:12" x14ac:dyDescent="0.2">
      <c r="A5714"/>
      <c r="B5714"/>
      <c r="C5714"/>
      <c r="D5714"/>
      <c r="E5714" s="2">
        <f>Comuni__2[[#This Row],[Popolazione2011]]/$D$7911</f>
        <v>1.5689190918201696E-4</v>
      </c>
      <c r="F5714">
        <f>SUMIFS($D$2:$D$7909, $B$2:$B$7909, "Puglia")</f>
        <v>4050093</v>
      </c>
      <c r="G5714" s="1">
        <f>Comuni__2[[#This Row],[Popolazione2011]]/Comuni__2[[#This Row],[POPOLAZIONE TOTALE DI OGNI REGIONE (CON FILTRO)]]</f>
        <v>2.3019224496820196E-3</v>
      </c>
      <c r="H5714" t="str">
        <f>IF(Comuni__2[[#This Row],[Popolazione2011]]&gt;300000,"MAGGIORE","")</f>
        <v/>
      </c>
      <c r="J5714">
        <v>174</v>
      </c>
      <c r="K5714">
        <v>1863</v>
      </c>
      <c r="L5714">
        <v>207</v>
      </c>
    </row>
    <row r="5715" spans="1:12" x14ac:dyDescent="0.2">
      <c r="A5715"/>
      <c r="B5715"/>
      <c r="C5715"/>
      <c r="D5715"/>
      <c r="E5715" s="2">
        <f>Comuni__2[[#This Row],[Popolazione2011]]/$D$7911</f>
        <v>1.568414237451891E-4</v>
      </c>
      <c r="F5715">
        <f>SUMIFS($D$2:$D$7909, $B$2:$B$7909, "Puglia")</f>
        <v>4050093</v>
      </c>
      <c r="G5715" s="1">
        <f>Comuni__2[[#This Row],[Popolazione2011]]/Comuni__2[[#This Row],[POPOLAZIONE TOTALE DI OGNI REGIONE (CON FILTRO)]]</f>
        <v>2.3011817259504905E-3</v>
      </c>
      <c r="H5715" t="str">
        <f>IF(Comuni__2[[#This Row],[Popolazione2011]]&gt;300000,"MAGGIORE","")</f>
        <v/>
      </c>
      <c r="J5715">
        <v>176</v>
      </c>
      <c r="K5715">
        <v>1946</v>
      </c>
      <c r="L5715">
        <v>218</v>
      </c>
    </row>
    <row r="5716" spans="1:12" x14ac:dyDescent="0.2">
      <c r="A5716"/>
      <c r="B5716"/>
      <c r="C5716"/>
      <c r="D5716"/>
      <c r="E5716" s="2">
        <f>Comuni__2[[#This Row],[Popolazione2011]]/$D$7911</f>
        <v>1.5598317131911563E-4</v>
      </c>
      <c r="F5716">
        <f>SUMIFS($D$2:$D$7909, $B$2:$B$7909, "Puglia")</f>
        <v>4050093</v>
      </c>
      <c r="G5716" s="1">
        <f>Comuni__2[[#This Row],[Popolazione2011]]/Comuni__2[[#This Row],[POPOLAZIONE TOTALE DI OGNI REGIONE (CON FILTRO)]]</f>
        <v>2.2885894225144953E-3</v>
      </c>
      <c r="H5716" t="str">
        <f>IF(Comuni__2[[#This Row],[Popolazione2011]]&gt;300000,"MAGGIORE","")</f>
        <v/>
      </c>
      <c r="J5716">
        <v>177</v>
      </c>
      <c r="K5716">
        <v>2031</v>
      </c>
      <c r="L5716">
        <v>225</v>
      </c>
    </row>
    <row r="5717" spans="1:12" x14ac:dyDescent="0.2">
      <c r="A5717"/>
      <c r="B5717"/>
      <c r="C5717"/>
      <c r="D5717"/>
      <c r="E5717" s="2">
        <f>Comuni__2[[#This Row],[Popolazione2011]]/$D$7911</f>
        <v>1.5451909365110796E-4</v>
      </c>
      <c r="F5717">
        <f>SUMIFS($D$2:$D$7909, $B$2:$B$7909, "Puglia")</f>
        <v>4050093</v>
      </c>
      <c r="G5717" s="1">
        <f>Comuni__2[[#This Row],[Popolazione2011]]/Comuni__2[[#This Row],[POPOLAZIONE TOTALE DI OGNI REGIONE (CON FILTRO)]]</f>
        <v>2.2671084343001508E-3</v>
      </c>
      <c r="H5717" t="str">
        <f>IF(Comuni__2[[#This Row],[Popolazione2011]]&gt;300000,"MAGGIORE","")</f>
        <v/>
      </c>
      <c r="J5717">
        <v>175</v>
      </c>
      <c r="K5717">
        <v>2186</v>
      </c>
      <c r="L5717">
        <v>231</v>
      </c>
    </row>
    <row r="5718" spans="1:12" x14ac:dyDescent="0.2">
      <c r="A5718"/>
      <c r="B5718"/>
      <c r="C5718"/>
      <c r="D5718"/>
      <c r="E5718" s="2">
        <f>Comuni__2[[#This Row],[Popolazione2011]]/$D$7911</f>
        <v>1.5074951436796179E-4</v>
      </c>
      <c r="F5718">
        <f>SUMIFS($D$2:$D$7909, $B$2:$B$7909, "Puglia")</f>
        <v>4050093</v>
      </c>
      <c r="G5718" s="1">
        <f>Comuni__2[[#This Row],[Popolazione2011]]/Comuni__2[[#This Row],[POPOLAZIONE TOTALE DI OGNI REGIONE (CON FILTRO)]]</f>
        <v>2.2118010623459758E-3</v>
      </c>
      <c r="H5718" t="str">
        <f>IF(Comuni__2[[#This Row],[Popolazione2011]]&gt;300000,"MAGGIORE","")</f>
        <v/>
      </c>
      <c r="J5718">
        <v>164</v>
      </c>
      <c r="K5718">
        <v>2261</v>
      </c>
      <c r="L5718">
        <v>234</v>
      </c>
    </row>
    <row r="5719" spans="1:12" x14ac:dyDescent="0.2">
      <c r="A5719"/>
      <c r="B5719"/>
      <c r="C5719"/>
      <c r="D5719"/>
      <c r="E5719" s="2">
        <f>Comuni__2[[#This Row],[Popolazione2011]]/$D$7911</f>
        <v>1.4761941728463505E-4</v>
      </c>
      <c r="F5719">
        <f>SUMIFS($D$2:$D$7909, $B$2:$B$7909, "Puglia")</f>
        <v>4050093</v>
      </c>
      <c r="G5719" s="1">
        <f>Comuni__2[[#This Row],[Popolazione2011]]/Comuni__2[[#This Row],[POPOLAZIONE TOTALE DI OGNI REGIONE (CON FILTRO)]]</f>
        <v>2.1658761909911697E-3</v>
      </c>
      <c r="H5719" t="str">
        <f>IF(Comuni__2[[#This Row],[Popolazione2011]]&gt;300000,"MAGGIORE","")</f>
        <v/>
      </c>
      <c r="J5719">
        <v>159</v>
      </c>
      <c r="K5719">
        <v>2564</v>
      </c>
      <c r="L5719">
        <v>240</v>
      </c>
    </row>
    <row r="5720" spans="1:12" x14ac:dyDescent="0.2">
      <c r="A5720"/>
      <c r="B5720"/>
      <c r="C5720"/>
      <c r="D5720"/>
      <c r="E5720" s="2">
        <f>Comuni__2[[#This Row],[Popolazione2011]]/$D$7911</f>
        <v>1.4543171502209487E-4</v>
      </c>
      <c r="F5720">
        <f>SUMIFS($D$2:$D$7909, $B$2:$B$7909, "Puglia")</f>
        <v>4050093</v>
      </c>
      <c r="G5720" s="1">
        <f>Comuni__2[[#This Row],[Popolazione2011]]/Comuni__2[[#This Row],[POPOLAZIONE TOTALE DI OGNI REGIONE (CON FILTRO)]]</f>
        <v>2.1337781626249077E-3</v>
      </c>
      <c r="H5720" t="str">
        <f>IF(Comuni__2[[#This Row],[Popolazione2011]]&gt;300000,"MAGGIORE","")</f>
        <v/>
      </c>
      <c r="J5720">
        <v>160</v>
      </c>
      <c r="K5720">
        <v>2703</v>
      </c>
      <c r="L5720">
        <v>248</v>
      </c>
    </row>
    <row r="5721" spans="1:12" x14ac:dyDescent="0.2">
      <c r="A5721"/>
      <c r="B5721"/>
      <c r="C5721"/>
      <c r="D5721"/>
      <c r="E5721" s="2">
        <f>Comuni__2[[#This Row],[Popolazione2011]]/$D$7911</f>
        <v>1.4512880240112776E-4</v>
      </c>
      <c r="F5721">
        <f>SUMIFS($D$2:$D$7909, $B$2:$B$7909, "Puglia")</f>
        <v>4050093</v>
      </c>
      <c r="G5721" s="1">
        <f>Comuni__2[[#This Row],[Popolazione2011]]/Comuni__2[[#This Row],[POPOLAZIONE TOTALE DI OGNI REGIONE (CON FILTRO)]]</f>
        <v>2.1293338202357328E-3</v>
      </c>
      <c r="H5721" t="str">
        <f>IF(Comuni__2[[#This Row],[Popolazione2011]]&gt;300000,"MAGGIORE","")</f>
        <v/>
      </c>
      <c r="J5721">
        <v>167</v>
      </c>
      <c r="K5721">
        <v>2826</v>
      </c>
      <c r="L5721">
        <v>253</v>
      </c>
    </row>
    <row r="5722" spans="1:12" x14ac:dyDescent="0.2">
      <c r="A5722"/>
      <c r="B5722"/>
      <c r="C5722"/>
      <c r="D5722"/>
      <c r="E5722" s="2">
        <f>Comuni__2[[#This Row],[Popolazione2011]]/$D$7911</f>
        <v>1.4390032343831674E-4</v>
      </c>
      <c r="F5722">
        <f>SUMIFS($D$2:$D$7909, $B$2:$B$7909, "Puglia")</f>
        <v>4050093</v>
      </c>
      <c r="G5722" s="1">
        <f>Comuni__2[[#This Row],[Popolazione2011]]/Comuni__2[[#This Row],[POPOLAZIONE TOTALE DI OGNI REGIONE (CON FILTRO)]]</f>
        <v>2.1113095427685242E-3</v>
      </c>
      <c r="H5722" t="str">
        <f>IF(Comuni__2[[#This Row],[Popolazione2011]]&gt;300000,"MAGGIORE","")</f>
        <v/>
      </c>
      <c r="J5722">
        <v>169</v>
      </c>
      <c r="K5722">
        <v>3079</v>
      </c>
      <c r="L5722">
        <v>257</v>
      </c>
    </row>
    <row r="5723" spans="1:12" x14ac:dyDescent="0.2">
      <c r="A5723"/>
      <c r="B5723"/>
      <c r="C5723"/>
      <c r="D5723"/>
      <c r="E5723" s="2">
        <f>Comuni__2[[#This Row],[Popolazione2011]]/$D$7911</f>
        <v>1.3962588978689205E-4</v>
      </c>
      <c r="F5723">
        <f>SUMIFS($D$2:$D$7909, $B$2:$B$7909, "Puglia")</f>
        <v>4050093</v>
      </c>
      <c r="G5723" s="1">
        <f>Comuni__2[[#This Row],[Popolazione2011]]/Comuni__2[[#This Row],[POPOLAZIONE TOTALE DI OGNI REGIONE (CON FILTRO)]]</f>
        <v>2.0485949334990579E-3</v>
      </c>
      <c r="H5723" t="str">
        <f>IF(Comuni__2[[#This Row],[Popolazione2011]]&gt;300000,"MAGGIORE","")</f>
        <v/>
      </c>
      <c r="J5723">
        <v>163</v>
      </c>
      <c r="K5723">
        <v>3234</v>
      </c>
      <c r="L5723">
        <v>259</v>
      </c>
    </row>
    <row r="5724" spans="1:12" x14ac:dyDescent="0.2">
      <c r="A5724"/>
      <c r="B5724"/>
      <c r="C5724"/>
      <c r="D5724"/>
      <c r="E5724" s="2">
        <f>Comuni__2[[#This Row],[Popolazione2011]]/$D$7911</f>
        <v>1.3817864059782701E-4</v>
      </c>
      <c r="F5724">
        <f>SUMIFS($D$2:$D$7909, $B$2:$B$7909, "Puglia")</f>
        <v>4050093</v>
      </c>
      <c r="G5724" s="1">
        <f>Comuni__2[[#This Row],[Popolazione2011]]/Comuni__2[[#This Row],[POPOLAZIONE TOTALE DI OGNI REGIONE (CON FILTRO)]]</f>
        <v>2.027360853195223E-3</v>
      </c>
      <c r="H5724" t="str">
        <f>IF(Comuni__2[[#This Row],[Popolazione2011]]&gt;300000,"MAGGIORE","")</f>
        <v/>
      </c>
      <c r="J5724">
        <v>156</v>
      </c>
      <c r="K5724">
        <v>3371</v>
      </c>
      <c r="L5724">
        <v>271</v>
      </c>
    </row>
    <row r="5725" spans="1:12" x14ac:dyDescent="0.2">
      <c r="A5725"/>
      <c r="B5725"/>
      <c r="C5725"/>
      <c r="D5725"/>
      <c r="E5725" s="2">
        <f>Comuni__2[[#This Row],[Popolazione2011]]/$D$7911</f>
        <v>1.322886729679111E-4</v>
      </c>
      <c r="F5725">
        <f>SUMIFS($D$2:$D$7909, $B$2:$B$7909, "Puglia")</f>
        <v>4050093</v>
      </c>
      <c r="G5725" s="1">
        <f>Comuni__2[[#This Row],[Popolazione2011]]/Comuni__2[[#This Row],[POPOLAZIONE TOTALE DI OGNI REGIONE (CON FILTRO)]]</f>
        <v>1.9409430845168246E-3</v>
      </c>
      <c r="H5725" t="str">
        <f>IF(Comuni__2[[#This Row],[Popolazione2011]]&gt;300000,"MAGGIORE","")</f>
        <v/>
      </c>
      <c r="J5725">
        <v>158</v>
      </c>
      <c r="K5725">
        <v>3474</v>
      </c>
      <c r="L5725">
        <v>278</v>
      </c>
    </row>
    <row r="5726" spans="1:12" x14ac:dyDescent="0.2">
      <c r="A5726"/>
      <c r="B5726"/>
      <c r="C5726"/>
      <c r="D5726"/>
      <c r="E5726" s="2">
        <f>Comuni__2[[#This Row],[Popolazione2011]]/$D$7911</f>
        <v>1.321708736153128E-4</v>
      </c>
      <c r="F5726">
        <f>SUMIFS($D$2:$D$7909, $B$2:$B$7909, "Puglia")</f>
        <v>4050093</v>
      </c>
      <c r="G5726" s="1">
        <f>Comuni__2[[#This Row],[Popolazione2011]]/Comuni__2[[#This Row],[POPOLAZIONE TOTALE DI OGNI REGIONE (CON FILTRO)]]</f>
        <v>1.9392147291432567E-3</v>
      </c>
      <c r="H5726" t="str">
        <f>IF(Comuni__2[[#This Row],[Popolazione2011]]&gt;300000,"MAGGIORE","")</f>
        <v/>
      </c>
      <c r="J5726">
        <v>160</v>
      </c>
      <c r="K5726">
        <v>3641</v>
      </c>
      <c r="L5726">
        <v>281</v>
      </c>
    </row>
    <row r="5727" spans="1:12" x14ac:dyDescent="0.2">
      <c r="A5727"/>
      <c r="B5727"/>
      <c r="C5727"/>
      <c r="D5727"/>
      <c r="E5727" s="2">
        <f>Comuni__2[[#This Row],[Popolazione2011]]/$D$7911</f>
        <v>1.3129579271029671E-4</v>
      </c>
      <c r="F5727">
        <f>SUMIFS($D$2:$D$7909, $B$2:$B$7909, "Puglia")</f>
        <v>4050093</v>
      </c>
      <c r="G5727" s="1">
        <f>Comuni__2[[#This Row],[Popolazione2011]]/Comuni__2[[#This Row],[POPOLAZIONE TOTALE DI OGNI REGIONE (CON FILTRO)]]</f>
        <v>1.9263755177967518E-3</v>
      </c>
      <c r="H5727" t="str">
        <f>IF(Comuni__2[[#This Row],[Popolazione2011]]&gt;300000,"MAGGIORE","")</f>
        <v/>
      </c>
      <c r="J5727">
        <v>158</v>
      </c>
      <c r="K5727">
        <v>3818</v>
      </c>
      <c r="L5727">
        <v>285</v>
      </c>
    </row>
    <row r="5728" spans="1:12" x14ac:dyDescent="0.2">
      <c r="A5728"/>
      <c r="B5728"/>
      <c r="C5728"/>
      <c r="D5728"/>
      <c r="E5728" s="2">
        <f>Comuni__2[[#This Row],[Popolazione2011]]/$D$7911</f>
        <v>1.2538899660143819E-4</v>
      </c>
      <c r="F5728">
        <f>SUMIFS($D$2:$D$7909, $B$2:$B$7909, "Puglia")</f>
        <v>4050093</v>
      </c>
      <c r="G5728" s="1">
        <f>Comuni__2[[#This Row],[Popolazione2011]]/Comuni__2[[#This Row],[POPOLAZIONE TOTALE DI OGNI REGIONE (CON FILTRO)]]</f>
        <v>1.8397108412078439E-3</v>
      </c>
      <c r="H5728" t="str">
        <f>IF(Comuni__2[[#This Row],[Popolazione2011]]&gt;300000,"MAGGIORE","")</f>
        <v/>
      </c>
      <c r="J5728">
        <v>159</v>
      </c>
      <c r="K5728">
        <v>3960</v>
      </c>
      <c r="L5728">
        <v>290</v>
      </c>
    </row>
    <row r="5729" spans="1:12" x14ac:dyDescent="0.2">
      <c r="A5729"/>
      <c r="B5729"/>
      <c r="C5729"/>
      <c r="D5729"/>
      <c r="E5729" s="2">
        <f>Comuni__2[[#This Row],[Popolazione2011]]/$D$7911</f>
        <v>1.2335275064938154E-4</v>
      </c>
      <c r="F5729">
        <f>SUMIFS($D$2:$D$7909, $B$2:$B$7909, "Puglia")</f>
        <v>4050093</v>
      </c>
      <c r="G5729" s="1">
        <f>Comuni__2[[#This Row],[Popolazione2011]]/Comuni__2[[#This Row],[POPOLAZIONE TOTALE DI OGNI REGIONE (CON FILTRO)]]</f>
        <v>1.8098349840361691E-3</v>
      </c>
      <c r="H5729" t="str">
        <f>IF(Comuni__2[[#This Row],[Popolazione2011]]&gt;300000,"MAGGIORE","")</f>
        <v/>
      </c>
      <c r="J5729">
        <v>157</v>
      </c>
      <c r="K5729">
        <v>4113</v>
      </c>
      <c r="L5729">
        <v>292</v>
      </c>
    </row>
    <row r="5730" spans="1:12" x14ac:dyDescent="0.2">
      <c r="A5730"/>
      <c r="B5730"/>
      <c r="C5730"/>
      <c r="D5730"/>
      <c r="E5730" s="2">
        <f>Comuni__2[[#This Row],[Popolazione2011]]/$D$7911</f>
        <v>1.2296569563370136E-4</v>
      </c>
      <c r="F5730">
        <f>SUMIFS($D$2:$D$7909, $B$2:$B$7909, "Puglia")</f>
        <v>4050093</v>
      </c>
      <c r="G5730" s="1">
        <f>Comuni__2[[#This Row],[Popolazione2011]]/Comuni__2[[#This Row],[POPOLAZIONE TOTALE DI OGNI REGIONE (CON FILTRO)]]</f>
        <v>1.8041561020944456E-3</v>
      </c>
      <c r="H5730" t="str">
        <f>IF(Comuni__2[[#This Row],[Popolazione2011]]&gt;300000,"MAGGIORE","")</f>
        <v/>
      </c>
      <c r="J5730">
        <v>153</v>
      </c>
      <c r="K5730">
        <v>4219</v>
      </c>
      <c r="L5730">
        <v>297</v>
      </c>
    </row>
    <row r="5731" spans="1:12" x14ac:dyDescent="0.2">
      <c r="A5731"/>
      <c r="B5731"/>
      <c r="C5731"/>
      <c r="D5731"/>
      <c r="E5731" s="2">
        <f>Comuni__2[[#This Row],[Popolazione2011]]/$D$7911</f>
        <v>1.2278058236533257E-4</v>
      </c>
      <c r="F5731">
        <f>SUMIFS($D$2:$D$7909, $B$2:$B$7909, "Puglia")</f>
        <v>4050093</v>
      </c>
      <c r="G5731" s="1">
        <f>Comuni__2[[#This Row],[Popolazione2011]]/Comuni__2[[#This Row],[POPOLAZIONE TOTALE DI OGNI REGIONE (CON FILTRO)]]</f>
        <v>1.8014401150788389E-3</v>
      </c>
      <c r="H5731" t="str">
        <f>IF(Comuni__2[[#This Row],[Popolazione2011]]&gt;300000,"MAGGIORE","")</f>
        <v/>
      </c>
      <c r="J5731">
        <v>145</v>
      </c>
      <c r="K5731">
        <v>4328</v>
      </c>
      <c r="L5731">
        <v>302</v>
      </c>
    </row>
    <row r="5732" spans="1:12" x14ac:dyDescent="0.2">
      <c r="A5732"/>
      <c r="B5732"/>
      <c r="C5732"/>
      <c r="D5732"/>
      <c r="E5732" s="2">
        <f>Comuni__2[[#This Row],[Popolazione2011]]/$D$7911</f>
        <v>1.2224207103916885E-4</v>
      </c>
      <c r="F5732">
        <f>SUMIFS($D$2:$D$7909, $B$2:$B$7909, "Puglia")</f>
        <v>4050093</v>
      </c>
      <c r="G5732" s="1">
        <f>Comuni__2[[#This Row],[Popolazione2011]]/Comuni__2[[#This Row],[POPOLAZIONE TOTALE DI OGNI REGIONE (CON FILTRO)]]</f>
        <v>1.7935390619425282E-3</v>
      </c>
      <c r="H5732" t="str">
        <f>IF(Comuni__2[[#This Row],[Popolazione2011]]&gt;300000,"MAGGIORE","")</f>
        <v/>
      </c>
      <c r="J5732">
        <v>144</v>
      </c>
      <c r="K5732">
        <v>4495</v>
      </c>
      <c r="L5732">
        <v>302</v>
      </c>
    </row>
    <row r="5733" spans="1:12" x14ac:dyDescent="0.2">
      <c r="A5733"/>
      <c r="B5733"/>
      <c r="C5733"/>
      <c r="D5733"/>
      <c r="E5733" s="2">
        <f>Comuni__2[[#This Row],[Popolazione2011]]/$D$7911</f>
        <v>1.1820323609294079E-4</v>
      </c>
      <c r="F5733">
        <f>SUMIFS($D$2:$D$7909, $B$2:$B$7909, "Puglia")</f>
        <v>4050093</v>
      </c>
      <c r="G5733" s="1">
        <f>Comuni__2[[#This Row],[Popolazione2011]]/Comuni__2[[#This Row],[POPOLAZIONE TOTALE DI OGNI REGIONE (CON FILTRO)]]</f>
        <v>1.734281163420198E-3</v>
      </c>
      <c r="H5733" t="str">
        <f>IF(Comuni__2[[#This Row],[Popolazione2011]]&gt;300000,"MAGGIORE","")</f>
        <v/>
      </c>
      <c r="J5733">
        <v>144</v>
      </c>
      <c r="K5733">
        <v>4641</v>
      </c>
      <c r="L5733">
        <v>310</v>
      </c>
    </row>
    <row r="5734" spans="1:12" x14ac:dyDescent="0.2">
      <c r="A5734"/>
      <c r="B5734"/>
      <c r="C5734"/>
      <c r="D5734"/>
      <c r="E5734" s="2">
        <f>Comuni__2[[#This Row],[Popolazione2011]]/$D$7911</f>
        <v>1.1737864062475257E-4</v>
      </c>
      <c r="F5734">
        <f>SUMIFS($D$2:$D$7909, $B$2:$B$7909, "Puglia")</f>
        <v>4050093</v>
      </c>
      <c r="G5734" s="1">
        <f>Comuni__2[[#This Row],[Popolazione2011]]/Comuni__2[[#This Row],[POPOLAZIONE TOTALE DI OGNI REGIONE (CON FILTRO)]]</f>
        <v>1.7221826758052222E-3</v>
      </c>
      <c r="H5734" t="str">
        <f>IF(Comuni__2[[#This Row],[Popolazione2011]]&gt;300000,"MAGGIORE","")</f>
        <v/>
      </c>
      <c r="J5734">
        <v>151</v>
      </c>
      <c r="K5734">
        <v>4702</v>
      </c>
      <c r="L5734">
        <v>311</v>
      </c>
    </row>
    <row r="5735" spans="1:12" x14ac:dyDescent="0.2">
      <c r="A5735"/>
      <c r="B5735"/>
      <c r="C5735"/>
      <c r="D5735"/>
      <c r="E5735" s="2">
        <f>Comuni__2[[#This Row],[Popolazione2011]]/$D$7911</f>
        <v>1.1559482185683518E-4</v>
      </c>
      <c r="F5735">
        <f>SUMIFS($D$2:$D$7909, $B$2:$B$7909, "Puglia")</f>
        <v>4050093</v>
      </c>
      <c r="G5735" s="1">
        <f>Comuni__2[[#This Row],[Popolazione2011]]/Comuni__2[[#This Row],[POPOLAZIONE TOTALE DI OGNI REGIONE (CON FILTRO)]]</f>
        <v>1.696010437291193E-3</v>
      </c>
      <c r="H5735" t="str">
        <f>IF(Comuni__2[[#This Row],[Popolazione2011]]&gt;300000,"MAGGIORE","")</f>
        <v/>
      </c>
      <c r="J5735">
        <v>135</v>
      </c>
      <c r="K5735">
        <v>4878</v>
      </c>
      <c r="L5735">
        <v>315</v>
      </c>
    </row>
    <row r="5736" spans="1:12" x14ac:dyDescent="0.2">
      <c r="A5736"/>
      <c r="B5736"/>
      <c r="C5736"/>
      <c r="D5736"/>
      <c r="E5736" s="2">
        <f>Comuni__2[[#This Row],[Popolazione2011]]/$D$7911</f>
        <v>1.1497216813595836E-4</v>
      </c>
      <c r="F5736">
        <f>SUMIFS($D$2:$D$7909, $B$2:$B$7909, "Puglia")</f>
        <v>4050093</v>
      </c>
      <c r="G5736" s="1">
        <f>Comuni__2[[#This Row],[Popolazione2011]]/Comuni__2[[#This Row],[POPOLAZIONE TOTALE DI OGNI REGIONE (CON FILTRO)]]</f>
        <v>1.6868748446023339E-3</v>
      </c>
      <c r="H5736" t="str">
        <f>IF(Comuni__2[[#This Row],[Popolazione2011]]&gt;300000,"MAGGIORE","")</f>
        <v/>
      </c>
      <c r="J5736">
        <v>136</v>
      </c>
      <c r="K5736">
        <v>4953</v>
      </c>
      <c r="L5736">
        <v>317</v>
      </c>
    </row>
    <row r="5737" spans="1:12" x14ac:dyDescent="0.2">
      <c r="A5737"/>
      <c r="B5737"/>
      <c r="C5737"/>
      <c r="D5737"/>
      <c r="E5737" s="2">
        <f>Comuni__2[[#This Row],[Popolazione2011]]/$D$7911</f>
        <v>1.14416828330852E-4</v>
      </c>
      <c r="F5737">
        <f>SUMIFS($D$2:$D$7909, $B$2:$B$7909, "Puglia")</f>
        <v>4050093</v>
      </c>
      <c r="G5737" s="1">
        <f>Comuni__2[[#This Row],[Popolazione2011]]/Comuni__2[[#This Row],[POPOLAZIONE TOTALE DI OGNI REGIONE (CON FILTRO)]]</f>
        <v>1.6787268835555134E-3</v>
      </c>
      <c r="H5737" t="str">
        <f>IF(Comuni__2[[#This Row],[Popolazione2011]]&gt;300000,"MAGGIORE","")</f>
        <v/>
      </c>
      <c r="J5737">
        <v>135</v>
      </c>
      <c r="K5737">
        <v>5049</v>
      </c>
      <c r="L5737">
        <v>322</v>
      </c>
    </row>
    <row r="5738" spans="1:12" x14ac:dyDescent="0.2">
      <c r="A5738"/>
      <c r="B5738"/>
      <c r="C5738"/>
      <c r="D5738"/>
      <c r="E5738" s="2">
        <f>Comuni__2[[#This Row],[Popolazione2011]]/$D$7911</f>
        <v>1.1367637525737686E-4</v>
      </c>
      <c r="F5738">
        <f>SUMIFS($D$2:$D$7909, $B$2:$B$7909, "Puglia")</f>
        <v>4050093</v>
      </c>
      <c r="G5738" s="1">
        <f>Comuni__2[[#This Row],[Popolazione2011]]/Comuni__2[[#This Row],[POPOLAZIONE TOTALE DI OGNI REGIONE (CON FILTRO)]]</f>
        <v>1.6678629354930862E-3</v>
      </c>
      <c r="H5738" t="str">
        <f>IF(Comuni__2[[#This Row],[Popolazione2011]]&gt;300000,"MAGGIORE","")</f>
        <v/>
      </c>
      <c r="J5738">
        <v>124</v>
      </c>
      <c r="K5738">
        <v>5177</v>
      </c>
      <c r="L5738">
        <v>324</v>
      </c>
    </row>
    <row r="5739" spans="1:12" x14ac:dyDescent="0.2">
      <c r="A5739"/>
      <c r="B5739"/>
      <c r="C5739"/>
      <c r="D5739"/>
      <c r="E5739" s="2">
        <f>Comuni__2[[#This Row],[Popolazione2011]]/$D$7911</f>
        <v>1.1300323609967219E-4</v>
      </c>
      <c r="F5739">
        <f>SUMIFS($D$2:$D$7909, $B$2:$B$7909, "Puglia")</f>
        <v>4050093</v>
      </c>
      <c r="G5739" s="1">
        <f>Comuni__2[[#This Row],[Popolazione2011]]/Comuni__2[[#This Row],[POPOLAZIONE TOTALE DI OGNI REGIONE (CON FILTRO)]]</f>
        <v>1.6579866190726978E-3</v>
      </c>
      <c r="H5739" t="str">
        <f>IF(Comuni__2[[#This Row],[Popolazione2011]]&gt;300000,"MAGGIORE","")</f>
        <v/>
      </c>
      <c r="J5739">
        <v>120</v>
      </c>
      <c r="K5739">
        <v>5240</v>
      </c>
      <c r="L5739">
        <v>326</v>
      </c>
    </row>
    <row r="5740" spans="1:12" x14ac:dyDescent="0.2">
      <c r="A5740"/>
      <c r="B5740"/>
      <c r="C5740"/>
      <c r="D5740"/>
      <c r="E5740" s="2">
        <f>Comuni__2[[#This Row],[Popolazione2011]]/$D$7911</f>
        <v>1.1202718432100041E-4</v>
      </c>
      <c r="F5740">
        <f>SUMIFS($D$2:$D$7909, $B$2:$B$7909, "Puglia")</f>
        <v>4050093</v>
      </c>
      <c r="G5740" s="1">
        <f>Comuni__2[[#This Row],[Popolazione2011]]/Comuni__2[[#This Row],[POPOLAZIONE TOTALE DI OGNI REGIONE (CON FILTRO)]]</f>
        <v>1.6436659602631347E-3</v>
      </c>
      <c r="H5740" t="str">
        <f>IF(Comuni__2[[#This Row],[Popolazione2011]]&gt;300000,"MAGGIORE","")</f>
        <v/>
      </c>
      <c r="J5740">
        <v>116</v>
      </c>
      <c r="K5740">
        <v>5306</v>
      </c>
      <c r="L5740">
        <v>330</v>
      </c>
    </row>
    <row r="5741" spans="1:12" x14ac:dyDescent="0.2">
      <c r="A5741"/>
      <c r="B5741"/>
      <c r="C5741"/>
      <c r="D5741"/>
      <c r="E5741" s="2">
        <f>Comuni__2[[#This Row],[Popolazione2011]]/$D$7911</f>
        <v>1.0978899662163236E-4</v>
      </c>
      <c r="F5741">
        <f>SUMIFS($D$2:$D$7909, $B$2:$B$7909, "Puglia")</f>
        <v>4050093</v>
      </c>
      <c r="G5741" s="1">
        <f>Comuni__2[[#This Row],[Popolazione2011]]/Comuni__2[[#This Row],[POPOLAZIONE TOTALE DI OGNI REGIONE (CON FILTRO)]]</f>
        <v>1.6108272081653433E-3</v>
      </c>
      <c r="H5741" t="str">
        <f>IF(Comuni__2[[#This Row],[Popolazione2011]]&gt;300000,"MAGGIORE","")</f>
        <v/>
      </c>
      <c r="J5741">
        <v>110</v>
      </c>
      <c r="K5741">
        <v>5406</v>
      </c>
      <c r="L5741">
        <v>333</v>
      </c>
    </row>
    <row r="5742" spans="1:12" x14ac:dyDescent="0.2">
      <c r="A5742"/>
      <c r="B5742"/>
      <c r="C5742"/>
      <c r="D5742"/>
      <c r="E5742" s="2">
        <f>Comuni__2[[#This Row],[Popolazione2011]]/$D$7911</f>
        <v>1.0904854354815722E-4</v>
      </c>
      <c r="F5742">
        <f>SUMIFS($D$2:$D$7909, $B$2:$B$7909, "Puglia")</f>
        <v>4050093</v>
      </c>
      <c r="G5742" s="1">
        <f>Comuni__2[[#This Row],[Popolazione2011]]/Comuni__2[[#This Row],[POPOLAZIONE TOTALE DI OGNI REGIONE (CON FILTRO)]]</f>
        <v>1.5999632601029162E-3</v>
      </c>
      <c r="H5742" t="str">
        <f>IF(Comuni__2[[#This Row],[Popolazione2011]]&gt;300000,"MAGGIORE","")</f>
        <v/>
      </c>
      <c r="J5742">
        <v>16</v>
      </c>
      <c r="K5742">
        <v>0</v>
      </c>
      <c r="L5742">
        <v>1</v>
      </c>
    </row>
    <row r="5743" spans="1:12" x14ac:dyDescent="0.2">
      <c r="A5743"/>
      <c r="B5743"/>
      <c r="C5743"/>
      <c r="D5743"/>
      <c r="E5743" s="2">
        <f>Comuni__2[[#This Row],[Popolazione2011]]/$D$7911</f>
        <v>1.0721423934341199E-4</v>
      </c>
      <c r="F5743">
        <f>SUMIFS($D$2:$D$7909, $B$2:$B$7909, "Puglia")</f>
        <v>4050093</v>
      </c>
      <c r="G5743" s="1">
        <f>Comuni__2[[#This Row],[Popolazione2011]]/Comuni__2[[#This Row],[POPOLAZIONE TOTALE DI OGNI REGIONE (CON FILTRO)]]</f>
        <v>1.5730502978573578E-3</v>
      </c>
      <c r="H5743" t="str">
        <f>IF(Comuni__2[[#This Row],[Popolazione2011]]&gt;300000,"MAGGIORE","")</f>
        <v/>
      </c>
      <c r="J5743">
        <v>19</v>
      </c>
      <c r="K5743">
        <v>0</v>
      </c>
      <c r="L5743">
        <v>1</v>
      </c>
    </row>
    <row r="5744" spans="1:12" x14ac:dyDescent="0.2">
      <c r="A5744"/>
      <c r="B5744"/>
      <c r="C5744"/>
      <c r="D5744"/>
      <c r="E5744" s="2">
        <f>Comuni__2[[#This Row],[Popolazione2011]]/$D$7911</f>
        <v>1.0702912607504321E-4</v>
      </c>
      <c r="F5744">
        <f>SUMIFS($D$2:$D$7909, $B$2:$B$7909, "Puglia")</f>
        <v>4050093</v>
      </c>
      <c r="G5744" s="1">
        <f>Comuni__2[[#This Row],[Popolazione2011]]/Comuni__2[[#This Row],[POPOLAZIONE TOTALE DI OGNI REGIONE (CON FILTRO)]]</f>
        <v>1.570334310841751E-3</v>
      </c>
      <c r="H5744" t="str">
        <f>IF(Comuni__2[[#This Row],[Popolazione2011]]&gt;300000,"MAGGIORE","")</f>
        <v/>
      </c>
      <c r="J5744">
        <v>24</v>
      </c>
      <c r="K5744">
        <v>0</v>
      </c>
      <c r="L5744">
        <v>2</v>
      </c>
    </row>
    <row r="5745" spans="1:12" x14ac:dyDescent="0.2">
      <c r="A5745"/>
      <c r="B5745"/>
      <c r="C5745"/>
      <c r="D5745"/>
      <c r="E5745" s="2">
        <f>Comuni__2[[#This Row],[Popolazione2011]]/$D$7911</f>
        <v>1.0689449824350227E-4</v>
      </c>
      <c r="F5745">
        <f>SUMIFS($D$2:$D$7909, $B$2:$B$7909, "Puglia")</f>
        <v>4050093</v>
      </c>
      <c r="G5745" s="1">
        <f>Comuni__2[[#This Row],[Popolazione2011]]/Comuni__2[[#This Row],[POPOLAZIONE TOTALE DI OGNI REGIONE (CON FILTRO)]]</f>
        <v>1.5683590475576734E-3</v>
      </c>
      <c r="H5745" t="str">
        <f>IF(Comuni__2[[#This Row],[Popolazione2011]]&gt;300000,"MAGGIORE","")</f>
        <v/>
      </c>
      <c r="J5745">
        <v>27</v>
      </c>
      <c r="K5745">
        <v>0</v>
      </c>
      <c r="L5745">
        <v>2</v>
      </c>
    </row>
    <row r="5746" spans="1:12" x14ac:dyDescent="0.2">
      <c r="A5746"/>
      <c r="B5746"/>
      <c r="C5746"/>
      <c r="D5746"/>
      <c r="E5746" s="2">
        <f>Comuni__2[[#This Row],[Popolazione2011]]/$D$7911</f>
        <v>1.0633915843839591E-4</v>
      </c>
      <c r="F5746">
        <f>SUMIFS($D$2:$D$7909, $B$2:$B$7909, "Puglia")</f>
        <v>4050093</v>
      </c>
      <c r="G5746" s="1">
        <f>Comuni__2[[#This Row],[Popolazione2011]]/Comuni__2[[#This Row],[POPOLAZIONE TOTALE DI OGNI REGIONE (CON FILTRO)]]</f>
        <v>1.5602110865108529E-3</v>
      </c>
      <c r="H5746" t="str">
        <f>IF(Comuni__2[[#This Row],[Popolazione2011]]&gt;300000,"MAGGIORE","")</f>
        <v/>
      </c>
      <c r="J5746">
        <v>33</v>
      </c>
      <c r="K5746">
        <v>0</v>
      </c>
      <c r="L5746">
        <v>2</v>
      </c>
    </row>
    <row r="5747" spans="1:12" x14ac:dyDescent="0.2">
      <c r="A5747"/>
      <c r="B5747"/>
      <c r="C5747"/>
      <c r="D5747"/>
      <c r="E5747" s="2">
        <f>Comuni__2[[#This Row],[Popolazione2011]]/$D$7911</f>
        <v>1.0423559857056881E-4</v>
      </c>
      <c r="F5747">
        <f>SUMIFS($D$2:$D$7909, $B$2:$B$7909, "Puglia")</f>
        <v>4050093</v>
      </c>
      <c r="G5747" s="1">
        <f>Comuni__2[[#This Row],[Popolazione2011]]/Comuni__2[[#This Row],[POPOLAZIONE TOTALE DI OGNI REGIONE (CON FILTRO)]]</f>
        <v>1.5293475976971393E-3</v>
      </c>
      <c r="H5747" t="str">
        <f>IF(Comuni__2[[#This Row],[Popolazione2011]]&gt;300000,"MAGGIORE","")</f>
        <v/>
      </c>
      <c r="J5747">
        <v>35</v>
      </c>
      <c r="K5747">
        <v>0</v>
      </c>
      <c r="L5747">
        <v>2</v>
      </c>
    </row>
    <row r="5748" spans="1:12" x14ac:dyDescent="0.2">
      <c r="A5748"/>
      <c r="B5748"/>
      <c r="C5748"/>
      <c r="D5748"/>
      <c r="E5748" s="2">
        <f>Comuni__2[[#This Row],[Popolazione2011]]/$D$7911</f>
        <v>1.0297346264987255E-4</v>
      </c>
      <c r="F5748">
        <f>SUMIFS($D$2:$D$7909, $B$2:$B$7909, "Puglia")</f>
        <v>4050093</v>
      </c>
      <c r="G5748" s="1">
        <f>Comuni__2[[#This Row],[Popolazione2011]]/Comuni__2[[#This Row],[POPOLAZIONE TOTALE DI OGNI REGIONE (CON FILTRO)]]</f>
        <v>1.5108295044089111E-3</v>
      </c>
      <c r="H5748" t="str">
        <f>IF(Comuni__2[[#This Row],[Popolazione2011]]&gt;300000,"MAGGIORE","")</f>
        <v/>
      </c>
      <c r="J5748">
        <v>64</v>
      </c>
      <c r="K5748">
        <v>0</v>
      </c>
      <c r="L5748">
        <v>2</v>
      </c>
    </row>
    <row r="5749" spans="1:12" x14ac:dyDescent="0.2">
      <c r="A5749"/>
      <c r="B5749"/>
      <c r="C5749"/>
      <c r="D5749"/>
      <c r="E5749" s="2">
        <f>Comuni__2[[#This Row],[Popolazione2011]]/$D$7911</f>
        <v>9.9877022524431043E-5</v>
      </c>
      <c r="F5749">
        <f>SUMIFS($D$2:$D$7909, $B$2:$B$7909, "Puglia")</f>
        <v>4050093</v>
      </c>
      <c r="G5749" s="1">
        <f>Comuni__2[[#This Row],[Popolazione2011]]/Comuni__2[[#This Row],[POPOLAZIONE TOTALE DI OGNI REGIONE (CON FILTRO)]]</f>
        <v>1.4653984488751245E-3</v>
      </c>
      <c r="H5749" t="str">
        <f>IF(Comuni__2[[#This Row],[Popolazione2011]]&gt;300000,"MAGGIORE","")</f>
        <v/>
      </c>
      <c r="J5749">
        <v>67</v>
      </c>
      <c r="K5749">
        <v>0</v>
      </c>
      <c r="L5749">
        <v>2</v>
      </c>
    </row>
    <row r="5750" spans="1:12" x14ac:dyDescent="0.2">
      <c r="A5750"/>
      <c r="B5750"/>
      <c r="C5750"/>
      <c r="D5750"/>
      <c r="E5750" s="2">
        <f>Comuni__2[[#This Row],[Popolazione2011]]/$D$7911</f>
        <v>9.9321682719324684E-5</v>
      </c>
      <c r="F5750">
        <f>SUMIFS($D$2:$D$7909, $B$2:$B$7909, "Puglia")</f>
        <v>4050093</v>
      </c>
      <c r="G5750" s="1">
        <f>Comuni__2[[#This Row],[Popolazione2011]]/Comuni__2[[#This Row],[POPOLAZIONE TOTALE DI OGNI REGIONE (CON FILTRO)]]</f>
        <v>1.4572504878283042E-3</v>
      </c>
      <c r="H5750" t="str">
        <f>IF(Comuni__2[[#This Row],[Popolazione2011]]&gt;300000,"MAGGIORE","")</f>
        <v/>
      </c>
      <c r="J5750">
        <v>68</v>
      </c>
      <c r="K5750">
        <v>7</v>
      </c>
      <c r="L5750">
        <v>3</v>
      </c>
    </row>
    <row r="5751" spans="1:12" x14ac:dyDescent="0.2">
      <c r="A5751"/>
      <c r="B5751"/>
      <c r="C5751"/>
      <c r="D5751"/>
      <c r="E5751" s="2">
        <f>Comuni__2[[#This Row],[Popolazione2011]]/$D$7911</f>
        <v>9.9288025761439452E-5</v>
      </c>
      <c r="F5751">
        <f>SUMIFS($D$2:$D$7909, $B$2:$B$7909, "Puglia")</f>
        <v>4050093</v>
      </c>
      <c r="G5751" s="1">
        <f>Comuni__2[[#This Row],[Popolazione2011]]/Comuni__2[[#This Row],[POPOLAZIONE TOTALE DI OGNI REGIONE (CON FILTRO)]]</f>
        <v>1.4567566720072847E-3</v>
      </c>
      <c r="H5751" t="str">
        <f>IF(Comuni__2[[#This Row],[Popolazione2011]]&gt;300000,"MAGGIORE","")</f>
        <v/>
      </c>
      <c r="J5751">
        <v>99</v>
      </c>
      <c r="K5751">
        <v>9</v>
      </c>
      <c r="L5751">
        <v>6</v>
      </c>
    </row>
    <row r="5752" spans="1:12" x14ac:dyDescent="0.2">
      <c r="A5752"/>
      <c r="B5752"/>
      <c r="C5752"/>
      <c r="D5752"/>
      <c r="E5752" s="2">
        <f>Comuni__2[[#This Row],[Popolazione2011]]/$D$7911</f>
        <v>9.7470550035636829E-5</v>
      </c>
      <c r="F5752">
        <f>SUMIFS($D$2:$D$7909, $B$2:$B$7909, "Puglia")</f>
        <v>4050093</v>
      </c>
      <c r="G5752" s="1">
        <f>Comuni__2[[#This Row],[Popolazione2011]]/Comuni__2[[#This Row],[POPOLAZIONE TOTALE DI OGNI REGIONE (CON FILTRO)]]</f>
        <v>1.4300906176722362E-3</v>
      </c>
      <c r="H5752" t="str">
        <f>IF(Comuni__2[[#This Row],[Popolazione2011]]&gt;300000,"MAGGIORE","")</f>
        <v/>
      </c>
      <c r="J5752">
        <v>116</v>
      </c>
      <c r="K5752">
        <v>17</v>
      </c>
      <c r="L5752">
        <v>10</v>
      </c>
    </row>
    <row r="5753" spans="1:12" x14ac:dyDescent="0.2">
      <c r="A5753"/>
      <c r="B5753"/>
      <c r="C5753"/>
      <c r="D5753"/>
      <c r="E5753" s="2">
        <f>Comuni__2[[#This Row],[Popolazione2011]]/$D$7911</f>
        <v>9.7117151977841877E-5</v>
      </c>
      <c r="F5753">
        <f>SUMIFS($D$2:$D$7909, $B$2:$B$7909, "Puglia")</f>
        <v>4050093</v>
      </c>
      <c r="G5753" s="1">
        <f>Comuni__2[[#This Row],[Popolazione2011]]/Comuni__2[[#This Row],[POPOLAZIONE TOTALE DI OGNI REGIONE (CON FILTRO)]]</f>
        <v>1.4249055515515323E-3</v>
      </c>
      <c r="H5753" t="str">
        <f>IF(Comuni__2[[#This Row],[Popolazione2011]]&gt;300000,"MAGGIORE","")</f>
        <v/>
      </c>
      <c r="J5753">
        <v>144</v>
      </c>
      <c r="K5753">
        <v>22</v>
      </c>
      <c r="L5753">
        <v>12</v>
      </c>
    </row>
    <row r="5754" spans="1:12" x14ac:dyDescent="0.2">
      <c r="A5754"/>
      <c r="B5754"/>
      <c r="C5754"/>
      <c r="D5754"/>
      <c r="E5754" s="2">
        <f>Comuni__2[[#This Row],[Popolazione2011]]/$D$7911</f>
        <v>9.4777993404818127E-5</v>
      </c>
      <c r="F5754">
        <f>SUMIFS($D$2:$D$7909, $B$2:$B$7909, "Puglia")</f>
        <v>4050093</v>
      </c>
      <c r="G5754" s="1">
        <f>Comuni__2[[#This Row],[Popolazione2011]]/Comuni__2[[#This Row],[POPOLAZIONE TOTALE DI OGNI REGIONE (CON FILTRO)]]</f>
        <v>1.3905853519906826E-3</v>
      </c>
      <c r="H5754" t="str">
        <f>IF(Comuni__2[[#This Row],[Popolazione2011]]&gt;300000,"MAGGIORE","")</f>
        <v/>
      </c>
      <c r="J5754">
        <v>164</v>
      </c>
      <c r="K5754">
        <v>25</v>
      </c>
      <c r="L5754">
        <v>13</v>
      </c>
    </row>
    <row r="5755" spans="1:12" x14ac:dyDescent="0.2">
      <c r="A5755"/>
      <c r="B5755"/>
      <c r="C5755"/>
      <c r="D5755"/>
      <c r="E5755" s="2">
        <f>Comuni__2[[#This Row],[Popolazione2011]]/$D$7911</f>
        <v>9.4609708615391966E-5</v>
      </c>
      <c r="F5755">
        <f>SUMIFS($D$2:$D$7909, $B$2:$B$7909, "Puglia")</f>
        <v>4050093</v>
      </c>
      <c r="G5755" s="1">
        <f>Comuni__2[[#This Row],[Popolazione2011]]/Comuni__2[[#This Row],[POPOLAZIONE TOTALE DI OGNI REGIONE (CON FILTRO)]]</f>
        <v>1.3881162728855857E-3</v>
      </c>
      <c r="H5755" t="str">
        <f>IF(Comuni__2[[#This Row],[Popolazione2011]]&gt;300000,"MAGGIORE","")</f>
        <v/>
      </c>
      <c r="J5755">
        <v>193</v>
      </c>
      <c r="K5755">
        <v>29</v>
      </c>
      <c r="L5755">
        <v>18</v>
      </c>
    </row>
    <row r="5756" spans="1:12" x14ac:dyDescent="0.2">
      <c r="A5756"/>
      <c r="B5756"/>
      <c r="C5756"/>
      <c r="D5756"/>
      <c r="E5756" s="2">
        <f>Comuni__2[[#This Row],[Popolazione2011]]/$D$7911</f>
        <v>9.4424595347023175E-5</v>
      </c>
      <c r="F5756">
        <f>SUMIFS($D$2:$D$7909, $B$2:$B$7909, "Puglia")</f>
        <v>4050093</v>
      </c>
      <c r="G5756" s="1">
        <f>Comuni__2[[#This Row],[Popolazione2011]]/Comuni__2[[#This Row],[POPOLAZIONE TOTALE DI OGNI REGIONE (CON FILTRO)]]</f>
        <v>1.3854002858699787E-3</v>
      </c>
      <c r="H5756" t="str">
        <f>IF(Comuni__2[[#This Row],[Popolazione2011]]&gt;300000,"MAGGIORE","")</f>
        <v/>
      </c>
      <c r="J5756">
        <v>237</v>
      </c>
      <c r="K5756">
        <v>30</v>
      </c>
      <c r="L5756">
        <v>20</v>
      </c>
    </row>
    <row r="5757" spans="1:12" x14ac:dyDescent="0.2">
      <c r="A5757"/>
      <c r="B5757"/>
      <c r="C5757"/>
      <c r="D5757"/>
      <c r="E5757" s="2">
        <f>Comuni__2[[#This Row],[Popolazione2011]]/$D$7911</f>
        <v>9.3263430299982608E-5</v>
      </c>
      <c r="F5757">
        <f>SUMIFS($D$2:$D$7909, $B$2:$B$7909, "Puglia")</f>
        <v>4050093</v>
      </c>
      <c r="G5757" s="1">
        <f>Comuni__2[[#This Row],[Popolazione2011]]/Comuni__2[[#This Row],[POPOLAZIONE TOTALE DI OGNI REGIONE (CON FILTRO)]]</f>
        <v>1.3683636400448089E-3</v>
      </c>
      <c r="H5757" t="str">
        <f>IF(Comuni__2[[#This Row],[Popolazione2011]]&gt;300000,"MAGGIORE","")</f>
        <v/>
      </c>
      <c r="J5757">
        <v>271</v>
      </c>
      <c r="K5757">
        <v>47</v>
      </c>
      <c r="L5757">
        <v>26</v>
      </c>
    </row>
    <row r="5758" spans="1:12" x14ac:dyDescent="0.2">
      <c r="A5758"/>
      <c r="B5758"/>
      <c r="C5758"/>
      <c r="D5758"/>
      <c r="E5758" s="2">
        <f>Comuni__2[[#This Row],[Popolazione2011]]/$D$7911</f>
        <v>9.2926860721130272E-5</v>
      </c>
      <c r="F5758">
        <f>SUMIFS($D$2:$D$7909, $B$2:$B$7909, "Puglia")</f>
        <v>4050093</v>
      </c>
      <c r="G5758" s="1">
        <f>Comuni__2[[#This Row],[Popolazione2011]]/Comuni__2[[#This Row],[POPOLAZIONE TOTALE DI OGNI REGIONE (CON FILTRO)]]</f>
        <v>1.3634254818346147E-3</v>
      </c>
      <c r="H5758" t="str">
        <f>IF(Comuni__2[[#This Row],[Popolazione2011]]&gt;300000,"MAGGIORE","")</f>
        <v/>
      </c>
      <c r="J5758">
        <v>330</v>
      </c>
      <c r="K5758">
        <v>54</v>
      </c>
      <c r="L5758">
        <v>29</v>
      </c>
    </row>
    <row r="5759" spans="1:12" x14ac:dyDescent="0.2">
      <c r="A5759"/>
      <c r="B5759"/>
      <c r="C5759"/>
      <c r="D5759"/>
      <c r="E5759" s="2">
        <f>Comuni__2[[#This Row],[Popolazione2011]]/$D$7911</f>
        <v>9.2792232889589343E-5</v>
      </c>
      <c r="F5759">
        <f>SUMIFS($D$2:$D$7909, $B$2:$B$7909, "Puglia")</f>
        <v>4050093</v>
      </c>
      <c r="G5759" s="1">
        <f>Comuni__2[[#This Row],[Popolazione2011]]/Comuni__2[[#This Row],[POPOLAZIONE TOTALE DI OGNI REGIONE (CON FILTRO)]]</f>
        <v>1.361450218550537E-3</v>
      </c>
      <c r="H5759" t="str">
        <f>IF(Comuni__2[[#This Row],[Popolazione2011]]&gt;300000,"MAGGIORE","")</f>
        <v/>
      </c>
      <c r="J5759">
        <v>445</v>
      </c>
      <c r="K5759">
        <v>55</v>
      </c>
      <c r="L5759">
        <v>32</v>
      </c>
    </row>
    <row r="5760" spans="1:12" x14ac:dyDescent="0.2">
      <c r="A5760"/>
      <c r="B5760"/>
      <c r="C5760"/>
      <c r="D5760"/>
      <c r="E5760" s="2">
        <f>Comuni__2[[#This Row],[Popolazione2011]]/$D$7911</f>
        <v>9.2405177873909158E-5</v>
      </c>
      <c r="F5760">
        <f>SUMIFS($D$2:$D$7909, $B$2:$B$7909, "Puglia")</f>
        <v>4050093</v>
      </c>
      <c r="G5760" s="1">
        <f>Comuni__2[[#This Row],[Popolazione2011]]/Comuni__2[[#This Row],[POPOLAZIONE TOTALE DI OGNI REGIONE (CON FILTRO)]]</f>
        <v>1.3557713366088137E-3</v>
      </c>
      <c r="H5760" t="str">
        <f>IF(Comuni__2[[#This Row],[Popolazione2011]]&gt;300000,"MAGGIORE","")</f>
        <v/>
      </c>
      <c r="J5760">
        <v>473</v>
      </c>
      <c r="K5760">
        <v>100</v>
      </c>
      <c r="L5760">
        <v>42</v>
      </c>
    </row>
    <row r="5761" spans="1:12" x14ac:dyDescent="0.2">
      <c r="A5761"/>
      <c r="B5761"/>
      <c r="C5761"/>
      <c r="D5761"/>
      <c r="E5761" s="2">
        <f>Comuni__2[[#This Row],[Popolazione2011]]/$D$7911</f>
        <v>9.1900323505630647E-5</v>
      </c>
      <c r="F5761">
        <f>SUMIFS($D$2:$D$7909, $B$2:$B$7909, "Puglia")</f>
        <v>4050093</v>
      </c>
      <c r="G5761" s="1">
        <f>Comuni__2[[#This Row],[Popolazione2011]]/Comuni__2[[#This Row],[POPOLAZIONE TOTALE DI OGNI REGIONE (CON FILTRO)]]</f>
        <v>1.3483640992935223E-3</v>
      </c>
      <c r="H5761" t="str">
        <f>IF(Comuni__2[[#This Row],[Popolazione2011]]&gt;300000,"MAGGIORE","")</f>
        <v/>
      </c>
      <c r="J5761">
        <v>485</v>
      </c>
      <c r="K5761">
        <v>107</v>
      </c>
      <c r="L5761">
        <v>55</v>
      </c>
    </row>
    <row r="5762" spans="1:12" x14ac:dyDescent="0.2">
      <c r="A5762"/>
      <c r="B5762"/>
      <c r="C5762"/>
      <c r="D5762"/>
      <c r="E5762" s="2">
        <f>Comuni__2[[#This Row],[Popolazione2011]]/$D$7911</f>
        <v>9.1681553279376624E-5</v>
      </c>
      <c r="F5762">
        <f>SUMIFS($D$2:$D$7909, $B$2:$B$7909, "Puglia")</f>
        <v>4050093</v>
      </c>
      <c r="G5762" s="1">
        <f>Comuni__2[[#This Row],[Popolazione2011]]/Comuni__2[[#This Row],[POPOLAZIONE TOTALE DI OGNI REGIONE (CON FILTRO)]]</f>
        <v>1.3451542964568962E-3</v>
      </c>
      <c r="H5762" t="str">
        <f>IF(Comuni__2[[#This Row],[Popolazione2011]]&gt;300000,"MAGGIORE","")</f>
        <v/>
      </c>
      <c r="J5762">
        <v>555</v>
      </c>
      <c r="K5762">
        <v>120</v>
      </c>
      <c r="L5762">
        <v>63</v>
      </c>
    </row>
    <row r="5763" spans="1:12" x14ac:dyDescent="0.2">
      <c r="A5763"/>
      <c r="B5763"/>
      <c r="C5763"/>
      <c r="D5763"/>
      <c r="E5763" s="2">
        <f>Comuni__2[[#This Row],[Popolazione2011]]/$D$7911</f>
        <v>9.10588995584998E-5</v>
      </c>
      <c r="F5763">
        <f>SUMIFS($D$2:$D$7909, $B$2:$B$7909, "Puglia")</f>
        <v>4050093</v>
      </c>
      <c r="G5763" s="1">
        <f>Comuni__2[[#This Row],[Popolazione2011]]/Comuni__2[[#This Row],[POPOLAZIONE TOTALE DI OGNI REGIONE (CON FILTRO)]]</f>
        <v>1.3360187037680369E-3</v>
      </c>
      <c r="H5763" t="str">
        <f>IF(Comuni__2[[#This Row],[Popolazione2011]]&gt;300000,"MAGGIORE","")</f>
        <v/>
      </c>
      <c r="J5763">
        <v>654</v>
      </c>
      <c r="K5763">
        <v>130</v>
      </c>
      <c r="L5763">
        <v>69</v>
      </c>
    </row>
    <row r="5764" spans="1:12" x14ac:dyDescent="0.2">
      <c r="A5764"/>
      <c r="B5764"/>
      <c r="C5764"/>
      <c r="D5764"/>
      <c r="E5764" s="2">
        <f>Comuni__2[[#This Row],[Popolazione2011]]/$D$7911</f>
        <v>9.0907443248016255E-5</v>
      </c>
      <c r="F5764">
        <f>SUMIFS($D$2:$D$7909, $B$2:$B$7909, "Puglia")</f>
        <v>4050093</v>
      </c>
      <c r="G5764" s="1">
        <f>Comuni__2[[#This Row],[Popolazione2011]]/Comuni__2[[#This Row],[POPOLAZIONE TOTALE DI OGNI REGIONE (CON FILTRO)]]</f>
        <v>1.3337965325734495E-3</v>
      </c>
      <c r="H5764" t="str">
        <f>IF(Comuni__2[[#This Row],[Popolazione2011]]&gt;300000,"MAGGIORE","")</f>
        <v/>
      </c>
      <c r="J5764">
        <v>719</v>
      </c>
      <c r="K5764">
        <v>136</v>
      </c>
      <c r="L5764">
        <v>80</v>
      </c>
    </row>
    <row r="5765" spans="1:12" x14ac:dyDescent="0.2">
      <c r="A5765"/>
      <c r="B5765"/>
      <c r="C5765"/>
      <c r="D5765"/>
      <c r="E5765" s="2">
        <f>Comuni__2[[#This Row],[Popolazione2011]]/$D$7911</f>
        <v>9.0082847779828024E-5</v>
      </c>
      <c r="F5765">
        <f>SUMIFS($D$2:$D$7909, $B$2:$B$7909, "Puglia")</f>
        <v>4050093</v>
      </c>
      <c r="G5765" s="1">
        <f>Comuni__2[[#This Row],[Popolazione2011]]/Comuni__2[[#This Row],[POPOLAZIONE TOTALE DI OGNI REGIONE (CON FILTRO)]]</f>
        <v>1.3216980449584738E-3</v>
      </c>
      <c r="H5765" t="str">
        <f>IF(Comuni__2[[#This Row],[Popolazione2011]]&gt;300000,"MAGGIORE","")</f>
        <v/>
      </c>
      <c r="J5765">
        <v>841</v>
      </c>
      <c r="K5765">
        <v>167</v>
      </c>
      <c r="L5765">
        <v>94</v>
      </c>
    </row>
    <row r="5766" spans="1:12" x14ac:dyDescent="0.2">
      <c r="A5766"/>
      <c r="B5766"/>
      <c r="C5766"/>
      <c r="D5766"/>
      <c r="E5766" s="2">
        <f>Comuni__2[[#This Row],[Popolazione2011]]/$D$7911</f>
        <v>8.9763106679918305E-5</v>
      </c>
      <c r="F5766">
        <f>SUMIFS($D$2:$D$7909, $B$2:$B$7909, "Puglia")</f>
        <v>4050093</v>
      </c>
      <c r="G5766" s="1">
        <f>Comuni__2[[#This Row],[Popolazione2011]]/Comuni__2[[#This Row],[POPOLAZIONE TOTALE DI OGNI REGIONE (CON FILTRO)]]</f>
        <v>1.3170067946587894E-3</v>
      </c>
      <c r="H5766" t="str">
        <f>IF(Comuni__2[[#This Row],[Popolazione2011]]&gt;300000,"MAGGIORE","")</f>
        <v/>
      </c>
      <c r="J5766">
        <v>980</v>
      </c>
      <c r="K5766">
        <v>200</v>
      </c>
      <c r="L5766">
        <v>115</v>
      </c>
    </row>
    <row r="5767" spans="1:12" x14ac:dyDescent="0.2">
      <c r="A5767"/>
      <c r="B5767"/>
      <c r="C5767"/>
      <c r="D5767"/>
      <c r="E5767" s="2">
        <f>Comuni__2[[#This Row],[Popolazione2011]]/$D$7911</f>
        <v>8.9291909269525039E-5</v>
      </c>
      <c r="F5767">
        <f>SUMIFS($D$2:$D$7909, $B$2:$B$7909, "Puglia")</f>
        <v>4050093</v>
      </c>
      <c r="G5767" s="1">
        <f>Comuni__2[[#This Row],[Popolazione2011]]/Comuni__2[[#This Row],[POPOLAZIONE TOTALE DI OGNI REGIONE (CON FILTRO)]]</f>
        <v>1.3100933731645175E-3</v>
      </c>
      <c r="H5767" t="str">
        <f>IF(Comuni__2[[#This Row],[Popolazione2011]]&gt;300000,"MAGGIORE","")</f>
        <v/>
      </c>
      <c r="J5767">
        <v>1079</v>
      </c>
      <c r="K5767">
        <v>223</v>
      </c>
      <c r="L5767">
        <v>131</v>
      </c>
    </row>
    <row r="5768" spans="1:12" x14ac:dyDescent="0.2">
      <c r="A5768"/>
      <c r="B5768"/>
      <c r="C5768"/>
      <c r="D5768"/>
      <c r="E5768" s="2">
        <f>Comuni__2[[#This Row],[Popolazione2011]]/$D$7911</f>
        <v>8.8585113153935135E-5</v>
      </c>
      <c r="F5768">
        <f>SUMIFS($D$2:$D$7909, $B$2:$B$7909, "Puglia")</f>
        <v>4050093</v>
      </c>
      <c r="G5768" s="1">
        <f>Comuni__2[[#This Row],[Popolazione2011]]/Comuni__2[[#This Row],[POPOLAZIONE TOTALE DI OGNI REGIONE (CON FILTRO)]]</f>
        <v>1.2997232409231096E-3</v>
      </c>
      <c r="H5768" t="str">
        <f>IF(Comuni__2[[#This Row],[Popolazione2011]]&gt;300000,"MAGGIORE","")</f>
        <v/>
      </c>
      <c r="J5768">
        <v>1191</v>
      </c>
      <c r="K5768">
        <v>257</v>
      </c>
      <c r="L5768">
        <v>146</v>
      </c>
    </row>
    <row r="5769" spans="1:12" x14ac:dyDescent="0.2">
      <c r="A5769"/>
      <c r="B5769"/>
      <c r="C5769"/>
      <c r="D5769"/>
      <c r="E5769" s="2">
        <f>Comuni__2[[#This Row],[Popolazione2011]]/$D$7911</f>
        <v>8.567378629686241E-5</v>
      </c>
      <c r="F5769">
        <f>SUMIFS($D$2:$D$7909, $B$2:$B$7909, "Puglia")</f>
        <v>4050093</v>
      </c>
      <c r="G5769" s="1">
        <f>Comuni__2[[#This Row],[Popolazione2011]]/Comuni__2[[#This Row],[POPOLAZIONE TOTALE DI OGNI REGIONE (CON FILTRO)]]</f>
        <v>1.25700817240493E-3</v>
      </c>
      <c r="H5769" t="str">
        <f>IF(Comuni__2[[#This Row],[Popolazione2011]]&gt;300000,"MAGGIORE","")</f>
        <v/>
      </c>
      <c r="J5769">
        <v>1368</v>
      </c>
      <c r="K5769">
        <v>309</v>
      </c>
      <c r="L5769">
        <v>169</v>
      </c>
    </row>
    <row r="5770" spans="1:12" x14ac:dyDescent="0.2">
      <c r="A5770"/>
      <c r="B5770"/>
      <c r="C5770"/>
      <c r="D5770"/>
      <c r="E5770" s="2">
        <f>Comuni__2[[#This Row],[Popolazione2011]]/$D$7911</f>
        <v>8.4512621249821843E-5</v>
      </c>
      <c r="F5770">
        <f>SUMIFS($D$2:$D$7909, $B$2:$B$7909, "Puglia")</f>
        <v>4050093</v>
      </c>
      <c r="G5770" s="1">
        <f>Comuni__2[[#This Row],[Popolazione2011]]/Comuni__2[[#This Row],[POPOLAZIONE TOTALE DI OGNI REGIONE (CON FILTRO)]]</f>
        <v>1.2399715265797599E-3</v>
      </c>
      <c r="H5770" t="str">
        <f>IF(Comuni__2[[#This Row],[Popolazione2011]]&gt;300000,"MAGGIORE","")</f>
        <v/>
      </c>
      <c r="J5770">
        <v>1487</v>
      </c>
      <c r="K5770">
        <v>327</v>
      </c>
      <c r="L5770">
        <v>192</v>
      </c>
    </row>
    <row r="5771" spans="1:12" x14ac:dyDescent="0.2">
      <c r="A5771"/>
      <c r="B5771"/>
      <c r="C5771"/>
      <c r="D5771"/>
      <c r="E5771" s="2">
        <f>Comuni__2[[#This Row],[Popolazione2011]]/$D$7911</f>
        <v>8.3502912513264835E-5</v>
      </c>
      <c r="F5771">
        <f>SUMIFS($D$2:$D$7909, $B$2:$B$7909, "Puglia")</f>
        <v>4050093</v>
      </c>
      <c r="G5771" s="1">
        <f>Comuni__2[[#This Row],[Popolazione2011]]/Comuni__2[[#This Row],[POPOLAZIONE TOTALE DI OGNI REGIONE (CON FILTRO)]]</f>
        <v>1.2251570519491775E-3</v>
      </c>
      <c r="H5771" t="str">
        <f>IF(Comuni__2[[#This Row],[Popolazione2011]]&gt;300000,"MAGGIORE","")</f>
        <v/>
      </c>
      <c r="J5771">
        <v>1622</v>
      </c>
      <c r="K5771">
        <v>381</v>
      </c>
      <c r="L5771">
        <v>216</v>
      </c>
    </row>
    <row r="5772" spans="1:12" x14ac:dyDescent="0.2">
      <c r="A5772"/>
      <c r="B5772"/>
      <c r="C5772"/>
      <c r="D5772"/>
      <c r="E5772" s="2">
        <f>Comuni__2[[#This Row],[Popolazione2011]]/$D$7911</f>
        <v>8.0894498277159227E-5</v>
      </c>
      <c r="F5772">
        <f>SUMIFS($D$2:$D$7909, $B$2:$B$7909, "Puglia")</f>
        <v>4050093</v>
      </c>
      <c r="G5772" s="1">
        <f>Comuni__2[[#This Row],[Popolazione2011]]/Comuni__2[[#This Row],[POPOLAZIONE TOTALE DI OGNI REGIONE (CON FILTRO)]]</f>
        <v>1.1868863258201726E-3</v>
      </c>
      <c r="H5772" t="str">
        <f>IF(Comuni__2[[#This Row],[Popolazione2011]]&gt;300000,"MAGGIORE","")</f>
        <v/>
      </c>
      <c r="J5772">
        <v>1723</v>
      </c>
      <c r="K5772">
        <v>439</v>
      </c>
      <c r="L5772">
        <v>258</v>
      </c>
    </row>
    <row r="5773" spans="1:12" x14ac:dyDescent="0.2">
      <c r="A5773"/>
      <c r="B5773"/>
      <c r="C5773"/>
      <c r="D5773"/>
      <c r="E5773" s="2">
        <f>Comuni__2[[#This Row],[Popolazione2011]]/$D$7911</f>
        <v>7.9716504751176044E-5</v>
      </c>
      <c r="F5773">
        <f>SUMIFS($D$2:$D$7909, $B$2:$B$7909, "Puglia")</f>
        <v>4050093</v>
      </c>
      <c r="G5773" s="1">
        <f>Comuni__2[[#This Row],[Popolazione2011]]/Comuni__2[[#This Row],[POPOLAZIONE TOTALE DI OGNI REGIONE (CON FILTRO)]]</f>
        <v>1.169602772084493E-3</v>
      </c>
      <c r="H5773" t="str">
        <f>IF(Comuni__2[[#This Row],[Popolazione2011]]&gt;300000,"MAGGIORE","")</f>
        <v/>
      </c>
      <c r="J5773">
        <v>1773</v>
      </c>
      <c r="K5773">
        <v>508</v>
      </c>
      <c r="L5773">
        <v>287</v>
      </c>
    </row>
    <row r="5774" spans="1:12" x14ac:dyDescent="0.2">
      <c r="A5774"/>
      <c r="B5774"/>
      <c r="C5774"/>
      <c r="D5774"/>
      <c r="E5774" s="2">
        <f>Comuni__2[[#This Row],[Popolazione2011]]/$D$7911</f>
        <v>7.5879611552259404E-5</v>
      </c>
      <c r="F5774">
        <f>SUMIFS($D$2:$D$7909, $B$2:$B$7909, "Puglia")</f>
        <v>4050093</v>
      </c>
      <c r="G5774" s="1">
        <f>Comuni__2[[#This Row],[Popolazione2011]]/Comuni__2[[#This Row],[POPOLAZIONE TOTALE DI OGNI REGIONE (CON FILTRO)]]</f>
        <v>1.1133077684882791E-3</v>
      </c>
      <c r="H5774" t="str">
        <f>IF(Comuni__2[[#This Row],[Popolazione2011]]&gt;300000,"MAGGIORE","")</f>
        <v/>
      </c>
      <c r="J5774">
        <v>1874</v>
      </c>
      <c r="K5774">
        <v>536</v>
      </c>
      <c r="L5774">
        <v>313</v>
      </c>
    </row>
    <row r="5775" spans="1:12" x14ac:dyDescent="0.2">
      <c r="A5775"/>
      <c r="B5775"/>
      <c r="C5775"/>
      <c r="D5775"/>
      <c r="E5775" s="2">
        <f>Comuni__2[[#This Row],[Popolazione2011]]/$D$7911</f>
        <v>7.5374757183980894E-5</v>
      </c>
      <c r="F5775">
        <f>SUMIFS($D$2:$D$7909, $B$2:$B$7909, "Puglia")</f>
        <v>4050093</v>
      </c>
      <c r="G5775" s="1">
        <f>Comuni__2[[#This Row],[Popolazione2011]]/Comuni__2[[#This Row],[POPOLAZIONE TOTALE DI OGNI REGIONE (CON FILTRO)]]</f>
        <v>1.1059005311729879E-3</v>
      </c>
      <c r="H5775" t="str">
        <f>IF(Comuni__2[[#This Row],[Popolazione2011]]&gt;300000,"MAGGIORE","")</f>
        <v/>
      </c>
      <c r="J5775">
        <v>1903</v>
      </c>
      <c r="K5775">
        <v>655</v>
      </c>
      <c r="L5775">
        <v>362</v>
      </c>
    </row>
    <row r="5776" spans="1:12" x14ac:dyDescent="0.2">
      <c r="A5776"/>
      <c r="B5776"/>
      <c r="C5776"/>
      <c r="D5776"/>
      <c r="E5776" s="2">
        <f>Comuni__2[[#This Row],[Popolazione2011]]/$D$7911</f>
        <v>7.2631715116334343E-5</v>
      </c>
      <c r="F5776">
        <f>SUMIFS($D$2:$D$7909, $B$2:$B$7909, "Puglia")</f>
        <v>4050093</v>
      </c>
      <c r="G5776" s="1">
        <f>Comuni__2[[#This Row],[Popolazione2011]]/Comuni__2[[#This Row],[POPOLAZIONE TOTALE DI OGNI REGIONE (CON FILTRO)]]</f>
        <v>1.0656545417599052E-3</v>
      </c>
      <c r="H5776" t="str">
        <f>IF(Comuni__2[[#This Row],[Popolazione2011]]&gt;300000,"MAGGIORE","")</f>
        <v/>
      </c>
      <c r="J5776">
        <v>1941</v>
      </c>
      <c r="K5776">
        <v>715</v>
      </c>
      <c r="L5776">
        <v>392</v>
      </c>
    </row>
    <row r="5777" spans="1:12" x14ac:dyDescent="0.2">
      <c r="A5777"/>
      <c r="B5777"/>
      <c r="C5777"/>
      <c r="D5777"/>
      <c r="E5777" s="2">
        <f>Comuni__2[[#This Row],[Popolazione2011]]/$D$7911</f>
        <v>7.2446601847965566E-5</v>
      </c>
      <c r="F5777">
        <f>SUMIFS($D$2:$D$7909, $B$2:$B$7909, "Puglia")</f>
        <v>4050093</v>
      </c>
      <c r="G5777" s="1">
        <f>Comuni__2[[#This Row],[Popolazione2011]]/Comuni__2[[#This Row],[POPOLAZIONE TOTALE DI OGNI REGIONE (CON FILTRO)]]</f>
        <v>1.0629385547442985E-3</v>
      </c>
      <c r="H5777" t="str">
        <f>IF(Comuni__2[[#This Row],[Popolazione2011]]&gt;300000,"MAGGIORE","")</f>
        <v/>
      </c>
      <c r="J5777">
        <v>1989</v>
      </c>
      <c r="K5777">
        <v>747</v>
      </c>
      <c r="L5777">
        <v>413</v>
      </c>
    </row>
    <row r="5778" spans="1:12" x14ac:dyDescent="0.2">
      <c r="A5778"/>
      <c r="B5778"/>
      <c r="C5778"/>
      <c r="D5778"/>
      <c r="E5778" s="2">
        <f>Comuni__2[[#This Row],[Popolazione2011]]/$D$7911</f>
        <v>7.1537863985064254E-5</v>
      </c>
      <c r="F5778">
        <f>SUMIFS($D$2:$D$7909, $B$2:$B$7909, "Puglia")</f>
        <v>4050093</v>
      </c>
      <c r="G5778" s="1">
        <f>Comuni__2[[#This Row],[Popolazione2011]]/Comuni__2[[#This Row],[POPOLAZIONE TOTALE DI OGNI REGIONE (CON FILTRO)]]</f>
        <v>1.0496055275767743E-3</v>
      </c>
      <c r="H5778" t="str">
        <f>IF(Comuni__2[[#This Row],[Popolazione2011]]&gt;300000,"MAGGIORE","")</f>
        <v/>
      </c>
      <c r="J5778">
        <v>2036</v>
      </c>
      <c r="K5778">
        <v>828</v>
      </c>
      <c r="L5778">
        <v>477</v>
      </c>
    </row>
    <row r="5779" spans="1:12" x14ac:dyDescent="0.2">
      <c r="A5779"/>
      <c r="B5779"/>
      <c r="C5779"/>
      <c r="D5779"/>
      <c r="E5779" s="2">
        <f>Comuni__2[[#This Row],[Popolazione2011]]/$D$7911</f>
        <v>7.123495136409715E-5</v>
      </c>
      <c r="F5779">
        <f>SUMIFS($D$2:$D$7909, $B$2:$B$7909, "Puglia")</f>
        <v>4050093</v>
      </c>
      <c r="G5779" s="1">
        <f>Comuni__2[[#This Row],[Popolazione2011]]/Comuni__2[[#This Row],[POPOLAZIONE TOTALE DI OGNI REGIONE (CON FILTRO)]]</f>
        <v>1.0451611851875994E-3</v>
      </c>
      <c r="H5779" t="str">
        <f>IF(Comuni__2[[#This Row],[Popolazione2011]]&gt;300000,"MAGGIORE","")</f>
        <v/>
      </c>
      <c r="J5779">
        <v>2068</v>
      </c>
      <c r="K5779">
        <v>902</v>
      </c>
      <c r="L5779">
        <v>499</v>
      </c>
    </row>
    <row r="5780" spans="1:12" x14ac:dyDescent="0.2">
      <c r="A5780"/>
      <c r="B5780"/>
      <c r="C5780"/>
      <c r="D5780"/>
      <c r="E5780" s="2">
        <f>Comuni__2[[#This Row],[Popolazione2011]]/$D$7911</f>
        <v>7.0629126122162943E-5</v>
      </c>
      <c r="F5780">
        <f>SUMIFS($D$2:$D$7909, $B$2:$B$7909, "Puglia")</f>
        <v>4050093</v>
      </c>
      <c r="G5780" s="1">
        <f>Comuni__2[[#This Row],[Popolazione2011]]/Comuni__2[[#This Row],[POPOLAZIONE TOTALE DI OGNI REGIONE (CON FILTRO)]]</f>
        <v>1.0362725004092498E-3</v>
      </c>
      <c r="H5780" t="str">
        <f>IF(Comuni__2[[#This Row],[Popolazione2011]]&gt;300000,"MAGGIORE","")</f>
        <v/>
      </c>
      <c r="J5780">
        <v>2015</v>
      </c>
      <c r="K5780">
        <v>1001</v>
      </c>
      <c r="L5780">
        <v>532</v>
      </c>
    </row>
    <row r="5781" spans="1:12" x14ac:dyDescent="0.2">
      <c r="A5781"/>
      <c r="B5781"/>
      <c r="C5781"/>
      <c r="D5781"/>
      <c r="E5781" s="2">
        <f>Comuni__2[[#This Row],[Popolazione2011]]/$D$7911</f>
        <v>6.8794821917417704E-5</v>
      </c>
      <c r="F5781">
        <f>SUMIFS($D$2:$D$7909, $B$2:$B$7909, "Puglia")</f>
        <v>4050093</v>
      </c>
      <c r="G5781" s="1">
        <f>Comuni__2[[#This Row],[Popolazione2011]]/Comuni__2[[#This Row],[POPOLAZIONE TOTALE DI OGNI REGIONE (CON FILTRO)]]</f>
        <v>1.0093595381636916E-3</v>
      </c>
      <c r="H5781" t="str">
        <f>IF(Comuni__2[[#This Row],[Popolazione2011]]&gt;300000,"MAGGIORE","")</f>
        <v/>
      </c>
      <c r="J5781">
        <v>2049</v>
      </c>
      <c r="K5781">
        <v>1031</v>
      </c>
      <c r="L5781">
        <v>572</v>
      </c>
    </row>
    <row r="5782" spans="1:12" x14ac:dyDescent="0.2">
      <c r="A5782"/>
      <c r="B5782"/>
      <c r="C5782"/>
      <c r="D5782"/>
      <c r="E5782" s="2">
        <f>Comuni__2[[#This Row],[Popolazione2011]]/$D$7911</f>
        <v>6.84919092964506E-5</v>
      </c>
      <c r="F5782">
        <f>SUMIFS($D$2:$D$7909, $B$2:$B$7909, "Puglia")</f>
        <v>4050093</v>
      </c>
      <c r="G5782" s="1">
        <f>Comuni__2[[#This Row],[Popolazione2011]]/Comuni__2[[#This Row],[POPOLAZIONE TOTALE DI OGNI REGIONE (CON FILTRO)]]</f>
        <v>1.0049151957745167E-3</v>
      </c>
      <c r="H5782" t="str">
        <f>IF(Comuni__2[[#This Row],[Popolazione2011]]&gt;300000,"MAGGIORE","")</f>
        <v/>
      </c>
      <c r="J5782">
        <v>2015</v>
      </c>
      <c r="K5782">
        <v>1124</v>
      </c>
      <c r="L5782">
        <v>607</v>
      </c>
    </row>
    <row r="5783" spans="1:12" x14ac:dyDescent="0.2">
      <c r="A5783"/>
      <c r="B5783"/>
      <c r="C5783"/>
      <c r="D5783"/>
      <c r="E5783" s="2">
        <f>Comuni__2[[#This Row],[Popolazione2011]]/$D$7911</f>
        <v>6.8475080817507984E-5</v>
      </c>
      <c r="F5783">
        <f>SUMIFS($D$2:$D$7909, $B$2:$B$7909, "Puglia")</f>
        <v>4050093</v>
      </c>
      <c r="G5783" s="1">
        <f>Comuni__2[[#This Row],[Popolazione2011]]/Comuni__2[[#This Row],[POPOLAZIONE TOTALE DI OGNI REGIONE (CON FILTRO)]]</f>
        <v>1.0046682878640072E-3</v>
      </c>
      <c r="H5783" t="str">
        <f>IF(Comuni__2[[#This Row],[Popolazione2011]]&gt;300000,"MAGGIORE","")</f>
        <v/>
      </c>
      <c r="J5783">
        <v>2003</v>
      </c>
      <c r="K5783">
        <v>1186</v>
      </c>
      <c r="L5783">
        <v>631</v>
      </c>
    </row>
    <row r="5784" spans="1:12" x14ac:dyDescent="0.2">
      <c r="A5784"/>
      <c r="B5784"/>
      <c r="C5784"/>
      <c r="D5784"/>
      <c r="E5784" s="2">
        <f>Comuni__2[[#This Row],[Popolazione2011]]/$D$7911</f>
        <v>6.8407766901737519E-5</v>
      </c>
      <c r="F5784">
        <f>SUMIFS($D$2:$D$7909, $B$2:$B$7909, "Puglia")</f>
        <v>4050093</v>
      </c>
      <c r="G5784" s="1">
        <f>Comuni__2[[#This Row],[Popolazione2011]]/Comuni__2[[#This Row],[POPOLAZIONE TOTALE DI OGNI REGIONE (CON FILTRO)]]</f>
        <v>1.0036806562219683E-3</v>
      </c>
      <c r="H5784" t="str">
        <f>IF(Comuni__2[[#This Row],[Popolazione2011]]&gt;300000,"MAGGIORE","")</f>
        <v/>
      </c>
      <c r="J5784">
        <v>2036</v>
      </c>
      <c r="K5784">
        <v>1204</v>
      </c>
      <c r="L5784">
        <v>662</v>
      </c>
    </row>
    <row r="5785" spans="1:12" x14ac:dyDescent="0.2">
      <c r="A5785"/>
      <c r="B5785"/>
      <c r="C5785"/>
      <c r="D5785"/>
      <c r="E5785" s="2">
        <f>Comuni__2[[#This Row],[Popolazione2011]]/$D$7911</f>
        <v>6.6522977260164432E-5</v>
      </c>
      <c r="F5785">
        <f>SUMIFS($D$2:$D$7909, $B$2:$B$7909, "Puglia")</f>
        <v>4050093</v>
      </c>
      <c r="G5785" s="1">
        <f>Comuni__2[[#This Row],[Popolazione2011]]/Comuni__2[[#This Row],[POPOLAZIONE TOTALE DI OGNI REGIONE (CON FILTRO)]]</f>
        <v>9.7602697024488081E-4</v>
      </c>
      <c r="H5785" t="str">
        <f>IF(Comuni__2[[#This Row],[Popolazione2011]]&gt;300000,"MAGGIORE","")</f>
        <v/>
      </c>
      <c r="J5785">
        <v>1876</v>
      </c>
      <c r="K5785">
        <v>1265</v>
      </c>
      <c r="L5785">
        <v>695</v>
      </c>
    </row>
    <row r="5786" spans="1:12" x14ac:dyDescent="0.2">
      <c r="A5786"/>
      <c r="B5786"/>
      <c r="C5786"/>
      <c r="D5786"/>
      <c r="E5786" s="2">
        <f>Comuni__2[[#This Row],[Popolazione2011]]/$D$7911</f>
        <v>6.5950808976115457E-5</v>
      </c>
      <c r="F5786">
        <f>SUMIFS($D$2:$D$7909, $B$2:$B$7909, "Puglia")</f>
        <v>4050093</v>
      </c>
      <c r="G5786" s="1">
        <f>Comuni__2[[#This Row],[Popolazione2011]]/Comuni__2[[#This Row],[POPOLAZIONE TOTALE DI OGNI REGIONE (CON FILTRO)]]</f>
        <v>9.6763210128755067E-4</v>
      </c>
      <c r="H5786" t="str">
        <f>IF(Comuni__2[[#This Row],[Popolazione2011]]&gt;300000,"MAGGIORE","")</f>
        <v/>
      </c>
      <c r="J5786">
        <v>1839</v>
      </c>
      <c r="K5786">
        <v>1503</v>
      </c>
      <c r="L5786">
        <v>736</v>
      </c>
    </row>
    <row r="5787" spans="1:12" x14ac:dyDescent="0.2">
      <c r="A5787"/>
      <c r="B5787"/>
      <c r="C5787"/>
      <c r="D5787"/>
      <c r="E5787" s="2">
        <f>Comuni__2[[#This Row],[Popolazione2011]]/$D$7911</f>
        <v>6.297216820327228E-5</v>
      </c>
      <c r="F5787">
        <f>SUMIFS($D$2:$D$7909, $B$2:$B$7909, "Puglia")</f>
        <v>4050093</v>
      </c>
      <c r="G5787" s="1">
        <f>Comuni__2[[#This Row],[Popolazione2011]]/Comuni__2[[#This Row],[POPOLAZIONE TOTALE DI OGNI REGIONE (CON FILTRO)]]</f>
        <v>9.2392940112733218E-4</v>
      </c>
      <c r="H5787" t="str">
        <f>IF(Comuni__2[[#This Row],[Popolazione2011]]&gt;300000,"MAGGIORE","")</f>
        <v/>
      </c>
      <c r="J5787">
        <v>1804</v>
      </c>
      <c r="K5787">
        <v>1728</v>
      </c>
      <c r="L5787">
        <v>756</v>
      </c>
    </row>
    <row r="5788" spans="1:12" x14ac:dyDescent="0.2">
      <c r="A5788"/>
      <c r="B5788"/>
      <c r="C5788"/>
      <c r="D5788"/>
      <c r="E5788" s="2">
        <f>Comuni__2[[#This Row],[Popolazione2011]]/$D$7911</f>
        <v>6.2753397977018257E-5</v>
      </c>
      <c r="F5788">
        <f>SUMIFS($D$2:$D$7909, $B$2:$B$7909, "Puglia")</f>
        <v>4050093</v>
      </c>
      <c r="G5788" s="1">
        <f>Comuni__2[[#This Row],[Popolazione2011]]/Comuni__2[[#This Row],[POPOLAZIONE TOTALE DI OGNI REGIONE (CON FILTRO)]]</f>
        <v>9.207195982907059E-4</v>
      </c>
      <c r="H5788" t="str">
        <f>IF(Comuni__2[[#This Row],[Popolazione2011]]&gt;300000,"MAGGIORE","")</f>
        <v/>
      </c>
      <c r="J5788">
        <v>1778</v>
      </c>
      <c r="K5788">
        <v>1981</v>
      </c>
      <c r="L5788">
        <v>793</v>
      </c>
    </row>
    <row r="5789" spans="1:12" x14ac:dyDescent="0.2">
      <c r="A5789"/>
      <c r="B5789"/>
      <c r="C5789"/>
      <c r="D5789"/>
      <c r="E5789" s="2">
        <f>Comuni__2[[#This Row],[Popolazione2011]]/$D$7911</f>
        <v>6.2012944903543107E-5</v>
      </c>
      <c r="F5789">
        <f>SUMIFS($D$2:$D$7909, $B$2:$B$7909, "Puglia")</f>
        <v>4050093</v>
      </c>
      <c r="G5789" s="1">
        <f>Comuni__2[[#This Row],[Popolazione2011]]/Comuni__2[[#This Row],[POPOLAZIONE TOTALE DI OGNI REGIONE (CON FILTRO)]]</f>
        <v>9.0985565022827866E-4</v>
      </c>
      <c r="H5789" t="str">
        <f>IF(Comuni__2[[#This Row],[Popolazione2011]]&gt;300000,"MAGGIORE","")</f>
        <v/>
      </c>
      <c r="J5789">
        <v>1716</v>
      </c>
      <c r="K5789">
        <v>2188</v>
      </c>
      <c r="L5789">
        <v>831</v>
      </c>
    </row>
    <row r="5790" spans="1:12" x14ac:dyDescent="0.2">
      <c r="A5790"/>
      <c r="B5790"/>
      <c r="C5790"/>
      <c r="D5790"/>
      <c r="E5790" s="2">
        <f>Comuni__2[[#This Row],[Popolazione2011]]/$D$7911</f>
        <v>6.1996116424600491E-5</v>
      </c>
      <c r="F5790">
        <f>SUMIFS($D$2:$D$7909, $B$2:$B$7909, "Puglia")</f>
        <v>4050093</v>
      </c>
      <c r="G5790" s="1">
        <f>Comuni__2[[#This Row],[Popolazione2011]]/Comuni__2[[#This Row],[POPOLAZIONE TOTALE DI OGNI REGIONE (CON FILTRO)]]</f>
        <v>9.09608742317769E-4</v>
      </c>
      <c r="H5790" t="str">
        <f>IF(Comuni__2[[#This Row],[Popolazione2011]]&gt;300000,"MAGGIORE","")</f>
        <v/>
      </c>
      <c r="J5790">
        <v>1677</v>
      </c>
      <c r="K5790">
        <v>2492</v>
      </c>
      <c r="L5790">
        <v>856</v>
      </c>
    </row>
    <row r="5791" spans="1:12" x14ac:dyDescent="0.2">
      <c r="A5791"/>
      <c r="B5791"/>
      <c r="C5791"/>
      <c r="D5791"/>
      <c r="E5791" s="2">
        <f>Comuni__2[[#This Row],[Popolazione2011]]/$D$7911</f>
        <v>6.1642718366805539E-5</v>
      </c>
      <c r="F5791">
        <f>SUMIFS($D$2:$D$7909, $B$2:$B$7909, "Puglia")</f>
        <v>4050093</v>
      </c>
      <c r="G5791" s="1">
        <f>Comuni__2[[#This Row],[Popolazione2011]]/Comuni__2[[#This Row],[POPOLAZIONE TOTALE DI OGNI REGIONE (CON FILTRO)]]</f>
        <v>9.0442367619706515E-4</v>
      </c>
      <c r="H5791" t="str">
        <f>IF(Comuni__2[[#This Row],[Popolazione2011]]&gt;300000,"MAGGIORE","")</f>
        <v/>
      </c>
      <c r="J5791">
        <v>1672</v>
      </c>
      <c r="K5791">
        <v>2603</v>
      </c>
      <c r="L5791">
        <v>882</v>
      </c>
    </row>
    <row r="5792" spans="1:12" x14ac:dyDescent="0.2">
      <c r="A5792"/>
      <c r="B5792"/>
      <c r="C5792"/>
      <c r="D5792"/>
      <c r="E5792" s="2">
        <f>Comuni__2[[#This Row],[Popolazione2011]]/$D$7911</f>
        <v>6.0582524193420682E-5</v>
      </c>
      <c r="F5792">
        <f>SUMIFS($D$2:$D$7909, $B$2:$B$7909, "Puglia")</f>
        <v>4050093</v>
      </c>
      <c r="G5792" s="1">
        <f>Comuni__2[[#This Row],[Popolazione2011]]/Comuni__2[[#This Row],[POPOLAZIONE TOTALE DI OGNI REGIONE (CON FILTRO)]]</f>
        <v>8.8886847783495337E-4</v>
      </c>
      <c r="H5792" t="str">
        <f>IF(Comuni__2[[#This Row],[Popolazione2011]]&gt;300000,"MAGGIORE","")</f>
        <v/>
      </c>
      <c r="J5792">
        <v>1660</v>
      </c>
      <c r="K5792">
        <v>2790</v>
      </c>
      <c r="L5792">
        <v>906</v>
      </c>
    </row>
    <row r="5793" spans="1:12" x14ac:dyDescent="0.2">
      <c r="A5793"/>
      <c r="B5793"/>
      <c r="C5793"/>
      <c r="D5793"/>
      <c r="E5793" s="2">
        <f>Comuni__2[[#This Row],[Popolazione2011]]/$D$7911</f>
        <v>5.9943041993601242E-5</v>
      </c>
      <c r="F5793">
        <f>SUMIFS($D$2:$D$7909, $B$2:$B$7909, "Puglia")</f>
        <v>4050093</v>
      </c>
      <c r="G5793" s="1">
        <f>Comuni__2[[#This Row],[Popolazione2011]]/Comuni__2[[#This Row],[POPOLAZIONE TOTALE DI OGNI REGIONE (CON FILTRO)]]</f>
        <v>8.794859772355845E-4</v>
      </c>
      <c r="H5793" t="str">
        <f>IF(Comuni__2[[#This Row],[Popolazione2011]]&gt;300000,"MAGGIORE","")</f>
        <v/>
      </c>
      <c r="J5793">
        <v>1621</v>
      </c>
      <c r="K5793">
        <v>2895</v>
      </c>
      <c r="L5793">
        <v>940</v>
      </c>
    </row>
    <row r="5794" spans="1:12" x14ac:dyDescent="0.2">
      <c r="A5794"/>
      <c r="B5794"/>
      <c r="C5794"/>
      <c r="D5794"/>
      <c r="E5794" s="2">
        <f>Comuni__2[[#This Row],[Popolazione2011]]/$D$7911</f>
        <v>5.9572815456863667E-5</v>
      </c>
      <c r="F5794">
        <f>SUMIFS($D$2:$D$7909, $B$2:$B$7909, "Puglia")</f>
        <v>4050093</v>
      </c>
      <c r="G5794" s="1">
        <f>Comuni__2[[#This Row],[Popolazione2011]]/Comuni__2[[#This Row],[POPOLAZIONE TOTALE DI OGNI REGIONE (CON FILTRO)]]</f>
        <v>8.7405400320437088E-4</v>
      </c>
      <c r="H5794" t="str">
        <f>IF(Comuni__2[[#This Row],[Popolazione2011]]&gt;300000,"MAGGIORE","")</f>
        <v/>
      </c>
      <c r="J5794">
        <v>1597</v>
      </c>
      <c r="K5794">
        <v>3209</v>
      </c>
      <c r="L5794">
        <v>981</v>
      </c>
    </row>
    <row r="5795" spans="1:12" x14ac:dyDescent="0.2">
      <c r="A5795"/>
      <c r="B5795"/>
      <c r="C5795"/>
      <c r="D5795"/>
      <c r="E5795" s="2">
        <f>Comuni__2[[#This Row],[Popolazione2011]]/$D$7911</f>
        <v>5.7486084067979179E-5</v>
      </c>
      <c r="F5795">
        <f>SUMIFS($D$2:$D$7909, $B$2:$B$7909, "Puglia")</f>
        <v>4050093</v>
      </c>
      <c r="G5795" s="1">
        <f>Comuni__2[[#This Row],[Popolazione2011]]/Comuni__2[[#This Row],[POPOLAZIONE TOTALE DI OGNI REGIONE (CON FILTRO)]]</f>
        <v>8.4343742230116696E-4</v>
      </c>
      <c r="H5795" t="str">
        <f>IF(Comuni__2[[#This Row],[Popolazione2011]]&gt;300000,"MAGGIORE","")</f>
        <v/>
      </c>
      <c r="J5795">
        <v>1556</v>
      </c>
      <c r="K5795">
        <v>3730</v>
      </c>
      <c r="L5795">
        <v>1026</v>
      </c>
    </row>
    <row r="5796" spans="1:12" x14ac:dyDescent="0.2">
      <c r="A5796"/>
      <c r="B5796"/>
      <c r="C5796"/>
      <c r="D5796"/>
      <c r="E5796" s="2">
        <f>Comuni__2[[#This Row],[Popolazione2011]]/$D$7911</f>
        <v>5.597152096314366E-5</v>
      </c>
      <c r="F5796">
        <f>SUMIFS($D$2:$D$7909, $B$2:$B$7909, "Puglia")</f>
        <v>4050093</v>
      </c>
      <c r="G5796" s="1">
        <f>Comuni__2[[#This Row],[Popolazione2011]]/Comuni__2[[#This Row],[POPOLAZIONE TOTALE DI OGNI REGIONE (CON FILTRO)]]</f>
        <v>8.2121571035529306E-4</v>
      </c>
      <c r="H5796" t="str">
        <f>IF(Comuni__2[[#This Row],[Popolazione2011]]&gt;300000,"MAGGIORE","")</f>
        <v/>
      </c>
      <c r="J5796">
        <v>1477</v>
      </c>
      <c r="K5796">
        <v>4189</v>
      </c>
      <c r="L5796">
        <v>1059</v>
      </c>
    </row>
    <row r="5797" spans="1:12" x14ac:dyDescent="0.2">
      <c r="A5797"/>
      <c r="B5797"/>
      <c r="C5797"/>
      <c r="D5797"/>
      <c r="E5797" s="2">
        <f>Comuni__2[[#This Row],[Popolazione2011]]/$D$7911</f>
        <v>5.1713915790661598E-5</v>
      </c>
      <c r="F5797">
        <f>SUMIFS($D$2:$D$7909, $B$2:$B$7909, "Puglia")</f>
        <v>4050093</v>
      </c>
      <c r="G5797" s="1">
        <f>Comuni__2[[#This Row],[Popolazione2011]]/Comuni__2[[#This Row],[POPOLAZIONE TOTALE DI OGNI REGIONE (CON FILTRO)]]</f>
        <v>7.5874800899633661E-4</v>
      </c>
      <c r="H5797" t="str">
        <f>IF(Comuni__2[[#This Row],[Popolazione2011]]&gt;300000,"MAGGIORE","")</f>
        <v/>
      </c>
      <c r="J5797">
        <v>1448</v>
      </c>
      <c r="K5797">
        <v>4638</v>
      </c>
      <c r="L5797">
        <v>1087</v>
      </c>
    </row>
    <row r="5798" spans="1:12" x14ac:dyDescent="0.2">
      <c r="A5798"/>
      <c r="B5798"/>
      <c r="C5798"/>
      <c r="D5798"/>
      <c r="E5798" s="2">
        <f>Comuni__2[[#This Row],[Popolazione2011]]/$D$7911</f>
        <v>5.1023948154014309E-5</v>
      </c>
      <c r="F5798">
        <f>SUMIFS($D$2:$D$7909, $B$2:$B$7909, "Puglia")</f>
        <v>4050093</v>
      </c>
      <c r="G5798" s="1">
        <f>Comuni__2[[#This Row],[Popolazione2011]]/Comuni__2[[#This Row],[POPOLAZIONE TOTALE DI OGNI REGIONE (CON FILTRO)]]</f>
        <v>7.4862478466543856E-4</v>
      </c>
      <c r="H5798" t="str">
        <f>IF(Comuni__2[[#This Row],[Popolazione2011]]&gt;300000,"MAGGIORE","")</f>
        <v/>
      </c>
      <c r="J5798">
        <v>1453</v>
      </c>
      <c r="K5798">
        <v>4954</v>
      </c>
      <c r="L5798">
        <v>1112</v>
      </c>
    </row>
    <row r="5799" spans="1:12" x14ac:dyDescent="0.2">
      <c r="A5799"/>
      <c r="B5799"/>
      <c r="C5799"/>
      <c r="D5799"/>
      <c r="E5799" s="2">
        <f>Comuni__2[[#This Row],[Popolazione2011]]/$D$7911</f>
        <v>5.0064724854285143E-5</v>
      </c>
      <c r="F5799">
        <f>SUMIFS($D$2:$D$7909, $B$2:$B$7909, "Puglia")</f>
        <v>4050093</v>
      </c>
      <c r="G5799" s="1">
        <f>Comuni__2[[#This Row],[Popolazione2011]]/Comuni__2[[#This Row],[POPOLAZIONE TOTALE DI OGNI REGIONE (CON FILTRO)]]</f>
        <v>7.3455103376638515E-4</v>
      </c>
      <c r="H5799" t="str">
        <f>IF(Comuni__2[[#This Row],[Popolazione2011]]&gt;300000,"MAGGIORE","")</f>
        <v/>
      </c>
      <c r="J5799">
        <v>1407</v>
      </c>
      <c r="K5799">
        <v>5173</v>
      </c>
      <c r="L5799">
        <v>1154</v>
      </c>
    </row>
    <row r="5800" spans="1:12" x14ac:dyDescent="0.2">
      <c r="A5800"/>
      <c r="B5800"/>
      <c r="C5800"/>
      <c r="D5800"/>
      <c r="E5800" s="2">
        <f>Comuni__2[[#This Row],[Popolazione2011]]/$D$7911</f>
        <v>4.9324271780810006E-5</v>
      </c>
      <c r="F5800">
        <f>SUMIFS($D$2:$D$7909, $B$2:$B$7909, "Puglia")</f>
        <v>4050093</v>
      </c>
      <c r="G5800" s="1">
        <f>Comuni__2[[#This Row],[Popolazione2011]]/Comuni__2[[#This Row],[POPOLAZIONE TOTALE DI OGNI REGIONE (CON FILTRO)]]</f>
        <v>7.2368708570395791E-4</v>
      </c>
      <c r="H5800" t="str">
        <f>IF(Comuni__2[[#This Row],[Popolazione2011]]&gt;300000,"MAGGIORE","")</f>
        <v/>
      </c>
      <c r="J5800">
        <v>1368</v>
      </c>
      <c r="K5800">
        <v>5566</v>
      </c>
      <c r="L5800">
        <v>1181</v>
      </c>
    </row>
    <row r="5801" spans="1:12" x14ac:dyDescent="0.2">
      <c r="A5801"/>
      <c r="B5801"/>
      <c r="C5801"/>
      <c r="D5801"/>
      <c r="E5801" s="2">
        <f>Comuni__2[[#This Row],[Popolazione2011]]/$D$7911</f>
        <v>4.9038187638785518E-5</v>
      </c>
      <c r="F5801">
        <f>SUMIFS($D$2:$D$7909, $B$2:$B$7909, "Puglia")</f>
        <v>4050093</v>
      </c>
      <c r="G5801" s="1">
        <f>Comuni__2[[#This Row],[Popolazione2011]]/Comuni__2[[#This Row],[POPOLAZIONE TOTALE DI OGNI REGIONE (CON FILTRO)]]</f>
        <v>7.194896512252929E-4</v>
      </c>
      <c r="H5801" t="str">
        <f>IF(Comuni__2[[#This Row],[Popolazione2011]]&gt;300000,"MAGGIORE","")</f>
        <v/>
      </c>
      <c r="J5801">
        <v>1329</v>
      </c>
      <c r="K5801">
        <v>5750</v>
      </c>
      <c r="L5801">
        <v>1206</v>
      </c>
    </row>
    <row r="5802" spans="1:12" x14ac:dyDescent="0.2">
      <c r="A5802"/>
      <c r="B5802"/>
      <c r="C5802"/>
      <c r="D5802"/>
      <c r="E5802" s="2">
        <f>Comuni__2[[#This Row],[Popolazione2011]]/$D$7911</f>
        <v>4.8331391523195607E-5</v>
      </c>
      <c r="F5802">
        <f>SUMIFS($D$2:$D$7909, $B$2:$B$7909, "Puglia")</f>
        <v>4050093</v>
      </c>
      <c r="G5802" s="1">
        <f>Comuni__2[[#This Row],[Popolazione2011]]/Comuni__2[[#This Row],[POPOLAZIONE TOTALE DI OGNI REGIONE (CON FILTRO)]]</f>
        <v>7.0911951898388508E-4</v>
      </c>
      <c r="H5802" t="str">
        <f>IF(Comuni__2[[#This Row],[Popolazione2011]]&gt;300000,"MAGGIORE","")</f>
        <v/>
      </c>
      <c r="J5802">
        <v>1289</v>
      </c>
      <c r="K5802">
        <v>6306</v>
      </c>
      <c r="L5802">
        <v>1244</v>
      </c>
    </row>
    <row r="5803" spans="1:12" x14ac:dyDescent="0.2">
      <c r="A5803"/>
      <c r="B5803"/>
      <c r="C5803"/>
      <c r="D5803"/>
      <c r="E5803" s="2">
        <f>Comuni__2[[#This Row],[Popolazione2011]]/$D$7911</f>
        <v>4.7977993465400655E-5</v>
      </c>
      <c r="F5803">
        <f>SUMIFS($D$2:$D$7909, $B$2:$B$7909, "Puglia")</f>
        <v>4050093</v>
      </c>
      <c r="G5803" s="1">
        <f>Comuni__2[[#This Row],[Popolazione2011]]/Comuni__2[[#This Row],[POPOLAZIONE TOTALE DI OGNI REGIONE (CON FILTRO)]]</f>
        <v>7.0393445286318112E-4</v>
      </c>
      <c r="H5803" t="str">
        <f>IF(Comuni__2[[#This Row],[Popolazione2011]]&gt;300000,"MAGGIORE","")</f>
        <v/>
      </c>
      <c r="J5803">
        <v>1234</v>
      </c>
      <c r="K5803">
        <v>6671</v>
      </c>
      <c r="L5803">
        <v>1288</v>
      </c>
    </row>
    <row r="5804" spans="1:12" x14ac:dyDescent="0.2">
      <c r="A5804"/>
      <c r="B5804"/>
      <c r="C5804"/>
      <c r="D5804"/>
      <c r="E5804" s="2">
        <f>Comuni__2[[#This Row],[Popolazione2011]]/$D$7911</f>
        <v>4.7439482139236919E-5</v>
      </c>
      <c r="F5804">
        <f>SUMIFS($D$2:$D$7909, $B$2:$B$7909, "Puglia")</f>
        <v>4050093</v>
      </c>
      <c r="G5804" s="1">
        <f>Comuni__2[[#This Row],[Popolazione2011]]/Comuni__2[[#This Row],[POPOLAZIONE TOTALE DI OGNI REGIONE (CON FILTRO)]]</f>
        <v>6.9603339972687051E-4</v>
      </c>
      <c r="H5804" t="str">
        <f>IF(Comuni__2[[#This Row],[Popolazione2011]]&gt;300000,"MAGGIORE","")</f>
        <v/>
      </c>
      <c r="J5804">
        <v>1221</v>
      </c>
      <c r="K5804">
        <v>7018</v>
      </c>
      <c r="L5804">
        <v>1315</v>
      </c>
    </row>
    <row r="5805" spans="1:12" x14ac:dyDescent="0.2">
      <c r="A5805"/>
      <c r="B5805"/>
      <c r="C5805"/>
      <c r="D5805"/>
      <c r="E5805" s="2">
        <f>Comuni__2[[#This Row],[Popolazione2011]]/$D$7911</f>
        <v>4.6194174697483271E-5</v>
      </c>
      <c r="F5805">
        <f>SUMIFS($D$2:$D$7909, $B$2:$B$7909, "Puglia")</f>
        <v>4050093</v>
      </c>
      <c r="G5805" s="1">
        <f>Comuni__2[[#This Row],[Popolazione2011]]/Comuni__2[[#This Row],[POPOLAZIONE TOTALE DI OGNI REGIONE (CON FILTRO)]]</f>
        <v>6.7776221434915197E-4</v>
      </c>
      <c r="H5805" t="str">
        <f>IF(Comuni__2[[#This Row],[Popolazione2011]]&gt;300000,"MAGGIORE","")</f>
        <v/>
      </c>
      <c r="J5805">
        <v>1222</v>
      </c>
      <c r="K5805">
        <v>7375</v>
      </c>
      <c r="L5805">
        <v>1344</v>
      </c>
    </row>
    <row r="5806" spans="1:12" x14ac:dyDescent="0.2">
      <c r="A5806"/>
      <c r="B5806"/>
      <c r="C5806"/>
      <c r="D5806"/>
      <c r="E5806" s="2">
        <f>Comuni__2[[#This Row],[Popolazione2011]]/$D$7911</f>
        <v>4.5319093792467192E-5</v>
      </c>
      <c r="F5806">
        <f>SUMIFS($D$2:$D$7909, $B$2:$B$7909, "Puglia")</f>
        <v>4050093</v>
      </c>
      <c r="G5806" s="1">
        <f>Comuni__2[[#This Row],[Popolazione2011]]/Comuni__2[[#This Row],[POPOLAZIONE TOTALE DI OGNI REGIONE (CON FILTRO)]]</f>
        <v>6.6492300300264706E-4</v>
      </c>
      <c r="H5806" t="str">
        <f>IF(Comuni__2[[#This Row],[Popolazione2011]]&gt;300000,"MAGGIORE","")</f>
        <v/>
      </c>
      <c r="J5806">
        <v>1187</v>
      </c>
      <c r="K5806">
        <v>7699</v>
      </c>
      <c r="L5806">
        <v>1408</v>
      </c>
    </row>
    <row r="5807" spans="1:12" x14ac:dyDescent="0.2">
      <c r="A5807"/>
      <c r="B5807"/>
      <c r="C5807"/>
      <c r="D5807"/>
      <c r="E5807" s="2">
        <f>Comuni__2[[#This Row],[Popolazione2011]]/$D$7911</f>
        <v>4.504983812938532E-5</v>
      </c>
      <c r="F5807">
        <f>SUMIFS($D$2:$D$7909, $B$2:$B$7909, "Puglia")</f>
        <v>4050093</v>
      </c>
      <c r="G5807" s="1">
        <f>Comuni__2[[#This Row],[Popolazione2011]]/Comuni__2[[#This Row],[POPOLAZIONE TOTALE DI OGNI REGIONE (CON FILTRO)]]</f>
        <v>6.609724764344917E-4</v>
      </c>
      <c r="H5807" t="str">
        <f>IF(Comuni__2[[#This Row],[Popolazione2011]]&gt;300000,"MAGGIORE","")</f>
        <v/>
      </c>
      <c r="J5807">
        <v>1156</v>
      </c>
      <c r="K5807">
        <v>8019</v>
      </c>
      <c r="L5807">
        <v>1437</v>
      </c>
    </row>
    <row r="5808" spans="1:12" x14ac:dyDescent="0.2">
      <c r="A5808"/>
      <c r="B5808"/>
      <c r="C5808"/>
      <c r="D5808"/>
      <c r="E5808" s="2">
        <f>Comuni__2[[#This Row],[Popolazione2011]]/$D$7911</f>
        <v>4.4662783113705136E-5</v>
      </c>
      <c r="F5808">
        <f>SUMIFS($D$2:$D$7909, $B$2:$B$7909, "Puglia")</f>
        <v>4050093</v>
      </c>
      <c r="G5808" s="1">
        <f>Comuni__2[[#This Row],[Popolazione2011]]/Comuni__2[[#This Row],[POPOLAZIONE TOTALE DI OGNI REGIONE (CON FILTRO)]]</f>
        <v>6.5529359449276842E-4</v>
      </c>
      <c r="H5808" t="str">
        <f>IF(Comuni__2[[#This Row],[Popolazione2011]]&gt;300000,"MAGGIORE","")</f>
        <v/>
      </c>
      <c r="J5808">
        <v>1126</v>
      </c>
      <c r="K5808">
        <v>8354</v>
      </c>
      <c r="L5808">
        <v>1459</v>
      </c>
    </row>
    <row r="5809" spans="1:12" x14ac:dyDescent="0.2">
      <c r="A5809"/>
      <c r="B5809"/>
      <c r="C5809"/>
      <c r="D5809"/>
      <c r="E5809" s="2">
        <f>Comuni__2[[#This Row],[Popolazione2011]]/$D$7911</f>
        <v>4.3451132629836721E-5</v>
      </c>
      <c r="F5809">
        <f>SUMIFS($D$2:$D$7909, $B$2:$B$7909, "Puglia")</f>
        <v>4050093</v>
      </c>
      <c r="G5809" s="1">
        <f>Comuni__2[[#This Row],[Popolazione2011]]/Comuni__2[[#This Row],[POPOLAZIONE TOTALE DI OGNI REGIONE (CON FILTRO)]]</f>
        <v>6.3751622493606942E-4</v>
      </c>
      <c r="H5809" t="str">
        <f>IF(Comuni__2[[#This Row],[Popolazione2011]]&gt;300000,"MAGGIORE","")</f>
        <v/>
      </c>
      <c r="J5809">
        <v>1087</v>
      </c>
      <c r="K5809">
        <v>8840</v>
      </c>
      <c r="L5809">
        <v>1479</v>
      </c>
    </row>
    <row r="5810" spans="1:12" x14ac:dyDescent="0.2">
      <c r="A5810"/>
      <c r="B5810"/>
      <c r="C5810"/>
      <c r="D5810"/>
      <c r="E5810" s="2">
        <f>Comuni__2[[#This Row],[Popolazione2011]]/$D$7911</f>
        <v>4.1330744283067001E-5</v>
      </c>
      <c r="F5810">
        <f>SUMIFS($D$2:$D$7909, $B$2:$B$7909, "Puglia")</f>
        <v>4050093</v>
      </c>
      <c r="G5810" s="1">
        <f>Comuni__2[[#This Row],[Popolazione2011]]/Comuni__2[[#This Row],[POPOLAZIONE TOTALE DI OGNI REGIONE (CON FILTRO)]]</f>
        <v>6.0640582821184597E-4</v>
      </c>
      <c r="H5810" t="str">
        <f>IF(Comuni__2[[#This Row],[Popolazione2011]]&gt;300000,"MAGGIORE","")</f>
        <v/>
      </c>
      <c r="J5810">
        <v>1078</v>
      </c>
      <c r="K5810">
        <v>9291</v>
      </c>
      <c r="L5810">
        <v>1502</v>
      </c>
    </row>
    <row r="5811" spans="1:12" x14ac:dyDescent="0.2">
      <c r="A5811"/>
      <c r="B5811"/>
      <c r="C5811"/>
      <c r="D5811"/>
      <c r="E5811" s="2">
        <f>Comuni__2[[#This Row],[Popolazione2011]]/$D$7911</f>
        <v>4.082588991478849E-5</v>
      </c>
      <c r="F5811">
        <f>SUMIFS($D$2:$D$7909, $B$2:$B$7909, "Puglia")</f>
        <v>4050093</v>
      </c>
      <c r="G5811" s="1">
        <f>Comuni__2[[#This Row],[Popolazione2011]]/Comuni__2[[#This Row],[POPOLAZIONE TOTALE DI OGNI REGIONE (CON FILTRO)]]</f>
        <v>5.9899859089655467E-4</v>
      </c>
      <c r="H5811" t="str">
        <f>IF(Comuni__2[[#This Row],[Popolazione2011]]&gt;300000,"MAGGIORE","")</f>
        <v/>
      </c>
      <c r="J5811">
        <v>1058</v>
      </c>
      <c r="K5811">
        <v>9503</v>
      </c>
      <c r="L5811">
        <v>1516</v>
      </c>
    </row>
    <row r="5812" spans="1:12" x14ac:dyDescent="0.2">
      <c r="A5812"/>
      <c r="B5812"/>
      <c r="C5812"/>
      <c r="D5812"/>
      <c r="E5812" s="2">
        <f>Comuni__2[[#This Row],[Popolazione2011]]/$D$7911</f>
        <v>4.0691262083247554E-5</v>
      </c>
      <c r="F5812">
        <f>SUMIFS($D$2:$D$7909, $B$2:$B$7909, "Puglia")</f>
        <v>4050093</v>
      </c>
      <c r="G5812" s="1">
        <f>Comuni__2[[#This Row],[Popolazione2011]]/Comuni__2[[#This Row],[POPOLAZIONE TOTALE DI OGNI REGIONE (CON FILTRO)]]</f>
        <v>5.970233276124771E-4</v>
      </c>
      <c r="H5812" t="str">
        <f>IF(Comuni__2[[#This Row],[Popolazione2011]]&gt;300000,"MAGGIORE","")</f>
        <v/>
      </c>
      <c r="J5812">
        <v>1056</v>
      </c>
      <c r="K5812">
        <v>9611</v>
      </c>
      <c r="L5812">
        <v>1528</v>
      </c>
    </row>
    <row r="5813" spans="1:12" x14ac:dyDescent="0.2">
      <c r="A5813"/>
      <c r="B5813"/>
      <c r="C5813"/>
      <c r="D5813"/>
      <c r="E5813" s="2">
        <f>Comuni__2[[#This Row],[Popolazione2011]]/$D$7911</f>
        <v>4.030420706756737E-5</v>
      </c>
      <c r="F5813">
        <f>SUMIFS($D$2:$D$7909, $B$2:$B$7909, "Puglia")</f>
        <v>4050093</v>
      </c>
      <c r="G5813" s="1">
        <f>Comuni__2[[#This Row],[Popolazione2011]]/Comuni__2[[#This Row],[POPOLAZIONE TOTALE DI OGNI REGIONE (CON FILTRO)]]</f>
        <v>5.9134444567075371E-4</v>
      </c>
      <c r="H5813" t="str">
        <f>IF(Comuni__2[[#This Row],[Popolazione2011]]&gt;300000,"MAGGIORE","")</f>
        <v/>
      </c>
      <c r="J5813">
        <v>1024</v>
      </c>
      <c r="K5813">
        <v>9741</v>
      </c>
      <c r="L5813">
        <v>1545</v>
      </c>
    </row>
    <row r="5814" spans="1:12" x14ac:dyDescent="0.2">
      <c r="A5814"/>
      <c r="B5814"/>
      <c r="C5814"/>
      <c r="D5814"/>
      <c r="E5814" s="2">
        <f>Comuni__2[[#This Row],[Popolazione2011]]/$D$7911</f>
        <v>3.9698381825633162E-5</v>
      </c>
      <c r="F5814">
        <f>SUMIFS($D$2:$D$7909, $B$2:$B$7909, "Puglia")</f>
        <v>4050093</v>
      </c>
      <c r="G5814" s="1">
        <f>Comuni__2[[#This Row],[Popolazione2011]]/Comuni__2[[#This Row],[POPOLAZIONE TOTALE DI OGNI REGIONE (CON FILTRO)]]</f>
        <v>5.8245576089240416E-4</v>
      </c>
      <c r="H5814" t="str">
        <f>IF(Comuni__2[[#This Row],[Popolazione2011]]&gt;300000,"MAGGIORE","")</f>
        <v/>
      </c>
      <c r="J5814">
        <v>992</v>
      </c>
      <c r="K5814">
        <v>10122</v>
      </c>
      <c r="L5814">
        <v>1568</v>
      </c>
    </row>
    <row r="5815" spans="1:12" x14ac:dyDescent="0.2">
      <c r="A5815"/>
      <c r="B5815"/>
      <c r="C5815"/>
      <c r="D5815"/>
      <c r="E5815" s="2">
        <f>Comuni__2[[#This Row],[Popolazione2011]]/$D$7911</f>
        <v>3.7174109984240635E-5</v>
      </c>
      <c r="F5815">
        <f>SUMIFS($D$2:$D$7909, $B$2:$B$7909, "Puglia")</f>
        <v>4050093</v>
      </c>
      <c r="G5815" s="1">
        <f>Comuni__2[[#This Row],[Popolazione2011]]/Comuni__2[[#This Row],[POPOLAZIONE TOTALE DI OGNI REGIONE (CON FILTRO)]]</f>
        <v>5.4541957431594778E-4</v>
      </c>
      <c r="H5815" t="str">
        <f>IF(Comuni__2[[#This Row],[Popolazione2011]]&gt;300000,"MAGGIORE","")</f>
        <v/>
      </c>
      <c r="J5815">
        <v>959</v>
      </c>
      <c r="K5815">
        <v>10430</v>
      </c>
      <c r="L5815">
        <v>1589</v>
      </c>
    </row>
    <row r="5816" spans="1:12" x14ac:dyDescent="0.2">
      <c r="A5816"/>
      <c r="B5816"/>
      <c r="C5816"/>
      <c r="D5816"/>
      <c r="E5816" s="2">
        <f>Comuni__2[[#This Row],[Popolazione2011]]/$D$7911</f>
        <v>3.7022653673757083E-5</v>
      </c>
      <c r="F5816">
        <f>SUMIFS($D$2:$D$7909, $B$2:$B$7909, "Puglia")</f>
        <v>4050093</v>
      </c>
      <c r="G5816" s="1">
        <f>Comuni__2[[#This Row],[Popolazione2011]]/Comuni__2[[#This Row],[POPOLAZIONE TOTALE DI OGNI REGIONE (CON FILTRO)]]</f>
        <v>5.4319740312136044E-4</v>
      </c>
      <c r="H5816" t="str">
        <f>IF(Comuni__2[[#This Row],[Popolazione2011]]&gt;300000,"MAGGIORE","")</f>
        <v/>
      </c>
      <c r="J5816">
        <v>910</v>
      </c>
      <c r="K5816">
        <v>10804</v>
      </c>
      <c r="L5816">
        <v>1627</v>
      </c>
    </row>
    <row r="5817" spans="1:12" x14ac:dyDescent="0.2">
      <c r="A5817"/>
      <c r="B5817"/>
      <c r="C5817"/>
      <c r="D5817"/>
      <c r="E5817" s="2">
        <f>Comuni__2[[#This Row],[Popolazione2011]]/$D$7911</f>
        <v>3.6383171473937643E-5</v>
      </c>
      <c r="F5817">
        <f>SUMIFS($D$2:$D$7909, $B$2:$B$7909, "Puglia")</f>
        <v>4050093</v>
      </c>
      <c r="G5817" s="1">
        <f>Comuni__2[[#This Row],[Popolazione2011]]/Comuni__2[[#This Row],[POPOLAZIONE TOTALE DI OGNI REGIONE (CON FILTRO)]]</f>
        <v>5.3381490252199146E-4</v>
      </c>
      <c r="H5817" t="str">
        <f>IF(Comuni__2[[#This Row],[Popolazione2011]]&gt;300000,"MAGGIORE","")</f>
        <v/>
      </c>
      <c r="J5817">
        <v>475</v>
      </c>
      <c r="K5817">
        <v>11151</v>
      </c>
      <c r="L5817">
        <v>1643</v>
      </c>
    </row>
    <row r="5818" spans="1:12" x14ac:dyDescent="0.2">
      <c r="A5818"/>
      <c r="B5818"/>
      <c r="C5818"/>
      <c r="D5818"/>
      <c r="E5818" s="2">
        <f>Comuni__2[[#This Row],[Popolazione2011]]/$D$7911</f>
        <v>3.5659546879405116E-5</v>
      </c>
      <c r="F5818">
        <f>SUMIFS($D$2:$D$7909, $B$2:$B$7909, "Puglia")</f>
        <v>4050093</v>
      </c>
      <c r="G5818" s="1">
        <f>Comuni__2[[#This Row],[Popolazione2011]]/Comuni__2[[#This Row],[POPOLAZIONE TOTALE DI OGNI REGIONE (CON FILTRO)]]</f>
        <v>5.2319786237007399E-4</v>
      </c>
      <c r="H5818" t="str">
        <f>IF(Comuni__2[[#This Row],[Popolazione2011]]&gt;300000,"MAGGIORE","")</f>
        <v/>
      </c>
      <c r="J5818">
        <v>445</v>
      </c>
      <c r="K5818">
        <v>11474</v>
      </c>
      <c r="L5818">
        <v>1657</v>
      </c>
    </row>
    <row r="5819" spans="1:12" x14ac:dyDescent="0.2">
      <c r="A5819"/>
      <c r="B5819"/>
      <c r="C5819"/>
      <c r="D5819"/>
      <c r="E5819" s="2">
        <f>Comuni__2[[#This Row],[Popolazione2011]]/$D$7911</f>
        <v>3.5423948174208483E-5</v>
      </c>
      <c r="F5819">
        <f>SUMIFS($D$2:$D$7909, $B$2:$B$7909, "Puglia")</f>
        <v>4050093</v>
      </c>
      <c r="G5819" s="1">
        <f>Comuni__2[[#This Row],[Popolazione2011]]/Comuni__2[[#This Row],[POPOLAZIONE TOTALE DI OGNI REGIONE (CON FILTRO)]]</f>
        <v>5.1974115162293805E-4</v>
      </c>
      <c r="H5819" t="str">
        <f>IF(Comuni__2[[#This Row],[Popolazione2011]]&gt;300000,"MAGGIORE","")</f>
        <v/>
      </c>
      <c r="J5819">
        <v>438</v>
      </c>
      <c r="K5819">
        <v>11615</v>
      </c>
      <c r="L5819">
        <v>1666</v>
      </c>
    </row>
    <row r="5820" spans="1:12" x14ac:dyDescent="0.2">
      <c r="A5820"/>
      <c r="B5820"/>
      <c r="C5820"/>
      <c r="D5820"/>
      <c r="E5820" s="2">
        <f>Comuni__2[[#This Row],[Popolazione2011]]/$D$7911</f>
        <v>3.5272491863724931E-5</v>
      </c>
      <c r="F5820">
        <f>SUMIFS($D$2:$D$7909, $B$2:$B$7909, "Puglia")</f>
        <v>4050093</v>
      </c>
      <c r="G5820" s="1">
        <f>Comuni__2[[#This Row],[Popolazione2011]]/Comuni__2[[#This Row],[POPOLAZIONE TOTALE DI OGNI REGIONE (CON FILTRO)]]</f>
        <v>5.1751898042835061E-4</v>
      </c>
      <c r="H5820" t="str">
        <f>IF(Comuni__2[[#This Row],[Popolazione2011]]&gt;300000,"MAGGIORE","")</f>
        <v/>
      </c>
      <c r="J5820">
        <v>426</v>
      </c>
      <c r="K5820">
        <v>11906</v>
      </c>
      <c r="L5820">
        <v>1686</v>
      </c>
    </row>
    <row r="5821" spans="1:12" x14ac:dyDescent="0.2">
      <c r="A5821"/>
      <c r="B5821"/>
      <c r="C5821"/>
      <c r="D5821"/>
      <c r="E5821" s="2">
        <f>Comuni__2[[#This Row],[Popolazione2011]]/$D$7911</f>
        <v>3.4633009663905491E-5</v>
      </c>
      <c r="F5821">
        <f>SUMIFS($D$2:$D$7909, $B$2:$B$7909, "Puglia")</f>
        <v>4050093</v>
      </c>
      <c r="G5821" s="1">
        <f>Comuni__2[[#This Row],[Popolazione2011]]/Comuni__2[[#This Row],[POPOLAZIONE TOTALE DI OGNI REGIONE (CON FILTRO)]]</f>
        <v>5.0813647982898174E-4</v>
      </c>
      <c r="H5821" t="str">
        <f>IF(Comuni__2[[#This Row],[Popolazione2011]]&gt;300000,"MAGGIORE","")</f>
        <v/>
      </c>
      <c r="J5821">
        <v>394</v>
      </c>
      <c r="K5821">
        <v>12081</v>
      </c>
      <c r="L5821">
        <v>1712</v>
      </c>
    </row>
    <row r="5822" spans="1:12" x14ac:dyDescent="0.2">
      <c r="A5822"/>
      <c r="B5822"/>
      <c r="C5822"/>
      <c r="D5822"/>
      <c r="E5822" s="2">
        <f>Comuni__2[[#This Row],[Popolazione2011]]/$D$7911</f>
        <v>3.2882847853873333E-5</v>
      </c>
      <c r="F5822">
        <f>SUMIFS($D$2:$D$7909, $B$2:$B$7909, "Puglia")</f>
        <v>4050093</v>
      </c>
      <c r="G5822" s="1">
        <f>Comuni__2[[#This Row],[Popolazione2011]]/Comuni__2[[#This Row],[POPOLAZIONE TOTALE DI OGNI REGIONE (CON FILTRO)]]</f>
        <v>4.8245805713597196E-4</v>
      </c>
      <c r="H5822" t="str">
        <f>IF(Comuni__2[[#This Row],[Popolazione2011]]&gt;300000,"MAGGIORE","")</f>
        <v/>
      </c>
      <c r="J5822">
        <v>368</v>
      </c>
      <c r="K5822">
        <v>12384</v>
      </c>
      <c r="L5822">
        <v>1743</v>
      </c>
    </row>
    <row r="5823" spans="1:12" x14ac:dyDescent="0.2">
      <c r="A5823"/>
      <c r="B5823"/>
      <c r="C5823"/>
      <c r="D5823"/>
      <c r="E5823" s="2">
        <f>Comuni__2[[#This Row],[Popolazione2011]]/$D$7911</f>
        <v>3.2630420669734084E-5</v>
      </c>
      <c r="F5823">
        <f>SUMIFS($D$2:$D$7909, $B$2:$B$7909, "Puglia")</f>
        <v>4050093</v>
      </c>
      <c r="G5823" s="1">
        <f>Comuni__2[[#This Row],[Popolazione2011]]/Comuni__2[[#This Row],[POPOLAZIONE TOTALE DI OGNI REGIONE (CON FILTRO)]]</f>
        <v>4.7875443847832631E-4</v>
      </c>
      <c r="H5823" t="str">
        <f>IF(Comuni__2[[#This Row],[Popolazione2011]]&gt;300000,"MAGGIORE","")</f>
        <v/>
      </c>
      <c r="J5823">
        <v>335</v>
      </c>
      <c r="K5823">
        <v>12688</v>
      </c>
      <c r="L5823">
        <v>1762</v>
      </c>
    </row>
    <row r="5824" spans="1:12" x14ac:dyDescent="0.2">
      <c r="A5824"/>
      <c r="B5824"/>
      <c r="C5824"/>
      <c r="D5824"/>
      <c r="E5824" s="2">
        <f>Comuni__2[[#This Row],[Popolazione2011]]/$D$7911</f>
        <v>3.24453074013653E-5</v>
      </c>
      <c r="F5824">
        <f>SUMIFS($D$2:$D$7909, $B$2:$B$7909, "Puglia")</f>
        <v>4050093</v>
      </c>
      <c r="G5824" s="1">
        <f>Comuni__2[[#This Row],[Popolazione2011]]/Comuni__2[[#This Row],[POPOLAZIONE TOTALE DI OGNI REGIONE (CON FILTRO)]]</f>
        <v>4.760384514627195E-4</v>
      </c>
      <c r="H5824" t="str">
        <f>IF(Comuni__2[[#This Row],[Popolazione2011]]&gt;300000,"MAGGIORE","")</f>
        <v/>
      </c>
      <c r="J5824">
        <v>310</v>
      </c>
      <c r="K5824">
        <v>12983</v>
      </c>
      <c r="L5824">
        <v>1783</v>
      </c>
    </row>
    <row r="5825" spans="1:12" x14ac:dyDescent="0.2">
      <c r="A5825"/>
      <c r="B5825"/>
      <c r="C5825"/>
      <c r="D5825"/>
      <c r="E5825" s="2">
        <f>Comuni__2[[#This Row],[Popolazione2011]]/$D$7911</f>
        <v>3.2361165006652213E-5</v>
      </c>
      <c r="F5825">
        <f>SUMIFS($D$2:$D$7909, $B$2:$B$7909, "Puglia")</f>
        <v>4050093</v>
      </c>
      <c r="G5825" s="1">
        <f>Comuni__2[[#This Row],[Popolazione2011]]/Comuni__2[[#This Row],[POPOLAZIONE TOTALE DI OGNI REGIONE (CON FILTRO)]]</f>
        <v>4.7480391191017095E-4</v>
      </c>
      <c r="H5825" t="str">
        <f>IF(Comuni__2[[#This Row],[Popolazione2011]]&gt;300000,"MAGGIORE","")</f>
        <v/>
      </c>
      <c r="J5825">
        <v>295</v>
      </c>
      <c r="K5825">
        <v>13106</v>
      </c>
      <c r="L5825">
        <v>1794</v>
      </c>
    </row>
    <row r="5826" spans="1:12" x14ac:dyDescent="0.2">
      <c r="A5826"/>
      <c r="B5826"/>
      <c r="C5826"/>
      <c r="D5826"/>
      <c r="E5826" s="2">
        <f>Comuni__2[[#This Row],[Popolazione2011]]/$D$7911</f>
        <v>3.1620711933177069E-5</v>
      </c>
      <c r="F5826">
        <f>SUMIFS($D$2:$D$7909, $B$2:$B$7909, "Puglia")</f>
        <v>4050093</v>
      </c>
      <c r="G5826" s="1">
        <f>Comuni__2[[#This Row],[Popolazione2011]]/Comuni__2[[#This Row],[POPOLAZIONE TOTALE DI OGNI REGIONE (CON FILTRO)]]</f>
        <v>4.6393996384774377E-4</v>
      </c>
      <c r="H5826" t="str">
        <f>IF(Comuni__2[[#This Row],[Popolazione2011]]&gt;300000,"MAGGIORE","")</f>
        <v/>
      </c>
      <c r="J5826">
        <v>285</v>
      </c>
      <c r="K5826">
        <v>13143</v>
      </c>
      <c r="L5826">
        <v>1803</v>
      </c>
    </row>
    <row r="5827" spans="1:12" x14ac:dyDescent="0.2">
      <c r="A5827"/>
      <c r="B5827"/>
      <c r="C5827"/>
      <c r="D5827"/>
      <c r="E5827" s="2">
        <f>Comuni__2[[#This Row],[Popolazione2011]]/$D$7911</f>
        <v>3.0678317112390525E-5</v>
      </c>
      <c r="F5827">
        <f>SUMIFS($D$2:$D$7909, $B$2:$B$7909, "Puglia")</f>
        <v>4050093</v>
      </c>
      <c r="G5827" s="1">
        <f>Comuni__2[[#This Row],[Popolazione2011]]/Comuni__2[[#This Row],[POPOLAZIONE TOTALE DI OGNI REGIONE (CON FILTRO)]]</f>
        <v>4.5011312085920001E-4</v>
      </c>
      <c r="H5827" t="str">
        <f>IF(Comuni__2[[#This Row],[Popolazione2011]]&gt;300000,"MAGGIORE","")</f>
        <v/>
      </c>
      <c r="J5827">
        <v>277</v>
      </c>
      <c r="K5827">
        <v>13423</v>
      </c>
      <c r="L5827">
        <v>1820</v>
      </c>
    </row>
    <row r="5828" spans="1:12" x14ac:dyDescent="0.2">
      <c r="A5828"/>
      <c r="B5828"/>
      <c r="C5828"/>
      <c r="D5828"/>
      <c r="E5828" s="2">
        <f>Comuni__2[[#This Row],[Popolazione2011]]/$D$7911</f>
        <v>2.9971520996800621E-5</v>
      </c>
      <c r="F5828">
        <f>SUMIFS($D$2:$D$7909, $B$2:$B$7909, "Puglia")</f>
        <v>4050093</v>
      </c>
      <c r="G5828" s="1">
        <f>Comuni__2[[#This Row],[Popolazione2011]]/Comuni__2[[#This Row],[POPOLAZIONE TOTALE DI OGNI REGIONE (CON FILTRO)]]</f>
        <v>4.3974298861779225E-4</v>
      </c>
      <c r="H5828" t="str">
        <f>IF(Comuni__2[[#This Row],[Popolazione2011]]&gt;300000,"MAGGIORE","")</f>
        <v/>
      </c>
      <c r="J5828">
        <v>271</v>
      </c>
      <c r="K5828">
        <v>13666</v>
      </c>
      <c r="L5828">
        <v>1832</v>
      </c>
    </row>
    <row r="5829" spans="1:12" x14ac:dyDescent="0.2">
      <c r="A5829"/>
      <c r="B5829"/>
      <c r="C5829"/>
      <c r="D5829"/>
      <c r="E5829" s="2">
        <f>Comuni__2[[#This Row],[Popolazione2011]]/$D$7911</f>
        <v>2.9820064686317069E-5</v>
      </c>
      <c r="F5829">
        <f>SUMIFS($D$2:$D$7909, $B$2:$B$7909, "Puglia")</f>
        <v>4050093</v>
      </c>
      <c r="G5829" s="1">
        <f>Comuni__2[[#This Row],[Popolazione2011]]/Comuni__2[[#This Row],[POPOLAZIONE TOTALE DI OGNI REGIONE (CON FILTRO)]]</f>
        <v>4.3752081742320486E-4</v>
      </c>
      <c r="H5829" t="str">
        <f>IF(Comuni__2[[#This Row],[Popolazione2011]]&gt;300000,"MAGGIORE","")</f>
        <v/>
      </c>
      <c r="J5829">
        <v>252</v>
      </c>
      <c r="K5829">
        <v>13911</v>
      </c>
      <c r="L5829">
        <v>1841</v>
      </c>
    </row>
    <row r="5830" spans="1:12" x14ac:dyDescent="0.2">
      <c r="A5830"/>
      <c r="B5830"/>
      <c r="C5830"/>
      <c r="D5830"/>
      <c r="E5830" s="2">
        <f>Comuni__2[[#This Row],[Popolazione2011]]/$D$7911</f>
        <v>2.9517152065349965E-5</v>
      </c>
      <c r="F5830">
        <f>SUMIFS($D$2:$D$7909, $B$2:$B$7909, "Puglia")</f>
        <v>4050093</v>
      </c>
      <c r="G5830" s="1">
        <f>Comuni__2[[#This Row],[Popolazione2011]]/Comuni__2[[#This Row],[POPOLAZIONE TOTALE DI OGNI REGIONE (CON FILTRO)]]</f>
        <v>4.3307647503403008E-4</v>
      </c>
      <c r="H5830" t="str">
        <f>IF(Comuni__2[[#This Row],[Popolazione2011]]&gt;300000,"MAGGIORE","")</f>
        <v/>
      </c>
      <c r="J5830">
        <v>227</v>
      </c>
      <c r="K5830">
        <v>14182</v>
      </c>
      <c r="L5830">
        <v>1854</v>
      </c>
    </row>
    <row r="5831" spans="1:12" x14ac:dyDescent="0.2">
      <c r="A5831"/>
      <c r="B5831"/>
      <c r="C5831"/>
      <c r="D5831"/>
      <c r="E5831" s="2">
        <f>Comuni__2[[#This Row],[Popolazione2011]]/$D$7911</f>
        <v>2.9113268570727161E-5</v>
      </c>
      <c r="F5831">
        <f>SUMIFS($D$2:$D$7909, $B$2:$B$7909, "Puglia")</f>
        <v>4050093</v>
      </c>
      <c r="G5831" s="1">
        <f>Comuni__2[[#This Row],[Popolazione2011]]/Comuni__2[[#This Row],[POPOLAZIONE TOTALE DI OGNI REGIONE (CON FILTRO)]]</f>
        <v>4.2715068518179704E-4</v>
      </c>
      <c r="H5831" t="str">
        <f>IF(Comuni__2[[#This Row],[Popolazione2011]]&gt;300000,"MAGGIORE","")</f>
        <v/>
      </c>
      <c r="J5831">
        <v>219</v>
      </c>
      <c r="K5831">
        <v>14363</v>
      </c>
      <c r="L5831">
        <v>1865</v>
      </c>
    </row>
    <row r="5832" spans="1:12" x14ac:dyDescent="0.2">
      <c r="A5832"/>
      <c r="B5832"/>
      <c r="C5832"/>
      <c r="D5832"/>
      <c r="E5832" s="2">
        <f>Comuni__2[[#This Row],[Popolazione2011]]/$D$7911</f>
        <v>2.9012297697071458E-5</v>
      </c>
      <c r="F5832">
        <f>SUMIFS($D$2:$D$7909, $B$2:$B$7909, "Puglia")</f>
        <v>4050093</v>
      </c>
      <c r="G5832" s="1">
        <f>Comuni__2[[#This Row],[Popolazione2011]]/Comuni__2[[#This Row],[POPOLAZIONE TOTALE DI OGNI REGIONE (CON FILTRO)]]</f>
        <v>4.2566923771873878E-4</v>
      </c>
      <c r="H5832" t="str">
        <f>IF(Comuni__2[[#This Row],[Popolazione2011]]&gt;300000,"MAGGIORE","")</f>
        <v/>
      </c>
      <c r="J5832">
        <v>196</v>
      </c>
      <c r="K5832">
        <v>14557</v>
      </c>
      <c r="L5832">
        <v>1869</v>
      </c>
    </row>
    <row r="5833" spans="1:12" x14ac:dyDescent="0.2">
      <c r="A5833"/>
      <c r="B5833"/>
      <c r="C5833"/>
      <c r="D5833"/>
      <c r="E5833" s="2">
        <f>Comuni__2[[#This Row],[Popolazione2011]]/$D$7911</f>
        <v>2.8961812260243609E-5</v>
      </c>
      <c r="F5833">
        <f>SUMIFS($D$2:$D$7909, $B$2:$B$7909, "Puglia")</f>
        <v>4050093</v>
      </c>
      <c r="G5833" s="1">
        <f>Comuni__2[[#This Row],[Popolazione2011]]/Comuni__2[[#This Row],[POPOLAZIONE TOTALE DI OGNI REGIONE (CON FILTRO)]]</f>
        <v>4.2492851398720965E-4</v>
      </c>
      <c r="H5833" t="str">
        <f>IF(Comuni__2[[#This Row],[Popolazione2011]]&gt;300000,"MAGGIORE","")</f>
        <v/>
      </c>
      <c r="J5833">
        <v>189</v>
      </c>
      <c r="K5833">
        <v>14641</v>
      </c>
      <c r="L5833">
        <v>1878</v>
      </c>
    </row>
    <row r="5834" spans="1:12" x14ac:dyDescent="0.2">
      <c r="A5834"/>
      <c r="B5834"/>
      <c r="C5834"/>
      <c r="D5834"/>
      <c r="E5834" s="2">
        <f>Comuni__2[[#This Row],[Popolazione2011]]/$D$7911</f>
        <v>2.8574757244563422E-5</v>
      </c>
      <c r="F5834">
        <f>SUMIFS($D$2:$D$7909, $B$2:$B$7909, "Puglia")</f>
        <v>4050093</v>
      </c>
      <c r="G5834" s="1">
        <f>Comuni__2[[#This Row],[Popolazione2011]]/Comuni__2[[#This Row],[POPOLAZIONE TOTALE DI OGNI REGIONE (CON FILTRO)]]</f>
        <v>4.1924963204548638E-4</v>
      </c>
      <c r="H5834" t="str">
        <f>IF(Comuni__2[[#This Row],[Popolazione2011]]&gt;300000,"MAGGIORE","")</f>
        <v/>
      </c>
      <c r="J5834">
        <v>188</v>
      </c>
      <c r="K5834">
        <v>14788</v>
      </c>
      <c r="L5834">
        <v>1886</v>
      </c>
    </row>
    <row r="5835" spans="1:12" x14ac:dyDescent="0.2">
      <c r="A5835"/>
      <c r="B5835"/>
      <c r="C5835"/>
      <c r="D5835"/>
      <c r="E5835" s="2">
        <f>Comuni__2[[#This Row],[Popolazione2011]]/$D$7911</f>
        <v>2.798576048157183E-5</v>
      </c>
      <c r="F5835">
        <f>SUMIFS($D$2:$D$7909, $B$2:$B$7909, "Puglia")</f>
        <v>4050093</v>
      </c>
      <c r="G5835" s="1">
        <f>Comuni__2[[#This Row],[Popolazione2011]]/Comuni__2[[#This Row],[POPOLAZIONE TOTALE DI OGNI REGIONE (CON FILTRO)]]</f>
        <v>4.1060785517764653E-4</v>
      </c>
      <c r="H5835" t="str">
        <f>IF(Comuni__2[[#This Row],[Popolazione2011]]&gt;300000,"MAGGIORE","")</f>
        <v/>
      </c>
      <c r="J5835">
        <v>177</v>
      </c>
      <c r="K5835">
        <v>14931</v>
      </c>
      <c r="L5835">
        <v>1895</v>
      </c>
    </row>
    <row r="5836" spans="1:12" x14ac:dyDescent="0.2">
      <c r="A5836"/>
      <c r="B5836"/>
      <c r="C5836"/>
      <c r="D5836"/>
      <c r="E5836" s="2">
        <f>Comuni__2[[#This Row],[Popolazione2011]]/$D$7911</f>
        <v>2.7211650450211454E-5</v>
      </c>
      <c r="F5836">
        <f>SUMIFS($D$2:$D$7909, $B$2:$B$7909, "Puglia")</f>
        <v>4050093</v>
      </c>
      <c r="G5836" s="1">
        <f>Comuni__2[[#This Row],[Popolazione2011]]/Comuni__2[[#This Row],[POPOLAZIONE TOTALE DI OGNI REGIONE (CON FILTRO)]]</f>
        <v>3.9925009129419993E-4</v>
      </c>
      <c r="H5836" t="str">
        <f>IF(Comuni__2[[#This Row],[Popolazione2011]]&gt;300000,"MAGGIORE","")</f>
        <v/>
      </c>
      <c r="J5836">
        <v>157</v>
      </c>
      <c r="K5836">
        <v>15202</v>
      </c>
      <c r="L5836">
        <v>1898</v>
      </c>
    </row>
    <row r="5837" spans="1:12" x14ac:dyDescent="0.2">
      <c r="A5837"/>
      <c r="B5837"/>
      <c r="C5837"/>
      <c r="D5837"/>
      <c r="E5837" s="2">
        <f>Comuni__2[[#This Row],[Popolazione2011]]/$D$7911</f>
        <v>2.6201941713654443E-5</v>
      </c>
      <c r="F5837">
        <f>SUMIFS($D$2:$D$7909, $B$2:$B$7909, "Puglia")</f>
        <v>4050093</v>
      </c>
      <c r="G5837" s="1">
        <f>Comuni__2[[#This Row],[Popolazione2011]]/Comuni__2[[#This Row],[POPOLAZIONE TOTALE DI OGNI REGIONE (CON FILTRO)]]</f>
        <v>3.8443561666361733E-4</v>
      </c>
      <c r="H5837" t="str">
        <f>IF(Comuni__2[[#This Row],[Popolazione2011]]&gt;300000,"MAGGIORE","")</f>
        <v/>
      </c>
      <c r="J5837">
        <v>144</v>
      </c>
      <c r="K5837">
        <v>15379</v>
      </c>
      <c r="L5837">
        <v>1906</v>
      </c>
    </row>
    <row r="5838" spans="1:12" x14ac:dyDescent="0.2">
      <c r="A5838"/>
      <c r="B5838"/>
      <c r="C5838"/>
      <c r="D5838"/>
      <c r="E5838" s="2">
        <f>Comuni__2[[#This Row],[Popolazione2011]]/$D$7911</f>
        <v>2.6151456276826595E-5</v>
      </c>
      <c r="F5838">
        <f>SUMIFS($D$2:$D$7909, $B$2:$B$7909, "Puglia")</f>
        <v>4050093</v>
      </c>
      <c r="G5838" s="1">
        <f>Comuni__2[[#This Row],[Popolazione2011]]/Comuni__2[[#This Row],[POPOLAZIONE TOTALE DI OGNI REGIONE (CON FILTRO)]]</f>
        <v>3.836948929320882E-4</v>
      </c>
      <c r="H5838" t="str">
        <f>IF(Comuni__2[[#This Row],[Popolazione2011]]&gt;300000,"MAGGIORE","")</f>
        <v/>
      </c>
      <c r="J5838">
        <v>127</v>
      </c>
      <c r="K5838">
        <v>15618</v>
      </c>
      <c r="L5838">
        <v>1916</v>
      </c>
    </row>
    <row r="5839" spans="1:12" x14ac:dyDescent="0.2">
      <c r="A5839"/>
      <c r="B5839"/>
      <c r="C5839"/>
      <c r="D5839"/>
      <c r="E5839" s="2">
        <f>Comuni__2[[#This Row],[Popolazione2011]]/$D$7911</f>
        <v>2.5293203850753135E-5</v>
      </c>
      <c r="F5839">
        <f>SUMIFS($D$2:$D$7909, $B$2:$B$7909, "Puglia")</f>
        <v>4050093</v>
      </c>
      <c r="G5839" s="1">
        <f>Comuni__2[[#This Row],[Popolazione2011]]/Comuni__2[[#This Row],[POPOLAZIONE TOTALE DI OGNI REGIONE (CON FILTRO)]]</f>
        <v>3.7110258949609305E-4</v>
      </c>
      <c r="H5839" t="str">
        <f>IF(Comuni__2[[#This Row],[Popolazione2011]]&gt;300000,"MAGGIORE","")</f>
        <v/>
      </c>
      <c r="J5839">
        <v>118</v>
      </c>
      <c r="K5839">
        <v>15734</v>
      </c>
      <c r="L5839">
        <v>1918</v>
      </c>
    </row>
    <row r="5840" spans="1:12" x14ac:dyDescent="0.2">
      <c r="A5840"/>
      <c r="B5840"/>
      <c r="C5840"/>
      <c r="D5840"/>
      <c r="E5840" s="2">
        <f>Comuni__2[[#This Row],[Popolazione2011]]/$D$7911</f>
        <v>2.38627831406307E-5</v>
      </c>
      <c r="F5840">
        <f>SUMIFS($D$2:$D$7909, $B$2:$B$7909, "Puglia")</f>
        <v>4050093</v>
      </c>
      <c r="G5840" s="1">
        <f>Comuni__2[[#This Row],[Popolazione2011]]/Comuni__2[[#This Row],[POPOLAZIONE TOTALE DI OGNI REGIONE (CON FILTRO)]]</f>
        <v>3.5011541710276776E-4</v>
      </c>
      <c r="H5840" t="str">
        <f>IF(Comuni__2[[#This Row],[Popolazione2011]]&gt;300000,"MAGGIORE","")</f>
        <v/>
      </c>
      <c r="J5840">
        <v>116</v>
      </c>
      <c r="K5840">
        <v>15768</v>
      </c>
      <c r="L5840">
        <v>1918</v>
      </c>
    </row>
    <row r="5841" spans="1:12" x14ac:dyDescent="0.2">
      <c r="A5841"/>
      <c r="B5841"/>
      <c r="C5841"/>
      <c r="D5841"/>
      <c r="E5841" s="2">
        <f>Comuni__2[[#This Row],[Popolazione2011]]/$D$7911</f>
        <v>2.2398705472623036E-5</v>
      </c>
      <c r="F5841">
        <f>SUMIFS($D$2:$D$7909, $B$2:$B$7909, "Puglia")</f>
        <v>4050093</v>
      </c>
      <c r="G5841" s="1">
        <f>Comuni__2[[#This Row],[Popolazione2011]]/Comuni__2[[#This Row],[POPOLAZIONE TOTALE DI OGNI REGIONE (CON FILTRO)]]</f>
        <v>3.2863442888842305E-4</v>
      </c>
      <c r="H5841" t="str">
        <f>IF(Comuni__2[[#This Row],[Popolazione2011]]&gt;300000,"MAGGIORE","")</f>
        <v/>
      </c>
      <c r="J5841">
        <v>108</v>
      </c>
      <c r="K5841">
        <v>15838</v>
      </c>
      <c r="L5841">
        <v>1921</v>
      </c>
    </row>
    <row r="5842" spans="1:12" x14ac:dyDescent="0.2">
      <c r="A5842"/>
      <c r="B5842"/>
      <c r="C5842"/>
      <c r="D5842"/>
      <c r="E5842" s="2">
        <f>Comuni__2[[#This Row],[Popolazione2011]]/$D$7911</f>
        <v>2.1018770199328453E-5</v>
      </c>
      <c r="F5842">
        <f>SUMIFS($D$2:$D$7909, $B$2:$B$7909, "Puglia")</f>
        <v>4050093</v>
      </c>
      <c r="G5842" s="1">
        <f>Comuni__2[[#This Row],[Popolazione2011]]/Comuni__2[[#This Row],[POPOLAZIONE TOTALE DI OGNI REGIONE (CON FILTRO)]]</f>
        <v>3.0838798022662689E-4</v>
      </c>
      <c r="H5842" t="str">
        <f>IF(Comuni__2[[#This Row],[Popolazione2011]]&gt;300000,"MAGGIORE","")</f>
        <v/>
      </c>
      <c r="J5842">
        <v>108</v>
      </c>
      <c r="K5842">
        <v>15856</v>
      </c>
      <c r="L5842">
        <v>1921</v>
      </c>
    </row>
    <row r="5843" spans="1:12" x14ac:dyDescent="0.2">
      <c r="A5843"/>
      <c r="B5843"/>
      <c r="C5843"/>
      <c r="D5843"/>
      <c r="E5843" s="2">
        <f>Comuni__2[[#This Row],[Popolazione2011]]/$D$7911</f>
        <v>1.9335922305066769E-5</v>
      </c>
      <c r="F5843">
        <f>SUMIFS($D$2:$D$7909, $B$2:$B$7909, "Puglia")</f>
        <v>4050093</v>
      </c>
      <c r="G5843" s="1">
        <f>Comuni__2[[#This Row],[Popolazione2011]]/Comuni__2[[#This Row],[POPOLAZIONE TOTALE DI OGNI REGIONE (CON FILTRO)]]</f>
        <v>2.8369718917565595E-4</v>
      </c>
      <c r="H5843" t="str">
        <f>IF(Comuni__2[[#This Row],[Popolazione2011]]&gt;300000,"MAGGIORE","")</f>
        <v/>
      </c>
      <c r="J5843">
        <v>99</v>
      </c>
      <c r="K5843">
        <v>15915</v>
      </c>
      <c r="L5843">
        <v>1934</v>
      </c>
    </row>
    <row r="5844" spans="1:12" x14ac:dyDescent="0.2">
      <c r="A5844"/>
      <c r="B5844"/>
      <c r="C5844"/>
      <c r="D5844"/>
      <c r="E5844" s="2">
        <f>Comuni__2[[#This Row],[Popolazione2011]]/$D$7911</f>
        <v>1.8208414215911438E-5</v>
      </c>
      <c r="F5844">
        <f>SUMIFS($D$2:$D$7909, $B$2:$B$7909, "Puglia")</f>
        <v>4050093</v>
      </c>
      <c r="G5844" s="1">
        <f>Comuni__2[[#This Row],[Popolazione2011]]/Comuni__2[[#This Row],[POPOLAZIONE TOTALE DI OGNI REGIONE (CON FILTRO)]]</f>
        <v>2.6715435917150544E-4</v>
      </c>
      <c r="H5844" t="str">
        <f>IF(Comuni__2[[#This Row],[Popolazione2011]]&gt;300000,"MAGGIORE","")</f>
        <v/>
      </c>
      <c r="J5844">
        <v>98</v>
      </c>
      <c r="K5844">
        <v>16007</v>
      </c>
      <c r="L5844">
        <v>1938</v>
      </c>
    </row>
    <row r="5845" spans="1:12" x14ac:dyDescent="0.2">
      <c r="A5845"/>
      <c r="B5845"/>
      <c r="C5845"/>
      <c r="D5845"/>
      <c r="E5845" s="2">
        <f>Comuni__2[[#This Row],[Popolazione2011]]/$D$7911</f>
        <v>1.7955987031772185E-5</v>
      </c>
      <c r="F5845">
        <f>SUMIFS($D$2:$D$7909, $B$2:$B$7909, "Puglia")</f>
        <v>4050093</v>
      </c>
      <c r="G5845" s="1">
        <f>Comuni__2[[#This Row],[Popolazione2011]]/Comuni__2[[#This Row],[POPOLAZIONE TOTALE DI OGNI REGIONE (CON FILTRO)]]</f>
        <v>2.6345074051385979E-4</v>
      </c>
      <c r="H5845" t="str">
        <f>IF(Comuni__2[[#This Row],[Popolazione2011]]&gt;300000,"MAGGIORE","")</f>
        <v/>
      </c>
      <c r="J5845">
        <v>84</v>
      </c>
      <c r="K5845">
        <v>16069</v>
      </c>
      <c r="L5845">
        <v>1949</v>
      </c>
    </row>
    <row r="5846" spans="1:12" x14ac:dyDescent="0.2">
      <c r="A5846"/>
      <c r="B5846"/>
      <c r="C5846"/>
      <c r="D5846"/>
      <c r="E5846" s="2">
        <f>Comuni__2[[#This Row],[Popolazione2011]]/$D$7911</f>
        <v>1.750161810032153E-5</v>
      </c>
      <c r="F5846">
        <f>SUMIFS($D$2:$D$7909, $B$2:$B$7909, "Puglia")</f>
        <v>4050093</v>
      </c>
      <c r="G5846" s="1">
        <f>Comuni__2[[#This Row],[Popolazione2011]]/Comuni__2[[#This Row],[POPOLAZIONE TOTALE DI OGNI REGIONE (CON FILTRO)]]</f>
        <v>2.5678422693009768E-4</v>
      </c>
      <c r="H5846" t="str">
        <f>IF(Comuni__2[[#This Row],[Popolazione2011]]&gt;300000,"MAGGIORE","")</f>
        <v/>
      </c>
      <c r="J5846">
        <v>82</v>
      </c>
      <c r="K5846">
        <v>16144</v>
      </c>
      <c r="L5846">
        <v>1954</v>
      </c>
    </row>
    <row r="5847" spans="1:12" x14ac:dyDescent="0.2">
      <c r="A5847"/>
      <c r="B5847"/>
      <c r="C5847"/>
      <c r="D5847"/>
      <c r="E5847" s="2">
        <f>Comuni__2[[#This Row],[Popolazione2011]]/$D$7911</f>
        <v>1.686213590050209E-5</v>
      </c>
      <c r="F5847">
        <f>SUMIFS($D$2:$D$7909, $B$2:$B$7909, "Puglia")</f>
        <v>4050093</v>
      </c>
      <c r="G5847" s="1">
        <f>Comuni__2[[#This Row],[Popolazione2011]]/Comuni__2[[#This Row],[POPOLAZIONE TOTALE DI OGNI REGIONE (CON FILTRO)]]</f>
        <v>2.474017263307287E-4</v>
      </c>
      <c r="H5847" t="str">
        <f>IF(Comuni__2[[#This Row],[Popolazione2011]]&gt;300000,"MAGGIORE","")</f>
        <v/>
      </c>
      <c r="J5847">
        <v>83</v>
      </c>
      <c r="K5847">
        <v>16152</v>
      </c>
      <c r="L5847">
        <v>1955</v>
      </c>
    </row>
    <row r="5848" spans="1:12" x14ac:dyDescent="0.2">
      <c r="A5848"/>
      <c r="B5848"/>
      <c r="C5848"/>
      <c r="D5848"/>
      <c r="E5848" s="2">
        <f>Comuni__2[[#This Row],[Popolazione2011]]/$D$7911</f>
        <v>1.4438834932765263E-5</v>
      </c>
      <c r="F5848">
        <f>SUMIFS($D$2:$D$7909, $B$2:$B$7909, "Puglia")</f>
        <v>4050093</v>
      </c>
      <c r="G5848" s="1">
        <f>Comuni__2[[#This Row],[Popolazione2011]]/Comuni__2[[#This Row],[POPOLAZIONE TOTALE DI OGNI REGIONE (CON FILTRO)]]</f>
        <v>2.1184698721733055E-4</v>
      </c>
      <c r="H5848" t="str">
        <f>IF(Comuni__2[[#This Row],[Popolazione2011]]&gt;300000,"MAGGIORE","")</f>
        <v/>
      </c>
      <c r="J5848">
        <v>77</v>
      </c>
      <c r="K5848">
        <v>16226</v>
      </c>
      <c r="L5848">
        <v>1961</v>
      </c>
    </row>
    <row r="5849" spans="1:12" x14ac:dyDescent="0.2">
      <c r="A5849"/>
      <c r="B5849"/>
      <c r="C5849"/>
      <c r="D5849"/>
      <c r="E5849" s="2">
        <f>Comuni__2[[#This Row],[Popolazione2011]]/$D$7911</f>
        <v>1.2924271827929745E-5</v>
      </c>
      <c r="F5849">
        <f>SUMIFS($D$2:$D$7909, $B$2:$B$7909, "Puglia")</f>
        <v>4050093</v>
      </c>
      <c r="G5849" s="1">
        <f>Comuni__2[[#This Row],[Popolazione2011]]/Comuni__2[[#This Row],[POPOLAZIONE TOTALE DI OGNI REGIONE (CON FILTRO)]]</f>
        <v>1.8962527527145674E-4</v>
      </c>
      <c r="H5849" t="str">
        <f>IF(Comuni__2[[#This Row],[Popolazione2011]]&gt;300000,"MAGGIORE","")</f>
        <v/>
      </c>
      <c r="J5849">
        <v>66</v>
      </c>
      <c r="K5849">
        <v>16268</v>
      </c>
      <c r="L5849">
        <v>1961</v>
      </c>
    </row>
    <row r="5850" spans="1:12" x14ac:dyDescent="0.2">
      <c r="A5850"/>
      <c r="B5850"/>
      <c r="C5850"/>
      <c r="D5850"/>
      <c r="E5850" s="2">
        <f>Comuni__2[[#This Row],[Popolazione2011]]/$D$7911</f>
        <v>1.0837540439045254E-5</v>
      </c>
      <c r="F5850">
        <f>SUMIFS($D$2:$D$7909, $B$2:$B$7909, "Puglia")</f>
        <v>4050093</v>
      </c>
      <c r="G5850" s="1">
        <f>Comuni__2[[#This Row],[Popolazione2011]]/Comuni__2[[#This Row],[POPOLAZIONE TOTALE DI OGNI REGIONE (CON FILTRO)]]</f>
        <v>1.5900869436825279E-4</v>
      </c>
      <c r="H5850" t="str">
        <f>IF(Comuni__2[[#This Row],[Popolazione2011]]&gt;300000,"MAGGIORE","")</f>
        <v/>
      </c>
      <c r="J5850">
        <v>52</v>
      </c>
      <c r="K5850">
        <v>16313</v>
      </c>
      <c r="L5850">
        <v>1964</v>
      </c>
    </row>
    <row r="5851" spans="1:12" x14ac:dyDescent="0.2">
      <c r="A5851"/>
      <c r="B5851"/>
      <c r="C5851"/>
      <c r="D5851"/>
      <c r="E5851" s="2">
        <f>Comuni__2[[#This Row],[Popolazione2011]]/$D$7911</f>
        <v>8.0944983713987072E-6</v>
      </c>
      <c r="F5851">
        <f>SUMIFS($D$2:$D$7909, $B$2:$B$7909, "Puglia")</f>
        <v>4050093</v>
      </c>
      <c r="G5851" s="1">
        <f>Comuni__2[[#This Row],[Popolazione2011]]/Comuni__2[[#This Row],[POPOLAZIONE TOTALE DI OGNI REGIONE (CON FILTRO)]]</f>
        <v>1.1876270495517017E-4</v>
      </c>
      <c r="H5851" t="str">
        <f>IF(Comuni__2[[#This Row],[Popolazione2011]]&gt;300000,"MAGGIORE","")</f>
        <v/>
      </c>
      <c r="J5851">
        <v>49</v>
      </c>
      <c r="K5851">
        <v>16383</v>
      </c>
      <c r="L5851">
        <v>1967</v>
      </c>
    </row>
    <row r="5852" spans="1:12" x14ac:dyDescent="0.2">
      <c r="A5852"/>
      <c r="B5852"/>
      <c r="C5852"/>
      <c r="D5852"/>
      <c r="E5852" s="2">
        <f>Comuni__2[[#This Row],[Popolazione2011]]/$D$7911</f>
        <v>7.6569579188906693E-6</v>
      </c>
      <c r="F5852">
        <f>SUMIFS($D$2:$D$7909, $B$2:$B$7909, "Puglia")</f>
        <v>4050093</v>
      </c>
      <c r="G5852" s="1">
        <f>Comuni__2[[#This Row],[Popolazione2011]]/Comuni__2[[#This Row],[POPOLAZIONE TOTALE DI OGNI REGIONE (CON FILTRO)]]</f>
        <v>1.1234309928191772E-4</v>
      </c>
      <c r="H5852" t="str">
        <f>IF(Comuni__2[[#This Row],[Popolazione2011]]&gt;300000,"MAGGIORE","")</f>
        <v/>
      </c>
      <c r="J5852">
        <v>42</v>
      </c>
      <c r="K5852">
        <v>16457</v>
      </c>
      <c r="L5852">
        <v>1977</v>
      </c>
    </row>
    <row r="5853" spans="1:12" x14ac:dyDescent="0.2">
      <c r="A5853"/>
      <c r="B5853"/>
      <c r="C5853"/>
      <c r="D5853"/>
      <c r="E5853" s="2">
        <f>Comuni__2[[#This Row],[Popolazione2011]]/$D$7911</f>
        <v>2.894498378130099E-6</v>
      </c>
      <c r="F5853">
        <f>SUMIFS($D$2:$D$7909, $B$2:$B$7909, "Puglia")</f>
        <v>4050093</v>
      </c>
      <c r="G5853" s="1">
        <f>Comuni__2[[#This Row],[Popolazione2011]]/Comuni__2[[#This Row],[POPOLAZIONE TOTALE DI OGNI REGIONE (CON FILTRO)]]</f>
        <v>4.246816060767E-5</v>
      </c>
      <c r="H5853" t="str">
        <f>IF(Comuni__2[[#This Row],[Popolazione2011]]&gt;300000,"MAGGIORE","")</f>
        <v/>
      </c>
      <c r="J5853">
        <v>41</v>
      </c>
      <c r="K5853">
        <v>16469</v>
      </c>
      <c r="L5853">
        <v>1978</v>
      </c>
    </row>
    <row r="5854" spans="1:12" x14ac:dyDescent="0.2">
      <c r="A5854"/>
      <c r="B5854"/>
      <c r="C5854"/>
      <c r="D5854"/>
      <c r="E5854" s="2">
        <f>Comuni__2[[#This Row],[Popolazione2011]]/$D$7911</f>
        <v>2.5223029093562424E-3</v>
      </c>
      <c r="F5854">
        <f>SUMIFS($D$2:$D$7909, $B$2:$B$7909, "Sardegna")</f>
        <v>1634822</v>
      </c>
      <c r="G5854" s="1">
        <f>Comuni__2[[#This Row],[Popolazione2011]]/Comuni__2[[#This Row],[POPOLAZIONE TOTALE DI OGNI REGIONE (CON FILTRO)]]</f>
        <v>9.168154086499937E-2</v>
      </c>
      <c r="H5854" t="str">
        <f>IF(Comuni__2[[#This Row],[Popolazione2011]]&gt;300000,"MAGGIORE","")</f>
        <v/>
      </c>
      <c r="J5854">
        <v>39</v>
      </c>
      <c r="K5854">
        <v>16487</v>
      </c>
      <c r="L5854">
        <v>1978</v>
      </c>
    </row>
    <row r="5855" spans="1:12" x14ac:dyDescent="0.2">
      <c r="A5855"/>
      <c r="B5855"/>
      <c r="C5855"/>
      <c r="D5855"/>
      <c r="E5855" s="2">
        <f>Comuni__2[[#This Row],[Popolazione2011]]/$D$7911</f>
        <v>2.0830627804749998E-3</v>
      </c>
      <c r="F5855">
        <f>SUMIFS($D$2:$D$7909, $B$2:$B$7909, "Sardegna")</f>
        <v>1634822</v>
      </c>
      <c r="G5855" s="1">
        <f>Comuni__2[[#This Row],[Popolazione2011]]/Comuni__2[[#This Row],[POPOLAZIONE TOTALE DI OGNI REGIONE (CON FILTRO)]]</f>
        <v>7.5715888335243842E-2</v>
      </c>
      <c r="H5855" t="str">
        <f>IF(Comuni__2[[#This Row],[Popolazione2011]]&gt;300000,"MAGGIORE","")</f>
        <v/>
      </c>
      <c r="J5855">
        <v>37</v>
      </c>
      <c r="K5855">
        <v>16521</v>
      </c>
      <c r="L5855">
        <v>1982</v>
      </c>
    </row>
    <row r="5856" spans="1:12" x14ac:dyDescent="0.2">
      <c r="A5856"/>
      <c r="B5856"/>
      <c r="C5856"/>
      <c r="D5856"/>
      <c r="E5856" s="2">
        <f>Comuni__2[[#This Row],[Popolazione2011]]/$D$7911</f>
        <v>1.1661462768075776E-3</v>
      </c>
      <c r="F5856">
        <f>SUMIFS($D$2:$D$7909, $B$2:$B$7909, "Sardegna")</f>
        <v>1634822</v>
      </c>
      <c r="G5856" s="1">
        <f>Comuni__2[[#This Row],[Popolazione2011]]/Comuni__2[[#This Row],[POPOLAZIONE TOTALE DI OGNI REGIONE (CON FILTRO)]]</f>
        <v>4.2387489280178513E-2</v>
      </c>
      <c r="H5856" t="str">
        <f>IF(Comuni__2[[#This Row],[Popolazione2011]]&gt;300000,"MAGGIORE","")</f>
        <v/>
      </c>
      <c r="J5856">
        <v>38</v>
      </c>
      <c r="K5856">
        <v>16558</v>
      </c>
      <c r="L5856">
        <v>1987</v>
      </c>
    </row>
    <row r="5857" spans="1:12" x14ac:dyDescent="0.2">
      <c r="A5857"/>
      <c r="B5857"/>
      <c r="C5857"/>
      <c r="D5857"/>
      <c r="E5857" s="2">
        <f>Comuni__2[[#This Row],[Popolazione2011]]/$D$7911</f>
        <v>8.970757269940767E-4</v>
      </c>
      <c r="F5857">
        <f>SUMIFS($D$2:$D$7909, $B$2:$B$7909, "Sardegna")</f>
        <v>1634822</v>
      </c>
      <c r="G5857" s="1">
        <f>Comuni__2[[#This Row],[Popolazione2011]]/Comuni__2[[#This Row],[POPOLAZIONE TOTALE DI OGNI REGIONE (CON FILTRO)]]</f>
        <v>3.2607219623910125E-2</v>
      </c>
      <c r="H5857" t="str">
        <f>IF(Comuni__2[[#This Row],[Popolazione2011]]&gt;300000,"MAGGIORE","")</f>
        <v/>
      </c>
      <c r="J5857">
        <v>34</v>
      </c>
      <c r="K5857">
        <v>16632</v>
      </c>
      <c r="L5857">
        <v>1994</v>
      </c>
    </row>
    <row r="5858" spans="1:12" x14ac:dyDescent="0.2">
      <c r="A5858"/>
      <c r="B5858"/>
      <c r="C5858"/>
      <c r="D5858"/>
      <c r="E5858" s="2">
        <f>Comuni__2[[#This Row],[Popolazione2011]]/$D$7911</f>
        <v>6.8392621270689166E-4</v>
      </c>
      <c r="F5858">
        <f>SUMIFS($D$2:$D$7909, $B$2:$B$7909, "Sardegna")</f>
        <v>1634822</v>
      </c>
      <c r="G5858" s="1">
        <f>Comuni__2[[#This Row],[Popolazione2011]]/Comuni__2[[#This Row],[POPOLAZIONE TOTALE DI OGNI REGIONE (CON FILTRO)]]</f>
        <v>2.4859587159947689E-2</v>
      </c>
      <c r="H5858" t="str">
        <f>IF(Comuni__2[[#This Row],[Popolazione2011]]&gt;300000,"MAGGIORE","")</f>
        <v/>
      </c>
      <c r="J5858">
        <v>31</v>
      </c>
      <c r="K5858">
        <v>16655</v>
      </c>
      <c r="L5858">
        <v>1998</v>
      </c>
    </row>
    <row r="5859" spans="1:12" x14ac:dyDescent="0.2">
      <c r="A5859"/>
      <c r="B5859"/>
      <c r="C5859"/>
      <c r="D5859"/>
      <c r="E5859" s="2">
        <f>Comuni__2[[#This Row],[Popolazione2011]]/$D$7911</f>
        <v>6.1716763674153055E-4</v>
      </c>
      <c r="F5859">
        <f>SUMIFS($D$2:$D$7909, $B$2:$B$7909, "Sardegna")</f>
        <v>1634822</v>
      </c>
      <c r="G5859" s="1">
        <f>Comuni__2[[#This Row],[Popolazione2011]]/Comuni__2[[#This Row],[POPOLAZIONE TOTALE DI OGNI REGIONE (CON FILTRO)]]</f>
        <v>2.2433023289385633E-2</v>
      </c>
      <c r="H5859" t="str">
        <f>IF(Comuni__2[[#This Row],[Popolazione2011]]&gt;300000,"MAGGIORE","")</f>
        <v/>
      </c>
      <c r="J5859">
        <v>28</v>
      </c>
      <c r="K5859">
        <v>16661</v>
      </c>
      <c r="L5859">
        <v>2002</v>
      </c>
    </row>
    <row r="5860" spans="1:12" x14ac:dyDescent="0.2">
      <c r="A5860"/>
      <c r="B5860"/>
      <c r="C5860"/>
      <c r="D5860"/>
      <c r="E5860" s="2">
        <f>Comuni__2[[#This Row],[Popolazione2011]]/$D$7911</f>
        <v>5.2429126145722813E-4</v>
      </c>
      <c r="F5860">
        <f>SUMIFS($D$2:$D$7909, $B$2:$B$7909, "Sardegna")</f>
        <v>1634822</v>
      </c>
      <c r="G5860" s="1">
        <f>Comuni__2[[#This Row],[Popolazione2011]]/Comuni__2[[#This Row],[POPOLAZIONE TOTALE DI OGNI REGIONE (CON FILTRO)]]</f>
        <v>1.9057120591721911E-2</v>
      </c>
      <c r="H5860" t="str">
        <f>IF(Comuni__2[[#This Row],[Popolazione2011]]&gt;300000,"MAGGIORE","")</f>
        <v/>
      </c>
      <c r="J5860">
        <v>29</v>
      </c>
      <c r="K5860">
        <v>16660</v>
      </c>
      <c r="L5860">
        <v>2002</v>
      </c>
    </row>
    <row r="5861" spans="1:12" x14ac:dyDescent="0.2">
      <c r="A5861"/>
      <c r="B5861"/>
      <c r="C5861"/>
      <c r="D5861"/>
      <c r="E5861" s="2">
        <f>Comuni__2[[#This Row],[Popolazione2011]]/$D$7911</f>
        <v>4.8604012882066001E-4</v>
      </c>
      <c r="F5861">
        <f>SUMIFS($D$2:$D$7909, $B$2:$B$7909, "Sardegna")</f>
        <v>1634822</v>
      </c>
      <c r="G5861" s="1">
        <f>Comuni__2[[#This Row],[Popolazione2011]]/Comuni__2[[#This Row],[POPOLAZIONE TOTALE DI OGNI REGIONE (CON FILTRO)]]</f>
        <v>1.7666755157442218E-2</v>
      </c>
      <c r="H5861" t="str">
        <f>IF(Comuni__2[[#This Row],[Popolazione2011]]&gt;300000,"MAGGIORE","")</f>
        <v/>
      </c>
      <c r="J5861">
        <v>30</v>
      </c>
      <c r="K5861">
        <v>16659</v>
      </c>
      <c r="L5861">
        <v>2003</v>
      </c>
    </row>
    <row r="5862" spans="1:12" x14ac:dyDescent="0.2">
      <c r="A5862"/>
      <c r="B5862"/>
      <c r="C5862"/>
      <c r="D5862"/>
      <c r="E5862" s="2">
        <f>Comuni__2[[#This Row],[Popolazione2011]]/$D$7911</f>
        <v>4.8270808999002188E-4</v>
      </c>
      <c r="F5862">
        <f>SUMIFS($D$2:$D$7909, $B$2:$B$7909, "Sardegna")</f>
        <v>1634822</v>
      </c>
      <c r="G5862" s="1">
        <f>Comuni__2[[#This Row],[Popolazione2011]]/Comuni__2[[#This Row],[POPOLAZIONE TOTALE DI OGNI REGIONE (CON FILTRO)]]</f>
        <v>1.7545641054500124E-2</v>
      </c>
      <c r="H5862" t="str">
        <f>IF(Comuni__2[[#This Row],[Popolazione2011]]&gt;300000,"MAGGIORE","")</f>
        <v/>
      </c>
      <c r="J5862">
        <v>31</v>
      </c>
      <c r="K5862">
        <v>16682</v>
      </c>
      <c r="L5862">
        <v>2004</v>
      </c>
    </row>
    <row r="5863" spans="1:12" x14ac:dyDescent="0.2">
      <c r="A5863"/>
      <c r="B5863"/>
      <c r="C5863"/>
      <c r="D5863"/>
      <c r="E5863" s="2">
        <f>Comuni__2[[#This Row],[Popolazione2011]]/$D$7911</f>
        <v>4.6571132625797886E-4</v>
      </c>
      <c r="F5863">
        <f>SUMIFS($D$2:$D$7909, $B$2:$B$7909, "Sardegna")</f>
        <v>1634822</v>
      </c>
      <c r="G5863" s="1">
        <f>Comuni__2[[#This Row],[Popolazione2011]]/Comuni__2[[#This Row],[POPOLAZIONE TOTALE DI OGNI REGIONE (CON FILTRO)]]</f>
        <v>1.6927836792017724E-2</v>
      </c>
      <c r="H5863" t="str">
        <f>IF(Comuni__2[[#This Row],[Popolazione2011]]&gt;300000,"MAGGIORE","")</f>
        <v/>
      </c>
      <c r="J5863">
        <v>27</v>
      </c>
      <c r="K5863">
        <v>16700</v>
      </c>
      <c r="L5863">
        <v>2004</v>
      </c>
    </row>
    <row r="5864" spans="1:12" x14ac:dyDescent="0.2">
      <c r="A5864"/>
      <c r="B5864"/>
      <c r="C5864"/>
      <c r="D5864"/>
      <c r="E5864" s="2">
        <f>Comuni__2[[#This Row],[Popolazione2011]]/$D$7911</f>
        <v>4.4797410945246068E-4</v>
      </c>
      <c r="F5864">
        <f>SUMIFS($D$2:$D$7909, $B$2:$B$7909, "Sardegna")</f>
        <v>1634822</v>
      </c>
      <c r="G5864" s="1">
        <f>Comuni__2[[#This Row],[Popolazione2011]]/Comuni__2[[#This Row],[POPOLAZIONE TOTALE DI OGNI REGIONE (CON FILTRO)]]</f>
        <v>1.6283118284437081E-2</v>
      </c>
      <c r="H5864" t="str">
        <f>IF(Comuni__2[[#This Row],[Popolazione2011]]&gt;300000,"MAGGIORE","")</f>
        <v/>
      </c>
      <c r="J5864">
        <v>30</v>
      </c>
      <c r="K5864">
        <v>16724</v>
      </c>
      <c r="L5864">
        <v>2006</v>
      </c>
    </row>
    <row r="5865" spans="1:12" x14ac:dyDescent="0.2">
      <c r="A5865"/>
      <c r="B5865"/>
      <c r="C5865"/>
      <c r="D5865"/>
      <c r="E5865" s="2">
        <f>Comuni__2[[#This Row],[Popolazione2011]]/$D$7911</f>
        <v>3.9134627781055499E-4</v>
      </c>
      <c r="F5865">
        <f>SUMIFS($D$2:$D$7909, $B$2:$B$7909, "Sardegna")</f>
        <v>1634822</v>
      </c>
      <c r="G5865" s="1">
        <f>Comuni__2[[#This Row],[Popolazione2011]]/Comuni__2[[#This Row],[POPOLAZIONE TOTALE DI OGNI REGIONE (CON FILTRO)]]</f>
        <v>1.422479022181008E-2</v>
      </c>
      <c r="H5865" t="str">
        <f>IF(Comuni__2[[#This Row],[Popolazione2011]]&gt;300000,"MAGGIORE","")</f>
        <v/>
      </c>
      <c r="J5865">
        <v>17</v>
      </c>
      <c r="K5865">
        <v>16768</v>
      </c>
      <c r="L5865">
        <v>2007</v>
      </c>
    </row>
    <row r="5866" spans="1:12" x14ac:dyDescent="0.2">
      <c r="A5866"/>
      <c r="B5866"/>
      <c r="C5866"/>
      <c r="D5866"/>
      <c r="E5866" s="2">
        <f>Comuni__2[[#This Row],[Popolazione2011]]/$D$7911</f>
        <v>3.76806472004134E-4</v>
      </c>
      <c r="F5866">
        <f>SUMIFS($D$2:$D$7909, $B$2:$B$7909, "Sardegna")</f>
        <v>1634822</v>
      </c>
      <c r="G5866" s="1">
        <f>Comuni__2[[#This Row],[Popolazione2011]]/Comuni__2[[#This Row],[POPOLAZIONE TOTALE DI OGNI REGIONE (CON FILTRO)]]</f>
        <v>1.3696292318062762E-2</v>
      </c>
      <c r="H5866" t="str">
        <f>IF(Comuni__2[[#This Row],[Popolazione2011]]&gt;300000,"MAGGIORE","")</f>
        <v/>
      </c>
      <c r="J5866">
        <v>19</v>
      </c>
      <c r="K5866">
        <v>16775</v>
      </c>
      <c r="L5866">
        <v>2007</v>
      </c>
    </row>
    <row r="5867" spans="1:12" x14ac:dyDescent="0.2">
      <c r="A5867"/>
      <c r="B5867"/>
      <c r="C5867"/>
      <c r="D5867"/>
      <c r="E5867" s="2">
        <f>Comuni__2[[#This Row],[Popolazione2011]]/$D$7911</f>
        <v>3.441255658975721E-4</v>
      </c>
      <c r="F5867">
        <f>SUMIFS($D$2:$D$7909, $B$2:$B$7909, "Sardegna")</f>
        <v>1634822</v>
      </c>
      <c r="G5867" s="1">
        <f>Comuni__2[[#This Row],[Popolazione2011]]/Comuni__2[[#This Row],[POPOLAZIONE TOTALE DI OGNI REGIONE (CON FILTRO)]]</f>
        <v>1.2508395409408487E-2</v>
      </c>
      <c r="H5867" t="str">
        <f>IF(Comuni__2[[#This Row],[Popolazione2011]]&gt;300000,"MAGGIORE","")</f>
        <v/>
      </c>
      <c r="J5867">
        <v>17</v>
      </c>
      <c r="K5867">
        <v>16807</v>
      </c>
      <c r="L5867">
        <v>2008</v>
      </c>
    </row>
    <row r="5868" spans="1:12" x14ac:dyDescent="0.2">
      <c r="A5868"/>
      <c r="B5868"/>
      <c r="C5868"/>
      <c r="D5868"/>
      <c r="E5868" s="2">
        <f>Comuni__2[[#This Row],[Popolazione2011]]/$D$7911</f>
        <v>3.3476893160547711E-4</v>
      </c>
      <c r="F5868">
        <f>SUMIFS($D$2:$D$7909, $B$2:$B$7909, "Sardegna")</f>
        <v>1634822</v>
      </c>
      <c r="G5868" s="1">
        <f>Comuni__2[[#This Row],[Popolazione2011]]/Comuni__2[[#This Row],[POPOLAZIONE TOTALE DI OGNI REGIONE (CON FILTRO)]]</f>
        <v>1.2168297221348868E-2</v>
      </c>
      <c r="H5868" t="str">
        <f>IF(Comuni__2[[#This Row],[Popolazione2011]]&gt;300000,"MAGGIORE","")</f>
        <v/>
      </c>
      <c r="J5868">
        <v>18</v>
      </c>
      <c r="K5868">
        <v>16808</v>
      </c>
      <c r="L5868">
        <v>2008</v>
      </c>
    </row>
    <row r="5869" spans="1:12" x14ac:dyDescent="0.2">
      <c r="A5869"/>
      <c r="B5869"/>
      <c r="C5869"/>
      <c r="D5869"/>
      <c r="E5869" s="2">
        <f>Comuni__2[[#This Row],[Popolazione2011]]/$D$7911</f>
        <v>2.8154045270998001E-4</v>
      </c>
      <c r="F5869">
        <f>SUMIFS($D$2:$D$7909, $B$2:$B$7909, "Sardegna")</f>
        <v>1634822</v>
      </c>
      <c r="G5869" s="1">
        <f>Comuni__2[[#This Row],[Popolazione2011]]/Comuni__2[[#This Row],[POPOLAZIONE TOTALE DI OGNI REGIONE (CON FILTRO)]]</f>
        <v>1.0233530011218347E-2</v>
      </c>
      <c r="H5869" t="str">
        <f>IF(Comuni__2[[#This Row],[Popolazione2011]]&gt;300000,"MAGGIORE","")</f>
        <v/>
      </c>
      <c r="J5869">
        <v>21</v>
      </c>
      <c r="K5869">
        <v>16812</v>
      </c>
      <c r="L5869">
        <v>2012</v>
      </c>
    </row>
    <row r="5870" spans="1:12" x14ac:dyDescent="0.2">
      <c r="A5870"/>
      <c r="B5870"/>
      <c r="C5870"/>
      <c r="D5870"/>
      <c r="E5870" s="2">
        <f>Comuni__2[[#This Row],[Popolazione2011]]/$D$7911</f>
        <v>2.4064724887942103E-4</v>
      </c>
      <c r="F5870">
        <f>SUMIFS($D$2:$D$7909, $B$2:$B$7909, "Sardegna")</f>
        <v>1634822</v>
      </c>
      <c r="G5870" s="1">
        <f>Comuni__2[[#This Row],[Popolazione2011]]/Comuni__2[[#This Row],[POPOLAZIONE TOTALE DI OGNI REGIONE (CON FILTRO)]]</f>
        <v>8.7471296569290105E-3</v>
      </c>
      <c r="H5870" t="str">
        <f>IF(Comuni__2[[#This Row],[Popolazione2011]]&gt;300000,"MAGGIORE","")</f>
        <v/>
      </c>
      <c r="J5870">
        <v>17</v>
      </c>
      <c r="K5870">
        <v>16849</v>
      </c>
      <c r="L5870">
        <v>2022</v>
      </c>
    </row>
    <row r="5871" spans="1:12" x14ac:dyDescent="0.2">
      <c r="A5871"/>
      <c r="B5871"/>
      <c r="C5871"/>
      <c r="D5871"/>
      <c r="E5871" s="2">
        <f>Comuni__2[[#This Row],[Popolazione2011]]/$D$7911</f>
        <v>2.4032750777951131E-4</v>
      </c>
      <c r="F5871">
        <f>SUMIFS($D$2:$D$7909, $B$2:$B$7909, "Sardegna")</f>
        <v>1634822</v>
      </c>
      <c r="G5871" s="1">
        <f>Comuni__2[[#This Row],[Popolazione2011]]/Comuni__2[[#This Row],[POPOLAZIONE TOTALE DI OGNI REGIONE (CON FILTRO)]]</f>
        <v>8.7355075965456792E-3</v>
      </c>
      <c r="H5871" t="str">
        <f>IF(Comuni__2[[#This Row],[Popolazione2011]]&gt;300000,"MAGGIORE","")</f>
        <v/>
      </c>
      <c r="J5871">
        <v>20</v>
      </c>
      <c r="K5871">
        <v>16890</v>
      </c>
      <c r="L5871">
        <v>2022</v>
      </c>
    </row>
    <row r="5872" spans="1:12" x14ac:dyDescent="0.2">
      <c r="A5872"/>
      <c r="B5872"/>
      <c r="C5872"/>
      <c r="D5872"/>
      <c r="E5872" s="2">
        <f>Comuni__2[[#This Row],[Popolazione2011]]/$D$7911</f>
        <v>2.3468996733373468E-4</v>
      </c>
      <c r="F5872">
        <f>SUMIFS($D$2:$D$7909, $B$2:$B$7909, "Sardegna")</f>
        <v>1634822</v>
      </c>
      <c r="G5872" s="1">
        <f>Comuni__2[[#This Row],[Popolazione2011]]/Comuni__2[[#This Row],[POPOLAZIONE TOTALE DI OGNI REGIONE (CON FILTRO)]]</f>
        <v>8.5305923213658732E-3</v>
      </c>
      <c r="H5872" t="str">
        <f>IF(Comuni__2[[#This Row],[Popolazione2011]]&gt;300000,"MAGGIORE","")</f>
        <v/>
      </c>
      <c r="J5872">
        <v>19</v>
      </c>
      <c r="K5872">
        <v>16901</v>
      </c>
      <c r="L5872">
        <v>2023</v>
      </c>
    </row>
    <row r="5873" spans="1:12" x14ac:dyDescent="0.2">
      <c r="A5873"/>
      <c r="B5873"/>
      <c r="C5873"/>
      <c r="D5873"/>
      <c r="E5873" s="2">
        <f>Comuni__2[[#This Row],[Popolazione2011]]/$D$7911</f>
        <v>2.1582524243906118E-4</v>
      </c>
      <c r="F5873">
        <f>SUMIFS($D$2:$D$7909, $B$2:$B$7909, "Sardegna")</f>
        <v>1634822</v>
      </c>
      <c r="G5873" s="1">
        <f>Comuni__2[[#This Row],[Popolazione2011]]/Comuni__2[[#This Row],[POPOLAZIONE TOTALE DI OGNI REGIONE (CON FILTRO)]]</f>
        <v>7.8448907587492702E-3</v>
      </c>
      <c r="H5873" t="str">
        <f>IF(Comuni__2[[#This Row],[Popolazione2011]]&gt;300000,"MAGGIORE","")</f>
        <v/>
      </c>
      <c r="J5873">
        <v>17</v>
      </c>
      <c r="K5873">
        <v>16907</v>
      </c>
      <c r="L5873">
        <v>2023</v>
      </c>
    </row>
    <row r="5874" spans="1:12" x14ac:dyDescent="0.2">
      <c r="A5874"/>
      <c r="B5874"/>
      <c r="C5874"/>
      <c r="D5874"/>
      <c r="E5874" s="2">
        <f>Comuni__2[[#This Row],[Popolazione2011]]/$D$7911</f>
        <v>2.0651909358379404E-4</v>
      </c>
      <c r="F5874">
        <f>SUMIFS($D$2:$D$7909, $B$2:$B$7909, "Sardegna")</f>
        <v>1634822</v>
      </c>
      <c r="G5874" s="1">
        <f>Comuni__2[[#This Row],[Popolazione2011]]/Comuni__2[[#This Row],[POPOLAZIONE TOTALE DI OGNI REGIONE (CON FILTRO)]]</f>
        <v>7.5066276328554426E-3</v>
      </c>
      <c r="H5874" t="str">
        <f>IF(Comuni__2[[#This Row],[Popolazione2011]]&gt;300000,"MAGGIORE","")</f>
        <v/>
      </c>
      <c r="J5874">
        <v>18</v>
      </c>
      <c r="K5874">
        <v>16915</v>
      </c>
      <c r="L5874">
        <v>2023</v>
      </c>
    </row>
    <row r="5875" spans="1:12" x14ac:dyDescent="0.2">
      <c r="A5875"/>
      <c r="B5875"/>
      <c r="C5875"/>
      <c r="D5875"/>
      <c r="E5875" s="2">
        <f>Comuni__2[[#This Row],[Popolazione2011]]/$D$7911</f>
        <v>1.9346019392432338E-4</v>
      </c>
      <c r="F5875">
        <f>SUMIFS($D$2:$D$7909, $B$2:$B$7909, "Sardegna")</f>
        <v>1634822</v>
      </c>
      <c r="G5875" s="1">
        <f>Comuni__2[[#This Row],[Popolazione2011]]/Comuni__2[[#This Row],[POPOLAZIONE TOTALE DI OGNI REGIONE (CON FILTRO)]]</f>
        <v>7.0319582193046097E-3</v>
      </c>
      <c r="H5875" t="str">
        <f>IF(Comuni__2[[#This Row],[Popolazione2011]]&gt;300000,"MAGGIORE","")</f>
        <v/>
      </c>
      <c r="J5875">
        <v>18</v>
      </c>
      <c r="K5875">
        <v>16919</v>
      </c>
      <c r="L5875">
        <v>2024</v>
      </c>
    </row>
    <row r="5876" spans="1:12" x14ac:dyDescent="0.2">
      <c r="A5876"/>
      <c r="B5876"/>
      <c r="C5876"/>
      <c r="D5876"/>
      <c r="E5876" s="2">
        <f>Comuni__2[[#This Row],[Popolazione2011]]/$D$7911</f>
        <v>1.9300582499287271E-4</v>
      </c>
      <c r="F5876">
        <f>SUMIFS($D$2:$D$7909, $B$2:$B$7909, "Sardegna")</f>
        <v>1634822</v>
      </c>
      <c r="G5876" s="1">
        <f>Comuni__2[[#This Row],[Popolazione2011]]/Comuni__2[[#This Row],[POPOLAZIONE TOTALE DI OGNI REGIONE (CON FILTRO)]]</f>
        <v>7.0154426598125052E-3</v>
      </c>
      <c r="H5876" t="str">
        <f>IF(Comuni__2[[#This Row],[Popolazione2011]]&gt;300000,"MAGGIORE","")</f>
        <v/>
      </c>
      <c r="J5876">
        <v>19</v>
      </c>
      <c r="K5876">
        <v>16922</v>
      </c>
      <c r="L5876">
        <v>2034</v>
      </c>
    </row>
    <row r="5877" spans="1:12" x14ac:dyDescent="0.2">
      <c r="A5877"/>
      <c r="B5877"/>
      <c r="C5877"/>
      <c r="D5877"/>
      <c r="E5877" s="2">
        <f>Comuni__2[[#This Row],[Popolazione2011]]/$D$7911</f>
        <v>1.9263559845613515E-4</v>
      </c>
      <c r="F5877">
        <f>SUMIFS($D$2:$D$7909, $B$2:$B$7909, "Sardegna")</f>
        <v>1634822</v>
      </c>
      <c r="G5877" s="1">
        <f>Comuni__2[[#This Row],[Popolazione2011]]/Comuni__2[[#This Row],[POPOLAZIONE TOTALE DI OGNI REGIONE (CON FILTRO)]]</f>
        <v>7.0019855372633845E-3</v>
      </c>
      <c r="H5877" t="str">
        <f>IF(Comuni__2[[#This Row],[Popolazione2011]]&gt;300000,"MAGGIORE","")</f>
        <v/>
      </c>
      <c r="J5877">
        <v>20</v>
      </c>
      <c r="K5877">
        <v>16928</v>
      </c>
      <c r="L5877">
        <v>2034</v>
      </c>
    </row>
    <row r="5878" spans="1:12" x14ac:dyDescent="0.2">
      <c r="A5878"/>
      <c r="B5878"/>
      <c r="C5878"/>
      <c r="D5878"/>
      <c r="E5878" s="2">
        <f>Comuni__2[[#This Row],[Popolazione2011]]/$D$7911</f>
        <v>1.8403624571645795E-4</v>
      </c>
      <c r="F5878">
        <f>SUMIFS($D$2:$D$7909, $B$2:$B$7909, "Sardegna")</f>
        <v>1634822</v>
      </c>
      <c r="G5878" s="1">
        <f>Comuni__2[[#This Row],[Popolazione2011]]/Comuni__2[[#This Row],[POPOLAZIONE TOTALE DI OGNI REGIONE (CON FILTRO)]]</f>
        <v>6.6894132816906057E-3</v>
      </c>
      <c r="H5878" t="str">
        <f>IF(Comuni__2[[#This Row],[Popolazione2011]]&gt;300000,"MAGGIORE","")</f>
        <v/>
      </c>
      <c r="J5878">
        <v>19</v>
      </c>
      <c r="K5878">
        <v>16929</v>
      </c>
      <c r="L5878">
        <v>2037</v>
      </c>
    </row>
    <row r="5879" spans="1:12" x14ac:dyDescent="0.2">
      <c r="A5879"/>
      <c r="B5879"/>
      <c r="C5879"/>
      <c r="D5879"/>
      <c r="E5879" s="2">
        <f>Comuni__2[[#This Row],[Popolazione2011]]/$D$7911</f>
        <v>1.8311067937461402E-4</v>
      </c>
      <c r="F5879">
        <f>SUMIFS($D$2:$D$7909, $B$2:$B$7909, "Sardegna")</f>
        <v>1634822</v>
      </c>
      <c r="G5879" s="1">
        <f>Comuni__2[[#This Row],[Popolazione2011]]/Comuni__2[[#This Row],[POPOLAZIONE TOTALE DI OGNI REGIONE (CON FILTRO)]]</f>
        <v>6.6557704753178026E-3</v>
      </c>
      <c r="H5879" t="str">
        <f>IF(Comuni__2[[#This Row],[Popolazione2011]]&gt;300000,"MAGGIORE","")</f>
        <v/>
      </c>
      <c r="J5879">
        <v>17</v>
      </c>
      <c r="K5879">
        <v>16936</v>
      </c>
      <c r="L5879">
        <v>2039</v>
      </c>
    </row>
    <row r="5880" spans="1:12" x14ac:dyDescent="0.2">
      <c r="A5880"/>
      <c r="B5880"/>
      <c r="C5880"/>
      <c r="D5880"/>
      <c r="E5880" s="2">
        <f>Comuni__2[[#This Row],[Popolazione2011]]/$D$7911</f>
        <v>1.8078834928053289E-4</v>
      </c>
      <c r="F5880">
        <f>SUMIFS($D$2:$D$7909, $B$2:$B$7909, "Sardegna")</f>
        <v>1634822</v>
      </c>
      <c r="G5880" s="1">
        <f>Comuni__2[[#This Row],[Popolazione2011]]/Comuni__2[[#This Row],[POPOLAZIONE TOTALE DI OGNI REGIONE (CON FILTRO)]]</f>
        <v>6.5713576156914942E-3</v>
      </c>
      <c r="H5880" t="str">
        <f>IF(Comuni__2[[#This Row],[Popolazione2011]]&gt;300000,"MAGGIORE","")</f>
        <v/>
      </c>
      <c r="J5880">
        <v>23</v>
      </c>
      <c r="K5880">
        <v>16942</v>
      </c>
      <c r="L5880">
        <v>2039</v>
      </c>
    </row>
    <row r="5881" spans="1:12" x14ac:dyDescent="0.2">
      <c r="A5881"/>
      <c r="B5881"/>
      <c r="C5881"/>
      <c r="D5881"/>
      <c r="E5881" s="2">
        <f>Comuni__2[[#This Row],[Popolazione2011]]/$D$7911</f>
        <v>1.7688414216584578E-4</v>
      </c>
      <c r="F5881">
        <f>SUMIFS($D$2:$D$7909, $B$2:$B$7909, "Sardegna")</f>
        <v>1634822</v>
      </c>
      <c r="G5881" s="1">
        <f>Comuni__2[[#This Row],[Popolazione2011]]/Comuni__2[[#This Row],[POPOLAZIONE TOTALE DI OGNI REGIONE (CON FILTRO)]]</f>
        <v>6.4294461415371216E-3</v>
      </c>
      <c r="H5881" t="str">
        <f>IF(Comuni__2[[#This Row],[Popolazione2011]]&gt;300000,"MAGGIORE","")</f>
        <v/>
      </c>
      <c r="J5881">
        <v>23</v>
      </c>
      <c r="K5881">
        <v>16948</v>
      </c>
      <c r="L5881">
        <v>2039</v>
      </c>
    </row>
    <row r="5882" spans="1:12" x14ac:dyDescent="0.2">
      <c r="A5882"/>
      <c r="B5882"/>
      <c r="C5882"/>
      <c r="D5882"/>
      <c r="E5882" s="2">
        <f>Comuni__2[[#This Row],[Popolazione2011]]/$D$7911</f>
        <v>1.7568932016091997E-4</v>
      </c>
      <c r="F5882">
        <f>SUMIFS($D$2:$D$7909, $B$2:$B$7909, "Sardegna")</f>
        <v>1634822</v>
      </c>
      <c r="G5882" s="1">
        <f>Comuni__2[[#This Row],[Popolazione2011]]/Comuni__2[[#This Row],[POPOLAZIONE TOTALE DI OGNI REGIONE (CON FILTRO)]]</f>
        <v>6.3860163369467747E-3</v>
      </c>
      <c r="H5882" t="str">
        <f>IF(Comuni__2[[#This Row],[Popolazione2011]]&gt;300000,"MAGGIORE","")</f>
        <v/>
      </c>
      <c r="J5882">
        <v>25</v>
      </c>
      <c r="K5882">
        <v>16950</v>
      </c>
      <c r="L5882">
        <v>2039</v>
      </c>
    </row>
    <row r="5883" spans="1:12" x14ac:dyDescent="0.2">
      <c r="A5883"/>
      <c r="B5883"/>
      <c r="C5883"/>
      <c r="D5883"/>
      <c r="E5883" s="2">
        <f>Comuni__2[[#This Row],[Popolazione2011]]/$D$7911</f>
        <v>1.582550159763689E-4</v>
      </c>
      <c r="F5883">
        <f>SUMIFS($D$2:$D$7909, $B$2:$B$7909, "Sardegna")</f>
        <v>1634822</v>
      </c>
      <c r="G5883" s="1">
        <f>Comuni__2[[#This Row],[Popolazione2011]]/Comuni__2[[#This Row],[POPOLAZIONE TOTALE DI OGNI REGIONE (CON FILTRO)]]</f>
        <v>5.7523082023608688E-3</v>
      </c>
      <c r="H5883" t="str">
        <f>IF(Comuni__2[[#This Row],[Popolazione2011]]&gt;300000,"MAGGIORE","")</f>
        <v/>
      </c>
      <c r="J5883">
        <v>31</v>
      </c>
      <c r="K5883">
        <v>16952</v>
      </c>
      <c r="L5883">
        <v>2041</v>
      </c>
    </row>
    <row r="5884" spans="1:12" x14ac:dyDescent="0.2">
      <c r="A5884"/>
      <c r="B5884"/>
      <c r="C5884"/>
      <c r="D5884"/>
      <c r="E5884" s="2">
        <f>Comuni__2[[#This Row],[Popolazione2011]]/$D$7911</f>
        <v>1.5581488652968947E-4</v>
      </c>
      <c r="F5884">
        <f>SUMIFS($D$2:$D$7909, $B$2:$B$7909, "Sardegna")</f>
        <v>1634822</v>
      </c>
      <c r="G5884" s="1">
        <f>Comuni__2[[#This Row],[Popolazione2011]]/Comuni__2[[#This Row],[POPOLAZIONE TOTALE DI OGNI REGIONE (CON FILTRO)]]</f>
        <v>5.6636135310143857E-3</v>
      </c>
      <c r="H5884" t="str">
        <f>IF(Comuni__2[[#This Row],[Popolazione2011]]&gt;300000,"MAGGIORE","")</f>
        <v/>
      </c>
      <c r="J5884">
        <v>32</v>
      </c>
      <c r="K5884">
        <v>16960</v>
      </c>
      <c r="L5884">
        <v>2043</v>
      </c>
    </row>
    <row r="5885" spans="1:12" x14ac:dyDescent="0.2">
      <c r="A5885"/>
      <c r="B5885"/>
      <c r="C5885"/>
      <c r="D5885"/>
      <c r="E5885" s="2">
        <f>Comuni__2[[#This Row],[Popolazione2011]]/$D$7911</f>
        <v>1.5199482180971543E-4</v>
      </c>
      <c r="F5885">
        <f>SUMIFS($D$2:$D$7909, $B$2:$B$7909, "Sardegna")</f>
        <v>1634822</v>
      </c>
      <c r="G5885" s="1">
        <f>Comuni__2[[#This Row],[Popolazione2011]]/Comuni__2[[#This Row],[POPOLAZIONE TOTALE DI OGNI REGIONE (CON FILTRO)]]</f>
        <v>5.5247604938029951E-3</v>
      </c>
      <c r="H5885" t="str">
        <f>IF(Comuni__2[[#This Row],[Popolazione2011]]&gt;300000,"MAGGIORE","")</f>
        <v/>
      </c>
      <c r="J5885">
        <v>33</v>
      </c>
      <c r="K5885">
        <v>16968</v>
      </c>
      <c r="L5885">
        <v>2047</v>
      </c>
    </row>
    <row r="5886" spans="1:12" x14ac:dyDescent="0.2">
      <c r="A5886"/>
      <c r="B5886"/>
      <c r="C5886"/>
      <c r="D5886"/>
      <c r="E5886" s="2">
        <f>Comuni__2[[#This Row],[Popolazione2011]]/$D$7911</f>
        <v>1.5059805805747823E-4</v>
      </c>
      <c r="F5886">
        <f>SUMIFS($D$2:$D$7909, $B$2:$B$7909, "Sardegna")</f>
        <v>1634822</v>
      </c>
      <c r="G5886" s="1">
        <f>Comuni__2[[#This Row],[Popolazione2011]]/Comuni__2[[#This Row],[POPOLAZIONE TOTALE DI OGNI REGIONE (CON FILTRO)]]</f>
        <v>5.4739904405494907E-3</v>
      </c>
      <c r="H5886" t="str">
        <f>IF(Comuni__2[[#This Row],[Popolazione2011]]&gt;300000,"MAGGIORE","")</f>
        <v/>
      </c>
      <c r="J5886">
        <v>35</v>
      </c>
      <c r="K5886">
        <v>16976</v>
      </c>
      <c r="L5886">
        <v>2047</v>
      </c>
    </row>
    <row r="5887" spans="1:12" x14ac:dyDescent="0.2">
      <c r="A5887"/>
      <c r="B5887"/>
      <c r="C5887"/>
      <c r="D5887"/>
      <c r="E5887" s="2">
        <f>Comuni__2[[#This Row],[Popolazione2011]]/$D$7911</f>
        <v>1.4967249171563433E-4</v>
      </c>
      <c r="F5887">
        <f>SUMIFS($D$2:$D$7909, $B$2:$B$7909, "Sardegna")</f>
        <v>1634822</v>
      </c>
      <c r="G5887" s="1">
        <f>Comuni__2[[#This Row],[Popolazione2011]]/Comuni__2[[#This Row],[POPOLAZIONE TOTALE DI OGNI REGIONE (CON FILTRO)]]</f>
        <v>5.4403476341766868E-3</v>
      </c>
      <c r="H5887" t="str">
        <f>IF(Comuni__2[[#This Row],[Popolazione2011]]&gt;300000,"MAGGIORE","")</f>
        <v/>
      </c>
      <c r="J5887">
        <v>35</v>
      </c>
      <c r="K5887">
        <v>16985</v>
      </c>
      <c r="L5887">
        <v>2049</v>
      </c>
    </row>
    <row r="5888" spans="1:12" x14ac:dyDescent="0.2">
      <c r="A5888"/>
      <c r="B5888"/>
      <c r="C5888"/>
      <c r="D5888"/>
      <c r="E5888" s="2">
        <f>Comuni__2[[#This Row],[Popolazione2011]]/$D$7911</f>
        <v>1.4923495126312628E-4</v>
      </c>
      <c r="F5888">
        <f>SUMIFS($D$2:$D$7909, $B$2:$B$7909, "Sardegna")</f>
        <v>1634822</v>
      </c>
      <c r="G5888" s="1">
        <f>Comuni__2[[#This Row],[Popolazione2011]]/Comuni__2[[#This Row],[POPOLAZIONE TOTALE DI OGNI REGIONE (CON FILTRO)]]</f>
        <v>5.4244437620731799E-3</v>
      </c>
      <c r="H5888" t="str">
        <f>IF(Comuni__2[[#This Row],[Popolazione2011]]&gt;300000,"MAGGIORE","")</f>
        <v/>
      </c>
      <c r="J5888">
        <v>35</v>
      </c>
      <c r="K5888">
        <v>16990</v>
      </c>
      <c r="L5888">
        <v>2050</v>
      </c>
    </row>
    <row r="5889" spans="1:12" x14ac:dyDescent="0.2">
      <c r="A5889"/>
      <c r="B5889"/>
      <c r="C5889"/>
      <c r="D5889"/>
      <c r="E5889" s="2">
        <f>Comuni__2[[#This Row],[Popolazione2011]]/$D$7911</f>
        <v>1.4344595450686609E-4</v>
      </c>
      <c r="F5889">
        <f>SUMIFS($D$2:$D$7909, $B$2:$B$7909, "Sardegna")</f>
        <v>1634822</v>
      </c>
      <c r="G5889" s="1">
        <f>Comuni__2[[#This Row],[Popolazione2011]]/Comuni__2[[#This Row],[POPOLAZIONE TOTALE DI OGNI REGIONE (CON FILTRO)]]</f>
        <v>5.2140233003960066E-3</v>
      </c>
      <c r="H5889" t="str">
        <f>IF(Comuni__2[[#This Row],[Popolazione2011]]&gt;300000,"MAGGIORE","")</f>
        <v/>
      </c>
      <c r="J5889">
        <v>37</v>
      </c>
      <c r="K5889">
        <v>16990</v>
      </c>
      <c r="L5889">
        <v>2050</v>
      </c>
    </row>
    <row r="5890" spans="1:12" x14ac:dyDescent="0.2">
      <c r="A5890"/>
      <c r="B5890"/>
      <c r="C5890"/>
      <c r="D5890"/>
      <c r="E5890" s="2">
        <f>Comuni__2[[#This Row],[Popolazione2011]]/$D$7911</f>
        <v>1.423689318545386E-4</v>
      </c>
      <c r="F5890">
        <f>SUMIFS($D$2:$D$7909, $B$2:$B$7909, "Sardegna")</f>
        <v>1634822</v>
      </c>
      <c r="G5890" s="1">
        <f>Comuni__2[[#This Row],[Popolazione2011]]/Comuni__2[[#This Row],[POPOLAZIONE TOTALE DI OGNI REGIONE (CON FILTRO)]]</f>
        <v>5.1748753075258344E-3</v>
      </c>
      <c r="H5890" t="str">
        <f>IF(Comuni__2[[#This Row],[Popolazione2011]]&gt;300000,"MAGGIORE","")</f>
        <v/>
      </c>
      <c r="J5890">
        <v>37</v>
      </c>
      <c r="K5890">
        <v>16994</v>
      </c>
      <c r="L5890">
        <v>2053</v>
      </c>
    </row>
    <row r="5891" spans="1:12" x14ac:dyDescent="0.2">
      <c r="A5891"/>
      <c r="B5891"/>
      <c r="C5891"/>
      <c r="D5891"/>
      <c r="E5891" s="2">
        <f>Comuni__2[[#This Row],[Popolazione2011]]/$D$7911</f>
        <v>1.3506537199344288E-4</v>
      </c>
      <c r="F5891">
        <f>SUMIFS($D$2:$D$7909, $B$2:$B$7909, "Sardegna")</f>
        <v>1634822</v>
      </c>
      <c r="G5891" s="1">
        <f>Comuni__2[[#This Row],[Popolazione2011]]/Comuni__2[[#This Row],[POPOLAZIONE TOTALE DI OGNI REGIONE (CON FILTRO)]]</f>
        <v>4.9094029808749821E-3</v>
      </c>
      <c r="H5891" t="str">
        <f>IF(Comuni__2[[#This Row],[Popolazione2011]]&gt;300000,"MAGGIORE","")</f>
        <v/>
      </c>
      <c r="J5891">
        <v>37</v>
      </c>
      <c r="K5891">
        <v>17007</v>
      </c>
      <c r="L5891">
        <v>2057</v>
      </c>
    </row>
    <row r="5892" spans="1:12" x14ac:dyDescent="0.2">
      <c r="A5892"/>
      <c r="B5892"/>
      <c r="C5892"/>
      <c r="D5892"/>
      <c r="E5892" s="2">
        <f>Comuni__2[[#This Row],[Popolazione2011]]/$D$7911</f>
        <v>1.3415663413054158E-4</v>
      </c>
      <c r="F5892">
        <f>SUMIFS($D$2:$D$7909, $B$2:$B$7909, "Sardegna")</f>
        <v>1634822</v>
      </c>
      <c r="G5892" s="1">
        <f>Comuni__2[[#This Row],[Popolazione2011]]/Comuni__2[[#This Row],[POPOLAZIONE TOTALE DI OGNI REGIONE (CON FILTRO)]]</f>
        <v>4.8763718618907749E-3</v>
      </c>
      <c r="H5892" t="str">
        <f>IF(Comuni__2[[#This Row],[Popolazione2011]]&gt;300000,"MAGGIORE","")</f>
        <v/>
      </c>
      <c r="J5892">
        <v>30</v>
      </c>
      <c r="K5892">
        <v>17010</v>
      </c>
      <c r="L5892">
        <v>2062</v>
      </c>
    </row>
    <row r="5893" spans="1:12" x14ac:dyDescent="0.2">
      <c r="A5893"/>
      <c r="B5893"/>
      <c r="C5893"/>
      <c r="D5893"/>
      <c r="E5893" s="2">
        <f>Comuni__2[[#This Row],[Popolazione2011]]/$D$7911</f>
        <v>1.3225501601002587E-4</v>
      </c>
      <c r="F5893">
        <f>SUMIFS($D$2:$D$7909, $B$2:$B$7909, "Sardegna")</f>
        <v>1634822</v>
      </c>
      <c r="G5893" s="1">
        <f>Comuni__2[[#This Row],[Popolazione2011]]/Comuni__2[[#This Row],[POPOLAZIONE TOTALE DI OGNI REGIONE (CON FILTRO)]]</f>
        <v>4.8072511869793775E-3</v>
      </c>
      <c r="H5893" t="str">
        <f>IF(Comuni__2[[#This Row],[Popolazione2011]]&gt;300000,"MAGGIORE","")</f>
        <v/>
      </c>
      <c r="J5893">
        <v>32</v>
      </c>
      <c r="K5893">
        <v>17011</v>
      </c>
      <c r="L5893">
        <v>2063</v>
      </c>
    </row>
    <row r="5894" spans="1:12" x14ac:dyDescent="0.2">
      <c r="A5894"/>
      <c r="B5894"/>
      <c r="C5894"/>
      <c r="D5894"/>
      <c r="E5894" s="2">
        <f>Comuni__2[[#This Row],[Popolazione2011]]/$D$7911</f>
        <v>1.3178381859963259E-4</v>
      </c>
      <c r="F5894">
        <f>SUMIFS($D$2:$D$7909, $B$2:$B$7909, "Sardegna")</f>
        <v>1634822</v>
      </c>
      <c r="G5894" s="1">
        <f>Comuni__2[[#This Row],[Popolazione2011]]/Comuni__2[[#This Row],[POPOLAZIONE TOTALE DI OGNI REGIONE (CON FILTRO)]]</f>
        <v>4.7901239400986772E-3</v>
      </c>
      <c r="H5894" t="str">
        <f>IF(Comuni__2[[#This Row],[Popolazione2011]]&gt;300000,"MAGGIORE","")</f>
        <v/>
      </c>
      <c r="J5894">
        <v>31</v>
      </c>
      <c r="K5894">
        <v>17021</v>
      </c>
      <c r="L5894">
        <v>2064</v>
      </c>
    </row>
    <row r="5895" spans="1:12" x14ac:dyDescent="0.2">
      <c r="A5895"/>
      <c r="B5895"/>
      <c r="C5895"/>
      <c r="D5895"/>
      <c r="E5895" s="2">
        <f>Comuni__2[[#This Row],[Popolazione2011]]/$D$7911</f>
        <v>1.266006470853066E-4</v>
      </c>
      <c r="F5895">
        <f>SUMIFS($D$2:$D$7909, $B$2:$B$7909, "Sardegna")</f>
        <v>1634822</v>
      </c>
      <c r="G5895" s="1">
        <f>Comuni__2[[#This Row],[Popolazione2011]]/Comuni__2[[#This Row],[POPOLAZIONE TOTALE DI OGNI REGIONE (CON FILTRO)]]</f>
        <v>4.6017242244109757E-3</v>
      </c>
      <c r="H5895" t="str">
        <f>IF(Comuni__2[[#This Row],[Popolazione2011]]&gt;300000,"MAGGIORE","")</f>
        <v/>
      </c>
      <c r="J5895">
        <v>32</v>
      </c>
      <c r="K5895">
        <v>17023</v>
      </c>
      <c r="L5895">
        <v>2064</v>
      </c>
    </row>
    <row r="5896" spans="1:12" x14ac:dyDescent="0.2">
      <c r="A5896"/>
      <c r="B5896"/>
      <c r="C5896"/>
      <c r="D5896"/>
      <c r="E5896" s="2">
        <f>Comuni__2[[#This Row],[Popolazione2011]]/$D$7911</f>
        <v>1.2411003220179931E-4</v>
      </c>
      <c r="F5896">
        <f>SUMIFS($D$2:$D$7909, $B$2:$B$7909, "Sardegna")</f>
        <v>1634822</v>
      </c>
      <c r="G5896" s="1">
        <f>Comuni__2[[#This Row],[Popolazione2011]]/Comuni__2[[#This Row],[POPOLAZIONE TOTALE DI OGNI REGIONE (CON FILTRO)]]</f>
        <v>4.5111944908987033E-3</v>
      </c>
      <c r="H5896" t="str">
        <f>IF(Comuni__2[[#This Row],[Popolazione2011]]&gt;300000,"MAGGIORE","")</f>
        <v/>
      </c>
      <c r="J5896">
        <v>31</v>
      </c>
      <c r="K5896">
        <v>17027</v>
      </c>
      <c r="L5896">
        <v>2064</v>
      </c>
    </row>
    <row r="5897" spans="1:12" x14ac:dyDescent="0.2">
      <c r="A5897"/>
      <c r="B5897"/>
      <c r="C5897"/>
      <c r="D5897"/>
      <c r="E5897" s="2">
        <f>Comuni__2[[#This Row],[Popolazione2011]]/$D$7911</f>
        <v>1.2377346262294699E-4</v>
      </c>
      <c r="F5897">
        <f>SUMIFS($D$2:$D$7909, $B$2:$B$7909, "Sardegna")</f>
        <v>1634822</v>
      </c>
      <c r="G5897" s="1">
        <f>Comuni__2[[#This Row],[Popolazione2011]]/Comuni__2[[#This Row],[POPOLAZIONE TOTALE DI OGNI REGIONE (CON FILTRO)]]</f>
        <v>4.4989607431267743E-3</v>
      </c>
      <c r="H5897" t="str">
        <f>IF(Comuni__2[[#This Row],[Popolazione2011]]&gt;300000,"MAGGIORE","")</f>
        <v/>
      </c>
      <c r="J5897">
        <v>33</v>
      </c>
      <c r="K5897">
        <v>17026</v>
      </c>
      <c r="L5897">
        <v>2069</v>
      </c>
    </row>
    <row r="5898" spans="1:12" x14ac:dyDescent="0.2">
      <c r="A5898"/>
      <c r="B5898"/>
      <c r="C5898"/>
      <c r="D5898"/>
      <c r="E5898" s="2">
        <f>Comuni__2[[#This Row],[Popolazione2011]]/$D$7911</f>
        <v>1.2017216812922697E-4</v>
      </c>
      <c r="F5898">
        <f>SUMIFS($D$2:$D$7909, $B$2:$B$7909, "Sardegna")</f>
        <v>1634822</v>
      </c>
      <c r="G5898" s="1">
        <f>Comuni__2[[#This Row],[Popolazione2011]]/Comuni__2[[#This Row],[POPOLAZIONE TOTALE DI OGNI REGIONE (CON FILTRO)]]</f>
        <v>4.368059641967138E-3</v>
      </c>
      <c r="H5898" t="str">
        <f>IF(Comuni__2[[#This Row],[Popolazione2011]]&gt;300000,"MAGGIORE","")</f>
        <v/>
      </c>
      <c r="J5898">
        <v>31</v>
      </c>
      <c r="K5898">
        <v>17034</v>
      </c>
      <c r="L5898">
        <v>2073</v>
      </c>
    </row>
    <row r="5899" spans="1:12" x14ac:dyDescent="0.2">
      <c r="A5899"/>
      <c r="B5899"/>
      <c r="C5899"/>
      <c r="D5899"/>
      <c r="E5899" s="2">
        <f>Comuni__2[[#This Row],[Popolazione2011]]/$D$7911</f>
        <v>1.1539288010952378E-4</v>
      </c>
      <c r="F5899">
        <f>SUMIFS($D$2:$D$7909, $B$2:$B$7909, "Sardegna")</f>
        <v>1634822</v>
      </c>
      <c r="G5899" s="1">
        <f>Comuni__2[[#This Row],[Popolazione2011]]/Comuni__2[[#This Row],[POPOLAZIONE TOTALE DI OGNI REGIONE (CON FILTRO)]]</f>
        <v>4.1943404236057507E-3</v>
      </c>
      <c r="H5899" t="str">
        <f>IF(Comuni__2[[#This Row],[Popolazione2011]]&gt;300000,"MAGGIORE","")</f>
        <v/>
      </c>
      <c r="J5899">
        <v>34</v>
      </c>
      <c r="K5899">
        <v>17039</v>
      </c>
      <c r="L5899">
        <v>2073</v>
      </c>
    </row>
    <row r="5900" spans="1:12" x14ac:dyDescent="0.2">
      <c r="A5900"/>
      <c r="B5900"/>
      <c r="C5900"/>
      <c r="D5900"/>
      <c r="E5900" s="2">
        <f>Comuni__2[[#This Row],[Popolazione2011]]/$D$7911</f>
        <v>1.1433268593613892E-4</v>
      </c>
      <c r="F5900">
        <f>SUMIFS($D$2:$D$7909, $B$2:$B$7909, "Sardegna")</f>
        <v>1634822</v>
      </c>
      <c r="G5900" s="1">
        <f>Comuni__2[[#This Row],[Popolazione2011]]/Comuni__2[[#This Row],[POPOLAZIONE TOTALE DI OGNI REGIONE (CON FILTRO)]]</f>
        <v>4.1558041181241753E-3</v>
      </c>
      <c r="H5900" t="str">
        <f>IF(Comuni__2[[#This Row],[Popolazione2011]]&gt;300000,"MAGGIORE","")</f>
        <v/>
      </c>
      <c r="J5900">
        <v>36</v>
      </c>
      <c r="K5900">
        <v>17046</v>
      </c>
      <c r="L5900">
        <v>2074</v>
      </c>
    </row>
    <row r="5901" spans="1:12" x14ac:dyDescent="0.2">
      <c r="A5901"/>
      <c r="B5901"/>
      <c r="C5901"/>
      <c r="D5901"/>
      <c r="E5901" s="2">
        <f>Comuni__2[[#This Row],[Popolazione2011]]/$D$7911</f>
        <v>1.1278446587341817E-4</v>
      </c>
      <c r="F5901">
        <f>SUMIFS($D$2:$D$7909, $B$2:$B$7909, "Sardegna")</f>
        <v>1634822</v>
      </c>
      <c r="G5901" s="1">
        <f>Comuni__2[[#This Row],[Popolazione2011]]/Comuni__2[[#This Row],[POPOLAZIONE TOTALE DI OGNI REGIONE (CON FILTRO)]]</f>
        <v>4.0995288783733028E-3</v>
      </c>
      <c r="H5901" t="str">
        <f>IF(Comuni__2[[#This Row],[Popolazione2011]]&gt;300000,"MAGGIORE","")</f>
        <v/>
      </c>
      <c r="J5901">
        <v>32</v>
      </c>
      <c r="K5901">
        <v>17090</v>
      </c>
      <c r="L5901">
        <v>2075</v>
      </c>
    </row>
    <row r="5902" spans="1:12" x14ac:dyDescent="0.2">
      <c r="A5902"/>
      <c r="B5902"/>
      <c r="C5902"/>
      <c r="D5902"/>
      <c r="E5902" s="2">
        <f>Comuni__2[[#This Row],[Popolazione2011]]/$D$7911</f>
        <v>1.1064724904770582E-4</v>
      </c>
      <c r="F5902">
        <f>SUMIFS($D$2:$D$7909, $B$2:$B$7909, "Sardegna")</f>
        <v>1634822</v>
      </c>
      <c r="G5902" s="1">
        <f>Comuni__2[[#This Row],[Popolazione2011]]/Comuni__2[[#This Row],[POPOLAZIONE TOTALE DI OGNI REGIONE (CON FILTRO)]]</f>
        <v>4.0218445800215561E-3</v>
      </c>
      <c r="H5902" t="str">
        <f>IF(Comuni__2[[#This Row],[Popolazione2011]]&gt;300000,"MAGGIORE","")</f>
        <v/>
      </c>
      <c r="J5902">
        <v>31</v>
      </c>
      <c r="K5902">
        <v>17102</v>
      </c>
      <c r="L5902">
        <v>2075</v>
      </c>
    </row>
    <row r="5903" spans="1:12" x14ac:dyDescent="0.2">
      <c r="A5903"/>
      <c r="B5903"/>
      <c r="C5903"/>
      <c r="D5903"/>
      <c r="E5903" s="2">
        <f>Comuni__2[[#This Row],[Popolazione2011]]/$D$7911</f>
        <v>1.099236244531733E-4</v>
      </c>
      <c r="F5903">
        <f>SUMIFS($D$2:$D$7909, $B$2:$B$7909, "Sardegna")</f>
        <v>1634822</v>
      </c>
      <c r="G5903" s="1">
        <f>Comuni__2[[#This Row],[Popolazione2011]]/Comuni__2[[#This Row],[POPOLAZIONE TOTALE DI OGNI REGIONE (CON FILTRO)]]</f>
        <v>3.9955420223119088E-3</v>
      </c>
      <c r="H5903" t="str">
        <f>IF(Comuni__2[[#This Row],[Popolazione2011]]&gt;300000,"MAGGIORE","")</f>
        <v/>
      </c>
      <c r="J5903">
        <v>29</v>
      </c>
      <c r="K5903">
        <v>17106</v>
      </c>
      <c r="L5903">
        <v>2076</v>
      </c>
    </row>
    <row r="5904" spans="1:12" x14ac:dyDescent="0.2">
      <c r="A5904"/>
      <c r="B5904"/>
      <c r="C5904"/>
      <c r="D5904"/>
      <c r="E5904" s="2">
        <f>Comuni__2[[#This Row],[Popolazione2011]]/$D$7911</f>
        <v>1.0797152089582975E-4</v>
      </c>
      <c r="F5904">
        <f>SUMIFS($D$2:$D$7909, $B$2:$B$7909, "Sardegna")</f>
        <v>1634822</v>
      </c>
      <c r="G5904" s="1">
        <f>Comuni__2[[#This Row],[Popolazione2011]]/Comuni__2[[#This Row],[POPOLAZIONE TOTALE DI OGNI REGIONE (CON FILTRO)]]</f>
        <v>3.9245862852347229E-3</v>
      </c>
      <c r="H5904" t="str">
        <f>IF(Comuni__2[[#This Row],[Popolazione2011]]&gt;300000,"MAGGIORE","")</f>
        <v/>
      </c>
      <c r="J5904">
        <v>37</v>
      </c>
      <c r="K5904">
        <v>17111</v>
      </c>
      <c r="L5904">
        <v>2077</v>
      </c>
    </row>
    <row r="5905" spans="1:12" x14ac:dyDescent="0.2">
      <c r="A5905"/>
      <c r="B5905"/>
      <c r="C5905"/>
      <c r="D5905"/>
      <c r="E5905" s="2">
        <f>Comuni__2[[#This Row],[Popolazione2011]]/$D$7911</f>
        <v>1.060362458174288E-4</v>
      </c>
      <c r="F5905">
        <f>SUMIFS($D$2:$D$7909, $B$2:$B$7909, "Sardegna")</f>
        <v>1634822</v>
      </c>
      <c r="G5905" s="1">
        <f>Comuni__2[[#This Row],[Popolazione2011]]/Comuni__2[[#This Row],[POPOLAZIONE TOTALE DI OGNI REGIONE (CON FILTRO)]]</f>
        <v>3.8542422355461329E-3</v>
      </c>
      <c r="H5905" t="str">
        <f>IF(Comuni__2[[#This Row],[Popolazione2011]]&gt;300000,"MAGGIORE","")</f>
        <v/>
      </c>
      <c r="J5905">
        <v>39</v>
      </c>
      <c r="K5905">
        <v>17150</v>
      </c>
      <c r="L5905">
        <v>2077</v>
      </c>
    </row>
    <row r="5906" spans="1:12" x14ac:dyDescent="0.2">
      <c r="A5906"/>
      <c r="B5906"/>
      <c r="C5906"/>
      <c r="D5906"/>
      <c r="E5906" s="2">
        <f>Comuni__2[[#This Row],[Popolazione2011]]/$D$7911</f>
        <v>1.0130744323455347E-4</v>
      </c>
      <c r="F5906">
        <f>SUMIFS($D$2:$D$7909, $B$2:$B$7909, "Sardegna")</f>
        <v>1634822</v>
      </c>
      <c r="G5906" s="1">
        <f>Comuni__2[[#This Row],[Popolazione2011]]/Comuni__2[[#This Row],[POPOLAZIONE TOTALE DI OGNI REGIONE (CON FILTRO)]]</f>
        <v>3.682358079350535E-3</v>
      </c>
      <c r="H5906" t="str">
        <f>IF(Comuni__2[[#This Row],[Popolazione2011]]&gt;300000,"MAGGIORE","")</f>
        <v/>
      </c>
      <c r="J5906">
        <v>42</v>
      </c>
      <c r="K5906">
        <v>17178</v>
      </c>
      <c r="L5906">
        <v>2077</v>
      </c>
    </row>
    <row r="5907" spans="1:12" x14ac:dyDescent="0.2">
      <c r="A5907"/>
      <c r="B5907"/>
      <c r="C5907"/>
      <c r="D5907"/>
      <c r="E5907" s="2">
        <f>Comuni__2[[#This Row],[Popolazione2011]]/$D$7911</f>
        <v>9.8884142266816638E-5</v>
      </c>
      <c r="F5907">
        <f>SUMIFS($D$2:$D$7909, $B$2:$B$7909, "Sardegna")</f>
        <v>1634822</v>
      </c>
      <c r="G5907" s="1">
        <f>Comuni__2[[#This Row],[Popolazione2011]]/Comuni__2[[#This Row],[POPOLAZIONE TOTALE DI OGNI REGIONE (CON FILTRO)]]</f>
        <v>3.5942750953926483E-3</v>
      </c>
      <c r="H5907" t="str">
        <f>IF(Comuni__2[[#This Row],[Popolazione2011]]&gt;300000,"MAGGIORE","")</f>
        <v/>
      </c>
      <c r="J5907">
        <v>37</v>
      </c>
      <c r="K5907">
        <v>17242</v>
      </c>
      <c r="L5907">
        <v>2078</v>
      </c>
    </row>
    <row r="5908" spans="1:12" x14ac:dyDescent="0.2">
      <c r="A5908"/>
      <c r="B5908"/>
      <c r="C5908"/>
      <c r="D5908"/>
      <c r="E5908" s="2">
        <f>Comuni__2[[#This Row],[Popolazione2011]]/$D$7911</f>
        <v>9.6544983693792901E-5</v>
      </c>
      <c r="F5908">
        <f>SUMIFS($D$2:$D$7909, $B$2:$B$7909, "Sardegna")</f>
        <v>1634822</v>
      </c>
      <c r="G5908" s="1">
        <f>Comuni__2[[#This Row],[Popolazione2011]]/Comuni__2[[#This Row],[POPOLAZIONE TOTALE DI OGNI REGIONE (CON FILTRO)]]</f>
        <v>3.509250548377744E-3</v>
      </c>
      <c r="H5908" t="str">
        <f>IF(Comuni__2[[#This Row],[Popolazione2011]]&gt;300000,"MAGGIORE","")</f>
        <v/>
      </c>
      <c r="J5908">
        <v>35</v>
      </c>
      <c r="K5908">
        <v>17287</v>
      </c>
      <c r="L5908">
        <v>2083</v>
      </c>
    </row>
    <row r="5909" spans="1:12" x14ac:dyDescent="0.2">
      <c r="A5909"/>
      <c r="B5909"/>
      <c r="C5909"/>
      <c r="D5909"/>
      <c r="E5909" s="2">
        <f>Comuni__2[[#This Row],[Popolazione2011]]/$D$7911</f>
        <v>9.2422006352851774E-5</v>
      </c>
      <c r="F5909">
        <f>SUMIFS($D$2:$D$7909, $B$2:$B$7909, "Sardegna")</f>
        <v>1634822</v>
      </c>
      <c r="G5909" s="1">
        <f>Comuni__2[[#This Row],[Popolazione2011]]/Comuni__2[[#This Row],[POPOLAZIONE TOTALE DI OGNI REGIONE (CON FILTRO)]]</f>
        <v>3.3593871381716175E-3</v>
      </c>
      <c r="H5909" t="str">
        <f>IF(Comuni__2[[#This Row],[Popolazione2011]]&gt;300000,"MAGGIORE","")</f>
        <v/>
      </c>
      <c r="J5909">
        <v>34</v>
      </c>
      <c r="K5909">
        <v>17333</v>
      </c>
      <c r="L5909">
        <v>2083</v>
      </c>
    </row>
    <row r="5910" spans="1:12" x14ac:dyDescent="0.2">
      <c r="A5910"/>
      <c r="B5910"/>
      <c r="C5910"/>
      <c r="D5910"/>
      <c r="E5910" s="2">
        <f>Comuni__2[[#This Row],[Popolazione2011]]/$D$7911</f>
        <v>8.9544336453664295E-5</v>
      </c>
      <c r="F5910">
        <f>SUMIFS($D$2:$D$7909, $B$2:$B$7909, "Sardegna")</f>
        <v>1634822</v>
      </c>
      <c r="G5910" s="1">
        <f>Comuni__2[[#This Row],[Popolazione2011]]/Comuni__2[[#This Row],[POPOLAZIONE TOTALE DI OGNI REGIONE (CON FILTRO)]]</f>
        <v>3.2547885947216272E-3</v>
      </c>
      <c r="H5910" t="str">
        <f>IF(Comuni__2[[#This Row],[Popolazione2011]]&gt;300000,"MAGGIORE","")</f>
        <v/>
      </c>
      <c r="J5910">
        <v>35</v>
      </c>
      <c r="K5910">
        <v>17336</v>
      </c>
      <c r="L5910">
        <v>2083</v>
      </c>
    </row>
    <row r="5911" spans="1:12" x14ac:dyDescent="0.2">
      <c r="A5911"/>
      <c r="B5911"/>
      <c r="C5911"/>
      <c r="D5911"/>
      <c r="E5911" s="2">
        <f>Comuni__2[[#This Row],[Popolazione2011]]/$D$7911</f>
        <v>8.8113915743541856E-5</v>
      </c>
      <c r="F5911">
        <f>SUMIFS($D$2:$D$7909, $B$2:$B$7909, "Sardegna")</f>
        <v>1634822</v>
      </c>
      <c r="G5911" s="1">
        <f>Comuni__2[[#This Row],[Popolazione2011]]/Comuni__2[[#This Row],[POPOLAZIONE TOTALE DI OGNI REGIONE (CON FILTRO)]]</f>
        <v>3.2027951666909302E-3</v>
      </c>
      <c r="H5911" t="str">
        <f>IF(Comuni__2[[#This Row],[Popolazione2011]]&gt;300000,"MAGGIORE","")</f>
        <v/>
      </c>
      <c r="J5911">
        <v>39</v>
      </c>
      <c r="K5911">
        <v>17356</v>
      </c>
      <c r="L5911">
        <v>2085</v>
      </c>
    </row>
    <row r="5912" spans="1:12" x14ac:dyDescent="0.2">
      <c r="A5912"/>
      <c r="B5912"/>
      <c r="C5912"/>
      <c r="D5912"/>
      <c r="E5912" s="2">
        <f>Comuni__2[[#This Row],[Popolazione2011]]/$D$7911</f>
        <v>8.7474433543722417E-5</v>
      </c>
      <c r="F5912">
        <f>SUMIFS($D$2:$D$7909, $B$2:$B$7909, "Sardegna")</f>
        <v>1634822</v>
      </c>
      <c r="G5912" s="1">
        <f>Comuni__2[[#This Row],[Popolazione2011]]/Comuni__2[[#This Row],[POPOLAZIONE TOTALE DI OGNI REGIONE (CON FILTRO)]]</f>
        <v>3.1795510459242658E-3</v>
      </c>
      <c r="H5912" t="str">
        <f>IF(Comuni__2[[#This Row],[Popolazione2011]]&gt;300000,"MAGGIORE","")</f>
        <v/>
      </c>
      <c r="J5912">
        <v>39</v>
      </c>
      <c r="K5912">
        <v>17376</v>
      </c>
      <c r="L5912">
        <v>2092</v>
      </c>
    </row>
    <row r="5913" spans="1:12" x14ac:dyDescent="0.2">
      <c r="A5913"/>
      <c r="B5913"/>
      <c r="C5913"/>
      <c r="D5913"/>
      <c r="E5913" s="2">
        <f>Comuni__2[[#This Row],[Popolazione2011]]/$D$7911</f>
        <v>8.6868608301788209E-5</v>
      </c>
      <c r="F5913">
        <f>SUMIFS($D$2:$D$7909, $B$2:$B$7909, "Sardegna")</f>
        <v>1634822</v>
      </c>
      <c r="G5913" s="1">
        <f>Comuni__2[[#This Row],[Popolazione2011]]/Comuni__2[[#This Row],[POPOLAZIONE TOTALE DI OGNI REGIONE (CON FILTRO)]]</f>
        <v>3.157530299934794E-3</v>
      </c>
      <c r="H5913" t="str">
        <f>IF(Comuni__2[[#This Row],[Popolazione2011]]&gt;300000,"MAGGIORE","")</f>
        <v/>
      </c>
      <c r="J5913">
        <v>36</v>
      </c>
      <c r="K5913">
        <v>17406</v>
      </c>
      <c r="L5913">
        <v>2094</v>
      </c>
    </row>
    <row r="5914" spans="1:12" x14ac:dyDescent="0.2">
      <c r="A5914"/>
      <c r="B5914"/>
      <c r="C5914"/>
      <c r="D5914"/>
      <c r="E5914" s="2">
        <f>Comuni__2[[#This Row],[Popolazione2011]]/$D$7911</f>
        <v>8.641423937033756E-5</v>
      </c>
      <c r="F5914">
        <f>SUMIFS($D$2:$D$7909, $B$2:$B$7909, "Sardegna")</f>
        <v>1634822</v>
      </c>
      <c r="G5914" s="1">
        <f>Comuni__2[[#This Row],[Popolazione2011]]/Comuni__2[[#This Row],[POPOLAZIONE TOTALE DI OGNI REGIONE (CON FILTRO)]]</f>
        <v>3.1410147404426904E-3</v>
      </c>
      <c r="H5914" t="str">
        <f>IF(Comuni__2[[#This Row],[Popolazione2011]]&gt;300000,"MAGGIORE","")</f>
        <v/>
      </c>
      <c r="J5914">
        <v>39</v>
      </c>
      <c r="K5914">
        <v>17447</v>
      </c>
      <c r="L5914">
        <v>2095</v>
      </c>
    </row>
    <row r="5915" spans="1:12" x14ac:dyDescent="0.2">
      <c r="A5915"/>
      <c r="B5915"/>
      <c r="C5915"/>
      <c r="D5915"/>
      <c r="E5915" s="2">
        <f>Comuni__2[[#This Row],[Popolazione2011]]/$D$7911</f>
        <v>8.4613592123477553E-5</v>
      </c>
      <c r="F5915">
        <f>SUMIFS($D$2:$D$7909, $B$2:$B$7909, "Sardegna")</f>
        <v>1634822</v>
      </c>
      <c r="G5915" s="1">
        <f>Comuni__2[[#This Row],[Popolazione2011]]/Comuni__2[[#This Row],[POPOLAZIONE TOTALE DI OGNI REGIONE (CON FILTRO)]]</f>
        <v>3.0755641898628718E-3</v>
      </c>
      <c r="H5915" t="str">
        <f>IF(Comuni__2[[#This Row],[Popolazione2011]]&gt;300000,"MAGGIORE","")</f>
        <v/>
      </c>
      <c r="J5915">
        <v>42</v>
      </c>
      <c r="K5915">
        <v>17476</v>
      </c>
      <c r="L5915">
        <v>2096</v>
      </c>
    </row>
    <row r="5916" spans="1:12" x14ac:dyDescent="0.2">
      <c r="A5916"/>
      <c r="B5916"/>
      <c r="C5916"/>
      <c r="D5916"/>
      <c r="E5916" s="2">
        <f>Comuni__2[[#This Row],[Popolazione2011]]/$D$7911</f>
        <v>8.4445307334051378E-5</v>
      </c>
      <c r="F5916">
        <f>SUMIFS($D$2:$D$7909, $B$2:$B$7909, "Sardegna")</f>
        <v>1634822</v>
      </c>
      <c r="G5916" s="1">
        <f>Comuni__2[[#This Row],[Popolazione2011]]/Comuni__2[[#This Row],[POPOLAZIONE TOTALE DI OGNI REGIONE (CON FILTRO)]]</f>
        <v>3.0694473159769077E-3</v>
      </c>
      <c r="H5916" t="str">
        <f>IF(Comuni__2[[#This Row],[Popolazione2011]]&gt;300000,"MAGGIORE","")</f>
        <v/>
      </c>
      <c r="J5916">
        <v>39</v>
      </c>
      <c r="K5916">
        <v>17507</v>
      </c>
      <c r="L5916">
        <v>2096</v>
      </c>
    </row>
    <row r="5917" spans="1:12" x14ac:dyDescent="0.2">
      <c r="A5917"/>
      <c r="B5917"/>
      <c r="C5917"/>
      <c r="D5917"/>
      <c r="E5917" s="2">
        <f>Comuni__2[[#This Row],[Popolazione2011]]/$D$7911</f>
        <v>8.2812944876617546E-5</v>
      </c>
      <c r="F5917">
        <f>SUMIFS($D$2:$D$7909, $B$2:$B$7909, "Sardegna")</f>
        <v>1634822</v>
      </c>
      <c r="G5917" s="1">
        <f>Comuni__2[[#This Row],[Popolazione2011]]/Comuni__2[[#This Row],[POPOLAZIONE TOTALE DI OGNI REGIONE (CON FILTRO)]]</f>
        <v>3.0101136392830536E-3</v>
      </c>
      <c r="H5917" t="str">
        <f>IF(Comuni__2[[#This Row],[Popolazione2011]]&gt;300000,"MAGGIORE","")</f>
        <v/>
      </c>
      <c r="J5917">
        <v>41</v>
      </c>
      <c r="K5917">
        <v>17526</v>
      </c>
      <c r="L5917">
        <v>2096</v>
      </c>
    </row>
    <row r="5918" spans="1:12" x14ac:dyDescent="0.2">
      <c r="A5918"/>
      <c r="B5918"/>
      <c r="C5918"/>
      <c r="D5918"/>
      <c r="E5918" s="2">
        <f>Comuni__2[[#This Row],[Popolazione2011]]/$D$7911</f>
        <v>8.1550808955921283E-5</v>
      </c>
      <c r="F5918">
        <f>SUMIFS($D$2:$D$7909, $B$2:$B$7909, "Sardegna")</f>
        <v>1634822</v>
      </c>
      <c r="G5918" s="1">
        <f>Comuni__2[[#This Row],[Popolazione2011]]/Comuni__2[[#This Row],[POPOLAZIONE TOTALE DI OGNI REGIONE (CON FILTRO)]]</f>
        <v>2.9642370851383211E-3</v>
      </c>
      <c r="H5918" t="str">
        <f>IF(Comuni__2[[#This Row],[Popolazione2011]]&gt;300000,"MAGGIORE","")</f>
        <v/>
      </c>
      <c r="J5918">
        <v>48</v>
      </c>
      <c r="K5918">
        <v>17530</v>
      </c>
      <c r="L5918">
        <v>2098</v>
      </c>
    </row>
    <row r="5919" spans="1:12" x14ac:dyDescent="0.2">
      <c r="A5919"/>
      <c r="B5919"/>
      <c r="C5919"/>
      <c r="D5919"/>
      <c r="E5919" s="2">
        <f>Comuni__2[[#This Row],[Popolazione2011]]/$D$7911</f>
        <v>8.1382524166495108E-5</v>
      </c>
      <c r="F5919">
        <f>SUMIFS($D$2:$D$7909, $B$2:$B$7909, "Sardegna")</f>
        <v>1634822</v>
      </c>
      <c r="G5919" s="1">
        <f>Comuni__2[[#This Row],[Popolazione2011]]/Comuni__2[[#This Row],[POPOLAZIONE TOTALE DI OGNI REGIONE (CON FILTRO)]]</f>
        <v>2.9581202112523566E-3</v>
      </c>
      <c r="H5919" t="str">
        <f>IF(Comuni__2[[#This Row],[Popolazione2011]]&gt;300000,"MAGGIORE","")</f>
        <v/>
      </c>
      <c r="J5919">
        <v>45</v>
      </c>
      <c r="K5919">
        <v>17615</v>
      </c>
      <c r="L5919">
        <v>2099</v>
      </c>
    </row>
    <row r="5920" spans="1:12" x14ac:dyDescent="0.2">
      <c r="A5920"/>
      <c r="B5920"/>
      <c r="C5920"/>
      <c r="D5920"/>
      <c r="E5920" s="2">
        <f>Comuni__2[[#This Row],[Popolazione2011]]/$D$7911</f>
        <v>8.0961812192929691E-5</v>
      </c>
      <c r="F5920">
        <f>SUMIFS($D$2:$D$7909, $B$2:$B$7909, "Sardegna")</f>
        <v>1634822</v>
      </c>
      <c r="G5920" s="1">
        <f>Comuni__2[[#This Row],[Popolazione2011]]/Comuni__2[[#This Row],[POPOLAZIONE TOTALE DI OGNI REGIONE (CON FILTRO)]]</f>
        <v>2.9428280265374456E-3</v>
      </c>
      <c r="H5920" t="str">
        <f>IF(Comuni__2[[#This Row],[Popolazione2011]]&gt;300000,"MAGGIORE","")</f>
        <v/>
      </c>
      <c r="J5920">
        <v>42</v>
      </c>
      <c r="K5920">
        <v>17645</v>
      </c>
      <c r="L5920">
        <v>2100</v>
      </c>
    </row>
    <row r="5921" spans="1:12" x14ac:dyDescent="0.2">
      <c r="A5921"/>
      <c r="B5921"/>
      <c r="C5921"/>
      <c r="D5921"/>
      <c r="E5921" s="2">
        <f>Comuni__2[[#This Row],[Popolazione2011]]/$D$7911</f>
        <v>8.0456957824651194E-5</v>
      </c>
      <c r="F5921">
        <f>SUMIFS($D$2:$D$7909, $B$2:$B$7909, "Sardegna")</f>
        <v>1634822</v>
      </c>
      <c r="G5921" s="1">
        <f>Comuni__2[[#This Row],[Popolazione2011]]/Comuni__2[[#This Row],[POPOLAZIONE TOTALE DI OGNI REGIONE (CON FILTRO)]]</f>
        <v>2.9244774048795526E-3</v>
      </c>
      <c r="H5921" t="str">
        <f>IF(Comuni__2[[#This Row],[Popolazione2011]]&gt;300000,"MAGGIORE","")</f>
        <v/>
      </c>
      <c r="J5921">
        <v>48</v>
      </c>
      <c r="K5921">
        <v>17683</v>
      </c>
      <c r="L5921">
        <v>2102</v>
      </c>
    </row>
    <row r="5922" spans="1:12" x14ac:dyDescent="0.2">
      <c r="A5922"/>
      <c r="B5922"/>
      <c r="C5922"/>
      <c r="D5922"/>
      <c r="E5922" s="2">
        <f>Comuni__2[[#This Row],[Popolazione2011]]/$D$7911</f>
        <v>7.8302912519996235E-5</v>
      </c>
      <c r="F5922">
        <f>SUMIFS($D$2:$D$7909, $B$2:$B$7909, "Sardegna")</f>
        <v>1634822</v>
      </c>
      <c r="G5922" s="1">
        <f>Comuni__2[[#This Row],[Popolazione2011]]/Comuni__2[[#This Row],[POPOLAZIONE TOTALE DI OGNI REGIONE (CON FILTRO)]]</f>
        <v>2.8461814191392092E-3</v>
      </c>
      <c r="H5922" t="str">
        <f>IF(Comuni__2[[#This Row],[Popolazione2011]]&gt;300000,"MAGGIORE","")</f>
        <v/>
      </c>
      <c r="J5922">
        <v>48</v>
      </c>
      <c r="K5922">
        <v>17714</v>
      </c>
      <c r="L5922">
        <v>2104</v>
      </c>
    </row>
    <row r="5923" spans="1:12" x14ac:dyDescent="0.2">
      <c r="A5923"/>
      <c r="B5923"/>
      <c r="C5923"/>
      <c r="D5923"/>
      <c r="E5923" s="2">
        <f>Comuni__2[[#This Row],[Popolazione2011]]/$D$7911</f>
        <v>7.7663430320176795E-5</v>
      </c>
      <c r="F5923">
        <f>SUMIFS($D$2:$D$7909, $B$2:$B$7909, "Sardegna")</f>
        <v>1634822</v>
      </c>
      <c r="G5923" s="1">
        <f>Comuni__2[[#This Row],[Popolazione2011]]/Comuni__2[[#This Row],[POPOLAZIONE TOTALE DI OGNI REGIONE (CON FILTRO)]]</f>
        <v>2.8229372983725447E-3</v>
      </c>
      <c r="H5923" t="str">
        <f>IF(Comuni__2[[#This Row],[Popolazione2011]]&gt;300000,"MAGGIORE","")</f>
        <v/>
      </c>
      <c r="J5923">
        <v>47</v>
      </c>
      <c r="K5923">
        <v>17862</v>
      </c>
      <c r="L5923">
        <v>2104</v>
      </c>
    </row>
    <row r="5924" spans="1:12" x14ac:dyDescent="0.2">
      <c r="A5924"/>
      <c r="B5924"/>
      <c r="C5924"/>
      <c r="D5924"/>
      <c r="E5924" s="2">
        <f>Comuni__2[[#This Row],[Popolazione2011]]/$D$7911</f>
        <v>7.581229763648894E-5</v>
      </c>
      <c r="F5924">
        <f>SUMIFS($D$2:$D$7909, $B$2:$B$7909, "Sardegna")</f>
        <v>1634822</v>
      </c>
      <c r="G5924" s="1">
        <f>Comuni__2[[#This Row],[Popolazione2011]]/Comuni__2[[#This Row],[POPOLAZIONE TOTALE DI OGNI REGIONE (CON FILTRO)]]</f>
        <v>2.7556516856269368E-3</v>
      </c>
      <c r="H5924" t="str">
        <f>IF(Comuni__2[[#This Row],[Popolazione2011]]&gt;300000,"MAGGIORE","")</f>
        <v/>
      </c>
      <c r="J5924">
        <v>47</v>
      </c>
      <c r="K5924">
        <v>17919</v>
      </c>
      <c r="L5924">
        <v>2104</v>
      </c>
    </row>
    <row r="5925" spans="1:12" x14ac:dyDescent="0.2">
      <c r="A5925"/>
      <c r="B5925"/>
      <c r="C5925"/>
      <c r="D5925"/>
      <c r="E5925" s="2">
        <f>Comuni__2[[#This Row],[Popolazione2011]]/$D$7911</f>
        <v>7.3271197316153797E-5</v>
      </c>
      <c r="F5925">
        <f>SUMIFS($D$2:$D$7909, $B$2:$B$7909, "Sardegna")</f>
        <v>1634822</v>
      </c>
      <c r="G5925" s="1">
        <f>Comuni__2[[#This Row],[Popolazione2011]]/Comuni__2[[#This Row],[POPOLAZIONE TOTALE DI OGNI REGIONE (CON FILTRO)]]</f>
        <v>2.663286889948875E-3</v>
      </c>
      <c r="H5925" t="str">
        <f>IF(Comuni__2[[#This Row],[Popolazione2011]]&gt;300000,"MAGGIORE","")</f>
        <v/>
      </c>
      <c r="J5925">
        <v>51</v>
      </c>
      <c r="K5925">
        <v>17964</v>
      </c>
      <c r="L5925">
        <v>2107</v>
      </c>
    </row>
    <row r="5926" spans="1:12" x14ac:dyDescent="0.2">
      <c r="A5926"/>
      <c r="B5926"/>
      <c r="C5926"/>
      <c r="D5926"/>
      <c r="E5926" s="2">
        <f>Comuni__2[[#This Row],[Popolazione2011]]/$D$7911</f>
        <v>7.315339796355547E-5</v>
      </c>
      <c r="F5926">
        <f>SUMIFS($D$2:$D$7909, $B$2:$B$7909, "Sardegna")</f>
        <v>1634822</v>
      </c>
      <c r="G5926" s="1">
        <f>Comuni__2[[#This Row],[Popolazione2011]]/Comuni__2[[#This Row],[POPOLAZIONE TOTALE DI OGNI REGIONE (CON FILTRO)]]</f>
        <v>2.6590050782287003E-3</v>
      </c>
      <c r="H5926" t="str">
        <f>IF(Comuni__2[[#This Row],[Popolazione2011]]&gt;300000,"MAGGIORE","")</f>
        <v/>
      </c>
      <c r="J5926">
        <v>52</v>
      </c>
      <c r="K5926">
        <v>18063</v>
      </c>
      <c r="L5926">
        <v>2116</v>
      </c>
    </row>
    <row r="5927" spans="1:12" x14ac:dyDescent="0.2">
      <c r="A5927"/>
      <c r="B5927"/>
      <c r="C5927"/>
      <c r="D5927"/>
      <c r="E5927" s="2">
        <f>Comuni__2[[#This Row],[Popolazione2011]]/$D$7911</f>
        <v>7.2715857511047437E-5</v>
      </c>
      <c r="F5927">
        <f>SUMIFS($D$2:$D$7909, $B$2:$B$7909, "Sardegna")</f>
        <v>1634822</v>
      </c>
      <c r="G5927" s="1">
        <f>Comuni__2[[#This Row],[Popolazione2011]]/Comuni__2[[#This Row],[POPOLAZIONE TOTALE DI OGNI REGIONE (CON FILTRO)]]</f>
        <v>2.643101206125193E-3</v>
      </c>
      <c r="H5927" t="str">
        <f>IF(Comuni__2[[#This Row],[Popolazione2011]]&gt;300000,"MAGGIORE","")</f>
        <v/>
      </c>
      <c r="J5927">
        <v>63</v>
      </c>
      <c r="K5927">
        <v>18131</v>
      </c>
      <c r="L5927">
        <v>2117</v>
      </c>
    </row>
    <row r="5928" spans="1:12" x14ac:dyDescent="0.2">
      <c r="A5928"/>
      <c r="B5928"/>
      <c r="C5928"/>
      <c r="D5928"/>
      <c r="E5928" s="2">
        <f>Comuni__2[[#This Row],[Popolazione2011]]/$D$7911</f>
        <v>7.2614886637391727E-5</v>
      </c>
      <c r="F5928">
        <f>SUMIFS($D$2:$D$7909, $B$2:$B$7909, "Sardegna")</f>
        <v>1634822</v>
      </c>
      <c r="G5928" s="1">
        <f>Comuni__2[[#This Row],[Popolazione2011]]/Comuni__2[[#This Row],[POPOLAZIONE TOTALE DI OGNI REGIONE (CON FILTRO)]]</f>
        <v>2.6394310817936142E-3</v>
      </c>
      <c r="H5928" t="str">
        <f>IF(Comuni__2[[#This Row],[Popolazione2011]]&gt;300000,"MAGGIORE","")</f>
        <v/>
      </c>
      <c r="J5928">
        <v>56</v>
      </c>
      <c r="K5928">
        <v>18232</v>
      </c>
      <c r="L5928">
        <v>2119</v>
      </c>
    </row>
    <row r="5929" spans="1:12" x14ac:dyDescent="0.2">
      <c r="A5929"/>
      <c r="B5929"/>
      <c r="C5929"/>
      <c r="D5929"/>
      <c r="E5929" s="2">
        <f>Comuni__2[[#This Row],[Popolazione2011]]/$D$7911</f>
        <v>7.211003226911323E-5</v>
      </c>
      <c r="F5929">
        <f>SUMIFS($D$2:$D$7909, $B$2:$B$7909, "Sardegna")</f>
        <v>1634822</v>
      </c>
      <c r="G5929" s="1">
        <f>Comuni__2[[#This Row],[Popolazione2011]]/Comuni__2[[#This Row],[POPOLAZIONE TOTALE DI OGNI REGIONE (CON FILTRO)]]</f>
        <v>2.6210804601357212E-3</v>
      </c>
      <c r="H5929" t="str">
        <f>IF(Comuni__2[[#This Row],[Popolazione2011]]&gt;300000,"MAGGIORE","")</f>
        <v/>
      </c>
      <c r="J5929">
        <v>60</v>
      </c>
      <c r="K5929">
        <v>18290</v>
      </c>
      <c r="L5929">
        <v>2120</v>
      </c>
    </row>
    <row r="5930" spans="1:12" x14ac:dyDescent="0.2">
      <c r="A5930"/>
      <c r="B5930"/>
      <c r="C5930"/>
      <c r="D5930"/>
      <c r="E5930" s="2">
        <f>Comuni__2[[#This Row],[Popolazione2011]]/$D$7911</f>
        <v>7.1807119648146126E-5</v>
      </c>
      <c r="F5930">
        <f>SUMIFS($D$2:$D$7909, $B$2:$B$7909, "Sardegna")</f>
        <v>1634822</v>
      </c>
      <c r="G5930" s="1">
        <f>Comuni__2[[#This Row],[Popolazione2011]]/Comuni__2[[#This Row],[POPOLAZIONE TOTALE DI OGNI REGIONE (CON FILTRO)]]</f>
        <v>2.6100700871409853E-3</v>
      </c>
      <c r="H5930" t="str">
        <f>IF(Comuni__2[[#This Row],[Popolazione2011]]&gt;300000,"MAGGIORE","")</f>
        <v/>
      </c>
      <c r="J5930">
        <v>59</v>
      </c>
      <c r="K5930">
        <v>18399</v>
      </c>
      <c r="L5930">
        <v>2120</v>
      </c>
    </row>
    <row r="5931" spans="1:12" x14ac:dyDescent="0.2">
      <c r="A5931"/>
      <c r="B5931"/>
      <c r="C5931"/>
      <c r="D5931"/>
      <c r="E5931" s="2">
        <f>Comuni__2[[#This Row],[Popolazione2011]]/$D$7911</f>
        <v>7.0141100232827048E-5</v>
      </c>
      <c r="F5931">
        <f>SUMIFS($D$2:$D$7909, $B$2:$B$7909, "Sardegna")</f>
        <v>1634822</v>
      </c>
      <c r="G5931" s="1">
        <f>Comuni__2[[#This Row],[Popolazione2011]]/Comuni__2[[#This Row],[POPOLAZIONE TOTALE DI OGNI REGIONE (CON FILTRO)]]</f>
        <v>2.5495130356699386E-3</v>
      </c>
      <c r="H5931" t="str">
        <f>IF(Comuni__2[[#This Row],[Popolazione2011]]&gt;300000,"MAGGIORE","")</f>
        <v/>
      </c>
      <c r="J5931">
        <v>59</v>
      </c>
      <c r="K5931">
        <v>18422</v>
      </c>
      <c r="L5931">
        <v>2120</v>
      </c>
    </row>
    <row r="5932" spans="1:12" x14ac:dyDescent="0.2">
      <c r="A5932"/>
      <c r="B5932"/>
      <c r="C5932"/>
      <c r="D5932"/>
      <c r="E5932" s="2">
        <f>Comuni__2[[#This Row],[Popolazione2011]]/$D$7911</f>
        <v>6.8845307354245552E-5</v>
      </c>
      <c r="F5932">
        <f>SUMIFS($D$2:$D$7909, $B$2:$B$7909, "Sardegna")</f>
        <v>1634822</v>
      </c>
      <c r="G5932" s="1">
        <f>Comuni__2[[#This Row],[Popolazione2011]]/Comuni__2[[#This Row],[POPOLAZIONE TOTALE DI OGNI REGIONE (CON FILTRO)]]</f>
        <v>2.502413106748013E-3</v>
      </c>
      <c r="H5932" t="str">
        <f>IF(Comuni__2[[#This Row],[Popolazione2011]]&gt;300000,"MAGGIORE","")</f>
        <v/>
      </c>
      <c r="J5932">
        <v>78</v>
      </c>
      <c r="K5932">
        <v>18444</v>
      </c>
      <c r="L5932">
        <v>2122</v>
      </c>
    </row>
    <row r="5933" spans="1:12" x14ac:dyDescent="0.2">
      <c r="A5933"/>
      <c r="B5933"/>
      <c r="C5933"/>
      <c r="D5933"/>
      <c r="E5933" s="2">
        <f>Comuni__2[[#This Row],[Popolazione2011]]/$D$7911</f>
        <v>6.8357281464909671E-5</v>
      </c>
      <c r="F5933">
        <f>SUMIFS($D$2:$D$7909, $B$2:$B$7909, "Sardegna")</f>
        <v>1634822</v>
      </c>
      <c r="G5933" s="1">
        <f>Comuni__2[[#This Row],[Popolazione2011]]/Comuni__2[[#This Row],[POPOLAZIONE TOTALE DI OGNI REGIONE (CON FILTRO)]]</f>
        <v>2.4846741724787163E-3</v>
      </c>
      <c r="H5933" t="str">
        <f>IF(Comuni__2[[#This Row],[Popolazione2011]]&gt;300000,"MAGGIORE","")</f>
        <v/>
      </c>
      <c r="J5933">
        <v>79</v>
      </c>
      <c r="K5933">
        <v>18510</v>
      </c>
      <c r="L5933">
        <v>2123</v>
      </c>
    </row>
    <row r="5934" spans="1:12" x14ac:dyDescent="0.2">
      <c r="A5934"/>
      <c r="B5934"/>
      <c r="C5934"/>
      <c r="D5934"/>
      <c r="E5934" s="2">
        <f>Comuni__2[[#This Row],[Popolazione2011]]/$D$7911</f>
        <v>6.8121682759713032E-5</v>
      </c>
      <c r="F5934">
        <f>SUMIFS($D$2:$D$7909, $B$2:$B$7909, "Sardegna")</f>
        <v>1634822</v>
      </c>
      <c r="G5934" s="1">
        <f>Comuni__2[[#This Row],[Popolazione2011]]/Comuni__2[[#This Row],[POPOLAZIONE TOTALE DI OGNI REGIONE (CON FILTRO)]]</f>
        <v>2.4761105490383661E-3</v>
      </c>
      <c r="H5934" t="str">
        <f>IF(Comuni__2[[#This Row],[Popolazione2011]]&gt;300000,"MAGGIORE","")</f>
        <v/>
      </c>
      <c r="J5934">
        <v>83</v>
      </c>
      <c r="K5934">
        <v>18567</v>
      </c>
      <c r="L5934">
        <v>2123</v>
      </c>
    </row>
    <row r="5935" spans="1:12" x14ac:dyDescent="0.2">
      <c r="A5935"/>
      <c r="B5935"/>
      <c r="C5935"/>
      <c r="D5935"/>
      <c r="E5935" s="2">
        <f>Comuni__2[[#This Row],[Popolazione2011]]/$D$7911</f>
        <v>6.7330744249410033E-5</v>
      </c>
      <c r="F5935">
        <f>SUMIFS($D$2:$D$7909, $B$2:$B$7909, "Sardegna")</f>
        <v>1634822</v>
      </c>
      <c r="G5935" s="1">
        <f>Comuni__2[[#This Row],[Popolazione2011]]/Comuni__2[[#This Row],[POPOLAZIONE TOTALE DI OGNI REGIONE (CON FILTRO)]]</f>
        <v>2.447361241774334E-3</v>
      </c>
      <c r="H5935" t="str">
        <f>IF(Comuni__2[[#This Row],[Popolazione2011]]&gt;300000,"MAGGIORE","")</f>
        <v/>
      </c>
      <c r="J5935">
        <v>89</v>
      </c>
      <c r="K5935">
        <v>18671</v>
      </c>
      <c r="L5935">
        <v>2126</v>
      </c>
    </row>
    <row r="5936" spans="1:12" x14ac:dyDescent="0.2">
      <c r="A5936"/>
      <c r="B5936"/>
      <c r="C5936"/>
      <c r="D5936"/>
      <c r="E5936" s="2">
        <f>Comuni__2[[#This Row],[Popolazione2011]]/$D$7911</f>
        <v>6.7263430333639569E-5</v>
      </c>
      <c r="F5936">
        <f>SUMIFS($D$2:$D$7909, $B$2:$B$7909, "Sardegna")</f>
        <v>1634822</v>
      </c>
      <c r="G5936" s="1">
        <f>Comuni__2[[#This Row],[Popolazione2011]]/Comuni__2[[#This Row],[POPOLAZIONE TOTALE DI OGNI REGIONE (CON FILTRO)]]</f>
        <v>2.4449144922199482E-3</v>
      </c>
      <c r="H5936" t="str">
        <f>IF(Comuni__2[[#This Row],[Popolazione2011]]&gt;300000,"MAGGIORE","")</f>
        <v/>
      </c>
      <c r="J5936">
        <v>88</v>
      </c>
      <c r="K5936">
        <v>18758</v>
      </c>
      <c r="L5936">
        <v>2130</v>
      </c>
    </row>
    <row r="5937" spans="1:12" x14ac:dyDescent="0.2">
      <c r="A5937"/>
      <c r="B5937"/>
      <c r="C5937"/>
      <c r="D5937"/>
      <c r="E5937" s="2">
        <f>Comuni__2[[#This Row],[Popolazione2011]]/$D$7911</f>
        <v>6.6960517712672465E-5</v>
      </c>
      <c r="F5937">
        <f>SUMIFS($D$2:$D$7909, $B$2:$B$7909, "Sardegna")</f>
        <v>1634822</v>
      </c>
      <c r="G5937" s="1">
        <f>Comuni__2[[#This Row],[Popolazione2011]]/Comuni__2[[#This Row],[POPOLAZIONE TOTALE DI OGNI REGIONE (CON FILTRO)]]</f>
        <v>2.4339041192252124E-3</v>
      </c>
      <c r="H5937" t="str">
        <f>IF(Comuni__2[[#This Row],[Popolazione2011]]&gt;300000,"MAGGIORE","")</f>
        <v/>
      </c>
      <c r="J5937">
        <v>91</v>
      </c>
      <c r="K5937">
        <v>18875</v>
      </c>
      <c r="L5937">
        <v>2130</v>
      </c>
    </row>
    <row r="5938" spans="1:12" x14ac:dyDescent="0.2">
      <c r="A5938"/>
      <c r="B5938"/>
      <c r="C5938"/>
      <c r="D5938"/>
      <c r="E5938" s="2">
        <f>Comuni__2[[#This Row],[Popolazione2011]]/$D$7911</f>
        <v>6.6270550076025177E-5</v>
      </c>
      <c r="F5938">
        <f>SUMIFS($D$2:$D$7909, $B$2:$B$7909, "Sardegna")</f>
        <v>1634822</v>
      </c>
      <c r="G5938" s="1">
        <f>Comuni__2[[#This Row],[Popolazione2011]]/Comuni__2[[#This Row],[POPOLAZIONE TOTALE DI OGNI REGIONE (CON FILTRO)]]</f>
        <v>2.4088249362927585E-3</v>
      </c>
      <c r="H5938" t="str">
        <f>IF(Comuni__2[[#This Row],[Popolazione2011]]&gt;300000,"MAGGIORE","")</f>
        <v/>
      </c>
      <c r="J5938">
        <v>98</v>
      </c>
      <c r="K5938">
        <v>18940</v>
      </c>
      <c r="L5938">
        <v>2130</v>
      </c>
    </row>
    <row r="5939" spans="1:12" x14ac:dyDescent="0.2">
      <c r="A5939"/>
      <c r="B5939"/>
      <c r="C5939"/>
      <c r="D5939"/>
      <c r="E5939" s="2">
        <f>Comuni__2[[#This Row],[Popolazione2011]]/$D$7911</f>
        <v>6.4318446518681625E-5</v>
      </c>
      <c r="F5939">
        <f>SUMIFS($D$2:$D$7909, $B$2:$B$7909, "Sardegna")</f>
        <v>1634822</v>
      </c>
      <c r="G5939" s="1">
        <f>Comuni__2[[#This Row],[Popolazione2011]]/Comuni__2[[#This Row],[POPOLAZIONE TOTALE DI OGNI REGIONE (CON FILTRO)]]</f>
        <v>2.3378691992155722E-3</v>
      </c>
      <c r="H5939" t="str">
        <f>IF(Comuni__2[[#This Row],[Popolazione2011]]&gt;300000,"MAGGIORE","")</f>
        <v/>
      </c>
      <c r="J5939">
        <v>105</v>
      </c>
      <c r="K5939">
        <v>19072</v>
      </c>
      <c r="L5939">
        <v>2132</v>
      </c>
    </row>
    <row r="5940" spans="1:12" x14ac:dyDescent="0.2">
      <c r="A5940"/>
      <c r="B5940"/>
      <c r="C5940"/>
      <c r="D5940"/>
      <c r="E5940" s="2">
        <f>Comuni__2[[#This Row],[Popolazione2011]]/$D$7911</f>
        <v>6.4200647166083298E-5</v>
      </c>
      <c r="F5940">
        <f>SUMIFS($D$2:$D$7909, $B$2:$B$7909, "Sardegna")</f>
        <v>1634822</v>
      </c>
      <c r="G5940" s="1">
        <f>Comuni__2[[#This Row],[Popolazione2011]]/Comuni__2[[#This Row],[POPOLAZIONE TOTALE DI OGNI REGIONE (CON FILTRO)]]</f>
        <v>2.3335873874953971E-3</v>
      </c>
      <c r="H5940" t="str">
        <f>IF(Comuni__2[[#This Row],[Popolazione2011]]&gt;300000,"MAGGIORE","")</f>
        <v/>
      </c>
      <c r="J5940">
        <v>95</v>
      </c>
      <c r="K5940">
        <v>19137</v>
      </c>
      <c r="L5940">
        <v>2135</v>
      </c>
    </row>
    <row r="5941" spans="1:12" x14ac:dyDescent="0.2">
      <c r="A5941"/>
      <c r="B5941"/>
      <c r="C5941"/>
      <c r="D5941"/>
      <c r="E5941" s="2">
        <f>Comuni__2[[#This Row],[Popolazione2011]]/$D$7911</f>
        <v>6.3493851050493394E-5</v>
      </c>
      <c r="F5941">
        <f>SUMIFS($D$2:$D$7909, $B$2:$B$7909, "Sardegna")</f>
        <v>1634822</v>
      </c>
      <c r="G5941" s="1">
        <f>Comuni__2[[#This Row],[Popolazione2011]]/Comuni__2[[#This Row],[POPOLAZIONE TOTALE DI OGNI REGIONE (CON FILTRO)]]</f>
        <v>2.307896517174347E-3</v>
      </c>
      <c r="H5941" t="str">
        <f>IF(Comuni__2[[#This Row],[Popolazione2011]]&gt;300000,"MAGGIORE","")</f>
        <v/>
      </c>
      <c r="J5941">
        <v>95</v>
      </c>
      <c r="K5941">
        <v>19295</v>
      </c>
      <c r="L5941">
        <v>2135</v>
      </c>
    </row>
    <row r="5942" spans="1:12" x14ac:dyDescent="0.2">
      <c r="A5942"/>
      <c r="B5942"/>
      <c r="C5942"/>
      <c r="D5942"/>
      <c r="E5942" s="2">
        <f>Comuni__2[[#This Row],[Popolazione2011]]/$D$7911</f>
        <v>6.3477022571550778E-5</v>
      </c>
      <c r="F5942">
        <f>SUMIFS($D$2:$D$7909, $B$2:$B$7909, "Sardegna")</f>
        <v>1634822</v>
      </c>
      <c r="G5942" s="1">
        <f>Comuni__2[[#This Row],[Popolazione2011]]/Comuni__2[[#This Row],[POPOLAZIONE TOTALE DI OGNI REGIONE (CON FILTRO)]]</f>
        <v>2.3072848297857503E-3</v>
      </c>
      <c r="H5942" t="str">
        <f>IF(Comuni__2[[#This Row],[Popolazione2011]]&gt;300000,"MAGGIORE","")</f>
        <v/>
      </c>
      <c r="J5942">
        <v>102</v>
      </c>
      <c r="K5942">
        <v>19427</v>
      </c>
      <c r="L5942">
        <v>2138</v>
      </c>
    </row>
    <row r="5943" spans="1:12" x14ac:dyDescent="0.2">
      <c r="A5943"/>
      <c r="B5943"/>
      <c r="C5943"/>
      <c r="D5943"/>
      <c r="E5943" s="2">
        <f>Comuni__2[[#This Row],[Popolazione2011]]/$D$7911</f>
        <v>6.2534627750764234E-5</v>
      </c>
      <c r="F5943">
        <f>SUMIFS($D$2:$D$7909, $B$2:$B$7909, "Sardegna")</f>
        <v>1634822</v>
      </c>
      <c r="G5943" s="1">
        <f>Comuni__2[[#This Row],[Popolazione2011]]/Comuni__2[[#This Row],[POPOLAZIONE TOTALE DI OGNI REGIONE (CON FILTRO)]]</f>
        <v>2.2730303360243499E-3</v>
      </c>
      <c r="H5943" t="str">
        <f>IF(Comuni__2[[#This Row],[Popolazione2011]]&gt;300000,"MAGGIORE","")</f>
        <v/>
      </c>
      <c r="J5943">
        <v>111</v>
      </c>
      <c r="K5943">
        <v>19586</v>
      </c>
      <c r="L5943">
        <v>2141</v>
      </c>
    </row>
    <row r="5944" spans="1:12" x14ac:dyDescent="0.2">
      <c r="A5944"/>
      <c r="B5944"/>
      <c r="C5944"/>
      <c r="D5944"/>
      <c r="E5944" s="2">
        <f>Comuni__2[[#This Row],[Popolazione2011]]/$D$7911</f>
        <v>6.1743689240461249E-5</v>
      </c>
      <c r="F5944">
        <f>SUMIFS($D$2:$D$7909, $B$2:$B$7909, "Sardegna")</f>
        <v>1634822</v>
      </c>
      <c r="G5944" s="1">
        <f>Comuni__2[[#This Row],[Popolazione2011]]/Comuni__2[[#This Row],[POPOLAZIONE TOTALE DI OGNI REGIONE (CON FILTRO)]]</f>
        <v>2.2442810287603178E-3</v>
      </c>
      <c r="H5944" t="str">
        <f>IF(Comuni__2[[#This Row],[Popolazione2011]]&gt;300000,"MAGGIORE","")</f>
        <v/>
      </c>
      <c r="J5944">
        <v>109</v>
      </c>
      <c r="K5944">
        <v>19700</v>
      </c>
      <c r="L5944">
        <v>2142</v>
      </c>
    </row>
    <row r="5945" spans="1:12" x14ac:dyDescent="0.2">
      <c r="A5945"/>
      <c r="B5945"/>
      <c r="C5945"/>
      <c r="D5945"/>
      <c r="E5945" s="2">
        <f>Comuni__2[[#This Row],[Popolazione2011]]/$D$7911</f>
        <v>6.150809053526461E-5</v>
      </c>
      <c r="F5945">
        <f>SUMIFS($D$2:$D$7909, $B$2:$B$7909, "Sardegna")</f>
        <v>1634822</v>
      </c>
      <c r="G5945" s="1">
        <f>Comuni__2[[#This Row],[Popolazione2011]]/Comuni__2[[#This Row],[POPOLAZIONE TOTALE DI OGNI REGIONE (CON FILTRO)]]</f>
        <v>2.2357174053199676E-3</v>
      </c>
      <c r="H5945" t="str">
        <f>IF(Comuni__2[[#This Row],[Popolazione2011]]&gt;300000,"MAGGIORE","")</f>
        <v/>
      </c>
      <c r="J5945">
        <v>110</v>
      </c>
      <c r="K5945">
        <v>19737</v>
      </c>
      <c r="L5945">
        <v>2144</v>
      </c>
    </row>
    <row r="5946" spans="1:12" x14ac:dyDescent="0.2">
      <c r="A5946"/>
      <c r="B5946"/>
      <c r="C5946"/>
      <c r="D5946"/>
      <c r="E5946" s="2">
        <f>Comuni__2[[#This Row],[Popolazione2011]]/$D$7911</f>
        <v>6.118834943535489E-5</v>
      </c>
      <c r="F5946">
        <f>SUMIFS($D$2:$D$7909, $B$2:$B$7909, "Sardegna")</f>
        <v>1634822</v>
      </c>
      <c r="G5946" s="1">
        <f>Comuni__2[[#This Row],[Popolazione2011]]/Comuni__2[[#This Row],[POPOLAZIONE TOTALE DI OGNI REGIONE (CON FILTRO)]]</f>
        <v>2.2240953449366354E-3</v>
      </c>
      <c r="H5946" t="str">
        <f>IF(Comuni__2[[#This Row],[Popolazione2011]]&gt;300000,"MAGGIORE","")</f>
        <v/>
      </c>
      <c r="J5946">
        <v>117</v>
      </c>
      <c r="K5946">
        <v>19849</v>
      </c>
      <c r="L5946">
        <v>2146</v>
      </c>
    </row>
    <row r="5947" spans="1:12" x14ac:dyDescent="0.2">
      <c r="A5947"/>
      <c r="B5947"/>
      <c r="C5947"/>
      <c r="D5947"/>
      <c r="E5947" s="2">
        <f>Comuni__2[[#This Row],[Popolazione2011]]/$D$7911</f>
        <v>6.0077669825142178E-5</v>
      </c>
      <c r="F5947">
        <f>SUMIFS($D$2:$D$7909, $B$2:$B$7909, "Sardegna")</f>
        <v>1634822</v>
      </c>
      <c r="G5947" s="1">
        <f>Comuni__2[[#This Row],[Popolazione2011]]/Comuni__2[[#This Row],[POPOLAZIONE TOTALE DI OGNI REGIONE (CON FILTRO)]]</f>
        <v>2.1837239772892706E-3</v>
      </c>
      <c r="H5947" t="str">
        <f>IF(Comuni__2[[#This Row],[Popolazione2011]]&gt;300000,"MAGGIORE","")</f>
        <v/>
      </c>
      <c r="J5947">
        <v>121</v>
      </c>
      <c r="K5947">
        <v>19997</v>
      </c>
      <c r="L5947">
        <v>2151</v>
      </c>
    </row>
    <row r="5948" spans="1:12" x14ac:dyDescent="0.2">
      <c r="A5948"/>
      <c r="B5948"/>
      <c r="C5948"/>
      <c r="D5948"/>
      <c r="E5948" s="2">
        <f>Comuni__2[[#This Row],[Popolazione2011]]/$D$7911</f>
        <v>5.7822653646831515E-5</v>
      </c>
      <c r="F5948">
        <f>SUMIFS($D$2:$D$7909, $B$2:$B$7909, "Sardegna")</f>
        <v>1634822</v>
      </c>
      <c r="G5948" s="1">
        <f>Comuni__2[[#This Row],[Popolazione2011]]/Comuni__2[[#This Row],[POPOLAZIONE TOTALE DI OGNI REGIONE (CON FILTRO)]]</f>
        <v>2.1017578672173484E-3</v>
      </c>
      <c r="H5948" t="str">
        <f>IF(Comuni__2[[#This Row],[Popolazione2011]]&gt;300000,"MAGGIORE","")</f>
        <v/>
      </c>
      <c r="J5948">
        <v>121</v>
      </c>
      <c r="K5948">
        <v>20132</v>
      </c>
      <c r="L5948">
        <v>2151</v>
      </c>
    </row>
    <row r="5949" spans="1:12" x14ac:dyDescent="0.2">
      <c r="A5949"/>
      <c r="B5949"/>
      <c r="C5949"/>
      <c r="D5949"/>
      <c r="E5949" s="2">
        <f>Comuni__2[[#This Row],[Popolazione2011]]/$D$7911</f>
        <v>5.7553397983749644E-5</v>
      </c>
      <c r="F5949">
        <f>SUMIFS($D$2:$D$7909, $B$2:$B$7909, "Sardegna")</f>
        <v>1634822</v>
      </c>
      <c r="G5949" s="1">
        <f>Comuni__2[[#This Row],[Popolazione2011]]/Comuni__2[[#This Row],[POPOLAZIONE TOTALE DI OGNI REGIONE (CON FILTRO)]]</f>
        <v>2.0919708689998056E-3</v>
      </c>
      <c r="H5949" t="str">
        <f>IF(Comuni__2[[#This Row],[Popolazione2011]]&gt;300000,"MAGGIORE","")</f>
        <v/>
      </c>
      <c r="J5949">
        <v>123</v>
      </c>
      <c r="K5949">
        <v>20261</v>
      </c>
      <c r="L5949">
        <v>2153</v>
      </c>
    </row>
    <row r="5950" spans="1:12" x14ac:dyDescent="0.2">
      <c r="A5950"/>
      <c r="B5950"/>
      <c r="C5950"/>
      <c r="D5950"/>
      <c r="E5950" s="2">
        <f>Comuni__2[[#This Row],[Popolazione2011]]/$D$7911</f>
        <v>5.6812944910274507E-5</v>
      </c>
      <c r="F5950">
        <f>SUMIFS($D$2:$D$7909, $B$2:$B$7909, "Sardegna")</f>
        <v>1634822</v>
      </c>
      <c r="G5950" s="1">
        <f>Comuni__2[[#This Row],[Popolazione2011]]/Comuni__2[[#This Row],[POPOLAZIONE TOTALE DI OGNI REGIONE (CON FILTRO)]]</f>
        <v>2.0650566239015624E-3</v>
      </c>
      <c r="H5950" t="str">
        <f>IF(Comuni__2[[#This Row],[Popolazione2011]]&gt;300000,"MAGGIORE","")</f>
        <v/>
      </c>
      <c r="J5950">
        <v>135</v>
      </c>
      <c r="K5950">
        <v>20406</v>
      </c>
      <c r="L5950">
        <v>2158</v>
      </c>
    </row>
    <row r="5951" spans="1:12" x14ac:dyDescent="0.2">
      <c r="A5951"/>
      <c r="B5951"/>
      <c r="C5951"/>
      <c r="D5951"/>
      <c r="E5951" s="2">
        <f>Comuni__2[[#This Row],[Popolazione2011]]/$D$7911</f>
        <v>5.6762459473446652E-5</v>
      </c>
      <c r="F5951">
        <f>SUMIFS($D$2:$D$7909, $B$2:$B$7909, "Sardegna")</f>
        <v>1634822</v>
      </c>
      <c r="G5951" s="1">
        <f>Comuni__2[[#This Row],[Popolazione2011]]/Comuni__2[[#This Row],[POPOLAZIONE TOTALE DI OGNI REGIONE (CON FILTRO)]]</f>
        <v>2.063221561735773E-3</v>
      </c>
      <c r="H5951" t="str">
        <f>IF(Comuni__2[[#This Row],[Popolazione2011]]&gt;300000,"MAGGIORE","")</f>
        <v/>
      </c>
      <c r="J5951">
        <v>134</v>
      </c>
      <c r="K5951">
        <v>20527</v>
      </c>
      <c r="L5951">
        <v>2162</v>
      </c>
    </row>
    <row r="5952" spans="1:12" x14ac:dyDescent="0.2">
      <c r="A5952"/>
      <c r="B5952"/>
      <c r="C5952"/>
      <c r="D5952"/>
      <c r="E5952" s="2">
        <f>Comuni__2[[#This Row],[Popolazione2011]]/$D$7911</f>
        <v>5.4743042000332629E-5</v>
      </c>
      <c r="F5952">
        <f>SUMIFS($D$2:$D$7909, $B$2:$B$7909, "Sardegna")</f>
        <v>1634822</v>
      </c>
      <c r="G5952" s="1">
        <f>Comuni__2[[#This Row],[Popolazione2011]]/Comuni__2[[#This Row],[POPOLAZIONE TOTALE DI OGNI REGIONE (CON FILTRO)]]</f>
        <v>1.9898190751042009E-3</v>
      </c>
      <c r="H5952" t="str">
        <f>IF(Comuni__2[[#This Row],[Popolazione2011]]&gt;300000,"MAGGIORE","")</f>
        <v/>
      </c>
      <c r="J5952">
        <v>141</v>
      </c>
      <c r="K5952">
        <v>20589</v>
      </c>
      <c r="L5952">
        <v>2162</v>
      </c>
    </row>
    <row r="5953" spans="1:12" x14ac:dyDescent="0.2">
      <c r="A5953"/>
      <c r="B5953"/>
      <c r="C5953"/>
      <c r="D5953"/>
      <c r="E5953" s="2">
        <f>Comuni__2[[#This Row],[Popolazione2011]]/$D$7911</f>
        <v>5.4423300900422909E-5</v>
      </c>
      <c r="F5953">
        <f>SUMIFS($D$2:$D$7909, $B$2:$B$7909, "Sardegna")</f>
        <v>1634822</v>
      </c>
      <c r="G5953" s="1">
        <f>Comuni__2[[#This Row],[Popolazione2011]]/Comuni__2[[#This Row],[POPOLAZIONE TOTALE DI OGNI REGIONE (CON FILTRO)]]</f>
        <v>1.9781970147208687E-3</v>
      </c>
      <c r="H5953" t="str">
        <f>IF(Comuni__2[[#This Row],[Popolazione2011]]&gt;300000,"MAGGIORE","")</f>
        <v/>
      </c>
      <c r="J5953">
        <v>155</v>
      </c>
      <c r="K5953">
        <v>20696</v>
      </c>
      <c r="L5953">
        <v>2165</v>
      </c>
    </row>
    <row r="5954" spans="1:12" x14ac:dyDescent="0.2">
      <c r="A5954"/>
      <c r="B5954"/>
      <c r="C5954"/>
      <c r="D5954"/>
      <c r="E5954" s="2">
        <f>Comuni__2[[#This Row],[Popolazione2011]]/$D$7911</f>
        <v>5.4322330026767212E-5</v>
      </c>
      <c r="F5954">
        <f>SUMIFS($D$2:$D$7909, $B$2:$B$7909, "Sardegna")</f>
        <v>1634822</v>
      </c>
      <c r="G5954" s="1">
        <f>Comuni__2[[#This Row],[Popolazione2011]]/Comuni__2[[#This Row],[POPOLAZIONE TOTALE DI OGNI REGIONE (CON FILTRO)]]</f>
        <v>1.97452689038929E-3</v>
      </c>
      <c r="H5954" t="str">
        <f>IF(Comuni__2[[#This Row],[Popolazione2011]]&gt;300000,"MAGGIORE","")</f>
        <v/>
      </c>
      <c r="J5954">
        <v>155</v>
      </c>
      <c r="K5954">
        <v>20832</v>
      </c>
      <c r="L5954">
        <v>2167</v>
      </c>
    </row>
    <row r="5955" spans="1:12" x14ac:dyDescent="0.2">
      <c r="A5955"/>
      <c r="B5955"/>
      <c r="C5955"/>
      <c r="D5955"/>
      <c r="E5955" s="2">
        <f>Comuni__2[[#This Row],[Popolazione2011]]/$D$7911</f>
        <v>5.3918446532144405E-5</v>
      </c>
      <c r="F5955">
        <f>SUMIFS($D$2:$D$7909, $B$2:$B$7909, "Sardegna")</f>
        <v>1634822</v>
      </c>
      <c r="G5955" s="1">
        <f>Comuni__2[[#This Row],[Popolazione2011]]/Comuni__2[[#This Row],[POPOLAZIONE TOTALE DI OGNI REGIONE (CON FILTRO)]]</f>
        <v>1.9598463930629757E-3</v>
      </c>
      <c r="H5955" t="str">
        <f>IF(Comuni__2[[#This Row],[Popolazione2011]]&gt;300000,"MAGGIORE","")</f>
        <v/>
      </c>
      <c r="J5955">
        <v>161</v>
      </c>
      <c r="K5955">
        <v>20961</v>
      </c>
      <c r="L5955">
        <v>2169</v>
      </c>
    </row>
    <row r="5956" spans="1:12" x14ac:dyDescent="0.2">
      <c r="A5956"/>
      <c r="B5956"/>
      <c r="C5956"/>
      <c r="D5956"/>
      <c r="E5956" s="2">
        <f>Comuni__2[[#This Row],[Popolazione2011]]/$D$7911</f>
        <v>5.3565048474349453E-5</v>
      </c>
      <c r="F5956">
        <f>SUMIFS($D$2:$D$7909, $B$2:$B$7909, "Sardegna")</f>
        <v>1634822</v>
      </c>
      <c r="G5956" s="1">
        <f>Comuni__2[[#This Row],[Popolazione2011]]/Comuni__2[[#This Row],[POPOLAZIONE TOTALE DI OGNI REGIONE (CON FILTRO)]]</f>
        <v>1.9470009579024504E-3</v>
      </c>
      <c r="H5956" t="str">
        <f>IF(Comuni__2[[#This Row],[Popolazione2011]]&gt;300000,"MAGGIORE","")</f>
        <v/>
      </c>
      <c r="J5956">
        <v>159</v>
      </c>
      <c r="K5956">
        <v>21089</v>
      </c>
      <c r="L5956">
        <v>2173</v>
      </c>
    </row>
    <row r="5957" spans="1:12" x14ac:dyDescent="0.2">
      <c r="A5957"/>
      <c r="B5957"/>
      <c r="C5957"/>
      <c r="D5957"/>
      <c r="E5957" s="2">
        <f>Comuni__2[[#This Row],[Popolazione2011]]/$D$7911</f>
        <v>5.0805177927760286E-5</v>
      </c>
      <c r="F5957">
        <f>SUMIFS($D$2:$D$7909, $B$2:$B$7909, "Sardegna")</f>
        <v>1634822</v>
      </c>
      <c r="G5957" s="1">
        <f>Comuni__2[[#This Row],[Popolazione2011]]/Comuni__2[[#This Row],[POPOLAZIONE TOTALE DI OGNI REGIONE (CON FILTRO)]]</f>
        <v>1.8466842261726352E-3</v>
      </c>
      <c r="H5957" t="str">
        <f>IF(Comuni__2[[#This Row],[Popolazione2011]]&gt;300000,"MAGGIORE","")</f>
        <v/>
      </c>
      <c r="J5957">
        <v>168</v>
      </c>
      <c r="K5957">
        <v>21208</v>
      </c>
      <c r="L5957">
        <v>2174</v>
      </c>
    </row>
    <row r="5958" spans="1:12" x14ac:dyDescent="0.2">
      <c r="A5958"/>
      <c r="B5958"/>
      <c r="C5958"/>
      <c r="D5958"/>
      <c r="E5958" s="2">
        <f>Comuni__2[[#This Row],[Popolazione2011]]/$D$7911</f>
        <v>5.0754692490932438E-5</v>
      </c>
      <c r="F5958">
        <f>SUMIFS($D$2:$D$7909, $B$2:$B$7909, "Sardegna")</f>
        <v>1634822</v>
      </c>
      <c r="G5958" s="1">
        <f>Comuni__2[[#This Row],[Popolazione2011]]/Comuni__2[[#This Row],[POPOLAZIONE TOTALE DI OGNI REGIONE (CON FILTRO)]]</f>
        <v>1.844849164006846E-3</v>
      </c>
      <c r="H5958" t="str">
        <f>IF(Comuni__2[[#This Row],[Popolazione2011]]&gt;300000,"MAGGIORE","")</f>
        <v/>
      </c>
      <c r="J5958">
        <v>169</v>
      </c>
      <c r="K5958">
        <v>21307</v>
      </c>
      <c r="L5958">
        <v>2176</v>
      </c>
    </row>
    <row r="5959" spans="1:12" x14ac:dyDescent="0.2">
      <c r="A5959"/>
      <c r="B5959"/>
      <c r="C5959"/>
      <c r="D5959"/>
      <c r="E5959" s="2">
        <f>Comuni__2[[#This Row],[Popolazione2011]]/$D$7911</f>
        <v>5.0603236180448886E-5</v>
      </c>
      <c r="F5959">
        <f>SUMIFS($D$2:$D$7909, $B$2:$B$7909, "Sardegna")</f>
        <v>1634822</v>
      </c>
      <c r="G5959" s="1">
        <f>Comuni__2[[#This Row],[Popolazione2011]]/Comuni__2[[#This Row],[POPOLAZIONE TOTALE DI OGNI REGIONE (CON FILTRO)]]</f>
        <v>1.8393439775094781E-3</v>
      </c>
      <c r="H5959" t="str">
        <f>IF(Comuni__2[[#This Row],[Popolazione2011]]&gt;300000,"MAGGIORE","")</f>
        <v/>
      </c>
      <c r="J5959">
        <v>176</v>
      </c>
      <c r="K5959">
        <v>21359</v>
      </c>
      <c r="L5959">
        <v>2176</v>
      </c>
    </row>
    <row r="5960" spans="1:12" x14ac:dyDescent="0.2">
      <c r="A5960"/>
      <c r="B5960"/>
      <c r="C5960"/>
      <c r="D5960"/>
      <c r="E5960" s="2">
        <f>Comuni__2[[#This Row],[Popolazione2011]]/$D$7911</f>
        <v>5.0569579222563654E-5</v>
      </c>
      <c r="F5960">
        <f>SUMIFS($D$2:$D$7909, $B$2:$B$7909, "Sardegna")</f>
        <v>1634822</v>
      </c>
      <c r="G5960" s="1">
        <f>Comuni__2[[#This Row],[Popolazione2011]]/Comuni__2[[#This Row],[POPOLAZIONE TOTALE DI OGNI REGIONE (CON FILTRO)]]</f>
        <v>1.8381206027322853E-3</v>
      </c>
      <c r="H5960" t="str">
        <f>IF(Comuni__2[[#This Row],[Popolazione2011]]&gt;300000,"MAGGIORE","")</f>
        <v/>
      </c>
      <c r="J5960">
        <v>188</v>
      </c>
      <c r="K5960">
        <v>21448</v>
      </c>
      <c r="L5960">
        <v>2177</v>
      </c>
    </row>
    <row r="5961" spans="1:12" x14ac:dyDescent="0.2">
      <c r="A5961"/>
      <c r="B5961"/>
      <c r="C5961"/>
      <c r="D5961"/>
      <c r="E5961" s="2">
        <f>Comuni__2[[#This Row],[Popolazione2011]]/$D$7911</f>
        <v>4.9913268543801598E-5</v>
      </c>
      <c r="F5961">
        <f>SUMIFS($D$2:$D$7909, $B$2:$B$7909, "Sardegna")</f>
        <v>1634822</v>
      </c>
      <c r="G5961" s="1">
        <f>Comuni__2[[#This Row],[Popolazione2011]]/Comuni__2[[#This Row],[POPOLAZIONE TOTALE DI OGNI REGIONE (CON FILTRO)]]</f>
        <v>1.8142647945770243E-3</v>
      </c>
      <c r="H5961" t="str">
        <f>IF(Comuni__2[[#This Row],[Popolazione2011]]&gt;300000,"MAGGIORE","")</f>
        <v/>
      </c>
      <c r="J5961">
        <v>194</v>
      </c>
      <c r="K5961">
        <v>21541</v>
      </c>
      <c r="L5961">
        <v>2178</v>
      </c>
    </row>
    <row r="5962" spans="1:12" x14ac:dyDescent="0.2">
      <c r="A5962"/>
      <c r="B5962"/>
      <c r="C5962"/>
      <c r="D5962"/>
      <c r="E5962" s="2">
        <f>Comuni__2[[#This Row],[Popolazione2011]]/$D$7911</f>
        <v>4.9812297670145894E-5</v>
      </c>
      <c r="F5962">
        <f>SUMIFS($D$2:$D$7909, $B$2:$B$7909, "Sardegna")</f>
        <v>1634822</v>
      </c>
      <c r="G5962" s="1">
        <f>Comuni__2[[#This Row],[Popolazione2011]]/Comuni__2[[#This Row],[POPOLAZIONE TOTALE DI OGNI REGIONE (CON FILTRO)]]</f>
        <v>1.8105946702454457E-3</v>
      </c>
      <c r="H5962" t="str">
        <f>IF(Comuni__2[[#This Row],[Popolazione2011]]&gt;300000,"MAGGIORE","")</f>
        <v/>
      </c>
      <c r="J5962">
        <v>204</v>
      </c>
      <c r="K5962">
        <v>21748</v>
      </c>
      <c r="L5962">
        <v>2183</v>
      </c>
    </row>
    <row r="5963" spans="1:12" x14ac:dyDescent="0.2">
      <c r="A5963"/>
      <c r="B5963"/>
      <c r="C5963"/>
      <c r="D5963"/>
      <c r="E5963" s="2">
        <f>Comuni__2[[#This Row],[Popolazione2011]]/$D$7911</f>
        <v>4.9610355922834494E-5</v>
      </c>
      <c r="F5963">
        <f>SUMIFS($D$2:$D$7909, $B$2:$B$7909, "Sardegna")</f>
        <v>1634822</v>
      </c>
      <c r="G5963" s="1">
        <f>Comuni__2[[#This Row],[Popolazione2011]]/Comuni__2[[#This Row],[POPOLAZIONE TOTALE DI OGNI REGIONE (CON FILTRO)]]</f>
        <v>1.8032544215822884E-3</v>
      </c>
      <c r="H5963" t="str">
        <f>IF(Comuni__2[[#This Row],[Popolazione2011]]&gt;300000,"MAGGIORE","")</f>
        <v/>
      </c>
      <c r="J5963">
        <v>189</v>
      </c>
      <c r="K5963">
        <v>21871</v>
      </c>
      <c r="L5963">
        <v>2189</v>
      </c>
    </row>
    <row r="5964" spans="1:12" x14ac:dyDescent="0.2">
      <c r="A5964"/>
      <c r="B5964"/>
      <c r="C5964"/>
      <c r="D5964"/>
      <c r="E5964" s="2">
        <f>Comuni__2[[#This Row],[Popolazione2011]]/$D$7911</f>
        <v>4.8752103496761031E-5</v>
      </c>
      <c r="F5964">
        <f>SUMIFS($D$2:$D$7909, $B$2:$B$7909, "Sardegna")</f>
        <v>1634822</v>
      </c>
      <c r="G5964" s="1">
        <f>Comuni__2[[#This Row],[Popolazione2011]]/Comuni__2[[#This Row],[POPOLAZIONE TOTALE DI OGNI REGIONE (CON FILTRO)]]</f>
        <v>1.7720583647638703E-3</v>
      </c>
      <c r="H5964" t="str">
        <f>IF(Comuni__2[[#This Row],[Popolazione2011]]&gt;300000,"MAGGIORE","")</f>
        <v/>
      </c>
      <c r="J5964">
        <v>195</v>
      </c>
      <c r="K5964">
        <v>22058</v>
      </c>
      <c r="L5964">
        <v>2193</v>
      </c>
    </row>
    <row r="5965" spans="1:12" x14ac:dyDescent="0.2">
      <c r="A5965"/>
      <c r="B5965"/>
      <c r="C5965"/>
      <c r="D5965"/>
      <c r="E5965" s="2">
        <f>Comuni__2[[#This Row],[Popolazione2011]]/$D$7911</f>
        <v>4.8735275017818414E-5</v>
      </c>
      <c r="F5965">
        <f>SUMIFS($D$2:$D$7909, $B$2:$B$7909, "Sardegna")</f>
        <v>1634822</v>
      </c>
      <c r="G5965" s="1">
        <f>Comuni__2[[#This Row],[Popolazione2011]]/Comuni__2[[#This Row],[POPOLAZIONE TOTALE DI OGNI REGIONE (CON FILTRO)]]</f>
        <v>1.7714466773752738E-3</v>
      </c>
      <c r="H5965" t="str">
        <f>IF(Comuni__2[[#This Row],[Popolazione2011]]&gt;300000,"MAGGIORE","")</f>
        <v/>
      </c>
      <c r="J5965">
        <v>198</v>
      </c>
      <c r="K5965">
        <v>22195</v>
      </c>
      <c r="L5965">
        <v>2194</v>
      </c>
    </row>
    <row r="5966" spans="1:12" x14ac:dyDescent="0.2">
      <c r="A5966"/>
      <c r="B5966"/>
      <c r="C5966"/>
      <c r="D5966"/>
      <c r="E5966" s="2">
        <f>Comuni__2[[#This Row],[Popolazione2011]]/$D$7911</f>
        <v>4.8651132623105327E-5</v>
      </c>
      <c r="F5966">
        <f>SUMIFS($D$2:$D$7909, $B$2:$B$7909, "Sardegna")</f>
        <v>1634822</v>
      </c>
      <c r="G5966" s="1">
        <f>Comuni__2[[#This Row],[Popolazione2011]]/Comuni__2[[#This Row],[POPOLAZIONE TOTALE DI OGNI REGIONE (CON FILTRO)]]</f>
        <v>1.7683882404322918E-3</v>
      </c>
      <c r="H5966" t="str">
        <f>IF(Comuni__2[[#This Row],[Popolazione2011]]&gt;300000,"MAGGIORE","")</f>
        <v/>
      </c>
      <c r="J5966">
        <v>202</v>
      </c>
      <c r="K5966">
        <v>22259</v>
      </c>
      <c r="L5966">
        <v>2194</v>
      </c>
    </row>
    <row r="5967" spans="1:12" x14ac:dyDescent="0.2">
      <c r="A5967"/>
      <c r="B5967"/>
      <c r="C5967"/>
      <c r="D5967"/>
      <c r="E5967" s="2">
        <f>Comuni__2[[#This Row],[Popolazione2011]]/$D$7911</f>
        <v>4.8331391523195607E-5</v>
      </c>
      <c r="F5967">
        <f>SUMIFS($D$2:$D$7909, $B$2:$B$7909, "Sardegna")</f>
        <v>1634822</v>
      </c>
      <c r="G5967" s="1">
        <f>Comuni__2[[#This Row],[Popolazione2011]]/Comuni__2[[#This Row],[POPOLAZIONE TOTALE DI OGNI REGIONE (CON FILTRO)]]</f>
        <v>1.7567661800489596E-3</v>
      </c>
      <c r="H5967" t="str">
        <f>IF(Comuni__2[[#This Row],[Popolazione2011]]&gt;300000,"MAGGIORE","")</f>
        <v/>
      </c>
      <c r="J5967">
        <v>223</v>
      </c>
      <c r="K5967">
        <v>22319</v>
      </c>
      <c r="L5967">
        <v>2198</v>
      </c>
    </row>
    <row r="5968" spans="1:12" x14ac:dyDescent="0.2">
      <c r="A5968"/>
      <c r="B5968"/>
      <c r="C5968"/>
      <c r="D5968"/>
      <c r="E5968" s="2">
        <f>Comuni__2[[#This Row],[Popolazione2011]]/$D$7911</f>
        <v>4.7977993465400655E-5</v>
      </c>
      <c r="F5968">
        <f>SUMIFS($D$2:$D$7909, $B$2:$B$7909, "Sardegna")</f>
        <v>1634822</v>
      </c>
      <c r="G5968" s="1">
        <f>Comuni__2[[#This Row],[Popolazione2011]]/Comuni__2[[#This Row],[POPOLAZIONE TOTALE DI OGNI REGIONE (CON FILTRO)]]</f>
        <v>1.7439207448884343E-3</v>
      </c>
      <c r="H5968" t="str">
        <f>IF(Comuni__2[[#This Row],[Popolazione2011]]&gt;300000,"MAGGIORE","")</f>
        <v/>
      </c>
      <c r="J5968">
        <v>230</v>
      </c>
      <c r="K5968">
        <v>22464</v>
      </c>
      <c r="L5968">
        <v>2200</v>
      </c>
    </row>
    <row r="5969" spans="1:12" x14ac:dyDescent="0.2">
      <c r="A5969"/>
      <c r="B5969"/>
      <c r="C5969"/>
      <c r="D5969"/>
      <c r="E5969" s="2">
        <f>Comuni__2[[#This Row],[Popolazione2011]]/$D$7911</f>
        <v>4.7893851070687574E-5</v>
      </c>
      <c r="F5969">
        <f>SUMIFS($D$2:$D$7909, $B$2:$B$7909, "Sardegna")</f>
        <v>1634822</v>
      </c>
      <c r="G5969" s="1">
        <f>Comuni__2[[#This Row],[Popolazione2011]]/Comuni__2[[#This Row],[POPOLAZIONE TOTALE DI OGNI REGIONE (CON FILTRO)]]</f>
        <v>1.7408623079454523E-3</v>
      </c>
      <c r="H5969" t="str">
        <f>IF(Comuni__2[[#This Row],[Popolazione2011]]&gt;300000,"MAGGIORE","")</f>
        <v/>
      </c>
      <c r="J5969">
        <v>232</v>
      </c>
      <c r="K5969">
        <v>22620</v>
      </c>
      <c r="L5969">
        <v>2206</v>
      </c>
    </row>
    <row r="5970" spans="1:12" x14ac:dyDescent="0.2">
      <c r="A5970"/>
      <c r="B5970"/>
      <c r="C5970"/>
      <c r="D5970"/>
      <c r="E5970" s="2">
        <f>Comuni__2[[#This Row],[Popolazione2011]]/$D$7911</f>
        <v>4.7826537154917103E-5</v>
      </c>
      <c r="F5970">
        <f>SUMIFS($D$2:$D$7909, $B$2:$B$7909, "Sardegna")</f>
        <v>1634822</v>
      </c>
      <c r="G5970" s="1">
        <f>Comuni__2[[#This Row],[Popolazione2011]]/Comuni__2[[#This Row],[POPOLAZIONE TOTALE DI OGNI REGIONE (CON FILTRO)]]</f>
        <v>1.7384155583910663E-3</v>
      </c>
      <c r="H5970" t="str">
        <f>IF(Comuni__2[[#This Row],[Popolazione2011]]&gt;300000,"MAGGIORE","")</f>
        <v/>
      </c>
      <c r="J5970">
        <v>229</v>
      </c>
      <c r="K5970">
        <v>22821</v>
      </c>
      <c r="L5970">
        <v>2209</v>
      </c>
    </row>
    <row r="5971" spans="1:12" x14ac:dyDescent="0.2">
      <c r="A5971"/>
      <c r="B5971"/>
      <c r="C5971"/>
      <c r="D5971"/>
      <c r="E5971" s="2">
        <f>Comuni__2[[#This Row],[Popolazione2011]]/$D$7911</f>
        <v>4.7590938449720471E-5</v>
      </c>
      <c r="F5971">
        <f>SUMIFS($D$2:$D$7909, $B$2:$B$7909, "Sardegna")</f>
        <v>1634822</v>
      </c>
      <c r="G5971" s="1">
        <f>Comuni__2[[#This Row],[Popolazione2011]]/Comuni__2[[#This Row],[POPOLAZIONE TOTALE DI OGNI REGIONE (CON FILTRO)]]</f>
        <v>1.7298519349507164E-3</v>
      </c>
      <c r="H5971" t="str">
        <f>IF(Comuni__2[[#This Row],[Popolazione2011]]&gt;300000,"MAGGIORE","")</f>
        <v/>
      </c>
      <c r="J5971">
        <v>251</v>
      </c>
      <c r="K5971">
        <v>23017</v>
      </c>
      <c r="L5971">
        <v>2216</v>
      </c>
    </row>
    <row r="5972" spans="1:12" x14ac:dyDescent="0.2">
      <c r="A5972"/>
      <c r="B5972"/>
      <c r="C5972"/>
      <c r="D5972"/>
      <c r="E5972" s="2">
        <f>Comuni__2[[#This Row],[Popolazione2011]]/$D$7911</f>
        <v>4.7489967576064767E-5</v>
      </c>
      <c r="F5972">
        <f>SUMIFS($D$2:$D$7909, $B$2:$B$7909, "Sardegna")</f>
        <v>1634822</v>
      </c>
      <c r="G5972" s="1">
        <f>Comuni__2[[#This Row],[Popolazione2011]]/Comuni__2[[#This Row],[POPOLAZIONE TOTALE DI OGNI REGIONE (CON FILTRO)]]</f>
        <v>1.7261818106191378E-3</v>
      </c>
      <c r="H5972" t="str">
        <f>IF(Comuni__2[[#This Row],[Popolazione2011]]&gt;300000,"MAGGIORE","")</f>
        <v/>
      </c>
      <c r="J5972">
        <v>262</v>
      </c>
      <c r="K5972">
        <v>23197</v>
      </c>
      <c r="L5972">
        <v>2218</v>
      </c>
    </row>
    <row r="5973" spans="1:12" x14ac:dyDescent="0.2">
      <c r="A5973"/>
      <c r="B5973"/>
      <c r="C5973"/>
      <c r="D5973"/>
      <c r="E5973" s="2">
        <f>Comuni__2[[#This Row],[Popolazione2011]]/$D$7911</f>
        <v>4.7304854307695983E-5</v>
      </c>
      <c r="F5973">
        <f>SUMIFS($D$2:$D$7909, $B$2:$B$7909, "Sardegna")</f>
        <v>1634822</v>
      </c>
      <c r="G5973" s="1">
        <f>Comuni__2[[#This Row],[Popolazione2011]]/Comuni__2[[#This Row],[POPOLAZIONE TOTALE DI OGNI REGIONE (CON FILTRO)]]</f>
        <v>1.719453249344577E-3</v>
      </c>
      <c r="H5973" t="str">
        <f>IF(Comuni__2[[#This Row],[Popolazione2011]]&gt;300000,"MAGGIORE","")</f>
        <v/>
      </c>
      <c r="J5973">
        <v>273</v>
      </c>
      <c r="K5973">
        <v>23323</v>
      </c>
      <c r="L5973">
        <v>2219</v>
      </c>
    </row>
    <row r="5974" spans="1:12" x14ac:dyDescent="0.2">
      <c r="A5974"/>
      <c r="B5974"/>
      <c r="C5974"/>
      <c r="D5974"/>
      <c r="E5974" s="2">
        <f>Comuni__2[[#This Row],[Popolazione2011]]/$D$7911</f>
        <v>4.7304854307695983E-5</v>
      </c>
      <c r="F5974">
        <f>SUMIFS($D$2:$D$7909, $B$2:$B$7909, "Sardegna")</f>
        <v>1634822</v>
      </c>
      <c r="G5974" s="1">
        <f>Comuni__2[[#This Row],[Popolazione2011]]/Comuni__2[[#This Row],[POPOLAZIONE TOTALE DI OGNI REGIONE (CON FILTRO)]]</f>
        <v>1.719453249344577E-3</v>
      </c>
      <c r="H5974" t="str">
        <f>IF(Comuni__2[[#This Row],[Popolazione2011]]&gt;300000,"MAGGIORE","")</f>
        <v/>
      </c>
      <c r="J5974">
        <v>305</v>
      </c>
      <c r="K5974">
        <v>23435</v>
      </c>
      <c r="L5974">
        <v>2226</v>
      </c>
    </row>
    <row r="5975" spans="1:12" x14ac:dyDescent="0.2">
      <c r="A5975"/>
      <c r="B5975"/>
      <c r="C5975"/>
      <c r="D5975"/>
      <c r="E5975" s="2">
        <f>Comuni__2[[#This Row],[Popolazione2011]]/$D$7911</f>
        <v>4.6951456249901031E-5</v>
      </c>
      <c r="F5975">
        <f>SUMIFS($D$2:$D$7909, $B$2:$B$7909, "Sardegna")</f>
        <v>1634822</v>
      </c>
      <c r="G5975" s="1">
        <f>Comuni__2[[#This Row],[Popolazione2011]]/Comuni__2[[#This Row],[POPOLAZIONE TOTALE DI OGNI REGIONE (CON FILTRO)]]</f>
        <v>1.7066078141840517E-3</v>
      </c>
      <c r="H5975" t="str">
        <f>IF(Comuni__2[[#This Row],[Popolazione2011]]&gt;300000,"MAGGIORE","")</f>
        <v/>
      </c>
      <c r="J5975">
        <v>306</v>
      </c>
      <c r="K5975">
        <v>23565</v>
      </c>
      <c r="L5975">
        <v>2226</v>
      </c>
    </row>
    <row r="5976" spans="1:12" x14ac:dyDescent="0.2">
      <c r="A5976"/>
      <c r="B5976"/>
      <c r="C5976"/>
      <c r="D5976"/>
      <c r="E5976" s="2">
        <f>Comuni__2[[#This Row],[Popolazione2011]]/$D$7911</f>
        <v>4.6699029065761775E-5</v>
      </c>
      <c r="F5976">
        <f>SUMIFS($D$2:$D$7909, $B$2:$B$7909, "Sardegna")</f>
        <v>1634822</v>
      </c>
      <c r="G5976" s="1">
        <f>Comuni__2[[#This Row],[Popolazione2011]]/Comuni__2[[#This Row],[POPOLAZIONE TOTALE DI OGNI REGIONE (CON FILTRO)]]</f>
        <v>1.6974325033551052E-3</v>
      </c>
      <c r="H5976" t="str">
        <f>IF(Comuni__2[[#This Row],[Popolazione2011]]&gt;300000,"MAGGIORE","")</f>
        <v/>
      </c>
      <c r="J5976">
        <v>319</v>
      </c>
      <c r="K5976">
        <v>23728</v>
      </c>
      <c r="L5976">
        <v>2237</v>
      </c>
    </row>
    <row r="5977" spans="1:12" x14ac:dyDescent="0.2">
      <c r="A5977"/>
      <c r="B5977"/>
      <c r="C5977"/>
      <c r="D5977"/>
      <c r="E5977" s="2">
        <f>Comuni__2[[#This Row],[Popolazione2011]]/$D$7911</f>
        <v>4.6059546865942335E-5</v>
      </c>
      <c r="F5977">
        <f>SUMIFS($D$2:$D$7909, $B$2:$B$7909, "Sardegna")</f>
        <v>1634822</v>
      </c>
      <c r="G5977" s="1">
        <f>Comuni__2[[#This Row],[Popolazione2011]]/Comuni__2[[#This Row],[POPOLAZIONE TOTALE DI OGNI REGIONE (CON FILTRO)]]</f>
        <v>1.6741883825884408E-3</v>
      </c>
      <c r="H5977" t="str">
        <f>IF(Comuni__2[[#This Row],[Popolazione2011]]&gt;300000,"MAGGIORE","")</f>
        <v/>
      </c>
      <c r="J5977">
        <v>339</v>
      </c>
      <c r="K5977">
        <v>23895</v>
      </c>
      <c r="L5977">
        <v>2244</v>
      </c>
    </row>
    <row r="5978" spans="1:12" x14ac:dyDescent="0.2">
      <c r="A5978"/>
      <c r="B5978"/>
      <c r="C5978"/>
      <c r="D5978"/>
      <c r="E5978" s="2">
        <f>Comuni__2[[#This Row],[Popolazione2011]]/$D$7911</f>
        <v>4.5722977287089999E-5</v>
      </c>
      <c r="F5978">
        <f>SUMIFS($D$2:$D$7909, $B$2:$B$7909, "Sardegna")</f>
        <v>1634822</v>
      </c>
      <c r="G5978" s="1">
        <f>Comuni__2[[#This Row],[Popolazione2011]]/Comuni__2[[#This Row],[POPOLAZIONE TOTALE DI OGNI REGIONE (CON FILTRO)]]</f>
        <v>1.6619546348165121E-3</v>
      </c>
      <c r="H5978" t="str">
        <f>IF(Comuni__2[[#This Row],[Popolazione2011]]&gt;300000,"MAGGIORE","")</f>
        <v/>
      </c>
      <c r="J5978">
        <v>371</v>
      </c>
      <c r="K5978">
        <v>24064</v>
      </c>
      <c r="L5978">
        <v>2247</v>
      </c>
    </row>
    <row r="5979" spans="1:12" x14ac:dyDescent="0.2">
      <c r="A5979"/>
      <c r="B5979"/>
      <c r="C5979"/>
      <c r="D5979"/>
      <c r="E5979" s="2">
        <f>Comuni__2[[#This Row],[Popolazione2011]]/$D$7911</f>
        <v>4.5638834892376912E-5</v>
      </c>
      <c r="F5979">
        <f>SUMIFS($D$2:$D$7909, $B$2:$B$7909, "Sardegna")</f>
        <v>1634822</v>
      </c>
      <c r="G5979" s="1">
        <f>Comuni__2[[#This Row],[Popolazione2011]]/Comuni__2[[#This Row],[POPOLAZIONE TOTALE DI OGNI REGIONE (CON FILTRO)]]</f>
        <v>1.65889619787353E-3</v>
      </c>
      <c r="H5979" t="str">
        <f>IF(Comuni__2[[#This Row],[Popolazione2011]]&gt;300000,"MAGGIORE","")</f>
        <v/>
      </c>
      <c r="J5979">
        <v>422</v>
      </c>
      <c r="K5979">
        <v>24170</v>
      </c>
      <c r="L5979">
        <v>2256</v>
      </c>
    </row>
    <row r="5980" spans="1:12" x14ac:dyDescent="0.2">
      <c r="A5980"/>
      <c r="B5980"/>
      <c r="C5980"/>
      <c r="D5980"/>
      <c r="E5980" s="2">
        <f>Comuni__2[[#This Row],[Popolazione2011]]/$D$7911</f>
        <v>4.4612297676877287E-5</v>
      </c>
      <c r="F5980">
        <f>SUMIFS($D$2:$D$7909, $B$2:$B$7909, "Sardegna")</f>
        <v>1634822</v>
      </c>
      <c r="G5980" s="1">
        <f>Comuni__2[[#This Row],[Popolazione2011]]/Comuni__2[[#This Row],[POPOLAZIONE TOTALE DI OGNI REGIONE (CON FILTRO)]]</f>
        <v>1.6215832671691475E-3</v>
      </c>
      <c r="H5980" t="str">
        <f>IF(Comuni__2[[#This Row],[Popolazione2011]]&gt;300000,"MAGGIORE","")</f>
        <v/>
      </c>
      <c r="J5980">
        <v>440</v>
      </c>
      <c r="K5980">
        <v>24253</v>
      </c>
      <c r="L5980">
        <v>2255</v>
      </c>
    </row>
    <row r="5981" spans="1:12" x14ac:dyDescent="0.2">
      <c r="A5981"/>
      <c r="B5981"/>
      <c r="C5981"/>
      <c r="D5981"/>
      <c r="E5981" s="2">
        <f>Comuni__2[[#This Row],[Popolazione2011]]/$D$7911</f>
        <v>4.409061482965616E-5</v>
      </c>
      <c r="F5981">
        <f>SUMIFS($D$2:$D$7909, $B$2:$B$7909, "Sardegna")</f>
        <v>1634822</v>
      </c>
      <c r="G5981" s="1">
        <f>Comuni__2[[#This Row],[Popolazione2011]]/Comuni__2[[#This Row],[POPOLAZIONE TOTALE DI OGNI REGIONE (CON FILTRO)]]</f>
        <v>1.6026209581226579E-3</v>
      </c>
      <c r="H5981" t="str">
        <f>IF(Comuni__2[[#This Row],[Popolazione2011]]&gt;300000,"MAGGIORE","")</f>
        <v/>
      </c>
      <c r="J5981">
        <v>510</v>
      </c>
      <c r="K5981">
        <v>24319</v>
      </c>
      <c r="L5981">
        <v>2268</v>
      </c>
    </row>
    <row r="5982" spans="1:12" x14ac:dyDescent="0.2">
      <c r="A5982"/>
      <c r="B5982"/>
      <c r="C5982"/>
      <c r="D5982"/>
      <c r="E5982" s="2">
        <f>Comuni__2[[#This Row],[Popolazione2011]]/$D$7911</f>
        <v>4.3855016124459528E-5</v>
      </c>
      <c r="F5982">
        <f>SUMIFS($D$2:$D$7909, $B$2:$B$7909, "Sardegna")</f>
        <v>1634822</v>
      </c>
      <c r="G5982" s="1">
        <f>Comuni__2[[#This Row],[Popolazione2011]]/Comuni__2[[#This Row],[POPOLAZIONE TOTALE DI OGNI REGIONE (CON FILTRO)]]</f>
        <v>1.594057334682308E-3</v>
      </c>
      <c r="H5982" t="str">
        <f>IF(Comuni__2[[#This Row],[Popolazione2011]]&gt;300000,"MAGGIORE","")</f>
        <v/>
      </c>
      <c r="J5982">
        <v>495</v>
      </c>
      <c r="K5982">
        <v>24550</v>
      </c>
      <c r="L5982">
        <v>2282</v>
      </c>
    </row>
    <row r="5983" spans="1:12" x14ac:dyDescent="0.2">
      <c r="A5983"/>
      <c r="B5983"/>
      <c r="C5983"/>
      <c r="D5983"/>
      <c r="E5983" s="2">
        <f>Comuni__2[[#This Row],[Popolazione2011]]/$D$7911</f>
        <v>4.3097734572041768E-5</v>
      </c>
      <c r="F5983">
        <f>SUMIFS($D$2:$D$7909, $B$2:$B$7909, "Sardegna")</f>
        <v>1634822</v>
      </c>
      <c r="G5983" s="1">
        <f>Comuni__2[[#This Row],[Popolazione2011]]/Comuni__2[[#This Row],[POPOLAZIONE TOTALE DI OGNI REGIONE (CON FILTRO)]]</f>
        <v>1.5665314021954685E-3</v>
      </c>
      <c r="H5983" t="str">
        <f>IF(Comuni__2[[#This Row],[Popolazione2011]]&gt;300000,"MAGGIORE","")</f>
        <v/>
      </c>
      <c r="J5983">
        <v>559</v>
      </c>
      <c r="K5983">
        <v>24681</v>
      </c>
      <c r="L5983">
        <v>2301</v>
      </c>
    </row>
    <row r="5984" spans="1:12" x14ac:dyDescent="0.2">
      <c r="A5984"/>
      <c r="B5984"/>
      <c r="C5984"/>
      <c r="D5984"/>
      <c r="E5984" s="2">
        <f>Comuni__2[[#This Row],[Popolazione2011]]/$D$7911</f>
        <v>4.3064077614156536E-5</v>
      </c>
      <c r="F5984">
        <f>SUMIFS($D$2:$D$7909, $B$2:$B$7909, "Sardegna")</f>
        <v>1634822</v>
      </c>
      <c r="G5984" s="1">
        <f>Comuni__2[[#This Row],[Popolazione2011]]/Comuni__2[[#This Row],[POPOLAZIONE TOTALE DI OGNI REGIONE (CON FILTRO)]]</f>
        <v>1.5653080274182756E-3</v>
      </c>
      <c r="H5984" t="str">
        <f>IF(Comuni__2[[#This Row],[Popolazione2011]]&gt;300000,"MAGGIORE","")</f>
        <v/>
      </c>
      <c r="J5984">
        <v>579</v>
      </c>
      <c r="K5984">
        <v>24798</v>
      </c>
      <c r="L5984">
        <v>2308</v>
      </c>
    </row>
    <row r="5985" spans="1:12" x14ac:dyDescent="0.2">
      <c r="A5985"/>
      <c r="B5985"/>
      <c r="C5985"/>
      <c r="D5985"/>
      <c r="E5985" s="2">
        <f>Comuni__2[[#This Row],[Popolazione2011]]/$D$7911</f>
        <v>4.2508737809050177E-5</v>
      </c>
      <c r="F5985">
        <f>SUMIFS($D$2:$D$7909, $B$2:$B$7909, "Sardegna")</f>
        <v>1634822</v>
      </c>
      <c r="G5985" s="1">
        <f>Comuni__2[[#This Row],[Popolazione2011]]/Comuni__2[[#This Row],[POPOLAZIONE TOTALE DI OGNI REGIONE (CON FILTRO)]]</f>
        <v>1.5451223435945932E-3</v>
      </c>
      <c r="H5985" t="str">
        <f>IF(Comuni__2[[#This Row],[Popolazione2011]]&gt;300000,"MAGGIORE","")</f>
        <v/>
      </c>
      <c r="J5985">
        <v>616</v>
      </c>
      <c r="K5985">
        <v>24931</v>
      </c>
      <c r="L5985">
        <v>2317</v>
      </c>
    </row>
    <row r="5986" spans="1:12" x14ac:dyDescent="0.2">
      <c r="A5986"/>
      <c r="B5986"/>
      <c r="C5986"/>
      <c r="D5986"/>
      <c r="E5986" s="2">
        <f>Comuni__2[[#This Row],[Popolazione2011]]/$D$7911</f>
        <v>4.2088025835484753E-5</v>
      </c>
      <c r="F5986">
        <f>SUMIFS($D$2:$D$7909, $B$2:$B$7909, "Sardegna")</f>
        <v>1634822</v>
      </c>
      <c r="G5986" s="1">
        <f>Comuni__2[[#This Row],[Popolazione2011]]/Comuni__2[[#This Row],[POPOLAZIONE TOTALE DI OGNI REGIONE (CON FILTRO)]]</f>
        <v>1.5298301588796822E-3</v>
      </c>
      <c r="H5986" t="str">
        <f>IF(Comuni__2[[#This Row],[Popolazione2011]]&gt;300000,"MAGGIORE","")</f>
        <v/>
      </c>
      <c r="J5986">
        <v>656</v>
      </c>
      <c r="K5986">
        <v>25036</v>
      </c>
      <c r="L5986">
        <v>2329</v>
      </c>
    </row>
    <row r="5987" spans="1:12" x14ac:dyDescent="0.2">
      <c r="A5987"/>
      <c r="B5987"/>
      <c r="C5987"/>
      <c r="D5987"/>
      <c r="E5987" s="2">
        <f>Comuni__2[[#This Row],[Popolazione2011]]/$D$7911</f>
        <v>4.1869255609230737E-5</v>
      </c>
      <c r="F5987">
        <f>SUMIFS($D$2:$D$7909, $B$2:$B$7909, "Sardegna")</f>
        <v>1634822</v>
      </c>
      <c r="G5987" s="1">
        <f>Comuni__2[[#This Row],[Popolazione2011]]/Comuni__2[[#This Row],[POPOLAZIONE TOTALE DI OGNI REGIONE (CON FILTRO)]]</f>
        <v>1.5218782228279286E-3</v>
      </c>
      <c r="H5987" t="str">
        <f>IF(Comuni__2[[#This Row],[Popolazione2011]]&gt;300000,"MAGGIORE","")</f>
        <v/>
      </c>
      <c r="J5987">
        <v>688</v>
      </c>
      <c r="K5987">
        <v>25087</v>
      </c>
      <c r="L5987">
        <v>2332</v>
      </c>
    </row>
    <row r="5988" spans="1:12" x14ac:dyDescent="0.2">
      <c r="A5988"/>
      <c r="B5988"/>
      <c r="C5988"/>
      <c r="D5988"/>
      <c r="E5988" s="2">
        <f>Comuni__2[[#This Row],[Popolazione2011]]/$D$7911</f>
        <v>4.1599999946148865E-5</v>
      </c>
      <c r="F5988">
        <f>SUMIFS($D$2:$D$7909, $B$2:$B$7909, "Sardegna")</f>
        <v>1634822</v>
      </c>
      <c r="G5988" s="1">
        <f>Comuni__2[[#This Row],[Popolazione2011]]/Comuni__2[[#This Row],[POPOLAZIONE TOTALE DI OGNI REGIONE (CON FILTRO)]]</f>
        <v>1.5120912246103858E-3</v>
      </c>
      <c r="H5988" t="str">
        <f>IF(Comuni__2[[#This Row],[Popolazione2011]]&gt;300000,"MAGGIORE","")</f>
        <v/>
      </c>
      <c r="J5988">
        <v>747</v>
      </c>
      <c r="K5988">
        <v>25131</v>
      </c>
      <c r="L5988">
        <v>2344</v>
      </c>
    </row>
    <row r="5989" spans="1:12" x14ac:dyDescent="0.2">
      <c r="A5989"/>
      <c r="B5989"/>
      <c r="C5989"/>
      <c r="D5989"/>
      <c r="E5989" s="2">
        <f>Comuni__2[[#This Row],[Popolazione2011]]/$D$7911</f>
        <v>4.1515857551435785E-5</v>
      </c>
      <c r="F5989">
        <f>SUMIFS($D$2:$D$7909, $B$2:$B$7909, "Sardegna")</f>
        <v>1634822</v>
      </c>
      <c r="G5989" s="1">
        <f>Comuni__2[[#This Row],[Popolazione2011]]/Comuni__2[[#This Row],[POPOLAZIONE TOTALE DI OGNI REGIONE (CON FILTRO)]]</f>
        <v>1.5090327876674035E-3</v>
      </c>
      <c r="H5989" t="str">
        <f>IF(Comuni__2[[#This Row],[Popolazione2011]]&gt;300000,"MAGGIORE","")</f>
        <v/>
      </c>
      <c r="J5989">
        <v>798</v>
      </c>
      <c r="K5989">
        <v>25180</v>
      </c>
      <c r="L5989">
        <v>2355</v>
      </c>
    </row>
    <row r="5990" spans="1:12" x14ac:dyDescent="0.2">
      <c r="A5990"/>
      <c r="B5990"/>
      <c r="C5990"/>
      <c r="D5990"/>
      <c r="E5990" s="2">
        <f>Comuni__2[[#This Row],[Popolazione2011]]/$D$7911</f>
        <v>4.1482200593550553E-5</v>
      </c>
      <c r="F5990">
        <f>SUMIFS($D$2:$D$7909, $B$2:$B$7909, "Sardegna")</f>
        <v>1634822</v>
      </c>
      <c r="G5990" s="1">
        <f>Comuni__2[[#This Row],[Popolazione2011]]/Comuni__2[[#This Row],[POPOLAZIONE TOTALE DI OGNI REGIONE (CON FILTRO)]]</f>
        <v>1.5078094128902107E-3</v>
      </c>
      <c r="H5990" t="str">
        <f>IF(Comuni__2[[#This Row],[Popolazione2011]]&gt;300000,"MAGGIORE","")</f>
        <v/>
      </c>
      <c r="J5990">
        <v>856</v>
      </c>
      <c r="K5990">
        <v>25247</v>
      </c>
      <c r="L5990">
        <v>2371</v>
      </c>
    </row>
    <row r="5991" spans="1:12" x14ac:dyDescent="0.2">
      <c r="A5991"/>
      <c r="B5991"/>
      <c r="C5991"/>
      <c r="D5991"/>
      <c r="E5991" s="2">
        <f>Comuni__2[[#This Row],[Popolazione2011]]/$D$7911</f>
        <v>4.1061488619985129E-5</v>
      </c>
      <c r="F5991">
        <f>SUMIFS($D$2:$D$7909, $B$2:$B$7909, "Sardegna")</f>
        <v>1634822</v>
      </c>
      <c r="G5991" s="1">
        <f>Comuni__2[[#This Row],[Popolazione2011]]/Comuni__2[[#This Row],[POPOLAZIONE TOTALE DI OGNI REGIONE (CON FILTRO)]]</f>
        <v>1.4925172281752999E-3</v>
      </c>
      <c r="H5991" t="str">
        <f>IF(Comuni__2[[#This Row],[Popolazione2011]]&gt;300000,"MAGGIORE","")</f>
        <v/>
      </c>
      <c r="J5991">
        <v>894</v>
      </c>
      <c r="K5991">
        <v>25321</v>
      </c>
      <c r="L5991">
        <v>2388</v>
      </c>
    </row>
    <row r="5992" spans="1:12" x14ac:dyDescent="0.2">
      <c r="A5992"/>
      <c r="B5992"/>
      <c r="C5992"/>
      <c r="D5992"/>
      <c r="E5992" s="2">
        <f>Comuni__2[[#This Row],[Popolazione2011]]/$D$7911</f>
        <v>4.0640776646419706E-5</v>
      </c>
      <c r="F5992">
        <f>SUMIFS($D$2:$D$7909, $B$2:$B$7909, "Sardegna")</f>
        <v>1634822</v>
      </c>
      <c r="G5992" s="1">
        <f>Comuni__2[[#This Row],[Popolazione2011]]/Comuni__2[[#This Row],[POPOLAZIONE TOTALE DI OGNI REGIONE (CON FILTRO)]]</f>
        <v>1.4772250434603889E-3</v>
      </c>
      <c r="H5992" t="str">
        <f>IF(Comuni__2[[#This Row],[Popolazione2011]]&gt;300000,"MAGGIORE","")</f>
        <v/>
      </c>
      <c r="J5992">
        <v>924</v>
      </c>
      <c r="K5992">
        <v>25373</v>
      </c>
      <c r="L5992">
        <v>2401</v>
      </c>
    </row>
    <row r="5993" spans="1:12" x14ac:dyDescent="0.2">
      <c r="A5993"/>
      <c r="B5993"/>
      <c r="C5993"/>
      <c r="D5993"/>
      <c r="E5993" s="2">
        <f>Comuni__2[[#This Row],[Popolazione2011]]/$D$7911</f>
        <v>4.050614881487877E-5</v>
      </c>
      <c r="F5993">
        <f>SUMIFS($D$2:$D$7909, $B$2:$B$7909, "Sardegna")</f>
        <v>1634822</v>
      </c>
      <c r="G5993" s="1">
        <f>Comuni__2[[#This Row],[Popolazione2011]]/Comuni__2[[#This Row],[POPOLAZIONE TOTALE DI OGNI REGIONE (CON FILTRO)]]</f>
        <v>1.4723315443516175E-3</v>
      </c>
      <c r="H5993" t="str">
        <f>IF(Comuni__2[[#This Row],[Popolazione2011]]&gt;300000,"MAGGIORE","")</f>
        <v/>
      </c>
      <c r="J5993">
        <v>964</v>
      </c>
      <c r="K5993">
        <v>25421</v>
      </c>
      <c r="L5993">
        <v>2418</v>
      </c>
    </row>
    <row r="5994" spans="1:12" x14ac:dyDescent="0.2">
      <c r="A5994"/>
      <c r="B5994"/>
      <c r="C5994"/>
      <c r="D5994"/>
      <c r="E5994" s="2">
        <f>Comuni__2[[#This Row],[Popolazione2011]]/$D$7911</f>
        <v>4.0337864025452602E-5</v>
      </c>
      <c r="F5994">
        <f>SUMIFS($D$2:$D$7909, $B$2:$B$7909, "Sardegna")</f>
        <v>1634822</v>
      </c>
      <c r="G5994" s="1">
        <f>Comuni__2[[#This Row],[Popolazione2011]]/Comuni__2[[#This Row],[POPOLAZIONE TOTALE DI OGNI REGIONE (CON FILTRO)]]</f>
        <v>1.4662146704656532E-3</v>
      </c>
      <c r="H5994" t="str">
        <f>IF(Comuni__2[[#This Row],[Popolazione2011]]&gt;300000,"MAGGIORE","")</f>
        <v/>
      </c>
      <c r="J5994">
        <v>1009</v>
      </c>
      <c r="K5994">
        <v>25437</v>
      </c>
      <c r="L5994">
        <v>2427</v>
      </c>
    </row>
    <row r="5995" spans="1:12" x14ac:dyDescent="0.2">
      <c r="A5995"/>
      <c r="B5995"/>
      <c r="C5995"/>
      <c r="D5995"/>
      <c r="E5995" s="2">
        <f>Comuni__2[[#This Row],[Popolazione2011]]/$D$7911</f>
        <v>4.0119093799198585E-5</v>
      </c>
      <c r="F5995">
        <f>SUMIFS($D$2:$D$7909, $B$2:$B$7909, "Sardegna")</f>
        <v>1634822</v>
      </c>
      <c r="G5995" s="1">
        <f>Comuni__2[[#This Row],[Popolazione2011]]/Comuni__2[[#This Row],[POPOLAZIONE TOTALE DI OGNI REGIONE (CON FILTRO)]]</f>
        <v>1.4582627344138996E-3</v>
      </c>
      <c r="H5995" t="str">
        <f>IF(Comuni__2[[#This Row],[Popolazione2011]]&gt;300000,"MAGGIORE","")</f>
        <v/>
      </c>
      <c r="J5995">
        <v>1153</v>
      </c>
      <c r="K5995">
        <v>25471</v>
      </c>
      <c r="L5995">
        <v>2458</v>
      </c>
    </row>
    <row r="5996" spans="1:12" x14ac:dyDescent="0.2">
      <c r="A5996"/>
      <c r="B5996"/>
      <c r="C5996"/>
      <c r="D5996"/>
      <c r="E5996" s="2">
        <f>Comuni__2[[#This Row],[Popolazione2011]]/$D$7911</f>
        <v>3.9967637488715033E-5</v>
      </c>
      <c r="F5996">
        <f>SUMIFS($D$2:$D$7909, $B$2:$B$7909, "Sardegna")</f>
        <v>1634822</v>
      </c>
      <c r="G5996" s="1">
        <f>Comuni__2[[#This Row],[Popolazione2011]]/Comuni__2[[#This Row],[POPOLAZIONE TOTALE DI OGNI REGIONE (CON FILTRO)]]</f>
        <v>1.4527575479165316E-3</v>
      </c>
      <c r="H5996" t="str">
        <f>IF(Comuni__2[[#This Row],[Popolazione2011]]&gt;300000,"MAGGIORE","")</f>
        <v/>
      </c>
      <c r="J5996">
        <v>1225</v>
      </c>
      <c r="K5996">
        <v>25517</v>
      </c>
      <c r="L5996">
        <v>2478</v>
      </c>
    </row>
    <row r="5997" spans="1:12" x14ac:dyDescent="0.2">
      <c r="A5997"/>
      <c r="B5997"/>
      <c r="C5997"/>
      <c r="D5997"/>
      <c r="E5997" s="2">
        <f>Comuni__2[[#This Row],[Popolazione2011]]/$D$7911</f>
        <v>3.9496440078321762E-5</v>
      </c>
      <c r="F5997">
        <f>SUMIFS($D$2:$D$7909, $B$2:$B$7909, "Sardegna")</f>
        <v>1634822</v>
      </c>
      <c r="G5997" s="1">
        <f>Comuni__2[[#This Row],[Popolazione2011]]/Comuni__2[[#This Row],[POPOLAZIONE TOTALE DI OGNI REGIONE (CON FILTRO)]]</f>
        <v>1.4356303010358315E-3</v>
      </c>
      <c r="H5997" t="str">
        <f>IF(Comuni__2[[#This Row],[Popolazione2011]]&gt;300000,"MAGGIORE","")</f>
        <v/>
      </c>
      <c r="J5997">
        <v>1326</v>
      </c>
      <c r="K5997">
        <v>25560</v>
      </c>
      <c r="L5997">
        <v>2516</v>
      </c>
    </row>
    <row r="5998" spans="1:12" x14ac:dyDescent="0.2">
      <c r="A5998"/>
      <c r="B5998"/>
      <c r="C5998"/>
      <c r="D5998"/>
      <c r="E5998" s="2">
        <f>Comuni__2[[#This Row],[Popolazione2011]]/$D$7911</f>
        <v>3.9462783120436529E-5</v>
      </c>
      <c r="F5998">
        <f>SUMIFS($D$2:$D$7909, $B$2:$B$7909, "Sardegna")</f>
        <v>1634822</v>
      </c>
      <c r="G5998" s="1">
        <f>Comuni__2[[#This Row],[Popolazione2011]]/Comuni__2[[#This Row],[POPOLAZIONE TOTALE DI OGNI REGIONE (CON FILTRO)]]</f>
        <v>1.4344069262586386E-3</v>
      </c>
      <c r="H5998" t="str">
        <f>IF(Comuni__2[[#This Row],[Popolazione2011]]&gt;300000,"MAGGIORE","")</f>
        <v/>
      </c>
      <c r="J5998">
        <v>1353</v>
      </c>
      <c r="K5998">
        <v>25612</v>
      </c>
      <c r="L5998">
        <v>2543</v>
      </c>
    </row>
    <row r="5999" spans="1:12" x14ac:dyDescent="0.2">
      <c r="A5999"/>
      <c r="B5999"/>
      <c r="C5999"/>
      <c r="D5999"/>
      <c r="E5999" s="2">
        <f>Comuni__2[[#This Row],[Popolazione2011]]/$D$7911</f>
        <v>3.8856957878502322E-5</v>
      </c>
      <c r="F5999">
        <f>SUMIFS($D$2:$D$7909, $B$2:$B$7909, "Sardegna")</f>
        <v>1634822</v>
      </c>
      <c r="G5999" s="1">
        <f>Comuni__2[[#This Row],[Popolazione2011]]/Comuni__2[[#This Row],[POPOLAZIONE TOTALE DI OGNI REGIONE (CON FILTRO)]]</f>
        <v>1.4123861802691668E-3</v>
      </c>
      <c r="H5999" t="str">
        <f>IF(Comuni__2[[#This Row],[Popolazione2011]]&gt;300000,"MAGGIORE","")</f>
        <v/>
      </c>
      <c r="J5999">
        <v>1476</v>
      </c>
      <c r="K5999">
        <v>25682</v>
      </c>
      <c r="L5999">
        <v>2568</v>
      </c>
    </row>
    <row r="6000" spans="1:12" x14ac:dyDescent="0.2">
      <c r="A6000"/>
      <c r="B6000"/>
      <c r="C6000"/>
      <c r="D6000"/>
      <c r="E6000" s="2">
        <f>Comuni__2[[#This Row],[Popolazione2011]]/$D$7911</f>
        <v>3.8520388299649986E-5</v>
      </c>
      <c r="F6000">
        <f>SUMIFS($D$2:$D$7909, $B$2:$B$7909, "Sardegna")</f>
        <v>1634822</v>
      </c>
      <c r="G6000" s="1">
        <f>Comuni__2[[#This Row],[Popolazione2011]]/Comuni__2[[#This Row],[POPOLAZIONE TOTALE DI OGNI REGIONE (CON FILTRO)]]</f>
        <v>1.4001524324972383E-3</v>
      </c>
      <c r="H6000" t="str">
        <f>IF(Comuni__2[[#This Row],[Popolazione2011]]&gt;300000,"MAGGIORE","")</f>
        <v/>
      </c>
      <c r="J6000">
        <v>1540</v>
      </c>
      <c r="K6000">
        <v>25725</v>
      </c>
      <c r="L6000">
        <v>2574</v>
      </c>
    </row>
    <row r="6001" spans="1:12" x14ac:dyDescent="0.2">
      <c r="A6001"/>
      <c r="B6001"/>
      <c r="C6001"/>
      <c r="D6001"/>
      <c r="E6001" s="2">
        <f>Comuni__2[[#This Row],[Popolazione2011]]/$D$7911</f>
        <v>3.8503559820707363E-5</v>
      </c>
      <c r="F6001">
        <f>SUMIFS($D$2:$D$7909, $B$2:$B$7909, "Sardegna")</f>
        <v>1634822</v>
      </c>
      <c r="G6001" s="1">
        <f>Comuni__2[[#This Row],[Popolazione2011]]/Comuni__2[[#This Row],[POPOLAZIONE TOTALE DI OGNI REGIONE (CON FILTRO)]]</f>
        <v>1.3995407451086418E-3</v>
      </c>
      <c r="H6001" t="str">
        <f>IF(Comuni__2[[#This Row],[Popolazione2011]]&gt;300000,"MAGGIORE","")</f>
        <v/>
      </c>
      <c r="J6001">
        <v>1659</v>
      </c>
      <c r="K6001">
        <v>25735</v>
      </c>
      <c r="L6001">
        <v>2595</v>
      </c>
    </row>
    <row r="6002" spans="1:12" x14ac:dyDescent="0.2">
      <c r="A6002"/>
      <c r="B6002"/>
      <c r="C6002"/>
      <c r="D6002"/>
      <c r="E6002" s="2">
        <f>Comuni__2[[#This Row],[Popolazione2011]]/$D$7911</f>
        <v>3.8166990241855027E-5</v>
      </c>
      <c r="F6002">
        <f>SUMIFS($D$2:$D$7909, $B$2:$B$7909, "Sardegna")</f>
        <v>1634822</v>
      </c>
      <c r="G6002" s="1">
        <f>Comuni__2[[#This Row],[Popolazione2011]]/Comuni__2[[#This Row],[POPOLAZIONE TOTALE DI OGNI REGIONE (CON FILTRO)]]</f>
        <v>1.387306997336713E-3</v>
      </c>
      <c r="H6002" t="str">
        <f>IF(Comuni__2[[#This Row],[Popolazione2011]]&gt;300000,"MAGGIORE","")</f>
        <v/>
      </c>
      <c r="J6002">
        <v>1800</v>
      </c>
      <c r="K6002">
        <v>31362</v>
      </c>
      <c r="L6002">
        <v>2643</v>
      </c>
    </row>
    <row r="6003" spans="1:12" x14ac:dyDescent="0.2">
      <c r="A6003"/>
      <c r="B6003"/>
      <c r="C6003"/>
      <c r="D6003"/>
      <c r="E6003" s="2">
        <f>Comuni__2[[#This Row],[Popolazione2011]]/$D$7911</f>
        <v>3.7662135873576523E-5</v>
      </c>
      <c r="F6003">
        <f>SUMIFS($D$2:$D$7909, $B$2:$B$7909, "Sardegna")</f>
        <v>1634822</v>
      </c>
      <c r="G6003" s="1">
        <f>Comuni__2[[#This Row],[Popolazione2011]]/Comuni__2[[#This Row],[POPOLAZIONE TOTALE DI OGNI REGIONE (CON FILTRO)]]</f>
        <v>1.36895637567882E-3</v>
      </c>
      <c r="H6003" t="str">
        <f>IF(Comuni__2[[#This Row],[Popolazione2011]]&gt;300000,"MAGGIORE","")</f>
        <v/>
      </c>
      <c r="J6003">
        <v>1877</v>
      </c>
      <c r="K6003">
        <v>32413</v>
      </c>
      <c r="L6003">
        <v>2689</v>
      </c>
    </row>
    <row r="6004" spans="1:12" x14ac:dyDescent="0.2">
      <c r="A6004"/>
      <c r="B6004"/>
      <c r="C6004"/>
      <c r="D6004"/>
      <c r="E6004" s="2">
        <f>Comuni__2[[#This Row],[Popolazione2011]]/$D$7911</f>
        <v>3.7577993478863442E-5</v>
      </c>
      <c r="F6004">
        <f>SUMIFS($D$2:$D$7909, $B$2:$B$7909, "Sardegna")</f>
        <v>1634822</v>
      </c>
      <c r="G6004" s="1">
        <f>Comuni__2[[#This Row],[Popolazione2011]]/Comuni__2[[#This Row],[POPOLAZIONE TOTALE DI OGNI REGIONE (CON FILTRO)]]</f>
        <v>1.365897938735838E-3</v>
      </c>
      <c r="H6004" t="str">
        <f>IF(Comuni__2[[#This Row],[Popolazione2011]]&gt;300000,"MAGGIORE","")</f>
        <v/>
      </c>
      <c r="J6004">
        <v>1976</v>
      </c>
      <c r="K6004">
        <v>33419</v>
      </c>
      <c r="L6004">
        <v>2727</v>
      </c>
    </row>
    <row r="6005" spans="1:12" x14ac:dyDescent="0.2">
      <c r="A6005"/>
      <c r="B6005"/>
      <c r="C6005"/>
      <c r="D6005"/>
      <c r="E6005" s="2">
        <f>Comuni__2[[#This Row],[Popolazione2011]]/$D$7911</f>
        <v>3.7392880210494651E-5</v>
      </c>
      <c r="F6005">
        <f>SUMIFS($D$2:$D$7909, $B$2:$B$7909, "Sardegna")</f>
        <v>1634822</v>
      </c>
      <c r="G6005" s="1">
        <f>Comuni__2[[#This Row],[Popolazione2011]]/Comuni__2[[#This Row],[POPOLAZIONE TOTALE DI OGNI REGIONE (CON FILTRO)]]</f>
        <v>1.3591693774612772E-3</v>
      </c>
      <c r="H6005" t="str">
        <f>IF(Comuni__2[[#This Row],[Popolazione2011]]&gt;300000,"MAGGIORE","")</f>
        <v/>
      </c>
      <c r="J6005">
        <v>2050</v>
      </c>
      <c r="K6005">
        <v>34454</v>
      </c>
      <c r="L6005">
        <v>2764</v>
      </c>
    </row>
    <row r="6006" spans="1:12" x14ac:dyDescent="0.2">
      <c r="A6006"/>
      <c r="B6006"/>
      <c r="C6006"/>
      <c r="D6006"/>
      <c r="E6006" s="2">
        <f>Comuni__2[[#This Row],[Popolazione2011]]/$D$7911</f>
        <v>3.7291909336838954E-5</v>
      </c>
      <c r="F6006">
        <f>SUMIFS($D$2:$D$7909, $B$2:$B$7909, "Sardegna")</f>
        <v>1634822</v>
      </c>
      <c r="G6006" s="1">
        <f>Comuni__2[[#This Row],[Popolazione2011]]/Comuni__2[[#This Row],[POPOLAZIONE TOTALE DI OGNI REGIONE (CON FILTRO)]]</f>
        <v>1.3554992531296984E-3</v>
      </c>
      <c r="H6006" t="str">
        <f>IF(Comuni__2[[#This Row],[Popolazione2011]]&gt;300000,"MAGGIORE","")</f>
        <v/>
      </c>
      <c r="J6006">
        <v>2097</v>
      </c>
      <c r="K6006">
        <v>35563</v>
      </c>
      <c r="L6006">
        <v>2816</v>
      </c>
    </row>
    <row r="6007" spans="1:12" x14ac:dyDescent="0.2">
      <c r="A6007"/>
      <c r="B6007"/>
      <c r="C6007"/>
      <c r="D6007"/>
      <c r="E6007" s="2">
        <f>Comuni__2[[#This Row],[Popolazione2011]]/$D$7911</f>
        <v>3.7140453026355402E-5</v>
      </c>
      <c r="F6007">
        <f>SUMIFS($D$2:$D$7909, $B$2:$B$7909, "Sardegna")</f>
        <v>1634822</v>
      </c>
      <c r="G6007" s="1">
        <f>Comuni__2[[#This Row],[Popolazione2011]]/Comuni__2[[#This Row],[POPOLAZIONE TOTALE DI OGNI REGIONE (CON FILTRO)]]</f>
        <v>1.3499940666323307E-3</v>
      </c>
      <c r="H6007" t="str">
        <f>IF(Comuni__2[[#This Row],[Popolazione2011]]&gt;300000,"MAGGIORE","")</f>
        <v/>
      </c>
      <c r="J6007">
        <v>2175</v>
      </c>
      <c r="K6007">
        <v>36525</v>
      </c>
      <c r="L6007">
        <v>2845</v>
      </c>
    </row>
    <row r="6008" spans="1:12" x14ac:dyDescent="0.2">
      <c r="A6008"/>
      <c r="B6008"/>
      <c r="C6008"/>
      <c r="D6008"/>
      <c r="E6008" s="2">
        <f>Comuni__2[[#This Row],[Popolazione2011]]/$D$7911</f>
        <v>3.7022653673757083E-5</v>
      </c>
      <c r="F6008">
        <f>SUMIFS($D$2:$D$7909, $B$2:$B$7909, "Sardegna")</f>
        <v>1634822</v>
      </c>
      <c r="G6008" s="1">
        <f>Comuni__2[[#This Row],[Popolazione2011]]/Comuni__2[[#This Row],[POPOLAZIONE TOTALE DI OGNI REGIONE (CON FILTRO)]]</f>
        <v>1.3457122549121556E-3</v>
      </c>
      <c r="H6008" t="str">
        <f>IF(Comuni__2[[#This Row],[Popolazione2011]]&gt;300000,"MAGGIORE","")</f>
        <v/>
      </c>
      <c r="J6008">
        <v>2237</v>
      </c>
      <c r="K6008">
        <v>37277</v>
      </c>
      <c r="L6008">
        <v>2867</v>
      </c>
    </row>
    <row r="6009" spans="1:12" x14ac:dyDescent="0.2">
      <c r="A6009"/>
      <c r="B6009"/>
      <c r="C6009"/>
      <c r="D6009"/>
      <c r="E6009" s="2">
        <f>Comuni__2[[#This Row],[Popolazione2011]]/$D$7911</f>
        <v>3.6854368884330915E-5</v>
      </c>
      <c r="F6009">
        <f>SUMIFS($D$2:$D$7909, $B$2:$B$7909, "Sardegna")</f>
        <v>1634822</v>
      </c>
      <c r="G6009" s="1">
        <f>Comuni__2[[#This Row],[Popolazione2011]]/Comuni__2[[#This Row],[POPOLAZIONE TOTALE DI OGNI REGIONE (CON FILTRO)]]</f>
        <v>1.3395953810261911E-3</v>
      </c>
      <c r="H6009" t="str">
        <f>IF(Comuni__2[[#This Row],[Popolazione2011]]&gt;300000,"MAGGIORE","")</f>
        <v/>
      </c>
      <c r="J6009">
        <v>2246</v>
      </c>
      <c r="K6009">
        <v>39928</v>
      </c>
      <c r="L6009">
        <v>2967</v>
      </c>
    </row>
    <row r="6010" spans="1:12" x14ac:dyDescent="0.2">
      <c r="A6010"/>
      <c r="B6010"/>
      <c r="C6010"/>
      <c r="D6010"/>
      <c r="E6010" s="2">
        <f>Comuni__2[[#This Row],[Popolazione2011]]/$D$7911</f>
        <v>3.6265372121339323E-5</v>
      </c>
      <c r="F6010">
        <f>SUMIFS($D$2:$D$7909, $B$2:$B$7909, "Sardegna")</f>
        <v>1634822</v>
      </c>
      <c r="G6010" s="1">
        <f>Comuni__2[[#This Row],[Popolazione2011]]/Comuni__2[[#This Row],[POPOLAZIONE TOTALE DI OGNI REGIONE (CON FILTRO)]]</f>
        <v>1.3181863224253161E-3</v>
      </c>
      <c r="H6010" t="str">
        <f>IF(Comuni__2[[#This Row],[Popolazione2011]]&gt;300000,"MAGGIORE","")</f>
        <v/>
      </c>
      <c r="J6010">
        <v>2353</v>
      </c>
      <c r="K6010">
        <v>41613</v>
      </c>
      <c r="L6010">
        <v>3019</v>
      </c>
    </row>
    <row r="6011" spans="1:12" x14ac:dyDescent="0.2">
      <c r="A6011"/>
      <c r="B6011"/>
      <c r="C6011"/>
      <c r="D6011"/>
      <c r="E6011" s="2">
        <f>Comuni__2[[#This Row],[Popolazione2011]]/$D$7911</f>
        <v>3.6214886684511475E-5</v>
      </c>
      <c r="F6011">
        <f>SUMIFS($D$2:$D$7909, $B$2:$B$7909, "Sardegna")</f>
        <v>1634822</v>
      </c>
      <c r="G6011" s="1">
        <f>Comuni__2[[#This Row],[Popolazione2011]]/Comuni__2[[#This Row],[POPOLAZIONE TOTALE DI OGNI REGIONE (CON FILTRO)]]</f>
        <v>1.3163512602595267E-3</v>
      </c>
      <c r="H6011" t="str">
        <f>IF(Comuni__2[[#This Row],[Popolazione2011]]&gt;300000,"MAGGIORE","")</f>
        <v/>
      </c>
      <c r="J6011">
        <v>2400</v>
      </c>
      <c r="K6011">
        <v>43052</v>
      </c>
      <c r="L6011">
        <v>3057</v>
      </c>
    </row>
    <row r="6012" spans="1:12" x14ac:dyDescent="0.2">
      <c r="A6012"/>
      <c r="B6012"/>
      <c r="C6012"/>
      <c r="D6012"/>
      <c r="E6012" s="2">
        <f>Comuni__2[[#This Row],[Popolazione2011]]/$D$7911</f>
        <v>3.6198058205568859E-5</v>
      </c>
      <c r="F6012">
        <f>SUMIFS($D$2:$D$7909, $B$2:$B$7909, "Sardegna")</f>
        <v>1634822</v>
      </c>
      <c r="G6012" s="1">
        <f>Comuni__2[[#This Row],[Popolazione2011]]/Comuni__2[[#This Row],[POPOLAZIONE TOTALE DI OGNI REGIONE (CON FILTRO)]]</f>
        <v>1.3157395728709304E-3</v>
      </c>
      <c r="H6012" t="str">
        <f>IF(Comuni__2[[#This Row],[Popolazione2011]]&gt;300000,"MAGGIORE","")</f>
        <v/>
      </c>
      <c r="J6012">
        <v>2437</v>
      </c>
      <c r="K6012">
        <v>44349</v>
      </c>
      <c r="L6012">
        <v>3123</v>
      </c>
    </row>
    <row r="6013" spans="1:12" x14ac:dyDescent="0.2">
      <c r="A6013"/>
      <c r="B6013"/>
      <c r="C6013"/>
      <c r="D6013"/>
      <c r="E6013" s="2">
        <f>Comuni__2[[#This Row],[Popolazione2011]]/$D$7911</f>
        <v>3.6113915810855771E-5</v>
      </c>
      <c r="F6013">
        <f>SUMIFS($D$2:$D$7909, $B$2:$B$7909, "Sardegna")</f>
        <v>1634822</v>
      </c>
      <c r="G6013" s="1">
        <f>Comuni__2[[#This Row],[Popolazione2011]]/Comuni__2[[#This Row],[POPOLAZIONE TOTALE DI OGNI REGIONE (CON FILTRO)]]</f>
        <v>1.3126811359279482E-3</v>
      </c>
      <c r="H6013" t="str">
        <f>IF(Comuni__2[[#This Row],[Popolazione2011]]&gt;300000,"MAGGIORE","")</f>
        <v/>
      </c>
      <c r="J6013">
        <v>2475</v>
      </c>
      <c r="K6013">
        <v>45789</v>
      </c>
      <c r="L6013">
        <v>3190</v>
      </c>
    </row>
    <row r="6014" spans="1:12" x14ac:dyDescent="0.2">
      <c r="A6014"/>
      <c r="B6014"/>
      <c r="C6014"/>
      <c r="D6014"/>
      <c r="E6014" s="2">
        <f>Comuni__2[[#This Row],[Popolazione2011]]/$D$7911</f>
        <v>3.58446601477739E-5</v>
      </c>
      <c r="F6014">
        <f>SUMIFS($D$2:$D$7909, $B$2:$B$7909, "Sardegna")</f>
        <v>1634822</v>
      </c>
      <c r="G6014" s="1">
        <f>Comuni__2[[#This Row],[Popolazione2011]]/Comuni__2[[#This Row],[POPOLAZIONE TOTALE DI OGNI REGIONE (CON FILTRO)]]</f>
        <v>1.3028941377104051E-3</v>
      </c>
      <c r="H6014" t="str">
        <f>IF(Comuni__2[[#This Row],[Popolazione2011]]&gt;300000,"MAGGIORE","")</f>
        <v/>
      </c>
      <c r="J6014">
        <v>2492</v>
      </c>
      <c r="K6014">
        <v>47005</v>
      </c>
      <c r="L6014">
        <v>3221</v>
      </c>
    </row>
    <row r="6015" spans="1:12" x14ac:dyDescent="0.2">
      <c r="A6015"/>
      <c r="B6015"/>
      <c r="C6015"/>
      <c r="D6015"/>
      <c r="E6015" s="2">
        <f>Comuni__2[[#This Row],[Popolazione2011]]/$D$7911</f>
        <v>3.5676375358347732E-5</v>
      </c>
      <c r="F6015">
        <f>SUMIFS($D$2:$D$7909, $B$2:$B$7909, "Sardegna")</f>
        <v>1634822</v>
      </c>
      <c r="G6015" s="1">
        <f>Comuni__2[[#This Row],[Popolazione2011]]/Comuni__2[[#This Row],[POPOLAZIONE TOTALE DI OGNI REGIONE (CON FILTRO)]]</f>
        <v>1.2967772638244409E-3</v>
      </c>
      <c r="H6015" t="str">
        <f>IF(Comuni__2[[#This Row],[Popolazione2011]]&gt;300000,"MAGGIORE","")</f>
        <v/>
      </c>
      <c r="J6015">
        <v>2570</v>
      </c>
      <c r="K6015">
        <v>48237</v>
      </c>
      <c r="L6015">
        <v>3258</v>
      </c>
    </row>
    <row r="6016" spans="1:12" x14ac:dyDescent="0.2">
      <c r="A6016"/>
      <c r="B6016"/>
      <c r="C6016"/>
      <c r="D6016"/>
      <c r="E6016" s="2">
        <f>Comuni__2[[#This Row],[Popolazione2011]]/$D$7911</f>
        <v>3.5659546879405116E-5</v>
      </c>
      <c r="F6016">
        <f>SUMIFS($D$2:$D$7909, $B$2:$B$7909, "Sardegna")</f>
        <v>1634822</v>
      </c>
      <c r="G6016" s="1">
        <f>Comuni__2[[#This Row],[Popolazione2011]]/Comuni__2[[#This Row],[POPOLAZIONE TOTALE DI OGNI REGIONE (CON FILTRO)]]</f>
        <v>1.2961655764358443E-3</v>
      </c>
      <c r="H6016" t="str">
        <f>IF(Comuni__2[[#This Row],[Popolazione2011]]&gt;300000,"MAGGIORE","")</f>
        <v/>
      </c>
      <c r="J6016">
        <v>2636</v>
      </c>
      <c r="K6016">
        <v>50709</v>
      </c>
      <c r="L6016">
        <v>3353</v>
      </c>
    </row>
    <row r="6017" spans="1:12" x14ac:dyDescent="0.2">
      <c r="A6017"/>
      <c r="B6017"/>
      <c r="C6017"/>
      <c r="D6017"/>
      <c r="E6017" s="2">
        <f>Comuni__2[[#This Row],[Popolazione2011]]/$D$7911</f>
        <v>3.5609061442577267E-5</v>
      </c>
      <c r="F6017">
        <f>SUMIFS($D$2:$D$7909, $B$2:$B$7909, "Sardegna")</f>
        <v>1634822</v>
      </c>
      <c r="G6017" s="1">
        <f>Comuni__2[[#This Row],[Popolazione2011]]/Comuni__2[[#This Row],[POPOLAZIONE TOTALE DI OGNI REGIONE (CON FILTRO)]]</f>
        <v>1.2943305142700551E-3</v>
      </c>
      <c r="H6017" t="str">
        <f>IF(Comuni__2[[#This Row],[Popolazione2011]]&gt;300000,"MAGGIORE","")</f>
        <v/>
      </c>
      <c r="J6017">
        <v>2727</v>
      </c>
      <c r="K6017">
        <v>51509</v>
      </c>
      <c r="L6017">
        <v>3429</v>
      </c>
    </row>
    <row r="6018" spans="1:12" x14ac:dyDescent="0.2">
      <c r="A6018"/>
      <c r="B6018"/>
      <c r="C6018"/>
      <c r="D6018"/>
      <c r="E6018" s="2">
        <f>Comuni__2[[#This Row],[Popolazione2011]]/$D$7911</f>
        <v>3.500323620064306E-5</v>
      </c>
      <c r="F6018">
        <f>SUMIFS($D$2:$D$7909, $B$2:$B$7909, "Sardegna")</f>
        <v>1634822</v>
      </c>
      <c r="G6018" s="1">
        <f>Comuni__2[[#This Row],[Popolazione2011]]/Comuni__2[[#This Row],[POPOLAZIONE TOTALE DI OGNI REGIONE (CON FILTRO)]]</f>
        <v>1.2723097682805834E-3</v>
      </c>
      <c r="H6018" t="str">
        <f>IF(Comuni__2[[#This Row],[Popolazione2011]]&gt;300000,"MAGGIORE","")</f>
        <v/>
      </c>
      <c r="J6018">
        <v>2751</v>
      </c>
      <c r="K6018">
        <v>55403</v>
      </c>
      <c r="L6018">
        <v>3501</v>
      </c>
    </row>
    <row r="6019" spans="1:12" x14ac:dyDescent="0.2">
      <c r="A6019"/>
      <c r="B6019"/>
      <c r="C6019"/>
      <c r="D6019"/>
      <c r="E6019" s="2">
        <f>Comuni__2[[#This Row],[Popolazione2011]]/$D$7911</f>
        <v>3.436375400082362E-5</v>
      </c>
      <c r="F6019">
        <f>SUMIFS($D$2:$D$7909, $B$2:$B$7909, "Sardegna")</f>
        <v>1634822</v>
      </c>
      <c r="G6019" s="1">
        <f>Comuni__2[[#This Row],[Popolazione2011]]/Comuni__2[[#This Row],[POPOLAZIONE TOTALE DI OGNI REGIONE (CON FILTRO)]]</f>
        <v>1.2490656475139189E-3</v>
      </c>
      <c r="H6019" t="str">
        <f>IF(Comuni__2[[#This Row],[Popolazione2011]]&gt;300000,"MAGGIORE","")</f>
        <v/>
      </c>
      <c r="J6019">
        <v>2743</v>
      </c>
      <c r="K6019">
        <v>57025</v>
      </c>
      <c r="L6019">
        <v>3561</v>
      </c>
    </row>
    <row r="6020" spans="1:12" x14ac:dyDescent="0.2">
      <c r="A6020"/>
      <c r="B6020"/>
      <c r="C6020"/>
      <c r="D6020"/>
      <c r="E6020" s="2">
        <f>Comuni__2[[#This Row],[Popolazione2011]]/$D$7911</f>
        <v>3.380841419571726E-5</v>
      </c>
      <c r="F6020">
        <f>SUMIFS($D$2:$D$7909, $B$2:$B$7909, "Sardegna")</f>
        <v>1634822</v>
      </c>
      <c r="G6020" s="1">
        <f>Comuni__2[[#This Row],[Popolazione2011]]/Comuni__2[[#This Row],[POPOLAZIONE TOTALE DI OGNI REGIONE (CON FILTRO)]]</f>
        <v>1.2288799636902365E-3</v>
      </c>
      <c r="H6020" t="str">
        <f>IF(Comuni__2[[#This Row],[Popolazione2011]]&gt;300000,"MAGGIORE","")</f>
        <v/>
      </c>
      <c r="J6020">
        <v>2963</v>
      </c>
      <c r="K6020">
        <v>58756</v>
      </c>
      <c r="L6020">
        <v>3644</v>
      </c>
    </row>
    <row r="6021" spans="1:12" x14ac:dyDescent="0.2">
      <c r="A6021"/>
      <c r="B6021"/>
      <c r="C6021"/>
      <c r="D6021"/>
      <c r="E6021" s="2">
        <f>Comuni__2[[#This Row],[Popolazione2011]]/$D$7911</f>
        <v>3.3791585716774644E-5</v>
      </c>
      <c r="F6021">
        <f>SUMIFS($D$2:$D$7909, $B$2:$B$7909, "Sardegna")</f>
        <v>1634822</v>
      </c>
      <c r="G6021" s="1">
        <f>Comuni__2[[#This Row],[Popolazione2011]]/Comuni__2[[#This Row],[POPOLAZIONE TOTALE DI OGNI REGIONE (CON FILTRO)]]</f>
        <v>1.2282682763016402E-3</v>
      </c>
      <c r="H6021" t="str">
        <f>IF(Comuni__2[[#This Row],[Popolazione2011]]&gt;300000,"MAGGIORE","")</f>
        <v/>
      </c>
      <c r="J6021">
        <v>2753</v>
      </c>
      <c r="K6021">
        <v>60201</v>
      </c>
      <c r="L6021">
        <v>3677</v>
      </c>
    </row>
    <row r="6022" spans="1:12" x14ac:dyDescent="0.2">
      <c r="A6022"/>
      <c r="B6022"/>
      <c r="C6022"/>
      <c r="D6022"/>
      <c r="E6022" s="2">
        <f>Comuni__2[[#This Row],[Popolazione2011]]/$D$7911</f>
        <v>3.3168931995897821E-5</v>
      </c>
      <c r="F6022">
        <f>SUMIFS($D$2:$D$7909, $B$2:$B$7909, "Sardegna")</f>
        <v>1634822</v>
      </c>
      <c r="G6022" s="1">
        <f>Comuni__2[[#This Row],[Popolazione2011]]/Comuni__2[[#This Row],[POPOLAZIONE TOTALE DI OGNI REGIONE (CON FILTRO)]]</f>
        <v>1.2056358429235721E-3</v>
      </c>
      <c r="H6022" t="str">
        <f>IF(Comuni__2[[#This Row],[Popolazione2011]]&gt;300000,"MAGGIORE","")</f>
        <v/>
      </c>
      <c r="J6022">
        <v>2780</v>
      </c>
      <c r="K6022">
        <v>61216</v>
      </c>
      <c r="L6022">
        <v>3711</v>
      </c>
    </row>
    <row r="6023" spans="1:12" x14ac:dyDescent="0.2">
      <c r="A6023"/>
      <c r="B6023"/>
      <c r="C6023"/>
      <c r="D6023"/>
      <c r="E6023" s="2">
        <f>Comuni__2[[#This Row],[Popolazione2011]]/$D$7911</f>
        <v>3.276504850127502E-5</v>
      </c>
      <c r="F6023">
        <f>SUMIFS($D$2:$D$7909, $B$2:$B$7909, "Sardegna")</f>
        <v>1634822</v>
      </c>
      <c r="G6023" s="1">
        <f>Comuni__2[[#This Row],[Popolazione2011]]/Comuni__2[[#This Row],[POPOLAZIONE TOTALE DI OGNI REGIONE (CON FILTRO)]]</f>
        <v>1.1909553455972577E-3</v>
      </c>
      <c r="H6023" t="str">
        <f>IF(Comuni__2[[#This Row],[Popolazione2011]]&gt;300000,"MAGGIORE","")</f>
        <v/>
      </c>
      <c r="J6023">
        <v>2828</v>
      </c>
      <c r="K6023">
        <v>63312</v>
      </c>
      <c r="L6023">
        <v>3818</v>
      </c>
    </row>
    <row r="6024" spans="1:12" x14ac:dyDescent="0.2">
      <c r="A6024"/>
      <c r="B6024"/>
      <c r="C6024"/>
      <c r="D6024"/>
      <c r="E6024" s="2">
        <f>Comuni__2[[#This Row],[Popolazione2011]]/$D$7911</f>
        <v>3.2731391543389788E-5</v>
      </c>
      <c r="F6024">
        <f>SUMIFS($D$2:$D$7909, $B$2:$B$7909, "Sardegna")</f>
        <v>1634822</v>
      </c>
      <c r="G6024" s="1">
        <f>Comuni__2[[#This Row],[Popolazione2011]]/Comuni__2[[#This Row],[POPOLAZIONE TOTALE DI OGNI REGIONE (CON FILTRO)]]</f>
        <v>1.1897319708200648E-3</v>
      </c>
      <c r="H6024" t="str">
        <f>IF(Comuni__2[[#This Row],[Popolazione2011]]&gt;300000,"MAGGIORE","")</f>
        <v/>
      </c>
      <c r="J6024">
        <v>2827</v>
      </c>
      <c r="K6024">
        <v>78230</v>
      </c>
      <c r="L6024">
        <v>3887</v>
      </c>
    </row>
    <row r="6025" spans="1:12" x14ac:dyDescent="0.2">
      <c r="A6025"/>
      <c r="B6025"/>
      <c r="C6025"/>
      <c r="D6025"/>
      <c r="E6025" s="2">
        <f>Comuni__2[[#This Row],[Popolazione2011]]/$D$7911</f>
        <v>3.2714563064447165E-5</v>
      </c>
      <c r="F6025">
        <f>SUMIFS($D$2:$D$7909, $B$2:$B$7909, "Sardegna")</f>
        <v>1634822</v>
      </c>
      <c r="G6025" s="1">
        <f>Comuni__2[[#This Row],[Popolazione2011]]/Comuni__2[[#This Row],[POPOLAZIONE TOTALE DI OGNI REGIONE (CON FILTRO)]]</f>
        <v>1.1891202834314683E-3</v>
      </c>
      <c r="H6025" t="str">
        <f>IF(Comuni__2[[#This Row],[Popolazione2011]]&gt;300000,"MAGGIORE","")</f>
        <v/>
      </c>
      <c r="J6025">
        <v>2808</v>
      </c>
      <c r="K6025">
        <v>79905</v>
      </c>
      <c r="L6025">
        <v>3982</v>
      </c>
    </row>
    <row r="6026" spans="1:12" x14ac:dyDescent="0.2">
      <c r="A6026"/>
      <c r="B6026"/>
      <c r="C6026"/>
      <c r="D6026"/>
      <c r="E6026" s="2">
        <f>Comuni__2[[#This Row],[Popolazione2011]]/$D$7911</f>
        <v>3.2192880217226045E-5</v>
      </c>
      <c r="F6026">
        <f>SUMIFS($D$2:$D$7909, $B$2:$B$7909, "Sardegna")</f>
        <v>1634822</v>
      </c>
      <c r="G6026" s="1">
        <f>Comuni__2[[#This Row],[Popolazione2011]]/Comuni__2[[#This Row],[POPOLAZIONE TOTALE DI OGNI REGIONE (CON FILTRO)]]</f>
        <v>1.170157974384979E-3</v>
      </c>
      <c r="H6026" t="str">
        <f>IF(Comuni__2[[#This Row],[Popolazione2011]]&gt;300000,"MAGGIORE","")</f>
        <v/>
      </c>
      <c r="J6026">
        <v>2786</v>
      </c>
      <c r="K6026">
        <v>81204</v>
      </c>
      <c r="L6026">
        <v>4065</v>
      </c>
    </row>
    <row r="6027" spans="1:12" x14ac:dyDescent="0.2">
      <c r="A6027"/>
      <c r="B6027"/>
      <c r="C6027"/>
      <c r="D6027"/>
      <c r="E6027" s="2">
        <f>Comuni__2[[#This Row],[Popolazione2011]]/$D$7911</f>
        <v>3.2058252385685109E-5</v>
      </c>
      <c r="F6027">
        <f>SUMIFS($D$2:$D$7909, $B$2:$B$7909, "Sardegna")</f>
        <v>1634822</v>
      </c>
      <c r="G6027" s="1">
        <f>Comuni__2[[#This Row],[Popolazione2011]]/Comuni__2[[#This Row],[POPOLAZIONE TOTALE DI OGNI REGIONE (CON FILTRO)]]</f>
        <v>1.1652644752762073E-3</v>
      </c>
      <c r="H6027" t="str">
        <f>IF(Comuni__2[[#This Row],[Popolazione2011]]&gt;300000,"MAGGIORE","")</f>
        <v/>
      </c>
      <c r="J6027">
        <v>2801</v>
      </c>
      <c r="K6027">
        <v>82674</v>
      </c>
      <c r="L6027">
        <v>4173</v>
      </c>
    </row>
    <row r="6028" spans="1:12" x14ac:dyDescent="0.2">
      <c r="A6028"/>
      <c r="B6028"/>
      <c r="C6028"/>
      <c r="D6028"/>
      <c r="E6028" s="2">
        <f>Comuni__2[[#This Row],[Popolazione2011]]/$D$7911</f>
        <v>3.1940453033086789E-5</v>
      </c>
      <c r="F6028">
        <f>SUMIFS($D$2:$D$7909, $B$2:$B$7909, "Sardegna")</f>
        <v>1634822</v>
      </c>
      <c r="G6028" s="1">
        <f>Comuni__2[[#This Row],[Popolazione2011]]/Comuni__2[[#This Row],[POPOLAZIONE TOTALE DI OGNI REGIONE (CON FILTRO)]]</f>
        <v>1.1609826635560325E-3</v>
      </c>
      <c r="H6028" t="str">
        <f>IF(Comuni__2[[#This Row],[Popolazione2011]]&gt;300000,"MAGGIORE","")</f>
        <v/>
      </c>
      <c r="J6028">
        <v>2816</v>
      </c>
      <c r="K6028">
        <v>84235</v>
      </c>
      <c r="L6028">
        <v>4210</v>
      </c>
    </row>
    <row r="6029" spans="1:12" x14ac:dyDescent="0.2">
      <c r="A6029"/>
      <c r="B6029"/>
      <c r="C6029"/>
      <c r="D6029"/>
      <c r="E6029" s="2">
        <f>Comuni__2[[#This Row],[Popolazione2011]]/$D$7911</f>
        <v>3.1873139117316325E-5</v>
      </c>
      <c r="F6029">
        <f>SUMIFS($D$2:$D$7909, $B$2:$B$7909, "Sardegna")</f>
        <v>1634822</v>
      </c>
      <c r="G6029" s="1">
        <f>Comuni__2[[#This Row],[Popolazione2011]]/Comuni__2[[#This Row],[POPOLAZIONE TOTALE DI OGNI REGIONE (CON FILTRO)]]</f>
        <v>1.1585359140016468E-3</v>
      </c>
      <c r="H6029" t="str">
        <f>IF(Comuni__2[[#This Row],[Popolazione2011]]&gt;300000,"MAGGIORE","")</f>
        <v/>
      </c>
    </row>
    <row r="6030" spans="1:12" x14ac:dyDescent="0.2">
      <c r="A6030"/>
      <c r="B6030"/>
      <c r="C6030"/>
      <c r="D6030"/>
      <c r="E6030" s="2">
        <f>Comuni__2[[#This Row],[Popolazione2011]]/$D$7911</f>
        <v>3.1267313875382117E-5</v>
      </c>
      <c r="F6030">
        <f>SUMIFS($D$2:$D$7909, $B$2:$B$7909, "Sardegna")</f>
        <v>1634822</v>
      </c>
      <c r="G6030" s="1">
        <f>Comuni__2[[#This Row],[Popolazione2011]]/Comuni__2[[#This Row],[POPOLAZIONE TOTALE DI OGNI REGIONE (CON FILTRO)]]</f>
        <v>1.136515168012175E-3</v>
      </c>
      <c r="H6030" t="str">
        <f>IF(Comuni__2[[#This Row],[Popolazione2011]]&gt;300000,"MAGGIORE","")</f>
        <v/>
      </c>
    </row>
    <row r="6031" spans="1:12" x14ac:dyDescent="0.2">
      <c r="A6031"/>
      <c r="B6031"/>
      <c r="C6031"/>
      <c r="D6031"/>
      <c r="E6031" s="2">
        <f>Comuni__2[[#This Row],[Popolazione2011]]/$D$7911</f>
        <v>3.1082200607013333E-5</v>
      </c>
      <c r="F6031">
        <f>SUMIFS($D$2:$D$7909, $B$2:$B$7909, "Sardegna")</f>
        <v>1634822</v>
      </c>
      <c r="G6031" s="1">
        <f>Comuni__2[[#This Row],[Popolazione2011]]/Comuni__2[[#This Row],[POPOLAZIONE TOTALE DI OGNI REGIONE (CON FILTRO)]]</f>
        <v>1.1297866067376142E-3</v>
      </c>
      <c r="H6031" t="str">
        <f>IF(Comuni__2[[#This Row],[Popolazione2011]]&gt;300000,"MAGGIORE","")</f>
        <v/>
      </c>
    </row>
    <row r="6032" spans="1:12" x14ac:dyDescent="0.2">
      <c r="A6032"/>
      <c r="B6032"/>
      <c r="C6032"/>
      <c r="D6032"/>
      <c r="E6032" s="2">
        <f>Comuni__2[[#This Row],[Popolazione2011]]/$D$7911</f>
        <v>3.0863430380759316E-5</v>
      </c>
      <c r="F6032">
        <f>SUMIFS($D$2:$D$7909, $B$2:$B$7909, "Sardegna")</f>
        <v>1634822</v>
      </c>
      <c r="G6032" s="1">
        <f>Comuni__2[[#This Row],[Popolazione2011]]/Comuni__2[[#This Row],[POPOLAZIONE TOTALE DI OGNI REGIONE (CON FILTRO)]]</f>
        <v>1.1218346706858605E-3</v>
      </c>
      <c r="H6032" t="str">
        <f>IF(Comuni__2[[#This Row],[Popolazione2011]]&gt;300000,"MAGGIORE","")</f>
        <v/>
      </c>
    </row>
    <row r="6033" spans="1:8" x14ac:dyDescent="0.2">
      <c r="A6033"/>
      <c r="B6033"/>
      <c r="C6033"/>
      <c r="D6033"/>
      <c r="E6033" s="2">
        <f>Comuni__2[[#This Row],[Popolazione2011]]/$D$7911</f>
        <v>3.0476375365079125E-5</v>
      </c>
      <c r="F6033">
        <f>SUMIFS($D$2:$D$7909, $B$2:$B$7909, "Sardegna")</f>
        <v>1634822</v>
      </c>
      <c r="G6033" s="1">
        <f>Comuni__2[[#This Row],[Popolazione2011]]/Comuni__2[[#This Row],[POPOLAZIONE TOTALE DI OGNI REGIONE (CON FILTRO)]]</f>
        <v>1.1077658607481426E-3</v>
      </c>
      <c r="H6033" t="str">
        <f>IF(Comuni__2[[#This Row],[Popolazione2011]]&gt;300000,"MAGGIORE","")</f>
        <v/>
      </c>
    </row>
    <row r="6034" spans="1:8" x14ac:dyDescent="0.2">
      <c r="A6034"/>
      <c r="B6034"/>
      <c r="C6034"/>
      <c r="D6034"/>
      <c r="E6034" s="2">
        <f>Comuni__2[[#This Row],[Popolazione2011]]/$D$7911</f>
        <v>3.0442718407193893E-5</v>
      </c>
      <c r="F6034">
        <f>SUMIFS($D$2:$D$7909, $B$2:$B$7909, "Sardegna")</f>
        <v>1634822</v>
      </c>
      <c r="G6034" s="1">
        <f>Comuni__2[[#This Row],[Popolazione2011]]/Comuni__2[[#This Row],[POPOLAZIONE TOTALE DI OGNI REGIONE (CON FILTRO)]]</f>
        <v>1.1065424859709498E-3</v>
      </c>
      <c r="H6034" t="str">
        <f>IF(Comuni__2[[#This Row],[Popolazione2011]]&gt;300000,"MAGGIORE","")</f>
        <v/>
      </c>
    </row>
    <row r="6035" spans="1:8" x14ac:dyDescent="0.2">
      <c r="A6035"/>
      <c r="B6035"/>
      <c r="C6035"/>
      <c r="D6035"/>
      <c r="E6035" s="2">
        <f>Comuni__2[[#This Row],[Popolazione2011]]/$D$7911</f>
        <v>3.0308090575652957E-5</v>
      </c>
      <c r="F6035">
        <f>SUMIFS($D$2:$D$7909, $B$2:$B$7909, "Sardegna")</f>
        <v>1634822</v>
      </c>
      <c r="G6035" s="1">
        <f>Comuni__2[[#This Row],[Popolazione2011]]/Comuni__2[[#This Row],[POPOLAZIONE TOTALE DI OGNI REGIONE (CON FILTRO)]]</f>
        <v>1.1016489868621783E-3</v>
      </c>
      <c r="H6035" t="str">
        <f>IF(Comuni__2[[#This Row],[Popolazione2011]]&gt;300000,"MAGGIORE","")</f>
        <v/>
      </c>
    </row>
    <row r="6036" spans="1:8" x14ac:dyDescent="0.2">
      <c r="A6036"/>
      <c r="B6036"/>
      <c r="C6036"/>
      <c r="D6036"/>
      <c r="E6036" s="2">
        <f>Comuni__2[[#This Row],[Popolazione2011]]/$D$7911</f>
        <v>3.0122977307284173E-5</v>
      </c>
      <c r="F6036">
        <f>SUMIFS($D$2:$D$7909, $B$2:$B$7909, "Sardegna")</f>
        <v>1634822</v>
      </c>
      <c r="G6036" s="1">
        <f>Comuni__2[[#This Row],[Popolazione2011]]/Comuni__2[[#This Row],[POPOLAZIONE TOTALE DI OGNI REGIONE (CON FILTRO)]]</f>
        <v>1.0949204255876175E-3</v>
      </c>
      <c r="H6036" t="str">
        <f>IF(Comuni__2[[#This Row],[Popolazione2011]]&gt;300000,"MAGGIORE","")</f>
        <v/>
      </c>
    </row>
    <row r="6037" spans="1:8" x14ac:dyDescent="0.2">
      <c r="A6037"/>
      <c r="B6037"/>
      <c r="C6037"/>
      <c r="D6037"/>
      <c r="E6037" s="2">
        <f>Comuni__2[[#This Row],[Popolazione2011]]/$D$7911</f>
        <v>3.0005177954685853E-5</v>
      </c>
      <c r="F6037">
        <f>SUMIFS($D$2:$D$7909, $B$2:$B$7909, "Sardegna")</f>
        <v>1634822</v>
      </c>
      <c r="G6037" s="1">
        <f>Comuni__2[[#This Row],[Popolazione2011]]/Comuni__2[[#This Row],[POPOLAZIONE TOTALE DI OGNI REGIONE (CON FILTRO)]]</f>
        <v>1.0906386138674424E-3</v>
      </c>
      <c r="H6037" t="str">
        <f>IF(Comuni__2[[#This Row],[Popolazione2011]]&gt;300000,"MAGGIORE","")</f>
        <v/>
      </c>
    </row>
    <row r="6038" spans="1:8" x14ac:dyDescent="0.2">
      <c r="A6038"/>
      <c r="B6038"/>
      <c r="C6038"/>
      <c r="D6038"/>
      <c r="E6038" s="2">
        <f>Comuni__2[[#This Row],[Popolazione2011]]/$D$7911</f>
        <v>2.9786407728431834E-5</v>
      </c>
      <c r="F6038">
        <f>SUMIFS($D$2:$D$7909, $B$2:$B$7909, "Sardegna")</f>
        <v>1634822</v>
      </c>
      <c r="G6038" s="1">
        <f>Comuni__2[[#This Row],[Popolazione2011]]/Comuni__2[[#This Row],[POPOLAZIONE TOTALE DI OGNI REGIONE (CON FILTRO)]]</f>
        <v>1.0826866778156888E-3</v>
      </c>
      <c r="H6038" t="str">
        <f>IF(Comuni__2[[#This Row],[Popolazione2011]]&gt;300000,"MAGGIORE","")</f>
        <v/>
      </c>
    </row>
    <row r="6039" spans="1:8" x14ac:dyDescent="0.2">
      <c r="A6039"/>
      <c r="B6039"/>
      <c r="C6039"/>
      <c r="D6039"/>
      <c r="E6039" s="2">
        <f>Comuni__2[[#This Row],[Popolazione2011]]/$D$7911</f>
        <v>2.9500323586407349E-5</v>
      </c>
      <c r="F6039">
        <f>SUMIFS($D$2:$D$7909, $B$2:$B$7909, "Sardegna")</f>
        <v>1634822</v>
      </c>
      <c r="G6039" s="1">
        <f>Comuni__2[[#This Row],[Popolazione2011]]/Comuni__2[[#This Row],[POPOLAZIONE TOTALE DI OGNI REGIONE (CON FILTRO)]]</f>
        <v>1.0722879922095494E-3</v>
      </c>
      <c r="H6039" t="str">
        <f>IF(Comuni__2[[#This Row],[Popolazione2011]]&gt;300000,"MAGGIORE","")</f>
        <v/>
      </c>
    </row>
    <row r="6040" spans="1:8" x14ac:dyDescent="0.2">
      <c r="A6040"/>
      <c r="B6040"/>
      <c r="C6040"/>
      <c r="D6040"/>
      <c r="E6040" s="2">
        <f>Comuni__2[[#This Row],[Popolazione2011]]/$D$7911</f>
        <v>2.9197410965440245E-5</v>
      </c>
      <c r="F6040">
        <f>SUMIFS($D$2:$D$7909, $B$2:$B$7909, "Sardegna")</f>
        <v>1634822</v>
      </c>
      <c r="G6040" s="1">
        <f>Comuni__2[[#This Row],[Popolazione2011]]/Comuni__2[[#This Row],[POPOLAZIONE TOTALE DI OGNI REGIONE (CON FILTRO)]]</f>
        <v>1.0612776192148135E-3</v>
      </c>
      <c r="H6040" t="str">
        <f>IF(Comuni__2[[#This Row],[Popolazione2011]]&gt;300000,"MAGGIORE","")</f>
        <v/>
      </c>
    </row>
    <row r="6041" spans="1:8" x14ac:dyDescent="0.2">
      <c r="A6041"/>
      <c r="B6041"/>
      <c r="C6041"/>
      <c r="D6041"/>
      <c r="E6041" s="2">
        <f>Comuni__2[[#This Row],[Popolazione2011]]/$D$7911</f>
        <v>2.9130097049669778E-5</v>
      </c>
      <c r="F6041">
        <f>SUMIFS($D$2:$D$7909, $B$2:$B$7909, "Sardegna")</f>
        <v>1634822</v>
      </c>
      <c r="G6041" s="1">
        <f>Comuni__2[[#This Row],[Popolazione2011]]/Comuni__2[[#This Row],[POPOLAZIONE TOTALE DI OGNI REGIONE (CON FILTRO)]]</f>
        <v>1.0588308696604278E-3</v>
      </c>
      <c r="H6041" t="str">
        <f>IF(Comuni__2[[#This Row],[Popolazione2011]]&gt;300000,"MAGGIORE","")</f>
        <v/>
      </c>
    </row>
    <row r="6042" spans="1:8" x14ac:dyDescent="0.2">
      <c r="A6042"/>
      <c r="B6042"/>
      <c r="C6042"/>
      <c r="D6042"/>
      <c r="E6042" s="2">
        <f>Comuni__2[[#This Row],[Popolazione2011]]/$D$7911</f>
        <v>2.8944983781300993E-5</v>
      </c>
      <c r="F6042">
        <f>SUMIFS($D$2:$D$7909, $B$2:$B$7909, "Sardegna")</f>
        <v>1634822</v>
      </c>
      <c r="G6042" s="1">
        <f>Comuni__2[[#This Row],[Popolazione2011]]/Comuni__2[[#This Row],[POPOLAZIONE TOTALE DI OGNI REGIONE (CON FILTRO)]]</f>
        <v>1.052102308385867E-3</v>
      </c>
      <c r="H6042" t="str">
        <f>IF(Comuni__2[[#This Row],[Popolazione2011]]&gt;300000,"MAGGIORE","")</f>
        <v/>
      </c>
    </row>
    <row r="6043" spans="1:8" x14ac:dyDescent="0.2">
      <c r="A6043"/>
      <c r="B6043"/>
      <c r="C6043"/>
      <c r="D6043"/>
      <c r="E6043" s="2">
        <f>Comuni__2[[#This Row],[Popolazione2011]]/$D$7911</f>
        <v>2.8507443328792954E-5</v>
      </c>
      <c r="F6043">
        <f>SUMIFS($D$2:$D$7909, $B$2:$B$7909, "Sardegna")</f>
        <v>1634822</v>
      </c>
      <c r="G6043" s="1">
        <f>Comuni__2[[#This Row],[Popolazione2011]]/Comuni__2[[#This Row],[POPOLAZIONE TOTALE DI OGNI REGIONE (CON FILTRO)]]</f>
        <v>1.0361984362823597E-3</v>
      </c>
      <c r="H6043" t="str">
        <f>IF(Comuni__2[[#This Row],[Popolazione2011]]&gt;300000,"MAGGIORE","")</f>
        <v/>
      </c>
    </row>
    <row r="6044" spans="1:8" x14ac:dyDescent="0.2">
      <c r="A6044"/>
      <c r="B6044"/>
      <c r="C6044"/>
      <c r="D6044"/>
      <c r="E6044" s="2">
        <f>Comuni__2[[#This Row],[Popolazione2011]]/$D$7911</f>
        <v>2.8187702228883234E-5</v>
      </c>
      <c r="F6044">
        <f>SUMIFS($D$2:$D$7909, $B$2:$B$7909, "Sardegna")</f>
        <v>1634822</v>
      </c>
      <c r="G6044" s="1">
        <f>Comuni__2[[#This Row],[Popolazione2011]]/Comuni__2[[#This Row],[POPOLAZIONE TOTALE DI OGNI REGIONE (CON FILTRO)]]</f>
        <v>1.0245763758990275E-3</v>
      </c>
      <c r="H6044" t="str">
        <f>IF(Comuni__2[[#This Row],[Popolazione2011]]&gt;300000,"MAGGIORE","")</f>
        <v/>
      </c>
    </row>
    <row r="6045" spans="1:8" x14ac:dyDescent="0.2">
      <c r="A6045"/>
      <c r="B6045"/>
      <c r="C6045"/>
      <c r="D6045"/>
      <c r="E6045" s="2">
        <f>Comuni__2[[#This Row],[Popolazione2011]]/$D$7911</f>
        <v>2.8170873749940618E-5</v>
      </c>
      <c r="F6045">
        <f>SUMIFS($D$2:$D$7909, $B$2:$B$7909, "Sardegna")</f>
        <v>1634822</v>
      </c>
      <c r="G6045" s="1">
        <f>Comuni__2[[#This Row],[Popolazione2011]]/Comuni__2[[#This Row],[POPOLAZIONE TOTALE DI OGNI REGIONE (CON FILTRO)]]</f>
        <v>1.023964688510431E-3</v>
      </c>
      <c r="H6045" t="str">
        <f>IF(Comuni__2[[#This Row],[Popolazione2011]]&gt;300000,"MAGGIORE","")</f>
        <v/>
      </c>
    </row>
    <row r="6046" spans="1:8" x14ac:dyDescent="0.2">
      <c r="A6046"/>
      <c r="B6046"/>
      <c r="C6046"/>
      <c r="D6046"/>
      <c r="E6046" s="2">
        <f>Comuni__2[[#This Row],[Popolazione2011]]/$D$7911</f>
        <v>2.744724915540809E-5</v>
      </c>
      <c r="F6046">
        <f>SUMIFS($D$2:$D$7909, $B$2:$B$7909, "Sardegna")</f>
        <v>1634822</v>
      </c>
      <c r="G6046" s="1">
        <f>Comuni__2[[#This Row],[Popolazione2011]]/Comuni__2[[#This Row],[POPOLAZIONE TOTALE DI OGNI REGIONE (CON FILTRO)]]</f>
        <v>9.9766213080078434E-4</v>
      </c>
      <c r="H6046" t="str">
        <f>IF(Comuni__2[[#This Row],[Popolazione2011]]&gt;300000,"MAGGIORE","")</f>
        <v/>
      </c>
    </row>
    <row r="6047" spans="1:8" x14ac:dyDescent="0.2">
      <c r="A6047"/>
      <c r="B6047"/>
      <c r="C6047"/>
      <c r="D6047"/>
      <c r="E6047" s="2">
        <f>Comuni__2[[#This Row],[Popolazione2011]]/$D$7911</f>
        <v>2.7379935239637626E-5</v>
      </c>
      <c r="F6047">
        <f>SUMIFS($D$2:$D$7909, $B$2:$B$7909, "Sardegna")</f>
        <v>1634822</v>
      </c>
      <c r="G6047" s="1">
        <f>Comuni__2[[#This Row],[Popolazione2011]]/Comuni__2[[#This Row],[POPOLAZIONE TOTALE DI OGNI REGIONE (CON FILTRO)]]</f>
        <v>9.9521538124639863E-4</v>
      </c>
      <c r="H6047" t="str">
        <f>IF(Comuni__2[[#This Row],[Popolazione2011]]&gt;300000,"MAGGIORE","")</f>
        <v/>
      </c>
    </row>
    <row r="6048" spans="1:8" x14ac:dyDescent="0.2">
      <c r="A6048"/>
      <c r="B6048"/>
      <c r="C6048"/>
      <c r="D6048"/>
      <c r="E6048" s="2">
        <f>Comuni__2[[#This Row],[Popolazione2011]]/$D$7911</f>
        <v>2.7379935239637626E-5</v>
      </c>
      <c r="F6048">
        <f>SUMIFS($D$2:$D$7909, $B$2:$B$7909, "Sardegna")</f>
        <v>1634822</v>
      </c>
      <c r="G6048" s="1">
        <f>Comuni__2[[#This Row],[Popolazione2011]]/Comuni__2[[#This Row],[POPOLAZIONE TOTALE DI OGNI REGIONE (CON FILTRO)]]</f>
        <v>9.9521538124639863E-4</v>
      </c>
      <c r="H6048" t="str">
        <f>IF(Comuni__2[[#This Row],[Popolazione2011]]&gt;300000,"MAGGIORE","")</f>
        <v/>
      </c>
    </row>
    <row r="6049" spans="1:8" x14ac:dyDescent="0.2">
      <c r="A6049"/>
      <c r="B6049"/>
      <c r="C6049"/>
      <c r="D6049"/>
      <c r="E6049" s="2">
        <f>Comuni__2[[#This Row],[Popolazione2011]]/$D$7911</f>
        <v>2.724530740809669E-5</v>
      </c>
      <c r="F6049">
        <f>SUMIFS($D$2:$D$7909, $B$2:$B$7909, "Sardegna")</f>
        <v>1634822</v>
      </c>
      <c r="G6049" s="1">
        <f>Comuni__2[[#This Row],[Popolazione2011]]/Comuni__2[[#This Row],[POPOLAZIONE TOTALE DI OGNI REGIONE (CON FILTRO)]]</f>
        <v>9.9032188213762722E-4</v>
      </c>
      <c r="H6049" t="str">
        <f>IF(Comuni__2[[#This Row],[Popolazione2011]]&gt;300000,"MAGGIORE","")</f>
        <v/>
      </c>
    </row>
    <row r="6050" spans="1:8" x14ac:dyDescent="0.2">
      <c r="A6050"/>
      <c r="B6050"/>
      <c r="C6050"/>
      <c r="D6050"/>
      <c r="E6050" s="2">
        <f>Comuni__2[[#This Row],[Popolazione2011]]/$D$7911</f>
        <v>2.6959223266072202E-5</v>
      </c>
      <c r="F6050">
        <f>SUMIFS($D$2:$D$7909, $B$2:$B$7909, "Sardegna")</f>
        <v>1634822</v>
      </c>
      <c r="G6050" s="1">
        <f>Comuni__2[[#This Row],[Popolazione2011]]/Comuni__2[[#This Row],[POPOLAZIONE TOTALE DI OGNI REGIONE (CON FILTRO)]]</f>
        <v>9.7992319653148786E-4</v>
      </c>
      <c r="H6050" t="str">
        <f>IF(Comuni__2[[#This Row],[Popolazione2011]]&gt;300000,"MAGGIORE","")</f>
        <v/>
      </c>
    </row>
    <row r="6051" spans="1:8" x14ac:dyDescent="0.2">
      <c r="A6051"/>
      <c r="B6051"/>
      <c r="C6051"/>
      <c r="D6051"/>
      <c r="E6051" s="2">
        <f>Comuni__2[[#This Row],[Popolazione2011]]/$D$7911</f>
        <v>2.6891909350301735E-5</v>
      </c>
      <c r="F6051">
        <f>SUMIFS($D$2:$D$7909, $B$2:$B$7909, "Sardegna")</f>
        <v>1634822</v>
      </c>
      <c r="G6051" s="1">
        <f>Comuni__2[[#This Row],[Popolazione2011]]/Comuni__2[[#This Row],[POPOLAZIONE TOTALE DI OGNI REGIONE (CON FILTRO)]]</f>
        <v>9.7747644697710216E-4</v>
      </c>
      <c r="H6051" t="str">
        <f>IF(Comuni__2[[#This Row],[Popolazione2011]]&gt;300000,"MAGGIORE","")</f>
        <v/>
      </c>
    </row>
    <row r="6052" spans="1:8" x14ac:dyDescent="0.2">
      <c r="A6052"/>
      <c r="B6052"/>
      <c r="C6052"/>
      <c r="D6052"/>
      <c r="E6052" s="2">
        <f>Comuni__2[[#This Row],[Popolazione2011]]/$D$7911</f>
        <v>2.6774109997703418E-5</v>
      </c>
      <c r="F6052">
        <f>SUMIFS($D$2:$D$7909, $B$2:$B$7909, "Sardegna")</f>
        <v>1634822</v>
      </c>
      <c r="G6052" s="1">
        <f>Comuni__2[[#This Row],[Popolazione2011]]/Comuni__2[[#This Row],[POPOLAZIONE TOTALE DI OGNI REGIONE (CON FILTRO)]]</f>
        <v>9.7319463525692707E-4</v>
      </c>
      <c r="H6052" t="str">
        <f>IF(Comuni__2[[#This Row],[Popolazione2011]]&gt;300000,"MAGGIORE","")</f>
        <v/>
      </c>
    </row>
    <row r="6053" spans="1:8" x14ac:dyDescent="0.2">
      <c r="A6053"/>
      <c r="B6053"/>
      <c r="C6053"/>
      <c r="D6053"/>
      <c r="E6053" s="2">
        <f>Comuni__2[[#This Row],[Popolazione2011]]/$D$7911</f>
        <v>2.6588996729334631E-5</v>
      </c>
      <c r="F6053">
        <f>SUMIFS($D$2:$D$7909, $B$2:$B$7909, "Sardegna")</f>
        <v>1634822</v>
      </c>
      <c r="G6053" s="1">
        <f>Comuni__2[[#This Row],[Popolazione2011]]/Comuni__2[[#This Row],[POPOLAZIONE TOTALE DI OGNI REGIONE (CON FILTRO)]]</f>
        <v>9.6646607398236627E-4</v>
      </c>
      <c r="H6053" t="str">
        <f>IF(Comuni__2[[#This Row],[Popolazione2011]]&gt;300000,"MAGGIORE","")</f>
        <v/>
      </c>
    </row>
    <row r="6054" spans="1:8" x14ac:dyDescent="0.2">
      <c r="A6054"/>
      <c r="B6054"/>
      <c r="C6054"/>
      <c r="D6054"/>
      <c r="E6054" s="2">
        <f>Comuni__2[[#This Row],[Popolazione2011]]/$D$7911</f>
        <v>2.6033656924228275E-5</v>
      </c>
      <c r="F6054">
        <f>SUMIFS($D$2:$D$7909, $B$2:$B$7909, "Sardegna")</f>
        <v>1634822</v>
      </c>
      <c r="G6054" s="1">
        <f>Comuni__2[[#This Row],[Popolazione2011]]/Comuni__2[[#This Row],[POPOLAZIONE TOTALE DI OGNI REGIONE (CON FILTRO)]]</f>
        <v>9.4628039015868398E-4</v>
      </c>
      <c r="H6054" t="str">
        <f>IF(Comuni__2[[#This Row],[Popolazione2011]]&gt;300000,"MAGGIORE","")</f>
        <v/>
      </c>
    </row>
    <row r="6055" spans="1:8" x14ac:dyDescent="0.2">
      <c r="A6055"/>
      <c r="B6055"/>
      <c r="C6055"/>
      <c r="D6055"/>
      <c r="E6055" s="2">
        <f>Comuni__2[[#This Row],[Popolazione2011]]/$D$7911</f>
        <v>2.5612944950662855E-5</v>
      </c>
      <c r="F6055">
        <f>SUMIFS($D$2:$D$7909, $B$2:$B$7909, "Sardegna")</f>
        <v>1634822</v>
      </c>
      <c r="G6055" s="1">
        <f>Comuni__2[[#This Row],[Popolazione2011]]/Comuni__2[[#This Row],[POPOLAZIONE TOTALE DI OGNI REGIONE (CON FILTRO)]]</f>
        <v>9.309882054437731E-4</v>
      </c>
      <c r="H6055" t="str">
        <f>IF(Comuni__2[[#This Row],[Popolazione2011]]&gt;300000,"MAGGIORE","")</f>
        <v/>
      </c>
    </row>
    <row r="6056" spans="1:8" x14ac:dyDescent="0.2">
      <c r="A6056"/>
      <c r="B6056"/>
      <c r="C6056"/>
      <c r="D6056"/>
      <c r="E6056" s="2">
        <f>Comuni__2[[#This Row],[Popolazione2011]]/$D$7911</f>
        <v>2.5528802555949771E-5</v>
      </c>
      <c r="F6056">
        <f>SUMIFS($D$2:$D$7909, $B$2:$B$7909, "Sardegna")</f>
        <v>1634822</v>
      </c>
      <c r="G6056" s="1">
        <f>Comuni__2[[#This Row],[Popolazione2011]]/Comuni__2[[#This Row],[POPOLAZIONE TOTALE DI OGNI REGIONE (CON FILTRO)]]</f>
        <v>9.2792976850079086E-4</v>
      </c>
      <c r="H6056" t="str">
        <f>IF(Comuni__2[[#This Row],[Popolazione2011]]&gt;300000,"MAGGIORE","")</f>
        <v/>
      </c>
    </row>
    <row r="6057" spans="1:8" x14ac:dyDescent="0.2">
      <c r="A6057"/>
      <c r="B6057"/>
      <c r="C6057"/>
      <c r="D6057"/>
      <c r="E6057" s="2">
        <f>Comuni__2[[#This Row],[Popolazione2011]]/$D$7911</f>
        <v>2.5495145598064535E-5</v>
      </c>
      <c r="F6057">
        <f>SUMIFS($D$2:$D$7909, $B$2:$B$7909, "Sardegna")</f>
        <v>1634822</v>
      </c>
      <c r="G6057" s="1">
        <f>Comuni__2[[#This Row],[Popolazione2011]]/Comuni__2[[#This Row],[POPOLAZIONE TOTALE DI OGNI REGIONE (CON FILTRO)]]</f>
        <v>9.2670639372359801E-4</v>
      </c>
      <c r="H6057" t="str">
        <f>IF(Comuni__2[[#This Row],[Popolazione2011]]&gt;300000,"MAGGIORE","")</f>
        <v/>
      </c>
    </row>
    <row r="6058" spans="1:8" x14ac:dyDescent="0.2">
      <c r="A6058"/>
      <c r="B6058"/>
      <c r="C6058"/>
      <c r="D6058"/>
      <c r="E6058" s="2">
        <f>Comuni__2[[#This Row],[Popolazione2011]]/$D$7911</f>
        <v>2.5478317119121919E-5</v>
      </c>
      <c r="F6058">
        <f>SUMIFS($D$2:$D$7909, $B$2:$B$7909, "Sardegna")</f>
        <v>1634822</v>
      </c>
      <c r="G6058" s="1">
        <f>Comuni__2[[#This Row],[Popolazione2011]]/Comuni__2[[#This Row],[POPOLAZIONE TOTALE DI OGNI REGIONE (CON FILTRO)]]</f>
        <v>9.2609470633500158E-4</v>
      </c>
      <c r="H6058" t="str">
        <f>IF(Comuni__2[[#This Row],[Popolazione2011]]&gt;300000,"MAGGIORE","")</f>
        <v/>
      </c>
    </row>
    <row r="6059" spans="1:8" x14ac:dyDescent="0.2">
      <c r="A6059"/>
      <c r="B6059"/>
      <c r="C6059"/>
      <c r="D6059"/>
      <c r="E6059" s="2">
        <f>Comuni__2[[#This Row],[Popolazione2011]]/$D$7911</f>
        <v>2.5360517766523603E-5</v>
      </c>
      <c r="F6059">
        <f>SUMIFS($D$2:$D$7909, $B$2:$B$7909, "Sardegna")</f>
        <v>1634822</v>
      </c>
      <c r="G6059" s="1">
        <f>Comuni__2[[#This Row],[Popolazione2011]]/Comuni__2[[#This Row],[POPOLAZIONE TOTALE DI OGNI REGIONE (CON FILTRO)]]</f>
        <v>9.218128946148266E-4</v>
      </c>
      <c r="H6059" t="str">
        <f>IF(Comuni__2[[#This Row],[Popolazione2011]]&gt;300000,"MAGGIORE","")</f>
        <v/>
      </c>
    </row>
    <row r="6060" spans="1:8" x14ac:dyDescent="0.2">
      <c r="A6060"/>
      <c r="B6060"/>
      <c r="C6060"/>
      <c r="D6060"/>
      <c r="E6060" s="2">
        <f>Comuni__2[[#This Row],[Popolazione2011]]/$D$7911</f>
        <v>2.5259546892867899E-5</v>
      </c>
      <c r="F6060">
        <f>SUMIFS($D$2:$D$7909, $B$2:$B$7909, "Sardegna")</f>
        <v>1634822</v>
      </c>
      <c r="G6060" s="1">
        <f>Comuni__2[[#This Row],[Popolazione2011]]/Comuni__2[[#This Row],[POPOLAZIONE TOTALE DI OGNI REGIONE (CON FILTRO)]]</f>
        <v>9.1814277028324793E-4</v>
      </c>
      <c r="H6060" t="str">
        <f>IF(Comuni__2[[#This Row],[Popolazione2011]]&gt;300000,"MAGGIORE","")</f>
        <v/>
      </c>
    </row>
    <row r="6061" spans="1:8" x14ac:dyDescent="0.2">
      <c r="A6061"/>
      <c r="B6061"/>
      <c r="C6061"/>
      <c r="D6061"/>
      <c r="E6061" s="2">
        <f>Comuni__2[[#This Row],[Popolazione2011]]/$D$7911</f>
        <v>2.5158576019212199E-5</v>
      </c>
      <c r="F6061">
        <f>SUMIFS($D$2:$D$7909, $B$2:$B$7909, "Sardegna")</f>
        <v>1634822</v>
      </c>
      <c r="G6061" s="1">
        <f>Comuni__2[[#This Row],[Popolazione2011]]/Comuni__2[[#This Row],[POPOLAZIONE TOTALE DI OGNI REGIONE (CON FILTRO)]]</f>
        <v>9.1447264595166937E-4</v>
      </c>
      <c r="H6061" t="str">
        <f>IF(Comuni__2[[#This Row],[Popolazione2011]]&gt;300000,"MAGGIORE","")</f>
        <v/>
      </c>
    </row>
    <row r="6062" spans="1:8" x14ac:dyDescent="0.2">
      <c r="A6062"/>
      <c r="B6062"/>
      <c r="C6062"/>
      <c r="D6062"/>
      <c r="E6062" s="2">
        <f>Comuni__2[[#This Row],[Popolazione2011]]/$D$7911</f>
        <v>2.4939805792958179E-5</v>
      </c>
      <c r="F6062">
        <f>SUMIFS($D$2:$D$7909, $B$2:$B$7909, "Sardegna")</f>
        <v>1634822</v>
      </c>
      <c r="G6062" s="1">
        <f>Comuni__2[[#This Row],[Popolazione2011]]/Comuni__2[[#This Row],[POPOLAZIONE TOTALE DI OGNI REGIONE (CON FILTRO)]]</f>
        <v>9.0652070989991572E-4</v>
      </c>
      <c r="H6062" t="str">
        <f>IF(Comuni__2[[#This Row],[Popolazione2011]]&gt;300000,"MAGGIORE","")</f>
        <v/>
      </c>
    </row>
    <row r="6063" spans="1:8" x14ac:dyDescent="0.2">
      <c r="A6063"/>
      <c r="B6063"/>
      <c r="C6063"/>
      <c r="D6063"/>
      <c r="E6063" s="2">
        <f>Comuni__2[[#This Row],[Popolazione2011]]/$D$7911</f>
        <v>2.4822006440359863E-5</v>
      </c>
      <c r="F6063">
        <f>SUMIFS($D$2:$D$7909, $B$2:$B$7909, "Sardegna")</f>
        <v>1634822</v>
      </c>
      <c r="G6063" s="1">
        <f>Comuni__2[[#This Row],[Popolazione2011]]/Comuni__2[[#This Row],[POPOLAZIONE TOTALE DI OGNI REGIONE (CON FILTRO)]]</f>
        <v>9.0223889817974063E-4</v>
      </c>
      <c r="H6063" t="str">
        <f>IF(Comuni__2[[#This Row],[Popolazione2011]]&gt;300000,"MAGGIORE","")</f>
        <v/>
      </c>
    </row>
    <row r="6064" spans="1:8" x14ac:dyDescent="0.2">
      <c r="A6064"/>
      <c r="B6064"/>
      <c r="C6064"/>
      <c r="D6064"/>
      <c r="E6064" s="2">
        <f>Comuni__2[[#This Row],[Popolazione2011]]/$D$7911</f>
        <v>2.4115210324769955E-5</v>
      </c>
      <c r="F6064">
        <f>SUMIFS($D$2:$D$7909, $B$2:$B$7909, "Sardegna")</f>
        <v>1634822</v>
      </c>
      <c r="G6064" s="1">
        <f>Comuni__2[[#This Row],[Popolazione2011]]/Comuni__2[[#This Row],[POPOLAZIONE TOTALE DI OGNI REGIONE (CON FILTRO)]]</f>
        <v>8.765480278586904E-4</v>
      </c>
      <c r="H6064" t="str">
        <f>IF(Comuni__2[[#This Row],[Popolazione2011]]&gt;300000,"MAGGIORE","")</f>
        <v/>
      </c>
    </row>
    <row r="6065" spans="1:8" x14ac:dyDescent="0.2">
      <c r="A6065"/>
      <c r="B6065"/>
      <c r="C6065"/>
      <c r="D6065"/>
      <c r="E6065" s="2">
        <f>Comuni__2[[#This Row],[Popolazione2011]]/$D$7911</f>
        <v>2.4115210324769955E-5</v>
      </c>
      <c r="F6065">
        <f>SUMIFS($D$2:$D$7909, $B$2:$B$7909, "Sardegna")</f>
        <v>1634822</v>
      </c>
      <c r="G6065" s="1">
        <f>Comuni__2[[#This Row],[Popolazione2011]]/Comuni__2[[#This Row],[POPOLAZIONE TOTALE DI OGNI REGIONE (CON FILTRO)]]</f>
        <v>8.765480278586904E-4</v>
      </c>
      <c r="H6065" t="str">
        <f>IF(Comuni__2[[#This Row],[Popolazione2011]]&gt;300000,"MAGGIORE","")</f>
        <v/>
      </c>
    </row>
    <row r="6066" spans="1:8" x14ac:dyDescent="0.2">
      <c r="A6066"/>
      <c r="B6066"/>
      <c r="C6066"/>
      <c r="D6066"/>
      <c r="E6066" s="2">
        <f>Comuni__2[[#This Row],[Popolazione2011]]/$D$7911</f>
        <v>2.4064724887942103E-5</v>
      </c>
      <c r="F6066">
        <f>SUMIFS($D$2:$D$7909, $B$2:$B$7909, "Sardegna")</f>
        <v>1634822</v>
      </c>
      <c r="G6066" s="1">
        <f>Comuni__2[[#This Row],[Popolazione2011]]/Comuni__2[[#This Row],[POPOLAZIONE TOTALE DI OGNI REGIONE (CON FILTRO)]]</f>
        <v>8.7471296569290112E-4</v>
      </c>
      <c r="H6066" t="str">
        <f>IF(Comuni__2[[#This Row],[Popolazione2011]]&gt;300000,"MAGGIORE","")</f>
        <v/>
      </c>
    </row>
    <row r="6067" spans="1:8" x14ac:dyDescent="0.2">
      <c r="A6067"/>
      <c r="B6067"/>
      <c r="C6067"/>
      <c r="D6067"/>
      <c r="E6067" s="2">
        <f>Comuni__2[[#This Row],[Popolazione2011]]/$D$7911</f>
        <v>2.4014239451114252E-5</v>
      </c>
      <c r="F6067">
        <f>SUMIFS($D$2:$D$7909, $B$2:$B$7909, "Sardegna")</f>
        <v>1634822</v>
      </c>
      <c r="G6067" s="1">
        <f>Comuni__2[[#This Row],[Popolazione2011]]/Comuni__2[[#This Row],[POPOLAZIONE TOTALE DI OGNI REGIONE (CON FILTRO)]]</f>
        <v>8.7287790352711184E-4</v>
      </c>
      <c r="H6067" t="str">
        <f>IF(Comuni__2[[#This Row],[Popolazione2011]]&gt;300000,"MAGGIORE","")</f>
        <v/>
      </c>
    </row>
    <row r="6068" spans="1:8" x14ac:dyDescent="0.2">
      <c r="A6068"/>
      <c r="B6068"/>
      <c r="C6068"/>
      <c r="D6068"/>
      <c r="E6068" s="2">
        <f>Comuni__2[[#This Row],[Popolazione2011]]/$D$7911</f>
        <v>2.3845954661688084E-5</v>
      </c>
      <c r="F6068">
        <f>SUMIFS($D$2:$D$7909, $B$2:$B$7909, "Sardegna")</f>
        <v>1634822</v>
      </c>
      <c r="G6068" s="1">
        <f>Comuni__2[[#This Row],[Popolazione2011]]/Comuni__2[[#This Row],[POPOLAZIONE TOTALE DI OGNI REGIONE (CON FILTRO)]]</f>
        <v>8.6676102964114746E-4</v>
      </c>
      <c r="H6068" t="str">
        <f>IF(Comuni__2[[#This Row],[Popolazione2011]]&gt;300000,"MAGGIORE","")</f>
        <v/>
      </c>
    </row>
    <row r="6069" spans="1:8" x14ac:dyDescent="0.2">
      <c r="A6069"/>
      <c r="B6069"/>
      <c r="C6069"/>
      <c r="D6069"/>
      <c r="E6069" s="2">
        <f>Comuni__2[[#This Row],[Popolazione2011]]/$D$7911</f>
        <v>2.3206472461868644E-5</v>
      </c>
      <c r="F6069">
        <f>SUMIFS($D$2:$D$7909, $B$2:$B$7909, "Sardegna")</f>
        <v>1634822</v>
      </c>
      <c r="G6069" s="1">
        <f>Comuni__2[[#This Row],[Popolazione2011]]/Comuni__2[[#This Row],[POPOLAZIONE TOTALE DI OGNI REGIONE (CON FILTRO)]]</f>
        <v>8.4351690887448294E-4</v>
      </c>
      <c r="H6069" t="str">
        <f>IF(Comuni__2[[#This Row],[Popolazione2011]]&gt;300000,"MAGGIORE","")</f>
        <v/>
      </c>
    </row>
    <row r="6070" spans="1:8" x14ac:dyDescent="0.2">
      <c r="A6070"/>
      <c r="B6070"/>
      <c r="C6070"/>
      <c r="D6070"/>
      <c r="E6070" s="2">
        <f>Comuni__2[[#This Row],[Popolazione2011]]/$D$7911</f>
        <v>2.3189643982926028E-5</v>
      </c>
      <c r="F6070">
        <f>SUMIFS($D$2:$D$7909, $B$2:$B$7909, "Sardegna")</f>
        <v>1634822</v>
      </c>
      <c r="G6070" s="1">
        <f>Comuni__2[[#This Row],[Popolazione2011]]/Comuni__2[[#This Row],[POPOLAZIONE TOTALE DI OGNI REGIONE (CON FILTRO)]]</f>
        <v>8.4290522148588651E-4</v>
      </c>
      <c r="H6070" t="str">
        <f>IF(Comuni__2[[#This Row],[Popolazione2011]]&gt;300000,"MAGGIORE","")</f>
        <v/>
      </c>
    </row>
    <row r="6071" spans="1:8" x14ac:dyDescent="0.2">
      <c r="A6071"/>
      <c r="B6071"/>
      <c r="C6071"/>
      <c r="D6071"/>
      <c r="E6071" s="2">
        <f>Comuni__2[[#This Row],[Popolazione2011]]/$D$7911</f>
        <v>2.3105501588212944E-5</v>
      </c>
      <c r="F6071">
        <f>SUMIFS($D$2:$D$7909, $B$2:$B$7909, "Sardegna")</f>
        <v>1634822</v>
      </c>
      <c r="G6071" s="1">
        <f>Comuni__2[[#This Row],[Popolazione2011]]/Comuni__2[[#This Row],[POPOLAZIONE TOTALE DI OGNI REGIONE (CON FILTRO)]]</f>
        <v>8.3984678454290438E-4</v>
      </c>
      <c r="H6071" t="str">
        <f>IF(Comuni__2[[#This Row],[Popolazione2011]]&gt;300000,"MAGGIORE","")</f>
        <v/>
      </c>
    </row>
    <row r="6072" spans="1:8" x14ac:dyDescent="0.2">
      <c r="A6072"/>
      <c r="B6072"/>
      <c r="C6072"/>
      <c r="D6072"/>
      <c r="E6072" s="2">
        <f>Comuni__2[[#This Row],[Popolazione2011]]/$D$7911</f>
        <v>2.290355984090154E-5</v>
      </c>
      <c r="F6072">
        <f>SUMIFS($D$2:$D$7909, $B$2:$B$7909, "Sardegna")</f>
        <v>1634822</v>
      </c>
      <c r="G6072" s="1">
        <f>Comuni__2[[#This Row],[Popolazione2011]]/Comuni__2[[#This Row],[POPOLAZIONE TOTALE DI OGNI REGIONE (CON FILTRO)]]</f>
        <v>8.3250653587974715E-4</v>
      </c>
      <c r="H6072" t="str">
        <f>IF(Comuni__2[[#This Row],[Popolazione2011]]&gt;300000,"MAGGIORE","")</f>
        <v/>
      </c>
    </row>
    <row r="6073" spans="1:8" x14ac:dyDescent="0.2">
      <c r="A6073"/>
      <c r="B6073"/>
      <c r="C6073"/>
      <c r="D6073"/>
      <c r="E6073" s="2">
        <f>Comuni__2[[#This Row],[Popolazione2011]]/$D$7911</f>
        <v>2.2836245925131072E-5</v>
      </c>
      <c r="F6073">
        <f>SUMIFS($D$2:$D$7909, $B$2:$B$7909, "Sardegna")</f>
        <v>1634822</v>
      </c>
      <c r="G6073" s="1">
        <f>Comuni__2[[#This Row],[Popolazione2011]]/Comuni__2[[#This Row],[POPOLAZIONE TOTALE DI OGNI REGIONE (CON FILTRO)]]</f>
        <v>8.3005978632536145E-4</v>
      </c>
      <c r="H6073" t="str">
        <f>IF(Comuni__2[[#This Row],[Popolazione2011]]&gt;300000,"MAGGIORE","")</f>
        <v/>
      </c>
    </row>
    <row r="6074" spans="1:8" x14ac:dyDescent="0.2">
      <c r="A6074"/>
      <c r="B6074"/>
      <c r="C6074"/>
      <c r="D6074"/>
      <c r="E6074" s="2">
        <f>Comuni__2[[#This Row],[Popolazione2011]]/$D$7911</f>
        <v>2.2718446572532756E-5</v>
      </c>
      <c r="F6074">
        <f>SUMIFS($D$2:$D$7909, $B$2:$B$7909, "Sardegna")</f>
        <v>1634822</v>
      </c>
      <c r="G6074" s="1">
        <f>Comuni__2[[#This Row],[Popolazione2011]]/Comuni__2[[#This Row],[POPOLAZIONE TOTALE DI OGNI REGIONE (CON FILTRO)]]</f>
        <v>8.2577797460518635E-4</v>
      </c>
      <c r="H6074" t="str">
        <f>IF(Comuni__2[[#This Row],[Popolazione2011]]&gt;300000,"MAGGIORE","")</f>
        <v/>
      </c>
    </row>
    <row r="6075" spans="1:8" x14ac:dyDescent="0.2">
      <c r="A6075"/>
      <c r="B6075"/>
      <c r="C6075"/>
      <c r="D6075"/>
      <c r="E6075" s="2">
        <f>Comuni__2[[#This Row],[Popolazione2011]]/$D$7911</f>
        <v>2.2651132656762288E-5</v>
      </c>
      <c r="F6075">
        <f>SUMIFS($D$2:$D$7909, $B$2:$B$7909, "Sardegna")</f>
        <v>1634822</v>
      </c>
      <c r="G6075" s="1">
        <f>Comuni__2[[#This Row],[Popolazione2011]]/Comuni__2[[#This Row],[POPOLAZIONE TOTALE DI OGNI REGIONE (CON FILTRO)]]</f>
        <v>8.2333122505080065E-4</v>
      </c>
      <c r="H6075" t="str">
        <f>IF(Comuni__2[[#This Row],[Popolazione2011]]&gt;300000,"MAGGIORE","")</f>
        <v/>
      </c>
    </row>
    <row r="6076" spans="1:8" x14ac:dyDescent="0.2">
      <c r="A6076"/>
      <c r="B6076"/>
      <c r="C6076"/>
      <c r="D6076"/>
      <c r="E6076" s="2">
        <f>Comuni__2[[#This Row],[Popolazione2011]]/$D$7911</f>
        <v>2.23650485147378E-5</v>
      </c>
      <c r="F6076">
        <f>SUMIFS($D$2:$D$7909, $B$2:$B$7909, "Sardegna")</f>
        <v>1634822</v>
      </c>
      <c r="G6076" s="1">
        <f>Comuni__2[[#This Row],[Popolazione2011]]/Comuni__2[[#This Row],[POPOLAZIONE TOTALE DI OGNI REGIONE (CON FILTRO)]]</f>
        <v>8.1293253944466129E-4</v>
      </c>
      <c r="H6076" t="str">
        <f>IF(Comuni__2[[#This Row],[Popolazione2011]]&gt;300000,"MAGGIORE","")</f>
        <v/>
      </c>
    </row>
    <row r="6077" spans="1:8" x14ac:dyDescent="0.2">
      <c r="A6077"/>
      <c r="B6077"/>
      <c r="C6077"/>
      <c r="D6077"/>
      <c r="E6077" s="2">
        <f>Comuni__2[[#This Row],[Popolazione2011]]/$D$7911</f>
        <v>2.2348220035795184E-5</v>
      </c>
      <c r="F6077">
        <f>SUMIFS($D$2:$D$7909, $B$2:$B$7909, "Sardegna")</f>
        <v>1634822</v>
      </c>
      <c r="G6077" s="1">
        <f>Comuni__2[[#This Row],[Popolazione2011]]/Comuni__2[[#This Row],[POPOLAZIONE TOTALE DI OGNI REGIONE (CON FILTRO)]]</f>
        <v>8.1232085205606487E-4</v>
      </c>
      <c r="H6077" t="str">
        <f>IF(Comuni__2[[#This Row],[Popolazione2011]]&gt;300000,"MAGGIORE","")</f>
        <v/>
      </c>
    </row>
    <row r="6078" spans="1:8" x14ac:dyDescent="0.2">
      <c r="A6078"/>
      <c r="B6078"/>
      <c r="C6078"/>
      <c r="D6078"/>
      <c r="E6078" s="2">
        <f>Comuni__2[[#This Row],[Popolazione2011]]/$D$7911</f>
        <v>2.204530741482808E-5</v>
      </c>
      <c r="F6078">
        <f>SUMIFS($D$2:$D$7909, $B$2:$B$7909, "Sardegna")</f>
        <v>1634822</v>
      </c>
      <c r="G6078" s="1">
        <f>Comuni__2[[#This Row],[Popolazione2011]]/Comuni__2[[#This Row],[POPOLAZIONE TOTALE DI OGNI REGIONE (CON FILTRO)]]</f>
        <v>8.0131047906132897E-4</v>
      </c>
      <c r="H6078" t="str">
        <f>IF(Comuni__2[[#This Row],[Popolazione2011]]&gt;300000,"MAGGIORE","")</f>
        <v/>
      </c>
    </row>
    <row r="6079" spans="1:8" x14ac:dyDescent="0.2">
      <c r="A6079"/>
      <c r="B6079"/>
      <c r="C6079"/>
      <c r="D6079"/>
      <c r="E6079" s="2">
        <f>Comuni__2[[#This Row],[Popolazione2011]]/$D$7911</f>
        <v>2.184336566751668E-5</v>
      </c>
      <c r="F6079">
        <f>SUMIFS($D$2:$D$7909, $B$2:$B$7909, "Sardegna")</f>
        <v>1634822</v>
      </c>
      <c r="G6079" s="1">
        <f>Comuni__2[[#This Row],[Popolazione2011]]/Comuni__2[[#This Row],[POPOLAZIONE TOTALE DI OGNI REGIONE (CON FILTRO)]]</f>
        <v>7.9397023039817175E-4</v>
      </c>
      <c r="H6079" t="str">
        <f>IF(Comuni__2[[#This Row],[Popolazione2011]]&gt;300000,"MAGGIORE","")</f>
        <v/>
      </c>
    </row>
    <row r="6080" spans="1:8" x14ac:dyDescent="0.2">
      <c r="A6080"/>
      <c r="B6080"/>
      <c r="C6080"/>
      <c r="D6080"/>
      <c r="E6080" s="2">
        <f>Comuni__2[[#This Row],[Popolazione2011]]/$D$7911</f>
        <v>2.1792880230688828E-5</v>
      </c>
      <c r="F6080">
        <f>SUMIFS($D$2:$D$7909, $B$2:$B$7909, "Sardegna")</f>
        <v>1634822</v>
      </c>
      <c r="G6080" s="1">
        <f>Comuni__2[[#This Row],[Popolazione2011]]/Comuni__2[[#This Row],[POPOLAZIONE TOTALE DI OGNI REGIONE (CON FILTRO)]]</f>
        <v>7.9213516823238247E-4</v>
      </c>
      <c r="H6080" t="str">
        <f>IF(Comuni__2[[#This Row],[Popolazione2011]]&gt;300000,"MAGGIORE","")</f>
        <v/>
      </c>
    </row>
    <row r="6081" spans="1:8" x14ac:dyDescent="0.2">
      <c r="A6081"/>
      <c r="B6081"/>
      <c r="C6081"/>
      <c r="D6081"/>
      <c r="E6081" s="2">
        <f>Comuni__2[[#This Row],[Popolazione2011]]/$D$7911</f>
        <v>2.1557281525492192E-5</v>
      </c>
      <c r="F6081">
        <f>SUMIFS($D$2:$D$7909, $B$2:$B$7909, "Sardegna")</f>
        <v>1634822</v>
      </c>
      <c r="G6081" s="1">
        <f>Comuni__2[[#This Row],[Popolazione2011]]/Comuni__2[[#This Row],[POPOLAZIONE TOTALE DI OGNI REGIONE (CON FILTRO)]]</f>
        <v>7.8357154479203239E-4</v>
      </c>
      <c r="H6081" t="str">
        <f>IF(Comuni__2[[#This Row],[Popolazione2011]]&gt;300000,"MAGGIORE","")</f>
        <v/>
      </c>
    </row>
    <row r="6082" spans="1:8" x14ac:dyDescent="0.2">
      <c r="A6082"/>
      <c r="B6082"/>
      <c r="C6082"/>
      <c r="D6082"/>
      <c r="E6082" s="2">
        <f>Comuni__2[[#This Row],[Popolazione2011]]/$D$7911</f>
        <v>2.1540453046549576E-5</v>
      </c>
      <c r="F6082">
        <f>SUMIFS($D$2:$D$7909, $B$2:$B$7909, "Sardegna")</f>
        <v>1634822</v>
      </c>
      <c r="G6082" s="1">
        <f>Comuni__2[[#This Row],[Popolazione2011]]/Comuni__2[[#This Row],[POPOLAZIONE TOTALE DI OGNI REGIONE (CON FILTRO)]]</f>
        <v>7.8295985740343597E-4</v>
      </c>
      <c r="H6082" t="str">
        <f>IF(Comuni__2[[#This Row],[Popolazione2011]]&gt;300000,"MAGGIORE","")</f>
        <v/>
      </c>
    </row>
    <row r="6083" spans="1:8" x14ac:dyDescent="0.2">
      <c r="A6083"/>
      <c r="B6083"/>
      <c r="C6083"/>
      <c r="D6083"/>
      <c r="E6083" s="2">
        <f>Comuni__2[[#This Row],[Popolazione2011]]/$D$7911</f>
        <v>2.150679608866434E-5</v>
      </c>
      <c r="F6083">
        <f>SUMIFS($D$2:$D$7909, $B$2:$B$7909, "Sardegna")</f>
        <v>1634822</v>
      </c>
      <c r="G6083" s="1">
        <f>Comuni__2[[#This Row],[Popolazione2011]]/Comuni__2[[#This Row],[POPOLAZIONE TOTALE DI OGNI REGIONE (CON FILTRO)]]</f>
        <v>7.8173648262624311E-4</v>
      </c>
      <c r="H6083" t="str">
        <f>IF(Comuni__2[[#This Row],[Popolazione2011]]&gt;300000,"MAGGIORE","")</f>
        <v/>
      </c>
    </row>
    <row r="6084" spans="1:8" x14ac:dyDescent="0.2">
      <c r="A6084"/>
      <c r="B6084"/>
      <c r="C6084"/>
      <c r="D6084"/>
      <c r="E6084" s="2">
        <f>Comuni__2[[#This Row],[Popolazione2011]]/$D$7911</f>
        <v>2.1489967609721724E-5</v>
      </c>
      <c r="F6084">
        <f>SUMIFS($D$2:$D$7909, $B$2:$B$7909, "Sardegna")</f>
        <v>1634822</v>
      </c>
      <c r="G6084" s="1">
        <f>Comuni__2[[#This Row],[Popolazione2011]]/Comuni__2[[#This Row],[POPOLAZIONE TOTALE DI OGNI REGIONE (CON FILTRO)]]</f>
        <v>7.8112479523764669E-4</v>
      </c>
      <c r="H6084" t="str">
        <f>IF(Comuni__2[[#This Row],[Popolazione2011]]&gt;300000,"MAGGIORE","")</f>
        <v/>
      </c>
    </row>
    <row r="6085" spans="1:8" x14ac:dyDescent="0.2">
      <c r="A6085"/>
      <c r="B6085"/>
      <c r="C6085"/>
      <c r="D6085"/>
      <c r="E6085" s="2">
        <f>Comuni__2[[#This Row],[Popolazione2011]]/$D$7911</f>
        <v>2.1388996736066024E-5</v>
      </c>
      <c r="F6085">
        <f>SUMIFS($D$2:$D$7909, $B$2:$B$7909, "Sardegna")</f>
        <v>1634822</v>
      </c>
      <c r="G6085" s="1">
        <f>Comuni__2[[#This Row],[Popolazione2011]]/Comuni__2[[#This Row],[POPOLAZIONE TOTALE DI OGNI REGIONE (CON FILTRO)]]</f>
        <v>7.7745467090606802E-4</v>
      </c>
      <c r="H6085" t="str">
        <f>IF(Comuni__2[[#This Row],[Popolazione2011]]&gt;300000,"MAGGIORE","")</f>
        <v/>
      </c>
    </row>
    <row r="6086" spans="1:8" x14ac:dyDescent="0.2">
      <c r="A6086"/>
      <c r="B6086"/>
      <c r="C6086"/>
      <c r="D6086"/>
      <c r="E6086" s="2">
        <f>Comuni__2[[#This Row],[Popolazione2011]]/$D$7911</f>
        <v>2.1237540425582472E-5</v>
      </c>
      <c r="F6086">
        <f>SUMIFS($D$2:$D$7909, $B$2:$B$7909, "Sardegna")</f>
        <v>1634822</v>
      </c>
      <c r="G6086" s="1">
        <f>Comuni__2[[#This Row],[Popolazione2011]]/Comuni__2[[#This Row],[POPOLAZIONE TOTALE DI OGNI REGIONE (CON FILTRO)]]</f>
        <v>7.7194948440870018E-4</v>
      </c>
      <c r="H6086" t="str">
        <f>IF(Comuni__2[[#This Row],[Popolazione2011]]&gt;300000,"MAGGIORE","")</f>
        <v/>
      </c>
    </row>
    <row r="6087" spans="1:8" x14ac:dyDescent="0.2">
      <c r="A6087"/>
      <c r="B6087"/>
      <c r="C6087"/>
      <c r="D6087"/>
      <c r="E6087" s="2">
        <f>Comuni__2[[#This Row],[Popolazione2011]]/$D$7911</f>
        <v>2.1119741072984153E-5</v>
      </c>
      <c r="F6087">
        <f>SUMIFS($D$2:$D$7909, $B$2:$B$7909, "Sardegna")</f>
        <v>1634822</v>
      </c>
      <c r="G6087" s="1">
        <f>Comuni__2[[#This Row],[Popolazione2011]]/Comuni__2[[#This Row],[POPOLAZIONE TOTALE DI OGNI REGIONE (CON FILTRO)]]</f>
        <v>7.6766767268852509E-4</v>
      </c>
      <c r="H6087" t="str">
        <f>IF(Comuni__2[[#This Row],[Popolazione2011]]&gt;300000,"MAGGIORE","")</f>
        <v/>
      </c>
    </row>
    <row r="6088" spans="1:8" x14ac:dyDescent="0.2">
      <c r="A6088"/>
      <c r="B6088"/>
      <c r="C6088"/>
      <c r="D6088"/>
      <c r="E6088" s="2">
        <f>Comuni__2[[#This Row],[Popolazione2011]]/$D$7911</f>
        <v>2.0446601915279481E-5</v>
      </c>
      <c r="F6088">
        <f>SUMIFS($D$2:$D$7909, $B$2:$B$7909, "Sardegna")</f>
        <v>1634822</v>
      </c>
      <c r="G6088" s="1">
        <f>Comuni__2[[#This Row],[Popolazione2011]]/Comuni__2[[#This Row],[POPOLAZIONE TOTALE DI OGNI REGIONE (CON FILTRO)]]</f>
        <v>7.4320017714466771E-4</v>
      </c>
      <c r="H6088" t="str">
        <f>IF(Comuni__2[[#This Row],[Popolazione2011]]&gt;300000,"MAGGIORE","")</f>
        <v/>
      </c>
    </row>
    <row r="6089" spans="1:8" x14ac:dyDescent="0.2">
      <c r="A6089"/>
      <c r="B6089"/>
      <c r="C6089"/>
      <c r="D6089"/>
      <c r="E6089" s="2">
        <f>Comuni__2[[#This Row],[Popolazione2011]]/$D$7911</f>
        <v>2.0362459520566397E-5</v>
      </c>
      <c r="F6089">
        <f>SUMIFS($D$2:$D$7909, $B$2:$B$7909, "Sardegna")</f>
        <v>1634822</v>
      </c>
      <c r="G6089" s="1">
        <f>Comuni__2[[#This Row],[Popolazione2011]]/Comuni__2[[#This Row],[POPOLAZIONE TOTALE DI OGNI REGIONE (CON FILTRO)]]</f>
        <v>7.4014174020168558E-4</v>
      </c>
      <c r="H6089" t="str">
        <f>IF(Comuni__2[[#This Row],[Popolazione2011]]&gt;300000,"MAGGIORE","")</f>
        <v/>
      </c>
    </row>
    <row r="6090" spans="1:8" x14ac:dyDescent="0.2">
      <c r="A6090"/>
      <c r="B6090"/>
      <c r="C6090"/>
      <c r="D6090"/>
      <c r="E6090" s="2">
        <f>Comuni__2[[#This Row],[Popolazione2011]]/$D$7911</f>
        <v>2.0076375378541909E-5</v>
      </c>
      <c r="F6090">
        <f>SUMIFS($D$2:$D$7909, $B$2:$B$7909, "Sardegna")</f>
        <v>1634822</v>
      </c>
      <c r="G6090" s="1">
        <f>Comuni__2[[#This Row],[Popolazione2011]]/Comuni__2[[#This Row],[POPOLAZIONE TOTALE DI OGNI REGIONE (CON FILTRO)]]</f>
        <v>7.2974305459554622E-4</v>
      </c>
      <c r="H6090" t="str">
        <f>IF(Comuni__2[[#This Row],[Popolazione2011]]&gt;300000,"MAGGIORE","")</f>
        <v/>
      </c>
    </row>
    <row r="6091" spans="1:8" x14ac:dyDescent="0.2">
      <c r="A6091"/>
      <c r="B6091"/>
      <c r="C6091"/>
      <c r="D6091"/>
      <c r="E6091" s="2">
        <f>Comuni__2[[#This Row],[Popolazione2011]]/$D$7911</f>
        <v>2.0042718420656677E-5</v>
      </c>
      <c r="F6091">
        <f>SUMIFS($D$2:$D$7909, $B$2:$B$7909, "Sardegna")</f>
        <v>1634822</v>
      </c>
      <c r="G6091" s="1">
        <f>Comuni__2[[#This Row],[Popolazione2011]]/Comuni__2[[#This Row],[POPOLAZIONE TOTALE DI OGNI REGIONE (CON FILTRO)]]</f>
        <v>7.2851967981835337E-4</v>
      </c>
      <c r="H6091" t="str">
        <f>IF(Comuni__2[[#This Row],[Popolazione2011]]&gt;300000,"MAGGIORE","")</f>
        <v/>
      </c>
    </row>
    <row r="6092" spans="1:8" x14ac:dyDescent="0.2">
      <c r="A6092"/>
      <c r="B6092"/>
      <c r="C6092"/>
      <c r="D6092"/>
      <c r="E6092" s="2">
        <f>Comuni__2[[#This Row],[Popolazione2011]]/$D$7911</f>
        <v>1.9823948194402657E-5</v>
      </c>
      <c r="F6092">
        <f>SUMIFS($D$2:$D$7909, $B$2:$B$7909, "Sardegna")</f>
        <v>1634822</v>
      </c>
      <c r="G6092" s="1">
        <f>Comuni__2[[#This Row],[Popolazione2011]]/Comuni__2[[#This Row],[POPOLAZIONE TOTALE DI OGNI REGIONE (CON FILTRO)]]</f>
        <v>7.2056774376659972E-4</v>
      </c>
      <c r="H6092" t="str">
        <f>IF(Comuni__2[[#This Row],[Popolazione2011]]&gt;300000,"MAGGIORE","")</f>
        <v/>
      </c>
    </row>
    <row r="6093" spans="1:8" x14ac:dyDescent="0.2">
      <c r="A6093"/>
      <c r="B6093"/>
      <c r="C6093"/>
      <c r="D6093"/>
      <c r="E6093" s="2">
        <f>Comuni__2[[#This Row],[Popolazione2011]]/$D$7911</f>
        <v>1.9722977320746953E-5</v>
      </c>
      <c r="F6093">
        <f>SUMIFS($D$2:$D$7909, $B$2:$B$7909, "Sardegna")</f>
        <v>1634822</v>
      </c>
      <c r="G6093" s="1">
        <f>Comuni__2[[#This Row],[Popolazione2011]]/Comuni__2[[#This Row],[POPOLAZIONE TOTALE DI OGNI REGIONE (CON FILTRO)]]</f>
        <v>7.1689761943502105E-4</v>
      </c>
      <c r="H6093" t="str">
        <f>IF(Comuni__2[[#This Row],[Popolazione2011]]&gt;300000,"MAGGIORE","")</f>
        <v/>
      </c>
    </row>
    <row r="6094" spans="1:8" x14ac:dyDescent="0.2">
      <c r="A6094"/>
      <c r="B6094"/>
      <c r="C6094"/>
      <c r="D6094"/>
      <c r="E6094" s="2">
        <f>Comuni__2[[#This Row],[Popolazione2011]]/$D$7911</f>
        <v>1.9706148841804337E-5</v>
      </c>
      <c r="F6094">
        <f>SUMIFS($D$2:$D$7909, $B$2:$B$7909, "Sardegna")</f>
        <v>1634822</v>
      </c>
      <c r="G6094" s="1">
        <f>Comuni__2[[#This Row],[Popolazione2011]]/Comuni__2[[#This Row],[POPOLAZIONE TOTALE DI OGNI REGIONE (CON FILTRO)]]</f>
        <v>7.1628593204642462E-4</v>
      </c>
      <c r="H6094" t="str">
        <f>IF(Comuni__2[[#This Row],[Popolazione2011]]&gt;300000,"MAGGIORE","")</f>
        <v/>
      </c>
    </row>
    <row r="6095" spans="1:8" x14ac:dyDescent="0.2">
      <c r="A6095"/>
      <c r="B6095"/>
      <c r="C6095"/>
      <c r="D6095"/>
      <c r="E6095" s="2">
        <f>Comuni__2[[#This Row],[Popolazione2011]]/$D$7911</f>
        <v>1.9487378615550317E-5</v>
      </c>
      <c r="F6095">
        <f>SUMIFS($D$2:$D$7909, $B$2:$B$7909, "Sardegna")</f>
        <v>1634822</v>
      </c>
      <c r="G6095" s="1">
        <f>Comuni__2[[#This Row],[Popolazione2011]]/Comuni__2[[#This Row],[POPOLAZIONE TOTALE DI OGNI REGIONE (CON FILTRO)]]</f>
        <v>7.0833399599467097E-4</v>
      </c>
      <c r="H6095" t="str">
        <f>IF(Comuni__2[[#This Row],[Popolazione2011]]&gt;300000,"MAGGIORE","")</f>
        <v/>
      </c>
    </row>
    <row r="6096" spans="1:8" x14ac:dyDescent="0.2">
      <c r="A6096"/>
      <c r="B6096"/>
      <c r="C6096"/>
      <c r="D6096"/>
      <c r="E6096" s="2">
        <f>Comuni__2[[#This Row],[Popolazione2011]]/$D$7911</f>
        <v>1.9487378615550317E-5</v>
      </c>
      <c r="F6096">
        <f>SUMIFS($D$2:$D$7909, $B$2:$B$7909, "Sardegna")</f>
        <v>1634822</v>
      </c>
      <c r="G6096" s="1">
        <f>Comuni__2[[#This Row],[Popolazione2011]]/Comuni__2[[#This Row],[POPOLAZIONE TOTALE DI OGNI REGIONE (CON FILTRO)]]</f>
        <v>7.0833399599467097E-4</v>
      </c>
      <c r="H6096" t="str">
        <f>IF(Comuni__2[[#This Row],[Popolazione2011]]&gt;300000,"MAGGIORE","")</f>
        <v/>
      </c>
    </row>
    <row r="6097" spans="1:8" x14ac:dyDescent="0.2">
      <c r="A6097"/>
      <c r="B6097"/>
      <c r="C6097"/>
      <c r="D6097"/>
      <c r="E6097" s="2">
        <f>Comuni__2[[#This Row],[Popolazione2011]]/$D$7911</f>
        <v>1.9167637515640597E-5</v>
      </c>
      <c r="F6097">
        <f>SUMIFS($D$2:$D$7909, $B$2:$B$7909, "Sardegna")</f>
        <v>1634822</v>
      </c>
      <c r="G6097" s="1">
        <f>Comuni__2[[#This Row],[Popolazione2011]]/Comuni__2[[#This Row],[POPOLAZIONE TOTALE DI OGNI REGIONE (CON FILTRO)]]</f>
        <v>6.9671193561133876E-4</v>
      </c>
      <c r="H6097" t="str">
        <f>IF(Comuni__2[[#This Row],[Popolazione2011]]&gt;300000,"MAGGIORE","")</f>
        <v/>
      </c>
    </row>
    <row r="6098" spans="1:8" x14ac:dyDescent="0.2">
      <c r="A6098"/>
      <c r="B6098"/>
      <c r="C6098"/>
      <c r="D6098"/>
      <c r="E6098" s="2">
        <f>Comuni__2[[#This Row],[Popolazione2011]]/$D$7911</f>
        <v>1.9100323599870133E-5</v>
      </c>
      <c r="F6098">
        <f>SUMIFS($D$2:$D$7909, $B$2:$B$7909, "Sardegna")</f>
        <v>1634822</v>
      </c>
      <c r="G6098" s="1">
        <f>Comuni__2[[#This Row],[Popolazione2011]]/Comuni__2[[#This Row],[POPOLAZIONE TOTALE DI OGNI REGIONE (CON FILTRO)]]</f>
        <v>6.9426518605695295E-4</v>
      </c>
      <c r="H6098" t="str">
        <f>IF(Comuni__2[[#This Row],[Popolazione2011]]&gt;300000,"MAGGIORE","")</f>
        <v/>
      </c>
    </row>
    <row r="6099" spans="1:8" x14ac:dyDescent="0.2">
      <c r="A6099"/>
      <c r="B6099"/>
      <c r="C6099"/>
      <c r="D6099"/>
      <c r="E6099" s="2">
        <f>Comuni__2[[#This Row],[Popolazione2011]]/$D$7911</f>
        <v>1.9016181205157045E-5</v>
      </c>
      <c r="F6099">
        <f>SUMIFS($D$2:$D$7909, $B$2:$B$7909, "Sardegna")</f>
        <v>1634822</v>
      </c>
      <c r="G6099" s="1">
        <f>Comuni__2[[#This Row],[Popolazione2011]]/Comuni__2[[#This Row],[POPOLAZIONE TOTALE DI OGNI REGIONE (CON FILTRO)]]</f>
        <v>6.9120674911397082E-4</v>
      </c>
      <c r="H6099" t="str">
        <f>IF(Comuni__2[[#This Row],[Popolazione2011]]&gt;300000,"MAGGIORE","")</f>
        <v/>
      </c>
    </row>
    <row r="6100" spans="1:8" x14ac:dyDescent="0.2">
      <c r="A6100"/>
      <c r="B6100"/>
      <c r="C6100"/>
      <c r="D6100"/>
      <c r="E6100" s="2">
        <f>Comuni__2[[#This Row],[Popolazione2011]]/$D$7911</f>
        <v>1.8999352726214429E-5</v>
      </c>
      <c r="F6100">
        <f>SUMIFS($D$2:$D$7909, $B$2:$B$7909, "Sardegna")</f>
        <v>1634822</v>
      </c>
      <c r="G6100" s="1">
        <f>Comuni__2[[#This Row],[Popolazione2011]]/Comuni__2[[#This Row],[POPOLAZIONE TOTALE DI OGNI REGIONE (CON FILTRO)]]</f>
        <v>6.9059506172537439E-4</v>
      </c>
      <c r="H6100" t="str">
        <f>IF(Comuni__2[[#This Row],[Popolazione2011]]&gt;300000,"MAGGIORE","")</f>
        <v/>
      </c>
    </row>
    <row r="6101" spans="1:8" x14ac:dyDescent="0.2">
      <c r="A6101"/>
      <c r="B6101"/>
      <c r="C6101"/>
      <c r="D6101"/>
      <c r="E6101" s="2">
        <f>Comuni__2[[#This Row],[Popolazione2011]]/$D$7911</f>
        <v>1.8965695768329197E-5</v>
      </c>
      <c r="F6101">
        <f>SUMIFS($D$2:$D$7909, $B$2:$B$7909, "Sardegna")</f>
        <v>1634822</v>
      </c>
      <c r="G6101" s="1">
        <f>Comuni__2[[#This Row],[Popolazione2011]]/Comuni__2[[#This Row],[POPOLAZIONE TOTALE DI OGNI REGIONE (CON FILTRO)]]</f>
        <v>6.8937168694818154E-4</v>
      </c>
      <c r="H6101" t="str">
        <f>IF(Comuni__2[[#This Row],[Popolazione2011]]&gt;300000,"MAGGIORE","")</f>
        <v/>
      </c>
    </row>
    <row r="6102" spans="1:8" x14ac:dyDescent="0.2">
      <c r="A6102"/>
      <c r="B6102"/>
      <c r="C6102"/>
      <c r="D6102"/>
      <c r="E6102" s="2">
        <f>Comuni__2[[#This Row],[Popolazione2011]]/$D$7911</f>
        <v>1.8948867289386581E-5</v>
      </c>
      <c r="F6102">
        <f>SUMIFS($D$2:$D$7909, $B$2:$B$7909, "Sardegna")</f>
        <v>1634822</v>
      </c>
      <c r="G6102" s="1">
        <f>Comuni__2[[#This Row],[Popolazione2011]]/Comuni__2[[#This Row],[POPOLAZIONE TOTALE DI OGNI REGIONE (CON FILTRO)]]</f>
        <v>6.8875999955958511E-4</v>
      </c>
      <c r="H6102" t="str">
        <f>IF(Comuni__2[[#This Row],[Popolazione2011]]&gt;300000,"MAGGIORE","")</f>
        <v/>
      </c>
    </row>
    <row r="6103" spans="1:8" x14ac:dyDescent="0.2">
      <c r="A6103"/>
      <c r="B6103"/>
      <c r="C6103"/>
      <c r="D6103"/>
      <c r="E6103" s="2">
        <f>Comuni__2[[#This Row],[Popolazione2011]]/$D$7911</f>
        <v>1.8645954668419477E-5</v>
      </c>
      <c r="F6103">
        <f>SUMIFS($D$2:$D$7909, $B$2:$B$7909, "Sardegna")</f>
        <v>1634822</v>
      </c>
      <c r="G6103" s="1">
        <f>Comuni__2[[#This Row],[Popolazione2011]]/Comuni__2[[#This Row],[POPOLAZIONE TOTALE DI OGNI REGIONE (CON FILTRO)]]</f>
        <v>6.7774962656484922E-4</v>
      </c>
      <c r="H6103" t="str">
        <f>IF(Comuni__2[[#This Row],[Popolazione2011]]&gt;300000,"MAGGIORE","")</f>
        <v/>
      </c>
    </row>
    <row r="6104" spans="1:8" x14ac:dyDescent="0.2">
      <c r="A6104"/>
      <c r="B6104"/>
      <c r="C6104"/>
      <c r="D6104"/>
      <c r="E6104" s="2">
        <f>Comuni__2[[#This Row],[Popolazione2011]]/$D$7911</f>
        <v>1.8629126189476858E-5</v>
      </c>
      <c r="F6104">
        <f>SUMIFS($D$2:$D$7909, $B$2:$B$7909, "Sardegna")</f>
        <v>1634822</v>
      </c>
      <c r="G6104" s="1">
        <f>Comuni__2[[#This Row],[Popolazione2011]]/Comuni__2[[#This Row],[POPOLAZIONE TOTALE DI OGNI REGIONE (CON FILTRO)]]</f>
        <v>6.7713793917625279E-4</v>
      </c>
      <c r="H6104" t="str">
        <f>IF(Comuni__2[[#This Row],[Popolazione2011]]&gt;300000,"MAGGIORE","")</f>
        <v/>
      </c>
    </row>
    <row r="6105" spans="1:8" x14ac:dyDescent="0.2">
      <c r="A6105"/>
      <c r="B6105"/>
      <c r="C6105"/>
      <c r="D6105"/>
      <c r="E6105" s="2">
        <f>Comuni__2[[#This Row],[Popolazione2011]]/$D$7911</f>
        <v>1.846084140005069E-5</v>
      </c>
      <c r="F6105">
        <f>SUMIFS($D$2:$D$7909, $B$2:$B$7909, "Sardegna")</f>
        <v>1634822</v>
      </c>
      <c r="G6105" s="1">
        <f>Comuni__2[[#This Row],[Popolazione2011]]/Comuni__2[[#This Row],[POPOLAZIONE TOTALE DI OGNI REGIONE (CON FILTRO)]]</f>
        <v>6.7102106529028853E-4</v>
      </c>
      <c r="H6105" t="str">
        <f>IF(Comuni__2[[#This Row],[Popolazione2011]]&gt;300000,"MAGGIORE","")</f>
        <v/>
      </c>
    </row>
    <row r="6106" spans="1:8" x14ac:dyDescent="0.2">
      <c r="A6106"/>
      <c r="B6106"/>
      <c r="C6106"/>
      <c r="D6106"/>
      <c r="E6106" s="2">
        <f>Comuni__2[[#This Row],[Popolazione2011]]/$D$7911</f>
        <v>1.7989643989657418E-5</v>
      </c>
      <c r="F6106">
        <f>SUMIFS($D$2:$D$7909, $B$2:$B$7909, "Sardegna")</f>
        <v>1634822</v>
      </c>
      <c r="G6106" s="1">
        <f>Comuni__2[[#This Row],[Popolazione2011]]/Comuni__2[[#This Row],[POPOLAZIONE TOTALE DI OGNI REGIONE (CON FILTRO)]]</f>
        <v>6.5389381840958837E-4</v>
      </c>
      <c r="H6106" t="str">
        <f>IF(Comuni__2[[#This Row],[Popolazione2011]]&gt;300000,"MAGGIORE","")</f>
        <v/>
      </c>
    </row>
    <row r="6107" spans="1:8" x14ac:dyDescent="0.2">
      <c r="A6107"/>
      <c r="B6107"/>
      <c r="C6107"/>
      <c r="D6107"/>
      <c r="E6107" s="2">
        <f>Comuni__2[[#This Row],[Popolazione2011]]/$D$7911</f>
        <v>1.7871844637059101E-5</v>
      </c>
      <c r="F6107">
        <f>SUMIFS($D$2:$D$7909, $B$2:$B$7909, "Sardegna")</f>
        <v>1634822</v>
      </c>
      <c r="G6107" s="1">
        <f>Comuni__2[[#This Row],[Popolazione2011]]/Comuni__2[[#This Row],[POPOLAZIONE TOTALE DI OGNI REGIONE (CON FILTRO)]]</f>
        <v>6.4961200668941328E-4</v>
      </c>
      <c r="H6107" t="str">
        <f>IF(Comuni__2[[#This Row],[Popolazione2011]]&gt;300000,"MAGGIORE","")</f>
        <v/>
      </c>
    </row>
    <row r="6108" spans="1:8" x14ac:dyDescent="0.2">
      <c r="A6108"/>
      <c r="B6108"/>
      <c r="C6108"/>
      <c r="D6108"/>
      <c r="E6108" s="2">
        <f>Comuni__2[[#This Row],[Popolazione2011]]/$D$7911</f>
        <v>1.7669902889747698E-5</v>
      </c>
      <c r="F6108">
        <f>SUMIFS($D$2:$D$7909, $B$2:$B$7909, "Sardegna")</f>
        <v>1634822</v>
      </c>
      <c r="G6108" s="1">
        <f>Comuni__2[[#This Row],[Popolazione2011]]/Comuni__2[[#This Row],[POPOLAZIONE TOTALE DI OGNI REGIONE (CON FILTRO)]]</f>
        <v>6.4227175802625605E-4</v>
      </c>
      <c r="H6108" t="str">
        <f>IF(Comuni__2[[#This Row],[Popolazione2011]]&gt;300000,"MAGGIORE","")</f>
        <v/>
      </c>
    </row>
    <row r="6109" spans="1:8" x14ac:dyDescent="0.2">
      <c r="A6109"/>
      <c r="B6109"/>
      <c r="C6109"/>
      <c r="D6109"/>
      <c r="E6109" s="2">
        <f>Comuni__2[[#This Row],[Popolazione2011]]/$D$7911</f>
        <v>1.760258897397723E-5</v>
      </c>
      <c r="F6109">
        <f>SUMIFS($D$2:$D$7909, $B$2:$B$7909, "Sardegna")</f>
        <v>1634822</v>
      </c>
      <c r="G6109" s="1">
        <f>Comuni__2[[#This Row],[Popolazione2011]]/Comuni__2[[#This Row],[POPOLAZIONE TOTALE DI OGNI REGIONE (CON FILTRO)]]</f>
        <v>6.3982500847187035E-4</v>
      </c>
      <c r="H6109" t="str">
        <f>IF(Comuni__2[[#This Row],[Popolazione2011]]&gt;300000,"MAGGIORE","")</f>
        <v/>
      </c>
    </row>
    <row r="6110" spans="1:8" x14ac:dyDescent="0.2">
      <c r="A6110"/>
      <c r="B6110"/>
      <c r="C6110"/>
      <c r="D6110"/>
      <c r="E6110" s="2">
        <f>Comuni__2[[#This Row],[Popolazione2011]]/$D$7911</f>
        <v>1.718187700041181E-5</v>
      </c>
      <c r="F6110">
        <f>SUMIFS($D$2:$D$7909, $B$2:$B$7909, "Sardegna")</f>
        <v>1634822</v>
      </c>
      <c r="G6110" s="1">
        <f>Comuni__2[[#This Row],[Popolazione2011]]/Comuni__2[[#This Row],[POPOLAZIONE TOTALE DI OGNI REGIONE (CON FILTRO)]]</f>
        <v>6.2453282375695947E-4</v>
      </c>
      <c r="H6110" t="str">
        <f>IF(Comuni__2[[#This Row],[Popolazione2011]]&gt;300000,"MAGGIORE","")</f>
        <v/>
      </c>
    </row>
    <row r="6111" spans="1:8" x14ac:dyDescent="0.2">
      <c r="A6111"/>
      <c r="B6111"/>
      <c r="C6111"/>
      <c r="D6111"/>
      <c r="E6111" s="2">
        <f>Comuni__2[[#This Row],[Popolazione2011]]/$D$7911</f>
        <v>1.6794821984731622E-5</v>
      </c>
      <c r="F6111">
        <f>SUMIFS($D$2:$D$7909, $B$2:$B$7909, "Sardegna")</f>
        <v>1634822</v>
      </c>
      <c r="G6111" s="1">
        <f>Comuni__2[[#This Row],[Popolazione2011]]/Comuni__2[[#This Row],[POPOLAZIONE TOTALE DI OGNI REGIONE (CON FILTRO)]]</f>
        <v>6.1046401381924145E-4</v>
      </c>
      <c r="H6111" t="str">
        <f>IF(Comuni__2[[#This Row],[Popolazione2011]]&gt;300000,"MAGGIORE","")</f>
        <v/>
      </c>
    </row>
    <row r="6112" spans="1:8" x14ac:dyDescent="0.2">
      <c r="A6112"/>
      <c r="B6112"/>
      <c r="C6112"/>
      <c r="D6112"/>
      <c r="E6112" s="2">
        <f>Comuni__2[[#This Row],[Popolazione2011]]/$D$7911</f>
        <v>1.6777993505789006E-5</v>
      </c>
      <c r="F6112">
        <f>SUMIFS($D$2:$D$7909, $B$2:$B$7909, "Sardegna")</f>
        <v>1634822</v>
      </c>
      <c r="G6112" s="1">
        <f>Comuni__2[[#This Row],[Popolazione2011]]/Comuni__2[[#This Row],[POPOLAZIONE TOTALE DI OGNI REGIONE (CON FILTRO)]]</f>
        <v>6.0985232643064502E-4</v>
      </c>
      <c r="H6112" t="str">
        <f>IF(Comuni__2[[#This Row],[Popolazione2011]]&gt;300000,"MAGGIORE","")</f>
        <v/>
      </c>
    </row>
    <row r="6113" spans="1:8" x14ac:dyDescent="0.2">
      <c r="A6113"/>
      <c r="B6113"/>
      <c r="C6113"/>
      <c r="D6113"/>
      <c r="E6113" s="2">
        <f>Comuni__2[[#This Row],[Popolazione2011]]/$D$7911</f>
        <v>1.632362457433835E-5</v>
      </c>
      <c r="F6113">
        <f>SUMIFS($D$2:$D$7909, $B$2:$B$7909, "Sardegna")</f>
        <v>1634822</v>
      </c>
      <c r="G6113" s="1">
        <f>Comuni__2[[#This Row],[Popolazione2011]]/Comuni__2[[#This Row],[POPOLAZIONE TOTALE DI OGNI REGIONE (CON FILTRO)]]</f>
        <v>5.9333676693854129E-4</v>
      </c>
      <c r="H6113" t="str">
        <f>IF(Comuni__2[[#This Row],[Popolazione2011]]&gt;300000,"MAGGIORE","")</f>
        <v/>
      </c>
    </row>
    <row r="6114" spans="1:8" x14ac:dyDescent="0.2">
      <c r="A6114"/>
      <c r="B6114"/>
      <c r="C6114"/>
      <c r="D6114"/>
      <c r="E6114" s="2">
        <f>Comuni__2[[#This Row],[Popolazione2011]]/$D$7911</f>
        <v>1.6037540432313862E-5</v>
      </c>
      <c r="F6114">
        <f>SUMIFS($D$2:$D$7909, $B$2:$B$7909, "Sardegna")</f>
        <v>1634822</v>
      </c>
      <c r="G6114" s="1">
        <f>Comuni__2[[#This Row],[Popolazione2011]]/Comuni__2[[#This Row],[POPOLAZIONE TOTALE DI OGNI REGIONE (CON FILTRO)]]</f>
        <v>5.8293808133240194E-4</v>
      </c>
      <c r="H6114" t="str">
        <f>IF(Comuni__2[[#This Row],[Popolazione2011]]&gt;300000,"MAGGIORE","")</f>
        <v/>
      </c>
    </row>
    <row r="6115" spans="1:8" x14ac:dyDescent="0.2">
      <c r="A6115"/>
      <c r="B6115"/>
      <c r="C6115"/>
      <c r="D6115"/>
      <c r="E6115" s="2">
        <f>Comuni__2[[#This Row],[Popolazione2011]]/$D$7911</f>
        <v>1.5919741079715546E-5</v>
      </c>
      <c r="F6115">
        <f>SUMIFS($D$2:$D$7909, $B$2:$B$7909, "Sardegna")</f>
        <v>1634822</v>
      </c>
      <c r="G6115" s="1">
        <f>Comuni__2[[#This Row],[Popolazione2011]]/Comuni__2[[#This Row],[POPOLAZIONE TOTALE DI OGNI REGIONE (CON FILTRO)]]</f>
        <v>5.7865626961222695E-4</v>
      </c>
      <c r="H6115" t="str">
        <f>IF(Comuni__2[[#This Row],[Popolazione2011]]&gt;300000,"MAGGIORE","")</f>
        <v/>
      </c>
    </row>
    <row r="6116" spans="1:8" x14ac:dyDescent="0.2">
      <c r="A6116"/>
      <c r="B6116"/>
      <c r="C6116"/>
      <c r="D6116"/>
      <c r="E6116" s="2">
        <f>Comuni__2[[#This Row],[Popolazione2011]]/$D$7911</f>
        <v>1.590291260077293E-5</v>
      </c>
      <c r="F6116">
        <f>SUMIFS($D$2:$D$7909, $B$2:$B$7909, "Sardegna")</f>
        <v>1634822</v>
      </c>
      <c r="G6116" s="1">
        <f>Comuni__2[[#This Row],[Popolazione2011]]/Comuni__2[[#This Row],[POPOLAZIONE TOTALE DI OGNI REGIONE (CON FILTRO)]]</f>
        <v>5.7804458222363042E-4</v>
      </c>
      <c r="H6116" t="str">
        <f>IF(Comuni__2[[#This Row],[Popolazione2011]]&gt;300000,"MAGGIORE","")</f>
        <v/>
      </c>
    </row>
    <row r="6117" spans="1:8" x14ac:dyDescent="0.2">
      <c r="A6117"/>
      <c r="B6117"/>
      <c r="C6117"/>
      <c r="D6117"/>
      <c r="E6117" s="2">
        <f>Comuni__2[[#This Row],[Popolazione2011]]/$D$7911</f>
        <v>1.5886084121830311E-5</v>
      </c>
      <c r="F6117">
        <f>SUMIFS($D$2:$D$7909, $B$2:$B$7909, "Sardegna")</f>
        <v>1634822</v>
      </c>
      <c r="G6117" s="1">
        <f>Comuni__2[[#This Row],[Popolazione2011]]/Comuni__2[[#This Row],[POPOLAZIONE TOTALE DI OGNI REGIONE (CON FILTRO)]]</f>
        <v>5.7743289483503399E-4</v>
      </c>
      <c r="H6117" t="str">
        <f>IF(Comuni__2[[#This Row],[Popolazione2011]]&gt;300000,"MAGGIORE","")</f>
        <v/>
      </c>
    </row>
    <row r="6118" spans="1:8" x14ac:dyDescent="0.2">
      <c r="A6118"/>
      <c r="B6118"/>
      <c r="C6118"/>
      <c r="D6118"/>
      <c r="E6118" s="2">
        <f>Comuni__2[[#This Row],[Popolazione2011]]/$D$7911</f>
        <v>1.5869255642887694E-5</v>
      </c>
      <c r="F6118">
        <f>SUMIFS($D$2:$D$7909, $B$2:$B$7909, "Sardegna")</f>
        <v>1634822</v>
      </c>
      <c r="G6118" s="1">
        <f>Comuni__2[[#This Row],[Popolazione2011]]/Comuni__2[[#This Row],[POPOLAZIONE TOTALE DI OGNI REGIONE (CON FILTRO)]]</f>
        <v>5.7682120744643756E-4</v>
      </c>
      <c r="H6118" t="str">
        <f>IF(Comuni__2[[#This Row],[Popolazione2011]]&gt;300000,"MAGGIORE","")</f>
        <v/>
      </c>
    </row>
    <row r="6119" spans="1:8" x14ac:dyDescent="0.2">
      <c r="A6119"/>
      <c r="B6119"/>
      <c r="C6119"/>
      <c r="D6119"/>
      <c r="E6119" s="2">
        <f>Comuni__2[[#This Row],[Popolazione2011]]/$D$7911</f>
        <v>1.5852427163945078E-5</v>
      </c>
      <c r="F6119">
        <f>SUMIFS($D$2:$D$7909, $B$2:$B$7909, "Sardegna")</f>
        <v>1634822</v>
      </c>
      <c r="G6119" s="1">
        <f>Comuni__2[[#This Row],[Popolazione2011]]/Comuni__2[[#This Row],[POPOLAZIONE TOTALE DI OGNI REGIONE (CON FILTRO)]]</f>
        <v>5.7620952005784114E-4</v>
      </c>
      <c r="H6119" t="str">
        <f>IF(Comuni__2[[#This Row],[Popolazione2011]]&gt;300000,"MAGGIORE","")</f>
        <v/>
      </c>
    </row>
    <row r="6120" spans="1:8" x14ac:dyDescent="0.2">
      <c r="A6120"/>
      <c r="B6120"/>
      <c r="C6120"/>
      <c r="D6120"/>
      <c r="E6120" s="2">
        <f>Comuni__2[[#This Row],[Popolazione2011]]/$D$7911</f>
        <v>1.5801941727117227E-5</v>
      </c>
      <c r="F6120">
        <f>SUMIFS($D$2:$D$7909, $B$2:$B$7909, "Sardegna")</f>
        <v>1634822</v>
      </c>
      <c r="G6120" s="1">
        <f>Comuni__2[[#This Row],[Popolazione2011]]/Comuni__2[[#This Row],[POPOLAZIONE TOTALE DI OGNI REGIONE (CON FILTRO)]]</f>
        <v>5.7437445789205186E-4</v>
      </c>
      <c r="H6120" t="str">
        <f>IF(Comuni__2[[#This Row],[Popolazione2011]]&gt;300000,"MAGGIORE","")</f>
        <v/>
      </c>
    </row>
    <row r="6121" spans="1:8" x14ac:dyDescent="0.2">
      <c r="A6121"/>
      <c r="B6121"/>
      <c r="C6121"/>
      <c r="D6121"/>
      <c r="E6121" s="2">
        <f>Comuni__2[[#This Row],[Popolazione2011]]/$D$7911</f>
        <v>1.5700970853461526E-5</v>
      </c>
      <c r="F6121">
        <f>SUMIFS($D$2:$D$7909, $B$2:$B$7909, "Sardegna")</f>
        <v>1634822</v>
      </c>
      <c r="G6121" s="1">
        <f>Comuni__2[[#This Row],[Popolazione2011]]/Comuni__2[[#This Row],[POPOLAZIONE TOTALE DI OGNI REGIONE (CON FILTRO)]]</f>
        <v>5.707043335604733E-4</v>
      </c>
      <c r="H6121" t="str">
        <f>IF(Comuni__2[[#This Row],[Popolazione2011]]&gt;300000,"MAGGIORE","")</f>
        <v/>
      </c>
    </row>
    <row r="6122" spans="1:8" x14ac:dyDescent="0.2">
      <c r="A6122"/>
      <c r="B6122"/>
      <c r="C6122"/>
      <c r="D6122"/>
      <c r="E6122" s="2">
        <f>Comuni__2[[#This Row],[Popolazione2011]]/$D$7911</f>
        <v>1.5566343021920591E-5</v>
      </c>
      <c r="F6122">
        <f>SUMIFS($D$2:$D$7909, $B$2:$B$7909, "Sardegna")</f>
        <v>1634822</v>
      </c>
      <c r="G6122" s="1">
        <f>Comuni__2[[#This Row],[Popolazione2011]]/Comuni__2[[#This Row],[POPOLAZIONE TOTALE DI OGNI REGIONE (CON FILTRO)]]</f>
        <v>5.6581083445170178E-4</v>
      </c>
      <c r="H6122" t="str">
        <f>IF(Comuni__2[[#This Row],[Popolazione2011]]&gt;300000,"MAGGIORE","")</f>
        <v/>
      </c>
    </row>
    <row r="6123" spans="1:8" x14ac:dyDescent="0.2">
      <c r="A6123"/>
      <c r="B6123"/>
      <c r="C6123"/>
      <c r="D6123"/>
      <c r="E6123" s="2">
        <f>Comuni__2[[#This Row],[Popolazione2011]]/$D$7911</f>
        <v>1.5448543669322274E-5</v>
      </c>
      <c r="F6123">
        <f>SUMIFS($D$2:$D$7909, $B$2:$B$7909, "Sardegna")</f>
        <v>1634822</v>
      </c>
      <c r="G6123" s="1">
        <f>Comuni__2[[#This Row],[Popolazione2011]]/Comuni__2[[#This Row],[POPOLAZIONE TOTALE DI OGNI REGIONE (CON FILTRO)]]</f>
        <v>5.6152902273152669E-4</v>
      </c>
      <c r="H6123" t="str">
        <f>IF(Comuni__2[[#This Row],[Popolazione2011]]&gt;300000,"MAGGIORE","")</f>
        <v/>
      </c>
    </row>
    <row r="6124" spans="1:8" x14ac:dyDescent="0.2">
      <c r="A6124"/>
      <c r="B6124"/>
      <c r="C6124"/>
      <c r="D6124"/>
      <c r="E6124" s="2">
        <f>Comuni__2[[#This Row],[Popolazione2011]]/$D$7911</f>
        <v>1.5347572795666571E-5</v>
      </c>
      <c r="F6124">
        <f>SUMIFS($D$2:$D$7909, $B$2:$B$7909, "Sardegna")</f>
        <v>1634822</v>
      </c>
      <c r="G6124" s="1">
        <f>Comuni__2[[#This Row],[Popolazione2011]]/Comuni__2[[#This Row],[POPOLAZIONE TOTALE DI OGNI REGIONE (CON FILTRO)]]</f>
        <v>5.5785889839994813E-4</v>
      </c>
      <c r="H6124" t="str">
        <f>IF(Comuni__2[[#This Row],[Popolazione2011]]&gt;300000,"MAGGIORE","")</f>
        <v/>
      </c>
    </row>
    <row r="6125" spans="1:8" x14ac:dyDescent="0.2">
      <c r="A6125"/>
      <c r="B6125"/>
      <c r="C6125"/>
      <c r="D6125"/>
      <c r="E6125" s="2">
        <f>Comuni__2[[#This Row],[Popolazione2011]]/$D$7911</f>
        <v>1.5196116485183021E-5</v>
      </c>
      <c r="F6125">
        <f>SUMIFS($D$2:$D$7909, $B$2:$B$7909, "Sardegna")</f>
        <v>1634822</v>
      </c>
      <c r="G6125" s="1">
        <f>Comuni__2[[#This Row],[Popolazione2011]]/Comuni__2[[#This Row],[POPOLAZIONE TOTALE DI OGNI REGIONE (CON FILTRO)]]</f>
        <v>5.5235371190258018E-4</v>
      </c>
      <c r="H6125" t="str">
        <f>IF(Comuni__2[[#This Row],[Popolazione2011]]&gt;300000,"MAGGIORE","")</f>
        <v/>
      </c>
    </row>
    <row r="6126" spans="1:8" x14ac:dyDescent="0.2">
      <c r="A6126"/>
      <c r="B6126"/>
      <c r="C6126"/>
      <c r="D6126"/>
      <c r="E6126" s="2">
        <f>Comuni__2[[#This Row],[Popolazione2011]]/$D$7911</f>
        <v>1.5145631048355171E-5</v>
      </c>
      <c r="F6126">
        <f>SUMIFS($D$2:$D$7909, $B$2:$B$7909, "Sardegna")</f>
        <v>1634822</v>
      </c>
      <c r="G6126" s="1">
        <f>Comuni__2[[#This Row],[Popolazione2011]]/Comuni__2[[#This Row],[POPOLAZIONE TOTALE DI OGNI REGIONE (CON FILTRO)]]</f>
        <v>5.505186497367909E-4</v>
      </c>
      <c r="H6126" t="str">
        <f>IF(Comuni__2[[#This Row],[Popolazione2011]]&gt;300000,"MAGGIORE","")</f>
        <v/>
      </c>
    </row>
    <row r="6127" spans="1:8" x14ac:dyDescent="0.2">
      <c r="A6127"/>
      <c r="B6127"/>
      <c r="C6127"/>
      <c r="D6127"/>
      <c r="E6127" s="2">
        <f>Comuni__2[[#This Row],[Popolazione2011]]/$D$7911</f>
        <v>1.509514561152732E-5</v>
      </c>
      <c r="F6127">
        <f>SUMIFS($D$2:$D$7909, $B$2:$B$7909, "Sardegna")</f>
        <v>1634822</v>
      </c>
      <c r="G6127" s="1">
        <f>Comuni__2[[#This Row],[Popolazione2011]]/Comuni__2[[#This Row],[POPOLAZIONE TOTALE DI OGNI REGIONE (CON FILTRO)]]</f>
        <v>5.4868358757100162E-4</v>
      </c>
      <c r="H6127" t="str">
        <f>IF(Comuni__2[[#This Row],[Popolazione2011]]&gt;300000,"MAGGIORE","")</f>
        <v/>
      </c>
    </row>
    <row r="6128" spans="1:8" x14ac:dyDescent="0.2">
      <c r="A6128"/>
      <c r="B6128"/>
      <c r="C6128"/>
      <c r="D6128"/>
      <c r="E6128" s="2">
        <f>Comuni__2[[#This Row],[Popolazione2011]]/$D$7911</f>
        <v>1.4910032343158535E-5</v>
      </c>
      <c r="F6128">
        <f>SUMIFS($D$2:$D$7909, $B$2:$B$7909, "Sardegna")</f>
        <v>1634822</v>
      </c>
      <c r="G6128" s="1">
        <f>Comuni__2[[#This Row],[Popolazione2011]]/Comuni__2[[#This Row],[POPOLAZIONE TOTALE DI OGNI REGIONE (CON FILTRO)]]</f>
        <v>5.4195502629644083E-4</v>
      </c>
      <c r="H6128" t="str">
        <f>IF(Comuni__2[[#This Row],[Popolazione2011]]&gt;300000,"MAGGIORE","")</f>
        <v/>
      </c>
    </row>
    <row r="6129" spans="1:8" x14ac:dyDescent="0.2">
      <c r="A6129"/>
      <c r="B6129"/>
      <c r="C6129"/>
      <c r="D6129"/>
      <c r="E6129" s="2">
        <f>Comuni__2[[#This Row],[Popolazione2011]]/$D$7911</f>
        <v>1.4910032343158535E-5</v>
      </c>
      <c r="F6129">
        <f>SUMIFS($D$2:$D$7909, $B$2:$B$7909, "Sardegna")</f>
        <v>1634822</v>
      </c>
      <c r="G6129" s="1">
        <f>Comuni__2[[#This Row],[Popolazione2011]]/Comuni__2[[#This Row],[POPOLAZIONE TOTALE DI OGNI REGIONE (CON FILTRO)]]</f>
        <v>5.4195502629644083E-4</v>
      </c>
      <c r="H6129" t="str">
        <f>IF(Comuni__2[[#This Row],[Popolazione2011]]&gt;300000,"MAGGIORE","")</f>
        <v/>
      </c>
    </row>
    <row r="6130" spans="1:8" x14ac:dyDescent="0.2">
      <c r="A6130"/>
      <c r="B6130"/>
      <c r="C6130"/>
      <c r="D6130"/>
      <c r="E6130" s="2">
        <f>Comuni__2[[#This Row],[Popolazione2011]]/$D$7911</f>
        <v>1.4893203864215917E-5</v>
      </c>
      <c r="F6130">
        <f>SUMIFS($D$2:$D$7909, $B$2:$B$7909, "Sardegna")</f>
        <v>1634822</v>
      </c>
      <c r="G6130" s="1">
        <f>Comuni__2[[#This Row],[Popolazione2011]]/Comuni__2[[#This Row],[POPOLAZIONE TOTALE DI OGNI REGIONE (CON FILTRO)]]</f>
        <v>5.413433389078444E-4</v>
      </c>
      <c r="H6130" t="str">
        <f>IF(Comuni__2[[#This Row],[Popolazione2011]]&gt;300000,"MAGGIORE","")</f>
        <v/>
      </c>
    </row>
    <row r="6131" spans="1:8" x14ac:dyDescent="0.2">
      <c r="A6131"/>
      <c r="B6131"/>
      <c r="C6131"/>
      <c r="D6131"/>
      <c r="E6131" s="2">
        <f>Comuni__2[[#This Row],[Popolazione2011]]/$D$7911</f>
        <v>1.4893203864215917E-5</v>
      </c>
      <c r="F6131">
        <f>SUMIFS($D$2:$D$7909, $B$2:$B$7909, "Sardegna")</f>
        <v>1634822</v>
      </c>
      <c r="G6131" s="1">
        <f>Comuni__2[[#This Row],[Popolazione2011]]/Comuni__2[[#This Row],[POPOLAZIONE TOTALE DI OGNI REGIONE (CON FILTRO)]]</f>
        <v>5.413433389078444E-4</v>
      </c>
      <c r="H6131" t="str">
        <f>IF(Comuni__2[[#This Row],[Popolazione2011]]&gt;300000,"MAGGIORE","")</f>
        <v/>
      </c>
    </row>
    <row r="6132" spans="1:8" x14ac:dyDescent="0.2">
      <c r="A6132"/>
      <c r="B6132"/>
      <c r="C6132"/>
      <c r="D6132"/>
      <c r="E6132" s="2">
        <f>Comuni__2[[#This Row],[Popolazione2011]]/$D$7911</f>
        <v>1.4758576032674983E-5</v>
      </c>
      <c r="F6132">
        <f>SUMIFS($D$2:$D$7909, $B$2:$B$7909, "Sardegna")</f>
        <v>1634822</v>
      </c>
      <c r="G6132" s="1">
        <f>Comuni__2[[#This Row],[Popolazione2011]]/Comuni__2[[#This Row],[POPOLAZIONE TOTALE DI OGNI REGIONE (CON FILTRO)]]</f>
        <v>5.3644983979907288E-4</v>
      </c>
      <c r="H6132" t="str">
        <f>IF(Comuni__2[[#This Row],[Popolazione2011]]&gt;300000,"MAGGIORE","")</f>
        <v/>
      </c>
    </row>
    <row r="6133" spans="1:8" x14ac:dyDescent="0.2">
      <c r="A6133"/>
      <c r="B6133"/>
      <c r="C6133"/>
      <c r="D6133"/>
      <c r="E6133" s="2">
        <f>Comuni__2[[#This Row],[Popolazione2011]]/$D$7911</f>
        <v>1.4741747553732365E-5</v>
      </c>
      <c r="F6133">
        <f>SUMIFS($D$2:$D$7909, $B$2:$B$7909, "Sardegna")</f>
        <v>1634822</v>
      </c>
      <c r="G6133" s="1">
        <f>Comuni__2[[#This Row],[Popolazione2011]]/Comuni__2[[#This Row],[POPOLAZIONE TOTALE DI OGNI REGIONE (CON FILTRO)]]</f>
        <v>5.3583815241047645E-4</v>
      </c>
      <c r="H6133" t="str">
        <f>IF(Comuni__2[[#This Row],[Popolazione2011]]&gt;300000,"MAGGIORE","")</f>
        <v/>
      </c>
    </row>
    <row r="6134" spans="1:8" x14ac:dyDescent="0.2">
      <c r="A6134"/>
      <c r="B6134"/>
      <c r="C6134"/>
      <c r="D6134"/>
      <c r="E6134" s="2">
        <f>Comuni__2[[#This Row],[Popolazione2011]]/$D$7911</f>
        <v>1.4708090595847133E-5</v>
      </c>
      <c r="F6134">
        <f>SUMIFS($D$2:$D$7909, $B$2:$B$7909, "Sardegna")</f>
        <v>1634822</v>
      </c>
      <c r="G6134" s="1">
        <f>Comuni__2[[#This Row],[Popolazione2011]]/Comuni__2[[#This Row],[POPOLAZIONE TOTALE DI OGNI REGIONE (CON FILTRO)]]</f>
        <v>5.346147776332836E-4</v>
      </c>
      <c r="H6134" t="str">
        <f>IF(Comuni__2[[#This Row],[Popolazione2011]]&gt;300000,"MAGGIORE","")</f>
        <v/>
      </c>
    </row>
    <row r="6135" spans="1:8" x14ac:dyDescent="0.2">
      <c r="A6135"/>
      <c r="B6135"/>
      <c r="C6135"/>
      <c r="D6135"/>
      <c r="E6135" s="2">
        <f>Comuni__2[[#This Row],[Popolazione2011]]/$D$7911</f>
        <v>1.4674433637961899E-5</v>
      </c>
      <c r="F6135">
        <f>SUMIFS($D$2:$D$7909, $B$2:$B$7909, "Sardegna")</f>
        <v>1634822</v>
      </c>
      <c r="G6135" s="1">
        <f>Comuni__2[[#This Row],[Popolazione2011]]/Comuni__2[[#This Row],[POPOLAZIONE TOTALE DI OGNI REGIONE (CON FILTRO)]]</f>
        <v>5.3339140285609075E-4</v>
      </c>
      <c r="H6135" t="str">
        <f>IF(Comuni__2[[#This Row],[Popolazione2011]]&gt;300000,"MAGGIORE","")</f>
        <v/>
      </c>
    </row>
    <row r="6136" spans="1:8" x14ac:dyDescent="0.2">
      <c r="A6136"/>
      <c r="B6136"/>
      <c r="C6136"/>
      <c r="D6136"/>
      <c r="E6136" s="2">
        <f>Comuni__2[[#This Row],[Popolazione2011]]/$D$7911</f>
        <v>1.4371521016994795E-5</v>
      </c>
      <c r="F6136">
        <f>SUMIFS($D$2:$D$7909, $B$2:$B$7909, "Sardegna")</f>
        <v>1634822</v>
      </c>
      <c r="G6136" s="1">
        <f>Comuni__2[[#This Row],[Popolazione2011]]/Comuni__2[[#This Row],[POPOLAZIONE TOTALE DI OGNI REGIONE (CON FILTRO)]]</f>
        <v>5.2238102986135496E-4</v>
      </c>
      <c r="H6136" t="str">
        <f>IF(Comuni__2[[#This Row],[Popolazione2011]]&gt;300000,"MAGGIORE","")</f>
        <v/>
      </c>
    </row>
    <row r="6137" spans="1:8" x14ac:dyDescent="0.2">
      <c r="A6137"/>
      <c r="B6137"/>
      <c r="C6137"/>
      <c r="D6137"/>
      <c r="E6137" s="2">
        <f>Comuni__2[[#This Row],[Popolazione2011]]/$D$7911</f>
        <v>1.4236893185453861E-5</v>
      </c>
      <c r="F6137">
        <f>SUMIFS($D$2:$D$7909, $B$2:$B$7909, "Sardegna")</f>
        <v>1634822</v>
      </c>
      <c r="G6137" s="1">
        <f>Comuni__2[[#This Row],[Popolazione2011]]/Comuni__2[[#This Row],[POPOLAZIONE TOTALE DI OGNI REGIONE (CON FILTRO)]]</f>
        <v>5.1748753075258344E-4</v>
      </c>
      <c r="H6137" t="str">
        <f>IF(Comuni__2[[#This Row],[Popolazione2011]]&gt;300000,"MAGGIORE","")</f>
        <v/>
      </c>
    </row>
    <row r="6138" spans="1:8" x14ac:dyDescent="0.2">
      <c r="A6138"/>
      <c r="B6138"/>
      <c r="C6138"/>
      <c r="D6138"/>
      <c r="E6138" s="2">
        <f>Comuni__2[[#This Row],[Popolazione2011]]/$D$7911</f>
        <v>1.4085436874970309E-5</v>
      </c>
      <c r="F6138">
        <f>SUMIFS($D$2:$D$7909, $B$2:$B$7909, "Sardegna")</f>
        <v>1634822</v>
      </c>
      <c r="G6138" s="1">
        <f>Comuni__2[[#This Row],[Popolazione2011]]/Comuni__2[[#This Row],[POPOLAZIONE TOTALE DI OGNI REGIONE (CON FILTRO)]]</f>
        <v>5.119823442552155E-4</v>
      </c>
      <c r="H6138" t="str">
        <f>IF(Comuni__2[[#This Row],[Popolazione2011]]&gt;300000,"MAGGIORE","")</f>
        <v/>
      </c>
    </row>
    <row r="6139" spans="1:8" x14ac:dyDescent="0.2">
      <c r="A6139"/>
      <c r="B6139"/>
      <c r="C6139"/>
      <c r="D6139"/>
      <c r="E6139" s="2">
        <f>Comuni__2[[#This Row],[Popolazione2011]]/$D$7911</f>
        <v>1.3866666648716289E-5</v>
      </c>
      <c r="F6139">
        <f>SUMIFS($D$2:$D$7909, $B$2:$B$7909, "Sardegna")</f>
        <v>1634822</v>
      </c>
      <c r="G6139" s="1">
        <f>Comuni__2[[#This Row],[Popolazione2011]]/Comuni__2[[#This Row],[POPOLAZIONE TOTALE DI OGNI REGIONE (CON FILTRO)]]</f>
        <v>5.0403040820346196E-4</v>
      </c>
      <c r="H6139" t="str">
        <f>IF(Comuni__2[[#This Row],[Popolazione2011]]&gt;300000,"MAGGIORE","")</f>
        <v/>
      </c>
    </row>
    <row r="6140" spans="1:8" x14ac:dyDescent="0.2">
      <c r="A6140"/>
      <c r="B6140"/>
      <c r="C6140"/>
      <c r="D6140"/>
      <c r="E6140" s="2">
        <f>Comuni__2[[#This Row],[Popolazione2011]]/$D$7911</f>
        <v>1.3647896422462269E-5</v>
      </c>
      <c r="F6140">
        <f>SUMIFS($D$2:$D$7909, $B$2:$B$7909, "Sardegna")</f>
        <v>1634822</v>
      </c>
      <c r="G6140" s="1">
        <f>Comuni__2[[#This Row],[Popolazione2011]]/Comuni__2[[#This Row],[POPOLAZIONE TOTALE DI OGNI REGIONE (CON FILTRO)]]</f>
        <v>4.960784721517083E-4</v>
      </c>
      <c r="H6140" t="str">
        <f>IF(Comuni__2[[#This Row],[Popolazione2011]]&gt;300000,"MAGGIORE","")</f>
        <v/>
      </c>
    </row>
    <row r="6141" spans="1:8" x14ac:dyDescent="0.2">
      <c r="A6141"/>
      <c r="B6141"/>
      <c r="C6141"/>
      <c r="D6141"/>
      <c r="E6141" s="2">
        <f>Comuni__2[[#This Row],[Popolazione2011]]/$D$7911</f>
        <v>1.3462783154093485E-5</v>
      </c>
      <c r="F6141">
        <f>SUMIFS($D$2:$D$7909, $B$2:$B$7909, "Sardegna")</f>
        <v>1634822</v>
      </c>
      <c r="G6141" s="1">
        <f>Comuni__2[[#This Row],[Popolazione2011]]/Comuni__2[[#This Row],[POPOLAZIONE TOTALE DI OGNI REGIONE (CON FILTRO)]]</f>
        <v>4.8934991087714751E-4</v>
      </c>
      <c r="H6141" t="str">
        <f>IF(Comuni__2[[#This Row],[Popolazione2011]]&gt;300000,"MAGGIORE","")</f>
        <v/>
      </c>
    </row>
    <row r="6142" spans="1:8" x14ac:dyDescent="0.2">
      <c r="A6142"/>
      <c r="B6142"/>
      <c r="C6142"/>
      <c r="D6142"/>
      <c r="E6142" s="2">
        <f>Comuni__2[[#This Row],[Popolazione2011]]/$D$7911</f>
        <v>1.3462783154093485E-5</v>
      </c>
      <c r="F6142">
        <f>SUMIFS($D$2:$D$7909, $B$2:$B$7909, "Sardegna")</f>
        <v>1634822</v>
      </c>
      <c r="G6142" s="1">
        <f>Comuni__2[[#This Row],[Popolazione2011]]/Comuni__2[[#This Row],[POPOLAZIONE TOTALE DI OGNI REGIONE (CON FILTRO)]]</f>
        <v>4.8934991087714751E-4</v>
      </c>
      <c r="H6142" t="str">
        <f>IF(Comuni__2[[#This Row],[Popolazione2011]]&gt;300000,"MAGGIORE","")</f>
        <v/>
      </c>
    </row>
    <row r="6143" spans="1:8" x14ac:dyDescent="0.2">
      <c r="A6143"/>
      <c r="B6143"/>
      <c r="C6143"/>
      <c r="D6143"/>
      <c r="E6143" s="2">
        <f>Comuni__2[[#This Row],[Popolazione2011]]/$D$7911</f>
        <v>1.3462783154093485E-5</v>
      </c>
      <c r="F6143">
        <f>SUMIFS($D$2:$D$7909, $B$2:$B$7909, "Sardegna")</f>
        <v>1634822</v>
      </c>
      <c r="G6143" s="1">
        <f>Comuni__2[[#This Row],[Popolazione2011]]/Comuni__2[[#This Row],[POPOLAZIONE TOTALE DI OGNI REGIONE (CON FILTRO)]]</f>
        <v>4.8934991087714751E-4</v>
      </c>
      <c r="H6143" t="str">
        <f>IF(Comuni__2[[#This Row],[Popolazione2011]]&gt;300000,"MAGGIORE","")</f>
        <v/>
      </c>
    </row>
    <row r="6144" spans="1:8" x14ac:dyDescent="0.2">
      <c r="A6144"/>
      <c r="B6144"/>
      <c r="C6144"/>
      <c r="D6144"/>
      <c r="E6144" s="2">
        <f>Comuni__2[[#This Row],[Popolazione2011]]/$D$7911</f>
        <v>1.3075728138413297E-5</v>
      </c>
      <c r="F6144">
        <f>SUMIFS($D$2:$D$7909, $B$2:$B$7909, "Sardegna")</f>
        <v>1634822</v>
      </c>
      <c r="G6144" s="1">
        <f>Comuni__2[[#This Row],[Popolazione2011]]/Comuni__2[[#This Row],[POPOLAZIONE TOTALE DI OGNI REGIONE (CON FILTRO)]]</f>
        <v>4.7528110093942948E-4</v>
      </c>
      <c r="H6144" t="str">
        <f>IF(Comuni__2[[#This Row],[Popolazione2011]]&gt;300000,"MAGGIORE","")</f>
        <v/>
      </c>
    </row>
    <row r="6145" spans="1:8" x14ac:dyDescent="0.2">
      <c r="A6145"/>
      <c r="B6145"/>
      <c r="C6145"/>
      <c r="D6145"/>
      <c r="E6145" s="2">
        <f>Comuni__2[[#This Row],[Popolazione2011]]/$D$7911</f>
        <v>1.2890614870044511E-5</v>
      </c>
      <c r="F6145">
        <f>SUMIFS($D$2:$D$7909, $B$2:$B$7909, "Sardegna")</f>
        <v>1634822</v>
      </c>
      <c r="G6145" s="1">
        <f>Comuni__2[[#This Row],[Popolazione2011]]/Comuni__2[[#This Row],[POPOLAZIONE TOTALE DI OGNI REGIONE (CON FILTRO)]]</f>
        <v>4.6855253966486874E-4</v>
      </c>
      <c r="H6145" t="str">
        <f>IF(Comuni__2[[#This Row],[Popolazione2011]]&gt;300000,"MAGGIORE","")</f>
        <v/>
      </c>
    </row>
    <row r="6146" spans="1:8" x14ac:dyDescent="0.2">
      <c r="A6146"/>
      <c r="B6146"/>
      <c r="C6146"/>
      <c r="D6146"/>
      <c r="E6146" s="2">
        <f>Comuni__2[[#This Row],[Popolazione2011]]/$D$7911</f>
        <v>1.2739158559560959E-5</v>
      </c>
      <c r="F6146">
        <f>SUMIFS($D$2:$D$7909, $B$2:$B$7909, "Sardegna")</f>
        <v>1634822</v>
      </c>
      <c r="G6146" s="1">
        <f>Comuni__2[[#This Row],[Popolazione2011]]/Comuni__2[[#This Row],[POPOLAZIONE TOTALE DI OGNI REGIONE (CON FILTRO)]]</f>
        <v>4.6304735316750079E-4</v>
      </c>
      <c r="H6146" t="str">
        <f>IF(Comuni__2[[#This Row],[Popolazione2011]]&gt;300000,"MAGGIORE","")</f>
        <v/>
      </c>
    </row>
    <row r="6147" spans="1:8" x14ac:dyDescent="0.2">
      <c r="A6147"/>
      <c r="B6147"/>
      <c r="C6147"/>
      <c r="D6147"/>
      <c r="E6147" s="2">
        <f>Comuni__2[[#This Row],[Popolazione2011]]/$D$7911</f>
        <v>1.2486731375421707E-5</v>
      </c>
      <c r="F6147">
        <f>SUMIFS($D$2:$D$7909, $B$2:$B$7909, "Sardegna")</f>
        <v>1634822</v>
      </c>
      <c r="G6147" s="1">
        <f>Comuni__2[[#This Row],[Popolazione2011]]/Comuni__2[[#This Row],[POPOLAZIONE TOTALE DI OGNI REGIONE (CON FILTRO)]]</f>
        <v>4.5387204233855429E-4</v>
      </c>
      <c r="H6147" t="str">
        <f>IF(Comuni__2[[#This Row],[Popolazione2011]]&gt;300000,"MAGGIORE","")</f>
        <v/>
      </c>
    </row>
    <row r="6148" spans="1:8" x14ac:dyDescent="0.2">
      <c r="A6148"/>
      <c r="B6148"/>
      <c r="C6148"/>
      <c r="D6148"/>
      <c r="E6148" s="2">
        <f>Comuni__2[[#This Row],[Popolazione2011]]/$D$7911</f>
        <v>1.2385760501766006E-5</v>
      </c>
      <c r="F6148">
        <f>SUMIFS($D$2:$D$7909, $B$2:$B$7909, "Sardegna")</f>
        <v>1634822</v>
      </c>
      <c r="G6148" s="1">
        <f>Comuni__2[[#This Row],[Popolazione2011]]/Comuni__2[[#This Row],[POPOLAZIONE TOTALE DI OGNI REGIONE (CON FILTRO)]]</f>
        <v>4.5020191800697567E-4</v>
      </c>
      <c r="H6148" t="str">
        <f>IF(Comuni__2[[#This Row],[Popolazione2011]]&gt;300000,"MAGGIORE","")</f>
        <v/>
      </c>
    </row>
    <row r="6149" spans="1:8" x14ac:dyDescent="0.2">
      <c r="A6149"/>
      <c r="B6149"/>
      <c r="C6149"/>
      <c r="D6149"/>
      <c r="E6149" s="2">
        <f>Comuni__2[[#This Row],[Popolazione2011]]/$D$7911</f>
        <v>1.2251132670225072E-5</v>
      </c>
      <c r="F6149">
        <f>SUMIFS($D$2:$D$7909, $B$2:$B$7909, "Sardegna")</f>
        <v>1634822</v>
      </c>
      <c r="G6149" s="1">
        <f>Comuni__2[[#This Row],[Popolazione2011]]/Comuni__2[[#This Row],[POPOLAZIONE TOTALE DI OGNI REGIONE (CON FILTRO)]]</f>
        <v>4.4530841889820421E-4</v>
      </c>
      <c r="H6149" t="str">
        <f>IF(Comuni__2[[#This Row],[Popolazione2011]]&gt;300000,"MAGGIORE","")</f>
        <v/>
      </c>
    </row>
    <row r="6150" spans="1:8" x14ac:dyDescent="0.2">
      <c r="A6150"/>
      <c r="B6150"/>
      <c r="C6150"/>
      <c r="D6150"/>
      <c r="E6150" s="2">
        <f>Comuni__2[[#This Row],[Popolazione2011]]/$D$7911</f>
        <v>1.2166990275511987E-5</v>
      </c>
      <c r="F6150">
        <f>SUMIFS($D$2:$D$7909, $B$2:$B$7909, "Sardegna")</f>
        <v>1634822</v>
      </c>
      <c r="G6150" s="1">
        <f>Comuni__2[[#This Row],[Popolazione2011]]/Comuni__2[[#This Row],[POPOLAZIONE TOTALE DI OGNI REGIONE (CON FILTRO)]]</f>
        <v>4.4224998195522202E-4</v>
      </c>
      <c r="H6150" t="str">
        <f>IF(Comuni__2[[#This Row],[Popolazione2011]]&gt;300000,"MAGGIORE","")</f>
        <v/>
      </c>
    </row>
    <row r="6151" spans="1:8" x14ac:dyDescent="0.2">
      <c r="A6151"/>
      <c r="B6151"/>
      <c r="C6151"/>
      <c r="D6151"/>
      <c r="E6151" s="2">
        <f>Comuni__2[[#This Row],[Popolazione2011]]/$D$7911</f>
        <v>1.2133333317626754E-5</v>
      </c>
      <c r="F6151">
        <f>SUMIFS($D$2:$D$7909, $B$2:$B$7909, "Sardegna")</f>
        <v>1634822</v>
      </c>
      <c r="G6151" s="1">
        <f>Comuni__2[[#This Row],[Popolazione2011]]/Comuni__2[[#This Row],[POPOLAZIONE TOTALE DI OGNI REGIONE (CON FILTRO)]]</f>
        <v>4.4102660717802917E-4</v>
      </c>
      <c r="H6151" t="str">
        <f>IF(Comuni__2[[#This Row],[Popolazione2011]]&gt;300000,"MAGGIORE","")</f>
        <v/>
      </c>
    </row>
    <row r="6152" spans="1:8" x14ac:dyDescent="0.2">
      <c r="A6152"/>
      <c r="B6152"/>
      <c r="C6152"/>
      <c r="D6152"/>
      <c r="E6152" s="2">
        <f>Comuni__2[[#This Row],[Popolazione2011]]/$D$7911</f>
        <v>1.1998705486085818E-5</v>
      </c>
      <c r="F6152">
        <f>SUMIFS($D$2:$D$7909, $B$2:$B$7909, "Sardegna")</f>
        <v>1634822</v>
      </c>
      <c r="G6152" s="1">
        <f>Comuni__2[[#This Row],[Popolazione2011]]/Comuni__2[[#This Row],[POPOLAZIONE TOTALE DI OGNI REGIONE (CON FILTRO)]]</f>
        <v>4.3613310806925771E-4</v>
      </c>
      <c r="H6152" t="str">
        <f>IF(Comuni__2[[#This Row],[Popolazione2011]]&gt;300000,"MAGGIORE","")</f>
        <v/>
      </c>
    </row>
    <row r="6153" spans="1:8" x14ac:dyDescent="0.2">
      <c r="A6153"/>
      <c r="B6153"/>
      <c r="C6153"/>
      <c r="D6153"/>
      <c r="E6153" s="2">
        <f>Comuni__2[[#This Row],[Popolazione2011]]/$D$7911</f>
        <v>1.183042069665965E-5</v>
      </c>
      <c r="F6153">
        <f>SUMIFS($D$2:$D$7909, $B$2:$B$7909, "Sardegna")</f>
        <v>1634822</v>
      </c>
      <c r="G6153" s="1">
        <f>Comuni__2[[#This Row],[Popolazione2011]]/Comuni__2[[#This Row],[POPOLAZIONE TOTALE DI OGNI REGIONE (CON FILTRO)]]</f>
        <v>4.3001623418329333E-4</v>
      </c>
      <c r="H6153" t="str">
        <f>IF(Comuni__2[[#This Row],[Popolazione2011]]&gt;300000,"MAGGIORE","")</f>
        <v/>
      </c>
    </row>
    <row r="6154" spans="1:8" x14ac:dyDescent="0.2">
      <c r="A6154"/>
      <c r="B6154"/>
      <c r="C6154"/>
      <c r="D6154"/>
      <c r="E6154" s="2">
        <f>Comuni__2[[#This Row],[Popolazione2011]]/$D$7911</f>
        <v>1.1712621344061332E-5</v>
      </c>
      <c r="F6154">
        <f>SUMIFS($D$2:$D$7909, $B$2:$B$7909, "Sardegna")</f>
        <v>1634822</v>
      </c>
      <c r="G6154" s="1">
        <f>Comuni__2[[#This Row],[Popolazione2011]]/Comuni__2[[#This Row],[POPOLAZIONE TOTALE DI OGNI REGIONE (CON FILTRO)]]</f>
        <v>4.2573442246311829E-4</v>
      </c>
      <c r="H6154" t="str">
        <f>IF(Comuni__2[[#This Row],[Popolazione2011]]&gt;300000,"MAGGIORE","")</f>
        <v/>
      </c>
    </row>
    <row r="6155" spans="1:8" x14ac:dyDescent="0.2">
      <c r="A6155"/>
      <c r="B6155"/>
      <c r="C6155"/>
      <c r="D6155"/>
      <c r="E6155" s="2">
        <f>Comuni__2[[#This Row],[Popolazione2011]]/$D$7911</f>
        <v>1.1695792865118714E-5</v>
      </c>
      <c r="F6155">
        <f>SUMIFS($D$2:$D$7909, $B$2:$B$7909, "Sardegna")</f>
        <v>1634822</v>
      </c>
      <c r="G6155" s="1">
        <f>Comuni__2[[#This Row],[Popolazione2011]]/Comuni__2[[#This Row],[POPOLAZIONE TOTALE DI OGNI REGIONE (CON FILTRO)]]</f>
        <v>4.2512273507452187E-4</v>
      </c>
      <c r="H6155" t="str">
        <f>IF(Comuni__2[[#This Row],[Popolazione2011]]&gt;300000,"MAGGIORE","")</f>
        <v/>
      </c>
    </row>
    <row r="6156" spans="1:8" x14ac:dyDescent="0.2">
      <c r="A6156"/>
      <c r="B6156"/>
      <c r="C6156"/>
      <c r="D6156"/>
      <c r="E6156" s="2">
        <f>Comuni__2[[#This Row],[Popolazione2011]]/$D$7911</f>
        <v>1.161165047040563E-5</v>
      </c>
      <c r="F6156">
        <f>SUMIFS($D$2:$D$7909, $B$2:$B$7909, "Sardegna")</f>
        <v>1634822</v>
      </c>
      <c r="G6156" s="1">
        <f>Comuni__2[[#This Row],[Popolazione2011]]/Comuni__2[[#This Row],[POPOLAZIONE TOTALE DI OGNI REGIONE (CON FILTRO)]]</f>
        <v>4.2206429813153968E-4</v>
      </c>
      <c r="H6156" t="str">
        <f>IF(Comuni__2[[#This Row],[Popolazione2011]]&gt;300000,"MAGGIORE","")</f>
        <v/>
      </c>
    </row>
    <row r="6157" spans="1:8" x14ac:dyDescent="0.2">
      <c r="A6157"/>
      <c r="B6157"/>
      <c r="C6157"/>
      <c r="D6157"/>
      <c r="E6157" s="2">
        <f>Comuni__2[[#This Row],[Popolazione2011]]/$D$7911</f>
        <v>1.1477022638864696E-5</v>
      </c>
      <c r="F6157">
        <f>SUMIFS($D$2:$D$7909, $B$2:$B$7909, "Sardegna")</f>
        <v>1634822</v>
      </c>
      <c r="G6157" s="1">
        <f>Comuni__2[[#This Row],[Popolazione2011]]/Comuni__2[[#This Row],[POPOLAZIONE TOTALE DI OGNI REGIONE (CON FILTRO)]]</f>
        <v>4.1717079902276822E-4</v>
      </c>
      <c r="H6157" t="str">
        <f>IF(Comuni__2[[#This Row],[Popolazione2011]]&gt;300000,"MAGGIORE","")</f>
        <v/>
      </c>
    </row>
    <row r="6158" spans="1:8" x14ac:dyDescent="0.2">
      <c r="A6158"/>
      <c r="B6158"/>
      <c r="C6158"/>
      <c r="D6158"/>
      <c r="E6158" s="2">
        <f>Comuni__2[[#This Row],[Popolazione2011]]/$D$7911</f>
        <v>1.1460194159922078E-5</v>
      </c>
      <c r="F6158">
        <f>SUMIFS($D$2:$D$7909, $B$2:$B$7909, "Sardegna")</f>
        <v>1634822</v>
      </c>
      <c r="G6158" s="1">
        <f>Comuni__2[[#This Row],[Popolazione2011]]/Comuni__2[[#This Row],[POPOLAZIONE TOTALE DI OGNI REGIONE (CON FILTRO)]]</f>
        <v>4.1655911163417179E-4</v>
      </c>
      <c r="H6158" t="str">
        <f>IF(Comuni__2[[#This Row],[Popolazione2011]]&gt;300000,"MAGGIORE","")</f>
        <v/>
      </c>
    </row>
    <row r="6159" spans="1:8" x14ac:dyDescent="0.2">
      <c r="A6159"/>
      <c r="B6159"/>
      <c r="C6159"/>
      <c r="D6159"/>
      <c r="E6159" s="2">
        <f>Comuni__2[[#This Row],[Popolazione2011]]/$D$7911</f>
        <v>1.1376051765208994E-5</v>
      </c>
      <c r="F6159">
        <f>SUMIFS($D$2:$D$7909, $B$2:$B$7909, "Sardegna")</f>
        <v>1634822</v>
      </c>
      <c r="G6159" s="1">
        <f>Comuni__2[[#This Row],[Popolazione2011]]/Comuni__2[[#This Row],[POPOLAZIONE TOTALE DI OGNI REGIONE (CON FILTRO)]]</f>
        <v>4.135006746911896E-4</v>
      </c>
      <c r="H6159" t="str">
        <f>IF(Comuni__2[[#This Row],[Popolazione2011]]&gt;300000,"MAGGIORE","")</f>
        <v/>
      </c>
    </row>
    <row r="6160" spans="1:8" x14ac:dyDescent="0.2">
      <c r="A6160"/>
      <c r="B6160"/>
      <c r="C6160"/>
      <c r="D6160"/>
      <c r="E6160" s="2">
        <f>Comuni__2[[#This Row],[Popolazione2011]]/$D$7911</f>
        <v>1.1325566328381144E-5</v>
      </c>
      <c r="F6160">
        <f>SUMIFS($D$2:$D$7909, $B$2:$B$7909, "Sardegna")</f>
        <v>1634822</v>
      </c>
      <c r="G6160" s="1">
        <f>Comuni__2[[#This Row],[Popolazione2011]]/Comuni__2[[#This Row],[POPOLAZIONE TOTALE DI OGNI REGIONE (CON FILTRO)]]</f>
        <v>4.1166561252540032E-4</v>
      </c>
      <c r="H6160" t="str">
        <f>IF(Comuni__2[[#This Row],[Popolazione2011]]&gt;300000,"MAGGIORE","")</f>
        <v/>
      </c>
    </row>
    <row r="6161" spans="1:8" x14ac:dyDescent="0.2">
      <c r="A6161"/>
      <c r="B6161"/>
      <c r="C6161"/>
      <c r="D6161"/>
      <c r="E6161" s="2">
        <f>Comuni__2[[#This Row],[Popolazione2011]]/$D$7911</f>
        <v>1.124142393366806E-5</v>
      </c>
      <c r="F6161">
        <f>SUMIFS($D$2:$D$7909, $B$2:$B$7909, "Sardegna")</f>
        <v>1634822</v>
      </c>
      <c r="G6161" s="1">
        <f>Comuni__2[[#This Row],[Popolazione2011]]/Comuni__2[[#This Row],[POPOLAZIONE TOTALE DI OGNI REGIONE (CON FILTRO)]]</f>
        <v>4.0860717558241814E-4</v>
      </c>
      <c r="H6161" t="str">
        <f>IF(Comuni__2[[#This Row],[Popolazione2011]]&gt;300000,"MAGGIORE","")</f>
        <v/>
      </c>
    </row>
    <row r="6162" spans="1:8" x14ac:dyDescent="0.2">
      <c r="A6162"/>
      <c r="B6162"/>
      <c r="C6162"/>
      <c r="D6162"/>
      <c r="E6162" s="2">
        <f>Comuni__2[[#This Row],[Popolazione2011]]/$D$7911</f>
        <v>1.119093849684021E-5</v>
      </c>
      <c r="F6162">
        <f>SUMIFS($D$2:$D$7909, $B$2:$B$7909, "Sardegna")</f>
        <v>1634822</v>
      </c>
      <c r="G6162" s="1">
        <f>Comuni__2[[#This Row],[Popolazione2011]]/Comuni__2[[#This Row],[POPOLAZIONE TOTALE DI OGNI REGIONE (CON FILTRO)]]</f>
        <v>4.0677211341662886E-4</v>
      </c>
      <c r="H6162" t="str">
        <f>IF(Comuni__2[[#This Row],[Popolazione2011]]&gt;300000,"MAGGIORE","")</f>
        <v/>
      </c>
    </row>
    <row r="6163" spans="1:8" x14ac:dyDescent="0.2">
      <c r="A6163"/>
      <c r="B6163"/>
      <c r="C6163"/>
      <c r="D6163"/>
      <c r="E6163" s="2">
        <f>Comuni__2[[#This Row],[Popolazione2011]]/$D$7911</f>
        <v>1.0955339791643574E-5</v>
      </c>
      <c r="F6163">
        <f>SUMIFS($D$2:$D$7909, $B$2:$B$7909, "Sardegna")</f>
        <v>1634822</v>
      </c>
      <c r="G6163" s="1">
        <f>Comuni__2[[#This Row],[Popolazione2011]]/Comuni__2[[#This Row],[POPOLAZIONE TOTALE DI OGNI REGIONE (CON FILTRO)]]</f>
        <v>3.9820848997627878E-4</v>
      </c>
      <c r="H6163" t="str">
        <f>IF(Comuni__2[[#This Row],[Popolazione2011]]&gt;300000,"MAGGIORE","")</f>
        <v/>
      </c>
    </row>
    <row r="6164" spans="1:8" x14ac:dyDescent="0.2">
      <c r="A6164"/>
      <c r="B6164"/>
      <c r="C6164"/>
      <c r="D6164"/>
      <c r="E6164" s="2">
        <f>Comuni__2[[#This Row],[Popolazione2011]]/$D$7911</f>
        <v>1.0837540439045254E-5</v>
      </c>
      <c r="F6164">
        <f>SUMIFS($D$2:$D$7909, $B$2:$B$7909, "Sardegna")</f>
        <v>1634822</v>
      </c>
      <c r="G6164" s="1">
        <f>Comuni__2[[#This Row],[Popolazione2011]]/Comuni__2[[#This Row],[POPOLAZIONE TOTALE DI OGNI REGIONE (CON FILTRO)]]</f>
        <v>3.9392667825610374E-4</v>
      </c>
      <c r="H6164" t="str">
        <f>IF(Comuni__2[[#This Row],[Popolazione2011]]&gt;300000,"MAGGIORE","")</f>
        <v/>
      </c>
    </row>
    <row r="6165" spans="1:8" x14ac:dyDescent="0.2">
      <c r="A6165"/>
      <c r="B6165"/>
      <c r="C6165"/>
      <c r="D6165"/>
      <c r="E6165" s="2">
        <f>Comuni__2[[#This Row],[Popolazione2011]]/$D$7911</f>
        <v>1.0820711960102638E-5</v>
      </c>
      <c r="F6165">
        <f>SUMIFS($D$2:$D$7909, $B$2:$B$7909, "Sardegna")</f>
        <v>1634822</v>
      </c>
      <c r="G6165" s="1">
        <f>Comuni__2[[#This Row],[Popolazione2011]]/Comuni__2[[#This Row],[POPOLAZIONE TOTALE DI OGNI REGIONE (CON FILTRO)]]</f>
        <v>3.9331499086750726E-4</v>
      </c>
      <c r="H6165" t="str">
        <f>IF(Comuni__2[[#This Row],[Popolazione2011]]&gt;300000,"MAGGIORE","")</f>
        <v/>
      </c>
    </row>
    <row r="6166" spans="1:8" x14ac:dyDescent="0.2">
      <c r="A6166"/>
      <c r="B6166"/>
      <c r="C6166"/>
      <c r="D6166"/>
      <c r="E6166" s="2">
        <f>Comuni__2[[#This Row],[Popolazione2011]]/$D$7911</f>
        <v>1.0500970860192918E-5</v>
      </c>
      <c r="F6166">
        <f>SUMIFS($D$2:$D$7909, $B$2:$B$7909, "Sardegna")</f>
        <v>1634822</v>
      </c>
      <c r="G6166" s="1">
        <f>Comuni__2[[#This Row],[Popolazione2011]]/Comuni__2[[#This Row],[POPOLAZIONE TOTALE DI OGNI REGIONE (CON FILTRO)]]</f>
        <v>3.8169293048417505E-4</v>
      </c>
      <c r="H6166" t="str">
        <f>IF(Comuni__2[[#This Row],[Popolazione2011]]&gt;300000,"MAGGIORE","")</f>
        <v/>
      </c>
    </row>
    <row r="6167" spans="1:8" x14ac:dyDescent="0.2">
      <c r="A6167"/>
      <c r="B6167"/>
      <c r="C6167"/>
      <c r="D6167"/>
      <c r="E6167" s="2">
        <f>Comuni__2[[#This Row],[Popolazione2011]]/$D$7911</f>
        <v>1.033268607076675E-5</v>
      </c>
      <c r="F6167">
        <f>SUMIFS($D$2:$D$7909, $B$2:$B$7909, "Sardegna")</f>
        <v>1634822</v>
      </c>
      <c r="G6167" s="1">
        <f>Comuni__2[[#This Row],[Popolazione2011]]/Comuni__2[[#This Row],[POPOLAZIONE TOTALE DI OGNI REGIONE (CON FILTRO)]]</f>
        <v>3.7557605659821068E-4</v>
      </c>
      <c r="H6167" t="str">
        <f>IF(Comuni__2[[#This Row],[Popolazione2011]]&gt;300000,"MAGGIORE","")</f>
        <v/>
      </c>
    </row>
    <row r="6168" spans="1:8" x14ac:dyDescent="0.2">
      <c r="A6168"/>
      <c r="B6168"/>
      <c r="C6168"/>
      <c r="D6168"/>
      <c r="E6168" s="2">
        <f>Comuni__2[[#This Row],[Popolazione2011]]/$D$7911</f>
        <v>1.0265372154996282E-5</v>
      </c>
      <c r="F6168">
        <f>SUMIFS($D$2:$D$7909, $B$2:$B$7909, "Sardegna")</f>
        <v>1634822</v>
      </c>
      <c r="G6168" s="1">
        <f>Comuni__2[[#This Row],[Popolazione2011]]/Comuni__2[[#This Row],[POPOLAZIONE TOTALE DI OGNI REGIONE (CON FILTRO)]]</f>
        <v>3.7312930704382497E-4</v>
      </c>
      <c r="H6168" t="str">
        <f>IF(Comuni__2[[#This Row],[Popolazione2011]]&gt;300000,"MAGGIORE","")</f>
        <v/>
      </c>
    </row>
    <row r="6169" spans="1:8" x14ac:dyDescent="0.2">
      <c r="A6169"/>
      <c r="B6169"/>
      <c r="C6169"/>
      <c r="D6169"/>
      <c r="E6169" s="2">
        <f>Comuni__2[[#This Row],[Popolazione2011]]/$D$7911</f>
        <v>1.0080258886627496E-5</v>
      </c>
      <c r="F6169">
        <f>SUMIFS($D$2:$D$7909, $B$2:$B$7909, "Sardegna")</f>
        <v>1634822</v>
      </c>
      <c r="G6169" s="1">
        <f>Comuni__2[[#This Row],[Popolazione2011]]/Comuni__2[[#This Row],[POPOLAZIONE TOTALE DI OGNI REGIONE (CON FILTRO)]]</f>
        <v>3.6640074576926418E-4</v>
      </c>
      <c r="H6169" t="str">
        <f>IF(Comuni__2[[#This Row],[Popolazione2011]]&gt;300000,"MAGGIORE","")</f>
        <v/>
      </c>
    </row>
    <row r="6170" spans="1:8" x14ac:dyDescent="0.2">
      <c r="A6170"/>
      <c r="B6170"/>
      <c r="C6170"/>
      <c r="D6170"/>
      <c r="E6170" s="2">
        <f>Comuni__2[[#This Row],[Popolazione2011]]/$D$7911</f>
        <v>9.8614886603734766E-6</v>
      </c>
      <c r="F6170">
        <f>SUMIFS($D$2:$D$7909, $B$2:$B$7909, "Sardegna")</f>
        <v>1634822</v>
      </c>
      <c r="G6170" s="1">
        <f>Comuni__2[[#This Row],[Popolazione2011]]/Comuni__2[[#This Row],[POPOLAZIONE TOTALE DI OGNI REGIONE (CON FILTRO)]]</f>
        <v>3.5844880971751052E-4</v>
      </c>
      <c r="H6170" t="str">
        <f>IF(Comuni__2[[#This Row],[Popolazione2011]]&gt;300000,"MAGGIORE","")</f>
        <v/>
      </c>
    </row>
    <row r="6171" spans="1:8" x14ac:dyDescent="0.2">
      <c r="A6171"/>
      <c r="B6171"/>
      <c r="C6171"/>
      <c r="D6171"/>
      <c r="E6171" s="2">
        <f>Comuni__2[[#This Row],[Popolazione2011]]/$D$7911</f>
        <v>9.7605177867177765E-6</v>
      </c>
      <c r="F6171">
        <f>SUMIFS($D$2:$D$7909, $B$2:$B$7909, "Sardegna")</f>
        <v>1634822</v>
      </c>
      <c r="G6171" s="1">
        <f>Comuni__2[[#This Row],[Popolazione2011]]/Comuni__2[[#This Row],[POPOLAZIONE TOTALE DI OGNI REGIONE (CON FILTRO)]]</f>
        <v>3.5477868538593191E-4</v>
      </c>
      <c r="H6171" t="str">
        <f>IF(Comuni__2[[#This Row],[Popolazione2011]]&gt;300000,"MAGGIORE","")</f>
        <v/>
      </c>
    </row>
    <row r="6172" spans="1:8" x14ac:dyDescent="0.2">
      <c r="A6172"/>
      <c r="B6172"/>
      <c r="C6172"/>
      <c r="D6172"/>
      <c r="E6172" s="2">
        <f>Comuni__2[[#This Row],[Popolazione2011]]/$D$7911</f>
        <v>9.7605177867177765E-6</v>
      </c>
      <c r="F6172">
        <f>SUMIFS($D$2:$D$7909, $B$2:$B$7909, "Sardegna")</f>
        <v>1634822</v>
      </c>
      <c r="G6172" s="1">
        <f>Comuni__2[[#This Row],[Popolazione2011]]/Comuni__2[[#This Row],[POPOLAZIONE TOTALE DI OGNI REGIONE (CON FILTRO)]]</f>
        <v>3.5477868538593191E-4</v>
      </c>
      <c r="H6172" t="str">
        <f>IF(Comuni__2[[#This Row],[Popolazione2011]]&gt;300000,"MAGGIORE","")</f>
        <v/>
      </c>
    </row>
    <row r="6173" spans="1:8" x14ac:dyDescent="0.2">
      <c r="A6173"/>
      <c r="B6173"/>
      <c r="C6173"/>
      <c r="D6173"/>
      <c r="E6173" s="2">
        <f>Comuni__2[[#This Row],[Popolazione2011]]/$D$7911</f>
        <v>9.7268608288325425E-6</v>
      </c>
      <c r="F6173">
        <f>SUMIFS($D$2:$D$7909, $B$2:$B$7909, "Sardegna")</f>
        <v>1634822</v>
      </c>
      <c r="G6173" s="1">
        <f>Comuni__2[[#This Row],[Popolazione2011]]/Comuni__2[[#This Row],[POPOLAZIONE TOTALE DI OGNI REGIONE (CON FILTRO)]]</f>
        <v>3.5355531060873906E-4</v>
      </c>
      <c r="H6173" t="str">
        <f>IF(Comuni__2[[#This Row],[Popolazione2011]]&gt;300000,"MAGGIORE","")</f>
        <v/>
      </c>
    </row>
    <row r="6174" spans="1:8" x14ac:dyDescent="0.2">
      <c r="A6174"/>
      <c r="B6174"/>
      <c r="C6174"/>
      <c r="D6174"/>
      <c r="E6174" s="2">
        <f>Comuni__2[[#This Row],[Popolazione2011]]/$D$7911</f>
        <v>9.5249190815211406E-6</v>
      </c>
      <c r="F6174">
        <f>SUMIFS($D$2:$D$7909, $B$2:$B$7909, "Sardegna")</f>
        <v>1634822</v>
      </c>
      <c r="G6174" s="1">
        <f>Comuni__2[[#This Row],[Popolazione2011]]/Comuni__2[[#This Row],[POPOLAZIONE TOTALE DI OGNI REGIONE (CON FILTRO)]]</f>
        <v>3.4621506194558183E-4</v>
      </c>
      <c r="H6174" t="str">
        <f>IF(Comuni__2[[#This Row],[Popolazione2011]]&gt;300000,"MAGGIORE","")</f>
        <v/>
      </c>
    </row>
    <row r="6175" spans="1:8" x14ac:dyDescent="0.2">
      <c r="A6175"/>
      <c r="B6175"/>
      <c r="C6175"/>
      <c r="D6175"/>
      <c r="E6175" s="2">
        <f>Comuni__2[[#This Row],[Popolazione2011]]/$D$7911</f>
        <v>9.4407766868080565E-6</v>
      </c>
      <c r="F6175">
        <f>SUMIFS($D$2:$D$7909, $B$2:$B$7909, "Sardegna")</f>
        <v>1634822</v>
      </c>
      <c r="G6175" s="1">
        <f>Comuni__2[[#This Row],[Popolazione2011]]/Comuni__2[[#This Row],[POPOLAZIONE TOTALE DI OGNI REGIONE (CON FILTRO)]]</f>
        <v>3.4315662500259965E-4</v>
      </c>
      <c r="H6175" t="str">
        <f>IF(Comuni__2[[#This Row],[Popolazione2011]]&gt;300000,"MAGGIORE","")</f>
        <v/>
      </c>
    </row>
    <row r="6176" spans="1:8" x14ac:dyDescent="0.2">
      <c r="A6176"/>
      <c r="B6176"/>
      <c r="C6176"/>
      <c r="D6176"/>
      <c r="E6176" s="2">
        <f>Comuni__2[[#This Row],[Popolazione2011]]/$D$7911</f>
        <v>9.3566342920949725E-6</v>
      </c>
      <c r="F6176">
        <f>SUMIFS($D$2:$D$7909, $B$2:$B$7909, "Sardegna")</f>
        <v>1634822</v>
      </c>
      <c r="G6176" s="1">
        <f>Comuni__2[[#This Row],[Popolazione2011]]/Comuni__2[[#This Row],[POPOLAZIONE TOTALE DI OGNI REGIONE (CON FILTRO)]]</f>
        <v>3.4009818805961752E-4</v>
      </c>
      <c r="H6176" t="str">
        <f>IF(Comuni__2[[#This Row],[Popolazione2011]]&gt;300000,"MAGGIORE","")</f>
        <v/>
      </c>
    </row>
    <row r="6177" spans="1:8" x14ac:dyDescent="0.2">
      <c r="A6177"/>
      <c r="B6177"/>
      <c r="C6177"/>
      <c r="D6177"/>
      <c r="E6177" s="2">
        <f>Comuni__2[[#This Row],[Popolazione2011]]/$D$7911</f>
        <v>9.3061488552671208E-6</v>
      </c>
      <c r="F6177">
        <f>SUMIFS($D$2:$D$7909, $B$2:$B$7909, "Sardegna")</f>
        <v>1634822</v>
      </c>
      <c r="G6177" s="1">
        <f>Comuni__2[[#This Row],[Popolazione2011]]/Comuni__2[[#This Row],[POPOLAZIONE TOTALE DI OGNI REGIONE (CON FILTRO)]]</f>
        <v>3.3826312589382818E-4</v>
      </c>
      <c r="H6177" t="str">
        <f>IF(Comuni__2[[#This Row],[Popolazione2011]]&gt;300000,"MAGGIORE","")</f>
        <v/>
      </c>
    </row>
    <row r="6178" spans="1:8" x14ac:dyDescent="0.2">
      <c r="A6178"/>
      <c r="B6178"/>
      <c r="C6178"/>
      <c r="D6178"/>
      <c r="E6178" s="2">
        <f>Comuni__2[[#This Row],[Popolazione2011]]/$D$7911</f>
        <v>9.2893203763245046E-6</v>
      </c>
      <c r="F6178">
        <f>SUMIFS($D$2:$D$7909, $B$2:$B$7909, "Sardegna")</f>
        <v>1634822</v>
      </c>
      <c r="G6178" s="1">
        <f>Comuni__2[[#This Row],[Popolazione2011]]/Comuni__2[[#This Row],[POPOLAZIONE TOTALE DI OGNI REGIONE (CON FILTRO)]]</f>
        <v>3.3765143850523176E-4</v>
      </c>
      <c r="H6178" t="str">
        <f>IF(Comuni__2[[#This Row],[Popolazione2011]]&gt;300000,"MAGGIORE","")</f>
        <v/>
      </c>
    </row>
    <row r="6179" spans="1:8" x14ac:dyDescent="0.2">
      <c r="A6179"/>
      <c r="B6179"/>
      <c r="C6179"/>
      <c r="D6179"/>
      <c r="E6179" s="2">
        <f>Comuni__2[[#This Row],[Popolazione2011]]/$D$7911</f>
        <v>9.2556634184392707E-6</v>
      </c>
      <c r="F6179">
        <f>SUMIFS($D$2:$D$7909, $B$2:$B$7909, "Sardegna")</f>
        <v>1634822</v>
      </c>
      <c r="G6179" s="1">
        <f>Comuni__2[[#This Row],[Popolazione2011]]/Comuni__2[[#This Row],[POPOLAZIONE TOTALE DI OGNI REGIONE (CON FILTRO)]]</f>
        <v>3.364280637280389E-4</v>
      </c>
      <c r="H6179" t="str">
        <f>IF(Comuni__2[[#This Row],[Popolazione2011]]&gt;300000,"MAGGIORE","")</f>
        <v/>
      </c>
    </row>
    <row r="6180" spans="1:8" x14ac:dyDescent="0.2">
      <c r="A6180"/>
      <c r="B6180"/>
      <c r="C6180"/>
      <c r="D6180"/>
      <c r="E6180" s="2">
        <f>Comuni__2[[#This Row],[Popolazione2011]]/$D$7911</f>
        <v>9.0032362343000186E-6</v>
      </c>
      <c r="F6180">
        <f>SUMIFS($D$2:$D$7909, $B$2:$B$7909, "Sardegna")</f>
        <v>1634822</v>
      </c>
      <c r="G6180" s="1">
        <f>Comuni__2[[#This Row],[Popolazione2011]]/Comuni__2[[#This Row],[POPOLAZIONE TOTALE DI OGNI REGIONE (CON FILTRO)]]</f>
        <v>3.272527528990924E-4</v>
      </c>
      <c r="H6180" t="str">
        <f>IF(Comuni__2[[#This Row],[Popolazione2011]]&gt;300000,"MAGGIORE","")</f>
        <v/>
      </c>
    </row>
    <row r="6181" spans="1:8" x14ac:dyDescent="0.2">
      <c r="A6181"/>
      <c r="B6181"/>
      <c r="C6181"/>
      <c r="D6181"/>
      <c r="E6181" s="2">
        <f>Comuni__2[[#This Row],[Popolazione2011]]/$D$7911</f>
        <v>8.767637529103381E-6</v>
      </c>
      <c r="F6181">
        <f>SUMIFS($D$2:$D$7909, $B$2:$B$7909, "Sardegna")</f>
        <v>1634822</v>
      </c>
      <c r="G6181" s="1">
        <f>Comuni__2[[#This Row],[Popolazione2011]]/Comuni__2[[#This Row],[POPOLAZIONE TOTALE DI OGNI REGIONE (CON FILTRO)]]</f>
        <v>3.1868912945874232E-4</v>
      </c>
      <c r="H6181" t="str">
        <f>IF(Comuni__2[[#This Row],[Popolazione2011]]&gt;300000,"MAGGIORE","")</f>
        <v/>
      </c>
    </row>
    <row r="6182" spans="1:8" x14ac:dyDescent="0.2">
      <c r="A6182"/>
      <c r="B6182"/>
      <c r="C6182"/>
      <c r="D6182"/>
      <c r="E6182" s="2">
        <f>Comuni__2[[#This Row],[Popolazione2011]]/$D$7911</f>
        <v>8.6666666554476809E-6</v>
      </c>
      <c r="F6182">
        <f>SUMIFS($D$2:$D$7909, $B$2:$B$7909, "Sardegna")</f>
        <v>1634822</v>
      </c>
      <c r="G6182" s="1">
        <f>Comuni__2[[#This Row],[Popolazione2011]]/Comuni__2[[#This Row],[POPOLAZIONE TOTALE DI OGNI REGIONE (CON FILTRO)]]</f>
        <v>3.1501900512716371E-4</v>
      </c>
      <c r="H6182" t="str">
        <f>IF(Comuni__2[[#This Row],[Popolazione2011]]&gt;300000,"MAGGIORE","")</f>
        <v/>
      </c>
    </row>
    <row r="6183" spans="1:8" x14ac:dyDescent="0.2">
      <c r="A6183"/>
      <c r="B6183"/>
      <c r="C6183"/>
      <c r="D6183"/>
      <c r="E6183" s="2">
        <f>Comuni__2[[#This Row],[Popolazione2011]]/$D$7911</f>
        <v>8.6666666554476809E-6</v>
      </c>
      <c r="F6183">
        <f>SUMIFS($D$2:$D$7909, $B$2:$B$7909, "Sardegna")</f>
        <v>1634822</v>
      </c>
      <c r="G6183" s="1">
        <f>Comuni__2[[#This Row],[Popolazione2011]]/Comuni__2[[#This Row],[POPOLAZIONE TOTALE DI OGNI REGIONE (CON FILTRO)]]</f>
        <v>3.1501900512716371E-4</v>
      </c>
      <c r="H6183" t="str">
        <f>IF(Comuni__2[[#This Row],[Popolazione2011]]&gt;300000,"MAGGIORE","")</f>
        <v/>
      </c>
    </row>
    <row r="6184" spans="1:8" x14ac:dyDescent="0.2">
      <c r="A6184"/>
      <c r="B6184"/>
      <c r="C6184"/>
      <c r="D6184"/>
      <c r="E6184" s="2">
        <f>Comuni__2[[#This Row],[Popolazione2011]]/$D$7911</f>
        <v>8.5488673028493629E-6</v>
      </c>
      <c r="F6184">
        <f>SUMIFS($D$2:$D$7909, $B$2:$B$7909, "Sardegna")</f>
        <v>1634822</v>
      </c>
      <c r="G6184" s="1">
        <f>Comuni__2[[#This Row],[Popolazione2011]]/Comuni__2[[#This Row],[POPOLAZIONE TOTALE DI OGNI REGIONE (CON FILTRO)]]</f>
        <v>3.1073719340698867E-4</v>
      </c>
      <c r="H6184" t="str">
        <f>IF(Comuni__2[[#This Row],[Popolazione2011]]&gt;300000,"MAGGIORE","")</f>
        <v/>
      </c>
    </row>
    <row r="6185" spans="1:8" x14ac:dyDescent="0.2">
      <c r="A6185"/>
      <c r="B6185"/>
      <c r="C6185"/>
      <c r="D6185"/>
      <c r="E6185" s="2">
        <f>Comuni__2[[#This Row],[Popolazione2011]]/$D$7911</f>
        <v>8.4983818660215128E-6</v>
      </c>
      <c r="F6185">
        <f>SUMIFS($D$2:$D$7909, $B$2:$B$7909, "Sardegna")</f>
        <v>1634822</v>
      </c>
      <c r="G6185" s="1">
        <f>Comuni__2[[#This Row],[Popolazione2011]]/Comuni__2[[#This Row],[POPOLAZIONE TOTALE DI OGNI REGIONE (CON FILTRO)]]</f>
        <v>3.0890213124119934E-4</v>
      </c>
      <c r="H6185" t="str">
        <f>IF(Comuni__2[[#This Row],[Popolazione2011]]&gt;300000,"MAGGIORE","")</f>
        <v/>
      </c>
    </row>
    <row r="6186" spans="1:8" x14ac:dyDescent="0.2">
      <c r="A6186"/>
      <c r="B6186"/>
      <c r="C6186"/>
      <c r="D6186"/>
      <c r="E6186" s="2">
        <f>Comuni__2[[#This Row],[Popolazione2011]]/$D$7911</f>
        <v>8.481553387078895E-6</v>
      </c>
      <c r="F6186">
        <f>SUMIFS($D$2:$D$7909, $B$2:$B$7909, "Sardegna")</f>
        <v>1634822</v>
      </c>
      <c r="G6186" s="1">
        <f>Comuni__2[[#This Row],[Popolazione2011]]/Comuni__2[[#This Row],[POPOLAZIONE TOTALE DI OGNI REGIONE (CON FILTRO)]]</f>
        <v>3.0829044385260291E-4</v>
      </c>
      <c r="H6186" t="str">
        <f>IF(Comuni__2[[#This Row],[Popolazione2011]]&gt;300000,"MAGGIORE","")</f>
        <v/>
      </c>
    </row>
    <row r="6187" spans="1:8" x14ac:dyDescent="0.2">
      <c r="A6187"/>
      <c r="B6187"/>
      <c r="C6187"/>
      <c r="D6187"/>
      <c r="E6187" s="2">
        <f>Comuni__2[[#This Row],[Popolazione2011]]/$D$7911</f>
        <v>8.229126202939643E-6</v>
      </c>
      <c r="F6187">
        <f>SUMIFS($D$2:$D$7909, $B$2:$B$7909, "Sardegna")</f>
        <v>1634822</v>
      </c>
      <c r="G6187" s="1">
        <f>Comuni__2[[#This Row],[Popolazione2011]]/Comuni__2[[#This Row],[POPOLAZIONE TOTALE DI OGNI REGIONE (CON FILTRO)]]</f>
        <v>2.9911513302365641E-4</v>
      </c>
      <c r="H6187" t="str">
        <f>IF(Comuni__2[[#This Row],[Popolazione2011]]&gt;300000,"MAGGIORE","")</f>
        <v/>
      </c>
    </row>
    <row r="6188" spans="1:8" x14ac:dyDescent="0.2">
      <c r="A6188"/>
      <c r="B6188"/>
      <c r="C6188"/>
      <c r="D6188"/>
      <c r="E6188" s="2">
        <f>Comuni__2[[#This Row],[Popolazione2011]]/$D$7911</f>
        <v>8.0608414135134732E-6</v>
      </c>
      <c r="F6188">
        <f>SUMIFS($D$2:$D$7909, $B$2:$B$7909, "Sardegna")</f>
        <v>1634822</v>
      </c>
      <c r="G6188" s="1">
        <f>Comuni__2[[#This Row],[Popolazione2011]]/Comuni__2[[#This Row],[POPOLAZIONE TOTALE DI OGNI REGIONE (CON FILTRO)]]</f>
        <v>2.9299825913769203E-4</v>
      </c>
      <c r="H6188" t="str">
        <f>IF(Comuni__2[[#This Row],[Popolazione2011]]&gt;300000,"MAGGIORE","")</f>
        <v/>
      </c>
    </row>
    <row r="6189" spans="1:8" x14ac:dyDescent="0.2">
      <c r="A6189"/>
      <c r="B6189"/>
      <c r="C6189"/>
      <c r="D6189"/>
      <c r="E6189" s="2">
        <f>Comuni__2[[#This Row],[Popolazione2011]]/$D$7911</f>
        <v>7.9430420609151553E-6</v>
      </c>
      <c r="F6189">
        <f>SUMIFS($D$2:$D$7909, $B$2:$B$7909, "Sardegna")</f>
        <v>1634822</v>
      </c>
      <c r="G6189" s="1">
        <f>Comuni__2[[#This Row],[Popolazione2011]]/Comuni__2[[#This Row],[POPOLAZIONE TOTALE DI OGNI REGIONE (CON FILTRO)]]</f>
        <v>2.8871644741751699E-4</v>
      </c>
      <c r="H6189" t="str">
        <f>IF(Comuni__2[[#This Row],[Popolazione2011]]&gt;300000,"MAGGIORE","")</f>
        <v/>
      </c>
    </row>
    <row r="6190" spans="1:8" x14ac:dyDescent="0.2">
      <c r="A6190"/>
      <c r="B6190"/>
      <c r="C6190"/>
      <c r="D6190"/>
      <c r="E6190" s="2">
        <f>Comuni__2[[#This Row],[Popolazione2011]]/$D$7911</f>
        <v>7.7915857504316034E-6</v>
      </c>
      <c r="F6190">
        <f>SUMIFS($D$2:$D$7909, $B$2:$B$7909, "Sardegna")</f>
        <v>1634822</v>
      </c>
      <c r="G6190" s="1">
        <f>Comuni__2[[#This Row],[Popolazione2011]]/Comuni__2[[#This Row],[POPOLAZIONE TOTALE DI OGNI REGIONE (CON FILTRO)]]</f>
        <v>2.832112609201491E-4</v>
      </c>
      <c r="H6190" t="str">
        <f>IF(Comuni__2[[#This Row],[Popolazione2011]]&gt;300000,"MAGGIORE","")</f>
        <v/>
      </c>
    </row>
    <row r="6191" spans="1:8" x14ac:dyDescent="0.2">
      <c r="A6191"/>
      <c r="B6191"/>
      <c r="C6191"/>
      <c r="D6191"/>
      <c r="E6191" s="2">
        <f>Comuni__2[[#This Row],[Popolazione2011]]/$D$7911</f>
        <v>7.6569579188906693E-6</v>
      </c>
      <c r="F6191">
        <f>SUMIFS($D$2:$D$7909, $B$2:$B$7909, "Sardegna")</f>
        <v>1634822</v>
      </c>
      <c r="G6191" s="1">
        <f>Comuni__2[[#This Row],[Popolazione2011]]/Comuni__2[[#This Row],[POPOLAZIONE TOTALE DI OGNI REGIONE (CON FILTRO)]]</f>
        <v>2.7831776181137764E-4</v>
      </c>
      <c r="H6191" t="str">
        <f>IF(Comuni__2[[#This Row],[Popolazione2011]]&gt;300000,"MAGGIORE","")</f>
        <v/>
      </c>
    </row>
    <row r="6192" spans="1:8" x14ac:dyDescent="0.2">
      <c r="A6192"/>
      <c r="B6192"/>
      <c r="C6192"/>
      <c r="D6192"/>
      <c r="E6192" s="2">
        <f>Comuni__2[[#This Row],[Popolazione2011]]/$D$7911</f>
        <v>7.6401294399480531E-6</v>
      </c>
      <c r="F6192">
        <f>SUMIFS($D$2:$D$7909, $B$2:$B$7909, "Sardegna")</f>
        <v>1634822</v>
      </c>
      <c r="G6192" s="1">
        <f>Comuni__2[[#This Row],[Popolazione2011]]/Comuni__2[[#This Row],[POPOLAZIONE TOTALE DI OGNI REGIONE (CON FILTRO)]]</f>
        <v>2.7770607442278121E-4</v>
      </c>
      <c r="H6192" t="str">
        <f>IF(Comuni__2[[#This Row],[Popolazione2011]]&gt;300000,"MAGGIORE","")</f>
        <v/>
      </c>
    </row>
    <row r="6193" spans="1:8" x14ac:dyDescent="0.2">
      <c r="A6193"/>
      <c r="B6193"/>
      <c r="C6193"/>
      <c r="D6193"/>
      <c r="E6193" s="2">
        <f>Comuni__2[[#This Row],[Popolazione2011]]/$D$7911</f>
        <v>7.4381876926366503E-6</v>
      </c>
      <c r="F6193">
        <f>SUMIFS($D$2:$D$7909, $B$2:$B$7909, "Sardegna")</f>
        <v>1634822</v>
      </c>
      <c r="G6193" s="1">
        <f>Comuni__2[[#This Row],[Popolazione2011]]/Comuni__2[[#This Row],[POPOLAZIONE TOTALE DI OGNI REGIONE (CON FILTRO)]]</f>
        <v>2.7036582575962399E-4</v>
      </c>
      <c r="H6193" t="str">
        <f>IF(Comuni__2[[#This Row],[Popolazione2011]]&gt;300000,"MAGGIORE","")</f>
        <v/>
      </c>
    </row>
    <row r="6194" spans="1:8" x14ac:dyDescent="0.2">
      <c r="A6194"/>
      <c r="B6194"/>
      <c r="C6194"/>
      <c r="D6194"/>
      <c r="E6194" s="2">
        <f>Comuni__2[[#This Row],[Popolazione2011]]/$D$7911</f>
        <v>7.3035598610957154E-6</v>
      </c>
      <c r="F6194">
        <f>SUMIFS($D$2:$D$7909, $B$2:$B$7909, "Sardegna")</f>
        <v>1634822</v>
      </c>
      <c r="G6194" s="1">
        <f>Comuni__2[[#This Row],[Popolazione2011]]/Comuni__2[[#This Row],[POPOLAZIONE TOTALE DI OGNI REGIONE (CON FILTRO)]]</f>
        <v>2.6547232665085252E-4</v>
      </c>
      <c r="H6194" t="str">
        <f>IF(Comuni__2[[#This Row],[Popolazione2011]]&gt;300000,"MAGGIORE","")</f>
        <v/>
      </c>
    </row>
    <row r="6195" spans="1:8" x14ac:dyDescent="0.2">
      <c r="A6195"/>
      <c r="B6195"/>
      <c r="C6195"/>
      <c r="D6195"/>
      <c r="E6195" s="2">
        <f>Comuni__2[[#This Row],[Popolazione2011]]/$D$7911</f>
        <v>7.2362459453252483E-6</v>
      </c>
      <c r="F6195">
        <f>SUMIFS($D$2:$D$7909, $B$2:$B$7909, "Sardegna")</f>
        <v>1634822</v>
      </c>
      <c r="G6195" s="1">
        <f>Comuni__2[[#This Row],[Popolazione2011]]/Comuni__2[[#This Row],[POPOLAZIONE TOTALE DI OGNI REGIONE (CON FILTRO)]]</f>
        <v>2.6302557709646676E-4</v>
      </c>
      <c r="H6195" t="str">
        <f>IF(Comuni__2[[#This Row],[Popolazione2011]]&gt;300000,"MAGGIORE","")</f>
        <v/>
      </c>
    </row>
    <row r="6196" spans="1:8" x14ac:dyDescent="0.2">
      <c r="A6196"/>
      <c r="B6196"/>
      <c r="C6196"/>
      <c r="D6196"/>
      <c r="E6196" s="2">
        <f>Comuni__2[[#This Row],[Popolazione2011]]/$D$7911</f>
        <v>7.2025889874400144E-6</v>
      </c>
      <c r="F6196">
        <f>SUMIFS($D$2:$D$7909, $B$2:$B$7909, "Sardegna")</f>
        <v>1634822</v>
      </c>
      <c r="G6196" s="1">
        <f>Comuni__2[[#This Row],[Popolazione2011]]/Comuni__2[[#This Row],[POPOLAZIONE TOTALE DI OGNI REGIONE (CON FILTRO)]]</f>
        <v>2.6180220231927391E-4</v>
      </c>
      <c r="H6196" t="str">
        <f>IF(Comuni__2[[#This Row],[Popolazione2011]]&gt;300000,"MAGGIORE","")</f>
        <v/>
      </c>
    </row>
    <row r="6197" spans="1:8" x14ac:dyDescent="0.2">
      <c r="A6197"/>
      <c r="B6197"/>
      <c r="C6197"/>
      <c r="D6197"/>
      <c r="E6197" s="2">
        <f>Comuni__2[[#This Row],[Popolazione2011]]/$D$7911</f>
        <v>7.0174757190712285E-6</v>
      </c>
      <c r="F6197">
        <f>SUMIFS($D$2:$D$7909, $B$2:$B$7909, "Sardegna")</f>
        <v>1634822</v>
      </c>
      <c r="G6197" s="1">
        <f>Comuni__2[[#This Row],[Popolazione2011]]/Comuni__2[[#This Row],[POPOLAZIONE TOTALE DI OGNI REGIONE (CON FILTRO)]]</f>
        <v>2.5507364104471311E-4</v>
      </c>
      <c r="H6197" t="str">
        <f>IF(Comuni__2[[#This Row],[Popolazione2011]]&gt;300000,"MAGGIORE","")</f>
        <v/>
      </c>
    </row>
    <row r="6198" spans="1:8" x14ac:dyDescent="0.2">
      <c r="A6198"/>
      <c r="B6198"/>
      <c r="C6198"/>
      <c r="D6198"/>
      <c r="E6198" s="2">
        <f>Comuni__2[[#This Row],[Popolazione2011]]/$D$7911</f>
        <v>6.9333333243581445E-6</v>
      </c>
      <c r="F6198">
        <f>SUMIFS($D$2:$D$7909, $B$2:$B$7909, "Sardegna")</f>
        <v>1634822</v>
      </c>
      <c r="G6198" s="1">
        <f>Comuni__2[[#This Row],[Popolazione2011]]/Comuni__2[[#This Row],[POPOLAZIONE TOTALE DI OGNI REGIONE (CON FILTRO)]]</f>
        <v>2.5201520410173098E-4</v>
      </c>
      <c r="H6198" t="str">
        <f>IF(Comuni__2[[#This Row],[Popolazione2011]]&gt;300000,"MAGGIORE","")</f>
        <v/>
      </c>
    </row>
    <row r="6199" spans="1:8" x14ac:dyDescent="0.2">
      <c r="A6199"/>
      <c r="B6199"/>
      <c r="C6199"/>
      <c r="D6199"/>
      <c r="E6199" s="2">
        <f>Comuni__2[[#This Row],[Popolazione2011]]/$D$7911</f>
        <v>6.4284789560796387E-6</v>
      </c>
      <c r="F6199">
        <f>SUMIFS($D$2:$D$7909, $B$2:$B$7909, "Sardegna")</f>
        <v>1634822</v>
      </c>
      <c r="G6199" s="1">
        <f>Comuni__2[[#This Row],[Popolazione2011]]/Comuni__2[[#This Row],[POPOLAZIONE TOTALE DI OGNI REGIONE (CON FILTRO)]]</f>
        <v>2.3366458244383792E-4</v>
      </c>
      <c r="H6199" t="str">
        <f>IF(Comuni__2[[#This Row],[Popolazione2011]]&gt;300000,"MAGGIORE","")</f>
        <v/>
      </c>
    </row>
    <row r="6200" spans="1:8" x14ac:dyDescent="0.2">
      <c r="A6200"/>
      <c r="B6200"/>
      <c r="C6200"/>
      <c r="D6200"/>
      <c r="E6200" s="2">
        <f>Comuni__2[[#This Row],[Popolazione2011]]/$D$7911</f>
        <v>6.2265372087682367E-6</v>
      </c>
      <c r="F6200">
        <f>SUMIFS($D$2:$D$7909, $B$2:$B$7909, "Sardegna")</f>
        <v>1634822</v>
      </c>
      <c r="G6200" s="1">
        <f>Comuni__2[[#This Row],[Popolazione2011]]/Comuni__2[[#This Row],[POPOLAZIONE TOTALE DI OGNI REGIONE (CON FILTRO)]]</f>
        <v>2.2632433378068072E-4</v>
      </c>
      <c r="H6200" t="str">
        <f>IF(Comuni__2[[#This Row],[Popolazione2011]]&gt;300000,"MAGGIORE","")</f>
        <v/>
      </c>
    </row>
    <row r="6201" spans="1:8" x14ac:dyDescent="0.2">
      <c r="A6201"/>
      <c r="B6201"/>
      <c r="C6201"/>
      <c r="D6201"/>
      <c r="E6201" s="2">
        <f>Comuni__2[[#This Row],[Popolazione2011]]/$D$7911</f>
        <v>6.2265372087682367E-6</v>
      </c>
      <c r="F6201">
        <f>SUMIFS($D$2:$D$7909, $B$2:$B$7909, "Sardegna")</f>
        <v>1634822</v>
      </c>
      <c r="G6201" s="1">
        <f>Comuni__2[[#This Row],[Popolazione2011]]/Comuni__2[[#This Row],[POPOLAZIONE TOTALE DI OGNI REGIONE (CON FILTRO)]]</f>
        <v>2.2632433378068072E-4</v>
      </c>
      <c r="H6201" t="str">
        <f>IF(Comuni__2[[#This Row],[Popolazione2011]]&gt;300000,"MAGGIORE","")</f>
        <v/>
      </c>
    </row>
    <row r="6202" spans="1:8" x14ac:dyDescent="0.2">
      <c r="A6202"/>
      <c r="B6202"/>
      <c r="C6202"/>
      <c r="D6202"/>
      <c r="E6202" s="2">
        <f>Comuni__2[[#This Row],[Popolazione2011]]/$D$7911</f>
        <v>6.0245954614568348E-6</v>
      </c>
      <c r="F6202">
        <f>SUMIFS($D$2:$D$7909, $B$2:$B$7909, "Sardegna")</f>
        <v>1634822</v>
      </c>
      <c r="G6202" s="1">
        <f>Comuni__2[[#This Row],[Popolazione2011]]/Comuni__2[[#This Row],[POPOLAZIONE TOTALE DI OGNI REGIONE (CON FILTRO)]]</f>
        <v>2.1898408511752349E-4</v>
      </c>
      <c r="H6202" t="str">
        <f>IF(Comuni__2[[#This Row],[Popolazione2011]]&gt;300000,"MAGGIORE","")</f>
        <v/>
      </c>
    </row>
    <row r="6203" spans="1:8" x14ac:dyDescent="0.2">
      <c r="A6203"/>
      <c r="B6203"/>
      <c r="C6203"/>
      <c r="D6203"/>
      <c r="E6203" s="2">
        <f>Comuni__2[[#This Row],[Popolazione2011]]/$D$7911</f>
        <v>6.0077669825142178E-6</v>
      </c>
      <c r="F6203">
        <f>SUMIFS($D$2:$D$7909, $B$2:$B$7909, "Sardegna")</f>
        <v>1634822</v>
      </c>
      <c r="G6203" s="1">
        <f>Comuni__2[[#This Row],[Popolazione2011]]/Comuni__2[[#This Row],[POPOLAZIONE TOTALE DI OGNI REGIONE (CON FILTRO)]]</f>
        <v>2.1837239772892707E-4</v>
      </c>
      <c r="H6203" t="str">
        <f>IF(Comuni__2[[#This Row],[Popolazione2011]]&gt;300000,"MAGGIORE","")</f>
        <v/>
      </c>
    </row>
    <row r="6204" spans="1:8" x14ac:dyDescent="0.2">
      <c r="A6204"/>
      <c r="B6204"/>
      <c r="C6204"/>
      <c r="D6204"/>
      <c r="E6204" s="2">
        <f>Comuni__2[[#This Row],[Popolazione2011]]/$D$7911</f>
        <v>6.0077669825142178E-6</v>
      </c>
      <c r="F6204">
        <f>SUMIFS($D$2:$D$7909, $B$2:$B$7909, "Sardegna")</f>
        <v>1634822</v>
      </c>
      <c r="G6204" s="1">
        <f>Comuni__2[[#This Row],[Popolazione2011]]/Comuni__2[[#This Row],[POPOLAZIONE TOTALE DI OGNI REGIONE (CON FILTRO)]]</f>
        <v>2.1837239772892707E-4</v>
      </c>
      <c r="H6204" t="str">
        <f>IF(Comuni__2[[#This Row],[Popolazione2011]]&gt;300000,"MAGGIORE","")</f>
        <v/>
      </c>
    </row>
    <row r="6205" spans="1:8" x14ac:dyDescent="0.2">
      <c r="A6205"/>
      <c r="B6205"/>
      <c r="C6205"/>
      <c r="D6205"/>
      <c r="E6205" s="2">
        <f>Comuni__2[[#This Row],[Popolazione2011]]/$D$7911</f>
        <v>5.8563106720306659E-6</v>
      </c>
      <c r="F6205">
        <f>SUMIFS($D$2:$D$7909, $B$2:$B$7909, "Sardegna")</f>
        <v>1634822</v>
      </c>
      <c r="G6205" s="1">
        <f>Comuni__2[[#This Row],[Popolazione2011]]/Comuni__2[[#This Row],[POPOLAZIONE TOTALE DI OGNI REGIONE (CON FILTRO)]]</f>
        <v>2.1286721123155915E-4</v>
      </c>
      <c r="H6205" t="str">
        <f>IF(Comuni__2[[#This Row],[Popolazione2011]]&gt;300000,"MAGGIORE","")</f>
        <v/>
      </c>
    </row>
    <row r="6206" spans="1:8" x14ac:dyDescent="0.2">
      <c r="A6206"/>
      <c r="B6206"/>
      <c r="C6206"/>
      <c r="D6206"/>
      <c r="E6206" s="2">
        <f>Comuni__2[[#This Row],[Popolazione2011]]/$D$7911</f>
        <v>5.805825235202815E-6</v>
      </c>
      <c r="F6206">
        <f>SUMIFS($D$2:$D$7909, $B$2:$B$7909, "Sardegna")</f>
        <v>1634822</v>
      </c>
      <c r="G6206" s="1">
        <f>Comuni__2[[#This Row],[Popolazione2011]]/Comuni__2[[#This Row],[POPOLAZIONE TOTALE DI OGNI REGIONE (CON FILTRO)]]</f>
        <v>2.1103214906576984E-4</v>
      </c>
      <c r="H6206" t="str">
        <f>IF(Comuni__2[[#This Row],[Popolazione2011]]&gt;300000,"MAGGIORE","")</f>
        <v/>
      </c>
    </row>
    <row r="6207" spans="1:8" x14ac:dyDescent="0.2">
      <c r="A6207"/>
      <c r="B6207"/>
      <c r="C6207"/>
      <c r="D6207"/>
      <c r="E6207" s="2">
        <f>Comuni__2[[#This Row],[Popolazione2011]]/$D$7911</f>
        <v>5.688025882604497E-6</v>
      </c>
      <c r="F6207">
        <f>SUMIFS($D$2:$D$7909, $B$2:$B$7909, "Sardegna")</f>
        <v>1634822</v>
      </c>
      <c r="G6207" s="1">
        <f>Comuni__2[[#This Row],[Popolazione2011]]/Comuni__2[[#This Row],[POPOLAZIONE TOTALE DI OGNI REGIONE (CON FILTRO)]]</f>
        <v>2.067503373455948E-4</v>
      </c>
      <c r="H6207" t="str">
        <f>IF(Comuni__2[[#This Row],[Popolazione2011]]&gt;300000,"MAGGIORE","")</f>
        <v/>
      </c>
    </row>
    <row r="6208" spans="1:8" x14ac:dyDescent="0.2">
      <c r="A6208"/>
      <c r="B6208"/>
      <c r="C6208"/>
      <c r="D6208"/>
      <c r="E6208" s="2">
        <f>Comuni__2[[#This Row],[Popolazione2011]]/$D$7911</f>
        <v>5.6375404457766469E-6</v>
      </c>
      <c r="F6208">
        <f>SUMIFS($D$2:$D$7909, $B$2:$B$7909, "Sardegna")</f>
        <v>1634822</v>
      </c>
      <c r="G6208" s="1">
        <f>Comuni__2[[#This Row],[Popolazione2011]]/Comuni__2[[#This Row],[POPOLAZIONE TOTALE DI OGNI REGIONE (CON FILTRO)]]</f>
        <v>2.049152751798055E-4</v>
      </c>
      <c r="H6208" t="str">
        <f>IF(Comuni__2[[#This Row],[Popolazione2011]]&gt;300000,"MAGGIORE","")</f>
        <v/>
      </c>
    </row>
    <row r="6209" spans="1:8" x14ac:dyDescent="0.2">
      <c r="A6209"/>
      <c r="B6209"/>
      <c r="C6209"/>
      <c r="D6209"/>
      <c r="E6209" s="2">
        <f>Comuni__2[[#This Row],[Popolazione2011]]/$D$7911</f>
        <v>5.4355986984652441E-6</v>
      </c>
      <c r="F6209">
        <f>SUMIFS($D$2:$D$7909, $B$2:$B$7909, "Sardegna")</f>
        <v>1634822</v>
      </c>
      <c r="G6209" s="1">
        <f>Comuni__2[[#This Row],[Popolazione2011]]/Comuni__2[[#This Row],[POPOLAZIONE TOTALE DI OGNI REGIONE (CON FILTRO)]]</f>
        <v>1.975750265166483E-4</v>
      </c>
      <c r="H6209" t="str">
        <f>IF(Comuni__2[[#This Row],[Popolazione2011]]&gt;300000,"MAGGIORE","")</f>
        <v/>
      </c>
    </row>
    <row r="6210" spans="1:8" x14ac:dyDescent="0.2">
      <c r="A6210"/>
      <c r="B6210"/>
      <c r="C6210"/>
      <c r="D6210"/>
      <c r="E6210" s="2">
        <f>Comuni__2[[#This Row],[Popolazione2011]]/$D$7911</f>
        <v>5.284142387981693E-6</v>
      </c>
      <c r="F6210">
        <f>SUMIFS($D$2:$D$7909, $B$2:$B$7909, "Sardegna")</f>
        <v>1634822</v>
      </c>
      <c r="G6210" s="1">
        <f>Comuni__2[[#This Row],[Popolazione2011]]/Comuni__2[[#This Row],[POPOLAZIONE TOTALE DI OGNI REGIONE (CON FILTRO)]]</f>
        <v>1.9206984001928038E-4</v>
      </c>
      <c r="H6210" t="str">
        <f>IF(Comuni__2[[#This Row],[Popolazione2011]]&gt;300000,"MAGGIORE","")</f>
        <v/>
      </c>
    </row>
    <row r="6211" spans="1:8" x14ac:dyDescent="0.2">
      <c r="A6211"/>
      <c r="B6211"/>
      <c r="C6211"/>
      <c r="D6211"/>
      <c r="E6211" s="2">
        <f>Comuni__2[[#This Row],[Popolazione2011]]/$D$7911</f>
        <v>5.0485436827850571E-6</v>
      </c>
      <c r="F6211">
        <f>SUMIFS($D$2:$D$7909, $B$2:$B$7909, "Sardegna")</f>
        <v>1634822</v>
      </c>
      <c r="G6211" s="1">
        <f>Comuni__2[[#This Row],[Popolazione2011]]/Comuni__2[[#This Row],[POPOLAZIONE TOTALE DI OGNI REGIONE (CON FILTRO)]]</f>
        <v>1.835062165789303E-4</v>
      </c>
      <c r="H6211" t="str">
        <f>IF(Comuni__2[[#This Row],[Popolazione2011]]&gt;300000,"MAGGIORE","")</f>
        <v/>
      </c>
    </row>
    <row r="6212" spans="1:8" x14ac:dyDescent="0.2">
      <c r="A6212"/>
      <c r="B6212"/>
      <c r="C6212"/>
      <c r="D6212"/>
      <c r="E6212" s="2">
        <f>Comuni__2[[#This Row],[Popolazione2011]]/$D$7911</f>
        <v>4.7961164986458042E-6</v>
      </c>
      <c r="F6212">
        <f>SUMIFS($D$2:$D$7909, $B$2:$B$7909, "Sardegna")</f>
        <v>1634822</v>
      </c>
      <c r="G6212" s="1">
        <f>Comuni__2[[#This Row],[Popolazione2011]]/Comuni__2[[#This Row],[POPOLAZIONE TOTALE DI OGNI REGIONE (CON FILTRO)]]</f>
        <v>1.743309057499838E-4</v>
      </c>
      <c r="H6212" t="str">
        <f>IF(Comuni__2[[#This Row],[Popolazione2011]]&gt;300000,"MAGGIORE","")</f>
        <v/>
      </c>
    </row>
    <row r="6213" spans="1:8" x14ac:dyDescent="0.2">
      <c r="A6213"/>
      <c r="B6213"/>
      <c r="C6213"/>
      <c r="D6213"/>
      <c r="E6213" s="2">
        <f>Comuni__2[[#This Row],[Popolazione2011]]/$D$7911</f>
        <v>4.6783171460474863E-6</v>
      </c>
      <c r="F6213">
        <f>SUMIFS($D$2:$D$7909, $B$2:$B$7909, "Sardegna")</f>
        <v>1634822</v>
      </c>
      <c r="G6213" s="1">
        <f>Comuni__2[[#This Row],[Popolazione2011]]/Comuni__2[[#This Row],[POPOLAZIONE TOTALE DI OGNI REGIONE (CON FILTRO)]]</f>
        <v>1.7004909402980876E-4</v>
      </c>
      <c r="H6213" t="str">
        <f>IF(Comuni__2[[#This Row],[Popolazione2011]]&gt;300000,"MAGGIORE","")</f>
        <v/>
      </c>
    </row>
    <row r="6214" spans="1:8" x14ac:dyDescent="0.2">
      <c r="A6214"/>
      <c r="B6214"/>
      <c r="C6214"/>
      <c r="D6214"/>
      <c r="E6214" s="2">
        <f>Comuni__2[[#This Row],[Popolazione2011]]/$D$7911</f>
        <v>4.6614886671048693E-6</v>
      </c>
      <c r="F6214">
        <f>SUMIFS($D$2:$D$7909, $B$2:$B$7909, "Sardegna")</f>
        <v>1634822</v>
      </c>
      <c r="G6214" s="1">
        <f>Comuni__2[[#This Row],[Popolazione2011]]/Comuni__2[[#This Row],[POPOLAZIONE TOTALE DI OGNI REGIONE (CON FILTRO)]]</f>
        <v>1.694374066412123E-4</v>
      </c>
      <c r="H6214" t="str">
        <f>IF(Comuni__2[[#This Row],[Popolazione2011]]&gt;300000,"MAGGIORE","")</f>
        <v/>
      </c>
    </row>
    <row r="6215" spans="1:8" x14ac:dyDescent="0.2">
      <c r="A6215"/>
      <c r="B6215"/>
      <c r="C6215"/>
      <c r="D6215"/>
      <c r="E6215" s="2">
        <f>Comuni__2[[#This Row],[Popolazione2011]]/$D$7911</f>
        <v>4.5100323566213174E-6</v>
      </c>
      <c r="F6215">
        <f>SUMIFS($D$2:$D$7909, $B$2:$B$7909, "Sardegna")</f>
        <v>1634822</v>
      </c>
      <c r="G6215" s="1">
        <f>Comuni__2[[#This Row],[Popolazione2011]]/Comuni__2[[#This Row],[POPOLAZIONE TOTALE DI OGNI REGIONE (CON FILTRO)]]</f>
        <v>1.6393222014384441E-4</v>
      </c>
      <c r="H6215" t="str">
        <f>IF(Comuni__2[[#This Row],[Popolazione2011]]&gt;300000,"MAGGIORE","")</f>
        <v/>
      </c>
    </row>
    <row r="6216" spans="1:8" x14ac:dyDescent="0.2">
      <c r="A6216"/>
      <c r="B6216"/>
      <c r="C6216"/>
      <c r="D6216"/>
      <c r="E6216" s="2">
        <f>Comuni__2[[#This Row],[Popolazione2011]]/$D$7911</f>
        <v>4.3249190882525315E-6</v>
      </c>
      <c r="F6216">
        <f>SUMIFS($D$2:$D$7909, $B$2:$B$7909, "Sardegna")</f>
        <v>1634822</v>
      </c>
      <c r="G6216" s="1">
        <f>Comuni__2[[#This Row],[Popolazione2011]]/Comuni__2[[#This Row],[POPOLAZIONE TOTALE DI OGNI REGIONE (CON FILTRO)]]</f>
        <v>1.5720365886928364E-4</v>
      </c>
      <c r="H6216" t="str">
        <f>IF(Comuni__2[[#This Row],[Popolazione2011]]&gt;300000,"MAGGIORE","")</f>
        <v/>
      </c>
    </row>
    <row r="6217" spans="1:8" x14ac:dyDescent="0.2">
      <c r="A6217"/>
      <c r="B6217"/>
      <c r="C6217"/>
      <c r="D6217"/>
      <c r="E6217" s="2">
        <f>Comuni__2[[#This Row],[Popolazione2011]]/$D$7911</f>
        <v>3.8705501568018766E-6</v>
      </c>
      <c r="F6217">
        <f>SUMIFS($D$2:$D$7909, $B$2:$B$7909, "Sardegna")</f>
        <v>1634822</v>
      </c>
      <c r="G6217" s="1">
        <f>Comuni__2[[#This Row],[Popolazione2011]]/Comuni__2[[#This Row],[POPOLAZIONE TOTALE DI OGNI REGIONE (CON FILTRO)]]</f>
        <v>1.4068809937717991E-4</v>
      </c>
      <c r="H6217" t="str">
        <f>IF(Comuni__2[[#This Row],[Popolazione2011]]&gt;300000,"MAGGIORE","")</f>
        <v/>
      </c>
    </row>
    <row r="6218" spans="1:8" x14ac:dyDescent="0.2">
      <c r="A6218"/>
      <c r="B6218"/>
      <c r="C6218"/>
      <c r="D6218"/>
      <c r="E6218" s="2">
        <f>Comuni__2[[#This Row],[Popolazione2011]]/$D$7911</f>
        <v>3.7695792831461757E-6</v>
      </c>
      <c r="F6218">
        <f>SUMIFS($D$2:$D$7909, $B$2:$B$7909, "Sardegna")</f>
        <v>1634822</v>
      </c>
      <c r="G6218" s="1">
        <f>Comuni__2[[#This Row],[Popolazione2011]]/Comuni__2[[#This Row],[POPOLAZIONE TOTALE DI OGNI REGIONE (CON FILTRO)]]</f>
        <v>1.370179750456013E-4</v>
      </c>
      <c r="H6218" t="str">
        <f>IF(Comuni__2[[#This Row],[Popolazione2011]]&gt;300000,"MAGGIORE","")</f>
        <v/>
      </c>
    </row>
    <row r="6219" spans="1:8" x14ac:dyDescent="0.2">
      <c r="A6219"/>
      <c r="B6219"/>
      <c r="C6219"/>
      <c r="D6219"/>
      <c r="E6219" s="2">
        <f>Comuni__2[[#This Row],[Popolazione2011]]/$D$7911</f>
        <v>3.2478964359250533E-6</v>
      </c>
      <c r="F6219">
        <f>SUMIFS($D$2:$D$7909, $B$2:$B$7909, "Sardegna")</f>
        <v>1634822</v>
      </c>
      <c r="G6219" s="1">
        <f>Comuni__2[[#This Row],[Popolazione2011]]/Comuni__2[[#This Row],[POPOLAZIONE TOTALE DI OGNI REGIONE (CON FILTRO)]]</f>
        <v>1.1805566599911182E-4</v>
      </c>
      <c r="H6219" t="str">
        <f>IF(Comuni__2[[#This Row],[Popolazione2011]]&gt;300000,"MAGGIORE","")</f>
        <v/>
      </c>
    </row>
    <row r="6220" spans="1:8" x14ac:dyDescent="0.2">
      <c r="A6220"/>
      <c r="B6220"/>
      <c r="C6220"/>
      <c r="D6220"/>
      <c r="E6220" s="2">
        <f>Comuni__2[[#This Row],[Popolazione2011]]/$D$7911</f>
        <v>3.0964401254415014E-6</v>
      </c>
      <c r="F6220">
        <f>SUMIFS($D$2:$D$7909, $B$2:$B$7909, "Sardegna")</f>
        <v>1634822</v>
      </c>
      <c r="G6220" s="1">
        <f>Comuni__2[[#This Row],[Popolazione2011]]/Comuni__2[[#This Row],[POPOLAZIONE TOTALE DI OGNI REGIONE (CON FILTRO)]]</f>
        <v>1.1255047950174392E-4</v>
      </c>
      <c r="H6220" t="str">
        <f>IF(Comuni__2[[#This Row],[Popolazione2011]]&gt;300000,"MAGGIORE","")</f>
        <v/>
      </c>
    </row>
    <row r="6221" spans="1:8" x14ac:dyDescent="0.2">
      <c r="A6221"/>
      <c r="B6221"/>
      <c r="C6221"/>
      <c r="D6221"/>
      <c r="E6221" s="2">
        <f>Comuni__2[[#This Row],[Popolazione2011]]/$D$7911</f>
        <v>3.0796116464988844E-6</v>
      </c>
      <c r="F6221">
        <f>SUMIFS($D$2:$D$7909, $B$2:$B$7909, "Sardegna")</f>
        <v>1634822</v>
      </c>
      <c r="G6221" s="1">
        <f>Comuni__2[[#This Row],[Popolazione2011]]/Comuni__2[[#This Row],[POPOLAZIONE TOTALE DI OGNI REGIONE (CON FILTRO)]]</f>
        <v>1.1193879211314749E-4</v>
      </c>
      <c r="H6221" t="str">
        <f>IF(Comuni__2[[#This Row],[Popolazione2011]]&gt;300000,"MAGGIORE","")</f>
        <v/>
      </c>
    </row>
    <row r="6222" spans="1:8" x14ac:dyDescent="0.2">
      <c r="A6222"/>
      <c r="B6222"/>
      <c r="C6222"/>
      <c r="D6222"/>
      <c r="E6222" s="2">
        <f>Comuni__2[[#This Row],[Popolazione2011]]/$D$7911</f>
        <v>2.8776698991874824E-6</v>
      </c>
      <c r="F6222">
        <f>SUMIFS($D$2:$D$7909, $B$2:$B$7909, "Sardegna")</f>
        <v>1634822</v>
      </c>
      <c r="G6222" s="1">
        <f>Comuni__2[[#This Row],[Popolazione2011]]/Comuni__2[[#This Row],[POPOLAZIONE TOTALE DI OGNI REGIONE (CON FILTRO)]]</f>
        <v>1.0459854344999028E-4</v>
      </c>
      <c r="H6222" t="str">
        <f>IF(Comuni__2[[#This Row],[Popolazione2011]]&gt;300000,"MAGGIORE","")</f>
        <v/>
      </c>
    </row>
    <row r="6223" spans="1:8" x14ac:dyDescent="0.2">
      <c r="A6223"/>
      <c r="B6223"/>
      <c r="C6223"/>
      <c r="D6223"/>
      <c r="E6223" s="2">
        <f>Comuni__2[[#This Row],[Popolazione2011]]/$D$7911</f>
        <v>2.776699025531781E-6</v>
      </c>
      <c r="F6223">
        <f>SUMIFS($D$2:$D$7909, $B$2:$B$7909, "Sardegna")</f>
        <v>1634822</v>
      </c>
      <c r="G6223" s="1">
        <f>Comuni__2[[#This Row],[Popolazione2011]]/Comuni__2[[#This Row],[POPOLAZIONE TOTALE DI OGNI REGIONE (CON FILTRO)]]</f>
        <v>1.0092841911841167E-4</v>
      </c>
      <c r="H6223" t="str">
        <f>IF(Comuni__2[[#This Row],[Popolazione2011]]&gt;300000,"MAGGIORE","")</f>
        <v/>
      </c>
    </row>
    <row r="6224" spans="1:8" x14ac:dyDescent="0.2">
      <c r="A6224"/>
      <c r="B6224"/>
      <c r="C6224"/>
      <c r="D6224"/>
      <c r="E6224" s="2">
        <f>Comuni__2[[#This Row],[Popolazione2011]]/$D$7911</f>
        <v>2.776699025531781E-6</v>
      </c>
      <c r="F6224">
        <f>SUMIFS($D$2:$D$7909, $B$2:$B$7909, "Sardegna")</f>
        <v>1634822</v>
      </c>
      <c r="G6224" s="1">
        <f>Comuni__2[[#This Row],[Popolazione2011]]/Comuni__2[[#This Row],[POPOLAZIONE TOTALE DI OGNI REGIONE (CON FILTRO)]]</f>
        <v>1.0092841911841167E-4</v>
      </c>
      <c r="H6224" t="str">
        <f>IF(Comuni__2[[#This Row],[Popolazione2011]]&gt;300000,"MAGGIORE","")</f>
        <v/>
      </c>
    </row>
    <row r="6225" spans="1:8" x14ac:dyDescent="0.2">
      <c r="A6225"/>
      <c r="B6225"/>
      <c r="C6225"/>
      <c r="D6225"/>
      <c r="E6225" s="2">
        <f>Comuni__2[[#This Row],[Popolazione2011]]/$D$7911</f>
        <v>2.4737864045646776E-6</v>
      </c>
      <c r="F6225">
        <f>SUMIFS($D$2:$D$7909, $B$2:$B$7909, "Sardegna")</f>
        <v>1634822</v>
      </c>
      <c r="G6225" s="1">
        <f>Comuni__2[[#This Row],[Popolazione2011]]/Comuni__2[[#This Row],[POPOLAZIONE TOTALE DI OGNI REGIONE (CON FILTRO)]]</f>
        <v>8.9918046123675844E-5</v>
      </c>
      <c r="H6225" t="str">
        <f>IF(Comuni__2[[#This Row],[Popolazione2011]]&gt;300000,"MAGGIORE","")</f>
        <v/>
      </c>
    </row>
    <row r="6226" spans="1:8" x14ac:dyDescent="0.2">
      <c r="A6226"/>
      <c r="B6226"/>
      <c r="C6226"/>
      <c r="D6226"/>
      <c r="E6226" s="2">
        <f>Comuni__2[[#This Row],[Popolazione2011]]/$D$7911</f>
        <v>2.4233009677368271E-6</v>
      </c>
      <c r="F6226">
        <f>SUMIFS($D$2:$D$7909, $B$2:$B$7909, "Sardegna")</f>
        <v>1634822</v>
      </c>
      <c r="G6226" s="1">
        <f>Comuni__2[[#This Row],[Popolazione2011]]/Comuni__2[[#This Row],[POPOLAZIONE TOTALE DI OGNI REGIONE (CON FILTRO)]]</f>
        <v>8.8082983957886552E-5</v>
      </c>
      <c r="H6226" t="str">
        <f>IF(Comuni__2[[#This Row],[Popolazione2011]]&gt;300000,"MAGGIORE","")</f>
        <v/>
      </c>
    </row>
    <row r="6227" spans="1:8" x14ac:dyDescent="0.2">
      <c r="A6227"/>
      <c r="B6227"/>
      <c r="C6227"/>
      <c r="D6227"/>
      <c r="E6227" s="2">
        <f>Comuni__2[[#This Row],[Popolazione2011]]/$D$7911</f>
        <v>1.9689320362861723E-6</v>
      </c>
      <c r="F6227">
        <f>SUMIFS($D$2:$D$7909, $B$2:$B$7909, "Sardegna")</f>
        <v>1634822</v>
      </c>
      <c r="G6227" s="1">
        <f>Comuni__2[[#This Row],[Popolazione2011]]/Comuni__2[[#This Row],[POPOLAZIONE TOTALE DI OGNI REGIONE (CON FILTRO)]]</f>
        <v>7.1567424465782822E-5</v>
      </c>
      <c r="H6227" t="str">
        <f>IF(Comuni__2[[#This Row],[Popolazione2011]]&gt;300000,"MAGGIORE","")</f>
        <v/>
      </c>
    </row>
    <row r="6228" spans="1:8" x14ac:dyDescent="0.2">
      <c r="A6228"/>
      <c r="B6228"/>
      <c r="C6228"/>
      <c r="D6228"/>
      <c r="E6228" s="2">
        <f>Comuni__2[[#This Row],[Popolazione2011]]/$D$7911</f>
        <v>1.9521035573435553E-6</v>
      </c>
      <c r="F6228">
        <f>SUMIFS($D$2:$D$7909, $B$2:$B$7909, "Sardegna")</f>
        <v>1634822</v>
      </c>
      <c r="G6228" s="1">
        <f>Comuni__2[[#This Row],[Popolazione2011]]/Comuni__2[[#This Row],[POPOLAZIONE TOTALE DI OGNI REGIONE (CON FILTRO)]]</f>
        <v>7.0955737077186382E-5</v>
      </c>
      <c r="H6228" t="str">
        <f>IF(Comuni__2[[#This Row],[Popolazione2011]]&gt;300000,"MAGGIORE","")</f>
        <v/>
      </c>
    </row>
    <row r="6229" spans="1:8" x14ac:dyDescent="0.2">
      <c r="A6229"/>
      <c r="B6229"/>
      <c r="C6229"/>
      <c r="D6229"/>
      <c r="E6229" s="2">
        <f>Comuni__2[[#This Row],[Popolazione2011]]/$D$7911</f>
        <v>1.514563104835517E-6</v>
      </c>
      <c r="F6229">
        <f>SUMIFS($D$2:$D$7909, $B$2:$B$7909, "Sardegna")</f>
        <v>1634822</v>
      </c>
      <c r="G6229" s="1">
        <f>Comuni__2[[#This Row],[Popolazione2011]]/Comuni__2[[#This Row],[POPOLAZIONE TOTALE DI OGNI REGIONE (CON FILTRO)]]</f>
        <v>5.5051864973679093E-5</v>
      </c>
      <c r="H6229" t="str">
        <f>IF(Comuni__2[[#This Row],[Popolazione2011]]&gt;300000,"MAGGIORE","")</f>
        <v/>
      </c>
    </row>
    <row r="6230" spans="1:8" x14ac:dyDescent="0.2">
      <c r="A6230"/>
      <c r="B6230"/>
      <c r="C6230"/>
      <c r="D6230"/>
      <c r="E6230" s="2">
        <f>Comuni__2[[#This Row],[Popolazione2011]]/$D$7911</f>
        <v>1.1065751441986082E-2</v>
      </c>
      <c r="F6230">
        <f>SUMIFS($D$2:$D$7909, $B$2:$B$7909, "Sicilia")</f>
        <v>5002904</v>
      </c>
      <c r="G6230" s="1">
        <f>Comuni__2[[#This Row],[Popolazione2011]]/Comuni__2[[#This Row],[POPOLAZIONE TOTALE DI OGNI REGIONE (CON FILTRO)]]</f>
        <v>0.1314358620513206</v>
      </c>
      <c r="H6230" t="str">
        <f>IF(Comuni__2[[#This Row],[Popolazione2011]]&gt;300000,"MAGGIORE","")</f>
        <v>MAGGIORE</v>
      </c>
    </row>
    <row r="6231" spans="1:8" x14ac:dyDescent="0.2">
      <c r="A6231"/>
      <c r="B6231"/>
      <c r="C6231"/>
      <c r="D6231"/>
      <c r="E6231" s="2">
        <f>Comuni__2[[#This Row],[Popolazione2011]]/$D$7911</f>
        <v>4.9459236181929791E-3</v>
      </c>
      <c r="F6231">
        <f>SUMIFS($D$2:$D$7909, $B$2:$B$7909, "Sicilia")</f>
        <v>5002904</v>
      </c>
      <c r="G6231" s="1">
        <f>Comuni__2[[#This Row],[Popolazione2011]]/Comuni__2[[#This Row],[POPOLAZIONE TOTALE DI OGNI REGIONE (CON FILTRO)]]</f>
        <v>5.8746280160482792E-2</v>
      </c>
      <c r="H6231" t="str">
        <f>IF(Comuni__2[[#This Row],[Popolazione2011]]&gt;300000,"MAGGIORE","")</f>
        <v/>
      </c>
    </row>
    <row r="6232" spans="1:8" x14ac:dyDescent="0.2">
      <c r="A6232"/>
      <c r="B6232"/>
      <c r="C6232"/>
      <c r="D6232"/>
      <c r="E6232" s="2">
        <f>Comuni__2[[#This Row],[Popolazione2011]]/$D$7911</f>
        <v>4.0937294445388614E-3</v>
      </c>
      <c r="F6232">
        <f>SUMIFS($D$2:$D$7909, $B$2:$B$7909, "Sicilia")</f>
        <v>5002904</v>
      </c>
      <c r="G6232" s="1">
        <f>Comuni__2[[#This Row],[Popolazione2011]]/Comuni__2[[#This Row],[POPOLAZIONE TOTALE DI OGNI REGIONE (CON FILTRO)]]</f>
        <v>4.862415908840146E-2</v>
      </c>
      <c r="H6232" t="str">
        <f>IF(Comuni__2[[#This Row],[Popolazione2011]]&gt;300000,"MAGGIORE","")</f>
        <v/>
      </c>
    </row>
    <row r="6233" spans="1:8" x14ac:dyDescent="0.2">
      <c r="A6233"/>
      <c r="B6233"/>
      <c r="C6233"/>
      <c r="D6233"/>
      <c r="E6233" s="2">
        <f>Comuni__2[[#This Row],[Popolazione2011]]/$D$7911</f>
        <v>1.9922394796216963E-3</v>
      </c>
      <c r="F6233">
        <f>SUMIFS($D$2:$D$7909, $B$2:$B$7909, "Sicilia")</f>
        <v>5002904</v>
      </c>
      <c r="G6233" s="1">
        <f>Comuni__2[[#This Row],[Popolazione2011]]/Comuni__2[[#This Row],[POPOLAZIONE TOTALE DI OGNI REGIONE (CON FILTRO)]]</f>
        <v>2.3663256380694091E-2</v>
      </c>
      <c r="H6233" t="str">
        <f>IF(Comuni__2[[#This Row],[Popolazione2011]]&gt;300000,"MAGGIORE","")</f>
        <v/>
      </c>
    </row>
    <row r="6234" spans="1:8" x14ac:dyDescent="0.2">
      <c r="A6234"/>
      <c r="B6234"/>
      <c r="C6234"/>
      <c r="D6234"/>
      <c r="E6234" s="2">
        <f>Comuni__2[[#This Row],[Popolazione2011]]/$D$7911</f>
        <v>1.349946923818839E-3</v>
      </c>
      <c r="F6234">
        <f>SUMIFS($D$2:$D$7909, $B$2:$B$7909, "Sicilia")</f>
        <v>5002904</v>
      </c>
      <c r="G6234" s="1">
        <f>Comuni__2[[#This Row],[Popolazione2011]]/Comuni__2[[#This Row],[POPOLAZIONE TOTALE DI OGNI REGIONE (CON FILTRO)]]</f>
        <v>1.6034287285944325E-2</v>
      </c>
      <c r="H6234" t="str">
        <f>IF(Comuni__2[[#This Row],[Popolazione2011]]&gt;300000,"MAGGIORE","")</f>
        <v/>
      </c>
    </row>
    <row r="6235" spans="1:8" x14ac:dyDescent="0.2">
      <c r="A6235"/>
      <c r="B6235"/>
      <c r="C6235"/>
      <c r="D6235"/>
      <c r="E6235" s="2">
        <f>Comuni__2[[#This Row],[Popolazione2011]]/$D$7911</f>
        <v>1.2733773446299322E-3</v>
      </c>
      <c r="F6235">
        <f>SUMIFS($D$2:$D$7909, $B$2:$B$7909, "Sicilia")</f>
        <v>5002904</v>
      </c>
      <c r="G6235" s="1">
        <f>Comuni__2[[#This Row],[Popolazione2011]]/Comuni__2[[#This Row],[POPOLAZIONE TOTALE DI OGNI REGIONE (CON FILTRO)]]</f>
        <v>1.5124815507153446E-2</v>
      </c>
      <c r="H6235" t="str">
        <f>IF(Comuni__2[[#This Row],[Popolazione2011]]&gt;300000,"MAGGIORE","")</f>
        <v/>
      </c>
    </row>
    <row r="6236" spans="1:8" x14ac:dyDescent="0.2">
      <c r="A6236"/>
      <c r="B6236"/>
      <c r="C6236"/>
      <c r="D6236"/>
      <c r="E6236" s="2">
        <f>Comuni__2[[#This Row],[Popolazione2011]]/$D$7911</f>
        <v>1.1745268593210008E-3</v>
      </c>
      <c r="F6236">
        <f>SUMIFS($D$2:$D$7909, $B$2:$B$7909, "Sicilia")</f>
        <v>5002904</v>
      </c>
      <c r="G6236" s="1">
        <f>Comuni__2[[#This Row],[Popolazione2011]]/Comuni__2[[#This Row],[POPOLAZIONE TOTALE DI OGNI REGIONE (CON FILTRO)]]</f>
        <v>1.3950697434929793E-2</v>
      </c>
      <c r="H6236" t="str">
        <f>IF(Comuni__2[[#This Row],[Popolazione2011]]&gt;300000,"MAGGIORE","")</f>
        <v/>
      </c>
    </row>
    <row r="6237" spans="1:8" x14ac:dyDescent="0.2">
      <c r="A6237"/>
      <c r="B6237"/>
      <c r="C6237"/>
      <c r="D6237"/>
      <c r="E6237" s="2">
        <f>Comuni__2[[#This Row],[Popolazione2011]]/$D$7911</f>
        <v>1.1652207104657338E-3</v>
      </c>
      <c r="F6237">
        <f>SUMIFS($D$2:$D$7909, $B$2:$B$7909, "Sicilia")</f>
        <v>5002904</v>
      </c>
      <c r="G6237" s="1">
        <f>Comuni__2[[#This Row],[Popolazione2011]]/Comuni__2[[#This Row],[POPOLAZIONE TOTALE DI OGNI REGIONE (CON FILTRO)]]</f>
        <v>1.3840161634122902E-2</v>
      </c>
      <c r="H6237" t="str">
        <f>IF(Comuni__2[[#This Row],[Popolazione2011]]&gt;300000,"MAGGIORE","")</f>
        <v/>
      </c>
    </row>
    <row r="6238" spans="1:8" x14ac:dyDescent="0.2">
      <c r="A6238"/>
      <c r="B6238"/>
      <c r="C6238"/>
      <c r="D6238"/>
      <c r="E6238" s="2">
        <f>Comuni__2[[#This Row],[Popolazione2011]]/$D$7911</f>
        <v>1.0385022640278289E-3</v>
      </c>
      <c r="F6238">
        <f>SUMIFS($D$2:$D$7909, $B$2:$B$7909, "Sicilia")</f>
        <v>5002904</v>
      </c>
      <c r="G6238" s="1">
        <f>Comuni__2[[#This Row],[Popolazione2011]]/Comuni__2[[#This Row],[POPOLAZIONE TOTALE DI OGNI REGIONE (CON FILTRO)]]</f>
        <v>1.2335035811200854E-2</v>
      </c>
      <c r="H6238" t="str">
        <f>IF(Comuni__2[[#This Row],[Popolazione2011]]&gt;300000,"MAGGIORE","")</f>
        <v/>
      </c>
    </row>
    <row r="6239" spans="1:8" x14ac:dyDescent="0.2">
      <c r="A6239"/>
      <c r="B6239"/>
      <c r="C6239"/>
      <c r="D6239"/>
      <c r="E6239" s="2">
        <f>Comuni__2[[#This Row],[Popolazione2011]]/$D$7911</f>
        <v>1.0266381863732838E-3</v>
      </c>
      <c r="F6239">
        <f>SUMIFS($D$2:$D$7909, $B$2:$B$7909, "Sicilia")</f>
        <v>5002904</v>
      </c>
      <c r="G6239" s="1">
        <f>Comuni__2[[#This Row],[Popolazione2011]]/Comuni__2[[#This Row],[POPOLAZIONE TOTALE DI OGNI REGIONE (CON FILTRO)]]</f>
        <v>1.2194117656465124E-2</v>
      </c>
      <c r="H6239" t="str">
        <f>IF(Comuni__2[[#This Row],[Popolazione2011]]&gt;300000,"MAGGIORE","")</f>
        <v/>
      </c>
    </row>
    <row r="6240" spans="1:8" x14ac:dyDescent="0.2">
      <c r="A6240"/>
      <c r="B6240"/>
      <c r="C6240"/>
      <c r="D6240"/>
      <c r="E6240" s="2">
        <f>Comuni__2[[#This Row],[Popolazione2011]]/$D$7911</f>
        <v>9.8148737737024298E-4</v>
      </c>
      <c r="F6240">
        <f>SUMIFS($D$2:$D$7909, $B$2:$B$7909, "Sicilia")</f>
        <v>5002904</v>
      </c>
      <c r="G6240" s="1">
        <f>Comuni__2[[#This Row],[Popolazione2011]]/Comuni__2[[#This Row],[POPOLAZIONE TOTALE DI OGNI REGIONE (CON FILTRO)]]</f>
        <v>1.1657829132839647E-2</v>
      </c>
      <c r="H6240" t="str">
        <f>IF(Comuni__2[[#This Row],[Popolazione2011]]&gt;300000,"MAGGIORE","")</f>
        <v/>
      </c>
    </row>
    <row r="6241" spans="1:8" x14ac:dyDescent="0.2">
      <c r="A6241"/>
      <c r="B6241"/>
      <c r="C6241"/>
      <c r="D6241"/>
      <c r="E6241" s="2">
        <f>Comuni__2[[#This Row],[Popolazione2011]]/$D$7911</f>
        <v>9.130627819895627E-4</v>
      </c>
      <c r="F6241">
        <f>SUMIFS($D$2:$D$7909, $B$2:$B$7909, "Sicilia")</f>
        <v>5002904</v>
      </c>
      <c r="G6241" s="1">
        <f>Comuni__2[[#This Row],[Popolazione2011]]/Comuni__2[[#This Row],[POPOLAZIONE TOTALE DI OGNI REGIONE (CON FILTRO)]]</f>
        <v>1.0845101165243226E-2</v>
      </c>
      <c r="H6241" t="str">
        <f>IF(Comuni__2[[#This Row],[Popolazione2011]]&gt;300000,"MAGGIORE","")</f>
        <v/>
      </c>
    </row>
    <row r="6242" spans="1:8" x14ac:dyDescent="0.2">
      <c r="A6242"/>
      <c r="B6242"/>
      <c r="C6242"/>
      <c r="D6242"/>
      <c r="E6242" s="2">
        <f>Comuni__2[[#This Row],[Popolazione2011]]/$D$7911</f>
        <v>9.080478952646629E-4</v>
      </c>
      <c r="F6242">
        <f>SUMIFS($D$2:$D$7909, $B$2:$B$7909, "Sicilia")</f>
        <v>5002904</v>
      </c>
      <c r="G6242" s="1">
        <f>Comuni__2[[#This Row],[Popolazione2011]]/Comuni__2[[#This Row],[POPOLAZIONE TOTALE DI OGNI REGIONE (CON FILTRO)]]</f>
        <v>1.078553576083011E-2</v>
      </c>
      <c r="H6242" t="str">
        <f>IF(Comuni__2[[#This Row],[Popolazione2011]]&gt;300000,"MAGGIORE","")</f>
        <v/>
      </c>
    </row>
    <row r="6243" spans="1:8" x14ac:dyDescent="0.2">
      <c r="A6243"/>
      <c r="B6243"/>
      <c r="C6243"/>
      <c r="D6243"/>
      <c r="E6243" s="2">
        <f>Comuni__2[[#This Row],[Popolazione2011]]/$D$7911</f>
        <v>8.6592621247129288E-4</v>
      </c>
      <c r="F6243">
        <f>SUMIFS($D$2:$D$7909, $B$2:$B$7909, "Sicilia")</f>
        <v>5002904</v>
      </c>
      <c r="G6243" s="1">
        <f>Comuni__2[[#This Row],[Popolazione2011]]/Comuni__2[[#This Row],[POPOLAZIONE TOTALE DI OGNI REGIONE (CON FILTRO)]]</f>
        <v>1.0285226340541414E-2</v>
      </c>
      <c r="H6243" t="str">
        <f>IF(Comuni__2[[#This Row],[Popolazione2011]]&gt;300000,"MAGGIORE","")</f>
        <v/>
      </c>
    </row>
    <row r="6244" spans="1:8" x14ac:dyDescent="0.2">
      <c r="A6244"/>
      <c r="B6244"/>
      <c r="C6244"/>
      <c r="D6244"/>
      <c r="E6244" s="2">
        <f>Comuni__2[[#This Row],[Popolazione2011]]/$D$7911</f>
        <v>8.4133980473612971E-4</v>
      </c>
      <c r="F6244">
        <f>SUMIFS($D$2:$D$7909, $B$2:$B$7909, "Sicilia")</f>
        <v>5002904</v>
      </c>
      <c r="G6244" s="1">
        <f>Comuni__2[[#This Row],[Popolazione2011]]/Comuni__2[[#This Row],[POPOLAZIONE TOTALE DI OGNI REGIONE (CON FILTRO)]]</f>
        <v>9.9931959517911995E-3</v>
      </c>
      <c r="H6244" t="str">
        <f>IF(Comuni__2[[#This Row],[Popolazione2011]]&gt;300000,"MAGGIORE","")</f>
        <v/>
      </c>
    </row>
    <row r="6245" spans="1:8" x14ac:dyDescent="0.2">
      <c r="A6245"/>
      <c r="B6245"/>
      <c r="C6245"/>
      <c r="D6245"/>
      <c r="E6245" s="2">
        <f>Comuni__2[[#This Row],[Popolazione2011]]/$D$7911</f>
        <v>8.0557928698306888E-4</v>
      </c>
      <c r="F6245">
        <f>SUMIFS($D$2:$D$7909, $B$2:$B$7909, "Sicilia")</f>
        <v>5002904</v>
      </c>
      <c r="G6245" s="1">
        <f>Comuni__2[[#This Row],[Popolazione2011]]/Comuni__2[[#This Row],[POPOLAZIONE TOTALE DI OGNI REGIONE (CON FILTRO)]]</f>
        <v>9.5684426485097458E-3</v>
      </c>
      <c r="H6245" t="str">
        <f>IF(Comuni__2[[#This Row],[Popolazione2011]]&gt;300000,"MAGGIORE","")</f>
        <v/>
      </c>
    </row>
    <row r="6246" spans="1:8" x14ac:dyDescent="0.2">
      <c r="A6246"/>
      <c r="B6246"/>
      <c r="C6246"/>
      <c r="D6246"/>
      <c r="E6246" s="2">
        <f>Comuni__2[[#This Row],[Popolazione2011]]/$D$7911</f>
        <v>7.9692944880656378E-4</v>
      </c>
      <c r="F6246">
        <f>SUMIFS($D$2:$D$7909, $B$2:$B$7909, "Sicilia")</f>
        <v>5002904</v>
      </c>
      <c r="G6246" s="1">
        <f>Comuni__2[[#This Row],[Popolazione2011]]/Comuni__2[[#This Row],[POPOLAZIONE TOTALE DI OGNI REGIONE (CON FILTRO)]]</f>
        <v>9.4657023200924902E-3</v>
      </c>
      <c r="H6246" t="str">
        <f>IF(Comuni__2[[#This Row],[Popolazione2011]]&gt;300000,"MAGGIORE","")</f>
        <v/>
      </c>
    </row>
    <row r="6247" spans="1:8" x14ac:dyDescent="0.2">
      <c r="A6247"/>
      <c r="B6247"/>
      <c r="C6247"/>
      <c r="D6247"/>
      <c r="E6247" s="2">
        <f>Comuni__2[[#This Row],[Popolazione2011]]/$D$7911</f>
        <v>7.6256569480574017E-4</v>
      </c>
      <c r="F6247">
        <f>SUMIFS($D$2:$D$7909, $B$2:$B$7909, "Sicilia")</f>
        <v>5002904</v>
      </c>
      <c r="G6247" s="1">
        <f>Comuni__2[[#This Row],[Popolazione2011]]/Comuni__2[[#This Row],[POPOLAZIONE TOTALE DI OGNI REGIONE (CON FILTRO)]]</f>
        <v>9.057539381127442E-3</v>
      </c>
      <c r="H6247" t="str">
        <f>IF(Comuni__2[[#This Row],[Popolazione2011]]&gt;300000,"MAGGIORE","")</f>
        <v/>
      </c>
    </row>
    <row r="6248" spans="1:8" x14ac:dyDescent="0.2">
      <c r="A6248"/>
      <c r="B6248"/>
      <c r="C6248"/>
      <c r="D6248"/>
      <c r="E6248" s="2">
        <f>Comuni__2[[#This Row],[Popolazione2011]]/$D$7911</f>
        <v>7.0060323533902491E-4</v>
      </c>
      <c r="F6248">
        <f>SUMIFS($D$2:$D$7909, $B$2:$B$7909, "Sicilia")</f>
        <v>5002904</v>
      </c>
      <c r="G6248" s="1">
        <f>Comuni__2[[#This Row],[Popolazione2011]]/Comuni__2[[#This Row],[POPOLAZIONE TOTALE DI OGNI REGIONE (CON FILTRO)]]</f>
        <v>8.3215668339828228E-3</v>
      </c>
      <c r="H6248" t="str">
        <f>IF(Comuni__2[[#This Row],[Popolazione2011]]&gt;300000,"MAGGIORE","")</f>
        <v/>
      </c>
    </row>
    <row r="6249" spans="1:8" x14ac:dyDescent="0.2">
      <c r="A6249"/>
      <c r="B6249"/>
      <c r="C6249"/>
      <c r="D6249"/>
      <c r="E6249" s="2">
        <f>Comuni__2[[#This Row],[Popolazione2011]]/$D$7911</f>
        <v>6.8826796027408681E-4</v>
      </c>
      <c r="F6249">
        <f>SUMIFS($D$2:$D$7909, $B$2:$B$7909, "Sicilia")</f>
        <v>5002904</v>
      </c>
      <c r="G6249" s="1">
        <f>Comuni__2[[#This Row],[Popolazione2011]]/Comuni__2[[#This Row],[POPOLAZIONE TOTALE DI OGNI REGIONE (CON FILTRO)]]</f>
        <v>8.1750519298391493E-3</v>
      </c>
      <c r="H6249" t="str">
        <f>IF(Comuni__2[[#This Row],[Popolazione2011]]&gt;300000,"MAGGIORE","")</f>
        <v/>
      </c>
    </row>
    <row r="6250" spans="1:8" x14ac:dyDescent="0.2">
      <c r="A6250"/>
      <c r="B6250"/>
      <c r="C6250"/>
      <c r="D6250"/>
      <c r="E6250" s="2">
        <f>Comuni__2[[#This Row],[Popolazione2011]]/$D$7911</f>
        <v>6.4158575968726759E-4</v>
      </c>
      <c r="F6250">
        <f>SUMIFS($D$2:$D$7909, $B$2:$B$7909, "Sicilia")</f>
        <v>5002904</v>
      </c>
      <c r="G6250" s="1">
        <f>Comuni__2[[#This Row],[Popolazione2011]]/Comuni__2[[#This Row],[POPOLAZIONE TOTALE DI OGNI REGIONE (CON FILTRO)]]</f>
        <v>7.6205739706378534E-3</v>
      </c>
      <c r="H6250" t="str">
        <f>IF(Comuni__2[[#This Row],[Popolazione2011]]&gt;300000,"MAGGIORE","")</f>
        <v/>
      </c>
    </row>
    <row r="6251" spans="1:8" x14ac:dyDescent="0.2">
      <c r="A6251"/>
      <c r="B6251"/>
      <c r="C6251"/>
      <c r="D6251"/>
      <c r="E6251" s="2">
        <f>Comuni__2[[#This Row],[Popolazione2011]]/$D$7911</f>
        <v>6.4155210272938239E-4</v>
      </c>
      <c r="F6251">
        <f>SUMIFS($D$2:$D$7909, $B$2:$B$7909, "Sicilia")</f>
        <v>5002904</v>
      </c>
      <c r="G6251" s="1">
        <f>Comuni__2[[#This Row],[Popolazione2011]]/Comuni__2[[#This Row],[POPOLAZIONE TOTALE DI OGNI REGIONE (CON FILTRO)]]</f>
        <v>7.6201742028230001E-3</v>
      </c>
      <c r="H6251" t="str">
        <f>IF(Comuni__2[[#This Row],[Popolazione2011]]&gt;300000,"MAGGIORE","")</f>
        <v/>
      </c>
    </row>
    <row r="6252" spans="1:8" x14ac:dyDescent="0.2">
      <c r="A6252"/>
      <c r="B6252"/>
      <c r="C6252"/>
      <c r="D6252"/>
      <c r="E6252" s="2">
        <f>Comuni__2[[#This Row],[Popolazione2011]]/$D$7911</f>
        <v>6.397851124404076E-4</v>
      </c>
      <c r="F6252">
        <f>SUMIFS($D$2:$D$7909, $B$2:$B$7909, "Sicilia")</f>
        <v>5002904</v>
      </c>
      <c r="G6252" s="1">
        <f>Comuni__2[[#This Row],[Popolazione2011]]/Comuni__2[[#This Row],[POPOLAZIONE TOTALE DI OGNI REGIONE (CON FILTRO)]]</f>
        <v>7.5991863925432106E-3</v>
      </c>
      <c r="H6252" t="str">
        <f>IF(Comuni__2[[#This Row],[Popolazione2011]]&gt;300000,"MAGGIORE","")</f>
        <v/>
      </c>
    </row>
    <row r="6253" spans="1:8" x14ac:dyDescent="0.2">
      <c r="A6253"/>
      <c r="B6253"/>
      <c r="C6253"/>
      <c r="D6253"/>
      <c r="E6253" s="2">
        <f>Comuni__2[[#This Row],[Popolazione2011]]/$D$7911</f>
        <v>6.0866925487550909E-4</v>
      </c>
      <c r="F6253">
        <f>SUMIFS($D$2:$D$7909, $B$2:$B$7909, "Sicilia")</f>
        <v>5002904</v>
      </c>
      <c r="G6253" s="1">
        <f>Comuni__2[[#This Row],[Popolazione2011]]/Comuni__2[[#This Row],[POPOLAZIONE TOTALE DI OGNI REGIONE (CON FILTRO)]]</f>
        <v>7.2296010477114888E-3</v>
      </c>
      <c r="H6253" t="str">
        <f>IF(Comuni__2[[#This Row],[Popolazione2011]]&gt;300000,"MAGGIORE","")</f>
        <v/>
      </c>
    </row>
    <row r="6254" spans="1:8" x14ac:dyDescent="0.2">
      <c r="A6254"/>
      <c r="B6254"/>
      <c r="C6254"/>
      <c r="D6254"/>
      <c r="E6254" s="2">
        <f>Comuni__2[[#This Row],[Popolazione2011]]/$D$7911</f>
        <v>6.0045695715151199E-4</v>
      </c>
      <c r="F6254">
        <f>SUMIFS($D$2:$D$7909, $B$2:$B$7909, "Sicilia")</f>
        <v>5002904</v>
      </c>
      <c r="G6254" s="1">
        <f>Comuni__2[[#This Row],[Popolazione2011]]/Comuni__2[[#This Row],[POPOLAZIONE TOTALE DI OGNI REGIONE (CON FILTRO)]]</f>
        <v>7.1320577008873245E-3</v>
      </c>
      <c r="H6254" t="str">
        <f>IF(Comuni__2[[#This Row],[Popolazione2011]]&gt;300000,"MAGGIORE","")</f>
        <v/>
      </c>
    </row>
    <row r="6255" spans="1:8" x14ac:dyDescent="0.2">
      <c r="A6255"/>
      <c r="B6255"/>
      <c r="C6255"/>
      <c r="D6255"/>
      <c r="E6255" s="2">
        <f>Comuni__2[[#This Row],[Popolazione2011]]/$D$7911</f>
        <v>5.9823559793108661E-4</v>
      </c>
      <c r="F6255">
        <f>SUMIFS($D$2:$D$7909, $B$2:$B$7909, "Sicilia")</f>
        <v>5002904</v>
      </c>
      <c r="G6255" s="1">
        <f>Comuni__2[[#This Row],[Popolazione2011]]/Comuni__2[[#This Row],[POPOLAZIONE TOTALE DI OGNI REGIONE (CON FILTRO)]]</f>
        <v>7.1056730251070179E-3</v>
      </c>
      <c r="H6255" t="str">
        <f>IF(Comuni__2[[#This Row],[Popolazione2011]]&gt;300000,"MAGGIORE","")</f>
        <v/>
      </c>
    </row>
    <row r="6256" spans="1:8" x14ac:dyDescent="0.2">
      <c r="A6256"/>
      <c r="B6256"/>
      <c r="C6256"/>
      <c r="D6256"/>
      <c r="E6256" s="2">
        <f>Comuni__2[[#This Row],[Popolazione2011]]/$D$7911</f>
        <v>5.8669126137645149E-4</v>
      </c>
      <c r="F6256">
        <f>SUMIFS($D$2:$D$7909, $B$2:$B$7909, "Sicilia")</f>
        <v>5002904</v>
      </c>
      <c r="G6256" s="1">
        <f>Comuni__2[[#This Row],[Popolazione2011]]/Comuni__2[[#This Row],[POPOLAZIONE TOTALE DI OGNI REGIONE (CON FILTRO)]]</f>
        <v>6.9685526646123932E-3</v>
      </c>
      <c r="H6256" t="str">
        <f>IF(Comuni__2[[#This Row],[Popolazione2011]]&gt;300000,"MAGGIORE","")</f>
        <v/>
      </c>
    </row>
    <row r="6257" spans="1:8" x14ac:dyDescent="0.2">
      <c r="A6257"/>
      <c r="B6257"/>
      <c r="C6257"/>
      <c r="D6257"/>
      <c r="E6257" s="2">
        <f>Comuni__2[[#This Row],[Popolazione2011]]/$D$7911</f>
        <v>5.5486860769596291E-4</v>
      </c>
      <c r="F6257">
        <f>SUMIFS($D$2:$D$7909, $B$2:$B$7909, "Sicilia")</f>
        <v>5002904</v>
      </c>
      <c r="G6257" s="1">
        <f>Comuni__2[[#This Row],[Popolazione2011]]/Comuni__2[[#This Row],[POPOLAZIONE TOTALE DI OGNI REGIONE (CON FILTRO)]]</f>
        <v>6.5905721956687558E-3</v>
      </c>
      <c r="H6257" t="str">
        <f>IF(Comuni__2[[#This Row],[Popolazione2011]]&gt;300000,"MAGGIORE","")</f>
        <v/>
      </c>
    </row>
    <row r="6258" spans="1:8" x14ac:dyDescent="0.2">
      <c r="A6258"/>
      <c r="B6258"/>
      <c r="C6258"/>
      <c r="D6258"/>
      <c r="E6258" s="2">
        <f>Comuni__2[[#This Row],[Popolazione2011]]/$D$7911</f>
        <v>5.4096828408936148E-4</v>
      </c>
      <c r="F6258">
        <f>SUMIFS($D$2:$D$7909, $B$2:$B$7909, "Sicilia")</f>
        <v>5002904</v>
      </c>
      <c r="G6258" s="1">
        <f>Comuni__2[[#This Row],[Popolazione2011]]/Comuni__2[[#This Row],[POPOLAZIONE TOTALE DI OGNI REGIONE (CON FILTRO)]]</f>
        <v>6.4254680881344114E-3</v>
      </c>
      <c r="H6258" t="str">
        <f>IF(Comuni__2[[#This Row],[Popolazione2011]]&gt;300000,"MAGGIORE","")</f>
        <v/>
      </c>
    </row>
    <row r="6259" spans="1:8" x14ac:dyDescent="0.2">
      <c r="A6259"/>
      <c r="B6259"/>
      <c r="C6259"/>
      <c r="D6259"/>
      <c r="E6259" s="2">
        <f>Comuni__2[[#This Row],[Popolazione2011]]/$D$7911</f>
        <v>5.3554951386983879E-4</v>
      </c>
      <c r="F6259">
        <f>SUMIFS($D$2:$D$7909, $B$2:$B$7909, "Sicilia")</f>
        <v>5002904</v>
      </c>
      <c r="G6259" s="1">
        <f>Comuni__2[[#This Row],[Popolazione2011]]/Comuni__2[[#This Row],[POPOLAZIONE TOTALE DI OGNI REGIONE (CON FILTRO)]]</f>
        <v>6.3611054699430573E-3</v>
      </c>
      <c r="H6259" t="str">
        <f>IF(Comuni__2[[#This Row],[Popolazione2011]]&gt;300000,"MAGGIORE","")</f>
        <v/>
      </c>
    </row>
    <row r="6260" spans="1:8" x14ac:dyDescent="0.2">
      <c r="A6260"/>
      <c r="B6260"/>
      <c r="C6260"/>
      <c r="D6260"/>
      <c r="E6260" s="2">
        <f>Comuni__2[[#This Row],[Popolazione2011]]/$D$7911</f>
        <v>5.2843106727711194E-4</v>
      </c>
      <c r="F6260">
        <f>SUMIFS($D$2:$D$7909, $B$2:$B$7909, "Sicilia")</f>
        <v>5002904</v>
      </c>
      <c r="G6260" s="1">
        <f>Comuni__2[[#This Row],[Popolazione2011]]/Comuni__2[[#This Row],[POPOLAZIONE TOTALE DI OGNI REGIONE (CON FILTRO)]]</f>
        <v>6.2765545771016193E-3</v>
      </c>
      <c r="H6260" t="str">
        <f>IF(Comuni__2[[#This Row],[Popolazione2011]]&gt;300000,"MAGGIORE","")</f>
        <v/>
      </c>
    </row>
    <row r="6261" spans="1:8" x14ac:dyDescent="0.2">
      <c r="A6261"/>
      <c r="B6261"/>
      <c r="C6261"/>
      <c r="D6261"/>
      <c r="E6261" s="2">
        <f>Comuni__2[[#This Row],[Popolazione2011]]/$D$7911</f>
        <v>5.2720258831430087E-4</v>
      </c>
      <c r="F6261">
        <f>SUMIFS($D$2:$D$7909, $B$2:$B$7909, "Sicilia")</f>
        <v>5002904</v>
      </c>
      <c r="G6261" s="1">
        <f>Comuni__2[[#This Row],[Popolazione2011]]/Comuni__2[[#This Row],[POPOLAZIONE TOTALE DI OGNI REGIONE (CON FILTRO)]]</f>
        <v>6.26196305185948E-3</v>
      </c>
      <c r="H6261" t="str">
        <f>IF(Comuni__2[[#This Row],[Popolazione2011]]&gt;300000,"MAGGIORE","")</f>
        <v/>
      </c>
    </row>
    <row r="6262" spans="1:8" x14ac:dyDescent="0.2">
      <c r="A6262"/>
      <c r="B6262"/>
      <c r="C6262"/>
      <c r="D6262"/>
      <c r="E6262" s="2">
        <f>Comuni__2[[#This Row],[Popolazione2011]]/$D$7911</f>
        <v>5.0458511261542382E-4</v>
      </c>
      <c r="F6262">
        <f>SUMIFS($D$2:$D$7909, $B$2:$B$7909, "Sicilia")</f>
        <v>5002904</v>
      </c>
      <c r="G6262" s="1">
        <f>Comuni__2[[#This Row],[Popolazione2011]]/Comuni__2[[#This Row],[POPOLAZIONE TOTALE DI OGNI REGIONE (CON FILTRO)]]</f>
        <v>5.9933190802781743E-3</v>
      </c>
      <c r="H6262" t="str">
        <f>IF(Comuni__2[[#This Row],[Popolazione2011]]&gt;300000,"MAGGIORE","")</f>
        <v/>
      </c>
    </row>
    <row r="6263" spans="1:8" x14ac:dyDescent="0.2">
      <c r="A6263"/>
      <c r="B6263"/>
      <c r="C6263"/>
      <c r="D6263"/>
      <c r="E6263" s="2">
        <f>Comuni__2[[#This Row],[Popolazione2011]]/$D$7911</f>
        <v>4.9112232946133027E-4</v>
      </c>
      <c r="F6263">
        <f>SUMIFS($D$2:$D$7909, $B$2:$B$7909, "Sicilia")</f>
        <v>5002904</v>
      </c>
      <c r="G6263" s="1">
        <f>Comuni__2[[#This Row],[Popolazione2011]]/Comuni__2[[#This Row],[POPOLAZIONE TOTALE DI OGNI REGIONE (CON FILTRO)]]</f>
        <v>5.8334119543369213E-3</v>
      </c>
      <c r="H6263" t="str">
        <f>IF(Comuni__2[[#This Row],[Popolazione2011]]&gt;300000,"MAGGIORE","")</f>
        <v/>
      </c>
    </row>
    <row r="6264" spans="1:8" x14ac:dyDescent="0.2">
      <c r="A6264"/>
      <c r="B6264"/>
      <c r="C6264"/>
      <c r="D6264"/>
      <c r="E6264" s="2">
        <f>Comuni__2[[#This Row],[Popolazione2011]]/$D$7911</f>
        <v>4.8380194112129197E-4</v>
      </c>
      <c r="F6264">
        <f>SUMIFS($D$2:$D$7909, $B$2:$B$7909, "Sicilia")</f>
        <v>5002904</v>
      </c>
      <c r="G6264" s="1">
        <f>Comuni__2[[#This Row],[Popolazione2011]]/Comuni__2[[#This Row],[POPOLAZIONE TOTALE DI OGNI REGIONE (CON FILTRO)]]</f>
        <v>5.7464624546063646E-3</v>
      </c>
      <c r="H6264" t="str">
        <f>IF(Comuni__2[[#This Row],[Popolazione2011]]&gt;300000,"MAGGIORE","")</f>
        <v/>
      </c>
    </row>
    <row r="6265" spans="1:8" x14ac:dyDescent="0.2">
      <c r="A6265"/>
      <c r="B6265"/>
      <c r="C6265"/>
      <c r="D6265"/>
      <c r="E6265" s="2">
        <f>Comuni__2[[#This Row],[Popolazione2011]]/$D$7911</f>
        <v>4.7311585699273028E-4</v>
      </c>
      <c r="F6265">
        <f>SUMIFS($D$2:$D$7909, $B$2:$B$7909, "Sicilia")</f>
        <v>5002904</v>
      </c>
      <c r="G6265" s="1">
        <f>Comuni__2[[#This Row],[Popolazione2011]]/Comuni__2[[#This Row],[POPOLAZIONE TOTALE DI OGNI REGIONE (CON FILTRO)]]</f>
        <v>5.6195361733904952E-3</v>
      </c>
      <c r="H6265" t="str">
        <f>IF(Comuni__2[[#This Row],[Popolazione2011]]&gt;300000,"MAGGIORE","")</f>
        <v/>
      </c>
    </row>
    <row r="6266" spans="1:8" x14ac:dyDescent="0.2">
      <c r="A6266"/>
      <c r="B6266"/>
      <c r="C6266"/>
      <c r="D6266"/>
      <c r="E6266" s="2">
        <f>Comuni__2[[#This Row],[Popolazione2011]]/$D$7911</f>
        <v>4.7139935214058335E-4</v>
      </c>
      <c r="F6266">
        <f>SUMIFS($D$2:$D$7909, $B$2:$B$7909, "Sicilia")</f>
        <v>5002904</v>
      </c>
      <c r="G6266" s="1">
        <f>Comuni__2[[#This Row],[Popolazione2011]]/Comuni__2[[#This Row],[POPOLAZIONE TOTALE DI OGNI REGIONE (CON FILTRO)]]</f>
        <v>5.5991480148329846E-3</v>
      </c>
      <c r="H6266" t="str">
        <f>IF(Comuni__2[[#This Row],[Popolazione2011]]&gt;300000,"MAGGIORE","")</f>
        <v/>
      </c>
    </row>
    <row r="6267" spans="1:8" x14ac:dyDescent="0.2">
      <c r="A6267"/>
      <c r="B6267"/>
      <c r="C6267"/>
      <c r="D6267"/>
      <c r="E6267" s="2">
        <f>Comuni__2[[#This Row],[Popolazione2011]]/$D$7911</f>
        <v>4.7077669841970652E-4</v>
      </c>
      <c r="F6267">
        <f>SUMIFS($D$2:$D$7909, $B$2:$B$7909, "Sicilia")</f>
        <v>5002904</v>
      </c>
      <c r="G6267" s="1">
        <f>Comuni__2[[#This Row],[Popolazione2011]]/Comuni__2[[#This Row],[POPOLAZIONE TOTALE DI OGNI REGIONE (CON FILTRO)]]</f>
        <v>5.5917523102582021E-3</v>
      </c>
      <c r="H6267" t="str">
        <f>IF(Comuni__2[[#This Row],[Popolazione2011]]&gt;300000,"MAGGIORE","")</f>
        <v/>
      </c>
    </row>
    <row r="6268" spans="1:8" x14ac:dyDescent="0.2">
      <c r="A6268"/>
      <c r="B6268"/>
      <c r="C6268"/>
      <c r="D6268"/>
      <c r="E6268" s="2">
        <f>Comuni__2[[#This Row],[Popolazione2011]]/$D$7911</f>
        <v>4.6941359162535457E-4</v>
      </c>
      <c r="F6268">
        <f>SUMIFS($D$2:$D$7909, $B$2:$B$7909, "Sicilia")</f>
        <v>5002904</v>
      </c>
      <c r="G6268" s="1">
        <f>Comuni__2[[#This Row],[Popolazione2011]]/Comuni__2[[#This Row],[POPOLAZIONE TOTALE DI OGNI REGIONE (CON FILTRO)]]</f>
        <v>5.5755617137566498E-3</v>
      </c>
      <c r="H6268" t="str">
        <f>IF(Comuni__2[[#This Row],[Popolazione2011]]&gt;300000,"MAGGIORE","")</f>
        <v/>
      </c>
    </row>
    <row r="6269" spans="1:8" x14ac:dyDescent="0.2">
      <c r="A6269"/>
      <c r="B6269"/>
      <c r="C6269"/>
      <c r="D6269"/>
      <c r="E6269" s="2">
        <f>Comuni__2[[#This Row],[Popolazione2011]]/$D$7911</f>
        <v>4.6396116444794673E-4</v>
      </c>
      <c r="F6269">
        <f>SUMIFS($D$2:$D$7909, $B$2:$B$7909, "Sicilia")</f>
        <v>5002904</v>
      </c>
      <c r="G6269" s="1">
        <f>Comuni__2[[#This Row],[Popolazione2011]]/Comuni__2[[#This Row],[POPOLAZIONE TOTALE DI OGNI REGIONE (CON FILTRO)]]</f>
        <v>5.5107993277504425E-3</v>
      </c>
      <c r="H6269" t="str">
        <f>IF(Comuni__2[[#This Row],[Popolazione2011]]&gt;300000,"MAGGIORE","")</f>
        <v/>
      </c>
    </row>
    <row r="6270" spans="1:8" x14ac:dyDescent="0.2">
      <c r="A6270"/>
      <c r="B6270"/>
      <c r="C6270"/>
      <c r="D6270"/>
      <c r="E6270" s="2">
        <f>Comuni__2[[#This Row],[Popolazione2011]]/$D$7911</f>
        <v>4.4667831657387919E-4</v>
      </c>
      <c r="F6270">
        <f>SUMIFS($D$2:$D$7909, $B$2:$B$7909, "Sicilia")</f>
        <v>5002904</v>
      </c>
      <c r="G6270" s="1">
        <f>Comuni__2[[#This Row],[Popolazione2011]]/Comuni__2[[#This Row],[POPOLAZIONE TOTALE DI OGNI REGIONE (CON FILTRO)]]</f>
        <v>5.3055185548233586E-3</v>
      </c>
      <c r="H6270" t="str">
        <f>IF(Comuni__2[[#This Row],[Popolazione2011]]&gt;300000,"MAGGIORE","")</f>
        <v/>
      </c>
    </row>
    <row r="6271" spans="1:8" x14ac:dyDescent="0.2">
      <c r="A6271"/>
      <c r="B6271"/>
      <c r="C6271"/>
      <c r="D6271"/>
      <c r="E6271" s="2">
        <f>Comuni__2[[#This Row],[Popolazione2011]]/$D$7911</f>
        <v>4.4390161754834744E-4</v>
      </c>
      <c r="F6271">
        <f>SUMIFS($D$2:$D$7909, $B$2:$B$7909, "Sicilia")</f>
        <v>5002904</v>
      </c>
      <c r="G6271" s="1">
        <f>Comuni__2[[#This Row],[Popolazione2011]]/Comuni__2[[#This Row],[POPOLAZIONE TOTALE DI OGNI REGIONE (CON FILTRO)]]</f>
        <v>5.2725377100979751E-3</v>
      </c>
      <c r="H6271" t="str">
        <f>IF(Comuni__2[[#This Row],[Popolazione2011]]&gt;300000,"MAGGIORE","")</f>
        <v/>
      </c>
    </row>
    <row r="6272" spans="1:8" x14ac:dyDescent="0.2">
      <c r="A6272"/>
      <c r="B6272"/>
      <c r="C6272"/>
      <c r="D6272"/>
      <c r="E6272" s="2">
        <f>Comuni__2[[#This Row],[Popolazione2011]]/$D$7911</f>
        <v>4.4092297677550423E-4</v>
      </c>
      <c r="F6272">
        <f>SUMIFS($D$2:$D$7909, $B$2:$B$7909, "Sicilia")</f>
        <v>5002904</v>
      </c>
      <c r="G6272" s="1">
        <f>Comuni__2[[#This Row],[Popolazione2011]]/Comuni__2[[#This Row],[POPOLAZIONE TOTALE DI OGNI REGIONE (CON FILTRO)]]</f>
        <v>5.2371582584834729E-3</v>
      </c>
      <c r="H6272" t="str">
        <f>IF(Comuni__2[[#This Row],[Popolazione2011]]&gt;300000,"MAGGIORE","")</f>
        <v/>
      </c>
    </row>
    <row r="6273" spans="1:8" x14ac:dyDescent="0.2">
      <c r="A6273"/>
      <c r="B6273"/>
      <c r="C6273"/>
      <c r="D6273"/>
      <c r="E6273" s="2">
        <f>Comuni__2[[#This Row],[Popolazione2011]]/$D$7911</f>
        <v>4.3622783115051416E-4</v>
      </c>
      <c r="F6273">
        <f>SUMIFS($D$2:$D$7909, $B$2:$B$7909, "Sicilia")</f>
        <v>5002904</v>
      </c>
      <c r="G6273" s="1">
        <f>Comuni__2[[#This Row],[Popolazione2011]]/Comuni__2[[#This Row],[POPOLAZIONE TOTALE DI OGNI REGIONE (CON FILTRO)]]</f>
        <v>5.1813906483114611E-3</v>
      </c>
      <c r="H6273" t="str">
        <f>IF(Comuni__2[[#This Row],[Popolazione2011]]&gt;300000,"MAGGIORE","")</f>
        <v/>
      </c>
    </row>
    <row r="6274" spans="1:8" x14ac:dyDescent="0.2">
      <c r="A6274"/>
      <c r="B6274"/>
      <c r="C6274"/>
      <c r="D6274"/>
      <c r="E6274" s="2">
        <f>Comuni__2[[#This Row],[Popolazione2011]]/$D$7911</f>
        <v>4.1202847843103111E-4</v>
      </c>
      <c r="F6274">
        <f>SUMIFS($D$2:$D$7909, $B$2:$B$7909, "Sicilia")</f>
        <v>5002904</v>
      </c>
      <c r="G6274" s="1">
        <f>Comuni__2[[#This Row],[Popolazione2011]]/Comuni__2[[#This Row],[POPOLAZIONE TOTALE DI OGNI REGIONE (CON FILTRO)]]</f>
        <v>4.8939575894320578E-3</v>
      </c>
      <c r="H6274" t="str">
        <f>IF(Comuni__2[[#This Row],[Popolazione2011]]&gt;300000,"MAGGIORE","")</f>
        <v/>
      </c>
    </row>
    <row r="6275" spans="1:8" x14ac:dyDescent="0.2">
      <c r="A6275"/>
      <c r="B6275"/>
      <c r="C6275"/>
      <c r="D6275"/>
      <c r="E6275" s="2">
        <f>Comuni__2[[#This Row],[Popolazione2011]]/$D$7911</f>
        <v>3.9890226485578994E-4</v>
      </c>
      <c r="F6275">
        <f>SUMIFS($D$2:$D$7909, $B$2:$B$7909, "Sicilia")</f>
        <v>5002904</v>
      </c>
      <c r="G6275" s="1">
        <f>Comuni__2[[#This Row],[Popolazione2011]]/Comuni__2[[#This Row],[POPOLAZIONE TOTALE DI OGNI REGIONE (CON FILTRO)]]</f>
        <v>4.7380481416393356E-3</v>
      </c>
      <c r="H6275" t="str">
        <f>IF(Comuni__2[[#This Row],[Popolazione2011]]&gt;300000,"MAGGIORE","")</f>
        <v/>
      </c>
    </row>
    <row r="6276" spans="1:8" x14ac:dyDescent="0.2">
      <c r="A6276"/>
      <c r="B6276"/>
      <c r="C6276"/>
      <c r="D6276"/>
      <c r="E6276" s="2">
        <f>Comuni__2[[#This Row],[Popolazione2011]]/$D$7911</f>
        <v>3.9888543637684734E-4</v>
      </c>
      <c r="F6276">
        <f>SUMIFS($D$2:$D$7909, $B$2:$B$7909, "Sicilia")</f>
        <v>5002904</v>
      </c>
      <c r="G6276" s="1">
        <f>Comuni__2[[#This Row],[Popolazione2011]]/Comuni__2[[#This Row],[POPOLAZIONE TOTALE DI OGNI REGIONE (CON FILTRO)]]</f>
        <v>4.737848257731909E-3</v>
      </c>
      <c r="H6276" t="str">
        <f>IF(Comuni__2[[#This Row],[Popolazione2011]]&gt;300000,"MAGGIORE","")</f>
        <v/>
      </c>
    </row>
    <row r="6277" spans="1:8" x14ac:dyDescent="0.2">
      <c r="A6277"/>
      <c r="B6277"/>
      <c r="C6277"/>
      <c r="D6277"/>
      <c r="E6277" s="2">
        <f>Comuni__2[[#This Row],[Popolazione2011]]/$D$7911</f>
        <v>3.9787572764029031E-4</v>
      </c>
      <c r="F6277">
        <f>SUMIFS($D$2:$D$7909, $B$2:$B$7909, "Sicilia")</f>
        <v>5002904</v>
      </c>
      <c r="G6277" s="1">
        <f>Comuni__2[[#This Row],[Popolazione2011]]/Comuni__2[[#This Row],[POPOLAZIONE TOTALE DI OGNI REGIONE (CON FILTRO)]]</f>
        <v>4.7258552232863149E-3</v>
      </c>
      <c r="H6277" t="str">
        <f>IF(Comuni__2[[#This Row],[Popolazione2011]]&gt;300000,"MAGGIORE","")</f>
        <v/>
      </c>
    </row>
    <row r="6278" spans="1:8" x14ac:dyDescent="0.2">
      <c r="A6278"/>
      <c r="B6278"/>
      <c r="C6278"/>
      <c r="D6278"/>
      <c r="E6278" s="2">
        <f>Comuni__2[[#This Row],[Popolazione2011]]/$D$7911</f>
        <v>3.9419029075185721E-4</v>
      </c>
      <c r="F6278">
        <f>SUMIFS($D$2:$D$7909, $B$2:$B$7909, "Sicilia")</f>
        <v>5002904</v>
      </c>
      <c r="G6278" s="1">
        <f>Comuni__2[[#This Row],[Popolazione2011]]/Comuni__2[[#This Row],[POPOLAZIONE TOTALE DI OGNI REGIONE (CON FILTRO)]]</f>
        <v>4.6820806475598971E-3</v>
      </c>
      <c r="H6278" t="str">
        <f>IF(Comuni__2[[#This Row],[Popolazione2011]]&gt;300000,"MAGGIORE","")</f>
        <v/>
      </c>
    </row>
    <row r="6279" spans="1:8" x14ac:dyDescent="0.2">
      <c r="A6279"/>
      <c r="B6279"/>
      <c r="C6279"/>
      <c r="D6279"/>
      <c r="E6279" s="2">
        <f>Comuni__2[[#This Row],[Popolazione2011]]/$D$7911</f>
        <v>3.8175404481326339E-4</v>
      </c>
      <c r="F6279">
        <f>SUMIFS($D$2:$D$7909, $B$2:$B$7909, "Sicilia")</f>
        <v>5002904</v>
      </c>
      <c r="G6279" s="1">
        <f>Comuni__2[[#This Row],[Popolazione2011]]/Comuni__2[[#This Row],[POPOLAZIONE TOTALE DI OGNI REGIONE (CON FILTRO)]]</f>
        <v>4.5343664399716647E-3</v>
      </c>
      <c r="H6279" t="str">
        <f>IF(Comuni__2[[#This Row],[Popolazione2011]]&gt;300000,"MAGGIORE","")</f>
        <v/>
      </c>
    </row>
    <row r="6280" spans="1:8" x14ac:dyDescent="0.2">
      <c r="A6280"/>
      <c r="B6280"/>
      <c r="C6280"/>
      <c r="D6280"/>
      <c r="E6280" s="2">
        <f>Comuni__2[[#This Row],[Popolazione2011]]/$D$7911</f>
        <v>3.7352491861032374E-4</v>
      </c>
      <c r="F6280">
        <f>SUMIFS($D$2:$D$7909, $B$2:$B$7909, "Sicilia")</f>
        <v>5002904</v>
      </c>
      <c r="G6280" s="1">
        <f>Comuni__2[[#This Row],[Popolazione2011]]/Comuni__2[[#This Row],[POPOLAZIONE TOTALE DI OGNI REGIONE (CON FILTRO)]]</f>
        <v>4.436623209240073E-3</v>
      </c>
      <c r="H6280" t="str">
        <f>IF(Comuni__2[[#This Row],[Popolazione2011]]&gt;300000,"MAGGIORE","")</f>
        <v/>
      </c>
    </row>
    <row r="6281" spans="1:8" x14ac:dyDescent="0.2">
      <c r="A6281"/>
      <c r="B6281"/>
      <c r="C6281"/>
      <c r="D6281"/>
      <c r="E6281" s="2">
        <f>Comuni__2[[#This Row],[Popolazione2011]]/$D$7911</f>
        <v>3.7137087330566876E-4</v>
      </c>
      <c r="F6281">
        <f>SUMIFS($D$2:$D$7909, $B$2:$B$7909, "Sicilia")</f>
        <v>5002904</v>
      </c>
      <c r="G6281" s="1">
        <f>Comuni__2[[#This Row],[Popolazione2011]]/Comuni__2[[#This Row],[POPOLAZIONE TOTALE DI OGNI REGIONE (CON FILTRO)]]</f>
        <v>4.4110380690894728E-3</v>
      </c>
      <c r="H6281" t="str">
        <f>IF(Comuni__2[[#This Row],[Popolazione2011]]&gt;300000,"MAGGIORE","")</f>
        <v/>
      </c>
    </row>
    <row r="6282" spans="1:8" x14ac:dyDescent="0.2">
      <c r="A6282"/>
      <c r="B6282"/>
      <c r="C6282"/>
      <c r="D6282"/>
      <c r="E6282" s="2">
        <f>Comuni__2[[#This Row],[Popolazione2011]]/$D$7911</f>
        <v>3.7105113220575904E-4</v>
      </c>
      <c r="F6282">
        <f>SUMIFS($D$2:$D$7909, $B$2:$B$7909, "Sicilia")</f>
        <v>5002904</v>
      </c>
      <c r="G6282" s="1">
        <f>Comuni__2[[#This Row],[Popolazione2011]]/Comuni__2[[#This Row],[POPOLAZIONE TOTALE DI OGNI REGIONE (CON FILTRO)]]</f>
        <v>4.4072402748483678E-3</v>
      </c>
      <c r="H6282" t="str">
        <f>IF(Comuni__2[[#This Row],[Popolazione2011]]&gt;300000,"MAGGIORE","")</f>
        <v/>
      </c>
    </row>
    <row r="6283" spans="1:8" x14ac:dyDescent="0.2">
      <c r="A6283"/>
      <c r="B6283"/>
      <c r="C6283"/>
      <c r="D6283"/>
      <c r="E6283" s="2">
        <f>Comuni__2[[#This Row],[Popolazione2011]]/$D$7911</f>
        <v>3.6224983771877042E-4</v>
      </c>
      <c r="F6283">
        <f>SUMIFS($D$2:$D$7909, $B$2:$B$7909, "Sicilia")</f>
        <v>5002904</v>
      </c>
      <c r="G6283" s="1">
        <f>Comuni__2[[#This Row],[Popolazione2011]]/Comuni__2[[#This Row],[POPOLAZIONE TOTALE DI OGNI REGIONE (CON FILTRO)]]</f>
        <v>4.3027009912642734E-3</v>
      </c>
      <c r="H6283" t="str">
        <f>IF(Comuni__2[[#This Row],[Popolazione2011]]&gt;300000,"MAGGIORE","")</f>
        <v/>
      </c>
    </row>
    <row r="6284" spans="1:8" x14ac:dyDescent="0.2">
      <c r="A6284"/>
      <c r="B6284"/>
      <c r="C6284"/>
      <c r="D6284"/>
      <c r="E6284" s="2">
        <f>Comuni__2[[#This Row],[Popolazione2011]]/$D$7911</f>
        <v>3.539365691211177E-4</v>
      </c>
      <c r="F6284">
        <f>SUMIFS($D$2:$D$7909, $B$2:$B$7909, "Sicilia")</f>
        <v>5002904</v>
      </c>
      <c r="G6284" s="1">
        <f>Comuni__2[[#This Row],[Popolazione2011]]/Comuni__2[[#This Row],[POPOLAZIONE TOTALE DI OGNI REGIONE (CON FILTRO)]]</f>
        <v>4.2039583409955502E-3</v>
      </c>
      <c r="H6284" t="str">
        <f>IF(Comuni__2[[#This Row],[Popolazione2011]]&gt;300000,"MAGGIORE","")</f>
        <v/>
      </c>
    </row>
    <row r="6285" spans="1:8" x14ac:dyDescent="0.2">
      <c r="A6285"/>
      <c r="B6285"/>
      <c r="C6285"/>
      <c r="D6285"/>
      <c r="E6285" s="2">
        <f>Comuni__2[[#This Row],[Popolazione2011]]/$D$7911</f>
        <v>3.3352362416372348E-4</v>
      </c>
      <c r="F6285">
        <f>SUMIFS($D$2:$D$7909, $B$2:$B$7909, "Sicilia")</f>
        <v>5002904</v>
      </c>
      <c r="G6285" s="1">
        <f>Comuni__2[[#This Row],[Popolazione2011]]/Comuni__2[[#This Row],[POPOLAZIONE TOTALE DI OGNI REGIONE (CON FILTRO)]]</f>
        <v>3.9614991612871246E-3</v>
      </c>
      <c r="H6285" t="str">
        <f>IF(Comuni__2[[#This Row],[Popolazione2011]]&gt;300000,"MAGGIORE","")</f>
        <v/>
      </c>
    </row>
    <row r="6286" spans="1:8" x14ac:dyDescent="0.2">
      <c r="A6286"/>
      <c r="B6286"/>
      <c r="C6286"/>
      <c r="D6286"/>
      <c r="E6286" s="2">
        <f>Comuni__2[[#This Row],[Popolazione2011]]/$D$7911</f>
        <v>3.2482330055039053E-4</v>
      </c>
      <c r="F6286">
        <f>SUMIFS($D$2:$D$7909, $B$2:$B$7909, "Sicilia")</f>
        <v>5002904</v>
      </c>
      <c r="G6286" s="1">
        <f>Comuni__2[[#This Row],[Popolazione2011]]/Comuni__2[[#This Row],[POPOLAZIONE TOTALE DI OGNI REGIONE (CON FILTRO)]]</f>
        <v>3.8581591811475894E-3</v>
      </c>
      <c r="H6286" t="str">
        <f>IF(Comuni__2[[#This Row],[Popolazione2011]]&gt;300000,"MAGGIORE","")</f>
        <v/>
      </c>
    </row>
    <row r="6287" spans="1:8" x14ac:dyDescent="0.2">
      <c r="A6287"/>
      <c r="B6287"/>
      <c r="C6287"/>
      <c r="D6287"/>
      <c r="E6287" s="2">
        <f>Comuni__2[[#This Row],[Popolazione2011]]/$D$7911</f>
        <v>3.2367896398229258E-4</v>
      </c>
      <c r="F6287">
        <f>SUMIFS($D$2:$D$7909, $B$2:$B$7909, "Sicilia")</f>
        <v>5002904</v>
      </c>
      <c r="G6287" s="1">
        <f>Comuni__2[[#This Row],[Popolazione2011]]/Comuni__2[[#This Row],[POPOLAZIONE TOTALE DI OGNI REGIONE (CON FILTRO)]]</f>
        <v>3.8445670754425829E-3</v>
      </c>
      <c r="H6287" t="str">
        <f>IF(Comuni__2[[#This Row],[Popolazione2011]]&gt;300000,"MAGGIORE","")</f>
        <v/>
      </c>
    </row>
    <row r="6288" spans="1:8" x14ac:dyDescent="0.2">
      <c r="A6288"/>
      <c r="B6288"/>
      <c r="C6288"/>
      <c r="D6288"/>
      <c r="E6288" s="2">
        <f>Comuni__2[[#This Row],[Popolazione2011]]/$D$7911</f>
        <v>3.1854627790479446E-4</v>
      </c>
      <c r="F6288">
        <f>SUMIFS($D$2:$D$7909, $B$2:$B$7909, "Sicilia")</f>
        <v>5002904</v>
      </c>
      <c r="G6288" s="1">
        <f>Comuni__2[[#This Row],[Popolazione2011]]/Comuni__2[[#This Row],[POPOLAZIONE TOTALE DI OGNI REGIONE (CON FILTRO)]]</f>
        <v>3.7836024836774801E-3</v>
      </c>
      <c r="H6288" t="str">
        <f>IF(Comuni__2[[#This Row],[Popolazione2011]]&gt;300000,"MAGGIORE","")</f>
        <v/>
      </c>
    </row>
    <row r="6289" spans="1:8" x14ac:dyDescent="0.2">
      <c r="A6289"/>
      <c r="B6289"/>
      <c r="C6289"/>
      <c r="D6289"/>
      <c r="E6289" s="2">
        <f>Comuni__2[[#This Row],[Popolazione2011]]/$D$7911</f>
        <v>3.0496569539810269E-4</v>
      </c>
      <c r="F6289">
        <f>SUMIFS($D$2:$D$7909, $B$2:$B$7909, "Sicilia")</f>
        <v>5002904</v>
      </c>
      <c r="G6289" s="1">
        <f>Comuni__2[[#This Row],[Popolazione2011]]/Comuni__2[[#This Row],[POPOLAZIONE TOTALE DI OGNI REGIONE (CON FILTRO)]]</f>
        <v>3.6222961703842407E-3</v>
      </c>
      <c r="H6289" t="str">
        <f>IF(Comuni__2[[#This Row],[Popolazione2011]]&gt;300000,"MAGGIORE","")</f>
        <v/>
      </c>
    </row>
    <row r="6290" spans="1:8" x14ac:dyDescent="0.2">
      <c r="A6290"/>
      <c r="B6290"/>
      <c r="C6290"/>
      <c r="D6290"/>
      <c r="E6290" s="2">
        <f>Comuni__2[[#This Row],[Popolazione2011]]/$D$7911</f>
        <v>3.0220582485151348E-4</v>
      </c>
      <c r="F6290">
        <f>SUMIFS($D$2:$D$7909, $B$2:$B$7909, "Sicilia")</f>
        <v>5002904</v>
      </c>
      <c r="G6290" s="1">
        <f>Comuni__2[[#This Row],[Popolazione2011]]/Comuni__2[[#This Row],[POPOLAZIONE TOTALE DI OGNI REGIONE (CON FILTRO)]]</f>
        <v>3.5895152095662838E-3</v>
      </c>
      <c r="H6290" t="str">
        <f>IF(Comuni__2[[#This Row],[Popolazione2011]]&gt;300000,"MAGGIORE","")</f>
        <v/>
      </c>
    </row>
    <row r="6291" spans="1:8" x14ac:dyDescent="0.2">
      <c r="A6291"/>
      <c r="B6291"/>
      <c r="C6291"/>
      <c r="D6291"/>
      <c r="E6291" s="2">
        <f>Comuni__2[[#This Row],[Popolazione2011]]/$D$7911</f>
        <v>2.906278313389931E-4</v>
      </c>
      <c r="F6291">
        <f>SUMIFS($D$2:$D$7909, $B$2:$B$7909, "Sicilia")</f>
        <v>5002904</v>
      </c>
      <c r="G6291" s="1">
        <f>Comuni__2[[#This Row],[Popolazione2011]]/Comuni__2[[#This Row],[POPOLAZIONE TOTALE DI OGNI REGIONE (CON FILTRO)]]</f>
        <v>3.4519950812568062E-3</v>
      </c>
      <c r="H6291" t="str">
        <f>IF(Comuni__2[[#This Row],[Popolazione2011]]&gt;300000,"MAGGIORE","")</f>
        <v/>
      </c>
    </row>
    <row r="6292" spans="1:8" x14ac:dyDescent="0.2">
      <c r="A6292"/>
      <c r="B6292"/>
      <c r="C6292"/>
      <c r="D6292"/>
      <c r="E6292" s="2">
        <f>Comuni__2[[#This Row],[Popolazione2011]]/$D$7911</f>
        <v>2.8919741062887068E-4</v>
      </c>
      <c r="F6292">
        <f>SUMIFS($D$2:$D$7909, $B$2:$B$7909, "Sicilia")</f>
        <v>5002904</v>
      </c>
      <c r="G6292" s="1">
        <f>Comuni__2[[#This Row],[Popolazione2011]]/Comuni__2[[#This Row],[POPOLAZIONE TOTALE DI OGNI REGIONE (CON FILTRO)]]</f>
        <v>3.4350049491255479E-3</v>
      </c>
      <c r="H6292" t="str">
        <f>IF(Comuni__2[[#This Row],[Popolazione2011]]&gt;300000,"MAGGIORE","")</f>
        <v/>
      </c>
    </row>
    <row r="6293" spans="1:8" x14ac:dyDescent="0.2">
      <c r="A6293"/>
      <c r="B6293"/>
      <c r="C6293"/>
      <c r="D6293"/>
      <c r="E6293" s="2">
        <f>Comuni__2[[#This Row],[Popolazione2011]]/$D$7911</f>
        <v>2.8340841387261047E-4</v>
      </c>
      <c r="F6293">
        <f>SUMIFS($D$2:$D$7909, $B$2:$B$7909, "Sicilia")</f>
        <v>5002904</v>
      </c>
      <c r="G6293" s="1">
        <f>Comuni__2[[#This Row],[Popolazione2011]]/Comuni__2[[#This Row],[POPOLAZIONE TOTALE DI OGNI REGIONE (CON FILTRO)]]</f>
        <v>3.3662448849708089E-3</v>
      </c>
      <c r="H6293" t="str">
        <f>IF(Comuni__2[[#This Row],[Popolazione2011]]&gt;300000,"MAGGIORE","")</f>
        <v/>
      </c>
    </row>
    <row r="6294" spans="1:8" x14ac:dyDescent="0.2">
      <c r="A6294"/>
      <c r="B6294"/>
      <c r="C6294"/>
      <c r="D6294"/>
      <c r="E6294" s="2">
        <f>Comuni__2[[#This Row],[Popolazione2011]]/$D$7911</f>
        <v>2.7834304171088281E-4</v>
      </c>
      <c r="F6294">
        <f>SUMIFS($D$2:$D$7909, $B$2:$B$7909, "Sicilia")</f>
        <v>5002904</v>
      </c>
      <c r="G6294" s="1">
        <f>Comuni__2[[#This Row],[Popolazione2011]]/Comuni__2[[#This Row],[POPOLAZIONE TOTALE DI OGNI REGIONE (CON FILTRO)]]</f>
        <v>3.3060798288354126E-3</v>
      </c>
      <c r="H6294" t="str">
        <f>IF(Comuni__2[[#This Row],[Popolazione2011]]&gt;300000,"MAGGIORE","")</f>
        <v/>
      </c>
    </row>
    <row r="6295" spans="1:8" x14ac:dyDescent="0.2">
      <c r="A6295"/>
      <c r="B6295"/>
      <c r="C6295"/>
      <c r="D6295"/>
      <c r="E6295" s="2">
        <f>Comuni__2[[#This Row],[Popolazione2011]]/$D$7911</f>
        <v>2.5448025857025209E-4</v>
      </c>
      <c r="F6295">
        <f>SUMIFS($D$2:$D$7909, $B$2:$B$7909, "Sicilia")</f>
        <v>5002904</v>
      </c>
      <c r="G6295" s="1">
        <f>Comuni__2[[#This Row],[Popolazione2011]]/Comuni__2[[#This Row],[POPOLAZIONE TOTALE DI OGNI REGIONE (CON FILTRO)]]</f>
        <v>3.022644448104541E-3</v>
      </c>
      <c r="H6295" t="str">
        <f>IF(Comuni__2[[#This Row],[Popolazione2011]]&gt;300000,"MAGGIORE","")</f>
        <v/>
      </c>
    </row>
    <row r="6296" spans="1:8" x14ac:dyDescent="0.2">
      <c r="A6296"/>
      <c r="B6296"/>
      <c r="C6296"/>
      <c r="D6296"/>
      <c r="E6296" s="2">
        <f>Comuni__2[[#This Row],[Popolazione2011]]/$D$7911</f>
        <v>2.4574627799903392E-4</v>
      </c>
      <c r="F6296">
        <f>SUMIFS($D$2:$D$7909, $B$2:$B$7909, "Sicilia")</f>
        <v>5002904</v>
      </c>
      <c r="G6296" s="1">
        <f>Comuni__2[[#This Row],[Popolazione2011]]/Comuni__2[[#This Row],[POPOLAZIONE TOTALE DI OGNI REGIONE (CON FILTRO)]]</f>
        <v>2.9189047001501526E-3</v>
      </c>
      <c r="H6296" t="str">
        <f>IF(Comuni__2[[#This Row],[Popolazione2011]]&gt;300000,"MAGGIORE","")</f>
        <v/>
      </c>
    </row>
    <row r="6297" spans="1:8" x14ac:dyDescent="0.2">
      <c r="A6297"/>
      <c r="B6297"/>
      <c r="C6297"/>
      <c r="D6297"/>
      <c r="E6297" s="2">
        <f>Comuni__2[[#This Row],[Popolazione2011]]/$D$7911</f>
        <v>2.4155598674232236E-4</v>
      </c>
      <c r="F6297">
        <f>SUMIFS($D$2:$D$7909, $B$2:$B$7909, "Sicilia")</f>
        <v>5002904</v>
      </c>
      <c r="G6297" s="1">
        <f>Comuni__2[[#This Row],[Popolazione2011]]/Comuni__2[[#This Row],[POPOLAZIONE TOTALE DI OGNI REGIONE (CON FILTRO)]]</f>
        <v>2.8691336072009378E-3</v>
      </c>
      <c r="H6297" t="str">
        <f>IF(Comuni__2[[#This Row],[Popolazione2011]]&gt;300000,"MAGGIORE","")</f>
        <v/>
      </c>
    </row>
    <row r="6298" spans="1:8" x14ac:dyDescent="0.2">
      <c r="A6298"/>
      <c r="B6298"/>
      <c r="C6298"/>
      <c r="D6298"/>
      <c r="E6298" s="2">
        <f>Comuni__2[[#This Row],[Popolazione2011]]/$D$7911</f>
        <v>2.4017605146902776E-4</v>
      </c>
      <c r="F6298">
        <f>SUMIFS($D$2:$D$7909, $B$2:$B$7909, "Sicilia")</f>
        <v>5002904</v>
      </c>
      <c r="G6298" s="1">
        <f>Comuni__2[[#This Row],[Popolazione2011]]/Comuni__2[[#This Row],[POPOLAZIONE TOTALE DI OGNI REGIONE (CON FILTRO)]]</f>
        <v>2.8527431267919593E-3</v>
      </c>
      <c r="H6298" t="str">
        <f>IF(Comuni__2[[#This Row],[Popolazione2011]]&gt;300000,"MAGGIORE","")</f>
        <v/>
      </c>
    </row>
    <row r="6299" spans="1:8" x14ac:dyDescent="0.2">
      <c r="A6299"/>
      <c r="B6299"/>
      <c r="C6299"/>
      <c r="D6299"/>
      <c r="E6299" s="2">
        <f>Comuni__2[[#This Row],[Popolazione2011]]/$D$7911</f>
        <v>2.3864465988524962E-4</v>
      </c>
      <c r="F6299">
        <f>SUMIFS($D$2:$D$7909, $B$2:$B$7909, "Sicilia")</f>
        <v>5002904</v>
      </c>
      <c r="G6299" s="1">
        <f>Comuni__2[[#This Row],[Popolazione2011]]/Comuni__2[[#This Row],[POPOLAZIONE TOTALE DI OGNI REGIONE (CON FILTRO)]]</f>
        <v>2.8345536912161417E-3</v>
      </c>
      <c r="H6299" t="str">
        <f>IF(Comuni__2[[#This Row],[Popolazione2011]]&gt;300000,"MAGGIORE","")</f>
        <v/>
      </c>
    </row>
    <row r="6300" spans="1:8" x14ac:dyDescent="0.2">
      <c r="A6300"/>
      <c r="B6300"/>
      <c r="C6300"/>
      <c r="D6300"/>
      <c r="E6300" s="2">
        <f>Comuni__2[[#This Row],[Popolazione2011]]/$D$7911</f>
        <v>2.352116501809558E-4</v>
      </c>
      <c r="F6300">
        <f>SUMIFS($D$2:$D$7909, $B$2:$B$7909, "Sicilia")</f>
        <v>5002904</v>
      </c>
      <c r="G6300" s="1">
        <f>Comuni__2[[#This Row],[Popolazione2011]]/Comuni__2[[#This Row],[POPOLAZIONE TOTALE DI OGNI REGIONE (CON FILTRO)]]</f>
        <v>2.7937773741011219E-3</v>
      </c>
      <c r="H6300" t="str">
        <f>IF(Comuni__2[[#This Row],[Popolazione2011]]&gt;300000,"MAGGIORE","")</f>
        <v/>
      </c>
    </row>
    <row r="6301" spans="1:8" x14ac:dyDescent="0.2">
      <c r="A6301"/>
      <c r="B6301"/>
      <c r="C6301"/>
      <c r="D6301"/>
      <c r="E6301" s="2">
        <f>Comuni__2[[#This Row],[Popolazione2011]]/$D$7911</f>
        <v>2.3354563076563673E-4</v>
      </c>
      <c r="F6301">
        <f>SUMIFS($D$2:$D$7909, $B$2:$B$7909, "Sicilia")</f>
        <v>5002904</v>
      </c>
      <c r="G6301" s="1">
        <f>Comuni__2[[#This Row],[Popolazione2011]]/Comuni__2[[#This Row],[POPOLAZIONE TOTALE DI OGNI REGIONE (CON FILTRO)]]</f>
        <v>2.7739888672658921E-3</v>
      </c>
      <c r="H6301" t="str">
        <f>IF(Comuni__2[[#This Row],[Popolazione2011]]&gt;300000,"MAGGIORE","")</f>
        <v/>
      </c>
    </row>
    <row r="6302" spans="1:8" x14ac:dyDescent="0.2">
      <c r="A6302"/>
      <c r="B6302"/>
      <c r="C6302"/>
      <c r="D6302"/>
      <c r="E6302" s="2">
        <f>Comuni__2[[#This Row],[Popolazione2011]]/$D$7911</f>
        <v>2.3209838157657166E-4</v>
      </c>
      <c r="F6302">
        <f>SUMIFS($D$2:$D$7909, $B$2:$B$7909, "Sicilia")</f>
        <v>5002904</v>
      </c>
      <c r="G6302" s="1">
        <f>Comuni__2[[#This Row],[Popolazione2011]]/Comuni__2[[#This Row],[POPOLAZIONE TOTALE DI OGNI REGIONE (CON FILTRO)]]</f>
        <v>2.7567988512272072E-3</v>
      </c>
      <c r="H6302" t="str">
        <f>IF(Comuni__2[[#This Row],[Popolazione2011]]&gt;300000,"MAGGIORE","")</f>
        <v/>
      </c>
    </row>
    <row r="6303" spans="1:8" x14ac:dyDescent="0.2">
      <c r="A6303"/>
      <c r="B6303"/>
      <c r="C6303"/>
      <c r="D6303"/>
      <c r="E6303" s="2">
        <f>Comuni__2[[#This Row],[Popolazione2011]]/$D$7911</f>
        <v>2.2423948191036959E-4</v>
      </c>
      <c r="F6303">
        <f>SUMIFS($D$2:$D$7909, $B$2:$B$7909, "Sicilia")</f>
        <v>5002904</v>
      </c>
      <c r="G6303" s="1">
        <f>Comuni__2[[#This Row],[Popolazione2011]]/Comuni__2[[#This Row],[POPOLAZIONE TOTALE DI OGNI REGIONE (CON FILTRO)]]</f>
        <v>2.6634530664590007E-3</v>
      </c>
      <c r="H6303" t="str">
        <f>IF(Comuni__2[[#This Row],[Popolazione2011]]&gt;300000,"MAGGIORE","")</f>
        <v/>
      </c>
    </row>
    <row r="6304" spans="1:8" x14ac:dyDescent="0.2">
      <c r="A6304"/>
      <c r="B6304"/>
      <c r="C6304"/>
      <c r="D6304"/>
      <c r="E6304" s="2">
        <f>Comuni__2[[#This Row],[Popolazione2011]]/$D$7911</f>
        <v>2.231456307790995E-4</v>
      </c>
      <c r="F6304">
        <f>SUMIFS($D$2:$D$7909, $B$2:$B$7909, "Sicilia")</f>
        <v>5002904</v>
      </c>
      <c r="G6304" s="1">
        <f>Comuni__2[[#This Row],[Popolazione2011]]/Comuni__2[[#This Row],[POPOLAZIONE TOTALE DI OGNI REGIONE (CON FILTRO)]]</f>
        <v>2.6504606124762736E-3</v>
      </c>
      <c r="H6304" t="str">
        <f>IF(Comuni__2[[#This Row],[Popolazione2011]]&gt;300000,"MAGGIORE","")</f>
        <v/>
      </c>
    </row>
    <row r="6305" spans="1:8" x14ac:dyDescent="0.2">
      <c r="A6305"/>
      <c r="B6305"/>
      <c r="C6305"/>
      <c r="D6305"/>
      <c r="E6305" s="2">
        <f>Comuni__2[[#This Row],[Popolazione2011]]/$D$7911</f>
        <v>2.20049190653658E-4</v>
      </c>
      <c r="F6305">
        <f>SUMIFS($D$2:$D$7909, $B$2:$B$7909, "Sicilia")</f>
        <v>5002904</v>
      </c>
      <c r="G6305" s="1">
        <f>Comuni__2[[#This Row],[Popolazione2011]]/Comuni__2[[#This Row],[POPOLAZIONE TOTALE DI OGNI REGIONE (CON FILTRO)]]</f>
        <v>2.6136819735097854E-3</v>
      </c>
      <c r="H6305" t="str">
        <f>IF(Comuni__2[[#This Row],[Popolazione2011]]&gt;300000,"MAGGIORE","")</f>
        <v/>
      </c>
    </row>
    <row r="6306" spans="1:8" x14ac:dyDescent="0.2">
      <c r="A6306"/>
      <c r="B6306"/>
      <c r="C6306"/>
      <c r="D6306"/>
      <c r="E6306" s="2">
        <f>Comuni__2[[#This Row],[Popolazione2011]]/$D$7911</f>
        <v>2.1984724890634661E-4</v>
      </c>
      <c r="F6306">
        <f>SUMIFS($D$2:$D$7909, $B$2:$B$7909, "Sicilia")</f>
        <v>5002904</v>
      </c>
      <c r="G6306" s="1">
        <f>Comuni__2[[#This Row],[Popolazione2011]]/Comuni__2[[#This Row],[POPOLAZIONE TOTALE DI OGNI REGIONE (CON FILTRO)]]</f>
        <v>2.6112833666206668E-3</v>
      </c>
      <c r="H6306" t="str">
        <f>IF(Comuni__2[[#This Row],[Popolazione2011]]&gt;300000,"MAGGIORE","")</f>
        <v/>
      </c>
    </row>
    <row r="6307" spans="1:8" x14ac:dyDescent="0.2">
      <c r="A6307"/>
      <c r="B6307"/>
      <c r="C6307"/>
      <c r="D6307"/>
      <c r="E6307" s="2">
        <f>Comuni__2[[#This Row],[Popolazione2011]]/$D$7911</f>
        <v>2.1747443337543764E-4</v>
      </c>
      <c r="F6307">
        <f>SUMIFS($D$2:$D$7909, $B$2:$B$7909, "Sicilia")</f>
        <v>5002904</v>
      </c>
      <c r="G6307" s="1">
        <f>Comuni__2[[#This Row],[Popolazione2011]]/Comuni__2[[#This Row],[POPOLAZIONE TOTALE DI OGNI REGIONE (CON FILTRO)]]</f>
        <v>2.583099735673521E-3</v>
      </c>
      <c r="H6307" t="str">
        <f>IF(Comuni__2[[#This Row],[Popolazione2011]]&gt;300000,"MAGGIORE","")</f>
        <v/>
      </c>
    </row>
    <row r="6308" spans="1:8" x14ac:dyDescent="0.2">
      <c r="A6308"/>
      <c r="B6308"/>
      <c r="C6308"/>
      <c r="D6308"/>
      <c r="E6308" s="2">
        <f>Comuni__2[[#This Row],[Popolazione2011]]/$D$7911</f>
        <v>2.1702006444398696E-4</v>
      </c>
      <c r="F6308">
        <f>SUMIFS($D$2:$D$7909, $B$2:$B$7909, "Sicilia")</f>
        <v>5002904</v>
      </c>
      <c r="G6308" s="1">
        <f>Comuni__2[[#This Row],[Popolazione2011]]/Comuni__2[[#This Row],[POPOLAZIONE TOTALE DI OGNI REGIONE (CON FILTRO)]]</f>
        <v>2.5777028701730034E-3</v>
      </c>
      <c r="H6308" t="str">
        <f>IF(Comuni__2[[#This Row],[Popolazione2011]]&gt;300000,"MAGGIORE","")</f>
        <v/>
      </c>
    </row>
    <row r="6309" spans="1:8" x14ac:dyDescent="0.2">
      <c r="A6309"/>
      <c r="B6309"/>
      <c r="C6309"/>
      <c r="D6309"/>
      <c r="E6309" s="2">
        <f>Comuni__2[[#This Row],[Popolazione2011]]/$D$7911</f>
        <v>2.1602718418637257E-4</v>
      </c>
      <c r="F6309">
        <f>SUMIFS($D$2:$D$7909, $B$2:$B$7909, "Sicilia")</f>
        <v>5002904</v>
      </c>
      <c r="G6309" s="1">
        <f>Comuni__2[[#This Row],[Popolazione2011]]/Comuni__2[[#This Row],[POPOLAZIONE TOTALE DI OGNI REGIONE (CON FILTRO)]]</f>
        <v>2.565909719634836E-3</v>
      </c>
      <c r="H6309" t="str">
        <f>IF(Comuni__2[[#This Row],[Popolazione2011]]&gt;300000,"MAGGIORE","")</f>
        <v/>
      </c>
    </row>
    <row r="6310" spans="1:8" x14ac:dyDescent="0.2">
      <c r="A6310"/>
      <c r="B6310"/>
      <c r="C6310"/>
      <c r="D6310"/>
      <c r="E6310" s="2">
        <f>Comuni__2[[#This Row],[Popolazione2011]]/$D$7911</f>
        <v>2.154550159023236E-4</v>
      </c>
      <c r="F6310">
        <f>SUMIFS($D$2:$D$7909, $B$2:$B$7909, "Sicilia")</f>
        <v>5002904</v>
      </c>
      <c r="G6310" s="1">
        <f>Comuni__2[[#This Row],[Popolazione2011]]/Comuni__2[[#This Row],[POPOLAZIONE TOTALE DI OGNI REGIONE (CON FILTRO)]]</f>
        <v>2.5591136667823329E-3</v>
      </c>
      <c r="H6310" t="str">
        <f>IF(Comuni__2[[#This Row],[Popolazione2011]]&gt;300000,"MAGGIORE","")</f>
        <v/>
      </c>
    </row>
    <row r="6311" spans="1:8" x14ac:dyDescent="0.2">
      <c r="A6311"/>
      <c r="B6311"/>
      <c r="C6311"/>
      <c r="D6311"/>
      <c r="E6311" s="2">
        <f>Comuni__2[[#This Row],[Popolazione2011]]/$D$7911</f>
        <v>2.1390679583960286E-4</v>
      </c>
      <c r="F6311">
        <f>SUMIFS($D$2:$D$7909, $B$2:$B$7909, "Sicilia")</f>
        <v>5002904</v>
      </c>
      <c r="G6311" s="1">
        <f>Comuni__2[[#This Row],[Popolazione2011]]/Comuni__2[[#This Row],[POPOLAZIONE TOTALE DI OGNI REGIONE (CON FILTRO)]]</f>
        <v>2.5407243472990886E-3</v>
      </c>
      <c r="H6311" t="str">
        <f>IF(Comuni__2[[#This Row],[Popolazione2011]]&gt;300000,"MAGGIORE","")</f>
        <v/>
      </c>
    </row>
    <row r="6312" spans="1:8" x14ac:dyDescent="0.2">
      <c r="A6312"/>
      <c r="B6312"/>
      <c r="C6312"/>
      <c r="D6312"/>
      <c r="E6312" s="2">
        <f>Comuni__2[[#This Row],[Popolazione2011]]/$D$7911</f>
        <v>2.0754563079929369E-4</v>
      </c>
      <c r="F6312">
        <f>SUMIFS($D$2:$D$7909, $B$2:$B$7909, "Sicilia")</f>
        <v>5002904</v>
      </c>
      <c r="G6312" s="1">
        <f>Comuni__2[[#This Row],[Popolazione2011]]/Comuni__2[[#This Row],[POPOLAZIONE TOTALE DI OGNI REGIONE (CON FILTRO)]]</f>
        <v>2.4651682302918466E-3</v>
      </c>
      <c r="H6312" t="str">
        <f>IF(Comuni__2[[#This Row],[Popolazione2011]]&gt;300000,"MAGGIORE","")</f>
        <v/>
      </c>
    </row>
    <row r="6313" spans="1:8" x14ac:dyDescent="0.2">
      <c r="A6313"/>
      <c r="B6313"/>
      <c r="C6313"/>
      <c r="D6313"/>
      <c r="E6313" s="2">
        <f>Comuni__2[[#This Row],[Popolazione2011]]/$D$7911</f>
        <v>2.0475210329481928E-4</v>
      </c>
      <c r="F6313">
        <f>SUMIFS($D$2:$D$7909, $B$2:$B$7909, "Sicilia")</f>
        <v>5002904</v>
      </c>
      <c r="G6313" s="1">
        <f>Comuni__2[[#This Row],[Popolazione2011]]/Comuni__2[[#This Row],[POPOLAZIONE TOTALE DI OGNI REGIONE (CON FILTRO)]]</f>
        <v>2.4319875016590364E-3</v>
      </c>
      <c r="H6313" t="str">
        <f>IF(Comuni__2[[#This Row],[Popolazione2011]]&gt;300000,"MAGGIORE","")</f>
        <v/>
      </c>
    </row>
    <row r="6314" spans="1:8" x14ac:dyDescent="0.2">
      <c r="A6314"/>
      <c r="B6314"/>
      <c r="C6314"/>
      <c r="D6314"/>
      <c r="E6314" s="2">
        <f>Comuni__2[[#This Row],[Popolazione2011]]/$D$7911</f>
        <v>2.0409579261605724E-4</v>
      </c>
      <c r="F6314">
        <f>SUMIFS($D$2:$D$7909, $B$2:$B$7909, "Sicilia")</f>
        <v>5002904</v>
      </c>
      <c r="G6314" s="1">
        <f>Comuni__2[[#This Row],[Popolazione2011]]/Comuni__2[[#This Row],[POPOLAZIONE TOTALE DI OGNI REGIONE (CON FILTRO)]]</f>
        <v>2.4241920292694002E-3</v>
      </c>
      <c r="H6314" t="str">
        <f>IF(Comuni__2[[#This Row],[Popolazione2011]]&gt;300000,"MAGGIORE","")</f>
        <v/>
      </c>
    </row>
    <row r="6315" spans="1:8" x14ac:dyDescent="0.2">
      <c r="A6315"/>
      <c r="B6315"/>
      <c r="C6315"/>
      <c r="D6315"/>
      <c r="E6315" s="2">
        <f>Comuni__2[[#This Row],[Popolazione2011]]/$D$7911</f>
        <v>2.0246343015862338E-4</v>
      </c>
      <c r="F6315">
        <f>SUMIFS($D$2:$D$7909, $B$2:$B$7909, "Sicilia")</f>
        <v>5002904</v>
      </c>
      <c r="G6315" s="1">
        <f>Comuni__2[[#This Row],[Popolazione2011]]/Comuni__2[[#This Row],[POPOLAZIONE TOTALE DI OGNI REGIONE (CON FILTRO)]]</f>
        <v>2.4048032902490232E-3</v>
      </c>
      <c r="H6315" t="str">
        <f>IF(Comuni__2[[#This Row],[Popolazione2011]]&gt;300000,"MAGGIORE","")</f>
        <v/>
      </c>
    </row>
    <row r="6316" spans="1:8" x14ac:dyDescent="0.2">
      <c r="A6316"/>
      <c r="B6316"/>
      <c r="C6316"/>
      <c r="D6316"/>
      <c r="E6316" s="2">
        <f>Comuni__2[[#This Row],[Popolazione2011]]/$D$7911</f>
        <v>2.0168932012726301E-4</v>
      </c>
      <c r="F6316">
        <f>SUMIFS($D$2:$D$7909, $B$2:$B$7909, "Sicilia")</f>
        <v>5002904</v>
      </c>
      <c r="G6316" s="1">
        <f>Comuni__2[[#This Row],[Popolazione2011]]/Comuni__2[[#This Row],[POPOLAZIONE TOTALE DI OGNI REGIONE (CON FILTRO)]]</f>
        <v>2.3956086305074011E-3</v>
      </c>
      <c r="H6316" t="str">
        <f>IF(Comuni__2[[#This Row],[Popolazione2011]]&gt;300000,"MAGGIORE","")</f>
        <v/>
      </c>
    </row>
    <row r="6317" spans="1:8" x14ac:dyDescent="0.2">
      <c r="A6317"/>
      <c r="B6317"/>
      <c r="C6317"/>
      <c r="D6317"/>
      <c r="E6317" s="2">
        <f>Comuni__2[[#This Row],[Popolazione2011]]/$D$7911</f>
        <v>2.0111715184321403E-4</v>
      </c>
      <c r="F6317">
        <f>SUMIFS($D$2:$D$7909, $B$2:$B$7909, "Sicilia")</f>
        <v>5002904</v>
      </c>
      <c r="G6317" s="1">
        <f>Comuni__2[[#This Row],[Popolazione2011]]/Comuni__2[[#This Row],[POPOLAZIONE TOTALE DI OGNI REGIONE (CON FILTRO)]]</f>
        <v>2.388812577654898E-3</v>
      </c>
      <c r="H6317" t="str">
        <f>IF(Comuni__2[[#This Row],[Popolazione2011]]&gt;300000,"MAGGIORE","")</f>
        <v/>
      </c>
    </row>
    <row r="6318" spans="1:8" x14ac:dyDescent="0.2">
      <c r="A6318"/>
      <c r="B6318"/>
      <c r="C6318"/>
      <c r="D6318"/>
      <c r="E6318" s="2">
        <f>Comuni__2[[#This Row],[Popolazione2011]]/$D$7911</f>
        <v>1.9881165022807553E-4</v>
      </c>
      <c r="F6318">
        <f>SUMIFS($D$2:$D$7909, $B$2:$B$7909, "Sicilia")</f>
        <v>5002904</v>
      </c>
      <c r="G6318" s="1">
        <f>Comuni__2[[#This Row],[Popolazione2011]]/Comuni__2[[#This Row],[POPOLAZIONE TOTALE DI OGNI REGIONE (CON FILTRO)]]</f>
        <v>2.3614284823374582E-3</v>
      </c>
      <c r="H6318" t="str">
        <f>IF(Comuni__2[[#This Row],[Popolazione2011]]&gt;300000,"MAGGIORE","")</f>
        <v/>
      </c>
    </row>
    <row r="6319" spans="1:8" x14ac:dyDescent="0.2">
      <c r="A6319"/>
      <c r="B6319"/>
      <c r="C6319"/>
      <c r="D6319"/>
      <c r="E6319" s="2">
        <f>Comuni__2[[#This Row],[Popolazione2011]]/$D$7911</f>
        <v>1.9591715184994545E-4</v>
      </c>
      <c r="F6319">
        <f>SUMIFS($D$2:$D$7909, $B$2:$B$7909, "Sicilia")</f>
        <v>5002904</v>
      </c>
      <c r="G6319" s="1">
        <f>Comuni__2[[#This Row],[Popolazione2011]]/Comuni__2[[#This Row],[POPOLAZIONE TOTALE DI OGNI REGIONE (CON FILTRO)]]</f>
        <v>2.3270484502600887E-3</v>
      </c>
      <c r="H6319" t="str">
        <f>IF(Comuni__2[[#This Row],[Popolazione2011]]&gt;300000,"MAGGIORE","")</f>
        <v/>
      </c>
    </row>
    <row r="6320" spans="1:8" x14ac:dyDescent="0.2">
      <c r="A6320"/>
      <c r="B6320"/>
      <c r="C6320"/>
      <c r="D6320"/>
      <c r="E6320" s="2">
        <f>Comuni__2[[#This Row],[Popolazione2011]]/$D$7911</f>
        <v>1.9487378615550319E-4</v>
      </c>
      <c r="F6320">
        <f>SUMIFS($D$2:$D$7909, $B$2:$B$7909, "Sicilia")</f>
        <v>5002904</v>
      </c>
      <c r="G6320" s="1">
        <f>Comuni__2[[#This Row],[Popolazione2011]]/Comuni__2[[#This Row],[POPOLAZIONE TOTALE DI OGNI REGIONE (CON FILTRO)]]</f>
        <v>2.3146556479996419E-3</v>
      </c>
      <c r="H6320" t="str">
        <f>IF(Comuni__2[[#This Row],[Popolazione2011]]&gt;300000,"MAGGIORE","")</f>
        <v/>
      </c>
    </row>
    <row r="6321" spans="1:8" x14ac:dyDescent="0.2">
      <c r="A6321"/>
      <c r="B6321"/>
      <c r="C6321"/>
      <c r="D6321"/>
      <c r="E6321" s="2">
        <f>Comuni__2[[#This Row],[Popolazione2011]]/$D$7911</f>
        <v>1.9347702240326599E-4</v>
      </c>
      <c r="F6321">
        <f>SUMIFS($D$2:$D$7909, $B$2:$B$7909, "Sicilia")</f>
        <v>5002904</v>
      </c>
      <c r="G6321" s="1">
        <f>Comuni__2[[#This Row],[Popolazione2011]]/Comuni__2[[#This Row],[POPOLAZIONE TOTALE DI OGNI REGIONE (CON FILTRO)]]</f>
        <v>2.2980652836832368E-3</v>
      </c>
      <c r="H6321" t="str">
        <f>IF(Comuni__2[[#This Row],[Popolazione2011]]&gt;300000,"MAGGIORE","")</f>
        <v/>
      </c>
    </row>
    <row r="6322" spans="1:8" x14ac:dyDescent="0.2">
      <c r="A6322"/>
      <c r="B6322"/>
      <c r="C6322"/>
      <c r="D6322"/>
      <c r="E6322" s="2">
        <f>Comuni__2[[#This Row],[Popolazione2011]]/$D$7911</f>
        <v>1.9330873761383983E-4</v>
      </c>
      <c r="F6322">
        <f>SUMIFS($D$2:$D$7909, $B$2:$B$7909, "Sicilia")</f>
        <v>5002904</v>
      </c>
      <c r="G6322" s="1">
        <f>Comuni__2[[#This Row],[Popolazione2011]]/Comuni__2[[#This Row],[POPOLAZIONE TOTALE DI OGNI REGIONE (CON FILTRO)]]</f>
        <v>2.296066444608971E-3</v>
      </c>
      <c r="H6322" t="str">
        <f>IF(Comuni__2[[#This Row],[Popolazione2011]]&gt;300000,"MAGGIORE","")</f>
        <v/>
      </c>
    </row>
    <row r="6323" spans="1:8" x14ac:dyDescent="0.2">
      <c r="A6323"/>
      <c r="B6323"/>
      <c r="C6323"/>
      <c r="D6323"/>
      <c r="E6323" s="2">
        <f>Comuni__2[[#This Row],[Popolazione2011]]/$D$7911</f>
        <v>1.9325825217701196E-4</v>
      </c>
      <c r="F6323">
        <f>SUMIFS($D$2:$D$7909, $B$2:$B$7909, "Sicilia")</f>
        <v>5002904</v>
      </c>
      <c r="G6323" s="1">
        <f>Comuni__2[[#This Row],[Popolazione2011]]/Comuni__2[[#This Row],[POPOLAZIONE TOTALE DI OGNI REGIONE (CON FILTRO)]]</f>
        <v>2.2954667928866915E-3</v>
      </c>
      <c r="H6323" t="str">
        <f>IF(Comuni__2[[#This Row],[Popolazione2011]]&gt;300000,"MAGGIORE","")</f>
        <v/>
      </c>
    </row>
    <row r="6324" spans="1:8" x14ac:dyDescent="0.2">
      <c r="A6324"/>
      <c r="B6324"/>
      <c r="C6324"/>
      <c r="D6324"/>
      <c r="E6324" s="2">
        <f>Comuni__2[[#This Row],[Popolazione2011]]/$D$7911</f>
        <v>1.9174368907217646E-4</v>
      </c>
      <c r="F6324">
        <f>SUMIFS($D$2:$D$7909, $B$2:$B$7909, "Sicilia")</f>
        <v>5002904</v>
      </c>
      <c r="G6324" s="1">
        <f>Comuni__2[[#This Row],[Popolazione2011]]/Comuni__2[[#This Row],[POPOLAZIONE TOTALE DI OGNI REGIONE (CON FILTRO)]]</f>
        <v>2.2774772412183005E-3</v>
      </c>
      <c r="H6324" t="str">
        <f>IF(Comuni__2[[#This Row],[Popolazione2011]]&gt;300000,"MAGGIORE","")</f>
        <v/>
      </c>
    </row>
    <row r="6325" spans="1:8" x14ac:dyDescent="0.2">
      <c r="A6325"/>
      <c r="B6325"/>
      <c r="C6325"/>
      <c r="D6325"/>
      <c r="E6325" s="2">
        <f>Comuni__2[[#This Row],[Popolazione2011]]/$D$7911</f>
        <v>1.8992621334637384E-4</v>
      </c>
      <c r="F6325">
        <f>SUMIFS($D$2:$D$7909, $B$2:$B$7909, "Sicilia")</f>
        <v>5002904</v>
      </c>
      <c r="G6325" s="1">
        <f>Comuni__2[[#This Row],[Popolazione2011]]/Comuni__2[[#This Row],[POPOLAZIONE TOTALE DI OGNI REGIONE (CON FILTRO)]]</f>
        <v>2.2558897792162311E-3</v>
      </c>
      <c r="H6325" t="str">
        <f>IF(Comuni__2[[#This Row],[Popolazione2011]]&gt;300000,"MAGGIORE","")</f>
        <v/>
      </c>
    </row>
    <row r="6326" spans="1:8" x14ac:dyDescent="0.2">
      <c r="A6326"/>
      <c r="B6326"/>
      <c r="C6326"/>
      <c r="D6326"/>
      <c r="E6326" s="2">
        <f>Comuni__2[[#This Row],[Popolazione2011]]/$D$7911</f>
        <v>1.8762071173123533E-4</v>
      </c>
      <c r="F6326">
        <f>SUMIFS($D$2:$D$7909, $B$2:$B$7909, "Sicilia")</f>
        <v>5002904</v>
      </c>
      <c r="G6326" s="1">
        <f>Comuni__2[[#This Row],[Popolazione2011]]/Comuni__2[[#This Row],[POPOLAZIONE TOTALE DI OGNI REGIONE (CON FILTRO)]]</f>
        <v>2.2285056838987917E-3</v>
      </c>
      <c r="H6326" t="str">
        <f>IF(Comuni__2[[#This Row],[Popolazione2011]]&gt;300000,"MAGGIORE","")</f>
        <v/>
      </c>
    </row>
    <row r="6327" spans="1:8" x14ac:dyDescent="0.2">
      <c r="A6327"/>
      <c r="B6327"/>
      <c r="C6327"/>
      <c r="D6327"/>
      <c r="E6327" s="2">
        <f>Comuni__2[[#This Row],[Popolazione2011]]/$D$7911</f>
        <v>1.8693074409458803E-4</v>
      </c>
      <c r="F6327">
        <f>SUMIFS($D$2:$D$7909, $B$2:$B$7909, "Sicilia")</f>
        <v>5002904</v>
      </c>
      <c r="G6327" s="1">
        <f>Comuni__2[[#This Row],[Popolazione2011]]/Comuni__2[[#This Row],[POPOLAZIONE TOTALE DI OGNI REGIONE (CON FILTRO)]]</f>
        <v>2.2203104436943023E-3</v>
      </c>
      <c r="H6327" t="str">
        <f>IF(Comuni__2[[#This Row],[Popolazione2011]]&gt;300000,"MAGGIORE","")</f>
        <v/>
      </c>
    </row>
    <row r="6328" spans="1:8" x14ac:dyDescent="0.2">
      <c r="A6328"/>
      <c r="B6328"/>
      <c r="C6328"/>
      <c r="D6328"/>
      <c r="E6328" s="2">
        <f>Comuni__2[[#This Row],[Popolazione2011]]/$D$7911</f>
        <v>1.8652686059996522E-4</v>
      </c>
      <c r="F6328">
        <f>SUMIFS($D$2:$D$7909, $B$2:$B$7909, "Sicilia")</f>
        <v>5002904</v>
      </c>
      <c r="G6328" s="1">
        <f>Comuni__2[[#This Row],[Popolazione2011]]/Comuni__2[[#This Row],[POPOLAZIONE TOTALE DI OGNI REGIONE (CON FILTRO)]]</f>
        <v>2.2155132299160646E-3</v>
      </c>
      <c r="H6328" t="str">
        <f>IF(Comuni__2[[#This Row],[Popolazione2011]]&gt;300000,"MAGGIORE","")</f>
        <v/>
      </c>
    </row>
    <row r="6329" spans="1:8" x14ac:dyDescent="0.2">
      <c r="A6329"/>
      <c r="B6329"/>
      <c r="C6329"/>
      <c r="D6329"/>
      <c r="E6329" s="2">
        <f>Comuni__2[[#This Row],[Popolazione2011]]/$D$7911</f>
        <v>1.8561812273706392E-4</v>
      </c>
      <c r="F6329">
        <f>SUMIFS($D$2:$D$7909, $B$2:$B$7909, "Sicilia")</f>
        <v>5002904</v>
      </c>
      <c r="G6329" s="1">
        <f>Comuni__2[[#This Row],[Popolazione2011]]/Comuni__2[[#This Row],[POPOLAZIONE TOTALE DI OGNI REGIONE (CON FILTRO)]]</f>
        <v>2.2047194989150303E-3</v>
      </c>
      <c r="H6329" t="str">
        <f>IF(Comuni__2[[#This Row],[Popolazione2011]]&gt;300000,"MAGGIORE","")</f>
        <v/>
      </c>
    </row>
    <row r="6330" spans="1:8" x14ac:dyDescent="0.2">
      <c r="A6330"/>
      <c r="B6330"/>
      <c r="C6330"/>
      <c r="D6330"/>
      <c r="E6330" s="2">
        <f>Comuni__2[[#This Row],[Popolazione2011]]/$D$7911</f>
        <v>1.852815531582116E-4</v>
      </c>
      <c r="F6330">
        <f>SUMIFS($D$2:$D$7909, $B$2:$B$7909, "Sicilia")</f>
        <v>5002904</v>
      </c>
      <c r="G6330" s="1">
        <f>Comuni__2[[#This Row],[Popolazione2011]]/Comuni__2[[#This Row],[POPOLAZIONE TOTALE DI OGNI REGIONE (CON FILTRO)]]</f>
        <v>2.2007218207664987E-3</v>
      </c>
      <c r="H6330" t="str">
        <f>IF(Comuni__2[[#This Row],[Popolazione2011]]&gt;300000,"MAGGIORE","")</f>
        <v/>
      </c>
    </row>
    <row r="6331" spans="1:8" x14ac:dyDescent="0.2">
      <c r="A6331"/>
      <c r="B6331"/>
      <c r="C6331"/>
      <c r="D6331"/>
      <c r="E6331" s="2">
        <f>Comuni__2[[#This Row],[Popolazione2011]]/$D$7911</f>
        <v>1.8316116481144185E-4</v>
      </c>
      <c r="F6331">
        <f>SUMIFS($D$2:$D$7909, $B$2:$B$7909, "Sicilia")</f>
        <v>5002904</v>
      </c>
      <c r="G6331" s="1">
        <f>Comuni__2[[#This Row],[Popolazione2011]]/Comuni__2[[#This Row],[POPOLAZIONE TOTALE DI OGNI REGIONE (CON FILTRO)]]</f>
        <v>2.1755364484307513E-3</v>
      </c>
      <c r="H6331" t="str">
        <f>IF(Comuni__2[[#This Row],[Popolazione2011]]&gt;300000,"MAGGIORE","")</f>
        <v/>
      </c>
    </row>
    <row r="6332" spans="1:8" x14ac:dyDescent="0.2">
      <c r="A6332"/>
      <c r="B6332"/>
      <c r="C6332"/>
      <c r="D6332"/>
      <c r="E6332" s="2">
        <f>Comuni__2[[#This Row],[Popolazione2011]]/$D$7911</f>
        <v>1.8294239458518783E-4</v>
      </c>
      <c r="F6332">
        <f>SUMIFS($D$2:$D$7909, $B$2:$B$7909, "Sicilia")</f>
        <v>5002904</v>
      </c>
      <c r="G6332" s="1">
        <f>Comuni__2[[#This Row],[Popolazione2011]]/Comuni__2[[#This Row],[POPOLAZIONE TOTALE DI OGNI REGIONE (CON FILTRO)]]</f>
        <v>2.1729379576342061E-3</v>
      </c>
      <c r="H6332" t="str">
        <f>IF(Comuni__2[[#This Row],[Popolazione2011]]&gt;300000,"MAGGIORE","")</f>
        <v/>
      </c>
    </row>
    <row r="6333" spans="1:8" x14ac:dyDescent="0.2">
      <c r="A6333"/>
      <c r="B6333"/>
      <c r="C6333"/>
      <c r="D6333"/>
      <c r="E6333" s="2">
        <f>Comuni__2[[#This Row],[Popolazione2011]]/$D$7911</f>
        <v>1.8265631044316334E-4</v>
      </c>
      <c r="F6333">
        <f>SUMIFS($D$2:$D$7909, $B$2:$B$7909, "Sicilia")</f>
        <v>5002904</v>
      </c>
      <c r="G6333" s="1">
        <f>Comuni__2[[#This Row],[Popolazione2011]]/Comuni__2[[#This Row],[POPOLAZIONE TOTALE DI OGNI REGIONE (CON FILTRO)]]</f>
        <v>2.1695399312079543E-3</v>
      </c>
      <c r="H6333" t="str">
        <f>IF(Comuni__2[[#This Row],[Popolazione2011]]&gt;300000,"MAGGIORE","")</f>
        <v/>
      </c>
    </row>
    <row r="6334" spans="1:8" x14ac:dyDescent="0.2">
      <c r="A6334"/>
      <c r="B6334"/>
      <c r="C6334"/>
      <c r="D6334"/>
      <c r="E6334" s="2">
        <f>Comuni__2[[#This Row],[Popolazione2011]]/$D$7911</f>
        <v>1.8132686060669663E-4</v>
      </c>
      <c r="F6334">
        <f>SUMIFS($D$2:$D$7909, $B$2:$B$7909, "Sicilia")</f>
        <v>5002904</v>
      </c>
      <c r="G6334" s="1">
        <f>Comuni__2[[#This Row],[Popolazione2011]]/Comuni__2[[#This Row],[POPOLAZIONE TOTALE DI OGNI REGIONE (CON FILTRO)]]</f>
        <v>2.1537491025212557E-3</v>
      </c>
      <c r="H6334" t="str">
        <f>IF(Comuni__2[[#This Row],[Popolazione2011]]&gt;300000,"MAGGIORE","")</f>
        <v/>
      </c>
    </row>
    <row r="6335" spans="1:8" x14ac:dyDescent="0.2">
      <c r="A6335"/>
      <c r="B6335"/>
      <c r="C6335"/>
      <c r="D6335"/>
      <c r="E6335" s="2">
        <f>Comuni__2[[#This Row],[Popolazione2011]]/$D$7911</f>
        <v>1.8092297711207382E-4</v>
      </c>
      <c r="F6335">
        <f>SUMIFS($D$2:$D$7909, $B$2:$B$7909, "Sicilia")</f>
        <v>5002904</v>
      </c>
      <c r="G6335" s="1">
        <f>Comuni__2[[#This Row],[Popolazione2011]]/Comuni__2[[#This Row],[POPOLAZIONE TOTALE DI OGNI REGIONE (CON FILTRO)]]</f>
        <v>2.1489518887430181E-3</v>
      </c>
      <c r="H6335" t="str">
        <f>IF(Comuni__2[[#This Row],[Popolazione2011]]&gt;300000,"MAGGIORE","")</f>
        <v/>
      </c>
    </row>
    <row r="6336" spans="1:8" x14ac:dyDescent="0.2">
      <c r="A6336"/>
      <c r="B6336"/>
      <c r="C6336"/>
      <c r="D6336"/>
      <c r="E6336" s="2">
        <f>Comuni__2[[#This Row],[Popolazione2011]]/$D$7911</f>
        <v>1.7639611627650987E-4</v>
      </c>
      <c r="F6336">
        <f>SUMIFS($D$2:$D$7909, $B$2:$B$7909, "Sicilia")</f>
        <v>5002904</v>
      </c>
      <c r="G6336" s="1">
        <f>Comuni__2[[#This Row],[Popolazione2011]]/Comuni__2[[#This Row],[POPOLAZIONE TOTALE DI OGNI REGIONE (CON FILTRO)]]</f>
        <v>2.0951831176452716E-3</v>
      </c>
      <c r="H6336" t="str">
        <f>IF(Comuni__2[[#This Row],[Popolazione2011]]&gt;300000,"MAGGIORE","")</f>
        <v/>
      </c>
    </row>
    <row r="6337" spans="1:8" x14ac:dyDescent="0.2">
      <c r="A6337"/>
      <c r="B6337"/>
      <c r="C6337"/>
      <c r="D6337"/>
      <c r="E6337" s="2">
        <f>Comuni__2[[#This Row],[Popolazione2011]]/$D$7911</f>
        <v>1.7565566320303474E-4</v>
      </c>
      <c r="F6337">
        <f>SUMIFS($D$2:$D$7909, $B$2:$B$7909, "Sicilia")</f>
        <v>5002904</v>
      </c>
      <c r="G6337" s="1">
        <f>Comuni__2[[#This Row],[Popolazione2011]]/Comuni__2[[#This Row],[POPOLAZIONE TOTALE DI OGNI REGIONE (CON FILTRO)]]</f>
        <v>2.0863882257185027E-3</v>
      </c>
      <c r="H6337" t="str">
        <f>IF(Comuni__2[[#This Row],[Popolazione2011]]&gt;300000,"MAGGIORE","")</f>
        <v/>
      </c>
    </row>
    <row r="6338" spans="1:8" x14ac:dyDescent="0.2">
      <c r="A6338"/>
      <c r="B6338"/>
      <c r="C6338"/>
      <c r="D6338"/>
      <c r="E6338" s="2">
        <f>Comuni__2[[#This Row],[Popolazione2011]]/$D$7911</f>
        <v>1.7434304184551063E-4</v>
      </c>
      <c r="F6338">
        <f>SUMIFS($D$2:$D$7909, $B$2:$B$7909, "Sicilia")</f>
        <v>5002904</v>
      </c>
      <c r="G6338" s="1">
        <f>Comuni__2[[#This Row],[Popolazione2011]]/Comuni__2[[#This Row],[POPOLAZIONE TOTALE DI OGNI REGIONE (CON FILTRO)]]</f>
        <v>2.0707972809392303E-3</v>
      </c>
      <c r="H6338" t="str">
        <f>IF(Comuni__2[[#This Row],[Popolazione2011]]&gt;300000,"MAGGIORE","")</f>
        <v/>
      </c>
    </row>
    <row r="6339" spans="1:8" x14ac:dyDescent="0.2">
      <c r="A6339"/>
      <c r="B6339"/>
      <c r="C6339"/>
      <c r="D6339"/>
      <c r="E6339" s="2">
        <f>Comuni__2[[#This Row],[Popolazione2011]]/$D$7911</f>
        <v>1.7276116482490463E-4</v>
      </c>
      <c r="F6339">
        <f>SUMIFS($D$2:$D$7909, $B$2:$B$7909, "Sicilia")</f>
        <v>5002904</v>
      </c>
      <c r="G6339" s="1">
        <f>Comuni__2[[#This Row],[Popolazione2011]]/Comuni__2[[#This Row],[POPOLAZIONE TOTALE DI OGNI REGIONE (CON FILTRO)]]</f>
        <v>2.0520081936411332E-3</v>
      </c>
      <c r="H6339" t="str">
        <f>IF(Comuni__2[[#This Row],[Popolazione2011]]&gt;300000,"MAGGIORE","")</f>
        <v/>
      </c>
    </row>
    <row r="6340" spans="1:8" x14ac:dyDescent="0.2">
      <c r="A6340"/>
      <c r="B6340"/>
      <c r="C6340"/>
      <c r="D6340"/>
      <c r="E6340" s="2">
        <f>Comuni__2[[#This Row],[Popolazione2011]]/$D$7911</f>
        <v>1.6540711952698107E-4</v>
      </c>
      <c r="F6340">
        <f>SUMIFS($D$2:$D$7909, $B$2:$B$7909, "Sicilia")</f>
        <v>5002904</v>
      </c>
      <c r="G6340" s="1">
        <f>Comuni__2[[#This Row],[Popolazione2011]]/Comuni__2[[#This Row],[POPOLAZIONE TOTALE DI OGNI REGIONE (CON FILTRO)]]</f>
        <v>1.9646589260957237E-3</v>
      </c>
      <c r="H6340" t="str">
        <f>IF(Comuni__2[[#This Row],[Popolazione2011]]&gt;300000,"MAGGIORE","")</f>
        <v/>
      </c>
    </row>
    <row r="6341" spans="1:8" x14ac:dyDescent="0.2">
      <c r="A6341"/>
      <c r="B6341"/>
      <c r="C6341"/>
      <c r="D6341"/>
      <c r="E6341" s="2">
        <f>Comuni__2[[#This Row],[Popolazione2011]]/$D$7911</f>
        <v>1.6306796095395733E-4</v>
      </c>
      <c r="F6341">
        <f>SUMIFS($D$2:$D$7909, $B$2:$B$7909, "Sicilia")</f>
        <v>5002904</v>
      </c>
      <c r="G6341" s="1">
        <f>Comuni__2[[#This Row],[Popolazione2011]]/Comuni__2[[#This Row],[POPOLAZIONE TOTALE DI OGNI REGIONE (CON FILTRO)]]</f>
        <v>1.9368750629634309E-3</v>
      </c>
      <c r="H6341" t="str">
        <f>IF(Comuni__2[[#This Row],[Popolazione2011]]&gt;300000,"MAGGIORE","")</f>
        <v/>
      </c>
    </row>
    <row r="6342" spans="1:8" x14ac:dyDescent="0.2">
      <c r="A6342"/>
      <c r="B6342"/>
      <c r="C6342"/>
      <c r="D6342"/>
      <c r="E6342" s="2">
        <f>Comuni__2[[#This Row],[Popolazione2011]]/$D$7911</f>
        <v>1.6202459525951508E-4</v>
      </c>
      <c r="F6342">
        <f>SUMIFS($D$2:$D$7909, $B$2:$B$7909, "Sicilia")</f>
        <v>5002904</v>
      </c>
      <c r="G6342" s="1">
        <f>Comuni__2[[#This Row],[Popolazione2011]]/Comuni__2[[#This Row],[POPOLAZIONE TOTALE DI OGNI REGIONE (CON FILTRO)]]</f>
        <v>1.9244822607029837E-3</v>
      </c>
      <c r="H6342" t="str">
        <f>IF(Comuni__2[[#This Row],[Popolazione2011]]&gt;300000,"MAGGIORE","")</f>
        <v/>
      </c>
    </row>
    <row r="6343" spans="1:8" x14ac:dyDescent="0.2">
      <c r="A6343"/>
      <c r="B6343"/>
      <c r="C6343"/>
      <c r="D6343"/>
      <c r="E6343" s="2">
        <f>Comuni__2[[#This Row],[Popolazione2011]]/$D$7911</f>
        <v>1.6111585739661378E-4</v>
      </c>
      <c r="F6343">
        <f>SUMIFS($D$2:$D$7909, $B$2:$B$7909, "Sicilia")</f>
        <v>5002904</v>
      </c>
      <c r="G6343" s="1">
        <f>Comuni__2[[#This Row],[Popolazione2011]]/Comuni__2[[#This Row],[POPOLAZIONE TOTALE DI OGNI REGIONE (CON FILTRO)]]</f>
        <v>1.9136885297019492E-3</v>
      </c>
      <c r="H6343" t="str">
        <f>IF(Comuni__2[[#This Row],[Popolazione2011]]&gt;300000,"MAGGIORE","")</f>
        <v/>
      </c>
    </row>
    <row r="6344" spans="1:8" x14ac:dyDescent="0.2">
      <c r="A6344"/>
      <c r="B6344"/>
      <c r="C6344"/>
      <c r="D6344"/>
      <c r="E6344" s="2">
        <f>Comuni__2[[#This Row],[Popolazione2011]]/$D$7911</f>
        <v>1.5975275060226181E-4</v>
      </c>
      <c r="F6344">
        <f>SUMIFS($D$2:$D$7909, $B$2:$B$7909, "Sicilia")</f>
        <v>5002904</v>
      </c>
      <c r="G6344" s="1">
        <f>Comuni__2[[#This Row],[Popolazione2011]]/Comuni__2[[#This Row],[POPOLAZIONE TOTALE DI OGNI REGIONE (CON FILTRO)]]</f>
        <v>1.8974979332003971E-3</v>
      </c>
      <c r="H6344" t="str">
        <f>IF(Comuni__2[[#This Row],[Popolazione2011]]&gt;300000,"MAGGIORE","")</f>
        <v/>
      </c>
    </row>
    <row r="6345" spans="1:8" x14ac:dyDescent="0.2">
      <c r="A6345"/>
      <c r="B6345"/>
      <c r="C6345"/>
      <c r="D6345"/>
      <c r="E6345" s="2">
        <f>Comuni__2[[#This Row],[Popolazione2011]]/$D$7911</f>
        <v>1.5906278296561453E-4</v>
      </c>
      <c r="F6345">
        <f>SUMIFS($D$2:$D$7909, $B$2:$B$7909, "Sicilia")</f>
        <v>5002904</v>
      </c>
      <c r="G6345" s="1">
        <f>Comuni__2[[#This Row],[Popolazione2011]]/Comuni__2[[#This Row],[POPOLAZIONE TOTALE DI OGNI REGIONE (CON FILTRO)]]</f>
        <v>1.8893026929959079E-3</v>
      </c>
      <c r="H6345" t="str">
        <f>IF(Comuni__2[[#This Row],[Popolazione2011]]&gt;300000,"MAGGIORE","")</f>
        <v/>
      </c>
    </row>
    <row r="6346" spans="1:8" x14ac:dyDescent="0.2">
      <c r="A6346"/>
      <c r="B6346"/>
      <c r="C6346"/>
      <c r="D6346"/>
      <c r="E6346" s="2">
        <f>Comuni__2[[#This Row],[Popolazione2011]]/$D$7911</f>
        <v>1.5596634284017303E-4</v>
      </c>
      <c r="F6346">
        <f>SUMIFS($D$2:$D$7909, $B$2:$B$7909, "Sicilia")</f>
        <v>5002904</v>
      </c>
      <c r="G6346" s="1">
        <f>Comuni__2[[#This Row],[Popolazione2011]]/Comuni__2[[#This Row],[POPOLAZIONE TOTALE DI OGNI REGIONE (CON FILTRO)]]</f>
        <v>1.8525240540294198E-3</v>
      </c>
      <c r="H6346" t="str">
        <f>IF(Comuni__2[[#This Row],[Popolazione2011]]&gt;300000,"MAGGIORE","")</f>
        <v/>
      </c>
    </row>
    <row r="6347" spans="1:8" x14ac:dyDescent="0.2">
      <c r="A6347"/>
      <c r="B6347"/>
      <c r="C6347"/>
      <c r="D6347"/>
      <c r="E6347" s="2">
        <f>Comuni__2[[#This Row],[Popolazione2011]]/$D$7911</f>
        <v>1.5564660174026331E-4</v>
      </c>
      <c r="F6347">
        <f>SUMIFS($D$2:$D$7909, $B$2:$B$7909, "Sicilia")</f>
        <v>5002904</v>
      </c>
      <c r="G6347" s="1">
        <f>Comuni__2[[#This Row],[Popolazione2011]]/Comuni__2[[#This Row],[POPOLAZIONE TOTALE DI OGNI REGIONE (CON FILTRO)]]</f>
        <v>1.848726259788315E-3</v>
      </c>
      <c r="H6347" t="str">
        <f>IF(Comuni__2[[#This Row],[Popolazione2011]]&gt;300000,"MAGGIORE","")</f>
        <v/>
      </c>
    </row>
    <row r="6348" spans="1:8" x14ac:dyDescent="0.2">
      <c r="A6348"/>
      <c r="B6348"/>
      <c r="C6348"/>
      <c r="D6348"/>
      <c r="E6348" s="2">
        <f>Comuni__2[[#This Row],[Popolazione2011]]/$D$7911</f>
        <v>1.5549514542977975E-4</v>
      </c>
      <c r="F6348">
        <f>SUMIFS($D$2:$D$7909, $B$2:$B$7909, "Sicilia")</f>
        <v>5002904</v>
      </c>
      <c r="G6348" s="1">
        <f>Comuni__2[[#This Row],[Popolazione2011]]/Comuni__2[[#This Row],[POPOLAZIONE TOTALE DI OGNI REGIONE (CON FILTRO)]]</f>
        <v>1.8469273046214758E-3</v>
      </c>
      <c r="H6348" t="str">
        <f>IF(Comuni__2[[#This Row],[Popolazione2011]]&gt;300000,"MAGGIORE","")</f>
        <v/>
      </c>
    </row>
    <row r="6349" spans="1:8" x14ac:dyDescent="0.2">
      <c r="A6349"/>
      <c r="B6349"/>
      <c r="C6349"/>
      <c r="D6349"/>
      <c r="E6349" s="2">
        <f>Comuni__2[[#This Row],[Popolazione2011]]/$D$7911</f>
        <v>1.5416569559331301E-4</v>
      </c>
      <c r="F6349">
        <f>SUMIFS($D$2:$D$7909, $B$2:$B$7909, "Sicilia")</f>
        <v>5002904</v>
      </c>
      <c r="G6349" s="1">
        <f>Comuni__2[[#This Row],[Popolazione2011]]/Comuni__2[[#This Row],[POPOLAZIONE TOTALE DI OGNI REGIONE (CON FILTRO)]]</f>
        <v>1.8311364759347772E-3</v>
      </c>
      <c r="H6349" t="str">
        <f>IF(Comuni__2[[#This Row],[Popolazione2011]]&gt;300000,"MAGGIORE","")</f>
        <v/>
      </c>
    </row>
    <row r="6350" spans="1:8" x14ac:dyDescent="0.2">
      <c r="A6350"/>
      <c r="B6350"/>
      <c r="C6350"/>
      <c r="D6350"/>
      <c r="E6350" s="2">
        <f>Comuni__2[[#This Row],[Popolazione2011]]/$D$7911</f>
        <v>1.5298770206732983E-4</v>
      </c>
      <c r="F6350">
        <f>SUMIFS($D$2:$D$7909, $B$2:$B$7909, "Sicilia")</f>
        <v>5002904</v>
      </c>
      <c r="G6350" s="1">
        <f>Comuni__2[[#This Row],[Popolazione2011]]/Comuni__2[[#This Row],[POPOLAZIONE TOTALE DI OGNI REGIONE (CON FILTRO)]]</f>
        <v>1.8171446024149173E-3</v>
      </c>
      <c r="H6350" t="str">
        <f>IF(Comuni__2[[#This Row],[Popolazione2011]]&gt;300000,"MAGGIORE","")</f>
        <v/>
      </c>
    </row>
    <row r="6351" spans="1:8" x14ac:dyDescent="0.2">
      <c r="A6351"/>
      <c r="B6351"/>
      <c r="C6351"/>
      <c r="D6351"/>
      <c r="E6351" s="2">
        <f>Comuni__2[[#This Row],[Popolazione2011]]/$D$7911</f>
        <v>1.4989126194188832E-4</v>
      </c>
      <c r="F6351">
        <f>SUMIFS($D$2:$D$7909, $B$2:$B$7909, "Sicilia")</f>
        <v>5002904</v>
      </c>
      <c r="G6351" s="1">
        <f>Comuni__2[[#This Row],[Popolazione2011]]/Comuni__2[[#This Row],[POPOLAZIONE TOTALE DI OGNI REGIONE (CON FILTRO)]]</f>
        <v>1.7803659634484292E-3</v>
      </c>
      <c r="H6351" t="str">
        <f>IF(Comuni__2[[#This Row],[Popolazione2011]]&gt;300000,"MAGGIORE","")</f>
        <v/>
      </c>
    </row>
    <row r="6352" spans="1:8" x14ac:dyDescent="0.2">
      <c r="A6352"/>
      <c r="B6352"/>
      <c r="C6352"/>
      <c r="D6352"/>
      <c r="E6352" s="2">
        <f>Comuni__2[[#This Row],[Popolazione2011]]/$D$7911</f>
        <v>1.4721553379001227E-4</v>
      </c>
      <c r="F6352">
        <f>SUMIFS($D$2:$D$7909, $B$2:$B$7909, "Sicilia")</f>
        <v>5002904</v>
      </c>
      <c r="G6352" s="1">
        <f>Comuni__2[[#This Row],[Popolazione2011]]/Comuni__2[[#This Row],[POPOLAZIONE TOTALE DI OGNI REGIONE (CON FILTRO)]]</f>
        <v>1.748584422167605E-3</v>
      </c>
      <c r="H6352" t="str">
        <f>IF(Comuni__2[[#This Row],[Popolazione2011]]&gt;300000,"MAGGIORE","")</f>
        <v/>
      </c>
    </row>
    <row r="6353" spans="1:8" x14ac:dyDescent="0.2">
      <c r="A6353"/>
      <c r="B6353"/>
      <c r="C6353"/>
      <c r="D6353"/>
      <c r="E6353" s="2">
        <f>Comuni__2[[#This Row],[Popolazione2011]]/$D$7911</f>
        <v>1.4322718428061207E-4</v>
      </c>
      <c r="F6353">
        <f>SUMIFS($D$2:$D$7909, $B$2:$B$7909, "Sicilia")</f>
        <v>5002904</v>
      </c>
      <c r="G6353" s="1">
        <f>Comuni__2[[#This Row],[Popolazione2011]]/Comuni__2[[#This Row],[POPOLAZIONE TOTALE DI OGNI REGIONE (CON FILTRO)]]</f>
        <v>1.7012119361075088E-3</v>
      </c>
      <c r="H6353" t="str">
        <f>IF(Comuni__2[[#This Row],[Popolazione2011]]&gt;300000,"MAGGIORE","")</f>
        <v/>
      </c>
    </row>
    <row r="6354" spans="1:8" x14ac:dyDescent="0.2">
      <c r="A6354"/>
      <c r="B6354"/>
      <c r="C6354"/>
      <c r="D6354"/>
      <c r="E6354" s="2">
        <f>Comuni__2[[#This Row],[Popolazione2011]]/$D$7911</f>
        <v>1.4277281534916139E-4</v>
      </c>
      <c r="F6354">
        <f>SUMIFS($D$2:$D$7909, $B$2:$B$7909, "Sicilia")</f>
        <v>5002904</v>
      </c>
      <c r="G6354" s="1">
        <f>Comuni__2[[#This Row],[Popolazione2011]]/Comuni__2[[#This Row],[POPOLAZIONE TOTALE DI OGNI REGIONE (CON FILTRO)]]</f>
        <v>1.6958150706069914E-3</v>
      </c>
      <c r="H6354" t="str">
        <f>IF(Comuni__2[[#This Row],[Popolazione2011]]&gt;300000,"MAGGIORE","")</f>
        <v/>
      </c>
    </row>
    <row r="6355" spans="1:8" x14ac:dyDescent="0.2">
      <c r="A6355"/>
      <c r="B6355"/>
      <c r="C6355"/>
      <c r="D6355"/>
      <c r="E6355" s="2">
        <f>Comuni__2[[#This Row],[Popolazione2011]]/$D$7911</f>
        <v>1.4172944965471916E-4</v>
      </c>
      <c r="F6355">
        <f>SUMIFS($D$2:$D$7909, $B$2:$B$7909, "Sicilia")</f>
        <v>5002904</v>
      </c>
      <c r="G6355" s="1">
        <f>Comuni__2[[#This Row],[Popolazione2011]]/Comuni__2[[#This Row],[POPOLAZIONE TOTALE DI OGNI REGIONE (CON FILTRO)]]</f>
        <v>1.6834222683465444E-3</v>
      </c>
      <c r="H6355" t="str">
        <f>IF(Comuni__2[[#This Row],[Popolazione2011]]&gt;300000,"MAGGIORE","")</f>
        <v/>
      </c>
    </row>
    <row r="6356" spans="1:8" x14ac:dyDescent="0.2">
      <c r="A6356"/>
      <c r="B6356"/>
      <c r="C6356"/>
      <c r="D6356"/>
      <c r="E6356" s="2">
        <f>Comuni__2[[#This Row],[Popolazione2011]]/$D$7911</f>
        <v>1.4053462764979335E-4</v>
      </c>
      <c r="F6356">
        <f>SUMIFS($D$2:$D$7909, $B$2:$B$7909, "Sicilia")</f>
        <v>5002904</v>
      </c>
      <c r="G6356" s="1">
        <f>Comuni__2[[#This Row],[Popolazione2011]]/Comuni__2[[#This Row],[POPOLAZIONE TOTALE DI OGNI REGIONE (CON FILTRO)]]</f>
        <v>1.6692305109192581E-3</v>
      </c>
      <c r="H6356" t="str">
        <f>IF(Comuni__2[[#This Row],[Popolazione2011]]&gt;300000,"MAGGIORE","")</f>
        <v/>
      </c>
    </row>
    <row r="6357" spans="1:8" x14ac:dyDescent="0.2">
      <c r="A6357"/>
      <c r="B6357"/>
      <c r="C6357"/>
      <c r="D6357"/>
      <c r="E6357" s="2">
        <f>Comuni__2[[#This Row],[Popolazione2011]]/$D$7911</f>
        <v>1.4043365677613765E-4</v>
      </c>
      <c r="F6357">
        <f>SUMIFS($D$2:$D$7909, $B$2:$B$7909, "Sicilia")</f>
        <v>5002904</v>
      </c>
      <c r="G6357" s="1">
        <f>Comuni__2[[#This Row],[Popolazione2011]]/Comuni__2[[#This Row],[POPOLAZIONE TOTALE DI OGNI REGIONE (CON FILTRO)]]</f>
        <v>1.6680312074746986E-3</v>
      </c>
      <c r="H6357" t="str">
        <f>IF(Comuni__2[[#This Row],[Popolazione2011]]&gt;300000,"MAGGIORE","")</f>
        <v/>
      </c>
    </row>
    <row r="6358" spans="1:8" x14ac:dyDescent="0.2">
      <c r="A6358"/>
      <c r="B6358"/>
      <c r="C6358"/>
      <c r="D6358"/>
      <c r="E6358" s="2">
        <f>Comuni__2[[#This Row],[Popolazione2011]]/$D$7911</f>
        <v>1.3959223282900682E-4</v>
      </c>
      <c r="F6358">
        <f>SUMIFS($D$2:$D$7909, $B$2:$B$7909, "Sicilia")</f>
        <v>5002904</v>
      </c>
      <c r="G6358" s="1">
        <f>Comuni__2[[#This Row],[Popolazione2011]]/Comuni__2[[#This Row],[POPOLAZIONE TOTALE DI OGNI REGIONE (CON FILTRO)]]</f>
        <v>1.6580370121033704E-3</v>
      </c>
      <c r="H6358" t="str">
        <f>IF(Comuni__2[[#This Row],[Popolazione2011]]&gt;300000,"MAGGIORE","")</f>
        <v/>
      </c>
    </row>
    <row r="6359" spans="1:8" x14ac:dyDescent="0.2">
      <c r="A6359"/>
      <c r="B6359"/>
      <c r="C6359"/>
      <c r="D6359"/>
      <c r="E6359" s="2">
        <f>Comuni__2[[#This Row],[Popolazione2011]]/$D$7911</f>
        <v>1.3839741082408101E-4</v>
      </c>
      <c r="F6359">
        <f>SUMIFS($D$2:$D$7909, $B$2:$B$7909, "Sicilia")</f>
        <v>5002904</v>
      </c>
      <c r="G6359" s="1">
        <f>Comuni__2[[#This Row],[Popolazione2011]]/Comuni__2[[#This Row],[POPOLAZIONE TOTALE DI OGNI REGIONE (CON FILTRO)]]</f>
        <v>1.6438452546760842E-3</v>
      </c>
      <c r="H6359" t="str">
        <f>IF(Comuni__2[[#This Row],[Popolazione2011]]&gt;300000,"MAGGIORE","")</f>
        <v/>
      </c>
    </row>
    <row r="6360" spans="1:8" x14ac:dyDescent="0.2">
      <c r="A6360"/>
      <c r="B6360"/>
      <c r="C6360"/>
      <c r="D6360"/>
      <c r="E6360" s="2">
        <f>Comuni__2[[#This Row],[Popolazione2011]]/$D$7911</f>
        <v>1.376906147084911E-4</v>
      </c>
      <c r="F6360">
        <f>SUMIFS($D$2:$D$7909, $B$2:$B$7909, "Sicilia")</f>
        <v>5002904</v>
      </c>
      <c r="G6360" s="1">
        <f>Comuni__2[[#This Row],[Popolazione2011]]/Comuni__2[[#This Row],[POPOLAZIONE TOTALE DI OGNI REGIONE (CON FILTRO)]]</f>
        <v>1.6354501305641683E-3</v>
      </c>
      <c r="H6360" t="str">
        <f>IF(Comuni__2[[#This Row],[Popolazione2011]]&gt;300000,"MAGGIORE","")</f>
        <v/>
      </c>
    </row>
    <row r="6361" spans="1:8" x14ac:dyDescent="0.2">
      <c r="A6361"/>
      <c r="B6361"/>
      <c r="C6361"/>
      <c r="D6361"/>
      <c r="E6361" s="2">
        <f>Comuni__2[[#This Row],[Popolazione2011]]/$D$7911</f>
        <v>1.3723624577704046E-4</v>
      </c>
      <c r="F6361">
        <f>SUMIFS($D$2:$D$7909, $B$2:$B$7909, "Sicilia")</f>
        <v>5002904</v>
      </c>
      <c r="G6361" s="1">
        <f>Comuni__2[[#This Row],[Popolazione2011]]/Comuni__2[[#This Row],[POPOLAZIONE TOTALE DI OGNI REGIONE (CON FILTRO)]]</f>
        <v>1.6300532650636509E-3</v>
      </c>
      <c r="H6361" t="str">
        <f>IF(Comuni__2[[#This Row],[Popolazione2011]]&gt;300000,"MAGGIORE","")</f>
        <v/>
      </c>
    </row>
    <row r="6362" spans="1:8" x14ac:dyDescent="0.2">
      <c r="A6362"/>
      <c r="B6362"/>
      <c r="C6362"/>
      <c r="D6362"/>
      <c r="E6362" s="2">
        <f>Comuni__2[[#This Row],[Popolazione2011]]/$D$7911</f>
        <v>1.3676504836664718E-4</v>
      </c>
      <c r="F6362">
        <f>SUMIFS($D$2:$D$7909, $B$2:$B$7909, "Sicilia")</f>
        <v>5002904</v>
      </c>
      <c r="G6362" s="1">
        <f>Comuni__2[[#This Row],[Popolazione2011]]/Comuni__2[[#This Row],[POPOLAZIONE TOTALE DI OGNI REGIONE (CON FILTRO)]]</f>
        <v>1.6244565156557072E-3</v>
      </c>
      <c r="H6362" t="str">
        <f>IF(Comuni__2[[#This Row],[Popolazione2011]]&gt;300000,"MAGGIORE","")</f>
        <v/>
      </c>
    </row>
    <row r="6363" spans="1:8" x14ac:dyDescent="0.2">
      <c r="A6363"/>
      <c r="B6363"/>
      <c r="C6363"/>
      <c r="D6363"/>
      <c r="E6363" s="2">
        <f>Comuni__2[[#This Row],[Popolazione2011]]/$D$7911</f>
        <v>1.3636116487202439E-4</v>
      </c>
      <c r="F6363">
        <f>SUMIFS($D$2:$D$7909, $B$2:$B$7909, "Sicilia")</f>
        <v>5002904</v>
      </c>
      <c r="G6363" s="1">
        <f>Comuni__2[[#This Row],[Popolazione2011]]/Comuni__2[[#This Row],[POPOLAZIONE TOTALE DI OGNI REGIONE (CON FILTRO)]]</f>
        <v>1.6196593018774695E-3</v>
      </c>
      <c r="H6363" t="str">
        <f>IF(Comuni__2[[#This Row],[Popolazione2011]]&gt;300000,"MAGGIORE","")</f>
        <v/>
      </c>
    </row>
    <row r="6364" spans="1:8" x14ac:dyDescent="0.2">
      <c r="A6364"/>
      <c r="B6364"/>
      <c r="C6364"/>
      <c r="D6364"/>
      <c r="E6364" s="2">
        <f>Comuni__2[[#This Row],[Popolazione2011]]/$D$7911</f>
        <v>1.3215404513637017E-4</v>
      </c>
      <c r="F6364">
        <f>SUMIFS($D$2:$D$7909, $B$2:$B$7909, "Sicilia")</f>
        <v>5002904</v>
      </c>
      <c r="G6364" s="1">
        <f>Comuni__2[[#This Row],[Popolazione2011]]/Comuni__2[[#This Row],[POPOLAZIONE TOTALE DI OGNI REGIONE (CON FILTRO)]]</f>
        <v>1.5696883250208278E-3</v>
      </c>
      <c r="H6364" t="str">
        <f>IF(Comuni__2[[#This Row],[Popolazione2011]]&gt;300000,"MAGGIORE","")</f>
        <v/>
      </c>
    </row>
    <row r="6365" spans="1:8" x14ac:dyDescent="0.2">
      <c r="A6365"/>
      <c r="B6365"/>
      <c r="C6365"/>
      <c r="D6365"/>
      <c r="E6365" s="2">
        <f>Comuni__2[[#This Row],[Popolazione2011]]/$D$7911</f>
        <v>1.313799351050098E-4</v>
      </c>
      <c r="F6365">
        <f>SUMIFS($D$2:$D$7909, $B$2:$B$7909, "Sicilia")</f>
        <v>5002904</v>
      </c>
      <c r="G6365" s="1">
        <f>Comuni__2[[#This Row],[Popolazione2011]]/Comuni__2[[#This Row],[POPOLAZIONE TOTALE DI OGNI REGIONE (CON FILTRO)]]</f>
        <v>1.5604936652792059E-3</v>
      </c>
      <c r="H6365" t="str">
        <f>IF(Comuni__2[[#This Row],[Popolazione2011]]&gt;300000,"MAGGIORE","")</f>
        <v/>
      </c>
    </row>
    <row r="6366" spans="1:8" x14ac:dyDescent="0.2">
      <c r="A6366"/>
      <c r="B6366"/>
      <c r="C6366"/>
      <c r="D6366"/>
      <c r="E6366" s="2">
        <f>Comuni__2[[#This Row],[Popolazione2011]]/$D$7911</f>
        <v>1.305889965947068E-4</v>
      </c>
      <c r="F6366">
        <f>SUMIFS($D$2:$D$7909, $B$2:$B$7909, "Sicilia")</f>
        <v>5002904</v>
      </c>
      <c r="G6366" s="1">
        <f>Comuni__2[[#This Row],[Popolazione2011]]/Comuni__2[[#This Row],[POPOLAZIONE TOTALE DI OGNI REGIONE (CON FILTRO)]]</f>
        <v>1.5510991216301571E-3</v>
      </c>
      <c r="H6366" t="str">
        <f>IF(Comuni__2[[#This Row],[Popolazione2011]]&gt;300000,"MAGGIORE","")</f>
        <v/>
      </c>
    </row>
    <row r="6367" spans="1:8" x14ac:dyDescent="0.2">
      <c r="A6367"/>
      <c r="B6367"/>
      <c r="C6367"/>
      <c r="D6367"/>
      <c r="E6367" s="2">
        <f>Comuni__2[[#This Row],[Popolazione2011]]/$D$7911</f>
        <v>1.2981488656334643E-4</v>
      </c>
      <c r="F6367">
        <f>SUMIFS($D$2:$D$7909, $B$2:$B$7909, "Sicilia")</f>
        <v>5002904</v>
      </c>
      <c r="G6367" s="1">
        <f>Comuni__2[[#This Row],[Popolazione2011]]/Comuni__2[[#This Row],[POPOLAZIONE TOTALE DI OGNI REGIONE (CON FILTRO)]]</f>
        <v>1.5419044618885352E-3</v>
      </c>
      <c r="H6367" t="str">
        <f>IF(Comuni__2[[#This Row],[Popolazione2011]]&gt;300000,"MAGGIORE","")</f>
        <v/>
      </c>
    </row>
    <row r="6368" spans="1:8" x14ac:dyDescent="0.2">
      <c r="A6368"/>
      <c r="B6368"/>
      <c r="C6368"/>
      <c r="D6368"/>
      <c r="E6368" s="2">
        <f>Comuni__2[[#This Row],[Popolazione2011]]/$D$7911</f>
        <v>1.2609579271702809E-4</v>
      </c>
      <c r="F6368">
        <f>SUMIFS($D$2:$D$7909, $B$2:$B$7909, "Sicilia")</f>
        <v>5002904</v>
      </c>
      <c r="G6368" s="1">
        <f>Comuni__2[[#This Row],[Popolazione2011]]/Comuni__2[[#This Row],[POPOLAZIONE TOTALE DI OGNI REGIONE (CON FILTRO)]]</f>
        <v>1.4977301183472639E-3</v>
      </c>
      <c r="H6368" t="str">
        <f>IF(Comuni__2[[#This Row],[Popolazione2011]]&gt;300000,"MAGGIORE","")</f>
        <v/>
      </c>
    </row>
    <row r="6369" spans="1:8" x14ac:dyDescent="0.2">
      <c r="A6369"/>
      <c r="B6369"/>
      <c r="C6369"/>
      <c r="D6369"/>
      <c r="E6369" s="2">
        <f>Comuni__2[[#This Row],[Popolazione2011]]/$D$7911</f>
        <v>1.2501877006470063E-4</v>
      </c>
      <c r="F6369">
        <f>SUMIFS($D$2:$D$7909, $B$2:$B$7909, "Sicilia")</f>
        <v>5002904</v>
      </c>
      <c r="G6369" s="1">
        <f>Comuni__2[[#This Row],[Popolazione2011]]/Comuni__2[[#This Row],[POPOLAZIONE TOTALE DI OGNI REGIONE (CON FILTRO)]]</f>
        <v>1.4849375482719636E-3</v>
      </c>
      <c r="H6369" t="str">
        <f>IF(Comuni__2[[#This Row],[Popolazione2011]]&gt;300000,"MAGGIORE","")</f>
        <v/>
      </c>
    </row>
    <row r="6370" spans="1:8" x14ac:dyDescent="0.2">
      <c r="A6370"/>
      <c r="B6370"/>
      <c r="C6370"/>
      <c r="D6370"/>
      <c r="E6370" s="2">
        <f>Comuni__2[[#This Row],[Popolazione2011]]/$D$7911</f>
        <v>1.2496828462787277E-4</v>
      </c>
      <c r="F6370">
        <f>SUMIFS($D$2:$D$7909, $B$2:$B$7909, "Sicilia")</f>
        <v>5002904</v>
      </c>
      <c r="G6370" s="1">
        <f>Comuni__2[[#This Row],[Popolazione2011]]/Comuni__2[[#This Row],[POPOLAZIONE TOTALE DI OGNI REGIONE (CON FILTRO)]]</f>
        <v>1.484337896549684E-3</v>
      </c>
      <c r="H6370" t="str">
        <f>IF(Comuni__2[[#This Row],[Popolazione2011]]&gt;300000,"MAGGIORE","")</f>
        <v/>
      </c>
    </row>
    <row r="6371" spans="1:8" x14ac:dyDescent="0.2">
      <c r="A6371"/>
      <c r="B6371"/>
      <c r="C6371"/>
      <c r="D6371"/>
      <c r="E6371" s="2">
        <f>Comuni__2[[#This Row],[Popolazione2011]]/$D$7911</f>
        <v>1.2432880242805333E-4</v>
      </c>
      <c r="F6371">
        <f>SUMIFS($D$2:$D$7909, $B$2:$B$7909, "Sicilia")</f>
        <v>5002904</v>
      </c>
      <c r="G6371" s="1">
        <f>Comuni__2[[#This Row],[Popolazione2011]]/Comuni__2[[#This Row],[POPOLAZIONE TOTALE DI OGNI REGIONE (CON FILTRO)]]</f>
        <v>1.4767423080674744E-3</v>
      </c>
      <c r="H6371" t="str">
        <f>IF(Comuni__2[[#This Row],[Popolazione2011]]&gt;300000,"MAGGIORE","")</f>
        <v/>
      </c>
    </row>
    <row r="6372" spans="1:8" x14ac:dyDescent="0.2">
      <c r="A6372"/>
      <c r="B6372"/>
      <c r="C6372"/>
      <c r="D6372"/>
      <c r="E6372" s="2">
        <f>Comuni__2[[#This Row],[Popolazione2011]]/$D$7911</f>
        <v>1.2321812281784061E-4</v>
      </c>
      <c r="F6372">
        <f>SUMIFS($D$2:$D$7909, $B$2:$B$7909, "Sicilia")</f>
        <v>5002904</v>
      </c>
      <c r="G6372" s="1">
        <f>Comuni__2[[#This Row],[Popolazione2011]]/Comuni__2[[#This Row],[POPOLAZIONE TOTALE DI OGNI REGIONE (CON FILTRO)]]</f>
        <v>1.463549970177321E-3</v>
      </c>
      <c r="H6372" t="str">
        <f>IF(Comuni__2[[#This Row],[Popolazione2011]]&gt;300000,"MAGGIORE","")</f>
        <v/>
      </c>
    </row>
    <row r="6373" spans="1:8" x14ac:dyDescent="0.2">
      <c r="A6373"/>
      <c r="B6373"/>
      <c r="C6373"/>
      <c r="D6373"/>
      <c r="E6373" s="2">
        <f>Comuni__2[[#This Row],[Popolazione2011]]/$D$7911</f>
        <v>1.2229255647599669E-4</v>
      </c>
      <c r="F6373">
        <f>SUMIFS($D$2:$D$7909, $B$2:$B$7909, "Sicilia")</f>
        <v>5002904</v>
      </c>
      <c r="G6373" s="1">
        <f>Comuni__2[[#This Row],[Popolazione2011]]/Comuni__2[[#This Row],[POPOLAZIONE TOTALE DI OGNI REGIONE (CON FILTRO)]]</f>
        <v>1.4525563552688599E-3</v>
      </c>
      <c r="H6373" t="str">
        <f>IF(Comuni__2[[#This Row],[Popolazione2011]]&gt;300000,"MAGGIORE","")</f>
        <v/>
      </c>
    </row>
    <row r="6374" spans="1:8" x14ac:dyDescent="0.2">
      <c r="A6374"/>
      <c r="B6374"/>
      <c r="C6374"/>
      <c r="D6374"/>
      <c r="E6374" s="2">
        <f>Comuni__2[[#This Row],[Popolazione2011]]/$D$7911</f>
        <v>1.2161941731829201E-4</v>
      </c>
      <c r="F6374">
        <f>SUMIFS($D$2:$D$7909, $B$2:$B$7909, "Sicilia")</f>
        <v>5002904</v>
      </c>
      <c r="G6374" s="1">
        <f>Comuni__2[[#This Row],[Popolazione2011]]/Comuni__2[[#This Row],[POPOLAZIONE TOTALE DI OGNI REGIONE (CON FILTRO)]]</f>
        <v>1.4445609989717971E-3</v>
      </c>
      <c r="H6374" t="str">
        <f>IF(Comuni__2[[#This Row],[Popolazione2011]]&gt;300000,"MAGGIORE","")</f>
        <v/>
      </c>
    </row>
    <row r="6375" spans="1:8" x14ac:dyDescent="0.2">
      <c r="A6375"/>
      <c r="B6375"/>
      <c r="C6375"/>
      <c r="D6375"/>
      <c r="E6375" s="2">
        <f>Comuni__2[[#This Row],[Popolazione2011]]/$D$7911</f>
        <v>1.2138381861309537E-4</v>
      </c>
      <c r="F6375">
        <f>SUMIFS($D$2:$D$7909, $B$2:$B$7909, "Sicilia")</f>
        <v>5002904</v>
      </c>
      <c r="G6375" s="1">
        <f>Comuni__2[[#This Row],[Popolazione2011]]/Comuni__2[[#This Row],[POPOLAZIONE TOTALE DI OGNI REGIONE (CON FILTRO)]]</f>
        <v>1.4417626242678252E-3</v>
      </c>
      <c r="H6375" t="str">
        <f>IF(Comuni__2[[#This Row],[Popolazione2011]]&gt;300000,"MAGGIORE","")</f>
        <v/>
      </c>
    </row>
    <row r="6376" spans="1:8" x14ac:dyDescent="0.2">
      <c r="A6376"/>
      <c r="B6376"/>
      <c r="C6376"/>
      <c r="D6376"/>
      <c r="E6376" s="2">
        <f>Comuni__2[[#This Row],[Popolazione2011]]/$D$7911</f>
        <v>1.2092944968164472E-4</v>
      </c>
      <c r="F6376">
        <f>SUMIFS($D$2:$D$7909, $B$2:$B$7909, "Sicilia")</f>
        <v>5002904</v>
      </c>
      <c r="G6376" s="1">
        <f>Comuni__2[[#This Row],[Popolazione2011]]/Comuni__2[[#This Row],[POPOLAZIONE TOTALE DI OGNI REGIONE (CON FILTRO)]]</f>
        <v>1.4363657587673079E-3</v>
      </c>
      <c r="H6376" t="str">
        <f>IF(Comuni__2[[#This Row],[Popolazione2011]]&gt;300000,"MAGGIORE","")</f>
        <v/>
      </c>
    </row>
    <row r="6377" spans="1:8" x14ac:dyDescent="0.2">
      <c r="A6377"/>
      <c r="B6377"/>
      <c r="C6377"/>
      <c r="D6377"/>
      <c r="E6377" s="2">
        <f>Comuni__2[[#This Row],[Popolazione2011]]/$D$7911</f>
        <v>1.2042459531336621E-4</v>
      </c>
      <c r="F6377">
        <f>SUMIFS($D$2:$D$7909, $B$2:$B$7909, "Sicilia")</f>
        <v>5002904</v>
      </c>
      <c r="G6377" s="1">
        <f>Comuni__2[[#This Row],[Popolazione2011]]/Comuni__2[[#This Row],[POPOLAZIONE TOTALE DI OGNI REGIONE (CON FILTRO)]]</f>
        <v>1.4303692415445109E-3</v>
      </c>
      <c r="H6377" t="str">
        <f>IF(Comuni__2[[#This Row],[Popolazione2011]]&gt;300000,"MAGGIORE","")</f>
        <v/>
      </c>
    </row>
    <row r="6378" spans="1:8" x14ac:dyDescent="0.2">
      <c r="A6378"/>
      <c r="B6378"/>
      <c r="C6378"/>
      <c r="D6378"/>
      <c r="E6378" s="2">
        <f>Comuni__2[[#This Row],[Popolazione2011]]/$D$7911</f>
        <v>1.1971779919777631E-4</v>
      </c>
      <c r="F6378">
        <f>SUMIFS($D$2:$D$7909, $B$2:$B$7909, "Sicilia")</f>
        <v>5002904</v>
      </c>
      <c r="G6378" s="1">
        <f>Comuni__2[[#This Row],[Popolazione2011]]/Comuni__2[[#This Row],[POPOLAZIONE TOTALE DI OGNI REGIONE (CON FILTRO)]]</f>
        <v>1.4219741174325952E-3</v>
      </c>
      <c r="H6378" t="str">
        <f>IF(Comuni__2[[#This Row],[Popolazione2011]]&gt;300000,"MAGGIORE","")</f>
        <v/>
      </c>
    </row>
    <row r="6379" spans="1:8" x14ac:dyDescent="0.2">
      <c r="A6379"/>
      <c r="B6379"/>
      <c r="C6379"/>
      <c r="D6379"/>
      <c r="E6379" s="2">
        <f>Comuni__2[[#This Row],[Popolazione2011]]/$D$7911</f>
        <v>1.1951585745046492E-4</v>
      </c>
      <c r="F6379">
        <f>SUMIFS($D$2:$D$7909, $B$2:$B$7909, "Sicilia")</f>
        <v>5002904</v>
      </c>
      <c r="G6379" s="1">
        <f>Comuni__2[[#This Row],[Popolazione2011]]/Comuni__2[[#This Row],[POPOLAZIONE TOTALE DI OGNI REGIONE (CON FILTRO)]]</f>
        <v>1.4195755105434764E-3</v>
      </c>
      <c r="H6379" t="str">
        <f>IF(Comuni__2[[#This Row],[Popolazione2011]]&gt;300000,"MAGGIORE","")</f>
        <v/>
      </c>
    </row>
    <row r="6380" spans="1:8" x14ac:dyDescent="0.2">
      <c r="A6380"/>
      <c r="B6380"/>
      <c r="C6380"/>
      <c r="D6380"/>
      <c r="E6380" s="2">
        <f>Comuni__2[[#This Row],[Popolazione2011]]/$D$7911</f>
        <v>1.1948220049257967E-4</v>
      </c>
      <c r="F6380">
        <f>SUMIFS($D$2:$D$7909, $B$2:$B$7909, "Sicilia")</f>
        <v>5002904</v>
      </c>
      <c r="G6380" s="1">
        <f>Comuni__2[[#This Row],[Popolazione2011]]/Comuni__2[[#This Row],[POPOLAZIONE TOTALE DI OGNI REGIONE (CON FILTRO)]]</f>
        <v>1.4191757427286231E-3</v>
      </c>
      <c r="H6380" t="str">
        <f>IF(Comuni__2[[#This Row],[Popolazione2011]]&gt;300000,"MAGGIORE","")</f>
        <v/>
      </c>
    </row>
    <row r="6381" spans="1:8" x14ac:dyDescent="0.2">
      <c r="A6381"/>
      <c r="B6381"/>
      <c r="C6381"/>
      <c r="D6381"/>
      <c r="E6381" s="2">
        <f>Comuni__2[[#This Row],[Popolazione2011]]/$D$7911</f>
        <v>1.1889320372958809E-4</v>
      </c>
      <c r="F6381">
        <f>SUMIFS($D$2:$D$7909, $B$2:$B$7909, "Sicilia")</f>
        <v>5002904</v>
      </c>
      <c r="G6381" s="1">
        <f>Comuni__2[[#This Row],[Popolazione2011]]/Comuni__2[[#This Row],[POPOLAZIONE TOTALE DI OGNI REGIONE (CON FILTRO)]]</f>
        <v>1.4121798059686934E-3</v>
      </c>
      <c r="H6381" t="str">
        <f>IF(Comuni__2[[#This Row],[Popolazione2011]]&gt;300000,"MAGGIORE","")</f>
        <v/>
      </c>
    </row>
    <row r="6382" spans="1:8" x14ac:dyDescent="0.2">
      <c r="A6382"/>
      <c r="B6382"/>
      <c r="C6382"/>
      <c r="D6382"/>
      <c r="E6382" s="2">
        <f>Comuni__2[[#This Row],[Popolazione2011]]/$D$7911</f>
        <v>1.1885954677170285E-4</v>
      </c>
      <c r="F6382">
        <f>SUMIFS($D$2:$D$7909, $B$2:$B$7909, "Sicilia")</f>
        <v>5002904</v>
      </c>
      <c r="G6382" s="1">
        <f>Comuni__2[[#This Row],[Popolazione2011]]/Comuni__2[[#This Row],[POPOLAZIONE TOTALE DI OGNI REGIONE (CON FILTRO)]]</f>
        <v>1.4117800381538402E-3</v>
      </c>
      <c r="H6382" t="str">
        <f>IF(Comuni__2[[#This Row],[Popolazione2011]]&gt;300000,"MAGGIORE","")</f>
        <v/>
      </c>
    </row>
    <row r="6383" spans="1:8" x14ac:dyDescent="0.2">
      <c r="A6383"/>
      <c r="B6383"/>
      <c r="C6383"/>
      <c r="D6383"/>
      <c r="E6383" s="2">
        <f>Comuni__2[[#This Row],[Popolazione2011]]/$D$7911</f>
        <v>1.1815275065611294E-4</v>
      </c>
      <c r="F6383">
        <f>SUMIFS($D$2:$D$7909, $B$2:$B$7909, "Sicilia")</f>
        <v>5002904</v>
      </c>
      <c r="G6383" s="1">
        <f>Comuni__2[[#This Row],[Popolazione2011]]/Comuni__2[[#This Row],[POPOLAZIONE TOTALE DI OGNI REGIONE (CON FILTRO)]]</f>
        <v>1.4033849140419245E-3</v>
      </c>
      <c r="H6383" t="str">
        <f>IF(Comuni__2[[#This Row],[Popolazione2011]]&gt;300000,"MAGGIORE","")</f>
        <v/>
      </c>
    </row>
    <row r="6384" spans="1:8" x14ac:dyDescent="0.2">
      <c r="A6384"/>
      <c r="B6384"/>
      <c r="C6384"/>
      <c r="D6384"/>
      <c r="E6384" s="2">
        <f>Comuni__2[[#This Row],[Popolazione2011]]/$D$7911</f>
        <v>1.1675598690387575E-4</v>
      </c>
      <c r="F6384">
        <f>SUMIFS($D$2:$D$7909, $B$2:$B$7909, "Sicilia")</f>
        <v>5002904</v>
      </c>
      <c r="G6384" s="1">
        <f>Comuni__2[[#This Row],[Popolazione2011]]/Comuni__2[[#This Row],[POPOLAZIONE TOTALE DI OGNI REGIONE (CON FILTRO)]]</f>
        <v>1.3867945497255194E-3</v>
      </c>
      <c r="H6384" t="str">
        <f>IF(Comuni__2[[#This Row],[Popolazione2011]]&gt;300000,"MAGGIORE","")</f>
        <v/>
      </c>
    </row>
    <row r="6385" spans="1:8" x14ac:dyDescent="0.2">
      <c r="A6385"/>
      <c r="B6385"/>
      <c r="C6385"/>
      <c r="D6385"/>
      <c r="E6385" s="2">
        <f>Comuni__2[[#This Row],[Popolazione2011]]/$D$7911</f>
        <v>1.167055014670479E-4</v>
      </c>
      <c r="F6385">
        <f>SUMIFS($D$2:$D$7909, $B$2:$B$7909, "Sicilia")</f>
        <v>5002904</v>
      </c>
      <c r="G6385" s="1">
        <f>Comuni__2[[#This Row],[Popolazione2011]]/Comuni__2[[#This Row],[POPOLAZIONE TOTALE DI OGNI REGIONE (CON FILTRO)]]</f>
        <v>1.3861948980032398E-3</v>
      </c>
      <c r="H6385" t="str">
        <f>IF(Comuni__2[[#This Row],[Popolazione2011]]&gt;300000,"MAGGIORE","")</f>
        <v/>
      </c>
    </row>
    <row r="6386" spans="1:8" x14ac:dyDescent="0.2">
      <c r="A6386"/>
      <c r="B6386"/>
      <c r="C6386"/>
      <c r="D6386"/>
      <c r="E6386" s="2">
        <f>Comuni__2[[#This Row],[Popolazione2011]]/$D$7911</f>
        <v>1.1641941732502341E-4</v>
      </c>
      <c r="F6386">
        <f>SUMIFS($D$2:$D$7909, $B$2:$B$7909, "Sicilia")</f>
        <v>5002904</v>
      </c>
      <c r="G6386" s="1">
        <f>Comuni__2[[#This Row],[Popolazione2011]]/Comuni__2[[#This Row],[POPOLAZIONE TOTALE DI OGNI REGIONE (CON FILTRO)]]</f>
        <v>1.382796871576988E-3</v>
      </c>
      <c r="H6386" t="str">
        <f>IF(Comuni__2[[#This Row],[Popolazione2011]]&gt;300000,"MAGGIORE","")</f>
        <v/>
      </c>
    </row>
    <row r="6387" spans="1:8" x14ac:dyDescent="0.2">
      <c r="A6387"/>
      <c r="B6387"/>
      <c r="C6387"/>
      <c r="D6387"/>
      <c r="E6387" s="2">
        <f>Comuni__2[[#This Row],[Popolazione2011]]/$D$7911</f>
        <v>1.1408025875199966E-4</v>
      </c>
      <c r="F6387">
        <f>SUMIFS($D$2:$D$7909, $B$2:$B$7909, "Sicilia")</f>
        <v>5002904</v>
      </c>
      <c r="G6387" s="1">
        <f>Comuni__2[[#This Row],[Popolazione2011]]/Comuni__2[[#This Row],[POPOLAZIONE TOTALE DI OGNI REGIONE (CON FILTRO)]]</f>
        <v>1.3550130084446954E-3</v>
      </c>
      <c r="H6387" t="str">
        <f>IF(Comuni__2[[#This Row],[Popolazione2011]]&gt;300000,"MAGGIORE","")</f>
        <v/>
      </c>
    </row>
    <row r="6388" spans="1:8" x14ac:dyDescent="0.2">
      <c r="A6388"/>
      <c r="B6388"/>
      <c r="C6388"/>
      <c r="D6388"/>
      <c r="E6388" s="2">
        <f>Comuni__2[[#This Row],[Popolazione2011]]/$D$7911</f>
        <v>1.1328932024169668E-4</v>
      </c>
      <c r="F6388">
        <f>SUMIFS($D$2:$D$7909, $B$2:$B$7909, "Sicilia")</f>
        <v>5002904</v>
      </c>
      <c r="G6388" s="1">
        <f>Comuni__2[[#This Row],[Popolazione2011]]/Comuni__2[[#This Row],[POPOLAZIONE TOTALE DI OGNI REGIONE (CON FILTRO)]]</f>
        <v>1.3456184647956467E-3</v>
      </c>
      <c r="H6388" t="str">
        <f>IF(Comuni__2[[#This Row],[Popolazione2011]]&gt;300000,"MAGGIORE","")</f>
        <v/>
      </c>
    </row>
    <row r="6389" spans="1:8" x14ac:dyDescent="0.2">
      <c r="A6389"/>
      <c r="B6389"/>
      <c r="C6389"/>
      <c r="D6389"/>
      <c r="E6389" s="2">
        <f>Comuni__2[[#This Row],[Popolazione2011]]/$D$7911</f>
        <v>1.101255662004847E-4</v>
      </c>
      <c r="F6389">
        <f>SUMIFS($D$2:$D$7909, $B$2:$B$7909, "Sicilia")</f>
        <v>5002904</v>
      </c>
      <c r="G6389" s="1">
        <f>Comuni__2[[#This Row],[Popolazione2011]]/Comuni__2[[#This Row],[POPOLAZIONE TOTALE DI OGNI REGIONE (CON FILTRO)]]</f>
        <v>1.3080402901994523E-3</v>
      </c>
      <c r="H6389" t="str">
        <f>IF(Comuni__2[[#This Row],[Popolazione2011]]&gt;300000,"MAGGIORE","")</f>
        <v/>
      </c>
    </row>
    <row r="6390" spans="1:8" x14ac:dyDescent="0.2">
      <c r="A6390"/>
      <c r="B6390"/>
      <c r="C6390"/>
      <c r="D6390"/>
      <c r="E6390" s="2">
        <f>Comuni__2[[#This Row],[Popolazione2011]]/$D$7911</f>
        <v>1.1007508076365685E-4</v>
      </c>
      <c r="F6390">
        <f>SUMIFS($D$2:$D$7909, $B$2:$B$7909, "Sicilia")</f>
        <v>5002904</v>
      </c>
      <c r="G6390" s="1">
        <f>Comuni__2[[#This Row],[Popolazione2011]]/Comuni__2[[#This Row],[POPOLAZIONE TOTALE DI OGNI REGIONE (CON FILTRO)]]</f>
        <v>1.3074406384771724E-3</v>
      </c>
      <c r="H6390" t="str">
        <f>IF(Comuni__2[[#This Row],[Popolazione2011]]&gt;300000,"MAGGIORE","")</f>
        <v/>
      </c>
    </row>
    <row r="6391" spans="1:8" x14ac:dyDescent="0.2">
      <c r="A6391"/>
      <c r="B6391"/>
      <c r="C6391"/>
      <c r="D6391"/>
      <c r="E6391" s="2">
        <f>Comuni__2[[#This Row],[Popolazione2011]]/$D$7911</f>
        <v>1.0805566329054283E-4</v>
      </c>
      <c r="F6391">
        <f>SUMIFS($D$2:$D$7909, $B$2:$B$7909, "Sicilia")</f>
        <v>5002904</v>
      </c>
      <c r="G6391" s="1">
        <f>Comuni__2[[#This Row],[Popolazione2011]]/Comuni__2[[#This Row],[POPOLAZIONE TOTALE DI OGNI REGIONE (CON FILTRO)]]</f>
        <v>1.2834545695859846E-3</v>
      </c>
      <c r="H6391" t="str">
        <f>IF(Comuni__2[[#This Row],[Popolazione2011]]&gt;300000,"MAGGIORE","")</f>
        <v/>
      </c>
    </row>
    <row r="6392" spans="1:8" x14ac:dyDescent="0.2">
      <c r="A6392"/>
      <c r="B6392"/>
      <c r="C6392"/>
      <c r="D6392"/>
      <c r="E6392" s="2">
        <f>Comuni__2[[#This Row],[Popolazione2011]]/$D$7911</f>
        <v>1.0792103545900189E-4</v>
      </c>
      <c r="F6392">
        <f>SUMIFS($D$2:$D$7909, $B$2:$B$7909, "Sicilia")</f>
        <v>5002904</v>
      </c>
      <c r="G6392" s="1">
        <f>Comuni__2[[#This Row],[Popolazione2011]]/Comuni__2[[#This Row],[POPOLAZIONE TOTALE DI OGNI REGIONE (CON FILTRO)]]</f>
        <v>1.281855498326572E-3</v>
      </c>
      <c r="H6392" t="str">
        <f>IF(Comuni__2[[#This Row],[Popolazione2011]]&gt;300000,"MAGGIORE","")</f>
        <v/>
      </c>
    </row>
    <row r="6393" spans="1:8" x14ac:dyDescent="0.2">
      <c r="A6393"/>
      <c r="B6393"/>
      <c r="C6393"/>
      <c r="D6393"/>
      <c r="E6393" s="2">
        <f>Comuni__2[[#This Row],[Popolazione2011]]/$D$7911</f>
        <v>1.0785372154323143E-4</v>
      </c>
      <c r="F6393">
        <f>SUMIFS($D$2:$D$7909, $B$2:$B$7909, "Sicilia")</f>
        <v>5002904</v>
      </c>
      <c r="G6393" s="1">
        <f>Comuni__2[[#This Row],[Popolazione2011]]/Comuni__2[[#This Row],[POPOLAZIONE TOTALE DI OGNI REGIONE (CON FILTRO)]]</f>
        <v>1.2810559626968657E-3</v>
      </c>
      <c r="H6393" t="str">
        <f>IF(Comuni__2[[#This Row],[Popolazione2011]]&gt;300000,"MAGGIORE","")</f>
        <v/>
      </c>
    </row>
    <row r="6394" spans="1:8" x14ac:dyDescent="0.2">
      <c r="A6394"/>
      <c r="B6394"/>
      <c r="C6394"/>
      <c r="D6394"/>
      <c r="E6394" s="2">
        <f>Comuni__2[[#This Row],[Popolazione2011]]/$D$7911</f>
        <v>1.0750032348543647E-4</v>
      </c>
      <c r="F6394">
        <f>SUMIFS($D$2:$D$7909, $B$2:$B$7909, "Sicilia")</f>
        <v>5002904</v>
      </c>
      <c r="G6394" s="1">
        <f>Comuni__2[[#This Row],[Popolazione2011]]/Comuni__2[[#This Row],[POPOLAZIONE TOTALE DI OGNI REGIONE (CON FILTRO)]]</f>
        <v>1.2768584006409077E-3</v>
      </c>
      <c r="H6394" t="str">
        <f>IF(Comuni__2[[#This Row],[Popolazione2011]]&gt;300000,"MAGGIORE","")</f>
        <v/>
      </c>
    </row>
    <row r="6395" spans="1:8" x14ac:dyDescent="0.2">
      <c r="A6395"/>
      <c r="B6395"/>
      <c r="C6395"/>
      <c r="D6395"/>
      <c r="E6395" s="2">
        <f>Comuni__2[[#This Row],[Popolazione2011]]/$D$7911</f>
        <v>1.0559870536492077E-4</v>
      </c>
      <c r="F6395">
        <f>SUMIFS($D$2:$D$7909, $B$2:$B$7909, "Sicilia")</f>
        <v>5002904</v>
      </c>
      <c r="G6395" s="1">
        <f>Comuni__2[[#This Row],[Popolazione2011]]/Comuni__2[[#This Row],[POPOLAZIONE TOTALE DI OGNI REGIONE (CON FILTRO)]]</f>
        <v>1.2542715191017058E-3</v>
      </c>
      <c r="H6395" t="str">
        <f>IF(Comuni__2[[#This Row],[Popolazione2011]]&gt;300000,"MAGGIORE","")</f>
        <v/>
      </c>
    </row>
    <row r="6396" spans="1:8" x14ac:dyDescent="0.2">
      <c r="A6396"/>
      <c r="B6396"/>
      <c r="C6396"/>
      <c r="D6396"/>
      <c r="E6396" s="2">
        <f>Comuni__2[[#This Row],[Popolazione2011]]/$D$7911</f>
        <v>1.054304205754946E-4</v>
      </c>
      <c r="F6396">
        <f>SUMIFS($D$2:$D$7909, $B$2:$B$7909, "Sicilia")</f>
        <v>5002904</v>
      </c>
      <c r="G6396" s="1">
        <f>Comuni__2[[#This Row],[Popolazione2011]]/Comuni__2[[#This Row],[POPOLAZIONE TOTALE DI OGNI REGIONE (CON FILTRO)]]</f>
        <v>1.25227268002744E-3</v>
      </c>
      <c r="H6396" t="str">
        <f>IF(Comuni__2[[#This Row],[Popolazione2011]]&gt;300000,"MAGGIORE","")</f>
        <v/>
      </c>
    </row>
    <row r="6397" spans="1:8" x14ac:dyDescent="0.2">
      <c r="A6397"/>
      <c r="B6397"/>
      <c r="C6397"/>
      <c r="D6397"/>
      <c r="E6397" s="2">
        <f>Comuni__2[[#This Row],[Popolazione2011]]/$D$7911</f>
        <v>1.0288932025515945E-4</v>
      </c>
      <c r="F6397">
        <f>SUMIFS($D$2:$D$7909, $B$2:$B$7909, "Sicilia")</f>
        <v>5002904</v>
      </c>
      <c r="G6397" s="1">
        <f>Comuni__2[[#This Row],[Popolazione2011]]/Comuni__2[[#This Row],[POPOLAZIONE TOTALE DI OGNI REGIONE (CON FILTRO)]]</f>
        <v>1.2220902100060285E-3</v>
      </c>
      <c r="H6397" t="str">
        <f>IF(Comuni__2[[#This Row],[Popolazione2011]]&gt;300000,"MAGGIORE","")</f>
        <v/>
      </c>
    </row>
    <row r="6398" spans="1:8" x14ac:dyDescent="0.2">
      <c r="A6398"/>
      <c r="B6398"/>
      <c r="C6398"/>
      <c r="D6398"/>
      <c r="E6398" s="2">
        <f>Comuni__2[[#This Row],[Popolazione2011]]/$D$7911</f>
        <v>1.0273786394467591E-4</v>
      </c>
      <c r="F6398">
        <f>SUMIFS($D$2:$D$7909, $B$2:$B$7909, "Sicilia")</f>
        <v>5002904</v>
      </c>
      <c r="G6398" s="1">
        <f>Comuni__2[[#This Row],[Popolazione2011]]/Comuni__2[[#This Row],[POPOLAZIONE TOTALE DI OGNI REGIONE (CON FILTRO)]]</f>
        <v>1.2202912548391893E-3</v>
      </c>
      <c r="H6398" t="str">
        <f>IF(Comuni__2[[#This Row],[Popolazione2011]]&gt;300000,"MAGGIORE","")</f>
        <v/>
      </c>
    </row>
    <row r="6399" spans="1:8" x14ac:dyDescent="0.2">
      <c r="A6399"/>
      <c r="B6399"/>
      <c r="C6399"/>
      <c r="D6399"/>
      <c r="E6399" s="2">
        <f>Comuni__2[[#This Row],[Popolazione2011]]/$D$7911</f>
        <v>1.0113915844512731E-4</v>
      </c>
      <c r="F6399">
        <f>SUMIFS($D$2:$D$7909, $B$2:$B$7909, "Sicilia")</f>
        <v>5002904</v>
      </c>
      <c r="G6399" s="1">
        <f>Comuni__2[[#This Row],[Popolazione2011]]/Comuni__2[[#This Row],[POPOLAZIONE TOTALE DI OGNI REGIONE (CON FILTRO)]]</f>
        <v>1.2013022836336656E-3</v>
      </c>
      <c r="H6399" t="str">
        <f>IF(Comuni__2[[#This Row],[Popolazione2011]]&gt;300000,"MAGGIORE","")</f>
        <v/>
      </c>
    </row>
    <row r="6400" spans="1:8" x14ac:dyDescent="0.2">
      <c r="A6400"/>
      <c r="B6400"/>
      <c r="C6400"/>
      <c r="D6400"/>
      <c r="E6400" s="2">
        <f>Comuni__2[[#This Row],[Popolazione2011]]/$D$7911</f>
        <v>9.8261488545939814E-5</v>
      </c>
      <c r="F6400">
        <f>SUMIFS($D$2:$D$7909, $B$2:$B$7909, "Sicilia")</f>
        <v>5002904</v>
      </c>
      <c r="G6400" s="1">
        <f>Comuni__2[[#This Row],[Popolazione2011]]/Comuni__2[[#This Row],[POPOLAZIONE TOTALE DI OGNI REGIONE (CON FILTRO)]]</f>
        <v>1.1671221354637227E-3</v>
      </c>
      <c r="H6400" t="str">
        <f>IF(Comuni__2[[#This Row],[Popolazione2011]]&gt;300000,"MAGGIORE","")</f>
        <v/>
      </c>
    </row>
    <row r="6401" spans="1:8" x14ac:dyDescent="0.2">
      <c r="A6401"/>
      <c r="B6401"/>
      <c r="C6401"/>
      <c r="D6401"/>
      <c r="E6401" s="2">
        <f>Comuni__2[[#This Row],[Popolazione2011]]/$D$7911</f>
        <v>9.8042718319685804E-5</v>
      </c>
      <c r="F6401">
        <f>SUMIFS($D$2:$D$7909, $B$2:$B$7909, "Sicilia")</f>
        <v>5002904</v>
      </c>
      <c r="G6401" s="1">
        <f>Comuni__2[[#This Row],[Popolazione2011]]/Comuni__2[[#This Row],[POPOLAZIONE TOTALE DI OGNI REGIONE (CON FILTRO)]]</f>
        <v>1.1645236446671773E-3</v>
      </c>
      <c r="H6401" t="str">
        <f>IF(Comuni__2[[#This Row],[Popolazione2011]]&gt;300000,"MAGGIORE","")</f>
        <v/>
      </c>
    </row>
    <row r="6402" spans="1:8" x14ac:dyDescent="0.2">
      <c r="A6402"/>
      <c r="B6402"/>
      <c r="C6402"/>
      <c r="D6402"/>
      <c r="E6402" s="2">
        <f>Comuni__2[[#This Row],[Popolazione2011]]/$D$7911</f>
        <v>9.6662783046391214E-5</v>
      </c>
      <c r="F6402">
        <f>SUMIFS($D$2:$D$7909, $B$2:$B$7909, "Sicilia")</f>
        <v>5002904</v>
      </c>
      <c r="G6402" s="1">
        <f>Comuni__2[[#This Row],[Popolazione2011]]/Comuni__2[[#This Row],[POPOLAZIONE TOTALE DI OGNI REGIONE (CON FILTRO)]]</f>
        <v>1.1481331642581988E-3</v>
      </c>
      <c r="H6402" t="str">
        <f>IF(Comuni__2[[#This Row],[Popolazione2011]]&gt;300000,"MAGGIORE","")</f>
        <v/>
      </c>
    </row>
    <row r="6403" spans="1:8" x14ac:dyDescent="0.2">
      <c r="A6403"/>
      <c r="B6403"/>
      <c r="C6403"/>
      <c r="D6403"/>
      <c r="E6403" s="2">
        <f>Comuni__2[[#This Row],[Popolazione2011]]/$D$7911</f>
        <v>9.6376698904366727E-5</v>
      </c>
      <c r="F6403">
        <f>SUMIFS($D$2:$D$7909, $B$2:$B$7909, "Sicilia")</f>
        <v>5002904</v>
      </c>
      <c r="G6403" s="1">
        <f>Comuni__2[[#This Row],[Popolazione2011]]/Comuni__2[[#This Row],[POPOLAZIONE TOTALE DI OGNI REGIONE (CON FILTRO)]]</f>
        <v>1.1447351378319473E-3</v>
      </c>
      <c r="H6403" t="str">
        <f>IF(Comuni__2[[#This Row],[Popolazione2011]]&gt;300000,"MAGGIORE","")</f>
        <v/>
      </c>
    </row>
    <row r="6404" spans="1:8" x14ac:dyDescent="0.2">
      <c r="A6404"/>
      <c r="B6404"/>
      <c r="C6404"/>
      <c r="D6404"/>
      <c r="E6404" s="2">
        <f>Comuni__2[[#This Row],[Popolazione2011]]/$D$7911</f>
        <v>9.4222653599711781E-5</v>
      </c>
      <c r="F6404">
        <f>SUMIFS($D$2:$D$7909, $B$2:$B$7909, "Sicilia")</f>
        <v>5002904</v>
      </c>
      <c r="G6404" s="1">
        <f>Comuni__2[[#This Row],[Popolazione2011]]/Comuni__2[[#This Row],[POPOLAZIONE TOTALE DI OGNI REGIONE (CON FILTRO)]]</f>
        <v>1.1191499976813467E-3</v>
      </c>
      <c r="H6404" t="str">
        <f>IF(Comuni__2[[#This Row],[Popolazione2011]]&gt;300000,"MAGGIORE","")</f>
        <v/>
      </c>
    </row>
    <row r="6405" spans="1:8" x14ac:dyDescent="0.2">
      <c r="A6405"/>
      <c r="B6405"/>
      <c r="C6405"/>
      <c r="D6405"/>
      <c r="E6405" s="2">
        <f>Comuni__2[[#This Row],[Popolazione2011]]/$D$7911</f>
        <v>9.2186407647655135E-5</v>
      </c>
      <c r="F6405">
        <f>SUMIFS($D$2:$D$7909, $B$2:$B$7909, "Sicilia")</f>
        <v>5002904</v>
      </c>
      <c r="G6405" s="1">
        <f>Comuni__2[[#This Row],[Popolazione2011]]/Comuni__2[[#This Row],[POPOLAZIONE TOTALE DI OGNI REGIONE (CON FILTRO)]]</f>
        <v>1.0949640448827322E-3</v>
      </c>
      <c r="H6405" t="str">
        <f>IF(Comuni__2[[#This Row],[Popolazione2011]]&gt;300000,"MAGGIORE","")</f>
        <v/>
      </c>
    </row>
    <row r="6406" spans="1:8" x14ac:dyDescent="0.2">
      <c r="A6406"/>
      <c r="B6406"/>
      <c r="C6406"/>
      <c r="D6406"/>
      <c r="E6406" s="2">
        <f>Comuni__2[[#This Row],[Popolazione2011]]/$D$7911</f>
        <v>9.1143041953212895E-5</v>
      </c>
      <c r="F6406">
        <f>SUMIFS($D$2:$D$7909, $B$2:$B$7909, "Sicilia")</f>
        <v>5002904</v>
      </c>
      <c r="G6406" s="1">
        <f>Comuni__2[[#This Row],[Popolazione2011]]/Comuni__2[[#This Row],[POPOLAZIONE TOTALE DI OGNI REGIONE (CON FILTRO)]]</f>
        <v>1.0825712426222849E-3</v>
      </c>
      <c r="H6406" t="str">
        <f>IF(Comuni__2[[#This Row],[Popolazione2011]]&gt;300000,"MAGGIORE","")</f>
        <v/>
      </c>
    </row>
    <row r="6407" spans="1:8" x14ac:dyDescent="0.2">
      <c r="A6407"/>
      <c r="B6407"/>
      <c r="C6407"/>
      <c r="D6407"/>
      <c r="E6407" s="2">
        <f>Comuni__2[[#This Row],[Popolazione2011]]/$D$7911</f>
        <v>9.0739158458590081E-5</v>
      </c>
      <c r="F6407">
        <f>SUMIFS($D$2:$D$7909, $B$2:$B$7909, "Sicilia")</f>
        <v>5002904</v>
      </c>
      <c r="G6407" s="1">
        <f>Comuni__2[[#This Row],[Popolazione2011]]/Comuni__2[[#This Row],[POPOLAZIONE TOTALE DI OGNI REGIONE (CON FILTRO)]]</f>
        <v>1.0777740288440475E-3</v>
      </c>
      <c r="H6407" t="str">
        <f>IF(Comuni__2[[#This Row],[Popolazione2011]]&gt;300000,"MAGGIORE","")</f>
        <v/>
      </c>
    </row>
    <row r="6408" spans="1:8" x14ac:dyDescent="0.2">
      <c r="A6408"/>
      <c r="B6408"/>
      <c r="C6408"/>
      <c r="D6408"/>
      <c r="E6408" s="2">
        <f>Comuni__2[[#This Row],[Popolazione2011]]/$D$7911</f>
        <v>9.0722329979647464E-5</v>
      </c>
      <c r="F6408">
        <f>SUMIFS($D$2:$D$7909, $B$2:$B$7909, "Sicilia")</f>
        <v>5002904</v>
      </c>
      <c r="G6408" s="1">
        <f>Comuni__2[[#This Row],[Popolazione2011]]/Comuni__2[[#This Row],[POPOLAZIONE TOTALE DI OGNI REGIONE (CON FILTRO)]]</f>
        <v>1.0775741449366208E-3</v>
      </c>
      <c r="H6408" t="str">
        <f>IF(Comuni__2[[#This Row],[Popolazione2011]]&gt;300000,"MAGGIORE","")</f>
        <v/>
      </c>
    </row>
    <row r="6409" spans="1:8" x14ac:dyDescent="0.2">
      <c r="A6409"/>
      <c r="B6409"/>
      <c r="C6409"/>
      <c r="D6409"/>
      <c r="E6409" s="2">
        <f>Comuni__2[[#This Row],[Popolazione2011]]/$D$7911</f>
        <v>9.0587702148106535E-5</v>
      </c>
      <c r="F6409">
        <f>SUMIFS($D$2:$D$7909, $B$2:$B$7909, "Sicilia")</f>
        <v>5002904</v>
      </c>
      <c r="G6409" s="1">
        <f>Comuni__2[[#This Row],[Popolazione2011]]/Comuni__2[[#This Row],[POPOLAZIONE TOTALE DI OGNI REGIONE (CON FILTRO)]]</f>
        <v>1.0759750736772083E-3</v>
      </c>
      <c r="H6409" t="str">
        <f>IF(Comuni__2[[#This Row],[Popolazione2011]]&gt;300000,"MAGGIORE","")</f>
        <v/>
      </c>
    </row>
    <row r="6410" spans="1:8" x14ac:dyDescent="0.2">
      <c r="A6410"/>
      <c r="B6410"/>
      <c r="C6410"/>
      <c r="D6410"/>
      <c r="E6410" s="2">
        <f>Comuni__2[[#This Row],[Popolazione2011]]/$D$7911</f>
        <v>9.0301618006082048E-5</v>
      </c>
      <c r="F6410">
        <f>SUMIFS($D$2:$D$7909, $B$2:$B$7909, "Sicilia")</f>
        <v>5002904</v>
      </c>
      <c r="G6410" s="1">
        <f>Comuni__2[[#This Row],[Popolazione2011]]/Comuni__2[[#This Row],[POPOLAZIONE TOTALE DI OGNI REGIONE (CON FILTRO)]]</f>
        <v>1.0725770472509567E-3</v>
      </c>
      <c r="H6410" t="str">
        <f>IF(Comuni__2[[#This Row],[Popolazione2011]]&gt;300000,"MAGGIORE","")</f>
        <v/>
      </c>
    </row>
    <row r="6411" spans="1:8" x14ac:dyDescent="0.2">
      <c r="A6411"/>
      <c r="B6411"/>
      <c r="C6411"/>
      <c r="D6411"/>
      <c r="E6411" s="2">
        <f>Comuni__2[[#This Row],[Popolazione2011]]/$D$7911</f>
        <v>8.777734616468952E-5</v>
      </c>
      <c r="F6411">
        <f>SUMIFS($D$2:$D$7909, $B$2:$B$7909, "Sicilia")</f>
        <v>5002904</v>
      </c>
      <c r="G6411" s="1">
        <f>Comuni__2[[#This Row],[Popolazione2011]]/Comuni__2[[#This Row],[POPOLAZIONE TOTALE DI OGNI REGIONE (CON FILTRO)]]</f>
        <v>1.0425944611369717E-3</v>
      </c>
      <c r="H6411" t="str">
        <f>IF(Comuni__2[[#This Row],[Popolazione2011]]&gt;300000,"MAGGIORE","")</f>
        <v/>
      </c>
    </row>
    <row r="6412" spans="1:8" x14ac:dyDescent="0.2">
      <c r="A6412"/>
      <c r="B6412"/>
      <c r="C6412"/>
      <c r="D6412"/>
      <c r="E6412" s="2">
        <f>Comuni__2[[#This Row],[Popolazione2011]]/$D$7911</f>
        <v>8.7356634191124104E-5</v>
      </c>
      <c r="F6412">
        <f>SUMIFS($D$2:$D$7909, $B$2:$B$7909, "Sicilia")</f>
        <v>5002904</v>
      </c>
      <c r="G6412" s="1">
        <f>Comuni__2[[#This Row],[Popolazione2011]]/Comuni__2[[#This Row],[POPOLAZIONE TOTALE DI OGNI REGIONE (CON FILTRO)]]</f>
        <v>1.0375973634513074E-3</v>
      </c>
      <c r="H6412" t="str">
        <f>IF(Comuni__2[[#This Row],[Popolazione2011]]&gt;300000,"MAGGIORE","")</f>
        <v/>
      </c>
    </row>
    <row r="6413" spans="1:8" x14ac:dyDescent="0.2">
      <c r="A6413"/>
      <c r="B6413"/>
      <c r="C6413"/>
      <c r="D6413"/>
      <c r="E6413" s="2">
        <f>Comuni__2[[#This Row],[Popolazione2011]]/$D$7911</f>
        <v>8.6330096975624466E-5</v>
      </c>
      <c r="F6413">
        <f>SUMIFS($D$2:$D$7909, $B$2:$B$7909, "Sicilia")</f>
        <v>5002904</v>
      </c>
      <c r="G6413" s="1">
        <f>Comuni__2[[#This Row],[Popolazione2011]]/Comuni__2[[#This Row],[POPOLAZIONE TOTALE DI OGNI REGIONE (CON FILTRO)]]</f>
        <v>1.0254044450982869E-3</v>
      </c>
      <c r="H6413" t="str">
        <f>IF(Comuni__2[[#This Row],[Popolazione2011]]&gt;300000,"MAGGIORE","")</f>
        <v/>
      </c>
    </row>
    <row r="6414" spans="1:8" x14ac:dyDescent="0.2">
      <c r="A6414"/>
      <c r="B6414"/>
      <c r="C6414"/>
      <c r="D6414"/>
      <c r="E6414" s="2">
        <f>Comuni__2[[#This Row],[Popolazione2011]]/$D$7911</f>
        <v>8.5741100212632874E-5</v>
      </c>
      <c r="F6414">
        <f>SUMIFS($D$2:$D$7909, $B$2:$B$7909, "Sicilia")</f>
        <v>5002904</v>
      </c>
      <c r="G6414" s="1">
        <f>Comuni__2[[#This Row],[Popolazione2011]]/Comuni__2[[#This Row],[POPOLAZIONE TOTALE DI OGNI REGIONE (CON FILTRO)]]</f>
        <v>1.018408508338357E-3</v>
      </c>
      <c r="H6414" t="str">
        <f>IF(Comuni__2[[#This Row],[Popolazione2011]]&gt;300000,"MAGGIORE","")</f>
        <v/>
      </c>
    </row>
    <row r="6415" spans="1:8" x14ac:dyDescent="0.2">
      <c r="A6415"/>
      <c r="B6415"/>
      <c r="C6415"/>
      <c r="D6415"/>
      <c r="E6415" s="2">
        <f>Comuni__2[[#This Row],[Popolazione2011]]/$D$7911</f>
        <v>8.567378629686241E-5</v>
      </c>
      <c r="F6415">
        <f>SUMIFS($D$2:$D$7909, $B$2:$B$7909, "Sicilia")</f>
        <v>5002904</v>
      </c>
      <c r="G6415" s="1">
        <f>Comuni__2[[#This Row],[Popolazione2011]]/Comuni__2[[#This Row],[POPOLAZIONE TOTALE DI OGNI REGIONE (CON FILTRO)]]</f>
        <v>1.0176089727086507E-3</v>
      </c>
      <c r="H6415" t="str">
        <f>IF(Comuni__2[[#This Row],[Popolazione2011]]&gt;300000,"MAGGIORE","")</f>
        <v/>
      </c>
    </row>
    <row r="6416" spans="1:8" x14ac:dyDescent="0.2">
      <c r="A6416"/>
      <c r="B6416"/>
      <c r="C6416"/>
      <c r="D6416"/>
      <c r="E6416" s="2">
        <f>Comuni__2[[#This Row],[Popolazione2011]]/$D$7911</f>
        <v>8.5067961054928202E-5</v>
      </c>
      <c r="F6416">
        <f>SUMIFS($D$2:$D$7909, $B$2:$B$7909, "Sicilia")</f>
        <v>5002904</v>
      </c>
      <c r="G6416" s="1">
        <f>Comuni__2[[#This Row],[Popolazione2011]]/Comuni__2[[#This Row],[POPOLAZIONE TOTALE DI OGNI REGIONE (CON FILTRO)]]</f>
        <v>1.0104131520412944E-3</v>
      </c>
      <c r="H6416" t="str">
        <f>IF(Comuni__2[[#This Row],[Popolazione2011]]&gt;300000,"MAGGIORE","")</f>
        <v/>
      </c>
    </row>
    <row r="6417" spans="1:8" x14ac:dyDescent="0.2">
      <c r="A6417"/>
      <c r="B6417"/>
      <c r="C6417"/>
      <c r="D6417"/>
      <c r="E6417" s="2">
        <f>Comuni__2[[#This Row],[Popolazione2011]]/$D$7911</f>
        <v>8.4377993418280914E-5</v>
      </c>
      <c r="F6417">
        <f>SUMIFS($D$2:$D$7909, $B$2:$B$7909, "Sicilia")</f>
        <v>5002904</v>
      </c>
      <c r="G6417" s="1">
        <f>Comuni__2[[#This Row],[Popolazione2011]]/Comuni__2[[#This Row],[POPOLAZIONE TOTALE DI OGNI REGIONE (CON FILTRO)]]</f>
        <v>1.0022179118368052E-3</v>
      </c>
      <c r="H6417" t="str">
        <f>IF(Comuni__2[[#This Row],[Popolazione2011]]&gt;300000,"MAGGIORE","")</f>
        <v/>
      </c>
    </row>
    <row r="6418" spans="1:8" x14ac:dyDescent="0.2">
      <c r="A6418"/>
      <c r="B6418"/>
      <c r="C6418"/>
      <c r="D6418"/>
      <c r="E6418" s="2">
        <f>Comuni__2[[#This Row],[Popolazione2011]]/$D$7911</f>
        <v>8.4125566234141658E-5</v>
      </c>
      <c r="F6418">
        <f>SUMIFS($D$2:$D$7909, $B$2:$B$7909, "Sicilia")</f>
        <v>5002904</v>
      </c>
      <c r="G6418" s="1">
        <f>Comuni__2[[#This Row],[Popolazione2011]]/Comuni__2[[#This Row],[POPOLAZIONE TOTALE DI OGNI REGIONE (CON FILTRO)]]</f>
        <v>9.9921965322540668E-4</v>
      </c>
      <c r="H6418" t="str">
        <f>IF(Comuni__2[[#This Row],[Popolazione2011]]&gt;300000,"MAGGIORE","")</f>
        <v/>
      </c>
    </row>
    <row r="6419" spans="1:8" x14ac:dyDescent="0.2">
      <c r="A6419"/>
      <c r="B6419"/>
      <c r="C6419"/>
      <c r="D6419"/>
      <c r="E6419" s="2">
        <f>Comuni__2[[#This Row],[Popolazione2011]]/$D$7911</f>
        <v>8.3082200539699418E-5</v>
      </c>
      <c r="F6419">
        <f>SUMIFS($D$2:$D$7909, $B$2:$B$7909, "Sicilia")</f>
        <v>5002904</v>
      </c>
      <c r="G6419" s="1">
        <f>Comuni__2[[#This Row],[Popolazione2011]]/Comuni__2[[#This Row],[POPOLAZIONE TOTALE DI OGNI REGIONE (CON FILTRO)]]</f>
        <v>9.8682685096495963E-4</v>
      </c>
      <c r="H6419" t="str">
        <f>IF(Comuni__2[[#This Row],[Popolazione2011]]&gt;300000,"MAGGIORE","")</f>
        <v/>
      </c>
    </row>
    <row r="6420" spans="1:8" x14ac:dyDescent="0.2">
      <c r="A6420"/>
      <c r="B6420"/>
      <c r="C6420"/>
      <c r="D6420"/>
      <c r="E6420" s="2">
        <f>Comuni__2[[#This Row],[Popolazione2011]]/$D$7911</f>
        <v>8.2947572708158475E-5</v>
      </c>
      <c r="F6420">
        <f>SUMIFS($D$2:$D$7909, $B$2:$B$7909, "Sicilia")</f>
        <v>5002904</v>
      </c>
      <c r="G6420" s="1">
        <f>Comuni__2[[#This Row],[Popolazione2011]]/Comuni__2[[#This Row],[POPOLAZIONE TOTALE DI OGNI REGIONE (CON FILTRO)]]</f>
        <v>9.8522777970554707E-4</v>
      </c>
      <c r="H6420" t="str">
        <f>IF(Comuni__2[[#This Row],[Popolazione2011]]&gt;300000,"MAGGIORE","")</f>
        <v/>
      </c>
    </row>
    <row r="6421" spans="1:8" x14ac:dyDescent="0.2">
      <c r="A6421"/>
      <c r="B6421"/>
      <c r="C6421"/>
      <c r="D6421"/>
      <c r="E6421" s="2">
        <f>Comuni__2[[#This Row],[Popolazione2011]]/$D$7911</f>
        <v>8.2409061381994746E-5</v>
      </c>
      <c r="F6421">
        <f>SUMIFS($D$2:$D$7909, $B$2:$B$7909, "Sicilia")</f>
        <v>5002904</v>
      </c>
      <c r="G6421" s="1">
        <f>Comuni__2[[#This Row],[Popolazione2011]]/Comuni__2[[#This Row],[POPOLAZIONE TOTALE DI OGNI REGIONE (CON FILTRO)]]</f>
        <v>9.7883149466789681E-4</v>
      </c>
      <c r="H6421" t="str">
        <f>IF(Comuni__2[[#This Row],[Popolazione2011]]&gt;300000,"MAGGIORE","")</f>
        <v/>
      </c>
    </row>
    <row r="6422" spans="1:8" x14ac:dyDescent="0.2">
      <c r="A6422"/>
      <c r="B6422"/>
      <c r="C6422"/>
      <c r="D6422"/>
      <c r="E6422" s="2">
        <f>Comuni__2[[#This Row],[Popolazione2011]]/$D$7911</f>
        <v>8.1264724813896795E-5</v>
      </c>
      <c r="F6422">
        <f>SUMIFS($D$2:$D$7909, $B$2:$B$7909, "Sicilia")</f>
        <v>5002904</v>
      </c>
      <c r="G6422" s="1">
        <f>Comuni__2[[#This Row],[Popolazione2011]]/Comuni__2[[#This Row],[POPOLAZIONE TOTALE DI OGNI REGIONE (CON FILTRO)]]</f>
        <v>9.6523938896289033E-4</v>
      </c>
      <c r="H6422" t="str">
        <f>IF(Comuni__2[[#This Row],[Popolazione2011]]&gt;300000,"MAGGIORE","")</f>
        <v/>
      </c>
    </row>
    <row r="6423" spans="1:8" x14ac:dyDescent="0.2">
      <c r="A6423"/>
      <c r="B6423"/>
      <c r="C6423"/>
      <c r="D6423"/>
      <c r="E6423" s="2">
        <f>Comuni__2[[#This Row],[Popolazione2011]]/$D$7911</f>
        <v>7.9901618019544835E-5</v>
      </c>
      <c r="F6423">
        <f>SUMIFS($D$2:$D$7909, $B$2:$B$7909, "Sicilia")</f>
        <v>5002904</v>
      </c>
      <c r="G6423" s="1">
        <f>Comuni__2[[#This Row],[Popolazione2011]]/Comuni__2[[#This Row],[POPOLAZIONE TOTALE DI OGNI REGIONE (CON FILTRO)]]</f>
        <v>9.4904879246133849E-4</v>
      </c>
      <c r="H6423" t="str">
        <f>IF(Comuni__2[[#This Row],[Popolazione2011]]&gt;300000,"MAGGIORE","")</f>
        <v/>
      </c>
    </row>
    <row r="6424" spans="1:8" x14ac:dyDescent="0.2">
      <c r="A6424"/>
      <c r="B6424"/>
      <c r="C6424"/>
      <c r="D6424"/>
      <c r="E6424" s="2">
        <f>Comuni__2[[#This Row],[Popolazione2011]]/$D$7911</f>
        <v>7.983430410377437E-5</v>
      </c>
      <c r="F6424">
        <f>SUMIFS($D$2:$D$7909, $B$2:$B$7909, "Sicilia")</f>
        <v>5002904</v>
      </c>
      <c r="G6424" s="1">
        <f>Comuni__2[[#This Row],[Popolazione2011]]/Comuni__2[[#This Row],[POPOLAZIONE TOTALE DI OGNI REGIONE (CON FILTRO)]]</f>
        <v>9.4824925683163221E-4</v>
      </c>
      <c r="H6424" t="str">
        <f>IF(Comuni__2[[#This Row],[Popolazione2011]]&gt;300000,"MAGGIORE","")</f>
        <v/>
      </c>
    </row>
    <row r="6425" spans="1:8" x14ac:dyDescent="0.2">
      <c r="A6425"/>
      <c r="B6425"/>
      <c r="C6425"/>
      <c r="D6425"/>
      <c r="E6425" s="2">
        <f>Comuni__2[[#This Row],[Popolazione2011]]/$D$7911</f>
        <v>7.8656310577791187E-5</v>
      </c>
      <c r="F6425">
        <f>SUMIFS($D$2:$D$7909, $B$2:$B$7909, "Sicilia")</f>
        <v>5002904</v>
      </c>
      <c r="G6425" s="1">
        <f>Comuni__2[[#This Row],[Popolazione2011]]/Comuni__2[[#This Row],[POPOLAZIONE TOTALE DI OGNI REGIONE (CON FILTRO)]]</f>
        <v>9.3425738331177248E-4</v>
      </c>
      <c r="H6425" t="str">
        <f>IF(Comuni__2[[#This Row],[Popolazione2011]]&gt;300000,"MAGGIORE","")</f>
        <v/>
      </c>
    </row>
    <row r="6426" spans="1:8" x14ac:dyDescent="0.2">
      <c r="A6426"/>
      <c r="B6426"/>
      <c r="C6426"/>
      <c r="D6426"/>
      <c r="E6426" s="2">
        <f>Comuni__2[[#This Row],[Popolazione2011]]/$D$7911</f>
        <v>7.7949514462201269E-5</v>
      </c>
      <c r="F6426">
        <f>SUMIFS($D$2:$D$7909, $B$2:$B$7909, "Sicilia")</f>
        <v>5002904</v>
      </c>
      <c r="G6426" s="1">
        <f>Comuni__2[[#This Row],[Popolazione2011]]/Comuni__2[[#This Row],[POPOLAZIONE TOTALE DI OGNI REGIONE (CON FILTRO)]]</f>
        <v>9.2586225919985673E-4</v>
      </c>
      <c r="H6426" t="str">
        <f>IF(Comuni__2[[#This Row],[Popolazione2011]]&gt;300000,"MAGGIORE","")</f>
        <v/>
      </c>
    </row>
    <row r="6427" spans="1:8" x14ac:dyDescent="0.2">
      <c r="A6427"/>
      <c r="B6427"/>
      <c r="C6427"/>
      <c r="D6427"/>
      <c r="E6427" s="2">
        <f>Comuni__2[[#This Row],[Popolazione2011]]/$D$7911</f>
        <v>7.7882200546430805E-5</v>
      </c>
      <c r="F6427">
        <f>SUMIFS($D$2:$D$7909, $B$2:$B$7909, "Sicilia")</f>
        <v>5002904</v>
      </c>
      <c r="G6427" s="1">
        <f>Comuni__2[[#This Row],[Popolazione2011]]/Comuni__2[[#This Row],[POPOLAZIONE TOTALE DI OGNI REGIONE (CON FILTRO)]]</f>
        <v>9.2506272357015045E-4</v>
      </c>
      <c r="H6427" t="str">
        <f>IF(Comuni__2[[#This Row],[Popolazione2011]]&gt;300000,"MAGGIORE","")</f>
        <v/>
      </c>
    </row>
    <row r="6428" spans="1:8" x14ac:dyDescent="0.2">
      <c r="A6428"/>
      <c r="B6428"/>
      <c r="C6428"/>
      <c r="D6428"/>
      <c r="E6428" s="2">
        <f>Comuni__2[[#This Row],[Popolazione2011]]/$D$7911</f>
        <v>7.5997410904857717E-5</v>
      </c>
      <c r="F6428">
        <f>SUMIFS($D$2:$D$7909, $B$2:$B$7909, "Sicilia")</f>
        <v>5002904</v>
      </c>
      <c r="G6428" s="1">
        <f>Comuni__2[[#This Row],[Popolazione2011]]/Comuni__2[[#This Row],[POPOLAZIONE TOTALE DI OGNI REGIONE (CON FILTRO)]]</f>
        <v>9.0267572593837498E-4</v>
      </c>
      <c r="H6428" t="str">
        <f>IF(Comuni__2[[#This Row],[Popolazione2011]]&gt;300000,"MAGGIORE","")</f>
        <v/>
      </c>
    </row>
    <row r="6429" spans="1:8" x14ac:dyDescent="0.2">
      <c r="A6429"/>
      <c r="B6429"/>
      <c r="C6429"/>
      <c r="D6429"/>
      <c r="E6429" s="2">
        <f>Comuni__2[[#This Row],[Popolazione2011]]/$D$7911</f>
        <v>7.5509385015521836E-5</v>
      </c>
      <c r="F6429">
        <f>SUMIFS($D$2:$D$7909, $B$2:$B$7909, "Sicilia")</f>
        <v>5002904</v>
      </c>
      <c r="G6429" s="1">
        <f>Comuni__2[[#This Row],[Popolazione2011]]/Comuni__2[[#This Row],[POPOLAZIONE TOTALE DI OGNI REGIONE (CON FILTRO)]]</f>
        <v>8.9687909262300459E-4</v>
      </c>
      <c r="H6429" t="str">
        <f>IF(Comuni__2[[#This Row],[Popolazione2011]]&gt;300000,"MAGGIORE","")</f>
        <v/>
      </c>
    </row>
    <row r="6430" spans="1:8" x14ac:dyDescent="0.2">
      <c r="A6430"/>
      <c r="B6430"/>
      <c r="C6430"/>
      <c r="D6430"/>
      <c r="E6430" s="2">
        <f>Comuni__2[[#This Row],[Popolazione2011]]/$D$7911</f>
        <v>7.5324271747153045E-5</v>
      </c>
      <c r="F6430">
        <f>SUMIFS($D$2:$D$7909, $B$2:$B$7909, "Sicilia")</f>
        <v>5002904</v>
      </c>
      <c r="G6430" s="1">
        <f>Comuni__2[[#This Row],[Popolazione2011]]/Comuni__2[[#This Row],[POPOLAZIONE TOTALE DI OGNI REGIONE (CON FILTRO)]]</f>
        <v>8.9468036964131237E-4</v>
      </c>
      <c r="H6430" t="str">
        <f>IF(Comuni__2[[#This Row],[Popolazione2011]]&gt;300000,"MAGGIORE","")</f>
        <v/>
      </c>
    </row>
    <row r="6431" spans="1:8" x14ac:dyDescent="0.2">
      <c r="A6431"/>
      <c r="B6431"/>
      <c r="C6431"/>
      <c r="D6431"/>
      <c r="E6431" s="2">
        <f>Comuni__2[[#This Row],[Popolazione2011]]/$D$7911</f>
        <v>7.4297734531653421E-5</v>
      </c>
      <c r="F6431">
        <f>SUMIFS($D$2:$D$7909, $B$2:$B$7909, "Sicilia")</f>
        <v>5002904</v>
      </c>
      <c r="G6431" s="1">
        <f>Comuni__2[[#This Row],[Popolazione2011]]/Comuni__2[[#This Row],[POPOLAZIONE TOTALE DI OGNI REGIONE (CON FILTRO)]]</f>
        <v>8.8248745128829173E-4</v>
      </c>
      <c r="H6431" t="str">
        <f>IF(Comuni__2[[#This Row],[Popolazione2011]]&gt;300000,"MAGGIORE","")</f>
        <v/>
      </c>
    </row>
    <row r="6432" spans="1:8" x14ac:dyDescent="0.2">
      <c r="A6432"/>
      <c r="B6432"/>
      <c r="C6432"/>
      <c r="D6432"/>
      <c r="E6432" s="2">
        <f>Comuni__2[[#This Row],[Popolazione2011]]/$D$7911</f>
        <v>7.2783171426817902E-5</v>
      </c>
      <c r="F6432">
        <f>SUMIFS($D$2:$D$7909, $B$2:$B$7909, "Sicilia")</f>
        <v>5002904</v>
      </c>
      <c r="G6432" s="1">
        <f>Comuni__2[[#This Row],[Popolazione2011]]/Comuni__2[[#This Row],[POPOLAZIONE TOTALE DI OGNI REGIONE (CON FILTRO)]]</f>
        <v>8.644978996199008E-4</v>
      </c>
      <c r="H6432" t="str">
        <f>IF(Comuni__2[[#This Row],[Popolazione2011]]&gt;300000,"MAGGIORE","")</f>
        <v/>
      </c>
    </row>
    <row r="6433" spans="1:8" x14ac:dyDescent="0.2">
      <c r="A6433"/>
      <c r="B6433"/>
      <c r="C6433"/>
      <c r="D6433"/>
      <c r="E6433" s="2">
        <f>Comuni__2[[#This Row],[Popolazione2011]]/$D$7911</f>
        <v>7.1756634211318277E-5</v>
      </c>
      <c r="F6433">
        <f>SUMIFS($D$2:$D$7909, $B$2:$B$7909, "Sicilia")</f>
        <v>5002904</v>
      </c>
      <c r="G6433" s="1">
        <f>Comuni__2[[#This Row],[Popolazione2011]]/Comuni__2[[#This Row],[POPOLAZIONE TOTALE DI OGNI REGIONE (CON FILTRO)]]</f>
        <v>8.5230498126688016E-4</v>
      </c>
      <c r="H6433" t="str">
        <f>IF(Comuni__2[[#This Row],[Popolazione2011]]&gt;300000,"MAGGIORE","")</f>
        <v/>
      </c>
    </row>
    <row r="6434" spans="1:8" x14ac:dyDescent="0.2">
      <c r="A6434"/>
      <c r="B6434"/>
      <c r="C6434"/>
      <c r="D6434"/>
      <c r="E6434" s="2">
        <f>Comuni__2[[#This Row],[Popolazione2011]]/$D$7911</f>
        <v>7.1352750716695463E-5</v>
      </c>
      <c r="F6434">
        <f>SUMIFS($D$2:$D$7909, $B$2:$B$7909, "Sicilia")</f>
        <v>5002904</v>
      </c>
      <c r="G6434" s="1">
        <f>Comuni__2[[#This Row],[Popolazione2011]]/Comuni__2[[#This Row],[POPOLAZIONE TOTALE DI OGNI REGIONE (CON FILTRO)]]</f>
        <v>8.4750776748864257E-4</v>
      </c>
      <c r="H6434" t="str">
        <f>IF(Comuni__2[[#This Row],[Popolazione2011]]&gt;300000,"MAGGIORE","")</f>
        <v/>
      </c>
    </row>
    <row r="6435" spans="1:8" x14ac:dyDescent="0.2">
      <c r="A6435"/>
      <c r="B6435"/>
      <c r="C6435"/>
      <c r="D6435"/>
      <c r="E6435" s="2">
        <f>Comuni__2[[#This Row],[Popolazione2011]]/$D$7911</f>
        <v>7.0427184374851536E-5</v>
      </c>
      <c r="F6435">
        <f>SUMIFS($D$2:$D$7909, $B$2:$B$7909, "Sicilia")</f>
        <v>5002904</v>
      </c>
      <c r="G6435" s="1">
        <f>Comuni__2[[#This Row],[Popolazione2011]]/Comuni__2[[#This Row],[POPOLAZIONE TOTALE DI OGNI REGIONE (CON FILTRO)]]</f>
        <v>8.3651415258018146E-4</v>
      </c>
      <c r="H6435" t="str">
        <f>IF(Comuni__2[[#This Row],[Popolazione2011]]&gt;300000,"MAGGIORE","")</f>
        <v/>
      </c>
    </row>
    <row r="6436" spans="1:8" x14ac:dyDescent="0.2">
      <c r="A6436"/>
      <c r="B6436"/>
      <c r="C6436"/>
      <c r="D6436"/>
      <c r="E6436" s="2">
        <f>Comuni__2[[#This Row],[Popolazione2011]]/$D$7911</f>
        <v>7.019158566965491E-5</v>
      </c>
      <c r="F6436">
        <f>SUMIFS($D$2:$D$7909, $B$2:$B$7909, "Sicilia")</f>
        <v>5002904</v>
      </c>
      <c r="G6436" s="1">
        <f>Comuni__2[[#This Row],[Popolazione2011]]/Comuni__2[[#This Row],[POPOLAZIONE TOTALE DI OGNI REGIONE (CON FILTRO)]]</f>
        <v>8.3371577787620947E-4</v>
      </c>
      <c r="H6436" t="str">
        <f>IF(Comuni__2[[#This Row],[Popolazione2011]]&gt;300000,"MAGGIORE","")</f>
        <v/>
      </c>
    </row>
    <row r="6437" spans="1:8" x14ac:dyDescent="0.2">
      <c r="A6437"/>
      <c r="B6437"/>
      <c r="C6437"/>
      <c r="D6437"/>
      <c r="E6437" s="2">
        <f>Comuni__2[[#This Row],[Popolazione2011]]/$D$7911</f>
        <v>6.9686731301376399E-5</v>
      </c>
      <c r="F6437">
        <f>SUMIFS($D$2:$D$7909, $B$2:$B$7909, "Sicilia")</f>
        <v>5002904</v>
      </c>
      <c r="G6437" s="1">
        <f>Comuni__2[[#This Row],[Popolazione2011]]/Comuni__2[[#This Row],[POPOLAZIONE TOTALE DI OGNI REGIONE (CON FILTRO)]]</f>
        <v>8.2771926065341246E-4</v>
      </c>
      <c r="H6437" t="str">
        <f>IF(Comuni__2[[#This Row],[Popolazione2011]]&gt;300000,"MAGGIORE","")</f>
        <v/>
      </c>
    </row>
    <row r="6438" spans="1:8" x14ac:dyDescent="0.2">
      <c r="A6438"/>
      <c r="B6438"/>
      <c r="C6438"/>
      <c r="D6438"/>
      <c r="E6438" s="2">
        <f>Comuni__2[[#This Row],[Popolazione2011]]/$D$7911</f>
        <v>6.9080906059442191E-5</v>
      </c>
      <c r="F6438">
        <f>SUMIFS($D$2:$D$7909, $B$2:$B$7909, "Sicilia")</f>
        <v>5002904</v>
      </c>
      <c r="G6438" s="1">
        <f>Comuni__2[[#This Row],[Popolazione2011]]/Comuni__2[[#This Row],[POPOLAZIONE TOTALE DI OGNI REGIONE (CON FILTRO)]]</f>
        <v>8.2052343998605614E-4</v>
      </c>
      <c r="H6438" t="str">
        <f>IF(Comuni__2[[#This Row],[Popolazione2011]]&gt;300000,"MAGGIORE","")</f>
        <v/>
      </c>
    </row>
    <row r="6439" spans="1:8" x14ac:dyDescent="0.2">
      <c r="A6439"/>
      <c r="B6439"/>
      <c r="C6439"/>
      <c r="D6439"/>
      <c r="E6439" s="2">
        <f>Comuni__2[[#This Row],[Popolazione2011]]/$D$7911</f>
        <v>6.891262127001603E-5</v>
      </c>
      <c r="F6439">
        <f>SUMIFS($D$2:$D$7909, $B$2:$B$7909, "Sicilia")</f>
        <v>5002904</v>
      </c>
      <c r="G6439" s="1">
        <f>Comuni__2[[#This Row],[Popolazione2011]]/Comuni__2[[#This Row],[POPOLAZIONE TOTALE DI OGNI REGIONE (CON FILTRO)]]</f>
        <v>8.1852460091179043E-4</v>
      </c>
      <c r="H6439" t="str">
        <f>IF(Comuni__2[[#This Row],[Popolazione2011]]&gt;300000,"MAGGIORE","")</f>
        <v/>
      </c>
    </row>
    <row r="6440" spans="1:8" x14ac:dyDescent="0.2">
      <c r="A6440"/>
      <c r="B6440"/>
      <c r="C6440"/>
      <c r="D6440"/>
      <c r="E6440" s="2">
        <f>Comuni__2[[#This Row],[Popolazione2011]]/$D$7911</f>
        <v>6.8643365606934159E-5</v>
      </c>
      <c r="F6440">
        <f>SUMIFS($D$2:$D$7909, $B$2:$B$7909, "Sicilia")</f>
        <v>5002904</v>
      </c>
      <c r="G6440" s="1">
        <f>Comuni__2[[#This Row],[Popolazione2011]]/Comuni__2[[#This Row],[POPOLAZIONE TOTALE DI OGNI REGIONE (CON FILTRO)]]</f>
        <v>8.1532645839296541E-4</v>
      </c>
      <c r="H6440" t="str">
        <f>IF(Comuni__2[[#This Row],[Popolazione2011]]&gt;300000,"MAGGIORE","")</f>
        <v/>
      </c>
    </row>
    <row r="6441" spans="1:8" x14ac:dyDescent="0.2">
      <c r="A6441"/>
      <c r="B6441"/>
      <c r="C6441"/>
      <c r="D6441"/>
      <c r="E6441" s="2">
        <f>Comuni__2[[#This Row],[Popolazione2011]]/$D$7911</f>
        <v>6.8626537127991543E-5</v>
      </c>
      <c r="F6441">
        <f>SUMIFS($D$2:$D$7909, $B$2:$B$7909, "Sicilia")</f>
        <v>5002904</v>
      </c>
      <c r="G6441" s="1">
        <f>Comuni__2[[#This Row],[Popolazione2011]]/Comuni__2[[#This Row],[POPOLAZIONE TOTALE DI OGNI REGIONE (CON FILTRO)]]</f>
        <v>8.1512657448553879E-4</v>
      </c>
      <c r="H6441" t="str">
        <f>IF(Comuni__2[[#This Row],[Popolazione2011]]&gt;300000,"MAGGIORE","")</f>
        <v/>
      </c>
    </row>
    <row r="6442" spans="1:8" x14ac:dyDescent="0.2">
      <c r="A6442"/>
      <c r="B6442"/>
      <c r="C6442"/>
      <c r="D6442"/>
      <c r="E6442" s="2">
        <f>Comuni__2[[#This Row],[Popolazione2011]]/$D$7911</f>
        <v>6.7566342954606672E-5</v>
      </c>
      <c r="F6442">
        <f>SUMIFS($D$2:$D$7909, $B$2:$B$7909, "Sicilia")</f>
        <v>5002904</v>
      </c>
      <c r="G6442" s="1">
        <f>Comuni__2[[#This Row],[Popolazione2011]]/Comuni__2[[#This Row],[POPOLAZIONE TOTALE DI OGNI REGIONE (CON FILTRO)]]</f>
        <v>8.0253388831766511E-4</v>
      </c>
      <c r="H6442" t="str">
        <f>IF(Comuni__2[[#This Row],[Popolazione2011]]&gt;300000,"MAGGIORE","")</f>
        <v/>
      </c>
    </row>
    <row r="6443" spans="1:8" x14ac:dyDescent="0.2">
      <c r="A6443"/>
      <c r="B6443"/>
      <c r="C6443"/>
      <c r="D6443"/>
      <c r="E6443" s="2">
        <f>Comuni__2[[#This Row],[Popolazione2011]]/$D$7911</f>
        <v>6.7566342954606672E-5</v>
      </c>
      <c r="F6443">
        <f>SUMIFS($D$2:$D$7909, $B$2:$B$7909, "Sicilia")</f>
        <v>5002904</v>
      </c>
      <c r="G6443" s="1">
        <f>Comuni__2[[#This Row],[Popolazione2011]]/Comuni__2[[#This Row],[POPOLAZIONE TOTALE DI OGNI REGIONE (CON FILTRO)]]</f>
        <v>8.0253388831766511E-4</v>
      </c>
      <c r="H6443" t="str">
        <f>IF(Comuni__2[[#This Row],[Popolazione2011]]&gt;300000,"MAGGIORE","")</f>
        <v/>
      </c>
    </row>
    <row r="6444" spans="1:8" x14ac:dyDescent="0.2">
      <c r="A6444"/>
      <c r="B6444"/>
      <c r="C6444"/>
      <c r="D6444"/>
      <c r="E6444" s="2">
        <f>Comuni__2[[#This Row],[Popolazione2011]]/$D$7911</f>
        <v>6.712880250209864E-5</v>
      </c>
      <c r="F6444">
        <f>SUMIFS($D$2:$D$7909, $B$2:$B$7909, "Sicilia")</f>
        <v>5002904</v>
      </c>
      <c r="G6444" s="1">
        <f>Comuni__2[[#This Row],[Popolazione2011]]/Comuni__2[[#This Row],[POPOLAZIONE TOTALE DI OGNI REGIONE (CON FILTRO)]]</f>
        <v>7.9733690672457438E-4</v>
      </c>
      <c r="H6444" t="str">
        <f>IF(Comuni__2[[#This Row],[Popolazione2011]]&gt;300000,"MAGGIORE","")</f>
        <v/>
      </c>
    </row>
    <row r="6445" spans="1:8" x14ac:dyDescent="0.2">
      <c r="A6445"/>
      <c r="B6445"/>
      <c r="C6445"/>
      <c r="D6445"/>
      <c r="E6445" s="2">
        <f>Comuni__2[[#This Row],[Popolazione2011]]/$D$7911</f>
        <v>6.6893203796902E-5</v>
      </c>
      <c r="F6445">
        <f>SUMIFS($D$2:$D$7909, $B$2:$B$7909, "Sicilia")</f>
        <v>5002904</v>
      </c>
      <c r="G6445" s="1">
        <f>Comuni__2[[#This Row],[Popolazione2011]]/Comuni__2[[#This Row],[POPOLAZIONE TOTALE DI OGNI REGIONE (CON FILTRO)]]</f>
        <v>7.9453853202060239E-4</v>
      </c>
      <c r="H6445" t="str">
        <f>IF(Comuni__2[[#This Row],[Popolazione2011]]&gt;300000,"MAGGIORE","")</f>
        <v/>
      </c>
    </row>
    <row r="6446" spans="1:8" x14ac:dyDescent="0.2">
      <c r="A6446"/>
      <c r="B6446"/>
      <c r="C6446"/>
      <c r="D6446"/>
      <c r="E6446" s="2">
        <f>Comuni__2[[#This Row],[Popolazione2011]]/$D$7911</f>
        <v>6.6708090528533223E-5</v>
      </c>
      <c r="F6446">
        <f>SUMIFS($D$2:$D$7909, $B$2:$B$7909, "Sicilia")</f>
        <v>5002904</v>
      </c>
      <c r="G6446" s="1">
        <f>Comuni__2[[#This Row],[Popolazione2011]]/Comuni__2[[#This Row],[POPOLAZIONE TOTALE DI OGNI REGIONE (CON FILTRO)]]</f>
        <v>7.9233980903891017E-4</v>
      </c>
      <c r="H6446" t="str">
        <f>IF(Comuni__2[[#This Row],[Popolazione2011]]&gt;300000,"MAGGIORE","")</f>
        <v/>
      </c>
    </row>
    <row r="6447" spans="1:8" x14ac:dyDescent="0.2">
      <c r="A6447"/>
      <c r="B6447"/>
      <c r="C6447"/>
      <c r="D6447"/>
      <c r="E6447" s="2">
        <f>Comuni__2[[#This Row],[Popolazione2011]]/$D$7911</f>
        <v>6.6337863991795641E-5</v>
      </c>
      <c r="F6447">
        <f>SUMIFS($D$2:$D$7909, $B$2:$B$7909, "Sicilia")</f>
        <v>5002904</v>
      </c>
      <c r="G6447" s="1">
        <f>Comuni__2[[#This Row],[Popolazione2011]]/Comuni__2[[#This Row],[POPOLAZIONE TOTALE DI OGNI REGIONE (CON FILTRO)]]</f>
        <v>7.8794236307552573E-4</v>
      </c>
      <c r="H6447" t="str">
        <f>IF(Comuni__2[[#This Row],[Popolazione2011]]&gt;300000,"MAGGIORE","")</f>
        <v/>
      </c>
    </row>
    <row r="6448" spans="1:8" x14ac:dyDescent="0.2">
      <c r="A6448"/>
      <c r="B6448"/>
      <c r="C6448"/>
      <c r="D6448"/>
      <c r="E6448" s="2">
        <f>Comuni__2[[#This Row],[Popolazione2011]]/$D$7911</f>
        <v>6.616957920236948E-5</v>
      </c>
      <c r="F6448">
        <f>SUMIFS($D$2:$D$7909, $B$2:$B$7909, "Sicilia")</f>
        <v>5002904</v>
      </c>
      <c r="G6448" s="1">
        <f>Comuni__2[[#This Row],[Popolazione2011]]/Comuni__2[[#This Row],[POPOLAZIONE TOTALE DI OGNI REGIONE (CON FILTRO)]]</f>
        <v>7.8594352400126002E-4</v>
      </c>
      <c r="H6448" t="str">
        <f>IF(Comuni__2[[#This Row],[Popolazione2011]]&gt;300000,"MAGGIORE","")</f>
        <v/>
      </c>
    </row>
    <row r="6449" spans="1:8" x14ac:dyDescent="0.2">
      <c r="A6449"/>
      <c r="B6449"/>
      <c r="C6449"/>
      <c r="D6449"/>
      <c r="E6449" s="2">
        <f>Comuni__2[[#This Row],[Popolazione2011]]/$D$7911</f>
        <v>6.574886722880405E-5</v>
      </c>
      <c r="F6449">
        <f>SUMIFS($D$2:$D$7909, $B$2:$B$7909, "Sicilia")</f>
        <v>5002904</v>
      </c>
      <c r="G6449" s="1">
        <f>Comuni__2[[#This Row],[Popolazione2011]]/Comuni__2[[#This Row],[POPOLAZIONE TOTALE DI OGNI REGIONE (CON FILTRO)]]</f>
        <v>7.8094642631559592E-4</v>
      </c>
      <c r="H6449" t="str">
        <f>IF(Comuni__2[[#This Row],[Popolazione2011]]&gt;300000,"MAGGIORE","")</f>
        <v/>
      </c>
    </row>
    <row r="6450" spans="1:8" x14ac:dyDescent="0.2">
      <c r="A6450"/>
      <c r="B6450"/>
      <c r="C6450"/>
      <c r="D6450"/>
      <c r="E6450" s="2">
        <f>Comuni__2[[#This Row],[Popolazione2011]]/$D$7911</f>
        <v>6.5647896355148353E-5</v>
      </c>
      <c r="F6450">
        <f>SUMIFS($D$2:$D$7909, $B$2:$B$7909, "Sicilia")</f>
        <v>5002904</v>
      </c>
      <c r="G6450" s="1">
        <f>Comuni__2[[#This Row],[Popolazione2011]]/Comuni__2[[#This Row],[POPOLAZIONE TOTALE DI OGNI REGIONE (CON FILTRO)]]</f>
        <v>7.7974712287103649E-4</v>
      </c>
      <c r="H6450" t="str">
        <f>IF(Comuni__2[[#This Row],[Popolazione2011]]&gt;300000,"MAGGIORE","")</f>
        <v/>
      </c>
    </row>
    <row r="6451" spans="1:8" x14ac:dyDescent="0.2">
      <c r="A6451"/>
      <c r="B6451"/>
      <c r="C6451"/>
      <c r="D6451"/>
      <c r="E6451" s="2">
        <f>Comuni__2[[#This Row],[Popolazione2011]]/$D$7911</f>
        <v>6.5328155255238633E-5</v>
      </c>
      <c r="F6451">
        <f>SUMIFS($D$2:$D$7909, $B$2:$B$7909, "Sicilia")</f>
        <v>5002904</v>
      </c>
      <c r="G6451" s="1">
        <f>Comuni__2[[#This Row],[Popolazione2011]]/Comuni__2[[#This Row],[POPOLAZIONE TOTALE DI OGNI REGIONE (CON FILTRO)]]</f>
        <v>7.7594932862993171E-4</v>
      </c>
      <c r="H6451" t="str">
        <f>IF(Comuni__2[[#This Row],[Popolazione2011]]&gt;300000,"MAGGIORE","")</f>
        <v/>
      </c>
    </row>
    <row r="6452" spans="1:8" x14ac:dyDescent="0.2">
      <c r="A6452"/>
      <c r="B6452"/>
      <c r="C6452"/>
      <c r="D6452"/>
      <c r="E6452" s="2">
        <f>Comuni__2[[#This Row],[Popolazione2011]]/$D$7911</f>
        <v>6.4873786323787984E-5</v>
      </c>
      <c r="F6452">
        <f>SUMIFS($D$2:$D$7909, $B$2:$B$7909, "Sicilia")</f>
        <v>5002904</v>
      </c>
      <c r="G6452" s="1">
        <f>Comuni__2[[#This Row],[Popolazione2011]]/Comuni__2[[#This Row],[POPOLAZIONE TOTALE DI OGNI REGIONE (CON FILTRO)]]</f>
        <v>7.7055246312941446E-4</v>
      </c>
      <c r="H6452" t="str">
        <f>IF(Comuni__2[[#This Row],[Popolazione2011]]&gt;300000,"MAGGIORE","")</f>
        <v/>
      </c>
    </row>
    <row r="6453" spans="1:8" x14ac:dyDescent="0.2">
      <c r="A6453"/>
      <c r="B6453"/>
      <c r="C6453"/>
      <c r="D6453"/>
      <c r="E6453" s="2">
        <f>Comuni__2[[#This Row],[Popolazione2011]]/$D$7911</f>
        <v>6.4705501534361809E-5</v>
      </c>
      <c r="F6453">
        <f>SUMIFS($D$2:$D$7909, $B$2:$B$7909, "Sicilia")</f>
        <v>5002904</v>
      </c>
      <c r="G6453" s="1">
        <f>Comuni__2[[#This Row],[Popolazione2011]]/Comuni__2[[#This Row],[POPOLAZIONE TOTALE DI OGNI REGIONE (CON FILTRO)]]</f>
        <v>7.6855362405514876E-4</v>
      </c>
      <c r="H6453" t="str">
        <f>IF(Comuni__2[[#This Row],[Popolazione2011]]&gt;300000,"MAGGIORE","")</f>
        <v/>
      </c>
    </row>
    <row r="6454" spans="1:8" x14ac:dyDescent="0.2">
      <c r="A6454"/>
      <c r="B6454"/>
      <c r="C6454"/>
      <c r="D6454"/>
      <c r="E6454" s="2">
        <f>Comuni__2[[#This Row],[Popolazione2011]]/$D$7911</f>
        <v>6.4049190855599753E-5</v>
      </c>
      <c r="F6454">
        <f>SUMIFS($D$2:$D$7909, $B$2:$B$7909, "Sicilia")</f>
        <v>5002904</v>
      </c>
      <c r="G6454" s="1">
        <f>Comuni__2[[#This Row],[Popolazione2011]]/Comuni__2[[#This Row],[POPOLAZIONE TOTALE DI OGNI REGIONE (CON FILTRO)]]</f>
        <v>7.6075815166551266E-4</v>
      </c>
      <c r="H6454" t="str">
        <f>IF(Comuni__2[[#This Row],[Popolazione2011]]&gt;300000,"MAGGIORE","")</f>
        <v/>
      </c>
    </row>
    <row r="6455" spans="1:8" x14ac:dyDescent="0.2">
      <c r="A6455"/>
      <c r="B6455"/>
      <c r="C6455"/>
      <c r="D6455"/>
      <c r="E6455" s="2">
        <f>Comuni__2[[#This Row],[Popolazione2011]]/$D$7911</f>
        <v>6.3089967555870593E-5</v>
      </c>
      <c r="F6455">
        <f>SUMIFS($D$2:$D$7909, $B$2:$B$7909, "Sicilia")</f>
        <v>5002904</v>
      </c>
      <c r="G6455" s="1">
        <f>Comuni__2[[#This Row],[Popolazione2011]]/Comuni__2[[#This Row],[POPOLAZIONE TOTALE DI OGNI REGIONE (CON FILTRO)]]</f>
        <v>7.4936476894219841E-4</v>
      </c>
      <c r="H6455" t="str">
        <f>IF(Comuni__2[[#This Row],[Popolazione2011]]&gt;300000,"MAGGIORE","")</f>
        <v/>
      </c>
    </row>
    <row r="6456" spans="1:8" x14ac:dyDescent="0.2">
      <c r="A6456"/>
      <c r="B6456"/>
      <c r="C6456"/>
      <c r="D6456"/>
      <c r="E6456" s="2">
        <f>Comuni__2[[#This Row],[Popolazione2011]]/$D$7911</f>
        <v>6.3056310597985361E-5</v>
      </c>
      <c r="F6456">
        <f>SUMIFS($D$2:$D$7909, $B$2:$B$7909, "Sicilia")</f>
        <v>5002904</v>
      </c>
      <c r="G6456" s="1">
        <f>Comuni__2[[#This Row],[Popolazione2011]]/Comuni__2[[#This Row],[POPOLAZIONE TOTALE DI OGNI REGIONE (CON FILTRO)]]</f>
        <v>7.4896500112734527E-4</v>
      </c>
      <c r="H6456" t="str">
        <f>IF(Comuni__2[[#This Row],[Popolazione2011]]&gt;300000,"MAGGIORE","")</f>
        <v/>
      </c>
    </row>
    <row r="6457" spans="1:8" x14ac:dyDescent="0.2">
      <c r="A6457"/>
      <c r="B6457"/>
      <c r="C6457"/>
      <c r="D6457"/>
      <c r="E6457" s="2">
        <f>Comuni__2[[#This Row],[Popolazione2011]]/$D$7911</f>
        <v>6.265242710336256E-5</v>
      </c>
      <c r="F6457">
        <f>SUMIFS($D$2:$D$7909, $B$2:$B$7909, "Sicilia")</f>
        <v>5002904</v>
      </c>
      <c r="G6457" s="1">
        <f>Comuni__2[[#This Row],[Popolazione2011]]/Comuni__2[[#This Row],[POPOLAZIONE TOTALE DI OGNI REGIONE (CON FILTRO)]]</f>
        <v>7.4416778734910768E-4</v>
      </c>
      <c r="H6457" t="str">
        <f>IF(Comuni__2[[#This Row],[Popolazione2011]]&gt;300000,"MAGGIORE","")</f>
        <v/>
      </c>
    </row>
    <row r="6458" spans="1:8" x14ac:dyDescent="0.2">
      <c r="A6458"/>
      <c r="B6458"/>
      <c r="C6458"/>
      <c r="D6458"/>
      <c r="E6458" s="2">
        <f>Comuni__2[[#This Row],[Popolazione2011]]/$D$7911</f>
        <v>6.2635598624419931E-5</v>
      </c>
      <c r="F6458">
        <f>SUMIFS($D$2:$D$7909, $B$2:$B$7909, "Sicilia")</f>
        <v>5002904</v>
      </c>
      <c r="G6458" s="1">
        <f>Comuni__2[[#This Row],[Popolazione2011]]/Comuni__2[[#This Row],[POPOLAZIONE TOTALE DI OGNI REGIONE (CON FILTRO)]]</f>
        <v>7.4396790344168106E-4</v>
      </c>
      <c r="H6458" t="str">
        <f>IF(Comuni__2[[#This Row],[Popolazione2011]]&gt;300000,"MAGGIORE","")</f>
        <v/>
      </c>
    </row>
    <row r="6459" spans="1:8" x14ac:dyDescent="0.2">
      <c r="A6459"/>
      <c r="B6459"/>
      <c r="C6459"/>
      <c r="D6459"/>
      <c r="E6459" s="2">
        <f>Comuni__2[[#This Row],[Popolazione2011]]/$D$7911</f>
        <v>6.1861488593059562E-5</v>
      </c>
      <c r="F6459">
        <f>SUMIFS($D$2:$D$7909, $B$2:$B$7909, "Sicilia")</f>
        <v>5002904</v>
      </c>
      <c r="G6459" s="1">
        <f>Comuni__2[[#This Row],[Popolazione2011]]/Comuni__2[[#This Row],[POPOLAZIONE TOTALE DI OGNI REGIONE (CON FILTRO)]]</f>
        <v>7.3477324370005903E-4</v>
      </c>
      <c r="H6459" t="str">
        <f>IF(Comuni__2[[#This Row],[Popolazione2011]]&gt;300000,"MAGGIORE","")</f>
        <v/>
      </c>
    </row>
    <row r="6460" spans="1:8" x14ac:dyDescent="0.2">
      <c r="A6460"/>
      <c r="B6460"/>
      <c r="C6460"/>
      <c r="D6460"/>
      <c r="E6460" s="2">
        <f>Comuni__2[[#This Row],[Popolazione2011]]/$D$7911</f>
        <v>6.1777346198346481E-5</v>
      </c>
      <c r="F6460">
        <f>SUMIFS($D$2:$D$7909, $B$2:$B$7909, "Sicilia")</f>
        <v>5002904</v>
      </c>
      <c r="G6460" s="1">
        <f>Comuni__2[[#This Row],[Popolazione2011]]/Comuni__2[[#This Row],[POPOLAZIONE TOTALE DI OGNI REGIONE (CON FILTRO)]]</f>
        <v>7.3377382416292612E-4</v>
      </c>
      <c r="H6460" t="str">
        <f>IF(Comuni__2[[#This Row],[Popolazione2011]]&gt;300000,"MAGGIORE","")</f>
        <v/>
      </c>
    </row>
    <row r="6461" spans="1:8" x14ac:dyDescent="0.2">
      <c r="A6461"/>
      <c r="B6461"/>
      <c r="C6461"/>
      <c r="D6461"/>
      <c r="E6461" s="2">
        <f>Comuni__2[[#This Row],[Popolazione2011]]/$D$7911</f>
        <v>6.1676375324690771E-5</v>
      </c>
      <c r="F6461">
        <f>SUMIFS($D$2:$D$7909, $B$2:$B$7909, "Sicilia")</f>
        <v>5002904</v>
      </c>
      <c r="G6461" s="1">
        <f>Comuni__2[[#This Row],[Popolazione2011]]/Comuni__2[[#This Row],[POPOLAZIONE TOTALE DI OGNI REGIONE (CON FILTRO)]]</f>
        <v>7.3257452071836681E-4</v>
      </c>
      <c r="H6461" t="str">
        <f>IF(Comuni__2[[#This Row],[Popolazione2011]]&gt;300000,"MAGGIORE","")</f>
        <v/>
      </c>
    </row>
    <row r="6462" spans="1:8" x14ac:dyDescent="0.2">
      <c r="A6462"/>
      <c r="B6462"/>
      <c r="C6462"/>
      <c r="D6462"/>
      <c r="E6462" s="2">
        <f>Comuni__2[[#This Row],[Popolazione2011]]/$D$7911</f>
        <v>6.127249183006797E-5</v>
      </c>
      <c r="F6462">
        <f>SUMIFS($D$2:$D$7909, $B$2:$B$7909, "Sicilia")</f>
        <v>5002904</v>
      </c>
      <c r="G6462" s="1">
        <f>Comuni__2[[#This Row],[Popolazione2011]]/Comuni__2[[#This Row],[POPOLAZIONE TOTALE DI OGNI REGIONE (CON FILTRO)]]</f>
        <v>7.2777730694012922E-4</v>
      </c>
      <c r="H6462" t="str">
        <f>IF(Comuni__2[[#This Row],[Popolazione2011]]&gt;300000,"MAGGIORE","")</f>
        <v/>
      </c>
    </row>
    <row r="6463" spans="1:8" x14ac:dyDescent="0.2">
      <c r="A6463"/>
      <c r="B6463"/>
      <c r="C6463"/>
      <c r="D6463"/>
      <c r="E6463" s="2">
        <f>Comuni__2[[#This Row],[Popolazione2011]]/$D$7911</f>
        <v>6.0700323546019002E-5</v>
      </c>
      <c r="F6463">
        <f>SUMIFS($D$2:$D$7909, $B$2:$B$7909, "Sicilia")</f>
        <v>5002904</v>
      </c>
      <c r="G6463" s="1">
        <f>Comuni__2[[#This Row],[Popolazione2011]]/Comuni__2[[#This Row],[POPOLAZIONE TOTALE DI OGNI REGIONE (CON FILTRO)]]</f>
        <v>7.2098125408762593E-4</v>
      </c>
      <c r="H6463" t="str">
        <f>IF(Comuni__2[[#This Row],[Popolazione2011]]&gt;300000,"MAGGIORE","")</f>
        <v/>
      </c>
    </row>
    <row r="6464" spans="1:8" x14ac:dyDescent="0.2">
      <c r="A6464"/>
      <c r="B6464"/>
      <c r="C6464"/>
      <c r="D6464"/>
      <c r="E6464" s="2">
        <f>Comuni__2[[#This Row],[Popolazione2011]]/$D$7911</f>
        <v>6.0010355909371707E-5</v>
      </c>
      <c r="F6464">
        <f>SUMIFS($D$2:$D$7909, $B$2:$B$7909, "Sicilia")</f>
        <v>5002904</v>
      </c>
      <c r="G6464" s="1">
        <f>Comuni__2[[#This Row],[Popolazione2011]]/Comuni__2[[#This Row],[POPOLAZIONE TOTALE DI OGNI REGIONE (CON FILTRO)]]</f>
        <v>7.1278601388313669E-4</v>
      </c>
      <c r="H6464" t="str">
        <f>IF(Comuni__2[[#This Row],[Popolazione2011]]&gt;300000,"MAGGIORE","")</f>
        <v/>
      </c>
    </row>
    <row r="6465" spans="1:8" x14ac:dyDescent="0.2">
      <c r="A6465"/>
      <c r="B6465"/>
      <c r="C6465"/>
      <c r="D6465"/>
      <c r="E6465" s="2">
        <f>Comuni__2[[#This Row],[Popolazione2011]]/$D$7911</f>
        <v>5.9724271767347219E-5</v>
      </c>
      <c r="F6465">
        <f>SUMIFS($D$2:$D$7909, $B$2:$B$7909, "Sicilia")</f>
        <v>5002904</v>
      </c>
      <c r="G6465" s="1">
        <f>Comuni__2[[#This Row],[Popolazione2011]]/Comuni__2[[#This Row],[POPOLAZIONE TOTALE DI OGNI REGIONE (CON FILTRO)]]</f>
        <v>7.0938798745688505E-4</v>
      </c>
      <c r="H6465" t="str">
        <f>IF(Comuni__2[[#This Row],[Popolazione2011]]&gt;300000,"MAGGIORE","")</f>
        <v/>
      </c>
    </row>
    <row r="6466" spans="1:8" x14ac:dyDescent="0.2">
      <c r="A6466"/>
      <c r="B6466"/>
      <c r="C6466"/>
      <c r="D6466"/>
      <c r="E6466" s="2">
        <f>Comuni__2[[#This Row],[Popolazione2011]]/$D$7911</f>
        <v>5.9185760441183483E-5</v>
      </c>
      <c r="F6466">
        <f>SUMIFS($D$2:$D$7909, $B$2:$B$7909, "Sicilia")</f>
        <v>5002904</v>
      </c>
      <c r="G6466" s="1">
        <f>Comuni__2[[#This Row],[Popolazione2011]]/Comuni__2[[#This Row],[POPOLAZIONE TOTALE DI OGNI REGIONE (CON FILTRO)]]</f>
        <v>7.029917024192349E-4</v>
      </c>
      <c r="H6466" t="str">
        <f>IF(Comuni__2[[#This Row],[Popolazione2011]]&gt;300000,"MAGGIORE","")</f>
        <v/>
      </c>
    </row>
    <row r="6467" spans="1:8" x14ac:dyDescent="0.2">
      <c r="A6467"/>
      <c r="B6467"/>
      <c r="C6467"/>
      <c r="D6467"/>
      <c r="E6467" s="2">
        <f>Comuni__2[[#This Row],[Popolazione2011]]/$D$7911</f>
        <v>5.8916504778101611E-5</v>
      </c>
      <c r="F6467">
        <f>SUMIFS($D$2:$D$7909, $B$2:$B$7909, "Sicilia")</f>
        <v>5002904</v>
      </c>
      <c r="G6467" s="1">
        <f>Comuni__2[[#This Row],[Popolazione2011]]/Comuni__2[[#This Row],[POPOLAZIONE TOTALE DI OGNI REGIONE (CON FILTRO)]]</f>
        <v>6.9979355990040988E-4</v>
      </c>
      <c r="H6467" t="str">
        <f>IF(Comuni__2[[#This Row],[Popolazione2011]]&gt;300000,"MAGGIORE","")</f>
        <v/>
      </c>
    </row>
    <row r="6468" spans="1:8" x14ac:dyDescent="0.2">
      <c r="A6468"/>
      <c r="B6468"/>
      <c r="C6468"/>
      <c r="D6468"/>
      <c r="E6468" s="2">
        <f>Comuni__2[[#This Row],[Popolazione2011]]/$D$7911</f>
        <v>5.8899676299158995E-5</v>
      </c>
      <c r="F6468">
        <f>SUMIFS($D$2:$D$7909, $B$2:$B$7909, "Sicilia")</f>
        <v>5002904</v>
      </c>
      <c r="G6468" s="1">
        <f>Comuni__2[[#This Row],[Popolazione2011]]/Comuni__2[[#This Row],[POPOLAZIONE TOTALE DI OGNI REGIONE (CON FILTRO)]]</f>
        <v>6.9959367599298325E-4</v>
      </c>
      <c r="H6468" t="str">
        <f>IF(Comuni__2[[#This Row],[Popolazione2011]]&gt;300000,"MAGGIORE","")</f>
        <v/>
      </c>
    </row>
    <row r="6469" spans="1:8" x14ac:dyDescent="0.2">
      <c r="A6469"/>
      <c r="B6469"/>
      <c r="C6469"/>
      <c r="D6469"/>
      <c r="E6469" s="2">
        <f>Comuni__2[[#This Row],[Popolazione2011]]/$D$7911</f>
        <v>5.8277022578282171E-5</v>
      </c>
      <c r="F6469">
        <f>SUMIFS($D$2:$D$7909, $B$2:$B$7909, "Sicilia")</f>
        <v>5002904</v>
      </c>
      <c r="G6469" s="1">
        <f>Comuni__2[[#This Row],[Popolazione2011]]/Comuni__2[[#This Row],[POPOLAZIONE TOTALE DI OGNI REGIONE (CON FILTRO)]]</f>
        <v>6.921979714182003E-4</v>
      </c>
      <c r="H6469" t="str">
        <f>IF(Comuni__2[[#This Row],[Popolazione2011]]&gt;300000,"MAGGIORE","")</f>
        <v/>
      </c>
    </row>
    <row r="6470" spans="1:8" x14ac:dyDescent="0.2">
      <c r="A6470"/>
      <c r="B6470"/>
      <c r="C6470"/>
      <c r="D6470"/>
      <c r="E6470" s="2">
        <f>Comuni__2[[#This Row],[Popolazione2011]]/$D$7911</f>
        <v>5.8277022578282171E-5</v>
      </c>
      <c r="F6470">
        <f>SUMIFS($D$2:$D$7909, $B$2:$B$7909, "Sicilia")</f>
        <v>5002904</v>
      </c>
      <c r="G6470" s="1">
        <f>Comuni__2[[#This Row],[Popolazione2011]]/Comuni__2[[#This Row],[POPOLAZIONE TOTALE DI OGNI REGIONE (CON FILTRO)]]</f>
        <v>6.921979714182003E-4</v>
      </c>
      <c r="H6470" t="str">
        <f>IF(Comuni__2[[#This Row],[Popolazione2011]]&gt;300000,"MAGGIORE","")</f>
        <v/>
      </c>
    </row>
    <row r="6471" spans="1:8" x14ac:dyDescent="0.2">
      <c r="A6471"/>
      <c r="B6471"/>
      <c r="C6471"/>
      <c r="D6471"/>
      <c r="E6471" s="2">
        <f>Comuni__2[[#This Row],[Popolazione2011]]/$D$7911</f>
        <v>5.8024595394142916E-5</v>
      </c>
      <c r="F6471">
        <f>SUMIFS($D$2:$D$7909, $B$2:$B$7909, "Sicilia")</f>
        <v>5002904</v>
      </c>
      <c r="G6471" s="1">
        <f>Comuni__2[[#This Row],[Popolazione2011]]/Comuni__2[[#This Row],[POPOLAZIONE TOTALE DI OGNI REGIONE (CON FILTRO)]]</f>
        <v>6.891997128068018E-4</v>
      </c>
      <c r="H6471" t="str">
        <f>IF(Comuni__2[[#This Row],[Popolazione2011]]&gt;300000,"MAGGIORE","")</f>
        <v/>
      </c>
    </row>
    <row r="6472" spans="1:8" x14ac:dyDescent="0.2">
      <c r="A6472"/>
      <c r="B6472"/>
      <c r="C6472"/>
      <c r="D6472"/>
      <c r="E6472" s="2">
        <f>Comuni__2[[#This Row],[Popolazione2011]]/$D$7911</f>
        <v>5.7940452999429835E-5</v>
      </c>
      <c r="F6472">
        <f>SUMIFS($D$2:$D$7909, $B$2:$B$7909, "Sicilia")</f>
        <v>5002904</v>
      </c>
      <c r="G6472" s="1">
        <f>Comuni__2[[#This Row],[Popolazione2011]]/Comuni__2[[#This Row],[POPOLAZIONE TOTALE DI OGNI REGIONE (CON FILTRO)]]</f>
        <v>6.88200293269669E-4</v>
      </c>
      <c r="H6472" t="str">
        <f>IF(Comuni__2[[#This Row],[Popolazione2011]]&gt;300000,"MAGGIORE","")</f>
        <v/>
      </c>
    </row>
    <row r="6473" spans="1:8" x14ac:dyDescent="0.2">
      <c r="A6473"/>
      <c r="B6473"/>
      <c r="C6473"/>
      <c r="D6473"/>
      <c r="E6473" s="2">
        <f>Comuni__2[[#This Row],[Popolazione2011]]/$D$7911</f>
        <v>5.768802581529058E-5</v>
      </c>
      <c r="F6473">
        <f>SUMIFS($D$2:$D$7909, $B$2:$B$7909, "Sicilia")</f>
        <v>5002904</v>
      </c>
      <c r="G6473" s="1">
        <f>Comuni__2[[#This Row],[Popolazione2011]]/Comuni__2[[#This Row],[POPOLAZIONE TOTALE DI OGNI REGIONE (CON FILTRO)]]</f>
        <v>6.8520203465827049E-4</v>
      </c>
      <c r="H6473" t="str">
        <f>IF(Comuni__2[[#This Row],[Popolazione2011]]&gt;300000,"MAGGIORE","")</f>
        <v/>
      </c>
    </row>
    <row r="6474" spans="1:8" x14ac:dyDescent="0.2">
      <c r="A6474"/>
      <c r="B6474"/>
      <c r="C6474"/>
      <c r="D6474"/>
      <c r="E6474" s="2">
        <f>Comuni__2[[#This Row],[Popolazione2011]]/$D$7911</f>
        <v>5.6829773389217123E-5</v>
      </c>
      <c r="F6474">
        <f>SUMIFS($D$2:$D$7909, $B$2:$B$7909, "Sicilia")</f>
        <v>5002904</v>
      </c>
      <c r="G6474" s="1">
        <f>Comuni__2[[#This Row],[Popolazione2011]]/Comuni__2[[#This Row],[POPOLAZIONE TOTALE DI OGNI REGIONE (CON FILTRO)]]</f>
        <v>6.7500795537951555E-4</v>
      </c>
      <c r="H6474" t="str">
        <f>IF(Comuni__2[[#This Row],[Popolazione2011]]&gt;300000,"MAGGIORE","")</f>
        <v/>
      </c>
    </row>
    <row r="6475" spans="1:8" x14ac:dyDescent="0.2">
      <c r="A6475"/>
      <c r="B6475"/>
      <c r="C6475"/>
      <c r="D6475"/>
      <c r="E6475" s="2">
        <f>Comuni__2[[#This Row],[Popolazione2011]]/$D$7911</f>
        <v>5.6324919020938619E-5</v>
      </c>
      <c r="F6475">
        <f>SUMIFS($D$2:$D$7909, $B$2:$B$7909, "Sicilia")</f>
        <v>5002904</v>
      </c>
      <c r="G6475" s="1">
        <f>Comuni__2[[#This Row],[Popolazione2011]]/Comuni__2[[#This Row],[POPOLAZIONE TOTALE DI OGNI REGIONE (CON FILTRO)]]</f>
        <v>6.6901143815671854E-4</v>
      </c>
      <c r="H6475" t="str">
        <f>IF(Comuni__2[[#This Row],[Popolazione2011]]&gt;300000,"MAGGIORE","")</f>
        <v/>
      </c>
    </row>
    <row r="6476" spans="1:8" x14ac:dyDescent="0.2">
      <c r="A6476"/>
      <c r="B6476"/>
      <c r="C6476"/>
      <c r="D6476"/>
      <c r="E6476" s="2">
        <f>Comuni__2[[#This Row],[Popolazione2011]]/$D$7911</f>
        <v>5.5500323552750388E-5</v>
      </c>
      <c r="F6476">
        <f>SUMIFS($D$2:$D$7909, $B$2:$B$7909, "Sicilia")</f>
        <v>5002904</v>
      </c>
      <c r="G6476" s="1">
        <f>Comuni__2[[#This Row],[Popolazione2011]]/Comuni__2[[#This Row],[POPOLAZIONE TOTALE DI OGNI REGIONE (CON FILTRO)]]</f>
        <v>6.5921712669281686E-4</v>
      </c>
      <c r="H6476" t="str">
        <f>IF(Comuni__2[[#This Row],[Popolazione2011]]&gt;300000,"MAGGIORE","")</f>
        <v/>
      </c>
    </row>
    <row r="6477" spans="1:8" x14ac:dyDescent="0.2">
      <c r="A6477"/>
      <c r="B6477"/>
      <c r="C6477"/>
      <c r="D6477"/>
      <c r="E6477" s="2">
        <f>Comuni__2[[#This Row],[Popolazione2011]]/$D$7911</f>
        <v>5.5483495073807772E-5</v>
      </c>
      <c r="F6477">
        <f>SUMIFS($D$2:$D$7909, $B$2:$B$7909, "Sicilia")</f>
        <v>5002904</v>
      </c>
      <c r="G6477" s="1">
        <f>Comuni__2[[#This Row],[Popolazione2011]]/Comuni__2[[#This Row],[POPOLAZIONE TOTALE DI OGNI REGIONE (CON FILTRO)]]</f>
        <v>6.5901724278539023E-4</v>
      </c>
      <c r="H6477" t="str">
        <f>IF(Comuni__2[[#This Row],[Popolazione2011]]&gt;300000,"MAGGIORE","")</f>
        <v/>
      </c>
    </row>
    <row r="6478" spans="1:8" x14ac:dyDescent="0.2">
      <c r="A6478"/>
      <c r="B6478"/>
      <c r="C6478"/>
      <c r="D6478"/>
      <c r="E6478" s="2">
        <f>Comuni__2[[#This Row],[Popolazione2011]]/$D$7911</f>
        <v>5.544983811592254E-5</v>
      </c>
      <c r="F6478">
        <f>SUMIFS($D$2:$D$7909, $B$2:$B$7909, "Sicilia")</f>
        <v>5002904</v>
      </c>
      <c r="G6478" s="1">
        <f>Comuni__2[[#This Row],[Popolazione2011]]/Comuni__2[[#This Row],[POPOLAZIONE TOTALE DI OGNI REGIONE (CON FILTRO)]]</f>
        <v>6.5861747497053709E-4</v>
      </c>
      <c r="H6478" t="str">
        <f>IF(Comuni__2[[#This Row],[Popolazione2011]]&gt;300000,"MAGGIORE","")</f>
        <v/>
      </c>
    </row>
    <row r="6479" spans="1:8" x14ac:dyDescent="0.2">
      <c r="A6479"/>
      <c r="B6479"/>
      <c r="C6479"/>
      <c r="D6479"/>
      <c r="E6479" s="2">
        <f>Comuni__2[[#This Row],[Popolazione2011]]/$D$7911</f>
        <v>5.5197410931783285E-5</v>
      </c>
      <c r="F6479">
        <f>SUMIFS($D$2:$D$7909, $B$2:$B$7909, "Sicilia")</f>
        <v>5002904</v>
      </c>
      <c r="G6479" s="1">
        <f>Comuni__2[[#This Row],[Popolazione2011]]/Comuni__2[[#This Row],[POPOLAZIONE TOTALE DI OGNI REGIONE (CON FILTRO)]]</f>
        <v>6.5561921635913858E-4</v>
      </c>
      <c r="H6479" t="str">
        <f>IF(Comuni__2[[#This Row],[Popolazione2011]]&gt;300000,"MAGGIORE","")</f>
        <v/>
      </c>
    </row>
    <row r="6480" spans="1:8" x14ac:dyDescent="0.2">
      <c r="A6480"/>
      <c r="B6480"/>
      <c r="C6480"/>
      <c r="D6480"/>
      <c r="E6480" s="2">
        <f>Comuni__2[[#This Row],[Popolazione2011]]/$D$7911</f>
        <v>5.4154045237341044E-5</v>
      </c>
      <c r="F6480">
        <f>SUMIFS($D$2:$D$7909, $B$2:$B$7909, "Sicilia")</f>
        <v>5002904</v>
      </c>
      <c r="G6480" s="1">
        <f>Comuni__2[[#This Row],[Popolazione2011]]/Comuni__2[[#This Row],[POPOLAZIONE TOTALE DI OGNI REGIONE (CON FILTRO)]]</f>
        <v>6.4322641409869153E-4</v>
      </c>
      <c r="H6480" t="str">
        <f>IF(Comuni__2[[#This Row],[Popolazione2011]]&gt;300000,"MAGGIORE","")</f>
        <v/>
      </c>
    </row>
    <row r="6481" spans="1:8" x14ac:dyDescent="0.2">
      <c r="A6481"/>
      <c r="B6481"/>
      <c r="C6481"/>
      <c r="D6481"/>
      <c r="E6481" s="2">
        <f>Comuni__2[[#This Row],[Popolazione2011]]/$D$7911</f>
        <v>5.4036245884742725E-5</v>
      </c>
      <c r="F6481">
        <f>SUMIFS($D$2:$D$7909, $B$2:$B$7909, "Sicilia")</f>
        <v>5002904</v>
      </c>
      <c r="G6481" s="1">
        <f>Comuni__2[[#This Row],[Popolazione2011]]/Comuni__2[[#This Row],[POPOLAZIONE TOTALE DI OGNI REGIONE (CON FILTRO)]]</f>
        <v>6.4182722674670548E-4</v>
      </c>
      <c r="H6481" t="str">
        <f>IF(Comuni__2[[#This Row],[Popolazione2011]]&gt;300000,"MAGGIORE","")</f>
        <v/>
      </c>
    </row>
    <row r="6482" spans="1:8" x14ac:dyDescent="0.2">
      <c r="A6482"/>
      <c r="B6482"/>
      <c r="C6482"/>
      <c r="D6482"/>
      <c r="E6482" s="2">
        <f>Comuni__2[[#This Row],[Popolazione2011]]/$D$7911</f>
        <v>5.385113261637394E-5</v>
      </c>
      <c r="F6482">
        <f>SUMIFS($D$2:$D$7909, $B$2:$B$7909, "Sicilia")</f>
        <v>5002904</v>
      </c>
      <c r="G6482" s="1">
        <f>Comuni__2[[#This Row],[Popolazione2011]]/Comuni__2[[#This Row],[POPOLAZIONE TOTALE DI OGNI REGIONE (CON FILTRO)]]</f>
        <v>6.3962850376501326E-4</v>
      </c>
      <c r="H6482" t="str">
        <f>IF(Comuni__2[[#This Row],[Popolazione2011]]&gt;300000,"MAGGIORE","")</f>
        <v/>
      </c>
    </row>
    <row r="6483" spans="1:8" x14ac:dyDescent="0.2">
      <c r="A6483"/>
      <c r="B6483"/>
      <c r="C6483"/>
      <c r="D6483"/>
      <c r="E6483" s="2">
        <f>Comuni__2[[#This Row],[Popolazione2011]]/$D$7911</f>
        <v>5.3565048474349453E-5</v>
      </c>
      <c r="F6483">
        <f>SUMIFS($D$2:$D$7909, $B$2:$B$7909, "Sicilia")</f>
        <v>5002904</v>
      </c>
      <c r="G6483" s="1">
        <f>Comuni__2[[#This Row],[Popolazione2011]]/Comuni__2[[#This Row],[POPOLAZIONE TOTALE DI OGNI REGIONE (CON FILTRO)]]</f>
        <v>6.3623047733876162E-4</v>
      </c>
      <c r="H6483" t="str">
        <f>IF(Comuni__2[[#This Row],[Popolazione2011]]&gt;300000,"MAGGIORE","")</f>
        <v/>
      </c>
    </row>
    <row r="6484" spans="1:8" x14ac:dyDescent="0.2">
      <c r="A6484"/>
      <c r="B6484"/>
      <c r="C6484"/>
      <c r="D6484"/>
      <c r="E6484" s="2">
        <f>Comuni__2[[#This Row],[Popolazione2011]]/$D$7911</f>
        <v>5.3480906079636365E-5</v>
      </c>
      <c r="F6484">
        <f>SUMIFS($D$2:$D$7909, $B$2:$B$7909, "Sicilia")</f>
        <v>5002904</v>
      </c>
      <c r="G6484" s="1">
        <f>Comuni__2[[#This Row],[Popolazione2011]]/Comuni__2[[#This Row],[POPOLAZIONE TOTALE DI OGNI REGIONE (CON FILTRO)]]</f>
        <v>6.3523105780162882E-4</v>
      </c>
      <c r="H6484" t="str">
        <f>IF(Comuni__2[[#This Row],[Popolazione2011]]&gt;300000,"MAGGIORE","")</f>
        <v/>
      </c>
    </row>
    <row r="6485" spans="1:8" x14ac:dyDescent="0.2">
      <c r="A6485"/>
      <c r="B6485"/>
      <c r="C6485"/>
      <c r="D6485"/>
      <c r="E6485" s="2">
        <f>Comuni__2[[#This Row],[Popolazione2011]]/$D$7911</f>
        <v>5.3430420642808517E-5</v>
      </c>
      <c r="F6485">
        <f>SUMIFS($D$2:$D$7909, $B$2:$B$7909, "Sicilia")</f>
        <v>5002904</v>
      </c>
      <c r="G6485" s="1">
        <f>Comuni__2[[#This Row],[Popolazione2011]]/Comuni__2[[#This Row],[POPOLAZIONE TOTALE DI OGNI REGIONE (CON FILTRO)]]</f>
        <v>6.3463140607934916E-4</v>
      </c>
      <c r="H6485" t="str">
        <f>IF(Comuni__2[[#This Row],[Popolazione2011]]&gt;300000,"MAGGIORE","")</f>
        <v/>
      </c>
    </row>
    <row r="6486" spans="1:8" x14ac:dyDescent="0.2">
      <c r="A6486"/>
      <c r="B6486"/>
      <c r="C6486"/>
      <c r="D6486"/>
      <c r="E6486" s="2">
        <f>Comuni__2[[#This Row],[Popolazione2011]]/$D$7911</f>
        <v>5.2891909316644781E-5</v>
      </c>
      <c r="F6486">
        <f>SUMIFS($D$2:$D$7909, $B$2:$B$7909, "Sicilia")</f>
        <v>5002904</v>
      </c>
      <c r="G6486" s="1">
        <f>Comuni__2[[#This Row],[Popolazione2011]]/Comuni__2[[#This Row],[POPOLAZIONE TOTALE DI OGNI REGIONE (CON FILTRO)]]</f>
        <v>6.2823512104169901E-4</v>
      </c>
      <c r="H6486" t="str">
        <f>IF(Comuni__2[[#This Row],[Popolazione2011]]&gt;300000,"MAGGIORE","")</f>
        <v/>
      </c>
    </row>
    <row r="6487" spans="1:8" x14ac:dyDescent="0.2">
      <c r="A6487"/>
      <c r="B6487"/>
      <c r="C6487"/>
      <c r="D6487"/>
      <c r="E6487" s="2">
        <f>Comuni__2[[#This Row],[Popolazione2011]]/$D$7911</f>
        <v>5.2807766921931693E-5</v>
      </c>
      <c r="F6487">
        <f>SUMIFS($D$2:$D$7909, $B$2:$B$7909, "Sicilia")</f>
        <v>5002904</v>
      </c>
      <c r="G6487" s="1">
        <f>Comuni__2[[#This Row],[Popolazione2011]]/Comuni__2[[#This Row],[POPOLAZIONE TOTALE DI OGNI REGIONE (CON FILTRO)]]</f>
        <v>6.272357015045661E-4</v>
      </c>
      <c r="H6487" t="str">
        <f>IF(Comuni__2[[#This Row],[Popolazione2011]]&gt;300000,"MAGGIORE","")</f>
        <v/>
      </c>
    </row>
    <row r="6488" spans="1:8" x14ac:dyDescent="0.2">
      <c r="A6488"/>
      <c r="B6488"/>
      <c r="C6488"/>
      <c r="D6488"/>
      <c r="E6488" s="2">
        <f>Comuni__2[[#This Row],[Popolazione2011]]/$D$7911</f>
        <v>5.2471197343079357E-5</v>
      </c>
      <c r="F6488">
        <f>SUMIFS($D$2:$D$7909, $B$2:$B$7909, "Sicilia")</f>
        <v>5002904</v>
      </c>
      <c r="G6488" s="1">
        <f>Comuni__2[[#This Row],[Popolazione2011]]/Comuni__2[[#This Row],[POPOLAZIONE TOTALE DI OGNI REGIONE (CON FILTRO)]]</f>
        <v>6.232380233560348E-4</v>
      </c>
      <c r="H6488" t="str">
        <f>IF(Comuni__2[[#This Row],[Popolazione2011]]&gt;300000,"MAGGIORE","")</f>
        <v/>
      </c>
    </row>
    <row r="6489" spans="1:8" x14ac:dyDescent="0.2">
      <c r="A6489"/>
      <c r="B6489"/>
      <c r="C6489"/>
      <c r="D6489"/>
      <c r="E6489" s="2">
        <f>Comuni__2[[#This Row],[Popolazione2011]]/$D$7911</f>
        <v>5.1865372101145149E-5</v>
      </c>
      <c r="F6489">
        <f>SUMIFS($D$2:$D$7909, $B$2:$B$7909, "Sicilia")</f>
        <v>5002904</v>
      </c>
      <c r="G6489" s="1">
        <f>Comuni__2[[#This Row],[Popolazione2011]]/Comuni__2[[#This Row],[POPOLAZIONE TOTALE DI OGNI REGIONE (CON FILTRO)]]</f>
        <v>6.1604220268867836E-4</v>
      </c>
      <c r="H6489" t="str">
        <f>IF(Comuni__2[[#This Row],[Popolazione2011]]&gt;300000,"MAGGIORE","")</f>
        <v/>
      </c>
    </row>
    <row r="6490" spans="1:8" x14ac:dyDescent="0.2">
      <c r="A6490"/>
      <c r="B6490"/>
      <c r="C6490"/>
      <c r="D6490"/>
      <c r="E6490" s="2">
        <f>Comuni__2[[#This Row],[Popolazione2011]]/$D$7911</f>
        <v>5.1343689253924029E-5</v>
      </c>
      <c r="F6490">
        <f>SUMIFS($D$2:$D$7909, $B$2:$B$7909, "Sicilia")</f>
        <v>5002904</v>
      </c>
      <c r="G6490" s="1">
        <f>Comuni__2[[#This Row],[Popolazione2011]]/Comuni__2[[#This Row],[POPOLAZIONE TOTALE DI OGNI REGIONE (CON FILTRO)]]</f>
        <v>6.0984580155845484E-4</v>
      </c>
      <c r="H6490" t="str">
        <f>IF(Comuni__2[[#This Row],[Popolazione2011]]&gt;300000,"MAGGIORE","")</f>
        <v/>
      </c>
    </row>
    <row r="6491" spans="1:8" x14ac:dyDescent="0.2">
      <c r="A6491"/>
      <c r="B6491"/>
      <c r="C6491"/>
      <c r="D6491"/>
      <c r="E6491" s="2">
        <f>Comuni__2[[#This Row],[Popolazione2011]]/$D$7911</f>
        <v>5.1276375338153558E-5</v>
      </c>
      <c r="F6491">
        <f>SUMIFS($D$2:$D$7909, $B$2:$B$7909, "Sicilia")</f>
        <v>5002904</v>
      </c>
      <c r="G6491" s="1">
        <f>Comuni__2[[#This Row],[Popolazione2011]]/Comuni__2[[#This Row],[POPOLAZIONE TOTALE DI OGNI REGIONE (CON FILTRO)]]</f>
        <v>6.0904626592874855E-4</v>
      </c>
      <c r="H6491" t="str">
        <f>IF(Comuni__2[[#This Row],[Popolazione2011]]&gt;300000,"MAGGIORE","")</f>
        <v/>
      </c>
    </row>
    <row r="6492" spans="1:8" x14ac:dyDescent="0.2">
      <c r="A6492"/>
      <c r="B6492"/>
      <c r="C6492"/>
      <c r="D6492"/>
      <c r="E6492" s="2">
        <f>Comuni__2[[#This Row],[Popolazione2011]]/$D$7911</f>
        <v>5.1007119675071693E-5</v>
      </c>
      <c r="F6492">
        <f>SUMIFS($D$2:$D$7909, $B$2:$B$7909, "Sicilia")</f>
        <v>5002904</v>
      </c>
      <c r="G6492" s="1">
        <f>Comuni__2[[#This Row],[Popolazione2011]]/Comuni__2[[#This Row],[POPOLAZIONE TOTALE DI OGNI REGIONE (CON FILTRO)]]</f>
        <v>6.0584812340992353E-4</v>
      </c>
      <c r="H6492" t="str">
        <f>IF(Comuni__2[[#This Row],[Popolazione2011]]&gt;300000,"MAGGIORE","")</f>
        <v/>
      </c>
    </row>
    <row r="6493" spans="1:8" x14ac:dyDescent="0.2">
      <c r="A6493"/>
      <c r="B6493"/>
      <c r="C6493"/>
      <c r="D6493"/>
      <c r="E6493" s="2">
        <f>Comuni__2[[#This Row],[Popolazione2011]]/$D$7911</f>
        <v>5.0822006406702902E-5</v>
      </c>
      <c r="F6493">
        <f>SUMIFS($D$2:$D$7909, $B$2:$B$7909, "Sicilia")</f>
        <v>5002904</v>
      </c>
      <c r="G6493" s="1">
        <f>Comuni__2[[#This Row],[Popolazione2011]]/Comuni__2[[#This Row],[POPOLAZIONE TOTALE DI OGNI REGIONE (CON FILTRO)]]</f>
        <v>6.0364940042823131E-4</v>
      </c>
      <c r="H6493" t="str">
        <f>IF(Comuni__2[[#This Row],[Popolazione2011]]&gt;300000,"MAGGIORE","")</f>
        <v/>
      </c>
    </row>
    <row r="6494" spans="1:8" x14ac:dyDescent="0.2">
      <c r="A6494"/>
      <c r="B6494"/>
      <c r="C6494"/>
      <c r="D6494"/>
      <c r="E6494" s="2">
        <f>Comuni__2[[#This Row],[Popolazione2011]]/$D$7911</f>
        <v>5.0822006406702902E-5</v>
      </c>
      <c r="F6494">
        <f>SUMIFS($D$2:$D$7909, $B$2:$B$7909, "Sicilia")</f>
        <v>5002904</v>
      </c>
      <c r="G6494" s="1">
        <f>Comuni__2[[#This Row],[Popolazione2011]]/Comuni__2[[#This Row],[POPOLAZIONE TOTALE DI OGNI REGIONE (CON FILTRO)]]</f>
        <v>6.0364940042823131E-4</v>
      </c>
      <c r="H6494" t="str">
        <f>IF(Comuni__2[[#This Row],[Popolazione2011]]&gt;300000,"MAGGIORE","")</f>
        <v/>
      </c>
    </row>
    <row r="6495" spans="1:8" x14ac:dyDescent="0.2">
      <c r="A6495"/>
      <c r="B6495"/>
      <c r="C6495"/>
      <c r="D6495"/>
      <c r="E6495" s="2">
        <f>Comuni__2[[#This Row],[Popolazione2011]]/$D$7911</f>
        <v>5.0737864011989822E-5</v>
      </c>
      <c r="F6495">
        <f>SUMIFS($D$2:$D$7909, $B$2:$B$7909, "Sicilia")</f>
        <v>5002904</v>
      </c>
      <c r="G6495" s="1">
        <f>Comuni__2[[#This Row],[Popolazione2011]]/Comuni__2[[#This Row],[POPOLAZIONE TOTALE DI OGNI REGIONE (CON FILTRO)]]</f>
        <v>6.026499808910984E-4</v>
      </c>
      <c r="H6495" t="str">
        <f>IF(Comuni__2[[#This Row],[Popolazione2011]]&gt;300000,"MAGGIORE","")</f>
        <v/>
      </c>
    </row>
    <row r="6496" spans="1:8" x14ac:dyDescent="0.2">
      <c r="A6496"/>
      <c r="B6496"/>
      <c r="C6496"/>
      <c r="D6496"/>
      <c r="E6496" s="2">
        <f>Comuni__2[[#This Row],[Popolazione2011]]/$D$7911</f>
        <v>5.0451779869965334E-5</v>
      </c>
      <c r="F6496">
        <f>SUMIFS($D$2:$D$7909, $B$2:$B$7909, "Sicilia")</f>
        <v>5002904</v>
      </c>
      <c r="G6496" s="1">
        <f>Comuni__2[[#This Row],[Popolazione2011]]/Comuni__2[[#This Row],[POPOLAZIONE TOTALE DI OGNI REGIONE (CON FILTRO)]]</f>
        <v>5.9925195446484687E-4</v>
      </c>
      <c r="H6496" t="str">
        <f>IF(Comuni__2[[#This Row],[Popolazione2011]]&gt;300000,"MAGGIORE","")</f>
        <v/>
      </c>
    </row>
    <row r="6497" spans="1:8" x14ac:dyDescent="0.2">
      <c r="A6497"/>
      <c r="B6497"/>
      <c r="C6497"/>
      <c r="D6497"/>
      <c r="E6497" s="2">
        <f>Comuni__2[[#This Row],[Popolazione2011]]/$D$7911</f>
        <v>5.0064724854285143E-5</v>
      </c>
      <c r="F6497">
        <f>SUMIFS($D$2:$D$7909, $B$2:$B$7909, "Sicilia")</f>
        <v>5002904</v>
      </c>
      <c r="G6497" s="1">
        <f>Comuni__2[[#This Row],[Popolazione2011]]/Comuni__2[[#This Row],[POPOLAZIONE TOTALE DI OGNI REGIONE (CON FILTRO)]]</f>
        <v>5.946546245940358E-4</v>
      </c>
      <c r="H6497" t="str">
        <f>IF(Comuni__2[[#This Row],[Popolazione2011]]&gt;300000,"MAGGIORE","")</f>
        <v/>
      </c>
    </row>
    <row r="6498" spans="1:8" x14ac:dyDescent="0.2">
      <c r="A6498"/>
      <c r="B6498"/>
      <c r="C6498"/>
      <c r="D6498"/>
      <c r="E6498" s="2">
        <f>Comuni__2[[#This Row],[Popolazione2011]]/$D$7911</f>
        <v>4.9963753980629446E-5</v>
      </c>
      <c r="F6498">
        <f>SUMIFS($D$2:$D$7909, $B$2:$B$7909, "Sicilia")</f>
        <v>5002904</v>
      </c>
      <c r="G6498" s="1">
        <f>Comuni__2[[#This Row],[Popolazione2011]]/Comuni__2[[#This Row],[POPOLAZIONE TOTALE DI OGNI REGIONE (CON FILTRO)]]</f>
        <v>5.9345532114947637E-4</v>
      </c>
      <c r="H6498" t="str">
        <f>IF(Comuni__2[[#This Row],[Popolazione2011]]&gt;300000,"MAGGIORE","")</f>
        <v/>
      </c>
    </row>
    <row r="6499" spans="1:8" x14ac:dyDescent="0.2">
      <c r="A6499"/>
      <c r="B6499"/>
      <c r="C6499"/>
      <c r="D6499"/>
      <c r="E6499" s="2">
        <f>Comuni__2[[#This Row],[Popolazione2011]]/$D$7911</f>
        <v>4.9761812233318046E-5</v>
      </c>
      <c r="F6499">
        <f>SUMIFS($D$2:$D$7909, $B$2:$B$7909, "Sicilia")</f>
        <v>5002904</v>
      </c>
      <c r="G6499" s="1">
        <f>Comuni__2[[#This Row],[Popolazione2011]]/Comuni__2[[#This Row],[POPOLAZIONE TOTALE DI OGNI REGIONE (CON FILTRO)]]</f>
        <v>5.9105671426035763E-4</v>
      </c>
      <c r="H6499" t="str">
        <f>IF(Comuni__2[[#This Row],[Popolazione2011]]&gt;300000,"MAGGIORE","")</f>
        <v/>
      </c>
    </row>
    <row r="6500" spans="1:8" x14ac:dyDescent="0.2">
      <c r="A6500"/>
      <c r="B6500"/>
      <c r="C6500"/>
      <c r="D6500"/>
      <c r="E6500" s="2">
        <f>Comuni__2[[#This Row],[Popolazione2011]]/$D$7911</f>
        <v>4.9610355922834494E-5</v>
      </c>
      <c r="F6500">
        <f>SUMIFS($D$2:$D$7909, $B$2:$B$7909, "Sicilia")</f>
        <v>5002904</v>
      </c>
      <c r="G6500" s="1">
        <f>Comuni__2[[#This Row],[Popolazione2011]]/Comuni__2[[#This Row],[POPOLAZIONE TOTALE DI OGNI REGIONE (CON FILTRO)]]</f>
        <v>5.8925775909351844E-4</v>
      </c>
      <c r="H6500" t="str">
        <f>IF(Comuni__2[[#This Row],[Popolazione2011]]&gt;300000,"MAGGIORE","")</f>
        <v/>
      </c>
    </row>
    <row r="6501" spans="1:8" x14ac:dyDescent="0.2">
      <c r="A6501"/>
      <c r="B6501"/>
      <c r="C6501"/>
      <c r="D6501"/>
      <c r="E6501" s="2">
        <f>Comuni__2[[#This Row],[Popolazione2011]]/$D$7911</f>
        <v>4.898770220195767E-5</v>
      </c>
      <c r="F6501">
        <f>SUMIFS($D$2:$D$7909, $B$2:$B$7909, "Sicilia")</f>
        <v>5002904</v>
      </c>
      <c r="G6501" s="1">
        <f>Comuni__2[[#This Row],[Popolazione2011]]/Comuni__2[[#This Row],[POPOLAZIONE TOTALE DI OGNI REGIONE (CON FILTRO)]]</f>
        <v>5.8186205451873549E-4</v>
      </c>
      <c r="H6501" t="str">
        <f>IF(Comuni__2[[#This Row],[Popolazione2011]]&gt;300000,"MAGGIORE","")</f>
        <v/>
      </c>
    </row>
    <row r="6502" spans="1:8" x14ac:dyDescent="0.2">
      <c r="A6502"/>
      <c r="B6502"/>
      <c r="C6502"/>
      <c r="D6502"/>
      <c r="E6502" s="2">
        <f>Comuni__2[[#This Row],[Popolazione2011]]/$D$7911</f>
        <v>4.8466019354736543E-5</v>
      </c>
      <c r="F6502">
        <f>SUMIFS($D$2:$D$7909, $B$2:$B$7909, "Sicilia")</f>
        <v>5002904</v>
      </c>
      <c r="G6502" s="1">
        <f>Comuni__2[[#This Row],[Popolazione2011]]/Comuni__2[[#This Row],[POPOLAZIONE TOTALE DI OGNI REGIONE (CON FILTRO)]]</f>
        <v>5.7566565338851197E-4</v>
      </c>
      <c r="H6502" t="str">
        <f>IF(Comuni__2[[#This Row],[Popolazione2011]]&gt;300000,"MAGGIORE","")</f>
        <v/>
      </c>
    </row>
    <row r="6503" spans="1:8" x14ac:dyDescent="0.2">
      <c r="A6503"/>
      <c r="B6503"/>
      <c r="C6503"/>
      <c r="D6503"/>
      <c r="E6503" s="2">
        <f>Comuni__2[[#This Row],[Popolazione2011]]/$D$7911</f>
        <v>4.8365048481080846E-5</v>
      </c>
      <c r="F6503">
        <f>SUMIFS($D$2:$D$7909, $B$2:$B$7909, "Sicilia")</f>
        <v>5002904</v>
      </c>
      <c r="G6503" s="1">
        <f>Comuni__2[[#This Row],[Popolazione2011]]/Comuni__2[[#This Row],[POPOLAZIONE TOTALE DI OGNI REGIONE (CON FILTRO)]]</f>
        <v>5.7446634994395254E-4</v>
      </c>
      <c r="H6503" t="str">
        <f>IF(Comuni__2[[#This Row],[Popolazione2011]]&gt;300000,"MAGGIORE","")</f>
        <v/>
      </c>
    </row>
    <row r="6504" spans="1:8" x14ac:dyDescent="0.2">
      <c r="A6504"/>
      <c r="B6504"/>
      <c r="C6504"/>
      <c r="D6504"/>
      <c r="E6504" s="2">
        <f>Comuni__2[[#This Row],[Popolazione2011]]/$D$7911</f>
        <v>4.7018770165671495E-5</v>
      </c>
      <c r="F6504">
        <f>SUMIFS($D$2:$D$7909, $B$2:$B$7909, "Sicilia")</f>
        <v>5002904</v>
      </c>
      <c r="G6504" s="1">
        <f>Comuni__2[[#This Row],[Popolazione2011]]/Comuni__2[[#This Row],[POPOLAZIONE TOTALE DI OGNI REGIONE (CON FILTRO)]]</f>
        <v>5.5847563734982722E-4</v>
      </c>
      <c r="H6504" t="str">
        <f>IF(Comuni__2[[#This Row],[Popolazione2011]]&gt;300000,"MAGGIORE","")</f>
        <v/>
      </c>
    </row>
    <row r="6505" spans="1:8" x14ac:dyDescent="0.2">
      <c r="A6505"/>
      <c r="B6505"/>
      <c r="C6505"/>
      <c r="D6505"/>
      <c r="E6505" s="2">
        <f>Comuni__2[[#This Row],[Popolazione2011]]/$D$7911</f>
        <v>4.6951456249901031E-5</v>
      </c>
      <c r="F6505">
        <f>SUMIFS($D$2:$D$7909, $B$2:$B$7909, "Sicilia")</f>
        <v>5002904</v>
      </c>
      <c r="G6505" s="1">
        <f>Comuni__2[[#This Row],[Popolazione2011]]/Comuni__2[[#This Row],[POPOLAZIONE TOTALE DI OGNI REGIONE (CON FILTRO)]]</f>
        <v>5.5767610172012094E-4</v>
      </c>
      <c r="H6505" t="str">
        <f>IF(Comuni__2[[#This Row],[Popolazione2011]]&gt;300000,"MAGGIORE","")</f>
        <v/>
      </c>
    </row>
    <row r="6506" spans="1:8" x14ac:dyDescent="0.2">
      <c r="A6506"/>
      <c r="B6506"/>
      <c r="C6506"/>
      <c r="D6506"/>
      <c r="E6506" s="2">
        <f>Comuni__2[[#This Row],[Popolazione2011]]/$D$7911</f>
        <v>4.6900970813073175E-5</v>
      </c>
      <c r="F6506">
        <f>SUMIFS($D$2:$D$7909, $B$2:$B$7909, "Sicilia")</f>
        <v>5002904</v>
      </c>
      <c r="G6506" s="1">
        <f>Comuni__2[[#This Row],[Popolazione2011]]/Comuni__2[[#This Row],[POPOLAZIONE TOTALE DI OGNI REGIONE (CON FILTRO)]]</f>
        <v>5.5707644999784128E-4</v>
      </c>
      <c r="H6506" t="str">
        <f>IF(Comuni__2[[#This Row],[Popolazione2011]]&gt;300000,"MAGGIORE","")</f>
        <v/>
      </c>
    </row>
    <row r="6507" spans="1:8" x14ac:dyDescent="0.2">
      <c r="A6507"/>
      <c r="B6507"/>
      <c r="C6507"/>
      <c r="D6507"/>
      <c r="E6507" s="2">
        <f>Comuni__2[[#This Row],[Popolazione2011]]/$D$7911</f>
        <v>4.6783171460474856E-5</v>
      </c>
      <c r="F6507">
        <f>SUMIFS($D$2:$D$7909, $B$2:$B$7909, "Sicilia")</f>
        <v>5002904</v>
      </c>
      <c r="G6507" s="1">
        <f>Comuni__2[[#This Row],[Popolazione2011]]/Comuni__2[[#This Row],[POPOLAZIONE TOTALE DI OGNI REGIONE (CON FILTRO)]]</f>
        <v>5.5567726264585534E-4</v>
      </c>
      <c r="H6507" t="str">
        <f>IF(Comuni__2[[#This Row],[Popolazione2011]]&gt;300000,"MAGGIORE","")</f>
        <v/>
      </c>
    </row>
    <row r="6508" spans="1:8" x14ac:dyDescent="0.2">
      <c r="A6508"/>
      <c r="B6508"/>
      <c r="C6508"/>
      <c r="D6508"/>
      <c r="E6508" s="2">
        <f>Comuni__2[[#This Row],[Popolazione2011]]/$D$7911</f>
        <v>4.644660188162252E-5</v>
      </c>
      <c r="F6508">
        <f>SUMIFS($D$2:$D$7909, $B$2:$B$7909, "Sicilia")</f>
        <v>5002904</v>
      </c>
      <c r="G6508" s="1">
        <f>Comuni__2[[#This Row],[Popolazione2011]]/Comuni__2[[#This Row],[POPOLAZIONE TOTALE DI OGNI REGIONE (CON FILTRO)]]</f>
        <v>5.5167958449732393E-4</v>
      </c>
      <c r="H6508" t="str">
        <f>IF(Comuni__2[[#This Row],[Popolazione2011]]&gt;300000,"MAGGIORE","")</f>
        <v/>
      </c>
    </row>
    <row r="6509" spans="1:8" x14ac:dyDescent="0.2">
      <c r="A6509"/>
      <c r="B6509"/>
      <c r="C6509"/>
      <c r="D6509"/>
      <c r="E6509" s="2">
        <f>Comuni__2[[#This Row],[Popolazione2011]]/$D$7911</f>
        <v>4.5420064666122895E-5</v>
      </c>
      <c r="F6509">
        <f>SUMIFS($D$2:$D$7909, $B$2:$B$7909, "Sicilia")</f>
        <v>5002904</v>
      </c>
      <c r="G6509" s="1">
        <f>Comuni__2[[#This Row],[Popolazione2011]]/Comuni__2[[#This Row],[POPOLAZIONE TOTALE DI OGNI REGIONE (CON FILTRO)]]</f>
        <v>5.3948666614430339E-4</v>
      </c>
      <c r="H6509" t="str">
        <f>IF(Comuni__2[[#This Row],[Popolazione2011]]&gt;300000,"MAGGIORE","")</f>
        <v/>
      </c>
    </row>
    <row r="6510" spans="1:8" x14ac:dyDescent="0.2">
      <c r="A6510"/>
      <c r="B6510"/>
      <c r="C6510"/>
      <c r="D6510"/>
      <c r="E6510" s="2">
        <f>Comuni__2[[#This Row],[Popolazione2011]]/$D$7911</f>
        <v>4.43262135348528E-5</v>
      </c>
      <c r="F6510">
        <f>SUMIFS($D$2:$D$7909, $B$2:$B$7909, "Sicilia")</f>
        <v>5002904</v>
      </c>
      <c r="G6510" s="1">
        <f>Comuni__2[[#This Row],[Popolazione2011]]/Comuni__2[[#This Row],[POPOLAZIONE TOTALE DI OGNI REGIONE (CON FILTRO)]]</f>
        <v>5.2649421216157657E-4</v>
      </c>
      <c r="H6510" t="str">
        <f>IF(Comuni__2[[#This Row],[Popolazione2011]]&gt;300000,"MAGGIORE","")</f>
        <v/>
      </c>
    </row>
    <row r="6511" spans="1:8" x14ac:dyDescent="0.2">
      <c r="A6511"/>
      <c r="B6511"/>
      <c r="C6511"/>
      <c r="D6511"/>
      <c r="E6511" s="2">
        <f>Comuni__2[[#This Row],[Popolazione2011]]/$D$7911</f>
        <v>4.388867308234476E-5</v>
      </c>
      <c r="F6511">
        <f>SUMIFS($D$2:$D$7909, $B$2:$B$7909, "Sicilia")</f>
        <v>5002904</v>
      </c>
      <c r="G6511" s="1">
        <f>Comuni__2[[#This Row],[Popolazione2011]]/Comuni__2[[#This Row],[POPOLAZIONE TOTALE DI OGNI REGIONE (CON FILTRO)]]</f>
        <v>5.2129723056848585E-4</v>
      </c>
      <c r="H6511" t="str">
        <f>IF(Comuni__2[[#This Row],[Popolazione2011]]&gt;300000,"MAGGIORE","")</f>
        <v/>
      </c>
    </row>
    <row r="6512" spans="1:8" x14ac:dyDescent="0.2">
      <c r="A6512"/>
      <c r="B6512"/>
      <c r="C6512"/>
      <c r="D6512"/>
      <c r="E6512" s="2">
        <f>Comuni__2[[#This Row],[Popolazione2011]]/$D$7911</f>
        <v>4.3754045250803824E-5</v>
      </c>
      <c r="F6512">
        <f>SUMIFS($D$2:$D$7909, $B$2:$B$7909, "Sicilia")</f>
        <v>5002904</v>
      </c>
      <c r="G6512" s="1">
        <f>Comuni__2[[#This Row],[Popolazione2011]]/Comuni__2[[#This Row],[POPOLAZIONE TOTALE DI OGNI REGIONE (CON FILTRO)]]</f>
        <v>5.1969815930907328E-4</v>
      </c>
      <c r="H6512" t="str">
        <f>IF(Comuni__2[[#This Row],[Popolazione2011]]&gt;300000,"MAGGIORE","")</f>
        <v/>
      </c>
    </row>
    <row r="6513" spans="1:8" x14ac:dyDescent="0.2">
      <c r="A6513"/>
      <c r="B6513"/>
      <c r="C6513"/>
      <c r="D6513"/>
      <c r="E6513" s="2">
        <f>Comuni__2[[#This Row],[Popolazione2011]]/$D$7911</f>
        <v>4.3282847840410553E-5</v>
      </c>
      <c r="F6513">
        <f>SUMIFS($D$2:$D$7909, $B$2:$B$7909, "Sicilia")</f>
        <v>5002904</v>
      </c>
      <c r="G6513" s="1">
        <f>Comuni__2[[#This Row],[Popolazione2011]]/Comuni__2[[#This Row],[POPOLAZIONE TOTALE DI OGNI REGIONE (CON FILTRO)]]</f>
        <v>5.1410140990112941E-4</v>
      </c>
      <c r="H6513" t="str">
        <f>IF(Comuni__2[[#This Row],[Popolazione2011]]&gt;300000,"MAGGIORE","")</f>
        <v/>
      </c>
    </row>
    <row r="6514" spans="1:8" x14ac:dyDescent="0.2">
      <c r="A6514"/>
      <c r="B6514"/>
      <c r="C6514"/>
      <c r="D6514"/>
      <c r="E6514" s="2">
        <f>Comuni__2[[#This Row],[Popolazione2011]]/$D$7911</f>
        <v>4.3198705445697472E-5</v>
      </c>
      <c r="F6514">
        <f>SUMIFS($D$2:$D$7909, $B$2:$B$7909, "Sicilia")</f>
        <v>5002904</v>
      </c>
      <c r="G6514" s="1">
        <f>Comuni__2[[#This Row],[Popolazione2011]]/Comuni__2[[#This Row],[POPOLAZIONE TOTALE DI OGNI REGIONE (CON FILTRO)]]</f>
        <v>5.1310199036399661E-4</v>
      </c>
      <c r="H6514" t="str">
        <f>IF(Comuni__2[[#This Row],[Popolazione2011]]&gt;300000,"MAGGIORE","")</f>
        <v/>
      </c>
    </row>
    <row r="6515" spans="1:8" x14ac:dyDescent="0.2">
      <c r="A6515"/>
      <c r="B6515"/>
      <c r="C6515"/>
      <c r="D6515"/>
      <c r="E6515" s="2">
        <f>Comuni__2[[#This Row],[Popolazione2011]]/$D$7911</f>
        <v>4.2878964345787745E-5</v>
      </c>
      <c r="F6515">
        <f>SUMIFS($D$2:$D$7909, $B$2:$B$7909, "Sicilia")</f>
        <v>5002904</v>
      </c>
      <c r="G6515" s="1">
        <f>Comuni__2[[#This Row],[Popolazione2011]]/Comuni__2[[#This Row],[POPOLAZIONE TOTALE DI OGNI REGIONE (CON FILTRO)]]</f>
        <v>5.0930419612289183E-4</v>
      </c>
      <c r="H6515" t="str">
        <f>IF(Comuni__2[[#This Row],[Popolazione2011]]&gt;300000,"MAGGIORE","")</f>
        <v/>
      </c>
    </row>
    <row r="6516" spans="1:8" x14ac:dyDescent="0.2">
      <c r="A6516"/>
      <c r="B6516"/>
      <c r="C6516"/>
      <c r="D6516"/>
      <c r="E6516" s="2">
        <f>Comuni__2[[#This Row],[Popolazione2011]]/$D$7911</f>
        <v>4.2794821951074665E-5</v>
      </c>
      <c r="F6516">
        <f>SUMIFS($D$2:$D$7909, $B$2:$B$7909, "Sicilia")</f>
        <v>5002904</v>
      </c>
      <c r="G6516" s="1">
        <f>Comuni__2[[#This Row],[Popolazione2011]]/Comuni__2[[#This Row],[POPOLAZIONE TOTALE DI OGNI REGIONE (CON FILTRO)]]</f>
        <v>5.0830477658575903E-4</v>
      </c>
      <c r="H6516" t="str">
        <f>IF(Comuni__2[[#This Row],[Popolazione2011]]&gt;300000,"MAGGIORE","")</f>
        <v/>
      </c>
    </row>
    <row r="6517" spans="1:8" x14ac:dyDescent="0.2">
      <c r="A6517"/>
      <c r="B6517"/>
      <c r="C6517"/>
      <c r="D6517"/>
      <c r="E6517" s="2">
        <f>Comuni__2[[#This Row],[Popolazione2011]]/$D$7911</f>
        <v>4.0724919041132793E-5</v>
      </c>
      <c r="F6517">
        <f>SUMIFS($D$2:$D$7909, $B$2:$B$7909, "Sicilia")</f>
        <v>5002904</v>
      </c>
      <c r="G6517" s="1">
        <f>Comuni__2[[#This Row],[Popolazione2011]]/Comuni__2[[#This Row],[POPOLAZIONE TOTALE DI OGNI REGIONE (CON FILTRO)]]</f>
        <v>4.8371905597229128E-4</v>
      </c>
      <c r="H6517" t="str">
        <f>IF(Comuni__2[[#This Row],[Popolazione2011]]&gt;300000,"MAGGIORE","")</f>
        <v/>
      </c>
    </row>
    <row r="6518" spans="1:8" x14ac:dyDescent="0.2">
      <c r="A6518"/>
      <c r="B6518"/>
      <c r="C6518"/>
      <c r="D6518"/>
      <c r="E6518" s="2">
        <f>Comuni__2[[#This Row],[Popolazione2011]]/$D$7911</f>
        <v>4.0321035546509986E-5</v>
      </c>
      <c r="F6518">
        <f>SUMIFS($D$2:$D$7909, $B$2:$B$7909, "Sicilia")</f>
        <v>5002904</v>
      </c>
      <c r="G6518" s="1">
        <f>Comuni__2[[#This Row],[Popolazione2011]]/Comuni__2[[#This Row],[POPOLAZIONE TOTALE DI OGNI REGIONE (CON FILTRO)]]</f>
        <v>4.7892184219405369E-4</v>
      </c>
      <c r="H6518" t="str">
        <f>IF(Comuni__2[[#This Row],[Popolazione2011]]&gt;300000,"MAGGIORE","")</f>
        <v/>
      </c>
    </row>
    <row r="6519" spans="1:8" x14ac:dyDescent="0.2">
      <c r="A6519"/>
      <c r="B6519"/>
      <c r="C6519"/>
      <c r="D6519"/>
      <c r="E6519" s="2">
        <f>Comuni__2[[#This Row],[Popolazione2011]]/$D$7911</f>
        <v>3.7998705452428859E-5</v>
      </c>
      <c r="F6519">
        <f>SUMIFS($D$2:$D$7909, $B$2:$B$7909, "Sicilia")</f>
        <v>5002904</v>
      </c>
      <c r="G6519" s="1">
        <f>Comuni__2[[#This Row],[Popolazione2011]]/Comuni__2[[#This Row],[POPOLAZIONE TOTALE DI OGNI REGIONE (CON FILTRO)]]</f>
        <v>4.5133786296918749E-4</v>
      </c>
      <c r="H6519" t="str">
        <f>IF(Comuni__2[[#This Row],[Popolazione2011]]&gt;300000,"MAGGIORE","")</f>
        <v/>
      </c>
    </row>
    <row r="6520" spans="1:8" x14ac:dyDescent="0.2">
      <c r="A6520"/>
      <c r="B6520"/>
      <c r="C6520"/>
      <c r="D6520"/>
      <c r="E6520" s="2">
        <f>Comuni__2[[#This Row],[Popolazione2011]]/$D$7911</f>
        <v>3.7847249141945307E-5</v>
      </c>
      <c r="F6520">
        <f>SUMIFS($D$2:$D$7909, $B$2:$B$7909, "Sicilia")</f>
        <v>5002904</v>
      </c>
      <c r="G6520" s="1">
        <f>Comuni__2[[#This Row],[Popolazione2011]]/Comuni__2[[#This Row],[POPOLAZIONE TOTALE DI OGNI REGIONE (CON FILTRO)]]</f>
        <v>4.4953890780234841E-4</v>
      </c>
      <c r="H6520" t="str">
        <f>IF(Comuni__2[[#This Row],[Popolazione2011]]&gt;300000,"MAGGIORE","")</f>
        <v/>
      </c>
    </row>
    <row r="6521" spans="1:8" x14ac:dyDescent="0.2">
      <c r="A6521"/>
      <c r="B6521"/>
      <c r="C6521"/>
      <c r="D6521"/>
      <c r="E6521" s="2">
        <f>Comuni__2[[#This Row],[Popolazione2011]]/$D$7911</f>
        <v>3.7477022605207738E-5</v>
      </c>
      <c r="F6521">
        <f>SUMIFS($D$2:$D$7909, $B$2:$B$7909, "Sicilia")</f>
        <v>5002904</v>
      </c>
      <c r="G6521" s="1">
        <f>Comuni__2[[#This Row],[Popolazione2011]]/Comuni__2[[#This Row],[POPOLAZIONE TOTALE DI OGNI REGIONE (CON FILTRO)]]</f>
        <v>4.4514146183896391E-4</v>
      </c>
      <c r="H6521" t="str">
        <f>IF(Comuni__2[[#This Row],[Popolazione2011]]&gt;300000,"MAGGIORE","")</f>
        <v/>
      </c>
    </row>
    <row r="6522" spans="1:8" x14ac:dyDescent="0.2">
      <c r="A6522"/>
      <c r="B6522"/>
      <c r="C6522"/>
      <c r="D6522"/>
      <c r="E6522" s="2">
        <f>Comuni__2[[#This Row],[Popolazione2011]]/$D$7911</f>
        <v>3.6399999952880259E-5</v>
      </c>
      <c r="F6522">
        <f>SUMIFS($D$2:$D$7909, $B$2:$B$7909, "Sicilia")</f>
        <v>5002904</v>
      </c>
      <c r="G6522" s="1">
        <f>Comuni__2[[#This Row],[Popolazione2011]]/Comuni__2[[#This Row],[POPOLAZIONE TOTALE DI OGNI REGIONE (CON FILTRO)]]</f>
        <v>4.3234889176366366E-4</v>
      </c>
      <c r="H6522" t="str">
        <f>IF(Comuni__2[[#This Row],[Popolazione2011]]&gt;300000,"MAGGIORE","")</f>
        <v/>
      </c>
    </row>
    <row r="6523" spans="1:8" x14ac:dyDescent="0.2">
      <c r="A6523"/>
      <c r="B6523"/>
      <c r="C6523"/>
      <c r="D6523"/>
      <c r="E6523" s="2">
        <f>Comuni__2[[#This Row],[Popolazione2011]]/$D$7911</f>
        <v>3.6299029079224555E-5</v>
      </c>
      <c r="F6523">
        <f>SUMIFS($D$2:$D$7909, $B$2:$B$7909, "Sicilia")</f>
        <v>5002904</v>
      </c>
      <c r="G6523" s="1">
        <f>Comuni__2[[#This Row],[Popolazione2011]]/Comuni__2[[#This Row],[POPOLAZIONE TOTALE DI OGNI REGIONE (CON FILTRO)]]</f>
        <v>4.3114958831910429E-4</v>
      </c>
      <c r="H6523" t="str">
        <f>IF(Comuni__2[[#This Row],[Popolazione2011]]&gt;300000,"MAGGIORE","")</f>
        <v/>
      </c>
    </row>
    <row r="6524" spans="1:8" x14ac:dyDescent="0.2">
      <c r="A6524"/>
      <c r="B6524"/>
      <c r="C6524"/>
      <c r="D6524"/>
      <c r="E6524" s="2">
        <f>Comuni__2[[#This Row],[Popolazione2011]]/$D$7911</f>
        <v>3.6214886684511475E-5</v>
      </c>
      <c r="F6524">
        <f>SUMIFS($D$2:$D$7909, $B$2:$B$7909, "Sicilia")</f>
        <v>5002904</v>
      </c>
      <c r="G6524" s="1">
        <f>Comuni__2[[#This Row],[Popolazione2011]]/Comuni__2[[#This Row],[POPOLAZIONE TOTALE DI OGNI REGIONE (CON FILTRO)]]</f>
        <v>4.3015016878197144E-4</v>
      </c>
      <c r="H6524" t="str">
        <f>IF(Comuni__2[[#This Row],[Popolazione2011]]&gt;300000,"MAGGIORE","")</f>
        <v/>
      </c>
    </row>
    <row r="6525" spans="1:8" x14ac:dyDescent="0.2">
      <c r="A6525"/>
      <c r="B6525"/>
      <c r="C6525"/>
      <c r="D6525"/>
      <c r="E6525" s="2">
        <f>Comuni__2[[#This Row],[Popolazione2011]]/$D$7911</f>
        <v>3.6181229726626243E-5</v>
      </c>
      <c r="F6525">
        <f>SUMIFS($D$2:$D$7909, $B$2:$B$7909, "Sicilia")</f>
        <v>5002904</v>
      </c>
      <c r="G6525" s="1">
        <f>Comuni__2[[#This Row],[Popolazione2011]]/Comuni__2[[#This Row],[POPOLAZIONE TOTALE DI OGNI REGIONE (CON FILTRO)]]</f>
        <v>4.297504009671183E-4</v>
      </c>
      <c r="H6525" t="str">
        <f>IF(Comuni__2[[#This Row],[Popolazione2011]]&gt;300000,"MAGGIORE","")</f>
        <v/>
      </c>
    </row>
    <row r="6526" spans="1:8" x14ac:dyDescent="0.2">
      <c r="A6526"/>
      <c r="B6526"/>
      <c r="C6526"/>
      <c r="D6526"/>
      <c r="E6526" s="2">
        <f>Comuni__2[[#This Row],[Popolazione2011]]/$D$7911</f>
        <v>3.5996116458257452E-5</v>
      </c>
      <c r="F6526">
        <f>SUMIFS($D$2:$D$7909, $B$2:$B$7909, "Sicilia")</f>
        <v>5002904</v>
      </c>
      <c r="G6526" s="1">
        <f>Comuni__2[[#This Row],[Popolazione2011]]/Comuni__2[[#This Row],[POPOLAZIONE TOTALE DI OGNI REGIONE (CON FILTRO)]]</f>
        <v>4.2755167798542607E-4</v>
      </c>
      <c r="H6526" t="str">
        <f>IF(Comuni__2[[#This Row],[Popolazione2011]]&gt;300000,"MAGGIORE","")</f>
        <v/>
      </c>
    </row>
    <row r="6527" spans="1:8" x14ac:dyDescent="0.2">
      <c r="A6527"/>
      <c r="B6527"/>
      <c r="C6527"/>
      <c r="D6527"/>
      <c r="E6527" s="2">
        <f>Comuni__2[[#This Row],[Popolazione2011]]/$D$7911</f>
        <v>3.5996116458257452E-5</v>
      </c>
      <c r="F6527">
        <f>SUMIFS($D$2:$D$7909, $B$2:$B$7909, "Sicilia")</f>
        <v>5002904</v>
      </c>
      <c r="G6527" s="1">
        <f>Comuni__2[[#This Row],[Popolazione2011]]/Comuni__2[[#This Row],[POPOLAZIONE TOTALE DI OGNI REGIONE (CON FILTRO)]]</f>
        <v>4.2755167798542607E-4</v>
      </c>
      <c r="H6527" t="str">
        <f>IF(Comuni__2[[#This Row],[Popolazione2011]]&gt;300000,"MAGGIORE","")</f>
        <v/>
      </c>
    </row>
    <row r="6528" spans="1:8" x14ac:dyDescent="0.2">
      <c r="A6528"/>
      <c r="B6528"/>
      <c r="C6528"/>
      <c r="D6528"/>
      <c r="E6528" s="2">
        <f>Comuni__2[[#This Row],[Popolazione2011]]/$D$7911</f>
        <v>3.5895145584601755E-5</v>
      </c>
      <c r="F6528">
        <f>SUMIFS($D$2:$D$7909, $B$2:$B$7909, "Sicilia")</f>
        <v>5002904</v>
      </c>
      <c r="G6528" s="1">
        <f>Comuni__2[[#This Row],[Popolazione2011]]/Comuni__2[[#This Row],[POPOLAZIONE TOTALE DI OGNI REGIONE (CON FILTRO)]]</f>
        <v>4.2635237454086665E-4</v>
      </c>
      <c r="H6528" t="str">
        <f>IF(Comuni__2[[#This Row],[Popolazione2011]]&gt;300000,"MAGGIORE","")</f>
        <v/>
      </c>
    </row>
    <row r="6529" spans="1:8" x14ac:dyDescent="0.2">
      <c r="A6529"/>
      <c r="B6529"/>
      <c r="C6529"/>
      <c r="D6529"/>
      <c r="E6529" s="2">
        <f>Comuni__2[[#This Row],[Popolazione2011]]/$D$7911</f>
        <v>3.58446601477739E-5</v>
      </c>
      <c r="F6529">
        <f>SUMIFS($D$2:$D$7909, $B$2:$B$7909, "Sicilia")</f>
        <v>5002904</v>
      </c>
      <c r="G6529" s="1">
        <f>Comuni__2[[#This Row],[Popolazione2011]]/Comuni__2[[#This Row],[POPOLAZIONE TOTALE DI OGNI REGIONE (CON FILTRO)]]</f>
        <v>4.2575272281858694E-4</v>
      </c>
      <c r="H6529" t="str">
        <f>IF(Comuni__2[[#This Row],[Popolazione2011]]&gt;300000,"MAGGIORE","")</f>
        <v/>
      </c>
    </row>
    <row r="6530" spans="1:8" x14ac:dyDescent="0.2">
      <c r="A6530"/>
      <c r="B6530"/>
      <c r="C6530"/>
      <c r="D6530"/>
      <c r="E6530" s="2">
        <f>Comuni__2[[#This Row],[Popolazione2011]]/$D$7911</f>
        <v>3.5053721637470908E-5</v>
      </c>
      <c r="F6530">
        <f>SUMIFS($D$2:$D$7909, $B$2:$B$7909, "Sicilia")</f>
        <v>5002904</v>
      </c>
      <c r="G6530" s="1">
        <f>Comuni__2[[#This Row],[Popolazione2011]]/Comuni__2[[#This Row],[POPOLAZIONE TOTALE DI OGNI REGIONE (CON FILTRO)]]</f>
        <v>4.1635817916953834E-4</v>
      </c>
      <c r="H6530" t="str">
        <f>IF(Comuni__2[[#This Row],[Popolazione2011]]&gt;300000,"MAGGIORE","")</f>
        <v/>
      </c>
    </row>
    <row r="6531" spans="1:8" x14ac:dyDescent="0.2">
      <c r="A6531"/>
      <c r="B6531"/>
      <c r="C6531"/>
      <c r="D6531"/>
      <c r="E6531" s="2">
        <f>Comuni__2[[#This Row],[Popolazione2011]]/$D$7911</f>
        <v>3.500323620064306E-5</v>
      </c>
      <c r="F6531">
        <f>SUMIFS($D$2:$D$7909, $B$2:$B$7909, "Sicilia")</f>
        <v>5002904</v>
      </c>
      <c r="G6531" s="1">
        <f>Comuni__2[[#This Row],[Popolazione2011]]/Comuni__2[[#This Row],[POPOLAZIONE TOTALE DI OGNI REGIONE (CON FILTRO)]]</f>
        <v>4.1575852744725863E-4</v>
      </c>
      <c r="H6531" t="str">
        <f>IF(Comuni__2[[#This Row],[Popolazione2011]]&gt;300000,"MAGGIORE","")</f>
        <v/>
      </c>
    </row>
    <row r="6532" spans="1:8" x14ac:dyDescent="0.2">
      <c r="A6532"/>
      <c r="B6532"/>
      <c r="C6532"/>
      <c r="D6532"/>
      <c r="E6532" s="2">
        <f>Comuni__2[[#This Row],[Popolazione2011]]/$D$7911</f>
        <v>3.4868608369102124E-5</v>
      </c>
      <c r="F6532">
        <f>SUMIFS($D$2:$D$7909, $B$2:$B$7909, "Sicilia")</f>
        <v>5002904</v>
      </c>
      <c r="G6532" s="1">
        <f>Comuni__2[[#This Row],[Popolazione2011]]/Comuni__2[[#This Row],[POPOLAZIONE TOTALE DI OGNI REGIONE (CON FILTRO)]]</f>
        <v>4.1415945618784611E-4</v>
      </c>
      <c r="H6532" t="str">
        <f>IF(Comuni__2[[#This Row],[Popolazione2011]]&gt;300000,"MAGGIORE","")</f>
        <v/>
      </c>
    </row>
    <row r="6533" spans="1:8" x14ac:dyDescent="0.2">
      <c r="A6533"/>
      <c r="B6533"/>
      <c r="C6533"/>
      <c r="D6533"/>
      <c r="E6533" s="2">
        <f>Comuni__2[[#This Row],[Popolazione2011]]/$D$7911</f>
        <v>3.4195469211397452E-5</v>
      </c>
      <c r="F6533">
        <f>SUMIFS($D$2:$D$7909, $B$2:$B$7909, "Sicilia")</f>
        <v>5002904</v>
      </c>
      <c r="G6533" s="1">
        <f>Comuni__2[[#This Row],[Popolazione2011]]/Comuni__2[[#This Row],[POPOLAZIONE TOTALE DI OGNI REGIONE (CON FILTRO)]]</f>
        <v>4.0616409989078345E-4</v>
      </c>
      <c r="H6533" t="str">
        <f>IF(Comuni__2[[#This Row],[Popolazione2011]]&gt;300000,"MAGGIORE","")</f>
        <v/>
      </c>
    </row>
    <row r="6534" spans="1:8" x14ac:dyDescent="0.2">
      <c r="A6534"/>
      <c r="B6534"/>
      <c r="C6534"/>
      <c r="D6534"/>
      <c r="E6534" s="2">
        <f>Comuni__2[[#This Row],[Popolazione2011]]/$D$7911</f>
        <v>3.3892556590430348E-5</v>
      </c>
      <c r="F6534">
        <f>SUMIFS($D$2:$D$7909, $B$2:$B$7909, "Sicilia")</f>
        <v>5002904</v>
      </c>
      <c r="G6534" s="1">
        <f>Comuni__2[[#This Row],[Popolazione2011]]/Comuni__2[[#This Row],[POPOLAZIONE TOTALE DI OGNI REGIONE (CON FILTRO)]]</f>
        <v>4.0256618955710524E-4</v>
      </c>
      <c r="H6534" t="str">
        <f>IF(Comuni__2[[#This Row],[Popolazione2011]]&gt;300000,"MAGGIORE","")</f>
        <v/>
      </c>
    </row>
    <row r="6535" spans="1:8" x14ac:dyDescent="0.2">
      <c r="A6535"/>
      <c r="B6535"/>
      <c r="C6535"/>
      <c r="D6535"/>
      <c r="E6535" s="2">
        <f>Comuni__2[[#This Row],[Popolazione2011]]/$D$7911</f>
        <v>3.3757928758889412E-5</v>
      </c>
      <c r="F6535">
        <f>SUMIFS($D$2:$D$7909, $B$2:$B$7909, "Sicilia")</f>
        <v>5002904</v>
      </c>
      <c r="G6535" s="1">
        <f>Comuni__2[[#This Row],[Popolazione2011]]/Comuni__2[[#This Row],[POPOLAZIONE TOTALE DI OGNI REGIONE (CON FILTRO)]]</f>
        <v>4.0096711829769273E-4</v>
      </c>
      <c r="H6535" t="str">
        <f>IF(Comuni__2[[#This Row],[Popolazione2011]]&gt;300000,"MAGGIORE","")</f>
        <v/>
      </c>
    </row>
    <row r="6536" spans="1:8" x14ac:dyDescent="0.2">
      <c r="A6536"/>
      <c r="B6536"/>
      <c r="C6536"/>
      <c r="D6536"/>
      <c r="E6536" s="2">
        <f>Comuni__2[[#This Row],[Popolazione2011]]/$D$7911</f>
        <v>3.2394821964537445E-5</v>
      </c>
      <c r="F6536">
        <f>SUMIFS($D$2:$D$7909, $B$2:$B$7909, "Sicilia")</f>
        <v>5002904</v>
      </c>
      <c r="G6536" s="1">
        <f>Comuni__2[[#This Row],[Popolazione2011]]/Comuni__2[[#This Row],[POPOLAZIONE TOTALE DI OGNI REGIONE (CON FILTRO)]]</f>
        <v>3.8477652179614078E-4</v>
      </c>
      <c r="H6536" t="str">
        <f>IF(Comuni__2[[#This Row],[Popolazione2011]]&gt;300000,"MAGGIORE","")</f>
        <v/>
      </c>
    </row>
    <row r="6537" spans="1:8" x14ac:dyDescent="0.2">
      <c r="A6537"/>
      <c r="B6537"/>
      <c r="C6537"/>
      <c r="D6537"/>
      <c r="E6537" s="2">
        <f>Comuni__2[[#This Row],[Popolazione2011]]/$D$7911</f>
        <v>3.2260194132996516E-5</v>
      </c>
      <c r="F6537">
        <f>SUMIFS($D$2:$D$7909, $B$2:$B$7909, "Sicilia")</f>
        <v>5002904</v>
      </c>
      <c r="G6537" s="1">
        <f>Comuni__2[[#This Row],[Popolazione2011]]/Comuni__2[[#This Row],[POPOLAZIONE TOTALE DI OGNI REGIONE (CON FILTRO)]]</f>
        <v>3.8317745053672827E-4</v>
      </c>
      <c r="H6537" t="str">
        <f>IF(Comuni__2[[#This Row],[Popolazione2011]]&gt;300000,"MAGGIORE","")</f>
        <v/>
      </c>
    </row>
    <row r="6538" spans="1:8" x14ac:dyDescent="0.2">
      <c r="A6538"/>
      <c r="B6538"/>
      <c r="C6538"/>
      <c r="D6538"/>
      <c r="E6538" s="2">
        <f>Comuni__2[[#This Row],[Popolazione2011]]/$D$7911</f>
        <v>3.1385113227980437E-5</v>
      </c>
      <c r="F6538">
        <f>SUMIFS($D$2:$D$7909, $B$2:$B$7909, "Sicilia")</f>
        <v>5002904</v>
      </c>
      <c r="G6538" s="1">
        <f>Comuni__2[[#This Row],[Popolazione2011]]/Comuni__2[[#This Row],[POPOLAZIONE TOTALE DI OGNI REGIONE (CON FILTRO)]]</f>
        <v>3.7278348735054681E-4</v>
      </c>
      <c r="H6538" t="str">
        <f>IF(Comuni__2[[#This Row],[Popolazione2011]]&gt;300000,"MAGGIORE","")</f>
        <v/>
      </c>
    </row>
    <row r="6539" spans="1:8" x14ac:dyDescent="0.2">
      <c r="A6539"/>
      <c r="B6539"/>
      <c r="C6539"/>
      <c r="D6539"/>
      <c r="E6539" s="2">
        <f>Comuni__2[[#This Row],[Popolazione2011]]/$D$7911</f>
        <v>3.1082200607013333E-5</v>
      </c>
      <c r="F6539">
        <f>SUMIFS($D$2:$D$7909, $B$2:$B$7909, "Sicilia")</f>
        <v>5002904</v>
      </c>
      <c r="G6539" s="1">
        <f>Comuni__2[[#This Row],[Popolazione2011]]/Comuni__2[[#This Row],[POPOLAZIONE TOTALE DI OGNI REGIONE (CON FILTRO)]]</f>
        <v>3.691855770168686E-4</v>
      </c>
      <c r="H6539" t="str">
        <f>IF(Comuni__2[[#This Row],[Popolazione2011]]&gt;300000,"MAGGIORE","")</f>
        <v/>
      </c>
    </row>
    <row r="6540" spans="1:8" x14ac:dyDescent="0.2">
      <c r="A6540"/>
      <c r="B6540"/>
      <c r="C6540"/>
      <c r="D6540"/>
      <c r="E6540" s="2">
        <f>Comuni__2[[#This Row],[Popolazione2011]]/$D$7911</f>
        <v>3.0863430380759316E-5</v>
      </c>
      <c r="F6540">
        <f>SUMIFS($D$2:$D$7909, $B$2:$B$7909, "Sicilia")</f>
        <v>5002904</v>
      </c>
      <c r="G6540" s="1">
        <f>Comuni__2[[#This Row],[Popolazione2011]]/Comuni__2[[#This Row],[POPOLAZIONE TOTALE DI OGNI REGIONE (CON FILTRO)]]</f>
        <v>3.6658708622032323E-4</v>
      </c>
      <c r="H6540" t="str">
        <f>IF(Comuni__2[[#This Row],[Popolazione2011]]&gt;300000,"MAGGIORE","")</f>
        <v/>
      </c>
    </row>
    <row r="6541" spans="1:8" x14ac:dyDescent="0.2">
      <c r="A6541"/>
      <c r="B6541"/>
      <c r="C6541"/>
      <c r="D6541"/>
      <c r="E6541" s="2">
        <f>Comuni__2[[#This Row],[Popolazione2011]]/$D$7911</f>
        <v>2.9803236207374453E-5</v>
      </c>
      <c r="F6541">
        <f>SUMIFS($D$2:$D$7909, $B$2:$B$7909, "Sicilia")</f>
        <v>5002904</v>
      </c>
      <c r="G6541" s="1">
        <f>Comuni__2[[#This Row],[Popolazione2011]]/Comuni__2[[#This Row],[POPOLAZIONE TOTALE DI OGNI REGIONE (CON FILTRO)]]</f>
        <v>3.5399440005244955E-4</v>
      </c>
      <c r="H6541" t="str">
        <f>IF(Comuni__2[[#This Row],[Popolazione2011]]&gt;300000,"MAGGIORE","")</f>
        <v/>
      </c>
    </row>
    <row r="6542" spans="1:8" x14ac:dyDescent="0.2">
      <c r="A6542"/>
      <c r="B6542"/>
      <c r="C6542"/>
      <c r="D6542"/>
      <c r="E6542" s="2">
        <f>Comuni__2[[#This Row],[Popolazione2011]]/$D$7911</f>
        <v>2.9719093812661366E-5</v>
      </c>
      <c r="F6542">
        <f>SUMIFS($D$2:$D$7909, $B$2:$B$7909, "Sicilia")</f>
        <v>5002904</v>
      </c>
      <c r="G6542" s="1">
        <f>Comuni__2[[#This Row],[Popolazione2011]]/Comuni__2[[#This Row],[POPOLAZIONE TOTALE DI OGNI REGIONE (CON FILTRO)]]</f>
        <v>3.529949805153167E-4</v>
      </c>
      <c r="H6542" t="str">
        <f>IF(Comuni__2[[#This Row],[Popolazione2011]]&gt;300000,"MAGGIORE","")</f>
        <v/>
      </c>
    </row>
    <row r="6543" spans="1:8" x14ac:dyDescent="0.2">
      <c r="A6543"/>
      <c r="B6543"/>
      <c r="C6543"/>
      <c r="D6543"/>
      <c r="E6543" s="2">
        <f>Comuni__2[[#This Row],[Popolazione2011]]/$D$7911</f>
        <v>2.9130097049669778E-5</v>
      </c>
      <c r="F6543">
        <f>SUMIFS($D$2:$D$7909, $B$2:$B$7909, "Sicilia")</f>
        <v>5002904</v>
      </c>
      <c r="G6543" s="1">
        <f>Comuni__2[[#This Row],[Popolazione2011]]/Comuni__2[[#This Row],[POPOLAZIONE TOTALE DI OGNI REGIONE (CON FILTRO)]]</f>
        <v>3.4599904375538689E-4</v>
      </c>
      <c r="H6543" t="str">
        <f>IF(Comuni__2[[#This Row],[Popolazione2011]]&gt;300000,"MAGGIORE","")</f>
        <v/>
      </c>
    </row>
    <row r="6544" spans="1:8" x14ac:dyDescent="0.2">
      <c r="A6544"/>
      <c r="B6544"/>
      <c r="C6544"/>
      <c r="D6544"/>
      <c r="E6544" s="2">
        <f>Comuni__2[[#This Row],[Popolazione2011]]/$D$7911</f>
        <v>2.8961812260243609E-5</v>
      </c>
      <c r="F6544">
        <f>SUMIFS($D$2:$D$7909, $B$2:$B$7909, "Sicilia")</f>
        <v>5002904</v>
      </c>
      <c r="G6544" s="1">
        <f>Comuni__2[[#This Row],[Popolazione2011]]/Comuni__2[[#This Row],[POPOLAZIONE TOTALE DI OGNI REGIONE (CON FILTRO)]]</f>
        <v>3.4400020468112119E-4</v>
      </c>
      <c r="H6544" t="str">
        <f>IF(Comuni__2[[#This Row],[Popolazione2011]]&gt;300000,"MAGGIORE","")</f>
        <v/>
      </c>
    </row>
    <row r="6545" spans="1:8" x14ac:dyDescent="0.2">
      <c r="A6545"/>
      <c r="B6545"/>
      <c r="C6545"/>
      <c r="D6545"/>
      <c r="E6545" s="2">
        <f>Comuni__2[[#This Row],[Popolazione2011]]/$D$7911</f>
        <v>2.798576048157183E-5</v>
      </c>
      <c r="F6545">
        <f>SUMIFS($D$2:$D$7909, $B$2:$B$7909, "Sicilia")</f>
        <v>5002904</v>
      </c>
      <c r="G6545" s="1">
        <f>Comuni__2[[#This Row],[Popolazione2011]]/Comuni__2[[#This Row],[POPOLAZIONE TOTALE DI OGNI REGIONE (CON FILTRO)]]</f>
        <v>3.3240693805038036E-4</v>
      </c>
      <c r="H6545" t="str">
        <f>IF(Comuni__2[[#This Row],[Popolazione2011]]&gt;300000,"MAGGIORE","")</f>
        <v/>
      </c>
    </row>
    <row r="6546" spans="1:8" x14ac:dyDescent="0.2">
      <c r="A6546"/>
      <c r="B6546"/>
      <c r="C6546"/>
      <c r="D6546"/>
      <c r="E6546" s="2">
        <f>Comuni__2[[#This Row],[Popolazione2011]]/$D$7911</f>
        <v>2.7649190902719494E-5</v>
      </c>
      <c r="F6546">
        <f>SUMIFS($D$2:$D$7909, $B$2:$B$7909, "Sicilia")</f>
        <v>5002904</v>
      </c>
      <c r="G6546" s="1">
        <f>Comuni__2[[#This Row],[Popolazione2011]]/Comuni__2[[#This Row],[POPOLAZIONE TOTALE DI OGNI REGIONE (CON FILTRO)]]</f>
        <v>3.28409259901849E-4</v>
      </c>
      <c r="H6546" t="str">
        <f>IF(Comuni__2[[#This Row],[Popolazione2011]]&gt;300000,"MAGGIORE","")</f>
        <v/>
      </c>
    </row>
    <row r="6547" spans="1:8" x14ac:dyDescent="0.2">
      <c r="A6547"/>
      <c r="B6547"/>
      <c r="C6547"/>
      <c r="D6547"/>
      <c r="E6547" s="2">
        <f>Comuni__2[[#This Row],[Popolazione2011]]/$D$7911</f>
        <v>2.744724915540809E-5</v>
      </c>
      <c r="F6547">
        <f>SUMIFS($D$2:$D$7909, $B$2:$B$7909, "Sicilia")</f>
        <v>5002904</v>
      </c>
      <c r="G6547" s="1">
        <f>Comuni__2[[#This Row],[Popolazione2011]]/Comuni__2[[#This Row],[POPOLAZIONE TOTALE DI OGNI REGIONE (CON FILTRO)]]</f>
        <v>3.2601065301273021E-4</v>
      </c>
      <c r="H6547" t="str">
        <f>IF(Comuni__2[[#This Row],[Popolazione2011]]&gt;300000,"MAGGIORE","")</f>
        <v/>
      </c>
    </row>
    <row r="6548" spans="1:8" x14ac:dyDescent="0.2">
      <c r="A6548"/>
      <c r="B6548"/>
      <c r="C6548"/>
      <c r="D6548"/>
      <c r="E6548" s="2">
        <f>Comuni__2[[#This Row],[Popolazione2011]]/$D$7911</f>
        <v>2.744724915540809E-5</v>
      </c>
      <c r="F6548">
        <f>SUMIFS($D$2:$D$7909, $B$2:$B$7909, "Sicilia")</f>
        <v>5002904</v>
      </c>
      <c r="G6548" s="1">
        <f>Comuni__2[[#This Row],[Popolazione2011]]/Comuni__2[[#This Row],[POPOLAZIONE TOTALE DI OGNI REGIONE (CON FILTRO)]]</f>
        <v>3.2601065301273021E-4</v>
      </c>
      <c r="H6548" t="str">
        <f>IF(Comuni__2[[#This Row],[Popolazione2011]]&gt;300000,"MAGGIORE","")</f>
        <v/>
      </c>
    </row>
    <row r="6549" spans="1:8" x14ac:dyDescent="0.2">
      <c r="A6549"/>
      <c r="B6549"/>
      <c r="C6549"/>
      <c r="D6549"/>
      <c r="E6549" s="2">
        <f>Comuni__2[[#This Row],[Popolazione2011]]/$D$7911</f>
        <v>2.6891909350301735E-5</v>
      </c>
      <c r="F6549">
        <f>SUMIFS($D$2:$D$7909, $B$2:$B$7909, "Sicilia")</f>
        <v>5002904</v>
      </c>
      <c r="G6549" s="1">
        <f>Comuni__2[[#This Row],[Popolazione2011]]/Comuni__2[[#This Row],[POPOLAZIONE TOTALE DI OGNI REGIONE (CON FILTRO)]]</f>
        <v>3.1941448406765349E-4</v>
      </c>
      <c r="H6549" t="str">
        <f>IF(Comuni__2[[#This Row],[Popolazione2011]]&gt;300000,"MAGGIORE","")</f>
        <v/>
      </c>
    </row>
    <row r="6550" spans="1:8" x14ac:dyDescent="0.2">
      <c r="A6550"/>
      <c r="B6550"/>
      <c r="C6550"/>
      <c r="D6550"/>
      <c r="E6550" s="2">
        <f>Comuni__2[[#This Row],[Popolazione2011]]/$D$7911</f>
        <v>2.6370226503080614E-5</v>
      </c>
      <c r="F6550">
        <f>SUMIFS($D$2:$D$7909, $B$2:$B$7909, "Sicilia")</f>
        <v>5002904</v>
      </c>
      <c r="G6550" s="1">
        <f>Comuni__2[[#This Row],[Popolazione2011]]/Comuni__2[[#This Row],[POPOLAZIONE TOTALE DI OGNI REGIONE (CON FILTRO)]]</f>
        <v>3.1321808293742996E-4</v>
      </c>
      <c r="H6550" t="str">
        <f>IF(Comuni__2[[#This Row],[Popolazione2011]]&gt;300000,"MAGGIORE","")</f>
        <v/>
      </c>
    </row>
    <row r="6551" spans="1:8" x14ac:dyDescent="0.2">
      <c r="A6551"/>
      <c r="B6551"/>
      <c r="C6551"/>
      <c r="D6551"/>
      <c r="E6551" s="2">
        <f>Comuni__2[[#This Row],[Popolazione2011]]/$D$7911</f>
        <v>2.6353398024137995E-5</v>
      </c>
      <c r="F6551">
        <f>SUMIFS($D$2:$D$7909, $B$2:$B$7909, "Sicilia")</f>
        <v>5002904</v>
      </c>
      <c r="G6551" s="1">
        <f>Comuni__2[[#This Row],[Popolazione2011]]/Comuni__2[[#This Row],[POPOLAZIONE TOTALE DI OGNI REGIONE (CON FILTRO)]]</f>
        <v>3.1301819903000339E-4</v>
      </c>
      <c r="H6551" t="str">
        <f>IF(Comuni__2[[#This Row],[Popolazione2011]]&gt;300000,"MAGGIORE","")</f>
        <v/>
      </c>
    </row>
    <row r="6552" spans="1:8" x14ac:dyDescent="0.2">
      <c r="A6552"/>
      <c r="B6552"/>
      <c r="C6552"/>
      <c r="D6552"/>
      <c r="E6552" s="2">
        <f>Comuni__2[[#This Row],[Popolazione2011]]/$D$7911</f>
        <v>2.628608410836753E-5</v>
      </c>
      <c r="F6552">
        <f>SUMIFS($D$2:$D$7909, $B$2:$B$7909, "Sicilia")</f>
        <v>5002904</v>
      </c>
      <c r="G6552" s="1">
        <f>Comuni__2[[#This Row],[Popolazione2011]]/Comuni__2[[#This Row],[POPOLAZIONE TOTALE DI OGNI REGIONE (CON FILTRO)]]</f>
        <v>3.1221866340029711E-4</v>
      </c>
      <c r="H6552" t="str">
        <f>IF(Comuni__2[[#This Row],[Popolazione2011]]&gt;300000,"MAGGIORE","")</f>
        <v/>
      </c>
    </row>
    <row r="6553" spans="1:8" x14ac:dyDescent="0.2">
      <c r="A6553"/>
      <c r="B6553"/>
      <c r="C6553"/>
      <c r="D6553"/>
      <c r="E6553" s="2">
        <f>Comuni__2[[#This Row],[Popolazione2011]]/$D$7911</f>
        <v>2.628608410836753E-5</v>
      </c>
      <c r="F6553">
        <f>SUMIFS($D$2:$D$7909, $B$2:$B$7909, "Sicilia")</f>
        <v>5002904</v>
      </c>
      <c r="G6553" s="1">
        <f>Comuni__2[[#This Row],[Popolazione2011]]/Comuni__2[[#This Row],[POPOLAZIONE TOTALE DI OGNI REGIONE (CON FILTRO)]]</f>
        <v>3.1221866340029711E-4</v>
      </c>
      <c r="H6553" t="str">
        <f>IF(Comuni__2[[#This Row],[Popolazione2011]]&gt;300000,"MAGGIORE","")</f>
        <v/>
      </c>
    </row>
    <row r="6554" spans="1:8" x14ac:dyDescent="0.2">
      <c r="A6554"/>
      <c r="B6554"/>
      <c r="C6554"/>
      <c r="D6554"/>
      <c r="E6554" s="2">
        <f>Comuni__2[[#This Row],[Popolazione2011]]/$D$7911</f>
        <v>2.6235598671539679E-5</v>
      </c>
      <c r="F6554">
        <f>SUMIFS($D$2:$D$7909, $B$2:$B$7909, "Sicilia")</f>
        <v>5002904</v>
      </c>
      <c r="G6554" s="1">
        <f>Comuni__2[[#This Row],[Popolazione2011]]/Comuni__2[[#This Row],[POPOLAZIONE TOTALE DI OGNI REGIONE (CON FILTRO)]]</f>
        <v>3.116190116780174E-4</v>
      </c>
      <c r="H6554" t="str">
        <f>IF(Comuni__2[[#This Row],[Popolazione2011]]&gt;300000,"MAGGIORE","")</f>
        <v/>
      </c>
    </row>
    <row r="6555" spans="1:8" x14ac:dyDescent="0.2">
      <c r="A6555"/>
      <c r="B6555"/>
      <c r="C6555"/>
      <c r="D6555"/>
      <c r="E6555" s="2">
        <f>Comuni__2[[#This Row],[Popolazione2011]]/$D$7911</f>
        <v>2.5814886697974255E-5</v>
      </c>
      <c r="F6555">
        <f>SUMIFS($D$2:$D$7909, $B$2:$B$7909, "Sicilia")</f>
        <v>5002904</v>
      </c>
      <c r="G6555" s="1">
        <f>Comuni__2[[#This Row],[Popolazione2011]]/Comuni__2[[#This Row],[POPOLAZIONE TOTALE DI OGNI REGIONE (CON FILTRO)]]</f>
        <v>3.0662191399235324E-4</v>
      </c>
      <c r="H6555" t="str">
        <f>IF(Comuni__2[[#This Row],[Popolazione2011]]&gt;300000,"MAGGIORE","")</f>
        <v/>
      </c>
    </row>
    <row r="6556" spans="1:8" x14ac:dyDescent="0.2">
      <c r="A6556"/>
      <c r="B6556"/>
      <c r="C6556"/>
      <c r="D6556"/>
      <c r="E6556" s="2">
        <f>Comuni__2[[#This Row],[Popolazione2011]]/$D$7911</f>
        <v>2.5612944950662855E-5</v>
      </c>
      <c r="F6556">
        <f>SUMIFS($D$2:$D$7909, $B$2:$B$7909, "Sicilia")</f>
        <v>5002904</v>
      </c>
      <c r="G6556" s="1">
        <f>Comuni__2[[#This Row],[Popolazione2011]]/Comuni__2[[#This Row],[POPOLAZIONE TOTALE DI OGNI REGIONE (CON FILTRO)]]</f>
        <v>3.0422330710323445E-4</v>
      </c>
      <c r="H6556" t="str">
        <f>IF(Comuni__2[[#This Row],[Popolazione2011]]&gt;300000,"MAGGIORE","")</f>
        <v/>
      </c>
    </row>
    <row r="6557" spans="1:8" x14ac:dyDescent="0.2">
      <c r="A6557"/>
      <c r="B6557"/>
      <c r="C6557"/>
      <c r="D6557"/>
      <c r="E6557" s="2">
        <f>Comuni__2[[#This Row],[Popolazione2011]]/$D$7911</f>
        <v>2.5192232977097435E-5</v>
      </c>
      <c r="F6557">
        <f>SUMIFS($D$2:$D$7909, $B$2:$B$7909, "Sicilia")</f>
        <v>5002904</v>
      </c>
      <c r="G6557" s="1">
        <f>Comuni__2[[#This Row],[Popolazione2011]]/Comuni__2[[#This Row],[POPOLAZIONE TOTALE DI OGNI REGIONE (CON FILTRO)]]</f>
        <v>2.9922620941757029E-4</v>
      </c>
      <c r="H6557" t="str">
        <f>IF(Comuni__2[[#This Row],[Popolazione2011]]&gt;300000,"MAGGIORE","")</f>
        <v/>
      </c>
    </row>
    <row r="6558" spans="1:8" x14ac:dyDescent="0.2">
      <c r="A6558"/>
      <c r="B6558"/>
      <c r="C6558"/>
      <c r="D6558"/>
      <c r="E6558" s="2">
        <f>Comuni__2[[#This Row],[Popolazione2011]]/$D$7911</f>
        <v>2.4805177961417247E-5</v>
      </c>
      <c r="F6558">
        <f>SUMIFS($D$2:$D$7909, $B$2:$B$7909, "Sicilia")</f>
        <v>5002904</v>
      </c>
      <c r="G6558" s="1">
        <f>Comuni__2[[#This Row],[Popolazione2011]]/Comuni__2[[#This Row],[POPOLAZIONE TOTALE DI OGNI REGIONE (CON FILTRO)]]</f>
        <v>2.9462887954675922E-4</v>
      </c>
      <c r="H6558" t="str">
        <f>IF(Comuni__2[[#This Row],[Popolazione2011]]&gt;300000,"MAGGIORE","")</f>
        <v/>
      </c>
    </row>
    <row r="6559" spans="1:8" x14ac:dyDescent="0.2">
      <c r="A6559"/>
      <c r="B6559"/>
      <c r="C6559"/>
      <c r="D6559"/>
      <c r="E6559" s="2">
        <f>Comuni__2[[#This Row],[Popolazione2011]]/$D$7911</f>
        <v>2.4754692524589395E-5</v>
      </c>
      <c r="F6559">
        <f>SUMIFS($D$2:$D$7909, $B$2:$B$7909, "Sicilia")</f>
        <v>5002904</v>
      </c>
      <c r="G6559" s="1">
        <f>Comuni__2[[#This Row],[Popolazione2011]]/Comuni__2[[#This Row],[POPOLAZIONE TOTALE DI OGNI REGIONE (CON FILTRO)]]</f>
        <v>2.9402922782447956E-4</v>
      </c>
      <c r="H6559" t="str">
        <f>IF(Comuni__2[[#This Row],[Popolazione2011]]&gt;300000,"MAGGIORE","")</f>
        <v/>
      </c>
    </row>
    <row r="6560" spans="1:8" x14ac:dyDescent="0.2">
      <c r="A6560"/>
      <c r="B6560"/>
      <c r="C6560"/>
      <c r="D6560"/>
      <c r="E6560" s="2">
        <f>Comuni__2[[#This Row],[Popolazione2011]]/$D$7911</f>
        <v>2.4165695761597804E-5</v>
      </c>
      <c r="F6560">
        <f>SUMIFS($D$2:$D$7909, $B$2:$B$7909, "Sicilia")</f>
        <v>5002904</v>
      </c>
      <c r="G6560" s="1">
        <f>Comuni__2[[#This Row],[Popolazione2011]]/Comuni__2[[#This Row],[POPOLAZIONE TOTALE DI OGNI REGIONE (CON FILTRO)]]</f>
        <v>2.870332910645497E-4</v>
      </c>
      <c r="H6560" t="str">
        <f>IF(Comuni__2[[#This Row],[Popolazione2011]]&gt;300000,"MAGGIORE","")</f>
        <v/>
      </c>
    </row>
    <row r="6561" spans="1:8" x14ac:dyDescent="0.2">
      <c r="A6561"/>
      <c r="B6561"/>
      <c r="C6561"/>
      <c r="D6561"/>
      <c r="E6561" s="2">
        <f>Comuni__2[[#This Row],[Popolazione2011]]/$D$7911</f>
        <v>2.4115210324769955E-5</v>
      </c>
      <c r="F6561">
        <f>SUMIFS($D$2:$D$7909, $B$2:$B$7909, "Sicilia")</f>
        <v>5002904</v>
      </c>
      <c r="G6561" s="1">
        <f>Comuni__2[[#This Row],[Popolazione2011]]/Comuni__2[[#This Row],[POPOLAZIONE TOTALE DI OGNI REGIONE (CON FILTRO)]]</f>
        <v>2.8643363934226999E-4</v>
      </c>
      <c r="H6561" t="str">
        <f>IF(Comuni__2[[#This Row],[Popolazione2011]]&gt;300000,"MAGGIORE","")</f>
        <v/>
      </c>
    </row>
    <row r="6562" spans="1:8" x14ac:dyDescent="0.2">
      <c r="A6562"/>
      <c r="B6562"/>
      <c r="C6562"/>
      <c r="D6562"/>
      <c r="E6562" s="2">
        <f>Comuni__2[[#This Row],[Popolazione2011]]/$D$7911</f>
        <v>2.3997410972171636E-5</v>
      </c>
      <c r="F6562">
        <f>SUMIFS($D$2:$D$7909, $B$2:$B$7909, "Sicilia")</f>
        <v>5002904</v>
      </c>
      <c r="G6562" s="1">
        <f>Comuni__2[[#This Row],[Popolazione2011]]/Comuni__2[[#This Row],[POPOLAZIONE TOTALE DI OGNI REGIONE (CON FILTRO)]]</f>
        <v>2.8503445199028405E-4</v>
      </c>
      <c r="H6562" t="str">
        <f>IF(Comuni__2[[#This Row],[Popolazione2011]]&gt;300000,"MAGGIORE","")</f>
        <v/>
      </c>
    </row>
    <row r="6563" spans="1:8" x14ac:dyDescent="0.2">
      <c r="A6563"/>
      <c r="B6563"/>
      <c r="C6563"/>
      <c r="D6563"/>
      <c r="E6563" s="2">
        <f>Comuni__2[[#This Row],[Popolazione2011]]/$D$7911</f>
        <v>2.3913268577458552E-5</v>
      </c>
      <c r="F6563">
        <f>SUMIFS($D$2:$D$7909, $B$2:$B$7909, "Sicilia")</f>
        <v>5002904</v>
      </c>
      <c r="G6563" s="1">
        <f>Comuni__2[[#This Row],[Popolazione2011]]/Comuni__2[[#This Row],[POPOLAZIONE TOTALE DI OGNI REGIONE (CON FILTRO)]]</f>
        <v>2.840350324531512E-4</v>
      </c>
      <c r="H6563" t="str">
        <f>IF(Comuni__2[[#This Row],[Popolazione2011]]&gt;300000,"MAGGIORE","")</f>
        <v/>
      </c>
    </row>
    <row r="6564" spans="1:8" x14ac:dyDescent="0.2">
      <c r="A6564"/>
      <c r="B6564"/>
      <c r="C6564"/>
      <c r="D6564"/>
      <c r="E6564" s="2">
        <f>Comuni__2[[#This Row],[Popolazione2011]]/$D$7911</f>
        <v>2.3778640745917616E-5</v>
      </c>
      <c r="F6564">
        <f>SUMIFS($D$2:$D$7909, $B$2:$B$7909, "Sicilia")</f>
        <v>5002904</v>
      </c>
      <c r="G6564" s="1">
        <f>Comuni__2[[#This Row],[Popolazione2011]]/Comuni__2[[#This Row],[POPOLAZIONE TOTALE DI OGNI REGIONE (CON FILTRO)]]</f>
        <v>2.8243596119373869E-4</v>
      </c>
      <c r="H6564" t="str">
        <f>IF(Comuni__2[[#This Row],[Popolazione2011]]&gt;300000,"MAGGIORE","")</f>
        <v/>
      </c>
    </row>
    <row r="6565" spans="1:8" x14ac:dyDescent="0.2">
      <c r="A6565"/>
      <c r="B6565"/>
      <c r="C6565"/>
      <c r="D6565"/>
      <c r="E6565" s="2">
        <f>Comuni__2[[#This Row],[Popolazione2011]]/$D$7911</f>
        <v>2.3189643982926028E-5</v>
      </c>
      <c r="F6565">
        <f>SUMIFS($D$2:$D$7909, $B$2:$B$7909, "Sicilia")</f>
        <v>5002904</v>
      </c>
      <c r="G6565" s="1">
        <f>Comuni__2[[#This Row],[Popolazione2011]]/Comuni__2[[#This Row],[POPOLAZIONE TOTALE DI OGNI REGIONE (CON FILTRO)]]</f>
        <v>2.7544002443380882E-4</v>
      </c>
      <c r="H6565" t="str">
        <f>IF(Comuni__2[[#This Row],[Popolazione2011]]&gt;300000,"MAGGIORE","")</f>
        <v/>
      </c>
    </row>
    <row r="6566" spans="1:8" x14ac:dyDescent="0.2">
      <c r="A6566"/>
      <c r="B6566"/>
      <c r="C6566"/>
      <c r="D6566"/>
      <c r="E6566" s="2">
        <f>Comuni__2[[#This Row],[Popolazione2011]]/$D$7911</f>
        <v>2.3139158546098176E-5</v>
      </c>
      <c r="F6566">
        <f>SUMIFS($D$2:$D$7909, $B$2:$B$7909, "Sicilia")</f>
        <v>5002904</v>
      </c>
      <c r="G6566" s="1">
        <f>Comuni__2[[#This Row],[Popolazione2011]]/Comuni__2[[#This Row],[POPOLAZIONE TOTALE DI OGNI REGIONE (CON FILTRO)]]</f>
        <v>2.7484037271152917E-4</v>
      </c>
      <c r="H6566" t="str">
        <f>IF(Comuni__2[[#This Row],[Popolazione2011]]&gt;300000,"MAGGIORE","")</f>
        <v/>
      </c>
    </row>
    <row r="6567" spans="1:8" x14ac:dyDescent="0.2">
      <c r="A6567"/>
      <c r="B6567"/>
      <c r="C6567"/>
      <c r="D6567"/>
      <c r="E6567" s="2">
        <f>Comuni__2[[#This Row],[Popolazione2011]]/$D$7911</f>
        <v>2.2987702235614624E-5</v>
      </c>
      <c r="F6567">
        <f>SUMIFS($D$2:$D$7909, $B$2:$B$7909, "Sicilia")</f>
        <v>5002904</v>
      </c>
      <c r="G6567" s="1">
        <f>Comuni__2[[#This Row],[Popolazione2011]]/Comuni__2[[#This Row],[POPOLAZIONE TOTALE DI OGNI REGIONE (CON FILTRO)]]</f>
        <v>2.7304141754469003E-4</v>
      </c>
      <c r="H6567" t="str">
        <f>IF(Comuni__2[[#This Row],[Popolazione2011]]&gt;300000,"MAGGIORE","")</f>
        <v/>
      </c>
    </row>
    <row r="6568" spans="1:8" x14ac:dyDescent="0.2">
      <c r="A6568"/>
      <c r="B6568"/>
      <c r="C6568"/>
      <c r="D6568"/>
      <c r="E6568" s="2">
        <f>Comuni__2[[#This Row],[Popolazione2011]]/$D$7911</f>
        <v>2.2752103530417988E-5</v>
      </c>
      <c r="F6568">
        <f>SUMIFS($D$2:$D$7909, $B$2:$B$7909, "Sicilia")</f>
        <v>5002904</v>
      </c>
      <c r="G6568" s="1">
        <f>Comuni__2[[#This Row],[Popolazione2011]]/Comuni__2[[#This Row],[POPOLAZIONE TOTALE DI OGNI REGIONE (CON FILTRO)]]</f>
        <v>2.702430428407181E-4</v>
      </c>
      <c r="H6568" t="str">
        <f>IF(Comuni__2[[#This Row],[Popolazione2011]]&gt;300000,"MAGGIORE","")</f>
        <v/>
      </c>
    </row>
    <row r="6569" spans="1:8" x14ac:dyDescent="0.2">
      <c r="A6569"/>
      <c r="B6569"/>
      <c r="C6569"/>
      <c r="D6569"/>
      <c r="E6569" s="2">
        <f>Comuni__2[[#This Row],[Popolazione2011]]/$D$7911</f>
        <v>2.2449190909450884E-5</v>
      </c>
      <c r="F6569">
        <f>SUMIFS($D$2:$D$7909, $B$2:$B$7909, "Sicilia")</f>
        <v>5002904</v>
      </c>
      <c r="G6569" s="1">
        <f>Comuni__2[[#This Row],[Popolazione2011]]/Comuni__2[[#This Row],[POPOLAZIONE TOTALE DI OGNI REGIONE (CON FILTRO)]]</f>
        <v>2.6664513250703993E-4</v>
      </c>
      <c r="H6569" t="str">
        <f>IF(Comuni__2[[#This Row],[Popolazione2011]]&gt;300000,"MAGGIORE","")</f>
        <v/>
      </c>
    </row>
    <row r="6570" spans="1:8" x14ac:dyDescent="0.2">
      <c r="A6570"/>
      <c r="B6570"/>
      <c r="C6570"/>
      <c r="D6570"/>
      <c r="E6570" s="2">
        <f>Comuni__2[[#This Row],[Popolazione2011]]/$D$7911</f>
        <v>2.2415533951565652E-5</v>
      </c>
      <c r="F6570">
        <f>SUMIFS($D$2:$D$7909, $B$2:$B$7909, "Sicilia")</f>
        <v>5002904</v>
      </c>
      <c r="G6570" s="1">
        <f>Comuni__2[[#This Row],[Popolazione2011]]/Comuni__2[[#This Row],[POPOLAZIONE TOTALE DI OGNI REGIONE (CON FILTRO)]]</f>
        <v>2.6624536469218679E-4</v>
      </c>
      <c r="H6570" t="str">
        <f>IF(Comuni__2[[#This Row],[Popolazione2011]]&gt;300000,"MAGGIORE","")</f>
        <v/>
      </c>
    </row>
    <row r="6571" spans="1:8" x14ac:dyDescent="0.2">
      <c r="A6571"/>
      <c r="B6571"/>
      <c r="C6571"/>
      <c r="D6571"/>
      <c r="E6571" s="2">
        <f>Comuni__2[[#This Row],[Popolazione2011]]/$D$7911</f>
        <v>2.172556631491836E-5</v>
      </c>
      <c r="F6571">
        <f>SUMIFS($D$2:$D$7909, $B$2:$B$7909, "Sicilia")</f>
        <v>5002904</v>
      </c>
      <c r="G6571" s="1">
        <f>Comuni__2[[#This Row],[Popolazione2011]]/Comuni__2[[#This Row],[POPOLAZIONE TOTALE DI OGNI REGIONE (CON FILTRO)]]</f>
        <v>2.5805012448769756E-4</v>
      </c>
      <c r="H6571" t="str">
        <f>IF(Comuni__2[[#This Row],[Popolazione2011]]&gt;300000,"MAGGIORE","")</f>
        <v/>
      </c>
    </row>
    <row r="6572" spans="1:8" x14ac:dyDescent="0.2">
      <c r="A6572"/>
      <c r="B6572"/>
      <c r="C6572"/>
      <c r="D6572"/>
      <c r="E6572" s="2">
        <f>Comuni__2[[#This Row],[Popolazione2011]]/$D$7911</f>
        <v>2.1658252399147892E-5</v>
      </c>
      <c r="F6572">
        <f>SUMIFS($D$2:$D$7909, $B$2:$B$7909, "Sicilia")</f>
        <v>5002904</v>
      </c>
      <c r="G6572" s="1">
        <f>Comuni__2[[#This Row],[Popolazione2011]]/Comuni__2[[#This Row],[POPOLAZIONE TOTALE DI OGNI REGIONE (CON FILTRO)]]</f>
        <v>2.5725058885799128E-4</v>
      </c>
      <c r="H6572" t="str">
        <f>IF(Comuni__2[[#This Row],[Popolazione2011]]&gt;300000,"MAGGIORE","")</f>
        <v/>
      </c>
    </row>
    <row r="6573" spans="1:8" x14ac:dyDescent="0.2">
      <c r="A6573"/>
      <c r="B6573"/>
      <c r="C6573"/>
      <c r="D6573"/>
      <c r="E6573" s="2">
        <f>Comuni__2[[#This Row],[Popolazione2011]]/$D$7911</f>
        <v>2.0699029099418733E-5</v>
      </c>
      <c r="F6573">
        <f>SUMIFS($D$2:$D$7909, $B$2:$B$7909, "Sicilia")</f>
        <v>5002904</v>
      </c>
      <c r="G6573" s="1">
        <f>Comuni__2[[#This Row],[Popolazione2011]]/Comuni__2[[#This Row],[POPOLAZIONE TOTALE DI OGNI REGIONE (CON FILTRO)]]</f>
        <v>2.4585720613467697E-4</v>
      </c>
      <c r="H6573" t="str">
        <f>IF(Comuni__2[[#This Row],[Popolazione2011]]&gt;300000,"MAGGIORE","")</f>
        <v/>
      </c>
    </row>
    <row r="6574" spans="1:8" x14ac:dyDescent="0.2">
      <c r="A6574"/>
      <c r="B6574"/>
      <c r="C6574"/>
      <c r="D6574"/>
      <c r="E6574" s="2">
        <f>Comuni__2[[#This Row],[Popolazione2011]]/$D$7911</f>
        <v>2.0362459520566397E-5</v>
      </c>
      <c r="F6574">
        <f>SUMIFS($D$2:$D$7909, $B$2:$B$7909, "Sicilia")</f>
        <v>5002904</v>
      </c>
      <c r="G6574" s="1">
        <f>Comuni__2[[#This Row],[Popolazione2011]]/Comuni__2[[#This Row],[POPOLAZIONE TOTALE DI OGNI REGIONE (CON FILTRO)]]</f>
        <v>2.4185952798614564E-4</v>
      </c>
      <c r="H6574" t="str">
        <f>IF(Comuni__2[[#This Row],[Popolazione2011]]&gt;300000,"MAGGIORE","")</f>
        <v/>
      </c>
    </row>
    <row r="6575" spans="1:8" x14ac:dyDescent="0.2">
      <c r="A6575"/>
      <c r="B6575"/>
      <c r="C6575"/>
      <c r="D6575"/>
      <c r="E6575" s="2">
        <f>Comuni__2[[#This Row],[Popolazione2011]]/$D$7911</f>
        <v>1.9403236220837233E-5</v>
      </c>
      <c r="F6575">
        <f>SUMIFS($D$2:$D$7909, $B$2:$B$7909, "Sicilia")</f>
        <v>5002904</v>
      </c>
      <c r="G6575" s="1">
        <f>Comuni__2[[#This Row],[Popolazione2011]]/Comuni__2[[#This Row],[POPOLAZIONE TOTALE DI OGNI REGIONE (CON FILTRO)]]</f>
        <v>2.3046614526283136E-4</v>
      </c>
      <c r="H6575" t="str">
        <f>IF(Comuni__2[[#This Row],[Popolazione2011]]&gt;300000,"MAGGIORE","")</f>
        <v/>
      </c>
    </row>
    <row r="6576" spans="1:8" x14ac:dyDescent="0.2">
      <c r="A6576"/>
      <c r="B6576"/>
      <c r="C6576"/>
      <c r="D6576"/>
      <c r="E6576" s="2">
        <f>Comuni__2[[#This Row],[Popolazione2011]]/$D$7911</f>
        <v>1.9335922305066769E-5</v>
      </c>
      <c r="F6576">
        <f>SUMIFS($D$2:$D$7909, $B$2:$B$7909, "Sicilia")</f>
        <v>5002904</v>
      </c>
      <c r="G6576" s="1">
        <f>Comuni__2[[#This Row],[Popolazione2011]]/Comuni__2[[#This Row],[POPOLAZIONE TOTALE DI OGNI REGIONE (CON FILTRO)]]</f>
        <v>2.2966660963312508E-4</v>
      </c>
      <c r="H6576" t="str">
        <f>IF(Comuni__2[[#This Row],[Popolazione2011]]&gt;300000,"MAGGIORE","")</f>
        <v/>
      </c>
    </row>
    <row r="6577" spans="1:8" x14ac:dyDescent="0.2">
      <c r="A6577"/>
      <c r="B6577"/>
      <c r="C6577"/>
      <c r="D6577"/>
      <c r="E6577" s="2">
        <f>Comuni__2[[#This Row],[Popolazione2011]]/$D$7911</f>
        <v>1.9167637515640597E-5</v>
      </c>
      <c r="F6577">
        <f>SUMIFS($D$2:$D$7909, $B$2:$B$7909, "Sicilia")</f>
        <v>5002904</v>
      </c>
      <c r="G6577" s="1">
        <f>Comuni__2[[#This Row],[Popolazione2011]]/Comuni__2[[#This Row],[POPOLAZIONE TOTALE DI OGNI REGIONE (CON FILTRO)]]</f>
        <v>2.2766777055885942E-4</v>
      </c>
      <c r="H6577" t="str">
        <f>IF(Comuni__2[[#This Row],[Popolazione2011]]&gt;300000,"MAGGIORE","")</f>
        <v/>
      </c>
    </row>
    <row r="6578" spans="1:8" x14ac:dyDescent="0.2">
      <c r="A6578"/>
      <c r="B6578"/>
      <c r="C6578"/>
      <c r="D6578"/>
      <c r="E6578" s="2">
        <f>Comuni__2[[#This Row],[Popolazione2011]]/$D$7911</f>
        <v>1.8982524247271813E-5</v>
      </c>
      <c r="F6578">
        <f>SUMIFS($D$2:$D$7909, $B$2:$B$7909, "Sicilia")</f>
        <v>5002904</v>
      </c>
      <c r="G6578" s="1">
        <f>Comuni__2[[#This Row],[Popolazione2011]]/Comuni__2[[#This Row],[POPOLAZIONE TOTALE DI OGNI REGIONE (CON FILTRO)]]</f>
        <v>2.2546904757716717E-4</v>
      </c>
      <c r="H6578" t="str">
        <f>IF(Comuni__2[[#This Row],[Popolazione2011]]&gt;300000,"MAGGIORE","")</f>
        <v/>
      </c>
    </row>
    <row r="6579" spans="1:8" x14ac:dyDescent="0.2">
      <c r="A6579"/>
      <c r="B6579"/>
      <c r="C6579"/>
      <c r="D6579"/>
      <c r="E6579" s="2">
        <f>Comuni__2[[#This Row],[Popolazione2011]]/$D$7911</f>
        <v>1.8595469231591625E-5</v>
      </c>
      <c r="F6579">
        <f>SUMIFS($D$2:$D$7909, $B$2:$B$7909, "Sicilia")</f>
        <v>5002904</v>
      </c>
      <c r="G6579" s="1">
        <f>Comuni__2[[#This Row],[Popolazione2011]]/Comuni__2[[#This Row],[POPOLAZIONE TOTALE DI OGNI REGIONE (CON FILTRO)]]</f>
        <v>2.2087171770635616E-4</v>
      </c>
      <c r="H6579" t="str">
        <f>IF(Comuni__2[[#This Row],[Popolazione2011]]&gt;300000,"MAGGIORE","")</f>
        <v/>
      </c>
    </row>
    <row r="6580" spans="1:8" x14ac:dyDescent="0.2">
      <c r="A6580"/>
      <c r="B6580"/>
      <c r="C6580"/>
      <c r="D6580"/>
      <c r="E6580" s="2">
        <f>Comuni__2[[#This Row],[Popolazione2011]]/$D$7911</f>
        <v>1.8343042047452373E-5</v>
      </c>
      <c r="F6580">
        <f>SUMIFS($D$2:$D$7909, $B$2:$B$7909, "Sicilia")</f>
        <v>5002904</v>
      </c>
      <c r="G6580" s="1">
        <f>Comuni__2[[#This Row],[Popolazione2011]]/Comuni__2[[#This Row],[POPOLAZIONE TOTALE DI OGNI REGIONE (CON FILTRO)]]</f>
        <v>2.1787345909495765E-4</v>
      </c>
      <c r="H6580" t="str">
        <f>IF(Comuni__2[[#This Row],[Popolazione2011]]&gt;300000,"MAGGIORE","")</f>
        <v/>
      </c>
    </row>
    <row r="6581" spans="1:8" x14ac:dyDescent="0.2">
      <c r="A6581"/>
      <c r="B6581"/>
      <c r="C6581"/>
      <c r="D6581"/>
      <c r="E6581" s="2">
        <f>Comuni__2[[#This Row],[Popolazione2011]]/$D$7911</f>
        <v>1.8225242694854054E-5</v>
      </c>
      <c r="F6581">
        <f>SUMIFS($D$2:$D$7909, $B$2:$B$7909, "Sicilia")</f>
        <v>5002904</v>
      </c>
      <c r="G6581" s="1">
        <f>Comuni__2[[#This Row],[Popolazione2011]]/Comuni__2[[#This Row],[POPOLAZIONE TOTALE DI OGNI REGIONE (CON FILTRO)]]</f>
        <v>2.1647427174297169E-4</v>
      </c>
      <c r="H6581" t="str">
        <f>IF(Comuni__2[[#This Row],[Popolazione2011]]&gt;300000,"MAGGIORE","")</f>
        <v/>
      </c>
    </row>
    <row r="6582" spans="1:8" x14ac:dyDescent="0.2">
      <c r="A6582"/>
      <c r="B6582"/>
      <c r="C6582"/>
      <c r="D6582"/>
      <c r="E6582" s="2">
        <f>Comuni__2[[#This Row],[Popolazione2011]]/$D$7911</f>
        <v>1.8056957905427886E-5</v>
      </c>
      <c r="F6582">
        <f>SUMIFS($D$2:$D$7909, $B$2:$B$7909, "Sicilia")</f>
        <v>5002904</v>
      </c>
      <c r="G6582" s="1">
        <f>Comuni__2[[#This Row],[Popolazione2011]]/Comuni__2[[#This Row],[POPOLAZIONE TOTALE DI OGNI REGIONE (CON FILTRO)]]</f>
        <v>2.1447543266870601E-4</v>
      </c>
      <c r="H6582" t="str">
        <f>IF(Comuni__2[[#This Row],[Popolazione2011]]&gt;300000,"MAGGIORE","")</f>
        <v/>
      </c>
    </row>
    <row r="6583" spans="1:8" x14ac:dyDescent="0.2">
      <c r="A6583"/>
      <c r="B6583"/>
      <c r="C6583"/>
      <c r="D6583"/>
      <c r="E6583" s="2">
        <f>Comuni__2[[#This Row],[Popolazione2011]]/$D$7911</f>
        <v>1.7955987031772185E-5</v>
      </c>
      <c r="F6583">
        <f>SUMIFS($D$2:$D$7909, $B$2:$B$7909, "Sicilia")</f>
        <v>5002904</v>
      </c>
      <c r="G6583" s="1">
        <f>Comuni__2[[#This Row],[Popolazione2011]]/Comuni__2[[#This Row],[POPOLAZIONE TOTALE DI OGNI REGIONE (CON FILTRO)]]</f>
        <v>2.1327612922414661E-4</v>
      </c>
      <c r="H6583" t="str">
        <f>IF(Comuni__2[[#This Row],[Popolazione2011]]&gt;300000,"MAGGIORE","")</f>
        <v/>
      </c>
    </row>
    <row r="6584" spans="1:8" x14ac:dyDescent="0.2">
      <c r="A6584"/>
      <c r="B6584"/>
      <c r="C6584"/>
      <c r="D6584"/>
      <c r="E6584" s="2">
        <f>Comuni__2[[#This Row],[Popolazione2011]]/$D$7911</f>
        <v>1.792233007388695E-5</v>
      </c>
      <c r="F6584">
        <f>SUMIFS($D$2:$D$7909, $B$2:$B$7909, "Sicilia")</f>
        <v>5002904</v>
      </c>
      <c r="G6584" s="1">
        <f>Comuni__2[[#This Row],[Popolazione2011]]/Comuni__2[[#This Row],[POPOLAZIONE TOTALE DI OGNI REGIONE (CON FILTRO)]]</f>
        <v>2.1287636140929347E-4</v>
      </c>
      <c r="H6584" t="str">
        <f>IF(Comuni__2[[#This Row],[Popolazione2011]]&gt;300000,"MAGGIORE","")</f>
        <v/>
      </c>
    </row>
    <row r="6585" spans="1:8" x14ac:dyDescent="0.2">
      <c r="A6585"/>
      <c r="B6585"/>
      <c r="C6585"/>
      <c r="D6585"/>
      <c r="E6585" s="2">
        <f>Comuni__2[[#This Row],[Popolazione2011]]/$D$7911</f>
        <v>1.7518446579264146E-5</v>
      </c>
      <c r="F6585">
        <f>SUMIFS($D$2:$D$7909, $B$2:$B$7909, "Sicilia")</f>
        <v>5002904</v>
      </c>
      <c r="G6585" s="1">
        <f>Comuni__2[[#This Row],[Popolazione2011]]/Comuni__2[[#This Row],[POPOLAZIONE TOTALE DI OGNI REGIONE (CON FILTRO)]]</f>
        <v>2.0807914763105588E-4</v>
      </c>
      <c r="H6585" t="str">
        <f>IF(Comuni__2[[#This Row],[Popolazione2011]]&gt;300000,"MAGGIORE","")</f>
        <v/>
      </c>
    </row>
    <row r="6586" spans="1:8" x14ac:dyDescent="0.2">
      <c r="A6586"/>
      <c r="B6586"/>
      <c r="C6586"/>
      <c r="D6586"/>
      <c r="E6586" s="2">
        <f>Comuni__2[[#This Row],[Popolazione2011]]/$D$7911</f>
        <v>1.7148220042526578E-5</v>
      </c>
      <c r="F6586">
        <f>SUMIFS($D$2:$D$7909, $B$2:$B$7909, "Sicilia")</f>
        <v>5002904</v>
      </c>
      <c r="G6586" s="1">
        <f>Comuni__2[[#This Row],[Popolazione2011]]/Comuni__2[[#This Row],[POPOLAZIONE TOTALE DI OGNI REGIONE (CON FILTRO)]]</f>
        <v>2.0368170166767141E-4</v>
      </c>
      <c r="H6586" t="str">
        <f>IF(Comuni__2[[#This Row],[Popolazione2011]]&gt;300000,"MAGGIORE","")</f>
        <v/>
      </c>
    </row>
    <row r="6587" spans="1:8" x14ac:dyDescent="0.2">
      <c r="A6587"/>
      <c r="B6587"/>
      <c r="C6587"/>
      <c r="D6587"/>
      <c r="E6587" s="2">
        <f>Comuni__2[[#This Row],[Popolazione2011]]/$D$7911</f>
        <v>1.6946278295215174E-5</v>
      </c>
      <c r="F6587">
        <f>SUMIFS($D$2:$D$7909, $B$2:$B$7909, "Sicilia")</f>
        <v>5002904</v>
      </c>
      <c r="G6587" s="1">
        <f>Comuni__2[[#This Row],[Popolazione2011]]/Comuni__2[[#This Row],[POPOLAZIONE TOTALE DI OGNI REGIONE (CON FILTRO)]]</f>
        <v>2.0128309477855262E-4</v>
      </c>
      <c r="H6587" t="str">
        <f>IF(Comuni__2[[#This Row],[Popolazione2011]]&gt;300000,"MAGGIORE","")</f>
        <v/>
      </c>
    </row>
    <row r="6588" spans="1:8" x14ac:dyDescent="0.2">
      <c r="A6588"/>
      <c r="B6588"/>
      <c r="C6588"/>
      <c r="D6588"/>
      <c r="E6588" s="2">
        <f>Comuni__2[[#This Row],[Popolazione2011]]/$D$7911</f>
        <v>1.6828478942616854E-5</v>
      </c>
      <c r="F6588">
        <f>SUMIFS($D$2:$D$7909, $B$2:$B$7909, "Sicilia")</f>
        <v>5002904</v>
      </c>
      <c r="G6588" s="1">
        <f>Comuni__2[[#This Row],[Popolazione2011]]/Comuni__2[[#This Row],[POPOLAZIONE TOTALE DI OGNI REGIONE (CON FILTRO)]]</f>
        <v>1.9988390742656665E-4</v>
      </c>
      <c r="H6588" t="str">
        <f>IF(Comuni__2[[#This Row],[Popolazione2011]]&gt;300000,"MAGGIORE","")</f>
        <v/>
      </c>
    </row>
    <row r="6589" spans="1:8" x14ac:dyDescent="0.2">
      <c r="A6589"/>
      <c r="B6589"/>
      <c r="C6589"/>
      <c r="D6589"/>
      <c r="E6589" s="2">
        <f>Comuni__2[[#This Row],[Popolazione2011]]/$D$7911</f>
        <v>1.6693851111075922E-5</v>
      </c>
      <c r="F6589">
        <f>SUMIFS($D$2:$D$7909, $B$2:$B$7909, "Sicilia")</f>
        <v>5002904</v>
      </c>
      <c r="G6589" s="1">
        <f>Comuni__2[[#This Row],[Popolazione2011]]/Comuni__2[[#This Row],[POPOLAZIONE TOTALE DI OGNI REGIONE (CON FILTRO)]]</f>
        <v>1.9828483616715411E-4</v>
      </c>
      <c r="H6589" t="str">
        <f>IF(Comuni__2[[#This Row],[Popolazione2011]]&gt;300000,"MAGGIORE","")</f>
        <v/>
      </c>
    </row>
    <row r="6590" spans="1:8" x14ac:dyDescent="0.2">
      <c r="A6590"/>
      <c r="B6590"/>
      <c r="C6590"/>
      <c r="D6590"/>
      <c r="E6590" s="2">
        <f>Comuni__2[[#This Row],[Popolazione2011]]/$D$7911</f>
        <v>1.6626537195305454E-5</v>
      </c>
      <c r="F6590">
        <f>SUMIFS($D$2:$D$7909, $B$2:$B$7909, "Sicilia")</f>
        <v>5002904</v>
      </c>
      <c r="G6590" s="1">
        <f>Comuni__2[[#This Row],[Popolazione2011]]/Comuni__2[[#This Row],[POPOLAZIONE TOTALE DI OGNI REGIONE (CON FILTRO)]]</f>
        <v>1.9748530053744786E-4</v>
      </c>
      <c r="H6590" t="str">
        <f>IF(Comuni__2[[#This Row],[Popolazione2011]]&gt;300000,"MAGGIORE","")</f>
        <v/>
      </c>
    </row>
    <row r="6591" spans="1:8" x14ac:dyDescent="0.2">
      <c r="A6591"/>
      <c r="B6591"/>
      <c r="C6591"/>
      <c r="D6591"/>
      <c r="E6591" s="2">
        <f>Comuni__2[[#This Row],[Popolazione2011]]/$D$7911</f>
        <v>1.5886084121830311E-5</v>
      </c>
      <c r="F6591">
        <f>SUMIFS($D$2:$D$7909, $B$2:$B$7909, "Sicilia")</f>
        <v>5002904</v>
      </c>
      <c r="G6591" s="1">
        <f>Comuni__2[[#This Row],[Popolazione2011]]/Comuni__2[[#This Row],[POPOLAZIONE TOTALE DI OGNI REGIONE (CON FILTRO)]]</f>
        <v>1.8869040861067891E-4</v>
      </c>
      <c r="H6591" t="str">
        <f>IF(Comuni__2[[#This Row],[Popolazione2011]]&gt;300000,"MAGGIORE","")</f>
        <v/>
      </c>
    </row>
    <row r="6592" spans="1:8" x14ac:dyDescent="0.2">
      <c r="A6592"/>
      <c r="B6592"/>
      <c r="C6592"/>
      <c r="D6592"/>
      <c r="E6592" s="2">
        <f>Comuni__2[[#This Row],[Popolazione2011]]/$D$7911</f>
        <v>1.5700970853461526E-5</v>
      </c>
      <c r="F6592">
        <f>SUMIFS($D$2:$D$7909, $B$2:$B$7909, "Sicilia")</f>
        <v>5002904</v>
      </c>
      <c r="G6592" s="1">
        <f>Comuni__2[[#This Row],[Popolazione2011]]/Comuni__2[[#This Row],[POPOLAZIONE TOTALE DI OGNI REGIONE (CON FILTRO)]]</f>
        <v>1.8649168562898669E-4</v>
      </c>
      <c r="H6592" t="str">
        <f>IF(Comuni__2[[#This Row],[Popolazione2011]]&gt;300000,"MAGGIORE","")</f>
        <v/>
      </c>
    </row>
    <row r="6593" spans="1:8" x14ac:dyDescent="0.2">
      <c r="A6593"/>
      <c r="B6593"/>
      <c r="C6593"/>
      <c r="D6593"/>
      <c r="E6593" s="2">
        <f>Comuni__2[[#This Row],[Popolazione2011]]/$D$7911</f>
        <v>1.5566343021920591E-5</v>
      </c>
      <c r="F6593">
        <f>SUMIFS($D$2:$D$7909, $B$2:$B$7909, "Sicilia")</f>
        <v>5002904</v>
      </c>
      <c r="G6593" s="1">
        <f>Comuni__2[[#This Row],[Popolazione2011]]/Comuni__2[[#This Row],[POPOLAZIONE TOTALE DI OGNI REGIONE (CON FILTRO)]]</f>
        <v>1.8489261436957415E-4</v>
      </c>
      <c r="H6593" t="str">
        <f>IF(Comuni__2[[#This Row],[Popolazione2011]]&gt;300000,"MAGGIORE","")</f>
        <v/>
      </c>
    </row>
    <row r="6594" spans="1:8" x14ac:dyDescent="0.2">
      <c r="A6594"/>
      <c r="B6594"/>
      <c r="C6594"/>
      <c r="D6594"/>
      <c r="E6594" s="2">
        <f>Comuni__2[[#This Row],[Popolazione2011]]/$D$7911</f>
        <v>1.5263430400953487E-5</v>
      </c>
      <c r="F6594">
        <f>SUMIFS($D$2:$D$7909, $B$2:$B$7909, "Sicilia")</f>
        <v>5002904</v>
      </c>
      <c r="G6594" s="1">
        <f>Comuni__2[[#This Row],[Popolazione2011]]/Comuni__2[[#This Row],[POPOLAZIONE TOTALE DI OGNI REGIONE (CON FILTRO)]]</f>
        <v>1.8129470403589596E-4</v>
      </c>
      <c r="H6594" t="str">
        <f>IF(Comuni__2[[#This Row],[Popolazione2011]]&gt;300000,"MAGGIORE","")</f>
        <v/>
      </c>
    </row>
    <row r="6595" spans="1:8" x14ac:dyDescent="0.2">
      <c r="A6595"/>
      <c r="B6595"/>
      <c r="C6595"/>
      <c r="D6595"/>
      <c r="E6595" s="2">
        <f>Comuni__2[[#This Row],[Popolazione2011]]/$D$7911</f>
        <v>1.5145631048355171E-5</v>
      </c>
      <c r="F6595">
        <f>SUMIFS($D$2:$D$7909, $B$2:$B$7909, "Sicilia")</f>
        <v>5002904</v>
      </c>
      <c r="G6595" s="1">
        <f>Comuni__2[[#This Row],[Popolazione2011]]/Comuni__2[[#This Row],[POPOLAZIONE TOTALE DI OGNI REGIONE (CON FILTRO)]]</f>
        <v>1.7989551668391E-4</v>
      </c>
      <c r="H6595" t="str">
        <f>IF(Comuni__2[[#This Row],[Popolazione2011]]&gt;300000,"MAGGIORE","")</f>
        <v/>
      </c>
    </row>
    <row r="6596" spans="1:8" x14ac:dyDescent="0.2">
      <c r="A6596"/>
      <c r="B6596"/>
      <c r="C6596"/>
      <c r="D6596"/>
      <c r="E6596" s="2">
        <f>Comuni__2[[#This Row],[Popolazione2011]]/$D$7911</f>
        <v>1.5011003216814235E-5</v>
      </c>
      <c r="F6596">
        <f>SUMIFS($D$2:$D$7909, $B$2:$B$7909, "Sicilia")</f>
        <v>5002904</v>
      </c>
      <c r="G6596" s="1">
        <f>Comuni__2[[#This Row],[Popolazione2011]]/Comuni__2[[#This Row],[POPOLAZIONE TOTALE DI OGNI REGIONE (CON FILTRO)]]</f>
        <v>1.7829644542449746E-4</v>
      </c>
      <c r="H6596" t="str">
        <f>IF(Comuni__2[[#This Row],[Popolazione2011]]&gt;300000,"MAGGIORE","")</f>
        <v/>
      </c>
    </row>
    <row r="6597" spans="1:8" x14ac:dyDescent="0.2">
      <c r="A6597"/>
      <c r="B6597"/>
      <c r="C6597"/>
      <c r="D6597"/>
      <c r="E6597" s="2">
        <f>Comuni__2[[#This Row],[Popolazione2011]]/$D$7911</f>
        <v>1.4842718427388067E-5</v>
      </c>
      <c r="F6597">
        <f>SUMIFS($D$2:$D$7909, $B$2:$B$7909, "Sicilia")</f>
        <v>5002904</v>
      </c>
      <c r="G6597" s="1">
        <f>Comuni__2[[#This Row],[Popolazione2011]]/Comuni__2[[#This Row],[POPOLAZIONE TOTALE DI OGNI REGIONE (CON FILTRO)]]</f>
        <v>1.7629760635023178E-4</v>
      </c>
      <c r="H6597" t="str">
        <f>IF(Comuni__2[[#This Row],[Popolazione2011]]&gt;300000,"MAGGIORE","")</f>
        <v/>
      </c>
    </row>
    <row r="6598" spans="1:8" x14ac:dyDescent="0.2">
      <c r="A6598"/>
      <c r="B6598"/>
      <c r="C6598"/>
      <c r="D6598"/>
      <c r="E6598" s="2">
        <f>Comuni__2[[#This Row],[Popolazione2011]]/$D$7911</f>
        <v>1.4775404511617599E-5</v>
      </c>
      <c r="F6598">
        <f>SUMIFS($D$2:$D$7909, $B$2:$B$7909, "Sicilia")</f>
        <v>5002904</v>
      </c>
      <c r="G6598" s="1">
        <f>Comuni__2[[#This Row],[Popolazione2011]]/Comuni__2[[#This Row],[POPOLAZIONE TOTALE DI OGNI REGIONE (CON FILTRO)]]</f>
        <v>1.7549807072052552E-4</v>
      </c>
      <c r="H6598" t="str">
        <f>IF(Comuni__2[[#This Row],[Popolazione2011]]&gt;300000,"MAGGIORE","")</f>
        <v/>
      </c>
    </row>
    <row r="6599" spans="1:8" x14ac:dyDescent="0.2">
      <c r="A6599"/>
      <c r="B6599"/>
      <c r="C6599"/>
      <c r="D6599"/>
      <c r="E6599" s="2">
        <f>Comuni__2[[#This Row],[Popolazione2011]]/$D$7911</f>
        <v>1.4018122959199841E-5</v>
      </c>
      <c r="F6599">
        <f>SUMIFS($D$2:$D$7909, $B$2:$B$7909, "Sicilia")</f>
        <v>5002904</v>
      </c>
      <c r="G6599" s="1">
        <f>Comuni__2[[#This Row],[Popolazione2011]]/Comuni__2[[#This Row],[POPOLAZIONE TOTALE DI OGNI REGIONE (CON FILTRO)]]</f>
        <v>1.6650329488633001E-4</v>
      </c>
      <c r="H6599" t="str">
        <f>IF(Comuni__2[[#This Row],[Popolazione2011]]&gt;300000,"MAGGIORE","")</f>
        <v/>
      </c>
    </row>
    <row r="6600" spans="1:8" x14ac:dyDescent="0.2">
      <c r="A6600"/>
      <c r="B6600"/>
      <c r="C6600"/>
      <c r="D6600"/>
      <c r="E6600" s="2">
        <f>Comuni__2[[#This Row],[Popolazione2011]]/$D$7911</f>
        <v>1.3950809043429373E-5</v>
      </c>
      <c r="F6600">
        <f>SUMIFS($D$2:$D$7909, $B$2:$B$7909, "Sicilia")</f>
        <v>5002904</v>
      </c>
      <c r="G6600" s="1">
        <f>Comuni__2[[#This Row],[Popolazione2011]]/Comuni__2[[#This Row],[POPOLAZIONE TOTALE DI OGNI REGIONE (CON FILTRO)]]</f>
        <v>1.6570375925662375E-4</v>
      </c>
      <c r="H6600" t="str">
        <f>IF(Comuni__2[[#This Row],[Popolazione2011]]&gt;300000,"MAGGIORE","")</f>
        <v/>
      </c>
    </row>
    <row r="6601" spans="1:8" x14ac:dyDescent="0.2">
      <c r="A6601"/>
      <c r="B6601"/>
      <c r="C6601"/>
      <c r="D6601"/>
      <c r="E6601" s="2">
        <f>Comuni__2[[#This Row],[Popolazione2011]]/$D$7911</f>
        <v>1.3933980564486757E-5</v>
      </c>
      <c r="F6601">
        <f>SUMIFS($D$2:$D$7909, $B$2:$B$7909, "Sicilia")</f>
        <v>5002904</v>
      </c>
      <c r="G6601" s="1">
        <f>Comuni__2[[#This Row],[Popolazione2011]]/Comuni__2[[#This Row],[POPOLAZIONE TOTALE DI OGNI REGIONE (CON FILTRO)]]</f>
        <v>1.6550387534919718E-4</v>
      </c>
      <c r="H6601" t="str">
        <f>IF(Comuni__2[[#This Row],[Popolazione2011]]&gt;300000,"MAGGIORE","")</f>
        <v/>
      </c>
    </row>
    <row r="6602" spans="1:8" x14ac:dyDescent="0.2">
      <c r="A6602"/>
      <c r="B6602"/>
      <c r="C6602"/>
      <c r="D6602"/>
      <c r="E6602" s="2">
        <f>Comuni__2[[#This Row],[Popolazione2011]]/$D$7911</f>
        <v>1.3849838169773673E-5</v>
      </c>
      <c r="F6602">
        <f>SUMIFS($D$2:$D$7909, $B$2:$B$7909, "Sicilia")</f>
        <v>5002904</v>
      </c>
      <c r="G6602" s="1">
        <f>Comuni__2[[#This Row],[Popolazione2011]]/Comuni__2[[#This Row],[POPOLAZIONE TOTALE DI OGNI REGIONE (CON FILTRO)]]</f>
        <v>1.6450445581206436E-4</v>
      </c>
      <c r="H6602" t="str">
        <f>IF(Comuni__2[[#This Row],[Popolazione2011]]&gt;300000,"MAGGIORE","")</f>
        <v/>
      </c>
    </row>
    <row r="6603" spans="1:8" x14ac:dyDescent="0.2">
      <c r="A6603"/>
      <c r="B6603"/>
      <c r="C6603"/>
      <c r="D6603"/>
      <c r="E6603" s="2">
        <f>Comuni__2[[#This Row],[Popolazione2011]]/$D$7911</f>
        <v>1.3681553380347503E-5</v>
      </c>
      <c r="F6603">
        <f>SUMIFS($D$2:$D$7909, $B$2:$B$7909, "Sicilia")</f>
        <v>5002904</v>
      </c>
      <c r="G6603" s="1">
        <f>Comuni__2[[#This Row],[Popolazione2011]]/Comuni__2[[#This Row],[POPOLAZIONE TOTALE DI OGNI REGIONE (CON FILTRO)]]</f>
        <v>1.6250561673779868E-4</v>
      </c>
      <c r="H6603" t="str">
        <f>IF(Comuni__2[[#This Row],[Popolazione2011]]&gt;300000,"MAGGIORE","")</f>
        <v/>
      </c>
    </row>
    <row r="6604" spans="1:8" x14ac:dyDescent="0.2">
      <c r="A6604"/>
      <c r="B6604"/>
      <c r="C6604"/>
      <c r="D6604"/>
      <c r="E6604" s="2">
        <f>Comuni__2[[#This Row],[Popolazione2011]]/$D$7911</f>
        <v>1.3361812280437783E-5</v>
      </c>
      <c r="F6604">
        <f>SUMIFS($D$2:$D$7909, $B$2:$B$7909, "Sicilia")</f>
        <v>5002904</v>
      </c>
      <c r="G6604" s="1">
        <f>Comuni__2[[#This Row],[Popolazione2011]]/Comuni__2[[#This Row],[POPOLAZIONE TOTALE DI OGNI REGIONE (CON FILTRO)]]</f>
        <v>1.5870782249669392E-4</v>
      </c>
      <c r="H6604" t="str">
        <f>IF(Comuni__2[[#This Row],[Popolazione2011]]&gt;300000,"MAGGIORE","")</f>
        <v/>
      </c>
    </row>
    <row r="6605" spans="1:8" x14ac:dyDescent="0.2">
      <c r="A6605"/>
      <c r="B6605"/>
      <c r="C6605"/>
      <c r="D6605"/>
      <c r="E6605" s="2">
        <f>Comuni__2[[#This Row],[Popolazione2011]]/$D$7911</f>
        <v>1.2722330080618343E-5</v>
      </c>
      <c r="F6605">
        <f>SUMIFS($D$2:$D$7909, $B$2:$B$7909, "Sicilia")</f>
        <v>5002904</v>
      </c>
      <c r="G6605" s="1">
        <f>Comuni__2[[#This Row],[Popolazione2011]]/Comuni__2[[#This Row],[POPOLAZIONE TOTALE DI OGNI REGIONE (CON FILTRO)]]</f>
        <v>1.511122340144844E-4</v>
      </c>
      <c r="H6605" t="str">
        <f>IF(Comuni__2[[#This Row],[Popolazione2011]]&gt;300000,"MAGGIORE","")</f>
        <v/>
      </c>
    </row>
    <row r="6606" spans="1:8" x14ac:dyDescent="0.2">
      <c r="A6606"/>
      <c r="B6606"/>
      <c r="C6606"/>
      <c r="D6606"/>
      <c r="E6606" s="2">
        <f>Comuni__2[[#This Row],[Popolazione2011]]/$D$7911</f>
        <v>1.2705501601675726E-5</v>
      </c>
      <c r="F6606">
        <f>SUMIFS($D$2:$D$7909, $B$2:$B$7909, "Sicilia")</f>
        <v>5002904</v>
      </c>
      <c r="G6606" s="1">
        <f>Comuni__2[[#This Row],[Popolazione2011]]/Comuni__2[[#This Row],[POPOLAZIONE TOTALE DI OGNI REGIONE (CON FILTRO)]]</f>
        <v>1.5091235010705783E-4</v>
      </c>
      <c r="H6606" t="str">
        <f>IF(Comuni__2[[#This Row],[Popolazione2011]]&gt;300000,"MAGGIORE","")</f>
        <v/>
      </c>
    </row>
    <row r="6607" spans="1:8" x14ac:dyDescent="0.2">
      <c r="A6607"/>
      <c r="B6607"/>
      <c r="C6607"/>
      <c r="D6607"/>
      <c r="E6607" s="2">
        <f>Comuni__2[[#This Row],[Popolazione2011]]/$D$7911</f>
        <v>1.1965048528200584E-5</v>
      </c>
      <c r="F6607">
        <f>SUMIFS($D$2:$D$7909, $B$2:$B$7909, "Sicilia")</f>
        <v>5002904</v>
      </c>
      <c r="G6607" s="1">
        <f>Comuni__2[[#This Row],[Popolazione2011]]/Comuni__2[[#This Row],[POPOLAZIONE TOTALE DI OGNI REGIONE (CON FILTRO)]]</f>
        <v>1.4211745818028888E-4</v>
      </c>
      <c r="H6607" t="str">
        <f>IF(Comuni__2[[#This Row],[Popolazione2011]]&gt;300000,"MAGGIORE","")</f>
        <v/>
      </c>
    </row>
    <row r="6608" spans="1:8" x14ac:dyDescent="0.2">
      <c r="A6608"/>
      <c r="B6608"/>
      <c r="C6608"/>
      <c r="D6608"/>
      <c r="E6608" s="2">
        <f>Comuni__2[[#This Row],[Popolazione2011]]/$D$7911</f>
        <v>1.1813592217717032E-5</v>
      </c>
      <c r="F6608">
        <f>SUMIFS($D$2:$D$7909, $B$2:$B$7909, "Sicilia")</f>
        <v>5002904</v>
      </c>
      <c r="G6608" s="1">
        <f>Comuni__2[[#This Row],[Popolazione2011]]/Comuni__2[[#This Row],[POPOLAZIONE TOTALE DI OGNI REGIONE (CON FILTRO)]]</f>
        <v>1.4031850301344978E-4</v>
      </c>
      <c r="H6608" t="str">
        <f>IF(Comuni__2[[#This Row],[Popolazione2011]]&gt;300000,"MAGGIORE","")</f>
        <v/>
      </c>
    </row>
    <row r="6609" spans="1:8" x14ac:dyDescent="0.2">
      <c r="A6609"/>
      <c r="B6609"/>
      <c r="C6609"/>
      <c r="D6609"/>
      <c r="E6609" s="2">
        <f>Comuni__2[[#This Row],[Popolazione2011]]/$D$7911</f>
        <v>1.1426537202036846E-5</v>
      </c>
      <c r="F6609">
        <f>SUMIFS($D$2:$D$7909, $B$2:$B$7909, "Sicilia")</f>
        <v>5002904</v>
      </c>
      <c r="G6609" s="1">
        <f>Comuni__2[[#This Row],[Popolazione2011]]/Comuni__2[[#This Row],[POPOLAZIONE TOTALE DI OGNI REGIONE (CON FILTRO)]]</f>
        <v>1.3572117314263876E-4</v>
      </c>
      <c r="H6609" t="str">
        <f>IF(Comuni__2[[#This Row],[Popolazione2011]]&gt;300000,"MAGGIORE","")</f>
        <v/>
      </c>
    </row>
    <row r="6610" spans="1:8" x14ac:dyDescent="0.2">
      <c r="A6610"/>
      <c r="B6610"/>
      <c r="C6610"/>
      <c r="D6610"/>
      <c r="E6610" s="2">
        <f>Comuni__2[[#This Row],[Popolazione2011]]/$D$7911</f>
        <v>1.0988996749528806E-5</v>
      </c>
      <c r="F6610">
        <f>SUMIFS($D$2:$D$7909, $B$2:$B$7909, "Sicilia")</f>
        <v>5002904</v>
      </c>
      <c r="G6610" s="1">
        <f>Comuni__2[[#This Row],[Popolazione2011]]/Comuni__2[[#This Row],[POPOLAZIONE TOTALE DI OGNI REGIONE (CON FILTRO)]]</f>
        <v>1.3052419154954803E-4</v>
      </c>
      <c r="H6610" t="str">
        <f>IF(Comuni__2[[#This Row],[Popolazione2011]]&gt;300000,"MAGGIORE","")</f>
        <v/>
      </c>
    </row>
    <row r="6611" spans="1:8" x14ac:dyDescent="0.2">
      <c r="A6611"/>
      <c r="B6611"/>
      <c r="C6611"/>
      <c r="D6611"/>
      <c r="E6611" s="2">
        <f>Comuni__2[[#This Row],[Popolazione2011]]/$D$7911</f>
        <v>1.0585113254906002E-5</v>
      </c>
      <c r="F6611">
        <f>SUMIFS($D$2:$D$7909, $B$2:$B$7909, "Sicilia")</f>
        <v>5002904</v>
      </c>
      <c r="G6611" s="1">
        <f>Comuni__2[[#This Row],[Popolazione2011]]/Comuni__2[[#This Row],[POPOLAZIONE TOTALE DI OGNI REGIONE (CON FILTRO)]]</f>
        <v>1.2572697777131042E-4</v>
      </c>
      <c r="H6611" t="str">
        <f>IF(Comuni__2[[#This Row],[Popolazione2011]]&gt;300000,"MAGGIORE","")</f>
        <v/>
      </c>
    </row>
    <row r="6612" spans="1:8" x14ac:dyDescent="0.2">
      <c r="A6612"/>
      <c r="B6612"/>
      <c r="C6612"/>
      <c r="D6612"/>
      <c r="E6612" s="2">
        <f>Comuni__2[[#This Row],[Popolazione2011]]/$D$7911</f>
        <v>1.0551456297020768E-5</v>
      </c>
      <c r="F6612">
        <f>SUMIFS($D$2:$D$7909, $B$2:$B$7909, "Sicilia")</f>
        <v>5002904</v>
      </c>
      <c r="G6612" s="1">
        <f>Comuni__2[[#This Row],[Popolazione2011]]/Comuni__2[[#This Row],[POPOLAZIONE TOTALE DI OGNI REGIONE (CON FILTRO)]]</f>
        <v>1.2532720995645728E-4</v>
      </c>
      <c r="H6612" t="str">
        <f>IF(Comuni__2[[#This Row],[Popolazione2011]]&gt;300000,"MAGGIORE","")</f>
        <v/>
      </c>
    </row>
    <row r="6613" spans="1:8" x14ac:dyDescent="0.2">
      <c r="A6613"/>
      <c r="B6613"/>
      <c r="C6613"/>
      <c r="D6613"/>
      <c r="E6613" s="2">
        <f>Comuni__2[[#This Row],[Popolazione2011]]/$D$7911</f>
        <v>1.0265372154996282E-5</v>
      </c>
      <c r="F6613">
        <f>SUMIFS($D$2:$D$7909, $B$2:$B$7909, "Sicilia")</f>
        <v>5002904</v>
      </c>
      <c r="G6613" s="1">
        <f>Comuni__2[[#This Row],[Popolazione2011]]/Comuni__2[[#This Row],[POPOLAZIONE TOTALE DI OGNI REGIONE (CON FILTRO)]]</f>
        <v>1.2192918353020566E-4</v>
      </c>
      <c r="H6613" t="str">
        <f>IF(Comuni__2[[#This Row],[Popolazione2011]]&gt;300000,"MAGGIORE","")</f>
        <v/>
      </c>
    </row>
    <row r="6614" spans="1:8" x14ac:dyDescent="0.2">
      <c r="A6614"/>
      <c r="B6614"/>
      <c r="C6614"/>
      <c r="D6614"/>
      <c r="E6614" s="2">
        <f>Comuni__2[[#This Row],[Popolazione2011]]/$D$7911</f>
        <v>9.2220064605540367E-6</v>
      </c>
      <c r="F6614">
        <f>SUMIFS($D$2:$D$7909, $B$2:$B$7909, "Sicilia")</f>
        <v>5002904</v>
      </c>
      <c r="G6614" s="1">
        <f>Comuni__2[[#This Row],[Popolazione2011]]/Comuni__2[[#This Row],[POPOLAZIONE TOTALE DI OGNI REGIONE (CON FILTRO)]]</f>
        <v>1.0953638126975852E-4</v>
      </c>
      <c r="H6614" t="str">
        <f>IF(Comuni__2[[#This Row],[Popolazione2011]]&gt;300000,"MAGGIORE","")</f>
        <v/>
      </c>
    </row>
    <row r="6615" spans="1:8" x14ac:dyDescent="0.2">
      <c r="A6615"/>
      <c r="B6615"/>
      <c r="C6615"/>
      <c r="D6615"/>
      <c r="E6615" s="2">
        <f>Comuni__2[[#This Row],[Popolazione2011]]/$D$7911</f>
        <v>8.683495134390297E-6</v>
      </c>
      <c r="F6615">
        <f>SUMIFS($D$2:$D$7909, $B$2:$B$7909, "Sicilia")</f>
        <v>5002904</v>
      </c>
      <c r="G6615" s="1">
        <f>Comuni__2[[#This Row],[Popolazione2011]]/Comuni__2[[#This Row],[POPOLAZIONE TOTALE DI OGNI REGIONE (CON FILTRO)]]</f>
        <v>1.0314009623210839E-4</v>
      </c>
      <c r="H6615" t="str">
        <f>IF(Comuni__2[[#This Row],[Popolazione2011]]&gt;300000,"MAGGIORE","")</f>
        <v/>
      </c>
    </row>
    <row r="6616" spans="1:8" x14ac:dyDescent="0.2">
      <c r="A6616"/>
      <c r="B6616"/>
      <c r="C6616"/>
      <c r="D6616"/>
      <c r="E6616" s="2">
        <f>Comuni__2[[#This Row],[Popolazione2011]]/$D$7911</f>
        <v>8.0944983713987072E-6</v>
      </c>
      <c r="F6616">
        <f>SUMIFS($D$2:$D$7909, $B$2:$B$7909, "Sicilia")</f>
        <v>5002904</v>
      </c>
      <c r="G6616" s="1">
        <f>Comuni__2[[#This Row],[Popolazione2011]]/Comuni__2[[#This Row],[POPOLAZIONE TOTALE DI OGNI REGIONE (CON FILTRO)]]</f>
        <v>9.6144159472178565E-5</v>
      </c>
      <c r="H6616" t="str">
        <f>IF(Comuni__2[[#This Row],[Popolazione2011]]&gt;300000,"MAGGIORE","")</f>
        <v/>
      </c>
    </row>
    <row r="6617" spans="1:8" x14ac:dyDescent="0.2">
      <c r="A6617"/>
      <c r="B6617"/>
      <c r="C6617"/>
      <c r="D6617"/>
      <c r="E6617" s="2">
        <f>Comuni__2[[#This Row],[Popolazione2011]]/$D$7911</f>
        <v>7.5728155241775853E-6</v>
      </c>
      <c r="F6617">
        <f>SUMIFS($D$2:$D$7909, $B$2:$B$7909, "Sicilia")</f>
        <v>5002904</v>
      </c>
      <c r="G6617" s="1">
        <f>Comuni__2[[#This Row],[Popolazione2011]]/Comuni__2[[#This Row],[POPOLAZIONE TOTALE DI OGNI REGIONE (CON FILTRO)]]</f>
        <v>8.9947758341954998E-5</v>
      </c>
      <c r="H6617" t="str">
        <f>IF(Comuni__2[[#This Row],[Popolazione2011]]&gt;300000,"MAGGIORE","")</f>
        <v/>
      </c>
    </row>
    <row r="6618" spans="1:8" x14ac:dyDescent="0.2">
      <c r="A6618"/>
      <c r="B6618"/>
      <c r="C6618"/>
      <c r="D6618"/>
      <c r="E6618" s="2">
        <f>Comuni__2[[#This Row],[Popolazione2011]]/$D$7911</f>
        <v>6.4116504771370218E-6</v>
      </c>
      <c r="F6618">
        <f>SUMIFS($D$2:$D$7909, $B$2:$B$7909, "Sicilia")</f>
        <v>5002904</v>
      </c>
      <c r="G6618" s="1">
        <f>Comuni__2[[#This Row],[Popolazione2011]]/Comuni__2[[#This Row],[POPOLAZIONE TOTALE DI OGNI REGIONE (CON FILTRO)]]</f>
        <v>7.6155768729521897E-5</v>
      </c>
      <c r="H6618" t="str">
        <f>IF(Comuni__2[[#This Row],[Popolazione2011]]&gt;300000,"MAGGIORE","")</f>
        <v/>
      </c>
    </row>
    <row r="6619" spans="1:8" x14ac:dyDescent="0.2">
      <c r="A6619"/>
      <c r="B6619"/>
      <c r="C6619"/>
      <c r="D6619"/>
      <c r="E6619" s="2">
        <f>Comuni__2[[#This Row],[Popolazione2011]]/$D$7911</f>
        <v>3.8368931989166427E-6</v>
      </c>
      <c r="F6619">
        <f>SUMIFS($D$2:$D$7909, $B$2:$B$7909, "Sicilia")</f>
        <v>5002904</v>
      </c>
      <c r="G6619" s="1">
        <f>Comuni__2[[#This Row],[Popolazione2011]]/Comuni__2[[#This Row],[POPOLAZIONE TOTALE DI OGNI REGIONE (CON FILTRO)]]</f>
        <v>4.5573530893257197E-5</v>
      </c>
      <c r="H6619" t="str">
        <f>IF(Comuni__2[[#This Row],[Popolazione2011]]&gt;300000,"MAGGIORE","")</f>
        <v/>
      </c>
    </row>
    <row r="6620" spans="1:8" x14ac:dyDescent="0.2">
      <c r="A6620"/>
      <c r="B6620"/>
      <c r="C6620"/>
      <c r="D6620"/>
      <c r="E6620" s="2">
        <f>Comuni__2[[#This Row],[Popolazione2011]]/$D$7911</f>
        <v>6.0259249112933014E-3</v>
      </c>
      <c r="F6620">
        <f>SUMIFS($D$2:$D$7909, $B$2:$B$7909, "Toscana")</f>
        <v>3672202</v>
      </c>
      <c r="G6620" s="1">
        <f>Comuni__2[[#This Row],[Popolazione2011]]/Comuni__2[[#This Row],[POPOLAZIONE TOTALE DI OGNI REGIONE (CON FILTRO)]]</f>
        <v>9.7510703387231973E-2</v>
      </c>
      <c r="H6620" t="str">
        <f>IF(Comuni__2[[#This Row],[Popolazione2011]]&gt;300000,"MAGGIORE","")</f>
        <v>MAGGIORE</v>
      </c>
    </row>
    <row r="6621" spans="1:8" x14ac:dyDescent="0.2">
      <c r="A6621"/>
      <c r="B6621"/>
      <c r="C6621"/>
      <c r="D6621"/>
      <c r="E6621" s="2">
        <f>Comuni__2[[#This Row],[Popolazione2011]]/$D$7911</f>
        <v>3.1209423907819518E-3</v>
      </c>
      <c r="F6621">
        <f>SUMIFS($D$2:$D$7909, $B$2:$B$7909, "Toscana")</f>
        <v>3672202</v>
      </c>
      <c r="G6621" s="1">
        <f>Comuni__2[[#This Row],[Popolazione2011]]/Comuni__2[[#This Row],[POPOLAZIONE TOTALE DI OGNI REGIONE (CON FILTRO)]]</f>
        <v>5.0502668426192242E-2</v>
      </c>
      <c r="H6621" t="str">
        <f>IF(Comuni__2[[#This Row],[Popolazione2011]]&gt;300000,"MAGGIORE","")</f>
        <v/>
      </c>
    </row>
    <row r="6622" spans="1:8" x14ac:dyDescent="0.2">
      <c r="A6622"/>
      <c r="B6622"/>
      <c r="C6622"/>
      <c r="D6622"/>
      <c r="E6622" s="2">
        <f>Comuni__2[[#This Row],[Popolazione2011]]/$D$7911</f>
        <v>2.6429462748958623E-3</v>
      </c>
      <c r="F6622">
        <f>SUMIFS($D$2:$D$7909, $B$2:$B$7909, "Toscana")</f>
        <v>3672202</v>
      </c>
      <c r="G6622" s="1">
        <f>Comuni__2[[#This Row],[Popolazione2011]]/Comuni__2[[#This Row],[POPOLAZIONE TOTALE DI OGNI REGIONE (CON FILTRO)]]</f>
        <v>4.2767799810576872E-2</v>
      </c>
      <c r="H6622" t="str">
        <f>IF(Comuni__2[[#This Row],[Popolazione2011]]&gt;300000,"MAGGIORE","")</f>
        <v/>
      </c>
    </row>
    <row r="6623" spans="1:8" x14ac:dyDescent="0.2">
      <c r="A6623"/>
      <c r="B6623"/>
      <c r="C6623"/>
      <c r="D6623"/>
      <c r="E6623" s="2">
        <f>Comuni__2[[#This Row],[Popolazione2011]]/$D$7911</f>
        <v>1.6516142373441886E-3</v>
      </c>
      <c r="F6623">
        <f>SUMIFS($D$2:$D$7909, $B$2:$B$7909, "Toscana")</f>
        <v>3672202</v>
      </c>
      <c r="G6623" s="1">
        <f>Comuni__2[[#This Row],[Popolazione2011]]/Comuni__2[[#This Row],[POPOLAZIONE TOTALE DI OGNI REGIONE (CON FILTRO)]]</f>
        <v>2.6726198613257115E-2</v>
      </c>
      <c r="H6623" t="str">
        <f>IF(Comuni__2[[#This Row],[Popolazione2011]]&gt;300000,"MAGGIORE","")</f>
        <v/>
      </c>
    </row>
    <row r="6624" spans="1:8" x14ac:dyDescent="0.2">
      <c r="A6624"/>
      <c r="B6624"/>
      <c r="C6624"/>
      <c r="D6624"/>
      <c r="E6624" s="2">
        <f>Comuni__2[[#This Row],[Popolazione2011]]/$D$7911</f>
        <v>1.4994343022661045E-3</v>
      </c>
      <c r="F6624">
        <f>SUMIFS($D$2:$D$7909, $B$2:$B$7909, "Toscana")</f>
        <v>3672202</v>
      </c>
      <c r="G6624" s="1">
        <f>Comuni__2[[#This Row],[Popolazione2011]]/Comuni__2[[#This Row],[POPOLAZIONE TOTALE DI OGNI REGIONE (CON FILTRO)]]</f>
        <v>2.42636434488081E-2</v>
      </c>
      <c r="H6624" t="str">
        <f>IF(Comuni__2[[#This Row],[Popolazione2011]]&gt;300000,"MAGGIORE","")</f>
        <v/>
      </c>
    </row>
    <row r="6625" spans="1:8" x14ac:dyDescent="0.2">
      <c r="A6625"/>
      <c r="B6625"/>
      <c r="C6625"/>
      <c r="D6625"/>
      <c r="E6625" s="2">
        <f>Comuni__2[[#This Row],[Popolazione2011]]/$D$7911</f>
        <v>1.4674433637961899E-3</v>
      </c>
      <c r="F6625">
        <f>SUMIFS($D$2:$D$7909, $B$2:$B$7909, "Toscana")</f>
        <v>3672202</v>
      </c>
      <c r="G6625" s="1">
        <f>Comuni__2[[#This Row],[Popolazione2011]]/Comuni__2[[#This Row],[POPOLAZIONE TOTALE DI OGNI REGIONE (CON FILTRO)]]</f>
        <v>2.3745970401410379E-2</v>
      </c>
      <c r="H6625" t="str">
        <f>IF(Comuni__2[[#This Row],[Popolazione2011]]&gt;300000,"MAGGIORE","")</f>
        <v/>
      </c>
    </row>
    <row r="6626" spans="1:8" x14ac:dyDescent="0.2">
      <c r="A6626"/>
      <c r="B6626"/>
      <c r="C6626"/>
      <c r="D6626"/>
      <c r="E6626" s="2">
        <f>Comuni__2[[#This Row],[Popolazione2011]]/$D$7911</f>
        <v>1.444859545055198E-3</v>
      </c>
      <c r="F6626">
        <f>SUMIFS($D$2:$D$7909, $B$2:$B$7909, "Toscana")</f>
        <v>3672202</v>
      </c>
      <c r="G6626" s="1">
        <f>Comuni__2[[#This Row],[Popolazione2011]]/Comuni__2[[#This Row],[POPOLAZIONE TOTALE DI OGNI REGIONE (CON FILTRO)]]</f>
        <v>2.338052209546207E-2</v>
      </c>
      <c r="H6626" t="str">
        <f>IF(Comuni__2[[#This Row],[Popolazione2011]]&gt;300000,"MAGGIORE","")</f>
        <v/>
      </c>
    </row>
    <row r="6627" spans="1:8" x14ac:dyDescent="0.2">
      <c r="A6627"/>
      <c r="B6627"/>
      <c r="C6627"/>
      <c r="D6627"/>
      <c r="E6627" s="2">
        <f>Comuni__2[[#This Row],[Popolazione2011]]/$D$7911</f>
        <v>1.3232232992579634E-3</v>
      </c>
      <c r="F6627">
        <f>SUMIFS($D$2:$D$7909, $B$2:$B$7909, "Toscana")</f>
        <v>3672202</v>
      </c>
      <c r="G6627" s="1">
        <f>Comuni__2[[#This Row],[Popolazione2011]]/Comuni__2[[#This Row],[POPOLAZIONE TOTALE DI OGNI REGIONE (CON FILTRO)]]</f>
        <v>2.1412220787418557E-2</v>
      </c>
      <c r="H6627" t="str">
        <f>IF(Comuni__2[[#This Row],[Popolazione2011]]&gt;300000,"MAGGIORE","")</f>
        <v/>
      </c>
    </row>
    <row r="6628" spans="1:8" x14ac:dyDescent="0.2">
      <c r="A6628"/>
      <c r="B6628"/>
      <c r="C6628"/>
      <c r="D6628"/>
      <c r="E6628" s="2">
        <f>Comuni__2[[#This Row],[Popolazione2011]]/$D$7911</f>
        <v>1.1587417460728262E-3</v>
      </c>
      <c r="F6628">
        <f>SUMIFS($D$2:$D$7909, $B$2:$B$7909, "Toscana")</f>
        <v>3672202</v>
      </c>
      <c r="G6628" s="1">
        <f>Comuni__2[[#This Row],[Popolazione2011]]/Comuni__2[[#This Row],[POPOLAZIONE TOTALE DI OGNI REGIONE (CON FILTRO)]]</f>
        <v>1.8750602499535703E-2</v>
      </c>
      <c r="H6628" t="str">
        <f>IF(Comuni__2[[#This Row],[Popolazione2011]]&gt;300000,"MAGGIORE","")</f>
        <v/>
      </c>
    </row>
    <row r="6629" spans="1:8" x14ac:dyDescent="0.2">
      <c r="A6629"/>
      <c r="B6629"/>
      <c r="C6629"/>
      <c r="D6629"/>
      <c r="E6629" s="2">
        <f>Comuni__2[[#This Row],[Popolazione2011]]/$D$7911</f>
        <v>1.0886174743189418E-3</v>
      </c>
      <c r="F6629">
        <f>SUMIFS($D$2:$D$7909, $B$2:$B$7909, "Toscana")</f>
        <v>3672202</v>
      </c>
      <c r="G6629" s="1">
        <f>Comuni__2[[#This Row],[Popolazione2011]]/Comuni__2[[#This Row],[POPOLAZIONE TOTALE DI OGNI REGIONE (CON FILTRO)]]</f>
        <v>1.7615861001110504E-2</v>
      </c>
      <c r="H6629" t="str">
        <f>IF(Comuni__2[[#This Row],[Popolazione2011]]&gt;300000,"MAGGIORE","")</f>
        <v/>
      </c>
    </row>
    <row r="6630" spans="1:8" x14ac:dyDescent="0.2">
      <c r="A6630"/>
      <c r="B6630"/>
      <c r="C6630"/>
      <c r="D6630"/>
      <c r="E6630" s="2">
        <f>Comuni__2[[#This Row],[Popolazione2011]]/$D$7911</f>
        <v>1.0409592219534508E-3</v>
      </c>
      <c r="F6630">
        <f>SUMIFS($D$2:$D$7909, $B$2:$B$7909, "Toscana")</f>
        <v>3672202</v>
      </c>
      <c r="G6630" s="1">
        <f>Comuni__2[[#This Row],[Popolazione2011]]/Comuni__2[[#This Row],[POPOLAZIONE TOTALE DI OGNI REGIONE (CON FILTRO)]]</f>
        <v>1.6844661595413323E-2</v>
      </c>
      <c r="H6630" t="str">
        <f>IF(Comuni__2[[#This Row],[Popolazione2011]]&gt;300000,"MAGGIORE","")</f>
        <v/>
      </c>
    </row>
    <row r="6631" spans="1:8" x14ac:dyDescent="0.2">
      <c r="A6631"/>
      <c r="B6631"/>
      <c r="C6631"/>
      <c r="D6631"/>
      <c r="E6631" s="2">
        <f>Comuni__2[[#This Row],[Popolazione2011]]/$D$7911</f>
        <v>8.8919999884893208E-4</v>
      </c>
      <c r="F6631">
        <f>SUMIFS($D$2:$D$7909, $B$2:$B$7909, "Toscana")</f>
        <v>3672202</v>
      </c>
      <c r="G6631" s="1">
        <f>Comuni__2[[#This Row],[Popolazione2011]]/Comuni__2[[#This Row],[POPOLAZIONE TOTALE DI OGNI REGIONE (CON FILTRO)]]</f>
        <v>1.4388914335322512E-2</v>
      </c>
      <c r="H6631" t="str">
        <f>IF(Comuni__2[[#This Row],[Popolazione2011]]&gt;300000,"MAGGIORE","")</f>
        <v/>
      </c>
    </row>
    <row r="6632" spans="1:8" x14ac:dyDescent="0.2">
      <c r="A6632"/>
      <c r="B6632"/>
      <c r="C6632"/>
      <c r="D6632"/>
      <c r="E6632" s="2">
        <f>Comuni__2[[#This Row],[Popolazione2011]]/$D$7911</f>
        <v>8.3746925457932786E-4</v>
      </c>
      <c r="F6632">
        <f>SUMIFS($D$2:$D$7909, $B$2:$B$7909, "Toscana")</f>
        <v>3672202</v>
      </c>
      <c r="G6632" s="1">
        <f>Comuni__2[[#This Row],[Popolazione2011]]/Comuni__2[[#This Row],[POPOLAZIONE TOTALE DI OGNI REGIONE (CON FILTRO)]]</f>
        <v>1.3551814415437931E-2</v>
      </c>
      <c r="H6632" t="str">
        <f>IF(Comuni__2[[#This Row],[Popolazione2011]]&gt;300000,"MAGGIORE","")</f>
        <v/>
      </c>
    </row>
    <row r="6633" spans="1:8" x14ac:dyDescent="0.2">
      <c r="A6633"/>
      <c r="B6633"/>
      <c r="C6633"/>
      <c r="D6633"/>
      <c r="E6633" s="2">
        <f>Comuni__2[[#This Row],[Popolazione2011]]/$D$7911</f>
        <v>8.0342524167841391E-4</v>
      </c>
      <c r="F6633">
        <f>SUMIFS($D$2:$D$7909, $B$2:$B$7909, "Toscana")</f>
        <v>3672202</v>
      </c>
      <c r="G6633" s="1">
        <f>Comuni__2[[#This Row],[Popolazione2011]]/Comuni__2[[#This Row],[POPOLAZIONE TOTALE DI OGNI REGIONE (CON FILTRO)]]</f>
        <v>1.3000918794772182E-2</v>
      </c>
      <c r="H6633" t="str">
        <f>IF(Comuni__2[[#This Row],[Popolazione2011]]&gt;300000,"MAGGIORE","")</f>
        <v/>
      </c>
    </row>
    <row r="6634" spans="1:8" x14ac:dyDescent="0.2">
      <c r="A6634"/>
      <c r="B6634"/>
      <c r="C6634"/>
      <c r="D6634"/>
      <c r="E6634" s="2">
        <f>Comuni__2[[#This Row],[Popolazione2011]]/$D$7911</f>
        <v>7.8321423846833109E-4</v>
      </c>
      <c r="F6634">
        <f>SUMIFS($D$2:$D$7909, $B$2:$B$7909, "Toscana")</f>
        <v>3672202</v>
      </c>
      <c r="G6634" s="1">
        <f>Comuni__2[[#This Row],[Popolazione2011]]/Comuni__2[[#This Row],[POPOLAZIONE TOTALE DI OGNI REGIONE (CON FILTRO)]]</f>
        <v>1.2673867069404134E-2</v>
      </c>
      <c r="H6634" t="str">
        <f>IF(Comuni__2[[#This Row],[Popolazione2011]]&gt;300000,"MAGGIORE","")</f>
        <v/>
      </c>
    </row>
    <row r="6635" spans="1:8" x14ac:dyDescent="0.2">
      <c r="A6635"/>
      <c r="B6635"/>
      <c r="C6635"/>
      <c r="D6635"/>
      <c r="E6635" s="2">
        <f>Comuni__2[[#This Row],[Popolazione2011]]/$D$7911</f>
        <v>7.5556504756561164E-4</v>
      </c>
      <c r="F6635">
        <f>SUMIFS($D$2:$D$7909, $B$2:$B$7909, "Toscana")</f>
        <v>3672202</v>
      </c>
      <c r="G6635" s="1">
        <f>Comuni__2[[#This Row],[Popolazione2011]]/Comuni__2[[#This Row],[POPOLAZIONE TOTALE DI OGNI REGIONE (CON FILTRO)]]</f>
        <v>1.2226451594983064E-2</v>
      </c>
      <c r="H6635" t="str">
        <f>IF(Comuni__2[[#This Row],[Popolazione2011]]&gt;300000,"MAGGIORE","")</f>
        <v/>
      </c>
    </row>
    <row r="6636" spans="1:8" x14ac:dyDescent="0.2">
      <c r="A6636"/>
      <c r="B6636"/>
      <c r="C6636"/>
      <c r="D6636"/>
      <c r="E6636" s="2">
        <f>Comuni__2[[#This Row],[Popolazione2011]]/$D$7911</f>
        <v>7.3764271749172461E-4</v>
      </c>
      <c r="F6636">
        <f>SUMIFS($D$2:$D$7909, $B$2:$B$7909, "Toscana")</f>
        <v>3672202</v>
      </c>
      <c r="G6636" s="1">
        <f>Comuni__2[[#This Row],[Popolazione2011]]/Comuni__2[[#This Row],[POPOLAZIONE TOTALE DI OGNI REGIONE (CON FILTRO)]]</f>
        <v>1.1936434869323637E-2</v>
      </c>
      <c r="H6636" t="str">
        <f>IF(Comuni__2[[#This Row],[Popolazione2011]]&gt;300000,"MAGGIORE","")</f>
        <v/>
      </c>
    </row>
    <row r="6637" spans="1:8" x14ac:dyDescent="0.2">
      <c r="A6637"/>
      <c r="B6637"/>
      <c r="C6637"/>
      <c r="D6637"/>
      <c r="E6637" s="2">
        <f>Comuni__2[[#This Row],[Popolazione2011]]/$D$7911</f>
        <v>7.2242977252759898E-4</v>
      </c>
      <c r="F6637">
        <f>SUMIFS($D$2:$D$7909, $B$2:$B$7909, "Toscana")</f>
        <v>3672202</v>
      </c>
      <c r="G6637" s="1">
        <f>Comuni__2[[#This Row],[Popolazione2011]]/Comuni__2[[#This Row],[POPOLAZIONE TOTALE DI OGNI REGIONE (CON FILTRO)]]</f>
        <v>1.1690261047731035E-2</v>
      </c>
      <c r="H6637" t="str">
        <f>IF(Comuni__2[[#This Row],[Popolazione2011]]&gt;300000,"MAGGIORE","")</f>
        <v/>
      </c>
    </row>
    <row r="6638" spans="1:8" x14ac:dyDescent="0.2">
      <c r="A6638"/>
      <c r="B6638"/>
      <c r="C6638"/>
      <c r="D6638"/>
      <c r="E6638" s="2">
        <f>Comuni__2[[#This Row],[Popolazione2011]]/$D$7911</f>
        <v>5.7921941672592955E-4</v>
      </c>
      <c r="F6638">
        <f>SUMIFS($D$2:$D$7909, $B$2:$B$7909, "Toscana")</f>
        <v>3672202</v>
      </c>
      <c r="G6638" s="1">
        <f>Comuni__2[[#This Row],[Popolazione2011]]/Comuni__2[[#This Row],[POPOLAZIONE TOTALE DI OGNI REGIONE (CON FILTRO)]]</f>
        <v>9.3728504041988969E-3</v>
      </c>
      <c r="H6638" t="str">
        <f>IF(Comuni__2[[#This Row],[Popolazione2011]]&gt;300000,"MAGGIORE","")</f>
        <v/>
      </c>
    </row>
    <row r="6639" spans="1:8" x14ac:dyDescent="0.2">
      <c r="A6639"/>
      <c r="B6639"/>
      <c r="C6639"/>
      <c r="D6639"/>
      <c r="E6639" s="2">
        <f>Comuni__2[[#This Row],[Popolazione2011]]/$D$7911</f>
        <v>5.3990808991597654E-4</v>
      </c>
      <c r="F6639">
        <f>SUMIFS($D$2:$D$7909, $B$2:$B$7909, "Toscana")</f>
        <v>3672202</v>
      </c>
      <c r="G6639" s="1">
        <f>Comuni__2[[#This Row],[Popolazione2011]]/Comuni__2[[#This Row],[POPOLAZIONE TOTALE DI OGNI REGIONE (CON FILTRO)]]</f>
        <v>8.7367198209684551E-3</v>
      </c>
      <c r="H6639" t="str">
        <f>IF(Comuni__2[[#This Row],[Popolazione2011]]&gt;300000,"MAGGIORE","")</f>
        <v/>
      </c>
    </row>
    <row r="6640" spans="1:8" x14ac:dyDescent="0.2">
      <c r="A6640"/>
      <c r="B6640"/>
      <c r="C6640"/>
      <c r="D6640"/>
      <c r="E6640" s="2">
        <f>Comuni__2[[#This Row],[Popolazione2011]]/$D$7911</f>
        <v>5.3433786338597043E-4</v>
      </c>
      <c r="F6640">
        <f>SUMIFS($D$2:$D$7909, $B$2:$B$7909, "Toscana")</f>
        <v>3672202</v>
      </c>
      <c r="G6640" s="1">
        <f>Comuni__2[[#This Row],[Popolazione2011]]/Comuni__2[[#This Row],[POPOLAZIONE TOTALE DI OGNI REGIONE (CON FILTRO)]]</f>
        <v>8.6465831672658533E-3</v>
      </c>
      <c r="H6640" t="str">
        <f>IF(Comuni__2[[#This Row],[Popolazione2011]]&gt;300000,"MAGGIORE","")</f>
        <v/>
      </c>
    </row>
    <row r="6641" spans="1:8" x14ac:dyDescent="0.2">
      <c r="A6641"/>
      <c r="B6641"/>
      <c r="C6641"/>
      <c r="D6641"/>
      <c r="E6641" s="2">
        <f>Comuni__2[[#This Row],[Popolazione2011]]/$D$7911</f>
        <v>5.2341618055221203E-4</v>
      </c>
      <c r="F6641">
        <f>SUMIFS($D$2:$D$7909, $B$2:$B$7909, "Toscana")</f>
        <v>3672202</v>
      </c>
      <c r="G6641" s="1">
        <f>Comuni__2[[#This Row],[Popolazione2011]]/Comuni__2[[#This Row],[POPOLAZIONE TOTALE DI OGNI REGIONE (CON FILTRO)]]</f>
        <v>8.4698499701269161E-3</v>
      </c>
      <c r="H6641" t="str">
        <f>IF(Comuni__2[[#This Row],[Popolazione2011]]&gt;300000,"MAGGIORE","")</f>
        <v/>
      </c>
    </row>
    <row r="6642" spans="1:8" x14ac:dyDescent="0.2">
      <c r="A6642"/>
      <c r="B6642"/>
      <c r="C6642"/>
      <c r="D6642"/>
      <c r="E6642" s="2">
        <f>Comuni__2[[#This Row],[Popolazione2011]]/$D$7911</f>
        <v>4.8721812234664322E-4</v>
      </c>
      <c r="F6642">
        <f>SUMIFS($D$2:$D$7909, $B$2:$B$7909, "Toscana")</f>
        <v>3672202</v>
      </c>
      <c r="G6642" s="1">
        <f>Comuni__2[[#This Row],[Popolazione2011]]/Comuni__2[[#This Row],[POPOLAZIONE TOTALE DI OGNI REGIONE (CON FILTRO)]]</f>
        <v>7.8840978791471714E-3</v>
      </c>
      <c r="H6642" t="str">
        <f>IF(Comuni__2[[#This Row],[Popolazione2011]]&gt;300000,"MAGGIORE","")</f>
        <v/>
      </c>
    </row>
    <row r="6643" spans="1:8" x14ac:dyDescent="0.2">
      <c r="A6643"/>
      <c r="B6643"/>
      <c r="C6643"/>
      <c r="D6643"/>
      <c r="E6643" s="2">
        <f>Comuni__2[[#This Row],[Popolazione2011]]/$D$7911</f>
        <v>4.7222394760877158E-4</v>
      </c>
      <c r="F6643">
        <f>SUMIFS($D$2:$D$7909, $B$2:$B$7909, "Toscana")</f>
        <v>3672202</v>
      </c>
      <c r="G6643" s="1">
        <f>Comuni__2[[#This Row],[Popolazione2011]]/Comuni__2[[#This Row],[POPOLAZIONE TOTALE DI OGNI REGIONE (CON FILTRO)]]</f>
        <v>7.6414641678208333E-3</v>
      </c>
      <c r="H6643" t="str">
        <f>IF(Comuni__2[[#This Row],[Popolazione2011]]&gt;300000,"MAGGIORE","")</f>
        <v/>
      </c>
    </row>
    <row r="6644" spans="1:8" x14ac:dyDescent="0.2">
      <c r="A6644"/>
      <c r="B6644"/>
      <c r="C6644"/>
      <c r="D6644"/>
      <c r="E6644" s="2">
        <f>Comuni__2[[#This Row],[Popolazione2011]]/$D$7911</f>
        <v>4.7106278256173103E-4</v>
      </c>
      <c r="F6644">
        <f>SUMIFS($D$2:$D$7909, $B$2:$B$7909, "Toscana")</f>
        <v>3672202</v>
      </c>
      <c r="G6644" s="1">
        <f>Comuni__2[[#This Row],[Popolazione2011]]/Comuni__2[[#This Row],[POPOLAZIONE TOTALE DI OGNI REGIONE (CON FILTRO)]]</f>
        <v>7.6226743517921946E-3</v>
      </c>
      <c r="H6644" t="str">
        <f>IF(Comuni__2[[#This Row],[Popolazione2011]]&gt;300000,"MAGGIORE","")</f>
        <v/>
      </c>
    </row>
    <row r="6645" spans="1:8" x14ac:dyDescent="0.2">
      <c r="A6645"/>
      <c r="B6645"/>
      <c r="C6645"/>
      <c r="D6645"/>
      <c r="E6645" s="2">
        <f>Comuni__2[[#This Row],[Popolazione2011]]/$D$7911</f>
        <v>4.6421359163208598E-4</v>
      </c>
      <c r="F6645">
        <f>SUMIFS($D$2:$D$7909, $B$2:$B$7909, "Toscana")</f>
        <v>3672202</v>
      </c>
      <c r="G6645" s="1">
        <f>Comuni__2[[#This Row],[Popolazione2011]]/Comuni__2[[#This Row],[POPOLAZIONE TOTALE DI OGNI REGIONE (CON FILTRO)]]</f>
        <v>7.5118416688406573E-3</v>
      </c>
      <c r="H6645" t="str">
        <f>IF(Comuni__2[[#This Row],[Popolazione2011]]&gt;300000,"MAGGIORE","")</f>
        <v/>
      </c>
    </row>
    <row r="6646" spans="1:8" x14ac:dyDescent="0.2">
      <c r="A6646"/>
      <c r="B6646"/>
      <c r="C6646"/>
      <c r="D6646"/>
      <c r="E6646" s="2">
        <f>Comuni__2[[#This Row],[Popolazione2011]]/$D$7911</f>
        <v>4.27493850579296E-4</v>
      </c>
      <c r="F6646">
        <f>SUMIFS($D$2:$D$7909, $B$2:$B$7909, "Toscana")</f>
        <v>3672202</v>
      </c>
      <c r="G6646" s="1">
        <f>Comuni__2[[#This Row],[Popolazione2011]]/Comuni__2[[#This Row],[POPOLAZIONE TOTALE DI OGNI REGIONE (CON FILTRO)]]</f>
        <v>6.9176477764567416E-3</v>
      </c>
      <c r="H6646" t="str">
        <f>IF(Comuni__2[[#This Row],[Popolazione2011]]&gt;300000,"MAGGIORE","")</f>
        <v/>
      </c>
    </row>
    <row r="6647" spans="1:8" x14ac:dyDescent="0.2">
      <c r="A6647"/>
      <c r="B6647"/>
      <c r="C6647"/>
      <c r="D6647"/>
      <c r="E6647" s="2">
        <f>Comuni__2[[#This Row],[Popolazione2011]]/$D$7911</f>
        <v>4.2707313860573055E-4</v>
      </c>
      <c r="F6647">
        <f>SUMIFS($D$2:$D$7909, $B$2:$B$7909, "Toscana")</f>
        <v>3672202</v>
      </c>
      <c r="G6647" s="1">
        <f>Comuni__2[[#This Row],[Popolazione2011]]/Comuni__2[[#This Row],[POPOLAZIONE TOTALE DI OGNI REGIONE (CON FILTRO)]]</f>
        <v>6.9108398720985394E-3</v>
      </c>
      <c r="H6647" t="str">
        <f>IF(Comuni__2[[#This Row],[Popolazione2011]]&gt;300000,"MAGGIORE","")</f>
        <v/>
      </c>
    </row>
    <row r="6648" spans="1:8" x14ac:dyDescent="0.2">
      <c r="A6648"/>
      <c r="B6648"/>
      <c r="C6648"/>
      <c r="D6648"/>
      <c r="E6648" s="2">
        <f>Comuni__2[[#This Row],[Popolazione2011]]/$D$7911</f>
        <v>4.0689579235353294E-4</v>
      </c>
      <c r="F6648">
        <f>SUMIFS($D$2:$D$7909, $B$2:$B$7909, "Toscana")</f>
        <v>3672202</v>
      </c>
      <c r="G6648" s="1">
        <f>Comuni__2[[#This Row],[Popolazione2011]]/Comuni__2[[#This Row],[POPOLAZIONE TOTALE DI OGNI REGIONE (CON FILTRO)]]</f>
        <v>6.5843327790791467E-3</v>
      </c>
      <c r="H6648" t="str">
        <f>IF(Comuni__2[[#This Row],[Popolazione2011]]&gt;300000,"MAGGIORE","")</f>
        <v/>
      </c>
    </row>
    <row r="6649" spans="1:8" x14ac:dyDescent="0.2">
      <c r="A6649"/>
      <c r="B6649"/>
      <c r="C6649"/>
      <c r="D6649"/>
      <c r="E6649" s="2">
        <f>Comuni__2[[#This Row],[Popolazione2011]]/$D$7911</f>
        <v>4.0339546873346867E-4</v>
      </c>
      <c r="F6649">
        <f>SUMIFS($D$2:$D$7909, $B$2:$B$7909, "Toscana")</f>
        <v>3672202</v>
      </c>
      <c r="G6649" s="1">
        <f>Comuni__2[[#This Row],[Popolazione2011]]/Comuni__2[[#This Row],[POPOLAZIONE TOTALE DI OGNI REGIONE (CON FILTRO)]]</f>
        <v>6.5276910148189017E-3</v>
      </c>
      <c r="H6649" t="str">
        <f>IF(Comuni__2[[#This Row],[Popolazione2011]]&gt;300000,"MAGGIORE","")</f>
        <v/>
      </c>
    </row>
    <row r="6650" spans="1:8" x14ac:dyDescent="0.2">
      <c r="A6650"/>
      <c r="B6650"/>
      <c r="C6650"/>
      <c r="D6650"/>
      <c r="E6650" s="2">
        <f>Comuni__2[[#This Row],[Popolazione2011]]/$D$7911</f>
        <v>3.8914174706907215E-4</v>
      </c>
      <c r="F6650">
        <f>SUMIFS($D$2:$D$7909, $B$2:$B$7909, "Toscana")</f>
        <v>3672202</v>
      </c>
      <c r="G6650" s="1">
        <f>Comuni__2[[#This Row],[Popolazione2011]]/Comuni__2[[#This Row],[POPOLAZIONE TOTALE DI OGNI REGIONE (CON FILTRO)]]</f>
        <v>6.2970392151630002E-3</v>
      </c>
      <c r="H6650" t="str">
        <f>IF(Comuni__2[[#This Row],[Popolazione2011]]&gt;300000,"MAGGIORE","")</f>
        <v/>
      </c>
    </row>
    <row r="6651" spans="1:8" x14ac:dyDescent="0.2">
      <c r="A6651"/>
      <c r="B6651"/>
      <c r="C6651"/>
      <c r="D6651"/>
      <c r="E6651" s="2">
        <f>Comuni__2[[#This Row],[Popolazione2011]]/$D$7911</f>
        <v>3.8343689270752506E-4</v>
      </c>
      <c r="F6651">
        <f>SUMIFS($D$2:$D$7909, $B$2:$B$7909, "Toscana")</f>
        <v>3672202</v>
      </c>
      <c r="G6651" s="1">
        <f>Comuni__2[[#This Row],[Popolazione2011]]/Comuni__2[[#This Row],[POPOLAZIONE TOTALE DI OGNI REGIONE (CON FILTRO)]]</f>
        <v>6.2047240320657745E-3</v>
      </c>
      <c r="H6651" t="str">
        <f>IF(Comuni__2[[#This Row],[Popolazione2011]]&gt;300000,"MAGGIORE","")</f>
        <v/>
      </c>
    </row>
    <row r="6652" spans="1:8" x14ac:dyDescent="0.2">
      <c r="A6652"/>
      <c r="B6652"/>
      <c r="C6652"/>
      <c r="D6652"/>
      <c r="E6652" s="2">
        <f>Comuni__2[[#This Row],[Popolazione2011]]/$D$7911</f>
        <v>3.7855663381416619E-4</v>
      </c>
      <c r="F6652">
        <f>SUMIFS($D$2:$D$7909, $B$2:$B$7909, "Toscana")</f>
        <v>3672202</v>
      </c>
      <c r="G6652" s="1">
        <f>Comuni__2[[#This Row],[Popolazione2011]]/Comuni__2[[#This Row],[POPOLAZIONE TOTALE DI OGNI REGIONE (CON FILTRO)]]</f>
        <v>6.1257523415106253E-3</v>
      </c>
      <c r="H6652" t="str">
        <f>IF(Comuni__2[[#This Row],[Popolazione2011]]&gt;300000,"MAGGIORE","")</f>
        <v/>
      </c>
    </row>
    <row r="6653" spans="1:8" x14ac:dyDescent="0.2">
      <c r="A6653"/>
      <c r="B6653"/>
      <c r="C6653"/>
      <c r="D6653"/>
      <c r="E6653" s="2">
        <f>Comuni__2[[#This Row],[Popolazione2011]]/$D$7911</f>
        <v>3.7577993478863438E-4</v>
      </c>
      <c r="F6653">
        <f>SUMIFS($D$2:$D$7909, $B$2:$B$7909, "Toscana")</f>
        <v>3672202</v>
      </c>
      <c r="G6653" s="1">
        <f>Comuni__2[[#This Row],[Popolazione2011]]/Comuni__2[[#This Row],[POPOLAZIONE TOTALE DI OGNI REGIONE (CON FILTRO)]]</f>
        <v>6.0808201727464879E-3</v>
      </c>
      <c r="H6653" t="str">
        <f>IF(Comuni__2[[#This Row],[Popolazione2011]]&gt;300000,"MAGGIORE","")</f>
        <v/>
      </c>
    </row>
    <row r="6654" spans="1:8" x14ac:dyDescent="0.2">
      <c r="A6654"/>
      <c r="B6654"/>
      <c r="C6654"/>
      <c r="D6654"/>
      <c r="E6654" s="2">
        <f>Comuni__2[[#This Row],[Popolazione2011]]/$D$7911</f>
        <v>3.6145889920846745E-4</v>
      </c>
      <c r="F6654">
        <f>SUMIFS($D$2:$D$7909, $B$2:$B$7909, "Toscana")</f>
        <v>3672202</v>
      </c>
      <c r="G6654" s="1">
        <f>Comuni__2[[#This Row],[Popolazione2011]]/Comuni__2[[#This Row],[POPOLAZIONE TOTALE DI OGNI REGIONE (CON FILTRO)]]</f>
        <v>5.8490791083932745E-3</v>
      </c>
      <c r="H6654" t="str">
        <f>IF(Comuni__2[[#This Row],[Popolazione2011]]&gt;300000,"MAGGIORE","")</f>
        <v/>
      </c>
    </row>
    <row r="6655" spans="1:8" x14ac:dyDescent="0.2">
      <c r="A6655"/>
      <c r="B6655"/>
      <c r="C6655"/>
      <c r="D6655"/>
      <c r="E6655" s="2">
        <f>Comuni__2[[#This Row],[Popolazione2011]]/$D$7911</f>
        <v>3.5770614840426387E-4</v>
      </c>
      <c r="F6655">
        <f>SUMIFS($D$2:$D$7909, $B$2:$B$7909, "Toscana")</f>
        <v>3672202</v>
      </c>
      <c r="G6655" s="1">
        <f>Comuni__2[[#This Row],[Popolazione2011]]/Comuni__2[[#This Row],[POPOLAZIONE TOTALE DI OGNI REGIONE (CON FILTRO)]]</f>
        <v>5.788352601518108E-3</v>
      </c>
      <c r="H6655" t="str">
        <f>IF(Comuni__2[[#This Row],[Popolazione2011]]&gt;300000,"MAGGIORE","")</f>
        <v/>
      </c>
    </row>
    <row r="6656" spans="1:8" x14ac:dyDescent="0.2">
      <c r="A6656"/>
      <c r="B6656"/>
      <c r="C6656"/>
      <c r="D6656"/>
      <c r="E6656" s="2">
        <f>Comuni__2[[#This Row],[Popolazione2011]]/$D$7911</f>
        <v>3.4947702220132422E-4</v>
      </c>
      <c r="F6656">
        <f>SUMIFS($D$2:$D$7909, $B$2:$B$7909, "Toscana")</f>
        <v>3672202</v>
      </c>
      <c r="G6656" s="1">
        <f>Comuni__2[[#This Row],[Popolazione2011]]/Comuni__2[[#This Row],[POPOLAZIONE TOTALE DI OGNI REGIONE (CON FILTRO)]]</f>
        <v>5.6551899922716673E-3</v>
      </c>
      <c r="H6656" t="str">
        <f>IF(Comuni__2[[#This Row],[Popolazione2011]]&gt;300000,"MAGGIORE","")</f>
        <v/>
      </c>
    </row>
    <row r="6657" spans="1:8" x14ac:dyDescent="0.2">
      <c r="A6657"/>
      <c r="B6657"/>
      <c r="C6657"/>
      <c r="D6657"/>
      <c r="E6657" s="2">
        <f>Comuni__2[[#This Row],[Popolazione2011]]/$D$7911</f>
        <v>3.4547184421298145E-4</v>
      </c>
      <c r="F6657">
        <f>SUMIFS($D$2:$D$7909, $B$2:$B$7909, "Toscana")</f>
        <v>3672202</v>
      </c>
      <c r="G6657" s="1">
        <f>Comuni__2[[#This Row],[Popolazione2011]]/Comuni__2[[#This Row],[POPOLAZIONE TOTALE DI OGNI REGIONE (CON FILTRO)]]</f>
        <v>5.5903787427815793E-3</v>
      </c>
      <c r="H6657" t="str">
        <f>IF(Comuni__2[[#This Row],[Popolazione2011]]&gt;300000,"MAGGIORE","")</f>
        <v/>
      </c>
    </row>
    <row r="6658" spans="1:8" x14ac:dyDescent="0.2">
      <c r="A6658"/>
      <c r="B6658"/>
      <c r="C6658"/>
      <c r="D6658"/>
      <c r="E6658" s="2">
        <f>Comuni__2[[#This Row],[Popolazione2011]]/$D$7911</f>
        <v>3.31083494717044E-4</v>
      </c>
      <c r="F6658">
        <f>SUMIFS($D$2:$D$7909, $B$2:$B$7909, "Toscana")</f>
        <v>3672202</v>
      </c>
      <c r="G6658" s="1">
        <f>Comuni__2[[#This Row],[Popolazione2011]]/Comuni__2[[#This Row],[POPOLAZIONE TOTALE DI OGNI REGIONE (CON FILTRO)]]</f>
        <v>5.3575484137310531E-3</v>
      </c>
      <c r="H6658" t="str">
        <f>IF(Comuni__2[[#This Row],[Popolazione2011]]&gt;300000,"MAGGIORE","")</f>
        <v/>
      </c>
    </row>
    <row r="6659" spans="1:8" x14ac:dyDescent="0.2">
      <c r="A6659"/>
      <c r="B6659"/>
      <c r="C6659"/>
      <c r="D6659"/>
      <c r="E6659" s="2">
        <f>Comuni__2[[#This Row],[Popolazione2011]]/$D$7911</f>
        <v>3.2706148824975857E-4</v>
      </c>
      <c r="F6659">
        <f>SUMIFS($D$2:$D$7909, $B$2:$B$7909, "Toscana")</f>
        <v>3672202</v>
      </c>
      <c r="G6659" s="1">
        <f>Comuni__2[[#This Row],[Popolazione2011]]/Comuni__2[[#This Row],[POPOLAZIONE TOTALE DI OGNI REGIONE (CON FILTRO)]]</f>
        <v>5.2924648480666371E-3</v>
      </c>
      <c r="H6659" t="str">
        <f>IF(Comuni__2[[#This Row],[Popolazione2011]]&gt;300000,"MAGGIORE","")</f>
        <v/>
      </c>
    </row>
    <row r="6660" spans="1:8" x14ac:dyDescent="0.2">
      <c r="A6660"/>
      <c r="B6660"/>
      <c r="C6660"/>
      <c r="D6660"/>
      <c r="E6660" s="2">
        <f>Comuni__2[[#This Row],[Popolazione2011]]/$D$7911</f>
        <v>3.1906796075201557E-4</v>
      </c>
      <c r="F6660">
        <f>SUMIFS($D$2:$D$7909, $B$2:$B$7909, "Toscana")</f>
        <v>3672202</v>
      </c>
      <c r="G6660" s="1">
        <f>Comuni__2[[#This Row],[Popolazione2011]]/Comuni__2[[#This Row],[POPOLAZIONE TOTALE DI OGNI REGIONE (CON FILTRO)]]</f>
        <v>5.1631146652607891E-3</v>
      </c>
      <c r="H6660" t="str">
        <f>IF(Comuni__2[[#This Row],[Popolazione2011]]&gt;300000,"MAGGIORE","")</f>
        <v/>
      </c>
    </row>
    <row r="6661" spans="1:8" x14ac:dyDescent="0.2">
      <c r="A6661"/>
      <c r="B6661"/>
      <c r="C6661"/>
      <c r="D6661"/>
      <c r="E6661" s="2">
        <f>Comuni__2[[#This Row],[Popolazione2011]]/$D$7911</f>
        <v>3.0136440090438265E-4</v>
      </c>
      <c r="F6661">
        <f>SUMIFS($D$2:$D$7909, $B$2:$B$7909, "Toscana")</f>
        <v>3672202</v>
      </c>
      <c r="G6661" s="1">
        <f>Comuni__2[[#This Row],[Popolazione2011]]/Comuni__2[[#This Row],[POPOLAZIONE TOTALE DI OGNI REGIONE (CON FILTRO)]]</f>
        <v>4.8766380498676274E-3</v>
      </c>
      <c r="H6661" t="str">
        <f>IF(Comuni__2[[#This Row],[Popolazione2011]]&gt;300000,"MAGGIORE","")</f>
        <v/>
      </c>
    </row>
    <row r="6662" spans="1:8" x14ac:dyDescent="0.2">
      <c r="A6662"/>
      <c r="B6662"/>
      <c r="C6662"/>
      <c r="D6662"/>
      <c r="E6662" s="2">
        <f>Comuni__2[[#This Row],[Popolazione2011]]/$D$7911</f>
        <v>3.0045566304148135E-4</v>
      </c>
      <c r="F6662">
        <f>SUMIFS($D$2:$D$7909, $B$2:$B$7909, "Toscana")</f>
        <v>3672202</v>
      </c>
      <c r="G6662" s="1">
        <f>Comuni__2[[#This Row],[Popolazione2011]]/Comuni__2[[#This Row],[POPOLAZIONE TOTALE DI OGNI REGIONE (CON FILTRO)]]</f>
        <v>4.8619329764539093E-3</v>
      </c>
      <c r="H6662" t="str">
        <f>IF(Comuni__2[[#This Row],[Popolazione2011]]&gt;300000,"MAGGIORE","")</f>
        <v/>
      </c>
    </row>
    <row r="6663" spans="1:8" x14ac:dyDescent="0.2">
      <c r="A6663"/>
      <c r="B6663"/>
      <c r="C6663"/>
      <c r="D6663"/>
      <c r="E6663" s="2">
        <f>Comuni__2[[#This Row],[Popolazione2011]]/$D$7911</f>
        <v>2.943132682274262E-4</v>
      </c>
      <c r="F6663">
        <f>SUMIFS($D$2:$D$7909, $B$2:$B$7909, "Toscana")</f>
        <v>3672202</v>
      </c>
      <c r="G6663" s="1">
        <f>Comuni__2[[#This Row],[Popolazione2011]]/Comuni__2[[#This Row],[POPOLAZIONE TOTALE DI OGNI REGIONE (CON FILTRO)]]</f>
        <v>4.7625375728241525E-3</v>
      </c>
      <c r="H6663" t="str">
        <f>IF(Comuni__2[[#This Row],[Popolazione2011]]&gt;300000,"MAGGIORE","")</f>
        <v/>
      </c>
    </row>
    <row r="6664" spans="1:8" x14ac:dyDescent="0.2">
      <c r="A6664"/>
      <c r="B6664"/>
      <c r="C6664"/>
      <c r="D6664"/>
      <c r="E6664" s="2">
        <f>Comuni__2[[#This Row],[Popolazione2011]]/$D$7911</f>
        <v>2.9367378602760676E-4</v>
      </c>
      <c r="F6664">
        <f>SUMIFS($D$2:$D$7909, $B$2:$B$7909, "Toscana")</f>
        <v>3672202</v>
      </c>
      <c r="G6664" s="1">
        <f>Comuni__2[[#This Row],[Popolazione2011]]/Comuni__2[[#This Row],[POPOLAZIONE TOTALE DI OGNI REGIONE (CON FILTRO)]]</f>
        <v>4.7521895581996848E-3</v>
      </c>
      <c r="H6664" t="str">
        <f>IF(Comuni__2[[#This Row],[Popolazione2011]]&gt;300000,"MAGGIORE","")</f>
        <v/>
      </c>
    </row>
    <row r="6665" spans="1:8" x14ac:dyDescent="0.2">
      <c r="A6665"/>
      <c r="B6665"/>
      <c r="C6665"/>
      <c r="D6665"/>
      <c r="E6665" s="2">
        <f>Comuni__2[[#This Row],[Popolazione2011]]/$D$7911</f>
        <v>2.842330093407987E-4</v>
      </c>
      <c r="F6665">
        <f>SUMIFS($D$2:$D$7909, $B$2:$B$7909, "Toscana")</f>
        <v>3672202</v>
      </c>
      <c r="G6665" s="1">
        <f>Comuni__2[[#This Row],[Popolazione2011]]/Comuni__2[[#This Row],[POPOLAZIONE TOTALE DI OGNI REGIONE (CON FILTRO)]]</f>
        <v>4.5994201844016206E-3</v>
      </c>
      <c r="H6665" t="str">
        <f>IF(Comuni__2[[#This Row],[Popolazione2011]]&gt;300000,"MAGGIORE","")</f>
        <v/>
      </c>
    </row>
    <row r="6666" spans="1:8" x14ac:dyDescent="0.2">
      <c r="A6666"/>
      <c r="B6666"/>
      <c r="C6666"/>
      <c r="D6666"/>
      <c r="E6666" s="2">
        <f>Comuni__2[[#This Row],[Popolazione2011]]/$D$7911</f>
        <v>2.8411520998820037E-4</v>
      </c>
      <c r="F6666">
        <f>SUMIFS($D$2:$D$7909, $B$2:$B$7909, "Toscana")</f>
        <v>3672202</v>
      </c>
      <c r="G6666" s="1">
        <f>Comuni__2[[#This Row],[Popolazione2011]]/Comuni__2[[#This Row],[POPOLAZIONE TOTALE DI OGNI REGIONE (CON FILTRO)]]</f>
        <v>4.5975139711813238E-3</v>
      </c>
      <c r="H6666" t="str">
        <f>IF(Comuni__2[[#This Row],[Popolazione2011]]&gt;300000,"MAGGIORE","")</f>
        <v/>
      </c>
    </row>
    <row r="6667" spans="1:8" x14ac:dyDescent="0.2">
      <c r="A6667"/>
      <c r="B6667"/>
      <c r="C6667"/>
      <c r="D6667"/>
      <c r="E6667" s="2">
        <f>Comuni__2[[#This Row],[Popolazione2011]]/$D$7911</f>
        <v>2.8258381840442224E-4</v>
      </c>
      <c r="F6667">
        <f>SUMIFS($D$2:$D$7909, $B$2:$B$7909, "Toscana")</f>
        <v>3672202</v>
      </c>
      <c r="G6667" s="1">
        <f>Comuni__2[[#This Row],[Popolazione2011]]/Comuni__2[[#This Row],[POPOLAZIONE TOTALE DI OGNI REGIONE (CON FILTRO)]]</f>
        <v>4.5727331993174669E-3</v>
      </c>
      <c r="H6667" t="str">
        <f>IF(Comuni__2[[#This Row],[Popolazione2011]]&gt;300000,"MAGGIORE","")</f>
        <v/>
      </c>
    </row>
    <row r="6668" spans="1:8" x14ac:dyDescent="0.2">
      <c r="A6668"/>
      <c r="B6668"/>
      <c r="C6668"/>
      <c r="D6668"/>
      <c r="E6668" s="2">
        <f>Comuni__2[[#This Row],[Popolazione2011]]/$D$7911</f>
        <v>2.8115339769429982E-4</v>
      </c>
      <c r="F6668">
        <f>SUMIFS($D$2:$D$7909, $B$2:$B$7909, "Toscana")</f>
        <v>3672202</v>
      </c>
      <c r="G6668" s="1">
        <f>Comuni__2[[#This Row],[Popolazione2011]]/Comuni__2[[#This Row],[POPOLAZIONE TOTALE DI OGNI REGIONE (CON FILTRO)]]</f>
        <v>4.5495863244995778E-3</v>
      </c>
      <c r="H6668" t="str">
        <f>IF(Comuni__2[[#This Row],[Popolazione2011]]&gt;300000,"MAGGIORE","")</f>
        <v/>
      </c>
    </row>
    <row r="6669" spans="1:8" x14ac:dyDescent="0.2">
      <c r="A6669"/>
      <c r="B6669"/>
      <c r="C6669"/>
      <c r="D6669"/>
      <c r="E6669" s="2">
        <f>Comuni__2[[#This Row],[Popolazione2011]]/$D$7911</f>
        <v>2.7997540416831661E-4</v>
      </c>
      <c r="F6669">
        <f>SUMIFS($D$2:$D$7909, $B$2:$B$7909, "Toscana")</f>
        <v>3672202</v>
      </c>
      <c r="G6669" s="1">
        <f>Comuni__2[[#This Row],[Popolazione2011]]/Comuni__2[[#This Row],[POPOLAZIONE TOTALE DI OGNI REGIONE (CON FILTRO)]]</f>
        <v>4.5305241922966111E-3</v>
      </c>
      <c r="H6669" t="str">
        <f>IF(Comuni__2[[#This Row],[Popolazione2011]]&gt;300000,"MAGGIORE","")</f>
        <v/>
      </c>
    </row>
    <row r="6670" spans="1:8" x14ac:dyDescent="0.2">
      <c r="A6670"/>
      <c r="B6670"/>
      <c r="C6670"/>
      <c r="D6670"/>
      <c r="E6670" s="2">
        <f>Comuni__2[[#This Row],[Popolazione2011]]/$D$7911</f>
        <v>2.7107313880767232E-4</v>
      </c>
      <c r="F6670">
        <f>SUMIFS($D$2:$D$7909, $B$2:$B$7909, "Toscana")</f>
        <v>3672202</v>
      </c>
      <c r="G6670" s="1">
        <f>Comuni__2[[#This Row],[Popolazione2011]]/Comuni__2[[#This Row],[POPOLAZIONE TOTALE DI OGNI REGIONE (CON FILTRO)]]</f>
        <v>4.3864689360770459E-3</v>
      </c>
      <c r="H6670" t="str">
        <f>IF(Comuni__2[[#This Row],[Popolazione2011]]&gt;300000,"MAGGIORE","")</f>
        <v/>
      </c>
    </row>
    <row r="6671" spans="1:8" x14ac:dyDescent="0.2">
      <c r="A6671"/>
      <c r="B6671"/>
      <c r="C6671"/>
      <c r="D6671"/>
      <c r="E6671" s="2">
        <f>Comuni__2[[#This Row],[Popolazione2011]]/$D$7911</f>
        <v>2.7053462748150855E-4</v>
      </c>
      <c r="F6671">
        <f>SUMIFS($D$2:$D$7909, $B$2:$B$7909, "Toscana")</f>
        <v>3672202</v>
      </c>
      <c r="G6671" s="1">
        <f>Comuni__2[[#This Row],[Popolazione2011]]/Comuni__2[[#This Row],[POPOLAZIONE TOTALE DI OGNI REGIONE (CON FILTRO)]]</f>
        <v>4.3777548184985469E-3</v>
      </c>
      <c r="H6671" t="str">
        <f>IF(Comuni__2[[#This Row],[Popolazione2011]]&gt;300000,"MAGGIORE","")</f>
        <v/>
      </c>
    </row>
    <row r="6672" spans="1:8" x14ac:dyDescent="0.2">
      <c r="A6672"/>
      <c r="B6672"/>
      <c r="C6672"/>
      <c r="D6672"/>
      <c r="E6672" s="2">
        <f>Comuni__2[[#This Row],[Popolazione2011]]/$D$7911</f>
        <v>2.6816181195059958E-4</v>
      </c>
      <c r="F6672">
        <f>SUMIFS($D$2:$D$7909, $B$2:$B$7909, "Toscana")</f>
        <v>3672202</v>
      </c>
      <c r="G6672" s="1">
        <f>Comuni__2[[#This Row],[Popolazione2011]]/Comuni__2[[#This Row],[POPOLAZIONE TOTALE DI OGNI REGIONE (CON FILTRO)]]</f>
        <v>4.3393582379182847E-3</v>
      </c>
      <c r="H6672" t="str">
        <f>IF(Comuni__2[[#This Row],[Popolazione2011]]&gt;300000,"MAGGIORE","")</f>
        <v/>
      </c>
    </row>
    <row r="6673" spans="1:8" x14ac:dyDescent="0.2">
      <c r="A6673"/>
      <c r="B6673"/>
      <c r="C6673"/>
      <c r="D6673"/>
      <c r="E6673" s="2">
        <f>Comuni__2[[#This Row],[Popolazione2011]]/$D$7911</f>
        <v>2.5641553364865301E-4</v>
      </c>
      <c r="F6673">
        <f>SUMIFS($D$2:$D$7909, $B$2:$B$7909, "Toscana")</f>
        <v>3672202</v>
      </c>
      <c r="G6673" s="1">
        <f>Comuni__2[[#This Row],[Popolazione2011]]/Comuni__2[[#This Row],[POPOLAZIONE TOTALE DI OGNI REGIONE (CON FILTRO)]]</f>
        <v>4.1492815482372701E-3</v>
      </c>
      <c r="H6673" t="str">
        <f>IF(Comuni__2[[#This Row],[Popolazione2011]]&gt;300000,"MAGGIORE","")</f>
        <v/>
      </c>
    </row>
    <row r="6674" spans="1:8" x14ac:dyDescent="0.2">
      <c r="A6674"/>
      <c r="B6674"/>
      <c r="C6674"/>
      <c r="D6674"/>
      <c r="E6674" s="2">
        <f>Comuni__2[[#This Row],[Popolazione2011]]/$D$7911</f>
        <v>2.5363883462312125E-4</v>
      </c>
      <c r="F6674">
        <f>SUMIFS($D$2:$D$7909, $B$2:$B$7909, "Toscana")</f>
        <v>3672202</v>
      </c>
      <c r="G6674" s="1">
        <f>Comuni__2[[#This Row],[Popolazione2011]]/Comuni__2[[#This Row],[POPOLAZIONE TOTALE DI OGNI REGIONE (CON FILTRO)]]</f>
        <v>4.1043493794731337E-3</v>
      </c>
      <c r="H6674" t="str">
        <f>IF(Comuni__2[[#This Row],[Popolazione2011]]&gt;300000,"MAGGIORE","")</f>
        <v/>
      </c>
    </row>
    <row r="6675" spans="1:8" x14ac:dyDescent="0.2">
      <c r="A6675"/>
      <c r="B6675"/>
      <c r="C6675"/>
      <c r="D6675"/>
      <c r="E6675" s="2">
        <f>Comuni__2[[#This Row],[Popolazione2011]]/$D$7911</f>
        <v>2.4746278285118085E-4</v>
      </c>
      <c r="F6675">
        <f>SUMIFS($D$2:$D$7909, $B$2:$B$7909, "Toscana")</f>
        <v>3672202</v>
      </c>
      <c r="G6675" s="1">
        <f>Comuni__2[[#This Row],[Popolazione2011]]/Comuni__2[[#This Row],[POPOLAZIONE TOTALE DI OGNI REGIONE (CON FILTRO)]]</f>
        <v>4.004409343494721E-3</v>
      </c>
      <c r="H6675" t="str">
        <f>IF(Comuni__2[[#This Row],[Popolazione2011]]&gt;300000,"MAGGIORE","")</f>
        <v/>
      </c>
    </row>
    <row r="6676" spans="1:8" x14ac:dyDescent="0.2">
      <c r="A6676"/>
      <c r="B6676"/>
      <c r="C6676"/>
      <c r="D6676"/>
      <c r="E6676" s="2">
        <f>Comuni__2[[#This Row],[Popolazione2011]]/$D$7911</f>
        <v>2.4682330065136141E-4</v>
      </c>
      <c r="F6676">
        <f>SUMIFS($D$2:$D$7909, $B$2:$B$7909, "Toscana")</f>
        <v>3672202</v>
      </c>
      <c r="G6676" s="1">
        <f>Comuni__2[[#This Row],[Popolazione2011]]/Comuni__2[[#This Row],[POPOLAZIONE TOTALE DI OGNI REGIONE (CON FILTRO)]]</f>
        <v>3.9940613288702524E-3</v>
      </c>
      <c r="H6676" t="str">
        <f>IF(Comuni__2[[#This Row],[Popolazione2011]]&gt;300000,"MAGGIORE","")</f>
        <v/>
      </c>
    </row>
    <row r="6677" spans="1:8" x14ac:dyDescent="0.2">
      <c r="A6677"/>
      <c r="B6677"/>
      <c r="C6677"/>
      <c r="D6677"/>
      <c r="E6677" s="2">
        <f>Comuni__2[[#This Row],[Popolazione2011]]/$D$7911</f>
        <v>2.3958705470603618E-4</v>
      </c>
      <c r="F6677">
        <f>SUMIFS($D$2:$D$7909, $B$2:$B$7909, "Toscana")</f>
        <v>3672202</v>
      </c>
      <c r="G6677" s="1">
        <f>Comuni__2[[#This Row],[Popolazione2011]]/Comuni__2[[#This Row],[POPOLAZIONE TOTALE DI OGNI REGIONE (CON FILTRO)]]</f>
        <v>3.8769653739091697E-3</v>
      </c>
      <c r="H6677" t="str">
        <f>IF(Comuni__2[[#This Row],[Popolazione2011]]&gt;300000,"MAGGIORE","")</f>
        <v/>
      </c>
    </row>
    <row r="6678" spans="1:8" x14ac:dyDescent="0.2">
      <c r="A6678"/>
      <c r="B6678"/>
      <c r="C6678"/>
      <c r="D6678"/>
      <c r="E6678" s="2">
        <f>Comuni__2[[#This Row],[Popolazione2011]]/$D$7911</f>
        <v>2.3736569548561074E-4</v>
      </c>
      <c r="F6678">
        <f>SUMIFS($D$2:$D$7909, $B$2:$B$7909, "Toscana")</f>
        <v>3672202</v>
      </c>
      <c r="G6678" s="1">
        <f>Comuni__2[[#This Row],[Popolazione2011]]/Comuni__2[[#This Row],[POPOLAZIONE TOTALE DI OGNI REGIONE (CON FILTRO)]]</f>
        <v>3.8410196388978602E-3</v>
      </c>
      <c r="H6678" t="str">
        <f>IF(Comuni__2[[#This Row],[Popolazione2011]]&gt;300000,"MAGGIORE","")</f>
        <v/>
      </c>
    </row>
    <row r="6679" spans="1:8" x14ac:dyDescent="0.2">
      <c r="A6679"/>
      <c r="B6679"/>
      <c r="C6679"/>
      <c r="D6679"/>
      <c r="E6679" s="2">
        <f>Comuni__2[[#This Row],[Popolazione2011]]/$D$7911</f>
        <v>2.366252424121356E-4</v>
      </c>
      <c r="F6679">
        <f>SUMIFS($D$2:$D$7909, $B$2:$B$7909, "Toscana")</f>
        <v>3672202</v>
      </c>
      <c r="G6679" s="1">
        <f>Comuni__2[[#This Row],[Popolazione2011]]/Comuni__2[[#This Row],[POPOLAZIONE TOTALE DI OGNI REGIONE (CON FILTRO)]]</f>
        <v>3.8290377272274237E-3</v>
      </c>
      <c r="H6679" t="str">
        <f>IF(Comuni__2[[#This Row],[Popolazione2011]]&gt;300000,"MAGGIORE","")</f>
        <v/>
      </c>
    </row>
    <row r="6680" spans="1:8" x14ac:dyDescent="0.2">
      <c r="A6680"/>
      <c r="B6680"/>
      <c r="C6680"/>
      <c r="D6680"/>
      <c r="E6680" s="2">
        <f>Comuni__2[[#This Row],[Popolazione2011]]/$D$7911</f>
        <v>2.3544724888615242E-4</v>
      </c>
      <c r="F6680">
        <f>SUMIFS($D$2:$D$7909, $B$2:$B$7909, "Toscana")</f>
        <v>3672202</v>
      </c>
      <c r="G6680" s="1">
        <f>Comuni__2[[#This Row],[Popolazione2011]]/Comuni__2[[#This Row],[POPOLAZIONE TOTALE DI OGNI REGIONE (CON FILTRO)]]</f>
        <v>3.8099755950244565E-3</v>
      </c>
      <c r="H6680" t="str">
        <f>IF(Comuni__2[[#This Row],[Popolazione2011]]&gt;300000,"MAGGIORE","")</f>
        <v/>
      </c>
    </row>
    <row r="6681" spans="1:8" x14ac:dyDescent="0.2">
      <c r="A6681"/>
      <c r="B6681"/>
      <c r="C6681"/>
      <c r="D6681"/>
      <c r="E6681" s="2">
        <f>Comuni__2[[#This Row],[Popolazione2011]]/$D$7911</f>
        <v>2.3543042040720982E-4</v>
      </c>
      <c r="F6681">
        <f>SUMIFS($D$2:$D$7909, $B$2:$B$7909, "Toscana")</f>
        <v>3672202</v>
      </c>
      <c r="G6681" s="1">
        <f>Comuni__2[[#This Row],[Popolazione2011]]/Comuni__2[[#This Row],[POPOLAZIONE TOTALE DI OGNI REGIONE (CON FILTRO)]]</f>
        <v>3.8097032788501285E-3</v>
      </c>
      <c r="H6681" t="str">
        <f>IF(Comuni__2[[#This Row],[Popolazione2011]]&gt;300000,"MAGGIORE","")</f>
        <v/>
      </c>
    </row>
    <row r="6682" spans="1:8" x14ac:dyDescent="0.2">
      <c r="A6682"/>
      <c r="B6682"/>
      <c r="C6682"/>
      <c r="D6682"/>
      <c r="E6682" s="2">
        <f>Comuni__2[[#This Row],[Popolazione2011]]/$D$7911</f>
        <v>2.3368025859717766E-4</v>
      </c>
      <c r="F6682">
        <f>SUMIFS($D$2:$D$7909, $B$2:$B$7909, "Toscana")</f>
        <v>3672202</v>
      </c>
      <c r="G6682" s="1">
        <f>Comuni__2[[#This Row],[Popolazione2011]]/Comuni__2[[#This Row],[POPOLAZIONE TOTALE DI OGNI REGIONE (CON FILTRO)]]</f>
        <v>3.781382396720006E-3</v>
      </c>
      <c r="H6682" t="str">
        <f>IF(Comuni__2[[#This Row],[Popolazione2011]]&gt;300000,"MAGGIORE","")</f>
        <v/>
      </c>
    </row>
    <row r="6683" spans="1:8" x14ac:dyDescent="0.2">
      <c r="A6683"/>
      <c r="B6683"/>
      <c r="C6683"/>
      <c r="D6683"/>
      <c r="E6683" s="2">
        <f>Comuni__2[[#This Row],[Popolazione2011]]/$D$7911</f>
        <v>2.2975922300354793E-4</v>
      </c>
      <c r="F6683">
        <f>SUMIFS($D$2:$D$7909, $B$2:$B$7909, "Toscana")</f>
        <v>3672202</v>
      </c>
      <c r="G6683" s="1">
        <f>Comuni__2[[#This Row],[Popolazione2011]]/Comuni__2[[#This Row],[POPOLAZIONE TOTALE DI OGNI REGIONE (CON FILTRO)]]</f>
        <v>3.7179327281015588E-3</v>
      </c>
      <c r="H6683" t="str">
        <f>IF(Comuni__2[[#This Row],[Popolazione2011]]&gt;300000,"MAGGIORE","")</f>
        <v/>
      </c>
    </row>
    <row r="6684" spans="1:8" x14ac:dyDescent="0.2">
      <c r="A6684"/>
      <c r="B6684"/>
      <c r="C6684"/>
      <c r="D6684"/>
      <c r="E6684" s="2">
        <f>Comuni__2[[#This Row],[Popolazione2011]]/$D$7911</f>
        <v>2.2277540424236195E-4</v>
      </c>
      <c r="F6684">
        <f>SUMIFS($D$2:$D$7909, $B$2:$B$7909, "Toscana")</f>
        <v>3672202</v>
      </c>
      <c r="G6684" s="1">
        <f>Comuni__2[[#This Row],[Popolazione2011]]/Comuni__2[[#This Row],[POPOLAZIONE TOTALE DI OGNI REGIONE (CON FILTRO)]]</f>
        <v>3.6049215157553968E-3</v>
      </c>
      <c r="H6684" t="str">
        <f>IF(Comuni__2[[#This Row],[Popolazione2011]]&gt;300000,"MAGGIORE","")</f>
        <v/>
      </c>
    </row>
    <row r="6685" spans="1:8" x14ac:dyDescent="0.2">
      <c r="A6685"/>
      <c r="B6685"/>
      <c r="C6685"/>
      <c r="D6685"/>
      <c r="E6685" s="2">
        <f>Comuni__2[[#This Row],[Popolazione2011]]/$D$7911</f>
        <v>2.2247249162139483E-4</v>
      </c>
      <c r="F6685">
        <f>SUMIFS($D$2:$D$7909, $B$2:$B$7909, "Toscana")</f>
        <v>3672202</v>
      </c>
      <c r="G6685" s="1">
        <f>Comuni__2[[#This Row],[Popolazione2011]]/Comuni__2[[#This Row],[POPOLAZIONE TOTALE DI OGNI REGIONE (CON FILTRO)]]</f>
        <v>3.6000198246174909E-3</v>
      </c>
      <c r="H6685" t="str">
        <f>IF(Comuni__2[[#This Row],[Popolazione2011]]&gt;300000,"MAGGIORE","")</f>
        <v/>
      </c>
    </row>
    <row r="6686" spans="1:8" x14ac:dyDescent="0.2">
      <c r="A6686"/>
      <c r="B6686"/>
      <c r="C6686"/>
      <c r="D6686"/>
      <c r="E6686" s="2">
        <f>Comuni__2[[#This Row],[Popolazione2011]]/$D$7911</f>
        <v>2.2205177964782942E-4</v>
      </c>
      <c r="F6686">
        <f>SUMIFS($D$2:$D$7909, $B$2:$B$7909, "Toscana")</f>
        <v>3672202</v>
      </c>
      <c r="G6686" s="1">
        <f>Comuni__2[[#This Row],[Popolazione2011]]/Comuni__2[[#This Row],[POPOLAZIONE TOTALE DI OGNI REGIONE (CON FILTRO)]]</f>
        <v>3.5932119202592887E-3</v>
      </c>
      <c r="H6686" t="str">
        <f>IF(Comuni__2[[#This Row],[Popolazione2011]]&gt;300000,"MAGGIORE","")</f>
        <v/>
      </c>
    </row>
    <row r="6687" spans="1:8" x14ac:dyDescent="0.2">
      <c r="A6687"/>
      <c r="B6687"/>
      <c r="C6687"/>
      <c r="D6687"/>
      <c r="E6687" s="2">
        <f>Comuni__2[[#This Row],[Popolazione2011]]/$D$7911</f>
        <v>2.2156375375849353E-4</v>
      </c>
      <c r="F6687">
        <f>SUMIFS($D$2:$D$7909, $B$2:$B$7909, "Toscana")</f>
        <v>3672202</v>
      </c>
      <c r="G6687" s="1">
        <f>Comuni__2[[#This Row],[Popolazione2011]]/Comuni__2[[#This Row],[POPOLAZIONE TOTALE DI OGNI REGIONE (CON FILTRO)]]</f>
        <v>3.5853147512037737E-3</v>
      </c>
      <c r="H6687" t="str">
        <f>IF(Comuni__2[[#This Row],[Popolazione2011]]&gt;300000,"MAGGIORE","")</f>
        <v/>
      </c>
    </row>
    <row r="6688" spans="1:8" x14ac:dyDescent="0.2">
      <c r="A6688"/>
      <c r="B6688"/>
      <c r="C6688"/>
      <c r="D6688"/>
      <c r="E6688" s="2">
        <f>Comuni__2[[#This Row],[Popolazione2011]]/$D$7911</f>
        <v>2.1715469227552792E-4</v>
      </c>
      <c r="F6688">
        <f>SUMIFS($D$2:$D$7909, $B$2:$B$7909, "Toscana")</f>
        <v>3672202</v>
      </c>
      <c r="G6688" s="1">
        <f>Comuni__2[[#This Row],[Popolazione2011]]/Comuni__2[[#This Row],[POPOLAZIONE TOTALE DI OGNI REGIONE (CON FILTRO)]]</f>
        <v>3.5139679135298115E-3</v>
      </c>
      <c r="H6688" t="str">
        <f>IF(Comuni__2[[#This Row],[Popolazione2011]]&gt;300000,"MAGGIORE","")</f>
        <v/>
      </c>
    </row>
    <row r="6689" spans="1:8" x14ac:dyDescent="0.2">
      <c r="A6689"/>
      <c r="B6689"/>
      <c r="C6689"/>
      <c r="D6689"/>
      <c r="E6689" s="2">
        <f>Comuni__2[[#This Row],[Popolazione2011]]/$D$7911</f>
        <v>2.1619546897579873E-4</v>
      </c>
      <c r="F6689">
        <f>SUMIFS($D$2:$D$7909, $B$2:$B$7909, "Toscana")</f>
        <v>3672202</v>
      </c>
      <c r="G6689" s="1">
        <f>Comuni__2[[#This Row],[Popolazione2011]]/Comuni__2[[#This Row],[POPOLAZIONE TOTALE DI OGNI REGIONE (CON FILTRO)]]</f>
        <v>3.4984458915931094E-3</v>
      </c>
      <c r="H6689" t="str">
        <f>IF(Comuni__2[[#This Row],[Popolazione2011]]&gt;300000,"MAGGIORE","")</f>
        <v/>
      </c>
    </row>
    <row r="6690" spans="1:8" x14ac:dyDescent="0.2">
      <c r="A6690"/>
      <c r="B6690"/>
      <c r="C6690"/>
      <c r="D6690"/>
      <c r="E6690" s="2">
        <f>Comuni__2[[#This Row],[Popolazione2011]]/$D$7911</f>
        <v>2.1129838160349724E-4</v>
      </c>
      <c r="F6690">
        <f>SUMIFS($D$2:$D$7909, $B$2:$B$7909, "Toscana")</f>
        <v>3672202</v>
      </c>
      <c r="G6690" s="1">
        <f>Comuni__2[[#This Row],[Popolazione2011]]/Comuni__2[[#This Row],[POPOLAZIONE TOTALE DI OGNI REGIONE (CON FILTRO)]]</f>
        <v>3.4192018848636322E-3</v>
      </c>
      <c r="H6690" t="str">
        <f>IF(Comuni__2[[#This Row],[Popolazione2011]]&gt;300000,"MAGGIORE","")</f>
        <v/>
      </c>
    </row>
    <row r="6691" spans="1:8" x14ac:dyDescent="0.2">
      <c r="A6691"/>
      <c r="B6691"/>
      <c r="C6691"/>
      <c r="D6691"/>
      <c r="E6691" s="2">
        <f>Comuni__2[[#This Row],[Popolazione2011]]/$D$7911</f>
        <v>2.0995210328808789E-4</v>
      </c>
      <c r="F6691">
        <f>SUMIFS($D$2:$D$7909, $B$2:$B$7909, "Toscana")</f>
        <v>3672202</v>
      </c>
      <c r="G6691" s="1">
        <f>Comuni__2[[#This Row],[Popolazione2011]]/Comuni__2[[#This Row],[POPOLAZIONE TOTALE DI OGNI REGIONE (CON FILTRO)]]</f>
        <v>3.3974165909173844E-3</v>
      </c>
      <c r="H6691" t="str">
        <f>IF(Comuni__2[[#This Row],[Popolazione2011]]&gt;300000,"MAGGIORE","")</f>
        <v/>
      </c>
    </row>
    <row r="6692" spans="1:8" x14ac:dyDescent="0.2">
      <c r="A6692"/>
      <c r="B6692"/>
      <c r="C6692"/>
      <c r="D6692"/>
      <c r="E6692" s="2">
        <f>Comuni__2[[#This Row],[Popolazione2011]]/$D$7911</f>
        <v>2.0810097060440004E-4</v>
      </c>
      <c r="F6692">
        <f>SUMIFS($D$2:$D$7909, $B$2:$B$7909, "Toscana")</f>
        <v>3672202</v>
      </c>
      <c r="G6692" s="1">
        <f>Comuni__2[[#This Row],[Popolazione2011]]/Comuni__2[[#This Row],[POPOLAZIONE TOTALE DI OGNI REGIONE (CON FILTRO)]]</f>
        <v>3.3674618117412931E-3</v>
      </c>
      <c r="H6692" t="str">
        <f>IF(Comuni__2[[#This Row],[Popolazione2011]]&gt;300000,"MAGGIORE","")</f>
        <v/>
      </c>
    </row>
    <row r="6693" spans="1:8" x14ac:dyDescent="0.2">
      <c r="A6693"/>
      <c r="B6693"/>
      <c r="C6693"/>
      <c r="D6693"/>
      <c r="E6693" s="2">
        <f>Comuni__2[[#This Row],[Popolazione2011]]/$D$7911</f>
        <v>2.0810097060440004E-4</v>
      </c>
      <c r="F6693">
        <f>SUMIFS($D$2:$D$7909, $B$2:$B$7909, "Toscana")</f>
        <v>3672202</v>
      </c>
      <c r="G6693" s="1">
        <f>Comuni__2[[#This Row],[Popolazione2011]]/Comuni__2[[#This Row],[POPOLAZIONE TOTALE DI OGNI REGIONE (CON FILTRO)]]</f>
        <v>3.3674618117412931E-3</v>
      </c>
      <c r="H6693" t="str">
        <f>IF(Comuni__2[[#This Row],[Popolazione2011]]&gt;300000,"MAGGIORE","")</f>
        <v/>
      </c>
    </row>
    <row r="6694" spans="1:8" x14ac:dyDescent="0.2">
      <c r="A6694"/>
      <c r="B6694"/>
      <c r="C6694"/>
      <c r="D6694"/>
      <c r="E6694" s="2">
        <f>Comuni__2[[#This Row],[Popolazione2011]]/$D$7911</f>
        <v>2.0702394795207255E-4</v>
      </c>
      <c r="F6694">
        <f>SUMIFS($D$2:$D$7909, $B$2:$B$7909, "Toscana")</f>
        <v>3672202</v>
      </c>
      <c r="G6694" s="1">
        <f>Comuni__2[[#This Row],[Popolazione2011]]/Comuni__2[[#This Row],[POPOLAZIONE TOTALE DI OGNI REGIONE (CON FILTRO)]]</f>
        <v>3.3500335765842947E-3</v>
      </c>
      <c r="H6694" t="str">
        <f>IF(Comuni__2[[#This Row],[Popolazione2011]]&gt;300000,"MAGGIORE","")</f>
        <v/>
      </c>
    </row>
    <row r="6695" spans="1:8" x14ac:dyDescent="0.2">
      <c r="A6695"/>
      <c r="B6695"/>
      <c r="C6695"/>
      <c r="D6695"/>
      <c r="E6695" s="2">
        <f>Comuni__2[[#This Row],[Popolazione2011]]/$D$7911</f>
        <v>2.0672103533110546E-4</v>
      </c>
      <c r="F6695">
        <f>SUMIFS($D$2:$D$7909, $B$2:$B$7909, "Toscana")</f>
        <v>3672202</v>
      </c>
      <c r="G6695" s="1">
        <f>Comuni__2[[#This Row],[Popolazione2011]]/Comuni__2[[#This Row],[POPOLAZIONE TOTALE DI OGNI REGIONE (CON FILTRO)]]</f>
        <v>3.3451318854463888E-3</v>
      </c>
      <c r="H6695" t="str">
        <f>IF(Comuni__2[[#This Row],[Popolazione2011]]&gt;300000,"MAGGIORE","")</f>
        <v/>
      </c>
    </row>
    <row r="6696" spans="1:8" x14ac:dyDescent="0.2">
      <c r="A6696"/>
      <c r="B6696"/>
      <c r="C6696"/>
      <c r="D6696"/>
      <c r="E6696" s="2">
        <f>Comuni__2[[#This Row],[Popolazione2011]]/$D$7911</f>
        <v>2.0237928776391031E-4</v>
      </c>
      <c r="F6696">
        <f>SUMIFS($D$2:$D$7909, $B$2:$B$7909, "Toscana")</f>
        <v>3672202</v>
      </c>
      <c r="G6696" s="1">
        <f>Comuni__2[[#This Row],[Popolazione2011]]/Comuni__2[[#This Row],[POPOLAZIONE TOTALE DI OGNI REGIONE (CON FILTRO)]]</f>
        <v>3.274874312469739E-3</v>
      </c>
      <c r="H6696" t="str">
        <f>IF(Comuni__2[[#This Row],[Popolazione2011]]&gt;300000,"MAGGIORE","")</f>
        <v/>
      </c>
    </row>
    <row r="6697" spans="1:8" x14ac:dyDescent="0.2">
      <c r="A6697"/>
      <c r="B6697"/>
      <c r="C6697"/>
      <c r="D6697"/>
      <c r="E6697" s="2">
        <f>Comuni__2[[#This Row],[Popolazione2011]]/$D$7911</f>
        <v>2.0140323598523852E-4</v>
      </c>
      <c r="F6697">
        <f>SUMIFS($D$2:$D$7909, $B$2:$B$7909, "Toscana")</f>
        <v>3672202</v>
      </c>
      <c r="G6697" s="1">
        <f>Comuni__2[[#This Row],[Popolazione2011]]/Comuni__2[[#This Row],[POPOLAZIONE TOTALE DI OGNI REGIONE (CON FILTRO)]]</f>
        <v>3.259079974358709E-3</v>
      </c>
      <c r="H6697" t="str">
        <f>IF(Comuni__2[[#This Row],[Popolazione2011]]&gt;300000,"MAGGIORE","")</f>
        <v/>
      </c>
    </row>
    <row r="6698" spans="1:8" x14ac:dyDescent="0.2">
      <c r="A6698"/>
      <c r="B6698"/>
      <c r="C6698"/>
      <c r="D6698"/>
      <c r="E6698" s="2">
        <f>Comuni__2[[#This Row],[Popolazione2011]]/$D$7911</f>
        <v>1.9662394796553535E-4</v>
      </c>
      <c r="F6698">
        <f>SUMIFS($D$2:$D$7909, $B$2:$B$7909, "Toscana")</f>
        <v>3672202</v>
      </c>
      <c r="G6698" s="1">
        <f>Comuni__2[[#This Row],[Popolazione2011]]/Comuni__2[[#This Row],[POPOLAZIONE TOTALE DI OGNI REGIONE (CON FILTRO)]]</f>
        <v>3.1817421808495285E-3</v>
      </c>
      <c r="H6698" t="str">
        <f>IF(Comuni__2[[#This Row],[Popolazione2011]]&gt;300000,"MAGGIORE","")</f>
        <v/>
      </c>
    </row>
    <row r="6699" spans="1:8" x14ac:dyDescent="0.2">
      <c r="A6699"/>
      <c r="B6699"/>
      <c r="C6699"/>
      <c r="D6699"/>
      <c r="E6699" s="2">
        <f>Comuni__2[[#This Row],[Popolazione2011]]/$D$7911</f>
        <v>1.9590032337100282E-4</v>
      </c>
      <c r="F6699">
        <f>SUMIFS($D$2:$D$7909, $B$2:$B$7909, "Toscana")</f>
        <v>3672202</v>
      </c>
      <c r="G6699" s="1">
        <f>Comuni__2[[#This Row],[Popolazione2011]]/Comuni__2[[#This Row],[POPOLAZIONE TOTALE DI OGNI REGIONE (CON FILTRO)]]</f>
        <v>3.17003258535342E-3</v>
      </c>
      <c r="H6699" t="str">
        <f>IF(Comuni__2[[#This Row],[Popolazione2011]]&gt;300000,"MAGGIORE","")</f>
        <v/>
      </c>
    </row>
    <row r="6700" spans="1:8" x14ac:dyDescent="0.2">
      <c r="A6700"/>
      <c r="B6700"/>
      <c r="C6700"/>
      <c r="D6700"/>
      <c r="E6700" s="2">
        <f>Comuni__2[[#This Row],[Popolazione2011]]/$D$7911</f>
        <v>1.9381359198211834E-4</v>
      </c>
      <c r="F6700">
        <f>SUMIFS($D$2:$D$7909, $B$2:$B$7909, "Toscana")</f>
        <v>3672202</v>
      </c>
      <c r="G6700" s="1">
        <f>Comuni__2[[#This Row],[Popolazione2011]]/Comuni__2[[#This Row],[POPOLAZIONE TOTALE DI OGNI REGIONE (CON FILTRO)]]</f>
        <v>3.1362653797367356E-3</v>
      </c>
      <c r="H6700" t="str">
        <f>IF(Comuni__2[[#This Row],[Popolazione2011]]&gt;300000,"MAGGIORE","")</f>
        <v/>
      </c>
    </row>
    <row r="6701" spans="1:8" x14ac:dyDescent="0.2">
      <c r="A6701"/>
      <c r="B6701"/>
      <c r="C6701"/>
      <c r="D6701"/>
      <c r="E6701" s="2">
        <f>Comuni__2[[#This Row],[Popolazione2011]]/$D$7911</f>
        <v>1.898925563884886E-4</v>
      </c>
      <c r="F6701">
        <f>SUMIFS($D$2:$D$7909, $B$2:$B$7909, "Toscana")</f>
        <v>3672202</v>
      </c>
      <c r="G6701" s="1">
        <f>Comuni__2[[#This Row],[Popolazione2011]]/Comuni__2[[#This Row],[POPOLAZIONE TOTALE DI OGNI REGIONE (CON FILTRO)]]</f>
        <v>3.072815711118288E-3</v>
      </c>
      <c r="H6701" t="str">
        <f>IF(Comuni__2[[#This Row],[Popolazione2011]]&gt;300000,"MAGGIORE","")</f>
        <v/>
      </c>
    </row>
    <row r="6702" spans="1:8" x14ac:dyDescent="0.2">
      <c r="A6702"/>
      <c r="B6702"/>
      <c r="C6702"/>
      <c r="D6702"/>
      <c r="E6702" s="2">
        <f>Comuni__2[[#This Row],[Popolazione2011]]/$D$7911</f>
        <v>1.8792362435220242E-4</v>
      </c>
      <c r="F6702">
        <f>SUMIFS($D$2:$D$7909, $B$2:$B$7909, "Toscana")</f>
        <v>3672202</v>
      </c>
      <c r="G6702" s="1">
        <f>Comuni__2[[#This Row],[Popolazione2011]]/Comuni__2[[#This Row],[POPOLAZIONE TOTALE DI OGNI REGIONE (CON FILTRO)]]</f>
        <v>3.0409547187219004E-3</v>
      </c>
      <c r="H6702" t="str">
        <f>IF(Comuni__2[[#This Row],[Popolazione2011]]&gt;300000,"MAGGIORE","")</f>
        <v/>
      </c>
    </row>
    <row r="6703" spans="1:8" x14ac:dyDescent="0.2">
      <c r="A6703"/>
      <c r="B6703"/>
      <c r="C6703"/>
      <c r="D6703"/>
      <c r="E6703" s="2">
        <f>Comuni__2[[#This Row],[Popolazione2011]]/$D$7911</f>
        <v>1.7987961141763156E-4</v>
      </c>
      <c r="F6703">
        <f>SUMIFS($D$2:$D$7909, $B$2:$B$7909, "Toscana")</f>
        <v>3672202</v>
      </c>
      <c r="G6703" s="1">
        <f>Comuni__2[[#This Row],[Popolazione2011]]/Comuni__2[[#This Row],[POPOLAZIONE TOTALE DI OGNI REGIONE (CON FILTRO)]]</f>
        <v>2.9107875873930684E-3</v>
      </c>
      <c r="H6703" t="str">
        <f>IF(Comuni__2[[#This Row],[Popolazione2011]]&gt;300000,"MAGGIORE","")</f>
        <v/>
      </c>
    </row>
    <row r="6704" spans="1:8" x14ac:dyDescent="0.2">
      <c r="A6704"/>
      <c r="B6704"/>
      <c r="C6704"/>
      <c r="D6704"/>
      <c r="E6704" s="2">
        <f>Comuni__2[[#This Row],[Popolazione2011]]/$D$7911</f>
        <v>1.7976181206503326E-4</v>
      </c>
      <c r="F6704">
        <f>SUMIFS($D$2:$D$7909, $B$2:$B$7909, "Toscana")</f>
        <v>3672202</v>
      </c>
      <c r="G6704" s="1">
        <f>Comuni__2[[#This Row],[Popolazione2011]]/Comuni__2[[#This Row],[POPOLAZIONE TOTALE DI OGNI REGIONE (CON FILTRO)]]</f>
        <v>2.9088813741727716E-3</v>
      </c>
      <c r="H6704" t="str">
        <f>IF(Comuni__2[[#This Row],[Popolazione2011]]&gt;300000,"MAGGIORE","")</f>
        <v/>
      </c>
    </row>
    <row r="6705" spans="1:8" x14ac:dyDescent="0.2">
      <c r="A6705"/>
      <c r="B6705"/>
      <c r="C6705"/>
      <c r="D6705"/>
      <c r="E6705" s="2">
        <f>Comuni__2[[#This Row],[Popolazione2011]]/$D$7911</f>
        <v>1.7604271821871492E-4</v>
      </c>
      <c r="F6705">
        <f>SUMIFS($D$2:$D$7909, $B$2:$B$7909, "Toscana")</f>
        <v>3672202</v>
      </c>
      <c r="G6705" s="1">
        <f>Comuni__2[[#This Row],[Popolazione2011]]/Comuni__2[[#This Row],[POPOLAZIONE TOTALE DI OGNI REGIONE (CON FILTRO)]]</f>
        <v>2.8486994996462611E-3</v>
      </c>
      <c r="H6705" t="str">
        <f>IF(Comuni__2[[#This Row],[Popolazione2011]]&gt;300000,"MAGGIORE","")</f>
        <v/>
      </c>
    </row>
    <row r="6706" spans="1:8" x14ac:dyDescent="0.2">
      <c r="A6706"/>
      <c r="B6706"/>
      <c r="C6706"/>
      <c r="D6706"/>
      <c r="E6706" s="2">
        <f>Comuni__2[[#This Row],[Popolazione2011]]/$D$7911</f>
        <v>1.7441035576128109E-4</v>
      </c>
      <c r="F6706">
        <f>SUMIFS($D$2:$D$7909, $B$2:$B$7909, "Toscana")</f>
        <v>3672202</v>
      </c>
      <c r="G6706" s="1">
        <f>Comuni__2[[#This Row],[Popolazione2011]]/Comuni__2[[#This Row],[POPOLAZIONE TOTALE DI OGNI REGIONE (CON FILTRO)]]</f>
        <v>2.8222848307364354E-3</v>
      </c>
      <c r="H6706" t="str">
        <f>IF(Comuni__2[[#This Row],[Popolazione2011]]&gt;300000,"MAGGIORE","")</f>
        <v/>
      </c>
    </row>
    <row r="6707" spans="1:8" x14ac:dyDescent="0.2">
      <c r="A6707"/>
      <c r="B6707"/>
      <c r="C6707"/>
      <c r="D6707"/>
      <c r="E6707" s="2">
        <f>Comuni__2[[#This Row],[Popolazione2011]]/$D$7911</f>
        <v>1.7208802566719996E-4</v>
      </c>
      <c r="F6707">
        <f>SUMIFS($D$2:$D$7909, $B$2:$B$7909, "Toscana")</f>
        <v>3672202</v>
      </c>
      <c r="G6707" s="1">
        <f>Comuni__2[[#This Row],[Popolazione2011]]/Comuni__2[[#This Row],[POPOLAZIONE TOTALE DI OGNI REGIONE (CON FILTRO)]]</f>
        <v>2.7847051986791575E-3</v>
      </c>
      <c r="H6707" t="str">
        <f>IF(Comuni__2[[#This Row],[Popolazione2011]]&gt;300000,"MAGGIORE","")</f>
        <v/>
      </c>
    </row>
    <row r="6708" spans="1:8" x14ac:dyDescent="0.2">
      <c r="A6708"/>
      <c r="B6708"/>
      <c r="C6708"/>
      <c r="D6708"/>
      <c r="E6708" s="2">
        <f>Comuni__2[[#This Row],[Popolazione2011]]/$D$7911</f>
        <v>1.7038834929399566E-4</v>
      </c>
      <c r="F6708">
        <f>SUMIFS($D$2:$D$7909, $B$2:$B$7909, "Toscana")</f>
        <v>3672202</v>
      </c>
      <c r="G6708" s="1">
        <f>Comuni__2[[#This Row],[Popolazione2011]]/Comuni__2[[#This Row],[POPOLAZIONE TOTALE DI OGNI REGIONE (CON FILTRO)]]</f>
        <v>2.7572012650720194E-3</v>
      </c>
      <c r="H6708" t="str">
        <f>IF(Comuni__2[[#This Row],[Popolazione2011]]&gt;300000,"MAGGIORE","")</f>
        <v/>
      </c>
    </row>
    <row r="6709" spans="1:8" x14ac:dyDescent="0.2">
      <c r="A6709"/>
      <c r="B6709"/>
      <c r="C6709"/>
      <c r="D6709"/>
      <c r="E6709" s="2">
        <f>Comuni__2[[#This Row],[Popolazione2011]]/$D$7911</f>
        <v>1.6884012923127492E-4</v>
      </c>
      <c r="F6709">
        <f>SUMIFS($D$2:$D$7909, $B$2:$B$7909, "Toscana")</f>
        <v>3672202</v>
      </c>
      <c r="G6709" s="1">
        <f>Comuni__2[[#This Row],[Popolazione2011]]/Comuni__2[[#This Row],[POPOLAZIONE TOTALE DI OGNI REGIONE (CON FILTRO)]]</f>
        <v>2.732148177033834E-3</v>
      </c>
      <c r="H6709" t="str">
        <f>IF(Comuni__2[[#This Row],[Popolazione2011]]&gt;300000,"MAGGIORE","")</f>
        <v/>
      </c>
    </row>
    <row r="6710" spans="1:8" x14ac:dyDescent="0.2">
      <c r="A6710"/>
      <c r="B6710"/>
      <c r="C6710"/>
      <c r="D6710"/>
      <c r="E6710" s="2">
        <f>Comuni__2[[#This Row],[Popolazione2011]]/$D$7911</f>
        <v>1.6719093829489846E-4</v>
      </c>
      <c r="F6710">
        <f>SUMIFS($D$2:$D$7909, $B$2:$B$7909, "Toscana")</f>
        <v>3672202</v>
      </c>
      <c r="G6710" s="1">
        <f>Comuni__2[[#This Row],[Popolazione2011]]/Comuni__2[[#This Row],[POPOLAZIONE TOTALE DI OGNI REGIONE (CON FILTRO)]]</f>
        <v>2.7054611919496803E-3</v>
      </c>
      <c r="H6710" t="str">
        <f>IF(Comuni__2[[#This Row],[Popolazione2011]]&gt;300000,"MAGGIORE","")</f>
        <v/>
      </c>
    </row>
    <row r="6711" spans="1:8" x14ac:dyDescent="0.2">
      <c r="A6711"/>
      <c r="B6711"/>
      <c r="C6711"/>
      <c r="D6711"/>
      <c r="E6711" s="2">
        <f>Comuni__2[[#This Row],[Popolazione2011]]/$D$7911</f>
        <v>1.6527249169544014E-4</v>
      </c>
      <c r="F6711">
        <f>SUMIFS($D$2:$D$7909, $B$2:$B$7909, "Toscana")</f>
        <v>3672202</v>
      </c>
      <c r="G6711" s="1">
        <f>Comuni__2[[#This Row],[Popolazione2011]]/Comuni__2[[#This Row],[POPOLAZIONE TOTALE DI OGNI REGIONE (CON FILTRO)]]</f>
        <v>2.674417148076277E-3</v>
      </c>
      <c r="H6711" t="str">
        <f>IF(Comuni__2[[#This Row],[Popolazione2011]]&gt;300000,"MAGGIORE","")</f>
        <v/>
      </c>
    </row>
    <row r="6712" spans="1:8" x14ac:dyDescent="0.2">
      <c r="A6712"/>
      <c r="B6712"/>
      <c r="C6712"/>
      <c r="D6712"/>
      <c r="E6712" s="2">
        <f>Comuni__2[[#This Row],[Popolazione2011]]/$D$7911</f>
        <v>1.6199093830162985E-4</v>
      </c>
      <c r="F6712">
        <f>SUMIFS($D$2:$D$7909, $B$2:$B$7909, "Toscana")</f>
        <v>3672202</v>
      </c>
      <c r="G6712" s="1">
        <f>Comuni__2[[#This Row],[Popolazione2011]]/Comuni__2[[#This Row],[POPOLAZIONE TOTALE DI OGNI REGIONE (CON FILTRO)]]</f>
        <v>2.6213154940822971E-3</v>
      </c>
      <c r="H6712" t="str">
        <f>IF(Comuni__2[[#This Row],[Popolazione2011]]&gt;300000,"MAGGIORE","")</f>
        <v/>
      </c>
    </row>
    <row r="6713" spans="1:8" x14ac:dyDescent="0.2">
      <c r="A6713"/>
      <c r="B6713"/>
      <c r="C6713"/>
      <c r="D6713"/>
      <c r="E6713" s="2">
        <f>Comuni__2[[#This Row],[Popolazione2011]]/$D$7911</f>
        <v>1.6017346257582722E-4</v>
      </c>
      <c r="F6713">
        <f>SUMIFS($D$2:$D$7909, $B$2:$B$7909, "Toscana")</f>
        <v>3672202</v>
      </c>
      <c r="G6713" s="1">
        <f>Comuni__2[[#This Row],[Popolazione2011]]/Comuni__2[[#This Row],[POPOLAZIONE TOTALE DI OGNI REGIONE (CON FILTRO)]]</f>
        <v>2.5919053472548623E-3</v>
      </c>
      <c r="H6713" t="str">
        <f>IF(Comuni__2[[#This Row],[Popolazione2011]]&gt;300000,"MAGGIORE","")</f>
        <v/>
      </c>
    </row>
    <row r="6714" spans="1:8" x14ac:dyDescent="0.2">
      <c r="A6714"/>
      <c r="B6714"/>
      <c r="C6714"/>
      <c r="D6714"/>
      <c r="E6714" s="2">
        <f>Comuni__2[[#This Row],[Popolazione2011]]/$D$7911</f>
        <v>1.5919741079715546E-4</v>
      </c>
      <c r="F6714">
        <f>SUMIFS($D$2:$D$7909, $B$2:$B$7909, "Toscana")</f>
        <v>3672202</v>
      </c>
      <c r="G6714" s="1">
        <f>Comuni__2[[#This Row],[Popolazione2011]]/Comuni__2[[#This Row],[POPOLAZIONE TOTALE DI OGNI REGIONE (CON FILTRO)]]</f>
        <v>2.5761110091438327E-3</v>
      </c>
      <c r="H6714" t="str">
        <f>IF(Comuni__2[[#This Row],[Popolazione2011]]&gt;300000,"MAGGIORE","")</f>
        <v/>
      </c>
    </row>
    <row r="6715" spans="1:8" x14ac:dyDescent="0.2">
      <c r="A6715"/>
      <c r="B6715"/>
      <c r="C6715"/>
      <c r="D6715"/>
      <c r="E6715" s="2">
        <f>Comuni__2[[#This Row],[Popolazione2011]]/$D$7911</f>
        <v>1.5916375383927023E-4</v>
      </c>
      <c r="F6715">
        <f>SUMIFS($D$2:$D$7909, $B$2:$B$7909, "Toscana")</f>
        <v>3672202</v>
      </c>
      <c r="G6715" s="1">
        <f>Comuni__2[[#This Row],[Popolazione2011]]/Comuni__2[[#This Row],[POPOLAZIONE TOTALE DI OGNI REGIONE (CON FILTRO)]]</f>
        <v>2.5755663767951763E-3</v>
      </c>
      <c r="H6715" t="str">
        <f>IF(Comuni__2[[#This Row],[Popolazione2011]]&gt;300000,"MAGGIORE","")</f>
        <v/>
      </c>
    </row>
    <row r="6716" spans="1:8" x14ac:dyDescent="0.2">
      <c r="A6716"/>
      <c r="B6716"/>
      <c r="C6716"/>
      <c r="D6716"/>
      <c r="E6716" s="2">
        <f>Comuni__2[[#This Row],[Popolazione2011]]/$D$7911</f>
        <v>1.5781747552386089E-4</v>
      </c>
      <c r="F6716">
        <f>SUMIFS($D$2:$D$7909, $B$2:$B$7909, "Toscana")</f>
        <v>3672202</v>
      </c>
      <c r="G6716" s="1">
        <f>Comuni__2[[#This Row],[Popolazione2011]]/Comuni__2[[#This Row],[POPOLAZIONE TOTALE DI OGNI REGIONE (CON FILTRO)]]</f>
        <v>2.5537810828489284E-3</v>
      </c>
      <c r="H6716" t="str">
        <f>IF(Comuni__2[[#This Row],[Popolazione2011]]&gt;300000,"MAGGIORE","")</f>
        <v/>
      </c>
    </row>
    <row r="6717" spans="1:8" x14ac:dyDescent="0.2">
      <c r="A6717"/>
      <c r="B6717"/>
      <c r="C6717"/>
      <c r="D6717"/>
      <c r="E6717" s="2">
        <f>Comuni__2[[#This Row],[Popolazione2011]]/$D$7911</f>
        <v>1.5731262115558237E-4</v>
      </c>
      <c r="F6717">
        <f>SUMIFS($D$2:$D$7909, $B$2:$B$7909, "Toscana")</f>
        <v>3672202</v>
      </c>
      <c r="G6717" s="1">
        <f>Comuni__2[[#This Row],[Popolazione2011]]/Comuni__2[[#This Row],[POPOLAZIONE TOTALE DI OGNI REGIONE (CON FILTRO)]]</f>
        <v>2.5456115976190854E-3</v>
      </c>
      <c r="H6717" t="str">
        <f>IF(Comuni__2[[#This Row],[Popolazione2011]]&gt;300000,"MAGGIORE","")</f>
        <v/>
      </c>
    </row>
    <row r="6718" spans="1:8" x14ac:dyDescent="0.2">
      <c r="A6718"/>
      <c r="B6718"/>
      <c r="C6718"/>
      <c r="D6718"/>
      <c r="E6718" s="2">
        <f>Comuni__2[[#This Row],[Popolazione2011]]/$D$7911</f>
        <v>1.5589902892440254E-4</v>
      </c>
      <c r="F6718">
        <f>SUMIFS($D$2:$D$7909, $B$2:$B$7909, "Toscana")</f>
        <v>3672202</v>
      </c>
      <c r="G6718" s="1">
        <f>Comuni__2[[#This Row],[Popolazione2011]]/Comuni__2[[#This Row],[POPOLAZIONE TOTALE DI OGNI REGIONE (CON FILTRO)]]</f>
        <v>2.5227370389755248E-3</v>
      </c>
      <c r="H6718" t="str">
        <f>IF(Comuni__2[[#This Row],[Popolazione2011]]&gt;300000,"MAGGIORE","")</f>
        <v/>
      </c>
    </row>
    <row r="6719" spans="1:8" x14ac:dyDescent="0.2">
      <c r="A6719"/>
      <c r="B6719"/>
      <c r="C6719"/>
      <c r="D6719"/>
      <c r="E6719" s="2">
        <f>Comuni__2[[#This Row],[Popolazione2011]]/$D$7911</f>
        <v>1.5332427164618218E-4</v>
      </c>
      <c r="F6719">
        <f>SUMIFS($D$2:$D$7909, $B$2:$B$7909, "Toscana")</f>
        <v>3672202</v>
      </c>
      <c r="G6719" s="1">
        <f>Comuni__2[[#This Row],[Popolazione2011]]/Comuni__2[[#This Row],[POPOLAZIONE TOTALE DI OGNI REGIONE (CON FILTRO)]]</f>
        <v>2.4810726643033254E-3</v>
      </c>
      <c r="H6719" t="str">
        <f>IF(Comuni__2[[#This Row],[Popolazione2011]]&gt;300000,"MAGGIORE","")</f>
        <v/>
      </c>
    </row>
    <row r="6720" spans="1:8" x14ac:dyDescent="0.2">
      <c r="A6720"/>
      <c r="B6720"/>
      <c r="C6720"/>
      <c r="D6720"/>
      <c r="E6720" s="2">
        <f>Comuni__2[[#This Row],[Popolazione2011]]/$D$7911</f>
        <v>1.4869643993696254E-4</v>
      </c>
      <c r="F6720">
        <f>SUMIFS($D$2:$D$7909, $B$2:$B$7909, "Toscana")</f>
        <v>3672202</v>
      </c>
      <c r="G6720" s="1">
        <f>Comuni__2[[#This Row],[Popolazione2011]]/Comuni__2[[#This Row],[POPOLAZIONE TOTALE DI OGNI REGIONE (CON FILTRO)]]</f>
        <v>2.4061857163630977E-3</v>
      </c>
      <c r="H6720" t="str">
        <f>IF(Comuni__2[[#This Row],[Popolazione2011]]&gt;300000,"MAGGIORE","")</f>
        <v/>
      </c>
    </row>
    <row r="6721" spans="1:8" x14ac:dyDescent="0.2">
      <c r="A6721"/>
      <c r="B6721"/>
      <c r="C6721"/>
      <c r="D6721"/>
      <c r="E6721" s="2">
        <f>Comuni__2[[#This Row],[Popolazione2011]]/$D$7911</f>
        <v>1.4787184446877431E-4</v>
      </c>
      <c r="F6721">
        <f>SUMIFS($D$2:$D$7909, $B$2:$B$7909, "Toscana")</f>
        <v>3672202</v>
      </c>
      <c r="G6721" s="1">
        <f>Comuni__2[[#This Row],[Popolazione2011]]/Comuni__2[[#This Row],[POPOLAZIONE TOTALE DI OGNI REGIONE (CON FILTRO)]]</f>
        <v>2.3928422238210208E-3</v>
      </c>
      <c r="H6721" t="str">
        <f>IF(Comuni__2[[#This Row],[Popolazione2011]]&gt;300000,"MAGGIORE","")</f>
        <v/>
      </c>
    </row>
    <row r="6722" spans="1:8" x14ac:dyDescent="0.2">
      <c r="A6722"/>
      <c r="B6722"/>
      <c r="C6722"/>
      <c r="D6722"/>
      <c r="E6722" s="2">
        <f>Comuni__2[[#This Row],[Popolazione2011]]/$D$7911</f>
        <v>1.4760258880569245E-4</v>
      </c>
      <c r="F6722">
        <f>SUMIFS($D$2:$D$7909, $B$2:$B$7909, "Toscana")</f>
        <v>3672202</v>
      </c>
      <c r="G6722" s="1">
        <f>Comuni__2[[#This Row],[Popolazione2011]]/Comuni__2[[#This Row],[POPOLAZIONE TOTALE DI OGNI REGIONE (CON FILTRO)]]</f>
        <v>2.3884851650317713E-3</v>
      </c>
      <c r="H6722" t="str">
        <f>IF(Comuni__2[[#This Row],[Popolazione2011]]&gt;300000,"MAGGIORE","")</f>
        <v/>
      </c>
    </row>
    <row r="6723" spans="1:8" x14ac:dyDescent="0.2">
      <c r="A6723"/>
      <c r="B6723"/>
      <c r="C6723"/>
      <c r="D6723"/>
      <c r="E6723" s="2">
        <f>Comuni__2[[#This Row],[Popolazione2011]]/$D$7911</f>
        <v>1.4714821987424177E-4</v>
      </c>
      <c r="F6723">
        <f>SUMIFS($D$2:$D$7909, $B$2:$B$7909, "Toscana")</f>
        <v>3672202</v>
      </c>
      <c r="G6723" s="1">
        <f>Comuni__2[[#This Row],[Popolazione2011]]/Comuni__2[[#This Row],[POPOLAZIONE TOTALE DI OGNI REGIONE (CON FILTRO)]]</f>
        <v>2.3811326283249123E-3</v>
      </c>
      <c r="H6723" t="str">
        <f>IF(Comuni__2[[#This Row],[Popolazione2011]]&gt;300000,"MAGGIORE","")</f>
        <v/>
      </c>
    </row>
    <row r="6724" spans="1:8" x14ac:dyDescent="0.2">
      <c r="A6724"/>
      <c r="B6724"/>
      <c r="C6724"/>
      <c r="D6724"/>
      <c r="E6724" s="2">
        <f>Comuni__2[[#This Row],[Popolazione2011]]/$D$7911</f>
        <v>1.4713139139529917E-4</v>
      </c>
      <c r="F6724">
        <f>SUMIFS($D$2:$D$7909, $B$2:$B$7909, "Toscana")</f>
        <v>3672202</v>
      </c>
      <c r="G6724" s="1">
        <f>Comuni__2[[#This Row],[Popolazione2011]]/Comuni__2[[#This Row],[POPOLAZIONE TOTALE DI OGNI REGIONE (CON FILTRO)]]</f>
        <v>2.3808603121505843E-3</v>
      </c>
      <c r="H6724" t="str">
        <f>IF(Comuni__2[[#This Row],[Popolazione2011]]&gt;300000,"MAGGIORE","")</f>
        <v/>
      </c>
    </row>
    <row r="6725" spans="1:8" x14ac:dyDescent="0.2">
      <c r="A6725"/>
      <c r="B6725"/>
      <c r="C6725"/>
      <c r="D6725"/>
      <c r="E6725" s="2">
        <f>Comuni__2[[#This Row],[Popolazione2011]]/$D$7911</f>
        <v>1.4699676356375824E-4</v>
      </c>
      <c r="F6725">
        <f>SUMIFS($D$2:$D$7909, $B$2:$B$7909, "Toscana")</f>
        <v>3672202</v>
      </c>
      <c r="G6725" s="1">
        <f>Comuni__2[[#This Row],[Popolazione2011]]/Comuni__2[[#This Row],[POPOLAZIONE TOTALE DI OGNI REGIONE (CON FILTRO)]]</f>
        <v>2.3786817827559596E-3</v>
      </c>
      <c r="H6725" t="str">
        <f>IF(Comuni__2[[#This Row],[Popolazione2011]]&gt;300000,"MAGGIORE","")</f>
        <v/>
      </c>
    </row>
    <row r="6726" spans="1:8" x14ac:dyDescent="0.2">
      <c r="A6726"/>
      <c r="B6726"/>
      <c r="C6726"/>
      <c r="D6726"/>
      <c r="E6726" s="2">
        <f>Comuni__2[[#This Row],[Popolazione2011]]/$D$7911</f>
        <v>1.4573462764306196E-4</v>
      </c>
      <c r="F6726">
        <f>SUMIFS($D$2:$D$7909, $B$2:$B$7909, "Toscana")</f>
        <v>3672202</v>
      </c>
      <c r="G6726" s="1">
        <f>Comuni__2[[#This Row],[Popolazione2011]]/Comuni__2[[#This Row],[POPOLAZIONE TOTALE DI OGNI REGIONE (CON FILTRO)]]</f>
        <v>2.3582580696813521E-3</v>
      </c>
      <c r="H6726" t="str">
        <f>IF(Comuni__2[[#This Row],[Popolazione2011]]&gt;300000,"MAGGIORE","")</f>
        <v/>
      </c>
    </row>
    <row r="6727" spans="1:8" x14ac:dyDescent="0.2">
      <c r="A6727"/>
      <c r="B6727"/>
      <c r="C6727"/>
      <c r="D6727"/>
      <c r="E6727" s="2">
        <f>Comuni__2[[#This Row],[Popolazione2011]]/$D$7911</f>
        <v>1.449605176117016E-4</v>
      </c>
      <c r="F6727">
        <f>SUMIFS($D$2:$D$7909, $B$2:$B$7909, "Toscana")</f>
        <v>3672202</v>
      </c>
      <c r="G6727" s="1">
        <f>Comuni__2[[#This Row],[Popolazione2011]]/Comuni__2[[#This Row],[POPOLAZIONE TOTALE DI OGNI REGIONE (CON FILTRO)]]</f>
        <v>2.3457315256622592E-3</v>
      </c>
      <c r="H6727" t="str">
        <f>IF(Comuni__2[[#This Row],[Popolazione2011]]&gt;300000,"MAGGIORE","")</f>
        <v/>
      </c>
    </row>
    <row r="6728" spans="1:8" x14ac:dyDescent="0.2">
      <c r="A6728"/>
      <c r="B6728"/>
      <c r="C6728"/>
      <c r="D6728"/>
      <c r="E6728" s="2">
        <f>Comuni__2[[#This Row],[Popolazione2011]]/$D$7911</f>
        <v>1.4479223282227543E-4</v>
      </c>
      <c r="F6728">
        <f>SUMIFS($D$2:$D$7909, $B$2:$B$7909, "Toscana")</f>
        <v>3672202</v>
      </c>
      <c r="G6728" s="1">
        <f>Comuni__2[[#This Row],[Popolazione2011]]/Comuni__2[[#This Row],[POPOLAZIONE TOTALE DI OGNI REGIONE (CON FILTRO)]]</f>
        <v>2.3430083639189784E-3</v>
      </c>
      <c r="H6728" t="str">
        <f>IF(Comuni__2[[#This Row],[Popolazione2011]]&gt;300000,"MAGGIORE","")</f>
        <v/>
      </c>
    </row>
    <row r="6729" spans="1:8" x14ac:dyDescent="0.2">
      <c r="A6729"/>
      <c r="B6729"/>
      <c r="C6729"/>
      <c r="D6729"/>
      <c r="E6729" s="2">
        <f>Comuni__2[[#This Row],[Popolazione2011]]/$D$7911</f>
        <v>1.4472491890650497E-4</v>
      </c>
      <c r="F6729">
        <f>SUMIFS($D$2:$D$7909, $B$2:$B$7909, "Toscana")</f>
        <v>3672202</v>
      </c>
      <c r="G6729" s="1">
        <f>Comuni__2[[#This Row],[Popolazione2011]]/Comuni__2[[#This Row],[POPOLAZIONE TOTALE DI OGNI REGIONE (CON FILTRO)]]</f>
        <v>2.3419190992216661E-3</v>
      </c>
      <c r="H6729" t="str">
        <f>IF(Comuni__2[[#This Row],[Popolazione2011]]&gt;300000,"MAGGIORE","")</f>
        <v/>
      </c>
    </row>
    <row r="6730" spans="1:8" x14ac:dyDescent="0.2">
      <c r="A6730"/>
      <c r="B6730"/>
      <c r="C6730"/>
      <c r="D6730"/>
      <c r="E6730" s="2">
        <f>Comuni__2[[#This Row],[Popolazione2011]]/$D$7911</f>
        <v>1.4268867295444832E-4</v>
      </c>
      <c r="F6730">
        <f>SUMIFS($D$2:$D$7909, $B$2:$B$7909, "Toscana")</f>
        <v>3672202</v>
      </c>
      <c r="G6730" s="1">
        <f>Comuni__2[[#This Row],[Popolazione2011]]/Comuni__2[[#This Row],[POPOLAZIONE TOTALE DI OGNI REGIONE (CON FILTRO)]]</f>
        <v>2.3089688421279657E-3</v>
      </c>
      <c r="H6730" t="str">
        <f>IF(Comuni__2[[#This Row],[Popolazione2011]]&gt;300000,"MAGGIORE","")</f>
        <v/>
      </c>
    </row>
    <row r="6731" spans="1:8" x14ac:dyDescent="0.2">
      <c r="A6731"/>
      <c r="B6731"/>
      <c r="C6731"/>
      <c r="D6731"/>
      <c r="E6731" s="2">
        <f>Comuni__2[[#This Row],[Popolazione2011]]/$D$7911</f>
        <v>1.4252038816502216E-4</v>
      </c>
      <c r="F6731">
        <f>SUMIFS($D$2:$D$7909, $B$2:$B$7909, "Toscana")</f>
        <v>3672202</v>
      </c>
      <c r="G6731" s="1">
        <f>Comuni__2[[#This Row],[Popolazione2011]]/Comuni__2[[#This Row],[POPOLAZIONE TOTALE DI OGNI REGIONE (CON FILTRO)]]</f>
        <v>2.3062456803846845E-3</v>
      </c>
      <c r="H6731" t="str">
        <f>IF(Comuni__2[[#This Row],[Popolazione2011]]&gt;300000,"MAGGIORE","")</f>
        <v/>
      </c>
    </row>
    <row r="6732" spans="1:8" x14ac:dyDescent="0.2">
      <c r="A6732"/>
      <c r="B6732"/>
      <c r="C6732"/>
      <c r="D6732"/>
      <c r="E6732" s="2">
        <f>Comuni__2[[#This Row],[Popolazione2011]]/$D$7911</f>
        <v>1.4240258881242384E-4</v>
      </c>
      <c r="F6732">
        <f>SUMIFS($D$2:$D$7909, $B$2:$B$7909, "Toscana")</f>
        <v>3672202</v>
      </c>
      <c r="G6732" s="1">
        <f>Comuni__2[[#This Row],[Popolazione2011]]/Comuni__2[[#This Row],[POPOLAZIONE TOTALE DI OGNI REGIONE (CON FILTRO)]]</f>
        <v>2.3043394671643882E-3</v>
      </c>
      <c r="H6732" t="str">
        <f>IF(Comuni__2[[#This Row],[Popolazione2011]]&gt;300000,"MAGGIORE","")</f>
        <v/>
      </c>
    </row>
    <row r="6733" spans="1:8" x14ac:dyDescent="0.2">
      <c r="A6733"/>
      <c r="B6733"/>
      <c r="C6733"/>
      <c r="D6733"/>
      <c r="E6733" s="2">
        <f>Comuni__2[[#This Row],[Popolazione2011]]/$D$7911</f>
        <v>1.3912103541861354E-4</v>
      </c>
      <c r="F6733">
        <f>SUMIFS($D$2:$D$7909, $B$2:$B$7909, "Toscana")</f>
        <v>3672202</v>
      </c>
      <c r="G6733" s="1">
        <f>Comuni__2[[#This Row],[Popolazione2011]]/Comuni__2[[#This Row],[POPOLAZIONE TOTALE DI OGNI REGIONE (CON FILTRO)]]</f>
        <v>2.2512378131704083E-3</v>
      </c>
      <c r="H6733" t="str">
        <f>IF(Comuni__2[[#This Row],[Popolazione2011]]&gt;300000,"MAGGIORE","")</f>
        <v/>
      </c>
    </row>
    <row r="6734" spans="1:8" x14ac:dyDescent="0.2">
      <c r="A6734"/>
      <c r="B6734"/>
      <c r="C6734"/>
      <c r="D6734"/>
      <c r="E6734" s="2">
        <f>Comuni__2[[#This Row],[Popolazione2011]]/$D$7911</f>
        <v>1.3659676357722102E-4</v>
      </c>
      <c r="F6734">
        <f>SUMIFS($D$2:$D$7909, $B$2:$B$7909, "Toscana")</f>
        <v>3672202</v>
      </c>
      <c r="G6734" s="1">
        <f>Comuni__2[[#This Row],[Popolazione2011]]/Comuni__2[[#This Row],[POPOLAZIONE TOTALE DI OGNI REGIONE (CON FILTRO)]]</f>
        <v>2.2103903870211933E-3</v>
      </c>
      <c r="H6734" t="str">
        <f>IF(Comuni__2[[#This Row],[Popolazione2011]]&gt;300000,"MAGGIORE","")</f>
        <v/>
      </c>
    </row>
    <row r="6735" spans="1:8" x14ac:dyDescent="0.2">
      <c r="A6735"/>
      <c r="B6735"/>
      <c r="C6735"/>
      <c r="D6735"/>
      <c r="E6735" s="2">
        <f>Comuni__2[[#This Row],[Popolazione2011]]/$D$7911</f>
        <v>1.3102653704721485E-4</v>
      </c>
      <c r="F6735">
        <f>SUMIFS($D$2:$D$7909, $B$2:$B$7909, "Toscana")</f>
        <v>3672202</v>
      </c>
      <c r="G6735" s="1">
        <f>Comuni__2[[#This Row],[Popolazione2011]]/Comuni__2[[#This Row],[POPOLAZIONE TOTALE DI OGNI REGIONE (CON FILTRO)]]</f>
        <v>2.1202537333185919E-3</v>
      </c>
      <c r="H6735" t="str">
        <f>IF(Comuni__2[[#This Row],[Popolazione2011]]&gt;300000,"MAGGIORE","")</f>
        <v/>
      </c>
    </row>
    <row r="6736" spans="1:8" x14ac:dyDescent="0.2">
      <c r="A6736"/>
      <c r="B6736"/>
      <c r="C6736"/>
      <c r="D6736"/>
      <c r="E6736" s="2">
        <f>Comuni__2[[#This Row],[Popolazione2011]]/$D$7911</f>
        <v>1.306899674683625E-4</v>
      </c>
      <c r="F6736">
        <f>SUMIFS($D$2:$D$7909, $B$2:$B$7909, "Toscana")</f>
        <v>3672202</v>
      </c>
      <c r="G6736" s="1">
        <f>Comuni__2[[#This Row],[Popolazione2011]]/Comuni__2[[#This Row],[POPOLAZIONE TOTALE DI OGNI REGIONE (CON FILTRO)]]</f>
        <v>2.1148074098320301E-3</v>
      </c>
      <c r="H6736" t="str">
        <f>IF(Comuni__2[[#This Row],[Popolazione2011]]&gt;300000,"MAGGIORE","")</f>
        <v/>
      </c>
    </row>
    <row r="6737" spans="1:8" x14ac:dyDescent="0.2">
      <c r="A6737"/>
      <c r="B6737"/>
      <c r="C6737"/>
      <c r="D6737"/>
      <c r="E6737" s="2">
        <f>Comuni__2[[#This Row],[Popolazione2011]]/$D$7911</f>
        <v>1.2919223284246959E-4</v>
      </c>
      <c r="F6737">
        <f>SUMIFS($D$2:$D$7909, $B$2:$B$7909, "Toscana")</f>
        <v>3672202</v>
      </c>
      <c r="G6737" s="1">
        <f>Comuni__2[[#This Row],[Popolazione2011]]/Comuni__2[[#This Row],[POPOLAZIONE TOTALE DI OGNI REGIONE (CON FILTRO)]]</f>
        <v>2.0905712703168291E-3</v>
      </c>
      <c r="H6737" t="str">
        <f>IF(Comuni__2[[#This Row],[Popolazione2011]]&gt;300000,"MAGGIORE","")</f>
        <v/>
      </c>
    </row>
    <row r="6738" spans="1:8" x14ac:dyDescent="0.2">
      <c r="A6738"/>
      <c r="B6738"/>
      <c r="C6738"/>
      <c r="D6738"/>
      <c r="E6738" s="2">
        <f>Comuni__2[[#This Row],[Popolazione2011]]/$D$7911</f>
        <v>1.2890614870044511E-4</v>
      </c>
      <c r="F6738">
        <f>SUMIFS($D$2:$D$7909, $B$2:$B$7909, "Toscana")</f>
        <v>3672202</v>
      </c>
      <c r="G6738" s="1">
        <f>Comuni__2[[#This Row],[Popolazione2011]]/Comuni__2[[#This Row],[POPOLAZIONE TOTALE DI OGNI REGIONE (CON FILTRO)]]</f>
        <v>2.0859418953532512E-3</v>
      </c>
      <c r="H6738" t="str">
        <f>IF(Comuni__2[[#This Row],[Popolazione2011]]&gt;300000,"MAGGIORE","")</f>
        <v/>
      </c>
    </row>
    <row r="6739" spans="1:8" x14ac:dyDescent="0.2">
      <c r="A6739"/>
      <c r="B6739"/>
      <c r="C6739"/>
      <c r="D6739"/>
      <c r="E6739" s="2">
        <f>Comuni__2[[#This Row],[Popolazione2011]]/$D$7911</f>
        <v>1.2845177976899446E-4</v>
      </c>
      <c r="F6739">
        <f>SUMIFS($D$2:$D$7909, $B$2:$B$7909, "Toscana")</f>
        <v>3672202</v>
      </c>
      <c r="G6739" s="1">
        <f>Comuni__2[[#This Row],[Popolazione2011]]/Comuni__2[[#This Row],[POPOLAZIONE TOTALE DI OGNI REGIONE (CON FILTRO)]]</f>
        <v>2.0785893586463926E-3</v>
      </c>
      <c r="H6739" t="str">
        <f>IF(Comuni__2[[#This Row],[Popolazione2011]]&gt;300000,"MAGGIORE","")</f>
        <v/>
      </c>
    </row>
    <row r="6740" spans="1:8" x14ac:dyDescent="0.2">
      <c r="A6740"/>
      <c r="B6740"/>
      <c r="C6740"/>
      <c r="D6740"/>
      <c r="E6740" s="2">
        <f>Comuni__2[[#This Row],[Popolazione2011]]/$D$7911</f>
        <v>1.2761035582186362E-4</v>
      </c>
      <c r="F6740">
        <f>SUMIFS($D$2:$D$7909, $B$2:$B$7909, "Toscana")</f>
        <v>3672202</v>
      </c>
      <c r="G6740" s="1">
        <f>Comuni__2[[#This Row],[Popolazione2011]]/Comuni__2[[#This Row],[POPOLAZIONE TOTALE DI OGNI REGIONE (CON FILTRO)]]</f>
        <v>2.0649735499299877E-3</v>
      </c>
      <c r="H6740" t="str">
        <f>IF(Comuni__2[[#This Row],[Popolazione2011]]&gt;300000,"MAGGIORE","")</f>
        <v/>
      </c>
    </row>
    <row r="6741" spans="1:8" x14ac:dyDescent="0.2">
      <c r="A6741"/>
      <c r="B6741"/>
      <c r="C6741"/>
      <c r="D6741"/>
      <c r="E6741" s="2">
        <f>Comuni__2[[#This Row],[Popolazione2011]]/$D$7911</f>
        <v>1.2636504838010998E-4</v>
      </c>
      <c r="F6741">
        <f>SUMIFS($D$2:$D$7909, $B$2:$B$7909, "Toscana")</f>
        <v>3672202</v>
      </c>
      <c r="G6741" s="1">
        <f>Comuni__2[[#This Row],[Popolazione2011]]/Comuni__2[[#This Row],[POPOLAZIONE TOTALE DI OGNI REGIONE (CON FILTRO)]]</f>
        <v>2.0448221530297082E-3</v>
      </c>
      <c r="H6741" t="str">
        <f>IF(Comuni__2[[#This Row],[Popolazione2011]]&gt;300000,"MAGGIORE","")</f>
        <v/>
      </c>
    </row>
    <row r="6742" spans="1:8" x14ac:dyDescent="0.2">
      <c r="A6742"/>
      <c r="B6742"/>
      <c r="C6742"/>
      <c r="D6742"/>
      <c r="E6742" s="2">
        <f>Comuni__2[[#This Row],[Popolazione2011]]/$D$7911</f>
        <v>1.2422783155439763E-4</v>
      </c>
      <c r="F6742">
        <f>SUMIFS($D$2:$D$7909, $B$2:$B$7909, "Toscana")</f>
        <v>3672202</v>
      </c>
      <c r="G6742" s="1">
        <f>Comuni__2[[#This Row],[Popolazione2011]]/Comuni__2[[#This Row],[POPOLAZIONE TOTALE DI OGNI REGIONE (CON FILTRO)]]</f>
        <v>2.0102379988900395E-3</v>
      </c>
      <c r="H6742" t="str">
        <f>IF(Comuni__2[[#This Row],[Popolazione2011]]&gt;300000,"MAGGIORE","")</f>
        <v/>
      </c>
    </row>
    <row r="6743" spans="1:8" x14ac:dyDescent="0.2">
      <c r="A6743"/>
      <c r="B6743"/>
      <c r="C6743"/>
      <c r="D6743"/>
      <c r="E6743" s="2">
        <f>Comuni__2[[#This Row],[Popolazione2011]]/$D$7911</f>
        <v>1.2380711958083222E-4</v>
      </c>
      <c r="F6743">
        <f>SUMIFS($D$2:$D$7909, $B$2:$B$7909, "Toscana")</f>
        <v>3672202</v>
      </c>
      <c r="G6743" s="1">
        <f>Comuni__2[[#This Row],[Popolazione2011]]/Comuni__2[[#This Row],[POPOLAZIONE TOTALE DI OGNI REGIONE (CON FILTRO)]]</f>
        <v>2.0034300945318368E-3</v>
      </c>
      <c r="H6743" t="str">
        <f>IF(Comuni__2[[#This Row],[Popolazione2011]]&gt;300000,"MAGGIORE","")</f>
        <v/>
      </c>
    </row>
    <row r="6744" spans="1:8" x14ac:dyDescent="0.2">
      <c r="A6744"/>
      <c r="B6744"/>
      <c r="C6744"/>
      <c r="D6744"/>
      <c r="E6744" s="2">
        <f>Comuni__2[[#This Row],[Popolazione2011]]/$D$7911</f>
        <v>1.2281423932321783E-4</v>
      </c>
      <c r="F6744">
        <f>SUMIFS($D$2:$D$7909, $B$2:$B$7909, "Toscana")</f>
        <v>3672202</v>
      </c>
      <c r="G6744" s="1">
        <f>Comuni__2[[#This Row],[Popolazione2011]]/Comuni__2[[#This Row],[POPOLAZIONE TOTALE DI OGNI REGIONE (CON FILTRO)]]</f>
        <v>1.9873634402464788E-3</v>
      </c>
      <c r="H6744" t="str">
        <f>IF(Comuni__2[[#This Row],[Popolazione2011]]&gt;300000,"MAGGIORE","")</f>
        <v/>
      </c>
    </row>
    <row r="6745" spans="1:8" x14ac:dyDescent="0.2">
      <c r="A6745"/>
      <c r="B6745"/>
      <c r="C6745"/>
      <c r="D6745"/>
      <c r="E6745" s="2">
        <f>Comuni__2[[#This Row],[Popolazione2011]]/$D$7911</f>
        <v>1.2215792864445576E-4</v>
      </c>
      <c r="F6745">
        <f>SUMIFS($D$2:$D$7909, $B$2:$B$7909, "Toscana")</f>
        <v>3672202</v>
      </c>
      <c r="G6745" s="1">
        <f>Comuni__2[[#This Row],[Popolazione2011]]/Comuni__2[[#This Row],[POPOLAZIONE TOTALE DI OGNI REGIONE (CON FILTRO)]]</f>
        <v>1.9767431094476827E-3</v>
      </c>
      <c r="H6745" t="str">
        <f>IF(Comuni__2[[#This Row],[Popolazione2011]]&gt;300000,"MAGGIORE","")</f>
        <v/>
      </c>
    </row>
    <row r="6746" spans="1:8" x14ac:dyDescent="0.2">
      <c r="A6746"/>
      <c r="B6746"/>
      <c r="C6746"/>
      <c r="D6746"/>
      <c r="E6746" s="2">
        <f>Comuni__2[[#This Row],[Popolazione2011]]/$D$7911</f>
        <v>1.2163624579723463E-4</v>
      </c>
      <c r="F6746">
        <f>SUMIFS($D$2:$D$7909, $B$2:$B$7909, "Toscana")</f>
        <v>3672202</v>
      </c>
      <c r="G6746" s="1">
        <f>Comuni__2[[#This Row],[Popolazione2011]]/Comuni__2[[#This Row],[POPOLAZIONE TOTALE DI OGNI REGIONE (CON FILTRO)]]</f>
        <v>1.9683013080435117E-3</v>
      </c>
      <c r="H6746" t="str">
        <f>IF(Comuni__2[[#This Row],[Popolazione2011]]&gt;300000,"MAGGIORE","")</f>
        <v/>
      </c>
    </row>
    <row r="6747" spans="1:8" x14ac:dyDescent="0.2">
      <c r="A6747"/>
      <c r="B6747"/>
      <c r="C6747"/>
      <c r="D6747"/>
      <c r="E6747" s="2">
        <f>Comuni__2[[#This Row],[Popolazione2011]]/$D$7911</f>
        <v>1.2161941731829201E-4</v>
      </c>
      <c r="F6747">
        <f>SUMIFS($D$2:$D$7909, $B$2:$B$7909, "Toscana")</f>
        <v>3672202</v>
      </c>
      <c r="G6747" s="1">
        <f>Comuni__2[[#This Row],[Popolazione2011]]/Comuni__2[[#This Row],[POPOLAZIONE TOTALE DI OGNI REGIONE (CON FILTRO)]]</f>
        <v>1.9680289918691837E-3</v>
      </c>
      <c r="H6747" t="str">
        <f>IF(Comuni__2[[#This Row],[Popolazione2011]]&gt;300000,"MAGGIORE","")</f>
        <v/>
      </c>
    </row>
    <row r="6748" spans="1:8" x14ac:dyDescent="0.2">
      <c r="A6748"/>
      <c r="B6748"/>
      <c r="C6748"/>
      <c r="D6748"/>
      <c r="E6748" s="2">
        <f>Comuni__2[[#This Row],[Popolazione2011]]/$D$7911</f>
        <v>1.1907831699795687E-4</v>
      </c>
      <c r="F6748">
        <f>SUMIFS($D$2:$D$7909, $B$2:$B$7909, "Toscana")</f>
        <v>3672202</v>
      </c>
      <c r="G6748" s="1">
        <f>Comuni__2[[#This Row],[Popolazione2011]]/Comuni__2[[#This Row],[POPOLAZIONE TOTALE DI OGNI REGIONE (CON FILTRO)]]</f>
        <v>1.9269092495456405E-3</v>
      </c>
      <c r="H6748" t="str">
        <f>IF(Comuni__2[[#This Row],[Popolazione2011]]&gt;300000,"MAGGIORE","")</f>
        <v/>
      </c>
    </row>
    <row r="6749" spans="1:8" x14ac:dyDescent="0.2">
      <c r="A6749"/>
      <c r="B6749"/>
      <c r="C6749"/>
      <c r="D6749"/>
      <c r="E6749" s="2">
        <f>Comuni__2[[#This Row],[Popolazione2011]]/$D$7911</f>
        <v>1.1877540437698977E-4</v>
      </c>
      <c r="F6749">
        <f>SUMIFS($D$2:$D$7909, $B$2:$B$7909, "Toscana")</f>
        <v>3672202</v>
      </c>
      <c r="G6749" s="1">
        <f>Comuni__2[[#This Row],[Popolazione2011]]/Comuni__2[[#This Row],[POPOLAZIONE TOTALE DI OGNI REGIONE (CON FILTRO)]]</f>
        <v>1.9220075584077346E-3</v>
      </c>
      <c r="H6749" t="str">
        <f>IF(Comuni__2[[#This Row],[Popolazione2011]]&gt;300000,"MAGGIORE","")</f>
        <v/>
      </c>
    </row>
    <row r="6750" spans="1:8" x14ac:dyDescent="0.2">
      <c r="A6750"/>
      <c r="B6750"/>
      <c r="C6750"/>
      <c r="D6750"/>
      <c r="E6750" s="2">
        <f>Comuni__2[[#This Row],[Popolazione2011]]/$D$7911</f>
        <v>1.1818640761399817E-4</v>
      </c>
      <c r="F6750">
        <f>SUMIFS($D$2:$D$7909, $B$2:$B$7909, "Toscana")</f>
        <v>3672202</v>
      </c>
      <c r="G6750" s="1">
        <f>Comuni__2[[#This Row],[Popolazione2011]]/Comuni__2[[#This Row],[POPOLAZIONE TOTALE DI OGNI REGIONE (CON FILTRO)]]</f>
        <v>1.9124764923062511E-3</v>
      </c>
      <c r="H6750" t="str">
        <f>IF(Comuni__2[[#This Row],[Popolazione2011]]&gt;300000,"MAGGIORE","")</f>
        <v/>
      </c>
    </row>
    <row r="6751" spans="1:8" x14ac:dyDescent="0.2">
      <c r="A6751"/>
      <c r="B6751"/>
      <c r="C6751"/>
      <c r="D6751"/>
      <c r="E6751" s="2">
        <f>Comuni__2[[#This Row],[Popolazione2011]]/$D$7911</f>
        <v>1.1374368917314733E-4</v>
      </c>
      <c r="F6751">
        <f>SUMIFS($D$2:$D$7909, $B$2:$B$7909, "Toscana")</f>
        <v>3672202</v>
      </c>
      <c r="G6751" s="1">
        <f>Comuni__2[[#This Row],[Popolazione2011]]/Comuni__2[[#This Row],[POPOLAZIONE TOTALE DI OGNI REGIONE (CON FILTRO)]]</f>
        <v>1.8405850222836325E-3</v>
      </c>
      <c r="H6751" t="str">
        <f>IF(Comuni__2[[#This Row],[Popolazione2011]]&gt;300000,"MAGGIORE","")</f>
        <v/>
      </c>
    </row>
    <row r="6752" spans="1:8" x14ac:dyDescent="0.2">
      <c r="A6752"/>
      <c r="B6752"/>
      <c r="C6752"/>
      <c r="D6752"/>
      <c r="E6752" s="2">
        <f>Comuni__2[[#This Row],[Popolazione2011]]/$D$7911</f>
        <v>1.1034433642673872E-4</v>
      </c>
      <c r="F6752">
        <f>SUMIFS($D$2:$D$7909, $B$2:$B$7909, "Toscana")</f>
        <v>3672202</v>
      </c>
      <c r="G6752" s="1">
        <f>Comuni__2[[#This Row],[Popolazione2011]]/Comuni__2[[#This Row],[POPOLAZIONE TOTALE DI OGNI REGIONE (CON FILTRO)]]</f>
        <v>1.7855771550693562E-3</v>
      </c>
      <c r="H6752" t="str">
        <f>IF(Comuni__2[[#This Row],[Popolazione2011]]&gt;300000,"MAGGIORE","")</f>
        <v/>
      </c>
    </row>
    <row r="6753" spans="1:8" x14ac:dyDescent="0.2">
      <c r="A6753"/>
      <c r="B6753"/>
      <c r="C6753"/>
      <c r="D6753"/>
      <c r="E6753" s="2">
        <f>Comuni__2[[#This Row],[Popolazione2011]]/$D$7911</f>
        <v>1.0800517785371498E-4</v>
      </c>
      <c r="F6753">
        <f>SUMIFS($D$2:$D$7909, $B$2:$B$7909, "Toscana")</f>
        <v>3672202</v>
      </c>
      <c r="G6753" s="1">
        <f>Comuni__2[[#This Row],[Popolazione2011]]/Comuni__2[[#This Row],[POPOLAZIONE TOTALE DI OGNI REGIONE (CON FILTRO)]]</f>
        <v>1.7477252068377502E-3</v>
      </c>
      <c r="H6753" t="str">
        <f>IF(Comuni__2[[#This Row],[Popolazione2011]]&gt;300000,"MAGGIORE","")</f>
        <v/>
      </c>
    </row>
    <row r="6754" spans="1:8" x14ac:dyDescent="0.2">
      <c r="A6754"/>
      <c r="B6754"/>
      <c r="C6754"/>
      <c r="D6754"/>
      <c r="E6754" s="2">
        <f>Comuni__2[[#This Row],[Popolazione2011]]/$D$7911</f>
        <v>1.0785372154323143E-4</v>
      </c>
      <c r="F6754">
        <f>SUMIFS($D$2:$D$7909, $B$2:$B$7909, "Toscana")</f>
        <v>3672202</v>
      </c>
      <c r="G6754" s="1">
        <f>Comuni__2[[#This Row],[Popolazione2011]]/Comuni__2[[#This Row],[POPOLAZIONE TOTALE DI OGNI REGIONE (CON FILTRO)]]</f>
        <v>1.7452743612687972E-3</v>
      </c>
      <c r="H6754" t="str">
        <f>IF(Comuni__2[[#This Row],[Popolazione2011]]&gt;300000,"MAGGIORE","")</f>
        <v/>
      </c>
    </row>
    <row r="6755" spans="1:8" x14ac:dyDescent="0.2">
      <c r="A6755"/>
      <c r="B6755"/>
      <c r="C6755"/>
      <c r="D6755"/>
      <c r="E6755" s="2">
        <f>Comuni__2[[#This Row],[Popolazione2011]]/$D$7911</f>
        <v>1.0600258885954357E-4</v>
      </c>
      <c r="F6755">
        <f>SUMIFS($D$2:$D$7909, $B$2:$B$7909, "Toscana")</f>
        <v>3672202</v>
      </c>
      <c r="G6755" s="1">
        <f>Comuni__2[[#This Row],[Popolazione2011]]/Comuni__2[[#This Row],[POPOLAZIONE TOTALE DI OGNI REGIONE (CON FILTRO)]]</f>
        <v>1.7153195820927062E-3</v>
      </c>
      <c r="H6755" t="str">
        <f>IF(Comuni__2[[#This Row],[Popolazione2011]]&gt;300000,"MAGGIORE","")</f>
        <v/>
      </c>
    </row>
    <row r="6756" spans="1:8" x14ac:dyDescent="0.2">
      <c r="A6756"/>
      <c r="B6756"/>
      <c r="C6756"/>
      <c r="D6756"/>
      <c r="E6756" s="2">
        <f>Comuni__2[[#This Row],[Popolazione2011]]/$D$7911</f>
        <v>1.0455533967047853E-4</v>
      </c>
      <c r="F6756">
        <f>SUMIFS($D$2:$D$7909, $B$2:$B$7909, "Toscana")</f>
        <v>3672202</v>
      </c>
      <c r="G6756" s="1">
        <f>Comuni__2[[#This Row],[Popolazione2011]]/Comuni__2[[#This Row],[POPOLAZIONE TOTALE DI OGNI REGIONE (CON FILTRO)]]</f>
        <v>1.6919003911004895E-3</v>
      </c>
      <c r="H6756" t="str">
        <f>IF(Comuni__2[[#This Row],[Popolazione2011]]&gt;300000,"MAGGIORE","")</f>
        <v/>
      </c>
    </row>
    <row r="6757" spans="1:8" x14ac:dyDescent="0.2">
      <c r="A6757"/>
      <c r="B6757"/>
      <c r="C6757"/>
      <c r="D6757"/>
      <c r="E6757" s="2">
        <f>Comuni__2[[#This Row],[Popolazione2011]]/$D$7911</f>
        <v>1.0445436879682282E-4</v>
      </c>
      <c r="F6757">
        <f>SUMIFS($D$2:$D$7909, $B$2:$B$7909, "Toscana")</f>
        <v>3672202</v>
      </c>
      <c r="G6757" s="1">
        <f>Comuni__2[[#This Row],[Popolazione2011]]/Comuni__2[[#This Row],[POPOLAZIONE TOTALE DI OGNI REGIONE (CON FILTRO)]]</f>
        <v>1.690266494054521E-3</v>
      </c>
      <c r="H6757" t="str">
        <f>IF(Comuni__2[[#This Row],[Popolazione2011]]&gt;300000,"MAGGIORE","")</f>
        <v/>
      </c>
    </row>
    <row r="6758" spans="1:8" x14ac:dyDescent="0.2">
      <c r="A6758"/>
      <c r="B6758"/>
      <c r="C6758"/>
      <c r="D6758"/>
      <c r="E6758" s="2">
        <f>Comuni__2[[#This Row],[Popolazione2011]]/$D$7911</f>
        <v>1.0426925552845404E-4</v>
      </c>
      <c r="F6758">
        <f>SUMIFS($D$2:$D$7909, $B$2:$B$7909, "Toscana")</f>
        <v>3672202</v>
      </c>
      <c r="G6758" s="1">
        <f>Comuni__2[[#This Row],[Popolazione2011]]/Comuni__2[[#This Row],[POPOLAZIONE TOTALE DI OGNI REGIONE (CON FILTRO)]]</f>
        <v>1.6872710161369119E-3</v>
      </c>
      <c r="H6758" t="str">
        <f>IF(Comuni__2[[#This Row],[Popolazione2011]]&gt;300000,"MAGGIORE","")</f>
        <v/>
      </c>
    </row>
    <row r="6759" spans="1:8" x14ac:dyDescent="0.2">
      <c r="A6759"/>
      <c r="B6759"/>
      <c r="C6759"/>
      <c r="D6759"/>
      <c r="E6759" s="2">
        <f>Comuni__2[[#This Row],[Popolazione2011]]/$D$7911</f>
        <v>1.0196375391331552E-4</v>
      </c>
      <c r="F6759">
        <f>SUMIFS($D$2:$D$7909, $B$2:$B$7909, "Toscana")</f>
        <v>3672202</v>
      </c>
      <c r="G6759" s="1">
        <f>Comuni__2[[#This Row],[Popolazione2011]]/Comuni__2[[#This Row],[POPOLAZIONE TOTALE DI OGNI REGIONE (CON FILTRO)]]</f>
        <v>1.649963700253962E-3</v>
      </c>
      <c r="H6759" t="str">
        <f>IF(Comuni__2[[#This Row],[Popolazione2011]]&gt;300000,"MAGGIORE","")</f>
        <v/>
      </c>
    </row>
    <row r="6760" spans="1:8" x14ac:dyDescent="0.2">
      <c r="A6760"/>
      <c r="B6760"/>
      <c r="C6760"/>
      <c r="D6760"/>
      <c r="E6760" s="2">
        <f>Comuni__2[[#This Row],[Popolazione2011]]/$D$7911</f>
        <v>1.0169449825023365E-4</v>
      </c>
      <c r="F6760">
        <f>SUMIFS($D$2:$D$7909, $B$2:$B$7909, "Toscana")</f>
        <v>3672202</v>
      </c>
      <c r="G6760" s="1">
        <f>Comuni__2[[#This Row],[Popolazione2011]]/Comuni__2[[#This Row],[POPOLAZIONE TOTALE DI OGNI REGIONE (CON FILTRO)]]</f>
        <v>1.6456066414647125E-3</v>
      </c>
      <c r="H6760" t="str">
        <f>IF(Comuni__2[[#This Row],[Popolazione2011]]&gt;300000,"MAGGIORE","")</f>
        <v/>
      </c>
    </row>
    <row r="6761" spans="1:8" x14ac:dyDescent="0.2">
      <c r="A6761"/>
      <c r="B6761"/>
      <c r="C6761"/>
      <c r="D6761"/>
      <c r="E6761" s="2">
        <f>Comuni__2[[#This Row],[Popolazione2011]]/$D$7911</f>
        <v>1.0117281540301254E-4</v>
      </c>
      <c r="F6761">
        <f>SUMIFS($D$2:$D$7909, $B$2:$B$7909, "Toscana")</f>
        <v>3672202</v>
      </c>
      <c r="G6761" s="1">
        <f>Comuni__2[[#This Row],[Popolazione2011]]/Comuni__2[[#This Row],[POPOLAZIONE TOTALE DI OGNI REGIONE (CON FILTRO)]]</f>
        <v>1.6371648400605413E-3</v>
      </c>
      <c r="H6761" t="str">
        <f>IF(Comuni__2[[#This Row],[Popolazione2011]]&gt;300000,"MAGGIORE","")</f>
        <v/>
      </c>
    </row>
    <row r="6762" spans="1:8" x14ac:dyDescent="0.2">
      <c r="A6762"/>
      <c r="B6762"/>
      <c r="C6762"/>
      <c r="D6762"/>
      <c r="E6762" s="2">
        <f>Comuni__2[[#This Row],[Popolazione2011]]/$D$7911</f>
        <v>1.0115598692406992E-4</v>
      </c>
      <c r="F6762">
        <f>SUMIFS($D$2:$D$7909, $B$2:$B$7909, "Toscana")</f>
        <v>3672202</v>
      </c>
      <c r="G6762" s="1">
        <f>Comuni__2[[#This Row],[Popolazione2011]]/Comuni__2[[#This Row],[POPOLAZIONE TOTALE DI OGNI REGIONE (CON FILTRO)]]</f>
        <v>1.6368925238862133E-3</v>
      </c>
      <c r="H6762" t="str">
        <f>IF(Comuni__2[[#This Row],[Popolazione2011]]&gt;300000,"MAGGIORE","")</f>
        <v/>
      </c>
    </row>
    <row r="6763" spans="1:8" x14ac:dyDescent="0.2">
      <c r="A6763"/>
      <c r="B6763"/>
      <c r="C6763"/>
      <c r="D6763"/>
      <c r="E6763" s="2">
        <f>Comuni__2[[#This Row],[Popolazione2011]]/$D$7911</f>
        <v>9.9153397929898509E-5</v>
      </c>
      <c r="F6763">
        <f>SUMIFS($D$2:$D$7909, $B$2:$B$7909, "Toscana")</f>
        <v>3672202</v>
      </c>
      <c r="G6763" s="1">
        <f>Comuni__2[[#This Row],[Popolazione2011]]/Comuni__2[[#This Row],[POPOLAZIONE TOTALE DI OGNI REGIONE (CON FILTRO)]]</f>
        <v>1.6044868991411693E-3</v>
      </c>
      <c r="H6763" t="str">
        <f>IF(Comuni__2[[#This Row],[Popolazione2011]]&gt;300000,"MAGGIORE","")</f>
        <v/>
      </c>
    </row>
    <row r="6764" spans="1:8" x14ac:dyDescent="0.2">
      <c r="A6764"/>
      <c r="B6764"/>
      <c r="C6764"/>
      <c r="D6764"/>
      <c r="E6764" s="2">
        <f>Comuni__2[[#This Row],[Popolazione2011]]/$D$7911</f>
        <v>9.8362459419595524E-5</v>
      </c>
      <c r="F6764">
        <f>SUMIFS($D$2:$D$7909, $B$2:$B$7909, "Toscana")</f>
        <v>3672202</v>
      </c>
      <c r="G6764" s="1">
        <f>Comuni__2[[#This Row],[Popolazione2011]]/Comuni__2[[#This Row],[POPOLAZIONE TOTALE DI OGNI REGIONE (CON FILTRO)]]</f>
        <v>1.5916880389477484E-3</v>
      </c>
      <c r="H6764" t="str">
        <f>IF(Comuni__2[[#This Row],[Popolazione2011]]&gt;300000,"MAGGIORE","")</f>
        <v/>
      </c>
    </row>
    <row r="6765" spans="1:8" x14ac:dyDescent="0.2">
      <c r="A6765"/>
      <c r="B6765"/>
      <c r="C6765"/>
      <c r="D6765"/>
      <c r="E6765" s="2">
        <f>Comuni__2[[#This Row],[Popolazione2011]]/$D$7911</f>
        <v>9.7150808935727109E-5</v>
      </c>
      <c r="F6765">
        <f>SUMIFS($D$2:$D$7909, $B$2:$B$7909, "Toscana")</f>
        <v>3672202</v>
      </c>
      <c r="G6765" s="1">
        <f>Comuni__2[[#This Row],[Popolazione2011]]/Comuni__2[[#This Row],[POPOLAZIONE TOTALE DI OGNI REGIONE (CON FILTRO)]]</f>
        <v>1.5720812743961253E-3</v>
      </c>
      <c r="H6765" t="str">
        <f>IF(Comuni__2[[#This Row],[Popolazione2011]]&gt;300000,"MAGGIORE","")</f>
        <v/>
      </c>
    </row>
    <row r="6766" spans="1:8" x14ac:dyDescent="0.2">
      <c r="A6766"/>
      <c r="B6766"/>
      <c r="C6766"/>
      <c r="D6766"/>
      <c r="E6766" s="2">
        <f>Comuni__2[[#This Row],[Popolazione2011]]/$D$7911</f>
        <v>9.5754045183489903E-5</v>
      </c>
      <c r="F6766">
        <f>SUMIFS($D$2:$D$7909, $B$2:$B$7909, "Toscana")</f>
        <v>3672202</v>
      </c>
      <c r="G6766" s="1">
        <f>Comuni__2[[#This Row],[Popolazione2011]]/Comuni__2[[#This Row],[POPOLAZIONE TOTALE DI OGNI REGIONE (CON FILTRO)]]</f>
        <v>1.5494790319268929E-3</v>
      </c>
      <c r="H6766" t="str">
        <f>IF(Comuni__2[[#This Row],[Popolazione2011]]&gt;300000,"MAGGIORE","")</f>
        <v/>
      </c>
    </row>
    <row r="6767" spans="1:8" x14ac:dyDescent="0.2">
      <c r="A6767"/>
      <c r="B6767"/>
      <c r="C6767"/>
      <c r="D6767"/>
      <c r="E6767" s="2">
        <f>Comuni__2[[#This Row],[Popolazione2011]]/$D$7911</f>
        <v>9.5451132562522799E-5</v>
      </c>
      <c r="F6767">
        <f>SUMIFS($D$2:$D$7909, $B$2:$B$7909, "Toscana")</f>
        <v>3672202</v>
      </c>
      <c r="G6767" s="1">
        <f>Comuni__2[[#This Row],[Popolazione2011]]/Comuni__2[[#This Row],[POPOLAZIONE TOTALE DI OGNI REGIONE (CON FILTRO)]]</f>
        <v>1.5445773407889872E-3</v>
      </c>
      <c r="H6767" t="str">
        <f>IF(Comuni__2[[#This Row],[Popolazione2011]]&gt;300000,"MAGGIORE","")</f>
        <v/>
      </c>
    </row>
    <row r="6768" spans="1:8" x14ac:dyDescent="0.2">
      <c r="A6768"/>
      <c r="B6768"/>
      <c r="C6768"/>
      <c r="D6768"/>
      <c r="E6768" s="2">
        <f>Comuni__2[[#This Row],[Popolazione2011]]/$D$7911</f>
        <v>9.5417475604637567E-5</v>
      </c>
      <c r="F6768">
        <f>SUMIFS($D$2:$D$7909, $B$2:$B$7909, "Toscana")</f>
        <v>3672202</v>
      </c>
      <c r="G6768" s="1">
        <f>Comuni__2[[#This Row],[Popolazione2011]]/Comuni__2[[#This Row],[POPOLAZIONE TOTALE DI OGNI REGIONE (CON FILTRO)]]</f>
        <v>1.5440327084403308E-3</v>
      </c>
      <c r="H6768" t="str">
        <f>IF(Comuni__2[[#This Row],[Popolazione2011]]&gt;300000,"MAGGIORE","")</f>
        <v/>
      </c>
    </row>
    <row r="6769" spans="1:8" x14ac:dyDescent="0.2">
      <c r="A6769"/>
      <c r="B6769"/>
      <c r="C6769"/>
      <c r="D6769"/>
      <c r="E6769" s="2">
        <f>Comuni__2[[#This Row],[Popolazione2011]]/$D$7911</f>
        <v>9.1344983700524288E-5</v>
      </c>
      <c r="F6769">
        <f>SUMIFS($D$2:$D$7909, $B$2:$B$7909, "Toscana")</f>
        <v>3672202</v>
      </c>
      <c r="G6769" s="1">
        <f>Comuni__2[[#This Row],[Popolazione2011]]/Comuni__2[[#This Row],[POPOLAZIONE TOTALE DI OGNI REGIONE (CON FILTRO)]]</f>
        <v>1.4781321942529306E-3</v>
      </c>
      <c r="H6769" t="str">
        <f>IF(Comuni__2[[#This Row],[Popolazione2011]]&gt;300000,"MAGGIORE","")</f>
        <v/>
      </c>
    </row>
    <row r="6770" spans="1:8" x14ac:dyDescent="0.2">
      <c r="A6770"/>
      <c r="B6770"/>
      <c r="C6770"/>
      <c r="D6770"/>
      <c r="E6770" s="2">
        <f>Comuni__2[[#This Row],[Popolazione2011]]/$D$7911</f>
        <v>8.9611650369434759E-5</v>
      </c>
      <c r="F6770">
        <f>SUMIFS($D$2:$D$7909, $B$2:$B$7909, "Toscana")</f>
        <v>3672202</v>
      </c>
      <c r="G6770" s="1">
        <f>Comuni__2[[#This Row],[Popolazione2011]]/Comuni__2[[#This Row],[POPOLAZIONE TOTALE DI OGNI REGIONE (CON FILTRO)]]</f>
        <v>1.4500836282971361E-3</v>
      </c>
      <c r="H6770" t="str">
        <f>IF(Comuni__2[[#This Row],[Popolazione2011]]&gt;300000,"MAGGIORE","")</f>
        <v/>
      </c>
    </row>
    <row r="6771" spans="1:8" x14ac:dyDescent="0.2">
      <c r="A6771"/>
      <c r="B6771"/>
      <c r="C6771"/>
      <c r="D6771"/>
      <c r="E6771" s="2">
        <f>Comuni__2[[#This Row],[Popolazione2011]]/$D$7911</f>
        <v>8.8046601827771392E-5</v>
      </c>
      <c r="F6771">
        <f>SUMIFS($D$2:$D$7909, $B$2:$B$7909, "Toscana")</f>
        <v>3672202</v>
      </c>
      <c r="G6771" s="1">
        <f>Comuni__2[[#This Row],[Popolazione2011]]/Comuni__2[[#This Row],[POPOLAZIONE TOTALE DI OGNI REGIONE (CON FILTRO)]]</f>
        <v>1.4247582240846227E-3</v>
      </c>
      <c r="H6771" t="str">
        <f>IF(Comuni__2[[#This Row],[Popolazione2011]]&gt;300000,"MAGGIORE","")</f>
        <v/>
      </c>
    </row>
    <row r="6772" spans="1:8" x14ac:dyDescent="0.2">
      <c r="A6772"/>
      <c r="B6772"/>
      <c r="C6772"/>
      <c r="D6772"/>
      <c r="E6772" s="2">
        <f>Comuni__2[[#This Row],[Popolazione2011]]/$D$7911</f>
        <v>8.631326849668185E-5</v>
      </c>
      <c r="F6772">
        <f>SUMIFS($D$2:$D$7909, $B$2:$B$7909, "Toscana")</f>
        <v>3672202</v>
      </c>
      <c r="G6772" s="1">
        <f>Comuni__2[[#This Row],[Popolazione2011]]/Comuni__2[[#This Row],[POPOLAZIONE TOTALE DI OGNI REGIONE (CON FILTRO)]]</f>
        <v>1.3967096581288284E-3</v>
      </c>
      <c r="H6772" t="str">
        <f>IF(Comuni__2[[#This Row],[Popolazione2011]]&gt;300000,"MAGGIORE","")</f>
        <v/>
      </c>
    </row>
    <row r="6773" spans="1:8" x14ac:dyDescent="0.2">
      <c r="A6773"/>
      <c r="B6773"/>
      <c r="C6773"/>
      <c r="D6773"/>
      <c r="E6773" s="2">
        <f>Comuni__2[[#This Row],[Popolazione2011]]/$D$7911</f>
        <v>8.5236245844354377E-5</v>
      </c>
      <c r="F6773">
        <f>SUMIFS($D$2:$D$7909, $B$2:$B$7909, "Toscana")</f>
        <v>3672202</v>
      </c>
      <c r="G6773" s="1">
        <f>Comuni__2[[#This Row],[Popolazione2011]]/Comuni__2[[#This Row],[POPOLAZIONE TOTALE DI OGNI REGIONE (CON FILTRO)]]</f>
        <v>1.3792814229718301E-3</v>
      </c>
      <c r="H6773" t="str">
        <f>IF(Comuni__2[[#This Row],[Popolazione2011]]&gt;300000,"MAGGIORE","")</f>
        <v/>
      </c>
    </row>
    <row r="6774" spans="1:8" x14ac:dyDescent="0.2">
      <c r="A6774"/>
      <c r="B6774"/>
      <c r="C6774"/>
      <c r="D6774"/>
      <c r="E6774" s="2">
        <f>Comuni__2[[#This Row],[Popolazione2011]]/$D$7911</f>
        <v>8.3654368823748393E-5</v>
      </c>
      <c r="F6774">
        <f>SUMIFS($D$2:$D$7909, $B$2:$B$7909, "Toscana")</f>
        <v>3672202</v>
      </c>
      <c r="G6774" s="1">
        <f>Comuni__2[[#This Row],[Popolazione2011]]/Comuni__2[[#This Row],[POPOLAZIONE TOTALE DI OGNI REGIONE (CON FILTRO)]]</f>
        <v>1.3536837025849885E-3</v>
      </c>
      <c r="H6774" t="str">
        <f>IF(Comuni__2[[#This Row],[Popolazione2011]]&gt;300000,"MAGGIORE","")</f>
        <v/>
      </c>
    </row>
    <row r="6775" spans="1:8" x14ac:dyDescent="0.2">
      <c r="A6775"/>
      <c r="B6775"/>
      <c r="C6775"/>
      <c r="D6775"/>
      <c r="E6775" s="2">
        <f>Comuni__2[[#This Row],[Popolazione2011]]/$D$7911</f>
        <v>8.3385113160666522E-5</v>
      </c>
      <c r="F6775">
        <f>SUMIFS($D$2:$D$7909, $B$2:$B$7909, "Toscana")</f>
        <v>3672202</v>
      </c>
      <c r="G6775" s="1">
        <f>Comuni__2[[#This Row],[Popolazione2011]]/Comuni__2[[#This Row],[POPOLAZIONE TOTALE DI OGNI REGIONE (CON FILTRO)]]</f>
        <v>1.3493266437957388E-3</v>
      </c>
      <c r="H6775" t="str">
        <f>IF(Comuni__2[[#This Row],[Popolazione2011]]&gt;300000,"MAGGIORE","")</f>
        <v/>
      </c>
    </row>
    <row r="6776" spans="1:8" x14ac:dyDescent="0.2">
      <c r="A6776"/>
      <c r="B6776"/>
      <c r="C6776"/>
      <c r="D6776"/>
      <c r="E6776" s="2">
        <f>Comuni__2[[#This Row],[Popolazione2011]]/$D$7911</f>
        <v>8.311585749758465E-5</v>
      </c>
      <c r="F6776">
        <f>SUMIFS($D$2:$D$7909, $B$2:$B$7909, "Toscana")</f>
        <v>3672202</v>
      </c>
      <c r="G6776" s="1">
        <f>Comuni__2[[#This Row],[Popolazione2011]]/Comuni__2[[#This Row],[POPOLAZIONE TOTALE DI OGNI REGIONE (CON FILTRO)]]</f>
        <v>1.3449695850064893E-3</v>
      </c>
      <c r="H6776" t="str">
        <f>IF(Comuni__2[[#This Row],[Popolazione2011]]&gt;300000,"MAGGIORE","")</f>
        <v/>
      </c>
    </row>
    <row r="6777" spans="1:8" x14ac:dyDescent="0.2">
      <c r="A6777"/>
      <c r="B6777"/>
      <c r="C6777"/>
      <c r="D6777"/>
      <c r="E6777" s="2">
        <f>Comuni__2[[#This Row],[Popolazione2011]]/$D$7911</f>
        <v>8.2459546818822594E-5</v>
      </c>
      <c r="F6777">
        <f>SUMIFS($D$2:$D$7909, $B$2:$B$7909, "Toscana")</f>
        <v>3672202</v>
      </c>
      <c r="G6777" s="1">
        <f>Comuni__2[[#This Row],[Popolazione2011]]/Comuni__2[[#This Row],[POPOLAZIONE TOTALE DI OGNI REGIONE (CON FILTRO)]]</f>
        <v>1.3343492542076934E-3</v>
      </c>
      <c r="H6777" t="str">
        <f>IF(Comuni__2[[#This Row],[Popolazione2011]]&gt;300000,"MAGGIORE","")</f>
        <v/>
      </c>
    </row>
    <row r="6778" spans="1:8" x14ac:dyDescent="0.2">
      <c r="A6778"/>
      <c r="B6778"/>
      <c r="C6778"/>
      <c r="D6778"/>
      <c r="E6778" s="2">
        <f>Comuni__2[[#This Row],[Popolazione2011]]/$D$7911</f>
        <v>8.1247896334954179E-5</v>
      </c>
      <c r="F6778">
        <f>SUMIFS($D$2:$D$7909, $B$2:$B$7909, "Toscana")</f>
        <v>3672202</v>
      </c>
      <c r="G6778" s="1">
        <f>Comuni__2[[#This Row],[Popolazione2011]]/Comuni__2[[#This Row],[POPOLAZIONE TOTALE DI OGNI REGIONE (CON FILTRO)]]</f>
        <v>1.3147424896560701E-3</v>
      </c>
      <c r="H6778" t="str">
        <f>IF(Comuni__2[[#This Row],[Popolazione2011]]&gt;300000,"MAGGIORE","")</f>
        <v/>
      </c>
    </row>
    <row r="6779" spans="1:8" x14ac:dyDescent="0.2">
      <c r="A6779"/>
      <c r="B6779"/>
      <c r="C6779"/>
      <c r="D6779"/>
      <c r="E6779" s="2">
        <f>Comuni__2[[#This Row],[Popolazione2011]]/$D$7911</f>
        <v>7.9783818666946508E-5</v>
      </c>
      <c r="F6779">
        <f>SUMIFS($D$2:$D$7909, $B$2:$B$7909, "Toscana")</f>
        <v>3672202</v>
      </c>
      <c r="G6779" s="1">
        <f>Comuni__2[[#This Row],[Popolazione2011]]/Comuni__2[[#This Row],[POPOLAZIONE TOTALE DI OGNI REGIONE (CON FILTRO)]]</f>
        <v>1.2910509824895252E-3</v>
      </c>
      <c r="H6779" t="str">
        <f>IF(Comuni__2[[#This Row],[Popolazione2011]]&gt;300000,"MAGGIORE","")</f>
        <v/>
      </c>
    </row>
    <row r="6780" spans="1:8" x14ac:dyDescent="0.2">
      <c r="A6780"/>
      <c r="B6780"/>
      <c r="C6780"/>
      <c r="D6780"/>
      <c r="E6780" s="2">
        <f>Comuni__2[[#This Row],[Popolazione2011]]/$D$7911</f>
        <v>7.9598705398577731E-5</v>
      </c>
      <c r="F6780">
        <f>SUMIFS($D$2:$D$7909, $B$2:$B$7909, "Toscana")</f>
        <v>3672202</v>
      </c>
      <c r="G6780" s="1">
        <f>Comuni__2[[#This Row],[Popolazione2011]]/Comuni__2[[#This Row],[POPOLAZIONE TOTALE DI OGNI REGIONE (CON FILTRO)]]</f>
        <v>1.2880555045719163E-3</v>
      </c>
      <c r="H6780" t="str">
        <f>IF(Comuni__2[[#This Row],[Popolazione2011]]&gt;300000,"MAGGIORE","")</f>
        <v/>
      </c>
    </row>
    <row r="6781" spans="1:8" x14ac:dyDescent="0.2">
      <c r="A6781"/>
      <c r="B6781"/>
      <c r="C6781"/>
      <c r="D6781"/>
      <c r="E6781" s="2">
        <f>Comuni__2[[#This Row],[Popolazione2011]]/$D$7911</f>
        <v>7.8605825140963339E-5</v>
      </c>
      <c r="F6781">
        <f>SUMIFS($D$2:$D$7909, $B$2:$B$7909, "Toscana")</f>
        <v>3672202</v>
      </c>
      <c r="G6781" s="1">
        <f>Comuni__2[[#This Row],[Popolazione2011]]/Comuni__2[[#This Row],[POPOLAZIONE TOTALE DI OGNI REGIONE (CON FILTRO)]]</f>
        <v>1.2719888502865583E-3</v>
      </c>
      <c r="H6781" t="str">
        <f>IF(Comuni__2[[#This Row],[Popolazione2011]]&gt;300000,"MAGGIORE","")</f>
        <v/>
      </c>
    </row>
    <row r="6782" spans="1:8" x14ac:dyDescent="0.2">
      <c r="A6782"/>
      <c r="B6782"/>
      <c r="C6782"/>
      <c r="D6782"/>
      <c r="E6782" s="2">
        <f>Comuni__2[[#This Row],[Popolazione2011]]/$D$7911</f>
        <v>7.6939805725644261E-5</v>
      </c>
      <c r="F6782">
        <f>SUMIFS($D$2:$D$7909, $B$2:$B$7909, "Toscana")</f>
        <v>3672202</v>
      </c>
      <c r="G6782" s="1">
        <f>Comuni__2[[#This Row],[Popolazione2011]]/Comuni__2[[#This Row],[POPOLAZIONE TOTALE DI OGNI REGIONE (CON FILTRO)]]</f>
        <v>1.2450295490280764E-3</v>
      </c>
      <c r="H6782" t="str">
        <f>IF(Comuni__2[[#This Row],[Popolazione2011]]&gt;300000,"MAGGIORE","")</f>
        <v/>
      </c>
    </row>
    <row r="6783" spans="1:8" x14ac:dyDescent="0.2">
      <c r="A6783"/>
      <c r="B6783"/>
      <c r="C6783"/>
      <c r="D6783"/>
      <c r="E6783" s="2">
        <f>Comuni__2[[#This Row],[Popolazione2011]]/$D$7911</f>
        <v>7.6620064625734541E-5</v>
      </c>
      <c r="F6783">
        <f>SUMIFS($D$2:$D$7909, $B$2:$B$7909, "Toscana")</f>
        <v>3672202</v>
      </c>
      <c r="G6783" s="1">
        <f>Comuni__2[[#This Row],[Popolazione2011]]/Comuni__2[[#This Row],[POPOLAZIONE TOTALE DI OGNI REGIONE (CON FILTRO)]]</f>
        <v>1.2398555417158425E-3</v>
      </c>
      <c r="H6783" t="str">
        <f>IF(Comuni__2[[#This Row],[Popolazione2011]]&gt;300000,"MAGGIORE","")</f>
        <v/>
      </c>
    </row>
    <row r="6784" spans="1:8" x14ac:dyDescent="0.2">
      <c r="A6784"/>
      <c r="B6784"/>
      <c r="C6784"/>
      <c r="D6784"/>
      <c r="E6784" s="2">
        <f>Comuni__2[[#This Row],[Popolazione2011]]/$D$7911</f>
        <v>7.6300323525824821E-5</v>
      </c>
      <c r="F6784">
        <f>SUMIFS($D$2:$D$7909, $B$2:$B$7909, "Toscana")</f>
        <v>3672202</v>
      </c>
      <c r="G6784" s="1">
        <f>Comuni__2[[#This Row],[Popolazione2011]]/Comuni__2[[#This Row],[POPOLAZIONE TOTALE DI OGNI REGIONE (CON FILTRO)]]</f>
        <v>1.2346815344036084E-3</v>
      </c>
      <c r="H6784" t="str">
        <f>IF(Comuni__2[[#This Row],[Popolazione2011]]&gt;300000,"MAGGIORE","")</f>
        <v/>
      </c>
    </row>
    <row r="6785" spans="1:8" x14ac:dyDescent="0.2">
      <c r="A6785"/>
      <c r="B6785"/>
      <c r="C6785"/>
      <c r="D6785"/>
      <c r="E6785" s="2">
        <f>Comuni__2[[#This Row],[Popolazione2011]]/$D$7911</f>
        <v>7.5913268510144637E-5</v>
      </c>
      <c r="F6785">
        <f>SUMIFS($D$2:$D$7909, $B$2:$B$7909, "Toscana")</f>
        <v>3672202</v>
      </c>
      <c r="G6785" s="1">
        <f>Comuni__2[[#This Row],[Popolazione2011]]/Comuni__2[[#This Row],[POPOLAZIONE TOTALE DI OGNI REGIONE (CON FILTRO)]]</f>
        <v>1.2284182623940622E-3</v>
      </c>
      <c r="H6785" t="str">
        <f>IF(Comuni__2[[#This Row],[Popolazione2011]]&gt;300000,"MAGGIORE","")</f>
        <v/>
      </c>
    </row>
    <row r="6786" spans="1:8" x14ac:dyDescent="0.2">
      <c r="A6786"/>
      <c r="B6786"/>
      <c r="C6786"/>
      <c r="D6786"/>
      <c r="E6786" s="2">
        <f>Comuni__2[[#This Row],[Popolazione2011]]/$D$7911</f>
        <v>7.5374757183980894E-5</v>
      </c>
      <c r="F6786">
        <f>SUMIFS($D$2:$D$7909, $B$2:$B$7909, "Toscana")</f>
        <v>3672202</v>
      </c>
      <c r="G6786" s="1">
        <f>Comuni__2[[#This Row],[Popolazione2011]]/Comuni__2[[#This Row],[POPOLAZIONE TOTALE DI OGNI REGIONE (CON FILTRO)]]</f>
        <v>1.219704144815563E-3</v>
      </c>
      <c r="H6786" t="str">
        <f>IF(Comuni__2[[#This Row],[Popolazione2011]]&gt;300000,"MAGGIORE","")</f>
        <v/>
      </c>
    </row>
    <row r="6787" spans="1:8" x14ac:dyDescent="0.2">
      <c r="A6787"/>
      <c r="B6787"/>
      <c r="C6787"/>
      <c r="D6787"/>
      <c r="E6787" s="2">
        <f>Comuni__2[[#This Row],[Popolazione2011]]/$D$7911</f>
        <v>7.4954045210415477E-5</v>
      </c>
      <c r="F6787">
        <f>SUMIFS($D$2:$D$7909, $B$2:$B$7909, "Toscana")</f>
        <v>3672202</v>
      </c>
      <c r="G6787" s="1">
        <f>Comuni__2[[#This Row],[Popolazione2011]]/Comuni__2[[#This Row],[POPOLAZIONE TOTALE DI OGNI REGIONE (CON FILTRO)]]</f>
        <v>1.2128962404573604E-3</v>
      </c>
      <c r="H6787" t="str">
        <f>IF(Comuni__2[[#This Row],[Popolazione2011]]&gt;300000,"MAGGIORE","")</f>
        <v/>
      </c>
    </row>
    <row r="6788" spans="1:8" x14ac:dyDescent="0.2">
      <c r="A6788"/>
      <c r="B6788"/>
      <c r="C6788"/>
      <c r="D6788"/>
      <c r="E6788" s="2">
        <f>Comuni__2[[#This Row],[Popolazione2011]]/$D$7911</f>
        <v>7.2581229679506495E-5</v>
      </c>
      <c r="F6788">
        <f>SUMIFS($D$2:$D$7909, $B$2:$B$7909, "Toscana")</f>
        <v>3672202</v>
      </c>
      <c r="G6788" s="1">
        <f>Comuni__2[[#This Row],[Popolazione2011]]/Comuni__2[[#This Row],[POPOLAZIONE TOTALE DI OGNI REGIONE (CON FILTRO)]]</f>
        <v>1.1744996598770983E-3</v>
      </c>
      <c r="H6788" t="str">
        <f>IF(Comuni__2[[#This Row],[Popolazione2011]]&gt;300000,"MAGGIORE","")</f>
        <v/>
      </c>
    </row>
    <row r="6789" spans="1:8" x14ac:dyDescent="0.2">
      <c r="A6789"/>
      <c r="B6789"/>
      <c r="C6789"/>
      <c r="D6789"/>
      <c r="E6789" s="2">
        <f>Comuni__2[[#This Row],[Popolazione2011]]/$D$7911</f>
        <v>7.0275728064367991E-5</v>
      </c>
      <c r="F6789">
        <f>SUMIFS($D$2:$D$7909, $B$2:$B$7909, "Toscana")</f>
        <v>3672202</v>
      </c>
      <c r="G6789" s="1">
        <f>Comuni__2[[#This Row],[Popolazione2011]]/Comuni__2[[#This Row],[POPOLAZIONE TOTALE DI OGNI REGIONE (CON FILTRO)]]</f>
        <v>1.1371923439941485E-3</v>
      </c>
      <c r="H6789" t="str">
        <f>IF(Comuni__2[[#This Row],[Popolazione2011]]&gt;300000,"MAGGIORE","")</f>
        <v/>
      </c>
    </row>
    <row r="6790" spans="1:8" x14ac:dyDescent="0.2">
      <c r="A6790"/>
      <c r="B6790"/>
      <c r="C6790"/>
      <c r="D6790"/>
      <c r="E6790" s="2">
        <f>Comuni__2[[#This Row],[Popolazione2011]]/$D$7911</f>
        <v>6.8424595380680135E-5</v>
      </c>
      <c r="F6790">
        <f>SUMIFS($D$2:$D$7909, $B$2:$B$7909, "Toscana")</f>
        <v>3672202</v>
      </c>
      <c r="G6790" s="1">
        <f>Comuni__2[[#This Row],[Popolazione2011]]/Comuni__2[[#This Row],[POPOLAZIONE TOTALE DI OGNI REGIONE (CON FILTRO)]]</f>
        <v>1.1072375648180574E-3</v>
      </c>
      <c r="H6790" t="str">
        <f>IF(Comuni__2[[#This Row],[Popolazione2011]]&gt;300000,"MAGGIORE","")</f>
        <v/>
      </c>
    </row>
    <row r="6791" spans="1:8" x14ac:dyDescent="0.2">
      <c r="A6791"/>
      <c r="B6791"/>
      <c r="C6791"/>
      <c r="D6791"/>
      <c r="E6791" s="2">
        <f>Comuni__2[[#This Row],[Popolazione2011]]/$D$7911</f>
        <v>6.5395469171009097E-5</v>
      </c>
      <c r="F6791">
        <f>SUMIFS($D$2:$D$7909, $B$2:$B$7909, "Toscana")</f>
        <v>3672202</v>
      </c>
      <c r="G6791" s="1">
        <f>Comuni__2[[#This Row],[Popolazione2011]]/Comuni__2[[#This Row],[POPOLAZIONE TOTALE DI OGNI REGIONE (CON FILTRO)]]</f>
        <v>1.0582206534389992E-3</v>
      </c>
      <c r="H6791" t="str">
        <f>IF(Comuni__2[[#This Row],[Popolazione2011]]&gt;300000,"MAGGIORE","")</f>
        <v/>
      </c>
    </row>
    <row r="6792" spans="1:8" x14ac:dyDescent="0.2">
      <c r="A6792"/>
      <c r="B6792"/>
      <c r="C6792"/>
      <c r="D6792"/>
      <c r="E6792" s="2">
        <f>Comuni__2[[#This Row],[Popolazione2011]]/$D$7911</f>
        <v>6.5328155255238633E-5</v>
      </c>
      <c r="F6792">
        <f>SUMIFS($D$2:$D$7909, $B$2:$B$7909, "Toscana")</f>
        <v>3672202</v>
      </c>
      <c r="G6792" s="1">
        <f>Comuni__2[[#This Row],[Popolazione2011]]/Comuni__2[[#This Row],[POPOLAZIONE TOTALE DI OGNI REGIONE (CON FILTRO)]]</f>
        <v>1.0571313887416868E-3</v>
      </c>
      <c r="H6792" t="str">
        <f>IF(Comuni__2[[#This Row],[Popolazione2011]]&gt;300000,"MAGGIORE","")</f>
        <v/>
      </c>
    </row>
    <row r="6793" spans="1:8" x14ac:dyDescent="0.2">
      <c r="A6793"/>
      <c r="B6793"/>
      <c r="C6793"/>
      <c r="D6793"/>
      <c r="E6793" s="2">
        <f>Comuni__2[[#This Row],[Popolazione2011]]/$D$7911</f>
        <v>6.5126213507927226E-5</v>
      </c>
      <c r="F6793">
        <f>SUMIFS($D$2:$D$7909, $B$2:$B$7909, "Toscana")</f>
        <v>3672202</v>
      </c>
      <c r="G6793" s="1">
        <f>Comuni__2[[#This Row],[Popolazione2011]]/Comuni__2[[#This Row],[POPOLAZIONE TOTALE DI OGNI REGIONE (CON FILTRO)]]</f>
        <v>1.0538635946497497E-3</v>
      </c>
      <c r="H6793" t="str">
        <f>IF(Comuni__2[[#This Row],[Popolazione2011]]&gt;300000,"MAGGIORE","")</f>
        <v/>
      </c>
    </row>
    <row r="6794" spans="1:8" x14ac:dyDescent="0.2">
      <c r="A6794"/>
      <c r="B6794"/>
      <c r="C6794"/>
      <c r="D6794"/>
      <c r="E6794" s="2">
        <f>Comuni__2[[#This Row],[Popolazione2011]]/$D$7911</f>
        <v>6.4385760434452089E-5</v>
      </c>
      <c r="F6794">
        <f>SUMIFS($D$2:$D$7909, $B$2:$B$7909, "Toscana")</f>
        <v>3672202</v>
      </c>
      <c r="G6794" s="1">
        <f>Comuni__2[[#This Row],[Popolazione2011]]/Comuni__2[[#This Row],[POPOLAZIONE TOTALE DI OGNI REGIONE (CON FILTRO)]]</f>
        <v>1.0418816829793132E-3</v>
      </c>
      <c r="H6794" t="str">
        <f>IF(Comuni__2[[#This Row],[Popolazione2011]]&gt;300000,"MAGGIORE","")</f>
        <v/>
      </c>
    </row>
    <row r="6795" spans="1:8" x14ac:dyDescent="0.2">
      <c r="A6795"/>
      <c r="B6795"/>
      <c r="C6795"/>
      <c r="D6795"/>
      <c r="E6795" s="2">
        <f>Comuni__2[[#This Row],[Popolazione2011]]/$D$7911</f>
        <v>6.3544336487321242E-5</v>
      </c>
      <c r="F6795">
        <f>SUMIFS($D$2:$D$7909, $B$2:$B$7909, "Toscana")</f>
        <v>3672202</v>
      </c>
      <c r="G6795" s="1">
        <f>Comuni__2[[#This Row],[Popolazione2011]]/Comuni__2[[#This Row],[POPOLAZIONE TOTALE DI OGNI REGIONE (CON FILTRO)]]</f>
        <v>1.0282658742629082E-3</v>
      </c>
      <c r="H6795" t="str">
        <f>IF(Comuni__2[[#This Row],[Popolazione2011]]&gt;300000,"MAGGIORE","")</f>
        <v/>
      </c>
    </row>
    <row r="6796" spans="1:8" x14ac:dyDescent="0.2">
      <c r="A6796"/>
      <c r="B6796"/>
      <c r="C6796"/>
      <c r="D6796"/>
      <c r="E6796" s="2">
        <f>Comuni__2[[#This Row],[Popolazione2011]]/$D$7911</f>
        <v>6.3325566261067233E-5</v>
      </c>
      <c r="F6796">
        <f>SUMIFS($D$2:$D$7909, $B$2:$B$7909, "Toscana")</f>
        <v>3672202</v>
      </c>
      <c r="G6796" s="1">
        <f>Comuni__2[[#This Row],[Popolazione2011]]/Comuni__2[[#This Row],[POPOLAZIONE TOTALE DI OGNI REGIONE (CON FILTRO)]]</f>
        <v>1.0247257639966428E-3</v>
      </c>
      <c r="H6796" t="str">
        <f>IF(Comuni__2[[#This Row],[Popolazione2011]]&gt;300000,"MAGGIORE","")</f>
        <v/>
      </c>
    </row>
    <row r="6797" spans="1:8" x14ac:dyDescent="0.2">
      <c r="A6797"/>
      <c r="B6797"/>
      <c r="C6797"/>
      <c r="D6797"/>
      <c r="E6797" s="2">
        <f>Comuni__2[[#This Row],[Popolazione2011]]/$D$7911</f>
        <v>6.2248543608739746E-5</v>
      </c>
      <c r="F6797">
        <f>SUMIFS($D$2:$D$7909, $B$2:$B$7909, "Toscana")</f>
        <v>3672202</v>
      </c>
      <c r="G6797" s="1">
        <f>Comuni__2[[#This Row],[Popolazione2011]]/Comuni__2[[#This Row],[POPOLAZIONE TOTALE DI OGNI REGIONE (CON FILTRO)]]</f>
        <v>1.0072975288396445E-3</v>
      </c>
      <c r="H6797" t="str">
        <f>IF(Comuni__2[[#This Row],[Popolazione2011]]&gt;300000,"MAGGIORE","")</f>
        <v/>
      </c>
    </row>
    <row r="6798" spans="1:8" x14ac:dyDescent="0.2">
      <c r="A6798"/>
      <c r="B6798"/>
      <c r="C6798"/>
      <c r="D6798"/>
      <c r="E6798" s="2">
        <f>Comuni__2[[#This Row],[Popolazione2011]]/$D$7911</f>
        <v>6.1339805745838435E-5</v>
      </c>
      <c r="F6798">
        <f>SUMIFS($D$2:$D$7909, $B$2:$B$7909, "Toscana")</f>
        <v>3672202</v>
      </c>
      <c r="G6798" s="1">
        <f>Comuni__2[[#This Row],[Popolazione2011]]/Comuni__2[[#This Row],[POPOLAZIONE TOTALE DI OGNI REGIONE (CON FILTRO)]]</f>
        <v>9.9259245542592705E-4</v>
      </c>
      <c r="H6798" t="str">
        <f>IF(Comuni__2[[#This Row],[Popolazione2011]]&gt;300000,"MAGGIORE","")</f>
        <v/>
      </c>
    </row>
    <row r="6799" spans="1:8" x14ac:dyDescent="0.2">
      <c r="A6799"/>
      <c r="B6799"/>
      <c r="C6799"/>
      <c r="D6799"/>
      <c r="E6799" s="2">
        <f>Comuni__2[[#This Row],[Popolazione2011]]/$D$7911</f>
        <v>6.1137863998527041E-5</v>
      </c>
      <c r="F6799">
        <f>SUMIFS($D$2:$D$7909, $B$2:$B$7909, "Toscana")</f>
        <v>3672202</v>
      </c>
      <c r="G6799" s="1">
        <f>Comuni__2[[#This Row],[Popolazione2011]]/Comuni__2[[#This Row],[POPOLAZIONE TOTALE DI OGNI REGIONE (CON FILTRO)]]</f>
        <v>9.8932466133398972E-4</v>
      </c>
      <c r="H6799" t="str">
        <f>IF(Comuni__2[[#This Row],[Popolazione2011]]&gt;300000,"MAGGIORE","")</f>
        <v/>
      </c>
    </row>
    <row r="6800" spans="1:8" x14ac:dyDescent="0.2">
      <c r="A6800"/>
      <c r="B6800"/>
      <c r="C6800"/>
      <c r="D6800"/>
      <c r="E6800" s="2">
        <f>Comuni__2[[#This Row],[Popolazione2011]]/$D$7911</f>
        <v>6.0834951377559931E-5</v>
      </c>
      <c r="F6800">
        <f>SUMIFS($D$2:$D$7909, $B$2:$B$7909, "Toscana")</f>
        <v>3672202</v>
      </c>
      <c r="G6800" s="1">
        <f>Comuni__2[[#This Row],[Popolazione2011]]/Comuni__2[[#This Row],[POPOLAZIONE TOTALE DI OGNI REGIONE (CON FILTRO)]]</f>
        <v>9.8442297019608405E-4</v>
      </c>
      <c r="H6800" t="str">
        <f>IF(Comuni__2[[#This Row],[Popolazione2011]]&gt;300000,"MAGGIORE","")</f>
        <v/>
      </c>
    </row>
    <row r="6801" spans="1:8" x14ac:dyDescent="0.2">
      <c r="A6801"/>
      <c r="B6801"/>
      <c r="C6801"/>
      <c r="D6801"/>
      <c r="E6801" s="2">
        <f>Comuni__2[[#This Row],[Popolazione2011]]/$D$7911</f>
        <v>6.0515210277650211E-5</v>
      </c>
      <c r="F6801">
        <f>SUMIFS($D$2:$D$7909, $B$2:$B$7909, "Toscana")</f>
        <v>3672202</v>
      </c>
      <c r="G6801" s="1">
        <f>Comuni__2[[#This Row],[Popolazione2011]]/Comuni__2[[#This Row],[POPOLAZIONE TOTALE DI OGNI REGIONE (CON FILTRO)]]</f>
        <v>9.7924896288384996E-4</v>
      </c>
      <c r="H6801" t="str">
        <f>IF(Comuni__2[[#This Row],[Popolazione2011]]&gt;300000,"MAGGIORE","")</f>
        <v/>
      </c>
    </row>
    <row r="6802" spans="1:8" x14ac:dyDescent="0.2">
      <c r="A6802"/>
      <c r="B6802"/>
      <c r="C6802"/>
      <c r="D6802"/>
      <c r="E6802" s="2">
        <f>Comuni__2[[#This Row],[Popolazione2011]]/$D$7911</f>
        <v>6.0447896361879746E-5</v>
      </c>
      <c r="F6802">
        <f>SUMIFS($D$2:$D$7909, $B$2:$B$7909, "Toscana")</f>
        <v>3672202</v>
      </c>
      <c r="G6802" s="1">
        <f>Comuni__2[[#This Row],[Popolazione2011]]/Comuni__2[[#This Row],[POPOLAZIONE TOTALE DI OGNI REGIONE (CON FILTRO)]]</f>
        <v>9.7815969818653759E-4</v>
      </c>
      <c r="H6802" t="str">
        <f>IF(Comuni__2[[#This Row],[Popolazione2011]]&gt;300000,"MAGGIORE","")</f>
        <v/>
      </c>
    </row>
    <row r="6803" spans="1:8" x14ac:dyDescent="0.2">
      <c r="A6803"/>
      <c r="B6803"/>
      <c r="C6803"/>
      <c r="D6803"/>
      <c r="E6803" s="2">
        <f>Comuni__2[[#This Row],[Popolazione2011]]/$D$7911</f>
        <v>5.7587054941634883E-5</v>
      </c>
      <c r="F6803">
        <f>SUMIFS($D$2:$D$7909, $B$2:$B$7909, "Toscana")</f>
        <v>3672202</v>
      </c>
      <c r="G6803" s="1">
        <f>Comuni__2[[#This Row],[Popolazione2011]]/Comuni__2[[#This Row],[POPOLAZIONE TOTALE DI OGNI REGIONE (CON FILTRO)]]</f>
        <v>9.3186594855076054E-4</v>
      </c>
      <c r="H6803" t="str">
        <f>IF(Comuni__2[[#This Row],[Popolazione2011]]&gt;300000,"MAGGIORE","")</f>
        <v/>
      </c>
    </row>
    <row r="6804" spans="1:8" x14ac:dyDescent="0.2">
      <c r="A6804"/>
      <c r="B6804"/>
      <c r="C6804"/>
      <c r="D6804"/>
      <c r="E6804" s="2">
        <f>Comuni__2[[#This Row],[Popolazione2011]]/$D$7911</f>
        <v>5.7300970799610395E-5</v>
      </c>
      <c r="F6804">
        <f>SUMIFS($D$2:$D$7909, $B$2:$B$7909, "Toscana")</f>
        <v>3672202</v>
      </c>
      <c r="G6804" s="1">
        <f>Comuni__2[[#This Row],[Popolazione2011]]/Comuni__2[[#This Row],[POPOLAZIONE TOTALE DI OGNI REGIONE (CON FILTRO)]]</f>
        <v>9.2723657358718286E-4</v>
      </c>
      <c r="H6804" t="str">
        <f>IF(Comuni__2[[#This Row],[Popolazione2011]]&gt;300000,"MAGGIORE","")</f>
        <v/>
      </c>
    </row>
    <row r="6805" spans="1:8" x14ac:dyDescent="0.2">
      <c r="A6805"/>
      <c r="B6805"/>
      <c r="C6805"/>
      <c r="D6805"/>
      <c r="E6805" s="2">
        <f>Comuni__2[[#This Row],[Popolazione2011]]/$D$7911</f>
        <v>5.5836893131602725E-5</v>
      </c>
      <c r="F6805">
        <f>SUMIFS($D$2:$D$7909, $B$2:$B$7909, "Toscana")</f>
        <v>3672202</v>
      </c>
      <c r="G6805" s="1">
        <f>Comuni__2[[#This Row],[Popolazione2011]]/Comuni__2[[#This Row],[POPOLAZIONE TOTALE DI OGNI REGIONE (CON FILTRO)]]</f>
        <v>9.0354506642063804E-4</v>
      </c>
      <c r="H6805" t="str">
        <f>IF(Comuni__2[[#This Row],[Popolazione2011]]&gt;300000,"MAGGIORE","")</f>
        <v/>
      </c>
    </row>
    <row r="6806" spans="1:8" x14ac:dyDescent="0.2">
      <c r="A6806"/>
      <c r="B6806"/>
      <c r="C6806"/>
      <c r="D6806"/>
      <c r="E6806" s="2">
        <f>Comuni__2[[#This Row],[Popolazione2011]]/$D$7911</f>
        <v>5.48103559161031E-5</v>
      </c>
      <c r="F6806">
        <f>SUMIFS($D$2:$D$7909, $B$2:$B$7909, "Toscana")</f>
        <v>3672202</v>
      </c>
      <c r="G6806" s="1">
        <f>Comuni__2[[#This Row],[Popolazione2011]]/Comuni__2[[#This Row],[POPOLAZIONE TOTALE DI OGNI REGIONE (CON FILTRO)]]</f>
        <v>8.8693377978662396E-4</v>
      </c>
      <c r="H6806" t="str">
        <f>IF(Comuni__2[[#This Row],[Popolazione2011]]&gt;300000,"MAGGIORE","")</f>
        <v/>
      </c>
    </row>
    <row r="6807" spans="1:8" x14ac:dyDescent="0.2">
      <c r="A6807"/>
      <c r="B6807"/>
      <c r="C6807"/>
      <c r="D6807"/>
      <c r="E6807" s="2">
        <f>Comuni__2[[#This Row],[Popolazione2011]]/$D$7911</f>
        <v>5.4507443295135996E-5</v>
      </c>
      <c r="F6807">
        <f>SUMIFS($D$2:$D$7909, $B$2:$B$7909, "Toscana")</f>
        <v>3672202</v>
      </c>
      <c r="G6807" s="1">
        <f>Comuni__2[[#This Row],[Popolazione2011]]/Comuni__2[[#This Row],[POPOLAZIONE TOTALE DI OGNI REGIONE (CON FILTRO)]]</f>
        <v>8.8203208864871807E-4</v>
      </c>
      <c r="H6807" t="str">
        <f>IF(Comuni__2[[#This Row],[Popolazione2011]]&gt;300000,"MAGGIORE","")</f>
        <v/>
      </c>
    </row>
    <row r="6808" spans="1:8" x14ac:dyDescent="0.2">
      <c r="A6808"/>
      <c r="B6808"/>
      <c r="C6808"/>
      <c r="D6808"/>
      <c r="E6808" s="2">
        <f>Comuni__2[[#This Row],[Popolazione2011]]/$D$7911</f>
        <v>5.4002588926857492E-5</v>
      </c>
      <c r="F6808">
        <f>SUMIFS($D$2:$D$7909, $B$2:$B$7909, "Toscana")</f>
        <v>3672202</v>
      </c>
      <c r="G6808" s="1">
        <f>Comuni__2[[#This Row],[Popolazione2011]]/Comuni__2[[#This Row],[POPOLAZIONE TOTALE DI OGNI REGIONE (CON FILTRO)]]</f>
        <v>8.7386260341887508E-4</v>
      </c>
      <c r="H6808" t="str">
        <f>IF(Comuni__2[[#This Row],[Popolazione2011]]&gt;300000,"MAGGIORE","")</f>
        <v/>
      </c>
    </row>
    <row r="6809" spans="1:8" x14ac:dyDescent="0.2">
      <c r="A6809"/>
      <c r="B6809"/>
      <c r="C6809"/>
      <c r="D6809"/>
      <c r="E6809" s="2">
        <f>Comuni__2[[#This Row],[Popolazione2011]]/$D$7911</f>
        <v>5.3867961095316556E-5</v>
      </c>
      <c r="F6809">
        <f>SUMIFS($D$2:$D$7909, $B$2:$B$7909, "Toscana")</f>
        <v>3672202</v>
      </c>
      <c r="G6809" s="1">
        <f>Comuni__2[[#This Row],[Popolazione2011]]/Comuni__2[[#This Row],[POPOLAZIONE TOTALE DI OGNI REGIONE (CON FILTRO)]]</f>
        <v>8.7168407402425034E-4</v>
      </c>
      <c r="H6809" t="str">
        <f>IF(Comuni__2[[#This Row],[Popolazione2011]]&gt;300000,"MAGGIORE","")</f>
        <v/>
      </c>
    </row>
    <row r="6810" spans="1:8" x14ac:dyDescent="0.2">
      <c r="A6810"/>
      <c r="B6810"/>
      <c r="C6810"/>
      <c r="D6810"/>
      <c r="E6810" s="2">
        <f>Comuni__2[[#This Row],[Popolazione2011]]/$D$7911</f>
        <v>5.3682847826947772E-5</v>
      </c>
      <c r="F6810">
        <f>SUMIFS($D$2:$D$7909, $B$2:$B$7909, "Toscana")</f>
        <v>3672202</v>
      </c>
      <c r="G6810" s="1">
        <f>Comuni__2[[#This Row],[Popolazione2011]]/Comuni__2[[#This Row],[POPOLAZIONE TOTALE DI OGNI REGIONE (CON FILTRO)]]</f>
        <v>8.6868859610664121E-4</v>
      </c>
      <c r="H6810" t="str">
        <f>IF(Comuni__2[[#This Row],[Popolazione2011]]&gt;300000,"MAGGIORE","")</f>
        <v/>
      </c>
    </row>
    <row r="6811" spans="1:8" x14ac:dyDescent="0.2">
      <c r="A6811"/>
      <c r="B6811"/>
      <c r="C6811"/>
      <c r="D6811"/>
      <c r="E6811" s="2">
        <f>Comuni__2[[#This Row],[Popolazione2011]]/$D$7911</f>
        <v>5.3548219995406837E-5</v>
      </c>
      <c r="F6811">
        <f>SUMIFS($D$2:$D$7909, $B$2:$B$7909, "Toscana")</f>
        <v>3672202</v>
      </c>
      <c r="G6811" s="1">
        <f>Comuni__2[[#This Row],[Popolazione2011]]/Comuni__2[[#This Row],[POPOLAZIONE TOTALE DI OGNI REGIONE (CON FILTRO)]]</f>
        <v>8.6651006671201636E-4</v>
      </c>
      <c r="H6811" t="str">
        <f>IF(Comuni__2[[#This Row],[Popolazione2011]]&gt;300000,"MAGGIORE","")</f>
        <v/>
      </c>
    </row>
    <row r="6812" spans="1:8" x14ac:dyDescent="0.2">
      <c r="A6812"/>
      <c r="B6812"/>
      <c r="C6812"/>
      <c r="D6812"/>
      <c r="E6812" s="2">
        <f>Comuni__2[[#This Row],[Popolazione2011]]/$D$7911</f>
        <v>5.2875080837702158E-5</v>
      </c>
      <c r="F6812">
        <f>SUMIFS($D$2:$D$7909, $B$2:$B$7909, "Toscana")</f>
        <v>3672202</v>
      </c>
      <c r="G6812" s="1">
        <f>Comuni__2[[#This Row],[Popolazione2011]]/Comuni__2[[#This Row],[POPOLAZIONE TOTALE DI OGNI REGIONE (CON FILTRO)]]</f>
        <v>8.5561741973889233E-4</v>
      </c>
      <c r="H6812" t="str">
        <f>IF(Comuni__2[[#This Row],[Popolazione2011]]&gt;300000,"MAGGIORE","")</f>
        <v/>
      </c>
    </row>
    <row r="6813" spans="1:8" x14ac:dyDescent="0.2">
      <c r="A6813"/>
      <c r="B6813"/>
      <c r="C6813"/>
      <c r="D6813"/>
      <c r="E6813" s="2">
        <f>Comuni__2[[#This Row],[Popolazione2011]]/$D$7911</f>
        <v>5.2774109964046461E-5</v>
      </c>
      <c r="F6813">
        <f>SUMIFS($D$2:$D$7909, $B$2:$B$7909, "Toscana")</f>
        <v>3672202</v>
      </c>
      <c r="G6813" s="1">
        <f>Comuni__2[[#This Row],[Popolazione2011]]/Comuni__2[[#This Row],[POPOLAZIONE TOTALE DI OGNI REGIONE (CON FILTRO)]]</f>
        <v>8.5398352269292377E-4</v>
      </c>
      <c r="H6813" t="str">
        <f>IF(Comuni__2[[#This Row],[Popolazione2011]]&gt;300000,"MAGGIORE","")</f>
        <v/>
      </c>
    </row>
    <row r="6814" spans="1:8" x14ac:dyDescent="0.2">
      <c r="A6814"/>
      <c r="B6814"/>
      <c r="C6814"/>
      <c r="D6814"/>
      <c r="E6814" s="2">
        <f>Comuni__2[[#This Row],[Popolazione2011]]/$D$7911</f>
        <v>5.2201941679997485E-5</v>
      </c>
      <c r="F6814">
        <f>SUMIFS($D$2:$D$7909, $B$2:$B$7909, "Toscana")</f>
        <v>3672202</v>
      </c>
      <c r="G6814" s="1">
        <f>Comuni__2[[#This Row],[Popolazione2011]]/Comuni__2[[#This Row],[POPOLAZIONE TOTALE DI OGNI REGIONE (CON FILTRO)]]</f>
        <v>8.447247727657683E-4</v>
      </c>
      <c r="H6814" t="str">
        <f>IF(Comuni__2[[#This Row],[Popolazione2011]]&gt;300000,"MAGGIORE","")</f>
        <v/>
      </c>
    </row>
    <row r="6815" spans="1:8" x14ac:dyDescent="0.2">
      <c r="A6815"/>
      <c r="B6815"/>
      <c r="C6815"/>
      <c r="D6815"/>
      <c r="E6815" s="2">
        <f>Comuni__2[[#This Row],[Popolazione2011]]/$D$7911</f>
        <v>4.8179935212712055E-5</v>
      </c>
      <c r="F6815">
        <f>SUMIFS($D$2:$D$7909, $B$2:$B$7909, "Toscana")</f>
        <v>3672202</v>
      </c>
      <c r="G6815" s="1">
        <f>Comuni__2[[#This Row],[Popolazione2011]]/Comuni__2[[#This Row],[POPOLAZIONE TOTALE DI OGNI REGIONE (CON FILTRO)]]</f>
        <v>7.7964120710135231E-4</v>
      </c>
      <c r="H6815" t="str">
        <f>IF(Comuni__2[[#This Row],[Popolazione2011]]&gt;300000,"MAGGIORE","")</f>
        <v/>
      </c>
    </row>
    <row r="6816" spans="1:8" x14ac:dyDescent="0.2">
      <c r="A6816"/>
      <c r="B6816"/>
      <c r="C6816"/>
      <c r="D6816"/>
      <c r="E6816" s="2">
        <f>Comuni__2[[#This Row],[Popolazione2011]]/$D$7911</f>
        <v>4.7877022591744951E-5</v>
      </c>
      <c r="F6816">
        <f>SUMIFS($D$2:$D$7909, $B$2:$B$7909, "Toscana")</f>
        <v>3672202</v>
      </c>
      <c r="G6816" s="1">
        <f>Comuni__2[[#This Row],[Popolazione2011]]/Comuni__2[[#This Row],[POPOLAZIONE TOTALE DI OGNI REGIONE (CON FILTRO)]]</f>
        <v>7.7473951596344643E-4</v>
      </c>
      <c r="H6816" t="str">
        <f>IF(Comuni__2[[#This Row],[Popolazione2011]]&gt;300000,"MAGGIORE","")</f>
        <v/>
      </c>
    </row>
    <row r="6817" spans="1:8" x14ac:dyDescent="0.2">
      <c r="A6817"/>
      <c r="B6817"/>
      <c r="C6817"/>
      <c r="D6817"/>
      <c r="E6817" s="2">
        <f>Comuni__2[[#This Row],[Popolazione2011]]/$D$7911</f>
        <v>4.6412944923737287E-5</v>
      </c>
      <c r="F6817">
        <f>SUMIFS($D$2:$D$7909, $B$2:$B$7909, "Toscana")</f>
        <v>3672202</v>
      </c>
      <c r="G6817" s="1">
        <f>Comuni__2[[#This Row],[Popolazione2011]]/Comuni__2[[#This Row],[POPOLAZIONE TOTALE DI OGNI REGIONE (CON FILTRO)]]</f>
        <v>7.5104800879690172E-4</v>
      </c>
      <c r="H6817" t="str">
        <f>IF(Comuni__2[[#This Row],[Popolazione2011]]&gt;300000,"MAGGIORE","")</f>
        <v/>
      </c>
    </row>
    <row r="6818" spans="1:8" x14ac:dyDescent="0.2">
      <c r="A6818"/>
      <c r="B6818"/>
      <c r="C6818"/>
      <c r="D6818"/>
      <c r="E6818" s="2">
        <f>Comuni__2[[#This Row],[Popolazione2011]]/$D$7911</f>
        <v>4.6093203823827568E-5</v>
      </c>
      <c r="F6818">
        <f>SUMIFS($D$2:$D$7909, $B$2:$B$7909, "Toscana")</f>
        <v>3672202</v>
      </c>
      <c r="G6818" s="1">
        <f>Comuni__2[[#This Row],[Popolazione2011]]/Comuni__2[[#This Row],[POPOLAZIONE TOTALE DI OGNI REGIONE (CON FILTRO)]]</f>
        <v>7.4587400148466774E-4</v>
      </c>
      <c r="H6818" t="str">
        <f>IF(Comuni__2[[#This Row],[Popolazione2011]]&gt;300000,"MAGGIORE","")</f>
        <v/>
      </c>
    </row>
    <row r="6819" spans="1:8" x14ac:dyDescent="0.2">
      <c r="A6819"/>
      <c r="B6819"/>
      <c r="C6819"/>
      <c r="D6819"/>
      <c r="E6819" s="2">
        <f>Comuni__2[[#This Row],[Popolazione2011]]/$D$7911</f>
        <v>4.5470550102950744E-5</v>
      </c>
      <c r="F6819">
        <f>SUMIFS($D$2:$D$7909, $B$2:$B$7909, "Toscana")</f>
        <v>3672202</v>
      </c>
      <c r="G6819" s="1">
        <f>Comuni__2[[#This Row],[Popolazione2011]]/Comuni__2[[#This Row],[POPOLAZIONE TOTALE DI OGNI REGIONE (CON FILTRO)]]</f>
        <v>7.357983030345281E-4</v>
      </c>
      <c r="H6819" t="str">
        <f>IF(Comuni__2[[#This Row],[Popolazione2011]]&gt;300000,"MAGGIORE","")</f>
        <v/>
      </c>
    </row>
    <row r="6820" spans="1:8" x14ac:dyDescent="0.2">
      <c r="A6820"/>
      <c r="B6820"/>
      <c r="C6820"/>
      <c r="D6820"/>
      <c r="E6820" s="2">
        <f>Comuni__2[[#This Row],[Popolazione2011]]/$D$7911</f>
        <v>4.5100323566213175E-5</v>
      </c>
      <c r="F6820">
        <f>SUMIFS($D$2:$D$7909, $B$2:$B$7909, "Toscana")</f>
        <v>3672202</v>
      </c>
      <c r="G6820" s="1">
        <f>Comuni__2[[#This Row],[Popolazione2011]]/Comuni__2[[#This Row],[POPOLAZIONE TOTALE DI OGNI REGIONE (CON FILTRO)]]</f>
        <v>7.2980734719930984E-4</v>
      </c>
      <c r="H6820" t="str">
        <f>IF(Comuni__2[[#This Row],[Popolazione2011]]&gt;300000,"MAGGIORE","")</f>
        <v/>
      </c>
    </row>
    <row r="6821" spans="1:8" x14ac:dyDescent="0.2">
      <c r="A6821"/>
      <c r="B6821"/>
      <c r="C6821"/>
      <c r="D6821"/>
      <c r="E6821" s="2">
        <f>Comuni__2[[#This Row],[Popolazione2011]]/$D$7911</f>
        <v>4.4797410945246072E-5</v>
      </c>
      <c r="F6821">
        <f>SUMIFS($D$2:$D$7909, $B$2:$B$7909, "Toscana")</f>
        <v>3672202</v>
      </c>
      <c r="G6821" s="1">
        <f>Comuni__2[[#This Row],[Popolazione2011]]/Comuni__2[[#This Row],[POPOLAZIONE TOTALE DI OGNI REGIONE (CON FILTRO)]]</f>
        <v>7.2490565606140407E-4</v>
      </c>
      <c r="H6821" t="str">
        <f>IF(Comuni__2[[#This Row],[Popolazione2011]]&gt;300000,"MAGGIORE","")</f>
        <v/>
      </c>
    </row>
    <row r="6822" spans="1:8" x14ac:dyDescent="0.2">
      <c r="A6822"/>
      <c r="B6822"/>
      <c r="C6822"/>
      <c r="D6822"/>
      <c r="E6822" s="2">
        <f>Comuni__2[[#This Row],[Popolazione2011]]/$D$7911</f>
        <v>4.3181876966754849E-5</v>
      </c>
      <c r="F6822">
        <f>SUMIFS($D$2:$D$7909, $B$2:$B$7909, "Toscana")</f>
        <v>3672202</v>
      </c>
      <c r="G6822" s="1">
        <f>Comuni__2[[#This Row],[Popolazione2011]]/Comuni__2[[#This Row],[POPOLAZIONE TOTALE DI OGNI REGIONE (CON FILTRO)]]</f>
        <v>6.9876330332590642E-4</v>
      </c>
      <c r="H6822" t="str">
        <f>IF(Comuni__2[[#This Row],[Popolazione2011]]&gt;300000,"MAGGIORE","")</f>
        <v/>
      </c>
    </row>
    <row r="6823" spans="1:8" x14ac:dyDescent="0.2">
      <c r="A6823"/>
      <c r="B6823"/>
      <c r="C6823"/>
      <c r="D6823"/>
      <c r="E6823" s="2">
        <f>Comuni__2[[#This Row],[Popolazione2011]]/$D$7911</f>
        <v>4.2037540398656905E-5</v>
      </c>
      <c r="F6823">
        <f>SUMIFS($D$2:$D$7909, $B$2:$B$7909, "Toscana")</f>
        <v>3672202</v>
      </c>
      <c r="G6823" s="1">
        <f>Comuni__2[[#This Row],[Popolazione2011]]/Comuni__2[[#This Row],[POPOLAZIONE TOTALE DI OGNI REGIONE (CON FILTRO)]]</f>
        <v>6.8024580347159547E-4</v>
      </c>
      <c r="H6823" t="str">
        <f>IF(Comuni__2[[#This Row],[Popolazione2011]]&gt;300000,"MAGGIORE","")</f>
        <v/>
      </c>
    </row>
    <row r="6824" spans="1:8" x14ac:dyDescent="0.2">
      <c r="A6824"/>
      <c r="B6824"/>
      <c r="C6824"/>
      <c r="D6824"/>
      <c r="E6824" s="2">
        <f>Comuni__2[[#This Row],[Popolazione2011]]/$D$7911</f>
        <v>4.1364401240952233E-5</v>
      </c>
      <c r="F6824">
        <f>SUMIFS($D$2:$D$7909, $B$2:$B$7909, "Toscana")</f>
        <v>3672202</v>
      </c>
      <c r="G6824" s="1">
        <f>Comuni__2[[#This Row],[Popolazione2011]]/Comuni__2[[#This Row],[POPOLAZIONE TOTALE DI OGNI REGIONE (CON FILTRO)]]</f>
        <v>6.6935315649847144E-4</v>
      </c>
      <c r="H6824" t="str">
        <f>IF(Comuni__2[[#This Row],[Popolazione2011]]&gt;300000,"MAGGIORE","")</f>
        <v/>
      </c>
    </row>
    <row r="6825" spans="1:8" x14ac:dyDescent="0.2">
      <c r="A6825"/>
      <c r="B6825"/>
      <c r="C6825"/>
      <c r="D6825"/>
      <c r="E6825" s="2">
        <f>Comuni__2[[#This Row],[Popolazione2011]]/$D$7911</f>
        <v>4.1280258846239146E-5</v>
      </c>
      <c r="F6825">
        <f>SUMIFS($D$2:$D$7909, $B$2:$B$7909, "Toscana")</f>
        <v>3672202</v>
      </c>
      <c r="G6825" s="1">
        <f>Comuni__2[[#This Row],[Popolazione2011]]/Comuni__2[[#This Row],[POPOLAZIONE TOTALE DI OGNI REGIONE (CON FILTRO)]]</f>
        <v>6.6799157562683097E-4</v>
      </c>
      <c r="H6825" t="str">
        <f>IF(Comuni__2[[#This Row],[Popolazione2011]]&gt;300000,"MAGGIORE","")</f>
        <v/>
      </c>
    </row>
    <row r="6826" spans="1:8" x14ac:dyDescent="0.2">
      <c r="A6826"/>
      <c r="B6826"/>
      <c r="C6826"/>
      <c r="D6826"/>
      <c r="E6826" s="2">
        <f>Comuni__2[[#This Row],[Popolazione2011]]/$D$7911</f>
        <v>4.0691262083247554E-5</v>
      </c>
      <c r="F6826">
        <f>SUMIFS($D$2:$D$7909, $B$2:$B$7909, "Toscana")</f>
        <v>3672202</v>
      </c>
      <c r="G6826" s="1">
        <f>Comuni__2[[#This Row],[Popolazione2011]]/Comuni__2[[#This Row],[POPOLAZIONE TOTALE DI OGNI REGIONE (CON FILTRO)]]</f>
        <v>6.5846050952534751E-4</v>
      </c>
      <c r="H6826" t="str">
        <f>IF(Comuni__2[[#This Row],[Popolazione2011]]&gt;300000,"MAGGIORE","")</f>
        <v/>
      </c>
    </row>
    <row r="6827" spans="1:8" x14ac:dyDescent="0.2">
      <c r="A6827"/>
      <c r="B6827"/>
      <c r="C6827"/>
      <c r="D6827"/>
      <c r="E6827" s="2">
        <f>Comuni__2[[#This Row],[Popolazione2011]]/$D$7911</f>
        <v>4.018640771496905E-5</v>
      </c>
      <c r="F6827">
        <f>SUMIFS($D$2:$D$7909, $B$2:$B$7909, "Toscana")</f>
        <v>3672202</v>
      </c>
      <c r="G6827" s="1">
        <f>Comuni__2[[#This Row],[Popolazione2011]]/Comuni__2[[#This Row],[POPOLAZIONE TOTALE DI OGNI REGIONE (CON FILTRO)]]</f>
        <v>6.5029102429550441E-4</v>
      </c>
      <c r="H6827" t="str">
        <f>IF(Comuni__2[[#This Row],[Popolazione2011]]&gt;300000,"MAGGIORE","")</f>
        <v/>
      </c>
    </row>
    <row r="6828" spans="1:8" x14ac:dyDescent="0.2">
      <c r="A6828"/>
      <c r="B6828"/>
      <c r="C6828"/>
      <c r="D6828"/>
      <c r="E6828" s="2">
        <f>Comuni__2[[#This Row],[Popolazione2011]]/$D$7911</f>
        <v>3.9732038783518394E-5</v>
      </c>
      <c r="F6828">
        <f>SUMIFS($D$2:$D$7909, $B$2:$B$7909, "Toscana")</f>
        <v>3672202</v>
      </c>
      <c r="G6828" s="1">
        <f>Comuni__2[[#This Row],[Popolazione2011]]/Comuni__2[[#This Row],[POPOLAZIONE TOTALE DI OGNI REGIONE (CON FILTRO)]]</f>
        <v>6.4293848758864569E-4</v>
      </c>
      <c r="H6828" t="str">
        <f>IF(Comuni__2[[#This Row],[Popolazione2011]]&gt;300000,"MAGGIORE","")</f>
        <v/>
      </c>
    </row>
    <row r="6829" spans="1:8" x14ac:dyDescent="0.2">
      <c r="A6829"/>
      <c r="B6829"/>
      <c r="C6829"/>
      <c r="D6829"/>
      <c r="E6829" s="2">
        <f>Comuni__2[[#This Row],[Popolazione2011]]/$D$7911</f>
        <v>3.8537216778592602E-5</v>
      </c>
      <c r="F6829">
        <f>SUMIFS($D$2:$D$7909, $B$2:$B$7909, "Toscana")</f>
        <v>3672202</v>
      </c>
      <c r="G6829" s="1">
        <f>Comuni__2[[#This Row],[Popolazione2011]]/Comuni__2[[#This Row],[POPOLAZIONE TOTALE DI OGNI REGIONE (CON FILTRO)]]</f>
        <v>6.2360403921135057E-4</v>
      </c>
      <c r="H6829" t="str">
        <f>IF(Comuni__2[[#This Row],[Popolazione2011]]&gt;300000,"MAGGIORE","")</f>
        <v/>
      </c>
    </row>
    <row r="6830" spans="1:8" x14ac:dyDescent="0.2">
      <c r="A6830"/>
      <c r="B6830"/>
      <c r="C6830"/>
      <c r="D6830"/>
      <c r="E6830" s="2">
        <f>Comuni__2[[#This Row],[Popolazione2011]]/$D$7911</f>
        <v>3.8453074383879514E-5</v>
      </c>
      <c r="F6830">
        <f>SUMIFS($D$2:$D$7909, $B$2:$B$7909, "Toscana")</f>
        <v>3672202</v>
      </c>
      <c r="G6830" s="1">
        <f>Comuni__2[[#This Row],[Popolazione2011]]/Comuni__2[[#This Row],[POPOLAZIONE TOTALE DI OGNI REGIONE (CON FILTRO)]]</f>
        <v>6.2224245833971011E-4</v>
      </c>
      <c r="H6830" t="str">
        <f>IF(Comuni__2[[#This Row],[Popolazione2011]]&gt;300000,"MAGGIORE","")</f>
        <v/>
      </c>
    </row>
    <row r="6831" spans="1:8" x14ac:dyDescent="0.2">
      <c r="A6831"/>
      <c r="B6831"/>
      <c r="C6831"/>
      <c r="D6831"/>
      <c r="E6831" s="2">
        <f>Comuni__2[[#This Row],[Popolazione2011]]/$D$7911</f>
        <v>3.7830420663002691E-5</v>
      </c>
      <c r="F6831">
        <f>SUMIFS($D$2:$D$7909, $B$2:$B$7909, "Toscana")</f>
        <v>3672202</v>
      </c>
      <c r="G6831" s="1">
        <f>Comuni__2[[#This Row],[Popolazione2011]]/Comuni__2[[#This Row],[POPOLAZIONE TOTALE DI OGNI REGIONE (CON FILTRO)]]</f>
        <v>6.1216675988957036E-4</v>
      </c>
      <c r="H6831" t="str">
        <f>IF(Comuni__2[[#This Row],[Popolazione2011]]&gt;300000,"MAGGIORE","")</f>
        <v/>
      </c>
    </row>
    <row r="6832" spans="1:8" x14ac:dyDescent="0.2">
      <c r="A6832"/>
      <c r="B6832"/>
      <c r="C6832"/>
      <c r="D6832"/>
      <c r="E6832" s="2">
        <f>Comuni__2[[#This Row],[Popolazione2011]]/$D$7911</f>
        <v>3.7376051731552035E-5</v>
      </c>
      <c r="F6832">
        <f>SUMIFS($D$2:$D$7909, $B$2:$B$7909, "Toscana")</f>
        <v>3672202</v>
      </c>
      <c r="G6832" s="1">
        <f>Comuni__2[[#This Row],[Popolazione2011]]/Comuni__2[[#This Row],[POPOLAZIONE TOTALE DI OGNI REGIONE (CON FILTRO)]]</f>
        <v>6.0481422318271164E-4</v>
      </c>
      <c r="H6832" t="str">
        <f>IF(Comuni__2[[#This Row],[Popolazione2011]]&gt;300000,"MAGGIORE","")</f>
        <v/>
      </c>
    </row>
    <row r="6833" spans="1:8" x14ac:dyDescent="0.2">
      <c r="A6833"/>
      <c r="B6833"/>
      <c r="C6833"/>
      <c r="D6833"/>
      <c r="E6833" s="2">
        <f>Comuni__2[[#This Row],[Popolazione2011]]/$D$7911</f>
        <v>3.7325566294724187E-5</v>
      </c>
      <c r="F6833">
        <f>SUMIFS($D$2:$D$7909, $B$2:$B$7909, "Toscana")</f>
        <v>3672202</v>
      </c>
      <c r="G6833" s="1">
        <f>Comuni__2[[#This Row],[Popolazione2011]]/Comuni__2[[#This Row],[POPOLAZIONE TOTALE DI OGNI REGIONE (CON FILTRO)]]</f>
        <v>6.0399727465972736E-4</v>
      </c>
      <c r="H6833" t="str">
        <f>IF(Comuni__2[[#This Row],[Popolazione2011]]&gt;300000,"MAGGIORE","")</f>
        <v/>
      </c>
    </row>
    <row r="6834" spans="1:8" x14ac:dyDescent="0.2">
      <c r="A6834"/>
      <c r="B6834"/>
      <c r="C6834"/>
      <c r="D6834"/>
      <c r="E6834" s="2">
        <f>Comuni__2[[#This Row],[Popolazione2011]]/$D$7911</f>
        <v>3.7157281505298018E-5</v>
      </c>
      <c r="F6834">
        <f>SUMIFS($D$2:$D$7909, $B$2:$B$7909, "Toscana")</f>
        <v>3672202</v>
      </c>
      <c r="G6834" s="1">
        <f>Comuni__2[[#This Row],[Popolazione2011]]/Comuni__2[[#This Row],[POPOLAZIONE TOTALE DI OGNI REGIONE (CON FILTRO)]]</f>
        <v>6.0127411291644632E-4</v>
      </c>
      <c r="H6834" t="str">
        <f>IF(Comuni__2[[#This Row],[Popolazione2011]]&gt;300000,"MAGGIORE","")</f>
        <v/>
      </c>
    </row>
    <row r="6835" spans="1:8" x14ac:dyDescent="0.2">
      <c r="A6835"/>
      <c r="B6835"/>
      <c r="C6835"/>
      <c r="D6835"/>
      <c r="E6835" s="2">
        <f>Comuni__2[[#This Row],[Popolazione2011]]/$D$7911</f>
        <v>3.6046601895085307E-5</v>
      </c>
      <c r="F6835">
        <f>SUMIFS($D$2:$D$7909, $B$2:$B$7909, "Toscana")</f>
        <v>3672202</v>
      </c>
      <c r="G6835" s="1">
        <f>Comuni__2[[#This Row],[Popolazione2011]]/Comuni__2[[#This Row],[POPOLAZIONE TOTALE DI OGNI REGIONE (CON FILTRO)]]</f>
        <v>5.8330124541079167E-4</v>
      </c>
      <c r="H6835" t="str">
        <f>IF(Comuni__2[[#This Row],[Popolazione2011]]&gt;300000,"MAGGIORE","")</f>
        <v/>
      </c>
    </row>
    <row r="6836" spans="1:8" x14ac:dyDescent="0.2">
      <c r="A6836"/>
      <c r="B6836"/>
      <c r="C6836"/>
      <c r="D6836"/>
      <c r="E6836" s="2">
        <f>Comuni__2[[#This Row],[Popolazione2011]]/$D$7911</f>
        <v>3.6029773416142691E-5</v>
      </c>
      <c r="F6836">
        <f>SUMIFS($D$2:$D$7909, $B$2:$B$7909, "Toscana")</f>
        <v>3672202</v>
      </c>
      <c r="G6836" s="1">
        <f>Comuni__2[[#This Row],[Popolazione2011]]/Comuni__2[[#This Row],[POPOLAZIONE TOTALE DI OGNI REGIONE (CON FILTRO)]]</f>
        <v>5.8302892923646358E-4</v>
      </c>
      <c r="H6836" t="str">
        <f>IF(Comuni__2[[#This Row],[Popolazione2011]]&gt;300000,"MAGGIORE","")</f>
        <v/>
      </c>
    </row>
    <row r="6837" spans="1:8" x14ac:dyDescent="0.2">
      <c r="A6837"/>
      <c r="B6837"/>
      <c r="C6837"/>
      <c r="D6837"/>
      <c r="E6837" s="2">
        <f>Comuni__2[[#This Row],[Popolazione2011]]/$D$7911</f>
        <v>3.5087378595356147E-5</v>
      </c>
      <c r="F6837">
        <f>SUMIFS($D$2:$D$7909, $B$2:$B$7909, "Toscana")</f>
        <v>3672202</v>
      </c>
      <c r="G6837" s="1">
        <f>Comuni__2[[#This Row],[Popolazione2011]]/Comuni__2[[#This Row],[POPOLAZIONE TOTALE DI OGNI REGIONE (CON FILTRO)]]</f>
        <v>5.6777922347408995E-4</v>
      </c>
      <c r="H6837" t="str">
        <f>IF(Comuni__2[[#This Row],[Popolazione2011]]&gt;300000,"MAGGIORE","")</f>
        <v/>
      </c>
    </row>
    <row r="6838" spans="1:8" x14ac:dyDescent="0.2">
      <c r="A6838"/>
      <c r="B6838"/>
      <c r="C6838"/>
      <c r="D6838"/>
      <c r="E6838" s="2">
        <f>Comuni__2[[#This Row],[Popolazione2011]]/$D$7911</f>
        <v>3.4633009663905491E-5</v>
      </c>
      <c r="F6838">
        <f>SUMIFS($D$2:$D$7909, $B$2:$B$7909, "Toscana")</f>
        <v>3672202</v>
      </c>
      <c r="G6838" s="1">
        <f>Comuni__2[[#This Row],[Popolazione2011]]/Comuni__2[[#This Row],[POPOLAZIONE TOTALE DI OGNI REGIONE (CON FILTRO)]]</f>
        <v>5.6042668676723124E-4</v>
      </c>
      <c r="H6838" t="str">
        <f>IF(Comuni__2[[#This Row],[Popolazione2011]]&gt;300000,"MAGGIORE","")</f>
        <v/>
      </c>
    </row>
    <row r="6839" spans="1:8" x14ac:dyDescent="0.2">
      <c r="A6839"/>
      <c r="B6839"/>
      <c r="C6839"/>
      <c r="D6839"/>
      <c r="E6839" s="2">
        <f>Comuni__2[[#This Row],[Popolazione2011]]/$D$7911</f>
        <v>3.340453070109446E-5</v>
      </c>
      <c r="F6839">
        <f>SUMIFS($D$2:$D$7909, $B$2:$B$7909, "Toscana")</f>
        <v>3672202</v>
      </c>
      <c r="G6839" s="1">
        <f>Comuni__2[[#This Row],[Popolazione2011]]/Comuni__2[[#This Row],[POPOLAZIONE TOTALE DI OGNI REGIONE (CON FILTRO)]]</f>
        <v>5.4054760604127982E-4</v>
      </c>
      <c r="H6839" t="str">
        <f>IF(Comuni__2[[#This Row],[Popolazione2011]]&gt;300000,"MAGGIORE","")</f>
        <v/>
      </c>
    </row>
    <row r="6840" spans="1:8" x14ac:dyDescent="0.2">
      <c r="A6840"/>
      <c r="B6840"/>
      <c r="C6840"/>
      <c r="D6840"/>
      <c r="E6840" s="2">
        <f>Comuni__2[[#This Row],[Popolazione2011]]/$D$7911</f>
        <v>3.2950161769643804E-5</v>
      </c>
      <c r="F6840">
        <f>SUMIFS($D$2:$D$7909, $B$2:$B$7909, "Toscana")</f>
        <v>3672202</v>
      </c>
      <c r="G6840" s="1">
        <f>Comuni__2[[#This Row],[Popolazione2011]]/Comuni__2[[#This Row],[POPOLAZIONE TOTALE DI OGNI REGIONE (CON FILTRO)]]</f>
        <v>5.3319506933442111E-4</v>
      </c>
      <c r="H6840" t="str">
        <f>IF(Comuni__2[[#This Row],[Popolazione2011]]&gt;300000,"MAGGIORE","")</f>
        <v/>
      </c>
    </row>
    <row r="6841" spans="1:8" x14ac:dyDescent="0.2">
      <c r="A6841"/>
      <c r="B6841"/>
      <c r="C6841"/>
      <c r="D6841"/>
      <c r="E6841" s="2">
        <f>Comuni__2[[#This Row],[Popolazione2011]]/$D$7911</f>
        <v>3.2748220022332404E-5</v>
      </c>
      <c r="F6841">
        <f>SUMIFS($D$2:$D$7909, $B$2:$B$7909, "Toscana")</f>
        <v>3672202</v>
      </c>
      <c r="G6841" s="1">
        <f>Comuni__2[[#This Row],[Popolazione2011]]/Comuni__2[[#This Row],[POPOLAZIONE TOTALE DI OGNI REGIONE (CON FILTRO)]]</f>
        <v>5.2992727524248389E-4</v>
      </c>
      <c r="H6841" t="str">
        <f>IF(Comuni__2[[#This Row],[Popolazione2011]]&gt;300000,"MAGGIORE","")</f>
        <v/>
      </c>
    </row>
    <row r="6842" spans="1:8" x14ac:dyDescent="0.2">
      <c r="A6842"/>
      <c r="B6842"/>
      <c r="C6842"/>
      <c r="D6842"/>
      <c r="E6842" s="2">
        <f>Comuni__2[[#This Row],[Popolazione2011]]/$D$7911</f>
        <v>3.2411650443480061E-5</v>
      </c>
      <c r="F6842">
        <f>SUMIFS($D$2:$D$7909, $B$2:$B$7909, "Toscana")</f>
        <v>3672202</v>
      </c>
      <c r="G6842" s="1">
        <f>Comuni__2[[#This Row],[Popolazione2011]]/Comuni__2[[#This Row],[POPOLAZIONE TOTALE DI OGNI REGIONE (CON FILTRO)]]</f>
        <v>5.2448095175592192E-4</v>
      </c>
      <c r="H6842" t="str">
        <f>IF(Comuni__2[[#This Row],[Popolazione2011]]&gt;300000,"MAGGIORE","")</f>
        <v/>
      </c>
    </row>
    <row r="6843" spans="1:8" x14ac:dyDescent="0.2">
      <c r="A6843"/>
      <c r="B6843"/>
      <c r="C6843"/>
      <c r="D6843"/>
      <c r="E6843" s="2">
        <f>Comuni__2[[#This Row],[Popolazione2011]]/$D$7911</f>
        <v>3.1587054975291837E-5</v>
      </c>
      <c r="F6843">
        <f>SUMIFS($D$2:$D$7909, $B$2:$B$7909, "Toscana")</f>
        <v>3672202</v>
      </c>
      <c r="G6843" s="1">
        <f>Comuni__2[[#This Row],[Popolazione2011]]/Comuni__2[[#This Row],[POPOLAZIONE TOTALE DI OGNI REGIONE (CON FILTRO)]]</f>
        <v>5.1113745921384495E-4</v>
      </c>
      <c r="H6843" t="str">
        <f>IF(Comuni__2[[#This Row],[Popolazione2011]]&gt;300000,"MAGGIORE","")</f>
        <v/>
      </c>
    </row>
    <row r="6844" spans="1:8" x14ac:dyDescent="0.2">
      <c r="A6844"/>
      <c r="B6844"/>
      <c r="C6844"/>
      <c r="D6844"/>
      <c r="E6844" s="2">
        <f>Comuni__2[[#This Row],[Popolazione2011]]/$D$7911</f>
        <v>3.1300970833267349E-5</v>
      </c>
      <c r="F6844">
        <f>SUMIFS($D$2:$D$7909, $B$2:$B$7909, "Toscana")</f>
        <v>3672202</v>
      </c>
      <c r="G6844" s="1">
        <f>Comuni__2[[#This Row],[Popolazione2011]]/Comuni__2[[#This Row],[POPOLAZIONE TOTALE DI OGNI REGIONE (CON FILTRO)]]</f>
        <v>5.0650808425026727E-4</v>
      </c>
      <c r="H6844" t="str">
        <f>IF(Comuni__2[[#This Row],[Popolazione2011]]&gt;300000,"MAGGIORE","")</f>
        <v/>
      </c>
    </row>
    <row r="6845" spans="1:8" x14ac:dyDescent="0.2">
      <c r="A6845"/>
      <c r="B6845"/>
      <c r="C6845"/>
      <c r="D6845"/>
      <c r="E6845" s="2">
        <f>Comuni__2[[#This Row],[Popolazione2011]]/$D$7911</f>
        <v>3.0745631028160997E-5</v>
      </c>
      <c r="F6845">
        <f>SUMIFS($D$2:$D$7909, $B$2:$B$7909, "Toscana")</f>
        <v>3672202</v>
      </c>
      <c r="G6845" s="1">
        <f>Comuni__2[[#This Row],[Popolazione2011]]/Comuni__2[[#This Row],[POPOLAZIONE TOTALE DI OGNI REGIONE (CON FILTRO)]]</f>
        <v>4.9752165049743999E-4</v>
      </c>
      <c r="H6845" t="str">
        <f>IF(Comuni__2[[#This Row],[Popolazione2011]]&gt;300000,"MAGGIORE","")</f>
        <v/>
      </c>
    </row>
    <row r="6846" spans="1:8" x14ac:dyDescent="0.2">
      <c r="A6846"/>
      <c r="B6846"/>
      <c r="C6846"/>
      <c r="D6846"/>
      <c r="E6846" s="2">
        <f>Comuni__2[[#This Row],[Popolazione2011]]/$D$7911</f>
        <v>3.0661488633447909E-5</v>
      </c>
      <c r="F6846">
        <f>SUMIFS($D$2:$D$7909, $B$2:$B$7909, "Toscana")</f>
        <v>3672202</v>
      </c>
      <c r="G6846" s="1">
        <f>Comuni__2[[#This Row],[Popolazione2011]]/Comuni__2[[#This Row],[POPOLAZIONE TOTALE DI OGNI REGIONE (CON FILTRO)]]</f>
        <v>4.9616006962579942E-4</v>
      </c>
      <c r="H6846" t="str">
        <f>IF(Comuni__2[[#This Row],[Popolazione2011]]&gt;300000,"MAGGIORE","")</f>
        <v/>
      </c>
    </row>
    <row r="6847" spans="1:8" x14ac:dyDescent="0.2">
      <c r="A6847"/>
      <c r="B6847"/>
      <c r="C6847"/>
      <c r="D6847"/>
      <c r="E6847" s="2">
        <f>Comuni__2[[#This Row],[Popolazione2011]]/$D$7911</f>
        <v>3.0627831675562677E-5</v>
      </c>
      <c r="F6847">
        <f>SUMIFS($D$2:$D$7909, $B$2:$B$7909, "Toscana")</f>
        <v>3672202</v>
      </c>
      <c r="G6847" s="1">
        <f>Comuni__2[[#This Row],[Popolazione2011]]/Comuni__2[[#This Row],[POPOLAZIONE TOTALE DI OGNI REGIONE (CON FILTRO)]]</f>
        <v>4.9561543727714324E-4</v>
      </c>
      <c r="H6847" t="str">
        <f>IF(Comuni__2[[#This Row],[Popolazione2011]]&gt;300000,"MAGGIORE","")</f>
        <v/>
      </c>
    </row>
    <row r="6848" spans="1:8" x14ac:dyDescent="0.2">
      <c r="A6848"/>
      <c r="B6848"/>
      <c r="C6848"/>
      <c r="D6848"/>
      <c r="E6848" s="2">
        <f>Comuni__2[[#This Row],[Popolazione2011]]/$D$7911</f>
        <v>2.9231067923325478E-5</v>
      </c>
      <c r="F6848">
        <f>SUMIFS($D$2:$D$7909, $B$2:$B$7909, "Toscana")</f>
        <v>3672202</v>
      </c>
      <c r="G6848" s="1">
        <f>Comuni__2[[#This Row],[Popolazione2011]]/Comuni__2[[#This Row],[POPOLAZIONE TOTALE DI OGNI REGIONE (CON FILTRO)]]</f>
        <v>4.730131948079109E-4</v>
      </c>
      <c r="H6848" t="str">
        <f>IF(Comuni__2[[#This Row],[Popolazione2011]]&gt;300000,"MAGGIORE","")</f>
        <v/>
      </c>
    </row>
    <row r="6849" spans="1:8" x14ac:dyDescent="0.2">
      <c r="A6849"/>
      <c r="B6849"/>
      <c r="C6849"/>
      <c r="D6849"/>
      <c r="E6849" s="2">
        <f>Comuni__2[[#This Row],[Popolazione2011]]/$D$7911</f>
        <v>2.8608414202448654E-5</v>
      </c>
      <c r="F6849">
        <f>SUMIFS($D$2:$D$7909, $B$2:$B$7909, "Toscana")</f>
        <v>3672202</v>
      </c>
      <c r="G6849" s="1">
        <f>Comuni__2[[#This Row],[Popolazione2011]]/Comuni__2[[#This Row],[POPOLAZIONE TOTALE DI OGNI REGIONE (CON FILTRO)]]</f>
        <v>4.6293749635777114E-4</v>
      </c>
      <c r="H6849" t="str">
        <f>IF(Comuni__2[[#This Row],[Popolazione2011]]&gt;300000,"MAGGIORE","")</f>
        <v/>
      </c>
    </row>
    <row r="6850" spans="1:8" x14ac:dyDescent="0.2">
      <c r="A6850"/>
      <c r="B6850"/>
      <c r="C6850"/>
      <c r="D6850"/>
      <c r="E6850" s="2">
        <f>Comuni__2[[#This Row],[Popolazione2011]]/$D$7911</f>
        <v>2.8490614849850338E-5</v>
      </c>
      <c r="F6850">
        <f>SUMIFS($D$2:$D$7909, $B$2:$B$7909, "Toscana")</f>
        <v>3672202</v>
      </c>
      <c r="G6850" s="1">
        <f>Comuni__2[[#This Row],[Popolazione2011]]/Comuni__2[[#This Row],[POPOLAZIONE TOTALE DI OGNI REGIONE (CON FILTRO)]]</f>
        <v>4.6103128313747444E-4</v>
      </c>
      <c r="H6850" t="str">
        <f>IF(Comuni__2[[#This Row],[Popolazione2011]]&gt;300000,"MAGGIORE","")</f>
        <v/>
      </c>
    </row>
    <row r="6851" spans="1:8" x14ac:dyDescent="0.2">
      <c r="A6851"/>
      <c r="B6851"/>
      <c r="C6851"/>
      <c r="D6851"/>
      <c r="E6851" s="2">
        <f>Comuni__2[[#This Row],[Popolazione2011]]/$D$7911</f>
        <v>2.8271844623596318E-5</v>
      </c>
      <c r="F6851">
        <f>SUMIFS($D$2:$D$7909, $B$2:$B$7909, "Toscana")</f>
        <v>3672202</v>
      </c>
      <c r="G6851" s="1">
        <f>Comuni__2[[#This Row],[Popolazione2011]]/Comuni__2[[#This Row],[POPOLAZIONE TOTALE DI OGNI REGIONE (CON FILTRO)]]</f>
        <v>4.5749117287120913E-4</v>
      </c>
      <c r="H6851" t="str">
        <f>IF(Comuni__2[[#This Row],[Popolazione2011]]&gt;300000,"MAGGIORE","")</f>
        <v/>
      </c>
    </row>
    <row r="6852" spans="1:8" x14ac:dyDescent="0.2">
      <c r="A6852"/>
      <c r="B6852"/>
      <c r="C6852"/>
      <c r="D6852"/>
      <c r="E6852" s="2">
        <f>Comuni__2[[#This Row],[Popolazione2011]]/$D$7911</f>
        <v>2.7548220029063794E-5</v>
      </c>
      <c r="F6852">
        <f>SUMIFS($D$2:$D$7909, $B$2:$B$7909, "Toscana")</f>
        <v>3672202</v>
      </c>
      <c r="G6852" s="1">
        <f>Comuni__2[[#This Row],[Popolazione2011]]/Comuni__2[[#This Row],[POPOLAZIONE TOTALE DI OGNI REGIONE (CON FILTRO)]]</f>
        <v>4.4578157737510082E-4</v>
      </c>
      <c r="H6852" t="str">
        <f>IF(Comuni__2[[#This Row],[Popolazione2011]]&gt;300000,"MAGGIORE","")</f>
        <v/>
      </c>
    </row>
    <row r="6853" spans="1:8" x14ac:dyDescent="0.2">
      <c r="A6853"/>
      <c r="B6853"/>
      <c r="C6853"/>
      <c r="D6853"/>
      <c r="E6853" s="2">
        <f>Comuni__2[[#This Row],[Popolazione2011]]/$D$7911</f>
        <v>2.744724915540809E-5</v>
      </c>
      <c r="F6853">
        <f>SUMIFS($D$2:$D$7909, $B$2:$B$7909, "Toscana")</f>
        <v>3672202</v>
      </c>
      <c r="G6853" s="1">
        <f>Comuni__2[[#This Row],[Popolazione2011]]/Comuni__2[[#This Row],[POPOLAZIONE TOTALE DI OGNI REGIONE (CON FILTRO)]]</f>
        <v>4.4414768032913221E-4</v>
      </c>
      <c r="H6853" t="str">
        <f>IF(Comuni__2[[#This Row],[Popolazione2011]]&gt;300000,"MAGGIORE","")</f>
        <v/>
      </c>
    </row>
    <row r="6854" spans="1:8" x14ac:dyDescent="0.2">
      <c r="A6854"/>
      <c r="B6854"/>
      <c r="C6854"/>
      <c r="D6854"/>
      <c r="E6854" s="2">
        <f>Comuni__2[[#This Row],[Popolazione2011]]/$D$7911</f>
        <v>2.6942394787129586E-5</v>
      </c>
      <c r="F6854">
        <f>SUMIFS($D$2:$D$7909, $B$2:$B$7909, "Toscana")</f>
        <v>3672202</v>
      </c>
      <c r="G6854" s="1">
        <f>Comuni__2[[#This Row],[Popolazione2011]]/Comuni__2[[#This Row],[POPOLAZIONE TOTALE DI OGNI REGIONE (CON FILTRO)]]</f>
        <v>4.3597819509928921E-4</v>
      </c>
      <c r="H6854" t="str">
        <f>IF(Comuni__2[[#This Row],[Popolazione2011]]&gt;300000,"MAGGIORE","")</f>
        <v/>
      </c>
    </row>
    <row r="6855" spans="1:8" x14ac:dyDescent="0.2">
      <c r="A6855"/>
      <c r="B6855"/>
      <c r="C6855"/>
      <c r="D6855"/>
      <c r="E6855" s="2">
        <f>Comuni__2[[#This Row],[Popolazione2011]]/$D$7911</f>
        <v>2.5511974077007155E-5</v>
      </c>
      <c r="F6855">
        <f>SUMIFS($D$2:$D$7909, $B$2:$B$7909, "Toscana")</f>
        <v>3672202</v>
      </c>
      <c r="G6855" s="1">
        <f>Comuni__2[[#This Row],[Popolazione2011]]/Comuni__2[[#This Row],[POPOLAZIONE TOTALE DI OGNI REGIONE (CON FILTRO)]]</f>
        <v>4.1283132028140064E-4</v>
      </c>
      <c r="H6855" t="str">
        <f>IF(Comuni__2[[#This Row],[Popolazione2011]]&gt;300000,"MAGGIORE","")</f>
        <v/>
      </c>
    </row>
    <row r="6856" spans="1:8" x14ac:dyDescent="0.2">
      <c r="A6856"/>
      <c r="B6856"/>
      <c r="C6856"/>
      <c r="D6856"/>
      <c r="E6856" s="2">
        <f>Comuni__2[[#This Row],[Popolazione2011]]/$D$7911</f>
        <v>2.5326860808638367E-5</v>
      </c>
      <c r="F6856">
        <f>SUMIFS($D$2:$D$7909, $B$2:$B$7909, "Toscana")</f>
        <v>3672202</v>
      </c>
      <c r="G6856" s="1">
        <f>Comuni__2[[#This Row],[Popolazione2011]]/Comuni__2[[#This Row],[POPOLAZIONE TOTALE DI OGNI REGIONE (CON FILTRO)]]</f>
        <v>4.0983584236379151E-4</v>
      </c>
      <c r="H6856" t="str">
        <f>IF(Comuni__2[[#This Row],[Popolazione2011]]&gt;300000,"MAGGIORE","")</f>
        <v/>
      </c>
    </row>
    <row r="6857" spans="1:8" x14ac:dyDescent="0.2">
      <c r="A6857"/>
      <c r="B6857"/>
      <c r="C6857"/>
      <c r="D6857"/>
      <c r="E6857" s="2">
        <f>Comuni__2[[#This Row],[Popolazione2011]]/$D$7911</f>
        <v>2.4552750777277991E-5</v>
      </c>
      <c r="F6857">
        <f>SUMIFS($D$2:$D$7909, $B$2:$B$7909, "Toscana")</f>
        <v>3672202</v>
      </c>
      <c r="G6857" s="1">
        <f>Comuni__2[[#This Row],[Popolazione2011]]/Comuni__2[[#This Row],[POPOLAZIONE TOTALE DI OGNI REGIONE (CON FILTRO)]]</f>
        <v>3.9730929834469892E-4</v>
      </c>
      <c r="H6857" t="str">
        <f>IF(Comuni__2[[#This Row],[Popolazione2011]]&gt;300000,"MAGGIORE","")</f>
        <v/>
      </c>
    </row>
    <row r="6858" spans="1:8" x14ac:dyDescent="0.2">
      <c r="A6858"/>
      <c r="B6858"/>
      <c r="C6858"/>
      <c r="D6858"/>
      <c r="E6858" s="2">
        <f>Comuni__2[[#This Row],[Popolazione2011]]/$D$7911</f>
        <v>2.4519093819392759E-5</v>
      </c>
      <c r="F6858">
        <f>SUMIFS($D$2:$D$7909, $B$2:$B$7909, "Toscana")</f>
        <v>3672202</v>
      </c>
      <c r="G6858" s="1">
        <f>Comuni__2[[#This Row],[Popolazione2011]]/Comuni__2[[#This Row],[POPOLAZIONE TOTALE DI OGNI REGIONE (CON FILTRO)]]</f>
        <v>3.9676466599604268E-4</v>
      </c>
      <c r="H6858" t="str">
        <f>IF(Comuni__2[[#This Row],[Popolazione2011]]&gt;300000,"MAGGIORE","")</f>
        <v/>
      </c>
    </row>
    <row r="6859" spans="1:8" x14ac:dyDescent="0.2">
      <c r="A6859"/>
      <c r="B6859"/>
      <c r="C6859"/>
      <c r="D6859"/>
      <c r="E6859" s="2">
        <f>Comuni__2[[#This Row],[Popolazione2011]]/$D$7911</f>
        <v>2.3913268577458552E-5</v>
      </c>
      <c r="F6859">
        <f>SUMIFS($D$2:$D$7909, $B$2:$B$7909, "Toscana")</f>
        <v>3672202</v>
      </c>
      <c r="G6859" s="1">
        <f>Comuni__2[[#This Row],[Popolazione2011]]/Comuni__2[[#This Row],[POPOLAZIONE TOTALE DI OGNI REGIONE (CON FILTRO)]]</f>
        <v>3.8696128372023108E-4</v>
      </c>
      <c r="H6859" t="str">
        <f>IF(Comuni__2[[#This Row],[Popolazione2011]]&gt;300000,"MAGGIORE","")</f>
        <v/>
      </c>
    </row>
    <row r="6860" spans="1:8" x14ac:dyDescent="0.2">
      <c r="A6860"/>
      <c r="B6860"/>
      <c r="C6860"/>
      <c r="D6860"/>
      <c r="E6860" s="2">
        <f>Comuni__2[[#This Row],[Popolazione2011]]/$D$7911</f>
        <v>2.38627831406307E-5</v>
      </c>
      <c r="F6860">
        <f>SUMIFS($D$2:$D$7909, $B$2:$B$7909, "Toscana")</f>
        <v>3672202</v>
      </c>
      <c r="G6860" s="1">
        <f>Comuni__2[[#This Row],[Popolazione2011]]/Comuni__2[[#This Row],[POPOLAZIONE TOTALE DI OGNI REGIONE (CON FILTRO)]]</f>
        <v>3.861443351972468E-4</v>
      </c>
      <c r="H6860" t="str">
        <f>IF(Comuni__2[[#This Row],[Popolazione2011]]&gt;300000,"MAGGIORE","")</f>
        <v/>
      </c>
    </row>
    <row r="6861" spans="1:8" x14ac:dyDescent="0.2">
      <c r="A6861"/>
      <c r="B6861"/>
      <c r="C6861"/>
      <c r="D6861"/>
      <c r="E6861" s="2">
        <f>Comuni__2[[#This Row],[Popolazione2011]]/$D$7911</f>
        <v>2.3795469224860235E-5</v>
      </c>
      <c r="F6861">
        <f>SUMIFS($D$2:$D$7909, $B$2:$B$7909, "Toscana")</f>
        <v>3672202</v>
      </c>
      <c r="G6861" s="1">
        <f>Comuni__2[[#This Row],[Popolazione2011]]/Comuni__2[[#This Row],[POPOLAZIONE TOTALE DI OGNI REGIONE (CON FILTRO)]]</f>
        <v>3.8505507049993437E-4</v>
      </c>
      <c r="H6861" t="str">
        <f>IF(Comuni__2[[#This Row],[Popolazione2011]]&gt;300000,"MAGGIORE","")</f>
        <v/>
      </c>
    </row>
    <row r="6862" spans="1:8" x14ac:dyDescent="0.2">
      <c r="A6862"/>
      <c r="B6862"/>
      <c r="C6862"/>
      <c r="D6862"/>
      <c r="E6862" s="2">
        <f>Comuni__2[[#This Row],[Popolazione2011]]/$D$7911</f>
        <v>2.3155987025040792E-5</v>
      </c>
      <c r="F6862">
        <f>SUMIFS($D$2:$D$7909, $B$2:$B$7909, "Toscana")</f>
        <v>3672202</v>
      </c>
      <c r="G6862" s="1">
        <f>Comuni__2[[#This Row],[Popolazione2011]]/Comuni__2[[#This Row],[POPOLAZIONE TOTALE DI OGNI REGIONE (CON FILTRO)]]</f>
        <v>3.7470705587546653E-4</v>
      </c>
      <c r="H6862" t="str">
        <f>IF(Comuni__2[[#This Row],[Popolazione2011]]&gt;300000,"MAGGIORE","")</f>
        <v/>
      </c>
    </row>
    <row r="6863" spans="1:8" x14ac:dyDescent="0.2">
      <c r="A6863"/>
      <c r="B6863"/>
      <c r="C6863"/>
      <c r="D6863"/>
      <c r="E6863" s="2">
        <f>Comuni__2[[#This Row],[Popolazione2011]]/$D$7911</f>
        <v>2.2937216798786776E-5</v>
      </c>
      <c r="F6863">
        <f>SUMIFS($D$2:$D$7909, $B$2:$B$7909, "Toscana")</f>
        <v>3672202</v>
      </c>
      <c r="G6863" s="1">
        <f>Comuni__2[[#This Row],[Popolazione2011]]/Comuni__2[[#This Row],[POPOLAZIONE TOTALE DI OGNI REGIONE (CON FILTRO)]]</f>
        <v>3.7116694560920122E-4</v>
      </c>
      <c r="H6863" t="str">
        <f>IF(Comuni__2[[#This Row],[Popolazione2011]]&gt;300000,"MAGGIORE","")</f>
        <v/>
      </c>
    </row>
    <row r="6864" spans="1:8" x14ac:dyDescent="0.2">
      <c r="A6864"/>
      <c r="B6864"/>
      <c r="C6864"/>
      <c r="D6864"/>
      <c r="E6864" s="2">
        <f>Comuni__2[[#This Row],[Popolazione2011]]/$D$7911</f>
        <v>2.2533333304163968E-5</v>
      </c>
      <c r="F6864">
        <f>SUMIFS($D$2:$D$7909, $B$2:$B$7909, "Toscana")</f>
        <v>3672202</v>
      </c>
      <c r="G6864" s="1">
        <f>Comuni__2[[#This Row],[Popolazione2011]]/Comuni__2[[#This Row],[POPOLAZIONE TOTALE DI OGNI REGIONE (CON FILTRO)]]</f>
        <v>3.6463135742532683E-4</v>
      </c>
      <c r="H6864" t="str">
        <f>IF(Comuni__2[[#This Row],[Popolazione2011]]&gt;300000,"MAGGIORE","")</f>
        <v/>
      </c>
    </row>
    <row r="6865" spans="1:8" x14ac:dyDescent="0.2">
      <c r="A6865"/>
      <c r="B6865"/>
      <c r="C6865"/>
      <c r="D6865"/>
      <c r="E6865" s="2">
        <f>Comuni__2[[#This Row],[Popolazione2011]]/$D$7911</f>
        <v>2.1102912594041537E-5</v>
      </c>
      <c r="F6865">
        <f>SUMIFS($D$2:$D$7909, $B$2:$B$7909, "Toscana")</f>
        <v>3672202</v>
      </c>
      <c r="G6865" s="1">
        <f>Comuni__2[[#This Row],[Popolazione2011]]/Comuni__2[[#This Row],[POPOLAZIONE TOTALE DI OGNI REGIONE (CON FILTRO)]]</f>
        <v>3.4148448260743825E-4</v>
      </c>
      <c r="H6865" t="str">
        <f>IF(Comuni__2[[#This Row],[Popolazione2011]]&gt;300000,"MAGGIORE","")</f>
        <v/>
      </c>
    </row>
    <row r="6866" spans="1:8" x14ac:dyDescent="0.2">
      <c r="A6866"/>
      <c r="B6866"/>
      <c r="C6866"/>
      <c r="D6866"/>
      <c r="E6866" s="2">
        <f>Comuni__2[[#This Row],[Popolazione2011]]/$D$7911</f>
        <v>2.0715857578361349E-5</v>
      </c>
      <c r="F6866">
        <f>SUMIFS($D$2:$D$7909, $B$2:$B$7909, "Toscana")</f>
        <v>3672202</v>
      </c>
      <c r="G6866" s="1">
        <f>Comuni__2[[#This Row],[Popolazione2011]]/Comuni__2[[#This Row],[POPOLAZIONE TOTALE DI OGNI REGIONE (CON FILTRO)]]</f>
        <v>3.3522121059789196E-4</v>
      </c>
      <c r="H6866" t="str">
        <f>IF(Comuni__2[[#This Row],[Popolazione2011]]&gt;300000,"MAGGIORE","")</f>
        <v/>
      </c>
    </row>
    <row r="6867" spans="1:8" x14ac:dyDescent="0.2">
      <c r="A6867"/>
      <c r="B6867"/>
      <c r="C6867"/>
      <c r="D6867"/>
      <c r="E6867" s="2">
        <f>Comuni__2[[#This Row],[Popolazione2011]]/$D$7911</f>
        <v>2.0211003210082845E-5</v>
      </c>
      <c r="F6867">
        <f>SUMIFS($D$2:$D$7909, $B$2:$B$7909, "Toscana")</f>
        <v>3672202</v>
      </c>
      <c r="G6867" s="1">
        <f>Comuni__2[[#This Row],[Popolazione2011]]/Comuni__2[[#This Row],[POPOLAZIONE TOTALE DI OGNI REGIONE (CON FILTRO)]]</f>
        <v>3.2705172536804891E-4</v>
      </c>
      <c r="H6867" t="str">
        <f>IF(Comuni__2[[#This Row],[Popolazione2011]]&gt;300000,"MAGGIORE","")</f>
        <v/>
      </c>
    </row>
    <row r="6868" spans="1:8" x14ac:dyDescent="0.2">
      <c r="A6868"/>
      <c r="B6868"/>
      <c r="C6868"/>
      <c r="D6868"/>
      <c r="E6868" s="2">
        <f>Comuni__2[[#This Row],[Popolazione2011]]/$D$7911</f>
        <v>1.9992232983828825E-5</v>
      </c>
      <c r="F6868">
        <f>SUMIFS($D$2:$D$7909, $B$2:$B$7909, "Toscana")</f>
        <v>3672202</v>
      </c>
      <c r="G6868" s="1">
        <f>Comuni__2[[#This Row],[Popolazione2011]]/Comuni__2[[#This Row],[POPOLAZIONE TOTALE DI OGNI REGIONE (CON FILTRO)]]</f>
        <v>3.2351161510178359E-4</v>
      </c>
      <c r="H6868" t="str">
        <f>IF(Comuni__2[[#This Row],[Popolazione2011]]&gt;300000,"MAGGIORE","")</f>
        <v/>
      </c>
    </row>
    <row r="6869" spans="1:8" x14ac:dyDescent="0.2">
      <c r="A6869"/>
      <c r="B6869"/>
      <c r="C6869"/>
      <c r="D6869"/>
      <c r="E6869" s="2">
        <f>Comuni__2[[#This Row],[Popolazione2011]]/$D$7911</f>
        <v>1.9369579262952001E-5</v>
      </c>
      <c r="F6869">
        <f>SUMIFS($D$2:$D$7909, $B$2:$B$7909, "Toscana")</f>
        <v>3672202</v>
      </c>
      <c r="G6869" s="1">
        <f>Comuni__2[[#This Row],[Popolazione2011]]/Comuni__2[[#This Row],[POPOLAZIONE TOTALE DI OGNI REGIONE (CON FILTRO)]]</f>
        <v>3.134359166516439E-4</v>
      </c>
      <c r="H6869" t="str">
        <f>IF(Comuni__2[[#This Row],[Popolazione2011]]&gt;300000,"MAGGIORE","")</f>
        <v/>
      </c>
    </row>
    <row r="6870" spans="1:8" x14ac:dyDescent="0.2">
      <c r="A6870"/>
      <c r="B6870"/>
      <c r="C6870"/>
      <c r="D6870"/>
      <c r="E6870" s="2">
        <f>Comuni__2[[#This Row],[Popolazione2011]]/$D$7911</f>
        <v>1.9352750784009385E-5</v>
      </c>
      <c r="F6870">
        <f>SUMIFS($D$2:$D$7909, $B$2:$B$7909, "Toscana")</f>
        <v>3672202</v>
      </c>
      <c r="G6870" s="1">
        <f>Comuni__2[[#This Row],[Popolazione2011]]/Comuni__2[[#This Row],[POPOLAZIONE TOTALE DI OGNI REGIONE (CON FILTRO)]]</f>
        <v>3.131636004773158E-4</v>
      </c>
      <c r="H6870" t="str">
        <f>IF(Comuni__2[[#This Row],[Popolazione2011]]&gt;300000,"MAGGIORE","")</f>
        <v/>
      </c>
    </row>
    <row r="6871" spans="1:8" x14ac:dyDescent="0.2">
      <c r="A6871"/>
      <c r="B6871"/>
      <c r="C6871"/>
      <c r="D6871"/>
      <c r="E6871" s="2">
        <f>Comuni__2[[#This Row],[Popolazione2011]]/$D$7911</f>
        <v>1.9302265347181533E-5</v>
      </c>
      <c r="F6871">
        <f>SUMIFS($D$2:$D$7909, $B$2:$B$7909, "Toscana")</f>
        <v>3672202</v>
      </c>
      <c r="G6871" s="1">
        <f>Comuni__2[[#This Row],[Popolazione2011]]/Comuni__2[[#This Row],[POPOLAZIONE TOTALE DI OGNI REGIONE (CON FILTRO)]]</f>
        <v>3.1234665195433147E-4</v>
      </c>
      <c r="H6871" t="str">
        <f>IF(Comuni__2[[#This Row],[Popolazione2011]]&gt;300000,"MAGGIORE","")</f>
        <v/>
      </c>
    </row>
    <row r="6872" spans="1:8" x14ac:dyDescent="0.2">
      <c r="A6872"/>
      <c r="B6872"/>
      <c r="C6872"/>
      <c r="D6872"/>
      <c r="E6872" s="2">
        <f>Comuni__2[[#This Row],[Popolazione2011]]/$D$7911</f>
        <v>1.9251779910353681E-5</v>
      </c>
      <c r="F6872">
        <f>SUMIFS($D$2:$D$7909, $B$2:$B$7909, "Toscana")</f>
        <v>3672202</v>
      </c>
      <c r="G6872" s="1">
        <f>Comuni__2[[#This Row],[Popolazione2011]]/Comuni__2[[#This Row],[POPOLAZIONE TOTALE DI OGNI REGIONE (CON FILTRO)]]</f>
        <v>3.1152970343134719E-4</v>
      </c>
      <c r="H6872" t="str">
        <f>IF(Comuni__2[[#This Row],[Popolazione2011]]&gt;300000,"MAGGIORE","")</f>
        <v/>
      </c>
    </row>
    <row r="6873" spans="1:8" x14ac:dyDescent="0.2">
      <c r="A6873"/>
      <c r="B6873"/>
      <c r="C6873"/>
      <c r="D6873"/>
      <c r="E6873" s="2">
        <f>Comuni__2[[#This Row],[Popolazione2011]]/$D$7911</f>
        <v>1.9016181205157045E-5</v>
      </c>
      <c r="F6873">
        <f>SUMIFS($D$2:$D$7909, $B$2:$B$7909, "Toscana")</f>
        <v>3672202</v>
      </c>
      <c r="G6873" s="1">
        <f>Comuni__2[[#This Row],[Popolazione2011]]/Comuni__2[[#This Row],[POPOLAZIONE TOTALE DI OGNI REGIONE (CON FILTRO)]]</f>
        <v>3.0771727699075379E-4</v>
      </c>
      <c r="H6873" t="str">
        <f>IF(Comuni__2[[#This Row],[Popolazione2011]]&gt;300000,"MAGGIORE","")</f>
        <v/>
      </c>
    </row>
    <row r="6874" spans="1:8" x14ac:dyDescent="0.2">
      <c r="A6874"/>
      <c r="B6874"/>
      <c r="C6874"/>
      <c r="D6874"/>
      <c r="E6874" s="2">
        <f>Comuni__2[[#This Row],[Popolazione2011]]/$D$7911</f>
        <v>1.8965695768329197E-5</v>
      </c>
      <c r="F6874">
        <f>SUMIFS($D$2:$D$7909, $B$2:$B$7909, "Toscana")</f>
        <v>3672202</v>
      </c>
      <c r="G6874" s="1">
        <f>Comuni__2[[#This Row],[Popolazione2011]]/Comuni__2[[#This Row],[POPOLAZIONE TOTALE DI OGNI REGIONE (CON FILTRO)]]</f>
        <v>3.0690032846776946E-4</v>
      </c>
      <c r="H6874" t="str">
        <f>IF(Comuni__2[[#This Row],[Popolazione2011]]&gt;300000,"MAGGIORE","")</f>
        <v/>
      </c>
    </row>
    <row r="6875" spans="1:8" x14ac:dyDescent="0.2">
      <c r="A6875"/>
      <c r="B6875"/>
      <c r="C6875"/>
      <c r="D6875"/>
      <c r="E6875" s="2">
        <f>Comuni__2[[#This Row],[Popolazione2011]]/$D$7911</f>
        <v>1.8494498357935925E-5</v>
      </c>
      <c r="F6875">
        <f>SUMIFS($D$2:$D$7909, $B$2:$B$7909, "Toscana")</f>
        <v>3672202</v>
      </c>
      <c r="G6875" s="1">
        <f>Comuni__2[[#This Row],[Popolazione2011]]/Comuni__2[[#This Row],[POPOLAZIONE TOTALE DI OGNI REGIONE (CON FILTRO)]]</f>
        <v>2.9927547558658264E-4</v>
      </c>
      <c r="H6875" t="str">
        <f>IF(Comuni__2[[#This Row],[Popolazione2011]]&gt;300000,"MAGGIORE","")</f>
        <v/>
      </c>
    </row>
    <row r="6876" spans="1:8" x14ac:dyDescent="0.2">
      <c r="A6876"/>
      <c r="B6876"/>
      <c r="C6876"/>
      <c r="D6876"/>
      <c r="E6876" s="2">
        <f>Comuni__2[[#This Row],[Popolazione2011]]/$D$7911</f>
        <v>1.8359870526394989E-5</v>
      </c>
      <c r="F6876">
        <f>SUMIFS($D$2:$D$7909, $B$2:$B$7909, "Toscana")</f>
        <v>3672202</v>
      </c>
      <c r="G6876" s="1">
        <f>Comuni__2[[#This Row],[Popolazione2011]]/Comuni__2[[#This Row],[POPOLAZIONE TOTALE DI OGNI REGIONE (CON FILTRO)]]</f>
        <v>2.9709694619195785E-4</v>
      </c>
      <c r="H6876" t="str">
        <f>IF(Comuni__2[[#This Row],[Popolazione2011]]&gt;300000,"MAGGIORE","")</f>
        <v/>
      </c>
    </row>
    <row r="6877" spans="1:8" x14ac:dyDescent="0.2">
      <c r="A6877"/>
      <c r="B6877"/>
      <c r="C6877"/>
      <c r="D6877"/>
      <c r="E6877" s="2">
        <f>Comuni__2[[#This Row],[Popolazione2011]]/$D$7911</f>
        <v>1.8242071173796673E-5</v>
      </c>
      <c r="F6877">
        <f>SUMIFS($D$2:$D$7909, $B$2:$B$7909, "Toscana")</f>
        <v>3672202</v>
      </c>
      <c r="G6877" s="1">
        <f>Comuni__2[[#This Row],[Popolazione2011]]/Comuni__2[[#This Row],[POPOLAZIONE TOTALE DI OGNI REGIONE (CON FILTRO)]]</f>
        <v>2.9519073297166115E-4</v>
      </c>
      <c r="H6877" t="str">
        <f>IF(Comuni__2[[#This Row],[Popolazione2011]]&gt;300000,"MAGGIORE","")</f>
        <v/>
      </c>
    </row>
    <row r="6878" spans="1:8" x14ac:dyDescent="0.2">
      <c r="A6878"/>
      <c r="B6878"/>
      <c r="C6878"/>
      <c r="D6878"/>
      <c r="E6878" s="2">
        <f>Comuni__2[[#This Row],[Popolazione2011]]/$D$7911</f>
        <v>1.6895792858387322E-5</v>
      </c>
      <c r="F6878">
        <f>SUMIFS($D$2:$D$7909, $B$2:$B$7909, "Toscana")</f>
        <v>3672202</v>
      </c>
      <c r="G6878" s="1">
        <f>Comuni__2[[#This Row],[Popolazione2011]]/Comuni__2[[#This Row],[POPOLAZIONE TOTALE DI OGNI REGIONE (CON FILTRO)]]</f>
        <v>2.7340543902541309E-4</v>
      </c>
      <c r="H6878" t="str">
        <f>IF(Comuni__2[[#This Row],[Popolazione2011]]&gt;300000,"MAGGIORE","")</f>
        <v/>
      </c>
    </row>
    <row r="6879" spans="1:8" x14ac:dyDescent="0.2">
      <c r="A6879"/>
      <c r="B6879"/>
      <c r="C6879"/>
      <c r="D6879"/>
      <c r="E6879" s="2">
        <f>Comuni__2[[#This Row],[Popolazione2011]]/$D$7911</f>
        <v>1.6878964379444706E-5</v>
      </c>
      <c r="F6879">
        <f>SUMIFS($D$2:$D$7909, $B$2:$B$7909, "Toscana")</f>
        <v>3672202</v>
      </c>
      <c r="G6879" s="1">
        <f>Comuni__2[[#This Row],[Popolazione2011]]/Comuni__2[[#This Row],[POPOLAZIONE TOTALE DI OGNI REGIONE (CON FILTRO)]]</f>
        <v>2.7313312285108499E-4</v>
      </c>
      <c r="H6879" t="str">
        <f>IF(Comuni__2[[#This Row],[Popolazione2011]]&gt;300000,"MAGGIORE","")</f>
        <v/>
      </c>
    </row>
    <row r="6880" spans="1:8" x14ac:dyDescent="0.2">
      <c r="A6880"/>
      <c r="B6880"/>
      <c r="C6880"/>
      <c r="D6880"/>
      <c r="E6880" s="2">
        <f>Comuni__2[[#This Row],[Popolazione2011]]/$D$7911</f>
        <v>1.6677022632133306E-5</v>
      </c>
      <c r="F6880">
        <f>SUMIFS($D$2:$D$7909, $B$2:$B$7909, "Toscana")</f>
        <v>3672202</v>
      </c>
      <c r="G6880" s="1">
        <f>Comuni__2[[#This Row],[Popolazione2011]]/Comuni__2[[#This Row],[POPOLAZIONE TOTALE DI OGNI REGIONE (CON FILTRO)]]</f>
        <v>2.6986532875914777E-4</v>
      </c>
      <c r="H6880" t="str">
        <f>IF(Comuni__2[[#This Row],[Popolazione2011]]&gt;300000,"MAGGIORE","")</f>
        <v/>
      </c>
    </row>
    <row r="6881" spans="1:8" x14ac:dyDescent="0.2">
      <c r="A6881"/>
      <c r="B6881"/>
      <c r="C6881"/>
      <c r="D6881"/>
      <c r="E6881" s="2">
        <f>Comuni__2[[#This Row],[Popolazione2011]]/$D$7911</f>
        <v>1.5700970853461526E-5</v>
      </c>
      <c r="F6881">
        <f>SUMIFS($D$2:$D$7909, $B$2:$B$7909, "Toscana")</f>
        <v>3672202</v>
      </c>
      <c r="G6881" s="1">
        <f>Comuni__2[[#This Row],[Popolazione2011]]/Comuni__2[[#This Row],[POPOLAZIONE TOTALE DI OGNI REGIONE (CON FILTRO)]]</f>
        <v>2.5407099064811797E-4</v>
      </c>
      <c r="H6881" t="str">
        <f>IF(Comuni__2[[#This Row],[Popolazione2011]]&gt;300000,"MAGGIORE","")</f>
        <v/>
      </c>
    </row>
    <row r="6882" spans="1:8" x14ac:dyDescent="0.2">
      <c r="A6882"/>
      <c r="B6882"/>
      <c r="C6882"/>
      <c r="D6882"/>
      <c r="E6882" s="2">
        <f>Comuni__2[[#This Row],[Popolazione2011]]/$D$7911</f>
        <v>1.5667313895576294E-5</v>
      </c>
      <c r="F6882">
        <f>SUMIFS($D$2:$D$7909, $B$2:$B$7909, "Toscana")</f>
        <v>3672202</v>
      </c>
      <c r="G6882" s="1">
        <f>Comuni__2[[#This Row],[Popolazione2011]]/Comuni__2[[#This Row],[POPOLAZIONE TOTALE DI OGNI REGIONE (CON FILTRO)]]</f>
        <v>2.5352635829946173E-4</v>
      </c>
      <c r="H6882" t="str">
        <f>IF(Comuni__2[[#This Row],[Popolazione2011]]&gt;300000,"MAGGIORE","")</f>
        <v/>
      </c>
    </row>
    <row r="6883" spans="1:8" x14ac:dyDescent="0.2">
      <c r="A6883"/>
      <c r="B6883"/>
      <c r="C6883"/>
      <c r="D6883"/>
      <c r="E6883" s="2">
        <f>Comuni__2[[#This Row],[Popolazione2011]]/$D$7911</f>
        <v>1.4775404511617599E-5</v>
      </c>
      <c r="F6883">
        <f>SUMIFS($D$2:$D$7909, $B$2:$B$7909, "Toscana")</f>
        <v>3672202</v>
      </c>
      <c r="G6883" s="1">
        <f>Comuni__2[[#This Row],[Popolazione2011]]/Comuni__2[[#This Row],[POPOLAZIONE TOTALE DI OGNI REGIONE (CON FILTRO)]]</f>
        <v>2.3909360106007241E-4</v>
      </c>
      <c r="H6883" t="str">
        <f>IF(Comuni__2[[#This Row],[Popolazione2011]]&gt;300000,"MAGGIORE","")</f>
        <v/>
      </c>
    </row>
    <row r="6884" spans="1:8" x14ac:dyDescent="0.2">
      <c r="A6884"/>
      <c r="B6884"/>
      <c r="C6884"/>
      <c r="D6884"/>
      <c r="E6884" s="2">
        <f>Comuni__2[[#This Row],[Popolazione2011]]/$D$7911</f>
        <v>1.3799352732945821E-5</v>
      </c>
      <c r="F6884">
        <f>SUMIFS($D$2:$D$7909, $B$2:$B$7909, "Toscana")</f>
        <v>3672202</v>
      </c>
      <c r="G6884" s="1">
        <f>Comuni__2[[#This Row],[Popolazione2011]]/Comuni__2[[#This Row],[POPOLAZIONE TOTALE DI OGNI REGIONE (CON FILTRO)]]</f>
        <v>2.2329926294904258E-4</v>
      </c>
      <c r="H6884" t="str">
        <f>IF(Comuni__2[[#This Row],[Popolazione2011]]&gt;300000,"MAGGIORE","")</f>
        <v/>
      </c>
    </row>
    <row r="6885" spans="1:8" x14ac:dyDescent="0.2">
      <c r="A6885"/>
      <c r="B6885"/>
      <c r="C6885"/>
      <c r="D6885"/>
      <c r="E6885" s="2">
        <f>Comuni__2[[#This Row],[Popolazione2011]]/$D$7911</f>
        <v>1.3092556617355913E-5</v>
      </c>
      <c r="F6885">
        <f>SUMIFS($D$2:$D$7909, $B$2:$B$7909, "Toscana")</f>
        <v>3672202</v>
      </c>
      <c r="G6885" s="1">
        <f>Comuni__2[[#This Row],[Popolazione2011]]/Comuni__2[[#This Row],[POPOLAZIONE TOTALE DI OGNI REGIONE (CON FILTRO)]]</f>
        <v>2.1186198362726233E-4</v>
      </c>
      <c r="H6885" t="str">
        <f>IF(Comuni__2[[#This Row],[Popolazione2011]]&gt;300000,"MAGGIORE","")</f>
        <v/>
      </c>
    </row>
    <row r="6886" spans="1:8" x14ac:dyDescent="0.2">
      <c r="A6886"/>
      <c r="B6886"/>
      <c r="C6886"/>
      <c r="D6886"/>
      <c r="E6886" s="2">
        <f>Comuni__2[[#This Row],[Popolazione2011]]/$D$7911</f>
        <v>1.2705501601675726E-5</v>
      </c>
      <c r="F6886">
        <f>SUMIFS($D$2:$D$7909, $B$2:$B$7909, "Toscana")</f>
        <v>3672202</v>
      </c>
      <c r="G6886" s="1">
        <f>Comuni__2[[#This Row],[Popolazione2011]]/Comuni__2[[#This Row],[POPOLAZIONE TOTALE DI OGNI REGIONE (CON FILTRO)]]</f>
        <v>2.0559871161771601E-4</v>
      </c>
      <c r="H6886" t="str">
        <f>IF(Comuni__2[[#This Row],[Popolazione2011]]&gt;300000,"MAGGIORE","")</f>
        <v/>
      </c>
    </row>
    <row r="6887" spans="1:8" x14ac:dyDescent="0.2">
      <c r="A6887"/>
      <c r="B6887"/>
      <c r="C6887"/>
      <c r="D6887"/>
      <c r="E6887" s="2">
        <f>Comuni__2[[#This Row],[Popolazione2011]]/$D$7911</f>
        <v>1.0686084128561704E-5</v>
      </c>
      <c r="F6887">
        <f>SUMIFS($D$2:$D$7909, $B$2:$B$7909, "Toscana")</f>
        <v>3672202</v>
      </c>
      <c r="G6887" s="1">
        <f>Comuni__2[[#This Row],[Popolazione2011]]/Comuni__2[[#This Row],[POPOLAZIONE TOTALE DI OGNI REGIONE (CON FILTRO)]]</f>
        <v>1.7292077069834395E-4</v>
      </c>
      <c r="H6887" t="str">
        <f>IF(Comuni__2[[#This Row],[Popolazione2011]]&gt;300000,"MAGGIORE","")</f>
        <v/>
      </c>
    </row>
    <row r="6888" spans="1:8" x14ac:dyDescent="0.2">
      <c r="A6888"/>
      <c r="B6888"/>
      <c r="C6888"/>
      <c r="D6888"/>
      <c r="E6888" s="2">
        <f>Comuni__2[[#This Row],[Popolazione2011]]/$D$7911</f>
        <v>1.0450485423365068E-5</v>
      </c>
      <c r="F6888">
        <f>SUMIFS($D$2:$D$7909, $B$2:$B$7909, "Toscana")</f>
        <v>3672202</v>
      </c>
      <c r="G6888" s="1">
        <f>Comuni__2[[#This Row],[Popolazione2011]]/Comuni__2[[#This Row],[POPOLAZIONE TOTALE DI OGNI REGIONE (CON FILTRO)]]</f>
        <v>1.6910834425775052E-4</v>
      </c>
      <c r="H6888" t="str">
        <f>IF(Comuni__2[[#This Row],[Popolazione2011]]&gt;300000,"MAGGIORE","")</f>
        <v/>
      </c>
    </row>
    <row r="6889" spans="1:8" x14ac:dyDescent="0.2">
      <c r="A6889"/>
      <c r="B6889"/>
      <c r="C6889"/>
      <c r="D6889"/>
      <c r="E6889" s="2">
        <f>Comuni__2[[#This Row],[Popolazione2011]]/$D$7911</f>
        <v>9.8278317024882444E-6</v>
      </c>
      <c r="F6889">
        <f>SUMIFS($D$2:$D$7909, $B$2:$B$7909, "Toscana")</f>
        <v>3672202</v>
      </c>
      <c r="G6889" s="1">
        <f>Comuni__2[[#This Row],[Popolazione2011]]/Comuni__2[[#This Row],[POPOLAZIONE TOTALE DI OGNI REGIONE (CON FILTRO)]]</f>
        <v>1.5903264580761079E-4</v>
      </c>
      <c r="H6889" t="str">
        <f>IF(Comuni__2[[#This Row],[Popolazione2011]]&gt;300000,"MAGGIORE","")</f>
        <v/>
      </c>
    </row>
    <row r="6890" spans="1:8" x14ac:dyDescent="0.2">
      <c r="A6890"/>
      <c r="B6890"/>
      <c r="C6890"/>
      <c r="D6890"/>
      <c r="E6890" s="2">
        <f>Comuni__2[[#This Row],[Popolazione2011]]/$D$7911</f>
        <v>9.6932038709473086E-6</v>
      </c>
      <c r="F6890">
        <f>SUMIFS($D$2:$D$7909, $B$2:$B$7909, "Toscana")</f>
        <v>3672202</v>
      </c>
      <c r="G6890" s="1">
        <f>Comuni__2[[#This Row],[Popolazione2011]]/Comuni__2[[#This Row],[POPOLAZIONE TOTALE DI OGNI REGIONE (CON FILTRO)]]</f>
        <v>1.5685411641298599E-4</v>
      </c>
      <c r="H6890" t="str">
        <f>IF(Comuni__2[[#This Row],[Popolazione2011]]&gt;300000,"MAGGIORE","")</f>
        <v/>
      </c>
    </row>
    <row r="6891" spans="1:8" x14ac:dyDescent="0.2">
      <c r="A6891"/>
      <c r="B6891"/>
      <c r="C6891"/>
      <c r="D6891"/>
      <c r="E6891" s="2">
        <f>Comuni__2[[#This Row],[Popolazione2011]]/$D$7911</f>
        <v>8.9695792764147847E-6</v>
      </c>
      <c r="F6891">
        <f>SUMIFS($D$2:$D$7909, $B$2:$B$7909, "Toscana")</f>
        <v>3672202</v>
      </c>
      <c r="G6891" s="1">
        <f>Comuni__2[[#This Row],[Popolazione2011]]/Comuni__2[[#This Row],[POPOLAZIONE TOTALE DI OGNI REGIONE (CON FILTRO)]]</f>
        <v>1.4514452091687766E-4</v>
      </c>
      <c r="H6891" t="str">
        <f>IF(Comuni__2[[#This Row],[Popolazione2011]]&gt;300000,"MAGGIORE","")</f>
        <v/>
      </c>
    </row>
    <row r="6892" spans="1:8" x14ac:dyDescent="0.2">
      <c r="A6892"/>
      <c r="B6892"/>
      <c r="C6892"/>
      <c r="D6892"/>
      <c r="E6892" s="2">
        <f>Comuni__2[[#This Row],[Popolazione2011]]/$D$7911</f>
        <v>6.6304207033910416E-6</v>
      </c>
      <c r="F6892">
        <f>SUMIFS($D$2:$D$7909, $B$2:$B$7909, "Toscana")</f>
        <v>3672202</v>
      </c>
      <c r="G6892" s="1">
        <f>Comuni__2[[#This Row],[Popolazione2011]]/Comuni__2[[#This Row],[POPOLAZIONE TOTALE DI OGNI REGIONE (CON FILTRO)]]</f>
        <v>1.0729257268527167E-4</v>
      </c>
      <c r="H6892" t="str">
        <f>IF(Comuni__2[[#This Row],[Popolazione2011]]&gt;300000,"MAGGIORE","")</f>
        <v/>
      </c>
    </row>
    <row r="6893" spans="1:8" x14ac:dyDescent="0.2">
      <c r="A6893"/>
      <c r="B6893"/>
      <c r="C6893"/>
      <c r="D6893"/>
      <c r="E6893" s="2">
        <f>Comuni__2[[#This Row],[Popolazione2011]]/$D$7911</f>
        <v>1.9217786382889597E-3</v>
      </c>
      <c r="F6893">
        <f>SUMIFS($D$2:$D$7909, $B$2:$B$7909, "Trentino-Alto Adige/Südtirol")</f>
        <v>1026433</v>
      </c>
      <c r="G6893" s="1">
        <f>Comuni__2[[#This Row],[Popolazione2011]]/Comuni__2[[#This Row],[POPOLAZIONE TOTALE DI OGNI REGIONE (CON FILTRO)]]</f>
        <v>0.11125714001790667</v>
      </c>
      <c r="H6893" t="str">
        <f>IF(Comuni__2[[#This Row],[Popolazione2011]]&gt;300000,"MAGGIORE","")</f>
        <v/>
      </c>
    </row>
    <row r="6894" spans="1:8" x14ac:dyDescent="0.2">
      <c r="A6894"/>
      <c r="B6894"/>
      <c r="C6894"/>
      <c r="D6894"/>
      <c r="E6894" s="2">
        <f>Comuni__2[[#This Row],[Popolazione2011]]/$D$7911</f>
        <v>1.7261812275389239E-3</v>
      </c>
      <c r="F6894">
        <f>SUMIFS($D$2:$D$7909, $B$2:$B$7909, "Trentino-Alto Adige/Südtirol")</f>
        <v>1026433</v>
      </c>
      <c r="G6894" s="1">
        <f>Comuni__2[[#This Row],[Popolazione2011]]/Comuni__2[[#This Row],[POPOLAZIONE TOTALE DI OGNI REGIONE (CON FILTRO)]]</f>
        <v>9.9933458881388271E-2</v>
      </c>
      <c r="H6894" t="str">
        <f>IF(Comuni__2[[#This Row],[Popolazione2011]]&gt;300000,"MAGGIORE","")</f>
        <v/>
      </c>
    </row>
    <row r="6895" spans="1:8" x14ac:dyDescent="0.2">
      <c r="A6895"/>
      <c r="B6895"/>
      <c r="C6895"/>
      <c r="D6895"/>
      <c r="E6895" s="2">
        <f>Comuni__2[[#This Row],[Popolazione2011]]/$D$7911</f>
        <v>6.3534239399955672E-4</v>
      </c>
      <c r="F6895">
        <f>SUMIFS($D$2:$D$7909, $B$2:$B$7909, "Trentino-Alto Adige/Südtirol")</f>
        <v>1026433</v>
      </c>
      <c r="G6895" s="1">
        <f>Comuni__2[[#This Row],[Popolazione2011]]/Comuni__2[[#This Row],[POPOLAZIONE TOTALE DI OGNI REGIONE (CON FILTRO)]]</f>
        <v>3.6781748053696633E-2</v>
      </c>
      <c r="H6895" t="str">
        <f>IF(Comuni__2[[#This Row],[Popolazione2011]]&gt;300000,"MAGGIORE","")</f>
        <v/>
      </c>
    </row>
    <row r="6896" spans="1:8" x14ac:dyDescent="0.2">
      <c r="A6896"/>
      <c r="B6896"/>
      <c r="C6896"/>
      <c r="D6896"/>
      <c r="E6896" s="2">
        <f>Comuni__2[[#This Row],[Popolazione2011]]/$D$7911</f>
        <v>6.2884660112770671E-4</v>
      </c>
      <c r="F6896">
        <f>SUMIFS($D$2:$D$7909, $B$2:$B$7909, "Trentino-Alto Adige/Südtirol")</f>
        <v>1026433</v>
      </c>
      <c r="G6896" s="1">
        <f>Comuni__2[[#This Row],[Popolazione2011]]/Comuni__2[[#This Row],[POPOLAZIONE TOTALE DI OGNI REGIONE (CON FILTRO)]]</f>
        <v>3.6405688437530746E-2</v>
      </c>
      <c r="H6896" t="str">
        <f>IF(Comuni__2[[#This Row],[Popolazione2011]]&gt;300000,"MAGGIORE","")</f>
        <v/>
      </c>
    </row>
    <row r="6897" spans="1:8" x14ac:dyDescent="0.2">
      <c r="A6897"/>
      <c r="B6897"/>
      <c r="C6897"/>
      <c r="D6897"/>
      <c r="E6897" s="2">
        <f>Comuni__2[[#This Row],[Popolazione2011]]/$D$7911</f>
        <v>3.4796245909648874E-4</v>
      </c>
      <c r="F6897">
        <f>SUMIFS($D$2:$D$7909, $B$2:$B$7909, "Trentino-Alto Adige/Südtirol")</f>
        <v>1026433</v>
      </c>
      <c r="G6897" s="1">
        <f>Comuni__2[[#This Row],[Popolazione2011]]/Comuni__2[[#This Row],[POPOLAZIONE TOTALE DI OGNI REGIONE (CON FILTRO)]]</f>
        <v>2.0144519905342093E-2</v>
      </c>
      <c r="H6897" t="str">
        <f>IF(Comuni__2[[#This Row],[Popolazione2011]]&gt;300000,"MAGGIORE","")</f>
        <v/>
      </c>
    </row>
    <row r="6898" spans="1:8" x14ac:dyDescent="0.2">
      <c r="A6898"/>
      <c r="B6898"/>
      <c r="C6898"/>
      <c r="D6898"/>
      <c r="E6898" s="2">
        <f>Comuni__2[[#This Row],[Popolazione2011]]/$D$7911</f>
        <v>3.4407508046074424E-4</v>
      </c>
      <c r="F6898">
        <f>SUMIFS($D$2:$D$7909, $B$2:$B$7909, "Trentino-Alto Adige/Südtirol")</f>
        <v>1026433</v>
      </c>
      <c r="G6898" s="1">
        <f>Comuni__2[[#This Row],[Popolazione2011]]/Comuni__2[[#This Row],[POPOLAZIONE TOTALE DI OGNI REGIONE (CON FILTRO)]]</f>
        <v>1.9919468684268724E-2</v>
      </c>
      <c r="H6898" t="str">
        <f>IF(Comuni__2[[#This Row],[Popolazione2011]]&gt;300000,"MAGGIORE","")</f>
        <v/>
      </c>
    </row>
    <row r="6899" spans="1:8" x14ac:dyDescent="0.2">
      <c r="A6899"/>
      <c r="B6899"/>
      <c r="C6899"/>
      <c r="D6899"/>
      <c r="E6899" s="2">
        <f>Comuni__2[[#This Row],[Popolazione2011]]/$D$7911</f>
        <v>2.8455275044070842E-4</v>
      </c>
      <c r="F6899">
        <f>SUMIFS($D$2:$D$7909, $B$2:$B$7909, "Trentino-Alto Adige/Südtirol")</f>
        <v>1026433</v>
      </c>
      <c r="G6899" s="1">
        <f>Comuni__2[[#This Row],[Popolazione2011]]/Comuni__2[[#This Row],[POPOLAZIONE TOTALE DI OGNI REGIONE (CON FILTRO)]]</f>
        <v>1.647355453302846E-2</v>
      </c>
      <c r="H6899" t="str">
        <f>IF(Comuni__2[[#This Row],[Popolazione2011]]&gt;300000,"MAGGIORE","")</f>
        <v/>
      </c>
    </row>
    <row r="6900" spans="1:8" x14ac:dyDescent="0.2">
      <c r="A6900"/>
      <c r="B6900"/>
      <c r="C6900"/>
      <c r="D6900"/>
      <c r="E6900" s="2">
        <f>Comuni__2[[#This Row],[Popolazione2011]]/$D$7911</f>
        <v>2.8391326824088898E-4</v>
      </c>
      <c r="F6900">
        <f>SUMIFS($D$2:$D$7909, $B$2:$B$7909, "Trentino-Alto Adige/Südtirol")</f>
        <v>1026433</v>
      </c>
      <c r="G6900" s="1">
        <f>Comuni__2[[#This Row],[Popolazione2011]]/Comuni__2[[#This Row],[POPOLAZIONE TOTALE DI OGNI REGIONE (CON FILTRO)]]</f>
        <v>1.6436533120038035E-2</v>
      </c>
      <c r="H6900" t="str">
        <f>IF(Comuni__2[[#This Row],[Popolazione2011]]&gt;300000,"MAGGIORE","")</f>
        <v/>
      </c>
    </row>
    <row r="6901" spans="1:8" x14ac:dyDescent="0.2">
      <c r="A6901"/>
      <c r="B6901"/>
      <c r="C6901"/>
      <c r="D6901"/>
      <c r="E6901" s="2">
        <f>Comuni__2[[#This Row],[Popolazione2011]]/$D$7911</f>
        <v>2.6652944949316577E-4</v>
      </c>
      <c r="F6901">
        <f>SUMIFS($D$2:$D$7909, $B$2:$B$7909, "Trentino-Alto Adige/Südtirol")</f>
        <v>1026433</v>
      </c>
      <c r="G6901" s="1">
        <f>Comuni__2[[#This Row],[Popolazione2011]]/Comuni__2[[#This Row],[POPOLAZIONE TOTALE DI OGNI REGIONE (CON FILTRO)]]</f>
        <v>1.5430135235324664E-2</v>
      </c>
      <c r="H6901" t="str">
        <f>IF(Comuni__2[[#This Row],[Popolazione2011]]&gt;300000,"MAGGIORE","")</f>
        <v/>
      </c>
    </row>
    <row r="6902" spans="1:8" x14ac:dyDescent="0.2">
      <c r="A6902"/>
      <c r="B6902"/>
      <c r="C6902"/>
      <c r="D6902"/>
      <c r="E6902" s="2">
        <f>Comuni__2[[#This Row],[Popolazione2011]]/$D$7911</f>
        <v>2.5910809027947175E-4</v>
      </c>
      <c r="F6902">
        <f>SUMIFS($D$2:$D$7909, $B$2:$B$7909, "Trentino-Alto Adige/Südtirol")</f>
        <v>1026433</v>
      </c>
      <c r="G6902" s="1">
        <f>Comuni__2[[#This Row],[Popolazione2011]]/Comuni__2[[#This Row],[POPOLAZIONE TOTALE DI OGNI REGIONE (CON FILTRO)]]</f>
        <v>1.5000491995093689E-2</v>
      </c>
      <c r="H6902" t="str">
        <f>IF(Comuni__2[[#This Row],[Popolazione2011]]&gt;300000,"MAGGIORE","")</f>
        <v/>
      </c>
    </row>
    <row r="6903" spans="1:8" x14ac:dyDescent="0.2">
      <c r="A6903"/>
      <c r="B6903"/>
      <c r="C6903"/>
      <c r="D6903"/>
      <c r="E6903" s="2">
        <f>Comuni__2[[#This Row],[Popolazione2011]]/$D$7911</f>
        <v>2.3539676344932459E-4</v>
      </c>
      <c r="F6903">
        <f>SUMIFS($D$2:$D$7909, $B$2:$B$7909, "Trentino-Alto Adige/Südtirol")</f>
        <v>1026433</v>
      </c>
      <c r="G6903" s="1">
        <f>Comuni__2[[#This Row],[Popolazione2011]]/Comuni__2[[#This Row],[POPOLAZIONE TOTALE DI OGNI REGIONE (CON FILTRO)]]</f>
        <v>1.3627776971317174E-2</v>
      </c>
      <c r="H6903" t="str">
        <f>IF(Comuni__2[[#This Row],[Popolazione2011]]&gt;300000,"MAGGIORE","")</f>
        <v/>
      </c>
    </row>
    <row r="6904" spans="1:8" x14ac:dyDescent="0.2">
      <c r="A6904"/>
      <c r="B6904"/>
      <c r="C6904"/>
      <c r="D6904"/>
      <c r="E6904" s="2">
        <f>Comuni__2[[#This Row],[Popolazione2011]]/$D$7911</f>
        <v>1.8933721658338223E-4</v>
      </c>
      <c r="F6904">
        <f>SUMIFS($D$2:$D$7909, $B$2:$B$7909, "Trentino-Alto Adige/Südtirol")</f>
        <v>1026433</v>
      </c>
      <c r="G6904" s="1">
        <f>Comuni__2[[#This Row],[Popolazione2011]]/Comuni__2[[#This Row],[POPOLAZIONE TOTALE DI OGNI REGIONE (CON FILTRO)]]</f>
        <v>1.0961260988296362E-2</v>
      </c>
      <c r="H6904" t="str">
        <f>IF(Comuni__2[[#This Row],[Popolazione2011]]&gt;300000,"MAGGIORE","")</f>
        <v/>
      </c>
    </row>
    <row r="6905" spans="1:8" x14ac:dyDescent="0.2">
      <c r="A6905"/>
      <c r="B6905"/>
      <c r="C6905"/>
      <c r="D6905"/>
      <c r="E6905" s="2">
        <f>Comuni__2[[#This Row],[Popolazione2011]]/$D$7911</f>
        <v>1.59130096881385E-4</v>
      </c>
      <c r="F6905">
        <f>SUMIFS($D$2:$D$7909, $B$2:$B$7909, "Trentino-Alto Adige/Südtirol")</f>
        <v>1026433</v>
      </c>
      <c r="G6905" s="1">
        <f>Comuni__2[[#This Row],[Popolazione2011]]/Comuni__2[[#This Row],[POPOLAZIONE TOTALE DI OGNI REGIONE (CON FILTRO)]]</f>
        <v>9.2124863483539592E-3</v>
      </c>
      <c r="H6905" t="str">
        <f>IF(Comuni__2[[#This Row],[Popolazione2011]]&gt;300000,"MAGGIORE","")</f>
        <v/>
      </c>
    </row>
    <row r="6906" spans="1:8" x14ac:dyDescent="0.2">
      <c r="A6906"/>
      <c r="B6906"/>
      <c r="C6906"/>
      <c r="D6906"/>
      <c r="E6906" s="2">
        <f>Comuni__2[[#This Row],[Popolazione2011]]/$D$7911</f>
        <v>1.49554692363036E-4</v>
      </c>
      <c r="F6906">
        <f>SUMIFS($D$2:$D$7909, $B$2:$B$7909, "Trentino-Alto Adige/Südtirol")</f>
        <v>1026433</v>
      </c>
      <c r="G6906" s="1">
        <f>Comuni__2[[#This Row],[Popolazione2011]]/Comuni__2[[#This Row],[POPOLAZIONE TOTALE DI OGNI REGIONE (CON FILTRO)]]</f>
        <v>8.6581394012078729E-3</v>
      </c>
      <c r="H6906" t="str">
        <f>IF(Comuni__2[[#This Row],[Popolazione2011]]&gt;300000,"MAGGIORE","")</f>
        <v/>
      </c>
    </row>
    <row r="6907" spans="1:8" x14ac:dyDescent="0.2">
      <c r="A6907"/>
      <c r="B6907"/>
      <c r="C6907"/>
      <c r="D6907"/>
      <c r="E6907" s="2">
        <f>Comuni__2[[#This Row],[Popolazione2011]]/$D$7911</f>
        <v>1.4533074414843918E-4</v>
      </c>
      <c r="F6907">
        <f>SUMIFS($D$2:$D$7909, $B$2:$B$7909, "Trentino-Alto Adige/Südtirol")</f>
        <v>1026433</v>
      </c>
      <c r="G6907" s="1">
        <f>Comuni__2[[#This Row],[Popolazione2011]]/Comuni__2[[#This Row],[POPOLAZIONE TOTALE DI OGNI REGIONE (CON FILTRO)]]</f>
        <v>8.413603225929019E-3</v>
      </c>
      <c r="H6907" t="str">
        <f>IF(Comuni__2[[#This Row],[Popolazione2011]]&gt;300000,"MAGGIORE","")</f>
        <v/>
      </c>
    </row>
    <row r="6908" spans="1:8" x14ac:dyDescent="0.2">
      <c r="A6908"/>
      <c r="B6908"/>
      <c r="C6908"/>
      <c r="D6908"/>
      <c r="E6908" s="2">
        <f>Comuni__2[[#This Row],[Popolazione2011]]/$D$7911</f>
        <v>1.2890614870044511E-4</v>
      </c>
      <c r="F6908">
        <f>SUMIFS($D$2:$D$7909, $B$2:$B$7909, "Trentino-Alto Adige/Südtirol")</f>
        <v>1026433</v>
      </c>
      <c r="G6908" s="1">
        <f>Comuni__2[[#This Row],[Popolazione2011]]/Comuni__2[[#This Row],[POPOLAZIONE TOTALE DI OGNI REGIONE (CON FILTRO)]]</f>
        <v>7.4627374607012832E-3</v>
      </c>
      <c r="H6908" t="str">
        <f>IF(Comuni__2[[#This Row],[Popolazione2011]]&gt;300000,"MAGGIORE","")</f>
        <v/>
      </c>
    </row>
    <row r="6909" spans="1:8" x14ac:dyDescent="0.2">
      <c r="A6909"/>
      <c r="B6909"/>
      <c r="C6909"/>
      <c r="D6909"/>
      <c r="E6909" s="2">
        <f>Comuni__2[[#This Row],[Popolazione2011]]/$D$7911</f>
        <v>1.2860323607947802E-4</v>
      </c>
      <c r="F6909">
        <f>SUMIFS($D$2:$D$7909, $B$2:$B$7909, "Trentino-Alto Adige/Südtirol")</f>
        <v>1026433</v>
      </c>
      <c r="G6909" s="1">
        <f>Comuni__2[[#This Row],[Popolazione2011]]/Comuni__2[[#This Row],[POPOLAZIONE TOTALE DI OGNI REGIONE (CON FILTRO)]]</f>
        <v>7.4452010019163449E-3</v>
      </c>
      <c r="H6909" t="str">
        <f>IF(Comuni__2[[#This Row],[Popolazione2011]]&gt;300000,"MAGGIORE","")</f>
        <v/>
      </c>
    </row>
    <row r="6910" spans="1:8" x14ac:dyDescent="0.2">
      <c r="A6910"/>
      <c r="B6910"/>
      <c r="C6910"/>
      <c r="D6910"/>
      <c r="E6910" s="2">
        <f>Comuni__2[[#This Row],[Popolazione2011]]/$D$7911</f>
        <v>1.2648284773270828E-4</v>
      </c>
      <c r="F6910">
        <f>SUMIFS($D$2:$D$7909, $B$2:$B$7909, "Trentino-Alto Adige/Südtirol")</f>
        <v>1026433</v>
      </c>
      <c r="G6910" s="1">
        <f>Comuni__2[[#This Row],[Popolazione2011]]/Comuni__2[[#This Row],[POPOLAZIONE TOTALE DI OGNI REGIONE (CON FILTRO)]]</f>
        <v>7.3224457904217813E-3</v>
      </c>
      <c r="H6910" t="str">
        <f>IF(Comuni__2[[#This Row],[Popolazione2011]]&gt;300000,"MAGGIORE","")</f>
        <v/>
      </c>
    </row>
    <row r="6911" spans="1:8" x14ac:dyDescent="0.2">
      <c r="A6911"/>
      <c r="B6911"/>
      <c r="C6911"/>
      <c r="D6911"/>
      <c r="E6911" s="2">
        <f>Comuni__2[[#This Row],[Popolazione2011]]/$D$7911</f>
        <v>1.1594821991463013E-4</v>
      </c>
      <c r="F6911">
        <f>SUMIFS($D$2:$D$7909, $B$2:$B$7909, "Trentino-Alto Adige/Südtirol")</f>
        <v>1026433</v>
      </c>
      <c r="G6911" s="1">
        <f>Comuni__2[[#This Row],[Popolazione2011]]/Comuni__2[[#This Row],[POPOLAZIONE TOTALE DI OGNI REGIONE (CON FILTRO)]]</f>
        <v>6.7125667237900571E-3</v>
      </c>
      <c r="H6911" t="str">
        <f>IF(Comuni__2[[#This Row],[Popolazione2011]]&gt;300000,"MAGGIORE","")</f>
        <v/>
      </c>
    </row>
    <row r="6912" spans="1:8" x14ac:dyDescent="0.2">
      <c r="A6912"/>
      <c r="B6912"/>
      <c r="C6912"/>
      <c r="D6912"/>
      <c r="E6912" s="2">
        <f>Comuni__2[[#This Row],[Popolazione2011]]/$D$7911</f>
        <v>1.1487119726230266E-4</v>
      </c>
      <c r="F6912">
        <f>SUMIFS($D$2:$D$7909, $B$2:$B$7909, "Trentino-Alto Adige/Südtirol")</f>
        <v>1026433</v>
      </c>
      <c r="G6912" s="1">
        <f>Comuni__2[[#This Row],[Popolazione2011]]/Comuni__2[[#This Row],[POPOLAZIONE TOTALE DI OGNI REGIONE (CON FILTRO)]]</f>
        <v>6.6502148703325012E-3</v>
      </c>
      <c r="H6912" t="str">
        <f>IF(Comuni__2[[#This Row],[Popolazione2011]]&gt;300000,"MAGGIORE","")</f>
        <v/>
      </c>
    </row>
    <row r="6913" spans="1:8" x14ac:dyDescent="0.2">
      <c r="A6913"/>
      <c r="B6913"/>
      <c r="C6913"/>
      <c r="D6913"/>
      <c r="E6913" s="2">
        <f>Comuni__2[[#This Row],[Popolazione2011]]/$D$7911</f>
        <v>1.147197409518191E-4</v>
      </c>
      <c r="F6913">
        <f>SUMIFS($D$2:$D$7909, $B$2:$B$7909, "Trentino-Alto Adige/Südtirol")</f>
        <v>1026433</v>
      </c>
      <c r="G6913" s="1">
        <f>Comuni__2[[#This Row],[Popolazione2011]]/Comuni__2[[#This Row],[POPOLAZIONE TOTALE DI OGNI REGIONE (CON FILTRO)]]</f>
        <v>6.6414466409400325E-3</v>
      </c>
      <c r="H6913" t="str">
        <f>IF(Comuni__2[[#This Row],[Popolazione2011]]&gt;300000,"MAGGIORE","")</f>
        <v/>
      </c>
    </row>
    <row r="6914" spans="1:8" x14ac:dyDescent="0.2">
      <c r="A6914"/>
      <c r="B6914"/>
      <c r="C6914"/>
      <c r="D6914"/>
      <c r="E6914" s="2">
        <f>Comuni__2[[#This Row],[Popolazione2011]]/$D$7911</f>
        <v>1.139119739625735E-4</v>
      </c>
      <c r="F6914">
        <f>SUMIFS($D$2:$D$7909, $B$2:$B$7909, "Trentino-Alto Adige/Südtirol")</f>
        <v>1026433</v>
      </c>
      <c r="G6914" s="1">
        <f>Comuni__2[[#This Row],[Popolazione2011]]/Comuni__2[[#This Row],[POPOLAZIONE TOTALE DI OGNI REGIONE (CON FILTRO)]]</f>
        <v>6.5946827508468649E-3</v>
      </c>
      <c r="H6914" t="str">
        <f>IF(Comuni__2[[#This Row],[Popolazione2011]]&gt;300000,"MAGGIORE","")</f>
        <v/>
      </c>
    </row>
    <row r="6915" spans="1:8" x14ac:dyDescent="0.2">
      <c r="A6915"/>
      <c r="B6915"/>
      <c r="C6915"/>
      <c r="D6915"/>
      <c r="E6915" s="2">
        <f>Comuni__2[[#This Row],[Popolazione2011]]/$D$7911</f>
        <v>1.0975533966374713E-4</v>
      </c>
      <c r="F6915">
        <f>SUMIFS($D$2:$D$7909, $B$2:$B$7909, "Trentino-Alto Adige/Südtirol")</f>
        <v>1026433</v>
      </c>
      <c r="G6915" s="1">
        <f>Comuni__2[[#This Row],[Popolazione2011]]/Comuni__2[[#This Row],[POPOLAZIONE TOTALE DI OGNI REGIONE (CON FILTRO)]]</f>
        <v>6.3540435664091082E-3</v>
      </c>
      <c r="H6915" t="str">
        <f>IF(Comuni__2[[#This Row],[Popolazione2011]]&gt;300000,"MAGGIORE","")</f>
        <v/>
      </c>
    </row>
    <row r="6916" spans="1:8" x14ac:dyDescent="0.2">
      <c r="A6916"/>
      <c r="B6916"/>
      <c r="C6916"/>
      <c r="D6916"/>
      <c r="E6916" s="2">
        <f>Comuni__2[[#This Row],[Popolazione2011]]/$D$7911</f>
        <v>1.0869514549036227E-4</v>
      </c>
      <c r="F6916">
        <f>SUMIFS($D$2:$D$7909, $B$2:$B$7909, "Trentino-Alto Adige/Südtirol")</f>
        <v>1026433</v>
      </c>
      <c r="G6916" s="1">
        <f>Comuni__2[[#This Row],[Popolazione2011]]/Comuni__2[[#This Row],[POPOLAZIONE TOTALE DI OGNI REGIONE (CON FILTRO)]]</f>
        <v>6.2926659606618264E-3</v>
      </c>
      <c r="H6916" t="str">
        <f>IF(Comuni__2[[#This Row],[Popolazione2011]]&gt;300000,"MAGGIORE","")</f>
        <v/>
      </c>
    </row>
    <row r="6917" spans="1:8" x14ac:dyDescent="0.2">
      <c r="A6917"/>
      <c r="B6917"/>
      <c r="C6917"/>
      <c r="D6917"/>
      <c r="E6917" s="2">
        <f>Comuni__2[[#This Row],[Popolazione2011]]/$D$7911</f>
        <v>1.0753398044332171E-4</v>
      </c>
      <c r="F6917">
        <f>SUMIFS($D$2:$D$7909, $B$2:$B$7909, "Trentino-Alto Adige/Südtirol")</f>
        <v>1026433</v>
      </c>
      <c r="G6917" s="1">
        <f>Comuni__2[[#This Row],[Popolazione2011]]/Comuni__2[[#This Row],[POPOLAZIONE TOTALE DI OGNI REGIONE (CON FILTRO)]]</f>
        <v>6.2254428686528982E-3</v>
      </c>
      <c r="H6917" t="str">
        <f>IF(Comuni__2[[#This Row],[Popolazione2011]]&gt;300000,"MAGGIORE","")</f>
        <v/>
      </c>
    </row>
    <row r="6918" spans="1:8" x14ac:dyDescent="0.2">
      <c r="A6918"/>
      <c r="B6918"/>
      <c r="C6918"/>
      <c r="D6918"/>
      <c r="E6918" s="2">
        <f>Comuni__2[[#This Row],[Popolazione2011]]/$D$7911</f>
        <v>1.0007896427174244E-4</v>
      </c>
      <c r="F6918">
        <f>SUMIFS($D$2:$D$7909, $B$2:$B$7909, "Trentino-Alto Adige/Südtirol")</f>
        <v>1026433</v>
      </c>
      <c r="G6918" s="1">
        <f>Comuni__2[[#This Row],[Popolazione2011]]/Comuni__2[[#This Row],[POPOLAZIONE TOTALE DI OGNI REGIONE (CON FILTRO)]]</f>
        <v>5.7938511330013747E-3</v>
      </c>
      <c r="H6918" t="str">
        <f>IF(Comuni__2[[#This Row],[Popolazione2011]]&gt;300000,"MAGGIORE","")</f>
        <v/>
      </c>
    </row>
    <row r="6919" spans="1:8" x14ac:dyDescent="0.2">
      <c r="A6919"/>
      <c r="B6919"/>
      <c r="C6919"/>
      <c r="D6919"/>
      <c r="E6919" s="2">
        <f>Comuni__2[[#This Row],[Popolazione2011]]/$D$7911</f>
        <v>9.9456310550865613E-5</v>
      </c>
      <c r="F6919">
        <f>SUMIFS($D$2:$D$7909, $B$2:$B$7909, "Trentino-Alto Adige/Südtirol")</f>
        <v>1026433</v>
      </c>
      <c r="G6919" s="1">
        <f>Comuni__2[[#This Row],[Popolazione2011]]/Comuni__2[[#This Row],[POPOLAZIONE TOTALE DI OGNI REGIONE (CON FILTRO)]]</f>
        <v>5.7578039677212249E-3</v>
      </c>
      <c r="H6919" t="str">
        <f>IF(Comuni__2[[#This Row],[Popolazione2011]]&gt;300000,"MAGGIORE","")</f>
        <v/>
      </c>
    </row>
    <row r="6920" spans="1:8" x14ac:dyDescent="0.2">
      <c r="A6920"/>
      <c r="B6920"/>
      <c r="C6920"/>
      <c r="D6920"/>
      <c r="E6920" s="2">
        <f>Comuni__2[[#This Row],[Popolazione2011]]/$D$7911</f>
        <v>9.3465372047294015E-5</v>
      </c>
      <c r="F6920">
        <f>SUMIFS($D$2:$D$7909, $B$2:$B$7909, "Trentino-Alto Adige/Südtirol")</f>
        <v>1026433</v>
      </c>
      <c r="G6920" s="1">
        <f>Comuni__2[[#This Row],[Popolazione2011]]/Comuni__2[[#This Row],[POPOLAZIONE TOTALE DI OGNI REGIONE (CON FILTRO)]]</f>
        <v>5.410971782863567E-3</v>
      </c>
      <c r="H6920" t="str">
        <f>IF(Comuni__2[[#This Row],[Popolazione2011]]&gt;300000,"MAGGIORE","")</f>
        <v/>
      </c>
    </row>
    <row r="6921" spans="1:8" x14ac:dyDescent="0.2">
      <c r="A6921"/>
      <c r="B6921"/>
      <c r="C6921"/>
      <c r="D6921"/>
      <c r="E6921" s="2">
        <f>Comuni__2[[#This Row],[Popolazione2011]]/$D$7911</f>
        <v>9.1681553279376624E-5</v>
      </c>
      <c r="F6921">
        <f>SUMIFS($D$2:$D$7909, $B$2:$B$7909, "Trentino-Alto Adige/Südtirol")</f>
        <v>1026433</v>
      </c>
      <c r="G6921" s="1">
        <f>Comuni__2[[#This Row],[Popolazione2011]]/Comuni__2[[#This Row],[POPOLAZIONE TOTALE DI OGNI REGIONE (CON FILTRO)]]</f>
        <v>5.3077015255744899E-3</v>
      </c>
      <c r="H6921" t="str">
        <f>IF(Comuni__2[[#This Row],[Popolazione2011]]&gt;300000,"MAGGIORE","")</f>
        <v/>
      </c>
    </row>
    <row r="6922" spans="1:8" x14ac:dyDescent="0.2">
      <c r="A6922"/>
      <c r="B6922"/>
      <c r="C6922"/>
      <c r="D6922"/>
      <c r="E6922" s="2">
        <f>Comuni__2[[#This Row],[Popolazione2011]]/$D$7911</f>
        <v>9.097475716378672E-5</v>
      </c>
      <c r="F6922">
        <f>SUMIFS($D$2:$D$7909, $B$2:$B$7909, "Trentino-Alto Adige/Südtirol")</f>
        <v>1026433</v>
      </c>
      <c r="G6922" s="1">
        <f>Comuni__2[[#This Row],[Popolazione2011]]/Comuni__2[[#This Row],[POPOLAZIONE TOTALE DI OGNI REGIONE (CON FILTRO)]]</f>
        <v>5.2667831217429678E-3</v>
      </c>
      <c r="H6922" t="str">
        <f>IF(Comuni__2[[#This Row],[Popolazione2011]]&gt;300000,"MAGGIORE","")</f>
        <v/>
      </c>
    </row>
    <row r="6923" spans="1:8" x14ac:dyDescent="0.2">
      <c r="A6923"/>
      <c r="B6923"/>
      <c r="C6923"/>
      <c r="D6923"/>
      <c r="E6923" s="2">
        <f>Comuni__2[[#This Row],[Popolazione2011]]/$D$7911</f>
        <v>8.8719740985476064E-5</v>
      </c>
      <c r="F6923">
        <f>SUMIFS($D$2:$D$7909, $B$2:$B$7909, "Trentino-Alto Adige/Südtirol")</f>
        <v>1026433</v>
      </c>
      <c r="G6923" s="1">
        <f>Comuni__2[[#This Row],[Popolazione2011]]/Comuni__2[[#This Row],[POPOLAZIONE TOTALE DI OGNI REGIONE (CON FILTRO)]]</f>
        <v>5.1362339285662096E-3</v>
      </c>
      <c r="H6923" t="str">
        <f>IF(Comuni__2[[#This Row],[Popolazione2011]]&gt;300000,"MAGGIORE","")</f>
        <v/>
      </c>
    </row>
    <row r="6924" spans="1:8" x14ac:dyDescent="0.2">
      <c r="A6924"/>
      <c r="B6924"/>
      <c r="C6924"/>
      <c r="D6924"/>
      <c r="E6924" s="2">
        <f>Comuni__2[[#This Row],[Popolazione2011]]/$D$7911</f>
        <v>8.6851779822845593E-5</v>
      </c>
      <c r="F6924">
        <f>SUMIFS($D$2:$D$7909, $B$2:$B$7909, "Trentino-Alto Adige/Südtirol")</f>
        <v>1026433</v>
      </c>
      <c r="G6924" s="1">
        <f>Comuni__2[[#This Row],[Popolazione2011]]/Comuni__2[[#This Row],[POPOLAZIONE TOTALE DI OGNI REGIONE (CON FILTRO)]]</f>
        <v>5.0280924327257602E-3</v>
      </c>
      <c r="H6924" t="str">
        <f>IF(Comuni__2[[#This Row],[Popolazione2011]]&gt;300000,"MAGGIORE","")</f>
        <v/>
      </c>
    </row>
    <row r="6925" spans="1:8" x14ac:dyDescent="0.2">
      <c r="A6925"/>
      <c r="B6925"/>
      <c r="C6925"/>
      <c r="D6925"/>
      <c r="E6925" s="2">
        <f>Comuni__2[[#This Row],[Popolazione2011]]/$D$7911</f>
        <v>8.6565695680821105E-5</v>
      </c>
      <c r="F6925">
        <f>SUMIFS($D$2:$D$7909, $B$2:$B$7909, "Trentino-Alto Adige/Südtirol")</f>
        <v>1026433</v>
      </c>
      <c r="G6925" s="1">
        <f>Comuni__2[[#This Row],[Popolazione2011]]/Comuni__2[[#This Row],[POPOLAZIONE TOTALE DI OGNI REGIONE (CON FILTRO)]]</f>
        <v>5.0115302216510969E-3</v>
      </c>
      <c r="H6925" t="str">
        <f>IF(Comuni__2[[#This Row],[Popolazione2011]]&gt;300000,"MAGGIORE","")</f>
        <v/>
      </c>
    </row>
    <row r="6926" spans="1:8" x14ac:dyDescent="0.2">
      <c r="A6926"/>
      <c r="B6926"/>
      <c r="C6926"/>
      <c r="D6926"/>
      <c r="E6926" s="2">
        <f>Comuni__2[[#This Row],[Popolazione2011]]/$D$7911</f>
        <v>8.6262783059854001E-5</v>
      </c>
      <c r="F6926">
        <f>SUMIFS($D$2:$D$7909, $B$2:$B$7909, "Trentino-Alto Adige/Südtirol")</f>
        <v>1026433</v>
      </c>
      <c r="G6926" s="1">
        <f>Comuni__2[[#This Row],[Popolazione2011]]/Comuni__2[[#This Row],[POPOLAZIONE TOTALE DI OGNI REGIONE (CON FILTRO)]]</f>
        <v>4.9939937628661587E-3</v>
      </c>
      <c r="H6926" t="str">
        <f>IF(Comuni__2[[#This Row],[Popolazione2011]]&gt;300000,"MAGGIORE","")</f>
        <v/>
      </c>
    </row>
    <row r="6927" spans="1:8" x14ac:dyDescent="0.2">
      <c r="A6927"/>
      <c r="B6927"/>
      <c r="C6927"/>
      <c r="D6927"/>
      <c r="E6927" s="2">
        <f>Comuni__2[[#This Row],[Popolazione2011]]/$D$7911</f>
        <v>8.5589643902149329E-5</v>
      </c>
      <c r="F6927">
        <f>SUMIFS($D$2:$D$7909, $B$2:$B$7909, "Trentino-Alto Adige/Südtirol")</f>
        <v>1026433</v>
      </c>
      <c r="G6927" s="1">
        <f>Comuni__2[[#This Row],[Popolazione2011]]/Comuni__2[[#This Row],[POPOLAZIONE TOTALE DI OGNI REGIONE (CON FILTRO)]]</f>
        <v>4.9550238544551857E-3</v>
      </c>
      <c r="H6927" t="str">
        <f>IF(Comuni__2[[#This Row],[Popolazione2011]]&gt;300000,"MAGGIORE","")</f>
        <v/>
      </c>
    </row>
    <row r="6928" spans="1:8" x14ac:dyDescent="0.2">
      <c r="A6928"/>
      <c r="B6928"/>
      <c r="C6928"/>
      <c r="D6928"/>
      <c r="E6928" s="2">
        <f>Comuni__2[[#This Row],[Popolazione2011]]/$D$7911</f>
        <v>8.4007766881543346E-5</v>
      </c>
      <c r="F6928">
        <f>SUMIFS($D$2:$D$7909, $B$2:$B$7909, "Trentino-Alto Adige/Südtirol")</f>
        <v>1026433</v>
      </c>
      <c r="G6928" s="1">
        <f>Comuni__2[[#This Row],[Popolazione2011]]/Comuni__2[[#This Row],[POPOLAZIONE TOTALE DI OGNI REGIONE (CON FILTRO)]]</f>
        <v>4.8634445696894004E-3</v>
      </c>
      <c r="H6928" t="str">
        <f>IF(Comuni__2[[#This Row],[Popolazione2011]]&gt;300000,"MAGGIORE","")</f>
        <v/>
      </c>
    </row>
    <row r="6929" spans="1:8" x14ac:dyDescent="0.2">
      <c r="A6929"/>
      <c r="B6929"/>
      <c r="C6929"/>
      <c r="D6929"/>
      <c r="E6929" s="2">
        <f>Comuni__2[[#This Row],[Popolazione2011]]/$D$7911</f>
        <v>8.2930744229215859E-5</v>
      </c>
      <c r="F6929">
        <f>SUMIFS($D$2:$D$7909, $B$2:$B$7909, "Trentino-Alto Adige/Südtirol")</f>
        <v>1026433</v>
      </c>
      <c r="G6929" s="1">
        <f>Comuni__2[[#This Row],[Popolazione2011]]/Comuni__2[[#This Row],[POPOLAZIONE TOTALE DI OGNI REGIONE (CON FILTRO)]]</f>
        <v>4.8010927162318437E-3</v>
      </c>
      <c r="H6929" t="str">
        <f>IF(Comuni__2[[#This Row],[Popolazione2011]]&gt;300000,"MAGGIORE","")</f>
        <v/>
      </c>
    </row>
    <row r="6930" spans="1:8" x14ac:dyDescent="0.2">
      <c r="A6930"/>
      <c r="B6930"/>
      <c r="C6930"/>
      <c r="D6930"/>
      <c r="E6930" s="2">
        <f>Comuni__2[[#This Row],[Popolazione2011]]/$D$7911</f>
        <v>8.2493203776707827E-5</v>
      </c>
      <c r="F6930">
        <f>SUMIFS($D$2:$D$7909, $B$2:$B$7909, "Trentino-Alto Adige/Südtirol")</f>
        <v>1026433</v>
      </c>
      <c r="G6930" s="1">
        <f>Comuni__2[[#This Row],[Popolazione2011]]/Comuni__2[[#This Row],[POPOLAZIONE TOTALE DI OGNI REGIONE (CON FILTRO)]]</f>
        <v>4.7757622757647116E-3</v>
      </c>
      <c r="H6930" t="str">
        <f>IF(Comuni__2[[#This Row],[Popolazione2011]]&gt;300000,"MAGGIORE","")</f>
        <v/>
      </c>
    </row>
    <row r="6931" spans="1:8" x14ac:dyDescent="0.2">
      <c r="A6931"/>
      <c r="B6931"/>
      <c r="C6931"/>
      <c r="D6931"/>
      <c r="E6931" s="2">
        <f>Comuni__2[[#This Row],[Popolazione2011]]/$D$7911</f>
        <v>8.2005177887371932E-5</v>
      </c>
      <c r="F6931">
        <f>SUMIFS($D$2:$D$7909, $B$2:$B$7909, "Trentino-Alto Adige/Südtirol")</f>
        <v>1026433</v>
      </c>
      <c r="G6931" s="1">
        <f>Comuni__2[[#This Row],[Popolazione2011]]/Comuni__2[[#This Row],[POPOLAZIONE TOTALE DI OGNI REGIONE (CON FILTRO)]]</f>
        <v>4.7475090921667564E-3</v>
      </c>
      <c r="H6931" t="str">
        <f>IF(Comuni__2[[#This Row],[Popolazione2011]]&gt;300000,"MAGGIORE","")</f>
        <v/>
      </c>
    </row>
    <row r="6932" spans="1:8" x14ac:dyDescent="0.2">
      <c r="A6932"/>
      <c r="B6932"/>
      <c r="C6932"/>
      <c r="D6932"/>
      <c r="E6932" s="2">
        <f>Comuni__2[[#This Row],[Popolazione2011]]/$D$7911</f>
        <v>8.0810355882446146E-5</v>
      </c>
      <c r="F6932">
        <f>SUMIFS($D$2:$D$7909, $B$2:$B$7909, "Trentino-Alto Adige/Südtirol")</f>
        <v>1026433</v>
      </c>
      <c r="G6932" s="1">
        <f>Comuni__2[[#This Row],[Popolazione2011]]/Comuni__2[[#This Row],[POPOLAZIONE TOTALE DI OGNI REGIONE (CON FILTRO)]]</f>
        <v>4.6783375047372792E-3</v>
      </c>
      <c r="H6932" t="str">
        <f>IF(Comuni__2[[#This Row],[Popolazione2011]]&gt;300000,"MAGGIORE","")</f>
        <v/>
      </c>
    </row>
    <row r="6933" spans="1:8" x14ac:dyDescent="0.2">
      <c r="A6933"/>
      <c r="B6933"/>
      <c r="C6933"/>
      <c r="D6933"/>
      <c r="E6933" s="2">
        <f>Comuni__2[[#This Row],[Popolazione2011]]/$D$7911</f>
        <v>8.0743041966675668E-5</v>
      </c>
      <c r="F6933">
        <f>SUMIFS($D$2:$D$7909, $B$2:$B$7909, "Trentino-Alto Adige/Südtirol")</f>
        <v>1026433</v>
      </c>
      <c r="G6933" s="1">
        <f>Comuni__2[[#This Row],[Popolazione2011]]/Comuni__2[[#This Row],[POPOLAZIONE TOTALE DI OGNI REGIONE (CON FILTRO)]]</f>
        <v>4.6744405138961819E-3</v>
      </c>
      <c r="H6933" t="str">
        <f>IF(Comuni__2[[#This Row],[Popolazione2011]]&gt;300000,"MAGGIORE","")</f>
        <v/>
      </c>
    </row>
    <row r="6934" spans="1:8" x14ac:dyDescent="0.2">
      <c r="A6934"/>
      <c r="B6934"/>
      <c r="C6934"/>
      <c r="D6934"/>
      <c r="E6934" s="2">
        <f>Comuni__2[[#This Row],[Popolazione2011]]/$D$7911</f>
        <v>7.8336569477881467E-5</v>
      </c>
      <c r="F6934">
        <f>SUMIFS($D$2:$D$7909, $B$2:$B$7909, "Trentino-Alto Adige/Südtirol")</f>
        <v>1026433</v>
      </c>
      <c r="G6934" s="1">
        <f>Comuni__2[[#This Row],[Popolazione2011]]/Comuni__2[[#This Row],[POPOLAZIONE TOTALE DI OGNI REGIONE (CON FILTRO)]]</f>
        <v>4.535123091326955E-3</v>
      </c>
      <c r="H6934" t="str">
        <f>IF(Comuni__2[[#This Row],[Popolazione2011]]&gt;300000,"MAGGIORE","")</f>
        <v/>
      </c>
    </row>
    <row r="6935" spans="1:8" x14ac:dyDescent="0.2">
      <c r="A6935"/>
      <c r="B6935"/>
      <c r="C6935"/>
      <c r="D6935"/>
      <c r="E6935" s="2">
        <f>Comuni__2[[#This Row],[Popolazione2011]]/$D$7911</f>
        <v>7.8302912519996235E-5</v>
      </c>
      <c r="F6935">
        <f>SUMIFS($D$2:$D$7909, $B$2:$B$7909, "Trentino-Alto Adige/Südtirol")</f>
        <v>1026433</v>
      </c>
      <c r="G6935" s="1">
        <f>Comuni__2[[#This Row],[Popolazione2011]]/Comuni__2[[#This Row],[POPOLAZIONE TOTALE DI OGNI REGIONE (CON FILTRO)]]</f>
        <v>4.5331745959064059E-3</v>
      </c>
      <c r="H6935" t="str">
        <f>IF(Comuni__2[[#This Row],[Popolazione2011]]&gt;300000,"MAGGIORE","")</f>
        <v/>
      </c>
    </row>
    <row r="6936" spans="1:8" x14ac:dyDescent="0.2">
      <c r="A6936"/>
      <c r="B6936"/>
      <c r="C6936"/>
      <c r="D6936"/>
      <c r="E6936" s="2">
        <f>Comuni__2[[#This Row],[Popolazione2011]]/$D$7911</f>
        <v>7.6838834851988564E-5</v>
      </c>
      <c r="F6936">
        <f>SUMIFS($D$2:$D$7909, $B$2:$B$7909, "Trentino-Alto Adige/Südtirol")</f>
        <v>1026433</v>
      </c>
      <c r="G6936" s="1">
        <f>Comuni__2[[#This Row],[Popolazione2011]]/Comuni__2[[#This Row],[POPOLAZIONE TOTALE DI OGNI REGIONE (CON FILTRO)]]</f>
        <v>4.4484150451125403E-3</v>
      </c>
      <c r="H6936" t="str">
        <f>IF(Comuni__2[[#This Row],[Popolazione2011]]&gt;300000,"MAGGIORE","")</f>
        <v/>
      </c>
    </row>
    <row r="6937" spans="1:8" x14ac:dyDescent="0.2">
      <c r="A6937"/>
      <c r="B6937"/>
      <c r="C6937"/>
      <c r="D6937"/>
      <c r="E6937" s="2">
        <f>Comuni__2[[#This Row],[Popolazione2011]]/$D$7911</f>
        <v>7.6249838088996973E-5</v>
      </c>
      <c r="F6937">
        <f>SUMIFS($D$2:$D$7909, $B$2:$B$7909, "Trentino-Alto Adige/Südtirol")</f>
        <v>1026433</v>
      </c>
      <c r="G6937" s="1">
        <f>Comuni__2[[#This Row],[Popolazione2011]]/Comuni__2[[#This Row],[POPOLAZIONE TOTALE DI OGNI REGIONE (CON FILTRO)]]</f>
        <v>4.4143163752529387E-3</v>
      </c>
      <c r="H6937" t="str">
        <f>IF(Comuni__2[[#This Row],[Popolazione2011]]&gt;300000,"MAGGIORE","")</f>
        <v/>
      </c>
    </row>
    <row r="6938" spans="1:8" x14ac:dyDescent="0.2">
      <c r="A6938"/>
      <c r="B6938"/>
      <c r="C6938"/>
      <c r="D6938"/>
      <c r="E6938" s="2">
        <f>Comuni__2[[#This Row],[Popolazione2011]]/$D$7911</f>
        <v>7.3860194079145374E-5</v>
      </c>
      <c r="F6938">
        <f>SUMIFS($D$2:$D$7909, $B$2:$B$7909, "Trentino-Alto Adige/Südtirol")</f>
        <v>1026433</v>
      </c>
      <c r="G6938" s="1">
        <f>Comuni__2[[#This Row],[Popolazione2011]]/Comuni__2[[#This Row],[POPOLAZIONE TOTALE DI OGNI REGIONE (CON FILTRO)]]</f>
        <v>4.2759732003939859E-3</v>
      </c>
      <c r="H6938" t="str">
        <f>IF(Comuni__2[[#This Row],[Popolazione2011]]&gt;300000,"MAGGIORE","")</f>
        <v/>
      </c>
    </row>
    <row r="6939" spans="1:8" x14ac:dyDescent="0.2">
      <c r="A6939"/>
      <c r="B6939"/>
      <c r="C6939"/>
      <c r="D6939"/>
      <c r="E6939" s="2">
        <f>Comuni__2[[#This Row],[Popolazione2011]]/$D$7911</f>
        <v>7.1571520942949487E-5</v>
      </c>
      <c r="F6939">
        <f>SUMIFS($D$2:$D$7909, $B$2:$B$7909, "Trentino-Alto Adige/Südtirol")</f>
        <v>1026433</v>
      </c>
      <c r="G6939" s="1">
        <f>Comuni__2[[#This Row],[Popolazione2011]]/Comuni__2[[#This Row],[POPOLAZIONE TOTALE DI OGNI REGIONE (CON FILTRO)]]</f>
        <v>4.1434755117966786E-3</v>
      </c>
      <c r="H6939" t="str">
        <f>IF(Comuni__2[[#This Row],[Popolazione2011]]&gt;300000,"MAGGIORE","")</f>
        <v/>
      </c>
    </row>
    <row r="6940" spans="1:8" x14ac:dyDescent="0.2">
      <c r="A6940"/>
      <c r="B6940"/>
      <c r="C6940"/>
      <c r="D6940"/>
      <c r="E6940" s="2">
        <f>Comuni__2[[#This Row],[Popolazione2011]]/$D$7911</f>
        <v>6.9653074343491167E-5</v>
      </c>
      <c r="F6940">
        <f>SUMIFS($D$2:$D$7909, $B$2:$B$7909, "Trentino-Alto Adige/Südtirol")</f>
        <v>1026433</v>
      </c>
      <c r="G6940" s="1">
        <f>Comuni__2[[#This Row],[Popolazione2011]]/Comuni__2[[#This Row],[POPOLAZIONE TOTALE DI OGNI REGIONE (CON FILTRO)]]</f>
        <v>4.032411272825406E-3</v>
      </c>
      <c r="H6940" t="str">
        <f>IF(Comuni__2[[#This Row],[Popolazione2011]]&gt;300000,"MAGGIORE","")</f>
        <v/>
      </c>
    </row>
    <row r="6941" spans="1:8" x14ac:dyDescent="0.2">
      <c r="A6941"/>
      <c r="B6941"/>
      <c r="C6941"/>
      <c r="D6941"/>
      <c r="E6941" s="2">
        <f>Comuni__2[[#This Row],[Popolazione2011]]/$D$7911</f>
        <v>6.9249190848868366E-5</v>
      </c>
      <c r="F6941">
        <f>SUMIFS($D$2:$D$7909, $B$2:$B$7909, "Trentino-Alto Adige/Südtirol")</f>
        <v>1026433</v>
      </c>
      <c r="G6941" s="1">
        <f>Comuni__2[[#This Row],[Popolazione2011]]/Comuni__2[[#This Row],[POPOLAZIONE TOTALE DI OGNI REGIONE (CON FILTRO)]]</f>
        <v>4.0090293277788222E-3</v>
      </c>
      <c r="H6941" t="str">
        <f>IF(Comuni__2[[#This Row],[Popolazione2011]]&gt;300000,"MAGGIORE","")</f>
        <v/>
      </c>
    </row>
    <row r="6942" spans="1:8" x14ac:dyDescent="0.2">
      <c r="A6942"/>
      <c r="B6942"/>
      <c r="C6942"/>
      <c r="D6942"/>
      <c r="E6942" s="2">
        <f>Comuni__2[[#This Row],[Popolazione2011]]/$D$7911</f>
        <v>6.6522977260164432E-5</v>
      </c>
      <c r="F6942">
        <f>SUMIFS($D$2:$D$7909, $B$2:$B$7909, "Trentino-Alto Adige/Südtirol")</f>
        <v>1026433</v>
      </c>
      <c r="G6942" s="1">
        <f>Comuni__2[[#This Row],[Popolazione2011]]/Comuni__2[[#This Row],[POPOLAZIONE TOTALE DI OGNI REGIONE (CON FILTRO)]]</f>
        <v>3.8512011987143829E-3</v>
      </c>
      <c r="H6942" t="str">
        <f>IF(Comuni__2[[#This Row],[Popolazione2011]]&gt;300000,"MAGGIORE","")</f>
        <v/>
      </c>
    </row>
    <row r="6943" spans="1:8" x14ac:dyDescent="0.2">
      <c r="A6943"/>
      <c r="B6943"/>
      <c r="C6943"/>
      <c r="D6943"/>
      <c r="E6943" s="2">
        <f>Comuni__2[[#This Row],[Popolazione2011]]/$D$7911</f>
        <v>6.616957920236948E-5</v>
      </c>
      <c r="F6943">
        <f>SUMIFS($D$2:$D$7909, $B$2:$B$7909, "Trentino-Alto Adige/Südtirol")</f>
        <v>1026433</v>
      </c>
      <c r="G6943" s="1">
        <f>Comuni__2[[#This Row],[Popolazione2011]]/Comuni__2[[#This Row],[POPOLAZIONE TOTALE DI OGNI REGIONE (CON FILTRO)]]</f>
        <v>3.8307419967986219E-3</v>
      </c>
      <c r="H6943" t="str">
        <f>IF(Comuni__2[[#This Row],[Popolazione2011]]&gt;300000,"MAGGIORE","")</f>
        <v/>
      </c>
    </row>
    <row r="6944" spans="1:8" x14ac:dyDescent="0.2">
      <c r="A6944"/>
      <c r="B6944"/>
      <c r="C6944"/>
      <c r="D6944"/>
      <c r="E6944" s="2">
        <f>Comuni__2[[#This Row],[Popolazione2011]]/$D$7911</f>
        <v>6.5698381791976201E-5</v>
      </c>
      <c r="F6944">
        <f>SUMIFS($D$2:$D$7909, $B$2:$B$7909, "Trentino-Alto Adige/Südtirol")</f>
        <v>1026433</v>
      </c>
      <c r="G6944" s="1">
        <f>Comuni__2[[#This Row],[Popolazione2011]]/Comuni__2[[#This Row],[POPOLAZIONE TOTALE DI OGNI REGIONE (CON FILTRO)]]</f>
        <v>3.8034630609109412E-3</v>
      </c>
      <c r="H6944" t="str">
        <f>IF(Comuni__2[[#This Row],[Popolazione2011]]&gt;300000,"MAGGIORE","")</f>
        <v/>
      </c>
    </row>
    <row r="6945" spans="1:8" x14ac:dyDescent="0.2">
      <c r="A6945"/>
      <c r="B6945"/>
      <c r="C6945"/>
      <c r="D6945"/>
      <c r="E6945" s="2">
        <f>Comuni__2[[#This Row],[Popolazione2011]]/$D$7911</f>
        <v>6.5597410918320504E-5</v>
      </c>
      <c r="F6945">
        <f>SUMIFS($D$2:$D$7909, $B$2:$B$7909, "Trentino-Alto Adige/Südtirol")</f>
        <v>1026433</v>
      </c>
      <c r="G6945" s="1">
        <f>Comuni__2[[#This Row],[Popolazione2011]]/Comuni__2[[#This Row],[POPOLAZIONE TOTALE DI OGNI REGIONE (CON FILTRO)]]</f>
        <v>3.7976175746492953E-3</v>
      </c>
      <c r="H6945" t="str">
        <f>IF(Comuni__2[[#This Row],[Popolazione2011]]&gt;300000,"MAGGIORE","")</f>
        <v/>
      </c>
    </row>
    <row r="6946" spans="1:8" x14ac:dyDescent="0.2">
      <c r="A6946"/>
      <c r="B6946"/>
      <c r="C6946"/>
      <c r="D6946"/>
      <c r="E6946" s="2">
        <f>Comuni__2[[#This Row],[Popolazione2011]]/$D$7911</f>
        <v>6.5328155255238633E-5</v>
      </c>
      <c r="F6946">
        <f>SUMIFS($D$2:$D$7909, $B$2:$B$7909, "Trentino-Alto Adige/Südtirol")</f>
        <v>1026433</v>
      </c>
      <c r="G6946" s="1">
        <f>Comuni__2[[#This Row],[Popolazione2011]]/Comuni__2[[#This Row],[POPOLAZIONE TOTALE DI OGNI REGIONE (CON FILTRO)]]</f>
        <v>3.7820296112849061E-3</v>
      </c>
      <c r="H6946" t="str">
        <f>IF(Comuni__2[[#This Row],[Popolazione2011]]&gt;300000,"MAGGIORE","")</f>
        <v/>
      </c>
    </row>
    <row r="6947" spans="1:8" x14ac:dyDescent="0.2">
      <c r="A6947"/>
      <c r="B6947"/>
      <c r="C6947"/>
      <c r="D6947"/>
      <c r="E6947" s="2">
        <f>Comuni__2[[#This Row],[Popolazione2011]]/$D$7911</f>
        <v>6.3392880176837697E-5</v>
      </c>
      <c r="F6947">
        <f>SUMIFS($D$2:$D$7909, $B$2:$B$7909, "Trentino-Alto Adige/Südtirol")</f>
        <v>1026433</v>
      </c>
      <c r="G6947" s="1">
        <f>Comuni__2[[#This Row],[Popolazione2011]]/Comuni__2[[#This Row],[POPOLAZIONE TOTALE DI OGNI REGIONE (CON FILTRO)]]</f>
        <v>3.6699911246033594E-3</v>
      </c>
      <c r="H6947" t="str">
        <f>IF(Comuni__2[[#This Row],[Popolazione2011]]&gt;300000,"MAGGIORE","")</f>
        <v/>
      </c>
    </row>
    <row r="6948" spans="1:8" x14ac:dyDescent="0.2">
      <c r="A6948"/>
      <c r="B6948"/>
      <c r="C6948"/>
      <c r="D6948"/>
      <c r="E6948" s="2">
        <f>Comuni__2[[#This Row],[Popolazione2011]]/$D$7911</f>
        <v>6.2130744256141433E-5</v>
      </c>
      <c r="F6948">
        <f>SUMIFS($D$2:$D$7909, $B$2:$B$7909, "Trentino-Alto Adige/Südtirol")</f>
        <v>1026433</v>
      </c>
      <c r="G6948" s="1">
        <f>Comuni__2[[#This Row],[Popolazione2011]]/Comuni__2[[#This Row],[POPOLAZIONE TOTALE DI OGNI REGIONE (CON FILTRO)]]</f>
        <v>3.5969225463327857E-3</v>
      </c>
      <c r="H6948" t="str">
        <f>IF(Comuni__2[[#This Row],[Popolazione2011]]&gt;300000,"MAGGIORE","")</f>
        <v/>
      </c>
    </row>
    <row r="6949" spans="1:8" x14ac:dyDescent="0.2">
      <c r="A6949"/>
      <c r="B6949"/>
      <c r="C6949"/>
      <c r="D6949"/>
      <c r="E6949" s="2">
        <f>Comuni__2[[#This Row],[Popolazione2011]]/$D$7911</f>
        <v>6.0717152024961618E-5</v>
      </c>
      <c r="F6949">
        <f>SUMIFS($D$2:$D$7909, $B$2:$B$7909, "Trentino-Alto Adige/Südtirol")</f>
        <v>1026433</v>
      </c>
      <c r="G6949" s="1">
        <f>Comuni__2[[#This Row],[Popolazione2011]]/Comuni__2[[#This Row],[POPOLAZIONE TOTALE DI OGNI REGIONE (CON FILTRO)]]</f>
        <v>3.5150857386697428E-3</v>
      </c>
      <c r="H6949" t="str">
        <f>IF(Comuni__2[[#This Row],[Popolazione2011]]&gt;300000,"MAGGIORE","")</f>
        <v/>
      </c>
    </row>
    <row r="6950" spans="1:8" x14ac:dyDescent="0.2">
      <c r="A6950"/>
      <c r="B6950"/>
      <c r="C6950"/>
      <c r="D6950"/>
      <c r="E6950" s="2">
        <f>Comuni__2[[#This Row],[Popolazione2011]]/$D$7911</f>
        <v>5.9808414162060306E-5</v>
      </c>
      <c r="F6950">
        <f>SUMIFS($D$2:$D$7909, $B$2:$B$7909, "Trentino-Alto Adige/Südtirol")</f>
        <v>1026433</v>
      </c>
      <c r="G6950" s="1">
        <f>Comuni__2[[#This Row],[Popolazione2011]]/Comuni__2[[#This Row],[POPOLAZIONE TOTALE DI OGNI REGIONE (CON FILTRO)]]</f>
        <v>3.4624763623149293E-3</v>
      </c>
      <c r="H6950" t="str">
        <f>IF(Comuni__2[[#This Row],[Popolazione2011]]&gt;300000,"MAGGIORE","")</f>
        <v/>
      </c>
    </row>
    <row r="6951" spans="1:8" x14ac:dyDescent="0.2">
      <c r="A6951"/>
      <c r="B6951"/>
      <c r="C6951"/>
      <c r="D6951"/>
      <c r="E6951" s="2">
        <f>Comuni__2[[#This Row],[Popolazione2011]]/$D$7911</f>
        <v>5.9505501541093203E-5</v>
      </c>
      <c r="F6951">
        <f>SUMIFS($D$2:$D$7909, $B$2:$B$7909, "Trentino-Alto Adige/Südtirol")</f>
        <v>1026433</v>
      </c>
      <c r="G6951" s="1">
        <f>Comuni__2[[#This Row],[Popolazione2011]]/Comuni__2[[#This Row],[POPOLAZIONE TOTALE DI OGNI REGIONE (CON FILTRO)]]</f>
        <v>3.4449399035299919E-3</v>
      </c>
      <c r="H6951" t="str">
        <f>IF(Comuni__2[[#This Row],[Popolazione2011]]&gt;300000,"MAGGIORE","")</f>
        <v/>
      </c>
    </row>
    <row r="6952" spans="1:8" x14ac:dyDescent="0.2">
      <c r="A6952"/>
      <c r="B6952"/>
      <c r="C6952"/>
      <c r="D6952"/>
      <c r="E6952" s="2">
        <f>Comuni__2[[#This Row],[Popolazione2011]]/$D$7911</f>
        <v>5.9455016104265354E-5</v>
      </c>
      <c r="F6952">
        <f>SUMIFS($D$2:$D$7909, $B$2:$B$7909, "Trentino-Alto Adige/Südtirol")</f>
        <v>1026433</v>
      </c>
      <c r="G6952" s="1">
        <f>Comuni__2[[#This Row],[Popolazione2011]]/Comuni__2[[#This Row],[POPOLAZIONE TOTALE DI OGNI REGIONE (CON FILTRO)]]</f>
        <v>3.4420171603991687E-3</v>
      </c>
      <c r="H6952" t="str">
        <f>IF(Comuni__2[[#This Row],[Popolazione2011]]&gt;300000,"MAGGIORE","")</f>
        <v/>
      </c>
    </row>
    <row r="6953" spans="1:8" x14ac:dyDescent="0.2">
      <c r="A6953"/>
      <c r="B6953"/>
      <c r="C6953"/>
      <c r="D6953"/>
      <c r="E6953" s="2">
        <f>Comuni__2[[#This Row],[Popolazione2011]]/$D$7911</f>
        <v>5.9034304130699931E-5</v>
      </c>
      <c r="F6953">
        <f>SUMIFS($D$2:$D$7909, $B$2:$B$7909, "Trentino-Alto Adige/Südtirol")</f>
        <v>1026433</v>
      </c>
      <c r="G6953" s="1">
        <f>Comuni__2[[#This Row],[Popolazione2011]]/Comuni__2[[#This Row],[POPOLAZIONE TOTALE DI OGNI REGIONE (CON FILTRO)]]</f>
        <v>3.4176609676423108E-3</v>
      </c>
      <c r="H6953" t="str">
        <f>IF(Comuni__2[[#This Row],[Popolazione2011]]&gt;300000,"MAGGIORE","")</f>
        <v/>
      </c>
    </row>
    <row r="6954" spans="1:8" x14ac:dyDescent="0.2">
      <c r="A6954"/>
      <c r="B6954"/>
      <c r="C6954"/>
      <c r="D6954"/>
      <c r="E6954" s="2">
        <f>Comuni__2[[#This Row],[Popolazione2011]]/$D$7911</f>
        <v>5.8075080830970771E-5</v>
      </c>
      <c r="F6954">
        <f>SUMIFS($D$2:$D$7909, $B$2:$B$7909, "Trentino-Alto Adige/Südtirol")</f>
        <v>1026433</v>
      </c>
      <c r="G6954" s="1">
        <f>Comuni__2[[#This Row],[Popolazione2011]]/Comuni__2[[#This Row],[POPOLAZIONE TOTALE DI OGNI REGIONE (CON FILTRO)]]</f>
        <v>3.3621288481566745E-3</v>
      </c>
      <c r="H6954" t="str">
        <f>IF(Comuni__2[[#This Row],[Popolazione2011]]&gt;300000,"MAGGIORE","")</f>
        <v/>
      </c>
    </row>
    <row r="6955" spans="1:8" x14ac:dyDescent="0.2">
      <c r="A6955"/>
      <c r="B6955"/>
      <c r="C6955"/>
      <c r="D6955"/>
      <c r="E6955" s="2">
        <f>Comuni__2[[#This Row],[Popolazione2011]]/$D$7911</f>
        <v>5.6897087304987588E-5</v>
      </c>
      <c r="F6955">
        <f>SUMIFS($D$2:$D$7909, $B$2:$B$7909, "Trentino-Alto Adige/Südtirol")</f>
        <v>1026433</v>
      </c>
      <c r="G6955" s="1">
        <f>Comuni__2[[#This Row],[Popolazione2011]]/Comuni__2[[#This Row],[POPOLAZIONE TOTALE DI OGNI REGIONE (CON FILTRO)]]</f>
        <v>3.2939315084374722E-3</v>
      </c>
      <c r="H6955" t="str">
        <f>IF(Comuni__2[[#This Row],[Popolazione2011]]&gt;300000,"MAGGIORE","")</f>
        <v/>
      </c>
    </row>
    <row r="6956" spans="1:8" x14ac:dyDescent="0.2">
      <c r="A6956"/>
      <c r="B6956"/>
      <c r="C6956"/>
      <c r="D6956"/>
      <c r="E6956" s="2">
        <f>Comuni__2[[#This Row],[Popolazione2011]]/$D$7911</f>
        <v>5.6543689247192636E-5</v>
      </c>
      <c r="F6956">
        <f>SUMIFS($D$2:$D$7909, $B$2:$B$7909, "Trentino-Alto Adige/Südtirol")</f>
        <v>1026433</v>
      </c>
      <c r="G6956" s="1">
        <f>Comuni__2[[#This Row],[Popolazione2011]]/Comuni__2[[#This Row],[POPOLAZIONE TOTALE DI OGNI REGIONE (CON FILTRO)]]</f>
        <v>3.2734723065217116E-3</v>
      </c>
      <c r="H6956" t="str">
        <f>IF(Comuni__2[[#This Row],[Popolazione2011]]&gt;300000,"MAGGIORE","")</f>
        <v/>
      </c>
    </row>
    <row r="6957" spans="1:8" x14ac:dyDescent="0.2">
      <c r="A6957"/>
      <c r="B6957"/>
      <c r="C6957"/>
      <c r="D6957"/>
      <c r="E6957" s="2">
        <f>Comuni__2[[#This Row],[Popolazione2011]]/$D$7911</f>
        <v>5.6476375331422171E-5</v>
      </c>
      <c r="F6957">
        <f>SUMIFS($D$2:$D$7909, $B$2:$B$7909, "Trentino-Alto Adige/Südtirol")</f>
        <v>1026433</v>
      </c>
      <c r="G6957" s="1">
        <f>Comuni__2[[#This Row],[Popolazione2011]]/Comuni__2[[#This Row],[POPOLAZIONE TOTALE DI OGNI REGIONE (CON FILTRO)]]</f>
        <v>3.2695753156806143E-3</v>
      </c>
      <c r="H6957" t="str">
        <f>IF(Comuni__2[[#This Row],[Popolazione2011]]&gt;300000,"MAGGIORE","")</f>
        <v/>
      </c>
    </row>
    <row r="6958" spans="1:8" x14ac:dyDescent="0.2">
      <c r="A6958"/>
      <c r="B6958"/>
      <c r="C6958"/>
      <c r="D6958"/>
      <c r="E6958" s="2">
        <f>Comuni__2[[#This Row],[Popolazione2011]]/$D$7911</f>
        <v>5.629126206305338E-5</v>
      </c>
      <c r="F6958">
        <f>SUMIFS($D$2:$D$7909, $B$2:$B$7909, "Trentino-Alto Adige/Südtirol")</f>
        <v>1026433</v>
      </c>
      <c r="G6958" s="1">
        <f>Comuni__2[[#This Row],[Popolazione2011]]/Comuni__2[[#This Row],[POPOLAZIONE TOTALE DI OGNI REGIONE (CON FILTRO)]]</f>
        <v>3.2588585908675969E-3</v>
      </c>
      <c r="H6958" t="str">
        <f>IF(Comuni__2[[#This Row],[Popolazione2011]]&gt;300000,"MAGGIORE","")</f>
        <v/>
      </c>
    </row>
    <row r="6959" spans="1:8" x14ac:dyDescent="0.2">
      <c r="A6959"/>
      <c r="B6959"/>
      <c r="C6959"/>
      <c r="D6959"/>
      <c r="E6959" s="2">
        <f>Comuni__2[[#This Row],[Popolazione2011]]/$D$7911</f>
        <v>5.62071196683403E-5</v>
      </c>
      <c r="F6959">
        <f>SUMIFS($D$2:$D$7909, $B$2:$B$7909, "Trentino-Alto Adige/Südtirol")</f>
        <v>1026433</v>
      </c>
      <c r="G6959" s="1">
        <f>Comuni__2[[#This Row],[Popolazione2011]]/Comuni__2[[#This Row],[POPOLAZIONE TOTALE DI OGNI REGIONE (CON FILTRO)]]</f>
        <v>3.2539873523162251E-3</v>
      </c>
      <c r="H6959" t="str">
        <f>IF(Comuni__2[[#This Row],[Popolazione2011]]&gt;300000,"MAGGIORE","")</f>
        <v/>
      </c>
    </row>
    <row r="6960" spans="1:8" x14ac:dyDescent="0.2">
      <c r="A6960"/>
      <c r="B6960"/>
      <c r="C6960"/>
      <c r="D6960"/>
      <c r="E6960" s="2">
        <f>Comuni__2[[#This Row],[Popolazione2011]]/$D$7911</f>
        <v>5.576957921583226E-5</v>
      </c>
      <c r="F6960">
        <f>SUMIFS($D$2:$D$7909, $B$2:$B$7909, "Trentino-Alto Adige/Südtirol")</f>
        <v>1026433</v>
      </c>
      <c r="G6960" s="1">
        <f>Comuni__2[[#This Row],[Popolazione2011]]/Comuni__2[[#This Row],[POPOLAZIONE TOTALE DI OGNI REGIONE (CON FILTRO)]]</f>
        <v>3.2286569118490931E-3</v>
      </c>
      <c r="H6960" t="str">
        <f>IF(Comuni__2[[#This Row],[Popolazione2011]]&gt;300000,"MAGGIORE","")</f>
        <v/>
      </c>
    </row>
    <row r="6961" spans="1:8" x14ac:dyDescent="0.2">
      <c r="A6961"/>
      <c r="B6961"/>
      <c r="C6961"/>
      <c r="D6961"/>
      <c r="E6961" s="2">
        <f>Comuni__2[[#This Row],[Popolazione2011]]/$D$7911</f>
        <v>5.5735922257947028E-5</v>
      </c>
      <c r="F6961">
        <f>SUMIFS($D$2:$D$7909, $B$2:$B$7909, "Trentino-Alto Adige/Südtirol")</f>
        <v>1026433</v>
      </c>
      <c r="G6961" s="1">
        <f>Comuni__2[[#This Row],[Popolazione2011]]/Comuni__2[[#This Row],[POPOLAZIONE TOTALE DI OGNI REGIONE (CON FILTRO)]]</f>
        <v>3.2267084164285444E-3</v>
      </c>
      <c r="H6961" t="str">
        <f>IF(Comuni__2[[#This Row],[Popolazione2011]]&gt;300000,"MAGGIORE","")</f>
        <v/>
      </c>
    </row>
    <row r="6962" spans="1:8" x14ac:dyDescent="0.2">
      <c r="A6962"/>
      <c r="B6962"/>
      <c r="C6962"/>
      <c r="D6962"/>
      <c r="E6962" s="2">
        <f>Comuni__2[[#This Row],[Popolazione2011]]/$D$7911</f>
        <v>5.5618122905348708E-5</v>
      </c>
      <c r="F6962">
        <f>SUMIFS($D$2:$D$7909, $B$2:$B$7909, "Trentino-Alto Adige/Südtirol")</f>
        <v>1026433</v>
      </c>
      <c r="G6962" s="1">
        <f>Comuni__2[[#This Row],[Popolazione2011]]/Comuni__2[[#This Row],[POPOLAZIONE TOTALE DI OGNI REGIONE (CON FILTRO)]]</f>
        <v>3.2198886824566239E-3</v>
      </c>
      <c r="H6962" t="str">
        <f>IF(Comuni__2[[#This Row],[Popolazione2011]]&gt;300000,"MAGGIORE","")</f>
        <v/>
      </c>
    </row>
    <row r="6963" spans="1:8" x14ac:dyDescent="0.2">
      <c r="A6963"/>
      <c r="B6963"/>
      <c r="C6963"/>
      <c r="D6963"/>
      <c r="E6963" s="2">
        <f>Comuni__2[[#This Row],[Popolazione2011]]/$D$7911</f>
        <v>5.4709385042447397E-5</v>
      </c>
      <c r="F6963">
        <f>SUMIFS($D$2:$D$7909, $B$2:$B$7909, "Trentino-Alto Adige/Südtirol")</f>
        <v>1026433</v>
      </c>
      <c r="G6963" s="1">
        <f>Comuni__2[[#This Row],[Popolazione2011]]/Comuni__2[[#This Row],[POPOLAZIONE TOTALE DI OGNI REGIONE (CON FILTRO)]]</f>
        <v>3.1672793061018108E-3</v>
      </c>
      <c r="H6963" t="str">
        <f>IF(Comuni__2[[#This Row],[Popolazione2011]]&gt;300000,"MAGGIORE","")</f>
        <v/>
      </c>
    </row>
    <row r="6964" spans="1:8" x14ac:dyDescent="0.2">
      <c r="A6964"/>
      <c r="B6964"/>
      <c r="C6964"/>
      <c r="D6964"/>
      <c r="E6964" s="2">
        <f>Comuni__2[[#This Row],[Popolazione2011]]/$D$7911</f>
        <v>5.3918446532144405E-5</v>
      </c>
      <c r="F6964">
        <f>SUMIFS($D$2:$D$7909, $B$2:$B$7909, "Trentino-Alto Adige/Südtirol")</f>
        <v>1026433</v>
      </c>
      <c r="G6964" s="1">
        <f>Comuni__2[[#This Row],[Popolazione2011]]/Comuni__2[[#This Row],[POPOLAZIONE TOTALE DI OGNI REGIONE (CON FILTRO)]]</f>
        <v>3.1214896637189178E-3</v>
      </c>
      <c r="H6964" t="str">
        <f>IF(Comuni__2[[#This Row],[Popolazione2011]]&gt;300000,"MAGGIORE","")</f>
        <v/>
      </c>
    </row>
    <row r="6965" spans="1:8" x14ac:dyDescent="0.2">
      <c r="A6965"/>
      <c r="B6965"/>
      <c r="C6965"/>
      <c r="D6965"/>
      <c r="E6965" s="2">
        <f>Comuni__2[[#This Row],[Popolazione2011]]/$D$7911</f>
        <v>5.3295792811267581E-5</v>
      </c>
      <c r="F6965">
        <f>SUMIFS($D$2:$D$7909, $B$2:$B$7909, "Trentino-Alto Adige/Südtirol")</f>
        <v>1026433</v>
      </c>
      <c r="G6965" s="1">
        <f>Comuni__2[[#This Row],[Popolazione2011]]/Comuni__2[[#This Row],[POPOLAZIONE TOTALE DI OGNI REGIONE (CON FILTRO)]]</f>
        <v>3.085442498438768E-3</v>
      </c>
      <c r="H6965" t="str">
        <f>IF(Comuni__2[[#This Row],[Popolazione2011]]&gt;300000,"MAGGIORE","")</f>
        <v/>
      </c>
    </row>
    <row r="6966" spans="1:8" x14ac:dyDescent="0.2">
      <c r="A6966"/>
      <c r="B6966"/>
      <c r="C6966"/>
      <c r="D6966"/>
      <c r="E6966" s="2">
        <f>Comuni__2[[#This Row],[Popolazione2011]]/$D$7911</f>
        <v>5.2774109964046461E-5</v>
      </c>
      <c r="F6966">
        <f>SUMIFS($D$2:$D$7909, $B$2:$B$7909, "Trentino-Alto Adige/Südtirol")</f>
        <v>1026433</v>
      </c>
      <c r="G6966" s="1">
        <f>Comuni__2[[#This Row],[Popolazione2011]]/Comuni__2[[#This Row],[POPOLAZIONE TOTALE DI OGNI REGIONE (CON FILTRO)]]</f>
        <v>3.0552408194202641E-3</v>
      </c>
      <c r="H6966" t="str">
        <f>IF(Comuni__2[[#This Row],[Popolazione2011]]&gt;300000,"MAGGIORE","")</f>
        <v/>
      </c>
    </row>
    <row r="6967" spans="1:8" x14ac:dyDescent="0.2">
      <c r="A6967"/>
      <c r="B6967"/>
      <c r="C6967"/>
      <c r="D6967"/>
      <c r="E6967" s="2">
        <f>Comuni__2[[#This Row],[Popolazione2011]]/$D$7911</f>
        <v>5.2673139090390757E-5</v>
      </c>
      <c r="F6967">
        <f>SUMIFS($D$2:$D$7909, $B$2:$B$7909, "Trentino-Alto Adige/Südtirol")</f>
        <v>1026433</v>
      </c>
      <c r="G6967" s="1">
        <f>Comuni__2[[#This Row],[Popolazione2011]]/Comuni__2[[#This Row],[POPOLAZIONE TOTALE DI OGNI REGIONE (CON FILTRO)]]</f>
        <v>3.0493953331586182E-3</v>
      </c>
      <c r="H6967" t="str">
        <f>IF(Comuni__2[[#This Row],[Popolazione2011]]&gt;300000,"MAGGIORE","")</f>
        <v/>
      </c>
    </row>
    <row r="6968" spans="1:8" x14ac:dyDescent="0.2">
      <c r="A6968"/>
      <c r="B6968"/>
      <c r="C6968"/>
      <c r="D6968"/>
      <c r="E6968" s="2">
        <f>Comuni__2[[#This Row],[Popolazione2011]]/$D$7911</f>
        <v>5.2588996695677677E-5</v>
      </c>
      <c r="F6968">
        <f>SUMIFS($D$2:$D$7909, $B$2:$B$7909, "Trentino-Alto Adige/Südtirol")</f>
        <v>1026433</v>
      </c>
      <c r="G6968" s="1">
        <f>Comuni__2[[#This Row],[Popolazione2011]]/Comuni__2[[#This Row],[POPOLAZIONE TOTALE DI OGNI REGIONE (CON FILTRO)]]</f>
        <v>3.0445240946072468E-3</v>
      </c>
      <c r="H6968" t="str">
        <f>IF(Comuni__2[[#This Row],[Popolazione2011]]&gt;300000,"MAGGIORE","")</f>
        <v/>
      </c>
    </row>
    <row r="6969" spans="1:8" x14ac:dyDescent="0.2">
      <c r="A6969"/>
      <c r="B6969"/>
      <c r="C6969"/>
      <c r="D6969"/>
      <c r="E6969" s="2">
        <f>Comuni__2[[#This Row],[Popolazione2011]]/$D$7911</f>
        <v>5.2454368864136741E-5</v>
      </c>
      <c r="F6969">
        <f>SUMIFS($D$2:$D$7909, $B$2:$B$7909, "Trentino-Alto Adige/Südtirol")</f>
        <v>1026433</v>
      </c>
      <c r="G6969" s="1">
        <f>Comuni__2[[#This Row],[Popolazione2011]]/Comuni__2[[#This Row],[POPOLAZIONE TOTALE DI OGNI REGIONE (CON FILTRO)]]</f>
        <v>3.0367301129250522E-3</v>
      </c>
      <c r="H6969" t="str">
        <f>IF(Comuni__2[[#This Row],[Popolazione2011]]&gt;300000,"MAGGIORE","")</f>
        <v/>
      </c>
    </row>
    <row r="6970" spans="1:8" x14ac:dyDescent="0.2">
      <c r="A6970"/>
      <c r="B6970"/>
      <c r="C6970"/>
      <c r="D6970"/>
      <c r="E6970" s="2">
        <f>Comuni__2[[#This Row],[Popolazione2011]]/$D$7911</f>
        <v>5.2336569511538421E-5</v>
      </c>
      <c r="F6970">
        <f>SUMIFS($D$2:$D$7909, $B$2:$B$7909, "Trentino-Alto Adige/Südtirol")</f>
        <v>1026433</v>
      </c>
      <c r="G6970" s="1">
        <f>Comuni__2[[#This Row],[Popolazione2011]]/Comuni__2[[#This Row],[POPOLAZIONE TOTALE DI OGNI REGIONE (CON FILTRO)]]</f>
        <v>3.0299103789531317E-3</v>
      </c>
      <c r="H6970" t="str">
        <f>IF(Comuni__2[[#This Row],[Popolazione2011]]&gt;300000,"MAGGIORE","")</f>
        <v/>
      </c>
    </row>
    <row r="6971" spans="1:8" x14ac:dyDescent="0.2">
      <c r="A6971"/>
      <c r="B6971"/>
      <c r="C6971"/>
      <c r="D6971"/>
      <c r="E6971" s="2">
        <f>Comuni__2[[#This Row],[Popolazione2011]]/$D$7911</f>
        <v>5.1091262069784774E-5</v>
      </c>
      <c r="F6971">
        <f>SUMIFS($D$2:$D$7909, $B$2:$B$7909, "Trentino-Alto Adige/Südtirol")</f>
        <v>1026433</v>
      </c>
      <c r="G6971" s="1">
        <f>Comuni__2[[#This Row],[Popolazione2011]]/Comuni__2[[#This Row],[POPOLAZIONE TOTALE DI OGNI REGIONE (CON FILTRO)]]</f>
        <v>2.9578160483928321E-3</v>
      </c>
      <c r="H6971" t="str">
        <f>IF(Comuni__2[[#This Row],[Popolazione2011]]&gt;300000,"MAGGIORE","")</f>
        <v/>
      </c>
    </row>
    <row r="6972" spans="1:8" x14ac:dyDescent="0.2">
      <c r="A6972"/>
      <c r="B6972"/>
      <c r="C6972"/>
      <c r="D6972"/>
      <c r="E6972" s="2">
        <f>Comuni__2[[#This Row],[Popolazione2011]]/$D$7911</f>
        <v>5.067055009621935E-5</v>
      </c>
      <c r="F6972">
        <f>SUMIFS($D$2:$D$7909, $B$2:$B$7909, "Trentino-Alto Adige/Südtirol")</f>
        <v>1026433</v>
      </c>
      <c r="G6972" s="1">
        <f>Comuni__2[[#This Row],[Popolazione2011]]/Comuni__2[[#This Row],[POPOLAZIONE TOTALE DI OGNI REGIONE (CON FILTRO)]]</f>
        <v>2.9334598556359742E-3</v>
      </c>
      <c r="H6972" t="str">
        <f>IF(Comuni__2[[#This Row],[Popolazione2011]]&gt;300000,"MAGGIORE","")</f>
        <v/>
      </c>
    </row>
    <row r="6973" spans="1:8" x14ac:dyDescent="0.2">
      <c r="A6973"/>
      <c r="B6973"/>
      <c r="C6973"/>
      <c r="D6973"/>
      <c r="E6973" s="2">
        <f>Comuni__2[[#This Row],[Popolazione2011]]/$D$7911</f>
        <v>4.9425242654465703E-5</v>
      </c>
      <c r="F6973">
        <f>SUMIFS($D$2:$D$7909, $B$2:$B$7909, "Trentino-Alto Adige/Südtirol")</f>
        <v>1026433</v>
      </c>
      <c r="G6973" s="1">
        <f>Comuni__2[[#This Row],[Popolazione2011]]/Comuni__2[[#This Row],[POPOLAZIONE TOTALE DI OGNI REGIONE (CON FILTRO)]]</f>
        <v>2.8613655250756746E-3</v>
      </c>
      <c r="H6973" t="str">
        <f>IF(Comuni__2[[#This Row],[Popolazione2011]]&gt;300000,"MAGGIORE","")</f>
        <v/>
      </c>
    </row>
    <row r="6974" spans="1:8" x14ac:dyDescent="0.2">
      <c r="A6974"/>
      <c r="B6974"/>
      <c r="C6974"/>
      <c r="D6974"/>
      <c r="E6974" s="2">
        <f>Comuni__2[[#This Row],[Popolazione2011]]/$D$7911</f>
        <v>4.9139158512441222E-5</v>
      </c>
      <c r="F6974">
        <f>SUMIFS($D$2:$D$7909, $B$2:$B$7909, "Trentino-Alto Adige/Südtirol")</f>
        <v>1026433</v>
      </c>
      <c r="G6974" s="1">
        <f>Comuni__2[[#This Row],[Popolazione2011]]/Comuni__2[[#This Row],[POPOLAZIONE TOTALE DI OGNI REGIONE (CON FILTRO)]]</f>
        <v>2.8448033140010113E-3</v>
      </c>
      <c r="H6974" t="str">
        <f>IF(Comuni__2[[#This Row],[Popolazione2011]]&gt;300000,"MAGGIORE","")</f>
        <v/>
      </c>
    </row>
    <row r="6975" spans="1:8" x14ac:dyDescent="0.2">
      <c r="A6975"/>
      <c r="B6975"/>
      <c r="C6975"/>
      <c r="D6975"/>
      <c r="E6975" s="2">
        <f>Comuni__2[[#This Row],[Popolazione2011]]/$D$7911</f>
        <v>4.9105501554555983E-5</v>
      </c>
      <c r="F6975">
        <f>SUMIFS($D$2:$D$7909, $B$2:$B$7909, "Trentino-Alto Adige/Südtirol")</f>
        <v>1026433</v>
      </c>
      <c r="G6975" s="1">
        <f>Comuni__2[[#This Row],[Popolazione2011]]/Comuni__2[[#This Row],[POPOLAZIONE TOTALE DI OGNI REGIONE (CON FILTRO)]]</f>
        <v>2.8428548185804627E-3</v>
      </c>
      <c r="H6975" t="str">
        <f>IF(Comuni__2[[#This Row],[Popolazione2011]]&gt;300000,"MAGGIORE","")</f>
        <v/>
      </c>
    </row>
    <row r="6976" spans="1:8" x14ac:dyDescent="0.2">
      <c r="A6976"/>
      <c r="B6976"/>
      <c r="C6976"/>
      <c r="D6976"/>
      <c r="E6976" s="2">
        <f>Comuni__2[[#This Row],[Popolazione2011]]/$D$7911</f>
        <v>4.9071844596670751E-5</v>
      </c>
      <c r="F6976">
        <f>SUMIFS($D$2:$D$7909, $B$2:$B$7909, "Trentino-Alto Adige/Südtirol")</f>
        <v>1026433</v>
      </c>
      <c r="G6976" s="1">
        <f>Comuni__2[[#This Row],[Popolazione2011]]/Comuni__2[[#This Row],[POPOLAZIONE TOTALE DI OGNI REGIONE (CON FILTRO)]]</f>
        <v>2.840906323159914E-3</v>
      </c>
      <c r="H6976" t="str">
        <f>IF(Comuni__2[[#This Row],[Popolazione2011]]&gt;300000,"MAGGIORE","")</f>
        <v/>
      </c>
    </row>
    <row r="6977" spans="1:8" x14ac:dyDescent="0.2">
      <c r="A6977"/>
      <c r="B6977"/>
      <c r="C6977"/>
      <c r="D6977"/>
      <c r="E6977" s="2">
        <f>Comuni__2[[#This Row],[Popolazione2011]]/$D$7911</f>
        <v>4.9021359159842902E-5</v>
      </c>
      <c r="F6977">
        <f>SUMIFS($D$2:$D$7909, $B$2:$B$7909, "Trentino-Alto Adige/Südtirol")</f>
        <v>1026433</v>
      </c>
      <c r="G6977" s="1">
        <f>Comuni__2[[#This Row],[Popolazione2011]]/Comuni__2[[#This Row],[POPOLAZIONE TOTALE DI OGNI REGIONE (CON FILTRO)]]</f>
        <v>2.8379835800290912E-3</v>
      </c>
      <c r="H6977" t="str">
        <f>IF(Comuni__2[[#This Row],[Popolazione2011]]&gt;300000,"MAGGIORE","")</f>
        <v/>
      </c>
    </row>
    <row r="6978" spans="1:8" x14ac:dyDescent="0.2">
      <c r="A6978"/>
      <c r="B6978"/>
      <c r="C6978"/>
      <c r="D6978"/>
      <c r="E6978" s="2">
        <f>Comuni__2[[#This Row],[Popolazione2011]]/$D$7911</f>
        <v>4.9004530680900286E-5</v>
      </c>
      <c r="F6978">
        <f>SUMIFS($D$2:$D$7909, $B$2:$B$7909, "Trentino-Alto Adige/Südtirol")</f>
        <v>1026433</v>
      </c>
      <c r="G6978" s="1">
        <f>Comuni__2[[#This Row],[Popolazione2011]]/Comuni__2[[#This Row],[POPOLAZIONE TOTALE DI OGNI REGIONE (CON FILTRO)]]</f>
        <v>2.8370093323188167E-3</v>
      </c>
      <c r="H6978" t="str">
        <f>IF(Comuni__2[[#This Row],[Popolazione2011]]&gt;300000,"MAGGIORE","")</f>
        <v/>
      </c>
    </row>
    <row r="6979" spans="1:8" x14ac:dyDescent="0.2">
      <c r="A6979"/>
      <c r="B6979"/>
      <c r="C6979"/>
      <c r="D6979"/>
      <c r="E6979" s="2">
        <f>Comuni__2[[#This Row],[Popolazione2011]]/$D$7911</f>
        <v>4.898770220195767E-5</v>
      </c>
      <c r="F6979">
        <f>SUMIFS($D$2:$D$7909, $B$2:$B$7909, "Trentino-Alto Adige/Südtirol")</f>
        <v>1026433</v>
      </c>
      <c r="G6979" s="1">
        <f>Comuni__2[[#This Row],[Popolazione2011]]/Comuni__2[[#This Row],[POPOLAZIONE TOTALE DI OGNI REGIONE (CON FILTRO)]]</f>
        <v>2.8360350846085426E-3</v>
      </c>
      <c r="H6979" t="str">
        <f>IF(Comuni__2[[#This Row],[Popolazione2011]]&gt;300000,"MAGGIORE","")</f>
        <v/>
      </c>
    </row>
    <row r="6980" spans="1:8" x14ac:dyDescent="0.2">
      <c r="A6980"/>
      <c r="B6980"/>
      <c r="C6980"/>
      <c r="D6980"/>
      <c r="E6980" s="2">
        <f>Comuni__2[[#This Row],[Popolazione2011]]/$D$7911</f>
        <v>4.8920388286187199E-5</v>
      </c>
      <c r="F6980">
        <f>SUMIFS($D$2:$D$7909, $B$2:$B$7909, "Trentino-Alto Adige/Südtirol")</f>
        <v>1026433</v>
      </c>
      <c r="G6980" s="1">
        <f>Comuni__2[[#This Row],[Popolazione2011]]/Comuni__2[[#This Row],[POPOLAZIONE TOTALE DI OGNI REGIONE (CON FILTRO)]]</f>
        <v>2.8321380937674453E-3</v>
      </c>
      <c r="H6980" t="str">
        <f>IF(Comuni__2[[#This Row],[Popolazione2011]]&gt;300000,"MAGGIORE","")</f>
        <v/>
      </c>
    </row>
    <row r="6981" spans="1:8" x14ac:dyDescent="0.2">
      <c r="A6981"/>
      <c r="B6981"/>
      <c r="C6981"/>
      <c r="D6981"/>
      <c r="E6981" s="2">
        <f>Comuni__2[[#This Row],[Popolazione2011]]/$D$7911</f>
        <v>4.8566990228392246E-5</v>
      </c>
      <c r="F6981">
        <f>SUMIFS($D$2:$D$7909, $B$2:$B$7909, "Trentino-Alto Adige/Südtirol")</f>
        <v>1026433</v>
      </c>
      <c r="G6981" s="1">
        <f>Comuni__2[[#This Row],[Popolazione2011]]/Comuni__2[[#This Row],[POPOLAZIONE TOTALE DI OGNI REGIONE (CON FILTRO)]]</f>
        <v>2.8116788918516843E-3</v>
      </c>
      <c r="H6981" t="str">
        <f>IF(Comuni__2[[#This Row],[Popolazione2011]]&gt;300000,"MAGGIORE","")</f>
        <v/>
      </c>
    </row>
    <row r="6982" spans="1:8" x14ac:dyDescent="0.2">
      <c r="A6982"/>
      <c r="B6982"/>
      <c r="C6982"/>
      <c r="D6982"/>
      <c r="E6982" s="2">
        <f>Comuni__2[[#This Row],[Popolazione2011]]/$D$7911</f>
        <v>4.8280906086367759E-5</v>
      </c>
      <c r="F6982">
        <f>SUMIFS($D$2:$D$7909, $B$2:$B$7909, "Trentino-Alto Adige/Südtirol")</f>
        <v>1026433</v>
      </c>
      <c r="G6982" s="1">
        <f>Comuni__2[[#This Row],[Popolazione2011]]/Comuni__2[[#This Row],[POPOLAZIONE TOTALE DI OGNI REGIONE (CON FILTRO)]]</f>
        <v>2.795116680777021E-3</v>
      </c>
      <c r="H6982" t="str">
        <f>IF(Comuni__2[[#This Row],[Popolazione2011]]&gt;300000,"MAGGIORE","")</f>
        <v/>
      </c>
    </row>
    <row r="6983" spans="1:8" x14ac:dyDescent="0.2">
      <c r="A6983"/>
      <c r="B6983"/>
      <c r="C6983"/>
      <c r="D6983"/>
      <c r="E6983" s="2">
        <f>Comuni__2[[#This Row],[Popolazione2011]]/$D$7911</f>
        <v>4.8264077607425143E-5</v>
      </c>
      <c r="F6983">
        <f>SUMIFS($D$2:$D$7909, $B$2:$B$7909, "Trentino-Alto Adige/Südtirol")</f>
        <v>1026433</v>
      </c>
      <c r="G6983" s="1">
        <f>Comuni__2[[#This Row],[Popolazione2011]]/Comuni__2[[#This Row],[POPOLAZIONE TOTALE DI OGNI REGIONE (CON FILTRO)]]</f>
        <v>2.7941424330667469E-3</v>
      </c>
      <c r="H6983" t="str">
        <f>IF(Comuni__2[[#This Row],[Popolazione2011]]&gt;300000,"MAGGIORE","")</f>
        <v/>
      </c>
    </row>
    <row r="6984" spans="1:8" x14ac:dyDescent="0.2">
      <c r="A6984"/>
      <c r="B6984"/>
      <c r="C6984"/>
      <c r="D6984"/>
      <c r="E6984" s="2">
        <f>Comuni__2[[#This Row],[Popolazione2011]]/$D$7911</f>
        <v>4.7759223239146639E-5</v>
      </c>
      <c r="F6984">
        <f>SUMIFS($D$2:$D$7909, $B$2:$B$7909, "Trentino-Alto Adige/Südtirol")</f>
        <v>1026433</v>
      </c>
      <c r="G6984" s="1">
        <f>Comuni__2[[#This Row],[Popolazione2011]]/Comuni__2[[#This Row],[POPOLAZIONE TOTALE DI OGNI REGIONE (CON FILTRO)]]</f>
        <v>2.7649150017585171E-3</v>
      </c>
      <c r="H6984" t="str">
        <f>IF(Comuni__2[[#This Row],[Popolazione2011]]&gt;300000,"MAGGIORE","")</f>
        <v/>
      </c>
    </row>
    <row r="6985" spans="1:8" x14ac:dyDescent="0.2">
      <c r="A6985"/>
      <c r="B6985"/>
      <c r="C6985"/>
      <c r="D6985"/>
      <c r="E6985" s="2">
        <f>Comuni__2[[#This Row],[Popolazione2011]]/$D$7911</f>
        <v>4.7355339744523831E-5</v>
      </c>
      <c r="F6985">
        <f>SUMIFS($D$2:$D$7909, $B$2:$B$7909, "Trentino-Alto Adige/Südtirol")</f>
        <v>1026433</v>
      </c>
      <c r="G6985" s="1">
        <f>Comuni__2[[#This Row],[Popolazione2011]]/Comuni__2[[#This Row],[POPOLAZIONE TOTALE DI OGNI REGIONE (CON FILTRO)]]</f>
        <v>2.7415330567119333E-3</v>
      </c>
      <c r="H6985" t="str">
        <f>IF(Comuni__2[[#This Row],[Popolazione2011]]&gt;300000,"MAGGIORE","")</f>
        <v/>
      </c>
    </row>
    <row r="6986" spans="1:8" x14ac:dyDescent="0.2">
      <c r="A6986"/>
      <c r="B6986"/>
      <c r="C6986"/>
      <c r="D6986"/>
      <c r="E6986" s="2">
        <f>Comuni__2[[#This Row],[Popolazione2011]]/$D$7911</f>
        <v>4.7069255602499343E-5</v>
      </c>
      <c r="F6986">
        <f>SUMIFS($D$2:$D$7909, $B$2:$B$7909, "Trentino-Alto Adige/Südtirol")</f>
        <v>1026433</v>
      </c>
      <c r="G6986" s="1">
        <f>Comuni__2[[#This Row],[Popolazione2011]]/Comuni__2[[#This Row],[POPOLAZIONE TOTALE DI OGNI REGIONE (CON FILTRO)]]</f>
        <v>2.72497084563727E-3</v>
      </c>
      <c r="H6986" t="str">
        <f>IF(Comuni__2[[#This Row],[Popolazione2011]]&gt;300000,"MAGGIORE","")</f>
        <v/>
      </c>
    </row>
    <row r="6987" spans="1:8" x14ac:dyDescent="0.2">
      <c r="A6987"/>
      <c r="B6987"/>
      <c r="C6987"/>
      <c r="D6987"/>
      <c r="E6987" s="2">
        <f>Comuni__2[[#This Row],[Popolazione2011]]/$D$7911</f>
        <v>4.6833656897302711E-5</v>
      </c>
      <c r="F6987">
        <f>SUMIFS($D$2:$D$7909, $B$2:$B$7909, "Trentino-Alto Adige/Südtirol")</f>
        <v>1026433</v>
      </c>
      <c r="G6987" s="1">
        <f>Comuni__2[[#This Row],[Popolazione2011]]/Comuni__2[[#This Row],[POPOLAZIONE TOTALE DI OGNI REGIONE (CON FILTRO)]]</f>
        <v>2.7113313776934295E-3</v>
      </c>
      <c r="H6987" t="str">
        <f>IF(Comuni__2[[#This Row],[Popolazione2011]]&gt;300000,"MAGGIORE","")</f>
        <v/>
      </c>
    </row>
    <row r="6988" spans="1:8" x14ac:dyDescent="0.2">
      <c r="A6988"/>
      <c r="B6988"/>
      <c r="C6988"/>
      <c r="D6988"/>
      <c r="E6988" s="2">
        <f>Comuni__2[[#This Row],[Popolazione2011]]/$D$7911</f>
        <v>4.6143689260655416E-5</v>
      </c>
      <c r="F6988">
        <f>SUMIFS($D$2:$D$7909, $B$2:$B$7909, "Trentino-Alto Adige/Südtirol")</f>
        <v>1026433</v>
      </c>
      <c r="G6988" s="1">
        <f>Comuni__2[[#This Row],[Popolazione2011]]/Comuni__2[[#This Row],[POPOLAZIONE TOTALE DI OGNI REGIONE (CON FILTRO)]]</f>
        <v>2.6713872215721824E-3</v>
      </c>
      <c r="H6988" t="str">
        <f>IF(Comuni__2[[#This Row],[Popolazione2011]]&gt;300000,"MAGGIORE","")</f>
        <v/>
      </c>
    </row>
    <row r="6989" spans="1:8" x14ac:dyDescent="0.2">
      <c r="A6989"/>
      <c r="B6989"/>
      <c r="C6989"/>
      <c r="D6989"/>
      <c r="E6989" s="2">
        <f>Comuni__2[[#This Row],[Popolazione2011]]/$D$7911</f>
        <v>4.6042718386999719E-5</v>
      </c>
      <c r="F6989">
        <f>SUMIFS($D$2:$D$7909, $B$2:$B$7909, "Trentino-Alto Adige/Südtirol")</f>
        <v>1026433</v>
      </c>
      <c r="G6989" s="1">
        <f>Comuni__2[[#This Row],[Popolazione2011]]/Comuni__2[[#This Row],[POPOLAZIONE TOTALE DI OGNI REGIONE (CON FILTRO)]]</f>
        <v>2.6655417353105364E-3</v>
      </c>
      <c r="H6989" t="str">
        <f>IF(Comuni__2[[#This Row],[Popolazione2011]]&gt;300000,"MAGGIORE","")</f>
        <v/>
      </c>
    </row>
    <row r="6990" spans="1:8" x14ac:dyDescent="0.2">
      <c r="A6990"/>
      <c r="B6990"/>
      <c r="C6990"/>
      <c r="D6990"/>
      <c r="E6990" s="2">
        <f>Comuni__2[[#This Row],[Popolazione2011]]/$D$7911</f>
        <v>4.5908090555458783E-5</v>
      </c>
      <c r="F6990">
        <f>SUMIFS($D$2:$D$7909, $B$2:$B$7909, "Trentino-Alto Adige/Südtirol")</f>
        <v>1026433</v>
      </c>
      <c r="G6990" s="1">
        <f>Comuni__2[[#This Row],[Popolazione2011]]/Comuni__2[[#This Row],[POPOLAZIONE TOTALE DI OGNI REGIONE (CON FILTRO)]]</f>
        <v>2.6577477536283418E-3</v>
      </c>
      <c r="H6990" t="str">
        <f>IF(Comuni__2[[#This Row],[Popolazione2011]]&gt;300000,"MAGGIORE","")</f>
        <v/>
      </c>
    </row>
    <row r="6991" spans="1:8" x14ac:dyDescent="0.2">
      <c r="A6991"/>
      <c r="B6991"/>
      <c r="C6991"/>
      <c r="D6991"/>
      <c r="E6991" s="2">
        <f>Comuni__2[[#This Row],[Popolazione2011]]/$D$7911</f>
        <v>4.5352750750352424E-5</v>
      </c>
      <c r="F6991">
        <f>SUMIFS($D$2:$D$7909, $B$2:$B$7909, "Trentino-Alto Adige/Südtirol")</f>
        <v>1026433</v>
      </c>
      <c r="G6991" s="1">
        <f>Comuni__2[[#This Row],[Popolazione2011]]/Comuni__2[[#This Row],[POPOLAZIONE TOTALE DI OGNI REGIONE (CON FILTRO)]]</f>
        <v>2.6255975791892893E-3</v>
      </c>
      <c r="H6991" t="str">
        <f>IF(Comuni__2[[#This Row],[Popolazione2011]]&gt;300000,"MAGGIORE","")</f>
        <v/>
      </c>
    </row>
    <row r="6992" spans="1:8" x14ac:dyDescent="0.2">
      <c r="A6992"/>
      <c r="B6992"/>
      <c r="C6992"/>
      <c r="D6992"/>
      <c r="E6992" s="2">
        <f>Comuni__2[[#This Row],[Popolazione2011]]/$D$7911</f>
        <v>4.5268608355639343E-5</v>
      </c>
      <c r="F6992">
        <f>SUMIFS($D$2:$D$7909, $B$2:$B$7909, "Trentino-Alto Adige/Südtirol")</f>
        <v>1026433</v>
      </c>
      <c r="G6992" s="1">
        <f>Comuni__2[[#This Row],[Popolazione2011]]/Comuni__2[[#This Row],[POPOLAZIONE TOTALE DI OGNI REGIONE (CON FILTRO)]]</f>
        <v>2.6207263406379179E-3</v>
      </c>
      <c r="H6992" t="str">
        <f>IF(Comuni__2[[#This Row],[Popolazione2011]]&gt;300000,"MAGGIORE","")</f>
        <v/>
      </c>
    </row>
    <row r="6993" spans="1:8" x14ac:dyDescent="0.2">
      <c r="A6993"/>
      <c r="B6993"/>
      <c r="C6993"/>
      <c r="D6993"/>
      <c r="E6993" s="2">
        <f>Comuni__2[[#This Row],[Popolazione2011]]/$D$7911</f>
        <v>4.4948867255729624E-5</v>
      </c>
      <c r="F6993">
        <f>SUMIFS($D$2:$D$7909, $B$2:$B$7909, "Trentino-Alto Adige/Südtirol")</f>
        <v>1026433</v>
      </c>
      <c r="G6993" s="1">
        <f>Comuni__2[[#This Row],[Popolazione2011]]/Comuni__2[[#This Row],[POPOLAZIONE TOTALE DI OGNI REGIONE (CON FILTRO)]]</f>
        <v>2.602215634142706E-3</v>
      </c>
      <c r="H6993" t="str">
        <f>IF(Comuni__2[[#This Row],[Popolazione2011]]&gt;300000,"MAGGIORE","")</f>
        <v/>
      </c>
    </row>
    <row r="6994" spans="1:8" x14ac:dyDescent="0.2">
      <c r="A6994"/>
      <c r="B6994"/>
      <c r="C6994"/>
      <c r="D6994"/>
      <c r="E6994" s="2">
        <f>Comuni__2[[#This Row],[Popolazione2011]]/$D$7911</f>
        <v>4.4898381818901768E-5</v>
      </c>
      <c r="F6994">
        <f>SUMIFS($D$2:$D$7909, $B$2:$B$7909, "Trentino-Alto Adige/Südtirol")</f>
        <v>1026433</v>
      </c>
      <c r="G6994" s="1">
        <f>Comuni__2[[#This Row],[Popolazione2011]]/Comuni__2[[#This Row],[POPOLAZIONE TOTALE DI OGNI REGIONE (CON FILTRO)]]</f>
        <v>2.5992928910118828E-3</v>
      </c>
      <c r="H6994" t="str">
        <f>IF(Comuni__2[[#This Row],[Popolazione2011]]&gt;300000,"MAGGIORE","")</f>
        <v/>
      </c>
    </row>
    <row r="6995" spans="1:8" x14ac:dyDescent="0.2">
      <c r="A6995"/>
      <c r="B6995"/>
      <c r="C6995"/>
      <c r="D6995"/>
      <c r="E6995" s="2">
        <f>Comuni__2[[#This Row],[Popolazione2011]]/$D$7911</f>
        <v>4.4763753987360839E-5</v>
      </c>
      <c r="F6995">
        <f>SUMIFS($D$2:$D$7909, $B$2:$B$7909, "Trentino-Alto Adige/Südtirol")</f>
        <v>1026433</v>
      </c>
      <c r="G6995" s="1">
        <f>Comuni__2[[#This Row],[Popolazione2011]]/Comuni__2[[#This Row],[POPOLAZIONE TOTALE DI OGNI REGIONE (CON FILTRO)]]</f>
        <v>2.5914989093296882E-3</v>
      </c>
      <c r="H6995" t="str">
        <f>IF(Comuni__2[[#This Row],[Popolazione2011]]&gt;300000,"MAGGIORE","")</f>
        <v/>
      </c>
    </row>
    <row r="6996" spans="1:8" x14ac:dyDescent="0.2">
      <c r="A6996"/>
      <c r="B6996"/>
      <c r="C6996"/>
      <c r="D6996"/>
      <c r="E6996" s="2">
        <f>Comuni__2[[#This Row],[Popolazione2011]]/$D$7911</f>
        <v>4.4225242661197096E-5</v>
      </c>
      <c r="F6996">
        <f>SUMIFS($D$2:$D$7909, $B$2:$B$7909, "Trentino-Alto Adige/Südtirol")</f>
        <v>1026433</v>
      </c>
      <c r="G6996" s="1">
        <f>Comuni__2[[#This Row],[Popolazione2011]]/Comuni__2[[#This Row],[POPOLAZIONE TOTALE DI OGNI REGIONE (CON FILTRO)]]</f>
        <v>2.5603229826009102E-3</v>
      </c>
      <c r="H6996" t="str">
        <f>IF(Comuni__2[[#This Row],[Popolazione2011]]&gt;300000,"MAGGIORE","")</f>
        <v/>
      </c>
    </row>
    <row r="6997" spans="1:8" x14ac:dyDescent="0.2">
      <c r="A6997"/>
      <c r="B6997"/>
      <c r="C6997"/>
      <c r="D6997"/>
      <c r="E6997" s="2">
        <f>Comuni__2[[#This Row],[Popolazione2011]]/$D$7911</f>
        <v>4.4174757224369248E-5</v>
      </c>
      <c r="F6997">
        <f>SUMIFS($D$2:$D$7909, $B$2:$B$7909, "Trentino-Alto Adige/Südtirol")</f>
        <v>1026433</v>
      </c>
      <c r="G6997" s="1">
        <f>Comuni__2[[#This Row],[Popolazione2011]]/Comuni__2[[#This Row],[POPOLAZIONE TOTALE DI OGNI REGIONE (CON FILTRO)]]</f>
        <v>2.557400239470087E-3</v>
      </c>
      <c r="H6997" t="str">
        <f>IF(Comuni__2[[#This Row],[Popolazione2011]]&gt;300000,"MAGGIORE","")</f>
        <v/>
      </c>
    </row>
    <row r="6998" spans="1:8" x14ac:dyDescent="0.2">
      <c r="A6998"/>
      <c r="B6998"/>
      <c r="C6998"/>
      <c r="D6998"/>
      <c r="E6998" s="2">
        <f>Comuni__2[[#This Row],[Popolazione2011]]/$D$7911</f>
        <v>4.4073786350713544E-5</v>
      </c>
      <c r="F6998">
        <f>SUMIFS($D$2:$D$7909, $B$2:$B$7909, "Trentino-Alto Adige/Südtirol")</f>
        <v>1026433</v>
      </c>
      <c r="G6998" s="1">
        <f>Comuni__2[[#This Row],[Popolazione2011]]/Comuni__2[[#This Row],[POPOLAZIONE TOTALE DI OGNI REGIONE (CON FILTRO)]]</f>
        <v>2.5515547532084411E-3</v>
      </c>
      <c r="H6998" t="str">
        <f>IF(Comuni__2[[#This Row],[Popolazione2011]]&gt;300000,"MAGGIORE","")</f>
        <v/>
      </c>
    </row>
    <row r="6999" spans="1:8" x14ac:dyDescent="0.2">
      <c r="A6999"/>
      <c r="B6999"/>
      <c r="C6999"/>
      <c r="D6999"/>
      <c r="E6999" s="2">
        <f>Comuni__2[[#This Row],[Popolazione2011]]/$D$7911</f>
        <v>4.3266019361467936E-5</v>
      </c>
      <c r="F6999">
        <f>SUMIFS($D$2:$D$7909, $B$2:$B$7909, "Trentino-Alto Adige/Südtirol")</f>
        <v>1026433</v>
      </c>
      <c r="G6999" s="1">
        <f>Comuni__2[[#This Row],[Popolazione2011]]/Comuni__2[[#This Row],[POPOLAZIONE TOTALE DI OGNI REGIONE (CON FILTRO)]]</f>
        <v>2.5047908631152739E-3</v>
      </c>
      <c r="H6999" t="str">
        <f>IF(Comuni__2[[#This Row],[Popolazione2011]]&gt;300000,"MAGGIORE","")</f>
        <v/>
      </c>
    </row>
    <row r="7000" spans="1:8" x14ac:dyDescent="0.2">
      <c r="A7000"/>
      <c r="B7000"/>
      <c r="C7000"/>
      <c r="D7000"/>
      <c r="E7000" s="2">
        <f>Comuni__2[[#This Row],[Popolazione2011]]/$D$7911</f>
        <v>4.2626537161648497E-5</v>
      </c>
      <c r="F7000">
        <f>SUMIFS($D$2:$D$7909, $B$2:$B$7909, "Trentino-Alto Adige/Südtirol")</f>
        <v>1026433</v>
      </c>
      <c r="G7000" s="1">
        <f>Comuni__2[[#This Row],[Popolazione2011]]/Comuni__2[[#This Row],[POPOLAZIONE TOTALE DI OGNI REGIONE (CON FILTRO)]]</f>
        <v>2.46776945012485E-3</v>
      </c>
      <c r="H7000" t="str">
        <f>IF(Comuni__2[[#This Row],[Popolazione2011]]&gt;300000,"MAGGIORE","")</f>
        <v/>
      </c>
    </row>
    <row r="7001" spans="1:8" x14ac:dyDescent="0.2">
      <c r="A7001"/>
      <c r="B7001"/>
      <c r="C7001"/>
      <c r="D7001"/>
      <c r="E7001" s="2">
        <f>Comuni__2[[#This Row],[Popolazione2011]]/$D$7911</f>
        <v>4.2256310624910921E-5</v>
      </c>
      <c r="F7001">
        <f>SUMIFS($D$2:$D$7909, $B$2:$B$7909, "Trentino-Alto Adige/Südtirol")</f>
        <v>1026433</v>
      </c>
      <c r="G7001" s="1">
        <f>Comuni__2[[#This Row],[Popolazione2011]]/Comuni__2[[#This Row],[POPOLAZIONE TOTALE DI OGNI REGIONE (CON FILTRO)]]</f>
        <v>2.4463360004988149E-3</v>
      </c>
      <c r="H7001" t="str">
        <f>IF(Comuni__2[[#This Row],[Popolazione2011]]&gt;300000,"MAGGIORE","")</f>
        <v/>
      </c>
    </row>
    <row r="7002" spans="1:8" x14ac:dyDescent="0.2">
      <c r="A7002"/>
      <c r="B7002"/>
      <c r="C7002"/>
      <c r="D7002"/>
      <c r="E7002" s="2">
        <f>Comuni__2[[#This Row],[Popolazione2011]]/$D$7911</f>
        <v>4.1482200593550553E-5</v>
      </c>
      <c r="F7002">
        <f>SUMIFS($D$2:$D$7909, $B$2:$B$7909, "Trentino-Alto Adige/Südtirol")</f>
        <v>1026433</v>
      </c>
      <c r="G7002" s="1">
        <f>Comuni__2[[#This Row],[Popolazione2011]]/Comuni__2[[#This Row],[POPOLAZIONE TOTALE DI OGNI REGIONE (CON FILTRO)]]</f>
        <v>2.4015206058261964E-3</v>
      </c>
      <c r="H7002" t="str">
        <f>IF(Comuni__2[[#This Row],[Popolazione2011]]&gt;300000,"MAGGIORE","")</f>
        <v/>
      </c>
    </row>
    <row r="7003" spans="1:8" x14ac:dyDescent="0.2">
      <c r="A7003"/>
      <c r="B7003"/>
      <c r="C7003"/>
      <c r="D7003"/>
      <c r="E7003" s="2">
        <f>Comuni__2[[#This Row],[Popolazione2011]]/$D$7911</f>
        <v>4.1229773409411297E-5</v>
      </c>
      <c r="F7003">
        <f>SUMIFS($D$2:$D$7909, $B$2:$B$7909, "Trentino-Alto Adige/Südtirol")</f>
        <v>1026433</v>
      </c>
      <c r="G7003" s="1">
        <f>Comuni__2[[#This Row],[Popolazione2011]]/Comuni__2[[#This Row],[POPOLAZIONE TOTALE DI OGNI REGIONE (CON FILTRO)]]</f>
        <v>2.3869068901720813E-3</v>
      </c>
      <c r="H7003" t="str">
        <f>IF(Comuni__2[[#This Row],[Popolazione2011]]&gt;300000,"MAGGIORE","")</f>
        <v/>
      </c>
    </row>
    <row r="7004" spans="1:8" x14ac:dyDescent="0.2">
      <c r="A7004"/>
      <c r="B7004"/>
      <c r="C7004"/>
      <c r="D7004"/>
      <c r="E7004" s="2">
        <f>Comuni__2[[#This Row],[Popolazione2011]]/$D$7911</f>
        <v>4.0775404477960641E-5</v>
      </c>
      <c r="F7004">
        <f>SUMIFS($D$2:$D$7909, $B$2:$B$7909, "Trentino-Alto Adige/Südtirol")</f>
        <v>1026433</v>
      </c>
      <c r="G7004" s="1">
        <f>Comuni__2[[#This Row],[Popolazione2011]]/Comuni__2[[#This Row],[POPOLAZIONE TOTALE DI OGNI REGIONE (CON FILTRO)]]</f>
        <v>2.3606022019946747E-3</v>
      </c>
      <c r="H7004" t="str">
        <f>IF(Comuni__2[[#This Row],[Popolazione2011]]&gt;300000,"MAGGIORE","")</f>
        <v/>
      </c>
    </row>
    <row r="7005" spans="1:8" x14ac:dyDescent="0.2">
      <c r="A7005"/>
      <c r="B7005"/>
      <c r="C7005"/>
      <c r="D7005"/>
      <c r="E7005" s="2">
        <f>Comuni__2[[#This Row],[Popolazione2011]]/$D$7911</f>
        <v>4.0018122925542882E-5</v>
      </c>
      <c r="F7005">
        <f>SUMIFS($D$2:$D$7909, $B$2:$B$7909, "Trentino-Alto Adige/Südtirol")</f>
        <v>1026433</v>
      </c>
      <c r="G7005" s="1">
        <f>Comuni__2[[#This Row],[Popolazione2011]]/Comuni__2[[#This Row],[POPOLAZIONE TOTALE DI OGNI REGIONE (CON FILTRO)]]</f>
        <v>2.3167610550323303E-3</v>
      </c>
      <c r="H7005" t="str">
        <f>IF(Comuni__2[[#This Row],[Popolazione2011]]&gt;300000,"MAGGIORE","")</f>
        <v/>
      </c>
    </row>
    <row r="7006" spans="1:8" x14ac:dyDescent="0.2">
      <c r="A7006"/>
      <c r="B7006"/>
      <c r="C7006"/>
      <c r="D7006"/>
      <c r="E7006" s="2">
        <f>Comuni__2[[#This Row],[Popolazione2011]]/$D$7911</f>
        <v>3.9631067909862697E-5</v>
      </c>
      <c r="F7006">
        <f>SUMIFS($D$2:$D$7909, $B$2:$B$7909, "Trentino-Alto Adige/Südtirol")</f>
        <v>1026433</v>
      </c>
      <c r="G7006" s="1">
        <f>Comuni__2[[#This Row],[Popolazione2011]]/Comuni__2[[#This Row],[POPOLAZIONE TOTALE DI OGNI REGIONE (CON FILTRO)]]</f>
        <v>2.2943533576960211E-3</v>
      </c>
      <c r="H7006" t="str">
        <f>IF(Comuni__2[[#This Row],[Popolazione2011]]&gt;300000,"MAGGIORE","")</f>
        <v/>
      </c>
    </row>
    <row r="7007" spans="1:8" x14ac:dyDescent="0.2">
      <c r="A7007"/>
      <c r="B7007"/>
      <c r="C7007"/>
      <c r="D7007"/>
      <c r="E7007" s="2">
        <f>Comuni__2[[#This Row],[Popolazione2011]]/$D$7911</f>
        <v>3.9244012894182506E-5</v>
      </c>
      <c r="F7007">
        <f>SUMIFS($D$2:$D$7909, $B$2:$B$7909, "Trentino-Alto Adige/Südtirol")</f>
        <v>1026433</v>
      </c>
      <c r="G7007" s="1">
        <f>Comuni__2[[#This Row],[Popolazione2011]]/Comuni__2[[#This Row],[POPOLAZIONE TOTALE DI OGNI REGIONE (CON FILTRO)]]</f>
        <v>2.2719456603597118E-3</v>
      </c>
      <c r="H7007" t="str">
        <f>IF(Comuni__2[[#This Row],[Popolazione2011]]&gt;300000,"MAGGIORE","")</f>
        <v/>
      </c>
    </row>
    <row r="7008" spans="1:8" x14ac:dyDescent="0.2">
      <c r="A7008"/>
      <c r="B7008"/>
      <c r="C7008"/>
      <c r="D7008"/>
      <c r="E7008" s="2">
        <f>Comuni__2[[#This Row],[Popolazione2011]]/$D$7911</f>
        <v>3.8217475678682882E-5</v>
      </c>
      <c r="F7008">
        <f>SUMIFS($D$2:$D$7909, $B$2:$B$7909, "Trentino-Alto Adige/Südtirol")</f>
        <v>1026433</v>
      </c>
      <c r="G7008" s="1">
        <f>Comuni__2[[#This Row],[Popolazione2011]]/Comuni__2[[#This Row],[POPOLAZIONE TOTALE DI OGNI REGIONE (CON FILTRO)]]</f>
        <v>2.2125165500329782E-3</v>
      </c>
      <c r="H7008" t="str">
        <f>IF(Comuni__2[[#This Row],[Popolazione2011]]&gt;300000,"MAGGIORE","")</f>
        <v/>
      </c>
    </row>
    <row r="7009" spans="1:8" x14ac:dyDescent="0.2">
      <c r="A7009"/>
      <c r="B7009"/>
      <c r="C7009"/>
      <c r="D7009"/>
      <c r="E7009" s="2">
        <f>Comuni__2[[#This Row],[Popolazione2011]]/$D$7911</f>
        <v>3.8150161762912411E-5</v>
      </c>
      <c r="F7009">
        <f>SUMIFS($D$2:$D$7909, $B$2:$B$7909, "Trentino-Alto Adige/Südtirol")</f>
        <v>1026433</v>
      </c>
      <c r="G7009" s="1">
        <f>Comuni__2[[#This Row],[Popolazione2011]]/Comuni__2[[#This Row],[POPOLAZIONE TOTALE DI OGNI REGIONE (CON FILTRO)]]</f>
        <v>2.2086195591918809E-3</v>
      </c>
      <c r="H7009" t="str">
        <f>IF(Comuni__2[[#This Row],[Popolazione2011]]&gt;300000,"MAGGIORE","")</f>
        <v/>
      </c>
    </row>
    <row r="7010" spans="1:8" x14ac:dyDescent="0.2">
      <c r="A7010"/>
      <c r="B7010"/>
      <c r="C7010"/>
      <c r="D7010"/>
      <c r="E7010" s="2">
        <f>Comuni__2[[#This Row],[Popolazione2011]]/$D$7911</f>
        <v>3.806601936819933E-5</v>
      </c>
      <c r="F7010">
        <f>SUMIFS($D$2:$D$7909, $B$2:$B$7909, "Trentino-Alto Adige/Südtirol")</f>
        <v>1026433</v>
      </c>
      <c r="G7010" s="1">
        <f>Comuni__2[[#This Row],[Popolazione2011]]/Comuni__2[[#This Row],[POPOLAZIONE TOTALE DI OGNI REGIONE (CON FILTRO)]]</f>
        <v>2.2037483206405095E-3</v>
      </c>
      <c r="H7010" t="str">
        <f>IF(Comuni__2[[#This Row],[Popolazione2011]]&gt;300000,"MAGGIORE","")</f>
        <v/>
      </c>
    </row>
    <row r="7011" spans="1:8" x14ac:dyDescent="0.2">
      <c r="A7011"/>
      <c r="B7011"/>
      <c r="C7011"/>
      <c r="D7011"/>
      <c r="E7011" s="2">
        <f>Comuni__2[[#This Row],[Popolazione2011]]/$D$7911</f>
        <v>3.7493851084150355E-5</v>
      </c>
      <c r="F7011">
        <f>SUMIFS($D$2:$D$7909, $B$2:$B$7909, "Trentino-Alto Adige/Südtirol")</f>
        <v>1026433</v>
      </c>
      <c r="G7011" s="1">
        <f>Comuni__2[[#This Row],[Popolazione2011]]/Comuni__2[[#This Row],[POPOLAZIONE TOTALE DI OGNI REGIONE (CON FILTRO)]]</f>
        <v>2.1706238984911825E-3</v>
      </c>
      <c r="H7011" t="str">
        <f>IF(Comuni__2[[#This Row],[Popolazione2011]]&gt;300000,"MAGGIORE","")</f>
        <v/>
      </c>
    </row>
    <row r="7012" spans="1:8" x14ac:dyDescent="0.2">
      <c r="A7012"/>
      <c r="B7012"/>
      <c r="C7012"/>
      <c r="D7012"/>
      <c r="E7012" s="2">
        <f>Comuni__2[[#This Row],[Popolazione2011]]/$D$7911</f>
        <v>3.6534627784421195E-5</v>
      </c>
      <c r="F7012">
        <f>SUMIFS($D$2:$D$7909, $B$2:$B$7909, "Trentino-Alto Adige/Südtirol")</f>
        <v>1026433</v>
      </c>
      <c r="G7012" s="1">
        <f>Comuni__2[[#This Row],[Popolazione2011]]/Comuni__2[[#This Row],[POPOLAZIONE TOTALE DI OGNI REGIONE (CON FILTRO)]]</f>
        <v>2.1150917790055462E-3</v>
      </c>
      <c r="H7012" t="str">
        <f>IF(Comuni__2[[#This Row],[Popolazione2011]]&gt;300000,"MAGGIORE","")</f>
        <v/>
      </c>
    </row>
    <row r="7013" spans="1:8" x14ac:dyDescent="0.2">
      <c r="A7013"/>
      <c r="B7013"/>
      <c r="C7013"/>
      <c r="D7013"/>
      <c r="E7013" s="2">
        <f>Comuni__2[[#This Row],[Popolazione2011]]/$D$7911</f>
        <v>3.5928802542486987E-5</v>
      </c>
      <c r="F7013">
        <f>SUMIFS($D$2:$D$7909, $B$2:$B$7909, "Trentino-Alto Adige/Südtirol")</f>
        <v>1026433</v>
      </c>
      <c r="G7013" s="1">
        <f>Comuni__2[[#This Row],[Popolazione2011]]/Comuni__2[[#This Row],[POPOLAZIONE TOTALE DI OGNI REGIONE (CON FILTRO)]]</f>
        <v>2.0800188614356709E-3</v>
      </c>
      <c r="H7013" t="str">
        <f>IF(Comuni__2[[#This Row],[Popolazione2011]]&gt;300000,"MAGGIORE","")</f>
        <v/>
      </c>
    </row>
    <row r="7014" spans="1:8" x14ac:dyDescent="0.2">
      <c r="A7014"/>
      <c r="B7014"/>
      <c r="C7014"/>
      <c r="D7014"/>
      <c r="E7014" s="2">
        <f>Comuni__2[[#This Row],[Popolazione2011]]/$D$7911</f>
        <v>3.5878317105659139E-5</v>
      </c>
      <c r="F7014">
        <f>SUMIFS($D$2:$D$7909, $B$2:$B$7909, "Trentino-Alto Adige/Südtirol")</f>
        <v>1026433</v>
      </c>
      <c r="G7014" s="1">
        <f>Comuni__2[[#This Row],[Popolazione2011]]/Comuni__2[[#This Row],[POPOLAZIONE TOTALE DI OGNI REGIONE (CON FILTRO)]]</f>
        <v>2.0770961183048478E-3</v>
      </c>
      <c r="H7014" t="str">
        <f>IF(Comuni__2[[#This Row],[Popolazione2011]]&gt;300000,"MAGGIORE","")</f>
        <v/>
      </c>
    </row>
    <row r="7015" spans="1:8" x14ac:dyDescent="0.2">
      <c r="A7015"/>
      <c r="B7015"/>
      <c r="C7015"/>
      <c r="D7015"/>
      <c r="E7015" s="2">
        <f>Comuni__2[[#This Row],[Popolazione2011]]/$D$7911</f>
        <v>3.5121035553241379E-5</v>
      </c>
      <c r="F7015">
        <f>SUMIFS($D$2:$D$7909, $B$2:$B$7909, "Trentino-Alto Adige/Südtirol")</f>
        <v>1026433</v>
      </c>
      <c r="G7015" s="1">
        <f>Comuni__2[[#This Row],[Popolazione2011]]/Comuni__2[[#This Row],[POPOLAZIONE TOTALE DI OGNI REGIONE (CON FILTRO)]]</f>
        <v>2.0332549713425038E-3</v>
      </c>
      <c r="H7015" t="str">
        <f>IF(Comuni__2[[#This Row],[Popolazione2011]]&gt;300000,"MAGGIORE","")</f>
        <v/>
      </c>
    </row>
    <row r="7016" spans="1:8" x14ac:dyDescent="0.2">
      <c r="A7016"/>
      <c r="B7016"/>
      <c r="C7016"/>
      <c r="D7016"/>
      <c r="E7016" s="2">
        <f>Comuni__2[[#This Row],[Popolazione2011]]/$D$7911</f>
        <v>3.5053721637470908E-5</v>
      </c>
      <c r="F7016">
        <f>SUMIFS($D$2:$D$7909, $B$2:$B$7909, "Trentino-Alto Adige/Südtirol")</f>
        <v>1026433</v>
      </c>
      <c r="G7016" s="1">
        <f>Comuni__2[[#This Row],[Popolazione2011]]/Comuni__2[[#This Row],[POPOLAZIONE TOTALE DI OGNI REGIONE (CON FILTRO)]]</f>
        <v>2.0293579805014065E-3</v>
      </c>
      <c r="H7016" t="str">
        <f>IF(Comuni__2[[#This Row],[Popolazione2011]]&gt;300000,"MAGGIORE","")</f>
        <v/>
      </c>
    </row>
    <row r="7017" spans="1:8" x14ac:dyDescent="0.2">
      <c r="A7017"/>
      <c r="B7017"/>
      <c r="C7017"/>
      <c r="D7017"/>
      <c r="E7017" s="2">
        <f>Comuni__2[[#This Row],[Popolazione2011]]/$D$7911</f>
        <v>3.3572815490520628E-5</v>
      </c>
      <c r="F7017">
        <f>SUMIFS($D$2:$D$7909, $B$2:$B$7909, "Trentino-Alto Adige/Südtirol")</f>
        <v>1026433</v>
      </c>
      <c r="G7017" s="1">
        <f>Comuni__2[[#This Row],[Popolazione2011]]/Comuni__2[[#This Row],[POPOLAZIONE TOTALE DI OGNI REGIONE (CON FILTRO)]]</f>
        <v>1.9436241819972663E-3</v>
      </c>
      <c r="H7017" t="str">
        <f>IF(Comuni__2[[#This Row],[Popolazione2011]]&gt;300000,"MAGGIORE","")</f>
        <v/>
      </c>
    </row>
    <row r="7018" spans="1:8" x14ac:dyDescent="0.2">
      <c r="A7018"/>
      <c r="B7018"/>
      <c r="C7018"/>
      <c r="D7018"/>
      <c r="E7018" s="2">
        <f>Comuni__2[[#This Row],[Popolazione2011]]/$D$7911</f>
        <v>3.3101618080127356E-5</v>
      </c>
      <c r="F7018">
        <f>SUMIFS($D$2:$D$7909, $B$2:$B$7909, "Trentino-Alto Adige/Südtirol")</f>
        <v>1026433</v>
      </c>
      <c r="G7018" s="1">
        <f>Comuni__2[[#This Row],[Popolazione2011]]/Comuni__2[[#This Row],[POPOLAZIONE TOTALE DI OGNI REGIONE (CON FILTRO)]]</f>
        <v>1.9163452461095853E-3</v>
      </c>
      <c r="H7018" t="str">
        <f>IF(Comuni__2[[#This Row],[Popolazione2011]]&gt;300000,"MAGGIORE","")</f>
        <v/>
      </c>
    </row>
    <row r="7019" spans="1:8" x14ac:dyDescent="0.2">
      <c r="A7019"/>
      <c r="B7019"/>
      <c r="C7019"/>
      <c r="D7019"/>
      <c r="E7019" s="2">
        <f>Comuni__2[[#This Row],[Popolazione2011]]/$D$7911</f>
        <v>3.2596763711848852E-5</v>
      </c>
      <c r="F7019">
        <f>SUMIFS($D$2:$D$7909, $B$2:$B$7909, "Trentino-Alto Adige/Südtirol")</f>
        <v>1026433</v>
      </c>
      <c r="G7019" s="1">
        <f>Comuni__2[[#This Row],[Popolazione2011]]/Comuni__2[[#This Row],[POPOLAZIONE TOTALE DI OGNI REGIONE (CON FILTRO)]]</f>
        <v>1.8871178148013557E-3</v>
      </c>
      <c r="H7019" t="str">
        <f>IF(Comuni__2[[#This Row],[Popolazione2011]]&gt;300000,"MAGGIORE","")</f>
        <v/>
      </c>
    </row>
    <row r="7020" spans="1:8" x14ac:dyDescent="0.2">
      <c r="A7020"/>
      <c r="B7020"/>
      <c r="C7020"/>
      <c r="D7020"/>
      <c r="E7020" s="2">
        <f>Comuni__2[[#This Row],[Popolazione2011]]/$D$7911</f>
        <v>3.2260194132996516E-5</v>
      </c>
      <c r="F7020">
        <f>SUMIFS($D$2:$D$7909, $B$2:$B$7909, "Trentino-Alto Adige/Südtirol")</f>
        <v>1026433</v>
      </c>
      <c r="G7020" s="1">
        <f>Comuni__2[[#This Row],[Popolazione2011]]/Comuni__2[[#This Row],[POPOLAZIONE TOTALE DI OGNI REGIONE (CON FILTRO)]]</f>
        <v>1.8676328605958695E-3</v>
      </c>
      <c r="H7020" t="str">
        <f>IF(Comuni__2[[#This Row],[Popolazione2011]]&gt;300000,"MAGGIORE","")</f>
        <v/>
      </c>
    </row>
    <row r="7021" spans="1:8" x14ac:dyDescent="0.2">
      <c r="A7021"/>
      <c r="B7021"/>
      <c r="C7021"/>
      <c r="D7021"/>
      <c r="E7021" s="2">
        <f>Comuni__2[[#This Row],[Popolazione2011]]/$D$7911</f>
        <v>3.2091909343570341E-5</v>
      </c>
      <c r="F7021">
        <f>SUMIFS($D$2:$D$7909, $B$2:$B$7909, "Trentino-Alto Adige/Südtirol")</f>
        <v>1026433</v>
      </c>
      <c r="G7021" s="1">
        <f>Comuni__2[[#This Row],[Popolazione2011]]/Comuni__2[[#This Row],[POPOLAZIONE TOTALE DI OGNI REGIONE (CON FILTRO)]]</f>
        <v>1.8578903834931262E-3</v>
      </c>
      <c r="H7021" t="str">
        <f>IF(Comuni__2[[#This Row],[Popolazione2011]]&gt;300000,"MAGGIORE","")</f>
        <v/>
      </c>
    </row>
    <row r="7022" spans="1:8" x14ac:dyDescent="0.2">
      <c r="A7022"/>
      <c r="B7022"/>
      <c r="C7022"/>
      <c r="D7022"/>
      <c r="E7022" s="2">
        <f>Comuni__2[[#This Row],[Popolazione2011]]/$D$7911</f>
        <v>3.2024595427799877E-5</v>
      </c>
      <c r="F7022">
        <f>SUMIFS($D$2:$D$7909, $B$2:$B$7909, "Trentino-Alto Adige/Südtirol")</f>
        <v>1026433</v>
      </c>
      <c r="G7022" s="1">
        <f>Comuni__2[[#This Row],[Popolazione2011]]/Comuni__2[[#This Row],[POPOLAZIONE TOTALE DI OGNI REGIONE (CON FILTRO)]]</f>
        <v>1.8539933926520289E-3</v>
      </c>
      <c r="H7022" t="str">
        <f>IF(Comuni__2[[#This Row],[Popolazione2011]]&gt;300000,"MAGGIORE","")</f>
        <v/>
      </c>
    </row>
    <row r="7023" spans="1:8" x14ac:dyDescent="0.2">
      <c r="A7023"/>
      <c r="B7023"/>
      <c r="C7023"/>
      <c r="D7023"/>
      <c r="E7023" s="2">
        <f>Comuni__2[[#This Row],[Popolazione2011]]/$D$7911</f>
        <v>3.1856310638373708E-5</v>
      </c>
      <c r="F7023">
        <f>SUMIFS($D$2:$D$7909, $B$2:$B$7909, "Trentino-Alto Adige/Südtirol")</f>
        <v>1026433</v>
      </c>
      <c r="G7023" s="1">
        <f>Comuni__2[[#This Row],[Popolazione2011]]/Comuni__2[[#This Row],[POPOLAZIONE TOTALE DI OGNI REGIONE (CON FILTRO)]]</f>
        <v>1.8442509155492857E-3</v>
      </c>
      <c r="H7023" t="str">
        <f>IF(Comuni__2[[#This Row],[Popolazione2011]]&gt;300000,"MAGGIORE","")</f>
        <v/>
      </c>
    </row>
    <row r="7024" spans="1:8" x14ac:dyDescent="0.2">
      <c r="A7024"/>
      <c r="B7024"/>
      <c r="C7024"/>
      <c r="D7024"/>
      <c r="E7024" s="2">
        <f>Comuni__2[[#This Row],[Popolazione2011]]/$D$7911</f>
        <v>3.1822653680488476E-5</v>
      </c>
      <c r="F7024">
        <f>SUMIFS($D$2:$D$7909, $B$2:$B$7909, "Trentino-Alto Adige/Südtirol")</f>
        <v>1026433</v>
      </c>
      <c r="G7024" s="1">
        <f>Comuni__2[[#This Row],[Popolazione2011]]/Comuni__2[[#This Row],[POPOLAZIONE TOTALE DI OGNI REGIONE (CON FILTRO)]]</f>
        <v>1.842302420128737E-3</v>
      </c>
      <c r="H7024" t="str">
        <f>IF(Comuni__2[[#This Row],[Popolazione2011]]&gt;300000,"MAGGIORE","")</f>
        <v/>
      </c>
    </row>
    <row r="7025" spans="1:8" x14ac:dyDescent="0.2">
      <c r="A7025"/>
      <c r="B7025"/>
      <c r="C7025"/>
      <c r="D7025"/>
      <c r="E7025" s="2">
        <f>Comuni__2[[#This Row],[Popolazione2011]]/$D$7911</f>
        <v>3.148608410163614E-5</v>
      </c>
      <c r="F7025">
        <f>SUMIFS($D$2:$D$7909, $B$2:$B$7909, "Trentino-Alto Adige/Südtirol")</f>
        <v>1026433</v>
      </c>
      <c r="G7025" s="1">
        <f>Comuni__2[[#This Row],[Popolazione2011]]/Comuni__2[[#This Row],[POPOLAZIONE TOTALE DI OGNI REGIONE (CON FILTRO)]]</f>
        <v>1.8228174659232507E-3</v>
      </c>
      <c r="H7025" t="str">
        <f>IF(Comuni__2[[#This Row],[Popolazione2011]]&gt;300000,"MAGGIORE","")</f>
        <v/>
      </c>
    </row>
    <row r="7026" spans="1:8" x14ac:dyDescent="0.2">
      <c r="A7026"/>
      <c r="B7026"/>
      <c r="C7026"/>
      <c r="D7026"/>
      <c r="E7026" s="2">
        <f>Comuni__2[[#This Row],[Popolazione2011]]/$D$7911</f>
        <v>3.1452427143750901E-5</v>
      </c>
      <c r="F7026">
        <f>SUMIFS($D$2:$D$7909, $B$2:$B$7909, "Trentino-Alto Adige/Südtirol")</f>
        <v>1026433</v>
      </c>
      <c r="G7026" s="1">
        <f>Comuni__2[[#This Row],[Popolazione2011]]/Comuni__2[[#This Row],[POPOLAZIONE TOTALE DI OGNI REGIONE (CON FILTRO)]]</f>
        <v>1.8208689705027021E-3</v>
      </c>
      <c r="H7026" t="str">
        <f>IF(Comuni__2[[#This Row],[Popolazione2011]]&gt;300000,"MAGGIORE","")</f>
        <v/>
      </c>
    </row>
    <row r="7027" spans="1:8" x14ac:dyDescent="0.2">
      <c r="A7027"/>
      <c r="B7027"/>
      <c r="C7027"/>
      <c r="D7027"/>
      <c r="E7027" s="2">
        <f>Comuni__2[[#This Row],[Popolazione2011]]/$D$7911</f>
        <v>3.1199999959611652E-5</v>
      </c>
      <c r="F7027">
        <f>SUMIFS($D$2:$D$7909, $B$2:$B$7909, "Trentino-Alto Adige/Südtirol")</f>
        <v>1026433</v>
      </c>
      <c r="G7027" s="1">
        <f>Comuni__2[[#This Row],[Popolazione2011]]/Comuni__2[[#This Row],[POPOLAZIONE TOTALE DI OGNI REGIONE (CON FILTRO)]]</f>
        <v>1.8062552548485872E-3</v>
      </c>
      <c r="H7027" t="str">
        <f>IF(Comuni__2[[#This Row],[Popolazione2011]]&gt;300000,"MAGGIORE","")</f>
        <v/>
      </c>
    </row>
    <row r="7028" spans="1:8" x14ac:dyDescent="0.2">
      <c r="A7028"/>
      <c r="B7028"/>
      <c r="C7028"/>
      <c r="D7028"/>
      <c r="E7028" s="2">
        <f>Comuni__2[[#This Row],[Popolazione2011]]/$D$7911</f>
        <v>3.0829773422874077E-5</v>
      </c>
      <c r="F7028">
        <f>SUMIFS($D$2:$D$7909, $B$2:$B$7909, "Trentino-Alto Adige/Südtirol")</f>
        <v>1026433</v>
      </c>
      <c r="G7028" s="1">
        <f>Comuni__2[[#This Row],[Popolazione2011]]/Comuni__2[[#This Row],[POPOLAZIONE TOTALE DI OGNI REGIONE (CON FILTRO)]]</f>
        <v>1.7848218052225523E-3</v>
      </c>
      <c r="H7028" t="str">
        <f>IF(Comuni__2[[#This Row],[Popolazione2011]]&gt;300000,"MAGGIORE","")</f>
        <v/>
      </c>
    </row>
    <row r="7029" spans="1:8" x14ac:dyDescent="0.2">
      <c r="A7029"/>
      <c r="B7029"/>
      <c r="C7029"/>
      <c r="D7029"/>
      <c r="E7029" s="2">
        <f>Comuni__2[[#This Row],[Popolazione2011]]/$D$7911</f>
        <v>3.0812944943931461E-5</v>
      </c>
      <c r="F7029">
        <f>SUMIFS($D$2:$D$7909, $B$2:$B$7909, "Trentino-Alto Adige/Südtirol")</f>
        <v>1026433</v>
      </c>
      <c r="G7029" s="1">
        <f>Comuni__2[[#This Row],[Popolazione2011]]/Comuni__2[[#This Row],[POPOLAZIONE TOTALE DI OGNI REGIONE (CON FILTRO)]]</f>
        <v>1.783847557512278E-3</v>
      </c>
      <c r="H7029" t="str">
        <f>IF(Comuni__2[[#This Row],[Popolazione2011]]&gt;300000,"MAGGIORE","")</f>
        <v/>
      </c>
    </row>
    <row r="7030" spans="1:8" x14ac:dyDescent="0.2">
      <c r="A7030"/>
      <c r="B7030"/>
      <c r="C7030"/>
      <c r="D7030"/>
      <c r="E7030" s="2">
        <f>Comuni__2[[#This Row],[Popolazione2011]]/$D$7911</f>
        <v>2.9668608375833517E-5</v>
      </c>
      <c r="F7030">
        <f>SUMIFS($D$2:$D$7909, $B$2:$B$7909, "Trentino-Alto Adige/Südtirol")</f>
        <v>1026433</v>
      </c>
      <c r="G7030" s="1">
        <f>Comuni__2[[#This Row],[Popolazione2011]]/Comuni__2[[#This Row],[POPOLAZIONE TOTALE DI OGNI REGIONE (CON FILTRO)]]</f>
        <v>1.7175987132136243E-3</v>
      </c>
      <c r="H7030" t="str">
        <f>IF(Comuni__2[[#This Row],[Popolazione2011]]&gt;300000,"MAGGIORE","")</f>
        <v/>
      </c>
    </row>
    <row r="7031" spans="1:8" x14ac:dyDescent="0.2">
      <c r="A7031"/>
      <c r="B7031"/>
      <c r="C7031"/>
      <c r="D7031"/>
      <c r="E7031" s="2">
        <f>Comuni__2[[#This Row],[Popolazione2011]]/$D$7911</f>
        <v>2.9567637502177817E-5</v>
      </c>
      <c r="F7031">
        <f>SUMIFS($D$2:$D$7909, $B$2:$B$7909, "Trentino-Alto Adige/Südtirol")</f>
        <v>1026433</v>
      </c>
      <c r="G7031" s="1">
        <f>Comuni__2[[#This Row],[Popolazione2011]]/Comuni__2[[#This Row],[POPOLAZIONE TOTALE DI OGNI REGIONE (CON FILTRO)]]</f>
        <v>1.7117532269519784E-3</v>
      </c>
      <c r="H7031" t="str">
        <f>IF(Comuni__2[[#This Row],[Popolazione2011]]&gt;300000,"MAGGIORE","")</f>
        <v/>
      </c>
    </row>
    <row r="7032" spans="1:8" x14ac:dyDescent="0.2">
      <c r="A7032"/>
      <c r="B7032"/>
      <c r="C7032"/>
      <c r="D7032"/>
      <c r="E7032" s="2">
        <f>Comuni__2[[#This Row],[Popolazione2011]]/$D$7911</f>
        <v>2.916375400755501E-5</v>
      </c>
      <c r="F7032">
        <f>SUMIFS($D$2:$D$7909, $B$2:$B$7909, "Trentino-Alto Adige/Südtirol")</f>
        <v>1026433</v>
      </c>
      <c r="G7032" s="1">
        <f>Comuni__2[[#This Row],[Popolazione2011]]/Comuni__2[[#This Row],[POPOLAZIONE TOTALE DI OGNI REGIONE (CON FILTRO)]]</f>
        <v>1.6883712819053948E-3</v>
      </c>
      <c r="H7032" t="str">
        <f>IF(Comuni__2[[#This Row],[Popolazione2011]]&gt;300000,"MAGGIORE","")</f>
        <v/>
      </c>
    </row>
    <row r="7033" spans="1:8" x14ac:dyDescent="0.2">
      <c r="A7033"/>
      <c r="B7033"/>
      <c r="C7033"/>
      <c r="D7033"/>
      <c r="E7033" s="2">
        <f>Comuni__2[[#This Row],[Popolazione2011]]/$D$7911</f>
        <v>2.9096440091784542E-5</v>
      </c>
      <c r="F7033">
        <f>SUMIFS($D$2:$D$7909, $B$2:$B$7909, "Trentino-Alto Adige/Südtirol")</f>
        <v>1026433</v>
      </c>
      <c r="G7033" s="1">
        <f>Comuni__2[[#This Row],[Popolazione2011]]/Comuni__2[[#This Row],[POPOLAZIONE TOTALE DI OGNI REGIONE (CON FILTRO)]]</f>
        <v>1.6844742910642975E-3</v>
      </c>
      <c r="H7033" t="str">
        <f>IF(Comuni__2[[#This Row],[Popolazione2011]]&gt;300000,"MAGGIORE","")</f>
        <v/>
      </c>
    </row>
    <row r="7034" spans="1:8" x14ac:dyDescent="0.2">
      <c r="A7034"/>
      <c r="B7034"/>
      <c r="C7034"/>
      <c r="D7034"/>
      <c r="E7034" s="2">
        <f>Comuni__2[[#This Row],[Popolazione2011]]/$D$7911</f>
        <v>2.8255016144653702E-5</v>
      </c>
      <c r="F7034">
        <f>SUMIFS($D$2:$D$7909, $B$2:$B$7909, "Trentino-Alto Adige/Südtirol")</f>
        <v>1026433</v>
      </c>
      <c r="G7034" s="1">
        <f>Comuni__2[[#This Row],[Popolazione2011]]/Comuni__2[[#This Row],[POPOLAZIONE TOTALE DI OGNI REGIONE (CON FILTRO)]]</f>
        <v>1.6357619055505815E-3</v>
      </c>
      <c r="H7034" t="str">
        <f>IF(Comuni__2[[#This Row],[Popolazione2011]]&gt;300000,"MAGGIORE","")</f>
        <v/>
      </c>
    </row>
    <row r="7035" spans="1:8" x14ac:dyDescent="0.2">
      <c r="A7035"/>
      <c r="B7035"/>
      <c r="C7035"/>
      <c r="D7035"/>
      <c r="E7035" s="2">
        <f>Comuni__2[[#This Row],[Popolazione2011]]/$D$7911</f>
        <v>2.8019417439457066E-5</v>
      </c>
      <c r="F7035">
        <f>SUMIFS($D$2:$D$7909, $B$2:$B$7909, "Trentino-Alto Adige/Südtirol")</f>
        <v>1026433</v>
      </c>
      <c r="G7035" s="1">
        <f>Comuni__2[[#This Row],[Popolazione2011]]/Comuni__2[[#This Row],[POPOLAZIONE TOTALE DI OGNI REGIONE (CON FILTRO)]]</f>
        <v>1.6221224376067409E-3</v>
      </c>
      <c r="H7035" t="str">
        <f>IF(Comuni__2[[#This Row],[Popolazione2011]]&gt;300000,"MAGGIORE","")</f>
        <v/>
      </c>
    </row>
    <row r="7036" spans="1:8" x14ac:dyDescent="0.2">
      <c r="A7036"/>
      <c r="B7036"/>
      <c r="C7036"/>
      <c r="D7036"/>
      <c r="E7036" s="2">
        <f>Comuni__2[[#This Row],[Popolazione2011]]/$D$7911</f>
        <v>2.778381873426043E-5</v>
      </c>
      <c r="F7036">
        <f>SUMIFS($D$2:$D$7909, $B$2:$B$7909, "Trentino-Alto Adige/Südtirol")</f>
        <v>1026433</v>
      </c>
      <c r="G7036" s="1">
        <f>Comuni__2[[#This Row],[Popolazione2011]]/Comuni__2[[#This Row],[POPOLAZIONE TOTALE DI OGNI REGIONE (CON FILTRO)]]</f>
        <v>1.6084829696629006E-3</v>
      </c>
      <c r="H7036" t="str">
        <f>IF(Comuni__2[[#This Row],[Popolazione2011]]&gt;300000,"MAGGIORE","")</f>
        <v/>
      </c>
    </row>
    <row r="7037" spans="1:8" x14ac:dyDescent="0.2">
      <c r="A7037"/>
      <c r="B7037"/>
      <c r="C7037"/>
      <c r="D7037"/>
      <c r="E7037" s="2">
        <f>Comuni__2[[#This Row],[Popolazione2011]]/$D$7911</f>
        <v>2.7733333297432578E-5</v>
      </c>
      <c r="F7037">
        <f>SUMIFS($D$2:$D$7909, $B$2:$B$7909, "Trentino-Alto Adige/Südtirol")</f>
        <v>1026433</v>
      </c>
      <c r="G7037" s="1">
        <f>Comuni__2[[#This Row],[Popolazione2011]]/Comuni__2[[#This Row],[POPOLAZIONE TOTALE DI OGNI REGIONE (CON FILTRO)]]</f>
        <v>1.6055602265320776E-3</v>
      </c>
      <c r="H7037" t="str">
        <f>IF(Comuni__2[[#This Row],[Popolazione2011]]&gt;300000,"MAGGIORE","")</f>
        <v/>
      </c>
    </row>
    <row r="7038" spans="1:8" x14ac:dyDescent="0.2">
      <c r="A7038"/>
      <c r="B7038"/>
      <c r="C7038"/>
      <c r="D7038"/>
      <c r="E7038" s="2">
        <f>Comuni__2[[#This Row],[Popolazione2011]]/$D$7911</f>
        <v>2.7598705465891642E-5</v>
      </c>
      <c r="F7038">
        <f>SUMIFS($D$2:$D$7909, $B$2:$B$7909, "Trentino-Alto Adige/Südtirol")</f>
        <v>1026433</v>
      </c>
      <c r="G7038" s="1">
        <f>Comuni__2[[#This Row],[Popolazione2011]]/Comuni__2[[#This Row],[POPOLAZIONE TOTALE DI OGNI REGIONE (CON FILTRO)]]</f>
        <v>1.597766244849883E-3</v>
      </c>
      <c r="H7038" t="str">
        <f>IF(Comuni__2[[#This Row],[Popolazione2011]]&gt;300000,"MAGGIORE","")</f>
        <v/>
      </c>
    </row>
    <row r="7039" spans="1:8" x14ac:dyDescent="0.2">
      <c r="A7039"/>
      <c r="B7039"/>
      <c r="C7039"/>
      <c r="D7039"/>
      <c r="E7039" s="2">
        <f>Comuni__2[[#This Row],[Popolazione2011]]/$D$7911</f>
        <v>2.7379935239637626E-5</v>
      </c>
      <c r="F7039">
        <f>SUMIFS($D$2:$D$7909, $B$2:$B$7909, "Trentino-Alto Adige/Südtirol")</f>
        <v>1026433</v>
      </c>
      <c r="G7039" s="1">
        <f>Comuni__2[[#This Row],[Popolazione2011]]/Comuni__2[[#This Row],[POPOLAZIONE TOTALE DI OGNI REGIONE (CON FILTRO)]]</f>
        <v>1.5851010246163168E-3</v>
      </c>
      <c r="H7039" t="str">
        <f>IF(Comuni__2[[#This Row],[Popolazione2011]]&gt;300000,"MAGGIORE","")</f>
        <v/>
      </c>
    </row>
    <row r="7040" spans="1:8" x14ac:dyDescent="0.2">
      <c r="A7040"/>
      <c r="B7040"/>
      <c r="C7040"/>
      <c r="D7040"/>
      <c r="E7040" s="2">
        <f>Comuni__2[[#This Row],[Popolazione2011]]/$D$7911</f>
        <v>2.7177993492326222E-5</v>
      </c>
      <c r="F7040">
        <f>SUMIFS($D$2:$D$7909, $B$2:$B$7909, "Trentino-Alto Adige/Südtirol")</f>
        <v>1026433</v>
      </c>
      <c r="G7040" s="1">
        <f>Comuni__2[[#This Row],[Popolazione2011]]/Comuni__2[[#This Row],[POPOLAZIONE TOTALE DI OGNI REGIONE (CON FILTRO)]]</f>
        <v>1.5734100520930251E-3</v>
      </c>
      <c r="H7040" t="str">
        <f>IF(Comuni__2[[#This Row],[Popolazione2011]]&gt;300000,"MAGGIORE","")</f>
        <v/>
      </c>
    </row>
    <row r="7041" spans="1:8" x14ac:dyDescent="0.2">
      <c r="A7041"/>
      <c r="B7041"/>
      <c r="C7041"/>
      <c r="D7041"/>
      <c r="E7041" s="2">
        <f>Comuni__2[[#This Row],[Popolazione2011]]/$D$7911</f>
        <v>2.7043365660785286E-5</v>
      </c>
      <c r="F7041">
        <f>SUMIFS($D$2:$D$7909, $B$2:$B$7909, "Trentino-Alto Adige/Südtirol")</f>
        <v>1026433</v>
      </c>
      <c r="G7041" s="1">
        <f>Comuni__2[[#This Row],[Popolazione2011]]/Comuni__2[[#This Row],[POPOLAZIONE TOTALE DI OGNI REGIONE (CON FILTRO)]]</f>
        <v>1.5656160704108305E-3</v>
      </c>
      <c r="H7041" t="str">
        <f>IF(Comuni__2[[#This Row],[Popolazione2011]]&gt;300000,"MAGGIORE","")</f>
        <v/>
      </c>
    </row>
    <row r="7042" spans="1:8" x14ac:dyDescent="0.2">
      <c r="A7042"/>
      <c r="B7042"/>
      <c r="C7042"/>
      <c r="D7042"/>
      <c r="E7042" s="2">
        <f>Comuni__2[[#This Row],[Popolazione2011]]/$D$7911</f>
        <v>2.692556630818697E-5</v>
      </c>
      <c r="F7042">
        <f>SUMIFS($D$2:$D$7909, $B$2:$B$7909, "Trentino-Alto Adige/Südtirol")</f>
        <v>1026433</v>
      </c>
      <c r="G7042" s="1">
        <f>Comuni__2[[#This Row],[Popolazione2011]]/Comuni__2[[#This Row],[POPOLAZIONE TOTALE DI OGNI REGIONE (CON FILTRO)]]</f>
        <v>1.5587963364389102E-3</v>
      </c>
      <c r="H7042" t="str">
        <f>IF(Comuni__2[[#This Row],[Popolazione2011]]&gt;300000,"MAGGIORE","")</f>
        <v/>
      </c>
    </row>
    <row r="7043" spans="1:8" x14ac:dyDescent="0.2">
      <c r="A7043"/>
      <c r="B7043"/>
      <c r="C7043"/>
      <c r="D7043"/>
      <c r="E7043" s="2">
        <f>Comuni__2[[#This Row],[Popolazione2011]]/$D$7911</f>
        <v>2.6858252392416502E-5</v>
      </c>
      <c r="F7043">
        <f>SUMIFS($D$2:$D$7909, $B$2:$B$7909, "Trentino-Alto Adige/Südtirol")</f>
        <v>1026433</v>
      </c>
      <c r="G7043" s="1">
        <f>Comuni__2[[#This Row],[Popolazione2011]]/Comuni__2[[#This Row],[POPOLAZIONE TOTALE DI OGNI REGIONE (CON FILTRO)]]</f>
        <v>1.5548993455978129E-3</v>
      </c>
      <c r="H7043" t="str">
        <f>IF(Comuni__2[[#This Row],[Popolazione2011]]&gt;300000,"MAGGIORE","")</f>
        <v/>
      </c>
    </row>
    <row r="7044" spans="1:8" x14ac:dyDescent="0.2">
      <c r="A7044"/>
      <c r="B7044"/>
      <c r="C7044"/>
      <c r="D7044"/>
      <c r="E7044" s="2">
        <f>Comuni__2[[#This Row],[Popolazione2011]]/$D$7911</f>
        <v>2.6790938476646034E-5</v>
      </c>
      <c r="F7044">
        <f>SUMIFS($D$2:$D$7909, $B$2:$B$7909, "Trentino-Alto Adige/Südtirol")</f>
        <v>1026433</v>
      </c>
      <c r="G7044" s="1">
        <f>Comuni__2[[#This Row],[Popolazione2011]]/Comuni__2[[#This Row],[POPOLAZIONE TOTALE DI OGNI REGIONE (CON FILTRO)]]</f>
        <v>1.5510023547567156E-3</v>
      </c>
      <c r="H7044" t="str">
        <f>IF(Comuni__2[[#This Row],[Popolazione2011]]&gt;300000,"MAGGIORE","")</f>
        <v/>
      </c>
    </row>
    <row r="7045" spans="1:8" x14ac:dyDescent="0.2">
      <c r="A7045"/>
      <c r="B7045"/>
      <c r="C7045"/>
      <c r="D7045"/>
      <c r="E7045" s="2">
        <f>Comuni__2[[#This Row],[Popolazione2011]]/$D$7911</f>
        <v>2.6656310645105099E-5</v>
      </c>
      <c r="F7045">
        <f>SUMIFS($D$2:$D$7909, $B$2:$B$7909, "Trentino-Alto Adige/Südtirol")</f>
        <v>1026433</v>
      </c>
      <c r="G7045" s="1">
        <f>Comuni__2[[#This Row],[Popolazione2011]]/Comuni__2[[#This Row],[POPOLAZIONE TOTALE DI OGNI REGIONE (CON FILTRO)]]</f>
        <v>1.5432083730745213E-3</v>
      </c>
      <c r="H7045" t="str">
        <f>IF(Comuni__2[[#This Row],[Popolazione2011]]&gt;300000,"MAGGIORE","")</f>
        <v/>
      </c>
    </row>
    <row r="7046" spans="1:8" x14ac:dyDescent="0.2">
      <c r="A7046"/>
      <c r="B7046"/>
      <c r="C7046"/>
      <c r="D7046"/>
      <c r="E7046" s="2">
        <f>Comuni__2[[#This Row],[Popolazione2011]]/$D$7911</f>
        <v>2.6471197376736314E-5</v>
      </c>
      <c r="F7046">
        <f>SUMIFS($D$2:$D$7909, $B$2:$B$7909, "Trentino-Alto Adige/Südtirol")</f>
        <v>1026433</v>
      </c>
      <c r="G7046" s="1">
        <f>Comuni__2[[#This Row],[Popolazione2011]]/Comuni__2[[#This Row],[POPOLAZIONE TOTALE DI OGNI REGIONE (CON FILTRO)]]</f>
        <v>1.5324916482615037E-3</v>
      </c>
      <c r="H7046" t="str">
        <f>IF(Comuni__2[[#This Row],[Popolazione2011]]&gt;300000,"MAGGIORE","")</f>
        <v/>
      </c>
    </row>
    <row r="7047" spans="1:8" x14ac:dyDescent="0.2">
      <c r="A7047"/>
      <c r="B7047"/>
      <c r="C7047"/>
      <c r="D7047"/>
      <c r="E7047" s="2">
        <f>Comuni__2[[#This Row],[Popolazione2011]]/$D$7911</f>
        <v>2.5932686050572575E-5</v>
      </c>
      <c r="F7047">
        <f>SUMIFS($D$2:$D$7909, $B$2:$B$7909, "Trentino-Alto Adige/Südtirol")</f>
        <v>1026433</v>
      </c>
      <c r="G7047" s="1">
        <f>Comuni__2[[#This Row],[Popolazione2011]]/Comuni__2[[#This Row],[POPOLAZIONE TOTALE DI OGNI REGIONE (CON FILTRO)]]</f>
        <v>1.5013157215327255E-3</v>
      </c>
      <c r="H7047" t="str">
        <f>IF(Comuni__2[[#This Row],[Popolazione2011]]&gt;300000,"MAGGIORE","")</f>
        <v/>
      </c>
    </row>
    <row r="7048" spans="1:8" x14ac:dyDescent="0.2">
      <c r="A7048"/>
      <c r="B7048"/>
      <c r="C7048"/>
      <c r="D7048"/>
      <c r="E7048" s="2">
        <f>Comuni__2[[#This Row],[Popolazione2011]]/$D$7911</f>
        <v>2.5764401261146407E-5</v>
      </c>
      <c r="F7048">
        <f>SUMIFS($D$2:$D$7909, $B$2:$B$7909, "Trentino-Alto Adige/Südtirol")</f>
        <v>1026433</v>
      </c>
      <c r="G7048" s="1">
        <f>Comuni__2[[#This Row],[Popolazione2011]]/Comuni__2[[#This Row],[POPOLAZIONE TOTALE DI OGNI REGIONE (CON FILTRO)]]</f>
        <v>1.4915732444299823E-3</v>
      </c>
      <c r="H7048" t="str">
        <f>IF(Comuni__2[[#This Row],[Popolazione2011]]&gt;300000,"MAGGIORE","")</f>
        <v/>
      </c>
    </row>
    <row r="7049" spans="1:8" x14ac:dyDescent="0.2">
      <c r="A7049"/>
      <c r="B7049"/>
      <c r="C7049"/>
      <c r="D7049"/>
      <c r="E7049" s="2">
        <f>Comuni__2[[#This Row],[Popolazione2011]]/$D$7911</f>
        <v>2.5697087345375939E-5</v>
      </c>
      <c r="F7049">
        <f>SUMIFS($D$2:$D$7909, $B$2:$B$7909, "Trentino-Alto Adige/Südtirol")</f>
        <v>1026433</v>
      </c>
      <c r="G7049" s="1">
        <f>Comuni__2[[#This Row],[Popolazione2011]]/Comuni__2[[#This Row],[POPOLAZIONE TOTALE DI OGNI REGIONE (CON FILTRO)]]</f>
        <v>1.487676253588885E-3</v>
      </c>
      <c r="H7049" t="str">
        <f>IF(Comuni__2[[#This Row],[Popolazione2011]]&gt;300000,"MAGGIORE","")</f>
        <v/>
      </c>
    </row>
    <row r="7050" spans="1:8" x14ac:dyDescent="0.2">
      <c r="A7050"/>
      <c r="B7050"/>
      <c r="C7050"/>
      <c r="D7050"/>
      <c r="E7050" s="2">
        <f>Comuni__2[[#This Row],[Popolazione2011]]/$D$7911</f>
        <v>2.5377346245466219E-5</v>
      </c>
      <c r="F7050">
        <f>SUMIFS($D$2:$D$7909, $B$2:$B$7909, "Trentino-Alto Adige/Südtirol")</f>
        <v>1026433</v>
      </c>
      <c r="G7050" s="1">
        <f>Comuni__2[[#This Row],[Popolazione2011]]/Comuni__2[[#This Row],[POPOLAZIONE TOTALE DI OGNI REGIONE (CON FILTRO)]]</f>
        <v>1.469165547093673E-3</v>
      </c>
      <c r="H7050" t="str">
        <f>IF(Comuni__2[[#This Row],[Popolazione2011]]&gt;300000,"MAGGIORE","")</f>
        <v/>
      </c>
    </row>
    <row r="7051" spans="1:8" x14ac:dyDescent="0.2">
      <c r="A7051"/>
      <c r="B7051"/>
      <c r="C7051"/>
      <c r="D7051"/>
      <c r="E7051" s="2">
        <f>Comuni__2[[#This Row],[Popolazione2011]]/$D$7911</f>
        <v>2.5209061456040051E-5</v>
      </c>
      <c r="F7051">
        <f>SUMIFS($D$2:$D$7909, $B$2:$B$7909, "Trentino-Alto Adige/Südtirol")</f>
        <v>1026433</v>
      </c>
      <c r="G7051" s="1">
        <f>Comuni__2[[#This Row],[Popolazione2011]]/Comuni__2[[#This Row],[POPOLAZIONE TOTALE DI OGNI REGIONE (CON FILTRO)]]</f>
        <v>1.4594230699909298E-3</v>
      </c>
      <c r="H7051" t="str">
        <f>IF(Comuni__2[[#This Row],[Popolazione2011]]&gt;300000,"MAGGIORE","")</f>
        <v/>
      </c>
    </row>
    <row r="7052" spans="1:8" x14ac:dyDescent="0.2">
      <c r="A7052"/>
      <c r="B7052"/>
      <c r="C7052"/>
      <c r="D7052"/>
      <c r="E7052" s="2">
        <f>Comuni__2[[#This Row],[Popolazione2011]]/$D$7911</f>
        <v>2.4889320356130331E-5</v>
      </c>
      <c r="F7052">
        <f>SUMIFS($D$2:$D$7909, $B$2:$B$7909, "Trentino-Alto Adige/Südtirol")</f>
        <v>1026433</v>
      </c>
      <c r="G7052" s="1">
        <f>Comuni__2[[#This Row],[Popolazione2011]]/Comuni__2[[#This Row],[POPOLAZIONE TOTALE DI OGNI REGIONE (CON FILTRO)]]</f>
        <v>1.4409123634957176E-3</v>
      </c>
      <c r="H7052" t="str">
        <f>IF(Comuni__2[[#This Row],[Popolazione2011]]&gt;300000,"MAGGIORE","")</f>
        <v/>
      </c>
    </row>
    <row r="7053" spans="1:8" x14ac:dyDescent="0.2">
      <c r="A7053"/>
      <c r="B7053"/>
      <c r="C7053"/>
      <c r="D7053"/>
      <c r="E7053" s="2">
        <f>Comuni__2[[#This Row],[Popolazione2011]]/$D$7911</f>
        <v>2.4889320356130331E-5</v>
      </c>
      <c r="F7053">
        <f>SUMIFS($D$2:$D$7909, $B$2:$B$7909, "Trentino-Alto Adige/Südtirol")</f>
        <v>1026433</v>
      </c>
      <c r="G7053" s="1">
        <f>Comuni__2[[#This Row],[Popolazione2011]]/Comuni__2[[#This Row],[POPOLAZIONE TOTALE DI OGNI REGIONE (CON FILTRO)]]</f>
        <v>1.4409123634957176E-3</v>
      </c>
      <c r="H7053" t="str">
        <f>IF(Comuni__2[[#This Row],[Popolazione2011]]&gt;300000,"MAGGIORE","")</f>
        <v/>
      </c>
    </row>
    <row r="7054" spans="1:8" x14ac:dyDescent="0.2">
      <c r="A7054"/>
      <c r="B7054"/>
      <c r="C7054"/>
      <c r="D7054"/>
      <c r="E7054" s="2">
        <f>Comuni__2[[#This Row],[Popolazione2011]]/$D$7911</f>
        <v>2.4788349482474627E-5</v>
      </c>
      <c r="F7054">
        <f>SUMIFS($D$2:$D$7909, $B$2:$B$7909, "Trentino-Alto Adige/Südtirol")</f>
        <v>1026433</v>
      </c>
      <c r="G7054" s="1">
        <f>Comuni__2[[#This Row],[Popolazione2011]]/Comuni__2[[#This Row],[POPOLAZIONE TOTALE DI OGNI REGIONE (CON FILTRO)]]</f>
        <v>1.4350668772340719E-3</v>
      </c>
      <c r="H7054" t="str">
        <f>IF(Comuni__2[[#This Row],[Popolazione2011]]&gt;300000,"MAGGIORE","")</f>
        <v/>
      </c>
    </row>
    <row r="7055" spans="1:8" x14ac:dyDescent="0.2">
      <c r="A7055"/>
      <c r="B7055"/>
      <c r="C7055"/>
      <c r="D7055"/>
      <c r="E7055" s="2">
        <f>Comuni__2[[#This Row],[Popolazione2011]]/$D$7911</f>
        <v>2.4569579256220611E-5</v>
      </c>
      <c r="F7055">
        <f>SUMIFS($D$2:$D$7909, $B$2:$B$7909, "Trentino-Alto Adige/Südtirol")</f>
        <v>1026433</v>
      </c>
      <c r="G7055" s="1">
        <f>Comuni__2[[#This Row],[Popolazione2011]]/Comuni__2[[#This Row],[POPOLAZIONE TOTALE DI OGNI REGIONE (CON FILTRO)]]</f>
        <v>1.4224016570005057E-3</v>
      </c>
      <c r="H7055" t="str">
        <f>IF(Comuni__2[[#This Row],[Popolazione2011]]&gt;300000,"MAGGIORE","")</f>
        <v/>
      </c>
    </row>
    <row r="7056" spans="1:8" x14ac:dyDescent="0.2">
      <c r="A7056"/>
      <c r="B7056"/>
      <c r="C7056"/>
      <c r="D7056"/>
      <c r="E7056" s="2">
        <f>Comuni__2[[#This Row],[Popolazione2011]]/$D$7911</f>
        <v>2.4148867282655187E-5</v>
      </c>
      <c r="F7056">
        <f>SUMIFS($D$2:$D$7909, $B$2:$B$7909, "Trentino-Alto Adige/Südtirol")</f>
        <v>1026433</v>
      </c>
      <c r="G7056" s="1">
        <f>Comuni__2[[#This Row],[Popolazione2011]]/Comuni__2[[#This Row],[POPOLAZIONE TOTALE DI OGNI REGIONE (CON FILTRO)]]</f>
        <v>1.3980454642436478E-3</v>
      </c>
      <c r="H7056" t="str">
        <f>IF(Comuni__2[[#This Row],[Popolazione2011]]&gt;300000,"MAGGIORE","")</f>
        <v/>
      </c>
    </row>
    <row r="7057" spans="1:8" x14ac:dyDescent="0.2">
      <c r="A7057"/>
      <c r="B7057"/>
      <c r="C7057"/>
      <c r="D7057"/>
      <c r="E7057" s="2">
        <f>Comuni__2[[#This Row],[Popolazione2011]]/$D$7911</f>
        <v>2.3744983788032383E-5</v>
      </c>
      <c r="F7057">
        <f>SUMIFS($D$2:$D$7909, $B$2:$B$7909, "Trentino-Alto Adige/Südtirol")</f>
        <v>1026433</v>
      </c>
      <c r="G7057" s="1">
        <f>Comuni__2[[#This Row],[Popolazione2011]]/Comuni__2[[#This Row],[POPOLAZIONE TOTALE DI OGNI REGIONE (CON FILTRO)]]</f>
        <v>1.374663519197064E-3</v>
      </c>
      <c r="H7057" t="str">
        <f>IF(Comuni__2[[#This Row],[Popolazione2011]]&gt;300000,"MAGGIORE","")</f>
        <v/>
      </c>
    </row>
    <row r="7058" spans="1:8" x14ac:dyDescent="0.2">
      <c r="A7058"/>
      <c r="B7058"/>
      <c r="C7058"/>
      <c r="D7058"/>
      <c r="E7058" s="2">
        <f>Comuni__2[[#This Row],[Popolazione2011]]/$D$7911</f>
        <v>2.3610355956491448E-5</v>
      </c>
      <c r="F7058">
        <f>SUMIFS($D$2:$D$7909, $B$2:$B$7909, "Trentino-Alto Adige/Südtirol")</f>
        <v>1026433</v>
      </c>
      <c r="G7058" s="1">
        <f>Comuni__2[[#This Row],[Popolazione2011]]/Comuni__2[[#This Row],[POPOLAZIONE TOTALE DI OGNI REGIONE (CON FILTRO)]]</f>
        <v>1.3668695375148694E-3</v>
      </c>
      <c r="H7058" t="str">
        <f>IF(Comuni__2[[#This Row],[Popolazione2011]]&gt;300000,"MAGGIORE","")</f>
        <v/>
      </c>
    </row>
    <row r="7059" spans="1:8" x14ac:dyDescent="0.2">
      <c r="A7059"/>
      <c r="B7059"/>
      <c r="C7059"/>
      <c r="D7059"/>
      <c r="E7059" s="2">
        <f>Comuni__2[[#This Row],[Popolazione2011]]/$D$7911</f>
        <v>2.3576698998606215E-5</v>
      </c>
      <c r="F7059">
        <f>SUMIFS($D$2:$D$7909, $B$2:$B$7909, "Trentino-Alto Adige/Südtirol")</f>
        <v>1026433</v>
      </c>
      <c r="G7059" s="1">
        <f>Comuni__2[[#This Row],[Popolazione2011]]/Comuni__2[[#This Row],[POPOLAZIONE TOTALE DI OGNI REGIONE (CON FILTRO)]]</f>
        <v>1.3649210420943207E-3</v>
      </c>
      <c r="H7059" t="str">
        <f>IF(Comuni__2[[#This Row],[Popolazione2011]]&gt;300000,"MAGGIORE","")</f>
        <v/>
      </c>
    </row>
    <row r="7060" spans="1:8" x14ac:dyDescent="0.2">
      <c r="A7060"/>
      <c r="B7060"/>
      <c r="C7060"/>
      <c r="D7060"/>
      <c r="E7060" s="2">
        <f>Comuni__2[[#This Row],[Popolazione2011]]/$D$7911</f>
        <v>2.3559870519663599E-5</v>
      </c>
      <c r="F7060">
        <f>SUMIFS($D$2:$D$7909, $B$2:$B$7909, "Trentino-Alto Adige/Südtirol")</f>
        <v>1026433</v>
      </c>
      <c r="G7060" s="1">
        <f>Comuni__2[[#This Row],[Popolazione2011]]/Comuni__2[[#This Row],[POPOLAZIONE TOTALE DI OGNI REGIONE (CON FILTRO)]]</f>
        <v>1.3639467943840466E-3</v>
      </c>
      <c r="H7060" t="str">
        <f>IF(Comuni__2[[#This Row],[Popolazione2011]]&gt;300000,"MAGGIORE","")</f>
        <v/>
      </c>
    </row>
    <row r="7061" spans="1:8" x14ac:dyDescent="0.2">
      <c r="A7061"/>
      <c r="B7061"/>
      <c r="C7061"/>
      <c r="D7061"/>
      <c r="E7061" s="2">
        <f>Comuni__2[[#This Row],[Popolazione2011]]/$D$7911</f>
        <v>2.3492556603893131E-5</v>
      </c>
      <c r="F7061">
        <f>SUMIFS($D$2:$D$7909, $B$2:$B$7909, "Trentino-Alto Adige/Südtirol")</f>
        <v>1026433</v>
      </c>
      <c r="G7061" s="1">
        <f>Comuni__2[[#This Row],[Popolazione2011]]/Comuni__2[[#This Row],[POPOLAZIONE TOTALE DI OGNI REGIONE (CON FILTRO)]]</f>
        <v>1.3600498035429493E-3</v>
      </c>
      <c r="H7061" t="str">
        <f>IF(Comuni__2[[#This Row],[Popolazione2011]]&gt;300000,"MAGGIORE","")</f>
        <v/>
      </c>
    </row>
    <row r="7062" spans="1:8" x14ac:dyDescent="0.2">
      <c r="A7062"/>
      <c r="B7062"/>
      <c r="C7062"/>
      <c r="D7062"/>
      <c r="E7062" s="2">
        <f>Comuni__2[[#This Row],[Popolazione2011]]/$D$7911</f>
        <v>2.3273786377639112E-5</v>
      </c>
      <c r="F7062">
        <f>SUMIFS($D$2:$D$7909, $B$2:$B$7909, "Trentino-Alto Adige/Südtirol")</f>
        <v>1026433</v>
      </c>
      <c r="G7062" s="1">
        <f>Comuni__2[[#This Row],[Popolazione2011]]/Comuni__2[[#This Row],[POPOLAZIONE TOTALE DI OGNI REGIONE (CON FILTRO)]]</f>
        <v>1.3473845833093831E-3</v>
      </c>
      <c r="H7062" t="str">
        <f>IF(Comuni__2[[#This Row],[Popolazione2011]]&gt;300000,"MAGGIORE","")</f>
        <v/>
      </c>
    </row>
    <row r="7063" spans="1:8" x14ac:dyDescent="0.2">
      <c r="A7063"/>
      <c r="B7063"/>
      <c r="C7063"/>
      <c r="D7063"/>
      <c r="E7063" s="2">
        <f>Comuni__2[[#This Row],[Popolazione2011]]/$D$7911</f>
        <v>2.312233006715556E-5</v>
      </c>
      <c r="F7063">
        <f>SUMIFS($D$2:$D$7909, $B$2:$B$7909, "Trentino-Alto Adige/Südtirol")</f>
        <v>1026433</v>
      </c>
      <c r="G7063" s="1">
        <f>Comuni__2[[#This Row],[Popolazione2011]]/Comuni__2[[#This Row],[POPOLAZIONE TOTALE DI OGNI REGIONE (CON FILTRO)]]</f>
        <v>1.3386163539169142E-3</v>
      </c>
      <c r="H7063" t="str">
        <f>IF(Comuni__2[[#This Row],[Popolazione2011]]&gt;300000,"MAGGIORE","")</f>
        <v/>
      </c>
    </row>
    <row r="7064" spans="1:8" x14ac:dyDescent="0.2">
      <c r="A7064"/>
      <c r="B7064"/>
      <c r="C7064"/>
      <c r="D7064"/>
      <c r="E7064" s="2">
        <f>Comuni__2[[#This Row],[Popolazione2011]]/$D$7911</f>
        <v>2.280258896724584E-5</v>
      </c>
      <c r="F7064">
        <f>SUMIFS($D$2:$D$7909, $B$2:$B$7909, "Trentino-Alto Adige/Südtirol")</f>
        <v>1026433</v>
      </c>
      <c r="G7064" s="1">
        <f>Comuni__2[[#This Row],[Popolazione2011]]/Comuni__2[[#This Row],[POPOLAZIONE TOTALE DI OGNI REGIONE (CON FILTRO)]]</f>
        <v>1.3201056474217022E-3</v>
      </c>
      <c r="H7064" t="str">
        <f>IF(Comuni__2[[#This Row],[Popolazione2011]]&gt;300000,"MAGGIORE","")</f>
        <v/>
      </c>
    </row>
    <row r="7065" spans="1:8" x14ac:dyDescent="0.2">
      <c r="A7065"/>
      <c r="B7065"/>
      <c r="C7065"/>
      <c r="D7065"/>
      <c r="E7065" s="2">
        <f>Comuni__2[[#This Row],[Popolazione2011]]/$D$7911</f>
        <v>2.2600647219934436E-5</v>
      </c>
      <c r="F7065">
        <f>SUMIFS($D$2:$D$7909, $B$2:$B$7909, "Trentino-Alto Adige/Südtirol")</f>
        <v>1026433</v>
      </c>
      <c r="G7065" s="1">
        <f>Comuni__2[[#This Row],[Popolazione2011]]/Comuni__2[[#This Row],[POPOLAZIONE TOTALE DI OGNI REGIONE (CON FILTRO)]]</f>
        <v>1.3084146748984103E-3</v>
      </c>
      <c r="H7065" t="str">
        <f>IF(Comuni__2[[#This Row],[Popolazione2011]]&gt;300000,"MAGGIORE","")</f>
        <v/>
      </c>
    </row>
    <row r="7066" spans="1:8" x14ac:dyDescent="0.2">
      <c r="A7066"/>
      <c r="B7066"/>
      <c r="C7066"/>
      <c r="D7066"/>
      <c r="E7066" s="2">
        <f>Comuni__2[[#This Row],[Popolazione2011]]/$D$7911</f>
        <v>2.2432362430508268E-5</v>
      </c>
      <c r="F7066">
        <f>SUMIFS($D$2:$D$7909, $B$2:$B$7909, "Trentino-Alto Adige/Südtirol")</f>
        <v>1026433</v>
      </c>
      <c r="G7066" s="1">
        <f>Comuni__2[[#This Row],[Popolazione2011]]/Comuni__2[[#This Row],[POPOLAZIONE TOTALE DI OGNI REGIONE (CON FILTRO)]]</f>
        <v>1.2986721977956671E-3</v>
      </c>
      <c r="H7066" t="str">
        <f>IF(Comuni__2[[#This Row],[Popolazione2011]]&gt;300000,"MAGGIORE","")</f>
        <v/>
      </c>
    </row>
    <row r="7067" spans="1:8" x14ac:dyDescent="0.2">
      <c r="A7067"/>
      <c r="B7067"/>
      <c r="C7067"/>
      <c r="D7067"/>
      <c r="E7067" s="2">
        <f>Comuni__2[[#This Row],[Popolazione2011]]/$D$7911</f>
        <v>2.2230420683196868E-5</v>
      </c>
      <c r="F7067">
        <f>SUMIFS($D$2:$D$7909, $B$2:$B$7909, "Trentino-Alto Adige/Südtirol")</f>
        <v>1026433</v>
      </c>
      <c r="G7067" s="1">
        <f>Comuni__2[[#This Row],[Popolazione2011]]/Comuni__2[[#This Row],[POPOLAZIONE TOTALE DI OGNI REGIONE (CON FILTRO)]]</f>
        <v>1.2869812252723754E-3</v>
      </c>
      <c r="H7067" t="str">
        <f>IF(Comuni__2[[#This Row],[Popolazione2011]]&gt;300000,"MAGGIORE","")</f>
        <v/>
      </c>
    </row>
    <row r="7068" spans="1:8" x14ac:dyDescent="0.2">
      <c r="A7068"/>
      <c r="B7068"/>
      <c r="C7068"/>
      <c r="D7068"/>
      <c r="E7068" s="2">
        <f>Comuni__2[[#This Row],[Popolazione2011]]/$D$7911</f>
        <v>2.2213592204254248E-5</v>
      </c>
      <c r="F7068">
        <f>SUMIFS($D$2:$D$7909, $B$2:$B$7909, "Trentino-Alto Adige/Südtirol")</f>
        <v>1026433</v>
      </c>
      <c r="G7068" s="1">
        <f>Comuni__2[[#This Row],[Popolazione2011]]/Comuni__2[[#This Row],[POPOLAZIONE TOTALE DI OGNI REGIONE (CON FILTRO)]]</f>
        <v>1.2860069775621011E-3</v>
      </c>
      <c r="H7068" t="str">
        <f>IF(Comuni__2[[#This Row],[Popolazione2011]]&gt;300000,"MAGGIORE","")</f>
        <v/>
      </c>
    </row>
    <row r="7069" spans="1:8" x14ac:dyDescent="0.2">
      <c r="A7069"/>
      <c r="B7069"/>
      <c r="C7069"/>
      <c r="D7069"/>
      <c r="E7069" s="2">
        <f>Comuni__2[[#This Row],[Popolazione2011]]/$D$7911</f>
        <v>2.2196763725311632E-5</v>
      </c>
      <c r="F7069">
        <f>SUMIFS($D$2:$D$7909, $B$2:$B$7909, "Trentino-Alto Adige/Südtirol")</f>
        <v>1026433</v>
      </c>
      <c r="G7069" s="1">
        <f>Comuni__2[[#This Row],[Popolazione2011]]/Comuni__2[[#This Row],[POPOLAZIONE TOTALE DI OGNI REGIONE (CON FILTRO)]]</f>
        <v>1.2850327298518267E-3</v>
      </c>
      <c r="H7069" t="str">
        <f>IF(Comuni__2[[#This Row],[Popolazione2011]]&gt;300000,"MAGGIORE","")</f>
        <v/>
      </c>
    </row>
    <row r="7070" spans="1:8" x14ac:dyDescent="0.2">
      <c r="A7070"/>
      <c r="B7070"/>
      <c r="C7070"/>
      <c r="D7070"/>
      <c r="E7070" s="2">
        <f>Comuni__2[[#This Row],[Popolazione2011]]/$D$7911</f>
        <v>2.2129449809541164E-5</v>
      </c>
      <c r="F7070">
        <f>SUMIFS($D$2:$D$7909, $B$2:$B$7909, "Trentino-Alto Adige/Südtirol")</f>
        <v>1026433</v>
      </c>
      <c r="G7070" s="1">
        <f>Comuni__2[[#This Row],[Popolazione2011]]/Comuni__2[[#This Row],[POPOLAZIONE TOTALE DI OGNI REGIONE (CON FILTRO)]]</f>
        <v>1.2811357390107294E-3</v>
      </c>
      <c r="H7070" t="str">
        <f>IF(Comuni__2[[#This Row],[Popolazione2011]]&gt;300000,"MAGGIORE","")</f>
        <v/>
      </c>
    </row>
    <row r="7071" spans="1:8" x14ac:dyDescent="0.2">
      <c r="A7071"/>
      <c r="B7071"/>
      <c r="C7071"/>
      <c r="D7071"/>
      <c r="E7071" s="2">
        <f>Comuni__2[[#This Row],[Popolazione2011]]/$D$7911</f>
        <v>2.2129449809541164E-5</v>
      </c>
      <c r="F7071">
        <f>SUMIFS($D$2:$D$7909, $B$2:$B$7909, "Trentino-Alto Adige/Südtirol")</f>
        <v>1026433</v>
      </c>
      <c r="G7071" s="1">
        <f>Comuni__2[[#This Row],[Popolazione2011]]/Comuni__2[[#This Row],[POPOLAZIONE TOTALE DI OGNI REGIONE (CON FILTRO)]]</f>
        <v>1.2811357390107294E-3</v>
      </c>
      <c r="H7071" t="str">
        <f>IF(Comuni__2[[#This Row],[Popolazione2011]]&gt;300000,"MAGGIORE","")</f>
        <v/>
      </c>
    </row>
    <row r="7072" spans="1:8" x14ac:dyDescent="0.2">
      <c r="A7072"/>
      <c r="B7072"/>
      <c r="C7072"/>
      <c r="D7072"/>
      <c r="E7072" s="2">
        <f>Comuni__2[[#This Row],[Popolazione2011]]/$D$7911</f>
        <v>2.2112621330598548E-5</v>
      </c>
      <c r="F7072">
        <f>SUMIFS($D$2:$D$7909, $B$2:$B$7909, "Trentino-Alto Adige/Südtirol")</f>
        <v>1026433</v>
      </c>
      <c r="G7072" s="1">
        <f>Comuni__2[[#This Row],[Popolazione2011]]/Comuni__2[[#This Row],[POPOLAZIONE TOTALE DI OGNI REGIONE (CON FILTRO)]]</f>
        <v>1.2801614913004551E-3</v>
      </c>
      <c r="H7072" t="str">
        <f>IF(Comuni__2[[#This Row],[Popolazione2011]]&gt;300000,"MAGGIORE","")</f>
        <v/>
      </c>
    </row>
    <row r="7073" spans="1:8" x14ac:dyDescent="0.2">
      <c r="A7073"/>
      <c r="B7073"/>
      <c r="C7073"/>
      <c r="D7073"/>
      <c r="E7073" s="2">
        <f>Comuni__2[[#This Row],[Popolazione2011]]/$D$7911</f>
        <v>2.1961165020114996E-5</v>
      </c>
      <c r="F7073">
        <f>SUMIFS($D$2:$D$7909, $B$2:$B$7909, "Trentino-Alto Adige/Südtirol")</f>
        <v>1026433</v>
      </c>
      <c r="G7073" s="1">
        <f>Comuni__2[[#This Row],[Popolazione2011]]/Comuni__2[[#This Row],[POPOLAZIONE TOTALE DI OGNI REGIONE (CON FILTRO)]]</f>
        <v>1.2713932619079862E-3</v>
      </c>
      <c r="H7073" t="str">
        <f>IF(Comuni__2[[#This Row],[Popolazione2011]]&gt;300000,"MAGGIORE","")</f>
        <v/>
      </c>
    </row>
    <row r="7074" spans="1:8" x14ac:dyDescent="0.2">
      <c r="A7074"/>
      <c r="B7074"/>
      <c r="C7074"/>
      <c r="D7074"/>
      <c r="E7074" s="2">
        <f>Comuni__2[[#This Row],[Popolazione2011]]/$D$7911</f>
        <v>2.1860194146459296E-5</v>
      </c>
      <c r="F7074">
        <f>SUMIFS($D$2:$D$7909, $B$2:$B$7909, "Trentino-Alto Adige/Südtirol")</f>
        <v>1026433</v>
      </c>
      <c r="G7074" s="1">
        <f>Comuni__2[[#This Row],[Popolazione2011]]/Comuni__2[[#This Row],[POPOLAZIONE TOTALE DI OGNI REGIONE (CON FILTRO)]]</f>
        <v>1.2655477756463402E-3</v>
      </c>
      <c r="H7074" t="str">
        <f>IF(Comuni__2[[#This Row],[Popolazione2011]]&gt;300000,"MAGGIORE","")</f>
        <v/>
      </c>
    </row>
    <row r="7075" spans="1:8" x14ac:dyDescent="0.2">
      <c r="A7075"/>
      <c r="B7075"/>
      <c r="C7075"/>
      <c r="D7075"/>
      <c r="E7075" s="2">
        <f>Comuni__2[[#This Row],[Popolazione2011]]/$D$7911</f>
        <v>2.1557281525492192E-5</v>
      </c>
      <c r="F7075">
        <f>SUMIFS($D$2:$D$7909, $B$2:$B$7909, "Trentino-Alto Adige/Südtirol")</f>
        <v>1026433</v>
      </c>
      <c r="G7075" s="1">
        <f>Comuni__2[[#This Row],[Popolazione2011]]/Comuni__2[[#This Row],[POPOLAZIONE TOTALE DI OGNI REGIONE (CON FILTRO)]]</f>
        <v>1.2480113168614026E-3</v>
      </c>
      <c r="H7075" t="str">
        <f>IF(Comuni__2[[#This Row],[Popolazione2011]]&gt;300000,"MAGGIORE","")</f>
        <v/>
      </c>
    </row>
    <row r="7076" spans="1:8" x14ac:dyDescent="0.2">
      <c r="A7076"/>
      <c r="B7076"/>
      <c r="C7076"/>
      <c r="D7076"/>
      <c r="E7076" s="2">
        <f>Comuni__2[[#This Row],[Popolazione2011]]/$D$7911</f>
        <v>2.1288025862410324E-5</v>
      </c>
      <c r="F7076">
        <f>SUMIFS($D$2:$D$7909, $B$2:$B$7909, "Trentino-Alto Adige/Südtirol")</f>
        <v>1026433</v>
      </c>
      <c r="G7076" s="1">
        <f>Comuni__2[[#This Row],[Popolazione2011]]/Comuni__2[[#This Row],[POPOLAZIONE TOTALE DI OGNI REGIONE (CON FILTRO)]]</f>
        <v>1.2324233534970134E-3</v>
      </c>
      <c r="H7076" t="str">
        <f>IF(Comuni__2[[#This Row],[Popolazione2011]]&gt;300000,"MAGGIORE","")</f>
        <v/>
      </c>
    </row>
    <row r="7077" spans="1:8" x14ac:dyDescent="0.2">
      <c r="A7077"/>
      <c r="B7077"/>
      <c r="C7077"/>
      <c r="D7077"/>
      <c r="E7077" s="2">
        <f>Comuni__2[[#This Row],[Popolazione2011]]/$D$7911</f>
        <v>2.1187054988754621E-5</v>
      </c>
      <c r="F7077">
        <f>SUMIFS($D$2:$D$7909, $B$2:$B$7909, "Trentino-Alto Adige/Südtirol")</f>
        <v>1026433</v>
      </c>
      <c r="G7077" s="1">
        <f>Comuni__2[[#This Row],[Popolazione2011]]/Comuni__2[[#This Row],[POPOLAZIONE TOTALE DI OGNI REGIONE (CON FILTRO)]]</f>
        <v>1.2265778672353675E-3</v>
      </c>
      <c r="H7077" t="str">
        <f>IF(Comuni__2[[#This Row],[Popolazione2011]]&gt;300000,"MAGGIORE","")</f>
        <v/>
      </c>
    </row>
    <row r="7078" spans="1:8" x14ac:dyDescent="0.2">
      <c r="A7078"/>
      <c r="B7078"/>
      <c r="C7078"/>
      <c r="D7078"/>
      <c r="E7078" s="2">
        <f>Comuni__2[[#This Row],[Popolazione2011]]/$D$7911</f>
        <v>2.1069255636156304E-5</v>
      </c>
      <c r="F7078">
        <f>SUMIFS($D$2:$D$7909, $B$2:$B$7909, "Trentino-Alto Adige/Südtirol")</f>
        <v>1026433</v>
      </c>
      <c r="G7078" s="1">
        <f>Comuni__2[[#This Row],[Popolazione2011]]/Comuni__2[[#This Row],[POPOLAZIONE TOTALE DI OGNI REGIONE (CON FILTRO)]]</f>
        <v>1.2197581332634472E-3</v>
      </c>
      <c r="H7078" t="str">
        <f>IF(Comuni__2[[#This Row],[Popolazione2011]]&gt;300000,"MAGGIORE","")</f>
        <v/>
      </c>
    </row>
    <row r="7079" spans="1:8" x14ac:dyDescent="0.2">
      <c r="A7079"/>
      <c r="B7079"/>
      <c r="C7079"/>
      <c r="D7079"/>
      <c r="E7079" s="2">
        <f>Comuni__2[[#This Row],[Popolazione2011]]/$D$7911</f>
        <v>2.0530744309992565E-5</v>
      </c>
      <c r="F7079">
        <f>SUMIFS($D$2:$D$7909, $B$2:$B$7909, "Trentino-Alto Adige/Südtirol")</f>
        <v>1026433</v>
      </c>
      <c r="G7079" s="1">
        <f>Comuni__2[[#This Row],[Popolazione2011]]/Comuni__2[[#This Row],[POPOLAZIONE TOTALE DI OGNI REGIONE (CON FILTRO)]]</f>
        <v>1.188582206534669E-3</v>
      </c>
      <c r="H7079" t="str">
        <f>IF(Comuni__2[[#This Row],[Popolazione2011]]&gt;300000,"MAGGIORE","")</f>
        <v/>
      </c>
    </row>
    <row r="7080" spans="1:8" x14ac:dyDescent="0.2">
      <c r="A7080"/>
      <c r="B7080"/>
      <c r="C7080"/>
      <c r="D7080"/>
      <c r="E7080" s="2">
        <f>Comuni__2[[#This Row],[Popolazione2011]]/$D$7911</f>
        <v>2.0110032336427141E-5</v>
      </c>
      <c r="F7080">
        <f>SUMIFS($D$2:$D$7909, $B$2:$B$7909, "Trentino-Alto Adige/Südtirol")</f>
        <v>1026433</v>
      </c>
      <c r="G7080" s="1">
        <f>Comuni__2[[#This Row],[Popolazione2011]]/Comuni__2[[#This Row],[POPOLAZIONE TOTALE DI OGNI REGIONE (CON FILTRO)]]</f>
        <v>1.1642260137778111E-3</v>
      </c>
      <c r="H7080" t="str">
        <f>IF(Comuni__2[[#This Row],[Popolazione2011]]&gt;300000,"MAGGIORE","")</f>
        <v/>
      </c>
    </row>
    <row r="7081" spans="1:8" x14ac:dyDescent="0.2">
      <c r="A7081"/>
      <c r="B7081"/>
      <c r="C7081"/>
      <c r="D7081"/>
      <c r="E7081" s="2">
        <f>Comuni__2[[#This Row],[Popolazione2011]]/$D$7911</f>
        <v>2.0025889941714057E-5</v>
      </c>
      <c r="F7081">
        <f>SUMIFS($D$2:$D$7909, $B$2:$B$7909, "Trentino-Alto Adige/Südtirol")</f>
        <v>1026433</v>
      </c>
      <c r="G7081" s="1">
        <f>Comuni__2[[#This Row],[Popolazione2011]]/Comuni__2[[#This Row],[POPOLAZIONE TOTALE DI OGNI REGIONE (CON FILTRO)]]</f>
        <v>1.1593547752264395E-3</v>
      </c>
      <c r="H7081" t="str">
        <f>IF(Comuni__2[[#This Row],[Popolazione2011]]&gt;300000,"MAGGIORE","")</f>
        <v/>
      </c>
    </row>
    <row r="7082" spans="1:8" x14ac:dyDescent="0.2">
      <c r="A7082"/>
      <c r="B7082"/>
      <c r="C7082"/>
      <c r="D7082"/>
      <c r="E7082" s="2">
        <f>Comuni__2[[#This Row],[Popolazione2011]]/$D$7911</f>
        <v>1.9908090589115741E-5</v>
      </c>
      <c r="F7082">
        <f>SUMIFS($D$2:$D$7909, $B$2:$B$7909, "Trentino-Alto Adige/Südtirol")</f>
        <v>1026433</v>
      </c>
      <c r="G7082" s="1">
        <f>Comuni__2[[#This Row],[Popolazione2011]]/Comuni__2[[#This Row],[POPOLAZIONE TOTALE DI OGNI REGIONE (CON FILTRO)]]</f>
        <v>1.1525350412545192E-3</v>
      </c>
      <c r="H7082" t="str">
        <f>IF(Comuni__2[[#This Row],[Popolazione2011]]&gt;300000,"MAGGIORE","")</f>
        <v/>
      </c>
    </row>
    <row r="7083" spans="1:8" x14ac:dyDescent="0.2">
      <c r="A7083"/>
      <c r="B7083"/>
      <c r="C7083"/>
      <c r="D7083"/>
      <c r="E7083" s="2">
        <f>Comuni__2[[#This Row],[Popolazione2011]]/$D$7911</f>
        <v>1.9133980557755365E-5</v>
      </c>
      <c r="F7083">
        <f>SUMIFS($D$2:$D$7909, $B$2:$B$7909, "Trentino-Alto Adige/Südtirol")</f>
        <v>1026433</v>
      </c>
      <c r="G7083" s="1">
        <f>Comuni__2[[#This Row],[Popolazione2011]]/Comuni__2[[#This Row],[POPOLAZIONE TOTALE DI OGNI REGIONE (CON FILTRO)]]</f>
        <v>1.1077196465819007E-3</v>
      </c>
      <c r="H7083" t="str">
        <f>IF(Comuni__2[[#This Row],[Popolazione2011]]&gt;300000,"MAGGIORE","")</f>
        <v/>
      </c>
    </row>
    <row r="7084" spans="1:8" x14ac:dyDescent="0.2">
      <c r="A7084"/>
      <c r="B7084"/>
      <c r="C7084"/>
      <c r="D7084"/>
      <c r="E7084" s="2">
        <f>Comuni__2[[#This Row],[Popolazione2011]]/$D$7911</f>
        <v>1.8679611626304709E-5</v>
      </c>
      <c r="F7084">
        <f>SUMIFS($D$2:$D$7909, $B$2:$B$7909, "Trentino-Alto Adige/Südtirol")</f>
        <v>1026433</v>
      </c>
      <c r="G7084" s="1">
        <f>Comuni__2[[#This Row],[Popolazione2011]]/Comuni__2[[#This Row],[POPOLAZIONE TOTALE DI OGNI REGIONE (CON FILTRO)]]</f>
        <v>1.0814149584044939E-3</v>
      </c>
      <c r="H7084" t="str">
        <f>IF(Comuni__2[[#This Row],[Popolazione2011]]&gt;300000,"MAGGIORE","")</f>
        <v/>
      </c>
    </row>
    <row r="7085" spans="1:8" x14ac:dyDescent="0.2">
      <c r="A7085"/>
      <c r="B7085"/>
      <c r="C7085"/>
      <c r="D7085"/>
      <c r="E7085" s="2">
        <f>Comuni__2[[#This Row],[Popolazione2011]]/$D$7911</f>
        <v>1.8477669878993309E-5</v>
      </c>
      <c r="F7085">
        <f>SUMIFS($D$2:$D$7909, $B$2:$B$7909, "Trentino-Alto Adige/Südtirol")</f>
        <v>1026433</v>
      </c>
      <c r="G7085" s="1">
        <f>Comuni__2[[#This Row],[Popolazione2011]]/Comuni__2[[#This Row],[POPOLAZIONE TOTALE DI OGNI REGIONE (CON FILTRO)]]</f>
        <v>1.0697239858812023E-3</v>
      </c>
      <c r="H7085" t="str">
        <f>IF(Comuni__2[[#This Row],[Popolazione2011]]&gt;300000,"MAGGIORE","")</f>
        <v/>
      </c>
    </row>
    <row r="7086" spans="1:8" x14ac:dyDescent="0.2">
      <c r="A7086"/>
      <c r="B7086"/>
      <c r="C7086"/>
      <c r="D7086"/>
      <c r="E7086" s="2">
        <f>Comuni__2[[#This Row],[Popolazione2011]]/$D$7911</f>
        <v>1.8343042047452373E-5</v>
      </c>
      <c r="F7086">
        <f>SUMIFS($D$2:$D$7909, $B$2:$B$7909, "Trentino-Alto Adige/Südtirol")</f>
        <v>1026433</v>
      </c>
      <c r="G7086" s="1">
        <f>Comuni__2[[#This Row],[Popolazione2011]]/Comuni__2[[#This Row],[POPOLAZIONE TOTALE DI OGNI REGIONE (CON FILTRO)]]</f>
        <v>1.0619300041990077E-3</v>
      </c>
      <c r="H7086" t="str">
        <f>IF(Comuni__2[[#This Row],[Popolazione2011]]&gt;300000,"MAGGIORE","")</f>
        <v/>
      </c>
    </row>
    <row r="7087" spans="1:8" x14ac:dyDescent="0.2">
      <c r="A7087"/>
      <c r="B7087"/>
      <c r="C7087"/>
      <c r="D7087"/>
      <c r="E7087" s="2">
        <f>Comuni__2[[#This Row],[Popolazione2011]]/$D$7911</f>
        <v>1.8292556610624522E-5</v>
      </c>
      <c r="F7087">
        <f>SUMIFS($D$2:$D$7909, $B$2:$B$7909, "Trentino-Alto Adige/Südtirol")</f>
        <v>1026433</v>
      </c>
      <c r="G7087" s="1">
        <f>Comuni__2[[#This Row],[Popolazione2011]]/Comuni__2[[#This Row],[POPOLAZIONE TOTALE DI OGNI REGIONE (CON FILTRO)]]</f>
        <v>1.0590072610681847E-3</v>
      </c>
      <c r="H7087" t="str">
        <f>IF(Comuni__2[[#This Row],[Popolazione2011]]&gt;300000,"MAGGIORE","")</f>
        <v/>
      </c>
    </row>
    <row r="7088" spans="1:8" x14ac:dyDescent="0.2">
      <c r="A7088"/>
      <c r="B7088"/>
      <c r="C7088"/>
      <c r="D7088"/>
      <c r="E7088" s="2">
        <f>Comuni__2[[#This Row],[Popolazione2011]]/$D$7911</f>
        <v>1.8056957905427886E-5</v>
      </c>
      <c r="F7088">
        <f>SUMIFS($D$2:$D$7909, $B$2:$B$7909, "Trentino-Alto Adige/Südtirol")</f>
        <v>1026433</v>
      </c>
      <c r="G7088" s="1">
        <f>Comuni__2[[#This Row],[Popolazione2011]]/Comuni__2[[#This Row],[POPOLAZIONE TOTALE DI OGNI REGIONE (CON FILTRO)]]</f>
        <v>1.0453677931243441E-3</v>
      </c>
      <c r="H7088" t="str">
        <f>IF(Comuni__2[[#This Row],[Popolazione2011]]&gt;300000,"MAGGIORE","")</f>
        <v/>
      </c>
    </row>
    <row r="7089" spans="1:8" x14ac:dyDescent="0.2">
      <c r="A7089"/>
      <c r="B7089"/>
      <c r="C7089"/>
      <c r="D7089"/>
      <c r="E7089" s="2">
        <f>Comuni__2[[#This Row],[Popolazione2011]]/$D$7911</f>
        <v>1.8056957905427886E-5</v>
      </c>
      <c r="F7089">
        <f>SUMIFS($D$2:$D$7909, $B$2:$B$7909, "Trentino-Alto Adige/Südtirol")</f>
        <v>1026433</v>
      </c>
      <c r="G7089" s="1">
        <f>Comuni__2[[#This Row],[Popolazione2011]]/Comuni__2[[#This Row],[POPOLAZIONE TOTALE DI OGNI REGIONE (CON FILTRO)]]</f>
        <v>1.0453677931243441E-3</v>
      </c>
      <c r="H7089" t="str">
        <f>IF(Comuni__2[[#This Row],[Popolazione2011]]&gt;300000,"MAGGIORE","")</f>
        <v/>
      </c>
    </row>
    <row r="7090" spans="1:8" x14ac:dyDescent="0.2">
      <c r="A7090"/>
      <c r="B7090"/>
      <c r="C7090"/>
      <c r="D7090"/>
      <c r="E7090" s="2">
        <f>Comuni__2[[#This Row],[Popolazione2011]]/$D$7911</f>
        <v>1.7451132663493678E-5</v>
      </c>
      <c r="F7090">
        <f>SUMIFS($D$2:$D$7909, $B$2:$B$7909, "Trentino-Alto Adige/Südtirol")</f>
        <v>1026433</v>
      </c>
      <c r="G7090" s="1">
        <f>Comuni__2[[#This Row],[Popolazione2011]]/Comuni__2[[#This Row],[POPOLAZIONE TOTALE DI OGNI REGIONE (CON FILTRO)]]</f>
        <v>1.0102948755544687E-3</v>
      </c>
      <c r="H7090" t="str">
        <f>IF(Comuni__2[[#This Row],[Popolazione2011]]&gt;300000,"MAGGIORE","")</f>
        <v/>
      </c>
    </row>
    <row r="7091" spans="1:8" x14ac:dyDescent="0.2">
      <c r="A7091"/>
      <c r="B7091"/>
      <c r="C7091"/>
      <c r="D7091"/>
      <c r="E7091" s="2">
        <f>Comuni__2[[#This Row],[Popolazione2011]]/$D$7911</f>
        <v>1.7417475705608446E-5</v>
      </c>
      <c r="F7091">
        <f>SUMIFS($D$2:$D$7909, $B$2:$B$7909, "Trentino-Alto Adige/Südtirol")</f>
        <v>1026433</v>
      </c>
      <c r="G7091" s="1">
        <f>Comuni__2[[#This Row],[Popolazione2011]]/Comuni__2[[#This Row],[POPOLAZIONE TOTALE DI OGNI REGIONE (CON FILTRO)]]</f>
        <v>1.00834638013392E-3</v>
      </c>
      <c r="H7091" t="str">
        <f>IF(Comuni__2[[#This Row],[Popolazione2011]]&gt;300000,"MAGGIORE","")</f>
        <v/>
      </c>
    </row>
    <row r="7092" spans="1:8" x14ac:dyDescent="0.2">
      <c r="A7092"/>
      <c r="B7092"/>
      <c r="C7092"/>
      <c r="D7092"/>
      <c r="E7092" s="2">
        <f>Comuni__2[[#This Row],[Popolazione2011]]/$D$7911</f>
        <v>1.7417475705608446E-5</v>
      </c>
      <c r="F7092">
        <f>SUMIFS($D$2:$D$7909, $B$2:$B$7909, "Trentino-Alto Adige/Südtirol")</f>
        <v>1026433</v>
      </c>
      <c r="G7092" s="1">
        <f>Comuni__2[[#This Row],[Popolazione2011]]/Comuni__2[[#This Row],[POPOLAZIONE TOTALE DI OGNI REGIONE (CON FILTRO)]]</f>
        <v>1.00834638013392E-3</v>
      </c>
      <c r="H7092" t="str">
        <f>IF(Comuni__2[[#This Row],[Popolazione2011]]&gt;300000,"MAGGIORE","")</f>
        <v/>
      </c>
    </row>
    <row r="7093" spans="1:8" x14ac:dyDescent="0.2">
      <c r="A7093"/>
      <c r="B7093"/>
      <c r="C7093"/>
      <c r="D7093"/>
      <c r="E7093" s="2">
        <f>Comuni__2[[#This Row],[Popolazione2011]]/$D$7911</f>
        <v>1.7266019395124894E-5</v>
      </c>
      <c r="F7093">
        <f>SUMIFS($D$2:$D$7909, $B$2:$B$7909, "Trentino-Alto Adige/Südtirol")</f>
        <v>1026433</v>
      </c>
      <c r="G7093" s="1">
        <f>Comuni__2[[#This Row],[Popolazione2011]]/Comuni__2[[#This Row],[POPOLAZIONE TOTALE DI OGNI REGIONE (CON FILTRO)]]</f>
        <v>9.9957815074145132E-4</v>
      </c>
      <c r="H7093" t="str">
        <f>IF(Comuni__2[[#This Row],[Popolazione2011]]&gt;300000,"MAGGIORE","")</f>
        <v/>
      </c>
    </row>
    <row r="7094" spans="1:8" x14ac:dyDescent="0.2">
      <c r="A7094"/>
      <c r="B7094"/>
      <c r="C7094"/>
      <c r="D7094"/>
      <c r="E7094" s="2">
        <f>Comuni__2[[#This Row],[Popolazione2011]]/$D$7911</f>
        <v>1.718187700041181E-5</v>
      </c>
      <c r="F7094">
        <f>SUMIFS($D$2:$D$7909, $B$2:$B$7909, "Trentino-Alto Adige/Südtirol")</f>
        <v>1026433</v>
      </c>
      <c r="G7094" s="1">
        <f>Comuni__2[[#This Row],[Popolazione2011]]/Comuni__2[[#This Row],[POPOLAZIONE TOTALE DI OGNI REGIONE (CON FILTRO)]]</f>
        <v>9.947069121900797E-4</v>
      </c>
      <c r="H7094" t="str">
        <f>IF(Comuni__2[[#This Row],[Popolazione2011]]&gt;300000,"MAGGIORE","")</f>
        <v/>
      </c>
    </row>
    <row r="7095" spans="1:8" x14ac:dyDescent="0.2">
      <c r="A7095"/>
      <c r="B7095"/>
      <c r="C7095"/>
      <c r="D7095"/>
      <c r="E7095" s="2">
        <f>Comuni__2[[#This Row],[Popolazione2011]]/$D$7911</f>
        <v>1.7131391563583958E-5</v>
      </c>
      <c r="F7095">
        <f>SUMIFS($D$2:$D$7909, $B$2:$B$7909, "Trentino-Alto Adige/Südtirol")</f>
        <v>1026433</v>
      </c>
      <c r="G7095" s="1">
        <f>Comuni__2[[#This Row],[Popolazione2011]]/Comuni__2[[#This Row],[POPOLAZIONE TOTALE DI OGNI REGIONE (CON FILTRO)]]</f>
        <v>9.9178416905925672E-4</v>
      </c>
      <c r="H7095" t="str">
        <f>IF(Comuni__2[[#This Row],[Popolazione2011]]&gt;300000,"MAGGIORE","")</f>
        <v/>
      </c>
    </row>
    <row r="7096" spans="1:8" x14ac:dyDescent="0.2">
      <c r="A7096"/>
      <c r="B7096"/>
      <c r="C7096"/>
      <c r="D7096"/>
      <c r="E7096" s="2">
        <f>Comuni__2[[#This Row],[Popolazione2011]]/$D$7911</f>
        <v>1.7097734605698726E-5</v>
      </c>
      <c r="F7096">
        <f>SUMIFS($D$2:$D$7909, $B$2:$B$7909, "Trentino-Alto Adige/Südtirol")</f>
        <v>1026433</v>
      </c>
      <c r="G7096" s="1">
        <f>Comuni__2[[#This Row],[Popolazione2011]]/Comuni__2[[#This Row],[POPOLAZIONE TOTALE DI OGNI REGIONE (CON FILTRO)]]</f>
        <v>9.8983567363870807E-4</v>
      </c>
      <c r="H7096" t="str">
        <f>IF(Comuni__2[[#This Row],[Popolazione2011]]&gt;300000,"MAGGIORE","")</f>
        <v/>
      </c>
    </row>
    <row r="7097" spans="1:8" x14ac:dyDescent="0.2">
      <c r="A7097"/>
      <c r="B7097"/>
      <c r="C7097"/>
      <c r="D7097"/>
      <c r="E7097" s="2">
        <f>Comuni__2[[#This Row],[Popolazione2011]]/$D$7911</f>
        <v>1.6845307421559474E-5</v>
      </c>
      <c r="F7097">
        <f>SUMIFS($D$2:$D$7909, $B$2:$B$7909, "Trentino-Alto Adige/Südtirol")</f>
        <v>1026433</v>
      </c>
      <c r="G7097" s="1">
        <f>Comuni__2[[#This Row],[Popolazione2011]]/Comuni__2[[#This Row],[POPOLAZIONE TOTALE DI OGNI REGIONE (CON FILTRO)]]</f>
        <v>9.752219579845932E-4</v>
      </c>
      <c r="H7097" t="str">
        <f>IF(Comuni__2[[#This Row],[Popolazione2011]]&gt;300000,"MAGGIORE","")</f>
        <v/>
      </c>
    </row>
    <row r="7098" spans="1:8" x14ac:dyDescent="0.2">
      <c r="A7098"/>
      <c r="B7098"/>
      <c r="C7098"/>
      <c r="D7098"/>
      <c r="E7098" s="2">
        <f>Comuni__2[[#This Row],[Popolazione2011]]/$D$7911</f>
        <v>1.6710679590018538E-5</v>
      </c>
      <c r="F7098">
        <f>SUMIFS($D$2:$D$7909, $B$2:$B$7909, "Trentino-Alto Adige/Südtirol")</f>
        <v>1026433</v>
      </c>
      <c r="G7098" s="1">
        <f>Comuni__2[[#This Row],[Popolazione2011]]/Comuni__2[[#This Row],[POPOLAZIONE TOTALE DI OGNI REGIONE (CON FILTRO)]]</f>
        <v>9.6742797630239871E-4</v>
      </c>
      <c r="H7098" t="str">
        <f>IF(Comuni__2[[#This Row],[Popolazione2011]]&gt;300000,"MAGGIORE","")</f>
        <v/>
      </c>
    </row>
    <row r="7099" spans="1:8" x14ac:dyDescent="0.2">
      <c r="A7099"/>
      <c r="B7099"/>
      <c r="C7099"/>
      <c r="D7099"/>
      <c r="E7099" s="2">
        <f>Comuni__2[[#This Row],[Popolazione2011]]/$D$7911</f>
        <v>1.6559223279534986E-5</v>
      </c>
      <c r="F7099">
        <f>SUMIFS($D$2:$D$7909, $B$2:$B$7909, "Trentino-Alto Adige/Südtirol")</f>
        <v>1026433</v>
      </c>
      <c r="G7099" s="1">
        <f>Comuni__2[[#This Row],[Popolazione2011]]/Comuni__2[[#This Row],[POPOLAZIONE TOTALE DI OGNI REGIONE (CON FILTRO)]]</f>
        <v>9.5865974690992979E-4</v>
      </c>
      <c r="H7099" t="str">
        <f>IF(Comuni__2[[#This Row],[Popolazione2011]]&gt;300000,"MAGGIORE","")</f>
        <v/>
      </c>
    </row>
    <row r="7100" spans="1:8" x14ac:dyDescent="0.2">
      <c r="A7100"/>
      <c r="B7100"/>
      <c r="C7100"/>
      <c r="D7100"/>
      <c r="E7100" s="2">
        <f>Comuni__2[[#This Row],[Popolazione2011]]/$D$7911</f>
        <v>1.632362457433835E-5</v>
      </c>
      <c r="F7100">
        <f>SUMIFS($D$2:$D$7909, $B$2:$B$7909, "Trentino-Alto Adige/Südtirol")</f>
        <v>1026433</v>
      </c>
      <c r="G7100" s="1">
        <f>Comuni__2[[#This Row],[Popolazione2011]]/Comuni__2[[#This Row],[POPOLAZIONE TOTALE DI OGNI REGIONE (CON FILTRO)]]</f>
        <v>9.4502027896608935E-4</v>
      </c>
      <c r="H7100" t="str">
        <f>IF(Comuni__2[[#This Row],[Popolazione2011]]&gt;300000,"MAGGIORE","")</f>
        <v/>
      </c>
    </row>
    <row r="7101" spans="1:8" x14ac:dyDescent="0.2">
      <c r="A7101"/>
      <c r="B7101"/>
      <c r="C7101"/>
      <c r="D7101"/>
      <c r="E7101" s="2">
        <f>Comuni__2[[#This Row],[Popolazione2011]]/$D$7911</f>
        <v>1.6273139137510498E-5</v>
      </c>
      <c r="F7101">
        <f>SUMIFS($D$2:$D$7909, $B$2:$B$7909, "Trentino-Alto Adige/Südtirol")</f>
        <v>1026433</v>
      </c>
      <c r="G7101" s="1">
        <f>Comuni__2[[#This Row],[Popolazione2011]]/Comuni__2[[#This Row],[POPOLAZIONE TOTALE DI OGNI REGIONE (CON FILTRO)]]</f>
        <v>9.4209753583526638E-4</v>
      </c>
      <c r="H7101" t="str">
        <f>IF(Comuni__2[[#This Row],[Popolazione2011]]&gt;300000,"MAGGIORE","")</f>
        <v/>
      </c>
    </row>
    <row r="7102" spans="1:8" x14ac:dyDescent="0.2">
      <c r="A7102"/>
      <c r="B7102"/>
      <c r="C7102"/>
      <c r="D7102"/>
      <c r="E7102" s="2">
        <f>Comuni__2[[#This Row],[Popolazione2011]]/$D$7911</f>
        <v>1.6239482179625266E-5</v>
      </c>
      <c r="F7102">
        <f>SUMIFS($D$2:$D$7909, $B$2:$B$7909, "Trentino-Alto Adige/Südtirol")</f>
        <v>1026433</v>
      </c>
      <c r="G7102" s="1">
        <f>Comuni__2[[#This Row],[Popolazione2011]]/Comuni__2[[#This Row],[POPOLAZIONE TOTALE DI OGNI REGIONE (CON FILTRO)]]</f>
        <v>9.4014904041471773E-4</v>
      </c>
      <c r="H7102" t="str">
        <f>IF(Comuni__2[[#This Row],[Popolazione2011]]&gt;300000,"MAGGIORE","")</f>
        <v/>
      </c>
    </row>
    <row r="7103" spans="1:8" x14ac:dyDescent="0.2">
      <c r="A7103"/>
      <c r="B7103"/>
      <c r="C7103"/>
      <c r="D7103"/>
      <c r="E7103" s="2">
        <f>Comuni__2[[#This Row],[Popolazione2011]]/$D$7911</f>
        <v>1.6071197390199098E-5</v>
      </c>
      <c r="F7103">
        <f>SUMIFS($D$2:$D$7909, $B$2:$B$7909, "Trentino-Alto Adige/Südtirol")</f>
        <v>1026433</v>
      </c>
      <c r="G7103" s="1">
        <f>Comuni__2[[#This Row],[Popolazione2011]]/Comuni__2[[#This Row],[POPOLAZIONE TOTALE DI OGNI REGIONE (CON FILTRO)]]</f>
        <v>9.3040656331197459E-4</v>
      </c>
      <c r="H7103" t="str">
        <f>IF(Comuni__2[[#This Row],[Popolazione2011]]&gt;300000,"MAGGIORE","")</f>
        <v/>
      </c>
    </row>
    <row r="7104" spans="1:8" x14ac:dyDescent="0.2">
      <c r="A7104"/>
      <c r="B7104"/>
      <c r="C7104"/>
      <c r="D7104"/>
      <c r="E7104" s="2">
        <f>Comuni__2[[#This Row],[Popolazione2011]]/$D$7911</f>
        <v>1.5633656937691058E-5</v>
      </c>
      <c r="F7104">
        <f>SUMIFS($D$2:$D$7909, $B$2:$B$7909, "Trentino-Alto Adige/Südtirol")</f>
        <v>1026433</v>
      </c>
      <c r="G7104" s="1">
        <f>Comuni__2[[#This Row],[Popolazione2011]]/Comuni__2[[#This Row],[POPOLAZIONE TOTALE DI OGNI REGIONE (CON FILTRO)]]</f>
        <v>9.0507612284484226E-4</v>
      </c>
      <c r="H7104" t="str">
        <f>IF(Comuni__2[[#This Row],[Popolazione2011]]&gt;300000,"MAGGIORE","")</f>
        <v/>
      </c>
    </row>
    <row r="7105" spans="1:8" x14ac:dyDescent="0.2">
      <c r="A7105"/>
      <c r="B7105"/>
      <c r="C7105"/>
      <c r="D7105"/>
      <c r="E7105" s="2">
        <f>Comuni__2[[#This Row],[Popolazione2011]]/$D$7911</f>
        <v>1.5616828458748442E-5</v>
      </c>
      <c r="F7105">
        <f>SUMIFS($D$2:$D$7909, $B$2:$B$7909, "Trentino-Alto Adige/Südtirol")</f>
        <v>1026433</v>
      </c>
      <c r="G7105" s="1">
        <f>Comuni__2[[#This Row],[Popolazione2011]]/Comuni__2[[#This Row],[POPOLAZIONE TOTALE DI OGNI REGIONE (CON FILTRO)]]</f>
        <v>9.0410187513456793E-4</v>
      </c>
      <c r="H7105" t="str">
        <f>IF(Comuni__2[[#This Row],[Popolazione2011]]&gt;300000,"MAGGIORE","")</f>
        <v/>
      </c>
    </row>
    <row r="7106" spans="1:8" x14ac:dyDescent="0.2">
      <c r="A7106"/>
      <c r="B7106"/>
      <c r="C7106"/>
      <c r="D7106"/>
      <c r="E7106" s="2">
        <f>Comuni__2[[#This Row],[Popolazione2011]]/$D$7911</f>
        <v>1.5111974090469937E-5</v>
      </c>
      <c r="F7106">
        <f>SUMIFS($D$2:$D$7909, $B$2:$B$7909, "Trentino-Alto Adige/Südtirol")</f>
        <v>1026433</v>
      </c>
      <c r="G7106" s="1">
        <f>Comuni__2[[#This Row],[Popolazione2011]]/Comuni__2[[#This Row],[POPOLAZIONE TOTALE DI OGNI REGIONE (CON FILTRO)]]</f>
        <v>8.7487444382633841E-4</v>
      </c>
      <c r="H7106" t="str">
        <f>IF(Comuni__2[[#This Row],[Popolazione2011]]&gt;300000,"MAGGIORE","")</f>
        <v/>
      </c>
    </row>
    <row r="7107" spans="1:8" x14ac:dyDescent="0.2">
      <c r="A7107"/>
      <c r="B7107"/>
      <c r="C7107"/>
      <c r="D7107"/>
      <c r="E7107" s="2">
        <f>Comuni__2[[#This Row],[Popolazione2011]]/$D$7911</f>
        <v>1.4960517779986385E-5</v>
      </c>
      <c r="F7107">
        <f>SUMIFS($D$2:$D$7909, $B$2:$B$7909, "Trentino-Alto Adige/Südtirol")</f>
        <v>1026433</v>
      </c>
      <c r="G7107" s="1">
        <f>Comuni__2[[#This Row],[Popolazione2011]]/Comuni__2[[#This Row],[POPOLAZIONE TOTALE DI OGNI REGIONE (CON FILTRO)]]</f>
        <v>8.6610621443386948E-4</v>
      </c>
      <c r="H7107" t="str">
        <f>IF(Comuni__2[[#This Row],[Popolazione2011]]&gt;300000,"MAGGIORE","")</f>
        <v/>
      </c>
    </row>
    <row r="7108" spans="1:8" x14ac:dyDescent="0.2">
      <c r="A7108"/>
      <c r="B7108"/>
      <c r="C7108"/>
      <c r="D7108"/>
      <c r="E7108" s="2">
        <f>Comuni__2[[#This Row],[Popolazione2011]]/$D$7911</f>
        <v>1.4876375385273301E-5</v>
      </c>
      <c r="F7108">
        <f>SUMIFS($D$2:$D$7909, $B$2:$B$7909, "Trentino-Alto Adige/Südtirol")</f>
        <v>1026433</v>
      </c>
      <c r="G7108" s="1">
        <f>Comuni__2[[#This Row],[Popolazione2011]]/Comuni__2[[#This Row],[POPOLAZIONE TOTALE DI OGNI REGIONE (CON FILTRO)]]</f>
        <v>8.6123497588249797E-4</v>
      </c>
      <c r="H7108" t="str">
        <f>IF(Comuni__2[[#This Row],[Popolazione2011]]&gt;300000,"MAGGIORE","")</f>
        <v/>
      </c>
    </row>
    <row r="7109" spans="1:8" x14ac:dyDescent="0.2">
      <c r="A7109"/>
      <c r="B7109"/>
      <c r="C7109"/>
      <c r="D7109"/>
      <c r="E7109" s="2">
        <f>Comuni__2[[#This Row],[Popolazione2011]]/$D$7911</f>
        <v>1.4842718427388067E-5</v>
      </c>
      <c r="F7109">
        <f>SUMIFS($D$2:$D$7909, $B$2:$B$7909, "Trentino-Alto Adige/Südtirol")</f>
        <v>1026433</v>
      </c>
      <c r="G7109" s="1">
        <f>Comuni__2[[#This Row],[Popolazione2011]]/Comuni__2[[#This Row],[POPOLAZIONE TOTALE DI OGNI REGIONE (CON FILTRO)]]</f>
        <v>8.5928648046194932E-4</v>
      </c>
      <c r="H7109" t="str">
        <f>IF(Comuni__2[[#This Row],[Popolazione2011]]&gt;300000,"MAGGIORE","")</f>
        <v/>
      </c>
    </row>
    <row r="7110" spans="1:8" x14ac:dyDescent="0.2">
      <c r="A7110"/>
      <c r="B7110"/>
      <c r="C7110"/>
      <c r="D7110"/>
      <c r="E7110" s="2">
        <f>Comuni__2[[#This Row],[Popolazione2011]]/$D$7911</f>
        <v>1.4792232990560217E-5</v>
      </c>
      <c r="F7110">
        <f>SUMIFS($D$2:$D$7909, $B$2:$B$7909, "Trentino-Alto Adige/Südtirol")</f>
        <v>1026433</v>
      </c>
      <c r="G7110" s="1">
        <f>Comuni__2[[#This Row],[Popolazione2011]]/Comuni__2[[#This Row],[POPOLAZIONE TOTALE DI OGNI REGIONE (CON FILTRO)]]</f>
        <v>8.5636373733112634E-4</v>
      </c>
      <c r="H7110" t="str">
        <f>IF(Comuni__2[[#This Row],[Popolazione2011]]&gt;300000,"MAGGIORE","")</f>
        <v/>
      </c>
    </row>
    <row r="7111" spans="1:8" x14ac:dyDescent="0.2">
      <c r="A7111"/>
      <c r="B7111"/>
      <c r="C7111"/>
      <c r="D7111"/>
      <c r="E7111" s="2">
        <f>Comuni__2[[#This Row],[Popolazione2011]]/$D$7911</f>
        <v>1.4741747553732365E-5</v>
      </c>
      <c r="F7111">
        <f>SUMIFS($D$2:$D$7909, $B$2:$B$7909, "Trentino-Alto Adige/Südtirol")</f>
        <v>1026433</v>
      </c>
      <c r="G7111" s="1">
        <f>Comuni__2[[#This Row],[Popolazione2011]]/Comuni__2[[#This Row],[POPOLAZIONE TOTALE DI OGNI REGIONE (CON FILTRO)]]</f>
        <v>8.5344099420030337E-4</v>
      </c>
      <c r="H7111" t="str">
        <f>IF(Comuni__2[[#This Row],[Popolazione2011]]&gt;300000,"MAGGIORE","")</f>
        <v/>
      </c>
    </row>
    <row r="7112" spans="1:8" x14ac:dyDescent="0.2">
      <c r="A7112"/>
      <c r="B7112"/>
      <c r="C7112"/>
      <c r="D7112"/>
      <c r="E7112" s="2">
        <f>Comuni__2[[#This Row],[Popolazione2011]]/$D$7911</f>
        <v>1.4220064706511243E-5</v>
      </c>
      <c r="F7112">
        <f>SUMIFS($D$2:$D$7909, $B$2:$B$7909, "Trentino-Alto Adige/Südtirol")</f>
        <v>1026433</v>
      </c>
      <c r="G7112" s="1">
        <f>Comuni__2[[#This Row],[Popolazione2011]]/Comuni__2[[#This Row],[POPOLAZIONE TOTALE DI OGNI REGIONE (CON FILTRO)]]</f>
        <v>8.2323931518179952E-4</v>
      </c>
      <c r="H7112" t="str">
        <f>IF(Comuni__2[[#This Row],[Popolazione2011]]&gt;300000,"MAGGIORE","")</f>
        <v/>
      </c>
    </row>
    <row r="7113" spans="1:8" x14ac:dyDescent="0.2">
      <c r="A7113"/>
      <c r="B7113"/>
      <c r="C7113"/>
      <c r="D7113"/>
      <c r="E7113" s="2">
        <f>Comuni__2[[#This Row],[Popolazione2011]]/$D$7911</f>
        <v>1.4203236227568627E-5</v>
      </c>
      <c r="F7113">
        <f>SUMIFS($D$2:$D$7909, $B$2:$B$7909, "Trentino-Alto Adige/Südtirol")</f>
        <v>1026433</v>
      </c>
      <c r="G7113" s="1">
        <f>Comuni__2[[#This Row],[Popolazione2011]]/Comuni__2[[#This Row],[POPOLAZIONE TOTALE DI OGNI REGIONE (CON FILTRO)]]</f>
        <v>8.222650674715252E-4</v>
      </c>
      <c r="H7113" t="str">
        <f>IF(Comuni__2[[#This Row],[Popolazione2011]]&gt;300000,"MAGGIORE","")</f>
        <v/>
      </c>
    </row>
    <row r="7114" spans="1:8" x14ac:dyDescent="0.2">
      <c r="A7114"/>
      <c r="B7114"/>
      <c r="C7114"/>
      <c r="D7114"/>
      <c r="E7114" s="2">
        <f>Comuni__2[[#This Row],[Popolazione2011]]/$D$7911</f>
        <v>1.3833009690831055E-5</v>
      </c>
      <c r="F7114">
        <f>SUMIFS($D$2:$D$7909, $B$2:$B$7909, "Trentino-Alto Adige/Südtirol")</f>
        <v>1026433</v>
      </c>
      <c r="G7114" s="1">
        <f>Comuni__2[[#This Row],[Popolazione2011]]/Comuni__2[[#This Row],[POPOLAZIONE TOTALE DI OGNI REGIONE (CON FILTRO)]]</f>
        <v>8.0083161784549016E-4</v>
      </c>
      <c r="H7114" t="str">
        <f>IF(Comuni__2[[#This Row],[Popolazione2011]]&gt;300000,"MAGGIORE","")</f>
        <v/>
      </c>
    </row>
    <row r="7115" spans="1:8" x14ac:dyDescent="0.2">
      <c r="A7115"/>
      <c r="B7115"/>
      <c r="C7115"/>
      <c r="D7115"/>
      <c r="E7115" s="2">
        <f>Comuni__2[[#This Row],[Popolazione2011]]/$D$7911</f>
        <v>1.3799352732945821E-5</v>
      </c>
      <c r="F7115">
        <f>SUMIFS($D$2:$D$7909, $B$2:$B$7909, "Trentino-Alto Adige/Südtirol")</f>
        <v>1026433</v>
      </c>
      <c r="G7115" s="1">
        <f>Comuni__2[[#This Row],[Popolazione2011]]/Comuni__2[[#This Row],[POPOLAZIONE TOTALE DI OGNI REGIONE (CON FILTRO)]]</f>
        <v>7.9888312242494151E-4</v>
      </c>
      <c r="H7115" t="str">
        <f>IF(Comuni__2[[#This Row],[Popolazione2011]]&gt;300000,"MAGGIORE","")</f>
        <v/>
      </c>
    </row>
    <row r="7116" spans="1:8" x14ac:dyDescent="0.2">
      <c r="A7116"/>
      <c r="B7116"/>
      <c r="C7116"/>
      <c r="D7116"/>
      <c r="E7116" s="2">
        <f>Comuni__2[[#This Row],[Popolazione2011]]/$D$7911</f>
        <v>1.3647896422462269E-5</v>
      </c>
      <c r="F7116">
        <f>SUMIFS($D$2:$D$7909, $B$2:$B$7909, "Trentino-Alto Adige/Südtirol")</f>
        <v>1026433</v>
      </c>
      <c r="G7116" s="1">
        <f>Comuni__2[[#This Row],[Popolazione2011]]/Comuni__2[[#This Row],[POPOLAZIONE TOTALE DI OGNI REGIONE (CON FILTRO)]]</f>
        <v>7.901148930324727E-4</v>
      </c>
      <c r="H7116" t="str">
        <f>IF(Comuni__2[[#This Row],[Popolazione2011]]&gt;300000,"MAGGIORE","")</f>
        <v/>
      </c>
    </row>
    <row r="7117" spans="1:8" x14ac:dyDescent="0.2">
      <c r="A7117"/>
      <c r="B7117"/>
      <c r="C7117"/>
      <c r="D7117"/>
      <c r="E7117" s="2">
        <f>Comuni__2[[#This Row],[Popolazione2011]]/$D$7911</f>
        <v>1.3159870533126381E-5</v>
      </c>
      <c r="F7117">
        <f>SUMIFS($D$2:$D$7909, $B$2:$B$7909, "Trentino-Alto Adige/Südtirol")</f>
        <v>1026433</v>
      </c>
      <c r="G7117" s="1">
        <f>Comuni__2[[#This Row],[Popolazione2011]]/Comuni__2[[#This Row],[POPOLAZIONE TOTALE DI OGNI REGIONE (CON FILTRO)]]</f>
        <v>7.6186170943451739E-4</v>
      </c>
      <c r="H7117" t="str">
        <f>IF(Comuni__2[[#This Row],[Popolazione2011]]&gt;300000,"MAGGIORE","")</f>
        <v/>
      </c>
    </row>
    <row r="7118" spans="1:8" x14ac:dyDescent="0.2">
      <c r="A7118"/>
      <c r="B7118"/>
      <c r="C7118"/>
      <c r="D7118"/>
      <c r="E7118" s="2">
        <f>Comuni__2[[#This Row],[Popolazione2011]]/$D$7911</f>
        <v>1.2974757264757595E-5</v>
      </c>
      <c r="F7118">
        <f>SUMIFS($D$2:$D$7909, $B$2:$B$7909, "Trentino-Alto Adige/Südtirol")</f>
        <v>1026433</v>
      </c>
      <c r="G7118" s="1">
        <f>Comuni__2[[#This Row],[Popolazione2011]]/Comuni__2[[#This Row],[POPOLAZIONE TOTALE DI OGNI REGIONE (CON FILTRO)]]</f>
        <v>7.5114498462149992E-4</v>
      </c>
      <c r="H7118" t="str">
        <f>IF(Comuni__2[[#This Row],[Popolazione2011]]&gt;300000,"MAGGIORE","")</f>
        <v/>
      </c>
    </row>
    <row r="7119" spans="1:8" x14ac:dyDescent="0.2">
      <c r="A7119"/>
      <c r="B7119"/>
      <c r="C7119"/>
      <c r="D7119"/>
      <c r="E7119" s="2">
        <f>Comuni__2[[#This Row],[Popolazione2011]]/$D$7911</f>
        <v>1.2705501601675726E-5</v>
      </c>
      <c r="F7119">
        <f>SUMIFS($D$2:$D$7909, $B$2:$B$7909, "Trentino-Alto Adige/Südtirol")</f>
        <v>1026433</v>
      </c>
      <c r="G7119" s="1">
        <f>Comuni__2[[#This Row],[Popolazione2011]]/Comuni__2[[#This Row],[POPOLAZIONE TOTALE DI OGNI REGIONE (CON FILTRO)]]</f>
        <v>7.3555702125711084E-4</v>
      </c>
      <c r="H7119" t="str">
        <f>IF(Comuni__2[[#This Row],[Popolazione2011]]&gt;300000,"MAGGIORE","")</f>
        <v/>
      </c>
    </row>
    <row r="7120" spans="1:8" x14ac:dyDescent="0.2">
      <c r="A7120"/>
      <c r="B7120"/>
      <c r="C7120"/>
      <c r="D7120"/>
      <c r="E7120" s="2">
        <f>Comuni__2[[#This Row],[Popolazione2011]]/$D$7911</f>
        <v>1.2604530728020025E-5</v>
      </c>
      <c r="F7120">
        <f>SUMIFS($D$2:$D$7909, $B$2:$B$7909, "Trentino-Alto Adige/Südtirol")</f>
        <v>1026433</v>
      </c>
      <c r="G7120" s="1">
        <f>Comuni__2[[#This Row],[Popolazione2011]]/Comuni__2[[#This Row],[POPOLAZIONE TOTALE DI OGNI REGIONE (CON FILTRO)]]</f>
        <v>7.2971153499546489E-4</v>
      </c>
      <c r="H7120" t="str">
        <f>IF(Comuni__2[[#This Row],[Popolazione2011]]&gt;300000,"MAGGIORE","")</f>
        <v/>
      </c>
    </row>
    <row r="7121" spans="1:8" x14ac:dyDescent="0.2">
      <c r="A7121"/>
      <c r="B7121"/>
      <c r="C7121"/>
      <c r="D7121"/>
      <c r="E7121" s="2">
        <f>Comuni__2[[#This Row],[Popolazione2011]]/$D$7911</f>
        <v>1.2503559854364324E-5</v>
      </c>
      <c r="F7121">
        <f>SUMIFS($D$2:$D$7909, $B$2:$B$7909, "Trentino-Alto Adige/Südtirol")</f>
        <v>1026433</v>
      </c>
      <c r="G7121" s="1">
        <f>Comuni__2[[#This Row],[Popolazione2011]]/Comuni__2[[#This Row],[POPOLAZIONE TOTALE DI OGNI REGIONE (CON FILTRO)]]</f>
        <v>7.2386604873381894E-4</v>
      </c>
      <c r="H7121" t="str">
        <f>IF(Comuni__2[[#This Row],[Popolazione2011]]&gt;300000,"MAGGIORE","")</f>
        <v/>
      </c>
    </row>
    <row r="7122" spans="1:8" x14ac:dyDescent="0.2">
      <c r="A7122"/>
      <c r="B7122"/>
      <c r="C7122"/>
      <c r="D7122"/>
      <c r="E7122" s="2">
        <f>Comuni__2[[#This Row],[Popolazione2011]]/$D$7911</f>
        <v>1.2436245938593856E-5</v>
      </c>
      <c r="F7122">
        <f>SUMIFS($D$2:$D$7909, $B$2:$B$7909, "Trentino-Alto Adige/Südtirol")</f>
        <v>1026433</v>
      </c>
      <c r="G7122" s="1">
        <f>Comuni__2[[#This Row],[Popolazione2011]]/Comuni__2[[#This Row],[POPOLAZIONE TOTALE DI OGNI REGIONE (CON FILTRO)]]</f>
        <v>7.1996905789272164E-4</v>
      </c>
      <c r="H7122" t="str">
        <f>IF(Comuni__2[[#This Row],[Popolazione2011]]&gt;300000,"MAGGIORE","")</f>
        <v/>
      </c>
    </row>
    <row r="7123" spans="1:8" x14ac:dyDescent="0.2">
      <c r="A7123"/>
      <c r="B7123"/>
      <c r="C7123"/>
      <c r="D7123"/>
      <c r="E7123" s="2">
        <f>Comuni__2[[#This Row],[Popolazione2011]]/$D$7911</f>
        <v>1.2402588980708623E-5</v>
      </c>
      <c r="F7123">
        <f>SUMIFS($D$2:$D$7909, $B$2:$B$7909, "Trentino-Alto Adige/Südtirol")</f>
        <v>1026433</v>
      </c>
      <c r="G7123" s="1">
        <f>Comuni__2[[#This Row],[Popolazione2011]]/Comuni__2[[#This Row],[POPOLAZIONE TOTALE DI OGNI REGIONE (CON FILTRO)]]</f>
        <v>7.180205624721731E-4</v>
      </c>
      <c r="H7123" t="str">
        <f>IF(Comuni__2[[#This Row],[Popolazione2011]]&gt;300000,"MAGGIORE","")</f>
        <v/>
      </c>
    </row>
    <row r="7124" spans="1:8" x14ac:dyDescent="0.2">
      <c r="A7124"/>
      <c r="B7124"/>
      <c r="C7124"/>
      <c r="D7124"/>
      <c r="E7124" s="2">
        <f>Comuni__2[[#This Row],[Popolazione2011]]/$D$7911</f>
        <v>1.2385760501766006E-5</v>
      </c>
      <c r="F7124">
        <f>SUMIFS($D$2:$D$7909, $B$2:$B$7909, "Trentino-Alto Adige/Südtirol")</f>
        <v>1026433</v>
      </c>
      <c r="G7124" s="1">
        <f>Comuni__2[[#This Row],[Popolazione2011]]/Comuni__2[[#This Row],[POPOLAZIONE TOTALE DI OGNI REGIONE (CON FILTRO)]]</f>
        <v>7.1704631476189877E-4</v>
      </c>
      <c r="H7124" t="str">
        <f>IF(Comuni__2[[#This Row],[Popolazione2011]]&gt;300000,"MAGGIORE","")</f>
        <v/>
      </c>
    </row>
    <row r="7125" spans="1:8" x14ac:dyDescent="0.2">
      <c r="A7125"/>
      <c r="B7125"/>
      <c r="C7125"/>
      <c r="D7125"/>
      <c r="E7125" s="2">
        <f>Comuni__2[[#This Row],[Popolazione2011]]/$D$7911</f>
        <v>1.2267961149167688E-5</v>
      </c>
      <c r="F7125">
        <f>SUMIFS($D$2:$D$7909, $B$2:$B$7909, "Trentino-Alto Adige/Südtirol")</f>
        <v>1026433</v>
      </c>
      <c r="G7125" s="1">
        <f>Comuni__2[[#This Row],[Popolazione2011]]/Comuni__2[[#This Row],[POPOLAZIONE TOTALE DI OGNI REGIONE (CON FILTRO)]]</f>
        <v>7.102265807899785E-4</v>
      </c>
      <c r="H7125" t="str">
        <f>IF(Comuni__2[[#This Row],[Popolazione2011]]&gt;300000,"MAGGIORE","")</f>
        <v/>
      </c>
    </row>
    <row r="7126" spans="1:8" x14ac:dyDescent="0.2">
      <c r="A7126"/>
      <c r="B7126"/>
      <c r="C7126"/>
      <c r="D7126"/>
      <c r="E7126" s="2">
        <f>Comuni__2[[#This Row],[Popolazione2011]]/$D$7911</f>
        <v>1.2015533965028436E-5</v>
      </c>
      <c r="F7126">
        <f>SUMIFS($D$2:$D$7909, $B$2:$B$7909, "Trentino-Alto Adige/Südtirol")</f>
        <v>1026433</v>
      </c>
      <c r="G7126" s="1">
        <f>Comuni__2[[#This Row],[Popolazione2011]]/Comuni__2[[#This Row],[POPOLAZIONE TOTALE DI OGNI REGIONE (CON FILTRO)]]</f>
        <v>6.9561286513586374E-4</v>
      </c>
      <c r="H7126" t="str">
        <f>IF(Comuni__2[[#This Row],[Popolazione2011]]&gt;300000,"MAGGIORE","")</f>
        <v/>
      </c>
    </row>
    <row r="7127" spans="1:8" x14ac:dyDescent="0.2">
      <c r="A7127"/>
      <c r="B7127"/>
      <c r="C7127"/>
      <c r="D7127"/>
      <c r="E7127" s="2">
        <f>Comuni__2[[#This Row],[Popolazione2011]]/$D$7911</f>
        <v>1.1897734612430118E-5</v>
      </c>
      <c r="F7127">
        <f>SUMIFS($D$2:$D$7909, $B$2:$B$7909, "Trentino-Alto Adige/Südtirol")</f>
        <v>1026433</v>
      </c>
      <c r="G7127" s="1">
        <f>Comuni__2[[#This Row],[Popolazione2011]]/Comuni__2[[#This Row],[POPOLAZIONE TOTALE DI OGNI REGIONE (CON FILTRO)]]</f>
        <v>6.8879313116394347E-4</v>
      </c>
      <c r="H7127" t="str">
        <f>IF(Comuni__2[[#This Row],[Popolazione2011]]&gt;300000,"MAGGIORE","")</f>
        <v/>
      </c>
    </row>
    <row r="7128" spans="1:8" x14ac:dyDescent="0.2">
      <c r="A7128"/>
      <c r="B7128"/>
      <c r="C7128"/>
      <c r="D7128"/>
      <c r="E7128" s="2">
        <f>Comuni__2[[#This Row],[Popolazione2011]]/$D$7911</f>
        <v>1.18809061334875E-5</v>
      </c>
      <c r="F7128">
        <f>SUMIFS($D$2:$D$7909, $B$2:$B$7909, "Trentino-Alto Adige/Südtirol")</f>
        <v>1026433</v>
      </c>
      <c r="G7128" s="1">
        <f>Comuni__2[[#This Row],[Popolazione2011]]/Comuni__2[[#This Row],[POPOLAZIONE TOTALE DI OGNI REGIONE (CON FILTRO)]]</f>
        <v>6.8781888345366914E-4</v>
      </c>
      <c r="H7128" t="str">
        <f>IF(Comuni__2[[#This Row],[Popolazione2011]]&gt;300000,"MAGGIORE","")</f>
        <v/>
      </c>
    </row>
    <row r="7129" spans="1:8" x14ac:dyDescent="0.2">
      <c r="A7129"/>
      <c r="B7129"/>
      <c r="C7129"/>
      <c r="D7129"/>
      <c r="E7129" s="2">
        <f>Comuni__2[[#This Row],[Popolazione2011]]/$D$7911</f>
        <v>1.1729449823003948E-5</v>
      </c>
      <c r="F7129">
        <f>SUMIFS($D$2:$D$7909, $B$2:$B$7909, "Trentino-Alto Adige/Südtirol")</f>
        <v>1026433</v>
      </c>
      <c r="G7129" s="1">
        <f>Comuni__2[[#This Row],[Popolazione2011]]/Comuni__2[[#This Row],[POPOLAZIONE TOTALE DI OGNI REGIONE (CON FILTRO)]]</f>
        <v>6.7905065406120033E-4</v>
      </c>
      <c r="H7129" t="str">
        <f>IF(Comuni__2[[#This Row],[Popolazione2011]]&gt;300000,"MAGGIORE","")</f>
        <v/>
      </c>
    </row>
    <row r="7130" spans="1:8" x14ac:dyDescent="0.2">
      <c r="A7130"/>
      <c r="B7130"/>
      <c r="C7130"/>
      <c r="D7130"/>
      <c r="E7130" s="2">
        <f>Comuni__2[[#This Row],[Popolazione2011]]/$D$7911</f>
        <v>1.1662135907233482E-5</v>
      </c>
      <c r="F7130">
        <f>SUMIFS($D$2:$D$7909, $B$2:$B$7909, "Trentino-Alto Adige/Südtirol")</f>
        <v>1026433</v>
      </c>
      <c r="G7130" s="1">
        <f>Comuni__2[[#This Row],[Popolazione2011]]/Comuni__2[[#This Row],[POPOLAZIONE TOTALE DI OGNI REGIONE (CON FILTRO)]]</f>
        <v>6.7515366322010303E-4</v>
      </c>
      <c r="H7130" t="str">
        <f>IF(Comuni__2[[#This Row],[Popolazione2011]]&gt;300000,"MAGGIORE","")</f>
        <v/>
      </c>
    </row>
    <row r="7131" spans="1:8" x14ac:dyDescent="0.2">
      <c r="A7131"/>
      <c r="B7131"/>
      <c r="C7131"/>
      <c r="D7131"/>
      <c r="E7131" s="2">
        <f>Comuni__2[[#This Row],[Popolazione2011]]/$D$7911</f>
        <v>1.1645307428290864E-5</v>
      </c>
      <c r="F7131">
        <f>SUMIFS($D$2:$D$7909, $B$2:$B$7909, "Trentino-Alto Adige/Südtirol")</f>
        <v>1026433</v>
      </c>
      <c r="G7131" s="1">
        <f>Comuni__2[[#This Row],[Popolazione2011]]/Comuni__2[[#This Row],[POPOLAZIONE TOTALE DI OGNI REGIONE (CON FILTRO)]]</f>
        <v>6.741794155098287E-4</v>
      </c>
      <c r="H7131" t="str">
        <f>IF(Comuni__2[[#This Row],[Popolazione2011]]&gt;300000,"MAGGIORE","")</f>
        <v/>
      </c>
    </row>
    <row r="7132" spans="1:8" x14ac:dyDescent="0.2">
      <c r="A7132"/>
      <c r="B7132"/>
      <c r="C7132"/>
      <c r="D7132"/>
      <c r="E7132" s="2">
        <f>Comuni__2[[#This Row],[Popolazione2011]]/$D$7911</f>
        <v>1.1645307428290864E-5</v>
      </c>
      <c r="F7132">
        <f>SUMIFS($D$2:$D$7909, $B$2:$B$7909, "Trentino-Alto Adige/Südtirol")</f>
        <v>1026433</v>
      </c>
      <c r="G7132" s="1">
        <f>Comuni__2[[#This Row],[Popolazione2011]]/Comuni__2[[#This Row],[POPOLAZIONE TOTALE DI OGNI REGIONE (CON FILTRO)]]</f>
        <v>6.741794155098287E-4</v>
      </c>
      <c r="H7132" t="str">
        <f>IF(Comuni__2[[#This Row],[Popolazione2011]]&gt;300000,"MAGGIORE","")</f>
        <v/>
      </c>
    </row>
    <row r="7133" spans="1:8" x14ac:dyDescent="0.2">
      <c r="A7133"/>
      <c r="B7133"/>
      <c r="C7133"/>
      <c r="D7133"/>
      <c r="E7133" s="2">
        <f>Comuni__2[[#This Row],[Popolazione2011]]/$D$7911</f>
        <v>1.1527508075692546E-5</v>
      </c>
      <c r="F7133">
        <f>SUMIFS($D$2:$D$7909, $B$2:$B$7909, "Trentino-Alto Adige/Südtirol")</f>
        <v>1026433</v>
      </c>
      <c r="G7133" s="1">
        <f>Comuni__2[[#This Row],[Popolazione2011]]/Comuni__2[[#This Row],[POPOLAZIONE TOTALE DI OGNI REGIONE (CON FILTRO)]]</f>
        <v>6.6735968153790843E-4</v>
      </c>
      <c r="H7133" t="str">
        <f>IF(Comuni__2[[#This Row],[Popolazione2011]]&gt;300000,"MAGGIORE","")</f>
        <v/>
      </c>
    </row>
    <row r="7134" spans="1:8" x14ac:dyDescent="0.2">
      <c r="A7134"/>
      <c r="B7134"/>
      <c r="C7134"/>
      <c r="D7134"/>
      <c r="E7134" s="2">
        <f>Comuni__2[[#This Row],[Popolazione2011]]/$D$7911</f>
        <v>1.1460194159922078E-5</v>
      </c>
      <c r="F7134">
        <f>SUMIFS($D$2:$D$7909, $B$2:$B$7909, "Trentino-Alto Adige/Südtirol")</f>
        <v>1026433</v>
      </c>
      <c r="G7134" s="1">
        <f>Comuni__2[[#This Row],[Popolazione2011]]/Comuni__2[[#This Row],[POPOLAZIONE TOTALE DI OGNI REGIONE (CON FILTRO)]]</f>
        <v>6.6346269069681124E-4</v>
      </c>
      <c r="H7134" t="str">
        <f>IF(Comuni__2[[#This Row],[Popolazione2011]]&gt;300000,"MAGGIORE","")</f>
        <v/>
      </c>
    </row>
    <row r="7135" spans="1:8" x14ac:dyDescent="0.2">
      <c r="A7135"/>
      <c r="B7135"/>
      <c r="C7135"/>
      <c r="D7135"/>
      <c r="E7135" s="2">
        <f>Comuni__2[[#This Row],[Popolazione2011]]/$D$7911</f>
        <v>1.1308737849438528E-5</v>
      </c>
      <c r="F7135">
        <f>SUMIFS($D$2:$D$7909, $B$2:$B$7909, "Trentino-Alto Adige/Südtirol")</f>
        <v>1026433</v>
      </c>
      <c r="G7135" s="1">
        <f>Comuni__2[[#This Row],[Popolazione2011]]/Comuni__2[[#This Row],[POPOLAZIONE TOTALE DI OGNI REGIONE (CON FILTRO)]]</f>
        <v>6.5469446130434232E-4</v>
      </c>
      <c r="H7135" t="str">
        <f>IF(Comuni__2[[#This Row],[Popolazione2011]]&gt;300000,"MAGGIORE","")</f>
        <v/>
      </c>
    </row>
    <row r="7136" spans="1:8" x14ac:dyDescent="0.2">
      <c r="A7136"/>
      <c r="B7136"/>
      <c r="C7136"/>
      <c r="D7136"/>
      <c r="E7136" s="2">
        <f>Comuni__2[[#This Row],[Popolazione2011]]/$D$7911</f>
        <v>1.1258252412610676E-5</v>
      </c>
      <c r="F7136">
        <f>SUMIFS($D$2:$D$7909, $B$2:$B$7909, "Trentino-Alto Adige/Südtirol")</f>
        <v>1026433</v>
      </c>
      <c r="G7136" s="1">
        <f>Comuni__2[[#This Row],[Popolazione2011]]/Comuni__2[[#This Row],[POPOLAZIONE TOTALE DI OGNI REGIONE (CON FILTRO)]]</f>
        <v>6.5177171817351934E-4</v>
      </c>
      <c r="H7136" t="str">
        <f>IF(Comuni__2[[#This Row],[Popolazione2011]]&gt;300000,"MAGGIORE","")</f>
        <v/>
      </c>
    </row>
    <row r="7137" spans="1:8" x14ac:dyDescent="0.2">
      <c r="A7137"/>
      <c r="B7137"/>
      <c r="C7137"/>
      <c r="D7137"/>
      <c r="E7137" s="2">
        <f>Comuni__2[[#This Row],[Popolazione2011]]/$D$7911</f>
        <v>1.124142393366806E-5</v>
      </c>
      <c r="F7137">
        <f>SUMIFS($D$2:$D$7909, $B$2:$B$7909, "Trentino-Alto Adige/Südtirol")</f>
        <v>1026433</v>
      </c>
      <c r="G7137" s="1">
        <f>Comuni__2[[#This Row],[Popolazione2011]]/Comuni__2[[#This Row],[POPOLAZIONE TOTALE DI OGNI REGIONE (CON FILTRO)]]</f>
        <v>6.5079747046324502E-4</v>
      </c>
      <c r="H7137" t="str">
        <f>IF(Comuni__2[[#This Row],[Popolazione2011]]&gt;300000,"MAGGIORE","")</f>
        <v/>
      </c>
    </row>
    <row r="7138" spans="1:8" x14ac:dyDescent="0.2">
      <c r="A7138"/>
      <c r="B7138"/>
      <c r="C7138"/>
      <c r="D7138"/>
      <c r="E7138" s="2">
        <f>Comuni__2[[#This Row],[Popolazione2011]]/$D$7911</f>
        <v>1.1039482186356658E-5</v>
      </c>
      <c r="F7138">
        <f>SUMIFS($D$2:$D$7909, $B$2:$B$7909, "Trentino-Alto Adige/Südtirol")</f>
        <v>1026433</v>
      </c>
      <c r="G7138" s="1">
        <f>Comuni__2[[#This Row],[Popolazione2011]]/Comuni__2[[#This Row],[POPOLAZIONE TOTALE DI OGNI REGIONE (CON FILTRO)]]</f>
        <v>6.3910649793995323E-4</v>
      </c>
      <c r="H7138" t="str">
        <f>IF(Comuni__2[[#This Row],[Popolazione2011]]&gt;300000,"MAGGIORE","")</f>
        <v/>
      </c>
    </row>
    <row r="7139" spans="1:8" x14ac:dyDescent="0.2">
      <c r="A7139"/>
      <c r="B7139"/>
      <c r="C7139"/>
      <c r="D7139"/>
      <c r="E7139" s="2">
        <f>Comuni__2[[#This Row],[Popolazione2011]]/$D$7911</f>
        <v>1.0635598691733852E-5</v>
      </c>
      <c r="F7139">
        <f>SUMIFS($D$2:$D$7909, $B$2:$B$7909, "Trentino-Alto Adige/Südtirol")</f>
        <v>1026433</v>
      </c>
      <c r="G7139" s="1">
        <f>Comuni__2[[#This Row],[Popolazione2011]]/Comuni__2[[#This Row],[POPOLAZIONE TOTALE DI OGNI REGIONE (CON FILTRO)]]</f>
        <v>6.1572455289336954E-4</v>
      </c>
      <c r="H7139" t="str">
        <f>IF(Comuni__2[[#This Row],[Popolazione2011]]&gt;300000,"MAGGIORE","")</f>
        <v/>
      </c>
    </row>
    <row r="7140" spans="1:8" x14ac:dyDescent="0.2">
      <c r="A7140"/>
      <c r="B7140"/>
      <c r="C7140"/>
      <c r="D7140"/>
      <c r="E7140" s="2">
        <f>Comuni__2[[#This Row],[Popolazione2011]]/$D$7911</f>
        <v>1.03831715075946E-5</v>
      </c>
      <c r="F7140">
        <f>SUMIFS($D$2:$D$7909, $B$2:$B$7909, "Trentino-Alto Adige/Südtirol")</f>
        <v>1026433</v>
      </c>
      <c r="G7140" s="1">
        <f>Comuni__2[[#This Row],[Popolazione2011]]/Comuni__2[[#This Row],[POPOLAZIONE TOTALE DI OGNI REGIONE (CON FILTRO)]]</f>
        <v>6.0111083723925478E-4</v>
      </c>
      <c r="H7140" t="str">
        <f>IF(Comuni__2[[#This Row],[Popolazione2011]]&gt;300000,"MAGGIORE","")</f>
        <v/>
      </c>
    </row>
    <row r="7141" spans="1:8" x14ac:dyDescent="0.2">
      <c r="A7141"/>
      <c r="B7141"/>
      <c r="C7141"/>
      <c r="D7141"/>
      <c r="E7141" s="2">
        <f>Comuni__2[[#This Row],[Popolazione2011]]/$D$7911</f>
        <v>1.0265372154996282E-5</v>
      </c>
      <c r="F7141">
        <f>SUMIFS($D$2:$D$7909, $B$2:$B$7909, "Trentino-Alto Adige/Südtirol")</f>
        <v>1026433</v>
      </c>
      <c r="G7141" s="1">
        <f>Comuni__2[[#This Row],[Popolazione2011]]/Comuni__2[[#This Row],[POPOLAZIONE TOTALE DI OGNI REGIONE (CON FILTRO)]]</f>
        <v>5.9429110326733451E-4</v>
      </c>
      <c r="H7141" t="str">
        <f>IF(Comuni__2[[#This Row],[Popolazione2011]]&gt;300000,"MAGGIORE","")</f>
        <v/>
      </c>
    </row>
    <row r="7142" spans="1:8" x14ac:dyDescent="0.2">
      <c r="A7142"/>
      <c r="B7142"/>
      <c r="C7142"/>
      <c r="D7142"/>
      <c r="E7142" s="2">
        <f>Comuni__2[[#This Row],[Popolazione2011]]/$D$7911</f>
        <v>1.0198058239225814E-5</v>
      </c>
      <c r="F7142">
        <f>SUMIFS($D$2:$D$7909, $B$2:$B$7909, "Trentino-Alto Adige/Südtirol")</f>
        <v>1026433</v>
      </c>
      <c r="G7142" s="1">
        <f>Comuni__2[[#This Row],[Popolazione2011]]/Comuni__2[[#This Row],[POPOLAZIONE TOTALE DI OGNI REGIONE (CON FILTRO)]]</f>
        <v>5.9039411242623732E-4</v>
      </c>
      <c r="H7142" t="str">
        <f>IF(Comuni__2[[#This Row],[Popolazione2011]]&gt;300000,"MAGGIORE","")</f>
        <v/>
      </c>
    </row>
    <row r="7143" spans="1:8" x14ac:dyDescent="0.2">
      <c r="A7143"/>
      <c r="B7143"/>
      <c r="C7143"/>
      <c r="D7143"/>
      <c r="E7143" s="2">
        <f>Comuni__2[[#This Row],[Popolazione2011]]/$D$7911</f>
        <v>1.0181229760283198E-5</v>
      </c>
      <c r="F7143">
        <f>SUMIFS($D$2:$D$7909, $B$2:$B$7909, "Trentino-Alto Adige/Südtirol")</f>
        <v>1026433</v>
      </c>
      <c r="G7143" s="1">
        <f>Comuni__2[[#This Row],[Popolazione2011]]/Comuni__2[[#This Row],[POPOLAZIONE TOTALE DI OGNI REGIONE (CON FILTRO)]]</f>
        <v>5.8941986471596299E-4</v>
      </c>
      <c r="H7143" t="str">
        <f>IF(Comuni__2[[#This Row],[Popolazione2011]]&gt;300000,"MAGGIORE","")</f>
        <v/>
      </c>
    </row>
    <row r="7144" spans="1:8" x14ac:dyDescent="0.2">
      <c r="A7144"/>
      <c r="B7144"/>
      <c r="C7144"/>
      <c r="D7144"/>
      <c r="E7144" s="2">
        <f>Comuni__2[[#This Row],[Popolazione2011]]/$D$7911</f>
        <v>1.016440128134058E-5</v>
      </c>
      <c r="F7144">
        <f>SUMIFS($D$2:$D$7909, $B$2:$B$7909, "Trentino-Alto Adige/Südtirol")</f>
        <v>1026433</v>
      </c>
      <c r="G7144" s="1">
        <f>Comuni__2[[#This Row],[Popolazione2011]]/Comuni__2[[#This Row],[POPOLAZIONE TOTALE DI OGNI REGIONE (CON FILTRO)]]</f>
        <v>5.8844561700568867E-4</v>
      </c>
      <c r="H7144" t="str">
        <f>IF(Comuni__2[[#This Row],[Popolazione2011]]&gt;300000,"MAGGIORE","")</f>
        <v/>
      </c>
    </row>
    <row r="7145" spans="1:8" x14ac:dyDescent="0.2">
      <c r="A7145"/>
      <c r="B7145"/>
      <c r="C7145"/>
      <c r="D7145"/>
      <c r="E7145" s="2">
        <f>Comuni__2[[#This Row],[Popolazione2011]]/$D$7911</f>
        <v>1.016440128134058E-5</v>
      </c>
      <c r="F7145">
        <f>SUMIFS($D$2:$D$7909, $B$2:$B$7909, "Trentino-Alto Adige/Südtirol")</f>
        <v>1026433</v>
      </c>
      <c r="G7145" s="1">
        <f>Comuni__2[[#This Row],[Popolazione2011]]/Comuni__2[[#This Row],[POPOLAZIONE TOTALE DI OGNI REGIONE (CON FILTRO)]]</f>
        <v>5.8844561700568867E-4</v>
      </c>
      <c r="H7145" t="str">
        <f>IF(Comuni__2[[#This Row],[Popolazione2011]]&gt;300000,"MAGGIORE","")</f>
        <v/>
      </c>
    </row>
    <row r="7146" spans="1:8" x14ac:dyDescent="0.2">
      <c r="A7146"/>
      <c r="B7146"/>
      <c r="C7146"/>
      <c r="D7146"/>
      <c r="E7146" s="2">
        <f>Comuni__2[[#This Row],[Popolazione2011]]/$D$7911</f>
        <v>9.2724918973818868E-6</v>
      </c>
      <c r="F7146">
        <f>SUMIFS($D$2:$D$7909, $B$2:$B$7909, "Trentino-Alto Adige/Südtirol")</f>
        <v>1026433</v>
      </c>
      <c r="G7146" s="1">
        <f>Comuni__2[[#This Row],[Popolazione2011]]/Comuni__2[[#This Row],[POPOLAZIONE TOTALE DI OGNI REGIONE (CON FILTRO)]]</f>
        <v>5.3681048836114978E-4</v>
      </c>
      <c r="H7146" t="str">
        <f>IF(Comuni__2[[#This Row],[Popolazione2011]]&gt;300000,"MAGGIORE","")</f>
        <v/>
      </c>
    </row>
    <row r="7147" spans="1:8" x14ac:dyDescent="0.2">
      <c r="A7147"/>
      <c r="B7147"/>
      <c r="C7147"/>
      <c r="D7147"/>
      <c r="E7147" s="2">
        <f>Comuni__2[[#This Row],[Popolazione2011]]/$D$7911</f>
        <v>8.9359223185295507E-6</v>
      </c>
      <c r="F7147">
        <f>SUMIFS($D$2:$D$7909, $B$2:$B$7909, "Trentino-Alto Adige/Südtirol")</f>
        <v>1026433</v>
      </c>
      <c r="G7147" s="1">
        <f>Comuni__2[[#This Row],[Popolazione2011]]/Comuni__2[[#This Row],[POPOLAZIONE TOTALE DI OGNI REGIONE (CON FILTRO)]]</f>
        <v>5.173255341556634E-4</v>
      </c>
      <c r="H7147" t="str">
        <f>IF(Comuni__2[[#This Row],[Popolazione2011]]&gt;300000,"MAGGIORE","")</f>
        <v/>
      </c>
    </row>
    <row r="7148" spans="1:8" x14ac:dyDescent="0.2">
      <c r="A7148"/>
      <c r="B7148"/>
      <c r="C7148"/>
      <c r="D7148"/>
      <c r="E7148" s="2">
        <f>Comuni__2[[#This Row],[Popolazione2011]]/$D$7911</f>
        <v>8.9190938395869329E-6</v>
      </c>
      <c r="F7148">
        <f>SUMIFS($D$2:$D$7909, $B$2:$B$7909, "Trentino-Alto Adige/Südtirol")</f>
        <v>1026433</v>
      </c>
      <c r="G7148" s="1">
        <f>Comuni__2[[#This Row],[Popolazione2011]]/Comuni__2[[#This Row],[POPOLAZIONE TOTALE DI OGNI REGIONE (CON FILTRO)]]</f>
        <v>5.1635128644538907E-4</v>
      </c>
      <c r="H7148" t="str">
        <f>IF(Comuni__2[[#This Row],[Popolazione2011]]&gt;300000,"MAGGIORE","")</f>
        <v/>
      </c>
    </row>
    <row r="7149" spans="1:8" x14ac:dyDescent="0.2">
      <c r="A7149"/>
      <c r="B7149"/>
      <c r="C7149"/>
      <c r="D7149"/>
      <c r="E7149" s="2">
        <f>Comuni__2[[#This Row],[Popolazione2011]]/$D$7911</f>
        <v>8.9190938395869329E-6</v>
      </c>
      <c r="F7149">
        <f>SUMIFS($D$2:$D$7909, $B$2:$B$7909, "Trentino-Alto Adige/Südtirol")</f>
        <v>1026433</v>
      </c>
      <c r="G7149" s="1">
        <f>Comuni__2[[#This Row],[Popolazione2011]]/Comuni__2[[#This Row],[POPOLAZIONE TOTALE DI OGNI REGIONE (CON FILTRO)]]</f>
        <v>5.1635128644538907E-4</v>
      </c>
      <c r="H7149" t="str">
        <f>IF(Comuni__2[[#This Row],[Popolazione2011]]&gt;300000,"MAGGIORE","")</f>
        <v/>
      </c>
    </row>
    <row r="7150" spans="1:8" x14ac:dyDescent="0.2">
      <c r="A7150"/>
      <c r="B7150"/>
      <c r="C7150"/>
      <c r="D7150"/>
      <c r="E7150" s="2">
        <f>Comuni__2[[#This Row],[Popolazione2011]]/$D$7911</f>
        <v>8.4983818660215128E-6</v>
      </c>
      <c r="F7150">
        <f>SUMIFS($D$2:$D$7909, $B$2:$B$7909, "Trentino-Alto Adige/Südtirol")</f>
        <v>1026433</v>
      </c>
      <c r="G7150" s="1">
        <f>Comuni__2[[#This Row],[Popolazione2011]]/Comuni__2[[#This Row],[POPOLAZIONE TOTALE DI OGNI REGIONE (CON FILTRO)]]</f>
        <v>4.9199509368853106E-4</v>
      </c>
      <c r="H7150" t="str">
        <f>IF(Comuni__2[[#This Row],[Popolazione2011]]&gt;300000,"MAGGIORE","")</f>
        <v/>
      </c>
    </row>
    <row r="7151" spans="1:8" x14ac:dyDescent="0.2">
      <c r="A7151"/>
      <c r="B7151"/>
      <c r="C7151"/>
      <c r="D7151"/>
      <c r="E7151" s="2">
        <f>Comuni__2[[#This Row],[Popolazione2011]]/$D$7911</f>
        <v>8.313268597652727E-6</v>
      </c>
      <c r="F7151">
        <f>SUMIFS($D$2:$D$7909, $B$2:$B$7909, "Trentino-Alto Adige/Südtirol")</f>
        <v>1026433</v>
      </c>
      <c r="G7151" s="1">
        <f>Comuni__2[[#This Row],[Popolazione2011]]/Comuni__2[[#This Row],[POPOLAZIONE TOTALE DI OGNI REGIONE (CON FILTRO)]]</f>
        <v>4.8127836887551354E-4</v>
      </c>
      <c r="H7151" t="str">
        <f>IF(Comuni__2[[#This Row],[Popolazione2011]]&gt;300000,"MAGGIORE","")</f>
        <v/>
      </c>
    </row>
    <row r="7152" spans="1:8" x14ac:dyDescent="0.2">
      <c r="A7152"/>
      <c r="B7152"/>
      <c r="C7152"/>
      <c r="D7152"/>
      <c r="E7152" s="2">
        <f>Comuni__2[[#This Row],[Popolazione2011]]/$D$7911</f>
        <v>8.0944983713987072E-6</v>
      </c>
      <c r="F7152">
        <f>SUMIFS($D$2:$D$7909, $B$2:$B$7909, "Trentino-Alto Adige/Südtirol")</f>
        <v>1026433</v>
      </c>
      <c r="G7152" s="1">
        <f>Comuni__2[[#This Row],[Popolazione2011]]/Comuni__2[[#This Row],[POPOLAZIONE TOTALE DI OGNI REGIONE (CON FILTRO)]]</f>
        <v>4.6861314864194738E-4</v>
      </c>
      <c r="H7152" t="str">
        <f>IF(Comuni__2[[#This Row],[Popolazione2011]]&gt;300000,"MAGGIORE","")</f>
        <v/>
      </c>
    </row>
    <row r="7153" spans="1:8" x14ac:dyDescent="0.2">
      <c r="A7153"/>
      <c r="B7153"/>
      <c r="C7153"/>
      <c r="D7153"/>
      <c r="E7153" s="2">
        <f>Comuni__2[[#This Row],[Popolazione2011]]/$D$7911</f>
        <v>8.0440129345708571E-6</v>
      </c>
      <c r="F7153">
        <f>SUMIFS($D$2:$D$7909, $B$2:$B$7909, "Trentino-Alto Adige/Südtirol")</f>
        <v>1026433</v>
      </c>
      <c r="G7153" s="1">
        <f>Comuni__2[[#This Row],[Popolazione2011]]/Comuni__2[[#This Row],[POPOLAZIONE TOTALE DI OGNI REGIONE (CON FILTRO)]]</f>
        <v>4.6569040551112446E-4</v>
      </c>
      <c r="H7153" t="str">
        <f>IF(Comuni__2[[#This Row],[Popolazione2011]]&gt;300000,"MAGGIORE","")</f>
        <v/>
      </c>
    </row>
    <row r="7154" spans="1:8" x14ac:dyDescent="0.2">
      <c r="A7154"/>
      <c r="B7154"/>
      <c r="C7154"/>
      <c r="D7154"/>
      <c r="E7154" s="2">
        <f>Comuni__2[[#This Row],[Popolazione2011]]/$D$7911</f>
        <v>7.4886731294645004E-6</v>
      </c>
      <c r="F7154">
        <f>SUMIFS($D$2:$D$7909, $B$2:$B$7909, "Trentino-Alto Adige/Südtirol")</f>
        <v>1026433</v>
      </c>
      <c r="G7154" s="1">
        <f>Comuni__2[[#This Row],[Popolazione2011]]/Comuni__2[[#This Row],[POPOLAZIONE TOTALE DI OGNI REGIONE (CON FILTRO)]]</f>
        <v>4.335402310720719E-4</v>
      </c>
      <c r="H7154" t="str">
        <f>IF(Comuni__2[[#This Row],[Popolazione2011]]&gt;300000,"MAGGIORE","")</f>
        <v/>
      </c>
    </row>
    <row r="7155" spans="1:8" x14ac:dyDescent="0.2">
      <c r="A7155"/>
      <c r="B7155"/>
      <c r="C7155"/>
      <c r="D7155"/>
      <c r="E7155" s="2">
        <f>Comuni__2[[#This Row],[Popolazione2011]]/$D$7911</f>
        <v>7.3203883400383324E-6</v>
      </c>
      <c r="F7155">
        <f>SUMIFS($D$2:$D$7909, $B$2:$B$7909, "Trentino-Alto Adige/Südtirol")</f>
        <v>1026433</v>
      </c>
      <c r="G7155" s="1">
        <f>Comuni__2[[#This Row],[Popolazione2011]]/Comuni__2[[#This Row],[POPOLAZIONE TOTALE DI OGNI REGIONE (CON FILTRO)]]</f>
        <v>4.2379775396932871E-4</v>
      </c>
      <c r="H7155" t="str">
        <f>IF(Comuni__2[[#This Row],[Popolazione2011]]&gt;300000,"MAGGIORE","")</f>
        <v/>
      </c>
    </row>
    <row r="7156" spans="1:8" x14ac:dyDescent="0.2">
      <c r="A7156"/>
      <c r="B7156"/>
      <c r="C7156"/>
      <c r="D7156"/>
      <c r="E7156" s="2">
        <f>Comuni__2[[#This Row],[Popolazione2011]]/$D$7911</f>
        <v>7.2362459453252483E-6</v>
      </c>
      <c r="F7156">
        <f>SUMIFS($D$2:$D$7909, $B$2:$B$7909, "Trentino-Alto Adige/Südtirol")</f>
        <v>1026433</v>
      </c>
      <c r="G7156" s="1">
        <f>Comuni__2[[#This Row],[Popolazione2011]]/Comuni__2[[#This Row],[POPOLAZIONE TOTALE DI OGNI REGIONE (CON FILTRO)]]</f>
        <v>4.1892651541795714E-4</v>
      </c>
      <c r="H7156" t="str">
        <f>IF(Comuni__2[[#This Row],[Popolazione2011]]&gt;300000,"MAGGIORE","")</f>
        <v/>
      </c>
    </row>
    <row r="7157" spans="1:8" x14ac:dyDescent="0.2">
      <c r="A7157"/>
      <c r="B7157"/>
      <c r="C7157"/>
      <c r="D7157"/>
      <c r="E7157" s="2">
        <f>Comuni__2[[#This Row],[Popolazione2011]]/$D$7911</f>
        <v>7.0847896348416964E-6</v>
      </c>
      <c r="F7157">
        <f>SUMIFS($D$2:$D$7909, $B$2:$B$7909, "Trentino-Alto Adige/Südtirol")</f>
        <v>1026433</v>
      </c>
      <c r="G7157" s="1">
        <f>Comuni__2[[#This Row],[Popolazione2011]]/Comuni__2[[#This Row],[POPOLAZIONE TOTALE DI OGNI REGIONE (CON FILTRO)]]</f>
        <v>4.1015828602548827E-4</v>
      </c>
      <c r="H7157" t="str">
        <f>IF(Comuni__2[[#This Row],[Popolazione2011]]&gt;300000,"MAGGIORE","")</f>
        <v/>
      </c>
    </row>
    <row r="7158" spans="1:8" x14ac:dyDescent="0.2">
      <c r="A7158"/>
      <c r="B7158"/>
      <c r="C7158"/>
      <c r="D7158"/>
      <c r="E7158" s="2">
        <f>Comuni__2[[#This Row],[Popolazione2011]]/$D$7911</f>
        <v>7.0006472401286116E-6</v>
      </c>
      <c r="F7158">
        <f>SUMIFS($D$2:$D$7909, $B$2:$B$7909, "Trentino-Alto Adige/Südtirol")</f>
        <v>1026433</v>
      </c>
      <c r="G7158" s="1">
        <f>Comuni__2[[#This Row],[Popolazione2011]]/Comuni__2[[#This Row],[POPOLAZIONE TOTALE DI OGNI REGIONE (CON FILTRO)]]</f>
        <v>4.0528704747411665E-4</v>
      </c>
      <c r="H7158" t="str">
        <f>IF(Comuni__2[[#This Row],[Popolazione2011]]&gt;300000,"MAGGIORE","")</f>
        <v/>
      </c>
    </row>
    <row r="7159" spans="1:8" x14ac:dyDescent="0.2">
      <c r="A7159"/>
      <c r="B7159"/>
      <c r="C7159"/>
      <c r="D7159"/>
      <c r="E7159" s="2">
        <f>Comuni__2[[#This Row],[Popolazione2011]]/$D$7911</f>
        <v>6.9501618033007615E-6</v>
      </c>
      <c r="F7159">
        <f>SUMIFS($D$2:$D$7909, $B$2:$B$7909, "Trentino-Alto Adige/Südtirol")</f>
        <v>1026433</v>
      </c>
      <c r="G7159" s="1">
        <f>Comuni__2[[#This Row],[Popolazione2011]]/Comuni__2[[#This Row],[POPOLAZIONE TOTALE DI OGNI REGIONE (CON FILTRO)]]</f>
        <v>4.0236430434329373E-4</v>
      </c>
      <c r="H7159" t="str">
        <f>IF(Comuni__2[[#This Row],[Popolazione2011]]&gt;300000,"MAGGIORE","")</f>
        <v/>
      </c>
    </row>
    <row r="7160" spans="1:8" x14ac:dyDescent="0.2">
      <c r="A7160"/>
      <c r="B7160"/>
      <c r="C7160"/>
      <c r="D7160"/>
      <c r="E7160" s="2">
        <f>Comuni__2[[#This Row],[Popolazione2011]]/$D$7911</f>
        <v>6.8491909296450605E-6</v>
      </c>
      <c r="F7160">
        <f>SUMIFS($D$2:$D$7909, $B$2:$B$7909, "Trentino-Alto Adige/Südtirol")</f>
        <v>1026433</v>
      </c>
      <c r="G7160" s="1">
        <f>Comuni__2[[#This Row],[Popolazione2011]]/Comuni__2[[#This Row],[POPOLAZIONE TOTALE DI OGNI REGIONE (CON FILTRO)]]</f>
        <v>3.9651881808164778E-4</v>
      </c>
      <c r="H7160" t="str">
        <f>IF(Comuni__2[[#This Row],[Popolazione2011]]&gt;300000,"MAGGIORE","")</f>
        <v/>
      </c>
    </row>
    <row r="7161" spans="1:8" x14ac:dyDescent="0.2">
      <c r="A7161"/>
      <c r="B7161"/>
      <c r="C7161"/>
      <c r="D7161"/>
      <c r="E7161" s="2">
        <f>Comuni__2[[#This Row],[Popolazione2011]]/$D$7911</f>
        <v>6.5799352665631906E-6</v>
      </c>
      <c r="F7161">
        <f>SUMIFS($D$2:$D$7909, $B$2:$B$7909, "Trentino-Alto Adige/Südtirol")</f>
        <v>1026433</v>
      </c>
      <c r="G7161" s="1">
        <f>Comuni__2[[#This Row],[Popolazione2011]]/Comuni__2[[#This Row],[POPOLAZIONE TOTALE DI OGNI REGIONE (CON FILTRO)]]</f>
        <v>3.8093085471725869E-4</v>
      </c>
      <c r="H7161" t="str">
        <f>IF(Comuni__2[[#This Row],[Popolazione2011]]&gt;300000,"MAGGIORE","")</f>
        <v/>
      </c>
    </row>
    <row r="7162" spans="1:8" x14ac:dyDescent="0.2">
      <c r="A7162"/>
      <c r="B7162"/>
      <c r="C7162"/>
      <c r="D7162"/>
      <c r="E7162" s="2">
        <f>Comuni__2[[#This Row],[Popolazione2011]]/$D$7911</f>
        <v>6.4453074350222557E-6</v>
      </c>
      <c r="F7162">
        <f>SUMIFS($D$2:$D$7909, $B$2:$B$7909, "Trentino-Alto Adige/Südtirol")</f>
        <v>1026433</v>
      </c>
      <c r="G7162" s="1">
        <f>Comuni__2[[#This Row],[Popolazione2011]]/Comuni__2[[#This Row],[POPOLAZIONE TOTALE DI OGNI REGIONE (CON FILTRO)]]</f>
        <v>3.7313687303506415E-4</v>
      </c>
      <c r="H7162" t="str">
        <f>IF(Comuni__2[[#This Row],[Popolazione2011]]&gt;300000,"MAGGIORE","")</f>
        <v/>
      </c>
    </row>
    <row r="7163" spans="1:8" x14ac:dyDescent="0.2">
      <c r="A7163"/>
      <c r="B7163"/>
      <c r="C7163"/>
      <c r="D7163"/>
      <c r="E7163" s="2">
        <f>Comuni__2[[#This Row],[Popolazione2011]]/$D$7911</f>
        <v>6.4116504771370218E-6</v>
      </c>
      <c r="F7163">
        <f>SUMIFS($D$2:$D$7909, $B$2:$B$7909, "Trentino-Alto Adige/Südtirol")</f>
        <v>1026433</v>
      </c>
      <c r="G7163" s="1">
        <f>Comuni__2[[#This Row],[Popolazione2011]]/Comuni__2[[#This Row],[POPOLAZIONE TOTALE DI OGNI REGIONE (CON FILTRO)]]</f>
        <v>3.711883776145155E-4</v>
      </c>
      <c r="H7163" t="str">
        <f>IF(Comuni__2[[#This Row],[Popolazione2011]]&gt;300000,"MAGGIORE","")</f>
        <v/>
      </c>
    </row>
    <row r="7164" spans="1:8" x14ac:dyDescent="0.2">
      <c r="A7164"/>
      <c r="B7164"/>
      <c r="C7164"/>
      <c r="D7164"/>
      <c r="E7164" s="2">
        <f>Comuni__2[[#This Row],[Popolazione2011]]/$D$7911</f>
        <v>6.3779935192517887E-6</v>
      </c>
      <c r="F7164">
        <f>SUMIFS($D$2:$D$7909, $B$2:$B$7909, "Trentino-Alto Adige/Südtirol")</f>
        <v>1026433</v>
      </c>
      <c r="G7164" s="1">
        <f>Comuni__2[[#This Row],[Popolazione2011]]/Comuni__2[[#This Row],[POPOLAZIONE TOTALE DI OGNI REGIONE (CON FILTRO)]]</f>
        <v>3.6923988219396685E-4</v>
      </c>
      <c r="H7164" t="str">
        <f>IF(Comuni__2[[#This Row],[Popolazione2011]]&gt;300000,"MAGGIORE","")</f>
        <v/>
      </c>
    </row>
    <row r="7165" spans="1:8" x14ac:dyDescent="0.2">
      <c r="A7165"/>
      <c r="B7165"/>
      <c r="C7165"/>
      <c r="D7165"/>
      <c r="E7165" s="2">
        <f>Comuni__2[[#This Row],[Popolazione2011]]/$D$7911</f>
        <v>6.2601941666534707E-6</v>
      </c>
      <c r="F7165">
        <f>SUMIFS($D$2:$D$7909, $B$2:$B$7909, "Trentino-Alto Adige/Südtirol")</f>
        <v>1026433</v>
      </c>
      <c r="G7165" s="1">
        <f>Comuni__2[[#This Row],[Popolazione2011]]/Comuni__2[[#This Row],[POPOLAZIONE TOTALE DI OGNI REGIONE (CON FILTRO)]]</f>
        <v>3.6242014822204663E-4</v>
      </c>
      <c r="H7165" t="str">
        <f>IF(Comuni__2[[#This Row],[Popolazione2011]]&gt;300000,"MAGGIORE","")</f>
        <v/>
      </c>
    </row>
    <row r="7166" spans="1:8" x14ac:dyDescent="0.2">
      <c r="A7166"/>
      <c r="B7166"/>
      <c r="C7166"/>
      <c r="D7166"/>
      <c r="E7166" s="2">
        <f>Comuni__2[[#This Row],[Popolazione2011]]/$D$7911</f>
        <v>6.0582524193420679E-6</v>
      </c>
      <c r="F7166">
        <f>SUMIFS($D$2:$D$7909, $B$2:$B$7909, "Trentino-Alto Adige/Südtirol")</f>
        <v>1026433</v>
      </c>
      <c r="G7166" s="1">
        <f>Comuni__2[[#This Row],[Popolazione2011]]/Comuni__2[[#This Row],[POPOLAZIONE TOTALE DI OGNI REGIONE (CON FILTRO)]]</f>
        <v>3.5072917569875479E-4</v>
      </c>
      <c r="H7166" t="str">
        <f>IF(Comuni__2[[#This Row],[Popolazione2011]]&gt;300000,"MAGGIORE","")</f>
        <v/>
      </c>
    </row>
    <row r="7167" spans="1:8" x14ac:dyDescent="0.2">
      <c r="A7167"/>
      <c r="B7167"/>
      <c r="C7167"/>
      <c r="D7167"/>
      <c r="E7167" s="2">
        <f>Comuni__2[[#This Row],[Popolazione2011]]/$D$7911</f>
        <v>5.788996756260198E-6</v>
      </c>
      <c r="F7167">
        <f>SUMIFS($D$2:$D$7909, $B$2:$B$7909, "Trentino-Alto Adige/Südtirol")</f>
        <v>1026433</v>
      </c>
      <c r="G7167" s="1">
        <f>Comuni__2[[#This Row],[Popolazione2011]]/Comuni__2[[#This Row],[POPOLAZIONE TOTALE DI OGNI REGIONE (CON FILTRO)]]</f>
        <v>3.351412123343657E-4</v>
      </c>
      <c r="H7167" t="str">
        <f>IF(Comuni__2[[#This Row],[Popolazione2011]]&gt;300000,"MAGGIORE","")</f>
        <v/>
      </c>
    </row>
    <row r="7168" spans="1:8" x14ac:dyDescent="0.2">
      <c r="A7168"/>
      <c r="B7168"/>
      <c r="C7168"/>
      <c r="D7168"/>
      <c r="E7168" s="2">
        <f>Comuni__2[[#This Row],[Popolazione2011]]/$D$7911</f>
        <v>5.4355986984652441E-6</v>
      </c>
      <c r="F7168">
        <f>SUMIFS($D$2:$D$7909, $B$2:$B$7909, "Trentino-Alto Adige/Südtirol")</f>
        <v>1026433</v>
      </c>
      <c r="G7168" s="1">
        <f>Comuni__2[[#This Row],[Popolazione2011]]/Comuni__2[[#This Row],[POPOLAZIONE TOTALE DI OGNI REGIONE (CON FILTRO)]]</f>
        <v>3.1468201041860499E-4</v>
      </c>
      <c r="H7168" t="str">
        <f>IF(Comuni__2[[#This Row],[Popolazione2011]]&gt;300000,"MAGGIORE","")</f>
        <v/>
      </c>
    </row>
    <row r="7169" spans="1:8" x14ac:dyDescent="0.2">
      <c r="A7169"/>
      <c r="B7169"/>
      <c r="C7169"/>
      <c r="D7169"/>
      <c r="E7169" s="2">
        <f>Comuni__2[[#This Row],[Popolazione2011]]/$D$7911</f>
        <v>5.401941740580011E-6</v>
      </c>
      <c r="F7169">
        <f>SUMIFS($D$2:$D$7909, $B$2:$B$7909, "Trentino-Alto Adige/Südtirol")</f>
        <v>1026433</v>
      </c>
      <c r="G7169" s="1">
        <f>Comuni__2[[#This Row],[Popolazione2011]]/Comuni__2[[#This Row],[POPOLAZIONE TOTALE DI OGNI REGIONE (CON FILTRO)]]</f>
        <v>3.127335149980564E-4</v>
      </c>
      <c r="H7169" t="str">
        <f>IF(Comuni__2[[#This Row],[Popolazione2011]]&gt;300000,"MAGGIORE","")</f>
        <v/>
      </c>
    </row>
    <row r="7170" spans="1:8" x14ac:dyDescent="0.2">
      <c r="A7170"/>
      <c r="B7170"/>
      <c r="C7170"/>
      <c r="D7170"/>
      <c r="E7170" s="2">
        <f>Comuni__2[[#This Row],[Popolazione2011]]/$D$7911</f>
        <v>5.1999999932686082E-6</v>
      </c>
      <c r="F7170">
        <f>SUMIFS($D$2:$D$7909, $B$2:$B$7909, "Trentino-Alto Adige/Südtirol")</f>
        <v>1026433</v>
      </c>
      <c r="G7170" s="1">
        <f>Comuni__2[[#This Row],[Popolazione2011]]/Comuni__2[[#This Row],[POPOLAZIONE TOTALE DI OGNI REGIONE (CON FILTRO)]]</f>
        <v>3.0104254247476455E-4</v>
      </c>
      <c r="H7170" t="str">
        <f>IF(Comuni__2[[#This Row],[Popolazione2011]]&gt;300000,"MAGGIORE","")</f>
        <v/>
      </c>
    </row>
    <row r="7171" spans="1:8" x14ac:dyDescent="0.2">
      <c r="A7171"/>
      <c r="B7171"/>
      <c r="C7171"/>
      <c r="D7171"/>
      <c r="E7171" s="2">
        <f>Comuni__2[[#This Row],[Popolazione2011]]/$D$7911</f>
        <v>4.6951456249901024E-6</v>
      </c>
      <c r="F7171">
        <f>SUMIFS($D$2:$D$7909, $B$2:$B$7909, "Trentino-Alto Adige/Südtirol")</f>
        <v>1026433</v>
      </c>
      <c r="G7171" s="1">
        <f>Comuni__2[[#This Row],[Popolazione2011]]/Comuni__2[[#This Row],[POPOLAZIONE TOTALE DI OGNI REGIONE (CON FILTRO)]]</f>
        <v>2.7181511116653497E-4</v>
      </c>
      <c r="H7171" t="str">
        <f>IF(Comuni__2[[#This Row],[Popolazione2011]]&gt;300000,"MAGGIORE","")</f>
        <v/>
      </c>
    </row>
    <row r="7172" spans="1:8" x14ac:dyDescent="0.2">
      <c r="A7172"/>
      <c r="B7172"/>
      <c r="C7172"/>
      <c r="D7172"/>
      <c r="E7172" s="2">
        <f>Comuni__2[[#This Row],[Popolazione2011]]/$D$7911</f>
        <v>4.4932038776787004E-6</v>
      </c>
      <c r="F7172">
        <f>SUMIFS($D$2:$D$7909, $B$2:$B$7909, "Trentino-Alto Adige/Südtirol")</f>
        <v>1026433</v>
      </c>
      <c r="G7172" s="1">
        <f>Comuni__2[[#This Row],[Popolazione2011]]/Comuni__2[[#This Row],[POPOLAZIONE TOTALE DI OGNI REGIONE (CON FILTRO)]]</f>
        <v>2.6012413864324313E-4</v>
      </c>
      <c r="H7172" t="str">
        <f>IF(Comuni__2[[#This Row],[Popolazione2011]]&gt;300000,"MAGGIORE","")</f>
        <v/>
      </c>
    </row>
    <row r="7173" spans="1:8" x14ac:dyDescent="0.2">
      <c r="A7173"/>
      <c r="B7173"/>
      <c r="C7173"/>
      <c r="D7173"/>
      <c r="E7173" s="2">
        <f>Comuni__2[[#This Row],[Popolazione2011]]/$D$7911</f>
        <v>4.3585760461377655E-6</v>
      </c>
      <c r="F7173">
        <f>SUMIFS($D$2:$D$7909, $B$2:$B$7909, "Trentino-Alto Adige/Südtirol")</f>
        <v>1026433</v>
      </c>
      <c r="G7173" s="1">
        <f>Comuni__2[[#This Row],[Popolazione2011]]/Comuni__2[[#This Row],[POPOLAZIONE TOTALE DI OGNI REGIONE (CON FILTRO)]]</f>
        <v>2.5233015696104859E-4</v>
      </c>
      <c r="H7173" t="str">
        <f>IF(Comuni__2[[#This Row],[Popolazione2011]]&gt;300000,"MAGGIORE","")</f>
        <v/>
      </c>
    </row>
    <row r="7174" spans="1:8" x14ac:dyDescent="0.2">
      <c r="A7174"/>
      <c r="B7174"/>
      <c r="C7174"/>
      <c r="D7174"/>
      <c r="E7174" s="2">
        <f>Comuni__2[[#This Row],[Popolazione2011]]/$D$7911</f>
        <v>4.2744336514246815E-6</v>
      </c>
      <c r="F7174">
        <f>SUMIFS($D$2:$D$7909, $B$2:$B$7909, "Trentino-Alto Adige/Südtirol")</f>
        <v>1026433</v>
      </c>
      <c r="G7174" s="1">
        <f>Comuni__2[[#This Row],[Popolazione2011]]/Comuni__2[[#This Row],[POPOLAZIONE TOTALE DI OGNI REGIONE (CON FILTRO)]]</f>
        <v>2.4745891840967702E-4</v>
      </c>
      <c r="H7174" t="str">
        <f>IF(Comuni__2[[#This Row],[Popolazione2011]]&gt;300000,"MAGGIORE","")</f>
        <v/>
      </c>
    </row>
    <row r="7175" spans="1:8" x14ac:dyDescent="0.2">
      <c r="A7175"/>
      <c r="B7175"/>
      <c r="C7175"/>
      <c r="D7175"/>
      <c r="E7175" s="2">
        <f>Comuni__2[[#This Row],[Popolazione2011]]/$D$7911</f>
        <v>4.0051779883428116E-6</v>
      </c>
      <c r="F7175">
        <f>SUMIFS($D$2:$D$7909, $B$2:$B$7909, "Trentino-Alto Adige/Südtirol")</f>
        <v>1026433</v>
      </c>
      <c r="G7175" s="1">
        <f>Comuni__2[[#This Row],[Popolazione2011]]/Comuni__2[[#This Row],[POPOLAZIONE TOTALE DI OGNI REGIONE (CON FILTRO)]]</f>
        <v>2.318709550452879E-4</v>
      </c>
      <c r="H7175" t="str">
        <f>IF(Comuni__2[[#This Row],[Popolazione2011]]&gt;300000,"MAGGIORE","")</f>
        <v/>
      </c>
    </row>
    <row r="7176" spans="1:8" x14ac:dyDescent="0.2">
      <c r="A7176"/>
      <c r="B7176"/>
      <c r="C7176"/>
      <c r="D7176"/>
      <c r="E7176" s="2">
        <f>Comuni__2[[#This Row],[Popolazione2011]]/$D$7911</f>
        <v>3.2815533938102868E-6</v>
      </c>
      <c r="F7176">
        <f>SUMIFS($D$2:$D$7909, $B$2:$B$7909, "Trentino-Alto Adige/Südtirol")</f>
        <v>1026433</v>
      </c>
      <c r="G7176" s="1">
        <f>Comuni__2[[#This Row],[Popolazione2011]]/Comuni__2[[#This Row],[POPOLAZIONE TOTALE DI OGNI REGIONE (CON FILTRO)]]</f>
        <v>1.8997830350349218E-4</v>
      </c>
      <c r="H7176" t="str">
        <f>IF(Comuni__2[[#This Row],[Popolazione2011]]&gt;300000,"MAGGIORE","")</f>
        <v/>
      </c>
    </row>
    <row r="7177" spans="1:8" x14ac:dyDescent="0.2">
      <c r="A7177"/>
      <c r="B7177"/>
      <c r="C7177"/>
      <c r="D7177"/>
      <c r="E7177" s="2">
        <f>Comuni__2[[#This Row],[Popolazione2011]]/$D$7911</f>
        <v>3.0796116464988844E-6</v>
      </c>
      <c r="F7177">
        <f>SUMIFS($D$2:$D$7909, $B$2:$B$7909, "Trentino-Alto Adige/Südtirol")</f>
        <v>1026433</v>
      </c>
      <c r="G7177" s="1">
        <f>Comuni__2[[#This Row],[Popolazione2011]]/Comuni__2[[#This Row],[POPOLAZIONE TOTALE DI OGNI REGIONE (CON FILTRO)]]</f>
        <v>1.7828733098020037E-4</v>
      </c>
      <c r="H7177" t="str">
        <f>IF(Comuni__2[[#This Row],[Popolazione2011]]&gt;300000,"MAGGIORE","")</f>
        <v/>
      </c>
    </row>
    <row r="7178" spans="1:8" x14ac:dyDescent="0.2">
      <c r="A7178"/>
      <c r="B7178"/>
      <c r="C7178"/>
      <c r="D7178"/>
      <c r="E7178" s="2">
        <f>Comuni__2[[#This Row],[Popolazione2011]]/$D$7911</f>
        <v>2.8440129413022485E-6</v>
      </c>
      <c r="F7178">
        <f>SUMIFS($D$2:$D$7909, $B$2:$B$7909, "Trentino-Alto Adige/Südtirol")</f>
        <v>1026433</v>
      </c>
      <c r="G7178" s="1">
        <f>Comuni__2[[#This Row],[Popolazione2011]]/Comuni__2[[#This Row],[POPOLAZIONE TOTALE DI OGNI REGIONE (CON FILTRO)]]</f>
        <v>1.646478630363599E-4</v>
      </c>
      <c r="H7178" t="str">
        <f>IF(Comuni__2[[#This Row],[Popolazione2011]]&gt;300000,"MAGGIORE","")</f>
        <v/>
      </c>
    </row>
    <row r="7179" spans="1:8" x14ac:dyDescent="0.2">
      <c r="A7179"/>
      <c r="B7179"/>
      <c r="C7179"/>
      <c r="D7179"/>
      <c r="E7179" s="2">
        <f>Comuni__2[[#This Row],[Popolazione2011]]/$D$7911</f>
        <v>2.7262135887039305E-6</v>
      </c>
      <c r="F7179">
        <f>SUMIFS($D$2:$D$7909, $B$2:$B$7909, "Trentino-Alto Adige/Südtirol")</f>
        <v>1026433</v>
      </c>
      <c r="G7179" s="1">
        <f>Comuni__2[[#This Row],[Popolazione2011]]/Comuni__2[[#This Row],[POPOLAZIONE TOTALE DI OGNI REGIONE (CON FILTRO)]]</f>
        <v>1.5782812906443966E-4</v>
      </c>
      <c r="H7179" t="str">
        <f>IF(Comuni__2[[#This Row],[Popolazione2011]]&gt;300000,"MAGGIORE","")</f>
        <v/>
      </c>
    </row>
    <row r="7180" spans="1:8" x14ac:dyDescent="0.2">
      <c r="A7180"/>
      <c r="B7180"/>
      <c r="C7180"/>
      <c r="D7180"/>
      <c r="E7180" s="2">
        <f>Comuni__2[[#This Row],[Popolazione2011]]/$D$7911</f>
        <v>2.0867313888844902E-6</v>
      </c>
      <c r="F7180">
        <f>SUMIFS($D$2:$D$7909, $B$2:$B$7909, "Trentino-Alto Adige/Südtirol")</f>
        <v>1026433</v>
      </c>
      <c r="G7180" s="1">
        <f>Comuni__2[[#This Row],[Popolazione2011]]/Comuni__2[[#This Row],[POPOLAZIONE TOTALE DI OGNI REGIONE (CON FILTRO)]]</f>
        <v>1.2080671607401555E-4</v>
      </c>
      <c r="H7180" t="str">
        <f>IF(Comuni__2[[#This Row],[Popolazione2011]]&gt;300000,"MAGGIORE","")</f>
        <v/>
      </c>
    </row>
    <row r="7181" spans="1:8" x14ac:dyDescent="0.2">
      <c r="A7181"/>
      <c r="B7181"/>
      <c r="C7181"/>
      <c r="D7181"/>
      <c r="E7181" s="2">
        <f>Comuni__2[[#This Row],[Popolazione2011]]/$D$7911</f>
        <v>2.7337695757491654E-3</v>
      </c>
      <c r="F7181">
        <f>SUMIFS($D$2:$D$7909, $B$2:$B$7909, "Umbria")</f>
        <v>884268</v>
      </c>
      <c r="G7181" s="1">
        <f>Comuni__2[[#This Row],[Popolazione2011]]/Comuni__2[[#This Row],[POPOLAZIONE TOTALE DI OGNI REGIONE (CON FILTRO)]]</f>
        <v>0.18371014217409201</v>
      </c>
      <c r="H7181" t="str">
        <f>IF(Comuni__2[[#This Row],[Popolazione2011]]&gt;300000,"MAGGIORE","")</f>
        <v/>
      </c>
    </row>
    <row r="7182" spans="1:8" x14ac:dyDescent="0.2">
      <c r="A7182"/>
      <c r="B7182"/>
      <c r="C7182"/>
      <c r="D7182"/>
      <c r="E7182" s="2">
        <f>Comuni__2[[#This Row],[Popolazione2011]]/$D$7911</f>
        <v>1.8375521011811623E-3</v>
      </c>
      <c r="F7182">
        <f>SUMIFS($D$2:$D$7909, $B$2:$B$7909, "Umbria")</f>
        <v>884268</v>
      </c>
      <c r="G7182" s="1">
        <f>Comuni__2[[#This Row],[Popolazione2011]]/Comuni__2[[#This Row],[POPOLAZIONE TOTALE DI OGNI REGIONE (CON FILTRO)]]</f>
        <v>0.1234840568696368</v>
      </c>
      <c r="H7182" t="str">
        <f>IF(Comuni__2[[#This Row],[Popolazione2011]]&gt;300000,"MAGGIORE","")</f>
        <v/>
      </c>
    </row>
    <row r="7183" spans="1:8" x14ac:dyDescent="0.2">
      <c r="A7183"/>
      <c r="B7183"/>
      <c r="C7183"/>
      <c r="D7183"/>
      <c r="E7183" s="2">
        <f>Comuni__2[[#This Row],[Popolazione2011]]/$D$7911</f>
        <v>9.4315210233896169E-4</v>
      </c>
      <c r="F7183">
        <f>SUMIFS($D$2:$D$7909, $B$2:$B$7909, "Umbria")</f>
        <v>884268</v>
      </c>
      <c r="G7183" s="1">
        <f>Comuni__2[[#This Row],[Popolazione2011]]/Comuni__2[[#This Row],[POPOLAZIONE TOTALE DI OGNI REGIONE (CON FILTRO)]]</f>
        <v>6.3380106483554757E-2</v>
      </c>
      <c r="H7183" t="str">
        <f>IF(Comuni__2[[#This Row],[Popolazione2011]]&gt;300000,"MAGGIORE","")</f>
        <v/>
      </c>
    </row>
    <row r="7184" spans="1:8" x14ac:dyDescent="0.2">
      <c r="A7184"/>
      <c r="B7184"/>
      <c r="C7184"/>
      <c r="D7184"/>
      <c r="E7184" s="2">
        <f>Comuni__2[[#This Row],[Popolazione2011]]/$D$7911</f>
        <v>6.7421618035700174E-4</v>
      </c>
      <c r="F7184">
        <f>SUMIFS($D$2:$D$7909, $B$2:$B$7909, "Umbria")</f>
        <v>884268</v>
      </c>
      <c r="G7184" s="1">
        <f>Comuni__2[[#This Row],[Popolazione2011]]/Comuni__2[[#This Row],[POPOLAZIONE TOTALE DI OGNI REGIONE (CON FILTRO)]]</f>
        <v>4.5307531200948131E-2</v>
      </c>
      <c r="H7184" t="str">
        <f>IF(Comuni__2[[#This Row],[Popolazione2011]]&gt;300000,"MAGGIORE","")</f>
        <v/>
      </c>
    </row>
    <row r="7185" spans="1:8" x14ac:dyDescent="0.2">
      <c r="A7185"/>
      <c r="B7185"/>
      <c r="C7185"/>
      <c r="D7185"/>
      <c r="E7185" s="2">
        <f>Comuni__2[[#This Row],[Popolazione2011]]/$D$7911</f>
        <v>6.4670161728582311E-4</v>
      </c>
      <c r="F7185">
        <f>SUMIFS($D$2:$D$7909, $B$2:$B$7909, "Umbria")</f>
        <v>884268</v>
      </c>
      <c r="G7185" s="1">
        <f>Comuni__2[[#This Row],[Popolazione2011]]/Comuni__2[[#This Row],[POPOLAZIONE TOTALE DI OGNI REGIONE (CON FILTRO)]]</f>
        <v>4.3458544242243304E-2</v>
      </c>
      <c r="H7185" t="str">
        <f>IF(Comuni__2[[#This Row],[Popolazione2011]]&gt;300000,"MAGGIORE","")</f>
        <v/>
      </c>
    </row>
    <row r="7186" spans="1:8" x14ac:dyDescent="0.2">
      <c r="A7186"/>
      <c r="B7186"/>
      <c r="C7186"/>
      <c r="D7186"/>
      <c r="E7186" s="2">
        <f>Comuni__2[[#This Row],[Popolazione2011]]/$D$7911</f>
        <v>5.4578122906694983E-4</v>
      </c>
      <c r="F7186">
        <f>SUMIFS($D$2:$D$7909, $B$2:$B$7909, "Umbria")</f>
        <v>884268</v>
      </c>
      <c r="G7186" s="1">
        <f>Comuni__2[[#This Row],[Popolazione2011]]/Comuni__2[[#This Row],[POPOLAZIONE TOTALE DI OGNI REGIONE (CON FILTRO)]]</f>
        <v>3.6676663635911287E-2</v>
      </c>
      <c r="H7186" t="str">
        <f>IF(Comuni__2[[#This Row],[Popolazione2011]]&gt;300000,"MAGGIORE","")</f>
        <v/>
      </c>
    </row>
    <row r="7187" spans="1:8" x14ac:dyDescent="0.2">
      <c r="A7187"/>
      <c r="B7187"/>
      <c r="C7187"/>
      <c r="D7187"/>
      <c r="E7187" s="2">
        <f>Comuni__2[[#This Row],[Popolazione2011]]/$D$7911</f>
        <v>4.6071326801202167E-4</v>
      </c>
      <c r="F7187">
        <f>SUMIFS($D$2:$D$7909, $B$2:$B$7909, "Umbria")</f>
        <v>884268</v>
      </c>
      <c r="G7187" s="1">
        <f>Comuni__2[[#This Row],[Popolazione2011]]/Comuni__2[[#This Row],[POPOLAZIONE TOTALE DI OGNI REGIONE (CON FILTRO)]]</f>
        <v>3.0960070928722966E-2</v>
      </c>
      <c r="H7187" t="str">
        <f>IF(Comuni__2[[#This Row],[Popolazione2011]]&gt;300000,"MAGGIORE","")</f>
        <v/>
      </c>
    </row>
    <row r="7188" spans="1:8" x14ac:dyDescent="0.2">
      <c r="A7188"/>
      <c r="B7188"/>
      <c r="C7188"/>
      <c r="D7188"/>
      <c r="E7188" s="2">
        <f>Comuni__2[[#This Row],[Popolazione2011]]/$D$7911</f>
        <v>3.6438705454448279E-4</v>
      </c>
      <c r="F7188">
        <f>SUMIFS($D$2:$D$7909, $B$2:$B$7909, "Umbria")</f>
        <v>884268</v>
      </c>
      <c r="G7188" s="1">
        <f>Comuni__2[[#This Row],[Popolazione2011]]/Comuni__2[[#This Row],[POPOLAZIONE TOTALE DI OGNI REGIONE (CON FILTRO)]]</f>
        <v>2.4486920254945335E-2</v>
      </c>
      <c r="H7188" t="str">
        <f>IF(Comuni__2[[#This Row],[Popolazione2011]]&gt;300000,"MAGGIORE","")</f>
        <v/>
      </c>
    </row>
    <row r="7189" spans="1:8" x14ac:dyDescent="0.2">
      <c r="A7189"/>
      <c r="B7189"/>
      <c r="C7189"/>
      <c r="D7189"/>
      <c r="E7189" s="2">
        <f>Comuni__2[[#This Row],[Popolazione2011]]/$D$7911</f>
        <v>3.5447508044728147E-4</v>
      </c>
      <c r="F7189">
        <f>SUMIFS($D$2:$D$7909, $B$2:$B$7909, "Umbria")</f>
        <v>884268</v>
      </c>
      <c r="G7189" s="1">
        <f>Comuni__2[[#This Row],[Popolazione2011]]/Comuni__2[[#This Row],[POPOLAZIONE TOTALE DI OGNI REGIONE (CON FILTRO)]]</f>
        <v>2.3820832598262065E-2</v>
      </c>
      <c r="H7189" t="str">
        <f>IF(Comuni__2[[#This Row],[Popolazione2011]]&gt;300000,"MAGGIORE","")</f>
        <v/>
      </c>
    </row>
    <row r="7190" spans="1:8" x14ac:dyDescent="0.2">
      <c r="A7190"/>
      <c r="B7190"/>
      <c r="C7190"/>
      <c r="D7190"/>
      <c r="E7190" s="2">
        <f>Comuni__2[[#This Row],[Popolazione2011]]/$D$7911</f>
        <v>3.4086084098270439E-4</v>
      </c>
      <c r="F7190">
        <f>SUMIFS($D$2:$D$7909, $B$2:$B$7909, "Umbria")</f>
        <v>884268</v>
      </c>
      <c r="G7190" s="1">
        <f>Comuni__2[[#This Row],[Popolazione2011]]/Comuni__2[[#This Row],[POPOLAZIONE TOTALE DI OGNI REGIONE (CON FILTRO)]]</f>
        <v>2.290595158933717E-2</v>
      </c>
      <c r="H7190" t="str">
        <f>IF(Comuni__2[[#This Row],[Popolazione2011]]&gt;300000,"MAGGIORE","")</f>
        <v/>
      </c>
    </row>
    <row r="7191" spans="1:8" x14ac:dyDescent="0.2">
      <c r="A7191"/>
      <c r="B7191"/>
      <c r="C7191"/>
      <c r="D7191"/>
      <c r="E7191" s="2">
        <f>Comuni__2[[#This Row],[Popolazione2011]]/$D$7911</f>
        <v>3.3747831671523845E-4</v>
      </c>
      <c r="F7191">
        <f>SUMIFS($D$2:$D$7909, $B$2:$B$7909, "Umbria")</f>
        <v>884268</v>
      </c>
      <c r="G7191" s="1">
        <f>Comuni__2[[#This Row],[Popolazione2011]]/Comuni__2[[#This Row],[POPOLAZIONE TOTALE DI OGNI REGIONE (CON FILTRO)]]</f>
        <v>2.2678644935698229E-2</v>
      </c>
      <c r="H7191" t="str">
        <f>IF(Comuni__2[[#This Row],[Popolazione2011]]&gt;300000,"MAGGIORE","")</f>
        <v/>
      </c>
    </row>
    <row r="7192" spans="1:8" x14ac:dyDescent="0.2">
      <c r="A7192"/>
      <c r="B7192"/>
      <c r="C7192"/>
      <c r="D7192"/>
      <c r="E7192" s="2">
        <f>Comuni__2[[#This Row],[Popolazione2011]]/$D$7911</f>
        <v>3.1470938470587782E-4</v>
      </c>
      <c r="F7192">
        <f>SUMIFS($D$2:$D$7909, $B$2:$B$7909, "Umbria")</f>
        <v>884268</v>
      </c>
      <c r="G7192" s="1">
        <f>Comuni__2[[#This Row],[Popolazione2011]]/Comuni__2[[#This Row],[POPOLAZIONE TOTALE DI OGNI REGIONE (CON FILTRO)]]</f>
        <v>2.1148565819412213E-2</v>
      </c>
      <c r="H7192" t="str">
        <f>IF(Comuni__2[[#This Row],[Popolazione2011]]&gt;300000,"MAGGIORE","")</f>
        <v/>
      </c>
    </row>
    <row r="7193" spans="1:8" x14ac:dyDescent="0.2">
      <c r="A7193"/>
      <c r="B7193"/>
      <c r="C7193"/>
      <c r="D7193"/>
      <c r="E7193" s="2">
        <f>Comuni__2[[#This Row],[Popolazione2011]]/$D$7911</f>
        <v>2.8440129413022489E-4</v>
      </c>
      <c r="F7193">
        <f>SUMIFS($D$2:$D$7909, $B$2:$B$7909, "Umbria")</f>
        <v>884268</v>
      </c>
      <c r="G7193" s="1">
        <f>Comuni__2[[#This Row],[Popolazione2011]]/Comuni__2[[#This Row],[POPOLAZIONE TOTALE DI OGNI REGIONE (CON FILTRO)]]</f>
        <v>1.9111852967652342E-2</v>
      </c>
      <c r="H7193" t="str">
        <f>IF(Comuni__2[[#This Row],[Popolazione2011]]&gt;300000,"MAGGIORE","")</f>
        <v/>
      </c>
    </row>
    <row r="7194" spans="1:8" x14ac:dyDescent="0.2">
      <c r="A7194"/>
      <c r="B7194"/>
      <c r="C7194"/>
      <c r="D7194"/>
      <c r="E7194" s="2">
        <f>Comuni__2[[#This Row],[Popolazione2011]]/$D$7911</f>
        <v>2.7735016145326839E-4</v>
      </c>
      <c r="F7194">
        <f>SUMIFS($D$2:$D$7909, $B$2:$B$7909, "Umbria")</f>
        <v>884268</v>
      </c>
      <c r="G7194" s="1">
        <f>Comuni__2[[#This Row],[Popolazione2011]]/Comuni__2[[#This Row],[POPOLAZIONE TOTALE DI OGNI REGIONE (CON FILTRO)]]</f>
        <v>1.8638014719519421E-2</v>
      </c>
      <c r="H7194" t="str">
        <f>IF(Comuni__2[[#This Row],[Popolazione2011]]&gt;300000,"MAGGIORE","")</f>
        <v/>
      </c>
    </row>
    <row r="7195" spans="1:8" x14ac:dyDescent="0.2">
      <c r="A7195"/>
      <c r="B7195"/>
      <c r="C7195"/>
      <c r="D7195"/>
      <c r="E7195" s="2">
        <f>Comuni__2[[#This Row],[Popolazione2011]]/$D$7911</f>
        <v>2.6005048510025825E-4</v>
      </c>
      <c r="F7195">
        <f>SUMIFS($D$2:$D$7909, $B$2:$B$7909, "Umbria")</f>
        <v>884268</v>
      </c>
      <c r="G7195" s="1">
        <f>Comuni__2[[#This Row],[Popolazione2011]]/Comuni__2[[#This Row],[POPOLAZIONE TOTALE DI OGNI REGIONE (CON FILTRO)]]</f>
        <v>1.7475471237226724E-2</v>
      </c>
      <c r="H7195" t="str">
        <f>IF(Comuni__2[[#This Row],[Popolazione2011]]&gt;300000,"MAGGIORE","")</f>
        <v/>
      </c>
    </row>
    <row r="7196" spans="1:8" x14ac:dyDescent="0.2">
      <c r="A7196"/>
      <c r="B7196"/>
      <c r="C7196"/>
      <c r="D7196"/>
      <c r="E7196" s="2">
        <f>Comuni__2[[#This Row],[Popolazione2011]]/$D$7911</f>
        <v>2.5952880225303714E-4</v>
      </c>
      <c r="F7196">
        <f>SUMIFS($D$2:$D$7909, $B$2:$B$7909, "Umbria")</f>
        <v>884268</v>
      </c>
      <c r="G7196" s="1">
        <f>Comuni__2[[#This Row],[Popolazione2011]]/Comuni__2[[#This Row],[POPOLAZIONE TOTALE DI OGNI REGIONE (CON FILTRO)]]</f>
        <v>1.744041399213813E-2</v>
      </c>
      <c r="H7196" t="str">
        <f>IF(Comuni__2[[#This Row],[Popolazione2011]]&gt;300000,"MAGGIORE","")</f>
        <v/>
      </c>
    </row>
    <row r="7197" spans="1:8" x14ac:dyDescent="0.2">
      <c r="A7197"/>
      <c r="B7197"/>
      <c r="C7197"/>
      <c r="D7197"/>
      <c r="E7197" s="2">
        <f>Comuni__2[[#This Row],[Popolazione2011]]/$D$7911</f>
        <v>2.4551067929383733E-4</v>
      </c>
      <c r="F7197">
        <f>SUMIFS($D$2:$D$7909, $B$2:$B$7909, "Umbria")</f>
        <v>884268</v>
      </c>
      <c r="G7197" s="1">
        <f>Comuni__2[[#This Row],[Popolazione2011]]/Comuni__2[[#This Row],[POPOLAZIONE TOTALE DI OGNI REGIONE (CON FILTRO)]]</f>
        <v>1.649839189024142E-2</v>
      </c>
      <c r="H7197" t="str">
        <f>IF(Comuni__2[[#This Row],[Popolazione2011]]&gt;300000,"MAGGIORE","")</f>
        <v/>
      </c>
    </row>
    <row r="7198" spans="1:8" x14ac:dyDescent="0.2">
      <c r="A7198"/>
      <c r="B7198"/>
      <c r="C7198"/>
      <c r="D7198"/>
      <c r="E7198" s="2">
        <f>Comuni__2[[#This Row],[Popolazione2011]]/$D$7911</f>
        <v>1.9825631042296918E-4</v>
      </c>
      <c r="F7198">
        <f>SUMIFS($D$2:$D$7909, $B$2:$B$7909, "Umbria")</f>
        <v>884268</v>
      </c>
      <c r="G7198" s="1">
        <f>Comuni__2[[#This Row],[Popolazione2011]]/Comuni__2[[#This Row],[POPOLAZIONE TOTALE DI OGNI REGIONE (CON FILTRO)]]</f>
        <v>1.3322884012539185E-2</v>
      </c>
      <c r="H7198" t="str">
        <f>IF(Comuni__2[[#This Row],[Popolazione2011]]&gt;300000,"MAGGIORE","")</f>
        <v/>
      </c>
    </row>
    <row r="7199" spans="1:8" x14ac:dyDescent="0.2">
      <c r="A7199"/>
      <c r="B7199"/>
      <c r="C7199"/>
      <c r="D7199"/>
      <c r="E7199" s="2">
        <f>Comuni__2[[#This Row],[Popolazione2011]]/$D$7911</f>
        <v>1.907844657724473E-4</v>
      </c>
      <c r="F7199">
        <f>SUMIFS($D$2:$D$7909, $B$2:$B$7909, "Umbria")</f>
        <v>884268</v>
      </c>
      <c r="G7199" s="1">
        <f>Comuni__2[[#This Row],[Popolazione2011]]/Comuni__2[[#This Row],[POPOLAZIONE TOTALE DI OGNI REGIONE (CON FILTRO)]]</f>
        <v>1.2820773792560627E-2</v>
      </c>
      <c r="H7199" t="str">
        <f>IF(Comuni__2[[#This Row],[Popolazione2011]]&gt;300000,"MAGGIORE","")</f>
        <v/>
      </c>
    </row>
    <row r="7200" spans="1:8" x14ac:dyDescent="0.2">
      <c r="A7200"/>
      <c r="B7200"/>
      <c r="C7200"/>
      <c r="D7200"/>
      <c r="E7200" s="2">
        <f>Comuni__2[[#This Row],[Popolazione2011]]/$D$7911</f>
        <v>1.59130096881385E-4</v>
      </c>
      <c r="F7200">
        <f>SUMIFS($D$2:$D$7909, $B$2:$B$7909, "Umbria")</f>
        <v>884268</v>
      </c>
      <c r="G7200" s="1">
        <f>Comuni__2[[#This Row],[Popolazione2011]]/Comuni__2[[#This Row],[POPOLAZIONE TOTALE DI OGNI REGIONE (CON FILTRO)]]</f>
        <v>1.0693590630894706E-2</v>
      </c>
      <c r="H7200" t="str">
        <f>IF(Comuni__2[[#This Row],[Popolazione2011]]&gt;300000,"MAGGIORE","")</f>
        <v/>
      </c>
    </row>
    <row r="7201" spans="1:8" x14ac:dyDescent="0.2">
      <c r="A7201"/>
      <c r="B7201"/>
      <c r="C7201"/>
      <c r="D7201"/>
      <c r="E7201" s="2">
        <f>Comuni__2[[#This Row],[Popolazione2011]]/$D$7911</f>
        <v>1.4524660175372608E-4</v>
      </c>
      <c r="F7201">
        <f>SUMIFS($D$2:$D$7909, $B$2:$B$7909, "Umbria")</f>
        <v>884268</v>
      </c>
      <c r="G7201" s="1">
        <f>Comuni__2[[#This Row],[Popolazione2011]]/Comuni__2[[#This Row],[POPOLAZIONE TOTALE DI OGNI REGIONE (CON FILTRO)]]</f>
        <v>9.7606155599886009E-3</v>
      </c>
      <c r="H7201" t="str">
        <f>IF(Comuni__2[[#This Row],[Popolazione2011]]&gt;300000,"MAGGIORE","")</f>
        <v/>
      </c>
    </row>
    <row r="7202" spans="1:8" x14ac:dyDescent="0.2">
      <c r="A7202"/>
      <c r="B7202"/>
      <c r="C7202"/>
      <c r="D7202"/>
      <c r="E7202" s="2">
        <f>Comuni__2[[#This Row],[Popolazione2011]]/$D$7911</f>
        <v>1.4026537198671149E-4</v>
      </c>
      <c r="F7202">
        <f>SUMIFS($D$2:$D$7909, $B$2:$B$7909, "Umbria")</f>
        <v>884268</v>
      </c>
      <c r="G7202" s="1">
        <f>Comuni__2[[#This Row],[Popolazione2011]]/Comuni__2[[#This Row],[POPOLAZIONE TOTALE DI OGNI REGIONE (CON FILTRO)]]</f>
        <v>9.4258754133362283E-3</v>
      </c>
      <c r="H7202" t="str">
        <f>IF(Comuni__2[[#This Row],[Popolazione2011]]&gt;300000,"MAGGIORE","")</f>
        <v/>
      </c>
    </row>
    <row r="7203" spans="1:8" x14ac:dyDescent="0.2">
      <c r="A7203"/>
      <c r="B7203"/>
      <c r="C7203"/>
      <c r="D7203"/>
      <c r="E7203" s="2">
        <f>Comuni__2[[#This Row],[Popolazione2011]]/$D$7911</f>
        <v>1.3131262118923934E-4</v>
      </c>
      <c r="F7203">
        <f>SUMIFS($D$2:$D$7909, $B$2:$B$7909, "Umbria")</f>
        <v>884268</v>
      </c>
      <c r="G7203" s="1">
        <f>Comuni__2[[#This Row],[Popolazione2011]]/Comuni__2[[#This Row],[POPOLAZIONE TOTALE DI OGNI REGIONE (CON FILTRO)]]</f>
        <v>8.8242478524610188E-3</v>
      </c>
      <c r="H7203" t="str">
        <f>IF(Comuni__2[[#This Row],[Popolazione2011]]&gt;300000,"MAGGIORE","")</f>
        <v/>
      </c>
    </row>
    <row r="7204" spans="1:8" x14ac:dyDescent="0.2">
      <c r="A7204"/>
      <c r="B7204"/>
      <c r="C7204"/>
      <c r="D7204"/>
      <c r="E7204" s="2">
        <f>Comuni__2[[#This Row],[Popolazione2011]]/$D$7911</f>
        <v>1.097216827058619E-4</v>
      </c>
      <c r="F7204">
        <f>SUMIFS($D$2:$D$7909, $B$2:$B$7909, "Umbria")</f>
        <v>884268</v>
      </c>
      <c r="G7204" s="1">
        <f>Comuni__2[[#This Row],[Popolazione2011]]/Comuni__2[[#This Row],[POPOLAZIONE TOTALE DI OGNI REGIONE (CON FILTRO)]]</f>
        <v>7.3733302573427964E-3</v>
      </c>
      <c r="H7204" t="str">
        <f>IF(Comuni__2[[#This Row],[Popolazione2011]]&gt;300000,"MAGGIORE","")</f>
        <v/>
      </c>
    </row>
    <row r="7205" spans="1:8" x14ac:dyDescent="0.2">
      <c r="A7205"/>
      <c r="B7205"/>
      <c r="C7205"/>
      <c r="D7205"/>
      <c r="E7205" s="2">
        <f>Comuni__2[[#This Row],[Popolazione2011]]/$D$7911</f>
        <v>1.0564919080174862E-4</v>
      </c>
      <c r="F7205">
        <f>SUMIFS($D$2:$D$7909, $B$2:$B$7909, "Umbria")</f>
        <v>884268</v>
      </c>
      <c r="G7205" s="1">
        <f>Comuni__2[[#This Row],[Popolazione2011]]/Comuni__2[[#This Row],[POPOLAZIONE TOTALE DI OGNI REGIONE (CON FILTRO)]]</f>
        <v>7.0996575698770055E-3</v>
      </c>
      <c r="H7205" t="str">
        <f>IF(Comuni__2[[#This Row],[Popolazione2011]]&gt;300000,"MAGGIORE","")</f>
        <v/>
      </c>
    </row>
    <row r="7206" spans="1:8" x14ac:dyDescent="0.2">
      <c r="A7206"/>
      <c r="B7206"/>
      <c r="C7206"/>
      <c r="D7206"/>
      <c r="E7206" s="2">
        <f>Comuni__2[[#This Row],[Popolazione2011]]/$D$7911</f>
        <v>1.0017993514539815E-4</v>
      </c>
      <c r="F7206">
        <f>SUMIFS($D$2:$D$7909, $B$2:$B$7909, "Umbria")</f>
        <v>884268</v>
      </c>
      <c r="G7206" s="1">
        <f>Comuni__2[[#This Row],[Popolazione2011]]/Comuni__2[[#This Row],[POPOLAZIONE TOTALE DI OGNI REGIONE (CON FILTRO)]]</f>
        <v>6.7321219358836915E-3</v>
      </c>
      <c r="H7206" t="str">
        <f>IF(Comuni__2[[#This Row],[Popolazione2011]]&gt;300000,"MAGGIORE","")</f>
        <v/>
      </c>
    </row>
    <row r="7207" spans="1:8" x14ac:dyDescent="0.2">
      <c r="A7207"/>
      <c r="B7207"/>
      <c r="C7207"/>
      <c r="D7207"/>
      <c r="E7207" s="2">
        <f>Comuni__2[[#This Row],[Popolazione2011]]/$D$7911</f>
        <v>9.6494498256965053E-5</v>
      </c>
      <c r="F7207">
        <f>SUMIFS($D$2:$D$7909, $B$2:$B$7909, "Umbria")</f>
        <v>884268</v>
      </c>
      <c r="G7207" s="1">
        <f>Comuni__2[[#This Row],[Popolazione2011]]/Comuni__2[[#This Row],[POPOLAZIONE TOTALE DI OGNI REGIONE (CON FILTRO)]]</f>
        <v>6.484459462515889E-3</v>
      </c>
      <c r="H7207" t="str">
        <f>IF(Comuni__2[[#This Row],[Popolazione2011]]&gt;300000,"MAGGIORE","")</f>
        <v/>
      </c>
    </row>
    <row r="7208" spans="1:8" x14ac:dyDescent="0.2">
      <c r="A7208"/>
      <c r="B7208"/>
      <c r="C7208"/>
      <c r="D7208"/>
      <c r="E7208" s="2">
        <f>Comuni__2[[#This Row],[Popolazione2011]]/$D$7911</f>
        <v>9.5770873662432533E-5</v>
      </c>
      <c r="F7208">
        <f>SUMIFS($D$2:$D$7909, $B$2:$B$7909, "Umbria")</f>
        <v>884268</v>
      </c>
      <c r="G7208" s="1">
        <f>Comuni__2[[#This Row],[Popolazione2011]]/Comuni__2[[#This Row],[POPOLAZIONE TOTALE DI OGNI REGIONE (CON FILTRO)]]</f>
        <v>6.4358316709413887E-3</v>
      </c>
      <c r="H7208" t="str">
        <f>IF(Comuni__2[[#This Row],[Popolazione2011]]&gt;300000,"MAGGIORE","")</f>
        <v/>
      </c>
    </row>
    <row r="7209" spans="1:8" x14ac:dyDescent="0.2">
      <c r="A7209"/>
      <c r="B7209"/>
      <c r="C7209"/>
      <c r="D7209"/>
      <c r="E7209" s="2">
        <f>Comuni__2[[#This Row],[Popolazione2011]]/$D$7911</f>
        <v>9.2926860721130272E-5</v>
      </c>
      <c r="F7209">
        <f>SUMIFS($D$2:$D$7909, $B$2:$B$7909, "Umbria")</f>
        <v>884268</v>
      </c>
      <c r="G7209" s="1">
        <f>Comuni__2[[#This Row],[Popolazione2011]]/Comuni__2[[#This Row],[POPOLAZIONE TOTALE DI OGNI REGIONE (CON FILTRO)]]</f>
        <v>6.2447131412648651E-3</v>
      </c>
      <c r="H7209" t="str">
        <f>IF(Comuni__2[[#This Row],[Popolazione2011]]&gt;300000,"MAGGIORE","")</f>
        <v/>
      </c>
    </row>
    <row r="7210" spans="1:8" x14ac:dyDescent="0.2">
      <c r="A7210"/>
      <c r="B7210"/>
      <c r="C7210"/>
      <c r="D7210"/>
      <c r="E7210" s="2">
        <f>Comuni__2[[#This Row],[Popolazione2011]]/$D$7911</f>
        <v>8.7339805712181488E-5</v>
      </c>
      <c r="F7210">
        <f>SUMIFS($D$2:$D$7909, $B$2:$B$7909, "Umbria")</f>
        <v>884268</v>
      </c>
      <c r="G7210" s="1">
        <f>Comuni__2[[#This Row],[Popolazione2011]]/Comuni__2[[#This Row],[POPOLAZIONE TOTALE DI OGNI REGIONE (CON FILTRO)]]</f>
        <v>5.8692613551547717E-3</v>
      </c>
      <c r="H7210" t="str">
        <f>IF(Comuni__2[[#This Row],[Popolazione2011]]&gt;300000,"MAGGIORE","")</f>
        <v/>
      </c>
    </row>
    <row r="7211" spans="1:8" x14ac:dyDescent="0.2">
      <c r="A7211"/>
      <c r="B7211"/>
      <c r="C7211"/>
      <c r="D7211"/>
      <c r="E7211" s="2">
        <f>Comuni__2[[#This Row],[Popolazione2011]]/$D$7911</f>
        <v>8.5387702154837922E-5</v>
      </c>
      <c r="F7211">
        <f>SUMIFS($D$2:$D$7909, $B$2:$B$7909, "Umbria")</f>
        <v>884268</v>
      </c>
      <c r="G7211" s="1">
        <f>Comuni__2[[#This Row],[Popolazione2011]]/Comuni__2[[#This Row],[POPOLAZIONE TOTALE DI OGNI REGIONE (CON FILTRO)]]</f>
        <v>5.7380794057910042E-3</v>
      </c>
      <c r="H7211" t="str">
        <f>IF(Comuni__2[[#This Row],[Popolazione2011]]&gt;300000,"MAGGIORE","")</f>
        <v/>
      </c>
    </row>
    <row r="7212" spans="1:8" x14ac:dyDescent="0.2">
      <c r="A7212"/>
      <c r="B7212"/>
      <c r="C7212"/>
      <c r="D7212"/>
      <c r="E7212" s="2">
        <f>Comuni__2[[#This Row],[Popolazione2011]]/$D$7911</f>
        <v>8.2947572708158475E-5</v>
      </c>
      <c r="F7212">
        <f>SUMIFS($D$2:$D$7909, $B$2:$B$7909, "Umbria")</f>
        <v>884268</v>
      </c>
      <c r="G7212" s="1">
        <f>Comuni__2[[#This Row],[Popolazione2011]]/Comuni__2[[#This Row],[POPOLAZIONE TOTALE DI OGNI REGIONE (CON FILTRO)]]</f>
        <v>5.5741019690862953E-3</v>
      </c>
      <c r="H7212" t="str">
        <f>IF(Comuni__2[[#This Row],[Popolazione2011]]&gt;300000,"MAGGIORE","")</f>
        <v/>
      </c>
    </row>
    <row r="7213" spans="1:8" x14ac:dyDescent="0.2">
      <c r="A7213"/>
      <c r="B7213"/>
      <c r="C7213"/>
      <c r="D7213"/>
      <c r="E7213" s="2">
        <f>Comuni__2[[#This Row],[Popolazione2011]]/$D$7911</f>
        <v>8.2863430313445395E-5</v>
      </c>
      <c r="F7213">
        <f>SUMIFS($D$2:$D$7909, $B$2:$B$7909, "Umbria")</f>
        <v>884268</v>
      </c>
      <c r="G7213" s="1">
        <f>Comuni__2[[#This Row],[Popolazione2011]]/Comuni__2[[#This Row],[POPOLAZIONE TOTALE DI OGNI REGIONE (CON FILTRO)]]</f>
        <v>5.5684475747171669E-3</v>
      </c>
      <c r="H7213" t="str">
        <f>IF(Comuni__2[[#This Row],[Popolazione2011]]&gt;300000,"MAGGIORE","")</f>
        <v/>
      </c>
    </row>
    <row r="7214" spans="1:8" x14ac:dyDescent="0.2">
      <c r="A7214"/>
      <c r="B7214"/>
      <c r="C7214"/>
      <c r="D7214"/>
      <c r="E7214" s="2">
        <f>Comuni__2[[#This Row],[Popolazione2011]]/$D$7911</f>
        <v>8.2812944876617546E-5</v>
      </c>
      <c r="F7214">
        <f>SUMIFS($D$2:$D$7909, $B$2:$B$7909, "Umbria")</f>
        <v>884268</v>
      </c>
      <c r="G7214" s="1">
        <f>Comuni__2[[#This Row],[Popolazione2011]]/Comuni__2[[#This Row],[POPOLAZIONE TOTALE DI OGNI REGIONE (CON FILTRO)]]</f>
        <v>5.5650549380956904E-3</v>
      </c>
      <c r="H7214" t="str">
        <f>IF(Comuni__2[[#This Row],[Popolazione2011]]&gt;300000,"MAGGIORE","")</f>
        <v/>
      </c>
    </row>
    <row r="7215" spans="1:8" x14ac:dyDescent="0.2">
      <c r="A7215"/>
      <c r="B7215"/>
      <c r="C7215"/>
      <c r="D7215"/>
      <c r="E7215" s="2">
        <f>Comuni__2[[#This Row],[Popolazione2011]]/$D$7911</f>
        <v>8.271197400296185E-5</v>
      </c>
      <c r="F7215">
        <f>SUMIFS($D$2:$D$7909, $B$2:$B$7909, "Umbria")</f>
        <v>884268</v>
      </c>
      <c r="G7215" s="1">
        <f>Comuni__2[[#This Row],[Popolazione2011]]/Comuni__2[[#This Row],[POPOLAZIONE TOTALE DI OGNI REGIONE (CON FILTRO)]]</f>
        <v>5.5582696648527373E-3</v>
      </c>
      <c r="H7215" t="str">
        <f>IF(Comuni__2[[#This Row],[Popolazione2011]]&gt;300000,"MAGGIORE","")</f>
        <v/>
      </c>
    </row>
    <row r="7216" spans="1:8" x14ac:dyDescent="0.2">
      <c r="A7216"/>
      <c r="B7216"/>
      <c r="C7216"/>
      <c r="D7216"/>
      <c r="E7216" s="2">
        <f>Comuni__2[[#This Row],[Popolazione2011]]/$D$7911</f>
        <v>7.2497087284793414E-5</v>
      </c>
      <c r="F7216">
        <f>SUMIFS($D$2:$D$7909, $B$2:$B$7909, "Umbria")</f>
        <v>884268</v>
      </c>
      <c r="G7216" s="1">
        <f>Comuni__2[[#This Row],[Popolazione2011]]/Comuni__2[[#This Row],[POPOLAZIONE TOTALE DI OGNI REGIONE (CON FILTRO)]]</f>
        <v>4.8718261884406087E-3</v>
      </c>
      <c r="H7216" t="str">
        <f>IF(Comuni__2[[#This Row],[Popolazione2011]]&gt;300000,"MAGGIORE","")</f>
        <v/>
      </c>
    </row>
    <row r="7217" spans="1:8" x14ac:dyDescent="0.2">
      <c r="A7217"/>
      <c r="B7217"/>
      <c r="C7217"/>
      <c r="D7217"/>
      <c r="E7217" s="2">
        <f>Comuni__2[[#This Row],[Popolazione2011]]/$D$7911</f>
        <v>7.2396116411137717E-5</v>
      </c>
      <c r="F7217">
        <f>SUMIFS($D$2:$D$7909, $B$2:$B$7909, "Umbria")</f>
        <v>884268</v>
      </c>
      <c r="G7217" s="1">
        <f>Comuni__2[[#This Row],[Popolazione2011]]/Comuni__2[[#This Row],[POPOLAZIONE TOTALE DI OGNI REGIONE (CON FILTRO)]]</f>
        <v>4.8650409151976548E-3</v>
      </c>
      <c r="H7217" t="str">
        <f>IF(Comuni__2[[#This Row],[Popolazione2011]]&gt;300000,"MAGGIORE","")</f>
        <v/>
      </c>
    </row>
    <row r="7218" spans="1:8" x14ac:dyDescent="0.2">
      <c r="A7218"/>
      <c r="B7218"/>
      <c r="C7218"/>
      <c r="D7218"/>
      <c r="E7218" s="2">
        <f>Comuni__2[[#This Row],[Popolazione2011]]/$D$7911</f>
        <v>6.478964392907489E-5</v>
      </c>
      <c r="F7218">
        <f>SUMIFS($D$2:$D$7909, $B$2:$B$7909, "Umbria")</f>
        <v>884268</v>
      </c>
      <c r="G7218" s="1">
        <f>Comuni__2[[#This Row],[Popolazione2011]]/Comuni__2[[#This Row],[POPOLAZIONE TOTALE DI OGNI REGIONE (CON FILTRO)]]</f>
        <v>4.3538836642284919E-3</v>
      </c>
      <c r="H7218" t="str">
        <f>IF(Comuni__2[[#This Row],[Popolazione2011]]&gt;300000,"MAGGIORE","")</f>
        <v/>
      </c>
    </row>
    <row r="7219" spans="1:8" x14ac:dyDescent="0.2">
      <c r="A7219"/>
      <c r="B7219"/>
      <c r="C7219"/>
      <c r="D7219"/>
      <c r="E7219" s="2">
        <f>Comuni__2[[#This Row],[Popolazione2011]]/$D$7911</f>
        <v>6.4318446518681625E-5</v>
      </c>
      <c r="F7219">
        <f>SUMIFS($D$2:$D$7909, $B$2:$B$7909, "Umbria")</f>
        <v>884268</v>
      </c>
      <c r="G7219" s="1">
        <f>Comuni__2[[#This Row],[Popolazione2011]]/Comuni__2[[#This Row],[POPOLAZIONE TOTALE DI OGNI REGIONE (CON FILTRO)]]</f>
        <v>4.3222190557613751E-3</v>
      </c>
      <c r="H7219" t="str">
        <f>IF(Comuni__2[[#This Row],[Popolazione2011]]&gt;300000,"MAGGIORE","")</f>
        <v/>
      </c>
    </row>
    <row r="7220" spans="1:8" x14ac:dyDescent="0.2">
      <c r="A7220"/>
      <c r="B7220"/>
      <c r="C7220"/>
      <c r="D7220"/>
      <c r="E7220" s="2">
        <f>Comuni__2[[#This Row],[Popolazione2011]]/$D$7911</f>
        <v>6.4217475645025928E-5</v>
      </c>
      <c r="F7220">
        <f>SUMIFS($D$2:$D$7909, $B$2:$B$7909, "Umbria")</f>
        <v>884268</v>
      </c>
      <c r="G7220" s="1">
        <f>Comuni__2[[#This Row],[Popolazione2011]]/Comuni__2[[#This Row],[POPOLAZIONE TOTALE DI OGNI REGIONE (CON FILTRO)]]</f>
        <v>4.3154337825184221E-3</v>
      </c>
      <c r="H7220" t="str">
        <f>IF(Comuni__2[[#This Row],[Popolazione2011]]&gt;300000,"MAGGIORE","")</f>
        <v/>
      </c>
    </row>
    <row r="7221" spans="1:8" x14ac:dyDescent="0.2">
      <c r="A7221"/>
      <c r="B7221"/>
      <c r="C7221"/>
      <c r="D7221"/>
      <c r="E7221" s="2">
        <f>Comuni__2[[#This Row],[Popolazione2011]]/$D$7911</f>
        <v>6.393139150300144E-5</v>
      </c>
      <c r="F7221">
        <f>SUMIFS($D$2:$D$7909, $B$2:$B$7909, "Umbria")</f>
        <v>884268</v>
      </c>
      <c r="G7221" s="1">
        <f>Comuni__2[[#This Row],[Popolazione2011]]/Comuni__2[[#This Row],[POPOLAZIONE TOTALE DI OGNI REGIONE (CON FILTRO)]]</f>
        <v>4.2962088416633867E-3</v>
      </c>
      <c r="H7221" t="str">
        <f>IF(Comuni__2[[#This Row],[Popolazione2011]]&gt;300000,"MAGGIORE","")</f>
        <v/>
      </c>
    </row>
    <row r="7222" spans="1:8" x14ac:dyDescent="0.2">
      <c r="A7222"/>
      <c r="B7222"/>
      <c r="C7222"/>
      <c r="D7222"/>
      <c r="E7222" s="2">
        <f>Comuni__2[[#This Row],[Popolazione2011]]/$D$7911</f>
        <v>6.0212297656683107E-5</v>
      </c>
      <c r="F7222">
        <f>SUMIFS($D$2:$D$7909, $B$2:$B$7909, "Umbria")</f>
        <v>884268</v>
      </c>
      <c r="G7222" s="1">
        <f>Comuni__2[[#This Row],[Popolazione2011]]/Comuni__2[[#This Row],[POPOLAZIONE TOTALE DI OGNI REGIONE (CON FILTRO)]]</f>
        <v>4.0462846105479332E-3</v>
      </c>
      <c r="H7222" t="str">
        <f>IF(Comuni__2[[#This Row],[Popolazione2011]]&gt;300000,"MAGGIORE","")</f>
        <v/>
      </c>
    </row>
    <row r="7223" spans="1:8" x14ac:dyDescent="0.2">
      <c r="A7223"/>
      <c r="B7223"/>
      <c r="C7223"/>
      <c r="D7223"/>
      <c r="E7223" s="2">
        <f>Comuni__2[[#This Row],[Popolazione2011]]/$D$7911</f>
        <v>5.8933333257044227E-5</v>
      </c>
      <c r="F7223">
        <f>SUMIFS($D$2:$D$7909, $B$2:$B$7909, "Umbria")</f>
        <v>884268</v>
      </c>
      <c r="G7223" s="1">
        <f>Comuni__2[[#This Row],[Popolazione2011]]/Comuni__2[[#This Row],[POPOLAZIONE TOTALE DI OGNI REGIONE (CON FILTRO)]]</f>
        <v>3.9603378161371895E-3</v>
      </c>
      <c r="H7223" t="str">
        <f>IF(Comuni__2[[#This Row],[Popolazione2011]]&gt;300000,"MAGGIORE","")</f>
        <v/>
      </c>
    </row>
    <row r="7224" spans="1:8" x14ac:dyDescent="0.2">
      <c r="A7224"/>
      <c r="B7224"/>
      <c r="C7224"/>
      <c r="D7224"/>
      <c r="E7224" s="2">
        <f>Comuni__2[[#This Row],[Popolazione2011]]/$D$7911</f>
        <v>5.8192880183569084E-5</v>
      </c>
      <c r="F7224">
        <f>SUMIFS($D$2:$D$7909, $B$2:$B$7909, "Umbria")</f>
        <v>884268</v>
      </c>
      <c r="G7224" s="1">
        <f>Comuni__2[[#This Row],[Popolazione2011]]/Comuni__2[[#This Row],[POPOLAZIONE TOTALE DI OGNI REGIONE (CON FILTRO)]]</f>
        <v>3.9105791456888637E-3</v>
      </c>
      <c r="H7224" t="str">
        <f>IF(Comuni__2[[#This Row],[Popolazione2011]]&gt;300000,"MAGGIORE","")</f>
        <v/>
      </c>
    </row>
    <row r="7225" spans="1:8" x14ac:dyDescent="0.2">
      <c r="A7225"/>
      <c r="B7225"/>
      <c r="C7225"/>
      <c r="D7225"/>
      <c r="E7225" s="2">
        <f>Comuni__2[[#This Row],[Popolazione2011]]/$D$7911</f>
        <v>5.5853721610545347E-5</v>
      </c>
      <c r="F7225">
        <f>SUMIFS($D$2:$D$7909, $B$2:$B$7909, "Umbria")</f>
        <v>884268</v>
      </c>
      <c r="G7225" s="1">
        <f>Comuni__2[[#This Row],[Popolazione2011]]/Comuni__2[[#This Row],[POPOLAZIONE TOTALE DI OGNI REGIONE (CON FILTRO)]]</f>
        <v>3.7533869822271074E-3</v>
      </c>
      <c r="H7225" t="str">
        <f>IF(Comuni__2[[#This Row],[Popolazione2011]]&gt;300000,"MAGGIORE","")</f>
        <v/>
      </c>
    </row>
    <row r="7226" spans="1:8" x14ac:dyDescent="0.2">
      <c r="A7226"/>
      <c r="B7226"/>
      <c r="C7226"/>
      <c r="D7226"/>
      <c r="E7226" s="2">
        <f>Comuni__2[[#This Row],[Popolazione2011]]/$D$7911</f>
        <v>5.4658899605619548E-5</v>
      </c>
      <c r="F7226">
        <f>SUMIFS($D$2:$D$7909, $B$2:$B$7909, "Umbria")</f>
        <v>884268</v>
      </c>
      <c r="G7226" s="1">
        <f>Comuni__2[[#This Row],[Popolazione2011]]/Comuni__2[[#This Row],[POPOLAZIONE TOTALE DI OGNI REGIONE (CON FILTRO)]]</f>
        <v>3.6730945821854912E-3</v>
      </c>
      <c r="H7226" t="str">
        <f>IF(Comuni__2[[#This Row],[Popolazione2011]]&gt;300000,"MAGGIORE","")</f>
        <v/>
      </c>
    </row>
    <row r="7227" spans="1:8" x14ac:dyDescent="0.2">
      <c r="A7227"/>
      <c r="B7227"/>
      <c r="C7227"/>
      <c r="D7227"/>
      <c r="E7227" s="2">
        <f>Comuni__2[[#This Row],[Popolazione2011]]/$D$7911</f>
        <v>5.0956634238243838E-5</v>
      </c>
      <c r="F7227">
        <f>SUMIFS($D$2:$D$7909, $B$2:$B$7909, "Umbria")</f>
        <v>884268</v>
      </c>
      <c r="G7227" s="1">
        <f>Comuni__2[[#This Row],[Popolazione2011]]/Comuni__2[[#This Row],[POPOLAZIONE TOTALE DI OGNI REGIONE (CON FILTRO)]]</f>
        <v>3.4243012299438632E-3</v>
      </c>
      <c r="H7227" t="str">
        <f>IF(Comuni__2[[#This Row],[Popolazione2011]]&gt;300000,"MAGGIORE","")</f>
        <v/>
      </c>
    </row>
    <row r="7228" spans="1:8" x14ac:dyDescent="0.2">
      <c r="A7228"/>
      <c r="B7228"/>
      <c r="C7228"/>
      <c r="D7228"/>
      <c r="E7228" s="2">
        <f>Comuni__2[[#This Row],[Popolazione2011]]/$D$7911</f>
        <v>4.8903559807244583E-5</v>
      </c>
      <c r="F7228">
        <f>SUMIFS($D$2:$D$7909, $B$2:$B$7909, "Umbria")</f>
        <v>884268</v>
      </c>
      <c r="G7228" s="1">
        <f>Comuni__2[[#This Row],[Popolazione2011]]/Comuni__2[[#This Row],[POPOLAZIONE TOTALE DI OGNI REGIONE (CON FILTRO)]]</f>
        <v>3.2863340073371423E-3</v>
      </c>
      <c r="H7228" t="str">
        <f>IF(Comuni__2[[#This Row],[Popolazione2011]]&gt;300000,"MAGGIORE","")</f>
        <v/>
      </c>
    </row>
    <row r="7229" spans="1:8" x14ac:dyDescent="0.2">
      <c r="A7229"/>
      <c r="B7229"/>
      <c r="C7229"/>
      <c r="D7229"/>
      <c r="E7229" s="2">
        <f>Comuni__2[[#This Row],[Popolazione2011]]/$D$7911</f>
        <v>4.7776051718089255E-5</v>
      </c>
      <c r="F7229">
        <f>SUMIFS($D$2:$D$7909, $B$2:$B$7909, "Umbria")</f>
        <v>884268</v>
      </c>
      <c r="G7229" s="1">
        <f>Comuni__2[[#This Row],[Popolazione2011]]/Comuni__2[[#This Row],[POPOLAZIONE TOTALE DI OGNI REGIONE (CON FILTRO)]]</f>
        <v>3.2105651227908281E-3</v>
      </c>
      <c r="H7229" t="str">
        <f>IF(Comuni__2[[#This Row],[Popolazione2011]]&gt;300000,"MAGGIORE","")</f>
        <v/>
      </c>
    </row>
    <row r="7230" spans="1:8" x14ac:dyDescent="0.2">
      <c r="A7230"/>
      <c r="B7230"/>
      <c r="C7230"/>
      <c r="D7230"/>
      <c r="E7230" s="2">
        <f>Comuni__2[[#This Row],[Popolazione2011]]/$D$7911</f>
        <v>4.740582518135168E-5</v>
      </c>
      <c r="F7230">
        <f>SUMIFS($D$2:$D$7909, $B$2:$B$7909, "Umbria")</f>
        <v>884268</v>
      </c>
      <c r="G7230" s="1">
        <f>Comuni__2[[#This Row],[Popolazione2011]]/Comuni__2[[#This Row],[POPOLAZIONE TOTALE DI OGNI REGIONE (CON FILTRO)]]</f>
        <v>3.1856857875666653E-3</v>
      </c>
      <c r="H7230" t="str">
        <f>IF(Comuni__2[[#This Row],[Popolazione2011]]&gt;300000,"MAGGIORE","")</f>
        <v/>
      </c>
    </row>
    <row r="7231" spans="1:8" x14ac:dyDescent="0.2">
      <c r="A7231"/>
      <c r="B7231"/>
      <c r="C7231"/>
      <c r="D7231"/>
      <c r="E7231" s="2">
        <f>Comuni__2[[#This Row],[Popolazione2011]]/$D$7911</f>
        <v>4.7170226476155047E-5</v>
      </c>
      <c r="F7231">
        <f>SUMIFS($D$2:$D$7909, $B$2:$B$7909, "Umbria")</f>
        <v>884268</v>
      </c>
      <c r="G7231" s="1">
        <f>Comuni__2[[#This Row],[Popolazione2011]]/Comuni__2[[#This Row],[POPOLAZIONE TOTALE DI OGNI REGIONE (CON FILTRO)]]</f>
        <v>3.1698534833331073E-3</v>
      </c>
      <c r="H7231" t="str">
        <f>IF(Comuni__2[[#This Row],[Popolazione2011]]&gt;300000,"MAGGIORE","")</f>
        <v/>
      </c>
    </row>
    <row r="7232" spans="1:8" x14ac:dyDescent="0.2">
      <c r="A7232"/>
      <c r="B7232"/>
      <c r="C7232"/>
      <c r="D7232"/>
      <c r="E7232" s="2">
        <f>Comuni__2[[#This Row],[Popolazione2011]]/$D$7911</f>
        <v>4.3215533924640088E-5</v>
      </c>
      <c r="F7232">
        <f>SUMIFS($D$2:$D$7909, $B$2:$B$7909, "Umbria")</f>
        <v>884268</v>
      </c>
      <c r="G7232" s="1">
        <f>Comuni__2[[#This Row],[Popolazione2011]]/Comuni__2[[#This Row],[POPOLAZIONE TOTALE DI OGNI REGIONE (CON FILTRO)]]</f>
        <v>2.9040969479840954E-3</v>
      </c>
      <c r="H7232" t="str">
        <f>IF(Comuni__2[[#This Row],[Popolazione2011]]&gt;300000,"MAGGIORE","")</f>
        <v/>
      </c>
    </row>
    <row r="7233" spans="1:8" x14ac:dyDescent="0.2">
      <c r="A7233"/>
      <c r="B7233"/>
      <c r="C7233"/>
      <c r="D7233"/>
      <c r="E7233" s="2">
        <f>Comuni__2[[#This Row],[Popolazione2011]]/$D$7911</f>
        <v>4.2071197356542137E-5</v>
      </c>
      <c r="F7233">
        <f>SUMIFS($D$2:$D$7909, $B$2:$B$7909, "Umbria")</f>
        <v>884268</v>
      </c>
      <c r="G7233" s="1">
        <f>Comuni__2[[#This Row],[Popolazione2011]]/Comuni__2[[#This Row],[POPOLAZIONE TOTALE DI OGNI REGIONE (CON FILTRO)]]</f>
        <v>2.8271971845639557E-3</v>
      </c>
      <c r="H7233" t="str">
        <f>IF(Comuni__2[[#This Row],[Popolazione2011]]&gt;300000,"MAGGIORE","")</f>
        <v/>
      </c>
    </row>
    <row r="7234" spans="1:8" x14ac:dyDescent="0.2">
      <c r="A7234"/>
      <c r="B7234"/>
      <c r="C7234"/>
      <c r="D7234"/>
      <c r="E7234" s="2">
        <f>Comuni__2[[#This Row],[Popolazione2011]]/$D$7911</f>
        <v>4.1532686030378401E-5</v>
      </c>
      <c r="F7234">
        <f>SUMIFS($D$2:$D$7909, $B$2:$B$7909, "Umbria")</f>
        <v>884268</v>
      </c>
      <c r="G7234" s="1">
        <f>Comuni__2[[#This Row],[Popolazione2011]]/Comuni__2[[#This Row],[POPOLAZIONE TOTALE DI OGNI REGIONE (CON FILTRO)]]</f>
        <v>2.7910090606015369E-3</v>
      </c>
      <c r="H7234" t="str">
        <f>IF(Comuni__2[[#This Row],[Popolazione2011]]&gt;300000,"MAGGIORE","")</f>
        <v/>
      </c>
    </row>
    <row r="7235" spans="1:8" x14ac:dyDescent="0.2">
      <c r="A7235"/>
      <c r="B7235"/>
      <c r="C7235"/>
      <c r="D7235"/>
      <c r="E7235" s="2">
        <f>Comuni__2[[#This Row],[Popolazione2011]]/$D$7911</f>
        <v>3.8890614836387554E-5</v>
      </c>
      <c r="F7235">
        <f>SUMIFS($D$2:$D$7909, $B$2:$B$7909, "Umbria")</f>
        <v>884268</v>
      </c>
      <c r="G7235" s="1">
        <f>Comuni__2[[#This Row],[Popolazione2011]]/Comuni__2[[#This Row],[POPOLAZIONE TOTALE DI OGNI REGIONE (CON FILTRO)]]</f>
        <v>2.6134610774109206E-3</v>
      </c>
      <c r="H7235" t="str">
        <f>IF(Comuni__2[[#This Row],[Popolazione2011]]&gt;300000,"MAGGIORE","")</f>
        <v/>
      </c>
    </row>
    <row r="7236" spans="1:8" x14ac:dyDescent="0.2">
      <c r="A7236"/>
      <c r="B7236"/>
      <c r="C7236"/>
      <c r="D7236"/>
      <c r="E7236" s="2">
        <f>Comuni__2[[#This Row],[Popolazione2011]]/$D$7911</f>
        <v>3.6719741052789979E-5</v>
      </c>
      <c r="F7236">
        <f>SUMIFS($D$2:$D$7909, $B$2:$B$7909, "Umbria")</f>
        <v>884268</v>
      </c>
      <c r="G7236" s="1">
        <f>Comuni__2[[#This Row],[Popolazione2011]]/Comuni__2[[#This Row],[POPOLAZIONE TOTALE DI OGNI REGIONE (CON FILTRO)]]</f>
        <v>2.4675777026874207E-3</v>
      </c>
      <c r="H7236" t="str">
        <f>IF(Comuni__2[[#This Row],[Popolazione2011]]&gt;300000,"MAGGIORE","")</f>
        <v/>
      </c>
    </row>
    <row r="7237" spans="1:8" x14ac:dyDescent="0.2">
      <c r="A7237"/>
      <c r="B7237"/>
      <c r="C7237"/>
      <c r="D7237"/>
      <c r="E7237" s="2">
        <f>Comuni__2[[#This Row],[Popolazione2011]]/$D$7911</f>
        <v>3.6652427137019514E-5</v>
      </c>
      <c r="F7237">
        <f>SUMIFS($D$2:$D$7909, $B$2:$B$7909, "Umbria")</f>
        <v>884268</v>
      </c>
      <c r="G7237" s="1">
        <f>Comuni__2[[#This Row],[Popolazione2011]]/Comuni__2[[#This Row],[POPOLAZIONE TOTALE DI OGNI REGIONE (CON FILTRO)]]</f>
        <v>2.4630541871921183E-3</v>
      </c>
      <c r="H7237" t="str">
        <f>IF(Comuni__2[[#This Row],[Popolazione2011]]&gt;300000,"MAGGIORE","")</f>
        <v/>
      </c>
    </row>
    <row r="7238" spans="1:8" x14ac:dyDescent="0.2">
      <c r="A7238"/>
      <c r="B7238"/>
      <c r="C7238"/>
      <c r="D7238"/>
      <c r="E7238" s="2">
        <f>Comuni__2[[#This Row],[Popolazione2011]]/$D$7911</f>
        <v>3.3471844616864924E-5</v>
      </c>
      <c r="F7238">
        <f>SUMIFS($D$2:$D$7909, $B$2:$B$7909, "Umbria")</f>
        <v>884268</v>
      </c>
      <c r="G7238" s="1">
        <f>Comuni__2[[#This Row],[Popolazione2011]]/Comuni__2[[#This Row],[POPOLAZIONE TOTALE DI OGNI REGIONE (CON FILTRO)]]</f>
        <v>2.2493180800390832E-3</v>
      </c>
      <c r="H7238" t="str">
        <f>IF(Comuni__2[[#This Row],[Popolazione2011]]&gt;300000,"MAGGIORE","")</f>
        <v/>
      </c>
    </row>
    <row r="7239" spans="1:8" x14ac:dyDescent="0.2">
      <c r="A7239"/>
      <c r="B7239"/>
      <c r="C7239"/>
      <c r="D7239"/>
      <c r="E7239" s="2">
        <f>Comuni__2[[#This Row],[Popolazione2011]]/$D$7911</f>
        <v>3.3034304164356885E-5</v>
      </c>
      <c r="F7239">
        <f>SUMIFS($D$2:$D$7909, $B$2:$B$7909, "Umbria")</f>
        <v>884268</v>
      </c>
      <c r="G7239" s="1">
        <f>Comuni__2[[#This Row],[Popolazione2011]]/Comuni__2[[#This Row],[POPOLAZIONE TOTALE DI OGNI REGIONE (CON FILTRO)]]</f>
        <v>2.2199152293196182E-3</v>
      </c>
      <c r="H7239" t="str">
        <f>IF(Comuni__2[[#This Row],[Popolazione2011]]&gt;300000,"MAGGIORE","")</f>
        <v/>
      </c>
    </row>
    <row r="7240" spans="1:8" x14ac:dyDescent="0.2">
      <c r="A7240"/>
      <c r="B7240"/>
      <c r="C7240"/>
      <c r="D7240"/>
      <c r="E7240" s="2">
        <f>Comuni__2[[#This Row],[Popolazione2011]]/$D$7911</f>
        <v>3.2260194132996516E-5</v>
      </c>
      <c r="F7240">
        <f>SUMIFS($D$2:$D$7909, $B$2:$B$7909, "Umbria")</f>
        <v>884268</v>
      </c>
      <c r="G7240" s="1">
        <f>Comuni__2[[#This Row],[Popolazione2011]]/Comuni__2[[#This Row],[POPOLAZIONE TOTALE DI OGNI REGIONE (CON FILTRO)]]</f>
        <v>2.1678948011236415E-3</v>
      </c>
      <c r="H7240" t="str">
        <f>IF(Comuni__2[[#This Row],[Popolazione2011]]&gt;300000,"MAGGIORE","")</f>
        <v/>
      </c>
    </row>
    <row r="7241" spans="1:8" x14ac:dyDescent="0.2">
      <c r="A7241"/>
      <c r="B7241"/>
      <c r="C7241"/>
      <c r="D7241"/>
      <c r="E7241" s="2">
        <f>Comuni__2[[#This Row],[Popolazione2011]]/$D$7911</f>
        <v>3.2226537175111277E-5</v>
      </c>
      <c r="F7241">
        <f>SUMIFS($D$2:$D$7909, $B$2:$B$7909, "Umbria")</f>
        <v>884268</v>
      </c>
      <c r="G7241" s="1">
        <f>Comuni__2[[#This Row],[Popolazione2011]]/Comuni__2[[#This Row],[POPOLAZIONE TOTALE DI OGNI REGIONE (CON FILTRO)]]</f>
        <v>2.16563304337599E-3</v>
      </c>
      <c r="H7241" t="str">
        <f>IF(Comuni__2[[#This Row],[Popolazione2011]]&gt;300000,"MAGGIORE","")</f>
        <v/>
      </c>
    </row>
    <row r="7242" spans="1:8" x14ac:dyDescent="0.2">
      <c r="A7242"/>
      <c r="B7242"/>
      <c r="C7242"/>
      <c r="D7242"/>
      <c r="E7242" s="2">
        <f>Comuni__2[[#This Row],[Popolazione2011]]/$D$7911</f>
        <v>3.1974109990972028E-5</v>
      </c>
      <c r="F7242">
        <f>SUMIFS($D$2:$D$7909, $B$2:$B$7909, "Umbria")</f>
        <v>884268</v>
      </c>
      <c r="G7242" s="1">
        <f>Comuni__2[[#This Row],[Popolazione2011]]/Comuni__2[[#This Row],[POPOLAZIONE TOTALE DI OGNI REGIONE (CON FILTRO)]]</f>
        <v>2.1486698602686065E-3</v>
      </c>
      <c r="H7242" t="str">
        <f>IF(Comuni__2[[#This Row],[Popolazione2011]]&gt;300000,"MAGGIORE","")</f>
        <v/>
      </c>
    </row>
    <row r="7243" spans="1:8" x14ac:dyDescent="0.2">
      <c r="A7243"/>
      <c r="B7243"/>
      <c r="C7243"/>
      <c r="D7243"/>
      <c r="E7243" s="2">
        <f>Comuni__2[[#This Row],[Popolazione2011]]/$D$7911</f>
        <v>3.168802584894754E-5</v>
      </c>
      <c r="F7243">
        <f>SUMIFS($D$2:$D$7909, $B$2:$B$7909, "Umbria")</f>
        <v>884268</v>
      </c>
      <c r="G7243" s="1">
        <f>Comuni__2[[#This Row],[Popolazione2011]]/Comuni__2[[#This Row],[POPOLAZIONE TOTALE DI OGNI REGIONE (CON FILTRO)]]</f>
        <v>2.1294449194135716E-3</v>
      </c>
      <c r="H7243" t="str">
        <f>IF(Comuni__2[[#This Row],[Popolazione2011]]&gt;300000,"MAGGIORE","")</f>
        <v/>
      </c>
    </row>
    <row r="7244" spans="1:8" x14ac:dyDescent="0.2">
      <c r="A7244"/>
      <c r="B7244"/>
      <c r="C7244"/>
      <c r="D7244"/>
      <c r="E7244" s="2">
        <f>Comuni__2[[#This Row],[Popolazione2011]]/$D$7911</f>
        <v>3.1351456270095204E-5</v>
      </c>
      <c r="F7244">
        <f>SUMIFS($D$2:$D$7909, $B$2:$B$7909, "Umbria")</f>
        <v>884268</v>
      </c>
      <c r="G7244" s="1">
        <f>Comuni__2[[#This Row],[Popolazione2011]]/Comuni__2[[#This Row],[POPOLAZIONE TOTALE DI OGNI REGIONE (CON FILTRO)]]</f>
        <v>2.1068273419370597E-3</v>
      </c>
      <c r="H7244" t="str">
        <f>IF(Comuni__2[[#This Row],[Popolazione2011]]&gt;300000,"MAGGIORE","")</f>
        <v/>
      </c>
    </row>
    <row r="7245" spans="1:8" x14ac:dyDescent="0.2">
      <c r="A7245"/>
      <c r="B7245"/>
      <c r="C7245"/>
      <c r="D7245"/>
      <c r="E7245" s="2">
        <f>Comuni__2[[#This Row],[Popolazione2011]]/$D$7911</f>
        <v>3.1284142354324733E-5</v>
      </c>
      <c r="F7245">
        <f>SUMIFS($D$2:$D$7909, $B$2:$B$7909, "Umbria")</f>
        <v>884268</v>
      </c>
      <c r="G7245" s="1">
        <f>Comuni__2[[#This Row],[Popolazione2011]]/Comuni__2[[#This Row],[POPOLAZIONE TOTALE DI OGNI REGIONE (CON FILTRO)]]</f>
        <v>2.1023038264417573E-3</v>
      </c>
      <c r="H7245" t="str">
        <f>IF(Comuni__2[[#This Row],[Popolazione2011]]&gt;300000,"MAGGIORE","")</f>
        <v/>
      </c>
    </row>
    <row r="7246" spans="1:8" x14ac:dyDescent="0.2">
      <c r="A7246"/>
      <c r="B7246"/>
      <c r="C7246"/>
      <c r="D7246"/>
      <c r="E7246" s="2">
        <f>Comuni__2[[#This Row],[Popolazione2011]]/$D$7911</f>
        <v>3.0964401254415013E-5</v>
      </c>
      <c r="F7246">
        <f>SUMIFS($D$2:$D$7909, $B$2:$B$7909, "Umbria")</f>
        <v>884268</v>
      </c>
      <c r="G7246" s="1">
        <f>Comuni__2[[#This Row],[Popolazione2011]]/Comuni__2[[#This Row],[POPOLAZIONE TOTALE DI OGNI REGIONE (CON FILTRO)]]</f>
        <v>2.0808171278390714E-3</v>
      </c>
      <c r="H7246" t="str">
        <f>IF(Comuni__2[[#This Row],[Popolazione2011]]&gt;300000,"MAGGIORE","")</f>
        <v/>
      </c>
    </row>
    <row r="7247" spans="1:8" x14ac:dyDescent="0.2">
      <c r="A7247"/>
      <c r="B7247"/>
      <c r="C7247"/>
      <c r="D7247"/>
      <c r="E7247" s="2">
        <f>Comuni__2[[#This Row],[Popolazione2011]]/$D$7911</f>
        <v>2.8995469218128842E-5</v>
      </c>
      <c r="F7247">
        <f>SUMIFS($D$2:$D$7909, $B$2:$B$7909, "Umbria")</f>
        <v>884268</v>
      </c>
      <c r="G7247" s="1">
        <f>Comuni__2[[#This Row],[Popolazione2011]]/Comuni__2[[#This Row],[POPOLAZIONE TOTALE DI OGNI REGIONE (CON FILTRO)]]</f>
        <v>1.9485042996014784E-3</v>
      </c>
      <c r="H7247" t="str">
        <f>IF(Comuni__2[[#This Row],[Popolazione2011]]&gt;300000,"MAGGIORE","")</f>
        <v/>
      </c>
    </row>
    <row r="7248" spans="1:8" x14ac:dyDescent="0.2">
      <c r="A7248"/>
      <c r="B7248"/>
      <c r="C7248"/>
      <c r="D7248"/>
      <c r="E7248" s="2">
        <f>Comuni__2[[#This Row],[Popolazione2011]]/$D$7911</f>
        <v>2.852427180773557E-5</v>
      </c>
      <c r="F7248">
        <f>SUMIFS($D$2:$D$7909, $B$2:$B$7909, "Umbria")</f>
        <v>884268</v>
      </c>
      <c r="G7248" s="1">
        <f>Comuni__2[[#This Row],[Popolazione2011]]/Comuni__2[[#This Row],[POPOLAZIONE TOTALE DI OGNI REGIONE (CON FILTRO)]]</f>
        <v>1.916839691134362E-3</v>
      </c>
      <c r="H7248" t="str">
        <f>IF(Comuni__2[[#This Row],[Popolazione2011]]&gt;300000,"MAGGIORE","")</f>
        <v/>
      </c>
    </row>
    <row r="7249" spans="1:8" x14ac:dyDescent="0.2">
      <c r="A7249"/>
      <c r="B7249"/>
      <c r="C7249"/>
      <c r="D7249"/>
      <c r="E7249" s="2">
        <f>Comuni__2[[#This Row],[Popolazione2011]]/$D$7911</f>
        <v>2.798576048157183E-5</v>
      </c>
      <c r="F7249">
        <f>SUMIFS($D$2:$D$7909, $B$2:$B$7909, "Umbria")</f>
        <v>884268</v>
      </c>
      <c r="G7249" s="1">
        <f>Comuni__2[[#This Row],[Popolazione2011]]/Comuni__2[[#This Row],[POPOLAZIONE TOTALE DI OGNI REGIONE (CON FILTRO)]]</f>
        <v>1.8806515671719434E-3</v>
      </c>
      <c r="H7249" t="str">
        <f>IF(Comuni__2[[#This Row],[Popolazione2011]]&gt;300000,"MAGGIORE","")</f>
        <v/>
      </c>
    </row>
    <row r="7250" spans="1:8" x14ac:dyDescent="0.2">
      <c r="A7250"/>
      <c r="B7250"/>
      <c r="C7250"/>
      <c r="D7250"/>
      <c r="E7250" s="2">
        <f>Comuni__2[[#This Row],[Popolazione2011]]/$D$7911</f>
        <v>2.7262135887039306E-5</v>
      </c>
      <c r="F7250">
        <f>SUMIFS($D$2:$D$7909, $B$2:$B$7909, "Umbria")</f>
        <v>884268</v>
      </c>
      <c r="G7250" s="1">
        <f>Comuni__2[[#This Row],[Popolazione2011]]/Comuni__2[[#This Row],[POPOLAZIONE TOTALE DI OGNI REGIONE (CON FILTRO)]]</f>
        <v>1.8320237755974434E-3</v>
      </c>
      <c r="H7250" t="str">
        <f>IF(Comuni__2[[#This Row],[Popolazione2011]]&gt;300000,"MAGGIORE","")</f>
        <v/>
      </c>
    </row>
    <row r="7251" spans="1:8" x14ac:dyDescent="0.2">
      <c r="A7251"/>
      <c r="B7251"/>
      <c r="C7251"/>
      <c r="D7251"/>
      <c r="E7251" s="2">
        <f>Comuni__2[[#This Row],[Popolazione2011]]/$D$7911</f>
        <v>2.6235598671539679E-5</v>
      </c>
      <c r="F7251">
        <f>SUMIFS($D$2:$D$7909, $B$2:$B$7909, "Umbria")</f>
        <v>884268</v>
      </c>
      <c r="G7251" s="1">
        <f>Comuni__2[[#This Row],[Popolazione2011]]/Comuni__2[[#This Row],[POPOLAZIONE TOTALE DI OGNI REGIONE (CON FILTRO)]]</f>
        <v>1.7630401642940827E-3</v>
      </c>
      <c r="H7251" t="str">
        <f>IF(Comuni__2[[#This Row],[Popolazione2011]]&gt;300000,"MAGGIORE","")</f>
        <v/>
      </c>
    </row>
    <row r="7252" spans="1:8" x14ac:dyDescent="0.2">
      <c r="A7252"/>
      <c r="B7252"/>
      <c r="C7252"/>
      <c r="D7252"/>
      <c r="E7252" s="2">
        <f>Comuni__2[[#This Row],[Popolazione2011]]/$D$7911</f>
        <v>2.5899029092687342E-5</v>
      </c>
      <c r="F7252">
        <f>SUMIFS($D$2:$D$7909, $B$2:$B$7909, "Umbria")</f>
        <v>884268</v>
      </c>
      <c r="G7252" s="1">
        <f>Comuni__2[[#This Row],[Popolazione2011]]/Comuni__2[[#This Row],[POPOLAZIONE TOTALE DI OGNI REGIONE (CON FILTRO)]]</f>
        <v>1.7404225868175712E-3</v>
      </c>
      <c r="H7252" t="str">
        <f>IF(Comuni__2[[#This Row],[Popolazione2011]]&gt;300000,"MAGGIORE","")</f>
        <v/>
      </c>
    </row>
    <row r="7253" spans="1:8" x14ac:dyDescent="0.2">
      <c r="A7253"/>
      <c r="B7253"/>
      <c r="C7253"/>
      <c r="D7253"/>
      <c r="E7253" s="2">
        <f>Comuni__2[[#This Row],[Popolazione2011]]/$D$7911</f>
        <v>2.5478317119121919E-5</v>
      </c>
      <c r="F7253">
        <f>SUMIFS($D$2:$D$7909, $B$2:$B$7909, "Umbria")</f>
        <v>884268</v>
      </c>
      <c r="G7253" s="1">
        <f>Comuni__2[[#This Row],[Popolazione2011]]/Comuni__2[[#This Row],[POPOLAZIONE TOTALE DI OGNI REGIONE (CON FILTRO)]]</f>
        <v>1.7121506149719316E-3</v>
      </c>
      <c r="H7253" t="str">
        <f>IF(Comuni__2[[#This Row],[Popolazione2011]]&gt;300000,"MAGGIORE","")</f>
        <v/>
      </c>
    </row>
    <row r="7254" spans="1:8" x14ac:dyDescent="0.2">
      <c r="A7254"/>
      <c r="B7254"/>
      <c r="C7254"/>
      <c r="D7254"/>
      <c r="E7254" s="2">
        <f>Comuni__2[[#This Row],[Popolazione2011]]/$D$7911</f>
        <v>2.5007119708728647E-5</v>
      </c>
      <c r="F7254">
        <f>SUMIFS($D$2:$D$7909, $B$2:$B$7909, "Umbria")</f>
        <v>884268</v>
      </c>
      <c r="G7254" s="1">
        <f>Comuni__2[[#This Row],[Popolazione2011]]/Comuni__2[[#This Row],[POPOLAZIONE TOTALE DI OGNI REGIONE (CON FILTRO)]]</f>
        <v>1.6804860065048153E-3</v>
      </c>
      <c r="H7254" t="str">
        <f>IF(Comuni__2[[#This Row],[Popolazione2011]]&gt;300000,"MAGGIORE","")</f>
        <v/>
      </c>
    </row>
    <row r="7255" spans="1:8" x14ac:dyDescent="0.2">
      <c r="A7255"/>
      <c r="B7255"/>
      <c r="C7255"/>
      <c r="D7255"/>
      <c r="E7255" s="2">
        <f>Comuni__2[[#This Row],[Popolazione2011]]/$D$7911</f>
        <v>2.4266666635253507E-5</v>
      </c>
      <c r="F7255">
        <f>SUMIFS($D$2:$D$7909, $B$2:$B$7909, "Umbria")</f>
        <v>884268</v>
      </c>
      <c r="G7255" s="1">
        <f>Comuni__2[[#This Row],[Popolazione2011]]/Comuni__2[[#This Row],[POPOLAZIONE TOTALE DI OGNI REGIONE (CON FILTRO)]]</f>
        <v>1.6307273360564897E-3</v>
      </c>
      <c r="H7255" t="str">
        <f>IF(Comuni__2[[#This Row],[Popolazione2011]]&gt;300000,"MAGGIORE","")</f>
        <v/>
      </c>
    </row>
    <row r="7256" spans="1:8" x14ac:dyDescent="0.2">
      <c r="A7256"/>
      <c r="B7256"/>
      <c r="C7256"/>
      <c r="D7256"/>
      <c r="E7256" s="2">
        <f>Comuni__2[[#This Row],[Popolazione2011]]/$D$7911</f>
        <v>2.1691909357033128E-5</v>
      </c>
      <c r="F7256">
        <f>SUMIFS($D$2:$D$7909, $B$2:$B$7909, "Umbria")</f>
        <v>884268</v>
      </c>
      <c r="G7256" s="1">
        <f>Comuni__2[[#This Row],[Popolazione2011]]/Comuni__2[[#This Row],[POPOLAZIONE TOTALE DI OGNI REGIONE (CON FILTRO)]]</f>
        <v>1.4577028683611757E-3</v>
      </c>
      <c r="H7256" t="str">
        <f>IF(Comuni__2[[#This Row],[Popolazione2011]]&gt;300000,"MAGGIORE","")</f>
        <v/>
      </c>
    </row>
    <row r="7257" spans="1:8" x14ac:dyDescent="0.2">
      <c r="A7257"/>
      <c r="B7257"/>
      <c r="C7257"/>
      <c r="D7257"/>
      <c r="E7257" s="2">
        <f>Comuni__2[[#This Row],[Popolazione2011]]/$D$7911</f>
        <v>2.1590938483377425E-5</v>
      </c>
      <c r="F7257">
        <f>SUMIFS($D$2:$D$7909, $B$2:$B$7909, "Umbria")</f>
        <v>884268</v>
      </c>
      <c r="G7257" s="1">
        <f>Comuni__2[[#This Row],[Popolazione2011]]/Comuni__2[[#This Row],[POPOLAZIONE TOTALE DI OGNI REGIONE (CON FILTRO)]]</f>
        <v>1.450917595118222E-3</v>
      </c>
      <c r="H7257" t="str">
        <f>IF(Comuni__2[[#This Row],[Popolazione2011]]&gt;300000,"MAGGIORE","")</f>
        <v/>
      </c>
    </row>
    <row r="7258" spans="1:8" x14ac:dyDescent="0.2">
      <c r="A7258"/>
      <c r="B7258"/>
      <c r="C7258"/>
      <c r="D7258"/>
      <c r="E7258" s="2">
        <f>Comuni__2[[#This Row],[Popolazione2011]]/$D$7911</f>
        <v>2.0783171494131817E-5</v>
      </c>
      <c r="F7258">
        <f>SUMIFS($D$2:$D$7909, $B$2:$B$7909, "Umbria")</f>
        <v>884268</v>
      </c>
      <c r="G7258" s="1">
        <f>Comuni__2[[#This Row],[Popolazione2011]]/Comuni__2[[#This Row],[POPOLAZIONE TOTALE DI OGNI REGIONE (CON FILTRO)]]</f>
        <v>1.3966354091745942E-3</v>
      </c>
      <c r="H7258" t="str">
        <f>IF(Comuni__2[[#This Row],[Popolazione2011]]&gt;300000,"MAGGIORE","")</f>
        <v/>
      </c>
    </row>
    <row r="7259" spans="1:8" x14ac:dyDescent="0.2">
      <c r="A7259"/>
      <c r="B7259"/>
      <c r="C7259"/>
      <c r="D7259"/>
      <c r="E7259" s="2">
        <f>Comuni__2[[#This Row],[Popolazione2011]]/$D$7911</f>
        <v>2.0463430394222097E-5</v>
      </c>
      <c r="F7259">
        <f>SUMIFS($D$2:$D$7909, $B$2:$B$7909, "Umbria")</f>
        <v>884268</v>
      </c>
      <c r="G7259" s="1">
        <f>Comuni__2[[#This Row],[Popolazione2011]]/Comuni__2[[#This Row],[POPOLAZIONE TOTALE DI OGNI REGIONE (CON FILTRO)]]</f>
        <v>1.375148710571908E-3</v>
      </c>
      <c r="H7259" t="str">
        <f>IF(Comuni__2[[#This Row],[Popolazione2011]]&gt;300000,"MAGGIORE","")</f>
        <v/>
      </c>
    </row>
    <row r="7260" spans="1:8" x14ac:dyDescent="0.2">
      <c r="A7260"/>
      <c r="B7260"/>
      <c r="C7260"/>
      <c r="D7260"/>
      <c r="E7260" s="2">
        <f>Comuni__2[[#This Row],[Popolazione2011]]/$D$7911</f>
        <v>1.9184465994583217E-5</v>
      </c>
      <c r="F7260">
        <f>SUMIFS($D$2:$D$7909, $B$2:$B$7909, "Umbria")</f>
        <v>884268</v>
      </c>
      <c r="G7260" s="1">
        <f>Comuni__2[[#This Row],[Popolazione2011]]/Comuni__2[[#This Row],[POPOLAZIONE TOTALE DI OGNI REGIONE (CON FILTRO)]]</f>
        <v>1.2892019161611639E-3</v>
      </c>
      <c r="H7260" t="str">
        <f>IF(Comuni__2[[#This Row],[Popolazione2011]]&gt;300000,"MAGGIORE","")</f>
        <v/>
      </c>
    </row>
    <row r="7261" spans="1:8" x14ac:dyDescent="0.2">
      <c r="A7261"/>
      <c r="B7261"/>
      <c r="C7261"/>
      <c r="D7261"/>
      <c r="E7261" s="2">
        <f>Comuni__2[[#This Row],[Popolazione2011]]/$D$7911</f>
        <v>1.8881553373616113E-5</v>
      </c>
      <c r="F7261">
        <f>SUMIFS($D$2:$D$7909, $B$2:$B$7909, "Umbria")</f>
        <v>884268</v>
      </c>
      <c r="G7261" s="1">
        <f>Comuni__2[[#This Row],[Popolazione2011]]/Comuni__2[[#This Row],[POPOLAZIONE TOTALE DI OGNI REGIONE (CON FILTRO)]]</f>
        <v>1.2688460964323032E-3</v>
      </c>
      <c r="H7261" t="str">
        <f>IF(Comuni__2[[#This Row],[Popolazione2011]]&gt;300000,"MAGGIORE","")</f>
        <v/>
      </c>
    </row>
    <row r="7262" spans="1:8" x14ac:dyDescent="0.2">
      <c r="A7262"/>
      <c r="B7262"/>
      <c r="C7262"/>
      <c r="D7262"/>
      <c r="E7262" s="2">
        <f>Comuni__2[[#This Row],[Popolazione2011]]/$D$7911</f>
        <v>1.7770873763403401E-5</v>
      </c>
      <c r="F7262">
        <f>SUMIFS($D$2:$D$7909, $B$2:$B$7909, "Umbria")</f>
        <v>884268</v>
      </c>
      <c r="G7262" s="1">
        <f>Comuni__2[[#This Row],[Popolazione2011]]/Comuni__2[[#This Row],[POPOLAZIONE TOTALE DI OGNI REGIONE (CON FILTRO)]]</f>
        <v>1.1942080907598148E-3</v>
      </c>
      <c r="H7262" t="str">
        <f>IF(Comuni__2[[#This Row],[Popolazione2011]]&gt;300000,"MAGGIORE","")</f>
        <v/>
      </c>
    </row>
    <row r="7263" spans="1:8" x14ac:dyDescent="0.2">
      <c r="A7263"/>
      <c r="B7263"/>
      <c r="C7263"/>
      <c r="D7263"/>
      <c r="E7263" s="2">
        <f>Comuni__2[[#This Row],[Popolazione2011]]/$D$7911</f>
        <v>1.6525566321649754E-5</v>
      </c>
      <c r="F7263">
        <f>SUMIFS($D$2:$D$7909, $B$2:$B$7909, "Umbria")</f>
        <v>884268</v>
      </c>
      <c r="G7263" s="1">
        <f>Comuni__2[[#This Row],[Popolazione2011]]/Comuni__2[[#This Row],[POPOLAZIONE TOTALE DI OGNI REGIONE (CON FILTRO)]]</f>
        <v>1.1105230540967219E-3</v>
      </c>
      <c r="H7263" t="str">
        <f>IF(Comuni__2[[#This Row],[Popolazione2011]]&gt;300000,"MAGGIORE","")</f>
        <v/>
      </c>
    </row>
    <row r="7264" spans="1:8" x14ac:dyDescent="0.2">
      <c r="A7264"/>
      <c r="B7264"/>
      <c r="C7264"/>
      <c r="D7264"/>
      <c r="E7264" s="2">
        <f>Comuni__2[[#This Row],[Popolazione2011]]/$D$7911</f>
        <v>1.2739158559560959E-5</v>
      </c>
      <c r="F7264">
        <f>SUMIFS($D$2:$D$7909, $B$2:$B$7909, "Umbria")</f>
        <v>884268</v>
      </c>
      <c r="G7264" s="1">
        <f>Comuni__2[[#This Row],[Popolazione2011]]/Comuni__2[[#This Row],[POPOLAZIONE TOTALE DI OGNI REGIONE (CON FILTRO)]]</f>
        <v>8.5607530748596581E-4</v>
      </c>
      <c r="H7264" t="str">
        <f>IF(Comuni__2[[#This Row],[Popolazione2011]]&gt;300000,"MAGGIORE","")</f>
        <v/>
      </c>
    </row>
    <row r="7265" spans="1:8" x14ac:dyDescent="0.2">
      <c r="A7265"/>
      <c r="B7265"/>
      <c r="C7265"/>
      <c r="D7265"/>
      <c r="E7265" s="2">
        <f>Comuni__2[[#This Row],[Popolazione2011]]/$D$7911</f>
        <v>1.0534627818078152E-5</v>
      </c>
      <c r="F7265">
        <f>SUMIFS($D$2:$D$7909, $B$2:$B$7909, "Umbria")</f>
        <v>884268</v>
      </c>
      <c r="G7265" s="1">
        <f>Comuni__2[[#This Row],[Popolazione2011]]/Comuni__2[[#This Row],[POPOLAZIONE TOTALE DI OGNI REGIONE (CON FILTRO)]]</f>
        <v>7.0793017501481455E-4</v>
      </c>
      <c r="H7265" t="str">
        <f>IF(Comuni__2[[#This Row],[Popolazione2011]]&gt;300000,"MAGGIORE","")</f>
        <v/>
      </c>
    </row>
    <row r="7266" spans="1:8" x14ac:dyDescent="0.2">
      <c r="A7266"/>
      <c r="B7266"/>
      <c r="C7266"/>
      <c r="D7266"/>
      <c r="E7266" s="2">
        <f>Comuni__2[[#This Row],[Popolazione2011]]/$D$7911</f>
        <v>1.0500970860192918E-5</v>
      </c>
      <c r="F7266">
        <f>SUMIFS($D$2:$D$7909, $B$2:$B$7909, "Umbria")</f>
        <v>884268</v>
      </c>
      <c r="G7266" s="1">
        <f>Comuni__2[[#This Row],[Popolazione2011]]/Comuni__2[[#This Row],[POPOLAZIONE TOTALE DI OGNI REGIONE (CON FILTRO)]]</f>
        <v>7.0566841726716332E-4</v>
      </c>
      <c r="H7266" t="str">
        <f>IF(Comuni__2[[#This Row],[Popolazione2011]]&gt;300000,"MAGGIORE","")</f>
        <v/>
      </c>
    </row>
    <row r="7267" spans="1:8" x14ac:dyDescent="0.2">
      <c r="A7267"/>
      <c r="B7267"/>
      <c r="C7267"/>
      <c r="D7267"/>
      <c r="E7267" s="2">
        <f>Comuni__2[[#This Row],[Popolazione2011]]/$D$7911</f>
        <v>9.9288025761439445E-6</v>
      </c>
      <c r="F7267">
        <f>SUMIFS($D$2:$D$7909, $B$2:$B$7909, "Umbria")</f>
        <v>884268</v>
      </c>
      <c r="G7267" s="1">
        <f>Comuni__2[[#This Row],[Popolazione2011]]/Comuni__2[[#This Row],[POPOLAZIONE TOTALE DI OGNI REGIONE (CON FILTRO)]]</f>
        <v>6.6721853555709359E-4</v>
      </c>
      <c r="H7267" t="str">
        <f>IF(Comuni__2[[#This Row],[Popolazione2011]]&gt;300000,"MAGGIORE","")</f>
        <v/>
      </c>
    </row>
    <row r="7268" spans="1:8" x14ac:dyDescent="0.2">
      <c r="A7268"/>
      <c r="B7268"/>
      <c r="C7268"/>
      <c r="D7268"/>
      <c r="E7268" s="2">
        <f>Comuni__2[[#This Row],[Popolazione2011]]/$D$7911</f>
        <v>9.3902912499802048E-6</v>
      </c>
      <c r="F7268">
        <f>SUMIFS($D$2:$D$7909, $B$2:$B$7909, "Umbria")</f>
        <v>884268</v>
      </c>
      <c r="G7268" s="1">
        <f>Comuni__2[[#This Row],[Popolazione2011]]/Comuni__2[[#This Row],[POPOLAZIONE TOTALE DI OGNI REGIONE (CON FILTRO)]]</f>
        <v>6.3103041159467488E-4</v>
      </c>
      <c r="H7268" t="str">
        <f>IF(Comuni__2[[#This Row],[Popolazione2011]]&gt;300000,"MAGGIORE","")</f>
        <v/>
      </c>
    </row>
    <row r="7269" spans="1:8" x14ac:dyDescent="0.2">
      <c r="A7269"/>
      <c r="B7269"/>
      <c r="C7269"/>
      <c r="D7269"/>
      <c r="E7269" s="2">
        <f>Comuni__2[[#This Row],[Popolazione2011]]/$D$7911</f>
        <v>8.0944983713987072E-6</v>
      </c>
      <c r="F7269">
        <f>SUMIFS($D$2:$D$7909, $B$2:$B$7909, "Umbria")</f>
        <v>884268</v>
      </c>
      <c r="G7269" s="1">
        <f>Comuni__2[[#This Row],[Popolazione2011]]/Comuni__2[[#This Row],[POPOLAZIONE TOTALE DI OGNI REGIONE (CON FILTRO)]]</f>
        <v>5.4395273831010511E-4</v>
      </c>
      <c r="H7269" t="str">
        <f>IF(Comuni__2[[#This Row],[Popolazione2011]]&gt;300000,"MAGGIORE","")</f>
        <v/>
      </c>
    </row>
    <row r="7270" spans="1:8" x14ac:dyDescent="0.2">
      <c r="A7270"/>
      <c r="B7270"/>
      <c r="C7270"/>
      <c r="D7270"/>
      <c r="E7270" s="2">
        <f>Comuni__2[[#This Row],[Popolazione2011]]/$D$7911</f>
        <v>6.7482200559893595E-6</v>
      </c>
      <c r="F7270">
        <f>SUMIFS($D$2:$D$7909, $B$2:$B$7909, "Umbria")</f>
        <v>884268</v>
      </c>
      <c r="G7270" s="1">
        <f>Comuni__2[[#This Row],[Popolazione2011]]/Comuni__2[[#This Row],[POPOLAZIONE TOTALE DI OGNI REGIONE (CON FILTRO)]]</f>
        <v>4.5348242840405849E-4</v>
      </c>
      <c r="H7270" t="str">
        <f>IF(Comuni__2[[#This Row],[Popolazione2011]]&gt;300000,"MAGGIORE","")</f>
        <v/>
      </c>
    </row>
    <row r="7271" spans="1:8" x14ac:dyDescent="0.2">
      <c r="A7271"/>
      <c r="B7271"/>
      <c r="C7271"/>
      <c r="D7271"/>
      <c r="E7271" s="2">
        <f>Comuni__2[[#This Row],[Popolazione2011]]/$D$7911</f>
        <v>4.1398058198837465E-6</v>
      </c>
      <c r="F7271">
        <f>SUMIFS($D$2:$D$7909, $B$2:$B$7909, "Umbria")</f>
        <v>884268</v>
      </c>
      <c r="G7271" s="1">
        <f>Comuni__2[[#This Row],[Popolazione2011]]/Comuni__2[[#This Row],[POPOLAZIONE TOTALE DI OGNI REGIONE (CON FILTRO)]]</f>
        <v>2.7819620296109322E-4</v>
      </c>
      <c r="H7271" t="str">
        <f>IF(Comuni__2[[#This Row],[Popolazione2011]]&gt;300000,"MAGGIORE","")</f>
        <v/>
      </c>
    </row>
    <row r="7272" spans="1:8" x14ac:dyDescent="0.2">
      <c r="A7272"/>
      <c r="B7272"/>
      <c r="C7272"/>
      <c r="D7272"/>
      <c r="E7272" s="2">
        <f>Comuni__2[[#This Row],[Popolazione2011]]/$D$7911</f>
        <v>2.2718446572532757E-6</v>
      </c>
      <c r="F7272">
        <f>SUMIFS($D$2:$D$7909, $B$2:$B$7909, "Umbria")</f>
        <v>884268</v>
      </c>
      <c r="G7272" s="1">
        <f>Comuni__2[[#This Row],[Popolazione2011]]/Comuni__2[[#This Row],[POPOLAZIONE TOTALE DI OGNI REGIONE (CON FILTRO)]]</f>
        <v>1.5266864796645361E-4</v>
      </c>
      <c r="H7272" t="str">
        <f>IF(Comuni__2[[#This Row],[Popolazione2011]]&gt;300000,"MAGGIORE","")</f>
        <v/>
      </c>
    </row>
    <row r="7273" spans="1:8" x14ac:dyDescent="0.2">
      <c r="A7273"/>
      <c r="B7273"/>
      <c r="C7273"/>
      <c r="D7273"/>
      <c r="E7273" s="2">
        <f>Comuni__2[[#This Row],[Popolazione2011]]/$D$7911</f>
        <v>5.7388478890111998E-4</v>
      </c>
      <c r="F7273">
        <f>SUMIFS($D$2:$D$7909, $B$2:$B$7909, "Valle D'Aosta/Vallée D'Aoste")</f>
        <v>126806</v>
      </c>
      <c r="G7273" s="1">
        <f>Comuni__2[[#This Row],[Popolazione2011]]/Comuni__2[[#This Row],[POPOLAZIONE TOTALE DI OGNI REGIONE (CON FILTRO)]]</f>
        <v>0.26893049224800086</v>
      </c>
      <c r="H7273" t="str">
        <f>IF(Comuni__2[[#This Row],[Popolazione2011]]&gt;300000,"MAGGIORE","")</f>
        <v/>
      </c>
    </row>
    <row r="7274" spans="1:8" x14ac:dyDescent="0.2">
      <c r="A7274"/>
      <c r="B7274"/>
      <c r="C7274"/>
      <c r="D7274"/>
      <c r="E7274" s="2">
        <f>Comuni__2[[#This Row],[Popolazione2011]]/$D$7911</f>
        <v>8.3233656850182963E-5</v>
      </c>
      <c r="F7274">
        <f>SUMIFS($D$2:$D$7909, $B$2:$B$7909, "Valle D'Aosta/Vallée D'Aoste")</f>
        <v>126806</v>
      </c>
      <c r="G7274" s="1">
        <f>Comuni__2[[#This Row],[Popolazione2011]]/Comuni__2[[#This Row],[POPOLAZIONE TOTALE DI OGNI REGIONE (CON FILTRO)]]</f>
        <v>3.9004463511190322E-2</v>
      </c>
      <c r="H7274" t="str">
        <f>IF(Comuni__2[[#This Row],[Popolazione2011]]&gt;300000,"MAGGIORE","")</f>
        <v/>
      </c>
    </row>
    <row r="7275" spans="1:8" x14ac:dyDescent="0.2">
      <c r="A7275"/>
      <c r="B7275"/>
      <c r="C7275"/>
      <c r="D7275"/>
      <c r="E7275" s="2">
        <f>Comuni__2[[#This Row],[Popolazione2011]]/$D$7911</f>
        <v>8.1735922224290074E-5</v>
      </c>
      <c r="F7275">
        <f>SUMIFS($D$2:$D$7909, $B$2:$B$7909, "Valle D'Aosta/Vallée D'Aoste")</f>
        <v>126806</v>
      </c>
      <c r="G7275" s="1">
        <f>Comuni__2[[#This Row],[Popolazione2011]]/Comuni__2[[#This Row],[POPOLAZIONE TOTALE DI OGNI REGIONE (CON FILTRO)]]</f>
        <v>3.8302603977729763E-2</v>
      </c>
      <c r="H7275" t="str">
        <f>IF(Comuni__2[[#This Row],[Popolazione2011]]&gt;300000,"MAGGIORE","")</f>
        <v/>
      </c>
    </row>
    <row r="7276" spans="1:8" x14ac:dyDescent="0.2">
      <c r="A7276"/>
      <c r="B7276"/>
      <c r="C7276"/>
      <c r="D7276"/>
      <c r="E7276" s="2">
        <f>Comuni__2[[#This Row],[Popolazione2011]]/$D$7911</f>
        <v>7.8319740998938851E-5</v>
      </c>
      <c r="F7276">
        <f>SUMIFS($D$2:$D$7909, $B$2:$B$7909, "Valle D'Aosta/Vallée D'Aoste")</f>
        <v>126806</v>
      </c>
      <c r="G7276" s="1">
        <f>Comuni__2[[#This Row],[Popolazione2011]]/Comuni__2[[#This Row],[POPOLAZIONE TOTALE DI OGNI REGIONE (CON FILTRO)]]</f>
        <v>3.6701733356465781E-2</v>
      </c>
      <c r="H7276" t="str">
        <f>IF(Comuni__2[[#This Row],[Popolazione2011]]&gt;300000,"MAGGIORE","")</f>
        <v/>
      </c>
    </row>
    <row r="7277" spans="1:8" x14ac:dyDescent="0.2">
      <c r="A7277"/>
      <c r="B7277"/>
      <c r="C7277"/>
      <c r="D7277"/>
      <c r="E7277" s="2">
        <f>Comuni__2[[#This Row],[Popolazione2011]]/$D$7911</f>
        <v>6.7398058165180511E-5</v>
      </c>
      <c r="F7277">
        <f>SUMIFS($D$2:$D$7909, $B$2:$B$7909, "Valle D'Aosta/Vallée D'Aoste")</f>
        <v>126806</v>
      </c>
      <c r="G7277" s="1">
        <f>Comuni__2[[#This Row],[Popolazione2011]]/Comuni__2[[#This Row],[POPOLAZIONE TOTALE DI OGNI REGIONE (CON FILTRO)]]</f>
        <v>3.1583679005725278E-2</v>
      </c>
      <c r="H7277" t="str">
        <f>IF(Comuni__2[[#This Row],[Popolazione2011]]&gt;300000,"MAGGIORE","")</f>
        <v/>
      </c>
    </row>
    <row r="7278" spans="1:8" x14ac:dyDescent="0.2">
      <c r="A7278"/>
      <c r="B7278"/>
      <c r="C7278"/>
      <c r="D7278"/>
      <c r="E7278" s="2">
        <f>Comuni__2[[#This Row],[Popolazione2011]]/$D$7911</f>
        <v>6.5159870465812472E-5</v>
      </c>
      <c r="F7278">
        <f>SUMIFS($D$2:$D$7909, $B$2:$B$7909, "Valle D'Aosta/Vallée D'Aoste")</f>
        <v>126806</v>
      </c>
      <c r="G7278" s="1">
        <f>Comuni__2[[#This Row],[Popolazione2011]]/Comuni__2[[#This Row],[POPOLAZIONE TOTALE DI OGNI REGIONE (CON FILTRO)]]</f>
        <v>3.0534832736621297E-2</v>
      </c>
      <c r="H7278" t="str">
        <f>IF(Comuni__2[[#This Row],[Popolazione2011]]&gt;300000,"MAGGIORE","")</f>
        <v/>
      </c>
    </row>
    <row r="7279" spans="1:8" x14ac:dyDescent="0.2">
      <c r="A7279"/>
      <c r="B7279"/>
      <c r="C7279"/>
      <c r="D7279"/>
      <c r="E7279" s="2">
        <f>Comuni__2[[#This Row],[Popolazione2011]]/$D$7911</f>
        <v>5.6476375331422171E-5</v>
      </c>
      <c r="F7279">
        <f>SUMIFS($D$2:$D$7909, $B$2:$B$7909, "Valle D'Aosta/Vallée D'Aoste")</f>
        <v>126806</v>
      </c>
      <c r="G7279" s="1">
        <f>Comuni__2[[#This Row],[Popolazione2011]]/Comuni__2[[#This Row],[POPOLAZIONE TOTALE DI OGNI REGIONE (CON FILTRO)]]</f>
        <v>2.6465624654984778E-2</v>
      </c>
      <c r="H7279" t="str">
        <f>IF(Comuni__2[[#This Row],[Popolazione2011]]&gt;300000,"MAGGIORE","")</f>
        <v/>
      </c>
    </row>
    <row r="7280" spans="1:8" x14ac:dyDescent="0.2">
      <c r="A7280"/>
      <c r="B7280"/>
      <c r="C7280"/>
      <c r="D7280"/>
      <c r="E7280" s="2">
        <f>Comuni__2[[#This Row],[Popolazione2011]]/$D$7911</f>
        <v>5.5634951384291324E-5</v>
      </c>
      <c r="F7280">
        <f>SUMIFS($D$2:$D$7909, $B$2:$B$7909, "Valle D'Aosta/Vallée D'Aoste")</f>
        <v>126806</v>
      </c>
      <c r="G7280" s="1">
        <f>Comuni__2[[#This Row],[Popolazione2011]]/Comuni__2[[#This Row],[POPOLAZIONE TOTALE DI OGNI REGIONE (CON FILTRO)]]</f>
        <v>2.607132154629907E-2</v>
      </c>
      <c r="H7280" t="str">
        <f>IF(Comuni__2[[#This Row],[Popolazione2011]]&gt;300000,"MAGGIORE","")</f>
        <v/>
      </c>
    </row>
    <row r="7281" spans="1:8" x14ac:dyDescent="0.2">
      <c r="A7281"/>
      <c r="B7281"/>
      <c r="C7281"/>
      <c r="D7281"/>
      <c r="E7281" s="2">
        <f>Comuni__2[[#This Row],[Popolazione2011]]/$D$7911</f>
        <v>5.2370226469423654E-5</v>
      </c>
      <c r="F7281">
        <f>SUMIFS($D$2:$D$7909, $B$2:$B$7909, "Valle D'Aosta/Vallée D'Aoste")</f>
        <v>126806</v>
      </c>
      <c r="G7281" s="1">
        <f>Comuni__2[[#This Row],[Popolazione2011]]/Comuni__2[[#This Row],[POPOLAZIONE TOTALE DI OGNI REGIONE (CON FILTRO)]]</f>
        <v>2.454142548459852E-2</v>
      </c>
      <c r="H7281" t="str">
        <f>IF(Comuni__2[[#This Row],[Popolazione2011]]&gt;300000,"MAGGIORE","")</f>
        <v/>
      </c>
    </row>
    <row r="7282" spans="1:8" x14ac:dyDescent="0.2">
      <c r="A7282"/>
      <c r="B7282"/>
      <c r="C7282"/>
      <c r="D7282"/>
      <c r="E7282" s="2">
        <f>Comuni__2[[#This Row],[Popolazione2011]]/$D$7911</f>
        <v>4.9526213528121406E-5</v>
      </c>
      <c r="F7282">
        <f>SUMIFS($D$2:$D$7909, $B$2:$B$7909, "Valle D'Aosta/Vallée D'Aoste")</f>
        <v>126806</v>
      </c>
      <c r="G7282" s="1">
        <f>Comuni__2[[#This Row],[Popolazione2011]]/Comuni__2[[#This Row],[POPOLAZIONE TOTALE DI OGNI REGIONE (CON FILTRO)]]</f>
        <v>2.3208680977240825E-2</v>
      </c>
      <c r="H7282" t="str">
        <f>IF(Comuni__2[[#This Row],[Popolazione2011]]&gt;300000,"MAGGIORE","")</f>
        <v/>
      </c>
    </row>
    <row r="7283" spans="1:8" x14ac:dyDescent="0.2">
      <c r="A7283"/>
      <c r="B7283"/>
      <c r="C7283"/>
      <c r="D7283"/>
      <c r="E7283" s="2">
        <f>Comuni__2[[#This Row],[Popolazione2011]]/$D$7911</f>
        <v>4.7372168223466447E-5</v>
      </c>
      <c r="F7283">
        <f>SUMIFS($D$2:$D$7909, $B$2:$B$7909, "Valle D'Aosta/Vallée D'Aoste")</f>
        <v>126806</v>
      </c>
      <c r="G7283" s="1">
        <f>Comuni__2[[#This Row],[Popolazione2011]]/Comuni__2[[#This Row],[POPOLAZIONE TOTALE DI OGNI REGIONE (CON FILTRO)]]</f>
        <v>2.2199265019005411E-2</v>
      </c>
      <c r="H7283" t="str">
        <f>IF(Comuni__2[[#This Row],[Popolazione2011]]&gt;300000,"MAGGIORE","")</f>
        <v/>
      </c>
    </row>
    <row r="7284" spans="1:8" x14ac:dyDescent="0.2">
      <c r="A7284"/>
      <c r="B7284"/>
      <c r="C7284"/>
      <c r="D7284"/>
      <c r="E7284" s="2">
        <f>Comuni__2[[#This Row],[Popolazione2011]]/$D$7911</f>
        <v>4.5622006413434296E-5</v>
      </c>
      <c r="F7284">
        <f>SUMIFS($D$2:$D$7909, $B$2:$B$7909, "Valle D'Aosta/Vallée D'Aoste")</f>
        <v>126806</v>
      </c>
      <c r="G7284" s="1">
        <f>Comuni__2[[#This Row],[Popolazione2011]]/Comuni__2[[#This Row],[POPOLAZIONE TOTALE DI OGNI REGIONE (CON FILTRO)]]</f>
        <v>2.1379114552939137E-2</v>
      </c>
      <c r="H7284" t="str">
        <f>IF(Comuni__2[[#This Row],[Popolazione2011]]&gt;300000,"MAGGIORE","")</f>
        <v/>
      </c>
    </row>
    <row r="7285" spans="1:8" x14ac:dyDescent="0.2">
      <c r="A7285"/>
      <c r="B7285"/>
      <c r="C7285"/>
      <c r="D7285"/>
      <c r="E7285" s="2">
        <f>Comuni__2[[#This Row],[Popolazione2011]]/$D$7911</f>
        <v>4.4157928745426632E-5</v>
      </c>
      <c r="F7285">
        <f>SUMIFS($D$2:$D$7909, $B$2:$B$7909, "Valle D'Aosta/Vallée D'Aoste")</f>
        <v>126806</v>
      </c>
      <c r="G7285" s="1">
        <f>Comuni__2[[#This Row],[Popolazione2011]]/Comuni__2[[#This Row],[POPOLAZIONE TOTALE DI OGNI REGIONE (CON FILTRO)]]</f>
        <v>2.0693027143826002E-2</v>
      </c>
      <c r="H7285" t="str">
        <f>IF(Comuni__2[[#This Row],[Popolazione2011]]&gt;300000,"MAGGIORE","")</f>
        <v/>
      </c>
    </row>
    <row r="7286" spans="1:8" x14ac:dyDescent="0.2">
      <c r="A7286"/>
      <c r="B7286"/>
      <c r="C7286"/>
      <c r="D7286"/>
      <c r="E7286" s="2">
        <f>Comuni__2[[#This Row],[Popolazione2011]]/$D$7911</f>
        <v>4.2188996709140457E-5</v>
      </c>
      <c r="F7286">
        <f>SUMIFS($D$2:$D$7909, $B$2:$B$7909, "Valle D'Aosta/Vallée D'Aoste")</f>
        <v>126806</v>
      </c>
      <c r="G7286" s="1">
        <f>Comuni__2[[#This Row],[Popolazione2011]]/Comuni__2[[#This Row],[POPOLAZIONE TOTALE DI OGNI REGIONE (CON FILTRO)]]</f>
        <v>1.9770357869501442E-2</v>
      </c>
      <c r="H7286" t="str">
        <f>IF(Comuni__2[[#This Row],[Popolazione2011]]&gt;300000,"MAGGIORE","")</f>
        <v/>
      </c>
    </row>
    <row r="7287" spans="1:8" x14ac:dyDescent="0.2">
      <c r="A7287"/>
      <c r="B7287"/>
      <c r="C7287"/>
      <c r="D7287"/>
      <c r="E7287" s="2">
        <f>Comuni__2[[#This Row],[Popolazione2011]]/$D$7911</f>
        <v>3.6130744289798387E-5</v>
      </c>
      <c r="F7287">
        <f>SUMIFS($D$2:$D$7909, $B$2:$B$7909, "Valle D'Aosta/Vallée D'Aoste")</f>
        <v>126806</v>
      </c>
      <c r="G7287" s="1">
        <f>Comuni__2[[#This Row],[Popolazione2011]]/Comuni__2[[#This Row],[POPOLAZIONE TOTALE DI OGNI REGIONE (CON FILTRO)]]</f>
        <v>1.6931375486964339E-2</v>
      </c>
      <c r="H7287" t="str">
        <f>IF(Comuni__2[[#This Row],[Popolazione2011]]&gt;300000,"MAGGIORE","")</f>
        <v/>
      </c>
    </row>
    <row r="7288" spans="1:8" x14ac:dyDescent="0.2">
      <c r="A7288"/>
      <c r="B7288"/>
      <c r="C7288"/>
      <c r="D7288"/>
      <c r="E7288" s="2">
        <f>Comuni__2[[#This Row],[Popolazione2011]]/$D$7911</f>
        <v>3.4868608369102124E-5</v>
      </c>
      <c r="F7288">
        <f>SUMIFS($D$2:$D$7909, $B$2:$B$7909, "Valle D'Aosta/Vallée D'Aoste")</f>
        <v>126806</v>
      </c>
      <c r="G7288" s="1">
        <f>Comuni__2[[#This Row],[Popolazione2011]]/Comuni__2[[#This Row],[POPOLAZIONE TOTALE DI OGNI REGIONE (CON FILTRO)]]</f>
        <v>1.6339920823935775E-2</v>
      </c>
      <c r="H7288" t="str">
        <f>IF(Comuni__2[[#This Row],[Popolazione2011]]&gt;300000,"MAGGIORE","")</f>
        <v/>
      </c>
    </row>
    <row r="7289" spans="1:8" x14ac:dyDescent="0.2">
      <c r="A7289"/>
      <c r="B7289"/>
      <c r="C7289"/>
      <c r="D7289"/>
      <c r="E7289" s="2">
        <f>Comuni__2[[#This Row],[Popolazione2011]]/$D$7911</f>
        <v>3.4851779890159508E-5</v>
      </c>
      <c r="F7289">
        <f>SUMIFS($D$2:$D$7909, $B$2:$B$7909, "Valle D'Aosta/Vallée D'Aoste")</f>
        <v>126806</v>
      </c>
      <c r="G7289" s="1">
        <f>Comuni__2[[#This Row],[Popolazione2011]]/Comuni__2[[#This Row],[POPOLAZIONE TOTALE DI OGNI REGIONE (CON FILTRO)]]</f>
        <v>1.6332034761762062E-2</v>
      </c>
      <c r="H7289" t="str">
        <f>IF(Comuni__2[[#This Row],[Popolazione2011]]&gt;300000,"MAGGIORE","")</f>
        <v/>
      </c>
    </row>
    <row r="7290" spans="1:8" x14ac:dyDescent="0.2">
      <c r="A7290"/>
      <c r="B7290"/>
      <c r="C7290"/>
      <c r="D7290"/>
      <c r="E7290" s="2">
        <f>Comuni__2[[#This Row],[Popolazione2011]]/$D$7911</f>
        <v>3.4818122932274275E-5</v>
      </c>
      <c r="F7290">
        <f>SUMIFS($D$2:$D$7909, $B$2:$B$7909, "Valle D'Aosta/Vallée D'Aoste")</f>
        <v>126806</v>
      </c>
      <c r="G7290" s="1">
        <f>Comuni__2[[#This Row],[Popolazione2011]]/Comuni__2[[#This Row],[POPOLAZIONE TOTALE DI OGNI REGIONE (CON FILTRO)]]</f>
        <v>1.6316262637414633E-2</v>
      </c>
      <c r="H7290" t="str">
        <f>IF(Comuni__2[[#This Row],[Popolazione2011]]&gt;300000,"MAGGIORE","")</f>
        <v/>
      </c>
    </row>
    <row r="7291" spans="1:8" x14ac:dyDescent="0.2">
      <c r="A7291"/>
      <c r="B7291"/>
      <c r="C7291"/>
      <c r="D7291"/>
      <c r="E7291" s="2">
        <f>Comuni__2[[#This Row],[Popolazione2011]]/$D$7911</f>
        <v>3.0812944943931461E-5</v>
      </c>
      <c r="F7291">
        <f>SUMIFS($D$2:$D$7909, $B$2:$B$7909, "Valle D'Aosta/Vallée D'Aoste")</f>
        <v>126806</v>
      </c>
      <c r="G7291" s="1">
        <f>Comuni__2[[#This Row],[Popolazione2011]]/Comuni__2[[#This Row],[POPOLAZIONE TOTALE DI OGNI REGIONE (CON FILTRO)]]</f>
        <v>1.4439379840070659E-2</v>
      </c>
      <c r="H7291" t="str">
        <f>IF(Comuni__2[[#This Row],[Popolazione2011]]&gt;300000,"MAGGIORE","")</f>
        <v/>
      </c>
    </row>
    <row r="7292" spans="1:8" x14ac:dyDescent="0.2">
      <c r="A7292"/>
      <c r="B7292"/>
      <c r="C7292"/>
      <c r="D7292"/>
      <c r="E7292" s="2">
        <f>Comuni__2[[#This Row],[Popolazione2011]]/$D$7911</f>
        <v>2.9719093812661366E-5</v>
      </c>
      <c r="F7292">
        <f>SUMIFS($D$2:$D$7909, $B$2:$B$7909, "Valle D'Aosta/Vallée D'Aoste")</f>
        <v>126806</v>
      </c>
      <c r="G7292" s="1">
        <f>Comuni__2[[#This Row],[Popolazione2011]]/Comuni__2[[#This Row],[POPOLAZIONE TOTALE DI OGNI REGIONE (CON FILTRO)]]</f>
        <v>1.3926785798779238E-2</v>
      </c>
      <c r="H7292" t="str">
        <f>IF(Comuni__2[[#This Row],[Popolazione2011]]&gt;300000,"MAGGIORE","")</f>
        <v/>
      </c>
    </row>
    <row r="7293" spans="1:8" x14ac:dyDescent="0.2">
      <c r="A7293"/>
      <c r="B7293"/>
      <c r="C7293"/>
      <c r="D7293"/>
      <c r="E7293" s="2">
        <f>Comuni__2[[#This Row],[Popolazione2011]]/$D$7911</f>
        <v>2.8473786370907722E-5</v>
      </c>
      <c r="F7293">
        <f>SUMIFS($D$2:$D$7909, $B$2:$B$7909, "Valle D'Aosta/Vallée D'Aoste")</f>
        <v>126806</v>
      </c>
      <c r="G7293" s="1">
        <f>Comuni__2[[#This Row],[Popolazione2011]]/Comuni__2[[#This Row],[POPOLAZIONE TOTALE DI OGNI REGIONE (CON FILTRO)]]</f>
        <v>1.3343217197924388E-2</v>
      </c>
      <c r="H7293" t="str">
        <f>IF(Comuni__2[[#This Row],[Popolazione2011]]&gt;300000,"MAGGIORE","")</f>
        <v/>
      </c>
    </row>
    <row r="7294" spans="1:8" x14ac:dyDescent="0.2">
      <c r="A7294"/>
      <c r="B7294"/>
      <c r="C7294"/>
      <c r="D7294"/>
      <c r="E7294" s="2">
        <f>Comuni__2[[#This Row],[Popolazione2011]]/$D$7911</f>
        <v>2.5764401261146407E-5</v>
      </c>
      <c r="F7294">
        <f>SUMIFS($D$2:$D$7909, $B$2:$B$7909, "Valle D'Aosta/Vallée D'Aoste")</f>
        <v>126806</v>
      </c>
      <c r="G7294" s="1">
        <f>Comuni__2[[#This Row],[Popolazione2011]]/Comuni__2[[#This Row],[POPOLAZIONE TOTALE DI OGNI REGIONE (CON FILTRO)]]</f>
        <v>1.2073561187956406E-2</v>
      </c>
      <c r="H7294" t="str">
        <f>IF(Comuni__2[[#This Row],[Popolazione2011]]&gt;300000,"MAGGIORE","")</f>
        <v/>
      </c>
    </row>
    <row r="7295" spans="1:8" x14ac:dyDescent="0.2">
      <c r="A7295"/>
      <c r="B7295"/>
      <c r="C7295"/>
      <c r="D7295"/>
      <c r="E7295" s="2">
        <f>Comuni__2[[#This Row],[Popolazione2011]]/$D$7911</f>
        <v>2.4451779903622291E-5</v>
      </c>
      <c r="F7295">
        <f>SUMIFS($D$2:$D$7909, $B$2:$B$7909, "Valle D'Aosta/Vallée D'Aoste")</f>
        <v>126806</v>
      </c>
      <c r="G7295" s="1">
        <f>Comuni__2[[#This Row],[Popolazione2011]]/Comuni__2[[#This Row],[POPOLAZIONE TOTALE DI OGNI REGIONE (CON FILTRO)]]</f>
        <v>1.14584483384067E-2</v>
      </c>
      <c r="H7295" t="str">
        <f>IF(Comuni__2[[#This Row],[Popolazione2011]]&gt;300000,"MAGGIORE","")</f>
        <v/>
      </c>
    </row>
    <row r="7296" spans="1:8" x14ac:dyDescent="0.2">
      <c r="A7296"/>
      <c r="B7296"/>
      <c r="C7296"/>
      <c r="D7296"/>
      <c r="E7296" s="2">
        <f>Comuni__2[[#This Row],[Popolazione2011]]/$D$7911</f>
        <v>2.3492556603893131E-5</v>
      </c>
      <c r="F7296">
        <f>SUMIFS($D$2:$D$7909, $B$2:$B$7909, "Valle D'Aosta/Vallée D'Aoste")</f>
        <v>126806</v>
      </c>
      <c r="G7296" s="1">
        <f>Comuni__2[[#This Row],[Popolazione2011]]/Comuni__2[[#This Row],[POPOLAZIONE TOTALE DI OGNI REGIONE (CON FILTRO)]]</f>
        <v>1.1008942794504992E-2</v>
      </c>
      <c r="H7296" t="str">
        <f>IF(Comuni__2[[#This Row],[Popolazione2011]]&gt;300000,"MAGGIORE","")</f>
        <v/>
      </c>
    </row>
    <row r="7297" spans="1:8" x14ac:dyDescent="0.2">
      <c r="A7297"/>
      <c r="B7297"/>
      <c r="C7297"/>
      <c r="D7297"/>
      <c r="E7297" s="2">
        <f>Comuni__2[[#This Row],[Popolazione2011]]/$D$7911</f>
        <v>2.2869902883016308E-5</v>
      </c>
      <c r="F7297">
        <f>SUMIFS($D$2:$D$7909, $B$2:$B$7909, "Valle D'Aosta/Vallée D'Aoste")</f>
        <v>126806</v>
      </c>
      <c r="G7297" s="1">
        <f>Comuni__2[[#This Row],[Popolazione2011]]/Comuni__2[[#This Row],[POPOLAZIONE TOTALE DI OGNI REGIONE (CON FILTRO)]]</f>
        <v>1.0717158494077568E-2</v>
      </c>
      <c r="H7297" t="str">
        <f>IF(Comuni__2[[#This Row],[Popolazione2011]]&gt;300000,"MAGGIORE","")</f>
        <v/>
      </c>
    </row>
    <row r="7298" spans="1:8" x14ac:dyDescent="0.2">
      <c r="A7298"/>
      <c r="B7298"/>
      <c r="C7298"/>
      <c r="D7298"/>
      <c r="E7298" s="2">
        <f>Comuni__2[[#This Row],[Popolazione2011]]/$D$7911</f>
        <v>2.2617475698877056E-5</v>
      </c>
      <c r="F7298">
        <f>SUMIFS($D$2:$D$7909, $B$2:$B$7909, "Valle D'Aosta/Vallée D'Aoste")</f>
        <v>126806</v>
      </c>
      <c r="G7298" s="1">
        <f>Comuni__2[[#This Row],[Popolazione2011]]/Comuni__2[[#This Row],[POPOLAZIONE TOTALE DI OGNI REGIONE (CON FILTRO)]]</f>
        <v>1.0598867561471855E-2</v>
      </c>
      <c r="H7298" t="str">
        <f>IF(Comuni__2[[#This Row],[Popolazione2011]]&gt;300000,"MAGGIORE","")</f>
        <v/>
      </c>
    </row>
    <row r="7299" spans="1:8" x14ac:dyDescent="0.2">
      <c r="A7299"/>
      <c r="B7299"/>
      <c r="C7299"/>
      <c r="D7299"/>
      <c r="E7299" s="2">
        <f>Comuni__2[[#This Row],[Popolazione2011]]/$D$7911</f>
        <v>2.1776051751746212E-5</v>
      </c>
      <c r="F7299">
        <f>SUMIFS($D$2:$D$7909, $B$2:$B$7909, "Valle D'Aosta/Vallée D'Aoste")</f>
        <v>126806</v>
      </c>
      <c r="G7299" s="1">
        <f>Comuni__2[[#This Row],[Popolazione2011]]/Comuni__2[[#This Row],[POPOLAZIONE TOTALE DI OGNI REGIONE (CON FILTRO)]]</f>
        <v>1.0204564452786146E-2</v>
      </c>
      <c r="H7299" t="str">
        <f>IF(Comuni__2[[#This Row],[Popolazione2011]]&gt;300000,"MAGGIORE","")</f>
        <v/>
      </c>
    </row>
    <row r="7300" spans="1:8" x14ac:dyDescent="0.2">
      <c r="A7300"/>
      <c r="B7300"/>
      <c r="C7300"/>
      <c r="D7300"/>
      <c r="E7300" s="2">
        <f>Comuni__2[[#This Row],[Popolazione2011]]/$D$7911</f>
        <v>2.1456310651836492E-5</v>
      </c>
      <c r="F7300">
        <f>SUMIFS($D$2:$D$7909, $B$2:$B$7909, "Valle D'Aosta/Vallée D'Aoste")</f>
        <v>126806</v>
      </c>
      <c r="G7300" s="1">
        <f>Comuni__2[[#This Row],[Popolazione2011]]/Comuni__2[[#This Row],[POPOLAZIONE TOTALE DI OGNI REGIONE (CON FILTRO)]]</f>
        <v>1.0054729271485577E-2</v>
      </c>
      <c r="H7300" t="str">
        <f>IF(Comuni__2[[#This Row],[Popolazione2011]]&gt;300000,"MAGGIORE","")</f>
        <v/>
      </c>
    </row>
    <row r="7301" spans="1:8" x14ac:dyDescent="0.2">
      <c r="A7301"/>
      <c r="B7301"/>
      <c r="C7301"/>
      <c r="D7301"/>
      <c r="E7301" s="2">
        <f>Comuni__2[[#This Row],[Popolazione2011]]/$D$7911</f>
        <v>2.0799999973074433E-5</v>
      </c>
      <c r="F7301">
        <f>SUMIFS($D$2:$D$7909, $B$2:$B$7909, "Valle D'Aosta/Vallée D'Aoste")</f>
        <v>126806</v>
      </c>
      <c r="G7301" s="1">
        <f>Comuni__2[[#This Row],[Popolazione2011]]/Comuni__2[[#This Row],[POPOLAZIONE TOTALE DI OGNI REGIONE (CON FILTRO)]]</f>
        <v>9.7471728467107242E-3</v>
      </c>
      <c r="H7301" t="str">
        <f>IF(Comuni__2[[#This Row],[Popolazione2011]]&gt;300000,"MAGGIORE","")</f>
        <v/>
      </c>
    </row>
    <row r="7302" spans="1:8" x14ac:dyDescent="0.2">
      <c r="A7302"/>
      <c r="B7302"/>
      <c r="C7302"/>
      <c r="D7302"/>
      <c r="E7302" s="2">
        <f>Comuni__2[[#This Row],[Popolazione2011]]/$D$7911</f>
        <v>1.9773462757574805E-5</v>
      </c>
      <c r="F7302">
        <f>SUMIFS($D$2:$D$7909, $B$2:$B$7909, "Valle D'Aosta/Vallée D'Aoste")</f>
        <v>126806</v>
      </c>
      <c r="G7302" s="1">
        <f>Comuni__2[[#This Row],[Popolazione2011]]/Comuni__2[[#This Row],[POPOLAZIONE TOTALE DI OGNI REGIONE (CON FILTRO)]]</f>
        <v>9.2661230541141587E-3</v>
      </c>
      <c r="H7302" t="str">
        <f>IF(Comuni__2[[#This Row],[Popolazione2011]]&gt;300000,"MAGGIORE","")</f>
        <v/>
      </c>
    </row>
    <row r="7303" spans="1:8" x14ac:dyDescent="0.2">
      <c r="A7303"/>
      <c r="B7303"/>
      <c r="C7303"/>
      <c r="D7303"/>
      <c r="E7303" s="2">
        <f>Comuni__2[[#This Row],[Popolazione2011]]/$D$7911</f>
        <v>1.7535275058206762E-5</v>
      </c>
      <c r="F7303">
        <f>SUMIFS($D$2:$D$7909, $B$2:$B$7909, "Valle D'Aosta/Vallée D'Aoste")</f>
        <v>126806</v>
      </c>
      <c r="G7303" s="1">
        <f>Comuni__2[[#This Row],[Popolazione2011]]/Comuni__2[[#This Row],[POPOLAZIONE TOTALE DI OGNI REGIONE (CON FILTRO)]]</f>
        <v>8.2172767850101722E-3</v>
      </c>
      <c r="H7303" t="str">
        <f>IF(Comuni__2[[#This Row],[Popolazione2011]]&gt;300000,"MAGGIORE","")</f>
        <v/>
      </c>
    </row>
    <row r="7304" spans="1:8" x14ac:dyDescent="0.2">
      <c r="A7304"/>
      <c r="B7304"/>
      <c r="C7304"/>
      <c r="D7304"/>
      <c r="E7304" s="2">
        <f>Comuni__2[[#This Row],[Popolazione2011]]/$D$7911</f>
        <v>1.7030420689928258E-5</v>
      </c>
      <c r="F7304">
        <f>SUMIFS($D$2:$D$7909, $B$2:$B$7909, "Valle D'Aosta/Vallée D'Aoste")</f>
        <v>126806</v>
      </c>
      <c r="G7304" s="1">
        <f>Comuni__2[[#This Row],[Popolazione2011]]/Comuni__2[[#This Row],[POPOLAZIONE TOTALE DI OGNI REGIONE (CON FILTRO)]]</f>
        <v>7.9806949197987476E-3</v>
      </c>
      <c r="H7304" t="str">
        <f>IF(Comuni__2[[#This Row],[Popolazione2011]]&gt;300000,"MAGGIORE","")</f>
        <v/>
      </c>
    </row>
    <row r="7305" spans="1:8" x14ac:dyDescent="0.2">
      <c r="A7305"/>
      <c r="B7305"/>
      <c r="C7305"/>
      <c r="D7305"/>
      <c r="E7305" s="2">
        <f>Comuni__2[[#This Row],[Popolazione2011]]/$D$7911</f>
        <v>1.654239480059237E-5</v>
      </c>
      <c r="F7305">
        <f>SUMIFS($D$2:$D$7909, $B$2:$B$7909, "Valle D'Aosta/Vallée D'Aoste")</f>
        <v>126806</v>
      </c>
      <c r="G7305" s="1">
        <f>Comuni__2[[#This Row],[Popolazione2011]]/Comuni__2[[#This Row],[POPOLAZIONE TOTALE DI OGNI REGIONE (CON FILTRO)]]</f>
        <v>7.7519991167610365E-3</v>
      </c>
      <c r="H7305" t="str">
        <f>IF(Comuni__2[[#This Row],[Popolazione2011]]&gt;300000,"MAGGIORE","")</f>
        <v/>
      </c>
    </row>
    <row r="7306" spans="1:8" x14ac:dyDescent="0.2">
      <c r="A7306"/>
      <c r="B7306"/>
      <c r="C7306"/>
      <c r="D7306"/>
      <c r="E7306" s="2">
        <f>Comuni__2[[#This Row],[Popolazione2011]]/$D$7911</f>
        <v>1.5801941727117227E-5</v>
      </c>
      <c r="F7306">
        <f>SUMIFS($D$2:$D$7909, $B$2:$B$7909, "Valle D'Aosta/Vallée D'Aoste")</f>
        <v>126806</v>
      </c>
      <c r="G7306" s="1">
        <f>Comuni__2[[#This Row],[Popolazione2011]]/Comuni__2[[#This Row],[POPOLAZIONE TOTALE DI OGNI REGIONE (CON FILTRO)]]</f>
        <v>7.405012381117613E-3</v>
      </c>
      <c r="H7306" t="str">
        <f>IF(Comuni__2[[#This Row],[Popolazione2011]]&gt;300000,"MAGGIORE","")</f>
        <v/>
      </c>
    </row>
    <row r="7307" spans="1:8" x14ac:dyDescent="0.2">
      <c r="A7307"/>
      <c r="B7307"/>
      <c r="C7307"/>
      <c r="D7307"/>
      <c r="E7307" s="2">
        <f>Comuni__2[[#This Row],[Popolazione2011]]/$D$7911</f>
        <v>1.5011003216814235E-5</v>
      </c>
      <c r="F7307">
        <f>SUMIFS($D$2:$D$7909, $B$2:$B$7909, "Valle D'Aosta/Vallée D'Aoste")</f>
        <v>126806</v>
      </c>
      <c r="G7307" s="1">
        <f>Comuni__2[[#This Row],[Popolazione2011]]/Comuni__2[[#This Row],[POPOLAZIONE TOTALE DI OGNI REGIONE (CON FILTRO)]]</f>
        <v>7.0343674589530463E-3</v>
      </c>
      <c r="H7307" t="str">
        <f>IF(Comuni__2[[#This Row],[Popolazione2011]]&gt;300000,"MAGGIORE","")</f>
        <v/>
      </c>
    </row>
    <row r="7308" spans="1:8" x14ac:dyDescent="0.2">
      <c r="A7308"/>
      <c r="B7308"/>
      <c r="C7308"/>
      <c r="D7308"/>
      <c r="E7308" s="2">
        <f>Comuni__2[[#This Row],[Popolazione2011]]/$D$7911</f>
        <v>1.4337864059109561E-5</v>
      </c>
      <c r="F7308">
        <f>SUMIFS($D$2:$D$7909, $B$2:$B$7909, "Valle D'Aosta/Vallée D'Aoste")</f>
        <v>126806</v>
      </c>
      <c r="G7308" s="1">
        <f>Comuni__2[[#This Row],[Popolazione2011]]/Comuni__2[[#This Row],[POPOLAZIONE TOTALE DI OGNI REGIONE (CON FILTRO)]]</f>
        <v>6.7189249720044789E-3</v>
      </c>
      <c r="H7308" t="str">
        <f>IF(Comuni__2[[#This Row],[Popolazione2011]]&gt;300000,"MAGGIORE","")</f>
        <v/>
      </c>
    </row>
    <row r="7309" spans="1:8" x14ac:dyDescent="0.2">
      <c r="A7309"/>
      <c r="B7309"/>
      <c r="C7309"/>
      <c r="D7309"/>
      <c r="E7309" s="2">
        <f>Comuni__2[[#This Row],[Popolazione2011]]/$D$7911</f>
        <v>1.3765695775060587E-5</v>
      </c>
      <c r="F7309">
        <f>SUMIFS($D$2:$D$7909, $B$2:$B$7909, "Valle D'Aosta/Vallée D'Aoste")</f>
        <v>126806</v>
      </c>
      <c r="G7309" s="1">
        <f>Comuni__2[[#This Row],[Popolazione2011]]/Comuni__2[[#This Row],[POPOLAZIONE TOTALE DI OGNI REGIONE (CON FILTRO)]]</f>
        <v>6.4507988580981973E-3</v>
      </c>
      <c r="H7309" t="str">
        <f>IF(Comuni__2[[#This Row],[Popolazione2011]]&gt;300000,"MAGGIORE","")</f>
        <v/>
      </c>
    </row>
    <row r="7310" spans="1:8" x14ac:dyDescent="0.2">
      <c r="A7310"/>
      <c r="B7310"/>
      <c r="C7310"/>
      <c r="D7310"/>
      <c r="E7310" s="2">
        <f>Comuni__2[[#This Row],[Popolazione2011]]/$D$7911</f>
        <v>1.3698381859290121E-5</v>
      </c>
      <c r="F7310">
        <f>SUMIFS($D$2:$D$7909, $B$2:$B$7909, "Valle D'Aosta/Vallée D'Aoste")</f>
        <v>126806</v>
      </c>
      <c r="G7310" s="1">
        <f>Comuni__2[[#This Row],[Popolazione2011]]/Comuni__2[[#This Row],[POPOLAZIONE TOTALE DI OGNI REGIONE (CON FILTRO)]]</f>
        <v>6.4192546094033404E-3</v>
      </c>
      <c r="H7310" t="str">
        <f>IF(Comuni__2[[#This Row],[Popolazione2011]]&gt;300000,"MAGGIORE","")</f>
        <v/>
      </c>
    </row>
    <row r="7311" spans="1:8" x14ac:dyDescent="0.2">
      <c r="A7311"/>
      <c r="B7311"/>
      <c r="C7311"/>
      <c r="D7311"/>
      <c r="E7311" s="2">
        <f>Comuni__2[[#This Row],[Popolazione2011]]/$D$7911</f>
        <v>1.3058899659470679E-5</v>
      </c>
      <c r="F7311">
        <f>SUMIFS($D$2:$D$7909, $B$2:$B$7909, "Valle D'Aosta/Vallée D'Aoste")</f>
        <v>126806</v>
      </c>
      <c r="G7311" s="1">
        <f>Comuni__2[[#This Row],[Popolazione2011]]/Comuni__2[[#This Row],[POPOLAZIONE TOTALE DI OGNI REGIONE (CON FILTRO)]]</f>
        <v>6.1195842468022019E-3</v>
      </c>
      <c r="H7311" t="str">
        <f>IF(Comuni__2[[#This Row],[Popolazione2011]]&gt;300000,"MAGGIORE","")</f>
        <v/>
      </c>
    </row>
    <row r="7312" spans="1:8" x14ac:dyDescent="0.2">
      <c r="A7312"/>
      <c r="B7312"/>
      <c r="C7312"/>
      <c r="D7312"/>
      <c r="E7312" s="2">
        <f>Comuni__2[[#This Row],[Popolazione2011]]/$D$7911</f>
        <v>1.2755987038503577E-5</v>
      </c>
      <c r="F7312">
        <f>SUMIFS($D$2:$D$7909, $B$2:$B$7909, "Valle D'Aosta/Vallée D'Aoste")</f>
        <v>126806</v>
      </c>
      <c r="G7312" s="1">
        <f>Comuni__2[[#This Row],[Popolazione2011]]/Comuni__2[[#This Row],[POPOLAZIONE TOTALE DI OGNI REGIONE (CON FILTRO)]]</f>
        <v>5.9776351276753462E-3</v>
      </c>
      <c r="H7312" t="str">
        <f>IF(Comuni__2[[#This Row],[Popolazione2011]]&gt;300000,"MAGGIORE","")</f>
        <v/>
      </c>
    </row>
    <row r="7313" spans="1:8" x14ac:dyDescent="0.2">
      <c r="A7313"/>
      <c r="B7313"/>
      <c r="C7313"/>
      <c r="D7313"/>
      <c r="E7313" s="2">
        <f>Comuni__2[[#This Row],[Popolazione2011]]/$D$7911</f>
        <v>1.2722330080618343E-5</v>
      </c>
      <c r="F7313">
        <f>SUMIFS($D$2:$D$7909, $B$2:$B$7909, "Valle D'Aosta/Vallée D'Aoste")</f>
        <v>126806</v>
      </c>
      <c r="G7313" s="1">
        <f>Comuni__2[[#This Row],[Popolazione2011]]/Comuni__2[[#This Row],[POPOLAZIONE TOTALE DI OGNI REGIONE (CON FILTRO)]]</f>
        <v>5.9618630033279182E-3</v>
      </c>
      <c r="H7313" t="str">
        <f>IF(Comuni__2[[#This Row],[Popolazione2011]]&gt;300000,"MAGGIORE","")</f>
        <v/>
      </c>
    </row>
    <row r="7314" spans="1:8" x14ac:dyDescent="0.2">
      <c r="A7314"/>
      <c r="B7314"/>
      <c r="C7314"/>
      <c r="D7314"/>
      <c r="E7314" s="2">
        <f>Comuni__2[[#This Row],[Popolazione2011]]/$D$7911</f>
        <v>1.1813592217717032E-5</v>
      </c>
      <c r="F7314">
        <f>SUMIFS($D$2:$D$7909, $B$2:$B$7909, "Valle D'Aosta/Vallée D'Aoste")</f>
        <v>126806</v>
      </c>
      <c r="G7314" s="1">
        <f>Comuni__2[[#This Row],[Popolazione2011]]/Comuni__2[[#This Row],[POPOLAZIONE TOTALE DI OGNI REGIONE (CON FILTRO)]]</f>
        <v>5.5360156459473529E-3</v>
      </c>
      <c r="H7314" t="str">
        <f>IF(Comuni__2[[#This Row],[Popolazione2011]]&gt;300000,"MAGGIORE","")</f>
        <v/>
      </c>
    </row>
    <row r="7315" spans="1:8" x14ac:dyDescent="0.2">
      <c r="A7315"/>
      <c r="B7315"/>
      <c r="C7315"/>
      <c r="D7315"/>
      <c r="E7315" s="2">
        <f>Comuni__2[[#This Row],[Popolazione2011]]/$D$7911</f>
        <v>1.102265370741404E-5</v>
      </c>
      <c r="F7315">
        <f>SUMIFS($D$2:$D$7909, $B$2:$B$7909, "Valle D'Aosta/Vallée D'Aoste")</f>
        <v>126806</v>
      </c>
      <c r="G7315" s="1">
        <f>Comuni__2[[#This Row],[Popolazione2011]]/Comuni__2[[#This Row],[POPOLAZIONE TOTALE DI OGNI REGIONE (CON FILTRO)]]</f>
        <v>5.1653707237827862E-3</v>
      </c>
      <c r="H7315" t="str">
        <f>IF(Comuni__2[[#This Row],[Popolazione2011]]&gt;300000,"MAGGIORE","")</f>
        <v/>
      </c>
    </row>
    <row r="7316" spans="1:8" x14ac:dyDescent="0.2">
      <c r="A7316"/>
      <c r="B7316"/>
      <c r="C7316"/>
      <c r="D7316"/>
      <c r="E7316" s="2">
        <f>Comuni__2[[#This Row],[Popolazione2011]]/$D$7911</f>
        <v>1.0635598691733852E-5</v>
      </c>
      <c r="F7316">
        <f>SUMIFS($D$2:$D$7909, $B$2:$B$7909, "Valle D'Aosta/Vallée D'Aoste")</f>
        <v>126806</v>
      </c>
      <c r="G7316" s="1">
        <f>Comuni__2[[#This Row],[Popolazione2011]]/Comuni__2[[#This Row],[POPOLAZIONE TOTALE DI OGNI REGIONE (CON FILTRO)]]</f>
        <v>4.98399129378736E-3</v>
      </c>
      <c r="H7316" t="str">
        <f>IF(Comuni__2[[#This Row],[Popolazione2011]]&gt;300000,"MAGGIORE","")</f>
        <v/>
      </c>
    </row>
    <row r="7317" spans="1:8" x14ac:dyDescent="0.2">
      <c r="A7317"/>
      <c r="B7317"/>
      <c r="C7317"/>
      <c r="D7317"/>
      <c r="E7317" s="2">
        <f>Comuni__2[[#This Row],[Popolazione2011]]/$D$7911</f>
        <v>1.0534627818078152E-5</v>
      </c>
      <c r="F7317">
        <f>SUMIFS($D$2:$D$7909, $B$2:$B$7909, "Valle D'Aosta/Vallée D'Aoste")</f>
        <v>126806</v>
      </c>
      <c r="G7317" s="1">
        <f>Comuni__2[[#This Row],[Popolazione2011]]/Comuni__2[[#This Row],[POPOLAZIONE TOTALE DI OGNI REGIONE (CON FILTRO)]]</f>
        <v>4.9366749207450751E-3</v>
      </c>
      <c r="H7317" t="str">
        <f>IF(Comuni__2[[#This Row],[Popolazione2011]]&gt;300000,"MAGGIORE","")</f>
        <v/>
      </c>
    </row>
    <row r="7318" spans="1:8" x14ac:dyDescent="0.2">
      <c r="A7318"/>
      <c r="B7318"/>
      <c r="C7318"/>
      <c r="D7318"/>
      <c r="E7318" s="2">
        <f>Comuni__2[[#This Row],[Popolazione2011]]/$D$7911</f>
        <v>1.0282200633938898E-5</v>
      </c>
      <c r="F7318">
        <f>SUMIFS($D$2:$D$7909, $B$2:$B$7909, "Valle D'Aosta/Vallée D'Aoste")</f>
        <v>126806</v>
      </c>
      <c r="G7318" s="1">
        <f>Comuni__2[[#This Row],[Popolazione2011]]/Comuni__2[[#This Row],[POPOLAZIONE TOTALE DI OGNI REGIONE (CON FILTRO)]]</f>
        <v>4.8183839881393627E-3</v>
      </c>
      <c r="H7318" t="str">
        <f>IF(Comuni__2[[#This Row],[Popolazione2011]]&gt;300000,"MAGGIORE","")</f>
        <v/>
      </c>
    </row>
    <row r="7319" spans="1:8" x14ac:dyDescent="0.2">
      <c r="A7319"/>
      <c r="B7319"/>
      <c r="C7319"/>
      <c r="D7319"/>
      <c r="E7319" s="2">
        <f>Comuni__2[[#This Row],[Popolazione2011]]/$D$7911</f>
        <v>8.7003236133329148E-6</v>
      </c>
      <c r="F7319">
        <f>SUMIFS($D$2:$D$7909, $B$2:$B$7909, "Valle D'Aosta/Vallée D'Aoste")</f>
        <v>126806</v>
      </c>
      <c r="G7319" s="1">
        <f>Comuni__2[[#This Row],[Popolazione2011]]/Comuni__2[[#This Row],[POPOLAZIONE TOTALE DI OGNI REGIONE (CON FILTRO)]]</f>
        <v>4.0770941438102301E-3</v>
      </c>
      <c r="H7319" t="str">
        <f>IF(Comuni__2[[#This Row],[Popolazione2011]]&gt;300000,"MAGGIORE","")</f>
        <v/>
      </c>
    </row>
    <row r="7320" spans="1:8" x14ac:dyDescent="0.2">
      <c r="A7320"/>
      <c r="B7320"/>
      <c r="C7320"/>
      <c r="D7320"/>
      <c r="E7320" s="2">
        <f>Comuni__2[[#This Row],[Popolazione2011]]/$D$7911</f>
        <v>8.3469255555379609E-6</v>
      </c>
      <c r="F7320">
        <f>SUMIFS($D$2:$D$7909, $B$2:$B$7909, "Valle D'Aosta/Vallée D'Aoste")</f>
        <v>126806</v>
      </c>
      <c r="G7320" s="1">
        <f>Comuni__2[[#This Row],[Popolazione2011]]/Comuni__2[[#This Row],[POPOLAZIONE TOTALE DI OGNI REGIONE (CON FILTRO)]]</f>
        <v>3.9114868381622319E-3</v>
      </c>
      <c r="H7320" t="str">
        <f>IF(Comuni__2[[#This Row],[Popolazione2011]]&gt;300000,"MAGGIORE","")</f>
        <v/>
      </c>
    </row>
    <row r="7321" spans="1:8" x14ac:dyDescent="0.2">
      <c r="A7321"/>
      <c r="B7321"/>
      <c r="C7321"/>
      <c r="D7321"/>
      <c r="E7321" s="2">
        <f>Comuni__2[[#This Row],[Popolazione2011]]/$D$7911</f>
        <v>8.195469245054409E-6</v>
      </c>
      <c r="F7321">
        <f>SUMIFS($D$2:$D$7909, $B$2:$B$7909, "Valle D'Aosta/Vallée D'Aoste")</f>
        <v>126806</v>
      </c>
      <c r="G7321" s="1">
        <f>Comuni__2[[#This Row],[Popolazione2011]]/Comuni__2[[#This Row],[POPOLAZIONE TOTALE DI OGNI REGIONE (CON FILTRO)]]</f>
        <v>3.8405122785988045E-3</v>
      </c>
      <c r="H7321" t="str">
        <f>IF(Comuni__2[[#This Row],[Popolazione2011]]&gt;300000,"MAGGIORE","")</f>
        <v/>
      </c>
    </row>
    <row r="7322" spans="1:8" x14ac:dyDescent="0.2">
      <c r="A7322"/>
      <c r="B7322"/>
      <c r="C7322"/>
      <c r="D7322"/>
      <c r="E7322" s="2">
        <f>Comuni__2[[#This Row],[Popolazione2011]]/$D$7911</f>
        <v>8.027184455628241E-6</v>
      </c>
      <c r="F7322">
        <f>SUMIFS($D$2:$D$7909, $B$2:$B$7909, "Valle D'Aosta/Vallée D'Aoste")</f>
        <v>126806</v>
      </c>
      <c r="G7322" s="1">
        <f>Comuni__2[[#This Row],[Popolazione2011]]/Comuni__2[[#This Row],[POPOLAZIONE TOTALE DI OGNI REGIONE (CON FILTRO)]]</f>
        <v>3.7616516568616627E-3</v>
      </c>
      <c r="H7322" t="str">
        <f>IF(Comuni__2[[#This Row],[Popolazione2011]]&gt;300000,"MAGGIORE","")</f>
        <v/>
      </c>
    </row>
    <row r="7323" spans="1:8" x14ac:dyDescent="0.2">
      <c r="A7323"/>
      <c r="B7323"/>
      <c r="C7323"/>
      <c r="D7323"/>
      <c r="E7323" s="2">
        <f>Comuni__2[[#This Row],[Popolazione2011]]/$D$7911</f>
        <v>7.8252427083168373E-6</v>
      </c>
      <c r="F7323">
        <f>SUMIFS($D$2:$D$7909, $B$2:$B$7909, "Valle D'Aosta/Vallée D'Aoste")</f>
        <v>126806</v>
      </c>
      <c r="G7323" s="1">
        <f>Comuni__2[[#This Row],[Popolazione2011]]/Comuni__2[[#This Row],[POPOLAZIONE TOTALE DI OGNI REGIONE (CON FILTRO)]]</f>
        <v>3.6670189107770924E-3</v>
      </c>
      <c r="H7323" t="str">
        <f>IF(Comuni__2[[#This Row],[Popolazione2011]]&gt;300000,"MAGGIORE","")</f>
        <v/>
      </c>
    </row>
    <row r="7324" spans="1:8" x14ac:dyDescent="0.2">
      <c r="A7324"/>
      <c r="B7324"/>
      <c r="C7324"/>
      <c r="D7324"/>
      <c r="E7324" s="2">
        <f>Comuni__2[[#This Row],[Popolazione2011]]/$D$7911</f>
        <v>7.6233009610054353E-6</v>
      </c>
      <c r="F7324">
        <f>SUMIFS($D$2:$D$7909, $B$2:$B$7909, "Valle D'Aosta/Vallée D'Aoste")</f>
        <v>126806</v>
      </c>
      <c r="G7324" s="1">
        <f>Comuni__2[[#This Row],[Popolazione2011]]/Comuni__2[[#This Row],[POPOLAZIONE TOTALE DI OGNI REGIONE (CON FILTRO)]]</f>
        <v>3.5723861646925225E-3</v>
      </c>
      <c r="H7324" t="str">
        <f>IF(Comuni__2[[#This Row],[Popolazione2011]]&gt;300000,"MAGGIORE","")</f>
        <v/>
      </c>
    </row>
    <row r="7325" spans="1:8" x14ac:dyDescent="0.2">
      <c r="A7325"/>
      <c r="B7325"/>
      <c r="C7325"/>
      <c r="D7325"/>
      <c r="E7325" s="2">
        <f>Comuni__2[[#This Row],[Popolazione2011]]/$D$7911</f>
        <v>7.5559870452349683E-6</v>
      </c>
      <c r="F7325">
        <f>SUMIFS($D$2:$D$7909, $B$2:$B$7909, "Valle D'Aosta/Vallée D'Aoste")</f>
        <v>126806</v>
      </c>
      <c r="G7325" s="1">
        <f>Comuni__2[[#This Row],[Popolazione2011]]/Comuni__2[[#This Row],[POPOLAZIONE TOTALE DI OGNI REGIONE (CON FILTRO)]]</f>
        <v>3.5408419159976656E-3</v>
      </c>
      <c r="H7325" t="str">
        <f>IF(Comuni__2[[#This Row],[Popolazione2011]]&gt;300000,"MAGGIORE","")</f>
        <v/>
      </c>
    </row>
    <row r="7326" spans="1:8" x14ac:dyDescent="0.2">
      <c r="A7326"/>
      <c r="B7326"/>
      <c r="C7326"/>
      <c r="D7326"/>
      <c r="E7326" s="2">
        <f>Comuni__2[[#This Row],[Popolazione2011]]/$D$7911</f>
        <v>7.1016181137843134E-6</v>
      </c>
      <c r="F7326">
        <f>SUMIFS($D$2:$D$7909, $B$2:$B$7909, "Valle D'Aosta/Vallée D'Aoste")</f>
        <v>126806</v>
      </c>
      <c r="G7326" s="1">
        <f>Comuni__2[[#This Row],[Popolazione2011]]/Comuni__2[[#This Row],[POPOLAZIONE TOTALE DI OGNI REGIONE (CON FILTRO)]]</f>
        <v>3.327918237307383E-3</v>
      </c>
      <c r="H7326" t="str">
        <f>IF(Comuni__2[[#This Row],[Popolazione2011]]&gt;300000,"MAGGIORE","")</f>
        <v/>
      </c>
    </row>
    <row r="7327" spans="1:8" x14ac:dyDescent="0.2">
      <c r="A7327"/>
      <c r="B7327"/>
      <c r="C7327"/>
      <c r="D7327"/>
      <c r="E7327" s="2">
        <f>Comuni__2[[#This Row],[Popolazione2011]]/$D$7911</f>
        <v>6.6977346191615086E-6</v>
      </c>
      <c r="F7327">
        <f>SUMIFS($D$2:$D$7909, $B$2:$B$7909, "Valle D'Aosta/Vallée D'Aoste")</f>
        <v>126806</v>
      </c>
      <c r="G7327" s="1">
        <f>Comuni__2[[#This Row],[Popolazione2011]]/Comuni__2[[#This Row],[POPOLAZIONE TOTALE DI OGNI REGIONE (CON FILTRO)]]</f>
        <v>3.1386527451382428E-3</v>
      </c>
      <c r="H7327" t="str">
        <f>IF(Comuni__2[[#This Row],[Popolazione2011]]&gt;300000,"MAGGIORE","")</f>
        <v/>
      </c>
    </row>
    <row r="7328" spans="1:8" x14ac:dyDescent="0.2">
      <c r="A7328"/>
      <c r="B7328"/>
      <c r="C7328"/>
      <c r="D7328"/>
      <c r="E7328" s="2">
        <f>Comuni__2[[#This Row],[Popolazione2011]]/$D$7911</f>
        <v>6.4284789560796387E-6</v>
      </c>
      <c r="F7328">
        <f>SUMIFS($D$2:$D$7909, $B$2:$B$7909, "Valle D'Aosta/Vallée D'Aoste")</f>
        <v>126806</v>
      </c>
      <c r="G7328" s="1">
        <f>Comuni__2[[#This Row],[Popolazione2011]]/Comuni__2[[#This Row],[POPOLAZIONE TOTALE DI OGNI REGIONE (CON FILTRO)]]</f>
        <v>3.012475750358816E-3</v>
      </c>
      <c r="H7328" t="str">
        <f>IF(Comuni__2[[#This Row],[Popolazione2011]]&gt;300000,"MAGGIORE","")</f>
        <v/>
      </c>
    </row>
    <row r="7329" spans="1:8" x14ac:dyDescent="0.2">
      <c r="A7329"/>
      <c r="B7329"/>
      <c r="C7329"/>
      <c r="D7329"/>
      <c r="E7329" s="2">
        <f>Comuni__2[[#This Row],[Popolazione2011]]/$D$7911</f>
        <v>6.1760517719403858E-6</v>
      </c>
      <c r="F7329">
        <f>SUMIFS($D$2:$D$7909, $B$2:$B$7909, "Valle D'Aosta/Vallée D'Aoste")</f>
        <v>126806</v>
      </c>
      <c r="G7329" s="1">
        <f>Comuni__2[[#This Row],[Popolazione2011]]/Comuni__2[[#This Row],[POPOLAZIONE TOTALE DI OGNI REGIONE (CON FILTRO)]]</f>
        <v>2.8941848177531032E-3</v>
      </c>
      <c r="H7329" t="str">
        <f>IF(Comuni__2[[#This Row],[Popolazione2011]]&gt;300000,"MAGGIORE","")</f>
        <v/>
      </c>
    </row>
    <row r="7330" spans="1:8" x14ac:dyDescent="0.2">
      <c r="A7330"/>
      <c r="B7330"/>
      <c r="C7330"/>
      <c r="D7330"/>
      <c r="E7330" s="2">
        <f>Comuni__2[[#This Row],[Popolazione2011]]/$D$7911</f>
        <v>5.8563106720306659E-6</v>
      </c>
      <c r="F7330">
        <f>SUMIFS($D$2:$D$7909, $B$2:$B$7909, "Valle D'Aosta/Vallée D'Aoste")</f>
        <v>126806</v>
      </c>
      <c r="G7330" s="1">
        <f>Comuni__2[[#This Row],[Popolazione2011]]/Comuni__2[[#This Row],[POPOLAZIONE TOTALE DI OGNI REGIONE (CON FILTRO)]]</f>
        <v>2.744349636452534E-3</v>
      </c>
      <c r="H7330" t="str">
        <f>IF(Comuni__2[[#This Row],[Popolazione2011]]&gt;300000,"MAGGIORE","")</f>
        <v/>
      </c>
    </row>
    <row r="7331" spans="1:8" x14ac:dyDescent="0.2">
      <c r="A7331"/>
      <c r="B7331"/>
      <c r="C7331"/>
      <c r="D7331"/>
      <c r="E7331" s="2">
        <f>Comuni__2[[#This Row],[Popolazione2011]]/$D$7911</f>
        <v>5.3009708669243092E-6</v>
      </c>
      <c r="F7331">
        <f>SUMIFS($D$2:$D$7909, $B$2:$B$7909, "Valle D'Aosta/Vallée D'Aoste")</f>
        <v>126806</v>
      </c>
      <c r="G7331" s="1">
        <f>Comuni__2[[#This Row],[Popolazione2011]]/Comuni__2[[#This Row],[POPOLAZIONE TOTALE DI OGNI REGIONE (CON FILTRO)]]</f>
        <v>2.484109584719966E-3</v>
      </c>
      <c r="H7331" t="str">
        <f>IF(Comuni__2[[#This Row],[Popolazione2011]]&gt;300000,"MAGGIORE","")</f>
        <v/>
      </c>
    </row>
    <row r="7332" spans="1:8" x14ac:dyDescent="0.2">
      <c r="A7332"/>
      <c r="B7332"/>
      <c r="C7332"/>
      <c r="D7332"/>
      <c r="E7332" s="2">
        <f>Comuni__2[[#This Row],[Popolazione2011]]/$D$7911</f>
        <v>5.2336569511538421E-6</v>
      </c>
      <c r="F7332">
        <f>SUMIFS($D$2:$D$7909, $B$2:$B$7909, "Valle D'Aosta/Vallée D'Aoste")</f>
        <v>126806</v>
      </c>
      <c r="G7332" s="1">
        <f>Comuni__2[[#This Row],[Popolazione2011]]/Comuni__2[[#This Row],[POPOLAZIONE TOTALE DI OGNI REGIONE (CON FILTRO)]]</f>
        <v>2.4525653360251091E-3</v>
      </c>
      <c r="H7332" t="str">
        <f>IF(Comuni__2[[#This Row],[Popolazione2011]]&gt;300000,"MAGGIORE","")</f>
        <v/>
      </c>
    </row>
    <row r="7333" spans="1:8" x14ac:dyDescent="0.2">
      <c r="A7333"/>
      <c r="B7333"/>
      <c r="C7333"/>
      <c r="D7333"/>
      <c r="E7333" s="2">
        <f>Comuni__2[[#This Row],[Popolazione2011]]/$D$7911</f>
        <v>4.1734627777689805E-6</v>
      </c>
      <c r="F7333">
        <f>SUMIFS($D$2:$D$7909, $B$2:$B$7909, "Valle D'Aosta/Vallée D'Aoste")</f>
        <v>126806</v>
      </c>
      <c r="G7333" s="1">
        <f>Comuni__2[[#This Row],[Popolazione2011]]/Comuni__2[[#This Row],[POPOLAZIONE TOTALE DI OGNI REGIONE (CON FILTRO)]]</f>
        <v>1.955743419081116E-3</v>
      </c>
      <c r="H7333" t="str">
        <f>IF(Comuni__2[[#This Row],[Popolazione2011]]&gt;300000,"MAGGIORE","")</f>
        <v/>
      </c>
    </row>
    <row r="7334" spans="1:8" x14ac:dyDescent="0.2">
      <c r="A7334"/>
      <c r="B7334"/>
      <c r="C7334"/>
      <c r="D7334"/>
      <c r="E7334" s="2">
        <f>Comuni__2[[#This Row],[Popolazione2011]]/$D$7911</f>
        <v>3.9378640725723445E-6</v>
      </c>
      <c r="F7334">
        <f>SUMIFS($D$2:$D$7909, $B$2:$B$7909, "Valle D'Aosta/Vallée D'Aoste")</f>
        <v>126806</v>
      </c>
      <c r="G7334" s="1">
        <f>Comuni__2[[#This Row],[Popolazione2011]]/Comuni__2[[#This Row],[POPOLAZIONE TOTALE DI OGNI REGIONE (CON FILTRO)]]</f>
        <v>1.8453385486491176E-3</v>
      </c>
      <c r="H7334" t="str">
        <f>IF(Comuni__2[[#This Row],[Popolazione2011]]&gt;300000,"MAGGIORE","")</f>
        <v/>
      </c>
    </row>
    <row r="7335" spans="1:8" x14ac:dyDescent="0.2">
      <c r="A7335"/>
      <c r="B7335"/>
      <c r="C7335"/>
      <c r="D7335"/>
      <c r="E7335" s="2">
        <f>Comuni__2[[#This Row],[Popolazione2011]]/$D$7911</f>
        <v>3.8368931989166427E-6</v>
      </c>
      <c r="F7335">
        <f>SUMIFS($D$2:$D$7909, $B$2:$B$7909, "Valle D'Aosta/Vallée D'Aoste")</f>
        <v>126806</v>
      </c>
      <c r="G7335" s="1">
        <f>Comuni__2[[#This Row],[Popolazione2011]]/Comuni__2[[#This Row],[POPOLAZIONE TOTALE DI OGNI REGIONE (CON FILTRO)]]</f>
        <v>1.7980221756068325E-3</v>
      </c>
      <c r="H7335" t="str">
        <f>IF(Comuni__2[[#This Row],[Popolazione2011]]&gt;300000,"MAGGIORE","")</f>
        <v/>
      </c>
    </row>
    <row r="7336" spans="1:8" x14ac:dyDescent="0.2">
      <c r="A7336"/>
      <c r="B7336"/>
      <c r="C7336"/>
      <c r="D7336"/>
      <c r="E7336" s="2">
        <f>Comuni__2[[#This Row],[Popolazione2011]]/$D$7911</f>
        <v>3.7864077620887926E-6</v>
      </c>
      <c r="F7336">
        <f>SUMIFS($D$2:$D$7909, $B$2:$B$7909, "Valle D'Aosta/Vallée D'Aoste")</f>
        <v>126806</v>
      </c>
      <c r="G7336" s="1">
        <f>Comuni__2[[#This Row],[Popolazione2011]]/Comuni__2[[#This Row],[POPOLAZIONE TOTALE DI OGNI REGIONE (CON FILTRO)]]</f>
        <v>1.77436398908569E-3</v>
      </c>
      <c r="H7336" t="str">
        <f>IF(Comuni__2[[#This Row],[Popolazione2011]]&gt;300000,"MAGGIORE","")</f>
        <v/>
      </c>
    </row>
    <row r="7337" spans="1:8" x14ac:dyDescent="0.2">
      <c r="A7337"/>
      <c r="B7337"/>
      <c r="C7337"/>
      <c r="D7337"/>
      <c r="E7337" s="2">
        <f>Comuni__2[[#This Row],[Popolazione2011]]/$D$7911</f>
        <v>3.6517799305478577E-6</v>
      </c>
      <c r="F7337">
        <f>SUMIFS($D$2:$D$7909, $B$2:$B$7909, "Valle D'Aosta/Vallée D'Aoste")</f>
        <v>126806</v>
      </c>
      <c r="G7337" s="1">
        <f>Comuni__2[[#This Row],[Popolazione2011]]/Comuni__2[[#This Row],[POPOLAZIONE TOTALE DI OGNI REGIONE (CON FILTRO)]]</f>
        <v>1.7112754916959766E-3</v>
      </c>
      <c r="H7337" t="str">
        <f>IF(Comuni__2[[#This Row],[Popolazione2011]]&gt;300000,"MAGGIORE","")</f>
        <v/>
      </c>
    </row>
    <row r="7338" spans="1:8" x14ac:dyDescent="0.2">
      <c r="A7338"/>
      <c r="B7338"/>
      <c r="C7338"/>
      <c r="D7338"/>
      <c r="E7338" s="2">
        <f>Comuni__2[[#This Row],[Popolazione2011]]/$D$7911</f>
        <v>3.3320388306381373E-6</v>
      </c>
      <c r="F7338">
        <f>SUMIFS($D$2:$D$7909, $B$2:$B$7909, "Valle D'Aosta/Vallée D'Aoste")</f>
        <v>126806</v>
      </c>
      <c r="G7338" s="1">
        <f>Comuni__2[[#This Row],[Popolazione2011]]/Comuni__2[[#This Row],[POPOLAZIONE TOTALE DI OGNI REGIONE (CON FILTRO)]]</f>
        <v>1.5614403103954072E-3</v>
      </c>
      <c r="H7338" t="str">
        <f>IF(Comuni__2[[#This Row],[Popolazione2011]]&gt;300000,"MAGGIORE","")</f>
        <v/>
      </c>
    </row>
    <row r="7339" spans="1:8" x14ac:dyDescent="0.2">
      <c r="A7339"/>
      <c r="B7339"/>
      <c r="C7339"/>
      <c r="D7339"/>
      <c r="E7339" s="2">
        <f>Comuni__2[[#This Row],[Popolazione2011]]/$D$7911</f>
        <v>3.2983818727529038E-6</v>
      </c>
      <c r="F7339">
        <f>SUMIFS($D$2:$D$7909, $B$2:$B$7909, "Valle D'Aosta/Vallée D'Aoste")</f>
        <v>126806</v>
      </c>
      <c r="G7339" s="1">
        <f>Comuni__2[[#This Row],[Popolazione2011]]/Comuni__2[[#This Row],[POPOLAZIONE TOTALE DI OGNI REGIONE (CON FILTRO)]]</f>
        <v>1.5456681860479787E-3</v>
      </c>
      <c r="H7339" t="str">
        <f>IF(Comuni__2[[#This Row],[Popolazione2011]]&gt;300000,"MAGGIORE","")</f>
        <v/>
      </c>
    </row>
    <row r="7340" spans="1:8" x14ac:dyDescent="0.2">
      <c r="A7340"/>
      <c r="B7340"/>
      <c r="C7340"/>
      <c r="D7340"/>
      <c r="E7340" s="2">
        <f>Comuni__2[[#This Row],[Popolazione2011]]/$D$7911</f>
        <v>3.2815533938102868E-6</v>
      </c>
      <c r="F7340">
        <f>SUMIFS($D$2:$D$7909, $B$2:$B$7909, "Valle D'Aosta/Vallée D'Aoste")</f>
        <v>126806</v>
      </c>
      <c r="G7340" s="1">
        <f>Comuni__2[[#This Row],[Popolazione2011]]/Comuni__2[[#This Row],[POPOLAZIONE TOTALE DI OGNI REGIONE (CON FILTRO)]]</f>
        <v>1.5377821238742647E-3</v>
      </c>
      <c r="H7340" t="str">
        <f>IF(Comuni__2[[#This Row],[Popolazione2011]]&gt;300000,"MAGGIORE","")</f>
        <v/>
      </c>
    </row>
    <row r="7341" spans="1:8" x14ac:dyDescent="0.2">
      <c r="A7341"/>
      <c r="B7341"/>
      <c r="C7341"/>
      <c r="D7341"/>
      <c r="E7341" s="2">
        <f>Comuni__2[[#This Row],[Popolazione2011]]/$D$7911</f>
        <v>3.1469255622693519E-6</v>
      </c>
      <c r="F7341">
        <f>SUMIFS($D$2:$D$7909, $B$2:$B$7909, "Valle D'Aosta/Vallée D'Aoste")</f>
        <v>126806</v>
      </c>
      <c r="G7341" s="1">
        <f>Comuni__2[[#This Row],[Popolazione2011]]/Comuni__2[[#This Row],[POPOLAZIONE TOTALE DI OGNI REGIONE (CON FILTRO)]]</f>
        <v>1.4746936264845511E-3</v>
      </c>
      <c r="H7341" t="str">
        <f>IF(Comuni__2[[#This Row],[Popolazione2011]]&gt;300000,"MAGGIORE","")</f>
        <v/>
      </c>
    </row>
    <row r="7342" spans="1:8" x14ac:dyDescent="0.2">
      <c r="A7342"/>
      <c r="B7342"/>
      <c r="C7342"/>
      <c r="D7342"/>
      <c r="E7342" s="2">
        <f>Comuni__2[[#This Row],[Popolazione2011]]/$D$7911</f>
        <v>2.6588996729334631E-6</v>
      </c>
      <c r="F7342">
        <f>SUMIFS($D$2:$D$7909, $B$2:$B$7909, "Valle D'Aosta/Vallée D'Aoste")</f>
        <v>126806</v>
      </c>
      <c r="G7342" s="1">
        <f>Comuni__2[[#This Row],[Popolazione2011]]/Comuni__2[[#This Row],[POPOLAZIONE TOTALE DI OGNI REGIONE (CON FILTRO)]]</f>
        <v>1.24599782344684E-3</v>
      </c>
      <c r="H7342" t="str">
        <f>IF(Comuni__2[[#This Row],[Popolazione2011]]&gt;300000,"MAGGIORE","")</f>
        <v/>
      </c>
    </row>
    <row r="7343" spans="1:8" x14ac:dyDescent="0.2">
      <c r="A7343"/>
      <c r="B7343"/>
      <c r="C7343"/>
      <c r="D7343"/>
      <c r="E7343" s="2">
        <f>Comuni__2[[#This Row],[Popolazione2011]]/$D$7911</f>
        <v>2.1035598678271068E-6</v>
      </c>
      <c r="F7343">
        <f>SUMIFS($D$2:$D$7909, $B$2:$B$7909, "Valle D'Aosta/Vallée D'Aoste")</f>
        <v>126806</v>
      </c>
      <c r="G7343" s="1">
        <f>Comuni__2[[#This Row],[Popolazione2011]]/Comuni__2[[#This Row],[POPOLAZIONE TOTALE DI OGNI REGIONE (CON FILTRO)]]</f>
        <v>9.8575777171427221E-4</v>
      </c>
      <c r="H7343" t="str">
        <f>IF(Comuni__2[[#This Row],[Popolazione2011]]&gt;300000,"MAGGIORE","")</f>
        <v/>
      </c>
    </row>
    <row r="7344" spans="1:8" x14ac:dyDescent="0.2">
      <c r="A7344"/>
      <c r="B7344"/>
      <c r="C7344"/>
      <c r="D7344"/>
      <c r="E7344" s="2">
        <f>Comuni__2[[#This Row],[Popolazione2011]]/$D$7911</f>
        <v>1.9184465994583213E-6</v>
      </c>
      <c r="F7344">
        <f>SUMIFS($D$2:$D$7909, $B$2:$B$7909, "Valle D'Aosta/Vallée D'Aoste")</f>
        <v>126806</v>
      </c>
      <c r="G7344" s="1">
        <f>Comuni__2[[#This Row],[Popolazione2011]]/Comuni__2[[#This Row],[POPOLAZIONE TOTALE DI OGNI REGIONE (CON FILTRO)]]</f>
        <v>8.9901108780341625E-4</v>
      </c>
      <c r="H7344" t="str">
        <f>IF(Comuni__2[[#This Row],[Popolazione2011]]&gt;300000,"MAGGIORE","")</f>
        <v/>
      </c>
    </row>
    <row r="7345" spans="1:8" x14ac:dyDescent="0.2">
      <c r="A7345"/>
      <c r="B7345"/>
      <c r="C7345"/>
      <c r="D7345"/>
      <c r="E7345" s="2">
        <f>Comuni__2[[#This Row],[Popolazione2011]]/$D$7911</f>
        <v>1.8679611626304711E-6</v>
      </c>
      <c r="F7345">
        <f>SUMIFS($D$2:$D$7909, $B$2:$B$7909, "Valle D'Aosta/Vallée D'Aoste")</f>
        <v>126806</v>
      </c>
      <c r="G7345" s="1">
        <f>Comuni__2[[#This Row],[Popolazione2011]]/Comuni__2[[#This Row],[POPOLAZIONE TOTALE DI OGNI REGIONE (CON FILTRO)]]</f>
        <v>8.7535290128227367E-4</v>
      </c>
      <c r="H7345" t="str">
        <f>IF(Comuni__2[[#This Row],[Popolazione2011]]&gt;300000,"MAGGIORE","")</f>
        <v/>
      </c>
    </row>
    <row r="7346" spans="1:8" x14ac:dyDescent="0.2">
      <c r="A7346"/>
      <c r="B7346"/>
      <c r="C7346"/>
      <c r="D7346"/>
      <c r="E7346" s="2">
        <f>Comuni__2[[#This Row],[Popolazione2011]]/$D$7911</f>
        <v>1.5818770206059844E-6</v>
      </c>
      <c r="F7346">
        <f>SUMIFS($D$2:$D$7909, $B$2:$B$7909, "Valle D'Aosta/Vallée D'Aoste")</f>
        <v>126806</v>
      </c>
      <c r="G7346" s="1">
        <f>Comuni__2[[#This Row],[Popolazione2011]]/Comuni__2[[#This Row],[POPOLAZIONE TOTALE DI OGNI REGIONE (CON FILTRO)]]</f>
        <v>7.4128984432913266E-4</v>
      </c>
      <c r="H7346" t="str">
        <f>IF(Comuni__2[[#This Row],[Popolazione2011]]&gt;300000,"MAGGIORE","")</f>
        <v/>
      </c>
    </row>
    <row r="7347" spans="1:8" x14ac:dyDescent="0.2">
      <c r="A7347"/>
      <c r="B7347"/>
      <c r="C7347"/>
      <c r="D7347"/>
      <c r="E7347" s="2">
        <f>Comuni__2[[#This Row],[Popolazione2011]]/$D$7911</f>
        <v>4.3983249134002264E-3</v>
      </c>
      <c r="F7347">
        <f>SUMIFS($D$2:$D$7909, $B$2:$B$7909, "Veneto")</f>
        <v>4855904</v>
      </c>
      <c r="G7347" s="1">
        <f>Comuni__2[[#This Row],[Popolazione2011]]/Comuni__2[[#This Row],[POPOLAZIONE TOTALE DI OGNI REGIONE (CON FILTRO)]]</f>
        <v>5.3823551701186842E-2</v>
      </c>
      <c r="H7347" t="str">
        <f>IF(Comuni__2[[#This Row],[Popolazione2011]]&gt;300000,"MAGGIORE","")</f>
        <v/>
      </c>
    </row>
    <row r="7348" spans="1:8" x14ac:dyDescent="0.2">
      <c r="A7348"/>
      <c r="B7348"/>
      <c r="C7348"/>
      <c r="D7348"/>
      <c r="E7348" s="2">
        <f>Comuni__2[[#This Row],[Popolazione2011]]/$D$7911</f>
        <v>4.2495275025896083E-3</v>
      </c>
      <c r="F7348">
        <f>SUMIFS($D$2:$D$7909, $B$2:$B$7909, "Veneto")</f>
        <v>4855904</v>
      </c>
      <c r="G7348" s="1">
        <f>Comuni__2[[#This Row],[Popolazione2011]]/Comuni__2[[#This Row],[POPOLAZIONE TOTALE DI OGNI REGIONE (CON FILTRO)]]</f>
        <v>5.2002675505940808E-2</v>
      </c>
      <c r="H7348" t="str">
        <f>IF(Comuni__2[[#This Row],[Popolazione2011]]&gt;300000,"MAGGIORE","")</f>
        <v/>
      </c>
    </row>
    <row r="7349" spans="1:8" x14ac:dyDescent="0.2">
      <c r="A7349"/>
      <c r="B7349"/>
      <c r="C7349"/>
      <c r="D7349"/>
      <c r="E7349" s="2">
        <f>Comuni__2[[#This Row],[Popolazione2011]]/$D$7911</f>
        <v>3.4698977301360549E-3</v>
      </c>
      <c r="F7349">
        <f>SUMIFS($D$2:$D$7909, $B$2:$B$7909, "Veneto")</f>
        <v>4855904</v>
      </c>
      <c r="G7349" s="1">
        <f>Comuni__2[[#This Row],[Popolazione2011]]/Comuni__2[[#This Row],[POPOLAZIONE TOTALE DI OGNI REGIONE (CON FILTRO)]]</f>
        <v>4.2462124457155657E-2</v>
      </c>
      <c r="H7349" t="str">
        <f>IF(Comuni__2[[#This Row],[Popolazione2011]]&gt;300000,"MAGGIORE","")</f>
        <v/>
      </c>
    </row>
    <row r="7350" spans="1:8" x14ac:dyDescent="0.2">
      <c r="A7350"/>
      <c r="B7350"/>
      <c r="C7350"/>
      <c r="D7350"/>
      <c r="E7350" s="2">
        <f>Comuni__2[[#This Row],[Popolazione2011]]/$D$7911</f>
        <v>1.8763754021017794E-3</v>
      </c>
      <c r="F7350">
        <f>SUMIFS($D$2:$D$7909, $B$2:$B$7909, "Veneto")</f>
        <v>4855904</v>
      </c>
      <c r="G7350" s="1">
        <f>Comuni__2[[#This Row],[Popolazione2011]]/Comuni__2[[#This Row],[POPOLAZIONE TOTALE DI OGNI REGIONE (CON FILTRO)]]</f>
        <v>2.2961738947063205E-2</v>
      </c>
      <c r="H7350" t="str">
        <f>IF(Comuni__2[[#This Row],[Popolazione2011]]&gt;300000,"MAGGIORE","")</f>
        <v/>
      </c>
    </row>
    <row r="7351" spans="1:8" x14ac:dyDescent="0.2">
      <c r="A7351"/>
      <c r="B7351"/>
      <c r="C7351"/>
      <c r="D7351"/>
      <c r="E7351" s="2">
        <f>Comuni__2[[#This Row],[Popolazione2011]]/$D$7911</f>
        <v>1.3633423930571619E-3</v>
      </c>
      <c r="F7351">
        <f>SUMIFS($D$2:$D$7909, $B$2:$B$7909, "Veneto")</f>
        <v>4855904</v>
      </c>
      <c r="G7351" s="1">
        <f>Comuni__2[[#This Row],[Popolazione2011]]/Comuni__2[[#This Row],[POPOLAZIONE TOTALE DI OGNI REGIONE (CON FILTRO)]]</f>
        <v>1.668360824266707E-2</v>
      </c>
      <c r="H7351" t="str">
        <f>IF(Comuni__2[[#This Row],[Popolazione2011]]&gt;300000,"MAGGIORE","")</f>
        <v/>
      </c>
    </row>
    <row r="7352" spans="1:8" x14ac:dyDescent="0.2">
      <c r="A7352"/>
      <c r="B7352"/>
      <c r="C7352"/>
      <c r="D7352"/>
      <c r="E7352" s="2">
        <f>Comuni__2[[#This Row],[Popolazione2011]]/$D$7911</f>
        <v>8.4418381767743193E-4</v>
      </c>
      <c r="F7352">
        <f>SUMIFS($D$2:$D$7909, $B$2:$B$7909, "Veneto")</f>
        <v>4855904</v>
      </c>
      <c r="G7352" s="1">
        <f>Comuni__2[[#This Row],[Popolazione2011]]/Comuni__2[[#This Row],[POPOLAZIONE TOTALE DI OGNI REGIONE (CON FILTRO)]]</f>
        <v>1.0330517242515503E-2</v>
      </c>
      <c r="H7352" t="str">
        <f>IF(Comuni__2[[#This Row],[Popolazione2011]]&gt;300000,"MAGGIORE","")</f>
        <v/>
      </c>
    </row>
    <row r="7353" spans="1:8" x14ac:dyDescent="0.2">
      <c r="A7353"/>
      <c r="B7353"/>
      <c r="C7353"/>
      <c r="D7353"/>
      <c r="E7353" s="2">
        <f>Comuni__2[[#This Row],[Popolazione2011]]/$D$7911</f>
        <v>8.3696440021104935E-4</v>
      </c>
      <c r="F7353">
        <f>SUMIFS($D$2:$D$7909, $B$2:$B$7909, "Veneto")</f>
        <v>4855904</v>
      </c>
      <c r="G7353" s="1">
        <f>Comuni__2[[#This Row],[Popolazione2011]]/Comuni__2[[#This Row],[POPOLAZIONE TOTALE DI OGNI REGIONE (CON FILTRO)]]</f>
        <v>1.0242171179660883E-2</v>
      </c>
      <c r="H7353" t="str">
        <f>IF(Comuni__2[[#This Row],[Popolazione2011]]&gt;300000,"MAGGIORE","")</f>
        <v/>
      </c>
    </row>
    <row r="7354" spans="1:8" x14ac:dyDescent="0.2">
      <c r="A7354"/>
      <c r="B7354"/>
      <c r="C7354"/>
      <c r="D7354"/>
      <c r="E7354" s="2">
        <f>Comuni__2[[#This Row],[Popolazione2011]]/$D$7911</f>
        <v>7.2335533886944288E-4</v>
      </c>
      <c r="F7354">
        <f>SUMIFS($D$2:$D$7909, $B$2:$B$7909, "Veneto")</f>
        <v>4855904</v>
      </c>
      <c r="G7354" s="1">
        <f>Comuni__2[[#This Row],[Popolazione2011]]/Comuni__2[[#This Row],[POPOLAZIONE TOTALE DI OGNI REGIONE (CON FILTRO)]]</f>
        <v>8.8519048152517019E-3</v>
      </c>
      <c r="H7354" t="str">
        <f>IF(Comuni__2[[#This Row],[Popolazione2011]]&gt;300000,"MAGGIORE","")</f>
        <v/>
      </c>
    </row>
    <row r="7355" spans="1:8" x14ac:dyDescent="0.2">
      <c r="A7355"/>
      <c r="B7355"/>
      <c r="C7355"/>
      <c r="D7355"/>
      <c r="E7355" s="2">
        <f>Comuni__2[[#This Row],[Popolazione2011]]/$D$7911</f>
        <v>6.8401035510160467E-4</v>
      </c>
      <c r="F7355">
        <f>SUMIFS($D$2:$D$7909, $B$2:$B$7909, "Veneto")</f>
        <v>4855904</v>
      </c>
      <c r="G7355" s="1">
        <f>Comuni__2[[#This Row],[Popolazione2011]]/Comuni__2[[#This Row],[POPOLAZIONE TOTALE DI OGNI REGIONE (CON FILTRO)]]</f>
        <v>8.3704290694379454E-3</v>
      </c>
      <c r="H7355" t="str">
        <f>IF(Comuni__2[[#This Row],[Popolazione2011]]&gt;300000,"MAGGIORE","")</f>
        <v/>
      </c>
    </row>
    <row r="7356" spans="1:8" x14ac:dyDescent="0.2">
      <c r="A7356"/>
      <c r="B7356"/>
      <c r="C7356"/>
      <c r="D7356"/>
      <c r="E7356" s="2">
        <f>Comuni__2[[#This Row],[Popolazione2011]]/$D$7911</f>
        <v>6.585152095035402E-4</v>
      </c>
      <c r="F7356">
        <f>SUMIFS($D$2:$D$7909, $B$2:$B$7909, "Veneto")</f>
        <v>4855904</v>
      </c>
      <c r="G7356" s="1">
        <f>Comuni__2[[#This Row],[Popolazione2011]]/Comuni__2[[#This Row],[POPOLAZIONE TOTALE DI OGNI REGIONE (CON FILTRO)]]</f>
        <v>8.0584377285877144E-3</v>
      </c>
      <c r="H7356" t="str">
        <f>IF(Comuni__2[[#This Row],[Popolazione2011]]&gt;300000,"MAGGIORE","")</f>
        <v/>
      </c>
    </row>
    <row r="7357" spans="1:8" x14ac:dyDescent="0.2">
      <c r="A7357"/>
      <c r="B7357"/>
      <c r="C7357"/>
      <c r="D7357"/>
      <c r="E7357" s="2">
        <f>Comuni__2[[#This Row],[Popolazione2011]]/$D$7911</f>
        <v>6.4877152019576507E-4</v>
      </c>
      <c r="F7357">
        <f>SUMIFS($D$2:$D$7909, $B$2:$B$7909, "Veneto")</f>
        <v>4855904</v>
      </c>
      <c r="G7357" s="1">
        <f>Comuni__2[[#This Row],[Popolazione2011]]/Comuni__2[[#This Row],[POPOLAZIONE TOTALE DI OGNI REGIONE (CON FILTRO)]]</f>
        <v>7.9392014339657452E-3</v>
      </c>
      <c r="H7357" t="str">
        <f>IF(Comuni__2[[#This Row],[Popolazione2011]]&gt;300000,"MAGGIORE","")</f>
        <v/>
      </c>
    </row>
    <row r="7358" spans="1:8" x14ac:dyDescent="0.2">
      <c r="A7358"/>
      <c r="B7358"/>
      <c r="C7358"/>
      <c r="D7358"/>
      <c r="E7358" s="2">
        <f>Comuni__2[[#This Row],[Popolazione2011]]/$D$7911</f>
        <v>5.9894239404667646E-4</v>
      </c>
      <c r="F7358">
        <f>SUMIFS($D$2:$D$7909, $B$2:$B$7909, "Veneto")</f>
        <v>4855904</v>
      </c>
      <c r="G7358" s="1">
        <f>Comuni__2[[#This Row],[Popolazione2011]]/Comuni__2[[#This Row],[POPOLAZIONE TOTALE DI OGNI REGIONE (CON FILTRO)]]</f>
        <v>7.3294282588782641E-3</v>
      </c>
      <c r="H7358" t="str">
        <f>IF(Comuni__2[[#This Row],[Popolazione2011]]&gt;300000,"MAGGIORE","")</f>
        <v/>
      </c>
    </row>
    <row r="7359" spans="1:8" x14ac:dyDescent="0.2">
      <c r="A7359"/>
      <c r="B7359"/>
      <c r="C7359"/>
      <c r="D7359"/>
      <c r="E7359" s="2">
        <f>Comuni__2[[#This Row],[Popolazione2011]]/$D$7911</f>
        <v>5.7937087303641308E-4</v>
      </c>
      <c r="F7359">
        <f>SUMIFS($D$2:$D$7909, $B$2:$B$7909, "Veneto")</f>
        <v>4855904</v>
      </c>
      <c r="G7359" s="1">
        <f>Comuni__2[[#This Row],[Popolazione2011]]/Comuni__2[[#This Row],[POPOLAZIONE TOTALE DI OGNI REGIONE (CON FILTRO)]]</f>
        <v>7.089925995242081E-3</v>
      </c>
      <c r="H7359" t="str">
        <f>IF(Comuni__2[[#This Row],[Popolazione2011]]&gt;300000,"MAGGIORE","")</f>
        <v/>
      </c>
    </row>
    <row r="7360" spans="1:8" x14ac:dyDescent="0.2">
      <c r="A7360"/>
      <c r="B7360"/>
      <c r="C7360"/>
      <c r="D7360"/>
      <c r="E7360" s="2">
        <f>Comuni__2[[#This Row],[Popolazione2011]]/$D$7911</f>
        <v>5.5355598633843883E-4</v>
      </c>
      <c r="F7360">
        <f>SUMIFS($D$2:$D$7909, $B$2:$B$7909, "Veneto")</f>
        <v>4855904</v>
      </c>
      <c r="G7360" s="1">
        <f>Comuni__2[[#This Row],[Popolazione2011]]/Comuni__2[[#This Row],[POPOLAZIONE TOTALE DI OGNI REGIONE (CON FILTRO)]]</f>
        <v>6.7740218917013185E-3</v>
      </c>
      <c r="H7360" t="str">
        <f>IF(Comuni__2[[#This Row],[Popolazione2011]]&gt;300000,"MAGGIORE","")</f>
        <v/>
      </c>
    </row>
    <row r="7361" spans="1:8" x14ac:dyDescent="0.2">
      <c r="A7361"/>
      <c r="B7361"/>
      <c r="C7361"/>
      <c r="D7361"/>
      <c r="E7361" s="2">
        <f>Comuni__2[[#This Row],[Popolazione2011]]/$D$7911</f>
        <v>5.5108219993387419E-4</v>
      </c>
      <c r="F7361">
        <f>SUMIFS($D$2:$D$7909, $B$2:$B$7909, "Veneto")</f>
        <v>4855904</v>
      </c>
      <c r="G7361" s="1">
        <f>Comuni__2[[#This Row],[Popolazione2011]]/Comuni__2[[#This Row],[POPOLAZIONE TOTALE DI OGNI REGIONE (CON FILTRO)]]</f>
        <v>6.7437494645693164E-3</v>
      </c>
      <c r="H7361" t="str">
        <f>IF(Comuni__2[[#This Row],[Popolazione2011]]&gt;300000,"MAGGIORE","")</f>
        <v/>
      </c>
    </row>
    <row r="7362" spans="1:8" x14ac:dyDescent="0.2">
      <c r="A7362"/>
      <c r="B7362"/>
      <c r="C7362"/>
      <c r="D7362"/>
      <c r="E7362" s="2">
        <f>Comuni__2[[#This Row],[Popolazione2011]]/$D$7911</f>
        <v>5.1772815466960759E-4</v>
      </c>
      <c r="F7362">
        <f>SUMIFS($D$2:$D$7909, $B$2:$B$7909, "Veneto")</f>
        <v>4855904</v>
      </c>
      <c r="G7362" s="1">
        <f>Comuni__2[[#This Row],[Popolazione2011]]/Comuni__2[[#This Row],[POPOLAZIONE TOTALE DI OGNI REGIONE (CON FILTRO)]]</f>
        <v>6.3355865354834031E-3</v>
      </c>
      <c r="H7362" t="str">
        <f>IF(Comuni__2[[#This Row],[Popolazione2011]]&gt;300000,"MAGGIORE","")</f>
        <v/>
      </c>
    </row>
    <row r="7363" spans="1:8" x14ac:dyDescent="0.2">
      <c r="A7363"/>
      <c r="B7363"/>
      <c r="C7363"/>
      <c r="D7363"/>
      <c r="E7363" s="2">
        <f>Comuni__2[[#This Row],[Popolazione2011]]/$D$7911</f>
        <v>4.8223689257962863E-4</v>
      </c>
      <c r="F7363">
        <f>SUMIFS($D$2:$D$7909, $B$2:$B$7909, "Veneto")</f>
        <v>4855904</v>
      </c>
      <c r="G7363" s="1">
        <f>Comuni__2[[#This Row],[Popolazione2011]]/Comuni__2[[#This Row],[POPOLAZIONE TOTALE DI OGNI REGIONE (CON FILTRO)]]</f>
        <v>5.9012698768344677E-3</v>
      </c>
      <c r="H7363" t="str">
        <f>IF(Comuni__2[[#This Row],[Popolazione2011]]&gt;300000,"MAGGIORE","")</f>
        <v/>
      </c>
    </row>
    <row r="7364" spans="1:8" x14ac:dyDescent="0.2">
      <c r="A7364"/>
      <c r="B7364"/>
      <c r="C7364"/>
      <c r="D7364"/>
      <c r="E7364" s="2">
        <f>Comuni__2[[#This Row],[Popolazione2011]]/$D$7911</f>
        <v>4.6460064664776617E-4</v>
      </c>
      <c r="F7364">
        <f>SUMIFS($D$2:$D$7909, $B$2:$B$7909, "Veneto")</f>
        <v>4855904</v>
      </c>
      <c r="G7364" s="1">
        <f>Comuni__2[[#This Row],[Popolazione2011]]/Comuni__2[[#This Row],[POPOLAZIONE TOTALE DI OGNI REGIONE (CON FILTRO)]]</f>
        <v>5.685450124219919E-3</v>
      </c>
      <c r="H7364" t="str">
        <f>IF(Comuni__2[[#This Row],[Popolazione2011]]&gt;300000,"MAGGIORE","")</f>
        <v/>
      </c>
    </row>
    <row r="7365" spans="1:8" x14ac:dyDescent="0.2">
      <c r="A7365"/>
      <c r="B7365"/>
      <c r="C7365"/>
      <c r="D7365"/>
      <c r="E7365" s="2">
        <f>Comuni__2[[#This Row],[Popolazione2011]]/$D$7911</f>
        <v>4.5204660135657397E-4</v>
      </c>
      <c r="F7365">
        <f>SUMIFS($D$2:$D$7909, $B$2:$B$7909, "Veneto")</f>
        <v>4855904</v>
      </c>
      <c r="G7365" s="1">
        <f>Comuni__2[[#This Row],[Popolazione2011]]/Comuni__2[[#This Row],[POPOLAZIONE TOTALE DI OGNI REGIONE (CON FILTRO)]]</f>
        <v>5.5318227048969668E-3</v>
      </c>
      <c r="H7365" t="str">
        <f>IF(Comuni__2[[#This Row],[Popolazione2011]]&gt;300000,"MAGGIORE","")</f>
        <v/>
      </c>
    </row>
    <row r="7366" spans="1:8" x14ac:dyDescent="0.2">
      <c r="A7366"/>
      <c r="B7366"/>
      <c r="C7366"/>
      <c r="D7366"/>
      <c r="E7366" s="2">
        <f>Comuni__2[[#This Row],[Popolazione2011]]/$D$7911</f>
        <v>4.4721682790004296E-4</v>
      </c>
      <c r="F7366">
        <f>SUMIFS($D$2:$D$7909, $B$2:$B$7909, "Veneto")</f>
        <v>4855904</v>
      </c>
      <c r="G7366" s="1">
        <f>Comuni__2[[#This Row],[Popolazione2011]]/Comuni__2[[#This Row],[POPOLAZIONE TOTALE DI OGNI REGIONE (CON FILTRO)]]</f>
        <v>5.4727193947821046E-3</v>
      </c>
      <c r="H7366" t="str">
        <f>IF(Comuni__2[[#This Row],[Popolazione2011]]&gt;300000,"MAGGIORE","")</f>
        <v/>
      </c>
    </row>
    <row r="7367" spans="1:8" x14ac:dyDescent="0.2">
      <c r="A7367"/>
      <c r="B7367"/>
      <c r="C7367"/>
      <c r="D7367"/>
      <c r="E7367" s="2">
        <f>Comuni__2[[#This Row],[Popolazione2011]]/$D$7911</f>
        <v>4.4521423890587152E-4</v>
      </c>
      <c r="F7367">
        <f>SUMIFS($D$2:$D$7909, $B$2:$B$7909, "Veneto")</f>
        <v>4855904</v>
      </c>
      <c r="G7367" s="1">
        <f>Comuni__2[[#This Row],[Popolazione2011]]/Comuni__2[[#This Row],[POPOLAZIONE TOTALE DI OGNI REGIONE (CON FILTRO)]]</f>
        <v>5.448213144246674E-3</v>
      </c>
      <c r="H7367" t="str">
        <f>IF(Comuni__2[[#This Row],[Popolazione2011]]&gt;300000,"MAGGIORE","")</f>
        <v/>
      </c>
    </row>
    <row r="7368" spans="1:8" x14ac:dyDescent="0.2">
      <c r="A7368"/>
      <c r="B7368"/>
      <c r="C7368"/>
      <c r="D7368"/>
      <c r="E7368" s="2">
        <f>Comuni__2[[#This Row],[Popolazione2011]]/$D$7911</f>
        <v>4.3062394766262273E-4</v>
      </c>
      <c r="F7368">
        <f>SUMIFS($D$2:$D$7909, $B$2:$B$7909, "Veneto")</f>
        <v>4855904</v>
      </c>
      <c r="G7368" s="1">
        <f>Comuni__2[[#This Row],[Popolazione2011]]/Comuni__2[[#This Row],[POPOLAZIONE TOTALE DI OGNI REGIONE (CON FILTRO)]]</f>
        <v>5.2696676046313931E-3</v>
      </c>
      <c r="H7368" t="str">
        <f>IF(Comuni__2[[#This Row],[Popolazione2011]]&gt;300000,"MAGGIORE","")</f>
        <v/>
      </c>
    </row>
    <row r="7369" spans="1:8" x14ac:dyDescent="0.2">
      <c r="A7369"/>
      <c r="B7369"/>
      <c r="C7369"/>
      <c r="D7369"/>
      <c r="E7369" s="2">
        <f>Comuni__2[[#This Row],[Popolazione2011]]/$D$7911</f>
        <v>4.2306796061738778E-4</v>
      </c>
      <c r="F7369">
        <f>SUMIFS($D$2:$D$7909, $B$2:$B$7909, "Veneto")</f>
        <v>4855904</v>
      </c>
      <c r="G7369" s="1">
        <f>Comuni__2[[#This Row],[Popolazione2011]]/Comuni__2[[#This Row],[POPOLAZIONE TOTALE DI OGNI REGIONE (CON FILTRO)]]</f>
        <v>5.1772028442077936E-3</v>
      </c>
      <c r="H7369" t="str">
        <f>IF(Comuni__2[[#This Row],[Popolazione2011]]&gt;300000,"MAGGIORE","")</f>
        <v/>
      </c>
    </row>
    <row r="7370" spans="1:8" x14ac:dyDescent="0.2">
      <c r="A7370"/>
      <c r="B7370"/>
      <c r="C7370"/>
      <c r="D7370"/>
      <c r="E7370" s="2">
        <f>Comuni__2[[#This Row],[Popolazione2011]]/$D$7911</f>
        <v>4.2057734573388048E-4</v>
      </c>
      <c r="F7370">
        <f>SUMIFS($D$2:$D$7909, $B$2:$B$7909, "Veneto")</f>
        <v>4855904</v>
      </c>
      <c r="G7370" s="1">
        <f>Comuni__2[[#This Row],[Popolazione2011]]/Comuni__2[[#This Row],[POPOLAZIONE TOTALE DI OGNI REGIONE (CON FILTRO)]]</f>
        <v>5.146724482197342E-3</v>
      </c>
      <c r="H7370" t="str">
        <f>IF(Comuni__2[[#This Row],[Popolazione2011]]&gt;300000,"MAGGIORE","")</f>
        <v/>
      </c>
    </row>
    <row r="7371" spans="1:8" x14ac:dyDescent="0.2">
      <c r="A7371"/>
      <c r="B7371"/>
      <c r="C7371"/>
      <c r="D7371"/>
      <c r="E7371" s="2">
        <f>Comuni__2[[#This Row],[Popolazione2011]]/$D$7911</f>
        <v>4.1194433603631799E-4</v>
      </c>
      <c r="F7371">
        <f>SUMIFS($D$2:$D$7909, $B$2:$B$7909, "Veneto")</f>
        <v>4855904</v>
      </c>
      <c r="G7371" s="1">
        <f>Comuni__2[[#This Row],[Popolazione2011]]/Comuni__2[[#This Row],[POPOLAZIONE TOTALE DI OGNI REGIONE (CON FILTRO)]]</f>
        <v>5.0410798895530063E-3</v>
      </c>
      <c r="H7371" t="str">
        <f>IF(Comuni__2[[#This Row],[Popolazione2011]]&gt;300000,"MAGGIORE","")</f>
        <v/>
      </c>
    </row>
    <row r="7372" spans="1:8" x14ac:dyDescent="0.2">
      <c r="A7372"/>
      <c r="B7372"/>
      <c r="C7372"/>
      <c r="D7372"/>
      <c r="E7372" s="2">
        <f>Comuni__2[[#This Row],[Popolazione2011]]/$D$7911</f>
        <v>4.0637410950631182E-4</v>
      </c>
      <c r="F7372">
        <f>SUMIFS($D$2:$D$7909, $B$2:$B$7909, "Veneto")</f>
        <v>4855904</v>
      </c>
      <c r="G7372" s="1">
        <f>Comuni__2[[#This Row],[Popolazione2011]]/Comuni__2[[#This Row],[POPOLAZIONE TOTALE DI OGNI REGIONE (CON FILTRO)]]</f>
        <v>4.9729154447863879E-3</v>
      </c>
      <c r="H7372" t="str">
        <f>IF(Comuni__2[[#This Row],[Popolazione2011]]&gt;300000,"MAGGIORE","")</f>
        <v/>
      </c>
    </row>
    <row r="7373" spans="1:8" x14ac:dyDescent="0.2">
      <c r="A7373"/>
      <c r="B7373"/>
      <c r="C7373"/>
      <c r="D7373"/>
      <c r="E7373" s="2">
        <f>Comuni__2[[#This Row],[Popolazione2011]]/$D$7911</f>
        <v>3.9486342990956191E-4</v>
      </c>
      <c r="F7373">
        <f>SUMIFS($D$2:$D$7909, $B$2:$B$7909, "Veneto")</f>
        <v>4855904</v>
      </c>
      <c r="G7373" s="1">
        <f>Comuni__2[[#This Row],[Popolazione2011]]/Comuni__2[[#This Row],[POPOLAZIONE TOTALE DI OGNI REGIONE (CON FILTRO)]]</f>
        <v>4.8320559879272739E-3</v>
      </c>
      <c r="H7373" t="str">
        <f>IF(Comuni__2[[#This Row],[Popolazione2011]]&gt;300000,"MAGGIORE","")</f>
        <v/>
      </c>
    </row>
    <row r="7374" spans="1:8" x14ac:dyDescent="0.2">
      <c r="A7374"/>
      <c r="B7374"/>
      <c r="C7374"/>
      <c r="D7374"/>
      <c r="E7374" s="2">
        <f>Comuni__2[[#This Row],[Popolazione2011]]/$D$7911</f>
        <v>3.9235598654711201E-4</v>
      </c>
      <c r="F7374">
        <f>SUMIFS($D$2:$D$7909, $B$2:$B$7909, "Veneto")</f>
        <v>4855904</v>
      </c>
      <c r="G7374" s="1">
        <f>Comuni__2[[#This Row],[Popolazione2011]]/Comuni__2[[#This Row],[POPOLAZIONE TOTALE DI OGNI REGIONE (CON FILTRO)]]</f>
        <v>4.8013716910383728E-3</v>
      </c>
      <c r="H7374" t="str">
        <f>IF(Comuni__2[[#This Row],[Popolazione2011]]&gt;300000,"MAGGIORE","")</f>
        <v/>
      </c>
    </row>
    <row r="7375" spans="1:8" x14ac:dyDescent="0.2">
      <c r="A7375"/>
      <c r="B7375"/>
      <c r="C7375"/>
      <c r="D7375"/>
      <c r="E7375" s="2">
        <f>Comuni__2[[#This Row],[Popolazione2011]]/$D$7911</f>
        <v>3.9132944933161238E-4</v>
      </c>
      <c r="F7375">
        <f>SUMIFS($D$2:$D$7909, $B$2:$B$7909, "Veneto")</f>
        <v>4855904</v>
      </c>
      <c r="G7375" s="1">
        <f>Comuni__2[[#This Row],[Popolazione2011]]/Comuni__2[[#This Row],[POPOLAZIONE TOTALE DI OGNI REGIONE (CON FILTRO)]]</f>
        <v>4.7888096634529842E-3</v>
      </c>
      <c r="H7375" t="str">
        <f>IF(Comuni__2[[#This Row],[Popolazione2011]]&gt;300000,"MAGGIORE","")</f>
        <v/>
      </c>
    </row>
    <row r="7376" spans="1:8" x14ac:dyDescent="0.2">
      <c r="A7376"/>
      <c r="B7376"/>
      <c r="C7376"/>
      <c r="D7376"/>
      <c r="E7376" s="2">
        <f>Comuni__2[[#This Row],[Popolazione2011]]/$D$7911</f>
        <v>3.7266666618425025E-4</v>
      </c>
      <c r="F7376">
        <f>SUMIFS($D$2:$D$7909, $B$2:$B$7909, "Veneto")</f>
        <v>4855904</v>
      </c>
      <c r="G7376" s="1">
        <f>Comuni__2[[#This Row],[Popolazione2011]]/Comuni__2[[#This Row],[POPOLAZIONE TOTALE DI OGNI REGIONE (CON FILTRO)]]</f>
        <v>4.5604278832530459E-3</v>
      </c>
      <c r="H7376" t="str">
        <f>IF(Comuni__2[[#This Row],[Popolazione2011]]&gt;300000,"MAGGIORE","")</f>
        <v/>
      </c>
    </row>
    <row r="7377" spans="1:8" x14ac:dyDescent="0.2">
      <c r="A7377"/>
      <c r="B7377"/>
      <c r="C7377"/>
      <c r="D7377"/>
      <c r="E7377" s="2">
        <f>Comuni__2[[#This Row],[Popolazione2011]]/$D$7911</f>
        <v>3.7010873738497249E-4</v>
      </c>
      <c r="F7377">
        <f>SUMIFS($D$2:$D$7909, $B$2:$B$7909, "Veneto")</f>
        <v>4855904</v>
      </c>
      <c r="G7377" s="1">
        <f>Comuni__2[[#This Row],[Popolazione2011]]/Comuni__2[[#This Row],[POPOLAZIONE TOTALE DI OGNI REGIONE (CON FILTRO)]]</f>
        <v>4.5291257817287982E-3</v>
      </c>
      <c r="H7377" t="str">
        <f>IF(Comuni__2[[#This Row],[Popolazione2011]]&gt;300000,"MAGGIORE","")</f>
        <v/>
      </c>
    </row>
    <row r="7378" spans="1:8" x14ac:dyDescent="0.2">
      <c r="A7378"/>
      <c r="B7378"/>
      <c r="C7378"/>
      <c r="D7378"/>
      <c r="E7378" s="2">
        <f>Comuni__2[[#This Row],[Popolazione2011]]/$D$7911</f>
        <v>3.6066796069816447E-4</v>
      </c>
      <c r="F7378">
        <f>SUMIFS($D$2:$D$7909, $B$2:$B$7909, "Veneto")</f>
        <v>4855904</v>
      </c>
      <c r="G7378" s="1">
        <f>Comuni__2[[#This Row],[Popolazione2011]]/Comuni__2[[#This Row],[POPOLAZIONE TOTALE DI OGNI REGIONE (CON FILTRO)]]</f>
        <v>4.4135963149189109E-3</v>
      </c>
      <c r="H7378" t="str">
        <f>IF(Comuni__2[[#This Row],[Popolazione2011]]&gt;300000,"MAGGIORE","")</f>
        <v/>
      </c>
    </row>
    <row r="7379" spans="1:8" x14ac:dyDescent="0.2">
      <c r="A7379"/>
      <c r="B7379"/>
      <c r="C7379"/>
      <c r="D7379"/>
      <c r="E7379" s="2">
        <f>Comuni__2[[#This Row],[Popolazione2011]]/$D$7911</f>
        <v>3.5627572769414146E-4</v>
      </c>
      <c r="F7379">
        <f>SUMIFS($D$2:$D$7909, $B$2:$B$7909, "Veneto")</f>
        <v>4855904</v>
      </c>
      <c r="G7379" s="1">
        <f>Comuni__2[[#This Row],[Popolazione2011]]/Comuni__2[[#This Row],[POPOLAZIONE TOTALE DI OGNI REGIONE (CON FILTRO)]]</f>
        <v>4.359847311643723E-3</v>
      </c>
      <c r="H7379" t="str">
        <f>IF(Comuni__2[[#This Row],[Popolazione2011]]&gt;300000,"MAGGIORE","")</f>
        <v/>
      </c>
    </row>
    <row r="7380" spans="1:8" x14ac:dyDescent="0.2">
      <c r="A7380"/>
      <c r="B7380"/>
      <c r="C7380"/>
      <c r="D7380"/>
      <c r="E7380" s="2">
        <f>Comuni__2[[#This Row],[Popolazione2011]]/$D$7911</f>
        <v>3.4540453029721098E-4</v>
      </c>
      <c r="F7380">
        <f>SUMIFS($D$2:$D$7909, $B$2:$B$7909, "Veneto")</f>
        <v>4855904</v>
      </c>
      <c r="G7380" s="1">
        <f>Comuni__2[[#This Row],[Popolazione2011]]/Comuni__2[[#This Row],[POPOLAZIONE TOTALE DI OGNI REGIONE (CON FILTRO)]]</f>
        <v>4.2268133801656709E-3</v>
      </c>
      <c r="H7380" t="str">
        <f>IF(Comuni__2[[#This Row],[Popolazione2011]]&gt;300000,"MAGGIORE","")</f>
        <v/>
      </c>
    </row>
    <row r="7381" spans="1:8" x14ac:dyDescent="0.2">
      <c r="A7381"/>
      <c r="B7381"/>
      <c r="C7381"/>
      <c r="D7381"/>
      <c r="E7381" s="2">
        <f>Comuni__2[[#This Row],[Popolazione2011]]/$D$7911</f>
        <v>3.4119741056155676E-4</v>
      </c>
      <c r="F7381">
        <f>SUMIFS($D$2:$D$7909, $B$2:$B$7909, "Veneto")</f>
        <v>4855904</v>
      </c>
      <c r="G7381" s="1">
        <f>Comuni__2[[#This Row],[Popolazione2011]]/Comuni__2[[#This Row],[POPOLAZIONE TOTALE DI OGNI REGIONE (CON FILTRO)]]</f>
        <v>4.1753296605534212E-3</v>
      </c>
      <c r="H7381" t="str">
        <f>IF(Comuni__2[[#This Row],[Popolazione2011]]&gt;300000,"MAGGIORE","")</f>
        <v/>
      </c>
    </row>
    <row r="7382" spans="1:8" x14ac:dyDescent="0.2">
      <c r="A7382"/>
      <c r="B7382"/>
      <c r="C7382"/>
      <c r="D7382"/>
      <c r="E7382" s="2">
        <f>Comuni__2[[#This Row],[Popolazione2011]]/$D$7911</f>
        <v>3.4049061444596686E-4</v>
      </c>
      <c r="F7382">
        <f>SUMIFS($D$2:$D$7909, $B$2:$B$7909, "Veneto")</f>
        <v>4855904</v>
      </c>
      <c r="G7382" s="1">
        <f>Comuni__2[[#This Row],[Popolazione2011]]/Comuni__2[[#This Row],[POPOLAZIONE TOTALE DI OGNI REGIONE (CON FILTRO)]]</f>
        <v>4.1666803956585631E-3</v>
      </c>
      <c r="H7382" t="str">
        <f>IF(Comuni__2[[#This Row],[Popolazione2011]]&gt;300000,"MAGGIORE","")</f>
        <v/>
      </c>
    </row>
    <row r="7383" spans="1:8" x14ac:dyDescent="0.2">
      <c r="A7383"/>
      <c r="B7383"/>
      <c r="C7383"/>
      <c r="D7383"/>
      <c r="E7383" s="2">
        <f>Comuni__2[[#This Row],[Popolazione2011]]/$D$7911</f>
        <v>3.3771391542043505E-4</v>
      </c>
      <c r="F7383">
        <f>SUMIFS($D$2:$D$7909, $B$2:$B$7909, "Veneto")</f>
        <v>4855904</v>
      </c>
      <c r="G7383" s="1">
        <f>Comuni__2[[#This Row],[Popolazione2011]]/Comuni__2[[#This Row],[POPOLAZIONE TOTALE DI OGNI REGIONE (CON FILTRO)]]</f>
        <v>4.132701140714479E-3</v>
      </c>
      <c r="H7383" t="str">
        <f>IF(Comuni__2[[#This Row],[Popolazione2011]]&gt;300000,"MAGGIORE","")</f>
        <v/>
      </c>
    </row>
    <row r="7384" spans="1:8" x14ac:dyDescent="0.2">
      <c r="A7384"/>
      <c r="B7384"/>
      <c r="C7384"/>
      <c r="D7384"/>
      <c r="E7384" s="2">
        <f>Comuni__2[[#This Row],[Popolazione2011]]/$D$7911</f>
        <v>3.3582912577886199E-4</v>
      </c>
      <c r="F7384">
        <f>SUMIFS($D$2:$D$7909, $B$2:$B$7909, "Veneto")</f>
        <v>4855904</v>
      </c>
      <c r="G7384" s="1">
        <f>Comuni__2[[#This Row],[Popolazione2011]]/Comuni__2[[#This Row],[POPOLAZIONE TOTALE DI OGNI REGIONE (CON FILTRO)]]</f>
        <v>4.1096364343281913E-3</v>
      </c>
      <c r="H7384" t="str">
        <f>IF(Comuni__2[[#This Row],[Popolazione2011]]&gt;300000,"MAGGIORE","")</f>
        <v/>
      </c>
    </row>
    <row r="7385" spans="1:8" x14ac:dyDescent="0.2">
      <c r="A7385"/>
      <c r="B7385"/>
      <c r="C7385"/>
      <c r="D7385"/>
      <c r="E7385" s="2">
        <f>Comuni__2[[#This Row],[Popolazione2011]]/$D$7911</f>
        <v>3.278692552390042E-4</v>
      </c>
      <c r="F7385">
        <f>SUMIFS($D$2:$D$7909, $B$2:$B$7909, "Veneto")</f>
        <v>4855904</v>
      </c>
      <c r="G7385" s="1">
        <f>Comuni__2[[#This Row],[Popolazione2011]]/Comuni__2[[#This Row],[POPOLAZIONE TOTALE DI OGNI REGIONE (CON FILTRO)]]</f>
        <v>4.0122292368218156E-3</v>
      </c>
      <c r="H7385" t="str">
        <f>IF(Comuni__2[[#This Row],[Popolazione2011]]&gt;300000,"MAGGIORE","")</f>
        <v/>
      </c>
    </row>
    <row r="7386" spans="1:8" x14ac:dyDescent="0.2">
      <c r="A7386"/>
      <c r="B7386"/>
      <c r="C7386"/>
      <c r="D7386"/>
      <c r="E7386" s="2">
        <f>Comuni__2[[#This Row],[Popolazione2011]]/$D$7911</f>
        <v>3.2561423906069355E-4</v>
      </c>
      <c r="F7386">
        <f>SUMIFS($D$2:$D$7909, $B$2:$B$7909, "Veneto")</f>
        <v>4855904</v>
      </c>
      <c r="G7386" s="1">
        <f>Comuni__2[[#This Row],[Popolazione2011]]/Comuni__2[[#This Row],[POPOLAZIONE TOTALE DI OGNI REGIONE (CON FILTRO)]]</f>
        <v>3.9846339631096498E-3</v>
      </c>
      <c r="H7386" t="str">
        <f>IF(Comuni__2[[#This Row],[Popolazione2011]]&gt;300000,"MAGGIORE","")</f>
        <v/>
      </c>
    </row>
    <row r="7387" spans="1:8" x14ac:dyDescent="0.2">
      <c r="A7387"/>
      <c r="B7387"/>
      <c r="C7387"/>
      <c r="D7387"/>
      <c r="E7387" s="2">
        <f>Comuni__2[[#This Row],[Popolazione2011]]/$D$7911</f>
        <v>3.2086860799887556E-4</v>
      </c>
      <c r="F7387">
        <f>SUMIFS($D$2:$D$7909, $B$2:$B$7909, "Veneto")</f>
        <v>4855904</v>
      </c>
      <c r="G7387" s="1">
        <f>Comuni__2[[#This Row],[Popolazione2011]]/Comuni__2[[#This Row],[POPOLAZIONE TOTALE DI OGNI REGIONE (CON FILTRO)]]</f>
        <v>3.9265603273870324E-3</v>
      </c>
      <c r="H7387" t="str">
        <f>IF(Comuni__2[[#This Row],[Popolazione2011]]&gt;300000,"MAGGIORE","")</f>
        <v/>
      </c>
    </row>
    <row r="7388" spans="1:8" x14ac:dyDescent="0.2">
      <c r="A7388"/>
      <c r="B7388"/>
      <c r="C7388"/>
      <c r="D7388"/>
      <c r="E7388" s="2">
        <f>Comuni__2[[#This Row],[Popolazione2011]]/$D$7911</f>
        <v>3.1812556593122907E-4</v>
      </c>
      <c r="F7388">
        <f>SUMIFS($D$2:$D$7909, $B$2:$B$7909, "Veneto")</f>
        <v>4855904</v>
      </c>
      <c r="G7388" s="1">
        <f>Comuni__2[[#This Row],[Popolazione2011]]/Comuni__2[[#This Row],[POPOLAZIONE TOTALE DI OGNI REGIONE (CON FILTRO)]]</f>
        <v>3.892992942199846E-3</v>
      </c>
      <c r="H7388" t="str">
        <f>IF(Comuni__2[[#This Row],[Popolazione2011]]&gt;300000,"MAGGIORE","")</f>
        <v/>
      </c>
    </row>
    <row r="7389" spans="1:8" x14ac:dyDescent="0.2">
      <c r="A7389"/>
      <c r="B7389"/>
      <c r="C7389"/>
      <c r="D7389"/>
      <c r="E7389" s="2">
        <f>Comuni__2[[#This Row],[Popolazione2011]]/$D$7911</f>
        <v>3.0094368893081726E-4</v>
      </c>
      <c r="F7389">
        <f>SUMIFS($D$2:$D$7909, $B$2:$B$7909, "Veneto")</f>
        <v>4855904</v>
      </c>
      <c r="G7389" s="1">
        <f>Comuni__2[[#This Row],[Popolazione2011]]/Comuni__2[[#This Row],[POPOLAZIONE TOTALE DI OGNI REGIONE (CON FILTRO)]]</f>
        <v>3.6827334313034193E-3</v>
      </c>
      <c r="H7389" t="str">
        <f>IF(Comuni__2[[#This Row],[Popolazione2011]]&gt;300000,"MAGGIORE","")</f>
        <v/>
      </c>
    </row>
    <row r="7390" spans="1:8" x14ac:dyDescent="0.2">
      <c r="A7390"/>
      <c r="B7390"/>
      <c r="C7390"/>
      <c r="D7390"/>
      <c r="E7390" s="2">
        <f>Comuni__2[[#This Row],[Popolazione2011]]/$D$7911</f>
        <v>2.9367378602760676E-4</v>
      </c>
      <c r="F7390">
        <f>SUMIFS($D$2:$D$7909, $B$2:$B$7909, "Veneto")</f>
        <v>4855904</v>
      </c>
      <c r="G7390" s="1">
        <f>Comuni__2[[#This Row],[Popolazione2011]]/Comuni__2[[#This Row],[POPOLAZIONE TOTALE DI OGNI REGIONE (CON FILTRO)]]</f>
        <v>3.5937695638134527E-3</v>
      </c>
      <c r="H7390" t="str">
        <f>IF(Comuni__2[[#This Row],[Popolazione2011]]&gt;300000,"MAGGIORE","")</f>
        <v/>
      </c>
    </row>
    <row r="7391" spans="1:8" x14ac:dyDescent="0.2">
      <c r="A7391"/>
      <c r="B7391"/>
      <c r="C7391"/>
      <c r="D7391"/>
      <c r="E7391" s="2">
        <f>Comuni__2[[#This Row],[Popolazione2011]]/$D$7911</f>
        <v>2.9104854331255854E-4</v>
      </c>
      <c r="F7391">
        <f>SUMIFS($D$2:$D$7909, $B$2:$B$7909, "Veneto")</f>
        <v>4855904</v>
      </c>
      <c r="G7391" s="1">
        <f>Comuni__2[[#This Row],[Popolazione2011]]/Comuni__2[[#This Row],[POPOLAZIONE TOTALE DI OGNI REGIONE (CON FILTRO)]]</f>
        <v>3.5616437227754092E-3</v>
      </c>
      <c r="H7391" t="str">
        <f>IF(Comuni__2[[#This Row],[Popolazione2011]]&gt;300000,"MAGGIORE","")</f>
        <v/>
      </c>
    </row>
    <row r="7392" spans="1:8" x14ac:dyDescent="0.2">
      <c r="A7392"/>
      <c r="B7392"/>
      <c r="C7392"/>
      <c r="D7392"/>
      <c r="E7392" s="2">
        <f>Comuni__2[[#This Row],[Popolazione2011]]/$D$7911</f>
        <v>2.8658899639276506E-4</v>
      </c>
      <c r="F7392">
        <f>SUMIFS($D$2:$D$7909, $B$2:$B$7909, "Veneto")</f>
        <v>4855904</v>
      </c>
      <c r="G7392" s="1">
        <f>Comuni__2[[#This Row],[Popolazione2011]]/Comuni__2[[#This Row],[POPOLAZIONE TOTALE DI OGNI REGIONE (CON FILTRO)]]</f>
        <v>3.5070709799864246E-3</v>
      </c>
      <c r="H7392" t="str">
        <f>IF(Comuni__2[[#This Row],[Popolazione2011]]&gt;300000,"MAGGIORE","")</f>
        <v/>
      </c>
    </row>
    <row r="7393" spans="1:8" x14ac:dyDescent="0.2">
      <c r="A7393"/>
      <c r="B7393"/>
      <c r="C7393"/>
      <c r="D7393"/>
      <c r="E7393" s="2">
        <f>Comuni__2[[#This Row],[Popolazione2011]]/$D$7911</f>
        <v>2.8499029089321646E-4</v>
      </c>
      <c r="F7393">
        <f>SUMIFS($D$2:$D$7909, $B$2:$B$7909, "Veneto")</f>
        <v>4855904</v>
      </c>
      <c r="G7393" s="1">
        <f>Comuni__2[[#This Row],[Popolazione2011]]/Comuni__2[[#This Row],[POPOLAZIONE TOTALE DI OGNI REGIONE (CON FILTRO)]]</f>
        <v>3.4875071665337702E-3</v>
      </c>
      <c r="H7393" t="str">
        <f>IF(Comuni__2[[#This Row],[Popolazione2011]]&gt;300000,"MAGGIORE","")</f>
        <v/>
      </c>
    </row>
    <row r="7394" spans="1:8" x14ac:dyDescent="0.2">
      <c r="A7394"/>
      <c r="B7394"/>
      <c r="C7394"/>
      <c r="D7394"/>
      <c r="E7394" s="2">
        <f>Comuni__2[[#This Row],[Popolazione2011]]/$D$7911</f>
        <v>2.8224724882556991E-4</v>
      </c>
      <c r="F7394">
        <f>SUMIFS($D$2:$D$7909, $B$2:$B$7909, "Veneto")</f>
        <v>4855904</v>
      </c>
      <c r="G7394" s="1">
        <f>Comuni__2[[#This Row],[Popolazione2011]]/Comuni__2[[#This Row],[POPOLAZIONE TOTALE DI OGNI REGIONE (CON FILTRO)]]</f>
        <v>3.4539397813465834E-3</v>
      </c>
      <c r="H7394" t="str">
        <f>IF(Comuni__2[[#This Row],[Popolazione2011]]&gt;300000,"MAGGIORE","")</f>
        <v/>
      </c>
    </row>
    <row r="7395" spans="1:8" x14ac:dyDescent="0.2">
      <c r="A7395"/>
      <c r="B7395"/>
      <c r="C7395"/>
      <c r="D7395"/>
      <c r="E7395" s="2">
        <f>Comuni__2[[#This Row],[Popolazione2011]]/$D$7911</f>
        <v>2.7894886695281699E-4</v>
      </c>
      <c r="F7395">
        <f>SUMIFS($D$2:$D$7909, $B$2:$B$7909, "Veneto")</f>
        <v>4855904</v>
      </c>
      <c r="G7395" s="1">
        <f>Comuni__2[[#This Row],[Popolazione2011]]/Comuni__2[[#This Row],[POPOLAZIONE TOTALE DI OGNI REGIONE (CON FILTRO)]]</f>
        <v>3.4135765451705799E-3</v>
      </c>
      <c r="H7395" t="str">
        <f>IF(Comuni__2[[#This Row],[Popolazione2011]]&gt;300000,"MAGGIORE","")</f>
        <v/>
      </c>
    </row>
    <row r="7396" spans="1:8" x14ac:dyDescent="0.2">
      <c r="A7396"/>
      <c r="B7396"/>
      <c r="C7396"/>
      <c r="D7396"/>
      <c r="E7396" s="2">
        <f>Comuni__2[[#This Row],[Popolazione2011]]/$D$7911</f>
        <v>2.7655922294296542E-4</v>
      </c>
      <c r="F7396">
        <f>SUMIFS($D$2:$D$7909, $B$2:$B$7909, "Veneto")</f>
        <v>4855904</v>
      </c>
      <c r="G7396" s="1">
        <f>Comuni__2[[#This Row],[Popolazione2011]]/Comuni__2[[#This Row],[POPOLAZIONE TOTALE DI OGNI REGIONE (CON FILTRO)]]</f>
        <v>3.3843337924308226E-3</v>
      </c>
      <c r="H7396" t="str">
        <f>IF(Comuni__2[[#This Row],[Popolazione2011]]&gt;300000,"MAGGIORE","")</f>
        <v/>
      </c>
    </row>
    <row r="7397" spans="1:8" x14ac:dyDescent="0.2">
      <c r="A7397"/>
      <c r="B7397"/>
      <c r="C7397"/>
      <c r="D7397"/>
      <c r="E7397" s="2">
        <f>Comuni__2[[#This Row],[Popolazione2011]]/$D$7911</f>
        <v>2.7474174721716277E-4</v>
      </c>
      <c r="F7397">
        <f>SUMIFS($D$2:$D$7909, $B$2:$B$7909, "Veneto")</f>
        <v>4855904</v>
      </c>
      <c r="G7397" s="1">
        <f>Comuni__2[[#This Row],[Popolazione2011]]/Comuni__2[[#This Row],[POPOLAZIONE TOTALE DI OGNI REGIONE (CON FILTRO)]]</f>
        <v>3.3620928255583306E-3</v>
      </c>
      <c r="H7397" t="str">
        <f>IF(Comuni__2[[#This Row],[Popolazione2011]]&gt;300000,"MAGGIORE","")</f>
        <v/>
      </c>
    </row>
    <row r="7398" spans="1:8" x14ac:dyDescent="0.2">
      <c r="A7398"/>
      <c r="B7398"/>
      <c r="C7398"/>
      <c r="D7398"/>
      <c r="E7398" s="2">
        <f>Comuni__2[[#This Row],[Popolazione2011]]/$D$7911</f>
        <v>2.7347961129646655E-4</v>
      </c>
      <c r="F7398">
        <f>SUMIFS($D$2:$D$7909, $B$2:$B$7909, "Veneto")</f>
        <v>4855904</v>
      </c>
      <c r="G7398" s="1">
        <f>Comuni__2[[#This Row],[Popolazione2011]]/Comuni__2[[#This Row],[POPOLAZIONE TOTALE DI OGNI REGIONE (CON FILTRO)]]</f>
        <v>3.3466477096746557E-3</v>
      </c>
      <c r="H7398" t="str">
        <f>IF(Comuni__2[[#This Row],[Popolazione2011]]&gt;300000,"MAGGIORE","")</f>
        <v/>
      </c>
    </row>
    <row r="7399" spans="1:8" x14ac:dyDescent="0.2">
      <c r="A7399"/>
      <c r="B7399"/>
      <c r="C7399"/>
      <c r="D7399"/>
      <c r="E7399" s="2">
        <f>Comuni__2[[#This Row],[Popolazione2011]]/$D$7911</f>
        <v>2.7287378605453231E-4</v>
      </c>
      <c r="F7399">
        <f>SUMIFS($D$2:$D$7909, $B$2:$B$7909, "Veneto")</f>
        <v>4855904</v>
      </c>
      <c r="G7399" s="1">
        <f>Comuni__2[[#This Row],[Popolazione2011]]/Comuni__2[[#This Row],[POPOLAZIONE TOTALE DI OGNI REGIONE (CON FILTRO)]]</f>
        <v>3.3392340540504919E-3</v>
      </c>
      <c r="H7399" t="str">
        <f>IF(Comuni__2[[#This Row],[Popolazione2011]]&gt;300000,"MAGGIORE","")</f>
        <v/>
      </c>
    </row>
    <row r="7400" spans="1:8" x14ac:dyDescent="0.2">
      <c r="A7400"/>
      <c r="B7400"/>
      <c r="C7400"/>
      <c r="D7400"/>
      <c r="E7400" s="2">
        <f>Comuni__2[[#This Row],[Popolazione2011]]/$D$7911</f>
        <v>2.6864983783993549E-4</v>
      </c>
      <c r="F7400">
        <f>SUMIFS($D$2:$D$7909, $B$2:$B$7909, "Veneto")</f>
        <v>4855904</v>
      </c>
      <c r="G7400" s="1">
        <f>Comuni__2[[#This Row],[Popolazione2011]]/Comuni__2[[#This Row],[POPOLAZIONE TOTALE DI OGNI REGIONE (CON FILTRO)]]</f>
        <v>3.2875443995597936E-3</v>
      </c>
      <c r="H7400" t="str">
        <f>IF(Comuni__2[[#This Row],[Popolazione2011]]&gt;300000,"MAGGIORE","")</f>
        <v/>
      </c>
    </row>
    <row r="7401" spans="1:8" x14ac:dyDescent="0.2">
      <c r="A7401"/>
      <c r="B7401"/>
      <c r="C7401"/>
      <c r="D7401"/>
      <c r="E7401" s="2">
        <f>Comuni__2[[#This Row],[Popolazione2011]]/$D$7911</f>
        <v>2.666640773247067E-4</v>
      </c>
      <c r="F7401">
        <f>SUMIFS($D$2:$D$7909, $B$2:$B$7909, "Veneto")</f>
        <v>4855904</v>
      </c>
      <c r="G7401" s="1">
        <f>Comuni__2[[#This Row],[Popolazione2011]]/Comuni__2[[#This Row],[POPOLAZIONE TOTALE DI OGNI REGIONE (CON FILTRO)]]</f>
        <v>3.263244083902812E-3</v>
      </c>
      <c r="H7401" t="str">
        <f>IF(Comuni__2[[#This Row],[Popolazione2011]]&gt;300000,"MAGGIORE","")</f>
        <v/>
      </c>
    </row>
    <row r="7402" spans="1:8" x14ac:dyDescent="0.2">
      <c r="A7402"/>
      <c r="B7402"/>
      <c r="C7402"/>
      <c r="D7402"/>
      <c r="E7402" s="2">
        <f>Comuni__2[[#This Row],[Popolazione2011]]/$D$7911</f>
        <v>2.643417472306256E-4</v>
      </c>
      <c r="F7402">
        <f>SUMIFS($D$2:$D$7909, $B$2:$B$7909, "Veneto")</f>
        <v>4855904</v>
      </c>
      <c r="G7402" s="1">
        <f>Comuni__2[[#This Row],[Popolazione2011]]/Comuni__2[[#This Row],[POPOLAZIONE TOTALE DI OGNI REGIONE (CON FILTRO)]]</f>
        <v>3.2348250706768504E-3</v>
      </c>
      <c r="H7402" t="str">
        <f>IF(Comuni__2[[#This Row],[Popolazione2011]]&gt;300000,"MAGGIORE","")</f>
        <v/>
      </c>
    </row>
    <row r="7403" spans="1:8" x14ac:dyDescent="0.2">
      <c r="A7403"/>
      <c r="B7403"/>
      <c r="C7403"/>
      <c r="D7403"/>
      <c r="E7403" s="2">
        <f>Comuni__2[[#This Row],[Popolazione2011]]/$D$7911</f>
        <v>2.636854365518635E-4</v>
      </c>
      <c r="F7403">
        <f>SUMIFS($D$2:$D$7909, $B$2:$B$7909, "Veneto")</f>
        <v>4855904</v>
      </c>
      <c r="G7403" s="1">
        <f>Comuni__2[[#This Row],[Popolazione2011]]/Comuni__2[[#This Row],[POPOLAZIONE TOTALE DI OGNI REGIONE (CON FILTRO)]]</f>
        <v>3.2267936104173394E-3</v>
      </c>
      <c r="H7403" t="str">
        <f>IF(Comuni__2[[#This Row],[Popolazione2011]]&gt;300000,"MAGGIORE","")</f>
        <v/>
      </c>
    </row>
    <row r="7404" spans="1:8" x14ac:dyDescent="0.2">
      <c r="A7404"/>
      <c r="B7404"/>
      <c r="C7404"/>
      <c r="D7404"/>
      <c r="E7404" s="2">
        <f>Comuni__2[[#This Row],[Popolazione2011]]/$D$7911</f>
        <v>2.6220453040491323E-4</v>
      </c>
      <c r="F7404">
        <f>SUMIFS($D$2:$D$7909, $B$2:$B$7909, "Veneto")</f>
        <v>4855904</v>
      </c>
      <c r="G7404" s="1">
        <f>Comuni__2[[#This Row],[Popolazione2011]]/Comuni__2[[#This Row],[POPOLAZIONE TOTALE DI OGNI REGIONE (CON FILTRO)]]</f>
        <v>3.2086713411138275E-3</v>
      </c>
      <c r="H7404" t="str">
        <f>IF(Comuni__2[[#This Row],[Popolazione2011]]&gt;300000,"MAGGIORE","")</f>
        <v/>
      </c>
    </row>
    <row r="7405" spans="1:8" x14ac:dyDescent="0.2">
      <c r="A7405"/>
      <c r="B7405"/>
      <c r="C7405"/>
      <c r="D7405"/>
      <c r="E7405" s="2">
        <f>Comuni__2[[#This Row],[Popolazione2011]]/$D$7911</f>
        <v>2.5212427151828572E-4</v>
      </c>
      <c r="F7405">
        <f>SUMIFS($D$2:$D$7909, $B$2:$B$7909, "Veneto")</f>
        <v>4855904</v>
      </c>
      <c r="G7405" s="1">
        <f>Comuni__2[[#This Row],[Popolazione2011]]/Comuni__2[[#This Row],[POPOLAZIONE TOTALE DI OGNI REGIONE (CON FILTRO)]]</f>
        <v>3.0853163489228783E-3</v>
      </c>
      <c r="H7405" t="str">
        <f>IF(Comuni__2[[#This Row],[Popolazione2011]]&gt;300000,"MAGGIORE","")</f>
        <v/>
      </c>
    </row>
    <row r="7406" spans="1:8" x14ac:dyDescent="0.2">
      <c r="A7406"/>
      <c r="B7406"/>
      <c r="C7406"/>
      <c r="D7406"/>
      <c r="E7406" s="2">
        <f>Comuni__2[[#This Row],[Popolazione2011]]/$D$7911</f>
        <v>2.4933074401381131E-4</v>
      </c>
      <c r="F7406">
        <f>SUMIFS($D$2:$D$7909, $B$2:$B$7909, "Veneto")</f>
        <v>4855904</v>
      </c>
      <c r="G7406" s="1">
        <f>Comuni__2[[#This Row],[Popolazione2011]]/Comuni__2[[#This Row],[POPOLAZIONE TOTALE DI OGNI REGIONE (CON FILTRO)]]</f>
        <v>3.0511311591003448E-3</v>
      </c>
      <c r="H7406" t="str">
        <f>IF(Comuni__2[[#This Row],[Popolazione2011]]&gt;300000,"MAGGIORE","")</f>
        <v/>
      </c>
    </row>
    <row r="7407" spans="1:8" x14ac:dyDescent="0.2">
      <c r="A7407"/>
      <c r="B7407"/>
      <c r="C7407"/>
      <c r="D7407"/>
      <c r="E7407" s="2">
        <f>Comuni__2[[#This Row],[Popolazione2011]]/$D$7911</f>
        <v>2.4645307411462383E-4</v>
      </c>
      <c r="F7407">
        <f>SUMIFS($D$2:$D$7909, $B$2:$B$7909, "Veneto")</f>
        <v>4855904</v>
      </c>
      <c r="G7407" s="1">
        <f>Comuni__2[[#This Row],[Popolazione2011]]/Comuni__2[[#This Row],[POPOLAZIONE TOTALE DI OGNI REGIONE (CON FILTRO)]]</f>
        <v>3.015916294885566E-3</v>
      </c>
      <c r="H7407" t="str">
        <f>IF(Comuni__2[[#This Row],[Popolazione2011]]&gt;300000,"MAGGIORE","")</f>
        <v/>
      </c>
    </row>
    <row r="7408" spans="1:8" x14ac:dyDescent="0.2">
      <c r="A7408"/>
      <c r="B7408"/>
      <c r="C7408"/>
      <c r="D7408"/>
      <c r="E7408" s="2">
        <f>Comuni__2[[#This Row],[Popolazione2011]]/$D$7911</f>
        <v>2.4638576019885336E-4</v>
      </c>
      <c r="F7408">
        <f>SUMIFS($D$2:$D$7909, $B$2:$B$7909, "Veneto")</f>
        <v>4855904</v>
      </c>
      <c r="G7408" s="1">
        <f>Comuni__2[[#This Row],[Popolazione2011]]/Comuni__2[[#This Row],[POPOLAZIONE TOTALE DI OGNI REGIONE (CON FILTRO)]]</f>
        <v>3.0150925553717703E-3</v>
      </c>
      <c r="H7408" t="str">
        <f>IF(Comuni__2[[#This Row],[Popolazione2011]]&gt;300000,"MAGGIORE","")</f>
        <v/>
      </c>
    </row>
    <row r="7409" spans="1:8" x14ac:dyDescent="0.2">
      <c r="A7409"/>
      <c r="B7409"/>
      <c r="C7409"/>
      <c r="D7409"/>
      <c r="E7409" s="2">
        <f>Comuni__2[[#This Row],[Popolazione2011]]/$D$7911</f>
        <v>2.4594821974634537E-4</v>
      </c>
      <c r="F7409">
        <f>SUMIFS($D$2:$D$7909, $B$2:$B$7909, "Veneto")</f>
        <v>4855904</v>
      </c>
      <c r="G7409" s="1">
        <f>Comuni__2[[#This Row],[Popolazione2011]]/Comuni__2[[#This Row],[POPOLAZIONE TOTALE DI OGNI REGIONE (CON FILTRO)]]</f>
        <v>3.009738248532096E-3</v>
      </c>
      <c r="H7409" t="str">
        <f>IF(Comuni__2[[#This Row],[Popolazione2011]]&gt;300000,"MAGGIORE","")</f>
        <v/>
      </c>
    </row>
    <row r="7410" spans="1:8" x14ac:dyDescent="0.2">
      <c r="A7410"/>
      <c r="B7410"/>
      <c r="C7410"/>
      <c r="D7410"/>
      <c r="E7410" s="2">
        <f>Comuni__2[[#This Row],[Popolazione2011]]/$D$7911</f>
        <v>2.4374368900486254E-4</v>
      </c>
      <c r="F7410">
        <f>SUMIFS($D$2:$D$7909, $B$2:$B$7909, "Veneto")</f>
        <v>4855904</v>
      </c>
      <c r="G7410" s="1">
        <f>Comuni__2[[#This Row],[Popolazione2011]]/Comuni__2[[#This Row],[POPOLAZIONE TOTALE DI OGNI REGIONE (CON FILTRO)]]</f>
        <v>2.9827607794552773E-3</v>
      </c>
      <c r="H7410" t="str">
        <f>IF(Comuni__2[[#This Row],[Popolazione2011]]&gt;300000,"MAGGIORE","")</f>
        <v/>
      </c>
    </row>
    <row r="7411" spans="1:8" x14ac:dyDescent="0.2">
      <c r="A7411"/>
      <c r="B7411"/>
      <c r="C7411"/>
      <c r="D7411"/>
      <c r="E7411" s="2">
        <f>Comuni__2[[#This Row],[Popolazione2011]]/$D$7911</f>
        <v>2.4254886699993675E-4</v>
      </c>
      <c r="F7411">
        <f>SUMIFS($D$2:$D$7909, $B$2:$B$7909, "Veneto")</f>
        <v>4855904</v>
      </c>
      <c r="G7411" s="1">
        <f>Comuni__2[[#This Row],[Popolazione2011]]/Comuni__2[[#This Row],[POPOLAZIONE TOTALE DI OGNI REGIONE (CON FILTRO)]]</f>
        <v>2.9681394030853987E-3</v>
      </c>
      <c r="H7411" t="str">
        <f>IF(Comuni__2[[#This Row],[Popolazione2011]]&gt;300000,"MAGGIORE","")</f>
        <v/>
      </c>
    </row>
    <row r="7412" spans="1:8" x14ac:dyDescent="0.2">
      <c r="A7412"/>
      <c r="B7412"/>
      <c r="C7412"/>
      <c r="D7412"/>
      <c r="E7412" s="2">
        <f>Comuni__2[[#This Row],[Popolazione2011]]/$D$7911</f>
        <v>2.4064724887942103E-4</v>
      </c>
      <c r="F7412">
        <f>SUMIFS($D$2:$D$7909, $B$2:$B$7909, "Veneto")</f>
        <v>4855904</v>
      </c>
      <c r="G7412" s="1">
        <f>Comuni__2[[#This Row],[Popolazione2011]]/Comuni__2[[#This Row],[POPOLAZIONE TOTALE DI OGNI REGIONE (CON FILTRO)]]</f>
        <v>2.9448687618206619E-3</v>
      </c>
      <c r="H7412" t="str">
        <f>IF(Comuni__2[[#This Row],[Popolazione2011]]&gt;300000,"MAGGIORE","")</f>
        <v/>
      </c>
    </row>
    <row r="7413" spans="1:8" x14ac:dyDescent="0.2">
      <c r="A7413"/>
      <c r="B7413"/>
      <c r="C7413"/>
      <c r="D7413"/>
      <c r="E7413" s="2">
        <f>Comuni__2[[#This Row],[Popolazione2011]]/$D$7911</f>
        <v>2.4036116473739655E-4</v>
      </c>
      <c r="F7413">
        <f>SUMIFS($D$2:$D$7909, $B$2:$B$7909, "Veneto")</f>
        <v>4855904</v>
      </c>
      <c r="G7413" s="1">
        <f>Comuni__2[[#This Row],[Popolazione2011]]/Comuni__2[[#This Row],[POPOLAZIONE TOTALE DI OGNI REGIONE (CON FILTRO)]]</f>
        <v>2.941367868887029E-3</v>
      </c>
      <c r="H7413" t="str">
        <f>IF(Comuni__2[[#This Row],[Popolazione2011]]&gt;300000,"MAGGIORE","")</f>
        <v/>
      </c>
    </row>
    <row r="7414" spans="1:8" x14ac:dyDescent="0.2">
      <c r="A7414"/>
      <c r="B7414"/>
      <c r="C7414"/>
      <c r="D7414"/>
      <c r="E7414" s="2">
        <f>Comuni__2[[#This Row],[Popolazione2011]]/$D$7911</f>
        <v>2.3844271813793823E-4</v>
      </c>
      <c r="F7414">
        <f>SUMIFS($D$2:$D$7909, $B$2:$B$7909, "Veneto")</f>
        <v>4855904</v>
      </c>
      <c r="G7414" s="1">
        <f>Comuni__2[[#This Row],[Popolazione2011]]/Comuni__2[[#This Row],[POPOLAZIONE TOTALE DI OGNI REGIONE (CON FILTRO)]]</f>
        <v>2.9178912927438432E-3</v>
      </c>
      <c r="H7414" t="str">
        <f>IF(Comuni__2[[#This Row],[Popolazione2011]]&gt;300000,"MAGGIORE","")</f>
        <v/>
      </c>
    </row>
    <row r="7415" spans="1:8" x14ac:dyDescent="0.2">
      <c r="A7415"/>
      <c r="B7415"/>
      <c r="C7415"/>
      <c r="D7415"/>
      <c r="E7415" s="2">
        <f>Comuni__2[[#This Row],[Popolazione2011]]/$D$7911</f>
        <v>2.3775275050129093E-4</v>
      </c>
      <c r="F7415">
        <f>SUMIFS($D$2:$D$7909, $B$2:$B$7909, "Veneto")</f>
        <v>4855904</v>
      </c>
      <c r="G7415" s="1">
        <f>Comuni__2[[#This Row],[Popolazione2011]]/Comuni__2[[#This Row],[POPOLAZIONE TOTALE DI OGNI REGIONE (CON FILTRO)]]</f>
        <v>2.9094479627274346E-3</v>
      </c>
      <c r="H7415" t="str">
        <f>IF(Comuni__2[[#This Row],[Popolazione2011]]&gt;300000,"MAGGIORE","")</f>
        <v/>
      </c>
    </row>
    <row r="7416" spans="1:8" x14ac:dyDescent="0.2">
      <c r="A7416"/>
      <c r="B7416"/>
      <c r="C7416"/>
      <c r="D7416"/>
      <c r="E7416" s="2">
        <f>Comuni__2[[#This Row],[Popolazione2011]]/$D$7911</f>
        <v>2.3679352720156177E-4</v>
      </c>
      <c r="F7416">
        <f>SUMIFS($D$2:$D$7909, $B$2:$B$7909, "Veneto")</f>
        <v>4855904</v>
      </c>
      <c r="G7416" s="1">
        <f>Comuni__2[[#This Row],[Popolazione2011]]/Comuni__2[[#This Row],[POPOLAZIONE TOTALE DI OGNI REGIONE (CON FILTRO)]]</f>
        <v>2.8977096746558417E-3</v>
      </c>
      <c r="H7416" t="str">
        <f>IF(Comuni__2[[#This Row],[Popolazione2011]]&gt;300000,"MAGGIORE","")</f>
        <v/>
      </c>
    </row>
    <row r="7417" spans="1:8" x14ac:dyDescent="0.2">
      <c r="A7417"/>
      <c r="B7417"/>
      <c r="C7417"/>
      <c r="D7417"/>
      <c r="E7417" s="2">
        <f>Comuni__2[[#This Row],[Popolazione2011]]/$D$7911</f>
        <v>2.3622135891751282E-4</v>
      </c>
      <c r="F7417">
        <f>SUMIFS($D$2:$D$7909, $B$2:$B$7909, "Veneto")</f>
        <v>4855904</v>
      </c>
      <c r="G7417" s="1">
        <f>Comuni__2[[#This Row],[Popolazione2011]]/Comuni__2[[#This Row],[POPOLAZIONE TOTALE DI OGNI REGIONE (CON FILTRO)]]</f>
        <v>2.8907078887885759E-3</v>
      </c>
      <c r="H7417" t="str">
        <f>IF(Comuni__2[[#This Row],[Popolazione2011]]&gt;300000,"MAGGIORE","")</f>
        <v/>
      </c>
    </row>
    <row r="7418" spans="1:8" x14ac:dyDescent="0.2">
      <c r="A7418"/>
      <c r="B7418"/>
      <c r="C7418"/>
      <c r="D7418"/>
      <c r="E7418" s="2">
        <f>Comuni__2[[#This Row],[Popolazione2011]]/$D$7911</f>
        <v>2.3548090584403765E-4</v>
      </c>
      <c r="F7418">
        <f>SUMIFS($D$2:$D$7909, $B$2:$B$7909, "Veneto")</f>
        <v>4855904</v>
      </c>
      <c r="G7418" s="1">
        <f>Comuni__2[[#This Row],[Popolazione2011]]/Comuni__2[[#This Row],[POPOLAZIONE TOTALE DI OGNI REGIONE (CON FILTRO)]]</f>
        <v>2.8816467541368197E-3</v>
      </c>
      <c r="H7418" t="str">
        <f>IF(Comuni__2[[#This Row],[Popolazione2011]]&gt;300000,"MAGGIORE","")</f>
        <v/>
      </c>
    </row>
    <row r="7419" spans="1:8" x14ac:dyDescent="0.2">
      <c r="A7419"/>
      <c r="B7419"/>
      <c r="C7419"/>
      <c r="D7419"/>
      <c r="E7419" s="2">
        <f>Comuni__2[[#This Row],[Popolazione2011]]/$D$7911</f>
        <v>2.3371391555506289E-4</v>
      </c>
      <c r="F7419">
        <f>SUMIFS($D$2:$D$7909, $B$2:$B$7909, "Veneto")</f>
        <v>4855904</v>
      </c>
      <c r="G7419" s="1">
        <f>Comuni__2[[#This Row],[Popolazione2011]]/Comuni__2[[#This Row],[POPOLAZIONE TOTALE DI OGNI REGIONE (CON FILTRO)]]</f>
        <v>2.8600235918996753E-3</v>
      </c>
      <c r="H7419" t="str">
        <f>IF(Comuni__2[[#This Row],[Popolazione2011]]&gt;300000,"MAGGIORE","")</f>
        <v/>
      </c>
    </row>
    <row r="7420" spans="1:8" x14ac:dyDescent="0.2">
      <c r="A7420"/>
      <c r="B7420"/>
      <c r="C7420"/>
      <c r="D7420"/>
      <c r="E7420" s="2">
        <f>Comuni__2[[#This Row],[Popolazione2011]]/$D$7911</f>
        <v>2.3194692526608813E-4</v>
      </c>
      <c r="F7420">
        <f>SUMIFS($D$2:$D$7909, $B$2:$B$7909, "Veneto")</f>
        <v>4855904</v>
      </c>
      <c r="G7420" s="1">
        <f>Comuni__2[[#This Row],[Popolazione2011]]/Comuni__2[[#This Row],[POPOLAZIONE TOTALE DI OGNI REGIONE (CON FILTRO)]]</f>
        <v>2.8384004296625304E-3</v>
      </c>
      <c r="H7420" t="str">
        <f>IF(Comuni__2[[#This Row],[Popolazione2011]]&gt;300000,"MAGGIORE","")</f>
        <v/>
      </c>
    </row>
    <row r="7421" spans="1:8" x14ac:dyDescent="0.2">
      <c r="A7421"/>
      <c r="B7421"/>
      <c r="C7421"/>
      <c r="D7421"/>
      <c r="E7421" s="2">
        <f>Comuni__2[[#This Row],[Popolazione2011]]/$D$7911</f>
        <v>2.2275857576341932E-4</v>
      </c>
      <c r="F7421">
        <f>SUMIFS($D$2:$D$7909, $B$2:$B$7909, "Veneto")</f>
        <v>4855904</v>
      </c>
      <c r="G7421" s="1">
        <f>Comuni__2[[#This Row],[Popolazione2011]]/Comuni__2[[#This Row],[POPOLAZIONE TOTALE DI OGNI REGIONE (CON FILTRO)]]</f>
        <v>2.725959986029378E-3</v>
      </c>
      <c r="H7421" t="str">
        <f>IF(Comuni__2[[#This Row],[Popolazione2011]]&gt;300000,"MAGGIORE","")</f>
        <v/>
      </c>
    </row>
    <row r="7422" spans="1:8" x14ac:dyDescent="0.2">
      <c r="A7422"/>
      <c r="B7422"/>
      <c r="C7422"/>
      <c r="D7422"/>
      <c r="E7422" s="2">
        <f>Comuni__2[[#This Row],[Popolazione2011]]/$D$7911</f>
        <v>2.2149643984272304E-4</v>
      </c>
      <c r="F7422">
        <f>SUMIFS($D$2:$D$7909, $B$2:$B$7909, "Veneto")</f>
        <v>4855904</v>
      </c>
      <c r="G7422" s="1">
        <f>Comuni__2[[#This Row],[Popolazione2011]]/Comuni__2[[#This Row],[POPOLAZIONE TOTALE DI OGNI REGIONE (CON FILTRO)]]</f>
        <v>2.7105148701457031E-3</v>
      </c>
      <c r="H7422" t="str">
        <f>IF(Comuni__2[[#This Row],[Popolazione2011]]&gt;300000,"MAGGIORE","")</f>
        <v/>
      </c>
    </row>
    <row r="7423" spans="1:8" x14ac:dyDescent="0.2">
      <c r="A7423"/>
      <c r="B7423"/>
      <c r="C7423"/>
      <c r="D7423"/>
      <c r="E7423" s="2">
        <f>Comuni__2[[#This Row],[Popolazione2011]]/$D$7911</f>
        <v>2.1964530715903519E-4</v>
      </c>
      <c r="F7423">
        <f>SUMIFS($D$2:$D$7909, $B$2:$B$7909, "Veneto")</f>
        <v>4855904</v>
      </c>
      <c r="G7423" s="1">
        <f>Comuni__2[[#This Row],[Popolazione2011]]/Comuni__2[[#This Row],[POPOLAZIONE TOTALE DI OGNI REGIONE (CON FILTRO)]]</f>
        <v>2.6878620335163135E-3</v>
      </c>
      <c r="H7423" t="str">
        <f>IF(Comuni__2[[#This Row],[Popolazione2011]]&gt;300000,"MAGGIORE","")</f>
        <v/>
      </c>
    </row>
    <row r="7424" spans="1:8" x14ac:dyDescent="0.2">
      <c r="A7424"/>
      <c r="B7424"/>
      <c r="C7424"/>
      <c r="D7424"/>
      <c r="E7424" s="2">
        <f>Comuni__2[[#This Row],[Popolazione2011]]/$D$7911</f>
        <v>2.1947702236960903E-4</v>
      </c>
      <c r="F7424">
        <f>SUMIFS($D$2:$D$7909, $B$2:$B$7909, "Veneto")</f>
        <v>4855904</v>
      </c>
      <c r="G7424" s="1">
        <f>Comuni__2[[#This Row],[Popolazione2011]]/Comuni__2[[#This Row],[POPOLAZIONE TOTALE DI OGNI REGIONE (CON FILTRO)]]</f>
        <v>2.6858026847318235E-3</v>
      </c>
      <c r="H7424" t="str">
        <f>IF(Comuni__2[[#This Row],[Popolazione2011]]&gt;300000,"MAGGIORE","")</f>
        <v/>
      </c>
    </row>
    <row r="7425" spans="1:8" x14ac:dyDescent="0.2">
      <c r="A7425"/>
      <c r="B7425"/>
      <c r="C7425"/>
      <c r="D7425"/>
      <c r="E7425" s="2">
        <f>Comuni__2[[#This Row],[Popolazione2011]]/$D$7911</f>
        <v>2.1942653693278119E-4</v>
      </c>
      <c r="F7425">
        <f>SUMIFS($D$2:$D$7909, $B$2:$B$7909, "Veneto")</f>
        <v>4855904</v>
      </c>
      <c r="G7425" s="1">
        <f>Comuni__2[[#This Row],[Popolazione2011]]/Comuni__2[[#This Row],[POPOLAZIONE TOTALE DI OGNI REGIONE (CON FILTRO)]]</f>
        <v>2.6851848800964763E-3</v>
      </c>
      <c r="H7425" t="str">
        <f>IF(Comuni__2[[#This Row],[Popolazione2011]]&gt;300000,"MAGGIORE","")</f>
        <v/>
      </c>
    </row>
    <row r="7426" spans="1:8" x14ac:dyDescent="0.2">
      <c r="A7426"/>
      <c r="B7426"/>
      <c r="C7426"/>
      <c r="D7426"/>
      <c r="E7426" s="2">
        <f>Comuni__2[[#This Row],[Popolazione2011]]/$D$7911</f>
        <v>2.1759223272803594E-4</v>
      </c>
      <c r="F7426">
        <f>SUMIFS($D$2:$D$7909, $B$2:$B$7909, "Veneto")</f>
        <v>4855904</v>
      </c>
      <c r="G7426" s="1">
        <f>Comuni__2[[#This Row],[Popolazione2011]]/Comuni__2[[#This Row],[POPOLAZIONE TOTALE DI OGNI REGIONE (CON FILTRO)]]</f>
        <v>2.6627379783455358E-3</v>
      </c>
      <c r="H7426" t="str">
        <f>IF(Comuni__2[[#This Row],[Popolazione2011]]&gt;300000,"MAGGIORE","")</f>
        <v/>
      </c>
    </row>
    <row r="7427" spans="1:8" x14ac:dyDescent="0.2">
      <c r="A7427"/>
      <c r="B7427"/>
      <c r="C7427"/>
      <c r="D7427"/>
      <c r="E7427" s="2">
        <f>Comuni__2[[#This Row],[Popolazione2011]]/$D$7911</f>
        <v>2.1742394793860978E-4</v>
      </c>
      <c r="F7427">
        <f>SUMIFS($D$2:$D$7909, $B$2:$B$7909, "Veneto")</f>
        <v>4855904</v>
      </c>
      <c r="G7427" s="1">
        <f>Comuni__2[[#This Row],[Popolazione2011]]/Comuni__2[[#This Row],[POPOLAZIONE TOTALE DI OGNI REGIONE (CON FILTRO)]]</f>
        <v>2.6606786295610457E-3</v>
      </c>
      <c r="H7427" t="str">
        <f>IF(Comuni__2[[#This Row],[Popolazione2011]]&gt;300000,"MAGGIORE","")</f>
        <v/>
      </c>
    </row>
    <row r="7428" spans="1:8" x14ac:dyDescent="0.2">
      <c r="A7428"/>
      <c r="B7428"/>
      <c r="C7428"/>
      <c r="D7428"/>
      <c r="E7428" s="2">
        <f>Comuni__2[[#This Row],[Popolazione2011]]/$D$7911</f>
        <v>2.1683495117561817E-4</v>
      </c>
      <c r="F7428">
        <f>SUMIFS($D$2:$D$7909, $B$2:$B$7909, "Veneto")</f>
        <v>4855904</v>
      </c>
      <c r="G7428" s="1">
        <f>Comuni__2[[#This Row],[Popolazione2011]]/Comuni__2[[#This Row],[POPOLAZIONE TOTALE DI OGNI REGIONE (CON FILTRO)]]</f>
        <v>2.6534709088153309E-3</v>
      </c>
      <c r="H7428" t="str">
        <f>IF(Comuni__2[[#This Row],[Popolazione2011]]&gt;300000,"MAGGIORE","")</f>
        <v/>
      </c>
    </row>
    <row r="7429" spans="1:8" x14ac:dyDescent="0.2">
      <c r="A7429"/>
      <c r="B7429"/>
      <c r="C7429"/>
      <c r="D7429"/>
      <c r="E7429" s="2">
        <f>Comuni__2[[#This Row],[Popolazione2011]]/$D$7911</f>
        <v>2.1639741072311015E-4</v>
      </c>
      <c r="F7429">
        <f>SUMIFS($D$2:$D$7909, $B$2:$B$7909, "Veneto")</f>
        <v>4855904</v>
      </c>
      <c r="G7429" s="1">
        <f>Comuni__2[[#This Row],[Popolazione2011]]/Comuni__2[[#This Row],[POPOLAZIONE TOTALE DI OGNI REGIONE (CON FILTRO)]]</f>
        <v>2.6481166019756567E-3</v>
      </c>
      <c r="H7429" t="str">
        <f>IF(Comuni__2[[#This Row],[Popolazione2011]]&gt;300000,"MAGGIORE","")</f>
        <v/>
      </c>
    </row>
    <row r="7430" spans="1:8" x14ac:dyDescent="0.2">
      <c r="A7430"/>
      <c r="B7430"/>
      <c r="C7430"/>
      <c r="D7430"/>
      <c r="E7430" s="2">
        <f>Comuni__2[[#This Row],[Popolazione2011]]/$D$7911</f>
        <v>2.1409190910797165E-4</v>
      </c>
      <c r="F7430">
        <f>SUMIFS($D$2:$D$7909, $B$2:$B$7909, "Veneto")</f>
        <v>4855904</v>
      </c>
      <c r="G7430" s="1">
        <f>Comuni__2[[#This Row],[Popolazione2011]]/Comuni__2[[#This Row],[POPOLAZIONE TOTALE DI OGNI REGIONE (CON FILTRO)]]</f>
        <v>2.6199035236281441E-3</v>
      </c>
      <c r="H7430" t="str">
        <f>IF(Comuni__2[[#This Row],[Popolazione2011]]&gt;300000,"MAGGIORE","")</f>
        <v/>
      </c>
    </row>
    <row r="7431" spans="1:8" x14ac:dyDescent="0.2">
      <c r="A7431"/>
      <c r="B7431"/>
      <c r="C7431"/>
      <c r="D7431"/>
      <c r="E7431" s="2">
        <f>Comuni__2[[#This Row],[Popolazione2011]]/$D$7911</f>
        <v>2.1353656930286528E-4</v>
      </c>
      <c r="F7431">
        <f>SUMIFS($D$2:$D$7909, $B$2:$B$7909, "Veneto")</f>
        <v>4855904</v>
      </c>
      <c r="G7431" s="1">
        <f>Comuni__2[[#This Row],[Popolazione2011]]/Comuni__2[[#This Row],[POPOLAZIONE TOTALE DI OGNI REGIONE (CON FILTRO)]]</f>
        <v>2.6131076726393274E-3</v>
      </c>
      <c r="H7431" t="str">
        <f>IF(Comuni__2[[#This Row],[Popolazione2011]]&gt;300000,"MAGGIORE","")</f>
        <v/>
      </c>
    </row>
    <row r="7432" spans="1:8" x14ac:dyDescent="0.2">
      <c r="A7432"/>
      <c r="B7432"/>
      <c r="C7432"/>
      <c r="D7432"/>
      <c r="E7432" s="2">
        <f>Comuni__2[[#This Row],[Popolazione2011]]/$D$7911</f>
        <v>2.1335145603449649E-4</v>
      </c>
      <c r="F7432">
        <f>SUMIFS($D$2:$D$7909, $B$2:$B$7909, "Veneto")</f>
        <v>4855904</v>
      </c>
      <c r="G7432" s="1">
        <f>Comuni__2[[#This Row],[Popolazione2011]]/Comuni__2[[#This Row],[POPOLAZIONE TOTALE DI OGNI REGIONE (CON FILTRO)]]</f>
        <v>2.6108423889763884E-3</v>
      </c>
      <c r="H7432" t="str">
        <f>IF(Comuni__2[[#This Row],[Popolazione2011]]&gt;300000,"MAGGIORE","")</f>
        <v/>
      </c>
    </row>
    <row r="7433" spans="1:8" x14ac:dyDescent="0.2">
      <c r="A7433"/>
      <c r="B7433"/>
      <c r="C7433"/>
      <c r="D7433"/>
      <c r="E7433" s="2">
        <f>Comuni__2[[#This Row],[Popolazione2011]]/$D$7911</f>
        <v>2.1203883467697237E-4</v>
      </c>
      <c r="F7433">
        <f>SUMIFS($D$2:$D$7909, $B$2:$B$7909, "Veneto")</f>
        <v>4855904</v>
      </c>
      <c r="G7433" s="1">
        <f>Comuni__2[[#This Row],[Popolazione2011]]/Comuni__2[[#This Row],[POPOLAZIONE TOTALE DI OGNI REGIONE (CON FILTRO)]]</f>
        <v>2.5947794684573664E-3</v>
      </c>
      <c r="H7433" t="str">
        <f>IF(Comuni__2[[#This Row],[Popolazione2011]]&gt;300000,"MAGGIORE","")</f>
        <v/>
      </c>
    </row>
    <row r="7434" spans="1:8" x14ac:dyDescent="0.2">
      <c r="A7434"/>
      <c r="B7434"/>
      <c r="C7434"/>
      <c r="D7434"/>
      <c r="E7434" s="2">
        <f>Comuni__2[[#This Row],[Popolazione2011]]/$D$7911</f>
        <v>2.1168543661917742E-4</v>
      </c>
      <c r="F7434">
        <f>SUMIFS($D$2:$D$7909, $B$2:$B$7909, "Veneto")</f>
        <v>4855904</v>
      </c>
      <c r="G7434" s="1">
        <f>Comuni__2[[#This Row],[Popolazione2011]]/Comuni__2[[#This Row],[POPOLAZIONE TOTALE DI OGNI REGIONE (CON FILTRO)]]</f>
        <v>2.5904548360099378E-3</v>
      </c>
      <c r="H7434" t="str">
        <f>IF(Comuni__2[[#This Row],[Popolazione2011]]&gt;300000,"MAGGIORE","")</f>
        <v/>
      </c>
    </row>
    <row r="7435" spans="1:8" x14ac:dyDescent="0.2">
      <c r="A7435"/>
      <c r="B7435"/>
      <c r="C7435"/>
      <c r="D7435"/>
      <c r="E7435" s="2">
        <f>Comuni__2[[#This Row],[Popolazione2011]]/$D$7911</f>
        <v>2.0529061462098302E-4</v>
      </c>
      <c r="F7435">
        <f>SUMIFS($D$2:$D$7909, $B$2:$B$7909, "Veneto")</f>
        <v>4855904</v>
      </c>
      <c r="G7435" s="1">
        <f>Comuni__2[[#This Row],[Popolazione2011]]/Comuni__2[[#This Row],[POPOLAZIONE TOTALE DI OGNI REGIONE (CON FILTRO)]]</f>
        <v>2.5121995821993188E-3</v>
      </c>
      <c r="H7435" t="str">
        <f>IF(Comuni__2[[#This Row],[Popolazione2011]]&gt;300000,"MAGGIORE","")</f>
        <v/>
      </c>
    </row>
    <row r="7436" spans="1:8" x14ac:dyDescent="0.2">
      <c r="A7436"/>
      <c r="B7436"/>
      <c r="C7436"/>
      <c r="D7436"/>
      <c r="E7436" s="2">
        <f>Comuni__2[[#This Row],[Popolazione2011]]/$D$7911</f>
        <v>2.0520647222626993E-4</v>
      </c>
      <c r="F7436">
        <f>SUMIFS($D$2:$D$7909, $B$2:$B$7909, "Veneto")</f>
        <v>4855904</v>
      </c>
      <c r="G7436" s="1">
        <f>Comuni__2[[#This Row],[Popolazione2011]]/Comuni__2[[#This Row],[POPOLAZIONE TOTALE DI OGNI REGIONE (CON FILTRO)]]</f>
        <v>2.5111699078070736E-3</v>
      </c>
      <c r="H7436" t="str">
        <f>IF(Comuni__2[[#This Row],[Popolazione2011]]&gt;300000,"MAGGIORE","")</f>
        <v/>
      </c>
    </row>
    <row r="7437" spans="1:8" x14ac:dyDescent="0.2">
      <c r="A7437"/>
      <c r="B7437"/>
      <c r="C7437"/>
      <c r="D7437"/>
      <c r="E7437" s="2">
        <f>Comuni__2[[#This Row],[Popolazione2011]]/$D$7911</f>
        <v>2.0290097061113142E-4</v>
      </c>
      <c r="F7437">
        <f>SUMIFS($D$2:$D$7909, $B$2:$B$7909, "Veneto")</f>
        <v>4855904</v>
      </c>
      <c r="G7437" s="1">
        <f>Comuni__2[[#This Row],[Popolazione2011]]/Comuni__2[[#This Row],[POPOLAZIONE TOTALE DI OGNI REGIONE (CON FILTRO)]]</f>
        <v>2.4829568294595611E-3</v>
      </c>
      <c r="H7437" t="str">
        <f>IF(Comuni__2[[#This Row],[Popolazione2011]]&gt;300000,"MAGGIORE","")</f>
        <v/>
      </c>
    </row>
    <row r="7438" spans="1:8" x14ac:dyDescent="0.2">
      <c r="A7438"/>
      <c r="B7438"/>
      <c r="C7438"/>
      <c r="D7438"/>
      <c r="E7438" s="2">
        <f>Comuni__2[[#This Row],[Popolazione2011]]/$D$7911</f>
        <v>2.0241294472179554E-4</v>
      </c>
      <c r="F7438">
        <f>SUMIFS($D$2:$D$7909, $B$2:$B$7909, "Veneto")</f>
        <v>4855904</v>
      </c>
      <c r="G7438" s="1">
        <f>Comuni__2[[#This Row],[Popolazione2011]]/Comuni__2[[#This Row],[POPOLAZIONE TOTALE DI OGNI REGIONE (CON FILTRO)]]</f>
        <v>2.4769847179845401E-3</v>
      </c>
      <c r="H7438" t="str">
        <f>IF(Comuni__2[[#This Row],[Popolazione2011]]&gt;300000,"MAGGIORE","")</f>
        <v/>
      </c>
    </row>
    <row r="7439" spans="1:8" x14ac:dyDescent="0.2">
      <c r="A7439"/>
      <c r="B7439"/>
      <c r="C7439"/>
      <c r="D7439"/>
      <c r="E7439" s="2">
        <f>Comuni__2[[#This Row],[Popolazione2011]]/$D$7911</f>
        <v>2.0234563080602508E-4</v>
      </c>
      <c r="F7439">
        <f>SUMIFS($D$2:$D$7909, $B$2:$B$7909, "Veneto")</f>
        <v>4855904</v>
      </c>
      <c r="G7439" s="1">
        <f>Comuni__2[[#This Row],[Popolazione2011]]/Comuni__2[[#This Row],[POPOLAZIONE TOTALE DI OGNI REGIONE (CON FILTRO)]]</f>
        <v>2.4761609784707439E-3</v>
      </c>
      <c r="H7439" t="str">
        <f>IF(Comuni__2[[#This Row],[Popolazione2011]]&gt;300000,"MAGGIORE","")</f>
        <v/>
      </c>
    </row>
    <row r="7440" spans="1:8" x14ac:dyDescent="0.2">
      <c r="A7440"/>
      <c r="B7440"/>
      <c r="C7440"/>
      <c r="D7440"/>
      <c r="E7440" s="2">
        <f>Comuni__2[[#This Row],[Popolazione2011]]/$D$7911</f>
        <v>2.0226148841131198E-4</v>
      </c>
      <c r="F7440">
        <f>SUMIFS($D$2:$D$7909, $B$2:$B$7909, "Veneto")</f>
        <v>4855904</v>
      </c>
      <c r="G7440" s="1">
        <f>Comuni__2[[#This Row],[Popolazione2011]]/Comuni__2[[#This Row],[POPOLAZIONE TOTALE DI OGNI REGIONE (CON FILTRO)]]</f>
        <v>2.4751313040784991E-3</v>
      </c>
      <c r="H7440" t="str">
        <f>IF(Comuni__2[[#This Row],[Popolazione2011]]&gt;300000,"MAGGIORE","")</f>
        <v/>
      </c>
    </row>
    <row r="7441" spans="1:8" x14ac:dyDescent="0.2">
      <c r="A7441"/>
      <c r="B7441"/>
      <c r="C7441"/>
      <c r="D7441"/>
      <c r="E7441" s="2">
        <f>Comuni__2[[#This Row],[Popolazione2011]]/$D$7911</f>
        <v>2.0140323598523852E-4</v>
      </c>
      <c r="F7441">
        <f>SUMIFS($D$2:$D$7909, $B$2:$B$7909, "Veneto")</f>
        <v>4855904</v>
      </c>
      <c r="G7441" s="1">
        <f>Comuni__2[[#This Row],[Popolazione2011]]/Comuni__2[[#This Row],[POPOLAZIONE TOTALE DI OGNI REGIONE (CON FILTRO)]]</f>
        <v>2.4646286252776001E-3</v>
      </c>
      <c r="H7441" t="str">
        <f>IF(Comuni__2[[#This Row],[Popolazione2011]]&gt;300000,"MAGGIORE","")</f>
        <v/>
      </c>
    </row>
    <row r="7442" spans="1:8" x14ac:dyDescent="0.2">
      <c r="A7442"/>
      <c r="B7442"/>
      <c r="C7442"/>
      <c r="D7442"/>
      <c r="E7442" s="2">
        <f>Comuni__2[[#This Row],[Popolazione2011]]/$D$7911</f>
        <v>2.0091521009590264E-4</v>
      </c>
      <c r="F7442">
        <f>SUMIFS($D$2:$D$7909, $B$2:$B$7909, "Veneto")</f>
        <v>4855904</v>
      </c>
      <c r="G7442" s="1">
        <f>Comuni__2[[#This Row],[Popolazione2011]]/Comuni__2[[#This Row],[POPOLAZIONE TOTALE DI OGNI REGIONE (CON FILTRO)]]</f>
        <v>2.4586565138025791E-3</v>
      </c>
      <c r="H7442" t="str">
        <f>IF(Comuni__2[[#This Row],[Popolazione2011]]&gt;300000,"MAGGIORE","")</f>
        <v/>
      </c>
    </row>
    <row r="7443" spans="1:8" x14ac:dyDescent="0.2">
      <c r="A7443"/>
      <c r="B7443"/>
      <c r="C7443"/>
      <c r="D7443"/>
      <c r="E7443" s="2">
        <f>Comuni__2[[#This Row],[Popolazione2011]]/$D$7911</f>
        <v>1.9845825217028058E-4</v>
      </c>
      <c r="F7443">
        <f>SUMIFS($D$2:$D$7909, $B$2:$B$7909, "Veneto")</f>
        <v>4855904</v>
      </c>
      <c r="G7443" s="1">
        <f>Comuni__2[[#This Row],[Popolazione2011]]/Comuni__2[[#This Row],[POPOLAZIONE TOTALE DI OGNI REGIONE (CON FILTRO)]]</f>
        <v>2.4285900215490256E-3</v>
      </c>
      <c r="H7443" t="str">
        <f>IF(Comuni__2[[#This Row],[Popolazione2011]]&gt;300000,"MAGGIORE","")</f>
        <v/>
      </c>
    </row>
    <row r="7444" spans="1:8" x14ac:dyDescent="0.2">
      <c r="A7444"/>
      <c r="B7444"/>
      <c r="C7444"/>
      <c r="D7444"/>
      <c r="E7444" s="2">
        <f>Comuni__2[[#This Row],[Popolazione2011]]/$D$7911</f>
        <v>1.9790291236517423E-4</v>
      </c>
      <c r="F7444">
        <f>SUMIFS($D$2:$D$7909, $B$2:$B$7909, "Veneto")</f>
        <v>4855904</v>
      </c>
      <c r="G7444" s="1">
        <f>Comuni__2[[#This Row],[Popolazione2011]]/Comuni__2[[#This Row],[POPOLAZIONE TOTALE DI OGNI REGIONE (CON FILTRO)]]</f>
        <v>2.4217941705602089E-3</v>
      </c>
      <c r="H7444" t="str">
        <f>IF(Comuni__2[[#This Row],[Popolazione2011]]&gt;300000,"MAGGIORE","")</f>
        <v/>
      </c>
    </row>
    <row r="7445" spans="1:8" x14ac:dyDescent="0.2">
      <c r="A7445"/>
      <c r="B7445"/>
      <c r="C7445"/>
      <c r="D7445"/>
      <c r="E7445" s="2">
        <f>Comuni__2[[#This Row],[Popolazione2011]]/$D$7911</f>
        <v>1.9781876997046114E-4</v>
      </c>
      <c r="F7445">
        <f>SUMIFS($D$2:$D$7909, $B$2:$B$7909, "Veneto")</f>
        <v>4855904</v>
      </c>
      <c r="G7445" s="1">
        <f>Comuni__2[[#This Row],[Popolazione2011]]/Comuni__2[[#This Row],[POPOLAZIONE TOTALE DI OGNI REGIONE (CON FILTRO)]]</f>
        <v>2.4207644961679636E-3</v>
      </c>
      <c r="H7445" t="str">
        <f>IF(Comuni__2[[#This Row],[Popolazione2011]]&gt;300000,"MAGGIORE","")</f>
        <v/>
      </c>
    </row>
    <row r="7446" spans="1:8" x14ac:dyDescent="0.2">
      <c r="A7446"/>
      <c r="B7446"/>
      <c r="C7446"/>
      <c r="D7446"/>
      <c r="E7446" s="2">
        <f>Comuni__2[[#This Row],[Popolazione2011]]/$D$7911</f>
        <v>1.9754951430737928E-4</v>
      </c>
      <c r="F7446">
        <f>SUMIFS($D$2:$D$7909, $B$2:$B$7909, "Veneto")</f>
        <v>4855904</v>
      </c>
      <c r="G7446" s="1">
        <f>Comuni__2[[#This Row],[Popolazione2011]]/Comuni__2[[#This Row],[POPOLAZIONE TOTALE DI OGNI REGIONE (CON FILTRO)]]</f>
        <v>2.4174695381127798E-3</v>
      </c>
      <c r="H7446" t="str">
        <f>IF(Comuni__2[[#This Row],[Popolazione2011]]&gt;300000,"MAGGIORE","")</f>
        <v/>
      </c>
    </row>
    <row r="7447" spans="1:8" x14ac:dyDescent="0.2">
      <c r="A7447"/>
      <c r="B7447"/>
      <c r="C7447"/>
      <c r="D7447"/>
      <c r="E7447" s="2">
        <f>Comuni__2[[#This Row],[Popolazione2011]]/$D$7911</f>
        <v>1.9692686058650244E-4</v>
      </c>
      <c r="F7447">
        <f>SUMIFS($D$2:$D$7909, $B$2:$B$7909, "Veneto")</f>
        <v>4855904</v>
      </c>
      <c r="G7447" s="1">
        <f>Comuni__2[[#This Row],[Popolazione2011]]/Comuni__2[[#This Row],[POPOLAZIONE TOTALE DI OGNI REGIONE (CON FILTRO)]]</f>
        <v>2.4098499476101669E-3</v>
      </c>
      <c r="H7447" t="str">
        <f>IF(Comuni__2[[#This Row],[Popolazione2011]]&gt;300000,"MAGGIORE","")</f>
        <v/>
      </c>
    </row>
    <row r="7448" spans="1:8" x14ac:dyDescent="0.2">
      <c r="A7448"/>
      <c r="B7448"/>
      <c r="C7448"/>
      <c r="D7448"/>
      <c r="E7448" s="2">
        <f>Comuni__2[[#This Row],[Popolazione2011]]/$D$7911</f>
        <v>1.9620323599196991E-4</v>
      </c>
      <c r="F7448">
        <f>SUMIFS($D$2:$D$7909, $B$2:$B$7909, "Veneto")</f>
        <v>4855904</v>
      </c>
      <c r="G7448" s="1">
        <f>Comuni__2[[#This Row],[Popolazione2011]]/Comuni__2[[#This Row],[POPOLAZIONE TOTALE DI OGNI REGIONE (CON FILTRO)]]</f>
        <v>2.4009947478368602E-3</v>
      </c>
      <c r="H7448" t="str">
        <f>IF(Comuni__2[[#This Row],[Popolazione2011]]&gt;300000,"MAGGIORE","")</f>
        <v/>
      </c>
    </row>
    <row r="7449" spans="1:8" x14ac:dyDescent="0.2">
      <c r="A7449"/>
      <c r="B7449"/>
      <c r="C7449"/>
      <c r="D7449"/>
      <c r="E7449" s="2">
        <f>Comuni__2[[#This Row],[Popolazione2011]]/$D$7911</f>
        <v>1.9383042046106094E-4</v>
      </c>
      <c r="F7449">
        <f>SUMIFS($D$2:$D$7909, $B$2:$B$7909, "Veneto")</f>
        <v>4855904</v>
      </c>
      <c r="G7449" s="1">
        <f>Comuni__2[[#This Row],[Popolazione2011]]/Comuni__2[[#This Row],[POPOLAZIONE TOTALE DI OGNI REGIONE (CON FILTRO)]]</f>
        <v>2.3719579299755515E-3</v>
      </c>
      <c r="H7449" t="str">
        <f>IF(Comuni__2[[#This Row],[Popolazione2011]]&gt;300000,"MAGGIORE","")</f>
        <v/>
      </c>
    </row>
    <row r="7450" spans="1:8" x14ac:dyDescent="0.2">
      <c r="A7450"/>
      <c r="B7450"/>
      <c r="C7450"/>
      <c r="D7450"/>
      <c r="E7450" s="2">
        <f>Comuni__2[[#This Row],[Popolazione2011]]/$D$7911</f>
        <v>1.9280388324556132E-4</v>
      </c>
      <c r="F7450">
        <f>SUMIFS($D$2:$D$7909, $B$2:$B$7909, "Veneto")</f>
        <v>4855904</v>
      </c>
      <c r="G7450" s="1">
        <f>Comuni__2[[#This Row],[Popolazione2011]]/Comuni__2[[#This Row],[POPOLAZIONE TOTALE DI OGNI REGIONE (CON FILTRO)]]</f>
        <v>2.3593959023901624E-3</v>
      </c>
      <c r="H7450" t="str">
        <f>IF(Comuni__2[[#This Row],[Popolazione2011]]&gt;300000,"MAGGIORE","")</f>
        <v/>
      </c>
    </row>
    <row r="7451" spans="1:8" x14ac:dyDescent="0.2">
      <c r="A7451"/>
      <c r="B7451"/>
      <c r="C7451"/>
      <c r="D7451"/>
      <c r="E7451" s="2">
        <f>Comuni__2[[#This Row],[Popolazione2011]]/$D$7911</f>
        <v>1.9221488648256974E-4</v>
      </c>
      <c r="F7451">
        <f>SUMIFS($D$2:$D$7909, $B$2:$B$7909, "Veneto")</f>
        <v>4855904</v>
      </c>
      <c r="G7451" s="1">
        <f>Comuni__2[[#This Row],[Popolazione2011]]/Comuni__2[[#This Row],[POPOLAZIONE TOTALE DI OGNI REGIONE (CON FILTRO)]]</f>
        <v>2.3521881816444476E-3</v>
      </c>
      <c r="H7451" t="str">
        <f>IF(Comuni__2[[#This Row],[Popolazione2011]]&gt;300000,"MAGGIORE","")</f>
        <v/>
      </c>
    </row>
    <row r="7452" spans="1:8" x14ac:dyDescent="0.2">
      <c r="A7452"/>
      <c r="B7452"/>
      <c r="C7452"/>
      <c r="D7452"/>
      <c r="E7452" s="2">
        <f>Comuni__2[[#This Row],[Popolazione2011]]/$D$7911</f>
        <v>1.9102006447764392E-4</v>
      </c>
      <c r="F7452">
        <f>SUMIFS($D$2:$D$7909, $B$2:$B$7909, "Veneto")</f>
        <v>4855904</v>
      </c>
      <c r="G7452" s="1">
        <f>Comuni__2[[#This Row],[Popolazione2011]]/Comuni__2[[#This Row],[POPOLAZIONE TOTALE DI OGNI REGIONE (CON FILTRO)]]</f>
        <v>2.3375668052745689E-3</v>
      </c>
      <c r="H7452" t="str">
        <f>IF(Comuni__2[[#This Row],[Popolazione2011]]&gt;300000,"MAGGIORE","")</f>
        <v/>
      </c>
    </row>
    <row r="7453" spans="1:8" x14ac:dyDescent="0.2">
      <c r="A7453"/>
      <c r="B7453"/>
      <c r="C7453"/>
      <c r="D7453"/>
      <c r="E7453" s="2">
        <f>Comuni__2[[#This Row],[Popolazione2011]]/$D$7911</f>
        <v>1.8883236221510375E-4</v>
      </c>
      <c r="F7453">
        <f>SUMIFS($D$2:$D$7909, $B$2:$B$7909, "Veneto")</f>
        <v>4855904</v>
      </c>
      <c r="G7453" s="1">
        <f>Comuni__2[[#This Row],[Popolazione2011]]/Comuni__2[[#This Row],[POPOLAZIONE TOTALE DI OGNI REGIONE (CON FILTRO)]]</f>
        <v>2.3107952710761993E-3</v>
      </c>
      <c r="H7453" t="str">
        <f>IF(Comuni__2[[#This Row],[Popolazione2011]]&gt;300000,"MAGGIORE","")</f>
        <v/>
      </c>
    </row>
    <row r="7454" spans="1:8" x14ac:dyDescent="0.2">
      <c r="A7454"/>
      <c r="B7454"/>
      <c r="C7454"/>
      <c r="D7454"/>
      <c r="E7454" s="2">
        <f>Comuni__2[[#This Row],[Popolazione2011]]/$D$7911</f>
        <v>1.8738511302603868E-4</v>
      </c>
      <c r="F7454">
        <f>SUMIFS($D$2:$D$7909, $B$2:$B$7909, "Veneto")</f>
        <v>4855904</v>
      </c>
      <c r="G7454" s="1">
        <f>Comuni__2[[#This Row],[Popolazione2011]]/Comuni__2[[#This Row],[POPOLAZIONE TOTALE DI OGNI REGIONE (CON FILTRO)]]</f>
        <v>2.2930848715295854E-3</v>
      </c>
      <c r="H7454" t="str">
        <f>IF(Comuni__2[[#This Row],[Popolazione2011]]&gt;300000,"MAGGIORE","")</f>
        <v/>
      </c>
    </row>
    <row r="7455" spans="1:8" x14ac:dyDescent="0.2">
      <c r="A7455"/>
      <c r="B7455"/>
      <c r="C7455"/>
      <c r="D7455"/>
      <c r="E7455" s="2">
        <f>Comuni__2[[#This Row],[Popolazione2011]]/$D$7911</f>
        <v>1.8730097063132561E-4</v>
      </c>
      <c r="F7455">
        <f>SUMIFS($D$2:$D$7909, $B$2:$B$7909, "Veneto")</f>
        <v>4855904</v>
      </c>
      <c r="G7455" s="1">
        <f>Comuni__2[[#This Row],[Popolazione2011]]/Comuni__2[[#This Row],[POPOLAZIONE TOTALE DI OGNI REGIONE (CON FILTRO)]]</f>
        <v>2.2920551971373406E-3</v>
      </c>
      <c r="H7455" t="str">
        <f>IF(Comuni__2[[#This Row],[Popolazione2011]]&gt;300000,"MAGGIORE","")</f>
        <v/>
      </c>
    </row>
    <row r="7456" spans="1:8" x14ac:dyDescent="0.2">
      <c r="A7456"/>
      <c r="B7456"/>
      <c r="C7456"/>
      <c r="D7456"/>
      <c r="E7456" s="2">
        <f>Comuni__2[[#This Row],[Popolazione2011]]/$D$7911</f>
        <v>1.8635857581053905E-4</v>
      </c>
      <c r="F7456">
        <f>SUMIFS($D$2:$D$7909, $B$2:$B$7909, "Veneto")</f>
        <v>4855904</v>
      </c>
      <c r="G7456" s="1">
        <f>Comuni__2[[#This Row],[Popolazione2011]]/Comuni__2[[#This Row],[POPOLAZIONE TOTALE DI OGNI REGIONE (CON FILTRO)]]</f>
        <v>2.2805228439441967E-3</v>
      </c>
      <c r="H7456" t="str">
        <f>IF(Comuni__2[[#This Row],[Popolazione2011]]&gt;300000,"MAGGIORE","")</f>
        <v/>
      </c>
    </row>
    <row r="7457" spans="1:8" x14ac:dyDescent="0.2">
      <c r="A7457"/>
      <c r="B7457"/>
      <c r="C7457"/>
      <c r="D7457"/>
      <c r="E7457" s="2">
        <f>Comuni__2[[#This Row],[Popolazione2011]]/$D$7911</f>
        <v>1.8575275056860485E-4</v>
      </c>
      <c r="F7457">
        <f>SUMIFS($D$2:$D$7909, $B$2:$B$7909, "Veneto")</f>
        <v>4855904</v>
      </c>
      <c r="G7457" s="1">
        <f>Comuni__2[[#This Row],[Popolazione2011]]/Comuni__2[[#This Row],[POPOLAZIONE TOTALE DI OGNI REGIONE (CON FILTRO)]]</f>
        <v>2.2731091883200329E-3</v>
      </c>
      <c r="H7457" t="str">
        <f>IF(Comuni__2[[#This Row],[Popolazione2011]]&gt;300000,"MAGGIORE","")</f>
        <v/>
      </c>
    </row>
    <row r="7458" spans="1:8" x14ac:dyDescent="0.2">
      <c r="A7458"/>
      <c r="B7458"/>
      <c r="C7458"/>
      <c r="D7458"/>
      <c r="E7458" s="2">
        <f>Comuni__2[[#This Row],[Popolazione2011]]/$D$7911</f>
        <v>1.8541618098975252E-4</v>
      </c>
      <c r="F7458">
        <f>SUMIFS($D$2:$D$7909, $B$2:$B$7909, "Veneto")</f>
        <v>4855904</v>
      </c>
      <c r="G7458" s="1">
        <f>Comuni__2[[#This Row],[Popolazione2011]]/Comuni__2[[#This Row],[POPOLAZIONE TOTALE DI OGNI REGIONE (CON FILTRO)]]</f>
        <v>2.2689904907510529E-3</v>
      </c>
      <c r="H7458" t="str">
        <f>IF(Comuni__2[[#This Row],[Popolazione2011]]&gt;300000,"MAGGIORE","")</f>
        <v/>
      </c>
    </row>
    <row r="7459" spans="1:8" x14ac:dyDescent="0.2">
      <c r="A7459"/>
      <c r="B7459"/>
      <c r="C7459"/>
      <c r="D7459"/>
      <c r="E7459" s="2">
        <f>Comuni__2[[#This Row],[Popolazione2011]]/$D$7911</f>
        <v>1.8487766966358878E-4</v>
      </c>
      <c r="F7459">
        <f>SUMIFS($D$2:$D$7909, $B$2:$B$7909, "Veneto")</f>
        <v>4855904</v>
      </c>
      <c r="G7459" s="1">
        <f>Comuni__2[[#This Row],[Popolazione2011]]/Comuni__2[[#This Row],[POPOLAZIONE TOTALE DI OGNI REGIONE (CON FILTRO)]]</f>
        <v>2.2624005746406848E-3</v>
      </c>
      <c r="H7459" t="str">
        <f>IF(Comuni__2[[#This Row],[Popolazione2011]]&gt;300000,"MAGGIORE","")</f>
        <v/>
      </c>
    </row>
    <row r="7460" spans="1:8" x14ac:dyDescent="0.2">
      <c r="A7460"/>
      <c r="B7460"/>
      <c r="C7460"/>
      <c r="D7460"/>
      <c r="E7460" s="2">
        <f>Comuni__2[[#This Row],[Popolazione2011]]/$D$7911</f>
        <v>1.8445695769002336E-4</v>
      </c>
      <c r="F7460">
        <f>SUMIFS($D$2:$D$7909, $B$2:$B$7909, "Veneto")</f>
        <v>4855904</v>
      </c>
      <c r="G7460" s="1">
        <f>Comuni__2[[#This Row],[Popolazione2011]]/Comuni__2[[#This Row],[POPOLAZIONE TOTALE DI OGNI REGIONE (CON FILTRO)]]</f>
        <v>2.25725220267946E-3</v>
      </c>
      <c r="H7460" t="str">
        <f>IF(Comuni__2[[#This Row],[Popolazione2011]]&gt;300000,"MAGGIORE","")</f>
        <v/>
      </c>
    </row>
    <row r="7461" spans="1:8" x14ac:dyDescent="0.2">
      <c r="A7461"/>
      <c r="B7461"/>
      <c r="C7461"/>
      <c r="D7461"/>
      <c r="E7461" s="2">
        <f>Comuni__2[[#This Row],[Popolazione2011]]/$D$7911</f>
        <v>1.8311067937461402E-4</v>
      </c>
      <c r="F7461">
        <f>SUMIFS($D$2:$D$7909, $B$2:$B$7909, "Veneto")</f>
        <v>4855904</v>
      </c>
      <c r="G7461" s="1">
        <f>Comuni__2[[#This Row],[Popolazione2011]]/Comuni__2[[#This Row],[POPOLAZIONE TOTALE DI OGNI REGIONE (CON FILTRO)]]</f>
        <v>2.2407774124035399E-3</v>
      </c>
      <c r="H7461" t="str">
        <f>IF(Comuni__2[[#This Row],[Popolazione2011]]&gt;300000,"MAGGIORE","")</f>
        <v/>
      </c>
    </row>
    <row r="7462" spans="1:8" x14ac:dyDescent="0.2">
      <c r="A7462"/>
      <c r="B7462"/>
      <c r="C7462"/>
      <c r="D7462"/>
      <c r="E7462" s="2">
        <f>Comuni__2[[#This Row],[Popolazione2011]]/$D$7911</f>
        <v>1.8272362435893381E-4</v>
      </c>
      <c r="F7462">
        <f>SUMIFS($D$2:$D$7909, $B$2:$B$7909, "Veneto")</f>
        <v>4855904</v>
      </c>
      <c r="G7462" s="1">
        <f>Comuni__2[[#This Row],[Popolazione2011]]/Comuni__2[[#This Row],[POPOLAZIONE TOTALE DI OGNI REGIONE (CON FILTRO)]]</f>
        <v>2.2360409101992132E-3</v>
      </c>
      <c r="H7462" t="str">
        <f>IF(Comuni__2[[#This Row],[Popolazione2011]]&gt;300000,"MAGGIORE","")</f>
        <v/>
      </c>
    </row>
    <row r="7463" spans="1:8" x14ac:dyDescent="0.2">
      <c r="A7463"/>
      <c r="B7463"/>
      <c r="C7463"/>
      <c r="D7463"/>
      <c r="E7463" s="2">
        <f>Comuni__2[[#This Row],[Popolazione2011]]/$D$7911</f>
        <v>1.822019415117127E-4</v>
      </c>
      <c r="F7463">
        <f>SUMIFS($D$2:$D$7909, $B$2:$B$7909, "Veneto")</f>
        <v>4855904</v>
      </c>
      <c r="G7463" s="1">
        <f>Comuni__2[[#This Row],[Popolazione2011]]/Comuni__2[[#This Row],[POPOLAZIONE TOTALE DI OGNI REGIONE (CON FILTRO)]]</f>
        <v>2.2296569289672941E-3</v>
      </c>
      <c r="H7463" t="str">
        <f>IF(Comuni__2[[#This Row],[Popolazione2011]]&gt;300000,"MAGGIORE","")</f>
        <v/>
      </c>
    </row>
    <row r="7464" spans="1:8" x14ac:dyDescent="0.2">
      <c r="A7464"/>
      <c r="B7464"/>
      <c r="C7464"/>
      <c r="D7464"/>
      <c r="E7464" s="2">
        <f>Comuni__2[[#This Row],[Popolazione2011]]/$D$7911</f>
        <v>1.7989643989657419E-4</v>
      </c>
      <c r="F7464">
        <f>SUMIFS($D$2:$D$7909, $B$2:$B$7909, "Veneto")</f>
        <v>4855904</v>
      </c>
      <c r="G7464" s="1">
        <f>Comuni__2[[#This Row],[Popolazione2011]]/Comuni__2[[#This Row],[POPOLAZIONE TOTALE DI OGNI REGIONE (CON FILTRO)]]</f>
        <v>2.2014438506197816E-3</v>
      </c>
      <c r="H7464" t="str">
        <f>IF(Comuni__2[[#This Row],[Popolazione2011]]&gt;300000,"MAGGIORE","")</f>
        <v/>
      </c>
    </row>
    <row r="7465" spans="1:8" x14ac:dyDescent="0.2">
      <c r="A7465"/>
      <c r="B7465"/>
      <c r="C7465"/>
      <c r="D7465"/>
      <c r="E7465" s="2">
        <f>Comuni__2[[#This Row],[Popolazione2011]]/$D$7911</f>
        <v>1.7974498358609063E-4</v>
      </c>
      <c r="F7465">
        <f>SUMIFS($D$2:$D$7909, $B$2:$B$7909, "Veneto")</f>
        <v>4855904</v>
      </c>
      <c r="G7465" s="1">
        <f>Comuni__2[[#This Row],[Popolazione2011]]/Comuni__2[[#This Row],[POPOLAZIONE TOTALE DI OGNI REGIONE (CON FILTRO)]]</f>
        <v>2.1995904367137407E-3</v>
      </c>
      <c r="H7465" t="str">
        <f>IF(Comuni__2[[#This Row],[Popolazione2011]]&gt;300000,"MAGGIORE","")</f>
        <v/>
      </c>
    </row>
    <row r="7466" spans="1:8" x14ac:dyDescent="0.2">
      <c r="A7466"/>
      <c r="B7466"/>
      <c r="C7466"/>
      <c r="D7466"/>
      <c r="E7466" s="2">
        <f>Comuni__2[[#This Row],[Popolazione2011]]/$D$7911</f>
        <v>1.7905501594944336E-4</v>
      </c>
      <c r="F7466">
        <f>SUMIFS($D$2:$D$7909, $B$2:$B$7909, "Veneto")</f>
        <v>4855904</v>
      </c>
      <c r="G7466" s="1">
        <f>Comuni__2[[#This Row],[Popolazione2011]]/Comuni__2[[#This Row],[POPOLAZIONE TOTALE DI OGNI REGIONE (CON FILTRO)]]</f>
        <v>2.1911471066973316E-3</v>
      </c>
      <c r="H7466" t="str">
        <f>IF(Comuni__2[[#This Row],[Popolazione2011]]&gt;300000,"MAGGIORE","")</f>
        <v/>
      </c>
    </row>
    <row r="7467" spans="1:8" x14ac:dyDescent="0.2">
      <c r="A7467"/>
      <c r="B7467"/>
      <c r="C7467"/>
      <c r="D7467"/>
      <c r="E7467" s="2">
        <f>Comuni__2[[#This Row],[Popolazione2011]]/$D$7911</f>
        <v>1.7878576028636147E-4</v>
      </c>
      <c r="F7467">
        <f>SUMIFS($D$2:$D$7909, $B$2:$B$7909, "Veneto")</f>
        <v>4855904</v>
      </c>
      <c r="G7467" s="1">
        <f>Comuni__2[[#This Row],[Popolazione2011]]/Comuni__2[[#This Row],[POPOLAZIONE TOTALE DI OGNI REGIONE (CON FILTRO)]]</f>
        <v>2.1878521486421477E-3</v>
      </c>
      <c r="H7467" t="str">
        <f>IF(Comuni__2[[#This Row],[Popolazione2011]]&gt;300000,"MAGGIORE","")</f>
        <v/>
      </c>
    </row>
    <row r="7468" spans="1:8" x14ac:dyDescent="0.2">
      <c r="A7468"/>
      <c r="B7468"/>
      <c r="C7468"/>
      <c r="D7468"/>
      <c r="E7468" s="2">
        <f>Comuni__2[[#This Row],[Popolazione2011]]/$D$7911</f>
        <v>1.7779288002874708E-4</v>
      </c>
      <c r="F7468">
        <f>SUMIFS($D$2:$D$7909, $B$2:$B$7909, "Veneto")</f>
        <v>4855904</v>
      </c>
      <c r="G7468" s="1">
        <f>Comuni__2[[#This Row],[Popolazione2011]]/Comuni__2[[#This Row],[POPOLAZIONE TOTALE DI OGNI REGIONE (CON FILTRO)]]</f>
        <v>2.1757019908136568E-3</v>
      </c>
      <c r="H7468" t="str">
        <f>IF(Comuni__2[[#This Row],[Popolazione2011]]&gt;300000,"MAGGIORE","")</f>
        <v/>
      </c>
    </row>
    <row r="7469" spans="1:8" x14ac:dyDescent="0.2">
      <c r="A7469"/>
      <c r="B7469"/>
      <c r="C7469"/>
      <c r="D7469"/>
      <c r="E7469" s="2">
        <f>Comuni__2[[#This Row],[Popolazione2011]]/$D$7911</f>
        <v>1.773048541394112E-4</v>
      </c>
      <c r="F7469">
        <f>SUMIFS($D$2:$D$7909, $B$2:$B$7909, "Veneto")</f>
        <v>4855904</v>
      </c>
      <c r="G7469" s="1">
        <f>Comuni__2[[#This Row],[Popolazione2011]]/Comuni__2[[#This Row],[POPOLAZIONE TOTALE DI OGNI REGIONE (CON FILTRO)]]</f>
        <v>2.1697298793386362E-3</v>
      </c>
      <c r="H7469" t="str">
        <f>IF(Comuni__2[[#This Row],[Popolazione2011]]&gt;300000,"MAGGIORE","")</f>
        <v/>
      </c>
    </row>
    <row r="7470" spans="1:8" x14ac:dyDescent="0.2">
      <c r="A7470"/>
      <c r="B7470"/>
      <c r="C7470"/>
      <c r="D7470"/>
      <c r="E7470" s="2">
        <f>Comuni__2[[#This Row],[Popolazione2011]]/$D$7911</f>
        <v>1.7404012922454354E-4</v>
      </c>
      <c r="F7470">
        <f>SUMIFS($D$2:$D$7909, $B$2:$B$7909, "Veneto")</f>
        <v>4855904</v>
      </c>
      <c r="G7470" s="1">
        <f>Comuni__2[[#This Row],[Popolazione2011]]/Comuni__2[[#This Row],[POPOLAZIONE TOTALE DI OGNI REGIONE (CON FILTRO)]]</f>
        <v>2.1297785129195303E-3</v>
      </c>
      <c r="H7470" t="str">
        <f>IF(Comuni__2[[#This Row],[Popolazione2011]]&gt;300000,"MAGGIORE","")</f>
        <v/>
      </c>
    </row>
    <row r="7471" spans="1:8" x14ac:dyDescent="0.2">
      <c r="A7471"/>
      <c r="B7471"/>
      <c r="C7471"/>
      <c r="D7471"/>
      <c r="E7471" s="2">
        <f>Comuni__2[[#This Row],[Popolazione2011]]/$D$7911</f>
        <v>1.732155337563553E-4</v>
      </c>
      <c r="F7471">
        <f>SUMIFS($D$2:$D$7909, $B$2:$B$7909, "Veneto")</f>
        <v>4855904</v>
      </c>
      <c r="G7471" s="1">
        <f>Comuni__2[[#This Row],[Popolazione2011]]/Comuni__2[[#This Row],[POPOLAZIONE TOTALE DI OGNI REGIONE (CON FILTRO)]]</f>
        <v>2.1196877038755298E-3</v>
      </c>
      <c r="H7471" t="str">
        <f>IF(Comuni__2[[#This Row],[Popolazione2011]]&gt;300000,"MAGGIORE","")</f>
        <v/>
      </c>
    </row>
    <row r="7472" spans="1:8" x14ac:dyDescent="0.2">
      <c r="A7472"/>
      <c r="B7472"/>
      <c r="C7472"/>
      <c r="D7472"/>
      <c r="E7472" s="2">
        <f>Comuni__2[[#This Row],[Popolazione2011]]/$D$7911</f>
        <v>1.6963106774157789E-4</v>
      </c>
      <c r="F7472">
        <f>SUMIFS($D$2:$D$7909, $B$2:$B$7909, "Veneto")</f>
        <v>4855904</v>
      </c>
      <c r="G7472" s="1">
        <f>Comuni__2[[#This Row],[Popolazione2011]]/Comuni__2[[#This Row],[POPOLAZIONE TOTALE DI OGNI REGIONE (CON FILTRO)]]</f>
        <v>2.0758235747658934E-3</v>
      </c>
      <c r="H7472" t="str">
        <f>IF(Comuni__2[[#This Row],[Popolazione2011]]&gt;300000,"MAGGIORE","")</f>
        <v/>
      </c>
    </row>
    <row r="7473" spans="1:8" x14ac:dyDescent="0.2">
      <c r="A7473"/>
      <c r="B7473"/>
      <c r="C7473"/>
      <c r="D7473"/>
      <c r="E7473" s="2">
        <f>Comuni__2[[#This Row],[Popolazione2011]]/$D$7911</f>
        <v>1.6926084120484034E-4</v>
      </c>
      <c r="F7473">
        <f>SUMIFS($D$2:$D$7909, $B$2:$B$7909, "Veneto")</f>
        <v>4855904</v>
      </c>
      <c r="G7473" s="1">
        <f>Comuni__2[[#This Row],[Popolazione2011]]/Comuni__2[[#This Row],[POPOLAZIONE TOTALE DI OGNI REGIONE (CON FILTRO)]]</f>
        <v>2.0712930074400153E-3</v>
      </c>
      <c r="H7473" t="str">
        <f>IF(Comuni__2[[#This Row],[Popolazione2011]]&gt;300000,"MAGGIORE","")</f>
        <v/>
      </c>
    </row>
    <row r="7474" spans="1:8" x14ac:dyDescent="0.2">
      <c r="A7474"/>
      <c r="B7474"/>
      <c r="C7474"/>
      <c r="D7474"/>
      <c r="E7474" s="2">
        <f>Comuni__2[[#This Row],[Popolazione2011]]/$D$7911</f>
        <v>1.6904207097858632E-4</v>
      </c>
      <c r="F7474">
        <f>SUMIFS($D$2:$D$7909, $B$2:$B$7909, "Veneto")</f>
        <v>4855904</v>
      </c>
      <c r="G7474" s="1">
        <f>Comuni__2[[#This Row],[Popolazione2011]]/Comuni__2[[#This Row],[POPOLAZIONE TOTALE DI OGNI REGIONE (CON FILTRO)]]</f>
        <v>2.0686158540201781E-3</v>
      </c>
      <c r="H7474" t="str">
        <f>IF(Comuni__2[[#This Row],[Popolazione2011]]&gt;300000,"MAGGIORE","")</f>
        <v/>
      </c>
    </row>
    <row r="7475" spans="1:8" x14ac:dyDescent="0.2">
      <c r="A7475"/>
      <c r="B7475"/>
      <c r="C7475"/>
      <c r="D7475"/>
      <c r="E7475" s="2">
        <f>Comuni__2[[#This Row],[Popolazione2011]]/$D$7911</f>
        <v>1.6900841402070108E-4</v>
      </c>
      <c r="F7475">
        <f>SUMIFS($D$2:$D$7909, $B$2:$B$7909, "Veneto")</f>
        <v>4855904</v>
      </c>
      <c r="G7475" s="1">
        <f>Comuni__2[[#This Row],[Popolazione2011]]/Comuni__2[[#This Row],[POPOLAZIONE TOTALE DI OGNI REGIONE (CON FILTRO)]]</f>
        <v>2.0682039842632805E-3</v>
      </c>
      <c r="H7475" t="str">
        <f>IF(Comuni__2[[#This Row],[Popolazione2011]]&gt;300000,"MAGGIORE","")</f>
        <v/>
      </c>
    </row>
    <row r="7476" spans="1:8" x14ac:dyDescent="0.2">
      <c r="A7476"/>
      <c r="B7476"/>
      <c r="C7476"/>
      <c r="D7476"/>
      <c r="E7476" s="2">
        <f>Comuni__2[[#This Row],[Popolazione2011]]/$D$7911</f>
        <v>1.679313913683736E-4</v>
      </c>
      <c r="F7476">
        <f>SUMIFS($D$2:$D$7909, $B$2:$B$7909, "Veneto")</f>
        <v>4855904</v>
      </c>
      <c r="G7476" s="1">
        <f>Comuni__2[[#This Row],[Popolazione2011]]/Comuni__2[[#This Row],[POPOLAZIONE TOTALE DI OGNI REGIONE (CON FILTRO)]]</f>
        <v>2.0550241520425447E-3</v>
      </c>
      <c r="H7476" t="str">
        <f>IF(Comuni__2[[#This Row],[Popolazione2011]]&gt;300000,"MAGGIORE","")</f>
        <v/>
      </c>
    </row>
    <row r="7477" spans="1:8" x14ac:dyDescent="0.2">
      <c r="A7477"/>
      <c r="B7477"/>
      <c r="C7477"/>
      <c r="D7477"/>
      <c r="E7477" s="2">
        <f>Comuni__2[[#This Row],[Popolazione2011]]/$D$7911</f>
        <v>1.6698899654758707E-4</v>
      </c>
      <c r="F7477">
        <f>SUMIFS($D$2:$D$7909, $B$2:$B$7909, "Veneto")</f>
        <v>4855904</v>
      </c>
      <c r="G7477" s="1">
        <f>Comuni__2[[#This Row],[Popolazione2011]]/Comuni__2[[#This Row],[POPOLAZIONE TOTALE DI OGNI REGIONE (CON FILTRO)]]</f>
        <v>2.0434917988494008E-3</v>
      </c>
      <c r="H7477" t="str">
        <f>IF(Comuni__2[[#This Row],[Popolazione2011]]&gt;300000,"MAGGIORE","")</f>
        <v/>
      </c>
    </row>
    <row r="7478" spans="1:8" x14ac:dyDescent="0.2">
      <c r="A7478"/>
      <c r="B7478"/>
      <c r="C7478"/>
      <c r="D7478"/>
      <c r="E7478" s="2">
        <f>Comuni__2[[#This Row],[Popolazione2011]]/$D$7911</f>
        <v>1.6670291240556258E-4</v>
      </c>
      <c r="F7478">
        <f>SUMIFS($D$2:$D$7909, $B$2:$B$7909, "Veneto")</f>
        <v>4855904</v>
      </c>
      <c r="G7478" s="1">
        <f>Comuni__2[[#This Row],[Popolazione2011]]/Comuni__2[[#This Row],[POPOLAZIONE TOTALE DI OGNI REGIONE (CON FILTRO)]]</f>
        <v>2.0399909059157675E-3</v>
      </c>
      <c r="H7478" t="str">
        <f>IF(Comuni__2[[#This Row],[Popolazione2011]]&gt;300000,"MAGGIORE","")</f>
        <v/>
      </c>
    </row>
    <row r="7479" spans="1:8" x14ac:dyDescent="0.2">
      <c r="A7479"/>
      <c r="B7479"/>
      <c r="C7479"/>
      <c r="D7479"/>
      <c r="E7479" s="2">
        <f>Comuni__2[[#This Row],[Popolazione2011]]/$D$7911</f>
        <v>1.6646731370036593E-4</v>
      </c>
      <c r="F7479">
        <f>SUMIFS($D$2:$D$7909, $B$2:$B$7909, "Veneto")</f>
        <v>4855904</v>
      </c>
      <c r="G7479" s="1">
        <f>Comuni__2[[#This Row],[Popolazione2011]]/Comuni__2[[#This Row],[POPOLAZIONE TOTALE DI OGNI REGIONE (CON FILTRO)]]</f>
        <v>2.0371078176174818E-3</v>
      </c>
      <c r="H7479" t="str">
        <f>IF(Comuni__2[[#This Row],[Popolazione2011]]&gt;300000,"MAGGIORE","")</f>
        <v/>
      </c>
    </row>
    <row r="7480" spans="1:8" x14ac:dyDescent="0.2">
      <c r="A7480"/>
      <c r="B7480"/>
      <c r="C7480"/>
      <c r="D7480"/>
      <c r="E7480" s="2">
        <f>Comuni__2[[#This Row],[Popolazione2011]]/$D$7911</f>
        <v>1.6486860820081733E-4</v>
      </c>
      <c r="F7480">
        <f>SUMIFS($D$2:$D$7909, $B$2:$B$7909, "Veneto")</f>
        <v>4855904</v>
      </c>
      <c r="G7480" s="1">
        <f>Comuni__2[[#This Row],[Popolazione2011]]/Comuni__2[[#This Row],[POPOLAZIONE TOTALE DI OGNI REGIONE (CON FILTRO)]]</f>
        <v>2.0175440041648269E-3</v>
      </c>
      <c r="H7480" t="str">
        <f>IF(Comuni__2[[#This Row],[Popolazione2011]]&gt;300000,"MAGGIORE","")</f>
        <v/>
      </c>
    </row>
    <row r="7481" spans="1:8" x14ac:dyDescent="0.2">
      <c r="A7481"/>
      <c r="B7481"/>
      <c r="C7481"/>
      <c r="D7481"/>
      <c r="E7481" s="2">
        <f>Comuni__2[[#This Row],[Popolazione2011]]/$D$7911</f>
        <v>1.6399352729580126E-4</v>
      </c>
      <c r="F7481">
        <f>SUMIFS($D$2:$D$7909, $B$2:$B$7909, "Veneto")</f>
        <v>4855904</v>
      </c>
      <c r="G7481" s="1">
        <f>Comuni__2[[#This Row],[Popolazione2011]]/Comuni__2[[#This Row],[POPOLAZIONE TOTALE DI OGNI REGIONE (CON FILTRO)]]</f>
        <v>2.0068353904854792E-3</v>
      </c>
      <c r="H7481" t="str">
        <f>IF(Comuni__2[[#This Row],[Popolazione2011]]&gt;300000,"MAGGIORE","")</f>
        <v/>
      </c>
    </row>
    <row r="7482" spans="1:8" x14ac:dyDescent="0.2">
      <c r="A7482"/>
      <c r="B7482"/>
      <c r="C7482"/>
      <c r="D7482"/>
      <c r="E7482" s="2">
        <f>Comuni__2[[#This Row],[Popolazione2011]]/$D$7911</f>
        <v>1.6268090593827715E-4</v>
      </c>
      <c r="F7482">
        <f>SUMIFS($D$2:$D$7909, $B$2:$B$7909, "Veneto")</f>
        <v>4855904</v>
      </c>
      <c r="G7482" s="1">
        <f>Comuni__2[[#This Row],[Popolazione2011]]/Comuni__2[[#This Row],[POPOLAZIONE TOTALE DI OGNI REGIONE (CON FILTRO)]]</f>
        <v>1.9907724699664573E-3</v>
      </c>
      <c r="H7482" t="str">
        <f>IF(Comuni__2[[#This Row],[Popolazione2011]]&gt;300000,"MAGGIORE","")</f>
        <v/>
      </c>
    </row>
    <row r="7483" spans="1:8" x14ac:dyDescent="0.2">
      <c r="A7483"/>
      <c r="B7483"/>
      <c r="C7483"/>
      <c r="D7483"/>
      <c r="E7483" s="2">
        <f>Comuni__2[[#This Row],[Popolazione2011]]/$D$7911</f>
        <v>1.6259676354356405E-4</v>
      </c>
      <c r="F7483">
        <f>SUMIFS($D$2:$D$7909, $B$2:$B$7909, "Veneto")</f>
        <v>4855904</v>
      </c>
      <c r="G7483" s="1">
        <f>Comuni__2[[#This Row],[Popolazione2011]]/Comuni__2[[#This Row],[POPOLAZIONE TOTALE DI OGNI REGIONE (CON FILTRO)]]</f>
        <v>1.9897427955742125E-3</v>
      </c>
      <c r="H7483" t="str">
        <f>IF(Comuni__2[[#This Row],[Popolazione2011]]&gt;300000,"MAGGIORE","")</f>
        <v/>
      </c>
    </row>
    <row r="7484" spans="1:8" x14ac:dyDescent="0.2">
      <c r="A7484"/>
      <c r="B7484"/>
      <c r="C7484"/>
      <c r="D7484"/>
      <c r="E7484" s="2">
        <f>Comuni__2[[#This Row],[Popolazione2011]]/$D$7911</f>
        <v>1.6220970852788387E-4</v>
      </c>
      <c r="F7484">
        <f>SUMIFS($D$2:$D$7909, $B$2:$B$7909, "Veneto")</f>
        <v>4855904</v>
      </c>
      <c r="G7484" s="1">
        <f>Comuni__2[[#This Row],[Popolazione2011]]/Comuni__2[[#This Row],[POPOLAZIONE TOTALE DI OGNI REGIONE (CON FILTRO)]]</f>
        <v>1.9850062933698853E-3</v>
      </c>
      <c r="H7484" t="str">
        <f>IF(Comuni__2[[#This Row],[Popolazione2011]]&gt;300000,"MAGGIORE","")</f>
        <v/>
      </c>
    </row>
    <row r="7485" spans="1:8" x14ac:dyDescent="0.2">
      <c r="A7485"/>
      <c r="B7485"/>
      <c r="C7485"/>
      <c r="D7485"/>
      <c r="E7485" s="2">
        <f>Comuni__2[[#This Row],[Popolazione2011]]/$D$7911</f>
        <v>1.6151974089123657E-4</v>
      </c>
      <c r="F7485">
        <f>SUMIFS($D$2:$D$7909, $B$2:$B$7909, "Veneto")</f>
        <v>4855904</v>
      </c>
      <c r="G7485" s="1">
        <f>Comuni__2[[#This Row],[Popolazione2011]]/Comuni__2[[#This Row],[POPOLAZIONE TOTALE DI OGNI REGIONE (CON FILTRO)]]</f>
        <v>1.9765629633534767E-3</v>
      </c>
      <c r="H7485" t="str">
        <f>IF(Comuni__2[[#This Row],[Popolazione2011]]&gt;300000,"MAGGIORE","")</f>
        <v/>
      </c>
    </row>
    <row r="7486" spans="1:8" x14ac:dyDescent="0.2">
      <c r="A7486"/>
      <c r="B7486"/>
      <c r="C7486"/>
      <c r="D7486"/>
      <c r="E7486" s="2">
        <f>Comuni__2[[#This Row],[Popolazione2011]]/$D$7911</f>
        <v>1.5882718426041788E-4</v>
      </c>
      <c r="F7486">
        <f>SUMIFS($D$2:$D$7909, $B$2:$B$7909, "Veneto")</f>
        <v>4855904</v>
      </c>
      <c r="G7486" s="1">
        <f>Comuni__2[[#This Row],[Popolazione2011]]/Comuni__2[[#This Row],[POPOLAZIONE TOTALE DI OGNI REGIONE (CON FILTRO)]]</f>
        <v>1.943613382801637E-3</v>
      </c>
      <c r="H7486" t="str">
        <f>IF(Comuni__2[[#This Row],[Popolazione2011]]&gt;300000,"MAGGIORE","")</f>
        <v/>
      </c>
    </row>
    <row r="7487" spans="1:8" x14ac:dyDescent="0.2">
      <c r="A7487"/>
      <c r="B7487"/>
      <c r="C7487"/>
      <c r="D7487"/>
      <c r="E7487" s="2">
        <f>Comuni__2[[#This Row],[Popolazione2011]]/$D$7911</f>
        <v>1.5864207099204909E-4</v>
      </c>
      <c r="F7487">
        <f>SUMIFS($D$2:$D$7909, $B$2:$B$7909, "Veneto")</f>
        <v>4855904</v>
      </c>
      <c r="G7487" s="1">
        <f>Comuni__2[[#This Row],[Popolazione2011]]/Comuni__2[[#This Row],[POPOLAZIONE TOTALE DI OGNI REGIONE (CON FILTRO)]]</f>
        <v>1.941348099138698E-3</v>
      </c>
      <c r="H7487" t="str">
        <f>IF(Comuni__2[[#This Row],[Popolazione2011]]&gt;300000,"MAGGIORE","")</f>
        <v/>
      </c>
    </row>
    <row r="7488" spans="1:8" x14ac:dyDescent="0.2">
      <c r="A7488"/>
      <c r="B7488"/>
      <c r="C7488"/>
      <c r="D7488"/>
      <c r="E7488" s="2">
        <f>Comuni__2[[#This Row],[Popolazione2011]]/$D$7911</f>
        <v>1.5854110011839339E-4</v>
      </c>
      <c r="F7488">
        <f>SUMIFS($D$2:$D$7909, $B$2:$B$7909, "Veneto")</f>
        <v>4855904</v>
      </c>
      <c r="G7488" s="1">
        <f>Comuni__2[[#This Row],[Popolazione2011]]/Comuni__2[[#This Row],[POPOLAZIONE TOTALE DI OGNI REGIONE (CON FILTRO)]]</f>
        <v>1.9401124898680039E-3</v>
      </c>
      <c r="H7488" t="str">
        <f>IF(Comuni__2[[#This Row],[Popolazione2011]]&gt;300000,"MAGGIORE","")</f>
        <v/>
      </c>
    </row>
    <row r="7489" spans="1:8" x14ac:dyDescent="0.2">
      <c r="A7489"/>
      <c r="B7489"/>
      <c r="C7489"/>
      <c r="D7489"/>
      <c r="E7489" s="2">
        <f>Comuni__2[[#This Row],[Popolazione2011]]/$D$7911</f>
        <v>1.5638705481373845E-4</v>
      </c>
      <c r="F7489">
        <f>SUMIFS($D$2:$D$7909, $B$2:$B$7909, "Veneto")</f>
        <v>4855904</v>
      </c>
      <c r="G7489" s="1">
        <f>Comuni__2[[#This Row],[Popolazione2011]]/Comuni__2[[#This Row],[POPOLAZIONE TOTALE DI OGNI REGIONE (CON FILTRO)]]</f>
        <v>1.9137528254265324E-3</v>
      </c>
      <c r="H7489" t="str">
        <f>IF(Comuni__2[[#This Row],[Popolazione2011]]&gt;300000,"MAGGIORE","")</f>
        <v/>
      </c>
    </row>
    <row r="7490" spans="1:8" x14ac:dyDescent="0.2">
      <c r="A7490"/>
      <c r="B7490"/>
      <c r="C7490"/>
      <c r="D7490"/>
      <c r="E7490" s="2">
        <f>Comuni__2[[#This Row],[Popolazione2011]]/$D$7911</f>
        <v>1.5633656937691058E-4</v>
      </c>
      <c r="F7490">
        <f>SUMIFS($D$2:$D$7909, $B$2:$B$7909, "Veneto")</f>
        <v>4855904</v>
      </c>
      <c r="G7490" s="1">
        <f>Comuni__2[[#This Row],[Popolazione2011]]/Comuni__2[[#This Row],[POPOLAZIONE TOTALE DI OGNI REGIONE (CON FILTRO)]]</f>
        <v>1.9131350207911852E-3</v>
      </c>
      <c r="H7490" t="str">
        <f>IF(Comuni__2[[#This Row],[Popolazione2011]]&gt;300000,"MAGGIORE","")</f>
        <v/>
      </c>
    </row>
    <row r="7491" spans="1:8" x14ac:dyDescent="0.2">
      <c r="A7491"/>
      <c r="B7491"/>
      <c r="C7491"/>
      <c r="D7491"/>
      <c r="E7491" s="2">
        <f>Comuni__2[[#This Row],[Popolazione2011]]/$D$7911</f>
        <v>1.5610097067171396E-4</v>
      </c>
      <c r="F7491">
        <f>SUMIFS($D$2:$D$7909, $B$2:$B$7909, "Veneto")</f>
        <v>4855904</v>
      </c>
      <c r="G7491" s="1">
        <f>Comuni__2[[#This Row],[Popolazione2011]]/Comuni__2[[#This Row],[POPOLAZIONE TOTALE DI OGNI REGIONE (CON FILTRO)]]</f>
        <v>1.9102519324928993E-3</v>
      </c>
      <c r="H7491" t="str">
        <f>IF(Comuni__2[[#This Row],[Popolazione2011]]&gt;300000,"MAGGIORE","")</f>
        <v/>
      </c>
    </row>
    <row r="7492" spans="1:8" x14ac:dyDescent="0.2">
      <c r="A7492"/>
      <c r="B7492"/>
      <c r="C7492"/>
      <c r="D7492"/>
      <c r="E7492" s="2">
        <f>Comuni__2[[#This Row],[Popolazione2011]]/$D$7911</f>
        <v>1.5408155319859994E-4</v>
      </c>
      <c r="F7492">
        <f>SUMIFS($D$2:$D$7909, $B$2:$B$7909, "Veneto")</f>
        <v>4855904</v>
      </c>
      <c r="G7492" s="1">
        <f>Comuni__2[[#This Row],[Popolazione2011]]/Comuni__2[[#This Row],[POPOLAZIONE TOTALE DI OGNI REGIONE (CON FILTRO)]]</f>
        <v>1.8855397470790196E-3</v>
      </c>
      <c r="H7492" t="str">
        <f>IF(Comuni__2[[#This Row],[Popolazione2011]]&gt;300000,"MAGGIORE","")</f>
        <v/>
      </c>
    </row>
    <row r="7493" spans="1:8" x14ac:dyDescent="0.2">
      <c r="A7493"/>
      <c r="B7493"/>
      <c r="C7493"/>
      <c r="D7493"/>
      <c r="E7493" s="2">
        <f>Comuni__2[[#This Row],[Popolazione2011]]/$D$7911</f>
        <v>1.5308867294098552E-4</v>
      </c>
      <c r="F7493">
        <f>SUMIFS($D$2:$D$7909, $B$2:$B$7909, "Veneto")</f>
        <v>4855904</v>
      </c>
      <c r="G7493" s="1">
        <f>Comuni__2[[#This Row],[Popolazione2011]]/Comuni__2[[#This Row],[POPOLAZIONE TOTALE DI OGNI REGIONE (CON FILTRO)]]</f>
        <v>1.8733895892505288E-3</v>
      </c>
      <c r="H7493" t="str">
        <f>IF(Comuni__2[[#This Row],[Popolazione2011]]&gt;300000,"MAGGIORE","")</f>
        <v/>
      </c>
    </row>
    <row r="7494" spans="1:8" x14ac:dyDescent="0.2">
      <c r="A7494"/>
      <c r="B7494"/>
      <c r="C7494"/>
      <c r="D7494"/>
      <c r="E7494" s="2">
        <f>Comuni__2[[#This Row],[Popolazione2011]]/$D$7911</f>
        <v>1.5281941727790367E-4</v>
      </c>
      <c r="F7494">
        <f>SUMIFS($D$2:$D$7909, $B$2:$B$7909, "Veneto")</f>
        <v>4855904</v>
      </c>
      <c r="G7494" s="1">
        <f>Comuni__2[[#This Row],[Popolazione2011]]/Comuni__2[[#This Row],[POPOLAZIONE TOTALE DI OGNI REGIONE (CON FILTRO)]]</f>
        <v>1.8700946311953448E-3</v>
      </c>
      <c r="H7494" t="str">
        <f>IF(Comuni__2[[#This Row],[Popolazione2011]]&gt;300000,"MAGGIORE","")</f>
        <v/>
      </c>
    </row>
    <row r="7495" spans="1:8" x14ac:dyDescent="0.2">
      <c r="A7495"/>
      <c r="B7495"/>
      <c r="C7495"/>
      <c r="D7495"/>
      <c r="E7495" s="2">
        <f>Comuni__2[[#This Row],[Popolazione2011]]/$D$7911</f>
        <v>1.5221359203596946E-4</v>
      </c>
      <c r="F7495">
        <f>SUMIFS($D$2:$D$7909, $B$2:$B$7909, "Veneto")</f>
        <v>4855904</v>
      </c>
      <c r="G7495" s="1">
        <f>Comuni__2[[#This Row],[Popolazione2011]]/Comuni__2[[#This Row],[POPOLAZIONE TOTALE DI OGNI REGIONE (CON FILTRO)]]</f>
        <v>1.8626809755711809E-3</v>
      </c>
      <c r="H7495" t="str">
        <f>IF(Comuni__2[[#This Row],[Popolazione2011]]&gt;300000,"MAGGIORE","")</f>
        <v/>
      </c>
    </row>
    <row r="7496" spans="1:8" x14ac:dyDescent="0.2">
      <c r="A7496"/>
      <c r="B7496"/>
      <c r="C7496"/>
      <c r="D7496"/>
      <c r="E7496" s="2">
        <f>Comuni__2[[#This Row],[Popolazione2011]]/$D$7911</f>
        <v>1.5214627812019899E-4</v>
      </c>
      <c r="F7496">
        <f>SUMIFS($D$2:$D$7909, $B$2:$B$7909, "Veneto")</f>
        <v>4855904</v>
      </c>
      <c r="G7496" s="1">
        <f>Comuni__2[[#This Row],[Popolazione2011]]/Comuni__2[[#This Row],[POPOLAZIONE TOTALE DI OGNI REGIONE (CON FILTRO)]]</f>
        <v>1.861857236057385E-3</v>
      </c>
      <c r="H7496" t="str">
        <f>IF(Comuni__2[[#This Row],[Popolazione2011]]&gt;300000,"MAGGIORE","")</f>
        <v/>
      </c>
    </row>
    <row r="7497" spans="1:8" x14ac:dyDescent="0.2">
      <c r="A7497"/>
      <c r="B7497"/>
      <c r="C7497"/>
      <c r="D7497"/>
      <c r="E7497" s="2">
        <f>Comuni__2[[#This Row],[Popolazione2011]]/$D$7911</f>
        <v>1.5071585741007655E-4</v>
      </c>
      <c r="F7497">
        <f>SUMIFS($D$2:$D$7909, $B$2:$B$7909, "Veneto")</f>
        <v>4855904</v>
      </c>
      <c r="G7497" s="1">
        <f>Comuni__2[[#This Row],[Popolazione2011]]/Comuni__2[[#This Row],[POPOLAZIONE TOTALE DI OGNI REGIONE (CON FILTRO)]]</f>
        <v>1.8443527713892201E-3</v>
      </c>
      <c r="H7497" t="str">
        <f>IF(Comuni__2[[#This Row],[Popolazione2011]]&gt;300000,"MAGGIORE","")</f>
        <v/>
      </c>
    </row>
    <row r="7498" spans="1:8" x14ac:dyDescent="0.2">
      <c r="A7498"/>
      <c r="B7498"/>
      <c r="C7498"/>
      <c r="D7498"/>
      <c r="E7498" s="2">
        <f>Comuni__2[[#This Row],[Popolazione2011]]/$D$7911</f>
        <v>1.5064854349430609E-4</v>
      </c>
      <c r="F7498">
        <f>SUMIFS($D$2:$D$7909, $B$2:$B$7909, "Veneto")</f>
        <v>4855904</v>
      </c>
      <c r="G7498" s="1">
        <f>Comuni__2[[#This Row],[Popolazione2011]]/Comuni__2[[#This Row],[POPOLAZIONE TOTALE DI OGNI REGIONE (CON FILTRO)]]</f>
        <v>1.8435290318754242E-3</v>
      </c>
      <c r="H7498" t="str">
        <f>IF(Comuni__2[[#This Row],[Popolazione2011]]&gt;300000,"MAGGIORE","")</f>
        <v/>
      </c>
    </row>
    <row r="7499" spans="1:8" x14ac:dyDescent="0.2">
      <c r="A7499"/>
      <c r="B7499"/>
      <c r="C7499"/>
      <c r="D7499"/>
      <c r="E7499" s="2">
        <f>Comuni__2[[#This Row],[Popolazione2011]]/$D$7911</f>
        <v>1.5049708718382253E-4</v>
      </c>
      <c r="F7499">
        <f>SUMIFS($D$2:$D$7909, $B$2:$B$7909, "Veneto")</f>
        <v>4855904</v>
      </c>
      <c r="G7499" s="1">
        <f>Comuni__2[[#This Row],[Popolazione2011]]/Comuni__2[[#This Row],[POPOLAZIONE TOTALE DI OGNI REGIONE (CON FILTRO)]]</f>
        <v>1.8416756179693832E-3</v>
      </c>
      <c r="H7499" t="str">
        <f>IF(Comuni__2[[#This Row],[Popolazione2011]]&gt;300000,"MAGGIORE","")</f>
        <v/>
      </c>
    </row>
    <row r="7500" spans="1:8" x14ac:dyDescent="0.2">
      <c r="A7500"/>
      <c r="B7500"/>
      <c r="C7500"/>
      <c r="D7500"/>
      <c r="E7500" s="2">
        <f>Comuni__2[[#This Row],[Popolazione2011]]/$D$7911</f>
        <v>1.4920129430524105E-4</v>
      </c>
      <c r="F7500">
        <f>SUMIFS($D$2:$D$7909, $B$2:$B$7909, "Veneto")</f>
        <v>4855904</v>
      </c>
      <c r="G7500" s="1">
        <f>Comuni__2[[#This Row],[Popolazione2011]]/Comuni__2[[#This Row],[POPOLAZIONE TOTALE DI OGNI REGIONE (CON FILTRO)]]</f>
        <v>1.8258186323288105E-3</v>
      </c>
      <c r="H7500" t="str">
        <f>IF(Comuni__2[[#This Row],[Popolazione2011]]&gt;300000,"MAGGIORE","")</f>
        <v/>
      </c>
    </row>
    <row r="7501" spans="1:8" x14ac:dyDescent="0.2">
      <c r="A7501"/>
      <c r="B7501"/>
      <c r="C7501"/>
      <c r="D7501"/>
      <c r="E7501" s="2">
        <f>Comuni__2[[#This Row],[Popolazione2011]]/$D$7911</f>
        <v>1.4825889948445449E-4</v>
      </c>
      <c r="F7501">
        <f>SUMIFS($D$2:$D$7909, $B$2:$B$7909, "Veneto")</f>
        <v>4855904</v>
      </c>
      <c r="G7501" s="1">
        <f>Comuni__2[[#This Row],[Popolazione2011]]/Comuni__2[[#This Row],[POPOLAZIONE TOTALE DI OGNI REGIONE (CON FILTRO)]]</f>
        <v>1.8142862791356666E-3</v>
      </c>
      <c r="H7501" t="str">
        <f>IF(Comuni__2[[#This Row],[Popolazione2011]]&gt;300000,"MAGGIORE","")</f>
        <v/>
      </c>
    </row>
    <row r="7502" spans="1:8" x14ac:dyDescent="0.2">
      <c r="A7502"/>
      <c r="B7502"/>
      <c r="C7502"/>
      <c r="D7502"/>
      <c r="E7502" s="2">
        <f>Comuni__2[[#This Row],[Popolazione2011]]/$D$7911</f>
        <v>1.4628996744816834E-4</v>
      </c>
      <c r="F7502">
        <f>SUMIFS($D$2:$D$7909, $B$2:$B$7909, "Veneto")</f>
        <v>4855904</v>
      </c>
      <c r="G7502" s="1">
        <f>Comuni__2[[#This Row],[Popolazione2011]]/Comuni__2[[#This Row],[POPOLAZIONE TOTALE DI OGNI REGIONE (CON FILTRO)]]</f>
        <v>1.7901918983571339E-3</v>
      </c>
      <c r="H7502" t="str">
        <f>IF(Comuni__2[[#This Row],[Popolazione2011]]&gt;300000,"MAGGIORE","")</f>
        <v/>
      </c>
    </row>
    <row r="7503" spans="1:8" x14ac:dyDescent="0.2">
      <c r="A7503"/>
      <c r="B7503"/>
      <c r="C7503"/>
      <c r="D7503"/>
      <c r="E7503" s="2">
        <f>Comuni__2[[#This Row],[Popolazione2011]]/$D$7911</f>
        <v>1.4506148848535729E-4</v>
      </c>
      <c r="F7503">
        <f>SUMIFS($D$2:$D$7909, $B$2:$B$7909, "Veneto")</f>
        <v>4855904</v>
      </c>
      <c r="G7503" s="1">
        <f>Comuni__2[[#This Row],[Popolazione2011]]/Comuni__2[[#This Row],[POPOLAZIONE TOTALE DI OGNI REGIONE (CON FILTRO)]]</f>
        <v>1.7751586522303572E-3</v>
      </c>
      <c r="H7503" t="str">
        <f>IF(Comuni__2[[#This Row],[Popolazione2011]]&gt;300000,"MAGGIORE","")</f>
        <v/>
      </c>
    </row>
    <row r="7504" spans="1:8" x14ac:dyDescent="0.2">
      <c r="A7504"/>
      <c r="B7504"/>
      <c r="C7504"/>
      <c r="D7504"/>
      <c r="E7504" s="2">
        <f>Comuni__2[[#This Row],[Popolazione2011]]/$D$7911</f>
        <v>1.4484271825910327E-4</v>
      </c>
      <c r="F7504">
        <f>SUMIFS($D$2:$D$7909, $B$2:$B$7909, "Veneto")</f>
        <v>4855904</v>
      </c>
      <c r="G7504" s="1">
        <f>Comuni__2[[#This Row],[Popolazione2011]]/Comuni__2[[#This Row],[POPOLAZIONE TOTALE DI OGNI REGIONE (CON FILTRO)]]</f>
        <v>1.7724814988105202E-3</v>
      </c>
      <c r="H7504" t="str">
        <f>IF(Comuni__2[[#This Row],[Popolazione2011]]&gt;300000,"MAGGIORE","")</f>
        <v/>
      </c>
    </row>
    <row r="7505" spans="1:8" x14ac:dyDescent="0.2">
      <c r="A7505"/>
      <c r="B7505"/>
      <c r="C7505"/>
      <c r="D7505"/>
      <c r="E7505" s="2">
        <f>Comuni__2[[#This Row],[Popolazione2011]]/$D$7911</f>
        <v>1.4428737845399692E-4</v>
      </c>
      <c r="F7505">
        <f>SUMIFS($D$2:$D$7909, $B$2:$B$7909, "Veneto")</f>
        <v>4855904</v>
      </c>
      <c r="G7505" s="1">
        <f>Comuni__2[[#This Row],[Popolazione2011]]/Comuni__2[[#This Row],[POPOLAZIONE TOTALE DI OGNI REGIONE (CON FILTRO)]]</f>
        <v>1.7656856478217033E-3</v>
      </c>
      <c r="H7505" t="str">
        <f>IF(Comuni__2[[#This Row],[Popolazione2011]]&gt;300000,"MAGGIORE","")</f>
        <v/>
      </c>
    </row>
    <row r="7506" spans="1:8" x14ac:dyDescent="0.2">
      <c r="A7506"/>
      <c r="B7506"/>
      <c r="C7506"/>
      <c r="D7506"/>
      <c r="E7506" s="2">
        <f>Comuni__2[[#This Row],[Popolazione2011]]/$D$7911</f>
        <v>1.4378252408571841E-4</v>
      </c>
      <c r="F7506">
        <f>SUMIFS($D$2:$D$7909, $B$2:$B$7909, "Veneto")</f>
        <v>4855904</v>
      </c>
      <c r="G7506" s="1">
        <f>Comuni__2[[#This Row],[Popolazione2011]]/Comuni__2[[#This Row],[POPOLAZIONE TOTALE DI OGNI REGIONE (CON FILTRO)]]</f>
        <v>1.7595076014682333E-3</v>
      </c>
      <c r="H7506" t="str">
        <f>IF(Comuni__2[[#This Row],[Popolazione2011]]&gt;300000,"MAGGIORE","")</f>
        <v/>
      </c>
    </row>
    <row r="7507" spans="1:8" x14ac:dyDescent="0.2">
      <c r="A7507"/>
      <c r="B7507"/>
      <c r="C7507"/>
      <c r="D7507"/>
      <c r="E7507" s="2">
        <f>Comuni__2[[#This Row],[Popolazione2011]]/$D$7911</f>
        <v>1.4295792861753018E-4</v>
      </c>
      <c r="F7507">
        <f>SUMIFS($D$2:$D$7909, $B$2:$B$7909, "Veneto")</f>
        <v>4855904</v>
      </c>
      <c r="G7507" s="1">
        <f>Comuni__2[[#This Row],[Popolazione2011]]/Comuni__2[[#This Row],[POPOLAZIONE TOTALE DI OGNI REGIONE (CON FILTRO)]]</f>
        <v>1.7494167924242325E-3</v>
      </c>
      <c r="H7507" t="str">
        <f>IF(Comuni__2[[#This Row],[Popolazione2011]]&gt;300000,"MAGGIORE","")</f>
        <v/>
      </c>
    </row>
    <row r="7508" spans="1:8" x14ac:dyDescent="0.2">
      <c r="A7508"/>
      <c r="B7508"/>
      <c r="C7508"/>
      <c r="D7508"/>
      <c r="E7508" s="2">
        <f>Comuni__2[[#This Row],[Popolazione2011]]/$D$7911</f>
        <v>1.4267184447550569E-4</v>
      </c>
      <c r="F7508">
        <f>SUMIFS($D$2:$D$7909, $B$2:$B$7909, "Veneto")</f>
        <v>4855904</v>
      </c>
      <c r="G7508" s="1">
        <f>Comuni__2[[#This Row],[Popolazione2011]]/Comuni__2[[#This Row],[POPOLAZIONE TOTALE DI OGNI REGIONE (CON FILTRO)]]</f>
        <v>1.7459158994905994E-3</v>
      </c>
      <c r="H7508" t="str">
        <f>IF(Comuni__2[[#This Row],[Popolazione2011]]&gt;300000,"MAGGIORE","")</f>
        <v/>
      </c>
    </row>
    <row r="7509" spans="1:8" x14ac:dyDescent="0.2">
      <c r="A7509"/>
      <c r="B7509"/>
      <c r="C7509"/>
      <c r="D7509"/>
      <c r="E7509" s="2">
        <f>Comuni__2[[#This Row],[Popolazione2011]]/$D$7911</f>
        <v>1.4152750790740774E-4</v>
      </c>
      <c r="F7509">
        <f>SUMIFS($D$2:$D$7909, $B$2:$B$7909, "Veneto")</f>
        <v>4855904</v>
      </c>
      <c r="G7509" s="1">
        <f>Comuni__2[[#This Row],[Popolazione2011]]/Comuni__2[[#This Row],[POPOLAZIONE TOTALE DI OGNI REGIONE (CON FILTRO)]]</f>
        <v>1.7319123277560677E-3</v>
      </c>
      <c r="H7509" t="str">
        <f>IF(Comuni__2[[#This Row],[Popolazione2011]]&gt;300000,"MAGGIORE","")</f>
        <v/>
      </c>
    </row>
    <row r="7510" spans="1:8" x14ac:dyDescent="0.2">
      <c r="A7510"/>
      <c r="B7510"/>
      <c r="C7510"/>
      <c r="D7510"/>
      <c r="E7510" s="2">
        <f>Comuni__2[[#This Row],[Popolazione2011]]/$D$7911</f>
        <v>1.4122459528644065E-4</v>
      </c>
      <c r="F7510">
        <f>SUMIFS($D$2:$D$7909, $B$2:$B$7909, "Veneto")</f>
        <v>4855904</v>
      </c>
      <c r="G7510" s="1">
        <f>Comuni__2[[#This Row],[Popolazione2011]]/Comuni__2[[#This Row],[POPOLAZIONE TOTALE DI OGNI REGIONE (CON FILTRO)]]</f>
        <v>1.7282054999439858E-3</v>
      </c>
      <c r="H7510" t="str">
        <f>IF(Comuni__2[[#This Row],[Popolazione2011]]&gt;300000,"MAGGIORE","")</f>
        <v/>
      </c>
    </row>
    <row r="7511" spans="1:8" x14ac:dyDescent="0.2">
      <c r="A7511"/>
      <c r="B7511"/>
      <c r="C7511"/>
      <c r="D7511"/>
      <c r="E7511" s="2">
        <f>Comuni__2[[#This Row],[Popolazione2011]]/$D$7911</f>
        <v>1.4114045289172756E-4</v>
      </c>
      <c r="F7511">
        <f>SUMIFS($D$2:$D$7909, $B$2:$B$7909, "Veneto")</f>
        <v>4855904</v>
      </c>
      <c r="G7511" s="1">
        <f>Comuni__2[[#This Row],[Popolazione2011]]/Comuni__2[[#This Row],[POPOLAZIONE TOTALE DI OGNI REGIONE (CON FILTRO)]]</f>
        <v>1.7271758255517407E-3</v>
      </c>
      <c r="H7511" t="str">
        <f>IF(Comuni__2[[#This Row],[Popolazione2011]]&gt;300000,"MAGGIORE","")</f>
        <v/>
      </c>
    </row>
    <row r="7512" spans="1:8" x14ac:dyDescent="0.2">
      <c r="A7512"/>
      <c r="B7512"/>
      <c r="C7512"/>
      <c r="D7512"/>
      <c r="E7512" s="2">
        <f>Comuni__2[[#This Row],[Popolazione2011]]/$D$7911</f>
        <v>1.3987831697103131E-4</v>
      </c>
      <c r="F7512">
        <f>SUMIFS($D$2:$D$7909, $B$2:$B$7909, "Veneto")</f>
        <v>4855904</v>
      </c>
      <c r="G7512" s="1">
        <f>Comuni__2[[#This Row],[Popolazione2011]]/Comuni__2[[#This Row],[POPOLAZIONE TOTALE DI OGNI REGIONE (CON FILTRO)]]</f>
        <v>1.7117307096680659E-3</v>
      </c>
      <c r="H7512" t="str">
        <f>IF(Comuni__2[[#This Row],[Popolazione2011]]&gt;300000,"MAGGIORE","")</f>
        <v/>
      </c>
    </row>
    <row r="7513" spans="1:8" x14ac:dyDescent="0.2">
      <c r="A7513"/>
      <c r="B7513"/>
      <c r="C7513"/>
      <c r="D7513"/>
      <c r="E7513" s="2">
        <f>Comuni__2[[#This Row],[Popolazione2011]]/$D$7911</f>
        <v>1.3959223282900682E-4</v>
      </c>
      <c r="F7513">
        <f>SUMIFS($D$2:$D$7909, $B$2:$B$7909, "Veneto")</f>
        <v>4855904</v>
      </c>
      <c r="G7513" s="1">
        <f>Comuni__2[[#This Row],[Popolazione2011]]/Comuni__2[[#This Row],[POPOLAZIONE TOTALE DI OGNI REGIONE (CON FILTRO)]]</f>
        <v>1.708229816734433E-3</v>
      </c>
      <c r="H7513" t="str">
        <f>IF(Comuni__2[[#This Row],[Popolazione2011]]&gt;300000,"MAGGIORE","")</f>
        <v/>
      </c>
    </row>
    <row r="7514" spans="1:8" x14ac:dyDescent="0.2">
      <c r="A7514"/>
      <c r="B7514"/>
      <c r="C7514"/>
      <c r="D7514"/>
      <c r="E7514" s="2">
        <f>Comuni__2[[#This Row],[Popolazione2011]]/$D$7911</f>
        <v>1.3844789626090887E-4</v>
      </c>
      <c r="F7514">
        <f>SUMIFS($D$2:$D$7909, $B$2:$B$7909, "Veneto")</f>
        <v>4855904</v>
      </c>
      <c r="G7514" s="1">
        <f>Comuni__2[[#This Row],[Popolazione2011]]/Comuni__2[[#This Row],[POPOLAZIONE TOTALE DI OGNI REGIONE (CON FILTRO)]]</f>
        <v>1.6942262449999011E-3</v>
      </c>
      <c r="H7514" t="str">
        <f>IF(Comuni__2[[#This Row],[Popolazione2011]]&gt;300000,"MAGGIORE","")</f>
        <v/>
      </c>
    </row>
    <row r="7515" spans="1:8" x14ac:dyDescent="0.2">
      <c r="A7515"/>
      <c r="B7515"/>
      <c r="C7515"/>
      <c r="D7515"/>
      <c r="E7515" s="2">
        <f>Comuni__2[[#This Row],[Popolazione2011]]/$D$7911</f>
        <v>1.3797669885051559E-4</v>
      </c>
      <c r="F7515">
        <f>SUMIFS($D$2:$D$7909, $B$2:$B$7909, "Veneto")</f>
        <v>4855904</v>
      </c>
      <c r="G7515" s="1">
        <f>Comuni__2[[#This Row],[Popolazione2011]]/Comuni__2[[#This Row],[POPOLAZIONE TOTALE DI OGNI REGIONE (CON FILTRO)]]</f>
        <v>1.6884600684033291E-3</v>
      </c>
      <c r="H7515" t="str">
        <f>IF(Comuni__2[[#This Row],[Popolazione2011]]&gt;300000,"MAGGIORE","")</f>
        <v/>
      </c>
    </row>
    <row r="7516" spans="1:8" x14ac:dyDescent="0.2">
      <c r="A7516"/>
      <c r="B7516"/>
      <c r="C7516"/>
      <c r="D7516"/>
      <c r="E7516" s="2">
        <f>Comuni__2[[#This Row],[Popolazione2011]]/$D$7911</f>
        <v>1.3745501600329448E-4</v>
      </c>
      <c r="F7516">
        <f>SUMIFS($D$2:$D$7909, $B$2:$B$7909, "Veneto")</f>
        <v>4855904</v>
      </c>
      <c r="G7516" s="1">
        <f>Comuni__2[[#This Row],[Popolazione2011]]/Comuni__2[[#This Row],[POPOLAZIONE TOTALE DI OGNI REGIONE (CON FILTRO)]]</f>
        <v>1.6820760871714103E-3</v>
      </c>
      <c r="H7516" t="str">
        <f>IF(Comuni__2[[#This Row],[Popolazione2011]]&gt;300000,"MAGGIORE","")</f>
        <v/>
      </c>
    </row>
    <row r="7517" spans="1:8" x14ac:dyDescent="0.2">
      <c r="A7517"/>
      <c r="B7517"/>
      <c r="C7517"/>
      <c r="D7517"/>
      <c r="E7517" s="2">
        <f>Comuni__2[[#This Row],[Popolazione2011]]/$D$7911</f>
        <v>1.3700064707184383E-4</v>
      </c>
      <c r="F7517">
        <f>SUMIFS($D$2:$D$7909, $B$2:$B$7909, "Veneto")</f>
        <v>4855904</v>
      </c>
      <c r="G7517" s="1">
        <f>Comuni__2[[#This Row],[Popolazione2011]]/Comuni__2[[#This Row],[POPOLAZIONE TOTALE DI OGNI REGIONE (CON FILTRO)]]</f>
        <v>1.6765158454532874E-3</v>
      </c>
      <c r="H7517" t="str">
        <f>IF(Comuni__2[[#This Row],[Popolazione2011]]&gt;300000,"MAGGIORE","")</f>
        <v/>
      </c>
    </row>
    <row r="7518" spans="1:8" x14ac:dyDescent="0.2">
      <c r="A7518"/>
      <c r="B7518"/>
      <c r="C7518"/>
      <c r="D7518"/>
      <c r="E7518" s="2">
        <f>Comuni__2[[#This Row],[Popolazione2011]]/$D$7911</f>
        <v>1.3632750791413916E-4</v>
      </c>
      <c r="F7518">
        <f>SUMIFS($D$2:$D$7909, $B$2:$B$7909, "Veneto")</f>
        <v>4855904</v>
      </c>
      <c r="G7518" s="1">
        <f>Comuni__2[[#This Row],[Popolazione2011]]/Comuni__2[[#This Row],[POPOLAZIONE TOTALE DI OGNI REGIONE (CON FILTRO)]]</f>
        <v>1.6682784503153274E-3</v>
      </c>
      <c r="H7518" t="str">
        <f>IF(Comuni__2[[#This Row],[Popolazione2011]]&gt;300000,"MAGGIORE","")</f>
        <v/>
      </c>
    </row>
    <row r="7519" spans="1:8" x14ac:dyDescent="0.2">
      <c r="A7519"/>
      <c r="B7519"/>
      <c r="C7519"/>
      <c r="D7519"/>
      <c r="E7519" s="2">
        <f>Comuni__2[[#This Row],[Popolazione2011]]/$D$7911</f>
        <v>1.3572168267220495E-4</v>
      </c>
      <c r="F7519">
        <f>SUMIFS($D$2:$D$7909, $B$2:$B$7909, "Veneto")</f>
        <v>4855904</v>
      </c>
      <c r="G7519" s="1">
        <f>Comuni__2[[#This Row],[Popolazione2011]]/Comuni__2[[#This Row],[POPOLAZIONE TOTALE DI OGNI REGIONE (CON FILTRO)]]</f>
        <v>1.6608647946911635E-3</v>
      </c>
      <c r="H7519" t="str">
        <f>IF(Comuni__2[[#This Row],[Popolazione2011]]&gt;300000,"MAGGIORE","")</f>
        <v/>
      </c>
    </row>
    <row r="7520" spans="1:8" x14ac:dyDescent="0.2">
      <c r="A7520"/>
      <c r="B7520"/>
      <c r="C7520"/>
      <c r="D7520"/>
      <c r="E7520" s="2">
        <f>Comuni__2[[#This Row],[Popolazione2011]]/$D$7911</f>
        <v>1.3363495128332044E-4</v>
      </c>
      <c r="F7520">
        <f>SUMIFS($D$2:$D$7909, $B$2:$B$7909, "Veneto")</f>
        <v>4855904</v>
      </c>
      <c r="G7520" s="1">
        <f>Comuni__2[[#This Row],[Popolazione2011]]/Comuni__2[[#This Row],[POPOLAZIONE TOTALE DI OGNI REGIONE (CON FILTRO)]]</f>
        <v>1.6353288697634879E-3</v>
      </c>
      <c r="H7520" t="str">
        <f>IF(Comuni__2[[#This Row],[Popolazione2011]]&gt;300000,"MAGGIORE","")</f>
        <v/>
      </c>
    </row>
    <row r="7521" spans="1:8" x14ac:dyDescent="0.2">
      <c r="A7521"/>
      <c r="B7521"/>
      <c r="C7521"/>
      <c r="D7521"/>
      <c r="E7521" s="2">
        <f>Comuni__2[[#This Row],[Popolazione2011]]/$D$7911</f>
        <v>1.3331521018341072E-4</v>
      </c>
      <c r="F7521">
        <f>SUMIFS($D$2:$D$7909, $B$2:$B$7909, "Veneto")</f>
        <v>4855904</v>
      </c>
      <c r="G7521" s="1">
        <f>Comuni__2[[#This Row],[Popolazione2011]]/Comuni__2[[#This Row],[POPOLAZIONE TOTALE DI OGNI REGIONE (CON FILTRO)]]</f>
        <v>1.631416107072957E-3</v>
      </c>
      <c r="H7521" t="str">
        <f>IF(Comuni__2[[#This Row],[Popolazione2011]]&gt;300000,"MAGGIORE","")</f>
        <v/>
      </c>
    </row>
    <row r="7522" spans="1:8" x14ac:dyDescent="0.2">
      <c r="A7522"/>
      <c r="B7522"/>
      <c r="C7522"/>
      <c r="D7522"/>
      <c r="E7522" s="2">
        <f>Comuni__2[[#This Row],[Popolazione2011]]/$D$7911</f>
        <v>1.3292815516773054E-4</v>
      </c>
      <c r="F7522">
        <f>SUMIFS($D$2:$D$7909, $B$2:$B$7909, "Veneto")</f>
        <v>4855904</v>
      </c>
      <c r="G7522" s="1">
        <f>Comuni__2[[#This Row],[Popolazione2011]]/Comuni__2[[#This Row],[POPOLAZIONE TOTALE DI OGNI REGIONE (CON FILTRO)]]</f>
        <v>1.62667960486863E-3</v>
      </c>
      <c r="H7522" t="str">
        <f>IF(Comuni__2[[#This Row],[Popolazione2011]]&gt;300000,"MAGGIORE","")</f>
        <v/>
      </c>
    </row>
    <row r="7523" spans="1:8" x14ac:dyDescent="0.2">
      <c r="A7523"/>
      <c r="B7523"/>
      <c r="C7523"/>
      <c r="D7523"/>
      <c r="E7523" s="2">
        <f>Comuni__2[[#This Row],[Popolazione2011]]/$D$7911</f>
        <v>1.3042071180528064E-4</v>
      </c>
      <c r="F7523">
        <f>SUMIFS($D$2:$D$7909, $B$2:$B$7909, "Veneto")</f>
        <v>4855904</v>
      </c>
      <c r="G7523" s="1">
        <f>Comuni__2[[#This Row],[Popolazione2011]]/Comuni__2[[#This Row],[POPOLAZIONE TOTALE DI OGNI REGIONE (CON FILTRO)]]</f>
        <v>1.5959953079797294E-3</v>
      </c>
      <c r="H7523" t="str">
        <f>IF(Comuni__2[[#This Row],[Popolazione2011]]&gt;300000,"MAGGIORE","")</f>
        <v/>
      </c>
    </row>
    <row r="7524" spans="1:8" x14ac:dyDescent="0.2">
      <c r="A7524"/>
      <c r="B7524"/>
      <c r="C7524"/>
      <c r="D7524"/>
      <c r="E7524" s="2">
        <f>Comuni__2[[#This Row],[Popolazione2011]]/$D$7911</f>
        <v>1.3005048526854306E-4</v>
      </c>
      <c r="F7524">
        <f>SUMIFS($D$2:$D$7909, $B$2:$B$7909, "Veneto")</f>
        <v>4855904</v>
      </c>
      <c r="G7524" s="1">
        <f>Comuni__2[[#This Row],[Popolazione2011]]/Comuni__2[[#This Row],[POPOLAZIONE TOTALE DI OGNI REGIONE (CON FILTRO)]]</f>
        <v>1.5914647406538515E-3</v>
      </c>
      <c r="H7524" t="str">
        <f>IF(Comuni__2[[#This Row],[Popolazione2011]]&gt;300000,"MAGGIORE","")</f>
        <v/>
      </c>
    </row>
    <row r="7525" spans="1:8" x14ac:dyDescent="0.2">
      <c r="A7525"/>
      <c r="B7525"/>
      <c r="C7525"/>
      <c r="D7525"/>
      <c r="E7525" s="2">
        <f>Comuni__2[[#This Row],[Popolazione2011]]/$D$7911</f>
        <v>1.2956245937920718E-4</v>
      </c>
      <c r="F7525">
        <f>SUMIFS($D$2:$D$7909, $B$2:$B$7909, "Veneto")</f>
        <v>4855904</v>
      </c>
      <c r="G7525" s="1">
        <f>Comuni__2[[#This Row],[Popolazione2011]]/Comuni__2[[#This Row],[POPOLAZIONE TOTALE DI OGNI REGIONE (CON FILTRO)]]</f>
        <v>1.5854926291788305E-3</v>
      </c>
      <c r="H7525" t="str">
        <f>IF(Comuni__2[[#This Row],[Popolazione2011]]&gt;300000,"MAGGIORE","")</f>
        <v/>
      </c>
    </row>
    <row r="7526" spans="1:8" x14ac:dyDescent="0.2">
      <c r="A7526"/>
      <c r="B7526"/>
      <c r="C7526"/>
      <c r="D7526"/>
      <c r="E7526" s="2">
        <f>Comuni__2[[#This Row],[Popolazione2011]]/$D$7911</f>
        <v>1.2878834934784681E-4</v>
      </c>
      <c r="F7526">
        <f>SUMIFS($D$2:$D$7909, $B$2:$B$7909, "Veneto")</f>
        <v>4855904</v>
      </c>
      <c r="G7526" s="1">
        <f>Comuni__2[[#This Row],[Popolazione2011]]/Comuni__2[[#This Row],[POPOLAZIONE TOTALE DI OGNI REGIONE (CON FILTRO)]]</f>
        <v>1.5760196247701767E-3</v>
      </c>
      <c r="H7526" t="str">
        <f>IF(Comuni__2[[#This Row],[Popolazione2011]]&gt;300000,"MAGGIORE","")</f>
        <v/>
      </c>
    </row>
    <row r="7527" spans="1:8" x14ac:dyDescent="0.2">
      <c r="A7527"/>
      <c r="B7527"/>
      <c r="C7527"/>
      <c r="D7527"/>
      <c r="E7527" s="2">
        <f>Comuni__2[[#This Row],[Popolazione2011]]/$D$7911</f>
        <v>1.2744207103243744E-4</v>
      </c>
      <c r="F7527">
        <f>SUMIFS($D$2:$D$7909, $B$2:$B$7909, "Veneto")</f>
        <v>4855904</v>
      </c>
      <c r="G7527" s="1">
        <f>Comuni__2[[#This Row],[Popolazione2011]]/Comuni__2[[#This Row],[POPOLAZIONE TOTALE DI OGNI REGIONE (CON FILTRO)]]</f>
        <v>1.5595448344942568E-3</v>
      </c>
      <c r="H7527" t="str">
        <f>IF(Comuni__2[[#This Row],[Popolazione2011]]&gt;300000,"MAGGIORE","")</f>
        <v/>
      </c>
    </row>
    <row r="7528" spans="1:8" x14ac:dyDescent="0.2">
      <c r="A7528"/>
      <c r="B7528"/>
      <c r="C7528"/>
      <c r="D7528"/>
      <c r="E7528" s="2">
        <f>Comuni__2[[#This Row],[Popolazione2011]]/$D$7911</f>
        <v>1.2732427167983914E-4</v>
      </c>
      <c r="F7528">
        <f>SUMIFS($D$2:$D$7909, $B$2:$B$7909, "Veneto")</f>
        <v>4855904</v>
      </c>
      <c r="G7528" s="1">
        <f>Comuni__2[[#This Row],[Popolazione2011]]/Comuni__2[[#This Row],[POPOLAZIONE TOTALE DI OGNI REGIONE (CON FILTRO)]]</f>
        <v>1.558103290345114E-3</v>
      </c>
      <c r="H7528" t="str">
        <f>IF(Comuni__2[[#This Row],[Popolazione2011]]&gt;300000,"MAGGIORE","")</f>
        <v/>
      </c>
    </row>
    <row r="7529" spans="1:8" x14ac:dyDescent="0.2">
      <c r="A7529"/>
      <c r="B7529"/>
      <c r="C7529"/>
      <c r="D7529"/>
      <c r="E7529" s="2">
        <f>Comuni__2[[#This Row],[Popolazione2011]]/$D$7911</f>
        <v>1.2688673122733109E-4</v>
      </c>
      <c r="F7529">
        <f>SUMIFS($D$2:$D$7909, $B$2:$B$7909, "Veneto")</f>
        <v>4855904</v>
      </c>
      <c r="G7529" s="1">
        <f>Comuni__2[[#This Row],[Popolazione2011]]/Comuni__2[[#This Row],[POPOLAZIONE TOTALE DI OGNI REGIONE (CON FILTRO)]]</f>
        <v>1.5527489835054399E-3</v>
      </c>
      <c r="H7529" t="str">
        <f>IF(Comuni__2[[#This Row],[Popolazione2011]]&gt;300000,"MAGGIORE","")</f>
        <v/>
      </c>
    </row>
    <row r="7530" spans="1:8" x14ac:dyDescent="0.2">
      <c r="A7530"/>
      <c r="B7530"/>
      <c r="C7530"/>
      <c r="D7530"/>
      <c r="E7530" s="2">
        <f>Comuni__2[[#This Row],[Popolazione2011]]/$D$7911</f>
        <v>1.2437928786488119E-4</v>
      </c>
      <c r="F7530">
        <f>SUMIFS($D$2:$D$7909, $B$2:$B$7909, "Veneto")</f>
        <v>4855904</v>
      </c>
      <c r="G7530" s="1">
        <f>Comuni__2[[#This Row],[Popolazione2011]]/Comuni__2[[#This Row],[POPOLAZIONE TOTALE DI OGNI REGIONE (CON FILTRO)]]</f>
        <v>1.5220646866165393E-3</v>
      </c>
      <c r="H7530" t="str">
        <f>IF(Comuni__2[[#This Row],[Popolazione2011]]&gt;300000,"MAGGIORE","")</f>
        <v/>
      </c>
    </row>
    <row r="7531" spans="1:8" x14ac:dyDescent="0.2">
      <c r="A7531"/>
      <c r="B7531"/>
      <c r="C7531"/>
      <c r="D7531"/>
      <c r="E7531" s="2">
        <f>Comuni__2[[#This Row],[Popolazione2011]]/$D$7911</f>
        <v>1.2409320372285671E-4</v>
      </c>
      <c r="F7531">
        <f>SUMIFS($D$2:$D$7909, $B$2:$B$7909, "Veneto")</f>
        <v>4855904</v>
      </c>
      <c r="G7531" s="1">
        <f>Comuni__2[[#This Row],[Popolazione2011]]/Comuni__2[[#This Row],[POPOLAZIONE TOTALE DI OGNI REGIONE (CON FILTRO)]]</f>
        <v>1.5185637936829064E-3</v>
      </c>
      <c r="H7531" t="str">
        <f>IF(Comuni__2[[#This Row],[Popolazione2011]]&gt;300000,"MAGGIORE","")</f>
        <v/>
      </c>
    </row>
    <row r="7532" spans="1:8" x14ac:dyDescent="0.2">
      <c r="A7532"/>
      <c r="B7532"/>
      <c r="C7532"/>
      <c r="D7532"/>
      <c r="E7532" s="2">
        <f>Comuni__2[[#This Row],[Popolazione2011]]/$D$7911</f>
        <v>1.227974108442752E-4</v>
      </c>
      <c r="F7532">
        <f>SUMIFS($D$2:$D$7909, $B$2:$B$7909, "Veneto")</f>
        <v>4855904</v>
      </c>
      <c r="G7532" s="1">
        <f>Comuni__2[[#This Row],[Popolazione2011]]/Comuni__2[[#This Row],[POPOLAZIONE TOTALE DI OGNI REGIONE (CON FILTRO)]]</f>
        <v>1.5027068080423337E-3</v>
      </c>
      <c r="H7532" t="str">
        <f>IF(Comuni__2[[#This Row],[Popolazione2011]]&gt;300000,"MAGGIORE","")</f>
        <v/>
      </c>
    </row>
    <row r="7533" spans="1:8" x14ac:dyDescent="0.2">
      <c r="A7533"/>
      <c r="B7533"/>
      <c r="C7533"/>
      <c r="D7533"/>
      <c r="E7533" s="2">
        <f>Comuni__2[[#This Row],[Popolazione2011]]/$D$7911</f>
        <v>1.2135016165521014E-4</v>
      </c>
      <c r="F7533">
        <f>SUMIFS($D$2:$D$7909, $B$2:$B$7909, "Veneto")</f>
        <v>4855904</v>
      </c>
      <c r="G7533" s="1">
        <f>Comuni__2[[#This Row],[Popolazione2011]]/Comuni__2[[#This Row],[POPOLAZIONE TOTALE DI OGNI REGIONE (CON FILTRO)]]</f>
        <v>1.4849964084957198E-3</v>
      </c>
      <c r="H7533" t="str">
        <f>IF(Comuni__2[[#This Row],[Popolazione2011]]&gt;300000,"MAGGIORE","")</f>
        <v/>
      </c>
    </row>
    <row r="7534" spans="1:8" x14ac:dyDescent="0.2">
      <c r="A7534"/>
      <c r="B7534"/>
      <c r="C7534"/>
      <c r="D7534"/>
      <c r="E7534" s="2">
        <f>Comuni__2[[#This Row],[Popolazione2011]]/$D$7911</f>
        <v>1.2082847880798903E-4</v>
      </c>
      <c r="F7534">
        <f>SUMIFS($D$2:$D$7909, $B$2:$B$7909, "Veneto")</f>
        <v>4855904</v>
      </c>
      <c r="G7534" s="1">
        <f>Comuni__2[[#This Row],[Popolazione2011]]/Comuni__2[[#This Row],[POPOLAZIONE TOTALE DI OGNI REGIONE (CON FILTRO)]]</f>
        <v>1.478612427263801E-3</v>
      </c>
      <c r="H7534" t="str">
        <f>IF(Comuni__2[[#This Row],[Popolazione2011]]&gt;300000,"MAGGIORE","")</f>
        <v/>
      </c>
    </row>
    <row r="7535" spans="1:8" x14ac:dyDescent="0.2">
      <c r="A7535"/>
      <c r="B7535"/>
      <c r="C7535"/>
      <c r="D7535"/>
      <c r="E7535" s="2">
        <f>Comuni__2[[#This Row],[Popolazione2011]]/$D$7911</f>
        <v>1.2074433641327593E-4</v>
      </c>
      <c r="F7535">
        <f>SUMIFS($D$2:$D$7909, $B$2:$B$7909, "Veneto")</f>
        <v>4855904</v>
      </c>
      <c r="G7535" s="1">
        <f>Comuni__2[[#This Row],[Popolazione2011]]/Comuni__2[[#This Row],[POPOLAZIONE TOTALE DI OGNI REGIONE (CON FILTRO)]]</f>
        <v>1.477582752871556E-3</v>
      </c>
      <c r="H7535" t="str">
        <f>IF(Comuni__2[[#This Row],[Popolazione2011]]&gt;300000,"MAGGIORE","")</f>
        <v/>
      </c>
    </row>
    <row r="7536" spans="1:8" x14ac:dyDescent="0.2">
      <c r="A7536"/>
      <c r="B7536"/>
      <c r="C7536"/>
      <c r="D7536"/>
      <c r="E7536" s="2">
        <f>Comuni__2[[#This Row],[Popolazione2011]]/$D$7911</f>
        <v>1.2074433641327593E-4</v>
      </c>
      <c r="F7536">
        <f>SUMIFS($D$2:$D$7909, $B$2:$B$7909, "Veneto")</f>
        <v>4855904</v>
      </c>
      <c r="G7536" s="1">
        <f>Comuni__2[[#This Row],[Popolazione2011]]/Comuni__2[[#This Row],[POPOLAZIONE TOTALE DI OGNI REGIONE (CON FILTRO)]]</f>
        <v>1.477582752871556E-3</v>
      </c>
      <c r="H7536" t="str">
        <f>IF(Comuni__2[[#This Row],[Popolazione2011]]&gt;300000,"MAGGIORE","")</f>
        <v/>
      </c>
    </row>
    <row r="7537" spans="1:8" x14ac:dyDescent="0.2">
      <c r="A7537"/>
      <c r="B7537"/>
      <c r="C7537"/>
      <c r="D7537"/>
      <c r="E7537" s="2">
        <f>Comuni__2[[#This Row],[Popolazione2011]]/$D$7911</f>
        <v>1.2050873770807931E-4</v>
      </c>
      <c r="F7537">
        <f>SUMIFS($D$2:$D$7909, $B$2:$B$7909, "Veneto")</f>
        <v>4855904</v>
      </c>
      <c r="G7537" s="1">
        <f>Comuni__2[[#This Row],[Popolazione2011]]/Comuni__2[[#This Row],[POPOLAZIONE TOTALE DI OGNI REGIONE (CON FILTRO)]]</f>
        <v>1.47469966457327E-3</v>
      </c>
      <c r="H7537" t="str">
        <f>IF(Comuni__2[[#This Row],[Popolazione2011]]&gt;300000,"MAGGIORE","")</f>
        <v/>
      </c>
    </row>
    <row r="7538" spans="1:8" x14ac:dyDescent="0.2">
      <c r="A7538"/>
      <c r="B7538"/>
      <c r="C7538"/>
      <c r="D7538"/>
      <c r="E7538" s="2">
        <f>Comuni__2[[#This Row],[Popolazione2011]]/$D$7911</f>
        <v>1.200038833398008E-4</v>
      </c>
      <c r="F7538">
        <f>SUMIFS($D$2:$D$7909, $B$2:$B$7909, "Veneto")</f>
        <v>4855904</v>
      </c>
      <c r="G7538" s="1">
        <f>Comuni__2[[#This Row],[Popolazione2011]]/Comuni__2[[#This Row],[POPOLAZIONE TOTALE DI OGNI REGIONE (CON FILTRO)]]</f>
        <v>1.4685216182198E-3</v>
      </c>
      <c r="H7538" t="str">
        <f>IF(Comuni__2[[#This Row],[Popolazione2011]]&gt;300000,"MAGGIORE","")</f>
        <v/>
      </c>
    </row>
    <row r="7539" spans="1:8" x14ac:dyDescent="0.2">
      <c r="A7539"/>
      <c r="B7539"/>
      <c r="C7539"/>
      <c r="D7539"/>
      <c r="E7539" s="2">
        <f>Comuni__2[[#This Row],[Popolazione2011]]/$D$7911</f>
        <v>1.1941488657680921E-4</v>
      </c>
      <c r="F7539">
        <f>SUMIFS($D$2:$D$7909, $B$2:$B$7909, "Veneto")</f>
        <v>4855904</v>
      </c>
      <c r="G7539" s="1">
        <f>Comuni__2[[#This Row],[Popolazione2011]]/Comuni__2[[#This Row],[POPOLAZIONE TOTALE DI OGNI REGIONE (CON FILTRO)]]</f>
        <v>1.4613138974740852E-3</v>
      </c>
      <c r="H7539" t="str">
        <f>IF(Comuni__2[[#This Row],[Popolazione2011]]&gt;300000,"MAGGIORE","")</f>
        <v/>
      </c>
    </row>
    <row r="7540" spans="1:8" x14ac:dyDescent="0.2">
      <c r="A7540"/>
      <c r="B7540"/>
      <c r="C7540"/>
      <c r="D7540"/>
      <c r="E7540" s="2">
        <f>Comuni__2[[#This Row],[Popolazione2011]]/$D$7911</f>
        <v>1.1887637525064546E-4</v>
      </c>
      <c r="F7540">
        <f>SUMIFS($D$2:$D$7909, $B$2:$B$7909, "Veneto")</f>
        <v>4855904</v>
      </c>
      <c r="G7540" s="1">
        <f>Comuni__2[[#This Row],[Popolazione2011]]/Comuni__2[[#This Row],[POPOLAZIONE TOTALE DI OGNI REGIONE (CON FILTRO)]]</f>
        <v>1.4547239813637173E-3</v>
      </c>
      <c r="H7540" t="str">
        <f>IF(Comuni__2[[#This Row],[Popolazione2011]]&gt;300000,"MAGGIORE","")</f>
        <v/>
      </c>
    </row>
    <row r="7541" spans="1:8" x14ac:dyDescent="0.2">
      <c r="A7541"/>
      <c r="B7541"/>
      <c r="C7541"/>
      <c r="D7541"/>
      <c r="E7541" s="2">
        <f>Comuni__2[[#This Row],[Popolazione2011]]/$D$7911</f>
        <v>1.1850614871390789E-4</v>
      </c>
      <c r="F7541">
        <f>SUMIFS($D$2:$D$7909, $B$2:$B$7909, "Veneto")</f>
        <v>4855904</v>
      </c>
      <c r="G7541" s="1">
        <f>Comuni__2[[#This Row],[Popolazione2011]]/Comuni__2[[#This Row],[POPOLAZIONE TOTALE DI OGNI REGIONE (CON FILTRO)]]</f>
        <v>1.4501934140378394E-3</v>
      </c>
      <c r="H7541" t="str">
        <f>IF(Comuni__2[[#This Row],[Popolazione2011]]&gt;300000,"MAGGIORE","")</f>
        <v/>
      </c>
    </row>
    <row r="7542" spans="1:8" x14ac:dyDescent="0.2">
      <c r="A7542"/>
      <c r="B7542"/>
      <c r="C7542"/>
      <c r="D7542"/>
      <c r="E7542" s="2">
        <f>Comuni__2[[#This Row],[Popolazione2011]]/$D$7911</f>
        <v>1.1837152088236697E-4</v>
      </c>
      <c r="F7542">
        <f>SUMIFS($D$2:$D$7909, $B$2:$B$7909, "Veneto")</f>
        <v>4855904</v>
      </c>
      <c r="G7542" s="1">
        <f>Comuni__2[[#This Row],[Popolazione2011]]/Comuni__2[[#This Row],[POPOLAZIONE TOTALE DI OGNI REGIONE (CON FILTRO)]]</f>
        <v>1.4485459350102473E-3</v>
      </c>
      <c r="H7542" t="str">
        <f>IF(Comuni__2[[#This Row],[Popolazione2011]]&gt;300000,"MAGGIORE","")</f>
        <v/>
      </c>
    </row>
    <row r="7543" spans="1:8" x14ac:dyDescent="0.2">
      <c r="A7543"/>
      <c r="B7543"/>
      <c r="C7543"/>
      <c r="D7543"/>
      <c r="E7543" s="2">
        <f>Comuni__2[[#This Row],[Popolazione2011]]/$D$7911</f>
        <v>1.1801812282457201E-4</v>
      </c>
      <c r="F7543">
        <f>SUMIFS($D$2:$D$7909, $B$2:$B$7909, "Veneto")</f>
        <v>4855904</v>
      </c>
      <c r="G7543" s="1">
        <f>Comuni__2[[#This Row],[Popolazione2011]]/Comuni__2[[#This Row],[POPOLAZIONE TOTALE DI OGNI REGIONE (CON FILTRO)]]</f>
        <v>1.4442213025628184E-3</v>
      </c>
      <c r="H7543" t="str">
        <f>IF(Comuni__2[[#This Row],[Popolazione2011]]&gt;300000,"MAGGIORE","")</f>
        <v/>
      </c>
    </row>
    <row r="7544" spans="1:8" x14ac:dyDescent="0.2">
      <c r="A7544"/>
      <c r="B7544"/>
      <c r="C7544"/>
      <c r="D7544"/>
      <c r="E7544" s="2">
        <f>Comuni__2[[#This Row],[Popolazione2011]]/$D$7911</f>
        <v>1.1795080890880155E-4</v>
      </c>
      <c r="F7544">
        <f>SUMIFS($D$2:$D$7909, $B$2:$B$7909, "Veneto")</f>
        <v>4855904</v>
      </c>
      <c r="G7544" s="1">
        <f>Comuni__2[[#This Row],[Popolazione2011]]/Comuni__2[[#This Row],[POPOLAZIONE TOTALE DI OGNI REGIONE (CON FILTRO)]]</f>
        <v>1.4433975630490225E-3</v>
      </c>
      <c r="H7544" t="str">
        <f>IF(Comuni__2[[#This Row],[Popolazione2011]]&gt;300000,"MAGGIORE","")</f>
        <v/>
      </c>
    </row>
    <row r="7545" spans="1:8" x14ac:dyDescent="0.2">
      <c r="A7545"/>
      <c r="B7545"/>
      <c r="C7545"/>
      <c r="D7545"/>
      <c r="E7545" s="2">
        <f>Comuni__2[[#This Row],[Popolazione2011]]/$D$7911</f>
        <v>1.1788349499303107E-4</v>
      </c>
      <c r="F7545">
        <f>SUMIFS($D$2:$D$7909, $B$2:$B$7909, "Veneto")</f>
        <v>4855904</v>
      </c>
      <c r="G7545" s="1">
        <f>Comuni__2[[#This Row],[Popolazione2011]]/Comuni__2[[#This Row],[POPOLAZIONE TOTALE DI OGNI REGIONE (CON FILTRO)]]</f>
        <v>1.4425738235352265E-3</v>
      </c>
      <c r="H7545" t="str">
        <f>IF(Comuni__2[[#This Row],[Popolazione2011]]&gt;300000,"MAGGIORE","")</f>
        <v/>
      </c>
    </row>
    <row r="7546" spans="1:8" x14ac:dyDescent="0.2">
      <c r="A7546"/>
      <c r="B7546"/>
      <c r="C7546"/>
      <c r="D7546"/>
      <c r="E7546" s="2">
        <f>Comuni__2[[#This Row],[Popolazione2011]]/$D$7911</f>
        <v>1.1747961149840827E-4</v>
      </c>
      <c r="F7546">
        <f>SUMIFS($D$2:$D$7909, $B$2:$B$7909, "Veneto")</f>
        <v>4855904</v>
      </c>
      <c r="G7546" s="1">
        <f>Comuni__2[[#This Row],[Popolazione2011]]/Comuni__2[[#This Row],[POPOLAZIONE TOTALE DI OGNI REGIONE (CON FILTRO)]]</f>
        <v>1.4376313864524505E-3</v>
      </c>
      <c r="H7546" t="str">
        <f>IF(Comuni__2[[#This Row],[Popolazione2011]]&gt;300000,"MAGGIORE","")</f>
        <v/>
      </c>
    </row>
    <row r="7547" spans="1:8" x14ac:dyDescent="0.2">
      <c r="A7547"/>
      <c r="B7547"/>
      <c r="C7547"/>
      <c r="D7547"/>
      <c r="E7547" s="2">
        <f>Comuni__2[[#This Row],[Popolazione2011]]/$D$7911</f>
        <v>1.1672232994599052E-4</v>
      </c>
      <c r="F7547">
        <f>SUMIFS($D$2:$D$7909, $B$2:$B$7909, "Veneto")</f>
        <v>4855904</v>
      </c>
      <c r="G7547" s="1">
        <f>Comuni__2[[#This Row],[Popolazione2011]]/Comuni__2[[#This Row],[POPOLAZIONE TOTALE DI OGNI REGIONE (CON FILTRO)]]</f>
        <v>1.4283643169222455E-3</v>
      </c>
      <c r="H7547" t="str">
        <f>IF(Comuni__2[[#This Row],[Popolazione2011]]&gt;300000,"MAGGIORE","")</f>
        <v/>
      </c>
    </row>
    <row r="7548" spans="1:8" x14ac:dyDescent="0.2">
      <c r="A7548"/>
      <c r="B7548"/>
      <c r="C7548"/>
      <c r="D7548"/>
      <c r="E7548" s="2">
        <f>Comuni__2[[#This Row],[Popolazione2011]]/$D$7911</f>
        <v>1.1625113253559724E-4</v>
      </c>
      <c r="F7548">
        <f>SUMIFS($D$2:$D$7909, $B$2:$B$7909, "Veneto")</f>
        <v>4855904</v>
      </c>
      <c r="G7548" s="1">
        <f>Comuni__2[[#This Row],[Popolazione2011]]/Comuni__2[[#This Row],[POPOLAZIONE TOTALE DI OGNI REGIONE (CON FILTRO)]]</f>
        <v>1.4225981403256736E-3</v>
      </c>
      <c r="H7548" t="str">
        <f>IF(Comuni__2[[#This Row],[Popolazione2011]]&gt;300000,"MAGGIORE","")</f>
        <v/>
      </c>
    </row>
    <row r="7549" spans="1:8" x14ac:dyDescent="0.2">
      <c r="A7549"/>
      <c r="B7549"/>
      <c r="C7549"/>
      <c r="D7549"/>
      <c r="E7549" s="2">
        <f>Comuni__2[[#This Row],[Popolazione2011]]/$D$7911</f>
        <v>1.1581359208308921E-4</v>
      </c>
      <c r="F7549">
        <f>SUMIFS($D$2:$D$7909, $B$2:$B$7909, "Veneto")</f>
        <v>4855904</v>
      </c>
      <c r="G7549" s="1">
        <f>Comuni__2[[#This Row],[Popolazione2011]]/Comuni__2[[#This Row],[POPOLAZIONE TOTALE DI OGNI REGIONE (CON FILTRO)]]</f>
        <v>1.4172438334859997E-3</v>
      </c>
      <c r="H7549" t="str">
        <f>IF(Comuni__2[[#This Row],[Popolazione2011]]&gt;300000,"MAGGIORE","")</f>
        <v/>
      </c>
    </row>
    <row r="7550" spans="1:8" x14ac:dyDescent="0.2">
      <c r="A7550"/>
      <c r="B7550"/>
      <c r="C7550"/>
      <c r="D7550"/>
      <c r="E7550" s="2">
        <f>Comuni__2[[#This Row],[Popolazione2011]]/$D$7911</f>
        <v>1.1556116489894995E-4</v>
      </c>
      <c r="F7550">
        <f>SUMIFS($D$2:$D$7909, $B$2:$B$7909, "Veneto")</f>
        <v>4855904</v>
      </c>
      <c r="G7550" s="1">
        <f>Comuni__2[[#This Row],[Popolazione2011]]/Comuni__2[[#This Row],[POPOLAZIONE TOTALE DI OGNI REGIONE (CON FILTRO)]]</f>
        <v>1.4141548103092647E-3</v>
      </c>
      <c r="H7550" t="str">
        <f>IF(Comuni__2[[#This Row],[Popolazione2011]]&gt;300000,"MAGGIORE","")</f>
        <v/>
      </c>
    </row>
    <row r="7551" spans="1:8" x14ac:dyDescent="0.2">
      <c r="A7551"/>
      <c r="B7551"/>
      <c r="C7551"/>
      <c r="D7551"/>
      <c r="E7551" s="2">
        <f>Comuni__2[[#This Row],[Popolazione2011]]/$D$7911</f>
        <v>1.1534239467269593E-4</v>
      </c>
      <c r="F7551">
        <f>SUMIFS($D$2:$D$7909, $B$2:$B$7909, "Veneto")</f>
        <v>4855904</v>
      </c>
      <c r="G7551" s="1">
        <f>Comuni__2[[#This Row],[Popolazione2011]]/Comuni__2[[#This Row],[POPOLAZIONE TOTALE DI OGNI REGIONE (CON FILTRO)]]</f>
        <v>1.4114776568894278E-3</v>
      </c>
      <c r="H7551" t="str">
        <f>IF(Comuni__2[[#This Row],[Popolazione2011]]&gt;300000,"MAGGIORE","")</f>
        <v/>
      </c>
    </row>
    <row r="7552" spans="1:8" x14ac:dyDescent="0.2">
      <c r="A7552"/>
      <c r="B7552"/>
      <c r="C7552"/>
      <c r="D7552"/>
      <c r="E7552" s="2">
        <f>Comuni__2[[#This Row],[Popolazione2011]]/$D$7911</f>
        <v>1.1515728140432715E-4</v>
      </c>
      <c r="F7552">
        <f>SUMIFS($D$2:$D$7909, $B$2:$B$7909, "Veneto")</f>
        <v>4855904</v>
      </c>
      <c r="G7552" s="1">
        <f>Comuni__2[[#This Row],[Popolazione2011]]/Comuni__2[[#This Row],[POPOLAZIONE TOTALE DI OGNI REGIONE (CON FILTRO)]]</f>
        <v>1.4092123732264887E-3</v>
      </c>
      <c r="H7552" t="str">
        <f>IF(Comuni__2[[#This Row],[Popolazione2011]]&gt;300000,"MAGGIORE","")</f>
        <v/>
      </c>
    </row>
    <row r="7553" spans="1:8" x14ac:dyDescent="0.2">
      <c r="A7553"/>
      <c r="B7553"/>
      <c r="C7553"/>
      <c r="D7553"/>
      <c r="E7553" s="2">
        <f>Comuni__2[[#This Row],[Popolazione2011]]/$D$7911</f>
        <v>1.1465242703604864E-4</v>
      </c>
      <c r="F7553">
        <f>SUMIFS($D$2:$D$7909, $B$2:$B$7909, "Veneto")</f>
        <v>4855904</v>
      </c>
      <c r="G7553" s="1">
        <f>Comuni__2[[#This Row],[Popolazione2011]]/Comuni__2[[#This Row],[POPOLAZIONE TOTALE DI OGNI REGIONE (CON FILTRO)]]</f>
        <v>1.4030343268730189E-3</v>
      </c>
      <c r="H7553" t="str">
        <f>IF(Comuni__2[[#This Row],[Popolazione2011]]&gt;300000,"MAGGIORE","")</f>
        <v/>
      </c>
    </row>
    <row r="7554" spans="1:8" x14ac:dyDescent="0.2">
      <c r="A7554"/>
      <c r="B7554"/>
      <c r="C7554"/>
      <c r="D7554"/>
      <c r="E7554" s="2">
        <f>Comuni__2[[#This Row],[Popolazione2011]]/$D$7911</f>
        <v>1.1463559855710602E-4</v>
      </c>
      <c r="F7554">
        <f>SUMIFS($D$2:$D$7909, $B$2:$B$7909, "Veneto")</f>
        <v>4855904</v>
      </c>
      <c r="G7554" s="1">
        <f>Comuni__2[[#This Row],[Popolazione2011]]/Comuni__2[[#This Row],[POPOLAZIONE TOTALE DI OGNI REGIONE (CON FILTRO)]]</f>
        <v>1.4028283919945699E-3</v>
      </c>
      <c r="H7554" t="str">
        <f>IF(Comuni__2[[#This Row],[Popolazione2011]]&gt;300000,"MAGGIORE","")</f>
        <v/>
      </c>
    </row>
    <row r="7555" spans="1:8" x14ac:dyDescent="0.2">
      <c r="A7555"/>
      <c r="B7555"/>
      <c r="C7555"/>
      <c r="D7555"/>
      <c r="E7555" s="2">
        <f>Comuni__2[[#This Row],[Popolazione2011]]/$D$7911</f>
        <v>1.1419805810459798E-4</v>
      </c>
      <c r="F7555">
        <f>SUMIFS($D$2:$D$7909, $B$2:$B$7909, "Veneto")</f>
        <v>4855904</v>
      </c>
      <c r="G7555" s="1">
        <f>Comuni__2[[#This Row],[Popolazione2011]]/Comuni__2[[#This Row],[POPOLAZIONE TOTALE DI OGNI REGIONE (CON FILTRO)]]</f>
        <v>1.3974740851548961E-3</v>
      </c>
      <c r="H7555" t="str">
        <f>IF(Comuni__2[[#This Row],[Popolazione2011]]&gt;300000,"MAGGIORE","")</f>
        <v/>
      </c>
    </row>
    <row r="7556" spans="1:8" x14ac:dyDescent="0.2">
      <c r="A7556"/>
      <c r="B7556"/>
      <c r="C7556"/>
      <c r="D7556"/>
      <c r="E7556" s="2">
        <f>Comuni__2[[#This Row],[Popolazione2011]]/$D$7911</f>
        <v>1.1387831700468826E-4</v>
      </c>
      <c r="F7556">
        <f>SUMIFS($D$2:$D$7909, $B$2:$B$7909, "Veneto")</f>
        <v>4855904</v>
      </c>
      <c r="G7556" s="1">
        <f>Comuni__2[[#This Row],[Popolazione2011]]/Comuni__2[[#This Row],[POPOLAZIONE TOTALE DI OGNI REGIONE (CON FILTRO)]]</f>
        <v>1.3935613224643651E-3</v>
      </c>
      <c r="H7556" t="str">
        <f>IF(Comuni__2[[#This Row],[Popolazione2011]]&gt;300000,"MAGGIORE","")</f>
        <v/>
      </c>
    </row>
    <row r="7557" spans="1:8" x14ac:dyDescent="0.2">
      <c r="A7557"/>
      <c r="B7557"/>
      <c r="C7557"/>
      <c r="D7557"/>
      <c r="E7557" s="2">
        <f>Comuni__2[[#This Row],[Popolazione2011]]/$D$7911</f>
        <v>1.1382783156786041E-4</v>
      </c>
      <c r="F7557">
        <f>SUMIFS($D$2:$D$7909, $B$2:$B$7909, "Veneto")</f>
        <v>4855904</v>
      </c>
      <c r="G7557" s="1">
        <f>Comuni__2[[#This Row],[Popolazione2011]]/Comuni__2[[#This Row],[POPOLAZIONE TOTALE DI OGNI REGIONE (CON FILTRO)]]</f>
        <v>1.3929435178290179E-3</v>
      </c>
      <c r="H7557" t="str">
        <f>IF(Comuni__2[[#This Row],[Popolazione2011]]&gt;300000,"MAGGIORE","")</f>
        <v/>
      </c>
    </row>
    <row r="7558" spans="1:8" x14ac:dyDescent="0.2">
      <c r="A7558"/>
      <c r="B7558"/>
      <c r="C7558"/>
      <c r="D7558"/>
      <c r="E7558" s="2">
        <f>Comuni__2[[#This Row],[Popolazione2011]]/$D$7911</f>
        <v>1.131210354522705E-4</v>
      </c>
      <c r="F7558">
        <f>SUMIFS($D$2:$D$7909, $B$2:$B$7909, "Veneto")</f>
        <v>4855904</v>
      </c>
      <c r="G7558" s="1">
        <f>Comuni__2[[#This Row],[Popolazione2011]]/Comuni__2[[#This Row],[POPOLAZIONE TOTALE DI OGNI REGIONE (CON FILTRO)]]</f>
        <v>1.3842942529341601E-3</v>
      </c>
      <c r="H7558" t="str">
        <f>IF(Comuni__2[[#This Row],[Popolazione2011]]&gt;300000,"MAGGIORE","")</f>
        <v/>
      </c>
    </row>
    <row r="7559" spans="1:8" x14ac:dyDescent="0.2">
      <c r="A7559"/>
      <c r="B7559"/>
      <c r="C7559"/>
      <c r="D7559"/>
      <c r="E7559" s="2">
        <f>Comuni__2[[#This Row],[Popolazione2011]]/$D$7911</f>
        <v>1.1308737849438527E-4</v>
      </c>
      <c r="F7559">
        <f>SUMIFS($D$2:$D$7909, $B$2:$B$7909, "Veneto")</f>
        <v>4855904</v>
      </c>
      <c r="G7559" s="1">
        <f>Comuni__2[[#This Row],[Popolazione2011]]/Comuni__2[[#This Row],[POPOLAZIONE TOTALE DI OGNI REGIONE (CON FILTRO)]]</f>
        <v>1.3838823831772622E-3</v>
      </c>
      <c r="H7559" t="str">
        <f>IF(Comuni__2[[#This Row],[Popolazione2011]]&gt;300000,"MAGGIORE","")</f>
        <v/>
      </c>
    </row>
    <row r="7560" spans="1:8" x14ac:dyDescent="0.2">
      <c r="A7560"/>
      <c r="B7560"/>
      <c r="C7560"/>
      <c r="D7560"/>
      <c r="E7560" s="2">
        <f>Comuni__2[[#This Row],[Popolazione2011]]/$D$7911</f>
        <v>1.1298640762072957E-4</v>
      </c>
      <c r="F7560">
        <f>SUMIFS($D$2:$D$7909, $B$2:$B$7909, "Veneto")</f>
        <v>4855904</v>
      </c>
      <c r="G7560" s="1">
        <f>Comuni__2[[#This Row],[Popolazione2011]]/Comuni__2[[#This Row],[POPOLAZIONE TOTALE DI OGNI REGIONE (CON FILTRO)]]</f>
        <v>1.3826467739065681E-3</v>
      </c>
      <c r="H7560" t="str">
        <f>IF(Comuni__2[[#This Row],[Popolazione2011]]&gt;300000,"MAGGIORE","")</f>
        <v/>
      </c>
    </row>
    <row r="7561" spans="1:8" x14ac:dyDescent="0.2">
      <c r="A7561"/>
      <c r="B7561"/>
      <c r="C7561"/>
      <c r="D7561"/>
      <c r="E7561" s="2">
        <f>Comuni__2[[#This Row],[Popolazione2011]]/$D$7911</f>
        <v>1.1266666652081985E-4</v>
      </c>
      <c r="F7561">
        <f>SUMIFS($D$2:$D$7909, $B$2:$B$7909, "Veneto")</f>
        <v>4855904</v>
      </c>
      <c r="G7561" s="1">
        <f>Comuni__2[[#This Row],[Popolazione2011]]/Comuni__2[[#This Row],[POPOLAZIONE TOTALE DI OGNI REGIONE (CON FILTRO)]]</f>
        <v>1.3787340112160372E-3</v>
      </c>
      <c r="H7561" t="str">
        <f>IF(Comuni__2[[#This Row],[Popolazione2011]]&gt;300000,"MAGGIORE","")</f>
        <v/>
      </c>
    </row>
    <row r="7562" spans="1:8" x14ac:dyDescent="0.2">
      <c r="A7562"/>
      <c r="B7562"/>
      <c r="C7562"/>
      <c r="D7562"/>
      <c r="E7562" s="2">
        <f>Comuni__2[[#This Row],[Popolazione2011]]/$D$7911</f>
        <v>1.1258252412610676E-4</v>
      </c>
      <c r="F7562">
        <f>SUMIFS($D$2:$D$7909, $B$2:$B$7909, "Veneto")</f>
        <v>4855904</v>
      </c>
      <c r="G7562" s="1">
        <f>Comuni__2[[#This Row],[Popolazione2011]]/Comuni__2[[#This Row],[POPOLAZIONE TOTALE DI OGNI REGIONE (CON FILTRO)]]</f>
        <v>1.3777043368237922E-3</v>
      </c>
      <c r="H7562" t="str">
        <f>IF(Comuni__2[[#This Row],[Popolazione2011]]&gt;300000,"MAGGIORE","")</f>
        <v/>
      </c>
    </row>
    <row r="7563" spans="1:8" x14ac:dyDescent="0.2">
      <c r="A7563"/>
      <c r="B7563"/>
      <c r="C7563"/>
      <c r="D7563"/>
      <c r="E7563" s="2">
        <f>Comuni__2[[#This Row],[Popolazione2011]]/$D$7911</f>
        <v>1.1177475713686116E-4</v>
      </c>
      <c r="F7563">
        <f>SUMIFS($D$2:$D$7909, $B$2:$B$7909, "Veneto")</f>
        <v>4855904</v>
      </c>
      <c r="G7563" s="1">
        <f>Comuni__2[[#This Row],[Popolazione2011]]/Comuni__2[[#This Row],[POPOLAZIONE TOTALE DI OGNI REGIONE (CON FILTRO)]]</f>
        <v>1.3678194626582404E-3</v>
      </c>
      <c r="H7563" t="str">
        <f>IF(Comuni__2[[#This Row],[Popolazione2011]]&gt;300000,"MAGGIORE","")</f>
        <v/>
      </c>
    </row>
    <row r="7564" spans="1:8" x14ac:dyDescent="0.2">
      <c r="A7564"/>
      <c r="B7564"/>
      <c r="C7564"/>
      <c r="D7564"/>
      <c r="E7564" s="2">
        <f>Comuni__2[[#This Row],[Popolazione2011]]/$D$7911</f>
        <v>1.1175792865791854E-4</v>
      </c>
      <c r="F7564">
        <f>SUMIFS($D$2:$D$7909, $B$2:$B$7909, "Veneto")</f>
        <v>4855904</v>
      </c>
      <c r="G7564" s="1">
        <f>Comuni__2[[#This Row],[Popolazione2011]]/Comuni__2[[#This Row],[POPOLAZIONE TOTALE DI OGNI REGIONE (CON FILTRO)]]</f>
        <v>1.3676135277797914E-3</v>
      </c>
      <c r="H7564" t="str">
        <f>IF(Comuni__2[[#This Row],[Popolazione2011]]&gt;300000,"MAGGIORE","")</f>
        <v/>
      </c>
    </row>
    <row r="7565" spans="1:8" x14ac:dyDescent="0.2">
      <c r="A7565"/>
      <c r="B7565"/>
      <c r="C7565"/>
      <c r="D7565"/>
      <c r="E7565" s="2">
        <f>Comuni__2[[#This Row],[Popolazione2011]]/$D$7911</f>
        <v>1.1105113254232863E-4</v>
      </c>
      <c r="F7565">
        <f>SUMIFS($D$2:$D$7909, $B$2:$B$7909, "Veneto")</f>
        <v>4855904</v>
      </c>
      <c r="G7565" s="1">
        <f>Comuni__2[[#This Row],[Popolazione2011]]/Comuni__2[[#This Row],[POPOLAZIONE TOTALE DI OGNI REGIONE (CON FILTRO)]]</f>
        <v>1.3589642628849335E-3</v>
      </c>
      <c r="H7565" t="str">
        <f>IF(Comuni__2[[#This Row],[Popolazione2011]]&gt;300000,"MAGGIORE","")</f>
        <v/>
      </c>
    </row>
    <row r="7566" spans="1:8" x14ac:dyDescent="0.2">
      <c r="A7566"/>
      <c r="B7566"/>
      <c r="C7566"/>
      <c r="D7566"/>
      <c r="E7566" s="2">
        <f>Comuni__2[[#This Row],[Popolazione2011]]/$D$7911</f>
        <v>1.0990679597423069E-4</v>
      </c>
      <c r="F7566">
        <f>SUMIFS($D$2:$D$7909, $B$2:$B$7909, "Veneto")</f>
        <v>4855904</v>
      </c>
      <c r="G7566" s="1">
        <f>Comuni__2[[#This Row],[Popolazione2011]]/Comuni__2[[#This Row],[POPOLAZIONE TOTALE DI OGNI REGIONE (CON FILTRO)]]</f>
        <v>1.3449606911504017E-3</v>
      </c>
      <c r="H7566" t="str">
        <f>IF(Comuni__2[[#This Row],[Popolazione2011]]&gt;300000,"MAGGIORE","")</f>
        <v/>
      </c>
    </row>
    <row r="7567" spans="1:8" x14ac:dyDescent="0.2">
      <c r="A7567"/>
      <c r="B7567"/>
      <c r="C7567"/>
      <c r="D7567"/>
      <c r="E7567" s="2">
        <f>Comuni__2[[#This Row],[Popolazione2011]]/$D$7911</f>
        <v>1.0953656943749312E-4</v>
      </c>
      <c r="F7567">
        <f>SUMIFS($D$2:$D$7909, $B$2:$B$7909, "Veneto")</f>
        <v>4855904</v>
      </c>
      <c r="G7567" s="1">
        <f>Comuni__2[[#This Row],[Popolazione2011]]/Comuni__2[[#This Row],[POPOLAZIONE TOTALE DI OGNI REGIONE (CON FILTRO)]]</f>
        <v>1.3404301238245236E-3</v>
      </c>
      <c r="H7567" t="str">
        <f>IF(Comuni__2[[#This Row],[Popolazione2011]]&gt;300000,"MAGGIORE","")</f>
        <v/>
      </c>
    </row>
    <row r="7568" spans="1:8" x14ac:dyDescent="0.2">
      <c r="A7568"/>
      <c r="B7568"/>
      <c r="C7568"/>
      <c r="D7568"/>
      <c r="E7568" s="2">
        <f>Comuni__2[[#This Row],[Popolazione2011]]/$D$7911</f>
        <v>1.0906537202709984E-4</v>
      </c>
      <c r="F7568">
        <f>SUMIFS($D$2:$D$7909, $B$2:$B$7909, "Veneto")</f>
        <v>4855904</v>
      </c>
      <c r="G7568" s="1">
        <f>Comuni__2[[#This Row],[Popolazione2011]]/Comuni__2[[#This Row],[POPOLAZIONE TOTALE DI OGNI REGIONE (CON FILTRO)]]</f>
        <v>1.3346639472279517E-3</v>
      </c>
      <c r="H7568" t="str">
        <f>IF(Comuni__2[[#This Row],[Popolazione2011]]&gt;300000,"MAGGIORE","")</f>
        <v/>
      </c>
    </row>
    <row r="7569" spans="1:8" x14ac:dyDescent="0.2">
      <c r="A7569"/>
      <c r="B7569"/>
      <c r="C7569"/>
      <c r="D7569"/>
      <c r="E7569" s="2">
        <f>Comuni__2[[#This Row],[Popolazione2011]]/$D$7911</f>
        <v>1.0879611636401797E-4</v>
      </c>
      <c r="F7569">
        <f>SUMIFS($D$2:$D$7909, $B$2:$B$7909, "Veneto")</f>
        <v>4855904</v>
      </c>
      <c r="G7569" s="1">
        <f>Comuni__2[[#This Row],[Popolazione2011]]/Comuni__2[[#This Row],[POPOLAZIONE TOTALE DI OGNI REGIONE (CON FILTRO)]]</f>
        <v>1.3313689891727679E-3</v>
      </c>
      <c r="H7569" t="str">
        <f>IF(Comuni__2[[#This Row],[Popolazione2011]]&gt;300000,"MAGGIORE","")</f>
        <v/>
      </c>
    </row>
    <row r="7570" spans="1:8" x14ac:dyDescent="0.2">
      <c r="A7570"/>
      <c r="B7570"/>
      <c r="C7570"/>
      <c r="D7570"/>
      <c r="E7570" s="2">
        <f>Comuni__2[[#This Row],[Popolazione2011]]/$D$7911</f>
        <v>1.0859417461670658E-4</v>
      </c>
      <c r="F7570">
        <f>SUMIFS($D$2:$D$7909, $B$2:$B$7909, "Veneto")</f>
        <v>4855904</v>
      </c>
      <c r="G7570" s="1">
        <f>Comuni__2[[#This Row],[Popolazione2011]]/Comuni__2[[#This Row],[POPOLAZIONE TOTALE DI OGNI REGIONE (CON FILTRO)]]</f>
        <v>1.3288977706313798E-3</v>
      </c>
      <c r="H7570" t="str">
        <f>IF(Comuni__2[[#This Row],[Popolazione2011]]&gt;300000,"MAGGIORE","")</f>
        <v/>
      </c>
    </row>
    <row r="7571" spans="1:8" x14ac:dyDescent="0.2">
      <c r="A7571"/>
      <c r="B7571"/>
      <c r="C7571"/>
      <c r="D7571"/>
      <c r="E7571" s="2">
        <f>Comuni__2[[#This Row],[Popolazione2011]]/$D$7911</f>
        <v>1.0755080892226432E-4</v>
      </c>
      <c r="F7571">
        <f>SUMIFS($D$2:$D$7909, $B$2:$B$7909, "Veneto")</f>
        <v>4855904</v>
      </c>
      <c r="G7571" s="1">
        <f>Comuni__2[[#This Row],[Popolazione2011]]/Comuni__2[[#This Row],[POPOLAZIONE TOTALE DI OGNI REGIONE (CON FILTRO)]]</f>
        <v>1.3161298081675421E-3</v>
      </c>
      <c r="H7571" t="str">
        <f>IF(Comuni__2[[#This Row],[Popolazione2011]]&gt;300000,"MAGGIORE","")</f>
        <v/>
      </c>
    </row>
    <row r="7572" spans="1:8" x14ac:dyDescent="0.2">
      <c r="A7572"/>
      <c r="B7572"/>
      <c r="C7572"/>
      <c r="D7572"/>
      <c r="E7572" s="2">
        <f>Comuni__2[[#This Row],[Popolazione2011]]/$D$7911</f>
        <v>1.0689449824350227E-4</v>
      </c>
      <c r="F7572">
        <f>SUMIFS($D$2:$D$7909, $B$2:$B$7909, "Veneto")</f>
        <v>4855904</v>
      </c>
      <c r="G7572" s="1">
        <f>Comuni__2[[#This Row],[Popolazione2011]]/Comuni__2[[#This Row],[POPOLAZIONE TOTALE DI OGNI REGIONE (CON FILTRO)]]</f>
        <v>1.3080983479080311E-3</v>
      </c>
      <c r="H7572" t="str">
        <f>IF(Comuni__2[[#This Row],[Popolazione2011]]&gt;300000,"MAGGIORE","")</f>
        <v/>
      </c>
    </row>
    <row r="7573" spans="1:8" x14ac:dyDescent="0.2">
      <c r="A7573"/>
      <c r="B7573"/>
      <c r="C7573"/>
      <c r="D7573"/>
      <c r="E7573" s="2">
        <f>Comuni__2[[#This Row],[Popolazione2011]]/$D$7911</f>
        <v>1.0644012931205162E-4</v>
      </c>
      <c r="F7573">
        <f>SUMIFS($D$2:$D$7909, $B$2:$B$7909, "Veneto")</f>
        <v>4855904</v>
      </c>
      <c r="G7573" s="1">
        <f>Comuni__2[[#This Row],[Popolazione2011]]/Comuni__2[[#This Row],[POPOLAZIONE TOTALE DI OGNI REGIONE (CON FILTRO)]]</f>
        <v>1.3025381061899082E-3</v>
      </c>
      <c r="H7573" t="str">
        <f>IF(Comuni__2[[#This Row],[Popolazione2011]]&gt;300000,"MAGGIORE","")</f>
        <v/>
      </c>
    </row>
    <row r="7574" spans="1:8" x14ac:dyDescent="0.2">
      <c r="A7574"/>
      <c r="B7574"/>
      <c r="C7574"/>
      <c r="D7574"/>
      <c r="E7574" s="2">
        <f>Comuni__2[[#This Row],[Popolazione2011]]/$D$7911</f>
        <v>1.0507702251769964E-4</v>
      </c>
      <c r="F7574">
        <f>SUMIFS($D$2:$D$7909, $B$2:$B$7909, "Veneto")</f>
        <v>4855904</v>
      </c>
      <c r="G7574" s="1">
        <f>Comuni__2[[#This Row],[Popolazione2011]]/Comuni__2[[#This Row],[POPOLAZIONE TOTALE DI OGNI REGIONE (CON FILTRO)]]</f>
        <v>1.2858573810355393E-3</v>
      </c>
      <c r="H7574" t="str">
        <f>IF(Comuni__2[[#This Row],[Popolazione2011]]&gt;300000,"MAGGIORE","")</f>
        <v/>
      </c>
    </row>
    <row r="7575" spans="1:8" x14ac:dyDescent="0.2">
      <c r="A7575"/>
      <c r="B7575"/>
      <c r="C7575"/>
      <c r="D7575"/>
      <c r="E7575" s="2">
        <f>Comuni__2[[#This Row],[Popolazione2011]]/$D$7911</f>
        <v>1.0462265358624899E-4</v>
      </c>
      <c r="F7575">
        <f>SUMIFS($D$2:$D$7909, $B$2:$B$7909, "Veneto")</f>
        <v>4855904</v>
      </c>
      <c r="G7575" s="1">
        <f>Comuni__2[[#This Row],[Popolazione2011]]/Comuni__2[[#This Row],[POPOLAZIONE TOTALE DI OGNI REGIONE (CON FILTRO)]]</f>
        <v>1.2802971393174164E-3</v>
      </c>
      <c r="H7575" t="str">
        <f>IF(Comuni__2[[#This Row],[Popolazione2011]]&gt;300000,"MAGGIORE","")</f>
        <v/>
      </c>
    </row>
    <row r="7576" spans="1:8" x14ac:dyDescent="0.2">
      <c r="A7576"/>
      <c r="B7576"/>
      <c r="C7576"/>
      <c r="D7576"/>
      <c r="E7576" s="2">
        <f>Comuni__2[[#This Row],[Popolazione2011]]/$D$7911</f>
        <v>1.0455533967047853E-4</v>
      </c>
      <c r="F7576">
        <f>SUMIFS($D$2:$D$7909, $B$2:$B$7909, "Veneto")</f>
        <v>4855904</v>
      </c>
      <c r="G7576" s="1">
        <f>Comuni__2[[#This Row],[Popolazione2011]]/Comuni__2[[#This Row],[POPOLAZIONE TOTALE DI OGNI REGIONE (CON FILTRO)]]</f>
        <v>1.2794733998036205E-3</v>
      </c>
      <c r="H7576" t="str">
        <f>IF(Comuni__2[[#This Row],[Popolazione2011]]&gt;300000,"MAGGIORE","")</f>
        <v/>
      </c>
    </row>
    <row r="7577" spans="1:8" x14ac:dyDescent="0.2">
      <c r="A7577"/>
      <c r="B7577"/>
      <c r="C7577"/>
      <c r="D7577"/>
      <c r="E7577" s="2">
        <f>Comuni__2[[#This Row],[Popolazione2011]]/$D$7911</f>
        <v>1.044375403178802E-4</v>
      </c>
      <c r="F7577">
        <f>SUMIFS($D$2:$D$7909, $B$2:$B$7909, "Veneto")</f>
        <v>4855904</v>
      </c>
      <c r="G7577" s="1">
        <f>Comuni__2[[#This Row],[Popolazione2011]]/Comuni__2[[#This Row],[POPOLAZIONE TOTALE DI OGNI REGIONE (CON FILTRO)]]</f>
        <v>1.2780318556544776E-3</v>
      </c>
      <c r="H7577" t="str">
        <f>IF(Comuni__2[[#This Row],[Popolazione2011]]&gt;300000,"MAGGIORE","")</f>
        <v/>
      </c>
    </row>
    <row r="7578" spans="1:8" x14ac:dyDescent="0.2">
      <c r="A7578"/>
      <c r="B7578"/>
      <c r="C7578"/>
      <c r="D7578"/>
      <c r="E7578" s="2">
        <f>Comuni__2[[#This Row],[Popolazione2011]]/$D$7911</f>
        <v>1.0398317138642955E-4</v>
      </c>
      <c r="F7578">
        <f>SUMIFS($D$2:$D$7909, $B$2:$B$7909, "Veneto")</f>
        <v>4855904</v>
      </c>
      <c r="G7578" s="1">
        <f>Comuni__2[[#This Row],[Popolazione2011]]/Comuni__2[[#This Row],[POPOLAZIONE TOTALE DI OGNI REGIONE (CON FILTRO)]]</f>
        <v>1.2724716139363545E-3</v>
      </c>
      <c r="H7578" t="str">
        <f>IF(Comuni__2[[#This Row],[Popolazione2011]]&gt;300000,"MAGGIORE","")</f>
        <v/>
      </c>
    </row>
    <row r="7579" spans="1:8" x14ac:dyDescent="0.2">
      <c r="A7579"/>
      <c r="B7579"/>
      <c r="C7579"/>
      <c r="D7579"/>
      <c r="E7579" s="2">
        <f>Comuni__2[[#This Row],[Popolazione2011]]/$D$7911</f>
        <v>1.0381488659700338E-4</v>
      </c>
      <c r="F7579">
        <f>SUMIFS($D$2:$D$7909, $B$2:$B$7909, "Veneto")</f>
        <v>4855904</v>
      </c>
      <c r="G7579" s="1">
        <f>Comuni__2[[#This Row],[Popolazione2011]]/Comuni__2[[#This Row],[POPOLAZIONE TOTALE DI OGNI REGIONE (CON FILTRO)]]</f>
        <v>1.2704122651518647E-3</v>
      </c>
      <c r="H7579" t="str">
        <f>IF(Comuni__2[[#This Row],[Popolazione2011]]&gt;300000,"MAGGIORE","")</f>
        <v/>
      </c>
    </row>
    <row r="7580" spans="1:8" x14ac:dyDescent="0.2">
      <c r="A7580"/>
      <c r="B7580"/>
      <c r="C7580"/>
      <c r="D7580"/>
      <c r="E7580" s="2">
        <f>Comuni__2[[#This Row],[Popolazione2011]]/$D$7911</f>
        <v>1.0339417462343796E-4</v>
      </c>
      <c r="F7580">
        <f>SUMIFS($D$2:$D$7909, $B$2:$B$7909, "Veneto")</f>
        <v>4855904</v>
      </c>
      <c r="G7580" s="1">
        <f>Comuni__2[[#This Row],[Popolazione2011]]/Comuni__2[[#This Row],[POPOLAZIONE TOTALE DI OGNI REGIONE (CON FILTRO)]]</f>
        <v>1.2652638931906397E-3</v>
      </c>
      <c r="H7580" t="str">
        <f>IF(Comuni__2[[#This Row],[Popolazione2011]]&gt;300000,"MAGGIORE","")</f>
        <v/>
      </c>
    </row>
    <row r="7581" spans="1:8" x14ac:dyDescent="0.2">
      <c r="A7581"/>
      <c r="B7581"/>
      <c r="C7581"/>
      <c r="D7581"/>
      <c r="E7581" s="2">
        <f>Comuni__2[[#This Row],[Popolazione2011]]/$D$7911</f>
        <v>1.0325954679189702E-4</v>
      </c>
      <c r="F7581">
        <f>SUMIFS($D$2:$D$7909, $B$2:$B$7909, "Veneto")</f>
        <v>4855904</v>
      </c>
      <c r="G7581" s="1">
        <f>Comuni__2[[#This Row],[Popolazione2011]]/Comuni__2[[#This Row],[POPOLAZIONE TOTALE DI OGNI REGIONE (CON FILTRO)]]</f>
        <v>1.2636164141630478E-3</v>
      </c>
      <c r="H7581" t="str">
        <f>IF(Comuni__2[[#This Row],[Popolazione2011]]&gt;300000,"MAGGIORE","")</f>
        <v/>
      </c>
    </row>
    <row r="7582" spans="1:8" x14ac:dyDescent="0.2">
      <c r="A7582"/>
      <c r="B7582"/>
      <c r="C7582"/>
      <c r="D7582"/>
      <c r="E7582" s="2">
        <f>Comuni__2[[#This Row],[Popolazione2011]]/$D$7911</f>
        <v>1.0287249177621684E-4</v>
      </c>
      <c r="F7582">
        <f>SUMIFS($D$2:$D$7909, $B$2:$B$7909, "Veneto")</f>
        <v>4855904</v>
      </c>
      <c r="G7582" s="1">
        <f>Comuni__2[[#This Row],[Popolazione2011]]/Comuni__2[[#This Row],[POPOLAZIONE TOTALE DI OGNI REGIONE (CON FILTRO)]]</f>
        <v>1.2588799119587209E-3</v>
      </c>
      <c r="H7582" t="str">
        <f>IF(Comuni__2[[#This Row],[Popolazione2011]]&gt;300000,"MAGGIORE","")</f>
        <v/>
      </c>
    </row>
    <row r="7583" spans="1:8" x14ac:dyDescent="0.2">
      <c r="A7583"/>
      <c r="B7583"/>
      <c r="C7583"/>
      <c r="D7583"/>
      <c r="E7583" s="2">
        <f>Comuni__2[[#This Row],[Popolazione2011]]/$D$7911</f>
        <v>1.0285566329727422E-4</v>
      </c>
      <c r="F7583">
        <f>SUMIFS($D$2:$D$7909, $B$2:$B$7909, "Veneto")</f>
        <v>4855904</v>
      </c>
      <c r="G7583" s="1">
        <f>Comuni__2[[#This Row],[Popolazione2011]]/Comuni__2[[#This Row],[POPOLAZIONE TOTALE DI OGNI REGIONE (CON FILTRO)]]</f>
        <v>1.2586739770802718E-3</v>
      </c>
      <c r="H7583" t="str">
        <f>IF(Comuni__2[[#This Row],[Popolazione2011]]&gt;300000,"MAGGIORE","")</f>
        <v/>
      </c>
    </row>
    <row r="7584" spans="1:8" x14ac:dyDescent="0.2">
      <c r="A7584"/>
      <c r="B7584"/>
      <c r="C7584"/>
      <c r="D7584"/>
      <c r="E7584" s="2">
        <f>Comuni__2[[#This Row],[Popolazione2011]]/$D$7911</f>
        <v>1.0262006459207758E-4</v>
      </c>
      <c r="F7584">
        <f>SUMIFS($D$2:$D$7909, $B$2:$B$7909, "Veneto")</f>
        <v>4855904</v>
      </c>
      <c r="G7584" s="1">
        <f>Comuni__2[[#This Row],[Popolazione2011]]/Comuni__2[[#This Row],[POPOLAZIONE TOTALE DI OGNI REGIONE (CON FILTRO)]]</f>
        <v>1.2557908887819858E-3</v>
      </c>
      <c r="H7584" t="str">
        <f>IF(Comuni__2[[#This Row],[Popolazione2011]]&gt;300000,"MAGGIORE","")</f>
        <v/>
      </c>
    </row>
    <row r="7585" spans="1:8" x14ac:dyDescent="0.2">
      <c r="A7585"/>
      <c r="B7585"/>
      <c r="C7585"/>
      <c r="D7585"/>
      <c r="E7585" s="2">
        <f>Comuni__2[[#This Row],[Popolazione2011]]/$D$7911</f>
        <v>1.022330095763974E-4</v>
      </c>
      <c r="F7585">
        <f>SUMIFS($D$2:$D$7909, $B$2:$B$7909, "Veneto")</f>
        <v>4855904</v>
      </c>
      <c r="G7585" s="1">
        <f>Comuni__2[[#This Row],[Popolazione2011]]/Comuni__2[[#This Row],[POPOLAZIONE TOTALE DI OGNI REGIONE (CON FILTRO)]]</f>
        <v>1.2510543865776589E-3</v>
      </c>
      <c r="H7585" t="str">
        <f>IF(Comuni__2[[#This Row],[Popolazione2011]]&gt;300000,"MAGGIORE","")</f>
        <v/>
      </c>
    </row>
    <row r="7586" spans="1:8" x14ac:dyDescent="0.2">
      <c r="A7586"/>
      <c r="B7586"/>
      <c r="C7586"/>
      <c r="D7586"/>
      <c r="E7586" s="2">
        <f>Comuni__2[[#This Row],[Popolazione2011]]/$D$7911</f>
        <v>1.0145889954503703E-4</v>
      </c>
      <c r="F7586">
        <f>SUMIFS($D$2:$D$7909, $B$2:$B$7909, "Veneto")</f>
        <v>4855904</v>
      </c>
      <c r="G7586" s="1">
        <f>Comuni__2[[#This Row],[Popolazione2011]]/Comuni__2[[#This Row],[POPOLAZIONE TOTALE DI OGNI REGIONE (CON FILTRO)]]</f>
        <v>1.2415813821690051E-3</v>
      </c>
      <c r="H7586" t="str">
        <f>IF(Comuni__2[[#This Row],[Popolazione2011]]&gt;300000,"MAGGIORE","")</f>
        <v/>
      </c>
    </row>
    <row r="7587" spans="1:8" x14ac:dyDescent="0.2">
      <c r="A7587"/>
      <c r="B7587"/>
      <c r="C7587"/>
      <c r="D7587"/>
      <c r="E7587" s="2">
        <f>Comuni__2[[#This Row],[Popolazione2011]]/$D$7911</f>
        <v>1.0129061475561085E-4</v>
      </c>
      <c r="F7587">
        <f>SUMIFS($D$2:$D$7909, $B$2:$B$7909, "Veneto")</f>
        <v>4855904</v>
      </c>
      <c r="G7587" s="1">
        <f>Comuni__2[[#This Row],[Popolazione2011]]/Comuni__2[[#This Row],[POPOLAZIONE TOTALE DI OGNI REGIONE (CON FILTRO)]]</f>
        <v>1.2395220333845151E-3</v>
      </c>
      <c r="H7587" t="str">
        <f>IF(Comuni__2[[#This Row],[Popolazione2011]]&gt;300000,"MAGGIORE","")</f>
        <v/>
      </c>
    </row>
    <row r="7588" spans="1:8" x14ac:dyDescent="0.2">
      <c r="A7588"/>
      <c r="B7588"/>
      <c r="C7588"/>
      <c r="D7588"/>
      <c r="E7588" s="2">
        <f>Comuni__2[[#This Row],[Popolazione2011]]/$D$7911</f>
        <v>1.0078576038733235E-4</v>
      </c>
      <c r="F7588">
        <f>SUMIFS($D$2:$D$7909, $B$2:$B$7909, "Veneto")</f>
        <v>4855904</v>
      </c>
      <c r="G7588" s="1">
        <f>Comuni__2[[#This Row],[Popolazione2011]]/Comuni__2[[#This Row],[POPOLAZIONE TOTALE DI OGNI REGIONE (CON FILTRO)]]</f>
        <v>1.233343987031045E-3</v>
      </c>
      <c r="H7588" t="str">
        <f>IF(Comuni__2[[#This Row],[Popolazione2011]]&gt;300000,"MAGGIORE","")</f>
        <v/>
      </c>
    </row>
    <row r="7589" spans="1:8" x14ac:dyDescent="0.2">
      <c r="A7589"/>
      <c r="B7589"/>
      <c r="C7589"/>
      <c r="D7589"/>
      <c r="E7589" s="2">
        <f>Comuni__2[[#This Row],[Popolazione2011]]/$D$7911</f>
        <v>9.9944336440201508E-5</v>
      </c>
      <c r="F7589">
        <f>SUMIFS($D$2:$D$7909, $B$2:$B$7909, "Veneto")</f>
        <v>4855904</v>
      </c>
      <c r="G7589" s="1">
        <f>Comuni__2[[#This Row],[Popolazione2011]]/Comuni__2[[#This Row],[POPOLAZIONE TOTALE DI OGNI REGIONE (CON FILTRO)]]</f>
        <v>1.2230472431085952E-3</v>
      </c>
      <c r="H7589" t="str">
        <f>IF(Comuni__2[[#This Row],[Popolazione2011]]&gt;300000,"MAGGIORE","")</f>
        <v/>
      </c>
    </row>
    <row r="7590" spans="1:8" x14ac:dyDescent="0.2">
      <c r="A7590"/>
      <c r="B7590"/>
      <c r="C7590"/>
      <c r="D7590"/>
      <c r="E7590" s="2">
        <f>Comuni__2[[#This Row],[Popolazione2011]]/$D$7911</f>
        <v>9.9776051650775333E-5</v>
      </c>
      <c r="F7590">
        <f>SUMIFS($D$2:$D$7909, $B$2:$B$7909, "Veneto")</f>
        <v>4855904</v>
      </c>
      <c r="G7590" s="1">
        <f>Comuni__2[[#This Row],[Popolazione2011]]/Comuni__2[[#This Row],[POPOLAZIONE TOTALE DI OGNI REGIONE (CON FILTRO)]]</f>
        <v>1.2209878943241052E-3</v>
      </c>
      <c r="H7590" t="str">
        <f>IF(Comuni__2[[#This Row],[Popolazione2011]]&gt;300000,"MAGGIORE","")</f>
        <v/>
      </c>
    </row>
    <row r="7591" spans="1:8" x14ac:dyDescent="0.2">
      <c r="A7591"/>
      <c r="B7591"/>
      <c r="C7591"/>
      <c r="D7591"/>
      <c r="E7591" s="2">
        <f>Comuni__2[[#This Row],[Popolazione2011]]/$D$7911</f>
        <v>9.9506795987693462E-5</v>
      </c>
      <c r="F7591">
        <f>SUMIFS($D$2:$D$7909, $B$2:$B$7909, "Veneto")</f>
        <v>4855904</v>
      </c>
      <c r="G7591" s="1">
        <f>Comuni__2[[#This Row],[Popolazione2011]]/Comuni__2[[#This Row],[POPOLAZIONE TOTALE DI OGNI REGIONE (CON FILTRO)]]</f>
        <v>1.2176929362689214E-3</v>
      </c>
      <c r="H7591" t="str">
        <f>IF(Comuni__2[[#This Row],[Popolazione2011]]&gt;300000,"MAGGIORE","")</f>
        <v/>
      </c>
    </row>
    <row r="7592" spans="1:8" x14ac:dyDescent="0.2">
      <c r="A7592"/>
      <c r="B7592"/>
      <c r="C7592"/>
      <c r="D7592"/>
      <c r="E7592" s="2">
        <f>Comuni__2[[#This Row],[Popolazione2011]]/$D$7911</f>
        <v>9.9119740972013277E-5</v>
      </c>
      <c r="F7592">
        <f>SUMIFS($D$2:$D$7909, $B$2:$B$7909, "Veneto")</f>
        <v>4855904</v>
      </c>
      <c r="G7592" s="1">
        <f>Comuni__2[[#This Row],[Popolazione2011]]/Comuni__2[[#This Row],[POPOLAZIONE TOTALE DI OGNI REGIONE (CON FILTRO)]]</f>
        <v>1.2129564340645944E-3</v>
      </c>
      <c r="H7592" t="str">
        <f>IF(Comuni__2[[#This Row],[Popolazione2011]]&gt;300000,"MAGGIORE","")</f>
        <v/>
      </c>
    </row>
    <row r="7593" spans="1:8" x14ac:dyDescent="0.2">
      <c r="A7593"/>
      <c r="B7593"/>
      <c r="C7593"/>
      <c r="D7593"/>
      <c r="E7593" s="2">
        <f>Comuni__2[[#This Row],[Popolazione2011]]/$D$7911</f>
        <v>9.8884142266816638E-5</v>
      </c>
      <c r="F7593">
        <f>SUMIFS($D$2:$D$7909, $B$2:$B$7909, "Veneto")</f>
        <v>4855904</v>
      </c>
      <c r="G7593" s="1">
        <f>Comuni__2[[#This Row],[Popolazione2011]]/Comuni__2[[#This Row],[POPOLAZIONE TOTALE DI OGNI REGIONE (CON FILTRO)]]</f>
        <v>1.2100733457663085E-3</v>
      </c>
      <c r="H7593" t="str">
        <f>IF(Comuni__2[[#This Row],[Popolazione2011]]&gt;300000,"MAGGIORE","")</f>
        <v/>
      </c>
    </row>
    <row r="7594" spans="1:8" x14ac:dyDescent="0.2">
      <c r="A7594"/>
      <c r="B7594"/>
      <c r="C7594"/>
      <c r="D7594"/>
      <c r="E7594" s="2">
        <f>Comuni__2[[#This Row],[Popolazione2011]]/$D$7911</f>
        <v>9.8816828351046173E-5</v>
      </c>
      <c r="F7594">
        <f>SUMIFS($D$2:$D$7909, $B$2:$B$7909, "Veneto")</f>
        <v>4855904</v>
      </c>
      <c r="G7594" s="1">
        <f>Comuni__2[[#This Row],[Popolazione2011]]/Comuni__2[[#This Row],[POPOLAZIONE TOTALE DI OGNI REGIONE (CON FILTRO)]]</f>
        <v>1.2092496062525123E-3</v>
      </c>
      <c r="H7594" t="str">
        <f>IF(Comuni__2[[#This Row],[Popolazione2011]]&gt;300000,"MAGGIORE","")</f>
        <v/>
      </c>
    </row>
    <row r="7595" spans="1:8" x14ac:dyDescent="0.2">
      <c r="A7595"/>
      <c r="B7595"/>
      <c r="C7595"/>
      <c r="D7595"/>
      <c r="E7595" s="2">
        <f>Comuni__2[[#This Row],[Popolazione2011]]/$D$7911</f>
        <v>9.829514550382506E-5</v>
      </c>
      <c r="F7595">
        <f>SUMIFS($D$2:$D$7909, $B$2:$B$7909, "Veneto")</f>
        <v>4855904</v>
      </c>
      <c r="G7595" s="1">
        <f>Comuni__2[[#This Row],[Popolazione2011]]/Comuni__2[[#This Row],[POPOLAZIONE TOTALE DI OGNI REGIONE (CON FILTRO)]]</f>
        <v>1.2028656250205935E-3</v>
      </c>
      <c r="H7595" t="str">
        <f>IF(Comuni__2[[#This Row],[Popolazione2011]]&gt;300000,"MAGGIORE","")</f>
        <v/>
      </c>
    </row>
    <row r="7596" spans="1:8" x14ac:dyDescent="0.2">
      <c r="A7596"/>
      <c r="B7596"/>
      <c r="C7596"/>
      <c r="D7596"/>
      <c r="E7596" s="2">
        <f>Comuni__2[[#This Row],[Popolazione2011]]/$D$7911</f>
        <v>9.7672491782948236E-5</v>
      </c>
      <c r="F7596">
        <f>SUMIFS($D$2:$D$7909, $B$2:$B$7909, "Veneto")</f>
        <v>4855904</v>
      </c>
      <c r="G7596" s="1">
        <f>Comuni__2[[#This Row],[Popolazione2011]]/Comuni__2[[#This Row],[POPOLAZIONE TOTALE DI OGNI REGIONE (CON FILTRO)]]</f>
        <v>1.1952460345179806E-3</v>
      </c>
      <c r="H7596" t="str">
        <f>IF(Comuni__2[[#This Row],[Popolazione2011]]&gt;300000,"MAGGIORE","")</f>
        <v/>
      </c>
    </row>
    <row r="7597" spans="1:8" x14ac:dyDescent="0.2">
      <c r="A7597"/>
      <c r="B7597"/>
      <c r="C7597"/>
      <c r="D7597"/>
      <c r="E7597" s="2">
        <f>Comuni__2[[#This Row],[Popolazione2011]]/$D$7911</f>
        <v>9.6696440004276447E-5</v>
      </c>
      <c r="F7597">
        <f>SUMIFS($D$2:$D$7909, $B$2:$B$7909, "Veneto")</f>
        <v>4855904</v>
      </c>
      <c r="G7597" s="1">
        <f>Comuni__2[[#This Row],[Popolazione2011]]/Comuni__2[[#This Row],[POPOLAZIONE TOTALE DI OGNI REGIONE (CON FILTRO)]]</f>
        <v>1.1833018115679388E-3</v>
      </c>
      <c r="H7597" t="str">
        <f>IF(Comuni__2[[#This Row],[Popolazione2011]]&gt;300000,"MAGGIORE","")</f>
        <v/>
      </c>
    </row>
    <row r="7598" spans="1:8" x14ac:dyDescent="0.2">
      <c r="A7598"/>
      <c r="B7598"/>
      <c r="C7598"/>
      <c r="D7598"/>
      <c r="E7598" s="2">
        <f>Comuni__2[[#This Row],[Popolazione2011]]/$D$7911</f>
        <v>9.6326213467538878E-5</v>
      </c>
      <c r="F7598">
        <f>SUMIFS($D$2:$D$7909, $B$2:$B$7909, "Veneto")</f>
        <v>4855904</v>
      </c>
      <c r="G7598" s="1">
        <f>Comuni__2[[#This Row],[Popolazione2011]]/Comuni__2[[#This Row],[POPOLAZIONE TOTALE DI OGNI REGIONE (CON FILTRO)]]</f>
        <v>1.1787712442420607E-3</v>
      </c>
      <c r="H7598" t="str">
        <f>IF(Comuni__2[[#This Row],[Popolazione2011]]&gt;300000,"MAGGIORE","")</f>
        <v/>
      </c>
    </row>
    <row r="7599" spans="1:8" x14ac:dyDescent="0.2">
      <c r="A7599"/>
      <c r="B7599"/>
      <c r="C7599"/>
      <c r="D7599"/>
      <c r="E7599" s="2">
        <f>Comuni__2[[#This Row],[Popolazione2011]]/$D$7911</f>
        <v>9.5888673015030845E-5</v>
      </c>
      <c r="F7599">
        <f>SUMIFS($D$2:$D$7909, $B$2:$B$7909, "Veneto")</f>
        <v>4855904</v>
      </c>
      <c r="G7599" s="1">
        <f>Comuni__2[[#This Row],[Popolazione2011]]/Comuni__2[[#This Row],[POPOLAZIONE TOTALE DI OGNI REGIONE (CON FILTRO)]]</f>
        <v>1.1734169374023869E-3</v>
      </c>
      <c r="H7599" t="str">
        <f>IF(Comuni__2[[#This Row],[Popolazione2011]]&gt;300000,"MAGGIORE","")</f>
        <v/>
      </c>
    </row>
    <row r="7600" spans="1:8" x14ac:dyDescent="0.2">
      <c r="A7600"/>
      <c r="B7600"/>
      <c r="C7600"/>
      <c r="D7600"/>
      <c r="E7600" s="2">
        <f>Comuni__2[[#This Row],[Popolazione2011]]/$D$7911</f>
        <v>9.5821359099260381E-5</v>
      </c>
      <c r="F7600">
        <f>SUMIFS($D$2:$D$7909, $B$2:$B$7909, "Veneto")</f>
        <v>4855904</v>
      </c>
      <c r="G7600" s="1">
        <f>Comuni__2[[#This Row],[Popolazione2011]]/Comuni__2[[#This Row],[POPOLAZIONE TOTALE DI OGNI REGIONE (CON FILTRO)]]</f>
        <v>1.1725931978885909E-3</v>
      </c>
      <c r="H7600" t="str">
        <f>IF(Comuni__2[[#This Row],[Popolazione2011]]&gt;300000,"MAGGIORE","")</f>
        <v/>
      </c>
    </row>
    <row r="7601" spans="1:8" x14ac:dyDescent="0.2">
      <c r="A7601"/>
      <c r="B7601"/>
      <c r="C7601"/>
      <c r="D7601"/>
      <c r="E7601" s="2">
        <f>Comuni__2[[#This Row],[Popolazione2011]]/$D$7911</f>
        <v>9.5148219941555709E-5</v>
      </c>
      <c r="F7601">
        <f>SUMIFS($D$2:$D$7909, $B$2:$B$7909, "Veneto")</f>
        <v>4855904</v>
      </c>
      <c r="G7601" s="1">
        <f>Comuni__2[[#This Row],[Popolazione2011]]/Comuni__2[[#This Row],[POPOLAZIONE TOTALE DI OGNI REGIONE (CON FILTRO)]]</f>
        <v>1.1643558027506309E-3</v>
      </c>
      <c r="H7601" t="str">
        <f>IF(Comuni__2[[#This Row],[Popolazione2011]]&gt;300000,"MAGGIORE","")</f>
        <v/>
      </c>
    </row>
    <row r="7602" spans="1:8" x14ac:dyDescent="0.2">
      <c r="A7602"/>
      <c r="B7602"/>
      <c r="C7602"/>
      <c r="D7602"/>
      <c r="E7602" s="2">
        <f>Comuni__2[[#This Row],[Popolazione2011]]/$D$7911</f>
        <v>9.3482200526236631E-5</v>
      </c>
      <c r="F7602">
        <f>SUMIFS($D$2:$D$7909, $B$2:$B$7909, "Veneto")</f>
        <v>4855904</v>
      </c>
      <c r="G7602" s="1">
        <f>Comuni__2[[#This Row],[Popolazione2011]]/Comuni__2[[#This Row],[POPOLAZIONE TOTALE DI OGNI REGIONE (CON FILTRO)]]</f>
        <v>1.1439682497841803E-3</v>
      </c>
      <c r="H7602" t="str">
        <f>IF(Comuni__2[[#This Row],[Popolazione2011]]&gt;300000,"MAGGIORE","")</f>
        <v/>
      </c>
    </row>
    <row r="7603" spans="1:8" x14ac:dyDescent="0.2">
      <c r="A7603"/>
      <c r="B7603"/>
      <c r="C7603"/>
      <c r="D7603"/>
      <c r="E7603" s="2">
        <f>Comuni__2[[#This Row],[Popolazione2011]]/$D$7911</f>
        <v>9.2623948100163168E-5</v>
      </c>
      <c r="F7603">
        <f>SUMIFS($D$2:$D$7909, $B$2:$B$7909, "Veneto")</f>
        <v>4855904</v>
      </c>
      <c r="G7603" s="1">
        <f>Comuni__2[[#This Row],[Popolazione2011]]/Comuni__2[[#This Row],[POPOLAZIONE TOTALE DI OGNI REGIONE (CON FILTRO)]]</f>
        <v>1.1334655709832814E-3</v>
      </c>
      <c r="H7603" t="str">
        <f>IF(Comuni__2[[#This Row],[Popolazione2011]]&gt;300000,"MAGGIORE","")</f>
        <v/>
      </c>
    </row>
    <row r="7604" spans="1:8" x14ac:dyDescent="0.2">
      <c r="A7604"/>
      <c r="B7604"/>
      <c r="C7604"/>
      <c r="D7604"/>
      <c r="E7604" s="2">
        <f>Comuni__2[[#This Row],[Popolazione2011]]/$D$7911</f>
        <v>9.235469243708131E-5</v>
      </c>
      <c r="F7604">
        <f>SUMIFS($D$2:$D$7909, $B$2:$B$7909, "Veneto")</f>
        <v>4855904</v>
      </c>
      <c r="G7604" s="1">
        <f>Comuni__2[[#This Row],[Popolazione2011]]/Comuni__2[[#This Row],[POPOLAZIONE TOTALE DI OGNI REGIONE (CON FILTRO)]]</f>
        <v>1.1301706129280974E-3</v>
      </c>
      <c r="H7604" t="str">
        <f>IF(Comuni__2[[#This Row],[Popolazione2011]]&gt;300000,"MAGGIORE","")</f>
        <v/>
      </c>
    </row>
    <row r="7605" spans="1:8" x14ac:dyDescent="0.2">
      <c r="A7605"/>
      <c r="B7605"/>
      <c r="C7605"/>
      <c r="D7605"/>
      <c r="E7605" s="2">
        <f>Comuni__2[[#This Row],[Popolazione2011]]/$D$7911</f>
        <v>9.2169579168712519E-5</v>
      </c>
      <c r="F7605">
        <f>SUMIFS($D$2:$D$7909, $B$2:$B$7909, "Veneto")</f>
        <v>4855904</v>
      </c>
      <c r="G7605" s="1">
        <f>Comuni__2[[#This Row],[Popolazione2011]]/Comuni__2[[#This Row],[POPOLAZIONE TOTALE DI OGNI REGIONE (CON FILTRO)]]</f>
        <v>1.1279053292651586E-3</v>
      </c>
      <c r="H7605" t="str">
        <f>IF(Comuni__2[[#This Row],[Popolazione2011]]&gt;300000,"MAGGIORE","")</f>
        <v/>
      </c>
    </row>
    <row r="7606" spans="1:8" x14ac:dyDescent="0.2">
      <c r="A7606"/>
      <c r="B7606"/>
      <c r="C7606"/>
      <c r="D7606"/>
      <c r="E7606" s="2">
        <f>Comuni__2[[#This Row],[Popolazione2011]]/$D$7911</f>
        <v>9.2068608295056822E-5</v>
      </c>
      <c r="F7606">
        <f>SUMIFS($D$2:$D$7909, $B$2:$B$7909, "Veneto")</f>
        <v>4855904</v>
      </c>
      <c r="G7606" s="1">
        <f>Comuni__2[[#This Row],[Popolazione2011]]/Comuni__2[[#This Row],[POPOLAZIONE TOTALE DI OGNI REGIONE (CON FILTRO)]]</f>
        <v>1.1266697199944645E-3</v>
      </c>
      <c r="H7606" t="str">
        <f>IF(Comuni__2[[#This Row],[Popolazione2011]]&gt;300000,"MAGGIORE","")</f>
        <v/>
      </c>
    </row>
    <row r="7607" spans="1:8" x14ac:dyDescent="0.2">
      <c r="A7607"/>
      <c r="B7607"/>
      <c r="C7607"/>
      <c r="D7607"/>
      <c r="E7607" s="2">
        <f>Comuni__2[[#This Row],[Popolazione2011]]/$D$7911</f>
        <v>9.1748867195147102E-5</v>
      </c>
      <c r="F7607">
        <f>SUMIFS($D$2:$D$7909, $B$2:$B$7909, "Veneto")</f>
        <v>4855904</v>
      </c>
      <c r="G7607" s="1">
        <f>Comuni__2[[#This Row],[Popolazione2011]]/Comuni__2[[#This Row],[POPOLAZIONE TOTALE DI OGNI REGIONE (CON FILTRO)]]</f>
        <v>1.1227569573039335E-3</v>
      </c>
      <c r="H7607" t="str">
        <f>IF(Comuni__2[[#This Row],[Popolazione2011]]&gt;300000,"MAGGIORE","")</f>
        <v/>
      </c>
    </row>
    <row r="7608" spans="1:8" x14ac:dyDescent="0.2">
      <c r="A7608"/>
      <c r="B7608"/>
      <c r="C7608"/>
      <c r="D7608"/>
      <c r="E7608" s="2">
        <f>Comuni__2[[#This Row],[Popolazione2011]]/$D$7911</f>
        <v>9.0621359105991768E-5</v>
      </c>
      <c r="F7608">
        <f>SUMIFS($D$2:$D$7909, $B$2:$B$7909, "Veneto")</f>
        <v>4855904</v>
      </c>
      <c r="G7608" s="1">
        <f>Comuni__2[[#This Row],[Popolazione2011]]/Comuni__2[[#This Row],[POPOLAZIONE TOTALE DI OGNI REGIONE (CON FILTRO)]]</f>
        <v>1.1089593204478506E-3</v>
      </c>
      <c r="H7608" t="str">
        <f>IF(Comuni__2[[#This Row],[Popolazione2011]]&gt;300000,"MAGGIORE","")</f>
        <v/>
      </c>
    </row>
    <row r="7609" spans="1:8" x14ac:dyDescent="0.2">
      <c r="A7609"/>
      <c r="B7609"/>
      <c r="C7609"/>
      <c r="D7609"/>
      <c r="E7609" s="2">
        <f>Comuni__2[[#This Row],[Popolazione2011]]/$D$7911</f>
        <v>9.0116504737713257E-5</v>
      </c>
      <c r="F7609">
        <f>SUMIFS($D$2:$D$7909, $B$2:$B$7909, "Veneto")</f>
        <v>4855904</v>
      </c>
      <c r="G7609" s="1">
        <f>Comuni__2[[#This Row],[Popolazione2011]]/Comuni__2[[#This Row],[POPOLAZIONE TOTALE DI OGNI REGIONE (CON FILTRO)]]</f>
        <v>1.1027812740943808E-3</v>
      </c>
      <c r="H7609" t="str">
        <f>IF(Comuni__2[[#This Row],[Popolazione2011]]&gt;300000,"MAGGIORE","")</f>
        <v/>
      </c>
    </row>
    <row r="7610" spans="1:8" x14ac:dyDescent="0.2">
      <c r="A7610"/>
      <c r="B7610"/>
      <c r="C7610"/>
      <c r="D7610"/>
      <c r="E7610" s="2">
        <f>Comuni__2[[#This Row],[Popolazione2011]]/$D$7911</f>
        <v>8.937605166423812E-5</v>
      </c>
      <c r="F7610">
        <f>SUMIFS($D$2:$D$7909, $B$2:$B$7909, "Veneto")</f>
        <v>4855904</v>
      </c>
      <c r="G7610" s="1">
        <f>Comuni__2[[#This Row],[Popolazione2011]]/Comuni__2[[#This Row],[POPOLAZIONE TOTALE DI OGNI REGIONE (CON FILTRO)]]</f>
        <v>1.0937201394426248E-3</v>
      </c>
      <c r="H7610" t="str">
        <f>IF(Comuni__2[[#This Row],[Popolazione2011]]&gt;300000,"MAGGIORE","")</f>
        <v/>
      </c>
    </row>
    <row r="7611" spans="1:8" x14ac:dyDescent="0.2">
      <c r="A7611"/>
      <c r="B7611"/>
      <c r="C7611"/>
      <c r="D7611"/>
      <c r="E7611" s="2">
        <f>Comuni__2[[#This Row],[Popolazione2011]]/$D$7911</f>
        <v>8.9241423832697191E-5</v>
      </c>
      <c r="F7611">
        <f>SUMIFS($D$2:$D$7909, $B$2:$B$7909, "Veneto")</f>
        <v>4855904</v>
      </c>
      <c r="G7611" s="1">
        <f>Comuni__2[[#This Row],[Popolazione2011]]/Comuni__2[[#This Row],[POPOLAZIONE TOTALE DI OGNI REGIONE (CON FILTRO)]]</f>
        <v>1.0920726604150329E-3</v>
      </c>
      <c r="H7611" t="str">
        <f>IF(Comuni__2[[#This Row],[Popolazione2011]]&gt;300000,"MAGGIORE","")</f>
        <v/>
      </c>
    </row>
    <row r="7612" spans="1:8" x14ac:dyDescent="0.2">
      <c r="A7612"/>
      <c r="B7612"/>
      <c r="C7612"/>
      <c r="D7612"/>
      <c r="E7612" s="2">
        <f>Comuni__2[[#This Row],[Popolazione2011]]/$D$7911</f>
        <v>8.9224595353754575E-5</v>
      </c>
      <c r="F7612">
        <f>SUMIFS($D$2:$D$7909, $B$2:$B$7909, "Veneto")</f>
        <v>4855904</v>
      </c>
      <c r="G7612" s="1">
        <f>Comuni__2[[#This Row],[Popolazione2011]]/Comuni__2[[#This Row],[POPOLAZIONE TOTALE DI OGNI REGIONE (CON FILTRO)]]</f>
        <v>1.0918667255365839E-3</v>
      </c>
      <c r="H7612" t="str">
        <f>IF(Comuni__2[[#This Row],[Popolazione2011]]&gt;300000,"MAGGIORE","")</f>
        <v/>
      </c>
    </row>
    <row r="7613" spans="1:8" x14ac:dyDescent="0.2">
      <c r="A7613"/>
      <c r="B7613"/>
      <c r="C7613"/>
      <c r="D7613"/>
      <c r="E7613" s="2">
        <f>Comuni__2[[#This Row],[Popolazione2011]]/$D$7911</f>
        <v>8.8046601827771392E-5</v>
      </c>
      <c r="F7613">
        <f>SUMIFS($D$2:$D$7909, $B$2:$B$7909, "Veneto")</f>
        <v>4855904</v>
      </c>
      <c r="G7613" s="1">
        <f>Comuni__2[[#This Row],[Popolazione2011]]/Comuni__2[[#This Row],[POPOLAZIONE TOTALE DI OGNI REGIONE (CON FILTRO)]]</f>
        <v>1.077451284045154E-3</v>
      </c>
      <c r="H7613" t="str">
        <f>IF(Comuni__2[[#This Row],[Popolazione2011]]&gt;300000,"MAGGIORE","")</f>
        <v/>
      </c>
    </row>
    <row r="7614" spans="1:8" x14ac:dyDescent="0.2">
      <c r="A7614"/>
      <c r="B7614"/>
      <c r="C7614"/>
      <c r="D7614"/>
      <c r="E7614" s="2">
        <f>Comuni__2[[#This Row],[Popolazione2011]]/$D$7911</f>
        <v>8.7306148754296242E-5</v>
      </c>
      <c r="F7614">
        <f>SUMIFS($D$2:$D$7909, $B$2:$B$7909, "Veneto")</f>
        <v>4855904</v>
      </c>
      <c r="G7614" s="1">
        <f>Comuni__2[[#This Row],[Popolazione2011]]/Comuni__2[[#This Row],[POPOLAZIONE TOTALE DI OGNI REGIONE (CON FILTRO)]]</f>
        <v>1.0683901493933983E-3</v>
      </c>
      <c r="H7614" t="str">
        <f>IF(Comuni__2[[#This Row],[Popolazione2011]]&gt;300000,"MAGGIORE","")</f>
        <v/>
      </c>
    </row>
    <row r="7615" spans="1:8" x14ac:dyDescent="0.2">
      <c r="A7615"/>
      <c r="B7615"/>
      <c r="C7615"/>
      <c r="D7615"/>
      <c r="E7615" s="2">
        <f>Comuni__2[[#This Row],[Popolazione2011]]/$D$7911</f>
        <v>8.7121035485927464E-5</v>
      </c>
      <c r="F7615">
        <f>SUMIFS($D$2:$D$7909, $B$2:$B$7909, "Veneto")</f>
        <v>4855904</v>
      </c>
      <c r="G7615" s="1">
        <f>Comuni__2[[#This Row],[Popolazione2011]]/Comuni__2[[#This Row],[POPOLAZIONE TOTALE DI OGNI REGIONE (CON FILTRO)]]</f>
        <v>1.0661248657304592E-3</v>
      </c>
      <c r="H7615" t="str">
        <f>IF(Comuni__2[[#This Row],[Popolazione2011]]&gt;300000,"MAGGIORE","")</f>
        <v/>
      </c>
    </row>
    <row r="7616" spans="1:8" x14ac:dyDescent="0.2">
      <c r="A7616"/>
      <c r="B7616"/>
      <c r="C7616"/>
      <c r="D7616"/>
      <c r="E7616" s="2">
        <f>Comuni__2[[#This Row],[Popolazione2011]]/$D$7911</f>
        <v>8.6565695680821105E-5</v>
      </c>
      <c r="F7616">
        <f>SUMIFS($D$2:$D$7909, $B$2:$B$7909, "Veneto")</f>
        <v>4855904</v>
      </c>
      <c r="G7616" s="1">
        <f>Comuni__2[[#This Row],[Popolazione2011]]/Comuni__2[[#This Row],[POPOLAZIONE TOTALE DI OGNI REGIONE (CON FILTRO)]]</f>
        <v>1.0593290147416423E-3</v>
      </c>
      <c r="H7616" t="str">
        <f>IF(Comuni__2[[#This Row],[Popolazione2011]]&gt;300000,"MAGGIORE","")</f>
        <v/>
      </c>
    </row>
    <row r="7617" spans="1:8" x14ac:dyDescent="0.2">
      <c r="A7617"/>
      <c r="B7617"/>
      <c r="C7617"/>
      <c r="D7617"/>
      <c r="E7617" s="2">
        <f>Comuni__2[[#This Row],[Popolazione2011]]/$D$7911</f>
        <v>8.6010355875714746E-5</v>
      </c>
      <c r="F7617">
        <f>SUMIFS($D$2:$D$7909, $B$2:$B$7909, "Veneto")</f>
        <v>4855904</v>
      </c>
      <c r="G7617" s="1">
        <f>Comuni__2[[#This Row],[Popolazione2011]]/Comuni__2[[#This Row],[POPOLAZIONE TOTALE DI OGNI REGIONE (CON FILTRO)]]</f>
        <v>1.0525331637528253E-3</v>
      </c>
      <c r="H7617" t="str">
        <f>IF(Comuni__2[[#This Row],[Popolazione2011]]&gt;300000,"MAGGIORE","")</f>
        <v/>
      </c>
    </row>
    <row r="7618" spans="1:8" x14ac:dyDescent="0.2">
      <c r="A7618"/>
      <c r="B7618"/>
      <c r="C7618"/>
      <c r="D7618"/>
      <c r="E7618" s="2">
        <f>Comuni__2[[#This Row],[Popolazione2011]]/$D$7911</f>
        <v>8.5303559760124841E-5</v>
      </c>
      <c r="F7618">
        <f>SUMIFS($D$2:$D$7909, $B$2:$B$7909, "Veneto")</f>
        <v>4855904</v>
      </c>
      <c r="G7618" s="1">
        <f>Comuni__2[[#This Row],[Popolazione2011]]/Comuni__2[[#This Row],[POPOLAZIONE TOTALE DI OGNI REGIONE (CON FILTRO)]]</f>
        <v>1.0438838988579674E-3</v>
      </c>
      <c r="H7618" t="str">
        <f>IF(Comuni__2[[#This Row],[Popolazione2011]]&gt;300000,"MAGGIORE","")</f>
        <v/>
      </c>
    </row>
    <row r="7619" spans="1:8" x14ac:dyDescent="0.2">
      <c r="A7619"/>
      <c r="B7619"/>
      <c r="C7619"/>
      <c r="D7619"/>
      <c r="E7619" s="2">
        <f>Comuni__2[[#This Row],[Popolazione2011]]/$D$7911</f>
        <v>8.5168931928583912E-5</v>
      </c>
      <c r="F7619">
        <f>SUMIFS($D$2:$D$7909, $B$2:$B$7909, "Veneto")</f>
        <v>4855904</v>
      </c>
      <c r="G7619" s="1">
        <f>Comuni__2[[#This Row],[Popolazione2011]]/Comuni__2[[#This Row],[POPOLAZIONE TOTALE DI OGNI REGIONE (CON FILTRO)]]</f>
        <v>1.0422364198303755E-3</v>
      </c>
      <c r="H7619" t="str">
        <f>IF(Comuni__2[[#This Row],[Popolazione2011]]&gt;300000,"MAGGIORE","")</f>
        <v/>
      </c>
    </row>
    <row r="7620" spans="1:8" x14ac:dyDescent="0.2">
      <c r="A7620"/>
      <c r="B7620"/>
      <c r="C7620"/>
      <c r="D7620"/>
      <c r="E7620" s="2">
        <f>Comuni__2[[#This Row],[Popolazione2011]]/$D$7911</f>
        <v>8.5017475618100354E-5</v>
      </c>
      <c r="F7620">
        <f>SUMIFS($D$2:$D$7909, $B$2:$B$7909, "Veneto")</f>
        <v>4855904</v>
      </c>
      <c r="G7620" s="1">
        <f>Comuni__2[[#This Row],[Popolazione2011]]/Comuni__2[[#This Row],[POPOLAZIONE TOTALE DI OGNI REGIONE (CON FILTRO)]]</f>
        <v>1.0403830059243346E-3</v>
      </c>
      <c r="H7620" t="str">
        <f>IF(Comuni__2[[#This Row],[Popolazione2011]]&gt;300000,"MAGGIORE","")</f>
        <v/>
      </c>
    </row>
    <row r="7621" spans="1:8" x14ac:dyDescent="0.2">
      <c r="A7621"/>
      <c r="B7621"/>
      <c r="C7621"/>
      <c r="D7621"/>
      <c r="E7621" s="2">
        <f>Comuni__2[[#This Row],[Popolazione2011]]/$D$7911</f>
        <v>8.3940452965772881E-5</v>
      </c>
      <c r="F7621">
        <f>SUMIFS($D$2:$D$7909, $B$2:$B$7909, "Veneto")</f>
        <v>4855904</v>
      </c>
      <c r="G7621" s="1">
        <f>Comuni__2[[#This Row],[Popolazione2011]]/Comuni__2[[#This Row],[POPOLAZIONE TOTALE DI OGNI REGIONE (CON FILTRO)]]</f>
        <v>1.0272031737035988E-3</v>
      </c>
      <c r="H7621" t="str">
        <f>IF(Comuni__2[[#This Row],[Popolazione2011]]&gt;300000,"MAGGIORE","")</f>
        <v/>
      </c>
    </row>
    <row r="7622" spans="1:8" x14ac:dyDescent="0.2">
      <c r="A7622"/>
      <c r="B7622"/>
      <c r="C7622"/>
      <c r="D7622"/>
      <c r="E7622" s="2">
        <f>Comuni__2[[#This Row],[Popolazione2011]]/$D$7911</f>
        <v>8.3704854260576242E-5</v>
      </c>
      <c r="F7622">
        <f>SUMIFS($D$2:$D$7909, $B$2:$B$7909, "Veneto")</f>
        <v>4855904</v>
      </c>
      <c r="G7622" s="1">
        <f>Comuni__2[[#This Row],[Popolazione2011]]/Comuni__2[[#This Row],[POPOLAZIONE TOTALE DI OGNI REGIONE (CON FILTRO)]]</f>
        <v>1.0243200854053128E-3</v>
      </c>
      <c r="H7622" t="str">
        <f>IF(Comuni__2[[#This Row],[Popolazione2011]]&gt;300000,"MAGGIORE","")</f>
        <v/>
      </c>
    </row>
    <row r="7623" spans="1:8" x14ac:dyDescent="0.2">
      <c r="A7623"/>
      <c r="B7623"/>
      <c r="C7623"/>
      <c r="D7623"/>
      <c r="E7623" s="2">
        <f>Comuni__2[[#This Row],[Popolazione2011]]/$D$7911</f>
        <v>8.3502912513264835E-5</v>
      </c>
      <c r="F7623">
        <f>SUMIFS($D$2:$D$7909, $B$2:$B$7909, "Veneto")</f>
        <v>4855904</v>
      </c>
      <c r="G7623" s="1">
        <f>Comuni__2[[#This Row],[Popolazione2011]]/Comuni__2[[#This Row],[POPOLAZIONE TOTALE DI OGNI REGIONE (CON FILTRO)]]</f>
        <v>1.0218488668639247E-3</v>
      </c>
      <c r="H7623" t="str">
        <f>IF(Comuni__2[[#This Row],[Popolazione2011]]&gt;300000,"MAGGIORE","")</f>
        <v/>
      </c>
    </row>
    <row r="7624" spans="1:8" x14ac:dyDescent="0.2">
      <c r="A7624"/>
      <c r="B7624"/>
      <c r="C7624"/>
      <c r="D7624"/>
      <c r="E7624" s="2">
        <f>Comuni__2[[#This Row],[Popolazione2011]]/$D$7911</f>
        <v>8.3233656850182963E-5</v>
      </c>
      <c r="F7624">
        <f>SUMIFS($D$2:$D$7909, $B$2:$B$7909, "Veneto")</f>
        <v>4855904</v>
      </c>
      <c r="G7624" s="1">
        <f>Comuni__2[[#This Row],[Popolazione2011]]/Comuni__2[[#This Row],[POPOLAZIONE TOTALE DI OGNI REGIONE (CON FILTRO)]]</f>
        <v>1.0185539088087409E-3</v>
      </c>
      <c r="H7624" t="str">
        <f>IF(Comuni__2[[#This Row],[Popolazione2011]]&gt;300000,"MAGGIORE","")</f>
        <v/>
      </c>
    </row>
    <row r="7625" spans="1:8" x14ac:dyDescent="0.2">
      <c r="A7625"/>
      <c r="B7625"/>
      <c r="C7625"/>
      <c r="D7625"/>
      <c r="E7625" s="2">
        <f>Comuni__2[[#This Row],[Popolazione2011]]/$D$7911</f>
        <v>8.303171510287157E-5</v>
      </c>
      <c r="F7625">
        <f>SUMIFS($D$2:$D$7909, $B$2:$B$7909, "Veneto")</f>
        <v>4855904</v>
      </c>
      <c r="G7625" s="1">
        <f>Comuni__2[[#This Row],[Popolazione2011]]/Comuni__2[[#This Row],[POPOLAZIONE TOTALE DI OGNI REGIONE (CON FILTRO)]]</f>
        <v>1.0160826902673528E-3</v>
      </c>
      <c r="H7625" t="str">
        <f>IF(Comuni__2[[#This Row],[Popolazione2011]]&gt;300000,"MAGGIORE","")</f>
        <v/>
      </c>
    </row>
    <row r="7626" spans="1:8" x14ac:dyDescent="0.2">
      <c r="A7626"/>
      <c r="B7626"/>
      <c r="C7626"/>
      <c r="D7626"/>
      <c r="E7626" s="2">
        <f>Comuni__2[[#This Row],[Popolazione2011]]/$D$7911</f>
        <v>8.2947572708158475E-5</v>
      </c>
      <c r="F7626">
        <f>SUMIFS($D$2:$D$7909, $B$2:$B$7909, "Veneto")</f>
        <v>4855904</v>
      </c>
      <c r="G7626" s="1">
        <f>Comuni__2[[#This Row],[Popolazione2011]]/Comuni__2[[#This Row],[POPOLAZIONE TOTALE DI OGNI REGIONE (CON FILTRO)]]</f>
        <v>1.015053015875108E-3</v>
      </c>
      <c r="H7626" t="str">
        <f>IF(Comuni__2[[#This Row],[Popolazione2011]]&gt;300000,"MAGGIORE","")</f>
        <v/>
      </c>
    </row>
    <row r="7627" spans="1:8" x14ac:dyDescent="0.2">
      <c r="A7627"/>
      <c r="B7627"/>
      <c r="C7627"/>
      <c r="D7627"/>
      <c r="E7627" s="2">
        <f>Comuni__2[[#This Row],[Popolazione2011]]/$D$7911</f>
        <v>8.2897087271330627E-5</v>
      </c>
      <c r="F7627">
        <f>SUMIFS($D$2:$D$7909, $B$2:$B$7909, "Veneto")</f>
        <v>4855904</v>
      </c>
      <c r="G7627" s="1">
        <f>Comuni__2[[#This Row],[Popolazione2011]]/Comuni__2[[#This Row],[POPOLAZIONE TOTALE DI OGNI REGIONE (CON FILTRO)]]</f>
        <v>1.0144352112397609E-3</v>
      </c>
      <c r="H7627" t="str">
        <f>IF(Comuni__2[[#This Row],[Popolazione2011]]&gt;300000,"MAGGIORE","")</f>
        <v/>
      </c>
    </row>
    <row r="7628" spans="1:8" x14ac:dyDescent="0.2">
      <c r="A7628"/>
      <c r="B7628"/>
      <c r="C7628"/>
      <c r="D7628"/>
      <c r="E7628" s="2">
        <f>Comuni__2[[#This Row],[Popolazione2011]]/$D$7911</f>
        <v>8.1887378534773619E-5</v>
      </c>
      <c r="F7628">
        <f>SUMIFS($D$2:$D$7909, $B$2:$B$7909, "Veneto")</f>
        <v>4855904</v>
      </c>
      <c r="G7628" s="1">
        <f>Comuni__2[[#This Row],[Popolazione2011]]/Comuni__2[[#This Row],[POPOLAZIONE TOTALE DI OGNI REGIONE (CON FILTRO)]]</f>
        <v>1.002079118532821E-3</v>
      </c>
      <c r="H7628" t="str">
        <f>IF(Comuni__2[[#This Row],[Popolazione2011]]&gt;300000,"MAGGIORE","")</f>
        <v/>
      </c>
    </row>
    <row r="7629" spans="1:8" x14ac:dyDescent="0.2">
      <c r="A7629"/>
      <c r="B7629"/>
      <c r="C7629"/>
      <c r="D7629"/>
      <c r="E7629" s="2">
        <f>Comuni__2[[#This Row],[Popolazione2011]]/$D$7911</f>
        <v>8.1348867208609876E-5</v>
      </c>
      <c r="F7629">
        <f>SUMIFS($D$2:$D$7909, $B$2:$B$7909, "Veneto")</f>
        <v>4855904</v>
      </c>
      <c r="G7629" s="1">
        <f>Comuni__2[[#This Row],[Popolazione2011]]/Comuni__2[[#This Row],[POPOLAZIONE TOTALE DI OGNI REGIONE (CON FILTRO)]]</f>
        <v>9.9548920242245316E-4</v>
      </c>
      <c r="H7629" t="str">
        <f>IF(Comuni__2[[#This Row],[Popolazione2011]]&gt;300000,"MAGGIORE","")</f>
        <v/>
      </c>
    </row>
    <row r="7630" spans="1:8" x14ac:dyDescent="0.2">
      <c r="A7630"/>
      <c r="B7630"/>
      <c r="C7630"/>
      <c r="D7630"/>
      <c r="E7630" s="2">
        <f>Comuni__2[[#This Row],[Popolazione2011]]/$D$7911</f>
        <v>8.0389643908880716E-5</v>
      </c>
      <c r="F7630">
        <f>SUMIFS($D$2:$D$7909, $B$2:$B$7909, "Veneto")</f>
        <v>4855904</v>
      </c>
      <c r="G7630" s="1">
        <f>Comuni__2[[#This Row],[Popolazione2011]]/Comuni__2[[#This Row],[POPOLAZIONE TOTALE DI OGNI REGIONE (CON FILTRO)]]</f>
        <v>9.8375091435086025E-4</v>
      </c>
      <c r="H7630" t="str">
        <f>IF(Comuni__2[[#This Row],[Popolazione2011]]&gt;300000,"MAGGIORE","")</f>
        <v/>
      </c>
    </row>
    <row r="7631" spans="1:8" x14ac:dyDescent="0.2">
      <c r="A7631"/>
      <c r="B7631"/>
      <c r="C7631"/>
      <c r="D7631"/>
      <c r="E7631" s="2">
        <f>Comuni__2[[#This Row],[Popolazione2011]]/$D$7911</f>
        <v>7.9750161709061276E-5</v>
      </c>
      <c r="F7631">
        <f>SUMIFS($D$2:$D$7909, $B$2:$B$7909, "Veneto")</f>
        <v>4855904</v>
      </c>
      <c r="G7631" s="1">
        <f>Comuni__2[[#This Row],[Popolazione2011]]/Comuni__2[[#This Row],[POPOLAZIONE TOTALE DI OGNI REGIONE (CON FILTRO)]]</f>
        <v>9.7592538896979842E-4</v>
      </c>
      <c r="H7631" t="str">
        <f>IF(Comuni__2[[#This Row],[Popolazione2011]]&gt;300000,"MAGGIORE","")</f>
        <v/>
      </c>
    </row>
    <row r="7632" spans="1:8" x14ac:dyDescent="0.2">
      <c r="A7632"/>
      <c r="B7632"/>
      <c r="C7632"/>
      <c r="D7632"/>
      <c r="E7632" s="2">
        <f>Comuni__2[[#This Row],[Popolazione2011]]/$D$7911</f>
        <v>7.8790938409332116E-5</v>
      </c>
      <c r="F7632">
        <f>SUMIFS($D$2:$D$7909, $B$2:$B$7909, "Veneto")</f>
        <v>4855904</v>
      </c>
      <c r="G7632" s="1">
        <f>Comuni__2[[#This Row],[Popolazione2011]]/Comuni__2[[#This Row],[POPOLAZIONE TOTALE DI OGNI REGIONE (CON FILTRO)]]</f>
        <v>9.6418710089820562E-4</v>
      </c>
      <c r="H7632" t="str">
        <f>IF(Comuni__2[[#This Row],[Popolazione2011]]&gt;300000,"MAGGIORE","")</f>
        <v/>
      </c>
    </row>
    <row r="7633" spans="1:8" x14ac:dyDescent="0.2">
      <c r="A7633"/>
      <c r="B7633"/>
      <c r="C7633"/>
      <c r="D7633"/>
      <c r="E7633" s="2">
        <f>Comuni__2[[#This Row],[Popolazione2011]]/$D$7911</f>
        <v>7.8706796014619036E-5</v>
      </c>
      <c r="F7633">
        <f>SUMIFS($D$2:$D$7909, $B$2:$B$7909, "Veneto")</f>
        <v>4855904</v>
      </c>
      <c r="G7633" s="1">
        <f>Comuni__2[[#This Row],[Popolazione2011]]/Comuni__2[[#This Row],[POPOLAZIONE TOTALE DI OGNI REGIONE (CON FILTRO)]]</f>
        <v>9.6315742650596062E-4</v>
      </c>
      <c r="H7633" t="str">
        <f>IF(Comuni__2[[#This Row],[Popolazione2011]]&gt;300000,"MAGGIORE","")</f>
        <v/>
      </c>
    </row>
    <row r="7634" spans="1:8" x14ac:dyDescent="0.2">
      <c r="A7634"/>
      <c r="B7634"/>
      <c r="C7634"/>
      <c r="D7634"/>
      <c r="E7634" s="2">
        <f>Comuni__2[[#This Row],[Popolazione2011]]/$D$7911</f>
        <v>7.8588996662020723E-5</v>
      </c>
      <c r="F7634">
        <f>SUMIFS($D$2:$D$7909, $B$2:$B$7909, "Veneto")</f>
        <v>4855904</v>
      </c>
      <c r="G7634" s="1">
        <f>Comuni__2[[#This Row],[Popolazione2011]]/Comuni__2[[#This Row],[POPOLAZIONE TOTALE DI OGNI REGIONE (CON FILTRO)]]</f>
        <v>9.6171588235681763E-4</v>
      </c>
      <c r="H7634" t="str">
        <f>IF(Comuni__2[[#This Row],[Popolazione2011]]&gt;300000,"MAGGIORE","")</f>
        <v/>
      </c>
    </row>
    <row r="7635" spans="1:8" x14ac:dyDescent="0.2">
      <c r="A7635"/>
      <c r="B7635"/>
      <c r="C7635"/>
      <c r="D7635"/>
      <c r="E7635" s="2">
        <f>Comuni__2[[#This Row],[Popolazione2011]]/$D$7911</f>
        <v>7.8538511225192861E-5</v>
      </c>
      <c r="F7635">
        <f>SUMIFS($D$2:$D$7909, $B$2:$B$7909, "Veneto")</f>
        <v>4855904</v>
      </c>
      <c r="G7635" s="1">
        <f>Comuni__2[[#This Row],[Popolazione2011]]/Comuni__2[[#This Row],[POPOLAZIONE TOTALE DI OGNI REGIONE (CON FILTRO)]]</f>
        <v>9.6109807772147061E-4</v>
      </c>
      <c r="H7635" t="str">
        <f>IF(Comuni__2[[#This Row],[Popolazione2011]]&gt;300000,"MAGGIORE","")</f>
        <v/>
      </c>
    </row>
    <row r="7636" spans="1:8" x14ac:dyDescent="0.2">
      <c r="A7636"/>
      <c r="B7636"/>
      <c r="C7636"/>
      <c r="D7636"/>
      <c r="E7636" s="2">
        <f>Comuni__2[[#This Row],[Popolazione2011]]/$D$7911</f>
        <v>7.8437540351537164E-5</v>
      </c>
      <c r="F7636">
        <f>SUMIFS($D$2:$D$7909, $B$2:$B$7909, "Veneto")</f>
        <v>4855904</v>
      </c>
      <c r="G7636" s="1">
        <f>Comuni__2[[#This Row],[Popolazione2011]]/Comuni__2[[#This Row],[POPOLAZIONE TOTALE DI OGNI REGIONE (CON FILTRO)]]</f>
        <v>9.5986246845077667E-4</v>
      </c>
      <c r="H7636" t="str">
        <f>IF(Comuni__2[[#This Row],[Popolazione2011]]&gt;300000,"MAGGIORE","")</f>
        <v/>
      </c>
    </row>
    <row r="7637" spans="1:8" x14ac:dyDescent="0.2">
      <c r="A7637"/>
      <c r="B7637"/>
      <c r="C7637"/>
      <c r="D7637"/>
      <c r="E7637" s="2">
        <f>Comuni__2[[#This Row],[Popolazione2011]]/$D$7911</f>
        <v>7.8084142293742212E-5</v>
      </c>
      <c r="F7637">
        <f>SUMIFS($D$2:$D$7909, $B$2:$B$7909, "Veneto")</f>
        <v>4855904</v>
      </c>
      <c r="G7637" s="1">
        <f>Comuni__2[[#This Row],[Popolazione2011]]/Comuni__2[[#This Row],[POPOLAZIONE TOTALE DI OGNI REGIONE (CON FILTRO)]]</f>
        <v>9.5553783600334772E-4</v>
      </c>
      <c r="H7637" t="str">
        <f>IF(Comuni__2[[#This Row],[Popolazione2011]]&gt;300000,"MAGGIORE","")</f>
        <v/>
      </c>
    </row>
    <row r="7638" spans="1:8" x14ac:dyDescent="0.2">
      <c r="A7638"/>
      <c r="B7638"/>
      <c r="C7638"/>
      <c r="D7638"/>
      <c r="E7638" s="2">
        <f>Comuni__2[[#This Row],[Popolazione2011]]/$D$7911</f>
        <v>7.7798058151717724E-5</v>
      </c>
      <c r="F7638">
        <f>SUMIFS($D$2:$D$7909, $B$2:$B$7909, "Veneto")</f>
        <v>4855904</v>
      </c>
      <c r="G7638" s="1">
        <f>Comuni__2[[#This Row],[Popolazione2011]]/Comuni__2[[#This Row],[POPOLAZIONE TOTALE DI OGNI REGIONE (CON FILTRO)]]</f>
        <v>9.5203694306971473E-4</v>
      </c>
      <c r="H7638" t="str">
        <f>IF(Comuni__2[[#This Row],[Popolazione2011]]&gt;300000,"MAGGIORE","")</f>
        <v/>
      </c>
    </row>
    <row r="7639" spans="1:8" x14ac:dyDescent="0.2">
      <c r="A7639"/>
      <c r="B7639"/>
      <c r="C7639"/>
      <c r="D7639"/>
      <c r="E7639" s="2">
        <f>Comuni__2[[#This Row],[Popolazione2011]]/$D$7911</f>
        <v>7.7310032262381829E-5</v>
      </c>
      <c r="F7639">
        <f>SUMIFS($D$2:$D$7909, $B$2:$B$7909, "Veneto")</f>
        <v>4855904</v>
      </c>
      <c r="G7639" s="1">
        <f>Comuni__2[[#This Row],[Popolazione2011]]/Comuni__2[[#This Row],[POPOLAZIONE TOTALE DI OGNI REGIONE (CON FILTRO)]]</f>
        <v>9.4606483159469376E-4</v>
      </c>
      <c r="H7639" t="str">
        <f>IF(Comuni__2[[#This Row],[Popolazione2011]]&gt;300000,"MAGGIORE","")</f>
        <v/>
      </c>
    </row>
    <row r="7640" spans="1:8" x14ac:dyDescent="0.2">
      <c r="A7640"/>
      <c r="B7640"/>
      <c r="C7640"/>
      <c r="D7640"/>
      <c r="E7640" s="2">
        <f>Comuni__2[[#This Row],[Popolazione2011]]/$D$7911</f>
        <v>7.7124918994013052E-5</v>
      </c>
      <c r="F7640">
        <f>SUMIFS($D$2:$D$7909, $B$2:$B$7909, "Veneto")</f>
        <v>4855904</v>
      </c>
      <c r="G7640" s="1">
        <f>Comuni__2[[#This Row],[Popolazione2011]]/Comuni__2[[#This Row],[POPOLAZIONE TOTALE DI OGNI REGIONE (CON FILTRO)]]</f>
        <v>9.4379954793175481E-4</v>
      </c>
      <c r="H7640" t="str">
        <f>IF(Comuni__2[[#This Row],[Popolazione2011]]&gt;300000,"MAGGIORE","")</f>
        <v/>
      </c>
    </row>
    <row r="7641" spans="1:8" x14ac:dyDescent="0.2">
      <c r="A7641"/>
      <c r="B7641"/>
      <c r="C7641"/>
      <c r="D7641"/>
      <c r="E7641" s="2">
        <f>Comuni__2[[#This Row],[Popolazione2011]]/$D$7911</f>
        <v>7.7007119641414726E-5</v>
      </c>
      <c r="F7641">
        <f>SUMIFS($D$2:$D$7909, $B$2:$B$7909, "Veneto")</f>
        <v>4855904</v>
      </c>
      <c r="G7641" s="1">
        <f>Comuni__2[[#This Row],[Popolazione2011]]/Comuni__2[[#This Row],[POPOLAZIONE TOTALE DI OGNI REGIONE (CON FILTRO)]]</f>
        <v>9.4235800378261183E-4</v>
      </c>
      <c r="H7641" t="str">
        <f>IF(Comuni__2[[#This Row],[Popolazione2011]]&gt;300000,"MAGGIORE","")</f>
        <v/>
      </c>
    </row>
    <row r="7642" spans="1:8" x14ac:dyDescent="0.2">
      <c r="A7642"/>
      <c r="B7642"/>
      <c r="C7642"/>
      <c r="D7642"/>
      <c r="E7642" s="2">
        <f>Comuni__2[[#This Row],[Popolazione2011]]/$D$7911</f>
        <v>7.6636893104677157E-5</v>
      </c>
      <c r="F7642">
        <f>SUMIFS($D$2:$D$7909, $B$2:$B$7909, "Veneto")</f>
        <v>4855904</v>
      </c>
      <c r="G7642" s="1">
        <f>Comuni__2[[#This Row],[Popolazione2011]]/Comuni__2[[#This Row],[POPOLAZIONE TOTALE DI OGNI REGIONE (CON FILTRO)]]</f>
        <v>9.3782743645673395E-4</v>
      </c>
      <c r="H7642" t="str">
        <f>IF(Comuni__2[[#This Row],[Popolazione2011]]&gt;300000,"MAGGIORE","")</f>
        <v/>
      </c>
    </row>
    <row r="7643" spans="1:8" x14ac:dyDescent="0.2">
      <c r="A7643"/>
      <c r="B7643"/>
      <c r="C7643"/>
      <c r="D7643"/>
      <c r="E7643" s="2">
        <f>Comuni__2[[#This Row],[Popolazione2011]]/$D$7911</f>
        <v>7.645177983630838E-5</v>
      </c>
      <c r="F7643">
        <f>SUMIFS($D$2:$D$7909, $B$2:$B$7909, "Veneto")</f>
        <v>4855904</v>
      </c>
      <c r="G7643" s="1">
        <f>Comuni__2[[#This Row],[Popolazione2011]]/Comuni__2[[#This Row],[POPOLAZIONE TOTALE DI OGNI REGIONE (CON FILTRO)]]</f>
        <v>9.3556215279379489E-4</v>
      </c>
      <c r="H7643" t="str">
        <f>IF(Comuni__2[[#This Row],[Popolazione2011]]&gt;300000,"MAGGIORE","")</f>
        <v/>
      </c>
    </row>
    <row r="7644" spans="1:8" x14ac:dyDescent="0.2">
      <c r="A7644"/>
      <c r="B7644"/>
      <c r="C7644"/>
      <c r="D7644"/>
      <c r="E7644" s="2">
        <f>Comuni__2[[#This Row],[Popolazione2011]]/$D$7911</f>
        <v>7.5122329999841638E-5</v>
      </c>
      <c r="F7644">
        <f>SUMIFS($D$2:$D$7909, $B$2:$B$7909, "Veneto")</f>
        <v>4855904</v>
      </c>
      <c r="G7644" s="1">
        <f>Comuni__2[[#This Row],[Popolazione2011]]/Comuni__2[[#This Row],[POPOLAZIONE TOTALE DI OGNI REGIONE (CON FILTRO)]]</f>
        <v>9.192932973963241E-4</v>
      </c>
      <c r="H7644" t="str">
        <f>IF(Comuni__2[[#This Row],[Popolazione2011]]&gt;300000,"MAGGIORE","")</f>
        <v/>
      </c>
    </row>
    <row r="7645" spans="1:8" x14ac:dyDescent="0.2">
      <c r="A7645"/>
      <c r="B7645"/>
      <c r="C7645"/>
      <c r="D7645"/>
      <c r="E7645" s="2">
        <f>Comuni__2[[#This Row],[Popolazione2011]]/$D$7911</f>
        <v>7.5088673041956406E-5</v>
      </c>
      <c r="F7645">
        <f>SUMIFS($D$2:$D$7909, $B$2:$B$7909, "Veneto")</f>
        <v>4855904</v>
      </c>
      <c r="G7645" s="1">
        <f>Comuni__2[[#This Row],[Popolazione2011]]/Comuni__2[[#This Row],[POPOLAZIONE TOTALE DI OGNI REGIONE (CON FILTRO)]]</f>
        <v>9.1888142763942612E-4</v>
      </c>
      <c r="H7645" t="str">
        <f>IF(Comuni__2[[#This Row],[Popolazione2011]]&gt;300000,"MAGGIORE","")</f>
        <v/>
      </c>
    </row>
    <row r="7646" spans="1:8" x14ac:dyDescent="0.2">
      <c r="A7646"/>
      <c r="B7646"/>
      <c r="C7646"/>
      <c r="D7646"/>
      <c r="E7646" s="2">
        <f>Comuni__2[[#This Row],[Popolazione2011]]/$D$7911</f>
        <v>7.5038187605128558E-5</v>
      </c>
      <c r="F7646">
        <f>SUMIFS($D$2:$D$7909, $B$2:$B$7909, "Veneto")</f>
        <v>4855904</v>
      </c>
      <c r="G7646" s="1">
        <f>Comuni__2[[#This Row],[Popolazione2011]]/Comuni__2[[#This Row],[POPOLAZIONE TOTALE DI OGNI REGIONE (CON FILTRO)]]</f>
        <v>9.1826362300407921E-4</v>
      </c>
      <c r="H7646" t="str">
        <f>IF(Comuni__2[[#This Row],[Popolazione2011]]&gt;300000,"MAGGIORE","")</f>
        <v/>
      </c>
    </row>
    <row r="7647" spans="1:8" x14ac:dyDescent="0.2">
      <c r="A7647"/>
      <c r="B7647"/>
      <c r="C7647"/>
      <c r="D7647"/>
      <c r="E7647" s="2">
        <f>Comuni__2[[#This Row],[Popolazione2011]]/$D$7911</f>
        <v>7.4566990194735292E-5</v>
      </c>
      <c r="F7647">
        <f>SUMIFS($D$2:$D$7909, $B$2:$B$7909, "Veneto")</f>
        <v>4855904</v>
      </c>
      <c r="G7647" s="1">
        <f>Comuni__2[[#This Row],[Popolazione2011]]/Comuni__2[[#This Row],[POPOLAZIONE TOTALE DI OGNI REGIONE (CON FILTRO)]]</f>
        <v>9.1249744640750727E-4</v>
      </c>
      <c r="H7647" t="str">
        <f>IF(Comuni__2[[#This Row],[Popolazione2011]]&gt;300000,"MAGGIORE","")</f>
        <v/>
      </c>
    </row>
    <row r="7648" spans="1:8" x14ac:dyDescent="0.2">
      <c r="A7648"/>
      <c r="B7648"/>
      <c r="C7648"/>
      <c r="D7648"/>
      <c r="E7648" s="2">
        <f>Comuni__2[[#This Row],[Popolazione2011]]/$D$7911</f>
        <v>7.453333323685006E-5</v>
      </c>
      <c r="F7648">
        <f>SUMIFS($D$2:$D$7909, $B$2:$B$7909, "Veneto")</f>
        <v>4855904</v>
      </c>
      <c r="G7648" s="1">
        <f>Comuni__2[[#This Row],[Popolazione2011]]/Comuni__2[[#This Row],[POPOLAZIONE TOTALE DI OGNI REGIONE (CON FILTRO)]]</f>
        <v>9.1208557665060919E-4</v>
      </c>
      <c r="H7648" t="str">
        <f>IF(Comuni__2[[#This Row],[Popolazione2011]]&gt;300000,"MAGGIORE","")</f>
        <v/>
      </c>
    </row>
    <row r="7649" spans="1:8" x14ac:dyDescent="0.2">
      <c r="A7649"/>
      <c r="B7649"/>
      <c r="C7649"/>
      <c r="D7649"/>
      <c r="E7649" s="2">
        <f>Comuni__2[[#This Row],[Popolazione2011]]/$D$7911</f>
        <v>7.4314563010596037E-5</v>
      </c>
      <c r="F7649">
        <f>SUMIFS($D$2:$D$7909, $B$2:$B$7909, "Veneto")</f>
        <v>4855904</v>
      </c>
      <c r="G7649" s="1">
        <f>Comuni__2[[#This Row],[Popolazione2011]]/Comuni__2[[#This Row],[POPOLAZIONE TOTALE DI OGNI REGIONE (CON FILTRO)]]</f>
        <v>9.0940842323077226E-4</v>
      </c>
      <c r="H7649" t="str">
        <f>IF(Comuni__2[[#This Row],[Popolazione2011]]&gt;300000,"MAGGIORE","")</f>
        <v/>
      </c>
    </row>
    <row r="7650" spans="1:8" x14ac:dyDescent="0.2">
      <c r="A7650"/>
      <c r="B7650"/>
      <c r="C7650"/>
      <c r="D7650"/>
      <c r="E7650" s="2">
        <f>Comuni__2[[#This Row],[Popolazione2011]]/$D$7911</f>
        <v>7.4062135826456782E-5</v>
      </c>
      <c r="F7650">
        <f>SUMIFS($D$2:$D$7909, $B$2:$B$7909, "Veneto")</f>
        <v>4855904</v>
      </c>
      <c r="G7650" s="1">
        <f>Comuni__2[[#This Row],[Popolazione2011]]/Comuni__2[[#This Row],[POPOLAZIONE TOTALE DI OGNI REGIONE (CON FILTRO)]]</f>
        <v>9.0631940005403736E-4</v>
      </c>
      <c r="H7650" t="str">
        <f>IF(Comuni__2[[#This Row],[Popolazione2011]]&gt;300000,"MAGGIORE","")</f>
        <v/>
      </c>
    </row>
    <row r="7651" spans="1:8" x14ac:dyDescent="0.2">
      <c r="A7651"/>
      <c r="B7651"/>
      <c r="C7651"/>
      <c r="D7651"/>
      <c r="E7651" s="2">
        <f>Comuni__2[[#This Row],[Popolazione2011]]/$D$7911</f>
        <v>7.347313906346519E-5</v>
      </c>
      <c r="F7651">
        <f>SUMIFS($D$2:$D$7909, $B$2:$B$7909, "Veneto")</f>
        <v>4855904</v>
      </c>
      <c r="G7651" s="1">
        <f>Comuni__2[[#This Row],[Popolazione2011]]/Comuni__2[[#This Row],[POPOLAZIONE TOTALE DI OGNI REGIONE (CON FILTRO)]]</f>
        <v>8.9911167930832245E-4</v>
      </c>
      <c r="H7651" t="str">
        <f>IF(Comuni__2[[#This Row],[Popolazione2011]]&gt;300000,"MAGGIORE","")</f>
        <v/>
      </c>
    </row>
    <row r="7652" spans="1:8" x14ac:dyDescent="0.2">
      <c r="A7652"/>
      <c r="B7652"/>
      <c r="C7652"/>
      <c r="D7652"/>
      <c r="E7652" s="2">
        <f>Comuni__2[[#This Row],[Popolazione2011]]/$D$7911</f>
        <v>7.3405825147694726E-5</v>
      </c>
      <c r="F7652">
        <f>SUMIFS($D$2:$D$7909, $B$2:$B$7909, "Veneto")</f>
        <v>4855904</v>
      </c>
      <c r="G7652" s="1">
        <f>Comuni__2[[#This Row],[Popolazione2011]]/Comuni__2[[#This Row],[POPOLAZIONE TOTALE DI OGNI REGIONE (CON FILTRO)]]</f>
        <v>8.9828793979452638E-4</v>
      </c>
      <c r="H7652" t="str">
        <f>IF(Comuni__2[[#This Row],[Popolazione2011]]&gt;300000,"MAGGIORE","")</f>
        <v/>
      </c>
    </row>
    <row r="7653" spans="1:8" x14ac:dyDescent="0.2">
      <c r="A7653"/>
      <c r="B7653"/>
      <c r="C7653"/>
      <c r="D7653"/>
      <c r="E7653" s="2">
        <f>Comuni__2[[#This Row],[Popolazione2011]]/$D$7911</f>
        <v>7.2884142300473599E-5</v>
      </c>
      <c r="F7653">
        <f>SUMIFS($D$2:$D$7909, $B$2:$B$7909, "Veneto")</f>
        <v>4855904</v>
      </c>
      <c r="G7653" s="1">
        <f>Comuni__2[[#This Row],[Popolazione2011]]/Comuni__2[[#This Row],[POPOLAZIONE TOTALE DI OGNI REGIONE (CON FILTRO)]]</f>
        <v>8.9190395856260753E-4</v>
      </c>
      <c r="H7653" t="str">
        <f>IF(Comuni__2[[#This Row],[Popolazione2011]]&gt;300000,"MAGGIORE","")</f>
        <v/>
      </c>
    </row>
    <row r="7654" spans="1:8" x14ac:dyDescent="0.2">
      <c r="A7654"/>
      <c r="B7654"/>
      <c r="C7654"/>
      <c r="D7654"/>
      <c r="E7654" s="2">
        <f>Comuni__2[[#This Row],[Popolazione2011]]/$D$7911</f>
        <v>7.2648543595276973E-5</v>
      </c>
      <c r="F7654">
        <f>SUMIFS($D$2:$D$7909, $B$2:$B$7909, "Veneto")</f>
        <v>4855904</v>
      </c>
      <c r="G7654" s="1">
        <f>Comuni__2[[#This Row],[Popolazione2011]]/Comuni__2[[#This Row],[POPOLAZIONE TOTALE DI OGNI REGIONE (CON FILTRO)]]</f>
        <v>8.8902087026432157E-4</v>
      </c>
      <c r="H7654" t="str">
        <f>IF(Comuni__2[[#This Row],[Popolazione2011]]&gt;300000,"MAGGIORE","")</f>
        <v/>
      </c>
    </row>
    <row r="7655" spans="1:8" x14ac:dyDescent="0.2">
      <c r="A7655"/>
      <c r="B7655"/>
      <c r="C7655"/>
      <c r="D7655"/>
      <c r="E7655" s="2">
        <f>Comuni__2[[#This Row],[Popolazione2011]]/$D$7911</f>
        <v>7.2227831621711543E-5</v>
      </c>
      <c r="F7655">
        <f>SUMIFS($D$2:$D$7909, $B$2:$B$7909, "Veneto")</f>
        <v>4855904</v>
      </c>
      <c r="G7655" s="1">
        <f>Comuni__2[[#This Row],[Popolazione2011]]/Comuni__2[[#This Row],[POPOLAZIONE TOTALE DI OGNI REGIONE (CON FILTRO)]]</f>
        <v>8.8387249830309655E-4</v>
      </c>
      <c r="H7655" t="str">
        <f>IF(Comuni__2[[#This Row],[Popolazione2011]]&gt;300000,"MAGGIORE","")</f>
        <v/>
      </c>
    </row>
    <row r="7656" spans="1:8" x14ac:dyDescent="0.2">
      <c r="A7656"/>
      <c r="B7656"/>
      <c r="C7656"/>
      <c r="D7656"/>
      <c r="E7656" s="2">
        <f>Comuni__2[[#This Row],[Popolazione2011]]/$D$7911</f>
        <v>7.2211003142768926E-5</v>
      </c>
      <c r="F7656">
        <f>SUMIFS($D$2:$D$7909, $B$2:$B$7909, "Veneto")</f>
        <v>4855904</v>
      </c>
      <c r="G7656" s="1">
        <f>Comuni__2[[#This Row],[Popolazione2011]]/Comuni__2[[#This Row],[POPOLAZIONE TOTALE DI OGNI REGIONE (CON FILTRO)]]</f>
        <v>8.8366656342464761E-4</v>
      </c>
      <c r="H7656" t="str">
        <f>IF(Comuni__2[[#This Row],[Popolazione2011]]&gt;300000,"MAGGIORE","")</f>
        <v/>
      </c>
    </row>
    <row r="7657" spans="1:8" x14ac:dyDescent="0.2">
      <c r="A7657"/>
      <c r="B7657"/>
      <c r="C7657"/>
      <c r="D7657"/>
      <c r="E7657" s="2">
        <f>Comuni__2[[#This Row],[Popolazione2011]]/$D$7911</f>
        <v>7.2211003142768926E-5</v>
      </c>
      <c r="F7657">
        <f>SUMIFS($D$2:$D$7909, $B$2:$B$7909, "Veneto")</f>
        <v>4855904</v>
      </c>
      <c r="G7657" s="1">
        <f>Comuni__2[[#This Row],[Popolazione2011]]/Comuni__2[[#This Row],[POPOLAZIONE TOTALE DI OGNI REGIONE (CON FILTRO)]]</f>
        <v>8.8366656342464761E-4</v>
      </c>
      <c r="H7657" t="str">
        <f>IF(Comuni__2[[#This Row],[Popolazione2011]]&gt;300000,"MAGGIORE","")</f>
        <v/>
      </c>
    </row>
    <row r="7658" spans="1:8" x14ac:dyDescent="0.2">
      <c r="A7658"/>
      <c r="B7658"/>
      <c r="C7658"/>
      <c r="D7658"/>
      <c r="E7658" s="2">
        <f>Comuni__2[[#This Row],[Popolazione2011]]/$D$7911</f>
        <v>7.1941747479687055E-5</v>
      </c>
      <c r="F7658">
        <f>SUMIFS($D$2:$D$7909, $B$2:$B$7909, "Veneto")</f>
        <v>4855904</v>
      </c>
      <c r="G7658" s="1">
        <f>Comuni__2[[#This Row],[Popolazione2011]]/Comuni__2[[#This Row],[POPOLAZIONE TOTALE DI OGNI REGIONE (CON FILTRO)]]</f>
        <v>8.8037160536946367E-4</v>
      </c>
      <c r="H7658" t="str">
        <f>IF(Comuni__2[[#This Row],[Popolazione2011]]&gt;300000,"MAGGIORE","")</f>
        <v/>
      </c>
    </row>
    <row r="7659" spans="1:8" x14ac:dyDescent="0.2">
      <c r="A7659"/>
      <c r="B7659"/>
      <c r="C7659"/>
      <c r="D7659"/>
      <c r="E7659" s="2">
        <f>Comuni__2[[#This Row],[Popolazione2011]]/$D$7911</f>
        <v>7.1504207027179022E-5</v>
      </c>
      <c r="F7659">
        <f>SUMIFS($D$2:$D$7909, $B$2:$B$7909, "Veneto")</f>
        <v>4855904</v>
      </c>
      <c r="G7659" s="1">
        <f>Comuni__2[[#This Row],[Popolazione2011]]/Comuni__2[[#This Row],[POPOLAZIONE TOTALE DI OGNI REGIONE (CON FILTRO)]]</f>
        <v>8.7501729852978972E-4</v>
      </c>
      <c r="H7659" t="str">
        <f>IF(Comuni__2[[#This Row],[Popolazione2011]]&gt;300000,"MAGGIORE","")</f>
        <v/>
      </c>
    </row>
    <row r="7660" spans="1:8" x14ac:dyDescent="0.2">
      <c r="A7660"/>
      <c r="B7660"/>
      <c r="C7660"/>
      <c r="D7660"/>
      <c r="E7660" s="2">
        <f>Comuni__2[[#This Row],[Popolazione2011]]/$D$7911</f>
        <v>7.0915210264187431E-5</v>
      </c>
      <c r="F7660">
        <f>SUMIFS($D$2:$D$7909, $B$2:$B$7909, "Veneto")</f>
        <v>4855904</v>
      </c>
      <c r="G7660" s="1">
        <f>Comuni__2[[#This Row],[Popolazione2011]]/Comuni__2[[#This Row],[POPOLAZIONE TOTALE DI OGNI REGIONE (CON FILTRO)]]</f>
        <v>8.678095777840748E-4</v>
      </c>
      <c r="H7660" t="str">
        <f>IF(Comuni__2[[#This Row],[Popolazione2011]]&gt;300000,"MAGGIORE","")</f>
        <v/>
      </c>
    </row>
    <row r="7661" spans="1:8" x14ac:dyDescent="0.2">
      <c r="A7661"/>
      <c r="B7661"/>
      <c r="C7661"/>
      <c r="D7661"/>
      <c r="E7661" s="2">
        <f>Comuni__2[[#This Row],[Popolazione2011]]/$D$7911</f>
        <v>7.0376698938023687E-5</v>
      </c>
      <c r="F7661">
        <f>SUMIFS($D$2:$D$7909, $B$2:$B$7909, "Veneto")</f>
        <v>4855904</v>
      </c>
      <c r="G7661" s="1">
        <f>Comuni__2[[#This Row],[Popolazione2011]]/Comuni__2[[#This Row],[POPOLAZIONE TOTALE DI OGNI REGIONE (CON FILTRO)]]</f>
        <v>8.6121966167370691E-4</v>
      </c>
      <c r="H7661" t="str">
        <f>IF(Comuni__2[[#This Row],[Popolazione2011]]&gt;300000,"MAGGIORE","")</f>
        <v/>
      </c>
    </row>
    <row r="7662" spans="1:8" x14ac:dyDescent="0.2">
      <c r="A7662"/>
      <c r="B7662"/>
      <c r="C7662"/>
      <c r="D7662"/>
      <c r="E7662" s="2">
        <f>Comuni__2[[#This Row],[Popolazione2011]]/$D$7911</f>
        <v>6.9855016090802574E-5</v>
      </c>
      <c r="F7662">
        <f>SUMIFS($D$2:$D$7909, $B$2:$B$7909, "Veneto")</f>
        <v>4855904</v>
      </c>
      <c r="G7662" s="1">
        <f>Comuni__2[[#This Row],[Popolazione2011]]/Comuni__2[[#This Row],[POPOLAZIONE TOTALE DI OGNI REGIONE (CON FILTRO)]]</f>
        <v>8.5483568044178795E-4</v>
      </c>
      <c r="H7662" t="str">
        <f>IF(Comuni__2[[#This Row],[Popolazione2011]]&gt;300000,"MAGGIORE","")</f>
        <v/>
      </c>
    </row>
    <row r="7663" spans="1:8" x14ac:dyDescent="0.2">
      <c r="A7663"/>
      <c r="B7663"/>
      <c r="C7663"/>
      <c r="D7663"/>
      <c r="E7663" s="2">
        <f>Comuni__2[[#This Row],[Popolazione2011]]/$D$7911</f>
        <v>6.9754045217146864E-5</v>
      </c>
      <c r="F7663">
        <f>SUMIFS($D$2:$D$7909, $B$2:$B$7909, "Veneto")</f>
        <v>4855904</v>
      </c>
      <c r="G7663" s="1">
        <f>Comuni__2[[#This Row],[Popolazione2011]]/Comuni__2[[#This Row],[POPOLAZIONE TOTALE DI OGNI REGIONE (CON FILTRO)]]</f>
        <v>8.5360007117109401E-4</v>
      </c>
      <c r="H7663" t="str">
        <f>IF(Comuni__2[[#This Row],[Popolazione2011]]&gt;300000,"MAGGIORE","")</f>
        <v/>
      </c>
    </row>
    <row r="7664" spans="1:8" x14ac:dyDescent="0.2">
      <c r="A7664"/>
      <c r="B7664"/>
      <c r="C7664"/>
      <c r="D7664"/>
      <c r="E7664" s="2">
        <f>Comuni__2[[#This Row],[Popolazione2011]]/$D$7911</f>
        <v>6.9669902822433783E-5</v>
      </c>
      <c r="F7664">
        <f>SUMIFS($D$2:$D$7909, $B$2:$B$7909, "Veneto")</f>
        <v>4855904</v>
      </c>
      <c r="G7664" s="1">
        <f>Comuni__2[[#This Row],[Popolazione2011]]/Comuni__2[[#This Row],[POPOLAZIONE TOTALE DI OGNI REGIONE (CON FILTRO)]]</f>
        <v>8.5257039677884901E-4</v>
      </c>
      <c r="H7664" t="str">
        <f>IF(Comuni__2[[#This Row],[Popolazione2011]]&gt;300000,"MAGGIORE","")</f>
        <v/>
      </c>
    </row>
    <row r="7665" spans="1:8" x14ac:dyDescent="0.2">
      <c r="A7665"/>
      <c r="B7665"/>
      <c r="C7665"/>
      <c r="D7665"/>
      <c r="E7665" s="2">
        <f>Comuni__2[[#This Row],[Popolazione2011]]/$D$7911</f>
        <v>6.8777993438475088E-5</v>
      </c>
      <c r="F7665">
        <f>SUMIFS($D$2:$D$7909, $B$2:$B$7909, "Veneto")</f>
        <v>4855904</v>
      </c>
      <c r="G7665" s="1">
        <f>Comuni__2[[#This Row],[Popolazione2011]]/Comuni__2[[#This Row],[POPOLAZIONE TOTALE DI OGNI REGIONE (CON FILTRO)]]</f>
        <v>8.4165584822105217E-4</v>
      </c>
      <c r="H7665" t="str">
        <f>IF(Comuni__2[[#This Row],[Popolazione2011]]&gt;300000,"MAGGIORE","")</f>
        <v/>
      </c>
    </row>
    <row r="7666" spans="1:8" x14ac:dyDescent="0.2">
      <c r="A7666"/>
      <c r="B7666"/>
      <c r="C7666"/>
      <c r="D7666"/>
      <c r="E7666" s="2">
        <f>Comuni__2[[#This Row],[Popolazione2011]]/$D$7911</f>
        <v>6.8643365606934159E-5</v>
      </c>
      <c r="F7666">
        <f>SUMIFS($D$2:$D$7909, $B$2:$B$7909, "Veneto")</f>
        <v>4855904</v>
      </c>
      <c r="G7666" s="1">
        <f>Comuni__2[[#This Row],[Popolazione2011]]/Comuni__2[[#This Row],[POPOLAZIONE TOTALE DI OGNI REGIONE (CON FILTRO)]]</f>
        <v>8.4000836919346014E-4</v>
      </c>
      <c r="H7666" t="str">
        <f>IF(Comuni__2[[#This Row],[Popolazione2011]]&gt;300000,"MAGGIORE","")</f>
        <v/>
      </c>
    </row>
    <row r="7667" spans="1:8" x14ac:dyDescent="0.2">
      <c r="A7667"/>
      <c r="B7667"/>
      <c r="C7667"/>
      <c r="D7667"/>
      <c r="E7667" s="2">
        <f>Comuni__2[[#This Row],[Popolazione2011]]/$D$7911</f>
        <v>6.7902912533459008E-5</v>
      </c>
      <c r="F7667">
        <f>SUMIFS($D$2:$D$7909, $B$2:$B$7909, "Veneto")</f>
        <v>4855904</v>
      </c>
      <c r="G7667" s="1">
        <f>Comuni__2[[#This Row],[Popolazione2011]]/Comuni__2[[#This Row],[POPOLAZIONE TOTALE DI OGNI REGIONE (CON FILTRO)]]</f>
        <v>8.3094723454170427E-4</v>
      </c>
      <c r="H7667" t="str">
        <f>IF(Comuni__2[[#This Row],[Popolazione2011]]&gt;300000,"MAGGIORE","")</f>
        <v/>
      </c>
    </row>
    <row r="7668" spans="1:8" x14ac:dyDescent="0.2">
      <c r="A7668"/>
      <c r="B7668"/>
      <c r="C7668"/>
      <c r="D7668"/>
      <c r="E7668" s="2">
        <f>Comuni__2[[#This Row],[Popolazione2011]]/$D$7911</f>
        <v>6.6943689233729849E-5</v>
      </c>
      <c r="F7668">
        <f>SUMIFS($D$2:$D$7909, $B$2:$B$7909, "Veneto")</f>
        <v>4855904</v>
      </c>
      <c r="G7668" s="1">
        <f>Comuni__2[[#This Row],[Popolazione2011]]/Comuni__2[[#This Row],[POPOLAZIONE TOTALE DI OGNI REGIONE (CON FILTRO)]]</f>
        <v>8.1920894647011147E-4</v>
      </c>
      <c r="H7668" t="str">
        <f>IF(Comuni__2[[#This Row],[Popolazione2011]]&gt;300000,"MAGGIORE","")</f>
        <v/>
      </c>
    </row>
    <row r="7669" spans="1:8" x14ac:dyDescent="0.2">
      <c r="A7669"/>
      <c r="B7669"/>
      <c r="C7669"/>
      <c r="D7669"/>
      <c r="E7669" s="2">
        <f>Comuni__2[[#This Row],[Popolazione2011]]/$D$7911</f>
        <v>6.6910032275844616E-5</v>
      </c>
      <c r="F7669">
        <f>SUMIFS($D$2:$D$7909, $B$2:$B$7909, "Veneto")</f>
        <v>4855904</v>
      </c>
      <c r="G7669" s="1">
        <f>Comuni__2[[#This Row],[Popolazione2011]]/Comuni__2[[#This Row],[POPOLAZIONE TOTALE DI OGNI REGIONE (CON FILTRO)]]</f>
        <v>8.1879707671321349E-4</v>
      </c>
      <c r="H7669" t="str">
        <f>IF(Comuni__2[[#This Row],[Popolazione2011]]&gt;300000,"MAGGIORE","")</f>
        <v/>
      </c>
    </row>
    <row r="7670" spans="1:8" x14ac:dyDescent="0.2">
      <c r="A7670"/>
      <c r="B7670"/>
      <c r="C7670"/>
      <c r="D7670"/>
      <c r="E7670" s="2">
        <f>Comuni__2[[#This Row],[Popolazione2011]]/$D$7911</f>
        <v>6.657346269699228E-5</v>
      </c>
      <c r="F7670">
        <f>SUMIFS($D$2:$D$7909, $B$2:$B$7909, "Veneto")</f>
        <v>4855904</v>
      </c>
      <c r="G7670" s="1">
        <f>Comuni__2[[#This Row],[Popolazione2011]]/Comuni__2[[#This Row],[POPOLAZIONE TOTALE DI OGNI REGIONE (CON FILTRO)]]</f>
        <v>8.1467837914423347E-4</v>
      </c>
      <c r="H7670" t="str">
        <f>IF(Comuni__2[[#This Row],[Popolazione2011]]&gt;300000,"MAGGIORE","")</f>
        <v/>
      </c>
    </row>
    <row r="7671" spans="1:8" x14ac:dyDescent="0.2">
      <c r="A7671"/>
      <c r="B7671"/>
      <c r="C7671"/>
      <c r="D7671"/>
      <c r="E7671" s="2">
        <f>Comuni__2[[#This Row],[Popolazione2011]]/$D$7911</f>
        <v>6.6354692470738257E-5</v>
      </c>
      <c r="F7671">
        <f>SUMIFS($D$2:$D$7909, $B$2:$B$7909, "Veneto")</f>
        <v>4855904</v>
      </c>
      <c r="G7671" s="1">
        <f>Comuni__2[[#This Row],[Popolazione2011]]/Comuni__2[[#This Row],[POPOLAZIONE TOTALE DI OGNI REGIONE (CON FILTRO)]]</f>
        <v>8.1200122572439655E-4</v>
      </c>
      <c r="H7671" t="str">
        <f>IF(Comuni__2[[#This Row],[Popolazione2011]]&gt;300000,"MAGGIORE","")</f>
        <v/>
      </c>
    </row>
    <row r="7672" spans="1:8" x14ac:dyDescent="0.2">
      <c r="A7672"/>
      <c r="B7672"/>
      <c r="C7672"/>
      <c r="D7672"/>
      <c r="E7672" s="2">
        <f>Comuni__2[[#This Row],[Popolazione2011]]/$D$7911</f>
        <v>6.6287378554967793E-5</v>
      </c>
      <c r="F7672">
        <f>SUMIFS($D$2:$D$7909, $B$2:$B$7909, "Veneto")</f>
        <v>4855904</v>
      </c>
      <c r="G7672" s="1">
        <f>Comuni__2[[#This Row],[Popolazione2011]]/Comuni__2[[#This Row],[POPOLAZIONE TOTALE DI OGNI REGIONE (CON FILTRO)]]</f>
        <v>8.1117748621060059E-4</v>
      </c>
      <c r="H7672" t="str">
        <f>IF(Comuni__2[[#This Row],[Popolazione2011]]&gt;300000,"MAGGIORE","")</f>
        <v/>
      </c>
    </row>
    <row r="7673" spans="1:8" x14ac:dyDescent="0.2">
      <c r="A7673"/>
      <c r="B7673"/>
      <c r="C7673"/>
      <c r="D7673"/>
      <c r="E7673" s="2">
        <f>Comuni__2[[#This Row],[Popolazione2011]]/$D$7911</f>
        <v>6.6186407681312096E-5</v>
      </c>
      <c r="F7673">
        <f>SUMIFS($D$2:$D$7909, $B$2:$B$7909, "Veneto")</f>
        <v>4855904</v>
      </c>
      <c r="G7673" s="1">
        <f>Comuni__2[[#This Row],[Popolazione2011]]/Comuni__2[[#This Row],[POPOLAZIONE TOTALE DI OGNI REGIONE (CON FILTRO)]]</f>
        <v>8.0994187693990654E-4</v>
      </c>
      <c r="H7673" t="str">
        <f>IF(Comuni__2[[#This Row],[Popolazione2011]]&gt;300000,"MAGGIORE","")</f>
        <v/>
      </c>
    </row>
    <row r="7674" spans="1:8" x14ac:dyDescent="0.2">
      <c r="A7674"/>
      <c r="B7674"/>
      <c r="C7674"/>
      <c r="D7674"/>
      <c r="E7674" s="2">
        <f>Comuni__2[[#This Row],[Popolazione2011]]/$D$7911</f>
        <v>6.6135922244484247E-5</v>
      </c>
      <c r="F7674">
        <f>SUMIFS($D$2:$D$7909, $B$2:$B$7909, "Veneto")</f>
        <v>4855904</v>
      </c>
      <c r="G7674" s="1">
        <f>Comuni__2[[#This Row],[Popolazione2011]]/Comuni__2[[#This Row],[POPOLAZIONE TOTALE DI OGNI REGIONE (CON FILTRO)]]</f>
        <v>8.0932407230455952E-4</v>
      </c>
      <c r="H7674" t="str">
        <f>IF(Comuni__2[[#This Row],[Popolazione2011]]&gt;300000,"MAGGIORE","")</f>
        <v/>
      </c>
    </row>
    <row r="7675" spans="1:8" x14ac:dyDescent="0.2">
      <c r="A7675"/>
      <c r="B7675"/>
      <c r="C7675"/>
      <c r="D7675"/>
      <c r="E7675" s="2">
        <f>Comuni__2[[#This Row],[Popolazione2011]]/$D$7911</f>
        <v>6.5917152018230224E-5</v>
      </c>
      <c r="F7675">
        <f>SUMIFS($D$2:$D$7909, $B$2:$B$7909, "Veneto")</f>
        <v>4855904</v>
      </c>
      <c r="G7675" s="1">
        <f>Comuni__2[[#This Row],[Popolazione2011]]/Comuni__2[[#This Row],[POPOLAZIONE TOTALE DI OGNI REGIONE (CON FILTRO)]]</f>
        <v>8.066469188847226E-4</v>
      </c>
      <c r="H7675" t="str">
        <f>IF(Comuni__2[[#This Row],[Popolazione2011]]&gt;300000,"MAGGIORE","")</f>
        <v/>
      </c>
    </row>
    <row r="7676" spans="1:8" x14ac:dyDescent="0.2">
      <c r="A7676"/>
      <c r="B7676"/>
      <c r="C7676"/>
      <c r="D7676"/>
      <c r="E7676" s="2">
        <f>Comuni__2[[#This Row],[Popolazione2011]]/$D$7911</f>
        <v>6.5883495060344992E-5</v>
      </c>
      <c r="F7676">
        <f>SUMIFS($D$2:$D$7909, $B$2:$B$7909, "Veneto")</f>
        <v>4855904</v>
      </c>
      <c r="G7676" s="1">
        <f>Comuni__2[[#This Row],[Popolazione2011]]/Comuni__2[[#This Row],[POPOLAZIONE TOTALE DI OGNI REGIONE (CON FILTRO)]]</f>
        <v>8.0623504912782462E-4</v>
      </c>
      <c r="H7676" t="str">
        <f>IF(Comuni__2[[#This Row],[Popolazione2011]]&gt;300000,"MAGGIORE","")</f>
        <v/>
      </c>
    </row>
    <row r="7677" spans="1:8" x14ac:dyDescent="0.2">
      <c r="A7677"/>
      <c r="B7677"/>
      <c r="C7677"/>
      <c r="D7677"/>
      <c r="E7677" s="2">
        <f>Comuni__2[[#This Row],[Popolazione2011]]/$D$7911</f>
        <v>6.5664724834090969E-5</v>
      </c>
      <c r="F7677">
        <f>SUMIFS($D$2:$D$7909, $B$2:$B$7909, "Veneto")</f>
        <v>4855904</v>
      </c>
      <c r="G7677" s="1">
        <f>Comuni__2[[#This Row],[Popolazione2011]]/Comuni__2[[#This Row],[POPOLAZIONE TOTALE DI OGNI REGIONE (CON FILTRO)]]</f>
        <v>8.0355789570798759E-4</v>
      </c>
      <c r="H7677" t="str">
        <f>IF(Comuni__2[[#This Row],[Popolazione2011]]&gt;300000,"MAGGIORE","")</f>
        <v/>
      </c>
    </row>
    <row r="7678" spans="1:8" x14ac:dyDescent="0.2">
      <c r="A7678"/>
      <c r="B7678"/>
      <c r="C7678"/>
      <c r="D7678"/>
      <c r="E7678" s="2">
        <f>Comuni__2[[#This Row],[Popolazione2011]]/$D$7911</f>
        <v>6.5631067876205737E-5</v>
      </c>
      <c r="F7678">
        <f>SUMIFS($D$2:$D$7909, $B$2:$B$7909, "Veneto")</f>
        <v>4855904</v>
      </c>
      <c r="G7678" s="1">
        <f>Comuni__2[[#This Row],[Popolazione2011]]/Comuni__2[[#This Row],[POPOLAZIONE TOTALE DI OGNI REGIONE (CON FILTRO)]]</f>
        <v>8.0314602595108961E-4</v>
      </c>
      <c r="H7678" t="str">
        <f>IF(Comuni__2[[#This Row],[Popolazione2011]]&gt;300000,"MAGGIORE","")</f>
        <v/>
      </c>
    </row>
    <row r="7679" spans="1:8" x14ac:dyDescent="0.2">
      <c r="A7679"/>
      <c r="B7679"/>
      <c r="C7679"/>
      <c r="D7679"/>
      <c r="E7679" s="2">
        <f>Comuni__2[[#This Row],[Popolazione2011]]/$D$7911</f>
        <v>6.4520388265993032E-5</v>
      </c>
      <c r="F7679">
        <f>SUMIFS($D$2:$D$7909, $B$2:$B$7909, "Veneto")</f>
        <v>4855904</v>
      </c>
      <c r="G7679" s="1">
        <f>Comuni__2[[#This Row],[Popolazione2011]]/Comuni__2[[#This Row],[POPOLAZIONE TOTALE DI OGNI REGIONE (CON FILTRO)]]</f>
        <v>7.8955432397345585E-4</v>
      </c>
      <c r="H7679" t="str">
        <f>IF(Comuni__2[[#This Row],[Popolazione2011]]&gt;300000,"MAGGIORE","")</f>
        <v/>
      </c>
    </row>
    <row r="7680" spans="1:8" x14ac:dyDescent="0.2">
      <c r="A7680"/>
      <c r="B7680"/>
      <c r="C7680"/>
      <c r="D7680"/>
      <c r="E7680" s="2">
        <f>Comuni__2[[#This Row],[Popolazione2011]]/$D$7911</f>
        <v>6.3981876939829289E-5</v>
      </c>
      <c r="F7680">
        <f>SUMIFS($D$2:$D$7909, $B$2:$B$7909, "Veneto")</f>
        <v>4855904</v>
      </c>
      <c r="G7680" s="1">
        <f>Comuni__2[[#This Row],[Popolazione2011]]/Comuni__2[[#This Row],[POPOLAZIONE TOTALE DI OGNI REGIONE (CON FILTRO)]]</f>
        <v>7.8296440786308796E-4</v>
      </c>
      <c r="H7680" t="str">
        <f>IF(Comuni__2[[#This Row],[Popolazione2011]]&gt;300000,"MAGGIORE","")</f>
        <v/>
      </c>
    </row>
    <row r="7681" spans="1:8" x14ac:dyDescent="0.2">
      <c r="A7681"/>
      <c r="B7681"/>
      <c r="C7681"/>
      <c r="D7681"/>
      <c r="E7681" s="2">
        <f>Comuni__2[[#This Row],[Popolazione2011]]/$D$7911</f>
        <v>6.3426537134722929E-5</v>
      </c>
      <c r="F7681">
        <f>SUMIFS($D$2:$D$7909, $B$2:$B$7909, "Veneto")</f>
        <v>4855904</v>
      </c>
      <c r="G7681" s="1">
        <f>Comuni__2[[#This Row],[Popolazione2011]]/Comuni__2[[#This Row],[POPOLAZIONE TOTALE DI OGNI REGIONE (CON FILTRO)]]</f>
        <v>7.7616855687427102E-4</v>
      </c>
      <c r="H7681" t="str">
        <f>IF(Comuni__2[[#This Row],[Popolazione2011]]&gt;300000,"MAGGIORE","")</f>
        <v/>
      </c>
    </row>
    <row r="7682" spans="1:8" x14ac:dyDescent="0.2">
      <c r="A7682"/>
      <c r="B7682"/>
      <c r="C7682"/>
      <c r="D7682"/>
      <c r="E7682" s="2">
        <f>Comuni__2[[#This Row],[Popolazione2011]]/$D$7911</f>
        <v>6.3022653640100129E-5</v>
      </c>
      <c r="F7682">
        <f>SUMIFS($D$2:$D$7909, $B$2:$B$7909, "Veneto")</f>
        <v>4855904</v>
      </c>
      <c r="G7682" s="1">
        <f>Comuni__2[[#This Row],[Popolazione2011]]/Comuni__2[[#This Row],[POPOLAZIONE TOTALE DI OGNI REGIONE (CON FILTRO)]]</f>
        <v>7.7122611979149505E-4</v>
      </c>
      <c r="H7682" t="str">
        <f>IF(Comuni__2[[#This Row],[Popolazione2011]]&gt;300000,"MAGGIORE","")</f>
        <v/>
      </c>
    </row>
    <row r="7683" spans="1:8" x14ac:dyDescent="0.2">
      <c r="A7683"/>
      <c r="B7683"/>
      <c r="C7683"/>
      <c r="D7683"/>
      <c r="E7683" s="2">
        <f>Comuni__2[[#This Row],[Popolazione2011]]/$D$7911</f>
        <v>6.2955339724329651E-5</v>
      </c>
      <c r="F7683">
        <f>SUMIFS($D$2:$D$7909, $B$2:$B$7909, "Veneto")</f>
        <v>4855904</v>
      </c>
      <c r="G7683" s="1">
        <f>Comuni__2[[#This Row],[Popolazione2011]]/Comuni__2[[#This Row],[POPOLAZIONE TOTALE DI OGNI REGIONE (CON FILTRO)]]</f>
        <v>7.7040238027769909E-4</v>
      </c>
      <c r="H7683" t="str">
        <f>IF(Comuni__2[[#This Row],[Popolazione2011]]&gt;300000,"MAGGIORE","")</f>
        <v/>
      </c>
    </row>
    <row r="7684" spans="1:8" x14ac:dyDescent="0.2">
      <c r="A7684"/>
      <c r="B7684"/>
      <c r="C7684"/>
      <c r="D7684"/>
      <c r="E7684" s="2">
        <f>Comuni__2[[#This Row],[Popolazione2011]]/$D$7911</f>
        <v>6.2921682766444418E-5</v>
      </c>
      <c r="F7684">
        <f>SUMIFS($D$2:$D$7909, $B$2:$B$7909, "Veneto")</f>
        <v>4855904</v>
      </c>
      <c r="G7684" s="1">
        <f>Comuni__2[[#This Row],[Popolazione2011]]/Comuni__2[[#This Row],[POPOLAZIONE TOTALE DI OGNI REGIONE (CON FILTRO)]]</f>
        <v>7.6999051052080111E-4</v>
      </c>
      <c r="H7684" t="str">
        <f>IF(Comuni__2[[#This Row],[Popolazione2011]]&gt;300000,"MAGGIORE","")</f>
        <v/>
      </c>
    </row>
    <row r="7685" spans="1:8" x14ac:dyDescent="0.2">
      <c r="A7685"/>
      <c r="B7685"/>
      <c r="C7685"/>
      <c r="D7685"/>
      <c r="E7685" s="2">
        <f>Comuni__2[[#This Row],[Popolazione2011]]/$D$7911</f>
        <v>6.2702912540190409E-5</v>
      </c>
      <c r="F7685">
        <f>SUMIFS($D$2:$D$7909, $B$2:$B$7909, "Veneto")</f>
        <v>4855904</v>
      </c>
      <c r="G7685" s="1">
        <f>Comuni__2[[#This Row],[Popolazione2011]]/Comuni__2[[#This Row],[POPOLAZIONE TOTALE DI OGNI REGIONE (CON FILTRO)]]</f>
        <v>7.6731335710096408E-4</v>
      </c>
      <c r="H7685" t="str">
        <f>IF(Comuni__2[[#This Row],[Popolazione2011]]&gt;300000,"MAGGIORE","")</f>
        <v/>
      </c>
    </row>
    <row r="7686" spans="1:8" x14ac:dyDescent="0.2">
      <c r="A7686"/>
      <c r="B7686"/>
      <c r="C7686"/>
      <c r="D7686"/>
      <c r="E7686" s="2">
        <f>Comuni__2[[#This Row],[Popolazione2011]]/$D$7911</f>
        <v>6.2181229692969282E-5</v>
      </c>
      <c r="F7686">
        <f>SUMIFS($D$2:$D$7909, $B$2:$B$7909, "Veneto")</f>
        <v>4855904</v>
      </c>
      <c r="G7686" s="1">
        <f>Comuni__2[[#This Row],[Popolazione2011]]/Comuni__2[[#This Row],[POPOLAZIONE TOTALE DI OGNI REGIONE (CON FILTRO)]]</f>
        <v>7.6092937586904523E-4</v>
      </c>
      <c r="H7686" t="str">
        <f>IF(Comuni__2[[#This Row],[Popolazione2011]]&gt;300000,"MAGGIORE","")</f>
        <v/>
      </c>
    </row>
    <row r="7687" spans="1:8" x14ac:dyDescent="0.2">
      <c r="A7687"/>
      <c r="B7687"/>
      <c r="C7687"/>
      <c r="D7687"/>
      <c r="E7687" s="2">
        <f>Comuni__2[[#This Row],[Popolazione2011]]/$D$7911</f>
        <v>6.2113915777198817E-5</v>
      </c>
      <c r="F7687">
        <f>SUMIFS($D$2:$D$7909, $B$2:$B$7909, "Veneto")</f>
        <v>4855904</v>
      </c>
      <c r="G7687" s="1">
        <f>Comuni__2[[#This Row],[Popolazione2011]]/Comuni__2[[#This Row],[POPOLAZIONE TOTALE DI OGNI REGIONE (CON FILTRO)]]</f>
        <v>7.6010563635524916E-4</v>
      </c>
      <c r="H7687" t="str">
        <f>IF(Comuni__2[[#This Row],[Popolazione2011]]&gt;300000,"MAGGIORE","")</f>
        <v/>
      </c>
    </row>
    <row r="7688" spans="1:8" x14ac:dyDescent="0.2">
      <c r="A7688"/>
      <c r="B7688"/>
      <c r="C7688"/>
      <c r="D7688"/>
      <c r="E7688" s="2">
        <f>Comuni__2[[#This Row],[Popolazione2011]]/$D$7911</f>
        <v>6.2012944903543107E-5</v>
      </c>
      <c r="F7688">
        <f>SUMIFS($D$2:$D$7909, $B$2:$B$7909, "Veneto")</f>
        <v>4855904</v>
      </c>
      <c r="G7688" s="1">
        <f>Comuni__2[[#This Row],[Popolazione2011]]/Comuni__2[[#This Row],[POPOLAZIONE TOTALE DI OGNI REGIONE (CON FILTRO)]]</f>
        <v>7.5887002708455522E-4</v>
      </c>
      <c r="H7688" t="str">
        <f>IF(Comuni__2[[#This Row],[Popolazione2011]]&gt;300000,"MAGGIORE","")</f>
        <v/>
      </c>
    </row>
    <row r="7689" spans="1:8" x14ac:dyDescent="0.2">
      <c r="A7689"/>
      <c r="B7689"/>
      <c r="C7689"/>
      <c r="D7689"/>
      <c r="E7689" s="2">
        <f>Comuni__2[[#This Row],[Popolazione2011]]/$D$7911</f>
        <v>6.1474433577379377E-5</v>
      </c>
      <c r="F7689">
        <f>SUMIFS($D$2:$D$7909, $B$2:$B$7909, "Veneto")</f>
        <v>4855904</v>
      </c>
      <c r="G7689" s="1">
        <f>Comuni__2[[#This Row],[Popolazione2011]]/Comuni__2[[#This Row],[POPOLAZIONE TOTALE DI OGNI REGIONE (CON FILTRO)]]</f>
        <v>7.5228011097418733E-4</v>
      </c>
      <c r="H7689" t="str">
        <f>IF(Comuni__2[[#This Row],[Popolazione2011]]&gt;300000,"MAGGIORE","")</f>
        <v/>
      </c>
    </row>
    <row r="7690" spans="1:8" x14ac:dyDescent="0.2">
      <c r="A7690"/>
      <c r="B7690"/>
      <c r="C7690"/>
      <c r="D7690"/>
      <c r="E7690" s="2">
        <f>Comuni__2[[#This Row],[Popolazione2011]]/$D$7911</f>
        <v>6.1373462703723667E-5</v>
      </c>
      <c r="F7690">
        <f>SUMIFS($D$2:$D$7909, $B$2:$B$7909, "Veneto")</f>
        <v>4855904</v>
      </c>
      <c r="G7690" s="1">
        <f>Comuni__2[[#This Row],[Popolazione2011]]/Comuni__2[[#This Row],[POPOLAZIONE TOTALE DI OGNI REGIONE (CON FILTRO)]]</f>
        <v>7.5104450170349329E-4</v>
      </c>
      <c r="H7690" t="str">
        <f>IF(Comuni__2[[#This Row],[Popolazione2011]]&gt;300000,"MAGGIORE","")</f>
        <v/>
      </c>
    </row>
    <row r="7691" spans="1:8" x14ac:dyDescent="0.2">
      <c r="A7691"/>
      <c r="B7691"/>
      <c r="C7691"/>
      <c r="D7691"/>
      <c r="E7691" s="2">
        <f>Comuni__2[[#This Row],[Popolazione2011]]/$D$7911</f>
        <v>6.1020064645928722E-5</v>
      </c>
      <c r="F7691">
        <f>SUMIFS($D$2:$D$7909, $B$2:$B$7909, "Veneto")</f>
        <v>4855904</v>
      </c>
      <c r="G7691" s="1">
        <f>Comuni__2[[#This Row],[Popolazione2011]]/Comuni__2[[#This Row],[POPOLAZIONE TOTALE DI OGNI REGIONE (CON FILTRO)]]</f>
        <v>7.4671986925606434E-4</v>
      </c>
      <c r="H7691" t="str">
        <f>IF(Comuni__2[[#This Row],[Popolazione2011]]&gt;300000,"MAGGIORE","")</f>
        <v/>
      </c>
    </row>
    <row r="7692" spans="1:8" x14ac:dyDescent="0.2">
      <c r="A7692"/>
      <c r="B7692"/>
      <c r="C7692"/>
      <c r="D7692"/>
      <c r="E7692" s="2">
        <f>Comuni__2[[#This Row],[Popolazione2011]]/$D$7911</f>
        <v>6.0498381798707595E-5</v>
      </c>
      <c r="F7692">
        <f>SUMIFS($D$2:$D$7909, $B$2:$B$7909, "Veneto")</f>
        <v>4855904</v>
      </c>
      <c r="G7692" s="1">
        <f>Comuni__2[[#This Row],[Popolazione2011]]/Comuni__2[[#This Row],[POPOLAZIONE TOTALE DI OGNI REGIONE (CON FILTRO)]]</f>
        <v>7.4033588802414549E-4</v>
      </c>
      <c r="H7692" t="str">
        <f>IF(Comuni__2[[#This Row],[Popolazione2011]]&gt;300000,"MAGGIORE","")</f>
        <v/>
      </c>
    </row>
    <row r="7693" spans="1:8" x14ac:dyDescent="0.2">
      <c r="A7693"/>
      <c r="B7693"/>
      <c r="C7693"/>
      <c r="D7693"/>
      <c r="E7693" s="2">
        <f>Comuni__2[[#This Row],[Popolazione2011]]/$D$7911</f>
        <v>6.0346925488224043E-5</v>
      </c>
      <c r="F7693">
        <f>SUMIFS($D$2:$D$7909, $B$2:$B$7909, "Veneto")</f>
        <v>4855904</v>
      </c>
      <c r="G7693" s="1">
        <f>Comuni__2[[#This Row],[Popolazione2011]]/Comuni__2[[#This Row],[POPOLAZIONE TOTALE DI OGNI REGIONE (CON FILTRO)]]</f>
        <v>7.3848247411810453E-4</v>
      </c>
      <c r="H7693" t="str">
        <f>IF(Comuni__2[[#This Row],[Popolazione2011]]&gt;300000,"MAGGIORE","")</f>
        <v/>
      </c>
    </row>
    <row r="7694" spans="1:8" x14ac:dyDescent="0.2">
      <c r="A7694"/>
      <c r="B7694"/>
      <c r="C7694"/>
      <c r="D7694"/>
      <c r="E7694" s="2">
        <f>Comuni__2[[#This Row],[Popolazione2011]]/$D$7911</f>
        <v>6.031326853033881E-5</v>
      </c>
      <c r="F7694">
        <f>SUMIFS($D$2:$D$7909, $B$2:$B$7909, "Veneto")</f>
        <v>4855904</v>
      </c>
      <c r="G7694" s="1">
        <f>Comuni__2[[#This Row],[Popolazione2011]]/Comuni__2[[#This Row],[POPOLAZIONE TOTALE DI OGNI REGIONE (CON FILTRO)]]</f>
        <v>7.3807060436120644E-4</v>
      </c>
      <c r="H7694" t="str">
        <f>IF(Comuni__2[[#This Row],[Popolazione2011]]&gt;300000,"MAGGIORE","")</f>
        <v/>
      </c>
    </row>
    <row r="7695" spans="1:8" x14ac:dyDescent="0.2">
      <c r="A7695"/>
      <c r="B7695"/>
      <c r="C7695"/>
      <c r="D7695"/>
      <c r="E7695" s="2">
        <f>Comuni__2[[#This Row],[Popolazione2011]]/$D$7911</f>
        <v>6.0044012867256939E-5</v>
      </c>
      <c r="F7695">
        <f>SUMIFS($D$2:$D$7909, $B$2:$B$7909, "Veneto")</f>
        <v>4855904</v>
      </c>
      <c r="G7695" s="1">
        <f>Comuni__2[[#This Row],[Popolazione2011]]/Comuni__2[[#This Row],[POPOLAZIONE TOTALE DI OGNI REGIONE (CON FILTRO)]]</f>
        <v>7.3477564630602249E-4</v>
      </c>
      <c r="H7695" t="str">
        <f>IF(Comuni__2[[#This Row],[Popolazione2011]]&gt;300000,"MAGGIORE","")</f>
        <v/>
      </c>
    </row>
    <row r="7696" spans="1:8" x14ac:dyDescent="0.2">
      <c r="A7696"/>
      <c r="B7696"/>
      <c r="C7696"/>
      <c r="D7696"/>
      <c r="E7696" s="2">
        <f>Comuni__2[[#This Row],[Popolazione2011]]/$D$7911</f>
        <v>5.9673786330519371E-5</v>
      </c>
      <c r="F7696">
        <f>SUMIFS($D$2:$D$7909, $B$2:$B$7909, "Veneto")</f>
        <v>4855904</v>
      </c>
      <c r="G7696" s="1">
        <f>Comuni__2[[#This Row],[Popolazione2011]]/Comuni__2[[#This Row],[POPOLAZIONE TOTALE DI OGNI REGIONE (CON FILTRO)]]</f>
        <v>7.3024507898014461E-4</v>
      </c>
      <c r="H7696" t="str">
        <f>IF(Comuni__2[[#This Row],[Popolazione2011]]&gt;300000,"MAGGIORE","")</f>
        <v/>
      </c>
    </row>
    <row r="7697" spans="1:8" x14ac:dyDescent="0.2">
      <c r="A7697"/>
      <c r="B7697"/>
      <c r="C7697"/>
      <c r="D7697"/>
      <c r="E7697" s="2">
        <f>Comuni__2[[#This Row],[Popolazione2011]]/$D$7911</f>
        <v>5.8293851057224787E-5</v>
      </c>
      <c r="F7697">
        <f>SUMIFS($D$2:$D$7909, $B$2:$B$7909, "Veneto")</f>
        <v>4855904</v>
      </c>
      <c r="G7697" s="1">
        <f>Comuni__2[[#This Row],[Popolazione2011]]/Comuni__2[[#This Row],[POPOLAZIONE TOTALE DI OGNI REGIONE (CON FILTRO)]]</f>
        <v>7.1335841894732679E-4</v>
      </c>
      <c r="H7697" t="str">
        <f>IF(Comuni__2[[#This Row],[Popolazione2011]]&gt;300000,"MAGGIORE","")</f>
        <v/>
      </c>
    </row>
    <row r="7698" spans="1:8" x14ac:dyDescent="0.2">
      <c r="A7698"/>
      <c r="B7698"/>
      <c r="C7698"/>
      <c r="D7698"/>
      <c r="E7698" s="2">
        <f>Comuni__2[[#This Row],[Popolazione2011]]/$D$7911</f>
        <v>5.8142394746741235E-5</v>
      </c>
      <c r="F7698">
        <f>SUMIFS($D$2:$D$7909, $B$2:$B$7909, "Veneto")</f>
        <v>4855904</v>
      </c>
      <c r="G7698" s="1">
        <f>Comuni__2[[#This Row],[Popolazione2011]]/Comuni__2[[#This Row],[POPOLAZIONE TOTALE DI OGNI REGIONE (CON FILTRO)]]</f>
        <v>7.1150500504128583E-4</v>
      </c>
      <c r="H7698" t="str">
        <f>IF(Comuni__2[[#This Row],[Popolazione2011]]&gt;300000,"MAGGIORE","")</f>
        <v/>
      </c>
    </row>
    <row r="7699" spans="1:8" x14ac:dyDescent="0.2">
      <c r="A7699"/>
      <c r="B7699"/>
      <c r="C7699"/>
      <c r="D7699"/>
      <c r="E7699" s="2">
        <f>Comuni__2[[#This Row],[Popolazione2011]]/$D$7911</f>
        <v>5.8108737788856003E-5</v>
      </c>
      <c r="F7699">
        <f>SUMIFS($D$2:$D$7909, $B$2:$B$7909, "Veneto")</f>
        <v>4855904</v>
      </c>
      <c r="G7699" s="1">
        <f>Comuni__2[[#This Row],[Popolazione2011]]/Comuni__2[[#This Row],[POPOLAZIONE TOTALE DI OGNI REGIONE (CON FILTRO)]]</f>
        <v>7.1109313528438785E-4</v>
      </c>
      <c r="H7699" t="str">
        <f>IF(Comuni__2[[#This Row],[Popolazione2011]]&gt;300000,"MAGGIORE","")</f>
        <v/>
      </c>
    </row>
    <row r="7700" spans="1:8" x14ac:dyDescent="0.2">
      <c r="A7700"/>
      <c r="B7700"/>
      <c r="C7700"/>
      <c r="D7700"/>
      <c r="E7700" s="2">
        <f>Comuni__2[[#This Row],[Popolazione2011]]/$D$7911</f>
        <v>5.7822653646831515E-5</v>
      </c>
      <c r="F7700">
        <f>SUMIFS($D$2:$D$7909, $B$2:$B$7909, "Veneto")</f>
        <v>4855904</v>
      </c>
      <c r="G7700" s="1">
        <f>Comuni__2[[#This Row],[Popolazione2011]]/Comuni__2[[#This Row],[POPOLAZIONE TOTALE DI OGNI REGIONE (CON FILTRO)]]</f>
        <v>7.0759224235075486E-4</v>
      </c>
      <c r="H7700" t="str">
        <f>IF(Comuni__2[[#This Row],[Popolazione2011]]&gt;300000,"MAGGIORE","")</f>
        <v/>
      </c>
    </row>
    <row r="7701" spans="1:8" x14ac:dyDescent="0.2">
      <c r="A7701"/>
      <c r="B7701"/>
      <c r="C7701"/>
      <c r="D7701"/>
      <c r="E7701" s="2">
        <f>Comuni__2[[#This Row],[Popolazione2011]]/$D$7911</f>
        <v>5.7502912546921795E-5</v>
      </c>
      <c r="F7701">
        <f>SUMIFS($D$2:$D$7909, $B$2:$B$7909, "Veneto")</f>
        <v>4855904</v>
      </c>
      <c r="G7701" s="1">
        <f>Comuni__2[[#This Row],[Popolazione2011]]/Comuni__2[[#This Row],[POPOLAZIONE TOTALE DI OGNI REGIONE (CON FILTRO)]]</f>
        <v>7.0367947966022389E-4</v>
      </c>
      <c r="H7701" t="str">
        <f>IF(Comuni__2[[#This Row],[Popolazione2011]]&gt;300000,"MAGGIORE","")</f>
        <v/>
      </c>
    </row>
    <row r="7702" spans="1:8" x14ac:dyDescent="0.2">
      <c r="A7702"/>
      <c r="B7702"/>
      <c r="C7702"/>
      <c r="D7702"/>
      <c r="E7702" s="2">
        <f>Comuni__2[[#This Row],[Popolazione2011]]/$D$7911</f>
        <v>5.7435598631151331E-5</v>
      </c>
      <c r="F7702">
        <f>SUMIFS($D$2:$D$7909, $B$2:$B$7909, "Veneto")</f>
        <v>4855904</v>
      </c>
      <c r="G7702" s="1">
        <f>Comuni__2[[#This Row],[Popolazione2011]]/Comuni__2[[#This Row],[POPOLAZIONE TOTALE DI OGNI REGIONE (CON FILTRO)]]</f>
        <v>7.0285574014642793E-4</v>
      </c>
      <c r="H7702" t="str">
        <f>IF(Comuni__2[[#This Row],[Popolazione2011]]&gt;300000,"MAGGIORE","")</f>
        <v/>
      </c>
    </row>
    <row r="7703" spans="1:8" x14ac:dyDescent="0.2">
      <c r="A7703"/>
      <c r="B7703"/>
      <c r="C7703"/>
      <c r="D7703"/>
      <c r="E7703" s="2">
        <f>Comuni__2[[#This Row],[Popolazione2011]]/$D$7911</f>
        <v>5.7216828404897308E-5</v>
      </c>
      <c r="F7703">
        <f>SUMIFS($D$2:$D$7909, $B$2:$B$7909, "Veneto")</f>
        <v>4855904</v>
      </c>
      <c r="G7703" s="1">
        <f>Comuni__2[[#This Row],[Popolazione2011]]/Comuni__2[[#This Row],[POPOLAZIONE TOTALE DI OGNI REGIONE (CON FILTRO)]]</f>
        <v>7.0017858672659101E-4</v>
      </c>
      <c r="H7703" t="str">
        <f>IF(Comuni__2[[#This Row],[Popolazione2011]]&gt;300000,"MAGGIORE","")</f>
        <v/>
      </c>
    </row>
    <row r="7704" spans="1:8" x14ac:dyDescent="0.2">
      <c r="A7704"/>
      <c r="B7704"/>
      <c r="C7704"/>
      <c r="D7704"/>
      <c r="E7704" s="2">
        <f>Comuni__2[[#This Row],[Popolazione2011]]/$D$7911</f>
        <v>5.704854361547114E-5</v>
      </c>
      <c r="F7704">
        <f>SUMIFS($D$2:$D$7909, $B$2:$B$7909, "Veneto")</f>
        <v>4855904</v>
      </c>
      <c r="G7704" s="1">
        <f>Comuni__2[[#This Row],[Popolazione2011]]/Comuni__2[[#This Row],[POPOLAZIONE TOTALE DI OGNI REGIONE (CON FILTRO)]]</f>
        <v>6.98119237942101E-4</v>
      </c>
      <c r="H7704" t="str">
        <f>IF(Comuni__2[[#This Row],[Popolazione2011]]&gt;300000,"MAGGIORE","")</f>
        <v/>
      </c>
    </row>
    <row r="7705" spans="1:8" x14ac:dyDescent="0.2">
      <c r="A7705"/>
      <c r="B7705"/>
      <c r="C7705"/>
      <c r="D7705"/>
      <c r="E7705" s="2">
        <f>Comuni__2[[#This Row],[Popolazione2011]]/$D$7911</f>
        <v>5.6358575978823852E-5</v>
      </c>
      <c r="F7705">
        <f>SUMIFS($D$2:$D$7909, $B$2:$B$7909, "Veneto")</f>
        <v>4855904</v>
      </c>
      <c r="G7705" s="1">
        <f>Comuni__2[[#This Row],[Popolazione2011]]/Comuni__2[[#This Row],[POPOLAZIONE TOTALE DI OGNI REGIONE (CON FILTRO)]]</f>
        <v>6.8967590792569215E-4</v>
      </c>
      <c r="H7705" t="str">
        <f>IF(Comuni__2[[#This Row],[Popolazione2011]]&gt;300000,"MAGGIORE","")</f>
        <v/>
      </c>
    </row>
    <row r="7706" spans="1:8" x14ac:dyDescent="0.2">
      <c r="A7706"/>
      <c r="B7706"/>
      <c r="C7706"/>
      <c r="D7706"/>
      <c r="E7706" s="2">
        <f>Comuni__2[[#This Row],[Popolazione2011]]/$D$7911</f>
        <v>5.629126206305338E-5</v>
      </c>
      <c r="F7706">
        <f>SUMIFS($D$2:$D$7909, $B$2:$B$7909, "Veneto")</f>
        <v>4855904</v>
      </c>
      <c r="G7706" s="1">
        <f>Comuni__2[[#This Row],[Popolazione2011]]/Comuni__2[[#This Row],[POPOLAZIONE TOTALE DI OGNI REGIONE (CON FILTRO)]]</f>
        <v>6.8885216841189608E-4</v>
      </c>
      <c r="H7706" t="str">
        <f>IF(Comuni__2[[#This Row],[Popolazione2011]]&gt;300000,"MAGGIORE","")</f>
        <v/>
      </c>
    </row>
    <row r="7707" spans="1:8" x14ac:dyDescent="0.2">
      <c r="A7707"/>
      <c r="B7707"/>
      <c r="C7707"/>
      <c r="D7707"/>
      <c r="E7707" s="2">
        <f>Comuni__2[[#This Row],[Popolazione2011]]/$D$7911</f>
        <v>5.6257605105168148E-5</v>
      </c>
      <c r="F7707">
        <f>SUMIFS($D$2:$D$7909, $B$2:$B$7909, "Veneto")</f>
        <v>4855904</v>
      </c>
      <c r="G7707" s="1">
        <f>Comuni__2[[#This Row],[Popolazione2011]]/Comuni__2[[#This Row],[POPOLAZIONE TOTALE DI OGNI REGIONE (CON FILTRO)]]</f>
        <v>6.884402986549981E-4</v>
      </c>
      <c r="H7707" t="str">
        <f>IF(Comuni__2[[#This Row],[Popolazione2011]]&gt;300000,"MAGGIORE","")</f>
        <v/>
      </c>
    </row>
    <row r="7708" spans="1:8" x14ac:dyDescent="0.2">
      <c r="A7708"/>
      <c r="B7708"/>
      <c r="C7708"/>
      <c r="D7708"/>
      <c r="E7708" s="2">
        <f>Comuni__2[[#This Row],[Popolazione2011]]/$D$7911</f>
        <v>5.6173462710455067E-5</v>
      </c>
      <c r="F7708">
        <f>SUMIFS($D$2:$D$7909, $B$2:$B$7909, "Veneto")</f>
        <v>4855904</v>
      </c>
      <c r="G7708" s="1">
        <f>Comuni__2[[#This Row],[Popolazione2011]]/Comuni__2[[#This Row],[POPOLAZIONE TOTALE DI OGNI REGIONE (CON FILTRO)]]</f>
        <v>6.874106242627531E-4</v>
      </c>
      <c r="H7708" t="str">
        <f>IF(Comuni__2[[#This Row],[Popolazione2011]]&gt;300000,"MAGGIORE","")</f>
        <v/>
      </c>
    </row>
    <row r="7709" spans="1:8" x14ac:dyDescent="0.2">
      <c r="A7709"/>
      <c r="B7709"/>
      <c r="C7709"/>
      <c r="D7709"/>
      <c r="E7709" s="2">
        <f>Comuni__2[[#This Row],[Popolazione2011]]/$D$7911</f>
        <v>5.6022006399971515E-5</v>
      </c>
      <c r="F7709">
        <f>SUMIFS($D$2:$D$7909, $B$2:$B$7909, "Veneto")</f>
        <v>4855904</v>
      </c>
      <c r="G7709" s="1">
        <f>Comuni__2[[#This Row],[Popolazione2011]]/Comuni__2[[#This Row],[POPOLAZIONE TOTALE DI OGNI REGIONE (CON FILTRO)]]</f>
        <v>6.8555721035671213E-4</v>
      </c>
      <c r="H7709" t="str">
        <f>IF(Comuni__2[[#This Row],[Popolazione2011]]&gt;300000,"MAGGIORE","")</f>
        <v/>
      </c>
    </row>
    <row r="7710" spans="1:8" x14ac:dyDescent="0.2">
      <c r="A7710"/>
      <c r="B7710"/>
      <c r="C7710"/>
      <c r="D7710"/>
      <c r="E7710" s="2">
        <f>Comuni__2[[#This Row],[Popolazione2011]]/$D$7911</f>
        <v>5.5904207047373196E-5</v>
      </c>
      <c r="F7710">
        <f>SUMIFS($D$2:$D$7909, $B$2:$B$7909, "Veneto")</f>
        <v>4855904</v>
      </c>
      <c r="G7710" s="1">
        <f>Comuni__2[[#This Row],[Popolazione2011]]/Comuni__2[[#This Row],[POPOLAZIONE TOTALE DI OGNI REGIONE (CON FILTRO)]]</f>
        <v>6.8411566620756915E-4</v>
      </c>
      <c r="H7710" t="str">
        <f>IF(Comuni__2[[#This Row],[Popolazione2011]]&gt;300000,"MAGGIORE","")</f>
        <v/>
      </c>
    </row>
    <row r="7711" spans="1:8" x14ac:dyDescent="0.2">
      <c r="A7711"/>
      <c r="B7711"/>
      <c r="C7711"/>
      <c r="D7711"/>
      <c r="E7711" s="2">
        <f>Comuni__2[[#This Row],[Popolazione2011]]/$D$7911</f>
        <v>5.5853721610545347E-5</v>
      </c>
      <c r="F7711">
        <f>SUMIFS($D$2:$D$7909, $B$2:$B$7909, "Veneto")</f>
        <v>4855904</v>
      </c>
      <c r="G7711" s="1">
        <f>Comuni__2[[#This Row],[Popolazione2011]]/Comuni__2[[#This Row],[POPOLAZIONE TOTALE DI OGNI REGIONE (CON FILTRO)]]</f>
        <v>6.8349786157222224E-4</v>
      </c>
      <c r="H7711" t="str">
        <f>IF(Comuni__2[[#This Row],[Popolazione2011]]&gt;300000,"MAGGIORE","")</f>
        <v/>
      </c>
    </row>
    <row r="7712" spans="1:8" x14ac:dyDescent="0.2">
      <c r="A7712"/>
      <c r="B7712"/>
      <c r="C7712"/>
      <c r="D7712"/>
      <c r="E7712" s="2">
        <f>Comuni__2[[#This Row],[Popolazione2011]]/$D$7911</f>
        <v>5.5584465947463476E-5</v>
      </c>
      <c r="F7712">
        <f>SUMIFS($D$2:$D$7909, $B$2:$B$7909, "Veneto")</f>
        <v>4855904</v>
      </c>
      <c r="G7712" s="1">
        <f>Comuni__2[[#This Row],[Popolazione2011]]/Comuni__2[[#This Row],[POPOLAZIONE TOTALE DI OGNI REGIONE (CON FILTRO)]]</f>
        <v>6.8020290351703818E-4</v>
      </c>
      <c r="H7712" t="str">
        <f>IF(Comuni__2[[#This Row],[Popolazione2011]]&gt;300000,"MAGGIORE","")</f>
        <v/>
      </c>
    </row>
    <row r="7713" spans="1:8" x14ac:dyDescent="0.2">
      <c r="A7713"/>
      <c r="B7713"/>
      <c r="C7713"/>
      <c r="D7713"/>
      <c r="E7713" s="2">
        <f>Comuni__2[[#This Row],[Popolazione2011]]/$D$7911</f>
        <v>5.5281553326496372E-5</v>
      </c>
      <c r="F7713">
        <f>SUMIFS($D$2:$D$7909, $B$2:$B$7909, "Veneto")</f>
        <v>4855904</v>
      </c>
      <c r="G7713" s="1">
        <f>Comuni__2[[#This Row],[Popolazione2011]]/Comuni__2[[#This Row],[POPOLAZIONE TOTALE DI OGNI REGIONE (CON FILTRO)]]</f>
        <v>6.7649607570495626E-4</v>
      </c>
      <c r="H7713" t="str">
        <f>IF(Comuni__2[[#This Row],[Popolazione2011]]&gt;300000,"MAGGIORE","")</f>
        <v/>
      </c>
    </row>
    <row r="7714" spans="1:8" x14ac:dyDescent="0.2">
      <c r="A7714"/>
      <c r="B7714"/>
      <c r="C7714"/>
      <c r="D7714"/>
      <c r="E7714" s="2">
        <f>Comuni__2[[#This Row],[Popolazione2011]]/$D$7911</f>
        <v>5.4776698958217868E-5</v>
      </c>
      <c r="F7714">
        <f>SUMIFS($D$2:$D$7909, $B$2:$B$7909, "Veneto")</f>
        <v>4855904</v>
      </c>
      <c r="G7714" s="1">
        <f>Comuni__2[[#This Row],[Popolazione2011]]/Comuni__2[[#This Row],[POPOLAZIONE TOTALE DI OGNI REGIONE (CON FILTRO)]]</f>
        <v>6.7031802935148634E-4</v>
      </c>
      <c r="H7714" t="str">
        <f>IF(Comuni__2[[#This Row],[Popolazione2011]]&gt;300000,"MAGGIORE","")</f>
        <v/>
      </c>
    </row>
    <row r="7715" spans="1:8" x14ac:dyDescent="0.2">
      <c r="A7715"/>
      <c r="B7715"/>
      <c r="C7715"/>
      <c r="D7715"/>
      <c r="E7715" s="2">
        <f>Comuni__2[[#This Row],[Popolazione2011]]/$D$7911</f>
        <v>5.4069902842627957E-5</v>
      </c>
      <c r="F7715">
        <f>SUMIFS($D$2:$D$7909, $B$2:$B$7909, "Veneto")</f>
        <v>4855904</v>
      </c>
      <c r="G7715" s="1">
        <f>Comuni__2[[#This Row],[Popolazione2011]]/Comuni__2[[#This Row],[POPOLAZIONE TOTALE DI OGNI REGIONE (CON FILTRO)]]</f>
        <v>6.6166876445662845E-4</v>
      </c>
      <c r="H7715" t="str">
        <f>IF(Comuni__2[[#This Row],[Popolazione2011]]&gt;300000,"MAGGIORE","")</f>
        <v/>
      </c>
    </row>
    <row r="7716" spans="1:8" x14ac:dyDescent="0.2">
      <c r="A7716"/>
      <c r="B7716"/>
      <c r="C7716"/>
      <c r="D7716"/>
      <c r="E7716" s="2">
        <f>Comuni__2[[#This Row],[Popolazione2011]]/$D$7911</f>
        <v>5.3497734558578981E-5</v>
      </c>
      <c r="F7716">
        <f>SUMIFS($D$2:$D$7909, $B$2:$B$7909, "Veneto")</f>
        <v>4855904</v>
      </c>
      <c r="G7716" s="1">
        <f>Comuni__2[[#This Row],[Popolazione2011]]/Comuni__2[[#This Row],[POPOLAZIONE TOTALE DI OGNI REGIONE (CON FILTRO)]]</f>
        <v>6.5466697858936258E-4</v>
      </c>
      <c r="H7716" t="str">
        <f>IF(Comuni__2[[#This Row],[Popolazione2011]]&gt;300000,"MAGGIORE","")</f>
        <v/>
      </c>
    </row>
    <row r="7717" spans="1:8" x14ac:dyDescent="0.2">
      <c r="A7717"/>
      <c r="B7717"/>
      <c r="C7717"/>
      <c r="D7717"/>
      <c r="E7717" s="2">
        <f>Comuni__2[[#This Row],[Popolazione2011]]/$D$7911</f>
        <v>5.3497734558578981E-5</v>
      </c>
      <c r="F7717">
        <f>SUMIFS($D$2:$D$7909, $B$2:$B$7909, "Veneto")</f>
        <v>4855904</v>
      </c>
      <c r="G7717" s="1">
        <f>Comuni__2[[#This Row],[Popolazione2011]]/Comuni__2[[#This Row],[POPOLAZIONE TOTALE DI OGNI REGIONE (CON FILTRO)]]</f>
        <v>6.5466697858936258E-4</v>
      </c>
      <c r="H7717" t="str">
        <f>IF(Comuni__2[[#This Row],[Popolazione2011]]&gt;300000,"MAGGIORE","")</f>
        <v/>
      </c>
    </row>
    <row r="7718" spans="1:8" x14ac:dyDescent="0.2">
      <c r="A7718"/>
      <c r="B7718"/>
      <c r="C7718"/>
      <c r="D7718"/>
      <c r="E7718" s="2">
        <f>Comuni__2[[#This Row],[Popolazione2011]]/$D$7911</f>
        <v>5.3430420642808517E-5</v>
      </c>
      <c r="F7718">
        <f>SUMIFS($D$2:$D$7909, $B$2:$B$7909, "Veneto")</f>
        <v>4855904</v>
      </c>
      <c r="G7718" s="1">
        <f>Comuni__2[[#This Row],[Popolazione2011]]/Comuni__2[[#This Row],[POPOLAZIONE TOTALE DI OGNI REGIONE (CON FILTRO)]]</f>
        <v>6.5384323907556662E-4</v>
      </c>
      <c r="H7718" t="str">
        <f>IF(Comuni__2[[#This Row],[Popolazione2011]]&gt;300000,"MAGGIORE","")</f>
        <v/>
      </c>
    </row>
    <row r="7719" spans="1:8" x14ac:dyDescent="0.2">
      <c r="A7719"/>
      <c r="B7719"/>
      <c r="C7719"/>
      <c r="D7719"/>
      <c r="E7719" s="2">
        <f>Comuni__2[[#This Row],[Popolazione2011]]/$D$7911</f>
        <v>5.3413592163865901E-5</v>
      </c>
      <c r="F7719">
        <f>SUMIFS($D$2:$D$7909, $B$2:$B$7909, "Veneto")</f>
        <v>4855904</v>
      </c>
      <c r="G7719" s="1">
        <f>Comuni__2[[#This Row],[Popolazione2011]]/Comuni__2[[#This Row],[POPOLAZIONE TOTALE DI OGNI REGIONE (CON FILTRO)]]</f>
        <v>6.5363730419711757E-4</v>
      </c>
      <c r="H7719" t="str">
        <f>IF(Comuni__2[[#This Row],[Popolazione2011]]&gt;300000,"MAGGIORE","")</f>
        <v/>
      </c>
    </row>
    <row r="7720" spans="1:8" x14ac:dyDescent="0.2">
      <c r="A7720"/>
      <c r="B7720"/>
      <c r="C7720"/>
      <c r="D7720"/>
      <c r="E7720" s="2">
        <f>Comuni__2[[#This Row],[Popolazione2011]]/$D$7911</f>
        <v>5.3329449769152813E-5</v>
      </c>
      <c r="F7720">
        <f>SUMIFS($D$2:$D$7909, $B$2:$B$7909, "Veneto")</f>
        <v>4855904</v>
      </c>
      <c r="G7720" s="1">
        <f>Comuni__2[[#This Row],[Popolazione2011]]/Comuni__2[[#This Row],[POPOLAZIONE TOTALE DI OGNI REGIONE (CON FILTRO)]]</f>
        <v>6.5260762980487257E-4</v>
      </c>
      <c r="H7720" t="str">
        <f>IF(Comuni__2[[#This Row],[Popolazione2011]]&gt;300000,"MAGGIORE","")</f>
        <v/>
      </c>
    </row>
    <row r="7721" spans="1:8" x14ac:dyDescent="0.2">
      <c r="A7721"/>
      <c r="B7721"/>
      <c r="C7721"/>
      <c r="D7721"/>
      <c r="E7721" s="2">
        <f>Comuni__2[[#This Row],[Popolazione2011]]/$D$7911</f>
        <v>5.302653714818571E-5</v>
      </c>
      <c r="F7721">
        <f>SUMIFS($D$2:$D$7909, $B$2:$B$7909, "Veneto")</f>
        <v>4855904</v>
      </c>
      <c r="G7721" s="1">
        <f>Comuni__2[[#This Row],[Popolazione2011]]/Comuni__2[[#This Row],[POPOLAZIONE TOTALE DI OGNI REGIONE (CON FILTRO)]]</f>
        <v>6.4890080199279064E-4</v>
      </c>
      <c r="H7721" t="str">
        <f>IF(Comuni__2[[#This Row],[Popolazione2011]]&gt;300000,"MAGGIORE","")</f>
        <v/>
      </c>
    </row>
    <row r="7722" spans="1:8" x14ac:dyDescent="0.2">
      <c r="A7722"/>
      <c r="B7722"/>
      <c r="C7722"/>
      <c r="D7722"/>
      <c r="E7722" s="2">
        <f>Comuni__2[[#This Row],[Popolazione2011]]/$D$7911</f>
        <v>5.2370226469423654E-5</v>
      </c>
      <c r="F7722">
        <f>SUMIFS($D$2:$D$7909, $B$2:$B$7909, "Veneto")</f>
        <v>4855904</v>
      </c>
      <c r="G7722" s="1">
        <f>Comuni__2[[#This Row],[Popolazione2011]]/Comuni__2[[#This Row],[POPOLAZIONE TOTALE DI OGNI REGIONE (CON FILTRO)]]</f>
        <v>6.4086934173327977E-4</v>
      </c>
      <c r="H7722" t="str">
        <f>IF(Comuni__2[[#This Row],[Popolazione2011]]&gt;300000,"MAGGIORE","")</f>
        <v/>
      </c>
    </row>
    <row r="7723" spans="1:8" x14ac:dyDescent="0.2">
      <c r="A7723"/>
      <c r="B7723"/>
      <c r="C7723"/>
      <c r="D7723"/>
      <c r="E7723" s="2">
        <f>Comuni__2[[#This Row],[Popolazione2011]]/$D$7911</f>
        <v>5.2302912553653189E-5</v>
      </c>
      <c r="F7723">
        <f>SUMIFS($D$2:$D$7909, $B$2:$B$7909, "Veneto")</f>
        <v>4855904</v>
      </c>
      <c r="G7723" s="1">
        <f>Comuni__2[[#This Row],[Popolazione2011]]/Comuni__2[[#This Row],[POPOLAZIONE TOTALE DI OGNI REGIONE (CON FILTRO)]]</f>
        <v>6.400456022194837E-4</v>
      </c>
      <c r="H7723" t="str">
        <f>IF(Comuni__2[[#This Row],[Popolazione2011]]&gt;300000,"MAGGIORE","")</f>
        <v/>
      </c>
    </row>
    <row r="7724" spans="1:8" x14ac:dyDescent="0.2">
      <c r="A7724"/>
      <c r="B7724"/>
      <c r="C7724"/>
      <c r="D7724"/>
      <c r="E7724" s="2">
        <f>Comuni__2[[#This Row],[Popolazione2011]]/$D$7911</f>
        <v>5.2302912553653189E-5</v>
      </c>
      <c r="F7724">
        <f>SUMIFS($D$2:$D$7909, $B$2:$B$7909, "Veneto")</f>
        <v>4855904</v>
      </c>
      <c r="G7724" s="1">
        <f>Comuni__2[[#This Row],[Popolazione2011]]/Comuni__2[[#This Row],[POPOLAZIONE TOTALE DI OGNI REGIONE (CON FILTRO)]]</f>
        <v>6.400456022194837E-4</v>
      </c>
      <c r="H7724" t="str">
        <f>IF(Comuni__2[[#This Row],[Popolazione2011]]&gt;300000,"MAGGIORE","")</f>
        <v/>
      </c>
    </row>
    <row r="7725" spans="1:8" x14ac:dyDescent="0.2">
      <c r="A7725"/>
      <c r="B7725"/>
      <c r="C7725"/>
      <c r="D7725"/>
      <c r="E7725" s="2">
        <f>Comuni__2[[#This Row],[Popolazione2011]]/$D$7911</f>
        <v>5.2235598637882718E-5</v>
      </c>
      <c r="F7725">
        <f>SUMIFS($D$2:$D$7909, $B$2:$B$7909, "Veneto")</f>
        <v>4855904</v>
      </c>
      <c r="G7725" s="1">
        <f>Comuni__2[[#This Row],[Popolazione2011]]/Comuni__2[[#This Row],[POPOLAZIONE TOTALE DI OGNI REGIONE (CON FILTRO)]]</f>
        <v>6.3922186270568774E-4</v>
      </c>
      <c r="H7725" t="str">
        <f>IF(Comuni__2[[#This Row],[Popolazione2011]]&gt;300000,"MAGGIORE","")</f>
        <v/>
      </c>
    </row>
    <row r="7726" spans="1:8" x14ac:dyDescent="0.2">
      <c r="A7726"/>
      <c r="B7726"/>
      <c r="C7726"/>
      <c r="D7726"/>
      <c r="E7726" s="2">
        <f>Comuni__2[[#This Row],[Popolazione2011]]/$D$7911</f>
        <v>5.2050485369513934E-5</v>
      </c>
      <c r="F7726">
        <f>SUMIFS($D$2:$D$7909, $B$2:$B$7909, "Veneto")</f>
        <v>4855904</v>
      </c>
      <c r="G7726" s="1">
        <f>Comuni__2[[#This Row],[Popolazione2011]]/Comuni__2[[#This Row],[POPOLAZIONE TOTALE DI OGNI REGIONE (CON FILTRO)]]</f>
        <v>6.369565790427488E-4</v>
      </c>
      <c r="H7726" t="str">
        <f>IF(Comuni__2[[#This Row],[Popolazione2011]]&gt;300000,"MAGGIORE","")</f>
        <v/>
      </c>
    </row>
    <row r="7727" spans="1:8" x14ac:dyDescent="0.2">
      <c r="A7727"/>
      <c r="B7727"/>
      <c r="C7727"/>
      <c r="D7727"/>
      <c r="E7727" s="2">
        <f>Comuni__2[[#This Row],[Popolazione2011]]/$D$7911</f>
        <v>5.1882200580087766E-5</v>
      </c>
      <c r="F7727">
        <f>SUMIFS($D$2:$D$7909, $B$2:$B$7909, "Veneto")</f>
        <v>4855904</v>
      </c>
      <c r="G7727" s="1">
        <f>Comuni__2[[#This Row],[Popolazione2011]]/Comuni__2[[#This Row],[POPOLAZIONE TOTALE DI OGNI REGIONE (CON FILTRO)]]</f>
        <v>6.3489723025825879E-4</v>
      </c>
      <c r="H7727" t="str">
        <f>IF(Comuni__2[[#This Row],[Popolazione2011]]&gt;300000,"MAGGIORE","")</f>
        <v/>
      </c>
    </row>
    <row r="7728" spans="1:8" x14ac:dyDescent="0.2">
      <c r="A7728"/>
      <c r="B7728"/>
      <c r="C7728"/>
      <c r="D7728"/>
      <c r="E7728" s="2">
        <f>Comuni__2[[#This Row],[Popolazione2011]]/$D$7911</f>
        <v>5.1865372101145149E-5</v>
      </c>
      <c r="F7728">
        <f>SUMIFS($D$2:$D$7909, $B$2:$B$7909, "Veneto")</f>
        <v>4855904</v>
      </c>
      <c r="G7728" s="1">
        <f>Comuni__2[[#This Row],[Popolazione2011]]/Comuni__2[[#This Row],[POPOLAZIONE TOTALE DI OGNI REGIONE (CON FILTRO)]]</f>
        <v>6.3469129537980986E-4</v>
      </c>
      <c r="H7728" t="str">
        <f>IF(Comuni__2[[#This Row],[Popolazione2011]]&gt;300000,"MAGGIORE","")</f>
        <v/>
      </c>
    </row>
    <row r="7729" spans="1:8" x14ac:dyDescent="0.2">
      <c r="A7729"/>
      <c r="B7729"/>
      <c r="C7729"/>
      <c r="D7729"/>
      <c r="E7729" s="2">
        <f>Comuni__2[[#This Row],[Popolazione2011]]/$D$7911</f>
        <v>5.1276375338153558E-5</v>
      </c>
      <c r="F7729">
        <f>SUMIFS($D$2:$D$7909, $B$2:$B$7909, "Veneto")</f>
        <v>4855904</v>
      </c>
      <c r="G7729" s="1">
        <f>Comuni__2[[#This Row],[Popolazione2011]]/Comuni__2[[#This Row],[POPOLAZIONE TOTALE DI OGNI REGIONE (CON FILTRO)]]</f>
        <v>6.2748357463409494E-4</v>
      </c>
      <c r="H7729" t="str">
        <f>IF(Comuni__2[[#This Row],[Popolazione2011]]&gt;300000,"MAGGIORE","")</f>
        <v/>
      </c>
    </row>
    <row r="7730" spans="1:8" x14ac:dyDescent="0.2">
      <c r="A7730"/>
      <c r="B7730"/>
      <c r="C7730"/>
      <c r="D7730"/>
      <c r="E7730" s="2">
        <f>Comuni__2[[#This Row],[Popolazione2011]]/$D$7911</f>
        <v>5.1259546859210942E-5</v>
      </c>
      <c r="F7730">
        <f>SUMIFS($D$2:$D$7909, $B$2:$B$7909, "Veneto")</f>
        <v>4855904</v>
      </c>
      <c r="G7730" s="1">
        <f>Comuni__2[[#This Row],[Popolazione2011]]/Comuni__2[[#This Row],[POPOLAZIONE TOTALE DI OGNI REGIONE (CON FILTRO)]]</f>
        <v>6.272776397556459E-4</v>
      </c>
      <c r="H7730" t="str">
        <f>IF(Comuni__2[[#This Row],[Popolazione2011]]&gt;300000,"MAGGIORE","")</f>
        <v/>
      </c>
    </row>
    <row r="7731" spans="1:8" x14ac:dyDescent="0.2">
      <c r="A7731"/>
      <c r="B7731"/>
      <c r="C7731"/>
      <c r="D7731"/>
      <c r="E7731" s="2">
        <f>Comuni__2[[#This Row],[Popolazione2011]]/$D$7911</f>
        <v>5.0889320322473373E-5</v>
      </c>
      <c r="F7731">
        <f>SUMIFS($D$2:$D$7909, $B$2:$B$7909, "Veneto")</f>
        <v>4855904</v>
      </c>
      <c r="G7731" s="1">
        <f>Comuni__2[[#This Row],[Popolazione2011]]/Comuni__2[[#This Row],[POPOLAZIONE TOTALE DI OGNI REGIONE (CON FILTRO)]]</f>
        <v>6.2274707242976801E-4</v>
      </c>
      <c r="H7731" t="str">
        <f>IF(Comuni__2[[#This Row],[Popolazione2011]]&gt;300000,"MAGGIORE","")</f>
        <v/>
      </c>
    </row>
    <row r="7732" spans="1:8" x14ac:dyDescent="0.2">
      <c r="A7732"/>
      <c r="B7732"/>
      <c r="C7732"/>
      <c r="D7732"/>
      <c r="E7732" s="2">
        <f>Comuni__2[[#This Row],[Popolazione2011]]/$D$7911</f>
        <v>5.0620064659391502E-5</v>
      </c>
      <c r="F7732">
        <f>SUMIFS($D$2:$D$7909, $B$2:$B$7909, "Veneto")</f>
        <v>4855904</v>
      </c>
      <c r="G7732" s="1">
        <f>Comuni__2[[#This Row],[Popolazione2011]]/Comuni__2[[#This Row],[POPOLAZIONE TOTALE DI OGNI REGIONE (CON FILTRO)]]</f>
        <v>6.1945211437458396E-4</v>
      </c>
      <c r="H7732" t="str">
        <f>IF(Comuni__2[[#This Row],[Popolazione2011]]&gt;300000,"MAGGIORE","")</f>
        <v/>
      </c>
    </row>
    <row r="7733" spans="1:8" x14ac:dyDescent="0.2">
      <c r="A7733"/>
      <c r="B7733"/>
      <c r="C7733"/>
      <c r="D7733"/>
      <c r="E7733" s="2">
        <f>Comuni__2[[#This Row],[Popolazione2011]]/$D$7911</f>
        <v>5.0535922264678414E-5</v>
      </c>
      <c r="F7733">
        <f>SUMIFS($D$2:$D$7909, $B$2:$B$7909, "Veneto")</f>
        <v>4855904</v>
      </c>
      <c r="G7733" s="1">
        <f>Comuni__2[[#This Row],[Popolazione2011]]/Comuni__2[[#This Row],[POPOLAZIONE TOTALE DI OGNI REGIONE (CON FILTRO)]]</f>
        <v>6.1842243998233906E-4</v>
      </c>
      <c r="H7733" t="str">
        <f>IF(Comuni__2[[#This Row],[Popolazione2011]]&gt;300000,"MAGGIORE","")</f>
        <v/>
      </c>
    </row>
    <row r="7734" spans="1:8" x14ac:dyDescent="0.2">
      <c r="A7734"/>
      <c r="B7734"/>
      <c r="C7734"/>
      <c r="D7734"/>
      <c r="E7734" s="2">
        <f>Comuni__2[[#This Row],[Popolazione2011]]/$D$7911</f>
        <v>5.0418122912080102E-5</v>
      </c>
      <c r="F7734">
        <f>SUMIFS($D$2:$D$7909, $B$2:$B$7909, "Veneto")</f>
        <v>4855904</v>
      </c>
      <c r="G7734" s="1">
        <f>Comuni__2[[#This Row],[Popolazione2011]]/Comuni__2[[#This Row],[POPOLAZIONE TOTALE DI OGNI REGIONE (CON FILTRO)]]</f>
        <v>6.1698089583319608E-4</v>
      </c>
      <c r="H7734" t="str">
        <f>IF(Comuni__2[[#This Row],[Popolazione2011]]&gt;300000,"MAGGIORE","")</f>
        <v/>
      </c>
    </row>
    <row r="7735" spans="1:8" x14ac:dyDescent="0.2">
      <c r="A7735"/>
      <c r="B7735"/>
      <c r="C7735"/>
      <c r="D7735"/>
      <c r="E7735" s="2">
        <f>Comuni__2[[#This Row],[Popolazione2011]]/$D$7911</f>
        <v>4.9744983754375423E-5</v>
      </c>
      <c r="F7735">
        <f>SUMIFS($D$2:$D$7909, $B$2:$B$7909, "Veneto")</f>
        <v>4855904</v>
      </c>
      <c r="G7735" s="1">
        <f>Comuni__2[[#This Row],[Popolazione2011]]/Comuni__2[[#This Row],[POPOLAZIONE TOTALE DI OGNI REGIONE (CON FILTRO)]]</f>
        <v>6.0874350069523616E-4</v>
      </c>
      <c r="H7735" t="str">
        <f>IF(Comuni__2[[#This Row],[Popolazione2011]]&gt;300000,"MAGGIORE","")</f>
        <v/>
      </c>
    </row>
    <row r="7736" spans="1:8" x14ac:dyDescent="0.2">
      <c r="A7736"/>
      <c r="B7736"/>
      <c r="C7736"/>
      <c r="D7736"/>
      <c r="E7736" s="2">
        <f>Comuni__2[[#This Row],[Popolazione2011]]/$D$7911</f>
        <v>4.9593527443891871E-5</v>
      </c>
      <c r="F7736">
        <f>SUMIFS($D$2:$D$7909, $B$2:$B$7909, "Veneto")</f>
        <v>4855904</v>
      </c>
      <c r="G7736" s="1">
        <f>Comuni__2[[#This Row],[Popolazione2011]]/Comuni__2[[#This Row],[POPOLAZIONE TOTALE DI OGNI REGIONE (CON FILTRO)]]</f>
        <v>6.068900867891952E-4</v>
      </c>
      <c r="H7736" t="str">
        <f>IF(Comuni__2[[#This Row],[Popolazione2011]]&gt;300000,"MAGGIORE","")</f>
        <v/>
      </c>
    </row>
    <row r="7737" spans="1:8" x14ac:dyDescent="0.2">
      <c r="A7737"/>
      <c r="B7737"/>
      <c r="C7737"/>
      <c r="D7737"/>
      <c r="E7737" s="2">
        <f>Comuni__2[[#This Row],[Popolazione2011]]/$D$7911</f>
        <v>4.9324271780810006E-5</v>
      </c>
      <c r="F7737">
        <f>SUMIFS($D$2:$D$7909, $B$2:$B$7909, "Veneto")</f>
        <v>4855904</v>
      </c>
      <c r="G7737" s="1">
        <f>Comuni__2[[#This Row],[Popolazione2011]]/Comuni__2[[#This Row],[POPOLAZIONE TOTALE DI OGNI REGIONE (CON FILTRO)]]</f>
        <v>6.0359512873401125E-4</v>
      </c>
      <c r="H7737" t="str">
        <f>IF(Comuni__2[[#This Row],[Popolazione2011]]&gt;300000,"MAGGIORE","")</f>
        <v/>
      </c>
    </row>
    <row r="7738" spans="1:8" x14ac:dyDescent="0.2">
      <c r="A7738"/>
      <c r="B7738"/>
      <c r="C7738"/>
      <c r="D7738"/>
      <c r="E7738" s="2">
        <f>Comuni__2[[#This Row],[Popolazione2011]]/$D$7911</f>
        <v>4.9240129386096919E-5</v>
      </c>
      <c r="F7738">
        <f>SUMIFS($D$2:$D$7909, $B$2:$B$7909, "Veneto")</f>
        <v>4855904</v>
      </c>
      <c r="G7738" s="1">
        <f>Comuni__2[[#This Row],[Popolazione2011]]/Comuni__2[[#This Row],[POPOLAZIONE TOTALE DI OGNI REGIONE (CON FILTRO)]]</f>
        <v>6.0256545434176625E-4</v>
      </c>
      <c r="H7738" t="str">
        <f>IF(Comuni__2[[#This Row],[Popolazione2011]]&gt;300000,"MAGGIORE","")</f>
        <v/>
      </c>
    </row>
    <row r="7739" spans="1:8" x14ac:dyDescent="0.2">
      <c r="A7739"/>
      <c r="B7739"/>
      <c r="C7739"/>
      <c r="D7739"/>
      <c r="E7739" s="2">
        <f>Comuni__2[[#This Row],[Popolazione2011]]/$D$7911</f>
        <v>4.8684789580990566E-5</v>
      </c>
      <c r="F7739">
        <f>SUMIFS($D$2:$D$7909, $B$2:$B$7909, "Veneto")</f>
        <v>4855904</v>
      </c>
      <c r="G7739" s="1">
        <f>Comuni__2[[#This Row],[Popolazione2011]]/Comuni__2[[#This Row],[POPOLAZIONE TOTALE DI OGNI REGIONE (CON FILTRO)]]</f>
        <v>5.9576960335294932E-4</v>
      </c>
      <c r="H7739" t="str">
        <f>IF(Comuni__2[[#This Row],[Popolazione2011]]&gt;300000,"MAGGIORE","")</f>
        <v/>
      </c>
    </row>
    <row r="7740" spans="1:8" x14ac:dyDescent="0.2">
      <c r="A7740"/>
      <c r="B7740"/>
      <c r="C7740"/>
      <c r="D7740"/>
      <c r="E7740" s="2">
        <f>Comuni__2[[#This Row],[Popolazione2011]]/$D$7911</f>
        <v>4.8583818707334863E-5</v>
      </c>
      <c r="F7740">
        <f>SUMIFS($D$2:$D$7909, $B$2:$B$7909, "Veneto")</f>
        <v>4855904</v>
      </c>
      <c r="G7740" s="1">
        <f>Comuni__2[[#This Row],[Popolazione2011]]/Comuni__2[[#This Row],[POPOLAZIONE TOTALE DI OGNI REGIONE (CON FILTRO)]]</f>
        <v>5.9453399408225538E-4</v>
      </c>
      <c r="H7740" t="str">
        <f>IF(Comuni__2[[#This Row],[Popolazione2011]]&gt;300000,"MAGGIORE","")</f>
        <v/>
      </c>
    </row>
    <row r="7741" spans="1:8" x14ac:dyDescent="0.2">
      <c r="A7741"/>
      <c r="B7741"/>
      <c r="C7741"/>
      <c r="D7741"/>
      <c r="E7741" s="2">
        <f>Comuni__2[[#This Row],[Popolazione2011]]/$D$7911</f>
        <v>4.8078964339056358E-5</v>
      </c>
      <c r="F7741">
        <f>SUMIFS($D$2:$D$7909, $B$2:$B$7909, "Veneto")</f>
        <v>4855904</v>
      </c>
      <c r="G7741" s="1">
        <f>Comuni__2[[#This Row],[Popolazione2011]]/Comuni__2[[#This Row],[POPOLAZIONE TOTALE DI OGNI REGIONE (CON FILTRO)]]</f>
        <v>5.8835594772878546E-4</v>
      </c>
      <c r="H7741" t="str">
        <f>IF(Comuni__2[[#This Row],[Popolazione2011]]&gt;300000,"MAGGIORE","")</f>
        <v/>
      </c>
    </row>
    <row r="7742" spans="1:8" x14ac:dyDescent="0.2">
      <c r="A7742"/>
      <c r="B7742"/>
      <c r="C7742"/>
      <c r="D7742"/>
      <c r="E7742" s="2">
        <f>Comuni__2[[#This Row],[Popolazione2011]]/$D$7911</f>
        <v>4.8011650423285887E-5</v>
      </c>
      <c r="F7742">
        <f>SUMIFS($D$2:$D$7909, $B$2:$B$7909, "Veneto")</f>
        <v>4855904</v>
      </c>
      <c r="G7742" s="1">
        <f>Comuni__2[[#This Row],[Popolazione2011]]/Comuni__2[[#This Row],[POPOLAZIONE TOTALE DI OGNI REGIONE (CON FILTRO)]]</f>
        <v>5.875322082149894E-4</v>
      </c>
      <c r="H7742" t="str">
        <f>IF(Comuni__2[[#This Row],[Popolazione2011]]&gt;300000,"MAGGIORE","")</f>
        <v/>
      </c>
    </row>
    <row r="7743" spans="1:8" x14ac:dyDescent="0.2">
      <c r="A7743"/>
      <c r="B7743"/>
      <c r="C7743"/>
      <c r="D7743"/>
      <c r="E7743" s="2">
        <f>Comuni__2[[#This Row],[Popolazione2011]]/$D$7911</f>
        <v>4.7641423886548319E-5</v>
      </c>
      <c r="F7743">
        <f>SUMIFS($D$2:$D$7909, $B$2:$B$7909, "Veneto")</f>
        <v>4855904</v>
      </c>
      <c r="G7743" s="1">
        <f>Comuni__2[[#This Row],[Popolazione2011]]/Comuni__2[[#This Row],[POPOLAZIONE TOTALE DI OGNI REGIONE (CON FILTRO)]]</f>
        <v>5.8300164088911151E-4</v>
      </c>
      <c r="H7743" t="str">
        <f>IF(Comuni__2[[#This Row],[Popolazione2011]]&gt;300000,"MAGGIORE","")</f>
        <v/>
      </c>
    </row>
    <row r="7744" spans="1:8" x14ac:dyDescent="0.2">
      <c r="A7744"/>
      <c r="B7744"/>
      <c r="C7744"/>
      <c r="D7744"/>
      <c r="E7744" s="2">
        <f>Comuni__2[[#This Row],[Popolazione2011]]/$D$7911</f>
        <v>4.7304854307695983E-5</v>
      </c>
      <c r="F7744">
        <f>SUMIFS($D$2:$D$7909, $B$2:$B$7909, "Veneto")</f>
        <v>4855904</v>
      </c>
      <c r="G7744" s="1">
        <f>Comuni__2[[#This Row],[Popolazione2011]]/Comuni__2[[#This Row],[POPOLAZIONE TOTALE DI OGNI REGIONE (CON FILTRO)]]</f>
        <v>5.788829433201315E-4</v>
      </c>
      <c r="H7744" t="str">
        <f>IF(Comuni__2[[#This Row],[Popolazione2011]]&gt;300000,"MAGGIORE","")</f>
        <v/>
      </c>
    </row>
    <row r="7745" spans="1:8" x14ac:dyDescent="0.2">
      <c r="A7745"/>
      <c r="B7745"/>
      <c r="C7745"/>
      <c r="D7745"/>
      <c r="E7745" s="2">
        <f>Comuni__2[[#This Row],[Popolazione2011]]/$D$7911</f>
        <v>4.7153397997212431E-5</v>
      </c>
      <c r="F7745">
        <f>SUMIFS($D$2:$D$7909, $B$2:$B$7909, "Veneto")</f>
        <v>4855904</v>
      </c>
      <c r="G7745" s="1">
        <f>Comuni__2[[#This Row],[Popolazione2011]]/Comuni__2[[#This Row],[POPOLAZIONE TOTALE DI OGNI REGIONE (CON FILTRO)]]</f>
        <v>5.7702952941409054E-4</v>
      </c>
      <c r="H7745" t="str">
        <f>IF(Comuni__2[[#This Row],[Popolazione2011]]&gt;300000,"MAGGIORE","")</f>
        <v/>
      </c>
    </row>
    <row r="7746" spans="1:8" x14ac:dyDescent="0.2">
      <c r="A7746"/>
      <c r="B7746"/>
      <c r="C7746"/>
      <c r="D7746"/>
      <c r="E7746" s="2">
        <f>Comuni__2[[#This Row],[Popolazione2011]]/$D$7911</f>
        <v>4.7153397997212431E-5</v>
      </c>
      <c r="F7746">
        <f>SUMIFS($D$2:$D$7909, $B$2:$B$7909, "Veneto")</f>
        <v>4855904</v>
      </c>
      <c r="G7746" s="1">
        <f>Comuni__2[[#This Row],[Popolazione2011]]/Comuni__2[[#This Row],[POPOLAZIONE TOTALE DI OGNI REGIONE (CON FILTRO)]]</f>
        <v>5.7702952941409054E-4</v>
      </c>
      <c r="H7746" t="str">
        <f>IF(Comuni__2[[#This Row],[Popolazione2011]]&gt;300000,"MAGGIORE","")</f>
        <v/>
      </c>
    </row>
    <row r="7747" spans="1:8" x14ac:dyDescent="0.2">
      <c r="A7747"/>
      <c r="B7747"/>
      <c r="C7747"/>
      <c r="D7747"/>
      <c r="E7747" s="2">
        <f>Comuni__2[[#This Row],[Popolazione2011]]/$D$7911</f>
        <v>4.7001941686728879E-5</v>
      </c>
      <c r="F7747">
        <f>SUMIFS($D$2:$D$7909, $B$2:$B$7909, "Veneto")</f>
        <v>4855904</v>
      </c>
      <c r="G7747" s="1">
        <f>Comuni__2[[#This Row],[Popolazione2011]]/Comuni__2[[#This Row],[POPOLAZIONE TOTALE DI OGNI REGIONE (CON FILTRO)]]</f>
        <v>5.7517611550804957E-4</v>
      </c>
      <c r="H7747" t="str">
        <f>IF(Comuni__2[[#This Row],[Popolazione2011]]&gt;300000,"MAGGIORE","")</f>
        <v/>
      </c>
    </row>
    <row r="7748" spans="1:8" x14ac:dyDescent="0.2">
      <c r="A7748"/>
      <c r="B7748"/>
      <c r="C7748"/>
      <c r="D7748"/>
      <c r="E7748" s="2">
        <f>Comuni__2[[#This Row],[Popolazione2011]]/$D$7911</f>
        <v>4.6867313855187943E-5</v>
      </c>
      <c r="F7748">
        <f>SUMIFS($D$2:$D$7909, $B$2:$B$7909, "Veneto")</f>
        <v>4855904</v>
      </c>
      <c r="G7748" s="1">
        <f>Comuni__2[[#This Row],[Popolazione2011]]/Comuni__2[[#This Row],[POPOLAZIONE TOTALE DI OGNI REGIONE (CON FILTRO)]]</f>
        <v>5.7352863648045766E-4</v>
      </c>
      <c r="H7748" t="str">
        <f>IF(Comuni__2[[#This Row],[Popolazione2011]]&gt;300000,"MAGGIORE","")</f>
        <v/>
      </c>
    </row>
    <row r="7749" spans="1:8" x14ac:dyDescent="0.2">
      <c r="A7749"/>
      <c r="B7749"/>
      <c r="C7749"/>
      <c r="D7749"/>
      <c r="E7749" s="2">
        <f>Comuni__2[[#This Row],[Popolazione2011]]/$D$7911</f>
        <v>4.6816828418360095E-5</v>
      </c>
      <c r="F7749">
        <f>SUMIFS($D$2:$D$7909, $B$2:$B$7909, "Veneto")</f>
        <v>4855904</v>
      </c>
      <c r="G7749" s="1">
        <f>Comuni__2[[#This Row],[Popolazione2011]]/Comuni__2[[#This Row],[POPOLAZIONE TOTALE DI OGNI REGIONE (CON FILTRO)]]</f>
        <v>5.7291083184511063E-4</v>
      </c>
      <c r="H7749" t="str">
        <f>IF(Comuni__2[[#This Row],[Popolazione2011]]&gt;300000,"MAGGIORE","")</f>
        <v/>
      </c>
    </row>
    <row r="7750" spans="1:8" x14ac:dyDescent="0.2">
      <c r="A7750"/>
      <c r="B7750"/>
      <c r="C7750"/>
      <c r="D7750"/>
      <c r="E7750" s="2">
        <f>Comuni__2[[#This Row],[Popolazione2011]]/$D$7911</f>
        <v>4.6110032302770184E-5</v>
      </c>
      <c r="F7750">
        <f>SUMIFS($D$2:$D$7909, $B$2:$B$7909, "Veneto")</f>
        <v>4855904</v>
      </c>
      <c r="G7750" s="1">
        <f>Comuni__2[[#This Row],[Popolazione2011]]/Comuni__2[[#This Row],[POPOLAZIONE TOTALE DI OGNI REGIONE (CON FILTRO)]]</f>
        <v>5.6426156695025273E-4</v>
      </c>
      <c r="H7750" t="str">
        <f>IF(Comuni__2[[#This Row],[Popolazione2011]]&gt;300000,"MAGGIORE","")</f>
        <v/>
      </c>
    </row>
    <row r="7751" spans="1:8" x14ac:dyDescent="0.2">
      <c r="A7751"/>
      <c r="B7751"/>
      <c r="C7751"/>
      <c r="D7751"/>
      <c r="E7751" s="2">
        <f>Comuni__2[[#This Row],[Popolazione2011]]/$D$7911</f>
        <v>4.5958575992286632E-5</v>
      </c>
      <c r="F7751">
        <f>SUMIFS($D$2:$D$7909, $B$2:$B$7909, "Veneto")</f>
        <v>4855904</v>
      </c>
      <c r="G7751" s="1">
        <f>Comuni__2[[#This Row],[Popolazione2011]]/Comuni__2[[#This Row],[POPOLAZIONE TOTALE DI OGNI REGIONE (CON FILTRO)]]</f>
        <v>5.6240815304421177E-4</v>
      </c>
      <c r="H7751" t="str">
        <f>IF(Comuni__2[[#This Row],[Popolazione2011]]&gt;300000,"MAGGIORE","")</f>
        <v/>
      </c>
    </row>
    <row r="7752" spans="1:8" x14ac:dyDescent="0.2">
      <c r="A7752"/>
      <c r="B7752"/>
      <c r="C7752"/>
      <c r="D7752"/>
      <c r="E7752" s="2">
        <f>Comuni__2[[#This Row],[Popolazione2011]]/$D$7911</f>
        <v>4.5857605118630935E-5</v>
      </c>
      <c r="F7752">
        <f>SUMIFS($D$2:$D$7909, $B$2:$B$7909, "Veneto")</f>
        <v>4855904</v>
      </c>
      <c r="G7752" s="1">
        <f>Comuni__2[[#This Row],[Popolazione2011]]/Comuni__2[[#This Row],[POPOLAZIONE TOTALE DI OGNI REGIONE (CON FILTRO)]]</f>
        <v>5.6117254377351772E-4</v>
      </c>
      <c r="H7752" t="str">
        <f>IF(Comuni__2[[#This Row],[Popolazione2011]]&gt;300000,"MAGGIORE","")</f>
        <v/>
      </c>
    </row>
    <row r="7753" spans="1:8" x14ac:dyDescent="0.2">
      <c r="A7753"/>
      <c r="B7753"/>
      <c r="C7753"/>
      <c r="D7753"/>
      <c r="E7753" s="2">
        <f>Comuni__2[[#This Row],[Popolazione2011]]/$D$7911</f>
        <v>4.5622006413434296E-5</v>
      </c>
      <c r="F7753">
        <f>SUMIFS($D$2:$D$7909, $B$2:$B$7909, "Veneto")</f>
        <v>4855904</v>
      </c>
      <c r="G7753" s="1">
        <f>Comuni__2[[#This Row],[Popolazione2011]]/Comuni__2[[#This Row],[POPOLAZIONE TOTALE DI OGNI REGIONE (CON FILTRO)]]</f>
        <v>5.5828945547523176E-4</v>
      </c>
      <c r="H7753" t="str">
        <f>IF(Comuni__2[[#This Row],[Popolazione2011]]&gt;300000,"MAGGIORE","")</f>
        <v/>
      </c>
    </row>
    <row r="7754" spans="1:8" x14ac:dyDescent="0.2">
      <c r="A7754"/>
      <c r="B7754"/>
      <c r="C7754"/>
      <c r="D7754"/>
      <c r="E7754" s="2">
        <f>Comuni__2[[#This Row],[Popolazione2011]]/$D$7911</f>
        <v>4.5150809003041024E-5</v>
      </c>
      <c r="F7754">
        <f>SUMIFS($D$2:$D$7909, $B$2:$B$7909, "Veneto")</f>
        <v>4855904</v>
      </c>
      <c r="G7754" s="1">
        <f>Comuni__2[[#This Row],[Popolazione2011]]/Comuni__2[[#This Row],[POPOLAZIONE TOTALE DI OGNI REGIONE (CON FILTRO)]]</f>
        <v>5.5252327887865983E-4</v>
      </c>
      <c r="H7754" t="str">
        <f>IF(Comuni__2[[#This Row],[Popolazione2011]]&gt;300000,"MAGGIORE","")</f>
        <v/>
      </c>
    </row>
    <row r="7755" spans="1:8" x14ac:dyDescent="0.2">
      <c r="A7755"/>
      <c r="B7755"/>
      <c r="C7755"/>
      <c r="D7755"/>
      <c r="E7755" s="2">
        <f>Comuni__2[[#This Row],[Popolazione2011]]/$D$7911</f>
        <v>4.4814239424188688E-5</v>
      </c>
      <c r="F7755">
        <f>SUMIFS($D$2:$D$7909, $B$2:$B$7909, "Veneto")</f>
        <v>4855904</v>
      </c>
      <c r="G7755" s="1">
        <f>Comuni__2[[#This Row],[Popolazione2011]]/Comuni__2[[#This Row],[POPOLAZIONE TOTALE DI OGNI REGIONE (CON FILTRO)]]</f>
        <v>5.4840458130967992E-4</v>
      </c>
      <c r="H7755" t="str">
        <f>IF(Comuni__2[[#This Row],[Popolazione2011]]&gt;300000,"MAGGIORE","")</f>
        <v/>
      </c>
    </row>
    <row r="7756" spans="1:8" x14ac:dyDescent="0.2">
      <c r="A7756"/>
      <c r="B7756"/>
      <c r="C7756"/>
      <c r="D7756"/>
      <c r="E7756" s="2">
        <f>Comuni__2[[#This Row],[Popolazione2011]]/$D$7911</f>
        <v>4.4780582466303456E-5</v>
      </c>
      <c r="F7756">
        <f>SUMIFS($D$2:$D$7909, $B$2:$B$7909, "Veneto")</f>
        <v>4855904</v>
      </c>
      <c r="G7756" s="1">
        <f>Comuni__2[[#This Row],[Popolazione2011]]/Comuni__2[[#This Row],[POPOLAZIONE TOTALE DI OGNI REGIONE (CON FILTRO)]]</f>
        <v>5.4799271155278194E-4</v>
      </c>
      <c r="H7756" t="str">
        <f>IF(Comuni__2[[#This Row],[Popolazione2011]]&gt;300000,"MAGGIORE","")</f>
        <v/>
      </c>
    </row>
    <row r="7757" spans="1:8" x14ac:dyDescent="0.2">
      <c r="A7757"/>
      <c r="B7757"/>
      <c r="C7757"/>
      <c r="D7757"/>
      <c r="E7757" s="2">
        <f>Comuni__2[[#This Row],[Popolazione2011]]/$D$7911</f>
        <v>4.4191585703311864E-5</v>
      </c>
      <c r="F7757">
        <f>SUMIFS($D$2:$D$7909, $B$2:$B$7909, "Veneto")</f>
        <v>4855904</v>
      </c>
      <c r="G7757" s="1">
        <f>Comuni__2[[#This Row],[Popolazione2011]]/Comuni__2[[#This Row],[POPOLAZIONE TOTALE DI OGNI REGIONE (CON FILTRO)]]</f>
        <v>5.4078499080706703E-4</v>
      </c>
      <c r="H7757" t="str">
        <f>IF(Comuni__2[[#This Row],[Popolazione2011]]&gt;300000,"MAGGIORE","")</f>
        <v/>
      </c>
    </row>
    <row r="7758" spans="1:8" x14ac:dyDescent="0.2">
      <c r="A7758"/>
      <c r="B7758"/>
      <c r="C7758"/>
      <c r="D7758"/>
      <c r="E7758" s="2">
        <f>Comuni__2[[#This Row],[Popolazione2011]]/$D$7911</f>
        <v>4.4191585703311864E-5</v>
      </c>
      <c r="F7758">
        <f>SUMIFS($D$2:$D$7909, $B$2:$B$7909, "Veneto")</f>
        <v>4855904</v>
      </c>
      <c r="G7758" s="1">
        <f>Comuni__2[[#This Row],[Popolazione2011]]/Comuni__2[[#This Row],[POPOLAZIONE TOTALE DI OGNI REGIONE (CON FILTRO)]]</f>
        <v>5.4078499080706703E-4</v>
      </c>
      <c r="H7758" t="str">
        <f>IF(Comuni__2[[#This Row],[Popolazione2011]]&gt;300000,"MAGGIORE","")</f>
        <v/>
      </c>
    </row>
    <row r="7759" spans="1:8" x14ac:dyDescent="0.2">
      <c r="A7759"/>
      <c r="B7759"/>
      <c r="C7759"/>
      <c r="D7759"/>
      <c r="E7759" s="2">
        <f>Comuni__2[[#This Row],[Popolazione2011]]/$D$7911</f>
        <v>4.4174757224369248E-5</v>
      </c>
      <c r="F7759">
        <f>SUMIFS($D$2:$D$7909, $B$2:$B$7909, "Veneto")</f>
        <v>4855904</v>
      </c>
      <c r="G7759" s="1">
        <f>Comuni__2[[#This Row],[Popolazione2011]]/Comuni__2[[#This Row],[POPOLAZIONE TOTALE DI OGNI REGIONE (CON FILTRO)]]</f>
        <v>5.4057905592861798E-4</v>
      </c>
      <c r="H7759" t="str">
        <f>IF(Comuni__2[[#This Row],[Popolazione2011]]&gt;300000,"MAGGIORE","")</f>
        <v/>
      </c>
    </row>
    <row r="7760" spans="1:8" x14ac:dyDescent="0.2">
      <c r="A7760"/>
      <c r="B7760"/>
      <c r="C7760"/>
      <c r="D7760"/>
      <c r="E7760" s="2">
        <f>Comuni__2[[#This Row],[Popolazione2011]]/$D$7911</f>
        <v>4.4056957871770928E-5</v>
      </c>
      <c r="F7760">
        <f>SUMIFS($D$2:$D$7909, $B$2:$B$7909, "Veneto")</f>
        <v>4855904</v>
      </c>
      <c r="G7760" s="1">
        <f>Comuni__2[[#This Row],[Popolazione2011]]/Comuni__2[[#This Row],[POPOLAZIONE TOTALE DI OGNI REGIONE (CON FILTRO)]]</f>
        <v>5.39137511779475E-4</v>
      </c>
      <c r="H7760" t="str">
        <f>IF(Comuni__2[[#This Row],[Popolazione2011]]&gt;300000,"MAGGIORE","")</f>
        <v/>
      </c>
    </row>
    <row r="7761" spans="1:8" x14ac:dyDescent="0.2">
      <c r="A7761"/>
      <c r="B7761"/>
      <c r="C7761"/>
      <c r="D7761"/>
      <c r="E7761" s="2">
        <f>Comuni__2[[#This Row],[Popolazione2011]]/$D$7911</f>
        <v>4.3939158519172609E-5</v>
      </c>
      <c r="F7761">
        <f>SUMIFS($D$2:$D$7909, $B$2:$B$7909, "Veneto")</f>
        <v>4855904</v>
      </c>
      <c r="G7761" s="1">
        <f>Comuni__2[[#This Row],[Popolazione2011]]/Comuni__2[[#This Row],[POPOLAZIONE TOTALE DI OGNI REGIONE (CON FILTRO)]]</f>
        <v>5.3769596763033202E-4</v>
      </c>
      <c r="H7761" t="str">
        <f>IF(Comuni__2[[#This Row],[Popolazione2011]]&gt;300000,"MAGGIORE","")</f>
        <v/>
      </c>
    </row>
    <row r="7762" spans="1:8" x14ac:dyDescent="0.2">
      <c r="A7762"/>
      <c r="B7762"/>
      <c r="C7762"/>
      <c r="D7762"/>
      <c r="E7762" s="2">
        <f>Comuni__2[[#This Row],[Popolazione2011]]/$D$7911</f>
        <v>4.3905501561287376E-5</v>
      </c>
      <c r="F7762">
        <f>SUMIFS($D$2:$D$7909, $B$2:$B$7909, "Veneto")</f>
        <v>4855904</v>
      </c>
      <c r="G7762" s="1">
        <f>Comuni__2[[#This Row],[Popolazione2011]]/Comuni__2[[#This Row],[POPOLAZIONE TOTALE DI OGNI REGIONE (CON FILTRO)]]</f>
        <v>5.3728409787343404E-4</v>
      </c>
      <c r="H7762" t="str">
        <f>IF(Comuni__2[[#This Row],[Popolazione2011]]&gt;300000,"MAGGIORE","")</f>
        <v/>
      </c>
    </row>
    <row r="7763" spans="1:8" x14ac:dyDescent="0.2">
      <c r="A7763"/>
      <c r="B7763"/>
      <c r="C7763"/>
      <c r="D7763"/>
      <c r="E7763" s="2">
        <f>Comuni__2[[#This Row],[Popolazione2011]]/$D$7911</f>
        <v>4.3871844603402144E-5</v>
      </c>
      <c r="F7763">
        <f>SUMIFS($D$2:$D$7909, $B$2:$B$7909, "Veneto")</f>
        <v>4855904</v>
      </c>
      <c r="G7763" s="1">
        <f>Comuni__2[[#This Row],[Popolazione2011]]/Comuni__2[[#This Row],[POPOLAZIONE TOTALE DI OGNI REGIONE (CON FILTRO)]]</f>
        <v>5.3687222811653606E-4</v>
      </c>
      <c r="H7763" t="str">
        <f>IF(Comuni__2[[#This Row],[Popolazione2011]]&gt;300000,"MAGGIORE","")</f>
        <v/>
      </c>
    </row>
    <row r="7764" spans="1:8" x14ac:dyDescent="0.2">
      <c r="A7764"/>
      <c r="B7764"/>
      <c r="C7764"/>
      <c r="D7764"/>
      <c r="E7764" s="2">
        <f>Comuni__2[[#This Row],[Popolazione2011]]/$D$7911</f>
        <v>4.3754045250803824E-5</v>
      </c>
      <c r="F7764">
        <f>SUMIFS($D$2:$D$7909, $B$2:$B$7909, "Veneto")</f>
        <v>4855904</v>
      </c>
      <c r="G7764" s="1">
        <f>Comuni__2[[#This Row],[Popolazione2011]]/Comuni__2[[#This Row],[POPOLAZIONE TOTALE DI OGNI REGIONE (CON FILTRO)]]</f>
        <v>5.3543068396739307E-4</v>
      </c>
      <c r="H7764" t="str">
        <f>IF(Comuni__2[[#This Row],[Popolazione2011]]&gt;300000,"MAGGIORE","")</f>
        <v/>
      </c>
    </row>
    <row r="7765" spans="1:8" x14ac:dyDescent="0.2">
      <c r="A7765"/>
      <c r="B7765"/>
      <c r="C7765"/>
      <c r="D7765"/>
      <c r="E7765" s="2">
        <f>Comuni__2[[#This Row],[Popolazione2011]]/$D$7911</f>
        <v>4.3754045250803824E-5</v>
      </c>
      <c r="F7765">
        <f>SUMIFS($D$2:$D$7909, $B$2:$B$7909, "Veneto")</f>
        <v>4855904</v>
      </c>
      <c r="G7765" s="1">
        <f>Comuni__2[[#This Row],[Popolazione2011]]/Comuni__2[[#This Row],[POPOLAZIONE TOTALE DI OGNI REGIONE (CON FILTRO)]]</f>
        <v>5.3543068396739307E-4</v>
      </c>
      <c r="H7765" t="str">
        <f>IF(Comuni__2[[#This Row],[Popolazione2011]]&gt;300000,"MAGGIORE","")</f>
        <v/>
      </c>
    </row>
    <row r="7766" spans="1:8" x14ac:dyDescent="0.2">
      <c r="A7766"/>
      <c r="B7766"/>
      <c r="C7766"/>
      <c r="D7766"/>
      <c r="E7766" s="2">
        <f>Comuni__2[[#This Row],[Popolazione2011]]/$D$7911</f>
        <v>4.3333333277238401E-5</v>
      </c>
      <c r="F7766">
        <f>SUMIFS($D$2:$D$7909, $B$2:$B$7909, "Veneto")</f>
        <v>4855904</v>
      </c>
      <c r="G7766" s="1">
        <f>Comuni__2[[#This Row],[Popolazione2011]]/Comuni__2[[#This Row],[POPOLAZIONE TOTALE DI OGNI REGIONE (CON FILTRO)]]</f>
        <v>5.3028231200616816E-4</v>
      </c>
      <c r="H7766" t="str">
        <f>IF(Comuni__2[[#This Row],[Popolazione2011]]&gt;300000,"MAGGIORE","")</f>
        <v/>
      </c>
    </row>
    <row r="7767" spans="1:8" x14ac:dyDescent="0.2">
      <c r="A7767"/>
      <c r="B7767"/>
      <c r="C7767"/>
      <c r="D7767"/>
      <c r="E7767" s="2">
        <f>Comuni__2[[#This Row],[Popolazione2011]]/$D$7911</f>
        <v>4.3299676319353169E-5</v>
      </c>
      <c r="F7767">
        <f>SUMIFS($D$2:$D$7909, $B$2:$B$7909, "Veneto")</f>
        <v>4855904</v>
      </c>
      <c r="G7767" s="1">
        <f>Comuni__2[[#This Row],[Popolazione2011]]/Comuni__2[[#This Row],[POPOLAZIONE TOTALE DI OGNI REGIONE (CON FILTRO)]]</f>
        <v>5.2987044224927018E-4</v>
      </c>
      <c r="H7767" t="str">
        <f>IF(Comuni__2[[#This Row],[Popolazione2011]]&gt;300000,"MAGGIORE","")</f>
        <v/>
      </c>
    </row>
    <row r="7768" spans="1:8" x14ac:dyDescent="0.2">
      <c r="A7768"/>
      <c r="B7768"/>
      <c r="C7768"/>
      <c r="D7768"/>
      <c r="E7768" s="2">
        <f>Comuni__2[[#This Row],[Popolazione2011]]/$D$7911</f>
        <v>4.3148220008869617E-5</v>
      </c>
      <c r="F7768">
        <f>SUMIFS($D$2:$D$7909, $B$2:$B$7909, "Veneto")</f>
        <v>4855904</v>
      </c>
      <c r="G7768" s="1">
        <f>Comuni__2[[#This Row],[Popolazione2011]]/Comuni__2[[#This Row],[POPOLAZIONE TOTALE DI OGNI REGIONE (CON FILTRO)]]</f>
        <v>5.2801702834322922E-4</v>
      </c>
      <c r="H7768" t="str">
        <f>IF(Comuni__2[[#This Row],[Popolazione2011]]&gt;300000,"MAGGIORE","")</f>
        <v/>
      </c>
    </row>
    <row r="7769" spans="1:8" x14ac:dyDescent="0.2">
      <c r="A7769"/>
      <c r="B7769"/>
      <c r="C7769"/>
      <c r="D7769"/>
      <c r="E7769" s="2">
        <f>Comuni__2[[#This Row],[Popolazione2011]]/$D$7911</f>
        <v>4.3148220008869617E-5</v>
      </c>
      <c r="F7769">
        <f>SUMIFS($D$2:$D$7909, $B$2:$B$7909, "Veneto")</f>
        <v>4855904</v>
      </c>
      <c r="G7769" s="1">
        <f>Comuni__2[[#This Row],[Popolazione2011]]/Comuni__2[[#This Row],[POPOLAZIONE TOTALE DI OGNI REGIONE (CON FILTRO)]]</f>
        <v>5.2801702834322922E-4</v>
      </c>
      <c r="H7769" t="str">
        <f>IF(Comuni__2[[#This Row],[Popolazione2011]]&gt;300000,"MAGGIORE","")</f>
        <v/>
      </c>
    </row>
    <row r="7770" spans="1:8" x14ac:dyDescent="0.2">
      <c r="A7770"/>
      <c r="B7770"/>
      <c r="C7770"/>
      <c r="D7770"/>
      <c r="E7770" s="2">
        <f>Comuni__2[[#This Row],[Popolazione2011]]/$D$7911</f>
        <v>4.3030420656271297E-5</v>
      </c>
      <c r="F7770">
        <f>SUMIFS($D$2:$D$7909, $B$2:$B$7909, "Veneto")</f>
        <v>4855904</v>
      </c>
      <c r="G7770" s="1">
        <f>Comuni__2[[#This Row],[Popolazione2011]]/Comuni__2[[#This Row],[POPOLAZIONE TOTALE DI OGNI REGIONE (CON FILTRO)]]</f>
        <v>5.2657548419408624E-4</v>
      </c>
      <c r="H7770" t="str">
        <f>IF(Comuni__2[[#This Row],[Popolazione2011]]&gt;300000,"MAGGIORE","")</f>
        <v/>
      </c>
    </row>
    <row r="7771" spans="1:8" x14ac:dyDescent="0.2">
      <c r="A7771"/>
      <c r="B7771"/>
      <c r="C7771"/>
      <c r="D7771"/>
      <c r="E7771" s="2">
        <f>Comuni__2[[#This Row],[Popolazione2011]]/$D$7911</f>
        <v>4.2306796061738777E-5</v>
      </c>
      <c r="F7771">
        <f>SUMIFS($D$2:$D$7909, $B$2:$B$7909, "Veneto")</f>
        <v>4855904</v>
      </c>
      <c r="G7771" s="1">
        <f>Comuni__2[[#This Row],[Popolazione2011]]/Comuni__2[[#This Row],[POPOLAZIONE TOTALE DI OGNI REGIONE (CON FILTRO)]]</f>
        <v>5.177202844207793E-4</v>
      </c>
      <c r="H7771" t="str">
        <f>IF(Comuni__2[[#This Row],[Popolazione2011]]&gt;300000,"MAGGIORE","")</f>
        <v/>
      </c>
    </row>
    <row r="7772" spans="1:8" x14ac:dyDescent="0.2">
      <c r="A7772"/>
      <c r="B7772"/>
      <c r="C7772"/>
      <c r="D7772"/>
      <c r="E7772" s="2">
        <f>Comuni__2[[#This Row],[Popolazione2011]]/$D$7911</f>
        <v>4.2003883440771673E-5</v>
      </c>
      <c r="F7772">
        <f>SUMIFS($D$2:$D$7909, $B$2:$B$7909, "Veneto")</f>
        <v>4855904</v>
      </c>
      <c r="G7772" s="1">
        <f>Comuni__2[[#This Row],[Popolazione2011]]/Comuni__2[[#This Row],[POPOLAZIONE TOTALE DI OGNI REGIONE (CON FILTRO)]]</f>
        <v>5.1401345660869737E-4</v>
      </c>
      <c r="H7772" t="str">
        <f>IF(Comuni__2[[#This Row],[Popolazione2011]]&gt;300000,"MAGGIORE","")</f>
        <v/>
      </c>
    </row>
    <row r="7773" spans="1:8" x14ac:dyDescent="0.2">
      <c r="A7773"/>
      <c r="B7773"/>
      <c r="C7773"/>
      <c r="D7773"/>
      <c r="E7773" s="2">
        <f>Comuni__2[[#This Row],[Popolazione2011]]/$D$7911</f>
        <v>4.1532686030378401E-5</v>
      </c>
      <c r="F7773">
        <f>SUMIFS($D$2:$D$7909, $B$2:$B$7909, "Veneto")</f>
        <v>4855904</v>
      </c>
      <c r="G7773" s="1">
        <f>Comuni__2[[#This Row],[Popolazione2011]]/Comuni__2[[#This Row],[POPOLAZIONE TOTALE DI OGNI REGIONE (CON FILTRO)]]</f>
        <v>5.0824728001212544E-4</v>
      </c>
      <c r="H7773" t="str">
        <f>IF(Comuni__2[[#This Row],[Popolazione2011]]&gt;300000,"MAGGIORE","")</f>
        <v/>
      </c>
    </row>
    <row r="7774" spans="1:8" x14ac:dyDescent="0.2">
      <c r="A7774"/>
      <c r="B7774"/>
      <c r="C7774"/>
      <c r="D7774"/>
      <c r="E7774" s="2">
        <f>Comuni__2[[#This Row],[Popolazione2011]]/$D$7911</f>
        <v>4.1482200593550553E-5</v>
      </c>
      <c r="F7774">
        <f>SUMIFS($D$2:$D$7909, $B$2:$B$7909, "Veneto")</f>
        <v>4855904</v>
      </c>
      <c r="G7774" s="1">
        <f>Comuni__2[[#This Row],[Popolazione2011]]/Comuni__2[[#This Row],[POPOLAZIONE TOTALE DI OGNI REGIONE (CON FILTRO)]]</f>
        <v>5.0762947537677842E-4</v>
      </c>
      <c r="H7774" t="str">
        <f>IF(Comuni__2[[#This Row],[Popolazione2011]]&gt;300000,"MAGGIORE","")</f>
        <v/>
      </c>
    </row>
    <row r="7775" spans="1:8" x14ac:dyDescent="0.2">
      <c r="A7775"/>
      <c r="B7775"/>
      <c r="C7775"/>
      <c r="D7775"/>
      <c r="E7775" s="2">
        <f>Comuni__2[[#This Row],[Popolazione2011]]/$D$7911</f>
        <v>4.1448543635665314E-5</v>
      </c>
      <c r="F7775">
        <f>SUMIFS($D$2:$D$7909, $B$2:$B$7909, "Veneto")</f>
        <v>4855904</v>
      </c>
      <c r="G7775" s="1">
        <f>Comuni__2[[#This Row],[Popolazione2011]]/Comuni__2[[#This Row],[POPOLAZIONE TOTALE DI OGNI REGIONE (CON FILTRO)]]</f>
        <v>5.0721760561988044E-4</v>
      </c>
      <c r="H7775" t="str">
        <f>IF(Comuni__2[[#This Row],[Popolazione2011]]&gt;300000,"MAGGIORE","")</f>
        <v/>
      </c>
    </row>
    <row r="7776" spans="1:8" x14ac:dyDescent="0.2">
      <c r="A7776"/>
      <c r="B7776"/>
      <c r="C7776"/>
      <c r="D7776"/>
      <c r="E7776" s="2">
        <f>Comuni__2[[#This Row],[Popolazione2011]]/$D$7911</f>
        <v>4.1212944930468681E-5</v>
      </c>
      <c r="F7776">
        <f>SUMIFS($D$2:$D$7909, $B$2:$B$7909, "Veneto")</f>
        <v>4855904</v>
      </c>
      <c r="G7776" s="1">
        <f>Comuni__2[[#This Row],[Popolazione2011]]/Comuni__2[[#This Row],[POPOLAZIONE TOTALE DI OGNI REGIONE (CON FILTRO)]]</f>
        <v>5.0433451732159447E-4</v>
      </c>
      <c r="H7776" t="str">
        <f>IF(Comuni__2[[#This Row],[Popolazione2011]]&gt;300000,"MAGGIORE","")</f>
        <v/>
      </c>
    </row>
    <row r="7777" spans="1:8" x14ac:dyDescent="0.2">
      <c r="A7777"/>
      <c r="B7777"/>
      <c r="C7777"/>
      <c r="D7777"/>
      <c r="E7777" s="2">
        <f>Comuni__2[[#This Row],[Popolazione2011]]/$D$7911</f>
        <v>4.0960517746329426E-5</v>
      </c>
      <c r="F7777">
        <f>SUMIFS($D$2:$D$7909, $B$2:$B$7909, "Veneto")</f>
        <v>4855904</v>
      </c>
      <c r="G7777" s="1">
        <f>Comuni__2[[#This Row],[Popolazione2011]]/Comuni__2[[#This Row],[POPOLAZIONE TOTALE DI OGNI REGIONE (CON FILTRO)]]</f>
        <v>5.0124549414485957E-4</v>
      </c>
      <c r="H7777" t="str">
        <f>IF(Comuni__2[[#This Row],[Popolazione2011]]&gt;300000,"MAGGIORE","")</f>
        <v/>
      </c>
    </row>
    <row r="7778" spans="1:8" x14ac:dyDescent="0.2">
      <c r="A7778"/>
      <c r="B7778"/>
      <c r="C7778"/>
      <c r="D7778"/>
      <c r="E7778" s="2">
        <f>Comuni__2[[#This Row],[Popolazione2011]]/$D$7911</f>
        <v>4.0893203830558961E-5</v>
      </c>
      <c r="F7778">
        <f>SUMIFS($D$2:$D$7909, $B$2:$B$7909, "Veneto")</f>
        <v>4855904</v>
      </c>
      <c r="G7778" s="1">
        <f>Comuni__2[[#This Row],[Popolazione2011]]/Comuni__2[[#This Row],[POPOLAZIONE TOTALE DI OGNI REGIONE (CON FILTRO)]]</f>
        <v>5.004217546310635E-4</v>
      </c>
      <c r="H7778" t="str">
        <f>IF(Comuni__2[[#This Row],[Popolazione2011]]&gt;300000,"MAGGIORE","")</f>
        <v/>
      </c>
    </row>
    <row r="7779" spans="1:8" x14ac:dyDescent="0.2">
      <c r="A7779"/>
      <c r="B7779"/>
      <c r="C7779"/>
      <c r="D7779"/>
      <c r="E7779" s="2">
        <f>Comuni__2[[#This Row],[Popolazione2011]]/$D$7911</f>
        <v>4.0607119688534473E-5</v>
      </c>
      <c r="F7779">
        <f>SUMIFS($D$2:$D$7909, $B$2:$B$7909, "Veneto")</f>
        <v>4855904</v>
      </c>
      <c r="G7779" s="1">
        <f>Comuni__2[[#This Row],[Popolazione2011]]/Comuni__2[[#This Row],[POPOLAZIONE TOTALE DI OGNI REGIONE (CON FILTRO)]]</f>
        <v>4.9692086169743062E-4</v>
      </c>
      <c r="H7779" t="str">
        <f>IF(Comuni__2[[#This Row],[Popolazione2011]]&gt;300000,"MAGGIORE","")</f>
        <v/>
      </c>
    </row>
    <row r="7780" spans="1:8" x14ac:dyDescent="0.2">
      <c r="A7780"/>
      <c r="B7780"/>
      <c r="C7780"/>
      <c r="D7780"/>
      <c r="E7780" s="2">
        <f>Comuni__2[[#This Row],[Popolazione2011]]/$D$7911</f>
        <v>4.0388349462280457E-5</v>
      </c>
      <c r="F7780">
        <f>SUMIFS($D$2:$D$7909, $B$2:$B$7909, "Veneto")</f>
        <v>4855904</v>
      </c>
      <c r="G7780" s="1">
        <f>Comuni__2[[#This Row],[Popolazione2011]]/Comuni__2[[#This Row],[POPOLAZIONE TOTALE DI OGNI REGIONE (CON FILTRO)]]</f>
        <v>4.9424370827759359E-4</v>
      </c>
      <c r="H7780" t="str">
        <f>IF(Comuni__2[[#This Row],[Popolazione2011]]&gt;300000,"MAGGIORE","")</f>
        <v/>
      </c>
    </row>
    <row r="7781" spans="1:8" x14ac:dyDescent="0.2">
      <c r="A7781"/>
      <c r="B7781"/>
      <c r="C7781"/>
      <c r="D7781"/>
      <c r="E7781" s="2">
        <f>Comuni__2[[#This Row],[Popolazione2011]]/$D$7911</f>
        <v>3.9395469204666058E-5</v>
      </c>
      <c r="F7781">
        <f>SUMIFS($D$2:$D$7909, $B$2:$B$7909, "Veneto")</f>
        <v>4855904</v>
      </c>
      <c r="G7781" s="1">
        <f>Comuni__2[[#This Row],[Popolazione2011]]/Comuni__2[[#This Row],[POPOLAZIONE TOTALE DI OGNI REGIONE (CON FILTRO)]]</f>
        <v>4.8209355044910281E-4</v>
      </c>
      <c r="H7781" t="str">
        <f>IF(Comuni__2[[#This Row],[Popolazione2011]]&gt;300000,"MAGGIORE","")</f>
        <v/>
      </c>
    </row>
    <row r="7782" spans="1:8" x14ac:dyDescent="0.2">
      <c r="A7782"/>
      <c r="B7782"/>
      <c r="C7782"/>
      <c r="D7782"/>
      <c r="E7782" s="2">
        <f>Comuni__2[[#This Row],[Popolazione2011]]/$D$7911</f>
        <v>3.9126213541584187E-5</v>
      </c>
      <c r="F7782">
        <f>SUMIFS($D$2:$D$7909, $B$2:$B$7909, "Veneto")</f>
        <v>4855904</v>
      </c>
      <c r="G7782" s="1">
        <f>Comuni__2[[#This Row],[Popolazione2011]]/Comuni__2[[#This Row],[POPOLAZIONE TOTALE DI OGNI REGIONE (CON FILTRO)]]</f>
        <v>4.7879859239391881E-4</v>
      </c>
      <c r="H7782" t="str">
        <f>IF(Comuni__2[[#This Row],[Popolazione2011]]&gt;300000,"MAGGIORE","")</f>
        <v/>
      </c>
    </row>
    <row r="7783" spans="1:8" x14ac:dyDescent="0.2">
      <c r="A7783"/>
      <c r="B7783"/>
      <c r="C7783"/>
      <c r="D7783"/>
      <c r="E7783" s="2">
        <f>Comuni__2[[#This Row],[Popolazione2011]]/$D$7911</f>
        <v>3.9075728104756338E-5</v>
      </c>
      <c r="F7783">
        <f>SUMIFS($D$2:$D$7909, $B$2:$B$7909, "Veneto")</f>
        <v>4855904</v>
      </c>
      <c r="G7783" s="1">
        <f>Comuni__2[[#This Row],[Popolazione2011]]/Comuni__2[[#This Row],[POPOLAZIONE TOTALE DI OGNI REGIONE (CON FILTRO)]]</f>
        <v>4.7818078775857184E-4</v>
      </c>
      <c r="H7783" t="str">
        <f>IF(Comuni__2[[#This Row],[Popolazione2011]]&gt;300000,"MAGGIORE","")</f>
        <v/>
      </c>
    </row>
    <row r="7784" spans="1:8" x14ac:dyDescent="0.2">
      <c r="A7784"/>
      <c r="B7784"/>
      <c r="C7784"/>
      <c r="D7784"/>
      <c r="E7784" s="2">
        <f>Comuni__2[[#This Row],[Popolazione2011]]/$D$7911</f>
        <v>3.8655016131190915E-5</v>
      </c>
      <c r="F7784">
        <f>SUMIFS($D$2:$D$7909, $B$2:$B$7909, "Veneto")</f>
        <v>4855904</v>
      </c>
      <c r="G7784" s="1">
        <f>Comuni__2[[#This Row],[Popolazione2011]]/Comuni__2[[#This Row],[POPOLAZIONE TOTALE DI OGNI REGIONE (CON FILTRO)]]</f>
        <v>4.7303241579734688E-4</v>
      </c>
      <c r="H7784" t="str">
        <f>IF(Comuni__2[[#This Row],[Popolazione2011]]&gt;300000,"MAGGIORE","")</f>
        <v/>
      </c>
    </row>
    <row r="7785" spans="1:8" x14ac:dyDescent="0.2">
      <c r="A7785"/>
      <c r="B7785"/>
      <c r="C7785"/>
      <c r="D7785"/>
      <c r="E7785" s="2">
        <f>Comuni__2[[#This Row],[Popolazione2011]]/$D$7911</f>
        <v>3.8537216778592602E-5</v>
      </c>
      <c r="F7785">
        <f>SUMIFS($D$2:$D$7909, $B$2:$B$7909, "Veneto")</f>
        <v>4855904</v>
      </c>
      <c r="G7785" s="1">
        <f>Comuni__2[[#This Row],[Popolazione2011]]/Comuni__2[[#This Row],[POPOLAZIONE TOTALE DI OGNI REGIONE (CON FILTRO)]]</f>
        <v>4.7159087164820389E-4</v>
      </c>
      <c r="H7785" t="str">
        <f>IF(Comuni__2[[#This Row],[Popolazione2011]]&gt;300000,"MAGGIORE","")</f>
        <v/>
      </c>
    </row>
    <row r="7786" spans="1:8" x14ac:dyDescent="0.2">
      <c r="A7786"/>
      <c r="B7786"/>
      <c r="C7786"/>
      <c r="D7786"/>
      <c r="E7786" s="2">
        <f>Comuni__2[[#This Row],[Popolazione2011]]/$D$7911</f>
        <v>3.8133333283969794E-5</v>
      </c>
      <c r="F7786">
        <f>SUMIFS($D$2:$D$7909, $B$2:$B$7909, "Veneto")</f>
        <v>4855904</v>
      </c>
      <c r="G7786" s="1">
        <f>Comuni__2[[#This Row],[Popolazione2011]]/Comuni__2[[#This Row],[POPOLAZIONE TOTALE DI OGNI REGIONE (CON FILTRO)]]</f>
        <v>4.6664843456542798E-4</v>
      </c>
      <c r="H7786" t="str">
        <f>IF(Comuni__2[[#This Row],[Popolazione2011]]&gt;300000,"MAGGIORE","")</f>
        <v/>
      </c>
    </row>
    <row r="7787" spans="1:8" x14ac:dyDescent="0.2">
      <c r="A7787"/>
      <c r="B7787"/>
      <c r="C7787"/>
      <c r="D7787"/>
      <c r="E7787" s="2">
        <f>Comuni__2[[#This Row],[Popolazione2011]]/$D$7911</f>
        <v>3.7712621310404371E-5</v>
      </c>
      <c r="F7787">
        <f>SUMIFS($D$2:$D$7909, $B$2:$B$7909, "Veneto")</f>
        <v>4855904</v>
      </c>
      <c r="G7787" s="1">
        <f>Comuni__2[[#This Row],[Popolazione2011]]/Comuni__2[[#This Row],[POPOLAZIONE TOTALE DI OGNI REGIONE (CON FILTRO)]]</f>
        <v>4.6150006260420307E-4</v>
      </c>
      <c r="H7787" t="str">
        <f>IF(Comuni__2[[#This Row],[Popolazione2011]]&gt;300000,"MAGGIORE","")</f>
        <v/>
      </c>
    </row>
    <row r="7788" spans="1:8" x14ac:dyDescent="0.2">
      <c r="A7788"/>
      <c r="B7788"/>
      <c r="C7788"/>
      <c r="D7788"/>
      <c r="E7788" s="2">
        <f>Comuni__2[[#This Row],[Popolazione2011]]/$D$7911</f>
        <v>3.6938511279043995E-5</v>
      </c>
      <c r="F7788">
        <f>SUMIFS($D$2:$D$7909, $B$2:$B$7909, "Veneto")</f>
        <v>4855904</v>
      </c>
      <c r="G7788" s="1">
        <f>Comuni__2[[#This Row],[Popolazione2011]]/Comuni__2[[#This Row],[POPOLAZIONE TOTALE DI OGNI REGIONE (CON FILTRO)]]</f>
        <v>4.5202705819554916E-4</v>
      </c>
      <c r="H7788" t="str">
        <f>IF(Comuni__2[[#This Row],[Popolazione2011]]&gt;300000,"MAGGIORE","")</f>
        <v/>
      </c>
    </row>
    <row r="7789" spans="1:8" x14ac:dyDescent="0.2">
      <c r="A7789"/>
      <c r="B7789"/>
      <c r="C7789"/>
      <c r="D7789"/>
      <c r="E7789" s="2">
        <f>Comuni__2[[#This Row],[Popolazione2011]]/$D$7911</f>
        <v>3.6871197363273531E-5</v>
      </c>
      <c r="F7789">
        <f>SUMIFS($D$2:$D$7909, $B$2:$B$7909, "Veneto")</f>
        <v>4855904</v>
      </c>
      <c r="G7789" s="1">
        <f>Comuni__2[[#This Row],[Popolazione2011]]/Comuni__2[[#This Row],[POPOLAZIONE TOTALE DI OGNI REGIONE (CON FILTRO)]]</f>
        <v>4.512033186817532E-4</v>
      </c>
      <c r="H7789" t="str">
        <f>IF(Comuni__2[[#This Row],[Popolazione2011]]&gt;300000,"MAGGIORE","")</f>
        <v/>
      </c>
    </row>
    <row r="7790" spans="1:8" x14ac:dyDescent="0.2">
      <c r="A7790"/>
      <c r="B7790"/>
      <c r="C7790"/>
      <c r="D7790"/>
      <c r="E7790" s="2">
        <f>Comuni__2[[#This Row],[Popolazione2011]]/$D$7911</f>
        <v>3.6837540405388299E-5</v>
      </c>
      <c r="F7790">
        <f>SUMIFS($D$2:$D$7909, $B$2:$B$7909, "Veneto")</f>
        <v>4855904</v>
      </c>
      <c r="G7790" s="1">
        <f>Comuni__2[[#This Row],[Popolazione2011]]/Comuni__2[[#This Row],[POPOLAZIONE TOTALE DI OGNI REGIONE (CON FILTRO)]]</f>
        <v>4.5079144892485516E-4</v>
      </c>
      <c r="H7790" t="str">
        <f>IF(Comuni__2[[#This Row],[Popolazione2011]]&gt;300000,"MAGGIORE","")</f>
        <v/>
      </c>
    </row>
    <row r="7791" spans="1:8" x14ac:dyDescent="0.2">
      <c r="A7791"/>
      <c r="B7791"/>
      <c r="C7791"/>
      <c r="D7791"/>
      <c r="E7791" s="2">
        <f>Comuni__2[[#This Row],[Popolazione2011]]/$D$7911</f>
        <v>3.6787054968560443E-5</v>
      </c>
      <c r="F7791">
        <f>SUMIFS($D$2:$D$7909, $B$2:$B$7909, "Veneto")</f>
        <v>4855904</v>
      </c>
      <c r="G7791" s="1">
        <f>Comuni__2[[#This Row],[Popolazione2011]]/Comuni__2[[#This Row],[POPOLAZIONE TOTALE DI OGNI REGIONE (CON FILTRO)]]</f>
        <v>4.5017364428950819E-4</v>
      </c>
      <c r="H7791" t="str">
        <f>IF(Comuni__2[[#This Row],[Popolazione2011]]&gt;300000,"MAGGIORE","")</f>
        <v/>
      </c>
    </row>
    <row r="7792" spans="1:8" x14ac:dyDescent="0.2">
      <c r="A7792"/>
      <c r="B7792"/>
      <c r="C7792"/>
      <c r="D7792"/>
      <c r="E7792" s="2">
        <f>Comuni__2[[#This Row],[Popolazione2011]]/$D$7911</f>
        <v>3.6719741052789979E-5</v>
      </c>
      <c r="F7792">
        <f>SUMIFS($D$2:$D$7909, $B$2:$B$7909, "Veneto")</f>
        <v>4855904</v>
      </c>
      <c r="G7792" s="1">
        <f>Comuni__2[[#This Row],[Popolazione2011]]/Comuni__2[[#This Row],[POPOLAZIONE TOTALE DI OGNI REGIONE (CON FILTRO)]]</f>
        <v>4.4934990477571218E-4</v>
      </c>
      <c r="H7792" t="str">
        <f>IF(Comuni__2[[#This Row],[Popolazione2011]]&gt;300000,"MAGGIORE","")</f>
        <v/>
      </c>
    </row>
    <row r="7793" spans="1:8" x14ac:dyDescent="0.2">
      <c r="A7793"/>
      <c r="B7793"/>
      <c r="C7793"/>
      <c r="D7793"/>
      <c r="E7793" s="2">
        <f>Comuni__2[[#This Row],[Popolazione2011]]/$D$7911</f>
        <v>3.6568284742306427E-5</v>
      </c>
      <c r="F7793">
        <f>SUMIFS($D$2:$D$7909, $B$2:$B$7909, "Veneto")</f>
        <v>4855904</v>
      </c>
      <c r="G7793" s="1">
        <f>Comuni__2[[#This Row],[Popolazione2011]]/Comuni__2[[#This Row],[POPOLAZIONE TOTALE DI OGNI REGIONE (CON FILTRO)]]</f>
        <v>4.4749649086967122E-4</v>
      </c>
      <c r="H7793" t="str">
        <f>IF(Comuni__2[[#This Row],[Popolazione2011]]&gt;300000,"MAGGIORE","")</f>
        <v/>
      </c>
    </row>
    <row r="7794" spans="1:8" x14ac:dyDescent="0.2">
      <c r="A7794"/>
      <c r="B7794"/>
      <c r="C7794"/>
      <c r="D7794"/>
      <c r="E7794" s="2">
        <f>Comuni__2[[#This Row],[Popolazione2011]]/$D$7911</f>
        <v>3.6416828431822875E-5</v>
      </c>
      <c r="F7794">
        <f>SUMIFS($D$2:$D$7909, $B$2:$B$7909, "Veneto")</f>
        <v>4855904</v>
      </c>
      <c r="G7794" s="1">
        <f>Comuni__2[[#This Row],[Popolazione2011]]/Comuni__2[[#This Row],[POPOLAZIONE TOTALE DI OGNI REGIONE (CON FILTRO)]]</f>
        <v>4.4564307696363025E-4</v>
      </c>
      <c r="H7794" t="str">
        <f>IF(Comuni__2[[#This Row],[Popolazione2011]]&gt;300000,"MAGGIORE","")</f>
        <v/>
      </c>
    </row>
    <row r="7795" spans="1:8" x14ac:dyDescent="0.2">
      <c r="A7795"/>
      <c r="B7795"/>
      <c r="C7795"/>
      <c r="D7795"/>
      <c r="E7795" s="2">
        <f>Comuni__2[[#This Row],[Popolazione2011]]/$D$7911</f>
        <v>3.6416828431822875E-5</v>
      </c>
      <c r="F7795">
        <f>SUMIFS($D$2:$D$7909, $B$2:$B$7909, "Veneto")</f>
        <v>4855904</v>
      </c>
      <c r="G7795" s="1">
        <f>Comuni__2[[#This Row],[Popolazione2011]]/Comuni__2[[#This Row],[POPOLAZIONE TOTALE DI OGNI REGIONE (CON FILTRO)]]</f>
        <v>4.4564307696363025E-4</v>
      </c>
      <c r="H7795" t="str">
        <f>IF(Comuni__2[[#This Row],[Popolazione2011]]&gt;300000,"MAGGIORE","")</f>
        <v/>
      </c>
    </row>
    <row r="7796" spans="1:8" x14ac:dyDescent="0.2">
      <c r="A7796"/>
      <c r="B7796"/>
      <c r="C7796"/>
      <c r="D7796"/>
      <c r="E7796" s="2">
        <f>Comuni__2[[#This Row],[Popolazione2011]]/$D$7911</f>
        <v>3.6383171473937643E-5</v>
      </c>
      <c r="F7796">
        <f>SUMIFS($D$2:$D$7909, $B$2:$B$7909, "Veneto")</f>
        <v>4855904</v>
      </c>
      <c r="G7796" s="1">
        <f>Comuni__2[[#This Row],[Popolazione2011]]/Comuni__2[[#This Row],[POPOLAZIONE TOTALE DI OGNI REGIONE (CON FILTRO)]]</f>
        <v>4.4523120720673227E-4</v>
      </c>
      <c r="H7796" t="str">
        <f>IF(Comuni__2[[#This Row],[Popolazione2011]]&gt;300000,"MAGGIORE","")</f>
        <v/>
      </c>
    </row>
    <row r="7797" spans="1:8" x14ac:dyDescent="0.2">
      <c r="A7797"/>
      <c r="B7797"/>
      <c r="C7797"/>
      <c r="D7797"/>
      <c r="E7797" s="2">
        <f>Comuni__2[[#This Row],[Popolazione2011]]/$D$7911</f>
        <v>3.5794174710946051E-5</v>
      </c>
      <c r="F7797">
        <f>SUMIFS($D$2:$D$7909, $B$2:$B$7909, "Veneto")</f>
        <v>4855904</v>
      </c>
      <c r="G7797" s="1">
        <f>Comuni__2[[#This Row],[Popolazione2011]]/Comuni__2[[#This Row],[POPOLAZIONE TOTALE DI OGNI REGIONE (CON FILTRO)]]</f>
        <v>4.3802348646101736E-4</v>
      </c>
      <c r="H7797" t="str">
        <f>IF(Comuni__2[[#This Row],[Popolazione2011]]&gt;300000,"MAGGIORE","")</f>
        <v/>
      </c>
    </row>
    <row r="7798" spans="1:8" x14ac:dyDescent="0.2">
      <c r="A7798"/>
      <c r="B7798"/>
      <c r="C7798"/>
      <c r="D7798"/>
      <c r="E7798" s="2">
        <f>Comuni__2[[#This Row],[Popolazione2011]]/$D$7911</f>
        <v>3.5794174710946051E-5</v>
      </c>
      <c r="F7798">
        <f>SUMIFS($D$2:$D$7909, $B$2:$B$7909, "Veneto")</f>
        <v>4855904</v>
      </c>
      <c r="G7798" s="1">
        <f>Comuni__2[[#This Row],[Popolazione2011]]/Comuni__2[[#This Row],[POPOLAZIONE TOTALE DI OGNI REGIONE (CON FILTRO)]]</f>
        <v>4.3802348646101736E-4</v>
      </c>
      <c r="H7798" t="str">
        <f>IF(Comuni__2[[#This Row],[Popolazione2011]]&gt;300000,"MAGGIORE","")</f>
        <v/>
      </c>
    </row>
    <row r="7799" spans="1:8" x14ac:dyDescent="0.2">
      <c r="A7799"/>
      <c r="B7799"/>
      <c r="C7799"/>
      <c r="D7799"/>
      <c r="E7799" s="2">
        <f>Comuni__2[[#This Row],[Popolazione2011]]/$D$7911</f>
        <v>3.4969579242757827E-5</v>
      </c>
      <c r="F7799">
        <f>SUMIFS($D$2:$D$7909, $B$2:$B$7909, "Veneto")</f>
        <v>4855904</v>
      </c>
      <c r="G7799" s="1">
        <f>Comuni__2[[#This Row],[Popolazione2011]]/Comuni__2[[#This Row],[POPOLAZIONE TOTALE DI OGNI REGIONE (CON FILTRO)]]</f>
        <v>4.2793267741701648E-4</v>
      </c>
      <c r="H7799" t="str">
        <f>IF(Comuni__2[[#This Row],[Popolazione2011]]&gt;300000,"MAGGIORE","")</f>
        <v/>
      </c>
    </row>
    <row r="7800" spans="1:8" x14ac:dyDescent="0.2">
      <c r="A7800"/>
      <c r="B7800"/>
      <c r="C7800"/>
      <c r="D7800"/>
      <c r="E7800" s="2">
        <f>Comuni__2[[#This Row],[Popolazione2011]]/$D$7911</f>
        <v>3.4767637495446427E-5</v>
      </c>
      <c r="F7800">
        <f>SUMIFS($D$2:$D$7909, $B$2:$B$7909, "Veneto")</f>
        <v>4855904</v>
      </c>
      <c r="G7800" s="1">
        <f>Comuni__2[[#This Row],[Popolazione2011]]/Comuni__2[[#This Row],[POPOLAZIONE TOTALE DI OGNI REGIONE (CON FILTRO)]]</f>
        <v>4.2546145887562849E-4</v>
      </c>
      <c r="H7800" t="str">
        <f>IF(Comuni__2[[#This Row],[Popolazione2011]]&gt;300000,"MAGGIORE","")</f>
        <v/>
      </c>
    </row>
    <row r="7801" spans="1:8" x14ac:dyDescent="0.2">
      <c r="A7801"/>
      <c r="B7801"/>
      <c r="C7801"/>
      <c r="D7801"/>
      <c r="E7801" s="2">
        <f>Comuni__2[[#This Row],[Popolazione2011]]/$D$7911</f>
        <v>3.4666666621790723E-5</v>
      </c>
      <c r="F7801">
        <f>SUMIFS($D$2:$D$7909, $B$2:$B$7909, "Veneto")</f>
        <v>4855904</v>
      </c>
      <c r="G7801" s="1">
        <f>Comuni__2[[#This Row],[Popolazione2011]]/Comuni__2[[#This Row],[POPOLAZIONE TOTALE DI OGNI REGIONE (CON FILTRO)]]</f>
        <v>4.2422584960493455E-4</v>
      </c>
      <c r="H7801" t="str">
        <f>IF(Comuni__2[[#This Row],[Popolazione2011]]&gt;300000,"MAGGIORE","")</f>
        <v/>
      </c>
    </row>
    <row r="7802" spans="1:8" x14ac:dyDescent="0.2">
      <c r="A7802"/>
      <c r="B7802"/>
      <c r="C7802"/>
      <c r="D7802"/>
      <c r="E7802" s="2">
        <f>Comuni__2[[#This Row],[Popolazione2011]]/$D$7911</f>
        <v>3.4582524227077636E-5</v>
      </c>
      <c r="F7802">
        <f>SUMIFS($D$2:$D$7909, $B$2:$B$7909, "Veneto")</f>
        <v>4855904</v>
      </c>
      <c r="G7802" s="1">
        <f>Comuni__2[[#This Row],[Popolazione2011]]/Comuni__2[[#This Row],[POPOLAZIONE TOTALE DI OGNI REGIONE (CON FILTRO)]]</f>
        <v>4.2319617521268955E-4</v>
      </c>
      <c r="H7802" t="str">
        <f>IF(Comuni__2[[#This Row],[Popolazione2011]]&gt;300000,"MAGGIORE","")</f>
        <v/>
      </c>
    </row>
    <row r="7803" spans="1:8" x14ac:dyDescent="0.2">
      <c r="A7803"/>
      <c r="B7803"/>
      <c r="C7803"/>
      <c r="D7803"/>
      <c r="E7803" s="2">
        <f>Comuni__2[[#This Row],[Popolazione2011]]/$D$7911</f>
        <v>3.4532038790249788E-5</v>
      </c>
      <c r="F7803">
        <f>SUMIFS($D$2:$D$7909, $B$2:$B$7909, "Veneto")</f>
        <v>4855904</v>
      </c>
      <c r="G7803" s="1">
        <f>Comuni__2[[#This Row],[Popolazione2011]]/Comuni__2[[#This Row],[POPOLAZIONE TOTALE DI OGNI REGIONE (CON FILTRO)]]</f>
        <v>4.2257837057734253E-4</v>
      </c>
      <c r="H7803" t="str">
        <f>IF(Comuni__2[[#This Row],[Popolazione2011]]&gt;300000,"MAGGIORE","")</f>
        <v/>
      </c>
    </row>
    <row r="7804" spans="1:8" x14ac:dyDescent="0.2">
      <c r="A7804"/>
      <c r="B7804"/>
      <c r="C7804"/>
      <c r="D7804"/>
      <c r="E7804" s="2">
        <f>Comuni__2[[#This Row],[Popolazione2011]]/$D$7911</f>
        <v>3.4060841379856516E-5</v>
      </c>
      <c r="F7804">
        <f>SUMIFS($D$2:$D$7909, $B$2:$B$7909, "Veneto")</f>
        <v>4855904</v>
      </c>
      <c r="G7804" s="1">
        <f>Comuni__2[[#This Row],[Popolazione2011]]/Comuni__2[[#This Row],[POPOLAZIONE TOTALE DI OGNI REGIONE (CON FILTRO)]]</f>
        <v>4.1681219398077065E-4</v>
      </c>
      <c r="H7804" t="str">
        <f>IF(Comuni__2[[#This Row],[Popolazione2011]]&gt;300000,"MAGGIORE","")</f>
        <v/>
      </c>
    </row>
    <row r="7805" spans="1:8" x14ac:dyDescent="0.2">
      <c r="A7805"/>
      <c r="B7805"/>
      <c r="C7805"/>
      <c r="D7805"/>
      <c r="E7805" s="2">
        <f>Comuni__2[[#This Row],[Popolazione2011]]/$D$7911</f>
        <v>3.40440129009139E-5</v>
      </c>
      <c r="F7805">
        <f>SUMIFS($D$2:$D$7909, $B$2:$B$7909, "Veneto")</f>
        <v>4855904</v>
      </c>
      <c r="G7805" s="1">
        <f>Comuni__2[[#This Row],[Popolazione2011]]/Comuni__2[[#This Row],[POPOLAZIONE TOTALE DI OGNI REGIONE (CON FILTRO)]]</f>
        <v>4.166062591023216E-4</v>
      </c>
      <c r="H7805" t="str">
        <f>IF(Comuni__2[[#This Row],[Popolazione2011]]&gt;300000,"MAGGIORE","")</f>
        <v/>
      </c>
    </row>
    <row r="7806" spans="1:8" x14ac:dyDescent="0.2">
      <c r="A7806"/>
      <c r="B7806"/>
      <c r="C7806"/>
      <c r="D7806"/>
      <c r="E7806" s="2">
        <f>Comuni__2[[#This Row],[Popolazione2011]]/$D$7911</f>
        <v>3.4027184421971284E-5</v>
      </c>
      <c r="F7806">
        <f>SUMIFS($D$2:$D$7909, $B$2:$B$7909, "Veneto")</f>
        <v>4855904</v>
      </c>
      <c r="G7806" s="1">
        <f>Comuni__2[[#This Row],[Popolazione2011]]/Comuni__2[[#This Row],[POPOLAZIONE TOTALE DI OGNI REGIONE (CON FILTRO)]]</f>
        <v>4.1640032422387261E-4</v>
      </c>
      <c r="H7806" t="str">
        <f>IF(Comuni__2[[#This Row],[Popolazione2011]]&gt;300000,"MAGGIORE","")</f>
        <v/>
      </c>
    </row>
    <row r="7807" spans="1:8" x14ac:dyDescent="0.2">
      <c r="A7807"/>
      <c r="B7807"/>
      <c r="C7807"/>
      <c r="D7807"/>
      <c r="E7807" s="2">
        <f>Comuni__2[[#This Row],[Popolazione2011]]/$D$7911</f>
        <v>3.3269902869553524E-5</v>
      </c>
      <c r="F7807">
        <f>SUMIFS($D$2:$D$7909, $B$2:$B$7909, "Veneto")</f>
        <v>4855904</v>
      </c>
      <c r="G7807" s="1">
        <f>Comuni__2[[#This Row],[Popolazione2011]]/Comuni__2[[#This Row],[POPOLAZIONE TOTALE DI OGNI REGIONE (CON FILTRO)]]</f>
        <v>4.0713325469366775E-4</v>
      </c>
      <c r="H7807" t="str">
        <f>IF(Comuni__2[[#This Row],[Popolazione2011]]&gt;300000,"MAGGIORE","")</f>
        <v/>
      </c>
    </row>
    <row r="7808" spans="1:8" x14ac:dyDescent="0.2">
      <c r="A7808"/>
      <c r="B7808"/>
      <c r="C7808"/>
      <c r="D7808"/>
      <c r="E7808" s="2">
        <f>Comuni__2[[#This Row],[Popolazione2011]]/$D$7911</f>
        <v>3.3152103516955204E-5</v>
      </c>
      <c r="F7808">
        <f>SUMIFS($D$2:$D$7909, $B$2:$B$7909, "Veneto")</f>
        <v>4855904</v>
      </c>
      <c r="G7808" s="1">
        <f>Comuni__2[[#This Row],[Popolazione2011]]/Comuni__2[[#This Row],[POPOLAZIONE TOTALE DI OGNI REGIONE (CON FILTRO)]]</f>
        <v>4.0569171054452476E-4</v>
      </c>
      <c r="H7808" t="str">
        <f>IF(Comuni__2[[#This Row],[Popolazione2011]]&gt;300000,"MAGGIORE","")</f>
        <v/>
      </c>
    </row>
    <row r="7809" spans="1:8" x14ac:dyDescent="0.2">
      <c r="A7809"/>
      <c r="B7809"/>
      <c r="C7809"/>
      <c r="D7809"/>
      <c r="E7809" s="2">
        <f>Comuni__2[[#This Row],[Popolazione2011]]/$D$7911</f>
        <v>3.3034304164356885E-5</v>
      </c>
      <c r="F7809">
        <f>SUMIFS($D$2:$D$7909, $B$2:$B$7909, "Veneto")</f>
        <v>4855904</v>
      </c>
      <c r="G7809" s="1">
        <f>Comuni__2[[#This Row],[Popolazione2011]]/Comuni__2[[#This Row],[POPOLAZIONE TOTALE DI OGNI REGIONE (CON FILTRO)]]</f>
        <v>4.0425016639538178E-4</v>
      </c>
      <c r="H7809" t="str">
        <f>IF(Comuni__2[[#This Row],[Popolazione2011]]&gt;300000,"MAGGIORE","")</f>
        <v/>
      </c>
    </row>
    <row r="7810" spans="1:8" x14ac:dyDescent="0.2">
      <c r="A7810"/>
      <c r="B7810"/>
      <c r="C7810"/>
      <c r="D7810"/>
      <c r="E7810" s="2">
        <f>Comuni__2[[#This Row],[Popolazione2011]]/$D$7911</f>
        <v>3.2664077627619316E-5</v>
      </c>
      <c r="F7810">
        <f>SUMIFS($D$2:$D$7909, $B$2:$B$7909, "Veneto")</f>
        <v>4855904</v>
      </c>
      <c r="G7810" s="1">
        <f>Comuni__2[[#This Row],[Popolazione2011]]/Comuni__2[[#This Row],[POPOLAZIONE TOTALE DI OGNI REGIONE (CON FILTRO)]]</f>
        <v>3.9971959906950384E-4</v>
      </c>
      <c r="H7810" t="str">
        <f>IF(Comuni__2[[#This Row],[Popolazione2011]]&gt;300000,"MAGGIORE","")</f>
        <v/>
      </c>
    </row>
    <row r="7811" spans="1:8" x14ac:dyDescent="0.2">
      <c r="A7811"/>
      <c r="B7811"/>
      <c r="C7811"/>
      <c r="D7811"/>
      <c r="E7811" s="2">
        <f>Comuni__2[[#This Row],[Popolazione2011]]/$D$7911</f>
        <v>3.1889967596258941E-5</v>
      </c>
      <c r="F7811">
        <f>SUMIFS($D$2:$D$7909, $B$2:$B$7909, "Veneto")</f>
        <v>4855904</v>
      </c>
      <c r="G7811" s="1">
        <f>Comuni__2[[#This Row],[Popolazione2011]]/Comuni__2[[#This Row],[POPOLAZIONE TOTALE DI OGNI REGIONE (CON FILTRO)]]</f>
        <v>3.9024659466084998E-4</v>
      </c>
      <c r="H7811" t="str">
        <f>IF(Comuni__2[[#This Row],[Popolazione2011]]&gt;300000,"MAGGIORE","")</f>
        <v/>
      </c>
    </row>
    <row r="7812" spans="1:8" x14ac:dyDescent="0.2">
      <c r="A7812"/>
      <c r="B7812"/>
      <c r="C7812"/>
      <c r="D7812"/>
      <c r="E7812" s="2">
        <f>Comuni__2[[#This Row],[Popolazione2011]]/$D$7911</f>
        <v>3.1469255622693517E-5</v>
      </c>
      <c r="F7812">
        <f>SUMIFS($D$2:$D$7909, $B$2:$B$7909, "Veneto")</f>
        <v>4855904</v>
      </c>
      <c r="G7812" s="1">
        <f>Comuni__2[[#This Row],[Popolazione2011]]/Comuni__2[[#This Row],[POPOLAZIONE TOTALE DI OGNI REGIONE (CON FILTRO)]]</f>
        <v>3.8509822269962502E-4</v>
      </c>
      <c r="H7812" t="str">
        <f>IF(Comuni__2[[#This Row],[Popolazione2011]]&gt;300000,"MAGGIORE","")</f>
        <v/>
      </c>
    </row>
    <row r="7813" spans="1:8" x14ac:dyDescent="0.2">
      <c r="A7813"/>
      <c r="B7813"/>
      <c r="C7813"/>
      <c r="D7813"/>
      <c r="E7813" s="2">
        <f>Comuni__2[[#This Row],[Popolazione2011]]/$D$7911</f>
        <v>3.1082200607013333E-5</v>
      </c>
      <c r="F7813">
        <f>SUMIFS($D$2:$D$7909, $B$2:$B$7909, "Veneto")</f>
        <v>4855904</v>
      </c>
      <c r="G7813" s="1">
        <f>Comuni__2[[#This Row],[Popolazione2011]]/Comuni__2[[#This Row],[POPOLAZIONE TOTALE DI OGNI REGIONE (CON FILTRO)]]</f>
        <v>3.8036172049529809E-4</v>
      </c>
      <c r="H7813" t="str">
        <f>IF(Comuni__2[[#This Row],[Popolazione2011]]&gt;300000,"MAGGIORE","")</f>
        <v/>
      </c>
    </row>
    <row r="7814" spans="1:8" x14ac:dyDescent="0.2">
      <c r="A7814"/>
      <c r="B7814"/>
      <c r="C7814"/>
      <c r="D7814"/>
      <c r="E7814" s="2">
        <f>Comuni__2[[#This Row],[Popolazione2011]]/$D$7911</f>
        <v>3.0981229733357629E-5</v>
      </c>
      <c r="F7814">
        <f>SUMIFS($D$2:$D$7909, $B$2:$B$7909, "Veneto")</f>
        <v>4855904</v>
      </c>
      <c r="G7814" s="1">
        <f>Comuni__2[[#This Row],[Popolazione2011]]/Comuni__2[[#This Row],[POPOLAZIONE TOTALE DI OGNI REGIONE (CON FILTRO)]]</f>
        <v>3.791261112246041E-4</v>
      </c>
      <c r="H7814" t="str">
        <f>IF(Comuni__2[[#This Row],[Popolazione2011]]&gt;300000,"MAGGIORE","")</f>
        <v/>
      </c>
    </row>
    <row r="7815" spans="1:8" x14ac:dyDescent="0.2">
      <c r="A7815"/>
      <c r="B7815"/>
      <c r="C7815"/>
      <c r="D7815"/>
      <c r="E7815" s="2">
        <f>Comuni__2[[#This Row],[Popolazione2011]]/$D$7911</f>
        <v>3.0711974070275764E-5</v>
      </c>
      <c r="F7815">
        <f>SUMIFS($D$2:$D$7909, $B$2:$B$7909, "Veneto")</f>
        <v>4855904</v>
      </c>
      <c r="G7815" s="1">
        <f>Comuni__2[[#This Row],[Popolazione2011]]/Comuni__2[[#This Row],[POPOLAZIONE TOTALE DI OGNI REGIONE (CON FILTRO)]]</f>
        <v>3.7583115316942015E-4</v>
      </c>
      <c r="H7815" t="str">
        <f>IF(Comuni__2[[#This Row],[Popolazione2011]]&gt;300000,"MAGGIORE","")</f>
        <v/>
      </c>
    </row>
    <row r="7816" spans="1:8" x14ac:dyDescent="0.2">
      <c r="A7816"/>
      <c r="B7816"/>
      <c r="C7816"/>
      <c r="D7816"/>
      <c r="E7816" s="2">
        <f>Comuni__2[[#This Row],[Popolazione2011]]/$D$7911</f>
        <v>3.0695145591333142E-5</v>
      </c>
      <c r="F7816">
        <f>SUMIFS($D$2:$D$7909, $B$2:$B$7909, "Veneto")</f>
        <v>4855904</v>
      </c>
      <c r="G7816" s="1">
        <f>Comuni__2[[#This Row],[Popolazione2011]]/Comuni__2[[#This Row],[POPOLAZIONE TOTALE DI OGNI REGIONE (CON FILTRO)]]</f>
        <v>3.7562521829097116E-4</v>
      </c>
      <c r="H7816" t="str">
        <f>IF(Comuni__2[[#This Row],[Popolazione2011]]&gt;300000,"MAGGIORE","")</f>
        <v/>
      </c>
    </row>
    <row r="7817" spans="1:8" x14ac:dyDescent="0.2">
      <c r="A7817"/>
      <c r="B7817"/>
      <c r="C7817"/>
      <c r="D7817"/>
      <c r="E7817" s="2">
        <f>Comuni__2[[#This Row],[Popolazione2011]]/$D$7911</f>
        <v>3.0510032322964361E-5</v>
      </c>
      <c r="F7817">
        <f>SUMIFS($D$2:$D$7909, $B$2:$B$7909, "Veneto")</f>
        <v>4855904</v>
      </c>
      <c r="G7817" s="1">
        <f>Comuni__2[[#This Row],[Popolazione2011]]/Comuni__2[[#This Row],[POPOLAZIONE TOTALE DI OGNI REGIONE (CON FILTRO)]]</f>
        <v>3.7335993462803217E-4</v>
      </c>
      <c r="H7817" t="str">
        <f>IF(Comuni__2[[#This Row],[Popolazione2011]]&gt;300000,"MAGGIORE","")</f>
        <v/>
      </c>
    </row>
    <row r="7818" spans="1:8" x14ac:dyDescent="0.2">
      <c r="A7818"/>
      <c r="B7818"/>
      <c r="C7818"/>
      <c r="D7818"/>
      <c r="E7818" s="2">
        <f>Comuni__2[[#This Row],[Popolazione2011]]/$D$7911</f>
        <v>3.0510032322964361E-5</v>
      </c>
      <c r="F7818">
        <f>SUMIFS($D$2:$D$7909, $B$2:$B$7909, "Veneto")</f>
        <v>4855904</v>
      </c>
      <c r="G7818" s="1">
        <f>Comuni__2[[#This Row],[Popolazione2011]]/Comuni__2[[#This Row],[POPOLAZIONE TOTALE DI OGNI REGIONE (CON FILTRO)]]</f>
        <v>3.7335993462803217E-4</v>
      </c>
      <c r="H7818" t="str">
        <f>IF(Comuni__2[[#This Row],[Popolazione2011]]&gt;300000,"MAGGIORE","")</f>
        <v/>
      </c>
    </row>
    <row r="7819" spans="1:8" x14ac:dyDescent="0.2">
      <c r="A7819"/>
      <c r="B7819"/>
      <c r="C7819"/>
      <c r="D7819"/>
      <c r="E7819" s="2">
        <f>Comuni__2[[#This Row],[Popolazione2011]]/$D$7911</f>
        <v>3.0139805786226789E-5</v>
      </c>
      <c r="F7819">
        <f>SUMIFS($D$2:$D$7909, $B$2:$B$7909, "Veneto")</f>
        <v>4855904</v>
      </c>
      <c r="G7819" s="1">
        <f>Comuni__2[[#This Row],[Popolazione2011]]/Comuni__2[[#This Row],[POPOLAZIONE TOTALE DI OGNI REGIONE (CON FILTRO)]]</f>
        <v>3.6882936730215423E-4</v>
      </c>
      <c r="H7819" t="str">
        <f>IF(Comuni__2[[#This Row],[Popolazione2011]]&gt;300000,"MAGGIORE","")</f>
        <v/>
      </c>
    </row>
    <row r="7820" spans="1:8" x14ac:dyDescent="0.2">
      <c r="A7820"/>
      <c r="B7820"/>
      <c r="C7820"/>
      <c r="D7820"/>
      <c r="E7820" s="2">
        <f>Comuni__2[[#This Row],[Popolazione2011]]/$D$7911</f>
        <v>3.0089320349398937E-5</v>
      </c>
      <c r="F7820">
        <f>SUMIFS($D$2:$D$7909, $B$2:$B$7909, "Veneto")</f>
        <v>4855904</v>
      </c>
      <c r="G7820" s="1">
        <f>Comuni__2[[#This Row],[Popolazione2011]]/Comuni__2[[#This Row],[POPOLAZIONE TOTALE DI OGNI REGIONE (CON FILTRO)]]</f>
        <v>3.6821156266680726E-4</v>
      </c>
      <c r="H7820" t="str">
        <f>IF(Comuni__2[[#This Row],[Popolazione2011]]&gt;300000,"MAGGIORE","")</f>
        <v/>
      </c>
    </row>
    <row r="7821" spans="1:8" x14ac:dyDescent="0.2">
      <c r="A7821"/>
      <c r="B7821"/>
      <c r="C7821"/>
      <c r="D7821"/>
      <c r="E7821" s="2">
        <f>Comuni__2[[#This Row],[Popolazione2011]]/$D$7911</f>
        <v>3.0089320349398937E-5</v>
      </c>
      <c r="F7821">
        <f>SUMIFS($D$2:$D$7909, $B$2:$B$7909, "Veneto")</f>
        <v>4855904</v>
      </c>
      <c r="G7821" s="1">
        <f>Comuni__2[[#This Row],[Popolazione2011]]/Comuni__2[[#This Row],[POPOLAZIONE TOTALE DI OGNI REGIONE (CON FILTRO)]]</f>
        <v>3.6821156266680726E-4</v>
      </c>
      <c r="H7821" t="str">
        <f>IF(Comuni__2[[#This Row],[Popolazione2011]]&gt;300000,"MAGGIORE","")</f>
        <v/>
      </c>
    </row>
    <row r="7822" spans="1:8" x14ac:dyDescent="0.2">
      <c r="A7822"/>
      <c r="B7822"/>
      <c r="C7822"/>
      <c r="D7822"/>
      <c r="E7822" s="2">
        <f>Comuni__2[[#This Row],[Popolazione2011]]/$D$7911</f>
        <v>3.0072491870456321E-5</v>
      </c>
      <c r="F7822">
        <f>SUMIFS($D$2:$D$7909, $B$2:$B$7909, "Veneto")</f>
        <v>4855904</v>
      </c>
      <c r="G7822" s="1">
        <f>Comuni__2[[#This Row],[Popolazione2011]]/Comuni__2[[#This Row],[POPOLAZIONE TOTALE DI OGNI REGIONE (CON FILTRO)]]</f>
        <v>3.6800562778835827E-4</v>
      </c>
      <c r="H7822" t="str">
        <f>IF(Comuni__2[[#This Row],[Popolazione2011]]&gt;300000,"MAGGIORE","")</f>
        <v/>
      </c>
    </row>
    <row r="7823" spans="1:8" x14ac:dyDescent="0.2">
      <c r="A7823"/>
      <c r="B7823"/>
      <c r="C7823"/>
      <c r="D7823"/>
      <c r="E7823" s="2">
        <f>Comuni__2[[#This Row],[Popolazione2011]]/$D$7911</f>
        <v>3.0005177954685853E-5</v>
      </c>
      <c r="F7823">
        <f>SUMIFS($D$2:$D$7909, $B$2:$B$7909, "Veneto")</f>
        <v>4855904</v>
      </c>
      <c r="G7823" s="1">
        <f>Comuni__2[[#This Row],[Popolazione2011]]/Comuni__2[[#This Row],[POPOLAZIONE TOTALE DI OGNI REGIONE (CON FILTRO)]]</f>
        <v>3.6718188827456226E-4</v>
      </c>
      <c r="H7823" t="str">
        <f>IF(Comuni__2[[#This Row],[Popolazione2011]]&gt;300000,"MAGGIORE","")</f>
        <v/>
      </c>
    </row>
    <row r="7824" spans="1:8" x14ac:dyDescent="0.2">
      <c r="A7824"/>
      <c r="B7824"/>
      <c r="C7824"/>
      <c r="D7824"/>
      <c r="E7824" s="2">
        <f>Comuni__2[[#This Row],[Popolazione2011]]/$D$7911</f>
        <v>2.9988349475743237E-5</v>
      </c>
      <c r="F7824">
        <f>SUMIFS($D$2:$D$7909, $B$2:$B$7909, "Veneto")</f>
        <v>4855904</v>
      </c>
      <c r="G7824" s="1">
        <f>Comuni__2[[#This Row],[Popolazione2011]]/Comuni__2[[#This Row],[POPOLAZIONE TOTALE DI OGNI REGIONE (CON FILTRO)]]</f>
        <v>3.6697595339611327E-4</v>
      </c>
      <c r="H7824" t="str">
        <f>IF(Comuni__2[[#This Row],[Popolazione2011]]&gt;300000,"MAGGIORE","")</f>
        <v/>
      </c>
    </row>
    <row r="7825" spans="1:8" x14ac:dyDescent="0.2">
      <c r="A7825"/>
      <c r="B7825"/>
      <c r="C7825"/>
      <c r="D7825"/>
      <c r="E7825" s="2">
        <f>Comuni__2[[#This Row],[Popolazione2011]]/$D$7911</f>
        <v>2.8894498344473142E-5</v>
      </c>
      <c r="F7825">
        <f>SUMIFS($D$2:$D$7909, $B$2:$B$7909, "Veneto")</f>
        <v>4855904</v>
      </c>
      <c r="G7825" s="1">
        <f>Comuni__2[[#This Row],[Popolazione2011]]/Comuni__2[[#This Row],[POPOLAZIONE TOTALE DI OGNI REGIONE (CON FILTRO)]]</f>
        <v>3.5359018629692844E-4</v>
      </c>
      <c r="H7825" t="str">
        <f>IF(Comuni__2[[#This Row],[Popolazione2011]]&gt;300000,"MAGGIORE","")</f>
        <v/>
      </c>
    </row>
    <row r="7826" spans="1:8" x14ac:dyDescent="0.2">
      <c r="A7826"/>
      <c r="B7826"/>
      <c r="C7826"/>
      <c r="D7826"/>
      <c r="E7826" s="2">
        <f>Comuni__2[[#This Row],[Popolazione2011]]/$D$7911</f>
        <v>2.8440129413022486E-5</v>
      </c>
      <c r="F7826">
        <f>SUMIFS($D$2:$D$7909, $B$2:$B$7909, "Veneto")</f>
        <v>4855904</v>
      </c>
      <c r="G7826" s="1">
        <f>Comuni__2[[#This Row],[Popolazione2011]]/Comuni__2[[#This Row],[POPOLAZIONE TOTALE DI OGNI REGIONE (CON FILTRO)]]</f>
        <v>3.480299445788055E-4</v>
      </c>
      <c r="H7826" t="str">
        <f>IF(Comuni__2[[#This Row],[Popolazione2011]]&gt;300000,"MAGGIORE","")</f>
        <v/>
      </c>
    </row>
    <row r="7827" spans="1:8" x14ac:dyDescent="0.2">
      <c r="A7827"/>
      <c r="B7827"/>
      <c r="C7827"/>
      <c r="D7827"/>
      <c r="E7827" s="2">
        <f>Comuni__2[[#This Row],[Popolazione2011]]/$D$7911</f>
        <v>2.8086731355227534E-5</v>
      </c>
      <c r="F7827">
        <f>SUMIFS($D$2:$D$7909, $B$2:$B$7909, "Veneto")</f>
        <v>4855904</v>
      </c>
      <c r="G7827" s="1">
        <f>Comuni__2[[#This Row],[Popolazione2011]]/Comuni__2[[#This Row],[POPOLAZIONE TOTALE DI OGNI REGIONE (CON FILTRO)]]</f>
        <v>3.4370531213137655E-4</v>
      </c>
      <c r="H7827" t="str">
        <f>IF(Comuni__2[[#This Row],[Popolazione2011]]&gt;300000,"MAGGIORE","")</f>
        <v/>
      </c>
    </row>
    <row r="7828" spans="1:8" x14ac:dyDescent="0.2">
      <c r="A7828"/>
      <c r="B7828"/>
      <c r="C7828"/>
      <c r="D7828"/>
      <c r="E7828" s="2">
        <f>Comuni__2[[#This Row],[Popolazione2011]]/$D$7911</f>
        <v>2.7716504818489962E-5</v>
      </c>
      <c r="F7828">
        <f>SUMIFS($D$2:$D$7909, $B$2:$B$7909, "Veneto")</f>
        <v>4855904</v>
      </c>
      <c r="G7828" s="1">
        <f>Comuni__2[[#This Row],[Popolazione2011]]/Comuni__2[[#This Row],[POPOLAZIONE TOTALE DI OGNI REGIONE (CON FILTRO)]]</f>
        <v>3.3917474480549861E-4</v>
      </c>
      <c r="H7828" t="str">
        <f>IF(Comuni__2[[#This Row],[Popolazione2011]]&gt;300000,"MAGGIORE","")</f>
        <v/>
      </c>
    </row>
    <row r="7829" spans="1:8" x14ac:dyDescent="0.2">
      <c r="A7829"/>
      <c r="B7829"/>
      <c r="C7829"/>
      <c r="D7829"/>
      <c r="E7829" s="2">
        <f>Comuni__2[[#This Row],[Popolazione2011]]/$D$7911</f>
        <v>2.7699676339547346E-5</v>
      </c>
      <c r="F7829">
        <f>SUMIFS($D$2:$D$7909, $B$2:$B$7909, "Veneto")</f>
        <v>4855904</v>
      </c>
      <c r="G7829" s="1">
        <f>Comuni__2[[#This Row],[Popolazione2011]]/Comuni__2[[#This Row],[POPOLAZIONE TOTALE DI OGNI REGIONE (CON FILTRO)]]</f>
        <v>3.3896880992704962E-4</v>
      </c>
      <c r="H7829" t="str">
        <f>IF(Comuni__2[[#This Row],[Popolazione2011]]&gt;300000,"MAGGIORE","")</f>
        <v/>
      </c>
    </row>
    <row r="7830" spans="1:8" x14ac:dyDescent="0.2">
      <c r="A7830"/>
      <c r="B7830"/>
      <c r="C7830"/>
      <c r="D7830"/>
      <c r="E7830" s="2">
        <f>Comuni__2[[#This Row],[Popolazione2011]]/$D$7911</f>
        <v>2.7682847860604726E-5</v>
      </c>
      <c r="F7830">
        <f>SUMIFS($D$2:$D$7909, $B$2:$B$7909, "Veneto")</f>
        <v>4855904</v>
      </c>
      <c r="G7830" s="1">
        <f>Comuni__2[[#This Row],[Popolazione2011]]/Comuni__2[[#This Row],[POPOLAZIONE TOTALE DI OGNI REGIONE (CON FILTRO)]]</f>
        <v>3.3876287504860063E-4</v>
      </c>
      <c r="H7830" t="str">
        <f>IF(Comuni__2[[#This Row],[Popolazione2011]]&gt;300000,"MAGGIORE","")</f>
        <v/>
      </c>
    </row>
    <row r="7831" spans="1:8" x14ac:dyDescent="0.2">
      <c r="A7831"/>
      <c r="B7831"/>
      <c r="C7831"/>
      <c r="D7831"/>
      <c r="E7831" s="2">
        <f>Comuni__2[[#This Row],[Popolazione2011]]/$D$7911</f>
        <v>2.734627828175239E-5</v>
      </c>
      <c r="F7831">
        <f>SUMIFS($D$2:$D$7909, $B$2:$B$7909, "Veneto")</f>
        <v>4855904</v>
      </c>
      <c r="G7831" s="1">
        <f>Comuni__2[[#This Row],[Popolazione2011]]/Comuni__2[[#This Row],[POPOLAZIONE TOTALE DI OGNI REGIONE (CON FILTRO)]]</f>
        <v>3.3464417747962067E-4</v>
      </c>
      <c r="H7831" t="str">
        <f>IF(Comuni__2[[#This Row],[Popolazione2011]]&gt;300000,"MAGGIORE","")</f>
        <v/>
      </c>
    </row>
    <row r="7832" spans="1:8" x14ac:dyDescent="0.2">
      <c r="A7832"/>
      <c r="B7832"/>
      <c r="C7832"/>
      <c r="D7832"/>
      <c r="E7832" s="2">
        <f>Comuni__2[[#This Row],[Popolazione2011]]/$D$7911</f>
        <v>2.714433653444099E-5</v>
      </c>
      <c r="F7832">
        <f>SUMIFS($D$2:$D$7909, $B$2:$B$7909, "Veneto")</f>
        <v>4855904</v>
      </c>
      <c r="G7832" s="1">
        <f>Comuni__2[[#This Row],[Popolazione2011]]/Comuni__2[[#This Row],[POPOLAZIONE TOTALE DI OGNI REGIONE (CON FILTRO)]]</f>
        <v>3.3217295893823274E-4</v>
      </c>
      <c r="H7832" t="str">
        <f>IF(Comuni__2[[#This Row],[Popolazione2011]]&gt;300000,"MAGGIORE","")</f>
        <v/>
      </c>
    </row>
    <row r="7833" spans="1:8" x14ac:dyDescent="0.2">
      <c r="A7833"/>
      <c r="B7833"/>
      <c r="C7833"/>
      <c r="D7833"/>
      <c r="E7833" s="2">
        <f>Comuni__2[[#This Row],[Popolazione2011]]/$D$7911</f>
        <v>2.7043365660785286E-5</v>
      </c>
      <c r="F7833">
        <f>SUMIFS($D$2:$D$7909, $B$2:$B$7909, "Veneto")</f>
        <v>4855904</v>
      </c>
      <c r="G7833" s="1">
        <f>Comuni__2[[#This Row],[Popolazione2011]]/Comuni__2[[#This Row],[POPOLAZIONE TOTALE DI OGNI REGIONE (CON FILTRO)]]</f>
        <v>3.3093734966753875E-4</v>
      </c>
      <c r="H7833" t="str">
        <f>IF(Comuni__2[[#This Row],[Popolazione2011]]&gt;300000,"MAGGIORE","")</f>
        <v/>
      </c>
    </row>
    <row r="7834" spans="1:8" x14ac:dyDescent="0.2">
      <c r="A7834"/>
      <c r="B7834"/>
      <c r="C7834"/>
      <c r="D7834"/>
      <c r="E7834" s="2">
        <f>Comuni__2[[#This Row],[Popolazione2011]]/$D$7911</f>
        <v>2.7009708702900054E-5</v>
      </c>
      <c r="F7834">
        <f>SUMIFS($D$2:$D$7909, $B$2:$B$7909, "Veneto")</f>
        <v>4855904</v>
      </c>
      <c r="G7834" s="1">
        <f>Comuni__2[[#This Row],[Popolazione2011]]/Comuni__2[[#This Row],[POPOLAZIONE TOTALE DI OGNI REGIONE (CON FILTRO)]]</f>
        <v>3.3052547991064071E-4</v>
      </c>
      <c r="H7834" t="str">
        <f>IF(Comuni__2[[#This Row],[Popolazione2011]]&gt;300000,"MAGGIORE","")</f>
        <v/>
      </c>
    </row>
    <row r="7835" spans="1:8" x14ac:dyDescent="0.2">
      <c r="A7835"/>
      <c r="B7835"/>
      <c r="C7835"/>
      <c r="D7835"/>
      <c r="E7835" s="2">
        <f>Comuni__2[[#This Row],[Popolazione2011]]/$D$7911</f>
        <v>2.692556630818697E-5</v>
      </c>
      <c r="F7835">
        <f>SUMIFS($D$2:$D$7909, $B$2:$B$7909, "Veneto")</f>
        <v>4855904</v>
      </c>
      <c r="G7835" s="1">
        <f>Comuni__2[[#This Row],[Popolazione2011]]/Comuni__2[[#This Row],[POPOLAZIONE TOTALE DI OGNI REGIONE (CON FILTRO)]]</f>
        <v>3.2949580551839576E-4</v>
      </c>
      <c r="H7835" t="str">
        <f>IF(Comuni__2[[#This Row],[Popolazione2011]]&gt;300000,"MAGGIORE","")</f>
        <v/>
      </c>
    </row>
    <row r="7836" spans="1:8" x14ac:dyDescent="0.2">
      <c r="A7836"/>
      <c r="B7836"/>
      <c r="C7836"/>
      <c r="D7836"/>
      <c r="E7836" s="2">
        <f>Comuni__2[[#This Row],[Popolazione2011]]/$D$7911</f>
        <v>2.6168284755769211E-5</v>
      </c>
      <c r="F7836">
        <f>SUMIFS($D$2:$D$7909, $B$2:$B$7909, "Veneto")</f>
        <v>4855904</v>
      </c>
      <c r="G7836" s="1">
        <f>Comuni__2[[#This Row],[Popolazione2011]]/Comuni__2[[#This Row],[POPOLAZIONE TOTALE DI OGNI REGIONE (CON FILTRO)]]</f>
        <v>3.2022873598819089E-4</v>
      </c>
      <c r="H7836" t="str">
        <f>IF(Comuni__2[[#This Row],[Popolazione2011]]&gt;300000,"MAGGIORE","")</f>
        <v/>
      </c>
    </row>
    <row r="7837" spans="1:8" x14ac:dyDescent="0.2">
      <c r="A7837"/>
      <c r="B7837"/>
      <c r="C7837"/>
      <c r="D7837"/>
      <c r="E7837" s="2">
        <f>Comuni__2[[#This Row],[Popolazione2011]]/$D$7911</f>
        <v>2.5932686050572575E-5</v>
      </c>
      <c r="F7837">
        <f>SUMIFS($D$2:$D$7909, $B$2:$B$7909, "Veneto")</f>
        <v>4855904</v>
      </c>
      <c r="G7837" s="1">
        <f>Comuni__2[[#This Row],[Popolazione2011]]/Comuni__2[[#This Row],[POPOLAZIONE TOTALE DI OGNI REGIONE (CON FILTRO)]]</f>
        <v>3.1734564768990493E-4</v>
      </c>
      <c r="H7837" t="str">
        <f>IF(Comuni__2[[#This Row],[Popolazione2011]]&gt;300000,"MAGGIORE","")</f>
        <v/>
      </c>
    </row>
    <row r="7838" spans="1:8" x14ac:dyDescent="0.2">
      <c r="A7838"/>
      <c r="B7838"/>
      <c r="C7838"/>
      <c r="D7838"/>
      <c r="E7838" s="2">
        <f>Comuni__2[[#This Row],[Popolazione2011]]/$D$7911</f>
        <v>2.5730744303261171E-5</v>
      </c>
      <c r="F7838">
        <f>SUMIFS($D$2:$D$7909, $B$2:$B$7909, "Veneto")</f>
        <v>4855904</v>
      </c>
      <c r="G7838" s="1">
        <f>Comuni__2[[#This Row],[Popolazione2011]]/Comuni__2[[#This Row],[POPOLAZIONE TOTALE DI OGNI REGIONE (CON FILTRO)]]</f>
        <v>3.1487442914851694E-4</v>
      </c>
      <c r="H7838" t="str">
        <f>IF(Comuni__2[[#This Row],[Popolazione2011]]&gt;300000,"MAGGIORE","")</f>
        <v/>
      </c>
    </row>
    <row r="7839" spans="1:8" x14ac:dyDescent="0.2">
      <c r="A7839"/>
      <c r="B7839"/>
      <c r="C7839"/>
      <c r="D7839"/>
      <c r="E7839" s="2">
        <f>Comuni__2[[#This Row],[Popolazione2011]]/$D$7911</f>
        <v>2.5478317119121919E-5</v>
      </c>
      <c r="F7839">
        <f>SUMIFS($D$2:$D$7909, $B$2:$B$7909, "Veneto")</f>
        <v>4855904</v>
      </c>
      <c r="G7839" s="1">
        <f>Comuni__2[[#This Row],[Popolazione2011]]/Comuni__2[[#This Row],[POPOLAZIONE TOTALE DI OGNI REGIONE (CON FILTRO)]]</f>
        <v>3.1178540597178199E-4</v>
      </c>
      <c r="H7839" t="str">
        <f>IF(Comuni__2[[#This Row],[Popolazione2011]]&gt;300000,"MAGGIORE","")</f>
        <v/>
      </c>
    </row>
    <row r="7840" spans="1:8" x14ac:dyDescent="0.2">
      <c r="A7840"/>
      <c r="B7840"/>
      <c r="C7840"/>
      <c r="D7840"/>
      <c r="E7840" s="2">
        <f>Comuni__2[[#This Row],[Popolazione2011]]/$D$7911</f>
        <v>2.5377346245466219E-5</v>
      </c>
      <c r="F7840">
        <f>SUMIFS($D$2:$D$7909, $B$2:$B$7909, "Veneto")</f>
        <v>4855904</v>
      </c>
      <c r="G7840" s="1">
        <f>Comuni__2[[#This Row],[Popolazione2011]]/Comuni__2[[#This Row],[POPOLAZIONE TOTALE DI OGNI REGIONE (CON FILTRO)]]</f>
        <v>3.1054979670108799E-4</v>
      </c>
      <c r="H7840" t="str">
        <f>IF(Comuni__2[[#This Row],[Popolazione2011]]&gt;300000,"MAGGIORE","")</f>
        <v/>
      </c>
    </row>
    <row r="7841" spans="1:8" x14ac:dyDescent="0.2">
      <c r="A7841"/>
      <c r="B7841"/>
      <c r="C7841"/>
      <c r="D7841"/>
      <c r="E7841" s="2">
        <f>Comuni__2[[#This Row],[Popolazione2011]]/$D$7911</f>
        <v>2.5225889934982667E-5</v>
      </c>
      <c r="F7841">
        <f>SUMIFS($D$2:$D$7909, $B$2:$B$7909, "Veneto")</f>
        <v>4855904</v>
      </c>
      <c r="G7841" s="1">
        <f>Comuni__2[[#This Row],[Popolazione2011]]/Comuni__2[[#This Row],[POPOLAZIONE TOTALE DI OGNI REGIONE (CON FILTRO)]]</f>
        <v>3.0869638279504703E-4</v>
      </c>
      <c r="H7841" t="str">
        <f>IF(Comuni__2[[#This Row],[Popolazione2011]]&gt;300000,"MAGGIORE","")</f>
        <v/>
      </c>
    </row>
    <row r="7842" spans="1:8" x14ac:dyDescent="0.2">
      <c r="A7842"/>
      <c r="B7842"/>
      <c r="C7842"/>
      <c r="D7842"/>
      <c r="E7842" s="2">
        <f>Comuni__2[[#This Row],[Popolazione2011]]/$D$7911</f>
        <v>2.5192232977097435E-5</v>
      </c>
      <c r="F7842">
        <f>SUMIFS($D$2:$D$7909, $B$2:$B$7909, "Veneto")</f>
        <v>4855904</v>
      </c>
      <c r="G7842" s="1">
        <f>Comuni__2[[#This Row],[Popolazione2011]]/Comuni__2[[#This Row],[POPOLAZIONE TOTALE DI OGNI REGIONE (CON FILTRO)]]</f>
        <v>3.0828451303814905E-4</v>
      </c>
      <c r="H7842" t="str">
        <f>IF(Comuni__2[[#This Row],[Popolazione2011]]&gt;300000,"MAGGIORE","")</f>
        <v/>
      </c>
    </row>
    <row r="7843" spans="1:8" x14ac:dyDescent="0.2">
      <c r="A7843"/>
      <c r="B7843"/>
      <c r="C7843"/>
      <c r="D7843"/>
      <c r="E7843" s="2">
        <f>Comuni__2[[#This Row],[Popolazione2011]]/$D$7911</f>
        <v>2.4468608382564907E-5</v>
      </c>
      <c r="F7843">
        <f>SUMIFS($D$2:$D$7909, $B$2:$B$7909, "Veneto")</f>
        <v>4855904</v>
      </c>
      <c r="G7843" s="1">
        <f>Comuni__2[[#This Row],[Popolazione2011]]/Comuni__2[[#This Row],[POPOLAZIONE TOTALE DI OGNI REGIONE (CON FILTRO)]]</f>
        <v>2.9942931326484216E-4</v>
      </c>
      <c r="H7843" t="str">
        <f>IF(Comuni__2[[#This Row],[Popolazione2011]]&gt;300000,"MAGGIORE","")</f>
        <v/>
      </c>
    </row>
    <row r="7844" spans="1:8" x14ac:dyDescent="0.2">
      <c r="A7844"/>
      <c r="B7844"/>
      <c r="C7844"/>
      <c r="D7844"/>
      <c r="E7844" s="2">
        <f>Comuni__2[[#This Row],[Popolazione2011]]/$D$7911</f>
        <v>2.4434951424679675E-5</v>
      </c>
      <c r="F7844">
        <f>SUMIFS($D$2:$D$7909, $B$2:$B$7909, "Veneto")</f>
        <v>4855904</v>
      </c>
      <c r="G7844" s="1">
        <f>Comuni__2[[#This Row],[Popolazione2011]]/Comuni__2[[#This Row],[POPOLAZIONE TOTALE DI OGNI REGIONE (CON FILTRO)]]</f>
        <v>2.9901744350794413E-4</v>
      </c>
      <c r="H7844" t="str">
        <f>IF(Comuni__2[[#This Row],[Popolazione2011]]&gt;300000,"MAGGIORE","")</f>
        <v/>
      </c>
    </row>
    <row r="7845" spans="1:8" x14ac:dyDescent="0.2">
      <c r="A7845"/>
      <c r="B7845"/>
      <c r="C7845"/>
      <c r="D7845"/>
      <c r="E7845" s="2">
        <f>Comuni__2[[#This Row],[Popolazione2011]]/$D$7911</f>
        <v>2.4266666635253507E-5</v>
      </c>
      <c r="F7845">
        <f>SUMIFS($D$2:$D$7909, $B$2:$B$7909, "Veneto")</f>
        <v>4855904</v>
      </c>
      <c r="G7845" s="1">
        <f>Comuni__2[[#This Row],[Popolazione2011]]/Comuni__2[[#This Row],[POPOLAZIONE TOTALE DI OGNI REGIONE (CON FILTRO)]]</f>
        <v>2.9695809472345418E-4</v>
      </c>
      <c r="H7845" t="str">
        <f>IF(Comuni__2[[#This Row],[Popolazione2011]]&gt;300000,"MAGGIORE","")</f>
        <v/>
      </c>
    </row>
    <row r="7846" spans="1:8" x14ac:dyDescent="0.2">
      <c r="A7846"/>
      <c r="B7846"/>
      <c r="C7846"/>
      <c r="D7846"/>
      <c r="E7846" s="2">
        <f>Comuni__2[[#This Row],[Popolazione2011]]/$D$7911</f>
        <v>2.3980582493229019E-5</v>
      </c>
      <c r="F7846">
        <f>SUMIFS($D$2:$D$7909, $B$2:$B$7909, "Veneto")</f>
        <v>4855904</v>
      </c>
      <c r="G7846" s="1">
        <f>Comuni__2[[#This Row],[Popolazione2011]]/Comuni__2[[#This Row],[POPOLAZIONE TOTALE DI OGNI REGIONE (CON FILTRO)]]</f>
        <v>2.9345720178982124E-4</v>
      </c>
      <c r="H7846" t="str">
        <f>IF(Comuni__2[[#This Row],[Popolazione2011]]&gt;300000,"MAGGIORE","")</f>
        <v/>
      </c>
    </row>
    <row r="7847" spans="1:8" x14ac:dyDescent="0.2">
      <c r="A7847"/>
      <c r="B7847"/>
      <c r="C7847"/>
      <c r="D7847"/>
      <c r="E7847" s="2">
        <f>Comuni__2[[#This Row],[Popolazione2011]]/$D$7911</f>
        <v>2.3930097056401168E-5</v>
      </c>
      <c r="F7847">
        <f>SUMIFS($D$2:$D$7909, $B$2:$B$7909, "Veneto")</f>
        <v>4855904</v>
      </c>
      <c r="G7847" s="1">
        <f>Comuni__2[[#This Row],[Popolazione2011]]/Comuni__2[[#This Row],[POPOLAZIONE TOTALE DI OGNI REGIONE (CON FILTRO)]]</f>
        <v>2.9283939715447422E-4</v>
      </c>
      <c r="H7847" t="str">
        <f>IF(Comuni__2[[#This Row],[Popolazione2011]]&gt;300000,"MAGGIORE","")</f>
        <v/>
      </c>
    </row>
    <row r="7848" spans="1:8" x14ac:dyDescent="0.2">
      <c r="A7848"/>
      <c r="B7848"/>
      <c r="C7848"/>
      <c r="D7848"/>
      <c r="E7848" s="2">
        <f>Comuni__2[[#This Row],[Popolazione2011]]/$D$7911</f>
        <v>2.3744983788032383E-5</v>
      </c>
      <c r="F7848">
        <f>SUMIFS($D$2:$D$7909, $B$2:$B$7909, "Veneto")</f>
        <v>4855904</v>
      </c>
      <c r="G7848" s="1">
        <f>Comuni__2[[#This Row],[Popolazione2011]]/Comuni__2[[#This Row],[POPOLAZIONE TOTALE DI OGNI REGIONE (CON FILTRO)]]</f>
        <v>2.9057411349153527E-4</v>
      </c>
      <c r="H7848" t="str">
        <f>IF(Comuni__2[[#This Row],[Popolazione2011]]&gt;300000,"MAGGIORE","")</f>
        <v/>
      </c>
    </row>
    <row r="7849" spans="1:8" x14ac:dyDescent="0.2">
      <c r="A7849"/>
      <c r="B7849"/>
      <c r="C7849"/>
      <c r="D7849"/>
      <c r="E7849" s="2">
        <f>Comuni__2[[#This Row],[Popolazione2011]]/$D$7911</f>
        <v>2.3660841393319299E-5</v>
      </c>
      <c r="F7849">
        <f>SUMIFS($D$2:$D$7909, $B$2:$B$7909, "Veneto")</f>
        <v>4855904</v>
      </c>
      <c r="G7849" s="1">
        <f>Comuni__2[[#This Row],[Popolazione2011]]/Comuni__2[[#This Row],[POPOLAZIONE TOTALE DI OGNI REGIONE (CON FILTRO)]]</f>
        <v>2.8954443909929027E-4</v>
      </c>
      <c r="H7849" t="str">
        <f>IF(Comuni__2[[#This Row],[Popolazione2011]]&gt;300000,"MAGGIORE","")</f>
        <v/>
      </c>
    </row>
    <row r="7850" spans="1:8" x14ac:dyDescent="0.2">
      <c r="A7850"/>
      <c r="B7850"/>
      <c r="C7850"/>
      <c r="D7850"/>
      <c r="E7850" s="2">
        <f>Comuni__2[[#This Row],[Popolazione2011]]/$D$7911</f>
        <v>2.3593527477548832E-5</v>
      </c>
      <c r="F7850">
        <f>SUMIFS($D$2:$D$7909, $B$2:$B$7909, "Veneto")</f>
        <v>4855904</v>
      </c>
      <c r="G7850" s="1">
        <f>Comuni__2[[#This Row],[Popolazione2011]]/Comuni__2[[#This Row],[POPOLAZIONE TOTALE DI OGNI REGIONE (CON FILTRO)]]</f>
        <v>2.8872069958549426E-4</v>
      </c>
      <c r="H7850" t="str">
        <f>IF(Comuni__2[[#This Row],[Popolazione2011]]&gt;300000,"MAGGIORE","")</f>
        <v/>
      </c>
    </row>
    <row r="7851" spans="1:8" x14ac:dyDescent="0.2">
      <c r="A7851"/>
      <c r="B7851"/>
      <c r="C7851"/>
      <c r="D7851"/>
      <c r="E7851" s="2">
        <f>Comuni__2[[#This Row],[Popolazione2011]]/$D$7911</f>
        <v>2.3374757251294812E-5</v>
      </c>
      <c r="F7851">
        <f>SUMIFS($D$2:$D$7909, $B$2:$B$7909, "Veneto")</f>
        <v>4855904</v>
      </c>
      <c r="G7851" s="1">
        <f>Comuni__2[[#This Row],[Popolazione2011]]/Comuni__2[[#This Row],[POPOLAZIONE TOTALE DI OGNI REGIONE (CON FILTRO)]]</f>
        <v>2.8604354616565734E-4</v>
      </c>
      <c r="H7851" t="str">
        <f>IF(Comuni__2[[#This Row],[Popolazione2011]]&gt;300000,"MAGGIORE","")</f>
        <v/>
      </c>
    </row>
    <row r="7852" spans="1:8" x14ac:dyDescent="0.2">
      <c r="A7852"/>
      <c r="B7852"/>
      <c r="C7852"/>
      <c r="D7852"/>
      <c r="E7852" s="2">
        <f>Comuni__2[[#This Row],[Popolazione2011]]/$D$7911</f>
        <v>2.3290614856581728E-5</v>
      </c>
      <c r="F7852">
        <f>SUMIFS($D$2:$D$7909, $B$2:$B$7909, "Veneto")</f>
        <v>4855904</v>
      </c>
      <c r="G7852" s="1">
        <f>Comuni__2[[#This Row],[Popolazione2011]]/Comuni__2[[#This Row],[POPOLAZIONE TOTALE DI OGNI REGIONE (CON FILTRO)]]</f>
        <v>2.8501387177341233E-4</v>
      </c>
      <c r="H7852" t="str">
        <f>IF(Comuni__2[[#This Row],[Popolazione2011]]&gt;300000,"MAGGIORE","")</f>
        <v/>
      </c>
    </row>
    <row r="7853" spans="1:8" x14ac:dyDescent="0.2">
      <c r="A7853"/>
      <c r="B7853"/>
      <c r="C7853"/>
      <c r="D7853"/>
      <c r="E7853" s="2">
        <f>Comuni__2[[#This Row],[Popolazione2011]]/$D$7911</f>
        <v>2.3206472461868644E-5</v>
      </c>
      <c r="F7853">
        <f>SUMIFS($D$2:$D$7909, $B$2:$B$7909, "Veneto")</f>
        <v>4855904</v>
      </c>
      <c r="G7853" s="1">
        <f>Comuni__2[[#This Row],[Popolazione2011]]/Comuni__2[[#This Row],[POPOLAZIONE TOTALE DI OGNI REGIONE (CON FILTRO)]]</f>
        <v>2.8398419738116733E-4</v>
      </c>
      <c r="H7853" t="str">
        <f>IF(Comuni__2[[#This Row],[Popolazione2011]]&gt;300000,"MAGGIORE","")</f>
        <v/>
      </c>
    </row>
    <row r="7854" spans="1:8" x14ac:dyDescent="0.2">
      <c r="A7854"/>
      <c r="B7854"/>
      <c r="C7854"/>
      <c r="D7854"/>
      <c r="E7854" s="2">
        <f>Comuni__2[[#This Row],[Popolazione2011]]/$D$7911</f>
        <v>2.312233006715556E-5</v>
      </c>
      <c r="F7854">
        <f>SUMIFS($D$2:$D$7909, $B$2:$B$7909, "Veneto")</f>
        <v>4855904</v>
      </c>
      <c r="G7854" s="1">
        <f>Comuni__2[[#This Row],[Popolazione2011]]/Comuni__2[[#This Row],[POPOLAZIONE TOTALE DI OGNI REGIONE (CON FILTRO)]]</f>
        <v>2.8295452298892233E-4</v>
      </c>
      <c r="H7854" t="str">
        <f>IF(Comuni__2[[#This Row],[Popolazione2011]]&gt;300000,"MAGGIORE","")</f>
        <v/>
      </c>
    </row>
    <row r="7855" spans="1:8" x14ac:dyDescent="0.2">
      <c r="A7855"/>
      <c r="B7855"/>
      <c r="C7855"/>
      <c r="D7855"/>
      <c r="E7855" s="2">
        <f>Comuni__2[[#This Row],[Popolazione2011]]/$D$7911</f>
        <v>2.3004530714557243E-5</v>
      </c>
      <c r="F7855">
        <f>SUMIFS($D$2:$D$7909, $B$2:$B$7909, "Veneto")</f>
        <v>4855904</v>
      </c>
      <c r="G7855" s="1">
        <f>Comuni__2[[#This Row],[Popolazione2011]]/Comuni__2[[#This Row],[POPOLAZIONE TOTALE DI OGNI REGIONE (CON FILTRO)]]</f>
        <v>2.8151297883977934E-4</v>
      </c>
      <c r="H7855" t="str">
        <f>IF(Comuni__2[[#This Row],[Popolazione2011]]&gt;300000,"MAGGIORE","")</f>
        <v/>
      </c>
    </row>
    <row r="7856" spans="1:8" x14ac:dyDescent="0.2">
      <c r="A7856"/>
      <c r="B7856"/>
      <c r="C7856"/>
      <c r="D7856"/>
      <c r="E7856" s="2">
        <f>Comuni__2[[#This Row],[Popolazione2011]]/$D$7911</f>
        <v>2.2853074404073692E-5</v>
      </c>
      <c r="F7856">
        <f>SUMIFS($D$2:$D$7909, $B$2:$B$7909, "Veneto")</f>
        <v>4855904</v>
      </c>
      <c r="G7856" s="1">
        <f>Comuni__2[[#This Row],[Popolazione2011]]/Comuni__2[[#This Row],[POPOLAZIONE TOTALE DI OGNI REGIONE (CON FILTRO)]]</f>
        <v>2.7965956493373838E-4</v>
      </c>
      <c r="H7856" t="str">
        <f>IF(Comuni__2[[#This Row],[Popolazione2011]]&gt;300000,"MAGGIORE","")</f>
        <v/>
      </c>
    </row>
    <row r="7857" spans="1:8" x14ac:dyDescent="0.2">
      <c r="A7857"/>
      <c r="B7857"/>
      <c r="C7857"/>
      <c r="D7857"/>
      <c r="E7857" s="2">
        <f>Comuni__2[[#This Row],[Popolazione2011]]/$D$7911</f>
        <v>2.2398705472623036E-5</v>
      </c>
      <c r="F7857">
        <f>SUMIFS($D$2:$D$7909, $B$2:$B$7909, "Veneto")</f>
        <v>4855904</v>
      </c>
      <c r="G7857" s="1">
        <f>Comuni__2[[#This Row],[Popolazione2011]]/Comuni__2[[#This Row],[POPOLAZIONE TOTALE DI OGNI REGIONE (CON FILTRO)]]</f>
        <v>2.7409932321561549E-4</v>
      </c>
      <c r="H7857" t="str">
        <f>IF(Comuni__2[[#This Row],[Popolazione2011]]&gt;300000,"MAGGIORE","")</f>
        <v/>
      </c>
    </row>
    <row r="7858" spans="1:8" x14ac:dyDescent="0.2">
      <c r="A7858"/>
      <c r="B7858"/>
      <c r="C7858"/>
      <c r="D7858"/>
      <c r="E7858" s="2">
        <f>Comuni__2[[#This Row],[Popolazione2011]]/$D$7911</f>
        <v>2.22640776410821E-5</v>
      </c>
      <c r="F7858">
        <f>SUMIFS($D$2:$D$7909, $B$2:$B$7909, "Veneto")</f>
        <v>4855904</v>
      </c>
      <c r="G7858" s="1">
        <f>Comuni__2[[#This Row],[Popolazione2011]]/Comuni__2[[#This Row],[POPOLAZIONE TOTALE DI OGNI REGIONE (CON FILTRO)]]</f>
        <v>2.7245184418802347E-4</v>
      </c>
      <c r="H7858" t="str">
        <f>IF(Comuni__2[[#This Row],[Popolazione2011]]&gt;300000,"MAGGIORE","")</f>
        <v/>
      </c>
    </row>
    <row r="7859" spans="1:8" x14ac:dyDescent="0.2">
      <c r="A7859"/>
      <c r="B7859"/>
      <c r="C7859"/>
      <c r="D7859"/>
      <c r="E7859" s="2">
        <f>Comuni__2[[#This Row],[Popolazione2011]]/$D$7911</f>
        <v>2.2247249162139484E-5</v>
      </c>
      <c r="F7859">
        <f>SUMIFS($D$2:$D$7909, $B$2:$B$7909, "Veneto")</f>
        <v>4855904</v>
      </c>
      <c r="G7859" s="1">
        <f>Comuni__2[[#This Row],[Popolazione2011]]/Comuni__2[[#This Row],[POPOLAZIONE TOTALE DI OGNI REGIONE (CON FILTRO)]]</f>
        <v>2.7224590930957448E-4</v>
      </c>
      <c r="H7859" t="str">
        <f>IF(Comuni__2[[#This Row],[Popolazione2011]]&gt;300000,"MAGGIORE","")</f>
        <v/>
      </c>
    </row>
    <row r="7860" spans="1:8" x14ac:dyDescent="0.2">
      <c r="A7860"/>
      <c r="B7860"/>
      <c r="C7860"/>
      <c r="D7860"/>
      <c r="E7860" s="2">
        <f>Comuni__2[[#This Row],[Popolazione2011]]/$D$7911</f>
        <v>2.1607766962320044E-5</v>
      </c>
      <c r="F7860">
        <f>SUMIFS($D$2:$D$7909, $B$2:$B$7909, "Veneto")</f>
        <v>4855904</v>
      </c>
      <c r="G7860" s="1">
        <f>Comuni__2[[#This Row],[Popolazione2011]]/Comuni__2[[#This Row],[POPOLAZIONE TOTALE DI OGNI REGIONE (CON FILTRO)]]</f>
        <v>2.6442038392851259E-4</v>
      </c>
      <c r="H7860" t="str">
        <f>IF(Comuni__2[[#This Row],[Popolazione2011]]&gt;300000,"MAGGIORE","")</f>
        <v/>
      </c>
    </row>
    <row r="7861" spans="1:8" x14ac:dyDescent="0.2">
      <c r="A7861"/>
      <c r="B7861"/>
      <c r="C7861"/>
      <c r="D7861"/>
      <c r="E7861" s="2">
        <f>Comuni__2[[#This Row],[Popolazione2011]]/$D$7911</f>
        <v>2.1237540425582472E-5</v>
      </c>
      <c r="F7861">
        <f>SUMIFS($D$2:$D$7909, $B$2:$B$7909, "Veneto")</f>
        <v>4855904</v>
      </c>
      <c r="G7861" s="1">
        <f>Comuni__2[[#This Row],[Popolazione2011]]/Comuni__2[[#This Row],[POPOLAZIONE TOTALE DI OGNI REGIONE (CON FILTRO)]]</f>
        <v>2.5988981660263465E-4</v>
      </c>
      <c r="H7861" t="str">
        <f>IF(Comuni__2[[#This Row],[Popolazione2011]]&gt;300000,"MAGGIORE","")</f>
        <v/>
      </c>
    </row>
    <row r="7862" spans="1:8" x14ac:dyDescent="0.2">
      <c r="A7862"/>
      <c r="B7862"/>
      <c r="C7862"/>
      <c r="D7862"/>
      <c r="E7862" s="2">
        <f>Comuni__2[[#This Row],[Popolazione2011]]/$D$7911</f>
        <v>2.0429773436336864E-5</v>
      </c>
      <c r="F7862">
        <f>SUMIFS($D$2:$D$7909, $B$2:$B$7909, "Veneto")</f>
        <v>4855904</v>
      </c>
      <c r="G7862" s="1">
        <f>Comuni__2[[#This Row],[Popolazione2011]]/Comuni__2[[#This Row],[POPOLAZIONE TOTALE DI OGNI REGIONE (CON FILTRO)]]</f>
        <v>2.5000494243708276E-4</v>
      </c>
      <c r="H7862" t="str">
        <f>IF(Comuni__2[[#This Row],[Popolazione2011]]&gt;300000,"MAGGIORE","")</f>
        <v/>
      </c>
    </row>
    <row r="7863" spans="1:8" x14ac:dyDescent="0.2">
      <c r="A7863"/>
      <c r="B7863"/>
      <c r="C7863"/>
      <c r="D7863"/>
      <c r="E7863" s="2">
        <f>Comuni__2[[#This Row],[Popolazione2011]]/$D$7911</f>
        <v>2.0227831689025461E-5</v>
      </c>
      <c r="F7863">
        <f>SUMIFS($D$2:$D$7909, $B$2:$B$7909, "Veneto")</f>
        <v>4855904</v>
      </c>
      <c r="G7863" s="1">
        <f>Comuni__2[[#This Row],[Popolazione2011]]/Comuni__2[[#This Row],[POPOLAZIONE TOTALE DI OGNI REGIONE (CON FILTRO)]]</f>
        <v>2.4753372389569483E-4</v>
      </c>
      <c r="H7863" t="str">
        <f>IF(Comuni__2[[#This Row],[Popolazione2011]]&gt;300000,"MAGGIORE","")</f>
        <v/>
      </c>
    </row>
    <row r="7864" spans="1:8" x14ac:dyDescent="0.2">
      <c r="A7864"/>
      <c r="B7864"/>
      <c r="C7864"/>
      <c r="D7864"/>
      <c r="E7864" s="2">
        <f>Comuni__2[[#This Row],[Popolazione2011]]/$D$7911</f>
        <v>1.9941747547000973E-5</v>
      </c>
      <c r="F7864">
        <f>SUMIFS($D$2:$D$7909, $B$2:$B$7909, "Veneto")</f>
        <v>4855904</v>
      </c>
      <c r="G7864" s="1">
        <f>Comuni__2[[#This Row],[Popolazione2011]]/Comuni__2[[#This Row],[POPOLAZIONE TOTALE DI OGNI REGIONE (CON FILTRO)]]</f>
        <v>2.4403283096206187E-4</v>
      </c>
      <c r="H7864" t="str">
        <f>IF(Comuni__2[[#This Row],[Popolazione2011]]&gt;300000,"MAGGIORE","")</f>
        <v/>
      </c>
    </row>
    <row r="7865" spans="1:8" x14ac:dyDescent="0.2">
      <c r="A7865"/>
      <c r="B7865"/>
      <c r="C7865"/>
      <c r="D7865"/>
      <c r="E7865" s="2">
        <f>Comuni__2[[#This Row],[Popolazione2011]]/$D$7911</f>
        <v>1.9722977320746953E-5</v>
      </c>
      <c r="F7865">
        <f>SUMIFS($D$2:$D$7909, $B$2:$B$7909, "Veneto")</f>
        <v>4855904</v>
      </c>
      <c r="G7865" s="1">
        <f>Comuni__2[[#This Row],[Popolazione2011]]/Comuni__2[[#This Row],[POPOLAZIONE TOTALE DI OGNI REGIONE (CON FILTRO)]]</f>
        <v>2.4135567754222489E-4</v>
      </c>
      <c r="H7865" t="str">
        <f>IF(Comuni__2[[#This Row],[Popolazione2011]]&gt;300000,"MAGGIORE","")</f>
        <v/>
      </c>
    </row>
    <row r="7866" spans="1:8" x14ac:dyDescent="0.2">
      <c r="A7866"/>
      <c r="B7866"/>
      <c r="C7866"/>
      <c r="D7866"/>
      <c r="E7866" s="2">
        <f>Comuni__2[[#This Row],[Popolazione2011]]/$D$7911</f>
        <v>1.9453721657665085E-5</v>
      </c>
      <c r="F7866">
        <f>SUMIFS($D$2:$D$7909, $B$2:$B$7909, "Veneto")</f>
        <v>4855904</v>
      </c>
      <c r="G7866" s="1">
        <f>Comuni__2[[#This Row],[Popolazione2011]]/Comuni__2[[#This Row],[POPOLAZIONE TOTALE DI OGNI REGIONE (CON FILTRO)]]</f>
        <v>2.3806071948704092E-4</v>
      </c>
      <c r="H7866" t="str">
        <f>IF(Comuni__2[[#This Row],[Popolazione2011]]&gt;300000,"MAGGIORE","")</f>
        <v/>
      </c>
    </row>
    <row r="7867" spans="1:8" x14ac:dyDescent="0.2">
      <c r="A7867"/>
      <c r="B7867"/>
      <c r="C7867"/>
      <c r="D7867"/>
      <c r="E7867" s="2">
        <f>Comuni__2[[#This Row],[Popolazione2011]]/$D$7911</f>
        <v>1.9352750784009385E-5</v>
      </c>
      <c r="F7867">
        <f>SUMIFS($D$2:$D$7909, $B$2:$B$7909, "Veneto")</f>
        <v>4855904</v>
      </c>
      <c r="G7867" s="1">
        <f>Comuni__2[[#This Row],[Popolazione2011]]/Comuni__2[[#This Row],[POPOLAZIONE TOTALE DI OGNI REGIONE (CON FILTRO)]]</f>
        <v>2.3682511021634695E-4</v>
      </c>
      <c r="H7867" t="str">
        <f>IF(Comuni__2[[#This Row],[Popolazione2011]]&gt;300000,"MAGGIORE","")</f>
        <v/>
      </c>
    </row>
    <row r="7868" spans="1:8" x14ac:dyDescent="0.2">
      <c r="A7868"/>
      <c r="B7868"/>
      <c r="C7868"/>
      <c r="D7868"/>
      <c r="E7868" s="2">
        <f>Comuni__2[[#This Row],[Popolazione2011]]/$D$7911</f>
        <v>1.9117152078812749E-5</v>
      </c>
      <c r="F7868">
        <f>SUMIFS($D$2:$D$7909, $B$2:$B$7909, "Veneto")</f>
        <v>4855904</v>
      </c>
      <c r="G7868" s="1">
        <f>Comuni__2[[#This Row],[Popolazione2011]]/Comuni__2[[#This Row],[POPOLAZIONE TOTALE DI OGNI REGIONE (CON FILTRO)]]</f>
        <v>2.3394202191806098E-4</v>
      </c>
      <c r="H7868" t="str">
        <f>IF(Comuni__2[[#This Row],[Popolazione2011]]&gt;300000,"MAGGIORE","")</f>
        <v/>
      </c>
    </row>
    <row r="7869" spans="1:8" x14ac:dyDescent="0.2">
      <c r="A7869"/>
      <c r="B7869"/>
      <c r="C7869"/>
      <c r="D7869"/>
      <c r="E7869" s="2">
        <f>Comuni__2[[#This Row],[Popolazione2011]]/$D$7911</f>
        <v>1.8410355963222841E-5</v>
      </c>
      <c r="F7869">
        <f>SUMIFS($D$2:$D$7909, $B$2:$B$7909, "Veneto")</f>
        <v>4855904</v>
      </c>
      <c r="G7869" s="1">
        <f>Comuni__2[[#This Row],[Popolazione2011]]/Comuni__2[[#This Row],[POPOLAZIONE TOTALE DI OGNI REGIONE (CON FILTRO)]]</f>
        <v>2.2529275702320309E-4</v>
      </c>
      <c r="H7869" t="str">
        <f>IF(Comuni__2[[#This Row],[Popolazione2011]]&gt;300000,"MAGGIORE","")</f>
        <v/>
      </c>
    </row>
    <row r="7870" spans="1:8" x14ac:dyDescent="0.2">
      <c r="A7870"/>
      <c r="B7870"/>
      <c r="C7870"/>
      <c r="D7870"/>
      <c r="E7870" s="2">
        <f>Comuni__2[[#This Row],[Popolazione2011]]/$D$7911</f>
        <v>1.814110030014097E-5</v>
      </c>
      <c r="F7870">
        <f>SUMIFS($D$2:$D$7909, $B$2:$B$7909, "Veneto")</f>
        <v>4855904</v>
      </c>
      <c r="G7870" s="1">
        <f>Comuni__2[[#This Row],[Popolazione2011]]/Comuni__2[[#This Row],[POPOLAZIONE TOTALE DI OGNI REGIONE (CON FILTRO)]]</f>
        <v>2.2199779896801914E-4</v>
      </c>
      <c r="H7870" t="str">
        <f>IF(Comuni__2[[#This Row],[Popolazione2011]]&gt;300000,"MAGGIORE","")</f>
        <v/>
      </c>
    </row>
    <row r="7871" spans="1:8" x14ac:dyDescent="0.2">
      <c r="A7871"/>
      <c r="B7871"/>
      <c r="C7871"/>
      <c r="D7871"/>
      <c r="E7871" s="2">
        <f>Comuni__2[[#This Row],[Popolazione2011]]/$D$7911</f>
        <v>1.7467961142436298E-5</v>
      </c>
      <c r="F7871">
        <f>SUMIFS($D$2:$D$7909, $B$2:$B$7909, "Veneto")</f>
        <v>4855904</v>
      </c>
      <c r="G7871" s="1">
        <f>Comuni__2[[#This Row],[Popolazione2011]]/Comuni__2[[#This Row],[POPOLAZIONE TOTALE DI OGNI REGIONE (CON FILTRO)]]</f>
        <v>2.1376040383005925E-4</v>
      </c>
      <c r="H7871" t="str">
        <f>IF(Comuni__2[[#This Row],[Popolazione2011]]&gt;300000,"MAGGIORE","")</f>
        <v/>
      </c>
    </row>
    <row r="7872" spans="1:8" x14ac:dyDescent="0.2">
      <c r="A7872"/>
      <c r="B7872"/>
      <c r="C7872"/>
      <c r="D7872"/>
      <c r="E7872" s="2">
        <f>Comuni__2[[#This Row],[Popolazione2011]]/$D$7911</f>
        <v>1.6946278295215174E-5</v>
      </c>
      <c r="F7872">
        <f>SUMIFS($D$2:$D$7909, $B$2:$B$7909, "Veneto")</f>
        <v>4855904</v>
      </c>
      <c r="G7872" s="1">
        <f>Comuni__2[[#This Row],[Popolazione2011]]/Comuni__2[[#This Row],[POPOLAZIONE TOTALE DI OGNI REGIONE (CON FILTRO)]]</f>
        <v>2.0737642259814032E-4</v>
      </c>
      <c r="H7872" t="str">
        <f>IF(Comuni__2[[#This Row],[Popolazione2011]]&gt;300000,"MAGGIORE","")</f>
        <v/>
      </c>
    </row>
    <row r="7873" spans="1:8" x14ac:dyDescent="0.2">
      <c r="A7873"/>
      <c r="B7873"/>
      <c r="C7873"/>
      <c r="D7873"/>
      <c r="E7873" s="2">
        <f>Comuni__2[[#This Row],[Popolazione2011]]/$D$7911</f>
        <v>1.6828478942616854E-5</v>
      </c>
      <c r="F7873">
        <f>SUMIFS($D$2:$D$7909, $B$2:$B$7909, "Veneto")</f>
        <v>4855904</v>
      </c>
      <c r="G7873" s="1">
        <f>Comuni__2[[#This Row],[Popolazione2011]]/Comuni__2[[#This Row],[POPOLAZIONE TOTALE DI OGNI REGIONE (CON FILTRO)]]</f>
        <v>2.0593487844899734E-4</v>
      </c>
      <c r="H7873" t="str">
        <f>IF(Comuni__2[[#This Row],[Popolazione2011]]&gt;300000,"MAGGIORE","")</f>
        <v/>
      </c>
    </row>
    <row r="7874" spans="1:8" x14ac:dyDescent="0.2">
      <c r="A7874"/>
      <c r="B7874"/>
      <c r="C7874"/>
      <c r="D7874"/>
      <c r="E7874" s="2">
        <f>Comuni__2[[#This Row],[Popolazione2011]]/$D$7911</f>
        <v>1.5734627811346759E-5</v>
      </c>
      <c r="F7874">
        <f>SUMIFS($D$2:$D$7909, $B$2:$B$7909, "Veneto")</f>
        <v>4855904</v>
      </c>
      <c r="G7874" s="1">
        <f>Comuni__2[[#This Row],[Popolazione2011]]/Comuni__2[[#This Row],[POPOLAZIONE TOTALE DI OGNI REGIONE (CON FILTRO)]]</f>
        <v>1.9254911134981251E-4</v>
      </c>
      <c r="H7874" t="str">
        <f>IF(Comuni__2[[#This Row],[Popolazione2011]]&gt;300000,"MAGGIORE","")</f>
        <v/>
      </c>
    </row>
    <row r="7875" spans="1:8" x14ac:dyDescent="0.2">
      <c r="A7875"/>
      <c r="B7875"/>
      <c r="C7875"/>
      <c r="D7875"/>
      <c r="E7875" s="2">
        <f>Comuni__2[[#This Row],[Popolazione2011]]/$D$7911</f>
        <v>1.5717799332404143E-5</v>
      </c>
      <c r="F7875">
        <f>SUMIFS($D$2:$D$7909, $B$2:$B$7909, "Veneto")</f>
        <v>4855904</v>
      </c>
      <c r="G7875" s="1">
        <f>Comuni__2[[#This Row],[Popolazione2011]]/Comuni__2[[#This Row],[POPOLAZIONE TOTALE DI OGNI REGIONE (CON FILTRO)]]</f>
        <v>1.9234317647136352E-4</v>
      </c>
      <c r="H7875" t="str">
        <f>IF(Comuni__2[[#This Row],[Popolazione2011]]&gt;300000,"MAGGIORE","")</f>
        <v/>
      </c>
    </row>
    <row r="7876" spans="1:8" x14ac:dyDescent="0.2">
      <c r="A7876"/>
      <c r="B7876"/>
      <c r="C7876"/>
      <c r="D7876"/>
      <c r="E7876" s="2">
        <f>Comuni__2[[#This Row],[Popolazione2011]]/$D$7911</f>
        <v>1.5381229753551806E-5</v>
      </c>
      <c r="F7876">
        <f>SUMIFS($D$2:$D$7909, $B$2:$B$7909, "Veneto")</f>
        <v>4855904</v>
      </c>
      <c r="G7876" s="1">
        <f>Comuni__2[[#This Row],[Popolazione2011]]/Comuni__2[[#This Row],[POPOLAZIONE TOTALE DI OGNI REGIONE (CON FILTRO)]]</f>
        <v>1.8822447890238356E-4</v>
      </c>
      <c r="H7876" t="str">
        <f>IF(Comuni__2[[#This Row],[Popolazione2011]]&gt;300000,"MAGGIORE","")</f>
        <v/>
      </c>
    </row>
    <row r="7877" spans="1:8" x14ac:dyDescent="0.2">
      <c r="A7877"/>
      <c r="B7877"/>
      <c r="C7877"/>
      <c r="D7877"/>
      <c r="E7877" s="2">
        <f>Comuni__2[[#This Row],[Popolazione2011]]/$D$7911</f>
        <v>1.4994174737871619E-5</v>
      </c>
      <c r="F7877">
        <f>SUMIFS($D$2:$D$7909, $B$2:$B$7909, "Veneto")</f>
        <v>4855904</v>
      </c>
      <c r="G7877" s="1">
        <f>Comuni__2[[#This Row],[Popolazione2011]]/Comuni__2[[#This Row],[POPOLAZIONE TOTALE DI OGNI REGIONE (CON FILTRO)]]</f>
        <v>1.8348797669805663E-4</v>
      </c>
      <c r="H7877" t="str">
        <f>IF(Comuni__2[[#This Row],[Popolazione2011]]&gt;300000,"MAGGIORE","")</f>
        <v/>
      </c>
    </row>
    <row r="7878" spans="1:8" x14ac:dyDescent="0.2">
      <c r="A7878"/>
      <c r="B7878"/>
      <c r="C7878"/>
      <c r="D7878"/>
      <c r="E7878" s="2">
        <f>Comuni__2[[#This Row],[Popolazione2011]]/$D$7911</f>
        <v>1.4758576032674983E-5</v>
      </c>
      <c r="F7878">
        <f>SUMIFS($D$2:$D$7909, $B$2:$B$7909, "Veneto")</f>
        <v>4855904</v>
      </c>
      <c r="G7878" s="1">
        <f>Comuni__2[[#This Row],[Popolazione2011]]/Comuni__2[[#This Row],[POPOLAZIONE TOTALE DI OGNI REGIONE (CON FILTRO)]]</f>
        <v>1.8060488839977067E-4</v>
      </c>
      <c r="H7878" t="str">
        <f>IF(Comuni__2[[#This Row],[Popolazione2011]]&gt;300000,"MAGGIORE","")</f>
        <v/>
      </c>
    </row>
    <row r="7879" spans="1:8" x14ac:dyDescent="0.2">
      <c r="A7879"/>
      <c r="B7879"/>
      <c r="C7879"/>
      <c r="D7879"/>
      <c r="E7879" s="2">
        <f>Comuni__2[[#This Row],[Popolazione2011]]/$D$7911</f>
        <v>1.4321035580166945E-5</v>
      </c>
      <c r="F7879">
        <f>SUMIFS($D$2:$D$7909, $B$2:$B$7909, "Veneto")</f>
        <v>4855904</v>
      </c>
      <c r="G7879" s="1">
        <f>Comuni__2[[#This Row],[Popolazione2011]]/Comuni__2[[#This Row],[POPOLAZIONE TOTALE DI OGNI REGIONE (CON FILTRO)]]</f>
        <v>1.7525058156009674E-4</v>
      </c>
      <c r="H7879" t="str">
        <f>IF(Comuni__2[[#This Row],[Popolazione2011]]&gt;300000,"MAGGIORE","")</f>
        <v/>
      </c>
    </row>
    <row r="7880" spans="1:8" x14ac:dyDescent="0.2">
      <c r="A7880"/>
      <c r="B7880"/>
      <c r="C7880"/>
      <c r="D7880"/>
      <c r="E7880" s="2">
        <f>Comuni__2[[#This Row],[Popolazione2011]]/$D$7911</f>
        <v>1.3782524254003205E-5</v>
      </c>
      <c r="F7880">
        <f>SUMIFS($D$2:$D$7909, $B$2:$B$7909, "Veneto")</f>
        <v>4855904</v>
      </c>
      <c r="G7880" s="1">
        <f>Comuni__2[[#This Row],[Popolazione2011]]/Comuni__2[[#This Row],[POPOLAZIONE TOTALE DI OGNI REGIONE (CON FILTRO)]]</f>
        <v>1.6866066544972882E-4</v>
      </c>
      <c r="H7880" t="str">
        <f>IF(Comuni__2[[#This Row],[Popolazione2011]]&gt;300000,"MAGGIORE","")</f>
        <v/>
      </c>
    </row>
    <row r="7881" spans="1:8" x14ac:dyDescent="0.2">
      <c r="A7881"/>
      <c r="B7881"/>
      <c r="C7881"/>
      <c r="D7881"/>
      <c r="E7881" s="2">
        <f>Comuni__2[[#This Row],[Popolazione2011]]/$D$7911</f>
        <v>1.3765695775060587E-5</v>
      </c>
      <c r="F7881">
        <f>SUMIFS($D$2:$D$7909, $B$2:$B$7909, "Veneto")</f>
        <v>4855904</v>
      </c>
      <c r="G7881" s="1">
        <f>Comuni__2[[#This Row],[Popolazione2011]]/Comuni__2[[#This Row],[POPOLAZIONE TOTALE DI OGNI REGIONE (CON FILTRO)]]</f>
        <v>1.6845473057127983E-4</v>
      </c>
      <c r="H7881" t="str">
        <f>IF(Comuni__2[[#This Row],[Popolazione2011]]&gt;300000,"MAGGIORE","")</f>
        <v/>
      </c>
    </row>
    <row r="7882" spans="1:8" x14ac:dyDescent="0.2">
      <c r="A7882"/>
      <c r="B7882"/>
      <c r="C7882"/>
      <c r="D7882"/>
      <c r="E7882" s="2">
        <f>Comuni__2[[#This Row],[Popolazione2011]]/$D$7911</f>
        <v>1.3395469238323017E-5</v>
      </c>
      <c r="F7882">
        <f>SUMIFS($D$2:$D$7909, $B$2:$B$7909, "Veneto")</f>
        <v>4855904</v>
      </c>
      <c r="G7882" s="1">
        <f>Comuni__2[[#This Row],[Popolazione2011]]/Comuni__2[[#This Row],[POPOLAZIONE TOTALE DI OGNI REGIONE (CON FILTRO)]]</f>
        <v>1.6392416324540189E-4</v>
      </c>
      <c r="H7882" t="str">
        <f>IF(Comuni__2[[#This Row],[Popolazione2011]]&gt;300000,"MAGGIORE","")</f>
        <v/>
      </c>
    </row>
    <row r="7883" spans="1:8" x14ac:dyDescent="0.2">
      <c r="A7883"/>
      <c r="B7883"/>
      <c r="C7883"/>
      <c r="D7883"/>
      <c r="E7883" s="2">
        <f>Comuni__2[[#This Row],[Popolazione2011]]/$D$7911</f>
        <v>1.3294498364667315E-5</v>
      </c>
      <c r="F7883">
        <f>SUMIFS($D$2:$D$7909, $B$2:$B$7909, "Veneto")</f>
        <v>4855904</v>
      </c>
      <c r="G7883" s="1">
        <f>Comuni__2[[#This Row],[Popolazione2011]]/Comuni__2[[#This Row],[POPOLAZIONE TOTALE DI OGNI REGIONE (CON FILTRO)]]</f>
        <v>1.626885539747079E-4</v>
      </c>
      <c r="H7883" t="str">
        <f>IF(Comuni__2[[#This Row],[Popolazione2011]]&gt;300000,"MAGGIORE","")</f>
        <v/>
      </c>
    </row>
    <row r="7884" spans="1:8" x14ac:dyDescent="0.2">
      <c r="A7884"/>
      <c r="B7884"/>
      <c r="C7884"/>
      <c r="D7884"/>
      <c r="E7884" s="2">
        <f>Comuni__2[[#This Row],[Popolazione2011]]/$D$7911</f>
        <v>1.3143042054183765E-5</v>
      </c>
      <c r="F7884">
        <f>SUMIFS($D$2:$D$7909, $B$2:$B$7909, "Veneto")</f>
        <v>4855904</v>
      </c>
      <c r="G7884" s="1">
        <f>Comuni__2[[#This Row],[Popolazione2011]]/Comuni__2[[#This Row],[POPOLAZIONE TOTALE DI OGNI REGIONE (CON FILTRO)]]</f>
        <v>1.6083514006866694E-4</v>
      </c>
      <c r="H7884" t="str">
        <f>IF(Comuni__2[[#This Row],[Popolazione2011]]&gt;300000,"MAGGIORE","")</f>
        <v/>
      </c>
    </row>
    <row r="7885" spans="1:8" x14ac:dyDescent="0.2">
      <c r="A7885"/>
      <c r="B7885"/>
      <c r="C7885"/>
      <c r="D7885"/>
      <c r="E7885" s="2">
        <f>Comuni__2[[#This Row],[Popolazione2011]]/$D$7911</f>
        <v>1.2924271827929745E-5</v>
      </c>
      <c r="F7885">
        <f>SUMIFS($D$2:$D$7909, $B$2:$B$7909, "Veneto")</f>
        <v>4855904</v>
      </c>
      <c r="G7885" s="1">
        <f>Comuni__2[[#This Row],[Popolazione2011]]/Comuni__2[[#This Row],[POPOLAZIONE TOTALE DI OGNI REGIONE (CON FILTRO)]]</f>
        <v>1.5815798664882996E-4</v>
      </c>
      <c r="H7885" t="str">
        <f>IF(Comuni__2[[#This Row],[Popolazione2011]]&gt;300000,"MAGGIORE","")</f>
        <v/>
      </c>
    </row>
    <row r="7886" spans="1:8" x14ac:dyDescent="0.2">
      <c r="A7886"/>
      <c r="B7886"/>
      <c r="C7886"/>
      <c r="D7886"/>
      <c r="E7886" s="2">
        <f>Comuni__2[[#This Row],[Popolazione2011]]/$D$7911</f>
        <v>1.2907443348987128E-5</v>
      </c>
      <c r="F7886">
        <f>SUMIFS($D$2:$D$7909, $B$2:$B$7909, "Veneto")</f>
        <v>4855904</v>
      </c>
      <c r="G7886" s="1">
        <f>Comuni__2[[#This Row],[Popolazione2011]]/Comuni__2[[#This Row],[POPOLAZIONE TOTALE DI OGNI REGIONE (CON FILTRO)]]</f>
        <v>1.5795205177038097E-4</v>
      </c>
      <c r="H7886" t="str">
        <f>IF(Comuni__2[[#This Row],[Popolazione2011]]&gt;300000,"MAGGIORE","")</f>
        <v/>
      </c>
    </row>
    <row r="7887" spans="1:8" x14ac:dyDescent="0.2">
      <c r="A7887"/>
      <c r="B7887"/>
      <c r="C7887"/>
      <c r="D7887"/>
      <c r="E7887" s="2">
        <f>Comuni__2[[#This Row],[Popolazione2011]]/$D$7911</f>
        <v>1.2335275064938156E-5</v>
      </c>
      <c r="F7887">
        <f>SUMIFS($D$2:$D$7909, $B$2:$B$7909, "Veneto")</f>
        <v>4855904</v>
      </c>
      <c r="G7887" s="1">
        <f>Comuni__2[[#This Row],[Popolazione2011]]/Comuni__2[[#This Row],[POPOLAZIONE TOTALE DI OGNI REGIONE (CON FILTRO)]]</f>
        <v>1.5095026590311505E-4</v>
      </c>
      <c r="H7887" t="str">
        <f>IF(Comuni__2[[#This Row],[Popolazione2011]]&gt;300000,"MAGGIORE","")</f>
        <v/>
      </c>
    </row>
    <row r="7888" spans="1:8" x14ac:dyDescent="0.2">
      <c r="A7888"/>
      <c r="B7888"/>
      <c r="C7888"/>
      <c r="D7888"/>
      <c r="E7888" s="2">
        <f>Comuni__2[[#This Row],[Popolazione2011]]/$D$7911</f>
        <v>1.2166990275511987E-5</v>
      </c>
      <c r="F7888">
        <f>SUMIFS($D$2:$D$7909, $B$2:$B$7909, "Veneto")</f>
        <v>4855904</v>
      </c>
      <c r="G7888" s="1">
        <f>Comuni__2[[#This Row],[Popolazione2011]]/Comuni__2[[#This Row],[POPOLAZIONE TOTALE DI OGNI REGIONE (CON FILTRO)]]</f>
        <v>1.4889091711862507E-4</v>
      </c>
      <c r="H7888" t="str">
        <f>IF(Comuni__2[[#This Row],[Popolazione2011]]&gt;300000,"MAGGIORE","")</f>
        <v/>
      </c>
    </row>
    <row r="7889" spans="1:8" x14ac:dyDescent="0.2">
      <c r="A7889"/>
      <c r="B7889"/>
      <c r="C7889"/>
      <c r="D7889"/>
      <c r="E7889" s="2">
        <f>Comuni__2[[#This Row],[Popolazione2011]]/$D$7911</f>
        <v>1.2066019401856286E-5</v>
      </c>
      <c r="F7889">
        <f>SUMIFS($D$2:$D$7909, $B$2:$B$7909, "Veneto")</f>
        <v>4855904</v>
      </c>
      <c r="G7889" s="1">
        <f>Comuni__2[[#This Row],[Popolazione2011]]/Comuni__2[[#This Row],[POPOLAZIONE TOTALE DI OGNI REGIONE (CON FILTRO)]]</f>
        <v>1.476553078479311E-4</v>
      </c>
      <c r="H7889" t="str">
        <f>IF(Comuni__2[[#This Row],[Popolazione2011]]&gt;300000,"MAGGIORE","")</f>
        <v/>
      </c>
    </row>
    <row r="7890" spans="1:8" x14ac:dyDescent="0.2">
      <c r="A7890"/>
      <c r="B7890"/>
      <c r="C7890"/>
      <c r="D7890"/>
      <c r="E7890" s="2">
        <f>Comuni__2[[#This Row],[Popolazione2011]]/$D$7911</f>
        <v>1.1493851117807312E-5</v>
      </c>
      <c r="F7890">
        <f>SUMIFS($D$2:$D$7909, $B$2:$B$7909, "Veneto")</f>
        <v>4855904</v>
      </c>
      <c r="G7890" s="1">
        <f>Comuni__2[[#This Row],[Popolazione2011]]/Comuni__2[[#This Row],[POPOLAZIONE TOTALE DI OGNI REGIONE (CON FILTRO)]]</f>
        <v>1.4065352198066518E-4</v>
      </c>
      <c r="H7890" t="str">
        <f>IF(Comuni__2[[#This Row],[Popolazione2011]]&gt;300000,"MAGGIORE","")</f>
        <v/>
      </c>
    </row>
    <row r="7891" spans="1:8" x14ac:dyDescent="0.2">
      <c r="A7891"/>
      <c r="B7891"/>
      <c r="C7891"/>
      <c r="D7891"/>
      <c r="E7891" s="2">
        <f>Comuni__2[[#This Row],[Popolazione2011]]/$D$7911</f>
        <v>1.1207766975782826E-5</v>
      </c>
      <c r="F7891">
        <f>SUMIFS($D$2:$D$7909, $B$2:$B$7909, "Veneto")</f>
        <v>4855904</v>
      </c>
      <c r="G7891" s="1">
        <f>Comuni__2[[#This Row],[Popolazione2011]]/Comuni__2[[#This Row],[POPOLAZIONE TOTALE DI OGNI REGIONE (CON FILTRO)]]</f>
        <v>1.3715262904703224E-4</v>
      </c>
      <c r="H7891" t="str">
        <f>IF(Comuni__2[[#This Row],[Popolazione2011]]&gt;300000,"MAGGIORE","")</f>
        <v/>
      </c>
    </row>
    <row r="7892" spans="1:8" x14ac:dyDescent="0.2">
      <c r="A7892"/>
      <c r="B7892"/>
      <c r="C7892"/>
      <c r="D7892"/>
      <c r="E7892" s="2">
        <f>Comuni__2[[#This Row],[Popolazione2011]]/$D$7911</f>
        <v>1.0736569565389554E-5</v>
      </c>
      <c r="F7892">
        <f>SUMIFS($D$2:$D$7909, $B$2:$B$7909, "Veneto")</f>
        <v>4855904</v>
      </c>
      <c r="G7892" s="1">
        <f>Comuni__2[[#This Row],[Popolazione2011]]/Comuni__2[[#This Row],[POPOLAZIONE TOTALE DI OGNI REGIONE (CON FILTRO)]]</f>
        <v>1.3138645245046031E-4</v>
      </c>
      <c r="H7892" t="str">
        <f>IF(Comuni__2[[#This Row],[Popolazione2011]]&gt;300000,"MAGGIORE","")</f>
        <v/>
      </c>
    </row>
    <row r="7893" spans="1:8" x14ac:dyDescent="0.2">
      <c r="A7893"/>
      <c r="B7893"/>
      <c r="C7893"/>
      <c r="D7893"/>
      <c r="E7893" s="2">
        <f>Comuni__2[[#This Row],[Popolazione2011]]/$D$7911</f>
        <v>9.7100323498899264E-6</v>
      </c>
      <c r="F7893">
        <f>SUMIFS($D$2:$D$7909, $B$2:$B$7909, "Veneto")</f>
        <v>4855904</v>
      </c>
      <c r="G7893" s="1">
        <f>Comuni__2[[#This Row],[Popolazione2011]]/Comuni__2[[#This Row],[POPOLAZIONE TOTALE DI OGNI REGIONE (CON FILTRO)]]</f>
        <v>1.1882442486507147E-4</v>
      </c>
      <c r="H7893" t="str">
        <f>IF(Comuni__2[[#This Row],[Popolazione2011]]&gt;300000,"MAGGIORE","")</f>
        <v/>
      </c>
    </row>
    <row r="7894" spans="1:8" x14ac:dyDescent="0.2">
      <c r="A7894"/>
      <c r="B7894"/>
      <c r="C7894"/>
      <c r="D7894"/>
      <c r="E7894" s="2">
        <f>Comuni__2[[#This Row],[Popolazione2011]]/$D$7911</f>
        <v>9.7100323498899264E-6</v>
      </c>
      <c r="F7894">
        <f>SUMIFS($D$2:$D$7909, $B$2:$B$7909, "Veneto")</f>
        <v>4855904</v>
      </c>
      <c r="G7894" s="1">
        <f>Comuni__2[[#This Row],[Popolazione2011]]/Comuni__2[[#This Row],[POPOLAZIONE TOTALE DI OGNI REGIONE (CON FILTRO)]]</f>
        <v>1.1882442486507147E-4</v>
      </c>
      <c r="H7894" t="str">
        <f>IF(Comuni__2[[#This Row],[Popolazione2011]]&gt;300000,"MAGGIORE","")</f>
        <v/>
      </c>
    </row>
    <row r="7895" spans="1:8" x14ac:dyDescent="0.2">
      <c r="A7895"/>
      <c r="B7895"/>
      <c r="C7895"/>
      <c r="D7895"/>
      <c r="E7895" s="2">
        <f>Comuni__2[[#This Row],[Popolazione2011]]/$D$7911</f>
        <v>9.5417475604637567E-6</v>
      </c>
      <c r="F7895">
        <f>SUMIFS($D$2:$D$7909, $B$2:$B$7909, "Veneto")</f>
        <v>4855904</v>
      </c>
      <c r="G7895" s="1">
        <f>Comuni__2[[#This Row],[Popolazione2011]]/Comuni__2[[#This Row],[POPOLAZIONE TOTALE DI OGNI REGIONE (CON FILTRO)]]</f>
        <v>1.1676507608058149E-4</v>
      </c>
      <c r="H7895" t="str">
        <f>IF(Comuni__2[[#This Row],[Popolazione2011]]&gt;300000,"MAGGIORE","")</f>
        <v/>
      </c>
    </row>
    <row r="7896" spans="1:8" x14ac:dyDescent="0.2">
      <c r="A7896"/>
      <c r="B7896"/>
      <c r="C7896"/>
      <c r="D7896"/>
      <c r="E7896" s="2">
        <f>Comuni__2[[#This Row],[Popolazione2011]]/$D$7911</f>
        <v>9.3061488552671208E-6</v>
      </c>
      <c r="F7896">
        <f>SUMIFS($D$2:$D$7909, $B$2:$B$7909, "Veneto")</f>
        <v>4855904</v>
      </c>
      <c r="G7896" s="1">
        <f>Comuni__2[[#This Row],[Popolazione2011]]/Comuni__2[[#This Row],[POPOLAZIONE TOTALE DI OGNI REGIONE (CON FILTRO)]]</f>
        <v>1.1388198778229554E-4</v>
      </c>
      <c r="H7896" t="str">
        <f>IF(Comuni__2[[#This Row],[Popolazione2011]]&gt;300000,"MAGGIORE","")</f>
        <v/>
      </c>
    </row>
    <row r="7897" spans="1:8" x14ac:dyDescent="0.2">
      <c r="A7897"/>
      <c r="B7897"/>
      <c r="C7897"/>
      <c r="D7897"/>
      <c r="E7897" s="2">
        <f>Comuni__2[[#This Row],[Popolazione2011]]/$D$7911</f>
        <v>8.7003236133329148E-6</v>
      </c>
      <c r="F7897">
        <f>SUMIFS($D$2:$D$7909, $B$2:$B$7909, "Veneto")</f>
        <v>4855904</v>
      </c>
      <c r="G7897" s="1">
        <f>Comuni__2[[#This Row],[Popolazione2011]]/Comuni__2[[#This Row],[POPOLAZIONE TOTALE DI OGNI REGIONE (CON FILTRO)]]</f>
        <v>1.0646833215813163E-4</v>
      </c>
      <c r="H7897" t="str">
        <f>IF(Comuni__2[[#This Row],[Popolazione2011]]&gt;300000,"MAGGIORE","")</f>
        <v/>
      </c>
    </row>
    <row r="7898" spans="1:8" x14ac:dyDescent="0.2">
      <c r="A7898"/>
      <c r="B7898"/>
      <c r="C7898"/>
      <c r="D7898"/>
      <c r="E7898" s="2">
        <f>Comuni__2[[#This Row],[Popolazione2011]]/$D$7911</f>
        <v>8.649838176505063E-6</v>
      </c>
      <c r="F7898">
        <f>SUMIFS($D$2:$D$7909, $B$2:$B$7909, "Veneto")</f>
        <v>4855904</v>
      </c>
      <c r="G7898" s="1">
        <f>Comuni__2[[#This Row],[Popolazione2011]]/Comuni__2[[#This Row],[POPOLAZIONE TOTALE DI OGNI REGIONE (CON FILTRO)]]</f>
        <v>1.0585052752278463E-4</v>
      </c>
      <c r="H7898" t="str">
        <f>IF(Comuni__2[[#This Row],[Popolazione2011]]&gt;300000,"MAGGIORE","")</f>
        <v/>
      </c>
    </row>
    <row r="7899" spans="1:8" x14ac:dyDescent="0.2">
      <c r="A7899"/>
      <c r="B7899"/>
      <c r="C7899"/>
      <c r="D7899"/>
      <c r="E7899" s="2">
        <f>Comuni__2[[#This Row],[Popolazione2011]]/$D$7911</f>
        <v>8.649838176505063E-6</v>
      </c>
      <c r="F7899">
        <f>SUMIFS($D$2:$D$7909, $B$2:$B$7909, "Veneto")</f>
        <v>4855904</v>
      </c>
      <c r="G7899" s="1">
        <f>Comuni__2[[#This Row],[Popolazione2011]]/Comuni__2[[#This Row],[POPOLAZIONE TOTALE DI OGNI REGIONE (CON FILTRO)]]</f>
        <v>1.0585052752278463E-4</v>
      </c>
      <c r="H7899" t="str">
        <f>IF(Comuni__2[[#This Row],[Popolazione2011]]&gt;300000,"MAGGIORE","")</f>
        <v/>
      </c>
    </row>
    <row r="7900" spans="1:8" x14ac:dyDescent="0.2">
      <c r="A7900"/>
      <c r="B7900"/>
      <c r="C7900"/>
      <c r="D7900"/>
      <c r="E7900" s="2">
        <f>Comuni__2[[#This Row],[Popolazione2011]]/$D$7911</f>
        <v>7.1184465927269304E-6</v>
      </c>
      <c r="F7900">
        <f>SUMIFS($D$2:$D$7909, $B$2:$B$7909, "Veneto")</f>
        <v>4855904</v>
      </c>
      <c r="G7900" s="1">
        <f>Comuni__2[[#This Row],[Popolazione2011]]/Comuni__2[[#This Row],[POPOLAZIONE TOTALE DI OGNI REGIONE (CON FILTRO)]]</f>
        <v>8.7110453583925883E-5</v>
      </c>
      <c r="H7900" t="str">
        <f>IF(Comuni__2[[#This Row],[Popolazione2011]]&gt;300000,"MAGGIORE","")</f>
        <v/>
      </c>
    </row>
    <row r="7901" spans="1:8" x14ac:dyDescent="0.2">
      <c r="A7901"/>
      <c r="B7901"/>
      <c r="C7901"/>
      <c r="D7901"/>
      <c r="E7901" s="2">
        <f>Comuni__2[[#This Row],[Popolazione2011]]/$D$7911</f>
        <v>7.0343041980138455E-6</v>
      </c>
      <c r="F7901">
        <f>SUMIFS($D$2:$D$7909, $B$2:$B$7909, "Veneto")</f>
        <v>4855904</v>
      </c>
      <c r="G7901" s="1">
        <f>Comuni__2[[#This Row],[Popolazione2011]]/Comuni__2[[#This Row],[POPOLAZIONE TOTALE DI OGNI REGIONE (CON FILTRO)]]</f>
        <v>8.6080779191680893E-5</v>
      </c>
      <c r="H7901" t="str">
        <f>IF(Comuni__2[[#This Row],[Popolazione2011]]&gt;300000,"MAGGIORE","")</f>
        <v/>
      </c>
    </row>
    <row r="7902" spans="1:8" x14ac:dyDescent="0.2">
      <c r="A7902"/>
      <c r="B7902"/>
      <c r="C7902"/>
      <c r="D7902"/>
      <c r="E7902" s="2">
        <f>Comuni__2[[#This Row],[Popolazione2011]]/$D$7911</f>
        <v>6.8155339717598266E-6</v>
      </c>
      <c r="F7902">
        <f>SUMIFS($D$2:$D$7909, $B$2:$B$7909, "Veneto")</f>
        <v>4855904</v>
      </c>
      <c r="G7902" s="1">
        <f>Comuni__2[[#This Row],[Popolazione2011]]/Comuni__2[[#This Row],[POPOLAZIONE TOTALE DI OGNI REGIONE (CON FILTRO)]]</f>
        <v>8.340362577184393E-5</v>
      </c>
      <c r="H7902" t="str">
        <f>IF(Comuni__2[[#This Row],[Popolazione2011]]&gt;300000,"MAGGIORE","")</f>
        <v/>
      </c>
    </row>
    <row r="7903" spans="1:8" x14ac:dyDescent="0.2">
      <c r="A7903"/>
      <c r="B7903"/>
      <c r="C7903"/>
      <c r="D7903"/>
      <c r="E7903" s="2">
        <f>Comuni__2[[#This Row],[Popolazione2011]]/$D$7911</f>
        <v>6.5799352665631906E-6</v>
      </c>
      <c r="F7903">
        <f>SUMIFS($D$2:$D$7909, $B$2:$B$7909, "Veneto")</f>
        <v>4855904</v>
      </c>
      <c r="G7903" s="1">
        <f>Comuni__2[[#This Row],[Popolazione2011]]/Comuni__2[[#This Row],[POPOLAZIONE TOTALE DI OGNI REGIONE (CON FILTRO)]]</f>
        <v>8.0520537473557964E-5</v>
      </c>
      <c r="H7903" t="str">
        <f>IF(Comuni__2[[#This Row],[Popolazione2011]]&gt;300000,"MAGGIORE","")</f>
        <v/>
      </c>
    </row>
    <row r="7904" spans="1:8" x14ac:dyDescent="0.2">
      <c r="A7904"/>
      <c r="B7904"/>
      <c r="C7904"/>
      <c r="D7904"/>
      <c r="E7904" s="2">
        <f>Comuni__2[[#This Row],[Popolazione2011]]/$D$7911</f>
        <v>6.4453074350222557E-6</v>
      </c>
      <c r="F7904">
        <f>SUMIFS($D$2:$D$7909, $B$2:$B$7909, "Veneto")</f>
        <v>4855904</v>
      </c>
      <c r="G7904" s="1">
        <f>Comuni__2[[#This Row],[Popolazione2011]]/Comuni__2[[#This Row],[POPOLAZIONE TOTALE DI OGNI REGIONE (CON FILTRO)]]</f>
        <v>7.8873058445965978E-5</v>
      </c>
      <c r="H7904" t="str">
        <f>IF(Comuni__2[[#This Row],[Popolazione2011]]&gt;300000,"MAGGIORE","")</f>
        <v/>
      </c>
    </row>
    <row r="7905" spans="1:8" x14ac:dyDescent="0.2">
      <c r="A7905"/>
      <c r="B7905"/>
      <c r="C7905"/>
      <c r="D7905"/>
      <c r="E7905" s="2">
        <f>Comuni__2[[#This Row],[Popolazione2011]]/$D$7911</f>
        <v>5.486084135293095E-6</v>
      </c>
      <c r="F7905">
        <f>SUMIFS($D$2:$D$7909, $B$2:$B$7909, "Veneto")</f>
        <v>4855904</v>
      </c>
      <c r="G7905" s="1">
        <f>Comuni__2[[#This Row],[Popolazione2011]]/Comuni__2[[#This Row],[POPOLAZIONE TOTALE DI OGNI REGIONE (CON FILTRO)]]</f>
        <v>6.7134770374373137E-5</v>
      </c>
      <c r="H7905" t="str">
        <f>IF(Comuni__2[[#This Row],[Popolazione2011]]&gt;300000,"MAGGIORE","")</f>
        <v/>
      </c>
    </row>
    <row r="7906" spans="1:8" x14ac:dyDescent="0.2">
      <c r="A7906"/>
      <c r="B7906"/>
      <c r="C7906"/>
      <c r="D7906"/>
      <c r="E7906" s="2">
        <f>Comuni__2[[#This Row],[Popolazione2011]]/$D$7911</f>
        <v>4.4595469197934665E-6</v>
      </c>
      <c r="F7906">
        <f>SUMIFS($D$2:$D$7909, $B$2:$B$7909, "Veneto")</f>
        <v>4855904</v>
      </c>
      <c r="G7906" s="1">
        <f>Comuni__2[[#This Row],[Popolazione2011]]/Comuni__2[[#This Row],[POPOLAZIONE TOTALE DI OGNI REGIONE (CON FILTRO)]]</f>
        <v>5.4572742788984297E-5</v>
      </c>
      <c r="H7906" t="str">
        <f>IF(Comuni__2[[#This Row],[Popolazione2011]]&gt;300000,"MAGGIORE","")</f>
        <v/>
      </c>
    </row>
    <row r="7907" spans="1:8" x14ac:dyDescent="0.2">
      <c r="A7907"/>
      <c r="B7907"/>
      <c r="C7907"/>
      <c r="D7907"/>
      <c r="E7907" s="2">
        <f>Comuni__2[[#This Row],[Popolazione2011]]/$D$7911</f>
        <v>3.8537216778592597E-6</v>
      </c>
      <c r="F7907">
        <f>SUMIFS($D$2:$D$7909, $B$2:$B$7909, "Veneto")</f>
        <v>4855904</v>
      </c>
      <c r="G7907" s="1">
        <f>Comuni__2[[#This Row],[Popolazione2011]]/Comuni__2[[#This Row],[POPOLAZIONE TOTALE DI OGNI REGIONE (CON FILTRO)]]</f>
        <v>4.7159087164820392E-5</v>
      </c>
      <c r="H7907" t="str">
        <f>IF(Comuni__2[[#This Row],[Popolazione2011]]&gt;300000,"MAGGIORE","")</f>
        <v/>
      </c>
    </row>
    <row r="7908" spans="1:8" x14ac:dyDescent="0.2">
      <c r="A7908"/>
      <c r="B7908"/>
      <c r="C7908"/>
      <c r="D7908"/>
      <c r="E7908" s="2">
        <f>Comuni__2[[#This Row],[Popolazione2011]]/$D$7911</f>
        <v>3.7190938463183252E-6</v>
      </c>
      <c r="F7908">
        <f>SUMIFS($D$2:$D$7909, $B$2:$B$7909, "Veneto")</f>
        <v>4855904</v>
      </c>
      <c r="G7908" s="1">
        <f>Comuni__2[[#This Row],[Popolazione2011]]/Comuni__2[[#This Row],[POPOLAZIONE TOTALE DI OGNI REGIONE (CON FILTRO)]]</f>
        <v>4.5511608137228413E-5</v>
      </c>
      <c r="H7908" t="str">
        <f>IF(Comuni__2[[#This Row],[Popolazione2011]]&gt;300000,"MAGGIORE","")</f>
        <v/>
      </c>
    </row>
    <row r="7909" spans="1:8" x14ac:dyDescent="0.2">
      <c r="A7909"/>
      <c r="B7909"/>
      <c r="C7909"/>
      <c r="D7909"/>
      <c r="E7909" s="2">
        <f>Comuni__2[[#This Row],[Popolazione2011]]/$D$7911</f>
        <v>2.0699029099418733E-6</v>
      </c>
      <c r="F7909">
        <f>SUMIFS($D$2:$D$7909, $B$2:$B$7909, "Veneto")</f>
        <v>4855904</v>
      </c>
      <c r="G7909" s="1">
        <f>Comuni__2[[#This Row],[Popolazione2011]]/Comuni__2[[#This Row],[POPOLAZIONE TOTALE DI OGNI REGIONE (CON FILTRO)]]</f>
        <v>2.5329990049226674E-5</v>
      </c>
      <c r="H7909" t="str">
        <f>IF(Comuni__2[[#This Row],[Popolazione2011]]&gt;300000,"MAGGIORE","")</f>
        <v/>
      </c>
    </row>
    <row r="7910" spans="1:8" x14ac:dyDescent="0.2">
      <c r="A7910"/>
      <c r="D7910"/>
      <c r="E7910" s="2">
        <f>Comuni__2[[#This Row],[Popolazione2011]]/$D$7911</f>
        <v>2.0699029099418733E-6</v>
      </c>
      <c r="F7910">
        <f>SUMIFS($D$2:$D$5, $B$2:$B$5, "Regione")</f>
        <v>0</v>
      </c>
      <c r="G7910" s="1" t="e">
        <f>Comuni__2[[#This Row],[Popolazione2011]]/Comuni__2[[#This Row],[POPOLAZIONE TOTALE DI OGNI REGIONE (CON FILTRO)]]</f>
        <v>#DIV/0!</v>
      </c>
      <c r="H7910" t="str">
        <f>IF(Comuni__2[[#This Row],[Popolazione2011]]&gt;300000,"MAGGIORE","")</f>
        <v/>
      </c>
    </row>
    <row r="7911" spans="1:8" x14ac:dyDescent="0.2">
      <c r="A7911" t="s">
        <v>0</v>
      </c>
      <c r="D7911">
        <f>SUM(Comuni__2[Popolazione2011])</f>
        <v>59423077</v>
      </c>
      <c r="G7911"/>
    </row>
  </sheetData>
  <dataConsolidate/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F643D-3680-F04E-BD53-6DF43A0D4FEE}">
  <dimension ref="A1:B21"/>
  <sheetViews>
    <sheetView workbookViewId="0">
      <selection activeCell="A2" sqref="A2:A21"/>
    </sheetView>
  </sheetViews>
  <sheetFormatPr baseColWidth="10" defaultRowHeight="16" x14ac:dyDescent="0.2"/>
  <sheetData>
    <row r="1" spans="1:2" x14ac:dyDescent="0.2">
      <c r="A1"/>
      <c r="B1"/>
    </row>
    <row r="2" spans="1:2" x14ac:dyDescent="0.2">
      <c r="A2"/>
      <c r="B2"/>
    </row>
    <row r="3" spans="1:2" x14ac:dyDescent="0.2">
      <c r="A3"/>
      <c r="B3"/>
    </row>
    <row r="4" spans="1:2" x14ac:dyDescent="0.2">
      <c r="A4"/>
      <c r="B4"/>
    </row>
    <row r="5" spans="1:2" x14ac:dyDescent="0.2">
      <c r="A5"/>
      <c r="B5"/>
    </row>
    <row r="6" spans="1:2" x14ac:dyDescent="0.2">
      <c r="A6"/>
      <c r="B6"/>
    </row>
    <row r="7" spans="1:2" x14ac:dyDescent="0.2">
      <c r="A7"/>
      <c r="B7"/>
    </row>
    <row r="8" spans="1:2" x14ac:dyDescent="0.2">
      <c r="A8"/>
      <c r="B8"/>
    </row>
    <row r="9" spans="1:2" x14ac:dyDescent="0.2">
      <c r="A9"/>
      <c r="B9"/>
    </row>
    <row r="10" spans="1:2" x14ac:dyDescent="0.2">
      <c r="A10"/>
      <c r="B10"/>
    </row>
    <row r="11" spans="1:2" x14ac:dyDescent="0.2">
      <c r="A11"/>
      <c r="B11"/>
    </row>
    <row r="12" spans="1:2" x14ac:dyDescent="0.2">
      <c r="A12"/>
      <c r="B12"/>
    </row>
    <row r="13" spans="1:2" x14ac:dyDescent="0.2">
      <c r="A13"/>
      <c r="B13"/>
    </row>
    <row r="14" spans="1:2" x14ac:dyDescent="0.2">
      <c r="A14"/>
      <c r="B14"/>
    </row>
    <row r="15" spans="1:2" x14ac:dyDescent="0.2">
      <c r="A15"/>
      <c r="B15"/>
    </row>
    <row r="16" spans="1:2" x14ac:dyDescent="0.2">
      <c r="A16"/>
      <c r="B16"/>
    </row>
    <row r="17" spans="1:2" x14ac:dyDescent="0.2">
      <c r="A17"/>
      <c r="B17"/>
    </row>
    <row r="18" spans="1:2" x14ac:dyDescent="0.2">
      <c r="A18"/>
      <c r="B18"/>
    </row>
    <row r="19" spans="1:2" x14ac:dyDescent="0.2">
      <c r="A19"/>
      <c r="B19"/>
    </row>
    <row r="20" spans="1:2" x14ac:dyDescent="0.2">
      <c r="A20"/>
      <c r="B20"/>
    </row>
    <row r="21" spans="1:2" x14ac:dyDescent="0.2">
      <c r="A21"/>
      <c r="B2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7F12C-9B82-5C4B-86E0-E8ABED479CBE}">
  <dimension ref="A1:D7910"/>
  <sheetViews>
    <sheetView workbookViewId="0">
      <selection activeCell="A7910" sqref="A7910:XFD7910"/>
    </sheetView>
  </sheetViews>
  <sheetFormatPr baseColWidth="10" defaultRowHeight="16" x14ac:dyDescent="0.2"/>
  <cols>
    <col min="1" max="1" width="50.5" bestFit="1" customWidth="1"/>
    <col min="2" max="2" width="24.83203125" bestFit="1" customWidth="1"/>
    <col min="3" max="3" width="21" bestFit="1" customWidth="1"/>
    <col min="4" max="4" width="17.5" bestFit="1" customWidth="1"/>
  </cols>
  <sheetData>
    <row r="1" spans="1:4" x14ac:dyDescent="0.2">
      <c r="A1"/>
      <c r="B1"/>
      <c r="C1"/>
      <c r="D1"/>
    </row>
    <row r="2" spans="1:4" x14ac:dyDescent="0.2">
      <c r="A2"/>
      <c r="B2"/>
      <c r="C2"/>
      <c r="D2"/>
    </row>
    <row r="3" spans="1:4" x14ac:dyDescent="0.2">
      <c r="A3"/>
      <c r="B3"/>
      <c r="C3"/>
      <c r="D3"/>
    </row>
    <row r="4" spans="1:4" x14ac:dyDescent="0.2">
      <c r="A4"/>
      <c r="B4"/>
      <c r="C4"/>
      <c r="D4"/>
    </row>
    <row r="5" spans="1:4" x14ac:dyDescent="0.2">
      <c r="A5"/>
      <c r="B5"/>
      <c r="C5"/>
      <c r="D5"/>
    </row>
    <row r="6" spans="1:4" x14ac:dyDescent="0.2">
      <c r="A6"/>
      <c r="B6"/>
      <c r="C6"/>
      <c r="D6"/>
    </row>
    <row r="7" spans="1:4" x14ac:dyDescent="0.2">
      <c r="A7"/>
      <c r="B7"/>
      <c r="C7"/>
      <c r="D7"/>
    </row>
    <row r="8" spans="1:4" x14ac:dyDescent="0.2">
      <c r="A8"/>
      <c r="B8"/>
      <c r="C8"/>
      <c r="D8"/>
    </row>
    <row r="9" spans="1:4" x14ac:dyDescent="0.2">
      <c r="A9"/>
      <c r="B9"/>
      <c r="C9"/>
      <c r="D9"/>
    </row>
    <row r="10" spans="1:4" x14ac:dyDescent="0.2">
      <c r="A10"/>
      <c r="B10"/>
      <c r="C10"/>
      <c r="D10"/>
    </row>
    <row r="11" spans="1:4" x14ac:dyDescent="0.2">
      <c r="A11"/>
      <c r="B11"/>
      <c r="C11"/>
      <c r="D11"/>
    </row>
    <row r="12" spans="1:4" x14ac:dyDescent="0.2">
      <c r="A12"/>
      <c r="B12"/>
      <c r="C12"/>
      <c r="D12"/>
    </row>
    <row r="13" spans="1:4" x14ac:dyDescent="0.2">
      <c r="A13"/>
      <c r="B13"/>
      <c r="C13"/>
      <c r="D13"/>
    </row>
    <row r="14" spans="1:4" x14ac:dyDescent="0.2">
      <c r="A14"/>
      <c r="B14"/>
      <c r="C14"/>
      <c r="D14"/>
    </row>
    <row r="15" spans="1:4" x14ac:dyDescent="0.2">
      <c r="A15"/>
      <c r="B15"/>
      <c r="C15"/>
      <c r="D15"/>
    </row>
    <row r="16" spans="1:4" x14ac:dyDescent="0.2">
      <c r="A16"/>
      <c r="B16"/>
      <c r="C16"/>
      <c r="D16"/>
    </row>
    <row r="17" spans="1:4" x14ac:dyDescent="0.2">
      <c r="A17"/>
      <c r="B17"/>
      <c r="C17"/>
      <c r="D17"/>
    </row>
    <row r="18" spans="1:4" x14ac:dyDescent="0.2">
      <c r="A18"/>
      <c r="B18"/>
      <c r="C18"/>
      <c r="D18"/>
    </row>
    <row r="19" spans="1:4" x14ac:dyDescent="0.2">
      <c r="A19"/>
      <c r="B19"/>
      <c r="C19"/>
      <c r="D19"/>
    </row>
    <row r="20" spans="1:4" x14ac:dyDescent="0.2">
      <c r="A20"/>
      <c r="B20"/>
      <c r="C20"/>
      <c r="D20"/>
    </row>
    <row r="21" spans="1:4" x14ac:dyDescent="0.2">
      <c r="A21"/>
      <c r="B21"/>
      <c r="C21"/>
      <c r="D21"/>
    </row>
    <row r="22" spans="1:4" x14ac:dyDescent="0.2">
      <c r="A22"/>
      <c r="B22"/>
      <c r="C22"/>
      <c r="D22"/>
    </row>
    <row r="23" spans="1:4" x14ac:dyDescent="0.2">
      <c r="A23"/>
      <c r="B23"/>
      <c r="C23"/>
      <c r="D23"/>
    </row>
    <row r="24" spans="1:4" x14ac:dyDescent="0.2">
      <c r="A24"/>
      <c r="B24"/>
      <c r="C24"/>
      <c r="D24"/>
    </row>
    <row r="25" spans="1:4" x14ac:dyDescent="0.2">
      <c r="A25"/>
      <c r="B25"/>
      <c r="C25"/>
      <c r="D25"/>
    </row>
    <row r="26" spans="1:4" x14ac:dyDescent="0.2">
      <c r="A26"/>
      <c r="B26"/>
      <c r="C26"/>
      <c r="D26"/>
    </row>
    <row r="27" spans="1:4" x14ac:dyDescent="0.2">
      <c r="A27"/>
      <c r="B27"/>
      <c r="C27"/>
      <c r="D27"/>
    </row>
    <row r="28" spans="1:4" x14ac:dyDescent="0.2">
      <c r="A28"/>
      <c r="B28"/>
      <c r="C28"/>
      <c r="D28"/>
    </row>
    <row r="29" spans="1:4" x14ac:dyDescent="0.2">
      <c r="A29"/>
      <c r="B29"/>
      <c r="C29"/>
      <c r="D29"/>
    </row>
    <row r="30" spans="1:4" x14ac:dyDescent="0.2">
      <c r="A30"/>
      <c r="B30"/>
      <c r="C30"/>
      <c r="D30"/>
    </row>
    <row r="31" spans="1:4" x14ac:dyDescent="0.2">
      <c r="A31"/>
      <c r="B31"/>
      <c r="C31"/>
      <c r="D31"/>
    </row>
    <row r="32" spans="1:4" x14ac:dyDescent="0.2">
      <c r="A32"/>
      <c r="B32"/>
      <c r="C32"/>
      <c r="D32"/>
    </row>
    <row r="33" spans="1:4" x14ac:dyDescent="0.2">
      <c r="A33"/>
      <c r="B33"/>
      <c r="C33"/>
      <c r="D33"/>
    </row>
    <row r="34" spans="1:4" x14ac:dyDescent="0.2">
      <c r="A34"/>
      <c r="B34"/>
      <c r="C34"/>
      <c r="D34"/>
    </row>
    <row r="35" spans="1:4" x14ac:dyDescent="0.2">
      <c r="A35"/>
      <c r="B35"/>
      <c r="C35"/>
      <c r="D35"/>
    </row>
    <row r="36" spans="1:4" x14ac:dyDescent="0.2">
      <c r="A36"/>
      <c r="B36"/>
      <c r="C36"/>
      <c r="D36"/>
    </row>
    <row r="37" spans="1:4" x14ac:dyDescent="0.2">
      <c r="A37"/>
      <c r="B37"/>
      <c r="C37"/>
      <c r="D37"/>
    </row>
    <row r="38" spans="1:4" x14ac:dyDescent="0.2">
      <c r="A38"/>
      <c r="B38"/>
      <c r="C38"/>
      <c r="D38"/>
    </row>
    <row r="39" spans="1:4" x14ac:dyDescent="0.2">
      <c r="A39"/>
      <c r="B39"/>
      <c r="C39"/>
      <c r="D39"/>
    </row>
    <row r="40" spans="1:4" x14ac:dyDescent="0.2">
      <c r="A40"/>
      <c r="B40"/>
      <c r="C40"/>
      <c r="D40"/>
    </row>
    <row r="41" spans="1:4" x14ac:dyDescent="0.2">
      <c r="A41"/>
      <c r="B41"/>
      <c r="C41"/>
      <c r="D41"/>
    </row>
    <row r="42" spans="1:4" x14ac:dyDescent="0.2">
      <c r="A42"/>
      <c r="B42"/>
      <c r="C42"/>
      <c r="D42"/>
    </row>
    <row r="43" spans="1:4" x14ac:dyDescent="0.2">
      <c r="A43"/>
      <c r="B43"/>
      <c r="C43"/>
      <c r="D43"/>
    </row>
    <row r="44" spans="1:4" x14ac:dyDescent="0.2">
      <c r="A44"/>
      <c r="B44"/>
      <c r="C44"/>
      <c r="D44"/>
    </row>
    <row r="45" spans="1:4" x14ac:dyDescent="0.2">
      <c r="A45"/>
      <c r="B45"/>
      <c r="C45"/>
      <c r="D45"/>
    </row>
    <row r="46" spans="1:4" x14ac:dyDescent="0.2">
      <c r="A46"/>
      <c r="B46"/>
      <c r="C46"/>
      <c r="D46"/>
    </row>
    <row r="47" spans="1:4" x14ac:dyDescent="0.2">
      <c r="A47"/>
      <c r="B47"/>
      <c r="C47"/>
      <c r="D47"/>
    </row>
    <row r="48" spans="1:4" x14ac:dyDescent="0.2">
      <c r="A48"/>
      <c r="B48"/>
      <c r="C48"/>
      <c r="D48"/>
    </row>
    <row r="49" spans="1:4" x14ac:dyDescent="0.2">
      <c r="A49"/>
      <c r="B49"/>
      <c r="C49"/>
      <c r="D49"/>
    </row>
    <row r="50" spans="1:4" x14ac:dyDescent="0.2">
      <c r="A50"/>
      <c r="B50"/>
      <c r="C50"/>
      <c r="D50"/>
    </row>
    <row r="51" spans="1:4" x14ac:dyDescent="0.2">
      <c r="A51"/>
      <c r="B51"/>
      <c r="C51"/>
      <c r="D51"/>
    </row>
    <row r="52" spans="1:4" x14ac:dyDescent="0.2">
      <c r="A52"/>
      <c r="B52"/>
      <c r="C52"/>
      <c r="D52"/>
    </row>
    <row r="53" spans="1:4" x14ac:dyDescent="0.2">
      <c r="A53"/>
      <c r="B53"/>
      <c r="C53"/>
      <c r="D53"/>
    </row>
    <row r="54" spans="1:4" x14ac:dyDescent="0.2">
      <c r="A54"/>
      <c r="B54"/>
      <c r="C54"/>
      <c r="D54"/>
    </row>
    <row r="55" spans="1:4" x14ac:dyDescent="0.2">
      <c r="A55"/>
      <c r="B55"/>
      <c r="C55"/>
      <c r="D55"/>
    </row>
    <row r="56" spans="1:4" x14ac:dyDescent="0.2">
      <c r="A56"/>
      <c r="B56"/>
      <c r="C56"/>
      <c r="D56"/>
    </row>
    <row r="57" spans="1:4" x14ac:dyDescent="0.2">
      <c r="A57"/>
      <c r="B57"/>
      <c r="C57"/>
      <c r="D57"/>
    </row>
    <row r="58" spans="1:4" x14ac:dyDescent="0.2">
      <c r="A58"/>
      <c r="B58"/>
      <c r="C58"/>
      <c r="D58"/>
    </row>
    <row r="59" spans="1:4" x14ac:dyDescent="0.2">
      <c r="A59"/>
      <c r="B59"/>
      <c r="C59"/>
      <c r="D59"/>
    </row>
    <row r="60" spans="1:4" x14ac:dyDescent="0.2">
      <c r="A60"/>
      <c r="B60"/>
      <c r="C60"/>
      <c r="D60"/>
    </row>
    <row r="61" spans="1:4" x14ac:dyDescent="0.2">
      <c r="A61"/>
      <c r="B61"/>
      <c r="C61"/>
      <c r="D61"/>
    </row>
    <row r="62" spans="1:4" x14ac:dyDescent="0.2">
      <c r="A62"/>
      <c r="B62"/>
      <c r="C62"/>
      <c r="D62"/>
    </row>
    <row r="63" spans="1:4" x14ac:dyDescent="0.2">
      <c r="A63"/>
      <c r="B63"/>
      <c r="C63"/>
      <c r="D63"/>
    </row>
    <row r="64" spans="1:4" x14ac:dyDescent="0.2">
      <c r="A64"/>
      <c r="B64"/>
      <c r="C64"/>
      <c r="D64"/>
    </row>
    <row r="65" spans="1:4" x14ac:dyDescent="0.2">
      <c r="A65"/>
      <c r="B65"/>
      <c r="C65"/>
      <c r="D65"/>
    </row>
    <row r="66" spans="1:4" x14ac:dyDescent="0.2">
      <c r="A66"/>
      <c r="B66"/>
      <c r="C66"/>
      <c r="D66"/>
    </row>
    <row r="67" spans="1:4" x14ac:dyDescent="0.2">
      <c r="A67"/>
      <c r="B67"/>
      <c r="C67"/>
      <c r="D67"/>
    </row>
    <row r="68" spans="1:4" x14ac:dyDescent="0.2">
      <c r="A68"/>
      <c r="B68"/>
      <c r="C68"/>
      <c r="D68"/>
    </row>
    <row r="69" spans="1:4" x14ac:dyDescent="0.2">
      <c r="A69"/>
      <c r="B69"/>
      <c r="C69"/>
      <c r="D69"/>
    </row>
    <row r="70" spans="1:4" x14ac:dyDescent="0.2">
      <c r="A70"/>
      <c r="B70"/>
      <c r="C70"/>
      <c r="D70"/>
    </row>
    <row r="71" spans="1:4" x14ac:dyDescent="0.2">
      <c r="A71"/>
      <c r="B71"/>
      <c r="C71"/>
      <c r="D71"/>
    </row>
    <row r="72" spans="1:4" x14ac:dyDescent="0.2">
      <c r="A72"/>
      <c r="B72"/>
      <c r="C72"/>
      <c r="D72"/>
    </row>
    <row r="73" spans="1:4" x14ac:dyDescent="0.2">
      <c r="A73"/>
      <c r="B73"/>
      <c r="C73"/>
      <c r="D73"/>
    </row>
    <row r="74" spans="1:4" x14ac:dyDescent="0.2">
      <c r="A74"/>
      <c r="B74"/>
      <c r="C74"/>
      <c r="D74"/>
    </row>
    <row r="75" spans="1:4" x14ac:dyDescent="0.2">
      <c r="A75"/>
      <c r="B75"/>
      <c r="C75"/>
      <c r="D75"/>
    </row>
    <row r="76" spans="1:4" x14ac:dyDescent="0.2">
      <c r="A76"/>
      <c r="B76"/>
      <c r="C76"/>
      <c r="D76"/>
    </row>
    <row r="77" spans="1:4" x14ac:dyDescent="0.2">
      <c r="A77"/>
      <c r="B77"/>
      <c r="C77"/>
      <c r="D77"/>
    </row>
    <row r="78" spans="1:4" x14ac:dyDescent="0.2">
      <c r="A78"/>
      <c r="B78"/>
      <c r="C78"/>
      <c r="D78"/>
    </row>
    <row r="79" spans="1:4" x14ac:dyDescent="0.2">
      <c r="A79"/>
      <c r="B79"/>
      <c r="C79"/>
      <c r="D79"/>
    </row>
    <row r="80" spans="1:4" x14ac:dyDescent="0.2">
      <c r="A80"/>
      <c r="B80"/>
      <c r="C80"/>
      <c r="D80"/>
    </row>
    <row r="81" spans="1:4" x14ac:dyDescent="0.2">
      <c r="A81"/>
      <c r="B81"/>
      <c r="C81"/>
      <c r="D81"/>
    </row>
    <row r="82" spans="1:4" x14ac:dyDescent="0.2">
      <c r="A82"/>
      <c r="B82"/>
      <c r="C82"/>
      <c r="D82"/>
    </row>
    <row r="83" spans="1:4" x14ac:dyDescent="0.2">
      <c r="A83"/>
      <c r="B83"/>
      <c r="C83"/>
      <c r="D83"/>
    </row>
    <row r="84" spans="1:4" x14ac:dyDescent="0.2">
      <c r="A84"/>
      <c r="B84"/>
      <c r="C84"/>
      <c r="D84"/>
    </row>
    <row r="85" spans="1:4" x14ac:dyDescent="0.2">
      <c r="A85"/>
      <c r="B85"/>
      <c r="C85"/>
      <c r="D85"/>
    </row>
    <row r="86" spans="1:4" x14ac:dyDescent="0.2">
      <c r="A86"/>
      <c r="B86"/>
      <c r="C86"/>
      <c r="D86"/>
    </row>
    <row r="87" spans="1:4" x14ac:dyDescent="0.2">
      <c r="A87"/>
      <c r="B87"/>
      <c r="C87"/>
      <c r="D87"/>
    </row>
    <row r="88" spans="1:4" x14ac:dyDescent="0.2">
      <c r="A88"/>
      <c r="B88"/>
      <c r="C88"/>
      <c r="D88"/>
    </row>
    <row r="89" spans="1:4" x14ac:dyDescent="0.2">
      <c r="A89"/>
      <c r="B89"/>
      <c r="C89"/>
      <c r="D89"/>
    </row>
    <row r="90" spans="1:4" x14ac:dyDescent="0.2">
      <c r="A90"/>
      <c r="B90"/>
      <c r="C90"/>
      <c r="D90"/>
    </row>
    <row r="91" spans="1:4" x14ac:dyDescent="0.2">
      <c r="A91"/>
      <c r="B91"/>
      <c r="C91"/>
      <c r="D91"/>
    </row>
    <row r="92" spans="1:4" x14ac:dyDescent="0.2">
      <c r="A92"/>
      <c r="B92"/>
      <c r="C92"/>
      <c r="D92"/>
    </row>
    <row r="93" spans="1:4" x14ac:dyDescent="0.2">
      <c r="A93"/>
      <c r="B93"/>
      <c r="C93"/>
      <c r="D93"/>
    </row>
    <row r="94" spans="1:4" x14ac:dyDescent="0.2">
      <c r="A94"/>
      <c r="B94"/>
      <c r="C94"/>
      <c r="D94"/>
    </row>
    <row r="95" spans="1:4" x14ac:dyDescent="0.2">
      <c r="A95"/>
      <c r="B95"/>
      <c r="C95"/>
      <c r="D95"/>
    </row>
    <row r="96" spans="1:4" x14ac:dyDescent="0.2">
      <c r="A96"/>
      <c r="B96"/>
      <c r="C96"/>
      <c r="D96"/>
    </row>
    <row r="97" spans="1:4" x14ac:dyDescent="0.2">
      <c r="A97"/>
      <c r="B97"/>
      <c r="C97"/>
      <c r="D97"/>
    </row>
    <row r="98" spans="1:4" x14ac:dyDescent="0.2">
      <c r="A98"/>
      <c r="B98"/>
      <c r="C98"/>
      <c r="D98"/>
    </row>
    <row r="99" spans="1:4" x14ac:dyDescent="0.2">
      <c r="A99"/>
      <c r="B99"/>
      <c r="C99"/>
      <c r="D99"/>
    </row>
    <row r="100" spans="1:4" x14ac:dyDescent="0.2">
      <c r="A100"/>
      <c r="B100"/>
      <c r="C100"/>
      <c r="D100"/>
    </row>
    <row r="101" spans="1:4" x14ac:dyDescent="0.2">
      <c r="A101"/>
      <c r="B101"/>
      <c r="C101"/>
      <c r="D101"/>
    </row>
    <row r="102" spans="1:4" x14ac:dyDescent="0.2">
      <c r="A102"/>
      <c r="B102"/>
      <c r="C102"/>
      <c r="D102"/>
    </row>
    <row r="103" spans="1:4" x14ac:dyDescent="0.2">
      <c r="A103"/>
      <c r="B103"/>
      <c r="C103"/>
      <c r="D103"/>
    </row>
    <row r="104" spans="1:4" x14ac:dyDescent="0.2">
      <c r="A104"/>
      <c r="B104"/>
      <c r="C104"/>
      <c r="D104"/>
    </row>
    <row r="105" spans="1:4" x14ac:dyDescent="0.2">
      <c r="A105"/>
      <c r="B105"/>
      <c r="C105"/>
      <c r="D105"/>
    </row>
    <row r="106" spans="1:4" x14ac:dyDescent="0.2">
      <c r="A106"/>
      <c r="B106"/>
      <c r="C106"/>
      <c r="D106"/>
    </row>
    <row r="107" spans="1:4" x14ac:dyDescent="0.2">
      <c r="A107"/>
      <c r="B107"/>
      <c r="C107"/>
      <c r="D107"/>
    </row>
    <row r="108" spans="1:4" x14ac:dyDescent="0.2">
      <c r="A108"/>
      <c r="B108"/>
      <c r="C108"/>
      <c r="D108"/>
    </row>
    <row r="109" spans="1:4" x14ac:dyDescent="0.2">
      <c r="A109"/>
      <c r="B109"/>
      <c r="C109"/>
      <c r="D109"/>
    </row>
    <row r="110" spans="1:4" x14ac:dyDescent="0.2">
      <c r="A110"/>
      <c r="B110"/>
      <c r="C110"/>
      <c r="D110"/>
    </row>
    <row r="111" spans="1:4" x14ac:dyDescent="0.2">
      <c r="A111"/>
      <c r="B111"/>
      <c r="C111"/>
      <c r="D111"/>
    </row>
    <row r="112" spans="1:4" x14ac:dyDescent="0.2">
      <c r="A112"/>
      <c r="B112"/>
      <c r="C112"/>
      <c r="D112"/>
    </row>
    <row r="113" spans="1:4" x14ac:dyDescent="0.2">
      <c r="A113"/>
      <c r="B113"/>
      <c r="C113"/>
      <c r="D113"/>
    </row>
    <row r="114" spans="1:4" x14ac:dyDescent="0.2">
      <c r="A114"/>
      <c r="B114"/>
      <c r="C114"/>
      <c r="D114"/>
    </row>
    <row r="115" spans="1:4" x14ac:dyDescent="0.2">
      <c r="A115"/>
      <c r="B115"/>
      <c r="C115"/>
      <c r="D115"/>
    </row>
    <row r="116" spans="1:4" x14ac:dyDescent="0.2">
      <c r="A116"/>
      <c r="B116"/>
      <c r="C116"/>
      <c r="D116"/>
    </row>
    <row r="117" spans="1:4" x14ac:dyDescent="0.2">
      <c r="A117"/>
      <c r="B117"/>
      <c r="C117"/>
      <c r="D117"/>
    </row>
    <row r="118" spans="1:4" x14ac:dyDescent="0.2">
      <c r="A118"/>
      <c r="B118"/>
      <c r="C118"/>
      <c r="D118"/>
    </row>
    <row r="119" spans="1:4" x14ac:dyDescent="0.2">
      <c r="A119"/>
      <c r="B119"/>
      <c r="C119"/>
      <c r="D119"/>
    </row>
    <row r="120" spans="1:4" x14ac:dyDescent="0.2">
      <c r="A120"/>
      <c r="B120"/>
      <c r="C120"/>
      <c r="D120"/>
    </row>
    <row r="121" spans="1:4" x14ac:dyDescent="0.2">
      <c r="A121"/>
      <c r="B121"/>
      <c r="C121"/>
      <c r="D121"/>
    </row>
    <row r="122" spans="1:4" x14ac:dyDescent="0.2">
      <c r="A122"/>
      <c r="B122"/>
      <c r="C122"/>
      <c r="D122"/>
    </row>
    <row r="123" spans="1:4" x14ac:dyDescent="0.2">
      <c r="A123"/>
      <c r="B123"/>
      <c r="C123"/>
      <c r="D123"/>
    </row>
    <row r="124" spans="1:4" x14ac:dyDescent="0.2">
      <c r="A124"/>
      <c r="B124"/>
      <c r="C124"/>
      <c r="D124"/>
    </row>
    <row r="125" spans="1:4" x14ac:dyDescent="0.2">
      <c r="A125"/>
      <c r="B125"/>
      <c r="C125"/>
      <c r="D125"/>
    </row>
    <row r="126" spans="1:4" x14ac:dyDescent="0.2">
      <c r="A126"/>
      <c r="B126"/>
      <c r="C126"/>
      <c r="D126"/>
    </row>
    <row r="127" spans="1:4" x14ac:dyDescent="0.2">
      <c r="A127"/>
      <c r="B127"/>
      <c r="C127"/>
      <c r="D127"/>
    </row>
    <row r="128" spans="1:4" x14ac:dyDescent="0.2">
      <c r="A128"/>
      <c r="B128"/>
      <c r="C128"/>
      <c r="D128"/>
    </row>
    <row r="129" spans="1:4" x14ac:dyDescent="0.2">
      <c r="A129"/>
      <c r="B129"/>
      <c r="C129"/>
      <c r="D129"/>
    </row>
    <row r="130" spans="1:4" x14ac:dyDescent="0.2">
      <c r="A130"/>
      <c r="B130"/>
      <c r="C130"/>
      <c r="D130"/>
    </row>
    <row r="131" spans="1:4" x14ac:dyDescent="0.2">
      <c r="A131"/>
      <c r="B131"/>
      <c r="C131"/>
      <c r="D131"/>
    </row>
    <row r="132" spans="1:4" x14ac:dyDescent="0.2">
      <c r="A132"/>
      <c r="B132"/>
      <c r="C132"/>
      <c r="D132"/>
    </row>
    <row r="133" spans="1:4" x14ac:dyDescent="0.2">
      <c r="A133"/>
      <c r="B133"/>
      <c r="C133"/>
      <c r="D133"/>
    </row>
    <row r="134" spans="1:4" x14ac:dyDescent="0.2">
      <c r="A134"/>
      <c r="B134"/>
      <c r="C134"/>
      <c r="D134"/>
    </row>
    <row r="135" spans="1:4" x14ac:dyDescent="0.2">
      <c r="A135"/>
      <c r="B135"/>
      <c r="C135"/>
      <c r="D135"/>
    </row>
    <row r="136" spans="1:4" x14ac:dyDescent="0.2">
      <c r="A136"/>
      <c r="B136"/>
      <c r="C136"/>
      <c r="D136"/>
    </row>
    <row r="137" spans="1:4" x14ac:dyDescent="0.2">
      <c r="A137"/>
      <c r="B137"/>
      <c r="C137"/>
      <c r="D137"/>
    </row>
    <row r="138" spans="1:4" x14ac:dyDescent="0.2">
      <c r="A138"/>
      <c r="B138"/>
      <c r="C138"/>
      <c r="D138"/>
    </row>
    <row r="139" spans="1:4" x14ac:dyDescent="0.2">
      <c r="A139"/>
      <c r="B139"/>
      <c r="C139"/>
      <c r="D139"/>
    </row>
    <row r="140" spans="1:4" x14ac:dyDescent="0.2">
      <c r="A140"/>
      <c r="B140"/>
      <c r="C140"/>
      <c r="D140"/>
    </row>
    <row r="141" spans="1:4" x14ac:dyDescent="0.2">
      <c r="A141"/>
      <c r="B141"/>
      <c r="C141"/>
      <c r="D141"/>
    </row>
    <row r="142" spans="1:4" x14ac:dyDescent="0.2">
      <c r="A142"/>
      <c r="B142"/>
      <c r="C142"/>
      <c r="D142"/>
    </row>
    <row r="143" spans="1:4" x14ac:dyDescent="0.2">
      <c r="A143"/>
      <c r="B143"/>
      <c r="C143"/>
      <c r="D143"/>
    </row>
    <row r="144" spans="1:4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  <row r="338" spans="1:4" x14ac:dyDescent="0.2">
      <c r="A338"/>
      <c r="B338"/>
      <c r="C338"/>
      <c r="D338"/>
    </row>
    <row r="339" spans="1:4" x14ac:dyDescent="0.2">
      <c r="A339"/>
      <c r="B339"/>
      <c r="C339"/>
      <c r="D339"/>
    </row>
    <row r="340" spans="1:4" x14ac:dyDescent="0.2">
      <c r="A340"/>
      <c r="B340"/>
      <c r="C340"/>
      <c r="D340"/>
    </row>
    <row r="341" spans="1:4" x14ac:dyDescent="0.2">
      <c r="A341"/>
      <c r="B341"/>
      <c r="C341"/>
      <c r="D341"/>
    </row>
    <row r="342" spans="1:4" x14ac:dyDescent="0.2">
      <c r="A342"/>
      <c r="B342"/>
      <c r="C342"/>
      <c r="D342"/>
    </row>
    <row r="343" spans="1:4" x14ac:dyDescent="0.2">
      <c r="A343"/>
      <c r="B343"/>
      <c r="C343"/>
      <c r="D343"/>
    </row>
    <row r="344" spans="1:4" x14ac:dyDescent="0.2">
      <c r="A344"/>
      <c r="B344"/>
      <c r="C344"/>
      <c r="D344"/>
    </row>
    <row r="345" spans="1:4" x14ac:dyDescent="0.2">
      <c r="A345"/>
      <c r="B345"/>
      <c r="C345"/>
      <c r="D345"/>
    </row>
    <row r="346" spans="1:4" x14ac:dyDescent="0.2">
      <c r="A346"/>
      <c r="B346"/>
      <c r="C346"/>
      <c r="D346"/>
    </row>
    <row r="347" spans="1:4" x14ac:dyDescent="0.2">
      <c r="A347"/>
      <c r="B347"/>
      <c r="C347"/>
      <c r="D347"/>
    </row>
    <row r="348" spans="1:4" x14ac:dyDescent="0.2">
      <c r="A348"/>
      <c r="B348"/>
      <c r="C348"/>
      <c r="D348"/>
    </row>
    <row r="349" spans="1:4" x14ac:dyDescent="0.2">
      <c r="A349"/>
      <c r="B349"/>
      <c r="C349"/>
      <c r="D349"/>
    </row>
    <row r="350" spans="1:4" x14ac:dyDescent="0.2">
      <c r="A350"/>
      <c r="B350"/>
      <c r="C350"/>
      <c r="D350"/>
    </row>
    <row r="351" spans="1:4" x14ac:dyDescent="0.2">
      <c r="A351"/>
      <c r="B351"/>
      <c r="C351"/>
      <c r="D351"/>
    </row>
    <row r="352" spans="1:4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  <row r="372" spans="1:4" x14ac:dyDescent="0.2">
      <c r="A372"/>
      <c r="B372"/>
      <c r="C372"/>
      <c r="D372"/>
    </row>
    <row r="373" spans="1:4" x14ac:dyDescent="0.2">
      <c r="A373"/>
      <c r="B373"/>
      <c r="C373"/>
      <c r="D373"/>
    </row>
    <row r="374" spans="1:4" x14ac:dyDescent="0.2">
      <c r="A374"/>
      <c r="B374"/>
      <c r="C374"/>
      <c r="D374"/>
    </row>
    <row r="375" spans="1:4" x14ac:dyDescent="0.2">
      <c r="A375"/>
      <c r="B375"/>
      <c r="C375"/>
      <c r="D375"/>
    </row>
    <row r="376" spans="1:4" x14ac:dyDescent="0.2">
      <c r="A376"/>
      <c r="B376"/>
      <c r="C376"/>
      <c r="D376"/>
    </row>
    <row r="377" spans="1:4" x14ac:dyDescent="0.2">
      <c r="A377"/>
      <c r="B377"/>
      <c r="C377"/>
      <c r="D377"/>
    </row>
    <row r="378" spans="1:4" x14ac:dyDescent="0.2">
      <c r="A378"/>
      <c r="B378"/>
      <c r="C378"/>
      <c r="D378"/>
    </row>
    <row r="379" spans="1:4" x14ac:dyDescent="0.2">
      <c r="A379"/>
      <c r="B379"/>
      <c r="C379"/>
      <c r="D379"/>
    </row>
    <row r="380" spans="1:4" x14ac:dyDescent="0.2">
      <c r="A380"/>
      <c r="B380"/>
      <c r="C380"/>
      <c r="D380"/>
    </row>
    <row r="381" spans="1:4" x14ac:dyDescent="0.2">
      <c r="A381"/>
      <c r="B381"/>
      <c r="C381"/>
      <c r="D381"/>
    </row>
    <row r="382" spans="1:4" x14ac:dyDescent="0.2">
      <c r="A382"/>
      <c r="B382"/>
      <c r="C382"/>
      <c r="D382"/>
    </row>
    <row r="383" spans="1:4" x14ac:dyDescent="0.2">
      <c r="A383"/>
      <c r="B383"/>
      <c r="C383"/>
      <c r="D383"/>
    </row>
    <row r="384" spans="1:4" x14ac:dyDescent="0.2">
      <c r="A384"/>
      <c r="B384"/>
      <c r="C384"/>
      <c r="D384"/>
    </row>
    <row r="385" spans="1:4" x14ac:dyDescent="0.2">
      <c r="A385"/>
      <c r="B385"/>
      <c r="C385"/>
      <c r="D385"/>
    </row>
    <row r="386" spans="1:4" x14ac:dyDescent="0.2">
      <c r="A386"/>
      <c r="B386"/>
      <c r="C386"/>
      <c r="D386"/>
    </row>
    <row r="387" spans="1:4" x14ac:dyDescent="0.2">
      <c r="A387"/>
      <c r="B387"/>
      <c r="C387"/>
      <c r="D387"/>
    </row>
    <row r="388" spans="1:4" x14ac:dyDescent="0.2">
      <c r="A388"/>
      <c r="B388"/>
      <c r="C388"/>
      <c r="D388"/>
    </row>
    <row r="389" spans="1:4" x14ac:dyDescent="0.2">
      <c r="A389"/>
      <c r="B389"/>
      <c r="C389"/>
      <c r="D389"/>
    </row>
    <row r="390" spans="1:4" x14ac:dyDescent="0.2">
      <c r="A390"/>
      <c r="B390"/>
      <c r="C390"/>
      <c r="D390"/>
    </row>
    <row r="391" spans="1:4" x14ac:dyDescent="0.2">
      <c r="A391"/>
      <c r="B391"/>
      <c r="C391"/>
      <c r="D391"/>
    </row>
    <row r="392" spans="1:4" x14ac:dyDescent="0.2">
      <c r="A392"/>
      <c r="B392"/>
      <c r="C392"/>
      <c r="D392"/>
    </row>
    <row r="393" spans="1:4" x14ac:dyDescent="0.2">
      <c r="A393"/>
      <c r="B393"/>
      <c r="C393"/>
      <c r="D393"/>
    </row>
    <row r="394" spans="1:4" x14ac:dyDescent="0.2">
      <c r="A394"/>
      <c r="B394"/>
      <c r="C394"/>
      <c r="D394"/>
    </row>
    <row r="395" spans="1:4" x14ac:dyDescent="0.2">
      <c r="A395"/>
      <c r="B395"/>
      <c r="C395"/>
      <c r="D395"/>
    </row>
    <row r="396" spans="1:4" x14ac:dyDescent="0.2">
      <c r="A396"/>
      <c r="B396"/>
      <c r="C396"/>
      <c r="D396"/>
    </row>
    <row r="397" spans="1:4" x14ac:dyDescent="0.2">
      <c r="A397"/>
      <c r="B397"/>
      <c r="C397"/>
      <c r="D397"/>
    </row>
    <row r="398" spans="1:4" x14ac:dyDescent="0.2">
      <c r="A398"/>
      <c r="B398"/>
      <c r="C398"/>
      <c r="D398"/>
    </row>
    <row r="399" spans="1:4" x14ac:dyDescent="0.2">
      <c r="A399"/>
      <c r="B399"/>
      <c r="C399"/>
      <c r="D399"/>
    </row>
    <row r="400" spans="1:4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:4" x14ac:dyDescent="0.2">
      <c r="A465"/>
      <c r="B465"/>
      <c r="C465"/>
      <c r="D465"/>
    </row>
    <row r="466" spans="1:4" x14ac:dyDescent="0.2">
      <c r="A466"/>
      <c r="B466"/>
      <c r="C466"/>
      <c r="D466"/>
    </row>
    <row r="467" spans="1:4" x14ac:dyDescent="0.2">
      <c r="A467"/>
      <c r="B467"/>
      <c r="C467"/>
      <c r="D467"/>
    </row>
    <row r="468" spans="1:4" x14ac:dyDescent="0.2">
      <c r="A468"/>
      <c r="B468"/>
      <c r="C468"/>
      <c r="D468"/>
    </row>
    <row r="469" spans="1:4" x14ac:dyDescent="0.2">
      <c r="A469"/>
      <c r="B469"/>
      <c r="C469"/>
      <c r="D469"/>
    </row>
    <row r="470" spans="1:4" x14ac:dyDescent="0.2">
      <c r="A470"/>
      <c r="B470"/>
      <c r="C470"/>
      <c r="D470"/>
    </row>
    <row r="471" spans="1:4" x14ac:dyDescent="0.2">
      <c r="A471"/>
      <c r="B471"/>
      <c r="C471"/>
      <c r="D471"/>
    </row>
    <row r="472" spans="1:4" x14ac:dyDescent="0.2">
      <c r="A472"/>
      <c r="B472"/>
      <c r="C472"/>
      <c r="D472"/>
    </row>
    <row r="473" spans="1:4" x14ac:dyDescent="0.2">
      <c r="A473"/>
      <c r="B473"/>
      <c r="C473"/>
      <c r="D473"/>
    </row>
    <row r="474" spans="1:4" x14ac:dyDescent="0.2">
      <c r="A474"/>
      <c r="B474"/>
      <c r="C474"/>
      <c r="D474"/>
    </row>
    <row r="475" spans="1:4" x14ac:dyDescent="0.2">
      <c r="A475"/>
      <c r="B475"/>
      <c r="C475"/>
      <c r="D475"/>
    </row>
    <row r="476" spans="1:4" x14ac:dyDescent="0.2">
      <c r="A476"/>
      <c r="B476"/>
      <c r="C476"/>
      <c r="D476"/>
    </row>
    <row r="477" spans="1:4" x14ac:dyDescent="0.2">
      <c r="A477"/>
      <c r="B477"/>
      <c r="C477"/>
      <c r="D477"/>
    </row>
    <row r="478" spans="1:4" x14ac:dyDescent="0.2">
      <c r="A478"/>
      <c r="B478"/>
      <c r="C478"/>
      <c r="D478"/>
    </row>
    <row r="479" spans="1:4" x14ac:dyDescent="0.2">
      <c r="A479"/>
      <c r="B479"/>
      <c r="C479"/>
      <c r="D479"/>
    </row>
    <row r="480" spans="1:4" x14ac:dyDescent="0.2">
      <c r="A480"/>
      <c r="B480"/>
      <c r="C480"/>
      <c r="D480"/>
    </row>
    <row r="481" spans="1:4" x14ac:dyDescent="0.2">
      <c r="A481"/>
      <c r="B481"/>
      <c r="C481"/>
      <c r="D481"/>
    </row>
    <row r="482" spans="1:4" x14ac:dyDescent="0.2">
      <c r="A482"/>
      <c r="B482"/>
      <c r="C482"/>
      <c r="D482"/>
    </row>
    <row r="483" spans="1:4" x14ac:dyDescent="0.2">
      <c r="A483"/>
      <c r="B483"/>
      <c r="C483"/>
      <c r="D483"/>
    </row>
    <row r="484" spans="1:4" x14ac:dyDescent="0.2">
      <c r="A484"/>
      <c r="B484"/>
      <c r="C484"/>
      <c r="D484"/>
    </row>
    <row r="485" spans="1:4" x14ac:dyDescent="0.2">
      <c r="A485"/>
      <c r="B485"/>
      <c r="C485"/>
      <c r="D485"/>
    </row>
    <row r="486" spans="1:4" x14ac:dyDescent="0.2">
      <c r="A486"/>
      <c r="B486"/>
      <c r="C486"/>
      <c r="D486"/>
    </row>
    <row r="487" spans="1:4" x14ac:dyDescent="0.2">
      <c r="A487"/>
      <c r="B487"/>
      <c r="C487"/>
      <c r="D487"/>
    </row>
    <row r="488" spans="1:4" x14ac:dyDescent="0.2">
      <c r="A488"/>
      <c r="B488"/>
      <c r="C488"/>
      <c r="D488"/>
    </row>
    <row r="489" spans="1:4" x14ac:dyDescent="0.2">
      <c r="A489"/>
      <c r="B489"/>
      <c r="C489"/>
      <c r="D489"/>
    </row>
    <row r="490" spans="1:4" x14ac:dyDescent="0.2">
      <c r="A490"/>
      <c r="B490"/>
      <c r="C490"/>
      <c r="D490"/>
    </row>
    <row r="491" spans="1:4" x14ac:dyDescent="0.2">
      <c r="A491"/>
      <c r="B491"/>
      <c r="C491"/>
      <c r="D491"/>
    </row>
    <row r="492" spans="1:4" x14ac:dyDescent="0.2">
      <c r="A492"/>
      <c r="B492"/>
      <c r="C492"/>
      <c r="D492"/>
    </row>
    <row r="493" spans="1:4" x14ac:dyDescent="0.2">
      <c r="A493"/>
      <c r="B493"/>
      <c r="C493"/>
      <c r="D493"/>
    </row>
    <row r="494" spans="1:4" x14ac:dyDescent="0.2">
      <c r="A494"/>
      <c r="B494"/>
      <c r="C494"/>
      <c r="D494"/>
    </row>
    <row r="495" spans="1:4" x14ac:dyDescent="0.2">
      <c r="A495"/>
      <c r="B495"/>
      <c r="C495"/>
      <c r="D495"/>
    </row>
    <row r="496" spans="1:4" x14ac:dyDescent="0.2">
      <c r="A496"/>
      <c r="B496"/>
      <c r="C496"/>
      <c r="D496"/>
    </row>
    <row r="497" spans="1:4" x14ac:dyDescent="0.2">
      <c r="A497"/>
      <c r="B497"/>
      <c r="C497"/>
      <c r="D497"/>
    </row>
    <row r="498" spans="1:4" x14ac:dyDescent="0.2">
      <c r="A498"/>
      <c r="B498"/>
      <c r="C498"/>
      <c r="D498"/>
    </row>
    <row r="499" spans="1:4" x14ac:dyDescent="0.2">
      <c r="A499"/>
      <c r="B499"/>
      <c r="C499"/>
      <c r="D499"/>
    </row>
    <row r="500" spans="1:4" x14ac:dyDescent="0.2">
      <c r="A500"/>
      <c r="B500"/>
      <c r="C500"/>
      <c r="D500"/>
    </row>
    <row r="501" spans="1:4" x14ac:dyDescent="0.2">
      <c r="A501"/>
      <c r="B501"/>
      <c r="C501"/>
      <c r="D501"/>
    </row>
    <row r="502" spans="1:4" x14ac:dyDescent="0.2">
      <c r="A502"/>
      <c r="B502"/>
      <c r="C502"/>
      <c r="D502"/>
    </row>
    <row r="503" spans="1:4" x14ac:dyDescent="0.2">
      <c r="A503"/>
      <c r="B503"/>
      <c r="C503"/>
      <c r="D503"/>
    </row>
    <row r="504" spans="1:4" x14ac:dyDescent="0.2">
      <c r="A504"/>
      <c r="B504"/>
      <c r="C504"/>
      <c r="D504"/>
    </row>
    <row r="505" spans="1:4" x14ac:dyDescent="0.2">
      <c r="A505"/>
      <c r="B505"/>
      <c r="C505"/>
      <c r="D505"/>
    </row>
    <row r="506" spans="1:4" x14ac:dyDescent="0.2">
      <c r="A506"/>
      <c r="B506"/>
      <c r="C506"/>
      <c r="D506"/>
    </row>
    <row r="507" spans="1:4" x14ac:dyDescent="0.2">
      <c r="A507"/>
      <c r="B507"/>
      <c r="C507"/>
      <c r="D507"/>
    </row>
    <row r="508" spans="1:4" x14ac:dyDescent="0.2">
      <c r="A508"/>
      <c r="B508"/>
      <c r="C508"/>
      <c r="D508"/>
    </row>
    <row r="509" spans="1:4" x14ac:dyDescent="0.2">
      <c r="A509"/>
      <c r="B509"/>
      <c r="C509"/>
      <c r="D509"/>
    </row>
    <row r="510" spans="1:4" x14ac:dyDescent="0.2">
      <c r="A510"/>
      <c r="B510"/>
      <c r="C510"/>
      <c r="D510"/>
    </row>
    <row r="511" spans="1:4" x14ac:dyDescent="0.2">
      <c r="A511"/>
      <c r="B511"/>
      <c r="C511"/>
      <c r="D511"/>
    </row>
    <row r="512" spans="1:4" x14ac:dyDescent="0.2">
      <c r="A512"/>
      <c r="B512"/>
      <c r="C512"/>
      <c r="D512"/>
    </row>
    <row r="513" spans="1:4" x14ac:dyDescent="0.2">
      <c r="A513"/>
      <c r="B513"/>
      <c r="C513"/>
      <c r="D513"/>
    </row>
    <row r="514" spans="1:4" x14ac:dyDescent="0.2">
      <c r="A514"/>
      <c r="B514"/>
      <c r="C514"/>
      <c r="D514"/>
    </row>
    <row r="515" spans="1:4" x14ac:dyDescent="0.2">
      <c r="A515"/>
      <c r="B515"/>
      <c r="C515"/>
      <c r="D515"/>
    </row>
    <row r="516" spans="1:4" x14ac:dyDescent="0.2">
      <c r="A516"/>
      <c r="B516"/>
      <c r="C516"/>
      <c r="D516"/>
    </row>
    <row r="517" spans="1:4" x14ac:dyDescent="0.2">
      <c r="A517"/>
      <c r="B517"/>
      <c r="C517"/>
      <c r="D517"/>
    </row>
    <row r="518" spans="1:4" x14ac:dyDescent="0.2">
      <c r="A518"/>
      <c r="B518"/>
      <c r="C518"/>
      <c r="D518"/>
    </row>
    <row r="519" spans="1:4" x14ac:dyDescent="0.2">
      <c r="A519"/>
      <c r="B519"/>
      <c r="C519"/>
      <c r="D519"/>
    </row>
    <row r="520" spans="1:4" x14ac:dyDescent="0.2">
      <c r="A520"/>
      <c r="B520"/>
      <c r="C520"/>
      <c r="D520"/>
    </row>
    <row r="521" spans="1:4" x14ac:dyDescent="0.2">
      <c r="A521"/>
      <c r="B521"/>
      <c r="C521"/>
      <c r="D521"/>
    </row>
    <row r="522" spans="1:4" x14ac:dyDescent="0.2">
      <c r="A522"/>
      <c r="B522"/>
      <c r="C522"/>
      <c r="D522"/>
    </row>
    <row r="523" spans="1:4" x14ac:dyDescent="0.2">
      <c r="A523"/>
      <c r="B523"/>
      <c r="C523"/>
      <c r="D523"/>
    </row>
    <row r="524" spans="1:4" x14ac:dyDescent="0.2">
      <c r="A524"/>
      <c r="B524"/>
      <c r="C524"/>
      <c r="D524"/>
    </row>
    <row r="525" spans="1:4" x14ac:dyDescent="0.2">
      <c r="A525"/>
      <c r="B525"/>
      <c r="C525"/>
      <c r="D525"/>
    </row>
    <row r="526" spans="1:4" x14ac:dyDescent="0.2">
      <c r="A526"/>
      <c r="B526"/>
      <c r="C526"/>
      <c r="D526"/>
    </row>
    <row r="527" spans="1:4" x14ac:dyDescent="0.2">
      <c r="A527"/>
      <c r="B527"/>
      <c r="C527"/>
      <c r="D527"/>
    </row>
    <row r="528" spans="1:4" x14ac:dyDescent="0.2">
      <c r="A528"/>
      <c r="B528"/>
      <c r="C528"/>
      <c r="D528"/>
    </row>
    <row r="529" spans="1:4" x14ac:dyDescent="0.2">
      <c r="A529"/>
      <c r="B529"/>
      <c r="C529"/>
      <c r="D529"/>
    </row>
    <row r="530" spans="1:4" x14ac:dyDescent="0.2">
      <c r="A530"/>
      <c r="B530"/>
      <c r="C530"/>
      <c r="D530"/>
    </row>
    <row r="531" spans="1:4" x14ac:dyDescent="0.2">
      <c r="A531"/>
      <c r="B531"/>
      <c r="C531"/>
      <c r="D531"/>
    </row>
    <row r="532" spans="1:4" x14ac:dyDescent="0.2">
      <c r="A532"/>
      <c r="B532"/>
      <c r="C532"/>
      <c r="D532"/>
    </row>
    <row r="533" spans="1:4" x14ac:dyDescent="0.2">
      <c r="A533"/>
      <c r="B533"/>
      <c r="C533"/>
      <c r="D533"/>
    </row>
    <row r="534" spans="1:4" x14ac:dyDescent="0.2">
      <c r="A534"/>
      <c r="B534"/>
      <c r="C534"/>
      <c r="D534"/>
    </row>
    <row r="535" spans="1:4" x14ac:dyDescent="0.2">
      <c r="A535"/>
      <c r="B535"/>
      <c r="C535"/>
      <c r="D535"/>
    </row>
    <row r="536" spans="1:4" x14ac:dyDescent="0.2">
      <c r="A536"/>
      <c r="B536"/>
      <c r="C536"/>
      <c r="D536"/>
    </row>
    <row r="537" spans="1:4" x14ac:dyDescent="0.2">
      <c r="A537"/>
      <c r="B537"/>
      <c r="C537"/>
      <c r="D537"/>
    </row>
    <row r="538" spans="1:4" x14ac:dyDescent="0.2">
      <c r="A538"/>
      <c r="B538"/>
      <c r="C538"/>
      <c r="D538"/>
    </row>
    <row r="539" spans="1:4" x14ac:dyDescent="0.2">
      <c r="A539"/>
      <c r="B539"/>
      <c r="C539"/>
      <c r="D539"/>
    </row>
    <row r="540" spans="1:4" x14ac:dyDescent="0.2">
      <c r="A540"/>
      <c r="B540"/>
      <c r="C540"/>
      <c r="D540"/>
    </row>
    <row r="541" spans="1:4" x14ac:dyDescent="0.2">
      <c r="A541"/>
      <c r="B541"/>
      <c r="C541"/>
      <c r="D541"/>
    </row>
    <row r="542" spans="1:4" x14ac:dyDescent="0.2">
      <c r="A542"/>
      <c r="B542"/>
      <c r="C542"/>
      <c r="D542"/>
    </row>
    <row r="543" spans="1:4" x14ac:dyDescent="0.2">
      <c r="A543"/>
      <c r="B543"/>
      <c r="C543"/>
      <c r="D543"/>
    </row>
    <row r="544" spans="1:4" x14ac:dyDescent="0.2">
      <c r="A544"/>
      <c r="B544"/>
      <c r="C544"/>
      <c r="D544"/>
    </row>
    <row r="545" spans="1:4" x14ac:dyDescent="0.2">
      <c r="A545"/>
      <c r="B545"/>
      <c r="C545"/>
      <c r="D545"/>
    </row>
    <row r="546" spans="1:4" x14ac:dyDescent="0.2">
      <c r="A546"/>
      <c r="B546"/>
      <c r="C546"/>
      <c r="D546"/>
    </row>
    <row r="547" spans="1:4" x14ac:dyDescent="0.2">
      <c r="A547"/>
      <c r="B547"/>
      <c r="C547"/>
      <c r="D547"/>
    </row>
    <row r="548" spans="1:4" x14ac:dyDescent="0.2">
      <c r="A548"/>
      <c r="B548"/>
      <c r="C548"/>
      <c r="D548"/>
    </row>
    <row r="549" spans="1:4" x14ac:dyDescent="0.2">
      <c r="A549"/>
      <c r="B549"/>
      <c r="C549"/>
      <c r="D549"/>
    </row>
    <row r="550" spans="1:4" x14ac:dyDescent="0.2">
      <c r="A550"/>
      <c r="B550"/>
      <c r="C550"/>
      <c r="D550"/>
    </row>
    <row r="551" spans="1:4" x14ac:dyDescent="0.2">
      <c r="A551"/>
      <c r="B551"/>
      <c r="C551"/>
      <c r="D551"/>
    </row>
    <row r="552" spans="1:4" x14ac:dyDescent="0.2">
      <c r="A552"/>
      <c r="B552"/>
      <c r="C552"/>
      <c r="D552"/>
    </row>
    <row r="553" spans="1:4" x14ac:dyDescent="0.2">
      <c r="A553"/>
      <c r="B553"/>
      <c r="C553"/>
      <c r="D553"/>
    </row>
    <row r="554" spans="1:4" x14ac:dyDescent="0.2">
      <c r="A554"/>
      <c r="B554"/>
      <c r="C554"/>
      <c r="D554"/>
    </row>
    <row r="555" spans="1:4" x14ac:dyDescent="0.2">
      <c r="A555"/>
      <c r="B555"/>
      <c r="C555"/>
      <c r="D555"/>
    </row>
    <row r="556" spans="1:4" x14ac:dyDescent="0.2">
      <c r="A556"/>
      <c r="B556"/>
      <c r="C556"/>
      <c r="D556"/>
    </row>
    <row r="557" spans="1:4" x14ac:dyDescent="0.2">
      <c r="A557"/>
      <c r="B557"/>
      <c r="C557"/>
      <c r="D557"/>
    </row>
    <row r="558" spans="1:4" x14ac:dyDescent="0.2">
      <c r="A558"/>
      <c r="B558"/>
      <c r="C558"/>
      <c r="D558"/>
    </row>
    <row r="559" spans="1:4" x14ac:dyDescent="0.2">
      <c r="A559"/>
      <c r="B559"/>
      <c r="C559"/>
      <c r="D559"/>
    </row>
    <row r="560" spans="1:4" x14ac:dyDescent="0.2">
      <c r="A560"/>
      <c r="B560"/>
      <c r="C560"/>
      <c r="D560"/>
    </row>
    <row r="561" spans="1:4" x14ac:dyDescent="0.2">
      <c r="A561"/>
      <c r="B561"/>
      <c r="C561"/>
      <c r="D561"/>
    </row>
    <row r="562" spans="1:4" x14ac:dyDescent="0.2">
      <c r="A562"/>
      <c r="B562"/>
      <c r="C562"/>
      <c r="D562"/>
    </row>
    <row r="563" spans="1:4" x14ac:dyDescent="0.2">
      <c r="A563"/>
      <c r="B563"/>
      <c r="C563"/>
      <c r="D563"/>
    </row>
    <row r="564" spans="1:4" x14ac:dyDescent="0.2">
      <c r="A564"/>
      <c r="B564"/>
      <c r="C564"/>
      <c r="D564"/>
    </row>
    <row r="565" spans="1:4" x14ac:dyDescent="0.2">
      <c r="A565"/>
      <c r="B565"/>
      <c r="C565"/>
      <c r="D565"/>
    </row>
    <row r="566" spans="1:4" x14ac:dyDescent="0.2">
      <c r="A566"/>
      <c r="B566"/>
      <c r="C566"/>
      <c r="D566"/>
    </row>
    <row r="567" spans="1:4" x14ac:dyDescent="0.2">
      <c r="A567"/>
      <c r="B567"/>
      <c r="C567"/>
      <c r="D567"/>
    </row>
    <row r="568" spans="1:4" x14ac:dyDescent="0.2">
      <c r="A568"/>
      <c r="B568"/>
      <c r="C568"/>
      <c r="D568"/>
    </row>
    <row r="569" spans="1:4" x14ac:dyDescent="0.2">
      <c r="A569"/>
      <c r="B569"/>
      <c r="C569"/>
      <c r="D569"/>
    </row>
    <row r="570" spans="1:4" x14ac:dyDescent="0.2">
      <c r="A570"/>
      <c r="B570"/>
      <c r="C570"/>
      <c r="D570"/>
    </row>
    <row r="571" spans="1:4" x14ac:dyDescent="0.2">
      <c r="A571"/>
      <c r="B571"/>
      <c r="C571"/>
      <c r="D571"/>
    </row>
    <row r="572" spans="1:4" x14ac:dyDescent="0.2">
      <c r="A572"/>
      <c r="B572"/>
      <c r="C572"/>
      <c r="D572"/>
    </row>
    <row r="573" spans="1:4" x14ac:dyDescent="0.2">
      <c r="A573"/>
      <c r="B573"/>
      <c r="C573"/>
      <c r="D573"/>
    </row>
    <row r="574" spans="1:4" x14ac:dyDescent="0.2">
      <c r="A574"/>
      <c r="B574"/>
      <c r="C574"/>
      <c r="D574"/>
    </row>
    <row r="575" spans="1:4" x14ac:dyDescent="0.2">
      <c r="A575"/>
      <c r="B575"/>
      <c r="C575"/>
      <c r="D575"/>
    </row>
    <row r="576" spans="1:4" x14ac:dyDescent="0.2">
      <c r="A576"/>
      <c r="B576"/>
      <c r="C576"/>
      <c r="D576"/>
    </row>
    <row r="577" spans="1:4" x14ac:dyDescent="0.2">
      <c r="A577"/>
      <c r="B577"/>
      <c r="C577"/>
      <c r="D577"/>
    </row>
    <row r="578" spans="1:4" x14ac:dyDescent="0.2">
      <c r="A578"/>
      <c r="B578"/>
      <c r="C578"/>
      <c r="D578"/>
    </row>
    <row r="579" spans="1:4" x14ac:dyDescent="0.2">
      <c r="A579"/>
      <c r="B579"/>
      <c r="C579"/>
      <c r="D579"/>
    </row>
    <row r="580" spans="1:4" x14ac:dyDescent="0.2">
      <c r="A580"/>
      <c r="B580"/>
      <c r="C580"/>
      <c r="D580"/>
    </row>
    <row r="581" spans="1:4" x14ac:dyDescent="0.2">
      <c r="A581"/>
      <c r="B581"/>
      <c r="C581"/>
      <c r="D581"/>
    </row>
    <row r="582" spans="1:4" x14ac:dyDescent="0.2">
      <c r="A582"/>
      <c r="B582"/>
      <c r="C582"/>
      <c r="D582"/>
    </row>
    <row r="583" spans="1:4" x14ac:dyDescent="0.2">
      <c r="A583"/>
      <c r="B583"/>
      <c r="C583"/>
      <c r="D583"/>
    </row>
    <row r="584" spans="1:4" x14ac:dyDescent="0.2">
      <c r="A584"/>
      <c r="B584"/>
      <c r="C584"/>
      <c r="D584"/>
    </row>
    <row r="585" spans="1:4" x14ac:dyDescent="0.2">
      <c r="A585"/>
      <c r="B585"/>
      <c r="C585"/>
      <c r="D585"/>
    </row>
    <row r="586" spans="1:4" x14ac:dyDescent="0.2">
      <c r="A586"/>
      <c r="B586"/>
      <c r="C586"/>
      <c r="D586"/>
    </row>
    <row r="587" spans="1:4" x14ac:dyDescent="0.2">
      <c r="A587"/>
      <c r="B587"/>
      <c r="C587"/>
      <c r="D587"/>
    </row>
    <row r="588" spans="1:4" x14ac:dyDescent="0.2">
      <c r="A588"/>
      <c r="B588"/>
      <c r="C588"/>
      <c r="D588"/>
    </row>
    <row r="589" spans="1:4" x14ac:dyDescent="0.2">
      <c r="A589"/>
      <c r="B589"/>
      <c r="C589"/>
      <c r="D589"/>
    </row>
    <row r="590" spans="1:4" x14ac:dyDescent="0.2">
      <c r="A590"/>
      <c r="B590"/>
      <c r="C590"/>
      <c r="D590"/>
    </row>
    <row r="591" spans="1:4" x14ac:dyDescent="0.2">
      <c r="A591"/>
      <c r="B591"/>
      <c r="C591"/>
      <c r="D591"/>
    </row>
    <row r="592" spans="1:4" x14ac:dyDescent="0.2">
      <c r="A592"/>
      <c r="B592"/>
      <c r="C592"/>
      <c r="D592"/>
    </row>
    <row r="593" spans="1:4" x14ac:dyDescent="0.2">
      <c r="A593"/>
      <c r="B593"/>
      <c r="C593"/>
      <c r="D593"/>
    </row>
    <row r="594" spans="1:4" x14ac:dyDescent="0.2">
      <c r="A594"/>
      <c r="B594"/>
      <c r="C594"/>
      <c r="D594"/>
    </row>
    <row r="595" spans="1:4" x14ac:dyDescent="0.2">
      <c r="A595"/>
      <c r="B595"/>
      <c r="C595"/>
      <c r="D595"/>
    </row>
    <row r="596" spans="1:4" x14ac:dyDescent="0.2">
      <c r="A596"/>
      <c r="B596"/>
      <c r="C596"/>
      <c r="D596"/>
    </row>
    <row r="597" spans="1:4" x14ac:dyDescent="0.2">
      <c r="A597"/>
      <c r="B597"/>
      <c r="C597"/>
      <c r="D597"/>
    </row>
    <row r="598" spans="1:4" x14ac:dyDescent="0.2">
      <c r="A598"/>
      <c r="B598"/>
      <c r="C598"/>
      <c r="D598"/>
    </row>
    <row r="599" spans="1:4" x14ac:dyDescent="0.2">
      <c r="A599"/>
      <c r="B599"/>
      <c r="C599"/>
      <c r="D599"/>
    </row>
    <row r="600" spans="1:4" x14ac:dyDescent="0.2">
      <c r="A600"/>
      <c r="B600"/>
      <c r="C600"/>
      <c r="D600"/>
    </row>
    <row r="601" spans="1:4" x14ac:dyDescent="0.2">
      <c r="A601"/>
      <c r="B601"/>
      <c r="C601"/>
      <c r="D601"/>
    </row>
    <row r="602" spans="1:4" x14ac:dyDescent="0.2">
      <c r="A602"/>
      <c r="B602"/>
      <c r="C602"/>
      <c r="D602"/>
    </row>
    <row r="603" spans="1:4" x14ac:dyDescent="0.2">
      <c r="A603"/>
      <c r="B603"/>
      <c r="C603"/>
      <c r="D603"/>
    </row>
    <row r="604" spans="1:4" x14ac:dyDescent="0.2">
      <c r="A604"/>
      <c r="B604"/>
      <c r="C604"/>
      <c r="D604"/>
    </row>
    <row r="605" spans="1:4" x14ac:dyDescent="0.2">
      <c r="A605"/>
      <c r="B605"/>
      <c r="C605"/>
      <c r="D605"/>
    </row>
    <row r="606" spans="1:4" x14ac:dyDescent="0.2">
      <c r="A606"/>
      <c r="B606"/>
      <c r="C606"/>
      <c r="D606"/>
    </row>
    <row r="607" spans="1:4" x14ac:dyDescent="0.2">
      <c r="A607"/>
      <c r="B607"/>
      <c r="C607"/>
      <c r="D607"/>
    </row>
    <row r="608" spans="1:4" x14ac:dyDescent="0.2">
      <c r="A608"/>
      <c r="B608"/>
      <c r="C608"/>
      <c r="D608"/>
    </row>
    <row r="609" spans="1:4" x14ac:dyDescent="0.2">
      <c r="A609"/>
      <c r="B609"/>
      <c r="C609"/>
      <c r="D609"/>
    </row>
    <row r="610" spans="1:4" x14ac:dyDescent="0.2">
      <c r="A610"/>
      <c r="B610"/>
      <c r="C610"/>
      <c r="D610"/>
    </row>
    <row r="611" spans="1:4" x14ac:dyDescent="0.2">
      <c r="A611"/>
      <c r="B611"/>
      <c r="C611"/>
      <c r="D611"/>
    </row>
    <row r="612" spans="1:4" x14ac:dyDescent="0.2">
      <c r="A612"/>
      <c r="B612"/>
      <c r="C612"/>
      <c r="D612"/>
    </row>
    <row r="613" spans="1:4" x14ac:dyDescent="0.2">
      <c r="A613"/>
      <c r="B613"/>
      <c r="C613"/>
      <c r="D613"/>
    </row>
    <row r="614" spans="1:4" x14ac:dyDescent="0.2">
      <c r="A614"/>
      <c r="B614"/>
      <c r="C614"/>
      <c r="D614"/>
    </row>
    <row r="615" spans="1:4" x14ac:dyDescent="0.2">
      <c r="A615"/>
      <c r="B615"/>
      <c r="C615"/>
      <c r="D615"/>
    </row>
    <row r="616" spans="1:4" x14ac:dyDescent="0.2">
      <c r="A616"/>
      <c r="B616"/>
      <c r="C616"/>
      <c r="D616"/>
    </row>
    <row r="617" spans="1:4" x14ac:dyDescent="0.2">
      <c r="A617"/>
      <c r="B617"/>
      <c r="C617"/>
      <c r="D617"/>
    </row>
    <row r="618" spans="1:4" x14ac:dyDescent="0.2">
      <c r="A618"/>
      <c r="B618"/>
      <c r="C618"/>
      <c r="D618"/>
    </row>
    <row r="619" spans="1:4" x14ac:dyDescent="0.2">
      <c r="A619"/>
      <c r="B619"/>
      <c r="C619"/>
      <c r="D619"/>
    </row>
    <row r="620" spans="1:4" x14ac:dyDescent="0.2">
      <c r="A620"/>
      <c r="B620"/>
      <c r="C620"/>
      <c r="D620"/>
    </row>
    <row r="621" spans="1:4" x14ac:dyDescent="0.2">
      <c r="A621"/>
      <c r="B621"/>
      <c r="C621"/>
      <c r="D621"/>
    </row>
    <row r="622" spans="1:4" x14ac:dyDescent="0.2">
      <c r="A622"/>
      <c r="B622"/>
      <c r="C622"/>
      <c r="D622"/>
    </row>
    <row r="623" spans="1:4" x14ac:dyDescent="0.2">
      <c r="A623"/>
      <c r="B623"/>
      <c r="C623"/>
      <c r="D623"/>
    </row>
    <row r="624" spans="1:4" x14ac:dyDescent="0.2">
      <c r="A624"/>
      <c r="B624"/>
      <c r="C624"/>
      <c r="D624"/>
    </row>
    <row r="625" spans="1:4" x14ac:dyDescent="0.2">
      <c r="A625"/>
      <c r="B625"/>
      <c r="C625"/>
      <c r="D625"/>
    </row>
    <row r="626" spans="1:4" x14ac:dyDescent="0.2">
      <c r="A626"/>
      <c r="B626"/>
      <c r="C626"/>
      <c r="D626"/>
    </row>
    <row r="627" spans="1:4" x14ac:dyDescent="0.2">
      <c r="A627"/>
      <c r="B627"/>
      <c r="C627"/>
      <c r="D627"/>
    </row>
    <row r="628" spans="1:4" x14ac:dyDescent="0.2">
      <c r="A628"/>
      <c r="B628"/>
      <c r="C628"/>
      <c r="D628"/>
    </row>
    <row r="629" spans="1:4" x14ac:dyDescent="0.2">
      <c r="A629"/>
      <c r="B629"/>
      <c r="C629"/>
      <c r="D629"/>
    </row>
    <row r="630" spans="1:4" x14ac:dyDescent="0.2">
      <c r="A630"/>
      <c r="B630"/>
      <c r="C630"/>
      <c r="D630"/>
    </row>
    <row r="631" spans="1:4" x14ac:dyDescent="0.2">
      <c r="A631"/>
      <c r="B631"/>
      <c r="C631"/>
      <c r="D631"/>
    </row>
    <row r="632" spans="1:4" x14ac:dyDescent="0.2">
      <c r="A632"/>
      <c r="B632"/>
      <c r="C632"/>
      <c r="D632"/>
    </row>
    <row r="633" spans="1:4" x14ac:dyDescent="0.2">
      <c r="A633"/>
      <c r="B633"/>
      <c r="C633"/>
      <c r="D633"/>
    </row>
    <row r="634" spans="1:4" x14ac:dyDescent="0.2">
      <c r="A634"/>
      <c r="B634"/>
      <c r="C634"/>
      <c r="D634"/>
    </row>
    <row r="635" spans="1:4" x14ac:dyDescent="0.2">
      <c r="A635"/>
      <c r="B635"/>
      <c r="C635"/>
      <c r="D635"/>
    </row>
    <row r="636" spans="1:4" x14ac:dyDescent="0.2">
      <c r="A636"/>
      <c r="B636"/>
      <c r="C636"/>
      <c r="D636"/>
    </row>
    <row r="637" spans="1:4" x14ac:dyDescent="0.2">
      <c r="A637"/>
      <c r="B637"/>
      <c r="C637"/>
      <c r="D637"/>
    </row>
    <row r="638" spans="1:4" x14ac:dyDescent="0.2">
      <c r="A638"/>
      <c r="B638"/>
      <c r="C638"/>
      <c r="D638"/>
    </row>
    <row r="639" spans="1:4" x14ac:dyDescent="0.2">
      <c r="A639"/>
      <c r="B639"/>
      <c r="C639"/>
      <c r="D639"/>
    </row>
    <row r="640" spans="1:4" x14ac:dyDescent="0.2">
      <c r="A640"/>
      <c r="B640"/>
      <c r="C640"/>
      <c r="D640"/>
    </row>
    <row r="641" spans="1:4" x14ac:dyDescent="0.2">
      <c r="A641"/>
      <c r="B641"/>
      <c r="C641"/>
      <c r="D641"/>
    </row>
    <row r="642" spans="1:4" x14ac:dyDescent="0.2">
      <c r="A642"/>
      <c r="B642"/>
      <c r="C642"/>
      <c r="D642"/>
    </row>
    <row r="643" spans="1:4" x14ac:dyDescent="0.2">
      <c r="A643"/>
      <c r="B643"/>
      <c r="C643"/>
      <c r="D643"/>
    </row>
    <row r="644" spans="1:4" x14ac:dyDescent="0.2">
      <c r="A644"/>
      <c r="B644"/>
      <c r="C644"/>
      <c r="D644"/>
    </row>
    <row r="645" spans="1:4" x14ac:dyDescent="0.2">
      <c r="A645"/>
      <c r="B645"/>
      <c r="C645"/>
      <c r="D645"/>
    </row>
    <row r="646" spans="1:4" x14ac:dyDescent="0.2">
      <c r="A646"/>
      <c r="B646"/>
      <c r="C646"/>
      <c r="D646"/>
    </row>
    <row r="647" spans="1:4" x14ac:dyDescent="0.2">
      <c r="A647"/>
      <c r="B647"/>
      <c r="C647"/>
      <c r="D647"/>
    </row>
    <row r="648" spans="1:4" x14ac:dyDescent="0.2">
      <c r="A648"/>
      <c r="B648"/>
      <c r="C648"/>
      <c r="D648"/>
    </row>
    <row r="649" spans="1:4" x14ac:dyDescent="0.2">
      <c r="A649"/>
      <c r="B649"/>
      <c r="C649"/>
      <c r="D649"/>
    </row>
    <row r="650" spans="1:4" x14ac:dyDescent="0.2">
      <c r="A650"/>
      <c r="B650"/>
      <c r="C650"/>
      <c r="D650"/>
    </row>
    <row r="651" spans="1:4" x14ac:dyDescent="0.2">
      <c r="A651"/>
      <c r="B651"/>
      <c r="C651"/>
      <c r="D651"/>
    </row>
    <row r="652" spans="1:4" x14ac:dyDescent="0.2">
      <c r="A652"/>
      <c r="B652"/>
      <c r="C652"/>
      <c r="D652"/>
    </row>
    <row r="653" spans="1:4" x14ac:dyDescent="0.2">
      <c r="A653"/>
      <c r="B653"/>
      <c r="C653"/>
      <c r="D653"/>
    </row>
    <row r="654" spans="1:4" x14ac:dyDescent="0.2">
      <c r="A654"/>
      <c r="B654"/>
      <c r="C654"/>
      <c r="D654"/>
    </row>
    <row r="655" spans="1:4" x14ac:dyDescent="0.2">
      <c r="A655"/>
      <c r="B655"/>
      <c r="C655"/>
      <c r="D655"/>
    </row>
    <row r="656" spans="1:4" x14ac:dyDescent="0.2">
      <c r="A656"/>
      <c r="B656"/>
      <c r="C656"/>
      <c r="D656"/>
    </row>
    <row r="657" spans="1:4" x14ac:dyDescent="0.2">
      <c r="A657"/>
      <c r="B657"/>
      <c r="C657"/>
      <c r="D657"/>
    </row>
    <row r="658" spans="1:4" x14ac:dyDescent="0.2">
      <c r="A658"/>
      <c r="B658"/>
      <c r="C658"/>
      <c r="D658"/>
    </row>
    <row r="659" spans="1:4" x14ac:dyDescent="0.2">
      <c r="A659"/>
      <c r="B659"/>
      <c r="C659"/>
      <c r="D659"/>
    </row>
    <row r="660" spans="1:4" x14ac:dyDescent="0.2">
      <c r="A660"/>
      <c r="B660"/>
      <c r="C660"/>
      <c r="D660"/>
    </row>
    <row r="661" spans="1:4" x14ac:dyDescent="0.2">
      <c r="A661"/>
      <c r="B661"/>
      <c r="C661"/>
      <c r="D661"/>
    </row>
    <row r="662" spans="1:4" x14ac:dyDescent="0.2">
      <c r="A662"/>
      <c r="B662"/>
      <c r="C662"/>
      <c r="D662"/>
    </row>
    <row r="663" spans="1:4" x14ac:dyDescent="0.2">
      <c r="A663"/>
      <c r="B663"/>
      <c r="C663"/>
      <c r="D663"/>
    </row>
    <row r="664" spans="1:4" x14ac:dyDescent="0.2">
      <c r="A664"/>
      <c r="B664"/>
      <c r="C664"/>
      <c r="D664"/>
    </row>
    <row r="665" spans="1:4" x14ac:dyDescent="0.2">
      <c r="A665"/>
      <c r="B665"/>
      <c r="C665"/>
      <c r="D665"/>
    </row>
    <row r="666" spans="1:4" x14ac:dyDescent="0.2">
      <c r="A666"/>
      <c r="B666"/>
      <c r="C666"/>
      <c r="D666"/>
    </row>
    <row r="667" spans="1:4" x14ac:dyDescent="0.2">
      <c r="A667"/>
      <c r="B667"/>
      <c r="C667"/>
      <c r="D667"/>
    </row>
    <row r="668" spans="1:4" x14ac:dyDescent="0.2">
      <c r="A668"/>
      <c r="B668"/>
      <c r="C668"/>
      <c r="D668"/>
    </row>
    <row r="669" spans="1:4" x14ac:dyDescent="0.2">
      <c r="A669"/>
      <c r="B669"/>
      <c r="C669"/>
      <c r="D669"/>
    </row>
    <row r="670" spans="1:4" x14ac:dyDescent="0.2">
      <c r="A670"/>
      <c r="B670"/>
      <c r="C670"/>
      <c r="D670"/>
    </row>
    <row r="671" spans="1:4" x14ac:dyDescent="0.2">
      <c r="A671"/>
      <c r="B671"/>
      <c r="C671"/>
      <c r="D671"/>
    </row>
    <row r="672" spans="1:4" x14ac:dyDescent="0.2">
      <c r="A672"/>
      <c r="B672"/>
      <c r="C672"/>
      <c r="D672"/>
    </row>
    <row r="673" spans="1:4" x14ac:dyDescent="0.2">
      <c r="A673"/>
      <c r="B673"/>
      <c r="C673"/>
      <c r="D673"/>
    </row>
    <row r="674" spans="1:4" x14ac:dyDescent="0.2">
      <c r="A674"/>
      <c r="B674"/>
      <c r="C674"/>
      <c r="D674"/>
    </row>
    <row r="675" spans="1:4" x14ac:dyDescent="0.2">
      <c r="A675"/>
      <c r="B675"/>
      <c r="C675"/>
      <c r="D675"/>
    </row>
    <row r="676" spans="1:4" x14ac:dyDescent="0.2">
      <c r="A676"/>
      <c r="B676"/>
      <c r="C676"/>
      <c r="D676"/>
    </row>
    <row r="677" spans="1:4" x14ac:dyDescent="0.2">
      <c r="A677"/>
      <c r="B677"/>
      <c r="C677"/>
      <c r="D677"/>
    </row>
    <row r="678" spans="1:4" x14ac:dyDescent="0.2">
      <c r="A678"/>
      <c r="B678"/>
      <c r="C678"/>
      <c r="D678"/>
    </row>
    <row r="679" spans="1:4" x14ac:dyDescent="0.2">
      <c r="A679"/>
      <c r="B679"/>
      <c r="C679"/>
      <c r="D679"/>
    </row>
    <row r="680" spans="1:4" x14ac:dyDescent="0.2">
      <c r="A680"/>
      <c r="B680"/>
      <c r="C680"/>
      <c r="D680"/>
    </row>
    <row r="681" spans="1:4" x14ac:dyDescent="0.2">
      <c r="A681"/>
      <c r="B681"/>
      <c r="C681"/>
      <c r="D681"/>
    </row>
    <row r="682" spans="1:4" x14ac:dyDescent="0.2">
      <c r="A682"/>
      <c r="B682"/>
      <c r="C682"/>
      <c r="D682"/>
    </row>
    <row r="683" spans="1:4" x14ac:dyDescent="0.2">
      <c r="A683"/>
      <c r="B683"/>
      <c r="C683"/>
      <c r="D683"/>
    </row>
    <row r="684" spans="1:4" x14ac:dyDescent="0.2">
      <c r="A684"/>
      <c r="B684"/>
      <c r="C684"/>
      <c r="D684"/>
    </row>
    <row r="685" spans="1:4" x14ac:dyDescent="0.2">
      <c r="A685"/>
      <c r="B685"/>
      <c r="C685"/>
      <c r="D685"/>
    </row>
    <row r="686" spans="1:4" x14ac:dyDescent="0.2">
      <c r="A686"/>
      <c r="B686"/>
      <c r="C686"/>
      <c r="D686"/>
    </row>
    <row r="687" spans="1:4" x14ac:dyDescent="0.2">
      <c r="A687"/>
      <c r="B687"/>
      <c r="C687"/>
      <c r="D687"/>
    </row>
    <row r="688" spans="1:4" x14ac:dyDescent="0.2">
      <c r="A688"/>
      <c r="B688"/>
      <c r="C688"/>
      <c r="D688"/>
    </row>
    <row r="689" spans="1:4" x14ac:dyDescent="0.2">
      <c r="A689"/>
      <c r="B689"/>
      <c r="C689"/>
      <c r="D689"/>
    </row>
    <row r="690" spans="1:4" x14ac:dyDescent="0.2">
      <c r="A690"/>
      <c r="B690"/>
      <c r="C690"/>
      <c r="D690"/>
    </row>
    <row r="691" spans="1:4" x14ac:dyDescent="0.2">
      <c r="A691"/>
      <c r="B691"/>
      <c r="C691"/>
      <c r="D691"/>
    </row>
    <row r="692" spans="1:4" x14ac:dyDescent="0.2">
      <c r="A692"/>
      <c r="B692"/>
      <c r="C692"/>
      <c r="D692"/>
    </row>
    <row r="693" spans="1:4" x14ac:dyDescent="0.2">
      <c r="A693"/>
      <c r="B693"/>
      <c r="C693"/>
      <c r="D693"/>
    </row>
    <row r="694" spans="1:4" x14ac:dyDescent="0.2">
      <c r="A694"/>
      <c r="B694"/>
      <c r="C694"/>
      <c r="D694"/>
    </row>
    <row r="695" spans="1:4" x14ac:dyDescent="0.2">
      <c r="A695"/>
      <c r="B695"/>
      <c r="C695"/>
      <c r="D695"/>
    </row>
    <row r="696" spans="1:4" x14ac:dyDescent="0.2">
      <c r="A696"/>
      <c r="B696"/>
      <c r="C696"/>
      <c r="D696"/>
    </row>
    <row r="697" spans="1:4" x14ac:dyDescent="0.2">
      <c r="A697"/>
      <c r="B697"/>
      <c r="C697"/>
      <c r="D697"/>
    </row>
    <row r="698" spans="1:4" x14ac:dyDescent="0.2">
      <c r="A698"/>
      <c r="B698"/>
      <c r="C698"/>
      <c r="D698"/>
    </row>
    <row r="699" spans="1:4" x14ac:dyDescent="0.2">
      <c r="A699"/>
      <c r="B699"/>
      <c r="C699"/>
      <c r="D699"/>
    </row>
    <row r="700" spans="1:4" x14ac:dyDescent="0.2">
      <c r="A700"/>
      <c r="B700"/>
      <c r="C700"/>
      <c r="D700"/>
    </row>
    <row r="701" spans="1:4" x14ac:dyDescent="0.2">
      <c r="A701"/>
      <c r="B701"/>
      <c r="C701"/>
      <c r="D701"/>
    </row>
    <row r="702" spans="1:4" x14ac:dyDescent="0.2">
      <c r="A702"/>
      <c r="B702"/>
      <c r="C702"/>
      <c r="D702"/>
    </row>
    <row r="703" spans="1:4" x14ac:dyDescent="0.2">
      <c r="A703"/>
      <c r="B703"/>
      <c r="C703"/>
      <c r="D703"/>
    </row>
    <row r="704" spans="1:4" x14ac:dyDescent="0.2">
      <c r="A704"/>
      <c r="B704"/>
      <c r="C704"/>
      <c r="D704"/>
    </row>
    <row r="705" spans="1:4" x14ac:dyDescent="0.2">
      <c r="A705"/>
      <c r="B705"/>
      <c r="C705"/>
      <c r="D705"/>
    </row>
    <row r="706" spans="1:4" x14ac:dyDescent="0.2">
      <c r="A706"/>
      <c r="B706"/>
      <c r="C706"/>
      <c r="D706"/>
    </row>
    <row r="707" spans="1:4" x14ac:dyDescent="0.2">
      <c r="A707"/>
      <c r="B707"/>
      <c r="C707"/>
      <c r="D707"/>
    </row>
    <row r="708" spans="1:4" x14ac:dyDescent="0.2">
      <c r="A708"/>
      <c r="B708"/>
      <c r="C708"/>
      <c r="D708"/>
    </row>
    <row r="709" spans="1:4" x14ac:dyDescent="0.2">
      <c r="A709"/>
      <c r="B709"/>
      <c r="C709"/>
      <c r="D709"/>
    </row>
    <row r="710" spans="1:4" x14ac:dyDescent="0.2">
      <c r="A710"/>
      <c r="B710"/>
      <c r="C710"/>
      <c r="D710"/>
    </row>
    <row r="711" spans="1:4" x14ac:dyDescent="0.2">
      <c r="A711"/>
      <c r="B711"/>
      <c r="C711"/>
      <c r="D711"/>
    </row>
    <row r="712" spans="1:4" x14ac:dyDescent="0.2">
      <c r="A712"/>
      <c r="B712"/>
      <c r="C712"/>
      <c r="D712"/>
    </row>
    <row r="713" spans="1:4" x14ac:dyDescent="0.2">
      <c r="A713"/>
      <c r="B713"/>
      <c r="C713"/>
      <c r="D713"/>
    </row>
    <row r="714" spans="1:4" x14ac:dyDescent="0.2">
      <c r="A714"/>
      <c r="B714"/>
      <c r="C714"/>
      <c r="D714"/>
    </row>
    <row r="715" spans="1:4" x14ac:dyDescent="0.2">
      <c r="A715"/>
      <c r="B715"/>
      <c r="C715"/>
      <c r="D715"/>
    </row>
    <row r="716" spans="1:4" x14ac:dyDescent="0.2">
      <c r="A716"/>
      <c r="B716"/>
      <c r="C716"/>
      <c r="D716"/>
    </row>
    <row r="717" spans="1:4" x14ac:dyDescent="0.2">
      <c r="A717"/>
      <c r="B717"/>
      <c r="C717"/>
      <c r="D717"/>
    </row>
    <row r="718" spans="1:4" x14ac:dyDescent="0.2">
      <c r="A718"/>
      <c r="B718"/>
      <c r="C718"/>
      <c r="D718"/>
    </row>
    <row r="719" spans="1:4" x14ac:dyDescent="0.2">
      <c r="A719"/>
      <c r="B719"/>
      <c r="C719"/>
      <c r="D719"/>
    </row>
    <row r="720" spans="1:4" x14ac:dyDescent="0.2">
      <c r="A720"/>
      <c r="B720"/>
      <c r="C720"/>
      <c r="D720"/>
    </row>
    <row r="721" spans="1:4" x14ac:dyDescent="0.2">
      <c r="A721"/>
      <c r="B721"/>
      <c r="C721"/>
      <c r="D721"/>
    </row>
    <row r="722" spans="1:4" x14ac:dyDescent="0.2">
      <c r="A722"/>
      <c r="B722"/>
      <c r="C722"/>
      <c r="D722"/>
    </row>
    <row r="723" spans="1:4" x14ac:dyDescent="0.2">
      <c r="A723"/>
      <c r="B723"/>
      <c r="C723"/>
      <c r="D723"/>
    </row>
    <row r="724" spans="1:4" x14ac:dyDescent="0.2">
      <c r="A724"/>
      <c r="B724"/>
      <c r="C724"/>
      <c r="D724"/>
    </row>
    <row r="725" spans="1:4" x14ac:dyDescent="0.2">
      <c r="A725"/>
      <c r="B725"/>
      <c r="C725"/>
      <c r="D725"/>
    </row>
    <row r="726" spans="1:4" x14ac:dyDescent="0.2">
      <c r="A726"/>
      <c r="B726"/>
      <c r="C726"/>
      <c r="D726"/>
    </row>
    <row r="727" spans="1:4" x14ac:dyDescent="0.2">
      <c r="A727"/>
      <c r="B727"/>
      <c r="C727"/>
      <c r="D727"/>
    </row>
    <row r="728" spans="1:4" x14ac:dyDescent="0.2">
      <c r="A728"/>
      <c r="B728"/>
      <c r="C728"/>
      <c r="D728"/>
    </row>
    <row r="729" spans="1:4" x14ac:dyDescent="0.2">
      <c r="A729"/>
      <c r="B729"/>
      <c r="C729"/>
      <c r="D729"/>
    </row>
    <row r="730" spans="1:4" x14ac:dyDescent="0.2">
      <c r="A730"/>
      <c r="B730"/>
      <c r="C730"/>
      <c r="D730"/>
    </row>
    <row r="731" spans="1:4" x14ac:dyDescent="0.2">
      <c r="A731"/>
      <c r="B731"/>
      <c r="C731"/>
      <c r="D731"/>
    </row>
    <row r="732" spans="1:4" x14ac:dyDescent="0.2">
      <c r="A732"/>
      <c r="B732"/>
      <c r="C732"/>
      <c r="D732"/>
    </row>
    <row r="733" spans="1:4" x14ac:dyDescent="0.2">
      <c r="A733"/>
      <c r="B733"/>
      <c r="C733"/>
      <c r="D733"/>
    </row>
    <row r="734" spans="1:4" x14ac:dyDescent="0.2">
      <c r="A734"/>
      <c r="B734"/>
      <c r="C734"/>
      <c r="D734"/>
    </row>
    <row r="735" spans="1:4" x14ac:dyDescent="0.2">
      <c r="A735"/>
      <c r="B735"/>
      <c r="C735"/>
      <c r="D735"/>
    </row>
    <row r="736" spans="1:4" x14ac:dyDescent="0.2">
      <c r="A736"/>
      <c r="B736"/>
      <c r="C736"/>
      <c r="D736"/>
    </row>
    <row r="737" spans="1:4" x14ac:dyDescent="0.2">
      <c r="A737"/>
      <c r="B737"/>
      <c r="C737"/>
      <c r="D737"/>
    </row>
    <row r="738" spans="1:4" x14ac:dyDescent="0.2">
      <c r="A738"/>
      <c r="B738"/>
      <c r="C738"/>
      <c r="D738"/>
    </row>
    <row r="739" spans="1:4" x14ac:dyDescent="0.2">
      <c r="A739"/>
      <c r="B739"/>
      <c r="C739"/>
      <c r="D739"/>
    </row>
    <row r="740" spans="1:4" x14ac:dyDescent="0.2">
      <c r="A740"/>
      <c r="B740"/>
      <c r="C740"/>
      <c r="D740"/>
    </row>
    <row r="741" spans="1:4" x14ac:dyDescent="0.2">
      <c r="A741"/>
      <c r="B741"/>
      <c r="C741"/>
      <c r="D741"/>
    </row>
    <row r="742" spans="1:4" x14ac:dyDescent="0.2">
      <c r="A742"/>
      <c r="B742"/>
      <c r="C742"/>
      <c r="D742"/>
    </row>
    <row r="743" spans="1:4" x14ac:dyDescent="0.2">
      <c r="A743"/>
      <c r="B743"/>
      <c r="C743"/>
      <c r="D743"/>
    </row>
    <row r="744" spans="1:4" x14ac:dyDescent="0.2">
      <c r="A744"/>
      <c r="B744"/>
      <c r="C744"/>
      <c r="D744"/>
    </row>
    <row r="745" spans="1:4" x14ac:dyDescent="0.2">
      <c r="A745"/>
      <c r="B745"/>
      <c r="C745"/>
      <c r="D745"/>
    </row>
    <row r="746" spans="1:4" x14ac:dyDescent="0.2">
      <c r="A746"/>
      <c r="B746"/>
      <c r="C746"/>
      <c r="D746"/>
    </row>
    <row r="747" spans="1:4" x14ac:dyDescent="0.2">
      <c r="A747"/>
      <c r="B747"/>
      <c r="C747"/>
      <c r="D747"/>
    </row>
    <row r="748" spans="1:4" x14ac:dyDescent="0.2">
      <c r="A748"/>
      <c r="B748"/>
      <c r="C748"/>
      <c r="D748"/>
    </row>
    <row r="749" spans="1:4" x14ac:dyDescent="0.2">
      <c r="A749"/>
      <c r="B749"/>
      <c r="C749"/>
      <c r="D749"/>
    </row>
    <row r="750" spans="1:4" x14ac:dyDescent="0.2">
      <c r="A750"/>
      <c r="B750"/>
      <c r="C750"/>
      <c r="D750"/>
    </row>
    <row r="751" spans="1:4" x14ac:dyDescent="0.2">
      <c r="A751"/>
      <c r="B751"/>
      <c r="C751"/>
      <c r="D751"/>
    </row>
    <row r="752" spans="1:4" x14ac:dyDescent="0.2">
      <c r="A752"/>
      <c r="B752"/>
      <c r="C752"/>
      <c r="D752"/>
    </row>
    <row r="753" spans="1:4" x14ac:dyDescent="0.2">
      <c r="A753"/>
      <c r="B753"/>
      <c r="C753"/>
      <c r="D753"/>
    </row>
    <row r="754" spans="1:4" x14ac:dyDescent="0.2">
      <c r="A754"/>
      <c r="B754"/>
      <c r="C754"/>
      <c r="D754"/>
    </row>
    <row r="755" spans="1:4" x14ac:dyDescent="0.2">
      <c r="A755"/>
      <c r="B755"/>
      <c r="C755"/>
      <c r="D755"/>
    </row>
    <row r="756" spans="1:4" x14ac:dyDescent="0.2">
      <c r="A756"/>
      <c r="B756"/>
      <c r="C756"/>
      <c r="D756"/>
    </row>
    <row r="757" spans="1:4" x14ac:dyDescent="0.2">
      <c r="A757"/>
      <c r="B757"/>
      <c r="C757"/>
      <c r="D757"/>
    </row>
    <row r="758" spans="1:4" x14ac:dyDescent="0.2">
      <c r="A758"/>
      <c r="B758"/>
      <c r="C758"/>
      <c r="D758"/>
    </row>
    <row r="759" spans="1:4" x14ac:dyDescent="0.2">
      <c r="A759"/>
      <c r="B759"/>
      <c r="C759"/>
      <c r="D759"/>
    </row>
    <row r="760" spans="1:4" x14ac:dyDescent="0.2">
      <c r="A760"/>
      <c r="B760"/>
      <c r="C760"/>
      <c r="D760"/>
    </row>
    <row r="761" spans="1:4" x14ac:dyDescent="0.2">
      <c r="A761"/>
      <c r="B761"/>
      <c r="C761"/>
      <c r="D761"/>
    </row>
    <row r="762" spans="1:4" x14ac:dyDescent="0.2">
      <c r="A762"/>
      <c r="B762"/>
      <c r="C762"/>
      <c r="D762"/>
    </row>
    <row r="763" spans="1:4" x14ac:dyDescent="0.2">
      <c r="A763"/>
      <c r="B763"/>
      <c r="C763"/>
      <c r="D763"/>
    </row>
    <row r="764" spans="1:4" x14ac:dyDescent="0.2">
      <c r="A764"/>
      <c r="B764"/>
      <c r="C764"/>
      <c r="D764"/>
    </row>
    <row r="765" spans="1:4" x14ac:dyDescent="0.2">
      <c r="A765"/>
      <c r="B765"/>
      <c r="C765"/>
      <c r="D765"/>
    </row>
    <row r="766" spans="1:4" x14ac:dyDescent="0.2">
      <c r="A766"/>
      <c r="B766"/>
      <c r="C766"/>
      <c r="D766"/>
    </row>
    <row r="767" spans="1:4" x14ac:dyDescent="0.2">
      <c r="A767"/>
      <c r="B767"/>
      <c r="C767"/>
      <c r="D767"/>
    </row>
    <row r="768" spans="1:4" x14ac:dyDescent="0.2">
      <c r="A768"/>
      <c r="B768"/>
      <c r="C768"/>
      <c r="D768"/>
    </row>
    <row r="769" spans="1:4" x14ac:dyDescent="0.2">
      <c r="A769"/>
      <c r="B769"/>
      <c r="C769"/>
      <c r="D769"/>
    </row>
    <row r="770" spans="1:4" x14ac:dyDescent="0.2">
      <c r="A770"/>
      <c r="B770"/>
      <c r="C770"/>
      <c r="D770"/>
    </row>
    <row r="771" spans="1:4" x14ac:dyDescent="0.2">
      <c r="A771"/>
      <c r="B771"/>
      <c r="C771"/>
      <c r="D771"/>
    </row>
    <row r="772" spans="1:4" x14ac:dyDescent="0.2">
      <c r="A772"/>
      <c r="B772"/>
      <c r="C772"/>
      <c r="D772"/>
    </row>
    <row r="773" spans="1:4" x14ac:dyDescent="0.2">
      <c r="A773"/>
      <c r="B773"/>
      <c r="C773"/>
      <c r="D773"/>
    </row>
    <row r="774" spans="1:4" x14ac:dyDescent="0.2">
      <c r="A774"/>
      <c r="B774"/>
      <c r="C774"/>
      <c r="D774"/>
    </row>
    <row r="775" spans="1:4" x14ac:dyDescent="0.2">
      <c r="A775"/>
      <c r="B775"/>
      <c r="C775"/>
      <c r="D775"/>
    </row>
    <row r="776" spans="1:4" x14ac:dyDescent="0.2">
      <c r="A776"/>
      <c r="B776"/>
      <c r="C776"/>
      <c r="D776"/>
    </row>
    <row r="777" spans="1:4" x14ac:dyDescent="0.2">
      <c r="A777"/>
      <c r="B777"/>
      <c r="C777"/>
      <c r="D777"/>
    </row>
    <row r="778" spans="1:4" x14ac:dyDescent="0.2">
      <c r="A778"/>
      <c r="B778"/>
      <c r="C778"/>
      <c r="D778"/>
    </row>
    <row r="779" spans="1:4" x14ac:dyDescent="0.2">
      <c r="A779"/>
      <c r="B779"/>
      <c r="C779"/>
      <c r="D779"/>
    </row>
    <row r="780" spans="1:4" x14ac:dyDescent="0.2">
      <c r="A780"/>
      <c r="B780"/>
      <c r="C780"/>
      <c r="D780"/>
    </row>
    <row r="781" spans="1:4" x14ac:dyDescent="0.2">
      <c r="A781"/>
      <c r="B781"/>
      <c r="C781"/>
      <c r="D781"/>
    </row>
    <row r="782" spans="1:4" x14ac:dyDescent="0.2">
      <c r="A782"/>
      <c r="B782"/>
      <c r="C782"/>
      <c r="D782"/>
    </row>
    <row r="783" spans="1:4" x14ac:dyDescent="0.2">
      <c r="A783"/>
      <c r="B783"/>
      <c r="C783"/>
      <c r="D783"/>
    </row>
    <row r="784" spans="1:4" x14ac:dyDescent="0.2">
      <c r="A784"/>
      <c r="B784"/>
      <c r="C784"/>
      <c r="D784"/>
    </row>
    <row r="785" spans="1:4" x14ac:dyDescent="0.2">
      <c r="A785"/>
      <c r="B785"/>
      <c r="C785"/>
      <c r="D785"/>
    </row>
    <row r="786" spans="1:4" x14ac:dyDescent="0.2">
      <c r="A786"/>
      <c r="B786"/>
      <c r="C786"/>
      <c r="D786"/>
    </row>
    <row r="787" spans="1:4" x14ac:dyDescent="0.2">
      <c r="A787"/>
      <c r="B787"/>
      <c r="C787"/>
      <c r="D787"/>
    </row>
    <row r="788" spans="1:4" x14ac:dyDescent="0.2">
      <c r="A788"/>
      <c r="B788"/>
      <c r="C788"/>
      <c r="D788"/>
    </row>
    <row r="789" spans="1:4" x14ac:dyDescent="0.2">
      <c r="A789"/>
      <c r="B789"/>
      <c r="C789"/>
      <c r="D789"/>
    </row>
    <row r="790" spans="1:4" x14ac:dyDescent="0.2">
      <c r="A790"/>
      <c r="B790"/>
      <c r="C790"/>
      <c r="D790"/>
    </row>
    <row r="791" spans="1:4" x14ac:dyDescent="0.2">
      <c r="A791"/>
      <c r="B791"/>
      <c r="C791"/>
      <c r="D791"/>
    </row>
    <row r="792" spans="1:4" x14ac:dyDescent="0.2">
      <c r="A792"/>
      <c r="B792"/>
      <c r="C792"/>
      <c r="D792"/>
    </row>
    <row r="793" spans="1:4" x14ac:dyDescent="0.2">
      <c r="A793"/>
      <c r="B793"/>
      <c r="C793"/>
      <c r="D793"/>
    </row>
    <row r="794" spans="1:4" x14ac:dyDescent="0.2">
      <c r="A794"/>
      <c r="B794"/>
      <c r="C794"/>
      <c r="D794"/>
    </row>
    <row r="795" spans="1:4" x14ac:dyDescent="0.2">
      <c r="A795"/>
      <c r="B795"/>
      <c r="C795"/>
      <c r="D795"/>
    </row>
    <row r="796" spans="1:4" x14ac:dyDescent="0.2">
      <c r="A796"/>
      <c r="B796"/>
      <c r="C796"/>
      <c r="D796"/>
    </row>
    <row r="797" spans="1:4" x14ac:dyDescent="0.2">
      <c r="A797"/>
      <c r="B797"/>
      <c r="C797"/>
      <c r="D797"/>
    </row>
    <row r="798" spans="1:4" x14ac:dyDescent="0.2">
      <c r="A798"/>
      <c r="B798"/>
      <c r="C798"/>
      <c r="D798"/>
    </row>
    <row r="799" spans="1:4" x14ac:dyDescent="0.2">
      <c r="A799"/>
      <c r="B799"/>
      <c r="C799"/>
      <c r="D799"/>
    </row>
    <row r="800" spans="1:4" x14ac:dyDescent="0.2">
      <c r="A800"/>
      <c r="B800"/>
      <c r="C800"/>
      <c r="D800"/>
    </row>
    <row r="801" spans="1:4" x14ac:dyDescent="0.2">
      <c r="A801"/>
      <c r="B801"/>
      <c r="C801"/>
      <c r="D801"/>
    </row>
    <row r="802" spans="1:4" x14ac:dyDescent="0.2">
      <c r="A802"/>
      <c r="B802"/>
      <c r="C802"/>
      <c r="D802"/>
    </row>
    <row r="803" spans="1:4" x14ac:dyDescent="0.2">
      <c r="A803"/>
      <c r="B803"/>
      <c r="C803"/>
      <c r="D803"/>
    </row>
    <row r="804" spans="1:4" x14ac:dyDescent="0.2">
      <c r="A804"/>
      <c r="B804"/>
      <c r="C804"/>
      <c r="D804"/>
    </row>
    <row r="805" spans="1:4" x14ac:dyDescent="0.2">
      <c r="A805"/>
      <c r="B805"/>
      <c r="C805"/>
      <c r="D805"/>
    </row>
    <row r="806" spans="1:4" x14ac:dyDescent="0.2">
      <c r="A806"/>
      <c r="B806"/>
      <c r="C806"/>
      <c r="D806"/>
    </row>
    <row r="807" spans="1:4" x14ac:dyDescent="0.2">
      <c r="A807"/>
      <c r="B807"/>
      <c r="C807"/>
      <c r="D807"/>
    </row>
    <row r="808" spans="1:4" x14ac:dyDescent="0.2">
      <c r="A808"/>
      <c r="B808"/>
      <c r="C808"/>
      <c r="D808"/>
    </row>
    <row r="809" spans="1:4" x14ac:dyDescent="0.2">
      <c r="A809"/>
      <c r="B809"/>
      <c r="C809"/>
      <c r="D809"/>
    </row>
    <row r="810" spans="1:4" x14ac:dyDescent="0.2">
      <c r="A810"/>
      <c r="B810"/>
      <c r="C810"/>
      <c r="D810"/>
    </row>
    <row r="811" spans="1:4" x14ac:dyDescent="0.2">
      <c r="A811"/>
      <c r="B811"/>
      <c r="C811"/>
      <c r="D811"/>
    </row>
    <row r="812" spans="1:4" x14ac:dyDescent="0.2">
      <c r="A812"/>
      <c r="B812"/>
      <c r="C812"/>
      <c r="D812"/>
    </row>
    <row r="813" spans="1:4" x14ac:dyDescent="0.2">
      <c r="A813"/>
      <c r="B813"/>
      <c r="C813"/>
      <c r="D813"/>
    </row>
    <row r="814" spans="1:4" x14ac:dyDescent="0.2">
      <c r="A814"/>
      <c r="B814"/>
      <c r="C814"/>
      <c r="D814"/>
    </row>
    <row r="815" spans="1:4" x14ac:dyDescent="0.2">
      <c r="A815"/>
      <c r="B815"/>
      <c r="C815"/>
      <c r="D815"/>
    </row>
    <row r="816" spans="1:4" x14ac:dyDescent="0.2">
      <c r="A816"/>
      <c r="B816"/>
      <c r="C816"/>
      <c r="D816"/>
    </row>
    <row r="817" spans="1:4" x14ac:dyDescent="0.2">
      <c r="A817"/>
      <c r="B817"/>
      <c r="C817"/>
      <c r="D817"/>
    </row>
    <row r="818" spans="1:4" x14ac:dyDescent="0.2">
      <c r="A818"/>
      <c r="B818"/>
      <c r="C818"/>
      <c r="D818"/>
    </row>
    <row r="819" spans="1:4" x14ac:dyDescent="0.2">
      <c r="A819"/>
      <c r="B819"/>
      <c r="C819"/>
      <c r="D819"/>
    </row>
    <row r="820" spans="1:4" x14ac:dyDescent="0.2">
      <c r="A820"/>
      <c r="B820"/>
      <c r="C820"/>
      <c r="D820"/>
    </row>
    <row r="821" spans="1:4" x14ac:dyDescent="0.2">
      <c r="A821"/>
      <c r="B821"/>
      <c r="C821"/>
      <c r="D821"/>
    </row>
    <row r="822" spans="1:4" x14ac:dyDescent="0.2">
      <c r="A822"/>
      <c r="B822"/>
      <c r="C822"/>
      <c r="D822"/>
    </row>
    <row r="823" spans="1:4" x14ac:dyDescent="0.2">
      <c r="A823"/>
      <c r="B823"/>
      <c r="C823"/>
      <c r="D823"/>
    </row>
    <row r="824" spans="1:4" x14ac:dyDescent="0.2">
      <c r="A824"/>
      <c r="B824"/>
      <c r="C824"/>
      <c r="D824"/>
    </row>
    <row r="825" spans="1:4" x14ac:dyDescent="0.2">
      <c r="A825"/>
      <c r="B825"/>
      <c r="C825"/>
      <c r="D825"/>
    </row>
    <row r="826" spans="1:4" x14ac:dyDescent="0.2">
      <c r="A826"/>
      <c r="B826"/>
      <c r="C826"/>
      <c r="D826"/>
    </row>
    <row r="827" spans="1:4" x14ac:dyDescent="0.2">
      <c r="A827"/>
      <c r="B827"/>
      <c r="C827"/>
      <c r="D827"/>
    </row>
    <row r="828" spans="1:4" x14ac:dyDescent="0.2">
      <c r="A828"/>
      <c r="B828"/>
      <c r="C828"/>
      <c r="D828"/>
    </row>
    <row r="829" spans="1:4" x14ac:dyDescent="0.2">
      <c r="A829"/>
      <c r="B829"/>
      <c r="C829"/>
      <c r="D829"/>
    </row>
    <row r="830" spans="1:4" x14ac:dyDescent="0.2">
      <c r="A830"/>
      <c r="B830"/>
      <c r="C830"/>
      <c r="D830"/>
    </row>
    <row r="831" spans="1:4" x14ac:dyDescent="0.2">
      <c r="A831"/>
      <c r="B831"/>
      <c r="C831"/>
      <c r="D831"/>
    </row>
    <row r="832" spans="1:4" x14ac:dyDescent="0.2">
      <c r="A832"/>
      <c r="B832"/>
      <c r="C832"/>
      <c r="D832"/>
    </row>
    <row r="833" spans="1:4" x14ac:dyDescent="0.2">
      <c r="A833"/>
      <c r="B833"/>
      <c r="C833"/>
      <c r="D833"/>
    </row>
    <row r="834" spans="1:4" x14ac:dyDescent="0.2">
      <c r="A834"/>
      <c r="B834"/>
      <c r="C834"/>
      <c r="D834"/>
    </row>
    <row r="835" spans="1:4" x14ac:dyDescent="0.2">
      <c r="A835"/>
      <c r="B835"/>
      <c r="C835"/>
      <c r="D835"/>
    </row>
    <row r="836" spans="1:4" x14ac:dyDescent="0.2">
      <c r="A836"/>
      <c r="B836"/>
      <c r="C836"/>
      <c r="D836"/>
    </row>
    <row r="837" spans="1:4" x14ac:dyDescent="0.2">
      <c r="A837"/>
      <c r="B837"/>
      <c r="C837"/>
      <c r="D837"/>
    </row>
    <row r="838" spans="1:4" x14ac:dyDescent="0.2">
      <c r="A838"/>
      <c r="B838"/>
      <c r="C838"/>
      <c r="D838"/>
    </row>
    <row r="839" spans="1:4" x14ac:dyDescent="0.2">
      <c r="A839"/>
      <c r="B839"/>
      <c r="C839"/>
      <c r="D839"/>
    </row>
    <row r="840" spans="1:4" x14ac:dyDescent="0.2">
      <c r="A840"/>
      <c r="B840"/>
      <c r="C840"/>
      <c r="D840"/>
    </row>
    <row r="841" spans="1:4" x14ac:dyDescent="0.2">
      <c r="A841"/>
      <c r="B841"/>
      <c r="C841"/>
      <c r="D841"/>
    </row>
    <row r="842" spans="1:4" x14ac:dyDescent="0.2">
      <c r="A842"/>
      <c r="B842"/>
      <c r="C842"/>
      <c r="D842"/>
    </row>
    <row r="843" spans="1:4" x14ac:dyDescent="0.2">
      <c r="A843"/>
      <c r="B843"/>
      <c r="C843"/>
      <c r="D843"/>
    </row>
    <row r="844" spans="1:4" x14ac:dyDescent="0.2">
      <c r="A844"/>
      <c r="B844"/>
      <c r="C844"/>
      <c r="D844"/>
    </row>
    <row r="845" spans="1:4" x14ac:dyDescent="0.2">
      <c r="A845"/>
      <c r="B845"/>
      <c r="C845"/>
      <c r="D845"/>
    </row>
    <row r="846" spans="1:4" x14ac:dyDescent="0.2">
      <c r="A846"/>
      <c r="B846"/>
      <c r="C846"/>
      <c r="D846"/>
    </row>
    <row r="847" spans="1:4" x14ac:dyDescent="0.2">
      <c r="A847"/>
      <c r="B847"/>
      <c r="C847"/>
      <c r="D847"/>
    </row>
    <row r="848" spans="1:4" x14ac:dyDescent="0.2">
      <c r="A848"/>
      <c r="B848"/>
      <c r="C848"/>
      <c r="D848"/>
    </row>
    <row r="849" spans="1:4" x14ac:dyDescent="0.2">
      <c r="A849"/>
      <c r="B849"/>
      <c r="C849"/>
      <c r="D849"/>
    </row>
    <row r="850" spans="1:4" x14ac:dyDescent="0.2">
      <c r="A850"/>
      <c r="B850"/>
      <c r="C850"/>
      <c r="D850"/>
    </row>
    <row r="851" spans="1:4" x14ac:dyDescent="0.2">
      <c r="A851"/>
      <c r="B851"/>
      <c r="C851"/>
      <c r="D851"/>
    </row>
    <row r="852" spans="1:4" x14ac:dyDescent="0.2">
      <c r="A852"/>
      <c r="B852"/>
      <c r="C852"/>
      <c r="D852"/>
    </row>
    <row r="853" spans="1:4" x14ac:dyDescent="0.2">
      <c r="A853"/>
      <c r="B853"/>
      <c r="C853"/>
      <c r="D853"/>
    </row>
    <row r="854" spans="1:4" x14ac:dyDescent="0.2">
      <c r="A854"/>
      <c r="B854"/>
      <c r="C854"/>
      <c r="D854"/>
    </row>
    <row r="855" spans="1:4" x14ac:dyDescent="0.2">
      <c r="A855"/>
      <c r="B855"/>
      <c r="C855"/>
      <c r="D855"/>
    </row>
    <row r="856" spans="1:4" x14ac:dyDescent="0.2">
      <c r="A856"/>
      <c r="B856"/>
      <c r="C856"/>
      <c r="D856"/>
    </row>
    <row r="857" spans="1:4" x14ac:dyDescent="0.2">
      <c r="A857"/>
      <c r="B857"/>
      <c r="C857"/>
      <c r="D857"/>
    </row>
    <row r="858" spans="1:4" x14ac:dyDescent="0.2">
      <c r="A858"/>
      <c r="B858"/>
      <c r="C858"/>
      <c r="D858"/>
    </row>
    <row r="859" spans="1:4" x14ac:dyDescent="0.2">
      <c r="A859"/>
      <c r="B859"/>
      <c r="C859"/>
      <c r="D859"/>
    </row>
    <row r="860" spans="1:4" x14ac:dyDescent="0.2">
      <c r="A860"/>
      <c r="B860"/>
      <c r="C860"/>
      <c r="D860"/>
    </row>
    <row r="861" spans="1:4" x14ac:dyDescent="0.2">
      <c r="A861"/>
      <c r="B861"/>
      <c r="C861"/>
      <c r="D861"/>
    </row>
    <row r="862" spans="1:4" x14ac:dyDescent="0.2">
      <c r="A862"/>
      <c r="B862"/>
      <c r="C862"/>
      <c r="D862"/>
    </row>
    <row r="863" spans="1:4" x14ac:dyDescent="0.2">
      <c r="A863"/>
      <c r="B863"/>
      <c r="C863"/>
      <c r="D863"/>
    </row>
    <row r="864" spans="1:4" x14ac:dyDescent="0.2">
      <c r="A864"/>
      <c r="B864"/>
      <c r="C864"/>
      <c r="D864"/>
    </row>
    <row r="865" spans="1:4" x14ac:dyDescent="0.2">
      <c r="A865"/>
      <c r="B865"/>
      <c r="C865"/>
      <c r="D865"/>
    </row>
    <row r="866" spans="1:4" x14ac:dyDescent="0.2">
      <c r="A866"/>
      <c r="B866"/>
      <c r="C866"/>
      <c r="D866"/>
    </row>
    <row r="867" spans="1:4" x14ac:dyDescent="0.2">
      <c r="A867"/>
      <c r="B867"/>
      <c r="C867"/>
      <c r="D867"/>
    </row>
    <row r="868" spans="1:4" x14ac:dyDescent="0.2">
      <c r="A868"/>
      <c r="B868"/>
      <c r="C868"/>
      <c r="D868"/>
    </row>
    <row r="869" spans="1:4" x14ac:dyDescent="0.2">
      <c r="A869"/>
      <c r="B869"/>
      <c r="C869"/>
      <c r="D869"/>
    </row>
    <row r="870" spans="1:4" x14ac:dyDescent="0.2">
      <c r="A870"/>
      <c r="B870"/>
      <c r="C870"/>
      <c r="D870"/>
    </row>
    <row r="871" spans="1:4" x14ac:dyDescent="0.2">
      <c r="A871"/>
      <c r="B871"/>
      <c r="C871"/>
      <c r="D871"/>
    </row>
    <row r="872" spans="1:4" x14ac:dyDescent="0.2">
      <c r="A872"/>
      <c r="B872"/>
      <c r="C872"/>
      <c r="D872"/>
    </row>
    <row r="873" spans="1:4" x14ac:dyDescent="0.2">
      <c r="A873"/>
      <c r="B873"/>
      <c r="C873"/>
      <c r="D873"/>
    </row>
    <row r="874" spans="1:4" x14ac:dyDescent="0.2">
      <c r="A874"/>
      <c r="B874"/>
      <c r="C874"/>
      <c r="D874"/>
    </row>
    <row r="875" spans="1:4" x14ac:dyDescent="0.2">
      <c r="A875"/>
      <c r="B875"/>
      <c r="C875"/>
      <c r="D875"/>
    </row>
    <row r="876" spans="1:4" x14ac:dyDescent="0.2">
      <c r="A876"/>
      <c r="B876"/>
      <c r="C876"/>
      <c r="D876"/>
    </row>
    <row r="877" spans="1:4" x14ac:dyDescent="0.2">
      <c r="A877"/>
      <c r="B877"/>
      <c r="C877"/>
      <c r="D877"/>
    </row>
    <row r="878" spans="1:4" x14ac:dyDescent="0.2">
      <c r="A878"/>
      <c r="B878"/>
      <c r="C878"/>
      <c r="D878"/>
    </row>
    <row r="879" spans="1:4" x14ac:dyDescent="0.2">
      <c r="A879"/>
      <c r="B879"/>
      <c r="C879"/>
      <c r="D879"/>
    </row>
    <row r="880" spans="1:4" x14ac:dyDescent="0.2">
      <c r="A880"/>
      <c r="B880"/>
      <c r="C880"/>
      <c r="D880"/>
    </row>
    <row r="881" spans="1:4" x14ac:dyDescent="0.2">
      <c r="A881"/>
      <c r="B881"/>
      <c r="C881"/>
      <c r="D881"/>
    </row>
    <row r="882" spans="1:4" x14ac:dyDescent="0.2">
      <c r="A882"/>
      <c r="B882"/>
      <c r="C882"/>
      <c r="D882"/>
    </row>
    <row r="883" spans="1:4" x14ac:dyDescent="0.2">
      <c r="A883"/>
      <c r="B883"/>
      <c r="C883"/>
      <c r="D883"/>
    </row>
    <row r="884" spans="1:4" x14ac:dyDescent="0.2">
      <c r="A884"/>
      <c r="B884"/>
      <c r="C884"/>
      <c r="D884"/>
    </row>
    <row r="885" spans="1:4" x14ac:dyDescent="0.2">
      <c r="A885"/>
      <c r="B885"/>
      <c r="C885"/>
      <c r="D885"/>
    </row>
    <row r="886" spans="1:4" x14ac:dyDescent="0.2">
      <c r="A886"/>
      <c r="B886"/>
      <c r="C886"/>
      <c r="D886"/>
    </row>
    <row r="887" spans="1:4" x14ac:dyDescent="0.2">
      <c r="A887"/>
      <c r="B887"/>
      <c r="C887"/>
      <c r="D887"/>
    </row>
    <row r="888" spans="1:4" x14ac:dyDescent="0.2">
      <c r="A888"/>
      <c r="B888"/>
      <c r="C888"/>
      <c r="D888"/>
    </row>
    <row r="889" spans="1:4" x14ac:dyDescent="0.2">
      <c r="A889"/>
      <c r="B889"/>
      <c r="C889"/>
      <c r="D889"/>
    </row>
    <row r="890" spans="1:4" x14ac:dyDescent="0.2">
      <c r="A890"/>
      <c r="B890"/>
      <c r="C890"/>
      <c r="D890"/>
    </row>
    <row r="891" spans="1:4" x14ac:dyDescent="0.2">
      <c r="A891"/>
      <c r="B891"/>
      <c r="C891"/>
      <c r="D891"/>
    </row>
    <row r="892" spans="1:4" x14ac:dyDescent="0.2">
      <c r="A892"/>
      <c r="B892"/>
      <c r="C892"/>
      <c r="D892"/>
    </row>
    <row r="893" spans="1:4" x14ac:dyDescent="0.2">
      <c r="A893"/>
      <c r="B893"/>
      <c r="C893"/>
      <c r="D893"/>
    </row>
    <row r="894" spans="1:4" x14ac:dyDescent="0.2">
      <c r="A894"/>
      <c r="B894"/>
      <c r="C894"/>
      <c r="D894"/>
    </row>
    <row r="895" spans="1:4" x14ac:dyDescent="0.2">
      <c r="A895"/>
      <c r="B895"/>
      <c r="C895"/>
      <c r="D895"/>
    </row>
    <row r="896" spans="1:4" x14ac:dyDescent="0.2">
      <c r="A896"/>
      <c r="B896"/>
      <c r="C896"/>
      <c r="D896"/>
    </row>
    <row r="897" spans="1:4" x14ac:dyDescent="0.2">
      <c r="A897"/>
      <c r="B897"/>
      <c r="C897"/>
      <c r="D897"/>
    </row>
    <row r="898" spans="1:4" x14ac:dyDescent="0.2">
      <c r="A898"/>
      <c r="B898"/>
      <c r="C898"/>
      <c r="D898"/>
    </row>
    <row r="899" spans="1:4" x14ac:dyDescent="0.2">
      <c r="A899"/>
      <c r="B899"/>
      <c r="C899"/>
      <c r="D899"/>
    </row>
    <row r="900" spans="1:4" x14ac:dyDescent="0.2">
      <c r="A900"/>
      <c r="B900"/>
      <c r="C900"/>
      <c r="D900"/>
    </row>
    <row r="901" spans="1:4" x14ac:dyDescent="0.2">
      <c r="A901"/>
      <c r="B901"/>
      <c r="C901"/>
      <c r="D901"/>
    </row>
    <row r="902" spans="1:4" x14ac:dyDescent="0.2">
      <c r="A902"/>
      <c r="B902"/>
      <c r="C902"/>
      <c r="D902"/>
    </row>
    <row r="903" spans="1:4" x14ac:dyDescent="0.2">
      <c r="A903"/>
      <c r="B903"/>
      <c r="C903"/>
      <c r="D903"/>
    </row>
    <row r="904" spans="1:4" x14ac:dyDescent="0.2">
      <c r="A904"/>
      <c r="B904"/>
      <c r="C904"/>
      <c r="D904"/>
    </row>
    <row r="905" spans="1:4" x14ac:dyDescent="0.2">
      <c r="A905"/>
      <c r="B905"/>
      <c r="C905"/>
      <c r="D905"/>
    </row>
    <row r="906" spans="1:4" x14ac:dyDescent="0.2">
      <c r="A906"/>
      <c r="B906"/>
      <c r="C906"/>
      <c r="D906"/>
    </row>
    <row r="907" spans="1:4" x14ac:dyDescent="0.2">
      <c r="A907"/>
      <c r="B907"/>
      <c r="C907"/>
      <c r="D907"/>
    </row>
    <row r="908" spans="1:4" x14ac:dyDescent="0.2">
      <c r="A908"/>
      <c r="B908"/>
      <c r="C908"/>
      <c r="D908"/>
    </row>
    <row r="909" spans="1:4" x14ac:dyDescent="0.2">
      <c r="A909"/>
      <c r="B909"/>
      <c r="C909"/>
      <c r="D909"/>
    </row>
    <row r="910" spans="1:4" x14ac:dyDescent="0.2">
      <c r="A910"/>
      <c r="B910"/>
      <c r="C910"/>
      <c r="D910"/>
    </row>
    <row r="911" spans="1:4" x14ac:dyDescent="0.2">
      <c r="A911"/>
      <c r="B911"/>
      <c r="C911"/>
      <c r="D911"/>
    </row>
    <row r="912" spans="1:4" x14ac:dyDescent="0.2">
      <c r="A912"/>
      <c r="B912"/>
      <c r="C912"/>
      <c r="D912"/>
    </row>
    <row r="913" spans="1:4" x14ac:dyDescent="0.2">
      <c r="A913"/>
      <c r="B913"/>
      <c r="C913"/>
      <c r="D913"/>
    </row>
    <row r="914" spans="1:4" x14ac:dyDescent="0.2">
      <c r="A914"/>
      <c r="B914"/>
      <c r="C914"/>
      <c r="D914"/>
    </row>
    <row r="915" spans="1:4" x14ac:dyDescent="0.2">
      <c r="A915"/>
      <c r="B915"/>
      <c r="C915"/>
      <c r="D915"/>
    </row>
    <row r="916" spans="1:4" x14ac:dyDescent="0.2">
      <c r="A916"/>
      <c r="B916"/>
      <c r="C916"/>
      <c r="D916"/>
    </row>
    <row r="917" spans="1:4" x14ac:dyDescent="0.2">
      <c r="A917"/>
      <c r="B917"/>
      <c r="C917"/>
      <c r="D917"/>
    </row>
    <row r="918" spans="1:4" x14ac:dyDescent="0.2">
      <c r="A918"/>
      <c r="B918"/>
      <c r="C918"/>
      <c r="D918"/>
    </row>
    <row r="919" spans="1:4" x14ac:dyDescent="0.2">
      <c r="A919"/>
      <c r="B919"/>
      <c r="C919"/>
      <c r="D919"/>
    </row>
    <row r="920" spans="1:4" x14ac:dyDescent="0.2">
      <c r="A920"/>
      <c r="B920"/>
      <c r="C920"/>
      <c r="D920"/>
    </row>
    <row r="921" spans="1:4" x14ac:dyDescent="0.2">
      <c r="A921"/>
      <c r="B921"/>
      <c r="C921"/>
      <c r="D921"/>
    </row>
    <row r="922" spans="1:4" x14ac:dyDescent="0.2">
      <c r="A922"/>
      <c r="B922"/>
      <c r="C922"/>
      <c r="D922"/>
    </row>
    <row r="923" spans="1:4" x14ac:dyDescent="0.2">
      <c r="A923"/>
      <c r="B923"/>
      <c r="C923"/>
      <c r="D923"/>
    </row>
    <row r="924" spans="1:4" x14ac:dyDescent="0.2">
      <c r="A924"/>
      <c r="B924"/>
      <c r="C924"/>
      <c r="D924"/>
    </row>
    <row r="925" spans="1:4" x14ac:dyDescent="0.2">
      <c r="A925"/>
      <c r="B925"/>
      <c r="C925"/>
      <c r="D925"/>
    </row>
    <row r="926" spans="1:4" x14ac:dyDescent="0.2">
      <c r="A926"/>
      <c r="B926"/>
      <c r="C926"/>
      <c r="D926"/>
    </row>
    <row r="927" spans="1:4" x14ac:dyDescent="0.2">
      <c r="A927"/>
      <c r="B927"/>
      <c r="C927"/>
      <c r="D927"/>
    </row>
    <row r="928" spans="1:4" x14ac:dyDescent="0.2">
      <c r="A928"/>
      <c r="B928"/>
      <c r="C928"/>
      <c r="D928"/>
    </row>
    <row r="929" spans="1:4" x14ac:dyDescent="0.2">
      <c r="A929"/>
      <c r="B929"/>
      <c r="C929"/>
      <c r="D929"/>
    </row>
    <row r="930" spans="1:4" x14ac:dyDescent="0.2">
      <c r="A930"/>
      <c r="B930"/>
      <c r="C930"/>
      <c r="D930"/>
    </row>
    <row r="931" spans="1:4" x14ac:dyDescent="0.2">
      <c r="A931"/>
      <c r="B931"/>
      <c r="C931"/>
      <c r="D931"/>
    </row>
    <row r="932" spans="1:4" x14ac:dyDescent="0.2">
      <c r="A932"/>
      <c r="B932"/>
      <c r="C932"/>
      <c r="D932"/>
    </row>
    <row r="933" spans="1:4" x14ac:dyDescent="0.2">
      <c r="A933"/>
      <c r="B933"/>
      <c r="C933"/>
      <c r="D933"/>
    </row>
    <row r="934" spans="1:4" x14ac:dyDescent="0.2">
      <c r="A934"/>
      <c r="B934"/>
      <c r="C934"/>
      <c r="D934"/>
    </row>
    <row r="935" spans="1:4" x14ac:dyDescent="0.2">
      <c r="A935"/>
      <c r="B935"/>
      <c r="C935"/>
      <c r="D935"/>
    </row>
    <row r="936" spans="1:4" x14ac:dyDescent="0.2">
      <c r="A936"/>
      <c r="B936"/>
      <c r="C936"/>
      <c r="D936"/>
    </row>
    <row r="937" spans="1:4" x14ac:dyDescent="0.2">
      <c r="A937"/>
      <c r="B937"/>
      <c r="C937"/>
      <c r="D937"/>
    </row>
    <row r="938" spans="1:4" x14ac:dyDescent="0.2">
      <c r="A938"/>
      <c r="B938"/>
      <c r="C938"/>
      <c r="D938"/>
    </row>
    <row r="939" spans="1:4" x14ac:dyDescent="0.2">
      <c r="A939"/>
      <c r="B939"/>
      <c r="C939"/>
      <c r="D939"/>
    </row>
    <row r="940" spans="1:4" x14ac:dyDescent="0.2">
      <c r="A940"/>
      <c r="B940"/>
      <c r="C940"/>
      <c r="D940"/>
    </row>
    <row r="941" spans="1:4" x14ac:dyDescent="0.2">
      <c r="A941"/>
      <c r="B941"/>
      <c r="C941"/>
      <c r="D941"/>
    </row>
    <row r="942" spans="1:4" x14ac:dyDescent="0.2">
      <c r="A942"/>
      <c r="B942"/>
      <c r="C942"/>
      <c r="D942"/>
    </row>
    <row r="943" spans="1:4" x14ac:dyDescent="0.2">
      <c r="A943"/>
      <c r="B943"/>
      <c r="C943"/>
      <c r="D943"/>
    </row>
    <row r="944" spans="1:4" x14ac:dyDescent="0.2">
      <c r="A944"/>
      <c r="B944"/>
      <c r="C944"/>
      <c r="D944"/>
    </row>
    <row r="945" spans="1:4" x14ac:dyDescent="0.2">
      <c r="A945"/>
      <c r="B945"/>
      <c r="C945"/>
      <c r="D945"/>
    </row>
    <row r="946" spans="1:4" x14ac:dyDescent="0.2">
      <c r="A946"/>
      <c r="B946"/>
      <c r="C946"/>
      <c r="D946"/>
    </row>
    <row r="947" spans="1:4" x14ac:dyDescent="0.2">
      <c r="A947"/>
      <c r="B947"/>
      <c r="C947"/>
      <c r="D947"/>
    </row>
    <row r="948" spans="1:4" x14ac:dyDescent="0.2">
      <c r="A948"/>
      <c r="B948"/>
      <c r="C948"/>
      <c r="D948"/>
    </row>
    <row r="949" spans="1:4" x14ac:dyDescent="0.2">
      <c r="A949"/>
      <c r="B949"/>
      <c r="C949"/>
      <c r="D949"/>
    </row>
    <row r="950" spans="1:4" x14ac:dyDescent="0.2">
      <c r="A950"/>
      <c r="B950"/>
      <c r="C950"/>
      <c r="D950"/>
    </row>
    <row r="951" spans="1:4" x14ac:dyDescent="0.2">
      <c r="A951"/>
      <c r="B951"/>
      <c r="C951"/>
      <c r="D951"/>
    </row>
    <row r="952" spans="1:4" x14ac:dyDescent="0.2">
      <c r="A952"/>
      <c r="B952"/>
      <c r="C952"/>
      <c r="D952"/>
    </row>
    <row r="953" spans="1:4" x14ac:dyDescent="0.2">
      <c r="A953"/>
      <c r="B953"/>
      <c r="C953"/>
      <c r="D953"/>
    </row>
    <row r="954" spans="1:4" x14ac:dyDescent="0.2">
      <c r="A954"/>
      <c r="B954"/>
      <c r="C954"/>
      <c r="D954"/>
    </row>
    <row r="955" spans="1:4" x14ac:dyDescent="0.2">
      <c r="A955"/>
      <c r="B955"/>
      <c r="C955"/>
      <c r="D955"/>
    </row>
    <row r="956" spans="1:4" x14ac:dyDescent="0.2">
      <c r="A956"/>
      <c r="B956"/>
      <c r="C956"/>
      <c r="D956"/>
    </row>
    <row r="957" spans="1:4" x14ac:dyDescent="0.2">
      <c r="A957"/>
      <c r="B957"/>
      <c r="C957"/>
      <c r="D957"/>
    </row>
    <row r="958" spans="1:4" x14ac:dyDescent="0.2">
      <c r="A958"/>
      <c r="B958"/>
      <c r="C958"/>
      <c r="D958"/>
    </row>
    <row r="959" spans="1:4" x14ac:dyDescent="0.2">
      <c r="A959"/>
      <c r="B959"/>
      <c r="C959"/>
      <c r="D959"/>
    </row>
    <row r="960" spans="1:4" x14ac:dyDescent="0.2">
      <c r="A960"/>
      <c r="B960"/>
      <c r="C960"/>
      <c r="D960"/>
    </row>
    <row r="961" spans="1:4" x14ac:dyDescent="0.2">
      <c r="A961"/>
      <c r="B961"/>
      <c r="C961"/>
      <c r="D961"/>
    </row>
    <row r="962" spans="1:4" x14ac:dyDescent="0.2">
      <c r="A962"/>
      <c r="B962"/>
      <c r="C962"/>
      <c r="D962"/>
    </row>
    <row r="963" spans="1:4" x14ac:dyDescent="0.2">
      <c r="A963"/>
      <c r="B963"/>
      <c r="C963"/>
      <c r="D963"/>
    </row>
    <row r="964" spans="1:4" x14ac:dyDescent="0.2">
      <c r="A964"/>
      <c r="B964"/>
      <c r="C964"/>
      <c r="D964"/>
    </row>
    <row r="965" spans="1:4" x14ac:dyDescent="0.2">
      <c r="A965"/>
      <c r="B965"/>
      <c r="C965"/>
      <c r="D965"/>
    </row>
    <row r="966" spans="1:4" x14ac:dyDescent="0.2">
      <c r="A966"/>
      <c r="B966"/>
      <c r="C966"/>
      <c r="D966"/>
    </row>
    <row r="967" spans="1:4" x14ac:dyDescent="0.2">
      <c r="A967"/>
      <c r="B967"/>
      <c r="C967"/>
      <c r="D967"/>
    </row>
    <row r="968" spans="1:4" x14ac:dyDescent="0.2">
      <c r="A968"/>
      <c r="B968"/>
      <c r="C968"/>
      <c r="D968"/>
    </row>
    <row r="969" spans="1:4" x14ac:dyDescent="0.2">
      <c r="A969"/>
      <c r="B969"/>
      <c r="C969"/>
      <c r="D969"/>
    </row>
    <row r="970" spans="1:4" x14ac:dyDescent="0.2">
      <c r="A970"/>
      <c r="B970"/>
      <c r="C970"/>
      <c r="D970"/>
    </row>
    <row r="971" spans="1:4" x14ac:dyDescent="0.2">
      <c r="A971"/>
      <c r="B971"/>
      <c r="C971"/>
      <c r="D971"/>
    </row>
    <row r="972" spans="1:4" x14ac:dyDescent="0.2">
      <c r="A972"/>
      <c r="B972"/>
      <c r="C972"/>
      <c r="D972"/>
    </row>
    <row r="973" spans="1:4" x14ac:dyDescent="0.2">
      <c r="A973"/>
      <c r="B973"/>
      <c r="C973"/>
      <c r="D973"/>
    </row>
    <row r="974" spans="1:4" x14ac:dyDescent="0.2">
      <c r="A974"/>
      <c r="B974"/>
      <c r="C974"/>
      <c r="D974"/>
    </row>
    <row r="975" spans="1:4" x14ac:dyDescent="0.2">
      <c r="A975"/>
      <c r="B975"/>
      <c r="C975"/>
      <c r="D975"/>
    </row>
    <row r="976" spans="1:4" x14ac:dyDescent="0.2">
      <c r="A976"/>
      <c r="B976"/>
      <c r="C976"/>
      <c r="D976"/>
    </row>
    <row r="977" spans="1:4" x14ac:dyDescent="0.2">
      <c r="A977"/>
      <c r="B977"/>
      <c r="C977"/>
      <c r="D977"/>
    </row>
    <row r="978" spans="1:4" x14ac:dyDescent="0.2">
      <c r="A978"/>
      <c r="B978"/>
      <c r="C978"/>
      <c r="D978"/>
    </row>
    <row r="979" spans="1:4" x14ac:dyDescent="0.2">
      <c r="A979"/>
      <c r="B979"/>
      <c r="C979"/>
      <c r="D979"/>
    </row>
    <row r="980" spans="1:4" x14ac:dyDescent="0.2">
      <c r="A980"/>
      <c r="B980"/>
      <c r="C980"/>
      <c r="D980"/>
    </row>
    <row r="981" spans="1:4" x14ac:dyDescent="0.2">
      <c r="A981"/>
      <c r="B981"/>
      <c r="C981"/>
      <c r="D981"/>
    </row>
    <row r="982" spans="1:4" x14ac:dyDescent="0.2">
      <c r="A982"/>
      <c r="B982"/>
      <c r="C982"/>
      <c r="D982"/>
    </row>
    <row r="983" spans="1:4" x14ac:dyDescent="0.2">
      <c r="A983"/>
      <c r="B983"/>
      <c r="C983"/>
      <c r="D983"/>
    </row>
    <row r="984" spans="1:4" x14ac:dyDescent="0.2">
      <c r="A984"/>
      <c r="B984"/>
      <c r="C984"/>
      <c r="D984"/>
    </row>
    <row r="985" spans="1:4" x14ac:dyDescent="0.2">
      <c r="A985"/>
      <c r="B985"/>
      <c r="C985"/>
      <c r="D985"/>
    </row>
    <row r="986" spans="1:4" x14ac:dyDescent="0.2">
      <c r="A986"/>
      <c r="B986"/>
      <c r="C986"/>
      <c r="D986"/>
    </row>
    <row r="987" spans="1:4" x14ac:dyDescent="0.2">
      <c r="A987"/>
      <c r="B987"/>
      <c r="C987"/>
      <c r="D987"/>
    </row>
    <row r="988" spans="1:4" x14ac:dyDescent="0.2">
      <c r="A988"/>
      <c r="B988"/>
      <c r="C988"/>
      <c r="D988"/>
    </row>
    <row r="989" spans="1:4" x14ac:dyDescent="0.2">
      <c r="A989"/>
      <c r="B989"/>
      <c r="C989"/>
      <c r="D989"/>
    </row>
    <row r="990" spans="1:4" x14ac:dyDescent="0.2">
      <c r="A990"/>
      <c r="B990"/>
      <c r="C990"/>
      <c r="D990"/>
    </row>
    <row r="991" spans="1:4" x14ac:dyDescent="0.2">
      <c r="A991"/>
      <c r="B991"/>
      <c r="C991"/>
      <c r="D991"/>
    </row>
    <row r="992" spans="1:4" x14ac:dyDescent="0.2">
      <c r="A992"/>
      <c r="B992"/>
      <c r="C992"/>
      <c r="D992"/>
    </row>
    <row r="993" spans="1:4" x14ac:dyDescent="0.2">
      <c r="A993"/>
      <c r="B993"/>
      <c r="C993"/>
      <c r="D993"/>
    </row>
    <row r="994" spans="1:4" x14ac:dyDescent="0.2">
      <c r="A994"/>
      <c r="B994"/>
      <c r="C994"/>
      <c r="D994"/>
    </row>
    <row r="995" spans="1:4" x14ac:dyDescent="0.2">
      <c r="A995"/>
      <c r="B995"/>
      <c r="C995"/>
      <c r="D995"/>
    </row>
    <row r="996" spans="1:4" x14ac:dyDescent="0.2">
      <c r="A996"/>
      <c r="B996"/>
      <c r="C996"/>
      <c r="D996"/>
    </row>
    <row r="997" spans="1:4" x14ac:dyDescent="0.2">
      <c r="A997"/>
      <c r="B997"/>
      <c r="C997"/>
      <c r="D997"/>
    </row>
    <row r="998" spans="1:4" x14ac:dyDescent="0.2">
      <c r="A998"/>
      <c r="B998"/>
      <c r="C998"/>
      <c r="D998"/>
    </row>
    <row r="999" spans="1:4" x14ac:dyDescent="0.2">
      <c r="A999"/>
      <c r="B999"/>
      <c r="C999"/>
      <c r="D999"/>
    </row>
    <row r="1000" spans="1:4" x14ac:dyDescent="0.2">
      <c r="A1000"/>
      <c r="B1000"/>
      <c r="C1000"/>
      <c r="D1000"/>
    </row>
    <row r="1001" spans="1:4" x14ac:dyDescent="0.2">
      <c r="A1001"/>
      <c r="B1001"/>
      <c r="C1001"/>
      <c r="D1001"/>
    </row>
    <row r="1002" spans="1:4" x14ac:dyDescent="0.2">
      <c r="A1002"/>
      <c r="B1002"/>
      <c r="C1002"/>
      <c r="D1002"/>
    </row>
    <row r="1003" spans="1:4" x14ac:dyDescent="0.2">
      <c r="A1003"/>
      <c r="B1003"/>
      <c r="C1003"/>
      <c r="D1003"/>
    </row>
    <row r="1004" spans="1:4" x14ac:dyDescent="0.2">
      <c r="A1004"/>
      <c r="B1004"/>
      <c r="C1004"/>
      <c r="D1004"/>
    </row>
    <row r="1005" spans="1:4" x14ac:dyDescent="0.2">
      <c r="A1005"/>
      <c r="B1005"/>
      <c r="C1005"/>
      <c r="D1005"/>
    </row>
    <row r="1006" spans="1:4" x14ac:dyDescent="0.2">
      <c r="A1006"/>
      <c r="B1006"/>
      <c r="C1006"/>
      <c r="D1006"/>
    </row>
    <row r="1007" spans="1:4" x14ac:dyDescent="0.2">
      <c r="A1007"/>
      <c r="B1007"/>
      <c r="C1007"/>
      <c r="D1007"/>
    </row>
    <row r="1008" spans="1:4" x14ac:dyDescent="0.2">
      <c r="A1008"/>
      <c r="B1008"/>
      <c r="C1008"/>
      <c r="D1008"/>
    </row>
    <row r="1009" spans="1:4" x14ac:dyDescent="0.2">
      <c r="A1009"/>
      <c r="B1009"/>
      <c r="C1009"/>
      <c r="D1009"/>
    </row>
    <row r="1010" spans="1:4" x14ac:dyDescent="0.2">
      <c r="A1010"/>
      <c r="B1010"/>
      <c r="C1010"/>
      <c r="D1010"/>
    </row>
    <row r="1011" spans="1:4" x14ac:dyDescent="0.2">
      <c r="A1011"/>
      <c r="B1011"/>
      <c r="C1011"/>
      <c r="D1011"/>
    </row>
    <row r="1012" spans="1:4" x14ac:dyDescent="0.2">
      <c r="A1012"/>
      <c r="B1012"/>
      <c r="C1012"/>
      <c r="D1012"/>
    </row>
    <row r="1013" spans="1:4" x14ac:dyDescent="0.2">
      <c r="A1013"/>
      <c r="B1013"/>
      <c r="C1013"/>
      <c r="D1013"/>
    </row>
    <row r="1014" spans="1:4" x14ac:dyDescent="0.2">
      <c r="A1014"/>
      <c r="B1014"/>
      <c r="C1014"/>
      <c r="D1014"/>
    </row>
    <row r="1015" spans="1:4" x14ac:dyDescent="0.2">
      <c r="A1015"/>
      <c r="B1015"/>
      <c r="C1015"/>
      <c r="D1015"/>
    </row>
    <row r="1016" spans="1:4" x14ac:dyDescent="0.2">
      <c r="A1016"/>
      <c r="B1016"/>
      <c r="C1016"/>
      <c r="D1016"/>
    </row>
    <row r="1017" spans="1:4" x14ac:dyDescent="0.2">
      <c r="A1017"/>
      <c r="B1017"/>
      <c r="C1017"/>
      <c r="D1017"/>
    </row>
    <row r="1018" spans="1:4" x14ac:dyDescent="0.2">
      <c r="A1018"/>
      <c r="B1018"/>
      <c r="C1018"/>
      <c r="D1018"/>
    </row>
    <row r="1019" spans="1:4" x14ac:dyDescent="0.2">
      <c r="A1019"/>
      <c r="B1019"/>
      <c r="C1019"/>
      <c r="D1019"/>
    </row>
    <row r="1020" spans="1:4" x14ac:dyDescent="0.2">
      <c r="A1020"/>
      <c r="B1020"/>
      <c r="C1020"/>
      <c r="D1020"/>
    </row>
    <row r="1021" spans="1:4" x14ac:dyDescent="0.2">
      <c r="A1021"/>
      <c r="B1021"/>
      <c r="C1021"/>
      <c r="D1021"/>
    </row>
    <row r="1022" spans="1:4" x14ac:dyDescent="0.2">
      <c r="A1022"/>
      <c r="B1022"/>
      <c r="C1022"/>
      <c r="D1022"/>
    </row>
    <row r="1023" spans="1:4" x14ac:dyDescent="0.2">
      <c r="A1023"/>
      <c r="B1023"/>
      <c r="C1023"/>
      <c r="D1023"/>
    </row>
    <row r="1024" spans="1:4" x14ac:dyDescent="0.2">
      <c r="A1024"/>
      <c r="B1024"/>
      <c r="C1024"/>
      <c r="D1024"/>
    </row>
    <row r="1025" spans="1:4" x14ac:dyDescent="0.2">
      <c r="A1025"/>
      <c r="B1025"/>
      <c r="C1025"/>
      <c r="D1025"/>
    </row>
    <row r="1026" spans="1:4" x14ac:dyDescent="0.2">
      <c r="A1026"/>
      <c r="B1026"/>
      <c r="C1026"/>
      <c r="D1026"/>
    </row>
    <row r="1027" spans="1:4" x14ac:dyDescent="0.2">
      <c r="A1027"/>
      <c r="B1027"/>
      <c r="C1027"/>
      <c r="D1027"/>
    </row>
    <row r="1028" spans="1:4" x14ac:dyDescent="0.2">
      <c r="A1028"/>
      <c r="B1028"/>
      <c r="C1028"/>
      <c r="D1028"/>
    </row>
    <row r="1029" spans="1:4" x14ac:dyDescent="0.2">
      <c r="A1029"/>
      <c r="B1029"/>
      <c r="C1029"/>
      <c r="D1029"/>
    </row>
    <row r="1030" spans="1:4" x14ac:dyDescent="0.2">
      <c r="A1030"/>
      <c r="B1030"/>
      <c r="C1030"/>
      <c r="D1030"/>
    </row>
    <row r="1031" spans="1:4" x14ac:dyDescent="0.2">
      <c r="A1031"/>
      <c r="B1031"/>
      <c r="C1031"/>
      <c r="D1031"/>
    </row>
    <row r="1032" spans="1:4" x14ac:dyDescent="0.2">
      <c r="A1032"/>
      <c r="B1032"/>
      <c r="C1032"/>
      <c r="D1032"/>
    </row>
    <row r="1033" spans="1:4" x14ac:dyDescent="0.2">
      <c r="A1033"/>
      <c r="B1033"/>
      <c r="C1033"/>
      <c r="D1033"/>
    </row>
    <row r="1034" spans="1:4" x14ac:dyDescent="0.2">
      <c r="A1034"/>
      <c r="B1034"/>
      <c r="C1034"/>
      <c r="D1034"/>
    </row>
    <row r="1035" spans="1:4" x14ac:dyDescent="0.2">
      <c r="A1035"/>
      <c r="B1035"/>
      <c r="C1035"/>
      <c r="D1035"/>
    </row>
    <row r="1036" spans="1:4" x14ac:dyDescent="0.2">
      <c r="A1036"/>
      <c r="B1036"/>
      <c r="C1036"/>
      <c r="D1036"/>
    </row>
    <row r="1037" spans="1:4" x14ac:dyDescent="0.2">
      <c r="A1037"/>
      <c r="B1037"/>
      <c r="C1037"/>
      <c r="D1037"/>
    </row>
    <row r="1038" spans="1:4" x14ac:dyDescent="0.2">
      <c r="A1038"/>
      <c r="B1038"/>
      <c r="C1038"/>
      <c r="D1038"/>
    </row>
    <row r="1039" spans="1:4" x14ac:dyDescent="0.2">
      <c r="A1039"/>
      <c r="B1039"/>
      <c r="C1039"/>
      <c r="D1039"/>
    </row>
    <row r="1040" spans="1:4" x14ac:dyDescent="0.2">
      <c r="A1040"/>
      <c r="B1040"/>
      <c r="C1040"/>
      <c r="D1040"/>
    </row>
    <row r="1041" spans="1:4" x14ac:dyDescent="0.2">
      <c r="A1041"/>
      <c r="B1041"/>
      <c r="C1041"/>
      <c r="D1041"/>
    </row>
    <row r="1042" spans="1:4" x14ac:dyDescent="0.2">
      <c r="A1042"/>
      <c r="B1042"/>
      <c r="C1042"/>
      <c r="D1042"/>
    </row>
    <row r="1043" spans="1:4" x14ac:dyDescent="0.2">
      <c r="A1043"/>
      <c r="B1043"/>
      <c r="C1043"/>
      <c r="D1043"/>
    </row>
    <row r="1044" spans="1:4" x14ac:dyDescent="0.2">
      <c r="A1044"/>
      <c r="B1044"/>
      <c r="C1044"/>
      <c r="D1044"/>
    </row>
    <row r="1045" spans="1:4" x14ac:dyDescent="0.2">
      <c r="A1045"/>
      <c r="B1045"/>
      <c r="C1045"/>
      <c r="D1045"/>
    </row>
    <row r="1046" spans="1:4" x14ac:dyDescent="0.2">
      <c r="A1046"/>
      <c r="B1046"/>
      <c r="C1046"/>
      <c r="D1046"/>
    </row>
    <row r="1047" spans="1:4" x14ac:dyDescent="0.2">
      <c r="A1047"/>
      <c r="B1047"/>
      <c r="C1047"/>
      <c r="D1047"/>
    </row>
    <row r="1048" spans="1:4" x14ac:dyDescent="0.2">
      <c r="A1048"/>
      <c r="B1048"/>
      <c r="C1048"/>
      <c r="D1048"/>
    </row>
    <row r="1049" spans="1:4" x14ac:dyDescent="0.2">
      <c r="A1049"/>
      <c r="B1049"/>
      <c r="C1049"/>
      <c r="D1049"/>
    </row>
    <row r="1050" spans="1:4" x14ac:dyDescent="0.2">
      <c r="A1050"/>
      <c r="B1050"/>
      <c r="C1050"/>
      <c r="D1050"/>
    </row>
    <row r="1051" spans="1:4" x14ac:dyDescent="0.2">
      <c r="A1051"/>
      <c r="B1051"/>
      <c r="C1051"/>
      <c r="D1051"/>
    </row>
    <row r="1052" spans="1:4" x14ac:dyDescent="0.2">
      <c r="A1052"/>
      <c r="B1052"/>
      <c r="C1052"/>
      <c r="D1052"/>
    </row>
    <row r="1053" spans="1:4" x14ac:dyDescent="0.2">
      <c r="A1053"/>
      <c r="B1053"/>
      <c r="C1053"/>
      <c r="D1053"/>
    </row>
    <row r="1054" spans="1:4" x14ac:dyDescent="0.2">
      <c r="A1054"/>
      <c r="B1054"/>
      <c r="C1054"/>
      <c r="D1054"/>
    </row>
    <row r="1055" spans="1:4" x14ac:dyDescent="0.2">
      <c r="A1055"/>
      <c r="B1055"/>
      <c r="C1055"/>
      <c r="D1055"/>
    </row>
    <row r="1056" spans="1:4" x14ac:dyDescent="0.2">
      <c r="A1056"/>
      <c r="B1056"/>
      <c r="C1056"/>
      <c r="D1056"/>
    </row>
    <row r="1057" spans="1:4" x14ac:dyDescent="0.2">
      <c r="A1057"/>
      <c r="B1057"/>
      <c r="C1057"/>
      <c r="D1057"/>
    </row>
    <row r="1058" spans="1:4" x14ac:dyDescent="0.2">
      <c r="A1058"/>
      <c r="B1058"/>
      <c r="C1058"/>
      <c r="D1058"/>
    </row>
    <row r="1059" spans="1:4" x14ac:dyDescent="0.2">
      <c r="A1059"/>
      <c r="B1059"/>
      <c r="C1059"/>
      <c r="D1059"/>
    </row>
    <row r="1060" spans="1:4" x14ac:dyDescent="0.2">
      <c r="A1060"/>
      <c r="B1060"/>
      <c r="C1060"/>
      <c r="D1060"/>
    </row>
    <row r="1061" spans="1:4" x14ac:dyDescent="0.2">
      <c r="A1061"/>
      <c r="B1061"/>
      <c r="C1061"/>
      <c r="D1061"/>
    </row>
    <row r="1062" spans="1:4" x14ac:dyDescent="0.2">
      <c r="A1062"/>
      <c r="B1062"/>
      <c r="C1062"/>
      <c r="D1062"/>
    </row>
    <row r="1063" spans="1:4" x14ac:dyDescent="0.2">
      <c r="A1063"/>
      <c r="B1063"/>
      <c r="C1063"/>
      <c r="D1063"/>
    </row>
    <row r="1064" spans="1:4" x14ac:dyDescent="0.2">
      <c r="A1064"/>
      <c r="B1064"/>
      <c r="C1064"/>
      <c r="D1064"/>
    </row>
    <row r="1065" spans="1:4" x14ac:dyDescent="0.2">
      <c r="A1065"/>
      <c r="B1065"/>
      <c r="C1065"/>
      <c r="D1065"/>
    </row>
    <row r="1066" spans="1:4" x14ac:dyDescent="0.2">
      <c r="A1066"/>
      <c r="B1066"/>
      <c r="C1066"/>
      <c r="D1066"/>
    </row>
    <row r="1067" spans="1:4" x14ac:dyDescent="0.2">
      <c r="A1067"/>
      <c r="B1067"/>
      <c r="C1067"/>
      <c r="D1067"/>
    </row>
    <row r="1068" spans="1:4" x14ac:dyDescent="0.2">
      <c r="A1068"/>
      <c r="B1068"/>
      <c r="C1068"/>
      <c r="D1068"/>
    </row>
    <row r="1069" spans="1:4" x14ac:dyDescent="0.2">
      <c r="A1069"/>
      <c r="B1069"/>
      <c r="C1069"/>
      <c r="D1069"/>
    </row>
    <row r="1070" spans="1:4" x14ac:dyDescent="0.2">
      <c r="A1070"/>
      <c r="B1070"/>
      <c r="C1070"/>
      <c r="D1070"/>
    </row>
    <row r="1071" spans="1:4" x14ac:dyDescent="0.2">
      <c r="A1071"/>
      <c r="B1071"/>
      <c r="C1071"/>
      <c r="D1071"/>
    </row>
    <row r="1072" spans="1:4" x14ac:dyDescent="0.2">
      <c r="A1072"/>
      <c r="B1072"/>
      <c r="C1072"/>
      <c r="D1072"/>
    </row>
    <row r="1073" spans="1:4" x14ac:dyDescent="0.2">
      <c r="A1073"/>
      <c r="B1073"/>
      <c r="C1073"/>
      <c r="D1073"/>
    </row>
    <row r="1074" spans="1:4" x14ac:dyDescent="0.2">
      <c r="A1074"/>
      <c r="B1074"/>
      <c r="C1074"/>
      <c r="D1074"/>
    </row>
    <row r="1075" spans="1:4" x14ac:dyDescent="0.2">
      <c r="A1075"/>
      <c r="B1075"/>
      <c r="C1075"/>
      <c r="D1075"/>
    </row>
    <row r="1076" spans="1:4" x14ac:dyDescent="0.2">
      <c r="A1076"/>
      <c r="B1076"/>
      <c r="C1076"/>
      <c r="D1076"/>
    </row>
    <row r="1077" spans="1:4" x14ac:dyDescent="0.2">
      <c r="A1077"/>
      <c r="B1077"/>
      <c r="C1077"/>
      <c r="D1077"/>
    </row>
    <row r="1078" spans="1:4" x14ac:dyDescent="0.2">
      <c r="A1078"/>
      <c r="B1078"/>
      <c r="C1078"/>
      <c r="D1078"/>
    </row>
    <row r="1079" spans="1:4" x14ac:dyDescent="0.2">
      <c r="A1079"/>
      <c r="B1079"/>
      <c r="C1079"/>
      <c r="D1079"/>
    </row>
    <row r="1080" spans="1:4" x14ac:dyDescent="0.2">
      <c r="A1080"/>
      <c r="B1080"/>
      <c r="C1080"/>
      <c r="D1080"/>
    </row>
    <row r="1081" spans="1:4" x14ac:dyDescent="0.2">
      <c r="A1081"/>
      <c r="B1081"/>
      <c r="C1081"/>
      <c r="D1081"/>
    </row>
    <row r="1082" spans="1:4" x14ac:dyDescent="0.2">
      <c r="A1082"/>
      <c r="B1082"/>
      <c r="C1082"/>
      <c r="D1082"/>
    </row>
    <row r="1083" spans="1:4" x14ac:dyDescent="0.2">
      <c r="A1083"/>
      <c r="B1083"/>
      <c r="C1083"/>
      <c r="D1083"/>
    </row>
    <row r="1084" spans="1:4" x14ac:dyDescent="0.2">
      <c r="A1084"/>
      <c r="B1084"/>
      <c r="C1084"/>
      <c r="D1084"/>
    </row>
    <row r="1085" spans="1:4" x14ac:dyDescent="0.2">
      <c r="A1085"/>
      <c r="B1085"/>
      <c r="C1085"/>
      <c r="D1085"/>
    </row>
    <row r="1086" spans="1:4" x14ac:dyDescent="0.2">
      <c r="A1086"/>
      <c r="B1086"/>
      <c r="C1086"/>
      <c r="D1086"/>
    </row>
    <row r="1087" spans="1:4" x14ac:dyDescent="0.2">
      <c r="A1087"/>
      <c r="B1087"/>
      <c r="C1087"/>
      <c r="D1087"/>
    </row>
    <row r="1088" spans="1:4" x14ac:dyDescent="0.2">
      <c r="A1088"/>
      <c r="B1088"/>
      <c r="C1088"/>
      <c r="D1088"/>
    </row>
    <row r="1089" spans="1:4" x14ac:dyDescent="0.2">
      <c r="A1089"/>
      <c r="B1089"/>
      <c r="C1089"/>
      <c r="D1089"/>
    </row>
    <row r="1090" spans="1:4" x14ac:dyDescent="0.2">
      <c r="A1090"/>
      <c r="B1090"/>
      <c r="C1090"/>
      <c r="D1090"/>
    </row>
    <row r="1091" spans="1:4" x14ac:dyDescent="0.2">
      <c r="A1091"/>
      <c r="B1091"/>
      <c r="C1091"/>
      <c r="D1091"/>
    </row>
    <row r="1092" spans="1:4" x14ac:dyDescent="0.2">
      <c r="A1092"/>
      <c r="B1092"/>
      <c r="C1092"/>
      <c r="D1092"/>
    </row>
    <row r="1093" spans="1:4" x14ac:dyDescent="0.2">
      <c r="A1093"/>
      <c r="B1093"/>
      <c r="C1093"/>
      <c r="D1093"/>
    </row>
    <row r="1094" spans="1:4" x14ac:dyDescent="0.2">
      <c r="A1094"/>
      <c r="B1094"/>
      <c r="C1094"/>
      <c r="D1094"/>
    </row>
    <row r="1095" spans="1:4" x14ac:dyDescent="0.2">
      <c r="A1095"/>
      <c r="B1095"/>
      <c r="C1095"/>
      <c r="D1095"/>
    </row>
    <row r="1096" spans="1:4" x14ac:dyDescent="0.2">
      <c r="A1096"/>
      <c r="B1096"/>
      <c r="C1096"/>
      <c r="D1096"/>
    </row>
    <row r="1097" spans="1:4" x14ac:dyDescent="0.2">
      <c r="A1097"/>
      <c r="B1097"/>
      <c r="C1097"/>
      <c r="D1097"/>
    </row>
    <row r="1098" spans="1:4" x14ac:dyDescent="0.2">
      <c r="A1098"/>
      <c r="B1098"/>
      <c r="C1098"/>
      <c r="D1098"/>
    </row>
    <row r="1099" spans="1:4" x14ac:dyDescent="0.2">
      <c r="A1099"/>
      <c r="B1099"/>
      <c r="C1099"/>
      <c r="D1099"/>
    </row>
    <row r="1100" spans="1:4" x14ac:dyDescent="0.2">
      <c r="A1100"/>
      <c r="B1100"/>
      <c r="C1100"/>
      <c r="D1100"/>
    </row>
    <row r="1101" spans="1:4" x14ac:dyDescent="0.2">
      <c r="A1101"/>
      <c r="B1101"/>
      <c r="C1101"/>
      <c r="D1101"/>
    </row>
    <row r="1102" spans="1:4" x14ac:dyDescent="0.2">
      <c r="A1102"/>
      <c r="B1102"/>
      <c r="C1102"/>
      <c r="D1102"/>
    </row>
    <row r="1103" spans="1:4" x14ac:dyDescent="0.2">
      <c r="A1103"/>
      <c r="B1103"/>
      <c r="C1103"/>
      <c r="D1103"/>
    </row>
    <row r="1104" spans="1:4" x14ac:dyDescent="0.2">
      <c r="A1104"/>
      <c r="B1104"/>
      <c r="C1104"/>
      <c r="D1104"/>
    </row>
    <row r="1105" spans="1:4" x14ac:dyDescent="0.2">
      <c r="A1105"/>
      <c r="B1105"/>
      <c r="C1105"/>
      <c r="D1105"/>
    </row>
    <row r="1106" spans="1:4" x14ac:dyDescent="0.2">
      <c r="A1106"/>
      <c r="B1106"/>
      <c r="C1106"/>
      <c r="D1106"/>
    </row>
    <row r="1107" spans="1:4" x14ac:dyDescent="0.2">
      <c r="A1107"/>
      <c r="B1107"/>
      <c r="C1107"/>
      <c r="D1107"/>
    </row>
    <row r="1108" spans="1:4" x14ac:dyDescent="0.2">
      <c r="A1108"/>
      <c r="B1108"/>
      <c r="C1108"/>
      <c r="D1108"/>
    </row>
    <row r="1109" spans="1:4" x14ac:dyDescent="0.2">
      <c r="A1109"/>
      <c r="B1109"/>
      <c r="C1109"/>
      <c r="D1109"/>
    </row>
    <row r="1110" spans="1:4" x14ac:dyDescent="0.2">
      <c r="A1110"/>
      <c r="B1110"/>
      <c r="C1110"/>
      <c r="D1110"/>
    </row>
    <row r="1111" spans="1:4" x14ac:dyDescent="0.2">
      <c r="A1111"/>
      <c r="B1111"/>
      <c r="C1111"/>
      <c r="D1111"/>
    </row>
    <row r="1112" spans="1:4" x14ac:dyDescent="0.2">
      <c r="A1112"/>
      <c r="B1112"/>
      <c r="C1112"/>
      <c r="D1112"/>
    </row>
    <row r="1113" spans="1:4" x14ac:dyDescent="0.2">
      <c r="A1113"/>
      <c r="B1113"/>
      <c r="C1113"/>
      <c r="D1113"/>
    </row>
    <row r="1114" spans="1:4" x14ac:dyDescent="0.2">
      <c r="A1114"/>
      <c r="B1114"/>
      <c r="C1114"/>
      <c r="D1114"/>
    </row>
    <row r="1115" spans="1:4" x14ac:dyDescent="0.2">
      <c r="A1115"/>
      <c r="B1115"/>
      <c r="C1115"/>
      <c r="D1115"/>
    </row>
    <row r="1116" spans="1:4" x14ac:dyDescent="0.2">
      <c r="A1116"/>
      <c r="B1116"/>
      <c r="C1116"/>
      <c r="D1116"/>
    </row>
    <row r="1117" spans="1:4" x14ac:dyDescent="0.2">
      <c r="A1117"/>
      <c r="B1117"/>
      <c r="C1117"/>
      <c r="D1117"/>
    </row>
    <row r="1118" spans="1:4" x14ac:dyDescent="0.2">
      <c r="A1118"/>
      <c r="B1118"/>
      <c r="C1118"/>
      <c r="D1118"/>
    </row>
    <row r="1119" spans="1:4" x14ac:dyDescent="0.2">
      <c r="A1119"/>
      <c r="B1119"/>
      <c r="C1119"/>
      <c r="D1119"/>
    </row>
    <row r="1120" spans="1:4" x14ac:dyDescent="0.2">
      <c r="A1120"/>
      <c r="B1120"/>
      <c r="C1120"/>
      <c r="D1120"/>
    </row>
    <row r="1121" spans="1:4" x14ac:dyDescent="0.2">
      <c r="A1121"/>
      <c r="B1121"/>
      <c r="C1121"/>
      <c r="D1121"/>
    </row>
    <row r="1122" spans="1:4" x14ac:dyDescent="0.2">
      <c r="A1122"/>
      <c r="B1122"/>
      <c r="C1122"/>
      <c r="D1122"/>
    </row>
    <row r="1123" spans="1:4" x14ac:dyDescent="0.2">
      <c r="A1123"/>
      <c r="B1123"/>
      <c r="C1123"/>
      <c r="D1123"/>
    </row>
    <row r="1124" spans="1:4" x14ac:dyDescent="0.2">
      <c r="A1124"/>
      <c r="B1124"/>
      <c r="C1124"/>
      <c r="D1124"/>
    </row>
    <row r="1125" spans="1:4" x14ac:dyDescent="0.2">
      <c r="A1125"/>
      <c r="B1125"/>
      <c r="C1125"/>
      <c r="D1125"/>
    </row>
    <row r="1126" spans="1:4" x14ac:dyDescent="0.2">
      <c r="A1126"/>
      <c r="B1126"/>
      <c r="C1126"/>
      <c r="D1126"/>
    </row>
    <row r="1127" spans="1:4" x14ac:dyDescent="0.2">
      <c r="A1127"/>
      <c r="B1127"/>
      <c r="C1127"/>
      <c r="D1127"/>
    </row>
    <row r="1128" spans="1:4" x14ac:dyDescent="0.2">
      <c r="A1128"/>
      <c r="B1128"/>
      <c r="C1128"/>
      <c r="D1128"/>
    </row>
    <row r="1129" spans="1:4" x14ac:dyDescent="0.2">
      <c r="A1129"/>
      <c r="B1129"/>
      <c r="C1129"/>
      <c r="D1129"/>
    </row>
    <row r="1130" spans="1:4" x14ac:dyDescent="0.2">
      <c r="A1130"/>
      <c r="B1130"/>
      <c r="C1130"/>
      <c r="D1130"/>
    </row>
    <row r="1131" spans="1:4" x14ac:dyDescent="0.2">
      <c r="A1131"/>
      <c r="B1131"/>
      <c r="C1131"/>
      <c r="D1131"/>
    </row>
    <row r="1132" spans="1:4" x14ac:dyDescent="0.2">
      <c r="A1132"/>
      <c r="B1132"/>
      <c r="C1132"/>
      <c r="D1132"/>
    </row>
    <row r="1133" spans="1:4" x14ac:dyDescent="0.2">
      <c r="A1133"/>
      <c r="B1133"/>
      <c r="C1133"/>
      <c r="D1133"/>
    </row>
    <row r="1134" spans="1:4" x14ac:dyDescent="0.2">
      <c r="A1134"/>
      <c r="B1134"/>
      <c r="C1134"/>
      <c r="D1134"/>
    </row>
    <row r="1135" spans="1:4" x14ac:dyDescent="0.2">
      <c r="A1135"/>
      <c r="B1135"/>
      <c r="C1135"/>
      <c r="D1135"/>
    </row>
    <row r="1136" spans="1:4" x14ac:dyDescent="0.2">
      <c r="A1136"/>
      <c r="B1136"/>
      <c r="C1136"/>
      <c r="D1136"/>
    </row>
    <row r="1137" spans="1:4" x14ac:dyDescent="0.2">
      <c r="A1137"/>
      <c r="B1137"/>
      <c r="C1137"/>
      <c r="D1137"/>
    </row>
    <row r="1138" spans="1:4" x14ac:dyDescent="0.2">
      <c r="A1138"/>
      <c r="B1138"/>
      <c r="C1138"/>
      <c r="D1138"/>
    </row>
    <row r="1139" spans="1:4" x14ac:dyDescent="0.2">
      <c r="A1139"/>
      <c r="B1139"/>
      <c r="C1139"/>
      <c r="D1139"/>
    </row>
    <row r="1140" spans="1:4" x14ac:dyDescent="0.2">
      <c r="A1140"/>
      <c r="B1140"/>
      <c r="C1140"/>
      <c r="D1140"/>
    </row>
    <row r="1141" spans="1:4" x14ac:dyDescent="0.2">
      <c r="A1141"/>
      <c r="B1141"/>
      <c r="C1141"/>
      <c r="D1141"/>
    </row>
    <row r="1142" spans="1:4" x14ac:dyDescent="0.2">
      <c r="A1142"/>
      <c r="B1142"/>
      <c r="C1142"/>
      <c r="D1142"/>
    </row>
    <row r="1143" spans="1:4" x14ac:dyDescent="0.2">
      <c r="A1143"/>
      <c r="B1143"/>
      <c r="C1143"/>
      <c r="D1143"/>
    </row>
    <row r="1144" spans="1:4" x14ac:dyDescent="0.2">
      <c r="A1144"/>
      <c r="B1144"/>
      <c r="C1144"/>
      <c r="D1144"/>
    </row>
    <row r="1145" spans="1:4" x14ac:dyDescent="0.2">
      <c r="A1145"/>
      <c r="B1145"/>
      <c r="C1145"/>
      <c r="D1145"/>
    </row>
    <row r="1146" spans="1:4" x14ac:dyDescent="0.2">
      <c r="A1146"/>
      <c r="B1146"/>
      <c r="C1146"/>
      <c r="D1146"/>
    </row>
    <row r="1147" spans="1:4" x14ac:dyDescent="0.2">
      <c r="A1147"/>
      <c r="B1147"/>
      <c r="C1147"/>
      <c r="D1147"/>
    </row>
    <row r="1148" spans="1:4" x14ac:dyDescent="0.2">
      <c r="A1148"/>
      <c r="B1148"/>
      <c r="C1148"/>
      <c r="D1148"/>
    </row>
    <row r="1149" spans="1:4" x14ac:dyDescent="0.2">
      <c r="A1149"/>
      <c r="B1149"/>
      <c r="C1149"/>
      <c r="D1149"/>
    </row>
    <row r="1150" spans="1:4" x14ac:dyDescent="0.2">
      <c r="A1150"/>
      <c r="B1150"/>
      <c r="C1150"/>
      <c r="D1150"/>
    </row>
    <row r="1151" spans="1:4" x14ac:dyDescent="0.2">
      <c r="A1151"/>
      <c r="B1151"/>
      <c r="C1151"/>
      <c r="D1151"/>
    </row>
    <row r="1152" spans="1:4" x14ac:dyDescent="0.2">
      <c r="A1152"/>
      <c r="B1152"/>
      <c r="C1152"/>
      <c r="D1152"/>
    </row>
    <row r="1153" spans="1:4" x14ac:dyDescent="0.2">
      <c r="A1153"/>
      <c r="B1153"/>
      <c r="C1153"/>
      <c r="D1153"/>
    </row>
    <row r="1154" spans="1:4" x14ac:dyDescent="0.2">
      <c r="A1154"/>
      <c r="B1154"/>
      <c r="C1154"/>
      <c r="D1154"/>
    </row>
    <row r="1155" spans="1:4" x14ac:dyDescent="0.2">
      <c r="A1155"/>
      <c r="B1155"/>
      <c r="C1155"/>
      <c r="D1155"/>
    </row>
    <row r="1156" spans="1:4" x14ac:dyDescent="0.2">
      <c r="A1156"/>
      <c r="B1156"/>
      <c r="C1156"/>
      <c r="D1156"/>
    </row>
    <row r="1157" spans="1:4" x14ac:dyDescent="0.2">
      <c r="A1157"/>
      <c r="B1157"/>
      <c r="C1157"/>
      <c r="D1157"/>
    </row>
    <row r="1158" spans="1:4" x14ac:dyDescent="0.2">
      <c r="A1158"/>
      <c r="B1158"/>
      <c r="C1158"/>
      <c r="D1158"/>
    </row>
    <row r="1159" spans="1:4" x14ac:dyDescent="0.2">
      <c r="A1159"/>
      <c r="B1159"/>
      <c r="C1159"/>
      <c r="D1159"/>
    </row>
    <row r="1160" spans="1:4" x14ac:dyDescent="0.2">
      <c r="A1160"/>
      <c r="B1160"/>
      <c r="C1160"/>
      <c r="D1160"/>
    </row>
    <row r="1161" spans="1:4" x14ac:dyDescent="0.2">
      <c r="A1161"/>
      <c r="B1161"/>
      <c r="C1161"/>
      <c r="D1161"/>
    </row>
    <row r="1162" spans="1:4" x14ac:dyDescent="0.2">
      <c r="A1162"/>
      <c r="B1162"/>
      <c r="C1162"/>
      <c r="D1162"/>
    </row>
    <row r="1163" spans="1:4" x14ac:dyDescent="0.2">
      <c r="A1163"/>
      <c r="B1163"/>
      <c r="C1163"/>
      <c r="D1163"/>
    </row>
    <row r="1164" spans="1:4" x14ac:dyDescent="0.2">
      <c r="A1164"/>
      <c r="B1164"/>
      <c r="C1164"/>
      <c r="D1164"/>
    </row>
    <row r="1165" spans="1:4" x14ac:dyDescent="0.2">
      <c r="A1165"/>
      <c r="B1165"/>
      <c r="C1165"/>
      <c r="D1165"/>
    </row>
    <row r="1166" spans="1:4" x14ac:dyDescent="0.2">
      <c r="A1166"/>
      <c r="B1166"/>
      <c r="C1166"/>
      <c r="D1166"/>
    </row>
    <row r="1167" spans="1:4" x14ac:dyDescent="0.2">
      <c r="A1167"/>
      <c r="B1167"/>
      <c r="C1167"/>
      <c r="D1167"/>
    </row>
    <row r="1168" spans="1:4" x14ac:dyDescent="0.2">
      <c r="A1168"/>
      <c r="B1168"/>
      <c r="C1168"/>
      <c r="D1168"/>
    </row>
    <row r="1169" spans="1:4" x14ac:dyDescent="0.2">
      <c r="A1169"/>
      <c r="B1169"/>
      <c r="C1169"/>
      <c r="D1169"/>
    </row>
    <row r="1170" spans="1:4" x14ac:dyDescent="0.2">
      <c r="A1170"/>
      <c r="B1170"/>
      <c r="C1170"/>
      <c r="D1170"/>
    </row>
    <row r="1171" spans="1:4" x14ac:dyDescent="0.2">
      <c r="A1171"/>
      <c r="B1171"/>
      <c r="C1171"/>
      <c r="D1171"/>
    </row>
    <row r="1172" spans="1:4" x14ac:dyDescent="0.2">
      <c r="A1172"/>
      <c r="B1172"/>
      <c r="C1172"/>
      <c r="D1172"/>
    </row>
    <row r="1173" spans="1:4" x14ac:dyDescent="0.2">
      <c r="A1173"/>
      <c r="B1173"/>
      <c r="C1173"/>
      <c r="D1173"/>
    </row>
    <row r="1174" spans="1:4" x14ac:dyDescent="0.2">
      <c r="A1174"/>
      <c r="B1174"/>
      <c r="C1174"/>
      <c r="D1174"/>
    </row>
    <row r="1175" spans="1:4" x14ac:dyDescent="0.2">
      <c r="A1175"/>
      <c r="B1175"/>
      <c r="C1175"/>
      <c r="D1175"/>
    </row>
    <row r="1176" spans="1:4" x14ac:dyDescent="0.2">
      <c r="A1176"/>
      <c r="B1176"/>
      <c r="C1176"/>
      <c r="D1176"/>
    </row>
    <row r="1177" spans="1:4" x14ac:dyDescent="0.2">
      <c r="A1177"/>
      <c r="B1177"/>
      <c r="C1177"/>
      <c r="D1177"/>
    </row>
    <row r="1178" spans="1:4" x14ac:dyDescent="0.2">
      <c r="A1178"/>
      <c r="B1178"/>
      <c r="C1178"/>
      <c r="D1178"/>
    </row>
    <row r="1179" spans="1:4" x14ac:dyDescent="0.2">
      <c r="A1179"/>
      <c r="B1179"/>
      <c r="C1179"/>
      <c r="D1179"/>
    </row>
    <row r="1180" spans="1:4" x14ac:dyDescent="0.2">
      <c r="A1180"/>
      <c r="B1180"/>
      <c r="C1180"/>
      <c r="D1180"/>
    </row>
    <row r="1181" spans="1:4" x14ac:dyDescent="0.2">
      <c r="A1181"/>
      <c r="B1181"/>
      <c r="C1181"/>
      <c r="D1181"/>
    </row>
    <row r="1182" spans="1:4" x14ac:dyDescent="0.2">
      <c r="A1182"/>
      <c r="B1182"/>
      <c r="C1182"/>
      <c r="D1182"/>
    </row>
    <row r="1183" spans="1:4" x14ac:dyDescent="0.2">
      <c r="A1183"/>
      <c r="B1183"/>
      <c r="C1183"/>
      <c r="D1183"/>
    </row>
    <row r="1184" spans="1:4" x14ac:dyDescent="0.2">
      <c r="A1184"/>
      <c r="B1184"/>
      <c r="C1184"/>
      <c r="D1184"/>
    </row>
    <row r="1185" spans="1:4" x14ac:dyDescent="0.2">
      <c r="A1185"/>
      <c r="B1185"/>
      <c r="C1185"/>
      <c r="D1185"/>
    </row>
    <row r="1186" spans="1:4" x14ac:dyDescent="0.2">
      <c r="A1186"/>
      <c r="B1186"/>
      <c r="C1186"/>
      <c r="D1186"/>
    </row>
    <row r="1187" spans="1:4" x14ac:dyDescent="0.2">
      <c r="A1187"/>
      <c r="B1187"/>
      <c r="C1187"/>
      <c r="D1187"/>
    </row>
    <row r="1188" spans="1:4" x14ac:dyDescent="0.2">
      <c r="A1188"/>
      <c r="B1188"/>
      <c r="C1188"/>
      <c r="D1188"/>
    </row>
    <row r="1189" spans="1:4" x14ac:dyDescent="0.2">
      <c r="A1189"/>
      <c r="B1189"/>
      <c r="C1189"/>
      <c r="D1189"/>
    </row>
    <row r="1190" spans="1:4" x14ac:dyDescent="0.2">
      <c r="A1190"/>
      <c r="B1190"/>
      <c r="C1190"/>
      <c r="D1190"/>
    </row>
    <row r="1191" spans="1:4" x14ac:dyDescent="0.2">
      <c r="A1191"/>
      <c r="B1191"/>
      <c r="C1191"/>
      <c r="D1191"/>
    </row>
    <row r="1192" spans="1:4" x14ac:dyDescent="0.2">
      <c r="A1192"/>
      <c r="B1192"/>
      <c r="C1192"/>
      <c r="D1192"/>
    </row>
    <row r="1193" spans="1:4" x14ac:dyDescent="0.2">
      <c r="A1193"/>
      <c r="B1193"/>
      <c r="C1193"/>
      <c r="D1193"/>
    </row>
    <row r="1194" spans="1:4" x14ac:dyDescent="0.2">
      <c r="A1194"/>
      <c r="B1194"/>
      <c r="C1194"/>
      <c r="D1194"/>
    </row>
    <row r="1195" spans="1:4" x14ac:dyDescent="0.2">
      <c r="A1195"/>
      <c r="B1195"/>
      <c r="C1195"/>
      <c r="D1195"/>
    </row>
    <row r="1196" spans="1:4" x14ac:dyDescent="0.2">
      <c r="A1196"/>
      <c r="B1196"/>
      <c r="C1196"/>
      <c r="D1196"/>
    </row>
    <row r="1197" spans="1:4" x14ac:dyDescent="0.2">
      <c r="A1197"/>
      <c r="B1197"/>
      <c r="C1197"/>
      <c r="D1197"/>
    </row>
    <row r="1198" spans="1:4" x14ac:dyDescent="0.2">
      <c r="A1198"/>
      <c r="B1198"/>
      <c r="C1198"/>
      <c r="D1198"/>
    </row>
    <row r="1199" spans="1:4" x14ac:dyDescent="0.2">
      <c r="A1199"/>
      <c r="B1199"/>
      <c r="C1199"/>
      <c r="D1199"/>
    </row>
    <row r="1200" spans="1:4" x14ac:dyDescent="0.2">
      <c r="A1200"/>
      <c r="B1200"/>
      <c r="C1200"/>
      <c r="D1200"/>
    </row>
    <row r="1201" spans="1:4" x14ac:dyDescent="0.2">
      <c r="A1201"/>
      <c r="B1201"/>
      <c r="C1201"/>
      <c r="D1201"/>
    </row>
    <row r="1202" spans="1:4" x14ac:dyDescent="0.2">
      <c r="A1202"/>
      <c r="B1202"/>
      <c r="C1202"/>
      <c r="D1202"/>
    </row>
    <row r="1203" spans="1:4" x14ac:dyDescent="0.2">
      <c r="A1203"/>
      <c r="B1203"/>
      <c r="C1203"/>
      <c r="D1203"/>
    </row>
    <row r="1204" spans="1:4" x14ac:dyDescent="0.2">
      <c r="A1204"/>
      <c r="B1204"/>
      <c r="C1204"/>
      <c r="D1204"/>
    </row>
    <row r="1205" spans="1:4" x14ac:dyDescent="0.2">
      <c r="A1205"/>
      <c r="B1205"/>
      <c r="C1205"/>
      <c r="D1205"/>
    </row>
    <row r="1206" spans="1:4" x14ac:dyDescent="0.2">
      <c r="A1206"/>
      <c r="B1206"/>
      <c r="C1206"/>
      <c r="D1206"/>
    </row>
    <row r="1207" spans="1:4" x14ac:dyDescent="0.2">
      <c r="A1207"/>
      <c r="B1207"/>
      <c r="C1207"/>
      <c r="D1207"/>
    </row>
    <row r="1208" spans="1:4" x14ac:dyDescent="0.2">
      <c r="A1208"/>
      <c r="B1208"/>
      <c r="C1208"/>
      <c r="D1208"/>
    </row>
    <row r="1209" spans="1:4" x14ac:dyDescent="0.2">
      <c r="A1209"/>
      <c r="B1209"/>
      <c r="C1209"/>
      <c r="D1209"/>
    </row>
    <row r="1210" spans="1:4" x14ac:dyDescent="0.2">
      <c r="A1210"/>
      <c r="B1210"/>
      <c r="C1210"/>
      <c r="D1210"/>
    </row>
    <row r="1211" spans="1:4" x14ac:dyDescent="0.2">
      <c r="A1211"/>
      <c r="B1211"/>
      <c r="C1211"/>
      <c r="D1211"/>
    </row>
    <row r="1212" spans="1:4" x14ac:dyDescent="0.2">
      <c r="A1212"/>
      <c r="B1212"/>
      <c r="C1212"/>
      <c r="D1212"/>
    </row>
    <row r="1213" spans="1:4" x14ac:dyDescent="0.2">
      <c r="A1213"/>
      <c r="B1213"/>
      <c r="C1213"/>
      <c r="D1213"/>
    </row>
    <row r="1214" spans="1:4" x14ac:dyDescent="0.2">
      <c r="A1214"/>
      <c r="B1214"/>
      <c r="C1214"/>
      <c r="D1214"/>
    </row>
    <row r="1215" spans="1:4" x14ac:dyDescent="0.2">
      <c r="A1215"/>
      <c r="B1215"/>
      <c r="C1215"/>
      <c r="D1215"/>
    </row>
    <row r="1216" spans="1:4" x14ac:dyDescent="0.2">
      <c r="A1216"/>
      <c r="B1216"/>
      <c r="C1216"/>
      <c r="D1216"/>
    </row>
    <row r="1217" spans="1:4" x14ac:dyDescent="0.2">
      <c r="A1217"/>
      <c r="B1217"/>
      <c r="C1217"/>
      <c r="D1217"/>
    </row>
    <row r="1218" spans="1:4" x14ac:dyDescent="0.2">
      <c r="A1218"/>
      <c r="B1218"/>
      <c r="C1218"/>
      <c r="D1218"/>
    </row>
    <row r="1219" spans="1:4" x14ac:dyDescent="0.2">
      <c r="A1219"/>
      <c r="B1219"/>
      <c r="C1219"/>
      <c r="D1219"/>
    </row>
    <row r="1220" spans="1:4" x14ac:dyDescent="0.2">
      <c r="A1220"/>
      <c r="B1220"/>
      <c r="C1220"/>
      <c r="D1220"/>
    </row>
    <row r="1221" spans="1:4" x14ac:dyDescent="0.2">
      <c r="A1221"/>
      <c r="B1221"/>
      <c r="C1221"/>
      <c r="D1221"/>
    </row>
    <row r="1222" spans="1:4" x14ac:dyDescent="0.2">
      <c r="A1222"/>
      <c r="B1222"/>
      <c r="C1222"/>
      <c r="D1222"/>
    </row>
    <row r="1223" spans="1:4" x14ac:dyDescent="0.2">
      <c r="A1223"/>
      <c r="B1223"/>
      <c r="C1223"/>
      <c r="D1223"/>
    </row>
    <row r="1224" spans="1:4" x14ac:dyDescent="0.2">
      <c r="A1224"/>
      <c r="B1224"/>
      <c r="C1224"/>
      <c r="D1224"/>
    </row>
    <row r="1225" spans="1:4" x14ac:dyDescent="0.2">
      <c r="A1225"/>
      <c r="B1225"/>
      <c r="C1225"/>
      <c r="D1225"/>
    </row>
    <row r="1226" spans="1:4" x14ac:dyDescent="0.2">
      <c r="A1226"/>
      <c r="B1226"/>
      <c r="C1226"/>
      <c r="D1226"/>
    </row>
    <row r="1227" spans="1:4" x14ac:dyDescent="0.2">
      <c r="A1227"/>
      <c r="B1227"/>
      <c r="C1227"/>
      <c r="D1227"/>
    </row>
    <row r="1228" spans="1:4" x14ac:dyDescent="0.2">
      <c r="A1228"/>
      <c r="B1228"/>
      <c r="C1228"/>
      <c r="D1228"/>
    </row>
    <row r="1229" spans="1:4" x14ac:dyDescent="0.2">
      <c r="A1229"/>
      <c r="B1229"/>
      <c r="C1229"/>
      <c r="D1229"/>
    </row>
    <row r="1230" spans="1:4" x14ac:dyDescent="0.2">
      <c r="A1230"/>
      <c r="B1230"/>
      <c r="C1230"/>
      <c r="D1230"/>
    </row>
    <row r="1231" spans="1:4" x14ac:dyDescent="0.2">
      <c r="A1231"/>
      <c r="B1231"/>
      <c r="C1231"/>
      <c r="D1231"/>
    </row>
    <row r="1232" spans="1:4" x14ac:dyDescent="0.2">
      <c r="A1232"/>
      <c r="B1232"/>
      <c r="C1232"/>
      <c r="D1232"/>
    </row>
    <row r="1233" spans="1:4" x14ac:dyDescent="0.2">
      <c r="A1233"/>
      <c r="B1233"/>
      <c r="C1233"/>
      <c r="D1233"/>
    </row>
    <row r="1234" spans="1:4" x14ac:dyDescent="0.2">
      <c r="A1234"/>
      <c r="B1234"/>
      <c r="C1234"/>
      <c r="D1234"/>
    </row>
    <row r="1235" spans="1:4" x14ac:dyDescent="0.2">
      <c r="A1235"/>
      <c r="B1235"/>
      <c r="C1235"/>
      <c r="D1235"/>
    </row>
    <row r="1236" spans="1:4" x14ac:dyDescent="0.2">
      <c r="A1236"/>
      <c r="B1236"/>
      <c r="C1236"/>
      <c r="D1236"/>
    </row>
    <row r="1237" spans="1:4" x14ac:dyDescent="0.2">
      <c r="A1237"/>
      <c r="B1237"/>
      <c r="C1237"/>
      <c r="D1237"/>
    </row>
    <row r="1238" spans="1:4" x14ac:dyDescent="0.2">
      <c r="A1238"/>
      <c r="B1238"/>
      <c r="C1238"/>
      <c r="D1238"/>
    </row>
    <row r="1239" spans="1:4" x14ac:dyDescent="0.2">
      <c r="A1239"/>
      <c r="B1239"/>
      <c r="C1239"/>
      <c r="D1239"/>
    </row>
    <row r="1240" spans="1:4" x14ac:dyDescent="0.2">
      <c r="A1240"/>
      <c r="B1240"/>
      <c r="C1240"/>
      <c r="D1240"/>
    </row>
    <row r="1241" spans="1:4" x14ac:dyDescent="0.2">
      <c r="A1241"/>
      <c r="B1241"/>
      <c r="C1241"/>
      <c r="D1241"/>
    </row>
    <row r="1242" spans="1:4" x14ac:dyDescent="0.2">
      <c r="A1242"/>
      <c r="B1242"/>
      <c r="C1242"/>
      <c r="D1242"/>
    </row>
    <row r="1243" spans="1:4" x14ac:dyDescent="0.2">
      <c r="A1243"/>
      <c r="B1243"/>
      <c r="C1243"/>
      <c r="D1243"/>
    </row>
    <row r="1244" spans="1:4" x14ac:dyDescent="0.2">
      <c r="A1244"/>
      <c r="B1244"/>
      <c r="C1244"/>
      <c r="D1244"/>
    </row>
    <row r="1245" spans="1:4" x14ac:dyDescent="0.2">
      <c r="A1245"/>
      <c r="B1245"/>
      <c r="C1245"/>
      <c r="D1245"/>
    </row>
    <row r="1246" spans="1:4" x14ac:dyDescent="0.2">
      <c r="A1246"/>
      <c r="B1246"/>
      <c r="C1246"/>
      <c r="D1246"/>
    </row>
    <row r="1247" spans="1:4" x14ac:dyDescent="0.2">
      <c r="A1247"/>
      <c r="B1247"/>
      <c r="C1247"/>
      <c r="D1247"/>
    </row>
    <row r="1248" spans="1:4" x14ac:dyDescent="0.2">
      <c r="A1248"/>
      <c r="B1248"/>
      <c r="C1248"/>
      <c r="D1248"/>
    </row>
    <row r="1249" spans="1:4" x14ac:dyDescent="0.2">
      <c r="A1249"/>
      <c r="B1249"/>
      <c r="C1249"/>
      <c r="D1249"/>
    </row>
    <row r="1250" spans="1:4" x14ac:dyDescent="0.2">
      <c r="A1250"/>
      <c r="B1250"/>
      <c r="C1250"/>
      <c r="D1250"/>
    </row>
    <row r="1251" spans="1:4" x14ac:dyDescent="0.2">
      <c r="A1251"/>
      <c r="B1251"/>
      <c r="C1251"/>
      <c r="D1251"/>
    </row>
    <row r="1252" spans="1:4" x14ac:dyDescent="0.2">
      <c r="A1252"/>
      <c r="B1252"/>
      <c r="C1252"/>
      <c r="D1252"/>
    </row>
    <row r="1253" spans="1:4" x14ac:dyDescent="0.2">
      <c r="A1253"/>
      <c r="B1253"/>
      <c r="C1253"/>
      <c r="D1253"/>
    </row>
    <row r="1254" spans="1:4" x14ac:dyDescent="0.2">
      <c r="A1254"/>
      <c r="B1254"/>
      <c r="C1254"/>
      <c r="D1254"/>
    </row>
    <row r="1255" spans="1:4" x14ac:dyDescent="0.2">
      <c r="A1255"/>
      <c r="B1255"/>
      <c r="C1255"/>
      <c r="D1255"/>
    </row>
    <row r="1256" spans="1:4" x14ac:dyDescent="0.2">
      <c r="A1256"/>
      <c r="B1256"/>
      <c r="C1256"/>
      <c r="D1256"/>
    </row>
    <row r="1257" spans="1:4" x14ac:dyDescent="0.2">
      <c r="A1257"/>
      <c r="B1257"/>
      <c r="C1257"/>
      <c r="D1257"/>
    </row>
    <row r="1258" spans="1:4" x14ac:dyDescent="0.2">
      <c r="A1258"/>
      <c r="B1258"/>
      <c r="C1258"/>
      <c r="D1258"/>
    </row>
    <row r="1259" spans="1:4" x14ac:dyDescent="0.2">
      <c r="A1259"/>
      <c r="B1259"/>
      <c r="C1259"/>
      <c r="D1259"/>
    </row>
    <row r="1260" spans="1:4" x14ac:dyDescent="0.2">
      <c r="A1260"/>
      <c r="B1260"/>
      <c r="C1260"/>
      <c r="D1260"/>
    </row>
    <row r="1261" spans="1:4" x14ac:dyDescent="0.2">
      <c r="A1261"/>
      <c r="B1261"/>
      <c r="C1261"/>
      <c r="D1261"/>
    </row>
    <row r="1262" spans="1:4" x14ac:dyDescent="0.2">
      <c r="A1262"/>
      <c r="B1262"/>
      <c r="C1262"/>
      <c r="D1262"/>
    </row>
    <row r="1263" spans="1:4" x14ac:dyDescent="0.2">
      <c r="A1263"/>
      <c r="B1263"/>
      <c r="C1263"/>
      <c r="D1263"/>
    </row>
    <row r="1264" spans="1:4" x14ac:dyDescent="0.2">
      <c r="A1264"/>
      <c r="B1264"/>
      <c r="C1264"/>
      <c r="D1264"/>
    </row>
    <row r="1265" spans="1:4" x14ac:dyDescent="0.2">
      <c r="A1265"/>
      <c r="B1265"/>
      <c r="C1265"/>
      <c r="D1265"/>
    </row>
    <row r="1266" spans="1:4" x14ac:dyDescent="0.2">
      <c r="A1266"/>
      <c r="B1266"/>
      <c r="C1266"/>
      <c r="D1266"/>
    </row>
    <row r="1267" spans="1:4" x14ac:dyDescent="0.2">
      <c r="A1267"/>
      <c r="B1267"/>
      <c r="C1267"/>
      <c r="D1267"/>
    </row>
    <row r="1268" spans="1:4" x14ac:dyDescent="0.2">
      <c r="A1268"/>
      <c r="B1268"/>
      <c r="C1268"/>
      <c r="D1268"/>
    </row>
    <row r="1269" spans="1:4" x14ac:dyDescent="0.2">
      <c r="A1269"/>
      <c r="B1269"/>
      <c r="C1269"/>
      <c r="D1269"/>
    </row>
    <row r="1270" spans="1:4" x14ac:dyDescent="0.2">
      <c r="A1270"/>
      <c r="B1270"/>
      <c r="C1270"/>
      <c r="D1270"/>
    </row>
    <row r="1271" spans="1:4" x14ac:dyDescent="0.2">
      <c r="A1271"/>
      <c r="B1271"/>
      <c r="C1271"/>
      <c r="D1271"/>
    </row>
    <row r="1272" spans="1:4" x14ac:dyDescent="0.2">
      <c r="A1272"/>
      <c r="B1272"/>
      <c r="C1272"/>
      <c r="D1272"/>
    </row>
    <row r="1273" spans="1:4" x14ac:dyDescent="0.2">
      <c r="A1273"/>
      <c r="B1273"/>
      <c r="C1273"/>
      <c r="D1273"/>
    </row>
    <row r="1274" spans="1:4" x14ac:dyDescent="0.2">
      <c r="A1274"/>
      <c r="B1274"/>
      <c r="C1274"/>
      <c r="D1274"/>
    </row>
    <row r="1275" spans="1:4" x14ac:dyDescent="0.2">
      <c r="A1275"/>
      <c r="B1275"/>
      <c r="C1275"/>
      <c r="D1275"/>
    </row>
    <row r="1276" spans="1:4" x14ac:dyDescent="0.2">
      <c r="A1276"/>
      <c r="B1276"/>
      <c r="C1276"/>
      <c r="D1276"/>
    </row>
    <row r="1277" spans="1:4" x14ac:dyDescent="0.2">
      <c r="A1277"/>
      <c r="B1277"/>
      <c r="C1277"/>
      <c r="D1277"/>
    </row>
    <row r="1278" spans="1:4" x14ac:dyDescent="0.2">
      <c r="A1278"/>
      <c r="B1278"/>
      <c r="C1278"/>
      <c r="D1278"/>
    </row>
    <row r="1279" spans="1:4" x14ac:dyDescent="0.2">
      <c r="A1279"/>
      <c r="B1279"/>
      <c r="C1279"/>
      <c r="D1279"/>
    </row>
    <row r="1280" spans="1:4" x14ac:dyDescent="0.2">
      <c r="A1280"/>
      <c r="B1280"/>
      <c r="C1280"/>
      <c r="D1280"/>
    </row>
    <row r="1281" spans="1:4" x14ac:dyDescent="0.2">
      <c r="A1281"/>
      <c r="B1281"/>
      <c r="C1281"/>
      <c r="D1281"/>
    </row>
    <row r="1282" spans="1:4" x14ac:dyDescent="0.2">
      <c r="A1282"/>
      <c r="B1282"/>
      <c r="C1282"/>
      <c r="D1282"/>
    </row>
    <row r="1283" spans="1:4" x14ac:dyDescent="0.2">
      <c r="A1283"/>
      <c r="B1283"/>
      <c r="C1283"/>
      <c r="D1283"/>
    </row>
    <row r="1284" spans="1:4" x14ac:dyDescent="0.2">
      <c r="A1284"/>
      <c r="B1284"/>
      <c r="C1284"/>
      <c r="D1284"/>
    </row>
    <row r="1285" spans="1:4" x14ac:dyDescent="0.2">
      <c r="A1285"/>
      <c r="B1285"/>
      <c r="C1285"/>
      <c r="D1285"/>
    </row>
    <row r="1286" spans="1:4" x14ac:dyDescent="0.2">
      <c r="A1286"/>
      <c r="B1286"/>
      <c r="C1286"/>
      <c r="D1286"/>
    </row>
    <row r="1287" spans="1:4" x14ac:dyDescent="0.2">
      <c r="A1287"/>
      <c r="B1287"/>
      <c r="C1287"/>
      <c r="D1287"/>
    </row>
    <row r="1288" spans="1:4" x14ac:dyDescent="0.2">
      <c r="A1288"/>
      <c r="B1288"/>
      <c r="C1288"/>
      <c r="D1288"/>
    </row>
    <row r="1289" spans="1:4" x14ac:dyDescent="0.2">
      <c r="A1289"/>
      <c r="B1289"/>
      <c r="C1289"/>
      <c r="D1289"/>
    </row>
    <row r="1290" spans="1:4" x14ac:dyDescent="0.2">
      <c r="A1290"/>
      <c r="B1290"/>
      <c r="C1290"/>
      <c r="D1290"/>
    </row>
    <row r="1291" spans="1:4" x14ac:dyDescent="0.2">
      <c r="A1291"/>
      <c r="B1291"/>
      <c r="C1291"/>
      <c r="D1291"/>
    </row>
    <row r="1292" spans="1:4" x14ac:dyDescent="0.2">
      <c r="A1292"/>
      <c r="B1292"/>
      <c r="C1292"/>
      <c r="D1292"/>
    </row>
    <row r="1293" spans="1:4" x14ac:dyDescent="0.2">
      <c r="A1293"/>
      <c r="B1293"/>
      <c r="C1293"/>
      <c r="D1293"/>
    </row>
    <row r="1294" spans="1:4" x14ac:dyDescent="0.2">
      <c r="A1294"/>
      <c r="B1294"/>
      <c r="C1294"/>
      <c r="D1294"/>
    </row>
    <row r="1295" spans="1:4" x14ac:dyDescent="0.2">
      <c r="A1295"/>
      <c r="B1295"/>
      <c r="C1295"/>
      <c r="D1295"/>
    </row>
    <row r="1296" spans="1:4" x14ac:dyDescent="0.2">
      <c r="A1296"/>
      <c r="B1296"/>
      <c r="C1296"/>
      <c r="D1296"/>
    </row>
    <row r="1297" spans="1:4" x14ac:dyDescent="0.2">
      <c r="A1297"/>
      <c r="B1297"/>
      <c r="C1297"/>
      <c r="D1297"/>
    </row>
    <row r="1298" spans="1:4" x14ac:dyDescent="0.2">
      <c r="A1298"/>
      <c r="B1298"/>
      <c r="C1298"/>
      <c r="D1298"/>
    </row>
    <row r="1299" spans="1:4" x14ac:dyDescent="0.2">
      <c r="A1299"/>
      <c r="B1299"/>
      <c r="C1299"/>
      <c r="D1299"/>
    </row>
    <row r="1300" spans="1:4" x14ac:dyDescent="0.2">
      <c r="A1300"/>
      <c r="B1300"/>
      <c r="C1300"/>
      <c r="D1300"/>
    </row>
    <row r="1301" spans="1:4" x14ac:dyDescent="0.2">
      <c r="A1301"/>
      <c r="B1301"/>
      <c r="C1301"/>
      <c r="D1301"/>
    </row>
    <row r="1302" spans="1:4" x14ac:dyDescent="0.2">
      <c r="A1302"/>
      <c r="B1302"/>
      <c r="C1302"/>
      <c r="D1302"/>
    </row>
    <row r="1303" spans="1:4" x14ac:dyDescent="0.2">
      <c r="A1303"/>
      <c r="B1303"/>
      <c r="C1303"/>
      <c r="D1303"/>
    </row>
    <row r="1304" spans="1:4" x14ac:dyDescent="0.2">
      <c r="A1304"/>
      <c r="B1304"/>
      <c r="C1304"/>
      <c r="D1304"/>
    </row>
    <row r="1305" spans="1:4" x14ac:dyDescent="0.2">
      <c r="A1305"/>
      <c r="B1305"/>
      <c r="C1305"/>
      <c r="D1305"/>
    </row>
    <row r="1306" spans="1:4" x14ac:dyDescent="0.2">
      <c r="A1306"/>
      <c r="B1306"/>
      <c r="C1306"/>
      <c r="D1306"/>
    </row>
    <row r="1307" spans="1:4" x14ac:dyDescent="0.2">
      <c r="A1307"/>
      <c r="B1307"/>
      <c r="C1307"/>
      <c r="D1307"/>
    </row>
    <row r="1308" spans="1:4" x14ac:dyDescent="0.2">
      <c r="A1308"/>
      <c r="B1308"/>
      <c r="C1308"/>
      <c r="D1308"/>
    </row>
    <row r="1309" spans="1:4" x14ac:dyDescent="0.2">
      <c r="A1309"/>
      <c r="B1309"/>
      <c r="C1309"/>
      <c r="D1309"/>
    </row>
    <row r="1310" spans="1:4" x14ac:dyDescent="0.2">
      <c r="A1310"/>
      <c r="B1310"/>
      <c r="C1310"/>
      <c r="D1310"/>
    </row>
    <row r="1311" spans="1:4" x14ac:dyDescent="0.2">
      <c r="A1311"/>
      <c r="B1311"/>
      <c r="C1311"/>
      <c r="D1311"/>
    </row>
    <row r="1312" spans="1:4" x14ac:dyDescent="0.2">
      <c r="A1312"/>
      <c r="B1312"/>
      <c r="C1312"/>
      <c r="D1312"/>
    </row>
    <row r="1313" spans="1:4" x14ac:dyDescent="0.2">
      <c r="A1313"/>
      <c r="B1313"/>
      <c r="C1313"/>
      <c r="D1313"/>
    </row>
    <row r="1314" spans="1:4" x14ac:dyDescent="0.2">
      <c r="A1314"/>
      <c r="B1314"/>
      <c r="C1314"/>
      <c r="D1314"/>
    </row>
    <row r="1315" spans="1:4" x14ac:dyDescent="0.2">
      <c r="A1315"/>
      <c r="B1315"/>
      <c r="C1315"/>
      <c r="D1315"/>
    </row>
    <row r="1316" spans="1:4" x14ac:dyDescent="0.2">
      <c r="A1316"/>
      <c r="B1316"/>
      <c r="C1316"/>
      <c r="D1316"/>
    </row>
    <row r="1317" spans="1:4" x14ac:dyDescent="0.2">
      <c r="A1317"/>
      <c r="B1317"/>
      <c r="C1317"/>
      <c r="D1317"/>
    </row>
    <row r="1318" spans="1:4" x14ac:dyDescent="0.2">
      <c r="A1318"/>
      <c r="B1318"/>
      <c r="C1318"/>
      <c r="D1318"/>
    </row>
    <row r="1319" spans="1:4" x14ac:dyDescent="0.2">
      <c r="A1319"/>
      <c r="B1319"/>
      <c r="C1319"/>
      <c r="D1319"/>
    </row>
    <row r="1320" spans="1:4" x14ac:dyDescent="0.2">
      <c r="A1320"/>
      <c r="B1320"/>
      <c r="C1320"/>
      <c r="D1320"/>
    </row>
    <row r="1321" spans="1:4" x14ac:dyDescent="0.2">
      <c r="A1321"/>
      <c r="B1321"/>
      <c r="C1321"/>
      <c r="D1321"/>
    </row>
    <row r="1322" spans="1:4" x14ac:dyDescent="0.2">
      <c r="A1322"/>
      <c r="B1322"/>
      <c r="C1322"/>
      <c r="D1322"/>
    </row>
    <row r="1323" spans="1:4" x14ac:dyDescent="0.2">
      <c r="A1323"/>
      <c r="B1323"/>
      <c r="C1323"/>
      <c r="D1323"/>
    </row>
    <row r="1324" spans="1:4" x14ac:dyDescent="0.2">
      <c r="A1324"/>
      <c r="B1324"/>
      <c r="C1324"/>
      <c r="D1324"/>
    </row>
    <row r="1325" spans="1:4" x14ac:dyDescent="0.2">
      <c r="A1325"/>
      <c r="B1325"/>
      <c r="C1325"/>
      <c r="D1325"/>
    </row>
    <row r="1326" spans="1:4" x14ac:dyDescent="0.2">
      <c r="A1326"/>
      <c r="B1326"/>
      <c r="C1326"/>
      <c r="D1326"/>
    </row>
    <row r="1327" spans="1:4" x14ac:dyDescent="0.2">
      <c r="A1327"/>
      <c r="B1327"/>
      <c r="C1327"/>
      <c r="D1327"/>
    </row>
    <row r="1328" spans="1:4" x14ac:dyDescent="0.2">
      <c r="A1328"/>
      <c r="B1328"/>
      <c r="C1328"/>
      <c r="D1328"/>
    </row>
    <row r="1329" spans="1:4" x14ac:dyDescent="0.2">
      <c r="A1329"/>
      <c r="B1329"/>
      <c r="C1329"/>
      <c r="D1329"/>
    </row>
    <row r="1330" spans="1:4" x14ac:dyDescent="0.2">
      <c r="A1330"/>
      <c r="B1330"/>
      <c r="C1330"/>
      <c r="D1330"/>
    </row>
    <row r="1331" spans="1:4" x14ac:dyDescent="0.2">
      <c r="A1331"/>
      <c r="B1331"/>
      <c r="C1331"/>
      <c r="D1331"/>
    </row>
    <row r="1332" spans="1:4" x14ac:dyDescent="0.2">
      <c r="A1332"/>
      <c r="B1332"/>
      <c r="C1332"/>
      <c r="D1332"/>
    </row>
    <row r="1333" spans="1:4" x14ac:dyDescent="0.2">
      <c r="A1333"/>
      <c r="B1333"/>
      <c r="C1333"/>
      <c r="D1333"/>
    </row>
    <row r="1334" spans="1:4" x14ac:dyDescent="0.2">
      <c r="A1334"/>
      <c r="B1334"/>
      <c r="C1334"/>
      <c r="D1334"/>
    </row>
    <row r="1335" spans="1:4" x14ac:dyDescent="0.2">
      <c r="A1335"/>
      <c r="B1335"/>
      <c r="C1335"/>
      <c r="D1335"/>
    </row>
    <row r="1336" spans="1:4" x14ac:dyDescent="0.2">
      <c r="A1336"/>
      <c r="B1336"/>
      <c r="C1336"/>
      <c r="D1336"/>
    </row>
    <row r="1337" spans="1:4" x14ac:dyDescent="0.2">
      <c r="A1337"/>
      <c r="B1337"/>
      <c r="C1337"/>
      <c r="D1337"/>
    </row>
    <row r="1338" spans="1:4" x14ac:dyDescent="0.2">
      <c r="A1338"/>
      <c r="B1338"/>
      <c r="C1338"/>
      <c r="D1338"/>
    </row>
    <row r="1339" spans="1:4" x14ac:dyDescent="0.2">
      <c r="A1339"/>
      <c r="B1339"/>
      <c r="C1339"/>
      <c r="D1339"/>
    </row>
    <row r="1340" spans="1:4" x14ac:dyDescent="0.2">
      <c r="A1340"/>
      <c r="B1340"/>
      <c r="C1340"/>
      <c r="D1340"/>
    </row>
    <row r="1341" spans="1:4" x14ac:dyDescent="0.2">
      <c r="A1341"/>
      <c r="B1341"/>
      <c r="C1341"/>
      <c r="D1341"/>
    </row>
    <row r="1342" spans="1:4" x14ac:dyDescent="0.2">
      <c r="A1342"/>
      <c r="B1342"/>
      <c r="C1342"/>
      <c r="D1342"/>
    </row>
    <row r="1343" spans="1:4" x14ac:dyDescent="0.2">
      <c r="A1343"/>
      <c r="B1343"/>
      <c r="C1343"/>
      <c r="D1343"/>
    </row>
    <row r="1344" spans="1:4" x14ac:dyDescent="0.2">
      <c r="A1344"/>
      <c r="B1344"/>
      <c r="C1344"/>
      <c r="D1344"/>
    </row>
    <row r="1345" spans="1:4" x14ac:dyDescent="0.2">
      <c r="A1345"/>
      <c r="B1345"/>
      <c r="C1345"/>
      <c r="D1345"/>
    </row>
    <row r="1346" spans="1:4" x14ac:dyDescent="0.2">
      <c r="A1346"/>
      <c r="B1346"/>
      <c r="C1346"/>
      <c r="D1346"/>
    </row>
    <row r="1347" spans="1:4" x14ac:dyDescent="0.2">
      <c r="A1347"/>
      <c r="B1347"/>
      <c r="C1347"/>
      <c r="D1347"/>
    </row>
    <row r="1348" spans="1:4" x14ac:dyDescent="0.2">
      <c r="A1348"/>
      <c r="B1348"/>
      <c r="C1348"/>
      <c r="D1348"/>
    </row>
    <row r="1349" spans="1:4" x14ac:dyDescent="0.2">
      <c r="A1349"/>
      <c r="B1349"/>
      <c r="C1349"/>
      <c r="D1349"/>
    </row>
    <row r="1350" spans="1:4" x14ac:dyDescent="0.2">
      <c r="A1350"/>
      <c r="B1350"/>
      <c r="C1350"/>
      <c r="D1350"/>
    </row>
    <row r="1351" spans="1:4" x14ac:dyDescent="0.2">
      <c r="A1351"/>
      <c r="B1351"/>
      <c r="C1351"/>
      <c r="D1351"/>
    </row>
    <row r="1352" spans="1:4" x14ac:dyDescent="0.2">
      <c r="A1352"/>
      <c r="B1352"/>
      <c r="C1352"/>
      <c r="D1352"/>
    </row>
    <row r="1353" spans="1:4" x14ac:dyDescent="0.2">
      <c r="A1353"/>
      <c r="B1353"/>
      <c r="C1353"/>
      <c r="D1353"/>
    </row>
    <row r="1354" spans="1:4" x14ac:dyDescent="0.2">
      <c r="A1354"/>
      <c r="B1354"/>
      <c r="C1354"/>
      <c r="D1354"/>
    </row>
    <row r="1355" spans="1:4" x14ac:dyDescent="0.2">
      <c r="A1355"/>
      <c r="B1355"/>
      <c r="C1355"/>
      <c r="D1355"/>
    </row>
    <row r="1356" spans="1:4" x14ac:dyDescent="0.2">
      <c r="A1356"/>
      <c r="B1356"/>
      <c r="C1356"/>
      <c r="D1356"/>
    </row>
    <row r="1357" spans="1:4" x14ac:dyDescent="0.2">
      <c r="A1357"/>
      <c r="B1357"/>
      <c r="C1357"/>
      <c r="D1357"/>
    </row>
    <row r="1358" spans="1:4" x14ac:dyDescent="0.2">
      <c r="A1358"/>
      <c r="B1358"/>
      <c r="C1358"/>
      <c r="D1358"/>
    </row>
    <row r="1359" spans="1:4" x14ac:dyDescent="0.2">
      <c r="A1359"/>
      <c r="B1359"/>
      <c r="C1359"/>
      <c r="D1359"/>
    </row>
    <row r="1360" spans="1:4" x14ac:dyDescent="0.2">
      <c r="A1360"/>
      <c r="B1360"/>
      <c r="C1360"/>
      <c r="D1360"/>
    </row>
    <row r="1361" spans="1:4" x14ac:dyDescent="0.2">
      <c r="A1361"/>
      <c r="B1361"/>
      <c r="C1361"/>
      <c r="D1361"/>
    </row>
    <row r="1362" spans="1:4" x14ac:dyDescent="0.2">
      <c r="A1362"/>
      <c r="B1362"/>
      <c r="C1362"/>
      <c r="D1362"/>
    </row>
    <row r="1363" spans="1:4" x14ac:dyDescent="0.2">
      <c r="A1363"/>
      <c r="B1363"/>
      <c r="C1363"/>
      <c r="D1363"/>
    </row>
    <row r="1364" spans="1:4" x14ac:dyDescent="0.2">
      <c r="A1364"/>
      <c r="B1364"/>
      <c r="C1364"/>
      <c r="D1364"/>
    </row>
    <row r="1365" spans="1:4" x14ac:dyDescent="0.2">
      <c r="A1365"/>
      <c r="B1365"/>
      <c r="C1365"/>
      <c r="D1365"/>
    </row>
    <row r="1366" spans="1:4" x14ac:dyDescent="0.2">
      <c r="A1366"/>
      <c r="B1366"/>
      <c r="C1366"/>
      <c r="D1366"/>
    </row>
    <row r="1367" spans="1:4" x14ac:dyDescent="0.2">
      <c r="A1367"/>
      <c r="B1367"/>
      <c r="C1367"/>
      <c r="D1367"/>
    </row>
    <row r="1368" spans="1:4" x14ac:dyDescent="0.2">
      <c r="A1368"/>
      <c r="B1368"/>
      <c r="C1368"/>
      <c r="D1368"/>
    </row>
    <row r="1369" spans="1:4" x14ac:dyDescent="0.2">
      <c r="A1369"/>
      <c r="B1369"/>
      <c r="C1369"/>
      <c r="D1369"/>
    </row>
    <row r="1370" spans="1:4" x14ac:dyDescent="0.2">
      <c r="A1370"/>
      <c r="B1370"/>
      <c r="C1370"/>
      <c r="D1370"/>
    </row>
    <row r="1371" spans="1:4" x14ac:dyDescent="0.2">
      <c r="A1371"/>
      <c r="B1371"/>
      <c r="C1371"/>
      <c r="D1371"/>
    </row>
    <row r="1372" spans="1:4" x14ac:dyDescent="0.2">
      <c r="A1372"/>
      <c r="B1372"/>
      <c r="C1372"/>
      <c r="D1372"/>
    </row>
    <row r="1373" spans="1:4" x14ac:dyDescent="0.2">
      <c r="A1373"/>
      <c r="B1373"/>
      <c r="C1373"/>
      <c r="D1373"/>
    </row>
    <row r="1374" spans="1:4" x14ac:dyDescent="0.2">
      <c r="A1374"/>
      <c r="B1374"/>
      <c r="C1374"/>
      <c r="D1374"/>
    </row>
    <row r="1375" spans="1:4" x14ac:dyDescent="0.2">
      <c r="A1375"/>
      <c r="B1375"/>
      <c r="C1375"/>
      <c r="D1375"/>
    </row>
    <row r="1376" spans="1:4" x14ac:dyDescent="0.2">
      <c r="A1376"/>
      <c r="B1376"/>
      <c r="C1376"/>
      <c r="D1376"/>
    </row>
    <row r="1377" spans="1:4" x14ac:dyDescent="0.2">
      <c r="A1377"/>
      <c r="B1377"/>
      <c r="C1377"/>
      <c r="D1377"/>
    </row>
    <row r="1378" spans="1:4" x14ac:dyDescent="0.2">
      <c r="A1378"/>
      <c r="B1378"/>
      <c r="C1378"/>
      <c r="D1378"/>
    </row>
    <row r="1379" spans="1:4" x14ac:dyDescent="0.2">
      <c r="A1379"/>
      <c r="B1379"/>
      <c r="C1379"/>
      <c r="D1379"/>
    </row>
    <row r="1380" spans="1:4" x14ac:dyDescent="0.2">
      <c r="A1380"/>
      <c r="B1380"/>
      <c r="C1380"/>
      <c r="D1380"/>
    </row>
    <row r="1381" spans="1:4" x14ac:dyDescent="0.2">
      <c r="A1381"/>
      <c r="B1381"/>
      <c r="C1381"/>
      <c r="D1381"/>
    </row>
    <row r="1382" spans="1:4" x14ac:dyDescent="0.2">
      <c r="A1382"/>
      <c r="B1382"/>
      <c r="C1382"/>
      <c r="D1382"/>
    </row>
    <row r="1383" spans="1:4" x14ac:dyDescent="0.2">
      <c r="A1383"/>
      <c r="B1383"/>
      <c r="C1383"/>
      <c r="D1383"/>
    </row>
    <row r="1384" spans="1:4" x14ac:dyDescent="0.2">
      <c r="A1384"/>
      <c r="B1384"/>
      <c r="C1384"/>
      <c r="D1384"/>
    </row>
    <row r="1385" spans="1:4" x14ac:dyDescent="0.2">
      <c r="A1385"/>
      <c r="B1385"/>
      <c r="C1385"/>
      <c r="D1385"/>
    </row>
    <row r="1386" spans="1:4" x14ac:dyDescent="0.2">
      <c r="A1386"/>
      <c r="B1386"/>
      <c r="C1386"/>
      <c r="D1386"/>
    </row>
    <row r="1387" spans="1:4" x14ac:dyDescent="0.2">
      <c r="A1387"/>
      <c r="B1387"/>
      <c r="C1387"/>
      <c r="D1387"/>
    </row>
    <row r="1388" spans="1:4" x14ac:dyDescent="0.2">
      <c r="A1388"/>
      <c r="B1388"/>
      <c r="C1388"/>
      <c r="D1388"/>
    </row>
    <row r="1389" spans="1:4" x14ac:dyDescent="0.2">
      <c r="A1389"/>
      <c r="B1389"/>
      <c r="C1389"/>
      <c r="D1389"/>
    </row>
    <row r="1390" spans="1:4" x14ac:dyDescent="0.2">
      <c r="A1390"/>
      <c r="B1390"/>
      <c r="C1390"/>
      <c r="D1390"/>
    </row>
    <row r="1391" spans="1:4" x14ac:dyDescent="0.2">
      <c r="A1391"/>
      <c r="B1391"/>
      <c r="C1391"/>
      <c r="D1391"/>
    </row>
    <row r="1392" spans="1:4" x14ac:dyDescent="0.2">
      <c r="A1392"/>
      <c r="B1392"/>
      <c r="C1392"/>
      <c r="D1392"/>
    </row>
    <row r="1393" spans="1:4" x14ac:dyDescent="0.2">
      <c r="A1393"/>
      <c r="B1393"/>
      <c r="C1393"/>
      <c r="D1393"/>
    </row>
    <row r="1394" spans="1:4" x14ac:dyDescent="0.2">
      <c r="A1394"/>
      <c r="B1394"/>
      <c r="C1394"/>
      <c r="D1394"/>
    </row>
    <row r="1395" spans="1:4" x14ac:dyDescent="0.2">
      <c r="A1395"/>
      <c r="B1395"/>
      <c r="C1395"/>
      <c r="D1395"/>
    </row>
    <row r="1396" spans="1:4" x14ac:dyDescent="0.2">
      <c r="A1396"/>
      <c r="B1396"/>
      <c r="C1396"/>
      <c r="D1396"/>
    </row>
    <row r="1397" spans="1:4" x14ac:dyDescent="0.2">
      <c r="A1397"/>
      <c r="B1397"/>
      <c r="C1397"/>
      <c r="D1397"/>
    </row>
    <row r="1398" spans="1:4" x14ac:dyDescent="0.2">
      <c r="A1398"/>
      <c r="B1398"/>
      <c r="C1398"/>
      <c r="D1398"/>
    </row>
    <row r="1399" spans="1:4" x14ac:dyDescent="0.2">
      <c r="A1399"/>
      <c r="B1399"/>
      <c r="C1399"/>
      <c r="D1399"/>
    </row>
    <row r="1400" spans="1:4" x14ac:dyDescent="0.2">
      <c r="A1400"/>
      <c r="B1400"/>
      <c r="C1400"/>
      <c r="D1400"/>
    </row>
    <row r="1401" spans="1:4" x14ac:dyDescent="0.2">
      <c r="A1401"/>
      <c r="B1401"/>
      <c r="C1401"/>
      <c r="D1401"/>
    </row>
    <row r="1402" spans="1:4" x14ac:dyDescent="0.2">
      <c r="A1402"/>
      <c r="B1402"/>
      <c r="C1402"/>
      <c r="D1402"/>
    </row>
    <row r="1403" spans="1:4" x14ac:dyDescent="0.2">
      <c r="A1403"/>
      <c r="B1403"/>
      <c r="C1403"/>
      <c r="D1403"/>
    </row>
    <row r="1404" spans="1:4" x14ac:dyDescent="0.2">
      <c r="A1404"/>
      <c r="B1404"/>
      <c r="C1404"/>
      <c r="D1404"/>
    </row>
    <row r="1405" spans="1:4" x14ac:dyDescent="0.2">
      <c r="A1405"/>
      <c r="B1405"/>
      <c r="C1405"/>
      <c r="D1405"/>
    </row>
    <row r="1406" spans="1:4" x14ac:dyDescent="0.2">
      <c r="A1406"/>
      <c r="B1406"/>
      <c r="C1406"/>
      <c r="D1406"/>
    </row>
    <row r="1407" spans="1:4" x14ac:dyDescent="0.2">
      <c r="A1407"/>
      <c r="B1407"/>
      <c r="C1407"/>
      <c r="D1407"/>
    </row>
    <row r="1408" spans="1:4" x14ac:dyDescent="0.2">
      <c r="A1408"/>
      <c r="B1408"/>
      <c r="C1408"/>
      <c r="D1408"/>
    </row>
    <row r="1409" spans="1:4" x14ac:dyDescent="0.2">
      <c r="A1409"/>
      <c r="B1409"/>
      <c r="C1409"/>
      <c r="D1409"/>
    </row>
    <row r="1410" spans="1:4" x14ac:dyDescent="0.2">
      <c r="A1410"/>
      <c r="B1410"/>
      <c r="C1410"/>
      <c r="D1410"/>
    </row>
    <row r="1411" spans="1:4" x14ac:dyDescent="0.2">
      <c r="A1411"/>
      <c r="B1411"/>
      <c r="C1411"/>
      <c r="D1411"/>
    </row>
    <row r="1412" spans="1:4" x14ac:dyDescent="0.2">
      <c r="A1412"/>
      <c r="B1412"/>
      <c r="C1412"/>
      <c r="D1412"/>
    </row>
    <row r="1413" spans="1:4" x14ac:dyDescent="0.2">
      <c r="A1413"/>
      <c r="B1413"/>
      <c r="C1413"/>
      <c r="D1413"/>
    </row>
    <row r="1414" spans="1:4" x14ac:dyDescent="0.2">
      <c r="A1414"/>
      <c r="B1414"/>
      <c r="C1414"/>
      <c r="D1414"/>
    </row>
    <row r="1415" spans="1:4" x14ac:dyDescent="0.2">
      <c r="A1415"/>
      <c r="B1415"/>
      <c r="C1415"/>
      <c r="D1415"/>
    </row>
    <row r="1416" spans="1:4" x14ac:dyDescent="0.2">
      <c r="A1416"/>
      <c r="B1416"/>
      <c r="C1416"/>
      <c r="D1416"/>
    </row>
    <row r="1417" spans="1:4" x14ac:dyDescent="0.2">
      <c r="A1417"/>
      <c r="B1417"/>
      <c r="C1417"/>
      <c r="D1417"/>
    </row>
    <row r="1418" spans="1:4" x14ac:dyDescent="0.2">
      <c r="A1418"/>
      <c r="B1418"/>
      <c r="C1418"/>
      <c r="D1418"/>
    </row>
    <row r="1419" spans="1:4" x14ac:dyDescent="0.2">
      <c r="A1419"/>
      <c r="B1419"/>
      <c r="C1419"/>
      <c r="D1419"/>
    </row>
    <row r="1420" spans="1:4" x14ac:dyDescent="0.2">
      <c r="A1420"/>
      <c r="B1420"/>
      <c r="C1420"/>
      <c r="D1420"/>
    </row>
    <row r="1421" spans="1:4" x14ac:dyDescent="0.2">
      <c r="A1421"/>
      <c r="B1421"/>
      <c r="C1421"/>
      <c r="D1421"/>
    </row>
    <row r="1422" spans="1:4" x14ac:dyDescent="0.2">
      <c r="A1422"/>
      <c r="B1422"/>
      <c r="C1422"/>
      <c r="D1422"/>
    </row>
    <row r="1423" spans="1:4" x14ac:dyDescent="0.2">
      <c r="A1423"/>
      <c r="B1423"/>
      <c r="C1423"/>
      <c r="D1423"/>
    </row>
    <row r="1424" spans="1:4" x14ac:dyDescent="0.2">
      <c r="A1424"/>
      <c r="B1424"/>
      <c r="C1424"/>
      <c r="D1424"/>
    </row>
    <row r="1425" spans="1:4" x14ac:dyDescent="0.2">
      <c r="A1425"/>
      <c r="B1425"/>
      <c r="C1425"/>
      <c r="D1425"/>
    </row>
    <row r="1426" spans="1:4" x14ac:dyDescent="0.2">
      <c r="A1426"/>
      <c r="B1426"/>
      <c r="C1426"/>
      <c r="D1426"/>
    </row>
    <row r="1427" spans="1:4" x14ac:dyDescent="0.2">
      <c r="A1427"/>
      <c r="B1427"/>
      <c r="C1427"/>
      <c r="D1427"/>
    </row>
    <row r="1428" spans="1:4" x14ac:dyDescent="0.2">
      <c r="A1428"/>
      <c r="B1428"/>
      <c r="C1428"/>
      <c r="D1428"/>
    </row>
    <row r="1429" spans="1:4" x14ac:dyDescent="0.2">
      <c r="A1429"/>
      <c r="B1429"/>
      <c r="C1429"/>
      <c r="D1429"/>
    </row>
    <row r="1430" spans="1:4" x14ac:dyDescent="0.2">
      <c r="A1430"/>
      <c r="B1430"/>
      <c r="C1430"/>
      <c r="D1430"/>
    </row>
    <row r="1431" spans="1:4" x14ac:dyDescent="0.2">
      <c r="A1431"/>
      <c r="B1431"/>
      <c r="C1431"/>
      <c r="D1431"/>
    </row>
    <row r="1432" spans="1:4" x14ac:dyDescent="0.2">
      <c r="A1432"/>
      <c r="B1432"/>
      <c r="C1432"/>
      <c r="D1432"/>
    </row>
    <row r="1433" spans="1:4" x14ac:dyDescent="0.2">
      <c r="A1433"/>
      <c r="B1433"/>
      <c r="C1433"/>
      <c r="D1433"/>
    </row>
    <row r="1434" spans="1:4" x14ac:dyDescent="0.2">
      <c r="A1434"/>
      <c r="B1434"/>
      <c r="C1434"/>
      <c r="D1434"/>
    </row>
    <row r="1435" spans="1:4" x14ac:dyDescent="0.2">
      <c r="A1435"/>
      <c r="B1435"/>
      <c r="C1435"/>
      <c r="D1435"/>
    </row>
    <row r="1436" spans="1:4" x14ac:dyDescent="0.2">
      <c r="A1436"/>
      <c r="B1436"/>
      <c r="C1436"/>
      <c r="D1436"/>
    </row>
    <row r="1437" spans="1:4" x14ac:dyDescent="0.2">
      <c r="A1437"/>
      <c r="B1437"/>
      <c r="C1437"/>
      <c r="D1437"/>
    </row>
    <row r="1438" spans="1:4" x14ac:dyDescent="0.2">
      <c r="A1438"/>
      <c r="B1438"/>
      <c r="C1438"/>
      <c r="D1438"/>
    </row>
    <row r="1439" spans="1:4" x14ac:dyDescent="0.2">
      <c r="A1439"/>
      <c r="B1439"/>
      <c r="C1439"/>
      <c r="D1439"/>
    </row>
    <row r="1440" spans="1:4" x14ac:dyDescent="0.2">
      <c r="A1440"/>
      <c r="B1440"/>
      <c r="C1440"/>
      <c r="D1440"/>
    </row>
    <row r="1441" spans="1:4" x14ac:dyDescent="0.2">
      <c r="A1441"/>
      <c r="B1441"/>
      <c r="C1441"/>
      <c r="D1441"/>
    </row>
    <row r="1442" spans="1:4" x14ac:dyDescent="0.2">
      <c r="A1442"/>
      <c r="B1442"/>
      <c r="C1442"/>
      <c r="D1442"/>
    </row>
    <row r="1443" spans="1:4" x14ac:dyDescent="0.2">
      <c r="A1443"/>
      <c r="B1443"/>
      <c r="C1443"/>
      <c r="D1443"/>
    </row>
    <row r="1444" spans="1:4" x14ac:dyDescent="0.2">
      <c r="A1444"/>
      <c r="B1444"/>
      <c r="C1444"/>
      <c r="D1444"/>
    </row>
    <row r="1445" spans="1:4" x14ac:dyDescent="0.2">
      <c r="A1445"/>
      <c r="B1445"/>
      <c r="C1445"/>
      <c r="D1445"/>
    </row>
    <row r="1446" spans="1:4" x14ac:dyDescent="0.2">
      <c r="A1446"/>
      <c r="B1446"/>
      <c r="C1446"/>
      <c r="D1446"/>
    </row>
    <row r="1447" spans="1:4" x14ac:dyDescent="0.2">
      <c r="A1447"/>
      <c r="B1447"/>
      <c r="C1447"/>
      <c r="D1447"/>
    </row>
    <row r="1448" spans="1:4" x14ac:dyDescent="0.2">
      <c r="A1448"/>
      <c r="B1448"/>
      <c r="C1448"/>
      <c r="D1448"/>
    </row>
    <row r="1449" spans="1:4" x14ac:dyDescent="0.2">
      <c r="A1449"/>
      <c r="B1449"/>
      <c r="C1449"/>
      <c r="D1449"/>
    </row>
    <row r="1450" spans="1:4" x14ac:dyDescent="0.2">
      <c r="A1450"/>
      <c r="B1450"/>
      <c r="C1450"/>
      <c r="D1450"/>
    </row>
    <row r="1451" spans="1:4" x14ac:dyDescent="0.2">
      <c r="A1451"/>
      <c r="B1451"/>
      <c r="C1451"/>
      <c r="D1451"/>
    </row>
    <row r="1452" spans="1:4" x14ac:dyDescent="0.2">
      <c r="A1452"/>
      <c r="B1452"/>
      <c r="C1452"/>
      <c r="D1452"/>
    </row>
    <row r="1453" spans="1:4" x14ac:dyDescent="0.2">
      <c r="A1453"/>
      <c r="B1453"/>
      <c r="C1453"/>
      <c r="D1453"/>
    </row>
    <row r="1454" spans="1:4" x14ac:dyDescent="0.2">
      <c r="A1454"/>
      <c r="B1454"/>
      <c r="C1454"/>
      <c r="D1454"/>
    </row>
    <row r="1455" spans="1:4" x14ac:dyDescent="0.2">
      <c r="A1455"/>
      <c r="B1455"/>
      <c r="C1455"/>
      <c r="D1455"/>
    </row>
    <row r="1456" spans="1:4" x14ac:dyDescent="0.2">
      <c r="A1456"/>
      <c r="B1456"/>
      <c r="C1456"/>
      <c r="D1456"/>
    </row>
    <row r="1457" spans="1:4" x14ac:dyDescent="0.2">
      <c r="A1457"/>
      <c r="B1457"/>
      <c r="C1457"/>
      <c r="D1457"/>
    </row>
    <row r="1458" spans="1:4" x14ac:dyDescent="0.2">
      <c r="A1458"/>
      <c r="B1458"/>
      <c r="C1458"/>
      <c r="D1458"/>
    </row>
    <row r="1459" spans="1:4" x14ac:dyDescent="0.2">
      <c r="A1459"/>
      <c r="B1459"/>
      <c r="C1459"/>
      <c r="D1459"/>
    </row>
    <row r="1460" spans="1:4" x14ac:dyDescent="0.2">
      <c r="A1460"/>
      <c r="B1460"/>
      <c r="C1460"/>
      <c r="D1460"/>
    </row>
    <row r="1461" spans="1:4" x14ac:dyDescent="0.2">
      <c r="A1461"/>
      <c r="B1461"/>
      <c r="C1461"/>
      <c r="D1461"/>
    </row>
    <row r="1462" spans="1:4" x14ac:dyDescent="0.2">
      <c r="A1462"/>
      <c r="B1462"/>
      <c r="C1462"/>
      <c r="D1462"/>
    </row>
    <row r="1463" spans="1:4" x14ac:dyDescent="0.2">
      <c r="A1463"/>
      <c r="B1463"/>
      <c r="C1463"/>
      <c r="D1463"/>
    </row>
    <row r="1464" spans="1:4" x14ac:dyDescent="0.2">
      <c r="A1464"/>
      <c r="B1464"/>
      <c r="C1464"/>
      <c r="D1464"/>
    </row>
    <row r="1465" spans="1:4" x14ac:dyDescent="0.2">
      <c r="A1465"/>
      <c r="B1465"/>
      <c r="C1465"/>
      <c r="D1465"/>
    </row>
    <row r="1466" spans="1:4" x14ac:dyDescent="0.2">
      <c r="A1466"/>
      <c r="B1466"/>
      <c r="C1466"/>
      <c r="D1466"/>
    </row>
    <row r="1467" spans="1:4" x14ac:dyDescent="0.2">
      <c r="A1467"/>
      <c r="B1467"/>
      <c r="C1467"/>
      <c r="D1467"/>
    </row>
    <row r="1468" spans="1:4" x14ac:dyDescent="0.2">
      <c r="A1468"/>
      <c r="B1468"/>
      <c r="C1468"/>
      <c r="D1468"/>
    </row>
    <row r="1469" spans="1:4" x14ac:dyDescent="0.2">
      <c r="A1469"/>
      <c r="B1469"/>
      <c r="C1469"/>
      <c r="D1469"/>
    </row>
    <row r="1470" spans="1:4" x14ac:dyDescent="0.2">
      <c r="A1470"/>
      <c r="B1470"/>
      <c r="C1470"/>
      <c r="D1470"/>
    </row>
    <row r="1471" spans="1:4" x14ac:dyDescent="0.2">
      <c r="A1471"/>
      <c r="B1471"/>
      <c r="C1471"/>
      <c r="D1471"/>
    </row>
    <row r="1472" spans="1:4" x14ac:dyDescent="0.2">
      <c r="A1472"/>
      <c r="B1472"/>
      <c r="C1472"/>
      <c r="D1472"/>
    </row>
    <row r="1473" spans="1:4" x14ac:dyDescent="0.2">
      <c r="A1473"/>
      <c r="B1473"/>
      <c r="C1473"/>
      <c r="D1473"/>
    </row>
    <row r="1474" spans="1:4" x14ac:dyDescent="0.2">
      <c r="A1474"/>
      <c r="B1474"/>
      <c r="C1474"/>
      <c r="D1474"/>
    </row>
    <row r="1475" spans="1:4" x14ac:dyDescent="0.2">
      <c r="A1475"/>
      <c r="B1475"/>
      <c r="C1475"/>
      <c r="D1475"/>
    </row>
    <row r="1476" spans="1:4" x14ac:dyDescent="0.2">
      <c r="A1476"/>
      <c r="B1476"/>
      <c r="C1476"/>
      <c r="D1476"/>
    </row>
    <row r="1477" spans="1:4" x14ac:dyDescent="0.2">
      <c r="A1477"/>
      <c r="B1477"/>
      <c r="C1477"/>
      <c r="D1477"/>
    </row>
    <row r="1478" spans="1:4" x14ac:dyDescent="0.2">
      <c r="A1478"/>
      <c r="B1478"/>
      <c r="C1478"/>
      <c r="D1478"/>
    </row>
    <row r="1479" spans="1:4" x14ac:dyDescent="0.2">
      <c r="A1479"/>
      <c r="B1479"/>
      <c r="C1479"/>
      <c r="D1479"/>
    </row>
    <row r="1480" spans="1:4" x14ac:dyDescent="0.2">
      <c r="A1480"/>
      <c r="B1480"/>
      <c r="C1480"/>
      <c r="D1480"/>
    </row>
    <row r="1481" spans="1:4" x14ac:dyDescent="0.2">
      <c r="A1481"/>
      <c r="B1481"/>
      <c r="C1481"/>
      <c r="D1481"/>
    </row>
    <row r="1482" spans="1:4" x14ac:dyDescent="0.2">
      <c r="A1482"/>
      <c r="B1482"/>
      <c r="C1482"/>
      <c r="D1482"/>
    </row>
    <row r="1483" spans="1:4" x14ac:dyDescent="0.2">
      <c r="A1483"/>
      <c r="B1483"/>
      <c r="C1483"/>
      <c r="D1483"/>
    </row>
    <row r="1484" spans="1:4" x14ac:dyDescent="0.2">
      <c r="A1484"/>
      <c r="B1484"/>
      <c r="C1484"/>
      <c r="D1484"/>
    </row>
    <row r="1485" spans="1:4" x14ac:dyDescent="0.2">
      <c r="A1485"/>
      <c r="B1485"/>
      <c r="C1485"/>
      <c r="D1485"/>
    </row>
    <row r="1486" spans="1:4" x14ac:dyDescent="0.2">
      <c r="A1486"/>
      <c r="B1486"/>
      <c r="C1486"/>
      <c r="D1486"/>
    </row>
    <row r="1487" spans="1:4" x14ac:dyDescent="0.2">
      <c r="A1487"/>
      <c r="B1487"/>
      <c r="C1487"/>
      <c r="D1487"/>
    </row>
    <row r="1488" spans="1:4" x14ac:dyDescent="0.2">
      <c r="A1488"/>
      <c r="B1488"/>
      <c r="C1488"/>
      <c r="D1488"/>
    </row>
    <row r="1489" spans="1:4" x14ac:dyDescent="0.2">
      <c r="A1489"/>
      <c r="B1489"/>
      <c r="C1489"/>
      <c r="D1489"/>
    </row>
    <row r="1490" spans="1:4" x14ac:dyDescent="0.2">
      <c r="A1490"/>
      <c r="B1490"/>
      <c r="C1490"/>
      <c r="D1490"/>
    </row>
    <row r="1491" spans="1:4" x14ac:dyDescent="0.2">
      <c r="A1491"/>
      <c r="B1491"/>
      <c r="C1491"/>
      <c r="D1491"/>
    </row>
    <row r="1492" spans="1:4" x14ac:dyDescent="0.2">
      <c r="A1492"/>
      <c r="B1492"/>
      <c r="C1492"/>
      <c r="D1492"/>
    </row>
    <row r="1493" spans="1:4" x14ac:dyDescent="0.2">
      <c r="A1493"/>
      <c r="B1493"/>
      <c r="C1493"/>
      <c r="D1493"/>
    </row>
    <row r="1494" spans="1:4" x14ac:dyDescent="0.2">
      <c r="A1494"/>
      <c r="B1494"/>
      <c r="C1494"/>
      <c r="D1494"/>
    </row>
    <row r="1495" spans="1:4" x14ac:dyDescent="0.2">
      <c r="A1495"/>
      <c r="B1495"/>
      <c r="C1495"/>
      <c r="D1495"/>
    </row>
    <row r="1496" spans="1:4" x14ac:dyDescent="0.2">
      <c r="A1496"/>
      <c r="B1496"/>
      <c r="C1496"/>
      <c r="D1496"/>
    </row>
    <row r="1497" spans="1:4" x14ac:dyDescent="0.2">
      <c r="A1497"/>
      <c r="B1497"/>
      <c r="C1497"/>
      <c r="D1497"/>
    </row>
    <row r="1498" spans="1:4" x14ac:dyDescent="0.2">
      <c r="A1498"/>
      <c r="B1498"/>
      <c r="C1498"/>
      <c r="D1498"/>
    </row>
    <row r="1499" spans="1:4" x14ac:dyDescent="0.2">
      <c r="A1499"/>
      <c r="B1499"/>
      <c r="C1499"/>
      <c r="D1499"/>
    </row>
    <row r="1500" spans="1:4" x14ac:dyDescent="0.2">
      <c r="A1500"/>
      <c r="B1500"/>
      <c r="C1500"/>
      <c r="D1500"/>
    </row>
    <row r="1501" spans="1:4" x14ac:dyDescent="0.2">
      <c r="A1501"/>
      <c r="B1501"/>
      <c r="C1501"/>
      <c r="D1501"/>
    </row>
    <row r="1502" spans="1:4" x14ac:dyDescent="0.2">
      <c r="A1502"/>
      <c r="B1502"/>
      <c r="C1502"/>
      <c r="D1502"/>
    </row>
    <row r="1503" spans="1:4" x14ac:dyDescent="0.2">
      <c r="A1503"/>
      <c r="B1503"/>
      <c r="C1503"/>
      <c r="D1503"/>
    </row>
    <row r="1504" spans="1:4" x14ac:dyDescent="0.2">
      <c r="A1504"/>
      <c r="B1504"/>
      <c r="C1504"/>
      <c r="D1504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  <c r="B1511"/>
      <c r="C1511"/>
      <c r="D1511"/>
    </row>
    <row r="1512" spans="1:4" x14ac:dyDescent="0.2">
      <c r="A1512"/>
      <c r="B1512"/>
      <c r="C1512"/>
      <c r="D1512"/>
    </row>
    <row r="1513" spans="1:4" x14ac:dyDescent="0.2">
      <c r="A1513"/>
      <c r="B1513"/>
      <c r="C1513"/>
      <c r="D1513"/>
    </row>
    <row r="1514" spans="1:4" x14ac:dyDescent="0.2">
      <c r="A1514"/>
      <c r="B1514"/>
      <c r="C1514"/>
      <c r="D1514"/>
    </row>
    <row r="1515" spans="1:4" x14ac:dyDescent="0.2">
      <c r="A1515"/>
      <c r="B1515"/>
      <c r="C1515"/>
      <c r="D1515"/>
    </row>
    <row r="1516" spans="1:4" x14ac:dyDescent="0.2">
      <c r="A1516"/>
      <c r="B1516"/>
      <c r="C1516"/>
      <c r="D1516"/>
    </row>
    <row r="1517" spans="1:4" x14ac:dyDescent="0.2">
      <c r="A1517"/>
      <c r="B1517"/>
      <c r="C1517"/>
      <c r="D1517"/>
    </row>
    <row r="1518" spans="1:4" x14ac:dyDescent="0.2">
      <c r="A1518"/>
      <c r="B1518"/>
      <c r="C1518"/>
      <c r="D1518"/>
    </row>
    <row r="1519" spans="1:4" x14ac:dyDescent="0.2">
      <c r="A1519"/>
      <c r="B1519"/>
      <c r="C1519"/>
      <c r="D1519"/>
    </row>
    <row r="1520" spans="1:4" x14ac:dyDescent="0.2">
      <c r="A1520"/>
      <c r="B1520"/>
      <c r="C1520"/>
      <c r="D1520"/>
    </row>
    <row r="1521" spans="1:4" x14ac:dyDescent="0.2">
      <c r="A1521"/>
      <c r="B1521"/>
      <c r="C1521"/>
      <c r="D1521"/>
    </row>
    <row r="1522" spans="1:4" x14ac:dyDescent="0.2">
      <c r="A1522"/>
      <c r="B1522"/>
      <c r="C1522"/>
      <c r="D1522"/>
    </row>
    <row r="1523" spans="1:4" x14ac:dyDescent="0.2">
      <c r="A1523"/>
      <c r="B1523"/>
      <c r="C1523"/>
      <c r="D1523"/>
    </row>
    <row r="1524" spans="1:4" x14ac:dyDescent="0.2">
      <c r="A1524"/>
      <c r="B1524"/>
      <c r="C1524"/>
      <c r="D1524"/>
    </row>
    <row r="1525" spans="1:4" x14ac:dyDescent="0.2">
      <c r="A1525"/>
      <c r="B1525"/>
      <c r="C1525"/>
      <c r="D1525"/>
    </row>
    <row r="1526" spans="1:4" x14ac:dyDescent="0.2">
      <c r="A1526"/>
      <c r="B1526"/>
      <c r="C1526"/>
      <c r="D1526"/>
    </row>
    <row r="1527" spans="1:4" x14ac:dyDescent="0.2">
      <c r="A1527"/>
      <c r="B1527"/>
      <c r="C1527"/>
      <c r="D1527"/>
    </row>
    <row r="1528" spans="1:4" x14ac:dyDescent="0.2">
      <c r="A1528"/>
      <c r="B1528"/>
      <c r="C1528"/>
      <c r="D1528"/>
    </row>
    <row r="1529" spans="1:4" x14ac:dyDescent="0.2">
      <c r="A1529"/>
      <c r="B1529"/>
      <c r="C1529"/>
      <c r="D1529"/>
    </row>
    <row r="1530" spans="1:4" x14ac:dyDescent="0.2">
      <c r="A1530"/>
      <c r="B1530"/>
      <c r="C1530"/>
      <c r="D1530"/>
    </row>
    <row r="1531" spans="1:4" x14ac:dyDescent="0.2">
      <c r="A1531"/>
      <c r="B1531"/>
      <c r="C1531"/>
      <c r="D1531"/>
    </row>
    <row r="1532" spans="1:4" x14ac:dyDescent="0.2">
      <c r="A1532"/>
      <c r="B1532"/>
      <c r="C1532"/>
      <c r="D1532"/>
    </row>
    <row r="1533" spans="1:4" x14ac:dyDescent="0.2">
      <c r="A1533"/>
      <c r="B1533"/>
      <c r="C1533"/>
      <c r="D1533"/>
    </row>
    <row r="1534" spans="1:4" x14ac:dyDescent="0.2">
      <c r="A1534"/>
      <c r="B1534"/>
      <c r="C1534"/>
      <c r="D1534"/>
    </row>
    <row r="1535" spans="1:4" x14ac:dyDescent="0.2">
      <c r="A1535"/>
      <c r="B1535"/>
      <c r="C1535"/>
      <c r="D1535"/>
    </row>
    <row r="1536" spans="1:4" x14ac:dyDescent="0.2">
      <c r="A1536"/>
      <c r="B1536"/>
      <c r="C1536"/>
      <c r="D1536"/>
    </row>
    <row r="1537" spans="1:4" x14ac:dyDescent="0.2">
      <c r="A1537"/>
      <c r="B1537"/>
      <c r="C1537"/>
      <c r="D1537"/>
    </row>
    <row r="1538" spans="1:4" x14ac:dyDescent="0.2">
      <c r="A1538"/>
      <c r="B1538"/>
      <c r="C1538"/>
      <c r="D1538"/>
    </row>
    <row r="1539" spans="1:4" x14ac:dyDescent="0.2">
      <c r="A1539"/>
      <c r="B1539"/>
      <c r="C1539"/>
      <c r="D1539"/>
    </row>
    <row r="1540" spans="1:4" x14ac:dyDescent="0.2">
      <c r="A1540"/>
      <c r="B1540"/>
      <c r="C1540"/>
      <c r="D1540"/>
    </row>
    <row r="1541" spans="1:4" x14ac:dyDescent="0.2">
      <c r="A1541"/>
      <c r="B1541"/>
      <c r="C1541"/>
      <c r="D1541"/>
    </row>
    <row r="1542" spans="1:4" x14ac:dyDescent="0.2">
      <c r="A1542"/>
      <c r="B1542"/>
      <c r="C1542"/>
      <c r="D1542"/>
    </row>
    <row r="1543" spans="1:4" x14ac:dyDescent="0.2">
      <c r="A1543"/>
      <c r="B1543"/>
      <c r="C1543"/>
      <c r="D1543"/>
    </row>
    <row r="1544" spans="1:4" x14ac:dyDescent="0.2">
      <c r="A1544"/>
      <c r="B1544"/>
      <c r="C1544"/>
      <c r="D1544"/>
    </row>
    <row r="1545" spans="1:4" x14ac:dyDescent="0.2">
      <c r="A1545"/>
      <c r="B1545"/>
      <c r="C1545"/>
      <c r="D1545"/>
    </row>
    <row r="1546" spans="1:4" x14ac:dyDescent="0.2">
      <c r="A1546"/>
      <c r="B1546"/>
      <c r="C1546"/>
      <c r="D1546"/>
    </row>
    <row r="1547" spans="1:4" x14ac:dyDescent="0.2">
      <c r="A1547"/>
      <c r="B1547"/>
      <c r="C1547"/>
      <c r="D1547"/>
    </row>
    <row r="1548" spans="1:4" x14ac:dyDescent="0.2">
      <c r="A1548"/>
      <c r="B1548"/>
      <c r="C1548"/>
      <c r="D1548"/>
    </row>
    <row r="1549" spans="1:4" x14ac:dyDescent="0.2">
      <c r="A1549"/>
      <c r="B1549"/>
      <c r="C1549"/>
      <c r="D1549"/>
    </row>
    <row r="1550" spans="1:4" x14ac:dyDescent="0.2">
      <c r="A1550"/>
      <c r="B1550"/>
      <c r="C1550"/>
      <c r="D1550"/>
    </row>
    <row r="1551" spans="1:4" x14ac:dyDescent="0.2">
      <c r="A1551"/>
      <c r="B1551"/>
      <c r="C1551"/>
      <c r="D1551"/>
    </row>
    <row r="1552" spans="1:4" x14ac:dyDescent="0.2">
      <c r="A1552"/>
      <c r="B1552"/>
      <c r="C1552"/>
      <c r="D1552"/>
    </row>
    <row r="1553" spans="1:4" x14ac:dyDescent="0.2">
      <c r="A1553"/>
      <c r="B1553"/>
      <c r="C1553"/>
      <c r="D1553"/>
    </row>
    <row r="1554" spans="1:4" x14ac:dyDescent="0.2">
      <c r="A1554"/>
      <c r="B1554"/>
      <c r="C1554"/>
      <c r="D1554"/>
    </row>
    <row r="1555" spans="1:4" x14ac:dyDescent="0.2">
      <c r="A1555"/>
      <c r="B1555"/>
      <c r="C1555"/>
      <c r="D1555"/>
    </row>
    <row r="1556" spans="1:4" x14ac:dyDescent="0.2">
      <c r="A1556"/>
      <c r="B1556"/>
      <c r="C1556"/>
      <c r="D1556"/>
    </row>
    <row r="1557" spans="1:4" x14ac:dyDescent="0.2">
      <c r="A1557"/>
      <c r="B1557"/>
      <c r="C1557"/>
      <c r="D1557"/>
    </row>
    <row r="1558" spans="1:4" x14ac:dyDescent="0.2">
      <c r="A1558"/>
      <c r="B1558"/>
      <c r="C1558"/>
      <c r="D1558"/>
    </row>
    <row r="1559" spans="1:4" x14ac:dyDescent="0.2">
      <c r="A1559"/>
      <c r="B1559"/>
      <c r="C1559"/>
      <c r="D1559"/>
    </row>
    <row r="1560" spans="1:4" x14ac:dyDescent="0.2">
      <c r="A1560"/>
      <c r="B1560"/>
      <c r="C1560"/>
      <c r="D1560"/>
    </row>
    <row r="1561" spans="1:4" x14ac:dyDescent="0.2">
      <c r="A1561"/>
      <c r="B1561"/>
      <c r="C1561"/>
      <c r="D1561"/>
    </row>
    <row r="1562" spans="1:4" x14ac:dyDescent="0.2">
      <c r="A1562"/>
      <c r="B1562"/>
      <c r="C1562"/>
      <c r="D1562"/>
    </row>
    <row r="1563" spans="1:4" x14ac:dyDescent="0.2">
      <c r="A1563"/>
      <c r="B1563"/>
      <c r="C1563"/>
      <c r="D1563"/>
    </row>
    <row r="1564" spans="1:4" x14ac:dyDescent="0.2">
      <c r="A1564"/>
      <c r="B1564"/>
      <c r="C1564"/>
      <c r="D1564"/>
    </row>
    <row r="1565" spans="1:4" x14ac:dyDescent="0.2">
      <c r="A1565"/>
      <c r="B1565"/>
      <c r="C1565"/>
      <c r="D1565"/>
    </row>
    <row r="1566" spans="1:4" x14ac:dyDescent="0.2">
      <c r="A1566"/>
      <c r="B1566"/>
      <c r="C1566"/>
      <c r="D1566"/>
    </row>
    <row r="1567" spans="1:4" x14ac:dyDescent="0.2">
      <c r="A1567"/>
      <c r="B1567"/>
      <c r="C1567"/>
      <c r="D1567"/>
    </row>
    <row r="1568" spans="1:4" x14ac:dyDescent="0.2">
      <c r="A1568"/>
      <c r="B1568"/>
      <c r="C1568"/>
      <c r="D1568"/>
    </row>
    <row r="1569" spans="1:4" x14ac:dyDescent="0.2">
      <c r="A1569"/>
      <c r="B1569"/>
      <c r="C1569"/>
      <c r="D1569"/>
    </row>
    <row r="1570" spans="1:4" x14ac:dyDescent="0.2">
      <c r="A1570"/>
      <c r="B1570"/>
      <c r="C1570"/>
      <c r="D1570"/>
    </row>
    <row r="1571" spans="1:4" x14ac:dyDescent="0.2">
      <c r="A1571"/>
      <c r="B1571"/>
      <c r="C1571"/>
      <c r="D1571"/>
    </row>
    <row r="1572" spans="1:4" x14ac:dyDescent="0.2">
      <c r="A1572"/>
      <c r="B1572"/>
      <c r="C1572"/>
      <c r="D1572"/>
    </row>
    <row r="1573" spans="1:4" x14ac:dyDescent="0.2">
      <c r="A1573"/>
      <c r="B1573"/>
      <c r="C1573"/>
      <c r="D1573"/>
    </row>
    <row r="1574" spans="1:4" x14ac:dyDescent="0.2">
      <c r="A1574"/>
      <c r="B1574"/>
      <c r="C1574"/>
      <c r="D1574"/>
    </row>
    <row r="1575" spans="1:4" x14ac:dyDescent="0.2">
      <c r="A1575"/>
      <c r="B1575"/>
      <c r="C1575"/>
      <c r="D1575"/>
    </row>
    <row r="1576" spans="1:4" x14ac:dyDescent="0.2">
      <c r="A1576"/>
      <c r="B1576"/>
      <c r="C1576"/>
      <c r="D1576"/>
    </row>
    <row r="1577" spans="1:4" x14ac:dyDescent="0.2">
      <c r="A1577"/>
      <c r="B1577"/>
      <c r="C1577"/>
      <c r="D1577"/>
    </row>
    <row r="1578" spans="1:4" x14ac:dyDescent="0.2">
      <c r="A1578"/>
      <c r="B1578"/>
      <c r="C1578"/>
      <c r="D1578"/>
    </row>
    <row r="1579" spans="1:4" x14ac:dyDescent="0.2">
      <c r="A1579"/>
      <c r="B1579"/>
      <c r="C1579"/>
      <c r="D1579"/>
    </row>
    <row r="1580" spans="1:4" x14ac:dyDescent="0.2">
      <c r="A1580"/>
      <c r="B1580"/>
      <c r="C1580"/>
      <c r="D1580"/>
    </row>
    <row r="1581" spans="1:4" x14ac:dyDescent="0.2">
      <c r="A1581"/>
      <c r="B1581"/>
      <c r="C1581"/>
      <c r="D1581"/>
    </row>
    <row r="1582" spans="1:4" x14ac:dyDescent="0.2">
      <c r="A1582"/>
      <c r="B1582"/>
      <c r="C1582"/>
      <c r="D1582"/>
    </row>
    <row r="1583" spans="1:4" x14ac:dyDescent="0.2">
      <c r="A1583"/>
      <c r="B1583"/>
      <c r="C1583"/>
      <c r="D1583"/>
    </row>
    <row r="1584" spans="1:4" x14ac:dyDescent="0.2">
      <c r="A1584"/>
      <c r="B1584"/>
      <c r="C1584"/>
      <c r="D1584"/>
    </row>
    <row r="1585" spans="1:4" x14ac:dyDescent="0.2">
      <c r="A1585"/>
      <c r="B1585"/>
      <c r="C1585"/>
      <c r="D1585"/>
    </row>
    <row r="1586" spans="1:4" x14ac:dyDescent="0.2">
      <c r="A1586"/>
      <c r="B1586"/>
      <c r="C1586"/>
      <c r="D1586"/>
    </row>
    <row r="1587" spans="1:4" x14ac:dyDescent="0.2">
      <c r="A1587"/>
      <c r="B1587"/>
      <c r="C1587"/>
      <c r="D1587"/>
    </row>
    <row r="1588" spans="1:4" x14ac:dyDescent="0.2">
      <c r="A1588"/>
      <c r="B1588"/>
      <c r="C1588"/>
      <c r="D1588"/>
    </row>
    <row r="1589" spans="1:4" x14ac:dyDescent="0.2">
      <c r="A1589"/>
      <c r="B1589"/>
      <c r="C1589"/>
      <c r="D1589"/>
    </row>
    <row r="1590" spans="1:4" x14ac:dyDescent="0.2">
      <c r="A1590"/>
      <c r="B1590"/>
      <c r="C1590"/>
      <c r="D1590"/>
    </row>
    <row r="1591" spans="1:4" x14ac:dyDescent="0.2">
      <c r="A1591"/>
      <c r="B1591"/>
      <c r="C1591"/>
      <c r="D1591"/>
    </row>
    <row r="1592" spans="1:4" x14ac:dyDescent="0.2">
      <c r="A1592"/>
      <c r="B1592"/>
      <c r="C1592"/>
      <c r="D1592"/>
    </row>
    <row r="1593" spans="1:4" x14ac:dyDescent="0.2">
      <c r="A1593"/>
      <c r="B1593"/>
      <c r="C1593"/>
      <c r="D1593"/>
    </row>
    <row r="1594" spans="1:4" x14ac:dyDescent="0.2">
      <c r="A1594"/>
      <c r="B1594"/>
      <c r="C1594"/>
      <c r="D1594"/>
    </row>
    <row r="1595" spans="1:4" x14ac:dyDescent="0.2">
      <c r="A1595"/>
      <c r="B1595"/>
      <c r="C1595"/>
      <c r="D1595"/>
    </row>
    <row r="1596" spans="1:4" x14ac:dyDescent="0.2">
      <c r="A1596"/>
      <c r="B1596"/>
      <c r="C1596"/>
      <c r="D1596"/>
    </row>
    <row r="1597" spans="1:4" x14ac:dyDescent="0.2">
      <c r="A1597"/>
      <c r="B1597"/>
      <c r="C1597"/>
      <c r="D1597"/>
    </row>
    <row r="1598" spans="1:4" x14ac:dyDescent="0.2">
      <c r="A1598"/>
      <c r="B1598"/>
      <c r="C1598"/>
      <c r="D1598"/>
    </row>
    <row r="1599" spans="1:4" x14ac:dyDescent="0.2">
      <c r="A1599"/>
      <c r="B1599"/>
      <c r="C1599"/>
      <c r="D1599"/>
    </row>
    <row r="1600" spans="1:4" x14ac:dyDescent="0.2">
      <c r="A1600"/>
      <c r="B1600"/>
      <c r="C1600"/>
      <c r="D1600"/>
    </row>
    <row r="1601" spans="1:4" x14ac:dyDescent="0.2">
      <c r="A1601"/>
      <c r="B1601"/>
      <c r="C1601"/>
      <c r="D1601"/>
    </row>
    <row r="1602" spans="1:4" x14ac:dyDescent="0.2">
      <c r="A1602"/>
      <c r="B1602"/>
      <c r="C1602"/>
      <c r="D1602"/>
    </row>
    <row r="1603" spans="1:4" x14ac:dyDescent="0.2">
      <c r="A1603"/>
      <c r="B1603"/>
      <c r="C1603"/>
      <c r="D1603"/>
    </row>
    <row r="1604" spans="1:4" x14ac:dyDescent="0.2">
      <c r="A1604"/>
      <c r="B1604"/>
      <c r="C1604"/>
      <c r="D1604"/>
    </row>
    <row r="1605" spans="1:4" x14ac:dyDescent="0.2">
      <c r="A1605"/>
      <c r="B1605"/>
      <c r="C1605"/>
      <c r="D1605"/>
    </row>
    <row r="1606" spans="1:4" x14ac:dyDescent="0.2">
      <c r="A1606"/>
      <c r="B1606"/>
      <c r="C1606"/>
      <c r="D1606"/>
    </row>
    <row r="1607" spans="1:4" x14ac:dyDescent="0.2">
      <c r="A1607"/>
      <c r="B1607"/>
      <c r="C1607"/>
      <c r="D1607"/>
    </row>
    <row r="1608" spans="1:4" x14ac:dyDescent="0.2">
      <c r="A1608"/>
      <c r="B1608"/>
      <c r="C1608"/>
      <c r="D1608"/>
    </row>
    <row r="1609" spans="1:4" x14ac:dyDescent="0.2">
      <c r="A1609"/>
      <c r="B1609"/>
      <c r="C1609"/>
      <c r="D1609"/>
    </row>
    <row r="1610" spans="1:4" x14ac:dyDescent="0.2">
      <c r="A1610"/>
      <c r="B1610"/>
      <c r="C1610"/>
      <c r="D1610"/>
    </row>
    <row r="1611" spans="1:4" x14ac:dyDescent="0.2">
      <c r="A1611"/>
      <c r="B1611"/>
      <c r="C1611"/>
      <c r="D1611"/>
    </row>
    <row r="1612" spans="1:4" x14ac:dyDescent="0.2">
      <c r="A1612"/>
      <c r="B1612"/>
      <c r="C1612"/>
      <c r="D1612"/>
    </row>
    <row r="1613" spans="1:4" x14ac:dyDescent="0.2">
      <c r="A1613"/>
      <c r="B1613"/>
      <c r="C1613"/>
      <c r="D1613"/>
    </row>
    <row r="1614" spans="1:4" x14ac:dyDescent="0.2">
      <c r="A1614"/>
      <c r="B1614"/>
      <c r="C1614"/>
      <c r="D1614"/>
    </row>
    <row r="1615" spans="1:4" x14ac:dyDescent="0.2">
      <c r="A1615"/>
      <c r="B1615"/>
      <c r="C1615"/>
      <c r="D1615"/>
    </row>
    <row r="1616" spans="1:4" x14ac:dyDescent="0.2">
      <c r="A1616"/>
      <c r="B1616"/>
      <c r="C1616"/>
      <c r="D1616"/>
    </row>
    <row r="1617" spans="1:4" x14ac:dyDescent="0.2">
      <c r="A1617"/>
      <c r="B1617"/>
      <c r="C1617"/>
      <c r="D1617"/>
    </row>
    <row r="1618" spans="1:4" x14ac:dyDescent="0.2">
      <c r="A1618"/>
      <c r="B1618"/>
      <c r="C1618"/>
      <c r="D1618"/>
    </row>
    <row r="1619" spans="1:4" x14ac:dyDescent="0.2">
      <c r="A1619"/>
      <c r="B1619"/>
      <c r="C1619"/>
      <c r="D1619"/>
    </row>
    <row r="1620" spans="1:4" x14ac:dyDescent="0.2">
      <c r="A1620"/>
      <c r="B1620"/>
      <c r="C1620"/>
      <c r="D1620"/>
    </row>
    <row r="1621" spans="1:4" x14ac:dyDescent="0.2">
      <c r="A1621"/>
      <c r="B1621"/>
      <c r="C1621"/>
      <c r="D1621"/>
    </row>
    <row r="1622" spans="1:4" x14ac:dyDescent="0.2">
      <c r="A1622"/>
      <c r="B1622"/>
      <c r="C1622"/>
      <c r="D1622"/>
    </row>
    <row r="1623" spans="1:4" x14ac:dyDescent="0.2">
      <c r="A1623"/>
      <c r="B1623"/>
      <c r="C1623"/>
      <c r="D1623"/>
    </row>
    <row r="1624" spans="1:4" x14ac:dyDescent="0.2">
      <c r="A1624"/>
      <c r="B1624"/>
      <c r="C1624"/>
      <c r="D1624"/>
    </row>
    <row r="1625" spans="1:4" x14ac:dyDescent="0.2">
      <c r="A1625"/>
      <c r="B1625"/>
      <c r="C1625"/>
      <c r="D1625"/>
    </row>
    <row r="1626" spans="1:4" x14ac:dyDescent="0.2">
      <c r="A1626"/>
      <c r="B1626"/>
      <c r="C1626"/>
      <c r="D1626"/>
    </row>
    <row r="1627" spans="1:4" x14ac:dyDescent="0.2">
      <c r="A1627"/>
      <c r="B1627"/>
      <c r="C1627"/>
      <c r="D1627"/>
    </row>
    <row r="1628" spans="1:4" x14ac:dyDescent="0.2">
      <c r="A1628"/>
      <c r="B1628"/>
      <c r="C1628"/>
      <c r="D1628"/>
    </row>
    <row r="1629" spans="1:4" x14ac:dyDescent="0.2">
      <c r="A1629"/>
      <c r="B1629"/>
      <c r="C1629"/>
      <c r="D1629"/>
    </row>
    <row r="1630" spans="1:4" x14ac:dyDescent="0.2">
      <c r="A1630"/>
      <c r="B1630"/>
      <c r="C1630"/>
      <c r="D1630"/>
    </row>
    <row r="1631" spans="1:4" x14ac:dyDescent="0.2">
      <c r="A1631"/>
      <c r="B1631"/>
      <c r="C1631"/>
      <c r="D1631"/>
    </row>
    <row r="1632" spans="1:4" x14ac:dyDescent="0.2">
      <c r="A1632"/>
      <c r="B1632"/>
      <c r="C1632"/>
      <c r="D1632"/>
    </row>
    <row r="1633" spans="1:4" x14ac:dyDescent="0.2">
      <c r="A1633"/>
      <c r="B1633"/>
      <c r="C1633"/>
      <c r="D1633"/>
    </row>
    <row r="1634" spans="1:4" x14ac:dyDescent="0.2">
      <c r="A1634"/>
      <c r="B1634"/>
      <c r="C1634"/>
      <c r="D1634"/>
    </row>
    <row r="1635" spans="1:4" x14ac:dyDescent="0.2">
      <c r="A1635"/>
      <c r="B1635"/>
      <c r="C1635"/>
      <c r="D1635"/>
    </row>
    <row r="1636" spans="1:4" x14ac:dyDescent="0.2">
      <c r="A1636"/>
      <c r="B1636"/>
      <c r="C1636"/>
      <c r="D1636"/>
    </row>
    <row r="1637" spans="1:4" x14ac:dyDescent="0.2">
      <c r="A1637"/>
      <c r="B1637"/>
      <c r="C1637"/>
      <c r="D1637"/>
    </row>
    <row r="1638" spans="1:4" x14ac:dyDescent="0.2">
      <c r="A1638"/>
      <c r="B1638"/>
      <c r="C1638"/>
      <c r="D1638"/>
    </row>
    <row r="1639" spans="1:4" x14ac:dyDescent="0.2">
      <c r="A1639"/>
      <c r="B1639"/>
      <c r="C1639"/>
      <c r="D1639"/>
    </row>
    <row r="1640" spans="1:4" x14ac:dyDescent="0.2">
      <c r="A1640"/>
      <c r="B1640"/>
      <c r="C1640"/>
      <c r="D1640"/>
    </row>
    <row r="1641" spans="1:4" x14ac:dyDescent="0.2">
      <c r="A1641"/>
      <c r="B1641"/>
      <c r="C1641"/>
      <c r="D1641"/>
    </row>
    <row r="1642" spans="1:4" x14ac:dyDescent="0.2">
      <c r="A1642"/>
      <c r="B1642"/>
      <c r="C1642"/>
      <c r="D1642"/>
    </row>
    <row r="1643" spans="1:4" x14ac:dyDescent="0.2">
      <c r="A1643"/>
      <c r="B1643"/>
      <c r="C1643"/>
      <c r="D1643"/>
    </row>
    <row r="1644" spans="1:4" x14ac:dyDescent="0.2">
      <c r="A1644"/>
      <c r="B1644"/>
      <c r="C1644"/>
      <c r="D1644"/>
    </row>
    <row r="1645" spans="1:4" x14ac:dyDescent="0.2">
      <c r="A1645"/>
      <c r="B1645"/>
      <c r="C1645"/>
      <c r="D1645"/>
    </row>
    <row r="1646" spans="1:4" x14ac:dyDescent="0.2">
      <c r="A1646"/>
      <c r="B1646"/>
      <c r="C1646"/>
      <c r="D1646"/>
    </row>
    <row r="1647" spans="1:4" x14ac:dyDescent="0.2">
      <c r="A1647"/>
      <c r="B1647"/>
      <c r="C1647"/>
      <c r="D1647"/>
    </row>
    <row r="1648" spans="1:4" x14ac:dyDescent="0.2">
      <c r="A1648"/>
      <c r="B1648"/>
      <c r="C1648"/>
      <c r="D1648"/>
    </row>
    <row r="1649" spans="1:4" x14ac:dyDescent="0.2">
      <c r="A1649"/>
      <c r="B1649"/>
      <c r="C1649"/>
      <c r="D1649"/>
    </row>
    <row r="1650" spans="1:4" x14ac:dyDescent="0.2">
      <c r="A1650"/>
      <c r="B1650"/>
      <c r="C1650"/>
      <c r="D1650"/>
    </row>
    <row r="1651" spans="1:4" x14ac:dyDescent="0.2">
      <c r="A1651"/>
      <c r="B1651"/>
      <c r="C1651"/>
      <c r="D1651"/>
    </row>
    <row r="1652" spans="1:4" x14ac:dyDescent="0.2">
      <c r="A1652"/>
      <c r="B1652"/>
      <c r="C1652"/>
      <c r="D1652"/>
    </row>
    <row r="1653" spans="1:4" x14ac:dyDescent="0.2">
      <c r="A1653"/>
      <c r="B1653"/>
      <c r="C1653"/>
      <c r="D1653"/>
    </row>
    <row r="1654" spans="1:4" x14ac:dyDescent="0.2">
      <c r="A1654"/>
      <c r="B1654"/>
      <c r="C1654"/>
      <c r="D1654"/>
    </row>
    <row r="1655" spans="1:4" x14ac:dyDescent="0.2">
      <c r="A1655"/>
      <c r="B1655"/>
      <c r="C1655"/>
      <c r="D1655"/>
    </row>
    <row r="1656" spans="1:4" x14ac:dyDescent="0.2">
      <c r="A1656"/>
      <c r="B1656"/>
      <c r="C1656"/>
      <c r="D1656"/>
    </row>
    <row r="1657" spans="1:4" x14ac:dyDescent="0.2">
      <c r="A1657"/>
      <c r="B1657"/>
      <c r="C1657"/>
      <c r="D1657"/>
    </row>
    <row r="1658" spans="1:4" x14ac:dyDescent="0.2">
      <c r="A1658"/>
      <c r="B1658"/>
      <c r="C1658"/>
      <c r="D1658"/>
    </row>
    <row r="1659" spans="1:4" x14ac:dyDescent="0.2">
      <c r="A1659"/>
      <c r="B1659"/>
      <c r="C1659"/>
      <c r="D1659"/>
    </row>
    <row r="1660" spans="1:4" x14ac:dyDescent="0.2">
      <c r="A1660"/>
      <c r="B1660"/>
      <c r="C1660"/>
      <c r="D1660"/>
    </row>
    <row r="1661" spans="1:4" x14ac:dyDescent="0.2">
      <c r="A1661"/>
      <c r="B1661"/>
      <c r="C1661"/>
      <c r="D1661"/>
    </row>
    <row r="1662" spans="1:4" x14ac:dyDescent="0.2">
      <c r="A1662"/>
      <c r="B1662"/>
      <c r="C1662"/>
      <c r="D1662"/>
    </row>
    <row r="1663" spans="1:4" x14ac:dyDescent="0.2">
      <c r="A1663"/>
      <c r="B1663"/>
      <c r="C1663"/>
      <c r="D1663"/>
    </row>
    <row r="1664" spans="1:4" x14ac:dyDescent="0.2">
      <c r="A1664"/>
      <c r="B1664"/>
      <c r="C1664"/>
      <c r="D1664"/>
    </row>
    <row r="1665" spans="1:4" x14ac:dyDescent="0.2">
      <c r="A1665"/>
      <c r="B1665"/>
      <c r="C1665"/>
      <c r="D1665"/>
    </row>
    <row r="1666" spans="1:4" x14ac:dyDescent="0.2">
      <c r="A1666"/>
      <c r="B1666"/>
      <c r="C1666"/>
      <c r="D1666"/>
    </row>
    <row r="1667" spans="1:4" x14ac:dyDescent="0.2">
      <c r="A1667"/>
      <c r="B1667"/>
      <c r="C1667"/>
      <c r="D1667"/>
    </row>
    <row r="1668" spans="1:4" x14ac:dyDescent="0.2">
      <c r="A1668"/>
      <c r="B1668"/>
      <c r="C1668"/>
      <c r="D1668"/>
    </row>
    <row r="1669" spans="1:4" x14ac:dyDescent="0.2">
      <c r="A1669"/>
      <c r="B1669"/>
      <c r="C1669"/>
      <c r="D1669"/>
    </row>
    <row r="1670" spans="1:4" x14ac:dyDescent="0.2">
      <c r="A1670"/>
      <c r="B1670"/>
      <c r="C1670"/>
      <c r="D1670"/>
    </row>
    <row r="1671" spans="1:4" x14ac:dyDescent="0.2">
      <c r="A1671"/>
      <c r="B1671"/>
      <c r="C1671"/>
      <c r="D1671"/>
    </row>
    <row r="1672" spans="1:4" x14ac:dyDescent="0.2">
      <c r="A1672"/>
      <c r="B1672"/>
      <c r="C1672"/>
      <c r="D1672"/>
    </row>
    <row r="1673" spans="1:4" x14ac:dyDescent="0.2">
      <c r="A1673"/>
      <c r="B1673"/>
      <c r="C1673"/>
      <c r="D1673"/>
    </row>
    <row r="1674" spans="1:4" x14ac:dyDescent="0.2">
      <c r="A1674"/>
      <c r="B1674"/>
      <c r="C1674"/>
      <c r="D1674"/>
    </row>
    <row r="1675" spans="1:4" x14ac:dyDescent="0.2">
      <c r="A1675"/>
      <c r="B1675"/>
      <c r="C1675"/>
      <c r="D1675"/>
    </row>
    <row r="1676" spans="1:4" x14ac:dyDescent="0.2">
      <c r="A1676"/>
      <c r="B1676"/>
      <c r="C1676"/>
      <c r="D1676"/>
    </row>
    <row r="1677" spans="1:4" x14ac:dyDescent="0.2">
      <c r="A1677"/>
      <c r="B1677"/>
      <c r="C1677"/>
      <c r="D1677"/>
    </row>
    <row r="1678" spans="1:4" x14ac:dyDescent="0.2">
      <c r="A1678"/>
      <c r="B1678"/>
      <c r="C1678"/>
      <c r="D1678"/>
    </row>
    <row r="1679" spans="1:4" x14ac:dyDescent="0.2">
      <c r="A1679"/>
      <c r="B1679"/>
      <c r="C1679"/>
      <c r="D1679"/>
    </row>
    <row r="1680" spans="1:4" x14ac:dyDescent="0.2">
      <c r="A1680"/>
      <c r="B1680"/>
      <c r="C1680"/>
      <c r="D1680"/>
    </row>
    <row r="1681" spans="1:4" x14ac:dyDescent="0.2">
      <c r="A1681"/>
      <c r="B1681"/>
      <c r="C1681"/>
      <c r="D1681"/>
    </row>
    <row r="1682" spans="1:4" x14ac:dyDescent="0.2">
      <c r="A1682"/>
      <c r="B1682"/>
      <c r="C1682"/>
      <c r="D1682"/>
    </row>
    <row r="1683" spans="1:4" x14ac:dyDescent="0.2">
      <c r="A1683"/>
      <c r="B1683"/>
      <c r="C1683"/>
      <c r="D1683"/>
    </row>
    <row r="1684" spans="1:4" x14ac:dyDescent="0.2">
      <c r="A1684"/>
      <c r="B1684"/>
      <c r="C1684"/>
      <c r="D1684"/>
    </row>
    <row r="1685" spans="1:4" x14ac:dyDescent="0.2">
      <c r="A1685"/>
      <c r="B1685"/>
      <c r="C1685"/>
      <c r="D1685"/>
    </row>
    <row r="1686" spans="1:4" x14ac:dyDescent="0.2">
      <c r="A1686"/>
      <c r="B1686"/>
      <c r="C1686"/>
      <c r="D1686"/>
    </row>
    <row r="1687" spans="1:4" x14ac:dyDescent="0.2">
      <c r="A1687"/>
      <c r="B1687"/>
      <c r="C1687"/>
      <c r="D1687"/>
    </row>
    <row r="1688" spans="1:4" x14ac:dyDescent="0.2">
      <c r="A1688"/>
      <c r="B1688"/>
      <c r="C1688"/>
      <c r="D1688"/>
    </row>
    <row r="1689" spans="1:4" x14ac:dyDescent="0.2">
      <c r="A1689"/>
      <c r="B1689"/>
      <c r="C1689"/>
      <c r="D1689"/>
    </row>
    <row r="1690" spans="1:4" x14ac:dyDescent="0.2">
      <c r="A1690"/>
      <c r="B1690"/>
      <c r="C1690"/>
      <c r="D1690"/>
    </row>
    <row r="1691" spans="1:4" x14ac:dyDescent="0.2">
      <c r="A1691"/>
      <c r="B1691"/>
      <c r="C1691"/>
      <c r="D1691"/>
    </row>
    <row r="1692" spans="1:4" x14ac:dyDescent="0.2">
      <c r="A1692"/>
      <c r="B1692"/>
      <c r="C1692"/>
      <c r="D1692"/>
    </row>
    <row r="1693" spans="1:4" x14ac:dyDescent="0.2">
      <c r="A1693"/>
      <c r="B1693"/>
      <c r="C1693"/>
      <c r="D1693"/>
    </row>
    <row r="1694" spans="1:4" x14ac:dyDescent="0.2">
      <c r="A1694"/>
      <c r="B1694"/>
      <c r="C1694"/>
      <c r="D1694"/>
    </row>
    <row r="1695" spans="1:4" x14ac:dyDescent="0.2">
      <c r="A1695"/>
      <c r="B1695"/>
      <c r="C1695"/>
      <c r="D1695"/>
    </row>
    <row r="1696" spans="1:4" x14ac:dyDescent="0.2">
      <c r="A1696"/>
      <c r="B1696"/>
      <c r="C1696"/>
      <c r="D1696"/>
    </row>
    <row r="1697" spans="1:4" x14ac:dyDescent="0.2">
      <c r="A1697"/>
      <c r="B1697"/>
      <c r="C1697"/>
      <c r="D1697"/>
    </row>
    <row r="1698" spans="1:4" x14ac:dyDescent="0.2">
      <c r="A1698"/>
      <c r="B1698"/>
      <c r="C1698"/>
      <c r="D1698"/>
    </row>
    <row r="1699" spans="1:4" x14ac:dyDescent="0.2">
      <c r="A1699"/>
      <c r="B1699"/>
      <c r="C1699"/>
      <c r="D1699"/>
    </row>
    <row r="1700" spans="1:4" x14ac:dyDescent="0.2">
      <c r="A1700"/>
      <c r="B1700"/>
      <c r="C1700"/>
      <c r="D1700"/>
    </row>
    <row r="1701" spans="1:4" x14ac:dyDescent="0.2">
      <c r="A1701"/>
      <c r="B1701"/>
      <c r="C1701"/>
      <c r="D1701"/>
    </row>
    <row r="1702" spans="1:4" x14ac:dyDescent="0.2">
      <c r="A1702"/>
      <c r="B1702"/>
      <c r="C1702"/>
      <c r="D1702"/>
    </row>
    <row r="1703" spans="1:4" x14ac:dyDescent="0.2">
      <c r="A1703"/>
      <c r="B1703"/>
      <c r="C1703"/>
      <c r="D1703"/>
    </row>
    <row r="1704" spans="1:4" x14ac:dyDescent="0.2">
      <c r="A1704"/>
      <c r="B1704"/>
      <c r="C1704"/>
      <c r="D1704"/>
    </row>
    <row r="1705" spans="1:4" x14ac:dyDescent="0.2">
      <c r="A1705"/>
      <c r="B1705"/>
      <c r="C1705"/>
      <c r="D1705"/>
    </row>
    <row r="1706" spans="1:4" x14ac:dyDescent="0.2">
      <c r="A1706"/>
      <c r="B1706"/>
      <c r="C1706"/>
      <c r="D1706"/>
    </row>
    <row r="1707" spans="1:4" x14ac:dyDescent="0.2">
      <c r="A1707"/>
      <c r="B1707"/>
      <c r="C1707"/>
      <c r="D1707"/>
    </row>
    <row r="1708" spans="1:4" x14ac:dyDescent="0.2">
      <c r="A1708"/>
      <c r="B1708"/>
      <c r="C1708"/>
      <c r="D1708"/>
    </row>
    <row r="1709" spans="1:4" x14ac:dyDescent="0.2">
      <c r="A1709"/>
      <c r="B1709"/>
      <c r="C1709"/>
      <c r="D1709"/>
    </row>
    <row r="1710" spans="1:4" x14ac:dyDescent="0.2">
      <c r="A1710"/>
      <c r="B1710"/>
      <c r="C1710"/>
      <c r="D1710"/>
    </row>
    <row r="1711" spans="1:4" x14ac:dyDescent="0.2">
      <c r="A1711"/>
      <c r="B1711"/>
      <c r="C1711"/>
      <c r="D1711"/>
    </row>
    <row r="1712" spans="1:4" x14ac:dyDescent="0.2">
      <c r="A1712"/>
      <c r="B1712"/>
      <c r="C1712"/>
      <c r="D1712"/>
    </row>
    <row r="1713" spans="1:4" x14ac:dyDescent="0.2">
      <c r="A1713"/>
      <c r="B1713"/>
      <c r="C1713"/>
      <c r="D1713"/>
    </row>
    <row r="1714" spans="1:4" x14ac:dyDescent="0.2">
      <c r="A1714"/>
      <c r="B1714"/>
      <c r="C1714"/>
      <c r="D1714"/>
    </row>
    <row r="1715" spans="1:4" x14ac:dyDescent="0.2">
      <c r="A1715"/>
      <c r="B1715"/>
      <c r="C1715"/>
      <c r="D1715"/>
    </row>
    <row r="1716" spans="1:4" x14ac:dyDescent="0.2">
      <c r="A1716"/>
      <c r="B1716"/>
      <c r="C1716"/>
      <c r="D1716"/>
    </row>
    <row r="1717" spans="1:4" x14ac:dyDescent="0.2">
      <c r="A1717"/>
      <c r="B1717"/>
      <c r="C1717"/>
      <c r="D1717"/>
    </row>
    <row r="1718" spans="1:4" x14ac:dyDescent="0.2">
      <c r="A1718"/>
      <c r="B1718"/>
      <c r="C1718"/>
      <c r="D1718"/>
    </row>
    <row r="1719" spans="1:4" x14ac:dyDescent="0.2">
      <c r="A1719"/>
      <c r="B1719"/>
      <c r="C1719"/>
      <c r="D1719"/>
    </row>
    <row r="1720" spans="1:4" x14ac:dyDescent="0.2">
      <c r="A1720"/>
      <c r="B1720"/>
      <c r="C1720"/>
      <c r="D1720"/>
    </row>
    <row r="1721" spans="1:4" x14ac:dyDescent="0.2">
      <c r="A1721"/>
      <c r="B1721"/>
      <c r="C1721"/>
      <c r="D1721"/>
    </row>
    <row r="1722" spans="1:4" x14ac:dyDescent="0.2">
      <c r="A1722"/>
      <c r="B1722"/>
      <c r="C1722"/>
      <c r="D1722"/>
    </row>
    <row r="1723" spans="1:4" x14ac:dyDescent="0.2">
      <c r="A1723"/>
      <c r="B1723"/>
      <c r="C1723"/>
      <c r="D1723"/>
    </row>
    <row r="1724" spans="1:4" x14ac:dyDescent="0.2">
      <c r="A1724"/>
      <c r="B1724"/>
      <c r="C1724"/>
      <c r="D1724"/>
    </row>
    <row r="1725" spans="1:4" x14ac:dyDescent="0.2">
      <c r="A1725"/>
      <c r="B1725"/>
      <c r="C1725"/>
      <c r="D1725"/>
    </row>
    <row r="1726" spans="1:4" x14ac:dyDescent="0.2">
      <c r="A1726"/>
      <c r="B1726"/>
      <c r="C1726"/>
      <c r="D1726"/>
    </row>
    <row r="1727" spans="1:4" x14ac:dyDescent="0.2">
      <c r="A1727"/>
      <c r="B1727"/>
      <c r="C1727"/>
      <c r="D1727"/>
    </row>
    <row r="1728" spans="1:4" x14ac:dyDescent="0.2">
      <c r="A1728"/>
      <c r="B1728"/>
      <c r="C1728"/>
      <c r="D1728"/>
    </row>
    <row r="1729" spans="1:4" x14ac:dyDescent="0.2">
      <c r="A1729"/>
      <c r="B1729"/>
      <c r="C1729"/>
      <c r="D1729"/>
    </row>
    <row r="1730" spans="1:4" x14ac:dyDescent="0.2">
      <c r="A1730"/>
      <c r="B1730"/>
      <c r="C1730"/>
      <c r="D1730"/>
    </row>
    <row r="1731" spans="1:4" x14ac:dyDescent="0.2">
      <c r="A1731"/>
      <c r="B1731"/>
      <c r="C1731"/>
      <c r="D1731"/>
    </row>
    <row r="1732" spans="1:4" x14ac:dyDescent="0.2">
      <c r="A1732"/>
      <c r="B1732"/>
      <c r="C1732"/>
      <c r="D1732"/>
    </row>
    <row r="1733" spans="1:4" x14ac:dyDescent="0.2">
      <c r="A1733"/>
      <c r="B1733"/>
      <c r="C1733"/>
      <c r="D1733"/>
    </row>
    <row r="1734" spans="1:4" x14ac:dyDescent="0.2">
      <c r="A1734"/>
      <c r="B1734"/>
      <c r="C1734"/>
      <c r="D1734"/>
    </row>
    <row r="1735" spans="1:4" x14ac:dyDescent="0.2">
      <c r="A1735"/>
      <c r="B1735"/>
      <c r="C1735"/>
      <c r="D1735"/>
    </row>
    <row r="1736" spans="1:4" x14ac:dyDescent="0.2">
      <c r="A1736"/>
      <c r="B1736"/>
      <c r="C1736"/>
      <c r="D1736"/>
    </row>
    <row r="1737" spans="1:4" x14ac:dyDescent="0.2">
      <c r="A1737"/>
      <c r="B1737"/>
      <c r="C1737"/>
      <c r="D1737"/>
    </row>
    <row r="1738" spans="1:4" x14ac:dyDescent="0.2">
      <c r="A1738"/>
      <c r="B1738"/>
      <c r="C1738"/>
      <c r="D1738"/>
    </row>
    <row r="1739" spans="1:4" x14ac:dyDescent="0.2">
      <c r="A1739"/>
      <c r="B1739"/>
      <c r="C1739"/>
      <c r="D1739"/>
    </row>
    <row r="1740" spans="1:4" x14ac:dyDescent="0.2">
      <c r="A1740"/>
      <c r="B1740"/>
      <c r="C1740"/>
      <c r="D1740"/>
    </row>
    <row r="1741" spans="1:4" x14ac:dyDescent="0.2">
      <c r="A1741"/>
      <c r="B1741"/>
      <c r="C1741"/>
      <c r="D1741"/>
    </row>
    <row r="1742" spans="1:4" x14ac:dyDescent="0.2">
      <c r="A1742"/>
      <c r="B1742"/>
      <c r="C1742"/>
      <c r="D1742"/>
    </row>
    <row r="1743" spans="1:4" x14ac:dyDescent="0.2">
      <c r="A1743"/>
      <c r="B1743"/>
      <c r="C1743"/>
      <c r="D1743"/>
    </row>
    <row r="1744" spans="1:4" x14ac:dyDescent="0.2">
      <c r="A1744"/>
      <c r="B1744"/>
      <c r="C1744"/>
      <c r="D1744"/>
    </row>
    <row r="1745" spans="1:4" x14ac:dyDescent="0.2">
      <c r="A1745"/>
      <c r="B1745"/>
      <c r="C1745"/>
      <c r="D1745"/>
    </row>
    <row r="1746" spans="1:4" x14ac:dyDescent="0.2">
      <c r="A1746"/>
      <c r="B1746"/>
      <c r="C1746"/>
      <c r="D1746"/>
    </row>
    <row r="1747" spans="1:4" x14ac:dyDescent="0.2">
      <c r="A1747"/>
      <c r="B1747"/>
      <c r="C1747"/>
      <c r="D1747"/>
    </row>
    <row r="1748" spans="1:4" x14ac:dyDescent="0.2">
      <c r="A1748"/>
      <c r="B1748"/>
      <c r="C1748"/>
      <c r="D1748"/>
    </row>
    <row r="1749" spans="1:4" x14ac:dyDescent="0.2">
      <c r="A1749"/>
      <c r="B1749"/>
      <c r="C1749"/>
      <c r="D1749"/>
    </row>
    <row r="1750" spans="1:4" x14ac:dyDescent="0.2">
      <c r="A1750"/>
      <c r="B1750"/>
      <c r="C1750"/>
      <c r="D1750"/>
    </row>
    <row r="1751" spans="1:4" x14ac:dyDescent="0.2">
      <c r="A1751"/>
      <c r="B1751"/>
      <c r="C1751"/>
      <c r="D1751"/>
    </row>
    <row r="1752" spans="1:4" x14ac:dyDescent="0.2">
      <c r="A1752"/>
      <c r="B1752"/>
      <c r="C1752"/>
      <c r="D1752"/>
    </row>
    <row r="1753" spans="1:4" x14ac:dyDescent="0.2">
      <c r="A1753"/>
      <c r="B1753"/>
      <c r="C1753"/>
      <c r="D1753"/>
    </row>
    <row r="1754" spans="1:4" x14ac:dyDescent="0.2">
      <c r="A1754"/>
      <c r="B1754"/>
      <c r="C1754"/>
      <c r="D1754"/>
    </row>
    <row r="1755" spans="1:4" x14ac:dyDescent="0.2">
      <c r="A1755"/>
      <c r="B1755"/>
      <c r="C1755"/>
      <c r="D1755"/>
    </row>
    <row r="1756" spans="1:4" x14ac:dyDescent="0.2">
      <c r="A1756"/>
      <c r="B1756"/>
      <c r="C1756"/>
      <c r="D1756"/>
    </row>
    <row r="1757" spans="1:4" x14ac:dyDescent="0.2">
      <c r="A1757"/>
      <c r="B1757"/>
      <c r="C1757"/>
      <c r="D1757"/>
    </row>
    <row r="1758" spans="1:4" x14ac:dyDescent="0.2">
      <c r="A1758"/>
      <c r="B1758"/>
      <c r="C1758"/>
      <c r="D1758"/>
    </row>
    <row r="1759" spans="1:4" x14ac:dyDescent="0.2">
      <c r="A1759"/>
      <c r="B1759"/>
      <c r="C1759"/>
      <c r="D1759"/>
    </row>
    <row r="1760" spans="1:4" x14ac:dyDescent="0.2">
      <c r="A1760"/>
      <c r="B1760"/>
      <c r="C1760"/>
      <c r="D1760"/>
    </row>
    <row r="1761" spans="1:4" x14ac:dyDescent="0.2">
      <c r="A1761"/>
      <c r="B1761"/>
      <c r="C1761"/>
      <c r="D1761"/>
    </row>
    <row r="1762" spans="1:4" x14ac:dyDescent="0.2">
      <c r="A1762"/>
      <c r="B1762"/>
      <c r="C1762"/>
      <c r="D1762"/>
    </row>
    <row r="1763" spans="1:4" x14ac:dyDescent="0.2">
      <c r="A1763"/>
      <c r="B1763"/>
      <c r="C1763"/>
      <c r="D1763"/>
    </row>
    <row r="1764" spans="1:4" x14ac:dyDescent="0.2">
      <c r="A1764"/>
      <c r="B1764"/>
      <c r="C1764"/>
      <c r="D1764"/>
    </row>
    <row r="1765" spans="1:4" x14ac:dyDescent="0.2">
      <c r="A1765"/>
      <c r="B1765"/>
      <c r="C1765"/>
      <c r="D1765"/>
    </row>
    <row r="1766" spans="1:4" x14ac:dyDescent="0.2">
      <c r="A1766"/>
      <c r="B1766"/>
      <c r="C1766"/>
      <c r="D1766"/>
    </row>
    <row r="1767" spans="1:4" x14ac:dyDescent="0.2">
      <c r="A1767"/>
      <c r="B1767"/>
      <c r="C1767"/>
      <c r="D1767"/>
    </row>
    <row r="1768" spans="1:4" x14ac:dyDescent="0.2">
      <c r="A1768"/>
      <c r="B1768"/>
      <c r="C1768"/>
      <c r="D1768"/>
    </row>
    <row r="1769" spans="1:4" x14ac:dyDescent="0.2">
      <c r="A1769"/>
      <c r="B1769"/>
      <c r="C1769"/>
      <c r="D1769"/>
    </row>
    <row r="1770" spans="1:4" x14ac:dyDescent="0.2">
      <c r="A1770"/>
      <c r="B1770"/>
      <c r="C1770"/>
      <c r="D1770"/>
    </row>
    <row r="1771" spans="1:4" x14ac:dyDescent="0.2">
      <c r="A1771"/>
      <c r="B1771"/>
      <c r="C1771"/>
      <c r="D1771"/>
    </row>
    <row r="1772" spans="1:4" x14ac:dyDescent="0.2">
      <c r="A1772"/>
      <c r="B1772"/>
      <c r="C1772"/>
      <c r="D1772"/>
    </row>
    <row r="1773" spans="1:4" x14ac:dyDescent="0.2">
      <c r="A1773"/>
      <c r="B1773"/>
      <c r="C1773"/>
      <c r="D1773"/>
    </row>
    <row r="1774" spans="1:4" x14ac:dyDescent="0.2">
      <c r="A1774"/>
      <c r="B1774"/>
      <c r="C1774"/>
      <c r="D1774"/>
    </row>
    <row r="1775" spans="1:4" x14ac:dyDescent="0.2">
      <c r="A1775"/>
      <c r="B1775"/>
      <c r="C1775"/>
      <c r="D1775"/>
    </row>
    <row r="1776" spans="1:4" x14ac:dyDescent="0.2">
      <c r="A1776"/>
      <c r="B1776"/>
      <c r="C1776"/>
      <c r="D1776"/>
    </row>
    <row r="1777" spans="1:4" x14ac:dyDescent="0.2">
      <c r="A1777"/>
      <c r="B1777"/>
      <c r="C1777"/>
      <c r="D1777"/>
    </row>
    <row r="1778" spans="1:4" x14ac:dyDescent="0.2">
      <c r="A1778"/>
      <c r="B1778"/>
      <c r="C1778"/>
      <c r="D1778"/>
    </row>
    <row r="1779" spans="1:4" x14ac:dyDescent="0.2">
      <c r="A1779"/>
      <c r="B1779"/>
      <c r="C1779"/>
      <c r="D1779"/>
    </row>
    <row r="1780" spans="1:4" x14ac:dyDescent="0.2">
      <c r="A1780"/>
      <c r="B1780"/>
      <c r="C1780"/>
      <c r="D1780"/>
    </row>
    <row r="1781" spans="1:4" x14ac:dyDescent="0.2">
      <c r="A1781"/>
      <c r="B1781"/>
      <c r="C1781"/>
      <c r="D1781"/>
    </row>
    <row r="1782" spans="1:4" x14ac:dyDescent="0.2">
      <c r="A1782"/>
      <c r="B1782"/>
      <c r="C1782"/>
      <c r="D1782"/>
    </row>
    <row r="1783" spans="1:4" x14ac:dyDescent="0.2">
      <c r="A1783"/>
      <c r="B1783"/>
      <c r="C1783"/>
      <c r="D1783"/>
    </row>
    <row r="1784" spans="1:4" x14ac:dyDescent="0.2">
      <c r="A1784"/>
      <c r="B1784"/>
      <c r="C1784"/>
      <c r="D1784"/>
    </row>
    <row r="1785" spans="1:4" x14ac:dyDescent="0.2">
      <c r="A1785"/>
      <c r="B1785"/>
      <c r="C1785"/>
      <c r="D1785"/>
    </row>
    <row r="1786" spans="1:4" x14ac:dyDescent="0.2">
      <c r="A1786"/>
      <c r="B1786"/>
      <c r="C1786"/>
      <c r="D1786"/>
    </row>
    <row r="1787" spans="1:4" x14ac:dyDescent="0.2">
      <c r="A1787"/>
      <c r="B1787"/>
      <c r="C1787"/>
      <c r="D1787"/>
    </row>
    <row r="1788" spans="1:4" x14ac:dyDescent="0.2">
      <c r="A1788"/>
      <c r="B1788"/>
      <c r="C1788"/>
      <c r="D1788"/>
    </row>
    <row r="1789" spans="1:4" x14ac:dyDescent="0.2">
      <c r="A1789"/>
      <c r="B1789"/>
      <c r="C1789"/>
      <c r="D1789"/>
    </row>
    <row r="1790" spans="1:4" x14ac:dyDescent="0.2">
      <c r="A1790"/>
      <c r="B1790"/>
      <c r="C1790"/>
      <c r="D1790"/>
    </row>
    <row r="1791" spans="1:4" x14ac:dyDescent="0.2">
      <c r="A1791"/>
      <c r="B1791"/>
      <c r="C1791"/>
      <c r="D1791"/>
    </row>
    <row r="1792" spans="1:4" x14ac:dyDescent="0.2">
      <c r="A1792"/>
      <c r="B1792"/>
      <c r="C1792"/>
      <c r="D1792"/>
    </row>
    <row r="1793" spans="1:4" x14ac:dyDescent="0.2">
      <c r="A1793"/>
      <c r="B1793"/>
      <c r="C1793"/>
      <c r="D1793"/>
    </row>
    <row r="1794" spans="1:4" x14ac:dyDescent="0.2">
      <c r="A1794"/>
      <c r="B1794"/>
      <c r="C1794"/>
      <c r="D1794"/>
    </row>
    <row r="1795" spans="1:4" x14ac:dyDescent="0.2">
      <c r="A1795"/>
      <c r="B1795"/>
      <c r="C1795"/>
      <c r="D1795"/>
    </row>
    <row r="1796" spans="1:4" x14ac:dyDescent="0.2">
      <c r="A1796"/>
      <c r="B1796"/>
      <c r="C1796"/>
      <c r="D1796"/>
    </row>
    <row r="1797" spans="1:4" x14ac:dyDescent="0.2">
      <c r="A1797"/>
      <c r="B1797"/>
      <c r="C1797"/>
      <c r="D1797"/>
    </row>
    <row r="1798" spans="1:4" x14ac:dyDescent="0.2">
      <c r="A1798"/>
      <c r="B1798"/>
      <c r="C1798"/>
      <c r="D1798"/>
    </row>
    <row r="1799" spans="1:4" x14ac:dyDescent="0.2">
      <c r="A1799"/>
      <c r="B1799"/>
      <c r="C1799"/>
      <c r="D1799"/>
    </row>
    <row r="1800" spans="1:4" x14ac:dyDescent="0.2">
      <c r="A1800"/>
      <c r="B1800"/>
      <c r="C1800"/>
      <c r="D1800"/>
    </row>
    <row r="1801" spans="1:4" x14ac:dyDescent="0.2">
      <c r="A1801"/>
      <c r="B1801"/>
      <c r="C1801"/>
      <c r="D1801"/>
    </row>
    <row r="1802" spans="1:4" x14ac:dyDescent="0.2">
      <c r="A1802"/>
      <c r="B1802"/>
      <c r="C1802"/>
      <c r="D1802"/>
    </row>
    <row r="1803" spans="1:4" x14ac:dyDescent="0.2">
      <c r="A1803"/>
      <c r="B1803"/>
      <c r="C1803"/>
      <c r="D1803"/>
    </row>
    <row r="1804" spans="1:4" x14ac:dyDescent="0.2">
      <c r="A1804"/>
      <c r="B1804"/>
      <c r="C1804"/>
      <c r="D1804"/>
    </row>
    <row r="1805" spans="1:4" x14ac:dyDescent="0.2">
      <c r="A1805"/>
      <c r="B1805"/>
      <c r="C1805"/>
      <c r="D1805"/>
    </row>
    <row r="1806" spans="1:4" x14ac:dyDescent="0.2">
      <c r="A1806"/>
      <c r="B1806"/>
      <c r="C1806"/>
      <c r="D1806"/>
    </row>
    <row r="1807" spans="1:4" x14ac:dyDescent="0.2">
      <c r="A1807"/>
      <c r="B1807"/>
      <c r="C1807"/>
      <c r="D1807"/>
    </row>
    <row r="1808" spans="1:4" x14ac:dyDescent="0.2">
      <c r="A1808"/>
      <c r="B1808"/>
      <c r="C1808"/>
      <c r="D1808"/>
    </row>
    <row r="1809" spans="1:4" x14ac:dyDescent="0.2">
      <c r="A1809"/>
      <c r="B1809"/>
      <c r="C1809"/>
      <c r="D1809"/>
    </row>
    <row r="1810" spans="1:4" x14ac:dyDescent="0.2">
      <c r="A1810"/>
      <c r="B1810"/>
      <c r="C1810"/>
      <c r="D1810"/>
    </row>
    <row r="1811" spans="1:4" x14ac:dyDescent="0.2">
      <c r="A1811"/>
      <c r="B1811"/>
      <c r="C1811"/>
      <c r="D1811"/>
    </row>
    <row r="1812" spans="1:4" x14ac:dyDescent="0.2">
      <c r="A1812"/>
      <c r="B1812"/>
      <c r="C1812"/>
      <c r="D1812"/>
    </row>
    <row r="1813" spans="1:4" x14ac:dyDescent="0.2">
      <c r="A1813"/>
      <c r="B1813"/>
      <c r="C1813"/>
      <c r="D1813"/>
    </row>
    <row r="1814" spans="1:4" x14ac:dyDescent="0.2">
      <c r="A1814"/>
      <c r="B1814"/>
      <c r="C1814"/>
      <c r="D1814"/>
    </row>
    <row r="1815" spans="1:4" x14ac:dyDescent="0.2">
      <c r="A1815"/>
      <c r="B1815"/>
      <c r="C1815"/>
      <c r="D1815"/>
    </row>
    <row r="1816" spans="1:4" x14ac:dyDescent="0.2">
      <c r="A1816"/>
      <c r="B1816"/>
      <c r="C1816"/>
      <c r="D1816"/>
    </row>
    <row r="1817" spans="1:4" x14ac:dyDescent="0.2">
      <c r="A1817"/>
      <c r="B1817"/>
      <c r="C1817"/>
      <c r="D1817"/>
    </row>
    <row r="1818" spans="1:4" x14ac:dyDescent="0.2">
      <c r="A1818"/>
      <c r="B1818"/>
      <c r="C1818"/>
      <c r="D1818"/>
    </row>
    <row r="1819" spans="1:4" x14ac:dyDescent="0.2">
      <c r="A1819"/>
      <c r="B1819"/>
      <c r="C1819"/>
      <c r="D1819"/>
    </row>
    <row r="1820" spans="1:4" x14ac:dyDescent="0.2">
      <c r="A1820"/>
      <c r="B1820"/>
      <c r="C1820"/>
      <c r="D1820"/>
    </row>
    <row r="1821" spans="1:4" x14ac:dyDescent="0.2">
      <c r="A1821"/>
      <c r="B1821"/>
      <c r="C1821"/>
      <c r="D1821"/>
    </row>
    <row r="1822" spans="1:4" x14ac:dyDescent="0.2">
      <c r="A1822"/>
      <c r="B1822"/>
      <c r="C1822"/>
      <c r="D1822"/>
    </row>
    <row r="1823" spans="1:4" x14ac:dyDescent="0.2">
      <c r="A1823"/>
      <c r="B1823"/>
      <c r="C1823"/>
      <c r="D1823"/>
    </row>
    <row r="1824" spans="1:4" x14ac:dyDescent="0.2">
      <c r="A1824"/>
      <c r="B1824"/>
      <c r="C1824"/>
      <c r="D1824"/>
    </row>
    <row r="1825" spans="1:4" x14ac:dyDescent="0.2">
      <c r="A1825"/>
      <c r="B1825"/>
      <c r="C1825"/>
      <c r="D1825"/>
    </row>
    <row r="1826" spans="1:4" x14ac:dyDescent="0.2">
      <c r="A1826"/>
      <c r="B1826"/>
      <c r="C1826"/>
      <c r="D1826"/>
    </row>
    <row r="1827" spans="1:4" x14ac:dyDescent="0.2">
      <c r="A1827"/>
      <c r="B1827"/>
      <c r="C1827"/>
      <c r="D1827"/>
    </row>
    <row r="1828" spans="1:4" x14ac:dyDescent="0.2">
      <c r="A1828"/>
      <c r="B1828"/>
      <c r="C1828"/>
      <c r="D1828"/>
    </row>
    <row r="1829" spans="1:4" x14ac:dyDescent="0.2">
      <c r="A1829"/>
      <c r="B1829"/>
      <c r="C1829"/>
      <c r="D1829"/>
    </row>
    <row r="1830" spans="1:4" x14ac:dyDescent="0.2">
      <c r="A1830"/>
      <c r="B1830"/>
      <c r="C1830"/>
      <c r="D1830"/>
    </row>
    <row r="1831" spans="1:4" x14ac:dyDescent="0.2">
      <c r="A1831"/>
      <c r="B1831"/>
      <c r="C1831"/>
      <c r="D1831"/>
    </row>
    <row r="1832" spans="1:4" x14ac:dyDescent="0.2">
      <c r="A1832"/>
      <c r="B1832"/>
      <c r="C1832"/>
      <c r="D1832"/>
    </row>
    <row r="1833" spans="1:4" x14ac:dyDescent="0.2">
      <c r="A1833"/>
      <c r="B1833"/>
      <c r="C1833"/>
      <c r="D1833"/>
    </row>
    <row r="1834" spans="1:4" x14ac:dyDescent="0.2">
      <c r="A1834"/>
      <c r="B1834"/>
      <c r="C1834"/>
      <c r="D1834"/>
    </row>
    <row r="1835" spans="1:4" x14ac:dyDescent="0.2">
      <c r="A1835"/>
      <c r="B1835"/>
      <c r="C1835"/>
      <c r="D1835"/>
    </row>
    <row r="1836" spans="1:4" x14ac:dyDescent="0.2">
      <c r="A1836"/>
      <c r="B1836"/>
      <c r="C1836"/>
      <c r="D1836"/>
    </row>
    <row r="1837" spans="1:4" x14ac:dyDescent="0.2">
      <c r="A1837"/>
      <c r="B1837"/>
      <c r="C1837"/>
      <c r="D1837"/>
    </row>
    <row r="1838" spans="1:4" x14ac:dyDescent="0.2">
      <c r="A1838"/>
      <c r="B1838"/>
      <c r="C1838"/>
      <c r="D1838"/>
    </row>
    <row r="1839" spans="1:4" x14ac:dyDescent="0.2">
      <c r="A1839"/>
      <c r="B1839"/>
      <c r="C1839"/>
      <c r="D1839"/>
    </row>
    <row r="1840" spans="1:4" x14ac:dyDescent="0.2">
      <c r="A1840"/>
      <c r="B1840"/>
      <c r="C1840"/>
      <c r="D1840"/>
    </row>
    <row r="1841" spans="1:4" x14ac:dyDescent="0.2">
      <c r="A1841"/>
      <c r="B1841"/>
      <c r="C1841"/>
      <c r="D1841"/>
    </row>
    <row r="1842" spans="1:4" x14ac:dyDescent="0.2">
      <c r="A1842"/>
      <c r="B1842"/>
      <c r="C1842"/>
      <c r="D1842"/>
    </row>
    <row r="1843" spans="1:4" x14ac:dyDescent="0.2">
      <c r="A1843"/>
      <c r="B1843"/>
      <c r="C1843"/>
      <c r="D1843"/>
    </row>
    <row r="1844" spans="1:4" x14ac:dyDescent="0.2">
      <c r="A1844"/>
      <c r="B1844"/>
      <c r="C1844"/>
      <c r="D1844"/>
    </row>
    <row r="1845" spans="1:4" x14ac:dyDescent="0.2">
      <c r="A1845"/>
      <c r="B1845"/>
      <c r="C1845"/>
      <c r="D1845"/>
    </row>
    <row r="1846" spans="1:4" x14ac:dyDescent="0.2">
      <c r="A1846"/>
      <c r="B1846"/>
      <c r="C1846"/>
      <c r="D1846"/>
    </row>
    <row r="1847" spans="1:4" x14ac:dyDescent="0.2">
      <c r="A1847"/>
      <c r="B1847"/>
      <c r="C1847"/>
      <c r="D1847"/>
    </row>
    <row r="1848" spans="1:4" x14ac:dyDescent="0.2">
      <c r="A1848"/>
      <c r="B1848"/>
      <c r="C1848"/>
      <c r="D1848"/>
    </row>
    <row r="1849" spans="1:4" x14ac:dyDescent="0.2">
      <c r="A1849"/>
      <c r="B1849"/>
      <c r="C1849"/>
      <c r="D1849"/>
    </row>
    <row r="1850" spans="1:4" x14ac:dyDescent="0.2">
      <c r="A1850"/>
      <c r="B1850"/>
      <c r="C1850"/>
      <c r="D1850"/>
    </row>
    <row r="1851" spans="1:4" x14ac:dyDescent="0.2">
      <c r="A1851"/>
      <c r="B1851"/>
      <c r="C1851"/>
      <c r="D1851"/>
    </row>
    <row r="1852" spans="1:4" x14ac:dyDescent="0.2">
      <c r="A1852"/>
      <c r="B1852"/>
      <c r="C1852"/>
      <c r="D1852"/>
    </row>
    <row r="1853" spans="1:4" x14ac:dyDescent="0.2">
      <c r="A1853"/>
      <c r="B1853"/>
      <c r="C1853"/>
      <c r="D1853"/>
    </row>
    <row r="1854" spans="1:4" x14ac:dyDescent="0.2">
      <c r="A1854"/>
      <c r="B1854"/>
      <c r="C1854"/>
      <c r="D1854"/>
    </row>
    <row r="1855" spans="1:4" x14ac:dyDescent="0.2">
      <c r="A1855"/>
      <c r="B1855"/>
      <c r="C1855"/>
      <c r="D1855"/>
    </row>
    <row r="1856" spans="1:4" x14ac:dyDescent="0.2">
      <c r="A1856"/>
      <c r="B1856"/>
      <c r="C1856"/>
      <c r="D1856"/>
    </row>
    <row r="1857" spans="1:4" x14ac:dyDescent="0.2">
      <c r="A1857"/>
      <c r="B1857"/>
      <c r="C1857"/>
      <c r="D1857"/>
    </row>
    <row r="1858" spans="1:4" x14ac:dyDescent="0.2">
      <c r="A1858"/>
      <c r="B1858"/>
      <c r="C1858"/>
      <c r="D1858"/>
    </row>
    <row r="1859" spans="1:4" x14ac:dyDescent="0.2">
      <c r="A1859"/>
      <c r="B1859"/>
      <c r="C1859"/>
      <c r="D1859"/>
    </row>
    <row r="1860" spans="1:4" x14ac:dyDescent="0.2">
      <c r="A1860"/>
      <c r="B1860"/>
      <c r="C1860"/>
      <c r="D1860"/>
    </row>
    <row r="1861" spans="1:4" x14ac:dyDescent="0.2">
      <c r="A1861"/>
      <c r="B1861"/>
      <c r="C1861"/>
      <c r="D1861"/>
    </row>
    <row r="1862" spans="1:4" x14ac:dyDescent="0.2">
      <c r="A1862"/>
      <c r="B1862"/>
      <c r="C1862"/>
      <c r="D1862"/>
    </row>
    <row r="1863" spans="1:4" x14ac:dyDescent="0.2">
      <c r="A1863"/>
      <c r="B1863"/>
      <c r="C1863"/>
      <c r="D1863"/>
    </row>
    <row r="1864" spans="1:4" x14ac:dyDescent="0.2">
      <c r="A1864"/>
      <c r="B1864"/>
      <c r="C1864"/>
      <c r="D1864"/>
    </row>
    <row r="1865" spans="1:4" x14ac:dyDescent="0.2">
      <c r="A1865"/>
      <c r="B1865"/>
      <c r="C1865"/>
      <c r="D1865"/>
    </row>
    <row r="1866" spans="1:4" x14ac:dyDescent="0.2">
      <c r="A1866"/>
      <c r="B1866"/>
      <c r="C1866"/>
      <c r="D1866"/>
    </row>
    <row r="1867" spans="1:4" x14ac:dyDescent="0.2">
      <c r="A1867"/>
      <c r="B1867"/>
      <c r="C1867"/>
      <c r="D1867"/>
    </row>
    <row r="1868" spans="1:4" x14ac:dyDescent="0.2">
      <c r="A1868"/>
      <c r="B1868"/>
      <c r="C1868"/>
      <c r="D1868"/>
    </row>
    <row r="1869" spans="1:4" x14ac:dyDescent="0.2">
      <c r="A1869"/>
      <c r="B1869"/>
      <c r="C1869"/>
      <c r="D1869"/>
    </row>
    <row r="1870" spans="1:4" x14ac:dyDescent="0.2">
      <c r="A1870"/>
      <c r="B1870"/>
      <c r="C1870"/>
      <c r="D1870"/>
    </row>
    <row r="1871" spans="1:4" x14ac:dyDescent="0.2">
      <c r="A1871"/>
      <c r="B1871"/>
      <c r="C1871"/>
      <c r="D1871"/>
    </row>
    <row r="1872" spans="1:4" x14ac:dyDescent="0.2">
      <c r="A1872"/>
      <c r="B1872"/>
      <c r="C1872"/>
      <c r="D1872"/>
    </row>
    <row r="1873" spans="1:4" x14ac:dyDescent="0.2">
      <c r="A1873"/>
      <c r="B1873"/>
      <c r="C1873"/>
      <c r="D1873"/>
    </row>
    <row r="1874" spans="1:4" x14ac:dyDescent="0.2">
      <c r="A1874"/>
      <c r="B1874"/>
      <c r="C1874"/>
      <c r="D1874"/>
    </row>
    <row r="1875" spans="1:4" x14ac:dyDescent="0.2">
      <c r="A1875"/>
      <c r="B1875"/>
      <c r="C1875"/>
      <c r="D1875"/>
    </row>
    <row r="1876" spans="1:4" x14ac:dyDescent="0.2">
      <c r="A1876"/>
      <c r="B1876"/>
      <c r="C1876"/>
      <c r="D1876"/>
    </row>
    <row r="1877" spans="1:4" x14ac:dyDescent="0.2">
      <c r="A1877"/>
      <c r="B1877"/>
      <c r="C1877"/>
      <c r="D1877"/>
    </row>
    <row r="1878" spans="1:4" x14ac:dyDescent="0.2">
      <c r="A1878"/>
      <c r="B1878"/>
      <c r="C1878"/>
      <c r="D1878"/>
    </row>
    <row r="1879" spans="1:4" x14ac:dyDescent="0.2">
      <c r="A1879"/>
      <c r="B1879"/>
      <c r="C1879"/>
      <c r="D1879"/>
    </row>
    <row r="1880" spans="1:4" x14ac:dyDescent="0.2">
      <c r="A1880"/>
      <c r="B1880"/>
      <c r="C1880"/>
      <c r="D1880"/>
    </row>
    <row r="1881" spans="1:4" x14ac:dyDescent="0.2">
      <c r="A1881"/>
      <c r="B1881"/>
      <c r="C1881"/>
      <c r="D1881"/>
    </row>
    <row r="1882" spans="1:4" x14ac:dyDescent="0.2">
      <c r="A1882"/>
      <c r="B1882"/>
      <c r="C1882"/>
      <c r="D1882"/>
    </row>
    <row r="1883" spans="1:4" x14ac:dyDescent="0.2">
      <c r="A1883"/>
      <c r="B1883"/>
      <c r="C1883"/>
      <c r="D1883"/>
    </row>
    <row r="1884" spans="1:4" x14ac:dyDescent="0.2">
      <c r="A1884"/>
      <c r="B1884"/>
      <c r="C1884"/>
      <c r="D1884"/>
    </row>
    <row r="1885" spans="1:4" x14ac:dyDescent="0.2">
      <c r="A1885"/>
      <c r="B1885"/>
      <c r="C1885"/>
      <c r="D1885"/>
    </row>
    <row r="1886" spans="1:4" x14ac:dyDescent="0.2">
      <c r="A1886"/>
      <c r="B1886"/>
      <c r="C1886"/>
      <c r="D1886"/>
    </row>
    <row r="1887" spans="1:4" x14ac:dyDescent="0.2">
      <c r="A1887"/>
      <c r="B1887"/>
      <c r="C1887"/>
      <c r="D1887"/>
    </row>
    <row r="1888" spans="1:4" x14ac:dyDescent="0.2">
      <c r="A1888"/>
      <c r="B1888"/>
      <c r="C1888"/>
      <c r="D1888"/>
    </row>
    <row r="1889" spans="1:4" x14ac:dyDescent="0.2">
      <c r="A1889"/>
      <c r="B1889"/>
      <c r="C1889"/>
      <c r="D1889"/>
    </row>
    <row r="1890" spans="1:4" x14ac:dyDescent="0.2">
      <c r="A1890"/>
      <c r="B1890"/>
      <c r="C1890"/>
      <c r="D1890"/>
    </row>
    <row r="1891" spans="1:4" x14ac:dyDescent="0.2">
      <c r="A1891"/>
      <c r="B1891"/>
      <c r="C1891"/>
      <c r="D1891"/>
    </row>
    <row r="1892" spans="1:4" x14ac:dyDescent="0.2">
      <c r="A1892"/>
      <c r="B1892"/>
      <c r="C1892"/>
      <c r="D1892"/>
    </row>
    <row r="1893" spans="1:4" x14ac:dyDescent="0.2">
      <c r="A1893"/>
      <c r="B1893"/>
      <c r="C1893"/>
      <c r="D1893"/>
    </row>
    <row r="1894" spans="1:4" x14ac:dyDescent="0.2">
      <c r="A1894"/>
      <c r="B1894"/>
      <c r="C1894"/>
      <c r="D1894"/>
    </row>
    <row r="1895" spans="1:4" x14ac:dyDescent="0.2">
      <c r="A1895"/>
      <c r="B1895"/>
      <c r="C1895"/>
      <c r="D1895"/>
    </row>
    <row r="1896" spans="1:4" x14ac:dyDescent="0.2">
      <c r="A1896"/>
      <c r="B1896"/>
      <c r="C1896"/>
      <c r="D1896"/>
    </row>
    <row r="1897" spans="1:4" x14ac:dyDescent="0.2">
      <c r="A1897"/>
      <c r="B1897"/>
      <c r="C1897"/>
      <c r="D1897"/>
    </row>
    <row r="1898" spans="1:4" x14ac:dyDescent="0.2">
      <c r="A1898"/>
      <c r="B1898"/>
      <c r="C1898"/>
      <c r="D1898"/>
    </row>
    <row r="1899" spans="1:4" x14ac:dyDescent="0.2">
      <c r="A1899"/>
      <c r="B1899"/>
      <c r="C1899"/>
      <c r="D1899"/>
    </row>
    <row r="1900" spans="1:4" x14ac:dyDescent="0.2">
      <c r="A1900"/>
      <c r="B1900"/>
      <c r="C1900"/>
      <c r="D1900"/>
    </row>
    <row r="1901" spans="1:4" x14ac:dyDescent="0.2">
      <c r="A1901"/>
      <c r="B1901"/>
      <c r="C1901"/>
      <c r="D1901"/>
    </row>
    <row r="1902" spans="1:4" x14ac:dyDescent="0.2">
      <c r="A1902"/>
      <c r="B1902"/>
      <c r="C1902"/>
      <c r="D1902"/>
    </row>
    <row r="1903" spans="1:4" x14ac:dyDescent="0.2">
      <c r="A1903"/>
      <c r="B1903"/>
      <c r="C1903"/>
      <c r="D1903"/>
    </row>
    <row r="1904" spans="1:4" x14ac:dyDescent="0.2">
      <c r="A1904"/>
      <c r="B1904"/>
      <c r="C1904"/>
      <c r="D1904"/>
    </row>
    <row r="1905" spans="1:4" x14ac:dyDescent="0.2">
      <c r="A1905"/>
      <c r="B1905"/>
      <c r="C1905"/>
      <c r="D1905"/>
    </row>
    <row r="1906" spans="1:4" x14ac:dyDescent="0.2">
      <c r="A1906"/>
      <c r="B1906"/>
      <c r="C1906"/>
      <c r="D1906"/>
    </row>
    <row r="1907" spans="1:4" x14ac:dyDescent="0.2">
      <c r="A1907"/>
      <c r="B1907"/>
      <c r="C1907"/>
      <c r="D1907"/>
    </row>
    <row r="1908" spans="1:4" x14ac:dyDescent="0.2">
      <c r="A1908"/>
      <c r="B1908"/>
      <c r="C1908"/>
      <c r="D1908"/>
    </row>
    <row r="1909" spans="1:4" x14ac:dyDescent="0.2">
      <c r="A1909"/>
      <c r="B1909"/>
      <c r="C1909"/>
      <c r="D1909"/>
    </row>
    <row r="1910" spans="1:4" x14ac:dyDescent="0.2">
      <c r="A1910"/>
      <c r="B1910"/>
      <c r="C1910"/>
      <c r="D1910"/>
    </row>
    <row r="1911" spans="1:4" x14ac:dyDescent="0.2">
      <c r="A1911"/>
      <c r="B1911"/>
      <c r="C1911"/>
      <c r="D1911"/>
    </row>
    <row r="1912" spans="1:4" x14ac:dyDescent="0.2">
      <c r="A1912"/>
      <c r="B1912"/>
      <c r="C1912"/>
      <c r="D1912"/>
    </row>
    <row r="1913" spans="1:4" x14ac:dyDescent="0.2">
      <c r="A1913"/>
      <c r="B1913"/>
      <c r="C1913"/>
      <c r="D1913"/>
    </row>
    <row r="1914" spans="1:4" x14ac:dyDescent="0.2">
      <c r="A1914"/>
      <c r="B1914"/>
      <c r="C1914"/>
      <c r="D1914"/>
    </row>
    <row r="1915" spans="1:4" x14ac:dyDescent="0.2">
      <c r="A1915"/>
      <c r="B1915"/>
      <c r="C1915"/>
      <c r="D1915"/>
    </row>
    <row r="1916" spans="1:4" x14ac:dyDescent="0.2">
      <c r="A1916"/>
      <c r="B1916"/>
      <c r="C1916"/>
      <c r="D1916"/>
    </row>
    <row r="1917" spans="1:4" x14ac:dyDescent="0.2">
      <c r="A1917"/>
      <c r="B1917"/>
      <c r="C1917"/>
      <c r="D1917"/>
    </row>
    <row r="1918" spans="1:4" x14ac:dyDescent="0.2">
      <c r="A1918"/>
      <c r="B1918"/>
      <c r="C1918"/>
      <c r="D1918"/>
    </row>
    <row r="1919" spans="1:4" x14ac:dyDescent="0.2">
      <c r="A1919"/>
      <c r="B1919"/>
      <c r="C1919"/>
      <c r="D1919"/>
    </row>
    <row r="1920" spans="1:4" x14ac:dyDescent="0.2">
      <c r="A1920"/>
      <c r="B1920"/>
      <c r="C1920"/>
      <c r="D1920"/>
    </row>
    <row r="1921" spans="1:4" x14ac:dyDescent="0.2">
      <c r="A1921"/>
      <c r="B1921"/>
      <c r="C1921"/>
      <c r="D1921"/>
    </row>
    <row r="1922" spans="1:4" x14ac:dyDescent="0.2">
      <c r="A1922"/>
      <c r="B1922"/>
      <c r="C1922"/>
      <c r="D1922"/>
    </row>
    <row r="1923" spans="1:4" x14ac:dyDescent="0.2">
      <c r="A1923"/>
      <c r="B1923"/>
      <c r="C1923"/>
      <c r="D1923"/>
    </row>
    <row r="1924" spans="1:4" x14ac:dyDescent="0.2">
      <c r="A1924"/>
      <c r="B1924"/>
      <c r="C1924"/>
      <c r="D1924"/>
    </row>
    <row r="1925" spans="1:4" x14ac:dyDescent="0.2">
      <c r="A1925"/>
      <c r="B1925"/>
      <c r="C1925"/>
      <c r="D1925"/>
    </row>
    <row r="1926" spans="1:4" x14ac:dyDescent="0.2">
      <c r="A1926"/>
      <c r="B1926"/>
      <c r="C1926"/>
      <c r="D1926"/>
    </row>
    <row r="1927" spans="1:4" x14ac:dyDescent="0.2">
      <c r="A1927"/>
      <c r="B1927"/>
      <c r="C1927"/>
      <c r="D1927"/>
    </row>
    <row r="1928" spans="1:4" x14ac:dyDescent="0.2">
      <c r="A1928"/>
      <c r="B1928"/>
      <c r="C1928"/>
      <c r="D1928"/>
    </row>
    <row r="1929" spans="1:4" x14ac:dyDescent="0.2">
      <c r="A1929"/>
      <c r="B1929"/>
      <c r="C1929"/>
      <c r="D1929"/>
    </row>
    <row r="1930" spans="1:4" x14ac:dyDescent="0.2">
      <c r="A1930"/>
      <c r="B1930"/>
      <c r="C1930"/>
      <c r="D1930"/>
    </row>
    <row r="1931" spans="1:4" x14ac:dyDescent="0.2">
      <c r="A1931"/>
      <c r="B1931"/>
      <c r="C1931"/>
      <c r="D1931"/>
    </row>
    <row r="1932" spans="1:4" x14ac:dyDescent="0.2">
      <c r="A1932"/>
      <c r="B1932"/>
      <c r="C1932"/>
      <c r="D1932"/>
    </row>
    <row r="1933" spans="1:4" x14ac:dyDescent="0.2">
      <c r="A1933"/>
      <c r="B1933"/>
      <c r="C1933"/>
      <c r="D1933"/>
    </row>
    <row r="1934" spans="1:4" x14ac:dyDescent="0.2">
      <c r="A1934"/>
      <c r="B1934"/>
      <c r="C1934"/>
      <c r="D1934"/>
    </row>
    <row r="1935" spans="1:4" x14ac:dyDescent="0.2">
      <c r="A1935"/>
      <c r="B1935"/>
      <c r="C1935"/>
      <c r="D1935"/>
    </row>
    <row r="1936" spans="1:4" x14ac:dyDescent="0.2">
      <c r="A1936"/>
      <c r="B1936"/>
      <c r="C1936"/>
      <c r="D1936"/>
    </row>
    <row r="1937" spans="1:4" x14ac:dyDescent="0.2">
      <c r="A1937"/>
      <c r="B1937"/>
      <c r="C1937"/>
      <c r="D1937"/>
    </row>
    <row r="1938" spans="1:4" x14ac:dyDescent="0.2">
      <c r="A1938"/>
      <c r="B1938"/>
      <c r="C1938"/>
      <c r="D1938"/>
    </row>
    <row r="1939" spans="1:4" x14ac:dyDescent="0.2">
      <c r="A1939"/>
      <c r="B1939"/>
      <c r="C1939"/>
      <c r="D1939"/>
    </row>
    <row r="1940" spans="1:4" x14ac:dyDescent="0.2">
      <c r="A1940"/>
      <c r="B1940"/>
      <c r="C1940"/>
      <c r="D1940"/>
    </row>
    <row r="1941" spans="1:4" x14ac:dyDescent="0.2">
      <c r="A1941"/>
      <c r="B1941"/>
      <c r="C1941"/>
      <c r="D1941"/>
    </row>
    <row r="1942" spans="1:4" x14ac:dyDescent="0.2">
      <c r="A1942"/>
      <c r="B1942"/>
      <c r="C1942"/>
      <c r="D1942"/>
    </row>
    <row r="1943" spans="1:4" x14ac:dyDescent="0.2">
      <c r="A1943"/>
      <c r="B1943"/>
      <c r="C1943"/>
      <c r="D1943"/>
    </row>
    <row r="1944" spans="1:4" x14ac:dyDescent="0.2">
      <c r="A1944"/>
      <c r="B1944"/>
      <c r="C1944"/>
      <c r="D1944"/>
    </row>
    <row r="1945" spans="1:4" x14ac:dyDescent="0.2">
      <c r="A1945"/>
      <c r="B1945"/>
      <c r="C1945"/>
      <c r="D1945"/>
    </row>
    <row r="1946" spans="1:4" x14ac:dyDescent="0.2">
      <c r="A1946"/>
      <c r="B1946"/>
      <c r="C1946"/>
      <c r="D1946"/>
    </row>
    <row r="1947" spans="1:4" x14ac:dyDescent="0.2">
      <c r="A1947"/>
      <c r="B1947"/>
      <c r="C1947"/>
      <c r="D1947"/>
    </row>
    <row r="1948" spans="1:4" x14ac:dyDescent="0.2">
      <c r="A1948"/>
      <c r="B1948"/>
      <c r="C1948"/>
      <c r="D1948"/>
    </row>
    <row r="1949" spans="1:4" x14ac:dyDescent="0.2">
      <c r="A1949"/>
      <c r="B1949"/>
      <c r="C1949"/>
      <c r="D1949"/>
    </row>
    <row r="1950" spans="1:4" x14ac:dyDescent="0.2">
      <c r="A1950"/>
      <c r="B1950"/>
      <c r="C1950"/>
      <c r="D1950"/>
    </row>
    <row r="1951" spans="1:4" x14ac:dyDescent="0.2">
      <c r="A1951"/>
      <c r="B1951"/>
      <c r="C1951"/>
      <c r="D1951"/>
    </row>
    <row r="1952" spans="1:4" x14ac:dyDescent="0.2">
      <c r="A1952"/>
      <c r="B1952"/>
      <c r="C1952"/>
      <c r="D1952"/>
    </row>
    <row r="1953" spans="1:4" x14ac:dyDescent="0.2">
      <c r="A1953"/>
      <c r="B1953"/>
      <c r="C1953"/>
      <c r="D1953"/>
    </row>
    <row r="1954" spans="1:4" x14ac:dyDescent="0.2">
      <c r="A1954"/>
      <c r="B1954"/>
      <c r="C1954"/>
      <c r="D1954"/>
    </row>
    <row r="1955" spans="1:4" x14ac:dyDescent="0.2">
      <c r="A1955"/>
      <c r="B1955"/>
      <c r="C1955"/>
      <c r="D1955"/>
    </row>
    <row r="1956" spans="1:4" x14ac:dyDescent="0.2">
      <c r="A1956"/>
      <c r="B1956"/>
      <c r="C1956"/>
      <c r="D1956"/>
    </row>
    <row r="1957" spans="1:4" x14ac:dyDescent="0.2">
      <c r="A1957"/>
      <c r="B1957"/>
      <c r="C1957"/>
      <c r="D1957"/>
    </row>
    <row r="1958" spans="1:4" x14ac:dyDescent="0.2">
      <c r="A1958"/>
      <c r="B1958"/>
      <c r="C1958"/>
      <c r="D1958"/>
    </row>
    <row r="1959" spans="1:4" x14ac:dyDescent="0.2">
      <c r="A1959"/>
      <c r="B1959"/>
      <c r="C1959"/>
      <c r="D1959"/>
    </row>
    <row r="1960" spans="1:4" x14ac:dyDescent="0.2">
      <c r="A1960"/>
      <c r="B1960"/>
      <c r="C1960"/>
      <c r="D1960"/>
    </row>
    <row r="1961" spans="1:4" x14ac:dyDescent="0.2">
      <c r="A1961"/>
      <c r="B1961"/>
      <c r="C1961"/>
      <c r="D1961"/>
    </row>
    <row r="1962" spans="1:4" x14ac:dyDescent="0.2">
      <c r="A1962"/>
      <c r="B1962"/>
      <c r="C1962"/>
      <c r="D1962"/>
    </row>
    <row r="1963" spans="1:4" x14ac:dyDescent="0.2">
      <c r="A1963"/>
      <c r="B1963"/>
      <c r="C1963"/>
      <c r="D1963"/>
    </row>
    <row r="1964" spans="1:4" x14ac:dyDescent="0.2">
      <c r="A1964"/>
      <c r="B1964"/>
      <c r="C1964"/>
      <c r="D1964"/>
    </row>
    <row r="1965" spans="1:4" x14ac:dyDescent="0.2">
      <c r="A1965"/>
      <c r="B1965"/>
      <c r="C1965"/>
      <c r="D1965"/>
    </row>
    <row r="1966" spans="1:4" x14ac:dyDescent="0.2">
      <c r="A1966"/>
      <c r="B1966"/>
      <c r="C1966"/>
      <c r="D1966"/>
    </row>
    <row r="1967" spans="1:4" x14ac:dyDescent="0.2">
      <c r="A1967"/>
      <c r="B1967"/>
      <c r="C1967"/>
      <c r="D1967"/>
    </row>
    <row r="1968" spans="1:4" x14ac:dyDescent="0.2">
      <c r="A1968"/>
      <c r="B1968"/>
      <c r="C1968"/>
      <c r="D1968"/>
    </row>
    <row r="1969" spans="1:4" x14ac:dyDescent="0.2">
      <c r="A1969"/>
      <c r="B1969"/>
      <c r="C1969"/>
      <c r="D1969"/>
    </row>
    <row r="1970" spans="1:4" x14ac:dyDescent="0.2">
      <c r="A1970"/>
      <c r="B1970"/>
      <c r="C1970"/>
      <c r="D1970"/>
    </row>
    <row r="1971" spans="1:4" x14ac:dyDescent="0.2">
      <c r="A1971"/>
      <c r="B1971"/>
      <c r="C1971"/>
      <c r="D1971"/>
    </row>
    <row r="1972" spans="1:4" x14ac:dyDescent="0.2">
      <c r="A1972"/>
      <c r="B1972"/>
      <c r="C1972"/>
      <c r="D1972"/>
    </row>
    <row r="1973" spans="1:4" x14ac:dyDescent="0.2">
      <c r="A1973"/>
      <c r="B1973"/>
      <c r="C1973"/>
      <c r="D1973"/>
    </row>
    <row r="1974" spans="1:4" x14ac:dyDescent="0.2">
      <c r="A1974"/>
      <c r="B1974"/>
      <c r="C1974"/>
      <c r="D1974"/>
    </row>
    <row r="1975" spans="1:4" x14ac:dyDescent="0.2">
      <c r="A1975"/>
      <c r="B1975"/>
      <c r="C1975"/>
      <c r="D1975"/>
    </row>
    <row r="1976" spans="1:4" x14ac:dyDescent="0.2">
      <c r="A1976"/>
      <c r="B1976"/>
      <c r="C1976"/>
      <c r="D1976"/>
    </row>
    <row r="1977" spans="1:4" x14ac:dyDescent="0.2">
      <c r="A1977"/>
      <c r="B1977"/>
      <c r="C1977"/>
      <c r="D1977"/>
    </row>
    <row r="1978" spans="1:4" x14ac:dyDescent="0.2">
      <c r="A1978"/>
      <c r="B1978"/>
      <c r="C1978"/>
      <c r="D1978"/>
    </row>
    <row r="1979" spans="1:4" x14ac:dyDescent="0.2">
      <c r="A1979"/>
      <c r="B1979"/>
      <c r="C1979"/>
      <c r="D1979"/>
    </row>
    <row r="1980" spans="1:4" x14ac:dyDescent="0.2">
      <c r="A1980"/>
      <c r="B1980"/>
      <c r="C1980"/>
      <c r="D1980"/>
    </row>
    <row r="1981" spans="1:4" x14ac:dyDescent="0.2">
      <c r="A1981"/>
      <c r="B1981"/>
      <c r="C1981"/>
      <c r="D1981"/>
    </row>
    <row r="1982" spans="1:4" x14ac:dyDescent="0.2">
      <c r="A1982"/>
      <c r="B1982"/>
      <c r="C1982"/>
      <c r="D1982"/>
    </row>
    <row r="1983" spans="1:4" x14ac:dyDescent="0.2">
      <c r="A1983"/>
      <c r="B1983"/>
      <c r="C1983"/>
      <c r="D1983"/>
    </row>
    <row r="1984" spans="1:4" x14ac:dyDescent="0.2">
      <c r="A1984"/>
      <c r="B1984"/>
      <c r="C1984"/>
      <c r="D1984"/>
    </row>
    <row r="1985" spans="1:4" x14ac:dyDescent="0.2">
      <c r="A1985"/>
      <c r="B1985"/>
      <c r="C1985"/>
      <c r="D1985"/>
    </row>
    <row r="1986" spans="1:4" x14ac:dyDescent="0.2">
      <c r="A1986"/>
      <c r="B1986"/>
      <c r="C1986"/>
      <c r="D1986"/>
    </row>
    <row r="1987" spans="1:4" x14ac:dyDescent="0.2">
      <c r="A1987"/>
      <c r="B1987"/>
      <c r="C1987"/>
      <c r="D1987"/>
    </row>
    <row r="1988" spans="1:4" x14ac:dyDescent="0.2">
      <c r="A1988"/>
      <c r="B1988"/>
      <c r="C1988"/>
      <c r="D1988"/>
    </row>
    <row r="1989" spans="1:4" x14ac:dyDescent="0.2">
      <c r="A1989"/>
      <c r="B1989"/>
      <c r="C1989"/>
      <c r="D1989"/>
    </row>
    <row r="1990" spans="1:4" x14ac:dyDescent="0.2">
      <c r="A1990"/>
      <c r="B1990"/>
      <c r="C1990"/>
      <c r="D1990"/>
    </row>
    <row r="1991" spans="1:4" x14ac:dyDescent="0.2">
      <c r="A1991"/>
      <c r="B1991"/>
      <c r="C1991"/>
      <c r="D1991"/>
    </row>
    <row r="1992" spans="1:4" x14ac:dyDescent="0.2">
      <c r="A1992"/>
      <c r="B1992"/>
      <c r="C1992"/>
      <c r="D1992"/>
    </row>
    <row r="1993" spans="1:4" x14ac:dyDescent="0.2">
      <c r="A1993"/>
      <c r="B1993"/>
      <c r="C1993"/>
      <c r="D1993"/>
    </row>
    <row r="1994" spans="1:4" x14ac:dyDescent="0.2">
      <c r="A1994"/>
      <c r="B1994"/>
      <c r="C1994"/>
      <c r="D1994"/>
    </row>
    <row r="1995" spans="1:4" x14ac:dyDescent="0.2">
      <c r="A1995"/>
      <c r="B1995"/>
      <c r="C1995"/>
      <c r="D1995"/>
    </row>
    <row r="1996" spans="1:4" x14ac:dyDescent="0.2">
      <c r="A1996"/>
      <c r="B1996"/>
      <c r="C1996"/>
      <c r="D1996"/>
    </row>
    <row r="1997" spans="1:4" x14ac:dyDescent="0.2">
      <c r="A1997"/>
      <c r="B1997"/>
      <c r="C1997"/>
      <c r="D1997"/>
    </row>
    <row r="1998" spans="1:4" x14ac:dyDescent="0.2">
      <c r="A1998"/>
      <c r="B1998"/>
      <c r="C1998"/>
      <c r="D1998"/>
    </row>
    <row r="1999" spans="1:4" x14ac:dyDescent="0.2">
      <c r="A1999"/>
      <c r="B1999"/>
      <c r="C1999"/>
      <c r="D1999"/>
    </row>
    <row r="2000" spans="1:4" x14ac:dyDescent="0.2">
      <c r="A2000"/>
      <c r="B2000"/>
      <c r="C2000"/>
      <c r="D2000"/>
    </row>
    <row r="2001" spans="1:4" x14ac:dyDescent="0.2">
      <c r="A2001"/>
      <c r="B2001"/>
      <c r="C2001"/>
      <c r="D2001"/>
    </row>
    <row r="2002" spans="1:4" x14ac:dyDescent="0.2">
      <c r="A2002"/>
      <c r="B2002"/>
      <c r="C2002"/>
      <c r="D2002"/>
    </row>
    <row r="2003" spans="1:4" x14ac:dyDescent="0.2">
      <c r="A2003"/>
      <c r="B2003"/>
      <c r="C2003"/>
      <c r="D2003"/>
    </row>
    <row r="2004" spans="1:4" x14ac:dyDescent="0.2">
      <c r="A2004"/>
      <c r="B2004"/>
      <c r="C2004"/>
      <c r="D2004"/>
    </row>
    <row r="2005" spans="1:4" x14ac:dyDescent="0.2">
      <c r="A2005"/>
      <c r="B2005"/>
      <c r="C2005"/>
      <c r="D2005"/>
    </row>
    <row r="2006" spans="1:4" x14ac:dyDescent="0.2">
      <c r="A2006"/>
      <c r="B2006"/>
      <c r="C2006"/>
      <c r="D2006"/>
    </row>
    <row r="2007" spans="1:4" x14ac:dyDescent="0.2">
      <c r="A2007"/>
      <c r="B2007"/>
      <c r="C2007"/>
      <c r="D2007"/>
    </row>
    <row r="2008" spans="1:4" x14ac:dyDescent="0.2">
      <c r="A2008"/>
      <c r="B2008"/>
      <c r="C2008"/>
      <c r="D2008"/>
    </row>
    <row r="2009" spans="1:4" x14ac:dyDescent="0.2">
      <c r="A2009"/>
      <c r="B2009"/>
      <c r="C2009"/>
      <c r="D2009"/>
    </row>
    <row r="2010" spans="1:4" x14ac:dyDescent="0.2">
      <c r="A2010"/>
      <c r="B2010"/>
      <c r="C2010"/>
      <c r="D2010"/>
    </row>
    <row r="2011" spans="1:4" x14ac:dyDescent="0.2">
      <c r="A2011"/>
      <c r="B2011"/>
      <c r="C2011"/>
      <c r="D2011"/>
    </row>
    <row r="2012" spans="1:4" x14ac:dyDescent="0.2">
      <c r="A2012"/>
      <c r="B2012"/>
      <c r="C2012"/>
      <c r="D2012"/>
    </row>
    <row r="2013" spans="1:4" x14ac:dyDescent="0.2">
      <c r="A2013"/>
      <c r="B2013"/>
      <c r="C2013"/>
      <c r="D2013"/>
    </row>
    <row r="2014" spans="1:4" x14ac:dyDescent="0.2">
      <c r="A2014"/>
      <c r="B2014"/>
      <c r="C2014"/>
      <c r="D2014"/>
    </row>
    <row r="2015" spans="1:4" x14ac:dyDescent="0.2">
      <c r="A2015"/>
      <c r="B2015"/>
      <c r="C2015"/>
      <c r="D2015"/>
    </row>
    <row r="2016" spans="1:4" x14ac:dyDescent="0.2">
      <c r="A2016"/>
      <c r="B2016"/>
      <c r="C2016"/>
      <c r="D2016"/>
    </row>
    <row r="2017" spans="1:4" x14ac:dyDescent="0.2">
      <c r="A2017"/>
      <c r="B2017"/>
      <c r="C2017"/>
      <c r="D2017"/>
    </row>
    <row r="2018" spans="1:4" x14ac:dyDescent="0.2">
      <c r="A2018"/>
      <c r="B2018"/>
      <c r="C2018"/>
      <c r="D2018"/>
    </row>
    <row r="2019" spans="1:4" x14ac:dyDescent="0.2">
      <c r="A2019"/>
      <c r="B2019"/>
      <c r="C2019"/>
      <c r="D2019"/>
    </row>
    <row r="2020" spans="1:4" x14ac:dyDescent="0.2">
      <c r="A2020"/>
      <c r="B2020"/>
      <c r="C2020"/>
      <c r="D2020"/>
    </row>
    <row r="2021" spans="1:4" x14ac:dyDescent="0.2">
      <c r="A2021"/>
      <c r="B2021"/>
      <c r="C2021"/>
      <c r="D2021"/>
    </row>
    <row r="2022" spans="1:4" x14ac:dyDescent="0.2">
      <c r="A2022"/>
      <c r="B2022"/>
      <c r="C2022"/>
      <c r="D2022"/>
    </row>
    <row r="2023" spans="1:4" x14ac:dyDescent="0.2">
      <c r="A2023"/>
      <c r="B2023"/>
      <c r="C2023"/>
      <c r="D2023"/>
    </row>
    <row r="2024" spans="1:4" x14ac:dyDescent="0.2">
      <c r="A2024"/>
      <c r="B2024"/>
      <c r="C2024"/>
      <c r="D2024"/>
    </row>
    <row r="2025" spans="1:4" x14ac:dyDescent="0.2">
      <c r="A2025"/>
      <c r="B2025"/>
      <c r="C2025"/>
      <c r="D2025"/>
    </row>
    <row r="2026" spans="1:4" x14ac:dyDescent="0.2">
      <c r="A2026"/>
      <c r="B2026"/>
      <c r="C2026"/>
      <c r="D2026"/>
    </row>
    <row r="2027" spans="1:4" x14ac:dyDescent="0.2">
      <c r="A2027"/>
      <c r="B2027"/>
      <c r="C2027"/>
      <c r="D2027"/>
    </row>
    <row r="2028" spans="1:4" x14ac:dyDescent="0.2">
      <c r="A2028"/>
      <c r="B2028"/>
      <c r="C2028"/>
      <c r="D2028"/>
    </row>
    <row r="2029" spans="1:4" x14ac:dyDescent="0.2">
      <c r="A2029"/>
      <c r="B2029"/>
      <c r="C2029"/>
      <c r="D2029"/>
    </row>
    <row r="2030" spans="1:4" x14ac:dyDescent="0.2">
      <c r="A2030"/>
      <c r="B2030"/>
      <c r="C2030"/>
      <c r="D2030"/>
    </row>
    <row r="2031" spans="1:4" x14ac:dyDescent="0.2">
      <c r="A2031"/>
      <c r="B2031"/>
      <c r="C2031"/>
      <c r="D2031"/>
    </row>
    <row r="2032" spans="1:4" x14ac:dyDescent="0.2">
      <c r="A2032"/>
      <c r="B2032"/>
      <c r="C2032"/>
      <c r="D2032"/>
    </row>
    <row r="2033" spans="1:4" x14ac:dyDescent="0.2">
      <c r="A2033"/>
      <c r="B2033"/>
      <c r="C2033"/>
      <c r="D2033"/>
    </row>
    <row r="2034" spans="1:4" x14ac:dyDescent="0.2">
      <c r="A2034"/>
      <c r="B2034"/>
      <c r="C2034"/>
      <c r="D2034"/>
    </row>
    <row r="2035" spans="1:4" x14ac:dyDescent="0.2">
      <c r="A2035"/>
      <c r="B2035"/>
      <c r="C2035"/>
      <c r="D2035"/>
    </row>
    <row r="2036" spans="1:4" x14ac:dyDescent="0.2">
      <c r="A2036"/>
      <c r="B2036"/>
      <c r="C2036"/>
      <c r="D2036"/>
    </row>
    <row r="2037" spans="1:4" x14ac:dyDescent="0.2">
      <c r="A2037"/>
      <c r="B2037"/>
      <c r="C2037"/>
      <c r="D2037"/>
    </row>
    <row r="2038" spans="1:4" x14ac:dyDescent="0.2">
      <c r="A2038"/>
      <c r="B2038"/>
      <c r="C2038"/>
      <c r="D2038"/>
    </row>
    <row r="2039" spans="1:4" x14ac:dyDescent="0.2">
      <c r="A2039"/>
      <c r="B2039"/>
      <c r="C2039"/>
      <c r="D2039"/>
    </row>
    <row r="2040" spans="1:4" x14ac:dyDescent="0.2">
      <c r="A2040"/>
      <c r="B2040"/>
      <c r="C2040"/>
      <c r="D2040"/>
    </row>
    <row r="2041" spans="1:4" x14ac:dyDescent="0.2">
      <c r="A2041"/>
      <c r="B2041"/>
      <c r="C2041"/>
      <c r="D2041"/>
    </row>
    <row r="2042" spans="1:4" x14ac:dyDescent="0.2">
      <c r="A2042"/>
      <c r="B2042"/>
      <c r="C2042"/>
      <c r="D2042"/>
    </row>
    <row r="2043" spans="1:4" x14ac:dyDescent="0.2">
      <c r="A2043"/>
      <c r="B2043"/>
      <c r="C2043"/>
      <c r="D2043"/>
    </row>
    <row r="2044" spans="1:4" x14ac:dyDescent="0.2">
      <c r="A2044"/>
      <c r="B2044"/>
      <c r="C2044"/>
      <c r="D2044"/>
    </row>
    <row r="2045" spans="1:4" x14ac:dyDescent="0.2">
      <c r="A2045"/>
      <c r="B2045"/>
      <c r="C2045"/>
      <c r="D2045"/>
    </row>
    <row r="2046" spans="1:4" x14ac:dyDescent="0.2">
      <c r="A2046"/>
      <c r="B2046"/>
      <c r="C2046"/>
      <c r="D2046"/>
    </row>
    <row r="2047" spans="1:4" x14ac:dyDescent="0.2">
      <c r="A2047"/>
      <c r="B2047"/>
      <c r="C2047"/>
      <c r="D2047"/>
    </row>
    <row r="2048" spans="1:4" x14ac:dyDescent="0.2">
      <c r="A2048"/>
      <c r="B2048"/>
      <c r="C2048"/>
      <c r="D2048"/>
    </row>
    <row r="2049" spans="1:4" x14ac:dyDescent="0.2">
      <c r="A2049"/>
      <c r="B2049"/>
      <c r="C2049"/>
      <c r="D2049"/>
    </row>
    <row r="2050" spans="1:4" x14ac:dyDescent="0.2">
      <c r="A2050"/>
      <c r="B2050"/>
      <c r="C2050"/>
      <c r="D2050"/>
    </row>
    <row r="2051" spans="1:4" x14ac:dyDescent="0.2">
      <c r="A2051"/>
      <c r="B2051"/>
      <c r="C2051"/>
      <c r="D2051"/>
    </row>
    <row r="2052" spans="1:4" x14ac:dyDescent="0.2">
      <c r="A2052"/>
      <c r="B2052"/>
      <c r="C2052"/>
      <c r="D2052"/>
    </row>
    <row r="2053" spans="1:4" x14ac:dyDescent="0.2">
      <c r="A2053"/>
      <c r="B2053"/>
      <c r="C2053"/>
      <c r="D2053"/>
    </row>
    <row r="2054" spans="1:4" x14ac:dyDescent="0.2">
      <c r="A2054"/>
      <c r="B2054"/>
      <c r="C2054"/>
      <c r="D2054"/>
    </row>
    <row r="2055" spans="1:4" x14ac:dyDescent="0.2">
      <c r="A2055"/>
      <c r="B2055"/>
      <c r="C2055"/>
      <c r="D2055"/>
    </row>
    <row r="2056" spans="1:4" x14ac:dyDescent="0.2">
      <c r="A2056"/>
      <c r="B2056"/>
      <c r="C2056"/>
      <c r="D2056"/>
    </row>
    <row r="2057" spans="1:4" x14ac:dyDescent="0.2">
      <c r="A2057"/>
      <c r="B2057"/>
      <c r="C2057"/>
      <c r="D2057"/>
    </row>
    <row r="2058" spans="1:4" x14ac:dyDescent="0.2">
      <c r="A2058"/>
      <c r="B2058"/>
      <c r="C2058"/>
      <c r="D2058"/>
    </row>
    <row r="2059" spans="1:4" x14ac:dyDescent="0.2">
      <c r="A2059"/>
      <c r="B2059"/>
      <c r="C2059"/>
      <c r="D2059"/>
    </row>
    <row r="2060" spans="1:4" x14ac:dyDescent="0.2">
      <c r="A2060"/>
      <c r="B2060"/>
      <c r="C2060"/>
      <c r="D2060"/>
    </row>
    <row r="2061" spans="1:4" x14ac:dyDescent="0.2">
      <c r="A2061"/>
      <c r="B2061"/>
      <c r="C2061"/>
      <c r="D2061"/>
    </row>
    <row r="2062" spans="1:4" x14ac:dyDescent="0.2">
      <c r="A2062"/>
      <c r="B2062"/>
      <c r="C2062"/>
      <c r="D2062"/>
    </row>
    <row r="2063" spans="1:4" x14ac:dyDescent="0.2">
      <c r="A2063"/>
      <c r="B2063"/>
      <c r="C2063"/>
      <c r="D2063"/>
    </row>
    <row r="2064" spans="1:4" x14ac:dyDescent="0.2">
      <c r="A2064"/>
      <c r="B2064"/>
      <c r="C2064"/>
      <c r="D2064"/>
    </row>
    <row r="2065" spans="1:4" x14ac:dyDescent="0.2">
      <c r="A2065"/>
      <c r="B2065"/>
      <c r="C2065"/>
      <c r="D2065"/>
    </row>
    <row r="2066" spans="1:4" x14ac:dyDescent="0.2">
      <c r="A2066"/>
      <c r="B2066"/>
      <c r="C2066"/>
      <c r="D2066"/>
    </row>
    <row r="2067" spans="1:4" x14ac:dyDescent="0.2">
      <c r="A2067"/>
      <c r="B2067"/>
      <c r="C2067"/>
      <c r="D2067"/>
    </row>
    <row r="2068" spans="1:4" x14ac:dyDescent="0.2">
      <c r="A2068"/>
      <c r="B2068"/>
      <c r="C2068"/>
      <c r="D2068"/>
    </row>
    <row r="2069" spans="1:4" x14ac:dyDescent="0.2">
      <c r="A2069"/>
      <c r="B2069"/>
      <c r="C2069"/>
      <c r="D2069"/>
    </row>
    <row r="2070" spans="1:4" x14ac:dyDescent="0.2">
      <c r="A2070"/>
      <c r="B2070"/>
      <c r="C2070"/>
      <c r="D2070"/>
    </row>
    <row r="2071" spans="1:4" x14ac:dyDescent="0.2">
      <c r="A2071"/>
      <c r="B2071"/>
      <c r="C2071"/>
      <c r="D2071"/>
    </row>
    <row r="2072" spans="1:4" x14ac:dyDescent="0.2">
      <c r="A2072"/>
      <c r="B2072"/>
      <c r="C2072"/>
      <c r="D2072"/>
    </row>
    <row r="2073" spans="1:4" x14ac:dyDescent="0.2">
      <c r="A2073"/>
      <c r="B2073"/>
      <c r="C2073"/>
      <c r="D2073"/>
    </row>
    <row r="2074" spans="1:4" x14ac:dyDescent="0.2">
      <c r="A2074"/>
      <c r="B2074"/>
      <c r="C2074"/>
      <c r="D2074"/>
    </row>
    <row r="2075" spans="1:4" x14ac:dyDescent="0.2">
      <c r="A2075"/>
      <c r="B2075"/>
      <c r="C2075"/>
      <c r="D2075"/>
    </row>
    <row r="2076" spans="1:4" x14ac:dyDescent="0.2">
      <c r="A2076"/>
      <c r="B2076"/>
      <c r="C2076"/>
      <c r="D2076"/>
    </row>
    <row r="2077" spans="1:4" x14ac:dyDescent="0.2">
      <c r="A2077"/>
      <c r="B2077"/>
      <c r="C2077"/>
      <c r="D2077"/>
    </row>
    <row r="2078" spans="1:4" x14ac:dyDescent="0.2">
      <c r="A2078"/>
      <c r="B2078"/>
      <c r="C2078"/>
      <c r="D2078"/>
    </row>
    <row r="2079" spans="1:4" x14ac:dyDescent="0.2">
      <c r="A2079"/>
      <c r="B2079"/>
      <c r="C2079"/>
      <c r="D2079"/>
    </row>
    <row r="2080" spans="1:4" x14ac:dyDescent="0.2">
      <c r="A2080"/>
      <c r="B2080"/>
      <c r="C2080"/>
      <c r="D2080"/>
    </row>
    <row r="2081" spans="1:4" x14ac:dyDescent="0.2">
      <c r="A2081"/>
      <c r="B2081"/>
      <c r="C2081"/>
      <c r="D2081"/>
    </row>
    <row r="2082" spans="1:4" x14ac:dyDescent="0.2">
      <c r="A2082"/>
      <c r="B2082"/>
      <c r="C2082"/>
      <c r="D2082"/>
    </row>
    <row r="2083" spans="1:4" x14ac:dyDescent="0.2">
      <c r="A2083"/>
      <c r="B2083"/>
      <c r="C2083"/>
      <c r="D2083"/>
    </row>
    <row r="2084" spans="1:4" x14ac:dyDescent="0.2">
      <c r="A2084"/>
      <c r="B2084"/>
      <c r="C2084"/>
      <c r="D2084"/>
    </row>
    <row r="2085" spans="1:4" x14ac:dyDescent="0.2">
      <c r="A2085"/>
      <c r="B2085"/>
      <c r="C2085"/>
      <c r="D2085"/>
    </row>
    <row r="2086" spans="1:4" x14ac:dyDescent="0.2">
      <c r="A2086"/>
      <c r="B2086"/>
      <c r="C2086"/>
      <c r="D2086"/>
    </row>
    <row r="2087" spans="1:4" x14ac:dyDescent="0.2">
      <c r="A2087"/>
      <c r="B2087"/>
      <c r="C2087"/>
      <c r="D2087"/>
    </row>
    <row r="2088" spans="1:4" x14ac:dyDescent="0.2">
      <c r="A2088"/>
      <c r="B2088"/>
      <c r="C2088"/>
      <c r="D2088"/>
    </row>
    <row r="2089" spans="1:4" x14ac:dyDescent="0.2">
      <c r="A2089"/>
      <c r="B2089"/>
      <c r="C2089"/>
      <c r="D2089"/>
    </row>
    <row r="2090" spans="1:4" x14ac:dyDescent="0.2">
      <c r="A2090"/>
      <c r="B2090"/>
      <c r="C2090"/>
      <c r="D2090"/>
    </row>
    <row r="2091" spans="1:4" x14ac:dyDescent="0.2">
      <c r="A2091"/>
      <c r="B2091"/>
      <c r="C2091"/>
      <c r="D2091"/>
    </row>
    <row r="2092" spans="1:4" x14ac:dyDescent="0.2">
      <c r="A2092"/>
      <c r="B2092"/>
      <c r="C2092"/>
      <c r="D2092"/>
    </row>
    <row r="2093" spans="1:4" x14ac:dyDescent="0.2">
      <c r="A2093"/>
      <c r="B2093"/>
      <c r="C2093"/>
      <c r="D2093"/>
    </row>
    <row r="2094" spans="1:4" x14ac:dyDescent="0.2">
      <c r="A2094"/>
      <c r="B2094"/>
      <c r="C2094"/>
      <c r="D2094"/>
    </row>
    <row r="2095" spans="1:4" x14ac:dyDescent="0.2">
      <c r="A2095"/>
      <c r="B2095"/>
      <c r="C2095"/>
      <c r="D2095"/>
    </row>
    <row r="2096" spans="1:4" x14ac:dyDescent="0.2">
      <c r="A2096"/>
      <c r="B2096"/>
      <c r="C2096"/>
      <c r="D2096"/>
    </row>
    <row r="2097" spans="1:4" x14ac:dyDescent="0.2">
      <c r="A2097"/>
      <c r="B2097"/>
      <c r="C2097"/>
      <c r="D2097"/>
    </row>
    <row r="2098" spans="1:4" x14ac:dyDescent="0.2">
      <c r="A2098"/>
      <c r="B2098"/>
      <c r="C2098"/>
      <c r="D2098"/>
    </row>
    <row r="2099" spans="1:4" x14ac:dyDescent="0.2">
      <c r="A2099"/>
      <c r="B2099"/>
      <c r="C2099"/>
      <c r="D2099"/>
    </row>
    <row r="2100" spans="1:4" x14ac:dyDescent="0.2">
      <c r="A2100"/>
      <c r="B2100"/>
      <c r="C2100"/>
      <c r="D2100"/>
    </row>
    <row r="2101" spans="1:4" x14ac:dyDescent="0.2">
      <c r="A2101"/>
      <c r="B2101"/>
      <c r="C2101"/>
      <c r="D2101"/>
    </row>
    <row r="2102" spans="1:4" x14ac:dyDescent="0.2">
      <c r="A2102"/>
      <c r="B2102"/>
      <c r="C2102"/>
      <c r="D2102"/>
    </row>
    <row r="2103" spans="1:4" x14ac:dyDescent="0.2">
      <c r="A2103"/>
      <c r="B2103"/>
      <c r="C2103"/>
      <c r="D2103"/>
    </row>
    <row r="2104" spans="1:4" x14ac:dyDescent="0.2">
      <c r="A2104"/>
      <c r="B2104"/>
      <c r="C2104"/>
      <c r="D2104"/>
    </row>
    <row r="2105" spans="1:4" x14ac:dyDescent="0.2">
      <c r="A2105"/>
      <c r="B2105"/>
      <c r="C2105"/>
      <c r="D2105"/>
    </row>
    <row r="2106" spans="1:4" x14ac:dyDescent="0.2">
      <c r="A2106"/>
      <c r="B2106"/>
      <c r="C2106"/>
      <c r="D2106"/>
    </row>
    <row r="2107" spans="1:4" x14ac:dyDescent="0.2">
      <c r="A2107"/>
      <c r="B2107"/>
      <c r="C2107"/>
      <c r="D2107"/>
    </row>
    <row r="2108" spans="1:4" x14ac:dyDescent="0.2">
      <c r="A2108"/>
      <c r="B2108"/>
      <c r="C2108"/>
      <c r="D2108"/>
    </row>
    <row r="2109" spans="1:4" x14ac:dyDescent="0.2">
      <c r="A2109"/>
      <c r="B2109"/>
      <c r="C2109"/>
      <c r="D2109"/>
    </row>
    <row r="2110" spans="1:4" x14ac:dyDescent="0.2">
      <c r="A2110"/>
      <c r="B2110"/>
      <c r="C2110"/>
      <c r="D2110"/>
    </row>
    <row r="2111" spans="1:4" x14ac:dyDescent="0.2">
      <c r="A2111"/>
      <c r="B2111"/>
      <c r="C2111"/>
      <c r="D2111"/>
    </row>
    <row r="2112" spans="1:4" x14ac:dyDescent="0.2">
      <c r="A2112"/>
      <c r="B2112"/>
      <c r="C2112"/>
      <c r="D2112"/>
    </row>
    <row r="2113" spans="1:4" x14ac:dyDescent="0.2">
      <c r="A2113"/>
      <c r="B2113"/>
      <c r="C2113"/>
      <c r="D2113"/>
    </row>
    <row r="2114" spans="1:4" x14ac:dyDescent="0.2">
      <c r="A2114"/>
      <c r="B2114"/>
      <c r="C2114"/>
      <c r="D2114"/>
    </row>
    <row r="2115" spans="1:4" x14ac:dyDescent="0.2">
      <c r="A2115"/>
      <c r="B2115"/>
      <c r="C2115"/>
      <c r="D2115"/>
    </row>
    <row r="2116" spans="1:4" x14ac:dyDescent="0.2">
      <c r="A2116"/>
      <c r="B2116"/>
      <c r="C2116"/>
      <c r="D2116"/>
    </row>
    <row r="2117" spans="1:4" x14ac:dyDescent="0.2">
      <c r="A2117"/>
      <c r="B2117"/>
      <c r="C2117"/>
      <c r="D2117"/>
    </row>
    <row r="2118" spans="1:4" x14ac:dyDescent="0.2">
      <c r="A2118"/>
      <c r="B2118"/>
      <c r="C2118"/>
      <c r="D2118"/>
    </row>
    <row r="2119" spans="1:4" x14ac:dyDescent="0.2">
      <c r="A2119"/>
      <c r="B2119"/>
      <c r="C2119"/>
      <c r="D2119"/>
    </row>
    <row r="2120" spans="1:4" x14ac:dyDescent="0.2">
      <c r="A2120"/>
      <c r="B2120"/>
      <c r="C2120"/>
      <c r="D2120"/>
    </row>
    <row r="2121" spans="1:4" x14ac:dyDescent="0.2">
      <c r="A2121"/>
      <c r="B2121"/>
      <c r="C2121"/>
      <c r="D2121"/>
    </row>
    <row r="2122" spans="1:4" x14ac:dyDescent="0.2">
      <c r="A2122"/>
      <c r="B2122"/>
      <c r="C2122"/>
      <c r="D2122"/>
    </row>
    <row r="2123" spans="1:4" x14ac:dyDescent="0.2">
      <c r="A2123"/>
      <c r="B2123"/>
      <c r="C2123"/>
      <c r="D2123"/>
    </row>
    <row r="2124" spans="1:4" x14ac:dyDescent="0.2">
      <c r="A2124"/>
      <c r="B2124"/>
      <c r="C2124"/>
      <c r="D2124"/>
    </row>
    <row r="2125" spans="1:4" x14ac:dyDescent="0.2">
      <c r="A2125"/>
      <c r="B2125"/>
      <c r="C2125"/>
      <c r="D2125"/>
    </row>
    <row r="2126" spans="1:4" x14ac:dyDescent="0.2">
      <c r="A2126"/>
      <c r="B2126"/>
      <c r="C2126"/>
      <c r="D2126"/>
    </row>
    <row r="2127" spans="1:4" x14ac:dyDescent="0.2">
      <c r="A2127"/>
      <c r="B2127"/>
      <c r="C2127"/>
      <c r="D2127"/>
    </row>
    <row r="2128" spans="1:4" x14ac:dyDescent="0.2">
      <c r="A2128"/>
      <c r="B2128"/>
      <c r="C2128"/>
      <c r="D2128"/>
    </row>
    <row r="2129" spans="1:4" x14ac:dyDescent="0.2">
      <c r="A2129"/>
      <c r="B2129"/>
      <c r="C2129"/>
      <c r="D2129"/>
    </row>
    <row r="2130" spans="1:4" x14ac:dyDescent="0.2">
      <c r="A2130"/>
      <c r="B2130"/>
      <c r="C2130"/>
      <c r="D2130"/>
    </row>
    <row r="2131" spans="1:4" x14ac:dyDescent="0.2">
      <c r="A2131"/>
      <c r="B2131"/>
      <c r="C2131"/>
      <c r="D2131"/>
    </row>
    <row r="2132" spans="1:4" x14ac:dyDescent="0.2">
      <c r="A2132"/>
      <c r="B2132"/>
      <c r="C2132"/>
      <c r="D2132"/>
    </row>
    <row r="2133" spans="1:4" x14ac:dyDescent="0.2">
      <c r="A2133"/>
      <c r="B2133"/>
      <c r="C2133"/>
      <c r="D2133"/>
    </row>
    <row r="2134" spans="1:4" x14ac:dyDescent="0.2">
      <c r="A2134"/>
      <c r="B2134"/>
      <c r="C2134"/>
      <c r="D2134"/>
    </row>
    <row r="2135" spans="1:4" x14ac:dyDescent="0.2">
      <c r="A2135"/>
      <c r="B2135"/>
      <c r="C2135"/>
      <c r="D2135"/>
    </row>
    <row r="2136" spans="1:4" x14ac:dyDescent="0.2">
      <c r="A2136"/>
      <c r="B2136"/>
      <c r="C2136"/>
      <c r="D2136"/>
    </row>
    <row r="2137" spans="1:4" x14ac:dyDescent="0.2">
      <c r="A2137"/>
      <c r="B2137"/>
      <c r="C2137"/>
      <c r="D2137"/>
    </row>
    <row r="2138" spans="1:4" x14ac:dyDescent="0.2">
      <c r="A2138"/>
      <c r="B2138"/>
      <c r="C2138"/>
      <c r="D2138"/>
    </row>
    <row r="2139" spans="1:4" x14ac:dyDescent="0.2">
      <c r="A2139"/>
      <c r="B2139"/>
      <c r="C2139"/>
      <c r="D2139"/>
    </row>
    <row r="2140" spans="1:4" x14ac:dyDescent="0.2">
      <c r="A2140"/>
      <c r="B2140"/>
      <c r="C2140"/>
      <c r="D2140"/>
    </row>
    <row r="2141" spans="1:4" x14ac:dyDescent="0.2">
      <c r="A2141"/>
      <c r="B2141"/>
      <c r="C2141"/>
      <c r="D2141"/>
    </row>
    <row r="2142" spans="1:4" x14ac:dyDescent="0.2">
      <c r="A2142"/>
      <c r="B2142"/>
      <c r="C2142"/>
      <c r="D2142"/>
    </row>
    <row r="2143" spans="1:4" x14ac:dyDescent="0.2">
      <c r="A2143"/>
      <c r="B2143"/>
      <c r="C2143"/>
      <c r="D2143"/>
    </row>
    <row r="2144" spans="1:4" x14ac:dyDescent="0.2">
      <c r="A2144"/>
      <c r="B2144"/>
      <c r="C2144"/>
      <c r="D2144"/>
    </row>
    <row r="2145" spans="1:4" x14ac:dyDescent="0.2">
      <c r="A2145"/>
      <c r="B2145"/>
      <c r="C2145"/>
      <c r="D2145"/>
    </row>
    <row r="2146" spans="1:4" x14ac:dyDescent="0.2">
      <c r="A2146"/>
      <c r="B2146"/>
      <c r="C2146"/>
      <c r="D2146"/>
    </row>
    <row r="2147" spans="1:4" x14ac:dyDescent="0.2">
      <c r="A2147"/>
      <c r="B2147"/>
      <c r="C2147"/>
      <c r="D2147"/>
    </row>
    <row r="2148" spans="1:4" x14ac:dyDescent="0.2">
      <c r="A2148"/>
      <c r="B2148"/>
      <c r="C2148"/>
      <c r="D2148"/>
    </row>
    <row r="2149" spans="1:4" x14ac:dyDescent="0.2">
      <c r="A2149"/>
      <c r="B2149"/>
      <c r="C2149"/>
      <c r="D2149"/>
    </row>
    <row r="2150" spans="1:4" x14ac:dyDescent="0.2">
      <c r="A2150"/>
      <c r="B2150"/>
      <c r="C2150"/>
      <c r="D2150"/>
    </row>
    <row r="2151" spans="1:4" x14ac:dyDescent="0.2">
      <c r="A2151"/>
      <c r="B2151"/>
      <c r="C2151"/>
      <c r="D2151"/>
    </row>
    <row r="2152" spans="1:4" x14ac:dyDescent="0.2">
      <c r="A2152"/>
      <c r="B2152"/>
      <c r="C2152"/>
      <c r="D2152"/>
    </row>
    <row r="2153" spans="1:4" x14ac:dyDescent="0.2">
      <c r="A2153"/>
      <c r="B2153"/>
      <c r="C2153"/>
      <c r="D2153"/>
    </row>
    <row r="2154" spans="1:4" x14ac:dyDescent="0.2">
      <c r="A2154"/>
      <c r="B2154"/>
      <c r="C2154"/>
      <c r="D2154"/>
    </row>
    <row r="2155" spans="1:4" x14ac:dyDescent="0.2">
      <c r="A2155"/>
      <c r="B2155"/>
      <c r="C2155"/>
      <c r="D2155"/>
    </row>
    <row r="2156" spans="1:4" x14ac:dyDescent="0.2">
      <c r="A2156"/>
      <c r="B2156"/>
      <c r="C2156"/>
      <c r="D2156"/>
    </row>
    <row r="2157" spans="1:4" x14ac:dyDescent="0.2">
      <c r="A2157"/>
      <c r="B2157"/>
      <c r="C2157"/>
      <c r="D2157"/>
    </row>
    <row r="2158" spans="1:4" x14ac:dyDescent="0.2">
      <c r="A2158"/>
      <c r="B2158"/>
      <c r="C2158"/>
      <c r="D2158"/>
    </row>
    <row r="2159" spans="1:4" x14ac:dyDescent="0.2">
      <c r="A2159"/>
      <c r="B2159"/>
      <c r="C2159"/>
      <c r="D2159"/>
    </row>
    <row r="2160" spans="1:4" x14ac:dyDescent="0.2">
      <c r="A2160"/>
      <c r="B2160"/>
      <c r="C2160"/>
      <c r="D2160"/>
    </row>
    <row r="2161" spans="1:4" x14ac:dyDescent="0.2">
      <c r="A2161"/>
      <c r="B2161"/>
      <c r="C2161"/>
      <c r="D2161"/>
    </row>
    <row r="2162" spans="1:4" x14ac:dyDescent="0.2">
      <c r="A2162"/>
      <c r="B2162"/>
      <c r="C2162"/>
      <c r="D2162"/>
    </row>
    <row r="2163" spans="1:4" x14ac:dyDescent="0.2">
      <c r="A2163"/>
      <c r="B2163"/>
      <c r="C2163"/>
      <c r="D2163"/>
    </row>
    <row r="2164" spans="1:4" x14ac:dyDescent="0.2">
      <c r="A2164"/>
      <c r="B2164"/>
      <c r="C2164"/>
      <c r="D2164"/>
    </row>
    <row r="2165" spans="1:4" x14ac:dyDescent="0.2">
      <c r="A2165"/>
      <c r="B2165"/>
      <c r="C2165"/>
      <c r="D2165"/>
    </row>
    <row r="2166" spans="1:4" x14ac:dyDescent="0.2">
      <c r="A2166"/>
      <c r="B2166"/>
      <c r="C2166"/>
      <c r="D2166"/>
    </row>
    <row r="2167" spans="1:4" x14ac:dyDescent="0.2">
      <c r="A2167"/>
      <c r="B2167"/>
      <c r="C2167"/>
      <c r="D2167"/>
    </row>
    <row r="2168" spans="1:4" x14ac:dyDescent="0.2">
      <c r="A2168"/>
      <c r="B2168"/>
      <c r="C2168"/>
      <c r="D2168"/>
    </row>
    <row r="2169" spans="1:4" x14ac:dyDescent="0.2">
      <c r="A2169"/>
      <c r="B2169"/>
      <c r="C2169"/>
      <c r="D2169"/>
    </row>
    <row r="2170" spans="1:4" x14ac:dyDescent="0.2">
      <c r="A2170"/>
      <c r="B2170"/>
      <c r="C2170"/>
      <c r="D2170"/>
    </row>
    <row r="2171" spans="1:4" x14ac:dyDescent="0.2">
      <c r="A2171"/>
      <c r="B2171"/>
      <c r="C2171"/>
      <c r="D2171"/>
    </row>
    <row r="2172" spans="1:4" x14ac:dyDescent="0.2">
      <c r="A2172"/>
      <c r="B2172"/>
      <c r="C2172"/>
      <c r="D2172"/>
    </row>
    <row r="2173" spans="1:4" x14ac:dyDescent="0.2">
      <c r="A2173"/>
      <c r="B2173"/>
      <c r="C2173"/>
      <c r="D2173"/>
    </row>
    <row r="2174" spans="1:4" x14ac:dyDescent="0.2">
      <c r="A2174"/>
      <c r="B2174"/>
      <c r="C2174"/>
      <c r="D2174"/>
    </row>
    <row r="2175" spans="1:4" x14ac:dyDescent="0.2">
      <c r="A2175"/>
      <c r="B2175"/>
      <c r="C2175"/>
      <c r="D2175"/>
    </row>
    <row r="2176" spans="1:4" x14ac:dyDescent="0.2">
      <c r="A2176"/>
      <c r="B2176"/>
      <c r="C2176"/>
      <c r="D2176"/>
    </row>
    <row r="2177" spans="1:4" x14ac:dyDescent="0.2">
      <c r="A2177"/>
      <c r="B2177"/>
      <c r="C2177"/>
      <c r="D2177"/>
    </row>
    <row r="2178" spans="1:4" x14ac:dyDescent="0.2">
      <c r="A2178"/>
      <c r="B2178"/>
      <c r="C2178"/>
      <c r="D2178"/>
    </row>
    <row r="2179" spans="1:4" x14ac:dyDescent="0.2">
      <c r="A2179"/>
      <c r="B2179"/>
      <c r="C2179"/>
      <c r="D2179"/>
    </row>
    <row r="2180" spans="1:4" x14ac:dyDescent="0.2">
      <c r="A2180"/>
      <c r="B2180"/>
      <c r="C2180"/>
      <c r="D2180"/>
    </row>
    <row r="2181" spans="1:4" x14ac:dyDescent="0.2">
      <c r="A2181"/>
      <c r="B2181"/>
      <c r="C2181"/>
      <c r="D2181"/>
    </row>
    <row r="2182" spans="1:4" x14ac:dyDescent="0.2">
      <c r="A2182"/>
      <c r="B2182"/>
      <c r="C2182"/>
      <c r="D2182"/>
    </row>
    <row r="2183" spans="1:4" x14ac:dyDescent="0.2">
      <c r="A2183"/>
      <c r="B2183"/>
      <c r="C2183"/>
      <c r="D2183"/>
    </row>
    <row r="2184" spans="1:4" x14ac:dyDescent="0.2">
      <c r="A2184"/>
      <c r="B2184"/>
      <c r="C2184"/>
      <c r="D2184"/>
    </row>
    <row r="2185" spans="1:4" x14ac:dyDescent="0.2">
      <c r="A2185"/>
      <c r="B2185"/>
      <c r="C2185"/>
      <c r="D2185"/>
    </row>
    <row r="2186" spans="1:4" x14ac:dyDescent="0.2">
      <c r="A2186"/>
      <c r="B2186"/>
      <c r="C2186"/>
      <c r="D2186"/>
    </row>
    <row r="2187" spans="1:4" x14ac:dyDescent="0.2">
      <c r="A2187"/>
      <c r="B2187"/>
      <c r="C2187"/>
      <c r="D2187"/>
    </row>
    <row r="2188" spans="1:4" x14ac:dyDescent="0.2">
      <c r="A2188"/>
      <c r="B2188"/>
      <c r="C2188"/>
      <c r="D2188"/>
    </row>
    <row r="2189" spans="1:4" x14ac:dyDescent="0.2">
      <c r="A2189"/>
      <c r="B2189"/>
      <c r="C2189"/>
      <c r="D2189"/>
    </row>
    <row r="2190" spans="1:4" x14ac:dyDescent="0.2">
      <c r="A2190"/>
      <c r="B2190"/>
      <c r="C2190"/>
      <c r="D2190"/>
    </row>
    <row r="2191" spans="1:4" x14ac:dyDescent="0.2">
      <c r="A2191"/>
      <c r="B2191"/>
      <c r="C2191"/>
      <c r="D2191"/>
    </row>
    <row r="2192" spans="1:4" x14ac:dyDescent="0.2">
      <c r="A2192"/>
      <c r="B2192"/>
      <c r="C2192"/>
      <c r="D2192"/>
    </row>
    <row r="2193" spans="1:4" x14ac:dyDescent="0.2">
      <c r="A2193"/>
      <c r="B2193"/>
      <c r="C2193"/>
      <c r="D2193"/>
    </row>
    <row r="2194" spans="1:4" x14ac:dyDescent="0.2">
      <c r="A2194"/>
      <c r="B2194"/>
      <c r="C2194"/>
      <c r="D2194"/>
    </row>
    <row r="2195" spans="1:4" x14ac:dyDescent="0.2">
      <c r="A2195"/>
      <c r="B2195"/>
      <c r="C2195"/>
      <c r="D2195"/>
    </row>
    <row r="2196" spans="1:4" x14ac:dyDescent="0.2">
      <c r="A2196"/>
      <c r="B2196"/>
      <c r="C2196"/>
      <c r="D2196"/>
    </row>
    <row r="2197" spans="1:4" x14ac:dyDescent="0.2">
      <c r="A2197"/>
      <c r="B2197"/>
      <c r="C2197"/>
      <c r="D2197"/>
    </row>
    <row r="2198" spans="1:4" x14ac:dyDescent="0.2">
      <c r="A2198"/>
      <c r="B2198"/>
      <c r="C2198"/>
      <c r="D2198"/>
    </row>
    <row r="2199" spans="1:4" x14ac:dyDescent="0.2">
      <c r="A2199"/>
      <c r="B2199"/>
      <c r="C2199"/>
      <c r="D2199"/>
    </row>
    <row r="2200" spans="1:4" x14ac:dyDescent="0.2">
      <c r="A2200"/>
      <c r="B2200"/>
      <c r="C2200"/>
      <c r="D2200"/>
    </row>
    <row r="2201" spans="1:4" x14ac:dyDescent="0.2">
      <c r="A2201"/>
      <c r="B2201"/>
      <c r="C2201"/>
      <c r="D2201"/>
    </row>
    <row r="2202" spans="1:4" x14ac:dyDescent="0.2">
      <c r="A2202"/>
      <c r="B2202"/>
      <c r="C2202"/>
      <c r="D2202"/>
    </row>
    <row r="2203" spans="1:4" x14ac:dyDescent="0.2">
      <c r="A2203"/>
      <c r="B2203"/>
      <c r="C2203"/>
      <c r="D2203"/>
    </row>
    <row r="2204" spans="1:4" x14ac:dyDescent="0.2">
      <c r="A2204"/>
      <c r="B2204"/>
      <c r="C2204"/>
      <c r="D2204"/>
    </row>
    <row r="2205" spans="1:4" x14ac:dyDescent="0.2">
      <c r="A2205"/>
      <c r="B2205"/>
      <c r="C2205"/>
      <c r="D2205"/>
    </row>
    <row r="2206" spans="1:4" x14ac:dyDescent="0.2">
      <c r="A2206"/>
      <c r="B2206"/>
      <c r="C2206"/>
      <c r="D2206"/>
    </row>
    <row r="2207" spans="1:4" x14ac:dyDescent="0.2">
      <c r="A2207"/>
      <c r="B2207"/>
      <c r="C2207"/>
      <c r="D2207"/>
    </row>
    <row r="2208" spans="1:4" x14ac:dyDescent="0.2">
      <c r="A2208"/>
      <c r="B2208"/>
      <c r="C2208"/>
      <c r="D2208"/>
    </row>
    <row r="2209" spans="1:4" x14ac:dyDescent="0.2">
      <c r="A2209"/>
      <c r="B2209"/>
      <c r="C2209"/>
      <c r="D2209"/>
    </row>
    <row r="2210" spans="1:4" x14ac:dyDescent="0.2">
      <c r="A2210"/>
      <c r="B2210"/>
      <c r="C2210"/>
      <c r="D2210"/>
    </row>
    <row r="2211" spans="1:4" x14ac:dyDescent="0.2">
      <c r="A2211"/>
      <c r="B2211"/>
      <c r="C2211"/>
      <c r="D2211"/>
    </row>
    <row r="2212" spans="1:4" x14ac:dyDescent="0.2">
      <c r="A2212"/>
      <c r="B2212"/>
      <c r="C2212"/>
      <c r="D2212"/>
    </row>
    <row r="2213" spans="1:4" x14ac:dyDescent="0.2">
      <c r="A2213"/>
      <c r="B2213"/>
      <c r="C2213"/>
      <c r="D2213"/>
    </row>
    <row r="2214" spans="1:4" x14ac:dyDescent="0.2">
      <c r="A2214"/>
      <c r="B2214"/>
      <c r="C2214"/>
      <c r="D2214"/>
    </row>
    <row r="2215" spans="1:4" x14ac:dyDescent="0.2">
      <c r="A2215"/>
      <c r="B2215"/>
      <c r="C2215"/>
      <c r="D2215"/>
    </row>
    <row r="2216" spans="1:4" x14ac:dyDescent="0.2">
      <c r="A2216"/>
      <c r="B2216"/>
      <c r="C2216"/>
      <c r="D2216"/>
    </row>
    <row r="2217" spans="1:4" x14ac:dyDescent="0.2">
      <c r="A2217"/>
      <c r="B2217"/>
      <c r="C2217"/>
      <c r="D2217"/>
    </row>
    <row r="2218" spans="1:4" x14ac:dyDescent="0.2">
      <c r="A2218"/>
      <c r="B2218"/>
      <c r="C2218"/>
      <c r="D2218"/>
    </row>
    <row r="2219" spans="1:4" x14ac:dyDescent="0.2">
      <c r="A2219"/>
      <c r="B2219"/>
      <c r="C2219"/>
      <c r="D2219"/>
    </row>
    <row r="2220" spans="1:4" x14ac:dyDescent="0.2">
      <c r="A2220"/>
      <c r="B2220"/>
      <c r="C2220"/>
      <c r="D2220"/>
    </row>
    <row r="2221" spans="1:4" x14ac:dyDescent="0.2">
      <c r="A2221"/>
      <c r="B2221"/>
      <c r="C2221"/>
      <c r="D2221"/>
    </row>
    <row r="2222" spans="1:4" x14ac:dyDescent="0.2">
      <c r="A2222"/>
      <c r="B2222"/>
      <c r="C2222"/>
      <c r="D2222"/>
    </row>
    <row r="2223" spans="1:4" x14ac:dyDescent="0.2">
      <c r="A2223"/>
      <c r="B2223"/>
      <c r="C2223"/>
      <c r="D2223"/>
    </row>
    <row r="2224" spans="1:4" x14ac:dyDescent="0.2">
      <c r="A2224"/>
      <c r="B2224"/>
      <c r="C2224"/>
      <c r="D2224"/>
    </row>
    <row r="2225" spans="1:4" x14ac:dyDescent="0.2">
      <c r="A2225"/>
      <c r="B2225"/>
      <c r="C2225"/>
      <c r="D2225"/>
    </row>
    <row r="2226" spans="1:4" x14ac:dyDescent="0.2">
      <c r="A2226"/>
      <c r="B2226"/>
      <c r="C2226"/>
      <c r="D2226"/>
    </row>
    <row r="2227" spans="1:4" x14ac:dyDescent="0.2">
      <c r="A2227"/>
      <c r="B2227"/>
      <c r="C2227"/>
      <c r="D2227"/>
    </row>
    <row r="2228" spans="1:4" x14ac:dyDescent="0.2">
      <c r="A2228"/>
      <c r="B2228"/>
      <c r="C2228"/>
      <c r="D2228"/>
    </row>
    <row r="2229" spans="1:4" x14ac:dyDescent="0.2">
      <c r="A2229"/>
      <c r="B2229"/>
      <c r="C2229"/>
      <c r="D2229"/>
    </row>
    <row r="2230" spans="1:4" x14ac:dyDescent="0.2">
      <c r="A2230"/>
      <c r="B2230"/>
      <c r="C2230"/>
      <c r="D2230"/>
    </row>
    <row r="2231" spans="1:4" x14ac:dyDescent="0.2">
      <c r="A2231"/>
      <c r="B2231"/>
      <c r="C2231"/>
      <c r="D2231"/>
    </row>
    <row r="2232" spans="1:4" x14ac:dyDescent="0.2">
      <c r="A2232"/>
      <c r="B2232"/>
      <c r="C2232"/>
      <c r="D2232"/>
    </row>
    <row r="2233" spans="1:4" x14ac:dyDescent="0.2">
      <c r="A2233"/>
      <c r="B2233"/>
      <c r="C2233"/>
      <c r="D2233"/>
    </row>
    <row r="2234" spans="1:4" x14ac:dyDescent="0.2">
      <c r="A2234"/>
      <c r="B2234"/>
      <c r="C2234"/>
      <c r="D2234"/>
    </row>
    <row r="2235" spans="1:4" x14ac:dyDescent="0.2">
      <c r="A2235"/>
      <c r="B2235"/>
      <c r="C2235"/>
      <c r="D2235"/>
    </row>
    <row r="2236" spans="1:4" x14ac:dyDescent="0.2">
      <c r="A2236"/>
      <c r="B2236"/>
      <c r="C2236"/>
      <c r="D2236"/>
    </row>
    <row r="2237" spans="1:4" x14ac:dyDescent="0.2">
      <c r="A2237"/>
      <c r="B2237"/>
      <c r="C2237"/>
      <c r="D2237"/>
    </row>
    <row r="2238" spans="1:4" x14ac:dyDescent="0.2">
      <c r="A2238"/>
      <c r="B2238"/>
      <c r="C2238"/>
      <c r="D2238"/>
    </row>
    <row r="2239" spans="1:4" x14ac:dyDescent="0.2">
      <c r="A2239"/>
      <c r="B2239"/>
      <c r="C2239"/>
      <c r="D2239"/>
    </row>
    <row r="2240" spans="1:4" x14ac:dyDescent="0.2">
      <c r="A2240"/>
      <c r="B2240"/>
      <c r="C2240"/>
      <c r="D2240"/>
    </row>
    <row r="2241" spans="1:4" x14ac:dyDescent="0.2">
      <c r="A2241"/>
      <c r="B2241"/>
      <c r="C2241"/>
      <c r="D2241"/>
    </row>
    <row r="2242" spans="1:4" x14ac:dyDescent="0.2">
      <c r="A2242"/>
      <c r="B2242"/>
      <c r="C2242"/>
      <c r="D2242"/>
    </row>
    <row r="2243" spans="1:4" x14ac:dyDescent="0.2">
      <c r="A2243"/>
      <c r="B2243"/>
      <c r="C2243"/>
      <c r="D2243"/>
    </row>
    <row r="2244" spans="1:4" x14ac:dyDescent="0.2">
      <c r="A2244"/>
      <c r="B2244"/>
      <c r="C2244"/>
      <c r="D2244"/>
    </row>
    <row r="2245" spans="1:4" x14ac:dyDescent="0.2">
      <c r="A2245"/>
      <c r="B2245"/>
      <c r="C2245"/>
      <c r="D2245"/>
    </row>
    <row r="2246" spans="1:4" x14ac:dyDescent="0.2">
      <c r="A2246"/>
      <c r="B2246"/>
      <c r="C2246"/>
      <c r="D2246"/>
    </row>
    <row r="2247" spans="1:4" x14ac:dyDescent="0.2">
      <c r="A2247"/>
      <c r="B2247"/>
      <c r="C2247"/>
      <c r="D2247"/>
    </row>
    <row r="2248" spans="1:4" x14ac:dyDescent="0.2">
      <c r="A2248"/>
      <c r="B2248"/>
      <c r="C2248"/>
      <c r="D2248"/>
    </row>
    <row r="2249" spans="1:4" x14ac:dyDescent="0.2">
      <c r="A2249"/>
      <c r="B2249"/>
      <c r="C2249"/>
      <c r="D2249"/>
    </row>
    <row r="2250" spans="1:4" x14ac:dyDescent="0.2">
      <c r="A2250"/>
      <c r="B2250"/>
      <c r="C2250"/>
      <c r="D2250"/>
    </row>
    <row r="2251" spans="1:4" x14ac:dyDescent="0.2">
      <c r="A2251"/>
      <c r="B2251"/>
      <c r="C2251"/>
      <c r="D2251"/>
    </row>
    <row r="2252" spans="1:4" x14ac:dyDescent="0.2">
      <c r="A2252"/>
      <c r="B2252"/>
      <c r="C2252"/>
      <c r="D2252"/>
    </row>
    <row r="2253" spans="1:4" x14ac:dyDescent="0.2">
      <c r="A2253"/>
      <c r="B2253"/>
      <c r="C2253"/>
      <c r="D2253"/>
    </row>
    <row r="2254" spans="1:4" x14ac:dyDescent="0.2">
      <c r="A2254"/>
      <c r="B2254"/>
      <c r="C2254"/>
      <c r="D2254"/>
    </row>
    <row r="2255" spans="1:4" x14ac:dyDescent="0.2">
      <c r="A2255"/>
      <c r="B2255"/>
      <c r="C2255"/>
      <c r="D2255"/>
    </row>
    <row r="2256" spans="1:4" x14ac:dyDescent="0.2">
      <c r="A2256"/>
      <c r="B2256"/>
      <c r="C2256"/>
      <c r="D2256"/>
    </row>
    <row r="2257" spans="1:4" x14ac:dyDescent="0.2">
      <c r="A2257"/>
      <c r="B2257"/>
      <c r="C2257"/>
      <c r="D2257"/>
    </row>
    <row r="2258" spans="1:4" x14ac:dyDescent="0.2">
      <c r="A2258"/>
      <c r="B2258"/>
      <c r="C2258"/>
      <c r="D2258"/>
    </row>
    <row r="2259" spans="1:4" x14ac:dyDescent="0.2">
      <c r="A2259"/>
      <c r="B2259"/>
      <c r="C2259"/>
      <c r="D2259"/>
    </row>
    <row r="2260" spans="1:4" x14ac:dyDescent="0.2">
      <c r="A2260"/>
      <c r="B2260"/>
      <c r="C2260"/>
      <c r="D2260"/>
    </row>
    <row r="2261" spans="1:4" x14ac:dyDescent="0.2">
      <c r="A2261"/>
      <c r="B2261"/>
      <c r="C2261"/>
      <c r="D2261"/>
    </row>
    <row r="2262" spans="1:4" x14ac:dyDescent="0.2">
      <c r="A2262"/>
      <c r="B2262"/>
      <c r="C2262"/>
      <c r="D2262"/>
    </row>
    <row r="2263" spans="1:4" x14ac:dyDescent="0.2">
      <c r="A2263"/>
      <c r="B2263"/>
      <c r="C2263"/>
      <c r="D2263"/>
    </row>
    <row r="2264" spans="1:4" x14ac:dyDescent="0.2">
      <c r="A2264"/>
      <c r="B2264"/>
      <c r="C2264"/>
      <c r="D2264"/>
    </row>
    <row r="2265" spans="1:4" x14ac:dyDescent="0.2">
      <c r="A2265"/>
      <c r="B2265"/>
      <c r="C2265"/>
      <c r="D2265"/>
    </row>
    <row r="2266" spans="1:4" x14ac:dyDescent="0.2">
      <c r="A2266"/>
      <c r="B2266"/>
      <c r="C2266"/>
      <c r="D2266"/>
    </row>
    <row r="2267" spans="1:4" x14ac:dyDescent="0.2">
      <c r="A2267"/>
      <c r="B2267"/>
      <c r="C2267"/>
      <c r="D2267"/>
    </row>
    <row r="2268" spans="1:4" x14ac:dyDescent="0.2">
      <c r="A2268"/>
      <c r="B2268"/>
      <c r="C2268"/>
      <c r="D2268"/>
    </row>
    <row r="2269" spans="1:4" x14ac:dyDescent="0.2">
      <c r="A2269"/>
      <c r="B2269"/>
      <c r="C2269"/>
      <c r="D2269"/>
    </row>
    <row r="2270" spans="1:4" x14ac:dyDescent="0.2">
      <c r="A2270"/>
      <c r="B2270"/>
      <c r="C2270"/>
      <c r="D2270"/>
    </row>
    <row r="2271" spans="1:4" x14ac:dyDescent="0.2">
      <c r="A2271"/>
      <c r="B2271"/>
      <c r="C2271"/>
      <c r="D2271"/>
    </row>
    <row r="2272" spans="1:4" x14ac:dyDescent="0.2">
      <c r="A2272"/>
      <c r="B2272"/>
      <c r="C2272"/>
      <c r="D2272"/>
    </row>
    <row r="2273" spans="1:4" x14ac:dyDescent="0.2">
      <c r="A2273"/>
      <c r="B2273"/>
      <c r="C2273"/>
      <c r="D2273"/>
    </row>
    <row r="2274" spans="1:4" x14ac:dyDescent="0.2">
      <c r="A2274"/>
      <c r="B2274"/>
      <c r="C2274"/>
      <c r="D2274"/>
    </row>
    <row r="2275" spans="1:4" x14ac:dyDescent="0.2">
      <c r="A2275"/>
      <c r="B2275"/>
      <c r="C2275"/>
      <c r="D2275"/>
    </row>
    <row r="2276" spans="1:4" x14ac:dyDescent="0.2">
      <c r="A2276"/>
      <c r="B2276"/>
      <c r="C2276"/>
      <c r="D2276"/>
    </row>
    <row r="2277" spans="1:4" x14ac:dyDescent="0.2">
      <c r="A2277"/>
      <c r="B2277"/>
      <c r="C2277"/>
      <c r="D2277"/>
    </row>
    <row r="2278" spans="1:4" x14ac:dyDescent="0.2">
      <c r="A2278"/>
      <c r="B2278"/>
      <c r="C2278"/>
      <c r="D2278"/>
    </row>
    <row r="2279" spans="1:4" x14ac:dyDescent="0.2">
      <c r="A2279"/>
      <c r="B2279"/>
      <c r="C2279"/>
      <c r="D2279"/>
    </row>
    <row r="2280" spans="1:4" x14ac:dyDescent="0.2">
      <c r="A2280"/>
      <c r="B2280"/>
      <c r="C2280"/>
      <c r="D2280"/>
    </row>
    <row r="2281" spans="1:4" x14ac:dyDescent="0.2">
      <c r="A2281"/>
      <c r="B2281"/>
      <c r="C2281"/>
      <c r="D2281"/>
    </row>
    <row r="2282" spans="1:4" x14ac:dyDescent="0.2">
      <c r="A2282"/>
      <c r="B2282"/>
      <c r="C2282"/>
      <c r="D2282"/>
    </row>
    <row r="2283" spans="1:4" x14ac:dyDescent="0.2">
      <c r="A2283"/>
      <c r="B2283"/>
      <c r="C2283"/>
      <c r="D2283"/>
    </row>
    <row r="2284" spans="1:4" x14ac:dyDescent="0.2">
      <c r="A2284"/>
      <c r="B2284"/>
      <c r="C2284"/>
      <c r="D2284"/>
    </row>
    <row r="2285" spans="1:4" x14ac:dyDescent="0.2">
      <c r="A2285"/>
      <c r="B2285"/>
      <c r="C2285"/>
      <c r="D2285"/>
    </row>
    <row r="2286" spans="1:4" x14ac:dyDescent="0.2">
      <c r="A2286"/>
      <c r="B2286"/>
      <c r="C2286"/>
      <c r="D2286"/>
    </row>
    <row r="2287" spans="1:4" x14ac:dyDescent="0.2">
      <c r="A2287"/>
      <c r="B2287"/>
      <c r="C2287"/>
      <c r="D2287"/>
    </row>
    <row r="2288" spans="1:4" x14ac:dyDescent="0.2">
      <c r="A2288"/>
      <c r="B2288"/>
      <c r="C2288"/>
      <c r="D2288"/>
    </row>
    <row r="2289" spans="1:4" x14ac:dyDescent="0.2">
      <c r="A2289"/>
      <c r="B2289"/>
      <c r="C2289"/>
      <c r="D2289"/>
    </row>
    <row r="2290" spans="1:4" x14ac:dyDescent="0.2">
      <c r="A2290"/>
      <c r="B2290"/>
      <c r="C2290"/>
      <c r="D2290"/>
    </row>
    <row r="2291" spans="1:4" x14ac:dyDescent="0.2">
      <c r="A2291"/>
      <c r="B2291"/>
      <c r="C2291"/>
      <c r="D2291"/>
    </row>
    <row r="2292" spans="1:4" x14ac:dyDescent="0.2">
      <c r="A2292"/>
      <c r="B2292"/>
      <c r="C2292"/>
      <c r="D2292"/>
    </row>
    <row r="2293" spans="1:4" x14ac:dyDescent="0.2">
      <c r="A2293"/>
      <c r="B2293"/>
      <c r="C2293"/>
      <c r="D2293"/>
    </row>
    <row r="2294" spans="1:4" x14ac:dyDescent="0.2">
      <c r="A2294"/>
      <c r="B2294"/>
      <c r="C2294"/>
      <c r="D2294"/>
    </row>
    <row r="2295" spans="1:4" x14ac:dyDescent="0.2">
      <c r="A2295"/>
      <c r="B2295"/>
      <c r="C2295"/>
      <c r="D2295"/>
    </row>
    <row r="2296" spans="1:4" x14ac:dyDescent="0.2">
      <c r="A2296"/>
      <c r="B2296"/>
      <c r="C2296"/>
      <c r="D2296"/>
    </row>
    <row r="2297" spans="1:4" x14ac:dyDescent="0.2">
      <c r="A2297"/>
      <c r="B2297"/>
      <c r="C2297"/>
      <c r="D2297"/>
    </row>
    <row r="2298" spans="1:4" x14ac:dyDescent="0.2">
      <c r="A2298"/>
      <c r="B2298"/>
      <c r="C2298"/>
      <c r="D2298"/>
    </row>
    <row r="2299" spans="1:4" x14ac:dyDescent="0.2">
      <c r="A2299"/>
      <c r="B2299"/>
      <c r="C2299"/>
      <c r="D2299"/>
    </row>
    <row r="2300" spans="1:4" x14ac:dyDescent="0.2">
      <c r="A2300"/>
      <c r="B2300"/>
      <c r="C2300"/>
      <c r="D2300"/>
    </row>
    <row r="2301" spans="1:4" x14ac:dyDescent="0.2">
      <c r="A2301"/>
      <c r="B2301"/>
      <c r="C2301"/>
      <c r="D2301"/>
    </row>
    <row r="2302" spans="1:4" x14ac:dyDescent="0.2">
      <c r="A2302"/>
      <c r="B2302"/>
      <c r="C2302"/>
      <c r="D2302"/>
    </row>
    <row r="2303" spans="1:4" x14ac:dyDescent="0.2">
      <c r="A2303"/>
      <c r="B2303"/>
      <c r="C2303"/>
      <c r="D2303"/>
    </row>
    <row r="2304" spans="1:4" x14ac:dyDescent="0.2">
      <c r="A2304"/>
      <c r="B2304"/>
      <c r="C2304"/>
      <c r="D2304"/>
    </row>
    <row r="2305" spans="1:4" x14ac:dyDescent="0.2">
      <c r="A2305"/>
      <c r="B2305"/>
      <c r="C2305"/>
      <c r="D2305"/>
    </row>
    <row r="2306" spans="1:4" x14ac:dyDescent="0.2">
      <c r="A2306"/>
      <c r="B2306"/>
      <c r="C2306"/>
      <c r="D2306"/>
    </row>
    <row r="2307" spans="1:4" x14ac:dyDescent="0.2">
      <c r="A2307"/>
      <c r="B2307"/>
      <c r="C2307"/>
      <c r="D2307"/>
    </row>
    <row r="2308" spans="1:4" x14ac:dyDescent="0.2">
      <c r="A2308"/>
      <c r="B2308"/>
      <c r="C2308"/>
      <c r="D2308"/>
    </row>
    <row r="2309" spans="1:4" x14ac:dyDescent="0.2">
      <c r="A2309"/>
      <c r="B2309"/>
      <c r="C2309"/>
      <c r="D2309"/>
    </row>
    <row r="2310" spans="1:4" x14ac:dyDescent="0.2">
      <c r="A2310"/>
      <c r="B2310"/>
      <c r="C2310"/>
      <c r="D2310"/>
    </row>
    <row r="2311" spans="1:4" x14ac:dyDescent="0.2">
      <c r="A2311"/>
      <c r="B2311"/>
      <c r="C2311"/>
      <c r="D2311"/>
    </row>
    <row r="2312" spans="1:4" x14ac:dyDescent="0.2">
      <c r="A2312"/>
      <c r="B2312"/>
      <c r="C2312"/>
      <c r="D2312"/>
    </row>
    <row r="2313" spans="1:4" x14ac:dyDescent="0.2">
      <c r="A2313"/>
      <c r="B2313"/>
      <c r="C2313"/>
      <c r="D2313"/>
    </row>
    <row r="2314" spans="1:4" x14ac:dyDescent="0.2">
      <c r="A2314"/>
      <c r="B2314"/>
      <c r="C2314"/>
      <c r="D2314"/>
    </row>
    <row r="2315" spans="1:4" x14ac:dyDescent="0.2">
      <c r="A2315"/>
      <c r="B2315"/>
      <c r="C2315"/>
      <c r="D2315"/>
    </row>
    <row r="2316" spans="1:4" x14ac:dyDescent="0.2">
      <c r="A2316"/>
      <c r="B2316"/>
      <c r="C2316"/>
      <c r="D2316"/>
    </row>
    <row r="2317" spans="1:4" x14ac:dyDescent="0.2">
      <c r="A2317"/>
      <c r="B2317"/>
      <c r="C2317"/>
      <c r="D2317"/>
    </row>
    <row r="2318" spans="1:4" x14ac:dyDescent="0.2">
      <c r="A2318"/>
      <c r="B2318"/>
      <c r="C2318"/>
      <c r="D2318"/>
    </row>
    <row r="2319" spans="1:4" x14ac:dyDescent="0.2">
      <c r="A2319"/>
      <c r="B2319"/>
      <c r="C2319"/>
      <c r="D2319"/>
    </row>
    <row r="2320" spans="1:4" x14ac:dyDescent="0.2">
      <c r="A2320"/>
      <c r="B2320"/>
      <c r="C2320"/>
      <c r="D2320"/>
    </row>
    <row r="2321" spans="1:4" x14ac:dyDescent="0.2">
      <c r="A2321"/>
      <c r="B2321"/>
      <c r="C2321"/>
      <c r="D2321"/>
    </row>
    <row r="2322" spans="1:4" x14ac:dyDescent="0.2">
      <c r="A2322"/>
      <c r="B2322"/>
      <c r="C2322"/>
      <c r="D2322"/>
    </row>
    <row r="2323" spans="1:4" x14ac:dyDescent="0.2">
      <c r="A2323"/>
      <c r="B2323"/>
      <c r="C2323"/>
      <c r="D2323"/>
    </row>
    <row r="2324" spans="1:4" x14ac:dyDescent="0.2">
      <c r="A2324"/>
      <c r="B2324"/>
      <c r="C2324"/>
      <c r="D2324"/>
    </row>
    <row r="2325" spans="1:4" x14ac:dyDescent="0.2">
      <c r="A2325"/>
      <c r="B2325"/>
      <c r="C2325"/>
      <c r="D2325"/>
    </row>
    <row r="2326" spans="1:4" x14ac:dyDescent="0.2">
      <c r="A2326"/>
      <c r="B2326"/>
      <c r="C2326"/>
      <c r="D2326"/>
    </row>
    <row r="2327" spans="1:4" x14ac:dyDescent="0.2">
      <c r="A2327"/>
      <c r="B2327"/>
      <c r="C2327"/>
      <c r="D2327"/>
    </row>
    <row r="2328" spans="1:4" x14ac:dyDescent="0.2">
      <c r="A2328"/>
      <c r="B2328"/>
      <c r="C2328"/>
      <c r="D2328"/>
    </row>
    <row r="2329" spans="1:4" x14ac:dyDescent="0.2">
      <c r="A2329"/>
      <c r="B2329"/>
      <c r="C2329"/>
      <c r="D2329"/>
    </row>
    <row r="2330" spans="1:4" x14ac:dyDescent="0.2">
      <c r="A2330"/>
      <c r="B2330"/>
      <c r="C2330"/>
      <c r="D2330"/>
    </row>
    <row r="2331" spans="1:4" x14ac:dyDescent="0.2">
      <c r="A2331"/>
      <c r="B2331"/>
      <c r="C2331"/>
      <c r="D2331"/>
    </row>
    <row r="2332" spans="1:4" x14ac:dyDescent="0.2">
      <c r="A2332"/>
      <c r="B2332"/>
      <c r="C2332"/>
      <c r="D2332"/>
    </row>
    <row r="2333" spans="1:4" x14ac:dyDescent="0.2">
      <c r="A2333"/>
      <c r="B2333"/>
      <c r="C2333"/>
      <c r="D2333"/>
    </row>
    <row r="2334" spans="1:4" x14ac:dyDescent="0.2">
      <c r="A2334"/>
      <c r="B2334"/>
      <c r="C2334"/>
      <c r="D2334"/>
    </row>
    <row r="2335" spans="1:4" x14ac:dyDescent="0.2">
      <c r="A2335"/>
      <c r="B2335"/>
      <c r="C2335"/>
      <c r="D2335"/>
    </row>
    <row r="2336" spans="1:4" x14ac:dyDescent="0.2">
      <c r="A2336"/>
      <c r="B2336"/>
      <c r="C2336"/>
      <c r="D2336"/>
    </row>
    <row r="2337" spans="1:4" x14ac:dyDescent="0.2">
      <c r="A2337"/>
      <c r="B2337"/>
      <c r="C2337"/>
      <c r="D2337"/>
    </row>
    <row r="2338" spans="1:4" x14ac:dyDescent="0.2">
      <c r="A2338"/>
      <c r="B2338"/>
      <c r="C2338"/>
      <c r="D2338"/>
    </row>
    <row r="2339" spans="1:4" x14ac:dyDescent="0.2">
      <c r="A2339"/>
      <c r="B2339"/>
      <c r="C2339"/>
      <c r="D2339"/>
    </row>
    <row r="2340" spans="1:4" x14ac:dyDescent="0.2">
      <c r="A2340"/>
      <c r="B2340"/>
      <c r="C2340"/>
      <c r="D2340"/>
    </row>
    <row r="2341" spans="1:4" x14ac:dyDescent="0.2">
      <c r="A2341"/>
      <c r="B2341"/>
      <c r="C2341"/>
      <c r="D2341"/>
    </row>
    <row r="2342" spans="1:4" x14ac:dyDescent="0.2">
      <c r="A2342"/>
      <c r="B2342"/>
      <c r="C2342"/>
      <c r="D2342"/>
    </row>
    <row r="2343" spans="1:4" x14ac:dyDescent="0.2">
      <c r="A2343"/>
      <c r="B2343"/>
      <c r="C2343"/>
      <c r="D2343"/>
    </row>
    <row r="2344" spans="1:4" x14ac:dyDescent="0.2">
      <c r="A2344"/>
      <c r="B2344"/>
      <c r="C2344"/>
      <c r="D2344"/>
    </row>
    <row r="2345" spans="1:4" x14ac:dyDescent="0.2">
      <c r="A2345"/>
      <c r="B2345"/>
      <c r="C2345"/>
      <c r="D2345"/>
    </row>
    <row r="2346" spans="1:4" x14ac:dyDescent="0.2">
      <c r="A2346"/>
      <c r="B2346"/>
      <c r="C2346"/>
      <c r="D2346"/>
    </row>
    <row r="2347" spans="1:4" x14ac:dyDescent="0.2">
      <c r="A2347"/>
      <c r="B2347"/>
      <c r="C2347"/>
      <c r="D2347"/>
    </row>
    <row r="2348" spans="1:4" x14ac:dyDescent="0.2">
      <c r="A2348"/>
      <c r="B2348"/>
      <c r="C2348"/>
      <c r="D2348"/>
    </row>
    <row r="2349" spans="1:4" x14ac:dyDescent="0.2">
      <c r="A2349"/>
      <c r="B2349"/>
      <c r="C2349"/>
      <c r="D2349"/>
    </row>
    <row r="2350" spans="1:4" x14ac:dyDescent="0.2">
      <c r="A2350"/>
      <c r="B2350"/>
      <c r="C2350"/>
      <c r="D2350"/>
    </row>
    <row r="2351" spans="1:4" x14ac:dyDescent="0.2">
      <c r="A2351"/>
      <c r="B2351"/>
      <c r="C2351"/>
      <c r="D2351"/>
    </row>
    <row r="2352" spans="1:4" x14ac:dyDescent="0.2">
      <c r="A2352"/>
      <c r="B2352"/>
      <c r="C2352"/>
      <c r="D2352"/>
    </row>
    <row r="2353" spans="1:4" x14ac:dyDescent="0.2">
      <c r="A2353"/>
      <c r="B2353"/>
      <c r="C2353"/>
      <c r="D2353"/>
    </row>
    <row r="2354" spans="1:4" x14ac:dyDescent="0.2">
      <c r="A2354"/>
      <c r="B2354"/>
      <c r="C2354"/>
      <c r="D2354"/>
    </row>
    <row r="2355" spans="1:4" x14ac:dyDescent="0.2">
      <c r="A2355"/>
      <c r="B2355"/>
      <c r="C2355"/>
      <c r="D2355"/>
    </row>
    <row r="2356" spans="1:4" x14ac:dyDescent="0.2">
      <c r="A2356"/>
      <c r="B2356"/>
      <c r="C2356"/>
      <c r="D2356"/>
    </row>
    <row r="2357" spans="1:4" x14ac:dyDescent="0.2">
      <c r="A2357"/>
      <c r="B2357"/>
      <c r="C2357"/>
      <c r="D2357"/>
    </row>
    <row r="2358" spans="1:4" x14ac:dyDescent="0.2">
      <c r="A2358"/>
      <c r="B2358"/>
      <c r="C2358"/>
      <c r="D2358"/>
    </row>
    <row r="2359" spans="1:4" x14ac:dyDescent="0.2">
      <c r="A2359"/>
      <c r="B2359"/>
      <c r="C2359"/>
      <c r="D2359"/>
    </row>
    <row r="2360" spans="1:4" x14ac:dyDescent="0.2">
      <c r="A2360"/>
      <c r="B2360"/>
      <c r="C2360"/>
      <c r="D2360"/>
    </row>
    <row r="2361" spans="1:4" x14ac:dyDescent="0.2">
      <c r="A2361"/>
      <c r="B2361"/>
      <c r="C2361"/>
      <c r="D2361"/>
    </row>
    <row r="2362" spans="1:4" x14ac:dyDescent="0.2">
      <c r="A2362"/>
      <c r="B2362"/>
      <c r="C2362"/>
      <c r="D2362"/>
    </row>
    <row r="2363" spans="1:4" x14ac:dyDescent="0.2">
      <c r="A2363"/>
      <c r="B2363"/>
      <c r="C2363"/>
      <c r="D2363"/>
    </row>
    <row r="2364" spans="1:4" x14ac:dyDescent="0.2">
      <c r="A2364"/>
      <c r="B2364"/>
      <c r="C2364"/>
      <c r="D2364"/>
    </row>
    <row r="2365" spans="1:4" x14ac:dyDescent="0.2">
      <c r="A2365"/>
      <c r="B2365"/>
      <c r="C2365"/>
      <c r="D2365"/>
    </row>
    <row r="2366" spans="1:4" x14ac:dyDescent="0.2">
      <c r="A2366"/>
      <c r="B2366"/>
      <c r="C2366"/>
      <c r="D2366"/>
    </row>
    <row r="2367" spans="1:4" x14ac:dyDescent="0.2">
      <c r="A2367"/>
      <c r="B2367"/>
      <c r="C2367"/>
      <c r="D2367"/>
    </row>
    <row r="2368" spans="1:4" x14ac:dyDescent="0.2">
      <c r="A2368"/>
      <c r="B2368"/>
      <c r="C2368"/>
      <c r="D2368"/>
    </row>
    <row r="2369" spans="1:4" x14ac:dyDescent="0.2">
      <c r="A2369"/>
      <c r="B2369"/>
      <c r="C2369"/>
      <c r="D2369"/>
    </row>
    <row r="2370" spans="1:4" x14ac:dyDescent="0.2">
      <c r="A2370"/>
      <c r="B2370"/>
      <c r="C2370"/>
      <c r="D2370"/>
    </row>
    <row r="2371" spans="1:4" x14ac:dyDescent="0.2">
      <c r="A2371"/>
      <c r="B2371"/>
      <c r="C2371"/>
      <c r="D2371"/>
    </row>
    <row r="2372" spans="1:4" x14ac:dyDescent="0.2">
      <c r="A2372"/>
      <c r="B2372"/>
      <c r="C2372"/>
      <c r="D2372"/>
    </row>
    <row r="2373" spans="1:4" x14ac:dyDescent="0.2">
      <c r="A2373"/>
      <c r="B2373"/>
      <c r="C2373"/>
      <c r="D2373"/>
    </row>
    <row r="2374" spans="1:4" x14ac:dyDescent="0.2">
      <c r="A2374"/>
      <c r="B2374"/>
      <c r="C2374"/>
      <c r="D2374"/>
    </row>
    <row r="2375" spans="1:4" x14ac:dyDescent="0.2">
      <c r="A2375"/>
      <c r="B2375"/>
      <c r="C2375"/>
      <c r="D2375"/>
    </row>
    <row r="2376" spans="1:4" x14ac:dyDescent="0.2">
      <c r="A2376"/>
      <c r="B2376"/>
      <c r="C2376"/>
      <c r="D2376"/>
    </row>
    <row r="2377" spans="1:4" x14ac:dyDescent="0.2">
      <c r="A2377"/>
      <c r="B2377"/>
      <c r="C2377"/>
      <c r="D2377"/>
    </row>
    <row r="2378" spans="1:4" x14ac:dyDescent="0.2">
      <c r="A2378"/>
      <c r="B2378"/>
      <c r="C2378"/>
      <c r="D2378"/>
    </row>
    <row r="2379" spans="1:4" x14ac:dyDescent="0.2">
      <c r="A2379"/>
      <c r="B2379"/>
      <c r="C2379"/>
      <c r="D2379"/>
    </row>
    <row r="2380" spans="1:4" x14ac:dyDescent="0.2">
      <c r="A2380"/>
      <c r="B2380"/>
      <c r="C2380"/>
      <c r="D2380"/>
    </row>
    <row r="2381" spans="1:4" x14ac:dyDescent="0.2">
      <c r="A2381"/>
      <c r="B2381"/>
      <c r="C2381"/>
      <c r="D2381"/>
    </row>
    <row r="2382" spans="1:4" x14ac:dyDescent="0.2">
      <c r="A2382"/>
      <c r="B2382"/>
      <c r="C2382"/>
      <c r="D2382"/>
    </row>
    <row r="2383" spans="1:4" x14ac:dyDescent="0.2">
      <c r="A2383"/>
      <c r="B2383"/>
      <c r="C2383"/>
      <c r="D2383"/>
    </row>
    <row r="2384" spans="1:4" x14ac:dyDescent="0.2">
      <c r="A2384"/>
      <c r="B2384"/>
      <c r="C2384"/>
      <c r="D2384"/>
    </row>
    <row r="2385" spans="1:4" x14ac:dyDescent="0.2">
      <c r="A2385"/>
      <c r="B2385"/>
      <c r="C2385"/>
      <c r="D2385"/>
    </row>
    <row r="2386" spans="1:4" x14ac:dyDescent="0.2">
      <c r="A2386"/>
      <c r="B2386"/>
      <c r="C2386"/>
      <c r="D2386"/>
    </row>
    <row r="2387" spans="1:4" x14ac:dyDescent="0.2">
      <c r="A2387"/>
      <c r="B2387"/>
      <c r="C2387"/>
      <c r="D2387"/>
    </row>
    <row r="2388" spans="1:4" x14ac:dyDescent="0.2">
      <c r="A2388"/>
      <c r="B2388"/>
      <c r="C2388"/>
      <c r="D2388"/>
    </row>
    <row r="2389" spans="1:4" x14ac:dyDescent="0.2">
      <c r="A2389"/>
      <c r="B2389"/>
      <c r="C2389"/>
      <c r="D2389"/>
    </row>
    <row r="2390" spans="1:4" x14ac:dyDescent="0.2">
      <c r="A2390"/>
      <c r="B2390"/>
      <c r="C2390"/>
      <c r="D2390"/>
    </row>
    <row r="2391" spans="1:4" x14ac:dyDescent="0.2">
      <c r="A2391"/>
      <c r="B2391"/>
      <c r="C2391"/>
      <c r="D2391"/>
    </row>
    <row r="2392" spans="1:4" x14ac:dyDescent="0.2">
      <c r="A2392"/>
      <c r="B2392"/>
      <c r="C2392"/>
      <c r="D2392"/>
    </row>
    <row r="2393" spans="1:4" x14ac:dyDescent="0.2">
      <c r="A2393"/>
      <c r="B2393"/>
      <c r="C2393"/>
      <c r="D2393"/>
    </row>
    <row r="2394" spans="1:4" x14ac:dyDescent="0.2">
      <c r="A2394"/>
      <c r="B2394"/>
      <c r="C2394"/>
      <c r="D2394"/>
    </row>
    <row r="2395" spans="1:4" x14ac:dyDescent="0.2">
      <c r="A2395"/>
      <c r="B2395"/>
      <c r="C2395"/>
      <c r="D2395"/>
    </row>
    <row r="2396" spans="1:4" x14ac:dyDescent="0.2">
      <c r="A2396"/>
      <c r="B2396"/>
      <c r="C2396"/>
      <c r="D2396"/>
    </row>
    <row r="2397" spans="1:4" x14ac:dyDescent="0.2">
      <c r="A2397"/>
      <c r="B2397"/>
      <c r="C2397"/>
      <c r="D2397"/>
    </row>
    <row r="2398" spans="1:4" x14ac:dyDescent="0.2">
      <c r="A2398"/>
      <c r="B2398"/>
      <c r="C2398"/>
      <c r="D2398"/>
    </row>
    <row r="2399" spans="1:4" x14ac:dyDescent="0.2">
      <c r="A2399"/>
      <c r="B2399"/>
      <c r="C2399"/>
      <c r="D2399"/>
    </row>
    <row r="2400" spans="1:4" x14ac:dyDescent="0.2">
      <c r="A2400"/>
      <c r="B2400"/>
      <c r="C2400"/>
      <c r="D2400"/>
    </row>
    <row r="2401" spans="1:4" x14ac:dyDescent="0.2">
      <c r="A2401"/>
      <c r="B2401"/>
      <c r="C2401"/>
      <c r="D2401"/>
    </row>
    <row r="2402" spans="1:4" x14ac:dyDescent="0.2">
      <c r="A2402"/>
      <c r="B2402"/>
      <c r="C2402"/>
      <c r="D2402"/>
    </row>
    <row r="2403" spans="1:4" x14ac:dyDescent="0.2">
      <c r="A2403"/>
      <c r="B2403"/>
      <c r="C2403"/>
      <c r="D2403"/>
    </row>
    <row r="2404" spans="1:4" x14ac:dyDescent="0.2">
      <c r="A2404"/>
      <c r="B2404"/>
      <c r="C2404"/>
      <c r="D2404"/>
    </row>
    <row r="2405" spans="1:4" x14ac:dyDescent="0.2">
      <c r="A2405"/>
      <c r="B2405"/>
      <c r="C2405"/>
      <c r="D2405"/>
    </row>
    <row r="2406" spans="1:4" x14ac:dyDescent="0.2">
      <c r="A2406"/>
      <c r="B2406"/>
      <c r="C2406"/>
      <c r="D2406"/>
    </row>
    <row r="2407" spans="1:4" x14ac:dyDescent="0.2">
      <c r="A2407"/>
      <c r="B2407"/>
      <c r="C2407"/>
      <c r="D2407"/>
    </row>
    <row r="2408" spans="1:4" x14ac:dyDescent="0.2">
      <c r="A2408"/>
      <c r="B2408"/>
      <c r="C2408"/>
      <c r="D2408"/>
    </row>
    <row r="2409" spans="1:4" x14ac:dyDescent="0.2">
      <c r="A2409"/>
      <c r="B2409"/>
      <c r="C2409"/>
      <c r="D2409"/>
    </row>
    <row r="2410" spans="1:4" x14ac:dyDescent="0.2">
      <c r="A2410"/>
      <c r="B2410"/>
      <c r="C2410"/>
      <c r="D2410"/>
    </row>
    <row r="2411" spans="1:4" x14ac:dyDescent="0.2">
      <c r="A2411"/>
      <c r="B2411"/>
      <c r="C2411"/>
      <c r="D2411"/>
    </row>
    <row r="2412" spans="1:4" x14ac:dyDescent="0.2">
      <c r="A2412"/>
      <c r="B2412"/>
      <c r="C2412"/>
      <c r="D2412"/>
    </row>
    <row r="2413" spans="1:4" x14ac:dyDescent="0.2">
      <c r="A2413"/>
      <c r="B2413"/>
      <c r="C2413"/>
      <c r="D2413"/>
    </row>
    <row r="2414" spans="1:4" x14ac:dyDescent="0.2">
      <c r="A2414"/>
      <c r="B2414"/>
      <c r="C2414"/>
      <c r="D2414"/>
    </row>
    <row r="2415" spans="1:4" x14ac:dyDescent="0.2">
      <c r="A2415"/>
      <c r="B2415"/>
      <c r="C2415"/>
      <c r="D2415"/>
    </row>
    <row r="2416" spans="1:4" x14ac:dyDescent="0.2">
      <c r="A2416"/>
      <c r="B2416"/>
      <c r="C2416"/>
      <c r="D2416"/>
    </row>
    <row r="2417" spans="1:4" x14ac:dyDescent="0.2">
      <c r="A2417"/>
      <c r="B2417"/>
      <c r="C2417"/>
      <c r="D2417"/>
    </row>
    <row r="2418" spans="1:4" x14ac:dyDescent="0.2">
      <c r="A2418"/>
      <c r="B2418"/>
      <c r="C2418"/>
      <c r="D2418"/>
    </row>
    <row r="2419" spans="1:4" x14ac:dyDescent="0.2">
      <c r="A2419"/>
      <c r="B2419"/>
      <c r="C2419"/>
      <c r="D2419"/>
    </row>
    <row r="2420" spans="1:4" x14ac:dyDescent="0.2">
      <c r="A2420"/>
      <c r="B2420"/>
      <c r="C2420"/>
      <c r="D2420"/>
    </row>
    <row r="2421" spans="1:4" x14ac:dyDescent="0.2">
      <c r="A2421"/>
      <c r="B2421"/>
      <c r="C2421"/>
      <c r="D2421"/>
    </row>
    <row r="2422" spans="1:4" x14ac:dyDescent="0.2">
      <c r="A2422"/>
      <c r="B2422"/>
      <c r="C2422"/>
      <c r="D2422"/>
    </row>
    <row r="2423" spans="1:4" x14ac:dyDescent="0.2">
      <c r="A2423"/>
      <c r="B2423"/>
      <c r="C2423"/>
      <c r="D2423"/>
    </row>
    <row r="2424" spans="1:4" x14ac:dyDescent="0.2">
      <c r="A2424"/>
      <c r="B2424"/>
      <c r="C2424"/>
      <c r="D2424"/>
    </row>
    <row r="2425" spans="1:4" x14ac:dyDescent="0.2">
      <c r="A2425"/>
      <c r="B2425"/>
      <c r="C2425"/>
      <c r="D2425"/>
    </row>
    <row r="2426" spans="1:4" x14ac:dyDescent="0.2">
      <c r="A2426"/>
      <c r="B2426"/>
      <c r="C2426"/>
      <c r="D2426"/>
    </row>
    <row r="2427" spans="1:4" x14ac:dyDescent="0.2">
      <c r="A2427"/>
      <c r="B2427"/>
      <c r="C2427"/>
      <c r="D2427"/>
    </row>
    <row r="2428" spans="1:4" x14ac:dyDescent="0.2">
      <c r="A2428"/>
      <c r="B2428"/>
      <c r="C2428"/>
      <c r="D2428"/>
    </row>
    <row r="2429" spans="1:4" x14ac:dyDescent="0.2">
      <c r="A2429"/>
      <c r="B2429"/>
      <c r="C2429"/>
      <c r="D2429"/>
    </row>
    <row r="2430" spans="1:4" x14ac:dyDescent="0.2">
      <c r="A2430"/>
      <c r="B2430"/>
      <c r="C2430"/>
      <c r="D2430"/>
    </row>
    <row r="2431" spans="1:4" x14ac:dyDescent="0.2">
      <c r="A2431"/>
      <c r="B2431"/>
      <c r="C2431"/>
      <c r="D2431"/>
    </row>
    <row r="2432" spans="1:4" x14ac:dyDescent="0.2">
      <c r="A2432"/>
      <c r="B2432"/>
      <c r="C2432"/>
      <c r="D2432"/>
    </row>
    <row r="2433" spans="1:4" x14ac:dyDescent="0.2">
      <c r="A2433"/>
      <c r="B2433"/>
      <c r="C2433"/>
      <c r="D2433"/>
    </row>
    <row r="2434" spans="1:4" x14ac:dyDescent="0.2">
      <c r="A2434"/>
      <c r="B2434"/>
      <c r="C2434"/>
      <c r="D2434"/>
    </row>
    <row r="2435" spans="1:4" x14ac:dyDescent="0.2">
      <c r="A2435"/>
      <c r="B2435"/>
      <c r="C2435"/>
      <c r="D2435"/>
    </row>
    <row r="2436" spans="1:4" x14ac:dyDescent="0.2">
      <c r="A2436"/>
      <c r="B2436"/>
      <c r="C2436"/>
      <c r="D2436"/>
    </row>
    <row r="2437" spans="1:4" x14ac:dyDescent="0.2">
      <c r="A2437"/>
      <c r="B2437"/>
      <c r="C2437"/>
      <c r="D2437"/>
    </row>
    <row r="2438" spans="1:4" x14ac:dyDescent="0.2">
      <c r="A2438"/>
      <c r="B2438"/>
      <c r="C2438"/>
      <c r="D2438"/>
    </row>
    <row r="2439" spans="1:4" x14ac:dyDescent="0.2">
      <c r="A2439"/>
      <c r="B2439"/>
      <c r="C2439"/>
      <c r="D2439"/>
    </row>
    <row r="2440" spans="1:4" x14ac:dyDescent="0.2">
      <c r="A2440"/>
      <c r="B2440"/>
      <c r="C2440"/>
      <c r="D2440"/>
    </row>
    <row r="2441" spans="1:4" x14ac:dyDescent="0.2">
      <c r="A2441"/>
      <c r="B2441"/>
      <c r="C2441"/>
      <c r="D2441"/>
    </row>
    <row r="2442" spans="1:4" x14ac:dyDescent="0.2">
      <c r="A2442"/>
      <c r="B2442"/>
      <c r="C2442"/>
      <c r="D2442"/>
    </row>
    <row r="2443" spans="1:4" x14ac:dyDescent="0.2">
      <c r="A2443"/>
      <c r="B2443"/>
      <c r="C2443"/>
      <c r="D2443"/>
    </row>
    <row r="2444" spans="1:4" x14ac:dyDescent="0.2">
      <c r="A2444"/>
      <c r="B2444"/>
      <c r="C2444"/>
      <c r="D2444"/>
    </row>
    <row r="2445" spans="1:4" x14ac:dyDescent="0.2">
      <c r="A2445"/>
      <c r="B2445"/>
      <c r="C2445"/>
      <c r="D2445"/>
    </row>
    <row r="2446" spans="1:4" x14ac:dyDescent="0.2">
      <c r="A2446"/>
      <c r="B2446"/>
      <c r="C2446"/>
      <c r="D2446"/>
    </row>
    <row r="2447" spans="1:4" x14ac:dyDescent="0.2">
      <c r="A2447"/>
      <c r="B2447"/>
      <c r="C2447"/>
      <c r="D2447"/>
    </row>
    <row r="2448" spans="1:4" x14ac:dyDescent="0.2">
      <c r="A2448"/>
      <c r="B2448"/>
      <c r="C2448"/>
      <c r="D2448"/>
    </row>
    <row r="2449" spans="1:4" x14ac:dyDescent="0.2">
      <c r="A2449"/>
      <c r="B2449"/>
      <c r="C2449"/>
      <c r="D2449"/>
    </row>
    <row r="2450" spans="1:4" x14ac:dyDescent="0.2">
      <c r="A2450"/>
      <c r="B2450"/>
      <c r="C2450"/>
      <c r="D2450"/>
    </row>
    <row r="2451" spans="1:4" x14ac:dyDescent="0.2">
      <c r="A2451"/>
      <c r="B2451"/>
      <c r="C2451"/>
      <c r="D2451"/>
    </row>
    <row r="2452" spans="1:4" x14ac:dyDescent="0.2">
      <c r="A2452"/>
      <c r="B2452"/>
      <c r="C2452"/>
      <c r="D2452"/>
    </row>
    <row r="2453" spans="1:4" x14ac:dyDescent="0.2">
      <c r="A2453"/>
      <c r="B2453"/>
      <c r="C2453"/>
      <c r="D2453"/>
    </row>
    <row r="2454" spans="1:4" x14ac:dyDescent="0.2">
      <c r="A2454"/>
      <c r="B2454"/>
      <c r="C2454"/>
      <c r="D2454"/>
    </row>
    <row r="2455" spans="1:4" x14ac:dyDescent="0.2">
      <c r="A2455"/>
      <c r="B2455"/>
      <c r="C2455"/>
      <c r="D2455"/>
    </row>
    <row r="2456" spans="1:4" x14ac:dyDescent="0.2">
      <c r="A2456"/>
      <c r="B2456"/>
      <c r="C2456"/>
      <c r="D2456"/>
    </row>
    <row r="2457" spans="1:4" x14ac:dyDescent="0.2">
      <c r="A2457"/>
      <c r="B2457"/>
      <c r="C2457"/>
      <c r="D2457"/>
    </row>
    <row r="2458" spans="1:4" x14ac:dyDescent="0.2">
      <c r="A2458"/>
      <c r="B2458"/>
      <c r="C2458"/>
      <c r="D2458"/>
    </row>
    <row r="2459" spans="1:4" x14ac:dyDescent="0.2">
      <c r="A2459"/>
      <c r="B2459"/>
      <c r="C2459"/>
      <c r="D2459"/>
    </row>
    <row r="2460" spans="1:4" x14ac:dyDescent="0.2">
      <c r="A2460"/>
      <c r="B2460"/>
      <c r="C2460"/>
      <c r="D2460"/>
    </row>
    <row r="2461" spans="1:4" x14ac:dyDescent="0.2">
      <c r="A2461"/>
      <c r="B2461"/>
      <c r="C2461"/>
      <c r="D2461"/>
    </row>
    <row r="2462" spans="1:4" x14ac:dyDescent="0.2">
      <c r="A2462"/>
      <c r="B2462"/>
      <c r="C2462"/>
      <c r="D2462"/>
    </row>
    <row r="2463" spans="1:4" x14ac:dyDescent="0.2">
      <c r="A2463"/>
      <c r="B2463"/>
      <c r="C2463"/>
      <c r="D2463"/>
    </row>
    <row r="2464" spans="1:4" x14ac:dyDescent="0.2">
      <c r="A2464"/>
      <c r="B2464"/>
      <c r="C2464"/>
      <c r="D2464"/>
    </row>
    <row r="2465" spans="1:4" x14ac:dyDescent="0.2">
      <c r="A2465"/>
      <c r="B2465"/>
      <c r="C2465"/>
      <c r="D2465"/>
    </row>
    <row r="2466" spans="1:4" x14ac:dyDescent="0.2">
      <c r="A2466"/>
      <c r="B2466"/>
      <c r="C2466"/>
      <c r="D2466"/>
    </row>
    <row r="2467" spans="1:4" x14ac:dyDescent="0.2">
      <c r="A2467"/>
      <c r="B2467"/>
      <c r="C2467"/>
      <c r="D2467"/>
    </row>
    <row r="2468" spans="1:4" x14ac:dyDescent="0.2">
      <c r="A2468"/>
      <c r="B2468"/>
      <c r="C2468"/>
      <c r="D2468"/>
    </row>
    <row r="2469" spans="1:4" x14ac:dyDescent="0.2">
      <c r="A2469"/>
      <c r="B2469"/>
      <c r="C2469"/>
      <c r="D2469"/>
    </row>
    <row r="2470" spans="1:4" x14ac:dyDescent="0.2">
      <c r="A2470"/>
      <c r="B2470"/>
      <c r="C2470"/>
      <c r="D2470"/>
    </row>
    <row r="2471" spans="1:4" x14ac:dyDescent="0.2">
      <c r="A2471"/>
      <c r="B2471"/>
      <c r="C2471"/>
      <c r="D2471"/>
    </row>
    <row r="2472" spans="1:4" x14ac:dyDescent="0.2">
      <c r="A2472"/>
      <c r="B2472"/>
      <c r="C2472"/>
      <c r="D2472"/>
    </row>
    <row r="2473" spans="1:4" x14ac:dyDescent="0.2">
      <c r="A2473"/>
      <c r="B2473"/>
      <c r="C2473"/>
      <c r="D2473"/>
    </row>
    <row r="2474" spans="1:4" x14ac:dyDescent="0.2">
      <c r="A2474"/>
      <c r="B2474"/>
      <c r="C2474"/>
      <c r="D2474"/>
    </row>
    <row r="2475" spans="1:4" x14ac:dyDescent="0.2">
      <c r="A2475"/>
      <c r="B2475"/>
      <c r="C2475"/>
      <c r="D2475"/>
    </row>
    <row r="2476" spans="1:4" x14ac:dyDescent="0.2">
      <c r="A2476"/>
      <c r="B2476"/>
      <c r="C2476"/>
      <c r="D2476"/>
    </row>
    <row r="2477" spans="1:4" x14ac:dyDescent="0.2">
      <c r="A2477"/>
      <c r="B2477"/>
      <c r="C2477"/>
      <c r="D2477"/>
    </row>
    <row r="2478" spans="1:4" x14ac:dyDescent="0.2">
      <c r="A2478"/>
      <c r="B2478"/>
      <c r="C2478"/>
      <c r="D2478"/>
    </row>
    <row r="2479" spans="1:4" x14ac:dyDescent="0.2">
      <c r="A2479"/>
      <c r="B2479"/>
      <c r="C2479"/>
      <c r="D2479"/>
    </row>
    <row r="2480" spans="1:4" x14ac:dyDescent="0.2">
      <c r="A2480"/>
      <c r="B2480"/>
      <c r="C2480"/>
      <c r="D2480"/>
    </row>
    <row r="2481" spans="1:4" x14ac:dyDescent="0.2">
      <c r="A2481"/>
      <c r="B2481"/>
      <c r="C2481"/>
      <c r="D2481"/>
    </row>
    <row r="2482" spans="1:4" x14ac:dyDescent="0.2">
      <c r="A2482"/>
      <c r="B2482"/>
      <c r="C2482"/>
      <c r="D2482"/>
    </row>
    <row r="2483" spans="1:4" x14ac:dyDescent="0.2">
      <c r="A2483"/>
      <c r="B2483"/>
      <c r="C2483"/>
      <c r="D2483"/>
    </row>
    <row r="2484" spans="1:4" x14ac:dyDescent="0.2">
      <c r="A2484"/>
      <c r="B2484"/>
      <c r="C2484"/>
      <c r="D2484"/>
    </row>
    <row r="2485" spans="1:4" x14ac:dyDescent="0.2">
      <c r="A2485"/>
      <c r="B2485"/>
      <c r="C2485"/>
      <c r="D2485"/>
    </row>
    <row r="2486" spans="1:4" x14ac:dyDescent="0.2">
      <c r="A2486"/>
      <c r="B2486"/>
      <c r="C2486"/>
      <c r="D2486"/>
    </row>
    <row r="2487" spans="1:4" x14ac:dyDescent="0.2">
      <c r="A2487"/>
      <c r="B2487"/>
      <c r="C2487"/>
      <c r="D2487"/>
    </row>
    <row r="2488" spans="1:4" x14ac:dyDescent="0.2">
      <c r="A2488"/>
      <c r="B2488"/>
      <c r="C2488"/>
      <c r="D2488"/>
    </row>
    <row r="2489" spans="1:4" x14ac:dyDescent="0.2">
      <c r="A2489"/>
      <c r="B2489"/>
      <c r="C2489"/>
      <c r="D2489"/>
    </row>
    <row r="2490" spans="1:4" x14ac:dyDescent="0.2">
      <c r="A2490"/>
      <c r="B2490"/>
      <c r="C2490"/>
      <c r="D2490"/>
    </row>
    <row r="2491" spans="1:4" x14ac:dyDescent="0.2">
      <c r="A2491"/>
      <c r="B2491"/>
      <c r="C2491"/>
      <c r="D2491"/>
    </row>
    <row r="2492" spans="1:4" x14ac:dyDescent="0.2">
      <c r="A2492"/>
      <c r="B2492"/>
      <c r="C2492"/>
      <c r="D2492"/>
    </row>
    <row r="2493" spans="1:4" x14ac:dyDescent="0.2">
      <c r="A2493"/>
      <c r="B2493"/>
      <c r="C2493"/>
      <c r="D2493"/>
    </row>
    <row r="2494" spans="1:4" x14ac:dyDescent="0.2">
      <c r="A2494"/>
      <c r="B2494"/>
      <c r="C2494"/>
      <c r="D2494"/>
    </row>
    <row r="2495" spans="1:4" x14ac:dyDescent="0.2">
      <c r="A2495"/>
      <c r="B2495"/>
      <c r="C2495"/>
      <c r="D2495"/>
    </row>
    <row r="2496" spans="1:4" x14ac:dyDescent="0.2">
      <c r="A2496"/>
      <c r="B2496"/>
      <c r="C2496"/>
      <c r="D2496"/>
    </row>
    <row r="2497" spans="1:4" x14ac:dyDescent="0.2">
      <c r="A2497"/>
      <c r="B2497"/>
      <c r="C2497"/>
      <c r="D2497"/>
    </row>
    <row r="2498" spans="1:4" x14ac:dyDescent="0.2">
      <c r="A2498"/>
      <c r="B2498"/>
      <c r="C2498"/>
      <c r="D2498"/>
    </row>
    <row r="2499" spans="1:4" x14ac:dyDescent="0.2">
      <c r="A2499"/>
      <c r="B2499"/>
      <c r="C2499"/>
      <c r="D2499"/>
    </row>
    <row r="2500" spans="1:4" x14ac:dyDescent="0.2">
      <c r="A2500"/>
      <c r="B2500"/>
      <c r="C2500"/>
      <c r="D2500"/>
    </row>
    <row r="2501" spans="1:4" x14ac:dyDescent="0.2">
      <c r="A2501"/>
      <c r="B2501"/>
      <c r="C2501"/>
      <c r="D2501"/>
    </row>
    <row r="2502" spans="1:4" x14ac:dyDescent="0.2">
      <c r="A2502"/>
      <c r="B2502"/>
      <c r="C2502"/>
      <c r="D2502"/>
    </row>
    <row r="2503" spans="1:4" x14ac:dyDescent="0.2">
      <c r="A2503"/>
      <c r="B2503"/>
      <c r="C2503"/>
      <c r="D2503"/>
    </row>
    <row r="2504" spans="1:4" x14ac:dyDescent="0.2">
      <c r="A2504"/>
      <c r="B2504"/>
      <c r="C2504"/>
      <c r="D2504"/>
    </row>
    <row r="2505" spans="1:4" x14ac:dyDescent="0.2">
      <c r="A2505"/>
      <c r="B2505"/>
      <c r="C2505"/>
      <c r="D2505"/>
    </row>
    <row r="2506" spans="1:4" x14ac:dyDescent="0.2">
      <c r="A2506"/>
      <c r="B2506"/>
      <c r="C2506"/>
      <c r="D2506"/>
    </row>
    <row r="2507" spans="1:4" x14ac:dyDescent="0.2">
      <c r="A2507"/>
      <c r="B2507"/>
      <c r="C2507"/>
      <c r="D2507"/>
    </row>
    <row r="2508" spans="1:4" x14ac:dyDescent="0.2">
      <c r="A2508"/>
      <c r="B2508"/>
      <c r="C2508"/>
      <c r="D2508"/>
    </row>
    <row r="2509" spans="1:4" x14ac:dyDescent="0.2">
      <c r="A2509"/>
      <c r="B2509"/>
      <c r="C2509"/>
      <c r="D2509"/>
    </row>
    <row r="2510" spans="1:4" x14ac:dyDescent="0.2">
      <c r="A2510"/>
      <c r="B2510"/>
      <c r="C2510"/>
      <c r="D2510"/>
    </row>
    <row r="2511" spans="1:4" x14ac:dyDescent="0.2">
      <c r="A2511"/>
      <c r="B2511"/>
      <c r="C2511"/>
      <c r="D2511"/>
    </row>
    <row r="2512" spans="1:4" x14ac:dyDescent="0.2">
      <c r="A2512"/>
      <c r="B2512"/>
      <c r="C2512"/>
      <c r="D2512"/>
    </row>
    <row r="2513" spans="1:4" x14ac:dyDescent="0.2">
      <c r="A2513"/>
      <c r="B2513"/>
      <c r="C2513"/>
      <c r="D2513"/>
    </row>
    <row r="2514" spans="1:4" x14ac:dyDescent="0.2">
      <c r="A2514"/>
      <c r="B2514"/>
      <c r="C2514"/>
      <c r="D2514"/>
    </row>
    <row r="2515" spans="1:4" x14ac:dyDescent="0.2">
      <c r="A2515"/>
      <c r="B2515"/>
      <c r="C2515"/>
      <c r="D2515"/>
    </row>
    <row r="2516" spans="1:4" x14ac:dyDescent="0.2">
      <c r="A2516"/>
      <c r="B2516"/>
      <c r="C2516"/>
      <c r="D2516"/>
    </row>
    <row r="2517" spans="1:4" x14ac:dyDescent="0.2">
      <c r="A2517"/>
      <c r="B2517"/>
      <c r="C2517"/>
      <c r="D2517"/>
    </row>
    <row r="2518" spans="1:4" x14ac:dyDescent="0.2">
      <c r="A2518"/>
      <c r="B2518"/>
      <c r="C2518"/>
      <c r="D2518"/>
    </row>
    <row r="2519" spans="1:4" x14ac:dyDescent="0.2">
      <c r="A2519"/>
      <c r="B2519"/>
      <c r="C2519"/>
      <c r="D2519"/>
    </row>
    <row r="2520" spans="1:4" x14ac:dyDescent="0.2">
      <c r="A2520"/>
      <c r="B2520"/>
      <c r="C2520"/>
      <c r="D2520"/>
    </row>
    <row r="2521" spans="1:4" x14ac:dyDescent="0.2">
      <c r="A2521"/>
      <c r="B2521"/>
      <c r="C2521"/>
      <c r="D2521"/>
    </row>
    <row r="2522" spans="1:4" x14ac:dyDescent="0.2">
      <c r="A2522"/>
      <c r="B2522"/>
      <c r="C2522"/>
      <c r="D2522"/>
    </row>
    <row r="2523" spans="1:4" x14ac:dyDescent="0.2">
      <c r="A2523"/>
      <c r="B2523"/>
      <c r="C2523"/>
      <c r="D2523"/>
    </row>
    <row r="2524" spans="1:4" x14ac:dyDescent="0.2">
      <c r="A2524"/>
      <c r="B2524"/>
      <c r="C2524"/>
      <c r="D2524"/>
    </row>
    <row r="2525" spans="1:4" x14ac:dyDescent="0.2">
      <c r="A2525"/>
      <c r="B2525"/>
      <c r="C2525"/>
      <c r="D2525"/>
    </row>
    <row r="2526" spans="1:4" x14ac:dyDescent="0.2">
      <c r="A2526"/>
      <c r="B2526"/>
      <c r="C2526"/>
      <c r="D2526"/>
    </row>
    <row r="2527" spans="1:4" x14ac:dyDescent="0.2">
      <c r="A2527"/>
      <c r="B2527"/>
      <c r="C2527"/>
      <c r="D2527"/>
    </row>
    <row r="2528" spans="1:4" x14ac:dyDescent="0.2">
      <c r="A2528"/>
      <c r="B2528"/>
      <c r="C2528"/>
      <c r="D2528"/>
    </row>
    <row r="2529" spans="1:4" x14ac:dyDescent="0.2">
      <c r="A2529"/>
      <c r="B2529"/>
      <c r="C2529"/>
      <c r="D2529"/>
    </row>
    <row r="2530" spans="1:4" x14ac:dyDescent="0.2">
      <c r="A2530"/>
      <c r="B2530"/>
      <c r="C2530"/>
      <c r="D2530"/>
    </row>
    <row r="2531" spans="1:4" x14ac:dyDescent="0.2">
      <c r="A2531"/>
      <c r="B2531"/>
      <c r="C2531"/>
      <c r="D2531"/>
    </row>
    <row r="2532" spans="1:4" x14ac:dyDescent="0.2">
      <c r="A2532"/>
      <c r="B2532"/>
      <c r="C2532"/>
      <c r="D2532"/>
    </row>
    <row r="2533" spans="1:4" x14ac:dyDescent="0.2">
      <c r="A2533"/>
      <c r="B2533"/>
      <c r="C2533"/>
      <c r="D2533"/>
    </row>
    <row r="2534" spans="1:4" x14ac:dyDescent="0.2">
      <c r="A2534"/>
      <c r="B2534"/>
      <c r="C2534"/>
      <c r="D2534"/>
    </row>
    <row r="2535" spans="1:4" x14ac:dyDescent="0.2">
      <c r="A2535"/>
      <c r="B2535"/>
      <c r="C2535"/>
      <c r="D2535"/>
    </row>
    <row r="2536" spans="1:4" x14ac:dyDescent="0.2">
      <c r="A2536"/>
      <c r="B2536"/>
      <c r="C2536"/>
      <c r="D2536"/>
    </row>
    <row r="2537" spans="1:4" x14ac:dyDescent="0.2">
      <c r="A2537"/>
      <c r="B2537"/>
      <c r="C2537"/>
      <c r="D2537"/>
    </row>
    <row r="2538" spans="1:4" x14ac:dyDescent="0.2">
      <c r="A2538"/>
      <c r="B2538"/>
      <c r="C2538"/>
      <c r="D2538"/>
    </row>
    <row r="2539" spans="1:4" x14ac:dyDescent="0.2">
      <c r="A2539"/>
      <c r="B2539"/>
      <c r="C2539"/>
      <c r="D2539"/>
    </row>
    <row r="2540" spans="1:4" x14ac:dyDescent="0.2">
      <c r="A2540"/>
      <c r="B2540"/>
      <c r="C2540"/>
      <c r="D2540"/>
    </row>
    <row r="2541" spans="1:4" x14ac:dyDescent="0.2">
      <c r="A2541"/>
      <c r="B2541"/>
      <c r="C2541"/>
      <c r="D2541"/>
    </row>
    <row r="2542" spans="1:4" x14ac:dyDescent="0.2">
      <c r="A2542"/>
      <c r="B2542"/>
      <c r="C2542"/>
      <c r="D2542"/>
    </row>
    <row r="2543" spans="1:4" x14ac:dyDescent="0.2">
      <c r="A2543"/>
      <c r="B2543"/>
      <c r="C2543"/>
      <c r="D2543"/>
    </row>
    <row r="2544" spans="1:4" x14ac:dyDescent="0.2">
      <c r="A2544"/>
      <c r="B2544"/>
      <c r="C2544"/>
      <c r="D2544"/>
    </row>
    <row r="2545" spans="1:4" x14ac:dyDescent="0.2">
      <c r="A2545"/>
      <c r="B2545"/>
      <c r="C2545"/>
      <c r="D2545"/>
    </row>
    <row r="2546" spans="1:4" x14ac:dyDescent="0.2">
      <c r="A2546"/>
      <c r="B2546"/>
      <c r="C2546"/>
      <c r="D2546"/>
    </row>
    <row r="2547" spans="1:4" x14ac:dyDescent="0.2">
      <c r="A2547"/>
      <c r="B2547"/>
      <c r="C2547"/>
      <c r="D2547"/>
    </row>
    <row r="2548" spans="1:4" x14ac:dyDescent="0.2">
      <c r="A2548"/>
      <c r="B2548"/>
      <c r="C2548"/>
      <c r="D2548"/>
    </row>
    <row r="2549" spans="1:4" x14ac:dyDescent="0.2">
      <c r="A2549"/>
      <c r="B2549"/>
      <c r="C2549"/>
      <c r="D2549"/>
    </row>
    <row r="2550" spans="1:4" x14ac:dyDescent="0.2">
      <c r="A2550"/>
      <c r="B2550"/>
      <c r="C2550"/>
      <c r="D2550"/>
    </row>
    <row r="2551" spans="1:4" x14ac:dyDescent="0.2">
      <c r="A2551"/>
      <c r="B2551"/>
      <c r="C2551"/>
      <c r="D2551"/>
    </row>
    <row r="2552" spans="1:4" x14ac:dyDescent="0.2">
      <c r="A2552"/>
      <c r="B2552"/>
      <c r="C2552"/>
      <c r="D2552"/>
    </row>
    <row r="2553" spans="1:4" x14ac:dyDescent="0.2">
      <c r="A2553"/>
      <c r="B2553"/>
      <c r="C2553"/>
      <c r="D2553"/>
    </row>
    <row r="2554" spans="1:4" x14ac:dyDescent="0.2">
      <c r="A2554"/>
      <c r="B2554"/>
      <c r="C2554"/>
      <c r="D2554"/>
    </row>
    <row r="2555" spans="1:4" x14ac:dyDescent="0.2">
      <c r="A2555"/>
      <c r="B2555"/>
      <c r="C2555"/>
      <c r="D2555"/>
    </row>
    <row r="2556" spans="1:4" x14ac:dyDescent="0.2">
      <c r="A2556"/>
      <c r="B2556"/>
      <c r="C2556"/>
      <c r="D2556"/>
    </row>
    <row r="2557" spans="1:4" x14ac:dyDescent="0.2">
      <c r="A2557"/>
      <c r="B2557"/>
      <c r="C2557"/>
      <c r="D2557"/>
    </row>
    <row r="2558" spans="1:4" x14ac:dyDescent="0.2">
      <c r="A2558"/>
      <c r="B2558"/>
      <c r="C2558"/>
      <c r="D2558"/>
    </row>
    <row r="2559" spans="1:4" x14ac:dyDescent="0.2">
      <c r="A2559"/>
      <c r="B2559"/>
      <c r="C2559"/>
      <c r="D2559"/>
    </row>
    <row r="2560" spans="1:4" x14ac:dyDescent="0.2">
      <c r="A2560"/>
      <c r="B2560"/>
      <c r="C2560"/>
      <c r="D2560"/>
    </row>
    <row r="2561" spans="1:4" x14ac:dyDescent="0.2">
      <c r="A2561"/>
      <c r="B2561"/>
      <c r="C2561"/>
      <c r="D2561"/>
    </row>
    <row r="2562" spans="1:4" x14ac:dyDescent="0.2">
      <c r="A2562"/>
      <c r="B2562"/>
      <c r="C2562"/>
      <c r="D2562"/>
    </row>
    <row r="2563" spans="1:4" x14ac:dyDescent="0.2">
      <c r="A2563"/>
      <c r="B2563"/>
      <c r="C2563"/>
      <c r="D2563"/>
    </row>
    <row r="2564" spans="1:4" x14ac:dyDescent="0.2">
      <c r="A2564"/>
      <c r="B2564"/>
      <c r="C2564"/>
      <c r="D2564"/>
    </row>
    <row r="2565" spans="1:4" x14ac:dyDescent="0.2">
      <c r="A2565"/>
      <c r="B2565"/>
      <c r="C2565"/>
      <c r="D2565"/>
    </row>
    <row r="2566" spans="1:4" x14ac:dyDescent="0.2">
      <c r="A2566"/>
      <c r="B2566"/>
      <c r="C2566"/>
      <c r="D2566"/>
    </row>
    <row r="2567" spans="1:4" x14ac:dyDescent="0.2">
      <c r="A2567"/>
      <c r="B2567"/>
      <c r="C2567"/>
      <c r="D2567"/>
    </row>
    <row r="2568" spans="1:4" x14ac:dyDescent="0.2">
      <c r="A2568"/>
      <c r="B2568"/>
      <c r="C2568"/>
      <c r="D2568"/>
    </row>
    <row r="2569" spans="1:4" x14ac:dyDescent="0.2">
      <c r="A2569"/>
      <c r="B2569"/>
      <c r="C2569"/>
      <c r="D2569"/>
    </row>
    <row r="2570" spans="1:4" x14ac:dyDescent="0.2">
      <c r="A2570"/>
      <c r="B2570"/>
      <c r="C2570"/>
      <c r="D2570"/>
    </row>
    <row r="2571" spans="1:4" x14ac:dyDescent="0.2">
      <c r="A2571"/>
      <c r="B2571"/>
      <c r="C2571"/>
      <c r="D2571"/>
    </row>
    <row r="2572" spans="1:4" x14ac:dyDescent="0.2">
      <c r="A2572"/>
      <c r="B2572"/>
      <c r="C2572"/>
      <c r="D2572"/>
    </row>
    <row r="2573" spans="1:4" x14ac:dyDescent="0.2">
      <c r="A2573"/>
      <c r="B2573"/>
      <c r="C2573"/>
      <c r="D2573"/>
    </row>
    <row r="2574" spans="1:4" x14ac:dyDescent="0.2">
      <c r="A2574"/>
      <c r="B2574"/>
      <c r="C2574"/>
      <c r="D2574"/>
    </row>
    <row r="2575" spans="1:4" x14ac:dyDescent="0.2">
      <c r="A2575"/>
      <c r="B2575"/>
      <c r="C2575"/>
      <c r="D2575"/>
    </row>
    <row r="2576" spans="1:4" x14ac:dyDescent="0.2">
      <c r="A2576"/>
      <c r="B2576"/>
      <c r="C2576"/>
      <c r="D2576"/>
    </row>
    <row r="2577" spans="1:4" x14ac:dyDescent="0.2">
      <c r="A2577"/>
      <c r="B2577"/>
      <c r="C2577"/>
      <c r="D2577"/>
    </row>
    <row r="2578" spans="1:4" x14ac:dyDescent="0.2">
      <c r="A2578"/>
      <c r="B2578"/>
      <c r="C2578"/>
      <c r="D2578"/>
    </row>
    <row r="2579" spans="1:4" x14ac:dyDescent="0.2">
      <c r="A2579"/>
      <c r="B2579"/>
      <c r="C2579"/>
      <c r="D2579"/>
    </row>
    <row r="2580" spans="1:4" x14ac:dyDescent="0.2">
      <c r="A2580"/>
      <c r="B2580"/>
      <c r="C2580"/>
      <c r="D2580"/>
    </row>
    <row r="2581" spans="1:4" x14ac:dyDescent="0.2">
      <c r="A2581"/>
      <c r="B2581"/>
      <c r="C2581"/>
      <c r="D2581"/>
    </row>
    <row r="2582" spans="1:4" x14ac:dyDescent="0.2">
      <c r="A2582"/>
      <c r="B2582"/>
      <c r="C2582"/>
      <c r="D2582"/>
    </row>
    <row r="2583" spans="1:4" x14ac:dyDescent="0.2">
      <c r="A2583"/>
      <c r="B2583"/>
      <c r="C2583"/>
      <c r="D2583"/>
    </row>
    <row r="2584" spans="1:4" x14ac:dyDescent="0.2">
      <c r="A2584"/>
      <c r="B2584"/>
      <c r="C2584"/>
      <c r="D2584"/>
    </row>
    <row r="2585" spans="1:4" x14ac:dyDescent="0.2">
      <c r="A2585"/>
      <c r="B2585"/>
      <c r="C2585"/>
      <c r="D2585"/>
    </row>
    <row r="2586" spans="1:4" x14ac:dyDescent="0.2">
      <c r="A2586"/>
      <c r="B2586"/>
      <c r="C2586"/>
      <c r="D2586"/>
    </row>
    <row r="2587" spans="1:4" x14ac:dyDescent="0.2">
      <c r="A2587"/>
      <c r="B2587"/>
      <c r="C2587"/>
      <c r="D2587"/>
    </row>
    <row r="2588" spans="1:4" x14ac:dyDescent="0.2">
      <c r="A2588"/>
      <c r="B2588"/>
      <c r="C2588"/>
      <c r="D2588"/>
    </row>
    <row r="2589" spans="1:4" x14ac:dyDescent="0.2">
      <c r="A2589"/>
      <c r="B2589"/>
      <c r="C2589"/>
      <c r="D2589"/>
    </row>
    <row r="2590" spans="1:4" x14ac:dyDescent="0.2">
      <c r="A2590"/>
      <c r="B2590"/>
      <c r="C2590"/>
      <c r="D2590"/>
    </row>
    <row r="2591" spans="1:4" x14ac:dyDescent="0.2">
      <c r="A2591"/>
      <c r="B2591"/>
      <c r="C2591"/>
      <c r="D2591"/>
    </row>
    <row r="2592" spans="1:4" x14ac:dyDescent="0.2">
      <c r="A2592"/>
      <c r="B2592"/>
      <c r="C2592"/>
      <c r="D2592"/>
    </row>
    <row r="2593" spans="1:4" x14ac:dyDescent="0.2">
      <c r="A2593"/>
      <c r="B2593"/>
      <c r="C2593"/>
      <c r="D2593"/>
    </row>
    <row r="2594" spans="1:4" x14ac:dyDescent="0.2">
      <c r="A2594"/>
      <c r="B2594"/>
      <c r="C2594"/>
      <c r="D2594"/>
    </row>
    <row r="2595" spans="1:4" x14ac:dyDescent="0.2">
      <c r="A2595"/>
      <c r="B2595"/>
      <c r="C2595"/>
      <c r="D2595"/>
    </row>
    <row r="2596" spans="1:4" x14ac:dyDescent="0.2">
      <c r="A2596"/>
      <c r="B2596"/>
      <c r="C2596"/>
      <c r="D2596"/>
    </row>
    <row r="2597" spans="1:4" x14ac:dyDescent="0.2">
      <c r="A2597"/>
      <c r="B2597"/>
      <c r="C2597"/>
      <c r="D2597"/>
    </row>
    <row r="2598" spans="1:4" x14ac:dyDescent="0.2">
      <c r="A2598"/>
      <c r="B2598"/>
      <c r="C2598"/>
      <c r="D2598"/>
    </row>
    <row r="2599" spans="1:4" x14ac:dyDescent="0.2">
      <c r="A2599"/>
      <c r="B2599"/>
      <c r="C2599"/>
      <c r="D2599"/>
    </row>
    <row r="2600" spans="1:4" x14ac:dyDescent="0.2">
      <c r="A2600"/>
      <c r="B2600"/>
      <c r="C2600"/>
      <c r="D2600"/>
    </row>
    <row r="2601" spans="1:4" x14ac:dyDescent="0.2">
      <c r="A2601"/>
      <c r="B2601"/>
      <c r="C2601"/>
      <c r="D2601"/>
    </row>
    <row r="2602" spans="1:4" x14ac:dyDescent="0.2">
      <c r="A2602"/>
      <c r="B2602"/>
      <c r="C2602"/>
      <c r="D2602"/>
    </row>
    <row r="2603" spans="1:4" x14ac:dyDescent="0.2">
      <c r="A2603"/>
      <c r="B2603"/>
      <c r="C2603"/>
      <c r="D2603"/>
    </row>
    <row r="2604" spans="1:4" x14ac:dyDescent="0.2">
      <c r="A2604"/>
      <c r="B2604"/>
      <c r="C2604"/>
      <c r="D2604"/>
    </row>
    <row r="2605" spans="1:4" x14ac:dyDescent="0.2">
      <c r="A2605"/>
      <c r="B2605"/>
      <c r="C2605"/>
      <c r="D2605"/>
    </row>
    <row r="2606" spans="1:4" x14ac:dyDescent="0.2">
      <c r="A2606"/>
      <c r="B2606"/>
      <c r="C2606"/>
      <c r="D2606"/>
    </row>
    <row r="2607" spans="1:4" x14ac:dyDescent="0.2">
      <c r="A2607"/>
      <c r="B2607"/>
      <c r="C2607"/>
      <c r="D2607"/>
    </row>
    <row r="2608" spans="1:4" x14ac:dyDescent="0.2">
      <c r="A2608"/>
      <c r="B2608"/>
      <c r="C2608"/>
      <c r="D2608"/>
    </row>
    <row r="2609" spans="1:4" x14ac:dyDescent="0.2">
      <c r="A2609"/>
      <c r="B2609"/>
      <c r="C2609"/>
      <c r="D2609"/>
    </row>
    <row r="2610" spans="1:4" x14ac:dyDescent="0.2">
      <c r="A2610"/>
      <c r="B2610"/>
      <c r="C2610"/>
      <c r="D2610"/>
    </row>
    <row r="2611" spans="1:4" x14ac:dyDescent="0.2">
      <c r="A2611"/>
      <c r="B2611"/>
      <c r="C2611"/>
      <c r="D2611"/>
    </row>
    <row r="2612" spans="1:4" x14ac:dyDescent="0.2">
      <c r="A2612"/>
      <c r="B2612"/>
      <c r="C2612"/>
      <c r="D2612"/>
    </row>
    <row r="2613" spans="1:4" x14ac:dyDescent="0.2">
      <c r="A2613"/>
      <c r="B2613"/>
      <c r="C2613"/>
      <c r="D2613"/>
    </row>
    <row r="2614" spans="1:4" x14ac:dyDescent="0.2">
      <c r="A2614"/>
      <c r="B2614"/>
      <c r="C2614"/>
      <c r="D2614"/>
    </row>
    <row r="2615" spans="1:4" x14ac:dyDescent="0.2">
      <c r="A2615"/>
      <c r="B2615"/>
      <c r="C2615"/>
      <c r="D2615"/>
    </row>
    <row r="2616" spans="1:4" x14ac:dyDescent="0.2">
      <c r="A2616"/>
      <c r="B2616"/>
      <c r="C2616"/>
      <c r="D2616"/>
    </row>
    <row r="2617" spans="1:4" x14ac:dyDescent="0.2">
      <c r="A2617"/>
      <c r="B2617"/>
      <c r="C2617"/>
      <c r="D2617"/>
    </row>
    <row r="2618" spans="1:4" x14ac:dyDescent="0.2">
      <c r="A2618"/>
      <c r="B2618"/>
      <c r="C2618"/>
      <c r="D2618"/>
    </row>
    <row r="2619" spans="1:4" x14ac:dyDescent="0.2">
      <c r="A2619"/>
      <c r="B2619"/>
      <c r="C2619"/>
      <c r="D2619"/>
    </row>
    <row r="2620" spans="1:4" x14ac:dyDescent="0.2">
      <c r="A2620"/>
      <c r="B2620"/>
      <c r="C2620"/>
      <c r="D2620"/>
    </row>
    <row r="2621" spans="1:4" x14ac:dyDescent="0.2">
      <c r="A2621"/>
      <c r="B2621"/>
      <c r="C2621"/>
      <c r="D2621"/>
    </row>
    <row r="2622" spans="1:4" x14ac:dyDescent="0.2">
      <c r="A2622"/>
      <c r="B2622"/>
      <c r="C2622"/>
      <c r="D2622"/>
    </row>
    <row r="2623" spans="1:4" x14ac:dyDescent="0.2">
      <c r="A2623"/>
      <c r="B2623"/>
      <c r="C2623"/>
      <c r="D2623"/>
    </row>
    <row r="2624" spans="1:4" x14ac:dyDescent="0.2">
      <c r="A2624"/>
      <c r="B2624"/>
      <c r="C2624"/>
      <c r="D2624"/>
    </row>
    <row r="2625" spans="1:4" x14ac:dyDescent="0.2">
      <c r="A2625"/>
      <c r="B2625"/>
      <c r="C2625"/>
      <c r="D2625"/>
    </row>
    <row r="2626" spans="1:4" x14ac:dyDescent="0.2">
      <c r="A2626"/>
      <c r="B2626"/>
      <c r="C2626"/>
      <c r="D2626"/>
    </row>
    <row r="2627" spans="1:4" x14ac:dyDescent="0.2">
      <c r="A2627"/>
      <c r="B2627"/>
      <c r="C2627"/>
      <c r="D2627"/>
    </row>
    <row r="2628" spans="1:4" x14ac:dyDescent="0.2">
      <c r="A2628"/>
      <c r="B2628"/>
      <c r="C2628"/>
      <c r="D2628"/>
    </row>
    <row r="2629" spans="1:4" x14ac:dyDescent="0.2">
      <c r="A2629"/>
      <c r="B2629"/>
      <c r="C2629"/>
      <c r="D2629"/>
    </row>
    <row r="2630" spans="1:4" x14ac:dyDescent="0.2">
      <c r="A2630"/>
      <c r="B2630"/>
      <c r="C2630"/>
      <c r="D2630"/>
    </row>
    <row r="2631" spans="1:4" x14ac:dyDescent="0.2">
      <c r="A2631"/>
      <c r="B2631"/>
      <c r="C2631"/>
      <c r="D2631"/>
    </row>
    <row r="2632" spans="1:4" x14ac:dyDescent="0.2">
      <c r="A2632"/>
      <c r="B2632"/>
      <c r="C2632"/>
      <c r="D2632"/>
    </row>
    <row r="2633" spans="1:4" x14ac:dyDescent="0.2">
      <c r="A2633"/>
      <c r="B2633"/>
      <c r="C2633"/>
      <c r="D2633"/>
    </row>
    <row r="2634" spans="1:4" x14ac:dyDescent="0.2">
      <c r="A2634"/>
      <c r="B2634"/>
      <c r="C2634"/>
      <c r="D2634"/>
    </row>
    <row r="2635" spans="1:4" x14ac:dyDescent="0.2">
      <c r="A2635"/>
      <c r="B2635"/>
      <c r="C2635"/>
      <c r="D2635"/>
    </row>
    <row r="2636" spans="1:4" x14ac:dyDescent="0.2">
      <c r="A2636"/>
      <c r="B2636"/>
      <c r="C2636"/>
      <c r="D2636"/>
    </row>
    <row r="2637" spans="1:4" x14ac:dyDescent="0.2">
      <c r="A2637"/>
      <c r="B2637"/>
      <c r="C2637"/>
      <c r="D2637"/>
    </row>
    <row r="2638" spans="1:4" x14ac:dyDescent="0.2">
      <c r="A2638"/>
      <c r="B2638"/>
      <c r="C2638"/>
      <c r="D2638"/>
    </row>
    <row r="2639" spans="1:4" x14ac:dyDescent="0.2">
      <c r="A2639"/>
      <c r="B2639"/>
      <c r="C2639"/>
      <c r="D2639"/>
    </row>
    <row r="2640" spans="1:4" x14ac:dyDescent="0.2">
      <c r="A2640"/>
      <c r="B2640"/>
      <c r="C2640"/>
      <c r="D2640"/>
    </row>
    <row r="2641" spans="1:4" x14ac:dyDescent="0.2">
      <c r="A2641"/>
      <c r="B2641"/>
      <c r="C2641"/>
      <c r="D2641"/>
    </row>
    <row r="2642" spans="1:4" x14ac:dyDescent="0.2">
      <c r="A2642"/>
      <c r="B2642"/>
      <c r="C2642"/>
      <c r="D2642"/>
    </row>
    <row r="2643" spans="1:4" x14ac:dyDescent="0.2">
      <c r="A2643"/>
      <c r="B2643"/>
      <c r="C2643"/>
      <c r="D2643"/>
    </row>
    <row r="2644" spans="1:4" x14ac:dyDescent="0.2">
      <c r="A2644"/>
      <c r="B2644"/>
      <c r="C2644"/>
      <c r="D2644"/>
    </row>
    <row r="2645" spans="1:4" x14ac:dyDescent="0.2">
      <c r="A2645"/>
      <c r="B2645"/>
      <c r="C2645"/>
      <c r="D2645"/>
    </row>
    <row r="2646" spans="1:4" x14ac:dyDescent="0.2">
      <c r="A2646"/>
      <c r="B2646"/>
      <c r="C2646"/>
      <c r="D2646"/>
    </row>
    <row r="2647" spans="1:4" x14ac:dyDescent="0.2">
      <c r="A2647"/>
      <c r="B2647"/>
      <c r="C2647"/>
      <c r="D2647"/>
    </row>
    <row r="2648" spans="1:4" x14ac:dyDescent="0.2">
      <c r="A2648"/>
      <c r="B2648"/>
      <c r="C2648"/>
      <c r="D2648"/>
    </row>
    <row r="2649" spans="1:4" x14ac:dyDescent="0.2">
      <c r="A2649"/>
      <c r="B2649"/>
      <c r="C2649"/>
      <c r="D2649"/>
    </row>
    <row r="2650" spans="1:4" x14ac:dyDescent="0.2">
      <c r="A2650"/>
      <c r="B2650"/>
      <c r="C2650"/>
      <c r="D2650"/>
    </row>
    <row r="2651" spans="1:4" x14ac:dyDescent="0.2">
      <c r="A2651"/>
      <c r="B2651"/>
      <c r="C2651"/>
      <c r="D2651"/>
    </row>
    <row r="2652" spans="1:4" x14ac:dyDescent="0.2">
      <c r="A2652"/>
      <c r="B2652"/>
      <c r="C2652"/>
      <c r="D2652"/>
    </row>
    <row r="2653" spans="1:4" x14ac:dyDescent="0.2">
      <c r="A2653"/>
      <c r="B2653"/>
      <c r="C2653"/>
      <c r="D2653"/>
    </row>
    <row r="2654" spans="1:4" x14ac:dyDescent="0.2">
      <c r="A2654"/>
      <c r="B2654"/>
      <c r="C2654"/>
      <c r="D2654"/>
    </row>
    <row r="2655" spans="1:4" x14ac:dyDescent="0.2">
      <c r="A2655"/>
      <c r="B2655"/>
      <c r="C2655"/>
      <c r="D2655"/>
    </row>
    <row r="2656" spans="1:4" x14ac:dyDescent="0.2">
      <c r="A2656"/>
      <c r="B2656"/>
      <c r="C2656"/>
      <c r="D2656"/>
    </row>
    <row r="2657" spans="1:4" x14ac:dyDescent="0.2">
      <c r="A2657"/>
      <c r="B2657"/>
      <c r="C2657"/>
      <c r="D2657"/>
    </row>
    <row r="2658" spans="1:4" x14ac:dyDescent="0.2">
      <c r="A2658"/>
      <c r="B2658"/>
      <c r="C2658"/>
      <c r="D2658"/>
    </row>
    <row r="2659" spans="1:4" x14ac:dyDescent="0.2">
      <c r="A2659"/>
      <c r="B2659"/>
      <c r="C2659"/>
      <c r="D2659"/>
    </row>
    <row r="2660" spans="1:4" x14ac:dyDescent="0.2">
      <c r="A2660"/>
      <c r="B2660"/>
      <c r="C2660"/>
      <c r="D2660"/>
    </row>
    <row r="2661" spans="1:4" x14ac:dyDescent="0.2">
      <c r="A2661"/>
      <c r="B2661"/>
      <c r="C2661"/>
      <c r="D2661"/>
    </row>
    <row r="2662" spans="1:4" x14ac:dyDescent="0.2">
      <c r="A2662"/>
      <c r="B2662"/>
      <c r="C2662"/>
      <c r="D2662"/>
    </row>
    <row r="2663" spans="1:4" x14ac:dyDescent="0.2">
      <c r="A2663"/>
      <c r="B2663"/>
      <c r="C2663"/>
      <c r="D2663"/>
    </row>
    <row r="2664" spans="1:4" x14ac:dyDescent="0.2">
      <c r="A2664"/>
      <c r="B2664"/>
      <c r="C2664"/>
      <c r="D2664"/>
    </row>
    <row r="2665" spans="1:4" x14ac:dyDescent="0.2">
      <c r="A2665"/>
      <c r="B2665"/>
      <c r="C2665"/>
      <c r="D2665"/>
    </row>
    <row r="2666" spans="1:4" x14ac:dyDescent="0.2">
      <c r="A2666"/>
      <c r="B2666"/>
      <c r="C2666"/>
      <c r="D2666"/>
    </row>
    <row r="2667" spans="1:4" x14ac:dyDescent="0.2">
      <c r="A2667"/>
      <c r="B2667"/>
      <c r="C2667"/>
      <c r="D2667"/>
    </row>
    <row r="2668" spans="1:4" x14ac:dyDescent="0.2">
      <c r="A2668"/>
      <c r="B2668"/>
      <c r="C2668"/>
      <c r="D2668"/>
    </row>
    <row r="2669" spans="1:4" x14ac:dyDescent="0.2">
      <c r="A2669"/>
      <c r="B2669"/>
      <c r="C2669"/>
      <c r="D2669"/>
    </row>
    <row r="2670" spans="1:4" x14ac:dyDescent="0.2">
      <c r="A2670"/>
      <c r="B2670"/>
      <c r="C2670"/>
      <c r="D2670"/>
    </row>
    <row r="2671" spans="1:4" x14ac:dyDescent="0.2">
      <c r="A2671"/>
      <c r="B2671"/>
      <c r="C2671"/>
      <c r="D2671"/>
    </row>
    <row r="2672" spans="1:4" x14ac:dyDescent="0.2">
      <c r="A2672"/>
      <c r="B2672"/>
      <c r="C2672"/>
      <c r="D2672"/>
    </row>
    <row r="2673" spans="1:4" x14ac:dyDescent="0.2">
      <c r="A2673"/>
      <c r="B2673"/>
      <c r="C2673"/>
      <c r="D2673"/>
    </row>
    <row r="2674" spans="1:4" x14ac:dyDescent="0.2">
      <c r="A2674"/>
      <c r="B2674"/>
      <c r="C2674"/>
      <c r="D2674"/>
    </row>
    <row r="2675" spans="1:4" x14ac:dyDescent="0.2">
      <c r="A2675"/>
      <c r="B2675"/>
      <c r="C2675"/>
      <c r="D2675"/>
    </row>
    <row r="2676" spans="1:4" x14ac:dyDescent="0.2">
      <c r="A2676"/>
      <c r="B2676"/>
      <c r="C2676"/>
      <c r="D2676"/>
    </row>
    <row r="2677" spans="1:4" x14ac:dyDescent="0.2">
      <c r="A2677"/>
      <c r="B2677"/>
      <c r="C2677"/>
      <c r="D2677"/>
    </row>
    <row r="2678" spans="1:4" x14ac:dyDescent="0.2">
      <c r="A2678"/>
      <c r="B2678"/>
      <c r="C2678"/>
      <c r="D2678"/>
    </row>
    <row r="2679" spans="1:4" x14ac:dyDescent="0.2">
      <c r="A2679"/>
      <c r="B2679"/>
      <c r="C2679"/>
      <c r="D2679"/>
    </row>
    <row r="2680" spans="1:4" x14ac:dyDescent="0.2">
      <c r="A2680"/>
      <c r="B2680"/>
      <c r="C2680"/>
      <c r="D2680"/>
    </row>
    <row r="2681" spans="1:4" x14ac:dyDescent="0.2">
      <c r="A2681"/>
      <c r="B2681"/>
      <c r="C2681"/>
      <c r="D2681"/>
    </row>
    <row r="2682" spans="1:4" x14ac:dyDescent="0.2">
      <c r="A2682"/>
      <c r="B2682"/>
      <c r="C2682"/>
      <c r="D2682"/>
    </row>
    <row r="2683" spans="1:4" x14ac:dyDescent="0.2">
      <c r="A2683"/>
      <c r="B2683"/>
      <c r="C2683"/>
      <c r="D2683"/>
    </row>
    <row r="2684" spans="1:4" x14ac:dyDescent="0.2">
      <c r="A2684"/>
      <c r="B2684"/>
      <c r="C2684"/>
      <c r="D2684"/>
    </row>
    <row r="2685" spans="1:4" x14ac:dyDescent="0.2">
      <c r="A2685"/>
      <c r="B2685"/>
      <c r="C2685"/>
      <c r="D2685"/>
    </row>
    <row r="2686" spans="1:4" x14ac:dyDescent="0.2">
      <c r="A2686"/>
      <c r="B2686"/>
      <c r="C2686"/>
      <c r="D2686"/>
    </row>
    <row r="2687" spans="1:4" x14ac:dyDescent="0.2">
      <c r="A2687"/>
      <c r="B2687"/>
      <c r="C2687"/>
      <c r="D2687"/>
    </row>
    <row r="2688" spans="1:4" x14ac:dyDescent="0.2">
      <c r="A2688"/>
      <c r="B2688"/>
      <c r="C2688"/>
      <c r="D2688"/>
    </row>
    <row r="2689" spans="1:4" x14ac:dyDescent="0.2">
      <c r="A2689"/>
      <c r="B2689"/>
      <c r="C2689"/>
      <c r="D2689"/>
    </row>
    <row r="2690" spans="1:4" x14ac:dyDescent="0.2">
      <c r="A2690"/>
      <c r="B2690"/>
      <c r="C2690"/>
      <c r="D2690"/>
    </row>
    <row r="2691" spans="1:4" x14ac:dyDescent="0.2">
      <c r="A2691"/>
      <c r="B2691"/>
      <c r="C2691"/>
      <c r="D2691"/>
    </row>
    <row r="2692" spans="1:4" x14ac:dyDescent="0.2">
      <c r="A2692"/>
      <c r="B2692"/>
      <c r="C2692"/>
      <c r="D2692"/>
    </row>
    <row r="2693" spans="1:4" x14ac:dyDescent="0.2">
      <c r="A2693"/>
      <c r="B2693"/>
      <c r="C2693"/>
      <c r="D2693"/>
    </row>
    <row r="2694" spans="1:4" x14ac:dyDescent="0.2">
      <c r="A2694"/>
      <c r="B2694"/>
      <c r="C2694"/>
      <c r="D2694"/>
    </row>
    <row r="2695" spans="1:4" x14ac:dyDescent="0.2">
      <c r="A2695"/>
      <c r="B2695"/>
      <c r="C2695"/>
      <c r="D2695"/>
    </row>
    <row r="2696" spans="1:4" x14ac:dyDescent="0.2">
      <c r="A2696"/>
      <c r="B2696"/>
      <c r="C2696"/>
      <c r="D2696"/>
    </row>
    <row r="2697" spans="1:4" x14ac:dyDescent="0.2">
      <c r="A2697"/>
      <c r="B2697"/>
      <c r="C2697"/>
      <c r="D2697"/>
    </row>
    <row r="2698" spans="1:4" x14ac:dyDescent="0.2">
      <c r="A2698"/>
      <c r="B2698"/>
      <c r="C2698"/>
      <c r="D2698"/>
    </row>
    <row r="2699" spans="1:4" x14ac:dyDescent="0.2">
      <c r="A2699"/>
      <c r="B2699"/>
      <c r="C2699"/>
      <c r="D2699"/>
    </row>
    <row r="2700" spans="1:4" x14ac:dyDescent="0.2">
      <c r="A2700"/>
      <c r="B2700"/>
      <c r="C2700"/>
      <c r="D2700"/>
    </row>
    <row r="2701" spans="1:4" x14ac:dyDescent="0.2">
      <c r="A2701"/>
      <c r="B2701"/>
      <c r="C2701"/>
      <c r="D2701"/>
    </row>
    <row r="2702" spans="1:4" x14ac:dyDescent="0.2">
      <c r="A2702"/>
      <c r="B2702"/>
      <c r="C2702"/>
      <c r="D2702"/>
    </row>
    <row r="2703" spans="1:4" x14ac:dyDescent="0.2">
      <c r="A2703"/>
      <c r="B2703"/>
      <c r="C2703"/>
      <c r="D2703"/>
    </row>
    <row r="2704" spans="1:4" x14ac:dyDescent="0.2">
      <c r="A2704"/>
      <c r="B2704"/>
      <c r="C2704"/>
      <c r="D2704"/>
    </row>
    <row r="2705" spans="1:4" x14ac:dyDescent="0.2">
      <c r="A2705"/>
      <c r="B2705"/>
      <c r="C2705"/>
      <c r="D2705"/>
    </row>
    <row r="2706" spans="1:4" x14ac:dyDescent="0.2">
      <c r="A2706"/>
      <c r="B2706"/>
      <c r="C2706"/>
      <c r="D2706"/>
    </row>
    <row r="2707" spans="1:4" x14ac:dyDescent="0.2">
      <c r="A2707"/>
      <c r="B2707"/>
      <c r="C2707"/>
      <c r="D2707"/>
    </row>
    <row r="2708" spans="1:4" x14ac:dyDescent="0.2">
      <c r="A2708"/>
      <c r="B2708"/>
      <c r="C2708"/>
      <c r="D2708"/>
    </row>
    <row r="2709" spans="1:4" x14ac:dyDescent="0.2">
      <c r="A2709"/>
      <c r="B2709"/>
      <c r="C2709"/>
      <c r="D2709"/>
    </row>
    <row r="2710" spans="1:4" x14ac:dyDescent="0.2">
      <c r="A2710"/>
      <c r="B2710"/>
      <c r="C2710"/>
      <c r="D2710"/>
    </row>
    <row r="2711" spans="1:4" x14ac:dyDescent="0.2">
      <c r="A2711"/>
      <c r="B2711"/>
      <c r="C2711"/>
      <c r="D2711"/>
    </row>
    <row r="2712" spans="1:4" x14ac:dyDescent="0.2">
      <c r="A2712"/>
      <c r="B2712"/>
      <c r="C2712"/>
      <c r="D2712"/>
    </row>
    <row r="2713" spans="1:4" x14ac:dyDescent="0.2">
      <c r="A2713"/>
      <c r="B2713"/>
      <c r="C2713"/>
      <c r="D2713"/>
    </row>
    <row r="2714" spans="1:4" x14ac:dyDescent="0.2">
      <c r="A2714"/>
      <c r="B2714"/>
      <c r="C2714"/>
      <c r="D2714"/>
    </row>
    <row r="2715" spans="1:4" x14ac:dyDescent="0.2">
      <c r="A2715"/>
      <c r="B2715"/>
      <c r="C2715"/>
      <c r="D2715"/>
    </row>
    <row r="2716" spans="1:4" x14ac:dyDescent="0.2">
      <c r="A2716"/>
      <c r="B2716"/>
      <c r="C2716"/>
      <c r="D2716"/>
    </row>
    <row r="2717" spans="1:4" x14ac:dyDescent="0.2">
      <c r="A2717"/>
      <c r="B2717"/>
      <c r="C2717"/>
      <c r="D2717"/>
    </row>
    <row r="2718" spans="1:4" x14ac:dyDescent="0.2">
      <c r="A2718"/>
      <c r="B2718"/>
      <c r="C2718"/>
      <c r="D2718"/>
    </row>
    <row r="2719" spans="1:4" x14ac:dyDescent="0.2">
      <c r="A2719"/>
      <c r="B2719"/>
      <c r="C2719"/>
      <c r="D2719"/>
    </row>
    <row r="2720" spans="1:4" x14ac:dyDescent="0.2">
      <c r="A2720"/>
      <c r="B2720"/>
      <c r="C2720"/>
      <c r="D2720"/>
    </row>
    <row r="2721" spans="1:4" x14ac:dyDescent="0.2">
      <c r="A2721"/>
      <c r="B2721"/>
      <c r="C2721"/>
      <c r="D2721"/>
    </row>
    <row r="2722" spans="1:4" x14ac:dyDescent="0.2">
      <c r="A2722"/>
      <c r="B2722"/>
      <c r="C2722"/>
      <c r="D2722"/>
    </row>
    <row r="2723" spans="1:4" x14ac:dyDescent="0.2">
      <c r="A2723"/>
      <c r="B2723"/>
      <c r="C2723"/>
      <c r="D2723"/>
    </row>
    <row r="2724" spans="1:4" x14ac:dyDescent="0.2">
      <c r="A2724"/>
      <c r="B2724"/>
      <c r="C2724"/>
      <c r="D2724"/>
    </row>
    <row r="2725" spans="1:4" x14ac:dyDescent="0.2">
      <c r="A2725"/>
      <c r="B2725"/>
      <c r="C2725"/>
      <c r="D2725"/>
    </row>
    <row r="2726" spans="1:4" x14ac:dyDescent="0.2">
      <c r="A2726"/>
      <c r="B2726"/>
      <c r="C2726"/>
      <c r="D2726"/>
    </row>
    <row r="2727" spans="1:4" x14ac:dyDescent="0.2">
      <c r="A2727"/>
      <c r="B2727"/>
      <c r="C2727"/>
      <c r="D2727"/>
    </row>
    <row r="2728" spans="1:4" x14ac:dyDescent="0.2">
      <c r="A2728"/>
      <c r="B2728"/>
      <c r="C2728"/>
      <c r="D2728"/>
    </row>
    <row r="2729" spans="1:4" x14ac:dyDescent="0.2">
      <c r="A2729"/>
      <c r="B2729"/>
      <c r="C2729"/>
      <c r="D2729"/>
    </row>
    <row r="2730" spans="1:4" x14ac:dyDescent="0.2">
      <c r="A2730"/>
      <c r="B2730"/>
      <c r="C2730"/>
      <c r="D2730"/>
    </row>
    <row r="2731" spans="1:4" x14ac:dyDescent="0.2">
      <c r="A2731"/>
      <c r="B2731"/>
      <c r="C2731"/>
      <c r="D2731"/>
    </row>
    <row r="2732" spans="1:4" x14ac:dyDescent="0.2">
      <c r="A2732"/>
      <c r="B2732"/>
      <c r="C2732"/>
      <c r="D2732"/>
    </row>
    <row r="2733" spans="1:4" x14ac:dyDescent="0.2">
      <c r="A2733"/>
      <c r="B2733"/>
      <c r="C2733"/>
      <c r="D2733"/>
    </row>
    <row r="2734" spans="1:4" x14ac:dyDescent="0.2">
      <c r="A2734"/>
      <c r="B2734"/>
      <c r="C2734"/>
      <c r="D2734"/>
    </row>
    <row r="2735" spans="1:4" x14ac:dyDescent="0.2">
      <c r="A2735"/>
      <c r="B2735"/>
      <c r="C2735"/>
      <c r="D2735"/>
    </row>
    <row r="2736" spans="1:4" x14ac:dyDescent="0.2">
      <c r="A2736"/>
      <c r="B2736"/>
      <c r="C2736"/>
      <c r="D2736"/>
    </row>
    <row r="2737" spans="1:4" x14ac:dyDescent="0.2">
      <c r="A2737"/>
      <c r="B2737"/>
      <c r="C2737"/>
      <c r="D2737"/>
    </row>
    <row r="2738" spans="1:4" x14ac:dyDescent="0.2">
      <c r="A2738"/>
      <c r="B2738"/>
      <c r="C2738"/>
      <c r="D2738"/>
    </row>
    <row r="2739" spans="1:4" x14ac:dyDescent="0.2">
      <c r="A2739"/>
      <c r="B2739"/>
      <c r="C2739"/>
      <c r="D2739"/>
    </row>
    <row r="2740" spans="1:4" x14ac:dyDescent="0.2">
      <c r="A2740"/>
      <c r="B2740"/>
      <c r="C2740"/>
      <c r="D2740"/>
    </row>
    <row r="2741" spans="1:4" x14ac:dyDescent="0.2">
      <c r="A2741"/>
      <c r="B2741"/>
      <c r="C2741"/>
      <c r="D2741"/>
    </row>
    <row r="2742" spans="1:4" x14ac:dyDescent="0.2">
      <c r="A2742"/>
      <c r="B2742"/>
      <c r="C2742"/>
      <c r="D2742"/>
    </row>
    <row r="2743" spans="1:4" x14ac:dyDescent="0.2">
      <c r="A2743"/>
      <c r="B2743"/>
      <c r="C2743"/>
      <c r="D2743"/>
    </row>
    <row r="2744" spans="1:4" x14ac:dyDescent="0.2">
      <c r="A2744"/>
      <c r="B2744"/>
      <c r="C2744"/>
      <c r="D2744"/>
    </row>
    <row r="2745" spans="1:4" x14ac:dyDescent="0.2">
      <c r="A2745"/>
      <c r="B2745"/>
      <c r="C2745"/>
      <c r="D2745"/>
    </row>
    <row r="2746" spans="1:4" x14ac:dyDescent="0.2">
      <c r="A2746"/>
      <c r="B2746"/>
      <c r="C2746"/>
      <c r="D2746"/>
    </row>
    <row r="2747" spans="1:4" x14ac:dyDescent="0.2">
      <c r="A2747"/>
      <c r="B2747"/>
      <c r="C2747"/>
      <c r="D2747"/>
    </row>
    <row r="2748" spans="1:4" x14ac:dyDescent="0.2">
      <c r="A2748"/>
      <c r="B2748"/>
      <c r="C2748"/>
      <c r="D2748"/>
    </row>
    <row r="2749" spans="1:4" x14ac:dyDescent="0.2">
      <c r="A2749"/>
      <c r="B2749"/>
      <c r="C2749"/>
      <c r="D2749"/>
    </row>
    <row r="2750" spans="1:4" x14ac:dyDescent="0.2">
      <c r="A2750"/>
      <c r="B2750"/>
      <c r="C2750"/>
      <c r="D2750"/>
    </row>
    <row r="2751" spans="1:4" x14ac:dyDescent="0.2">
      <c r="A2751"/>
      <c r="B2751"/>
      <c r="C2751"/>
      <c r="D2751"/>
    </row>
    <row r="2752" spans="1:4" x14ac:dyDescent="0.2">
      <c r="A2752"/>
      <c r="B2752"/>
      <c r="C2752"/>
      <c r="D2752"/>
    </row>
    <row r="2753" spans="1:4" x14ac:dyDescent="0.2">
      <c r="A2753"/>
      <c r="B2753"/>
      <c r="C2753"/>
      <c r="D2753"/>
    </row>
    <row r="2754" spans="1:4" x14ac:dyDescent="0.2">
      <c r="A2754"/>
      <c r="B2754"/>
      <c r="C2754"/>
      <c r="D2754"/>
    </row>
    <row r="2755" spans="1:4" x14ac:dyDescent="0.2">
      <c r="A2755"/>
      <c r="B2755"/>
      <c r="C2755"/>
      <c r="D2755"/>
    </row>
    <row r="2756" spans="1:4" x14ac:dyDescent="0.2">
      <c r="A2756"/>
      <c r="B2756"/>
      <c r="C2756"/>
      <c r="D2756"/>
    </row>
    <row r="2757" spans="1:4" x14ac:dyDescent="0.2">
      <c r="A2757"/>
      <c r="B2757"/>
      <c r="C2757"/>
      <c r="D2757"/>
    </row>
    <row r="2758" spans="1:4" x14ac:dyDescent="0.2">
      <c r="A2758"/>
      <c r="B2758"/>
      <c r="C2758"/>
      <c r="D2758"/>
    </row>
    <row r="2759" spans="1:4" x14ac:dyDescent="0.2">
      <c r="A2759"/>
      <c r="B2759"/>
      <c r="C2759"/>
      <c r="D2759"/>
    </row>
    <row r="2760" spans="1:4" x14ac:dyDescent="0.2">
      <c r="A2760"/>
      <c r="B2760"/>
      <c r="C2760"/>
      <c r="D2760"/>
    </row>
    <row r="2761" spans="1:4" x14ac:dyDescent="0.2">
      <c r="A2761"/>
      <c r="B2761"/>
      <c r="C2761"/>
      <c r="D2761"/>
    </row>
    <row r="2762" spans="1:4" x14ac:dyDescent="0.2">
      <c r="A2762"/>
      <c r="B2762"/>
      <c r="C2762"/>
      <c r="D2762"/>
    </row>
    <row r="2763" spans="1:4" x14ac:dyDescent="0.2">
      <c r="A2763"/>
      <c r="B2763"/>
      <c r="C2763"/>
      <c r="D2763"/>
    </row>
    <row r="2764" spans="1:4" x14ac:dyDescent="0.2">
      <c r="A2764"/>
      <c r="B2764"/>
      <c r="C2764"/>
      <c r="D2764"/>
    </row>
    <row r="2765" spans="1:4" x14ac:dyDescent="0.2">
      <c r="A2765"/>
      <c r="B2765"/>
      <c r="C2765"/>
      <c r="D2765"/>
    </row>
    <row r="2766" spans="1:4" x14ac:dyDescent="0.2">
      <c r="A2766"/>
      <c r="B2766"/>
      <c r="C2766"/>
      <c r="D2766"/>
    </row>
    <row r="2767" spans="1:4" x14ac:dyDescent="0.2">
      <c r="A2767"/>
      <c r="B2767"/>
      <c r="C2767"/>
      <c r="D2767"/>
    </row>
    <row r="2768" spans="1:4" x14ac:dyDescent="0.2">
      <c r="A2768"/>
      <c r="B2768"/>
      <c r="C2768"/>
      <c r="D2768"/>
    </row>
    <row r="2769" spans="1:4" x14ac:dyDescent="0.2">
      <c r="A2769"/>
      <c r="B2769"/>
      <c r="C2769"/>
      <c r="D2769"/>
    </row>
    <row r="2770" spans="1:4" x14ac:dyDescent="0.2">
      <c r="A2770"/>
      <c r="B2770"/>
      <c r="C2770"/>
      <c r="D2770"/>
    </row>
    <row r="2771" spans="1:4" x14ac:dyDescent="0.2">
      <c r="A2771"/>
      <c r="B2771"/>
      <c r="C2771"/>
      <c r="D2771"/>
    </row>
    <row r="2772" spans="1:4" x14ac:dyDescent="0.2">
      <c r="A2772"/>
      <c r="B2772"/>
      <c r="C2772"/>
      <c r="D2772"/>
    </row>
    <row r="2773" spans="1:4" x14ac:dyDescent="0.2">
      <c r="A2773"/>
      <c r="B2773"/>
      <c r="C2773"/>
      <c r="D2773"/>
    </row>
    <row r="2774" spans="1:4" x14ac:dyDescent="0.2">
      <c r="A2774"/>
      <c r="B2774"/>
      <c r="C2774"/>
      <c r="D2774"/>
    </row>
    <row r="2775" spans="1:4" x14ac:dyDescent="0.2">
      <c r="A2775"/>
      <c r="B2775"/>
      <c r="C2775"/>
      <c r="D2775"/>
    </row>
    <row r="2776" spans="1:4" x14ac:dyDescent="0.2">
      <c r="A2776"/>
      <c r="B2776"/>
      <c r="C2776"/>
      <c r="D2776"/>
    </row>
    <row r="2777" spans="1:4" x14ac:dyDescent="0.2">
      <c r="A2777"/>
      <c r="B2777"/>
      <c r="C2777"/>
      <c r="D2777"/>
    </row>
    <row r="2778" spans="1:4" x14ac:dyDescent="0.2">
      <c r="A2778"/>
      <c r="B2778"/>
      <c r="C2778"/>
      <c r="D2778"/>
    </row>
    <row r="2779" spans="1:4" x14ac:dyDescent="0.2">
      <c r="A2779"/>
      <c r="B2779"/>
      <c r="C2779"/>
      <c r="D2779"/>
    </row>
    <row r="2780" spans="1:4" x14ac:dyDescent="0.2">
      <c r="A2780"/>
      <c r="B2780"/>
      <c r="C2780"/>
      <c r="D2780"/>
    </row>
    <row r="2781" spans="1:4" x14ac:dyDescent="0.2">
      <c r="A2781"/>
      <c r="B2781"/>
      <c r="C2781"/>
      <c r="D2781"/>
    </row>
    <row r="2782" spans="1:4" x14ac:dyDescent="0.2">
      <c r="A2782"/>
      <c r="B2782"/>
      <c r="C2782"/>
      <c r="D2782"/>
    </row>
    <row r="2783" spans="1:4" x14ac:dyDescent="0.2">
      <c r="A2783"/>
      <c r="B2783"/>
      <c r="C2783"/>
      <c r="D2783"/>
    </row>
    <row r="2784" spans="1:4" x14ac:dyDescent="0.2">
      <c r="A2784"/>
      <c r="B2784"/>
      <c r="C2784"/>
      <c r="D2784"/>
    </row>
    <row r="2785" spans="1:4" x14ac:dyDescent="0.2">
      <c r="A2785"/>
      <c r="B2785"/>
      <c r="C2785"/>
      <c r="D2785"/>
    </row>
    <row r="2786" spans="1:4" x14ac:dyDescent="0.2">
      <c r="A2786"/>
      <c r="B2786"/>
      <c r="C2786"/>
      <c r="D2786"/>
    </row>
    <row r="2787" spans="1:4" x14ac:dyDescent="0.2">
      <c r="A2787"/>
      <c r="B2787"/>
      <c r="C2787"/>
      <c r="D2787"/>
    </row>
    <row r="2788" spans="1:4" x14ac:dyDescent="0.2">
      <c r="A2788"/>
      <c r="B2788"/>
      <c r="C2788"/>
      <c r="D2788"/>
    </row>
    <row r="2789" spans="1:4" x14ac:dyDescent="0.2">
      <c r="A2789"/>
      <c r="B2789"/>
      <c r="C2789"/>
      <c r="D2789"/>
    </row>
    <row r="2790" spans="1:4" x14ac:dyDescent="0.2">
      <c r="A2790"/>
      <c r="B2790"/>
      <c r="C2790"/>
      <c r="D2790"/>
    </row>
    <row r="2791" spans="1:4" x14ac:dyDescent="0.2">
      <c r="A2791"/>
      <c r="B2791"/>
      <c r="C2791"/>
      <c r="D2791"/>
    </row>
    <row r="2792" spans="1:4" x14ac:dyDescent="0.2">
      <c r="A2792"/>
      <c r="B2792"/>
      <c r="C2792"/>
      <c r="D2792"/>
    </row>
    <row r="2793" spans="1:4" x14ac:dyDescent="0.2">
      <c r="A2793"/>
      <c r="B2793"/>
      <c r="C2793"/>
      <c r="D2793"/>
    </row>
    <row r="2794" spans="1:4" x14ac:dyDescent="0.2">
      <c r="A2794"/>
      <c r="B2794"/>
      <c r="C2794"/>
      <c r="D2794"/>
    </row>
    <row r="2795" spans="1:4" x14ac:dyDescent="0.2">
      <c r="A2795"/>
      <c r="B2795"/>
      <c r="C2795"/>
      <c r="D2795"/>
    </row>
    <row r="2796" spans="1:4" x14ac:dyDescent="0.2">
      <c r="A2796"/>
      <c r="B2796"/>
      <c r="C2796"/>
      <c r="D2796"/>
    </row>
    <row r="2797" spans="1:4" x14ac:dyDescent="0.2">
      <c r="A2797"/>
      <c r="B2797"/>
      <c r="C2797"/>
      <c r="D2797"/>
    </row>
    <row r="2798" spans="1:4" x14ac:dyDescent="0.2">
      <c r="A2798"/>
      <c r="B2798"/>
      <c r="C2798"/>
      <c r="D2798"/>
    </row>
    <row r="2799" spans="1:4" x14ac:dyDescent="0.2">
      <c r="A2799"/>
      <c r="B2799"/>
      <c r="C2799"/>
      <c r="D2799"/>
    </row>
    <row r="2800" spans="1:4" x14ac:dyDescent="0.2">
      <c r="A2800"/>
      <c r="B2800"/>
      <c r="C2800"/>
      <c r="D2800"/>
    </row>
    <row r="2801" spans="1:4" x14ac:dyDescent="0.2">
      <c r="A2801"/>
      <c r="B2801"/>
      <c r="C2801"/>
      <c r="D2801"/>
    </row>
    <row r="2802" spans="1:4" x14ac:dyDescent="0.2">
      <c r="A2802"/>
      <c r="B2802"/>
      <c r="C2802"/>
      <c r="D2802"/>
    </row>
    <row r="2803" spans="1:4" x14ac:dyDescent="0.2">
      <c r="A2803"/>
      <c r="B2803"/>
      <c r="C2803"/>
      <c r="D2803"/>
    </row>
    <row r="2804" spans="1:4" x14ac:dyDescent="0.2">
      <c r="A2804"/>
      <c r="B2804"/>
      <c r="C2804"/>
      <c r="D2804"/>
    </row>
    <row r="2805" spans="1:4" x14ac:dyDescent="0.2">
      <c r="A2805"/>
      <c r="B2805"/>
      <c r="C2805"/>
      <c r="D2805"/>
    </row>
    <row r="2806" spans="1:4" x14ac:dyDescent="0.2">
      <c r="A2806"/>
      <c r="B2806"/>
      <c r="C2806"/>
      <c r="D2806"/>
    </row>
    <row r="2807" spans="1:4" x14ac:dyDescent="0.2">
      <c r="A2807"/>
      <c r="B2807"/>
      <c r="C2807"/>
      <c r="D2807"/>
    </row>
    <row r="2808" spans="1:4" x14ac:dyDescent="0.2">
      <c r="A2808"/>
      <c r="B2808"/>
      <c r="C2808"/>
      <c r="D2808"/>
    </row>
    <row r="2809" spans="1:4" x14ac:dyDescent="0.2">
      <c r="A2809"/>
      <c r="B2809"/>
      <c r="C2809"/>
      <c r="D2809"/>
    </row>
    <row r="2810" spans="1:4" x14ac:dyDescent="0.2">
      <c r="A2810"/>
      <c r="B2810"/>
      <c r="C2810"/>
      <c r="D2810"/>
    </row>
    <row r="2811" spans="1:4" x14ac:dyDescent="0.2">
      <c r="A2811"/>
      <c r="B2811"/>
      <c r="C2811"/>
      <c r="D2811"/>
    </row>
    <row r="2812" spans="1:4" x14ac:dyDescent="0.2">
      <c r="A2812"/>
      <c r="B2812"/>
      <c r="C2812"/>
      <c r="D2812"/>
    </row>
    <row r="2813" spans="1:4" x14ac:dyDescent="0.2">
      <c r="A2813"/>
      <c r="B2813"/>
      <c r="C2813"/>
      <c r="D2813"/>
    </row>
    <row r="2814" spans="1:4" x14ac:dyDescent="0.2">
      <c r="A2814"/>
      <c r="B2814"/>
      <c r="C2814"/>
      <c r="D2814"/>
    </row>
    <row r="2815" spans="1:4" x14ac:dyDescent="0.2">
      <c r="A2815"/>
      <c r="B2815"/>
      <c r="C2815"/>
      <c r="D2815"/>
    </row>
    <row r="2816" spans="1:4" x14ac:dyDescent="0.2">
      <c r="A2816"/>
      <c r="B2816"/>
      <c r="C2816"/>
      <c r="D2816"/>
    </row>
    <row r="2817" spans="1:4" x14ac:dyDescent="0.2">
      <c r="A2817"/>
      <c r="B2817"/>
      <c r="C2817"/>
      <c r="D2817"/>
    </row>
    <row r="2818" spans="1:4" x14ac:dyDescent="0.2">
      <c r="A2818"/>
      <c r="B2818"/>
      <c r="C2818"/>
      <c r="D2818"/>
    </row>
    <row r="2819" spans="1:4" x14ac:dyDescent="0.2">
      <c r="A2819"/>
      <c r="B2819"/>
      <c r="C2819"/>
      <c r="D2819"/>
    </row>
    <row r="2820" spans="1:4" x14ac:dyDescent="0.2">
      <c r="A2820"/>
      <c r="B2820"/>
      <c r="C2820"/>
      <c r="D2820"/>
    </row>
    <row r="2821" spans="1:4" x14ac:dyDescent="0.2">
      <c r="A2821"/>
      <c r="B2821"/>
      <c r="C2821"/>
      <c r="D2821"/>
    </row>
    <row r="2822" spans="1:4" x14ac:dyDescent="0.2">
      <c r="A2822"/>
      <c r="B2822"/>
      <c r="C2822"/>
      <c r="D2822"/>
    </row>
    <row r="2823" spans="1:4" x14ac:dyDescent="0.2">
      <c r="A2823"/>
      <c r="B2823"/>
      <c r="C2823"/>
      <c r="D2823"/>
    </row>
    <row r="2824" spans="1:4" x14ac:dyDescent="0.2">
      <c r="A2824"/>
      <c r="B2824"/>
      <c r="C2824"/>
      <c r="D2824"/>
    </row>
    <row r="2825" spans="1:4" x14ac:dyDescent="0.2">
      <c r="A2825"/>
      <c r="B2825"/>
      <c r="C2825"/>
      <c r="D2825"/>
    </row>
    <row r="2826" spans="1:4" x14ac:dyDescent="0.2">
      <c r="A2826"/>
      <c r="B2826"/>
      <c r="C2826"/>
      <c r="D2826"/>
    </row>
    <row r="2827" spans="1:4" x14ac:dyDescent="0.2">
      <c r="A2827"/>
      <c r="B2827"/>
      <c r="C2827"/>
      <c r="D2827"/>
    </row>
    <row r="2828" spans="1:4" x14ac:dyDescent="0.2">
      <c r="A2828"/>
      <c r="B2828"/>
      <c r="C2828"/>
      <c r="D2828"/>
    </row>
    <row r="2829" spans="1:4" x14ac:dyDescent="0.2">
      <c r="A2829"/>
      <c r="B2829"/>
      <c r="C2829"/>
      <c r="D2829"/>
    </row>
    <row r="2830" spans="1:4" x14ac:dyDescent="0.2">
      <c r="A2830"/>
      <c r="B2830"/>
      <c r="C2830"/>
      <c r="D2830"/>
    </row>
    <row r="2831" spans="1:4" x14ac:dyDescent="0.2">
      <c r="A2831"/>
      <c r="B2831"/>
      <c r="C2831"/>
      <c r="D2831"/>
    </row>
    <row r="2832" spans="1:4" x14ac:dyDescent="0.2">
      <c r="A2832"/>
      <c r="B2832"/>
      <c r="C2832"/>
      <c r="D2832"/>
    </row>
    <row r="2833" spans="1:4" x14ac:dyDescent="0.2">
      <c r="A2833"/>
      <c r="B2833"/>
      <c r="C2833"/>
      <c r="D2833"/>
    </row>
    <row r="2834" spans="1:4" x14ac:dyDescent="0.2">
      <c r="A2834"/>
      <c r="B2834"/>
      <c r="C2834"/>
      <c r="D2834"/>
    </row>
    <row r="2835" spans="1:4" x14ac:dyDescent="0.2">
      <c r="A2835"/>
      <c r="B2835"/>
      <c r="C2835"/>
      <c r="D2835"/>
    </row>
    <row r="2836" spans="1:4" x14ac:dyDescent="0.2">
      <c r="A2836"/>
      <c r="B2836"/>
      <c r="C2836"/>
      <c r="D2836"/>
    </row>
    <row r="2837" spans="1:4" x14ac:dyDescent="0.2">
      <c r="A2837"/>
      <c r="B2837"/>
      <c r="C2837"/>
      <c r="D2837"/>
    </row>
    <row r="2838" spans="1:4" x14ac:dyDescent="0.2">
      <c r="A2838"/>
      <c r="B2838"/>
      <c r="C2838"/>
      <c r="D2838"/>
    </row>
    <row r="2839" spans="1:4" x14ac:dyDescent="0.2">
      <c r="A2839"/>
      <c r="B2839"/>
      <c r="C2839"/>
      <c r="D2839"/>
    </row>
    <row r="2840" spans="1:4" x14ac:dyDescent="0.2">
      <c r="A2840"/>
      <c r="B2840"/>
      <c r="C2840"/>
      <c r="D2840"/>
    </row>
    <row r="2841" spans="1:4" x14ac:dyDescent="0.2">
      <c r="A2841"/>
      <c r="B2841"/>
      <c r="C2841"/>
      <c r="D2841"/>
    </row>
    <row r="2842" spans="1:4" x14ac:dyDescent="0.2">
      <c r="A2842"/>
      <c r="B2842"/>
      <c r="C2842"/>
      <c r="D2842"/>
    </row>
    <row r="2843" spans="1:4" x14ac:dyDescent="0.2">
      <c r="A2843"/>
      <c r="B2843"/>
      <c r="C2843"/>
      <c r="D2843"/>
    </row>
    <row r="2844" spans="1:4" x14ac:dyDescent="0.2">
      <c r="A2844"/>
      <c r="B2844"/>
      <c r="C2844"/>
      <c r="D2844"/>
    </row>
    <row r="2845" spans="1:4" x14ac:dyDescent="0.2">
      <c r="A2845"/>
      <c r="B2845"/>
      <c r="C2845"/>
      <c r="D2845"/>
    </row>
    <row r="2846" spans="1:4" x14ac:dyDescent="0.2">
      <c r="A2846"/>
      <c r="B2846"/>
      <c r="C2846"/>
      <c r="D2846"/>
    </row>
    <row r="2847" spans="1:4" x14ac:dyDescent="0.2">
      <c r="A2847"/>
      <c r="B2847"/>
      <c r="C2847"/>
      <c r="D2847"/>
    </row>
    <row r="2848" spans="1:4" x14ac:dyDescent="0.2">
      <c r="A2848"/>
      <c r="B2848"/>
      <c r="C2848"/>
      <c r="D2848"/>
    </row>
    <row r="2849" spans="1:4" x14ac:dyDescent="0.2">
      <c r="A2849"/>
      <c r="B2849"/>
      <c r="C2849"/>
      <c r="D2849"/>
    </row>
    <row r="2850" spans="1:4" x14ac:dyDescent="0.2">
      <c r="A2850"/>
      <c r="B2850"/>
      <c r="C2850"/>
      <c r="D2850"/>
    </row>
    <row r="2851" spans="1:4" x14ac:dyDescent="0.2">
      <c r="A2851"/>
      <c r="B2851"/>
      <c r="C2851"/>
      <c r="D2851"/>
    </row>
    <row r="2852" spans="1:4" x14ac:dyDescent="0.2">
      <c r="A2852"/>
      <c r="B2852"/>
      <c r="C2852"/>
      <c r="D2852"/>
    </row>
    <row r="2853" spans="1:4" x14ac:dyDescent="0.2">
      <c r="A2853"/>
      <c r="B2853"/>
      <c r="C2853"/>
      <c r="D2853"/>
    </row>
    <row r="2854" spans="1:4" x14ac:dyDescent="0.2">
      <c r="A2854"/>
      <c r="B2854"/>
      <c r="C2854"/>
      <c r="D2854"/>
    </row>
    <row r="2855" spans="1:4" x14ac:dyDescent="0.2">
      <c r="A2855"/>
      <c r="B2855"/>
      <c r="C2855"/>
      <c r="D2855"/>
    </row>
    <row r="2856" spans="1:4" x14ac:dyDescent="0.2">
      <c r="A2856"/>
      <c r="B2856"/>
      <c r="C2856"/>
      <c r="D2856"/>
    </row>
    <row r="2857" spans="1:4" x14ac:dyDescent="0.2">
      <c r="A2857"/>
      <c r="B2857"/>
      <c r="C2857"/>
      <c r="D2857"/>
    </row>
    <row r="2858" spans="1:4" x14ac:dyDescent="0.2">
      <c r="A2858"/>
      <c r="B2858"/>
      <c r="C2858"/>
      <c r="D2858"/>
    </row>
    <row r="2859" spans="1:4" x14ac:dyDescent="0.2">
      <c r="A2859"/>
      <c r="B2859"/>
      <c r="C2859"/>
      <c r="D2859"/>
    </row>
    <row r="2860" spans="1:4" x14ac:dyDescent="0.2">
      <c r="A2860"/>
      <c r="B2860"/>
      <c r="C2860"/>
      <c r="D2860"/>
    </row>
    <row r="2861" spans="1:4" x14ac:dyDescent="0.2">
      <c r="A2861"/>
      <c r="B2861"/>
      <c r="C2861"/>
      <c r="D2861"/>
    </row>
    <row r="2862" spans="1:4" x14ac:dyDescent="0.2">
      <c r="A2862"/>
      <c r="B2862"/>
      <c r="C2862"/>
      <c r="D2862"/>
    </row>
    <row r="2863" spans="1:4" x14ac:dyDescent="0.2">
      <c r="A2863"/>
      <c r="B2863"/>
      <c r="C2863"/>
      <c r="D2863"/>
    </row>
    <row r="2864" spans="1:4" x14ac:dyDescent="0.2">
      <c r="A2864"/>
      <c r="B2864"/>
      <c r="C2864"/>
      <c r="D2864"/>
    </row>
    <row r="2865" spans="1:4" x14ac:dyDescent="0.2">
      <c r="A2865"/>
      <c r="B2865"/>
      <c r="C2865"/>
      <c r="D2865"/>
    </row>
    <row r="2866" spans="1:4" x14ac:dyDescent="0.2">
      <c r="A2866"/>
      <c r="B2866"/>
      <c r="C2866"/>
      <c r="D2866"/>
    </row>
    <row r="2867" spans="1:4" x14ac:dyDescent="0.2">
      <c r="A2867"/>
      <c r="B2867"/>
      <c r="C2867"/>
      <c r="D2867"/>
    </row>
    <row r="2868" spans="1:4" x14ac:dyDescent="0.2">
      <c r="A2868"/>
      <c r="B2868"/>
      <c r="C2868"/>
      <c r="D2868"/>
    </row>
    <row r="2869" spans="1:4" x14ac:dyDescent="0.2">
      <c r="A2869"/>
      <c r="B2869"/>
      <c r="C2869"/>
      <c r="D2869"/>
    </row>
    <row r="2870" spans="1:4" x14ac:dyDescent="0.2">
      <c r="A2870"/>
      <c r="B2870"/>
      <c r="C2870"/>
      <c r="D2870"/>
    </row>
    <row r="2871" spans="1:4" x14ac:dyDescent="0.2">
      <c r="A2871"/>
      <c r="B2871"/>
      <c r="C2871"/>
      <c r="D2871"/>
    </row>
    <row r="2872" spans="1:4" x14ac:dyDescent="0.2">
      <c r="A2872"/>
      <c r="B2872"/>
      <c r="C2872"/>
      <c r="D2872"/>
    </row>
    <row r="2873" spans="1:4" x14ac:dyDescent="0.2">
      <c r="A2873"/>
      <c r="B2873"/>
      <c r="C2873"/>
      <c r="D2873"/>
    </row>
    <row r="2874" spans="1:4" x14ac:dyDescent="0.2">
      <c r="A2874"/>
      <c r="B2874"/>
      <c r="C2874"/>
      <c r="D2874"/>
    </row>
    <row r="2875" spans="1:4" x14ac:dyDescent="0.2">
      <c r="A2875"/>
      <c r="B2875"/>
      <c r="C2875"/>
      <c r="D2875"/>
    </row>
    <row r="2876" spans="1:4" x14ac:dyDescent="0.2">
      <c r="A2876"/>
      <c r="B2876"/>
      <c r="C2876"/>
      <c r="D2876"/>
    </row>
    <row r="2877" spans="1:4" x14ac:dyDescent="0.2">
      <c r="A2877"/>
      <c r="B2877"/>
      <c r="C2877"/>
      <c r="D2877"/>
    </row>
    <row r="2878" spans="1:4" x14ac:dyDescent="0.2">
      <c r="A2878"/>
      <c r="B2878"/>
      <c r="C2878"/>
      <c r="D2878"/>
    </row>
    <row r="2879" spans="1:4" x14ac:dyDescent="0.2">
      <c r="A2879"/>
      <c r="B2879"/>
      <c r="C2879"/>
      <c r="D2879"/>
    </row>
    <row r="2880" spans="1:4" x14ac:dyDescent="0.2">
      <c r="A2880"/>
      <c r="B2880"/>
      <c r="C2880"/>
      <c r="D2880"/>
    </row>
    <row r="2881" spans="1:4" x14ac:dyDescent="0.2">
      <c r="A2881"/>
      <c r="B2881"/>
      <c r="C2881"/>
      <c r="D2881"/>
    </row>
    <row r="2882" spans="1:4" x14ac:dyDescent="0.2">
      <c r="A2882"/>
      <c r="B2882"/>
      <c r="C2882"/>
      <c r="D2882"/>
    </row>
    <row r="2883" spans="1:4" x14ac:dyDescent="0.2">
      <c r="A2883"/>
      <c r="B2883"/>
      <c r="C2883"/>
      <c r="D2883"/>
    </row>
    <row r="2884" spans="1:4" x14ac:dyDescent="0.2">
      <c r="A2884"/>
      <c r="B2884"/>
      <c r="C2884"/>
      <c r="D2884"/>
    </row>
    <row r="2885" spans="1:4" x14ac:dyDescent="0.2">
      <c r="A2885"/>
      <c r="B2885"/>
      <c r="C2885"/>
      <c r="D2885"/>
    </row>
    <row r="2886" spans="1:4" x14ac:dyDescent="0.2">
      <c r="A2886"/>
      <c r="B2886"/>
      <c r="C2886"/>
      <c r="D2886"/>
    </row>
    <row r="2887" spans="1:4" x14ac:dyDescent="0.2">
      <c r="A2887"/>
      <c r="B2887"/>
      <c r="C2887"/>
      <c r="D2887"/>
    </row>
    <row r="2888" spans="1:4" x14ac:dyDescent="0.2">
      <c r="A2888"/>
      <c r="B2888"/>
      <c r="C2888"/>
      <c r="D2888"/>
    </row>
    <row r="2889" spans="1:4" x14ac:dyDescent="0.2">
      <c r="A2889"/>
      <c r="B2889"/>
      <c r="C2889"/>
      <c r="D2889"/>
    </row>
    <row r="2890" spans="1:4" x14ac:dyDescent="0.2">
      <c r="A2890"/>
      <c r="B2890"/>
      <c r="C2890"/>
      <c r="D2890"/>
    </row>
    <row r="2891" spans="1:4" x14ac:dyDescent="0.2">
      <c r="A2891"/>
      <c r="B2891"/>
      <c r="C2891"/>
      <c r="D2891"/>
    </row>
    <row r="2892" spans="1:4" x14ac:dyDescent="0.2">
      <c r="A2892"/>
      <c r="B2892"/>
      <c r="C2892"/>
      <c r="D2892"/>
    </row>
    <row r="2893" spans="1:4" x14ac:dyDescent="0.2">
      <c r="A2893"/>
      <c r="B2893"/>
      <c r="C2893"/>
      <c r="D2893"/>
    </row>
    <row r="2894" spans="1:4" x14ac:dyDescent="0.2">
      <c r="A2894"/>
      <c r="B2894"/>
      <c r="C2894"/>
      <c r="D2894"/>
    </row>
    <row r="2895" spans="1:4" x14ac:dyDescent="0.2">
      <c r="A2895"/>
      <c r="B2895"/>
      <c r="C2895"/>
      <c r="D2895"/>
    </row>
    <row r="2896" spans="1:4" x14ac:dyDescent="0.2">
      <c r="A2896"/>
      <c r="B2896"/>
      <c r="C2896"/>
      <c r="D2896"/>
    </row>
    <row r="2897" spans="1:4" x14ac:dyDescent="0.2">
      <c r="A2897"/>
      <c r="B2897"/>
      <c r="C2897"/>
      <c r="D2897"/>
    </row>
    <row r="2898" spans="1:4" x14ac:dyDescent="0.2">
      <c r="A2898"/>
      <c r="B2898"/>
      <c r="C2898"/>
      <c r="D2898"/>
    </row>
    <row r="2899" spans="1:4" x14ac:dyDescent="0.2">
      <c r="A2899"/>
      <c r="B2899"/>
      <c r="C2899"/>
      <c r="D2899"/>
    </row>
    <row r="2900" spans="1:4" x14ac:dyDescent="0.2">
      <c r="A2900"/>
      <c r="B2900"/>
      <c r="C2900"/>
      <c r="D2900"/>
    </row>
    <row r="2901" spans="1:4" x14ac:dyDescent="0.2">
      <c r="A2901"/>
      <c r="B2901"/>
      <c r="C2901"/>
      <c r="D2901"/>
    </row>
    <row r="2902" spans="1:4" x14ac:dyDescent="0.2">
      <c r="A2902"/>
      <c r="B2902"/>
      <c r="C2902"/>
      <c r="D2902"/>
    </row>
    <row r="2903" spans="1:4" x14ac:dyDescent="0.2">
      <c r="A2903"/>
      <c r="B2903"/>
      <c r="C2903"/>
      <c r="D2903"/>
    </row>
    <row r="2904" spans="1:4" x14ac:dyDescent="0.2">
      <c r="A2904"/>
      <c r="B2904"/>
      <c r="C2904"/>
      <c r="D2904"/>
    </row>
    <row r="2905" spans="1:4" x14ac:dyDescent="0.2">
      <c r="A2905"/>
      <c r="B2905"/>
      <c r="C2905"/>
      <c r="D2905"/>
    </row>
    <row r="2906" spans="1:4" x14ac:dyDescent="0.2">
      <c r="A2906"/>
      <c r="B2906"/>
      <c r="C2906"/>
      <c r="D2906"/>
    </row>
    <row r="2907" spans="1:4" x14ac:dyDescent="0.2">
      <c r="A2907"/>
      <c r="B2907"/>
      <c r="C2907"/>
      <c r="D2907"/>
    </row>
    <row r="2908" spans="1:4" x14ac:dyDescent="0.2">
      <c r="A2908"/>
      <c r="B2908"/>
      <c r="C2908"/>
      <c r="D2908"/>
    </row>
    <row r="2909" spans="1:4" x14ac:dyDescent="0.2">
      <c r="A2909"/>
      <c r="B2909"/>
      <c r="C2909"/>
      <c r="D2909"/>
    </row>
    <row r="2910" spans="1:4" x14ac:dyDescent="0.2">
      <c r="A2910"/>
      <c r="B2910"/>
      <c r="C2910"/>
      <c r="D2910"/>
    </row>
    <row r="2911" spans="1:4" x14ac:dyDescent="0.2">
      <c r="A2911"/>
      <c r="B2911"/>
      <c r="C2911"/>
      <c r="D2911"/>
    </row>
    <row r="2912" spans="1:4" x14ac:dyDescent="0.2">
      <c r="A2912"/>
      <c r="B2912"/>
      <c r="C2912"/>
      <c r="D2912"/>
    </row>
    <row r="2913" spans="1:4" x14ac:dyDescent="0.2">
      <c r="A2913"/>
      <c r="B2913"/>
      <c r="C2913"/>
      <c r="D2913"/>
    </row>
    <row r="2914" spans="1:4" x14ac:dyDescent="0.2">
      <c r="A2914"/>
      <c r="B2914"/>
      <c r="C2914"/>
      <c r="D2914"/>
    </row>
    <row r="2915" spans="1:4" x14ac:dyDescent="0.2">
      <c r="A2915"/>
      <c r="B2915"/>
      <c r="C2915"/>
      <c r="D2915"/>
    </row>
    <row r="2916" spans="1:4" x14ac:dyDescent="0.2">
      <c r="A2916"/>
      <c r="B2916"/>
      <c r="C2916"/>
      <c r="D2916"/>
    </row>
    <row r="2917" spans="1:4" x14ac:dyDescent="0.2">
      <c r="A2917"/>
      <c r="B2917"/>
      <c r="C2917"/>
      <c r="D2917"/>
    </row>
    <row r="2918" spans="1:4" x14ac:dyDescent="0.2">
      <c r="A2918"/>
      <c r="B2918"/>
      <c r="C2918"/>
      <c r="D2918"/>
    </row>
    <row r="2919" spans="1:4" x14ac:dyDescent="0.2">
      <c r="A2919"/>
      <c r="B2919"/>
      <c r="C2919"/>
      <c r="D2919"/>
    </row>
    <row r="2920" spans="1:4" x14ac:dyDescent="0.2">
      <c r="A2920"/>
      <c r="B2920"/>
      <c r="C2920"/>
      <c r="D2920"/>
    </row>
    <row r="2921" spans="1:4" x14ac:dyDescent="0.2">
      <c r="A2921"/>
      <c r="B2921"/>
      <c r="C2921"/>
      <c r="D2921"/>
    </row>
    <row r="2922" spans="1:4" x14ac:dyDescent="0.2">
      <c r="A2922"/>
      <c r="B2922"/>
      <c r="C2922"/>
      <c r="D2922"/>
    </row>
    <row r="2923" spans="1:4" x14ac:dyDescent="0.2">
      <c r="A2923"/>
      <c r="B2923"/>
      <c r="C2923"/>
      <c r="D2923"/>
    </row>
    <row r="2924" spans="1:4" x14ac:dyDescent="0.2">
      <c r="A2924"/>
      <c r="B2924"/>
      <c r="C2924"/>
      <c r="D2924"/>
    </row>
    <row r="2925" spans="1:4" x14ac:dyDescent="0.2">
      <c r="A2925"/>
      <c r="B2925"/>
      <c r="C2925"/>
      <c r="D2925"/>
    </row>
    <row r="2926" spans="1:4" x14ac:dyDescent="0.2">
      <c r="A2926"/>
      <c r="B2926"/>
      <c r="C2926"/>
      <c r="D2926"/>
    </row>
    <row r="2927" spans="1:4" x14ac:dyDescent="0.2">
      <c r="A2927"/>
      <c r="B2927"/>
      <c r="C2927"/>
      <c r="D2927"/>
    </row>
    <row r="2928" spans="1:4" x14ac:dyDescent="0.2">
      <c r="A2928"/>
      <c r="B2928"/>
      <c r="C2928"/>
      <c r="D2928"/>
    </row>
    <row r="2929" spans="1:4" x14ac:dyDescent="0.2">
      <c r="A2929"/>
      <c r="B2929"/>
      <c r="C2929"/>
      <c r="D2929"/>
    </row>
    <row r="2930" spans="1:4" x14ac:dyDescent="0.2">
      <c r="A2930"/>
      <c r="B2930"/>
      <c r="C2930"/>
      <c r="D2930"/>
    </row>
    <row r="2931" spans="1:4" x14ac:dyDescent="0.2">
      <c r="A2931"/>
      <c r="B2931"/>
      <c r="C2931"/>
      <c r="D2931"/>
    </row>
    <row r="2932" spans="1:4" x14ac:dyDescent="0.2">
      <c r="A2932"/>
      <c r="B2932"/>
      <c r="C2932"/>
      <c r="D2932"/>
    </row>
    <row r="2933" spans="1:4" x14ac:dyDescent="0.2">
      <c r="A2933"/>
      <c r="B2933"/>
      <c r="C2933"/>
      <c r="D2933"/>
    </row>
    <row r="2934" spans="1:4" x14ac:dyDescent="0.2">
      <c r="A2934"/>
      <c r="B2934"/>
      <c r="C2934"/>
      <c r="D2934"/>
    </row>
    <row r="2935" spans="1:4" x14ac:dyDescent="0.2">
      <c r="A2935"/>
      <c r="B2935"/>
      <c r="C2935"/>
      <c r="D2935"/>
    </row>
    <row r="2936" spans="1:4" x14ac:dyDescent="0.2">
      <c r="A2936"/>
      <c r="B2936"/>
      <c r="C2936"/>
      <c r="D2936"/>
    </row>
    <row r="2937" spans="1:4" x14ac:dyDescent="0.2">
      <c r="A2937"/>
      <c r="B2937"/>
      <c r="C2937"/>
      <c r="D2937"/>
    </row>
    <row r="2938" spans="1:4" x14ac:dyDescent="0.2">
      <c r="A2938"/>
      <c r="B2938"/>
      <c r="C2938"/>
      <c r="D2938"/>
    </row>
    <row r="2939" spans="1:4" x14ac:dyDescent="0.2">
      <c r="A2939"/>
      <c r="B2939"/>
      <c r="C2939"/>
      <c r="D2939"/>
    </row>
    <row r="2940" spans="1:4" x14ac:dyDescent="0.2">
      <c r="A2940"/>
      <c r="B2940"/>
      <c r="C2940"/>
      <c r="D2940"/>
    </row>
    <row r="2941" spans="1:4" x14ac:dyDescent="0.2">
      <c r="A2941"/>
      <c r="B2941"/>
      <c r="C2941"/>
      <c r="D2941"/>
    </row>
    <row r="2942" spans="1:4" x14ac:dyDescent="0.2">
      <c r="A2942"/>
      <c r="B2942"/>
      <c r="C2942"/>
      <c r="D2942"/>
    </row>
    <row r="2943" spans="1:4" x14ac:dyDescent="0.2">
      <c r="A2943"/>
      <c r="B2943"/>
      <c r="C2943"/>
      <c r="D2943"/>
    </row>
    <row r="2944" spans="1:4" x14ac:dyDescent="0.2">
      <c r="A2944"/>
      <c r="B2944"/>
      <c r="C2944"/>
      <c r="D2944"/>
    </row>
    <row r="2945" spans="1:4" x14ac:dyDescent="0.2">
      <c r="A2945"/>
      <c r="B2945"/>
      <c r="C2945"/>
      <c r="D2945"/>
    </row>
    <row r="2946" spans="1:4" x14ac:dyDescent="0.2">
      <c r="A2946"/>
      <c r="B2946"/>
      <c r="C2946"/>
      <c r="D2946"/>
    </row>
    <row r="2947" spans="1:4" x14ac:dyDescent="0.2">
      <c r="A2947"/>
      <c r="B2947"/>
      <c r="C2947"/>
      <c r="D2947"/>
    </row>
    <row r="2948" spans="1:4" x14ac:dyDescent="0.2">
      <c r="A2948"/>
      <c r="B2948"/>
      <c r="C2948"/>
      <c r="D2948"/>
    </row>
    <row r="2949" spans="1:4" x14ac:dyDescent="0.2">
      <c r="A2949"/>
      <c r="B2949"/>
      <c r="C2949"/>
      <c r="D2949"/>
    </row>
    <row r="2950" spans="1:4" x14ac:dyDescent="0.2">
      <c r="A2950"/>
      <c r="B2950"/>
      <c r="C2950"/>
      <c r="D2950"/>
    </row>
    <row r="2951" spans="1:4" x14ac:dyDescent="0.2">
      <c r="A2951"/>
      <c r="B2951"/>
      <c r="C2951"/>
      <c r="D2951"/>
    </row>
    <row r="2952" spans="1:4" x14ac:dyDescent="0.2">
      <c r="A2952"/>
      <c r="B2952"/>
      <c r="C2952"/>
      <c r="D2952"/>
    </row>
    <row r="2953" spans="1:4" x14ac:dyDescent="0.2">
      <c r="A2953"/>
      <c r="B2953"/>
      <c r="C2953"/>
      <c r="D2953"/>
    </row>
    <row r="2954" spans="1:4" x14ac:dyDescent="0.2">
      <c r="A2954"/>
      <c r="B2954"/>
      <c r="C2954"/>
      <c r="D2954"/>
    </row>
    <row r="2955" spans="1:4" x14ac:dyDescent="0.2">
      <c r="A2955"/>
      <c r="B2955"/>
      <c r="C2955"/>
      <c r="D2955"/>
    </row>
    <row r="2956" spans="1:4" x14ac:dyDescent="0.2">
      <c r="A2956"/>
      <c r="B2956"/>
      <c r="C2956"/>
      <c r="D2956"/>
    </row>
    <row r="2957" spans="1:4" x14ac:dyDescent="0.2">
      <c r="A2957"/>
      <c r="B2957"/>
      <c r="C2957"/>
      <c r="D2957"/>
    </row>
    <row r="2958" spans="1:4" x14ac:dyDescent="0.2">
      <c r="A2958"/>
      <c r="B2958"/>
      <c r="C2958"/>
      <c r="D2958"/>
    </row>
    <row r="2959" spans="1:4" x14ac:dyDescent="0.2">
      <c r="A2959"/>
      <c r="B2959"/>
      <c r="C2959"/>
      <c r="D2959"/>
    </row>
    <row r="2960" spans="1:4" x14ac:dyDescent="0.2">
      <c r="A2960"/>
      <c r="B2960"/>
      <c r="C2960"/>
      <c r="D2960"/>
    </row>
    <row r="2961" spans="1:4" x14ac:dyDescent="0.2">
      <c r="A2961"/>
      <c r="B2961"/>
      <c r="C2961"/>
      <c r="D2961"/>
    </row>
    <row r="2962" spans="1:4" x14ac:dyDescent="0.2">
      <c r="A2962"/>
      <c r="B2962"/>
      <c r="C2962"/>
      <c r="D2962"/>
    </row>
    <row r="2963" spans="1:4" x14ac:dyDescent="0.2">
      <c r="A2963"/>
      <c r="B2963"/>
      <c r="C2963"/>
      <c r="D2963"/>
    </row>
    <row r="2964" spans="1:4" x14ac:dyDescent="0.2">
      <c r="A2964"/>
      <c r="B2964"/>
      <c r="C2964"/>
      <c r="D2964"/>
    </row>
    <row r="2965" spans="1:4" x14ac:dyDescent="0.2">
      <c r="A2965"/>
      <c r="B2965"/>
      <c r="C2965"/>
      <c r="D2965"/>
    </row>
    <row r="2966" spans="1:4" x14ac:dyDescent="0.2">
      <c r="A2966"/>
      <c r="B2966"/>
      <c r="C2966"/>
      <c r="D2966"/>
    </row>
    <row r="2967" spans="1:4" x14ac:dyDescent="0.2">
      <c r="A2967"/>
      <c r="B2967"/>
      <c r="C2967"/>
      <c r="D2967"/>
    </row>
    <row r="2968" spans="1:4" x14ac:dyDescent="0.2">
      <c r="A2968"/>
      <c r="B2968"/>
      <c r="C2968"/>
      <c r="D2968"/>
    </row>
    <row r="2969" spans="1:4" x14ac:dyDescent="0.2">
      <c r="A2969"/>
      <c r="B2969"/>
      <c r="C2969"/>
      <c r="D2969"/>
    </row>
    <row r="2970" spans="1:4" x14ac:dyDescent="0.2">
      <c r="A2970"/>
      <c r="B2970"/>
      <c r="C2970"/>
      <c r="D2970"/>
    </row>
    <row r="2971" spans="1:4" x14ac:dyDescent="0.2">
      <c r="A2971"/>
      <c r="B2971"/>
      <c r="C2971"/>
      <c r="D2971"/>
    </row>
    <row r="2972" spans="1:4" x14ac:dyDescent="0.2">
      <c r="A2972"/>
      <c r="B2972"/>
      <c r="C2972"/>
      <c r="D2972"/>
    </row>
    <row r="2973" spans="1:4" x14ac:dyDescent="0.2">
      <c r="A2973"/>
      <c r="B2973"/>
      <c r="C2973"/>
      <c r="D2973"/>
    </row>
    <row r="2974" spans="1:4" x14ac:dyDescent="0.2">
      <c r="A2974"/>
      <c r="B2974"/>
      <c r="C2974"/>
      <c r="D2974"/>
    </row>
    <row r="2975" spans="1:4" x14ac:dyDescent="0.2">
      <c r="A2975"/>
      <c r="B2975"/>
      <c r="C2975"/>
      <c r="D2975"/>
    </row>
    <row r="2976" spans="1:4" x14ac:dyDescent="0.2">
      <c r="A2976"/>
      <c r="B2976"/>
      <c r="C2976"/>
      <c r="D2976"/>
    </row>
    <row r="2977" spans="1:4" x14ac:dyDescent="0.2">
      <c r="A2977"/>
      <c r="B2977"/>
      <c r="C2977"/>
      <c r="D2977"/>
    </row>
    <row r="2978" spans="1:4" x14ac:dyDescent="0.2">
      <c r="A2978"/>
      <c r="B2978"/>
      <c r="C2978"/>
      <c r="D2978"/>
    </row>
    <row r="2979" spans="1:4" x14ac:dyDescent="0.2">
      <c r="A2979"/>
      <c r="B2979"/>
      <c r="C2979"/>
      <c r="D2979"/>
    </row>
    <row r="2980" spans="1:4" x14ac:dyDescent="0.2">
      <c r="A2980"/>
      <c r="B2980"/>
      <c r="C2980"/>
      <c r="D2980"/>
    </row>
    <row r="2981" spans="1:4" x14ac:dyDescent="0.2">
      <c r="A2981"/>
      <c r="B2981"/>
      <c r="C2981"/>
      <c r="D2981"/>
    </row>
    <row r="2982" spans="1:4" x14ac:dyDescent="0.2">
      <c r="A2982"/>
      <c r="B2982"/>
      <c r="C2982"/>
      <c r="D2982"/>
    </row>
    <row r="2983" spans="1:4" x14ac:dyDescent="0.2">
      <c r="A2983"/>
      <c r="B2983"/>
      <c r="C2983"/>
      <c r="D2983"/>
    </row>
    <row r="2984" spans="1:4" x14ac:dyDescent="0.2">
      <c r="A2984"/>
      <c r="B2984"/>
      <c r="C2984"/>
      <c r="D2984"/>
    </row>
    <row r="2985" spans="1:4" x14ac:dyDescent="0.2">
      <c r="A2985"/>
      <c r="B2985"/>
      <c r="C2985"/>
      <c r="D2985"/>
    </row>
    <row r="2986" spans="1:4" x14ac:dyDescent="0.2">
      <c r="A2986"/>
      <c r="B2986"/>
      <c r="C2986"/>
      <c r="D2986"/>
    </row>
    <row r="2987" spans="1:4" x14ac:dyDescent="0.2">
      <c r="A2987"/>
      <c r="B2987"/>
      <c r="C2987"/>
      <c r="D2987"/>
    </row>
    <row r="2988" spans="1:4" x14ac:dyDescent="0.2">
      <c r="A2988"/>
      <c r="B2988"/>
      <c r="C2988"/>
      <c r="D2988"/>
    </row>
    <row r="2989" spans="1:4" x14ac:dyDescent="0.2">
      <c r="A2989"/>
      <c r="B2989"/>
      <c r="C2989"/>
      <c r="D2989"/>
    </row>
    <row r="2990" spans="1:4" x14ac:dyDescent="0.2">
      <c r="A2990"/>
      <c r="B2990"/>
      <c r="C2990"/>
      <c r="D2990"/>
    </row>
    <row r="2991" spans="1:4" x14ac:dyDescent="0.2">
      <c r="A2991"/>
      <c r="B2991"/>
      <c r="C2991"/>
      <c r="D2991"/>
    </row>
    <row r="2992" spans="1:4" x14ac:dyDescent="0.2">
      <c r="A2992"/>
      <c r="B2992"/>
      <c r="C2992"/>
      <c r="D2992"/>
    </row>
    <row r="2993" spans="1:4" x14ac:dyDescent="0.2">
      <c r="A2993"/>
      <c r="B2993"/>
      <c r="C2993"/>
      <c r="D2993"/>
    </row>
    <row r="2994" spans="1:4" x14ac:dyDescent="0.2">
      <c r="A2994"/>
      <c r="B2994"/>
      <c r="C2994"/>
      <c r="D2994"/>
    </row>
    <row r="2995" spans="1:4" x14ac:dyDescent="0.2">
      <c r="A2995"/>
      <c r="B2995"/>
      <c r="C2995"/>
      <c r="D2995"/>
    </row>
    <row r="2996" spans="1:4" x14ac:dyDescent="0.2">
      <c r="A2996"/>
      <c r="B2996"/>
      <c r="C2996"/>
      <c r="D2996"/>
    </row>
    <row r="2997" spans="1:4" x14ac:dyDescent="0.2">
      <c r="A2997"/>
      <c r="B2997"/>
      <c r="C2997"/>
      <c r="D2997"/>
    </row>
    <row r="2998" spans="1:4" x14ac:dyDescent="0.2">
      <c r="A2998"/>
      <c r="B2998"/>
      <c r="C2998"/>
      <c r="D2998"/>
    </row>
    <row r="2999" spans="1:4" x14ac:dyDescent="0.2">
      <c r="A2999"/>
      <c r="B2999"/>
      <c r="C2999"/>
      <c r="D2999"/>
    </row>
    <row r="3000" spans="1:4" x14ac:dyDescent="0.2">
      <c r="A3000"/>
      <c r="B3000"/>
      <c r="C3000"/>
      <c r="D3000"/>
    </row>
    <row r="3001" spans="1:4" x14ac:dyDescent="0.2">
      <c r="A3001"/>
      <c r="B3001"/>
      <c r="C3001"/>
      <c r="D3001"/>
    </row>
    <row r="3002" spans="1:4" x14ac:dyDescent="0.2">
      <c r="A3002"/>
      <c r="B3002"/>
      <c r="C3002"/>
      <c r="D3002"/>
    </row>
    <row r="3003" spans="1:4" x14ac:dyDescent="0.2">
      <c r="A3003"/>
      <c r="B3003"/>
      <c r="C3003"/>
      <c r="D3003"/>
    </row>
    <row r="3004" spans="1:4" x14ac:dyDescent="0.2">
      <c r="A3004"/>
      <c r="B3004"/>
      <c r="C3004"/>
      <c r="D3004"/>
    </row>
    <row r="3005" spans="1:4" x14ac:dyDescent="0.2">
      <c r="A3005"/>
      <c r="B3005"/>
      <c r="C3005"/>
      <c r="D3005"/>
    </row>
    <row r="3006" spans="1:4" x14ac:dyDescent="0.2">
      <c r="A3006"/>
      <c r="B3006"/>
      <c r="C3006"/>
      <c r="D3006"/>
    </row>
    <row r="3007" spans="1:4" x14ac:dyDescent="0.2">
      <c r="A3007"/>
      <c r="B3007"/>
      <c r="C3007"/>
      <c r="D3007"/>
    </row>
    <row r="3008" spans="1:4" x14ac:dyDescent="0.2">
      <c r="A3008"/>
      <c r="B3008"/>
      <c r="C3008"/>
      <c r="D3008"/>
    </row>
    <row r="3009" spans="1:4" x14ac:dyDescent="0.2">
      <c r="A3009"/>
      <c r="B3009"/>
      <c r="C3009"/>
      <c r="D3009"/>
    </row>
    <row r="3010" spans="1:4" x14ac:dyDescent="0.2">
      <c r="A3010"/>
      <c r="B3010"/>
      <c r="C3010"/>
      <c r="D3010"/>
    </row>
    <row r="3011" spans="1:4" x14ac:dyDescent="0.2">
      <c r="A3011"/>
      <c r="B3011"/>
      <c r="C3011"/>
      <c r="D3011"/>
    </row>
    <row r="3012" spans="1:4" x14ac:dyDescent="0.2">
      <c r="A3012"/>
      <c r="B3012"/>
      <c r="C3012"/>
      <c r="D3012"/>
    </row>
    <row r="3013" spans="1:4" x14ac:dyDescent="0.2">
      <c r="A3013"/>
      <c r="B3013"/>
      <c r="C3013"/>
      <c r="D3013"/>
    </row>
    <row r="3014" spans="1:4" x14ac:dyDescent="0.2">
      <c r="A3014"/>
      <c r="B3014"/>
      <c r="C3014"/>
      <c r="D3014"/>
    </row>
    <row r="3015" spans="1:4" x14ac:dyDescent="0.2">
      <c r="A3015"/>
      <c r="B3015"/>
      <c r="C3015"/>
      <c r="D3015"/>
    </row>
    <row r="3016" spans="1:4" x14ac:dyDescent="0.2">
      <c r="A3016"/>
      <c r="B3016"/>
      <c r="C3016"/>
      <c r="D3016"/>
    </row>
    <row r="3017" spans="1:4" x14ac:dyDescent="0.2">
      <c r="A3017"/>
      <c r="B3017"/>
      <c r="C3017"/>
      <c r="D3017"/>
    </row>
    <row r="3018" spans="1:4" x14ac:dyDescent="0.2">
      <c r="A3018"/>
      <c r="B3018"/>
      <c r="C3018"/>
      <c r="D3018"/>
    </row>
    <row r="3019" spans="1:4" x14ac:dyDescent="0.2">
      <c r="A3019"/>
      <c r="B3019"/>
      <c r="C3019"/>
      <c r="D3019"/>
    </row>
    <row r="3020" spans="1:4" x14ac:dyDescent="0.2">
      <c r="A3020"/>
      <c r="B3020"/>
      <c r="C3020"/>
      <c r="D3020"/>
    </row>
    <row r="3021" spans="1:4" x14ac:dyDescent="0.2">
      <c r="A3021"/>
      <c r="B3021"/>
      <c r="C3021"/>
      <c r="D3021"/>
    </row>
    <row r="3022" spans="1:4" x14ac:dyDescent="0.2">
      <c r="A3022"/>
      <c r="B3022"/>
      <c r="C3022"/>
      <c r="D3022"/>
    </row>
    <row r="3023" spans="1:4" x14ac:dyDescent="0.2">
      <c r="A3023"/>
      <c r="B3023"/>
      <c r="C3023"/>
      <c r="D3023"/>
    </row>
    <row r="3024" spans="1:4" x14ac:dyDescent="0.2">
      <c r="A3024"/>
      <c r="B3024"/>
      <c r="C3024"/>
      <c r="D3024"/>
    </row>
    <row r="3025" spans="1:4" x14ac:dyDescent="0.2">
      <c r="A3025"/>
      <c r="B3025"/>
      <c r="C3025"/>
      <c r="D3025"/>
    </row>
    <row r="3026" spans="1:4" x14ac:dyDescent="0.2">
      <c r="A3026"/>
      <c r="B3026"/>
      <c r="C3026"/>
      <c r="D3026"/>
    </row>
    <row r="3027" spans="1:4" x14ac:dyDescent="0.2">
      <c r="A3027"/>
      <c r="B3027"/>
      <c r="C3027"/>
      <c r="D3027"/>
    </row>
    <row r="3028" spans="1:4" x14ac:dyDescent="0.2">
      <c r="A3028"/>
      <c r="B3028"/>
      <c r="C3028"/>
      <c r="D3028"/>
    </row>
    <row r="3029" spans="1:4" x14ac:dyDescent="0.2">
      <c r="A3029"/>
      <c r="B3029"/>
      <c r="C3029"/>
      <c r="D3029"/>
    </row>
    <row r="3030" spans="1:4" x14ac:dyDescent="0.2">
      <c r="A3030"/>
      <c r="B3030"/>
      <c r="C3030"/>
      <c r="D3030"/>
    </row>
    <row r="3031" spans="1:4" x14ac:dyDescent="0.2">
      <c r="A3031"/>
      <c r="B3031"/>
      <c r="C3031"/>
      <c r="D3031"/>
    </row>
    <row r="3032" spans="1:4" x14ac:dyDescent="0.2">
      <c r="A3032"/>
      <c r="B3032"/>
      <c r="C3032"/>
      <c r="D3032"/>
    </row>
    <row r="3033" spans="1:4" x14ac:dyDescent="0.2">
      <c r="A3033"/>
      <c r="B3033"/>
      <c r="C3033"/>
      <c r="D3033"/>
    </row>
    <row r="3034" spans="1:4" x14ac:dyDescent="0.2">
      <c r="A3034"/>
      <c r="B3034"/>
      <c r="C3034"/>
      <c r="D3034"/>
    </row>
    <row r="3035" spans="1:4" x14ac:dyDescent="0.2">
      <c r="A3035"/>
      <c r="B3035"/>
      <c r="C3035"/>
      <c r="D3035"/>
    </row>
    <row r="3036" spans="1:4" x14ac:dyDescent="0.2">
      <c r="A3036"/>
      <c r="B3036"/>
      <c r="C3036"/>
      <c r="D3036"/>
    </row>
    <row r="3037" spans="1:4" x14ac:dyDescent="0.2">
      <c r="A3037"/>
      <c r="B3037"/>
      <c r="C3037"/>
      <c r="D3037"/>
    </row>
    <row r="3038" spans="1:4" x14ac:dyDescent="0.2">
      <c r="A3038"/>
      <c r="B3038"/>
      <c r="C3038"/>
      <c r="D3038"/>
    </row>
    <row r="3039" spans="1:4" x14ac:dyDescent="0.2">
      <c r="A3039"/>
      <c r="B3039"/>
      <c r="C3039"/>
      <c r="D3039"/>
    </row>
    <row r="3040" spans="1:4" x14ac:dyDescent="0.2">
      <c r="A3040"/>
      <c r="B3040"/>
      <c r="C3040"/>
      <c r="D3040"/>
    </row>
    <row r="3041" spans="1:4" x14ac:dyDescent="0.2">
      <c r="A3041"/>
      <c r="B3041"/>
      <c r="C3041"/>
      <c r="D3041"/>
    </row>
    <row r="3042" spans="1:4" x14ac:dyDescent="0.2">
      <c r="A3042"/>
      <c r="B3042"/>
      <c r="C3042"/>
      <c r="D3042"/>
    </row>
    <row r="3043" spans="1:4" x14ac:dyDescent="0.2">
      <c r="A3043"/>
      <c r="B3043"/>
      <c r="C3043"/>
      <c r="D3043"/>
    </row>
    <row r="3044" spans="1:4" x14ac:dyDescent="0.2">
      <c r="A3044"/>
      <c r="B3044"/>
      <c r="C3044"/>
      <c r="D3044"/>
    </row>
    <row r="3045" spans="1:4" x14ac:dyDescent="0.2">
      <c r="A3045"/>
      <c r="B3045"/>
      <c r="C3045"/>
      <c r="D3045"/>
    </row>
    <row r="3046" spans="1:4" x14ac:dyDescent="0.2">
      <c r="A3046"/>
      <c r="B3046"/>
      <c r="C3046"/>
      <c r="D3046"/>
    </row>
    <row r="3047" spans="1:4" x14ac:dyDescent="0.2">
      <c r="A3047"/>
      <c r="B3047"/>
      <c r="C3047"/>
      <c r="D3047"/>
    </row>
    <row r="3048" spans="1:4" x14ac:dyDescent="0.2">
      <c r="A3048"/>
      <c r="B3048"/>
      <c r="C3048"/>
      <c r="D3048"/>
    </row>
    <row r="3049" spans="1:4" x14ac:dyDescent="0.2">
      <c r="A3049"/>
      <c r="B3049"/>
      <c r="C3049"/>
      <c r="D3049"/>
    </row>
    <row r="3050" spans="1:4" x14ac:dyDescent="0.2">
      <c r="A3050"/>
      <c r="B3050"/>
      <c r="C3050"/>
      <c r="D3050"/>
    </row>
    <row r="3051" spans="1:4" x14ac:dyDescent="0.2">
      <c r="A3051"/>
      <c r="B3051"/>
      <c r="C3051"/>
      <c r="D3051"/>
    </row>
    <row r="3052" spans="1:4" x14ac:dyDescent="0.2">
      <c r="A3052"/>
      <c r="B3052"/>
      <c r="C3052"/>
      <c r="D3052"/>
    </row>
    <row r="3053" spans="1:4" x14ac:dyDescent="0.2">
      <c r="A3053"/>
      <c r="B3053"/>
      <c r="C3053"/>
      <c r="D3053"/>
    </row>
    <row r="3054" spans="1:4" x14ac:dyDescent="0.2">
      <c r="A3054"/>
      <c r="B3054"/>
      <c r="C3054"/>
      <c r="D3054"/>
    </row>
    <row r="3055" spans="1:4" x14ac:dyDescent="0.2">
      <c r="A3055"/>
      <c r="B3055"/>
      <c r="C3055"/>
      <c r="D3055"/>
    </row>
    <row r="3056" spans="1:4" x14ac:dyDescent="0.2">
      <c r="A3056"/>
      <c r="B3056"/>
      <c r="C3056"/>
      <c r="D3056"/>
    </row>
    <row r="3057" spans="1:4" x14ac:dyDescent="0.2">
      <c r="A3057"/>
      <c r="B3057"/>
      <c r="C3057"/>
      <c r="D3057"/>
    </row>
    <row r="3058" spans="1:4" x14ac:dyDescent="0.2">
      <c r="A3058"/>
      <c r="B3058"/>
      <c r="C3058"/>
      <c r="D3058"/>
    </row>
    <row r="3059" spans="1:4" x14ac:dyDescent="0.2">
      <c r="A3059"/>
      <c r="B3059"/>
      <c r="C3059"/>
      <c r="D3059"/>
    </row>
    <row r="3060" spans="1:4" x14ac:dyDescent="0.2">
      <c r="A3060"/>
      <c r="B3060"/>
      <c r="C3060"/>
      <c r="D3060"/>
    </row>
    <row r="3061" spans="1:4" x14ac:dyDescent="0.2">
      <c r="A3061"/>
      <c r="B3061"/>
      <c r="C3061"/>
      <c r="D3061"/>
    </row>
    <row r="3062" spans="1:4" x14ac:dyDescent="0.2">
      <c r="A3062"/>
      <c r="B3062"/>
      <c r="C3062"/>
      <c r="D3062"/>
    </row>
    <row r="3063" spans="1:4" x14ac:dyDescent="0.2">
      <c r="A3063"/>
      <c r="B3063"/>
      <c r="C3063"/>
      <c r="D3063"/>
    </row>
    <row r="3064" spans="1:4" x14ac:dyDescent="0.2">
      <c r="A3064"/>
      <c r="B3064"/>
      <c r="C3064"/>
      <c r="D3064"/>
    </row>
    <row r="3065" spans="1:4" x14ac:dyDescent="0.2">
      <c r="A3065"/>
      <c r="B3065"/>
      <c r="C3065"/>
      <c r="D3065"/>
    </row>
    <row r="3066" spans="1:4" x14ac:dyDescent="0.2">
      <c r="A3066"/>
      <c r="B3066"/>
      <c r="C3066"/>
      <c r="D3066"/>
    </row>
    <row r="3067" spans="1:4" x14ac:dyDescent="0.2">
      <c r="A3067"/>
      <c r="B3067"/>
      <c r="C3067"/>
      <c r="D3067"/>
    </row>
    <row r="3068" spans="1:4" x14ac:dyDescent="0.2">
      <c r="A3068"/>
      <c r="B3068"/>
      <c r="C3068"/>
      <c r="D3068"/>
    </row>
    <row r="3069" spans="1:4" x14ac:dyDescent="0.2">
      <c r="A3069"/>
      <c r="B3069"/>
      <c r="C3069"/>
      <c r="D3069"/>
    </row>
    <row r="3070" spans="1:4" x14ac:dyDescent="0.2">
      <c r="A3070"/>
      <c r="B3070"/>
      <c r="C3070"/>
      <c r="D3070"/>
    </row>
    <row r="3071" spans="1:4" x14ac:dyDescent="0.2">
      <c r="A3071"/>
      <c r="B3071"/>
      <c r="C3071"/>
      <c r="D3071"/>
    </row>
    <row r="3072" spans="1:4" x14ac:dyDescent="0.2">
      <c r="A3072"/>
      <c r="B3072"/>
      <c r="C3072"/>
      <c r="D3072"/>
    </row>
    <row r="3073" spans="1:4" x14ac:dyDescent="0.2">
      <c r="A3073"/>
      <c r="B3073"/>
      <c r="C3073"/>
      <c r="D3073"/>
    </row>
    <row r="3074" spans="1:4" x14ac:dyDescent="0.2">
      <c r="A3074"/>
      <c r="B3074"/>
      <c r="C3074"/>
      <c r="D3074"/>
    </row>
    <row r="3075" spans="1:4" x14ac:dyDescent="0.2">
      <c r="A3075"/>
      <c r="B3075"/>
      <c r="C3075"/>
      <c r="D3075"/>
    </row>
    <row r="3076" spans="1:4" x14ac:dyDescent="0.2">
      <c r="A3076"/>
      <c r="B3076"/>
      <c r="C3076"/>
      <c r="D3076"/>
    </row>
    <row r="3077" spans="1:4" x14ac:dyDescent="0.2">
      <c r="A3077"/>
      <c r="B3077"/>
      <c r="C3077"/>
      <c r="D3077"/>
    </row>
    <row r="3078" spans="1:4" x14ac:dyDescent="0.2">
      <c r="A3078"/>
      <c r="B3078"/>
      <c r="C3078"/>
      <c r="D3078"/>
    </row>
    <row r="3079" spans="1:4" x14ac:dyDescent="0.2">
      <c r="A3079"/>
      <c r="B3079"/>
      <c r="C3079"/>
      <c r="D3079"/>
    </row>
    <row r="3080" spans="1:4" x14ac:dyDescent="0.2">
      <c r="A3080"/>
      <c r="B3080"/>
      <c r="C3080"/>
      <c r="D3080"/>
    </row>
    <row r="3081" spans="1:4" x14ac:dyDescent="0.2">
      <c r="A3081"/>
      <c r="B3081"/>
      <c r="C3081"/>
      <c r="D3081"/>
    </row>
    <row r="3082" spans="1:4" x14ac:dyDescent="0.2">
      <c r="A3082"/>
      <c r="B3082"/>
      <c r="C3082"/>
      <c r="D3082"/>
    </row>
    <row r="3083" spans="1:4" x14ac:dyDescent="0.2">
      <c r="A3083"/>
      <c r="B3083"/>
      <c r="C3083"/>
      <c r="D3083"/>
    </row>
    <row r="3084" spans="1:4" x14ac:dyDescent="0.2">
      <c r="A3084"/>
      <c r="B3084"/>
      <c r="C3084"/>
      <c r="D3084"/>
    </row>
    <row r="3085" spans="1:4" x14ac:dyDescent="0.2">
      <c r="A3085"/>
      <c r="B3085"/>
      <c r="C3085"/>
      <c r="D3085"/>
    </row>
    <row r="3086" spans="1:4" x14ac:dyDescent="0.2">
      <c r="A3086"/>
      <c r="B3086"/>
      <c r="C3086"/>
      <c r="D3086"/>
    </row>
    <row r="3087" spans="1:4" x14ac:dyDescent="0.2">
      <c r="A3087"/>
      <c r="B3087"/>
      <c r="C3087"/>
      <c r="D3087"/>
    </row>
    <row r="3088" spans="1:4" x14ac:dyDescent="0.2">
      <c r="A3088"/>
      <c r="B3088"/>
      <c r="C3088"/>
      <c r="D3088"/>
    </row>
    <row r="3089" spans="1:4" x14ac:dyDescent="0.2">
      <c r="A3089"/>
      <c r="B3089"/>
      <c r="C3089"/>
      <c r="D3089"/>
    </row>
    <row r="3090" spans="1:4" x14ac:dyDescent="0.2">
      <c r="A3090"/>
      <c r="B3090"/>
      <c r="C3090"/>
      <c r="D3090"/>
    </row>
    <row r="3091" spans="1:4" x14ac:dyDescent="0.2">
      <c r="A3091"/>
      <c r="B3091"/>
      <c r="C3091"/>
      <c r="D3091"/>
    </row>
    <row r="3092" spans="1:4" x14ac:dyDescent="0.2">
      <c r="A3092"/>
      <c r="B3092"/>
      <c r="C3092"/>
      <c r="D3092"/>
    </row>
    <row r="3093" spans="1:4" x14ac:dyDescent="0.2">
      <c r="A3093"/>
      <c r="B3093"/>
      <c r="C3093"/>
      <c r="D3093"/>
    </row>
    <row r="3094" spans="1:4" x14ac:dyDescent="0.2">
      <c r="A3094"/>
      <c r="B3094"/>
      <c r="C3094"/>
      <c r="D3094"/>
    </row>
    <row r="3095" spans="1:4" x14ac:dyDescent="0.2">
      <c r="A3095"/>
      <c r="B3095"/>
      <c r="C3095"/>
      <c r="D3095"/>
    </row>
    <row r="3096" spans="1:4" x14ac:dyDescent="0.2">
      <c r="A3096"/>
      <c r="B3096"/>
      <c r="C3096"/>
      <c r="D3096"/>
    </row>
    <row r="3097" spans="1:4" x14ac:dyDescent="0.2">
      <c r="A3097"/>
      <c r="B3097"/>
      <c r="C3097"/>
      <c r="D3097"/>
    </row>
    <row r="3098" spans="1:4" x14ac:dyDescent="0.2">
      <c r="A3098"/>
      <c r="B3098"/>
      <c r="C3098"/>
      <c r="D3098"/>
    </row>
    <row r="3099" spans="1:4" x14ac:dyDescent="0.2">
      <c r="A3099"/>
      <c r="B3099"/>
      <c r="C3099"/>
      <c r="D3099"/>
    </row>
    <row r="3100" spans="1:4" x14ac:dyDescent="0.2">
      <c r="A3100"/>
      <c r="B3100"/>
      <c r="C3100"/>
      <c r="D3100"/>
    </row>
    <row r="3101" spans="1:4" x14ac:dyDescent="0.2">
      <c r="A3101"/>
      <c r="B3101"/>
      <c r="C3101"/>
      <c r="D3101"/>
    </row>
    <row r="3102" spans="1:4" x14ac:dyDescent="0.2">
      <c r="A3102"/>
      <c r="B3102"/>
      <c r="C3102"/>
      <c r="D3102"/>
    </row>
    <row r="3103" spans="1:4" x14ac:dyDescent="0.2">
      <c r="A3103"/>
      <c r="B3103"/>
      <c r="C3103"/>
      <c r="D3103"/>
    </row>
    <row r="3104" spans="1:4" x14ac:dyDescent="0.2">
      <c r="A3104"/>
      <c r="B3104"/>
      <c r="C3104"/>
      <c r="D3104"/>
    </row>
    <row r="3105" spans="1:4" x14ac:dyDescent="0.2">
      <c r="A3105"/>
      <c r="B3105"/>
      <c r="C3105"/>
      <c r="D3105"/>
    </row>
    <row r="3106" spans="1:4" x14ac:dyDescent="0.2">
      <c r="A3106"/>
      <c r="B3106"/>
      <c r="C3106"/>
      <c r="D3106"/>
    </row>
    <row r="3107" spans="1:4" x14ac:dyDescent="0.2">
      <c r="A3107"/>
      <c r="B3107"/>
      <c r="C3107"/>
      <c r="D3107"/>
    </row>
    <row r="3108" spans="1:4" x14ac:dyDescent="0.2">
      <c r="A3108"/>
      <c r="B3108"/>
      <c r="C3108"/>
      <c r="D3108"/>
    </row>
    <row r="3109" spans="1:4" x14ac:dyDescent="0.2">
      <c r="A3109"/>
      <c r="B3109"/>
      <c r="C3109"/>
      <c r="D3109"/>
    </row>
    <row r="3110" spans="1:4" x14ac:dyDescent="0.2">
      <c r="A3110"/>
      <c r="B3110"/>
      <c r="C3110"/>
      <c r="D3110"/>
    </row>
    <row r="3111" spans="1:4" x14ac:dyDescent="0.2">
      <c r="A3111"/>
      <c r="B3111"/>
      <c r="C3111"/>
      <c r="D3111"/>
    </row>
    <row r="3112" spans="1:4" x14ac:dyDescent="0.2">
      <c r="A3112"/>
      <c r="B3112"/>
      <c r="C3112"/>
      <c r="D3112"/>
    </row>
    <row r="3113" spans="1:4" x14ac:dyDescent="0.2">
      <c r="A3113"/>
      <c r="B3113"/>
      <c r="C3113"/>
      <c r="D3113"/>
    </row>
    <row r="3114" spans="1:4" x14ac:dyDescent="0.2">
      <c r="A3114"/>
      <c r="B3114"/>
      <c r="C3114"/>
      <c r="D3114"/>
    </row>
    <row r="3115" spans="1:4" x14ac:dyDescent="0.2">
      <c r="A3115"/>
      <c r="B3115"/>
      <c r="C3115"/>
      <c r="D3115"/>
    </row>
    <row r="3116" spans="1:4" x14ac:dyDescent="0.2">
      <c r="A3116"/>
      <c r="B3116"/>
      <c r="C3116"/>
      <c r="D3116"/>
    </row>
    <row r="3117" spans="1:4" x14ac:dyDescent="0.2">
      <c r="A3117"/>
      <c r="B3117"/>
      <c r="C3117"/>
      <c r="D3117"/>
    </row>
    <row r="3118" spans="1:4" x14ac:dyDescent="0.2">
      <c r="A3118"/>
      <c r="B3118"/>
      <c r="C3118"/>
      <c r="D3118"/>
    </row>
    <row r="3119" spans="1:4" x14ac:dyDescent="0.2">
      <c r="A3119"/>
      <c r="B3119"/>
      <c r="C3119"/>
      <c r="D3119"/>
    </row>
    <row r="3120" spans="1:4" x14ac:dyDescent="0.2">
      <c r="A3120"/>
      <c r="B3120"/>
      <c r="C3120"/>
      <c r="D3120"/>
    </row>
    <row r="3121" spans="1:4" x14ac:dyDescent="0.2">
      <c r="A3121"/>
      <c r="B3121"/>
      <c r="C3121"/>
      <c r="D3121"/>
    </row>
    <row r="3122" spans="1:4" x14ac:dyDescent="0.2">
      <c r="A3122"/>
      <c r="B3122"/>
      <c r="C3122"/>
      <c r="D3122"/>
    </row>
    <row r="3123" spans="1:4" x14ac:dyDescent="0.2">
      <c r="A3123"/>
      <c r="B3123"/>
      <c r="C3123"/>
      <c r="D3123"/>
    </row>
    <row r="3124" spans="1:4" x14ac:dyDescent="0.2">
      <c r="A3124"/>
      <c r="B3124"/>
      <c r="C3124"/>
      <c r="D3124"/>
    </row>
    <row r="3125" spans="1:4" x14ac:dyDescent="0.2">
      <c r="A3125"/>
      <c r="B3125"/>
      <c r="C3125"/>
      <c r="D3125"/>
    </row>
    <row r="3126" spans="1:4" x14ac:dyDescent="0.2">
      <c r="A3126"/>
      <c r="B3126"/>
      <c r="C3126"/>
      <c r="D3126"/>
    </row>
    <row r="3127" spans="1:4" x14ac:dyDescent="0.2">
      <c r="A3127"/>
      <c r="B3127"/>
      <c r="C3127"/>
      <c r="D3127"/>
    </row>
    <row r="3128" spans="1:4" x14ac:dyDescent="0.2">
      <c r="A3128"/>
      <c r="B3128"/>
      <c r="C3128"/>
      <c r="D3128"/>
    </row>
    <row r="3129" spans="1:4" x14ac:dyDescent="0.2">
      <c r="A3129"/>
      <c r="B3129"/>
      <c r="C3129"/>
      <c r="D3129"/>
    </row>
    <row r="3130" spans="1:4" x14ac:dyDescent="0.2">
      <c r="A3130"/>
      <c r="B3130"/>
      <c r="C3130"/>
      <c r="D3130"/>
    </row>
    <row r="3131" spans="1:4" x14ac:dyDescent="0.2">
      <c r="A3131"/>
      <c r="B3131"/>
      <c r="C3131"/>
      <c r="D3131"/>
    </row>
    <row r="3132" spans="1:4" x14ac:dyDescent="0.2">
      <c r="A3132"/>
      <c r="B3132"/>
      <c r="C3132"/>
      <c r="D3132"/>
    </row>
    <row r="3133" spans="1:4" x14ac:dyDescent="0.2">
      <c r="A3133"/>
      <c r="B3133"/>
      <c r="C3133"/>
      <c r="D3133"/>
    </row>
    <row r="3134" spans="1:4" x14ac:dyDescent="0.2">
      <c r="A3134"/>
      <c r="B3134"/>
      <c r="C3134"/>
      <c r="D3134"/>
    </row>
    <row r="3135" spans="1:4" x14ac:dyDescent="0.2">
      <c r="A3135"/>
      <c r="B3135"/>
      <c r="C3135"/>
      <c r="D3135"/>
    </row>
    <row r="3136" spans="1:4" x14ac:dyDescent="0.2">
      <c r="A3136"/>
      <c r="B3136"/>
      <c r="C3136"/>
      <c r="D3136"/>
    </row>
    <row r="3137" spans="1:4" x14ac:dyDescent="0.2">
      <c r="A3137"/>
      <c r="B3137"/>
      <c r="C3137"/>
      <c r="D3137"/>
    </row>
    <row r="3138" spans="1:4" x14ac:dyDescent="0.2">
      <c r="A3138"/>
      <c r="B3138"/>
      <c r="C3138"/>
      <c r="D3138"/>
    </row>
    <row r="3139" spans="1:4" x14ac:dyDescent="0.2">
      <c r="A3139"/>
      <c r="B3139"/>
      <c r="C3139"/>
      <c r="D3139"/>
    </row>
    <row r="3140" spans="1:4" x14ac:dyDescent="0.2">
      <c r="A3140"/>
      <c r="B3140"/>
      <c r="C3140"/>
      <c r="D3140"/>
    </row>
    <row r="3141" spans="1:4" x14ac:dyDescent="0.2">
      <c r="A3141"/>
      <c r="B3141"/>
      <c r="C3141"/>
      <c r="D3141"/>
    </row>
    <row r="3142" spans="1:4" x14ac:dyDescent="0.2">
      <c r="A3142"/>
      <c r="B3142"/>
      <c r="C3142"/>
      <c r="D3142"/>
    </row>
    <row r="3143" spans="1:4" x14ac:dyDescent="0.2">
      <c r="A3143"/>
      <c r="B3143"/>
      <c r="C3143"/>
      <c r="D3143"/>
    </row>
    <row r="3144" spans="1:4" x14ac:dyDescent="0.2">
      <c r="A3144"/>
      <c r="B3144"/>
      <c r="C3144"/>
      <c r="D3144"/>
    </row>
    <row r="3145" spans="1:4" x14ac:dyDescent="0.2">
      <c r="A3145"/>
      <c r="B3145"/>
      <c r="C3145"/>
      <c r="D3145"/>
    </row>
    <row r="3146" spans="1:4" x14ac:dyDescent="0.2">
      <c r="A3146"/>
      <c r="B3146"/>
      <c r="C3146"/>
      <c r="D3146"/>
    </row>
    <row r="3147" spans="1:4" x14ac:dyDescent="0.2">
      <c r="A3147"/>
      <c r="B3147"/>
      <c r="C3147"/>
      <c r="D3147"/>
    </row>
    <row r="3148" spans="1:4" x14ac:dyDescent="0.2">
      <c r="A3148"/>
      <c r="B3148"/>
      <c r="C3148"/>
      <c r="D3148"/>
    </row>
    <row r="3149" spans="1:4" x14ac:dyDescent="0.2">
      <c r="A3149"/>
      <c r="B3149"/>
      <c r="C3149"/>
      <c r="D3149"/>
    </row>
    <row r="3150" spans="1:4" x14ac:dyDescent="0.2">
      <c r="A3150"/>
      <c r="B3150"/>
      <c r="C3150"/>
      <c r="D3150"/>
    </row>
    <row r="3151" spans="1:4" x14ac:dyDescent="0.2">
      <c r="A3151"/>
      <c r="B3151"/>
      <c r="C3151"/>
      <c r="D3151"/>
    </row>
    <row r="3152" spans="1:4" x14ac:dyDescent="0.2">
      <c r="A3152"/>
      <c r="B3152"/>
      <c r="C3152"/>
      <c r="D3152"/>
    </row>
    <row r="3153" spans="1:4" x14ac:dyDescent="0.2">
      <c r="A3153"/>
      <c r="B3153"/>
      <c r="C3153"/>
      <c r="D3153"/>
    </row>
    <row r="3154" spans="1:4" x14ac:dyDescent="0.2">
      <c r="A3154"/>
      <c r="B3154"/>
      <c r="C3154"/>
      <c r="D3154"/>
    </row>
    <row r="3155" spans="1:4" x14ac:dyDescent="0.2">
      <c r="A3155"/>
      <c r="B3155"/>
      <c r="C3155"/>
      <c r="D3155"/>
    </row>
    <row r="3156" spans="1:4" x14ac:dyDescent="0.2">
      <c r="A3156"/>
      <c r="B3156"/>
      <c r="C3156"/>
      <c r="D3156"/>
    </row>
    <row r="3157" spans="1:4" x14ac:dyDescent="0.2">
      <c r="A3157"/>
      <c r="B3157"/>
      <c r="C3157"/>
      <c r="D3157"/>
    </row>
    <row r="3158" spans="1:4" x14ac:dyDescent="0.2">
      <c r="A3158"/>
      <c r="B3158"/>
      <c r="C3158"/>
      <c r="D3158"/>
    </row>
    <row r="3159" spans="1:4" x14ac:dyDescent="0.2">
      <c r="A3159"/>
      <c r="B3159"/>
      <c r="C3159"/>
      <c r="D3159"/>
    </row>
    <row r="3160" spans="1:4" x14ac:dyDescent="0.2">
      <c r="A3160"/>
      <c r="B3160"/>
      <c r="C3160"/>
      <c r="D3160"/>
    </row>
    <row r="3161" spans="1:4" x14ac:dyDescent="0.2">
      <c r="A3161"/>
      <c r="B3161"/>
      <c r="C3161"/>
      <c r="D3161"/>
    </row>
    <row r="3162" spans="1:4" x14ac:dyDescent="0.2">
      <c r="A3162"/>
      <c r="B3162"/>
      <c r="C3162"/>
      <c r="D3162"/>
    </row>
    <row r="3163" spans="1:4" x14ac:dyDescent="0.2">
      <c r="A3163"/>
      <c r="B3163"/>
      <c r="C3163"/>
      <c r="D3163"/>
    </row>
    <row r="3164" spans="1:4" x14ac:dyDescent="0.2">
      <c r="A3164"/>
      <c r="B3164"/>
      <c r="C3164"/>
      <c r="D3164"/>
    </row>
    <row r="3165" spans="1:4" x14ac:dyDescent="0.2">
      <c r="A3165"/>
      <c r="B3165"/>
      <c r="C3165"/>
      <c r="D3165"/>
    </row>
    <row r="3166" spans="1:4" x14ac:dyDescent="0.2">
      <c r="A3166"/>
      <c r="B3166"/>
      <c r="C3166"/>
      <c r="D3166"/>
    </row>
    <row r="3167" spans="1:4" x14ac:dyDescent="0.2">
      <c r="A3167"/>
      <c r="B3167"/>
      <c r="C3167"/>
      <c r="D3167"/>
    </row>
    <row r="3168" spans="1:4" x14ac:dyDescent="0.2">
      <c r="A3168"/>
      <c r="B3168"/>
      <c r="C3168"/>
      <c r="D3168"/>
    </row>
    <row r="3169" spans="1:4" x14ac:dyDescent="0.2">
      <c r="A3169"/>
      <c r="B3169"/>
      <c r="C3169"/>
      <c r="D3169"/>
    </row>
    <row r="3170" spans="1:4" x14ac:dyDescent="0.2">
      <c r="A3170"/>
      <c r="B3170"/>
      <c r="C3170"/>
      <c r="D3170"/>
    </row>
    <row r="3171" spans="1:4" x14ac:dyDescent="0.2">
      <c r="A3171"/>
      <c r="B3171"/>
      <c r="C3171"/>
      <c r="D3171"/>
    </row>
    <row r="3172" spans="1:4" x14ac:dyDescent="0.2">
      <c r="A3172"/>
      <c r="B3172"/>
      <c r="C3172"/>
      <c r="D3172"/>
    </row>
    <row r="3173" spans="1:4" x14ac:dyDescent="0.2">
      <c r="A3173"/>
      <c r="B3173"/>
      <c r="C3173"/>
      <c r="D3173"/>
    </row>
    <row r="3174" spans="1:4" x14ac:dyDescent="0.2">
      <c r="A3174"/>
      <c r="B3174"/>
      <c r="C3174"/>
      <c r="D3174"/>
    </row>
    <row r="3175" spans="1:4" x14ac:dyDescent="0.2">
      <c r="A3175"/>
      <c r="B3175"/>
      <c r="C3175"/>
      <c r="D3175"/>
    </row>
    <row r="3176" spans="1:4" x14ac:dyDescent="0.2">
      <c r="A3176"/>
      <c r="B3176"/>
      <c r="C3176"/>
      <c r="D3176"/>
    </row>
    <row r="3177" spans="1:4" x14ac:dyDescent="0.2">
      <c r="A3177"/>
      <c r="B3177"/>
      <c r="C3177"/>
      <c r="D3177"/>
    </row>
    <row r="3178" spans="1:4" x14ac:dyDescent="0.2">
      <c r="A3178"/>
      <c r="B3178"/>
      <c r="C3178"/>
      <c r="D3178"/>
    </row>
    <row r="3179" spans="1:4" x14ac:dyDescent="0.2">
      <c r="A3179"/>
      <c r="B3179"/>
      <c r="C3179"/>
      <c r="D3179"/>
    </row>
    <row r="3180" spans="1:4" x14ac:dyDescent="0.2">
      <c r="A3180"/>
      <c r="B3180"/>
      <c r="C3180"/>
      <c r="D3180"/>
    </row>
    <row r="3181" spans="1:4" x14ac:dyDescent="0.2">
      <c r="A3181"/>
      <c r="B3181"/>
      <c r="C3181"/>
      <c r="D3181"/>
    </row>
    <row r="3182" spans="1:4" x14ac:dyDescent="0.2">
      <c r="A3182"/>
      <c r="B3182"/>
      <c r="C3182"/>
      <c r="D3182"/>
    </row>
    <row r="3183" spans="1:4" x14ac:dyDescent="0.2">
      <c r="A3183"/>
      <c r="B3183"/>
      <c r="C3183"/>
      <c r="D3183"/>
    </row>
    <row r="3184" spans="1:4" x14ac:dyDescent="0.2">
      <c r="A3184"/>
      <c r="B3184"/>
      <c r="C3184"/>
      <c r="D3184"/>
    </row>
    <row r="3185" spans="1:4" x14ac:dyDescent="0.2">
      <c r="A3185"/>
      <c r="B3185"/>
      <c r="C3185"/>
      <c r="D3185"/>
    </row>
    <row r="3186" spans="1:4" x14ac:dyDescent="0.2">
      <c r="A3186"/>
      <c r="B3186"/>
      <c r="C3186"/>
      <c r="D3186"/>
    </row>
    <row r="3187" spans="1:4" x14ac:dyDescent="0.2">
      <c r="A3187"/>
      <c r="B3187"/>
      <c r="C3187"/>
      <c r="D3187"/>
    </row>
    <row r="3188" spans="1:4" x14ac:dyDescent="0.2">
      <c r="A3188"/>
      <c r="B3188"/>
      <c r="C3188"/>
      <c r="D3188"/>
    </row>
    <row r="3189" spans="1:4" x14ac:dyDescent="0.2">
      <c r="A3189"/>
      <c r="B3189"/>
      <c r="C3189"/>
      <c r="D3189"/>
    </row>
    <row r="3190" spans="1:4" x14ac:dyDescent="0.2">
      <c r="A3190"/>
      <c r="B3190"/>
      <c r="C3190"/>
      <c r="D3190"/>
    </row>
    <row r="3191" spans="1:4" x14ac:dyDescent="0.2">
      <c r="A3191"/>
      <c r="B3191"/>
      <c r="C3191"/>
      <c r="D3191"/>
    </row>
    <row r="3192" spans="1:4" x14ac:dyDescent="0.2">
      <c r="A3192"/>
      <c r="B3192"/>
      <c r="C3192"/>
      <c r="D3192"/>
    </row>
    <row r="3193" spans="1:4" x14ac:dyDescent="0.2">
      <c r="A3193"/>
      <c r="B3193"/>
      <c r="C3193"/>
      <c r="D3193"/>
    </row>
    <row r="3194" spans="1:4" x14ac:dyDescent="0.2">
      <c r="A3194"/>
      <c r="B3194"/>
      <c r="C3194"/>
      <c r="D3194"/>
    </row>
    <row r="3195" spans="1:4" x14ac:dyDescent="0.2">
      <c r="A3195"/>
      <c r="B3195"/>
      <c r="C3195"/>
      <c r="D3195"/>
    </row>
    <row r="3196" spans="1:4" x14ac:dyDescent="0.2">
      <c r="A3196"/>
      <c r="B3196"/>
      <c r="C3196"/>
      <c r="D3196"/>
    </row>
    <row r="3197" spans="1:4" x14ac:dyDescent="0.2">
      <c r="A3197"/>
      <c r="B3197"/>
      <c r="C3197"/>
      <c r="D3197"/>
    </row>
    <row r="3198" spans="1:4" x14ac:dyDescent="0.2">
      <c r="A3198"/>
      <c r="B3198"/>
      <c r="C3198"/>
      <c r="D3198"/>
    </row>
    <row r="3199" spans="1:4" x14ac:dyDescent="0.2">
      <c r="A3199"/>
      <c r="B3199"/>
      <c r="C3199"/>
      <c r="D3199"/>
    </row>
    <row r="3200" spans="1:4" x14ac:dyDescent="0.2">
      <c r="A3200"/>
      <c r="B3200"/>
      <c r="C3200"/>
      <c r="D3200"/>
    </row>
    <row r="3201" spans="1:4" x14ac:dyDescent="0.2">
      <c r="A3201"/>
      <c r="B3201"/>
      <c r="C3201"/>
      <c r="D3201"/>
    </row>
    <row r="3202" spans="1:4" x14ac:dyDescent="0.2">
      <c r="A3202"/>
      <c r="B3202"/>
      <c r="C3202"/>
      <c r="D3202"/>
    </row>
    <row r="3203" spans="1:4" x14ac:dyDescent="0.2">
      <c r="A3203"/>
      <c r="B3203"/>
      <c r="C3203"/>
      <c r="D3203"/>
    </row>
    <row r="3204" spans="1:4" x14ac:dyDescent="0.2">
      <c r="A3204"/>
      <c r="B3204"/>
      <c r="C3204"/>
      <c r="D3204"/>
    </row>
    <row r="3205" spans="1:4" x14ac:dyDescent="0.2">
      <c r="A3205"/>
      <c r="B3205"/>
      <c r="C3205"/>
      <c r="D3205"/>
    </row>
    <row r="3206" spans="1:4" x14ac:dyDescent="0.2">
      <c r="A3206"/>
      <c r="B3206"/>
      <c r="C3206"/>
      <c r="D3206"/>
    </row>
    <row r="3207" spans="1:4" x14ac:dyDescent="0.2">
      <c r="A3207"/>
      <c r="B3207"/>
      <c r="C3207"/>
      <c r="D3207"/>
    </row>
    <row r="3208" spans="1:4" x14ac:dyDescent="0.2">
      <c r="A3208"/>
      <c r="B3208"/>
      <c r="C3208"/>
      <c r="D3208"/>
    </row>
    <row r="3209" spans="1:4" x14ac:dyDescent="0.2">
      <c r="A3209"/>
      <c r="B3209"/>
      <c r="C3209"/>
      <c r="D3209"/>
    </row>
    <row r="3210" spans="1:4" x14ac:dyDescent="0.2">
      <c r="A3210"/>
      <c r="B3210"/>
      <c r="C3210"/>
      <c r="D3210"/>
    </row>
    <row r="3211" spans="1:4" x14ac:dyDescent="0.2">
      <c r="A3211"/>
      <c r="B3211"/>
      <c r="C3211"/>
      <c r="D3211"/>
    </row>
    <row r="3212" spans="1:4" x14ac:dyDescent="0.2">
      <c r="A3212"/>
      <c r="B3212"/>
      <c r="C3212"/>
      <c r="D3212"/>
    </row>
    <row r="3213" spans="1:4" x14ac:dyDescent="0.2">
      <c r="A3213"/>
      <c r="B3213"/>
      <c r="C3213"/>
      <c r="D3213"/>
    </row>
    <row r="3214" spans="1:4" x14ac:dyDescent="0.2">
      <c r="A3214"/>
      <c r="B3214"/>
      <c r="C3214"/>
      <c r="D3214"/>
    </row>
    <row r="3215" spans="1:4" x14ac:dyDescent="0.2">
      <c r="A3215"/>
      <c r="B3215"/>
      <c r="C3215"/>
      <c r="D3215"/>
    </row>
    <row r="3216" spans="1:4" x14ac:dyDescent="0.2">
      <c r="A3216"/>
      <c r="B3216"/>
      <c r="C3216"/>
      <c r="D3216"/>
    </row>
    <row r="3217" spans="1:4" x14ac:dyDescent="0.2">
      <c r="A3217"/>
      <c r="B3217"/>
      <c r="C3217"/>
      <c r="D3217"/>
    </row>
    <row r="3218" spans="1:4" x14ac:dyDescent="0.2">
      <c r="A3218"/>
      <c r="B3218"/>
      <c r="C3218"/>
      <c r="D3218"/>
    </row>
    <row r="3219" spans="1:4" x14ac:dyDescent="0.2">
      <c r="A3219"/>
      <c r="B3219"/>
      <c r="C3219"/>
      <c r="D3219"/>
    </row>
    <row r="3220" spans="1:4" x14ac:dyDescent="0.2">
      <c r="A3220"/>
      <c r="B3220"/>
      <c r="C3220"/>
      <c r="D3220"/>
    </row>
    <row r="3221" spans="1:4" x14ac:dyDescent="0.2">
      <c r="A3221"/>
      <c r="B3221"/>
      <c r="C3221"/>
      <c r="D3221"/>
    </row>
    <row r="3222" spans="1:4" x14ac:dyDescent="0.2">
      <c r="A3222"/>
      <c r="B3222"/>
      <c r="C3222"/>
      <c r="D3222"/>
    </row>
    <row r="3223" spans="1:4" x14ac:dyDescent="0.2">
      <c r="A3223"/>
      <c r="B3223"/>
      <c r="C3223"/>
      <c r="D3223"/>
    </row>
    <row r="3224" spans="1:4" x14ac:dyDescent="0.2">
      <c r="A3224"/>
      <c r="B3224"/>
      <c r="C3224"/>
      <c r="D3224"/>
    </row>
    <row r="3225" spans="1:4" x14ac:dyDescent="0.2">
      <c r="A3225"/>
      <c r="B3225"/>
      <c r="C3225"/>
      <c r="D3225"/>
    </row>
    <row r="3226" spans="1:4" x14ac:dyDescent="0.2">
      <c r="A3226"/>
      <c r="B3226"/>
      <c r="C3226"/>
      <c r="D3226"/>
    </row>
    <row r="3227" spans="1:4" x14ac:dyDescent="0.2">
      <c r="A3227"/>
      <c r="B3227"/>
      <c r="C3227"/>
      <c r="D3227"/>
    </row>
    <row r="3228" spans="1:4" x14ac:dyDescent="0.2">
      <c r="A3228"/>
      <c r="B3228"/>
      <c r="C3228"/>
      <c r="D3228"/>
    </row>
    <row r="3229" spans="1:4" x14ac:dyDescent="0.2">
      <c r="A3229"/>
      <c r="B3229"/>
      <c r="C3229"/>
      <c r="D3229"/>
    </row>
    <row r="3230" spans="1:4" x14ac:dyDescent="0.2">
      <c r="A3230"/>
      <c r="B3230"/>
      <c r="C3230"/>
      <c r="D3230"/>
    </row>
    <row r="3231" spans="1:4" x14ac:dyDescent="0.2">
      <c r="A3231"/>
      <c r="B3231"/>
      <c r="C3231"/>
      <c r="D3231"/>
    </row>
    <row r="3232" spans="1:4" x14ac:dyDescent="0.2">
      <c r="A3232"/>
      <c r="B3232"/>
      <c r="C3232"/>
      <c r="D3232"/>
    </row>
    <row r="3233" spans="1:4" x14ac:dyDescent="0.2">
      <c r="A3233"/>
      <c r="B3233"/>
      <c r="C3233"/>
      <c r="D3233"/>
    </row>
    <row r="3234" spans="1:4" x14ac:dyDescent="0.2">
      <c r="A3234"/>
      <c r="B3234"/>
      <c r="C3234"/>
      <c r="D3234"/>
    </row>
    <row r="3235" spans="1:4" x14ac:dyDescent="0.2">
      <c r="A3235"/>
      <c r="B3235"/>
      <c r="C3235"/>
      <c r="D3235"/>
    </row>
    <row r="3236" spans="1:4" x14ac:dyDescent="0.2">
      <c r="A3236"/>
      <c r="B3236"/>
      <c r="C3236"/>
      <c r="D3236"/>
    </row>
    <row r="3237" spans="1:4" x14ac:dyDescent="0.2">
      <c r="A3237"/>
      <c r="B3237"/>
      <c r="C3237"/>
      <c r="D3237"/>
    </row>
    <row r="3238" spans="1:4" x14ac:dyDescent="0.2">
      <c r="A3238"/>
      <c r="B3238"/>
      <c r="C3238"/>
      <c r="D3238"/>
    </row>
    <row r="3239" spans="1:4" x14ac:dyDescent="0.2">
      <c r="A3239"/>
      <c r="B3239"/>
      <c r="C3239"/>
      <c r="D3239"/>
    </row>
    <row r="3240" spans="1:4" x14ac:dyDescent="0.2">
      <c r="A3240"/>
      <c r="B3240"/>
      <c r="C3240"/>
      <c r="D3240"/>
    </row>
    <row r="3241" spans="1:4" x14ac:dyDescent="0.2">
      <c r="A3241"/>
      <c r="B3241"/>
      <c r="C3241"/>
      <c r="D3241"/>
    </row>
    <row r="3242" spans="1:4" x14ac:dyDescent="0.2">
      <c r="A3242"/>
      <c r="B3242"/>
      <c r="C3242"/>
      <c r="D3242"/>
    </row>
    <row r="3243" spans="1:4" x14ac:dyDescent="0.2">
      <c r="A3243"/>
      <c r="B3243"/>
      <c r="C3243"/>
      <c r="D3243"/>
    </row>
    <row r="3244" spans="1:4" x14ac:dyDescent="0.2">
      <c r="A3244"/>
      <c r="B3244"/>
      <c r="C3244"/>
      <c r="D3244"/>
    </row>
    <row r="3245" spans="1:4" x14ac:dyDescent="0.2">
      <c r="A3245"/>
      <c r="B3245"/>
      <c r="C3245"/>
      <c r="D3245"/>
    </row>
    <row r="3246" spans="1:4" x14ac:dyDescent="0.2">
      <c r="A3246"/>
      <c r="B3246"/>
      <c r="C3246"/>
      <c r="D3246"/>
    </row>
    <row r="3247" spans="1:4" x14ac:dyDescent="0.2">
      <c r="A3247"/>
      <c r="B3247"/>
      <c r="C3247"/>
      <c r="D3247"/>
    </row>
    <row r="3248" spans="1:4" x14ac:dyDescent="0.2">
      <c r="A3248"/>
      <c r="B3248"/>
      <c r="C3248"/>
      <c r="D3248"/>
    </row>
    <row r="3249" spans="1:4" x14ac:dyDescent="0.2">
      <c r="A3249"/>
      <c r="B3249"/>
      <c r="C3249"/>
      <c r="D3249"/>
    </row>
    <row r="3250" spans="1:4" x14ac:dyDescent="0.2">
      <c r="A3250"/>
      <c r="B3250"/>
      <c r="C3250"/>
      <c r="D3250"/>
    </row>
    <row r="3251" spans="1:4" x14ac:dyDescent="0.2">
      <c r="A3251"/>
      <c r="B3251"/>
      <c r="C3251"/>
      <c r="D3251"/>
    </row>
    <row r="3252" spans="1:4" x14ac:dyDescent="0.2">
      <c r="A3252"/>
      <c r="B3252"/>
      <c r="C3252"/>
      <c r="D3252"/>
    </row>
    <row r="3253" spans="1:4" x14ac:dyDescent="0.2">
      <c r="A3253"/>
      <c r="B3253"/>
      <c r="C3253"/>
      <c r="D3253"/>
    </row>
    <row r="3254" spans="1:4" x14ac:dyDescent="0.2">
      <c r="A3254"/>
      <c r="B3254"/>
      <c r="C3254"/>
      <c r="D3254"/>
    </row>
    <row r="3255" spans="1:4" x14ac:dyDescent="0.2">
      <c r="A3255"/>
      <c r="B3255"/>
      <c r="C3255"/>
      <c r="D3255"/>
    </row>
    <row r="3256" spans="1:4" x14ac:dyDescent="0.2">
      <c r="A3256"/>
      <c r="B3256"/>
      <c r="C3256"/>
      <c r="D3256"/>
    </row>
    <row r="3257" spans="1:4" x14ac:dyDescent="0.2">
      <c r="A3257"/>
      <c r="B3257"/>
      <c r="C3257"/>
      <c r="D3257"/>
    </row>
    <row r="3258" spans="1:4" x14ac:dyDescent="0.2">
      <c r="A3258"/>
      <c r="B3258"/>
      <c r="C3258"/>
      <c r="D3258"/>
    </row>
    <row r="3259" spans="1:4" x14ac:dyDescent="0.2">
      <c r="A3259"/>
      <c r="B3259"/>
      <c r="C3259"/>
      <c r="D3259"/>
    </row>
    <row r="3260" spans="1:4" x14ac:dyDescent="0.2">
      <c r="A3260"/>
      <c r="B3260"/>
      <c r="C3260"/>
      <c r="D3260"/>
    </row>
    <row r="3261" spans="1:4" x14ac:dyDescent="0.2">
      <c r="A3261"/>
      <c r="B3261"/>
      <c r="C3261"/>
      <c r="D3261"/>
    </row>
    <row r="3262" spans="1:4" x14ac:dyDescent="0.2">
      <c r="A3262"/>
      <c r="B3262"/>
      <c r="C3262"/>
      <c r="D3262"/>
    </row>
    <row r="3263" spans="1:4" x14ac:dyDescent="0.2">
      <c r="A3263"/>
      <c r="B3263"/>
      <c r="C3263"/>
      <c r="D3263"/>
    </row>
    <row r="3264" spans="1:4" x14ac:dyDescent="0.2">
      <c r="A3264"/>
      <c r="B3264"/>
      <c r="C3264"/>
      <c r="D3264"/>
    </row>
    <row r="3265" spans="1:4" x14ac:dyDescent="0.2">
      <c r="A3265"/>
      <c r="B3265"/>
      <c r="C3265"/>
      <c r="D3265"/>
    </row>
    <row r="3266" spans="1:4" x14ac:dyDescent="0.2">
      <c r="A3266"/>
      <c r="B3266"/>
      <c r="C3266"/>
      <c r="D3266"/>
    </row>
    <row r="3267" spans="1:4" x14ac:dyDescent="0.2">
      <c r="A3267"/>
      <c r="B3267"/>
      <c r="C3267"/>
      <c r="D3267"/>
    </row>
    <row r="3268" spans="1:4" x14ac:dyDescent="0.2">
      <c r="A3268"/>
      <c r="B3268"/>
      <c r="C3268"/>
      <c r="D3268"/>
    </row>
    <row r="3269" spans="1:4" x14ac:dyDescent="0.2">
      <c r="A3269"/>
      <c r="B3269"/>
      <c r="C3269"/>
      <c r="D3269"/>
    </row>
    <row r="3270" spans="1:4" x14ac:dyDescent="0.2">
      <c r="A3270"/>
      <c r="B3270"/>
      <c r="C3270"/>
      <c r="D3270"/>
    </row>
    <row r="3271" spans="1:4" x14ac:dyDescent="0.2">
      <c r="A3271"/>
      <c r="B3271"/>
      <c r="C3271"/>
      <c r="D3271"/>
    </row>
    <row r="3272" spans="1:4" x14ac:dyDescent="0.2">
      <c r="A3272"/>
      <c r="B3272"/>
      <c r="C3272"/>
      <c r="D3272"/>
    </row>
    <row r="3273" spans="1:4" x14ac:dyDescent="0.2">
      <c r="A3273"/>
      <c r="B3273"/>
      <c r="C3273"/>
      <c r="D3273"/>
    </row>
    <row r="3274" spans="1:4" x14ac:dyDescent="0.2">
      <c r="A3274"/>
      <c r="B3274"/>
      <c r="C3274"/>
      <c r="D3274"/>
    </row>
    <row r="3275" spans="1:4" x14ac:dyDescent="0.2">
      <c r="A3275"/>
      <c r="B3275"/>
      <c r="C3275"/>
      <c r="D3275"/>
    </row>
    <row r="3276" spans="1:4" x14ac:dyDescent="0.2">
      <c r="A3276"/>
      <c r="B3276"/>
      <c r="C3276"/>
      <c r="D3276"/>
    </row>
    <row r="3277" spans="1:4" x14ac:dyDescent="0.2">
      <c r="A3277"/>
      <c r="B3277"/>
      <c r="C3277"/>
      <c r="D3277"/>
    </row>
    <row r="3278" spans="1:4" x14ac:dyDescent="0.2">
      <c r="A3278"/>
      <c r="B3278"/>
      <c r="C3278"/>
      <c r="D3278"/>
    </row>
    <row r="3279" spans="1:4" x14ac:dyDescent="0.2">
      <c r="A3279"/>
      <c r="B3279"/>
      <c r="C3279"/>
      <c r="D3279"/>
    </row>
    <row r="3280" spans="1:4" x14ac:dyDescent="0.2">
      <c r="A3280"/>
      <c r="B3280"/>
      <c r="C3280"/>
      <c r="D3280"/>
    </row>
    <row r="3281" spans="1:4" x14ac:dyDescent="0.2">
      <c r="A3281"/>
      <c r="B3281"/>
      <c r="C3281"/>
      <c r="D3281"/>
    </row>
    <row r="3282" spans="1:4" x14ac:dyDescent="0.2">
      <c r="A3282"/>
      <c r="B3282"/>
      <c r="C3282"/>
      <c r="D3282"/>
    </row>
    <row r="3283" spans="1:4" x14ac:dyDescent="0.2">
      <c r="A3283"/>
      <c r="B3283"/>
      <c r="C3283"/>
      <c r="D3283"/>
    </row>
    <row r="3284" spans="1:4" x14ac:dyDescent="0.2">
      <c r="A3284"/>
      <c r="B3284"/>
      <c r="C3284"/>
      <c r="D3284"/>
    </row>
    <row r="3285" spans="1:4" x14ac:dyDescent="0.2">
      <c r="A3285"/>
      <c r="B3285"/>
      <c r="C3285"/>
      <c r="D3285"/>
    </row>
    <row r="3286" spans="1:4" x14ac:dyDescent="0.2">
      <c r="A3286"/>
      <c r="B3286"/>
      <c r="C3286"/>
      <c r="D3286"/>
    </row>
    <row r="3287" spans="1:4" x14ac:dyDescent="0.2">
      <c r="A3287"/>
      <c r="B3287"/>
      <c r="C3287"/>
      <c r="D3287"/>
    </row>
    <row r="3288" spans="1:4" x14ac:dyDescent="0.2">
      <c r="A3288"/>
      <c r="B3288"/>
      <c r="C3288"/>
      <c r="D3288"/>
    </row>
    <row r="3289" spans="1:4" x14ac:dyDescent="0.2">
      <c r="A3289"/>
      <c r="B3289"/>
      <c r="C3289"/>
      <c r="D3289"/>
    </row>
    <row r="3290" spans="1:4" x14ac:dyDescent="0.2">
      <c r="A3290"/>
      <c r="B3290"/>
      <c r="C3290"/>
      <c r="D3290"/>
    </row>
    <row r="3291" spans="1:4" x14ac:dyDescent="0.2">
      <c r="A3291"/>
      <c r="B3291"/>
      <c r="C3291"/>
      <c r="D3291"/>
    </row>
    <row r="3292" spans="1:4" x14ac:dyDescent="0.2">
      <c r="A3292"/>
      <c r="B3292"/>
      <c r="C3292"/>
      <c r="D3292"/>
    </row>
    <row r="3293" spans="1:4" x14ac:dyDescent="0.2">
      <c r="A3293"/>
      <c r="B3293"/>
      <c r="C3293"/>
      <c r="D3293"/>
    </row>
    <row r="3294" spans="1:4" x14ac:dyDescent="0.2">
      <c r="A3294"/>
      <c r="B3294"/>
      <c r="C3294"/>
      <c r="D3294"/>
    </row>
    <row r="3295" spans="1:4" x14ac:dyDescent="0.2">
      <c r="A3295"/>
      <c r="B3295"/>
      <c r="C3295"/>
      <c r="D3295"/>
    </row>
    <row r="3296" spans="1:4" x14ac:dyDescent="0.2">
      <c r="A3296"/>
      <c r="B3296"/>
      <c r="C3296"/>
      <c r="D3296"/>
    </row>
    <row r="3297" spans="1:4" x14ac:dyDescent="0.2">
      <c r="A3297"/>
      <c r="B3297"/>
      <c r="C3297"/>
      <c r="D3297"/>
    </row>
    <row r="3298" spans="1:4" x14ac:dyDescent="0.2">
      <c r="A3298"/>
      <c r="B3298"/>
      <c r="C3298"/>
      <c r="D3298"/>
    </row>
    <row r="3299" spans="1:4" x14ac:dyDescent="0.2">
      <c r="A3299"/>
      <c r="B3299"/>
      <c r="C3299"/>
      <c r="D3299"/>
    </row>
    <row r="3300" spans="1:4" x14ac:dyDescent="0.2">
      <c r="A3300"/>
      <c r="B3300"/>
      <c r="C3300"/>
      <c r="D3300"/>
    </row>
    <row r="3301" spans="1:4" x14ac:dyDescent="0.2">
      <c r="A3301"/>
      <c r="B3301"/>
      <c r="C3301"/>
      <c r="D3301"/>
    </row>
    <row r="3302" spans="1:4" x14ac:dyDescent="0.2">
      <c r="A3302"/>
      <c r="B3302"/>
      <c r="C3302"/>
      <c r="D3302"/>
    </row>
    <row r="3303" spans="1:4" x14ac:dyDescent="0.2">
      <c r="A3303"/>
      <c r="B3303"/>
      <c r="C3303"/>
      <c r="D3303"/>
    </row>
    <row r="3304" spans="1:4" x14ac:dyDescent="0.2">
      <c r="A3304"/>
      <c r="B3304"/>
      <c r="C3304"/>
      <c r="D3304"/>
    </row>
    <row r="3305" spans="1:4" x14ac:dyDescent="0.2">
      <c r="A3305"/>
      <c r="B3305"/>
      <c r="C3305"/>
      <c r="D3305"/>
    </row>
    <row r="3306" spans="1:4" x14ac:dyDescent="0.2">
      <c r="A3306"/>
      <c r="B3306"/>
      <c r="C3306"/>
      <c r="D3306"/>
    </row>
    <row r="3307" spans="1:4" x14ac:dyDescent="0.2">
      <c r="A3307"/>
      <c r="B3307"/>
      <c r="C3307"/>
      <c r="D3307"/>
    </row>
    <row r="3308" spans="1:4" x14ac:dyDescent="0.2">
      <c r="A3308"/>
      <c r="B3308"/>
      <c r="C3308"/>
      <c r="D3308"/>
    </row>
    <row r="3309" spans="1:4" x14ac:dyDescent="0.2">
      <c r="A3309"/>
      <c r="B3309"/>
      <c r="C3309"/>
      <c r="D3309"/>
    </row>
    <row r="3310" spans="1:4" x14ac:dyDescent="0.2">
      <c r="A3310"/>
      <c r="B3310"/>
      <c r="C3310"/>
      <c r="D3310"/>
    </row>
    <row r="3311" spans="1:4" x14ac:dyDescent="0.2">
      <c r="A3311"/>
      <c r="B3311"/>
      <c r="C3311"/>
      <c r="D3311"/>
    </row>
    <row r="3312" spans="1:4" x14ac:dyDescent="0.2">
      <c r="A3312"/>
      <c r="B3312"/>
      <c r="C3312"/>
      <c r="D3312"/>
    </row>
    <row r="3313" spans="1:4" x14ac:dyDescent="0.2">
      <c r="A3313"/>
      <c r="B3313"/>
      <c r="C3313"/>
      <c r="D3313"/>
    </row>
    <row r="3314" spans="1:4" x14ac:dyDescent="0.2">
      <c r="A3314"/>
      <c r="B3314"/>
      <c r="C3314"/>
      <c r="D3314"/>
    </row>
    <row r="3315" spans="1:4" x14ac:dyDescent="0.2">
      <c r="A3315"/>
      <c r="B3315"/>
      <c r="C3315"/>
      <c r="D3315"/>
    </row>
    <row r="3316" spans="1:4" x14ac:dyDescent="0.2">
      <c r="A3316"/>
      <c r="B3316"/>
      <c r="C3316"/>
      <c r="D3316"/>
    </row>
    <row r="3317" spans="1:4" x14ac:dyDescent="0.2">
      <c r="A3317"/>
      <c r="B3317"/>
      <c r="C3317"/>
      <c r="D3317"/>
    </row>
    <row r="3318" spans="1:4" x14ac:dyDescent="0.2">
      <c r="A3318"/>
      <c r="B3318"/>
      <c r="C3318"/>
      <c r="D3318"/>
    </row>
    <row r="3319" spans="1:4" x14ac:dyDescent="0.2">
      <c r="A3319"/>
      <c r="B3319"/>
      <c r="C3319"/>
      <c r="D3319"/>
    </row>
    <row r="3320" spans="1:4" x14ac:dyDescent="0.2">
      <c r="A3320"/>
      <c r="B3320"/>
      <c r="C3320"/>
      <c r="D3320"/>
    </row>
    <row r="3321" spans="1:4" x14ac:dyDescent="0.2">
      <c r="A3321"/>
      <c r="B3321"/>
      <c r="C3321"/>
      <c r="D3321"/>
    </row>
    <row r="3322" spans="1:4" x14ac:dyDescent="0.2">
      <c r="A3322"/>
      <c r="B3322"/>
      <c r="C3322"/>
      <c r="D3322"/>
    </row>
    <row r="3323" spans="1:4" x14ac:dyDescent="0.2">
      <c r="A3323"/>
      <c r="B3323"/>
      <c r="C3323"/>
      <c r="D3323"/>
    </row>
    <row r="3324" spans="1:4" x14ac:dyDescent="0.2">
      <c r="A3324"/>
      <c r="B3324"/>
      <c r="C3324"/>
      <c r="D3324"/>
    </row>
    <row r="3325" spans="1:4" x14ac:dyDescent="0.2">
      <c r="A3325"/>
      <c r="B3325"/>
      <c r="C3325"/>
      <c r="D3325"/>
    </row>
    <row r="3326" spans="1:4" x14ac:dyDescent="0.2">
      <c r="A3326"/>
      <c r="B3326"/>
      <c r="C3326"/>
      <c r="D3326"/>
    </row>
    <row r="3327" spans="1:4" x14ac:dyDescent="0.2">
      <c r="A3327"/>
      <c r="B3327"/>
      <c r="C3327"/>
      <c r="D3327"/>
    </row>
    <row r="3328" spans="1:4" x14ac:dyDescent="0.2">
      <c r="A3328"/>
      <c r="B3328"/>
      <c r="C3328"/>
      <c r="D3328"/>
    </row>
    <row r="3329" spans="1:4" x14ac:dyDescent="0.2">
      <c r="A3329"/>
      <c r="B3329"/>
      <c r="C3329"/>
      <c r="D3329"/>
    </row>
    <row r="3330" spans="1:4" x14ac:dyDescent="0.2">
      <c r="A3330"/>
      <c r="B3330"/>
      <c r="C3330"/>
      <c r="D3330"/>
    </row>
    <row r="3331" spans="1:4" x14ac:dyDescent="0.2">
      <c r="A3331"/>
      <c r="B3331"/>
      <c r="C3331"/>
      <c r="D3331"/>
    </row>
    <row r="3332" spans="1:4" x14ac:dyDescent="0.2">
      <c r="A3332"/>
      <c r="B3332"/>
      <c r="C3332"/>
      <c r="D3332"/>
    </row>
    <row r="3333" spans="1:4" x14ac:dyDescent="0.2">
      <c r="A3333"/>
      <c r="B3333"/>
      <c r="C3333"/>
      <c r="D3333"/>
    </row>
    <row r="3334" spans="1:4" x14ac:dyDescent="0.2">
      <c r="A3334"/>
      <c r="B3334"/>
      <c r="C3334"/>
      <c r="D3334"/>
    </row>
    <row r="3335" spans="1:4" x14ac:dyDescent="0.2">
      <c r="A3335"/>
      <c r="B3335"/>
      <c r="C3335"/>
      <c r="D3335"/>
    </row>
    <row r="3336" spans="1:4" x14ac:dyDescent="0.2">
      <c r="A3336"/>
      <c r="B3336"/>
      <c r="C3336"/>
      <c r="D3336"/>
    </row>
    <row r="3337" spans="1:4" x14ac:dyDescent="0.2">
      <c r="A3337"/>
      <c r="B3337"/>
      <c r="C3337"/>
      <c r="D3337"/>
    </row>
    <row r="3338" spans="1:4" x14ac:dyDescent="0.2">
      <c r="A3338"/>
      <c r="B3338"/>
      <c r="C3338"/>
      <c r="D3338"/>
    </row>
    <row r="3339" spans="1:4" x14ac:dyDescent="0.2">
      <c r="A3339"/>
      <c r="B3339"/>
      <c r="C3339"/>
      <c r="D3339"/>
    </row>
    <row r="3340" spans="1:4" x14ac:dyDescent="0.2">
      <c r="A3340"/>
      <c r="B3340"/>
      <c r="C3340"/>
      <c r="D3340"/>
    </row>
    <row r="3341" spans="1:4" x14ac:dyDescent="0.2">
      <c r="A3341"/>
      <c r="B3341"/>
      <c r="C3341"/>
      <c r="D3341"/>
    </row>
    <row r="3342" spans="1:4" x14ac:dyDescent="0.2">
      <c r="A3342"/>
      <c r="B3342"/>
      <c r="C3342"/>
      <c r="D3342"/>
    </row>
    <row r="3343" spans="1:4" x14ac:dyDescent="0.2">
      <c r="A3343"/>
      <c r="B3343"/>
      <c r="C3343"/>
      <c r="D3343"/>
    </row>
    <row r="3344" spans="1:4" x14ac:dyDescent="0.2">
      <c r="A3344"/>
      <c r="B3344"/>
      <c r="C3344"/>
      <c r="D3344"/>
    </row>
    <row r="3345" spans="1:4" x14ac:dyDescent="0.2">
      <c r="A3345"/>
      <c r="B3345"/>
      <c r="C3345"/>
      <c r="D3345"/>
    </row>
    <row r="3346" spans="1:4" x14ac:dyDescent="0.2">
      <c r="A3346"/>
      <c r="B3346"/>
      <c r="C3346"/>
      <c r="D3346"/>
    </row>
    <row r="3347" spans="1:4" x14ac:dyDescent="0.2">
      <c r="A3347"/>
      <c r="B3347"/>
      <c r="C3347"/>
      <c r="D3347"/>
    </row>
    <row r="3348" spans="1:4" x14ac:dyDescent="0.2">
      <c r="A3348"/>
      <c r="B3348"/>
      <c r="C3348"/>
      <c r="D3348"/>
    </row>
    <row r="3349" spans="1:4" x14ac:dyDescent="0.2">
      <c r="A3349"/>
      <c r="B3349"/>
      <c r="C3349"/>
      <c r="D3349"/>
    </row>
    <row r="3350" spans="1:4" x14ac:dyDescent="0.2">
      <c r="A3350"/>
      <c r="B3350"/>
      <c r="C3350"/>
      <c r="D3350"/>
    </row>
    <row r="3351" spans="1:4" x14ac:dyDescent="0.2">
      <c r="A3351"/>
      <c r="B3351"/>
      <c r="C3351"/>
      <c r="D3351"/>
    </row>
    <row r="3352" spans="1:4" x14ac:dyDescent="0.2">
      <c r="A3352"/>
      <c r="B3352"/>
      <c r="C3352"/>
      <c r="D3352"/>
    </row>
    <row r="3353" spans="1:4" x14ac:dyDescent="0.2">
      <c r="A3353"/>
      <c r="B3353"/>
      <c r="C3353"/>
      <c r="D3353"/>
    </row>
    <row r="3354" spans="1:4" x14ac:dyDescent="0.2">
      <c r="A3354"/>
      <c r="B3354"/>
      <c r="C3354"/>
      <c r="D3354"/>
    </row>
    <row r="3355" spans="1:4" x14ac:dyDescent="0.2">
      <c r="A3355"/>
      <c r="B3355"/>
      <c r="C3355"/>
      <c r="D3355"/>
    </row>
    <row r="3356" spans="1:4" x14ac:dyDescent="0.2">
      <c r="A3356"/>
      <c r="B3356"/>
      <c r="C3356"/>
      <c r="D3356"/>
    </row>
    <row r="3357" spans="1:4" x14ac:dyDescent="0.2">
      <c r="A3357"/>
      <c r="B3357"/>
      <c r="C3357"/>
      <c r="D3357"/>
    </row>
    <row r="3358" spans="1:4" x14ac:dyDescent="0.2">
      <c r="A3358"/>
      <c r="B3358"/>
      <c r="C3358"/>
      <c r="D3358"/>
    </row>
    <row r="3359" spans="1:4" x14ac:dyDescent="0.2">
      <c r="A3359"/>
      <c r="B3359"/>
      <c r="C3359"/>
      <c r="D3359"/>
    </row>
    <row r="3360" spans="1:4" x14ac:dyDescent="0.2">
      <c r="A3360"/>
      <c r="B3360"/>
      <c r="C3360"/>
      <c r="D3360"/>
    </row>
    <row r="3361" spans="1:4" x14ac:dyDescent="0.2">
      <c r="A3361"/>
      <c r="B3361"/>
      <c r="C3361"/>
      <c r="D3361"/>
    </row>
    <row r="3362" spans="1:4" x14ac:dyDescent="0.2">
      <c r="A3362"/>
      <c r="B3362"/>
      <c r="C3362"/>
      <c r="D3362"/>
    </row>
    <row r="3363" spans="1:4" x14ac:dyDescent="0.2">
      <c r="A3363"/>
      <c r="B3363"/>
      <c r="C3363"/>
      <c r="D3363"/>
    </row>
    <row r="3364" spans="1:4" x14ac:dyDescent="0.2">
      <c r="A3364"/>
      <c r="B3364"/>
      <c r="C3364"/>
      <c r="D3364"/>
    </row>
    <row r="3365" spans="1:4" x14ac:dyDescent="0.2">
      <c r="A3365"/>
      <c r="B3365"/>
      <c r="C3365"/>
      <c r="D3365"/>
    </row>
    <row r="3366" spans="1:4" x14ac:dyDescent="0.2">
      <c r="A3366"/>
      <c r="B3366"/>
      <c r="C3366"/>
      <c r="D3366"/>
    </row>
    <row r="3367" spans="1:4" x14ac:dyDescent="0.2">
      <c r="A3367"/>
      <c r="B3367"/>
      <c r="C3367"/>
      <c r="D3367"/>
    </row>
    <row r="3368" spans="1:4" x14ac:dyDescent="0.2">
      <c r="A3368"/>
      <c r="B3368"/>
      <c r="C3368"/>
      <c r="D3368"/>
    </row>
    <row r="3369" spans="1:4" x14ac:dyDescent="0.2">
      <c r="A3369"/>
      <c r="B3369"/>
      <c r="C3369"/>
      <c r="D3369"/>
    </row>
    <row r="3370" spans="1:4" x14ac:dyDescent="0.2">
      <c r="A3370"/>
      <c r="B3370"/>
      <c r="C3370"/>
      <c r="D3370"/>
    </row>
    <row r="3371" spans="1:4" x14ac:dyDescent="0.2">
      <c r="A3371"/>
      <c r="B3371"/>
      <c r="C3371"/>
      <c r="D3371"/>
    </row>
    <row r="3372" spans="1:4" x14ac:dyDescent="0.2">
      <c r="A3372"/>
      <c r="B3372"/>
      <c r="C3372"/>
      <c r="D3372"/>
    </row>
    <row r="3373" spans="1:4" x14ac:dyDescent="0.2">
      <c r="A3373"/>
      <c r="B3373"/>
      <c r="C3373"/>
      <c r="D3373"/>
    </row>
    <row r="3374" spans="1:4" x14ac:dyDescent="0.2">
      <c r="A3374"/>
      <c r="B3374"/>
      <c r="C3374"/>
      <c r="D3374"/>
    </row>
    <row r="3375" spans="1:4" x14ac:dyDescent="0.2">
      <c r="A3375"/>
      <c r="B3375"/>
      <c r="C3375"/>
      <c r="D3375"/>
    </row>
    <row r="3376" spans="1:4" x14ac:dyDescent="0.2">
      <c r="A3376"/>
      <c r="B3376"/>
      <c r="C3376"/>
      <c r="D3376"/>
    </row>
    <row r="3377" spans="1:4" x14ac:dyDescent="0.2">
      <c r="A3377"/>
      <c r="B3377"/>
      <c r="C3377"/>
      <c r="D3377"/>
    </row>
    <row r="3378" spans="1:4" x14ac:dyDescent="0.2">
      <c r="A3378"/>
      <c r="B3378"/>
      <c r="C3378"/>
      <c r="D3378"/>
    </row>
    <row r="3379" spans="1:4" x14ac:dyDescent="0.2">
      <c r="A3379"/>
      <c r="B3379"/>
      <c r="C3379"/>
      <c r="D3379"/>
    </row>
    <row r="3380" spans="1:4" x14ac:dyDescent="0.2">
      <c r="A3380"/>
      <c r="B3380"/>
      <c r="C3380"/>
      <c r="D3380"/>
    </row>
    <row r="3381" spans="1:4" x14ac:dyDescent="0.2">
      <c r="A3381"/>
      <c r="B3381"/>
      <c r="C3381"/>
      <c r="D3381"/>
    </row>
    <row r="3382" spans="1:4" x14ac:dyDescent="0.2">
      <c r="A3382"/>
      <c r="B3382"/>
      <c r="C3382"/>
      <c r="D3382"/>
    </row>
    <row r="3383" spans="1:4" x14ac:dyDescent="0.2">
      <c r="A3383"/>
      <c r="B3383"/>
      <c r="C3383"/>
      <c r="D3383"/>
    </row>
    <row r="3384" spans="1:4" x14ac:dyDescent="0.2">
      <c r="A3384"/>
      <c r="B3384"/>
      <c r="C3384"/>
      <c r="D3384"/>
    </row>
    <row r="3385" spans="1:4" x14ac:dyDescent="0.2">
      <c r="A3385"/>
      <c r="B3385"/>
      <c r="C3385"/>
      <c r="D3385"/>
    </row>
    <row r="3386" spans="1:4" x14ac:dyDescent="0.2">
      <c r="A3386"/>
      <c r="B3386"/>
      <c r="C3386"/>
      <c r="D3386"/>
    </row>
    <row r="3387" spans="1:4" x14ac:dyDescent="0.2">
      <c r="A3387"/>
      <c r="B3387"/>
      <c r="C3387"/>
      <c r="D3387"/>
    </row>
    <row r="3388" spans="1:4" x14ac:dyDescent="0.2">
      <c r="A3388"/>
      <c r="B3388"/>
      <c r="C3388"/>
      <c r="D3388"/>
    </row>
    <row r="3389" spans="1:4" x14ac:dyDescent="0.2">
      <c r="A3389"/>
      <c r="B3389"/>
      <c r="C3389"/>
      <c r="D3389"/>
    </row>
    <row r="3390" spans="1:4" x14ac:dyDescent="0.2">
      <c r="A3390"/>
      <c r="B3390"/>
      <c r="C3390"/>
      <c r="D3390"/>
    </row>
    <row r="3391" spans="1:4" x14ac:dyDescent="0.2">
      <c r="A3391"/>
      <c r="B3391"/>
      <c r="C3391"/>
      <c r="D3391"/>
    </row>
    <row r="3392" spans="1:4" x14ac:dyDescent="0.2">
      <c r="A3392"/>
      <c r="B3392"/>
      <c r="C3392"/>
      <c r="D3392"/>
    </row>
    <row r="3393" spans="1:4" x14ac:dyDescent="0.2">
      <c r="A3393"/>
      <c r="B3393"/>
      <c r="C3393"/>
      <c r="D3393"/>
    </row>
    <row r="3394" spans="1:4" x14ac:dyDescent="0.2">
      <c r="A3394"/>
      <c r="B3394"/>
      <c r="C3394"/>
      <c r="D3394"/>
    </row>
    <row r="3395" spans="1:4" x14ac:dyDescent="0.2">
      <c r="A3395"/>
      <c r="B3395"/>
      <c r="C3395"/>
      <c r="D3395"/>
    </row>
    <row r="3396" spans="1:4" x14ac:dyDescent="0.2">
      <c r="A3396"/>
      <c r="B3396"/>
      <c r="C3396"/>
      <c r="D3396"/>
    </row>
    <row r="3397" spans="1:4" x14ac:dyDescent="0.2">
      <c r="A3397"/>
      <c r="B3397"/>
      <c r="C3397"/>
      <c r="D3397"/>
    </row>
    <row r="3398" spans="1:4" x14ac:dyDescent="0.2">
      <c r="A3398"/>
      <c r="B3398"/>
      <c r="C3398"/>
      <c r="D3398"/>
    </row>
    <row r="3399" spans="1:4" x14ac:dyDescent="0.2">
      <c r="A3399"/>
      <c r="B3399"/>
      <c r="C3399"/>
      <c r="D3399"/>
    </row>
    <row r="3400" spans="1:4" x14ac:dyDescent="0.2">
      <c r="A3400"/>
      <c r="B3400"/>
      <c r="C3400"/>
      <c r="D3400"/>
    </row>
    <row r="3401" spans="1:4" x14ac:dyDescent="0.2">
      <c r="A3401"/>
      <c r="B3401"/>
      <c r="C3401"/>
      <c r="D3401"/>
    </row>
    <row r="3402" spans="1:4" x14ac:dyDescent="0.2">
      <c r="A3402"/>
      <c r="B3402"/>
      <c r="C3402"/>
      <c r="D3402"/>
    </row>
    <row r="3403" spans="1:4" x14ac:dyDescent="0.2">
      <c r="A3403"/>
      <c r="B3403"/>
      <c r="C3403"/>
      <c r="D3403"/>
    </row>
    <row r="3404" spans="1:4" x14ac:dyDescent="0.2">
      <c r="A3404"/>
      <c r="B3404"/>
      <c r="C3404"/>
      <c r="D3404"/>
    </row>
    <row r="3405" spans="1:4" x14ac:dyDescent="0.2">
      <c r="A3405"/>
      <c r="B3405"/>
      <c r="C3405"/>
      <c r="D3405"/>
    </row>
    <row r="3406" spans="1:4" x14ac:dyDescent="0.2">
      <c r="A3406"/>
      <c r="B3406"/>
      <c r="C3406"/>
      <c r="D3406"/>
    </row>
    <row r="3407" spans="1:4" x14ac:dyDescent="0.2">
      <c r="A3407"/>
      <c r="B3407"/>
      <c r="C3407"/>
      <c r="D3407"/>
    </row>
    <row r="3408" spans="1:4" x14ac:dyDescent="0.2">
      <c r="A3408"/>
      <c r="B3408"/>
      <c r="C3408"/>
      <c r="D3408"/>
    </row>
    <row r="3409" spans="1:4" x14ac:dyDescent="0.2">
      <c r="A3409"/>
      <c r="B3409"/>
      <c r="C3409"/>
      <c r="D3409"/>
    </row>
    <row r="3410" spans="1:4" x14ac:dyDescent="0.2">
      <c r="A3410"/>
      <c r="B3410"/>
      <c r="C3410"/>
      <c r="D3410"/>
    </row>
    <row r="3411" spans="1:4" x14ac:dyDescent="0.2">
      <c r="A3411"/>
      <c r="B3411"/>
      <c r="C3411"/>
      <c r="D3411"/>
    </row>
    <row r="3412" spans="1:4" x14ac:dyDescent="0.2">
      <c r="A3412"/>
      <c r="B3412"/>
      <c r="C3412"/>
      <c r="D3412"/>
    </row>
    <row r="3413" spans="1:4" x14ac:dyDescent="0.2">
      <c r="A3413"/>
      <c r="B3413"/>
      <c r="C3413"/>
      <c r="D3413"/>
    </row>
    <row r="3414" spans="1:4" x14ac:dyDescent="0.2">
      <c r="A3414"/>
      <c r="B3414"/>
      <c r="C3414"/>
      <c r="D3414"/>
    </row>
    <row r="3415" spans="1:4" x14ac:dyDescent="0.2">
      <c r="A3415"/>
      <c r="B3415"/>
      <c r="C3415"/>
      <c r="D3415"/>
    </row>
    <row r="3416" spans="1:4" x14ac:dyDescent="0.2">
      <c r="A3416"/>
      <c r="B3416"/>
      <c r="C3416"/>
      <c r="D3416"/>
    </row>
    <row r="3417" spans="1:4" x14ac:dyDescent="0.2">
      <c r="A3417"/>
      <c r="B3417"/>
      <c r="C3417"/>
      <c r="D3417"/>
    </row>
    <row r="3418" spans="1:4" x14ac:dyDescent="0.2">
      <c r="A3418"/>
      <c r="B3418"/>
      <c r="C3418"/>
      <c r="D3418"/>
    </row>
    <row r="3419" spans="1:4" x14ac:dyDescent="0.2">
      <c r="A3419"/>
      <c r="B3419"/>
      <c r="C3419"/>
      <c r="D3419"/>
    </row>
    <row r="3420" spans="1:4" x14ac:dyDescent="0.2">
      <c r="A3420"/>
      <c r="B3420"/>
      <c r="C3420"/>
      <c r="D3420"/>
    </row>
    <row r="3421" spans="1:4" x14ac:dyDescent="0.2">
      <c r="A3421"/>
      <c r="B3421"/>
      <c r="C3421"/>
      <c r="D3421"/>
    </row>
    <row r="3422" spans="1:4" x14ac:dyDescent="0.2">
      <c r="A3422"/>
      <c r="B3422"/>
      <c r="C3422"/>
      <c r="D3422"/>
    </row>
    <row r="3423" spans="1:4" x14ac:dyDescent="0.2">
      <c r="A3423"/>
      <c r="B3423"/>
      <c r="C3423"/>
      <c r="D3423"/>
    </row>
    <row r="3424" spans="1:4" x14ac:dyDescent="0.2">
      <c r="A3424"/>
      <c r="B3424"/>
      <c r="C3424"/>
      <c r="D3424"/>
    </row>
    <row r="3425" spans="1:4" x14ac:dyDescent="0.2">
      <c r="A3425"/>
      <c r="B3425"/>
      <c r="C3425"/>
      <c r="D3425"/>
    </row>
    <row r="3426" spans="1:4" x14ac:dyDescent="0.2">
      <c r="A3426"/>
      <c r="B3426"/>
      <c r="C3426"/>
      <c r="D3426"/>
    </row>
    <row r="3427" spans="1:4" x14ac:dyDescent="0.2">
      <c r="A3427"/>
      <c r="B3427"/>
      <c r="C3427"/>
      <c r="D3427"/>
    </row>
    <row r="3428" spans="1:4" x14ac:dyDescent="0.2">
      <c r="A3428"/>
      <c r="B3428"/>
      <c r="C3428"/>
      <c r="D3428"/>
    </row>
    <row r="3429" spans="1:4" x14ac:dyDescent="0.2">
      <c r="A3429"/>
      <c r="B3429"/>
      <c r="C3429"/>
      <c r="D3429"/>
    </row>
    <row r="3430" spans="1:4" x14ac:dyDescent="0.2">
      <c r="A3430"/>
      <c r="B3430"/>
      <c r="C3430"/>
      <c r="D3430"/>
    </row>
    <row r="3431" spans="1:4" x14ac:dyDescent="0.2">
      <c r="A3431"/>
      <c r="B3431"/>
      <c r="C3431"/>
      <c r="D3431"/>
    </row>
    <row r="3432" spans="1:4" x14ac:dyDescent="0.2">
      <c r="A3432"/>
      <c r="B3432"/>
      <c r="C3432"/>
      <c r="D3432"/>
    </row>
    <row r="3433" spans="1:4" x14ac:dyDescent="0.2">
      <c r="A3433"/>
      <c r="B3433"/>
      <c r="C3433"/>
      <c r="D3433"/>
    </row>
    <row r="3434" spans="1:4" x14ac:dyDescent="0.2">
      <c r="A3434"/>
      <c r="B3434"/>
      <c r="C3434"/>
      <c r="D3434"/>
    </row>
    <row r="3435" spans="1:4" x14ac:dyDescent="0.2">
      <c r="A3435"/>
      <c r="B3435"/>
      <c r="C3435"/>
      <c r="D3435"/>
    </row>
    <row r="3436" spans="1:4" x14ac:dyDescent="0.2">
      <c r="A3436"/>
      <c r="B3436"/>
      <c r="C3436"/>
      <c r="D3436"/>
    </row>
    <row r="3437" spans="1:4" x14ac:dyDescent="0.2">
      <c r="A3437"/>
      <c r="B3437"/>
      <c r="C3437"/>
      <c r="D3437"/>
    </row>
    <row r="3438" spans="1:4" x14ac:dyDescent="0.2">
      <c r="A3438"/>
      <c r="B3438"/>
      <c r="C3438"/>
      <c r="D3438"/>
    </row>
    <row r="3439" spans="1:4" x14ac:dyDescent="0.2">
      <c r="A3439"/>
      <c r="B3439"/>
      <c r="C3439"/>
      <c r="D3439"/>
    </row>
    <row r="3440" spans="1:4" x14ac:dyDescent="0.2">
      <c r="A3440"/>
      <c r="B3440"/>
      <c r="C3440"/>
      <c r="D3440"/>
    </row>
    <row r="3441" spans="1:4" x14ac:dyDescent="0.2">
      <c r="A3441"/>
      <c r="B3441"/>
      <c r="C3441"/>
      <c r="D3441"/>
    </row>
    <row r="3442" spans="1:4" x14ac:dyDescent="0.2">
      <c r="A3442"/>
      <c r="B3442"/>
      <c r="C3442"/>
      <c r="D3442"/>
    </row>
    <row r="3443" spans="1:4" x14ac:dyDescent="0.2">
      <c r="A3443"/>
      <c r="B3443"/>
      <c r="C3443"/>
      <c r="D3443"/>
    </row>
    <row r="3444" spans="1:4" x14ac:dyDescent="0.2">
      <c r="A3444"/>
      <c r="B3444"/>
      <c r="C3444"/>
      <c r="D3444"/>
    </row>
    <row r="3445" spans="1:4" x14ac:dyDescent="0.2">
      <c r="A3445"/>
      <c r="B3445"/>
      <c r="C3445"/>
      <c r="D3445"/>
    </row>
    <row r="3446" spans="1:4" x14ac:dyDescent="0.2">
      <c r="A3446"/>
      <c r="B3446"/>
      <c r="C3446"/>
      <c r="D3446"/>
    </row>
    <row r="3447" spans="1:4" x14ac:dyDescent="0.2">
      <c r="A3447"/>
      <c r="B3447"/>
      <c r="C3447"/>
      <c r="D3447"/>
    </row>
    <row r="3448" spans="1:4" x14ac:dyDescent="0.2">
      <c r="A3448"/>
      <c r="B3448"/>
      <c r="C3448"/>
      <c r="D3448"/>
    </row>
    <row r="3449" spans="1:4" x14ac:dyDescent="0.2">
      <c r="A3449"/>
      <c r="B3449"/>
      <c r="C3449"/>
      <c r="D3449"/>
    </row>
    <row r="3450" spans="1:4" x14ac:dyDescent="0.2">
      <c r="A3450"/>
      <c r="B3450"/>
      <c r="C3450"/>
      <c r="D3450"/>
    </row>
    <row r="3451" spans="1:4" x14ac:dyDescent="0.2">
      <c r="A3451"/>
      <c r="B3451"/>
      <c r="C3451"/>
      <c r="D3451"/>
    </row>
    <row r="3452" spans="1:4" x14ac:dyDescent="0.2">
      <c r="A3452"/>
      <c r="B3452"/>
      <c r="C3452"/>
      <c r="D3452"/>
    </row>
    <row r="3453" spans="1:4" x14ac:dyDescent="0.2">
      <c r="A3453"/>
      <c r="B3453"/>
      <c r="C3453"/>
      <c r="D3453"/>
    </row>
    <row r="3454" spans="1:4" x14ac:dyDescent="0.2">
      <c r="A3454"/>
      <c r="B3454"/>
      <c r="C3454"/>
      <c r="D3454"/>
    </row>
    <row r="3455" spans="1:4" x14ac:dyDescent="0.2">
      <c r="A3455"/>
      <c r="B3455"/>
      <c r="C3455"/>
      <c r="D3455"/>
    </row>
    <row r="3456" spans="1:4" x14ac:dyDescent="0.2">
      <c r="A3456"/>
      <c r="B3456"/>
      <c r="C3456"/>
      <c r="D3456"/>
    </row>
    <row r="3457" spans="1:4" x14ac:dyDescent="0.2">
      <c r="A3457"/>
      <c r="B3457"/>
      <c r="C3457"/>
      <c r="D3457"/>
    </row>
    <row r="3458" spans="1:4" x14ac:dyDescent="0.2">
      <c r="A3458"/>
      <c r="B3458"/>
      <c r="C3458"/>
      <c r="D3458"/>
    </row>
    <row r="3459" spans="1:4" x14ac:dyDescent="0.2">
      <c r="A3459"/>
      <c r="B3459"/>
      <c r="C3459"/>
      <c r="D3459"/>
    </row>
    <row r="3460" spans="1:4" x14ac:dyDescent="0.2">
      <c r="A3460"/>
      <c r="B3460"/>
      <c r="C3460"/>
      <c r="D3460"/>
    </row>
    <row r="3461" spans="1:4" x14ac:dyDescent="0.2">
      <c r="A3461"/>
      <c r="B3461"/>
      <c r="C3461"/>
      <c r="D3461"/>
    </row>
    <row r="3462" spans="1:4" x14ac:dyDescent="0.2">
      <c r="A3462"/>
      <c r="B3462"/>
      <c r="C3462"/>
      <c r="D3462"/>
    </row>
    <row r="3463" spans="1:4" x14ac:dyDescent="0.2">
      <c r="A3463"/>
      <c r="B3463"/>
      <c r="C3463"/>
      <c r="D3463"/>
    </row>
    <row r="3464" spans="1:4" x14ac:dyDescent="0.2">
      <c r="A3464"/>
      <c r="B3464"/>
      <c r="C3464"/>
      <c r="D3464"/>
    </row>
    <row r="3465" spans="1:4" x14ac:dyDescent="0.2">
      <c r="A3465"/>
      <c r="B3465"/>
      <c r="C3465"/>
      <c r="D3465"/>
    </row>
    <row r="3466" spans="1:4" x14ac:dyDescent="0.2">
      <c r="A3466"/>
      <c r="B3466"/>
      <c r="C3466"/>
      <c r="D3466"/>
    </row>
    <row r="3467" spans="1:4" x14ac:dyDescent="0.2">
      <c r="A3467"/>
      <c r="B3467"/>
      <c r="C3467"/>
      <c r="D3467"/>
    </row>
    <row r="3468" spans="1:4" x14ac:dyDescent="0.2">
      <c r="A3468"/>
      <c r="B3468"/>
      <c r="C3468"/>
      <c r="D3468"/>
    </row>
    <row r="3469" spans="1:4" x14ac:dyDescent="0.2">
      <c r="A3469"/>
      <c r="B3469"/>
      <c r="C3469"/>
      <c r="D3469"/>
    </row>
    <row r="3470" spans="1:4" x14ac:dyDescent="0.2">
      <c r="A3470"/>
      <c r="B3470"/>
      <c r="C3470"/>
      <c r="D3470"/>
    </row>
    <row r="3471" spans="1:4" x14ac:dyDescent="0.2">
      <c r="A3471"/>
      <c r="B3471"/>
      <c r="C3471"/>
      <c r="D3471"/>
    </row>
    <row r="3472" spans="1:4" x14ac:dyDescent="0.2">
      <c r="A3472"/>
      <c r="B3472"/>
      <c r="C3472"/>
      <c r="D3472"/>
    </row>
    <row r="3473" spans="1:4" x14ac:dyDescent="0.2">
      <c r="A3473"/>
      <c r="B3473"/>
      <c r="C3473"/>
      <c r="D3473"/>
    </row>
    <row r="3474" spans="1:4" x14ac:dyDescent="0.2">
      <c r="A3474"/>
      <c r="B3474"/>
      <c r="C3474"/>
      <c r="D3474"/>
    </row>
    <row r="3475" spans="1:4" x14ac:dyDescent="0.2">
      <c r="A3475"/>
      <c r="B3475"/>
      <c r="C3475"/>
      <c r="D3475"/>
    </row>
    <row r="3476" spans="1:4" x14ac:dyDescent="0.2">
      <c r="A3476"/>
      <c r="B3476"/>
      <c r="C3476"/>
      <c r="D3476"/>
    </row>
    <row r="3477" spans="1:4" x14ac:dyDescent="0.2">
      <c r="A3477"/>
      <c r="B3477"/>
      <c r="C3477"/>
      <c r="D3477"/>
    </row>
    <row r="3478" spans="1:4" x14ac:dyDescent="0.2">
      <c r="A3478"/>
      <c r="B3478"/>
      <c r="C3478"/>
      <c r="D3478"/>
    </row>
    <row r="3479" spans="1:4" x14ac:dyDescent="0.2">
      <c r="A3479"/>
      <c r="B3479"/>
      <c r="C3479"/>
      <c r="D3479"/>
    </row>
    <row r="3480" spans="1:4" x14ac:dyDescent="0.2">
      <c r="A3480"/>
      <c r="B3480"/>
      <c r="C3480"/>
      <c r="D3480"/>
    </row>
    <row r="3481" spans="1:4" x14ac:dyDescent="0.2">
      <c r="A3481"/>
      <c r="B3481"/>
      <c r="C3481"/>
      <c r="D3481"/>
    </row>
    <row r="3482" spans="1:4" x14ac:dyDescent="0.2">
      <c r="A3482"/>
      <c r="B3482"/>
      <c r="C3482"/>
      <c r="D3482"/>
    </row>
    <row r="3483" spans="1:4" x14ac:dyDescent="0.2">
      <c r="A3483"/>
      <c r="B3483"/>
      <c r="C3483"/>
      <c r="D3483"/>
    </row>
    <row r="3484" spans="1:4" x14ac:dyDescent="0.2">
      <c r="A3484"/>
      <c r="B3484"/>
      <c r="C3484"/>
      <c r="D3484"/>
    </row>
    <row r="3485" spans="1:4" x14ac:dyDescent="0.2">
      <c r="A3485"/>
      <c r="B3485"/>
      <c r="C3485"/>
      <c r="D3485"/>
    </row>
    <row r="3486" spans="1:4" x14ac:dyDescent="0.2">
      <c r="A3486"/>
      <c r="B3486"/>
      <c r="C3486"/>
      <c r="D3486"/>
    </row>
    <row r="3487" spans="1:4" x14ac:dyDescent="0.2">
      <c r="A3487"/>
      <c r="B3487"/>
      <c r="C3487"/>
      <c r="D3487"/>
    </row>
    <row r="3488" spans="1:4" x14ac:dyDescent="0.2">
      <c r="A3488"/>
      <c r="B3488"/>
      <c r="C3488"/>
      <c r="D3488"/>
    </row>
    <row r="3489" spans="1:4" x14ac:dyDescent="0.2">
      <c r="A3489"/>
      <c r="B3489"/>
      <c r="C3489"/>
      <c r="D3489"/>
    </row>
    <row r="3490" spans="1:4" x14ac:dyDescent="0.2">
      <c r="A3490"/>
      <c r="B3490"/>
      <c r="C3490"/>
      <c r="D3490"/>
    </row>
    <row r="3491" spans="1:4" x14ac:dyDescent="0.2">
      <c r="A3491"/>
      <c r="B3491"/>
      <c r="C3491"/>
      <c r="D3491"/>
    </row>
    <row r="3492" spans="1:4" x14ac:dyDescent="0.2">
      <c r="A3492"/>
      <c r="B3492"/>
      <c r="C3492"/>
      <c r="D3492"/>
    </row>
    <row r="3493" spans="1:4" x14ac:dyDescent="0.2">
      <c r="A3493"/>
      <c r="B3493"/>
      <c r="C3493"/>
      <c r="D3493"/>
    </row>
    <row r="3494" spans="1:4" x14ac:dyDescent="0.2">
      <c r="A3494"/>
      <c r="B3494"/>
      <c r="C3494"/>
      <c r="D3494"/>
    </row>
    <row r="3495" spans="1:4" x14ac:dyDescent="0.2">
      <c r="A3495"/>
      <c r="B3495"/>
      <c r="C3495"/>
      <c r="D3495"/>
    </row>
    <row r="3496" spans="1:4" x14ac:dyDescent="0.2">
      <c r="A3496"/>
      <c r="B3496"/>
      <c r="C3496"/>
      <c r="D3496"/>
    </row>
    <row r="3497" spans="1:4" x14ac:dyDescent="0.2">
      <c r="A3497"/>
      <c r="B3497"/>
      <c r="C3497"/>
      <c r="D3497"/>
    </row>
    <row r="3498" spans="1:4" x14ac:dyDescent="0.2">
      <c r="A3498"/>
      <c r="B3498"/>
      <c r="C3498"/>
      <c r="D3498"/>
    </row>
    <row r="3499" spans="1:4" x14ac:dyDescent="0.2">
      <c r="A3499"/>
      <c r="B3499"/>
      <c r="C3499"/>
      <c r="D3499"/>
    </row>
    <row r="3500" spans="1:4" x14ac:dyDescent="0.2">
      <c r="A3500"/>
      <c r="B3500"/>
      <c r="C3500"/>
      <c r="D3500"/>
    </row>
    <row r="3501" spans="1:4" x14ac:dyDescent="0.2">
      <c r="A3501"/>
      <c r="B3501"/>
      <c r="C3501"/>
      <c r="D3501"/>
    </row>
    <row r="3502" spans="1:4" x14ac:dyDescent="0.2">
      <c r="A3502"/>
      <c r="B3502"/>
      <c r="C3502"/>
      <c r="D3502"/>
    </row>
    <row r="3503" spans="1:4" x14ac:dyDescent="0.2">
      <c r="A3503"/>
      <c r="B3503"/>
      <c r="C3503"/>
      <c r="D3503"/>
    </row>
    <row r="3504" spans="1:4" x14ac:dyDescent="0.2">
      <c r="A3504"/>
      <c r="B3504"/>
      <c r="C3504"/>
      <c r="D3504"/>
    </row>
    <row r="3505" spans="1:4" x14ac:dyDescent="0.2">
      <c r="A3505"/>
      <c r="B3505"/>
      <c r="C3505"/>
      <c r="D3505"/>
    </row>
    <row r="3506" spans="1:4" x14ac:dyDescent="0.2">
      <c r="A3506"/>
      <c r="B3506"/>
      <c r="C3506"/>
      <c r="D3506"/>
    </row>
    <row r="3507" spans="1:4" x14ac:dyDescent="0.2">
      <c r="A3507"/>
      <c r="B3507"/>
      <c r="C3507"/>
      <c r="D3507"/>
    </row>
    <row r="3508" spans="1:4" x14ac:dyDescent="0.2">
      <c r="A3508"/>
      <c r="B3508"/>
      <c r="C3508"/>
      <c r="D3508"/>
    </row>
    <row r="3509" spans="1:4" x14ac:dyDescent="0.2">
      <c r="A3509"/>
      <c r="B3509"/>
      <c r="C3509"/>
      <c r="D3509"/>
    </row>
    <row r="3510" spans="1:4" x14ac:dyDescent="0.2">
      <c r="A3510"/>
      <c r="B3510"/>
      <c r="C3510"/>
      <c r="D3510"/>
    </row>
    <row r="3511" spans="1:4" x14ac:dyDescent="0.2">
      <c r="A3511"/>
      <c r="B3511"/>
      <c r="C3511"/>
      <c r="D3511"/>
    </row>
    <row r="3512" spans="1:4" x14ac:dyDescent="0.2">
      <c r="A3512"/>
      <c r="B3512"/>
      <c r="C3512"/>
      <c r="D3512"/>
    </row>
    <row r="3513" spans="1:4" x14ac:dyDescent="0.2">
      <c r="A3513"/>
      <c r="B3513"/>
      <c r="C3513"/>
      <c r="D3513"/>
    </row>
    <row r="3514" spans="1:4" x14ac:dyDescent="0.2">
      <c r="A3514"/>
      <c r="B3514"/>
      <c r="C3514"/>
      <c r="D3514"/>
    </row>
    <row r="3515" spans="1:4" x14ac:dyDescent="0.2">
      <c r="A3515"/>
      <c r="B3515"/>
      <c r="C3515"/>
      <c r="D3515"/>
    </row>
    <row r="3516" spans="1:4" x14ac:dyDescent="0.2">
      <c r="A3516"/>
      <c r="B3516"/>
      <c r="C3516"/>
      <c r="D3516"/>
    </row>
    <row r="3517" spans="1:4" x14ac:dyDescent="0.2">
      <c r="A3517"/>
      <c r="B3517"/>
      <c r="C3517"/>
      <c r="D3517"/>
    </row>
    <row r="3518" spans="1:4" x14ac:dyDescent="0.2">
      <c r="A3518"/>
      <c r="B3518"/>
      <c r="C3518"/>
      <c r="D3518"/>
    </row>
    <row r="3519" spans="1:4" x14ac:dyDescent="0.2">
      <c r="A3519"/>
      <c r="B3519"/>
      <c r="C3519"/>
      <c r="D3519"/>
    </row>
    <row r="3520" spans="1:4" x14ac:dyDescent="0.2">
      <c r="A3520"/>
      <c r="B3520"/>
      <c r="C3520"/>
      <c r="D3520"/>
    </row>
    <row r="3521" spans="1:4" x14ac:dyDescent="0.2">
      <c r="A3521"/>
      <c r="B3521"/>
      <c r="C3521"/>
      <c r="D3521"/>
    </row>
    <row r="3522" spans="1:4" x14ac:dyDescent="0.2">
      <c r="A3522"/>
      <c r="B3522"/>
      <c r="C3522"/>
      <c r="D3522"/>
    </row>
    <row r="3523" spans="1:4" x14ac:dyDescent="0.2">
      <c r="A3523"/>
      <c r="B3523"/>
      <c r="C3523"/>
      <c r="D3523"/>
    </row>
    <row r="3524" spans="1:4" x14ac:dyDescent="0.2">
      <c r="A3524"/>
      <c r="B3524"/>
      <c r="C3524"/>
      <c r="D3524"/>
    </row>
    <row r="3525" spans="1:4" x14ac:dyDescent="0.2">
      <c r="A3525"/>
      <c r="B3525"/>
      <c r="C3525"/>
      <c r="D3525"/>
    </row>
    <row r="3526" spans="1:4" x14ac:dyDescent="0.2">
      <c r="A3526"/>
      <c r="B3526"/>
      <c r="C3526"/>
      <c r="D3526"/>
    </row>
    <row r="3527" spans="1:4" x14ac:dyDescent="0.2">
      <c r="A3527"/>
      <c r="B3527"/>
      <c r="C3527"/>
      <c r="D3527"/>
    </row>
    <row r="3528" spans="1:4" x14ac:dyDescent="0.2">
      <c r="A3528"/>
      <c r="B3528"/>
      <c r="C3528"/>
      <c r="D3528"/>
    </row>
    <row r="3529" spans="1:4" x14ac:dyDescent="0.2">
      <c r="A3529"/>
      <c r="B3529"/>
      <c r="C3529"/>
      <c r="D3529"/>
    </row>
    <row r="3530" spans="1:4" x14ac:dyDescent="0.2">
      <c r="A3530"/>
      <c r="B3530"/>
      <c r="C3530"/>
      <c r="D3530"/>
    </row>
    <row r="3531" spans="1:4" x14ac:dyDescent="0.2">
      <c r="A3531"/>
      <c r="B3531"/>
      <c r="C3531"/>
      <c r="D3531"/>
    </row>
    <row r="3532" spans="1:4" x14ac:dyDescent="0.2">
      <c r="A3532"/>
      <c r="B3532"/>
      <c r="C3532"/>
      <c r="D3532"/>
    </row>
    <row r="3533" spans="1:4" x14ac:dyDescent="0.2">
      <c r="A3533"/>
      <c r="B3533"/>
      <c r="C3533"/>
      <c r="D3533"/>
    </row>
    <row r="3534" spans="1:4" x14ac:dyDescent="0.2">
      <c r="A3534"/>
      <c r="B3534"/>
      <c r="C3534"/>
      <c r="D3534"/>
    </row>
    <row r="3535" spans="1:4" x14ac:dyDescent="0.2">
      <c r="A3535"/>
      <c r="B3535"/>
      <c r="C3535"/>
      <c r="D3535"/>
    </row>
    <row r="3536" spans="1:4" x14ac:dyDescent="0.2">
      <c r="A3536"/>
      <c r="B3536"/>
      <c r="C3536"/>
      <c r="D3536"/>
    </row>
    <row r="3537" spans="1:4" x14ac:dyDescent="0.2">
      <c r="A3537"/>
      <c r="B3537"/>
      <c r="C3537"/>
      <c r="D3537"/>
    </row>
    <row r="3538" spans="1:4" x14ac:dyDescent="0.2">
      <c r="A3538"/>
      <c r="B3538"/>
      <c r="C3538"/>
      <c r="D3538"/>
    </row>
    <row r="3539" spans="1:4" x14ac:dyDescent="0.2">
      <c r="A3539"/>
      <c r="B3539"/>
      <c r="C3539"/>
      <c r="D3539"/>
    </row>
    <row r="3540" spans="1:4" x14ac:dyDescent="0.2">
      <c r="A3540"/>
      <c r="B3540"/>
      <c r="C3540"/>
      <c r="D3540"/>
    </row>
    <row r="3541" spans="1:4" x14ac:dyDescent="0.2">
      <c r="A3541"/>
      <c r="B3541"/>
      <c r="C3541"/>
      <c r="D3541"/>
    </row>
    <row r="3542" spans="1:4" x14ac:dyDescent="0.2">
      <c r="A3542"/>
      <c r="B3542"/>
      <c r="C3542"/>
      <c r="D3542"/>
    </row>
    <row r="3543" spans="1:4" x14ac:dyDescent="0.2">
      <c r="A3543"/>
      <c r="B3543"/>
      <c r="C3543"/>
      <c r="D3543"/>
    </row>
    <row r="3544" spans="1:4" x14ac:dyDescent="0.2">
      <c r="A3544"/>
      <c r="B3544"/>
      <c r="C3544"/>
      <c r="D3544"/>
    </row>
    <row r="3545" spans="1:4" x14ac:dyDescent="0.2">
      <c r="A3545"/>
      <c r="B3545"/>
      <c r="C3545"/>
      <c r="D3545"/>
    </row>
    <row r="3546" spans="1:4" x14ac:dyDescent="0.2">
      <c r="A3546"/>
      <c r="B3546"/>
      <c r="C3546"/>
      <c r="D3546"/>
    </row>
    <row r="3547" spans="1:4" x14ac:dyDescent="0.2">
      <c r="A3547"/>
      <c r="B3547"/>
      <c r="C3547"/>
      <c r="D3547"/>
    </row>
    <row r="3548" spans="1:4" x14ac:dyDescent="0.2">
      <c r="A3548"/>
      <c r="B3548"/>
      <c r="C3548"/>
      <c r="D3548"/>
    </row>
    <row r="3549" spans="1:4" x14ac:dyDescent="0.2">
      <c r="A3549"/>
      <c r="B3549"/>
      <c r="C3549"/>
      <c r="D3549"/>
    </row>
    <row r="3550" spans="1:4" x14ac:dyDescent="0.2">
      <c r="A3550"/>
      <c r="B3550"/>
      <c r="C3550"/>
      <c r="D3550"/>
    </row>
    <row r="3551" spans="1:4" x14ac:dyDescent="0.2">
      <c r="A3551"/>
      <c r="B3551"/>
      <c r="C3551"/>
      <c r="D3551"/>
    </row>
    <row r="3552" spans="1:4" x14ac:dyDescent="0.2">
      <c r="A3552"/>
      <c r="B3552"/>
      <c r="C3552"/>
      <c r="D3552"/>
    </row>
    <row r="3553" spans="1:4" x14ac:dyDescent="0.2">
      <c r="A3553"/>
      <c r="B3553"/>
      <c r="C3553"/>
      <c r="D3553"/>
    </row>
    <row r="3554" spans="1:4" x14ac:dyDescent="0.2">
      <c r="A3554"/>
      <c r="B3554"/>
      <c r="C3554"/>
      <c r="D3554"/>
    </row>
    <row r="3555" spans="1:4" x14ac:dyDescent="0.2">
      <c r="A3555"/>
      <c r="B3555"/>
      <c r="C3555"/>
      <c r="D3555"/>
    </row>
    <row r="3556" spans="1:4" x14ac:dyDescent="0.2">
      <c r="A3556"/>
      <c r="B3556"/>
      <c r="C3556"/>
      <c r="D3556"/>
    </row>
    <row r="3557" spans="1:4" x14ac:dyDescent="0.2">
      <c r="A3557"/>
      <c r="B3557"/>
      <c r="C3557"/>
      <c r="D3557"/>
    </row>
    <row r="3558" spans="1:4" x14ac:dyDescent="0.2">
      <c r="A3558"/>
      <c r="B3558"/>
      <c r="C3558"/>
      <c r="D3558"/>
    </row>
    <row r="3559" spans="1:4" x14ac:dyDescent="0.2">
      <c r="A3559"/>
      <c r="B3559"/>
      <c r="C3559"/>
      <c r="D3559"/>
    </row>
    <row r="3560" spans="1:4" x14ac:dyDescent="0.2">
      <c r="A3560"/>
      <c r="B3560"/>
      <c r="C3560"/>
      <c r="D3560"/>
    </row>
    <row r="3561" spans="1:4" x14ac:dyDescent="0.2">
      <c r="A3561"/>
      <c r="B3561"/>
      <c r="C3561"/>
      <c r="D3561"/>
    </row>
    <row r="3562" spans="1:4" x14ac:dyDescent="0.2">
      <c r="A3562"/>
      <c r="B3562"/>
      <c r="C3562"/>
      <c r="D3562"/>
    </row>
    <row r="3563" spans="1:4" x14ac:dyDescent="0.2">
      <c r="A3563"/>
      <c r="B3563"/>
      <c r="C3563"/>
      <c r="D3563"/>
    </row>
    <row r="3564" spans="1:4" x14ac:dyDescent="0.2">
      <c r="A3564"/>
      <c r="B3564"/>
      <c r="C3564"/>
      <c r="D3564"/>
    </row>
    <row r="3565" spans="1:4" x14ac:dyDescent="0.2">
      <c r="A3565"/>
      <c r="B3565"/>
      <c r="C3565"/>
      <c r="D3565"/>
    </row>
    <row r="3566" spans="1:4" x14ac:dyDescent="0.2">
      <c r="A3566"/>
      <c r="B3566"/>
      <c r="C3566"/>
      <c r="D3566"/>
    </row>
    <row r="3567" spans="1:4" x14ac:dyDescent="0.2">
      <c r="A3567"/>
      <c r="B3567"/>
      <c r="C3567"/>
      <c r="D3567"/>
    </row>
    <row r="3568" spans="1:4" x14ac:dyDescent="0.2">
      <c r="A3568"/>
      <c r="B3568"/>
      <c r="C3568"/>
      <c r="D3568"/>
    </row>
    <row r="3569" spans="1:4" x14ac:dyDescent="0.2">
      <c r="A3569"/>
      <c r="B3569"/>
      <c r="C3569"/>
      <c r="D3569"/>
    </row>
    <row r="3570" spans="1:4" x14ac:dyDescent="0.2">
      <c r="A3570"/>
      <c r="B3570"/>
      <c r="C3570"/>
      <c r="D3570"/>
    </row>
    <row r="3571" spans="1:4" x14ac:dyDescent="0.2">
      <c r="A3571"/>
      <c r="B3571"/>
      <c r="C3571"/>
      <c r="D3571"/>
    </row>
    <row r="3572" spans="1:4" x14ac:dyDescent="0.2">
      <c r="A3572"/>
      <c r="B3572"/>
      <c r="C3572"/>
      <c r="D3572"/>
    </row>
    <row r="3573" spans="1:4" x14ac:dyDescent="0.2">
      <c r="A3573"/>
      <c r="B3573"/>
      <c r="C3573"/>
      <c r="D3573"/>
    </row>
    <row r="3574" spans="1:4" x14ac:dyDescent="0.2">
      <c r="A3574"/>
      <c r="B3574"/>
      <c r="C3574"/>
      <c r="D3574"/>
    </row>
    <row r="3575" spans="1:4" x14ac:dyDescent="0.2">
      <c r="A3575"/>
      <c r="B3575"/>
      <c r="C3575"/>
      <c r="D3575"/>
    </row>
    <row r="3576" spans="1:4" x14ac:dyDescent="0.2">
      <c r="A3576"/>
      <c r="B3576"/>
      <c r="C3576"/>
      <c r="D3576"/>
    </row>
    <row r="3577" spans="1:4" x14ac:dyDescent="0.2">
      <c r="A3577"/>
      <c r="B3577"/>
      <c r="C3577"/>
      <c r="D3577"/>
    </row>
    <row r="3578" spans="1:4" x14ac:dyDescent="0.2">
      <c r="A3578"/>
      <c r="B3578"/>
      <c r="C3578"/>
      <c r="D3578"/>
    </row>
    <row r="3579" spans="1:4" x14ac:dyDescent="0.2">
      <c r="A3579"/>
      <c r="B3579"/>
      <c r="C3579"/>
      <c r="D3579"/>
    </row>
    <row r="3580" spans="1:4" x14ac:dyDescent="0.2">
      <c r="A3580"/>
      <c r="B3580"/>
      <c r="C3580"/>
      <c r="D3580"/>
    </row>
    <row r="3581" spans="1:4" x14ac:dyDescent="0.2">
      <c r="A3581"/>
      <c r="B3581"/>
      <c r="C3581"/>
      <c r="D3581"/>
    </row>
    <row r="3582" spans="1:4" x14ac:dyDescent="0.2">
      <c r="A3582"/>
      <c r="B3582"/>
      <c r="C3582"/>
      <c r="D3582"/>
    </row>
    <row r="3583" spans="1:4" x14ac:dyDescent="0.2">
      <c r="A3583"/>
      <c r="B3583"/>
      <c r="C3583"/>
      <c r="D3583"/>
    </row>
    <row r="3584" spans="1:4" x14ac:dyDescent="0.2">
      <c r="A3584"/>
      <c r="B3584"/>
      <c r="C3584"/>
      <c r="D3584"/>
    </row>
    <row r="3585" spans="1:4" x14ac:dyDescent="0.2">
      <c r="A3585"/>
      <c r="B3585"/>
      <c r="C3585"/>
      <c r="D3585"/>
    </row>
    <row r="3586" spans="1:4" x14ac:dyDescent="0.2">
      <c r="A3586"/>
      <c r="B3586"/>
      <c r="C3586"/>
      <c r="D3586"/>
    </row>
    <row r="3587" spans="1:4" x14ac:dyDescent="0.2">
      <c r="A3587"/>
      <c r="B3587"/>
      <c r="C3587"/>
      <c r="D3587"/>
    </row>
    <row r="3588" spans="1:4" x14ac:dyDescent="0.2">
      <c r="A3588"/>
      <c r="B3588"/>
      <c r="C3588"/>
      <c r="D3588"/>
    </row>
    <row r="3589" spans="1:4" x14ac:dyDescent="0.2">
      <c r="A3589"/>
      <c r="B3589"/>
      <c r="C3589"/>
      <c r="D3589"/>
    </row>
    <row r="3590" spans="1:4" x14ac:dyDescent="0.2">
      <c r="A3590"/>
      <c r="B3590"/>
      <c r="C3590"/>
      <c r="D3590"/>
    </row>
    <row r="3591" spans="1:4" x14ac:dyDescent="0.2">
      <c r="A3591"/>
      <c r="B3591"/>
      <c r="C3591"/>
      <c r="D3591"/>
    </row>
    <row r="3592" spans="1:4" x14ac:dyDescent="0.2">
      <c r="A3592"/>
      <c r="B3592"/>
      <c r="C3592"/>
      <c r="D3592"/>
    </row>
    <row r="3593" spans="1:4" x14ac:dyDescent="0.2">
      <c r="A3593"/>
      <c r="B3593"/>
      <c r="C3593"/>
      <c r="D3593"/>
    </row>
    <row r="3594" spans="1:4" x14ac:dyDescent="0.2">
      <c r="A3594"/>
      <c r="B3594"/>
      <c r="C3594"/>
      <c r="D3594"/>
    </row>
    <row r="3595" spans="1:4" x14ac:dyDescent="0.2">
      <c r="A3595"/>
      <c r="B3595"/>
      <c r="C3595"/>
      <c r="D3595"/>
    </row>
    <row r="3596" spans="1:4" x14ac:dyDescent="0.2">
      <c r="A3596"/>
      <c r="B3596"/>
      <c r="C3596"/>
      <c r="D3596"/>
    </row>
    <row r="3597" spans="1:4" x14ac:dyDescent="0.2">
      <c r="A3597"/>
      <c r="B3597"/>
      <c r="C3597"/>
      <c r="D3597"/>
    </row>
    <row r="3598" spans="1:4" x14ac:dyDescent="0.2">
      <c r="A3598"/>
      <c r="B3598"/>
      <c r="C3598"/>
      <c r="D3598"/>
    </row>
    <row r="3599" spans="1:4" x14ac:dyDescent="0.2">
      <c r="A3599"/>
      <c r="B3599"/>
      <c r="C3599"/>
      <c r="D3599"/>
    </row>
    <row r="3600" spans="1:4" x14ac:dyDescent="0.2">
      <c r="A3600"/>
      <c r="B3600"/>
      <c r="C3600"/>
      <c r="D3600"/>
    </row>
    <row r="3601" spans="1:4" x14ac:dyDescent="0.2">
      <c r="A3601"/>
      <c r="B3601"/>
      <c r="C3601"/>
      <c r="D3601"/>
    </row>
    <row r="3602" spans="1:4" x14ac:dyDescent="0.2">
      <c r="A3602"/>
      <c r="B3602"/>
      <c r="C3602"/>
      <c r="D3602"/>
    </row>
    <row r="3603" spans="1:4" x14ac:dyDescent="0.2">
      <c r="A3603"/>
      <c r="B3603"/>
      <c r="C3603"/>
      <c r="D3603"/>
    </row>
    <row r="3604" spans="1:4" x14ac:dyDescent="0.2">
      <c r="A3604"/>
      <c r="B3604"/>
      <c r="C3604"/>
      <c r="D3604"/>
    </row>
    <row r="3605" spans="1:4" x14ac:dyDescent="0.2">
      <c r="A3605"/>
      <c r="B3605"/>
      <c r="C3605"/>
      <c r="D3605"/>
    </row>
    <row r="3606" spans="1:4" x14ac:dyDescent="0.2">
      <c r="A3606"/>
      <c r="B3606"/>
      <c r="C3606"/>
      <c r="D3606"/>
    </row>
    <row r="3607" spans="1:4" x14ac:dyDescent="0.2">
      <c r="A3607"/>
      <c r="B3607"/>
      <c r="C3607"/>
      <c r="D3607"/>
    </row>
    <row r="3608" spans="1:4" x14ac:dyDescent="0.2">
      <c r="A3608"/>
      <c r="B3608"/>
      <c r="C3608"/>
      <c r="D3608"/>
    </row>
    <row r="3609" spans="1:4" x14ac:dyDescent="0.2">
      <c r="A3609"/>
      <c r="B3609"/>
      <c r="C3609"/>
      <c r="D3609"/>
    </row>
    <row r="3610" spans="1:4" x14ac:dyDescent="0.2">
      <c r="A3610"/>
      <c r="B3610"/>
      <c r="C3610"/>
      <c r="D3610"/>
    </row>
    <row r="3611" spans="1:4" x14ac:dyDescent="0.2">
      <c r="A3611"/>
      <c r="B3611"/>
      <c r="C3611"/>
      <c r="D3611"/>
    </row>
    <row r="3612" spans="1:4" x14ac:dyDescent="0.2">
      <c r="A3612"/>
      <c r="B3612"/>
      <c r="C3612"/>
      <c r="D3612"/>
    </row>
    <row r="3613" spans="1:4" x14ac:dyDescent="0.2">
      <c r="A3613"/>
      <c r="B3613"/>
      <c r="C3613"/>
      <c r="D3613"/>
    </row>
    <row r="3614" spans="1:4" x14ac:dyDescent="0.2">
      <c r="A3614"/>
      <c r="B3614"/>
      <c r="C3614"/>
      <c r="D3614"/>
    </row>
    <row r="3615" spans="1:4" x14ac:dyDescent="0.2">
      <c r="A3615"/>
      <c r="B3615"/>
      <c r="C3615"/>
      <c r="D3615"/>
    </row>
    <row r="3616" spans="1:4" x14ac:dyDescent="0.2">
      <c r="A3616"/>
      <c r="B3616"/>
      <c r="C3616"/>
      <c r="D3616"/>
    </row>
    <row r="3617" spans="1:4" x14ac:dyDescent="0.2">
      <c r="A3617"/>
      <c r="B3617"/>
      <c r="C3617"/>
      <c r="D3617"/>
    </row>
    <row r="3618" spans="1:4" x14ac:dyDescent="0.2">
      <c r="A3618"/>
      <c r="B3618"/>
      <c r="C3618"/>
      <c r="D3618"/>
    </row>
    <row r="3619" spans="1:4" x14ac:dyDescent="0.2">
      <c r="A3619"/>
      <c r="B3619"/>
      <c r="C3619"/>
      <c r="D3619"/>
    </row>
    <row r="3620" spans="1:4" x14ac:dyDescent="0.2">
      <c r="A3620"/>
      <c r="B3620"/>
      <c r="C3620"/>
      <c r="D3620"/>
    </row>
    <row r="3621" spans="1:4" x14ac:dyDescent="0.2">
      <c r="A3621"/>
      <c r="B3621"/>
      <c r="C3621"/>
      <c r="D3621"/>
    </row>
    <row r="3622" spans="1:4" x14ac:dyDescent="0.2">
      <c r="A3622"/>
      <c r="B3622"/>
      <c r="C3622"/>
      <c r="D3622"/>
    </row>
    <row r="3623" spans="1:4" x14ac:dyDescent="0.2">
      <c r="A3623"/>
      <c r="B3623"/>
      <c r="C3623"/>
      <c r="D3623"/>
    </row>
    <row r="3624" spans="1:4" x14ac:dyDescent="0.2">
      <c r="A3624"/>
      <c r="B3624"/>
      <c r="C3624"/>
      <c r="D3624"/>
    </row>
    <row r="3625" spans="1:4" x14ac:dyDescent="0.2">
      <c r="A3625"/>
      <c r="B3625"/>
      <c r="C3625"/>
      <c r="D3625"/>
    </row>
    <row r="3626" spans="1:4" x14ac:dyDescent="0.2">
      <c r="A3626"/>
      <c r="B3626"/>
      <c r="C3626"/>
      <c r="D3626"/>
    </row>
    <row r="3627" spans="1:4" x14ac:dyDescent="0.2">
      <c r="A3627"/>
      <c r="B3627"/>
      <c r="C3627"/>
      <c r="D3627"/>
    </row>
    <row r="3628" spans="1:4" x14ac:dyDescent="0.2">
      <c r="A3628"/>
      <c r="B3628"/>
      <c r="C3628"/>
      <c r="D3628"/>
    </row>
    <row r="3629" spans="1:4" x14ac:dyDescent="0.2">
      <c r="A3629"/>
      <c r="B3629"/>
      <c r="C3629"/>
      <c r="D3629"/>
    </row>
    <row r="3630" spans="1:4" x14ac:dyDescent="0.2">
      <c r="A3630"/>
      <c r="B3630"/>
      <c r="C3630"/>
      <c r="D3630"/>
    </row>
    <row r="3631" spans="1:4" x14ac:dyDescent="0.2">
      <c r="A3631"/>
      <c r="B3631"/>
      <c r="C3631"/>
      <c r="D3631"/>
    </row>
    <row r="3632" spans="1:4" x14ac:dyDescent="0.2">
      <c r="A3632"/>
      <c r="B3632"/>
      <c r="C3632"/>
      <c r="D3632"/>
    </row>
    <row r="3633" spans="1:4" x14ac:dyDescent="0.2">
      <c r="A3633"/>
      <c r="B3633"/>
      <c r="C3633"/>
      <c r="D3633"/>
    </row>
    <row r="3634" spans="1:4" x14ac:dyDescent="0.2">
      <c r="A3634"/>
      <c r="B3634"/>
      <c r="C3634"/>
      <c r="D3634"/>
    </row>
    <row r="3635" spans="1:4" x14ac:dyDescent="0.2">
      <c r="A3635"/>
      <c r="B3635"/>
      <c r="C3635"/>
      <c r="D3635"/>
    </row>
    <row r="3636" spans="1:4" x14ac:dyDescent="0.2">
      <c r="A3636"/>
      <c r="B3636"/>
      <c r="C3636"/>
      <c r="D3636"/>
    </row>
    <row r="3637" spans="1:4" x14ac:dyDescent="0.2">
      <c r="A3637"/>
      <c r="B3637"/>
      <c r="C3637"/>
      <c r="D3637"/>
    </row>
    <row r="3638" spans="1:4" x14ac:dyDescent="0.2">
      <c r="A3638"/>
      <c r="B3638"/>
      <c r="C3638"/>
      <c r="D3638"/>
    </row>
    <row r="3639" spans="1:4" x14ac:dyDescent="0.2">
      <c r="A3639"/>
      <c r="B3639"/>
      <c r="C3639"/>
      <c r="D3639"/>
    </row>
    <row r="3640" spans="1:4" x14ac:dyDescent="0.2">
      <c r="A3640"/>
      <c r="B3640"/>
      <c r="C3640"/>
      <c r="D3640"/>
    </row>
    <row r="3641" spans="1:4" x14ac:dyDescent="0.2">
      <c r="A3641"/>
      <c r="B3641"/>
      <c r="C3641"/>
      <c r="D3641"/>
    </row>
    <row r="3642" spans="1:4" x14ac:dyDescent="0.2">
      <c r="A3642"/>
      <c r="B3642"/>
      <c r="C3642"/>
      <c r="D3642"/>
    </row>
    <row r="3643" spans="1:4" x14ac:dyDescent="0.2">
      <c r="A3643"/>
      <c r="B3643"/>
      <c r="C3643"/>
      <c r="D3643"/>
    </row>
    <row r="3644" spans="1:4" x14ac:dyDescent="0.2">
      <c r="A3644"/>
      <c r="B3644"/>
      <c r="C3644"/>
      <c r="D3644"/>
    </row>
    <row r="3645" spans="1:4" x14ac:dyDescent="0.2">
      <c r="A3645"/>
      <c r="B3645"/>
      <c r="C3645"/>
      <c r="D3645"/>
    </row>
    <row r="3646" spans="1:4" x14ac:dyDescent="0.2">
      <c r="A3646"/>
      <c r="B3646"/>
      <c r="C3646"/>
      <c r="D3646"/>
    </row>
    <row r="3647" spans="1:4" x14ac:dyDescent="0.2">
      <c r="A3647"/>
      <c r="B3647"/>
      <c r="C3647"/>
      <c r="D3647"/>
    </row>
    <row r="3648" spans="1:4" x14ac:dyDescent="0.2">
      <c r="A3648"/>
      <c r="B3648"/>
      <c r="C3648"/>
      <c r="D3648"/>
    </row>
    <row r="3649" spans="1:4" x14ac:dyDescent="0.2">
      <c r="A3649"/>
      <c r="B3649"/>
      <c r="C3649"/>
      <c r="D3649"/>
    </row>
    <row r="3650" spans="1:4" x14ac:dyDescent="0.2">
      <c r="A3650"/>
      <c r="B3650"/>
      <c r="C3650"/>
      <c r="D3650"/>
    </row>
    <row r="3651" spans="1:4" x14ac:dyDescent="0.2">
      <c r="A3651"/>
      <c r="B3651"/>
      <c r="C3651"/>
      <c r="D3651"/>
    </row>
    <row r="3652" spans="1:4" x14ac:dyDescent="0.2">
      <c r="A3652"/>
      <c r="B3652"/>
      <c r="C3652"/>
      <c r="D3652"/>
    </row>
    <row r="3653" spans="1:4" x14ac:dyDescent="0.2">
      <c r="A3653"/>
      <c r="B3653"/>
      <c r="C3653"/>
      <c r="D3653"/>
    </row>
    <row r="3654" spans="1:4" x14ac:dyDescent="0.2">
      <c r="A3654"/>
      <c r="B3654"/>
      <c r="C3654"/>
      <c r="D3654"/>
    </row>
    <row r="3655" spans="1:4" x14ac:dyDescent="0.2">
      <c r="A3655"/>
      <c r="B3655"/>
      <c r="C3655"/>
      <c r="D3655"/>
    </row>
    <row r="3656" spans="1:4" x14ac:dyDescent="0.2">
      <c r="A3656"/>
      <c r="B3656"/>
      <c r="C3656"/>
      <c r="D3656"/>
    </row>
    <row r="3657" spans="1:4" x14ac:dyDescent="0.2">
      <c r="A3657"/>
      <c r="B3657"/>
      <c r="C3657"/>
      <c r="D3657"/>
    </row>
    <row r="3658" spans="1:4" x14ac:dyDescent="0.2">
      <c r="A3658"/>
      <c r="B3658"/>
      <c r="C3658"/>
      <c r="D3658"/>
    </row>
    <row r="3659" spans="1:4" x14ac:dyDescent="0.2">
      <c r="A3659"/>
      <c r="B3659"/>
      <c r="C3659"/>
      <c r="D3659"/>
    </row>
    <row r="3660" spans="1:4" x14ac:dyDescent="0.2">
      <c r="A3660"/>
      <c r="B3660"/>
      <c r="C3660"/>
      <c r="D3660"/>
    </row>
    <row r="3661" spans="1:4" x14ac:dyDescent="0.2">
      <c r="A3661"/>
      <c r="B3661"/>
      <c r="C3661"/>
      <c r="D3661"/>
    </row>
    <row r="3662" spans="1:4" x14ac:dyDescent="0.2">
      <c r="A3662"/>
      <c r="B3662"/>
      <c r="C3662"/>
      <c r="D3662"/>
    </row>
    <row r="3663" spans="1:4" x14ac:dyDescent="0.2">
      <c r="A3663"/>
      <c r="B3663"/>
      <c r="C3663"/>
      <c r="D3663"/>
    </row>
    <row r="3664" spans="1:4" x14ac:dyDescent="0.2">
      <c r="A3664"/>
      <c r="B3664"/>
      <c r="C3664"/>
      <c r="D3664"/>
    </row>
    <row r="3665" spans="1:4" x14ac:dyDescent="0.2">
      <c r="A3665"/>
      <c r="B3665"/>
      <c r="C3665"/>
      <c r="D3665"/>
    </row>
    <row r="3666" spans="1:4" x14ac:dyDescent="0.2">
      <c r="A3666"/>
      <c r="B3666"/>
      <c r="C3666"/>
      <c r="D3666"/>
    </row>
    <row r="3667" spans="1:4" x14ac:dyDescent="0.2">
      <c r="A3667"/>
      <c r="B3667"/>
      <c r="C3667"/>
      <c r="D3667"/>
    </row>
    <row r="3668" spans="1:4" x14ac:dyDescent="0.2">
      <c r="A3668"/>
      <c r="B3668"/>
      <c r="C3668"/>
      <c r="D3668"/>
    </row>
    <row r="3669" spans="1:4" x14ac:dyDescent="0.2">
      <c r="A3669"/>
      <c r="B3669"/>
      <c r="C3669"/>
      <c r="D3669"/>
    </row>
    <row r="3670" spans="1:4" x14ac:dyDescent="0.2">
      <c r="A3670"/>
      <c r="B3670"/>
      <c r="C3670"/>
      <c r="D3670"/>
    </row>
    <row r="3671" spans="1:4" x14ac:dyDescent="0.2">
      <c r="A3671"/>
      <c r="B3671"/>
      <c r="C3671"/>
      <c r="D3671"/>
    </row>
    <row r="3672" spans="1:4" x14ac:dyDescent="0.2">
      <c r="A3672"/>
      <c r="B3672"/>
      <c r="C3672"/>
      <c r="D3672"/>
    </row>
    <row r="3673" spans="1:4" x14ac:dyDescent="0.2">
      <c r="A3673"/>
      <c r="B3673"/>
      <c r="C3673"/>
      <c r="D3673"/>
    </row>
    <row r="3674" spans="1:4" x14ac:dyDescent="0.2">
      <c r="A3674"/>
      <c r="B3674"/>
      <c r="C3674"/>
      <c r="D3674"/>
    </row>
    <row r="3675" spans="1:4" x14ac:dyDescent="0.2">
      <c r="A3675"/>
      <c r="B3675"/>
      <c r="C3675"/>
      <c r="D3675"/>
    </row>
    <row r="3676" spans="1:4" x14ac:dyDescent="0.2">
      <c r="A3676"/>
      <c r="B3676"/>
      <c r="C3676"/>
      <c r="D3676"/>
    </row>
    <row r="3677" spans="1:4" x14ac:dyDescent="0.2">
      <c r="A3677"/>
      <c r="B3677"/>
      <c r="C3677"/>
      <c r="D3677"/>
    </row>
    <row r="3678" spans="1:4" x14ac:dyDescent="0.2">
      <c r="A3678"/>
      <c r="B3678"/>
      <c r="C3678"/>
      <c r="D3678"/>
    </row>
    <row r="3679" spans="1:4" x14ac:dyDescent="0.2">
      <c r="A3679"/>
      <c r="B3679"/>
      <c r="C3679"/>
      <c r="D3679"/>
    </row>
    <row r="3680" spans="1:4" x14ac:dyDescent="0.2">
      <c r="A3680"/>
      <c r="B3680"/>
      <c r="C3680"/>
      <c r="D3680"/>
    </row>
    <row r="3681" spans="1:4" x14ac:dyDescent="0.2">
      <c r="A3681"/>
      <c r="B3681"/>
      <c r="C3681"/>
      <c r="D3681"/>
    </row>
    <row r="3682" spans="1:4" x14ac:dyDescent="0.2">
      <c r="A3682"/>
      <c r="B3682"/>
      <c r="C3682"/>
      <c r="D3682"/>
    </row>
    <row r="3683" spans="1:4" x14ac:dyDescent="0.2">
      <c r="A3683"/>
      <c r="B3683"/>
      <c r="C3683"/>
      <c r="D3683"/>
    </row>
    <row r="3684" spans="1:4" x14ac:dyDescent="0.2">
      <c r="A3684"/>
      <c r="B3684"/>
      <c r="C3684"/>
      <c r="D3684"/>
    </row>
    <row r="3685" spans="1:4" x14ac:dyDescent="0.2">
      <c r="A3685"/>
      <c r="B3685"/>
      <c r="C3685"/>
      <c r="D3685"/>
    </row>
    <row r="3686" spans="1:4" x14ac:dyDescent="0.2">
      <c r="A3686"/>
      <c r="B3686"/>
      <c r="C3686"/>
      <c r="D3686"/>
    </row>
    <row r="3687" spans="1:4" x14ac:dyDescent="0.2">
      <c r="A3687"/>
      <c r="B3687"/>
      <c r="C3687"/>
      <c r="D3687"/>
    </row>
    <row r="3688" spans="1:4" x14ac:dyDescent="0.2">
      <c r="A3688"/>
      <c r="B3688"/>
      <c r="C3688"/>
      <c r="D3688"/>
    </row>
    <row r="3689" spans="1:4" x14ac:dyDescent="0.2">
      <c r="A3689"/>
      <c r="B3689"/>
      <c r="C3689"/>
      <c r="D3689"/>
    </row>
    <row r="3690" spans="1:4" x14ac:dyDescent="0.2">
      <c r="A3690"/>
      <c r="B3690"/>
      <c r="C3690"/>
      <c r="D3690"/>
    </row>
    <row r="3691" spans="1:4" x14ac:dyDescent="0.2">
      <c r="A3691"/>
      <c r="B3691"/>
      <c r="C3691"/>
      <c r="D3691"/>
    </row>
    <row r="3692" spans="1:4" x14ac:dyDescent="0.2">
      <c r="A3692"/>
      <c r="B3692"/>
      <c r="C3692"/>
      <c r="D3692"/>
    </row>
    <row r="3693" spans="1:4" x14ac:dyDescent="0.2">
      <c r="A3693"/>
      <c r="B3693"/>
      <c r="C3693"/>
      <c r="D3693"/>
    </row>
    <row r="3694" spans="1:4" x14ac:dyDescent="0.2">
      <c r="A3694"/>
      <c r="B3694"/>
      <c r="C3694"/>
      <c r="D3694"/>
    </row>
    <row r="3695" spans="1:4" x14ac:dyDescent="0.2">
      <c r="A3695"/>
      <c r="B3695"/>
      <c r="C3695"/>
      <c r="D3695"/>
    </row>
    <row r="3696" spans="1:4" x14ac:dyDescent="0.2">
      <c r="A3696"/>
      <c r="B3696"/>
      <c r="C3696"/>
      <c r="D3696"/>
    </row>
    <row r="3697" spans="1:4" x14ac:dyDescent="0.2">
      <c r="A3697"/>
      <c r="B3697"/>
      <c r="C3697"/>
      <c r="D3697"/>
    </row>
    <row r="3698" spans="1:4" x14ac:dyDescent="0.2">
      <c r="A3698"/>
      <c r="B3698"/>
      <c r="C3698"/>
      <c r="D3698"/>
    </row>
    <row r="3699" spans="1:4" x14ac:dyDescent="0.2">
      <c r="A3699"/>
      <c r="B3699"/>
      <c r="C3699"/>
      <c r="D3699"/>
    </row>
    <row r="3700" spans="1:4" x14ac:dyDescent="0.2">
      <c r="A3700"/>
      <c r="B3700"/>
      <c r="C3700"/>
      <c r="D3700"/>
    </row>
    <row r="3701" spans="1:4" x14ac:dyDescent="0.2">
      <c r="A3701"/>
      <c r="B3701"/>
      <c r="C3701"/>
      <c r="D3701"/>
    </row>
    <row r="3702" spans="1:4" x14ac:dyDescent="0.2">
      <c r="A3702"/>
      <c r="B3702"/>
      <c r="C3702"/>
      <c r="D3702"/>
    </row>
    <row r="3703" spans="1:4" x14ac:dyDescent="0.2">
      <c r="A3703"/>
      <c r="B3703"/>
      <c r="C3703"/>
      <c r="D3703"/>
    </row>
    <row r="3704" spans="1:4" x14ac:dyDescent="0.2">
      <c r="A3704"/>
      <c r="B3704"/>
      <c r="C3704"/>
      <c r="D3704"/>
    </row>
    <row r="3705" spans="1:4" x14ac:dyDescent="0.2">
      <c r="A3705"/>
      <c r="B3705"/>
      <c r="C3705"/>
      <c r="D3705"/>
    </row>
    <row r="3706" spans="1:4" x14ac:dyDescent="0.2">
      <c r="A3706"/>
      <c r="B3706"/>
      <c r="C3706"/>
      <c r="D3706"/>
    </row>
    <row r="3707" spans="1:4" x14ac:dyDescent="0.2">
      <c r="A3707"/>
      <c r="B3707"/>
      <c r="C3707"/>
      <c r="D3707"/>
    </row>
    <row r="3708" spans="1:4" x14ac:dyDescent="0.2">
      <c r="A3708"/>
      <c r="B3708"/>
      <c r="C3708"/>
      <c r="D3708"/>
    </row>
    <row r="3709" spans="1:4" x14ac:dyDescent="0.2">
      <c r="A3709"/>
      <c r="B3709"/>
      <c r="C3709"/>
      <c r="D3709"/>
    </row>
    <row r="3710" spans="1:4" x14ac:dyDescent="0.2">
      <c r="A3710"/>
      <c r="B3710"/>
      <c r="C3710"/>
      <c r="D3710"/>
    </row>
    <row r="3711" spans="1:4" x14ac:dyDescent="0.2">
      <c r="A3711"/>
      <c r="B3711"/>
      <c r="C3711"/>
      <c r="D3711"/>
    </row>
    <row r="3712" spans="1:4" x14ac:dyDescent="0.2">
      <c r="A3712"/>
      <c r="B3712"/>
      <c r="C3712"/>
      <c r="D3712"/>
    </row>
    <row r="3713" spans="1:4" x14ac:dyDescent="0.2">
      <c r="A3713"/>
      <c r="B3713"/>
      <c r="C3713"/>
      <c r="D3713"/>
    </row>
    <row r="3714" spans="1:4" x14ac:dyDescent="0.2">
      <c r="A3714"/>
      <c r="B3714"/>
      <c r="C3714"/>
      <c r="D3714"/>
    </row>
    <row r="3715" spans="1:4" x14ac:dyDescent="0.2">
      <c r="A3715"/>
      <c r="B3715"/>
      <c r="C3715"/>
      <c r="D3715"/>
    </row>
    <row r="3716" spans="1:4" x14ac:dyDescent="0.2">
      <c r="A3716"/>
      <c r="B3716"/>
      <c r="C3716"/>
      <c r="D3716"/>
    </row>
    <row r="3717" spans="1:4" x14ac:dyDescent="0.2">
      <c r="A3717"/>
      <c r="B3717"/>
      <c r="C3717"/>
      <c r="D3717"/>
    </row>
    <row r="3718" spans="1:4" x14ac:dyDescent="0.2">
      <c r="A3718"/>
      <c r="B3718"/>
      <c r="C3718"/>
      <c r="D3718"/>
    </row>
    <row r="3719" spans="1:4" x14ac:dyDescent="0.2">
      <c r="A3719"/>
      <c r="B3719"/>
      <c r="C3719"/>
      <c r="D3719"/>
    </row>
    <row r="3720" spans="1:4" x14ac:dyDescent="0.2">
      <c r="A3720"/>
      <c r="B3720"/>
      <c r="C3720"/>
      <c r="D3720"/>
    </row>
    <row r="3721" spans="1:4" x14ac:dyDescent="0.2">
      <c r="A3721"/>
      <c r="B3721"/>
      <c r="C3721"/>
      <c r="D3721"/>
    </row>
    <row r="3722" spans="1:4" x14ac:dyDescent="0.2">
      <c r="A3722"/>
      <c r="B3722"/>
      <c r="C3722"/>
      <c r="D3722"/>
    </row>
    <row r="3723" spans="1:4" x14ac:dyDescent="0.2">
      <c r="A3723"/>
      <c r="B3723"/>
      <c r="C3723"/>
      <c r="D3723"/>
    </row>
    <row r="3724" spans="1:4" x14ac:dyDescent="0.2">
      <c r="A3724"/>
      <c r="B3724"/>
      <c r="C3724"/>
      <c r="D3724"/>
    </row>
    <row r="3725" spans="1:4" x14ac:dyDescent="0.2">
      <c r="A3725"/>
      <c r="B3725"/>
      <c r="C3725"/>
      <c r="D3725"/>
    </row>
    <row r="3726" spans="1:4" x14ac:dyDescent="0.2">
      <c r="A3726"/>
      <c r="B3726"/>
      <c r="C3726"/>
      <c r="D3726"/>
    </row>
    <row r="3727" spans="1:4" x14ac:dyDescent="0.2">
      <c r="A3727"/>
      <c r="B3727"/>
      <c r="C3727"/>
      <c r="D3727"/>
    </row>
    <row r="3728" spans="1:4" x14ac:dyDescent="0.2">
      <c r="A3728"/>
      <c r="B3728"/>
      <c r="C3728"/>
      <c r="D3728"/>
    </row>
    <row r="3729" spans="1:4" x14ac:dyDescent="0.2">
      <c r="A3729"/>
      <c r="B3729"/>
      <c r="C3729"/>
      <c r="D3729"/>
    </row>
    <row r="3730" spans="1:4" x14ac:dyDescent="0.2">
      <c r="A3730"/>
      <c r="B3730"/>
      <c r="C3730"/>
      <c r="D3730"/>
    </row>
    <row r="3731" spans="1:4" x14ac:dyDescent="0.2">
      <c r="A3731"/>
      <c r="B3731"/>
      <c r="C3731"/>
      <c r="D3731"/>
    </row>
    <row r="3732" spans="1:4" x14ac:dyDescent="0.2">
      <c r="A3732"/>
      <c r="B3732"/>
      <c r="C3732"/>
      <c r="D3732"/>
    </row>
    <row r="3733" spans="1:4" x14ac:dyDescent="0.2">
      <c r="A3733"/>
      <c r="B3733"/>
      <c r="C3733"/>
      <c r="D3733"/>
    </row>
    <row r="3734" spans="1:4" x14ac:dyDescent="0.2">
      <c r="A3734"/>
      <c r="B3734"/>
      <c r="C3734"/>
      <c r="D3734"/>
    </row>
    <row r="3735" spans="1:4" x14ac:dyDescent="0.2">
      <c r="A3735"/>
      <c r="B3735"/>
      <c r="C3735"/>
      <c r="D3735"/>
    </row>
    <row r="3736" spans="1:4" x14ac:dyDescent="0.2">
      <c r="A3736"/>
      <c r="B3736"/>
      <c r="C3736"/>
      <c r="D3736"/>
    </row>
    <row r="3737" spans="1:4" x14ac:dyDescent="0.2">
      <c r="A3737"/>
      <c r="B3737"/>
      <c r="C3737"/>
      <c r="D3737"/>
    </row>
    <row r="3738" spans="1:4" x14ac:dyDescent="0.2">
      <c r="A3738"/>
      <c r="B3738"/>
      <c r="C3738"/>
      <c r="D3738"/>
    </row>
    <row r="3739" spans="1:4" x14ac:dyDescent="0.2">
      <c r="A3739"/>
      <c r="B3739"/>
      <c r="C3739"/>
      <c r="D3739"/>
    </row>
    <row r="3740" spans="1:4" x14ac:dyDescent="0.2">
      <c r="A3740"/>
      <c r="B3740"/>
      <c r="C3740"/>
      <c r="D3740"/>
    </row>
    <row r="3741" spans="1:4" x14ac:dyDescent="0.2">
      <c r="A3741"/>
      <c r="B3741"/>
      <c r="C3741"/>
      <c r="D3741"/>
    </row>
    <row r="3742" spans="1:4" x14ac:dyDescent="0.2">
      <c r="A3742"/>
      <c r="B3742"/>
      <c r="C3742"/>
      <c r="D3742"/>
    </row>
    <row r="3743" spans="1:4" x14ac:dyDescent="0.2">
      <c r="A3743"/>
      <c r="B3743"/>
      <c r="C3743"/>
      <c r="D3743"/>
    </row>
    <row r="3744" spans="1:4" x14ac:dyDescent="0.2">
      <c r="A3744"/>
      <c r="B3744"/>
      <c r="C3744"/>
      <c r="D3744"/>
    </row>
    <row r="3745" spans="1:4" x14ac:dyDescent="0.2">
      <c r="A3745"/>
      <c r="B3745"/>
      <c r="C3745"/>
      <c r="D3745"/>
    </row>
    <row r="3746" spans="1:4" x14ac:dyDescent="0.2">
      <c r="A3746"/>
      <c r="B3746"/>
      <c r="C3746"/>
      <c r="D3746"/>
    </row>
    <row r="3747" spans="1:4" x14ac:dyDescent="0.2">
      <c r="A3747"/>
      <c r="B3747"/>
      <c r="C3747"/>
      <c r="D3747"/>
    </row>
    <row r="3748" spans="1:4" x14ac:dyDescent="0.2">
      <c r="A3748"/>
      <c r="B3748"/>
      <c r="C3748"/>
      <c r="D3748"/>
    </row>
    <row r="3749" spans="1:4" x14ac:dyDescent="0.2">
      <c r="A3749"/>
      <c r="B3749"/>
      <c r="C3749"/>
      <c r="D3749"/>
    </row>
    <row r="3750" spans="1:4" x14ac:dyDescent="0.2">
      <c r="A3750"/>
      <c r="B3750"/>
      <c r="C3750"/>
      <c r="D3750"/>
    </row>
    <row r="3751" spans="1:4" x14ac:dyDescent="0.2">
      <c r="A3751"/>
      <c r="B3751"/>
      <c r="C3751"/>
      <c r="D3751"/>
    </row>
    <row r="3752" spans="1:4" x14ac:dyDescent="0.2">
      <c r="A3752"/>
      <c r="B3752"/>
      <c r="C3752"/>
      <c r="D3752"/>
    </row>
    <row r="3753" spans="1:4" x14ac:dyDescent="0.2">
      <c r="A3753"/>
      <c r="B3753"/>
      <c r="C3753"/>
      <c r="D3753"/>
    </row>
    <row r="3754" spans="1:4" x14ac:dyDescent="0.2">
      <c r="A3754"/>
      <c r="B3754"/>
      <c r="C3754"/>
      <c r="D3754"/>
    </row>
    <row r="3755" spans="1:4" x14ac:dyDescent="0.2">
      <c r="A3755"/>
      <c r="B3755"/>
      <c r="C3755"/>
      <c r="D3755"/>
    </row>
    <row r="3756" spans="1:4" x14ac:dyDescent="0.2">
      <c r="A3756"/>
      <c r="B3756"/>
      <c r="C3756"/>
      <c r="D3756"/>
    </row>
    <row r="3757" spans="1:4" x14ac:dyDescent="0.2">
      <c r="A3757"/>
      <c r="B3757"/>
      <c r="C3757"/>
      <c r="D3757"/>
    </row>
    <row r="3758" spans="1:4" x14ac:dyDescent="0.2">
      <c r="A3758"/>
      <c r="B3758"/>
      <c r="C3758"/>
      <c r="D3758"/>
    </row>
    <row r="3759" spans="1:4" x14ac:dyDescent="0.2">
      <c r="A3759"/>
      <c r="B3759"/>
      <c r="C3759"/>
      <c r="D3759"/>
    </row>
    <row r="3760" spans="1:4" x14ac:dyDescent="0.2">
      <c r="A3760"/>
      <c r="B3760"/>
      <c r="C3760"/>
      <c r="D3760"/>
    </row>
    <row r="3761" spans="1:4" x14ac:dyDescent="0.2">
      <c r="A3761"/>
      <c r="B3761"/>
      <c r="C3761"/>
      <c r="D3761"/>
    </row>
    <row r="3762" spans="1:4" x14ac:dyDescent="0.2">
      <c r="A3762"/>
      <c r="B3762"/>
      <c r="C3762"/>
      <c r="D3762"/>
    </row>
    <row r="3763" spans="1:4" x14ac:dyDescent="0.2">
      <c r="A3763"/>
      <c r="B3763"/>
      <c r="C3763"/>
      <c r="D3763"/>
    </row>
    <row r="3764" spans="1:4" x14ac:dyDescent="0.2">
      <c r="A3764"/>
      <c r="B3764"/>
      <c r="C3764"/>
      <c r="D3764"/>
    </row>
    <row r="3765" spans="1:4" x14ac:dyDescent="0.2">
      <c r="A3765"/>
      <c r="B3765"/>
      <c r="C3765"/>
      <c r="D3765"/>
    </row>
    <row r="3766" spans="1:4" x14ac:dyDescent="0.2">
      <c r="A3766"/>
      <c r="B3766"/>
      <c r="C3766"/>
      <c r="D3766"/>
    </row>
    <row r="3767" spans="1:4" x14ac:dyDescent="0.2">
      <c r="A3767"/>
      <c r="B3767"/>
      <c r="C3767"/>
      <c r="D3767"/>
    </row>
    <row r="3768" spans="1:4" x14ac:dyDescent="0.2">
      <c r="A3768"/>
      <c r="B3768"/>
      <c r="C3768"/>
      <c r="D3768"/>
    </row>
    <row r="3769" spans="1:4" x14ac:dyDescent="0.2">
      <c r="A3769"/>
      <c r="B3769"/>
      <c r="C3769"/>
      <c r="D3769"/>
    </row>
    <row r="3770" spans="1:4" x14ac:dyDescent="0.2">
      <c r="A3770"/>
      <c r="B3770"/>
      <c r="C3770"/>
      <c r="D3770"/>
    </row>
    <row r="3771" spans="1:4" x14ac:dyDescent="0.2">
      <c r="A3771"/>
      <c r="B3771"/>
      <c r="C3771"/>
      <c r="D3771"/>
    </row>
    <row r="3772" spans="1:4" x14ac:dyDescent="0.2">
      <c r="A3772"/>
      <c r="B3772"/>
      <c r="C3772"/>
      <c r="D3772"/>
    </row>
    <row r="3773" spans="1:4" x14ac:dyDescent="0.2">
      <c r="A3773"/>
      <c r="B3773"/>
      <c r="C3773"/>
      <c r="D3773"/>
    </row>
    <row r="3774" spans="1:4" x14ac:dyDescent="0.2">
      <c r="A3774"/>
      <c r="B3774"/>
      <c r="C3774"/>
      <c r="D3774"/>
    </row>
    <row r="3775" spans="1:4" x14ac:dyDescent="0.2">
      <c r="A3775"/>
      <c r="B3775"/>
      <c r="C3775"/>
      <c r="D3775"/>
    </row>
    <row r="3776" spans="1:4" x14ac:dyDescent="0.2">
      <c r="A3776"/>
      <c r="B3776"/>
      <c r="C3776"/>
      <c r="D3776"/>
    </row>
    <row r="3777" spans="1:4" x14ac:dyDescent="0.2">
      <c r="A3777"/>
      <c r="B3777"/>
      <c r="C3777"/>
      <c r="D3777"/>
    </row>
    <row r="3778" spans="1:4" x14ac:dyDescent="0.2">
      <c r="A3778"/>
      <c r="B3778"/>
      <c r="C3778"/>
      <c r="D3778"/>
    </row>
    <row r="3779" spans="1:4" x14ac:dyDescent="0.2">
      <c r="A3779"/>
      <c r="B3779"/>
      <c r="C3779"/>
      <c r="D3779"/>
    </row>
    <row r="3780" spans="1:4" x14ac:dyDescent="0.2">
      <c r="A3780"/>
      <c r="B3780"/>
      <c r="C3780"/>
      <c r="D3780"/>
    </row>
    <row r="3781" spans="1:4" x14ac:dyDescent="0.2">
      <c r="A3781"/>
      <c r="B3781"/>
      <c r="C3781"/>
      <c r="D3781"/>
    </row>
    <row r="3782" spans="1:4" x14ac:dyDescent="0.2">
      <c r="A3782"/>
      <c r="B3782"/>
      <c r="C3782"/>
      <c r="D3782"/>
    </row>
    <row r="3783" spans="1:4" x14ac:dyDescent="0.2">
      <c r="A3783"/>
      <c r="B3783"/>
      <c r="C3783"/>
      <c r="D3783"/>
    </row>
    <row r="3784" spans="1:4" x14ac:dyDescent="0.2">
      <c r="A3784"/>
      <c r="B3784"/>
      <c r="C3784"/>
      <c r="D3784"/>
    </row>
    <row r="3785" spans="1:4" x14ac:dyDescent="0.2">
      <c r="A3785"/>
      <c r="B3785"/>
      <c r="C3785"/>
      <c r="D3785"/>
    </row>
    <row r="3786" spans="1:4" x14ac:dyDescent="0.2">
      <c r="A3786"/>
      <c r="B3786"/>
      <c r="C3786"/>
      <c r="D3786"/>
    </row>
    <row r="3787" spans="1:4" x14ac:dyDescent="0.2">
      <c r="A3787"/>
      <c r="B3787"/>
      <c r="C3787"/>
      <c r="D3787"/>
    </row>
    <row r="3788" spans="1:4" x14ac:dyDescent="0.2">
      <c r="A3788"/>
      <c r="B3788"/>
      <c r="C3788"/>
      <c r="D3788"/>
    </row>
    <row r="3789" spans="1:4" x14ac:dyDescent="0.2">
      <c r="A3789"/>
      <c r="B3789"/>
      <c r="C3789"/>
      <c r="D3789"/>
    </row>
    <row r="3790" spans="1:4" x14ac:dyDescent="0.2">
      <c r="A3790"/>
      <c r="B3790"/>
      <c r="C3790"/>
      <c r="D3790"/>
    </row>
    <row r="3791" spans="1:4" x14ac:dyDescent="0.2">
      <c r="A3791"/>
      <c r="B3791"/>
      <c r="C3791"/>
      <c r="D3791"/>
    </row>
    <row r="3792" spans="1:4" x14ac:dyDescent="0.2">
      <c r="A3792"/>
      <c r="B3792"/>
      <c r="C3792"/>
      <c r="D3792"/>
    </row>
    <row r="3793" spans="1:4" x14ac:dyDescent="0.2">
      <c r="A3793"/>
      <c r="B3793"/>
      <c r="C3793"/>
      <c r="D3793"/>
    </row>
    <row r="3794" spans="1:4" x14ac:dyDescent="0.2">
      <c r="A3794"/>
      <c r="B3794"/>
      <c r="C3794"/>
      <c r="D3794"/>
    </row>
    <row r="3795" spans="1:4" x14ac:dyDescent="0.2">
      <c r="A3795"/>
      <c r="B3795"/>
      <c r="C3795"/>
      <c r="D3795"/>
    </row>
    <row r="3796" spans="1:4" x14ac:dyDescent="0.2">
      <c r="A3796"/>
      <c r="B3796"/>
      <c r="C3796"/>
      <c r="D3796"/>
    </row>
    <row r="3797" spans="1:4" x14ac:dyDescent="0.2">
      <c r="A3797"/>
      <c r="B3797"/>
      <c r="C3797"/>
      <c r="D3797"/>
    </row>
    <row r="3798" spans="1:4" x14ac:dyDescent="0.2">
      <c r="A3798"/>
      <c r="B3798"/>
      <c r="C3798"/>
      <c r="D3798"/>
    </row>
    <row r="3799" spans="1:4" x14ac:dyDescent="0.2">
      <c r="A3799"/>
      <c r="B3799"/>
      <c r="C3799"/>
      <c r="D3799"/>
    </row>
    <row r="3800" spans="1:4" x14ac:dyDescent="0.2">
      <c r="A3800"/>
      <c r="B3800"/>
      <c r="C3800"/>
      <c r="D3800"/>
    </row>
    <row r="3801" spans="1:4" x14ac:dyDescent="0.2">
      <c r="A3801"/>
      <c r="B3801"/>
      <c r="C3801"/>
      <c r="D3801"/>
    </row>
    <row r="3802" spans="1:4" x14ac:dyDescent="0.2">
      <c r="A3802"/>
      <c r="B3802"/>
      <c r="C3802"/>
      <c r="D3802"/>
    </row>
    <row r="3803" spans="1:4" x14ac:dyDescent="0.2">
      <c r="A3803"/>
      <c r="B3803"/>
      <c r="C3803"/>
      <c r="D3803"/>
    </row>
    <row r="3804" spans="1:4" x14ac:dyDescent="0.2">
      <c r="A3804"/>
      <c r="B3804"/>
      <c r="C3804"/>
      <c r="D3804"/>
    </row>
    <row r="3805" spans="1:4" x14ac:dyDescent="0.2">
      <c r="A3805"/>
      <c r="B3805"/>
      <c r="C3805"/>
      <c r="D3805"/>
    </row>
    <row r="3806" spans="1:4" x14ac:dyDescent="0.2">
      <c r="A3806"/>
      <c r="B3806"/>
      <c r="C3806"/>
      <c r="D3806"/>
    </row>
    <row r="3807" spans="1:4" x14ac:dyDescent="0.2">
      <c r="A3807"/>
      <c r="B3807"/>
      <c r="C3807"/>
      <c r="D3807"/>
    </row>
    <row r="3808" spans="1:4" x14ac:dyDescent="0.2">
      <c r="A3808"/>
      <c r="B3808"/>
      <c r="C3808"/>
      <c r="D3808"/>
    </row>
    <row r="3809" spans="1:4" x14ac:dyDescent="0.2">
      <c r="A3809"/>
      <c r="B3809"/>
      <c r="C3809"/>
      <c r="D3809"/>
    </row>
    <row r="3810" spans="1:4" x14ac:dyDescent="0.2">
      <c r="A3810"/>
      <c r="B3810"/>
      <c r="C3810"/>
      <c r="D3810"/>
    </row>
    <row r="3811" spans="1:4" x14ac:dyDescent="0.2">
      <c r="A3811"/>
      <c r="B3811"/>
      <c r="C3811"/>
      <c r="D3811"/>
    </row>
    <row r="3812" spans="1:4" x14ac:dyDescent="0.2">
      <c r="A3812"/>
      <c r="B3812"/>
      <c r="C3812"/>
      <c r="D3812"/>
    </row>
    <row r="3813" spans="1:4" x14ac:dyDescent="0.2">
      <c r="A3813"/>
      <c r="B3813"/>
      <c r="C3813"/>
      <c r="D3813"/>
    </row>
    <row r="3814" spans="1:4" x14ac:dyDescent="0.2">
      <c r="A3814"/>
      <c r="B3814"/>
      <c r="C3814"/>
      <c r="D3814"/>
    </row>
    <row r="3815" spans="1:4" x14ac:dyDescent="0.2">
      <c r="A3815"/>
      <c r="B3815"/>
      <c r="C3815"/>
      <c r="D3815"/>
    </row>
    <row r="3816" spans="1:4" x14ac:dyDescent="0.2">
      <c r="A3816"/>
      <c r="B3816"/>
      <c r="C3816"/>
      <c r="D3816"/>
    </row>
    <row r="3817" spans="1:4" x14ac:dyDescent="0.2">
      <c r="A3817"/>
      <c r="B3817"/>
      <c r="C3817"/>
      <c r="D3817"/>
    </row>
    <row r="3818" spans="1:4" x14ac:dyDescent="0.2">
      <c r="A3818"/>
      <c r="B3818"/>
      <c r="C3818"/>
      <c r="D3818"/>
    </row>
    <row r="3819" spans="1:4" x14ac:dyDescent="0.2">
      <c r="A3819"/>
      <c r="B3819"/>
      <c r="C3819"/>
      <c r="D3819"/>
    </row>
    <row r="3820" spans="1:4" x14ac:dyDescent="0.2">
      <c r="A3820"/>
      <c r="B3820"/>
      <c r="C3820"/>
      <c r="D3820"/>
    </row>
    <row r="3821" spans="1:4" x14ac:dyDescent="0.2">
      <c r="A3821"/>
      <c r="B3821"/>
      <c r="C3821"/>
      <c r="D3821"/>
    </row>
    <row r="3822" spans="1:4" x14ac:dyDescent="0.2">
      <c r="A3822"/>
      <c r="B3822"/>
      <c r="C3822"/>
      <c r="D3822"/>
    </row>
    <row r="3823" spans="1:4" x14ac:dyDescent="0.2">
      <c r="A3823"/>
      <c r="B3823"/>
      <c r="C3823"/>
      <c r="D3823"/>
    </row>
    <row r="3824" spans="1:4" x14ac:dyDescent="0.2">
      <c r="A3824"/>
      <c r="B3824"/>
      <c r="C3824"/>
      <c r="D3824"/>
    </row>
    <row r="3825" spans="1:4" x14ac:dyDescent="0.2">
      <c r="A3825"/>
      <c r="B3825"/>
      <c r="C3825"/>
      <c r="D3825"/>
    </row>
    <row r="3826" spans="1:4" x14ac:dyDescent="0.2">
      <c r="A3826"/>
      <c r="B3826"/>
      <c r="C3826"/>
      <c r="D3826"/>
    </row>
    <row r="3827" spans="1:4" x14ac:dyDescent="0.2">
      <c r="A3827"/>
      <c r="B3827"/>
      <c r="C3827"/>
      <c r="D3827"/>
    </row>
    <row r="3828" spans="1:4" x14ac:dyDescent="0.2">
      <c r="A3828"/>
      <c r="B3828"/>
      <c r="C3828"/>
      <c r="D3828"/>
    </row>
    <row r="3829" spans="1:4" x14ac:dyDescent="0.2">
      <c r="A3829"/>
      <c r="B3829"/>
      <c r="C3829"/>
      <c r="D3829"/>
    </row>
    <row r="3830" spans="1:4" x14ac:dyDescent="0.2">
      <c r="A3830"/>
      <c r="B3830"/>
      <c r="C3830"/>
      <c r="D3830"/>
    </row>
    <row r="3831" spans="1:4" x14ac:dyDescent="0.2">
      <c r="A3831"/>
      <c r="B3831"/>
      <c r="C3831"/>
      <c r="D3831"/>
    </row>
    <row r="3832" spans="1:4" x14ac:dyDescent="0.2">
      <c r="A3832"/>
      <c r="B3832"/>
      <c r="C3832"/>
      <c r="D3832"/>
    </row>
    <row r="3833" spans="1:4" x14ac:dyDescent="0.2">
      <c r="A3833"/>
      <c r="B3833"/>
      <c r="C3833"/>
      <c r="D3833"/>
    </row>
    <row r="3834" spans="1:4" x14ac:dyDescent="0.2">
      <c r="A3834"/>
      <c r="B3834"/>
      <c r="C3834"/>
      <c r="D3834"/>
    </row>
    <row r="3835" spans="1:4" x14ac:dyDescent="0.2">
      <c r="A3835"/>
      <c r="B3835"/>
      <c r="C3835"/>
      <c r="D3835"/>
    </row>
    <row r="3836" spans="1:4" x14ac:dyDescent="0.2">
      <c r="A3836"/>
      <c r="B3836"/>
      <c r="C3836"/>
      <c r="D3836"/>
    </row>
    <row r="3837" spans="1:4" x14ac:dyDescent="0.2">
      <c r="A3837"/>
      <c r="B3837"/>
      <c r="C3837"/>
      <c r="D3837"/>
    </row>
    <row r="3838" spans="1:4" x14ac:dyDescent="0.2">
      <c r="A3838"/>
      <c r="B3838"/>
      <c r="C3838"/>
      <c r="D3838"/>
    </row>
    <row r="3839" spans="1:4" x14ac:dyDescent="0.2">
      <c r="A3839"/>
      <c r="B3839"/>
      <c r="C3839"/>
      <c r="D3839"/>
    </row>
    <row r="3840" spans="1:4" x14ac:dyDescent="0.2">
      <c r="A3840"/>
      <c r="B3840"/>
      <c r="C3840"/>
      <c r="D3840"/>
    </row>
    <row r="3841" spans="1:4" x14ac:dyDescent="0.2">
      <c r="A3841"/>
      <c r="B3841"/>
      <c r="C3841"/>
      <c r="D3841"/>
    </row>
    <row r="3842" spans="1:4" x14ac:dyDescent="0.2">
      <c r="A3842"/>
      <c r="B3842"/>
      <c r="C3842"/>
      <c r="D3842"/>
    </row>
    <row r="3843" spans="1:4" x14ac:dyDescent="0.2">
      <c r="A3843"/>
      <c r="B3843"/>
      <c r="C3843"/>
      <c r="D3843"/>
    </row>
    <row r="3844" spans="1:4" x14ac:dyDescent="0.2">
      <c r="A3844"/>
      <c r="B3844"/>
      <c r="C3844"/>
      <c r="D3844"/>
    </row>
    <row r="3845" spans="1:4" x14ac:dyDescent="0.2">
      <c r="A3845"/>
      <c r="B3845"/>
      <c r="C3845"/>
      <c r="D3845"/>
    </row>
    <row r="3846" spans="1:4" x14ac:dyDescent="0.2">
      <c r="A3846"/>
      <c r="B3846"/>
      <c r="C3846"/>
      <c r="D3846"/>
    </row>
    <row r="3847" spans="1:4" x14ac:dyDescent="0.2">
      <c r="A3847"/>
      <c r="B3847"/>
      <c r="C3847"/>
      <c r="D3847"/>
    </row>
    <row r="3848" spans="1:4" x14ac:dyDescent="0.2">
      <c r="A3848"/>
      <c r="B3848"/>
      <c r="C3848"/>
      <c r="D3848"/>
    </row>
    <row r="3849" spans="1:4" x14ac:dyDescent="0.2">
      <c r="A3849"/>
      <c r="B3849"/>
      <c r="C3849"/>
      <c r="D3849"/>
    </row>
    <row r="3850" spans="1:4" x14ac:dyDescent="0.2">
      <c r="A3850"/>
      <c r="B3850"/>
      <c r="C3850"/>
      <c r="D3850"/>
    </row>
    <row r="3851" spans="1:4" x14ac:dyDescent="0.2">
      <c r="A3851"/>
      <c r="B3851"/>
      <c r="C3851"/>
      <c r="D3851"/>
    </row>
    <row r="3852" spans="1:4" x14ac:dyDescent="0.2">
      <c r="A3852"/>
      <c r="B3852"/>
      <c r="C3852"/>
      <c r="D3852"/>
    </row>
    <row r="3853" spans="1:4" x14ac:dyDescent="0.2">
      <c r="A3853"/>
      <c r="B3853"/>
      <c r="C3853"/>
      <c r="D3853"/>
    </row>
    <row r="3854" spans="1:4" x14ac:dyDescent="0.2">
      <c r="A3854"/>
      <c r="B3854"/>
      <c r="C3854"/>
      <c r="D3854"/>
    </row>
    <row r="3855" spans="1:4" x14ac:dyDescent="0.2">
      <c r="A3855"/>
      <c r="B3855"/>
      <c r="C3855"/>
      <c r="D3855"/>
    </row>
    <row r="3856" spans="1:4" x14ac:dyDescent="0.2">
      <c r="A3856"/>
      <c r="B3856"/>
      <c r="C3856"/>
      <c r="D3856"/>
    </row>
    <row r="3857" spans="1:4" x14ac:dyDescent="0.2">
      <c r="A3857"/>
      <c r="B3857"/>
      <c r="C3857"/>
      <c r="D3857"/>
    </row>
    <row r="3858" spans="1:4" x14ac:dyDescent="0.2">
      <c r="A3858"/>
      <c r="B3858"/>
      <c r="C3858"/>
      <c r="D3858"/>
    </row>
    <row r="3859" spans="1:4" x14ac:dyDescent="0.2">
      <c r="A3859"/>
      <c r="B3859"/>
      <c r="C3859"/>
      <c r="D3859"/>
    </row>
    <row r="3860" spans="1:4" x14ac:dyDescent="0.2">
      <c r="A3860"/>
      <c r="B3860"/>
      <c r="C3860"/>
      <c r="D3860"/>
    </row>
    <row r="3861" spans="1:4" x14ac:dyDescent="0.2">
      <c r="A3861"/>
      <c r="B3861"/>
      <c r="C3861"/>
      <c r="D3861"/>
    </row>
    <row r="3862" spans="1:4" x14ac:dyDescent="0.2">
      <c r="A3862"/>
      <c r="B3862"/>
      <c r="C3862"/>
      <c r="D3862"/>
    </row>
    <row r="3863" spans="1:4" x14ac:dyDescent="0.2">
      <c r="A3863"/>
      <c r="B3863"/>
      <c r="C3863"/>
      <c r="D3863"/>
    </row>
    <row r="3864" spans="1:4" x14ac:dyDescent="0.2">
      <c r="A3864"/>
      <c r="B3864"/>
      <c r="C3864"/>
      <c r="D3864"/>
    </row>
    <row r="3865" spans="1:4" x14ac:dyDescent="0.2">
      <c r="A3865"/>
      <c r="B3865"/>
      <c r="C3865"/>
      <c r="D3865"/>
    </row>
    <row r="3866" spans="1:4" x14ac:dyDescent="0.2">
      <c r="A3866"/>
      <c r="B3866"/>
      <c r="C3866"/>
      <c r="D3866"/>
    </row>
    <row r="3867" spans="1:4" x14ac:dyDescent="0.2">
      <c r="A3867"/>
      <c r="B3867"/>
      <c r="C3867"/>
      <c r="D3867"/>
    </row>
    <row r="3868" spans="1:4" x14ac:dyDescent="0.2">
      <c r="A3868"/>
      <c r="B3868"/>
      <c r="C3868"/>
      <c r="D3868"/>
    </row>
    <row r="3869" spans="1:4" x14ac:dyDescent="0.2">
      <c r="A3869"/>
      <c r="B3869"/>
      <c r="C3869"/>
      <c r="D3869"/>
    </row>
    <row r="3870" spans="1:4" x14ac:dyDescent="0.2">
      <c r="A3870"/>
      <c r="B3870"/>
      <c r="C3870"/>
      <c r="D3870"/>
    </row>
    <row r="3871" spans="1:4" x14ac:dyDescent="0.2">
      <c r="A3871"/>
      <c r="B3871"/>
      <c r="C3871"/>
      <c r="D3871"/>
    </row>
    <row r="3872" spans="1:4" x14ac:dyDescent="0.2">
      <c r="A3872"/>
      <c r="B3872"/>
      <c r="C3872"/>
      <c r="D3872"/>
    </row>
    <row r="3873" spans="1:4" x14ac:dyDescent="0.2">
      <c r="A3873"/>
      <c r="B3873"/>
      <c r="C3873"/>
      <c r="D3873"/>
    </row>
    <row r="3874" spans="1:4" x14ac:dyDescent="0.2">
      <c r="A3874"/>
      <c r="B3874"/>
      <c r="C3874"/>
      <c r="D3874"/>
    </row>
    <row r="3875" spans="1:4" x14ac:dyDescent="0.2">
      <c r="A3875"/>
      <c r="B3875"/>
      <c r="C3875"/>
      <c r="D3875"/>
    </row>
    <row r="3876" spans="1:4" x14ac:dyDescent="0.2">
      <c r="A3876"/>
      <c r="B3876"/>
      <c r="C3876"/>
      <c r="D3876"/>
    </row>
    <row r="3877" spans="1:4" x14ac:dyDescent="0.2">
      <c r="A3877"/>
      <c r="B3877"/>
      <c r="C3877"/>
      <c r="D3877"/>
    </row>
    <row r="3878" spans="1:4" x14ac:dyDescent="0.2">
      <c r="A3878"/>
      <c r="B3878"/>
      <c r="C3878"/>
      <c r="D3878"/>
    </row>
    <row r="3879" spans="1:4" x14ac:dyDescent="0.2">
      <c r="A3879"/>
      <c r="B3879"/>
      <c r="C3879"/>
      <c r="D3879"/>
    </row>
    <row r="3880" spans="1:4" x14ac:dyDescent="0.2">
      <c r="A3880"/>
      <c r="B3880"/>
      <c r="C3880"/>
      <c r="D3880"/>
    </row>
    <row r="3881" spans="1:4" x14ac:dyDescent="0.2">
      <c r="A3881"/>
      <c r="B3881"/>
      <c r="C3881"/>
      <c r="D3881"/>
    </row>
    <row r="3882" spans="1:4" x14ac:dyDescent="0.2">
      <c r="A3882"/>
      <c r="B3882"/>
      <c r="C3882"/>
      <c r="D3882"/>
    </row>
    <row r="3883" spans="1:4" x14ac:dyDescent="0.2">
      <c r="A3883"/>
      <c r="B3883"/>
      <c r="C3883"/>
      <c r="D3883"/>
    </row>
    <row r="3884" spans="1:4" x14ac:dyDescent="0.2">
      <c r="A3884"/>
      <c r="B3884"/>
      <c r="C3884"/>
      <c r="D3884"/>
    </row>
    <row r="3885" spans="1:4" x14ac:dyDescent="0.2">
      <c r="A3885"/>
      <c r="B3885"/>
      <c r="C3885"/>
      <c r="D3885"/>
    </row>
    <row r="3886" spans="1:4" x14ac:dyDescent="0.2">
      <c r="A3886"/>
      <c r="B3886"/>
      <c r="C3886"/>
      <c r="D3886"/>
    </row>
    <row r="3887" spans="1:4" x14ac:dyDescent="0.2">
      <c r="A3887"/>
      <c r="B3887"/>
      <c r="C3887"/>
      <c r="D3887"/>
    </row>
    <row r="3888" spans="1:4" x14ac:dyDescent="0.2">
      <c r="A3888"/>
      <c r="B3888"/>
      <c r="C3888"/>
      <c r="D3888"/>
    </row>
    <row r="3889" spans="1:4" x14ac:dyDescent="0.2">
      <c r="A3889"/>
      <c r="B3889"/>
      <c r="C3889"/>
      <c r="D3889"/>
    </row>
    <row r="3890" spans="1:4" x14ac:dyDescent="0.2">
      <c r="A3890"/>
      <c r="B3890"/>
      <c r="C3890"/>
      <c r="D3890"/>
    </row>
    <row r="3891" spans="1:4" x14ac:dyDescent="0.2">
      <c r="A3891"/>
      <c r="B3891"/>
      <c r="C3891"/>
      <c r="D3891"/>
    </row>
    <row r="3892" spans="1:4" x14ac:dyDescent="0.2">
      <c r="A3892"/>
      <c r="B3892"/>
      <c r="C3892"/>
      <c r="D3892"/>
    </row>
    <row r="3893" spans="1:4" x14ac:dyDescent="0.2">
      <c r="A3893"/>
      <c r="B3893"/>
      <c r="C3893"/>
      <c r="D3893"/>
    </row>
    <row r="3894" spans="1:4" x14ac:dyDescent="0.2">
      <c r="A3894"/>
      <c r="B3894"/>
      <c r="C3894"/>
      <c r="D3894"/>
    </row>
    <row r="3895" spans="1:4" x14ac:dyDescent="0.2">
      <c r="A3895"/>
      <c r="B3895"/>
      <c r="C3895"/>
      <c r="D3895"/>
    </row>
    <row r="3896" spans="1:4" x14ac:dyDescent="0.2">
      <c r="A3896"/>
      <c r="B3896"/>
      <c r="C3896"/>
      <c r="D3896"/>
    </row>
    <row r="3897" spans="1:4" x14ac:dyDescent="0.2">
      <c r="A3897"/>
      <c r="B3897"/>
      <c r="C3897"/>
      <c r="D3897"/>
    </row>
    <row r="3898" spans="1:4" x14ac:dyDescent="0.2">
      <c r="A3898"/>
      <c r="B3898"/>
      <c r="C3898"/>
      <c r="D3898"/>
    </row>
    <row r="3899" spans="1:4" x14ac:dyDescent="0.2">
      <c r="A3899"/>
      <c r="B3899"/>
      <c r="C3899"/>
      <c r="D3899"/>
    </row>
    <row r="3900" spans="1:4" x14ac:dyDescent="0.2">
      <c r="A3900"/>
      <c r="B3900"/>
      <c r="C3900"/>
      <c r="D3900"/>
    </row>
    <row r="3901" spans="1:4" x14ac:dyDescent="0.2">
      <c r="A3901"/>
      <c r="B3901"/>
      <c r="C3901"/>
      <c r="D3901"/>
    </row>
    <row r="3902" spans="1:4" x14ac:dyDescent="0.2">
      <c r="A3902"/>
      <c r="B3902"/>
      <c r="C3902"/>
      <c r="D3902"/>
    </row>
    <row r="3903" spans="1:4" x14ac:dyDescent="0.2">
      <c r="A3903"/>
      <c r="B3903"/>
      <c r="C3903"/>
      <c r="D3903"/>
    </row>
    <row r="3904" spans="1:4" x14ac:dyDescent="0.2">
      <c r="A3904"/>
      <c r="B3904"/>
      <c r="C3904"/>
      <c r="D3904"/>
    </row>
    <row r="3905" spans="1:4" x14ac:dyDescent="0.2">
      <c r="A3905"/>
      <c r="B3905"/>
      <c r="C3905"/>
      <c r="D3905"/>
    </row>
    <row r="3906" spans="1:4" x14ac:dyDescent="0.2">
      <c r="A3906"/>
      <c r="B3906"/>
      <c r="C3906"/>
      <c r="D3906"/>
    </row>
    <row r="3907" spans="1:4" x14ac:dyDescent="0.2">
      <c r="A3907"/>
      <c r="B3907"/>
      <c r="C3907"/>
      <c r="D3907"/>
    </row>
    <row r="3908" spans="1:4" x14ac:dyDescent="0.2">
      <c r="A3908"/>
      <c r="B3908"/>
      <c r="C3908"/>
      <c r="D3908"/>
    </row>
    <row r="3909" spans="1:4" x14ac:dyDescent="0.2">
      <c r="A3909"/>
      <c r="B3909"/>
      <c r="C3909"/>
      <c r="D3909"/>
    </row>
    <row r="3910" spans="1:4" x14ac:dyDescent="0.2">
      <c r="A3910"/>
      <c r="B3910"/>
      <c r="C3910"/>
      <c r="D3910"/>
    </row>
    <row r="3911" spans="1:4" x14ac:dyDescent="0.2">
      <c r="A3911"/>
      <c r="B3911"/>
      <c r="C3911"/>
      <c r="D3911"/>
    </row>
    <row r="3912" spans="1:4" x14ac:dyDescent="0.2">
      <c r="A3912"/>
      <c r="B3912"/>
      <c r="C3912"/>
      <c r="D3912"/>
    </row>
    <row r="3913" spans="1:4" x14ac:dyDescent="0.2">
      <c r="A3913"/>
      <c r="B3913"/>
      <c r="C3913"/>
      <c r="D3913"/>
    </row>
    <row r="3914" spans="1:4" x14ac:dyDescent="0.2">
      <c r="A3914"/>
      <c r="B3914"/>
      <c r="C3914"/>
      <c r="D3914"/>
    </row>
    <row r="3915" spans="1:4" x14ac:dyDescent="0.2">
      <c r="A3915"/>
      <c r="B3915"/>
      <c r="C3915"/>
      <c r="D3915"/>
    </row>
    <row r="3916" spans="1:4" x14ac:dyDescent="0.2">
      <c r="A3916"/>
      <c r="B3916"/>
      <c r="C3916"/>
      <c r="D3916"/>
    </row>
    <row r="3917" spans="1:4" x14ac:dyDescent="0.2">
      <c r="A3917"/>
      <c r="B3917"/>
      <c r="C3917"/>
      <c r="D3917"/>
    </row>
    <row r="3918" spans="1:4" x14ac:dyDescent="0.2">
      <c r="A3918"/>
      <c r="B3918"/>
      <c r="C3918"/>
      <c r="D3918"/>
    </row>
    <row r="3919" spans="1:4" x14ac:dyDescent="0.2">
      <c r="A3919"/>
      <c r="B3919"/>
      <c r="C3919"/>
      <c r="D3919"/>
    </row>
    <row r="3920" spans="1:4" x14ac:dyDescent="0.2">
      <c r="A3920"/>
      <c r="B3920"/>
      <c r="C3920"/>
      <c r="D3920"/>
    </row>
    <row r="3921" spans="1:4" x14ac:dyDescent="0.2">
      <c r="A3921"/>
      <c r="B3921"/>
      <c r="C3921"/>
      <c r="D3921"/>
    </row>
    <row r="3922" spans="1:4" x14ac:dyDescent="0.2">
      <c r="A3922"/>
      <c r="B3922"/>
      <c r="C3922"/>
      <c r="D3922"/>
    </row>
    <row r="3923" spans="1:4" x14ac:dyDescent="0.2">
      <c r="A3923"/>
      <c r="B3923"/>
      <c r="C3923"/>
      <c r="D3923"/>
    </row>
    <row r="3924" spans="1:4" x14ac:dyDescent="0.2">
      <c r="A3924"/>
      <c r="B3924"/>
      <c r="C3924"/>
      <c r="D3924"/>
    </row>
    <row r="3925" spans="1:4" x14ac:dyDescent="0.2">
      <c r="A3925"/>
      <c r="B3925"/>
      <c r="C3925"/>
      <c r="D3925"/>
    </row>
    <row r="3926" spans="1:4" x14ac:dyDescent="0.2">
      <c r="A3926"/>
      <c r="B3926"/>
      <c r="C3926"/>
      <c r="D3926"/>
    </row>
    <row r="3927" spans="1:4" x14ac:dyDescent="0.2">
      <c r="A3927"/>
      <c r="B3927"/>
      <c r="C3927"/>
      <c r="D3927"/>
    </row>
    <row r="3928" spans="1:4" x14ac:dyDescent="0.2">
      <c r="A3928"/>
      <c r="B3928"/>
      <c r="C3928"/>
      <c r="D3928"/>
    </row>
    <row r="3929" spans="1:4" x14ac:dyDescent="0.2">
      <c r="A3929"/>
      <c r="B3929"/>
      <c r="C3929"/>
      <c r="D3929"/>
    </row>
    <row r="3930" spans="1:4" x14ac:dyDescent="0.2">
      <c r="A3930"/>
      <c r="B3930"/>
      <c r="C3930"/>
      <c r="D3930"/>
    </row>
    <row r="3931" spans="1:4" x14ac:dyDescent="0.2">
      <c r="A3931"/>
      <c r="B3931"/>
      <c r="C3931"/>
      <c r="D3931"/>
    </row>
    <row r="3932" spans="1:4" x14ac:dyDescent="0.2">
      <c r="A3932"/>
      <c r="B3932"/>
      <c r="C3932"/>
      <c r="D3932"/>
    </row>
    <row r="3933" spans="1:4" x14ac:dyDescent="0.2">
      <c r="A3933"/>
      <c r="B3933"/>
      <c r="C3933"/>
      <c r="D3933"/>
    </row>
    <row r="3934" spans="1:4" x14ac:dyDescent="0.2">
      <c r="A3934"/>
      <c r="B3934"/>
      <c r="C3934"/>
      <c r="D3934"/>
    </row>
    <row r="3935" spans="1:4" x14ac:dyDescent="0.2">
      <c r="A3935"/>
      <c r="B3935"/>
      <c r="C3935"/>
      <c r="D3935"/>
    </row>
    <row r="3936" spans="1:4" x14ac:dyDescent="0.2">
      <c r="A3936"/>
      <c r="B3936"/>
      <c r="C3936"/>
      <c r="D3936"/>
    </row>
    <row r="3937" spans="1:4" x14ac:dyDescent="0.2">
      <c r="A3937"/>
      <c r="B3937"/>
      <c r="C3937"/>
      <c r="D3937"/>
    </row>
    <row r="3938" spans="1:4" x14ac:dyDescent="0.2">
      <c r="A3938"/>
      <c r="B3938"/>
      <c r="C3938"/>
      <c r="D3938"/>
    </row>
    <row r="3939" spans="1:4" x14ac:dyDescent="0.2">
      <c r="A3939"/>
      <c r="B3939"/>
      <c r="C3939"/>
      <c r="D3939"/>
    </row>
    <row r="3940" spans="1:4" x14ac:dyDescent="0.2">
      <c r="A3940"/>
      <c r="B3940"/>
      <c r="C3940"/>
      <c r="D3940"/>
    </row>
    <row r="3941" spans="1:4" x14ac:dyDescent="0.2">
      <c r="A3941"/>
      <c r="B3941"/>
      <c r="C3941"/>
      <c r="D3941"/>
    </row>
    <row r="3942" spans="1:4" x14ac:dyDescent="0.2">
      <c r="A3942"/>
      <c r="B3942"/>
      <c r="C3942"/>
      <c r="D3942"/>
    </row>
    <row r="3943" spans="1:4" x14ac:dyDescent="0.2">
      <c r="A3943"/>
      <c r="B3943"/>
      <c r="C3943"/>
      <c r="D3943"/>
    </row>
    <row r="3944" spans="1:4" x14ac:dyDescent="0.2">
      <c r="A3944"/>
      <c r="B3944"/>
      <c r="C3944"/>
      <c r="D3944"/>
    </row>
    <row r="3945" spans="1:4" x14ac:dyDescent="0.2">
      <c r="A3945"/>
      <c r="B3945"/>
      <c r="C3945"/>
      <c r="D3945"/>
    </row>
    <row r="3946" spans="1:4" x14ac:dyDescent="0.2">
      <c r="A3946"/>
      <c r="B3946"/>
      <c r="C3946"/>
      <c r="D3946"/>
    </row>
    <row r="3947" spans="1:4" x14ac:dyDescent="0.2">
      <c r="A3947"/>
      <c r="B3947"/>
      <c r="C3947"/>
      <c r="D3947"/>
    </row>
    <row r="3948" spans="1:4" x14ac:dyDescent="0.2">
      <c r="A3948"/>
      <c r="B3948"/>
      <c r="C3948"/>
      <c r="D3948"/>
    </row>
    <row r="3949" spans="1:4" x14ac:dyDescent="0.2">
      <c r="A3949"/>
      <c r="B3949"/>
      <c r="C3949"/>
      <c r="D3949"/>
    </row>
    <row r="3950" spans="1:4" x14ac:dyDescent="0.2">
      <c r="A3950"/>
      <c r="B3950"/>
      <c r="C3950"/>
      <c r="D3950"/>
    </row>
    <row r="3951" spans="1:4" x14ac:dyDescent="0.2">
      <c r="A3951"/>
      <c r="B3951"/>
      <c r="C3951"/>
      <c r="D3951"/>
    </row>
    <row r="3952" spans="1:4" x14ac:dyDescent="0.2">
      <c r="A3952"/>
      <c r="B3952"/>
      <c r="C3952"/>
      <c r="D3952"/>
    </row>
    <row r="3953" spans="1:4" x14ac:dyDescent="0.2">
      <c r="A3953"/>
      <c r="B3953"/>
      <c r="C3953"/>
      <c r="D3953"/>
    </row>
    <row r="3954" spans="1:4" x14ac:dyDescent="0.2">
      <c r="A3954"/>
      <c r="B3954"/>
      <c r="C3954"/>
      <c r="D3954"/>
    </row>
    <row r="3955" spans="1:4" x14ac:dyDescent="0.2">
      <c r="A3955"/>
      <c r="B3955"/>
      <c r="C3955"/>
      <c r="D3955"/>
    </row>
    <row r="3956" spans="1:4" x14ac:dyDescent="0.2">
      <c r="A3956"/>
      <c r="B3956"/>
      <c r="C3956"/>
      <c r="D3956"/>
    </row>
    <row r="3957" spans="1:4" x14ac:dyDescent="0.2">
      <c r="A3957"/>
      <c r="B3957"/>
      <c r="C3957"/>
      <c r="D3957"/>
    </row>
    <row r="3958" spans="1:4" x14ac:dyDescent="0.2">
      <c r="A3958"/>
      <c r="B3958"/>
      <c r="C3958"/>
      <c r="D3958"/>
    </row>
    <row r="3959" spans="1:4" x14ac:dyDescent="0.2">
      <c r="A3959"/>
      <c r="B3959"/>
      <c r="C3959"/>
      <c r="D3959"/>
    </row>
    <row r="3960" spans="1:4" x14ac:dyDescent="0.2">
      <c r="A3960"/>
      <c r="B3960"/>
      <c r="C3960"/>
      <c r="D3960"/>
    </row>
    <row r="3961" spans="1:4" x14ac:dyDescent="0.2">
      <c r="A3961"/>
      <c r="B3961"/>
      <c r="C3961"/>
      <c r="D3961"/>
    </row>
    <row r="3962" spans="1:4" x14ac:dyDescent="0.2">
      <c r="A3962"/>
      <c r="B3962"/>
      <c r="C3962"/>
      <c r="D3962"/>
    </row>
    <row r="3963" spans="1:4" x14ac:dyDescent="0.2">
      <c r="A3963"/>
      <c r="B3963"/>
      <c r="C3963"/>
      <c r="D3963"/>
    </row>
    <row r="3964" spans="1:4" x14ac:dyDescent="0.2">
      <c r="A3964"/>
      <c r="B3964"/>
      <c r="C3964"/>
      <c r="D3964"/>
    </row>
    <row r="3965" spans="1:4" x14ac:dyDescent="0.2">
      <c r="A3965"/>
      <c r="B3965"/>
      <c r="C3965"/>
      <c r="D3965"/>
    </row>
    <row r="3966" spans="1:4" x14ac:dyDescent="0.2">
      <c r="A3966"/>
      <c r="B3966"/>
      <c r="C3966"/>
      <c r="D3966"/>
    </row>
    <row r="3967" spans="1:4" x14ac:dyDescent="0.2">
      <c r="A3967"/>
      <c r="B3967"/>
      <c r="C3967"/>
      <c r="D3967"/>
    </row>
    <row r="3968" spans="1:4" x14ac:dyDescent="0.2">
      <c r="A3968"/>
      <c r="B3968"/>
      <c r="C3968"/>
      <c r="D3968"/>
    </row>
    <row r="3969" spans="1:4" x14ac:dyDescent="0.2">
      <c r="A3969"/>
      <c r="B3969"/>
      <c r="C3969"/>
      <c r="D3969"/>
    </row>
    <row r="3970" spans="1:4" x14ac:dyDescent="0.2">
      <c r="A3970"/>
      <c r="B3970"/>
      <c r="C3970"/>
      <c r="D3970"/>
    </row>
    <row r="3971" spans="1:4" x14ac:dyDescent="0.2">
      <c r="A3971"/>
      <c r="B3971"/>
      <c r="C3971"/>
      <c r="D3971"/>
    </row>
    <row r="3972" spans="1:4" x14ac:dyDescent="0.2">
      <c r="A3972"/>
      <c r="B3972"/>
      <c r="C3972"/>
      <c r="D3972"/>
    </row>
    <row r="3973" spans="1:4" x14ac:dyDescent="0.2">
      <c r="A3973"/>
      <c r="B3973"/>
      <c r="C3973"/>
      <c r="D3973"/>
    </row>
    <row r="3974" spans="1:4" x14ac:dyDescent="0.2">
      <c r="A3974"/>
      <c r="B3974"/>
      <c r="C3974"/>
      <c r="D3974"/>
    </row>
    <row r="3975" spans="1:4" x14ac:dyDescent="0.2">
      <c r="A3975"/>
      <c r="B3975"/>
      <c r="C3975"/>
      <c r="D3975"/>
    </row>
    <row r="3976" spans="1:4" x14ac:dyDescent="0.2">
      <c r="A3976"/>
      <c r="B3976"/>
      <c r="C3976"/>
      <c r="D3976"/>
    </row>
    <row r="3977" spans="1:4" x14ac:dyDescent="0.2">
      <c r="A3977"/>
      <c r="B3977"/>
      <c r="C3977"/>
      <c r="D3977"/>
    </row>
    <row r="3978" spans="1:4" x14ac:dyDescent="0.2">
      <c r="A3978"/>
      <c r="B3978"/>
      <c r="C3978"/>
      <c r="D3978"/>
    </row>
    <row r="3979" spans="1:4" x14ac:dyDescent="0.2">
      <c r="A3979"/>
      <c r="B3979"/>
      <c r="C3979"/>
      <c r="D3979"/>
    </row>
    <row r="3980" spans="1:4" x14ac:dyDescent="0.2">
      <c r="A3980"/>
      <c r="B3980"/>
      <c r="C3980"/>
      <c r="D3980"/>
    </row>
    <row r="3981" spans="1:4" x14ac:dyDescent="0.2">
      <c r="A3981"/>
      <c r="B3981"/>
      <c r="C3981"/>
      <c r="D3981"/>
    </row>
    <row r="3982" spans="1:4" x14ac:dyDescent="0.2">
      <c r="A3982"/>
      <c r="B3982"/>
      <c r="C3982"/>
      <c r="D3982"/>
    </row>
    <row r="3983" spans="1:4" x14ac:dyDescent="0.2">
      <c r="A3983"/>
      <c r="B3983"/>
      <c r="C3983"/>
      <c r="D3983"/>
    </row>
    <row r="3984" spans="1:4" x14ac:dyDescent="0.2">
      <c r="A3984"/>
      <c r="B3984"/>
      <c r="C3984"/>
      <c r="D3984"/>
    </row>
    <row r="3985" spans="1:4" x14ac:dyDescent="0.2">
      <c r="A3985"/>
      <c r="B3985"/>
      <c r="C3985"/>
      <c r="D3985"/>
    </row>
    <row r="3986" spans="1:4" x14ac:dyDescent="0.2">
      <c r="A3986"/>
      <c r="B3986"/>
      <c r="C3986"/>
      <c r="D3986"/>
    </row>
    <row r="3987" spans="1:4" x14ac:dyDescent="0.2">
      <c r="A3987"/>
      <c r="B3987"/>
      <c r="C3987"/>
      <c r="D3987"/>
    </row>
    <row r="3988" spans="1:4" x14ac:dyDescent="0.2">
      <c r="A3988"/>
      <c r="B3988"/>
      <c r="C3988"/>
      <c r="D3988"/>
    </row>
    <row r="3989" spans="1:4" x14ac:dyDescent="0.2">
      <c r="A3989"/>
      <c r="B3989"/>
      <c r="C3989"/>
      <c r="D3989"/>
    </row>
    <row r="3990" spans="1:4" x14ac:dyDescent="0.2">
      <c r="A3990"/>
      <c r="B3990"/>
      <c r="C3990"/>
      <c r="D3990"/>
    </row>
    <row r="3991" spans="1:4" x14ac:dyDescent="0.2">
      <c r="A3991"/>
      <c r="B3991"/>
      <c r="C3991"/>
      <c r="D3991"/>
    </row>
    <row r="3992" spans="1:4" x14ac:dyDescent="0.2">
      <c r="A3992"/>
      <c r="B3992"/>
      <c r="C3992"/>
      <c r="D3992"/>
    </row>
    <row r="3993" spans="1:4" x14ac:dyDescent="0.2">
      <c r="A3993"/>
      <c r="B3993"/>
      <c r="C3993"/>
      <c r="D3993"/>
    </row>
    <row r="3994" spans="1:4" x14ac:dyDescent="0.2">
      <c r="A3994"/>
      <c r="B3994"/>
      <c r="C3994"/>
      <c r="D3994"/>
    </row>
    <row r="3995" spans="1:4" x14ac:dyDescent="0.2">
      <c r="A3995"/>
      <c r="B3995"/>
      <c r="C3995"/>
      <c r="D3995"/>
    </row>
    <row r="3996" spans="1:4" x14ac:dyDescent="0.2">
      <c r="A3996"/>
      <c r="B3996"/>
      <c r="C3996"/>
      <c r="D3996"/>
    </row>
    <row r="3997" spans="1:4" x14ac:dyDescent="0.2">
      <c r="A3997"/>
      <c r="B3997"/>
      <c r="C3997"/>
      <c r="D3997"/>
    </row>
    <row r="3998" spans="1:4" x14ac:dyDescent="0.2">
      <c r="A3998"/>
      <c r="B3998"/>
      <c r="C3998"/>
      <c r="D3998"/>
    </row>
    <row r="3999" spans="1:4" x14ac:dyDescent="0.2">
      <c r="A3999"/>
      <c r="B3999"/>
      <c r="C3999"/>
      <c r="D3999"/>
    </row>
    <row r="4000" spans="1:4" x14ac:dyDescent="0.2">
      <c r="A4000"/>
      <c r="B4000"/>
      <c r="C4000"/>
      <c r="D4000"/>
    </row>
    <row r="4001" spans="1:4" x14ac:dyDescent="0.2">
      <c r="A4001"/>
      <c r="B4001"/>
      <c r="C4001"/>
      <c r="D4001"/>
    </row>
    <row r="4002" spans="1:4" x14ac:dyDescent="0.2">
      <c r="A4002"/>
      <c r="B4002"/>
      <c r="C4002"/>
      <c r="D4002"/>
    </row>
    <row r="4003" spans="1:4" x14ac:dyDescent="0.2">
      <c r="A4003"/>
      <c r="B4003"/>
      <c r="C4003"/>
      <c r="D4003"/>
    </row>
    <row r="4004" spans="1:4" x14ac:dyDescent="0.2">
      <c r="A4004"/>
      <c r="B4004"/>
      <c r="C4004"/>
      <c r="D4004"/>
    </row>
    <row r="4005" spans="1:4" x14ac:dyDescent="0.2">
      <c r="A4005"/>
      <c r="B4005"/>
      <c r="C4005"/>
      <c r="D4005"/>
    </row>
    <row r="4006" spans="1:4" x14ac:dyDescent="0.2">
      <c r="A4006"/>
      <c r="B4006"/>
      <c r="C4006"/>
      <c r="D4006"/>
    </row>
    <row r="4007" spans="1:4" x14ac:dyDescent="0.2">
      <c r="A4007"/>
      <c r="B4007"/>
      <c r="C4007"/>
      <c r="D4007"/>
    </row>
    <row r="4008" spans="1:4" x14ac:dyDescent="0.2">
      <c r="A4008"/>
      <c r="B4008"/>
      <c r="C4008"/>
      <c r="D4008"/>
    </row>
    <row r="4009" spans="1:4" x14ac:dyDescent="0.2">
      <c r="A4009"/>
      <c r="B4009"/>
      <c r="C4009"/>
      <c r="D4009"/>
    </row>
    <row r="4010" spans="1:4" x14ac:dyDescent="0.2">
      <c r="A4010"/>
      <c r="B4010"/>
      <c r="C4010"/>
      <c r="D4010"/>
    </row>
    <row r="4011" spans="1:4" x14ac:dyDescent="0.2">
      <c r="A4011"/>
      <c r="B4011"/>
      <c r="C4011"/>
      <c r="D4011"/>
    </row>
    <row r="4012" spans="1:4" x14ac:dyDescent="0.2">
      <c r="A4012"/>
      <c r="B4012"/>
      <c r="C4012"/>
      <c r="D4012"/>
    </row>
    <row r="4013" spans="1:4" x14ac:dyDescent="0.2">
      <c r="A4013"/>
      <c r="B4013"/>
      <c r="C4013"/>
      <c r="D4013"/>
    </row>
    <row r="4014" spans="1:4" x14ac:dyDescent="0.2">
      <c r="A4014"/>
      <c r="B4014"/>
      <c r="C4014"/>
      <c r="D4014"/>
    </row>
    <row r="4015" spans="1:4" x14ac:dyDescent="0.2">
      <c r="A4015"/>
      <c r="B4015"/>
      <c r="C4015"/>
      <c r="D4015"/>
    </row>
    <row r="4016" spans="1:4" x14ac:dyDescent="0.2">
      <c r="A4016"/>
      <c r="B4016"/>
      <c r="C4016"/>
      <c r="D4016"/>
    </row>
    <row r="4017" spans="1:4" x14ac:dyDescent="0.2">
      <c r="A4017"/>
      <c r="B4017"/>
      <c r="C4017"/>
      <c r="D4017"/>
    </row>
    <row r="4018" spans="1:4" x14ac:dyDescent="0.2">
      <c r="A4018"/>
      <c r="B4018"/>
      <c r="C4018"/>
      <c r="D4018"/>
    </row>
    <row r="4019" spans="1:4" x14ac:dyDescent="0.2">
      <c r="A4019"/>
      <c r="B4019"/>
      <c r="C4019"/>
      <c r="D4019"/>
    </row>
    <row r="4020" spans="1:4" x14ac:dyDescent="0.2">
      <c r="A4020"/>
      <c r="B4020"/>
      <c r="C4020"/>
      <c r="D4020"/>
    </row>
    <row r="4021" spans="1:4" x14ac:dyDescent="0.2">
      <c r="A4021"/>
      <c r="B4021"/>
      <c r="C4021"/>
      <c r="D4021"/>
    </row>
    <row r="4022" spans="1:4" x14ac:dyDescent="0.2">
      <c r="A4022"/>
      <c r="B4022"/>
      <c r="C4022"/>
      <c r="D4022"/>
    </row>
    <row r="4023" spans="1:4" x14ac:dyDescent="0.2">
      <c r="A4023"/>
      <c r="B4023"/>
      <c r="C4023"/>
      <c r="D4023"/>
    </row>
    <row r="4024" spans="1:4" x14ac:dyDescent="0.2">
      <c r="A4024"/>
      <c r="B4024"/>
      <c r="C4024"/>
      <c r="D4024"/>
    </row>
    <row r="4025" spans="1:4" x14ac:dyDescent="0.2">
      <c r="A4025"/>
      <c r="B4025"/>
      <c r="C4025"/>
      <c r="D4025"/>
    </row>
    <row r="4026" spans="1:4" x14ac:dyDescent="0.2">
      <c r="A4026"/>
      <c r="B4026"/>
      <c r="C4026"/>
      <c r="D4026"/>
    </row>
    <row r="4027" spans="1:4" x14ac:dyDescent="0.2">
      <c r="A4027"/>
      <c r="B4027"/>
      <c r="C4027"/>
      <c r="D4027"/>
    </row>
    <row r="4028" spans="1:4" x14ac:dyDescent="0.2">
      <c r="A4028"/>
      <c r="B4028"/>
      <c r="C4028"/>
      <c r="D4028"/>
    </row>
    <row r="4029" spans="1:4" x14ac:dyDescent="0.2">
      <c r="A4029"/>
      <c r="B4029"/>
      <c r="C4029"/>
      <c r="D4029"/>
    </row>
    <row r="4030" spans="1:4" x14ac:dyDescent="0.2">
      <c r="A4030"/>
      <c r="B4030"/>
      <c r="C4030"/>
      <c r="D4030"/>
    </row>
    <row r="4031" spans="1:4" x14ac:dyDescent="0.2">
      <c r="A4031"/>
      <c r="B4031"/>
      <c r="C4031"/>
      <c r="D4031"/>
    </row>
    <row r="4032" spans="1:4" x14ac:dyDescent="0.2">
      <c r="A4032"/>
      <c r="B4032"/>
      <c r="C4032"/>
      <c r="D4032"/>
    </row>
    <row r="4033" spans="1:4" x14ac:dyDescent="0.2">
      <c r="A4033"/>
      <c r="B4033"/>
      <c r="C4033"/>
      <c r="D4033"/>
    </row>
    <row r="4034" spans="1:4" x14ac:dyDescent="0.2">
      <c r="A4034"/>
      <c r="B4034"/>
      <c r="C4034"/>
      <c r="D4034"/>
    </row>
    <row r="4035" spans="1:4" x14ac:dyDescent="0.2">
      <c r="A4035"/>
      <c r="B4035"/>
      <c r="C4035"/>
      <c r="D4035"/>
    </row>
    <row r="4036" spans="1:4" x14ac:dyDescent="0.2">
      <c r="A4036"/>
      <c r="B4036"/>
      <c r="C4036"/>
      <c r="D4036"/>
    </row>
    <row r="4037" spans="1:4" x14ac:dyDescent="0.2">
      <c r="A4037"/>
      <c r="B4037"/>
      <c r="C4037"/>
      <c r="D4037"/>
    </row>
    <row r="4038" spans="1:4" x14ac:dyDescent="0.2">
      <c r="A4038"/>
      <c r="B4038"/>
      <c r="C4038"/>
      <c r="D4038"/>
    </row>
    <row r="4039" spans="1:4" x14ac:dyDescent="0.2">
      <c r="A4039"/>
      <c r="B4039"/>
      <c r="C4039"/>
      <c r="D4039"/>
    </row>
    <row r="4040" spans="1:4" x14ac:dyDescent="0.2">
      <c r="A4040"/>
      <c r="B4040"/>
      <c r="C4040"/>
      <c r="D4040"/>
    </row>
    <row r="4041" spans="1:4" x14ac:dyDescent="0.2">
      <c r="A4041"/>
      <c r="B4041"/>
      <c r="C4041"/>
      <c r="D4041"/>
    </row>
    <row r="4042" spans="1:4" x14ac:dyDescent="0.2">
      <c r="A4042"/>
      <c r="B4042"/>
      <c r="C4042"/>
      <c r="D4042"/>
    </row>
    <row r="4043" spans="1:4" x14ac:dyDescent="0.2">
      <c r="A4043"/>
      <c r="B4043"/>
      <c r="C4043"/>
      <c r="D4043"/>
    </row>
    <row r="4044" spans="1:4" x14ac:dyDescent="0.2">
      <c r="A4044"/>
      <c r="B4044"/>
      <c r="C4044"/>
      <c r="D4044"/>
    </row>
    <row r="4045" spans="1:4" x14ac:dyDescent="0.2">
      <c r="A4045"/>
      <c r="B4045"/>
      <c r="C4045"/>
      <c r="D4045"/>
    </row>
    <row r="4046" spans="1:4" x14ac:dyDescent="0.2">
      <c r="A4046"/>
      <c r="B4046"/>
      <c r="C4046"/>
      <c r="D4046"/>
    </row>
    <row r="4047" spans="1:4" x14ac:dyDescent="0.2">
      <c r="A4047"/>
      <c r="B4047"/>
      <c r="C4047"/>
      <c r="D4047"/>
    </row>
    <row r="4048" spans="1:4" x14ac:dyDescent="0.2">
      <c r="A4048"/>
      <c r="B4048"/>
      <c r="C4048"/>
      <c r="D4048"/>
    </row>
    <row r="4049" spans="1:4" x14ac:dyDescent="0.2">
      <c r="A4049"/>
      <c r="B4049"/>
      <c r="C4049"/>
      <c r="D4049"/>
    </row>
    <row r="4050" spans="1:4" x14ac:dyDescent="0.2">
      <c r="A4050"/>
      <c r="B4050"/>
      <c r="C4050"/>
      <c r="D4050"/>
    </row>
    <row r="4051" spans="1:4" x14ac:dyDescent="0.2">
      <c r="A4051"/>
      <c r="B4051"/>
      <c r="C4051"/>
      <c r="D4051"/>
    </row>
    <row r="4052" spans="1:4" x14ac:dyDescent="0.2">
      <c r="A4052"/>
      <c r="B4052"/>
      <c r="C4052"/>
      <c r="D4052"/>
    </row>
    <row r="4053" spans="1:4" x14ac:dyDescent="0.2">
      <c r="A4053"/>
      <c r="B4053"/>
      <c r="C4053"/>
      <c r="D4053"/>
    </row>
    <row r="4054" spans="1:4" x14ac:dyDescent="0.2">
      <c r="A4054"/>
      <c r="B4054"/>
      <c r="C4054"/>
      <c r="D4054"/>
    </row>
    <row r="4055" spans="1:4" x14ac:dyDescent="0.2">
      <c r="A4055"/>
      <c r="B4055"/>
      <c r="C4055"/>
      <c r="D4055"/>
    </row>
    <row r="4056" spans="1:4" x14ac:dyDescent="0.2">
      <c r="A4056"/>
      <c r="B4056"/>
      <c r="C4056"/>
      <c r="D4056"/>
    </row>
    <row r="4057" spans="1:4" x14ac:dyDescent="0.2">
      <c r="A4057"/>
      <c r="B4057"/>
      <c r="C4057"/>
      <c r="D4057"/>
    </row>
    <row r="4058" spans="1:4" x14ac:dyDescent="0.2">
      <c r="A4058"/>
      <c r="B4058"/>
      <c r="C4058"/>
      <c r="D4058"/>
    </row>
    <row r="4059" spans="1:4" x14ac:dyDescent="0.2">
      <c r="A4059"/>
      <c r="B4059"/>
      <c r="C4059"/>
      <c r="D4059"/>
    </row>
    <row r="4060" spans="1:4" x14ac:dyDescent="0.2">
      <c r="A4060"/>
      <c r="B4060"/>
      <c r="C4060"/>
      <c r="D4060"/>
    </row>
    <row r="4061" spans="1:4" x14ac:dyDescent="0.2">
      <c r="A4061"/>
      <c r="B4061"/>
      <c r="C4061"/>
      <c r="D4061"/>
    </row>
    <row r="4062" spans="1:4" x14ac:dyDescent="0.2">
      <c r="A4062"/>
      <c r="B4062"/>
      <c r="C4062"/>
      <c r="D4062"/>
    </row>
    <row r="4063" spans="1:4" x14ac:dyDescent="0.2">
      <c r="A4063"/>
      <c r="B4063"/>
      <c r="C4063"/>
      <c r="D4063"/>
    </row>
    <row r="4064" spans="1:4" x14ac:dyDescent="0.2">
      <c r="A4064"/>
      <c r="B4064"/>
      <c r="C4064"/>
      <c r="D4064"/>
    </row>
    <row r="4065" spans="1:4" x14ac:dyDescent="0.2">
      <c r="A4065"/>
      <c r="B4065"/>
      <c r="C4065"/>
      <c r="D4065"/>
    </row>
    <row r="4066" spans="1:4" x14ac:dyDescent="0.2">
      <c r="A4066"/>
      <c r="B4066"/>
      <c r="C4066"/>
      <c r="D4066"/>
    </row>
    <row r="4067" spans="1:4" x14ac:dyDescent="0.2">
      <c r="A4067"/>
      <c r="B4067"/>
      <c r="C4067"/>
      <c r="D4067"/>
    </row>
    <row r="4068" spans="1:4" x14ac:dyDescent="0.2">
      <c r="A4068"/>
      <c r="B4068"/>
      <c r="C4068"/>
      <c r="D4068"/>
    </row>
    <row r="4069" spans="1:4" x14ac:dyDescent="0.2">
      <c r="A4069"/>
      <c r="B4069"/>
      <c r="C4069"/>
      <c r="D4069"/>
    </row>
    <row r="4070" spans="1:4" x14ac:dyDescent="0.2">
      <c r="A4070"/>
      <c r="B4070"/>
      <c r="C4070"/>
      <c r="D4070"/>
    </row>
    <row r="4071" spans="1:4" x14ac:dyDescent="0.2">
      <c r="A4071"/>
      <c r="B4071"/>
      <c r="C4071"/>
      <c r="D4071"/>
    </row>
    <row r="4072" spans="1:4" x14ac:dyDescent="0.2">
      <c r="A4072"/>
      <c r="B4072"/>
      <c r="C4072"/>
      <c r="D4072"/>
    </row>
    <row r="4073" spans="1:4" x14ac:dyDescent="0.2">
      <c r="A4073"/>
      <c r="B4073"/>
      <c r="C4073"/>
      <c r="D4073"/>
    </row>
    <row r="4074" spans="1:4" x14ac:dyDescent="0.2">
      <c r="A4074"/>
      <c r="B4074"/>
      <c r="C4074"/>
      <c r="D4074"/>
    </row>
    <row r="4075" spans="1:4" x14ac:dyDescent="0.2">
      <c r="A4075"/>
      <c r="B4075"/>
      <c r="C4075"/>
      <c r="D4075"/>
    </row>
    <row r="4076" spans="1:4" x14ac:dyDescent="0.2">
      <c r="A4076"/>
      <c r="B4076"/>
      <c r="C4076"/>
      <c r="D4076"/>
    </row>
    <row r="4077" spans="1:4" x14ac:dyDescent="0.2">
      <c r="A4077"/>
      <c r="B4077"/>
      <c r="C4077"/>
      <c r="D4077"/>
    </row>
    <row r="4078" spans="1:4" x14ac:dyDescent="0.2">
      <c r="A4078"/>
      <c r="B4078"/>
      <c r="C4078"/>
      <c r="D4078"/>
    </row>
    <row r="4079" spans="1:4" x14ac:dyDescent="0.2">
      <c r="A4079"/>
      <c r="B4079"/>
      <c r="C4079"/>
      <c r="D4079"/>
    </row>
    <row r="4080" spans="1:4" x14ac:dyDescent="0.2">
      <c r="A4080"/>
      <c r="B4080"/>
      <c r="C4080"/>
      <c r="D4080"/>
    </row>
    <row r="4081" spans="1:4" x14ac:dyDescent="0.2">
      <c r="A4081"/>
      <c r="B4081"/>
      <c r="C4081"/>
      <c r="D4081"/>
    </row>
    <row r="4082" spans="1:4" x14ac:dyDescent="0.2">
      <c r="A4082"/>
      <c r="B4082"/>
      <c r="C4082"/>
      <c r="D4082"/>
    </row>
    <row r="4083" spans="1:4" x14ac:dyDescent="0.2">
      <c r="A4083"/>
      <c r="B4083"/>
      <c r="C4083"/>
      <c r="D4083"/>
    </row>
    <row r="4084" spans="1:4" x14ac:dyDescent="0.2">
      <c r="A4084"/>
      <c r="B4084"/>
      <c r="C4084"/>
      <c r="D4084"/>
    </row>
    <row r="4085" spans="1:4" x14ac:dyDescent="0.2">
      <c r="A4085"/>
      <c r="B4085"/>
      <c r="C4085"/>
      <c r="D4085"/>
    </row>
    <row r="4086" spans="1:4" x14ac:dyDescent="0.2">
      <c r="A4086"/>
      <c r="B4086"/>
      <c r="C4086"/>
      <c r="D4086"/>
    </row>
    <row r="4087" spans="1:4" x14ac:dyDescent="0.2">
      <c r="A4087"/>
      <c r="B4087"/>
      <c r="C4087"/>
      <c r="D4087"/>
    </row>
    <row r="4088" spans="1:4" x14ac:dyDescent="0.2">
      <c r="A4088"/>
      <c r="B4088"/>
      <c r="C4088"/>
      <c r="D4088"/>
    </row>
    <row r="4089" spans="1:4" x14ac:dyDescent="0.2">
      <c r="A4089"/>
      <c r="B4089"/>
      <c r="C4089"/>
      <c r="D4089"/>
    </row>
    <row r="4090" spans="1:4" x14ac:dyDescent="0.2">
      <c r="A4090"/>
      <c r="B4090"/>
      <c r="C4090"/>
      <c r="D4090"/>
    </row>
    <row r="4091" spans="1:4" x14ac:dyDescent="0.2">
      <c r="A4091"/>
      <c r="B4091"/>
      <c r="C4091"/>
      <c r="D4091"/>
    </row>
    <row r="4092" spans="1:4" x14ac:dyDescent="0.2">
      <c r="A4092"/>
      <c r="B4092"/>
      <c r="C4092"/>
      <c r="D4092"/>
    </row>
    <row r="4093" spans="1:4" x14ac:dyDescent="0.2">
      <c r="A4093"/>
      <c r="B4093"/>
      <c r="C4093"/>
      <c r="D4093"/>
    </row>
    <row r="4094" spans="1:4" x14ac:dyDescent="0.2">
      <c r="A4094"/>
      <c r="B4094"/>
      <c r="C4094"/>
      <c r="D4094"/>
    </row>
    <row r="4095" spans="1:4" x14ac:dyDescent="0.2">
      <c r="A4095"/>
      <c r="B4095"/>
      <c r="C4095"/>
      <c r="D4095"/>
    </row>
    <row r="4096" spans="1:4" x14ac:dyDescent="0.2">
      <c r="A4096"/>
      <c r="B4096"/>
      <c r="C4096"/>
      <c r="D4096"/>
    </row>
    <row r="4097" spans="1:4" x14ac:dyDescent="0.2">
      <c r="A4097"/>
      <c r="B4097"/>
      <c r="C4097"/>
      <c r="D4097"/>
    </row>
    <row r="4098" spans="1:4" x14ac:dyDescent="0.2">
      <c r="A4098"/>
      <c r="B4098"/>
      <c r="C4098"/>
      <c r="D4098"/>
    </row>
    <row r="4099" spans="1:4" x14ac:dyDescent="0.2">
      <c r="A4099"/>
      <c r="B4099"/>
      <c r="C4099"/>
      <c r="D4099"/>
    </row>
    <row r="4100" spans="1:4" x14ac:dyDescent="0.2">
      <c r="A4100"/>
      <c r="B4100"/>
      <c r="C4100"/>
      <c r="D4100"/>
    </row>
    <row r="4101" spans="1:4" x14ac:dyDescent="0.2">
      <c r="A4101"/>
      <c r="B4101"/>
      <c r="C4101"/>
      <c r="D4101"/>
    </row>
    <row r="4102" spans="1:4" x14ac:dyDescent="0.2">
      <c r="A4102"/>
      <c r="B4102"/>
      <c r="C4102"/>
      <c r="D4102"/>
    </row>
    <row r="4103" spans="1:4" x14ac:dyDescent="0.2">
      <c r="A4103"/>
      <c r="B4103"/>
      <c r="C4103"/>
      <c r="D4103"/>
    </row>
    <row r="4104" spans="1:4" x14ac:dyDescent="0.2">
      <c r="A4104"/>
      <c r="B4104"/>
      <c r="C4104"/>
      <c r="D4104"/>
    </row>
    <row r="4105" spans="1:4" x14ac:dyDescent="0.2">
      <c r="A4105"/>
      <c r="B4105"/>
      <c r="C4105"/>
      <c r="D4105"/>
    </row>
    <row r="4106" spans="1:4" x14ac:dyDescent="0.2">
      <c r="A4106"/>
      <c r="B4106"/>
      <c r="C4106"/>
      <c r="D4106"/>
    </row>
    <row r="4107" spans="1:4" x14ac:dyDescent="0.2">
      <c r="A4107"/>
      <c r="B4107"/>
      <c r="C4107"/>
      <c r="D4107"/>
    </row>
    <row r="4108" spans="1:4" x14ac:dyDescent="0.2">
      <c r="A4108"/>
      <c r="B4108"/>
      <c r="C4108"/>
      <c r="D4108"/>
    </row>
    <row r="4109" spans="1:4" x14ac:dyDescent="0.2">
      <c r="A4109"/>
      <c r="B4109"/>
      <c r="C4109"/>
      <c r="D4109"/>
    </row>
    <row r="4110" spans="1:4" x14ac:dyDescent="0.2">
      <c r="A4110"/>
      <c r="B4110"/>
      <c r="C4110"/>
      <c r="D4110"/>
    </row>
    <row r="4111" spans="1:4" x14ac:dyDescent="0.2">
      <c r="A4111"/>
      <c r="B4111"/>
      <c r="C4111"/>
      <c r="D4111"/>
    </row>
    <row r="4112" spans="1:4" x14ac:dyDescent="0.2">
      <c r="A4112"/>
      <c r="B4112"/>
      <c r="C4112"/>
      <c r="D4112"/>
    </row>
    <row r="4113" spans="1:4" x14ac:dyDescent="0.2">
      <c r="A4113"/>
      <c r="B4113"/>
      <c r="C4113"/>
      <c r="D4113"/>
    </row>
    <row r="4114" spans="1:4" x14ac:dyDescent="0.2">
      <c r="A4114"/>
      <c r="B4114"/>
      <c r="C4114"/>
      <c r="D4114"/>
    </row>
    <row r="4115" spans="1:4" x14ac:dyDescent="0.2">
      <c r="A4115"/>
      <c r="B4115"/>
      <c r="C4115"/>
      <c r="D4115"/>
    </row>
    <row r="4116" spans="1:4" x14ac:dyDescent="0.2">
      <c r="A4116"/>
      <c r="B4116"/>
      <c r="C4116"/>
      <c r="D4116"/>
    </row>
    <row r="4117" spans="1:4" x14ac:dyDescent="0.2">
      <c r="A4117"/>
      <c r="B4117"/>
      <c r="C4117"/>
      <c r="D4117"/>
    </row>
    <row r="4118" spans="1:4" x14ac:dyDescent="0.2">
      <c r="A4118"/>
      <c r="B4118"/>
      <c r="C4118"/>
      <c r="D4118"/>
    </row>
    <row r="4119" spans="1:4" x14ac:dyDescent="0.2">
      <c r="A4119"/>
      <c r="B4119"/>
      <c r="C4119"/>
      <c r="D4119"/>
    </row>
    <row r="4120" spans="1:4" x14ac:dyDescent="0.2">
      <c r="A4120"/>
      <c r="B4120"/>
      <c r="C4120"/>
      <c r="D4120"/>
    </row>
    <row r="4121" spans="1:4" x14ac:dyDescent="0.2">
      <c r="A4121"/>
      <c r="B4121"/>
      <c r="C4121"/>
      <c r="D4121"/>
    </row>
    <row r="4122" spans="1:4" x14ac:dyDescent="0.2">
      <c r="A4122"/>
      <c r="B4122"/>
      <c r="C4122"/>
      <c r="D4122"/>
    </row>
    <row r="4123" spans="1:4" x14ac:dyDescent="0.2">
      <c r="A4123"/>
      <c r="B4123"/>
      <c r="C4123"/>
      <c r="D4123"/>
    </row>
    <row r="4124" spans="1:4" x14ac:dyDescent="0.2">
      <c r="A4124"/>
      <c r="B4124"/>
      <c r="C4124"/>
      <c r="D4124"/>
    </row>
    <row r="4125" spans="1:4" x14ac:dyDescent="0.2">
      <c r="A4125"/>
      <c r="B4125"/>
      <c r="C4125"/>
      <c r="D4125"/>
    </row>
    <row r="4126" spans="1:4" x14ac:dyDescent="0.2">
      <c r="A4126"/>
      <c r="B4126"/>
      <c r="C4126"/>
      <c r="D4126"/>
    </row>
    <row r="4127" spans="1:4" x14ac:dyDescent="0.2">
      <c r="A4127"/>
      <c r="B4127"/>
      <c r="C4127"/>
      <c r="D4127"/>
    </row>
    <row r="4128" spans="1:4" x14ac:dyDescent="0.2">
      <c r="A4128"/>
      <c r="B4128"/>
      <c r="C4128"/>
      <c r="D4128"/>
    </row>
    <row r="4129" spans="1:4" x14ac:dyDescent="0.2">
      <c r="A4129"/>
      <c r="B4129"/>
      <c r="C4129"/>
      <c r="D4129"/>
    </row>
    <row r="4130" spans="1:4" x14ac:dyDescent="0.2">
      <c r="A4130"/>
      <c r="B4130"/>
      <c r="C4130"/>
      <c r="D4130"/>
    </row>
    <row r="4131" spans="1:4" x14ac:dyDescent="0.2">
      <c r="A4131"/>
      <c r="B4131"/>
      <c r="C4131"/>
      <c r="D4131"/>
    </row>
    <row r="4132" spans="1:4" x14ac:dyDescent="0.2">
      <c r="A4132"/>
      <c r="B4132"/>
      <c r="C4132"/>
      <c r="D4132"/>
    </row>
    <row r="4133" spans="1:4" x14ac:dyDescent="0.2">
      <c r="A4133"/>
      <c r="B4133"/>
      <c r="C4133"/>
      <c r="D4133"/>
    </row>
    <row r="4134" spans="1:4" x14ac:dyDescent="0.2">
      <c r="A4134"/>
      <c r="B4134"/>
      <c r="C4134"/>
      <c r="D4134"/>
    </row>
    <row r="4135" spans="1:4" x14ac:dyDescent="0.2">
      <c r="A4135"/>
      <c r="B4135"/>
      <c r="C4135"/>
      <c r="D4135"/>
    </row>
    <row r="4136" spans="1:4" x14ac:dyDescent="0.2">
      <c r="A4136"/>
      <c r="B4136"/>
      <c r="C4136"/>
      <c r="D4136"/>
    </row>
    <row r="4137" spans="1:4" x14ac:dyDescent="0.2">
      <c r="A4137"/>
      <c r="B4137"/>
      <c r="C4137"/>
      <c r="D4137"/>
    </row>
    <row r="4138" spans="1:4" x14ac:dyDescent="0.2">
      <c r="A4138"/>
      <c r="B4138"/>
      <c r="C4138"/>
      <c r="D4138"/>
    </row>
    <row r="4139" spans="1:4" x14ac:dyDescent="0.2">
      <c r="A4139"/>
      <c r="B4139"/>
      <c r="C4139"/>
      <c r="D4139"/>
    </row>
    <row r="4140" spans="1:4" x14ac:dyDescent="0.2">
      <c r="A4140"/>
      <c r="B4140"/>
      <c r="C4140"/>
      <c r="D4140"/>
    </row>
    <row r="4141" spans="1:4" x14ac:dyDescent="0.2">
      <c r="A4141"/>
      <c r="B4141"/>
      <c r="C4141"/>
      <c r="D4141"/>
    </row>
    <row r="4142" spans="1:4" x14ac:dyDescent="0.2">
      <c r="A4142"/>
      <c r="B4142"/>
      <c r="C4142"/>
      <c r="D4142"/>
    </row>
    <row r="4143" spans="1:4" x14ac:dyDescent="0.2">
      <c r="A4143"/>
      <c r="B4143"/>
      <c r="C4143"/>
      <c r="D4143"/>
    </row>
    <row r="4144" spans="1:4" x14ac:dyDescent="0.2">
      <c r="A4144"/>
      <c r="B4144"/>
      <c r="C4144"/>
      <c r="D4144"/>
    </row>
    <row r="4145" spans="1:4" x14ac:dyDescent="0.2">
      <c r="A4145"/>
      <c r="B4145"/>
      <c r="C4145"/>
      <c r="D4145"/>
    </row>
    <row r="4146" spans="1:4" x14ac:dyDescent="0.2">
      <c r="A4146"/>
      <c r="B4146"/>
      <c r="C4146"/>
      <c r="D4146"/>
    </row>
    <row r="4147" spans="1:4" x14ac:dyDescent="0.2">
      <c r="A4147"/>
      <c r="B4147"/>
      <c r="C4147"/>
      <c r="D4147"/>
    </row>
    <row r="4148" spans="1:4" x14ac:dyDescent="0.2">
      <c r="A4148"/>
      <c r="B4148"/>
      <c r="C4148"/>
      <c r="D4148"/>
    </row>
    <row r="4149" spans="1:4" x14ac:dyDescent="0.2">
      <c r="A4149"/>
      <c r="B4149"/>
      <c r="C4149"/>
      <c r="D4149"/>
    </row>
    <row r="4150" spans="1:4" x14ac:dyDescent="0.2">
      <c r="A4150"/>
      <c r="B4150"/>
      <c r="C4150"/>
      <c r="D4150"/>
    </row>
    <row r="4151" spans="1:4" x14ac:dyDescent="0.2">
      <c r="A4151"/>
      <c r="B4151"/>
      <c r="C4151"/>
      <c r="D4151"/>
    </row>
    <row r="4152" spans="1:4" x14ac:dyDescent="0.2">
      <c r="A4152"/>
      <c r="B4152"/>
      <c r="C4152"/>
      <c r="D4152"/>
    </row>
    <row r="4153" spans="1:4" x14ac:dyDescent="0.2">
      <c r="A4153"/>
      <c r="B4153"/>
      <c r="C4153"/>
      <c r="D4153"/>
    </row>
    <row r="4154" spans="1:4" x14ac:dyDescent="0.2">
      <c r="A4154"/>
      <c r="B4154"/>
      <c r="C4154"/>
      <c r="D4154"/>
    </row>
    <row r="4155" spans="1:4" x14ac:dyDescent="0.2">
      <c r="A4155"/>
      <c r="B4155"/>
      <c r="C4155"/>
      <c r="D4155"/>
    </row>
    <row r="4156" spans="1:4" x14ac:dyDescent="0.2">
      <c r="A4156"/>
      <c r="B4156"/>
      <c r="C4156"/>
      <c r="D4156"/>
    </row>
    <row r="4157" spans="1:4" x14ac:dyDescent="0.2">
      <c r="A4157"/>
      <c r="B4157"/>
      <c r="C4157"/>
      <c r="D4157"/>
    </row>
    <row r="4158" spans="1:4" x14ac:dyDescent="0.2">
      <c r="A4158"/>
      <c r="B4158"/>
      <c r="C4158"/>
      <c r="D4158"/>
    </row>
    <row r="4159" spans="1:4" x14ac:dyDescent="0.2">
      <c r="A4159"/>
      <c r="B4159"/>
      <c r="C4159"/>
      <c r="D4159"/>
    </row>
    <row r="4160" spans="1:4" x14ac:dyDescent="0.2">
      <c r="A4160"/>
      <c r="B4160"/>
      <c r="C4160"/>
      <c r="D4160"/>
    </row>
    <row r="4161" spans="1:4" x14ac:dyDescent="0.2">
      <c r="A4161"/>
      <c r="B4161"/>
      <c r="C4161"/>
      <c r="D4161"/>
    </row>
    <row r="4162" spans="1:4" x14ac:dyDescent="0.2">
      <c r="A4162"/>
      <c r="B4162"/>
      <c r="C4162"/>
      <c r="D4162"/>
    </row>
    <row r="4163" spans="1:4" x14ac:dyDescent="0.2">
      <c r="A4163"/>
      <c r="B4163"/>
      <c r="C4163"/>
      <c r="D4163"/>
    </row>
    <row r="4164" spans="1:4" x14ac:dyDescent="0.2">
      <c r="A4164"/>
      <c r="B4164"/>
      <c r="C4164"/>
      <c r="D4164"/>
    </row>
    <row r="4165" spans="1:4" x14ac:dyDescent="0.2">
      <c r="A4165"/>
      <c r="B4165"/>
      <c r="C4165"/>
      <c r="D4165"/>
    </row>
    <row r="4166" spans="1:4" x14ac:dyDescent="0.2">
      <c r="A4166"/>
      <c r="B4166"/>
      <c r="C4166"/>
      <c r="D4166"/>
    </row>
    <row r="4167" spans="1:4" x14ac:dyDescent="0.2">
      <c r="A4167"/>
      <c r="B4167"/>
      <c r="C4167"/>
      <c r="D4167"/>
    </row>
    <row r="4168" spans="1:4" x14ac:dyDescent="0.2">
      <c r="A4168"/>
      <c r="B4168"/>
      <c r="C4168"/>
      <c r="D4168"/>
    </row>
    <row r="4169" spans="1:4" x14ac:dyDescent="0.2">
      <c r="A4169"/>
      <c r="B4169"/>
      <c r="C4169"/>
      <c r="D4169"/>
    </row>
    <row r="4170" spans="1:4" x14ac:dyDescent="0.2">
      <c r="A4170"/>
      <c r="B4170"/>
      <c r="C4170"/>
      <c r="D4170"/>
    </row>
    <row r="4171" spans="1:4" x14ac:dyDescent="0.2">
      <c r="A4171"/>
      <c r="B4171"/>
      <c r="C4171"/>
      <c r="D4171"/>
    </row>
    <row r="4172" spans="1:4" x14ac:dyDescent="0.2">
      <c r="A4172"/>
      <c r="B4172"/>
      <c r="C4172"/>
      <c r="D4172"/>
    </row>
    <row r="4173" spans="1:4" x14ac:dyDescent="0.2">
      <c r="A4173"/>
      <c r="B4173"/>
      <c r="C4173"/>
      <c r="D4173"/>
    </row>
    <row r="4174" spans="1:4" x14ac:dyDescent="0.2">
      <c r="A4174"/>
      <c r="B4174"/>
      <c r="C4174"/>
      <c r="D4174"/>
    </row>
    <row r="4175" spans="1:4" x14ac:dyDescent="0.2">
      <c r="A4175"/>
      <c r="B4175"/>
      <c r="C4175"/>
      <c r="D4175"/>
    </row>
    <row r="4176" spans="1:4" x14ac:dyDescent="0.2">
      <c r="A4176"/>
      <c r="B4176"/>
      <c r="C4176"/>
      <c r="D4176"/>
    </row>
    <row r="4177" spans="1:4" x14ac:dyDescent="0.2">
      <c r="A4177"/>
      <c r="B4177"/>
      <c r="C4177"/>
      <c r="D4177"/>
    </row>
    <row r="4178" spans="1:4" x14ac:dyDescent="0.2">
      <c r="A4178"/>
      <c r="B4178"/>
      <c r="C4178"/>
      <c r="D4178"/>
    </row>
    <row r="4179" spans="1:4" x14ac:dyDescent="0.2">
      <c r="A4179"/>
      <c r="B4179"/>
      <c r="C4179"/>
      <c r="D4179"/>
    </row>
    <row r="4180" spans="1:4" x14ac:dyDescent="0.2">
      <c r="A4180"/>
      <c r="B4180"/>
      <c r="C4180"/>
      <c r="D4180"/>
    </row>
    <row r="4181" spans="1:4" x14ac:dyDescent="0.2">
      <c r="A4181"/>
      <c r="B4181"/>
      <c r="C4181"/>
      <c r="D4181"/>
    </row>
    <row r="4182" spans="1:4" x14ac:dyDescent="0.2">
      <c r="A4182"/>
      <c r="B4182"/>
      <c r="C4182"/>
      <c r="D4182"/>
    </row>
    <row r="4183" spans="1:4" x14ac:dyDescent="0.2">
      <c r="A4183"/>
      <c r="B4183"/>
      <c r="C4183"/>
      <c r="D4183"/>
    </row>
    <row r="4184" spans="1:4" x14ac:dyDescent="0.2">
      <c r="A4184"/>
      <c r="B4184"/>
      <c r="C4184"/>
      <c r="D4184"/>
    </row>
    <row r="4185" spans="1:4" x14ac:dyDescent="0.2">
      <c r="A4185"/>
      <c r="B4185"/>
      <c r="C4185"/>
      <c r="D4185"/>
    </row>
    <row r="4186" spans="1:4" x14ac:dyDescent="0.2">
      <c r="A4186"/>
      <c r="B4186"/>
      <c r="C4186"/>
      <c r="D4186"/>
    </row>
    <row r="4187" spans="1:4" x14ac:dyDescent="0.2">
      <c r="A4187"/>
      <c r="B4187"/>
      <c r="C4187"/>
      <c r="D4187"/>
    </row>
    <row r="4188" spans="1:4" x14ac:dyDescent="0.2">
      <c r="A4188"/>
      <c r="B4188"/>
      <c r="C4188"/>
      <c r="D4188"/>
    </row>
    <row r="4189" spans="1:4" x14ac:dyDescent="0.2">
      <c r="A4189"/>
      <c r="B4189"/>
      <c r="C4189"/>
      <c r="D4189"/>
    </row>
    <row r="4190" spans="1:4" x14ac:dyDescent="0.2">
      <c r="A4190"/>
      <c r="B4190"/>
      <c r="C4190"/>
      <c r="D4190"/>
    </row>
    <row r="4191" spans="1:4" x14ac:dyDescent="0.2">
      <c r="A4191"/>
      <c r="B4191"/>
      <c r="C4191"/>
      <c r="D4191"/>
    </row>
    <row r="4192" spans="1:4" x14ac:dyDescent="0.2">
      <c r="A4192"/>
      <c r="B4192"/>
      <c r="C4192"/>
      <c r="D4192"/>
    </row>
    <row r="4193" spans="1:4" x14ac:dyDescent="0.2">
      <c r="A4193"/>
      <c r="B4193"/>
      <c r="C4193"/>
      <c r="D4193"/>
    </row>
    <row r="4194" spans="1:4" x14ac:dyDescent="0.2">
      <c r="A4194"/>
      <c r="B4194"/>
      <c r="C4194"/>
      <c r="D4194"/>
    </row>
    <row r="4195" spans="1:4" x14ac:dyDescent="0.2">
      <c r="A4195"/>
      <c r="B4195"/>
      <c r="C4195"/>
      <c r="D4195"/>
    </row>
    <row r="4196" spans="1:4" x14ac:dyDescent="0.2">
      <c r="A4196"/>
      <c r="B4196"/>
      <c r="C4196"/>
      <c r="D4196"/>
    </row>
    <row r="4197" spans="1:4" x14ac:dyDescent="0.2">
      <c r="A4197"/>
      <c r="B4197"/>
      <c r="C4197"/>
      <c r="D4197"/>
    </row>
    <row r="4198" spans="1:4" x14ac:dyDescent="0.2">
      <c r="A4198"/>
      <c r="B4198"/>
      <c r="C4198"/>
      <c r="D4198"/>
    </row>
    <row r="4199" spans="1:4" x14ac:dyDescent="0.2">
      <c r="A4199"/>
      <c r="B4199"/>
      <c r="C4199"/>
      <c r="D4199"/>
    </row>
    <row r="4200" spans="1:4" x14ac:dyDescent="0.2">
      <c r="A4200"/>
      <c r="B4200"/>
      <c r="C4200"/>
      <c r="D4200"/>
    </row>
    <row r="4201" spans="1:4" x14ac:dyDescent="0.2">
      <c r="A4201"/>
      <c r="B4201"/>
      <c r="C4201"/>
      <c r="D4201"/>
    </row>
    <row r="4202" spans="1:4" x14ac:dyDescent="0.2">
      <c r="A4202"/>
      <c r="B4202"/>
      <c r="C4202"/>
      <c r="D4202"/>
    </row>
    <row r="4203" spans="1:4" x14ac:dyDescent="0.2">
      <c r="A4203"/>
      <c r="B4203"/>
      <c r="C4203"/>
      <c r="D4203"/>
    </row>
    <row r="4204" spans="1:4" x14ac:dyDescent="0.2">
      <c r="A4204"/>
      <c r="B4204"/>
      <c r="C4204"/>
      <c r="D4204"/>
    </row>
    <row r="4205" spans="1:4" x14ac:dyDescent="0.2">
      <c r="A4205"/>
      <c r="B4205"/>
      <c r="C4205"/>
      <c r="D4205"/>
    </row>
    <row r="4206" spans="1:4" x14ac:dyDescent="0.2">
      <c r="A4206"/>
      <c r="B4206"/>
      <c r="C4206"/>
      <c r="D4206"/>
    </row>
    <row r="4207" spans="1:4" x14ac:dyDescent="0.2">
      <c r="A4207"/>
      <c r="B4207"/>
      <c r="C4207"/>
      <c r="D4207"/>
    </row>
    <row r="4208" spans="1:4" x14ac:dyDescent="0.2">
      <c r="A4208"/>
      <c r="B4208"/>
      <c r="C4208"/>
      <c r="D4208"/>
    </row>
    <row r="4209" spans="1:4" x14ac:dyDescent="0.2">
      <c r="A4209"/>
      <c r="B4209"/>
      <c r="C4209"/>
      <c r="D4209"/>
    </row>
    <row r="4210" spans="1:4" x14ac:dyDescent="0.2">
      <c r="A4210"/>
      <c r="B4210"/>
      <c r="C4210"/>
      <c r="D4210"/>
    </row>
    <row r="4211" spans="1:4" x14ac:dyDescent="0.2">
      <c r="A4211"/>
      <c r="B4211"/>
      <c r="C4211"/>
      <c r="D4211"/>
    </row>
    <row r="4212" spans="1:4" x14ac:dyDescent="0.2">
      <c r="A4212"/>
      <c r="B4212"/>
      <c r="C4212"/>
      <c r="D4212"/>
    </row>
    <row r="4213" spans="1:4" x14ac:dyDescent="0.2">
      <c r="A4213"/>
      <c r="B4213"/>
      <c r="C4213"/>
      <c r="D4213"/>
    </row>
    <row r="4214" spans="1:4" x14ac:dyDescent="0.2">
      <c r="A4214"/>
      <c r="B4214"/>
      <c r="C4214"/>
      <c r="D4214"/>
    </row>
    <row r="4215" spans="1:4" x14ac:dyDescent="0.2">
      <c r="A4215"/>
      <c r="B4215"/>
      <c r="C4215"/>
      <c r="D4215"/>
    </row>
    <row r="4216" spans="1:4" x14ac:dyDescent="0.2">
      <c r="A4216"/>
      <c r="B4216"/>
      <c r="C4216"/>
      <c r="D4216"/>
    </row>
    <row r="4217" spans="1:4" x14ac:dyDescent="0.2">
      <c r="A4217"/>
      <c r="B4217"/>
      <c r="C4217"/>
      <c r="D4217"/>
    </row>
    <row r="4218" spans="1:4" x14ac:dyDescent="0.2">
      <c r="A4218"/>
      <c r="B4218"/>
      <c r="C4218"/>
      <c r="D4218"/>
    </row>
    <row r="4219" spans="1:4" x14ac:dyDescent="0.2">
      <c r="A4219"/>
      <c r="B4219"/>
      <c r="C4219"/>
      <c r="D4219"/>
    </row>
    <row r="4220" spans="1:4" x14ac:dyDescent="0.2">
      <c r="A4220"/>
      <c r="B4220"/>
      <c r="C4220"/>
      <c r="D4220"/>
    </row>
    <row r="4221" spans="1:4" x14ac:dyDescent="0.2">
      <c r="A4221"/>
      <c r="B4221"/>
      <c r="C4221"/>
      <c r="D4221"/>
    </row>
    <row r="4222" spans="1:4" x14ac:dyDescent="0.2">
      <c r="A4222"/>
      <c r="B4222"/>
      <c r="C4222"/>
      <c r="D4222"/>
    </row>
    <row r="4223" spans="1:4" x14ac:dyDescent="0.2">
      <c r="A4223"/>
      <c r="B4223"/>
      <c r="C4223"/>
      <c r="D4223"/>
    </row>
    <row r="4224" spans="1:4" x14ac:dyDescent="0.2">
      <c r="A4224"/>
      <c r="B4224"/>
      <c r="C4224"/>
      <c r="D4224"/>
    </row>
    <row r="4225" spans="1:4" x14ac:dyDescent="0.2">
      <c r="A4225"/>
      <c r="B4225"/>
      <c r="C4225"/>
      <c r="D4225"/>
    </row>
    <row r="4226" spans="1:4" x14ac:dyDescent="0.2">
      <c r="A4226"/>
      <c r="B4226"/>
      <c r="C4226"/>
      <c r="D4226"/>
    </row>
    <row r="4227" spans="1:4" x14ac:dyDescent="0.2">
      <c r="A4227"/>
      <c r="B4227"/>
      <c r="C4227"/>
      <c r="D4227"/>
    </row>
    <row r="4228" spans="1:4" x14ac:dyDescent="0.2">
      <c r="A4228"/>
      <c r="B4228"/>
      <c r="C4228"/>
      <c r="D4228"/>
    </row>
    <row r="4229" spans="1:4" x14ac:dyDescent="0.2">
      <c r="A4229"/>
      <c r="B4229"/>
      <c r="C4229"/>
      <c r="D4229"/>
    </row>
    <row r="4230" spans="1:4" x14ac:dyDescent="0.2">
      <c r="A4230"/>
      <c r="B4230"/>
      <c r="C4230"/>
      <c r="D4230"/>
    </row>
    <row r="4231" spans="1:4" x14ac:dyDescent="0.2">
      <c r="A4231"/>
      <c r="B4231"/>
      <c r="C4231"/>
      <c r="D4231"/>
    </row>
    <row r="4232" spans="1:4" x14ac:dyDescent="0.2">
      <c r="A4232"/>
      <c r="B4232"/>
      <c r="C4232"/>
      <c r="D4232"/>
    </row>
    <row r="4233" spans="1:4" x14ac:dyDescent="0.2">
      <c r="A4233"/>
      <c r="B4233"/>
      <c r="C4233"/>
      <c r="D4233"/>
    </row>
    <row r="4234" spans="1:4" x14ac:dyDescent="0.2">
      <c r="A4234"/>
      <c r="B4234"/>
      <c r="C4234"/>
      <c r="D4234"/>
    </row>
    <row r="4235" spans="1:4" x14ac:dyDescent="0.2">
      <c r="A4235"/>
      <c r="B4235"/>
      <c r="C4235"/>
      <c r="D4235"/>
    </row>
    <row r="4236" spans="1:4" x14ac:dyDescent="0.2">
      <c r="A4236"/>
      <c r="B4236"/>
      <c r="C4236"/>
      <c r="D4236"/>
    </row>
    <row r="4237" spans="1:4" x14ac:dyDescent="0.2">
      <c r="A4237"/>
      <c r="B4237"/>
      <c r="C4237"/>
      <c r="D4237"/>
    </row>
    <row r="4238" spans="1:4" x14ac:dyDescent="0.2">
      <c r="A4238"/>
      <c r="B4238"/>
      <c r="C4238"/>
      <c r="D4238"/>
    </row>
    <row r="4239" spans="1:4" x14ac:dyDescent="0.2">
      <c r="A4239"/>
      <c r="B4239"/>
      <c r="C4239"/>
      <c r="D4239"/>
    </row>
    <row r="4240" spans="1:4" x14ac:dyDescent="0.2">
      <c r="A4240"/>
      <c r="B4240"/>
      <c r="C4240"/>
      <c r="D4240"/>
    </row>
    <row r="4241" spans="1:4" x14ac:dyDescent="0.2">
      <c r="A4241"/>
      <c r="B4241"/>
      <c r="C4241"/>
      <c r="D4241"/>
    </row>
    <row r="4242" spans="1:4" x14ac:dyDescent="0.2">
      <c r="A4242"/>
      <c r="B4242"/>
      <c r="C4242"/>
      <c r="D4242"/>
    </row>
    <row r="4243" spans="1:4" x14ac:dyDescent="0.2">
      <c r="A4243"/>
      <c r="B4243"/>
      <c r="C4243"/>
      <c r="D4243"/>
    </row>
    <row r="4244" spans="1:4" x14ac:dyDescent="0.2">
      <c r="A4244"/>
      <c r="B4244"/>
      <c r="C4244"/>
      <c r="D4244"/>
    </row>
    <row r="4245" spans="1:4" x14ac:dyDescent="0.2">
      <c r="A4245"/>
      <c r="B4245"/>
      <c r="C4245"/>
      <c r="D4245"/>
    </row>
    <row r="4246" spans="1:4" x14ac:dyDescent="0.2">
      <c r="A4246"/>
      <c r="B4246"/>
      <c r="C4246"/>
      <c r="D4246"/>
    </row>
    <row r="4247" spans="1:4" x14ac:dyDescent="0.2">
      <c r="A4247"/>
      <c r="B4247"/>
      <c r="C4247"/>
      <c r="D4247"/>
    </row>
    <row r="4248" spans="1:4" x14ac:dyDescent="0.2">
      <c r="A4248"/>
      <c r="B4248"/>
      <c r="C4248"/>
      <c r="D4248"/>
    </row>
    <row r="4249" spans="1:4" x14ac:dyDescent="0.2">
      <c r="A4249"/>
      <c r="B4249"/>
      <c r="C4249"/>
      <c r="D4249"/>
    </row>
    <row r="4250" spans="1:4" x14ac:dyDescent="0.2">
      <c r="A4250"/>
      <c r="B4250"/>
      <c r="C4250"/>
      <c r="D4250"/>
    </row>
    <row r="4251" spans="1:4" x14ac:dyDescent="0.2">
      <c r="A4251"/>
      <c r="B4251"/>
      <c r="C4251"/>
      <c r="D4251"/>
    </row>
    <row r="4252" spans="1:4" x14ac:dyDescent="0.2">
      <c r="A4252"/>
      <c r="B4252"/>
      <c r="C4252"/>
      <c r="D4252"/>
    </row>
    <row r="4253" spans="1:4" x14ac:dyDescent="0.2">
      <c r="A4253"/>
      <c r="B4253"/>
      <c r="C4253"/>
      <c r="D4253"/>
    </row>
    <row r="4254" spans="1:4" x14ac:dyDescent="0.2">
      <c r="A4254"/>
      <c r="B4254"/>
      <c r="C4254"/>
      <c r="D4254"/>
    </row>
    <row r="4255" spans="1:4" x14ac:dyDescent="0.2">
      <c r="A4255"/>
      <c r="B4255"/>
      <c r="C4255"/>
      <c r="D4255"/>
    </row>
    <row r="4256" spans="1:4" x14ac:dyDescent="0.2">
      <c r="A4256"/>
      <c r="B4256"/>
      <c r="C4256"/>
      <c r="D4256"/>
    </row>
    <row r="4257" spans="1:4" x14ac:dyDescent="0.2">
      <c r="A4257"/>
      <c r="B4257"/>
      <c r="C4257"/>
      <c r="D4257"/>
    </row>
    <row r="4258" spans="1:4" x14ac:dyDescent="0.2">
      <c r="A4258"/>
      <c r="B4258"/>
      <c r="C4258"/>
      <c r="D4258"/>
    </row>
    <row r="4259" spans="1:4" x14ac:dyDescent="0.2">
      <c r="A4259"/>
      <c r="B4259"/>
      <c r="C4259"/>
      <c r="D4259"/>
    </row>
    <row r="4260" spans="1:4" x14ac:dyDescent="0.2">
      <c r="A4260"/>
      <c r="B4260"/>
      <c r="C4260"/>
      <c r="D4260"/>
    </row>
    <row r="4261" spans="1:4" x14ac:dyDescent="0.2">
      <c r="A4261"/>
      <c r="B4261"/>
      <c r="C4261"/>
      <c r="D4261"/>
    </row>
    <row r="4262" spans="1:4" x14ac:dyDescent="0.2">
      <c r="A4262"/>
      <c r="B4262"/>
      <c r="C4262"/>
      <c r="D4262"/>
    </row>
    <row r="4263" spans="1:4" x14ac:dyDescent="0.2">
      <c r="A4263"/>
      <c r="B4263"/>
      <c r="C4263"/>
      <c r="D4263"/>
    </row>
    <row r="4264" spans="1:4" x14ac:dyDescent="0.2">
      <c r="A4264"/>
      <c r="B4264"/>
      <c r="C4264"/>
      <c r="D4264"/>
    </row>
    <row r="4265" spans="1:4" x14ac:dyDescent="0.2">
      <c r="A4265"/>
      <c r="B4265"/>
      <c r="C4265"/>
      <c r="D4265"/>
    </row>
    <row r="4266" spans="1:4" x14ac:dyDescent="0.2">
      <c r="A4266"/>
      <c r="B4266"/>
      <c r="C4266"/>
      <c r="D4266"/>
    </row>
    <row r="4267" spans="1:4" x14ac:dyDescent="0.2">
      <c r="A4267"/>
      <c r="B4267"/>
      <c r="C4267"/>
      <c r="D4267"/>
    </row>
    <row r="4268" spans="1:4" x14ac:dyDescent="0.2">
      <c r="A4268"/>
      <c r="B4268"/>
      <c r="C4268"/>
      <c r="D4268"/>
    </row>
    <row r="4269" spans="1:4" x14ac:dyDescent="0.2">
      <c r="A4269"/>
      <c r="B4269"/>
      <c r="C4269"/>
      <c r="D4269"/>
    </row>
    <row r="4270" spans="1:4" x14ac:dyDescent="0.2">
      <c r="A4270"/>
      <c r="B4270"/>
      <c r="C4270"/>
      <c r="D4270"/>
    </row>
    <row r="4271" spans="1:4" x14ac:dyDescent="0.2">
      <c r="A4271"/>
      <c r="B4271"/>
      <c r="C4271"/>
      <c r="D4271"/>
    </row>
    <row r="4272" spans="1:4" x14ac:dyDescent="0.2">
      <c r="A4272"/>
      <c r="B4272"/>
      <c r="C4272"/>
      <c r="D4272"/>
    </row>
    <row r="4273" spans="1:4" x14ac:dyDescent="0.2">
      <c r="A4273"/>
      <c r="B4273"/>
      <c r="C4273"/>
      <c r="D4273"/>
    </row>
    <row r="4274" spans="1:4" x14ac:dyDescent="0.2">
      <c r="A4274"/>
      <c r="B4274"/>
      <c r="C4274"/>
      <c r="D4274"/>
    </row>
    <row r="4275" spans="1:4" x14ac:dyDescent="0.2">
      <c r="A4275"/>
      <c r="B4275"/>
      <c r="C4275"/>
      <c r="D4275"/>
    </row>
    <row r="4276" spans="1:4" x14ac:dyDescent="0.2">
      <c r="A4276"/>
      <c r="B4276"/>
      <c r="C4276"/>
      <c r="D4276"/>
    </row>
    <row r="4277" spans="1:4" x14ac:dyDescent="0.2">
      <c r="A4277"/>
      <c r="B4277"/>
      <c r="C4277"/>
      <c r="D4277"/>
    </row>
    <row r="4278" spans="1:4" x14ac:dyDescent="0.2">
      <c r="A4278"/>
      <c r="B4278"/>
      <c r="C4278"/>
      <c r="D4278"/>
    </row>
    <row r="4279" spans="1:4" x14ac:dyDescent="0.2">
      <c r="A4279"/>
      <c r="B4279"/>
      <c r="C4279"/>
      <c r="D4279"/>
    </row>
    <row r="4280" spans="1:4" x14ac:dyDescent="0.2">
      <c r="A4280"/>
      <c r="B4280"/>
      <c r="C4280"/>
      <c r="D4280"/>
    </row>
    <row r="4281" spans="1:4" x14ac:dyDescent="0.2">
      <c r="A4281"/>
      <c r="B4281"/>
      <c r="C4281"/>
      <c r="D4281"/>
    </row>
    <row r="4282" spans="1:4" x14ac:dyDescent="0.2">
      <c r="A4282"/>
      <c r="B4282"/>
      <c r="C4282"/>
      <c r="D4282"/>
    </row>
    <row r="4283" spans="1:4" x14ac:dyDescent="0.2">
      <c r="A4283"/>
      <c r="B4283"/>
      <c r="C4283"/>
      <c r="D4283"/>
    </row>
    <row r="4284" spans="1:4" x14ac:dyDescent="0.2">
      <c r="A4284"/>
      <c r="B4284"/>
      <c r="C4284"/>
      <c r="D4284"/>
    </row>
    <row r="4285" spans="1:4" x14ac:dyDescent="0.2">
      <c r="A4285"/>
      <c r="B4285"/>
      <c r="C4285"/>
      <c r="D4285"/>
    </row>
    <row r="4286" spans="1:4" x14ac:dyDescent="0.2">
      <c r="A4286"/>
      <c r="B4286"/>
      <c r="C4286"/>
      <c r="D4286"/>
    </row>
    <row r="4287" spans="1:4" x14ac:dyDescent="0.2">
      <c r="A4287"/>
      <c r="B4287"/>
      <c r="C4287"/>
      <c r="D4287"/>
    </row>
    <row r="4288" spans="1:4" x14ac:dyDescent="0.2">
      <c r="A4288"/>
      <c r="B4288"/>
      <c r="C4288"/>
      <c r="D4288"/>
    </row>
    <row r="4289" spans="1:4" x14ac:dyDescent="0.2">
      <c r="A4289"/>
      <c r="B4289"/>
      <c r="C4289"/>
      <c r="D4289"/>
    </row>
    <row r="4290" spans="1:4" x14ac:dyDescent="0.2">
      <c r="A4290"/>
      <c r="B4290"/>
      <c r="C4290"/>
      <c r="D4290"/>
    </row>
    <row r="4291" spans="1:4" x14ac:dyDescent="0.2">
      <c r="A4291"/>
      <c r="B4291"/>
      <c r="C4291"/>
      <c r="D4291"/>
    </row>
    <row r="4292" spans="1:4" x14ac:dyDescent="0.2">
      <c r="A4292"/>
      <c r="B4292"/>
      <c r="C4292"/>
      <c r="D4292"/>
    </row>
    <row r="4293" spans="1:4" x14ac:dyDescent="0.2">
      <c r="A4293"/>
      <c r="B4293"/>
      <c r="C4293"/>
      <c r="D4293"/>
    </row>
    <row r="4294" spans="1:4" x14ac:dyDescent="0.2">
      <c r="A4294"/>
      <c r="B4294"/>
      <c r="C4294"/>
      <c r="D4294"/>
    </row>
    <row r="4295" spans="1:4" x14ac:dyDescent="0.2">
      <c r="A4295"/>
      <c r="B4295"/>
      <c r="C4295"/>
      <c r="D4295"/>
    </row>
    <row r="4296" spans="1:4" x14ac:dyDescent="0.2">
      <c r="A4296"/>
      <c r="B4296"/>
      <c r="C4296"/>
      <c r="D4296"/>
    </row>
    <row r="4297" spans="1:4" x14ac:dyDescent="0.2">
      <c r="A4297"/>
      <c r="B4297"/>
      <c r="C4297"/>
      <c r="D4297"/>
    </row>
    <row r="4298" spans="1:4" x14ac:dyDescent="0.2">
      <c r="A4298"/>
      <c r="B4298"/>
      <c r="C4298"/>
      <c r="D4298"/>
    </row>
    <row r="4299" spans="1:4" x14ac:dyDescent="0.2">
      <c r="A4299"/>
      <c r="B4299"/>
      <c r="C4299"/>
      <c r="D4299"/>
    </row>
    <row r="4300" spans="1:4" x14ac:dyDescent="0.2">
      <c r="A4300"/>
      <c r="B4300"/>
      <c r="C4300"/>
      <c r="D4300"/>
    </row>
    <row r="4301" spans="1:4" x14ac:dyDescent="0.2">
      <c r="A4301"/>
      <c r="B4301"/>
      <c r="C4301"/>
      <c r="D4301"/>
    </row>
    <row r="4302" spans="1:4" x14ac:dyDescent="0.2">
      <c r="A4302"/>
      <c r="B4302"/>
      <c r="C4302"/>
      <c r="D4302"/>
    </row>
    <row r="4303" spans="1:4" x14ac:dyDescent="0.2">
      <c r="A4303"/>
      <c r="B4303"/>
      <c r="C4303"/>
      <c r="D4303"/>
    </row>
    <row r="4304" spans="1:4" x14ac:dyDescent="0.2">
      <c r="A4304"/>
      <c r="B4304"/>
      <c r="C4304"/>
      <c r="D4304"/>
    </row>
    <row r="4305" spans="1:4" x14ac:dyDescent="0.2">
      <c r="A4305"/>
      <c r="B4305"/>
      <c r="C4305"/>
      <c r="D4305"/>
    </row>
    <row r="4306" spans="1:4" x14ac:dyDescent="0.2">
      <c r="A4306"/>
      <c r="B4306"/>
      <c r="C4306"/>
      <c r="D4306"/>
    </row>
    <row r="4307" spans="1:4" x14ac:dyDescent="0.2">
      <c r="A4307"/>
      <c r="B4307"/>
      <c r="C4307"/>
      <c r="D4307"/>
    </row>
    <row r="4308" spans="1:4" x14ac:dyDescent="0.2">
      <c r="A4308"/>
      <c r="B4308"/>
      <c r="C4308"/>
      <c r="D4308"/>
    </row>
    <row r="4309" spans="1:4" x14ac:dyDescent="0.2">
      <c r="A4309"/>
      <c r="B4309"/>
      <c r="C4309"/>
      <c r="D4309"/>
    </row>
    <row r="4310" spans="1:4" x14ac:dyDescent="0.2">
      <c r="A4310"/>
      <c r="B4310"/>
      <c r="C4310"/>
      <c r="D4310"/>
    </row>
    <row r="4311" spans="1:4" x14ac:dyDescent="0.2">
      <c r="A4311"/>
      <c r="B4311"/>
      <c r="C4311"/>
      <c r="D4311"/>
    </row>
    <row r="4312" spans="1:4" x14ac:dyDescent="0.2">
      <c r="A4312"/>
      <c r="B4312"/>
      <c r="C4312"/>
      <c r="D4312"/>
    </row>
    <row r="4313" spans="1:4" x14ac:dyDescent="0.2">
      <c r="A4313"/>
      <c r="B4313"/>
      <c r="C4313"/>
      <c r="D4313"/>
    </row>
    <row r="4314" spans="1:4" x14ac:dyDescent="0.2">
      <c r="A4314"/>
      <c r="B4314"/>
      <c r="C4314"/>
      <c r="D4314"/>
    </row>
    <row r="4315" spans="1:4" x14ac:dyDescent="0.2">
      <c r="A4315"/>
      <c r="B4315"/>
      <c r="C4315"/>
      <c r="D4315"/>
    </row>
    <row r="4316" spans="1:4" x14ac:dyDescent="0.2">
      <c r="A4316"/>
      <c r="B4316"/>
      <c r="C4316"/>
      <c r="D4316"/>
    </row>
    <row r="4317" spans="1:4" x14ac:dyDescent="0.2">
      <c r="A4317"/>
      <c r="B4317"/>
      <c r="C4317"/>
      <c r="D4317"/>
    </row>
    <row r="4318" spans="1:4" x14ac:dyDescent="0.2">
      <c r="A4318"/>
      <c r="B4318"/>
      <c r="C4318"/>
      <c r="D4318"/>
    </row>
    <row r="4319" spans="1:4" x14ac:dyDescent="0.2">
      <c r="A4319"/>
      <c r="B4319"/>
      <c r="C4319"/>
      <c r="D4319"/>
    </row>
    <row r="4320" spans="1:4" x14ac:dyDescent="0.2">
      <c r="A4320"/>
      <c r="B4320"/>
      <c r="C4320"/>
      <c r="D4320"/>
    </row>
    <row r="4321" spans="1:4" x14ac:dyDescent="0.2">
      <c r="A4321"/>
      <c r="B4321"/>
      <c r="C4321"/>
      <c r="D4321"/>
    </row>
    <row r="4322" spans="1:4" x14ac:dyDescent="0.2">
      <c r="A4322"/>
      <c r="B4322"/>
      <c r="C4322"/>
      <c r="D4322"/>
    </row>
    <row r="4323" spans="1:4" x14ac:dyDescent="0.2">
      <c r="A4323"/>
      <c r="B4323"/>
      <c r="C4323"/>
      <c r="D4323"/>
    </row>
    <row r="4324" spans="1:4" x14ac:dyDescent="0.2">
      <c r="A4324"/>
      <c r="B4324"/>
      <c r="C4324"/>
      <c r="D4324"/>
    </row>
    <row r="4325" spans="1:4" x14ac:dyDescent="0.2">
      <c r="A4325"/>
      <c r="B4325"/>
      <c r="C4325"/>
      <c r="D4325"/>
    </row>
    <row r="4326" spans="1:4" x14ac:dyDescent="0.2">
      <c r="A4326"/>
      <c r="B4326"/>
      <c r="C4326"/>
      <c r="D4326"/>
    </row>
    <row r="4327" spans="1:4" x14ac:dyDescent="0.2">
      <c r="A4327"/>
      <c r="B4327"/>
      <c r="C4327"/>
      <c r="D4327"/>
    </row>
    <row r="4328" spans="1:4" x14ac:dyDescent="0.2">
      <c r="A4328"/>
      <c r="B4328"/>
      <c r="C4328"/>
      <c r="D4328"/>
    </row>
    <row r="4329" spans="1:4" x14ac:dyDescent="0.2">
      <c r="A4329"/>
      <c r="B4329"/>
      <c r="C4329"/>
      <c r="D4329"/>
    </row>
    <row r="4330" spans="1:4" x14ac:dyDescent="0.2">
      <c r="A4330"/>
      <c r="B4330"/>
      <c r="C4330"/>
      <c r="D4330"/>
    </row>
    <row r="4331" spans="1:4" x14ac:dyDescent="0.2">
      <c r="A4331"/>
      <c r="B4331"/>
      <c r="C4331"/>
      <c r="D4331"/>
    </row>
    <row r="4332" spans="1:4" x14ac:dyDescent="0.2">
      <c r="A4332"/>
      <c r="B4332"/>
      <c r="C4332"/>
      <c r="D4332"/>
    </row>
    <row r="4333" spans="1:4" x14ac:dyDescent="0.2">
      <c r="A4333"/>
      <c r="B4333"/>
      <c r="C4333"/>
      <c r="D4333"/>
    </row>
    <row r="4334" spans="1:4" x14ac:dyDescent="0.2">
      <c r="A4334"/>
      <c r="B4334"/>
      <c r="C4334"/>
      <c r="D4334"/>
    </row>
    <row r="4335" spans="1:4" x14ac:dyDescent="0.2">
      <c r="A4335"/>
      <c r="B4335"/>
      <c r="C4335"/>
      <c r="D4335"/>
    </row>
    <row r="4336" spans="1:4" x14ac:dyDescent="0.2">
      <c r="A4336"/>
      <c r="B4336"/>
      <c r="C4336"/>
      <c r="D4336"/>
    </row>
    <row r="4337" spans="1:4" x14ac:dyDescent="0.2">
      <c r="A4337"/>
      <c r="B4337"/>
      <c r="C4337"/>
      <c r="D4337"/>
    </row>
    <row r="4338" spans="1:4" x14ac:dyDescent="0.2">
      <c r="A4338"/>
      <c r="B4338"/>
      <c r="C4338"/>
      <c r="D4338"/>
    </row>
    <row r="4339" spans="1:4" x14ac:dyDescent="0.2">
      <c r="A4339"/>
      <c r="B4339"/>
      <c r="C4339"/>
      <c r="D4339"/>
    </row>
    <row r="4340" spans="1:4" x14ac:dyDescent="0.2">
      <c r="A4340"/>
      <c r="B4340"/>
      <c r="C4340"/>
      <c r="D4340"/>
    </row>
    <row r="4341" spans="1:4" x14ac:dyDescent="0.2">
      <c r="A4341"/>
      <c r="B4341"/>
      <c r="C4341"/>
      <c r="D4341"/>
    </row>
    <row r="4342" spans="1:4" x14ac:dyDescent="0.2">
      <c r="A4342"/>
      <c r="B4342"/>
      <c r="C4342"/>
      <c r="D4342"/>
    </row>
    <row r="4343" spans="1:4" x14ac:dyDescent="0.2">
      <c r="A4343"/>
      <c r="B4343"/>
      <c r="C4343"/>
      <c r="D4343"/>
    </row>
    <row r="4344" spans="1:4" x14ac:dyDescent="0.2">
      <c r="A4344"/>
      <c r="B4344"/>
      <c r="C4344"/>
      <c r="D4344"/>
    </row>
    <row r="4345" spans="1:4" x14ac:dyDescent="0.2">
      <c r="A4345"/>
      <c r="B4345"/>
      <c r="C4345"/>
      <c r="D4345"/>
    </row>
    <row r="4346" spans="1:4" x14ac:dyDescent="0.2">
      <c r="A4346"/>
      <c r="B4346"/>
      <c r="C4346"/>
      <c r="D4346"/>
    </row>
    <row r="4347" spans="1:4" x14ac:dyDescent="0.2">
      <c r="A4347"/>
      <c r="B4347"/>
      <c r="C4347"/>
      <c r="D4347"/>
    </row>
    <row r="4348" spans="1:4" x14ac:dyDescent="0.2">
      <c r="A4348"/>
      <c r="B4348"/>
      <c r="C4348"/>
      <c r="D4348"/>
    </row>
    <row r="4349" spans="1:4" x14ac:dyDescent="0.2">
      <c r="A4349"/>
      <c r="B4349"/>
      <c r="C4349"/>
      <c r="D4349"/>
    </row>
    <row r="4350" spans="1:4" x14ac:dyDescent="0.2">
      <c r="A4350"/>
      <c r="B4350"/>
      <c r="C4350"/>
      <c r="D4350"/>
    </row>
    <row r="4351" spans="1:4" x14ac:dyDescent="0.2">
      <c r="A4351"/>
      <c r="B4351"/>
      <c r="C4351"/>
      <c r="D4351"/>
    </row>
    <row r="4352" spans="1:4" x14ac:dyDescent="0.2">
      <c r="A4352"/>
      <c r="B4352"/>
      <c r="C4352"/>
      <c r="D4352"/>
    </row>
    <row r="4353" spans="1:4" x14ac:dyDescent="0.2">
      <c r="A4353"/>
      <c r="B4353"/>
      <c r="C4353"/>
      <c r="D4353"/>
    </row>
    <row r="4354" spans="1:4" x14ac:dyDescent="0.2">
      <c r="A4354"/>
      <c r="B4354"/>
      <c r="C4354"/>
      <c r="D4354"/>
    </row>
    <row r="4355" spans="1:4" x14ac:dyDescent="0.2">
      <c r="A4355"/>
      <c r="B4355"/>
      <c r="C4355"/>
      <c r="D4355"/>
    </row>
    <row r="4356" spans="1:4" x14ac:dyDescent="0.2">
      <c r="A4356"/>
      <c r="B4356"/>
      <c r="C4356"/>
      <c r="D4356"/>
    </row>
    <row r="4357" spans="1:4" x14ac:dyDescent="0.2">
      <c r="A4357"/>
      <c r="B4357"/>
      <c r="C4357"/>
      <c r="D4357"/>
    </row>
    <row r="4358" spans="1:4" x14ac:dyDescent="0.2">
      <c r="A4358"/>
      <c r="B4358"/>
      <c r="C4358"/>
      <c r="D4358"/>
    </row>
    <row r="4359" spans="1:4" x14ac:dyDescent="0.2">
      <c r="A4359"/>
      <c r="B4359"/>
      <c r="C4359"/>
      <c r="D4359"/>
    </row>
    <row r="4360" spans="1:4" x14ac:dyDescent="0.2">
      <c r="A4360"/>
      <c r="B4360"/>
      <c r="C4360"/>
      <c r="D4360"/>
    </row>
    <row r="4361" spans="1:4" x14ac:dyDescent="0.2">
      <c r="A4361"/>
      <c r="B4361"/>
      <c r="C4361"/>
      <c r="D4361"/>
    </row>
    <row r="4362" spans="1:4" x14ac:dyDescent="0.2">
      <c r="A4362"/>
      <c r="B4362"/>
      <c r="C4362"/>
      <c r="D4362"/>
    </row>
    <row r="4363" spans="1:4" x14ac:dyDescent="0.2">
      <c r="A4363"/>
      <c r="B4363"/>
      <c r="C4363"/>
      <c r="D4363"/>
    </row>
    <row r="4364" spans="1:4" x14ac:dyDescent="0.2">
      <c r="A4364"/>
      <c r="B4364"/>
      <c r="C4364"/>
      <c r="D4364"/>
    </row>
    <row r="4365" spans="1:4" x14ac:dyDescent="0.2">
      <c r="A4365"/>
      <c r="B4365"/>
      <c r="C4365"/>
      <c r="D4365"/>
    </row>
    <row r="4366" spans="1:4" x14ac:dyDescent="0.2">
      <c r="A4366"/>
      <c r="B4366"/>
      <c r="C4366"/>
      <c r="D4366"/>
    </row>
    <row r="4367" spans="1:4" x14ac:dyDescent="0.2">
      <c r="A4367"/>
      <c r="B4367"/>
      <c r="C4367"/>
      <c r="D4367"/>
    </row>
    <row r="4368" spans="1:4" x14ac:dyDescent="0.2">
      <c r="A4368"/>
      <c r="B4368"/>
      <c r="C4368"/>
      <c r="D4368"/>
    </row>
    <row r="4369" spans="1:4" x14ac:dyDescent="0.2">
      <c r="A4369"/>
      <c r="B4369"/>
      <c r="C4369"/>
      <c r="D4369"/>
    </row>
    <row r="4370" spans="1:4" x14ac:dyDescent="0.2">
      <c r="A4370"/>
      <c r="B4370"/>
      <c r="C4370"/>
      <c r="D4370"/>
    </row>
    <row r="4371" spans="1:4" x14ac:dyDescent="0.2">
      <c r="A4371"/>
      <c r="B4371"/>
      <c r="C4371"/>
      <c r="D4371"/>
    </row>
    <row r="4372" spans="1:4" x14ac:dyDescent="0.2">
      <c r="A4372"/>
      <c r="B4372"/>
      <c r="C4372"/>
      <c r="D4372"/>
    </row>
    <row r="4373" spans="1:4" x14ac:dyDescent="0.2">
      <c r="A4373"/>
      <c r="B4373"/>
      <c r="C4373"/>
      <c r="D4373"/>
    </row>
    <row r="4374" spans="1:4" x14ac:dyDescent="0.2">
      <c r="A4374"/>
      <c r="B4374"/>
      <c r="C4374"/>
      <c r="D4374"/>
    </row>
    <row r="4375" spans="1:4" x14ac:dyDescent="0.2">
      <c r="A4375"/>
      <c r="B4375"/>
      <c r="C4375"/>
      <c r="D4375"/>
    </row>
    <row r="4376" spans="1:4" x14ac:dyDescent="0.2">
      <c r="A4376"/>
      <c r="B4376"/>
      <c r="C4376"/>
      <c r="D4376"/>
    </row>
    <row r="4377" spans="1:4" x14ac:dyDescent="0.2">
      <c r="A4377"/>
      <c r="B4377"/>
      <c r="C4377"/>
      <c r="D4377"/>
    </row>
    <row r="4378" spans="1:4" x14ac:dyDescent="0.2">
      <c r="A4378"/>
      <c r="B4378"/>
      <c r="C4378"/>
      <c r="D4378"/>
    </row>
    <row r="4379" spans="1:4" x14ac:dyDescent="0.2">
      <c r="A4379"/>
      <c r="B4379"/>
      <c r="C4379"/>
      <c r="D4379"/>
    </row>
    <row r="4380" spans="1:4" x14ac:dyDescent="0.2">
      <c r="A4380"/>
      <c r="B4380"/>
      <c r="C4380"/>
      <c r="D4380"/>
    </row>
    <row r="4381" spans="1:4" x14ac:dyDescent="0.2">
      <c r="A4381"/>
      <c r="B4381"/>
      <c r="C4381"/>
      <c r="D4381"/>
    </row>
    <row r="4382" spans="1:4" x14ac:dyDescent="0.2">
      <c r="A4382"/>
      <c r="B4382"/>
      <c r="C4382"/>
      <c r="D4382"/>
    </row>
    <row r="4383" spans="1:4" x14ac:dyDescent="0.2">
      <c r="A4383"/>
      <c r="B4383"/>
      <c r="C4383"/>
      <c r="D4383"/>
    </row>
    <row r="4384" spans="1:4" x14ac:dyDescent="0.2">
      <c r="A4384"/>
      <c r="B4384"/>
      <c r="C4384"/>
      <c r="D4384"/>
    </row>
    <row r="4385" spans="1:4" x14ac:dyDescent="0.2">
      <c r="A4385"/>
      <c r="B4385"/>
      <c r="C4385"/>
      <c r="D4385"/>
    </row>
    <row r="4386" spans="1:4" x14ac:dyDescent="0.2">
      <c r="A4386"/>
      <c r="B4386"/>
      <c r="C4386"/>
      <c r="D4386"/>
    </row>
    <row r="4387" spans="1:4" x14ac:dyDescent="0.2">
      <c r="A4387"/>
      <c r="B4387"/>
      <c r="C4387"/>
      <c r="D4387"/>
    </row>
    <row r="4388" spans="1:4" x14ac:dyDescent="0.2">
      <c r="A4388"/>
      <c r="B4388"/>
      <c r="C4388"/>
      <c r="D4388"/>
    </row>
    <row r="4389" spans="1:4" x14ac:dyDescent="0.2">
      <c r="A4389"/>
      <c r="B4389"/>
      <c r="C4389"/>
      <c r="D4389"/>
    </row>
    <row r="4390" spans="1:4" x14ac:dyDescent="0.2">
      <c r="A4390"/>
      <c r="B4390"/>
      <c r="C4390"/>
      <c r="D4390"/>
    </row>
    <row r="4391" spans="1:4" x14ac:dyDescent="0.2">
      <c r="A4391"/>
      <c r="B4391"/>
      <c r="C4391"/>
      <c r="D4391"/>
    </row>
    <row r="4392" spans="1:4" x14ac:dyDescent="0.2">
      <c r="A4392"/>
      <c r="B4392"/>
      <c r="C4392"/>
      <c r="D4392"/>
    </row>
    <row r="4393" spans="1:4" x14ac:dyDescent="0.2">
      <c r="A4393"/>
      <c r="B4393"/>
      <c r="C4393"/>
      <c r="D4393"/>
    </row>
    <row r="4394" spans="1:4" x14ac:dyDescent="0.2">
      <c r="A4394"/>
      <c r="B4394"/>
      <c r="C4394"/>
      <c r="D4394"/>
    </row>
    <row r="4395" spans="1:4" x14ac:dyDescent="0.2">
      <c r="A4395"/>
      <c r="B4395"/>
      <c r="C4395"/>
      <c r="D4395"/>
    </row>
    <row r="4396" spans="1:4" x14ac:dyDescent="0.2">
      <c r="A4396"/>
      <c r="B4396"/>
      <c r="C4396"/>
      <c r="D4396"/>
    </row>
    <row r="4397" spans="1:4" x14ac:dyDescent="0.2">
      <c r="A4397"/>
      <c r="B4397"/>
      <c r="C4397"/>
      <c r="D4397"/>
    </row>
    <row r="4398" spans="1:4" x14ac:dyDescent="0.2">
      <c r="A4398"/>
      <c r="B4398"/>
      <c r="C4398"/>
      <c r="D4398"/>
    </row>
    <row r="4399" spans="1:4" x14ac:dyDescent="0.2">
      <c r="A4399"/>
      <c r="B4399"/>
      <c r="C4399"/>
      <c r="D4399"/>
    </row>
    <row r="4400" spans="1:4" x14ac:dyDescent="0.2">
      <c r="A4400"/>
      <c r="B4400"/>
      <c r="C4400"/>
      <c r="D4400"/>
    </row>
    <row r="4401" spans="1:4" x14ac:dyDescent="0.2">
      <c r="A4401"/>
      <c r="B4401"/>
      <c r="C4401"/>
      <c r="D4401"/>
    </row>
    <row r="4402" spans="1:4" x14ac:dyDescent="0.2">
      <c r="A4402"/>
      <c r="B4402"/>
      <c r="C4402"/>
      <c r="D4402"/>
    </row>
    <row r="4403" spans="1:4" x14ac:dyDescent="0.2">
      <c r="A4403"/>
      <c r="B4403"/>
      <c r="C4403"/>
      <c r="D4403"/>
    </row>
    <row r="4404" spans="1:4" x14ac:dyDescent="0.2">
      <c r="A4404"/>
      <c r="B4404"/>
      <c r="C4404"/>
      <c r="D4404"/>
    </row>
    <row r="4405" spans="1:4" x14ac:dyDescent="0.2">
      <c r="A4405"/>
      <c r="B4405"/>
      <c r="C4405"/>
      <c r="D4405"/>
    </row>
    <row r="4406" spans="1:4" x14ac:dyDescent="0.2">
      <c r="A4406"/>
      <c r="B4406"/>
      <c r="C4406"/>
      <c r="D4406"/>
    </row>
    <row r="4407" spans="1:4" x14ac:dyDescent="0.2">
      <c r="A4407"/>
      <c r="B4407"/>
      <c r="C4407"/>
      <c r="D4407"/>
    </row>
    <row r="4408" spans="1:4" x14ac:dyDescent="0.2">
      <c r="A4408"/>
      <c r="B4408"/>
      <c r="C4408"/>
      <c r="D4408"/>
    </row>
    <row r="4409" spans="1:4" x14ac:dyDescent="0.2">
      <c r="A4409"/>
      <c r="B4409"/>
      <c r="C4409"/>
      <c r="D4409"/>
    </row>
    <row r="4410" spans="1:4" x14ac:dyDescent="0.2">
      <c r="A4410"/>
      <c r="B4410"/>
      <c r="C4410"/>
      <c r="D4410"/>
    </row>
    <row r="4411" spans="1:4" x14ac:dyDescent="0.2">
      <c r="A4411"/>
      <c r="B4411"/>
      <c r="C4411"/>
      <c r="D4411"/>
    </row>
    <row r="4412" spans="1:4" x14ac:dyDescent="0.2">
      <c r="A4412"/>
      <c r="B4412"/>
      <c r="C4412"/>
      <c r="D4412"/>
    </row>
    <row r="4413" spans="1:4" x14ac:dyDescent="0.2">
      <c r="A4413"/>
      <c r="B4413"/>
      <c r="C4413"/>
      <c r="D4413"/>
    </row>
    <row r="4414" spans="1:4" x14ac:dyDescent="0.2">
      <c r="A4414"/>
      <c r="B4414"/>
      <c r="C4414"/>
      <c r="D4414"/>
    </row>
    <row r="4415" spans="1:4" x14ac:dyDescent="0.2">
      <c r="A4415"/>
      <c r="B4415"/>
      <c r="C4415"/>
      <c r="D4415"/>
    </row>
    <row r="4416" spans="1:4" x14ac:dyDescent="0.2">
      <c r="A4416"/>
      <c r="B4416"/>
      <c r="C4416"/>
      <c r="D4416"/>
    </row>
    <row r="4417" spans="1:4" x14ac:dyDescent="0.2">
      <c r="A4417"/>
      <c r="B4417"/>
      <c r="C4417"/>
      <c r="D4417"/>
    </row>
    <row r="4418" spans="1:4" x14ac:dyDescent="0.2">
      <c r="A4418"/>
      <c r="B4418"/>
      <c r="C4418"/>
      <c r="D4418"/>
    </row>
    <row r="4419" spans="1:4" x14ac:dyDescent="0.2">
      <c r="A4419"/>
      <c r="B4419"/>
      <c r="C4419"/>
      <c r="D4419"/>
    </row>
    <row r="4420" spans="1:4" x14ac:dyDescent="0.2">
      <c r="A4420"/>
      <c r="B4420"/>
      <c r="C4420"/>
      <c r="D4420"/>
    </row>
    <row r="4421" spans="1:4" x14ac:dyDescent="0.2">
      <c r="A4421"/>
      <c r="B4421"/>
      <c r="C4421"/>
      <c r="D4421"/>
    </row>
    <row r="4422" spans="1:4" x14ac:dyDescent="0.2">
      <c r="A4422"/>
      <c r="B4422"/>
      <c r="C4422"/>
      <c r="D4422"/>
    </row>
    <row r="4423" spans="1:4" x14ac:dyDescent="0.2">
      <c r="A4423"/>
      <c r="B4423"/>
      <c r="C4423"/>
      <c r="D4423"/>
    </row>
    <row r="4424" spans="1:4" x14ac:dyDescent="0.2">
      <c r="A4424"/>
      <c r="B4424"/>
      <c r="C4424"/>
      <c r="D4424"/>
    </row>
    <row r="4425" spans="1:4" x14ac:dyDescent="0.2">
      <c r="A4425"/>
      <c r="B4425"/>
      <c r="C4425"/>
      <c r="D4425"/>
    </row>
    <row r="4426" spans="1:4" x14ac:dyDescent="0.2">
      <c r="A4426"/>
      <c r="B4426"/>
      <c r="C4426"/>
      <c r="D4426"/>
    </row>
    <row r="4427" spans="1:4" x14ac:dyDescent="0.2">
      <c r="A4427"/>
      <c r="B4427"/>
      <c r="C4427"/>
      <c r="D4427"/>
    </row>
    <row r="4428" spans="1:4" x14ac:dyDescent="0.2">
      <c r="A4428"/>
      <c r="B4428"/>
      <c r="C4428"/>
      <c r="D4428"/>
    </row>
    <row r="4429" spans="1:4" x14ac:dyDescent="0.2">
      <c r="A4429"/>
      <c r="B4429"/>
      <c r="C4429"/>
      <c r="D4429"/>
    </row>
    <row r="4430" spans="1:4" x14ac:dyDescent="0.2">
      <c r="A4430"/>
      <c r="B4430"/>
      <c r="C4430"/>
      <c r="D4430"/>
    </row>
    <row r="4431" spans="1:4" x14ac:dyDescent="0.2">
      <c r="A4431"/>
      <c r="B4431"/>
      <c r="C4431"/>
      <c r="D4431"/>
    </row>
    <row r="4432" spans="1:4" x14ac:dyDescent="0.2">
      <c r="A4432"/>
      <c r="B4432"/>
      <c r="C4432"/>
      <c r="D4432"/>
    </row>
    <row r="4433" spans="1:4" x14ac:dyDescent="0.2">
      <c r="A4433"/>
      <c r="B4433"/>
      <c r="C4433"/>
      <c r="D4433"/>
    </row>
    <row r="4434" spans="1:4" x14ac:dyDescent="0.2">
      <c r="A4434"/>
      <c r="B4434"/>
      <c r="C4434"/>
      <c r="D4434"/>
    </row>
    <row r="4435" spans="1:4" x14ac:dyDescent="0.2">
      <c r="A4435"/>
      <c r="B4435"/>
      <c r="C4435"/>
      <c r="D4435"/>
    </row>
    <row r="4436" spans="1:4" x14ac:dyDescent="0.2">
      <c r="A4436"/>
      <c r="B4436"/>
      <c r="C4436"/>
      <c r="D4436"/>
    </row>
    <row r="4437" spans="1:4" x14ac:dyDescent="0.2">
      <c r="A4437"/>
      <c r="B4437"/>
      <c r="C4437"/>
      <c r="D4437"/>
    </row>
    <row r="4438" spans="1:4" x14ac:dyDescent="0.2">
      <c r="A4438"/>
      <c r="B4438"/>
      <c r="C4438"/>
      <c r="D4438"/>
    </row>
    <row r="4439" spans="1:4" x14ac:dyDescent="0.2">
      <c r="A4439"/>
      <c r="B4439"/>
      <c r="C4439"/>
      <c r="D4439"/>
    </row>
    <row r="4440" spans="1:4" x14ac:dyDescent="0.2">
      <c r="A4440"/>
      <c r="B4440"/>
      <c r="C4440"/>
      <c r="D4440"/>
    </row>
    <row r="4441" spans="1:4" x14ac:dyDescent="0.2">
      <c r="A4441"/>
      <c r="B4441"/>
      <c r="C4441"/>
      <c r="D4441"/>
    </row>
    <row r="4442" spans="1:4" x14ac:dyDescent="0.2">
      <c r="A4442"/>
      <c r="B4442"/>
      <c r="C4442"/>
      <c r="D4442"/>
    </row>
    <row r="4443" spans="1:4" x14ac:dyDescent="0.2">
      <c r="A4443"/>
      <c r="B4443"/>
      <c r="C4443"/>
      <c r="D4443"/>
    </row>
    <row r="4444" spans="1:4" x14ac:dyDescent="0.2">
      <c r="A4444"/>
      <c r="B4444"/>
      <c r="C4444"/>
      <c r="D4444"/>
    </row>
    <row r="4445" spans="1:4" x14ac:dyDescent="0.2">
      <c r="A4445"/>
      <c r="B4445"/>
      <c r="C4445"/>
      <c r="D4445"/>
    </row>
    <row r="4446" spans="1:4" x14ac:dyDescent="0.2">
      <c r="A4446"/>
      <c r="B4446"/>
      <c r="C4446"/>
      <c r="D4446"/>
    </row>
    <row r="4447" spans="1:4" x14ac:dyDescent="0.2">
      <c r="A4447"/>
      <c r="B4447"/>
      <c r="C4447"/>
      <c r="D4447"/>
    </row>
    <row r="4448" spans="1:4" x14ac:dyDescent="0.2">
      <c r="A4448"/>
      <c r="B4448"/>
      <c r="C4448"/>
      <c r="D4448"/>
    </row>
    <row r="4449" spans="1:4" x14ac:dyDescent="0.2">
      <c r="A4449"/>
      <c r="B4449"/>
      <c r="C4449"/>
      <c r="D4449"/>
    </row>
    <row r="4450" spans="1:4" x14ac:dyDescent="0.2">
      <c r="A4450"/>
      <c r="B4450"/>
      <c r="C4450"/>
      <c r="D4450"/>
    </row>
    <row r="4451" spans="1:4" x14ac:dyDescent="0.2">
      <c r="A4451"/>
      <c r="B4451"/>
      <c r="C4451"/>
      <c r="D4451"/>
    </row>
    <row r="4452" spans="1:4" x14ac:dyDescent="0.2">
      <c r="A4452"/>
      <c r="B4452"/>
      <c r="C4452"/>
      <c r="D4452"/>
    </row>
    <row r="4453" spans="1:4" x14ac:dyDescent="0.2">
      <c r="A4453"/>
      <c r="B4453"/>
      <c r="C4453"/>
      <c r="D4453"/>
    </row>
    <row r="4454" spans="1:4" x14ac:dyDescent="0.2">
      <c r="A4454"/>
      <c r="B4454"/>
      <c r="C4454"/>
      <c r="D4454"/>
    </row>
    <row r="4455" spans="1:4" x14ac:dyDescent="0.2">
      <c r="A4455"/>
      <c r="B4455"/>
      <c r="C4455"/>
      <c r="D4455"/>
    </row>
    <row r="4456" spans="1:4" x14ac:dyDescent="0.2">
      <c r="A4456"/>
      <c r="B4456"/>
      <c r="C4456"/>
      <c r="D4456"/>
    </row>
    <row r="4457" spans="1:4" x14ac:dyDescent="0.2">
      <c r="A4457"/>
      <c r="B4457"/>
      <c r="C4457"/>
      <c r="D4457"/>
    </row>
    <row r="4458" spans="1:4" x14ac:dyDescent="0.2">
      <c r="A4458"/>
      <c r="B4458"/>
      <c r="C4458"/>
      <c r="D4458"/>
    </row>
    <row r="4459" spans="1:4" x14ac:dyDescent="0.2">
      <c r="A4459"/>
      <c r="B4459"/>
      <c r="C4459"/>
      <c r="D4459"/>
    </row>
    <row r="4460" spans="1:4" x14ac:dyDescent="0.2">
      <c r="A4460"/>
      <c r="B4460"/>
      <c r="C4460"/>
      <c r="D4460"/>
    </row>
    <row r="4461" spans="1:4" x14ac:dyDescent="0.2">
      <c r="A4461"/>
      <c r="B4461"/>
      <c r="C4461"/>
      <c r="D4461"/>
    </row>
    <row r="4462" spans="1:4" x14ac:dyDescent="0.2">
      <c r="A4462"/>
      <c r="B4462"/>
      <c r="C4462"/>
      <c r="D4462"/>
    </row>
    <row r="4463" spans="1:4" x14ac:dyDescent="0.2">
      <c r="A4463"/>
      <c r="B4463"/>
      <c r="C4463"/>
      <c r="D4463"/>
    </row>
    <row r="4464" spans="1:4" x14ac:dyDescent="0.2">
      <c r="A4464"/>
      <c r="B4464"/>
      <c r="C4464"/>
      <c r="D4464"/>
    </row>
    <row r="4465" spans="1:4" x14ac:dyDescent="0.2">
      <c r="A4465"/>
      <c r="B4465"/>
      <c r="C4465"/>
      <c r="D4465"/>
    </row>
    <row r="4466" spans="1:4" x14ac:dyDescent="0.2">
      <c r="A4466"/>
      <c r="B4466"/>
      <c r="C4466"/>
      <c r="D4466"/>
    </row>
    <row r="4467" spans="1:4" x14ac:dyDescent="0.2">
      <c r="A4467"/>
      <c r="B4467"/>
      <c r="C4467"/>
      <c r="D4467"/>
    </row>
    <row r="4468" spans="1:4" x14ac:dyDescent="0.2">
      <c r="A4468"/>
      <c r="B4468"/>
      <c r="C4468"/>
      <c r="D4468"/>
    </row>
    <row r="4469" spans="1:4" x14ac:dyDescent="0.2">
      <c r="A4469"/>
      <c r="B4469"/>
      <c r="C4469"/>
      <c r="D4469"/>
    </row>
    <row r="4470" spans="1:4" x14ac:dyDescent="0.2">
      <c r="A4470"/>
      <c r="B4470"/>
      <c r="C4470"/>
      <c r="D4470"/>
    </row>
    <row r="4471" spans="1:4" x14ac:dyDescent="0.2">
      <c r="A4471"/>
      <c r="B4471"/>
      <c r="C4471"/>
      <c r="D4471"/>
    </row>
    <row r="4472" spans="1:4" x14ac:dyDescent="0.2">
      <c r="A4472"/>
      <c r="B4472"/>
      <c r="C4472"/>
      <c r="D4472"/>
    </row>
    <row r="4473" spans="1:4" x14ac:dyDescent="0.2">
      <c r="A4473"/>
      <c r="B4473"/>
      <c r="C4473"/>
      <c r="D4473"/>
    </row>
    <row r="4474" spans="1:4" x14ac:dyDescent="0.2">
      <c r="A4474"/>
      <c r="B4474"/>
      <c r="C4474"/>
      <c r="D4474"/>
    </row>
    <row r="4475" spans="1:4" x14ac:dyDescent="0.2">
      <c r="A4475"/>
      <c r="B4475"/>
      <c r="C4475"/>
      <c r="D4475"/>
    </row>
    <row r="4476" spans="1:4" x14ac:dyDescent="0.2">
      <c r="A4476"/>
      <c r="B4476"/>
      <c r="C4476"/>
      <c r="D4476"/>
    </row>
    <row r="4477" spans="1:4" x14ac:dyDescent="0.2">
      <c r="A4477"/>
      <c r="B4477"/>
      <c r="C4477"/>
      <c r="D4477"/>
    </row>
    <row r="4478" spans="1:4" x14ac:dyDescent="0.2">
      <c r="A4478"/>
      <c r="B4478"/>
      <c r="C4478"/>
      <c r="D4478"/>
    </row>
    <row r="4479" spans="1:4" x14ac:dyDescent="0.2">
      <c r="A4479"/>
      <c r="B4479"/>
      <c r="C4479"/>
      <c r="D4479"/>
    </row>
    <row r="4480" spans="1:4" x14ac:dyDescent="0.2">
      <c r="A4480"/>
      <c r="B4480"/>
      <c r="C4480"/>
      <c r="D4480"/>
    </row>
    <row r="4481" spans="1:4" x14ac:dyDescent="0.2">
      <c r="A4481"/>
      <c r="B4481"/>
      <c r="C4481"/>
      <c r="D4481"/>
    </row>
    <row r="4482" spans="1:4" x14ac:dyDescent="0.2">
      <c r="A4482"/>
      <c r="B4482"/>
      <c r="C4482"/>
      <c r="D4482"/>
    </row>
    <row r="4483" spans="1:4" x14ac:dyDescent="0.2">
      <c r="A4483"/>
      <c r="B4483"/>
      <c r="C4483"/>
      <c r="D4483"/>
    </row>
    <row r="4484" spans="1:4" x14ac:dyDescent="0.2">
      <c r="A4484"/>
      <c r="B4484"/>
      <c r="C4484"/>
      <c r="D4484"/>
    </row>
    <row r="4485" spans="1:4" x14ac:dyDescent="0.2">
      <c r="A4485"/>
      <c r="B4485"/>
      <c r="C4485"/>
      <c r="D4485"/>
    </row>
    <row r="4486" spans="1:4" x14ac:dyDescent="0.2">
      <c r="A4486"/>
      <c r="B4486"/>
      <c r="C4486"/>
      <c r="D4486"/>
    </row>
    <row r="4487" spans="1:4" x14ac:dyDescent="0.2">
      <c r="A4487"/>
      <c r="B4487"/>
      <c r="C4487"/>
      <c r="D4487"/>
    </row>
    <row r="4488" spans="1:4" x14ac:dyDescent="0.2">
      <c r="A4488"/>
      <c r="B4488"/>
      <c r="C4488"/>
      <c r="D4488"/>
    </row>
    <row r="4489" spans="1:4" x14ac:dyDescent="0.2">
      <c r="A4489"/>
      <c r="B4489"/>
      <c r="C4489"/>
      <c r="D4489"/>
    </row>
    <row r="4490" spans="1:4" x14ac:dyDescent="0.2">
      <c r="A4490"/>
      <c r="B4490"/>
      <c r="C4490"/>
      <c r="D4490"/>
    </row>
    <row r="4491" spans="1:4" x14ac:dyDescent="0.2">
      <c r="A4491"/>
      <c r="B4491"/>
      <c r="C4491"/>
      <c r="D4491"/>
    </row>
    <row r="4492" spans="1:4" x14ac:dyDescent="0.2">
      <c r="A4492"/>
      <c r="B4492"/>
      <c r="C4492"/>
      <c r="D4492"/>
    </row>
    <row r="4493" spans="1:4" x14ac:dyDescent="0.2">
      <c r="A4493"/>
      <c r="B4493"/>
      <c r="C4493"/>
      <c r="D4493"/>
    </row>
    <row r="4494" spans="1:4" x14ac:dyDescent="0.2">
      <c r="A4494"/>
      <c r="B4494"/>
      <c r="C4494"/>
      <c r="D4494"/>
    </row>
    <row r="4495" spans="1:4" x14ac:dyDescent="0.2">
      <c r="A4495"/>
      <c r="B4495"/>
      <c r="C4495"/>
      <c r="D4495"/>
    </row>
    <row r="4496" spans="1:4" x14ac:dyDescent="0.2">
      <c r="A4496"/>
      <c r="B4496"/>
      <c r="C4496"/>
      <c r="D4496"/>
    </row>
    <row r="4497" spans="1:4" x14ac:dyDescent="0.2">
      <c r="A4497"/>
      <c r="B4497"/>
      <c r="C4497"/>
      <c r="D4497"/>
    </row>
    <row r="4498" spans="1:4" x14ac:dyDescent="0.2">
      <c r="A4498"/>
      <c r="B4498"/>
      <c r="C4498"/>
      <c r="D4498"/>
    </row>
    <row r="4499" spans="1:4" x14ac:dyDescent="0.2">
      <c r="A4499"/>
      <c r="B4499"/>
      <c r="C4499"/>
      <c r="D4499"/>
    </row>
    <row r="4500" spans="1:4" x14ac:dyDescent="0.2">
      <c r="A4500"/>
      <c r="B4500"/>
      <c r="C4500"/>
      <c r="D4500"/>
    </row>
    <row r="4501" spans="1:4" x14ac:dyDescent="0.2">
      <c r="A4501"/>
      <c r="B4501"/>
      <c r="C4501"/>
      <c r="D4501"/>
    </row>
    <row r="4502" spans="1:4" x14ac:dyDescent="0.2">
      <c r="A4502"/>
      <c r="B4502"/>
      <c r="C4502"/>
      <c r="D4502"/>
    </row>
    <row r="4503" spans="1:4" x14ac:dyDescent="0.2">
      <c r="A4503"/>
      <c r="B4503"/>
      <c r="C4503"/>
      <c r="D4503"/>
    </row>
    <row r="4504" spans="1:4" x14ac:dyDescent="0.2">
      <c r="A4504"/>
      <c r="B4504"/>
      <c r="C4504"/>
      <c r="D4504"/>
    </row>
    <row r="4505" spans="1:4" x14ac:dyDescent="0.2">
      <c r="A4505"/>
      <c r="B4505"/>
      <c r="C4505"/>
      <c r="D4505"/>
    </row>
    <row r="4506" spans="1:4" x14ac:dyDescent="0.2">
      <c r="A4506"/>
      <c r="B4506"/>
      <c r="C4506"/>
      <c r="D4506"/>
    </row>
    <row r="4507" spans="1:4" x14ac:dyDescent="0.2">
      <c r="A4507"/>
      <c r="B4507"/>
      <c r="C4507"/>
      <c r="D4507"/>
    </row>
    <row r="4508" spans="1:4" x14ac:dyDescent="0.2">
      <c r="A4508"/>
      <c r="B4508"/>
      <c r="C4508"/>
      <c r="D4508"/>
    </row>
    <row r="4509" spans="1:4" x14ac:dyDescent="0.2">
      <c r="A4509"/>
      <c r="B4509"/>
      <c r="C4509"/>
      <c r="D4509"/>
    </row>
    <row r="4510" spans="1:4" x14ac:dyDescent="0.2">
      <c r="A4510"/>
      <c r="B4510"/>
      <c r="C4510"/>
      <c r="D4510"/>
    </row>
    <row r="4511" spans="1:4" x14ac:dyDescent="0.2">
      <c r="A4511"/>
      <c r="B4511"/>
      <c r="C4511"/>
      <c r="D4511"/>
    </row>
    <row r="4512" spans="1:4" x14ac:dyDescent="0.2">
      <c r="A4512"/>
      <c r="B4512"/>
      <c r="C4512"/>
      <c r="D4512"/>
    </row>
    <row r="4513" spans="1:4" x14ac:dyDescent="0.2">
      <c r="A4513"/>
      <c r="B4513"/>
      <c r="C4513"/>
      <c r="D4513"/>
    </row>
    <row r="4514" spans="1:4" x14ac:dyDescent="0.2">
      <c r="A4514"/>
      <c r="B4514"/>
      <c r="C4514"/>
      <c r="D4514"/>
    </row>
    <row r="4515" spans="1:4" x14ac:dyDescent="0.2">
      <c r="A4515"/>
      <c r="B4515"/>
      <c r="C4515"/>
      <c r="D4515"/>
    </row>
    <row r="4516" spans="1:4" x14ac:dyDescent="0.2">
      <c r="A4516"/>
      <c r="B4516"/>
      <c r="C4516"/>
      <c r="D4516"/>
    </row>
    <row r="4517" spans="1:4" x14ac:dyDescent="0.2">
      <c r="A4517"/>
      <c r="B4517"/>
      <c r="C4517"/>
      <c r="D4517"/>
    </row>
    <row r="4518" spans="1:4" x14ac:dyDescent="0.2">
      <c r="A4518"/>
      <c r="B4518"/>
      <c r="C4518"/>
      <c r="D4518"/>
    </row>
    <row r="4519" spans="1:4" x14ac:dyDescent="0.2">
      <c r="A4519"/>
      <c r="B4519"/>
      <c r="C4519"/>
      <c r="D4519"/>
    </row>
    <row r="4520" spans="1:4" x14ac:dyDescent="0.2">
      <c r="A4520"/>
      <c r="B4520"/>
      <c r="C4520"/>
      <c r="D4520"/>
    </row>
    <row r="4521" spans="1:4" x14ac:dyDescent="0.2">
      <c r="A4521"/>
      <c r="B4521"/>
      <c r="C4521"/>
      <c r="D4521"/>
    </row>
    <row r="4522" spans="1:4" x14ac:dyDescent="0.2">
      <c r="A4522"/>
      <c r="B4522"/>
      <c r="C4522"/>
      <c r="D4522"/>
    </row>
    <row r="4523" spans="1:4" x14ac:dyDescent="0.2">
      <c r="A4523"/>
      <c r="B4523"/>
      <c r="C4523"/>
      <c r="D4523"/>
    </row>
    <row r="4524" spans="1:4" x14ac:dyDescent="0.2">
      <c r="A4524"/>
      <c r="B4524"/>
      <c r="C4524"/>
      <c r="D4524"/>
    </row>
    <row r="4525" spans="1:4" x14ac:dyDescent="0.2">
      <c r="A4525"/>
      <c r="B4525"/>
      <c r="C4525"/>
      <c r="D4525"/>
    </row>
    <row r="4526" spans="1:4" x14ac:dyDescent="0.2">
      <c r="A4526"/>
      <c r="B4526"/>
      <c r="C4526"/>
      <c r="D4526"/>
    </row>
    <row r="4527" spans="1:4" x14ac:dyDescent="0.2">
      <c r="A4527"/>
      <c r="B4527"/>
      <c r="C4527"/>
      <c r="D4527"/>
    </row>
    <row r="4528" spans="1:4" x14ac:dyDescent="0.2">
      <c r="A4528"/>
      <c r="B4528"/>
      <c r="C4528"/>
      <c r="D4528"/>
    </row>
    <row r="4529" spans="1:4" x14ac:dyDescent="0.2">
      <c r="A4529"/>
      <c r="B4529"/>
      <c r="C4529"/>
      <c r="D4529"/>
    </row>
    <row r="4530" spans="1:4" x14ac:dyDescent="0.2">
      <c r="A4530"/>
      <c r="B4530"/>
      <c r="C4530"/>
      <c r="D4530"/>
    </row>
    <row r="4531" spans="1:4" x14ac:dyDescent="0.2">
      <c r="A4531"/>
      <c r="B4531"/>
      <c r="C4531"/>
      <c r="D4531"/>
    </row>
    <row r="4532" spans="1:4" x14ac:dyDescent="0.2">
      <c r="A4532"/>
      <c r="B4532"/>
      <c r="C4532"/>
      <c r="D4532"/>
    </row>
    <row r="4533" spans="1:4" x14ac:dyDescent="0.2">
      <c r="A4533"/>
      <c r="B4533"/>
      <c r="C4533"/>
      <c r="D4533"/>
    </row>
    <row r="4534" spans="1:4" x14ac:dyDescent="0.2">
      <c r="A4534"/>
      <c r="B4534"/>
      <c r="C4534"/>
      <c r="D4534"/>
    </row>
    <row r="4535" spans="1:4" x14ac:dyDescent="0.2">
      <c r="A4535"/>
      <c r="B4535"/>
      <c r="C4535"/>
      <c r="D4535"/>
    </row>
    <row r="4536" spans="1:4" x14ac:dyDescent="0.2">
      <c r="A4536"/>
      <c r="B4536"/>
      <c r="C4536"/>
      <c r="D4536"/>
    </row>
    <row r="4537" spans="1:4" x14ac:dyDescent="0.2">
      <c r="A4537"/>
      <c r="B4537"/>
      <c r="C4537"/>
      <c r="D4537"/>
    </row>
    <row r="4538" spans="1:4" x14ac:dyDescent="0.2">
      <c r="A4538"/>
      <c r="B4538"/>
      <c r="C4538"/>
      <c r="D4538"/>
    </row>
    <row r="4539" spans="1:4" x14ac:dyDescent="0.2">
      <c r="A4539"/>
      <c r="B4539"/>
      <c r="C4539"/>
      <c r="D4539"/>
    </row>
    <row r="4540" spans="1:4" x14ac:dyDescent="0.2">
      <c r="A4540"/>
      <c r="B4540"/>
      <c r="C4540"/>
      <c r="D4540"/>
    </row>
    <row r="4541" spans="1:4" x14ac:dyDescent="0.2">
      <c r="A4541"/>
      <c r="B4541"/>
      <c r="C4541"/>
      <c r="D4541"/>
    </row>
    <row r="4542" spans="1:4" x14ac:dyDescent="0.2">
      <c r="A4542"/>
      <c r="B4542"/>
      <c r="C4542"/>
      <c r="D4542"/>
    </row>
    <row r="4543" spans="1:4" x14ac:dyDescent="0.2">
      <c r="A4543"/>
      <c r="B4543"/>
      <c r="C4543"/>
      <c r="D4543"/>
    </row>
    <row r="4544" spans="1:4" x14ac:dyDescent="0.2">
      <c r="A4544"/>
      <c r="B4544"/>
      <c r="C4544"/>
      <c r="D4544"/>
    </row>
    <row r="4545" spans="1:4" x14ac:dyDescent="0.2">
      <c r="A4545"/>
      <c r="B4545"/>
      <c r="C4545"/>
      <c r="D4545"/>
    </row>
    <row r="4546" spans="1:4" x14ac:dyDescent="0.2">
      <c r="A4546"/>
      <c r="B4546"/>
      <c r="C4546"/>
      <c r="D4546"/>
    </row>
    <row r="4547" spans="1:4" x14ac:dyDescent="0.2">
      <c r="A4547"/>
      <c r="B4547"/>
      <c r="C4547"/>
      <c r="D4547"/>
    </row>
    <row r="4548" spans="1:4" x14ac:dyDescent="0.2">
      <c r="A4548"/>
      <c r="B4548"/>
      <c r="C4548"/>
      <c r="D4548"/>
    </row>
    <row r="4549" spans="1:4" x14ac:dyDescent="0.2">
      <c r="A4549"/>
      <c r="B4549"/>
      <c r="C4549"/>
      <c r="D4549"/>
    </row>
    <row r="4550" spans="1:4" x14ac:dyDescent="0.2">
      <c r="A4550"/>
      <c r="B4550"/>
      <c r="C4550"/>
      <c r="D4550"/>
    </row>
    <row r="4551" spans="1:4" x14ac:dyDescent="0.2">
      <c r="A4551"/>
      <c r="B4551"/>
      <c r="C4551"/>
      <c r="D4551"/>
    </row>
    <row r="4552" spans="1:4" x14ac:dyDescent="0.2">
      <c r="A4552"/>
      <c r="B4552"/>
      <c r="C4552"/>
      <c r="D4552"/>
    </row>
    <row r="4553" spans="1:4" x14ac:dyDescent="0.2">
      <c r="A4553"/>
      <c r="B4553"/>
      <c r="C4553"/>
      <c r="D4553"/>
    </row>
    <row r="4554" spans="1:4" x14ac:dyDescent="0.2">
      <c r="A4554"/>
      <c r="B4554"/>
      <c r="C4554"/>
      <c r="D4554"/>
    </row>
    <row r="4555" spans="1:4" x14ac:dyDescent="0.2">
      <c r="A4555"/>
      <c r="B4555"/>
      <c r="C4555"/>
      <c r="D4555"/>
    </row>
    <row r="4556" spans="1:4" x14ac:dyDescent="0.2">
      <c r="A4556"/>
      <c r="B4556"/>
      <c r="C4556"/>
      <c r="D4556"/>
    </row>
    <row r="4557" spans="1:4" x14ac:dyDescent="0.2">
      <c r="A4557"/>
      <c r="B4557"/>
      <c r="C4557"/>
      <c r="D4557"/>
    </row>
    <row r="4558" spans="1:4" x14ac:dyDescent="0.2">
      <c r="A4558"/>
      <c r="B4558"/>
      <c r="C4558"/>
      <c r="D4558"/>
    </row>
    <row r="4559" spans="1:4" x14ac:dyDescent="0.2">
      <c r="A4559"/>
      <c r="B4559"/>
      <c r="C4559"/>
      <c r="D4559"/>
    </row>
    <row r="4560" spans="1:4" x14ac:dyDescent="0.2">
      <c r="A4560"/>
      <c r="B4560"/>
      <c r="C4560"/>
      <c r="D4560"/>
    </row>
    <row r="4561" spans="1:4" x14ac:dyDescent="0.2">
      <c r="A4561"/>
      <c r="B4561"/>
      <c r="C4561"/>
      <c r="D4561"/>
    </row>
    <row r="4562" spans="1:4" x14ac:dyDescent="0.2">
      <c r="A4562"/>
      <c r="B4562"/>
      <c r="C4562"/>
      <c r="D4562"/>
    </row>
    <row r="4563" spans="1:4" x14ac:dyDescent="0.2">
      <c r="A4563"/>
      <c r="B4563"/>
      <c r="C4563"/>
      <c r="D4563"/>
    </row>
    <row r="4564" spans="1:4" x14ac:dyDescent="0.2">
      <c r="A4564"/>
      <c r="B4564"/>
      <c r="C4564"/>
      <c r="D4564"/>
    </row>
    <row r="4565" spans="1:4" x14ac:dyDescent="0.2">
      <c r="A4565"/>
      <c r="B4565"/>
      <c r="C4565"/>
      <c r="D4565"/>
    </row>
    <row r="4566" spans="1:4" x14ac:dyDescent="0.2">
      <c r="A4566"/>
      <c r="B4566"/>
      <c r="C4566"/>
      <c r="D4566"/>
    </row>
    <row r="4567" spans="1:4" x14ac:dyDescent="0.2">
      <c r="A4567"/>
      <c r="B4567"/>
      <c r="C4567"/>
      <c r="D4567"/>
    </row>
    <row r="4568" spans="1:4" x14ac:dyDescent="0.2">
      <c r="A4568"/>
      <c r="B4568"/>
      <c r="C4568"/>
      <c r="D4568"/>
    </row>
    <row r="4569" spans="1:4" x14ac:dyDescent="0.2">
      <c r="A4569"/>
      <c r="B4569"/>
      <c r="C4569"/>
      <c r="D4569"/>
    </row>
    <row r="4570" spans="1:4" x14ac:dyDescent="0.2">
      <c r="A4570"/>
      <c r="B4570"/>
      <c r="C4570"/>
      <c r="D4570"/>
    </row>
    <row r="4571" spans="1:4" x14ac:dyDescent="0.2">
      <c r="A4571"/>
      <c r="B4571"/>
      <c r="C4571"/>
      <c r="D4571"/>
    </row>
    <row r="4572" spans="1:4" x14ac:dyDescent="0.2">
      <c r="A4572"/>
      <c r="B4572"/>
      <c r="C4572"/>
      <c r="D4572"/>
    </row>
    <row r="4573" spans="1:4" x14ac:dyDescent="0.2">
      <c r="A4573"/>
      <c r="B4573"/>
      <c r="C4573"/>
      <c r="D4573"/>
    </row>
    <row r="4574" spans="1:4" x14ac:dyDescent="0.2">
      <c r="A4574"/>
      <c r="B4574"/>
      <c r="C4574"/>
      <c r="D4574"/>
    </row>
    <row r="4575" spans="1:4" x14ac:dyDescent="0.2">
      <c r="A4575"/>
      <c r="B4575"/>
      <c r="C4575"/>
      <c r="D4575"/>
    </row>
    <row r="4576" spans="1:4" x14ac:dyDescent="0.2">
      <c r="A4576"/>
      <c r="B4576"/>
      <c r="C4576"/>
      <c r="D4576"/>
    </row>
    <row r="4577" spans="1:4" x14ac:dyDescent="0.2">
      <c r="A4577"/>
      <c r="B4577"/>
      <c r="C4577"/>
      <c r="D4577"/>
    </row>
    <row r="4578" spans="1:4" x14ac:dyDescent="0.2">
      <c r="A4578"/>
      <c r="B4578"/>
      <c r="C4578"/>
      <c r="D4578"/>
    </row>
    <row r="4579" spans="1:4" x14ac:dyDescent="0.2">
      <c r="A4579"/>
      <c r="B4579"/>
      <c r="C4579"/>
      <c r="D4579"/>
    </row>
    <row r="4580" spans="1:4" x14ac:dyDescent="0.2">
      <c r="A4580"/>
      <c r="B4580"/>
      <c r="C4580"/>
      <c r="D4580"/>
    </row>
    <row r="4581" spans="1:4" x14ac:dyDescent="0.2">
      <c r="A4581"/>
      <c r="B4581"/>
      <c r="C4581"/>
      <c r="D4581"/>
    </row>
    <row r="4582" spans="1:4" x14ac:dyDescent="0.2">
      <c r="A4582"/>
      <c r="B4582"/>
      <c r="C4582"/>
      <c r="D4582"/>
    </row>
    <row r="4583" spans="1:4" x14ac:dyDescent="0.2">
      <c r="A4583"/>
      <c r="B4583"/>
      <c r="C4583"/>
      <c r="D4583"/>
    </row>
    <row r="4584" spans="1:4" x14ac:dyDescent="0.2">
      <c r="A4584"/>
      <c r="B4584"/>
      <c r="C4584"/>
      <c r="D4584"/>
    </row>
    <row r="4585" spans="1:4" x14ac:dyDescent="0.2">
      <c r="A4585"/>
      <c r="B4585"/>
      <c r="C4585"/>
      <c r="D4585"/>
    </row>
    <row r="4586" spans="1:4" x14ac:dyDescent="0.2">
      <c r="A4586"/>
      <c r="B4586"/>
      <c r="C4586"/>
      <c r="D4586"/>
    </row>
    <row r="4587" spans="1:4" x14ac:dyDescent="0.2">
      <c r="A4587"/>
      <c r="B4587"/>
      <c r="C4587"/>
      <c r="D4587"/>
    </row>
    <row r="4588" spans="1:4" x14ac:dyDescent="0.2">
      <c r="A4588"/>
      <c r="B4588"/>
      <c r="C4588"/>
      <c r="D4588"/>
    </row>
    <row r="4589" spans="1:4" x14ac:dyDescent="0.2">
      <c r="A4589"/>
      <c r="B4589"/>
      <c r="C4589"/>
      <c r="D4589"/>
    </row>
    <row r="4590" spans="1:4" x14ac:dyDescent="0.2">
      <c r="A4590"/>
      <c r="B4590"/>
      <c r="C4590"/>
      <c r="D4590"/>
    </row>
    <row r="4591" spans="1:4" x14ac:dyDescent="0.2">
      <c r="A4591"/>
      <c r="B4591"/>
      <c r="C4591"/>
      <c r="D4591"/>
    </row>
    <row r="4592" spans="1:4" x14ac:dyDescent="0.2">
      <c r="A4592"/>
      <c r="B4592"/>
      <c r="C4592"/>
      <c r="D4592"/>
    </row>
    <row r="4593" spans="1:4" x14ac:dyDescent="0.2">
      <c r="A4593"/>
      <c r="B4593"/>
      <c r="C4593"/>
      <c r="D4593"/>
    </row>
    <row r="4594" spans="1:4" x14ac:dyDescent="0.2">
      <c r="A4594"/>
      <c r="B4594"/>
      <c r="C4594"/>
      <c r="D4594"/>
    </row>
    <row r="4595" spans="1:4" x14ac:dyDescent="0.2">
      <c r="A4595"/>
      <c r="B4595"/>
      <c r="C4595"/>
      <c r="D4595"/>
    </row>
    <row r="4596" spans="1:4" x14ac:dyDescent="0.2">
      <c r="A4596"/>
      <c r="B4596"/>
      <c r="C4596"/>
      <c r="D4596"/>
    </row>
    <row r="4597" spans="1:4" x14ac:dyDescent="0.2">
      <c r="A4597"/>
      <c r="B4597"/>
      <c r="C4597"/>
      <c r="D4597"/>
    </row>
    <row r="4598" spans="1:4" x14ac:dyDescent="0.2">
      <c r="A4598"/>
      <c r="B4598"/>
      <c r="C4598"/>
      <c r="D4598"/>
    </row>
    <row r="4599" spans="1:4" x14ac:dyDescent="0.2">
      <c r="A4599"/>
      <c r="B4599"/>
      <c r="C4599"/>
      <c r="D4599"/>
    </row>
    <row r="4600" spans="1:4" x14ac:dyDescent="0.2">
      <c r="A4600"/>
      <c r="B4600"/>
      <c r="C4600"/>
      <c r="D4600"/>
    </row>
    <row r="4601" spans="1:4" x14ac:dyDescent="0.2">
      <c r="A4601"/>
      <c r="B4601"/>
      <c r="C4601"/>
      <c r="D4601"/>
    </row>
    <row r="4602" spans="1:4" x14ac:dyDescent="0.2">
      <c r="A4602"/>
      <c r="B4602"/>
      <c r="C4602"/>
      <c r="D4602"/>
    </row>
    <row r="4603" spans="1:4" x14ac:dyDescent="0.2">
      <c r="A4603"/>
      <c r="B4603"/>
      <c r="C4603"/>
      <c r="D4603"/>
    </row>
    <row r="4604" spans="1:4" x14ac:dyDescent="0.2">
      <c r="A4604"/>
      <c r="B4604"/>
      <c r="C4604"/>
      <c r="D4604"/>
    </row>
    <row r="4605" spans="1:4" x14ac:dyDescent="0.2">
      <c r="A4605"/>
      <c r="B4605"/>
      <c r="C4605"/>
      <c r="D4605"/>
    </row>
    <row r="4606" spans="1:4" x14ac:dyDescent="0.2">
      <c r="A4606"/>
      <c r="B4606"/>
      <c r="C4606"/>
      <c r="D4606"/>
    </row>
    <row r="4607" spans="1:4" x14ac:dyDescent="0.2">
      <c r="A4607"/>
      <c r="B4607"/>
      <c r="C4607"/>
      <c r="D4607"/>
    </row>
    <row r="4608" spans="1:4" x14ac:dyDescent="0.2">
      <c r="A4608"/>
      <c r="B4608"/>
      <c r="C4608"/>
      <c r="D4608"/>
    </row>
    <row r="4609" spans="1:4" x14ac:dyDescent="0.2">
      <c r="A4609"/>
      <c r="B4609"/>
      <c r="C4609"/>
      <c r="D4609"/>
    </row>
    <row r="4610" spans="1:4" x14ac:dyDescent="0.2">
      <c r="A4610"/>
      <c r="B4610"/>
      <c r="C4610"/>
      <c r="D4610"/>
    </row>
    <row r="4611" spans="1:4" x14ac:dyDescent="0.2">
      <c r="A4611"/>
      <c r="B4611"/>
      <c r="C4611"/>
      <c r="D4611"/>
    </row>
    <row r="4612" spans="1:4" x14ac:dyDescent="0.2">
      <c r="A4612"/>
      <c r="B4612"/>
      <c r="C4612"/>
      <c r="D4612"/>
    </row>
    <row r="4613" spans="1:4" x14ac:dyDescent="0.2">
      <c r="A4613"/>
      <c r="B4613"/>
      <c r="C4613"/>
      <c r="D4613"/>
    </row>
    <row r="4614" spans="1:4" x14ac:dyDescent="0.2">
      <c r="A4614"/>
      <c r="B4614"/>
      <c r="C4614"/>
      <c r="D4614"/>
    </row>
    <row r="4615" spans="1:4" x14ac:dyDescent="0.2">
      <c r="A4615"/>
      <c r="B4615"/>
      <c r="C4615"/>
      <c r="D4615"/>
    </row>
    <row r="4616" spans="1:4" x14ac:dyDescent="0.2">
      <c r="A4616"/>
      <c r="B4616"/>
      <c r="C4616"/>
      <c r="D4616"/>
    </row>
    <row r="4617" spans="1:4" x14ac:dyDescent="0.2">
      <c r="A4617"/>
      <c r="B4617"/>
      <c r="C4617"/>
      <c r="D4617"/>
    </row>
    <row r="4618" spans="1:4" x14ac:dyDescent="0.2">
      <c r="A4618"/>
      <c r="B4618"/>
      <c r="C4618"/>
      <c r="D4618"/>
    </row>
    <row r="4619" spans="1:4" x14ac:dyDescent="0.2">
      <c r="A4619"/>
      <c r="B4619"/>
      <c r="C4619"/>
      <c r="D4619"/>
    </row>
    <row r="4620" spans="1:4" x14ac:dyDescent="0.2">
      <c r="A4620"/>
      <c r="B4620"/>
      <c r="C4620"/>
      <c r="D4620"/>
    </row>
    <row r="4621" spans="1:4" x14ac:dyDescent="0.2">
      <c r="A4621"/>
      <c r="B4621"/>
      <c r="C4621"/>
      <c r="D4621"/>
    </row>
    <row r="4622" spans="1:4" x14ac:dyDescent="0.2">
      <c r="A4622"/>
      <c r="B4622"/>
      <c r="C4622"/>
      <c r="D4622"/>
    </row>
    <row r="4623" spans="1:4" x14ac:dyDescent="0.2">
      <c r="A4623"/>
      <c r="B4623"/>
      <c r="C4623"/>
      <c r="D4623"/>
    </row>
    <row r="4624" spans="1:4" x14ac:dyDescent="0.2">
      <c r="A4624"/>
      <c r="B4624"/>
      <c r="C4624"/>
      <c r="D4624"/>
    </row>
    <row r="4625" spans="1:4" x14ac:dyDescent="0.2">
      <c r="A4625"/>
      <c r="B4625"/>
      <c r="C4625"/>
      <c r="D4625"/>
    </row>
    <row r="4626" spans="1:4" x14ac:dyDescent="0.2">
      <c r="A4626"/>
      <c r="B4626"/>
      <c r="C4626"/>
      <c r="D4626"/>
    </row>
    <row r="4627" spans="1:4" x14ac:dyDescent="0.2">
      <c r="A4627"/>
      <c r="B4627"/>
      <c r="C4627"/>
      <c r="D4627"/>
    </row>
    <row r="4628" spans="1:4" x14ac:dyDescent="0.2">
      <c r="A4628"/>
      <c r="B4628"/>
      <c r="C4628"/>
      <c r="D4628"/>
    </row>
    <row r="4629" spans="1:4" x14ac:dyDescent="0.2">
      <c r="A4629"/>
      <c r="B4629"/>
      <c r="C4629"/>
      <c r="D4629"/>
    </row>
    <row r="4630" spans="1:4" x14ac:dyDescent="0.2">
      <c r="A4630"/>
      <c r="B4630"/>
      <c r="C4630"/>
      <c r="D4630"/>
    </row>
    <row r="4631" spans="1:4" x14ac:dyDescent="0.2">
      <c r="A4631"/>
      <c r="B4631"/>
      <c r="C4631"/>
      <c r="D4631"/>
    </row>
    <row r="4632" spans="1:4" x14ac:dyDescent="0.2">
      <c r="A4632"/>
      <c r="B4632"/>
      <c r="C4632"/>
      <c r="D4632"/>
    </row>
    <row r="4633" spans="1:4" x14ac:dyDescent="0.2">
      <c r="A4633"/>
      <c r="B4633"/>
      <c r="C4633"/>
      <c r="D4633"/>
    </row>
    <row r="4634" spans="1:4" x14ac:dyDescent="0.2">
      <c r="A4634"/>
      <c r="B4634"/>
      <c r="C4634"/>
      <c r="D4634"/>
    </row>
    <row r="4635" spans="1:4" x14ac:dyDescent="0.2">
      <c r="A4635"/>
      <c r="B4635"/>
      <c r="C4635"/>
      <c r="D4635"/>
    </row>
    <row r="4636" spans="1:4" x14ac:dyDescent="0.2">
      <c r="A4636"/>
      <c r="B4636"/>
      <c r="C4636"/>
      <c r="D4636"/>
    </row>
    <row r="4637" spans="1:4" x14ac:dyDescent="0.2">
      <c r="A4637"/>
      <c r="B4637"/>
      <c r="C4637"/>
      <c r="D4637"/>
    </row>
    <row r="4638" spans="1:4" x14ac:dyDescent="0.2">
      <c r="A4638"/>
      <c r="B4638"/>
      <c r="C4638"/>
      <c r="D4638"/>
    </row>
    <row r="4639" spans="1:4" x14ac:dyDescent="0.2">
      <c r="A4639"/>
      <c r="B4639"/>
      <c r="C4639"/>
      <c r="D4639"/>
    </row>
    <row r="4640" spans="1:4" x14ac:dyDescent="0.2">
      <c r="A4640"/>
      <c r="B4640"/>
      <c r="C4640"/>
      <c r="D4640"/>
    </row>
    <row r="4641" spans="1:4" x14ac:dyDescent="0.2">
      <c r="A4641"/>
      <c r="B4641"/>
      <c r="C4641"/>
      <c r="D4641"/>
    </row>
    <row r="4642" spans="1:4" x14ac:dyDescent="0.2">
      <c r="A4642"/>
      <c r="B4642"/>
      <c r="C4642"/>
      <c r="D4642"/>
    </row>
    <row r="4643" spans="1:4" x14ac:dyDescent="0.2">
      <c r="A4643"/>
      <c r="B4643"/>
      <c r="C4643"/>
      <c r="D4643"/>
    </row>
    <row r="4644" spans="1:4" x14ac:dyDescent="0.2">
      <c r="A4644"/>
      <c r="B4644"/>
      <c r="C4644"/>
      <c r="D4644"/>
    </row>
    <row r="4645" spans="1:4" x14ac:dyDescent="0.2">
      <c r="A4645"/>
      <c r="B4645"/>
      <c r="C4645"/>
      <c r="D4645"/>
    </row>
    <row r="4646" spans="1:4" x14ac:dyDescent="0.2">
      <c r="A4646"/>
      <c r="B4646"/>
      <c r="C4646"/>
      <c r="D4646"/>
    </row>
    <row r="4647" spans="1:4" x14ac:dyDescent="0.2">
      <c r="A4647"/>
      <c r="B4647"/>
      <c r="C4647"/>
      <c r="D4647"/>
    </row>
    <row r="4648" spans="1:4" x14ac:dyDescent="0.2">
      <c r="A4648"/>
      <c r="B4648"/>
      <c r="C4648"/>
      <c r="D4648"/>
    </row>
    <row r="4649" spans="1:4" x14ac:dyDescent="0.2">
      <c r="A4649"/>
      <c r="B4649"/>
      <c r="C4649"/>
      <c r="D4649"/>
    </row>
    <row r="4650" spans="1:4" x14ac:dyDescent="0.2">
      <c r="A4650"/>
      <c r="B4650"/>
      <c r="C4650"/>
      <c r="D4650"/>
    </row>
    <row r="4651" spans="1:4" x14ac:dyDescent="0.2">
      <c r="A4651"/>
      <c r="B4651"/>
      <c r="C4651"/>
      <c r="D4651"/>
    </row>
    <row r="4652" spans="1:4" x14ac:dyDescent="0.2">
      <c r="A4652"/>
      <c r="B4652"/>
      <c r="C4652"/>
      <c r="D4652"/>
    </row>
    <row r="4653" spans="1:4" x14ac:dyDescent="0.2">
      <c r="A4653"/>
      <c r="B4653"/>
      <c r="C4653"/>
      <c r="D4653"/>
    </row>
    <row r="4654" spans="1:4" x14ac:dyDescent="0.2">
      <c r="A4654"/>
      <c r="B4654"/>
      <c r="C4654"/>
      <c r="D4654"/>
    </row>
    <row r="4655" spans="1:4" x14ac:dyDescent="0.2">
      <c r="A4655"/>
      <c r="B4655"/>
      <c r="C4655"/>
      <c r="D4655"/>
    </row>
    <row r="4656" spans="1:4" x14ac:dyDescent="0.2">
      <c r="A4656"/>
      <c r="B4656"/>
      <c r="C4656"/>
      <c r="D4656"/>
    </row>
    <row r="4657" spans="1:4" x14ac:dyDescent="0.2">
      <c r="A4657"/>
      <c r="B4657"/>
      <c r="C4657"/>
      <c r="D4657"/>
    </row>
    <row r="4658" spans="1:4" x14ac:dyDescent="0.2">
      <c r="A4658"/>
      <c r="B4658"/>
      <c r="C4658"/>
      <c r="D4658"/>
    </row>
    <row r="4659" spans="1:4" x14ac:dyDescent="0.2">
      <c r="A4659"/>
      <c r="B4659"/>
      <c r="C4659"/>
      <c r="D4659"/>
    </row>
    <row r="4660" spans="1:4" x14ac:dyDescent="0.2">
      <c r="A4660"/>
      <c r="B4660"/>
      <c r="C4660"/>
      <c r="D4660"/>
    </row>
    <row r="4661" spans="1:4" x14ac:dyDescent="0.2">
      <c r="A4661"/>
      <c r="B4661"/>
      <c r="C4661"/>
      <c r="D4661"/>
    </row>
    <row r="4662" spans="1:4" x14ac:dyDescent="0.2">
      <c r="A4662"/>
      <c r="B4662"/>
      <c r="C4662"/>
      <c r="D4662"/>
    </row>
    <row r="4663" spans="1:4" x14ac:dyDescent="0.2">
      <c r="A4663"/>
      <c r="B4663"/>
      <c r="C4663"/>
      <c r="D4663"/>
    </row>
    <row r="4664" spans="1:4" x14ac:dyDescent="0.2">
      <c r="A4664"/>
      <c r="B4664"/>
      <c r="C4664"/>
      <c r="D4664"/>
    </row>
    <row r="4665" spans="1:4" x14ac:dyDescent="0.2">
      <c r="A4665"/>
      <c r="B4665"/>
      <c r="C4665"/>
      <c r="D4665"/>
    </row>
    <row r="4666" spans="1:4" x14ac:dyDescent="0.2">
      <c r="A4666"/>
      <c r="B4666"/>
      <c r="C4666"/>
      <c r="D4666"/>
    </row>
    <row r="4667" spans="1:4" x14ac:dyDescent="0.2">
      <c r="A4667"/>
      <c r="B4667"/>
      <c r="C4667"/>
      <c r="D4667"/>
    </row>
    <row r="4668" spans="1:4" x14ac:dyDescent="0.2">
      <c r="A4668"/>
      <c r="B4668"/>
      <c r="C4668"/>
      <c r="D4668"/>
    </row>
    <row r="4669" spans="1:4" x14ac:dyDescent="0.2">
      <c r="A4669"/>
      <c r="B4669"/>
      <c r="C4669"/>
      <c r="D4669"/>
    </row>
    <row r="4670" spans="1:4" x14ac:dyDescent="0.2">
      <c r="A4670"/>
      <c r="B4670"/>
      <c r="C4670"/>
      <c r="D4670"/>
    </row>
    <row r="4671" spans="1:4" x14ac:dyDescent="0.2">
      <c r="A4671"/>
      <c r="B4671"/>
      <c r="C4671"/>
      <c r="D4671"/>
    </row>
    <row r="4672" spans="1:4" x14ac:dyDescent="0.2">
      <c r="A4672"/>
      <c r="B4672"/>
      <c r="C4672"/>
      <c r="D4672"/>
    </row>
    <row r="4673" spans="1:4" x14ac:dyDescent="0.2">
      <c r="A4673"/>
      <c r="B4673"/>
      <c r="C4673"/>
      <c r="D4673"/>
    </row>
    <row r="4674" spans="1:4" x14ac:dyDescent="0.2">
      <c r="A4674"/>
      <c r="B4674"/>
      <c r="C4674"/>
      <c r="D4674"/>
    </row>
    <row r="4675" spans="1:4" x14ac:dyDescent="0.2">
      <c r="A4675"/>
      <c r="B4675"/>
      <c r="C4675"/>
      <c r="D4675"/>
    </row>
    <row r="4676" spans="1:4" x14ac:dyDescent="0.2">
      <c r="A4676"/>
      <c r="B4676"/>
      <c r="C4676"/>
      <c r="D4676"/>
    </row>
    <row r="4677" spans="1:4" x14ac:dyDescent="0.2">
      <c r="A4677"/>
      <c r="B4677"/>
      <c r="C4677"/>
      <c r="D4677"/>
    </row>
    <row r="4678" spans="1:4" x14ac:dyDescent="0.2">
      <c r="A4678"/>
      <c r="B4678"/>
      <c r="C4678"/>
      <c r="D4678"/>
    </row>
    <row r="4679" spans="1:4" x14ac:dyDescent="0.2">
      <c r="A4679"/>
      <c r="B4679"/>
      <c r="C4679"/>
      <c r="D4679"/>
    </row>
    <row r="4680" spans="1:4" x14ac:dyDescent="0.2">
      <c r="A4680"/>
      <c r="B4680"/>
      <c r="C4680"/>
      <c r="D4680"/>
    </row>
    <row r="4681" spans="1:4" x14ac:dyDescent="0.2">
      <c r="A4681"/>
      <c r="B4681"/>
      <c r="C4681"/>
      <c r="D4681"/>
    </row>
    <row r="4682" spans="1:4" x14ac:dyDescent="0.2">
      <c r="A4682"/>
      <c r="B4682"/>
      <c r="C4682"/>
      <c r="D4682"/>
    </row>
    <row r="4683" spans="1:4" x14ac:dyDescent="0.2">
      <c r="A4683"/>
      <c r="B4683"/>
      <c r="C4683"/>
      <c r="D4683"/>
    </row>
    <row r="4684" spans="1:4" x14ac:dyDescent="0.2">
      <c r="A4684"/>
      <c r="B4684"/>
      <c r="C4684"/>
      <c r="D4684"/>
    </row>
    <row r="4685" spans="1:4" x14ac:dyDescent="0.2">
      <c r="A4685"/>
      <c r="B4685"/>
      <c r="C4685"/>
      <c r="D4685"/>
    </row>
    <row r="4686" spans="1:4" x14ac:dyDescent="0.2">
      <c r="A4686"/>
      <c r="B4686"/>
      <c r="C4686"/>
      <c r="D4686"/>
    </row>
    <row r="4687" spans="1:4" x14ac:dyDescent="0.2">
      <c r="A4687"/>
      <c r="B4687"/>
      <c r="C4687"/>
      <c r="D4687"/>
    </row>
    <row r="4688" spans="1:4" x14ac:dyDescent="0.2">
      <c r="A4688"/>
      <c r="B4688"/>
      <c r="C4688"/>
      <c r="D4688"/>
    </row>
    <row r="4689" spans="1:4" x14ac:dyDescent="0.2">
      <c r="A4689"/>
      <c r="B4689"/>
      <c r="C4689"/>
      <c r="D4689"/>
    </row>
    <row r="4690" spans="1:4" x14ac:dyDescent="0.2">
      <c r="A4690"/>
      <c r="B4690"/>
      <c r="C4690"/>
      <c r="D4690"/>
    </row>
    <row r="4691" spans="1:4" x14ac:dyDescent="0.2">
      <c r="A4691"/>
      <c r="B4691"/>
      <c r="C4691"/>
      <c r="D4691"/>
    </row>
    <row r="4692" spans="1:4" x14ac:dyDescent="0.2">
      <c r="A4692"/>
      <c r="B4692"/>
      <c r="C4692"/>
      <c r="D4692"/>
    </row>
    <row r="4693" spans="1:4" x14ac:dyDescent="0.2">
      <c r="A4693"/>
      <c r="B4693"/>
      <c r="C4693"/>
      <c r="D4693"/>
    </row>
    <row r="4694" spans="1:4" x14ac:dyDescent="0.2">
      <c r="A4694"/>
      <c r="B4694"/>
      <c r="C4694"/>
      <c r="D4694"/>
    </row>
    <row r="4695" spans="1:4" x14ac:dyDescent="0.2">
      <c r="A4695"/>
      <c r="B4695"/>
      <c r="C4695"/>
      <c r="D4695"/>
    </row>
    <row r="4696" spans="1:4" x14ac:dyDescent="0.2">
      <c r="A4696"/>
      <c r="B4696"/>
      <c r="C4696"/>
      <c r="D4696"/>
    </row>
    <row r="4697" spans="1:4" x14ac:dyDescent="0.2">
      <c r="A4697"/>
      <c r="B4697"/>
      <c r="C4697"/>
      <c r="D4697"/>
    </row>
    <row r="4698" spans="1:4" x14ac:dyDescent="0.2">
      <c r="A4698"/>
      <c r="B4698"/>
      <c r="C4698"/>
      <c r="D4698"/>
    </row>
    <row r="4699" spans="1:4" x14ac:dyDescent="0.2">
      <c r="A4699"/>
      <c r="B4699"/>
      <c r="C4699"/>
      <c r="D4699"/>
    </row>
    <row r="4700" spans="1:4" x14ac:dyDescent="0.2">
      <c r="A4700"/>
      <c r="B4700"/>
      <c r="C4700"/>
      <c r="D4700"/>
    </row>
    <row r="4701" spans="1:4" x14ac:dyDescent="0.2">
      <c r="A4701"/>
      <c r="B4701"/>
      <c r="C4701"/>
      <c r="D4701"/>
    </row>
    <row r="4702" spans="1:4" x14ac:dyDescent="0.2">
      <c r="A4702"/>
      <c r="B4702"/>
      <c r="C4702"/>
      <c r="D4702"/>
    </row>
    <row r="4703" spans="1:4" x14ac:dyDescent="0.2">
      <c r="A4703"/>
      <c r="B4703"/>
      <c r="C4703"/>
      <c r="D4703"/>
    </row>
    <row r="4704" spans="1:4" x14ac:dyDescent="0.2">
      <c r="A4704"/>
      <c r="B4704"/>
      <c r="C4704"/>
      <c r="D4704"/>
    </row>
    <row r="4705" spans="1:4" x14ac:dyDescent="0.2">
      <c r="A4705"/>
      <c r="B4705"/>
      <c r="C4705"/>
      <c r="D4705"/>
    </row>
    <row r="4706" spans="1:4" x14ac:dyDescent="0.2">
      <c r="A4706"/>
      <c r="B4706"/>
      <c r="C4706"/>
      <c r="D4706"/>
    </row>
    <row r="4707" spans="1:4" x14ac:dyDescent="0.2">
      <c r="A4707"/>
      <c r="B4707"/>
      <c r="C4707"/>
      <c r="D4707"/>
    </row>
    <row r="4708" spans="1:4" x14ac:dyDescent="0.2">
      <c r="A4708"/>
      <c r="B4708"/>
      <c r="C4708"/>
      <c r="D4708"/>
    </row>
    <row r="4709" spans="1:4" x14ac:dyDescent="0.2">
      <c r="A4709"/>
      <c r="B4709"/>
      <c r="C4709"/>
      <c r="D4709"/>
    </row>
    <row r="4710" spans="1:4" x14ac:dyDescent="0.2">
      <c r="A4710"/>
      <c r="B4710"/>
      <c r="C4710"/>
      <c r="D4710"/>
    </row>
    <row r="4711" spans="1:4" x14ac:dyDescent="0.2">
      <c r="A4711"/>
      <c r="B4711"/>
      <c r="C4711"/>
      <c r="D4711"/>
    </row>
    <row r="4712" spans="1:4" x14ac:dyDescent="0.2">
      <c r="A4712"/>
      <c r="B4712"/>
      <c r="C4712"/>
      <c r="D4712"/>
    </row>
    <row r="4713" spans="1:4" x14ac:dyDescent="0.2">
      <c r="A4713"/>
      <c r="B4713"/>
      <c r="C4713"/>
      <c r="D4713"/>
    </row>
    <row r="4714" spans="1:4" x14ac:dyDescent="0.2">
      <c r="A4714"/>
      <c r="B4714"/>
      <c r="C4714"/>
      <c r="D4714"/>
    </row>
    <row r="4715" spans="1:4" x14ac:dyDescent="0.2">
      <c r="A4715"/>
      <c r="B4715"/>
      <c r="C4715"/>
      <c r="D4715"/>
    </row>
    <row r="4716" spans="1:4" x14ac:dyDescent="0.2">
      <c r="A4716"/>
      <c r="B4716"/>
      <c r="C4716"/>
      <c r="D4716"/>
    </row>
    <row r="4717" spans="1:4" x14ac:dyDescent="0.2">
      <c r="A4717"/>
      <c r="B4717"/>
      <c r="C4717"/>
      <c r="D4717"/>
    </row>
    <row r="4718" spans="1:4" x14ac:dyDescent="0.2">
      <c r="A4718"/>
      <c r="B4718"/>
      <c r="C4718"/>
      <c r="D4718"/>
    </row>
    <row r="4719" spans="1:4" x14ac:dyDescent="0.2">
      <c r="A4719"/>
      <c r="B4719"/>
      <c r="C4719"/>
      <c r="D4719"/>
    </row>
    <row r="4720" spans="1:4" x14ac:dyDescent="0.2">
      <c r="A4720"/>
      <c r="B4720"/>
      <c r="C4720"/>
      <c r="D4720"/>
    </row>
    <row r="4721" spans="1:4" x14ac:dyDescent="0.2">
      <c r="A4721"/>
      <c r="B4721"/>
      <c r="C4721"/>
      <c r="D4721"/>
    </row>
    <row r="4722" spans="1:4" x14ac:dyDescent="0.2">
      <c r="A4722"/>
      <c r="B4722"/>
      <c r="C4722"/>
      <c r="D4722"/>
    </row>
    <row r="4723" spans="1:4" x14ac:dyDescent="0.2">
      <c r="A4723"/>
      <c r="B4723"/>
      <c r="C4723"/>
      <c r="D4723"/>
    </row>
    <row r="4724" spans="1:4" x14ac:dyDescent="0.2">
      <c r="A4724"/>
      <c r="B4724"/>
      <c r="C4724"/>
      <c r="D4724"/>
    </row>
    <row r="4725" spans="1:4" x14ac:dyDescent="0.2">
      <c r="A4725"/>
      <c r="B4725"/>
      <c r="C4725"/>
      <c r="D4725"/>
    </row>
    <row r="4726" spans="1:4" x14ac:dyDescent="0.2">
      <c r="A4726"/>
      <c r="B4726"/>
      <c r="C4726"/>
      <c r="D4726"/>
    </row>
    <row r="4727" spans="1:4" x14ac:dyDescent="0.2">
      <c r="A4727"/>
      <c r="B4727"/>
      <c r="C4727"/>
      <c r="D4727"/>
    </row>
    <row r="4728" spans="1:4" x14ac:dyDescent="0.2">
      <c r="A4728"/>
      <c r="B4728"/>
      <c r="C4728"/>
      <c r="D4728"/>
    </row>
    <row r="4729" spans="1:4" x14ac:dyDescent="0.2">
      <c r="A4729"/>
      <c r="B4729"/>
      <c r="C4729"/>
      <c r="D4729"/>
    </row>
    <row r="4730" spans="1:4" x14ac:dyDescent="0.2">
      <c r="A4730"/>
      <c r="B4730"/>
      <c r="C4730"/>
      <c r="D4730"/>
    </row>
    <row r="4731" spans="1:4" x14ac:dyDescent="0.2">
      <c r="A4731"/>
      <c r="B4731"/>
      <c r="C4731"/>
      <c r="D4731"/>
    </row>
    <row r="4732" spans="1:4" x14ac:dyDescent="0.2">
      <c r="A4732"/>
      <c r="B4732"/>
      <c r="C4732"/>
      <c r="D4732"/>
    </row>
    <row r="4733" spans="1:4" x14ac:dyDescent="0.2">
      <c r="A4733"/>
      <c r="B4733"/>
      <c r="C4733"/>
      <c r="D4733"/>
    </row>
    <row r="4734" spans="1:4" x14ac:dyDescent="0.2">
      <c r="A4734"/>
      <c r="B4734"/>
      <c r="C4734"/>
      <c r="D4734"/>
    </row>
    <row r="4735" spans="1:4" x14ac:dyDescent="0.2">
      <c r="A4735"/>
      <c r="B4735"/>
      <c r="C4735"/>
      <c r="D4735"/>
    </row>
    <row r="4736" spans="1:4" x14ac:dyDescent="0.2">
      <c r="A4736"/>
      <c r="B4736"/>
      <c r="C4736"/>
      <c r="D4736"/>
    </row>
    <row r="4737" spans="1:4" x14ac:dyDescent="0.2">
      <c r="A4737"/>
      <c r="B4737"/>
      <c r="C4737"/>
      <c r="D4737"/>
    </row>
    <row r="4738" spans="1:4" x14ac:dyDescent="0.2">
      <c r="A4738"/>
      <c r="B4738"/>
      <c r="C4738"/>
      <c r="D4738"/>
    </row>
    <row r="4739" spans="1:4" x14ac:dyDescent="0.2">
      <c r="A4739"/>
      <c r="B4739"/>
      <c r="C4739"/>
      <c r="D4739"/>
    </row>
    <row r="4740" spans="1:4" x14ac:dyDescent="0.2">
      <c r="A4740"/>
      <c r="B4740"/>
      <c r="C4740"/>
      <c r="D4740"/>
    </row>
    <row r="4741" spans="1:4" x14ac:dyDescent="0.2">
      <c r="A4741"/>
      <c r="B4741"/>
      <c r="C4741"/>
      <c r="D4741"/>
    </row>
    <row r="4742" spans="1:4" x14ac:dyDescent="0.2">
      <c r="A4742"/>
      <c r="B4742"/>
      <c r="C4742"/>
      <c r="D4742"/>
    </row>
    <row r="4743" spans="1:4" x14ac:dyDescent="0.2">
      <c r="A4743"/>
      <c r="B4743"/>
      <c r="C4743"/>
      <c r="D4743"/>
    </row>
    <row r="4744" spans="1:4" x14ac:dyDescent="0.2">
      <c r="A4744"/>
      <c r="B4744"/>
      <c r="C4744"/>
      <c r="D4744"/>
    </row>
    <row r="4745" spans="1:4" x14ac:dyDescent="0.2">
      <c r="A4745"/>
      <c r="B4745"/>
      <c r="C4745"/>
      <c r="D4745"/>
    </row>
    <row r="4746" spans="1:4" x14ac:dyDescent="0.2">
      <c r="A4746"/>
      <c r="B4746"/>
      <c r="C4746"/>
      <c r="D4746"/>
    </row>
    <row r="4747" spans="1:4" x14ac:dyDescent="0.2">
      <c r="A4747"/>
      <c r="B4747"/>
      <c r="C4747"/>
      <c r="D4747"/>
    </row>
    <row r="4748" spans="1:4" x14ac:dyDescent="0.2">
      <c r="A4748"/>
      <c r="B4748"/>
      <c r="C4748"/>
      <c r="D4748"/>
    </row>
    <row r="4749" spans="1:4" x14ac:dyDescent="0.2">
      <c r="A4749"/>
      <c r="B4749"/>
      <c r="C4749"/>
      <c r="D4749"/>
    </row>
    <row r="4750" spans="1:4" x14ac:dyDescent="0.2">
      <c r="A4750"/>
      <c r="B4750"/>
      <c r="C4750"/>
      <c r="D4750"/>
    </row>
    <row r="4751" spans="1:4" x14ac:dyDescent="0.2">
      <c r="A4751"/>
      <c r="B4751"/>
      <c r="C4751"/>
      <c r="D4751"/>
    </row>
    <row r="4752" spans="1:4" x14ac:dyDescent="0.2">
      <c r="A4752"/>
      <c r="B4752"/>
      <c r="C4752"/>
      <c r="D4752"/>
    </row>
    <row r="4753" spans="1:4" x14ac:dyDescent="0.2">
      <c r="A4753"/>
      <c r="B4753"/>
      <c r="C4753"/>
      <c r="D4753"/>
    </row>
    <row r="4754" spans="1:4" x14ac:dyDescent="0.2">
      <c r="A4754"/>
      <c r="B4754"/>
      <c r="C4754"/>
      <c r="D4754"/>
    </row>
    <row r="4755" spans="1:4" x14ac:dyDescent="0.2">
      <c r="A4755"/>
      <c r="B4755"/>
      <c r="C4755"/>
      <c r="D4755"/>
    </row>
    <row r="4756" spans="1:4" x14ac:dyDescent="0.2">
      <c r="A4756"/>
      <c r="B4756"/>
      <c r="C4756"/>
      <c r="D4756"/>
    </row>
    <row r="4757" spans="1:4" x14ac:dyDescent="0.2">
      <c r="A4757"/>
      <c r="B4757"/>
      <c r="C4757"/>
      <c r="D4757"/>
    </row>
    <row r="4758" spans="1:4" x14ac:dyDescent="0.2">
      <c r="A4758"/>
      <c r="B4758"/>
      <c r="C4758"/>
      <c r="D4758"/>
    </row>
    <row r="4759" spans="1:4" x14ac:dyDescent="0.2">
      <c r="A4759"/>
      <c r="B4759"/>
      <c r="C4759"/>
      <c r="D4759"/>
    </row>
    <row r="4760" spans="1:4" x14ac:dyDescent="0.2">
      <c r="A4760"/>
      <c r="B4760"/>
      <c r="C4760"/>
      <c r="D4760"/>
    </row>
    <row r="4761" spans="1:4" x14ac:dyDescent="0.2">
      <c r="A4761"/>
      <c r="B4761"/>
      <c r="C4761"/>
      <c r="D4761"/>
    </row>
    <row r="4762" spans="1:4" x14ac:dyDescent="0.2">
      <c r="A4762"/>
      <c r="B4762"/>
      <c r="C4762"/>
      <c r="D4762"/>
    </row>
    <row r="4763" spans="1:4" x14ac:dyDescent="0.2">
      <c r="A4763"/>
      <c r="B4763"/>
      <c r="C4763"/>
      <c r="D4763"/>
    </row>
    <row r="4764" spans="1:4" x14ac:dyDescent="0.2">
      <c r="A4764"/>
      <c r="B4764"/>
      <c r="C4764"/>
      <c r="D4764"/>
    </row>
    <row r="4765" spans="1:4" x14ac:dyDescent="0.2">
      <c r="A4765"/>
      <c r="B4765"/>
      <c r="C4765"/>
      <c r="D4765"/>
    </row>
    <row r="4766" spans="1:4" x14ac:dyDescent="0.2">
      <c r="A4766"/>
      <c r="B4766"/>
      <c r="C4766"/>
      <c r="D4766"/>
    </row>
    <row r="4767" spans="1:4" x14ac:dyDescent="0.2">
      <c r="A4767"/>
      <c r="B4767"/>
      <c r="C4767"/>
      <c r="D4767"/>
    </row>
    <row r="4768" spans="1:4" x14ac:dyDescent="0.2">
      <c r="A4768"/>
      <c r="B4768"/>
      <c r="C4768"/>
      <c r="D4768"/>
    </row>
    <row r="4769" spans="1:4" x14ac:dyDescent="0.2">
      <c r="A4769"/>
      <c r="B4769"/>
      <c r="C4769"/>
      <c r="D4769"/>
    </row>
    <row r="4770" spans="1:4" x14ac:dyDescent="0.2">
      <c r="A4770"/>
      <c r="B4770"/>
      <c r="C4770"/>
      <c r="D4770"/>
    </row>
    <row r="4771" spans="1:4" x14ac:dyDescent="0.2">
      <c r="A4771"/>
      <c r="B4771"/>
      <c r="C4771"/>
      <c r="D4771"/>
    </row>
    <row r="4772" spans="1:4" x14ac:dyDescent="0.2">
      <c r="A4772"/>
      <c r="B4772"/>
      <c r="C4772"/>
      <c r="D4772"/>
    </row>
    <row r="4773" spans="1:4" x14ac:dyDescent="0.2">
      <c r="A4773"/>
      <c r="B4773"/>
      <c r="C4773"/>
      <c r="D4773"/>
    </row>
    <row r="4774" spans="1:4" x14ac:dyDescent="0.2">
      <c r="A4774"/>
      <c r="B4774"/>
      <c r="C4774"/>
      <c r="D4774"/>
    </row>
    <row r="4775" spans="1:4" x14ac:dyDescent="0.2">
      <c r="A4775"/>
      <c r="B4775"/>
      <c r="C4775"/>
      <c r="D4775"/>
    </row>
    <row r="4776" spans="1:4" x14ac:dyDescent="0.2">
      <c r="A4776"/>
      <c r="B4776"/>
      <c r="C4776"/>
      <c r="D4776"/>
    </row>
    <row r="4777" spans="1:4" x14ac:dyDescent="0.2">
      <c r="A4777"/>
      <c r="B4777"/>
      <c r="C4777"/>
      <c r="D4777"/>
    </row>
    <row r="4778" spans="1:4" x14ac:dyDescent="0.2">
      <c r="A4778"/>
      <c r="B4778"/>
      <c r="C4778"/>
      <c r="D4778"/>
    </row>
    <row r="4779" spans="1:4" x14ac:dyDescent="0.2">
      <c r="A4779"/>
      <c r="B4779"/>
      <c r="C4779"/>
      <c r="D4779"/>
    </row>
    <row r="4780" spans="1:4" x14ac:dyDescent="0.2">
      <c r="A4780"/>
      <c r="B4780"/>
      <c r="C4780"/>
      <c r="D4780"/>
    </row>
    <row r="4781" spans="1:4" x14ac:dyDescent="0.2">
      <c r="A4781"/>
      <c r="B4781"/>
      <c r="C4781"/>
      <c r="D4781"/>
    </row>
    <row r="4782" spans="1:4" x14ac:dyDescent="0.2">
      <c r="A4782"/>
      <c r="B4782"/>
      <c r="C4782"/>
      <c r="D4782"/>
    </row>
    <row r="4783" spans="1:4" x14ac:dyDescent="0.2">
      <c r="A4783"/>
      <c r="B4783"/>
      <c r="C4783"/>
      <c r="D4783"/>
    </row>
    <row r="4784" spans="1:4" x14ac:dyDescent="0.2">
      <c r="A4784"/>
      <c r="B4784"/>
      <c r="C4784"/>
      <c r="D4784"/>
    </row>
    <row r="4785" spans="1:4" x14ac:dyDescent="0.2">
      <c r="A4785"/>
      <c r="B4785"/>
      <c r="C4785"/>
      <c r="D4785"/>
    </row>
    <row r="4786" spans="1:4" x14ac:dyDescent="0.2">
      <c r="A4786"/>
      <c r="B4786"/>
      <c r="C4786"/>
      <c r="D4786"/>
    </row>
    <row r="4787" spans="1:4" x14ac:dyDescent="0.2">
      <c r="A4787"/>
      <c r="B4787"/>
      <c r="C4787"/>
      <c r="D4787"/>
    </row>
    <row r="4788" spans="1:4" x14ac:dyDescent="0.2">
      <c r="A4788"/>
      <c r="B4788"/>
      <c r="C4788"/>
      <c r="D4788"/>
    </row>
    <row r="4789" spans="1:4" x14ac:dyDescent="0.2">
      <c r="A4789"/>
      <c r="B4789"/>
      <c r="C4789"/>
      <c r="D4789"/>
    </row>
    <row r="4790" spans="1:4" x14ac:dyDescent="0.2">
      <c r="A4790"/>
      <c r="B4790"/>
      <c r="C4790"/>
      <c r="D4790"/>
    </row>
    <row r="4791" spans="1:4" x14ac:dyDescent="0.2">
      <c r="A4791"/>
      <c r="B4791"/>
      <c r="C4791"/>
      <c r="D4791"/>
    </row>
    <row r="4792" spans="1:4" x14ac:dyDescent="0.2">
      <c r="A4792"/>
      <c r="B4792"/>
      <c r="C4792"/>
      <c r="D4792"/>
    </row>
    <row r="4793" spans="1:4" x14ac:dyDescent="0.2">
      <c r="A4793"/>
      <c r="B4793"/>
      <c r="C4793"/>
      <c r="D4793"/>
    </row>
    <row r="4794" spans="1:4" x14ac:dyDescent="0.2">
      <c r="A4794"/>
      <c r="B4794"/>
      <c r="C4794"/>
      <c r="D4794"/>
    </row>
    <row r="4795" spans="1:4" x14ac:dyDescent="0.2">
      <c r="A4795"/>
      <c r="B4795"/>
      <c r="C4795"/>
      <c r="D4795"/>
    </row>
    <row r="4796" spans="1:4" x14ac:dyDescent="0.2">
      <c r="A4796"/>
      <c r="B4796"/>
      <c r="C4796"/>
      <c r="D4796"/>
    </row>
    <row r="4797" spans="1:4" x14ac:dyDescent="0.2">
      <c r="A4797"/>
      <c r="B4797"/>
      <c r="C4797"/>
      <c r="D4797"/>
    </row>
    <row r="4798" spans="1:4" x14ac:dyDescent="0.2">
      <c r="A4798"/>
      <c r="B4798"/>
      <c r="C4798"/>
      <c r="D4798"/>
    </row>
    <row r="4799" spans="1:4" x14ac:dyDescent="0.2">
      <c r="A4799"/>
      <c r="B4799"/>
      <c r="C4799"/>
      <c r="D4799"/>
    </row>
    <row r="4800" spans="1:4" x14ac:dyDescent="0.2">
      <c r="A4800"/>
      <c r="B4800"/>
      <c r="C4800"/>
      <c r="D4800"/>
    </row>
    <row r="4801" spans="1:4" x14ac:dyDescent="0.2">
      <c r="A4801"/>
      <c r="B4801"/>
      <c r="C4801"/>
      <c r="D4801"/>
    </row>
    <row r="4802" spans="1:4" x14ac:dyDescent="0.2">
      <c r="A4802"/>
      <c r="B4802"/>
      <c r="C4802"/>
      <c r="D4802"/>
    </row>
    <row r="4803" spans="1:4" x14ac:dyDescent="0.2">
      <c r="A4803"/>
      <c r="B4803"/>
      <c r="C4803"/>
      <c r="D4803"/>
    </row>
    <row r="4804" spans="1:4" x14ac:dyDescent="0.2">
      <c r="A4804"/>
      <c r="B4804"/>
      <c r="C4804"/>
      <c r="D4804"/>
    </row>
    <row r="4805" spans="1:4" x14ac:dyDescent="0.2">
      <c r="A4805"/>
      <c r="B4805"/>
      <c r="C4805"/>
      <c r="D4805"/>
    </row>
    <row r="4806" spans="1:4" x14ac:dyDescent="0.2">
      <c r="A4806"/>
      <c r="B4806"/>
      <c r="C4806"/>
      <c r="D4806"/>
    </row>
    <row r="4807" spans="1:4" x14ac:dyDescent="0.2">
      <c r="A4807"/>
      <c r="B4807"/>
      <c r="C4807"/>
      <c r="D4807"/>
    </row>
    <row r="4808" spans="1:4" x14ac:dyDescent="0.2">
      <c r="A4808"/>
      <c r="B4808"/>
      <c r="C4808"/>
      <c r="D4808"/>
    </row>
    <row r="4809" spans="1:4" x14ac:dyDescent="0.2">
      <c r="A4809"/>
      <c r="B4809"/>
      <c r="C4809"/>
      <c r="D4809"/>
    </row>
    <row r="4810" spans="1:4" x14ac:dyDescent="0.2">
      <c r="A4810"/>
      <c r="B4810"/>
      <c r="C4810"/>
      <c r="D4810"/>
    </row>
    <row r="4811" spans="1:4" x14ac:dyDescent="0.2">
      <c r="A4811"/>
      <c r="B4811"/>
      <c r="C4811"/>
      <c r="D4811"/>
    </row>
    <row r="4812" spans="1:4" x14ac:dyDescent="0.2">
      <c r="A4812"/>
      <c r="B4812"/>
      <c r="C4812"/>
      <c r="D4812"/>
    </row>
    <row r="4813" spans="1:4" x14ac:dyDescent="0.2">
      <c r="A4813"/>
      <c r="B4813"/>
      <c r="C4813"/>
      <c r="D4813"/>
    </row>
    <row r="4814" spans="1:4" x14ac:dyDescent="0.2">
      <c r="A4814"/>
      <c r="B4814"/>
      <c r="C4814"/>
      <c r="D4814"/>
    </row>
    <row r="4815" spans="1:4" x14ac:dyDescent="0.2">
      <c r="A4815"/>
      <c r="B4815"/>
      <c r="C4815"/>
      <c r="D4815"/>
    </row>
    <row r="4816" spans="1:4" x14ac:dyDescent="0.2">
      <c r="A4816"/>
      <c r="B4816"/>
      <c r="C4816"/>
      <c r="D4816"/>
    </row>
    <row r="4817" spans="1:4" x14ac:dyDescent="0.2">
      <c r="A4817"/>
      <c r="B4817"/>
      <c r="C4817"/>
      <c r="D4817"/>
    </row>
    <row r="4818" spans="1:4" x14ac:dyDescent="0.2">
      <c r="A4818"/>
      <c r="B4818"/>
      <c r="C4818"/>
      <c r="D4818"/>
    </row>
    <row r="4819" spans="1:4" x14ac:dyDescent="0.2">
      <c r="A4819"/>
      <c r="B4819"/>
      <c r="C4819"/>
      <c r="D4819"/>
    </row>
    <row r="4820" spans="1:4" x14ac:dyDescent="0.2">
      <c r="A4820"/>
      <c r="B4820"/>
      <c r="C4820"/>
      <c r="D4820"/>
    </row>
    <row r="4821" spans="1:4" x14ac:dyDescent="0.2">
      <c r="A4821"/>
      <c r="B4821"/>
      <c r="C4821"/>
      <c r="D4821"/>
    </row>
    <row r="4822" spans="1:4" x14ac:dyDescent="0.2">
      <c r="A4822"/>
      <c r="B4822"/>
      <c r="C4822"/>
      <c r="D4822"/>
    </row>
    <row r="4823" spans="1:4" x14ac:dyDescent="0.2">
      <c r="A4823"/>
      <c r="B4823"/>
      <c r="C4823"/>
      <c r="D4823"/>
    </row>
    <row r="4824" spans="1:4" x14ac:dyDescent="0.2">
      <c r="A4824"/>
      <c r="B4824"/>
      <c r="C4824"/>
      <c r="D4824"/>
    </row>
    <row r="4825" spans="1:4" x14ac:dyDescent="0.2">
      <c r="A4825"/>
      <c r="B4825"/>
      <c r="C4825"/>
      <c r="D4825"/>
    </row>
    <row r="4826" spans="1:4" x14ac:dyDescent="0.2">
      <c r="A4826"/>
      <c r="B4826"/>
      <c r="C4826"/>
      <c r="D4826"/>
    </row>
    <row r="4827" spans="1:4" x14ac:dyDescent="0.2">
      <c r="A4827"/>
      <c r="B4827"/>
      <c r="C4827"/>
      <c r="D4827"/>
    </row>
    <row r="4828" spans="1:4" x14ac:dyDescent="0.2">
      <c r="A4828"/>
      <c r="B4828"/>
      <c r="C4828"/>
      <c r="D4828"/>
    </row>
    <row r="4829" spans="1:4" x14ac:dyDescent="0.2">
      <c r="A4829"/>
      <c r="B4829"/>
      <c r="C4829"/>
      <c r="D4829"/>
    </row>
    <row r="4830" spans="1:4" x14ac:dyDescent="0.2">
      <c r="A4830"/>
      <c r="B4830"/>
      <c r="C4830"/>
      <c r="D4830"/>
    </row>
    <row r="4831" spans="1:4" x14ac:dyDescent="0.2">
      <c r="A4831"/>
      <c r="B4831"/>
      <c r="C4831"/>
      <c r="D4831"/>
    </row>
    <row r="4832" spans="1:4" x14ac:dyDescent="0.2">
      <c r="A4832"/>
      <c r="B4832"/>
      <c r="C4832"/>
      <c r="D4832"/>
    </row>
    <row r="4833" spans="1:4" x14ac:dyDescent="0.2">
      <c r="A4833"/>
      <c r="B4833"/>
      <c r="C4833"/>
      <c r="D4833"/>
    </row>
    <row r="4834" spans="1:4" x14ac:dyDescent="0.2">
      <c r="A4834"/>
      <c r="B4834"/>
      <c r="C4834"/>
      <c r="D4834"/>
    </row>
    <row r="4835" spans="1:4" x14ac:dyDescent="0.2">
      <c r="A4835"/>
      <c r="B4835"/>
      <c r="C4835"/>
      <c r="D4835"/>
    </row>
    <row r="4836" spans="1:4" x14ac:dyDescent="0.2">
      <c r="A4836"/>
      <c r="B4836"/>
      <c r="C4836"/>
      <c r="D4836"/>
    </row>
    <row r="4837" spans="1:4" x14ac:dyDescent="0.2">
      <c r="A4837"/>
      <c r="B4837"/>
      <c r="C4837"/>
      <c r="D4837"/>
    </row>
    <row r="4838" spans="1:4" x14ac:dyDescent="0.2">
      <c r="A4838"/>
      <c r="B4838"/>
      <c r="C4838"/>
      <c r="D4838"/>
    </row>
    <row r="4839" spans="1:4" x14ac:dyDescent="0.2">
      <c r="A4839"/>
      <c r="B4839"/>
      <c r="C4839"/>
      <c r="D4839"/>
    </row>
    <row r="4840" spans="1:4" x14ac:dyDescent="0.2">
      <c r="A4840"/>
      <c r="B4840"/>
      <c r="C4840"/>
      <c r="D4840"/>
    </row>
    <row r="4841" spans="1:4" x14ac:dyDescent="0.2">
      <c r="A4841"/>
      <c r="B4841"/>
      <c r="C4841"/>
      <c r="D4841"/>
    </row>
    <row r="4842" spans="1:4" x14ac:dyDescent="0.2">
      <c r="A4842"/>
      <c r="B4842"/>
      <c r="C4842"/>
      <c r="D4842"/>
    </row>
    <row r="4843" spans="1:4" x14ac:dyDescent="0.2">
      <c r="A4843"/>
      <c r="B4843"/>
      <c r="C4843"/>
      <c r="D4843"/>
    </row>
    <row r="4844" spans="1:4" x14ac:dyDescent="0.2">
      <c r="A4844"/>
      <c r="B4844"/>
      <c r="C4844"/>
      <c r="D4844"/>
    </row>
    <row r="4845" spans="1:4" x14ac:dyDescent="0.2">
      <c r="A4845"/>
      <c r="B4845"/>
      <c r="C4845"/>
      <c r="D4845"/>
    </row>
    <row r="4846" spans="1:4" x14ac:dyDescent="0.2">
      <c r="A4846"/>
      <c r="B4846"/>
      <c r="C4846"/>
      <c r="D4846"/>
    </row>
    <row r="4847" spans="1:4" x14ac:dyDescent="0.2">
      <c r="A4847"/>
      <c r="B4847"/>
      <c r="C4847"/>
      <c r="D4847"/>
    </row>
    <row r="4848" spans="1:4" x14ac:dyDescent="0.2">
      <c r="A4848"/>
      <c r="B4848"/>
      <c r="C4848"/>
      <c r="D4848"/>
    </row>
    <row r="4849" spans="1:4" x14ac:dyDescent="0.2">
      <c r="A4849"/>
      <c r="B4849"/>
      <c r="C4849"/>
      <c r="D4849"/>
    </row>
    <row r="4850" spans="1:4" x14ac:dyDescent="0.2">
      <c r="A4850"/>
      <c r="B4850"/>
      <c r="C4850"/>
      <c r="D4850"/>
    </row>
    <row r="4851" spans="1:4" x14ac:dyDescent="0.2">
      <c r="A4851"/>
      <c r="B4851"/>
      <c r="C4851"/>
      <c r="D4851"/>
    </row>
    <row r="4852" spans="1:4" x14ac:dyDescent="0.2">
      <c r="A4852"/>
      <c r="B4852"/>
      <c r="C4852"/>
      <c r="D4852"/>
    </row>
    <row r="4853" spans="1:4" x14ac:dyDescent="0.2">
      <c r="A4853"/>
      <c r="B4853"/>
      <c r="C4853"/>
      <c r="D4853"/>
    </row>
    <row r="4854" spans="1:4" x14ac:dyDescent="0.2">
      <c r="A4854"/>
      <c r="B4854"/>
      <c r="C4854"/>
      <c r="D4854"/>
    </row>
    <row r="4855" spans="1:4" x14ac:dyDescent="0.2">
      <c r="A4855"/>
      <c r="B4855"/>
      <c r="C4855"/>
      <c r="D4855"/>
    </row>
    <row r="4856" spans="1:4" x14ac:dyDescent="0.2">
      <c r="A4856"/>
      <c r="B4856"/>
      <c r="C4856"/>
      <c r="D4856"/>
    </row>
    <row r="4857" spans="1:4" x14ac:dyDescent="0.2">
      <c r="A4857"/>
      <c r="B4857"/>
      <c r="C4857"/>
      <c r="D4857"/>
    </row>
    <row r="4858" spans="1:4" x14ac:dyDescent="0.2">
      <c r="A4858"/>
      <c r="B4858"/>
      <c r="C4858"/>
      <c r="D4858"/>
    </row>
    <row r="4859" spans="1:4" x14ac:dyDescent="0.2">
      <c r="A4859"/>
      <c r="B4859"/>
      <c r="C4859"/>
      <c r="D4859"/>
    </row>
    <row r="4860" spans="1:4" x14ac:dyDescent="0.2">
      <c r="A4860"/>
      <c r="B4860"/>
      <c r="C4860"/>
      <c r="D4860"/>
    </row>
    <row r="4861" spans="1:4" x14ac:dyDescent="0.2">
      <c r="A4861"/>
      <c r="B4861"/>
      <c r="C4861"/>
      <c r="D4861"/>
    </row>
    <row r="4862" spans="1:4" x14ac:dyDescent="0.2">
      <c r="A4862"/>
      <c r="B4862"/>
      <c r="C4862"/>
      <c r="D4862"/>
    </row>
    <row r="4863" spans="1:4" x14ac:dyDescent="0.2">
      <c r="A4863"/>
      <c r="B4863"/>
      <c r="C4863"/>
      <c r="D4863"/>
    </row>
    <row r="4864" spans="1:4" x14ac:dyDescent="0.2">
      <c r="A4864"/>
      <c r="B4864"/>
      <c r="C4864"/>
      <c r="D4864"/>
    </row>
    <row r="4865" spans="1:4" x14ac:dyDescent="0.2">
      <c r="A4865"/>
      <c r="B4865"/>
      <c r="C4865"/>
      <c r="D4865"/>
    </row>
    <row r="4866" spans="1:4" x14ac:dyDescent="0.2">
      <c r="A4866"/>
      <c r="B4866"/>
      <c r="C4866"/>
      <c r="D4866"/>
    </row>
    <row r="4867" spans="1:4" x14ac:dyDescent="0.2">
      <c r="A4867"/>
      <c r="B4867"/>
      <c r="C4867"/>
      <c r="D4867"/>
    </row>
    <row r="4868" spans="1:4" x14ac:dyDescent="0.2">
      <c r="A4868"/>
      <c r="B4868"/>
      <c r="C4868"/>
      <c r="D4868"/>
    </row>
    <row r="4869" spans="1:4" x14ac:dyDescent="0.2">
      <c r="A4869"/>
      <c r="B4869"/>
      <c r="C4869"/>
      <c r="D4869"/>
    </row>
    <row r="4870" spans="1:4" x14ac:dyDescent="0.2">
      <c r="A4870"/>
      <c r="B4870"/>
      <c r="C4870"/>
      <c r="D4870"/>
    </row>
    <row r="4871" spans="1:4" x14ac:dyDescent="0.2">
      <c r="A4871"/>
      <c r="B4871"/>
      <c r="C4871"/>
      <c r="D4871"/>
    </row>
    <row r="4872" spans="1:4" x14ac:dyDescent="0.2">
      <c r="A4872"/>
      <c r="B4872"/>
      <c r="C4872"/>
      <c r="D4872"/>
    </row>
    <row r="4873" spans="1:4" x14ac:dyDescent="0.2">
      <c r="A4873"/>
      <c r="B4873"/>
      <c r="C4873"/>
      <c r="D4873"/>
    </row>
    <row r="4874" spans="1:4" x14ac:dyDescent="0.2">
      <c r="A4874"/>
      <c r="B4874"/>
      <c r="C4874"/>
      <c r="D4874"/>
    </row>
    <row r="4875" spans="1:4" x14ac:dyDescent="0.2">
      <c r="A4875"/>
      <c r="B4875"/>
      <c r="C4875"/>
      <c r="D4875"/>
    </row>
    <row r="4876" spans="1:4" x14ac:dyDescent="0.2">
      <c r="A4876"/>
      <c r="B4876"/>
      <c r="C4876"/>
      <c r="D4876"/>
    </row>
    <row r="4877" spans="1:4" x14ac:dyDescent="0.2">
      <c r="A4877"/>
      <c r="B4877"/>
      <c r="C4877"/>
      <c r="D4877"/>
    </row>
    <row r="4878" spans="1:4" x14ac:dyDescent="0.2">
      <c r="A4878"/>
      <c r="B4878"/>
      <c r="C4878"/>
      <c r="D4878"/>
    </row>
    <row r="4879" spans="1:4" x14ac:dyDescent="0.2">
      <c r="A4879"/>
      <c r="B4879"/>
      <c r="C4879"/>
      <c r="D4879"/>
    </row>
    <row r="4880" spans="1:4" x14ac:dyDescent="0.2">
      <c r="A4880"/>
      <c r="B4880"/>
      <c r="C4880"/>
      <c r="D4880"/>
    </row>
    <row r="4881" spans="1:4" x14ac:dyDescent="0.2">
      <c r="A4881"/>
      <c r="B4881"/>
      <c r="C4881"/>
      <c r="D4881"/>
    </row>
    <row r="4882" spans="1:4" x14ac:dyDescent="0.2">
      <c r="A4882"/>
      <c r="B4882"/>
      <c r="C4882"/>
      <c r="D4882"/>
    </row>
    <row r="4883" spans="1:4" x14ac:dyDescent="0.2">
      <c r="A4883"/>
      <c r="B4883"/>
      <c r="C4883"/>
      <c r="D4883"/>
    </row>
    <row r="4884" spans="1:4" x14ac:dyDescent="0.2">
      <c r="A4884"/>
      <c r="B4884"/>
      <c r="C4884"/>
      <c r="D4884"/>
    </row>
    <row r="4885" spans="1:4" x14ac:dyDescent="0.2">
      <c r="A4885"/>
      <c r="B4885"/>
      <c r="C4885"/>
      <c r="D4885"/>
    </row>
    <row r="4886" spans="1:4" x14ac:dyDescent="0.2">
      <c r="A4886"/>
      <c r="B4886"/>
      <c r="C4886"/>
      <c r="D4886"/>
    </row>
    <row r="4887" spans="1:4" x14ac:dyDescent="0.2">
      <c r="A4887"/>
      <c r="B4887"/>
      <c r="C4887"/>
      <c r="D4887"/>
    </row>
    <row r="4888" spans="1:4" x14ac:dyDescent="0.2">
      <c r="A4888"/>
      <c r="B4888"/>
      <c r="C4888"/>
      <c r="D4888"/>
    </row>
    <row r="4889" spans="1:4" x14ac:dyDescent="0.2">
      <c r="A4889"/>
      <c r="B4889"/>
      <c r="C4889"/>
      <c r="D4889"/>
    </row>
    <row r="4890" spans="1:4" x14ac:dyDescent="0.2">
      <c r="A4890"/>
      <c r="B4890"/>
      <c r="C4890"/>
      <c r="D4890"/>
    </row>
    <row r="4891" spans="1:4" x14ac:dyDescent="0.2">
      <c r="A4891"/>
      <c r="B4891"/>
      <c r="C4891"/>
      <c r="D4891"/>
    </row>
    <row r="4892" spans="1:4" x14ac:dyDescent="0.2">
      <c r="A4892"/>
      <c r="B4892"/>
      <c r="C4892"/>
      <c r="D4892"/>
    </row>
    <row r="4893" spans="1:4" x14ac:dyDescent="0.2">
      <c r="A4893"/>
      <c r="B4893"/>
      <c r="C4893"/>
      <c r="D4893"/>
    </row>
    <row r="4894" spans="1:4" x14ac:dyDescent="0.2">
      <c r="A4894"/>
      <c r="B4894"/>
      <c r="C4894"/>
      <c r="D4894"/>
    </row>
    <row r="4895" spans="1:4" x14ac:dyDescent="0.2">
      <c r="A4895"/>
      <c r="B4895"/>
      <c r="C4895"/>
      <c r="D4895"/>
    </row>
    <row r="4896" spans="1:4" x14ac:dyDescent="0.2">
      <c r="A4896"/>
      <c r="B4896"/>
      <c r="C4896"/>
      <c r="D4896"/>
    </row>
    <row r="4897" spans="1:4" x14ac:dyDescent="0.2">
      <c r="A4897"/>
      <c r="B4897"/>
      <c r="C4897"/>
      <c r="D4897"/>
    </row>
    <row r="4898" spans="1:4" x14ac:dyDescent="0.2">
      <c r="A4898"/>
      <c r="B4898"/>
      <c r="C4898"/>
      <c r="D4898"/>
    </row>
    <row r="4899" spans="1:4" x14ac:dyDescent="0.2">
      <c r="A4899"/>
      <c r="B4899"/>
      <c r="C4899"/>
      <c r="D4899"/>
    </row>
    <row r="4900" spans="1:4" x14ac:dyDescent="0.2">
      <c r="A4900"/>
      <c r="B4900"/>
      <c r="C4900"/>
      <c r="D4900"/>
    </row>
    <row r="4901" spans="1:4" x14ac:dyDescent="0.2">
      <c r="A4901"/>
      <c r="B4901"/>
      <c r="C4901"/>
      <c r="D4901"/>
    </row>
    <row r="4902" spans="1:4" x14ac:dyDescent="0.2">
      <c r="A4902"/>
      <c r="B4902"/>
      <c r="C4902"/>
      <c r="D4902"/>
    </row>
    <row r="4903" spans="1:4" x14ac:dyDescent="0.2">
      <c r="A4903"/>
      <c r="B4903"/>
      <c r="C4903"/>
      <c r="D4903"/>
    </row>
    <row r="4904" spans="1:4" x14ac:dyDescent="0.2">
      <c r="A4904"/>
      <c r="B4904"/>
      <c r="C4904"/>
      <c r="D4904"/>
    </row>
    <row r="4905" spans="1:4" x14ac:dyDescent="0.2">
      <c r="A4905"/>
      <c r="B4905"/>
      <c r="C4905"/>
      <c r="D4905"/>
    </row>
    <row r="4906" spans="1:4" x14ac:dyDescent="0.2">
      <c r="A4906"/>
      <c r="B4906"/>
      <c r="C4906"/>
      <c r="D4906"/>
    </row>
    <row r="4907" spans="1:4" x14ac:dyDescent="0.2">
      <c r="A4907"/>
      <c r="B4907"/>
      <c r="C4907"/>
      <c r="D4907"/>
    </row>
    <row r="4908" spans="1:4" x14ac:dyDescent="0.2">
      <c r="A4908"/>
      <c r="B4908"/>
      <c r="C4908"/>
      <c r="D4908"/>
    </row>
    <row r="4909" spans="1:4" x14ac:dyDescent="0.2">
      <c r="A4909"/>
      <c r="B4909"/>
      <c r="C4909"/>
      <c r="D4909"/>
    </row>
    <row r="4910" spans="1:4" x14ac:dyDescent="0.2">
      <c r="A4910"/>
      <c r="B4910"/>
      <c r="C4910"/>
      <c r="D4910"/>
    </row>
    <row r="4911" spans="1:4" x14ac:dyDescent="0.2">
      <c r="A4911"/>
      <c r="B4911"/>
      <c r="C4911"/>
      <c r="D4911"/>
    </row>
    <row r="4912" spans="1:4" x14ac:dyDescent="0.2">
      <c r="A4912"/>
      <c r="B4912"/>
      <c r="C4912"/>
      <c r="D4912"/>
    </row>
    <row r="4913" spans="1:4" x14ac:dyDescent="0.2">
      <c r="A4913"/>
      <c r="B4913"/>
      <c r="C4913"/>
      <c r="D4913"/>
    </row>
    <row r="4914" spans="1:4" x14ac:dyDescent="0.2">
      <c r="A4914"/>
      <c r="B4914"/>
      <c r="C4914"/>
      <c r="D4914"/>
    </row>
    <row r="4915" spans="1:4" x14ac:dyDescent="0.2">
      <c r="A4915"/>
      <c r="B4915"/>
      <c r="C4915"/>
      <c r="D4915"/>
    </row>
    <row r="4916" spans="1:4" x14ac:dyDescent="0.2">
      <c r="A4916"/>
      <c r="B4916"/>
      <c r="C4916"/>
      <c r="D4916"/>
    </row>
    <row r="4917" spans="1:4" x14ac:dyDescent="0.2">
      <c r="A4917"/>
      <c r="B4917"/>
      <c r="C4917"/>
      <c r="D4917"/>
    </row>
    <row r="4918" spans="1:4" x14ac:dyDescent="0.2">
      <c r="A4918"/>
      <c r="B4918"/>
      <c r="C4918"/>
      <c r="D4918"/>
    </row>
    <row r="4919" spans="1:4" x14ac:dyDescent="0.2">
      <c r="A4919"/>
      <c r="B4919"/>
      <c r="C4919"/>
      <c r="D4919"/>
    </row>
    <row r="4920" spans="1:4" x14ac:dyDescent="0.2">
      <c r="A4920"/>
      <c r="B4920"/>
      <c r="C4920"/>
      <c r="D4920"/>
    </row>
    <row r="4921" spans="1:4" x14ac:dyDescent="0.2">
      <c r="A4921"/>
      <c r="B4921"/>
      <c r="C4921"/>
      <c r="D4921"/>
    </row>
    <row r="4922" spans="1:4" x14ac:dyDescent="0.2">
      <c r="A4922"/>
      <c r="B4922"/>
      <c r="C4922"/>
      <c r="D4922"/>
    </row>
    <row r="4923" spans="1:4" x14ac:dyDescent="0.2">
      <c r="A4923"/>
      <c r="B4923"/>
      <c r="C4923"/>
      <c r="D4923"/>
    </row>
    <row r="4924" spans="1:4" x14ac:dyDescent="0.2">
      <c r="A4924"/>
      <c r="B4924"/>
      <c r="C4924"/>
      <c r="D4924"/>
    </row>
    <row r="4925" spans="1:4" x14ac:dyDescent="0.2">
      <c r="A4925"/>
      <c r="B4925"/>
      <c r="C4925"/>
      <c r="D4925"/>
    </row>
    <row r="4926" spans="1:4" x14ac:dyDescent="0.2">
      <c r="A4926"/>
      <c r="B4926"/>
      <c r="C4926"/>
      <c r="D4926"/>
    </row>
    <row r="4927" spans="1:4" x14ac:dyDescent="0.2">
      <c r="A4927"/>
      <c r="B4927"/>
      <c r="C4927"/>
      <c r="D4927"/>
    </row>
    <row r="4928" spans="1:4" x14ac:dyDescent="0.2">
      <c r="A4928"/>
      <c r="B4928"/>
      <c r="C4928"/>
      <c r="D4928"/>
    </row>
    <row r="4929" spans="1:4" x14ac:dyDescent="0.2">
      <c r="A4929"/>
      <c r="B4929"/>
      <c r="C4929"/>
      <c r="D4929"/>
    </row>
    <row r="4930" spans="1:4" x14ac:dyDescent="0.2">
      <c r="A4930"/>
      <c r="B4930"/>
      <c r="C4930"/>
      <c r="D4930"/>
    </row>
    <row r="4931" spans="1:4" x14ac:dyDescent="0.2">
      <c r="A4931"/>
      <c r="B4931"/>
      <c r="C4931"/>
      <c r="D4931"/>
    </row>
    <row r="4932" spans="1:4" x14ac:dyDescent="0.2">
      <c r="A4932"/>
      <c r="B4932"/>
      <c r="C4932"/>
      <c r="D4932"/>
    </row>
    <row r="4933" spans="1:4" x14ac:dyDescent="0.2">
      <c r="A4933"/>
      <c r="B4933"/>
      <c r="C4933"/>
      <c r="D4933"/>
    </row>
    <row r="4934" spans="1:4" x14ac:dyDescent="0.2">
      <c r="A4934"/>
      <c r="B4934"/>
      <c r="C4934"/>
      <c r="D4934"/>
    </row>
    <row r="4935" spans="1:4" x14ac:dyDescent="0.2">
      <c r="A4935"/>
      <c r="B4935"/>
      <c r="C4935"/>
      <c r="D4935"/>
    </row>
    <row r="4936" spans="1:4" x14ac:dyDescent="0.2">
      <c r="A4936"/>
      <c r="B4936"/>
      <c r="C4936"/>
      <c r="D4936"/>
    </row>
    <row r="4937" spans="1:4" x14ac:dyDescent="0.2">
      <c r="A4937"/>
      <c r="B4937"/>
      <c r="C4937"/>
      <c r="D4937"/>
    </row>
    <row r="4938" spans="1:4" x14ac:dyDescent="0.2">
      <c r="A4938"/>
      <c r="B4938"/>
      <c r="C4938"/>
      <c r="D4938"/>
    </row>
    <row r="4939" spans="1:4" x14ac:dyDescent="0.2">
      <c r="A4939"/>
      <c r="B4939"/>
      <c r="C4939"/>
      <c r="D4939"/>
    </row>
    <row r="4940" spans="1:4" x14ac:dyDescent="0.2">
      <c r="A4940"/>
      <c r="B4940"/>
      <c r="C4940"/>
      <c r="D4940"/>
    </row>
    <row r="4941" spans="1:4" x14ac:dyDescent="0.2">
      <c r="A4941"/>
      <c r="B4941"/>
      <c r="C4941"/>
      <c r="D4941"/>
    </row>
    <row r="4942" spans="1:4" x14ac:dyDescent="0.2">
      <c r="A4942"/>
      <c r="B4942"/>
      <c r="C4942"/>
      <c r="D4942"/>
    </row>
    <row r="4943" spans="1:4" x14ac:dyDescent="0.2">
      <c r="A4943"/>
      <c r="B4943"/>
      <c r="C4943"/>
      <c r="D4943"/>
    </row>
    <row r="4944" spans="1:4" x14ac:dyDescent="0.2">
      <c r="A4944"/>
      <c r="B4944"/>
      <c r="C4944"/>
      <c r="D4944"/>
    </row>
    <row r="4945" spans="1:4" x14ac:dyDescent="0.2">
      <c r="A4945"/>
      <c r="B4945"/>
      <c r="C4945"/>
      <c r="D4945"/>
    </row>
    <row r="4946" spans="1:4" x14ac:dyDescent="0.2">
      <c r="A4946"/>
      <c r="B4946"/>
      <c r="C4946"/>
      <c r="D4946"/>
    </row>
    <row r="4947" spans="1:4" x14ac:dyDescent="0.2">
      <c r="A4947"/>
      <c r="B4947"/>
      <c r="C4947"/>
      <c r="D4947"/>
    </row>
    <row r="4948" spans="1:4" x14ac:dyDescent="0.2">
      <c r="A4948"/>
      <c r="B4948"/>
      <c r="C4948"/>
      <c r="D4948"/>
    </row>
    <row r="4949" spans="1:4" x14ac:dyDescent="0.2">
      <c r="A4949"/>
      <c r="B4949"/>
      <c r="C4949"/>
      <c r="D4949"/>
    </row>
    <row r="4950" spans="1:4" x14ac:dyDescent="0.2">
      <c r="A4950"/>
      <c r="B4950"/>
      <c r="C4950"/>
      <c r="D4950"/>
    </row>
    <row r="4951" spans="1:4" x14ac:dyDescent="0.2">
      <c r="A4951"/>
      <c r="B4951"/>
      <c r="C4951"/>
      <c r="D4951"/>
    </row>
    <row r="4952" spans="1:4" x14ac:dyDescent="0.2">
      <c r="A4952"/>
      <c r="B4952"/>
      <c r="C4952"/>
      <c r="D4952"/>
    </row>
    <row r="4953" spans="1:4" x14ac:dyDescent="0.2">
      <c r="A4953"/>
      <c r="B4953"/>
      <c r="C4953"/>
      <c r="D4953"/>
    </row>
    <row r="4954" spans="1:4" x14ac:dyDescent="0.2">
      <c r="A4954"/>
      <c r="B4954"/>
      <c r="C4954"/>
      <c r="D4954"/>
    </row>
    <row r="4955" spans="1:4" x14ac:dyDescent="0.2">
      <c r="A4955"/>
      <c r="B4955"/>
      <c r="C4955"/>
      <c r="D4955"/>
    </row>
    <row r="4956" spans="1:4" x14ac:dyDescent="0.2">
      <c r="A4956"/>
      <c r="B4956"/>
      <c r="C4956"/>
      <c r="D4956"/>
    </row>
    <row r="4957" spans="1:4" x14ac:dyDescent="0.2">
      <c r="A4957"/>
      <c r="B4957"/>
      <c r="C4957"/>
      <c r="D4957"/>
    </row>
    <row r="4958" spans="1:4" x14ac:dyDescent="0.2">
      <c r="A4958"/>
      <c r="B4958"/>
      <c r="C4958"/>
      <c r="D4958"/>
    </row>
    <row r="4959" spans="1:4" x14ac:dyDescent="0.2">
      <c r="A4959"/>
      <c r="B4959"/>
      <c r="C4959"/>
      <c r="D4959"/>
    </row>
    <row r="4960" spans="1:4" x14ac:dyDescent="0.2">
      <c r="A4960"/>
      <c r="B4960"/>
      <c r="C4960"/>
      <c r="D4960"/>
    </row>
    <row r="4961" spans="1:4" x14ac:dyDescent="0.2">
      <c r="A4961"/>
      <c r="B4961"/>
      <c r="C4961"/>
      <c r="D4961"/>
    </row>
    <row r="4962" spans="1:4" x14ac:dyDescent="0.2">
      <c r="A4962"/>
      <c r="B4962"/>
      <c r="C4962"/>
      <c r="D4962"/>
    </row>
    <row r="4963" spans="1:4" x14ac:dyDescent="0.2">
      <c r="A4963"/>
      <c r="B4963"/>
      <c r="C4963"/>
      <c r="D4963"/>
    </row>
    <row r="4964" spans="1:4" x14ac:dyDescent="0.2">
      <c r="A4964"/>
      <c r="B4964"/>
      <c r="C4964"/>
      <c r="D4964"/>
    </row>
    <row r="4965" spans="1:4" x14ac:dyDescent="0.2">
      <c r="A4965"/>
      <c r="B4965"/>
      <c r="C4965"/>
      <c r="D4965"/>
    </row>
    <row r="4966" spans="1:4" x14ac:dyDescent="0.2">
      <c r="A4966"/>
      <c r="B4966"/>
      <c r="C4966"/>
      <c r="D4966"/>
    </row>
    <row r="4967" spans="1:4" x14ac:dyDescent="0.2">
      <c r="A4967"/>
      <c r="B4967"/>
      <c r="C4967"/>
      <c r="D4967"/>
    </row>
    <row r="4968" spans="1:4" x14ac:dyDescent="0.2">
      <c r="A4968"/>
      <c r="B4968"/>
      <c r="C4968"/>
      <c r="D4968"/>
    </row>
    <row r="4969" spans="1:4" x14ac:dyDescent="0.2">
      <c r="A4969"/>
      <c r="B4969"/>
      <c r="C4969"/>
      <c r="D4969"/>
    </row>
    <row r="4970" spans="1:4" x14ac:dyDescent="0.2">
      <c r="A4970"/>
      <c r="B4970"/>
      <c r="C4970"/>
      <c r="D4970"/>
    </row>
    <row r="4971" spans="1:4" x14ac:dyDescent="0.2">
      <c r="A4971"/>
      <c r="B4971"/>
      <c r="C4971"/>
      <c r="D4971"/>
    </row>
    <row r="4972" spans="1:4" x14ac:dyDescent="0.2">
      <c r="A4972"/>
      <c r="B4972"/>
      <c r="C4972"/>
      <c r="D4972"/>
    </row>
    <row r="4973" spans="1:4" x14ac:dyDescent="0.2">
      <c r="A4973"/>
      <c r="B4973"/>
      <c r="C4973"/>
      <c r="D4973"/>
    </row>
    <row r="4974" spans="1:4" x14ac:dyDescent="0.2">
      <c r="A4974"/>
      <c r="B4974"/>
      <c r="C4974"/>
      <c r="D4974"/>
    </row>
    <row r="4975" spans="1:4" x14ac:dyDescent="0.2">
      <c r="A4975"/>
      <c r="B4975"/>
      <c r="C4975"/>
      <c r="D4975"/>
    </row>
    <row r="4976" spans="1:4" x14ac:dyDescent="0.2">
      <c r="A4976"/>
      <c r="B4976"/>
      <c r="C4976"/>
      <c r="D4976"/>
    </row>
    <row r="4977" spans="1:4" x14ac:dyDescent="0.2">
      <c r="A4977"/>
      <c r="B4977"/>
      <c r="C4977"/>
      <c r="D4977"/>
    </row>
    <row r="4978" spans="1:4" x14ac:dyDescent="0.2">
      <c r="A4978"/>
      <c r="B4978"/>
      <c r="C4978"/>
      <c r="D4978"/>
    </row>
    <row r="4979" spans="1:4" x14ac:dyDescent="0.2">
      <c r="A4979"/>
      <c r="B4979"/>
      <c r="C4979"/>
      <c r="D4979"/>
    </row>
    <row r="4980" spans="1:4" x14ac:dyDescent="0.2">
      <c r="A4980"/>
      <c r="B4980"/>
      <c r="C4980"/>
      <c r="D4980"/>
    </row>
    <row r="4981" spans="1:4" x14ac:dyDescent="0.2">
      <c r="A4981"/>
      <c r="B4981"/>
      <c r="C4981"/>
      <c r="D4981"/>
    </row>
    <row r="4982" spans="1:4" x14ac:dyDescent="0.2">
      <c r="A4982"/>
      <c r="B4982"/>
      <c r="C4982"/>
      <c r="D4982"/>
    </row>
    <row r="4983" spans="1:4" x14ac:dyDescent="0.2">
      <c r="A4983"/>
      <c r="B4983"/>
      <c r="C4983"/>
      <c r="D4983"/>
    </row>
    <row r="4984" spans="1:4" x14ac:dyDescent="0.2">
      <c r="A4984"/>
      <c r="B4984"/>
      <c r="C4984"/>
      <c r="D4984"/>
    </row>
    <row r="4985" spans="1:4" x14ac:dyDescent="0.2">
      <c r="A4985"/>
      <c r="B4985"/>
      <c r="C4985"/>
      <c r="D4985"/>
    </row>
    <row r="4986" spans="1:4" x14ac:dyDescent="0.2">
      <c r="A4986"/>
      <c r="B4986"/>
      <c r="C4986"/>
      <c r="D4986"/>
    </row>
    <row r="4987" spans="1:4" x14ac:dyDescent="0.2">
      <c r="A4987"/>
      <c r="B4987"/>
      <c r="C4987"/>
      <c r="D4987"/>
    </row>
    <row r="4988" spans="1:4" x14ac:dyDescent="0.2">
      <c r="A4988"/>
      <c r="B4988"/>
      <c r="C4988"/>
      <c r="D4988"/>
    </row>
    <row r="4989" spans="1:4" x14ac:dyDescent="0.2">
      <c r="A4989"/>
      <c r="B4989"/>
      <c r="C4989"/>
      <c r="D4989"/>
    </row>
    <row r="4990" spans="1:4" x14ac:dyDescent="0.2">
      <c r="A4990"/>
      <c r="B4990"/>
      <c r="C4990"/>
      <c r="D4990"/>
    </row>
    <row r="4991" spans="1:4" x14ac:dyDescent="0.2">
      <c r="A4991"/>
      <c r="B4991"/>
      <c r="C4991"/>
      <c r="D4991"/>
    </row>
    <row r="4992" spans="1:4" x14ac:dyDescent="0.2">
      <c r="A4992"/>
      <c r="B4992"/>
      <c r="C4992"/>
      <c r="D4992"/>
    </row>
    <row r="4993" spans="1:4" x14ac:dyDescent="0.2">
      <c r="A4993"/>
      <c r="B4993"/>
      <c r="C4993"/>
      <c r="D4993"/>
    </row>
    <row r="4994" spans="1:4" x14ac:dyDescent="0.2">
      <c r="A4994"/>
      <c r="B4994"/>
      <c r="C4994"/>
      <c r="D4994"/>
    </row>
    <row r="4995" spans="1:4" x14ac:dyDescent="0.2">
      <c r="A4995"/>
      <c r="B4995"/>
      <c r="C4995"/>
      <c r="D4995"/>
    </row>
    <row r="4996" spans="1:4" x14ac:dyDescent="0.2">
      <c r="A4996"/>
      <c r="B4996"/>
      <c r="C4996"/>
      <c r="D4996"/>
    </row>
    <row r="4997" spans="1:4" x14ac:dyDescent="0.2">
      <c r="A4997"/>
      <c r="B4997"/>
      <c r="C4997"/>
      <c r="D4997"/>
    </row>
    <row r="4998" spans="1:4" x14ac:dyDescent="0.2">
      <c r="A4998"/>
      <c r="B4998"/>
      <c r="C4998"/>
      <c r="D4998"/>
    </row>
    <row r="4999" spans="1:4" x14ac:dyDescent="0.2">
      <c r="A4999"/>
      <c r="B4999"/>
      <c r="C4999"/>
      <c r="D4999"/>
    </row>
    <row r="5000" spans="1:4" x14ac:dyDescent="0.2">
      <c r="A5000"/>
      <c r="B5000"/>
      <c r="C5000"/>
      <c r="D5000"/>
    </row>
    <row r="5001" spans="1:4" x14ac:dyDescent="0.2">
      <c r="A5001"/>
      <c r="B5001"/>
      <c r="C5001"/>
      <c r="D5001"/>
    </row>
    <row r="5002" spans="1:4" x14ac:dyDescent="0.2">
      <c r="A5002"/>
      <c r="B5002"/>
      <c r="C5002"/>
      <c r="D5002"/>
    </row>
    <row r="5003" spans="1:4" x14ac:dyDescent="0.2">
      <c r="A5003"/>
      <c r="B5003"/>
      <c r="C5003"/>
      <c r="D5003"/>
    </row>
    <row r="5004" spans="1:4" x14ac:dyDescent="0.2">
      <c r="A5004"/>
      <c r="B5004"/>
      <c r="C5004"/>
      <c r="D5004"/>
    </row>
    <row r="5005" spans="1:4" x14ac:dyDescent="0.2">
      <c r="A5005"/>
      <c r="B5005"/>
      <c r="C5005"/>
      <c r="D5005"/>
    </row>
    <row r="5006" spans="1:4" x14ac:dyDescent="0.2">
      <c r="A5006"/>
      <c r="B5006"/>
      <c r="C5006"/>
      <c r="D5006"/>
    </row>
    <row r="5007" spans="1:4" x14ac:dyDescent="0.2">
      <c r="A5007"/>
      <c r="B5007"/>
      <c r="C5007"/>
      <c r="D5007"/>
    </row>
    <row r="5008" spans="1:4" x14ac:dyDescent="0.2">
      <c r="A5008"/>
      <c r="B5008"/>
      <c r="C5008"/>
      <c r="D5008"/>
    </row>
    <row r="5009" spans="1:4" x14ac:dyDescent="0.2">
      <c r="A5009"/>
      <c r="B5009"/>
      <c r="C5009"/>
      <c r="D5009"/>
    </row>
    <row r="5010" spans="1:4" x14ac:dyDescent="0.2">
      <c r="A5010"/>
      <c r="B5010"/>
      <c r="C5010"/>
      <c r="D5010"/>
    </row>
    <row r="5011" spans="1:4" x14ac:dyDescent="0.2">
      <c r="A5011"/>
      <c r="B5011"/>
      <c r="C5011"/>
      <c r="D5011"/>
    </row>
    <row r="5012" spans="1:4" x14ac:dyDescent="0.2">
      <c r="A5012"/>
      <c r="B5012"/>
      <c r="C5012"/>
      <c r="D5012"/>
    </row>
    <row r="5013" spans="1:4" x14ac:dyDescent="0.2">
      <c r="A5013"/>
      <c r="B5013"/>
      <c r="C5013"/>
      <c r="D5013"/>
    </row>
    <row r="5014" spans="1:4" x14ac:dyDescent="0.2">
      <c r="A5014"/>
      <c r="B5014"/>
      <c r="C5014"/>
      <c r="D5014"/>
    </row>
    <row r="5015" spans="1:4" x14ac:dyDescent="0.2">
      <c r="A5015"/>
      <c r="B5015"/>
      <c r="C5015"/>
      <c r="D5015"/>
    </row>
    <row r="5016" spans="1:4" x14ac:dyDescent="0.2">
      <c r="A5016"/>
      <c r="B5016"/>
      <c r="C5016"/>
      <c r="D5016"/>
    </row>
    <row r="5017" spans="1:4" x14ac:dyDescent="0.2">
      <c r="A5017"/>
      <c r="B5017"/>
      <c r="C5017"/>
      <c r="D5017"/>
    </row>
    <row r="5018" spans="1:4" x14ac:dyDescent="0.2">
      <c r="A5018"/>
      <c r="B5018"/>
      <c r="C5018"/>
      <c r="D5018"/>
    </row>
    <row r="5019" spans="1:4" x14ac:dyDescent="0.2">
      <c r="A5019"/>
      <c r="B5019"/>
      <c r="C5019"/>
      <c r="D5019"/>
    </row>
    <row r="5020" spans="1:4" x14ac:dyDescent="0.2">
      <c r="A5020"/>
      <c r="B5020"/>
      <c r="C5020"/>
      <c r="D5020"/>
    </row>
    <row r="5021" spans="1:4" x14ac:dyDescent="0.2">
      <c r="A5021"/>
      <c r="B5021"/>
      <c r="C5021"/>
      <c r="D5021"/>
    </row>
    <row r="5022" spans="1:4" x14ac:dyDescent="0.2">
      <c r="A5022"/>
      <c r="B5022"/>
      <c r="C5022"/>
      <c r="D5022"/>
    </row>
    <row r="5023" spans="1:4" x14ac:dyDescent="0.2">
      <c r="A5023"/>
      <c r="B5023"/>
      <c r="C5023"/>
      <c r="D5023"/>
    </row>
    <row r="5024" spans="1:4" x14ac:dyDescent="0.2">
      <c r="A5024"/>
      <c r="B5024"/>
      <c r="C5024"/>
      <c r="D5024"/>
    </row>
    <row r="5025" spans="1:4" x14ac:dyDescent="0.2">
      <c r="A5025"/>
      <c r="B5025"/>
      <c r="C5025"/>
      <c r="D5025"/>
    </row>
    <row r="5026" spans="1:4" x14ac:dyDescent="0.2">
      <c r="A5026"/>
      <c r="B5026"/>
      <c r="C5026"/>
      <c r="D5026"/>
    </row>
    <row r="5027" spans="1:4" x14ac:dyDescent="0.2">
      <c r="A5027"/>
      <c r="B5027"/>
      <c r="C5027"/>
      <c r="D5027"/>
    </row>
    <row r="5028" spans="1:4" x14ac:dyDescent="0.2">
      <c r="A5028"/>
      <c r="B5028"/>
      <c r="C5028"/>
      <c r="D5028"/>
    </row>
    <row r="5029" spans="1:4" x14ac:dyDescent="0.2">
      <c r="A5029"/>
      <c r="B5029"/>
      <c r="C5029"/>
      <c r="D5029"/>
    </row>
    <row r="5030" spans="1:4" x14ac:dyDescent="0.2">
      <c r="A5030"/>
      <c r="B5030"/>
      <c r="C5030"/>
      <c r="D5030"/>
    </row>
    <row r="5031" spans="1:4" x14ac:dyDescent="0.2">
      <c r="A5031"/>
      <c r="B5031"/>
      <c r="C5031"/>
      <c r="D5031"/>
    </row>
    <row r="5032" spans="1:4" x14ac:dyDescent="0.2">
      <c r="A5032"/>
      <c r="B5032"/>
      <c r="C5032"/>
      <c r="D5032"/>
    </row>
    <row r="5033" spans="1:4" x14ac:dyDescent="0.2">
      <c r="A5033"/>
      <c r="B5033"/>
      <c r="C5033"/>
      <c r="D5033"/>
    </row>
    <row r="5034" spans="1:4" x14ac:dyDescent="0.2">
      <c r="A5034"/>
      <c r="B5034"/>
      <c r="C5034"/>
      <c r="D5034"/>
    </row>
    <row r="5035" spans="1:4" x14ac:dyDescent="0.2">
      <c r="A5035"/>
      <c r="B5035"/>
      <c r="C5035"/>
      <c r="D5035"/>
    </row>
    <row r="5036" spans="1:4" x14ac:dyDescent="0.2">
      <c r="A5036"/>
      <c r="B5036"/>
      <c r="C5036"/>
      <c r="D5036"/>
    </row>
    <row r="5037" spans="1:4" x14ac:dyDescent="0.2">
      <c r="A5037"/>
      <c r="B5037"/>
      <c r="C5037"/>
      <c r="D5037"/>
    </row>
    <row r="5038" spans="1:4" x14ac:dyDescent="0.2">
      <c r="A5038"/>
      <c r="B5038"/>
      <c r="C5038"/>
      <c r="D5038"/>
    </row>
    <row r="5039" spans="1:4" x14ac:dyDescent="0.2">
      <c r="A5039"/>
      <c r="B5039"/>
      <c r="C5039"/>
      <c r="D5039"/>
    </row>
    <row r="5040" spans="1:4" x14ac:dyDescent="0.2">
      <c r="A5040"/>
      <c r="B5040"/>
      <c r="C5040"/>
      <c r="D5040"/>
    </row>
    <row r="5041" spans="1:4" x14ac:dyDescent="0.2">
      <c r="A5041"/>
      <c r="B5041"/>
      <c r="C5041"/>
      <c r="D5041"/>
    </row>
    <row r="5042" spans="1:4" x14ac:dyDescent="0.2">
      <c r="A5042"/>
      <c r="B5042"/>
      <c r="C5042"/>
      <c r="D5042"/>
    </row>
    <row r="5043" spans="1:4" x14ac:dyDescent="0.2">
      <c r="A5043"/>
      <c r="B5043"/>
      <c r="C5043"/>
      <c r="D5043"/>
    </row>
    <row r="5044" spans="1:4" x14ac:dyDescent="0.2">
      <c r="A5044"/>
      <c r="B5044"/>
      <c r="C5044"/>
      <c r="D5044"/>
    </row>
    <row r="5045" spans="1:4" x14ac:dyDescent="0.2">
      <c r="A5045"/>
      <c r="B5045"/>
      <c r="C5045"/>
      <c r="D5045"/>
    </row>
    <row r="5046" spans="1:4" x14ac:dyDescent="0.2">
      <c r="A5046"/>
      <c r="B5046"/>
      <c r="C5046"/>
      <c r="D5046"/>
    </row>
    <row r="5047" spans="1:4" x14ac:dyDescent="0.2">
      <c r="A5047"/>
      <c r="B5047"/>
      <c r="C5047"/>
      <c r="D5047"/>
    </row>
    <row r="5048" spans="1:4" x14ac:dyDescent="0.2">
      <c r="A5048"/>
      <c r="B5048"/>
      <c r="C5048"/>
      <c r="D5048"/>
    </row>
    <row r="5049" spans="1:4" x14ac:dyDescent="0.2">
      <c r="A5049"/>
      <c r="B5049"/>
      <c r="C5049"/>
      <c r="D5049"/>
    </row>
    <row r="5050" spans="1:4" x14ac:dyDescent="0.2">
      <c r="A5050"/>
      <c r="B5050"/>
      <c r="C5050"/>
      <c r="D5050"/>
    </row>
    <row r="5051" spans="1:4" x14ac:dyDescent="0.2">
      <c r="A5051"/>
      <c r="B5051"/>
      <c r="C5051"/>
      <c r="D5051"/>
    </row>
    <row r="5052" spans="1:4" x14ac:dyDescent="0.2">
      <c r="A5052"/>
      <c r="B5052"/>
      <c r="C5052"/>
      <c r="D5052"/>
    </row>
    <row r="5053" spans="1:4" x14ac:dyDescent="0.2">
      <c r="A5053"/>
      <c r="B5053"/>
      <c r="C5053"/>
      <c r="D5053"/>
    </row>
    <row r="5054" spans="1:4" x14ac:dyDescent="0.2">
      <c r="A5054"/>
      <c r="B5054"/>
      <c r="C5054"/>
      <c r="D5054"/>
    </row>
    <row r="5055" spans="1:4" x14ac:dyDescent="0.2">
      <c r="A5055"/>
      <c r="B5055"/>
      <c r="C5055"/>
      <c r="D5055"/>
    </row>
    <row r="5056" spans="1:4" x14ac:dyDescent="0.2">
      <c r="A5056"/>
      <c r="B5056"/>
      <c r="C5056"/>
      <c r="D5056"/>
    </row>
    <row r="5057" spans="1:4" x14ac:dyDescent="0.2">
      <c r="A5057"/>
      <c r="B5057"/>
      <c r="C5057"/>
      <c r="D5057"/>
    </row>
    <row r="5058" spans="1:4" x14ac:dyDescent="0.2">
      <c r="A5058"/>
      <c r="B5058"/>
      <c r="C5058"/>
      <c r="D5058"/>
    </row>
    <row r="5059" spans="1:4" x14ac:dyDescent="0.2">
      <c r="A5059"/>
      <c r="B5059"/>
      <c r="C5059"/>
      <c r="D5059"/>
    </row>
    <row r="5060" spans="1:4" x14ac:dyDescent="0.2">
      <c r="A5060"/>
      <c r="B5060"/>
      <c r="C5060"/>
      <c r="D5060"/>
    </row>
    <row r="5061" spans="1:4" x14ac:dyDescent="0.2">
      <c r="A5061"/>
      <c r="B5061"/>
      <c r="C5061"/>
      <c r="D5061"/>
    </row>
    <row r="5062" spans="1:4" x14ac:dyDescent="0.2">
      <c r="A5062"/>
      <c r="B5062"/>
      <c r="C5062"/>
      <c r="D5062"/>
    </row>
    <row r="5063" spans="1:4" x14ac:dyDescent="0.2">
      <c r="A5063"/>
      <c r="B5063"/>
      <c r="C5063"/>
      <c r="D5063"/>
    </row>
    <row r="5064" spans="1:4" x14ac:dyDescent="0.2">
      <c r="A5064"/>
      <c r="B5064"/>
      <c r="C5064"/>
      <c r="D5064"/>
    </row>
    <row r="5065" spans="1:4" x14ac:dyDescent="0.2">
      <c r="A5065"/>
      <c r="B5065"/>
      <c r="C5065"/>
      <c r="D5065"/>
    </row>
    <row r="5066" spans="1:4" x14ac:dyDescent="0.2">
      <c r="A5066"/>
      <c r="B5066"/>
      <c r="C5066"/>
      <c r="D5066"/>
    </row>
    <row r="5067" spans="1:4" x14ac:dyDescent="0.2">
      <c r="A5067"/>
      <c r="B5067"/>
      <c r="C5067"/>
      <c r="D5067"/>
    </row>
    <row r="5068" spans="1:4" x14ac:dyDescent="0.2">
      <c r="A5068"/>
      <c r="B5068"/>
      <c r="C5068"/>
      <c r="D5068"/>
    </row>
    <row r="5069" spans="1:4" x14ac:dyDescent="0.2">
      <c r="A5069"/>
      <c r="B5069"/>
      <c r="C5069"/>
      <c r="D5069"/>
    </row>
    <row r="5070" spans="1:4" x14ac:dyDescent="0.2">
      <c r="A5070"/>
      <c r="B5070"/>
      <c r="C5070"/>
      <c r="D5070"/>
    </row>
    <row r="5071" spans="1:4" x14ac:dyDescent="0.2">
      <c r="A5071"/>
      <c r="B5071"/>
      <c r="C5071"/>
      <c r="D5071"/>
    </row>
    <row r="5072" spans="1:4" x14ac:dyDescent="0.2">
      <c r="A5072"/>
      <c r="B5072"/>
      <c r="C5072"/>
      <c r="D5072"/>
    </row>
    <row r="5073" spans="1:4" x14ac:dyDescent="0.2">
      <c r="A5073"/>
      <c r="B5073"/>
      <c r="C5073"/>
      <c r="D5073"/>
    </row>
    <row r="5074" spans="1:4" x14ac:dyDescent="0.2">
      <c r="A5074"/>
      <c r="B5074"/>
      <c r="C5074"/>
      <c r="D5074"/>
    </row>
    <row r="5075" spans="1:4" x14ac:dyDescent="0.2">
      <c r="A5075"/>
      <c r="B5075"/>
      <c r="C5075"/>
      <c r="D5075"/>
    </row>
    <row r="5076" spans="1:4" x14ac:dyDescent="0.2">
      <c r="A5076"/>
      <c r="B5076"/>
      <c r="C5076"/>
      <c r="D5076"/>
    </row>
    <row r="5077" spans="1:4" x14ac:dyDescent="0.2">
      <c r="A5077"/>
      <c r="B5077"/>
      <c r="C5077"/>
      <c r="D5077"/>
    </row>
    <row r="5078" spans="1:4" x14ac:dyDescent="0.2">
      <c r="A5078"/>
      <c r="B5078"/>
      <c r="C5078"/>
      <c r="D5078"/>
    </row>
    <row r="5079" spans="1:4" x14ac:dyDescent="0.2">
      <c r="A5079"/>
      <c r="B5079"/>
      <c r="C5079"/>
      <c r="D5079"/>
    </row>
    <row r="5080" spans="1:4" x14ac:dyDescent="0.2">
      <c r="A5080"/>
      <c r="B5080"/>
      <c r="C5080"/>
      <c r="D5080"/>
    </row>
    <row r="5081" spans="1:4" x14ac:dyDescent="0.2">
      <c r="A5081"/>
      <c r="B5081"/>
      <c r="C5081"/>
      <c r="D5081"/>
    </row>
    <row r="5082" spans="1:4" x14ac:dyDescent="0.2">
      <c r="A5082"/>
      <c r="B5082"/>
      <c r="C5082"/>
      <c r="D5082"/>
    </row>
    <row r="5083" spans="1:4" x14ac:dyDescent="0.2">
      <c r="A5083"/>
      <c r="B5083"/>
      <c r="C5083"/>
      <c r="D5083"/>
    </row>
    <row r="5084" spans="1:4" x14ac:dyDescent="0.2">
      <c r="A5084"/>
      <c r="B5084"/>
      <c r="C5084"/>
      <c r="D5084"/>
    </row>
    <row r="5085" spans="1:4" x14ac:dyDescent="0.2">
      <c r="A5085"/>
      <c r="B5085"/>
      <c r="C5085"/>
      <c r="D5085"/>
    </row>
    <row r="5086" spans="1:4" x14ac:dyDescent="0.2">
      <c r="A5086"/>
      <c r="B5086"/>
      <c r="C5086"/>
      <c r="D5086"/>
    </row>
    <row r="5087" spans="1:4" x14ac:dyDescent="0.2">
      <c r="A5087"/>
      <c r="B5087"/>
      <c r="C5087"/>
      <c r="D5087"/>
    </row>
    <row r="5088" spans="1:4" x14ac:dyDescent="0.2">
      <c r="A5088"/>
      <c r="B5088"/>
      <c r="C5088"/>
      <c r="D5088"/>
    </row>
    <row r="5089" spans="1:4" x14ac:dyDescent="0.2">
      <c r="A5089"/>
      <c r="B5089"/>
      <c r="C5089"/>
      <c r="D5089"/>
    </row>
    <row r="5090" spans="1:4" x14ac:dyDescent="0.2">
      <c r="A5090"/>
      <c r="B5090"/>
      <c r="C5090"/>
      <c r="D5090"/>
    </row>
    <row r="5091" spans="1:4" x14ac:dyDescent="0.2">
      <c r="A5091"/>
      <c r="B5091"/>
      <c r="C5091"/>
      <c r="D5091"/>
    </row>
    <row r="5092" spans="1:4" x14ac:dyDescent="0.2">
      <c r="A5092"/>
      <c r="B5092"/>
      <c r="C5092"/>
      <c r="D5092"/>
    </row>
    <row r="5093" spans="1:4" x14ac:dyDescent="0.2">
      <c r="A5093"/>
      <c r="B5093"/>
      <c r="C5093"/>
      <c r="D5093"/>
    </row>
    <row r="5094" spans="1:4" x14ac:dyDescent="0.2">
      <c r="A5094"/>
      <c r="B5094"/>
      <c r="C5094"/>
      <c r="D5094"/>
    </row>
    <row r="5095" spans="1:4" x14ac:dyDescent="0.2">
      <c r="A5095"/>
      <c r="B5095"/>
      <c r="C5095"/>
      <c r="D5095"/>
    </row>
    <row r="5096" spans="1:4" x14ac:dyDescent="0.2">
      <c r="A5096"/>
      <c r="B5096"/>
      <c r="C5096"/>
      <c r="D5096"/>
    </row>
    <row r="5097" spans="1:4" x14ac:dyDescent="0.2">
      <c r="A5097"/>
      <c r="B5097"/>
      <c r="C5097"/>
      <c r="D5097"/>
    </row>
    <row r="5098" spans="1:4" x14ac:dyDescent="0.2">
      <c r="A5098"/>
      <c r="B5098"/>
      <c r="C5098"/>
      <c r="D5098"/>
    </row>
    <row r="5099" spans="1:4" x14ac:dyDescent="0.2">
      <c r="A5099"/>
      <c r="B5099"/>
      <c r="C5099"/>
      <c r="D5099"/>
    </row>
    <row r="5100" spans="1:4" x14ac:dyDescent="0.2">
      <c r="A5100"/>
      <c r="B5100"/>
      <c r="C5100"/>
      <c r="D5100"/>
    </row>
    <row r="5101" spans="1:4" x14ac:dyDescent="0.2">
      <c r="A5101"/>
      <c r="B5101"/>
      <c r="C5101"/>
      <c r="D5101"/>
    </row>
    <row r="5102" spans="1:4" x14ac:dyDescent="0.2">
      <c r="A5102"/>
      <c r="B5102"/>
      <c r="C5102"/>
      <c r="D5102"/>
    </row>
    <row r="5103" spans="1:4" x14ac:dyDescent="0.2">
      <c r="A5103"/>
      <c r="B5103"/>
      <c r="C5103"/>
      <c r="D5103"/>
    </row>
    <row r="5104" spans="1:4" x14ac:dyDescent="0.2">
      <c r="A5104"/>
      <c r="B5104"/>
      <c r="C5104"/>
      <c r="D5104"/>
    </row>
    <row r="5105" spans="1:4" x14ac:dyDescent="0.2">
      <c r="A5105"/>
      <c r="B5105"/>
      <c r="C5105"/>
      <c r="D5105"/>
    </row>
    <row r="5106" spans="1:4" x14ac:dyDescent="0.2">
      <c r="A5106"/>
      <c r="B5106"/>
      <c r="C5106"/>
      <c r="D5106"/>
    </row>
    <row r="5107" spans="1:4" x14ac:dyDescent="0.2">
      <c r="A5107"/>
      <c r="B5107"/>
      <c r="C5107"/>
      <c r="D5107"/>
    </row>
    <row r="5108" spans="1:4" x14ac:dyDescent="0.2">
      <c r="A5108"/>
      <c r="B5108"/>
      <c r="C5108"/>
      <c r="D5108"/>
    </row>
    <row r="5109" spans="1:4" x14ac:dyDescent="0.2">
      <c r="A5109"/>
      <c r="B5109"/>
      <c r="C5109"/>
      <c r="D5109"/>
    </row>
    <row r="5110" spans="1:4" x14ac:dyDescent="0.2">
      <c r="A5110"/>
      <c r="B5110"/>
      <c r="C5110"/>
      <c r="D5110"/>
    </row>
    <row r="5111" spans="1:4" x14ac:dyDescent="0.2">
      <c r="A5111"/>
      <c r="B5111"/>
      <c r="C5111"/>
      <c r="D5111"/>
    </row>
    <row r="5112" spans="1:4" x14ac:dyDescent="0.2">
      <c r="A5112"/>
      <c r="B5112"/>
      <c r="C5112"/>
      <c r="D5112"/>
    </row>
    <row r="5113" spans="1:4" x14ac:dyDescent="0.2">
      <c r="A5113"/>
      <c r="B5113"/>
      <c r="C5113"/>
      <c r="D5113"/>
    </row>
    <row r="5114" spans="1:4" x14ac:dyDescent="0.2">
      <c r="A5114"/>
      <c r="B5114"/>
      <c r="C5114"/>
      <c r="D5114"/>
    </row>
    <row r="5115" spans="1:4" x14ac:dyDescent="0.2">
      <c r="A5115"/>
      <c r="B5115"/>
      <c r="C5115"/>
      <c r="D5115"/>
    </row>
    <row r="5116" spans="1:4" x14ac:dyDescent="0.2">
      <c r="A5116"/>
      <c r="B5116"/>
      <c r="C5116"/>
      <c r="D5116"/>
    </row>
    <row r="5117" spans="1:4" x14ac:dyDescent="0.2">
      <c r="A5117"/>
      <c r="B5117"/>
      <c r="C5117"/>
      <c r="D5117"/>
    </row>
    <row r="5118" spans="1:4" x14ac:dyDescent="0.2">
      <c r="A5118"/>
      <c r="B5118"/>
      <c r="C5118"/>
      <c r="D5118"/>
    </row>
    <row r="5119" spans="1:4" x14ac:dyDescent="0.2">
      <c r="A5119"/>
      <c r="B5119"/>
      <c r="C5119"/>
      <c r="D5119"/>
    </row>
    <row r="5120" spans="1:4" x14ac:dyDescent="0.2">
      <c r="A5120"/>
      <c r="B5120"/>
      <c r="C5120"/>
      <c r="D5120"/>
    </row>
    <row r="5121" spans="1:4" x14ac:dyDescent="0.2">
      <c r="A5121"/>
      <c r="B5121"/>
      <c r="C5121"/>
      <c r="D5121"/>
    </row>
    <row r="5122" spans="1:4" x14ac:dyDescent="0.2">
      <c r="A5122"/>
      <c r="B5122"/>
      <c r="C5122"/>
      <c r="D5122"/>
    </row>
    <row r="5123" spans="1:4" x14ac:dyDescent="0.2">
      <c r="A5123"/>
      <c r="B5123"/>
      <c r="C5123"/>
      <c r="D5123"/>
    </row>
    <row r="5124" spans="1:4" x14ac:dyDescent="0.2">
      <c r="A5124"/>
      <c r="B5124"/>
      <c r="C5124"/>
      <c r="D5124"/>
    </row>
    <row r="5125" spans="1:4" x14ac:dyDescent="0.2">
      <c r="A5125"/>
      <c r="B5125"/>
      <c r="C5125"/>
      <c r="D5125"/>
    </row>
    <row r="5126" spans="1:4" x14ac:dyDescent="0.2">
      <c r="A5126"/>
      <c r="B5126"/>
      <c r="C5126"/>
      <c r="D5126"/>
    </row>
    <row r="5127" spans="1:4" x14ac:dyDescent="0.2">
      <c r="A5127"/>
      <c r="B5127"/>
      <c r="C5127"/>
      <c r="D5127"/>
    </row>
    <row r="5128" spans="1:4" x14ac:dyDescent="0.2">
      <c r="A5128"/>
      <c r="B5128"/>
      <c r="C5128"/>
      <c r="D5128"/>
    </row>
    <row r="5129" spans="1:4" x14ac:dyDescent="0.2">
      <c r="A5129"/>
      <c r="B5129"/>
      <c r="C5129"/>
      <c r="D5129"/>
    </row>
    <row r="5130" spans="1:4" x14ac:dyDescent="0.2">
      <c r="A5130"/>
      <c r="B5130"/>
      <c r="C5130"/>
      <c r="D5130"/>
    </row>
    <row r="5131" spans="1:4" x14ac:dyDescent="0.2">
      <c r="A5131"/>
      <c r="B5131"/>
      <c r="C5131"/>
      <c r="D5131"/>
    </row>
    <row r="5132" spans="1:4" x14ac:dyDescent="0.2">
      <c r="A5132"/>
      <c r="B5132"/>
      <c r="C5132"/>
      <c r="D5132"/>
    </row>
    <row r="5133" spans="1:4" x14ac:dyDescent="0.2">
      <c r="A5133"/>
      <c r="B5133"/>
      <c r="C5133"/>
      <c r="D5133"/>
    </row>
    <row r="5134" spans="1:4" x14ac:dyDescent="0.2">
      <c r="A5134"/>
      <c r="B5134"/>
      <c r="C5134"/>
      <c r="D5134"/>
    </row>
    <row r="5135" spans="1:4" x14ac:dyDescent="0.2">
      <c r="A5135"/>
      <c r="B5135"/>
      <c r="C5135"/>
      <c r="D5135"/>
    </row>
    <row r="5136" spans="1:4" x14ac:dyDescent="0.2">
      <c r="A5136"/>
      <c r="B5136"/>
      <c r="C5136"/>
      <c r="D5136"/>
    </row>
    <row r="5137" spans="1:4" x14ac:dyDescent="0.2">
      <c r="A5137"/>
      <c r="B5137"/>
      <c r="C5137"/>
      <c r="D5137"/>
    </row>
    <row r="5138" spans="1:4" x14ac:dyDescent="0.2">
      <c r="A5138"/>
      <c r="B5138"/>
      <c r="C5138"/>
      <c r="D5138"/>
    </row>
    <row r="5139" spans="1:4" x14ac:dyDescent="0.2">
      <c r="A5139"/>
      <c r="B5139"/>
      <c r="C5139"/>
      <c r="D5139"/>
    </row>
    <row r="5140" spans="1:4" x14ac:dyDescent="0.2">
      <c r="A5140"/>
      <c r="B5140"/>
      <c r="C5140"/>
      <c r="D5140"/>
    </row>
    <row r="5141" spans="1:4" x14ac:dyDescent="0.2">
      <c r="A5141"/>
      <c r="B5141"/>
      <c r="C5141"/>
      <c r="D5141"/>
    </row>
    <row r="5142" spans="1:4" x14ac:dyDescent="0.2">
      <c r="A5142"/>
      <c r="B5142"/>
      <c r="C5142"/>
      <c r="D5142"/>
    </row>
    <row r="5143" spans="1:4" x14ac:dyDescent="0.2">
      <c r="A5143"/>
      <c r="B5143"/>
      <c r="C5143"/>
      <c r="D5143"/>
    </row>
    <row r="5144" spans="1:4" x14ac:dyDescent="0.2">
      <c r="A5144"/>
      <c r="B5144"/>
      <c r="C5144"/>
      <c r="D5144"/>
    </row>
    <row r="5145" spans="1:4" x14ac:dyDescent="0.2">
      <c r="A5145"/>
      <c r="B5145"/>
      <c r="C5145"/>
      <c r="D5145"/>
    </row>
    <row r="5146" spans="1:4" x14ac:dyDescent="0.2">
      <c r="A5146"/>
      <c r="B5146"/>
      <c r="C5146"/>
      <c r="D5146"/>
    </row>
    <row r="5147" spans="1:4" x14ac:dyDescent="0.2">
      <c r="A5147"/>
      <c r="B5147"/>
      <c r="C5147"/>
      <c r="D5147"/>
    </row>
    <row r="5148" spans="1:4" x14ac:dyDescent="0.2">
      <c r="A5148"/>
      <c r="B5148"/>
      <c r="C5148"/>
      <c r="D5148"/>
    </row>
    <row r="5149" spans="1:4" x14ac:dyDescent="0.2">
      <c r="A5149"/>
      <c r="B5149"/>
      <c r="C5149"/>
      <c r="D5149"/>
    </row>
    <row r="5150" spans="1:4" x14ac:dyDescent="0.2">
      <c r="A5150"/>
      <c r="B5150"/>
      <c r="C5150"/>
      <c r="D5150"/>
    </row>
    <row r="5151" spans="1:4" x14ac:dyDescent="0.2">
      <c r="A5151"/>
      <c r="B5151"/>
      <c r="C5151"/>
      <c r="D5151"/>
    </row>
    <row r="5152" spans="1:4" x14ac:dyDescent="0.2">
      <c r="A5152"/>
      <c r="B5152"/>
      <c r="C5152"/>
      <c r="D5152"/>
    </row>
    <row r="5153" spans="1:4" x14ac:dyDescent="0.2">
      <c r="A5153"/>
      <c r="B5153"/>
      <c r="C5153"/>
      <c r="D5153"/>
    </row>
    <row r="5154" spans="1:4" x14ac:dyDescent="0.2">
      <c r="A5154"/>
      <c r="B5154"/>
      <c r="C5154"/>
      <c r="D5154"/>
    </row>
    <row r="5155" spans="1:4" x14ac:dyDescent="0.2">
      <c r="A5155"/>
      <c r="B5155"/>
      <c r="C5155"/>
      <c r="D5155"/>
    </row>
    <row r="5156" spans="1:4" x14ac:dyDescent="0.2">
      <c r="A5156"/>
      <c r="B5156"/>
      <c r="C5156"/>
      <c r="D5156"/>
    </row>
    <row r="5157" spans="1:4" x14ac:dyDescent="0.2">
      <c r="A5157"/>
      <c r="B5157"/>
      <c r="C5157"/>
      <c r="D5157"/>
    </row>
    <row r="5158" spans="1:4" x14ac:dyDescent="0.2">
      <c r="A5158"/>
      <c r="B5158"/>
      <c r="C5158"/>
      <c r="D5158"/>
    </row>
    <row r="5159" spans="1:4" x14ac:dyDescent="0.2">
      <c r="A5159"/>
      <c r="B5159"/>
      <c r="C5159"/>
      <c r="D5159"/>
    </row>
    <row r="5160" spans="1:4" x14ac:dyDescent="0.2">
      <c r="A5160"/>
      <c r="B5160"/>
      <c r="C5160"/>
      <c r="D5160"/>
    </row>
    <row r="5161" spans="1:4" x14ac:dyDescent="0.2">
      <c r="A5161"/>
      <c r="B5161"/>
      <c r="C5161"/>
      <c r="D5161"/>
    </row>
    <row r="5162" spans="1:4" x14ac:dyDescent="0.2">
      <c r="A5162"/>
      <c r="B5162"/>
      <c r="C5162"/>
      <c r="D5162"/>
    </row>
    <row r="5163" spans="1:4" x14ac:dyDescent="0.2">
      <c r="A5163"/>
      <c r="B5163"/>
      <c r="C5163"/>
      <c r="D5163"/>
    </row>
    <row r="5164" spans="1:4" x14ac:dyDescent="0.2">
      <c r="A5164"/>
      <c r="B5164"/>
      <c r="C5164"/>
      <c r="D5164"/>
    </row>
    <row r="5165" spans="1:4" x14ac:dyDescent="0.2">
      <c r="A5165"/>
      <c r="B5165"/>
      <c r="C5165"/>
      <c r="D5165"/>
    </row>
    <row r="5166" spans="1:4" x14ac:dyDescent="0.2">
      <c r="A5166"/>
      <c r="B5166"/>
      <c r="C5166"/>
      <c r="D5166"/>
    </row>
    <row r="5167" spans="1:4" x14ac:dyDescent="0.2">
      <c r="A5167"/>
      <c r="B5167"/>
      <c r="C5167"/>
      <c r="D5167"/>
    </row>
    <row r="5168" spans="1:4" x14ac:dyDescent="0.2">
      <c r="A5168"/>
      <c r="B5168"/>
      <c r="C5168"/>
      <c r="D5168"/>
    </row>
    <row r="5169" spans="1:4" x14ac:dyDescent="0.2">
      <c r="A5169"/>
      <c r="B5169"/>
      <c r="C5169"/>
      <c r="D5169"/>
    </row>
    <row r="5170" spans="1:4" x14ac:dyDescent="0.2">
      <c r="A5170"/>
      <c r="B5170"/>
      <c r="C5170"/>
      <c r="D5170"/>
    </row>
    <row r="5171" spans="1:4" x14ac:dyDescent="0.2">
      <c r="A5171"/>
      <c r="B5171"/>
      <c r="C5171"/>
      <c r="D5171"/>
    </row>
    <row r="5172" spans="1:4" x14ac:dyDescent="0.2">
      <c r="A5172"/>
      <c r="B5172"/>
      <c r="C5172"/>
      <c r="D5172"/>
    </row>
    <row r="5173" spans="1:4" x14ac:dyDescent="0.2">
      <c r="A5173"/>
      <c r="B5173"/>
      <c r="C5173"/>
      <c r="D5173"/>
    </row>
    <row r="5174" spans="1:4" x14ac:dyDescent="0.2">
      <c r="A5174"/>
      <c r="B5174"/>
      <c r="C5174"/>
      <c r="D5174"/>
    </row>
    <row r="5175" spans="1:4" x14ac:dyDescent="0.2">
      <c r="A5175"/>
      <c r="B5175"/>
      <c r="C5175"/>
      <c r="D5175"/>
    </row>
    <row r="5176" spans="1:4" x14ac:dyDescent="0.2">
      <c r="A5176"/>
      <c r="B5176"/>
      <c r="C5176"/>
      <c r="D5176"/>
    </row>
    <row r="5177" spans="1:4" x14ac:dyDescent="0.2">
      <c r="A5177"/>
      <c r="B5177"/>
      <c r="C5177"/>
      <c r="D5177"/>
    </row>
    <row r="5178" spans="1:4" x14ac:dyDescent="0.2">
      <c r="A5178"/>
      <c r="B5178"/>
      <c r="C5178"/>
      <c r="D5178"/>
    </row>
    <row r="5179" spans="1:4" x14ac:dyDescent="0.2">
      <c r="A5179"/>
      <c r="B5179"/>
      <c r="C5179"/>
      <c r="D5179"/>
    </row>
    <row r="5180" spans="1:4" x14ac:dyDescent="0.2">
      <c r="A5180"/>
      <c r="B5180"/>
      <c r="C5180"/>
      <c r="D5180"/>
    </row>
    <row r="5181" spans="1:4" x14ac:dyDescent="0.2">
      <c r="A5181"/>
      <c r="B5181"/>
      <c r="C5181"/>
      <c r="D5181"/>
    </row>
    <row r="5182" spans="1:4" x14ac:dyDescent="0.2">
      <c r="A5182"/>
      <c r="B5182"/>
      <c r="C5182"/>
      <c r="D5182"/>
    </row>
    <row r="5183" spans="1:4" x14ac:dyDescent="0.2">
      <c r="A5183"/>
      <c r="B5183"/>
      <c r="C5183"/>
      <c r="D5183"/>
    </row>
    <row r="5184" spans="1:4" x14ac:dyDescent="0.2">
      <c r="A5184"/>
      <c r="B5184"/>
      <c r="C5184"/>
      <c r="D5184"/>
    </row>
    <row r="5185" spans="1:4" x14ac:dyDescent="0.2">
      <c r="A5185"/>
      <c r="B5185"/>
      <c r="C5185"/>
      <c r="D5185"/>
    </row>
    <row r="5186" spans="1:4" x14ac:dyDescent="0.2">
      <c r="A5186"/>
      <c r="B5186"/>
      <c r="C5186"/>
      <c r="D5186"/>
    </row>
    <row r="5187" spans="1:4" x14ac:dyDescent="0.2">
      <c r="A5187"/>
      <c r="B5187"/>
      <c r="C5187"/>
      <c r="D5187"/>
    </row>
    <row r="5188" spans="1:4" x14ac:dyDescent="0.2">
      <c r="A5188"/>
      <c r="B5188"/>
      <c r="C5188"/>
      <c r="D5188"/>
    </row>
    <row r="5189" spans="1:4" x14ac:dyDescent="0.2">
      <c r="A5189"/>
      <c r="B5189"/>
      <c r="C5189"/>
      <c r="D5189"/>
    </row>
    <row r="5190" spans="1:4" x14ac:dyDescent="0.2">
      <c r="A5190"/>
      <c r="B5190"/>
      <c r="C5190"/>
      <c r="D5190"/>
    </row>
    <row r="5191" spans="1:4" x14ac:dyDescent="0.2">
      <c r="A5191"/>
      <c r="B5191"/>
      <c r="C5191"/>
      <c r="D5191"/>
    </row>
    <row r="5192" spans="1:4" x14ac:dyDescent="0.2">
      <c r="A5192"/>
      <c r="B5192"/>
      <c r="C5192"/>
      <c r="D5192"/>
    </row>
    <row r="5193" spans="1:4" x14ac:dyDescent="0.2">
      <c r="A5193"/>
      <c r="B5193"/>
      <c r="C5193"/>
      <c r="D5193"/>
    </row>
    <row r="5194" spans="1:4" x14ac:dyDescent="0.2">
      <c r="A5194"/>
      <c r="B5194"/>
      <c r="C5194"/>
      <c r="D5194"/>
    </row>
    <row r="5195" spans="1:4" x14ac:dyDescent="0.2">
      <c r="A5195"/>
      <c r="B5195"/>
      <c r="C5195"/>
      <c r="D5195"/>
    </row>
    <row r="5196" spans="1:4" x14ac:dyDescent="0.2">
      <c r="A5196"/>
      <c r="B5196"/>
      <c r="C5196"/>
      <c r="D5196"/>
    </row>
    <row r="5197" spans="1:4" x14ac:dyDescent="0.2">
      <c r="A5197"/>
      <c r="B5197"/>
      <c r="C5197"/>
      <c r="D5197"/>
    </row>
    <row r="5198" spans="1:4" x14ac:dyDescent="0.2">
      <c r="A5198"/>
      <c r="B5198"/>
      <c r="C5198"/>
      <c r="D5198"/>
    </row>
    <row r="5199" spans="1:4" x14ac:dyDescent="0.2">
      <c r="A5199"/>
      <c r="B5199"/>
      <c r="C5199"/>
      <c r="D5199"/>
    </row>
    <row r="5200" spans="1:4" x14ac:dyDescent="0.2">
      <c r="A5200"/>
      <c r="B5200"/>
      <c r="C5200"/>
      <c r="D5200"/>
    </row>
    <row r="5201" spans="1:4" x14ac:dyDescent="0.2">
      <c r="A5201"/>
      <c r="B5201"/>
      <c r="C5201"/>
      <c r="D5201"/>
    </row>
    <row r="5202" spans="1:4" x14ac:dyDescent="0.2">
      <c r="A5202"/>
      <c r="B5202"/>
      <c r="C5202"/>
      <c r="D5202"/>
    </row>
    <row r="5203" spans="1:4" x14ac:dyDescent="0.2">
      <c r="A5203"/>
      <c r="B5203"/>
      <c r="C5203"/>
      <c r="D5203"/>
    </row>
    <row r="5204" spans="1:4" x14ac:dyDescent="0.2">
      <c r="A5204"/>
      <c r="B5204"/>
      <c r="C5204"/>
      <c r="D5204"/>
    </row>
    <row r="5205" spans="1:4" x14ac:dyDescent="0.2">
      <c r="A5205"/>
      <c r="B5205"/>
      <c r="C5205"/>
      <c r="D5205"/>
    </row>
    <row r="5206" spans="1:4" x14ac:dyDescent="0.2">
      <c r="A5206"/>
      <c r="B5206"/>
      <c r="C5206"/>
      <c r="D5206"/>
    </row>
    <row r="5207" spans="1:4" x14ac:dyDescent="0.2">
      <c r="A5207"/>
      <c r="B5207"/>
      <c r="C5207"/>
      <c r="D5207"/>
    </row>
    <row r="5208" spans="1:4" x14ac:dyDescent="0.2">
      <c r="A5208"/>
      <c r="B5208"/>
      <c r="C5208"/>
      <c r="D5208"/>
    </row>
    <row r="5209" spans="1:4" x14ac:dyDescent="0.2">
      <c r="A5209"/>
      <c r="B5209"/>
      <c r="C5209"/>
      <c r="D5209"/>
    </row>
    <row r="5210" spans="1:4" x14ac:dyDescent="0.2">
      <c r="A5210"/>
      <c r="B5210"/>
      <c r="C5210"/>
      <c r="D5210"/>
    </row>
    <row r="5211" spans="1:4" x14ac:dyDescent="0.2">
      <c r="A5211"/>
      <c r="B5211"/>
      <c r="C5211"/>
      <c r="D5211"/>
    </row>
    <row r="5212" spans="1:4" x14ac:dyDescent="0.2">
      <c r="A5212"/>
      <c r="B5212"/>
      <c r="C5212"/>
      <c r="D5212"/>
    </row>
    <row r="5213" spans="1:4" x14ac:dyDescent="0.2">
      <c r="A5213"/>
      <c r="B5213"/>
      <c r="C5213"/>
      <c r="D5213"/>
    </row>
    <row r="5214" spans="1:4" x14ac:dyDescent="0.2">
      <c r="A5214"/>
      <c r="B5214"/>
      <c r="C5214"/>
      <c r="D5214"/>
    </row>
    <row r="5215" spans="1:4" x14ac:dyDescent="0.2">
      <c r="A5215"/>
      <c r="B5215"/>
      <c r="C5215"/>
      <c r="D5215"/>
    </row>
    <row r="5216" spans="1:4" x14ac:dyDescent="0.2">
      <c r="A5216"/>
      <c r="B5216"/>
      <c r="C5216"/>
      <c r="D5216"/>
    </row>
    <row r="5217" spans="1:4" x14ac:dyDescent="0.2">
      <c r="A5217"/>
      <c r="B5217"/>
      <c r="C5217"/>
      <c r="D5217"/>
    </row>
    <row r="5218" spans="1:4" x14ac:dyDescent="0.2">
      <c r="A5218"/>
      <c r="B5218"/>
      <c r="C5218"/>
      <c r="D5218"/>
    </row>
    <row r="5219" spans="1:4" x14ac:dyDescent="0.2">
      <c r="A5219"/>
      <c r="B5219"/>
      <c r="C5219"/>
      <c r="D5219"/>
    </row>
    <row r="5220" spans="1:4" x14ac:dyDescent="0.2">
      <c r="A5220"/>
      <c r="B5220"/>
      <c r="C5220"/>
      <c r="D5220"/>
    </row>
    <row r="5221" spans="1:4" x14ac:dyDescent="0.2">
      <c r="A5221"/>
      <c r="B5221"/>
      <c r="C5221"/>
      <c r="D5221"/>
    </row>
    <row r="5222" spans="1:4" x14ac:dyDescent="0.2">
      <c r="A5222"/>
      <c r="B5222"/>
      <c r="C5222"/>
      <c r="D5222"/>
    </row>
    <row r="5223" spans="1:4" x14ac:dyDescent="0.2">
      <c r="A5223"/>
      <c r="B5223"/>
      <c r="C5223"/>
      <c r="D5223"/>
    </row>
    <row r="5224" spans="1:4" x14ac:dyDescent="0.2">
      <c r="A5224"/>
      <c r="B5224"/>
      <c r="C5224"/>
      <c r="D5224"/>
    </row>
    <row r="5225" spans="1:4" x14ac:dyDescent="0.2">
      <c r="A5225"/>
      <c r="B5225"/>
      <c r="C5225"/>
      <c r="D5225"/>
    </row>
    <row r="5226" spans="1:4" x14ac:dyDescent="0.2">
      <c r="A5226"/>
      <c r="B5226"/>
      <c r="C5226"/>
      <c r="D5226"/>
    </row>
    <row r="5227" spans="1:4" x14ac:dyDescent="0.2">
      <c r="A5227"/>
      <c r="B5227"/>
      <c r="C5227"/>
      <c r="D5227"/>
    </row>
    <row r="5228" spans="1:4" x14ac:dyDescent="0.2">
      <c r="A5228"/>
      <c r="B5228"/>
      <c r="C5228"/>
      <c r="D5228"/>
    </row>
    <row r="5229" spans="1:4" x14ac:dyDescent="0.2">
      <c r="A5229"/>
      <c r="B5229"/>
      <c r="C5229"/>
      <c r="D5229"/>
    </row>
    <row r="5230" spans="1:4" x14ac:dyDescent="0.2">
      <c r="A5230"/>
      <c r="B5230"/>
      <c r="C5230"/>
      <c r="D5230"/>
    </row>
    <row r="5231" spans="1:4" x14ac:dyDescent="0.2">
      <c r="A5231"/>
      <c r="B5231"/>
      <c r="C5231"/>
      <c r="D5231"/>
    </row>
    <row r="5232" spans="1:4" x14ac:dyDescent="0.2">
      <c r="A5232"/>
      <c r="B5232"/>
      <c r="C5232"/>
      <c r="D5232"/>
    </row>
    <row r="5233" spans="1:4" x14ac:dyDescent="0.2">
      <c r="A5233"/>
      <c r="B5233"/>
      <c r="C5233"/>
      <c r="D5233"/>
    </row>
    <row r="5234" spans="1:4" x14ac:dyDescent="0.2">
      <c r="A5234"/>
      <c r="B5234"/>
      <c r="C5234"/>
      <c r="D5234"/>
    </row>
    <row r="5235" spans="1:4" x14ac:dyDescent="0.2">
      <c r="A5235"/>
      <c r="B5235"/>
      <c r="C5235"/>
      <c r="D5235"/>
    </row>
    <row r="5236" spans="1:4" x14ac:dyDescent="0.2">
      <c r="A5236"/>
      <c r="B5236"/>
      <c r="C5236"/>
      <c r="D5236"/>
    </row>
    <row r="5237" spans="1:4" x14ac:dyDescent="0.2">
      <c r="A5237"/>
      <c r="B5237"/>
      <c r="C5237"/>
      <c r="D5237"/>
    </row>
    <row r="5238" spans="1:4" x14ac:dyDescent="0.2">
      <c r="A5238"/>
      <c r="B5238"/>
      <c r="C5238"/>
      <c r="D5238"/>
    </row>
    <row r="5239" spans="1:4" x14ac:dyDescent="0.2">
      <c r="A5239"/>
      <c r="B5239"/>
      <c r="C5239"/>
      <c r="D5239"/>
    </row>
    <row r="5240" spans="1:4" x14ac:dyDescent="0.2">
      <c r="A5240"/>
      <c r="B5240"/>
      <c r="C5240"/>
      <c r="D5240"/>
    </row>
    <row r="5241" spans="1:4" x14ac:dyDescent="0.2">
      <c r="A5241"/>
      <c r="B5241"/>
      <c r="C5241"/>
      <c r="D5241"/>
    </row>
    <row r="5242" spans="1:4" x14ac:dyDescent="0.2">
      <c r="A5242"/>
      <c r="B5242"/>
      <c r="C5242"/>
      <c r="D5242"/>
    </row>
    <row r="5243" spans="1:4" x14ac:dyDescent="0.2">
      <c r="A5243"/>
      <c r="B5243"/>
      <c r="C5243"/>
      <c r="D5243"/>
    </row>
    <row r="5244" spans="1:4" x14ac:dyDescent="0.2">
      <c r="A5244"/>
      <c r="B5244"/>
      <c r="C5244"/>
      <c r="D5244"/>
    </row>
    <row r="5245" spans="1:4" x14ac:dyDescent="0.2">
      <c r="A5245"/>
      <c r="B5245"/>
      <c r="C5245"/>
      <c r="D5245"/>
    </row>
    <row r="5246" spans="1:4" x14ac:dyDescent="0.2">
      <c r="A5246"/>
      <c r="B5246"/>
      <c r="C5246"/>
      <c r="D5246"/>
    </row>
    <row r="5247" spans="1:4" x14ac:dyDescent="0.2">
      <c r="A5247"/>
      <c r="B5247"/>
      <c r="C5247"/>
      <c r="D5247"/>
    </row>
    <row r="5248" spans="1:4" x14ac:dyDescent="0.2">
      <c r="A5248"/>
      <c r="B5248"/>
      <c r="C5248"/>
      <c r="D5248"/>
    </row>
    <row r="5249" spans="1:4" x14ac:dyDescent="0.2">
      <c r="A5249"/>
      <c r="B5249"/>
      <c r="C5249"/>
      <c r="D5249"/>
    </row>
    <row r="5250" spans="1:4" x14ac:dyDescent="0.2">
      <c r="A5250"/>
      <c r="B5250"/>
      <c r="C5250"/>
      <c r="D5250"/>
    </row>
    <row r="5251" spans="1:4" x14ac:dyDescent="0.2">
      <c r="A5251"/>
      <c r="B5251"/>
      <c r="C5251"/>
      <c r="D5251"/>
    </row>
    <row r="5252" spans="1:4" x14ac:dyDescent="0.2">
      <c r="A5252"/>
      <c r="B5252"/>
      <c r="C5252"/>
      <c r="D5252"/>
    </row>
    <row r="5253" spans="1:4" x14ac:dyDescent="0.2">
      <c r="A5253"/>
      <c r="B5253"/>
      <c r="C5253"/>
      <c r="D5253"/>
    </row>
    <row r="5254" spans="1:4" x14ac:dyDescent="0.2">
      <c r="A5254"/>
      <c r="B5254"/>
      <c r="C5254"/>
      <c r="D5254"/>
    </row>
    <row r="5255" spans="1:4" x14ac:dyDescent="0.2">
      <c r="A5255"/>
      <c r="B5255"/>
      <c r="C5255"/>
      <c r="D5255"/>
    </row>
    <row r="5256" spans="1:4" x14ac:dyDescent="0.2">
      <c r="A5256"/>
      <c r="B5256"/>
      <c r="C5256"/>
      <c r="D5256"/>
    </row>
    <row r="5257" spans="1:4" x14ac:dyDescent="0.2">
      <c r="A5257"/>
      <c r="B5257"/>
      <c r="C5257"/>
      <c r="D5257"/>
    </row>
    <row r="5258" spans="1:4" x14ac:dyDescent="0.2">
      <c r="A5258"/>
      <c r="B5258"/>
      <c r="C5258"/>
      <c r="D5258"/>
    </row>
    <row r="5259" spans="1:4" x14ac:dyDescent="0.2">
      <c r="A5259"/>
      <c r="B5259"/>
      <c r="C5259"/>
      <c r="D5259"/>
    </row>
    <row r="5260" spans="1:4" x14ac:dyDescent="0.2">
      <c r="A5260"/>
      <c r="B5260"/>
      <c r="C5260"/>
      <c r="D5260"/>
    </row>
    <row r="5261" spans="1:4" x14ac:dyDescent="0.2">
      <c r="A5261"/>
      <c r="B5261"/>
      <c r="C5261"/>
      <c r="D5261"/>
    </row>
    <row r="5262" spans="1:4" x14ac:dyDescent="0.2">
      <c r="A5262"/>
      <c r="B5262"/>
      <c r="C5262"/>
      <c r="D5262"/>
    </row>
    <row r="5263" spans="1:4" x14ac:dyDescent="0.2">
      <c r="A5263"/>
      <c r="B5263"/>
      <c r="C5263"/>
      <c r="D5263"/>
    </row>
    <row r="5264" spans="1:4" x14ac:dyDescent="0.2">
      <c r="A5264"/>
      <c r="B5264"/>
      <c r="C5264"/>
      <c r="D5264"/>
    </row>
    <row r="5265" spans="1:4" x14ac:dyDescent="0.2">
      <c r="A5265"/>
      <c r="B5265"/>
      <c r="C5265"/>
      <c r="D5265"/>
    </row>
    <row r="5266" spans="1:4" x14ac:dyDescent="0.2">
      <c r="A5266"/>
      <c r="B5266"/>
      <c r="C5266"/>
      <c r="D5266"/>
    </row>
    <row r="5267" spans="1:4" x14ac:dyDescent="0.2">
      <c r="A5267"/>
      <c r="B5267"/>
      <c r="C5267"/>
      <c r="D5267"/>
    </row>
    <row r="5268" spans="1:4" x14ac:dyDescent="0.2">
      <c r="A5268"/>
      <c r="B5268"/>
      <c r="C5268"/>
      <c r="D5268"/>
    </row>
    <row r="5269" spans="1:4" x14ac:dyDescent="0.2">
      <c r="A5269"/>
      <c r="B5269"/>
      <c r="C5269"/>
      <c r="D5269"/>
    </row>
    <row r="5270" spans="1:4" x14ac:dyDescent="0.2">
      <c r="A5270"/>
      <c r="B5270"/>
      <c r="C5270"/>
      <c r="D5270"/>
    </row>
    <row r="5271" spans="1:4" x14ac:dyDescent="0.2">
      <c r="A5271"/>
      <c r="B5271"/>
      <c r="C5271"/>
      <c r="D5271"/>
    </row>
    <row r="5272" spans="1:4" x14ac:dyDescent="0.2">
      <c r="A5272"/>
      <c r="B5272"/>
      <c r="C5272"/>
      <c r="D5272"/>
    </row>
    <row r="5273" spans="1:4" x14ac:dyDescent="0.2">
      <c r="A5273"/>
      <c r="B5273"/>
      <c r="C5273"/>
      <c r="D5273"/>
    </row>
    <row r="5274" spans="1:4" x14ac:dyDescent="0.2">
      <c r="A5274"/>
      <c r="B5274"/>
      <c r="C5274"/>
      <c r="D5274"/>
    </row>
    <row r="5275" spans="1:4" x14ac:dyDescent="0.2">
      <c r="A5275"/>
      <c r="B5275"/>
      <c r="C5275"/>
      <c r="D5275"/>
    </row>
    <row r="5276" spans="1:4" x14ac:dyDescent="0.2">
      <c r="A5276"/>
      <c r="B5276"/>
      <c r="C5276"/>
      <c r="D5276"/>
    </row>
    <row r="5277" spans="1:4" x14ac:dyDescent="0.2">
      <c r="A5277"/>
      <c r="B5277"/>
      <c r="C5277"/>
      <c r="D5277"/>
    </row>
    <row r="5278" spans="1:4" x14ac:dyDescent="0.2">
      <c r="A5278"/>
      <c r="B5278"/>
      <c r="C5278"/>
      <c r="D5278"/>
    </row>
    <row r="5279" spans="1:4" x14ac:dyDescent="0.2">
      <c r="A5279"/>
      <c r="B5279"/>
      <c r="C5279"/>
      <c r="D5279"/>
    </row>
    <row r="5280" spans="1:4" x14ac:dyDescent="0.2">
      <c r="A5280"/>
      <c r="B5280"/>
      <c r="C5280"/>
      <c r="D5280"/>
    </row>
    <row r="5281" spans="1:4" x14ac:dyDescent="0.2">
      <c r="A5281"/>
      <c r="B5281"/>
      <c r="C5281"/>
      <c r="D5281"/>
    </row>
    <row r="5282" spans="1:4" x14ac:dyDescent="0.2">
      <c r="A5282"/>
      <c r="B5282"/>
      <c r="C5282"/>
      <c r="D5282"/>
    </row>
    <row r="5283" spans="1:4" x14ac:dyDescent="0.2">
      <c r="A5283"/>
      <c r="B5283"/>
      <c r="C5283"/>
      <c r="D5283"/>
    </row>
    <row r="5284" spans="1:4" x14ac:dyDescent="0.2">
      <c r="A5284"/>
      <c r="B5284"/>
      <c r="C5284"/>
      <c r="D5284"/>
    </row>
    <row r="5285" spans="1:4" x14ac:dyDescent="0.2">
      <c r="A5285"/>
      <c r="B5285"/>
      <c r="C5285"/>
      <c r="D5285"/>
    </row>
    <row r="5286" spans="1:4" x14ac:dyDescent="0.2">
      <c r="A5286"/>
      <c r="B5286"/>
      <c r="C5286"/>
      <c r="D5286"/>
    </row>
    <row r="5287" spans="1:4" x14ac:dyDescent="0.2">
      <c r="A5287"/>
      <c r="B5287"/>
      <c r="C5287"/>
      <c r="D5287"/>
    </row>
    <row r="5288" spans="1:4" x14ac:dyDescent="0.2">
      <c r="A5288"/>
      <c r="B5288"/>
      <c r="C5288"/>
      <c r="D5288"/>
    </row>
    <row r="5289" spans="1:4" x14ac:dyDescent="0.2">
      <c r="A5289"/>
      <c r="B5289"/>
      <c r="C5289"/>
      <c r="D5289"/>
    </row>
    <row r="5290" spans="1:4" x14ac:dyDescent="0.2">
      <c r="A5290"/>
      <c r="B5290"/>
      <c r="C5290"/>
      <c r="D5290"/>
    </row>
    <row r="5291" spans="1:4" x14ac:dyDescent="0.2">
      <c r="A5291"/>
      <c r="B5291"/>
      <c r="C5291"/>
      <c r="D5291"/>
    </row>
    <row r="5292" spans="1:4" x14ac:dyDescent="0.2">
      <c r="A5292"/>
      <c r="B5292"/>
      <c r="C5292"/>
      <c r="D5292"/>
    </row>
    <row r="5293" spans="1:4" x14ac:dyDescent="0.2">
      <c r="A5293"/>
      <c r="B5293"/>
      <c r="C5293"/>
      <c r="D5293"/>
    </row>
    <row r="5294" spans="1:4" x14ac:dyDescent="0.2">
      <c r="A5294"/>
      <c r="B5294"/>
      <c r="C5294"/>
      <c r="D5294"/>
    </row>
    <row r="5295" spans="1:4" x14ac:dyDescent="0.2">
      <c r="A5295"/>
      <c r="B5295"/>
      <c r="C5295"/>
      <c r="D5295"/>
    </row>
    <row r="5296" spans="1:4" x14ac:dyDescent="0.2">
      <c r="A5296"/>
      <c r="B5296"/>
      <c r="C5296"/>
      <c r="D5296"/>
    </row>
    <row r="5297" spans="1:4" x14ac:dyDescent="0.2">
      <c r="A5297"/>
      <c r="B5297"/>
      <c r="C5297"/>
      <c r="D5297"/>
    </row>
    <row r="5298" spans="1:4" x14ac:dyDescent="0.2">
      <c r="A5298"/>
      <c r="B5298"/>
      <c r="C5298"/>
      <c r="D5298"/>
    </row>
    <row r="5299" spans="1:4" x14ac:dyDescent="0.2">
      <c r="A5299"/>
      <c r="B5299"/>
      <c r="C5299"/>
      <c r="D5299"/>
    </row>
    <row r="5300" spans="1:4" x14ac:dyDescent="0.2">
      <c r="A5300"/>
      <c r="B5300"/>
      <c r="C5300"/>
      <c r="D5300"/>
    </row>
    <row r="5301" spans="1:4" x14ac:dyDescent="0.2">
      <c r="A5301"/>
      <c r="B5301"/>
      <c r="C5301"/>
      <c r="D5301"/>
    </row>
    <row r="5302" spans="1:4" x14ac:dyDescent="0.2">
      <c r="A5302"/>
      <c r="B5302"/>
      <c r="C5302"/>
      <c r="D5302"/>
    </row>
    <row r="5303" spans="1:4" x14ac:dyDescent="0.2">
      <c r="A5303"/>
      <c r="B5303"/>
      <c r="C5303"/>
      <c r="D5303"/>
    </row>
    <row r="5304" spans="1:4" x14ac:dyDescent="0.2">
      <c r="A5304"/>
      <c r="B5304"/>
      <c r="C5304"/>
      <c r="D5304"/>
    </row>
    <row r="5305" spans="1:4" x14ac:dyDescent="0.2">
      <c r="A5305"/>
      <c r="B5305"/>
      <c r="C5305"/>
      <c r="D5305"/>
    </row>
    <row r="5306" spans="1:4" x14ac:dyDescent="0.2">
      <c r="A5306"/>
      <c r="B5306"/>
      <c r="C5306"/>
      <c r="D5306"/>
    </row>
    <row r="5307" spans="1:4" x14ac:dyDescent="0.2">
      <c r="A5307"/>
      <c r="B5307"/>
      <c r="C5307"/>
      <c r="D5307"/>
    </row>
    <row r="5308" spans="1:4" x14ac:dyDescent="0.2">
      <c r="A5308"/>
      <c r="B5308"/>
      <c r="C5308"/>
      <c r="D5308"/>
    </row>
    <row r="5309" spans="1:4" x14ac:dyDescent="0.2">
      <c r="A5309"/>
      <c r="B5309"/>
      <c r="C5309"/>
      <c r="D5309"/>
    </row>
    <row r="5310" spans="1:4" x14ac:dyDescent="0.2">
      <c r="A5310"/>
      <c r="B5310"/>
      <c r="C5310"/>
      <c r="D5310"/>
    </row>
    <row r="5311" spans="1:4" x14ac:dyDescent="0.2">
      <c r="A5311"/>
      <c r="B5311"/>
      <c r="C5311"/>
      <c r="D5311"/>
    </row>
    <row r="5312" spans="1:4" x14ac:dyDescent="0.2">
      <c r="A5312"/>
      <c r="B5312"/>
      <c r="C5312"/>
      <c r="D5312"/>
    </row>
    <row r="5313" spans="1:4" x14ac:dyDescent="0.2">
      <c r="A5313"/>
      <c r="B5313"/>
      <c r="C5313"/>
      <c r="D5313"/>
    </row>
    <row r="5314" spans="1:4" x14ac:dyDescent="0.2">
      <c r="A5314"/>
      <c r="B5314"/>
      <c r="C5314"/>
      <c r="D5314"/>
    </row>
    <row r="5315" spans="1:4" x14ac:dyDescent="0.2">
      <c r="A5315"/>
      <c r="B5315"/>
      <c r="C5315"/>
      <c r="D5315"/>
    </row>
    <row r="5316" spans="1:4" x14ac:dyDescent="0.2">
      <c r="A5316"/>
      <c r="B5316"/>
      <c r="C5316"/>
      <c r="D5316"/>
    </row>
    <row r="5317" spans="1:4" x14ac:dyDescent="0.2">
      <c r="A5317"/>
      <c r="B5317"/>
      <c r="C5317"/>
      <c r="D5317"/>
    </row>
    <row r="5318" spans="1:4" x14ac:dyDescent="0.2">
      <c r="A5318"/>
      <c r="B5318"/>
      <c r="C5318"/>
      <c r="D5318"/>
    </row>
    <row r="5319" spans="1:4" x14ac:dyDescent="0.2">
      <c r="A5319"/>
      <c r="B5319"/>
      <c r="C5319"/>
      <c r="D5319"/>
    </row>
    <row r="5320" spans="1:4" x14ac:dyDescent="0.2">
      <c r="A5320"/>
      <c r="B5320"/>
      <c r="C5320"/>
      <c r="D5320"/>
    </row>
    <row r="5321" spans="1:4" x14ac:dyDescent="0.2">
      <c r="A5321"/>
      <c r="B5321"/>
      <c r="C5321"/>
      <c r="D5321"/>
    </row>
    <row r="5322" spans="1:4" x14ac:dyDescent="0.2">
      <c r="A5322"/>
      <c r="B5322"/>
      <c r="C5322"/>
      <c r="D5322"/>
    </row>
    <row r="5323" spans="1:4" x14ac:dyDescent="0.2">
      <c r="A5323"/>
      <c r="B5323"/>
      <c r="C5323"/>
      <c r="D5323"/>
    </row>
    <row r="5324" spans="1:4" x14ac:dyDescent="0.2">
      <c r="A5324"/>
      <c r="B5324"/>
      <c r="C5324"/>
      <c r="D5324"/>
    </row>
    <row r="5325" spans="1:4" x14ac:dyDescent="0.2">
      <c r="A5325"/>
      <c r="B5325"/>
      <c r="C5325"/>
      <c r="D5325"/>
    </row>
    <row r="5326" spans="1:4" x14ac:dyDescent="0.2">
      <c r="A5326"/>
      <c r="B5326"/>
      <c r="C5326"/>
      <c r="D5326"/>
    </row>
    <row r="5327" spans="1:4" x14ac:dyDescent="0.2">
      <c r="A5327"/>
      <c r="B5327"/>
      <c r="C5327"/>
      <c r="D5327"/>
    </row>
    <row r="5328" spans="1:4" x14ac:dyDescent="0.2">
      <c r="A5328"/>
      <c r="B5328"/>
      <c r="C5328"/>
      <c r="D5328"/>
    </row>
    <row r="5329" spans="1:4" x14ac:dyDescent="0.2">
      <c r="A5329"/>
      <c r="B5329"/>
      <c r="C5329"/>
      <c r="D5329"/>
    </row>
    <row r="5330" spans="1:4" x14ac:dyDescent="0.2">
      <c r="A5330"/>
      <c r="B5330"/>
      <c r="C5330"/>
      <c r="D5330"/>
    </row>
    <row r="5331" spans="1:4" x14ac:dyDescent="0.2">
      <c r="A5331"/>
      <c r="B5331"/>
      <c r="C5331"/>
      <c r="D5331"/>
    </row>
    <row r="5332" spans="1:4" x14ac:dyDescent="0.2">
      <c r="A5332"/>
      <c r="B5332"/>
      <c r="C5332"/>
      <c r="D5332"/>
    </row>
    <row r="5333" spans="1:4" x14ac:dyDescent="0.2">
      <c r="A5333"/>
      <c r="B5333"/>
      <c r="C5333"/>
      <c r="D5333"/>
    </row>
    <row r="5334" spans="1:4" x14ac:dyDescent="0.2">
      <c r="A5334"/>
      <c r="B5334"/>
      <c r="C5334"/>
      <c r="D5334"/>
    </row>
    <row r="5335" spans="1:4" x14ac:dyDescent="0.2">
      <c r="A5335"/>
      <c r="B5335"/>
      <c r="C5335"/>
      <c r="D5335"/>
    </row>
    <row r="5336" spans="1:4" x14ac:dyDescent="0.2">
      <c r="A5336"/>
      <c r="B5336"/>
      <c r="C5336"/>
      <c r="D5336"/>
    </row>
    <row r="5337" spans="1:4" x14ac:dyDescent="0.2">
      <c r="A5337"/>
      <c r="B5337"/>
      <c r="C5337"/>
      <c r="D5337"/>
    </row>
    <row r="5338" spans="1:4" x14ac:dyDescent="0.2">
      <c r="A5338"/>
      <c r="B5338"/>
      <c r="C5338"/>
      <c r="D5338"/>
    </row>
    <row r="5339" spans="1:4" x14ac:dyDescent="0.2">
      <c r="A5339"/>
      <c r="B5339"/>
      <c r="C5339"/>
      <c r="D5339"/>
    </row>
    <row r="5340" spans="1:4" x14ac:dyDescent="0.2">
      <c r="A5340"/>
      <c r="B5340"/>
      <c r="C5340"/>
      <c r="D5340"/>
    </row>
    <row r="5341" spans="1:4" x14ac:dyDescent="0.2">
      <c r="A5341"/>
      <c r="B5341"/>
      <c r="C5341"/>
      <c r="D5341"/>
    </row>
    <row r="5342" spans="1:4" x14ac:dyDescent="0.2">
      <c r="A5342"/>
      <c r="B5342"/>
      <c r="C5342"/>
      <c r="D5342"/>
    </row>
    <row r="5343" spans="1:4" x14ac:dyDescent="0.2">
      <c r="A5343"/>
      <c r="B5343"/>
      <c r="C5343"/>
      <c r="D5343"/>
    </row>
    <row r="5344" spans="1:4" x14ac:dyDescent="0.2">
      <c r="A5344"/>
      <c r="B5344"/>
      <c r="C5344"/>
      <c r="D5344"/>
    </row>
    <row r="5345" spans="1:4" x14ac:dyDescent="0.2">
      <c r="A5345"/>
      <c r="B5345"/>
      <c r="C5345"/>
      <c r="D5345"/>
    </row>
    <row r="5346" spans="1:4" x14ac:dyDescent="0.2">
      <c r="A5346"/>
      <c r="B5346"/>
      <c r="C5346"/>
      <c r="D5346"/>
    </row>
    <row r="5347" spans="1:4" x14ac:dyDescent="0.2">
      <c r="A5347"/>
      <c r="B5347"/>
      <c r="C5347"/>
      <c r="D5347"/>
    </row>
    <row r="5348" spans="1:4" x14ac:dyDescent="0.2">
      <c r="A5348"/>
      <c r="B5348"/>
      <c r="C5348"/>
      <c r="D5348"/>
    </row>
    <row r="5349" spans="1:4" x14ac:dyDescent="0.2">
      <c r="A5349"/>
      <c r="B5349"/>
      <c r="C5349"/>
      <c r="D5349"/>
    </row>
    <row r="5350" spans="1:4" x14ac:dyDescent="0.2">
      <c r="A5350"/>
      <c r="B5350"/>
      <c r="C5350"/>
      <c r="D5350"/>
    </row>
    <row r="5351" spans="1:4" x14ac:dyDescent="0.2">
      <c r="A5351"/>
      <c r="B5351"/>
      <c r="C5351"/>
      <c r="D5351"/>
    </row>
    <row r="5352" spans="1:4" x14ac:dyDescent="0.2">
      <c r="A5352"/>
      <c r="B5352"/>
      <c r="C5352"/>
      <c r="D5352"/>
    </row>
    <row r="5353" spans="1:4" x14ac:dyDescent="0.2">
      <c r="A5353"/>
      <c r="B5353"/>
      <c r="C5353"/>
      <c r="D5353"/>
    </row>
    <row r="5354" spans="1:4" x14ac:dyDescent="0.2">
      <c r="A5354"/>
      <c r="B5354"/>
      <c r="C5354"/>
      <c r="D5354"/>
    </row>
    <row r="5355" spans="1:4" x14ac:dyDescent="0.2">
      <c r="A5355"/>
      <c r="B5355"/>
      <c r="C5355"/>
      <c r="D5355"/>
    </row>
    <row r="5356" spans="1:4" x14ac:dyDescent="0.2">
      <c r="A5356"/>
      <c r="B5356"/>
      <c r="C5356"/>
      <c r="D5356"/>
    </row>
    <row r="5357" spans="1:4" x14ac:dyDescent="0.2">
      <c r="A5357"/>
      <c r="B5357"/>
      <c r="C5357"/>
      <c r="D5357"/>
    </row>
    <row r="5358" spans="1:4" x14ac:dyDescent="0.2">
      <c r="A5358"/>
      <c r="B5358"/>
      <c r="C5358"/>
      <c r="D5358"/>
    </row>
    <row r="5359" spans="1:4" x14ac:dyDescent="0.2">
      <c r="A5359"/>
      <c r="B5359"/>
      <c r="C5359"/>
      <c r="D5359"/>
    </row>
    <row r="5360" spans="1:4" x14ac:dyDescent="0.2">
      <c r="A5360"/>
      <c r="B5360"/>
      <c r="C5360"/>
      <c r="D5360"/>
    </row>
    <row r="5361" spans="1:4" x14ac:dyDescent="0.2">
      <c r="A5361"/>
      <c r="B5361"/>
      <c r="C5361"/>
      <c r="D5361"/>
    </row>
    <row r="5362" spans="1:4" x14ac:dyDescent="0.2">
      <c r="A5362"/>
      <c r="B5362"/>
      <c r="C5362"/>
      <c r="D5362"/>
    </row>
    <row r="5363" spans="1:4" x14ac:dyDescent="0.2">
      <c r="A5363"/>
      <c r="B5363"/>
      <c r="C5363"/>
      <c r="D5363"/>
    </row>
    <row r="5364" spans="1:4" x14ac:dyDescent="0.2">
      <c r="A5364"/>
      <c r="B5364"/>
      <c r="C5364"/>
      <c r="D5364"/>
    </row>
    <row r="5365" spans="1:4" x14ac:dyDescent="0.2">
      <c r="A5365"/>
      <c r="B5365"/>
      <c r="C5365"/>
      <c r="D5365"/>
    </row>
    <row r="5366" spans="1:4" x14ac:dyDescent="0.2">
      <c r="A5366"/>
      <c r="B5366"/>
      <c r="C5366"/>
      <c r="D5366"/>
    </row>
    <row r="5367" spans="1:4" x14ac:dyDescent="0.2">
      <c r="A5367"/>
      <c r="B5367"/>
      <c r="C5367"/>
      <c r="D5367"/>
    </row>
    <row r="5368" spans="1:4" x14ac:dyDescent="0.2">
      <c r="A5368"/>
      <c r="B5368"/>
      <c r="C5368"/>
      <c r="D5368"/>
    </row>
    <row r="5369" spans="1:4" x14ac:dyDescent="0.2">
      <c r="A5369"/>
      <c r="B5369"/>
      <c r="C5369"/>
      <c r="D5369"/>
    </row>
    <row r="5370" spans="1:4" x14ac:dyDescent="0.2">
      <c r="A5370"/>
      <c r="B5370"/>
      <c r="C5370"/>
      <c r="D5370"/>
    </row>
    <row r="5371" spans="1:4" x14ac:dyDescent="0.2">
      <c r="A5371"/>
      <c r="B5371"/>
      <c r="C5371"/>
      <c r="D5371"/>
    </row>
    <row r="5372" spans="1:4" x14ac:dyDescent="0.2">
      <c r="A5372"/>
      <c r="B5372"/>
      <c r="C5372"/>
      <c r="D5372"/>
    </row>
    <row r="5373" spans="1:4" x14ac:dyDescent="0.2">
      <c r="A5373"/>
      <c r="B5373"/>
      <c r="C5373"/>
      <c r="D5373"/>
    </row>
    <row r="5374" spans="1:4" x14ac:dyDescent="0.2">
      <c r="A5374"/>
      <c r="B5374"/>
      <c r="C5374"/>
      <c r="D5374"/>
    </row>
    <row r="5375" spans="1:4" x14ac:dyDescent="0.2">
      <c r="A5375"/>
      <c r="B5375"/>
      <c r="C5375"/>
      <c r="D5375"/>
    </row>
    <row r="5376" spans="1:4" x14ac:dyDescent="0.2">
      <c r="A5376"/>
      <c r="B5376"/>
      <c r="C5376"/>
      <c r="D5376"/>
    </row>
    <row r="5377" spans="1:4" x14ac:dyDescent="0.2">
      <c r="A5377"/>
      <c r="B5377"/>
      <c r="C5377"/>
      <c r="D5377"/>
    </row>
    <row r="5378" spans="1:4" x14ac:dyDescent="0.2">
      <c r="A5378"/>
      <c r="B5378"/>
      <c r="C5378"/>
      <c r="D5378"/>
    </row>
    <row r="5379" spans="1:4" x14ac:dyDescent="0.2">
      <c r="A5379"/>
      <c r="B5379"/>
      <c r="C5379"/>
      <c r="D5379"/>
    </row>
    <row r="5380" spans="1:4" x14ac:dyDescent="0.2">
      <c r="A5380"/>
      <c r="B5380"/>
      <c r="C5380"/>
      <c r="D5380"/>
    </row>
    <row r="5381" spans="1:4" x14ac:dyDescent="0.2">
      <c r="A5381"/>
      <c r="B5381"/>
      <c r="C5381"/>
      <c r="D5381"/>
    </row>
    <row r="5382" spans="1:4" x14ac:dyDescent="0.2">
      <c r="A5382"/>
      <c r="B5382"/>
      <c r="C5382"/>
      <c r="D5382"/>
    </row>
    <row r="5383" spans="1:4" x14ac:dyDescent="0.2">
      <c r="A5383"/>
      <c r="B5383"/>
      <c r="C5383"/>
      <c r="D5383"/>
    </row>
    <row r="5384" spans="1:4" x14ac:dyDescent="0.2">
      <c r="A5384"/>
      <c r="B5384"/>
      <c r="C5384"/>
      <c r="D5384"/>
    </row>
    <row r="5385" spans="1:4" x14ac:dyDescent="0.2">
      <c r="A5385"/>
      <c r="B5385"/>
      <c r="C5385"/>
      <c r="D5385"/>
    </row>
    <row r="5386" spans="1:4" x14ac:dyDescent="0.2">
      <c r="A5386"/>
      <c r="B5386"/>
      <c r="C5386"/>
      <c r="D5386"/>
    </row>
    <row r="5387" spans="1:4" x14ac:dyDescent="0.2">
      <c r="A5387"/>
      <c r="B5387"/>
      <c r="C5387"/>
      <c r="D5387"/>
    </row>
    <row r="5388" spans="1:4" x14ac:dyDescent="0.2">
      <c r="A5388"/>
      <c r="B5388"/>
      <c r="C5388"/>
      <c r="D5388"/>
    </row>
    <row r="5389" spans="1:4" x14ac:dyDescent="0.2">
      <c r="A5389"/>
      <c r="B5389"/>
      <c r="C5389"/>
      <c r="D5389"/>
    </row>
    <row r="5390" spans="1:4" x14ac:dyDescent="0.2">
      <c r="A5390"/>
      <c r="B5390"/>
      <c r="C5390"/>
      <c r="D5390"/>
    </row>
    <row r="5391" spans="1:4" x14ac:dyDescent="0.2">
      <c r="A5391"/>
      <c r="B5391"/>
      <c r="C5391"/>
      <c r="D5391"/>
    </row>
    <row r="5392" spans="1:4" x14ac:dyDescent="0.2">
      <c r="A5392"/>
      <c r="B5392"/>
      <c r="C5392"/>
      <c r="D5392"/>
    </row>
    <row r="5393" spans="1:4" x14ac:dyDescent="0.2">
      <c r="A5393"/>
      <c r="B5393"/>
      <c r="C5393"/>
      <c r="D5393"/>
    </row>
    <row r="5394" spans="1:4" x14ac:dyDescent="0.2">
      <c r="A5394"/>
      <c r="B5394"/>
      <c r="C5394"/>
      <c r="D5394"/>
    </row>
    <row r="5395" spans="1:4" x14ac:dyDescent="0.2">
      <c r="A5395"/>
      <c r="B5395"/>
      <c r="C5395"/>
      <c r="D5395"/>
    </row>
    <row r="5396" spans="1:4" x14ac:dyDescent="0.2">
      <c r="A5396"/>
      <c r="B5396"/>
      <c r="C5396"/>
      <c r="D5396"/>
    </row>
    <row r="5397" spans="1:4" x14ac:dyDescent="0.2">
      <c r="A5397"/>
      <c r="B5397"/>
      <c r="C5397"/>
      <c r="D5397"/>
    </row>
    <row r="5398" spans="1:4" x14ac:dyDescent="0.2">
      <c r="A5398"/>
      <c r="B5398"/>
      <c r="C5398"/>
      <c r="D5398"/>
    </row>
    <row r="5399" spans="1:4" x14ac:dyDescent="0.2">
      <c r="A5399"/>
      <c r="B5399"/>
      <c r="C5399"/>
      <c r="D5399"/>
    </row>
    <row r="5400" spans="1:4" x14ac:dyDescent="0.2">
      <c r="A5400"/>
      <c r="B5400"/>
      <c r="C5400"/>
      <c r="D5400"/>
    </row>
    <row r="5401" spans="1:4" x14ac:dyDescent="0.2">
      <c r="A5401"/>
      <c r="B5401"/>
      <c r="C5401"/>
      <c r="D5401"/>
    </row>
    <row r="5402" spans="1:4" x14ac:dyDescent="0.2">
      <c r="A5402"/>
      <c r="B5402"/>
      <c r="C5402"/>
      <c r="D5402"/>
    </row>
    <row r="5403" spans="1:4" x14ac:dyDescent="0.2">
      <c r="A5403"/>
      <c r="B5403"/>
      <c r="C5403"/>
      <c r="D5403"/>
    </row>
    <row r="5404" spans="1:4" x14ac:dyDescent="0.2">
      <c r="A5404"/>
      <c r="B5404"/>
      <c r="C5404"/>
      <c r="D5404"/>
    </row>
    <row r="5405" spans="1:4" x14ac:dyDescent="0.2">
      <c r="A5405"/>
      <c r="B5405"/>
      <c r="C5405"/>
      <c r="D5405"/>
    </row>
    <row r="5406" spans="1:4" x14ac:dyDescent="0.2">
      <c r="A5406"/>
      <c r="B5406"/>
      <c r="C5406"/>
      <c r="D5406"/>
    </row>
    <row r="5407" spans="1:4" x14ac:dyDescent="0.2">
      <c r="A5407"/>
      <c r="B5407"/>
      <c r="C5407"/>
      <c r="D5407"/>
    </row>
    <row r="5408" spans="1:4" x14ac:dyDescent="0.2">
      <c r="A5408"/>
      <c r="B5408"/>
      <c r="C5408"/>
      <c r="D5408"/>
    </row>
    <row r="5409" spans="1:4" x14ac:dyDescent="0.2">
      <c r="A5409"/>
      <c r="B5409"/>
      <c r="C5409"/>
      <c r="D5409"/>
    </row>
    <row r="5410" spans="1:4" x14ac:dyDescent="0.2">
      <c r="A5410"/>
      <c r="B5410"/>
      <c r="C5410"/>
      <c r="D5410"/>
    </row>
    <row r="5411" spans="1:4" x14ac:dyDescent="0.2">
      <c r="A5411"/>
      <c r="B5411"/>
      <c r="C5411"/>
      <c r="D5411"/>
    </row>
    <row r="5412" spans="1:4" x14ac:dyDescent="0.2">
      <c r="A5412"/>
      <c r="B5412"/>
      <c r="C5412"/>
      <c r="D5412"/>
    </row>
    <row r="5413" spans="1:4" x14ac:dyDescent="0.2">
      <c r="A5413"/>
      <c r="B5413"/>
      <c r="C5413"/>
      <c r="D5413"/>
    </row>
    <row r="5414" spans="1:4" x14ac:dyDescent="0.2">
      <c r="A5414"/>
      <c r="B5414"/>
      <c r="C5414"/>
      <c r="D5414"/>
    </row>
    <row r="5415" spans="1:4" x14ac:dyDescent="0.2">
      <c r="A5415"/>
      <c r="B5415"/>
      <c r="C5415"/>
      <c r="D5415"/>
    </row>
    <row r="5416" spans="1:4" x14ac:dyDescent="0.2">
      <c r="A5416"/>
      <c r="B5416"/>
      <c r="C5416"/>
      <c r="D5416"/>
    </row>
    <row r="5417" spans="1:4" x14ac:dyDescent="0.2">
      <c r="A5417"/>
      <c r="B5417"/>
      <c r="C5417"/>
      <c r="D5417"/>
    </row>
    <row r="5418" spans="1:4" x14ac:dyDescent="0.2">
      <c r="A5418"/>
      <c r="B5418"/>
      <c r="C5418"/>
      <c r="D5418"/>
    </row>
    <row r="5419" spans="1:4" x14ac:dyDescent="0.2">
      <c r="A5419"/>
      <c r="B5419"/>
      <c r="C5419"/>
      <c r="D5419"/>
    </row>
    <row r="5420" spans="1:4" x14ac:dyDescent="0.2">
      <c r="A5420"/>
      <c r="B5420"/>
      <c r="C5420"/>
      <c r="D5420"/>
    </row>
    <row r="5421" spans="1:4" x14ac:dyDescent="0.2">
      <c r="A5421"/>
      <c r="B5421"/>
      <c r="C5421"/>
      <c r="D5421"/>
    </row>
    <row r="5422" spans="1:4" x14ac:dyDescent="0.2">
      <c r="A5422"/>
      <c r="B5422"/>
      <c r="C5422"/>
      <c r="D5422"/>
    </row>
    <row r="5423" spans="1:4" x14ac:dyDescent="0.2">
      <c r="A5423"/>
      <c r="B5423"/>
      <c r="C5423"/>
      <c r="D5423"/>
    </row>
    <row r="5424" spans="1:4" x14ac:dyDescent="0.2">
      <c r="A5424"/>
      <c r="B5424"/>
      <c r="C5424"/>
      <c r="D5424"/>
    </row>
    <row r="5425" spans="1:4" x14ac:dyDescent="0.2">
      <c r="A5425"/>
      <c r="B5425"/>
      <c r="C5425"/>
      <c r="D5425"/>
    </row>
    <row r="5426" spans="1:4" x14ac:dyDescent="0.2">
      <c r="A5426"/>
      <c r="B5426"/>
      <c r="C5426"/>
      <c r="D5426"/>
    </row>
    <row r="5427" spans="1:4" x14ac:dyDescent="0.2">
      <c r="A5427"/>
      <c r="B5427"/>
      <c r="C5427"/>
      <c r="D5427"/>
    </row>
    <row r="5428" spans="1:4" x14ac:dyDescent="0.2">
      <c r="A5428"/>
      <c r="B5428"/>
      <c r="C5428"/>
      <c r="D5428"/>
    </row>
    <row r="5429" spans="1:4" x14ac:dyDescent="0.2">
      <c r="A5429"/>
      <c r="B5429"/>
      <c r="C5429"/>
      <c r="D5429"/>
    </row>
    <row r="5430" spans="1:4" x14ac:dyDescent="0.2">
      <c r="A5430"/>
      <c r="B5430"/>
      <c r="C5430"/>
      <c r="D5430"/>
    </row>
    <row r="5431" spans="1:4" x14ac:dyDescent="0.2">
      <c r="A5431"/>
      <c r="B5431"/>
      <c r="C5431"/>
      <c r="D5431"/>
    </row>
    <row r="5432" spans="1:4" x14ac:dyDescent="0.2">
      <c r="A5432"/>
      <c r="B5432"/>
      <c r="C5432"/>
      <c r="D5432"/>
    </row>
    <row r="5433" spans="1:4" x14ac:dyDescent="0.2">
      <c r="A5433"/>
      <c r="B5433"/>
      <c r="C5433"/>
      <c r="D5433"/>
    </row>
    <row r="5434" spans="1:4" x14ac:dyDescent="0.2">
      <c r="A5434"/>
      <c r="B5434"/>
      <c r="C5434"/>
      <c r="D5434"/>
    </row>
    <row r="5435" spans="1:4" x14ac:dyDescent="0.2">
      <c r="A5435"/>
      <c r="B5435"/>
      <c r="C5435"/>
      <c r="D5435"/>
    </row>
    <row r="5436" spans="1:4" x14ac:dyDescent="0.2">
      <c r="A5436"/>
      <c r="B5436"/>
      <c r="C5436"/>
      <c r="D5436"/>
    </row>
    <row r="5437" spans="1:4" x14ac:dyDescent="0.2">
      <c r="A5437"/>
      <c r="B5437"/>
      <c r="C5437"/>
      <c r="D5437"/>
    </row>
    <row r="5438" spans="1:4" x14ac:dyDescent="0.2">
      <c r="A5438"/>
      <c r="B5438"/>
      <c r="C5438"/>
      <c r="D5438"/>
    </row>
    <row r="5439" spans="1:4" x14ac:dyDescent="0.2">
      <c r="A5439"/>
      <c r="B5439"/>
      <c r="C5439"/>
      <c r="D5439"/>
    </row>
    <row r="5440" spans="1:4" x14ac:dyDescent="0.2">
      <c r="A5440"/>
      <c r="B5440"/>
      <c r="C5440"/>
      <c r="D5440"/>
    </row>
    <row r="5441" spans="1:4" x14ac:dyDescent="0.2">
      <c r="A5441"/>
      <c r="B5441"/>
      <c r="C5441"/>
      <c r="D5441"/>
    </row>
    <row r="5442" spans="1:4" x14ac:dyDescent="0.2">
      <c r="A5442"/>
      <c r="B5442"/>
      <c r="C5442"/>
      <c r="D5442"/>
    </row>
    <row r="5443" spans="1:4" x14ac:dyDescent="0.2">
      <c r="A5443"/>
      <c r="B5443"/>
      <c r="C5443"/>
      <c r="D5443"/>
    </row>
    <row r="5444" spans="1:4" x14ac:dyDescent="0.2">
      <c r="A5444"/>
      <c r="B5444"/>
      <c r="C5444"/>
      <c r="D5444"/>
    </row>
    <row r="5445" spans="1:4" x14ac:dyDescent="0.2">
      <c r="A5445"/>
      <c r="B5445"/>
      <c r="C5445"/>
      <c r="D5445"/>
    </row>
    <row r="5446" spans="1:4" x14ac:dyDescent="0.2">
      <c r="A5446"/>
      <c r="B5446"/>
      <c r="C5446"/>
      <c r="D5446"/>
    </row>
    <row r="5447" spans="1:4" x14ac:dyDescent="0.2">
      <c r="A5447"/>
      <c r="B5447"/>
      <c r="C5447"/>
      <c r="D5447"/>
    </row>
    <row r="5448" spans="1:4" x14ac:dyDescent="0.2">
      <c r="A5448"/>
      <c r="B5448"/>
      <c r="C5448"/>
      <c r="D5448"/>
    </row>
    <row r="5449" spans="1:4" x14ac:dyDescent="0.2">
      <c r="A5449"/>
      <c r="B5449"/>
      <c r="C5449"/>
      <c r="D5449"/>
    </row>
    <row r="5450" spans="1:4" x14ac:dyDescent="0.2">
      <c r="A5450"/>
      <c r="B5450"/>
      <c r="C5450"/>
      <c r="D5450"/>
    </row>
    <row r="5451" spans="1:4" x14ac:dyDescent="0.2">
      <c r="A5451"/>
      <c r="B5451"/>
      <c r="C5451"/>
      <c r="D5451"/>
    </row>
    <row r="5452" spans="1:4" x14ac:dyDescent="0.2">
      <c r="A5452"/>
      <c r="B5452"/>
      <c r="C5452"/>
      <c r="D5452"/>
    </row>
    <row r="5453" spans="1:4" x14ac:dyDescent="0.2">
      <c r="A5453"/>
      <c r="B5453"/>
      <c r="C5453"/>
      <c r="D5453"/>
    </row>
    <row r="5454" spans="1:4" x14ac:dyDescent="0.2">
      <c r="A5454"/>
      <c r="B5454"/>
      <c r="C5454"/>
      <c r="D5454"/>
    </row>
    <row r="5455" spans="1:4" x14ac:dyDescent="0.2">
      <c r="A5455"/>
      <c r="B5455"/>
      <c r="C5455"/>
      <c r="D5455"/>
    </row>
    <row r="5456" spans="1:4" x14ac:dyDescent="0.2">
      <c r="A5456"/>
      <c r="B5456"/>
      <c r="C5456"/>
      <c r="D5456"/>
    </row>
    <row r="5457" spans="1:4" x14ac:dyDescent="0.2">
      <c r="A5457"/>
      <c r="B5457"/>
      <c r="C5457"/>
      <c r="D5457"/>
    </row>
    <row r="5458" spans="1:4" x14ac:dyDescent="0.2">
      <c r="A5458"/>
      <c r="B5458"/>
      <c r="C5458"/>
      <c r="D5458"/>
    </row>
    <row r="5459" spans="1:4" x14ac:dyDescent="0.2">
      <c r="A5459"/>
      <c r="B5459"/>
      <c r="C5459"/>
      <c r="D5459"/>
    </row>
    <row r="5460" spans="1:4" x14ac:dyDescent="0.2">
      <c r="A5460"/>
      <c r="B5460"/>
      <c r="C5460"/>
      <c r="D5460"/>
    </row>
    <row r="5461" spans="1:4" x14ac:dyDescent="0.2">
      <c r="A5461"/>
      <c r="B5461"/>
      <c r="C5461"/>
      <c r="D5461"/>
    </row>
    <row r="5462" spans="1:4" x14ac:dyDescent="0.2">
      <c r="A5462"/>
      <c r="B5462"/>
      <c r="C5462"/>
      <c r="D5462"/>
    </row>
    <row r="5463" spans="1:4" x14ac:dyDescent="0.2">
      <c r="A5463"/>
      <c r="B5463"/>
      <c r="C5463"/>
      <c r="D5463"/>
    </row>
    <row r="5464" spans="1:4" x14ac:dyDescent="0.2">
      <c r="A5464"/>
      <c r="B5464"/>
      <c r="C5464"/>
      <c r="D5464"/>
    </row>
    <row r="5465" spans="1:4" x14ac:dyDescent="0.2">
      <c r="A5465"/>
      <c r="B5465"/>
      <c r="C5465"/>
      <c r="D5465"/>
    </row>
    <row r="5466" spans="1:4" x14ac:dyDescent="0.2">
      <c r="A5466"/>
      <c r="B5466"/>
      <c r="C5466"/>
      <c r="D5466"/>
    </row>
    <row r="5467" spans="1:4" x14ac:dyDescent="0.2">
      <c r="A5467"/>
      <c r="B5467"/>
      <c r="C5467"/>
      <c r="D5467"/>
    </row>
    <row r="5468" spans="1:4" x14ac:dyDescent="0.2">
      <c r="A5468"/>
      <c r="B5468"/>
      <c r="C5468"/>
      <c r="D5468"/>
    </row>
    <row r="5469" spans="1:4" x14ac:dyDescent="0.2">
      <c r="A5469"/>
      <c r="B5469"/>
      <c r="C5469"/>
      <c r="D5469"/>
    </row>
    <row r="5470" spans="1:4" x14ac:dyDescent="0.2">
      <c r="A5470"/>
      <c r="B5470"/>
      <c r="C5470"/>
      <c r="D5470"/>
    </row>
    <row r="5471" spans="1:4" x14ac:dyDescent="0.2">
      <c r="A5471"/>
      <c r="B5471"/>
      <c r="C5471"/>
      <c r="D5471"/>
    </row>
    <row r="5472" spans="1:4" x14ac:dyDescent="0.2">
      <c r="A5472"/>
      <c r="B5472"/>
      <c r="C5472"/>
      <c r="D5472"/>
    </row>
    <row r="5473" spans="1:4" x14ac:dyDescent="0.2">
      <c r="A5473"/>
      <c r="B5473"/>
      <c r="C5473"/>
      <c r="D5473"/>
    </row>
    <row r="5474" spans="1:4" x14ac:dyDescent="0.2">
      <c r="A5474"/>
      <c r="B5474"/>
      <c r="C5474"/>
      <c r="D5474"/>
    </row>
    <row r="5475" spans="1:4" x14ac:dyDescent="0.2">
      <c r="A5475"/>
      <c r="B5475"/>
      <c r="C5475"/>
      <c r="D5475"/>
    </row>
    <row r="5476" spans="1:4" x14ac:dyDescent="0.2">
      <c r="A5476"/>
      <c r="B5476"/>
      <c r="C5476"/>
      <c r="D5476"/>
    </row>
    <row r="5477" spans="1:4" x14ac:dyDescent="0.2">
      <c r="A5477"/>
      <c r="B5477"/>
      <c r="C5477"/>
      <c r="D5477"/>
    </row>
    <row r="5478" spans="1:4" x14ac:dyDescent="0.2">
      <c r="A5478"/>
      <c r="B5478"/>
      <c r="C5478"/>
      <c r="D5478"/>
    </row>
    <row r="5479" spans="1:4" x14ac:dyDescent="0.2">
      <c r="A5479"/>
      <c r="B5479"/>
      <c r="C5479"/>
      <c r="D5479"/>
    </row>
    <row r="5480" spans="1:4" x14ac:dyDescent="0.2">
      <c r="A5480"/>
      <c r="B5480"/>
      <c r="C5480"/>
      <c r="D5480"/>
    </row>
    <row r="5481" spans="1:4" x14ac:dyDescent="0.2">
      <c r="A5481"/>
      <c r="B5481"/>
      <c r="C5481"/>
      <c r="D5481"/>
    </row>
    <row r="5482" spans="1:4" x14ac:dyDescent="0.2">
      <c r="A5482"/>
      <c r="B5482"/>
      <c r="C5482"/>
      <c r="D5482"/>
    </row>
    <row r="5483" spans="1:4" x14ac:dyDescent="0.2">
      <c r="A5483"/>
      <c r="B5483"/>
      <c r="C5483"/>
      <c r="D5483"/>
    </row>
    <row r="5484" spans="1:4" x14ac:dyDescent="0.2">
      <c r="A5484"/>
      <c r="B5484"/>
      <c r="C5484"/>
      <c r="D5484"/>
    </row>
    <row r="5485" spans="1:4" x14ac:dyDescent="0.2">
      <c r="A5485"/>
      <c r="B5485"/>
      <c r="C5485"/>
      <c r="D5485"/>
    </row>
    <row r="5486" spans="1:4" x14ac:dyDescent="0.2">
      <c r="A5486"/>
      <c r="B5486"/>
      <c r="C5486"/>
      <c r="D5486"/>
    </row>
    <row r="5487" spans="1:4" x14ac:dyDescent="0.2">
      <c r="A5487"/>
      <c r="B5487"/>
      <c r="C5487"/>
      <c r="D5487"/>
    </row>
    <row r="5488" spans="1:4" x14ac:dyDescent="0.2">
      <c r="A5488"/>
      <c r="B5488"/>
      <c r="C5488"/>
      <c r="D5488"/>
    </row>
    <row r="5489" spans="1:4" x14ac:dyDescent="0.2">
      <c r="A5489"/>
      <c r="B5489"/>
      <c r="C5489"/>
      <c r="D5489"/>
    </row>
    <row r="5490" spans="1:4" x14ac:dyDescent="0.2">
      <c r="A5490"/>
      <c r="B5490"/>
      <c r="C5490"/>
      <c r="D5490"/>
    </row>
    <row r="5491" spans="1:4" x14ac:dyDescent="0.2">
      <c r="A5491"/>
      <c r="B5491"/>
      <c r="C5491"/>
      <c r="D5491"/>
    </row>
    <row r="5492" spans="1:4" x14ac:dyDescent="0.2">
      <c r="A5492"/>
      <c r="B5492"/>
      <c r="C5492"/>
      <c r="D5492"/>
    </row>
    <row r="5493" spans="1:4" x14ac:dyDescent="0.2">
      <c r="A5493"/>
      <c r="B5493"/>
      <c r="C5493"/>
      <c r="D5493"/>
    </row>
    <row r="5494" spans="1:4" x14ac:dyDescent="0.2">
      <c r="A5494"/>
      <c r="B5494"/>
      <c r="C5494"/>
      <c r="D5494"/>
    </row>
    <row r="5495" spans="1:4" x14ac:dyDescent="0.2">
      <c r="A5495"/>
      <c r="B5495"/>
      <c r="C5495"/>
      <c r="D5495"/>
    </row>
    <row r="5496" spans="1:4" x14ac:dyDescent="0.2">
      <c r="A5496"/>
      <c r="B5496"/>
      <c r="C5496"/>
      <c r="D5496"/>
    </row>
    <row r="5497" spans="1:4" x14ac:dyDescent="0.2">
      <c r="A5497"/>
      <c r="B5497"/>
      <c r="C5497"/>
      <c r="D5497"/>
    </row>
    <row r="5498" spans="1:4" x14ac:dyDescent="0.2">
      <c r="A5498"/>
      <c r="B5498"/>
      <c r="C5498"/>
      <c r="D5498"/>
    </row>
    <row r="5499" spans="1:4" x14ac:dyDescent="0.2">
      <c r="A5499"/>
      <c r="B5499"/>
      <c r="C5499"/>
      <c r="D5499"/>
    </row>
    <row r="5500" spans="1:4" x14ac:dyDescent="0.2">
      <c r="A5500"/>
      <c r="B5500"/>
      <c r="C5500"/>
      <c r="D5500"/>
    </row>
    <row r="5501" spans="1:4" x14ac:dyDescent="0.2">
      <c r="A5501"/>
      <c r="B5501"/>
      <c r="C5501"/>
      <c r="D5501"/>
    </row>
    <row r="5502" spans="1:4" x14ac:dyDescent="0.2">
      <c r="A5502"/>
      <c r="B5502"/>
      <c r="C5502"/>
      <c r="D5502"/>
    </row>
    <row r="5503" spans="1:4" x14ac:dyDescent="0.2">
      <c r="A5503"/>
      <c r="B5503"/>
      <c r="C5503"/>
      <c r="D5503"/>
    </row>
    <row r="5504" spans="1:4" x14ac:dyDescent="0.2">
      <c r="A5504"/>
      <c r="B5504"/>
      <c r="C5504"/>
      <c r="D5504"/>
    </row>
    <row r="5505" spans="1:4" x14ac:dyDescent="0.2">
      <c r="A5505"/>
      <c r="B5505"/>
      <c r="C5505"/>
      <c r="D5505"/>
    </row>
    <row r="5506" spans="1:4" x14ac:dyDescent="0.2">
      <c r="A5506"/>
      <c r="B5506"/>
      <c r="C5506"/>
      <c r="D5506"/>
    </row>
    <row r="5507" spans="1:4" x14ac:dyDescent="0.2">
      <c r="A5507"/>
      <c r="B5507"/>
      <c r="C5507"/>
      <c r="D5507"/>
    </row>
    <row r="5508" spans="1:4" x14ac:dyDescent="0.2">
      <c r="A5508"/>
      <c r="B5508"/>
      <c r="C5508"/>
      <c r="D5508"/>
    </row>
    <row r="5509" spans="1:4" x14ac:dyDescent="0.2">
      <c r="A5509"/>
      <c r="B5509"/>
      <c r="C5509"/>
      <c r="D5509"/>
    </row>
    <row r="5510" spans="1:4" x14ac:dyDescent="0.2">
      <c r="A5510"/>
      <c r="B5510"/>
      <c r="C5510"/>
      <c r="D5510"/>
    </row>
    <row r="5511" spans="1:4" x14ac:dyDescent="0.2">
      <c r="A5511"/>
      <c r="B5511"/>
      <c r="C5511"/>
      <c r="D5511"/>
    </row>
    <row r="5512" spans="1:4" x14ac:dyDescent="0.2">
      <c r="A5512"/>
      <c r="B5512"/>
      <c r="C5512"/>
      <c r="D5512"/>
    </row>
    <row r="5513" spans="1:4" x14ac:dyDescent="0.2">
      <c r="A5513"/>
      <c r="B5513"/>
      <c r="C5513"/>
      <c r="D5513"/>
    </row>
    <row r="5514" spans="1:4" x14ac:dyDescent="0.2">
      <c r="A5514"/>
      <c r="B5514"/>
      <c r="C5514"/>
      <c r="D5514"/>
    </row>
    <row r="5515" spans="1:4" x14ac:dyDescent="0.2">
      <c r="A5515"/>
      <c r="B5515"/>
      <c r="C5515"/>
      <c r="D5515"/>
    </row>
    <row r="5516" spans="1:4" x14ac:dyDescent="0.2">
      <c r="A5516"/>
      <c r="B5516"/>
      <c r="C5516"/>
      <c r="D5516"/>
    </row>
    <row r="5517" spans="1:4" x14ac:dyDescent="0.2">
      <c r="A5517"/>
      <c r="B5517"/>
      <c r="C5517"/>
      <c r="D5517"/>
    </row>
    <row r="5518" spans="1:4" x14ac:dyDescent="0.2">
      <c r="A5518"/>
      <c r="B5518"/>
      <c r="C5518"/>
      <c r="D5518"/>
    </row>
    <row r="5519" spans="1:4" x14ac:dyDescent="0.2">
      <c r="A5519"/>
      <c r="B5519"/>
      <c r="C5519"/>
      <c r="D5519"/>
    </row>
    <row r="5520" spans="1:4" x14ac:dyDescent="0.2">
      <c r="A5520"/>
      <c r="B5520"/>
      <c r="C5520"/>
      <c r="D5520"/>
    </row>
    <row r="5521" spans="1:4" x14ac:dyDescent="0.2">
      <c r="A5521"/>
      <c r="B5521"/>
      <c r="C5521"/>
      <c r="D5521"/>
    </row>
    <row r="5522" spans="1:4" x14ac:dyDescent="0.2">
      <c r="A5522"/>
      <c r="B5522"/>
      <c r="C5522"/>
      <c r="D5522"/>
    </row>
    <row r="5523" spans="1:4" x14ac:dyDescent="0.2">
      <c r="A5523"/>
      <c r="B5523"/>
      <c r="C5523"/>
      <c r="D5523"/>
    </row>
    <row r="5524" spans="1:4" x14ac:dyDescent="0.2">
      <c r="A5524"/>
      <c r="B5524"/>
      <c r="C5524"/>
      <c r="D5524"/>
    </row>
    <row r="5525" spans="1:4" x14ac:dyDescent="0.2">
      <c r="A5525"/>
      <c r="B5525"/>
      <c r="C5525"/>
      <c r="D5525"/>
    </row>
    <row r="5526" spans="1:4" x14ac:dyDescent="0.2">
      <c r="A5526"/>
      <c r="B5526"/>
      <c r="C5526"/>
      <c r="D5526"/>
    </row>
    <row r="5527" spans="1:4" x14ac:dyDescent="0.2">
      <c r="A5527"/>
      <c r="B5527"/>
      <c r="C5527"/>
      <c r="D5527"/>
    </row>
    <row r="5528" spans="1:4" x14ac:dyDescent="0.2">
      <c r="A5528"/>
      <c r="B5528"/>
      <c r="C5528"/>
      <c r="D5528"/>
    </row>
    <row r="5529" spans="1:4" x14ac:dyDescent="0.2">
      <c r="A5529"/>
      <c r="B5529"/>
      <c r="C5529"/>
      <c r="D5529"/>
    </row>
    <row r="5530" spans="1:4" x14ac:dyDescent="0.2">
      <c r="A5530"/>
      <c r="B5530"/>
      <c r="C5530"/>
      <c r="D5530"/>
    </row>
    <row r="5531" spans="1:4" x14ac:dyDescent="0.2">
      <c r="A5531"/>
      <c r="B5531"/>
      <c r="C5531"/>
      <c r="D5531"/>
    </row>
    <row r="5532" spans="1:4" x14ac:dyDescent="0.2">
      <c r="A5532"/>
      <c r="B5532"/>
      <c r="C5532"/>
      <c r="D5532"/>
    </row>
    <row r="5533" spans="1:4" x14ac:dyDescent="0.2">
      <c r="A5533"/>
      <c r="B5533"/>
      <c r="C5533"/>
      <c r="D5533"/>
    </row>
    <row r="5534" spans="1:4" x14ac:dyDescent="0.2">
      <c r="A5534"/>
      <c r="B5534"/>
      <c r="C5534"/>
      <c r="D5534"/>
    </row>
    <row r="5535" spans="1:4" x14ac:dyDescent="0.2">
      <c r="A5535"/>
      <c r="B5535"/>
      <c r="C5535"/>
      <c r="D5535"/>
    </row>
    <row r="5536" spans="1:4" x14ac:dyDescent="0.2">
      <c r="A5536"/>
      <c r="B5536"/>
      <c r="C5536"/>
      <c r="D5536"/>
    </row>
    <row r="5537" spans="1:4" x14ac:dyDescent="0.2">
      <c r="A5537"/>
      <c r="B5537"/>
      <c r="C5537"/>
      <c r="D5537"/>
    </row>
    <row r="5538" spans="1:4" x14ac:dyDescent="0.2">
      <c r="A5538"/>
      <c r="B5538"/>
      <c r="C5538"/>
      <c r="D5538"/>
    </row>
    <row r="5539" spans="1:4" x14ac:dyDescent="0.2">
      <c r="A5539"/>
      <c r="B5539"/>
      <c r="C5539"/>
      <c r="D5539"/>
    </row>
    <row r="5540" spans="1:4" x14ac:dyDescent="0.2">
      <c r="A5540"/>
      <c r="B5540"/>
      <c r="C5540"/>
      <c r="D5540"/>
    </row>
    <row r="5541" spans="1:4" x14ac:dyDescent="0.2">
      <c r="A5541"/>
      <c r="B5541"/>
      <c r="C5541"/>
      <c r="D5541"/>
    </row>
    <row r="5542" spans="1:4" x14ac:dyDescent="0.2">
      <c r="A5542"/>
      <c r="B5542"/>
      <c r="C5542"/>
      <c r="D5542"/>
    </row>
    <row r="5543" spans="1:4" x14ac:dyDescent="0.2">
      <c r="A5543"/>
      <c r="B5543"/>
      <c r="C5543"/>
      <c r="D5543"/>
    </row>
    <row r="5544" spans="1:4" x14ac:dyDescent="0.2">
      <c r="A5544"/>
      <c r="B5544"/>
      <c r="C5544"/>
      <c r="D5544"/>
    </row>
    <row r="5545" spans="1:4" x14ac:dyDescent="0.2">
      <c r="A5545"/>
      <c r="B5545"/>
      <c r="C5545"/>
      <c r="D5545"/>
    </row>
    <row r="5546" spans="1:4" x14ac:dyDescent="0.2">
      <c r="A5546"/>
      <c r="B5546"/>
      <c r="C5546"/>
      <c r="D5546"/>
    </row>
    <row r="5547" spans="1:4" x14ac:dyDescent="0.2">
      <c r="A5547"/>
      <c r="B5547"/>
      <c r="C5547"/>
      <c r="D5547"/>
    </row>
    <row r="5548" spans="1:4" x14ac:dyDescent="0.2">
      <c r="A5548"/>
      <c r="B5548"/>
      <c r="C5548"/>
      <c r="D5548"/>
    </row>
    <row r="5549" spans="1:4" x14ac:dyDescent="0.2">
      <c r="A5549"/>
      <c r="B5549"/>
      <c r="C5549"/>
      <c r="D5549"/>
    </row>
    <row r="5550" spans="1:4" x14ac:dyDescent="0.2">
      <c r="A5550"/>
      <c r="B5550"/>
      <c r="C5550"/>
      <c r="D5550"/>
    </row>
    <row r="5551" spans="1:4" x14ac:dyDescent="0.2">
      <c r="A5551"/>
      <c r="B5551"/>
      <c r="C5551"/>
      <c r="D5551"/>
    </row>
    <row r="5552" spans="1:4" x14ac:dyDescent="0.2">
      <c r="A5552"/>
      <c r="B5552"/>
      <c r="C5552"/>
      <c r="D5552"/>
    </row>
    <row r="5553" spans="1:4" x14ac:dyDescent="0.2">
      <c r="A5553"/>
      <c r="B5553"/>
      <c r="C5553"/>
      <c r="D5553"/>
    </row>
    <row r="5554" spans="1:4" x14ac:dyDescent="0.2">
      <c r="A5554"/>
      <c r="B5554"/>
      <c r="C5554"/>
      <c r="D5554"/>
    </row>
    <row r="5555" spans="1:4" x14ac:dyDescent="0.2">
      <c r="A5555"/>
      <c r="B5555"/>
      <c r="C5555"/>
      <c r="D5555"/>
    </row>
    <row r="5556" spans="1:4" x14ac:dyDescent="0.2">
      <c r="A5556"/>
      <c r="B5556"/>
      <c r="C5556"/>
      <c r="D5556"/>
    </row>
    <row r="5557" spans="1:4" x14ac:dyDescent="0.2">
      <c r="A5557"/>
      <c r="B5557"/>
      <c r="C5557"/>
      <c r="D5557"/>
    </row>
    <row r="5558" spans="1:4" x14ac:dyDescent="0.2">
      <c r="A5558"/>
      <c r="B5558"/>
      <c r="C5558"/>
      <c r="D5558"/>
    </row>
    <row r="5559" spans="1:4" x14ac:dyDescent="0.2">
      <c r="A5559"/>
      <c r="B5559"/>
      <c r="C5559"/>
      <c r="D5559"/>
    </row>
    <row r="5560" spans="1:4" x14ac:dyDescent="0.2">
      <c r="A5560"/>
      <c r="B5560"/>
      <c r="C5560"/>
      <c r="D5560"/>
    </row>
    <row r="5561" spans="1:4" x14ac:dyDescent="0.2">
      <c r="A5561"/>
      <c r="B5561"/>
      <c r="C5561"/>
      <c r="D5561"/>
    </row>
    <row r="5562" spans="1:4" x14ac:dyDescent="0.2">
      <c r="A5562"/>
      <c r="B5562"/>
      <c r="C5562"/>
      <c r="D5562"/>
    </row>
    <row r="5563" spans="1:4" x14ac:dyDescent="0.2">
      <c r="A5563"/>
      <c r="B5563"/>
      <c r="C5563"/>
      <c r="D5563"/>
    </row>
    <row r="5564" spans="1:4" x14ac:dyDescent="0.2">
      <c r="A5564"/>
      <c r="B5564"/>
      <c r="C5564"/>
      <c r="D5564"/>
    </row>
    <row r="5565" spans="1:4" x14ac:dyDescent="0.2">
      <c r="A5565"/>
      <c r="B5565"/>
      <c r="C5565"/>
      <c r="D5565"/>
    </row>
    <row r="5566" spans="1:4" x14ac:dyDescent="0.2">
      <c r="A5566"/>
      <c r="B5566"/>
      <c r="C5566"/>
      <c r="D5566"/>
    </row>
    <row r="5567" spans="1:4" x14ac:dyDescent="0.2">
      <c r="A5567"/>
      <c r="B5567"/>
      <c r="C5567"/>
      <c r="D5567"/>
    </row>
    <row r="5568" spans="1:4" x14ac:dyDescent="0.2">
      <c r="A5568"/>
      <c r="B5568"/>
      <c r="C5568"/>
      <c r="D5568"/>
    </row>
    <row r="5569" spans="1:4" x14ac:dyDescent="0.2">
      <c r="A5569"/>
      <c r="B5569"/>
      <c r="C5569"/>
      <c r="D5569"/>
    </row>
    <row r="5570" spans="1:4" x14ac:dyDescent="0.2">
      <c r="A5570"/>
      <c r="B5570"/>
      <c r="C5570"/>
      <c r="D5570"/>
    </row>
    <row r="5571" spans="1:4" x14ac:dyDescent="0.2">
      <c r="A5571"/>
      <c r="B5571"/>
      <c r="C5571"/>
      <c r="D5571"/>
    </row>
    <row r="5572" spans="1:4" x14ac:dyDescent="0.2">
      <c r="A5572"/>
      <c r="B5572"/>
      <c r="C5572"/>
      <c r="D5572"/>
    </row>
    <row r="5573" spans="1:4" x14ac:dyDescent="0.2">
      <c r="A5573"/>
      <c r="B5573"/>
      <c r="C5573"/>
      <c r="D5573"/>
    </row>
    <row r="5574" spans="1:4" x14ac:dyDescent="0.2">
      <c r="A5574"/>
      <c r="B5574"/>
      <c r="C5574"/>
      <c r="D5574"/>
    </row>
    <row r="5575" spans="1:4" x14ac:dyDescent="0.2">
      <c r="A5575"/>
      <c r="B5575"/>
      <c r="C5575"/>
      <c r="D5575"/>
    </row>
    <row r="5576" spans="1:4" x14ac:dyDescent="0.2">
      <c r="A5576"/>
      <c r="B5576"/>
      <c r="C5576"/>
      <c r="D5576"/>
    </row>
    <row r="5577" spans="1:4" x14ac:dyDescent="0.2">
      <c r="A5577"/>
      <c r="B5577"/>
      <c r="C5577"/>
      <c r="D5577"/>
    </row>
    <row r="5578" spans="1:4" x14ac:dyDescent="0.2">
      <c r="A5578"/>
      <c r="B5578"/>
      <c r="C5578"/>
      <c r="D5578"/>
    </row>
    <row r="5579" spans="1:4" x14ac:dyDescent="0.2">
      <c r="A5579"/>
      <c r="B5579"/>
      <c r="C5579"/>
      <c r="D5579"/>
    </row>
    <row r="5580" spans="1:4" x14ac:dyDescent="0.2">
      <c r="A5580"/>
      <c r="B5580"/>
      <c r="C5580"/>
      <c r="D5580"/>
    </row>
    <row r="5581" spans="1:4" x14ac:dyDescent="0.2">
      <c r="A5581"/>
      <c r="B5581"/>
      <c r="C5581"/>
      <c r="D5581"/>
    </row>
    <row r="5582" spans="1:4" x14ac:dyDescent="0.2">
      <c r="A5582"/>
      <c r="B5582"/>
      <c r="C5582"/>
      <c r="D5582"/>
    </row>
    <row r="5583" spans="1:4" x14ac:dyDescent="0.2">
      <c r="A5583"/>
      <c r="B5583"/>
      <c r="C5583"/>
      <c r="D5583"/>
    </row>
    <row r="5584" spans="1:4" x14ac:dyDescent="0.2">
      <c r="A5584"/>
      <c r="B5584"/>
      <c r="C5584"/>
      <c r="D5584"/>
    </row>
    <row r="5585" spans="1:4" x14ac:dyDescent="0.2">
      <c r="A5585"/>
      <c r="B5585"/>
      <c r="C5585"/>
      <c r="D5585"/>
    </row>
    <row r="5586" spans="1:4" x14ac:dyDescent="0.2">
      <c r="A5586"/>
      <c r="B5586"/>
      <c r="C5586"/>
      <c r="D5586"/>
    </row>
    <row r="5587" spans="1:4" x14ac:dyDescent="0.2">
      <c r="A5587"/>
      <c r="B5587"/>
      <c r="C5587"/>
      <c r="D5587"/>
    </row>
    <row r="5588" spans="1:4" x14ac:dyDescent="0.2">
      <c r="A5588"/>
      <c r="B5588"/>
      <c r="C5588"/>
      <c r="D5588"/>
    </row>
    <row r="5589" spans="1:4" x14ac:dyDescent="0.2">
      <c r="A5589"/>
      <c r="B5589"/>
      <c r="C5589"/>
      <c r="D5589"/>
    </row>
    <row r="5590" spans="1:4" x14ac:dyDescent="0.2">
      <c r="A5590"/>
      <c r="B5590"/>
      <c r="C5590"/>
      <c r="D5590"/>
    </row>
    <row r="5591" spans="1:4" x14ac:dyDescent="0.2">
      <c r="A5591"/>
      <c r="B5591"/>
      <c r="C5591"/>
      <c r="D5591"/>
    </row>
    <row r="5592" spans="1:4" x14ac:dyDescent="0.2">
      <c r="A5592"/>
      <c r="B5592"/>
      <c r="C5592"/>
      <c r="D5592"/>
    </row>
    <row r="5593" spans="1:4" x14ac:dyDescent="0.2">
      <c r="A5593"/>
      <c r="B5593"/>
      <c r="C5593"/>
      <c r="D5593"/>
    </row>
    <row r="5594" spans="1:4" x14ac:dyDescent="0.2">
      <c r="A5594"/>
      <c r="B5594"/>
      <c r="C5594"/>
      <c r="D5594"/>
    </row>
    <row r="5595" spans="1:4" x14ac:dyDescent="0.2">
      <c r="A5595"/>
      <c r="B5595"/>
      <c r="C5595"/>
      <c r="D5595"/>
    </row>
    <row r="5596" spans="1:4" x14ac:dyDescent="0.2">
      <c r="A5596"/>
      <c r="B5596"/>
      <c r="C5596"/>
      <c r="D5596"/>
    </row>
    <row r="5597" spans="1:4" x14ac:dyDescent="0.2">
      <c r="A5597"/>
      <c r="B5597"/>
      <c r="C5597"/>
      <c r="D5597"/>
    </row>
    <row r="5598" spans="1:4" x14ac:dyDescent="0.2">
      <c r="A5598"/>
      <c r="B5598"/>
      <c r="C5598"/>
      <c r="D5598"/>
    </row>
    <row r="5599" spans="1:4" x14ac:dyDescent="0.2">
      <c r="A5599"/>
      <c r="B5599"/>
      <c r="C5599"/>
      <c r="D5599"/>
    </row>
    <row r="5600" spans="1:4" x14ac:dyDescent="0.2">
      <c r="A5600"/>
      <c r="B5600"/>
      <c r="C5600"/>
      <c r="D5600"/>
    </row>
    <row r="5601" spans="1:4" x14ac:dyDescent="0.2">
      <c r="A5601"/>
      <c r="B5601"/>
      <c r="C5601"/>
      <c r="D5601"/>
    </row>
    <row r="5602" spans="1:4" x14ac:dyDescent="0.2">
      <c r="A5602"/>
      <c r="B5602"/>
      <c r="C5602"/>
      <c r="D5602"/>
    </row>
    <row r="5603" spans="1:4" x14ac:dyDescent="0.2">
      <c r="A5603"/>
      <c r="B5603"/>
      <c r="C5603"/>
      <c r="D5603"/>
    </row>
    <row r="5604" spans="1:4" x14ac:dyDescent="0.2">
      <c r="A5604"/>
      <c r="B5604"/>
      <c r="C5604"/>
      <c r="D5604"/>
    </row>
    <row r="5605" spans="1:4" x14ac:dyDescent="0.2">
      <c r="A5605"/>
      <c r="B5605"/>
      <c r="C5605"/>
      <c r="D5605"/>
    </row>
    <row r="5606" spans="1:4" x14ac:dyDescent="0.2">
      <c r="A5606"/>
      <c r="B5606"/>
      <c r="C5606"/>
      <c r="D5606"/>
    </row>
    <row r="5607" spans="1:4" x14ac:dyDescent="0.2">
      <c r="A5607"/>
      <c r="B5607"/>
      <c r="C5607"/>
      <c r="D5607"/>
    </row>
    <row r="5608" spans="1:4" x14ac:dyDescent="0.2">
      <c r="A5608"/>
      <c r="B5608"/>
      <c r="C5608"/>
      <c r="D5608"/>
    </row>
    <row r="5609" spans="1:4" x14ac:dyDescent="0.2">
      <c r="A5609"/>
      <c r="B5609"/>
      <c r="C5609"/>
      <c r="D5609"/>
    </row>
    <row r="5610" spans="1:4" x14ac:dyDescent="0.2">
      <c r="A5610"/>
      <c r="B5610"/>
      <c r="C5610"/>
      <c r="D5610"/>
    </row>
    <row r="5611" spans="1:4" x14ac:dyDescent="0.2">
      <c r="A5611"/>
      <c r="B5611"/>
      <c r="C5611"/>
      <c r="D5611"/>
    </row>
    <row r="5612" spans="1:4" x14ac:dyDescent="0.2">
      <c r="A5612"/>
      <c r="B5612"/>
      <c r="C5612"/>
      <c r="D5612"/>
    </row>
    <row r="5613" spans="1:4" x14ac:dyDescent="0.2">
      <c r="A5613"/>
      <c r="B5613"/>
      <c r="C5613"/>
      <c r="D5613"/>
    </row>
    <row r="5614" spans="1:4" x14ac:dyDescent="0.2">
      <c r="A5614"/>
      <c r="B5614"/>
      <c r="C5614"/>
      <c r="D5614"/>
    </row>
    <row r="5615" spans="1:4" x14ac:dyDescent="0.2">
      <c r="A5615"/>
      <c r="B5615"/>
      <c r="C5615"/>
      <c r="D5615"/>
    </row>
    <row r="5616" spans="1:4" x14ac:dyDescent="0.2">
      <c r="A5616"/>
      <c r="B5616"/>
      <c r="C5616"/>
      <c r="D5616"/>
    </row>
    <row r="5617" spans="1:4" x14ac:dyDescent="0.2">
      <c r="A5617"/>
      <c r="B5617"/>
      <c r="C5617"/>
      <c r="D5617"/>
    </row>
    <row r="5618" spans="1:4" x14ac:dyDescent="0.2">
      <c r="A5618"/>
      <c r="B5618"/>
      <c r="C5618"/>
      <c r="D5618"/>
    </row>
    <row r="5619" spans="1:4" x14ac:dyDescent="0.2">
      <c r="A5619"/>
      <c r="B5619"/>
      <c r="C5619"/>
      <c r="D5619"/>
    </row>
    <row r="5620" spans="1:4" x14ac:dyDescent="0.2">
      <c r="A5620"/>
      <c r="B5620"/>
      <c r="C5620"/>
      <c r="D5620"/>
    </row>
    <row r="5621" spans="1:4" x14ac:dyDescent="0.2">
      <c r="A5621"/>
      <c r="B5621"/>
      <c r="C5621"/>
      <c r="D5621"/>
    </row>
    <row r="5622" spans="1:4" x14ac:dyDescent="0.2">
      <c r="A5622"/>
      <c r="B5622"/>
      <c r="C5622"/>
      <c r="D5622"/>
    </row>
    <row r="5623" spans="1:4" x14ac:dyDescent="0.2">
      <c r="A5623"/>
      <c r="B5623"/>
      <c r="C5623"/>
      <c r="D5623"/>
    </row>
    <row r="5624" spans="1:4" x14ac:dyDescent="0.2">
      <c r="A5624"/>
      <c r="B5624"/>
      <c r="C5624"/>
      <c r="D5624"/>
    </row>
    <row r="5625" spans="1:4" x14ac:dyDescent="0.2">
      <c r="A5625"/>
      <c r="B5625"/>
      <c r="C5625"/>
      <c r="D5625"/>
    </row>
    <row r="5626" spans="1:4" x14ac:dyDescent="0.2">
      <c r="A5626"/>
      <c r="B5626"/>
      <c r="C5626"/>
      <c r="D5626"/>
    </row>
    <row r="5627" spans="1:4" x14ac:dyDescent="0.2">
      <c r="A5627"/>
      <c r="B5627"/>
      <c r="C5627"/>
      <c r="D5627"/>
    </row>
    <row r="5628" spans="1:4" x14ac:dyDescent="0.2">
      <c r="A5628"/>
      <c r="B5628"/>
      <c r="C5628"/>
      <c r="D5628"/>
    </row>
    <row r="5629" spans="1:4" x14ac:dyDescent="0.2">
      <c r="A5629"/>
      <c r="B5629"/>
      <c r="C5629"/>
      <c r="D5629"/>
    </row>
    <row r="5630" spans="1:4" x14ac:dyDescent="0.2">
      <c r="A5630"/>
      <c r="B5630"/>
      <c r="C5630"/>
      <c r="D5630"/>
    </row>
    <row r="5631" spans="1:4" x14ac:dyDescent="0.2">
      <c r="A5631"/>
      <c r="B5631"/>
      <c r="C5631"/>
      <c r="D5631"/>
    </row>
    <row r="5632" spans="1:4" x14ac:dyDescent="0.2">
      <c r="A5632"/>
      <c r="B5632"/>
      <c r="C5632"/>
      <c r="D5632"/>
    </row>
    <row r="5633" spans="1:4" x14ac:dyDescent="0.2">
      <c r="A5633"/>
      <c r="B5633"/>
      <c r="C5633"/>
      <c r="D5633"/>
    </row>
    <row r="5634" spans="1:4" x14ac:dyDescent="0.2">
      <c r="A5634"/>
      <c r="B5634"/>
      <c r="C5634"/>
      <c r="D5634"/>
    </row>
    <row r="5635" spans="1:4" x14ac:dyDescent="0.2">
      <c r="A5635"/>
      <c r="B5635"/>
      <c r="C5635"/>
      <c r="D5635"/>
    </row>
    <row r="5636" spans="1:4" x14ac:dyDescent="0.2">
      <c r="A5636"/>
      <c r="B5636"/>
      <c r="C5636"/>
      <c r="D5636"/>
    </row>
    <row r="5637" spans="1:4" x14ac:dyDescent="0.2">
      <c r="A5637"/>
      <c r="B5637"/>
      <c r="C5637"/>
      <c r="D5637"/>
    </row>
    <row r="5638" spans="1:4" x14ac:dyDescent="0.2">
      <c r="A5638"/>
      <c r="B5638"/>
      <c r="C5638"/>
      <c r="D5638"/>
    </row>
    <row r="5639" spans="1:4" x14ac:dyDescent="0.2">
      <c r="A5639"/>
      <c r="B5639"/>
      <c r="C5639"/>
      <c r="D5639"/>
    </row>
    <row r="5640" spans="1:4" x14ac:dyDescent="0.2">
      <c r="A5640"/>
      <c r="B5640"/>
      <c r="C5640"/>
      <c r="D5640"/>
    </row>
    <row r="5641" spans="1:4" x14ac:dyDescent="0.2">
      <c r="A5641"/>
      <c r="B5641"/>
      <c r="C5641"/>
      <c r="D5641"/>
    </row>
    <row r="5642" spans="1:4" x14ac:dyDescent="0.2">
      <c r="A5642"/>
      <c r="B5642"/>
      <c r="C5642"/>
      <c r="D5642"/>
    </row>
    <row r="5643" spans="1:4" x14ac:dyDescent="0.2">
      <c r="A5643"/>
      <c r="B5643"/>
      <c r="C5643"/>
      <c r="D5643"/>
    </row>
    <row r="5644" spans="1:4" x14ac:dyDescent="0.2">
      <c r="A5644"/>
      <c r="B5644"/>
      <c r="C5644"/>
      <c r="D5644"/>
    </row>
    <row r="5645" spans="1:4" x14ac:dyDescent="0.2">
      <c r="A5645"/>
      <c r="B5645"/>
      <c r="C5645"/>
      <c r="D5645"/>
    </row>
    <row r="5646" spans="1:4" x14ac:dyDescent="0.2">
      <c r="A5646"/>
      <c r="B5646"/>
      <c r="C5646"/>
      <c r="D5646"/>
    </row>
    <row r="5647" spans="1:4" x14ac:dyDescent="0.2">
      <c r="A5647"/>
      <c r="B5647"/>
      <c r="C5647"/>
      <c r="D5647"/>
    </row>
    <row r="5648" spans="1:4" x14ac:dyDescent="0.2">
      <c r="A5648"/>
      <c r="B5648"/>
      <c r="C5648"/>
      <c r="D5648"/>
    </row>
    <row r="5649" spans="1:4" x14ac:dyDescent="0.2">
      <c r="A5649"/>
      <c r="B5649"/>
      <c r="C5649"/>
      <c r="D5649"/>
    </row>
    <row r="5650" spans="1:4" x14ac:dyDescent="0.2">
      <c r="A5650"/>
      <c r="B5650"/>
      <c r="C5650"/>
      <c r="D5650"/>
    </row>
    <row r="5651" spans="1:4" x14ac:dyDescent="0.2">
      <c r="A5651"/>
      <c r="B5651"/>
      <c r="C5651"/>
      <c r="D5651"/>
    </row>
    <row r="5652" spans="1:4" x14ac:dyDescent="0.2">
      <c r="A5652"/>
      <c r="B5652"/>
      <c r="C5652"/>
      <c r="D5652"/>
    </row>
    <row r="5653" spans="1:4" x14ac:dyDescent="0.2">
      <c r="A5653"/>
      <c r="B5653"/>
      <c r="C5653"/>
      <c r="D5653"/>
    </row>
    <row r="5654" spans="1:4" x14ac:dyDescent="0.2">
      <c r="A5654"/>
      <c r="B5654"/>
      <c r="C5654"/>
      <c r="D5654"/>
    </row>
    <row r="5655" spans="1:4" x14ac:dyDescent="0.2">
      <c r="A5655"/>
      <c r="B5655"/>
      <c r="C5655"/>
      <c r="D5655"/>
    </row>
    <row r="5656" spans="1:4" x14ac:dyDescent="0.2">
      <c r="A5656"/>
      <c r="B5656"/>
      <c r="C5656"/>
      <c r="D5656"/>
    </row>
    <row r="5657" spans="1:4" x14ac:dyDescent="0.2">
      <c r="A5657"/>
      <c r="B5657"/>
      <c r="C5657"/>
      <c r="D5657"/>
    </row>
    <row r="5658" spans="1:4" x14ac:dyDescent="0.2">
      <c r="A5658"/>
      <c r="B5658"/>
      <c r="C5658"/>
      <c r="D5658"/>
    </row>
    <row r="5659" spans="1:4" x14ac:dyDescent="0.2">
      <c r="A5659"/>
      <c r="B5659"/>
      <c r="C5659"/>
      <c r="D5659"/>
    </row>
    <row r="5660" spans="1:4" x14ac:dyDescent="0.2">
      <c r="A5660"/>
      <c r="B5660"/>
      <c r="C5660"/>
      <c r="D5660"/>
    </row>
    <row r="5661" spans="1:4" x14ac:dyDescent="0.2">
      <c r="A5661"/>
      <c r="B5661"/>
      <c r="C5661"/>
      <c r="D5661"/>
    </row>
    <row r="5662" spans="1:4" x14ac:dyDescent="0.2">
      <c r="A5662"/>
      <c r="B5662"/>
      <c r="C5662"/>
      <c r="D5662"/>
    </row>
    <row r="5663" spans="1:4" x14ac:dyDescent="0.2">
      <c r="A5663"/>
      <c r="B5663"/>
      <c r="C5663"/>
      <c r="D5663"/>
    </row>
    <row r="5664" spans="1:4" x14ac:dyDescent="0.2">
      <c r="A5664"/>
      <c r="B5664"/>
      <c r="C5664"/>
      <c r="D5664"/>
    </row>
    <row r="5665" spans="1:4" x14ac:dyDescent="0.2">
      <c r="A5665"/>
      <c r="B5665"/>
      <c r="C5665"/>
      <c r="D5665"/>
    </row>
    <row r="5666" spans="1:4" x14ac:dyDescent="0.2">
      <c r="A5666"/>
      <c r="B5666"/>
      <c r="C5666"/>
      <c r="D5666"/>
    </row>
    <row r="5667" spans="1:4" x14ac:dyDescent="0.2">
      <c r="A5667"/>
      <c r="B5667"/>
      <c r="C5667"/>
      <c r="D5667"/>
    </row>
    <row r="5668" spans="1:4" x14ac:dyDescent="0.2">
      <c r="A5668"/>
      <c r="B5668"/>
      <c r="C5668"/>
      <c r="D5668"/>
    </row>
    <row r="5669" spans="1:4" x14ac:dyDescent="0.2">
      <c r="A5669"/>
      <c r="B5669"/>
      <c r="C5669"/>
      <c r="D5669"/>
    </row>
    <row r="5670" spans="1:4" x14ac:dyDescent="0.2">
      <c r="A5670"/>
      <c r="B5670"/>
      <c r="C5670"/>
      <c r="D5670"/>
    </row>
    <row r="5671" spans="1:4" x14ac:dyDescent="0.2">
      <c r="A5671"/>
      <c r="B5671"/>
      <c r="C5671"/>
      <c r="D5671"/>
    </row>
    <row r="5672" spans="1:4" x14ac:dyDescent="0.2">
      <c r="A5672"/>
      <c r="B5672"/>
      <c r="C5672"/>
      <c r="D5672"/>
    </row>
    <row r="5673" spans="1:4" x14ac:dyDescent="0.2">
      <c r="A5673"/>
      <c r="B5673"/>
      <c r="C5673"/>
      <c r="D5673"/>
    </row>
    <row r="5674" spans="1:4" x14ac:dyDescent="0.2">
      <c r="A5674"/>
      <c r="B5674"/>
      <c r="C5674"/>
      <c r="D5674"/>
    </row>
    <row r="5675" spans="1:4" x14ac:dyDescent="0.2">
      <c r="A5675"/>
      <c r="B5675"/>
      <c r="C5675"/>
      <c r="D5675"/>
    </row>
    <row r="5676" spans="1:4" x14ac:dyDescent="0.2">
      <c r="A5676"/>
      <c r="B5676"/>
      <c r="C5676"/>
      <c r="D5676"/>
    </row>
    <row r="5677" spans="1:4" x14ac:dyDescent="0.2">
      <c r="A5677"/>
      <c r="B5677"/>
      <c r="C5677"/>
      <c r="D5677"/>
    </row>
    <row r="5678" spans="1:4" x14ac:dyDescent="0.2">
      <c r="A5678"/>
      <c r="B5678"/>
      <c r="C5678"/>
      <c r="D5678"/>
    </row>
    <row r="5679" spans="1:4" x14ac:dyDescent="0.2">
      <c r="A5679"/>
      <c r="B5679"/>
      <c r="C5679"/>
      <c r="D5679"/>
    </row>
    <row r="5680" spans="1:4" x14ac:dyDescent="0.2">
      <c r="A5680"/>
      <c r="B5680"/>
      <c r="C5680"/>
      <c r="D5680"/>
    </row>
    <row r="5681" spans="1:4" x14ac:dyDescent="0.2">
      <c r="A5681"/>
      <c r="B5681"/>
      <c r="C5681"/>
      <c r="D5681"/>
    </row>
    <row r="5682" spans="1:4" x14ac:dyDescent="0.2">
      <c r="A5682"/>
      <c r="B5682"/>
      <c r="C5682"/>
      <c r="D5682"/>
    </row>
    <row r="5683" spans="1:4" x14ac:dyDescent="0.2">
      <c r="A5683"/>
      <c r="B5683"/>
      <c r="C5683"/>
      <c r="D5683"/>
    </row>
    <row r="5684" spans="1:4" x14ac:dyDescent="0.2">
      <c r="A5684"/>
      <c r="B5684"/>
      <c r="C5684"/>
      <c r="D5684"/>
    </row>
    <row r="5685" spans="1:4" x14ac:dyDescent="0.2">
      <c r="A5685"/>
      <c r="B5685"/>
      <c r="C5685"/>
      <c r="D5685"/>
    </row>
    <row r="5686" spans="1:4" x14ac:dyDescent="0.2">
      <c r="A5686"/>
      <c r="B5686"/>
      <c r="C5686"/>
      <c r="D5686"/>
    </row>
    <row r="5687" spans="1:4" x14ac:dyDescent="0.2">
      <c r="A5687"/>
      <c r="B5687"/>
      <c r="C5687"/>
      <c r="D5687"/>
    </row>
    <row r="5688" spans="1:4" x14ac:dyDescent="0.2">
      <c r="A5688"/>
      <c r="B5688"/>
      <c r="C5688"/>
      <c r="D5688"/>
    </row>
    <row r="5689" spans="1:4" x14ac:dyDescent="0.2">
      <c r="A5689"/>
      <c r="B5689"/>
      <c r="C5689"/>
      <c r="D5689"/>
    </row>
    <row r="5690" spans="1:4" x14ac:dyDescent="0.2">
      <c r="A5690"/>
      <c r="B5690"/>
      <c r="C5690"/>
      <c r="D5690"/>
    </row>
    <row r="5691" spans="1:4" x14ac:dyDescent="0.2">
      <c r="A5691"/>
      <c r="B5691"/>
      <c r="C5691"/>
      <c r="D5691"/>
    </row>
    <row r="5692" spans="1:4" x14ac:dyDescent="0.2">
      <c r="A5692"/>
      <c r="B5692"/>
      <c r="C5692"/>
      <c r="D5692"/>
    </row>
    <row r="5693" spans="1:4" x14ac:dyDescent="0.2">
      <c r="A5693"/>
      <c r="B5693"/>
      <c r="C5693"/>
      <c r="D5693"/>
    </row>
    <row r="5694" spans="1:4" x14ac:dyDescent="0.2">
      <c r="A5694"/>
      <c r="B5694"/>
      <c r="C5694"/>
      <c r="D5694"/>
    </row>
    <row r="5695" spans="1:4" x14ac:dyDescent="0.2">
      <c r="A5695"/>
      <c r="B5695"/>
      <c r="C5695"/>
      <c r="D5695"/>
    </row>
    <row r="5696" spans="1:4" x14ac:dyDescent="0.2">
      <c r="A5696"/>
      <c r="B5696"/>
      <c r="C5696"/>
      <c r="D5696"/>
    </row>
    <row r="5697" spans="1:4" x14ac:dyDescent="0.2">
      <c r="A5697"/>
      <c r="B5697"/>
      <c r="C5697"/>
      <c r="D5697"/>
    </row>
    <row r="5698" spans="1:4" x14ac:dyDescent="0.2">
      <c r="A5698"/>
      <c r="B5698"/>
      <c r="C5698"/>
      <c r="D5698"/>
    </row>
    <row r="5699" spans="1:4" x14ac:dyDescent="0.2">
      <c r="A5699"/>
      <c r="B5699"/>
      <c r="C5699"/>
      <c r="D5699"/>
    </row>
    <row r="5700" spans="1:4" x14ac:dyDescent="0.2">
      <c r="A5700"/>
      <c r="B5700"/>
      <c r="C5700"/>
      <c r="D5700"/>
    </row>
    <row r="5701" spans="1:4" x14ac:dyDescent="0.2">
      <c r="A5701"/>
      <c r="B5701"/>
      <c r="C5701"/>
      <c r="D5701"/>
    </row>
    <row r="5702" spans="1:4" x14ac:dyDescent="0.2">
      <c r="A5702"/>
      <c r="B5702"/>
      <c r="C5702"/>
      <c r="D5702"/>
    </row>
    <row r="5703" spans="1:4" x14ac:dyDescent="0.2">
      <c r="A5703"/>
      <c r="B5703"/>
      <c r="C5703"/>
      <c r="D5703"/>
    </row>
    <row r="5704" spans="1:4" x14ac:dyDescent="0.2">
      <c r="A5704"/>
      <c r="B5704"/>
      <c r="C5704"/>
      <c r="D5704"/>
    </row>
    <row r="5705" spans="1:4" x14ac:dyDescent="0.2">
      <c r="A5705"/>
      <c r="B5705"/>
      <c r="C5705"/>
      <c r="D5705"/>
    </row>
    <row r="5706" spans="1:4" x14ac:dyDescent="0.2">
      <c r="A5706"/>
      <c r="B5706"/>
      <c r="C5706"/>
      <c r="D5706"/>
    </row>
    <row r="5707" spans="1:4" x14ac:dyDescent="0.2">
      <c r="A5707"/>
      <c r="B5707"/>
      <c r="C5707"/>
      <c r="D5707"/>
    </row>
    <row r="5708" spans="1:4" x14ac:dyDescent="0.2">
      <c r="A5708"/>
      <c r="B5708"/>
      <c r="C5708"/>
      <c r="D5708"/>
    </row>
    <row r="5709" spans="1:4" x14ac:dyDescent="0.2">
      <c r="A5709"/>
      <c r="B5709"/>
      <c r="C5709"/>
      <c r="D5709"/>
    </row>
    <row r="5710" spans="1:4" x14ac:dyDescent="0.2">
      <c r="A5710"/>
      <c r="B5710"/>
      <c r="C5710"/>
      <c r="D5710"/>
    </row>
    <row r="5711" spans="1:4" x14ac:dyDescent="0.2">
      <c r="A5711"/>
      <c r="B5711"/>
      <c r="C5711"/>
      <c r="D5711"/>
    </row>
    <row r="5712" spans="1:4" x14ac:dyDescent="0.2">
      <c r="A5712"/>
      <c r="B5712"/>
      <c r="C5712"/>
      <c r="D5712"/>
    </row>
    <row r="5713" spans="1:4" x14ac:dyDescent="0.2">
      <c r="A5713"/>
      <c r="B5713"/>
      <c r="C5713"/>
      <c r="D5713"/>
    </row>
    <row r="5714" spans="1:4" x14ac:dyDescent="0.2">
      <c r="A5714"/>
      <c r="B5714"/>
      <c r="C5714"/>
      <c r="D5714"/>
    </row>
    <row r="5715" spans="1:4" x14ac:dyDescent="0.2">
      <c r="A5715"/>
      <c r="B5715"/>
      <c r="C5715"/>
      <c r="D5715"/>
    </row>
    <row r="5716" spans="1:4" x14ac:dyDescent="0.2">
      <c r="A5716"/>
      <c r="B5716"/>
      <c r="C5716"/>
      <c r="D5716"/>
    </row>
    <row r="5717" spans="1:4" x14ac:dyDescent="0.2">
      <c r="A5717"/>
      <c r="B5717"/>
      <c r="C5717"/>
      <c r="D5717"/>
    </row>
    <row r="5718" spans="1:4" x14ac:dyDescent="0.2">
      <c r="A5718"/>
      <c r="B5718"/>
      <c r="C5718"/>
      <c r="D5718"/>
    </row>
    <row r="5719" spans="1:4" x14ac:dyDescent="0.2">
      <c r="A5719"/>
      <c r="B5719"/>
      <c r="C5719"/>
      <c r="D5719"/>
    </row>
    <row r="5720" spans="1:4" x14ac:dyDescent="0.2">
      <c r="A5720"/>
      <c r="B5720"/>
      <c r="C5720"/>
      <c r="D5720"/>
    </row>
    <row r="5721" spans="1:4" x14ac:dyDescent="0.2">
      <c r="A5721"/>
      <c r="B5721"/>
      <c r="C5721"/>
      <c r="D5721"/>
    </row>
    <row r="5722" spans="1:4" x14ac:dyDescent="0.2">
      <c r="A5722"/>
      <c r="B5722"/>
      <c r="C5722"/>
      <c r="D5722"/>
    </row>
    <row r="5723" spans="1:4" x14ac:dyDescent="0.2">
      <c r="A5723"/>
      <c r="B5723"/>
      <c r="C5723"/>
      <c r="D5723"/>
    </row>
    <row r="5724" spans="1:4" x14ac:dyDescent="0.2">
      <c r="A5724"/>
      <c r="B5724"/>
      <c r="C5724"/>
      <c r="D5724"/>
    </row>
    <row r="5725" spans="1:4" x14ac:dyDescent="0.2">
      <c r="A5725"/>
      <c r="B5725"/>
      <c r="C5725"/>
      <c r="D5725"/>
    </row>
    <row r="5726" spans="1:4" x14ac:dyDescent="0.2">
      <c r="A5726"/>
      <c r="B5726"/>
      <c r="C5726"/>
      <c r="D5726"/>
    </row>
    <row r="5727" spans="1:4" x14ac:dyDescent="0.2">
      <c r="A5727"/>
      <c r="B5727"/>
      <c r="C5727"/>
      <c r="D5727"/>
    </row>
    <row r="5728" spans="1:4" x14ac:dyDescent="0.2">
      <c r="A5728"/>
      <c r="B5728"/>
      <c r="C5728"/>
      <c r="D5728"/>
    </row>
    <row r="5729" spans="1:4" x14ac:dyDescent="0.2">
      <c r="A5729"/>
      <c r="B5729"/>
      <c r="C5729"/>
      <c r="D5729"/>
    </row>
    <row r="5730" spans="1:4" x14ac:dyDescent="0.2">
      <c r="A5730"/>
      <c r="B5730"/>
      <c r="C5730"/>
      <c r="D5730"/>
    </row>
    <row r="5731" spans="1:4" x14ac:dyDescent="0.2">
      <c r="A5731"/>
      <c r="B5731"/>
      <c r="C5731"/>
      <c r="D5731"/>
    </row>
    <row r="5732" spans="1:4" x14ac:dyDescent="0.2">
      <c r="A5732"/>
      <c r="B5732"/>
      <c r="C5732"/>
      <c r="D5732"/>
    </row>
    <row r="5733" spans="1:4" x14ac:dyDescent="0.2">
      <c r="A5733"/>
      <c r="B5733"/>
      <c r="C5733"/>
      <c r="D5733"/>
    </row>
    <row r="5734" spans="1:4" x14ac:dyDescent="0.2">
      <c r="A5734"/>
      <c r="B5734"/>
      <c r="C5734"/>
      <c r="D5734"/>
    </row>
    <row r="5735" spans="1:4" x14ac:dyDescent="0.2">
      <c r="A5735"/>
      <c r="B5735"/>
      <c r="C5735"/>
      <c r="D5735"/>
    </row>
    <row r="5736" spans="1:4" x14ac:dyDescent="0.2">
      <c r="A5736"/>
      <c r="B5736"/>
      <c r="C5736"/>
      <c r="D5736"/>
    </row>
    <row r="5737" spans="1:4" x14ac:dyDescent="0.2">
      <c r="A5737"/>
      <c r="B5737"/>
      <c r="C5737"/>
      <c r="D5737"/>
    </row>
    <row r="5738" spans="1:4" x14ac:dyDescent="0.2">
      <c r="A5738"/>
      <c r="B5738"/>
      <c r="C5738"/>
      <c r="D5738"/>
    </row>
    <row r="5739" spans="1:4" x14ac:dyDescent="0.2">
      <c r="A5739"/>
      <c r="B5739"/>
      <c r="C5739"/>
      <c r="D5739"/>
    </row>
    <row r="5740" spans="1:4" x14ac:dyDescent="0.2">
      <c r="A5740"/>
      <c r="B5740"/>
      <c r="C5740"/>
      <c r="D5740"/>
    </row>
    <row r="5741" spans="1:4" x14ac:dyDescent="0.2">
      <c r="A5741"/>
      <c r="B5741"/>
      <c r="C5741"/>
      <c r="D5741"/>
    </row>
    <row r="5742" spans="1:4" x14ac:dyDescent="0.2">
      <c r="A5742"/>
      <c r="B5742"/>
      <c r="C5742"/>
      <c r="D5742"/>
    </row>
    <row r="5743" spans="1:4" x14ac:dyDescent="0.2">
      <c r="A5743"/>
      <c r="B5743"/>
      <c r="C5743"/>
      <c r="D5743"/>
    </row>
    <row r="5744" spans="1:4" x14ac:dyDescent="0.2">
      <c r="A5744"/>
      <c r="B5744"/>
      <c r="C5744"/>
      <c r="D5744"/>
    </row>
    <row r="5745" spans="1:4" x14ac:dyDescent="0.2">
      <c r="A5745"/>
      <c r="B5745"/>
      <c r="C5745"/>
      <c r="D5745"/>
    </row>
    <row r="5746" spans="1:4" x14ac:dyDescent="0.2">
      <c r="A5746"/>
      <c r="B5746"/>
      <c r="C5746"/>
      <c r="D5746"/>
    </row>
    <row r="5747" spans="1:4" x14ac:dyDescent="0.2">
      <c r="A5747"/>
      <c r="B5747"/>
      <c r="C5747"/>
      <c r="D5747"/>
    </row>
    <row r="5748" spans="1:4" x14ac:dyDescent="0.2">
      <c r="A5748"/>
      <c r="B5748"/>
      <c r="C5748"/>
      <c r="D5748"/>
    </row>
    <row r="5749" spans="1:4" x14ac:dyDescent="0.2">
      <c r="A5749"/>
      <c r="B5749"/>
      <c r="C5749"/>
      <c r="D5749"/>
    </row>
    <row r="5750" spans="1:4" x14ac:dyDescent="0.2">
      <c r="A5750"/>
      <c r="B5750"/>
      <c r="C5750"/>
      <c r="D5750"/>
    </row>
    <row r="5751" spans="1:4" x14ac:dyDescent="0.2">
      <c r="A5751"/>
      <c r="B5751"/>
      <c r="C5751"/>
      <c r="D5751"/>
    </row>
    <row r="5752" spans="1:4" x14ac:dyDescent="0.2">
      <c r="A5752"/>
      <c r="B5752"/>
      <c r="C5752"/>
      <c r="D5752"/>
    </row>
    <row r="5753" spans="1:4" x14ac:dyDescent="0.2">
      <c r="A5753"/>
      <c r="B5753"/>
      <c r="C5753"/>
      <c r="D5753"/>
    </row>
    <row r="5754" spans="1:4" x14ac:dyDescent="0.2">
      <c r="A5754"/>
      <c r="B5754"/>
      <c r="C5754"/>
      <c r="D5754"/>
    </row>
    <row r="5755" spans="1:4" x14ac:dyDescent="0.2">
      <c r="A5755"/>
      <c r="B5755"/>
      <c r="C5755"/>
      <c r="D5755"/>
    </row>
    <row r="5756" spans="1:4" x14ac:dyDescent="0.2">
      <c r="A5756"/>
      <c r="B5756"/>
      <c r="C5756"/>
      <c r="D5756"/>
    </row>
    <row r="5757" spans="1:4" x14ac:dyDescent="0.2">
      <c r="A5757"/>
      <c r="B5757"/>
      <c r="C5757"/>
      <c r="D5757"/>
    </row>
    <row r="5758" spans="1:4" x14ac:dyDescent="0.2">
      <c r="A5758"/>
      <c r="B5758"/>
      <c r="C5758"/>
      <c r="D5758"/>
    </row>
    <row r="5759" spans="1:4" x14ac:dyDescent="0.2">
      <c r="A5759"/>
      <c r="B5759"/>
      <c r="C5759"/>
      <c r="D5759"/>
    </row>
    <row r="5760" spans="1:4" x14ac:dyDescent="0.2">
      <c r="A5760"/>
      <c r="B5760"/>
      <c r="C5760"/>
      <c r="D5760"/>
    </row>
    <row r="5761" spans="1:4" x14ac:dyDescent="0.2">
      <c r="A5761"/>
      <c r="B5761"/>
      <c r="C5761"/>
      <c r="D5761"/>
    </row>
    <row r="5762" spans="1:4" x14ac:dyDescent="0.2">
      <c r="A5762"/>
      <c r="B5762"/>
      <c r="C5762"/>
      <c r="D5762"/>
    </row>
    <row r="5763" spans="1:4" x14ac:dyDescent="0.2">
      <c r="A5763"/>
      <c r="B5763"/>
      <c r="C5763"/>
      <c r="D5763"/>
    </row>
    <row r="5764" spans="1:4" x14ac:dyDescent="0.2">
      <c r="A5764"/>
      <c r="B5764"/>
      <c r="C5764"/>
      <c r="D5764"/>
    </row>
    <row r="5765" spans="1:4" x14ac:dyDescent="0.2">
      <c r="A5765"/>
      <c r="B5765"/>
      <c r="C5765"/>
      <c r="D5765"/>
    </row>
    <row r="5766" spans="1:4" x14ac:dyDescent="0.2">
      <c r="A5766"/>
      <c r="B5766"/>
      <c r="C5766"/>
      <c r="D5766"/>
    </row>
    <row r="5767" spans="1:4" x14ac:dyDescent="0.2">
      <c r="A5767"/>
      <c r="B5767"/>
      <c r="C5767"/>
      <c r="D5767"/>
    </row>
    <row r="5768" spans="1:4" x14ac:dyDescent="0.2">
      <c r="A5768"/>
      <c r="B5768"/>
      <c r="C5768"/>
      <c r="D5768"/>
    </row>
    <row r="5769" spans="1:4" x14ac:dyDescent="0.2">
      <c r="A5769"/>
      <c r="B5769"/>
      <c r="C5769"/>
      <c r="D5769"/>
    </row>
    <row r="5770" spans="1:4" x14ac:dyDescent="0.2">
      <c r="A5770"/>
      <c r="B5770"/>
      <c r="C5770"/>
      <c r="D5770"/>
    </row>
    <row r="5771" spans="1:4" x14ac:dyDescent="0.2">
      <c r="A5771"/>
      <c r="B5771"/>
      <c r="C5771"/>
      <c r="D5771"/>
    </row>
    <row r="5772" spans="1:4" x14ac:dyDescent="0.2">
      <c r="A5772"/>
      <c r="B5772"/>
      <c r="C5772"/>
      <c r="D5772"/>
    </row>
    <row r="5773" spans="1:4" x14ac:dyDescent="0.2">
      <c r="A5773"/>
      <c r="B5773"/>
      <c r="C5773"/>
      <c r="D5773"/>
    </row>
    <row r="5774" spans="1:4" x14ac:dyDescent="0.2">
      <c r="A5774"/>
      <c r="B5774"/>
      <c r="C5774"/>
      <c r="D5774"/>
    </row>
    <row r="5775" spans="1:4" x14ac:dyDescent="0.2">
      <c r="A5775"/>
      <c r="B5775"/>
      <c r="C5775"/>
      <c r="D5775"/>
    </row>
    <row r="5776" spans="1:4" x14ac:dyDescent="0.2">
      <c r="A5776"/>
      <c r="B5776"/>
      <c r="C5776"/>
      <c r="D5776"/>
    </row>
    <row r="5777" spans="1:4" x14ac:dyDescent="0.2">
      <c r="A5777"/>
      <c r="B5777"/>
      <c r="C5777"/>
      <c r="D5777"/>
    </row>
    <row r="5778" spans="1:4" x14ac:dyDescent="0.2">
      <c r="A5778"/>
      <c r="B5778"/>
      <c r="C5778"/>
      <c r="D5778"/>
    </row>
    <row r="5779" spans="1:4" x14ac:dyDescent="0.2">
      <c r="A5779"/>
      <c r="B5779"/>
      <c r="C5779"/>
      <c r="D5779"/>
    </row>
    <row r="5780" spans="1:4" x14ac:dyDescent="0.2">
      <c r="A5780"/>
      <c r="B5780"/>
      <c r="C5780"/>
      <c r="D5780"/>
    </row>
    <row r="5781" spans="1:4" x14ac:dyDescent="0.2">
      <c r="A5781"/>
      <c r="B5781"/>
      <c r="C5781"/>
      <c r="D5781"/>
    </row>
    <row r="5782" spans="1:4" x14ac:dyDescent="0.2">
      <c r="A5782"/>
      <c r="B5782"/>
      <c r="C5782"/>
      <c r="D5782"/>
    </row>
    <row r="5783" spans="1:4" x14ac:dyDescent="0.2">
      <c r="A5783"/>
      <c r="B5783"/>
      <c r="C5783"/>
      <c r="D5783"/>
    </row>
    <row r="5784" spans="1:4" x14ac:dyDescent="0.2">
      <c r="A5784"/>
      <c r="B5784"/>
      <c r="C5784"/>
      <c r="D5784"/>
    </row>
    <row r="5785" spans="1:4" x14ac:dyDescent="0.2">
      <c r="A5785"/>
      <c r="B5785"/>
      <c r="C5785"/>
      <c r="D5785"/>
    </row>
    <row r="5786" spans="1:4" x14ac:dyDescent="0.2">
      <c r="A5786"/>
      <c r="B5786"/>
      <c r="C5786"/>
      <c r="D5786"/>
    </row>
    <row r="5787" spans="1:4" x14ac:dyDescent="0.2">
      <c r="A5787"/>
      <c r="B5787"/>
      <c r="C5787"/>
      <c r="D5787"/>
    </row>
    <row r="5788" spans="1:4" x14ac:dyDescent="0.2">
      <c r="A5788"/>
      <c r="B5788"/>
      <c r="C5788"/>
      <c r="D5788"/>
    </row>
    <row r="5789" spans="1:4" x14ac:dyDescent="0.2">
      <c r="A5789"/>
      <c r="B5789"/>
      <c r="C5789"/>
      <c r="D5789"/>
    </row>
    <row r="5790" spans="1:4" x14ac:dyDescent="0.2">
      <c r="A5790"/>
      <c r="B5790"/>
      <c r="C5790"/>
      <c r="D5790"/>
    </row>
    <row r="5791" spans="1:4" x14ac:dyDescent="0.2">
      <c r="A5791"/>
      <c r="B5791"/>
      <c r="C5791"/>
      <c r="D5791"/>
    </row>
    <row r="5792" spans="1:4" x14ac:dyDescent="0.2">
      <c r="A5792"/>
      <c r="B5792"/>
      <c r="C5792"/>
      <c r="D5792"/>
    </row>
    <row r="5793" spans="1:4" x14ac:dyDescent="0.2">
      <c r="A5793"/>
      <c r="B5793"/>
      <c r="C5793"/>
      <c r="D5793"/>
    </row>
    <row r="5794" spans="1:4" x14ac:dyDescent="0.2">
      <c r="A5794"/>
      <c r="B5794"/>
      <c r="C5794"/>
      <c r="D5794"/>
    </row>
    <row r="5795" spans="1:4" x14ac:dyDescent="0.2">
      <c r="A5795"/>
      <c r="B5795"/>
      <c r="C5795"/>
      <c r="D5795"/>
    </row>
    <row r="5796" spans="1:4" x14ac:dyDescent="0.2">
      <c r="A5796"/>
      <c r="B5796"/>
      <c r="C5796"/>
      <c r="D5796"/>
    </row>
    <row r="5797" spans="1:4" x14ac:dyDescent="0.2">
      <c r="A5797"/>
      <c r="B5797"/>
      <c r="C5797"/>
      <c r="D5797"/>
    </row>
    <row r="5798" spans="1:4" x14ac:dyDescent="0.2">
      <c r="A5798"/>
      <c r="B5798"/>
      <c r="C5798"/>
      <c r="D5798"/>
    </row>
    <row r="5799" spans="1:4" x14ac:dyDescent="0.2">
      <c r="A5799"/>
      <c r="B5799"/>
      <c r="C5799"/>
      <c r="D5799"/>
    </row>
    <row r="5800" spans="1:4" x14ac:dyDescent="0.2">
      <c r="A5800"/>
      <c r="B5800"/>
      <c r="C5800"/>
      <c r="D5800"/>
    </row>
    <row r="5801" spans="1:4" x14ac:dyDescent="0.2">
      <c r="A5801"/>
      <c r="B5801"/>
      <c r="C5801"/>
      <c r="D5801"/>
    </row>
    <row r="5802" spans="1:4" x14ac:dyDescent="0.2">
      <c r="A5802"/>
      <c r="B5802"/>
      <c r="C5802"/>
      <c r="D5802"/>
    </row>
    <row r="5803" spans="1:4" x14ac:dyDescent="0.2">
      <c r="A5803"/>
      <c r="B5803"/>
      <c r="C5803"/>
      <c r="D5803"/>
    </row>
    <row r="5804" spans="1:4" x14ac:dyDescent="0.2">
      <c r="A5804"/>
      <c r="B5804"/>
      <c r="C5804"/>
      <c r="D5804"/>
    </row>
    <row r="5805" spans="1:4" x14ac:dyDescent="0.2">
      <c r="A5805"/>
      <c r="B5805"/>
      <c r="C5805"/>
      <c r="D5805"/>
    </row>
    <row r="5806" spans="1:4" x14ac:dyDescent="0.2">
      <c r="A5806"/>
      <c r="B5806"/>
      <c r="C5806"/>
      <c r="D5806"/>
    </row>
    <row r="5807" spans="1:4" x14ac:dyDescent="0.2">
      <c r="A5807"/>
      <c r="B5807"/>
      <c r="C5807"/>
      <c r="D5807"/>
    </row>
    <row r="5808" spans="1:4" x14ac:dyDescent="0.2">
      <c r="A5808"/>
      <c r="B5808"/>
      <c r="C5808"/>
      <c r="D5808"/>
    </row>
    <row r="5809" spans="1:4" x14ac:dyDescent="0.2">
      <c r="A5809"/>
      <c r="B5809"/>
      <c r="C5809"/>
      <c r="D5809"/>
    </row>
    <row r="5810" spans="1:4" x14ac:dyDescent="0.2">
      <c r="A5810"/>
      <c r="B5810"/>
      <c r="C5810"/>
      <c r="D5810"/>
    </row>
    <row r="5811" spans="1:4" x14ac:dyDescent="0.2">
      <c r="A5811"/>
      <c r="B5811"/>
      <c r="C5811"/>
      <c r="D5811"/>
    </row>
    <row r="5812" spans="1:4" x14ac:dyDescent="0.2">
      <c r="A5812"/>
      <c r="B5812"/>
      <c r="C5812"/>
      <c r="D5812"/>
    </row>
    <row r="5813" spans="1:4" x14ac:dyDescent="0.2">
      <c r="A5813"/>
      <c r="B5813"/>
      <c r="C5813"/>
      <c r="D5813"/>
    </row>
    <row r="5814" spans="1:4" x14ac:dyDescent="0.2">
      <c r="A5814"/>
      <c r="B5814"/>
      <c r="C5814"/>
      <c r="D5814"/>
    </row>
    <row r="5815" spans="1:4" x14ac:dyDescent="0.2">
      <c r="A5815"/>
      <c r="B5815"/>
      <c r="C5815"/>
      <c r="D5815"/>
    </row>
    <row r="5816" spans="1:4" x14ac:dyDescent="0.2">
      <c r="A5816"/>
      <c r="B5816"/>
      <c r="C5816"/>
      <c r="D5816"/>
    </row>
    <row r="5817" spans="1:4" x14ac:dyDescent="0.2">
      <c r="A5817"/>
      <c r="B5817"/>
      <c r="C5817"/>
      <c r="D5817"/>
    </row>
    <row r="5818" spans="1:4" x14ac:dyDescent="0.2">
      <c r="A5818"/>
      <c r="B5818"/>
      <c r="C5818"/>
      <c r="D5818"/>
    </row>
    <row r="5819" spans="1:4" x14ac:dyDescent="0.2">
      <c r="A5819"/>
      <c r="B5819"/>
      <c r="C5819"/>
      <c r="D5819"/>
    </row>
    <row r="5820" spans="1:4" x14ac:dyDescent="0.2">
      <c r="A5820"/>
      <c r="B5820"/>
      <c r="C5820"/>
      <c r="D5820"/>
    </row>
    <row r="5821" spans="1:4" x14ac:dyDescent="0.2">
      <c r="A5821"/>
      <c r="B5821"/>
      <c r="C5821"/>
      <c r="D5821"/>
    </row>
    <row r="5822" spans="1:4" x14ac:dyDescent="0.2">
      <c r="A5822"/>
      <c r="B5822"/>
      <c r="C5822"/>
      <c r="D5822"/>
    </row>
    <row r="5823" spans="1:4" x14ac:dyDescent="0.2">
      <c r="A5823"/>
      <c r="B5823"/>
      <c r="C5823"/>
      <c r="D5823"/>
    </row>
    <row r="5824" spans="1:4" x14ac:dyDescent="0.2">
      <c r="A5824"/>
      <c r="B5824"/>
      <c r="C5824"/>
      <c r="D5824"/>
    </row>
    <row r="5825" spans="1:4" x14ac:dyDescent="0.2">
      <c r="A5825"/>
      <c r="B5825"/>
      <c r="C5825"/>
      <c r="D5825"/>
    </row>
    <row r="5826" spans="1:4" x14ac:dyDescent="0.2">
      <c r="A5826"/>
      <c r="B5826"/>
      <c r="C5826"/>
      <c r="D5826"/>
    </row>
    <row r="5827" spans="1:4" x14ac:dyDescent="0.2">
      <c r="A5827"/>
      <c r="B5827"/>
      <c r="C5827"/>
      <c r="D5827"/>
    </row>
    <row r="5828" spans="1:4" x14ac:dyDescent="0.2">
      <c r="A5828"/>
      <c r="B5828"/>
      <c r="C5828"/>
      <c r="D5828"/>
    </row>
    <row r="5829" spans="1:4" x14ac:dyDescent="0.2">
      <c r="A5829"/>
      <c r="B5829"/>
      <c r="C5829"/>
      <c r="D5829"/>
    </row>
    <row r="5830" spans="1:4" x14ac:dyDescent="0.2">
      <c r="A5830"/>
      <c r="B5830"/>
      <c r="C5830"/>
      <c r="D5830"/>
    </row>
    <row r="5831" spans="1:4" x14ac:dyDescent="0.2">
      <c r="A5831"/>
      <c r="B5831"/>
      <c r="C5831"/>
      <c r="D5831"/>
    </row>
    <row r="5832" spans="1:4" x14ac:dyDescent="0.2">
      <c r="A5832"/>
      <c r="B5832"/>
      <c r="C5832"/>
      <c r="D5832"/>
    </row>
    <row r="5833" spans="1:4" x14ac:dyDescent="0.2">
      <c r="A5833"/>
      <c r="B5833"/>
      <c r="C5833"/>
      <c r="D5833"/>
    </row>
    <row r="5834" spans="1:4" x14ac:dyDescent="0.2">
      <c r="A5834"/>
      <c r="B5834"/>
      <c r="C5834"/>
      <c r="D5834"/>
    </row>
    <row r="5835" spans="1:4" x14ac:dyDescent="0.2">
      <c r="A5835"/>
      <c r="B5835"/>
      <c r="C5835"/>
      <c r="D5835"/>
    </row>
    <row r="5836" spans="1:4" x14ac:dyDescent="0.2">
      <c r="A5836"/>
      <c r="B5836"/>
      <c r="C5836"/>
      <c r="D5836"/>
    </row>
    <row r="5837" spans="1:4" x14ac:dyDescent="0.2">
      <c r="A5837"/>
      <c r="B5837"/>
      <c r="C5837"/>
      <c r="D5837"/>
    </row>
    <row r="5838" spans="1:4" x14ac:dyDescent="0.2">
      <c r="A5838"/>
      <c r="B5838"/>
      <c r="C5838"/>
      <c r="D5838"/>
    </row>
    <row r="5839" spans="1:4" x14ac:dyDescent="0.2">
      <c r="A5839"/>
      <c r="B5839"/>
      <c r="C5839"/>
      <c r="D5839"/>
    </row>
    <row r="5840" spans="1:4" x14ac:dyDescent="0.2">
      <c r="A5840"/>
      <c r="B5840"/>
      <c r="C5840"/>
      <c r="D5840"/>
    </row>
    <row r="5841" spans="1:4" x14ac:dyDescent="0.2">
      <c r="A5841"/>
      <c r="B5841"/>
      <c r="C5841"/>
      <c r="D5841"/>
    </row>
    <row r="5842" spans="1:4" x14ac:dyDescent="0.2">
      <c r="A5842"/>
      <c r="B5842"/>
      <c r="C5842"/>
      <c r="D5842"/>
    </row>
    <row r="5843" spans="1:4" x14ac:dyDescent="0.2">
      <c r="A5843"/>
      <c r="B5843"/>
      <c r="C5843"/>
      <c r="D5843"/>
    </row>
    <row r="5844" spans="1:4" x14ac:dyDescent="0.2">
      <c r="A5844"/>
      <c r="B5844"/>
      <c r="C5844"/>
      <c r="D5844"/>
    </row>
    <row r="5845" spans="1:4" x14ac:dyDescent="0.2">
      <c r="A5845"/>
      <c r="B5845"/>
      <c r="C5845"/>
      <c r="D5845"/>
    </row>
    <row r="5846" spans="1:4" x14ac:dyDescent="0.2">
      <c r="A5846"/>
      <c r="B5846"/>
      <c r="C5846"/>
      <c r="D5846"/>
    </row>
    <row r="5847" spans="1:4" x14ac:dyDescent="0.2">
      <c r="A5847"/>
      <c r="B5847"/>
      <c r="C5847"/>
      <c r="D5847"/>
    </row>
    <row r="5848" spans="1:4" x14ac:dyDescent="0.2">
      <c r="A5848"/>
      <c r="B5848"/>
      <c r="C5848"/>
      <c r="D5848"/>
    </row>
    <row r="5849" spans="1:4" x14ac:dyDescent="0.2">
      <c r="A5849"/>
      <c r="B5849"/>
      <c r="C5849"/>
      <c r="D5849"/>
    </row>
    <row r="5850" spans="1:4" x14ac:dyDescent="0.2">
      <c r="A5850"/>
      <c r="B5850"/>
      <c r="C5850"/>
      <c r="D5850"/>
    </row>
    <row r="5851" spans="1:4" x14ac:dyDescent="0.2">
      <c r="A5851"/>
      <c r="B5851"/>
      <c r="C5851"/>
      <c r="D5851"/>
    </row>
    <row r="5852" spans="1:4" x14ac:dyDescent="0.2">
      <c r="A5852"/>
      <c r="B5852"/>
      <c r="C5852"/>
      <c r="D5852"/>
    </row>
    <row r="5853" spans="1:4" x14ac:dyDescent="0.2">
      <c r="A5853"/>
      <c r="B5853"/>
      <c r="C5853"/>
      <c r="D5853"/>
    </row>
    <row r="5854" spans="1:4" x14ac:dyDescent="0.2">
      <c r="A5854"/>
      <c r="B5854"/>
      <c r="C5854"/>
      <c r="D5854"/>
    </row>
    <row r="5855" spans="1:4" x14ac:dyDescent="0.2">
      <c r="A5855"/>
      <c r="B5855"/>
      <c r="C5855"/>
      <c r="D5855"/>
    </row>
    <row r="5856" spans="1:4" x14ac:dyDescent="0.2">
      <c r="A5856"/>
      <c r="B5856"/>
      <c r="C5856"/>
      <c r="D5856"/>
    </row>
    <row r="5857" spans="1:4" x14ac:dyDescent="0.2">
      <c r="A5857"/>
      <c r="B5857"/>
      <c r="C5857"/>
      <c r="D5857"/>
    </row>
    <row r="5858" spans="1:4" x14ac:dyDescent="0.2">
      <c r="A5858"/>
      <c r="B5858"/>
      <c r="C5858"/>
      <c r="D5858"/>
    </row>
    <row r="5859" spans="1:4" x14ac:dyDescent="0.2">
      <c r="A5859"/>
      <c r="B5859"/>
      <c r="C5859"/>
      <c r="D5859"/>
    </row>
    <row r="5860" spans="1:4" x14ac:dyDescent="0.2">
      <c r="A5860"/>
      <c r="B5860"/>
      <c r="C5860"/>
      <c r="D5860"/>
    </row>
    <row r="5861" spans="1:4" x14ac:dyDescent="0.2">
      <c r="A5861"/>
      <c r="B5861"/>
      <c r="C5861"/>
      <c r="D5861"/>
    </row>
    <row r="5862" spans="1:4" x14ac:dyDescent="0.2">
      <c r="A5862"/>
      <c r="B5862"/>
      <c r="C5862"/>
      <c r="D5862"/>
    </row>
    <row r="5863" spans="1:4" x14ac:dyDescent="0.2">
      <c r="A5863"/>
      <c r="B5863"/>
      <c r="C5863"/>
      <c r="D5863"/>
    </row>
    <row r="5864" spans="1:4" x14ac:dyDescent="0.2">
      <c r="A5864"/>
      <c r="B5864"/>
      <c r="C5864"/>
      <c r="D5864"/>
    </row>
    <row r="5865" spans="1:4" x14ac:dyDescent="0.2">
      <c r="A5865"/>
      <c r="B5865"/>
      <c r="C5865"/>
      <c r="D5865"/>
    </row>
    <row r="5866" spans="1:4" x14ac:dyDescent="0.2">
      <c r="A5866"/>
      <c r="B5866"/>
      <c r="C5866"/>
      <c r="D5866"/>
    </row>
    <row r="5867" spans="1:4" x14ac:dyDescent="0.2">
      <c r="A5867"/>
      <c r="B5867"/>
      <c r="C5867"/>
      <c r="D5867"/>
    </row>
    <row r="5868" spans="1:4" x14ac:dyDescent="0.2">
      <c r="A5868"/>
      <c r="B5868"/>
      <c r="C5868"/>
      <c r="D5868"/>
    </row>
    <row r="5869" spans="1:4" x14ac:dyDescent="0.2">
      <c r="A5869"/>
      <c r="B5869"/>
      <c r="C5869"/>
      <c r="D5869"/>
    </row>
    <row r="5870" spans="1:4" x14ac:dyDescent="0.2">
      <c r="A5870"/>
      <c r="B5870"/>
      <c r="C5870"/>
      <c r="D5870"/>
    </row>
    <row r="5871" spans="1:4" x14ac:dyDescent="0.2">
      <c r="A5871"/>
      <c r="B5871"/>
      <c r="C5871"/>
      <c r="D5871"/>
    </row>
    <row r="5872" spans="1:4" x14ac:dyDescent="0.2">
      <c r="A5872"/>
      <c r="B5872"/>
      <c r="C5872"/>
      <c r="D5872"/>
    </row>
    <row r="5873" spans="1:4" x14ac:dyDescent="0.2">
      <c r="A5873"/>
      <c r="B5873"/>
      <c r="C5873"/>
      <c r="D5873"/>
    </row>
    <row r="5874" spans="1:4" x14ac:dyDescent="0.2">
      <c r="A5874"/>
      <c r="B5874"/>
      <c r="C5874"/>
      <c r="D5874"/>
    </row>
    <row r="5875" spans="1:4" x14ac:dyDescent="0.2">
      <c r="A5875"/>
      <c r="B5875"/>
      <c r="C5875"/>
      <c r="D5875"/>
    </row>
    <row r="5876" spans="1:4" x14ac:dyDescent="0.2">
      <c r="A5876"/>
      <c r="B5876"/>
      <c r="C5876"/>
      <c r="D5876"/>
    </row>
    <row r="5877" spans="1:4" x14ac:dyDescent="0.2">
      <c r="A5877"/>
      <c r="B5877"/>
      <c r="C5877"/>
      <c r="D5877"/>
    </row>
    <row r="5878" spans="1:4" x14ac:dyDescent="0.2">
      <c r="A5878"/>
      <c r="B5878"/>
      <c r="C5878"/>
      <c r="D5878"/>
    </row>
    <row r="5879" spans="1:4" x14ac:dyDescent="0.2">
      <c r="A5879"/>
      <c r="B5879"/>
      <c r="C5879"/>
      <c r="D5879"/>
    </row>
    <row r="5880" spans="1:4" x14ac:dyDescent="0.2">
      <c r="A5880"/>
      <c r="B5880"/>
      <c r="C5880"/>
      <c r="D5880"/>
    </row>
    <row r="5881" spans="1:4" x14ac:dyDescent="0.2">
      <c r="A5881"/>
      <c r="B5881"/>
      <c r="C5881"/>
      <c r="D5881"/>
    </row>
    <row r="5882" spans="1:4" x14ac:dyDescent="0.2">
      <c r="A5882"/>
      <c r="B5882"/>
      <c r="C5882"/>
      <c r="D5882"/>
    </row>
    <row r="5883" spans="1:4" x14ac:dyDescent="0.2">
      <c r="A5883"/>
      <c r="B5883"/>
      <c r="C5883"/>
      <c r="D5883"/>
    </row>
    <row r="5884" spans="1:4" x14ac:dyDescent="0.2">
      <c r="A5884"/>
      <c r="B5884"/>
      <c r="C5884"/>
      <c r="D5884"/>
    </row>
    <row r="5885" spans="1:4" x14ac:dyDescent="0.2">
      <c r="A5885"/>
      <c r="B5885"/>
      <c r="C5885"/>
      <c r="D5885"/>
    </row>
    <row r="5886" spans="1:4" x14ac:dyDescent="0.2">
      <c r="A5886"/>
      <c r="B5886"/>
      <c r="C5886"/>
      <c r="D5886"/>
    </row>
    <row r="5887" spans="1:4" x14ac:dyDescent="0.2">
      <c r="A5887"/>
      <c r="B5887"/>
      <c r="C5887"/>
      <c r="D5887"/>
    </row>
    <row r="5888" spans="1:4" x14ac:dyDescent="0.2">
      <c r="A5888"/>
      <c r="B5888"/>
      <c r="C5888"/>
      <c r="D5888"/>
    </row>
    <row r="5889" spans="1:4" x14ac:dyDescent="0.2">
      <c r="A5889"/>
      <c r="B5889"/>
      <c r="C5889"/>
      <c r="D5889"/>
    </row>
    <row r="5890" spans="1:4" x14ac:dyDescent="0.2">
      <c r="A5890"/>
      <c r="B5890"/>
      <c r="C5890"/>
      <c r="D5890"/>
    </row>
    <row r="5891" spans="1:4" x14ac:dyDescent="0.2">
      <c r="A5891"/>
      <c r="B5891"/>
      <c r="C5891"/>
      <c r="D5891"/>
    </row>
    <row r="5892" spans="1:4" x14ac:dyDescent="0.2">
      <c r="A5892"/>
      <c r="B5892"/>
      <c r="C5892"/>
      <c r="D5892"/>
    </row>
    <row r="5893" spans="1:4" x14ac:dyDescent="0.2">
      <c r="A5893"/>
      <c r="B5893"/>
      <c r="C5893"/>
      <c r="D5893"/>
    </row>
    <row r="5894" spans="1:4" x14ac:dyDescent="0.2">
      <c r="A5894"/>
      <c r="B5894"/>
      <c r="C5894"/>
      <c r="D5894"/>
    </row>
    <row r="5895" spans="1:4" x14ac:dyDescent="0.2">
      <c r="A5895"/>
      <c r="B5895"/>
      <c r="C5895"/>
      <c r="D5895"/>
    </row>
    <row r="5896" spans="1:4" x14ac:dyDescent="0.2">
      <c r="A5896"/>
      <c r="B5896"/>
      <c r="C5896"/>
      <c r="D5896"/>
    </row>
    <row r="5897" spans="1:4" x14ac:dyDescent="0.2">
      <c r="A5897"/>
      <c r="B5897"/>
      <c r="C5897"/>
      <c r="D5897"/>
    </row>
    <row r="5898" spans="1:4" x14ac:dyDescent="0.2">
      <c r="A5898"/>
      <c r="B5898"/>
      <c r="C5898"/>
      <c r="D5898"/>
    </row>
    <row r="5899" spans="1:4" x14ac:dyDescent="0.2">
      <c r="A5899"/>
      <c r="B5899"/>
      <c r="C5899"/>
      <c r="D5899"/>
    </row>
    <row r="5900" spans="1:4" x14ac:dyDescent="0.2">
      <c r="A5900"/>
      <c r="B5900"/>
      <c r="C5900"/>
      <c r="D5900"/>
    </row>
    <row r="5901" spans="1:4" x14ac:dyDescent="0.2">
      <c r="A5901"/>
      <c r="B5901"/>
      <c r="C5901"/>
      <c r="D5901"/>
    </row>
    <row r="5902" spans="1:4" x14ac:dyDescent="0.2">
      <c r="A5902"/>
      <c r="B5902"/>
      <c r="C5902"/>
      <c r="D5902"/>
    </row>
    <row r="5903" spans="1:4" x14ac:dyDescent="0.2">
      <c r="A5903"/>
      <c r="B5903"/>
      <c r="C5903"/>
      <c r="D5903"/>
    </row>
    <row r="5904" spans="1:4" x14ac:dyDescent="0.2">
      <c r="A5904"/>
      <c r="B5904"/>
      <c r="C5904"/>
      <c r="D5904"/>
    </row>
    <row r="5905" spans="1:4" x14ac:dyDescent="0.2">
      <c r="A5905"/>
      <c r="B5905"/>
      <c r="C5905"/>
      <c r="D5905"/>
    </row>
    <row r="5906" spans="1:4" x14ac:dyDescent="0.2">
      <c r="A5906"/>
      <c r="B5906"/>
      <c r="C5906"/>
      <c r="D5906"/>
    </row>
    <row r="5907" spans="1:4" x14ac:dyDescent="0.2">
      <c r="A5907"/>
      <c r="B5907"/>
      <c r="C5907"/>
      <c r="D5907"/>
    </row>
    <row r="5908" spans="1:4" x14ac:dyDescent="0.2">
      <c r="A5908"/>
      <c r="B5908"/>
      <c r="C5908"/>
      <c r="D5908"/>
    </row>
    <row r="5909" spans="1:4" x14ac:dyDescent="0.2">
      <c r="A5909"/>
      <c r="B5909"/>
      <c r="C5909"/>
      <c r="D5909"/>
    </row>
    <row r="5910" spans="1:4" x14ac:dyDescent="0.2">
      <c r="A5910"/>
      <c r="B5910"/>
      <c r="C5910"/>
      <c r="D5910"/>
    </row>
    <row r="5911" spans="1:4" x14ac:dyDescent="0.2">
      <c r="A5911"/>
      <c r="B5911"/>
      <c r="C5911"/>
      <c r="D5911"/>
    </row>
    <row r="5912" spans="1:4" x14ac:dyDescent="0.2">
      <c r="A5912"/>
      <c r="B5912"/>
      <c r="C5912"/>
      <c r="D5912"/>
    </row>
    <row r="5913" spans="1:4" x14ac:dyDescent="0.2">
      <c r="A5913"/>
      <c r="B5913"/>
      <c r="C5913"/>
      <c r="D5913"/>
    </row>
    <row r="5914" spans="1:4" x14ac:dyDescent="0.2">
      <c r="A5914"/>
      <c r="B5914"/>
      <c r="C5914"/>
      <c r="D5914"/>
    </row>
    <row r="5915" spans="1:4" x14ac:dyDescent="0.2">
      <c r="A5915"/>
      <c r="B5915"/>
      <c r="C5915"/>
      <c r="D5915"/>
    </row>
    <row r="5916" spans="1:4" x14ac:dyDescent="0.2">
      <c r="A5916"/>
      <c r="B5916"/>
      <c r="C5916"/>
      <c r="D5916"/>
    </row>
    <row r="5917" spans="1:4" x14ac:dyDescent="0.2">
      <c r="A5917"/>
      <c r="B5917"/>
      <c r="C5917"/>
      <c r="D5917"/>
    </row>
    <row r="5918" spans="1:4" x14ac:dyDescent="0.2">
      <c r="A5918"/>
      <c r="B5918"/>
      <c r="C5918"/>
      <c r="D5918"/>
    </row>
    <row r="5919" spans="1:4" x14ac:dyDescent="0.2">
      <c r="A5919"/>
      <c r="B5919"/>
      <c r="C5919"/>
      <c r="D5919"/>
    </row>
    <row r="5920" spans="1:4" x14ac:dyDescent="0.2">
      <c r="A5920"/>
      <c r="B5920"/>
      <c r="C5920"/>
      <c r="D5920"/>
    </row>
    <row r="5921" spans="1:4" x14ac:dyDescent="0.2">
      <c r="A5921"/>
      <c r="B5921"/>
      <c r="C5921"/>
      <c r="D5921"/>
    </row>
    <row r="5922" spans="1:4" x14ac:dyDescent="0.2">
      <c r="A5922"/>
      <c r="B5922"/>
      <c r="C5922"/>
      <c r="D5922"/>
    </row>
    <row r="5923" spans="1:4" x14ac:dyDescent="0.2">
      <c r="A5923"/>
      <c r="B5923"/>
      <c r="C5923"/>
      <c r="D5923"/>
    </row>
    <row r="5924" spans="1:4" x14ac:dyDescent="0.2">
      <c r="A5924"/>
      <c r="B5924"/>
      <c r="C5924"/>
      <c r="D5924"/>
    </row>
    <row r="5925" spans="1:4" x14ac:dyDescent="0.2">
      <c r="A5925"/>
      <c r="B5925"/>
      <c r="C5925"/>
      <c r="D5925"/>
    </row>
    <row r="5926" spans="1:4" x14ac:dyDescent="0.2">
      <c r="A5926"/>
      <c r="B5926"/>
      <c r="C5926"/>
      <c r="D5926"/>
    </row>
    <row r="5927" spans="1:4" x14ac:dyDescent="0.2">
      <c r="A5927"/>
      <c r="B5927"/>
      <c r="C5927"/>
      <c r="D5927"/>
    </row>
    <row r="5928" spans="1:4" x14ac:dyDescent="0.2">
      <c r="A5928"/>
      <c r="B5928"/>
      <c r="C5928"/>
      <c r="D5928"/>
    </row>
    <row r="5929" spans="1:4" x14ac:dyDescent="0.2">
      <c r="A5929"/>
      <c r="B5929"/>
      <c r="C5929"/>
      <c r="D5929"/>
    </row>
    <row r="5930" spans="1:4" x14ac:dyDescent="0.2">
      <c r="A5930"/>
      <c r="B5930"/>
      <c r="C5930"/>
      <c r="D5930"/>
    </row>
    <row r="5931" spans="1:4" x14ac:dyDescent="0.2">
      <c r="A5931"/>
      <c r="B5931"/>
      <c r="C5931"/>
      <c r="D5931"/>
    </row>
    <row r="5932" spans="1:4" x14ac:dyDescent="0.2">
      <c r="A5932"/>
      <c r="B5932"/>
      <c r="C5932"/>
      <c r="D5932"/>
    </row>
    <row r="5933" spans="1:4" x14ac:dyDescent="0.2">
      <c r="A5933"/>
      <c r="B5933"/>
      <c r="C5933"/>
      <c r="D5933"/>
    </row>
    <row r="5934" spans="1:4" x14ac:dyDescent="0.2">
      <c r="A5934"/>
      <c r="B5934"/>
      <c r="C5934"/>
      <c r="D5934"/>
    </row>
    <row r="5935" spans="1:4" x14ac:dyDescent="0.2">
      <c r="A5935"/>
      <c r="B5935"/>
      <c r="C5935"/>
      <c r="D5935"/>
    </row>
    <row r="5936" spans="1:4" x14ac:dyDescent="0.2">
      <c r="A5936"/>
      <c r="B5936"/>
      <c r="C5936"/>
      <c r="D5936"/>
    </row>
    <row r="5937" spans="1:4" x14ac:dyDescent="0.2">
      <c r="A5937"/>
      <c r="B5937"/>
      <c r="C5937"/>
      <c r="D5937"/>
    </row>
    <row r="5938" spans="1:4" x14ac:dyDescent="0.2">
      <c r="A5938"/>
      <c r="B5938"/>
      <c r="C5938"/>
      <c r="D5938"/>
    </row>
    <row r="5939" spans="1:4" x14ac:dyDescent="0.2">
      <c r="A5939"/>
      <c r="B5939"/>
      <c r="C5939"/>
      <c r="D5939"/>
    </row>
    <row r="5940" spans="1:4" x14ac:dyDescent="0.2">
      <c r="A5940"/>
      <c r="B5940"/>
      <c r="C5940"/>
      <c r="D5940"/>
    </row>
    <row r="5941" spans="1:4" x14ac:dyDescent="0.2">
      <c r="A5941"/>
      <c r="B5941"/>
      <c r="C5941"/>
      <c r="D5941"/>
    </row>
    <row r="5942" spans="1:4" x14ac:dyDescent="0.2">
      <c r="A5942"/>
      <c r="B5942"/>
      <c r="C5942"/>
      <c r="D5942"/>
    </row>
    <row r="5943" spans="1:4" x14ac:dyDescent="0.2">
      <c r="A5943"/>
      <c r="B5943"/>
      <c r="C5943"/>
      <c r="D5943"/>
    </row>
    <row r="5944" spans="1:4" x14ac:dyDescent="0.2">
      <c r="A5944"/>
      <c r="B5944"/>
      <c r="C5944"/>
      <c r="D5944"/>
    </row>
    <row r="5945" spans="1:4" x14ac:dyDescent="0.2">
      <c r="A5945"/>
      <c r="B5945"/>
      <c r="C5945"/>
      <c r="D5945"/>
    </row>
    <row r="5946" spans="1:4" x14ac:dyDescent="0.2">
      <c r="A5946"/>
      <c r="B5946"/>
      <c r="C5946"/>
      <c r="D5946"/>
    </row>
    <row r="5947" spans="1:4" x14ac:dyDescent="0.2">
      <c r="A5947"/>
      <c r="B5947"/>
      <c r="C5947"/>
      <c r="D5947"/>
    </row>
    <row r="5948" spans="1:4" x14ac:dyDescent="0.2">
      <c r="A5948"/>
      <c r="B5948"/>
      <c r="C5948"/>
      <c r="D5948"/>
    </row>
    <row r="5949" spans="1:4" x14ac:dyDescent="0.2">
      <c r="A5949"/>
      <c r="B5949"/>
      <c r="C5949"/>
      <c r="D5949"/>
    </row>
    <row r="5950" spans="1:4" x14ac:dyDescent="0.2">
      <c r="A5950"/>
      <c r="B5950"/>
      <c r="C5950"/>
      <c r="D5950"/>
    </row>
    <row r="5951" spans="1:4" x14ac:dyDescent="0.2">
      <c r="A5951"/>
      <c r="B5951"/>
      <c r="C5951"/>
      <c r="D5951"/>
    </row>
    <row r="5952" spans="1:4" x14ac:dyDescent="0.2">
      <c r="A5952"/>
      <c r="B5952"/>
      <c r="C5952"/>
      <c r="D5952"/>
    </row>
    <row r="5953" spans="1:4" x14ac:dyDescent="0.2">
      <c r="A5953"/>
      <c r="B5953"/>
      <c r="C5953"/>
      <c r="D5953"/>
    </row>
    <row r="5954" spans="1:4" x14ac:dyDescent="0.2">
      <c r="A5954"/>
      <c r="B5954"/>
      <c r="C5954"/>
      <c r="D5954"/>
    </row>
    <row r="5955" spans="1:4" x14ac:dyDescent="0.2">
      <c r="A5955"/>
      <c r="B5955"/>
      <c r="C5955"/>
      <c r="D5955"/>
    </row>
    <row r="5956" spans="1:4" x14ac:dyDescent="0.2">
      <c r="A5956"/>
      <c r="B5956"/>
      <c r="C5956"/>
      <c r="D5956"/>
    </row>
    <row r="5957" spans="1:4" x14ac:dyDescent="0.2">
      <c r="A5957"/>
      <c r="B5957"/>
      <c r="C5957"/>
      <c r="D5957"/>
    </row>
    <row r="5958" spans="1:4" x14ac:dyDescent="0.2">
      <c r="A5958"/>
      <c r="B5958"/>
      <c r="C5958"/>
      <c r="D5958"/>
    </row>
    <row r="5959" spans="1:4" x14ac:dyDescent="0.2">
      <c r="A5959"/>
      <c r="B5959"/>
      <c r="C5959"/>
      <c r="D5959"/>
    </row>
    <row r="5960" spans="1:4" x14ac:dyDescent="0.2">
      <c r="A5960"/>
      <c r="B5960"/>
      <c r="C5960"/>
      <c r="D5960"/>
    </row>
    <row r="5961" spans="1:4" x14ac:dyDescent="0.2">
      <c r="A5961"/>
      <c r="B5961"/>
      <c r="C5961"/>
      <c r="D5961"/>
    </row>
    <row r="5962" spans="1:4" x14ac:dyDescent="0.2">
      <c r="A5962"/>
      <c r="B5962"/>
      <c r="C5962"/>
      <c r="D5962"/>
    </row>
    <row r="5963" spans="1:4" x14ac:dyDescent="0.2">
      <c r="A5963"/>
      <c r="B5963"/>
      <c r="C5963"/>
      <c r="D5963"/>
    </row>
    <row r="5964" spans="1:4" x14ac:dyDescent="0.2">
      <c r="A5964"/>
      <c r="B5964"/>
      <c r="C5964"/>
      <c r="D5964"/>
    </row>
    <row r="5965" spans="1:4" x14ac:dyDescent="0.2">
      <c r="A5965"/>
      <c r="B5965"/>
      <c r="C5965"/>
      <c r="D5965"/>
    </row>
    <row r="5966" spans="1:4" x14ac:dyDescent="0.2">
      <c r="A5966"/>
      <c r="B5966"/>
      <c r="C5966"/>
      <c r="D5966"/>
    </row>
    <row r="5967" spans="1:4" x14ac:dyDescent="0.2">
      <c r="A5967"/>
      <c r="B5967"/>
      <c r="C5967"/>
      <c r="D5967"/>
    </row>
    <row r="5968" spans="1:4" x14ac:dyDescent="0.2">
      <c r="A5968"/>
      <c r="B5968"/>
      <c r="C5968"/>
      <c r="D5968"/>
    </row>
    <row r="5969" spans="1:4" x14ac:dyDescent="0.2">
      <c r="A5969"/>
      <c r="B5969"/>
      <c r="C5969"/>
      <c r="D5969"/>
    </row>
    <row r="5970" spans="1:4" x14ac:dyDescent="0.2">
      <c r="A5970"/>
      <c r="B5970"/>
      <c r="C5970"/>
      <c r="D5970"/>
    </row>
    <row r="5971" spans="1:4" x14ac:dyDescent="0.2">
      <c r="A5971"/>
      <c r="B5971"/>
      <c r="C5971"/>
      <c r="D5971"/>
    </row>
    <row r="5972" spans="1:4" x14ac:dyDescent="0.2">
      <c r="A5972"/>
      <c r="B5972"/>
      <c r="C5972"/>
      <c r="D5972"/>
    </row>
    <row r="5973" spans="1:4" x14ac:dyDescent="0.2">
      <c r="A5973"/>
      <c r="B5973"/>
      <c r="C5973"/>
      <c r="D5973"/>
    </row>
    <row r="5974" spans="1:4" x14ac:dyDescent="0.2">
      <c r="A5974"/>
      <c r="B5974"/>
      <c r="C5974"/>
      <c r="D5974"/>
    </row>
    <row r="5975" spans="1:4" x14ac:dyDescent="0.2">
      <c r="A5975"/>
      <c r="B5975"/>
      <c r="C5975"/>
      <c r="D5975"/>
    </row>
    <row r="5976" spans="1:4" x14ac:dyDescent="0.2">
      <c r="A5976"/>
      <c r="B5976"/>
      <c r="C5976"/>
      <c r="D5976"/>
    </row>
    <row r="5977" spans="1:4" x14ac:dyDescent="0.2">
      <c r="A5977"/>
      <c r="B5977"/>
      <c r="C5977"/>
      <c r="D5977"/>
    </row>
    <row r="5978" spans="1:4" x14ac:dyDescent="0.2">
      <c r="A5978"/>
      <c r="B5978"/>
      <c r="C5978"/>
      <c r="D5978"/>
    </row>
    <row r="5979" spans="1:4" x14ac:dyDescent="0.2">
      <c r="A5979"/>
      <c r="B5979"/>
      <c r="C5979"/>
      <c r="D5979"/>
    </row>
    <row r="5980" spans="1:4" x14ac:dyDescent="0.2">
      <c r="A5980"/>
      <c r="B5980"/>
      <c r="C5980"/>
      <c r="D5980"/>
    </row>
    <row r="5981" spans="1:4" x14ac:dyDescent="0.2">
      <c r="A5981"/>
      <c r="B5981"/>
      <c r="C5981"/>
      <c r="D5981"/>
    </row>
    <row r="5982" spans="1:4" x14ac:dyDescent="0.2">
      <c r="A5982"/>
      <c r="B5982"/>
      <c r="C5982"/>
      <c r="D5982"/>
    </row>
    <row r="5983" spans="1:4" x14ac:dyDescent="0.2">
      <c r="A5983"/>
      <c r="B5983"/>
      <c r="C5983"/>
      <c r="D5983"/>
    </row>
    <row r="5984" spans="1:4" x14ac:dyDescent="0.2">
      <c r="A5984"/>
      <c r="B5984"/>
      <c r="C5984"/>
      <c r="D5984"/>
    </row>
    <row r="5985" spans="1:4" x14ac:dyDescent="0.2">
      <c r="A5985"/>
      <c r="B5985"/>
      <c r="C5985"/>
      <c r="D5985"/>
    </row>
    <row r="5986" spans="1:4" x14ac:dyDescent="0.2">
      <c r="A5986"/>
      <c r="B5986"/>
      <c r="C5986"/>
      <c r="D5986"/>
    </row>
    <row r="5987" spans="1:4" x14ac:dyDescent="0.2">
      <c r="A5987"/>
      <c r="B5987"/>
      <c r="C5987"/>
      <c r="D5987"/>
    </row>
    <row r="5988" spans="1:4" x14ac:dyDescent="0.2">
      <c r="A5988"/>
      <c r="B5988"/>
      <c r="C5988"/>
      <c r="D5988"/>
    </row>
    <row r="5989" spans="1:4" x14ac:dyDescent="0.2">
      <c r="A5989"/>
      <c r="B5989"/>
      <c r="C5989"/>
      <c r="D5989"/>
    </row>
    <row r="5990" spans="1:4" x14ac:dyDescent="0.2">
      <c r="A5990"/>
      <c r="B5990"/>
      <c r="C5990"/>
      <c r="D5990"/>
    </row>
    <row r="5991" spans="1:4" x14ac:dyDescent="0.2">
      <c r="A5991"/>
      <c r="B5991"/>
      <c r="C5991"/>
      <c r="D5991"/>
    </row>
    <row r="5992" spans="1:4" x14ac:dyDescent="0.2">
      <c r="A5992"/>
      <c r="B5992"/>
      <c r="C5992"/>
      <c r="D5992"/>
    </row>
    <row r="5993" spans="1:4" x14ac:dyDescent="0.2">
      <c r="A5993"/>
      <c r="B5993"/>
      <c r="C5993"/>
      <c r="D5993"/>
    </row>
    <row r="5994" spans="1:4" x14ac:dyDescent="0.2">
      <c r="A5994"/>
      <c r="B5994"/>
      <c r="C5994"/>
      <c r="D5994"/>
    </row>
    <row r="5995" spans="1:4" x14ac:dyDescent="0.2">
      <c r="A5995"/>
      <c r="B5995"/>
      <c r="C5995"/>
      <c r="D5995"/>
    </row>
    <row r="5996" spans="1:4" x14ac:dyDescent="0.2">
      <c r="A5996"/>
      <c r="B5996"/>
      <c r="C5996"/>
      <c r="D5996"/>
    </row>
    <row r="5997" spans="1:4" x14ac:dyDescent="0.2">
      <c r="A5997"/>
      <c r="B5997"/>
      <c r="C5997"/>
      <c r="D5997"/>
    </row>
    <row r="5998" spans="1:4" x14ac:dyDescent="0.2">
      <c r="A5998"/>
      <c r="B5998"/>
      <c r="C5998"/>
      <c r="D5998"/>
    </row>
    <row r="5999" spans="1:4" x14ac:dyDescent="0.2">
      <c r="A5999"/>
      <c r="B5999"/>
      <c r="C5999"/>
      <c r="D5999"/>
    </row>
    <row r="6000" spans="1:4" x14ac:dyDescent="0.2">
      <c r="A6000"/>
      <c r="B6000"/>
      <c r="C6000"/>
      <c r="D6000"/>
    </row>
    <row r="6001" spans="1:4" x14ac:dyDescent="0.2">
      <c r="A6001"/>
      <c r="B6001"/>
      <c r="C6001"/>
      <c r="D6001"/>
    </row>
    <row r="6002" spans="1:4" x14ac:dyDescent="0.2">
      <c r="A6002"/>
      <c r="B6002"/>
      <c r="C6002"/>
      <c r="D6002"/>
    </row>
    <row r="6003" spans="1:4" x14ac:dyDescent="0.2">
      <c r="A6003"/>
      <c r="B6003"/>
      <c r="C6003"/>
      <c r="D6003"/>
    </row>
    <row r="6004" spans="1:4" x14ac:dyDescent="0.2">
      <c r="A6004"/>
      <c r="B6004"/>
      <c r="C6004"/>
      <c r="D6004"/>
    </row>
    <row r="6005" spans="1:4" x14ac:dyDescent="0.2">
      <c r="A6005"/>
      <c r="B6005"/>
      <c r="C6005"/>
      <c r="D6005"/>
    </row>
    <row r="6006" spans="1:4" x14ac:dyDescent="0.2">
      <c r="A6006"/>
      <c r="B6006"/>
      <c r="C6006"/>
      <c r="D6006"/>
    </row>
    <row r="6007" spans="1:4" x14ac:dyDescent="0.2">
      <c r="A6007"/>
      <c r="B6007"/>
      <c r="C6007"/>
      <c r="D6007"/>
    </row>
    <row r="6008" spans="1:4" x14ac:dyDescent="0.2">
      <c r="A6008"/>
      <c r="B6008"/>
      <c r="C6008"/>
      <c r="D6008"/>
    </row>
    <row r="6009" spans="1:4" x14ac:dyDescent="0.2">
      <c r="A6009"/>
      <c r="B6009"/>
      <c r="C6009"/>
      <c r="D6009"/>
    </row>
    <row r="6010" spans="1:4" x14ac:dyDescent="0.2">
      <c r="A6010"/>
      <c r="B6010"/>
      <c r="C6010"/>
      <c r="D6010"/>
    </row>
    <row r="6011" spans="1:4" x14ac:dyDescent="0.2">
      <c r="A6011"/>
      <c r="B6011"/>
      <c r="C6011"/>
      <c r="D6011"/>
    </row>
    <row r="6012" spans="1:4" x14ac:dyDescent="0.2">
      <c r="A6012"/>
      <c r="B6012"/>
      <c r="C6012"/>
      <c r="D6012"/>
    </row>
    <row r="6013" spans="1:4" x14ac:dyDescent="0.2">
      <c r="A6013"/>
      <c r="B6013"/>
      <c r="C6013"/>
      <c r="D6013"/>
    </row>
    <row r="6014" spans="1:4" x14ac:dyDescent="0.2">
      <c r="A6014"/>
      <c r="B6014"/>
      <c r="C6014"/>
      <c r="D6014"/>
    </row>
    <row r="6015" spans="1:4" x14ac:dyDescent="0.2">
      <c r="A6015"/>
      <c r="B6015"/>
      <c r="C6015"/>
      <c r="D6015"/>
    </row>
    <row r="6016" spans="1:4" x14ac:dyDescent="0.2">
      <c r="A6016"/>
      <c r="B6016"/>
      <c r="C6016"/>
      <c r="D6016"/>
    </row>
    <row r="6017" spans="1:4" x14ac:dyDescent="0.2">
      <c r="A6017"/>
      <c r="B6017"/>
      <c r="C6017"/>
      <c r="D6017"/>
    </row>
    <row r="6018" spans="1:4" x14ac:dyDescent="0.2">
      <c r="A6018"/>
      <c r="B6018"/>
      <c r="C6018"/>
      <c r="D6018"/>
    </row>
    <row r="6019" spans="1:4" x14ac:dyDescent="0.2">
      <c r="A6019"/>
      <c r="B6019"/>
      <c r="C6019"/>
      <c r="D6019"/>
    </row>
    <row r="6020" spans="1:4" x14ac:dyDescent="0.2">
      <c r="A6020"/>
      <c r="B6020"/>
      <c r="C6020"/>
      <c r="D6020"/>
    </row>
    <row r="6021" spans="1:4" x14ac:dyDescent="0.2">
      <c r="A6021"/>
      <c r="B6021"/>
      <c r="C6021"/>
      <c r="D6021"/>
    </row>
    <row r="6022" spans="1:4" x14ac:dyDescent="0.2">
      <c r="A6022"/>
      <c r="B6022"/>
      <c r="C6022"/>
      <c r="D6022"/>
    </row>
    <row r="6023" spans="1:4" x14ac:dyDescent="0.2">
      <c r="A6023"/>
      <c r="B6023"/>
      <c r="C6023"/>
      <c r="D6023"/>
    </row>
    <row r="6024" spans="1:4" x14ac:dyDescent="0.2">
      <c r="A6024"/>
      <c r="B6024"/>
      <c r="C6024"/>
      <c r="D6024"/>
    </row>
    <row r="6025" spans="1:4" x14ac:dyDescent="0.2">
      <c r="A6025"/>
      <c r="B6025"/>
      <c r="C6025"/>
      <c r="D6025"/>
    </row>
    <row r="6026" spans="1:4" x14ac:dyDescent="0.2">
      <c r="A6026"/>
      <c r="B6026"/>
      <c r="C6026"/>
      <c r="D6026"/>
    </row>
    <row r="6027" spans="1:4" x14ac:dyDescent="0.2">
      <c r="A6027"/>
      <c r="B6027"/>
      <c r="C6027"/>
      <c r="D6027"/>
    </row>
    <row r="6028" spans="1:4" x14ac:dyDescent="0.2">
      <c r="A6028"/>
      <c r="B6028"/>
      <c r="C6028"/>
      <c r="D6028"/>
    </row>
    <row r="6029" spans="1:4" x14ac:dyDescent="0.2">
      <c r="A6029"/>
      <c r="B6029"/>
      <c r="C6029"/>
      <c r="D6029"/>
    </row>
    <row r="6030" spans="1:4" x14ac:dyDescent="0.2">
      <c r="A6030"/>
      <c r="B6030"/>
      <c r="C6030"/>
      <c r="D6030"/>
    </row>
    <row r="6031" spans="1:4" x14ac:dyDescent="0.2">
      <c r="A6031"/>
      <c r="B6031"/>
      <c r="C6031"/>
      <c r="D6031"/>
    </row>
    <row r="6032" spans="1:4" x14ac:dyDescent="0.2">
      <c r="A6032"/>
      <c r="B6032"/>
      <c r="C6032"/>
      <c r="D6032"/>
    </row>
    <row r="6033" spans="1:4" x14ac:dyDescent="0.2">
      <c r="A6033"/>
      <c r="B6033"/>
      <c r="C6033"/>
      <c r="D6033"/>
    </row>
    <row r="6034" spans="1:4" x14ac:dyDescent="0.2">
      <c r="A6034"/>
      <c r="B6034"/>
      <c r="C6034"/>
      <c r="D6034"/>
    </row>
    <row r="6035" spans="1:4" x14ac:dyDescent="0.2">
      <c r="A6035"/>
      <c r="B6035"/>
      <c r="C6035"/>
      <c r="D6035"/>
    </row>
    <row r="6036" spans="1:4" x14ac:dyDescent="0.2">
      <c r="A6036"/>
      <c r="B6036"/>
      <c r="C6036"/>
      <c r="D6036"/>
    </row>
    <row r="6037" spans="1:4" x14ac:dyDescent="0.2">
      <c r="A6037"/>
      <c r="B6037"/>
      <c r="C6037"/>
      <c r="D6037"/>
    </row>
    <row r="6038" spans="1:4" x14ac:dyDescent="0.2">
      <c r="A6038"/>
      <c r="B6038"/>
      <c r="C6038"/>
      <c r="D6038"/>
    </row>
    <row r="6039" spans="1:4" x14ac:dyDescent="0.2">
      <c r="A6039"/>
      <c r="B6039"/>
      <c r="C6039"/>
      <c r="D6039"/>
    </row>
    <row r="6040" spans="1:4" x14ac:dyDescent="0.2">
      <c r="A6040"/>
      <c r="B6040"/>
      <c r="C6040"/>
      <c r="D6040"/>
    </row>
    <row r="6041" spans="1:4" x14ac:dyDescent="0.2">
      <c r="A6041"/>
      <c r="B6041"/>
      <c r="C6041"/>
      <c r="D6041"/>
    </row>
    <row r="6042" spans="1:4" x14ac:dyDescent="0.2">
      <c r="A6042"/>
      <c r="B6042"/>
      <c r="C6042"/>
      <c r="D6042"/>
    </row>
    <row r="6043" spans="1:4" x14ac:dyDescent="0.2">
      <c r="A6043"/>
      <c r="B6043"/>
      <c r="C6043"/>
      <c r="D6043"/>
    </row>
    <row r="6044" spans="1:4" x14ac:dyDescent="0.2">
      <c r="A6044"/>
      <c r="B6044"/>
      <c r="C6044"/>
      <c r="D6044"/>
    </row>
    <row r="6045" spans="1:4" x14ac:dyDescent="0.2">
      <c r="A6045"/>
      <c r="B6045"/>
      <c r="C6045"/>
      <c r="D6045"/>
    </row>
    <row r="6046" spans="1:4" x14ac:dyDescent="0.2">
      <c r="A6046"/>
      <c r="B6046"/>
      <c r="C6046"/>
      <c r="D6046"/>
    </row>
    <row r="6047" spans="1:4" x14ac:dyDescent="0.2">
      <c r="A6047"/>
      <c r="B6047"/>
      <c r="C6047"/>
      <c r="D6047"/>
    </row>
    <row r="6048" spans="1:4" x14ac:dyDescent="0.2">
      <c r="A6048"/>
      <c r="B6048"/>
      <c r="C6048"/>
      <c r="D6048"/>
    </row>
    <row r="6049" spans="1:4" x14ac:dyDescent="0.2">
      <c r="A6049"/>
      <c r="B6049"/>
      <c r="C6049"/>
      <c r="D6049"/>
    </row>
    <row r="6050" spans="1:4" x14ac:dyDescent="0.2">
      <c r="A6050"/>
      <c r="B6050"/>
      <c r="C6050"/>
      <c r="D6050"/>
    </row>
    <row r="6051" spans="1:4" x14ac:dyDescent="0.2">
      <c r="A6051"/>
      <c r="B6051"/>
      <c r="C6051"/>
      <c r="D6051"/>
    </row>
    <row r="6052" spans="1:4" x14ac:dyDescent="0.2">
      <c r="A6052"/>
      <c r="B6052"/>
      <c r="C6052"/>
      <c r="D6052"/>
    </row>
    <row r="6053" spans="1:4" x14ac:dyDescent="0.2">
      <c r="A6053"/>
      <c r="B6053"/>
      <c r="C6053"/>
      <c r="D6053"/>
    </row>
    <row r="6054" spans="1:4" x14ac:dyDescent="0.2">
      <c r="A6054"/>
      <c r="B6054"/>
      <c r="C6054"/>
      <c r="D6054"/>
    </row>
    <row r="6055" spans="1:4" x14ac:dyDescent="0.2">
      <c r="A6055"/>
      <c r="B6055"/>
      <c r="C6055"/>
      <c r="D6055"/>
    </row>
    <row r="6056" spans="1:4" x14ac:dyDescent="0.2">
      <c r="A6056"/>
      <c r="B6056"/>
      <c r="C6056"/>
      <c r="D6056"/>
    </row>
    <row r="6057" spans="1:4" x14ac:dyDescent="0.2">
      <c r="A6057"/>
      <c r="B6057"/>
      <c r="C6057"/>
      <c r="D6057"/>
    </row>
    <row r="6058" spans="1:4" x14ac:dyDescent="0.2">
      <c r="A6058"/>
      <c r="B6058"/>
      <c r="C6058"/>
      <c r="D6058"/>
    </row>
    <row r="6059" spans="1:4" x14ac:dyDescent="0.2">
      <c r="A6059"/>
      <c r="B6059"/>
      <c r="C6059"/>
      <c r="D6059"/>
    </row>
    <row r="6060" spans="1:4" x14ac:dyDescent="0.2">
      <c r="A6060"/>
      <c r="B6060"/>
      <c r="C6060"/>
      <c r="D6060"/>
    </row>
    <row r="6061" spans="1:4" x14ac:dyDescent="0.2">
      <c r="A6061"/>
      <c r="B6061"/>
      <c r="C6061"/>
      <c r="D6061"/>
    </row>
    <row r="6062" spans="1:4" x14ac:dyDescent="0.2">
      <c r="A6062"/>
      <c r="B6062"/>
      <c r="C6062"/>
      <c r="D6062"/>
    </row>
    <row r="6063" spans="1:4" x14ac:dyDescent="0.2">
      <c r="A6063"/>
      <c r="B6063"/>
      <c r="C6063"/>
      <c r="D6063"/>
    </row>
    <row r="6064" spans="1:4" x14ac:dyDescent="0.2">
      <c r="A6064"/>
      <c r="B6064"/>
      <c r="C6064"/>
      <c r="D6064"/>
    </row>
    <row r="6065" spans="1:4" x14ac:dyDescent="0.2">
      <c r="A6065"/>
      <c r="B6065"/>
      <c r="C6065"/>
      <c r="D6065"/>
    </row>
    <row r="6066" spans="1:4" x14ac:dyDescent="0.2">
      <c r="A6066"/>
      <c r="B6066"/>
      <c r="C6066"/>
      <c r="D6066"/>
    </row>
    <row r="6067" spans="1:4" x14ac:dyDescent="0.2">
      <c r="A6067"/>
      <c r="B6067"/>
      <c r="C6067"/>
      <c r="D6067"/>
    </row>
    <row r="6068" spans="1:4" x14ac:dyDescent="0.2">
      <c r="A6068"/>
      <c r="B6068"/>
      <c r="C6068"/>
      <c r="D6068"/>
    </row>
    <row r="6069" spans="1:4" x14ac:dyDescent="0.2">
      <c r="A6069"/>
      <c r="B6069"/>
      <c r="C6069"/>
      <c r="D6069"/>
    </row>
    <row r="6070" spans="1:4" x14ac:dyDescent="0.2">
      <c r="A6070"/>
      <c r="B6070"/>
      <c r="C6070"/>
      <c r="D6070"/>
    </row>
    <row r="6071" spans="1:4" x14ac:dyDescent="0.2">
      <c r="A6071"/>
      <c r="B6071"/>
      <c r="C6071"/>
      <c r="D6071"/>
    </row>
    <row r="6072" spans="1:4" x14ac:dyDescent="0.2">
      <c r="A6072"/>
      <c r="B6072"/>
      <c r="C6072"/>
      <c r="D6072"/>
    </row>
    <row r="6073" spans="1:4" x14ac:dyDescent="0.2">
      <c r="A6073"/>
      <c r="B6073"/>
      <c r="C6073"/>
      <c r="D6073"/>
    </row>
    <row r="6074" spans="1:4" x14ac:dyDescent="0.2">
      <c r="A6074"/>
      <c r="B6074"/>
      <c r="C6074"/>
      <c r="D6074"/>
    </row>
    <row r="6075" spans="1:4" x14ac:dyDescent="0.2">
      <c r="A6075"/>
      <c r="B6075"/>
      <c r="C6075"/>
      <c r="D6075"/>
    </row>
    <row r="6076" spans="1:4" x14ac:dyDescent="0.2">
      <c r="A6076"/>
      <c r="B6076"/>
      <c r="C6076"/>
      <c r="D6076"/>
    </row>
    <row r="6077" spans="1:4" x14ac:dyDescent="0.2">
      <c r="A6077"/>
      <c r="B6077"/>
      <c r="C6077"/>
      <c r="D6077"/>
    </row>
    <row r="6078" spans="1:4" x14ac:dyDescent="0.2">
      <c r="A6078"/>
      <c r="B6078"/>
      <c r="C6078"/>
      <c r="D6078"/>
    </row>
    <row r="6079" spans="1:4" x14ac:dyDescent="0.2">
      <c r="A6079"/>
      <c r="B6079"/>
      <c r="C6079"/>
      <c r="D6079"/>
    </row>
    <row r="6080" spans="1:4" x14ac:dyDescent="0.2">
      <c r="A6080"/>
      <c r="B6080"/>
      <c r="C6080"/>
      <c r="D6080"/>
    </row>
    <row r="6081" spans="1:4" x14ac:dyDescent="0.2">
      <c r="A6081"/>
      <c r="B6081"/>
      <c r="C6081"/>
      <c r="D6081"/>
    </row>
    <row r="6082" spans="1:4" x14ac:dyDescent="0.2">
      <c r="A6082"/>
      <c r="B6082"/>
      <c r="C6082"/>
      <c r="D6082"/>
    </row>
    <row r="6083" spans="1:4" x14ac:dyDescent="0.2">
      <c r="A6083"/>
      <c r="B6083"/>
      <c r="C6083"/>
      <c r="D6083"/>
    </row>
    <row r="6084" spans="1:4" x14ac:dyDescent="0.2">
      <c r="A6084"/>
      <c r="B6084"/>
      <c r="C6084"/>
      <c r="D6084"/>
    </row>
    <row r="6085" spans="1:4" x14ac:dyDescent="0.2">
      <c r="A6085"/>
      <c r="B6085"/>
      <c r="C6085"/>
      <c r="D6085"/>
    </row>
    <row r="6086" spans="1:4" x14ac:dyDescent="0.2">
      <c r="A6086"/>
      <c r="B6086"/>
      <c r="C6086"/>
      <c r="D6086"/>
    </row>
    <row r="6087" spans="1:4" x14ac:dyDescent="0.2">
      <c r="A6087"/>
      <c r="B6087"/>
      <c r="C6087"/>
      <c r="D6087"/>
    </row>
    <row r="6088" spans="1:4" x14ac:dyDescent="0.2">
      <c r="A6088"/>
      <c r="B6088"/>
      <c r="C6088"/>
      <c r="D6088"/>
    </row>
    <row r="6089" spans="1:4" x14ac:dyDescent="0.2">
      <c r="A6089"/>
      <c r="B6089"/>
      <c r="C6089"/>
      <c r="D6089"/>
    </row>
    <row r="6090" spans="1:4" x14ac:dyDescent="0.2">
      <c r="A6090"/>
      <c r="B6090"/>
      <c r="C6090"/>
      <c r="D6090"/>
    </row>
    <row r="6091" spans="1:4" x14ac:dyDescent="0.2">
      <c r="A6091"/>
      <c r="B6091"/>
      <c r="C6091"/>
      <c r="D6091"/>
    </row>
    <row r="6092" spans="1:4" x14ac:dyDescent="0.2">
      <c r="A6092"/>
      <c r="B6092"/>
      <c r="C6092"/>
      <c r="D6092"/>
    </row>
    <row r="6093" spans="1:4" x14ac:dyDescent="0.2">
      <c r="A6093"/>
      <c r="B6093"/>
      <c r="C6093"/>
      <c r="D6093"/>
    </row>
    <row r="6094" spans="1:4" x14ac:dyDescent="0.2">
      <c r="A6094"/>
      <c r="B6094"/>
      <c r="C6094"/>
      <c r="D6094"/>
    </row>
    <row r="6095" spans="1:4" x14ac:dyDescent="0.2">
      <c r="A6095"/>
      <c r="B6095"/>
      <c r="C6095"/>
      <c r="D6095"/>
    </row>
    <row r="6096" spans="1:4" x14ac:dyDescent="0.2">
      <c r="A6096"/>
      <c r="B6096"/>
      <c r="C6096"/>
      <c r="D6096"/>
    </row>
    <row r="6097" spans="1:4" x14ac:dyDescent="0.2">
      <c r="A6097"/>
      <c r="B6097"/>
      <c r="C6097"/>
      <c r="D6097"/>
    </row>
    <row r="6098" spans="1:4" x14ac:dyDescent="0.2">
      <c r="A6098"/>
      <c r="B6098"/>
      <c r="C6098"/>
      <c r="D6098"/>
    </row>
    <row r="6099" spans="1:4" x14ac:dyDescent="0.2">
      <c r="A6099"/>
      <c r="B6099"/>
      <c r="C6099"/>
      <c r="D6099"/>
    </row>
    <row r="6100" spans="1:4" x14ac:dyDescent="0.2">
      <c r="A6100"/>
      <c r="B6100"/>
      <c r="C6100"/>
      <c r="D6100"/>
    </row>
    <row r="6101" spans="1:4" x14ac:dyDescent="0.2">
      <c r="A6101"/>
      <c r="B6101"/>
      <c r="C6101"/>
      <c r="D6101"/>
    </row>
    <row r="6102" spans="1:4" x14ac:dyDescent="0.2">
      <c r="A6102"/>
      <c r="B6102"/>
      <c r="C6102"/>
      <c r="D6102"/>
    </row>
    <row r="6103" spans="1:4" x14ac:dyDescent="0.2">
      <c r="A6103"/>
      <c r="B6103"/>
      <c r="C6103"/>
      <c r="D6103"/>
    </row>
    <row r="6104" spans="1:4" x14ac:dyDescent="0.2">
      <c r="A6104"/>
      <c r="B6104"/>
      <c r="C6104"/>
      <c r="D6104"/>
    </row>
    <row r="6105" spans="1:4" x14ac:dyDescent="0.2">
      <c r="A6105"/>
      <c r="B6105"/>
      <c r="C6105"/>
      <c r="D6105"/>
    </row>
    <row r="6106" spans="1:4" x14ac:dyDescent="0.2">
      <c r="A6106"/>
      <c r="B6106"/>
      <c r="C6106"/>
      <c r="D6106"/>
    </row>
    <row r="6107" spans="1:4" x14ac:dyDescent="0.2">
      <c r="A6107"/>
      <c r="B6107"/>
      <c r="C6107"/>
      <c r="D6107"/>
    </row>
    <row r="6108" spans="1:4" x14ac:dyDescent="0.2">
      <c r="A6108"/>
      <c r="B6108"/>
      <c r="C6108"/>
      <c r="D6108"/>
    </row>
    <row r="6109" spans="1:4" x14ac:dyDescent="0.2">
      <c r="A6109"/>
      <c r="B6109"/>
      <c r="C6109"/>
      <c r="D6109"/>
    </row>
    <row r="6110" spans="1:4" x14ac:dyDescent="0.2">
      <c r="A6110"/>
      <c r="B6110"/>
      <c r="C6110"/>
      <c r="D6110"/>
    </row>
    <row r="6111" spans="1:4" x14ac:dyDescent="0.2">
      <c r="A6111"/>
      <c r="B6111"/>
      <c r="C6111"/>
      <c r="D6111"/>
    </row>
    <row r="6112" spans="1:4" x14ac:dyDescent="0.2">
      <c r="A6112"/>
      <c r="B6112"/>
      <c r="C6112"/>
      <c r="D6112"/>
    </row>
    <row r="6113" spans="1:4" x14ac:dyDescent="0.2">
      <c r="A6113"/>
      <c r="B6113"/>
      <c r="C6113"/>
      <c r="D6113"/>
    </row>
    <row r="6114" spans="1:4" x14ac:dyDescent="0.2">
      <c r="A6114"/>
      <c r="B6114"/>
      <c r="C6114"/>
      <c r="D6114"/>
    </row>
    <row r="6115" spans="1:4" x14ac:dyDescent="0.2">
      <c r="A6115"/>
      <c r="B6115"/>
      <c r="C6115"/>
      <c r="D6115"/>
    </row>
    <row r="6116" spans="1:4" x14ac:dyDescent="0.2">
      <c r="A6116"/>
      <c r="B6116"/>
      <c r="C6116"/>
      <c r="D6116"/>
    </row>
    <row r="6117" spans="1:4" x14ac:dyDescent="0.2">
      <c r="A6117"/>
      <c r="B6117"/>
      <c r="C6117"/>
      <c r="D6117"/>
    </row>
    <row r="6118" spans="1:4" x14ac:dyDescent="0.2">
      <c r="A6118"/>
      <c r="B6118"/>
      <c r="C6118"/>
      <c r="D6118"/>
    </row>
    <row r="6119" spans="1:4" x14ac:dyDescent="0.2">
      <c r="A6119"/>
      <c r="B6119"/>
      <c r="C6119"/>
      <c r="D6119"/>
    </row>
    <row r="6120" spans="1:4" x14ac:dyDescent="0.2">
      <c r="A6120"/>
      <c r="B6120"/>
      <c r="C6120"/>
      <c r="D6120"/>
    </row>
    <row r="6121" spans="1:4" x14ac:dyDescent="0.2">
      <c r="A6121"/>
      <c r="B6121"/>
      <c r="C6121"/>
      <c r="D6121"/>
    </row>
    <row r="6122" spans="1:4" x14ac:dyDescent="0.2">
      <c r="A6122"/>
      <c r="B6122"/>
      <c r="C6122"/>
      <c r="D6122"/>
    </row>
    <row r="6123" spans="1:4" x14ac:dyDescent="0.2">
      <c r="A6123"/>
      <c r="B6123"/>
      <c r="C6123"/>
      <c r="D6123"/>
    </row>
    <row r="6124" spans="1:4" x14ac:dyDescent="0.2">
      <c r="A6124"/>
      <c r="B6124"/>
      <c r="C6124"/>
      <c r="D6124"/>
    </row>
    <row r="6125" spans="1:4" x14ac:dyDescent="0.2">
      <c r="A6125"/>
      <c r="B6125"/>
      <c r="C6125"/>
      <c r="D6125"/>
    </row>
    <row r="6126" spans="1:4" x14ac:dyDescent="0.2">
      <c r="A6126"/>
      <c r="B6126"/>
      <c r="C6126"/>
      <c r="D6126"/>
    </row>
    <row r="6127" spans="1:4" x14ac:dyDescent="0.2">
      <c r="A6127"/>
      <c r="B6127"/>
      <c r="C6127"/>
      <c r="D6127"/>
    </row>
    <row r="6128" spans="1:4" x14ac:dyDescent="0.2">
      <c r="A6128"/>
      <c r="B6128"/>
      <c r="C6128"/>
      <c r="D6128"/>
    </row>
    <row r="6129" spans="1:4" x14ac:dyDescent="0.2">
      <c r="A6129"/>
      <c r="B6129"/>
      <c r="C6129"/>
      <c r="D6129"/>
    </row>
    <row r="6130" spans="1:4" x14ac:dyDescent="0.2">
      <c r="A6130"/>
      <c r="B6130"/>
      <c r="C6130"/>
      <c r="D6130"/>
    </row>
    <row r="6131" spans="1:4" x14ac:dyDescent="0.2">
      <c r="A6131"/>
      <c r="B6131"/>
      <c r="C6131"/>
      <c r="D6131"/>
    </row>
    <row r="6132" spans="1:4" x14ac:dyDescent="0.2">
      <c r="A6132"/>
      <c r="B6132"/>
      <c r="C6132"/>
      <c r="D6132"/>
    </row>
    <row r="6133" spans="1:4" x14ac:dyDescent="0.2">
      <c r="A6133"/>
      <c r="B6133"/>
      <c r="C6133"/>
      <c r="D6133"/>
    </row>
    <row r="6134" spans="1:4" x14ac:dyDescent="0.2">
      <c r="A6134"/>
      <c r="B6134"/>
      <c r="C6134"/>
      <c r="D6134"/>
    </row>
    <row r="6135" spans="1:4" x14ac:dyDescent="0.2">
      <c r="A6135"/>
      <c r="B6135"/>
      <c r="C6135"/>
      <c r="D6135"/>
    </row>
    <row r="6136" spans="1:4" x14ac:dyDescent="0.2">
      <c r="A6136"/>
      <c r="B6136"/>
      <c r="C6136"/>
      <c r="D6136"/>
    </row>
    <row r="6137" spans="1:4" x14ac:dyDescent="0.2">
      <c r="A6137"/>
      <c r="B6137"/>
      <c r="C6137"/>
      <c r="D6137"/>
    </row>
    <row r="6138" spans="1:4" x14ac:dyDescent="0.2">
      <c r="A6138"/>
      <c r="B6138"/>
      <c r="C6138"/>
      <c r="D6138"/>
    </row>
    <row r="6139" spans="1:4" x14ac:dyDescent="0.2">
      <c r="A6139"/>
      <c r="B6139"/>
      <c r="C6139"/>
      <c r="D6139"/>
    </row>
    <row r="6140" spans="1:4" x14ac:dyDescent="0.2">
      <c r="A6140"/>
      <c r="B6140"/>
      <c r="C6140"/>
      <c r="D6140"/>
    </row>
    <row r="6141" spans="1:4" x14ac:dyDescent="0.2">
      <c r="A6141"/>
      <c r="B6141"/>
      <c r="C6141"/>
      <c r="D6141"/>
    </row>
    <row r="6142" spans="1:4" x14ac:dyDescent="0.2">
      <c r="A6142"/>
      <c r="B6142"/>
      <c r="C6142"/>
      <c r="D6142"/>
    </row>
    <row r="6143" spans="1:4" x14ac:dyDescent="0.2">
      <c r="A6143"/>
      <c r="B6143"/>
      <c r="C6143"/>
      <c r="D6143"/>
    </row>
    <row r="6144" spans="1:4" x14ac:dyDescent="0.2">
      <c r="A6144"/>
      <c r="B6144"/>
      <c r="C6144"/>
      <c r="D6144"/>
    </row>
    <row r="6145" spans="1:4" x14ac:dyDescent="0.2">
      <c r="A6145"/>
      <c r="B6145"/>
      <c r="C6145"/>
      <c r="D6145"/>
    </row>
    <row r="6146" spans="1:4" x14ac:dyDescent="0.2">
      <c r="A6146"/>
      <c r="B6146"/>
      <c r="C6146"/>
      <c r="D6146"/>
    </row>
    <row r="6147" spans="1:4" x14ac:dyDescent="0.2">
      <c r="A6147"/>
      <c r="B6147"/>
      <c r="C6147"/>
      <c r="D6147"/>
    </row>
    <row r="6148" spans="1:4" x14ac:dyDescent="0.2">
      <c r="A6148"/>
      <c r="B6148"/>
      <c r="C6148"/>
      <c r="D6148"/>
    </row>
    <row r="6149" spans="1:4" x14ac:dyDescent="0.2">
      <c r="A6149"/>
      <c r="B6149"/>
      <c r="C6149"/>
      <c r="D6149"/>
    </row>
    <row r="6150" spans="1:4" x14ac:dyDescent="0.2">
      <c r="A6150"/>
      <c r="B6150"/>
      <c r="C6150"/>
      <c r="D6150"/>
    </row>
    <row r="6151" spans="1:4" x14ac:dyDescent="0.2">
      <c r="A6151"/>
      <c r="B6151"/>
      <c r="C6151"/>
      <c r="D6151"/>
    </row>
    <row r="6152" spans="1:4" x14ac:dyDescent="0.2">
      <c r="A6152"/>
      <c r="B6152"/>
      <c r="C6152"/>
      <c r="D6152"/>
    </row>
    <row r="6153" spans="1:4" x14ac:dyDescent="0.2">
      <c r="A6153"/>
      <c r="B6153"/>
      <c r="C6153"/>
      <c r="D6153"/>
    </row>
    <row r="6154" spans="1:4" x14ac:dyDescent="0.2">
      <c r="A6154"/>
      <c r="B6154"/>
      <c r="C6154"/>
      <c r="D6154"/>
    </row>
    <row r="6155" spans="1:4" x14ac:dyDescent="0.2">
      <c r="A6155"/>
      <c r="B6155"/>
      <c r="C6155"/>
      <c r="D6155"/>
    </row>
    <row r="6156" spans="1:4" x14ac:dyDescent="0.2">
      <c r="A6156"/>
      <c r="B6156"/>
      <c r="C6156"/>
      <c r="D6156"/>
    </row>
    <row r="6157" spans="1:4" x14ac:dyDescent="0.2">
      <c r="A6157"/>
      <c r="B6157"/>
      <c r="C6157"/>
      <c r="D6157"/>
    </row>
    <row r="6158" spans="1:4" x14ac:dyDescent="0.2">
      <c r="A6158"/>
      <c r="B6158"/>
      <c r="C6158"/>
      <c r="D6158"/>
    </row>
    <row r="6159" spans="1:4" x14ac:dyDescent="0.2">
      <c r="A6159"/>
      <c r="B6159"/>
      <c r="C6159"/>
      <c r="D6159"/>
    </row>
    <row r="6160" spans="1:4" x14ac:dyDescent="0.2">
      <c r="A6160"/>
      <c r="B6160"/>
      <c r="C6160"/>
      <c r="D6160"/>
    </row>
    <row r="6161" spans="1:4" x14ac:dyDescent="0.2">
      <c r="A6161"/>
      <c r="B6161"/>
      <c r="C6161"/>
      <c r="D6161"/>
    </row>
    <row r="6162" spans="1:4" x14ac:dyDescent="0.2">
      <c r="A6162"/>
      <c r="B6162"/>
      <c r="C6162"/>
      <c r="D6162"/>
    </row>
    <row r="6163" spans="1:4" x14ac:dyDescent="0.2">
      <c r="A6163"/>
      <c r="B6163"/>
      <c r="C6163"/>
      <c r="D6163"/>
    </row>
    <row r="6164" spans="1:4" x14ac:dyDescent="0.2">
      <c r="A6164"/>
      <c r="B6164"/>
      <c r="C6164"/>
      <c r="D6164"/>
    </row>
    <row r="6165" spans="1:4" x14ac:dyDescent="0.2">
      <c r="A6165"/>
      <c r="B6165"/>
      <c r="C6165"/>
      <c r="D6165"/>
    </row>
    <row r="6166" spans="1:4" x14ac:dyDescent="0.2">
      <c r="A6166"/>
      <c r="B6166"/>
      <c r="C6166"/>
      <c r="D6166"/>
    </row>
    <row r="6167" spans="1:4" x14ac:dyDescent="0.2">
      <c r="A6167"/>
      <c r="B6167"/>
      <c r="C6167"/>
      <c r="D6167"/>
    </row>
    <row r="6168" spans="1:4" x14ac:dyDescent="0.2">
      <c r="A6168"/>
      <c r="B6168"/>
      <c r="C6168"/>
      <c r="D6168"/>
    </row>
    <row r="6169" spans="1:4" x14ac:dyDescent="0.2">
      <c r="A6169"/>
      <c r="B6169"/>
      <c r="C6169"/>
      <c r="D6169"/>
    </row>
    <row r="6170" spans="1:4" x14ac:dyDescent="0.2">
      <c r="A6170"/>
      <c r="B6170"/>
      <c r="C6170"/>
      <c r="D6170"/>
    </row>
    <row r="6171" spans="1:4" x14ac:dyDescent="0.2">
      <c r="A6171"/>
      <c r="B6171"/>
      <c r="C6171"/>
      <c r="D6171"/>
    </row>
    <row r="6172" spans="1:4" x14ac:dyDescent="0.2">
      <c r="A6172"/>
      <c r="B6172"/>
      <c r="C6172"/>
      <c r="D6172"/>
    </row>
    <row r="6173" spans="1:4" x14ac:dyDescent="0.2">
      <c r="A6173"/>
      <c r="B6173"/>
      <c r="C6173"/>
      <c r="D6173"/>
    </row>
    <row r="6174" spans="1:4" x14ac:dyDescent="0.2">
      <c r="A6174"/>
      <c r="B6174"/>
      <c r="C6174"/>
      <c r="D6174"/>
    </row>
    <row r="6175" spans="1:4" x14ac:dyDescent="0.2">
      <c r="A6175"/>
      <c r="B6175"/>
      <c r="C6175"/>
      <c r="D6175"/>
    </row>
    <row r="6176" spans="1:4" x14ac:dyDescent="0.2">
      <c r="A6176"/>
      <c r="B6176"/>
      <c r="C6176"/>
      <c r="D6176"/>
    </row>
    <row r="6177" spans="1:4" x14ac:dyDescent="0.2">
      <c r="A6177"/>
      <c r="B6177"/>
      <c r="C6177"/>
      <c r="D6177"/>
    </row>
    <row r="6178" spans="1:4" x14ac:dyDescent="0.2">
      <c r="A6178"/>
      <c r="B6178"/>
      <c r="C6178"/>
      <c r="D6178"/>
    </row>
    <row r="6179" spans="1:4" x14ac:dyDescent="0.2">
      <c r="A6179"/>
      <c r="B6179"/>
      <c r="C6179"/>
      <c r="D6179"/>
    </row>
    <row r="6180" spans="1:4" x14ac:dyDescent="0.2">
      <c r="A6180"/>
      <c r="B6180"/>
      <c r="C6180"/>
      <c r="D6180"/>
    </row>
    <row r="6181" spans="1:4" x14ac:dyDescent="0.2">
      <c r="A6181"/>
      <c r="B6181"/>
      <c r="C6181"/>
      <c r="D6181"/>
    </row>
    <row r="6182" spans="1:4" x14ac:dyDescent="0.2">
      <c r="A6182"/>
      <c r="B6182"/>
      <c r="C6182"/>
      <c r="D6182"/>
    </row>
    <row r="6183" spans="1:4" x14ac:dyDescent="0.2">
      <c r="A6183"/>
      <c r="B6183"/>
      <c r="C6183"/>
      <c r="D6183"/>
    </row>
    <row r="6184" spans="1:4" x14ac:dyDescent="0.2">
      <c r="A6184"/>
      <c r="B6184"/>
      <c r="C6184"/>
      <c r="D6184"/>
    </row>
    <row r="6185" spans="1:4" x14ac:dyDescent="0.2">
      <c r="A6185"/>
      <c r="B6185"/>
      <c r="C6185"/>
      <c r="D6185"/>
    </row>
    <row r="6186" spans="1:4" x14ac:dyDescent="0.2">
      <c r="A6186"/>
      <c r="B6186"/>
      <c r="C6186"/>
      <c r="D6186"/>
    </row>
    <row r="6187" spans="1:4" x14ac:dyDescent="0.2">
      <c r="A6187"/>
      <c r="B6187"/>
      <c r="C6187"/>
      <c r="D6187"/>
    </row>
    <row r="6188" spans="1:4" x14ac:dyDescent="0.2">
      <c r="A6188"/>
      <c r="B6188"/>
      <c r="C6188"/>
      <c r="D6188"/>
    </row>
    <row r="6189" spans="1:4" x14ac:dyDescent="0.2">
      <c r="A6189"/>
      <c r="B6189"/>
      <c r="C6189"/>
      <c r="D6189"/>
    </row>
    <row r="6190" spans="1:4" x14ac:dyDescent="0.2">
      <c r="A6190"/>
      <c r="B6190"/>
      <c r="C6190"/>
      <c r="D6190"/>
    </row>
    <row r="6191" spans="1:4" x14ac:dyDescent="0.2">
      <c r="A6191"/>
      <c r="B6191"/>
      <c r="C6191"/>
      <c r="D6191"/>
    </row>
    <row r="6192" spans="1:4" x14ac:dyDescent="0.2">
      <c r="A6192"/>
      <c r="B6192"/>
      <c r="C6192"/>
      <c r="D6192"/>
    </row>
    <row r="6193" spans="1:4" x14ac:dyDescent="0.2">
      <c r="A6193"/>
      <c r="B6193"/>
      <c r="C6193"/>
      <c r="D6193"/>
    </row>
    <row r="6194" spans="1:4" x14ac:dyDescent="0.2">
      <c r="A6194"/>
      <c r="B6194"/>
      <c r="C6194"/>
      <c r="D6194"/>
    </row>
    <row r="6195" spans="1:4" x14ac:dyDescent="0.2">
      <c r="A6195"/>
      <c r="B6195"/>
      <c r="C6195"/>
      <c r="D6195"/>
    </row>
    <row r="6196" spans="1:4" x14ac:dyDescent="0.2">
      <c r="A6196"/>
      <c r="B6196"/>
      <c r="C6196"/>
      <c r="D6196"/>
    </row>
    <row r="6197" spans="1:4" x14ac:dyDescent="0.2">
      <c r="A6197"/>
      <c r="B6197"/>
      <c r="C6197"/>
      <c r="D6197"/>
    </row>
    <row r="6198" spans="1:4" x14ac:dyDescent="0.2">
      <c r="A6198"/>
      <c r="B6198"/>
      <c r="C6198"/>
      <c r="D6198"/>
    </row>
    <row r="6199" spans="1:4" x14ac:dyDescent="0.2">
      <c r="A6199"/>
      <c r="B6199"/>
      <c r="C6199"/>
      <c r="D6199"/>
    </row>
    <row r="6200" spans="1:4" x14ac:dyDescent="0.2">
      <c r="A6200"/>
      <c r="B6200"/>
      <c r="C6200"/>
      <c r="D6200"/>
    </row>
    <row r="6201" spans="1:4" x14ac:dyDescent="0.2">
      <c r="A6201"/>
      <c r="B6201"/>
      <c r="C6201"/>
      <c r="D6201"/>
    </row>
    <row r="6202" spans="1:4" x14ac:dyDescent="0.2">
      <c r="A6202"/>
      <c r="B6202"/>
      <c r="C6202"/>
      <c r="D6202"/>
    </row>
    <row r="6203" spans="1:4" x14ac:dyDescent="0.2">
      <c r="A6203"/>
      <c r="B6203"/>
      <c r="C6203"/>
      <c r="D6203"/>
    </row>
    <row r="6204" spans="1:4" x14ac:dyDescent="0.2">
      <c r="A6204"/>
      <c r="B6204"/>
      <c r="C6204"/>
      <c r="D6204"/>
    </row>
    <row r="6205" spans="1:4" x14ac:dyDescent="0.2">
      <c r="A6205"/>
      <c r="B6205"/>
      <c r="C6205"/>
      <c r="D6205"/>
    </row>
    <row r="6206" spans="1:4" x14ac:dyDescent="0.2">
      <c r="A6206"/>
      <c r="B6206"/>
      <c r="C6206"/>
      <c r="D6206"/>
    </row>
    <row r="6207" spans="1:4" x14ac:dyDescent="0.2">
      <c r="A6207"/>
      <c r="B6207"/>
      <c r="C6207"/>
      <c r="D6207"/>
    </row>
    <row r="6208" spans="1:4" x14ac:dyDescent="0.2">
      <c r="A6208"/>
      <c r="B6208"/>
      <c r="C6208"/>
      <c r="D6208"/>
    </row>
    <row r="6209" spans="1:4" x14ac:dyDescent="0.2">
      <c r="A6209"/>
      <c r="B6209"/>
      <c r="C6209"/>
      <c r="D6209"/>
    </row>
    <row r="6210" spans="1:4" x14ac:dyDescent="0.2">
      <c r="A6210"/>
      <c r="B6210"/>
      <c r="C6210"/>
      <c r="D6210"/>
    </row>
    <row r="6211" spans="1:4" x14ac:dyDescent="0.2">
      <c r="A6211"/>
      <c r="B6211"/>
      <c r="C6211"/>
      <c r="D6211"/>
    </row>
    <row r="6212" spans="1:4" x14ac:dyDescent="0.2">
      <c r="A6212"/>
      <c r="B6212"/>
      <c r="C6212"/>
      <c r="D6212"/>
    </row>
    <row r="6213" spans="1:4" x14ac:dyDescent="0.2">
      <c r="A6213"/>
      <c r="B6213"/>
      <c r="C6213"/>
      <c r="D6213"/>
    </row>
    <row r="6214" spans="1:4" x14ac:dyDescent="0.2">
      <c r="A6214"/>
      <c r="B6214"/>
      <c r="C6214"/>
      <c r="D6214"/>
    </row>
    <row r="6215" spans="1:4" x14ac:dyDescent="0.2">
      <c r="A6215"/>
      <c r="B6215"/>
      <c r="C6215"/>
      <c r="D6215"/>
    </row>
    <row r="6216" spans="1:4" x14ac:dyDescent="0.2">
      <c r="A6216"/>
      <c r="B6216"/>
      <c r="C6216"/>
      <c r="D6216"/>
    </row>
    <row r="6217" spans="1:4" x14ac:dyDescent="0.2">
      <c r="A6217"/>
      <c r="B6217"/>
      <c r="C6217"/>
      <c r="D6217"/>
    </row>
    <row r="6218" spans="1:4" x14ac:dyDescent="0.2">
      <c r="A6218"/>
      <c r="B6218"/>
      <c r="C6218"/>
      <c r="D6218"/>
    </row>
    <row r="6219" spans="1:4" x14ac:dyDescent="0.2">
      <c r="A6219"/>
      <c r="B6219"/>
      <c r="C6219"/>
      <c r="D6219"/>
    </row>
    <row r="6220" spans="1:4" x14ac:dyDescent="0.2">
      <c r="A6220"/>
      <c r="B6220"/>
      <c r="C6220"/>
      <c r="D6220"/>
    </row>
    <row r="6221" spans="1:4" x14ac:dyDescent="0.2">
      <c r="A6221"/>
      <c r="B6221"/>
      <c r="C6221"/>
      <c r="D6221"/>
    </row>
    <row r="6222" spans="1:4" x14ac:dyDescent="0.2">
      <c r="A6222"/>
      <c r="B6222"/>
      <c r="C6222"/>
      <c r="D6222"/>
    </row>
    <row r="6223" spans="1:4" x14ac:dyDescent="0.2">
      <c r="A6223"/>
      <c r="B6223"/>
      <c r="C6223"/>
      <c r="D6223"/>
    </row>
    <row r="6224" spans="1:4" x14ac:dyDescent="0.2">
      <c r="A6224"/>
      <c r="B6224"/>
      <c r="C6224"/>
      <c r="D6224"/>
    </row>
    <row r="6225" spans="1:4" x14ac:dyDescent="0.2">
      <c r="A6225"/>
      <c r="B6225"/>
      <c r="C6225"/>
      <c r="D6225"/>
    </row>
    <row r="6226" spans="1:4" x14ac:dyDescent="0.2">
      <c r="A6226"/>
      <c r="B6226"/>
      <c r="C6226"/>
      <c r="D6226"/>
    </row>
    <row r="6227" spans="1:4" x14ac:dyDescent="0.2">
      <c r="A6227"/>
      <c r="B6227"/>
      <c r="C6227"/>
      <c r="D6227"/>
    </row>
    <row r="6228" spans="1:4" x14ac:dyDescent="0.2">
      <c r="A6228"/>
      <c r="B6228"/>
      <c r="C6228"/>
      <c r="D6228"/>
    </row>
    <row r="6229" spans="1:4" x14ac:dyDescent="0.2">
      <c r="A6229"/>
      <c r="B6229"/>
      <c r="C6229"/>
      <c r="D6229"/>
    </row>
    <row r="6230" spans="1:4" x14ac:dyDescent="0.2">
      <c r="A6230"/>
      <c r="B6230"/>
      <c r="C6230"/>
      <c r="D6230"/>
    </row>
    <row r="6231" spans="1:4" x14ac:dyDescent="0.2">
      <c r="A6231"/>
      <c r="B6231"/>
      <c r="C6231"/>
      <c r="D6231"/>
    </row>
    <row r="6232" spans="1:4" x14ac:dyDescent="0.2">
      <c r="A6232"/>
      <c r="B6232"/>
      <c r="C6232"/>
      <c r="D6232"/>
    </row>
    <row r="6233" spans="1:4" x14ac:dyDescent="0.2">
      <c r="A6233"/>
      <c r="B6233"/>
      <c r="C6233"/>
      <c r="D6233"/>
    </row>
    <row r="6234" spans="1:4" x14ac:dyDescent="0.2">
      <c r="A6234"/>
      <c r="B6234"/>
      <c r="C6234"/>
      <c r="D6234"/>
    </row>
    <row r="6235" spans="1:4" x14ac:dyDescent="0.2">
      <c r="A6235"/>
      <c r="B6235"/>
      <c r="C6235"/>
      <c r="D6235"/>
    </row>
    <row r="6236" spans="1:4" x14ac:dyDescent="0.2">
      <c r="A6236"/>
      <c r="B6236"/>
      <c r="C6236"/>
      <c r="D6236"/>
    </row>
    <row r="6237" spans="1:4" x14ac:dyDescent="0.2">
      <c r="A6237"/>
      <c r="B6237"/>
      <c r="C6237"/>
      <c r="D6237"/>
    </row>
    <row r="6238" spans="1:4" x14ac:dyDescent="0.2">
      <c r="A6238"/>
      <c r="B6238"/>
      <c r="C6238"/>
      <c r="D6238"/>
    </row>
    <row r="6239" spans="1:4" x14ac:dyDescent="0.2">
      <c r="A6239"/>
      <c r="B6239"/>
      <c r="C6239"/>
      <c r="D6239"/>
    </row>
    <row r="6240" spans="1:4" x14ac:dyDescent="0.2">
      <c r="A6240"/>
      <c r="B6240"/>
      <c r="C6240"/>
      <c r="D6240"/>
    </row>
    <row r="6241" spans="1:4" x14ac:dyDescent="0.2">
      <c r="A6241"/>
      <c r="B6241"/>
      <c r="C6241"/>
      <c r="D6241"/>
    </row>
    <row r="6242" spans="1:4" x14ac:dyDescent="0.2">
      <c r="A6242"/>
      <c r="B6242"/>
      <c r="C6242"/>
      <c r="D6242"/>
    </row>
    <row r="6243" spans="1:4" x14ac:dyDescent="0.2">
      <c r="A6243"/>
      <c r="B6243"/>
      <c r="C6243"/>
      <c r="D6243"/>
    </row>
    <row r="6244" spans="1:4" x14ac:dyDescent="0.2">
      <c r="A6244"/>
      <c r="B6244"/>
      <c r="C6244"/>
      <c r="D6244"/>
    </row>
    <row r="6245" spans="1:4" x14ac:dyDescent="0.2">
      <c r="A6245"/>
      <c r="B6245"/>
      <c r="C6245"/>
      <c r="D6245"/>
    </row>
    <row r="6246" spans="1:4" x14ac:dyDescent="0.2">
      <c r="A6246"/>
      <c r="B6246"/>
      <c r="C6246"/>
      <c r="D6246"/>
    </row>
    <row r="6247" spans="1:4" x14ac:dyDescent="0.2">
      <c r="A6247"/>
      <c r="B6247"/>
      <c r="C6247"/>
      <c r="D6247"/>
    </row>
    <row r="6248" spans="1:4" x14ac:dyDescent="0.2">
      <c r="A6248"/>
      <c r="B6248"/>
      <c r="C6248"/>
      <c r="D6248"/>
    </row>
    <row r="6249" spans="1:4" x14ac:dyDescent="0.2">
      <c r="A6249"/>
      <c r="B6249"/>
      <c r="C6249"/>
      <c r="D6249"/>
    </row>
    <row r="6250" spans="1:4" x14ac:dyDescent="0.2">
      <c r="A6250"/>
      <c r="B6250"/>
      <c r="C6250"/>
      <c r="D6250"/>
    </row>
    <row r="6251" spans="1:4" x14ac:dyDescent="0.2">
      <c r="A6251"/>
      <c r="B6251"/>
      <c r="C6251"/>
      <c r="D6251"/>
    </row>
    <row r="6252" spans="1:4" x14ac:dyDescent="0.2">
      <c r="A6252"/>
      <c r="B6252"/>
      <c r="C6252"/>
      <c r="D6252"/>
    </row>
    <row r="6253" spans="1:4" x14ac:dyDescent="0.2">
      <c r="A6253"/>
      <c r="B6253"/>
      <c r="C6253"/>
      <c r="D6253"/>
    </row>
    <row r="6254" spans="1:4" x14ac:dyDescent="0.2">
      <c r="A6254"/>
      <c r="B6254"/>
      <c r="C6254"/>
      <c r="D6254"/>
    </row>
    <row r="6255" spans="1:4" x14ac:dyDescent="0.2">
      <c r="A6255"/>
      <c r="B6255"/>
      <c r="C6255"/>
      <c r="D6255"/>
    </row>
    <row r="6256" spans="1:4" x14ac:dyDescent="0.2">
      <c r="A6256"/>
      <c r="B6256"/>
      <c r="C6256"/>
      <c r="D6256"/>
    </row>
    <row r="6257" spans="1:4" x14ac:dyDescent="0.2">
      <c r="A6257"/>
      <c r="B6257"/>
      <c r="C6257"/>
      <c r="D6257"/>
    </row>
    <row r="6258" spans="1:4" x14ac:dyDescent="0.2">
      <c r="A6258"/>
      <c r="B6258"/>
      <c r="C6258"/>
      <c r="D6258"/>
    </row>
    <row r="6259" spans="1:4" x14ac:dyDescent="0.2">
      <c r="A6259"/>
      <c r="B6259"/>
      <c r="C6259"/>
      <c r="D6259"/>
    </row>
    <row r="6260" spans="1:4" x14ac:dyDescent="0.2">
      <c r="A6260"/>
      <c r="B6260"/>
      <c r="C6260"/>
      <c r="D6260"/>
    </row>
    <row r="6261" spans="1:4" x14ac:dyDescent="0.2">
      <c r="A6261"/>
      <c r="B6261"/>
      <c r="C6261"/>
      <c r="D6261"/>
    </row>
    <row r="6262" spans="1:4" x14ac:dyDescent="0.2">
      <c r="A6262"/>
      <c r="B6262"/>
      <c r="C6262"/>
      <c r="D6262"/>
    </row>
    <row r="6263" spans="1:4" x14ac:dyDescent="0.2">
      <c r="A6263"/>
      <c r="B6263"/>
      <c r="C6263"/>
      <c r="D6263"/>
    </row>
    <row r="6264" spans="1:4" x14ac:dyDescent="0.2">
      <c r="A6264"/>
      <c r="B6264"/>
      <c r="C6264"/>
      <c r="D6264"/>
    </row>
    <row r="6265" spans="1:4" x14ac:dyDescent="0.2">
      <c r="A6265"/>
      <c r="B6265"/>
      <c r="C6265"/>
      <c r="D6265"/>
    </row>
    <row r="6266" spans="1:4" x14ac:dyDescent="0.2">
      <c r="A6266"/>
      <c r="B6266"/>
      <c r="C6266"/>
      <c r="D6266"/>
    </row>
    <row r="6267" spans="1:4" x14ac:dyDescent="0.2">
      <c r="A6267"/>
      <c r="B6267"/>
      <c r="C6267"/>
      <c r="D6267"/>
    </row>
    <row r="6268" spans="1:4" x14ac:dyDescent="0.2">
      <c r="A6268"/>
      <c r="B6268"/>
      <c r="C6268"/>
      <c r="D6268"/>
    </row>
    <row r="6269" spans="1:4" x14ac:dyDescent="0.2">
      <c r="A6269"/>
      <c r="B6269"/>
      <c r="C6269"/>
      <c r="D6269"/>
    </row>
    <row r="6270" spans="1:4" x14ac:dyDescent="0.2">
      <c r="A6270"/>
      <c r="B6270"/>
      <c r="C6270"/>
      <c r="D6270"/>
    </row>
    <row r="6271" spans="1:4" x14ac:dyDescent="0.2">
      <c r="A6271"/>
      <c r="B6271"/>
      <c r="C6271"/>
      <c r="D6271"/>
    </row>
    <row r="6272" spans="1:4" x14ac:dyDescent="0.2">
      <c r="A6272"/>
      <c r="B6272"/>
      <c r="C6272"/>
      <c r="D6272"/>
    </row>
    <row r="6273" spans="1:4" x14ac:dyDescent="0.2">
      <c r="A6273"/>
      <c r="B6273"/>
      <c r="C6273"/>
      <c r="D6273"/>
    </row>
    <row r="6274" spans="1:4" x14ac:dyDescent="0.2">
      <c r="A6274"/>
      <c r="B6274"/>
      <c r="C6274"/>
      <c r="D6274"/>
    </row>
    <row r="6275" spans="1:4" x14ac:dyDescent="0.2">
      <c r="A6275"/>
      <c r="B6275"/>
      <c r="C6275"/>
      <c r="D6275"/>
    </row>
    <row r="6276" spans="1:4" x14ac:dyDescent="0.2">
      <c r="A6276"/>
      <c r="B6276"/>
      <c r="C6276"/>
      <c r="D6276"/>
    </row>
    <row r="6277" spans="1:4" x14ac:dyDescent="0.2">
      <c r="A6277"/>
      <c r="B6277"/>
      <c r="C6277"/>
      <c r="D6277"/>
    </row>
    <row r="6278" spans="1:4" x14ac:dyDescent="0.2">
      <c r="A6278"/>
      <c r="B6278"/>
      <c r="C6278"/>
      <c r="D6278"/>
    </row>
    <row r="6279" spans="1:4" x14ac:dyDescent="0.2">
      <c r="A6279"/>
      <c r="B6279"/>
      <c r="C6279"/>
      <c r="D6279"/>
    </row>
    <row r="6280" spans="1:4" x14ac:dyDescent="0.2">
      <c r="A6280"/>
      <c r="B6280"/>
      <c r="C6280"/>
      <c r="D6280"/>
    </row>
    <row r="6281" spans="1:4" x14ac:dyDescent="0.2">
      <c r="A6281"/>
      <c r="B6281"/>
      <c r="C6281"/>
      <c r="D6281"/>
    </row>
    <row r="6282" spans="1:4" x14ac:dyDescent="0.2">
      <c r="A6282"/>
      <c r="B6282"/>
      <c r="C6282"/>
      <c r="D6282"/>
    </row>
    <row r="6283" spans="1:4" x14ac:dyDescent="0.2">
      <c r="A6283"/>
      <c r="B6283"/>
      <c r="C6283"/>
      <c r="D6283"/>
    </row>
    <row r="6284" spans="1:4" x14ac:dyDescent="0.2">
      <c r="A6284"/>
      <c r="B6284"/>
      <c r="C6284"/>
      <c r="D6284"/>
    </row>
    <row r="6285" spans="1:4" x14ac:dyDescent="0.2">
      <c r="A6285"/>
      <c r="B6285"/>
      <c r="C6285"/>
      <c r="D6285"/>
    </row>
    <row r="6286" spans="1:4" x14ac:dyDescent="0.2">
      <c r="A6286"/>
      <c r="B6286"/>
      <c r="C6286"/>
      <c r="D6286"/>
    </row>
    <row r="6287" spans="1:4" x14ac:dyDescent="0.2">
      <c r="A6287"/>
      <c r="B6287"/>
      <c r="C6287"/>
      <c r="D6287"/>
    </row>
    <row r="6288" spans="1:4" x14ac:dyDescent="0.2">
      <c r="A6288"/>
      <c r="B6288"/>
      <c r="C6288"/>
      <c r="D6288"/>
    </row>
    <row r="6289" spans="1:4" x14ac:dyDescent="0.2">
      <c r="A6289"/>
      <c r="B6289"/>
      <c r="C6289"/>
      <c r="D6289"/>
    </row>
    <row r="6290" spans="1:4" x14ac:dyDescent="0.2">
      <c r="A6290"/>
      <c r="B6290"/>
      <c r="C6290"/>
      <c r="D6290"/>
    </row>
    <row r="6291" spans="1:4" x14ac:dyDescent="0.2">
      <c r="A6291"/>
      <c r="B6291"/>
      <c r="C6291"/>
      <c r="D6291"/>
    </row>
    <row r="6292" spans="1:4" x14ac:dyDescent="0.2">
      <c r="A6292"/>
      <c r="B6292"/>
      <c r="C6292"/>
      <c r="D6292"/>
    </row>
    <row r="6293" spans="1:4" x14ac:dyDescent="0.2">
      <c r="A6293"/>
      <c r="B6293"/>
      <c r="C6293"/>
      <c r="D6293"/>
    </row>
    <row r="6294" spans="1:4" x14ac:dyDescent="0.2">
      <c r="A6294"/>
      <c r="B6294"/>
      <c r="C6294"/>
      <c r="D6294"/>
    </row>
    <row r="6295" spans="1:4" x14ac:dyDescent="0.2">
      <c r="A6295"/>
      <c r="B6295"/>
      <c r="C6295"/>
      <c r="D6295"/>
    </row>
    <row r="6296" spans="1:4" x14ac:dyDescent="0.2">
      <c r="A6296"/>
      <c r="B6296"/>
      <c r="C6296"/>
      <c r="D6296"/>
    </row>
    <row r="6297" spans="1:4" x14ac:dyDescent="0.2">
      <c r="A6297"/>
      <c r="B6297"/>
      <c r="C6297"/>
      <c r="D6297"/>
    </row>
    <row r="6298" spans="1:4" x14ac:dyDescent="0.2">
      <c r="A6298"/>
      <c r="B6298"/>
      <c r="C6298"/>
      <c r="D6298"/>
    </row>
    <row r="6299" spans="1:4" x14ac:dyDescent="0.2">
      <c r="A6299"/>
      <c r="B6299"/>
      <c r="C6299"/>
      <c r="D6299"/>
    </row>
    <row r="6300" spans="1:4" x14ac:dyDescent="0.2">
      <c r="A6300"/>
      <c r="B6300"/>
      <c r="C6300"/>
      <c r="D6300"/>
    </row>
    <row r="6301" spans="1:4" x14ac:dyDescent="0.2">
      <c r="A6301"/>
      <c r="B6301"/>
      <c r="C6301"/>
      <c r="D6301"/>
    </row>
    <row r="6302" spans="1:4" x14ac:dyDescent="0.2">
      <c r="A6302"/>
      <c r="B6302"/>
      <c r="C6302"/>
      <c r="D6302"/>
    </row>
    <row r="6303" spans="1:4" x14ac:dyDescent="0.2">
      <c r="A6303"/>
      <c r="B6303"/>
      <c r="C6303"/>
      <c r="D6303"/>
    </row>
    <row r="6304" spans="1:4" x14ac:dyDescent="0.2">
      <c r="A6304"/>
      <c r="B6304"/>
      <c r="C6304"/>
      <c r="D6304"/>
    </row>
    <row r="6305" spans="1:4" x14ac:dyDescent="0.2">
      <c r="A6305"/>
      <c r="B6305"/>
      <c r="C6305"/>
      <c r="D6305"/>
    </row>
    <row r="6306" spans="1:4" x14ac:dyDescent="0.2">
      <c r="A6306"/>
      <c r="B6306"/>
      <c r="C6306"/>
      <c r="D6306"/>
    </row>
    <row r="6307" spans="1:4" x14ac:dyDescent="0.2">
      <c r="A6307"/>
      <c r="B6307"/>
      <c r="C6307"/>
      <c r="D6307"/>
    </row>
    <row r="6308" spans="1:4" x14ac:dyDescent="0.2">
      <c r="A6308"/>
      <c r="B6308"/>
      <c r="C6308"/>
      <c r="D6308"/>
    </row>
    <row r="6309" spans="1:4" x14ac:dyDescent="0.2">
      <c r="A6309"/>
      <c r="B6309"/>
      <c r="C6309"/>
      <c r="D6309"/>
    </row>
    <row r="6310" spans="1:4" x14ac:dyDescent="0.2">
      <c r="A6310"/>
      <c r="B6310"/>
      <c r="C6310"/>
      <c r="D6310"/>
    </row>
    <row r="6311" spans="1:4" x14ac:dyDescent="0.2">
      <c r="A6311"/>
      <c r="B6311"/>
      <c r="C6311"/>
      <c r="D6311"/>
    </row>
    <row r="6312" spans="1:4" x14ac:dyDescent="0.2">
      <c r="A6312"/>
      <c r="B6312"/>
      <c r="C6312"/>
      <c r="D6312"/>
    </row>
    <row r="6313" spans="1:4" x14ac:dyDescent="0.2">
      <c r="A6313"/>
      <c r="B6313"/>
      <c r="C6313"/>
      <c r="D6313"/>
    </row>
    <row r="6314" spans="1:4" x14ac:dyDescent="0.2">
      <c r="A6314"/>
      <c r="B6314"/>
      <c r="C6314"/>
      <c r="D6314"/>
    </row>
    <row r="6315" spans="1:4" x14ac:dyDescent="0.2">
      <c r="A6315"/>
      <c r="B6315"/>
      <c r="C6315"/>
      <c r="D6315"/>
    </row>
    <row r="6316" spans="1:4" x14ac:dyDescent="0.2">
      <c r="A6316"/>
      <c r="B6316"/>
      <c r="C6316"/>
      <c r="D6316"/>
    </row>
    <row r="6317" spans="1:4" x14ac:dyDescent="0.2">
      <c r="A6317"/>
      <c r="B6317"/>
      <c r="C6317"/>
      <c r="D6317"/>
    </row>
    <row r="6318" spans="1:4" x14ac:dyDescent="0.2">
      <c r="A6318"/>
      <c r="B6318"/>
      <c r="C6318"/>
      <c r="D6318"/>
    </row>
    <row r="6319" spans="1:4" x14ac:dyDescent="0.2">
      <c r="A6319"/>
      <c r="B6319"/>
      <c r="C6319"/>
      <c r="D6319"/>
    </row>
    <row r="6320" spans="1:4" x14ac:dyDescent="0.2">
      <c r="A6320"/>
      <c r="B6320"/>
      <c r="C6320"/>
      <c r="D6320"/>
    </row>
    <row r="6321" spans="1:4" x14ac:dyDescent="0.2">
      <c r="A6321"/>
      <c r="B6321"/>
      <c r="C6321"/>
      <c r="D6321"/>
    </row>
    <row r="6322" spans="1:4" x14ac:dyDescent="0.2">
      <c r="A6322"/>
      <c r="B6322"/>
      <c r="C6322"/>
      <c r="D6322"/>
    </row>
    <row r="6323" spans="1:4" x14ac:dyDescent="0.2">
      <c r="A6323"/>
      <c r="B6323"/>
      <c r="C6323"/>
      <c r="D6323"/>
    </row>
    <row r="6324" spans="1:4" x14ac:dyDescent="0.2">
      <c r="A6324"/>
      <c r="B6324"/>
      <c r="C6324"/>
      <c r="D6324"/>
    </row>
    <row r="6325" spans="1:4" x14ac:dyDescent="0.2">
      <c r="A6325"/>
      <c r="B6325"/>
      <c r="C6325"/>
      <c r="D6325"/>
    </row>
    <row r="6326" spans="1:4" x14ac:dyDescent="0.2">
      <c r="A6326"/>
      <c r="B6326"/>
      <c r="C6326"/>
      <c r="D6326"/>
    </row>
    <row r="6327" spans="1:4" x14ac:dyDescent="0.2">
      <c r="A6327"/>
      <c r="B6327"/>
      <c r="C6327"/>
      <c r="D6327"/>
    </row>
    <row r="6328" spans="1:4" x14ac:dyDescent="0.2">
      <c r="A6328"/>
      <c r="B6328"/>
      <c r="C6328"/>
      <c r="D6328"/>
    </row>
    <row r="6329" spans="1:4" x14ac:dyDescent="0.2">
      <c r="A6329"/>
      <c r="B6329"/>
      <c r="C6329"/>
      <c r="D6329"/>
    </row>
    <row r="6330" spans="1:4" x14ac:dyDescent="0.2">
      <c r="A6330"/>
      <c r="B6330"/>
      <c r="C6330"/>
      <c r="D6330"/>
    </row>
    <row r="6331" spans="1:4" x14ac:dyDescent="0.2">
      <c r="A6331"/>
      <c r="B6331"/>
      <c r="C6331"/>
      <c r="D6331"/>
    </row>
    <row r="6332" spans="1:4" x14ac:dyDescent="0.2">
      <c r="A6332"/>
      <c r="B6332"/>
      <c r="C6332"/>
      <c r="D6332"/>
    </row>
    <row r="6333" spans="1:4" x14ac:dyDescent="0.2">
      <c r="A6333"/>
      <c r="B6333"/>
      <c r="C6333"/>
      <c r="D6333"/>
    </row>
    <row r="6334" spans="1:4" x14ac:dyDescent="0.2">
      <c r="A6334"/>
      <c r="B6334"/>
      <c r="C6334"/>
      <c r="D6334"/>
    </row>
    <row r="6335" spans="1:4" x14ac:dyDescent="0.2">
      <c r="A6335"/>
      <c r="B6335"/>
      <c r="C6335"/>
      <c r="D6335"/>
    </row>
    <row r="6336" spans="1:4" x14ac:dyDescent="0.2">
      <c r="A6336"/>
      <c r="B6336"/>
      <c r="C6336"/>
      <c r="D6336"/>
    </row>
    <row r="6337" spans="1:4" x14ac:dyDescent="0.2">
      <c r="A6337"/>
      <c r="B6337"/>
      <c r="C6337"/>
      <c r="D6337"/>
    </row>
    <row r="6338" spans="1:4" x14ac:dyDescent="0.2">
      <c r="A6338"/>
      <c r="B6338"/>
      <c r="C6338"/>
      <c r="D6338"/>
    </row>
    <row r="6339" spans="1:4" x14ac:dyDescent="0.2">
      <c r="A6339"/>
      <c r="B6339"/>
      <c r="C6339"/>
      <c r="D6339"/>
    </row>
    <row r="6340" spans="1:4" x14ac:dyDescent="0.2">
      <c r="A6340"/>
      <c r="B6340"/>
      <c r="C6340"/>
      <c r="D6340"/>
    </row>
    <row r="6341" spans="1:4" x14ac:dyDescent="0.2">
      <c r="A6341"/>
      <c r="B6341"/>
      <c r="C6341"/>
      <c r="D6341"/>
    </row>
    <row r="6342" spans="1:4" x14ac:dyDescent="0.2">
      <c r="A6342"/>
      <c r="B6342"/>
      <c r="C6342"/>
      <c r="D6342"/>
    </row>
    <row r="6343" spans="1:4" x14ac:dyDescent="0.2">
      <c r="A6343"/>
      <c r="B6343"/>
      <c r="C6343"/>
      <c r="D6343"/>
    </row>
    <row r="6344" spans="1:4" x14ac:dyDescent="0.2">
      <c r="A6344"/>
      <c r="B6344"/>
      <c r="C6344"/>
      <c r="D6344"/>
    </row>
    <row r="6345" spans="1:4" x14ac:dyDescent="0.2">
      <c r="A6345"/>
      <c r="B6345"/>
      <c r="C6345"/>
      <c r="D6345"/>
    </row>
    <row r="6346" spans="1:4" x14ac:dyDescent="0.2">
      <c r="A6346"/>
      <c r="B6346"/>
      <c r="C6346"/>
      <c r="D6346"/>
    </row>
    <row r="6347" spans="1:4" x14ac:dyDescent="0.2">
      <c r="A6347"/>
      <c r="B6347"/>
      <c r="C6347"/>
      <c r="D6347"/>
    </row>
    <row r="6348" spans="1:4" x14ac:dyDescent="0.2">
      <c r="A6348"/>
      <c r="B6348"/>
      <c r="C6348"/>
      <c r="D6348"/>
    </row>
    <row r="6349" spans="1:4" x14ac:dyDescent="0.2">
      <c r="A6349"/>
      <c r="B6349"/>
      <c r="C6349"/>
      <c r="D6349"/>
    </row>
    <row r="6350" spans="1:4" x14ac:dyDescent="0.2">
      <c r="A6350"/>
      <c r="B6350"/>
      <c r="C6350"/>
      <c r="D6350"/>
    </row>
    <row r="6351" spans="1:4" x14ac:dyDescent="0.2">
      <c r="A6351"/>
      <c r="B6351"/>
      <c r="C6351"/>
      <c r="D6351"/>
    </row>
    <row r="6352" spans="1:4" x14ac:dyDescent="0.2">
      <c r="A6352"/>
      <c r="B6352"/>
      <c r="C6352"/>
      <c r="D6352"/>
    </row>
    <row r="6353" spans="1:4" x14ac:dyDescent="0.2">
      <c r="A6353"/>
      <c r="B6353"/>
      <c r="C6353"/>
      <c r="D6353"/>
    </row>
    <row r="6354" spans="1:4" x14ac:dyDescent="0.2">
      <c r="A6354"/>
      <c r="B6354"/>
      <c r="C6354"/>
      <c r="D6354"/>
    </row>
    <row r="6355" spans="1:4" x14ac:dyDescent="0.2">
      <c r="A6355"/>
      <c r="B6355"/>
      <c r="C6355"/>
      <c r="D6355"/>
    </row>
    <row r="6356" spans="1:4" x14ac:dyDescent="0.2">
      <c r="A6356"/>
      <c r="B6356"/>
      <c r="C6356"/>
      <c r="D6356"/>
    </row>
    <row r="6357" spans="1:4" x14ac:dyDescent="0.2">
      <c r="A6357"/>
      <c r="B6357"/>
      <c r="C6357"/>
      <c r="D6357"/>
    </row>
    <row r="6358" spans="1:4" x14ac:dyDescent="0.2">
      <c r="A6358"/>
      <c r="B6358"/>
      <c r="C6358"/>
      <c r="D6358"/>
    </row>
    <row r="6359" spans="1:4" x14ac:dyDescent="0.2">
      <c r="A6359"/>
      <c r="B6359"/>
      <c r="C6359"/>
      <c r="D6359"/>
    </row>
    <row r="6360" spans="1:4" x14ac:dyDescent="0.2">
      <c r="A6360"/>
      <c r="B6360"/>
      <c r="C6360"/>
      <c r="D6360"/>
    </row>
    <row r="6361" spans="1:4" x14ac:dyDescent="0.2">
      <c r="A6361"/>
      <c r="B6361"/>
      <c r="C6361"/>
      <c r="D6361"/>
    </row>
    <row r="6362" spans="1:4" x14ac:dyDescent="0.2">
      <c r="A6362"/>
      <c r="B6362"/>
      <c r="C6362"/>
      <c r="D6362"/>
    </row>
    <row r="6363" spans="1:4" x14ac:dyDescent="0.2">
      <c r="A6363"/>
      <c r="B6363"/>
      <c r="C6363"/>
      <c r="D6363"/>
    </row>
    <row r="6364" spans="1:4" x14ac:dyDescent="0.2">
      <c r="A6364"/>
      <c r="B6364"/>
      <c r="C6364"/>
      <c r="D6364"/>
    </row>
    <row r="6365" spans="1:4" x14ac:dyDescent="0.2">
      <c r="A6365"/>
      <c r="B6365"/>
      <c r="C6365"/>
      <c r="D6365"/>
    </row>
    <row r="6366" spans="1:4" x14ac:dyDescent="0.2">
      <c r="A6366"/>
      <c r="B6366"/>
      <c r="C6366"/>
      <c r="D6366"/>
    </row>
    <row r="6367" spans="1:4" x14ac:dyDescent="0.2">
      <c r="A6367"/>
      <c r="B6367"/>
      <c r="C6367"/>
      <c r="D6367"/>
    </row>
    <row r="6368" spans="1:4" x14ac:dyDescent="0.2">
      <c r="A6368"/>
      <c r="B6368"/>
      <c r="C6368"/>
      <c r="D6368"/>
    </row>
    <row r="6369" spans="1:4" x14ac:dyDescent="0.2">
      <c r="A6369"/>
      <c r="B6369"/>
      <c r="C6369"/>
      <c r="D6369"/>
    </row>
    <row r="6370" spans="1:4" x14ac:dyDescent="0.2">
      <c r="A6370"/>
      <c r="B6370"/>
      <c r="C6370"/>
      <c r="D6370"/>
    </row>
    <row r="6371" spans="1:4" x14ac:dyDescent="0.2">
      <c r="A6371"/>
      <c r="B6371"/>
      <c r="C6371"/>
      <c r="D6371"/>
    </row>
    <row r="6372" spans="1:4" x14ac:dyDescent="0.2">
      <c r="A6372"/>
      <c r="B6372"/>
      <c r="C6372"/>
      <c r="D6372"/>
    </row>
    <row r="6373" spans="1:4" x14ac:dyDescent="0.2">
      <c r="A6373"/>
      <c r="B6373"/>
      <c r="C6373"/>
      <c r="D6373"/>
    </row>
    <row r="6374" spans="1:4" x14ac:dyDescent="0.2">
      <c r="A6374"/>
      <c r="B6374"/>
      <c r="C6374"/>
      <c r="D6374"/>
    </row>
    <row r="6375" spans="1:4" x14ac:dyDescent="0.2">
      <c r="A6375"/>
      <c r="B6375"/>
      <c r="C6375"/>
      <c r="D6375"/>
    </row>
    <row r="6376" spans="1:4" x14ac:dyDescent="0.2">
      <c r="A6376"/>
      <c r="B6376"/>
      <c r="C6376"/>
      <c r="D6376"/>
    </row>
    <row r="6377" spans="1:4" x14ac:dyDescent="0.2">
      <c r="A6377"/>
      <c r="B6377"/>
      <c r="C6377"/>
      <c r="D6377"/>
    </row>
    <row r="6378" spans="1:4" x14ac:dyDescent="0.2">
      <c r="A6378"/>
      <c r="B6378"/>
      <c r="C6378"/>
      <c r="D6378"/>
    </row>
    <row r="6379" spans="1:4" x14ac:dyDescent="0.2">
      <c r="A6379"/>
      <c r="B6379"/>
      <c r="C6379"/>
      <c r="D6379"/>
    </row>
    <row r="6380" spans="1:4" x14ac:dyDescent="0.2">
      <c r="A6380"/>
      <c r="B6380"/>
      <c r="C6380"/>
      <c r="D6380"/>
    </row>
    <row r="6381" spans="1:4" x14ac:dyDescent="0.2">
      <c r="A6381"/>
      <c r="B6381"/>
      <c r="C6381"/>
      <c r="D6381"/>
    </row>
    <row r="6382" spans="1:4" x14ac:dyDescent="0.2">
      <c r="A6382"/>
      <c r="B6382"/>
      <c r="C6382"/>
      <c r="D6382"/>
    </row>
    <row r="6383" spans="1:4" x14ac:dyDescent="0.2">
      <c r="A6383"/>
      <c r="B6383"/>
      <c r="C6383"/>
      <c r="D6383"/>
    </row>
    <row r="6384" spans="1:4" x14ac:dyDescent="0.2">
      <c r="A6384"/>
      <c r="B6384"/>
      <c r="C6384"/>
      <c r="D6384"/>
    </row>
    <row r="6385" spans="1:4" x14ac:dyDescent="0.2">
      <c r="A6385"/>
      <c r="B6385"/>
      <c r="C6385"/>
      <c r="D6385"/>
    </row>
    <row r="6386" spans="1:4" x14ac:dyDescent="0.2">
      <c r="A6386"/>
      <c r="B6386"/>
      <c r="C6386"/>
      <c r="D6386"/>
    </row>
    <row r="6387" spans="1:4" x14ac:dyDescent="0.2">
      <c r="A6387"/>
      <c r="B6387"/>
      <c r="C6387"/>
      <c r="D6387"/>
    </row>
    <row r="6388" spans="1:4" x14ac:dyDescent="0.2">
      <c r="A6388"/>
      <c r="B6388"/>
      <c r="C6388"/>
      <c r="D6388"/>
    </row>
    <row r="6389" spans="1:4" x14ac:dyDescent="0.2">
      <c r="A6389"/>
      <c r="B6389"/>
      <c r="C6389"/>
      <c r="D6389"/>
    </row>
    <row r="6390" spans="1:4" x14ac:dyDescent="0.2">
      <c r="A6390"/>
      <c r="B6390"/>
      <c r="C6390"/>
      <c r="D6390"/>
    </row>
    <row r="6391" spans="1:4" x14ac:dyDescent="0.2">
      <c r="A6391"/>
      <c r="B6391"/>
      <c r="C6391"/>
      <c r="D6391"/>
    </row>
    <row r="6392" spans="1:4" x14ac:dyDescent="0.2">
      <c r="A6392"/>
      <c r="B6392"/>
      <c r="C6392"/>
      <c r="D6392"/>
    </row>
    <row r="6393" spans="1:4" x14ac:dyDescent="0.2">
      <c r="A6393"/>
      <c r="B6393"/>
      <c r="C6393"/>
      <c r="D6393"/>
    </row>
    <row r="6394" spans="1:4" x14ac:dyDescent="0.2">
      <c r="A6394"/>
      <c r="B6394"/>
      <c r="C6394"/>
      <c r="D6394"/>
    </row>
    <row r="6395" spans="1:4" x14ac:dyDescent="0.2">
      <c r="A6395"/>
      <c r="B6395"/>
      <c r="C6395"/>
      <c r="D6395"/>
    </row>
    <row r="6396" spans="1:4" x14ac:dyDescent="0.2">
      <c r="A6396"/>
      <c r="B6396"/>
      <c r="C6396"/>
      <c r="D6396"/>
    </row>
    <row r="6397" spans="1:4" x14ac:dyDescent="0.2">
      <c r="A6397"/>
      <c r="B6397"/>
      <c r="C6397"/>
      <c r="D6397"/>
    </row>
    <row r="6398" spans="1:4" x14ac:dyDescent="0.2">
      <c r="A6398"/>
      <c r="B6398"/>
      <c r="C6398"/>
      <c r="D6398"/>
    </row>
    <row r="6399" spans="1:4" x14ac:dyDescent="0.2">
      <c r="A6399"/>
      <c r="B6399"/>
      <c r="C6399"/>
      <c r="D6399"/>
    </row>
    <row r="6400" spans="1:4" x14ac:dyDescent="0.2">
      <c r="A6400"/>
      <c r="B6400"/>
      <c r="C6400"/>
      <c r="D6400"/>
    </row>
    <row r="6401" spans="1:4" x14ac:dyDescent="0.2">
      <c r="A6401"/>
      <c r="B6401"/>
      <c r="C6401"/>
      <c r="D6401"/>
    </row>
    <row r="6402" spans="1:4" x14ac:dyDescent="0.2">
      <c r="A6402"/>
      <c r="B6402"/>
      <c r="C6402"/>
      <c r="D6402"/>
    </row>
    <row r="6403" spans="1:4" x14ac:dyDescent="0.2">
      <c r="A6403"/>
      <c r="B6403"/>
      <c r="C6403"/>
      <c r="D6403"/>
    </row>
    <row r="6404" spans="1:4" x14ac:dyDescent="0.2">
      <c r="A6404"/>
      <c r="B6404"/>
      <c r="C6404"/>
      <c r="D6404"/>
    </row>
    <row r="6405" spans="1:4" x14ac:dyDescent="0.2">
      <c r="A6405"/>
      <c r="B6405"/>
      <c r="C6405"/>
      <c r="D6405"/>
    </row>
    <row r="6406" spans="1:4" x14ac:dyDescent="0.2">
      <c r="A6406"/>
      <c r="B6406"/>
      <c r="C6406"/>
      <c r="D6406"/>
    </row>
    <row r="6407" spans="1:4" x14ac:dyDescent="0.2">
      <c r="A6407"/>
      <c r="B6407"/>
      <c r="C6407"/>
      <c r="D6407"/>
    </row>
    <row r="6408" spans="1:4" x14ac:dyDescent="0.2">
      <c r="A6408"/>
      <c r="B6408"/>
      <c r="C6408"/>
      <c r="D6408"/>
    </row>
    <row r="6409" spans="1:4" x14ac:dyDescent="0.2">
      <c r="A6409"/>
      <c r="B6409"/>
      <c r="C6409"/>
      <c r="D6409"/>
    </row>
    <row r="6410" spans="1:4" x14ac:dyDescent="0.2">
      <c r="A6410"/>
      <c r="B6410"/>
      <c r="C6410"/>
      <c r="D6410"/>
    </row>
    <row r="6411" spans="1:4" x14ac:dyDescent="0.2">
      <c r="A6411"/>
      <c r="B6411"/>
      <c r="C6411"/>
      <c r="D6411"/>
    </row>
    <row r="6412" spans="1:4" x14ac:dyDescent="0.2">
      <c r="A6412"/>
      <c r="B6412"/>
      <c r="C6412"/>
      <c r="D6412"/>
    </row>
    <row r="6413" spans="1:4" x14ac:dyDescent="0.2">
      <c r="A6413"/>
      <c r="B6413"/>
      <c r="C6413"/>
      <c r="D6413"/>
    </row>
    <row r="6414" spans="1:4" x14ac:dyDescent="0.2">
      <c r="A6414"/>
      <c r="B6414"/>
      <c r="C6414"/>
      <c r="D6414"/>
    </row>
    <row r="6415" spans="1:4" x14ac:dyDescent="0.2">
      <c r="A6415"/>
      <c r="B6415"/>
      <c r="C6415"/>
      <c r="D6415"/>
    </row>
    <row r="6416" spans="1:4" x14ac:dyDescent="0.2">
      <c r="A6416"/>
      <c r="B6416"/>
      <c r="C6416"/>
      <c r="D6416"/>
    </row>
    <row r="6417" spans="1:4" x14ac:dyDescent="0.2">
      <c r="A6417"/>
      <c r="B6417"/>
      <c r="C6417"/>
      <c r="D6417"/>
    </row>
    <row r="6418" spans="1:4" x14ac:dyDescent="0.2">
      <c r="A6418"/>
      <c r="B6418"/>
      <c r="C6418"/>
      <c r="D6418"/>
    </row>
    <row r="6419" spans="1:4" x14ac:dyDescent="0.2">
      <c r="A6419"/>
      <c r="B6419"/>
      <c r="C6419"/>
      <c r="D6419"/>
    </row>
    <row r="6420" spans="1:4" x14ac:dyDescent="0.2">
      <c r="A6420"/>
      <c r="B6420"/>
      <c r="C6420"/>
      <c r="D6420"/>
    </row>
    <row r="6421" spans="1:4" x14ac:dyDescent="0.2">
      <c r="A6421"/>
      <c r="B6421"/>
      <c r="C6421"/>
      <c r="D6421"/>
    </row>
    <row r="6422" spans="1:4" x14ac:dyDescent="0.2">
      <c r="A6422"/>
      <c r="B6422"/>
      <c r="C6422"/>
      <c r="D6422"/>
    </row>
    <row r="6423" spans="1:4" x14ac:dyDescent="0.2">
      <c r="A6423"/>
      <c r="B6423"/>
      <c r="C6423"/>
      <c r="D6423"/>
    </row>
    <row r="6424" spans="1:4" x14ac:dyDescent="0.2">
      <c r="A6424"/>
      <c r="B6424"/>
      <c r="C6424"/>
      <c r="D6424"/>
    </row>
    <row r="6425" spans="1:4" x14ac:dyDescent="0.2">
      <c r="A6425"/>
      <c r="B6425"/>
      <c r="C6425"/>
      <c r="D6425"/>
    </row>
    <row r="6426" spans="1:4" x14ac:dyDescent="0.2">
      <c r="A6426"/>
      <c r="B6426"/>
      <c r="C6426"/>
      <c r="D6426"/>
    </row>
    <row r="6427" spans="1:4" x14ac:dyDescent="0.2">
      <c r="A6427"/>
      <c r="B6427"/>
      <c r="C6427"/>
      <c r="D6427"/>
    </row>
    <row r="6428" spans="1:4" x14ac:dyDescent="0.2">
      <c r="A6428"/>
      <c r="B6428"/>
      <c r="C6428"/>
      <c r="D6428"/>
    </row>
    <row r="6429" spans="1:4" x14ac:dyDescent="0.2">
      <c r="A6429"/>
      <c r="B6429"/>
      <c r="C6429"/>
      <c r="D6429"/>
    </row>
    <row r="6430" spans="1:4" x14ac:dyDescent="0.2">
      <c r="A6430"/>
      <c r="B6430"/>
      <c r="C6430"/>
      <c r="D6430"/>
    </row>
    <row r="6431" spans="1:4" x14ac:dyDescent="0.2">
      <c r="A6431"/>
      <c r="B6431"/>
      <c r="C6431"/>
      <c r="D6431"/>
    </row>
    <row r="6432" spans="1:4" x14ac:dyDescent="0.2">
      <c r="A6432"/>
      <c r="B6432"/>
      <c r="C6432"/>
      <c r="D6432"/>
    </row>
    <row r="6433" spans="1:4" x14ac:dyDescent="0.2">
      <c r="A6433"/>
      <c r="B6433"/>
      <c r="C6433"/>
      <c r="D6433"/>
    </row>
    <row r="6434" spans="1:4" x14ac:dyDescent="0.2">
      <c r="A6434"/>
      <c r="B6434"/>
      <c r="C6434"/>
      <c r="D6434"/>
    </row>
    <row r="6435" spans="1:4" x14ac:dyDescent="0.2">
      <c r="A6435"/>
      <c r="B6435"/>
      <c r="C6435"/>
      <c r="D6435"/>
    </row>
    <row r="6436" spans="1:4" x14ac:dyDescent="0.2">
      <c r="A6436"/>
      <c r="B6436"/>
      <c r="C6436"/>
      <c r="D6436"/>
    </row>
    <row r="6437" spans="1:4" x14ac:dyDescent="0.2">
      <c r="A6437"/>
      <c r="B6437"/>
      <c r="C6437"/>
      <c r="D6437"/>
    </row>
    <row r="6438" spans="1:4" x14ac:dyDescent="0.2">
      <c r="A6438"/>
      <c r="B6438"/>
      <c r="C6438"/>
      <c r="D6438"/>
    </row>
    <row r="6439" spans="1:4" x14ac:dyDescent="0.2">
      <c r="A6439"/>
      <c r="B6439"/>
      <c r="C6439"/>
      <c r="D6439"/>
    </row>
    <row r="6440" spans="1:4" x14ac:dyDescent="0.2">
      <c r="A6440"/>
      <c r="B6440"/>
      <c r="C6440"/>
      <c r="D6440"/>
    </row>
    <row r="6441" spans="1:4" x14ac:dyDescent="0.2">
      <c r="A6441"/>
      <c r="B6441"/>
      <c r="C6441"/>
      <c r="D6441"/>
    </row>
    <row r="6442" spans="1:4" x14ac:dyDescent="0.2">
      <c r="A6442"/>
      <c r="B6442"/>
      <c r="C6442"/>
      <c r="D6442"/>
    </row>
    <row r="6443" spans="1:4" x14ac:dyDescent="0.2">
      <c r="A6443"/>
      <c r="B6443"/>
      <c r="C6443"/>
      <c r="D6443"/>
    </row>
    <row r="6444" spans="1:4" x14ac:dyDescent="0.2">
      <c r="A6444"/>
      <c r="B6444"/>
      <c r="C6444"/>
      <c r="D6444"/>
    </row>
    <row r="6445" spans="1:4" x14ac:dyDescent="0.2">
      <c r="A6445"/>
      <c r="B6445"/>
      <c r="C6445"/>
      <c r="D6445"/>
    </row>
    <row r="6446" spans="1:4" x14ac:dyDescent="0.2">
      <c r="A6446"/>
      <c r="B6446"/>
      <c r="C6446"/>
      <c r="D6446"/>
    </row>
    <row r="6447" spans="1:4" x14ac:dyDescent="0.2">
      <c r="A6447"/>
      <c r="B6447"/>
      <c r="C6447"/>
      <c r="D6447"/>
    </row>
    <row r="6448" spans="1:4" x14ac:dyDescent="0.2">
      <c r="A6448"/>
      <c r="B6448"/>
      <c r="C6448"/>
      <c r="D6448"/>
    </row>
    <row r="6449" spans="1:4" x14ac:dyDescent="0.2">
      <c r="A6449"/>
      <c r="B6449"/>
      <c r="C6449"/>
      <c r="D6449"/>
    </row>
    <row r="6450" spans="1:4" x14ac:dyDescent="0.2">
      <c r="A6450"/>
      <c r="B6450"/>
      <c r="C6450"/>
      <c r="D6450"/>
    </row>
    <row r="6451" spans="1:4" x14ac:dyDescent="0.2">
      <c r="A6451"/>
      <c r="B6451"/>
      <c r="C6451"/>
      <c r="D6451"/>
    </row>
    <row r="6452" spans="1:4" x14ac:dyDescent="0.2">
      <c r="A6452"/>
      <c r="B6452"/>
      <c r="C6452"/>
      <c r="D6452"/>
    </row>
    <row r="6453" spans="1:4" x14ac:dyDescent="0.2">
      <c r="A6453"/>
      <c r="B6453"/>
      <c r="C6453"/>
      <c r="D6453"/>
    </row>
    <row r="6454" spans="1:4" x14ac:dyDescent="0.2">
      <c r="A6454"/>
      <c r="B6454"/>
      <c r="C6454"/>
      <c r="D6454"/>
    </row>
    <row r="6455" spans="1:4" x14ac:dyDescent="0.2">
      <c r="A6455"/>
      <c r="B6455"/>
      <c r="C6455"/>
      <c r="D6455"/>
    </row>
    <row r="6456" spans="1:4" x14ac:dyDescent="0.2">
      <c r="A6456"/>
      <c r="B6456"/>
      <c r="C6456"/>
      <c r="D6456"/>
    </row>
    <row r="6457" spans="1:4" x14ac:dyDescent="0.2">
      <c r="A6457"/>
      <c r="B6457"/>
      <c r="C6457"/>
      <c r="D6457"/>
    </row>
    <row r="6458" spans="1:4" x14ac:dyDescent="0.2">
      <c r="A6458"/>
      <c r="B6458"/>
      <c r="C6458"/>
      <c r="D6458"/>
    </row>
    <row r="6459" spans="1:4" x14ac:dyDescent="0.2">
      <c r="A6459"/>
      <c r="B6459"/>
      <c r="C6459"/>
      <c r="D6459"/>
    </row>
    <row r="6460" spans="1:4" x14ac:dyDescent="0.2">
      <c r="A6460"/>
      <c r="B6460"/>
      <c r="C6460"/>
      <c r="D6460"/>
    </row>
    <row r="6461" spans="1:4" x14ac:dyDescent="0.2">
      <c r="A6461"/>
      <c r="B6461"/>
      <c r="C6461"/>
      <c r="D6461"/>
    </row>
    <row r="6462" spans="1:4" x14ac:dyDescent="0.2">
      <c r="A6462"/>
      <c r="B6462"/>
      <c r="C6462"/>
      <c r="D6462"/>
    </row>
    <row r="6463" spans="1:4" x14ac:dyDescent="0.2">
      <c r="A6463"/>
      <c r="B6463"/>
      <c r="C6463"/>
      <c r="D6463"/>
    </row>
    <row r="6464" spans="1:4" x14ac:dyDescent="0.2">
      <c r="A6464"/>
      <c r="B6464"/>
      <c r="C6464"/>
      <c r="D6464"/>
    </row>
    <row r="6465" spans="1:4" x14ac:dyDescent="0.2">
      <c r="A6465"/>
      <c r="B6465"/>
      <c r="C6465"/>
      <c r="D6465"/>
    </row>
    <row r="6466" spans="1:4" x14ac:dyDescent="0.2">
      <c r="A6466"/>
      <c r="B6466"/>
      <c r="C6466"/>
      <c r="D6466"/>
    </row>
    <row r="6467" spans="1:4" x14ac:dyDescent="0.2">
      <c r="A6467"/>
      <c r="B6467"/>
      <c r="C6467"/>
      <c r="D6467"/>
    </row>
    <row r="6468" spans="1:4" x14ac:dyDescent="0.2">
      <c r="A6468"/>
      <c r="B6468"/>
      <c r="C6468"/>
      <c r="D6468"/>
    </row>
    <row r="6469" spans="1:4" x14ac:dyDescent="0.2">
      <c r="A6469"/>
      <c r="B6469"/>
      <c r="C6469"/>
      <c r="D6469"/>
    </row>
    <row r="6470" spans="1:4" x14ac:dyDescent="0.2">
      <c r="A6470"/>
      <c r="B6470"/>
      <c r="C6470"/>
      <c r="D6470"/>
    </row>
    <row r="6471" spans="1:4" x14ac:dyDescent="0.2">
      <c r="A6471"/>
      <c r="B6471"/>
      <c r="C6471"/>
      <c r="D6471"/>
    </row>
    <row r="6472" spans="1:4" x14ac:dyDescent="0.2">
      <c r="A6472"/>
      <c r="B6472"/>
      <c r="C6472"/>
      <c r="D6472"/>
    </row>
    <row r="6473" spans="1:4" x14ac:dyDescent="0.2">
      <c r="A6473"/>
      <c r="B6473"/>
      <c r="C6473"/>
      <c r="D6473"/>
    </row>
    <row r="6474" spans="1:4" x14ac:dyDescent="0.2">
      <c r="A6474"/>
      <c r="B6474"/>
      <c r="C6474"/>
      <c r="D6474"/>
    </row>
    <row r="6475" spans="1:4" x14ac:dyDescent="0.2">
      <c r="A6475"/>
      <c r="B6475"/>
      <c r="C6475"/>
      <c r="D6475"/>
    </row>
    <row r="6476" spans="1:4" x14ac:dyDescent="0.2">
      <c r="A6476"/>
      <c r="B6476"/>
      <c r="C6476"/>
      <c r="D6476"/>
    </row>
    <row r="6477" spans="1:4" x14ac:dyDescent="0.2">
      <c r="A6477"/>
      <c r="B6477"/>
      <c r="C6477"/>
      <c r="D6477"/>
    </row>
    <row r="6478" spans="1:4" x14ac:dyDescent="0.2">
      <c r="A6478"/>
      <c r="B6478"/>
      <c r="C6478"/>
      <c r="D6478"/>
    </row>
    <row r="6479" spans="1:4" x14ac:dyDescent="0.2">
      <c r="A6479"/>
      <c r="B6479"/>
      <c r="C6479"/>
      <c r="D6479"/>
    </row>
    <row r="6480" spans="1:4" x14ac:dyDescent="0.2">
      <c r="A6480"/>
      <c r="B6480"/>
      <c r="C6480"/>
      <c r="D6480"/>
    </row>
    <row r="6481" spans="1:4" x14ac:dyDescent="0.2">
      <c r="A6481"/>
      <c r="B6481"/>
      <c r="C6481"/>
      <c r="D6481"/>
    </row>
    <row r="6482" spans="1:4" x14ac:dyDescent="0.2">
      <c r="A6482"/>
      <c r="B6482"/>
      <c r="C6482"/>
      <c r="D6482"/>
    </row>
    <row r="6483" spans="1:4" x14ac:dyDescent="0.2">
      <c r="A6483"/>
      <c r="B6483"/>
      <c r="C6483"/>
      <c r="D6483"/>
    </row>
    <row r="6484" spans="1:4" x14ac:dyDescent="0.2">
      <c r="A6484"/>
      <c r="B6484"/>
      <c r="C6484"/>
      <c r="D6484"/>
    </row>
    <row r="6485" spans="1:4" x14ac:dyDescent="0.2">
      <c r="A6485"/>
      <c r="B6485"/>
      <c r="C6485"/>
      <c r="D6485"/>
    </row>
    <row r="6486" spans="1:4" x14ac:dyDescent="0.2">
      <c r="A6486"/>
      <c r="B6486"/>
      <c r="C6486"/>
      <c r="D6486"/>
    </row>
    <row r="6487" spans="1:4" x14ac:dyDescent="0.2">
      <c r="A6487"/>
      <c r="B6487"/>
      <c r="C6487"/>
      <c r="D6487"/>
    </row>
    <row r="6488" spans="1:4" x14ac:dyDescent="0.2">
      <c r="A6488"/>
      <c r="B6488"/>
      <c r="C6488"/>
      <c r="D6488"/>
    </row>
    <row r="6489" spans="1:4" x14ac:dyDescent="0.2">
      <c r="A6489"/>
      <c r="B6489"/>
      <c r="C6489"/>
      <c r="D6489"/>
    </row>
    <row r="6490" spans="1:4" x14ac:dyDescent="0.2">
      <c r="A6490"/>
      <c r="B6490"/>
      <c r="C6490"/>
      <c r="D6490"/>
    </row>
    <row r="6491" spans="1:4" x14ac:dyDescent="0.2">
      <c r="A6491"/>
      <c r="B6491"/>
      <c r="C6491"/>
      <c r="D6491"/>
    </row>
    <row r="6492" spans="1:4" x14ac:dyDescent="0.2">
      <c r="A6492"/>
      <c r="B6492"/>
      <c r="C6492"/>
      <c r="D6492"/>
    </row>
    <row r="6493" spans="1:4" x14ac:dyDescent="0.2">
      <c r="A6493"/>
      <c r="B6493"/>
      <c r="C6493"/>
      <c r="D6493"/>
    </row>
    <row r="6494" spans="1:4" x14ac:dyDescent="0.2">
      <c r="A6494"/>
      <c r="B6494"/>
      <c r="C6494"/>
      <c r="D6494"/>
    </row>
    <row r="6495" spans="1:4" x14ac:dyDescent="0.2">
      <c r="A6495"/>
      <c r="B6495"/>
      <c r="C6495"/>
      <c r="D6495"/>
    </row>
    <row r="6496" spans="1:4" x14ac:dyDescent="0.2">
      <c r="A6496"/>
      <c r="B6496"/>
      <c r="C6496"/>
      <c r="D6496"/>
    </row>
    <row r="6497" spans="1:4" x14ac:dyDescent="0.2">
      <c r="A6497"/>
      <c r="B6497"/>
      <c r="C6497"/>
      <c r="D6497"/>
    </row>
    <row r="6498" spans="1:4" x14ac:dyDescent="0.2">
      <c r="A6498"/>
      <c r="B6498"/>
      <c r="C6498"/>
      <c r="D6498"/>
    </row>
    <row r="6499" spans="1:4" x14ac:dyDescent="0.2">
      <c r="A6499"/>
      <c r="B6499"/>
      <c r="C6499"/>
      <c r="D6499"/>
    </row>
    <row r="6500" spans="1:4" x14ac:dyDescent="0.2">
      <c r="A6500"/>
      <c r="B6500"/>
      <c r="C6500"/>
      <c r="D6500"/>
    </row>
    <row r="6501" spans="1:4" x14ac:dyDescent="0.2">
      <c r="A6501"/>
      <c r="B6501"/>
      <c r="C6501"/>
      <c r="D6501"/>
    </row>
    <row r="6502" spans="1:4" x14ac:dyDescent="0.2">
      <c r="A6502"/>
      <c r="B6502"/>
      <c r="C6502"/>
      <c r="D6502"/>
    </row>
    <row r="6503" spans="1:4" x14ac:dyDescent="0.2">
      <c r="A6503"/>
      <c r="B6503"/>
      <c r="C6503"/>
      <c r="D6503"/>
    </row>
    <row r="6504" spans="1:4" x14ac:dyDescent="0.2">
      <c r="A6504"/>
      <c r="B6504"/>
      <c r="C6504"/>
      <c r="D6504"/>
    </row>
    <row r="6505" spans="1:4" x14ac:dyDescent="0.2">
      <c r="A6505"/>
      <c r="B6505"/>
      <c r="C6505"/>
      <c r="D6505"/>
    </row>
    <row r="6506" spans="1:4" x14ac:dyDescent="0.2">
      <c r="A6506"/>
      <c r="B6506"/>
      <c r="C6506"/>
      <c r="D6506"/>
    </row>
    <row r="6507" spans="1:4" x14ac:dyDescent="0.2">
      <c r="A6507"/>
      <c r="B6507"/>
      <c r="C6507"/>
      <c r="D6507"/>
    </row>
    <row r="6508" spans="1:4" x14ac:dyDescent="0.2">
      <c r="A6508"/>
      <c r="B6508"/>
      <c r="C6508"/>
      <c r="D6508"/>
    </row>
    <row r="6509" spans="1:4" x14ac:dyDescent="0.2">
      <c r="A6509"/>
      <c r="B6509"/>
      <c r="C6509"/>
      <c r="D6509"/>
    </row>
    <row r="6510" spans="1:4" x14ac:dyDescent="0.2">
      <c r="A6510"/>
      <c r="B6510"/>
      <c r="C6510"/>
      <c r="D6510"/>
    </row>
    <row r="6511" spans="1:4" x14ac:dyDescent="0.2">
      <c r="A6511"/>
      <c r="B6511"/>
      <c r="C6511"/>
      <c r="D6511"/>
    </row>
    <row r="6512" spans="1:4" x14ac:dyDescent="0.2">
      <c r="A6512"/>
      <c r="B6512"/>
      <c r="C6512"/>
      <c r="D6512"/>
    </row>
    <row r="6513" spans="1:4" x14ac:dyDescent="0.2">
      <c r="A6513"/>
      <c r="B6513"/>
      <c r="C6513"/>
      <c r="D6513"/>
    </row>
    <row r="6514" spans="1:4" x14ac:dyDescent="0.2">
      <c r="A6514"/>
      <c r="B6514"/>
      <c r="C6514"/>
      <c r="D6514"/>
    </row>
    <row r="6515" spans="1:4" x14ac:dyDescent="0.2">
      <c r="A6515"/>
      <c r="B6515"/>
      <c r="C6515"/>
      <c r="D6515"/>
    </row>
    <row r="6516" spans="1:4" x14ac:dyDescent="0.2">
      <c r="A6516"/>
      <c r="B6516"/>
      <c r="C6516"/>
      <c r="D6516"/>
    </row>
    <row r="6517" spans="1:4" x14ac:dyDescent="0.2">
      <c r="A6517"/>
      <c r="B6517"/>
      <c r="C6517"/>
      <c r="D6517"/>
    </row>
    <row r="6518" spans="1:4" x14ac:dyDescent="0.2">
      <c r="A6518"/>
      <c r="B6518"/>
      <c r="C6518"/>
      <c r="D6518"/>
    </row>
    <row r="6519" spans="1:4" x14ac:dyDescent="0.2">
      <c r="A6519"/>
      <c r="B6519"/>
      <c r="C6519"/>
      <c r="D6519"/>
    </row>
    <row r="6520" spans="1:4" x14ac:dyDescent="0.2">
      <c r="A6520"/>
      <c r="B6520"/>
      <c r="C6520"/>
      <c r="D6520"/>
    </row>
    <row r="6521" spans="1:4" x14ac:dyDescent="0.2">
      <c r="A6521"/>
      <c r="B6521"/>
      <c r="C6521"/>
      <c r="D6521"/>
    </row>
    <row r="6522" spans="1:4" x14ac:dyDescent="0.2">
      <c r="A6522"/>
      <c r="B6522"/>
      <c r="C6522"/>
      <c r="D6522"/>
    </row>
    <row r="6523" spans="1:4" x14ac:dyDescent="0.2">
      <c r="A6523"/>
      <c r="B6523"/>
      <c r="C6523"/>
      <c r="D6523"/>
    </row>
    <row r="6524" spans="1:4" x14ac:dyDescent="0.2">
      <c r="A6524"/>
      <c r="B6524"/>
      <c r="C6524"/>
      <c r="D6524"/>
    </row>
    <row r="6525" spans="1:4" x14ac:dyDescent="0.2">
      <c r="A6525"/>
      <c r="B6525"/>
      <c r="C6525"/>
      <c r="D6525"/>
    </row>
    <row r="6526" spans="1:4" x14ac:dyDescent="0.2">
      <c r="A6526"/>
      <c r="B6526"/>
      <c r="C6526"/>
      <c r="D6526"/>
    </row>
    <row r="6527" spans="1:4" x14ac:dyDescent="0.2">
      <c r="A6527"/>
      <c r="B6527"/>
      <c r="C6527"/>
      <c r="D6527"/>
    </row>
    <row r="6528" spans="1:4" x14ac:dyDescent="0.2">
      <c r="A6528"/>
      <c r="B6528"/>
      <c r="C6528"/>
      <c r="D6528"/>
    </row>
    <row r="6529" spans="1:4" x14ac:dyDescent="0.2">
      <c r="A6529"/>
      <c r="B6529"/>
      <c r="C6529"/>
      <c r="D6529"/>
    </row>
    <row r="6530" spans="1:4" x14ac:dyDescent="0.2">
      <c r="A6530"/>
      <c r="B6530"/>
      <c r="C6530"/>
      <c r="D6530"/>
    </row>
    <row r="6531" spans="1:4" x14ac:dyDescent="0.2">
      <c r="A6531"/>
      <c r="B6531"/>
      <c r="C6531"/>
      <c r="D6531"/>
    </row>
    <row r="6532" spans="1:4" x14ac:dyDescent="0.2">
      <c r="A6532"/>
      <c r="B6532"/>
      <c r="C6532"/>
      <c r="D6532"/>
    </row>
    <row r="6533" spans="1:4" x14ac:dyDescent="0.2">
      <c r="A6533"/>
      <c r="B6533"/>
      <c r="C6533"/>
      <c r="D6533"/>
    </row>
    <row r="6534" spans="1:4" x14ac:dyDescent="0.2">
      <c r="A6534"/>
      <c r="B6534"/>
      <c r="C6534"/>
      <c r="D6534"/>
    </row>
    <row r="6535" spans="1:4" x14ac:dyDescent="0.2">
      <c r="A6535"/>
      <c r="B6535"/>
      <c r="C6535"/>
      <c r="D6535"/>
    </row>
    <row r="6536" spans="1:4" x14ac:dyDescent="0.2">
      <c r="A6536"/>
      <c r="B6536"/>
      <c r="C6536"/>
      <c r="D6536"/>
    </row>
    <row r="6537" spans="1:4" x14ac:dyDescent="0.2">
      <c r="A6537"/>
      <c r="B6537"/>
      <c r="C6537"/>
      <c r="D6537"/>
    </row>
    <row r="6538" spans="1:4" x14ac:dyDescent="0.2">
      <c r="A6538"/>
      <c r="B6538"/>
      <c r="C6538"/>
      <c r="D6538"/>
    </row>
    <row r="6539" spans="1:4" x14ac:dyDescent="0.2">
      <c r="A6539"/>
      <c r="B6539"/>
      <c r="C6539"/>
      <c r="D6539"/>
    </row>
    <row r="6540" spans="1:4" x14ac:dyDescent="0.2">
      <c r="A6540"/>
      <c r="B6540"/>
      <c r="C6540"/>
      <c r="D6540"/>
    </row>
    <row r="6541" spans="1:4" x14ac:dyDescent="0.2">
      <c r="A6541"/>
      <c r="B6541"/>
      <c r="C6541"/>
      <c r="D6541"/>
    </row>
    <row r="6542" spans="1:4" x14ac:dyDescent="0.2">
      <c r="A6542"/>
      <c r="B6542"/>
      <c r="C6542"/>
      <c r="D6542"/>
    </row>
    <row r="6543" spans="1:4" x14ac:dyDescent="0.2">
      <c r="A6543"/>
      <c r="B6543"/>
      <c r="C6543"/>
      <c r="D6543"/>
    </row>
    <row r="6544" spans="1:4" x14ac:dyDescent="0.2">
      <c r="A6544"/>
      <c r="B6544"/>
      <c r="C6544"/>
      <c r="D6544"/>
    </row>
    <row r="6545" spans="1:4" x14ac:dyDescent="0.2">
      <c r="A6545"/>
      <c r="B6545"/>
      <c r="C6545"/>
      <c r="D6545"/>
    </row>
    <row r="6546" spans="1:4" x14ac:dyDescent="0.2">
      <c r="A6546"/>
      <c r="B6546"/>
      <c r="C6546"/>
      <c r="D6546"/>
    </row>
    <row r="6547" spans="1:4" x14ac:dyDescent="0.2">
      <c r="A6547"/>
      <c r="B6547"/>
      <c r="C6547"/>
      <c r="D6547"/>
    </row>
    <row r="6548" spans="1:4" x14ac:dyDescent="0.2">
      <c r="A6548"/>
      <c r="B6548"/>
      <c r="C6548"/>
      <c r="D6548"/>
    </row>
    <row r="6549" spans="1:4" x14ac:dyDescent="0.2">
      <c r="A6549"/>
      <c r="B6549"/>
      <c r="C6549"/>
      <c r="D6549"/>
    </row>
    <row r="6550" spans="1:4" x14ac:dyDescent="0.2">
      <c r="A6550"/>
      <c r="B6550"/>
      <c r="C6550"/>
      <c r="D6550"/>
    </row>
    <row r="6551" spans="1:4" x14ac:dyDescent="0.2">
      <c r="A6551"/>
      <c r="B6551"/>
      <c r="C6551"/>
      <c r="D6551"/>
    </row>
    <row r="6552" spans="1:4" x14ac:dyDescent="0.2">
      <c r="A6552"/>
      <c r="B6552"/>
      <c r="C6552"/>
      <c r="D6552"/>
    </row>
    <row r="6553" spans="1:4" x14ac:dyDescent="0.2">
      <c r="A6553"/>
      <c r="B6553"/>
      <c r="C6553"/>
      <c r="D6553"/>
    </row>
    <row r="6554" spans="1:4" x14ac:dyDescent="0.2">
      <c r="A6554"/>
      <c r="B6554"/>
      <c r="C6554"/>
      <c r="D6554"/>
    </row>
    <row r="6555" spans="1:4" x14ac:dyDescent="0.2">
      <c r="A6555"/>
      <c r="B6555"/>
      <c r="C6555"/>
      <c r="D6555"/>
    </row>
    <row r="6556" spans="1:4" x14ac:dyDescent="0.2">
      <c r="A6556"/>
      <c r="B6556"/>
      <c r="C6556"/>
      <c r="D6556"/>
    </row>
    <row r="6557" spans="1:4" x14ac:dyDescent="0.2">
      <c r="A6557"/>
      <c r="B6557"/>
      <c r="C6557"/>
      <c r="D6557"/>
    </row>
    <row r="6558" spans="1:4" x14ac:dyDescent="0.2">
      <c r="A6558"/>
      <c r="B6558"/>
      <c r="C6558"/>
      <c r="D6558"/>
    </row>
    <row r="6559" spans="1:4" x14ac:dyDescent="0.2">
      <c r="A6559"/>
      <c r="B6559"/>
      <c r="C6559"/>
      <c r="D6559"/>
    </row>
    <row r="6560" spans="1:4" x14ac:dyDescent="0.2">
      <c r="A6560"/>
      <c r="B6560"/>
      <c r="C6560"/>
      <c r="D6560"/>
    </row>
    <row r="6561" spans="1:4" x14ac:dyDescent="0.2">
      <c r="A6561"/>
      <c r="B6561"/>
      <c r="C6561"/>
      <c r="D6561"/>
    </row>
    <row r="6562" spans="1:4" x14ac:dyDescent="0.2">
      <c r="A6562"/>
      <c r="B6562"/>
      <c r="C6562"/>
      <c r="D6562"/>
    </row>
    <row r="6563" spans="1:4" x14ac:dyDescent="0.2">
      <c r="A6563"/>
      <c r="B6563"/>
      <c r="C6563"/>
      <c r="D6563"/>
    </row>
    <row r="6564" spans="1:4" x14ac:dyDescent="0.2">
      <c r="A6564"/>
      <c r="B6564"/>
      <c r="C6564"/>
      <c r="D6564"/>
    </row>
    <row r="6565" spans="1:4" x14ac:dyDescent="0.2">
      <c r="A6565"/>
      <c r="B6565"/>
      <c r="C6565"/>
      <c r="D6565"/>
    </row>
    <row r="6566" spans="1:4" x14ac:dyDescent="0.2">
      <c r="A6566"/>
      <c r="B6566"/>
      <c r="C6566"/>
      <c r="D6566"/>
    </row>
    <row r="6567" spans="1:4" x14ac:dyDescent="0.2">
      <c r="A6567"/>
      <c r="B6567"/>
      <c r="C6567"/>
      <c r="D6567"/>
    </row>
    <row r="6568" spans="1:4" x14ac:dyDescent="0.2">
      <c r="A6568"/>
      <c r="B6568"/>
      <c r="C6568"/>
      <c r="D6568"/>
    </row>
    <row r="6569" spans="1:4" x14ac:dyDescent="0.2">
      <c r="A6569"/>
      <c r="B6569"/>
      <c r="C6569"/>
      <c r="D6569"/>
    </row>
    <row r="6570" spans="1:4" x14ac:dyDescent="0.2">
      <c r="A6570"/>
      <c r="B6570"/>
      <c r="C6570"/>
      <c r="D6570"/>
    </row>
    <row r="6571" spans="1:4" x14ac:dyDescent="0.2">
      <c r="A6571"/>
      <c r="B6571"/>
      <c r="C6571"/>
      <c r="D6571"/>
    </row>
    <row r="6572" spans="1:4" x14ac:dyDescent="0.2">
      <c r="A6572"/>
      <c r="B6572"/>
      <c r="C6572"/>
      <c r="D6572"/>
    </row>
    <row r="6573" spans="1:4" x14ac:dyDescent="0.2">
      <c r="A6573"/>
      <c r="B6573"/>
      <c r="C6573"/>
      <c r="D6573"/>
    </row>
    <row r="6574" spans="1:4" x14ac:dyDescent="0.2">
      <c r="A6574"/>
      <c r="B6574"/>
      <c r="C6574"/>
      <c r="D6574"/>
    </row>
    <row r="6575" spans="1:4" x14ac:dyDescent="0.2">
      <c r="A6575"/>
      <c r="B6575"/>
      <c r="C6575"/>
      <c r="D6575"/>
    </row>
    <row r="6576" spans="1:4" x14ac:dyDescent="0.2">
      <c r="A6576"/>
      <c r="B6576"/>
      <c r="C6576"/>
      <c r="D6576"/>
    </row>
    <row r="6577" spans="1:4" x14ac:dyDescent="0.2">
      <c r="A6577"/>
      <c r="B6577"/>
      <c r="C6577"/>
      <c r="D6577"/>
    </row>
    <row r="6578" spans="1:4" x14ac:dyDescent="0.2">
      <c r="A6578"/>
      <c r="B6578"/>
      <c r="C6578"/>
      <c r="D6578"/>
    </row>
    <row r="6579" spans="1:4" x14ac:dyDescent="0.2">
      <c r="A6579"/>
      <c r="B6579"/>
      <c r="C6579"/>
      <c r="D6579"/>
    </row>
    <row r="6580" spans="1:4" x14ac:dyDescent="0.2">
      <c r="A6580"/>
      <c r="B6580"/>
      <c r="C6580"/>
      <c r="D6580"/>
    </row>
    <row r="6581" spans="1:4" x14ac:dyDescent="0.2">
      <c r="A6581"/>
      <c r="B6581"/>
      <c r="C6581"/>
      <c r="D6581"/>
    </row>
    <row r="6582" spans="1:4" x14ac:dyDescent="0.2">
      <c r="A6582"/>
      <c r="B6582"/>
      <c r="C6582"/>
      <c r="D6582"/>
    </row>
    <row r="6583" spans="1:4" x14ac:dyDescent="0.2">
      <c r="A6583"/>
      <c r="B6583"/>
      <c r="C6583"/>
      <c r="D6583"/>
    </row>
    <row r="6584" spans="1:4" x14ac:dyDescent="0.2">
      <c r="A6584"/>
      <c r="B6584"/>
      <c r="C6584"/>
      <c r="D6584"/>
    </row>
    <row r="6585" spans="1:4" x14ac:dyDescent="0.2">
      <c r="A6585"/>
      <c r="B6585"/>
      <c r="C6585"/>
      <c r="D6585"/>
    </row>
    <row r="6586" spans="1:4" x14ac:dyDescent="0.2">
      <c r="A6586"/>
      <c r="B6586"/>
      <c r="C6586"/>
      <c r="D6586"/>
    </row>
    <row r="6587" spans="1:4" x14ac:dyDescent="0.2">
      <c r="A6587"/>
      <c r="B6587"/>
      <c r="C6587"/>
      <c r="D6587"/>
    </row>
    <row r="6588" spans="1:4" x14ac:dyDescent="0.2">
      <c r="A6588"/>
      <c r="B6588"/>
      <c r="C6588"/>
      <c r="D6588"/>
    </row>
    <row r="6589" spans="1:4" x14ac:dyDescent="0.2">
      <c r="A6589"/>
      <c r="B6589"/>
      <c r="C6589"/>
      <c r="D6589"/>
    </row>
    <row r="6590" spans="1:4" x14ac:dyDescent="0.2">
      <c r="A6590"/>
      <c r="B6590"/>
      <c r="C6590"/>
      <c r="D6590"/>
    </row>
    <row r="6591" spans="1:4" x14ac:dyDescent="0.2">
      <c r="A6591"/>
      <c r="B6591"/>
      <c r="C6591"/>
      <c r="D6591"/>
    </row>
    <row r="6592" spans="1:4" x14ac:dyDescent="0.2">
      <c r="A6592"/>
      <c r="B6592"/>
      <c r="C6592"/>
      <c r="D6592"/>
    </row>
    <row r="6593" spans="1:4" x14ac:dyDescent="0.2">
      <c r="A6593"/>
      <c r="B6593"/>
      <c r="C6593"/>
      <c r="D6593"/>
    </row>
    <row r="6594" spans="1:4" x14ac:dyDescent="0.2">
      <c r="A6594"/>
      <c r="B6594"/>
      <c r="C6594"/>
      <c r="D6594"/>
    </row>
    <row r="6595" spans="1:4" x14ac:dyDescent="0.2">
      <c r="A6595"/>
      <c r="B6595"/>
      <c r="C6595"/>
      <c r="D6595"/>
    </row>
    <row r="6596" spans="1:4" x14ac:dyDescent="0.2">
      <c r="A6596"/>
      <c r="B6596"/>
      <c r="C6596"/>
      <c r="D6596"/>
    </row>
    <row r="6597" spans="1:4" x14ac:dyDescent="0.2">
      <c r="A6597"/>
      <c r="B6597"/>
      <c r="C6597"/>
      <c r="D6597"/>
    </row>
    <row r="6598" spans="1:4" x14ac:dyDescent="0.2">
      <c r="A6598"/>
      <c r="B6598"/>
      <c r="C6598"/>
      <c r="D6598"/>
    </row>
    <row r="6599" spans="1:4" x14ac:dyDescent="0.2">
      <c r="A6599"/>
      <c r="B6599"/>
      <c r="C6599"/>
      <c r="D6599"/>
    </row>
    <row r="6600" spans="1:4" x14ac:dyDescent="0.2">
      <c r="A6600"/>
      <c r="B6600"/>
      <c r="C6600"/>
      <c r="D6600"/>
    </row>
    <row r="6601" spans="1:4" x14ac:dyDescent="0.2">
      <c r="A6601"/>
      <c r="B6601"/>
      <c r="C6601"/>
      <c r="D6601"/>
    </row>
    <row r="6602" spans="1:4" x14ac:dyDescent="0.2">
      <c r="A6602"/>
      <c r="B6602"/>
      <c r="C6602"/>
      <c r="D6602"/>
    </row>
    <row r="6603" spans="1:4" x14ac:dyDescent="0.2">
      <c r="A6603"/>
      <c r="B6603"/>
      <c r="C6603"/>
      <c r="D6603"/>
    </row>
    <row r="6604" spans="1:4" x14ac:dyDescent="0.2">
      <c r="A6604"/>
      <c r="B6604"/>
      <c r="C6604"/>
      <c r="D6604"/>
    </row>
    <row r="6605" spans="1:4" x14ac:dyDescent="0.2">
      <c r="A6605"/>
      <c r="B6605"/>
      <c r="C6605"/>
      <c r="D6605"/>
    </row>
    <row r="6606" spans="1:4" x14ac:dyDescent="0.2">
      <c r="A6606"/>
      <c r="B6606"/>
      <c r="C6606"/>
      <c r="D6606"/>
    </row>
    <row r="6607" spans="1:4" x14ac:dyDescent="0.2">
      <c r="A6607"/>
      <c r="B6607"/>
      <c r="C6607"/>
      <c r="D6607"/>
    </row>
    <row r="6608" spans="1:4" x14ac:dyDescent="0.2">
      <c r="A6608"/>
      <c r="B6608"/>
      <c r="C6608"/>
      <c r="D6608"/>
    </row>
    <row r="6609" spans="1:4" x14ac:dyDescent="0.2">
      <c r="A6609"/>
      <c r="B6609"/>
      <c r="C6609"/>
      <c r="D6609"/>
    </row>
    <row r="6610" spans="1:4" x14ac:dyDescent="0.2">
      <c r="A6610"/>
      <c r="B6610"/>
      <c r="C6610"/>
      <c r="D6610"/>
    </row>
    <row r="6611" spans="1:4" x14ac:dyDescent="0.2">
      <c r="A6611"/>
      <c r="B6611"/>
      <c r="C6611"/>
      <c r="D6611"/>
    </row>
    <row r="6612" spans="1:4" x14ac:dyDescent="0.2">
      <c r="A6612"/>
      <c r="B6612"/>
      <c r="C6612"/>
      <c r="D6612"/>
    </row>
    <row r="6613" spans="1:4" x14ac:dyDescent="0.2">
      <c r="A6613"/>
      <c r="B6613"/>
      <c r="C6613"/>
      <c r="D6613"/>
    </row>
    <row r="6614" spans="1:4" x14ac:dyDescent="0.2">
      <c r="A6614"/>
      <c r="B6614"/>
      <c r="C6614"/>
      <c r="D6614"/>
    </row>
    <row r="6615" spans="1:4" x14ac:dyDescent="0.2">
      <c r="A6615"/>
      <c r="B6615"/>
      <c r="C6615"/>
      <c r="D6615"/>
    </row>
    <row r="6616" spans="1:4" x14ac:dyDescent="0.2">
      <c r="A6616"/>
      <c r="B6616"/>
      <c r="C6616"/>
      <c r="D6616"/>
    </row>
    <row r="6617" spans="1:4" x14ac:dyDescent="0.2">
      <c r="A6617"/>
      <c r="B6617"/>
      <c r="C6617"/>
      <c r="D6617"/>
    </row>
    <row r="6618" spans="1:4" x14ac:dyDescent="0.2">
      <c r="A6618"/>
      <c r="B6618"/>
      <c r="C6618"/>
      <c r="D6618"/>
    </row>
    <row r="6619" spans="1:4" x14ac:dyDescent="0.2">
      <c r="A6619"/>
      <c r="B6619"/>
      <c r="C6619"/>
      <c r="D6619"/>
    </row>
    <row r="6620" spans="1:4" x14ac:dyDescent="0.2">
      <c r="A6620"/>
      <c r="B6620"/>
      <c r="C6620"/>
      <c r="D6620"/>
    </row>
    <row r="6621" spans="1:4" x14ac:dyDescent="0.2">
      <c r="A6621"/>
      <c r="B6621"/>
      <c r="C6621"/>
      <c r="D6621"/>
    </row>
    <row r="6622" spans="1:4" x14ac:dyDescent="0.2">
      <c r="A6622"/>
      <c r="B6622"/>
      <c r="C6622"/>
      <c r="D6622"/>
    </row>
    <row r="6623" spans="1:4" x14ac:dyDescent="0.2">
      <c r="A6623"/>
      <c r="B6623"/>
      <c r="C6623"/>
      <c r="D6623"/>
    </row>
    <row r="6624" spans="1:4" x14ac:dyDescent="0.2">
      <c r="A6624"/>
      <c r="B6624"/>
      <c r="C6624"/>
      <c r="D6624"/>
    </row>
    <row r="6625" spans="1:4" x14ac:dyDescent="0.2">
      <c r="A6625"/>
      <c r="B6625"/>
      <c r="C6625"/>
      <c r="D6625"/>
    </row>
    <row r="6626" spans="1:4" x14ac:dyDescent="0.2">
      <c r="A6626"/>
      <c r="B6626"/>
      <c r="C6626"/>
      <c r="D6626"/>
    </row>
    <row r="6627" spans="1:4" x14ac:dyDescent="0.2">
      <c r="A6627"/>
      <c r="B6627"/>
      <c r="C6627"/>
      <c r="D6627"/>
    </row>
    <row r="6628" spans="1:4" x14ac:dyDescent="0.2">
      <c r="A6628"/>
      <c r="B6628"/>
      <c r="C6628"/>
      <c r="D6628"/>
    </row>
    <row r="6629" spans="1:4" x14ac:dyDescent="0.2">
      <c r="A6629"/>
      <c r="B6629"/>
      <c r="C6629"/>
      <c r="D6629"/>
    </row>
    <row r="6630" spans="1:4" x14ac:dyDescent="0.2">
      <c r="A6630"/>
      <c r="B6630"/>
      <c r="C6630"/>
      <c r="D6630"/>
    </row>
    <row r="6631" spans="1:4" x14ac:dyDescent="0.2">
      <c r="A6631"/>
      <c r="B6631"/>
      <c r="C6631"/>
      <c r="D6631"/>
    </row>
    <row r="6632" spans="1:4" x14ac:dyDescent="0.2">
      <c r="A6632"/>
      <c r="B6632"/>
      <c r="C6632"/>
      <c r="D6632"/>
    </row>
    <row r="6633" spans="1:4" x14ac:dyDescent="0.2">
      <c r="A6633"/>
      <c r="B6633"/>
      <c r="C6633"/>
      <c r="D6633"/>
    </row>
    <row r="6634" spans="1:4" x14ac:dyDescent="0.2">
      <c r="A6634"/>
      <c r="B6634"/>
      <c r="C6634"/>
      <c r="D6634"/>
    </row>
    <row r="6635" spans="1:4" x14ac:dyDescent="0.2">
      <c r="A6635"/>
      <c r="B6635"/>
      <c r="C6635"/>
      <c r="D6635"/>
    </row>
    <row r="6636" spans="1:4" x14ac:dyDescent="0.2">
      <c r="A6636"/>
      <c r="B6636"/>
      <c r="C6636"/>
      <c r="D6636"/>
    </row>
    <row r="6637" spans="1:4" x14ac:dyDescent="0.2">
      <c r="A6637"/>
      <c r="B6637"/>
      <c r="C6637"/>
      <c r="D6637"/>
    </row>
    <row r="6638" spans="1:4" x14ac:dyDescent="0.2">
      <c r="A6638"/>
      <c r="B6638"/>
      <c r="C6638"/>
      <c r="D6638"/>
    </row>
    <row r="6639" spans="1:4" x14ac:dyDescent="0.2">
      <c r="A6639"/>
      <c r="B6639"/>
      <c r="C6639"/>
      <c r="D6639"/>
    </row>
    <row r="6640" spans="1:4" x14ac:dyDescent="0.2">
      <c r="A6640"/>
      <c r="B6640"/>
      <c r="C6640"/>
      <c r="D6640"/>
    </row>
    <row r="6641" spans="1:4" x14ac:dyDescent="0.2">
      <c r="A6641"/>
      <c r="B6641"/>
      <c r="C6641"/>
      <c r="D6641"/>
    </row>
    <row r="6642" spans="1:4" x14ac:dyDescent="0.2">
      <c r="A6642"/>
      <c r="B6642"/>
      <c r="C6642"/>
      <c r="D6642"/>
    </row>
    <row r="6643" spans="1:4" x14ac:dyDescent="0.2">
      <c r="A6643"/>
      <c r="B6643"/>
      <c r="C6643"/>
      <c r="D6643"/>
    </row>
    <row r="6644" spans="1:4" x14ac:dyDescent="0.2">
      <c r="A6644"/>
      <c r="B6644"/>
      <c r="C6644"/>
      <c r="D6644"/>
    </row>
    <row r="6645" spans="1:4" x14ac:dyDescent="0.2">
      <c r="A6645"/>
      <c r="B6645"/>
      <c r="C6645"/>
      <c r="D6645"/>
    </row>
    <row r="6646" spans="1:4" x14ac:dyDescent="0.2">
      <c r="A6646"/>
      <c r="B6646"/>
      <c r="C6646"/>
      <c r="D6646"/>
    </row>
    <row r="6647" spans="1:4" x14ac:dyDescent="0.2">
      <c r="A6647"/>
      <c r="B6647"/>
      <c r="C6647"/>
      <c r="D6647"/>
    </row>
    <row r="6648" spans="1:4" x14ac:dyDescent="0.2">
      <c r="A6648"/>
      <c r="B6648"/>
      <c r="C6648"/>
      <c r="D6648"/>
    </row>
    <row r="6649" spans="1:4" x14ac:dyDescent="0.2">
      <c r="A6649"/>
      <c r="B6649"/>
      <c r="C6649"/>
      <c r="D6649"/>
    </row>
    <row r="6650" spans="1:4" x14ac:dyDescent="0.2">
      <c r="A6650"/>
      <c r="B6650"/>
      <c r="C6650"/>
      <c r="D6650"/>
    </row>
    <row r="6651" spans="1:4" x14ac:dyDescent="0.2">
      <c r="A6651"/>
      <c r="B6651"/>
      <c r="C6651"/>
      <c r="D6651"/>
    </row>
    <row r="6652" spans="1:4" x14ac:dyDescent="0.2">
      <c r="A6652"/>
      <c r="B6652"/>
      <c r="C6652"/>
      <c r="D6652"/>
    </row>
    <row r="6653" spans="1:4" x14ac:dyDescent="0.2">
      <c r="A6653"/>
      <c r="B6653"/>
      <c r="C6653"/>
      <c r="D6653"/>
    </row>
    <row r="6654" spans="1:4" x14ac:dyDescent="0.2">
      <c r="A6654"/>
      <c r="B6654"/>
      <c r="C6654"/>
      <c r="D6654"/>
    </row>
    <row r="6655" spans="1:4" x14ac:dyDescent="0.2">
      <c r="A6655"/>
      <c r="B6655"/>
      <c r="C6655"/>
      <c r="D6655"/>
    </row>
    <row r="6656" spans="1:4" x14ac:dyDescent="0.2">
      <c r="A6656"/>
      <c r="B6656"/>
      <c r="C6656"/>
      <c r="D6656"/>
    </row>
    <row r="6657" spans="1:4" x14ac:dyDescent="0.2">
      <c r="A6657"/>
      <c r="B6657"/>
      <c r="C6657"/>
      <c r="D6657"/>
    </row>
    <row r="6658" spans="1:4" x14ac:dyDescent="0.2">
      <c r="A6658"/>
      <c r="B6658"/>
      <c r="C6658"/>
      <c r="D6658"/>
    </row>
    <row r="6659" spans="1:4" x14ac:dyDescent="0.2">
      <c r="A6659"/>
      <c r="B6659"/>
      <c r="C6659"/>
      <c r="D6659"/>
    </row>
    <row r="6660" spans="1:4" x14ac:dyDescent="0.2">
      <c r="A6660"/>
      <c r="B6660"/>
      <c r="C6660"/>
      <c r="D6660"/>
    </row>
    <row r="6661" spans="1:4" x14ac:dyDescent="0.2">
      <c r="A6661"/>
      <c r="B6661"/>
      <c r="C6661"/>
      <c r="D6661"/>
    </row>
    <row r="6662" spans="1:4" x14ac:dyDescent="0.2">
      <c r="A6662"/>
      <c r="B6662"/>
      <c r="C6662"/>
      <c r="D6662"/>
    </row>
    <row r="6663" spans="1:4" x14ac:dyDescent="0.2">
      <c r="A6663"/>
      <c r="B6663"/>
      <c r="C6663"/>
      <c r="D6663"/>
    </row>
    <row r="6664" spans="1:4" x14ac:dyDescent="0.2">
      <c r="A6664"/>
      <c r="B6664"/>
      <c r="C6664"/>
      <c r="D6664"/>
    </row>
    <row r="6665" spans="1:4" x14ac:dyDescent="0.2">
      <c r="A6665"/>
      <c r="B6665"/>
      <c r="C6665"/>
      <c r="D6665"/>
    </row>
    <row r="6666" spans="1:4" x14ac:dyDescent="0.2">
      <c r="A6666"/>
      <c r="B6666"/>
      <c r="C6666"/>
      <c r="D6666"/>
    </row>
    <row r="6667" spans="1:4" x14ac:dyDescent="0.2">
      <c r="A6667"/>
      <c r="B6667"/>
      <c r="C6667"/>
      <c r="D6667"/>
    </row>
    <row r="6668" spans="1:4" x14ac:dyDescent="0.2">
      <c r="A6668"/>
      <c r="B6668"/>
      <c r="C6668"/>
      <c r="D6668"/>
    </row>
    <row r="6669" spans="1:4" x14ac:dyDescent="0.2">
      <c r="A6669"/>
      <c r="B6669"/>
      <c r="C6669"/>
      <c r="D6669"/>
    </row>
    <row r="6670" spans="1:4" x14ac:dyDescent="0.2">
      <c r="A6670"/>
      <c r="B6670"/>
      <c r="C6670"/>
      <c r="D6670"/>
    </row>
    <row r="6671" spans="1:4" x14ac:dyDescent="0.2">
      <c r="A6671"/>
      <c r="B6671"/>
      <c r="C6671"/>
      <c r="D6671"/>
    </row>
    <row r="6672" spans="1:4" x14ac:dyDescent="0.2">
      <c r="A6672"/>
      <c r="B6672"/>
      <c r="C6672"/>
      <c r="D6672"/>
    </row>
    <row r="6673" spans="1:4" x14ac:dyDescent="0.2">
      <c r="A6673"/>
      <c r="B6673"/>
      <c r="C6673"/>
      <c r="D6673"/>
    </row>
    <row r="6674" spans="1:4" x14ac:dyDescent="0.2">
      <c r="A6674"/>
      <c r="B6674"/>
      <c r="C6674"/>
      <c r="D6674"/>
    </row>
    <row r="6675" spans="1:4" x14ac:dyDescent="0.2">
      <c r="A6675"/>
      <c r="B6675"/>
      <c r="C6675"/>
      <c r="D6675"/>
    </row>
    <row r="6676" spans="1:4" x14ac:dyDescent="0.2">
      <c r="A6676"/>
      <c r="B6676"/>
      <c r="C6676"/>
      <c r="D6676"/>
    </row>
    <row r="6677" spans="1:4" x14ac:dyDescent="0.2">
      <c r="A6677"/>
      <c r="B6677"/>
      <c r="C6677"/>
      <c r="D6677"/>
    </row>
    <row r="6678" spans="1:4" x14ac:dyDescent="0.2">
      <c r="A6678"/>
      <c r="B6678"/>
      <c r="C6678"/>
      <c r="D6678"/>
    </row>
    <row r="6679" spans="1:4" x14ac:dyDescent="0.2">
      <c r="A6679"/>
      <c r="B6679"/>
      <c r="C6679"/>
      <c r="D6679"/>
    </row>
    <row r="6680" spans="1:4" x14ac:dyDescent="0.2">
      <c r="A6680"/>
      <c r="B6680"/>
      <c r="C6680"/>
      <c r="D6680"/>
    </row>
    <row r="6681" spans="1:4" x14ac:dyDescent="0.2">
      <c r="A6681"/>
      <c r="B6681"/>
      <c r="C6681"/>
      <c r="D6681"/>
    </row>
    <row r="6682" spans="1:4" x14ac:dyDescent="0.2">
      <c r="A6682"/>
      <c r="B6682"/>
      <c r="C6682"/>
      <c r="D6682"/>
    </row>
    <row r="6683" spans="1:4" x14ac:dyDescent="0.2">
      <c r="A6683"/>
      <c r="B6683"/>
      <c r="C6683"/>
      <c r="D6683"/>
    </row>
    <row r="6684" spans="1:4" x14ac:dyDescent="0.2">
      <c r="A6684"/>
      <c r="B6684"/>
      <c r="C6684"/>
      <c r="D6684"/>
    </row>
    <row r="6685" spans="1:4" x14ac:dyDescent="0.2">
      <c r="A6685"/>
      <c r="B6685"/>
      <c r="C6685"/>
      <c r="D6685"/>
    </row>
    <row r="6686" spans="1:4" x14ac:dyDescent="0.2">
      <c r="A6686"/>
      <c r="B6686"/>
      <c r="C6686"/>
      <c r="D6686"/>
    </row>
    <row r="6687" spans="1:4" x14ac:dyDescent="0.2">
      <c r="A6687"/>
      <c r="B6687"/>
      <c r="C6687"/>
      <c r="D6687"/>
    </row>
    <row r="6688" spans="1:4" x14ac:dyDescent="0.2">
      <c r="A6688"/>
      <c r="B6688"/>
      <c r="C6688"/>
      <c r="D6688"/>
    </row>
    <row r="6689" spans="1:4" x14ac:dyDescent="0.2">
      <c r="A6689"/>
      <c r="B6689"/>
      <c r="C6689"/>
      <c r="D6689"/>
    </row>
    <row r="6690" spans="1:4" x14ac:dyDescent="0.2">
      <c r="A6690"/>
      <c r="B6690"/>
      <c r="C6690"/>
      <c r="D6690"/>
    </row>
    <row r="6691" spans="1:4" x14ac:dyDescent="0.2">
      <c r="A6691"/>
      <c r="B6691"/>
      <c r="C6691"/>
      <c r="D6691"/>
    </row>
    <row r="6692" spans="1:4" x14ac:dyDescent="0.2">
      <c r="A6692"/>
      <c r="B6692"/>
      <c r="C6692"/>
      <c r="D6692"/>
    </row>
    <row r="6693" spans="1:4" x14ac:dyDescent="0.2">
      <c r="A6693"/>
      <c r="B6693"/>
      <c r="C6693"/>
      <c r="D6693"/>
    </row>
    <row r="6694" spans="1:4" x14ac:dyDescent="0.2">
      <c r="A6694"/>
      <c r="B6694"/>
      <c r="C6694"/>
      <c r="D6694"/>
    </row>
    <row r="6695" spans="1:4" x14ac:dyDescent="0.2">
      <c r="A6695"/>
      <c r="B6695"/>
      <c r="C6695"/>
      <c r="D6695"/>
    </row>
    <row r="6696" spans="1:4" x14ac:dyDescent="0.2">
      <c r="A6696"/>
      <c r="B6696"/>
      <c r="C6696"/>
      <c r="D6696"/>
    </row>
    <row r="6697" spans="1:4" x14ac:dyDescent="0.2">
      <c r="A6697"/>
      <c r="B6697"/>
      <c r="C6697"/>
      <c r="D6697"/>
    </row>
    <row r="6698" spans="1:4" x14ac:dyDescent="0.2">
      <c r="A6698"/>
      <c r="B6698"/>
      <c r="C6698"/>
      <c r="D6698"/>
    </row>
    <row r="6699" spans="1:4" x14ac:dyDescent="0.2">
      <c r="A6699"/>
      <c r="B6699"/>
      <c r="C6699"/>
      <c r="D6699"/>
    </row>
    <row r="6700" spans="1:4" x14ac:dyDescent="0.2">
      <c r="A6700"/>
      <c r="B6700"/>
      <c r="C6700"/>
      <c r="D6700"/>
    </row>
    <row r="6701" spans="1:4" x14ac:dyDescent="0.2">
      <c r="A6701"/>
      <c r="B6701"/>
      <c r="C6701"/>
      <c r="D6701"/>
    </row>
    <row r="6702" spans="1:4" x14ac:dyDescent="0.2">
      <c r="A6702"/>
      <c r="B6702"/>
      <c r="C6702"/>
      <c r="D6702"/>
    </row>
    <row r="6703" spans="1:4" x14ac:dyDescent="0.2">
      <c r="A6703"/>
      <c r="B6703"/>
      <c r="C6703"/>
      <c r="D6703"/>
    </row>
    <row r="6704" spans="1:4" x14ac:dyDescent="0.2">
      <c r="A6704"/>
      <c r="B6704"/>
      <c r="C6704"/>
      <c r="D6704"/>
    </row>
    <row r="6705" spans="1:4" x14ac:dyDescent="0.2">
      <c r="A6705"/>
      <c r="B6705"/>
      <c r="C6705"/>
      <c r="D6705"/>
    </row>
    <row r="6706" spans="1:4" x14ac:dyDescent="0.2">
      <c r="A6706"/>
      <c r="B6706"/>
      <c r="C6706"/>
      <c r="D6706"/>
    </row>
    <row r="6707" spans="1:4" x14ac:dyDescent="0.2">
      <c r="A6707"/>
      <c r="B6707"/>
      <c r="C6707"/>
      <c r="D6707"/>
    </row>
    <row r="6708" spans="1:4" x14ac:dyDescent="0.2">
      <c r="A6708"/>
      <c r="B6708"/>
      <c r="C6708"/>
      <c r="D6708"/>
    </row>
    <row r="6709" spans="1:4" x14ac:dyDescent="0.2">
      <c r="A6709"/>
      <c r="B6709"/>
      <c r="C6709"/>
      <c r="D6709"/>
    </row>
    <row r="6710" spans="1:4" x14ac:dyDescent="0.2">
      <c r="A6710"/>
      <c r="B6710"/>
      <c r="C6710"/>
      <c r="D6710"/>
    </row>
    <row r="6711" spans="1:4" x14ac:dyDescent="0.2">
      <c r="A6711"/>
      <c r="B6711"/>
      <c r="C6711"/>
      <c r="D6711"/>
    </row>
    <row r="6712" spans="1:4" x14ac:dyDescent="0.2">
      <c r="A6712"/>
      <c r="B6712"/>
      <c r="C6712"/>
      <c r="D6712"/>
    </row>
    <row r="6713" spans="1:4" x14ac:dyDescent="0.2">
      <c r="A6713"/>
      <c r="B6713"/>
      <c r="C6713"/>
      <c r="D6713"/>
    </row>
    <row r="6714" spans="1:4" x14ac:dyDescent="0.2">
      <c r="A6714"/>
      <c r="B6714"/>
      <c r="C6714"/>
      <c r="D6714"/>
    </row>
    <row r="6715" spans="1:4" x14ac:dyDescent="0.2">
      <c r="A6715"/>
      <c r="B6715"/>
      <c r="C6715"/>
      <c r="D6715"/>
    </row>
    <row r="6716" spans="1:4" x14ac:dyDescent="0.2">
      <c r="A6716"/>
      <c r="B6716"/>
      <c r="C6716"/>
      <c r="D6716"/>
    </row>
    <row r="6717" spans="1:4" x14ac:dyDescent="0.2">
      <c r="A6717"/>
      <c r="B6717"/>
      <c r="C6717"/>
      <c r="D6717"/>
    </row>
    <row r="6718" spans="1:4" x14ac:dyDescent="0.2">
      <c r="A6718"/>
      <c r="B6718"/>
      <c r="C6718"/>
      <c r="D6718"/>
    </row>
    <row r="6719" spans="1:4" x14ac:dyDescent="0.2">
      <c r="A6719"/>
      <c r="B6719"/>
      <c r="C6719"/>
      <c r="D6719"/>
    </row>
    <row r="6720" spans="1:4" x14ac:dyDescent="0.2">
      <c r="A6720"/>
      <c r="B6720"/>
      <c r="C6720"/>
      <c r="D6720"/>
    </row>
    <row r="6721" spans="1:4" x14ac:dyDescent="0.2">
      <c r="A6721"/>
      <c r="B6721"/>
      <c r="C6721"/>
      <c r="D6721"/>
    </row>
    <row r="6722" spans="1:4" x14ac:dyDescent="0.2">
      <c r="A6722"/>
      <c r="B6722"/>
      <c r="C6722"/>
      <c r="D6722"/>
    </row>
    <row r="6723" spans="1:4" x14ac:dyDescent="0.2">
      <c r="A6723"/>
      <c r="B6723"/>
      <c r="C6723"/>
      <c r="D6723"/>
    </row>
    <row r="6724" spans="1:4" x14ac:dyDescent="0.2">
      <c r="A6724"/>
      <c r="B6724"/>
      <c r="C6724"/>
      <c r="D6724"/>
    </row>
    <row r="6725" spans="1:4" x14ac:dyDescent="0.2">
      <c r="A6725"/>
      <c r="B6725"/>
      <c r="C6725"/>
      <c r="D6725"/>
    </row>
    <row r="6726" spans="1:4" x14ac:dyDescent="0.2">
      <c r="A6726"/>
      <c r="B6726"/>
      <c r="C6726"/>
      <c r="D6726"/>
    </row>
    <row r="6727" spans="1:4" x14ac:dyDescent="0.2">
      <c r="A6727"/>
      <c r="B6727"/>
      <c r="C6727"/>
      <c r="D6727"/>
    </row>
    <row r="6728" spans="1:4" x14ac:dyDescent="0.2">
      <c r="A6728"/>
      <c r="B6728"/>
      <c r="C6728"/>
      <c r="D6728"/>
    </row>
    <row r="6729" spans="1:4" x14ac:dyDescent="0.2">
      <c r="A6729"/>
      <c r="B6729"/>
      <c r="C6729"/>
      <c r="D6729"/>
    </row>
    <row r="6730" spans="1:4" x14ac:dyDescent="0.2">
      <c r="A6730"/>
      <c r="B6730"/>
      <c r="C6730"/>
      <c r="D6730"/>
    </row>
    <row r="6731" spans="1:4" x14ac:dyDescent="0.2">
      <c r="A6731"/>
      <c r="B6731"/>
      <c r="C6731"/>
      <c r="D6731"/>
    </row>
    <row r="6732" spans="1:4" x14ac:dyDescent="0.2">
      <c r="A6732"/>
      <c r="B6732"/>
      <c r="C6732"/>
      <c r="D6732"/>
    </row>
    <row r="6733" spans="1:4" x14ac:dyDescent="0.2">
      <c r="A6733"/>
      <c r="B6733"/>
      <c r="C6733"/>
      <c r="D6733"/>
    </row>
    <row r="6734" spans="1:4" x14ac:dyDescent="0.2">
      <c r="A6734"/>
      <c r="B6734"/>
      <c r="C6734"/>
      <c r="D6734"/>
    </row>
    <row r="6735" spans="1:4" x14ac:dyDescent="0.2">
      <c r="A6735"/>
      <c r="B6735"/>
      <c r="C6735"/>
      <c r="D6735"/>
    </row>
    <row r="6736" spans="1:4" x14ac:dyDescent="0.2">
      <c r="A6736"/>
      <c r="B6736"/>
      <c r="C6736"/>
      <c r="D6736"/>
    </row>
    <row r="6737" spans="1:4" x14ac:dyDescent="0.2">
      <c r="A6737"/>
      <c r="B6737"/>
      <c r="C6737"/>
      <c r="D6737"/>
    </row>
    <row r="6738" spans="1:4" x14ac:dyDescent="0.2">
      <c r="A6738"/>
      <c r="B6738"/>
      <c r="C6738"/>
      <c r="D6738"/>
    </row>
    <row r="6739" spans="1:4" x14ac:dyDescent="0.2">
      <c r="A6739"/>
      <c r="B6739"/>
      <c r="C6739"/>
      <c r="D6739"/>
    </row>
    <row r="6740" spans="1:4" x14ac:dyDescent="0.2">
      <c r="A6740"/>
      <c r="B6740"/>
      <c r="C6740"/>
      <c r="D6740"/>
    </row>
    <row r="6741" spans="1:4" x14ac:dyDescent="0.2">
      <c r="A6741"/>
      <c r="B6741"/>
      <c r="C6741"/>
      <c r="D6741"/>
    </row>
    <row r="6742" spans="1:4" x14ac:dyDescent="0.2">
      <c r="A6742"/>
      <c r="B6742"/>
      <c r="C6742"/>
      <c r="D6742"/>
    </row>
    <row r="6743" spans="1:4" x14ac:dyDescent="0.2">
      <c r="A6743"/>
      <c r="B6743"/>
      <c r="C6743"/>
      <c r="D6743"/>
    </row>
    <row r="6744" spans="1:4" x14ac:dyDescent="0.2">
      <c r="A6744"/>
      <c r="B6744"/>
      <c r="C6744"/>
      <c r="D6744"/>
    </row>
    <row r="6745" spans="1:4" x14ac:dyDescent="0.2">
      <c r="A6745"/>
      <c r="B6745"/>
      <c r="C6745"/>
      <c r="D6745"/>
    </row>
    <row r="6746" spans="1:4" x14ac:dyDescent="0.2">
      <c r="A6746"/>
      <c r="B6746"/>
      <c r="C6746"/>
      <c r="D6746"/>
    </row>
    <row r="6747" spans="1:4" x14ac:dyDescent="0.2">
      <c r="A6747"/>
      <c r="B6747"/>
      <c r="C6747"/>
      <c r="D6747"/>
    </row>
    <row r="6748" spans="1:4" x14ac:dyDescent="0.2">
      <c r="A6748"/>
      <c r="B6748"/>
      <c r="C6748"/>
      <c r="D6748"/>
    </row>
    <row r="6749" spans="1:4" x14ac:dyDescent="0.2">
      <c r="A6749"/>
      <c r="B6749"/>
      <c r="C6749"/>
      <c r="D6749"/>
    </row>
    <row r="6750" spans="1:4" x14ac:dyDescent="0.2">
      <c r="A6750"/>
      <c r="B6750"/>
      <c r="C6750"/>
      <c r="D6750"/>
    </row>
    <row r="6751" spans="1:4" x14ac:dyDescent="0.2">
      <c r="A6751"/>
      <c r="B6751"/>
      <c r="C6751"/>
      <c r="D6751"/>
    </row>
    <row r="6752" spans="1:4" x14ac:dyDescent="0.2">
      <c r="A6752"/>
      <c r="B6752"/>
      <c r="C6752"/>
      <c r="D6752"/>
    </row>
    <row r="6753" spans="1:4" x14ac:dyDescent="0.2">
      <c r="A6753"/>
      <c r="B6753"/>
      <c r="C6753"/>
      <c r="D6753"/>
    </row>
    <row r="6754" spans="1:4" x14ac:dyDescent="0.2">
      <c r="A6754"/>
      <c r="B6754"/>
      <c r="C6754"/>
      <c r="D6754"/>
    </row>
    <row r="6755" spans="1:4" x14ac:dyDescent="0.2">
      <c r="A6755"/>
      <c r="B6755"/>
      <c r="C6755"/>
      <c r="D6755"/>
    </row>
    <row r="6756" spans="1:4" x14ac:dyDescent="0.2">
      <c r="A6756"/>
      <c r="B6756"/>
      <c r="C6756"/>
      <c r="D6756"/>
    </row>
    <row r="6757" spans="1:4" x14ac:dyDescent="0.2">
      <c r="A6757"/>
      <c r="B6757"/>
      <c r="C6757"/>
      <c r="D6757"/>
    </row>
    <row r="6758" spans="1:4" x14ac:dyDescent="0.2">
      <c r="A6758"/>
      <c r="B6758"/>
      <c r="C6758"/>
      <c r="D6758"/>
    </row>
    <row r="6759" spans="1:4" x14ac:dyDescent="0.2">
      <c r="A6759"/>
      <c r="B6759"/>
      <c r="C6759"/>
      <c r="D6759"/>
    </row>
    <row r="6760" spans="1:4" x14ac:dyDescent="0.2">
      <c r="A6760"/>
      <c r="B6760"/>
      <c r="C6760"/>
      <c r="D6760"/>
    </row>
    <row r="6761" spans="1:4" x14ac:dyDescent="0.2">
      <c r="A6761"/>
      <c r="B6761"/>
      <c r="C6761"/>
      <c r="D6761"/>
    </row>
    <row r="6762" spans="1:4" x14ac:dyDescent="0.2">
      <c r="A6762"/>
      <c r="B6762"/>
      <c r="C6762"/>
      <c r="D6762"/>
    </row>
    <row r="6763" spans="1:4" x14ac:dyDescent="0.2">
      <c r="A6763"/>
      <c r="B6763"/>
      <c r="C6763"/>
      <c r="D6763"/>
    </row>
    <row r="6764" spans="1:4" x14ac:dyDescent="0.2">
      <c r="A6764"/>
      <c r="B6764"/>
      <c r="C6764"/>
      <c r="D6764"/>
    </row>
    <row r="6765" spans="1:4" x14ac:dyDescent="0.2">
      <c r="A6765"/>
      <c r="B6765"/>
      <c r="C6765"/>
      <c r="D6765"/>
    </row>
    <row r="6766" spans="1:4" x14ac:dyDescent="0.2">
      <c r="A6766"/>
      <c r="B6766"/>
      <c r="C6766"/>
      <c r="D6766"/>
    </row>
    <row r="6767" spans="1:4" x14ac:dyDescent="0.2">
      <c r="A6767"/>
      <c r="B6767"/>
      <c r="C6767"/>
      <c r="D6767"/>
    </row>
    <row r="6768" spans="1:4" x14ac:dyDescent="0.2">
      <c r="A6768"/>
      <c r="B6768"/>
      <c r="C6768"/>
      <c r="D6768"/>
    </row>
    <row r="6769" spans="1:4" x14ac:dyDescent="0.2">
      <c r="A6769"/>
      <c r="B6769"/>
      <c r="C6769"/>
      <c r="D6769"/>
    </row>
    <row r="6770" spans="1:4" x14ac:dyDescent="0.2">
      <c r="A6770"/>
      <c r="B6770"/>
      <c r="C6770"/>
      <c r="D6770"/>
    </row>
    <row r="6771" spans="1:4" x14ac:dyDescent="0.2">
      <c r="A6771"/>
      <c r="B6771"/>
      <c r="C6771"/>
      <c r="D6771"/>
    </row>
    <row r="6772" spans="1:4" x14ac:dyDescent="0.2">
      <c r="A6772"/>
      <c r="B6772"/>
      <c r="C6772"/>
      <c r="D6772"/>
    </row>
    <row r="6773" spans="1:4" x14ac:dyDescent="0.2">
      <c r="A6773"/>
      <c r="B6773"/>
      <c r="C6773"/>
      <c r="D6773"/>
    </row>
    <row r="6774" spans="1:4" x14ac:dyDescent="0.2">
      <c r="A6774"/>
      <c r="B6774"/>
      <c r="C6774"/>
      <c r="D6774"/>
    </row>
    <row r="6775" spans="1:4" x14ac:dyDescent="0.2">
      <c r="A6775"/>
      <c r="B6775"/>
      <c r="C6775"/>
      <c r="D6775"/>
    </row>
    <row r="6776" spans="1:4" x14ac:dyDescent="0.2">
      <c r="A6776"/>
      <c r="B6776"/>
      <c r="C6776"/>
      <c r="D6776"/>
    </row>
    <row r="6777" spans="1:4" x14ac:dyDescent="0.2">
      <c r="A6777"/>
      <c r="B6777"/>
      <c r="C6777"/>
      <c r="D6777"/>
    </row>
    <row r="6778" spans="1:4" x14ac:dyDescent="0.2">
      <c r="A6778"/>
      <c r="B6778"/>
      <c r="C6778"/>
      <c r="D6778"/>
    </row>
    <row r="6779" spans="1:4" x14ac:dyDescent="0.2">
      <c r="A6779"/>
      <c r="B6779"/>
      <c r="C6779"/>
      <c r="D6779"/>
    </row>
    <row r="6780" spans="1:4" x14ac:dyDescent="0.2">
      <c r="A6780"/>
      <c r="B6780"/>
      <c r="C6780"/>
      <c r="D6780"/>
    </row>
    <row r="6781" spans="1:4" x14ac:dyDescent="0.2">
      <c r="A6781"/>
      <c r="B6781"/>
      <c r="C6781"/>
      <c r="D6781"/>
    </row>
    <row r="6782" spans="1:4" x14ac:dyDescent="0.2">
      <c r="A6782"/>
      <c r="B6782"/>
      <c r="C6782"/>
      <c r="D6782"/>
    </row>
    <row r="6783" spans="1:4" x14ac:dyDescent="0.2">
      <c r="A6783"/>
      <c r="B6783"/>
      <c r="C6783"/>
      <c r="D6783"/>
    </row>
    <row r="6784" spans="1:4" x14ac:dyDescent="0.2">
      <c r="A6784"/>
      <c r="B6784"/>
      <c r="C6784"/>
      <c r="D6784"/>
    </row>
    <row r="6785" spans="1:4" x14ac:dyDescent="0.2">
      <c r="A6785"/>
      <c r="B6785"/>
      <c r="C6785"/>
      <c r="D6785"/>
    </row>
    <row r="6786" spans="1:4" x14ac:dyDescent="0.2">
      <c r="A6786"/>
      <c r="B6786"/>
      <c r="C6786"/>
      <c r="D6786"/>
    </row>
    <row r="6787" spans="1:4" x14ac:dyDescent="0.2">
      <c r="A6787"/>
      <c r="B6787"/>
      <c r="C6787"/>
      <c r="D6787"/>
    </row>
    <row r="6788" spans="1:4" x14ac:dyDescent="0.2">
      <c r="A6788"/>
      <c r="B6788"/>
      <c r="C6788"/>
      <c r="D6788"/>
    </row>
    <row r="6789" spans="1:4" x14ac:dyDescent="0.2">
      <c r="A6789"/>
      <c r="B6789"/>
      <c r="C6789"/>
      <c r="D6789"/>
    </row>
    <row r="6790" spans="1:4" x14ac:dyDescent="0.2">
      <c r="A6790"/>
      <c r="B6790"/>
      <c r="C6790"/>
      <c r="D6790"/>
    </row>
    <row r="6791" spans="1:4" x14ac:dyDescent="0.2">
      <c r="A6791"/>
      <c r="B6791"/>
      <c r="C6791"/>
      <c r="D6791"/>
    </row>
    <row r="6792" spans="1:4" x14ac:dyDescent="0.2">
      <c r="A6792"/>
      <c r="B6792"/>
      <c r="C6792"/>
      <c r="D6792"/>
    </row>
    <row r="6793" spans="1:4" x14ac:dyDescent="0.2">
      <c r="A6793"/>
      <c r="B6793"/>
      <c r="C6793"/>
      <c r="D6793"/>
    </row>
    <row r="6794" spans="1:4" x14ac:dyDescent="0.2">
      <c r="A6794"/>
      <c r="B6794"/>
      <c r="C6794"/>
      <c r="D6794"/>
    </row>
    <row r="6795" spans="1:4" x14ac:dyDescent="0.2">
      <c r="A6795"/>
      <c r="B6795"/>
      <c r="C6795"/>
      <c r="D6795"/>
    </row>
    <row r="6796" spans="1:4" x14ac:dyDescent="0.2">
      <c r="A6796"/>
      <c r="B6796"/>
      <c r="C6796"/>
      <c r="D6796"/>
    </row>
    <row r="6797" spans="1:4" x14ac:dyDescent="0.2">
      <c r="A6797"/>
      <c r="B6797"/>
      <c r="C6797"/>
      <c r="D6797"/>
    </row>
    <row r="6798" spans="1:4" x14ac:dyDescent="0.2">
      <c r="A6798"/>
      <c r="B6798"/>
      <c r="C6798"/>
      <c r="D6798"/>
    </row>
    <row r="6799" spans="1:4" x14ac:dyDescent="0.2">
      <c r="A6799"/>
      <c r="B6799"/>
      <c r="C6799"/>
      <c r="D6799"/>
    </row>
    <row r="6800" spans="1:4" x14ac:dyDescent="0.2">
      <c r="A6800"/>
      <c r="B6800"/>
      <c r="C6800"/>
      <c r="D6800"/>
    </row>
    <row r="6801" spans="1:4" x14ac:dyDescent="0.2">
      <c r="A6801"/>
      <c r="B6801"/>
      <c r="C6801"/>
      <c r="D6801"/>
    </row>
    <row r="6802" spans="1:4" x14ac:dyDescent="0.2">
      <c r="A6802"/>
      <c r="B6802"/>
      <c r="C6802"/>
      <c r="D6802"/>
    </row>
    <row r="6803" spans="1:4" x14ac:dyDescent="0.2">
      <c r="A6803"/>
      <c r="B6803"/>
      <c r="C6803"/>
      <c r="D6803"/>
    </row>
    <row r="6804" spans="1:4" x14ac:dyDescent="0.2">
      <c r="A6804"/>
      <c r="B6804"/>
      <c r="C6804"/>
      <c r="D6804"/>
    </row>
    <row r="6805" spans="1:4" x14ac:dyDescent="0.2">
      <c r="A6805"/>
      <c r="B6805"/>
      <c r="C6805"/>
      <c r="D6805"/>
    </row>
    <row r="6806" spans="1:4" x14ac:dyDescent="0.2">
      <c r="A6806"/>
      <c r="B6806"/>
      <c r="C6806"/>
      <c r="D6806"/>
    </row>
    <row r="6807" spans="1:4" x14ac:dyDescent="0.2">
      <c r="A6807"/>
      <c r="B6807"/>
      <c r="C6807"/>
      <c r="D6807"/>
    </row>
    <row r="6808" spans="1:4" x14ac:dyDescent="0.2">
      <c r="A6808"/>
      <c r="B6808"/>
      <c r="C6808"/>
      <c r="D6808"/>
    </row>
    <row r="6809" spans="1:4" x14ac:dyDescent="0.2">
      <c r="A6809"/>
      <c r="B6809"/>
      <c r="C6809"/>
      <c r="D6809"/>
    </row>
    <row r="6810" spans="1:4" x14ac:dyDescent="0.2">
      <c r="A6810"/>
      <c r="B6810"/>
      <c r="C6810"/>
      <c r="D6810"/>
    </row>
    <row r="6811" spans="1:4" x14ac:dyDescent="0.2">
      <c r="A6811"/>
      <c r="B6811"/>
      <c r="C6811"/>
      <c r="D6811"/>
    </row>
    <row r="6812" spans="1:4" x14ac:dyDescent="0.2">
      <c r="A6812"/>
      <c r="B6812"/>
      <c r="C6812"/>
      <c r="D6812"/>
    </row>
    <row r="6813" spans="1:4" x14ac:dyDescent="0.2">
      <c r="A6813"/>
      <c r="B6813"/>
      <c r="C6813"/>
      <c r="D6813"/>
    </row>
    <row r="6814" spans="1:4" x14ac:dyDescent="0.2">
      <c r="A6814"/>
      <c r="B6814"/>
      <c r="C6814"/>
      <c r="D6814"/>
    </row>
    <row r="6815" spans="1:4" x14ac:dyDescent="0.2">
      <c r="A6815"/>
      <c r="B6815"/>
      <c r="C6815"/>
      <c r="D6815"/>
    </row>
    <row r="6816" spans="1:4" x14ac:dyDescent="0.2">
      <c r="A6816"/>
      <c r="B6816"/>
      <c r="C6816"/>
      <c r="D6816"/>
    </row>
    <row r="6817" spans="1:4" x14ac:dyDescent="0.2">
      <c r="A6817"/>
      <c r="B6817"/>
      <c r="C6817"/>
      <c r="D6817"/>
    </row>
    <row r="6818" spans="1:4" x14ac:dyDescent="0.2">
      <c r="A6818"/>
      <c r="B6818"/>
      <c r="C6818"/>
      <c r="D6818"/>
    </row>
    <row r="6819" spans="1:4" x14ac:dyDescent="0.2">
      <c r="A6819"/>
      <c r="B6819"/>
      <c r="C6819"/>
      <c r="D6819"/>
    </row>
    <row r="6820" spans="1:4" x14ac:dyDescent="0.2">
      <c r="A6820"/>
      <c r="B6820"/>
      <c r="C6820"/>
      <c r="D6820"/>
    </row>
    <row r="6821" spans="1:4" x14ac:dyDescent="0.2">
      <c r="A6821"/>
      <c r="B6821"/>
      <c r="C6821"/>
      <c r="D6821"/>
    </row>
    <row r="6822" spans="1:4" x14ac:dyDescent="0.2">
      <c r="A6822"/>
      <c r="B6822"/>
      <c r="C6822"/>
      <c r="D6822"/>
    </row>
    <row r="6823" spans="1:4" x14ac:dyDescent="0.2">
      <c r="A6823"/>
      <c r="B6823"/>
      <c r="C6823"/>
      <c r="D6823"/>
    </row>
    <row r="6824" spans="1:4" x14ac:dyDescent="0.2">
      <c r="A6824"/>
      <c r="B6824"/>
      <c r="C6824"/>
      <c r="D6824"/>
    </row>
    <row r="6825" spans="1:4" x14ac:dyDescent="0.2">
      <c r="A6825"/>
      <c r="B6825"/>
      <c r="C6825"/>
      <c r="D6825"/>
    </row>
    <row r="6826" spans="1:4" x14ac:dyDescent="0.2">
      <c r="A6826"/>
      <c r="B6826"/>
      <c r="C6826"/>
      <c r="D6826"/>
    </row>
    <row r="6827" spans="1:4" x14ac:dyDescent="0.2">
      <c r="A6827"/>
      <c r="B6827"/>
      <c r="C6827"/>
      <c r="D6827"/>
    </row>
    <row r="6828" spans="1:4" x14ac:dyDescent="0.2">
      <c r="A6828"/>
      <c r="B6828"/>
      <c r="C6828"/>
      <c r="D6828"/>
    </row>
    <row r="6829" spans="1:4" x14ac:dyDescent="0.2">
      <c r="A6829"/>
      <c r="B6829"/>
      <c r="C6829"/>
      <c r="D6829"/>
    </row>
    <row r="6830" spans="1:4" x14ac:dyDescent="0.2">
      <c r="A6830"/>
      <c r="B6830"/>
      <c r="C6830"/>
      <c r="D6830"/>
    </row>
    <row r="6831" spans="1:4" x14ac:dyDescent="0.2">
      <c r="A6831"/>
      <c r="B6831"/>
      <c r="C6831"/>
      <c r="D6831"/>
    </row>
    <row r="6832" spans="1:4" x14ac:dyDescent="0.2">
      <c r="A6832"/>
      <c r="B6832"/>
      <c r="C6832"/>
      <c r="D6832"/>
    </row>
    <row r="6833" spans="1:4" x14ac:dyDescent="0.2">
      <c r="A6833"/>
      <c r="B6833"/>
      <c r="C6833"/>
      <c r="D6833"/>
    </row>
    <row r="6834" spans="1:4" x14ac:dyDescent="0.2">
      <c r="A6834"/>
      <c r="B6834"/>
      <c r="C6834"/>
      <c r="D6834"/>
    </row>
    <row r="6835" spans="1:4" x14ac:dyDescent="0.2">
      <c r="A6835"/>
      <c r="B6835"/>
      <c r="C6835"/>
      <c r="D6835"/>
    </row>
    <row r="6836" spans="1:4" x14ac:dyDescent="0.2">
      <c r="A6836"/>
      <c r="B6836"/>
      <c r="C6836"/>
      <c r="D6836"/>
    </row>
    <row r="6837" spans="1:4" x14ac:dyDescent="0.2">
      <c r="A6837"/>
      <c r="B6837"/>
      <c r="C6837"/>
      <c r="D6837"/>
    </row>
    <row r="6838" spans="1:4" x14ac:dyDescent="0.2">
      <c r="A6838"/>
      <c r="B6838"/>
      <c r="C6838"/>
      <c r="D6838"/>
    </row>
    <row r="6839" spans="1:4" x14ac:dyDescent="0.2">
      <c r="A6839"/>
      <c r="B6839"/>
      <c r="C6839"/>
      <c r="D6839"/>
    </row>
    <row r="6840" spans="1:4" x14ac:dyDescent="0.2">
      <c r="A6840"/>
      <c r="B6840"/>
      <c r="C6840"/>
      <c r="D6840"/>
    </row>
    <row r="6841" spans="1:4" x14ac:dyDescent="0.2">
      <c r="A6841"/>
      <c r="B6841"/>
      <c r="C6841"/>
      <c r="D6841"/>
    </row>
    <row r="6842" spans="1:4" x14ac:dyDescent="0.2">
      <c r="A6842"/>
      <c r="B6842"/>
      <c r="C6842"/>
      <c r="D6842"/>
    </row>
    <row r="6843" spans="1:4" x14ac:dyDescent="0.2">
      <c r="A6843"/>
      <c r="B6843"/>
      <c r="C6843"/>
      <c r="D6843"/>
    </row>
    <row r="6844" spans="1:4" x14ac:dyDescent="0.2">
      <c r="A6844"/>
      <c r="B6844"/>
      <c r="C6844"/>
      <c r="D6844"/>
    </row>
    <row r="6845" spans="1:4" x14ac:dyDescent="0.2">
      <c r="A6845"/>
      <c r="B6845"/>
      <c r="C6845"/>
      <c r="D6845"/>
    </row>
    <row r="6846" spans="1:4" x14ac:dyDescent="0.2">
      <c r="A6846"/>
      <c r="B6846"/>
      <c r="C6846"/>
      <c r="D6846"/>
    </row>
    <row r="6847" spans="1:4" x14ac:dyDescent="0.2">
      <c r="A6847"/>
      <c r="B6847"/>
      <c r="C6847"/>
      <c r="D6847"/>
    </row>
    <row r="6848" spans="1:4" x14ac:dyDescent="0.2">
      <c r="A6848"/>
      <c r="B6848"/>
      <c r="C6848"/>
      <c r="D6848"/>
    </row>
    <row r="6849" spans="1:4" x14ac:dyDescent="0.2">
      <c r="A6849"/>
      <c r="B6849"/>
      <c r="C6849"/>
      <c r="D6849"/>
    </row>
    <row r="6850" spans="1:4" x14ac:dyDescent="0.2">
      <c r="A6850"/>
      <c r="B6850"/>
      <c r="C6850"/>
      <c r="D6850"/>
    </row>
    <row r="6851" spans="1:4" x14ac:dyDescent="0.2">
      <c r="A6851"/>
      <c r="B6851"/>
      <c r="C6851"/>
      <c r="D6851"/>
    </row>
    <row r="6852" spans="1:4" x14ac:dyDescent="0.2">
      <c r="A6852"/>
      <c r="B6852"/>
      <c r="C6852"/>
      <c r="D6852"/>
    </row>
    <row r="6853" spans="1:4" x14ac:dyDescent="0.2">
      <c r="A6853"/>
      <c r="B6853"/>
      <c r="C6853"/>
      <c r="D6853"/>
    </row>
    <row r="6854" spans="1:4" x14ac:dyDescent="0.2">
      <c r="A6854"/>
      <c r="B6854"/>
      <c r="C6854"/>
      <c r="D6854"/>
    </row>
    <row r="6855" spans="1:4" x14ac:dyDescent="0.2">
      <c r="A6855"/>
      <c r="B6855"/>
      <c r="C6855"/>
      <c r="D6855"/>
    </row>
    <row r="6856" spans="1:4" x14ac:dyDescent="0.2">
      <c r="A6856"/>
      <c r="B6856"/>
      <c r="C6856"/>
      <c r="D6856"/>
    </row>
    <row r="6857" spans="1:4" x14ac:dyDescent="0.2">
      <c r="A6857"/>
      <c r="B6857"/>
      <c r="C6857"/>
      <c r="D6857"/>
    </row>
    <row r="6858" spans="1:4" x14ac:dyDescent="0.2">
      <c r="A6858"/>
      <c r="B6858"/>
      <c r="C6858"/>
      <c r="D6858"/>
    </row>
    <row r="6859" spans="1:4" x14ac:dyDescent="0.2">
      <c r="A6859"/>
      <c r="B6859"/>
      <c r="C6859"/>
      <c r="D6859"/>
    </row>
    <row r="6860" spans="1:4" x14ac:dyDescent="0.2">
      <c r="A6860"/>
      <c r="B6860"/>
      <c r="C6860"/>
      <c r="D6860"/>
    </row>
    <row r="6861" spans="1:4" x14ac:dyDescent="0.2">
      <c r="A6861"/>
      <c r="B6861"/>
      <c r="C6861"/>
      <c r="D6861"/>
    </row>
    <row r="6862" spans="1:4" x14ac:dyDescent="0.2">
      <c r="A6862"/>
      <c r="B6862"/>
      <c r="C6862"/>
      <c r="D6862"/>
    </row>
    <row r="6863" spans="1:4" x14ac:dyDescent="0.2">
      <c r="A6863"/>
      <c r="B6863"/>
      <c r="C6863"/>
      <c r="D6863"/>
    </row>
    <row r="6864" spans="1:4" x14ac:dyDescent="0.2">
      <c r="A6864"/>
      <c r="B6864"/>
      <c r="C6864"/>
      <c r="D6864"/>
    </row>
    <row r="6865" spans="1:4" x14ac:dyDescent="0.2">
      <c r="A6865"/>
      <c r="B6865"/>
      <c r="C6865"/>
      <c r="D6865"/>
    </row>
    <row r="6866" spans="1:4" x14ac:dyDescent="0.2">
      <c r="A6866"/>
      <c r="B6866"/>
      <c r="C6866"/>
      <c r="D6866"/>
    </row>
    <row r="6867" spans="1:4" x14ac:dyDescent="0.2">
      <c r="A6867"/>
      <c r="B6867"/>
      <c r="C6867"/>
      <c r="D6867"/>
    </row>
    <row r="6868" spans="1:4" x14ac:dyDescent="0.2">
      <c r="A6868"/>
      <c r="B6868"/>
      <c r="C6868"/>
      <c r="D6868"/>
    </row>
    <row r="6869" spans="1:4" x14ac:dyDescent="0.2">
      <c r="A6869"/>
      <c r="B6869"/>
      <c r="C6869"/>
      <c r="D6869"/>
    </row>
    <row r="6870" spans="1:4" x14ac:dyDescent="0.2">
      <c r="A6870"/>
      <c r="B6870"/>
      <c r="C6870"/>
      <c r="D6870"/>
    </row>
    <row r="6871" spans="1:4" x14ac:dyDescent="0.2">
      <c r="A6871"/>
      <c r="B6871"/>
      <c r="C6871"/>
      <c r="D6871"/>
    </row>
    <row r="6872" spans="1:4" x14ac:dyDescent="0.2">
      <c r="A6872"/>
      <c r="B6872"/>
      <c r="C6872"/>
      <c r="D6872"/>
    </row>
    <row r="6873" spans="1:4" x14ac:dyDescent="0.2">
      <c r="A6873"/>
      <c r="B6873"/>
      <c r="C6873"/>
      <c r="D6873"/>
    </row>
    <row r="6874" spans="1:4" x14ac:dyDescent="0.2">
      <c r="A6874"/>
      <c r="B6874"/>
      <c r="C6874"/>
      <c r="D6874"/>
    </row>
    <row r="6875" spans="1:4" x14ac:dyDescent="0.2">
      <c r="A6875"/>
      <c r="B6875"/>
      <c r="C6875"/>
      <c r="D6875"/>
    </row>
    <row r="6876" spans="1:4" x14ac:dyDescent="0.2">
      <c r="A6876"/>
      <c r="B6876"/>
      <c r="C6876"/>
      <c r="D6876"/>
    </row>
    <row r="6877" spans="1:4" x14ac:dyDescent="0.2">
      <c r="A6877"/>
      <c r="B6877"/>
      <c r="C6877"/>
      <c r="D6877"/>
    </row>
    <row r="6878" spans="1:4" x14ac:dyDescent="0.2">
      <c r="A6878"/>
      <c r="B6878"/>
      <c r="C6878"/>
      <c r="D6878"/>
    </row>
    <row r="6879" spans="1:4" x14ac:dyDescent="0.2">
      <c r="A6879"/>
      <c r="B6879"/>
      <c r="C6879"/>
      <c r="D6879"/>
    </row>
    <row r="6880" spans="1:4" x14ac:dyDescent="0.2">
      <c r="A6880"/>
      <c r="B6880"/>
      <c r="C6880"/>
      <c r="D6880"/>
    </row>
    <row r="6881" spans="1:4" x14ac:dyDescent="0.2">
      <c r="A6881"/>
      <c r="B6881"/>
      <c r="C6881"/>
      <c r="D6881"/>
    </row>
    <row r="6882" spans="1:4" x14ac:dyDescent="0.2">
      <c r="A6882"/>
      <c r="B6882"/>
      <c r="C6882"/>
      <c r="D6882"/>
    </row>
    <row r="6883" spans="1:4" x14ac:dyDescent="0.2">
      <c r="A6883"/>
      <c r="B6883"/>
      <c r="C6883"/>
      <c r="D6883"/>
    </row>
    <row r="6884" spans="1:4" x14ac:dyDescent="0.2">
      <c r="A6884"/>
      <c r="B6884"/>
      <c r="C6884"/>
      <c r="D6884"/>
    </row>
    <row r="6885" spans="1:4" x14ac:dyDescent="0.2">
      <c r="A6885"/>
      <c r="B6885"/>
      <c r="C6885"/>
      <c r="D6885"/>
    </row>
    <row r="6886" spans="1:4" x14ac:dyDescent="0.2">
      <c r="A6886"/>
      <c r="B6886"/>
      <c r="C6886"/>
      <c r="D6886"/>
    </row>
    <row r="6887" spans="1:4" x14ac:dyDescent="0.2">
      <c r="A6887"/>
      <c r="B6887"/>
      <c r="C6887"/>
      <c r="D6887"/>
    </row>
    <row r="6888" spans="1:4" x14ac:dyDescent="0.2">
      <c r="A6888"/>
      <c r="B6888"/>
      <c r="C6888"/>
      <c r="D6888"/>
    </row>
    <row r="6889" spans="1:4" x14ac:dyDescent="0.2">
      <c r="A6889"/>
      <c r="B6889"/>
      <c r="C6889"/>
      <c r="D6889"/>
    </row>
    <row r="6890" spans="1:4" x14ac:dyDescent="0.2">
      <c r="A6890"/>
      <c r="B6890"/>
      <c r="C6890"/>
      <c r="D6890"/>
    </row>
    <row r="6891" spans="1:4" x14ac:dyDescent="0.2">
      <c r="A6891"/>
      <c r="B6891"/>
      <c r="C6891"/>
      <c r="D6891"/>
    </row>
    <row r="6892" spans="1:4" x14ac:dyDescent="0.2">
      <c r="A6892"/>
      <c r="B6892"/>
      <c r="C6892"/>
      <c r="D6892"/>
    </row>
    <row r="6893" spans="1:4" x14ac:dyDescent="0.2">
      <c r="A6893"/>
      <c r="B6893"/>
      <c r="C6893"/>
      <c r="D6893"/>
    </row>
    <row r="6894" spans="1:4" x14ac:dyDescent="0.2">
      <c r="A6894"/>
      <c r="B6894"/>
      <c r="C6894"/>
      <c r="D6894"/>
    </row>
    <row r="6895" spans="1:4" x14ac:dyDescent="0.2">
      <c r="A6895"/>
      <c r="B6895"/>
      <c r="C6895"/>
      <c r="D6895"/>
    </row>
    <row r="6896" spans="1:4" x14ac:dyDescent="0.2">
      <c r="A6896"/>
      <c r="B6896"/>
      <c r="C6896"/>
      <c r="D6896"/>
    </row>
    <row r="6897" spans="1:4" x14ac:dyDescent="0.2">
      <c r="A6897"/>
      <c r="B6897"/>
      <c r="C6897"/>
      <c r="D6897"/>
    </row>
    <row r="6898" spans="1:4" x14ac:dyDescent="0.2">
      <c r="A6898"/>
      <c r="B6898"/>
      <c r="C6898"/>
      <c r="D6898"/>
    </row>
    <row r="6899" spans="1:4" x14ac:dyDescent="0.2">
      <c r="A6899"/>
      <c r="B6899"/>
      <c r="C6899"/>
      <c r="D6899"/>
    </row>
    <row r="6900" spans="1:4" x14ac:dyDescent="0.2">
      <c r="A6900"/>
      <c r="B6900"/>
      <c r="C6900"/>
      <c r="D6900"/>
    </row>
    <row r="6901" spans="1:4" x14ac:dyDescent="0.2">
      <c r="A6901"/>
      <c r="B6901"/>
      <c r="C6901"/>
      <c r="D6901"/>
    </row>
    <row r="6902" spans="1:4" x14ac:dyDescent="0.2">
      <c r="A6902"/>
      <c r="B6902"/>
      <c r="C6902"/>
      <c r="D6902"/>
    </row>
    <row r="6903" spans="1:4" x14ac:dyDescent="0.2">
      <c r="A6903"/>
      <c r="B6903"/>
      <c r="C6903"/>
      <c r="D6903"/>
    </row>
    <row r="6904" spans="1:4" x14ac:dyDescent="0.2">
      <c r="A6904"/>
      <c r="B6904"/>
      <c r="C6904"/>
      <c r="D6904"/>
    </row>
    <row r="6905" spans="1:4" x14ac:dyDescent="0.2">
      <c r="A6905"/>
      <c r="B6905"/>
      <c r="C6905"/>
      <c r="D6905"/>
    </row>
    <row r="6906" spans="1:4" x14ac:dyDescent="0.2">
      <c r="A6906"/>
      <c r="B6906"/>
      <c r="C6906"/>
      <c r="D6906"/>
    </row>
    <row r="6907" spans="1:4" x14ac:dyDescent="0.2">
      <c r="A6907"/>
      <c r="B6907"/>
      <c r="C6907"/>
      <c r="D6907"/>
    </row>
    <row r="6908" spans="1:4" x14ac:dyDescent="0.2">
      <c r="A6908"/>
      <c r="B6908"/>
      <c r="C6908"/>
      <c r="D6908"/>
    </row>
    <row r="6909" spans="1:4" x14ac:dyDescent="0.2">
      <c r="A6909"/>
      <c r="B6909"/>
      <c r="C6909"/>
      <c r="D6909"/>
    </row>
    <row r="6910" spans="1:4" x14ac:dyDescent="0.2">
      <c r="A6910"/>
      <c r="B6910"/>
      <c r="C6910"/>
      <c r="D6910"/>
    </row>
    <row r="6911" spans="1:4" x14ac:dyDescent="0.2">
      <c r="A6911"/>
      <c r="B6911"/>
      <c r="C6911"/>
      <c r="D6911"/>
    </row>
    <row r="6912" spans="1:4" x14ac:dyDescent="0.2">
      <c r="A6912"/>
      <c r="B6912"/>
      <c r="C6912"/>
      <c r="D6912"/>
    </row>
    <row r="6913" spans="1:4" x14ac:dyDescent="0.2">
      <c r="A6913"/>
      <c r="B6913"/>
      <c r="C6913"/>
      <c r="D6913"/>
    </row>
    <row r="6914" spans="1:4" x14ac:dyDescent="0.2">
      <c r="A6914"/>
      <c r="B6914"/>
      <c r="C6914"/>
      <c r="D6914"/>
    </row>
    <row r="6915" spans="1:4" x14ac:dyDescent="0.2">
      <c r="A6915"/>
      <c r="B6915"/>
      <c r="C6915"/>
      <c r="D6915"/>
    </row>
    <row r="6916" spans="1:4" x14ac:dyDescent="0.2">
      <c r="A6916"/>
      <c r="B6916"/>
      <c r="C6916"/>
      <c r="D6916"/>
    </row>
    <row r="6917" spans="1:4" x14ac:dyDescent="0.2">
      <c r="A6917"/>
      <c r="B6917"/>
      <c r="C6917"/>
      <c r="D6917"/>
    </row>
    <row r="6918" spans="1:4" x14ac:dyDescent="0.2">
      <c r="A6918"/>
      <c r="B6918"/>
      <c r="C6918"/>
      <c r="D6918"/>
    </row>
    <row r="6919" spans="1:4" x14ac:dyDescent="0.2">
      <c r="A6919"/>
      <c r="B6919"/>
      <c r="C6919"/>
      <c r="D6919"/>
    </row>
    <row r="6920" spans="1:4" x14ac:dyDescent="0.2">
      <c r="A6920"/>
      <c r="B6920"/>
      <c r="C6920"/>
      <c r="D6920"/>
    </row>
    <row r="6921" spans="1:4" x14ac:dyDescent="0.2">
      <c r="A6921"/>
      <c r="B6921"/>
      <c r="C6921"/>
      <c r="D6921"/>
    </row>
    <row r="6922" spans="1:4" x14ac:dyDescent="0.2">
      <c r="A6922"/>
      <c r="B6922"/>
      <c r="C6922"/>
      <c r="D6922"/>
    </row>
    <row r="6923" spans="1:4" x14ac:dyDescent="0.2">
      <c r="A6923"/>
      <c r="B6923"/>
      <c r="C6923"/>
      <c r="D6923"/>
    </row>
    <row r="6924" spans="1:4" x14ac:dyDescent="0.2">
      <c r="A6924"/>
      <c r="B6924"/>
      <c r="C6924"/>
      <c r="D6924"/>
    </row>
    <row r="6925" spans="1:4" x14ac:dyDescent="0.2">
      <c r="A6925"/>
      <c r="B6925"/>
      <c r="C6925"/>
      <c r="D6925"/>
    </row>
    <row r="6926" spans="1:4" x14ac:dyDescent="0.2">
      <c r="A6926"/>
      <c r="B6926"/>
      <c r="C6926"/>
      <c r="D6926"/>
    </row>
    <row r="6927" spans="1:4" x14ac:dyDescent="0.2">
      <c r="A6927"/>
      <c r="B6927"/>
      <c r="C6927"/>
      <c r="D6927"/>
    </row>
    <row r="6928" spans="1:4" x14ac:dyDescent="0.2">
      <c r="A6928"/>
      <c r="B6928"/>
      <c r="C6928"/>
      <c r="D6928"/>
    </row>
    <row r="6929" spans="1:4" x14ac:dyDescent="0.2">
      <c r="A6929"/>
      <c r="B6929"/>
      <c r="C6929"/>
      <c r="D6929"/>
    </row>
    <row r="6930" spans="1:4" x14ac:dyDescent="0.2">
      <c r="A6930"/>
      <c r="B6930"/>
      <c r="C6930"/>
      <c r="D6930"/>
    </row>
    <row r="6931" spans="1:4" x14ac:dyDescent="0.2">
      <c r="A6931"/>
      <c r="B6931"/>
      <c r="C6931"/>
      <c r="D6931"/>
    </row>
    <row r="6932" spans="1:4" x14ac:dyDescent="0.2">
      <c r="A6932"/>
      <c r="B6932"/>
      <c r="C6932"/>
      <c r="D6932"/>
    </row>
    <row r="6933" spans="1:4" x14ac:dyDescent="0.2">
      <c r="A6933"/>
      <c r="B6933"/>
      <c r="C6933"/>
      <c r="D6933"/>
    </row>
    <row r="6934" spans="1:4" x14ac:dyDescent="0.2">
      <c r="A6934"/>
      <c r="B6934"/>
      <c r="C6934"/>
      <c r="D6934"/>
    </row>
    <row r="6935" spans="1:4" x14ac:dyDescent="0.2">
      <c r="A6935"/>
      <c r="B6935"/>
      <c r="C6935"/>
      <c r="D6935"/>
    </row>
    <row r="6936" spans="1:4" x14ac:dyDescent="0.2">
      <c r="A6936"/>
      <c r="B6936"/>
      <c r="C6936"/>
      <c r="D6936"/>
    </row>
    <row r="6937" spans="1:4" x14ac:dyDescent="0.2">
      <c r="A6937"/>
      <c r="B6937"/>
      <c r="C6937"/>
      <c r="D6937"/>
    </row>
    <row r="6938" spans="1:4" x14ac:dyDescent="0.2">
      <c r="A6938"/>
      <c r="B6938"/>
      <c r="C6938"/>
      <c r="D6938"/>
    </row>
    <row r="6939" spans="1:4" x14ac:dyDescent="0.2">
      <c r="A6939"/>
      <c r="B6939"/>
      <c r="C6939"/>
      <c r="D6939"/>
    </row>
    <row r="6940" spans="1:4" x14ac:dyDescent="0.2">
      <c r="A6940"/>
      <c r="B6940"/>
      <c r="C6940"/>
      <c r="D6940"/>
    </row>
    <row r="6941" spans="1:4" x14ac:dyDescent="0.2">
      <c r="A6941"/>
      <c r="B6941"/>
      <c r="C6941"/>
      <c r="D6941"/>
    </row>
    <row r="6942" spans="1:4" x14ac:dyDescent="0.2">
      <c r="A6942"/>
      <c r="B6942"/>
      <c r="C6942"/>
      <c r="D6942"/>
    </row>
    <row r="6943" spans="1:4" x14ac:dyDescent="0.2">
      <c r="A6943"/>
      <c r="B6943"/>
      <c r="C6943"/>
      <c r="D6943"/>
    </row>
    <row r="6944" spans="1:4" x14ac:dyDescent="0.2">
      <c r="A6944"/>
      <c r="B6944"/>
      <c r="C6944"/>
      <c r="D6944"/>
    </row>
    <row r="6945" spans="1:4" x14ac:dyDescent="0.2">
      <c r="A6945"/>
      <c r="B6945"/>
      <c r="C6945"/>
      <c r="D6945"/>
    </row>
    <row r="6946" spans="1:4" x14ac:dyDescent="0.2">
      <c r="A6946"/>
      <c r="B6946"/>
      <c r="C6946"/>
      <c r="D6946"/>
    </row>
    <row r="6947" spans="1:4" x14ac:dyDescent="0.2">
      <c r="A6947"/>
      <c r="B6947"/>
      <c r="C6947"/>
      <c r="D6947"/>
    </row>
    <row r="6948" spans="1:4" x14ac:dyDescent="0.2">
      <c r="A6948"/>
      <c r="B6948"/>
      <c r="C6948"/>
      <c r="D6948"/>
    </row>
    <row r="6949" spans="1:4" x14ac:dyDescent="0.2">
      <c r="A6949"/>
      <c r="B6949"/>
      <c r="C6949"/>
      <c r="D6949"/>
    </row>
    <row r="6950" spans="1:4" x14ac:dyDescent="0.2">
      <c r="A6950"/>
      <c r="B6950"/>
      <c r="C6950"/>
      <c r="D6950"/>
    </row>
    <row r="6951" spans="1:4" x14ac:dyDescent="0.2">
      <c r="A6951"/>
      <c r="B6951"/>
      <c r="C6951"/>
      <c r="D6951"/>
    </row>
    <row r="6952" spans="1:4" x14ac:dyDescent="0.2">
      <c r="A6952"/>
      <c r="B6952"/>
      <c r="C6952"/>
      <c r="D6952"/>
    </row>
    <row r="6953" spans="1:4" x14ac:dyDescent="0.2">
      <c r="A6953"/>
      <c r="B6953"/>
      <c r="C6953"/>
      <c r="D6953"/>
    </row>
    <row r="6954" spans="1:4" x14ac:dyDescent="0.2">
      <c r="A6954"/>
      <c r="B6954"/>
      <c r="C6954"/>
      <c r="D6954"/>
    </row>
    <row r="6955" spans="1:4" x14ac:dyDescent="0.2">
      <c r="A6955"/>
      <c r="B6955"/>
      <c r="C6955"/>
      <c r="D6955"/>
    </row>
    <row r="6956" spans="1:4" x14ac:dyDescent="0.2">
      <c r="A6956"/>
      <c r="B6956"/>
      <c r="C6956"/>
      <c r="D6956"/>
    </row>
    <row r="6957" spans="1:4" x14ac:dyDescent="0.2">
      <c r="A6957"/>
      <c r="B6957"/>
      <c r="C6957"/>
      <c r="D6957"/>
    </row>
    <row r="6958" spans="1:4" x14ac:dyDescent="0.2">
      <c r="A6958"/>
      <c r="B6958"/>
      <c r="C6958"/>
      <c r="D6958"/>
    </row>
    <row r="6959" spans="1:4" x14ac:dyDescent="0.2">
      <c r="A6959"/>
      <c r="B6959"/>
      <c r="C6959"/>
      <c r="D6959"/>
    </row>
    <row r="6960" spans="1:4" x14ac:dyDescent="0.2">
      <c r="A6960"/>
      <c r="B6960"/>
      <c r="C6960"/>
      <c r="D6960"/>
    </row>
    <row r="6961" spans="1:4" x14ac:dyDescent="0.2">
      <c r="A6961"/>
      <c r="B6961"/>
      <c r="C6961"/>
      <c r="D6961"/>
    </row>
    <row r="6962" spans="1:4" x14ac:dyDescent="0.2">
      <c r="A6962"/>
      <c r="B6962"/>
      <c r="C6962"/>
      <c r="D6962"/>
    </row>
    <row r="6963" spans="1:4" x14ac:dyDescent="0.2">
      <c r="A6963"/>
      <c r="B6963"/>
      <c r="C6963"/>
      <c r="D6963"/>
    </row>
    <row r="6964" spans="1:4" x14ac:dyDescent="0.2">
      <c r="A6964"/>
      <c r="B6964"/>
      <c r="C6964"/>
      <c r="D6964"/>
    </row>
    <row r="6965" spans="1:4" x14ac:dyDescent="0.2">
      <c r="A6965"/>
      <c r="B6965"/>
      <c r="C6965"/>
      <c r="D6965"/>
    </row>
    <row r="6966" spans="1:4" x14ac:dyDescent="0.2">
      <c r="A6966"/>
      <c r="B6966"/>
      <c r="C6966"/>
      <c r="D6966"/>
    </row>
    <row r="6967" spans="1:4" x14ac:dyDescent="0.2">
      <c r="A6967"/>
      <c r="B6967"/>
      <c r="C6967"/>
      <c r="D6967"/>
    </row>
    <row r="6968" spans="1:4" x14ac:dyDescent="0.2">
      <c r="A6968"/>
      <c r="B6968"/>
      <c r="C6968"/>
      <c r="D6968"/>
    </row>
    <row r="6969" spans="1:4" x14ac:dyDescent="0.2">
      <c r="A6969"/>
      <c r="B6969"/>
      <c r="C6969"/>
      <c r="D6969"/>
    </row>
    <row r="6970" spans="1:4" x14ac:dyDescent="0.2">
      <c r="A6970"/>
      <c r="B6970"/>
      <c r="C6970"/>
      <c r="D6970"/>
    </row>
    <row r="6971" spans="1:4" x14ac:dyDescent="0.2">
      <c r="A6971"/>
      <c r="B6971"/>
      <c r="C6971"/>
      <c r="D6971"/>
    </row>
    <row r="6972" spans="1:4" x14ac:dyDescent="0.2">
      <c r="A6972"/>
      <c r="B6972"/>
      <c r="C6972"/>
      <c r="D6972"/>
    </row>
    <row r="6973" spans="1:4" x14ac:dyDescent="0.2">
      <c r="A6973"/>
      <c r="B6973"/>
      <c r="C6973"/>
      <c r="D6973"/>
    </row>
    <row r="6974" spans="1:4" x14ac:dyDescent="0.2">
      <c r="A6974"/>
      <c r="B6974"/>
      <c r="C6974"/>
      <c r="D6974"/>
    </row>
    <row r="6975" spans="1:4" x14ac:dyDescent="0.2">
      <c r="A6975"/>
      <c r="B6975"/>
      <c r="C6975"/>
      <c r="D6975"/>
    </row>
    <row r="6976" spans="1:4" x14ac:dyDescent="0.2">
      <c r="A6976"/>
      <c r="B6976"/>
      <c r="C6976"/>
      <c r="D6976"/>
    </row>
    <row r="6977" spans="1:4" x14ac:dyDescent="0.2">
      <c r="A6977"/>
      <c r="B6977"/>
      <c r="C6977"/>
      <c r="D6977"/>
    </row>
    <row r="6978" spans="1:4" x14ac:dyDescent="0.2">
      <c r="A6978"/>
      <c r="B6978"/>
      <c r="C6978"/>
      <c r="D6978"/>
    </row>
    <row r="6979" spans="1:4" x14ac:dyDescent="0.2">
      <c r="A6979"/>
      <c r="B6979"/>
      <c r="C6979"/>
      <c r="D6979"/>
    </row>
    <row r="6980" spans="1:4" x14ac:dyDescent="0.2">
      <c r="A6980"/>
      <c r="B6980"/>
      <c r="C6980"/>
      <c r="D6980"/>
    </row>
    <row r="6981" spans="1:4" x14ac:dyDescent="0.2">
      <c r="A6981"/>
      <c r="B6981"/>
      <c r="C6981"/>
      <c r="D6981"/>
    </row>
    <row r="6982" spans="1:4" x14ac:dyDescent="0.2">
      <c r="A6982"/>
      <c r="B6982"/>
      <c r="C6982"/>
      <c r="D6982"/>
    </row>
    <row r="6983" spans="1:4" x14ac:dyDescent="0.2">
      <c r="A6983"/>
      <c r="B6983"/>
      <c r="C6983"/>
      <c r="D6983"/>
    </row>
    <row r="6984" spans="1:4" x14ac:dyDescent="0.2">
      <c r="A6984"/>
      <c r="B6984"/>
      <c r="C6984"/>
      <c r="D6984"/>
    </row>
    <row r="6985" spans="1:4" x14ac:dyDescent="0.2">
      <c r="A6985"/>
      <c r="B6985"/>
      <c r="C6985"/>
      <c r="D6985"/>
    </row>
    <row r="6986" spans="1:4" x14ac:dyDescent="0.2">
      <c r="A6986"/>
      <c r="B6986"/>
      <c r="C6986"/>
      <c r="D6986"/>
    </row>
    <row r="6987" spans="1:4" x14ac:dyDescent="0.2">
      <c r="A6987"/>
      <c r="B6987"/>
      <c r="C6987"/>
      <c r="D6987"/>
    </row>
    <row r="6988" spans="1:4" x14ac:dyDescent="0.2">
      <c r="A6988"/>
      <c r="B6988"/>
      <c r="C6988"/>
      <c r="D6988"/>
    </row>
    <row r="6989" spans="1:4" x14ac:dyDescent="0.2">
      <c r="A6989"/>
      <c r="B6989"/>
      <c r="C6989"/>
      <c r="D6989"/>
    </row>
    <row r="6990" spans="1:4" x14ac:dyDescent="0.2">
      <c r="A6990"/>
      <c r="B6990"/>
      <c r="C6990"/>
      <c r="D6990"/>
    </row>
    <row r="6991" spans="1:4" x14ac:dyDescent="0.2">
      <c r="A6991"/>
      <c r="B6991"/>
      <c r="C6991"/>
      <c r="D6991"/>
    </row>
    <row r="6992" spans="1:4" x14ac:dyDescent="0.2">
      <c r="A6992"/>
      <c r="B6992"/>
      <c r="C6992"/>
      <c r="D6992"/>
    </row>
    <row r="6993" spans="1:4" x14ac:dyDescent="0.2">
      <c r="A6993"/>
      <c r="B6993"/>
      <c r="C6993"/>
      <c r="D6993"/>
    </row>
    <row r="6994" spans="1:4" x14ac:dyDescent="0.2">
      <c r="A6994"/>
      <c r="B6994"/>
      <c r="C6994"/>
      <c r="D6994"/>
    </row>
    <row r="6995" spans="1:4" x14ac:dyDescent="0.2">
      <c r="A6995"/>
      <c r="B6995"/>
      <c r="C6995"/>
      <c r="D6995"/>
    </row>
    <row r="6996" spans="1:4" x14ac:dyDescent="0.2">
      <c r="A6996"/>
      <c r="B6996"/>
      <c r="C6996"/>
      <c r="D6996"/>
    </row>
    <row r="6997" spans="1:4" x14ac:dyDescent="0.2">
      <c r="A6997"/>
      <c r="B6997"/>
      <c r="C6997"/>
      <c r="D6997"/>
    </row>
    <row r="6998" spans="1:4" x14ac:dyDescent="0.2">
      <c r="A6998"/>
      <c r="B6998"/>
      <c r="C6998"/>
      <c r="D6998"/>
    </row>
    <row r="6999" spans="1:4" x14ac:dyDescent="0.2">
      <c r="A6999"/>
      <c r="B6999"/>
      <c r="C6999"/>
      <c r="D6999"/>
    </row>
    <row r="7000" spans="1:4" x14ac:dyDescent="0.2">
      <c r="A7000"/>
      <c r="B7000"/>
      <c r="C7000"/>
      <c r="D7000"/>
    </row>
    <row r="7001" spans="1:4" x14ac:dyDescent="0.2">
      <c r="A7001"/>
      <c r="B7001"/>
      <c r="C7001"/>
      <c r="D7001"/>
    </row>
    <row r="7002" spans="1:4" x14ac:dyDescent="0.2">
      <c r="A7002"/>
      <c r="B7002"/>
      <c r="C7002"/>
      <c r="D7002"/>
    </row>
    <row r="7003" spans="1:4" x14ac:dyDescent="0.2">
      <c r="A7003"/>
      <c r="B7003"/>
      <c r="C7003"/>
      <c r="D7003"/>
    </row>
    <row r="7004" spans="1:4" x14ac:dyDescent="0.2">
      <c r="A7004"/>
      <c r="B7004"/>
      <c r="C7004"/>
      <c r="D7004"/>
    </row>
    <row r="7005" spans="1:4" x14ac:dyDescent="0.2">
      <c r="A7005"/>
      <c r="B7005"/>
      <c r="C7005"/>
      <c r="D7005"/>
    </row>
    <row r="7006" spans="1:4" x14ac:dyDescent="0.2">
      <c r="A7006"/>
      <c r="B7006"/>
      <c r="C7006"/>
      <c r="D7006"/>
    </row>
    <row r="7007" spans="1:4" x14ac:dyDescent="0.2">
      <c r="A7007"/>
      <c r="B7007"/>
      <c r="C7007"/>
      <c r="D7007"/>
    </row>
    <row r="7008" spans="1:4" x14ac:dyDescent="0.2">
      <c r="A7008"/>
      <c r="B7008"/>
      <c r="C7008"/>
      <c r="D7008"/>
    </row>
    <row r="7009" spans="1:4" x14ac:dyDescent="0.2">
      <c r="A7009"/>
      <c r="B7009"/>
      <c r="C7009"/>
      <c r="D7009"/>
    </row>
    <row r="7010" spans="1:4" x14ac:dyDescent="0.2">
      <c r="A7010"/>
      <c r="B7010"/>
      <c r="C7010"/>
      <c r="D7010"/>
    </row>
    <row r="7011" spans="1:4" x14ac:dyDescent="0.2">
      <c r="A7011"/>
      <c r="B7011"/>
      <c r="C7011"/>
      <c r="D7011"/>
    </row>
    <row r="7012" spans="1:4" x14ac:dyDescent="0.2">
      <c r="A7012"/>
      <c r="B7012"/>
      <c r="C7012"/>
      <c r="D7012"/>
    </row>
    <row r="7013" spans="1:4" x14ac:dyDescent="0.2">
      <c r="A7013"/>
      <c r="B7013"/>
      <c r="C7013"/>
      <c r="D7013"/>
    </row>
    <row r="7014" spans="1:4" x14ac:dyDescent="0.2">
      <c r="A7014"/>
      <c r="B7014"/>
      <c r="C7014"/>
      <c r="D7014"/>
    </row>
    <row r="7015" spans="1:4" x14ac:dyDescent="0.2">
      <c r="A7015"/>
      <c r="B7015"/>
      <c r="C7015"/>
      <c r="D7015"/>
    </row>
    <row r="7016" spans="1:4" x14ac:dyDescent="0.2">
      <c r="A7016"/>
      <c r="B7016"/>
      <c r="C7016"/>
      <c r="D7016"/>
    </row>
    <row r="7017" spans="1:4" x14ac:dyDescent="0.2">
      <c r="A7017"/>
      <c r="B7017"/>
      <c r="C7017"/>
      <c r="D7017"/>
    </row>
    <row r="7018" spans="1:4" x14ac:dyDescent="0.2">
      <c r="A7018"/>
      <c r="B7018"/>
      <c r="C7018"/>
      <c r="D7018"/>
    </row>
    <row r="7019" spans="1:4" x14ac:dyDescent="0.2">
      <c r="A7019"/>
      <c r="B7019"/>
      <c r="C7019"/>
      <c r="D7019"/>
    </row>
    <row r="7020" spans="1:4" x14ac:dyDescent="0.2">
      <c r="A7020"/>
      <c r="B7020"/>
      <c r="C7020"/>
      <c r="D7020"/>
    </row>
    <row r="7021" spans="1:4" x14ac:dyDescent="0.2">
      <c r="A7021"/>
      <c r="B7021"/>
      <c r="C7021"/>
      <c r="D7021"/>
    </row>
    <row r="7022" spans="1:4" x14ac:dyDescent="0.2">
      <c r="A7022"/>
      <c r="B7022"/>
      <c r="C7022"/>
      <c r="D7022"/>
    </row>
    <row r="7023" spans="1:4" x14ac:dyDescent="0.2">
      <c r="A7023"/>
      <c r="B7023"/>
      <c r="C7023"/>
      <c r="D7023"/>
    </row>
    <row r="7024" spans="1:4" x14ac:dyDescent="0.2">
      <c r="A7024"/>
      <c r="B7024"/>
      <c r="C7024"/>
      <c r="D7024"/>
    </row>
    <row r="7025" spans="1:4" x14ac:dyDescent="0.2">
      <c r="A7025"/>
      <c r="B7025"/>
      <c r="C7025"/>
      <c r="D7025"/>
    </row>
    <row r="7026" spans="1:4" x14ac:dyDescent="0.2">
      <c r="A7026"/>
      <c r="B7026"/>
      <c r="C7026"/>
      <c r="D7026"/>
    </row>
    <row r="7027" spans="1:4" x14ac:dyDescent="0.2">
      <c r="A7027"/>
      <c r="B7027"/>
      <c r="C7027"/>
      <c r="D7027"/>
    </row>
    <row r="7028" spans="1:4" x14ac:dyDescent="0.2">
      <c r="A7028"/>
      <c r="B7028"/>
      <c r="C7028"/>
      <c r="D7028"/>
    </row>
    <row r="7029" spans="1:4" x14ac:dyDescent="0.2">
      <c r="A7029"/>
      <c r="B7029"/>
      <c r="C7029"/>
      <c r="D7029"/>
    </row>
    <row r="7030" spans="1:4" x14ac:dyDescent="0.2">
      <c r="A7030"/>
      <c r="B7030"/>
      <c r="C7030"/>
      <c r="D7030"/>
    </row>
    <row r="7031" spans="1:4" x14ac:dyDescent="0.2">
      <c r="A7031"/>
      <c r="B7031"/>
      <c r="C7031"/>
      <c r="D7031"/>
    </row>
    <row r="7032" spans="1:4" x14ac:dyDescent="0.2">
      <c r="A7032"/>
      <c r="B7032"/>
      <c r="C7032"/>
      <c r="D7032"/>
    </row>
    <row r="7033" spans="1:4" x14ac:dyDescent="0.2">
      <c r="A7033"/>
      <c r="B7033"/>
      <c r="C7033"/>
      <c r="D7033"/>
    </row>
    <row r="7034" spans="1:4" x14ac:dyDescent="0.2">
      <c r="A7034"/>
      <c r="B7034"/>
      <c r="C7034"/>
      <c r="D7034"/>
    </row>
    <row r="7035" spans="1:4" x14ac:dyDescent="0.2">
      <c r="A7035"/>
      <c r="B7035"/>
      <c r="C7035"/>
      <c r="D7035"/>
    </row>
    <row r="7036" spans="1:4" x14ac:dyDescent="0.2">
      <c r="A7036"/>
      <c r="B7036"/>
      <c r="C7036"/>
      <c r="D7036"/>
    </row>
    <row r="7037" spans="1:4" x14ac:dyDescent="0.2">
      <c r="A7037"/>
      <c r="B7037"/>
      <c r="C7037"/>
      <c r="D7037"/>
    </row>
    <row r="7038" spans="1:4" x14ac:dyDescent="0.2">
      <c r="A7038"/>
      <c r="B7038"/>
      <c r="C7038"/>
      <c r="D7038"/>
    </row>
    <row r="7039" spans="1:4" x14ac:dyDescent="0.2">
      <c r="A7039"/>
      <c r="B7039"/>
      <c r="C7039"/>
      <c r="D7039"/>
    </row>
    <row r="7040" spans="1:4" x14ac:dyDescent="0.2">
      <c r="A7040"/>
      <c r="B7040"/>
      <c r="C7040"/>
      <c r="D7040"/>
    </row>
    <row r="7041" spans="1:4" x14ac:dyDescent="0.2">
      <c r="A7041"/>
      <c r="B7041"/>
      <c r="C7041"/>
      <c r="D7041"/>
    </row>
    <row r="7042" spans="1:4" x14ac:dyDescent="0.2">
      <c r="A7042"/>
      <c r="B7042"/>
      <c r="C7042"/>
      <c r="D7042"/>
    </row>
    <row r="7043" spans="1:4" x14ac:dyDescent="0.2">
      <c r="A7043"/>
      <c r="B7043"/>
      <c r="C7043"/>
      <c r="D7043"/>
    </row>
    <row r="7044" spans="1:4" x14ac:dyDescent="0.2">
      <c r="A7044"/>
      <c r="B7044"/>
      <c r="C7044"/>
      <c r="D7044"/>
    </row>
    <row r="7045" spans="1:4" x14ac:dyDescent="0.2">
      <c r="A7045"/>
      <c r="B7045"/>
      <c r="C7045"/>
      <c r="D7045"/>
    </row>
    <row r="7046" spans="1:4" x14ac:dyDescent="0.2">
      <c r="A7046"/>
      <c r="B7046"/>
      <c r="C7046"/>
      <c r="D7046"/>
    </row>
    <row r="7047" spans="1:4" x14ac:dyDescent="0.2">
      <c r="A7047"/>
      <c r="B7047"/>
      <c r="C7047"/>
      <c r="D7047"/>
    </row>
    <row r="7048" spans="1:4" x14ac:dyDescent="0.2">
      <c r="A7048"/>
      <c r="B7048"/>
      <c r="C7048"/>
      <c r="D7048"/>
    </row>
    <row r="7049" spans="1:4" x14ac:dyDescent="0.2">
      <c r="A7049"/>
      <c r="B7049"/>
      <c r="C7049"/>
      <c r="D7049"/>
    </row>
    <row r="7050" spans="1:4" x14ac:dyDescent="0.2">
      <c r="A7050"/>
      <c r="B7050"/>
      <c r="C7050"/>
      <c r="D7050"/>
    </row>
    <row r="7051" spans="1:4" x14ac:dyDescent="0.2">
      <c r="A7051"/>
      <c r="B7051"/>
      <c r="C7051"/>
      <c r="D7051"/>
    </row>
    <row r="7052" spans="1:4" x14ac:dyDescent="0.2">
      <c r="A7052"/>
      <c r="B7052"/>
      <c r="C7052"/>
      <c r="D7052"/>
    </row>
    <row r="7053" spans="1:4" x14ac:dyDescent="0.2">
      <c r="A7053"/>
      <c r="B7053"/>
      <c r="C7053"/>
      <c r="D7053"/>
    </row>
    <row r="7054" spans="1:4" x14ac:dyDescent="0.2">
      <c r="A7054"/>
      <c r="B7054"/>
      <c r="C7054"/>
      <c r="D7054"/>
    </row>
    <row r="7055" spans="1:4" x14ac:dyDescent="0.2">
      <c r="A7055"/>
      <c r="B7055"/>
      <c r="C7055"/>
      <c r="D7055"/>
    </row>
    <row r="7056" spans="1:4" x14ac:dyDescent="0.2">
      <c r="A7056"/>
      <c r="B7056"/>
      <c r="C7056"/>
      <c r="D7056"/>
    </row>
    <row r="7057" spans="1:4" x14ac:dyDescent="0.2">
      <c r="A7057"/>
      <c r="B7057"/>
      <c r="C7057"/>
      <c r="D7057"/>
    </row>
    <row r="7058" spans="1:4" x14ac:dyDescent="0.2">
      <c r="A7058"/>
      <c r="B7058"/>
      <c r="C7058"/>
      <c r="D7058"/>
    </row>
    <row r="7059" spans="1:4" x14ac:dyDescent="0.2">
      <c r="A7059"/>
      <c r="B7059"/>
      <c r="C7059"/>
      <c r="D7059"/>
    </row>
    <row r="7060" spans="1:4" x14ac:dyDescent="0.2">
      <c r="A7060"/>
      <c r="B7060"/>
      <c r="C7060"/>
      <c r="D7060"/>
    </row>
    <row r="7061" spans="1:4" x14ac:dyDescent="0.2">
      <c r="A7061"/>
      <c r="B7061"/>
      <c r="C7061"/>
      <c r="D7061"/>
    </row>
    <row r="7062" spans="1:4" x14ac:dyDescent="0.2">
      <c r="A7062"/>
      <c r="B7062"/>
      <c r="C7062"/>
      <c r="D7062"/>
    </row>
    <row r="7063" spans="1:4" x14ac:dyDescent="0.2">
      <c r="A7063"/>
      <c r="B7063"/>
      <c r="C7063"/>
      <c r="D7063"/>
    </row>
    <row r="7064" spans="1:4" x14ac:dyDescent="0.2">
      <c r="A7064"/>
      <c r="B7064"/>
      <c r="C7064"/>
      <c r="D7064"/>
    </row>
    <row r="7065" spans="1:4" x14ac:dyDescent="0.2">
      <c r="A7065"/>
      <c r="B7065"/>
      <c r="C7065"/>
      <c r="D7065"/>
    </row>
    <row r="7066" spans="1:4" x14ac:dyDescent="0.2">
      <c r="A7066"/>
      <c r="B7066"/>
      <c r="C7066"/>
      <c r="D7066"/>
    </row>
    <row r="7067" spans="1:4" x14ac:dyDescent="0.2">
      <c r="A7067"/>
      <c r="B7067"/>
      <c r="C7067"/>
      <c r="D7067"/>
    </row>
    <row r="7068" spans="1:4" x14ac:dyDescent="0.2">
      <c r="A7068"/>
      <c r="B7068"/>
      <c r="C7068"/>
      <c r="D7068"/>
    </row>
    <row r="7069" spans="1:4" x14ac:dyDescent="0.2">
      <c r="A7069"/>
      <c r="B7069"/>
      <c r="C7069"/>
      <c r="D7069"/>
    </row>
    <row r="7070" spans="1:4" x14ac:dyDescent="0.2">
      <c r="A7070"/>
      <c r="B7070"/>
      <c r="C7070"/>
      <c r="D7070"/>
    </row>
    <row r="7071" spans="1:4" x14ac:dyDescent="0.2">
      <c r="A7071"/>
      <c r="B7071"/>
      <c r="C7071"/>
      <c r="D7071"/>
    </row>
    <row r="7072" spans="1:4" x14ac:dyDescent="0.2">
      <c r="A7072"/>
      <c r="B7072"/>
      <c r="C7072"/>
      <c r="D7072"/>
    </row>
    <row r="7073" spans="1:4" x14ac:dyDescent="0.2">
      <c r="A7073"/>
      <c r="B7073"/>
      <c r="C7073"/>
      <c r="D7073"/>
    </row>
    <row r="7074" spans="1:4" x14ac:dyDescent="0.2">
      <c r="A7074"/>
      <c r="B7074"/>
      <c r="C7074"/>
      <c r="D7074"/>
    </row>
    <row r="7075" spans="1:4" x14ac:dyDescent="0.2">
      <c r="A7075"/>
      <c r="B7075"/>
      <c r="C7075"/>
      <c r="D7075"/>
    </row>
    <row r="7076" spans="1:4" x14ac:dyDescent="0.2">
      <c r="A7076"/>
      <c r="B7076"/>
      <c r="C7076"/>
      <c r="D7076"/>
    </row>
    <row r="7077" spans="1:4" x14ac:dyDescent="0.2">
      <c r="A7077"/>
      <c r="B7077"/>
      <c r="C7077"/>
      <c r="D7077"/>
    </row>
    <row r="7078" spans="1:4" x14ac:dyDescent="0.2">
      <c r="A7078"/>
      <c r="B7078"/>
      <c r="C7078"/>
      <c r="D7078"/>
    </row>
    <row r="7079" spans="1:4" x14ac:dyDescent="0.2">
      <c r="A7079"/>
      <c r="B7079"/>
      <c r="C7079"/>
      <c r="D7079"/>
    </row>
    <row r="7080" spans="1:4" x14ac:dyDescent="0.2">
      <c r="A7080"/>
      <c r="B7080"/>
      <c r="C7080"/>
      <c r="D7080"/>
    </row>
    <row r="7081" spans="1:4" x14ac:dyDescent="0.2">
      <c r="A7081"/>
      <c r="B7081"/>
      <c r="C7081"/>
      <c r="D7081"/>
    </row>
    <row r="7082" spans="1:4" x14ac:dyDescent="0.2">
      <c r="A7082"/>
      <c r="B7082"/>
      <c r="C7082"/>
      <c r="D7082"/>
    </row>
    <row r="7083" spans="1:4" x14ac:dyDescent="0.2">
      <c r="A7083"/>
      <c r="B7083"/>
      <c r="C7083"/>
      <c r="D7083"/>
    </row>
    <row r="7084" spans="1:4" x14ac:dyDescent="0.2">
      <c r="A7084"/>
      <c r="B7084"/>
      <c r="C7084"/>
      <c r="D7084"/>
    </row>
    <row r="7085" spans="1:4" x14ac:dyDescent="0.2">
      <c r="A7085"/>
      <c r="B7085"/>
      <c r="C7085"/>
      <c r="D7085"/>
    </row>
    <row r="7086" spans="1:4" x14ac:dyDescent="0.2">
      <c r="A7086"/>
      <c r="B7086"/>
      <c r="C7086"/>
      <c r="D7086"/>
    </row>
    <row r="7087" spans="1:4" x14ac:dyDescent="0.2">
      <c r="A7087"/>
      <c r="B7087"/>
      <c r="C7087"/>
      <c r="D7087"/>
    </row>
    <row r="7088" spans="1:4" x14ac:dyDescent="0.2">
      <c r="A7088"/>
      <c r="B7088"/>
      <c r="C7088"/>
      <c r="D7088"/>
    </row>
    <row r="7089" spans="1:4" x14ac:dyDescent="0.2">
      <c r="A7089"/>
      <c r="B7089"/>
      <c r="C7089"/>
      <c r="D7089"/>
    </row>
    <row r="7090" spans="1:4" x14ac:dyDescent="0.2">
      <c r="A7090"/>
      <c r="B7090"/>
      <c r="C7090"/>
      <c r="D7090"/>
    </row>
    <row r="7091" spans="1:4" x14ac:dyDescent="0.2">
      <c r="A7091"/>
      <c r="B7091"/>
      <c r="C7091"/>
      <c r="D7091"/>
    </row>
    <row r="7092" spans="1:4" x14ac:dyDescent="0.2">
      <c r="A7092"/>
      <c r="B7092"/>
      <c r="C7092"/>
      <c r="D7092"/>
    </row>
    <row r="7093" spans="1:4" x14ac:dyDescent="0.2">
      <c r="A7093"/>
      <c r="B7093"/>
      <c r="C7093"/>
      <c r="D7093"/>
    </row>
    <row r="7094" spans="1:4" x14ac:dyDescent="0.2">
      <c r="A7094"/>
      <c r="B7094"/>
      <c r="C7094"/>
      <c r="D7094"/>
    </row>
    <row r="7095" spans="1:4" x14ac:dyDescent="0.2">
      <c r="A7095"/>
      <c r="B7095"/>
      <c r="C7095"/>
      <c r="D7095"/>
    </row>
    <row r="7096" spans="1:4" x14ac:dyDescent="0.2">
      <c r="A7096"/>
      <c r="B7096"/>
      <c r="C7096"/>
      <c r="D7096"/>
    </row>
    <row r="7097" spans="1:4" x14ac:dyDescent="0.2">
      <c r="A7097"/>
      <c r="B7097"/>
      <c r="C7097"/>
      <c r="D7097"/>
    </row>
    <row r="7098" spans="1:4" x14ac:dyDescent="0.2">
      <c r="A7098"/>
      <c r="B7098"/>
      <c r="C7098"/>
      <c r="D7098"/>
    </row>
    <row r="7099" spans="1:4" x14ac:dyDescent="0.2">
      <c r="A7099"/>
      <c r="B7099"/>
      <c r="C7099"/>
      <c r="D7099"/>
    </row>
    <row r="7100" spans="1:4" x14ac:dyDescent="0.2">
      <c r="A7100"/>
      <c r="B7100"/>
      <c r="C7100"/>
      <c r="D7100"/>
    </row>
    <row r="7101" spans="1:4" x14ac:dyDescent="0.2">
      <c r="A7101"/>
      <c r="B7101"/>
      <c r="C7101"/>
      <c r="D7101"/>
    </row>
    <row r="7102" spans="1:4" x14ac:dyDescent="0.2">
      <c r="A7102"/>
      <c r="B7102"/>
      <c r="C7102"/>
      <c r="D7102"/>
    </row>
    <row r="7103" spans="1:4" x14ac:dyDescent="0.2">
      <c r="A7103"/>
      <c r="B7103"/>
      <c r="C7103"/>
      <c r="D7103"/>
    </row>
    <row r="7104" spans="1:4" x14ac:dyDescent="0.2">
      <c r="A7104"/>
      <c r="B7104"/>
      <c r="C7104"/>
      <c r="D7104"/>
    </row>
    <row r="7105" spans="1:4" x14ac:dyDescent="0.2">
      <c r="A7105"/>
      <c r="B7105"/>
      <c r="C7105"/>
      <c r="D7105"/>
    </row>
    <row r="7106" spans="1:4" x14ac:dyDescent="0.2">
      <c r="A7106"/>
      <c r="B7106"/>
      <c r="C7106"/>
      <c r="D7106"/>
    </row>
    <row r="7107" spans="1:4" x14ac:dyDescent="0.2">
      <c r="A7107"/>
      <c r="B7107"/>
      <c r="C7107"/>
      <c r="D7107"/>
    </row>
    <row r="7108" spans="1:4" x14ac:dyDescent="0.2">
      <c r="A7108"/>
      <c r="B7108"/>
      <c r="C7108"/>
      <c r="D7108"/>
    </row>
    <row r="7109" spans="1:4" x14ac:dyDescent="0.2">
      <c r="A7109"/>
      <c r="B7109"/>
      <c r="C7109"/>
      <c r="D7109"/>
    </row>
    <row r="7110" spans="1:4" x14ac:dyDescent="0.2">
      <c r="A7110"/>
      <c r="B7110"/>
      <c r="C7110"/>
      <c r="D7110"/>
    </row>
    <row r="7111" spans="1:4" x14ac:dyDescent="0.2">
      <c r="A7111"/>
      <c r="B7111"/>
      <c r="C7111"/>
      <c r="D7111"/>
    </row>
    <row r="7112" spans="1:4" x14ac:dyDescent="0.2">
      <c r="A7112"/>
      <c r="B7112"/>
      <c r="C7112"/>
      <c r="D7112"/>
    </row>
    <row r="7113" spans="1:4" x14ac:dyDescent="0.2">
      <c r="A7113"/>
      <c r="B7113"/>
      <c r="C7113"/>
      <c r="D7113"/>
    </row>
    <row r="7114" spans="1:4" x14ac:dyDescent="0.2">
      <c r="A7114"/>
      <c r="B7114"/>
      <c r="C7114"/>
      <c r="D7114"/>
    </row>
    <row r="7115" spans="1:4" x14ac:dyDescent="0.2">
      <c r="A7115"/>
      <c r="B7115"/>
      <c r="C7115"/>
      <c r="D7115"/>
    </row>
    <row r="7116" spans="1:4" x14ac:dyDescent="0.2">
      <c r="A7116"/>
      <c r="B7116"/>
      <c r="C7116"/>
      <c r="D7116"/>
    </row>
    <row r="7117" spans="1:4" x14ac:dyDescent="0.2">
      <c r="A7117"/>
      <c r="B7117"/>
      <c r="C7117"/>
      <c r="D7117"/>
    </row>
    <row r="7118" spans="1:4" x14ac:dyDescent="0.2">
      <c r="A7118"/>
      <c r="B7118"/>
      <c r="C7118"/>
      <c r="D7118"/>
    </row>
    <row r="7119" spans="1:4" x14ac:dyDescent="0.2">
      <c r="A7119"/>
      <c r="B7119"/>
      <c r="C7119"/>
      <c r="D7119"/>
    </row>
    <row r="7120" spans="1:4" x14ac:dyDescent="0.2">
      <c r="A7120"/>
      <c r="B7120"/>
      <c r="C7120"/>
      <c r="D7120"/>
    </row>
    <row r="7121" spans="1:4" x14ac:dyDescent="0.2">
      <c r="A7121"/>
      <c r="B7121"/>
      <c r="C7121"/>
      <c r="D7121"/>
    </row>
    <row r="7122" spans="1:4" x14ac:dyDescent="0.2">
      <c r="A7122"/>
      <c r="B7122"/>
      <c r="C7122"/>
      <c r="D7122"/>
    </row>
    <row r="7123" spans="1:4" x14ac:dyDescent="0.2">
      <c r="A7123"/>
      <c r="B7123"/>
      <c r="C7123"/>
      <c r="D7123"/>
    </row>
    <row r="7124" spans="1:4" x14ac:dyDescent="0.2">
      <c r="A7124"/>
      <c r="B7124"/>
      <c r="C7124"/>
      <c r="D7124"/>
    </row>
    <row r="7125" spans="1:4" x14ac:dyDescent="0.2">
      <c r="A7125"/>
      <c r="B7125"/>
      <c r="C7125"/>
      <c r="D7125"/>
    </row>
    <row r="7126" spans="1:4" x14ac:dyDescent="0.2">
      <c r="A7126"/>
      <c r="B7126"/>
      <c r="C7126"/>
      <c r="D7126"/>
    </row>
    <row r="7127" spans="1:4" x14ac:dyDescent="0.2">
      <c r="A7127"/>
      <c r="B7127"/>
      <c r="C7127"/>
      <c r="D7127"/>
    </row>
    <row r="7128" spans="1:4" x14ac:dyDescent="0.2">
      <c r="A7128"/>
      <c r="B7128"/>
      <c r="C7128"/>
      <c r="D7128"/>
    </row>
    <row r="7129" spans="1:4" x14ac:dyDescent="0.2">
      <c r="A7129"/>
      <c r="B7129"/>
      <c r="C7129"/>
      <c r="D7129"/>
    </row>
    <row r="7130" spans="1:4" x14ac:dyDescent="0.2">
      <c r="A7130"/>
      <c r="B7130"/>
      <c r="C7130"/>
      <c r="D7130"/>
    </row>
    <row r="7131" spans="1:4" x14ac:dyDescent="0.2">
      <c r="A7131"/>
      <c r="B7131"/>
      <c r="C7131"/>
      <c r="D7131"/>
    </row>
    <row r="7132" spans="1:4" x14ac:dyDescent="0.2">
      <c r="A7132"/>
      <c r="B7132"/>
      <c r="C7132"/>
      <c r="D7132"/>
    </row>
    <row r="7133" spans="1:4" x14ac:dyDescent="0.2">
      <c r="A7133"/>
      <c r="B7133"/>
      <c r="C7133"/>
      <c r="D7133"/>
    </row>
    <row r="7134" spans="1:4" x14ac:dyDescent="0.2">
      <c r="A7134"/>
      <c r="B7134"/>
      <c r="C7134"/>
      <c r="D7134"/>
    </row>
    <row r="7135" spans="1:4" x14ac:dyDescent="0.2">
      <c r="A7135"/>
      <c r="B7135"/>
      <c r="C7135"/>
      <c r="D7135"/>
    </row>
    <row r="7136" spans="1:4" x14ac:dyDescent="0.2">
      <c r="A7136"/>
      <c r="B7136"/>
      <c r="C7136"/>
      <c r="D7136"/>
    </row>
    <row r="7137" spans="1:4" x14ac:dyDescent="0.2">
      <c r="A7137"/>
      <c r="B7137"/>
      <c r="C7137"/>
      <c r="D7137"/>
    </row>
    <row r="7138" spans="1:4" x14ac:dyDescent="0.2">
      <c r="A7138"/>
      <c r="B7138"/>
      <c r="C7138"/>
      <c r="D7138"/>
    </row>
    <row r="7139" spans="1:4" x14ac:dyDescent="0.2">
      <c r="A7139"/>
      <c r="B7139"/>
      <c r="C7139"/>
      <c r="D7139"/>
    </row>
    <row r="7140" spans="1:4" x14ac:dyDescent="0.2">
      <c r="A7140"/>
      <c r="B7140"/>
      <c r="C7140"/>
      <c r="D7140"/>
    </row>
    <row r="7141" spans="1:4" x14ac:dyDescent="0.2">
      <c r="A7141"/>
      <c r="B7141"/>
      <c r="C7141"/>
      <c r="D7141"/>
    </row>
    <row r="7142" spans="1:4" x14ac:dyDescent="0.2">
      <c r="A7142"/>
      <c r="B7142"/>
      <c r="C7142"/>
      <c r="D7142"/>
    </row>
    <row r="7143" spans="1:4" x14ac:dyDescent="0.2">
      <c r="A7143"/>
      <c r="B7143"/>
      <c r="C7143"/>
      <c r="D7143"/>
    </row>
    <row r="7144" spans="1:4" x14ac:dyDescent="0.2">
      <c r="A7144"/>
      <c r="B7144"/>
      <c r="C7144"/>
      <c r="D7144"/>
    </row>
    <row r="7145" spans="1:4" x14ac:dyDescent="0.2">
      <c r="A7145"/>
      <c r="B7145"/>
      <c r="C7145"/>
      <c r="D7145"/>
    </row>
    <row r="7146" spans="1:4" x14ac:dyDescent="0.2">
      <c r="A7146"/>
      <c r="B7146"/>
      <c r="C7146"/>
      <c r="D7146"/>
    </row>
    <row r="7147" spans="1:4" x14ac:dyDescent="0.2">
      <c r="A7147"/>
      <c r="B7147"/>
      <c r="C7147"/>
      <c r="D7147"/>
    </row>
    <row r="7148" spans="1:4" x14ac:dyDescent="0.2">
      <c r="A7148"/>
      <c r="B7148"/>
      <c r="C7148"/>
      <c r="D7148"/>
    </row>
    <row r="7149" spans="1:4" x14ac:dyDescent="0.2">
      <c r="A7149"/>
      <c r="B7149"/>
      <c r="C7149"/>
      <c r="D7149"/>
    </row>
    <row r="7150" spans="1:4" x14ac:dyDescent="0.2">
      <c r="A7150"/>
      <c r="B7150"/>
      <c r="C7150"/>
      <c r="D7150"/>
    </row>
    <row r="7151" spans="1:4" x14ac:dyDescent="0.2">
      <c r="A7151"/>
      <c r="B7151"/>
      <c r="C7151"/>
      <c r="D7151"/>
    </row>
    <row r="7152" spans="1:4" x14ac:dyDescent="0.2">
      <c r="A7152"/>
      <c r="B7152"/>
      <c r="C7152"/>
      <c r="D7152"/>
    </row>
    <row r="7153" spans="1:4" x14ac:dyDescent="0.2">
      <c r="A7153"/>
      <c r="B7153"/>
      <c r="C7153"/>
      <c r="D7153"/>
    </row>
    <row r="7154" spans="1:4" x14ac:dyDescent="0.2">
      <c r="A7154"/>
      <c r="B7154"/>
      <c r="C7154"/>
      <c r="D7154"/>
    </row>
    <row r="7155" spans="1:4" x14ac:dyDescent="0.2">
      <c r="A7155"/>
      <c r="B7155"/>
      <c r="C7155"/>
      <c r="D7155"/>
    </row>
    <row r="7156" spans="1:4" x14ac:dyDescent="0.2">
      <c r="A7156"/>
      <c r="B7156"/>
      <c r="C7156"/>
      <c r="D7156"/>
    </row>
    <row r="7157" spans="1:4" x14ac:dyDescent="0.2">
      <c r="A7157"/>
      <c r="B7157"/>
      <c r="C7157"/>
      <c r="D7157"/>
    </row>
    <row r="7158" spans="1:4" x14ac:dyDescent="0.2">
      <c r="A7158"/>
      <c r="B7158"/>
      <c r="C7158"/>
      <c r="D7158"/>
    </row>
    <row r="7159" spans="1:4" x14ac:dyDescent="0.2">
      <c r="A7159"/>
      <c r="B7159"/>
      <c r="C7159"/>
      <c r="D7159"/>
    </row>
    <row r="7160" spans="1:4" x14ac:dyDescent="0.2">
      <c r="A7160"/>
      <c r="B7160"/>
      <c r="C7160"/>
      <c r="D7160"/>
    </row>
    <row r="7161" spans="1:4" x14ac:dyDescent="0.2">
      <c r="A7161"/>
      <c r="B7161"/>
      <c r="C7161"/>
      <c r="D7161"/>
    </row>
    <row r="7162" spans="1:4" x14ac:dyDescent="0.2">
      <c r="A7162"/>
      <c r="B7162"/>
      <c r="C7162"/>
      <c r="D7162"/>
    </row>
    <row r="7163" spans="1:4" x14ac:dyDescent="0.2">
      <c r="A7163"/>
      <c r="B7163"/>
      <c r="C7163"/>
      <c r="D7163"/>
    </row>
    <row r="7164" spans="1:4" x14ac:dyDescent="0.2">
      <c r="A7164"/>
      <c r="B7164"/>
      <c r="C7164"/>
      <c r="D7164"/>
    </row>
    <row r="7165" spans="1:4" x14ac:dyDescent="0.2">
      <c r="A7165"/>
      <c r="B7165"/>
      <c r="C7165"/>
      <c r="D7165"/>
    </row>
    <row r="7166" spans="1:4" x14ac:dyDescent="0.2">
      <c r="A7166"/>
      <c r="B7166"/>
      <c r="C7166"/>
      <c r="D7166"/>
    </row>
    <row r="7167" spans="1:4" x14ac:dyDescent="0.2">
      <c r="A7167"/>
      <c r="B7167"/>
      <c r="C7167"/>
      <c r="D7167"/>
    </row>
    <row r="7168" spans="1:4" x14ac:dyDescent="0.2">
      <c r="A7168"/>
      <c r="B7168"/>
      <c r="C7168"/>
      <c r="D7168"/>
    </row>
    <row r="7169" spans="1:4" x14ac:dyDescent="0.2">
      <c r="A7169"/>
      <c r="B7169"/>
      <c r="C7169"/>
      <c r="D7169"/>
    </row>
    <row r="7170" spans="1:4" x14ac:dyDescent="0.2">
      <c r="A7170"/>
      <c r="B7170"/>
      <c r="C7170"/>
      <c r="D7170"/>
    </row>
    <row r="7171" spans="1:4" x14ac:dyDescent="0.2">
      <c r="A7171"/>
      <c r="B7171"/>
      <c r="C7171"/>
      <c r="D7171"/>
    </row>
    <row r="7172" spans="1:4" x14ac:dyDescent="0.2">
      <c r="A7172"/>
      <c r="B7172"/>
      <c r="C7172"/>
      <c r="D7172"/>
    </row>
    <row r="7173" spans="1:4" x14ac:dyDescent="0.2">
      <c r="A7173"/>
      <c r="B7173"/>
      <c r="C7173"/>
      <c r="D7173"/>
    </row>
    <row r="7174" spans="1:4" x14ac:dyDescent="0.2">
      <c r="A7174"/>
      <c r="B7174"/>
      <c r="C7174"/>
      <c r="D7174"/>
    </row>
    <row r="7175" spans="1:4" x14ac:dyDescent="0.2">
      <c r="A7175"/>
      <c r="B7175"/>
      <c r="C7175"/>
      <c r="D7175"/>
    </row>
    <row r="7176" spans="1:4" x14ac:dyDescent="0.2">
      <c r="A7176"/>
      <c r="B7176"/>
      <c r="C7176"/>
      <c r="D7176"/>
    </row>
    <row r="7177" spans="1:4" x14ac:dyDescent="0.2">
      <c r="A7177"/>
      <c r="B7177"/>
      <c r="C7177"/>
      <c r="D7177"/>
    </row>
    <row r="7178" spans="1:4" x14ac:dyDescent="0.2">
      <c r="A7178"/>
      <c r="B7178"/>
      <c r="C7178"/>
      <c r="D7178"/>
    </row>
    <row r="7179" spans="1:4" x14ac:dyDescent="0.2">
      <c r="A7179"/>
      <c r="B7179"/>
      <c r="C7179"/>
      <c r="D7179"/>
    </row>
    <row r="7180" spans="1:4" x14ac:dyDescent="0.2">
      <c r="A7180"/>
      <c r="B7180"/>
      <c r="C7180"/>
      <c r="D7180"/>
    </row>
    <row r="7181" spans="1:4" x14ac:dyDescent="0.2">
      <c r="A7181"/>
      <c r="B7181"/>
      <c r="C7181"/>
      <c r="D7181"/>
    </row>
    <row r="7182" spans="1:4" x14ac:dyDescent="0.2">
      <c r="A7182"/>
      <c r="B7182"/>
      <c r="C7182"/>
      <c r="D7182"/>
    </row>
    <row r="7183" spans="1:4" x14ac:dyDescent="0.2">
      <c r="A7183"/>
      <c r="B7183"/>
      <c r="C7183"/>
      <c r="D7183"/>
    </row>
    <row r="7184" spans="1:4" x14ac:dyDescent="0.2">
      <c r="A7184"/>
      <c r="B7184"/>
      <c r="C7184"/>
      <c r="D7184"/>
    </row>
    <row r="7185" spans="1:4" x14ac:dyDescent="0.2">
      <c r="A7185"/>
      <c r="B7185"/>
      <c r="C7185"/>
      <c r="D7185"/>
    </row>
    <row r="7186" spans="1:4" x14ac:dyDescent="0.2">
      <c r="A7186"/>
      <c r="B7186"/>
      <c r="C7186"/>
      <c r="D7186"/>
    </row>
    <row r="7187" spans="1:4" x14ac:dyDescent="0.2">
      <c r="A7187"/>
      <c r="B7187"/>
      <c r="C7187"/>
      <c r="D7187"/>
    </row>
    <row r="7188" spans="1:4" x14ac:dyDescent="0.2">
      <c r="A7188"/>
      <c r="B7188"/>
      <c r="C7188"/>
      <c r="D7188"/>
    </row>
    <row r="7189" spans="1:4" x14ac:dyDescent="0.2">
      <c r="A7189"/>
      <c r="B7189"/>
      <c r="C7189"/>
      <c r="D7189"/>
    </row>
    <row r="7190" spans="1:4" x14ac:dyDescent="0.2">
      <c r="A7190"/>
      <c r="B7190"/>
      <c r="C7190"/>
      <c r="D7190"/>
    </row>
    <row r="7191" spans="1:4" x14ac:dyDescent="0.2">
      <c r="A7191"/>
      <c r="B7191"/>
      <c r="C7191"/>
      <c r="D7191"/>
    </row>
    <row r="7192" spans="1:4" x14ac:dyDescent="0.2">
      <c r="A7192"/>
      <c r="B7192"/>
      <c r="C7192"/>
      <c r="D7192"/>
    </row>
    <row r="7193" spans="1:4" x14ac:dyDescent="0.2">
      <c r="A7193"/>
      <c r="B7193"/>
      <c r="C7193"/>
      <c r="D7193"/>
    </row>
    <row r="7194" spans="1:4" x14ac:dyDescent="0.2">
      <c r="A7194"/>
      <c r="B7194"/>
      <c r="C7194"/>
      <c r="D7194"/>
    </row>
    <row r="7195" spans="1:4" x14ac:dyDescent="0.2">
      <c r="A7195"/>
      <c r="B7195"/>
      <c r="C7195"/>
      <c r="D7195"/>
    </row>
    <row r="7196" spans="1:4" x14ac:dyDescent="0.2">
      <c r="A7196"/>
      <c r="B7196"/>
      <c r="C7196"/>
      <c r="D7196"/>
    </row>
    <row r="7197" spans="1:4" x14ac:dyDescent="0.2">
      <c r="A7197"/>
      <c r="B7197"/>
      <c r="C7197"/>
      <c r="D7197"/>
    </row>
    <row r="7198" spans="1:4" x14ac:dyDescent="0.2">
      <c r="A7198"/>
      <c r="B7198"/>
      <c r="C7198"/>
      <c r="D7198"/>
    </row>
    <row r="7199" spans="1:4" x14ac:dyDescent="0.2">
      <c r="A7199"/>
      <c r="B7199"/>
      <c r="C7199"/>
      <c r="D7199"/>
    </row>
    <row r="7200" spans="1:4" x14ac:dyDescent="0.2">
      <c r="A7200"/>
      <c r="B7200"/>
      <c r="C7200"/>
      <c r="D7200"/>
    </row>
    <row r="7201" spans="1:4" x14ac:dyDescent="0.2">
      <c r="A7201"/>
      <c r="B7201"/>
      <c r="C7201"/>
      <c r="D7201"/>
    </row>
    <row r="7202" spans="1:4" x14ac:dyDescent="0.2">
      <c r="A7202"/>
      <c r="B7202"/>
      <c r="C7202"/>
      <c r="D7202"/>
    </row>
    <row r="7203" spans="1:4" x14ac:dyDescent="0.2">
      <c r="A7203"/>
      <c r="B7203"/>
      <c r="C7203"/>
      <c r="D7203"/>
    </row>
    <row r="7204" spans="1:4" x14ac:dyDescent="0.2">
      <c r="A7204"/>
      <c r="B7204"/>
      <c r="C7204"/>
      <c r="D7204"/>
    </row>
    <row r="7205" spans="1:4" x14ac:dyDescent="0.2">
      <c r="A7205"/>
      <c r="B7205"/>
      <c r="C7205"/>
      <c r="D7205"/>
    </row>
    <row r="7206" spans="1:4" x14ac:dyDescent="0.2">
      <c r="A7206"/>
      <c r="B7206"/>
      <c r="C7206"/>
      <c r="D7206"/>
    </row>
    <row r="7207" spans="1:4" x14ac:dyDescent="0.2">
      <c r="A7207"/>
      <c r="B7207"/>
      <c r="C7207"/>
      <c r="D7207"/>
    </row>
    <row r="7208" spans="1:4" x14ac:dyDescent="0.2">
      <c r="A7208"/>
      <c r="B7208"/>
      <c r="C7208"/>
      <c r="D7208"/>
    </row>
    <row r="7209" spans="1:4" x14ac:dyDescent="0.2">
      <c r="A7209"/>
      <c r="B7209"/>
      <c r="C7209"/>
      <c r="D7209"/>
    </row>
    <row r="7210" spans="1:4" x14ac:dyDescent="0.2">
      <c r="A7210"/>
      <c r="B7210"/>
      <c r="C7210"/>
      <c r="D7210"/>
    </row>
    <row r="7211" spans="1:4" x14ac:dyDescent="0.2">
      <c r="A7211"/>
      <c r="B7211"/>
      <c r="C7211"/>
      <c r="D7211"/>
    </row>
    <row r="7212" spans="1:4" x14ac:dyDescent="0.2">
      <c r="A7212"/>
      <c r="B7212"/>
      <c r="C7212"/>
      <c r="D7212"/>
    </row>
    <row r="7213" spans="1:4" x14ac:dyDescent="0.2">
      <c r="A7213"/>
      <c r="B7213"/>
      <c r="C7213"/>
      <c r="D7213"/>
    </row>
    <row r="7214" spans="1:4" x14ac:dyDescent="0.2">
      <c r="A7214"/>
      <c r="B7214"/>
      <c r="C7214"/>
      <c r="D7214"/>
    </row>
    <row r="7215" spans="1:4" x14ac:dyDescent="0.2">
      <c r="A7215"/>
      <c r="B7215"/>
      <c r="C7215"/>
      <c r="D7215"/>
    </row>
    <row r="7216" spans="1:4" x14ac:dyDescent="0.2">
      <c r="A7216"/>
      <c r="B7216"/>
      <c r="C7216"/>
      <c r="D7216"/>
    </row>
    <row r="7217" spans="1:4" x14ac:dyDescent="0.2">
      <c r="A7217"/>
      <c r="B7217"/>
      <c r="C7217"/>
      <c r="D7217"/>
    </row>
    <row r="7218" spans="1:4" x14ac:dyDescent="0.2">
      <c r="A7218"/>
      <c r="B7218"/>
      <c r="C7218"/>
      <c r="D7218"/>
    </row>
    <row r="7219" spans="1:4" x14ac:dyDescent="0.2">
      <c r="A7219"/>
      <c r="B7219"/>
      <c r="C7219"/>
      <c r="D7219"/>
    </row>
    <row r="7220" spans="1:4" x14ac:dyDescent="0.2">
      <c r="A7220"/>
      <c r="B7220"/>
      <c r="C7220"/>
      <c r="D7220"/>
    </row>
    <row r="7221" spans="1:4" x14ac:dyDescent="0.2">
      <c r="A7221"/>
      <c r="B7221"/>
      <c r="C7221"/>
      <c r="D7221"/>
    </row>
    <row r="7222" spans="1:4" x14ac:dyDescent="0.2">
      <c r="A7222"/>
      <c r="B7222"/>
      <c r="C7222"/>
      <c r="D7222"/>
    </row>
    <row r="7223" spans="1:4" x14ac:dyDescent="0.2">
      <c r="A7223"/>
      <c r="B7223"/>
      <c r="C7223"/>
      <c r="D7223"/>
    </row>
    <row r="7224" spans="1:4" x14ac:dyDescent="0.2">
      <c r="A7224"/>
      <c r="B7224"/>
      <c r="C7224"/>
      <c r="D7224"/>
    </row>
    <row r="7225" spans="1:4" x14ac:dyDescent="0.2">
      <c r="A7225"/>
      <c r="B7225"/>
      <c r="C7225"/>
      <c r="D7225"/>
    </row>
    <row r="7226" spans="1:4" x14ac:dyDescent="0.2">
      <c r="A7226"/>
      <c r="B7226"/>
      <c r="C7226"/>
      <c r="D7226"/>
    </row>
    <row r="7227" spans="1:4" x14ac:dyDescent="0.2">
      <c r="A7227"/>
      <c r="B7227"/>
      <c r="C7227"/>
      <c r="D7227"/>
    </row>
    <row r="7228" spans="1:4" x14ac:dyDescent="0.2">
      <c r="A7228"/>
      <c r="B7228"/>
      <c r="C7228"/>
      <c r="D7228"/>
    </row>
    <row r="7229" spans="1:4" x14ac:dyDescent="0.2">
      <c r="A7229"/>
      <c r="B7229"/>
      <c r="C7229"/>
      <c r="D7229"/>
    </row>
    <row r="7230" spans="1:4" x14ac:dyDescent="0.2">
      <c r="A7230"/>
      <c r="B7230"/>
      <c r="C7230"/>
      <c r="D7230"/>
    </row>
    <row r="7231" spans="1:4" x14ac:dyDescent="0.2">
      <c r="A7231"/>
      <c r="B7231"/>
      <c r="C7231"/>
      <c r="D7231"/>
    </row>
    <row r="7232" spans="1:4" x14ac:dyDescent="0.2">
      <c r="A7232"/>
      <c r="B7232"/>
      <c r="C7232"/>
      <c r="D7232"/>
    </row>
    <row r="7233" spans="1:4" x14ac:dyDescent="0.2">
      <c r="A7233"/>
      <c r="B7233"/>
      <c r="C7233"/>
      <c r="D7233"/>
    </row>
    <row r="7234" spans="1:4" x14ac:dyDescent="0.2">
      <c r="A7234"/>
      <c r="B7234"/>
      <c r="C7234"/>
      <c r="D7234"/>
    </row>
    <row r="7235" spans="1:4" x14ac:dyDescent="0.2">
      <c r="A7235"/>
      <c r="B7235"/>
      <c r="C7235"/>
      <c r="D7235"/>
    </row>
    <row r="7236" spans="1:4" x14ac:dyDescent="0.2">
      <c r="A7236"/>
      <c r="B7236"/>
      <c r="C7236"/>
      <c r="D7236"/>
    </row>
    <row r="7237" spans="1:4" x14ac:dyDescent="0.2">
      <c r="A7237"/>
      <c r="B7237"/>
      <c r="C7237"/>
      <c r="D7237"/>
    </row>
    <row r="7238" spans="1:4" x14ac:dyDescent="0.2">
      <c r="A7238"/>
      <c r="B7238"/>
      <c r="C7238"/>
      <c r="D7238"/>
    </row>
    <row r="7239" spans="1:4" x14ac:dyDescent="0.2">
      <c r="A7239"/>
      <c r="B7239"/>
      <c r="C7239"/>
      <c r="D7239"/>
    </row>
    <row r="7240" spans="1:4" x14ac:dyDescent="0.2">
      <c r="A7240"/>
      <c r="B7240"/>
      <c r="C7240"/>
      <c r="D7240"/>
    </row>
    <row r="7241" spans="1:4" x14ac:dyDescent="0.2">
      <c r="A7241"/>
      <c r="B7241"/>
      <c r="C7241"/>
      <c r="D7241"/>
    </row>
    <row r="7242" spans="1:4" x14ac:dyDescent="0.2">
      <c r="A7242"/>
      <c r="B7242"/>
      <c r="C7242"/>
      <c r="D7242"/>
    </row>
    <row r="7243" spans="1:4" x14ac:dyDescent="0.2">
      <c r="A7243"/>
      <c r="B7243"/>
      <c r="C7243"/>
      <c r="D7243"/>
    </row>
    <row r="7244" spans="1:4" x14ac:dyDescent="0.2">
      <c r="A7244"/>
      <c r="B7244"/>
      <c r="C7244"/>
      <c r="D7244"/>
    </row>
    <row r="7245" spans="1:4" x14ac:dyDescent="0.2">
      <c r="A7245"/>
      <c r="B7245"/>
      <c r="C7245"/>
      <c r="D7245"/>
    </row>
    <row r="7246" spans="1:4" x14ac:dyDescent="0.2">
      <c r="A7246"/>
      <c r="B7246"/>
      <c r="C7246"/>
      <c r="D7246"/>
    </row>
    <row r="7247" spans="1:4" x14ac:dyDescent="0.2">
      <c r="A7247"/>
      <c r="B7247"/>
      <c r="C7247"/>
      <c r="D7247"/>
    </row>
    <row r="7248" spans="1:4" x14ac:dyDescent="0.2">
      <c r="A7248"/>
      <c r="B7248"/>
      <c r="C7248"/>
      <c r="D7248"/>
    </row>
    <row r="7249" spans="1:4" x14ac:dyDescent="0.2">
      <c r="A7249"/>
      <c r="B7249"/>
      <c r="C7249"/>
      <c r="D7249"/>
    </row>
    <row r="7250" spans="1:4" x14ac:dyDescent="0.2">
      <c r="A7250"/>
      <c r="B7250"/>
      <c r="C7250"/>
      <c r="D7250"/>
    </row>
    <row r="7251" spans="1:4" x14ac:dyDescent="0.2">
      <c r="A7251"/>
      <c r="B7251"/>
      <c r="C7251"/>
      <c r="D7251"/>
    </row>
    <row r="7252" spans="1:4" x14ac:dyDescent="0.2">
      <c r="A7252"/>
      <c r="B7252"/>
      <c r="C7252"/>
      <c r="D7252"/>
    </row>
    <row r="7253" spans="1:4" x14ac:dyDescent="0.2">
      <c r="A7253"/>
      <c r="B7253"/>
      <c r="C7253"/>
      <c r="D7253"/>
    </row>
    <row r="7254" spans="1:4" x14ac:dyDescent="0.2">
      <c r="A7254"/>
      <c r="B7254"/>
      <c r="C7254"/>
      <c r="D7254"/>
    </row>
    <row r="7255" spans="1:4" x14ac:dyDescent="0.2">
      <c r="A7255"/>
      <c r="B7255"/>
      <c r="C7255"/>
      <c r="D7255"/>
    </row>
    <row r="7256" spans="1:4" x14ac:dyDescent="0.2">
      <c r="A7256"/>
      <c r="B7256"/>
      <c r="C7256"/>
      <c r="D7256"/>
    </row>
    <row r="7257" spans="1:4" x14ac:dyDescent="0.2">
      <c r="A7257"/>
      <c r="B7257"/>
      <c r="C7257"/>
      <c r="D7257"/>
    </row>
    <row r="7258" spans="1:4" x14ac:dyDescent="0.2">
      <c r="A7258"/>
      <c r="B7258"/>
      <c r="C7258"/>
      <c r="D7258"/>
    </row>
    <row r="7259" spans="1:4" x14ac:dyDescent="0.2">
      <c r="A7259"/>
      <c r="B7259"/>
      <c r="C7259"/>
      <c r="D7259"/>
    </row>
    <row r="7260" spans="1:4" x14ac:dyDescent="0.2">
      <c r="A7260"/>
      <c r="B7260"/>
      <c r="C7260"/>
      <c r="D7260"/>
    </row>
    <row r="7261" spans="1:4" x14ac:dyDescent="0.2">
      <c r="A7261"/>
      <c r="B7261"/>
      <c r="C7261"/>
      <c r="D7261"/>
    </row>
    <row r="7262" spans="1:4" x14ac:dyDescent="0.2">
      <c r="A7262"/>
      <c r="B7262"/>
      <c r="C7262"/>
      <c r="D7262"/>
    </row>
    <row r="7263" spans="1:4" x14ac:dyDescent="0.2">
      <c r="A7263"/>
      <c r="B7263"/>
      <c r="C7263"/>
      <c r="D7263"/>
    </row>
    <row r="7264" spans="1:4" x14ac:dyDescent="0.2">
      <c r="A7264"/>
      <c r="B7264"/>
      <c r="C7264"/>
      <c r="D7264"/>
    </row>
    <row r="7265" spans="1:4" x14ac:dyDescent="0.2">
      <c r="A7265"/>
      <c r="B7265"/>
      <c r="C7265"/>
      <c r="D7265"/>
    </row>
    <row r="7266" spans="1:4" x14ac:dyDescent="0.2">
      <c r="A7266"/>
      <c r="B7266"/>
      <c r="C7266"/>
      <c r="D7266"/>
    </row>
    <row r="7267" spans="1:4" x14ac:dyDescent="0.2">
      <c r="A7267"/>
      <c r="B7267"/>
      <c r="C7267"/>
      <c r="D7267"/>
    </row>
    <row r="7268" spans="1:4" x14ac:dyDescent="0.2">
      <c r="A7268"/>
      <c r="B7268"/>
      <c r="C7268"/>
      <c r="D7268"/>
    </row>
    <row r="7269" spans="1:4" x14ac:dyDescent="0.2">
      <c r="A7269"/>
      <c r="B7269"/>
      <c r="C7269"/>
      <c r="D7269"/>
    </row>
    <row r="7270" spans="1:4" x14ac:dyDescent="0.2">
      <c r="A7270"/>
      <c r="B7270"/>
      <c r="C7270"/>
      <c r="D7270"/>
    </row>
    <row r="7271" spans="1:4" x14ac:dyDescent="0.2">
      <c r="A7271"/>
      <c r="B7271"/>
      <c r="C7271"/>
      <c r="D7271"/>
    </row>
    <row r="7272" spans="1:4" x14ac:dyDescent="0.2">
      <c r="A7272"/>
      <c r="B7272"/>
      <c r="C7272"/>
      <c r="D7272"/>
    </row>
    <row r="7273" spans="1:4" x14ac:dyDescent="0.2">
      <c r="A7273"/>
      <c r="B7273"/>
      <c r="C7273"/>
      <c r="D7273"/>
    </row>
    <row r="7274" spans="1:4" x14ac:dyDescent="0.2">
      <c r="A7274"/>
      <c r="B7274"/>
      <c r="C7274"/>
      <c r="D7274"/>
    </row>
    <row r="7275" spans="1:4" x14ac:dyDescent="0.2">
      <c r="A7275"/>
      <c r="B7275"/>
      <c r="C7275"/>
      <c r="D7275"/>
    </row>
    <row r="7276" spans="1:4" x14ac:dyDescent="0.2">
      <c r="A7276"/>
      <c r="B7276"/>
      <c r="C7276"/>
      <c r="D7276"/>
    </row>
    <row r="7277" spans="1:4" x14ac:dyDescent="0.2">
      <c r="A7277"/>
      <c r="B7277"/>
      <c r="C7277"/>
      <c r="D7277"/>
    </row>
    <row r="7278" spans="1:4" x14ac:dyDescent="0.2">
      <c r="A7278"/>
      <c r="B7278"/>
      <c r="C7278"/>
      <c r="D7278"/>
    </row>
    <row r="7279" spans="1:4" x14ac:dyDescent="0.2">
      <c r="A7279"/>
      <c r="B7279"/>
      <c r="C7279"/>
      <c r="D7279"/>
    </row>
    <row r="7280" spans="1:4" x14ac:dyDescent="0.2">
      <c r="A7280"/>
      <c r="B7280"/>
      <c r="C7280"/>
      <c r="D7280"/>
    </row>
    <row r="7281" spans="1:4" x14ac:dyDescent="0.2">
      <c r="A7281"/>
      <c r="B7281"/>
      <c r="C7281"/>
      <c r="D7281"/>
    </row>
    <row r="7282" spans="1:4" x14ac:dyDescent="0.2">
      <c r="A7282"/>
      <c r="B7282"/>
      <c r="C7282"/>
      <c r="D7282"/>
    </row>
    <row r="7283" spans="1:4" x14ac:dyDescent="0.2">
      <c r="A7283"/>
      <c r="B7283"/>
      <c r="C7283"/>
      <c r="D7283"/>
    </row>
    <row r="7284" spans="1:4" x14ac:dyDescent="0.2">
      <c r="A7284"/>
      <c r="B7284"/>
      <c r="C7284"/>
      <c r="D7284"/>
    </row>
    <row r="7285" spans="1:4" x14ac:dyDescent="0.2">
      <c r="A7285"/>
      <c r="B7285"/>
      <c r="C7285"/>
      <c r="D7285"/>
    </row>
    <row r="7286" spans="1:4" x14ac:dyDescent="0.2">
      <c r="A7286"/>
      <c r="B7286"/>
      <c r="C7286"/>
      <c r="D7286"/>
    </row>
    <row r="7287" spans="1:4" x14ac:dyDescent="0.2">
      <c r="A7287"/>
      <c r="B7287"/>
      <c r="C7287"/>
      <c r="D7287"/>
    </row>
    <row r="7288" spans="1:4" x14ac:dyDescent="0.2">
      <c r="A7288"/>
      <c r="B7288"/>
      <c r="C7288"/>
      <c r="D7288"/>
    </row>
    <row r="7289" spans="1:4" x14ac:dyDescent="0.2">
      <c r="A7289"/>
      <c r="B7289"/>
      <c r="C7289"/>
      <c r="D7289"/>
    </row>
    <row r="7290" spans="1:4" x14ac:dyDescent="0.2">
      <c r="A7290"/>
      <c r="B7290"/>
      <c r="C7290"/>
      <c r="D7290"/>
    </row>
    <row r="7291" spans="1:4" x14ac:dyDescent="0.2">
      <c r="A7291"/>
      <c r="B7291"/>
      <c r="C7291"/>
      <c r="D7291"/>
    </row>
    <row r="7292" spans="1:4" x14ac:dyDescent="0.2">
      <c r="A7292"/>
      <c r="B7292"/>
      <c r="C7292"/>
      <c r="D7292"/>
    </row>
    <row r="7293" spans="1:4" x14ac:dyDescent="0.2">
      <c r="A7293"/>
      <c r="B7293"/>
      <c r="C7293"/>
      <c r="D7293"/>
    </row>
    <row r="7294" spans="1:4" x14ac:dyDescent="0.2">
      <c r="A7294"/>
      <c r="B7294"/>
      <c r="C7294"/>
      <c r="D7294"/>
    </row>
    <row r="7295" spans="1:4" x14ac:dyDescent="0.2">
      <c r="A7295"/>
      <c r="B7295"/>
      <c r="C7295"/>
      <c r="D7295"/>
    </row>
    <row r="7296" spans="1:4" x14ac:dyDescent="0.2">
      <c r="A7296"/>
      <c r="B7296"/>
      <c r="C7296"/>
      <c r="D7296"/>
    </row>
    <row r="7297" spans="1:4" x14ac:dyDescent="0.2">
      <c r="A7297"/>
      <c r="B7297"/>
      <c r="C7297"/>
      <c r="D7297"/>
    </row>
    <row r="7298" spans="1:4" x14ac:dyDescent="0.2">
      <c r="A7298"/>
      <c r="B7298"/>
      <c r="C7298"/>
      <c r="D7298"/>
    </row>
    <row r="7299" spans="1:4" x14ac:dyDescent="0.2">
      <c r="A7299"/>
      <c r="B7299"/>
      <c r="C7299"/>
      <c r="D7299"/>
    </row>
    <row r="7300" spans="1:4" x14ac:dyDescent="0.2">
      <c r="A7300"/>
      <c r="B7300"/>
      <c r="C7300"/>
      <c r="D7300"/>
    </row>
    <row r="7301" spans="1:4" x14ac:dyDescent="0.2">
      <c r="A7301"/>
      <c r="B7301"/>
      <c r="C7301"/>
      <c r="D7301"/>
    </row>
    <row r="7302" spans="1:4" x14ac:dyDescent="0.2">
      <c r="A7302"/>
      <c r="B7302"/>
      <c r="C7302"/>
      <c r="D7302"/>
    </row>
    <row r="7303" spans="1:4" x14ac:dyDescent="0.2">
      <c r="A7303"/>
      <c r="B7303"/>
      <c r="C7303"/>
      <c r="D7303"/>
    </row>
    <row r="7304" spans="1:4" x14ac:dyDescent="0.2">
      <c r="A7304"/>
      <c r="B7304"/>
      <c r="C7304"/>
      <c r="D7304"/>
    </row>
    <row r="7305" spans="1:4" x14ac:dyDescent="0.2">
      <c r="A7305"/>
      <c r="B7305"/>
      <c r="C7305"/>
      <c r="D7305"/>
    </row>
    <row r="7306" spans="1:4" x14ac:dyDescent="0.2">
      <c r="A7306"/>
      <c r="B7306"/>
      <c r="C7306"/>
      <c r="D7306"/>
    </row>
    <row r="7307" spans="1:4" x14ac:dyDescent="0.2">
      <c r="A7307"/>
      <c r="B7307"/>
      <c r="C7307"/>
      <c r="D7307"/>
    </row>
    <row r="7308" spans="1:4" x14ac:dyDescent="0.2">
      <c r="A7308"/>
      <c r="B7308"/>
      <c r="C7308"/>
      <c r="D7308"/>
    </row>
    <row r="7309" spans="1:4" x14ac:dyDescent="0.2">
      <c r="A7309"/>
      <c r="B7309"/>
      <c r="C7309"/>
      <c r="D7309"/>
    </row>
    <row r="7310" spans="1:4" x14ac:dyDescent="0.2">
      <c r="A7310"/>
      <c r="B7310"/>
      <c r="C7310"/>
      <c r="D7310"/>
    </row>
    <row r="7311" spans="1:4" x14ac:dyDescent="0.2">
      <c r="A7311"/>
      <c r="B7311"/>
      <c r="C7311"/>
      <c r="D7311"/>
    </row>
    <row r="7312" spans="1:4" x14ac:dyDescent="0.2">
      <c r="A7312"/>
      <c r="B7312"/>
      <c r="C7312"/>
      <c r="D7312"/>
    </row>
    <row r="7313" spans="1:4" x14ac:dyDescent="0.2">
      <c r="A7313"/>
      <c r="B7313"/>
      <c r="C7313"/>
      <c r="D7313"/>
    </row>
    <row r="7314" spans="1:4" x14ac:dyDescent="0.2">
      <c r="A7314"/>
      <c r="B7314"/>
      <c r="C7314"/>
      <c r="D7314"/>
    </row>
    <row r="7315" spans="1:4" x14ac:dyDescent="0.2">
      <c r="A7315"/>
      <c r="B7315"/>
      <c r="C7315"/>
      <c r="D7315"/>
    </row>
    <row r="7316" spans="1:4" x14ac:dyDescent="0.2">
      <c r="A7316"/>
      <c r="B7316"/>
      <c r="C7316"/>
      <c r="D7316"/>
    </row>
    <row r="7317" spans="1:4" x14ac:dyDescent="0.2">
      <c r="A7317"/>
      <c r="B7317"/>
      <c r="C7317"/>
      <c r="D7317"/>
    </row>
    <row r="7318" spans="1:4" x14ac:dyDescent="0.2">
      <c r="A7318"/>
      <c r="B7318"/>
      <c r="C7318"/>
      <c r="D7318"/>
    </row>
    <row r="7319" spans="1:4" x14ac:dyDescent="0.2">
      <c r="A7319"/>
      <c r="B7319"/>
      <c r="C7319"/>
      <c r="D7319"/>
    </row>
    <row r="7320" spans="1:4" x14ac:dyDescent="0.2">
      <c r="A7320"/>
      <c r="B7320"/>
      <c r="C7320"/>
      <c r="D7320"/>
    </row>
    <row r="7321" spans="1:4" x14ac:dyDescent="0.2">
      <c r="A7321"/>
      <c r="B7321"/>
      <c r="C7321"/>
      <c r="D7321"/>
    </row>
    <row r="7322" spans="1:4" x14ac:dyDescent="0.2">
      <c r="A7322"/>
      <c r="B7322"/>
      <c r="C7322"/>
      <c r="D7322"/>
    </row>
    <row r="7323" spans="1:4" x14ac:dyDescent="0.2">
      <c r="A7323"/>
      <c r="B7323"/>
      <c r="C7323"/>
      <c r="D7323"/>
    </row>
    <row r="7324" spans="1:4" x14ac:dyDescent="0.2">
      <c r="A7324"/>
      <c r="B7324"/>
      <c r="C7324"/>
      <c r="D7324"/>
    </row>
    <row r="7325" spans="1:4" x14ac:dyDescent="0.2">
      <c r="A7325"/>
      <c r="B7325"/>
      <c r="C7325"/>
      <c r="D7325"/>
    </row>
    <row r="7326" spans="1:4" x14ac:dyDescent="0.2">
      <c r="A7326"/>
      <c r="B7326"/>
      <c r="C7326"/>
      <c r="D7326"/>
    </row>
    <row r="7327" spans="1:4" x14ac:dyDescent="0.2">
      <c r="A7327"/>
      <c r="B7327"/>
      <c r="C7327"/>
      <c r="D7327"/>
    </row>
    <row r="7328" spans="1:4" x14ac:dyDescent="0.2">
      <c r="A7328"/>
      <c r="B7328"/>
      <c r="C7328"/>
      <c r="D7328"/>
    </row>
    <row r="7329" spans="1:4" x14ac:dyDescent="0.2">
      <c r="A7329"/>
      <c r="B7329"/>
      <c r="C7329"/>
      <c r="D7329"/>
    </row>
    <row r="7330" spans="1:4" x14ac:dyDescent="0.2">
      <c r="A7330"/>
      <c r="B7330"/>
      <c r="C7330"/>
      <c r="D7330"/>
    </row>
    <row r="7331" spans="1:4" x14ac:dyDescent="0.2">
      <c r="A7331"/>
      <c r="B7331"/>
      <c r="C7331"/>
      <c r="D7331"/>
    </row>
    <row r="7332" spans="1:4" x14ac:dyDescent="0.2">
      <c r="A7332"/>
      <c r="B7332"/>
      <c r="C7332"/>
      <c r="D7332"/>
    </row>
    <row r="7333" spans="1:4" x14ac:dyDescent="0.2">
      <c r="A7333"/>
      <c r="B7333"/>
      <c r="C7333"/>
      <c r="D7333"/>
    </row>
    <row r="7334" spans="1:4" x14ac:dyDescent="0.2">
      <c r="A7334"/>
      <c r="B7334"/>
      <c r="C7334"/>
      <c r="D7334"/>
    </row>
    <row r="7335" spans="1:4" x14ac:dyDescent="0.2">
      <c r="A7335"/>
      <c r="B7335"/>
      <c r="C7335"/>
      <c r="D7335"/>
    </row>
    <row r="7336" spans="1:4" x14ac:dyDescent="0.2">
      <c r="A7336"/>
      <c r="B7336"/>
      <c r="C7336"/>
      <c r="D7336"/>
    </row>
    <row r="7337" spans="1:4" x14ac:dyDescent="0.2">
      <c r="A7337"/>
      <c r="B7337"/>
      <c r="C7337"/>
      <c r="D7337"/>
    </row>
    <row r="7338" spans="1:4" x14ac:dyDescent="0.2">
      <c r="A7338"/>
      <c r="B7338"/>
      <c r="C7338"/>
      <c r="D7338"/>
    </row>
    <row r="7339" spans="1:4" x14ac:dyDescent="0.2">
      <c r="A7339"/>
      <c r="B7339"/>
      <c r="C7339"/>
      <c r="D7339"/>
    </row>
    <row r="7340" spans="1:4" x14ac:dyDescent="0.2">
      <c r="A7340"/>
      <c r="B7340"/>
      <c r="C7340"/>
      <c r="D7340"/>
    </row>
    <row r="7341" spans="1:4" x14ac:dyDescent="0.2">
      <c r="A7341"/>
      <c r="B7341"/>
      <c r="C7341"/>
      <c r="D7341"/>
    </row>
    <row r="7342" spans="1:4" x14ac:dyDescent="0.2">
      <c r="A7342"/>
      <c r="B7342"/>
      <c r="C7342"/>
      <c r="D7342"/>
    </row>
    <row r="7343" spans="1:4" x14ac:dyDescent="0.2">
      <c r="A7343"/>
      <c r="B7343"/>
      <c r="C7343"/>
      <c r="D7343"/>
    </row>
    <row r="7344" spans="1:4" x14ac:dyDescent="0.2">
      <c r="A7344"/>
      <c r="B7344"/>
      <c r="C7344"/>
      <c r="D7344"/>
    </row>
    <row r="7345" spans="1:4" x14ac:dyDescent="0.2">
      <c r="A7345"/>
      <c r="B7345"/>
      <c r="C7345"/>
      <c r="D7345"/>
    </row>
    <row r="7346" spans="1:4" x14ac:dyDescent="0.2">
      <c r="A7346"/>
      <c r="B7346"/>
      <c r="C7346"/>
      <c r="D7346"/>
    </row>
    <row r="7347" spans="1:4" x14ac:dyDescent="0.2">
      <c r="A7347"/>
      <c r="B7347"/>
      <c r="C7347"/>
      <c r="D7347"/>
    </row>
    <row r="7348" spans="1:4" x14ac:dyDescent="0.2">
      <c r="A7348"/>
      <c r="B7348"/>
      <c r="C7348"/>
      <c r="D7348"/>
    </row>
    <row r="7349" spans="1:4" x14ac:dyDescent="0.2">
      <c r="A7349"/>
      <c r="B7349"/>
      <c r="C7349"/>
      <c r="D7349"/>
    </row>
    <row r="7350" spans="1:4" x14ac:dyDescent="0.2">
      <c r="A7350"/>
      <c r="B7350"/>
      <c r="C7350"/>
      <c r="D7350"/>
    </row>
    <row r="7351" spans="1:4" x14ac:dyDescent="0.2">
      <c r="A7351"/>
      <c r="B7351"/>
      <c r="C7351"/>
      <c r="D7351"/>
    </row>
    <row r="7352" spans="1:4" x14ac:dyDescent="0.2">
      <c r="A7352"/>
      <c r="B7352"/>
      <c r="C7352"/>
      <c r="D7352"/>
    </row>
    <row r="7353" spans="1:4" x14ac:dyDescent="0.2">
      <c r="A7353"/>
      <c r="B7353"/>
      <c r="C7353"/>
      <c r="D7353"/>
    </row>
    <row r="7354" spans="1:4" x14ac:dyDescent="0.2">
      <c r="A7354"/>
      <c r="B7354"/>
      <c r="C7354"/>
      <c r="D7354"/>
    </row>
    <row r="7355" spans="1:4" x14ac:dyDescent="0.2">
      <c r="A7355"/>
      <c r="B7355"/>
      <c r="C7355"/>
      <c r="D7355"/>
    </row>
    <row r="7356" spans="1:4" x14ac:dyDescent="0.2">
      <c r="A7356"/>
      <c r="B7356"/>
      <c r="C7356"/>
      <c r="D7356"/>
    </row>
    <row r="7357" spans="1:4" x14ac:dyDescent="0.2">
      <c r="A7357"/>
      <c r="B7357"/>
      <c r="C7357"/>
      <c r="D7357"/>
    </row>
    <row r="7358" spans="1:4" x14ac:dyDescent="0.2">
      <c r="A7358"/>
      <c r="B7358"/>
      <c r="C7358"/>
      <c r="D7358"/>
    </row>
    <row r="7359" spans="1:4" x14ac:dyDescent="0.2">
      <c r="A7359"/>
      <c r="B7359"/>
      <c r="C7359"/>
      <c r="D7359"/>
    </row>
    <row r="7360" spans="1:4" x14ac:dyDescent="0.2">
      <c r="A7360"/>
      <c r="B7360"/>
      <c r="C7360"/>
      <c r="D7360"/>
    </row>
    <row r="7361" spans="1:4" x14ac:dyDescent="0.2">
      <c r="A7361"/>
      <c r="B7361"/>
      <c r="C7361"/>
      <c r="D7361"/>
    </row>
    <row r="7362" spans="1:4" x14ac:dyDescent="0.2">
      <c r="A7362"/>
      <c r="B7362"/>
      <c r="C7362"/>
      <c r="D7362"/>
    </row>
    <row r="7363" spans="1:4" x14ac:dyDescent="0.2">
      <c r="A7363"/>
      <c r="B7363"/>
      <c r="C7363"/>
      <c r="D7363"/>
    </row>
    <row r="7364" spans="1:4" x14ac:dyDescent="0.2">
      <c r="A7364"/>
      <c r="B7364"/>
      <c r="C7364"/>
      <c r="D7364"/>
    </row>
    <row r="7365" spans="1:4" x14ac:dyDescent="0.2">
      <c r="A7365"/>
      <c r="B7365"/>
      <c r="C7365"/>
      <c r="D7365"/>
    </row>
    <row r="7366" spans="1:4" x14ac:dyDescent="0.2">
      <c r="A7366"/>
      <c r="B7366"/>
      <c r="C7366"/>
      <c r="D7366"/>
    </row>
    <row r="7367" spans="1:4" x14ac:dyDescent="0.2">
      <c r="A7367"/>
      <c r="B7367"/>
      <c r="C7367"/>
      <c r="D7367"/>
    </row>
    <row r="7368" spans="1:4" x14ac:dyDescent="0.2">
      <c r="A7368"/>
      <c r="B7368"/>
      <c r="C7368"/>
      <c r="D7368"/>
    </row>
    <row r="7369" spans="1:4" x14ac:dyDescent="0.2">
      <c r="A7369"/>
      <c r="B7369"/>
      <c r="C7369"/>
      <c r="D7369"/>
    </row>
    <row r="7370" spans="1:4" x14ac:dyDescent="0.2">
      <c r="A7370"/>
      <c r="B7370"/>
      <c r="C7370"/>
      <c r="D7370"/>
    </row>
    <row r="7371" spans="1:4" x14ac:dyDescent="0.2">
      <c r="A7371"/>
      <c r="B7371"/>
      <c r="C7371"/>
      <c r="D7371"/>
    </row>
    <row r="7372" spans="1:4" x14ac:dyDescent="0.2">
      <c r="A7372"/>
      <c r="B7372"/>
      <c r="C7372"/>
      <c r="D7372"/>
    </row>
    <row r="7373" spans="1:4" x14ac:dyDescent="0.2">
      <c r="A7373"/>
      <c r="B7373"/>
      <c r="C7373"/>
      <c r="D7373"/>
    </row>
    <row r="7374" spans="1:4" x14ac:dyDescent="0.2">
      <c r="A7374"/>
      <c r="B7374"/>
      <c r="C7374"/>
      <c r="D7374"/>
    </row>
    <row r="7375" spans="1:4" x14ac:dyDescent="0.2">
      <c r="A7375"/>
      <c r="B7375"/>
      <c r="C7375"/>
      <c r="D7375"/>
    </row>
    <row r="7376" spans="1:4" x14ac:dyDescent="0.2">
      <c r="A7376"/>
      <c r="B7376"/>
      <c r="C7376"/>
      <c r="D7376"/>
    </row>
    <row r="7377" spans="1:4" x14ac:dyDescent="0.2">
      <c r="A7377"/>
      <c r="B7377"/>
      <c r="C7377"/>
      <c r="D7377"/>
    </row>
    <row r="7378" spans="1:4" x14ac:dyDescent="0.2">
      <c r="A7378"/>
      <c r="B7378"/>
      <c r="C7378"/>
      <c r="D7378"/>
    </row>
    <row r="7379" spans="1:4" x14ac:dyDescent="0.2">
      <c r="A7379"/>
      <c r="B7379"/>
      <c r="C7379"/>
      <c r="D7379"/>
    </row>
    <row r="7380" spans="1:4" x14ac:dyDescent="0.2">
      <c r="A7380"/>
      <c r="B7380"/>
      <c r="C7380"/>
      <c r="D7380"/>
    </row>
    <row r="7381" spans="1:4" x14ac:dyDescent="0.2">
      <c r="A7381"/>
      <c r="B7381"/>
      <c r="C7381"/>
      <c r="D7381"/>
    </row>
    <row r="7382" spans="1:4" x14ac:dyDescent="0.2">
      <c r="A7382"/>
      <c r="B7382"/>
      <c r="C7382"/>
      <c r="D7382"/>
    </row>
    <row r="7383" spans="1:4" x14ac:dyDescent="0.2">
      <c r="A7383"/>
      <c r="B7383"/>
      <c r="C7383"/>
      <c r="D7383"/>
    </row>
    <row r="7384" spans="1:4" x14ac:dyDescent="0.2">
      <c r="A7384"/>
      <c r="B7384"/>
      <c r="C7384"/>
      <c r="D7384"/>
    </row>
    <row r="7385" spans="1:4" x14ac:dyDescent="0.2">
      <c r="A7385"/>
      <c r="B7385"/>
      <c r="C7385"/>
      <c r="D7385"/>
    </row>
    <row r="7386" spans="1:4" x14ac:dyDescent="0.2">
      <c r="A7386"/>
      <c r="B7386"/>
      <c r="C7386"/>
      <c r="D7386"/>
    </row>
    <row r="7387" spans="1:4" x14ac:dyDescent="0.2">
      <c r="A7387"/>
      <c r="B7387"/>
      <c r="C7387"/>
      <c r="D7387"/>
    </row>
    <row r="7388" spans="1:4" x14ac:dyDescent="0.2">
      <c r="A7388"/>
      <c r="B7388"/>
      <c r="C7388"/>
      <c r="D7388"/>
    </row>
    <row r="7389" spans="1:4" x14ac:dyDescent="0.2">
      <c r="A7389"/>
      <c r="B7389"/>
      <c r="C7389"/>
      <c r="D7389"/>
    </row>
    <row r="7390" spans="1:4" x14ac:dyDescent="0.2">
      <c r="A7390"/>
      <c r="B7390"/>
      <c r="C7390"/>
      <c r="D7390"/>
    </row>
    <row r="7391" spans="1:4" x14ac:dyDescent="0.2">
      <c r="A7391"/>
      <c r="B7391"/>
      <c r="C7391"/>
      <c r="D7391"/>
    </row>
    <row r="7392" spans="1:4" x14ac:dyDescent="0.2">
      <c r="A7392"/>
      <c r="B7392"/>
      <c r="C7392"/>
      <c r="D7392"/>
    </row>
    <row r="7393" spans="1:4" x14ac:dyDescent="0.2">
      <c r="A7393"/>
      <c r="B7393"/>
      <c r="C7393"/>
      <c r="D7393"/>
    </row>
    <row r="7394" spans="1:4" x14ac:dyDescent="0.2">
      <c r="A7394"/>
      <c r="B7394"/>
      <c r="C7394"/>
      <c r="D7394"/>
    </row>
    <row r="7395" spans="1:4" x14ac:dyDescent="0.2">
      <c r="A7395"/>
      <c r="B7395"/>
      <c r="C7395"/>
      <c r="D7395"/>
    </row>
    <row r="7396" spans="1:4" x14ac:dyDescent="0.2">
      <c r="A7396"/>
      <c r="B7396"/>
      <c r="C7396"/>
      <c r="D7396"/>
    </row>
    <row r="7397" spans="1:4" x14ac:dyDescent="0.2">
      <c r="A7397"/>
      <c r="B7397"/>
      <c r="C7397"/>
      <c r="D7397"/>
    </row>
    <row r="7398" spans="1:4" x14ac:dyDescent="0.2">
      <c r="A7398"/>
      <c r="B7398"/>
      <c r="C7398"/>
      <c r="D7398"/>
    </row>
    <row r="7399" spans="1:4" x14ac:dyDescent="0.2">
      <c r="A7399"/>
      <c r="B7399"/>
      <c r="C7399"/>
      <c r="D7399"/>
    </row>
    <row r="7400" spans="1:4" x14ac:dyDescent="0.2">
      <c r="A7400"/>
      <c r="B7400"/>
      <c r="C7400"/>
      <c r="D7400"/>
    </row>
    <row r="7401" spans="1:4" x14ac:dyDescent="0.2">
      <c r="A7401"/>
      <c r="B7401"/>
      <c r="C7401"/>
      <c r="D7401"/>
    </row>
    <row r="7402" spans="1:4" x14ac:dyDescent="0.2">
      <c r="A7402"/>
      <c r="B7402"/>
      <c r="C7402"/>
      <c r="D7402"/>
    </row>
    <row r="7403" spans="1:4" x14ac:dyDescent="0.2">
      <c r="A7403"/>
      <c r="B7403"/>
      <c r="C7403"/>
      <c r="D7403"/>
    </row>
    <row r="7404" spans="1:4" x14ac:dyDescent="0.2">
      <c r="A7404"/>
      <c r="B7404"/>
      <c r="C7404"/>
      <c r="D7404"/>
    </row>
    <row r="7405" spans="1:4" x14ac:dyDescent="0.2">
      <c r="A7405"/>
      <c r="B7405"/>
      <c r="C7405"/>
      <c r="D7405"/>
    </row>
    <row r="7406" spans="1:4" x14ac:dyDescent="0.2">
      <c r="A7406"/>
      <c r="B7406"/>
      <c r="C7406"/>
      <c r="D7406"/>
    </row>
    <row r="7407" spans="1:4" x14ac:dyDescent="0.2">
      <c r="A7407"/>
      <c r="B7407"/>
      <c r="C7407"/>
      <c r="D7407"/>
    </row>
    <row r="7408" spans="1:4" x14ac:dyDescent="0.2">
      <c r="A7408"/>
      <c r="B7408"/>
      <c r="C7408"/>
      <c r="D7408"/>
    </row>
    <row r="7409" spans="1:4" x14ac:dyDescent="0.2">
      <c r="A7409"/>
      <c r="B7409"/>
      <c r="C7409"/>
      <c r="D7409"/>
    </row>
    <row r="7410" spans="1:4" x14ac:dyDescent="0.2">
      <c r="A7410"/>
      <c r="B7410"/>
      <c r="C7410"/>
      <c r="D7410"/>
    </row>
    <row r="7411" spans="1:4" x14ac:dyDescent="0.2">
      <c r="A7411"/>
      <c r="B7411"/>
      <c r="C7411"/>
      <c r="D7411"/>
    </row>
    <row r="7412" spans="1:4" x14ac:dyDescent="0.2">
      <c r="A7412"/>
      <c r="B7412"/>
      <c r="C7412"/>
      <c r="D7412"/>
    </row>
    <row r="7413" spans="1:4" x14ac:dyDescent="0.2">
      <c r="A7413"/>
      <c r="B7413"/>
      <c r="C7413"/>
      <c r="D7413"/>
    </row>
    <row r="7414" spans="1:4" x14ac:dyDescent="0.2">
      <c r="A7414"/>
      <c r="B7414"/>
      <c r="C7414"/>
      <c r="D7414"/>
    </row>
    <row r="7415" spans="1:4" x14ac:dyDescent="0.2">
      <c r="A7415"/>
      <c r="B7415"/>
      <c r="C7415"/>
      <c r="D7415"/>
    </row>
    <row r="7416" spans="1:4" x14ac:dyDescent="0.2">
      <c r="A7416"/>
      <c r="B7416"/>
      <c r="C7416"/>
      <c r="D7416"/>
    </row>
    <row r="7417" spans="1:4" x14ac:dyDescent="0.2">
      <c r="A7417"/>
      <c r="B7417"/>
      <c r="C7417"/>
      <c r="D7417"/>
    </row>
    <row r="7418" spans="1:4" x14ac:dyDescent="0.2">
      <c r="A7418"/>
      <c r="B7418"/>
      <c r="C7418"/>
      <c r="D7418"/>
    </row>
    <row r="7419" spans="1:4" x14ac:dyDescent="0.2">
      <c r="A7419"/>
      <c r="B7419"/>
      <c r="C7419"/>
      <c r="D7419"/>
    </row>
    <row r="7420" spans="1:4" x14ac:dyDescent="0.2">
      <c r="A7420"/>
      <c r="B7420"/>
      <c r="C7420"/>
      <c r="D7420"/>
    </row>
    <row r="7421" spans="1:4" x14ac:dyDescent="0.2">
      <c r="A7421"/>
      <c r="B7421"/>
      <c r="C7421"/>
      <c r="D7421"/>
    </row>
    <row r="7422" spans="1:4" x14ac:dyDescent="0.2">
      <c r="A7422"/>
      <c r="B7422"/>
      <c r="C7422"/>
      <c r="D7422"/>
    </row>
    <row r="7423" spans="1:4" x14ac:dyDescent="0.2">
      <c r="A7423"/>
      <c r="B7423"/>
      <c r="C7423"/>
      <c r="D7423"/>
    </row>
    <row r="7424" spans="1:4" x14ac:dyDescent="0.2">
      <c r="A7424"/>
      <c r="B7424"/>
      <c r="C7424"/>
      <c r="D7424"/>
    </row>
    <row r="7425" spans="1:4" x14ac:dyDescent="0.2">
      <c r="A7425"/>
      <c r="B7425"/>
      <c r="C7425"/>
      <c r="D7425"/>
    </row>
    <row r="7426" spans="1:4" x14ac:dyDescent="0.2">
      <c r="A7426"/>
      <c r="B7426"/>
      <c r="C7426"/>
      <c r="D7426"/>
    </row>
    <row r="7427" spans="1:4" x14ac:dyDescent="0.2">
      <c r="A7427"/>
      <c r="B7427"/>
      <c r="C7427"/>
      <c r="D7427"/>
    </row>
    <row r="7428" spans="1:4" x14ac:dyDescent="0.2">
      <c r="A7428"/>
      <c r="B7428"/>
      <c r="C7428"/>
      <c r="D7428"/>
    </row>
    <row r="7429" spans="1:4" x14ac:dyDescent="0.2">
      <c r="A7429"/>
      <c r="B7429"/>
      <c r="C7429"/>
      <c r="D7429"/>
    </row>
    <row r="7430" spans="1:4" x14ac:dyDescent="0.2">
      <c r="A7430"/>
      <c r="B7430"/>
      <c r="C7430"/>
      <c r="D7430"/>
    </row>
    <row r="7431" spans="1:4" x14ac:dyDescent="0.2">
      <c r="A7431"/>
      <c r="B7431"/>
      <c r="C7431"/>
      <c r="D7431"/>
    </row>
    <row r="7432" spans="1:4" x14ac:dyDescent="0.2">
      <c r="A7432"/>
      <c r="B7432"/>
      <c r="C7432"/>
      <c r="D7432"/>
    </row>
    <row r="7433" spans="1:4" x14ac:dyDescent="0.2">
      <c r="A7433"/>
      <c r="B7433"/>
      <c r="C7433"/>
      <c r="D7433"/>
    </row>
    <row r="7434" spans="1:4" x14ac:dyDescent="0.2">
      <c r="A7434"/>
      <c r="B7434"/>
      <c r="C7434"/>
      <c r="D7434"/>
    </row>
    <row r="7435" spans="1:4" x14ac:dyDescent="0.2">
      <c r="A7435"/>
      <c r="B7435"/>
      <c r="C7435"/>
      <c r="D7435"/>
    </row>
    <row r="7436" spans="1:4" x14ac:dyDescent="0.2">
      <c r="A7436"/>
      <c r="B7436"/>
      <c r="C7436"/>
      <c r="D7436"/>
    </row>
    <row r="7437" spans="1:4" x14ac:dyDescent="0.2">
      <c r="A7437"/>
      <c r="B7437"/>
      <c r="C7437"/>
      <c r="D7437"/>
    </row>
    <row r="7438" spans="1:4" x14ac:dyDescent="0.2">
      <c r="A7438"/>
      <c r="B7438"/>
      <c r="C7438"/>
      <c r="D7438"/>
    </row>
    <row r="7439" spans="1:4" x14ac:dyDescent="0.2">
      <c r="A7439"/>
      <c r="B7439"/>
      <c r="C7439"/>
      <c r="D7439"/>
    </row>
    <row r="7440" spans="1:4" x14ac:dyDescent="0.2">
      <c r="A7440"/>
      <c r="B7440"/>
      <c r="C7440"/>
      <c r="D7440"/>
    </row>
    <row r="7441" spans="1:4" x14ac:dyDescent="0.2">
      <c r="A7441"/>
      <c r="B7441"/>
      <c r="C7441"/>
      <c r="D7441"/>
    </row>
    <row r="7442" spans="1:4" x14ac:dyDescent="0.2">
      <c r="A7442"/>
      <c r="B7442"/>
      <c r="C7442"/>
      <c r="D7442"/>
    </row>
    <row r="7443" spans="1:4" x14ac:dyDescent="0.2">
      <c r="A7443"/>
      <c r="B7443"/>
      <c r="C7443"/>
      <c r="D7443"/>
    </row>
    <row r="7444" spans="1:4" x14ac:dyDescent="0.2">
      <c r="A7444"/>
      <c r="B7444"/>
      <c r="C7444"/>
      <c r="D7444"/>
    </row>
    <row r="7445" spans="1:4" x14ac:dyDescent="0.2">
      <c r="A7445"/>
      <c r="B7445"/>
      <c r="C7445"/>
      <c r="D7445"/>
    </row>
    <row r="7446" spans="1:4" x14ac:dyDescent="0.2">
      <c r="A7446"/>
      <c r="B7446"/>
      <c r="C7446"/>
      <c r="D7446"/>
    </row>
    <row r="7447" spans="1:4" x14ac:dyDescent="0.2">
      <c r="A7447"/>
      <c r="B7447"/>
      <c r="C7447"/>
      <c r="D7447"/>
    </row>
    <row r="7448" spans="1:4" x14ac:dyDescent="0.2">
      <c r="A7448"/>
      <c r="B7448"/>
      <c r="C7448"/>
      <c r="D7448"/>
    </row>
    <row r="7449" spans="1:4" x14ac:dyDescent="0.2">
      <c r="A7449"/>
      <c r="B7449"/>
      <c r="C7449"/>
      <c r="D7449"/>
    </row>
    <row r="7450" spans="1:4" x14ac:dyDescent="0.2">
      <c r="A7450"/>
      <c r="B7450"/>
      <c r="C7450"/>
      <c r="D7450"/>
    </row>
    <row r="7451" spans="1:4" x14ac:dyDescent="0.2">
      <c r="A7451"/>
      <c r="B7451"/>
      <c r="C7451"/>
      <c r="D7451"/>
    </row>
    <row r="7452" spans="1:4" x14ac:dyDescent="0.2">
      <c r="A7452"/>
      <c r="B7452"/>
      <c r="C7452"/>
      <c r="D7452"/>
    </row>
    <row r="7453" spans="1:4" x14ac:dyDescent="0.2">
      <c r="A7453"/>
      <c r="B7453"/>
      <c r="C7453"/>
      <c r="D7453"/>
    </row>
    <row r="7454" spans="1:4" x14ac:dyDescent="0.2">
      <c r="A7454"/>
      <c r="B7454"/>
      <c r="C7454"/>
      <c r="D7454"/>
    </row>
    <row r="7455" spans="1:4" x14ac:dyDescent="0.2">
      <c r="A7455"/>
      <c r="B7455"/>
      <c r="C7455"/>
      <c r="D7455"/>
    </row>
    <row r="7456" spans="1:4" x14ac:dyDescent="0.2">
      <c r="A7456"/>
      <c r="B7456"/>
      <c r="C7456"/>
      <c r="D7456"/>
    </row>
    <row r="7457" spans="1:4" x14ac:dyDescent="0.2">
      <c r="A7457"/>
      <c r="B7457"/>
      <c r="C7457"/>
      <c r="D7457"/>
    </row>
    <row r="7458" spans="1:4" x14ac:dyDescent="0.2">
      <c r="A7458"/>
      <c r="B7458"/>
      <c r="C7458"/>
      <c r="D7458"/>
    </row>
    <row r="7459" spans="1:4" x14ac:dyDescent="0.2">
      <c r="A7459"/>
      <c r="B7459"/>
      <c r="C7459"/>
      <c r="D7459"/>
    </row>
    <row r="7460" spans="1:4" x14ac:dyDescent="0.2">
      <c r="A7460"/>
      <c r="B7460"/>
      <c r="C7460"/>
      <c r="D7460"/>
    </row>
    <row r="7461" spans="1:4" x14ac:dyDescent="0.2">
      <c r="A7461"/>
      <c r="B7461"/>
      <c r="C7461"/>
      <c r="D7461"/>
    </row>
    <row r="7462" spans="1:4" x14ac:dyDescent="0.2">
      <c r="A7462"/>
      <c r="B7462"/>
      <c r="C7462"/>
      <c r="D7462"/>
    </row>
    <row r="7463" spans="1:4" x14ac:dyDescent="0.2">
      <c r="A7463"/>
      <c r="B7463"/>
      <c r="C7463"/>
      <c r="D7463"/>
    </row>
    <row r="7464" spans="1:4" x14ac:dyDescent="0.2">
      <c r="A7464"/>
      <c r="B7464"/>
      <c r="C7464"/>
      <c r="D7464"/>
    </row>
    <row r="7465" spans="1:4" x14ac:dyDescent="0.2">
      <c r="A7465"/>
      <c r="B7465"/>
      <c r="C7465"/>
      <c r="D7465"/>
    </row>
    <row r="7466" spans="1:4" x14ac:dyDescent="0.2">
      <c r="A7466"/>
      <c r="B7466"/>
      <c r="C7466"/>
      <c r="D7466"/>
    </row>
    <row r="7467" spans="1:4" x14ac:dyDescent="0.2">
      <c r="A7467"/>
      <c r="B7467"/>
      <c r="C7467"/>
      <c r="D7467"/>
    </row>
    <row r="7468" spans="1:4" x14ac:dyDescent="0.2">
      <c r="A7468"/>
      <c r="B7468"/>
      <c r="C7468"/>
      <c r="D7468"/>
    </row>
    <row r="7469" spans="1:4" x14ac:dyDescent="0.2">
      <c r="A7469"/>
      <c r="B7469"/>
      <c r="C7469"/>
      <c r="D7469"/>
    </row>
    <row r="7470" spans="1:4" x14ac:dyDescent="0.2">
      <c r="A7470"/>
      <c r="B7470"/>
      <c r="C7470"/>
      <c r="D7470"/>
    </row>
    <row r="7471" spans="1:4" x14ac:dyDescent="0.2">
      <c r="A7471"/>
      <c r="B7471"/>
      <c r="C7471"/>
      <c r="D7471"/>
    </row>
    <row r="7472" spans="1:4" x14ac:dyDescent="0.2">
      <c r="A7472"/>
      <c r="B7472"/>
      <c r="C7472"/>
      <c r="D7472"/>
    </row>
    <row r="7473" spans="1:4" x14ac:dyDescent="0.2">
      <c r="A7473"/>
      <c r="B7473"/>
      <c r="C7473"/>
      <c r="D7473"/>
    </row>
    <row r="7474" spans="1:4" x14ac:dyDescent="0.2">
      <c r="A7474"/>
      <c r="B7474"/>
      <c r="C7474"/>
      <c r="D7474"/>
    </row>
    <row r="7475" spans="1:4" x14ac:dyDescent="0.2">
      <c r="A7475"/>
      <c r="B7475"/>
      <c r="C7475"/>
      <c r="D7475"/>
    </row>
    <row r="7476" spans="1:4" x14ac:dyDescent="0.2">
      <c r="A7476"/>
      <c r="B7476"/>
      <c r="C7476"/>
      <c r="D7476"/>
    </row>
    <row r="7477" spans="1:4" x14ac:dyDescent="0.2">
      <c r="A7477"/>
      <c r="B7477"/>
      <c r="C7477"/>
      <c r="D7477"/>
    </row>
    <row r="7478" spans="1:4" x14ac:dyDescent="0.2">
      <c r="A7478"/>
      <c r="B7478"/>
      <c r="C7478"/>
      <c r="D7478"/>
    </row>
    <row r="7479" spans="1:4" x14ac:dyDescent="0.2">
      <c r="A7479"/>
      <c r="B7479"/>
      <c r="C7479"/>
      <c r="D7479"/>
    </row>
    <row r="7480" spans="1:4" x14ac:dyDescent="0.2">
      <c r="A7480"/>
      <c r="B7480"/>
      <c r="C7480"/>
      <c r="D7480"/>
    </row>
    <row r="7481" spans="1:4" x14ac:dyDescent="0.2">
      <c r="A7481"/>
      <c r="B7481"/>
      <c r="C7481"/>
      <c r="D7481"/>
    </row>
    <row r="7482" spans="1:4" x14ac:dyDescent="0.2">
      <c r="A7482"/>
      <c r="B7482"/>
      <c r="C7482"/>
      <c r="D7482"/>
    </row>
    <row r="7483" spans="1:4" x14ac:dyDescent="0.2">
      <c r="A7483"/>
      <c r="B7483"/>
      <c r="C7483"/>
      <c r="D7483"/>
    </row>
    <row r="7484" spans="1:4" x14ac:dyDescent="0.2">
      <c r="A7484"/>
      <c r="B7484"/>
      <c r="C7484"/>
      <c r="D7484"/>
    </row>
    <row r="7485" spans="1:4" x14ac:dyDescent="0.2">
      <c r="A7485"/>
      <c r="B7485"/>
      <c r="C7485"/>
      <c r="D7485"/>
    </row>
    <row r="7486" spans="1:4" x14ac:dyDescent="0.2">
      <c r="A7486"/>
      <c r="B7486"/>
      <c r="C7486"/>
      <c r="D7486"/>
    </row>
    <row r="7487" spans="1:4" x14ac:dyDescent="0.2">
      <c r="A7487"/>
      <c r="B7487"/>
      <c r="C7487"/>
      <c r="D7487"/>
    </row>
    <row r="7488" spans="1:4" x14ac:dyDescent="0.2">
      <c r="A7488"/>
      <c r="B7488"/>
      <c r="C7488"/>
      <c r="D7488"/>
    </row>
    <row r="7489" spans="1:4" x14ac:dyDescent="0.2">
      <c r="A7489"/>
      <c r="B7489"/>
      <c r="C7489"/>
      <c r="D7489"/>
    </row>
    <row r="7490" spans="1:4" x14ac:dyDescent="0.2">
      <c r="A7490"/>
      <c r="B7490"/>
      <c r="C7490"/>
      <c r="D7490"/>
    </row>
    <row r="7491" spans="1:4" x14ac:dyDescent="0.2">
      <c r="A7491"/>
      <c r="B7491"/>
      <c r="C7491"/>
      <c r="D7491"/>
    </row>
    <row r="7492" spans="1:4" x14ac:dyDescent="0.2">
      <c r="A7492"/>
      <c r="B7492"/>
      <c r="C7492"/>
      <c r="D7492"/>
    </row>
    <row r="7493" spans="1:4" x14ac:dyDescent="0.2">
      <c r="A7493"/>
      <c r="B7493"/>
      <c r="C7493"/>
      <c r="D7493"/>
    </row>
    <row r="7494" spans="1:4" x14ac:dyDescent="0.2">
      <c r="A7494"/>
      <c r="B7494"/>
      <c r="C7494"/>
      <c r="D7494"/>
    </row>
    <row r="7495" spans="1:4" x14ac:dyDescent="0.2">
      <c r="A7495"/>
      <c r="B7495"/>
      <c r="C7495"/>
      <c r="D7495"/>
    </row>
    <row r="7496" spans="1:4" x14ac:dyDescent="0.2">
      <c r="A7496"/>
      <c r="B7496"/>
      <c r="C7496"/>
      <c r="D7496"/>
    </row>
    <row r="7497" spans="1:4" x14ac:dyDescent="0.2">
      <c r="A7497"/>
      <c r="B7497"/>
      <c r="C7497"/>
      <c r="D7497"/>
    </row>
    <row r="7498" spans="1:4" x14ac:dyDescent="0.2">
      <c r="A7498"/>
      <c r="B7498"/>
      <c r="C7498"/>
      <c r="D7498"/>
    </row>
    <row r="7499" spans="1:4" x14ac:dyDescent="0.2">
      <c r="A7499"/>
      <c r="B7499"/>
      <c r="C7499"/>
      <c r="D7499"/>
    </row>
    <row r="7500" spans="1:4" x14ac:dyDescent="0.2">
      <c r="A7500"/>
      <c r="B7500"/>
      <c r="C7500"/>
      <c r="D7500"/>
    </row>
    <row r="7501" spans="1:4" x14ac:dyDescent="0.2">
      <c r="A7501"/>
      <c r="B7501"/>
      <c r="C7501"/>
      <c r="D7501"/>
    </row>
    <row r="7502" spans="1:4" x14ac:dyDescent="0.2">
      <c r="A7502"/>
      <c r="B7502"/>
      <c r="C7502"/>
      <c r="D7502"/>
    </row>
    <row r="7503" spans="1:4" x14ac:dyDescent="0.2">
      <c r="A7503"/>
      <c r="B7503"/>
      <c r="C7503"/>
      <c r="D7503"/>
    </row>
    <row r="7504" spans="1:4" x14ac:dyDescent="0.2">
      <c r="A7504"/>
      <c r="B7504"/>
      <c r="C7504"/>
      <c r="D7504"/>
    </row>
    <row r="7505" spans="1:4" x14ac:dyDescent="0.2">
      <c r="A7505"/>
      <c r="B7505"/>
      <c r="C7505"/>
      <c r="D7505"/>
    </row>
    <row r="7506" spans="1:4" x14ac:dyDescent="0.2">
      <c r="A7506"/>
      <c r="B7506"/>
      <c r="C7506"/>
      <c r="D7506"/>
    </row>
    <row r="7507" spans="1:4" x14ac:dyDescent="0.2">
      <c r="A7507"/>
      <c r="B7507"/>
      <c r="C7507"/>
      <c r="D7507"/>
    </row>
    <row r="7508" spans="1:4" x14ac:dyDescent="0.2">
      <c r="A7508"/>
      <c r="B7508"/>
      <c r="C7508"/>
      <c r="D7508"/>
    </row>
    <row r="7509" spans="1:4" x14ac:dyDescent="0.2">
      <c r="A7509"/>
      <c r="B7509"/>
      <c r="C7509"/>
      <c r="D7509"/>
    </row>
    <row r="7510" spans="1:4" x14ac:dyDescent="0.2">
      <c r="A7510"/>
      <c r="B7510"/>
      <c r="C7510"/>
      <c r="D7510"/>
    </row>
    <row r="7511" spans="1:4" x14ac:dyDescent="0.2">
      <c r="A7511"/>
      <c r="B7511"/>
      <c r="C7511"/>
      <c r="D7511"/>
    </row>
    <row r="7512" spans="1:4" x14ac:dyDescent="0.2">
      <c r="A7512"/>
      <c r="B7512"/>
      <c r="C7512"/>
      <c r="D7512"/>
    </row>
    <row r="7513" spans="1:4" x14ac:dyDescent="0.2">
      <c r="A7513"/>
      <c r="B7513"/>
      <c r="C7513"/>
      <c r="D7513"/>
    </row>
    <row r="7514" spans="1:4" x14ac:dyDescent="0.2">
      <c r="A7514"/>
      <c r="B7514"/>
      <c r="C7514"/>
      <c r="D7514"/>
    </row>
    <row r="7515" spans="1:4" x14ac:dyDescent="0.2">
      <c r="A7515"/>
      <c r="B7515"/>
      <c r="C7515"/>
      <c r="D7515"/>
    </row>
    <row r="7516" spans="1:4" x14ac:dyDescent="0.2">
      <c r="A7516"/>
      <c r="B7516"/>
      <c r="C7516"/>
      <c r="D7516"/>
    </row>
    <row r="7517" spans="1:4" x14ac:dyDescent="0.2">
      <c r="A7517"/>
      <c r="B7517"/>
      <c r="C7517"/>
      <c r="D7517"/>
    </row>
    <row r="7518" spans="1:4" x14ac:dyDescent="0.2">
      <c r="A7518"/>
      <c r="B7518"/>
      <c r="C7518"/>
      <c r="D7518"/>
    </row>
    <row r="7519" spans="1:4" x14ac:dyDescent="0.2">
      <c r="A7519"/>
      <c r="B7519"/>
      <c r="C7519"/>
      <c r="D7519"/>
    </row>
    <row r="7520" spans="1:4" x14ac:dyDescent="0.2">
      <c r="A7520"/>
      <c r="B7520"/>
      <c r="C7520"/>
      <c r="D7520"/>
    </row>
    <row r="7521" spans="1:4" x14ac:dyDescent="0.2">
      <c r="A7521"/>
      <c r="B7521"/>
      <c r="C7521"/>
      <c r="D7521"/>
    </row>
    <row r="7522" spans="1:4" x14ac:dyDescent="0.2">
      <c r="A7522"/>
      <c r="B7522"/>
      <c r="C7522"/>
      <c r="D7522"/>
    </row>
    <row r="7523" spans="1:4" x14ac:dyDescent="0.2">
      <c r="A7523"/>
      <c r="B7523"/>
      <c r="C7523"/>
      <c r="D7523"/>
    </row>
    <row r="7524" spans="1:4" x14ac:dyDescent="0.2">
      <c r="A7524"/>
      <c r="B7524"/>
      <c r="C7524"/>
      <c r="D7524"/>
    </row>
    <row r="7525" spans="1:4" x14ac:dyDescent="0.2">
      <c r="A7525"/>
      <c r="B7525"/>
      <c r="C7525"/>
      <c r="D7525"/>
    </row>
    <row r="7526" spans="1:4" x14ac:dyDescent="0.2">
      <c r="A7526"/>
      <c r="B7526"/>
      <c r="C7526"/>
      <c r="D7526"/>
    </row>
    <row r="7527" spans="1:4" x14ac:dyDescent="0.2">
      <c r="A7527"/>
      <c r="B7527"/>
      <c r="C7527"/>
      <c r="D7527"/>
    </row>
    <row r="7528" spans="1:4" x14ac:dyDescent="0.2">
      <c r="A7528"/>
      <c r="B7528"/>
      <c r="C7528"/>
      <c r="D7528"/>
    </row>
    <row r="7529" spans="1:4" x14ac:dyDescent="0.2">
      <c r="A7529"/>
      <c r="B7529"/>
      <c r="C7529"/>
      <c r="D7529"/>
    </row>
    <row r="7530" spans="1:4" x14ac:dyDescent="0.2">
      <c r="A7530"/>
      <c r="B7530"/>
      <c r="C7530"/>
      <c r="D7530"/>
    </row>
    <row r="7531" spans="1:4" x14ac:dyDescent="0.2">
      <c r="A7531"/>
      <c r="B7531"/>
      <c r="C7531"/>
      <c r="D7531"/>
    </row>
    <row r="7532" spans="1:4" x14ac:dyDescent="0.2">
      <c r="A7532"/>
      <c r="B7532"/>
      <c r="C7532"/>
      <c r="D7532"/>
    </row>
    <row r="7533" spans="1:4" x14ac:dyDescent="0.2">
      <c r="A7533"/>
      <c r="B7533"/>
      <c r="C7533"/>
      <c r="D7533"/>
    </row>
    <row r="7534" spans="1:4" x14ac:dyDescent="0.2">
      <c r="A7534"/>
      <c r="B7534"/>
      <c r="C7534"/>
      <c r="D7534"/>
    </row>
    <row r="7535" spans="1:4" x14ac:dyDescent="0.2">
      <c r="A7535"/>
      <c r="B7535"/>
      <c r="C7535"/>
      <c r="D7535"/>
    </row>
    <row r="7536" spans="1:4" x14ac:dyDescent="0.2">
      <c r="A7536"/>
      <c r="B7536"/>
      <c r="C7536"/>
      <c r="D7536"/>
    </row>
    <row r="7537" spans="1:4" x14ac:dyDescent="0.2">
      <c r="A7537"/>
      <c r="B7537"/>
      <c r="C7537"/>
      <c r="D7537"/>
    </row>
    <row r="7538" spans="1:4" x14ac:dyDescent="0.2">
      <c r="A7538"/>
      <c r="B7538"/>
      <c r="C7538"/>
      <c r="D7538"/>
    </row>
    <row r="7539" spans="1:4" x14ac:dyDescent="0.2">
      <c r="A7539"/>
      <c r="B7539"/>
      <c r="C7539"/>
      <c r="D7539"/>
    </row>
    <row r="7540" spans="1:4" x14ac:dyDescent="0.2">
      <c r="A7540"/>
      <c r="B7540"/>
      <c r="C7540"/>
      <c r="D7540"/>
    </row>
    <row r="7541" spans="1:4" x14ac:dyDescent="0.2">
      <c r="A7541"/>
      <c r="B7541"/>
      <c r="C7541"/>
      <c r="D7541"/>
    </row>
    <row r="7542" spans="1:4" x14ac:dyDescent="0.2">
      <c r="A7542"/>
      <c r="B7542"/>
      <c r="C7542"/>
      <c r="D7542"/>
    </row>
    <row r="7543" spans="1:4" x14ac:dyDescent="0.2">
      <c r="A7543"/>
      <c r="B7543"/>
      <c r="C7543"/>
      <c r="D7543"/>
    </row>
    <row r="7544" spans="1:4" x14ac:dyDescent="0.2">
      <c r="A7544"/>
      <c r="B7544"/>
      <c r="C7544"/>
      <c r="D7544"/>
    </row>
    <row r="7545" spans="1:4" x14ac:dyDescent="0.2">
      <c r="A7545"/>
      <c r="B7545"/>
      <c r="C7545"/>
      <c r="D7545"/>
    </row>
    <row r="7546" spans="1:4" x14ac:dyDescent="0.2">
      <c r="A7546"/>
      <c r="B7546"/>
      <c r="C7546"/>
      <c r="D7546"/>
    </row>
    <row r="7547" spans="1:4" x14ac:dyDescent="0.2">
      <c r="A7547"/>
      <c r="B7547"/>
      <c r="C7547"/>
      <c r="D7547"/>
    </row>
    <row r="7548" spans="1:4" x14ac:dyDescent="0.2">
      <c r="A7548"/>
      <c r="B7548"/>
      <c r="C7548"/>
      <c r="D7548"/>
    </row>
    <row r="7549" spans="1:4" x14ac:dyDescent="0.2">
      <c r="A7549"/>
      <c r="B7549"/>
      <c r="C7549"/>
      <c r="D7549"/>
    </row>
    <row r="7550" spans="1:4" x14ac:dyDescent="0.2">
      <c r="A7550"/>
      <c r="B7550"/>
      <c r="C7550"/>
      <c r="D7550"/>
    </row>
    <row r="7551" spans="1:4" x14ac:dyDescent="0.2">
      <c r="A7551"/>
      <c r="B7551"/>
      <c r="C7551"/>
      <c r="D7551"/>
    </row>
    <row r="7552" spans="1:4" x14ac:dyDescent="0.2">
      <c r="A7552"/>
      <c r="B7552"/>
      <c r="C7552"/>
      <c r="D7552"/>
    </row>
    <row r="7553" spans="1:4" x14ac:dyDescent="0.2">
      <c r="A7553"/>
      <c r="B7553"/>
      <c r="C7553"/>
      <c r="D7553"/>
    </row>
    <row r="7554" spans="1:4" x14ac:dyDescent="0.2">
      <c r="A7554"/>
      <c r="B7554"/>
      <c r="C7554"/>
      <c r="D7554"/>
    </row>
    <row r="7555" spans="1:4" x14ac:dyDescent="0.2">
      <c r="A7555"/>
      <c r="B7555"/>
      <c r="C7555"/>
      <c r="D7555"/>
    </row>
    <row r="7556" spans="1:4" x14ac:dyDescent="0.2">
      <c r="A7556"/>
      <c r="B7556"/>
      <c r="C7556"/>
      <c r="D7556"/>
    </row>
    <row r="7557" spans="1:4" x14ac:dyDescent="0.2">
      <c r="A7557"/>
      <c r="B7557"/>
      <c r="C7557"/>
      <c r="D7557"/>
    </row>
    <row r="7558" spans="1:4" x14ac:dyDescent="0.2">
      <c r="A7558"/>
      <c r="B7558"/>
      <c r="C7558"/>
      <c r="D7558"/>
    </row>
    <row r="7559" spans="1:4" x14ac:dyDescent="0.2">
      <c r="A7559"/>
      <c r="B7559"/>
      <c r="C7559"/>
      <c r="D7559"/>
    </row>
    <row r="7560" spans="1:4" x14ac:dyDescent="0.2">
      <c r="A7560"/>
      <c r="B7560"/>
      <c r="C7560"/>
      <c r="D7560"/>
    </row>
    <row r="7561" spans="1:4" x14ac:dyDescent="0.2">
      <c r="A7561"/>
      <c r="B7561"/>
      <c r="C7561"/>
      <c r="D7561"/>
    </row>
    <row r="7562" spans="1:4" x14ac:dyDescent="0.2">
      <c r="A7562"/>
      <c r="B7562"/>
      <c r="C7562"/>
      <c r="D7562"/>
    </row>
    <row r="7563" spans="1:4" x14ac:dyDescent="0.2">
      <c r="A7563"/>
      <c r="B7563"/>
      <c r="C7563"/>
      <c r="D7563"/>
    </row>
    <row r="7564" spans="1:4" x14ac:dyDescent="0.2">
      <c r="A7564"/>
      <c r="B7564"/>
      <c r="C7564"/>
      <c r="D7564"/>
    </row>
    <row r="7565" spans="1:4" x14ac:dyDescent="0.2">
      <c r="A7565"/>
      <c r="B7565"/>
      <c r="C7565"/>
      <c r="D7565"/>
    </row>
    <row r="7566" spans="1:4" x14ac:dyDescent="0.2">
      <c r="A7566"/>
      <c r="B7566"/>
      <c r="C7566"/>
      <c r="D7566"/>
    </row>
    <row r="7567" spans="1:4" x14ac:dyDescent="0.2">
      <c r="A7567"/>
      <c r="B7567"/>
      <c r="C7567"/>
      <c r="D7567"/>
    </row>
    <row r="7568" spans="1:4" x14ac:dyDescent="0.2">
      <c r="A7568"/>
      <c r="B7568"/>
      <c r="C7568"/>
      <c r="D7568"/>
    </row>
    <row r="7569" spans="1:4" x14ac:dyDescent="0.2">
      <c r="A7569"/>
      <c r="B7569"/>
      <c r="C7569"/>
      <c r="D7569"/>
    </row>
    <row r="7570" spans="1:4" x14ac:dyDescent="0.2">
      <c r="A7570"/>
      <c r="B7570"/>
      <c r="C7570"/>
      <c r="D7570"/>
    </row>
    <row r="7571" spans="1:4" x14ac:dyDescent="0.2">
      <c r="A7571"/>
      <c r="B7571"/>
      <c r="C7571"/>
      <c r="D7571"/>
    </row>
    <row r="7572" spans="1:4" x14ac:dyDescent="0.2">
      <c r="A7572"/>
      <c r="B7572"/>
      <c r="C7572"/>
      <c r="D7572"/>
    </row>
    <row r="7573" spans="1:4" x14ac:dyDescent="0.2">
      <c r="A7573"/>
      <c r="B7573"/>
      <c r="C7573"/>
      <c r="D7573"/>
    </row>
    <row r="7574" spans="1:4" x14ac:dyDescent="0.2">
      <c r="A7574"/>
      <c r="B7574"/>
      <c r="C7574"/>
      <c r="D7574"/>
    </row>
    <row r="7575" spans="1:4" x14ac:dyDescent="0.2">
      <c r="A7575"/>
      <c r="B7575"/>
      <c r="C7575"/>
      <c r="D7575"/>
    </row>
    <row r="7576" spans="1:4" x14ac:dyDescent="0.2">
      <c r="A7576"/>
      <c r="B7576"/>
      <c r="C7576"/>
      <c r="D7576"/>
    </row>
    <row r="7577" spans="1:4" x14ac:dyDescent="0.2">
      <c r="A7577"/>
      <c r="B7577"/>
      <c r="C7577"/>
      <c r="D7577"/>
    </row>
    <row r="7578" spans="1:4" x14ac:dyDescent="0.2">
      <c r="A7578"/>
      <c r="B7578"/>
      <c r="C7578"/>
      <c r="D7578"/>
    </row>
    <row r="7579" spans="1:4" x14ac:dyDescent="0.2">
      <c r="A7579"/>
      <c r="B7579"/>
      <c r="C7579"/>
      <c r="D7579"/>
    </row>
    <row r="7580" spans="1:4" x14ac:dyDescent="0.2">
      <c r="A7580"/>
      <c r="B7580"/>
      <c r="C7580"/>
      <c r="D7580"/>
    </row>
    <row r="7581" spans="1:4" x14ac:dyDescent="0.2">
      <c r="A7581"/>
      <c r="B7581"/>
      <c r="C7581"/>
      <c r="D7581"/>
    </row>
    <row r="7582" spans="1:4" x14ac:dyDescent="0.2">
      <c r="A7582"/>
      <c r="B7582"/>
      <c r="C7582"/>
      <c r="D7582"/>
    </row>
    <row r="7583" spans="1:4" x14ac:dyDescent="0.2">
      <c r="A7583"/>
      <c r="B7583"/>
      <c r="C7583"/>
      <c r="D7583"/>
    </row>
    <row r="7584" spans="1:4" x14ac:dyDescent="0.2">
      <c r="A7584"/>
      <c r="B7584"/>
      <c r="C7584"/>
      <c r="D7584"/>
    </row>
    <row r="7585" spans="1:4" x14ac:dyDescent="0.2">
      <c r="A7585"/>
      <c r="B7585"/>
      <c r="C7585"/>
      <c r="D7585"/>
    </row>
    <row r="7586" spans="1:4" x14ac:dyDescent="0.2">
      <c r="A7586"/>
      <c r="B7586"/>
      <c r="C7586"/>
      <c r="D7586"/>
    </row>
    <row r="7587" spans="1:4" x14ac:dyDescent="0.2">
      <c r="A7587"/>
      <c r="B7587"/>
      <c r="C7587"/>
      <c r="D7587"/>
    </row>
    <row r="7588" spans="1:4" x14ac:dyDescent="0.2">
      <c r="A7588"/>
      <c r="B7588"/>
      <c r="C7588"/>
      <c r="D7588"/>
    </row>
    <row r="7589" spans="1:4" x14ac:dyDescent="0.2">
      <c r="A7589"/>
      <c r="B7589"/>
      <c r="C7589"/>
      <c r="D7589"/>
    </row>
    <row r="7590" spans="1:4" x14ac:dyDescent="0.2">
      <c r="A7590"/>
      <c r="B7590"/>
      <c r="C7590"/>
      <c r="D7590"/>
    </row>
    <row r="7591" spans="1:4" x14ac:dyDescent="0.2">
      <c r="A7591"/>
      <c r="B7591"/>
      <c r="C7591"/>
      <c r="D7591"/>
    </row>
    <row r="7592" spans="1:4" x14ac:dyDescent="0.2">
      <c r="A7592"/>
      <c r="B7592"/>
      <c r="C7592"/>
      <c r="D7592"/>
    </row>
    <row r="7593" spans="1:4" x14ac:dyDescent="0.2">
      <c r="A7593"/>
      <c r="B7593"/>
      <c r="C7593"/>
      <c r="D7593"/>
    </row>
    <row r="7594" spans="1:4" x14ac:dyDescent="0.2">
      <c r="A7594"/>
      <c r="B7594"/>
      <c r="C7594"/>
      <c r="D7594"/>
    </row>
    <row r="7595" spans="1:4" x14ac:dyDescent="0.2">
      <c r="A7595"/>
      <c r="B7595"/>
      <c r="C7595"/>
      <c r="D7595"/>
    </row>
    <row r="7596" spans="1:4" x14ac:dyDescent="0.2">
      <c r="A7596"/>
      <c r="B7596"/>
      <c r="C7596"/>
      <c r="D7596"/>
    </row>
    <row r="7597" spans="1:4" x14ac:dyDescent="0.2">
      <c r="A7597"/>
      <c r="B7597"/>
      <c r="C7597"/>
      <c r="D7597"/>
    </row>
    <row r="7598" spans="1:4" x14ac:dyDescent="0.2">
      <c r="A7598"/>
      <c r="B7598"/>
      <c r="C7598"/>
      <c r="D7598"/>
    </row>
    <row r="7599" spans="1:4" x14ac:dyDescent="0.2">
      <c r="A7599"/>
      <c r="B7599"/>
      <c r="C7599"/>
      <c r="D7599"/>
    </row>
    <row r="7600" spans="1:4" x14ac:dyDescent="0.2">
      <c r="A7600"/>
      <c r="B7600"/>
      <c r="C7600"/>
      <c r="D7600"/>
    </row>
    <row r="7601" spans="1:4" x14ac:dyDescent="0.2">
      <c r="A7601"/>
      <c r="B7601"/>
      <c r="C7601"/>
      <c r="D7601"/>
    </row>
    <row r="7602" spans="1:4" x14ac:dyDescent="0.2">
      <c r="A7602"/>
      <c r="B7602"/>
      <c r="C7602"/>
      <c r="D7602"/>
    </row>
    <row r="7603" spans="1:4" x14ac:dyDescent="0.2">
      <c r="A7603"/>
      <c r="B7603"/>
      <c r="C7603"/>
      <c r="D7603"/>
    </row>
    <row r="7604" spans="1:4" x14ac:dyDescent="0.2">
      <c r="A7604"/>
      <c r="B7604"/>
      <c r="C7604"/>
      <c r="D7604"/>
    </row>
    <row r="7605" spans="1:4" x14ac:dyDescent="0.2">
      <c r="A7605"/>
      <c r="B7605"/>
      <c r="C7605"/>
      <c r="D7605"/>
    </row>
    <row r="7606" spans="1:4" x14ac:dyDescent="0.2">
      <c r="A7606"/>
      <c r="B7606"/>
      <c r="C7606"/>
      <c r="D7606"/>
    </row>
    <row r="7607" spans="1:4" x14ac:dyDescent="0.2">
      <c r="A7607"/>
      <c r="B7607"/>
      <c r="C7607"/>
      <c r="D7607"/>
    </row>
    <row r="7608" spans="1:4" x14ac:dyDescent="0.2">
      <c r="A7608"/>
      <c r="B7608"/>
      <c r="C7608"/>
      <c r="D7608"/>
    </row>
    <row r="7609" spans="1:4" x14ac:dyDescent="0.2">
      <c r="A7609"/>
      <c r="B7609"/>
      <c r="C7609"/>
      <c r="D7609"/>
    </row>
    <row r="7610" spans="1:4" x14ac:dyDescent="0.2">
      <c r="A7610"/>
      <c r="B7610"/>
      <c r="C7610"/>
      <c r="D7610"/>
    </row>
    <row r="7611" spans="1:4" x14ac:dyDescent="0.2">
      <c r="A7611"/>
      <c r="B7611"/>
      <c r="C7611"/>
      <c r="D7611"/>
    </row>
    <row r="7612" spans="1:4" x14ac:dyDescent="0.2">
      <c r="A7612"/>
      <c r="B7612"/>
      <c r="C7612"/>
      <c r="D7612"/>
    </row>
    <row r="7613" spans="1:4" x14ac:dyDescent="0.2">
      <c r="A7613"/>
      <c r="B7613"/>
      <c r="C7613"/>
      <c r="D7613"/>
    </row>
    <row r="7614" spans="1:4" x14ac:dyDescent="0.2">
      <c r="A7614"/>
      <c r="B7614"/>
      <c r="C7614"/>
      <c r="D7614"/>
    </row>
    <row r="7615" spans="1:4" x14ac:dyDescent="0.2">
      <c r="A7615"/>
      <c r="B7615"/>
      <c r="C7615"/>
      <c r="D7615"/>
    </row>
    <row r="7616" spans="1:4" x14ac:dyDescent="0.2">
      <c r="A7616"/>
      <c r="B7616"/>
      <c r="C7616"/>
      <c r="D7616"/>
    </row>
    <row r="7617" spans="1:4" x14ac:dyDescent="0.2">
      <c r="A7617"/>
      <c r="B7617"/>
      <c r="C7617"/>
      <c r="D7617"/>
    </row>
    <row r="7618" spans="1:4" x14ac:dyDescent="0.2">
      <c r="A7618"/>
      <c r="B7618"/>
      <c r="C7618"/>
      <c r="D7618"/>
    </row>
    <row r="7619" spans="1:4" x14ac:dyDescent="0.2">
      <c r="A7619"/>
      <c r="B7619"/>
      <c r="C7619"/>
      <c r="D7619"/>
    </row>
    <row r="7620" spans="1:4" x14ac:dyDescent="0.2">
      <c r="A7620"/>
      <c r="B7620"/>
      <c r="C7620"/>
      <c r="D7620"/>
    </row>
    <row r="7621" spans="1:4" x14ac:dyDescent="0.2">
      <c r="A7621"/>
      <c r="B7621"/>
      <c r="C7621"/>
      <c r="D7621"/>
    </row>
    <row r="7622" spans="1:4" x14ac:dyDescent="0.2">
      <c r="A7622"/>
      <c r="B7622"/>
      <c r="C7622"/>
      <c r="D7622"/>
    </row>
    <row r="7623" spans="1:4" x14ac:dyDescent="0.2">
      <c r="A7623"/>
      <c r="B7623"/>
      <c r="C7623"/>
      <c r="D7623"/>
    </row>
    <row r="7624" spans="1:4" x14ac:dyDescent="0.2">
      <c r="A7624"/>
      <c r="B7624"/>
      <c r="C7624"/>
      <c r="D7624"/>
    </row>
    <row r="7625" spans="1:4" x14ac:dyDescent="0.2">
      <c r="A7625"/>
      <c r="B7625"/>
      <c r="C7625"/>
      <c r="D7625"/>
    </row>
    <row r="7626" spans="1:4" x14ac:dyDescent="0.2">
      <c r="A7626"/>
      <c r="B7626"/>
      <c r="C7626"/>
      <c r="D7626"/>
    </row>
    <row r="7627" spans="1:4" x14ac:dyDescent="0.2">
      <c r="A7627"/>
      <c r="B7627"/>
      <c r="C7627"/>
      <c r="D7627"/>
    </row>
    <row r="7628" spans="1:4" x14ac:dyDescent="0.2">
      <c r="A7628"/>
      <c r="B7628"/>
      <c r="C7628"/>
      <c r="D7628"/>
    </row>
    <row r="7629" spans="1:4" x14ac:dyDescent="0.2">
      <c r="A7629"/>
      <c r="B7629"/>
      <c r="C7629"/>
      <c r="D7629"/>
    </row>
    <row r="7630" spans="1:4" x14ac:dyDescent="0.2">
      <c r="A7630"/>
      <c r="B7630"/>
      <c r="C7630"/>
      <c r="D7630"/>
    </row>
    <row r="7631" spans="1:4" x14ac:dyDescent="0.2">
      <c r="A7631"/>
      <c r="B7631"/>
      <c r="C7631"/>
      <c r="D7631"/>
    </row>
    <row r="7632" spans="1:4" x14ac:dyDescent="0.2">
      <c r="A7632"/>
      <c r="B7632"/>
      <c r="C7632"/>
      <c r="D7632"/>
    </row>
    <row r="7633" spans="1:4" x14ac:dyDescent="0.2">
      <c r="A7633"/>
      <c r="B7633"/>
      <c r="C7633"/>
      <c r="D7633"/>
    </row>
    <row r="7634" spans="1:4" x14ac:dyDescent="0.2">
      <c r="A7634"/>
      <c r="B7634"/>
      <c r="C7634"/>
      <c r="D7634"/>
    </row>
    <row r="7635" spans="1:4" x14ac:dyDescent="0.2">
      <c r="A7635"/>
      <c r="B7635"/>
      <c r="C7635"/>
      <c r="D7635"/>
    </row>
    <row r="7636" spans="1:4" x14ac:dyDescent="0.2">
      <c r="A7636"/>
      <c r="B7636"/>
      <c r="C7636"/>
      <c r="D7636"/>
    </row>
    <row r="7637" spans="1:4" x14ac:dyDescent="0.2">
      <c r="A7637"/>
      <c r="B7637"/>
      <c r="C7637"/>
      <c r="D7637"/>
    </row>
    <row r="7638" spans="1:4" x14ac:dyDescent="0.2">
      <c r="A7638"/>
      <c r="B7638"/>
      <c r="C7638"/>
      <c r="D7638"/>
    </row>
    <row r="7639" spans="1:4" x14ac:dyDescent="0.2">
      <c r="A7639"/>
      <c r="B7639"/>
      <c r="C7639"/>
      <c r="D7639"/>
    </row>
    <row r="7640" spans="1:4" x14ac:dyDescent="0.2">
      <c r="A7640"/>
      <c r="B7640"/>
      <c r="C7640"/>
      <c r="D7640"/>
    </row>
    <row r="7641" spans="1:4" x14ac:dyDescent="0.2">
      <c r="A7641"/>
      <c r="B7641"/>
      <c r="C7641"/>
      <c r="D7641"/>
    </row>
    <row r="7642" spans="1:4" x14ac:dyDescent="0.2">
      <c r="A7642"/>
      <c r="B7642"/>
      <c r="C7642"/>
      <c r="D7642"/>
    </row>
    <row r="7643" spans="1:4" x14ac:dyDescent="0.2">
      <c r="A7643"/>
      <c r="B7643"/>
      <c r="C7643"/>
      <c r="D7643"/>
    </row>
    <row r="7644" spans="1:4" x14ac:dyDescent="0.2">
      <c r="A7644"/>
      <c r="B7644"/>
      <c r="C7644"/>
      <c r="D7644"/>
    </row>
    <row r="7645" spans="1:4" x14ac:dyDescent="0.2">
      <c r="A7645"/>
      <c r="B7645"/>
      <c r="C7645"/>
      <c r="D7645"/>
    </row>
    <row r="7646" spans="1:4" x14ac:dyDescent="0.2">
      <c r="A7646"/>
      <c r="B7646"/>
      <c r="C7646"/>
      <c r="D7646"/>
    </row>
    <row r="7647" spans="1:4" x14ac:dyDescent="0.2">
      <c r="A7647"/>
      <c r="B7647"/>
      <c r="C7647"/>
      <c r="D7647"/>
    </row>
    <row r="7648" spans="1:4" x14ac:dyDescent="0.2">
      <c r="A7648"/>
      <c r="B7648"/>
      <c r="C7648"/>
      <c r="D7648"/>
    </row>
    <row r="7649" spans="1:4" x14ac:dyDescent="0.2">
      <c r="A7649"/>
      <c r="B7649"/>
      <c r="C7649"/>
      <c r="D7649"/>
    </row>
    <row r="7650" spans="1:4" x14ac:dyDescent="0.2">
      <c r="A7650"/>
      <c r="B7650"/>
      <c r="C7650"/>
      <c r="D7650"/>
    </row>
    <row r="7651" spans="1:4" x14ac:dyDescent="0.2">
      <c r="A7651"/>
      <c r="B7651"/>
      <c r="C7651"/>
      <c r="D7651"/>
    </row>
    <row r="7652" spans="1:4" x14ac:dyDescent="0.2">
      <c r="A7652"/>
      <c r="B7652"/>
      <c r="C7652"/>
      <c r="D7652"/>
    </row>
    <row r="7653" spans="1:4" x14ac:dyDescent="0.2">
      <c r="A7653"/>
      <c r="B7653"/>
      <c r="C7653"/>
      <c r="D7653"/>
    </row>
    <row r="7654" spans="1:4" x14ac:dyDescent="0.2">
      <c r="A7654"/>
      <c r="B7654"/>
      <c r="C7654"/>
      <c r="D7654"/>
    </row>
    <row r="7655" spans="1:4" x14ac:dyDescent="0.2">
      <c r="A7655"/>
      <c r="B7655"/>
      <c r="C7655"/>
      <c r="D7655"/>
    </row>
    <row r="7656" spans="1:4" x14ac:dyDescent="0.2">
      <c r="A7656"/>
      <c r="B7656"/>
      <c r="C7656"/>
      <c r="D7656"/>
    </row>
    <row r="7657" spans="1:4" x14ac:dyDescent="0.2">
      <c r="A7657"/>
      <c r="B7657"/>
      <c r="C7657"/>
      <c r="D7657"/>
    </row>
    <row r="7658" spans="1:4" x14ac:dyDescent="0.2">
      <c r="A7658"/>
      <c r="B7658"/>
      <c r="C7658"/>
      <c r="D7658"/>
    </row>
    <row r="7659" spans="1:4" x14ac:dyDescent="0.2">
      <c r="A7659"/>
      <c r="B7659"/>
      <c r="C7659"/>
      <c r="D7659"/>
    </row>
    <row r="7660" spans="1:4" x14ac:dyDescent="0.2">
      <c r="A7660"/>
      <c r="B7660"/>
      <c r="C7660"/>
      <c r="D7660"/>
    </row>
    <row r="7661" spans="1:4" x14ac:dyDescent="0.2">
      <c r="A7661"/>
      <c r="B7661"/>
      <c r="C7661"/>
      <c r="D7661"/>
    </row>
    <row r="7662" spans="1:4" x14ac:dyDescent="0.2">
      <c r="A7662"/>
      <c r="B7662"/>
      <c r="C7662"/>
      <c r="D7662"/>
    </row>
    <row r="7663" spans="1:4" x14ac:dyDescent="0.2">
      <c r="A7663"/>
      <c r="B7663"/>
      <c r="C7663"/>
      <c r="D7663"/>
    </row>
    <row r="7664" spans="1:4" x14ac:dyDescent="0.2">
      <c r="A7664"/>
      <c r="B7664"/>
      <c r="C7664"/>
      <c r="D7664"/>
    </row>
    <row r="7665" spans="1:4" x14ac:dyDescent="0.2">
      <c r="A7665"/>
      <c r="B7665"/>
      <c r="C7665"/>
      <c r="D7665"/>
    </row>
    <row r="7666" spans="1:4" x14ac:dyDescent="0.2">
      <c r="A7666"/>
      <c r="B7666"/>
      <c r="C7666"/>
      <c r="D7666"/>
    </row>
    <row r="7667" spans="1:4" x14ac:dyDescent="0.2">
      <c r="A7667"/>
      <c r="B7667"/>
      <c r="C7667"/>
      <c r="D7667"/>
    </row>
    <row r="7668" spans="1:4" x14ac:dyDescent="0.2">
      <c r="A7668"/>
      <c r="B7668"/>
      <c r="C7668"/>
      <c r="D7668"/>
    </row>
    <row r="7669" spans="1:4" x14ac:dyDescent="0.2">
      <c r="A7669"/>
      <c r="B7669"/>
      <c r="C7669"/>
      <c r="D7669"/>
    </row>
    <row r="7670" spans="1:4" x14ac:dyDescent="0.2">
      <c r="A7670"/>
      <c r="B7670"/>
      <c r="C7670"/>
      <c r="D7670"/>
    </row>
    <row r="7671" spans="1:4" x14ac:dyDescent="0.2">
      <c r="A7671"/>
      <c r="B7671"/>
      <c r="C7671"/>
      <c r="D7671"/>
    </row>
    <row r="7672" spans="1:4" x14ac:dyDescent="0.2">
      <c r="A7672"/>
      <c r="B7672"/>
      <c r="C7672"/>
      <c r="D7672"/>
    </row>
    <row r="7673" spans="1:4" x14ac:dyDescent="0.2">
      <c r="A7673"/>
      <c r="B7673"/>
      <c r="C7673"/>
      <c r="D7673"/>
    </row>
    <row r="7674" spans="1:4" x14ac:dyDescent="0.2">
      <c r="A7674"/>
      <c r="B7674"/>
      <c r="C7674"/>
      <c r="D7674"/>
    </row>
    <row r="7675" spans="1:4" x14ac:dyDescent="0.2">
      <c r="A7675"/>
      <c r="B7675"/>
      <c r="C7675"/>
      <c r="D7675"/>
    </row>
    <row r="7676" spans="1:4" x14ac:dyDescent="0.2">
      <c r="A7676"/>
      <c r="B7676"/>
      <c r="C7676"/>
      <c r="D7676"/>
    </row>
    <row r="7677" spans="1:4" x14ac:dyDescent="0.2">
      <c r="A7677"/>
      <c r="B7677"/>
      <c r="C7677"/>
      <c r="D7677"/>
    </row>
    <row r="7678" spans="1:4" x14ac:dyDescent="0.2">
      <c r="A7678"/>
      <c r="B7678"/>
      <c r="C7678"/>
      <c r="D7678"/>
    </row>
    <row r="7679" spans="1:4" x14ac:dyDescent="0.2">
      <c r="A7679"/>
      <c r="B7679"/>
      <c r="C7679"/>
      <c r="D7679"/>
    </row>
    <row r="7680" spans="1:4" x14ac:dyDescent="0.2">
      <c r="A7680"/>
      <c r="B7680"/>
      <c r="C7680"/>
      <c r="D7680"/>
    </row>
    <row r="7681" spans="1:4" x14ac:dyDescent="0.2">
      <c r="A7681"/>
      <c r="B7681"/>
      <c r="C7681"/>
      <c r="D7681"/>
    </row>
    <row r="7682" spans="1:4" x14ac:dyDescent="0.2">
      <c r="A7682"/>
      <c r="B7682"/>
      <c r="C7682"/>
      <c r="D7682"/>
    </row>
    <row r="7683" spans="1:4" x14ac:dyDescent="0.2">
      <c r="A7683"/>
      <c r="B7683"/>
      <c r="C7683"/>
      <c r="D7683"/>
    </row>
    <row r="7684" spans="1:4" x14ac:dyDescent="0.2">
      <c r="A7684"/>
      <c r="B7684"/>
      <c r="C7684"/>
      <c r="D7684"/>
    </row>
    <row r="7685" spans="1:4" x14ac:dyDescent="0.2">
      <c r="A7685"/>
      <c r="B7685"/>
      <c r="C7685"/>
      <c r="D7685"/>
    </row>
    <row r="7686" spans="1:4" x14ac:dyDescent="0.2">
      <c r="A7686"/>
      <c r="B7686"/>
      <c r="C7686"/>
      <c r="D7686"/>
    </row>
    <row r="7687" spans="1:4" x14ac:dyDescent="0.2">
      <c r="A7687"/>
      <c r="B7687"/>
      <c r="C7687"/>
      <c r="D7687"/>
    </row>
    <row r="7688" spans="1:4" x14ac:dyDescent="0.2">
      <c r="A7688"/>
      <c r="B7688"/>
      <c r="C7688"/>
      <c r="D7688"/>
    </row>
    <row r="7689" spans="1:4" x14ac:dyDescent="0.2">
      <c r="A7689"/>
      <c r="B7689"/>
      <c r="C7689"/>
      <c r="D7689"/>
    </row>
    <row r="7690" spans="1:4" x14ac:dyDescent="0.2">
      <c r="A7690"/>
      <c r="B7690"/>
      <c r="C7690"/>
      <c r="D7690"/>
    </row>
    <row r="7691" spans="1:4" x14ac:dyDescent="0.2">
      <c r="A7691"/>
      <c r="B7691"/>
      <c r="C7691"/>
      <c r="D7691"/>
    </row>
    <row r="7692" spans="1:4" x14ac:dyDescent="0.2">
      <c r="A7692"/>
      <c r="B7692"/>
      <c r="C7692"/>
      <c r="D7692"/>
    </row>
    <row r="7693" spans="1:4" x14ac:dyDescent="0.2">
      <c r="A7693"/>
      <c r="B7693"/>
      <c r="C7693"/>
      <c r="D7693"/>
    </row>
    <row r="7694" spans="1:4" x14ac:dyDescent="0.2">
      <c r="A7694"/>
      <c r="B7694"/>
      <c r="C7694"/>
      <c r="D7694"/>
    </row>
    <row r="7695" spans="1:4" x14ac:dyDescent="0.2">
      <c r="A7695"/>
      <c r="B7695"/>
      <c r="C7695"/>
      <c r="D7695"/>
    </row>
    <row r="7696" spans="1:4" x14ac:dyDescent="0.2">
      <c r="A7696"/>
      <c r="B7696"/>
      <c r="C7696"/>
      <c r="D7696"/>
    </row>
    <row r="7697" spans="1:4" x14ac:dyDescent="0.2">
      <c r="A7697"/>
      <c r="B7697"/>
      <c r="C7697"/>
      <c r="D7697"/>
    </row>
    <row r="7698" spans="1:4" x14ac:dyDescent="0.2">
      <c r="A7698"/>
      <c r="B7698"/>
      <c r="C7698"/>
      <c r="D7698"/>
    </row>
    <row r="7699" spans="1:4" x14ac:dyDescent="0.2">
      <c r="A7699"/>
      <c r="B7699"/>
      <c r="C7699"/>
      <c r="D7699"/>
    </row>
    <row r="7700" spans="1:4" x14ac:dyDescent="0.2">
      <c r="A7700"/>
      <c r="B7700"/>
      <c r="C7700"/>
      <c r="D7700"/>
    </row>
    <row r="7701" spans="1:4" x14ac:dyDescent="0.2">
      <c r="A7701"/>
      <c r="B7701"/>
      <c r="C7701"/>
      <c r="D7701"/>
    </row>
    <row r="7702" spans="1:4" x14ac:dyDescent="0.2">
      <c r="A7702"/>
      <c r="B7702"/>
      <c r="C7702"/>
      <c r="D7702"/>
    </row>
    <row r="7703" spans="1:4" x14ac:dyDescent="0.2">
      <c r="A7703"/>
      <c r="B7703"/>
      <c r="C7703"/>
      <c r="D7703"/>
    </row>
    <row r="7704" spans="1:4" x14ac:dyDescent="0.2">
      <c r="A7704"/>
      <c r="B7704"/>
      <c r="C7704"/>
      <c r="D7704"/>
    </row>
    <row r="7705" spans="1:4" x14ac:dyDescent="0.2">
      <c r="A7705"/>
      <c r="B7705"/>
      <c r="C7705"/>
      <c r="D7705"/>
    </row>
    <row r="7706" spans="1:4" x14ac:dyDescent="0.2">
      <c r="A7706"/>
      <c r="B7706"/>
      <c r="C7706"/>
      <c r="D7706"/>
    </row>
    <row r="7707" spans="1:4" x14ac:dyDescent="0.2">
      <c r="A7707"/>
      <c r="B7707"/>
      <c r="C7707"/>
      <c r="D7707"/>
    </row>
    <row r="7708" spans="1:4" x14ac:dyDescent="0.2">
      <c r="A7708"/>
      <c r="B7708"/>
      <c r="C7708"/>
      <c r="D7708"/>
    </row>
    <row r="7709" spans="1:4" x14ac:dyDescent="0.2">
      <c r="A7709"/>
      <c r="B7709"/>
      <c r="C7709"/>
      <c r="D7709"/>
    </row>
    <row r="7710" spans="1:4" x14ac:dyDescent="0.2">
      <c r="A7710"/>
      <c r="B7710"/>
      <c r="C7710"/>
      <c r="D7710"/>
    </row>
    <row r="7711" spans="1:4" x14ac:dyDescent="0.2">
      <c r="A7711"/>
      <c r="B7711"/>
      <c r="C7711"/>
      <c r="D7711"/>
    </row>
    <row r="7712" spans="1:4" x14ac:dyDescent="0.2">
      <c r="A7712"/>
      <c r="B7712"/>
      <c r="C7712"/>
      <c r="D7712"/>
    </row>
    <row r="7713" spans="1:4" x14ac:dyDescent="0.2">
      <c r="A7713"/>
      <c r="B7713"/>
      <c r="C7713"/>
      <c r="D7713"/>
    </row>
    <row r="7714" spans="1:4" x14ac:dyDescent="0.2">
      <c r="A7714"/>
      <c r="B7714"/>
      <c r="C7714"/>
      <c r="D7714"/>
    </row>
    <row r="7715" spans="1:4" x14ac:dyDescent="0.2">
      <c r="A7715"/>
      <c r="B7715"/>
      <c r="C7715"/>
      <c r="D7715"/>
    </row>
    <row r="7716" spans="1:4" x14ac:dyDescent="0.2">
      <c r="A7716"/>
      <c r="B7716"/>
      <c r="C7716"/>
      <c r="D7716"/>
    </row>
    <row r="7717" spans="1:4" x14ac:dyDescent="0.2">
      <c r="A7717"/>
      <c r="B7717"/>
      <c r="C7717"/>
      <c r="D7717"/>
    </row>
    <row r="7718" spans="1:4" x14ac:dyDescent="0.2">
      <c r="A7718"/>
      <c r="B7718"/>
      <c r="C7718"/>
      <c r="D7718"/>
    </row>
    <row r="7719" spans="1:4" x14ac:dyDescent="0.2">
      <c r="A7719"/>
      <c r="B7719"/>
      <c r="C7719"/>
      <c r="D7719"/>
    </row>
    <row r="7720" spans="1:4" x14ac:dyDescent="0.2">
      <c r="A7720"/>
      <c r="B7720"/>
      <c r="C7720"/>
      <c r="D7720"/>
    </row>
    <row r="7721" spans="1:4" x14ac:dyDescent="0.2">
      <c r="A7721"/>
      <c r="B7721"/>
      <c r="C7721"/>
      <c r="D7721"/>
    </row>
    <row r="7722" spans="1:4" x14ac:dyDescent="0.2">
      <c r="A7722"/>
      <c r="B7722"/>
      <c r="C7722"/>
      <c r="D7722"/>
    </row>
    <row r="7723" spans="1:4" x14ac:dyDescent="0.2">
      <c r="A7723"/>
      <c r="B7723"/>
      <c r="C7723"/>
      <c r="D7723"/>
    </row>
    <row r="7724" spans="1:4" x14ac:dyDescent="0.2">
      <c r="A7724"/>
      <c r="B7724"/>
      <c r="C7724"/>
      <c r="D7724"/>
    </row>
    <row r="7725" spans="1:4" x14ac:dyDescent="0.2">
      <c r="A7725"/>
      <c r="B7725"/>
      <c r="C7725"/>
      <c r="D7725"/>
    </row>
    <row r="7726" spans="1:4" x14ac:dyDescent="0.2">
      <c r="A7726"/>
      <c r="B7726"/>
      <c r="C7726"/>
      <c r="D7726"/>
    </row>
    <row r="7727" spans="1:4" x14ac:dyDescent="0.2">
      <c r="A7727"/>
      <c r="B7727"/>
      <c r="C7727"/>
      <c r="D7727"/>
    </row>
    <row r="7728" spans="1:4" x14ac:dyDescent="0.2">
      <c r="A7728"/>
      <c r="B7728"/>
      <c r="C7728"/>
      <c r="D7728"/>
    </row>
    <row r="7729" spans="1:4" x14ac:dyDescent="0.2">
      <c r="A7729"/>
      <c r="B7729"/>
      <c r="C7729"/>
      <c r="D7729"/>
    </row>
    <row r="7730" spans="1:4" x14ac:dyDescent="0.2">
      <c r="A7730"/>
      <c r="B7730"/>
      <c r="C7730"/>
      <c r="D7730"/>
    </row>
    <row r="7731" spans="1:4" x14ac:dyDescent="0.2">
      <c r="A7731"/>
      <c r="B7731"/>
      <c r="C7731"/>
      <c r="D7731"/>
    </row>
    <row r="7732" spans="1:4" x14ac:dyDescent="0.2">
      <c r="A7732"/>
      <c r="B7732"/>
      <c r="C7732"/>
      <c r="D7732"/>
    </row>
    <row r="7733" spans="1:4" x14ac:dyDescent="0.2">
      <c r="A7733"/>
      <c r="B7733"/>
      <c r="C7733"/>
      <c r="D7733"/>
    </row>
    <row r="7734" spans="1:4" x14ac:dyDescent="0.2">
      <c r="A7734"/>
      <c r="B7734"/>
      <c r="C7734"/>
      <c r="D7734"/>
    </row>
    <row r="7735" spans="1:4" x14ac:dyDescent="0.2">
      <c r="A7735"/>
      <c r="B7735"/>
      <c r="C7735"/>
      <c r="D7735"/>
    </row>
    <row r="7736" spans="1:4" x14ac:dyDescent="0.2">
      <c r="A7736"/>
      <c r="B7736"/>
      <c r="C7736"/>
      <c r="D7736"/>
    </row>
    <row r="7737" spans="1:4" x14ac:dyDescent="0.2">
      <c r="A7737"/>
      <c r="B7737"/>
      <c r="C7737"/>
      <c r="D7737"/>
    </row>
    <row r="7738" spans="1:4" x14ac:dyDescent="0.2">
      <c r="A7738"/>
      <c r="B7738"/>
      <c r="C7738"/>
      <c r="D7738"/>
    </row>
    <row r="7739" spans="1:4" x14ac:dyDescent="0.2">
      <c r="A7739"/>
      <c r="B7739"/>
      <c r="C7739"/>
      <c r="D7739"/>
    </row>
    <row r="7740" spans="1:4" x14ac:dyDescent="0.2">
      <c r="A7740"/>
      <c r="B7740"/>
      <c r="C7740"/>
      <c r="D7740"/>
    </row>
    <row r="7741" spans="1:4" x14ac:dyDescent="0.2">
      <c r="A7741"/>
      <c r="B7741"/>
      <c r="C7741"/>
      <c r="D7741"/>
    </row>
    <row r="7742" spans="1:4" x14ac:dyDescent="0.2">
      <c r="A7742"/>
      <c r="B7742"/>
      <c r="C7742"/>
      <c r="D7742"/>
    </row>
    <row r="7743" spans="1:4" x14ac:dyDescent="0.2">
      <c r="A7743"/>
      <c r="B7743"/>
      <c r="C7743"/>
      <c r="D7743"/>
    </row>
    <row r="7744" spans="1:4" x14ac:dyDescent="0.2">
      <c r="A7744"/>
      <c r="B7744"/>
      <c r="C7744"/>
      <c r="D7744"/>
    </row>
    <row r="7745" spans="1:4" x14ac:dyDescent="0.2">
      <c r="A7745"/>
      <c r="B7745"/>
      <c r="C7745"/>
      <c r="D7745"/>
    </row>
    <row r="7746" spans="1:4" x14ac:dyDescent="0.2">
      <c r="A7746"/>
      <c r="B7746"/>
      <c r="C7746"/>
      <c r="D7746"/>
    </row>
    <row r="7747" spans="1:4" x14ac:dyDescent="0.2">
      <c r="A7747"/>
      <c r="B7747"/>
      <c r="C7747"/>
      <c r="D7747"/>
    </row>
    <row r="7748" spans="1:4" x14ac:dyDescent="0.2">
      <c r="A7748"/>
      <c r="B7748"/>
      <c r="C7748"/>
      <c r="D7748"/>
    </row>
    <row r="7749" spans="1:4" x14ac:dyDescent="0.2">
      <c r="A7749"/>
      <c r="B7749"/>
      <c r="C7749"/>
      <c r="D7749"/>
    </row>
    <row r="7750" spans="1:4" x14ac:dyDescent="0.2">
      <c r="A7750"/>
      <c r="B7750"/>
      <c r="C7750"/>
      <c r="D7750"/>
    </row>
    <row r="7751" spans="1:4" x14ac:dyDescent="0.2">
      <c r="A7751"/>
      <c r="B7751"/>
      <c r="C7751"/>
      <c r="D7751"/>
    </row>
    <row r="7752" spans="1:4" x14ac:dyDescent="0.2">
      <c r="A7752"/>
      <c r="B7752"/>
      <c r="C7752"/>
      <c r="D7752"/>
    </row>
    <row r="7753" spans="1:4" x14ac:dyDescent="0.2">
      <c r="A7753"/>
      <c r="B7753"/>
      <c r="C7753"/>
      <c r="D7753"/>
    </row>
    <row r="7754" spans="1:4" x14ac:dyDescent="0.2">
      <c r="A7754"/>
      <c r="B7754"/>
      <c r="C7754"/>
      <c r="D7754"/>
    </row>
    <row r="7755" spans="1:4" x14ac:dyDescent="0.2">
      <c r="A7755"/>
      <c r="B7755"/>
      <c r="C7755"/>
      <c r="D7755"/>
    </row>
    <row r="7756" spans="1:4" x14ac:dyDescent="0.2">
      <c r="A7756"/>
      <c r="B7756"/>
      <c r="C7756"/>
      <c r="D7756"/>
    </row>
    <row r="7757" spans="1:4" x14ac:dyDescent="0.2">
      <c r="A7757"/>
      <c r="B7757"/>
      <c r="C7757"/>
      <c r="D7757"/>
    </row>
    <row r="7758" spans="1:4" x14ac:dyDescent="0.2">
      <c r="A7758"/>
      <c r="B7758"/>
      <c r="C7758"/>
      <c r="D7758"/>
    </row>
    <row r="7759" spans="1:4" x14ac:dyDescent="0.2">
      <c r="A7759"/>
      <c r="B7759"/>
      <c r="C7759"/>
      <c r="D7759"/>
    </row>
    <row r="7760" spans="1:4" x14ac:dyDescent="0.2">
      <c r="A7760"/>
      <c r="B7760"/>
      <c r="C7760"/>
      <c r="D7760"/>
    </row>
    <row r="7761" spans="1:4" x14ac:dyDescent="0.2">
      <c r="A7761"/>
      <c r="B7761"/>
      <c r="C7761"/>
      <c r="D7761"/>
    </row>
    <row r="7762" spans="1:4" x14ac:dyDescent="0.2">
      <c r="A7762"/>
      <c r="B7762"/>
      <c r="C7762"/>
      <c r="D7762"/>
    </row>
    <row r="7763" spans="1:4" x14ac:dyDescent="0.2">
      <c r="A7763"/>
      <c r="B7763"/>
      <c r="C7763"/>
      <c r="D7763"/>
    </row>
    <row r="7764" spans="1:4" x14ac:dyDescent="0.2">
      <c r="A7764"/>
      <c r="B7764"/>
      <c r="C7764"/>
      <c r="D7764"/>
    </row>
    <row r="7765" spans="1:4" x14ac:dyDescent="0.2">
      <c r="A7765"/>
      <c r="B7765"/>
      <c r="C7765"/>
      <c r="D7765"/>
    </row>
    <row r="7766" spans="1:4" x14ac:dyDescent="0.2">
      <c r="A7766"/>
      <c r="B7766"/>
      <c r="C7766"/>
      <c r="D7766"/>
    </row>
    <row r="7767" spans="1:4" x14ac:dyDescent="0.2">
      <c r="A7767"/>
      <c r="B7767"/>
      <c r="C7767"/>
      <c r="D7767"/>
    </row>
    <row r="7768" spans="1:4" x14ac:dyDescent="0.2">
      <c r="A7768"/>
      <c r="B7768"/>
      <c r="C7768"/>
      <c r="D7768"/>
    </row>
    <row r="7769" spans="1:4" x14ac:dyDescent="0.2">
      <c r="A7769"/>
      <c r="B7769"/>
      <c r="C7769"/>
      <c r="D7769"/>
    </row>
    <row r="7770" spans="1:4" x14ac:dyDescent="0.2">
      <c r="A7770"/>
      <c r="B7770"/>
      <c r="C7770"/>
      <c r="D7770"/>
    </row>
    <row r="7771" spans="1:4" x14ac:dyDescent="0.2">
      <c r="A7771"/>
      <c r="B7771"/>
      <c r="C7771"/>
      <c r="D7771"/>
    </row>
    <row r="7772" spans="1:4" x14ac:dyDescent="0.2">
      <c r="A7772"/>
      <c r="B7772"/>
      <c r="C7772"/>
      <c r="D7772"/>
    </row>
    <row r="7773" spans="1:4" x14ac:dyDescent="0.2">
      <c r="A7773"/>
      <c r="B7773"/>
      <c r="C7773"/>
      <c r="D7773"/>
    </row>
    <row r="7774" spans="1:4" x14ac:dyDescent="0.2">
      <c r="A7774"/>
      <c r="B7774"/>
      <c r="C7774"/>
      <c r="D7774"/>
    </row>
    <row r="7775" spans="1:4" x14ac:dyDescent="0.2">
      <c r="A7775"/>
      <c r="B7775"/>
      <c r="C7775"/>
      <c r="D7775"/>
    </row>
    <row r="7776" spans="1:4" x14ac:dyDescent="0.2">
      <c r="A7776"/>
      <c r="B7776"/>
      <c r="C7776"/>
      <c r="D7776"/>
    </row>
    <row r="7777" spans="1:4" x14ac:dyDescent="0.2">
      <c r="A7777"/>
      <c r="B7777"/>
      <c r="C7777"/>
      <c r="D7777"/>
    </row>
    <row r="7778" spans="1:4" x14ac:dyDescent="0.2">
      <c r="A7778"/>
      <c r="B7778"/>
      <c r="C7778"/>
      <c r="D7778"/>
    </row>
    <row r="7779" spans="1:4" x14ac:dyDescent="0.2">
      <c r="A7779"/>
      <c r="B7779"/>
      <c r="C7779"/>
      <c r="D7779"/>
    </row>
    <row r="7780" spans="1:4" x14ac:dyDescent="0.2">
      <c r="A7780"/>
      <c r="B7780"/>
      <c r="C7780"/>
      <c r="D7780"/>
    </row>
    <row r="7781" spans="1:4" x14ac:dyDescent="0.2">
      <c r="A7781"/>
      <c r="B7781"/>
      <c r="C7781"/>
      <c r="D7781"/>
    </row>
    <row r="7782" spans="1:4" x14ac:dyDescent="0.2">
      <c r="A7782"/>
      <c r="B7782"/>
      <c r="C7782"/>
      <c r="D7782"/>
    </row>
    <row r="7783" spans="1:4" x14ac:dyDescent="0.2">
      <c r="A7783"/>
      <c r="B7783"/>
      <c r="C7783"/>
      <c r="D7783"/>
    </row>
    <row r="7784" spans="1:4" x14ac:dyDescent="0.2">
      <c r="A7784"/>
      <c r="B7784"/>
      <c r="C7784"/>
      <c r="D7784"/>
    </row>
    <row r="7785" spans="1:4" x14ac:dyDescent="0.2">
      <c r="A7785"/>
      <c r="B7785"/>
      <c r="C7785"/>
      <c r="D7785"/>
    </row>
    <row r="7786" spans="1:4" x14ac:dyDescent="0.2">
      <c r="A7786"/>
      <c r="B7786"/>
      <c r="C7786"/>
      <c r="D7786"/>
    </row>
    <row r="7787" spans="1:4" x14ac:dyDescent="0.2">
      <c r="A7787"/>
      <c r="B7787"/>
      <c r="C7787"/>
      <c r="D7787"/>
    </row>
    <row r="7788" spans="1:4" x14ac:dyDescent="0.2">
      <c r="A7788"/>
      <c r="B7788"/>
      <c r="C7788"/>
      <c r="D7788"/>
    </row>
    <row r="7789" spans="1:4" x14ac:dyDescent="0.2">
      <c r="A7789"/>
      <c r="B7789"/>
      <c r="C7789"/>
      <c r="D7789"/>
    </row>
    <row r="7790" spans="1:4" x14ac:dyDescent="0.2">
      <c r="A7790"/>
      <c r="B7790"/>
      <c r="C7790"/>
      <c r="D7790"/>
    </row>
    <row r="7791" spans="1:4" x14ac:dyDescent="0.2">
      <c r="A7791"/>
      <c r="B7791"/>
      <c r="C7791"/>
      <c r="D7791"/>
    </row>
    <row r="7792" spans="1:4" x14ac:dyDescent="0.2">
      <c r="A7792"/>
      <c r="B7792"/>
      <c r="C7792"/>
      <c r="D7792"/>
    </row>
    <row r="7793" spans="1:4" x14ac:dyDescent="0.2">
      <c r="A7793"/>
      <c r="B7793"/>
      <c r="C7793"/>
      <c r="D7793"/>
    </row>
    <row r="7794" spans="1:4" x14ac:dyDescent="0.2">
      <c r="A7794"/>
      <c r="B7794"/>
      <c r="C7794"/>
      <c r="D7794"/>
    </row>
    <row r="7795" spans="1:4" x14ac:dyDescent="0.2">
      <c r="A7795"/>
      <c r="B7795"/>
      <c r="C7795"/>
      <c r="D7795"/>
    </row>
    <row r="7796" spans="1:4" x14ac:dyDescent="0.2">
      <c r="A7796"/>
      <c r="B7796"/>
      <c r="C7796"/>
      <c r="D7796"/>
    </row>
    <row r="7797" spans="1:4" x14ac:dyDescent="0.2">
      <c r="A7797"/>
      <c r="B7797"/>
      <c r="C7797"/>
      <c r="D7797"/>
    </row>
    <row r="7798" spans="1:4" x14ac:dyDescent="0.2">
      <c r="A7798"/>
      <c r="B7798"/>
      <c r="C7798"/>
      <c r="D7798"/>
    </row>
    <row r="7799" spans="1:4" x14ac:dyDescent="0.2">
      <c r="A7799"/>
      <c r="B7799"/>
      <c r="C7799"/>
      <c r="D7799"/>
    </row>
    <row r="7800" spans="1:4" x14ac:dyDescent="0.2">
      <c r="A7800"/>
      <c r="B7800"/>
      <c r="C7800"/>
      <c r="D7800"/>
    </row>
    <row r="7801" spans="1:4" x14ac:dyDescent="0.2">
      <c r="A7801"/>
      <c r="B7801"/>
      <c r="C7801"/>
      <c r="D7801"/>
    </row>
    <row r="7802" spans="1:4" x14ac:dyDescent="0.2">
      <c r="A7802"/>
      <c r="B7802"/>
      <c r="C7802"/>
      <c r="D7802"/>
    </row>
    <row r="7803" spans="1:4" x14ac:dyDescent="0.2">
      <c r="A7803"/>
      <c r="B7803"/>
      <c r="C7803"/>
      <c r="D7803"/>
    </row>
    <row r="7804" spans="1:4" x14ac:dyDescent="0.2">
      <c r="A7804"/>
      <c r="B7804"/>
      <c r="C7804"/>
      <c r="D7804"/>
    </row>
    <row r="7805" spans="1:4" x14ac:dyDescent="0.2">
      <c r="A7805"/>
      <c r="B7805"/>
      <c r="C7805"/>
      <c r="D7805"/>
    </row>
    <row r="7806" spans="1:4" x14ac:dyDescent="0.2">
      <c r="A7806"/>
      <c r="B7806"/>
      <c r="C7806"/>
      <c r="D7806"/>
    </row>
    <row r="7807" spans="1:4" x14ac:dyDescent="0.2">
      <c r="A7807"/>
      <c r="B7807"/>
      <c r="C7807"/>
      <c r="D7807"/>
    </row>
    <row r="7808" spans="1:4" x14ac:dyDescent="0.2">
      <c r="A7808"/>
      <c r="B7808"/>
      <c r="C7808"/>
      <c r="D7808"/>
    </row>
    <row r="7809" spans="1:4" x14ac:dyDescent="0.2">
      <c r="A7809"/>
      <c r="B7809"/>
      <c r="C7809"/>
      <c r="D7809"/>
    </row>
    <row r="7810" spans="1:4" x14ac:dyDescent="0.2">
      <c r="A7810"/>
      <c r="B7810"/>
      <c r="C7810"/>
      <c r="D7810"/>
    </row>
    <row r="7811" spans="1:4" x14ac:dyDescent="0.2">
      <c r="A7811"/>
      <c r="B7811"/>
      <c r="C7811"/>
      <c r="D7811"/>
    </row>
    <row r="7812" spans="1:4" x14ac:dyDescent="0.2">
      <c r="A7812"/>
      <c r="B7812"/>
      <c r="C7812"/>
      <c r="D7812"/>
    </row>
    <row r="7813" spans="1:4" x14ac:dyDescent="0.2">
      <c r="A7813"/>
      <c r="B7813"/>
      <c r="C7813"/>
      <c r="D7813"/>
    </row>
    <row r="7814" spans="1:4" x14ac:dyDescent="0.2">
      <c r="A7814"/>
      <c r="B7814"/>
      <c r="C7814"/>
      <c r="D7814"/>
    </row>
    <row r="7815" spans="1:4" x14ac:dyDescent="0.2">
      <c r="A7815"/>
      <c r="B7815"/>
      <c r="C7815"/>
      <c r="D7815"/>
    </row>
    <row r="7816" spans="1:4" x14ac:dyDescent="0.2">
      <c r="A7816"/>
      <c r="B7816"/>
      <c r="C7816"/>
      <c r="D7816"/>
    </row>
    <row r="7817" spans="1:4" x14ac:dyDescent="0.2">
      <c r="A7817"/>
      <c r="B7817"/>
      <c r="C7817"/>
      <c r="D7817"/>
    </row>
    <row r="7818" spans="1:4" x14ac:dyDescent="0.2">
      <c r="A7818"/>
      <c r="B7818"/>
      <c r="C7818"/>
      <c r="D7818"/>
    </row>
    <row r="7819" spans="1:4" x14ac:dyDescent="0.2">
      <c r="A7819"/>
      <c r="B7819"/>
      <c r="C7819"/>
      <c r="D7819"/>
    </row>
    <row r="7820" spans="1:4" x14ac:dyDescent="0.2">
      <c r="A7820"/>
      <c r="B7820"/>
      <c r="C7820"/>
      <c r="D7820"/>
    </row>
    <row r="7821" spans="1:4" x14ac:dyDescent="0.2">
      <c r="A7821"/>
      <c r="B7821"/>
      <c r="C7821"/>
      <c r="D7821"/>
    </row>
    <row r="7822" spans="1:4" x14ac:dyDescent="0.2">
      <c r="A7822"/>
      <c r="B7822"/>
      <c r="C7822"/>
      <c r="D7822"/>
    </row>
    <row r="7823" spans="1:4" x14ac:dyDescent="0.2">
      <c r="A7823"/>
      <c r="B7823"/>
      <c r="C7823"/>
      <c r="D7823"/>
    </row>
    <row r="7824" spans="1:4" x14ac:dyDescent="0.2">
      <c r="A7824"/>
      <c r="B7824"/>
      <c r="C7824"/>
      <c r="D7824"/>
    </row>
    <row r="7825" spans="1:4" x14ac:dyDescent="0.2">
      <c r="A7825"/>
      <c r="B7825"/>
      <c r="C7825"/>
      <c r="D7825"/>
    </row>
    <row r="7826" spans="1:4" x14ac:dyDescent="0.2">
      <c r="A7826"/>
      <c r="B7826"/>
      <c r="C7826"/>
      <c r="D7826"/>
    </row>
    <row r="7827" spans="1:4" x14ac:dyDescent="0.2">
      <c r="A7827"/>
      <c r="B7827"/>
      <c r="C7827"/>
      <c r="D7827"/>
    </row>
    <row r="7828" spans="1:4" x14ac:dyDescent="0.2">
      <c r="A7828"/>
      <c r="B7828"/>
      <c r="C7828"/>
      <c r="D7828"/>
    </row>
    <row r="7829" spans="1:4" x14ac:dyDescent="0.2">
      <c r="A7829"/>
      <c r="B7829"/>
      <c r="C7829"/>
      <c r="D7829"/>
    </row>
    <row r="7830" spans="1:4" x14ac:dyDescent="0.2">
      <c r="A7830"/>
      <c r="B7830"/>
      <c r="C7830"/>
      <c r="D7830"/>
    </row>
    <row r="7831" spans="1:4" x14ac:dyDescent="0.2">
      <c r="A7831"/>
      <c r="B7831"/>
      <c r="C7831"/>
      <c r="D7831"/>
    </row>
    <row r="7832" spans="1:4" x14ac:dyDescent="0.2">
      <c r="A7832"/>
      <c r="B7832"/>
      <c r="C7832"/>
      <c r="D7832"/>
    </row>
    <row r="7833" spans="1:4" x14ac:dyDescent="0.2">
      <c r="A7833"/>
      <c r="B7833"/>
      <c r="C7833"/>
      <c r="D7833"/>
    </row>
    <row r="7834" spans="1:4" x14ac:dyDescent="0.2">
      <c r="A7834"/>
      <c r="B7834"/>
      <c r="C7834"/>
      <c r="D7834"/>
    </row>
    <row r="7835" spans="1:4" x14ac:dyDescent="0.2">
      <c r="A7835"/>
      <c r="B7835"/>
      <c r="C7835"/>
      <c r="D7835"/>
    </row>
    <row r="7836" spans="1:4" x14ac:dyDescent="0.2">
      <c r="A7836"/>
      <c r="B7836"/>
      <c r="C7836"/>
      <c r="D7836"/>
    </row>
    <row r="7837" spans="1:4" x14ac:dyDescent="0.2">
      <c r="A7837"/>
      <c r="B7837"/>
      <c r="C7837"/>
      <c r="D7837"/>
    </row>
    <row r="7838" spans="1:4" x14ac:dyDescent="0.2">
      <c r="A7838"/>
      <c r="B7838"/>
      <c r="C7838"/>
      <c r="D7838"/>
    </row>
    <row r="7839" spans="1:4" x14ac:dyDescent="0.2">
      <c r="A7839"/>
      <c r="B7839"/>
      <c r="C7839"/>
      <c r="D7839"/>
    </row>
    <row r="7840" spans="1:4" x14ac:dyDescent="0.2">
      <c r="A7840"/>
      <c r="B7840"/>
      <c r="C7840"/>
      <c r="D7840"/>
    </row>
    <row r="7841" spans="1:4" x14ac:dyDescent="0.2">
      <c r="A7841"/>
      <c r="B7841"/>
      <c r="C7841"/>
      <c r="D7841"/>
    </row>
    <row r="7842" spans="1:4" x14ac:dyDescent="0.2">
      <c r="A7842"/>
      <c r="B7842"/>
      <c r="C7842"/>
      <c r="D7842"/>
    </row>
    <row r="7843" spans="1:4" x14ac:dyDescent="0.2">
      <c r="A7843"/>
      <c r="B7843"/>
      <c r="C7843"/>
      <c r="D7843"/>
    </row>
    <row r="7844" spans="1:4" x14ac:dyDescent="0.2">
      <c r="A7844"/>
      <c r="B7844"/>
      <c r="C7844"/>
      <c r="D7844"/>
    </row>
    <row r="7845" spans="1:4" x14ac:dyDescent="0.2">
      <c r="A7845"/>
      <c r="B7845"/>
      <c r="C7845"/>
      <c r="D7845"/>
    </row>
    <row r="7846" spans="1:4" x14ac:dyDescent="0.2">
      <c r="A7846"/>
      <c r="B7846"/>
      <c r="C7846"/>
      <c r="D7846"/>
    </row>
    <row r="7847" spans="1:4" x14ac:dyDescent="0.2">
      <c r="A7847"/>
      <c r="B7847"/>
      <c r="C7847"/>
      <c r="D7847"/>
    </row>
    <row r="7848" spans="1:4" x14ac:dyDescent="0.2">
      <c r="A7848"/>
      <c r="B7848"/>
      <c r="C7848"/>
      <c r="D7848"/>
    </row>
    <row r="7849" spans="1:4" x14ac:dyDescent="0.2">
      <c r="A7849"/>
      <c r="B7849"/>
      <c r="C7849"/>
      <c r="D7849"/>
    </row>
    <row r="7850" spans="1:4" x14ac:dyDescent="0.2">
      <c r="A7850"/>
      <c r="B7850"/>
      <c r="C7850"/>
      <c r="D7850"/>
    </row>
    <row r="7851" spans="1:4" x14ac:dyDescent="0.2">
      <c r="A7851"/>
      <c r="B7851"/>
      <c r="C7851"/>
      <c r="D7851"/>
    </row>
    <row r="7852" spans="1:4" x14ac:dyDescent="0.2">
      <c r="A7852"/>
      <c r="B7852"/>
      <c r="C7852"/>
      <c r="D7852"/>
    </row>
    <row r="7853" spans="1:4" x14ac:dyDescent="0.2">
      <c r="A7853"/>
      <c r="B7853"/>
      <c r="C7853"/>
      <c r="D7853"/>
    </row>
    <row r="7854" spans="1:4" x14ac:dyDescent="0.2">
      <c r="A7854"/>
      <c r="B7854"/>
      <c r="C7854"/>
      <c r="D7854"/>
    </row>
    <row r="7855" spans="1:4" x14ac:dyDescent="0.2">
      <c r="A7855"/>
      <c r="B7855"/>
      <c r="C7855"/>
      <c r="D7855"/>
    </row>
    <row r="7856" spans="1:4" x14ac:dyDescent="0.2">
      <c r="A7856"/>
      <c r="B7856"/>
      <c r="C7856"/>
      <c r="D7856"/>
    </row>
    <row r="7857" spans="1:4" x14ac:dyDescent="0.2">
      <c r="A7857"/>
      <c r="B7857"/>
      <c r="C7857"/>
      <c r="D7857"/>
    </row>
    <row r="7858" spans="1:4" x14ac:dyDescent="0.2">
      <c r="A7858"/>
      <c r="B7858"/>
      <c r="C7858"/>
      <c r="D7858"/>
    </row>
    <row r="7859" spans="1:4" x14ac:dyDescent="0.2">
      <c r="A7859"/>
      <c r="B7859"/>
      <c r="C7859"/>
      <c r="D7859"/>
    </row>
    <row r="7860" spans="1:4" x14ac:dyDescent="0.2">
      <c r="A7860"/>
      <c r="B7860"/>
      <c r="C7860"/>
      <c r="D7860"/>
    </row>
    <row r="7861" spans="1:4" x14ac:dyDescent="0.2">
      <c r="A7861"/>
      <c r="B7861"/>
      <c r="C7861"/>
      <c r="D7861"/>
    </row>
    <row r="7862" spans="1:4" x14ac:dyDescent="0.2">
      <c r="A7862"/>
      <c r="B7862"/>
      <c r="C7862"/>
      <c r="D7862"/>
    </row>
    <row r="7863" spans="1:4" x14ac:dyDescent="0.2">
      <c r="A7863"/>
      <c r="B7863"/>
      <c r="C7863"/>
      <c r="D7863"/>
    </row>
    <row r="7864" spans="1:4" x14ac:dyDescent="0.2">
      <c r="A7864"/>
      <c r="B7864"/>
      <c r="C7864"/>
      <c r="D7864"/>
    </row>
    <row r="7865" spans="1:4" x14ac:dyDescent="0.2">
      <c r="A7865"/>
      <c r="B7865"/>
      <c r="C7865"/>
      <c r="D7865"/>
    </row>
    <row r="7866" spans="1:4" x14ac:dyDescent="0.2">
      <c r="A7866"/>
      <c r="B7866"/>
      <c r="C7866"/>
      <c r="D7866"/>
    </row>
    <row r="7867" spans="1:4" x14ac:dyDescent="0.2">
      <c r="A7867"/>
      <c r="B7867"/>
      <c r="C7867"/>
      <c r="D7867"/>
    </row>
    <row r="7868" spans="1:4" x14ac:dyDescent="0.2">
      <c r="A7868"/>
      <c r="B7868"/>
      <c r="C7868"/>
      <c r="D7868"/>
    </row>
    <row r="7869" spans="1:4" x14ac:dyDescent="0.2">
      <c r="A7869"/>
      <c r="B7869"/>
      <c r="C7869"/>
      <c r="D7869"/>
    </row>
    <row r="7870" spans="1:4" x14ac:dyDescent="0.2">
      <c r="A7870"/>
      <c r="B7870"/>
      <c r="C7870"/>
      <c r="D7870"/>
    </row>
    <row r="7871" spans="1:4" x14ac:dyDescent="0.2">
      <c r="A7871"/>
      <c r="B7871"/>
      <c r="C7871"/>
      <c r="D7871"/>
    </row>
    <row r="7872" spans="1:4" x14ac:dyDescent="0.2">
      <c r="A7872"/>
      <c r="B7872"/>
      <c r="C7872"/>
      <c r="D7872"/>
    </row>
    <row r="7873" spans="1:4" x14ac:dyDescent="0.2">
      <c r="A7873"/>
      <c r="B7873"/>
      <c r="C7873"/>
      <c r="D7873"/>
    </row>
    <row r="7874" spans="1:4" x14ac:dyDescent="0.2">
      <c r="A7874"/>
      <c r="B7874"/>
      <c r="C7874"/>
      <c r="D7874"/>
    </row>
    <row r="7875" spans="1:4" x14ac:dyDescent="0.2">
      <c r="A7875"/>
      <c r="B7875"/>
      <c r="C7875"/>
      <c r="D7875"/>
    </row>
    <row r="7876" spans="1:4" x14ac:dyDescent="0.2">
      <c r="A7876"/>
      <c r="B7876"/>
      <c r="C7876"/>
      <c r="D7876"/>
    </row>
    <row r="7877" spans="1:4" x14ac:dyDescent="0.2">
      <c r="A7877"/>
      <c r="B7877"/>
      <c r="C7877"/>
      <c r="D7877"/>
    </row>
    <row r="7878" spans="1:4" x14ac:dyDescent="0.2">
      <c r="A7878"/>
      <c r="B7878"/>
      <c r="C7878"/>
      <c r="D7878"/>
    </row>
    <row r="7879" spans="1:4" x14ac:dyDescent="0.2">
      <c r="A7879"/>
      <c r="B7879"/>
      <c r="C7879"/>
      <c r="D7879"/>
    </row>
    <row r="7880" spans="1:4" x14ac:dyDescent="0.2">
      <c r="A7880"/>
      <c r="B7880"/>
      <c r="C7880"/>
      <c r="D7880"/>
    </row>
    <row r="7881" spans="1:4" x14ac:dyDescent="0.2">
      <c r="A7881"/>
      <c r="B7881"/>
      <c r="C7881"/>
      <c r="D7881"/>
    </row>
    <row r="7882" spans="1:4" x14ac:dyDescent="0.2">
      <c r="A7882"/>
      <c r="B7882"/>
      <c r="C7882"/>
      <c r="D7882"/>
    </row>
    <row r="7883" spans="1:4" x14ac:dyDescent="0.2">
      <c r="A7883"/>
      <c r="B7883"/>
      <c r="C7883"/>
      <c r="D7883"/>
    </row>
    <row r="7884" spans="1:4" x14ac:dyDescent="0.2">
      <c r="A7884"/>
      <c r="B7884"/>
      <c r="C7884"/>
      <c r="D7884"/>
    </row>
    <row r="7885" spans="1:4" x14ac:dyDescent="0.2">
      <c r="A7885"/>
      <c r="B7885"/>
      <c r="C7885"/>
      <c r="D7885"/>
    </row>
    <row r="7886" spans="1:4" x14ac:dyDescent="0.2">
      <c r="A7886"/>
      <c r="B7886"/>
      <c r="C7886"/>
      <c r="D7886"/>
    </row>
    <row r="7887" spans="1:4" x14ac:dyDescent="0.2">
      <c r="A7887"/>
      <c r="B7887"/>
      <c r="C7887"/>
      <c r="D7887"/>
    </row>
    <row r="7888" spans="1:4" x14ac:dyDescent="0.2">
      <c r="A7888"/>
      <c r="B7888"/>
      <c r="C7888"/>
      <c r="D7888"/>
    </row>
    <row r="7889" spans="1:4" x14ac:dyDescent="0.2">
      <c r="A7889"/>
      <c r="B7889"/>
      <c r="C7889"/>
      <c r="D7889"/>
    </row>
    <row r="7890" spans="1:4" x14ac:dyDescent="0.2">
      <c r="A7890"/>
      <c r="B7890"/>
      <c r="C7890"/>
      <c r="D7890"/>
    </row>
    <row r="7891" spans="1:4" x14ac:dyDescent="0.2">
      <c r="A7891"/>
      <c r="B7891"/>
      <c r="C7891"/>
      <c r="D7891"/>
    </row>
    <row r="7892" spans="1:4" x14ac:dyDescent="0.2">
      <c r="A7892"/>
      <c r="B7892"/>
      <c r="C7892"/>
      <c r="D7892"/>
    </row>
    <row r="7893" spans="1:4" x14ac:dyDescent="0.2">
      <c r="A7893"/>
      <c r="B7893"/>
      <c r="C7893"/>
      <c r="D7893"/>
    </row>
    <row r="7894" spans="1:4" x14ac:dyDescent="0.2">
      <c r="A7894"/>
      <c r="B7894"/>
      <c r="C7894"/>
      <c r="D7894"/>
    </row>
    <row r="7895" spans="1:4" x14ac:dyDescent="0.2">
      <c r="A7895"/>
      <c r="B7895"/>
      <c r="C7895"/>
      <c r="D7895"/>
    </row>
    <row r="7896" spans="1:4" x14ac:dyDescent="0.2">
      <c r="A7896"/>
      <c r="B7896"/>
      <c r="C7896"/>
      <c r="D7896"/>
    </row>
    <row r="7897" spans="1:4" x14ac:dyDescent="0.2">
      <c r="A7897"/>
      <c r="B7897"/>
      <c r="C7897"/>
      <c r="D7897"/>
    </row>
    <row r="7898" spans="1:4" x14ac:dyDescent="0.2">
      <c r="A7898"/>
      <c r="B7898"/>
      <c r="C7898"/>
      <c r="D7898"/>
    </row>
    <row r="7899" spans="1:4" x14ac:dyDescent="0.2">
      <c r="A7899"/>
      <c r="B7899"/>
      <c r="C7899"/>
      <c r="D7899"/>
    </row>
    <row r="7900" spans="1:4" x14ac:dyDescent="0.2">
      <c r="A7900"/>
      <c r="B7900"/>
      <c r="C7900"/>
      <c r="D7900"/>
    </row>
    <row r="7901" spans="1:4" x14ac:dyDescent="0.2">
      <c r="A7901"/>
      <c r="B7901"/>
      <c r="C7901"/>
      <c r="D7901"/>
    </row>
    <row r="7902" spans="1:4" x14ac:dyDescent="0.2">
      <c r="A7902"/>
      <c r="B7902"/>
      <c r="C7902"/>
      <c r="D7902"/>
    </row>
    <row r="7903" spans="1:4" x14ac:dyDescent="0.2">
      <c r="A7903"/>
      <c r="B7903"/>
      <c r="C7903"/>
      <c r="D7903"/>
    </row>
    <row r="7904" spans="1:4" x14ac:dyDescent="0.2">
      <c r="A7904"/>
      <c r="B7904"/>
      <c r="C7904"/>
      <c r="D7904"/>
    </row>
    <row r="7905" spans="1:4" x14ac:dyDescent="0.2">
      <c r="A7905"/>
      <c r="B7905"/>
      <c r="C7905"/>
      <c r="D7905"/>
    </row>
    <row r="7906" spans="1:4" x14ac:dyDescent="0.2">
      <c r="A7906"/>
      <c r="B7906"/>
      <c r="C7906"/>
      <c r="D7906"/>
    </row>
    <row r="7907" spans="1:4" x14ac:dyDescent="0.2">
      <c r="A7907"/>
      <c r="B7907"/>
      <c r="C7907"/>
      <c r="D7907"/>
    </row>
    <row r="7908" spans="1:4" x14ac:dyDescent="0.2">
      <c r="A7908"/>
      <c r="B7908"/>
      <c r="C7908"/>
      <c r="D7908"/>
    </row>
    <row r="7909" spans="1:4" x14ac:dyDescent="0.2">
      <c r="A7909"/>
      <c r="B7909"/>
      <c r="C7909"/>
      <c r="D7909"/>
    </row>
    <row r="7910" spans="1:4" x14ac:dyDescent="0.2">
      <c r="A7910"/>
      <c r="D7910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00C85-74F4-6345-81B2-0D8EA7D341DE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31A95C-9BCF-F845-B1FF-6A0E15DC44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covid19_italy_region</vt:lpstr>
      <vt:lpstr>Comuni (ESERCIZIO)</vt:lpstr>
      <vt:lpstr>RIPARTIZIONE GEOGRAFICA</vt:lpstr>
      <vt:lpstr>Comuni (ORIGINALE)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Cerri</dc:creator>
  <cp:lastModifiedBy>Marco Cerri</cp:lastModifiedBy>
  <dcterms:created xsi:type="dcterms:W3CDTF">2023-12-18T08:17:45Z</dcterms:created>
  <dcterms:modified xsi:type="dcterms:W3CDTF">2023-12-18T13:56:17Z</dcterms:modified>
</cp:coreProperties>
</file>